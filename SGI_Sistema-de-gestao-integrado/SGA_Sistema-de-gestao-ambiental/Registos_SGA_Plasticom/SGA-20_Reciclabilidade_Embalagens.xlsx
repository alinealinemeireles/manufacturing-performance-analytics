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ables/table9.xml" ContentType="application/vnd.openxmlformats-officedocument.spreadsheetml.table+xml"/>
  <Override PartName="/xl/comments9.xml" ContentType="application/vnd.openxmlformats-officedocument.spreadsheetml.comments+xml"/>
  <Override PartName="/xl/tables/table10.xml" ContentType="application/vnd.openxmlformats-officedocument.spreadsheetml.table+xml"/>
  <Override PartName="/xl/comments10.xml" ContentType="application/vnd.openxmlformats-officedocument.spreadsheetml.comments+xml"/>
  <Override PartName="/xl/tables/table11.xml" ContentType="application/vnd.openxmlformats-officedocument.spreadsheetml.table+xml"/>
  <Override PartName="/xl/comments11.xml" ContentType="application/vnd.openxmlformats-officedocument.spreadsheetml.comments+xml"/>
  <Override PartName="/xl/tables/table12.xml" ContentType="application/vnd.openxmlformats-officedocument.spreadsheetml.table+xml"/>
  <Override PartName="/xl/comments12.xml" ContentType="application/vnd.openxmlformats-officedocument.spreadsheetml.comments+xml"/>
  <Override PartName="/xl/tables/table13.xml" ContentType="application/vnd.openxmlformats-officedocument.spreadsheetml.table+xml"/>
  <Override PartName="/xl/comments13.xml" ContentType="application/vnd.openxmlformats-officedocument.spreadsheetml.comments+xml"/>
  <Override PartName="/xl/tables/table14.xml" ContentType="application/vnd.openxmlformats-officedocument.spreadsheetml.table+xml"/>
  <Override PartName="/xl/comments14.xml" ContentType="application/vnd.openxmlformats-officedocument.spreadsheetml.comments+xml"/>
  <Override PartName="/xl/tables/table15.xml" ContentType="application/vnd.openxmlformats-officedocument.spreadsheetml.table+xml"/>
  <Override PartName="/xl/comments15.xml" ContentType="application/vnd.openxmlformats-officedocument.spreadsheetml.comments+xml"/>
  <Override PartName="/xl/tables/table16.xml" ContentType="application/vnd.openxmlformats-officedocument.spreadsheetml.table+xml"/>
  <Override PartName="/xl/comments16.xml" ContentType="application/vnd.openxmlformats-officedocument.spreadsheetml.comments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 Portfolios\manufacturing-performance-analytics\SGI_Sistema-de-gestao-integrado\SGA_Sistema-de-gestao-ambiental\Registos_SGA_Plasticom\"/>
    </mc:Choice>
  </mc:AlternateContent>
  <xr:revisionPtr revIDLastSave="0" documentId="13_ncr:1_{5C64AE83-2814-466A-A9E4-8BE373F1E601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00_LEIA-ME" sheetId="1" r:id="rId1"/>
    <sheet name="Painel" sheetId="2" r:id="rId2"/>
    <sheet name="Parametros" sheetId="3" r:id="rId3"/>
    <sheet name="Metas_Art7" sheetId="4" r:id="rId4"/>
    <sheet name="Materiais" sheetId="5" r:id="rId5"/>
    <sheet name="Regras_DfR" sheetId="6" r:id="rId6"/>
    <sheet name="Tampas" sheetId="7" r:id="rId7"/>
    <sheet name="Avaliacao_RecyClass" sheetId="8" r:id="rId8"/>
    <sheet name="Compat_Tampas" sheetId="9" r:id="rId9"/>
    <sheet name="Familias_PPWR" sheetId="10" r:id="rId10"/>
    <sheet name="Requisitos_Embalagem" sheetId="11" r:id="rId11"/>
    <sheet name="Aplicabilidade_Produto" sheetId="12" r:id="rId12"/>
    <sheet name="Vendas_Pais" sheetId="13" r:id="rId13"/>
    <sheet name="Embalagens_Expedicao" sheetId="14" r:id="rId14"/>
    <sheet name="Requisitos_Pais" sheetId="15" r:id="rId15"/>
    <sheet name="Certificados_PCR" sheetId="16" r:id="rId16"/>
    <sheet name="Alegacoes" sheetId="17" r:id="rId17"/>
    <sheet name="Maturidade" sheetId="18" r:id="rId18"/>
    <sheet name="Formulario_RecyClass" sheetId="19" r:id="rId19"/>
    <sheet name="Listas" sheetId="20" r:id="rId20"/>
    <sheet name="Dicionario_Dados" sheetId="21" r:id="rId21"/>
  </sheets>
  <definedNames>
    <definedName name="DataRef">Listas!$A$3</definedName>
    <definedName name="lst_Adesivo">Listas!$G$3:$G$6</definedName>
    <definedName name="lst_Aplicabilidade">Listas!$L$3:$L$6</definedName>
    <definedName name="lst_Barreira">Listas!$D$3:$D$6</definedName>
    <definedName name="lst_Classe">Listas!$J$3:$J$8</definedName>
    <definedName name="lst_CorCorpo">Listas!$C$3:$C$8</definedName>
    <definedName name="lst_DataReferencia">Listas!$A$3:$A$3</definedName>
    <definedName name="lst_Decoracao">Listas!$H$3:$H$6</definedName>
    <definedName name="lst_EstadoAlegacao">Listas!$Q$3:$Q$7</definedName>
    <definedName name="lst_EstadoAval">Listas!$T$3:$T$5</definedName>
    <definedName name="lst_EstadoReq">Listas!$M$3:$M$8</definedName>
    <definedName name="lst_Funcao">Listas!$S$3:$S$24</definedName>
    <definedName name="lst_Material">Listas!$B$3:$B$16</definedName>
    <definedName name="lst_Maturidade">Listas!$R$3:$R$5</definedName>
    <definedName name="lst_Natureza">Listas!$K$3:$K$7</definedName>
    <definedName name="lst_Risco">Listas!$N$3:$N$5</definedName>
    <definedName name="lst_Rotulo">Listas!$F$3:$F$8</definedName>
    <definedName name="lst_Segmento">Listas!$I$3:$I$5</definedName>
    <definedName name="lst_SimNao">Listas!$P$3:$P$4</definedName>
    <definedName name="lst_Vedante">Listas!$E$3:$E$5</definedName>
    <definedName name="lst_Verificacao">Listas!$O$3:$O$6</definedName>
    <definedName name="SegmentaçãoDeDados_Conforme_PPWR_2030">#N/A</definedName>
    <definedName name="SegmentaçãoDeDados_Cor_Corpo">#N/A</definedName>
    <definedName name="SegmentaçãoDeDados_Decoracao_Tipo">#N/A</definedName>
    <definedName name="SegmentaçãoDeDados_Estrutura_Material">#N/A</definedName>
    <definedName name="SegmentaçãoDeDados_Grau_PPWR_Indicativo">#N/A</definedName>
    <definedName name="SegmentaçãoDeDados_Segmento">#N/A</definedName>
    <definedName name="_xlnm.Print_Titles" localSheetId="16">Alegacoes!$1:$1</definedName>
    <definedName name="_xlnm.Print_Titles" localSheetId="11">Aplicabilidade_Produto!$1:$1</definedName>
    <definedName name="_xlnm.Print_Titles" localSheetId="7">Avaliacao_RecyClass!$4:$4</definedName>
    <definedName name="_xlnm.Print_Titles" localSheetId="15">Certificados_PCR!$1:$1</definedName>
    <definedName name="_xlnm.Print_Titles" localSheetId="8">Compat_Tampas!$1:$1</definedName>
    <definedName name="_xlnm.Print_Titles" localSheetId="13">Embalagens_Expedicao!$1:$1</definedName>
    <definedName name="_xlnm.Print_Titles" localSheetId="9">Familias_PPWR!$1:$1</definedName>
    <definedName name="_xlnm.Print_Titles" localSheetId="4">Materiais!$1:$1</definedName>
    <definedName name="_xlnm.Print_Titles" localSheetId="17">Maturidade!$1:$1</definedName>
    <definedName name="_xlnm.Print_Titles" localSheetId="3">Metas_Art7!$1:$1</definedName>
    <definedName name="_xlnm.Print_Titles" localSheetId="2">Parametros!$4:$4</definedName>
    <definedName name="_xlnm.Print_Titles" localSheetId="5">Regras_DfR!$4:$4</definedName>
    <definedName name="_xlnm.Print_Titles" localSheetId="10">Requisitos_Embalagem!$4:$4</definedName>
    <definedName name="_xlnm.Print_Titles" localSheetId="14">Requisitos_Pais!$1:$1</definedName>
    <definedName name="_xlnm.Print_Titles" localSheetId="6">Tampas!$1:$1</definedName>
    <definedName name="_xlnm.Print_Titles" localSheetId="12">Vendas_Pais!$1:$1</definedName>
  </definedNames>
  <calcPr calcId="191029"/>
  <pivotCaches>
    <pivotCache cacheId="12" r:id="rId22"/>
  </pivotCaches>
  <extLst>
    <ext xmlns:x14="http://schemas.microsoft.com/office/spreadsheetml/2009/9/main" uri="{BBE1A952-AA13-448e-AADC-164F8A28A991}">
      <x14:slicerCaches>
        <x14:slicerCache r:id="rId23"/>
        <x14:slicerCache r:id="rId24"/>
        <x14:slicerCache r:id="rId25"/>
        <x14:slicerCache r:id="rId26"/>
        <x14:slicerCache r:id="rId27"/>
        <x14:slicerCache r:id="rId28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19" l="1"/>
  <c r="B29" i="19"/>
  <c r="C28" i="19"/>
  <c r="B28" i="19"/>
  <c r="B26" i="19"/>
  <c r="B25" i="19"/>
  <c r="B24" i="19"/>
  <c r="C23" i="19"/>
  <c r="B23" i="19"/>
  <c r="B21" i="19"/>
  <c r="B19" i="19"/>
  <c r="C17" i="19"/>
  <c r="B17" i="19"/>
  <c r="B16" i="19"/>
  <c r="C14" i="19"/>
  <c r="B14" i="19"/>
  <c r="C13" i="19"/>
  <c r="B13" i="19"/>
  <c r="B12" i="19"/>
  <c r="C9" i="19"/>
  <c r="B9" i="19"/>
  <c r="C8" i="19"/>
  <c r="B8" i="19"/>
  <c r="M11" i="17"/>
  <c r="M10" i="17"/>
  <c r="M9" i="17"/>
  <c r="M8" i="17"/>
  <c r="M7" i="17"/>
  <c r="M6" i="17"/>
  <c r="M5" i="17"/>
  <c r="M4" i="17"/>
  <c r="M3" i="17"/>
  <c r="M2" i="17"/>
  <c r="N5" i="16"/>
  <c r="M5" i="16"/>
  <c r="M4" i="16"/>
  <c r="N4" i="16" s="1"/>
  <c r="M3" i="16"/>
  <c r="N3" i="16" s="1"/>
  <c r="M2" i="16"/>
  <c r="N2" i="16" s="1"/>
  <c r="H217" i="14"/>
  <c r="F217" i="14"/>
  <c r="H216" i="14"/>
  <c r="F216" i="14"/>
  <c r="H215" i="14"/>
  <c r="F215" i="14"/>
  <c r="H214" i="14"/>
  <c r="F214" i="14"/>
  <c r="H213" i="14"/>
  <c r="F213" i="14"/>
  <c r="H212" i="14"/>
  <c r="F212" i="14"/>
  <c r="H211" i="14"/>
  <c r="F211" i="14"/>
  <c r="H210" i="14"/>
  <c r="F210" i="14"/>
  <c r="H209" i="14"/>
  <c r="F209" i="14"/>
  <c r="H208" i="14"/>
  <c r="F208" i="14"/>
  <c r="H207" i="14"/>
  <c r="F207" i="14"/>
  <c r="H206" i="14"/>
  <c r="F206" i="14"/>
  <c r="H205" i="14"/>
  <c r="F205" i="14"/>
  <c r="H204" i="14"/>
  <c r="F204" i="14"/>
  <c r="H203" i="14"/>
  <c r="F203" i="14"/>
  <c r="H202" i="14"/>
  <c r="F202" i="14"/>
  <c r="H201" i="14"/>
  <c r="F201" i="14"/>
  <c r="H200" i="14"/>
  <c r="F200" i="14"/>
  <c r="H199" i="14"/>
  <c r="F199" i="14"/>
  <c r="H198" i="14"/>
  <c r="F198" i="14"/>
  <c r="H197" i="14"/>
  <c r="F197" i="14"/>
  <c r="H196" i="14"/>
  <c r="F196" i="14"/>
  <c r="H195" i="14"/>
  <c r="F195" i="14"/>
  <c r="H194" i="14"/>
  <c r="F194" i="14"/>
  <c r="H193" i="14"/>
  <c r="F193" i="14"/>
  <c r="H192" i="14"/>
  <c r="F192" i="14"/>
  <c r="H191" i="14"/>
  <c r="F191" i="14"/>
  <c r="H190" i="14"/>
  <c r="F190" i="14"/>
  <c r="H189" i="14"/>
  <c r="F189" i="14"/>
  <c r="H188" i="14"/>
  <c r="F188" i="14"/>
  <c r="H187" i="14"/>
  <c r="F187" i="14"/>
  <c r="H186" i="14"/>
  <c r="F186" i="14"/>
  <c r="H185" i="14"/>
  <c r="F185" i="14"/>
  <c r="H184" i="14"/>
  <c r="F184" i="14"/>
  <c r="H183" i="14"/>
  <c r="F183" i="14"/>
  <c r="H182" i="14"/>
  <c r="F182" i="14"/>
  <c r="H181" i="14"/>
  <c r="F181" i="14"/>
  <c r="H180" i="14"/>
  <c r="F180" i="14"/>
  <c r="H179" i="14"/>
  <c r="F179" i="14"/>
  <c r="H178" i="14"/>
  <c r="F178" i="14"/>
  <c r="H177" i="14"/>
  <c r="F177" i="14"/>
  <c r="H176" i="14"/>
  <c r="F176" i="14"/>
  <c r="H175" i="14"/>
  <c r="F175" i="14"/>
  <c r="H174" i="14"/>
  <c r="F174" i="14"/>
  <c r="H173" i="14"/>
  <c r="F173" i="14"/>
  <c r="H172" i="14"/>
  <c r="F172" i="14"/>
  <c r="H171" i="14"/>
  <c r="F171" i="14"/>
  <c r="H170" i="14"/>
  <c r="F170" i="14"/>
  <c r="H169" i="14"/>
  <c r="F169" i="14"/>
  <c r="H168" i="14"/>
  <c r="F168" i="14"/>
  <c r="H167" i="14"/>
  <c r="F167" i="14"/>
  <c r="H166" i="14"/>
  <c r="F166" i="14"/>
  <c r="H165" i="14"/>
  <c r="F165" i="14"/>
  <c r="H164" i="14"/>
  <c r="F164" i="14"/>
  <c r="H163" i="14"/>
  <c r="F163" i="14"/>
  <c r="H162" i="14"/>
  <c r="F162" i="14"/>
  <c r="H161" i="14"/>
  <c r="F161" i="14"/>
  <c r="H160" i="14"/>
  <c r="F160" i="14"/>
  <c r="H159" i="14"/>
  <c r="F159" i="14"/>
  <c r="H158" i="14"/>
  <c r="F158" i="14"/>
  <c r="H157" i="14"/>
  <c r="F157" i="14"/>
  <c r="H156" i="14"/>
  <c r="F156" i="14"/>
  <c r="H155" i="14"/>
  <c r="F155" i="14"/>
  <c r="H154" i="14"/>
  <c r="F154" i="14"/>
  <c r="H153" i="14"/>
  <c r="F153" i="14"/>
  <c r="H152" i="14"/>
  <c r="F152" i="14"/>
  <c r="H151" i="14"/>
  <c r="F151" i="14"/>
  <c r="H150" i="14"/>
  <c r="F150" i="14"/>
  <c r="H149" i="14"/>
  <c r="F149" i="14"/>
  <c r="H148" i="14"/>
  <c r="F148" i="14"/>
  <c r="H147" i="14"/>
  <c r="F147" i="14"/>
  <c r="H146" i="14"/>
  <c r="F146" i="14"/>
  <c r="H145" i="14"/>
  <c r="F145" i="14"/>
  <c r="H144" i="14"/>
  <c r="F144" i="14"/>
  <c r="H143" i="14"/>
  <c r="F143" i="14"/>
  <c r="H142" i="14"/>
  <c r="F142" i="14"/>
  <c r="H141" i="14"/>
  <c r="F141" i="14"/>
  <c r="H140" i="14"/>
  <c r="F140" i="14"/>
  <c r="H139" i="14"/>
  <c r="F139" i="14"/>
  <c r="H138" i="14"/>
  <c r="F138" i="14"/>
  <c r="H137" i="14"/>
  <c r="F137" i="14"/>
  <c r="H136" i="14"/>
  <c r="F136" i="14"/>
  <c r="H135" i="14"/>
  <c r="F135" i="14"/>
  <c r="H134" i="14"/>
  <c r="F134" i="14"/>
  <c r="H133" i="14"/>
  <c r="F133" i="14"/>
  <c r="H132" i="14"/>
  <c r="F132" i="14"/>
  <c r="H131" i="14"/>
  <c r="F131" i="14"/>
  <c r="H130" i="14"/>
  <c r="F130" i="14"/>
  <c r="H129" i="14"/>
  <c r="F129" i="14"/>
  <c r="H128" i="14"/>
  <c r="F128" i="14"/>
  <c r="H127" i="14"/>
  <c r="F127" i="14"/>
  <c r="H126" i="14"/>
  <c r="F126" i="14"/>
  <c r="H125" i="14"/>
  <c r="F125" i="14"/>
  <c r="H124" i="14"/>
  <c r="F124" i="14"/>
  <c r="H123" i="14"/>
  <c r="F123" i="14"/>
  <c r="H122" i="14"/>
  <c r="F122" i="14"/>
  <c r="H121" i="14"/>
  <c r="F121" i="14"/>
  <c r="H120" i="14"/>
  <c r="F120" i="14"/>
  <c r="H119" i="14"/>
  <c r="F119" i="14"/>
  <c r="H118" i="14"/>
  <c r="F118" i="14"/>
  <c r="H117" i="14"/>
  <c r="F117" i="14"/>
  <c r="H116" i="14"/>
  <c r="F116" i="14"/>
  <c r="H115" i="14"/>
  <c r="F115" i="14"/>
  <c r="H114" i="14"/>
  <c r="F114" i="14"/>
  <c r="H113" i="14"/>
  <c r="F113" i="14"/>
  <c r="H112" i="14"/>
  <c r="F112" i="14"/>
  <c r="H111" i="14"/>
  <c r="F111" i="14"/>
  <c r="H110" i="14"/>
  <c r="F110" i="14"/>
  <c r="H109" i="14"/>
  <c r="F109" i="14"/>
  <c r="H108" i="14"/>
  <c r="F108" i="14"/>
  <c r="H107" i="14"/>
  <c r="F107" i="14"/>
  <c r="H106" i="14"/>
  <c r="F106" i="14"/>
  <c r="H105" i="14"/>
  <c r="F105" i="14"/>
  <c r="H104" i="14"/>
  <c r="F104" i="14"/>
  <c r="H103" i="14"/>
  <c r="F103" i="14"/>
  <c r="H102" i="14"/>
  <c r="F102" i="14"/>
  <c r="H101" i="14"/>
  <c r="F101" i="14"/>
  <c r="H100" i="14"/>
  <c r="F100" i="14"/>
  <c r="H99" i="14"/>
  <c r="F99" i="14"/>
  <c r="H98" i="14"/>
  <c r="F98" i="14"/>
  <c r="H97" i="14"/>
  <c r="F97" i="14"/>
  <c r="H96" i="14"/>
  <c r="F96" i="14"/>
  <c r="H95" i="14"/>
  <c r="F95" i="14"/>
  <c r="H94" i="14"/>
  <c r="F94" i="14"/>
  <c r="H93" i="14"/>
  <c r="F93" i="14"/>
  <c r="H92" i="14"/>
  <c r="F92" i="14"/>
  <c r="H91" i="14"/>
  <c r="F91" i="14"/>
  <c r="H90" i="14"/>
  <c r="F90" i="14"/>
  <c r="H89" i="14"/>
  <c r="F89" i="14"/>
  <c r="H88" i="14"/>
  <c r="F88" i="14"/>
  <c r="H87" i="14"/>
  <c r="F87" i="14"/>
  <c r="H86" i="14"/>
  <c r="F86" i="14"/>
  <c r="H85" i="14"/>
  <c r="F85" i="14"/>
  <c r="H84" i="14"/>
  <c r="F84" i="14"/>
  <c r="H83" i="14"/>
  <c r="F83" i="14"/>
  <c r="H82" i="14"/>
  <c r="F82" i="14"/>
  <c r="H81" i="14"/>
  <c r="F81" i="14"/>
  <c r="H80" i="14"/>
  <c r="F80" i="14"/>
  <c r="H79" i="14"/>
  <c r="F79" i="14"/>
  <c r="H78" i="14"/>
  <c r="F78" i="14"/>
  <c r="H77" i="14"/>
  <c r="F77" i="14"/>
  <c r="H76" i="14"/>
  <c r="F76" i="14"/>
  <c r="H75" i="14"/>
  <c r="F75" i="14"/>
  <c r="H74" i="14"/>
  <c r="F74" i="14"/>
  <c r="H73" i="14"/>
  <c r="F73" i="14"/>
  <c r="H72" i="14"/>
  <c r="F72" i="14"/>
  <c r="H71" i="14"/>
  <c r="F71" i="14"/>
  <c r="H70" i="14"/>
  <c r="F70" i="14"/>
  <c r="H69" i="14"/>
  <c r="F69" i="14"/>
  <c r="H68" i="14"/>
  <c r="F68" i="14"/>
  <c r="H67" i="14"/>
  <c r="F67" i="14"/>
  <c r="H66" i="14"/>
  <c r="F66" i="14"/>
  <c r="H65" i="14"/>
  <c r="F65" i="14"/>
  <c r="H64" i="14"/>
  <c r="F64" i="14"/>
  <c r="H63" i="14"/>
  <c r="F63" i="14"/>
  <c r="H62" i="14"/>
  <c r="F62" i="14"/>
  <c r="H61" i="14"/>
  <c r="F61" i="14"/>
  <c r="H60" i="14"/>
  <c r="F60" i="14"/>
  <c r="H59" i="14"/>
  <c r="F59" i="14"/>
  <c r="H58" i="14"/>
  <c r="F58" i="14"/>
  <c r="H57" i="14"/>
  <c r="F57" i="14"/>
  <c r="H56" i="14"/>
  <c r="F56" i="14"/>
  <c r="H55" i="14"/>
  <c r="F55" i="14"/>
  <c r="H54" i="14"/>
  <c r="F54" i="14"/>
  <c r="H53" i="14"/>
  <c r="F53" i="14"/>
  <c r="H52" i="14"/>
  <c r="F52" i="14"/>
  <c r="H51" i="14"/>
  <c r="F51" i="14"/>
  <c r="H50" i="14"/>
  <c r="F50" i="14"/>
  <c r="H49" i="14"/>
  <c r="F49" i="14"/>
  <c r="H48" i="14"/>
  <c r="F48" i="14"/>
  <c r="H47" i="14"/>
  <c r="F47" i="14"/>
  <c r="H46" i="14"/>
  <c r="F46" i="14"/>
  <c r="H45" i="14"/>
  <c r="F45" i="14"/>
  <c r="H44" i="14"/>
  <c r="F44" i="14"/>
  <c r="H43" i="14"/>
  <c r="F43" i="14"/>
  <c r="H42" i="14"/>
  <c r="F42" i="14"/>
  <c r="H41" i="14"/>
  <c r="F41" i="14"/>
  <c r="H40" i="14"/>
  <c r="F40" i="14"/>
  <c r="H39" i="14"/>
  <c r="F39" i="14"/>
  <c r="H38" i="14"/>
  <c r="F38" i="14"/>
  <c r="H37" i="14"/>
  <c r="F37" i="14"/>
  <c r="H36" i="14"/>
  <c r="F36" i="14"/>
  <c r="H35" i="14"/>
  <c r="F35" i="14"/>
  <c r="H34" i="14"/>
  <c r="F34" i="14"/>
  <c r="H33" i="14"/>
  <c r="F33" i="14"/>
  <c r="H32" i="14"/>
  <c r="F32" i="14"/>
  <c r="H31" i="14"/>
  <c r="F31" i="14"/>
  <c r="H30" i="14"/>
  <c r="F30" i="14"/>
  <c r="H29" i="14"/>
  <c r="F29" i="14"/>
  <c r="H28" i="14"/>
  <c r="F28" i="14"/>
  <c r="H27" i="14"/>
  <c r="F27" i="14"/>
  <c r="H26" i="14"/>
  <c r="F26" i="14"/>
  <c r="H25" i="14"/>
  <c r="F25" i="14"/>
  <c r="H24" i="14"/>
  <c r="F24" i="14"/>
  <c r="H23" i="14"/>
  <c r="F23" i="14"/>
  <c r="H22" i="14"/>
  <c r="F22" i="14"/>
  <c r="H21" i="14"/>
  <c r="F21" i="14"/>
  <c r="H20" i="14"/>
  <c r="F20" i="14"/>
  <c r="H19" i="14"/>
  <c r="F19" i="14"/>
  <c r="H18" i="14"/>
  <c r="F18" i="14"/>
  <c r="H17" i="14"/>
  <c r="F17" i="14"/>
  <c r="H16" i="14"/>
  <c r="F16" i="14"/>
  <c r="H15" i="14"/>
  <c r="F15" i="14"/>
  <c r="H14" i="14"/>
  <c r="F14" i="14"/>
  <c r="H13" i="14"/>
  <c r="F13" i="14"/>
  <c r="H12" i="14"/>
  <c r="F12" i="14"/>
  <c r="H11" i="14"/>
  <c r="F11" i="14"/>
  <c r="H10" i="14"/>
  <c r="F10" i="14"/>
  <c r="H9" i="14"/>
  <c r="F9" i="14"/>
  <c r="H8" i="14"/>
  <c r="F8" i="14"/>
  <c r="H7" i="14"/>
  <c r="F7" i="14"/>
  <c r="H6" i="14"/>
  <c r="F6" i="14"/>
  <c r="H5" i="14"/>
  <c r="F5" i="14"/>
  <c r="H4" i="14"/>
  <c r="F4" i="14"/>
  <c r="H3" i="14"/>
  <c r="F3" i="14"/>
  <c r="H2" i="14"/>
  <c r="F2" i="14"/>
  <c r="M686" i="13"/>
  <c r="G686" i="13"/>
  <c r="H686" i="13" s="1"/>
  <c r="M685" i="13"/>
  <c r="L685" i="13"/>
  <c r="G685" i="13"/>
  <c r="H685" i="13" s="1"/>
  <c r="M684" i="13"/>
  <c r="L684" i="13"/>
  <c r="G684" i="13"/>
  <c r="H684" i="13" s="1"/>
  <c r="M683" i="13"/>
  <c r="L683" i="13"/>
  <c r="G683" i="13"/>
  <c r="H683" i="13" s="1"/>
  <c r="M682" i="13"/>
  <c r="L682" i="13"/>
  <c r="G682" i="13"/>
  <c r="H682" i="13" s="1"/>
  <c r="M681" i="13"/>
  <c r="G681" i="13"/>
  <c r="H681" i="13" s="1"/>
  <c r="M680" i="13"/>
  <c r="L680" i="13"/>
  <c r="G680" i="13"/>
  <c r="H680" i="13" s="1"/>
  <c r="M679" i="13"/>
  <c r="L679" i="13"/>
  <c r="G679" i="13"/>
  <c r="H679" i="13" s="1"/>
  <c r="M678" i="13"/>
  <c r="L678" i="13"/>
  <c r="G678" i="13"/>
  <c r="H678" i="13" s="1"/>
  <c r="M677" i="13"/>
  <c r="L677" i="13"/>
  <c r="G677" i="13"/>
  <c r="H677" i="13" s="1"/>
  <c r="M676" i="13"/>
  <c r="H676" i="13"/>
  <c r="G676" i="13"/>
  <c r="M675" i="13"/>
  <c r="L675" i="13"/>
  <c r="G675" i="13"/>
  <c r="H675" i="13" s="1"/>
  <c r="M674" i="13"/>
  <c r="L674" i="13"/>
  <c r="G674" i="13"/>
  <c r="H674" i="13" s="1"/>
  <c r="M673" i="13"/>
  <c r="L673" i="13"/>
  <c r="G673" i="13"/>
  <c r="H673" i="13" s="1"/>
  <c r="M672" i="13"/>
  <c r="L672" i="13"/>
  <c r="G672" i="13"/>
  <c r="H672" i="13" s="1"/>
  <c r="M671" i="13"/>
  <c r="L671" i="13"/>
  <c r="G671" i="13"/>
  <c r="H671" i="13" s="1"/>
  <c r="M670" i="13"/>
  <c r="H670" i="13"/>
  <c r="G670" i="13"/>
  <c r="M669" i="13"/>
  <c r="L669" i="13"/>
  <c r="H669" i="13"/>
  <c r="G669" i="13"/>
  <c r="M668" i="13"/>
  <c r="L668" i="13"/>
  <c r="G668" i="13"/>
  <c r="H668" i="13" s="1"/>
  <c r="M667" i="13"/>
  <c r="L667" i="13"/>
  <c r="G667" i="13"/>
  <c r="H667" i="13" s="1"/>
  <c r="M666" i="13"/>
  <c r="L666" i="13"/>
  <c r="G666" i="13"/>
  <c r="H666" i="13" s="1"/>
  <c r="M665" i="13"/>
  <c r="L665" i="13"/>
  <c r="G665" i="13"/>
  <c r="H665" i="13" s="1"/>
  <c r="M664" i="13"/>
  <c r="H664" i="13"/>
  <c r="G664" i="13"/>
  <c r="M663" i="13"/>
  <c r="L663" i="13"/>
  <c r="G663" i="13"/>
  <c r="H663" i="13" s="1"/>
  <c r="M662" i="13"/>
  <c r="L662" i="13"/>
  <c r="H662" i="13"/>
  <c r="G662" i="13"/>
  <c r="M661" i="13"/>
  <c r="L661" i="13"/>
  <c r="H661" i="13"/>
  <c r="G661" i="13"/>
  <c r="M660" i="13"/>
  <c r="L660" i="13"/>
  <c r="H660" i="13"/>
  <c r="G660" i="13"/>
  <c r="M659" i="13"/>
  <c r="L659" i="13"/>
  <c r="G659" i="13"/>
  <c r="H659" i="13" s="1"/>
  <c r="M658" i="13"/>
  <c r="G658" i="13"/>
  <c r="H658" i="13" s="1"/>
  <c r="M657" i="13"/>
  <c r="L657" i="13"/>
  <c r="G657" i="13"/>
  <c r="H657" i="13" s="1"/>
  <c r="M656" i="13"/>
  <c r="L656" i="13"/>
  <c r="G656" i="13"/>
  <c r="H656" i="13" s="1"/>
  <c r="M655" i="13"/>
  <c r="L655" i="13"/>
  <c r="G655" i="13"/>
  <c r="H655" i="13" s="1"/>
  <c r="M654" i="13"/>
  <c r="L654" i="13"/>
  <c r="H654" i="13"/>
  <c r="G654" i="13"/>
  <c r="M653" i="13"/>
  <c r="L653" i="13"/>
  <c r="H653" i="13"/>
  <c r="G653" i="13"/>
  <c r="M652" i="13"/>
  <c r="H652" i="13"/>
  <c r="G652" i="13"/>
  <c r="M651" i="13"/>
  <c r="L651" i="13"/>
  <c r="G651" i="13"/>
  <c r="H651" i="13" s="1"/>
  <c r="M650" i="13"/>
  <c r="L650" i="13"/>
  <c r="G650" i="13"/>
  <c r="H650" i="13" s="1"/>
  <c r="M649" i="13"/>
  <c r="L649" i="13"/>
  <c r="G649" i="13"/>
  <c r="H649" i="13" s="1"/>
  <c r="M648" i="13"/>
  <c r="L648" i="13"/>
  <c r="G648" i="13"/>
  <c r="H648" i="13" s="1"/>
  <c r="M647" i="13"/>
  <c r="L647" i="13"/>
  <c r="G647" i="13"/>
  <c r="H647" i="13" s="1"/>
  <c r="M646" i="13"/>
  <c r="H646" i="13"/>
  <c r="G646" i="13"/>
  <c r="M645" i="13"/>
  <c r="L645" i="13"/>
  <c r="H645" i="13"/>
  <c r="G645" i="13"/>
  <c r="M644" i="13"/>
  <c r="L644" i="13"/>
  <c r="G644" i="13"/>
  <c r="H644" i="13" s="1"/>
  <c r="M643" i="13"/>
  <c r="L643" i="13"/>
  <c r="G643" i="13"/>
  <c r="H643" i="13" s="1"/>
  <c r="M642" i="13"/>
  <c r="L642" i="13"/>
  <c r="G642" i="13"/>
  <c r="H642" i="13" s="1"/>
  <c r="M641" i="13"/>
  <c r="L641" i="13"/>
  <c r="G641" i="13"/>
  <c r="H641" i="13" s="1"/>
  <c r="M640" i="13"/>
  <c r="H640" i="13"/>
  <c r="G640" i="13"/>
  <c r="M639" i="13"/>
  <c r="L639" i="13"/>
  <c r="G639" i="13"/>
  <c r="H639" i="13" s="1"/>
  <c r="M638" i="13"/>
  <c r="L638" i="13"/>
  <c r="H638" i="13"/>
  <c r="G638" i="13"/>
  <c r="M637" i="13"/>
  <c r="L637" i="13"/>
  <c r="H637" i="13"/>
  <c r="G637" i="13"/>
  <c r="M636" i="13"/>
  <c r="L636" i="13"/>
  <c r="H636" i="13"/>
  <c r="G636" i="13"/>
  <c r="M635" i="13"/>
  <c r="L635" i="13"/>
  <c r="G635" i="13"/>
  <c r="H635" i="13" s="1"/>
  <c r="M634" i="13"/>
  <c r="G634" i="13"/>
  <c r="H634" i="13" s="1"/>
  <c r="M633" i="13"/>
  <c r="L633" i="13"/>
  <c r="G633" i="13"/>
  <c r="H633" i="13" s="1"/>
  <c r="M632" i="13"/>
  <c r="L632" i="13"/>
  <c r="G632" i="13"/>
  <c r="H632" i="13" s="1"/>
  <c r="M631" i="13"/>
  <c r="L631" i="13"/>
  <c r="G631" i="13"/>
  <c r="H631" i="13" s="1"/>
  <c r="M630" i="13"/>
  <c r="L630" i="13"/>
  <c r="H630" i="13"/>
  <c r="G630" i="13"/>
  <c r="M629" i="13"/>
  <c r="L629" i="13"/>
  <c r="G629" i="13"/>
  <c r="H629" i="13" s="1"/>
  <c r="M628" i="13"/>
  <c r="H628" i="13"/>
  <c r="G628" i="13"/>
  <c r="M627" i="13"/>
  <c r="L627" i="13"/>
  <c r="G627" i="13"/>
  <c r="H627" i="13" s="1"/>
  <c r="M626" i="13"/>
  <c r="L626" i="13"/>
  <c r="H626" i="13"/>
  <c r="G626" i="13"/>
  <c r="M625" i="13"/>
  <c r="L625" i="13"/>
  <c r="G625" i="13"/>
  <c r="H625" i="13" s="1"/>
  <c r="M624" i="13"/>
  <c r="L624" i="13"/>
  <c r="G624" i="13"/>
  <c r="H624" i="13" s="1"/>
  <c r="M623" i="13"/>
  <c r="L623" i="13"/>
  <c r="G623" i="13"/>
  <c r="H623" i="13" s="1"/>
  <c r="M622" i="13"/>
  <c r="G622" i="13"/>
  <c r="H622" i="13" s="1"/>
  <c r="M621" i="13"/>
  <c r="L621" i="13"/>
  <c r="G621" i="13"/>
  <c r="H621" i="13" s="1"/>
  <c r="M620" i="13"/>
  <c r="L620" i="13"/>
  <c r="G620" i="13"/>
  <c r="H620" i="13" s="1"/>
  <c r="M619" i="13"/>
  <c r="L619" i="13"/>
  <c r="G619" i="13"/>
  <c r="H619" i="13" s="1"/>
  <c r="M618" i="13"/>
  <c r="L618" i="13"/>
  <c r="H618" i="13"/>
  <c r="G618" i="13"/>
  <c r="M617" i="13"/>
  <c r="L617" i="13"/>
  <c r="H617" i="13"/>
  <c r="G617" i="13"/>
  <c r="M616" i="13"/>
  <c r="G616" i="13"/>
  <c r="H616" i="13" s="1"/>
  <c r="M615" i="13"/>
  <c r="L615" i="13"/>
  <c r="G615" i="13"/>
  <c r="H615" i="13" s="1"/>
  <c r="M614" i="13"/>
  <c r="L614" i="13"/>
  <c r="G614" i="13"/>
  <c r="H614" i="13" s="1"/>
  <c r="M613" i="13"/>
  <c r="L613" i="13"/>
  <c r="G613" i="13"/>
  <c r="H613" i="13" s="1"/>
  <c r="M612" i="13"/>
  <c r="L612" i="13"/>
  <c r="G612" i="13"/>
  <c r="H612" i="13" s="1"/>
  <c r="M611" i="13"/>
  <c r="L611" i="13"/>
  <c r="G611" i="13"/>
  <c r="H611" i="13" s="1"/>
  <c r="M610" i="13"/>
  <c r="H610" i="13"/>
  <c r="G610" i="13"/>
  <c r="M609" i="13"/>
  <c r="L609" i="13"/>
  <c r="G609" i="13"/>
  <c r="H609" i="13" s="1"/>
  <c r="M608" i="13"/>
  <c r="L608" i="13"/>
  <c r="G608" i="13"/>
  <c r="H608" i="13" s="1"/>
  <c r="M607" i="13"/>
  <c r="L607" i="13"/>
  <c r="G607" i="13"/>
  <c r="H607" i="13" s="1"/>
  <c r="M606" i="13"/>
  <c r="L606" i="13"/>
  <c r="G606" i="13"/>
  <c r="H606" i="13" s="1"/>
  <c r="M605" i="13"/>
  <c r="L605" i="13"/>
  <c r="G605" i="13"/>
  <c r="H605" i="13" s="1"/>
  <c r="M604" i="13"/>
  <c r="G604" i="13"/>
  <c r="H604" i="13" s="1"/>
  <c r="M603" i="13"/>
  <c r="L603" i="13"/>
  <c r="G603" i="13"/>
  <c r="H603" i="13" s="1"/>
  <c r="M602" i="13"/>
  <c r="L602" i="13"/>
  <c r="G602" i="13"/>
  <c r="H602" i="13" s="1"/>
  <c r="M601" i="13"/>
  <c r="L601" i="13"/>
  <c r="G601" i="13"/>
  <c r="H601" i="13" s="1"/>
  <c r="M600" i="13"/>
  <c r="L600" i="13"/>
  <c r="H600" i="13"/>
  <c r="G600" i="13"/>
  <c r="M599" i="13"/>
  <c r="L599" i="13"/>
  <c r="H599" i="13"/>
  <c r="G599" i="13"/>
  <c r="M598" i="13"/>
  <c r="G598" i="13"/>
  <c r="H598" i="13" s="1"/>
  <c r="M597" i="13"/>
  <c r="L597" i="13"/>
  <c r="G597" i="13"/>
  <c r="H597" i="13" s="1"/>
  <c r="M596" i="13"/>
  <c r="L596" i="13"/>
  <c r="G596" i="13"/>
  <c r="H596" i="13" s="1"/>
  <c r="M595" i="13"/>
  <c r="L595" i="13"/>
  <c r="G595" i="13"/>
  <c r="H595" i="13" s="1"/>
  <c r="M594" i="13"/>
  <c r="L594" i="13"/>
  <c r="G594" i="13"/>
  <c r="H594" i="13" s="1"/>
  <c r="M593" i="13"/>
  <c r="L593" i="13"/>
  <c r="G593" i="13"/>
  <c r="H593" i="13" s="1"/>
  <c r="M592" i="13"/>
  <c r="H592" i="13"/>
  <c r="G592" i="13"/>
  <c r="M591" i="13"/>
  <c r="L591" i="13"/>
  <c r="H591" i="13"/>
  <c r="G591" i="13"/>
  <c r="M590" i="13"/>
  <c r="G590" i="13"/>
  <c r="H590" i="13" s="1"/>
  <c r="M589" i="13"/>
  <c r="L589" i="13"/>
  <c r="G589" i="13"/>
  <c r="H589" i="13" s="1"/>
  <c r="M588" i="13"/>
  <c r="G588" i="13"/>
  <c r="H588" i="13" s="1"/>
  <c r="M587" i="13"/>
  <c r="L587" i="13"/>
  <c r="G587" i="13"/>
  <c r="H587" i="13" s="1"/>
  <c r="M586" i="13"/>
  <c r="L586" i="13"/>
  <c r="G586" i="13"/>
  <c r="H586" i="13" s="1"/>
  <c r="M585" i="13"/>
  <c r="L585" i="13"/>
  <c r="G585" i="13"/>
  <c r="H585" i="13" s="1"/>
  <c r="M584" i="13"/>
  <c r="L584" i="13"/>
  <c r="H584" i="13"/>
  <c r="G584" i="13"/>
  <c r="M583" i="13"/>
  <c r="L583" i="13"/>
  <c r="H583" i="13"/>
  <c r="G583" i="13"/>
  <c r="M582" i="13"/>
  <c r="G582" i="13"/>
  <c r="H582" i="13" s="1"/>
  <c r="M581" i="13"/>
  <c r="L581" i="13"/>
  <c r="G581" i="13"/>
  <c r="H581" i="13" s="1"/>
  <c r="M580" i="13"/>
  <c r="L580" i="13"/>
  <c r="G580" i="13"/>
  <c r="H580" i="13" s="1"/>
  <c r="M579" i="13"/>
  <c r="L579" i="13"/>
  <c r="G579" i="13"/>
  <c r="H579" i="13" s="1"/>
  <c r="M578" i="13"/>
  <c r="L578" i="13"/>
  <c r="G578" i="13"/>
  <c r="H578" i="13" s="1"/>
  <c r="M577" i="13"/>
  <c r="L577" i="13"/>
  <c r="G577" i="13"/>
  <c r="H577" i="13" s="1"/>
  <c r="M576" i="13"/>
  <c r="H576" i="13"/>
  <c r="G576" i="13"/>
  <c r="M575" i="13"/>
  <c r="L575" i="13"/>
  <c r="H575" i="13"/>
  <c r="G575" i="13"/>
  <c r="M574" i="13"/>
  <c r="L574" i="13"/>
  <c r="G574" i="13"/>
  <c r="H574" i="13" s="1"/>
  <c r="M573" i="13"/>
  <c r="L573" i="13"/>
  <c r="G573" i="13"/>
  <c r="H573" i="13" s="1"/>
  <c r="M572" i="13"/>
  <c r="L572" i="13"/>
  <c r="H572" i="13"/>
  <c r="G572" i="13"/>
  <c r="M571" i="13"/>
  <c r="L571" i="13"/>
  <c r="H571" i="13"/>
  <c r="G571" i="13"/>
  <c r="M570" i="13"/>
  <c r="G570" i="13"/>
  <c r="H570" i="13" s="1"/>
  <c r="M569" i="13"/>
  <c r="L569" i="13"/>
  <c r="G569" i="13"/>
  <c r="H569" i="13" s="1"/>
  <c r="M568" i="13"/>
  <c r="L568" i="13"/>
  <c r="G568" i="13"/>
  <c r="H568" i="13" s="1"/>
  <c r="M567" i="13"/>
  <c r="L567" i="13"/>
  <c r="G567" i="13"/>
  <c r="H567" i="13" s="1"/>
  <c r="M566" i="13"/>
  <c r="L566" i="13"/>
  <c r="G566" i="13"/>
  <c r="H566" i="13" s="1"/>
  <c r="M565" i="13"/>
  <c r="L565" i="13"/>
  <c r="G565" i="13"/>
  <c r="H565" i="13" s="1"/>
  <c r="M564" i="13"/>
  <c r="H564" i="13"/>
  <c r="G564" i="13"/>
  <c r="M563" i="13"/>
  <c r="L563" i="13"/>
  <c r="G563" i="13"/>
  <c r="H563" i="13" s="1"/>
  <c r="M562" i="13"/>
  <c r="L562" i="13"/>
  <c r="G562" i="13"/>
  <c r="H562" i="13" s="1"/>
  <c r="M561" i="13"/>
  <c r="L561" i="13"/>
  <c r="G561" i="13"/>
  <c r="H561" i="13" s="1"/>
  <c r="M560" i="13"/>
  <c r="L560" i="13"/>
  <c r="G560" i="13"/>
  <c r="H560" i="13" s="1"/>
  <c r="M559" i="13"/>
  <c r="H559" i="13"/>
  <c r="G559" i="13"/>
  <c r="M558" i="13"/>
  <c r="L558" i="13"/>
  <c r="G558" i="13"/>
  <c r="H558" i="13" s="1"/>
  <c r="M557" i="13"/>
  <c r="L557" i="13"/>
  <c r="G557" i="13"/>
  <c r="H557" i="13" s="1"/>
  <c r="M556" i="13"/>
  <c r="L556" i="13"/>
  <c r="G556" i="13"/>
  <c r="H556" i="13" s="1"/>
  <c r="M555" i="13"/>
  <c r="L555" i="13"/>
  <c r="G555" i="13"/>
  <c r="H555" i="13" s="1"/>
  <c r="M554" i="13"/>
  <c r="L554" i="13"/>
  <c r="G554" i="13"/>
  <c r="H554" i="13" s="1"/>
  <c r="M553" i="13"/>
  <c r="G553" i="13"/>
  <c r="H553" i="13" s="1"/>
  <c r="M552" i="13"/>
  <c r="L552" i="13"/>
  <c r="G552" i="13"/>
  <c r="H552" i="13" s="1"/>
  <c r="M551" i="13"/>
  <c r="L551" i="13"/>
  <c r="G551" i="13"/>
  <c r="H551" i="13" s="1"/>
  <c r="M550" i="13"/>
  <c r="G550" i="13"/>
  <c r="H550" i="13" s="1"/>
  <c r="M549" i="13"/>
  <c r="L549" i="13"/>
  <c r="G549" i="13"/>
  <c r="H549" i="13" s="1"/>
  <c r="M548" i="13"/>
  <c r="L548" i="13"/>
  <c r="G548" i="13"/>
  <c r="H548" i="13" s="1"/>
  <c r="M547" i="13"/>
  <c r="L547" i="13"/>
  <c r="G547" i="13"/>
  <c r="H547" i="13" s="1"/>
  <c r="M546" i="13"/>
  <c r="L546" i="13"/>
  <c r="G546" i="13"/>
  <c r="H546" i="13" s="1"/>
  <c r="M545" i="13"/>
  <c r="L545" i="13"/>
  <c r="G545" i="13"/>
  <c r="H545" i="13" s="1"/>
  <c r="M544" i="13"/>
  <c r="G544" i="13"/>
  <c r="H544" i="13" s="1"/>
  <c r="M543" i="13"/>
  <c r="L543" i="13"/>
  <c r="G543" i="13"/>
  <c r="H543" i="13" s="1"/>
  <c r="M542" i="13"/>
  <c r="L542" i="13"/>
  <c r="G542" i="13"/>
  <c r="H542" i="13" s="1"/>
  <c r="M541" i="13"/>
  <c r="L541" i="13"/>
  <c r="G541" i="13"/>
  <c r="H541" i="13" s="1"/>
  <c r="M540" i="13"/>
  <c r="G540" i="13"/>
  <c r="H540" i="13" s="1"/>
  <c r="M539" i="13"/>
  <c r="L539" i="13"/>
  <c r="G539" i="13"/>
  <c r="H539" i="13" s="1"/>
  <c r="M538" i="13"/>
  <c r="L538" i="13"/>
  <c r="H538" i="13"/>
  <c r="G538" i="13"/>
  <c r="M537" i="13"/>
  <c r="L537" i="13"/>
  <c r="G537" i="13"/>
  <c r="H537" i="13" s="1"/>
  <c r="M536" i="13"/>
  <c r="L536" i="13"/>
  <c r="G536" i="13"/>
  <c r="H536" i="13" s="1"/>
  <c r="M535" i="13"/>
  <c r="L535" i="13"/>
  <c r="G535" i="13"/>
  <c r="H535" i="13" s="1"/>
  <c r="M534" i="13"/>
  <c r="G534" i="13"/>
  <c r="H534" i="13" s="1"/>
  <c r="M533" i="13"/>
  <c r="L533" i="13"/>
  <c r="G533" i="13"/>
  <c r="H533" i="13" s="1"/>
  <c r="M532" i="13"/>
  <c r="L532" i="13"/>
  <c r="H532" i="13"/>
  <c r="G532" i="13"/>
  <c r="M531" i="13"/>
  <c r="L531" i="13"/>
  <c r="G531" i="13"/>
  <c r="H531" i="13" s="1"/>
  <c r="M530" i="13"/>
  <c r="L530" i="13"/>
  <c r="G530" i="13"/>
  <c r="H530" i="13" s="1"/>
  <c r="M529" i="13"/>
  <c r="L529" i="13"/>
  <c r="G529" i="13"/>
  <c r="H529" i="13" s="1"/>
  <c r="M528" i="13"/>
  <c r="G528" i="13"/>
  <c r="H528" i="13" s="1"/>
  <c r="M527" i="13"/>
  <c r="L527" i="13"/>
  <c r="G527" i="13"/>
  <c r="H527" i="13" s="1"/>
  <c r="M526" i="13"/>
  <c r="L526" i="13"/>
  <c r="H526" i="13"/>
  <c r="G526" i="13"/>
  <c r="M525" i="13"/>
  <c r="L525" i="13"/>
  <c r="G525" i="13"/>
  <c r="H525" i="13" s="1"/>
  <c r="M524" i="13"/>
  <c r="L524" i="13"/>
  <c r="G524" i="13"/>
  <c r="H524" i="13" s="1"/>
  <c r="M523" i="13"/>
  <c r="L523" i="13"/>
  <c r="G523" i="13"/>
  <c r="H523" i="13" s="1"/>
  <c r="M522" i="13"/>
  <c r="H522" i="13"/>
  <c r="G522" i="13"/>
  <c r="M521" i="13"/>
  <c r="L521" i="13"/>
  <c r="G521" i="13"/>
  <c r="H521" i="13" s="1"/>
  <c r="M520" i="13"/>
  <c r="L520" i="13"/>
  <c r="H520" i="13"/>
  <c r="G520" i="13"/>
  <c r="M519" i="13"/>
  <c r="L519" i="13"/>
  <c r="G519" i="13"/>
  <c r="H519" i="13" s="1"/>
  <c r="M518" i="13"/>
  <c r="L518" i="13"/>
  <c r="G518" i="13"/>
  <c r="H518" i="13" s="1"/>
  <c r="M517" i="13"/>
  <c r="L517" i="13"/>
  <c r="G517" i="13"/>
  <c r="H517" i="13" s="1"/>
  <c r="M516" i="13"/>
  <c r="H516" i="13"/>
  <c r="G516" i="13"/>
  <c r="M515" i="13"/>
  <c r="L515" i="13"/>
  <c r="G515" i="13"/>
  <c r="H515" i="13" s="1"/>
  <c r="M514" i="13"/>
  <c r="L514" i="13"/>
  <c r="H514" i="13"/>
  <c r="G514" i="13"/>
  <c r="M513" i="13"/>
  <c r="L513" i="13"/>
  <c r="G513" i="13"/>
  <c r="H513" i="13" s="1"/>
  <c r="M512" i="13"/>
  <c r="L512" i="13"/>
  <c r="G512" i="13"/>
  <c r="H512" i="13" s="1"/>
  <c r="M511" i="13"/>
  <c r="L511" i="13"/>
  <c r="G511" i="13"/>
  <c r="H511" i="13" s="1"/>
  <c r="M510" i="13"/>
  <c r="H510" i="13"/>
  <c r="G510" i="13"/>
  <c r="M509" i="13"/>
  <c r="L509" i="13"/>
  <c r="G509" i="13"/>
  <c r="H509" i="13" s="1"/>
  <c r="M508" i="13"/>
  <c r="L508" i="13"/>
  <c r="H508" i="13"/>
  <c r="G508" i="13"/>
  <c r="M507" i="13"/>
  <c r="L507" i="13"/>
  <c r="G507" i="13"/>
  <c r="H507" i="13" s="1"/>
  <c r="M506" i="13"/>
  <c r="L506" i="13"/>
  <c r="G506" i="13"/>
  <c r="H506" i="13" s="1"/>
  <c r="M505" i="13"/>
  <c r="L505" i="13"/>
  <c r="G505" i="13"/>
  <c r="H505" i="13" s="1"/>
  <c r="M504" i="13"/>
  <c r="H504" i="13"/>
  <c r="G504" i="13"/>
  <c r="M503" i="13"/>
  <c r="L503" i="13"/>
  <c r="G503" i="13"/>
  <c r="H503" i="13" s="1"/>
  <c r="G502" i="13"/>
  <c r="H502" i="13" s="1"/>
  <c r="L501" i="13"/>
  <c r="G501" i="13"/>
  <c r="H501" i="13" s="1"/>
  <c r="G500" i="13"/>
  <c r="H500" i="13" s="1"/>
  <c r="L499" i="13"/>
  <c r="G499" i="13"/>
  <c r="H499" i="13" s="1"/>
  <c r="G498" i="13"/>
  <c r="H498" i="13" s="1"/>
  <c r="L497" i="13"/>
  <c r="G497" i="13"/>
  <c r="H497" i="13" s="1"/>
  <c r="G496" i="13"/>
  <c r="H496" i="13" s="1"/>
  <c r="L495" i="13"/>
  <c r="G495" i="13"/>
  <c r="H495" i="13" s="1"/>
  <c r="G494" i="13"/>
  <c r="H494" i="13" s="1"/>
  <c r="L493" i="13"/>
  <c r="G493" i="13"/>
  <c r="H493" i="13" s="1"/>
  <c r="L492" i="13"/>
  <c r="G492" i="13"/>
  <c r="H492" i="13" s="1"/>
  <c r="L491" i="13"/>
  <c r="G491" i="13"/>
  <c r="H491" i="13" s="1"/>
  <c r="L490" i="13"/>
  <c r="G490" i="13"/>
  <c r="H490" i="13" s="1"/>
  <c r="L489" i="13"/>
  <c r="G489" i="13"/>
  <c r="H489" i="13" s="1"/>
  <c r="G488" i="13"/>
  <c r="H488" i="13" s="1"/>
  <c r="L487" i="13"/>
  <c r="G487" i="13"/>
  <c r="H487" i="13" s="1"/>
  <c r="L486" i="13"/>
  <c r="G486" i="13"/>
  <c r="H486" i="13" s="1"/>
  <c r="L485" i="13"/>
  <c r="G485" i="13"/>
  <c r="H485" i="13" s="1"/>
  <c r="L484" i="13"/>
  <c r="G484" i="13"/>
  <c r="H484" i="13" s="1"/>
  <c r="L483" i="13"/>
  <c r="G483" i="13"/>
  <c r="H483" i="13" s="1"/>
  <c r="G482" i="13"/>
  <c r="H482" i="13" s="1"/>
  <c r="L481" i="13"/>
  <c r="G481" i="13"/>
  <c r="H481" i="13" s="1"/>
  <c r="L480" i="13"/>
  <c r="G480" i="13"/>
  <c r="H480" i="13" s="1"/>
  <c r="L479" i="13"/>
  <c r="G479" i="13"/>
  <c r="H479" i="13" s="1"/>
  <c r="L478" i="13"/>
  <c r="G478" i="13"/>
  <c r="H478" i="13" s="1"/>
  <c r="L477" i="13"/>
  <c r="G477" i="13"/>
  <c r="H477" i="13" s="1"/>
  <c r="G476" i="13"/>
  <c r="H476" i="13" s="1"/>
  <c r="L475" i="13"/>
  <c r="G475" i="13"/>
  <c r="H475" i="13" s="1"/>
  <c r="L474" i="13"/>
  <c r="G474" i="13"/>
  <c r="H474" i="13" s="1"/>
  <c r="L473" i="13"/>
  <c r="G473" i="13"/>
  <c r="H473" i="13" s="1"/>
  <c r="L472" i="13"/>
  <c r="G472" i="13"/>
  <c r="H472" i="13" s="1"/>
  <c r="L471" i="13"/>
  <c r="H471" i="13"/>
  <c r="G471" i="13"/>
  <c r="G470" i="13"/>
  <c r="H470" i="13" s="1"/>
  <c r="L469" i="13"/>
  <c r="G469" i="13"/>
  <c r="H469" i="13" s="1"/>
  <c r="L468" i="13"/>
  <c r="G468" i="13"/>
  <c r="H468" i="13" s="1"/>
  <c r="L467" i="13"/>
  <c r="H467" i="13"/>
  <c r="G467" i="13"/>
  <c r="L466" i="13"/>
  <c r="G466" i="13"/>
  <c r="H466" i="13" s="1"/>
  <c r="L465" i="13"/>
  <c r="G465" i="13"/>
  <c r="H465" i="13" s="1"/>
  <c r="G464" i="13"/>
  <c r="H464" i="13" s="1"/>
  <c r="L463" i="13"/>
  <c r="H463" i="13"/>
  <c r="G463" i="13"/>
  <c r="L462" i="13"/>
  <c r="G462" i="13"/>
  <c r="H462" i="13" s="1"/>
  <c r="L461" i="13"/>
  <c r="G461" i="13"/>
  <c r="H461" i="13" s="1"/>
  <c r="L460" i="13"/>
  <c r="G460" i="13"/>
  <c r="H460" i="13" s="1"/>
  <c r="L459" i="13"/>
  <c r="H459" i="13"/>
  <c r="G459" i="13"/>
  <c r="G458" i="13"/>
  <c r="H458" i="13" s="1"/>
  <c r="L457" i="13"/>
  <c r="G457" i="13"/>
  <c r="H457" i="13" s="1"/>
  <c r="L456" i="13"/>
  <c r="G456" i="13"/>
  <c r="H456" i="13" s="1"/>
  <c r="L455" i="13"/>
  <c r="H455" i="13"/>
  <c r="G455" i="13"/>
  <c r="L454" i="13"/>
  <c r="G454" i="13"/>
  <c r="H454" i="13" s="1"/>
  <c r="G453" i="13"/>
  <c r="H453" i="13" s="1"/>
  <c r="L452" i="13"/>
  <c r="G452" i="13"/>
  <c r="H452" i="13" s="1"/>
  <c r="L451" i="13"/>
  <c r="H451" i="13"/>
  <c r="G451" i="13"/>
  <c r="L450" i="13"/>
  <c r="G450" i="13"/>
  <c r="H450" i="13" s="1"/>
  <c r="L449" i="13"/>
  <c r="G449" i="13"/>
  <c r="H449" i="13" s="1"/>
  <c r="L448" i="13"/>
  <c r="G448" i="13"/>
  <c r="H448" i="13" s="1"/>
  <c r="H447" i="13"/>
  <c r="G447" i="13"/>
  <c r="L446" i="13"/>
  <c r="G446" i="13"/>
  <c r="H446" i="13" s="1"/>
  <c r="L445" i="13"/>
  <c r="G445" i="13"/>
  <c r="H445" i="13" s="1"/>
  <c r="L444" i="13"/>
  <c r="G444" i="13"/>
  <c r="H444" i="13" s="1"/>
  <c r="L443" i="13"/>
  <c r="G443" i="13"/>
  <c r="H443" i="13" s="1"/>
  <c r="G442" i="13"/>
  <c r="H442" i="13" s="1"/>
  <c r="L441" i="13"/>
  <c r="G441" i="13"/>
  <c r="H441" i="13" s="1"/>
  <c r="L440" i="13"/>
  <c r="G440" i="13"/>
  <c r="H440" i="13" s="1"/>
  <c r="L439" i="13"/>
  <c r="G439" i="13"/>
  <c r="H439" i="13" s="1"/>
  <c r="L438" i="13"/>
  <c r="G438" i="13"/>
  <c r="H438" i="13" s="1"/>
  <c r="L437" i="13"/>
  <c r="G437" i="13"/>
  <c r="H437" i="13" s="1"/>
  <c r="L436" i="13"/>
  <c r="G436" i="13"/>
  <c r="H436" i="13" s="1"/>
  <c r="L435" i="13"/>
  <c r="G435" i="13"/>
  <c r="H435" i="13" s="1"/>
  <c r="L434" i="13"/>
  <c r="G434" i="13"/>
  <c r="H434" i="13" s="1"/>
  <c r="G433" i="13"/>
  <c r="H433" i="13" s="1"/>
  <c r="L432" i="13"/>
  <c r="G432" i="13"/>
  <c r="H432" i="13" s="1"/>
  <c r="L431" i="13"/>
  <c r="G431" i="13"/>
  <c r="H431" i="13" s="1"/>
  <c r="L430" i="13"/>
  <c r="G430" i="13"/>
  <c r="H430" i="13" s="1"/>
  <c r="L429" i="13"/>
  <c r="G429" i="13"/>
  <c r="H429" i="13" s="1"/>
  <c r="G428" i="13"/>
  <c r="H428" i="13" s="1"/>
  <c r="L427" i="13"/>
  <c r="G427" i="13"/>
  <c r="H427" i="13" s="1"/>
  <c r="L426" i="13"/>
  <c r="G426" i="13"/>
  <c r="H426" i="13" s="1"/>
  <c r="L425" i="13"/>
  <c r="G425" i="13"/>
  <c r="H425" i="13" s="1"/>
  <c r="L424" i="13"/>
  <c r="G424" i="13"/>
  <c r="H424" i="13" s="1"/>
  <c r="L423" i="13"/>
  <c r="H423" i="13"/>
  <c r="G423" i="13"/>
  <c r="L422" i="13"/>
  <c r="G422" i="13"/>
  <c r="H422" i="13" s="1"/>
  <c r="L421" i="13"/>
  <c r="G421" i="13"/>
  <c r="H421" i="13" s="1"/>
  <c r="L420" i="13"/>
  <c r="G420" i="13"/>
  <c r="H420" i="13" s="1"/>
  <c r="L419" i="13"/>
  <c r="H419" i="13"/>
  <c r="G419" i="13"/>
  <c r="L418" i="13"/>
  <c r="G418" i="13"/>
  <c r="H418" i="13" s="1"/>
  <c r="L417" i="13"/>
  <c r="G417" i="13"/>
  <c r="H417" i="13" s="1"/>
  <c r="L416" i="13"/>
  <c r="G416" i="13"/>
  <c r="H416" i="13" s="1"/>
  <c r="L415" i="13"/>
  <c r="G415" i="13"/>
  <c r="H415" i="13" s="1"/>
  <c r="G414" i="13"/>
  <c r="H414" i="13" s="1"/>
  <c r="L413" i="13"/>
  <c r="G413" i="13"/>
  <c r="H413" i="13" s="1"/>
  <c r="L412" i="13"/>
  <c r="G412" i="13"/>
  <c r="H412" i="13" s="1"/>
  <c r="L411" i="13"/>
  <c r="G411" i="13"/>
  <c r="H411" i="13" s="1"/>
  <c r="L410" i="13"/>
  <c r="G410" i="13"/>
  <c r="H410" i="13" s="1"/>
  <c r="L409" i="13"/>
  <c r="G409" i="13"/>
  <c r="H409" i="13" s="1"/>
  <c r="L408" i="13"/>
  <c r="G408" i="13"/>
  <c r="H408" i="13" s="1"/>
  <c r="L407" i="13"/>
  <c r="H407" i="13"/>
  <c r="G407" i="13"/>
  <c r="L406" i="13"/>
  <c r="G406" i="13"/>
  <c r="H406" i="13" s="1"/>
  <c r="H405" i="13"/>
  <c r="G405" i="13"/>
  <c r="L404" i="13"/>
  <c r="G404" i="13"/>
  <c r="H404" i="13" s="1"/>
  <c r="L403" i="13"/>
  <c r="G403" i="13"/>
  <c r="H403" i="13" s="1"/>
  <c r="L402" i="13"/>
  <c r="G402" i="13"/>
  <c r="H402" i="13" s="1"/>
  <c r="L401" i="13"/>
  <c r="G401" i="13"/>
  <c r="H401" i="13" s="1"/>
  <c r="L400" i="13"/>
  <c r="G400" i="13"/>
  <c r="H400" i="13" s="1"/>
  <c r="G399" i="13"/>
  <c r="H399" i="13" s="1"/>
  <c r="L398" i="13"/>
  <c r="G398" i="13"/>
  <c r="H398" i="13" s="1"/>
  <c r="L397" i="13"/>
  <c r="G397" i="13"/>
  <c r="H397" i="13" s="1"/>
  <c r="L396" i="13"/>
  <c r="G396" i="13"/>
  <c r="H396" i="13" s="1"/>
  <c r="L395" i="13"/>
  <c r="H395" i="13"/>
  <c r="G395" i="13"/>
  <c r="L394" i="13"/>
  <c r="G394" i="13"/>
  <c r="H394" i="13" s="1"/>
  <c r="H393" i="13"/>
  <c r="G393" i="13"/>
  <c r="L392" i="13"/>
  <c r="G392" i="13"/>
  <c r="H392" i="13" s="1"/>
  <c r="L391" i="13"/>
  <c r="H391" i="13"/>
  <c r="G391" i="13"/>
  <c r="L390" i="13"/>
  <c r="G390" i="13"/>
  <c r="H390" i="13" s="1"/>
  <c r="G389" i="13"/>
  <c r="H389" i="13" s="1"/>
  <c r="L388" i="13"/>
  <c r="G388" i="13"/>
  <c r="H388" i="13" s="1"/>
  <c r="L387" i="13"/>
  <c r="G387" i="13"/>
  <c r="H387" i="13" s="1"/>
  <c r="G386" i="13"/>
  <c r="H386" i="13" s="1"/>
  <c r="L385" i="13"/>
  <c r="G385" i="13"/>
  <c r="H385" i="13" s="1"/>
  <c r="L384" i="13"/>
  <c r="G384" i="13"/>
  <c r="H384" i="13" s="1"/>
  <c r="L383" i="13"/>
  <c r="G383" i="13"/>
  <c r="H383" i="13" s="1"/>
  <c r="G382" i="13"/>
  <c r="H382" i="13" s="1"/>
  <c r="L381" i="13"/>
  <c r="G381" i="13"/>
  <c r="H381" i="13" s="1"/>
  <c r="L380" i="13"/>
  <c r="G380" i="13"/>
  <c r="H380" i="13" s="1"/>
  <c r="L379" i="13"/>
  <c r="H379" i="13"/>
  <c r="G379" i="13"/>
  <c r="L378" i="13"/>
  <c r="G378" i="13"/>
  <c r="H378" i="13" s="1"/>
  <c r="L377" i="13"/>
  <c r="H377" i="13"/>
  <c r="G377" i="13"/>
  <c r="L376" i="13"/>
  <c r="G376" i="13"/>
  <c r="H376" i="13" s="1"/>
  <c r="L375" i="13"/>
  <c r="G375" i="13"/>
  <c r="H375" i="13" s="1"/>
  <c r="L374" i="13"/>
  <c r="G374" i="13"/>
  <c r="H374" i="13" s="1"/>
  <c r="L373" i="13"/>
  <c r="G373" i="13"/>
  <c r="H373" i="13" s="1"/>
  <c r="G372" i="13"/>
  <c r="H372" i="13" s="1"/>
  <c r="L371" i="13"/>
  <c r="G371" i="13"/>
  <c r="H371" i="13" s="1"/>
  <c r="L370" i="13"/>
  <c r="G370" i="13"/>
  <c r="H370" i="13" s="1"/>
  <c r="L369" i="13"/>
  <c r="H369" i="13"/>
  <c r="G369" i="13"/>
  <c r="L368" i="13"/>
  <c r="G368" i="13"/>
  <c r="H368" i="13" s="1"/>
  <c r="L367" i="13"/>
  <c r="H367" i="13"/>
  <c r="G367" i="13"/>
  <c r="G366" i="13"/>
  <c r="H366" i="13" s="1"/>
  <c r="L365" i="13"/>
  <c r="H365" i="13"/>
  <c r="G365" i="13"/>
  <c r="L364" i="13"/>
  <c r="G364" i="13"/>
  <c r="H364" i="13" s="1"/>
  <c r="L363" i="13"/>
  <c r="G363" i="13"/>
  <c r="H363" i="13" s="1"/>
  <c r="G362" i="13"/>
  <c r="H362" i="13" s="1"/>
  <c r="L361" i="13"/>
  <c r="G361" i="13"/>
  <c r="H361" i="13" s="1"/>
  <c r="L360" i="13"/>
  <c r="G360" i="13"/>
  <c r="H360" i="13" s="1"/>
  <c r="G359" i="13"/>
  <c r="H359" i="13" s="1"/>
  <c r="L358" i="13"/>
  <c r="G358" i="13"/>
  <c r="H358" i="13" s="1"/>
  <c r="L357" i="13"/>
  <c r="G357" i="13"/>
  <c r="H357" i="13" s="1"/>
  <c r="G356" i="13"/>
  <c r="H356" i="13" s="1"/>
  <c r="L355" i="13"/>
  <c r="G355" i="13"/>
  <c r="H355" i="13" s="1"/>
  <c r="L354" i="13"/>
  <c r="G354" i="13"/>
  <c r="H354" i="13" s="1"/>
  <c r="L353" i="13"/>
  <c r="H353" i="13"/>
  <c r="G353" i="13"/>
  <c r="L352" i="13"/>
  <c r="G352" i="13"/>
  <c r="H352" i="13" s="1"/>
  <c r="L351" i="13"/>
  <c r="H351" i="13"/>
  <c r="G351" i="13"/>
  <c r="G350" i="13"/>
  <c r="H350" i="13" s="1"/>
  <c r="L349" i="13"/>
  <c r="H349" i="13"/>
  <c r="G349" i="13"/>
  <c r="L348" i="13"/>
  <c r="G348" i="13"/>
  <c r="H348" i="13" s="1"/>
  <c r="G347" i="13"/>
  <c r="H347" i="13" s="1"/>
  <c r="L346" i="13"/>
  <c r="G346" i="13"/>
  <c r="H346" i="13" s="1"/>
  <c r="L345" i="13"/>
  <c r="G345" i="13"/>
  <c r="H345" i="13" s="1"/>
  <c r="L344" i="13"/>
  <c r="G344" i="13"/>
  <c r="H344" i="13" s="1"/>
  <c r="L343" i="13"/>
  <c r="G343" i="13"/>
  <c r="H343" i="13" s="1"/>
  <c r="L342" i="13"/>
  <c r="G342" i="13"/>
  <c r="H342" i="13" s="1"/>
  <c r="G341" i="13"/>
  <c r="H341" i="13" s="1"/>
  <c r="L340" i="13"/>
  <c r="G340" i="13"/>
  <c r="H340" i="13" s="1"/>
  <c r="L339" i="13"/>
  <c r="H339" i="13"/>
  <c r="G339" i="13"/>
  <c r="L338" i="13"/>
  <c r="G338" i="13"/>
  <c r="H338" i="13" s="1"/>
  <c r="L337" i="13"/>
  <c r="G337" i="13"/>
  <c r="H337" i="13" s="1"/>
  <c r="L336" i="13"/>
  <c r="G336" i="13"/>
  <c r="H336" i="13" s="1"/>
  <c r="L335" i="13"/>
  <c r="G335" i="13"/>
  <c r="H335" i="13" s="1"/>
  <c r="L334" i="13"/>
  <c r="G334" i="13"/>
  <c r="H334" i="13" s="1"/>
  <c r="G333" i="13"/>
  <c r="H333" i="13" s="1"/>
  <c r="L332" i="13"/>
  <c r="G332" i="13"/>
  <c r="H332" i="13" s="1"/>
  <c r="L331" i="13"/>
  <c r="G331" i="13"/>
  <c r="H331" i="13" s="1"/>
  <c r="G330" i="13"/>
  <c r="H330" i="13" s="1"/>
  <c r="L329" i="13"/>
  <c r="G329" i="13"/>
  <c r="H329" i="13" s="1"/>
  <c r="L328" i="13"/>
  <c r="G328" i="13"/>
  <c r="H328" i="13" s="1"/>
  <c r="L327" i="13"/>
  <c r="H327" i="13"/>
  <c r="G327" i="13"/>
  <c r="L326" i="13"/>
  <c r="G326" i="13"/>
  <c r="H326" i="13" s="1"/>
  <c r="G325" i="13"/>
  <c r="H325" i="13" s="1"/>
  <c r="L324" i="13"/>
  <c r="G324" i="13"/>
  <c r="H324" i="13" s="1"/>
  <c r="L323" i="13"/>
  <c r="H323" i="13"/>
  <c r="G323" i="13"/>
  <c r="L322" i="13"/>
  <c r="H322" i="13"/>
  <c r="G322" i="13"/>
  <c r="L321" i="13"/>
  <c r="G321" i="13"/>
  <c r="H321" i="13" s="1"/>
  <c r="L320" i="13"/>
  <c r="G320" i="13"/>
  <c r="H320" i="13" s="1"/>
  <c r="L319" i="13"/>
  <c r="G319" i="13"/>
  <c r="H319" i="13" s="1"/>
  <c r="L318" i="13"/>
  <c r="G318" i="13"/>
  <c r="H318" i="13" s="1"/>
  <c r="L317" i="13"/>
  <c r="G317" i="13"/>
  <c r="H317" i="13" s="1"/>
  <c r="G316" i="13"/>
  <c r="H316" i="13" s="1"/>
  <c r="L315" i="13"/>
  <c r="H315" i="13"/>
  <c r="G315" i="13"/>
  <c r="L314" i="13"/>
  <c r="G314" i="13"/>
  <c r="H314" i="13" s="1"/>
  <c r="L313" i="13"/>
  <c r="G313" i="13"/>
  <c r="H313" i="13" s="1"/>
  <c r="L312" i="13"/>
  <c r="G312" i="13"/>
  <c r="H312" i="13" s="1"/>
  <c r="H311" i="13"/>
  <c r="G311" i="13"/>
  <c r="L310" i="13"/>
  <c r="H310" i="13"/>
  <c r="G310" i="13"/>
  <c r="G309" i="13"/>
  <c r="H309" i="13" s="1"/>
  <c r="L308" i="13"/>
  <c r="G308" i="13"/>
  <c r="H308" i="13" s="1"/>
  <c r="L307" i="13"/>
  <c r="G307" i="13"/>
  <c r="H307" i="13" s="1"/>
  <c r="L306" i="13"/>
  <c r="H306" i="13"/>
  <c r="G306" i="13"/>
  <c r="L305" i="13"/>
  <c r="G305" i="13"/>
  <c r="H305" i="13" s="1"/>
  <c r="L304" i="13"/>
  <c r="G304" i="13"/>
  <c r="H304" i="13" s="1"/>
  <c r="L303" i="13"/>
  <c r="H303" i="13"/>
  <c r="G303" i="13"/>
  <c r="G302" i="13"/>
  <c r="H302" i="13" s="1"/>
  <c r="L301" i="13"/>
  <c r="G301" i="13"/>
  <c r="H301" i="13" s="1"/>
  <c r="L300" i="13"/>
  <c r="G300" i="13"/>
  <c r="H300" i="13" s="1"/>
  <c r="L299" i="13"/>
  <c r="H299" i="13"/>
  <c r="G299" i="13"/>
  <c r="L298" i="13"/>
  <c r="H298" i="13"/>
  <c r="G298" i="13"/>
  <c r="L297" i="13"/>
  <c r="G297" i="13"/>
  <c r="H297" i="13" s="1"/>
  <c r="L296" i="13"/>
  <c r="G296" i="13"/>
  <c r="H296" i="13" s="1"/>
  <c r="L295" i="13"/>
  <c r="G295" i="13"/>
  <c r="H295" i="13" s="1"/>
  <c r="L294" i="13"/>
  <c r="G294" i="13"/>
  <c r="H294" i="13" s="1"/>
  <c r="L293" i="13"/>
  <c r="G293" i="13"/>
  <c r="H293" i="13" s="1"/>
  <c r="G292" i="13"/>
  <c r="H292" i="13" s="1"/>
  <c r="L291" i="13"/>
  <c r="H291" i="13"/>
  <c r="G291" i="13"/>
  <c r="L290" i="13"/>
  <c r="G290" i="13"/>
  <c r="H290" i="13" s="1"/>
  <c r="L289" i="13"/>
  <c r="G289" i="13"/>
  <c r="H289" i="13" s="1"/>
  <c r="G288" i="13"/>
  <c r="H288" i="13" s="1"/>
  <c r="L287" i="13"/>
  <c r="H287" i="13"/>
  <c r="G287" i="13"/>
  <c r="L286" i="13"/>
  <c r="H286" i="13"/>
  <c r="G286" i="13"/>
  <c r="L285" i="13"/>
  <c r="G285" i="13"/>
  <c r="H285" i="13" s="1"/>
  <c r="G284" i="13"/>
  <c r="H284" i="13" s="1"/>
  <c r="L283" i="13"/>
  <c r="G283" i="13"/>
  <c r="H283" i="13" s="1"/>
  <c r="L282" i="13"/>
  <c r="H282" i="13"/>
  <c r="G282" i="13"/>
  <c r="L281" i="13"/>
  <c r="G281" i="13"/>
  <c r="H281" i="13" s="1"/>
  <c r="L280" i="13"/>
  <c r="G280" i="13"/>
  <c r="H280" i="13" s="1"/>
  <c r="G279" i="13"/>
  <c r="H279" i="13" s="1"/>
  <c r="L278" i="13"/>
  <c r="G278" i="13"/>
  <c r="H278" i="13" s="1"/>
  <c r="L277" i="13"/>
  <c r="G277" i="13"/>
  <c r="H277" i="13" s="1"/>
  <c r="L276" i="13"/>
  <c r="G276" i="13"/>
  <c r="H276" i="13" s="1"/>
  <c r="L275" i="13"/>
  <c r="H275" i="13"/>
  <c r="G275" i="13"/>
  <c r="G274" i="13"/>
  <c r="H274" i="13" s="1"/>
  <c r="L273" i="13"/>
  <c r="G273" i="13"/>
  <c r="H273" i="13" s="1"/>
  <c r="L272" i="13"/>
  <c r="G272" i="13"/>
  <c r="H272" i="13" s="1"/>
  <c r="L271" i="13"/>
  <c r="G271" i="13"/>
  <c r="H271" i="13" s="1"/>
  <c r="L270" i="13"/>
  <c r="G270" i="13"/>
  <c r="H270" i="13" s="1"/>
  <c r="G269" i="13"/>
  <c r="H269" i="13" s="1"/>
  <c r="L268" i="13"/>
  <c r="G268" i="13"/>
  <c r="H268" i="13" s="1"/>
  <c r="L267" i="13"/>
  <c r="G267" i="13"/>
  <c r="H267" i="13" s="1"/>
  <c r="L266" i="13"/>
  <c r="G266" i="13"/>
  <c r="H266" i="13" s="1"/>
  <c r="L265" i="13"/>
  <c r="G265" i="13"/>
  <c r="H265" i="13" s="1"/>
  <c r="L264" i="13"/>
  <c r="G264" i="13"/>
  <c r="H264" i="13" s="1"/>
  <c r="H263" i="13"/>
  <c r="G263" i="13"/>
  <c r="L262" i="13"/>
  <c r="G262" i="13"/>
  <c r="H262" i="13" s="1"/>
  <c r="L261" i="13"/>
  <c r="G261" i="13"/>
  <c r="H261" i="13" s="1"/>
  <c r="L260" i="13"/>
  <c r="G260" i="13"/>
  <c r="H260" i="13" s="1"/>
  <c r="L259" i="13"/>
  <c r="G259" i="13"/>
  <c r="H259" i="13" s="1"/>
  <c r="H258" i="13"/>
  <c r="G258" i="13"/>
  <c r="L257" i="13"/>
  <c r="G257" i="13"/>
  <c r="H257" i="13" s="1"/>
  <c r="L256" i="13"/>
  <c r="G256" i="13"/>
  <c r="H256" i="13" s="1"/>
  <c r="L255" i="13"/>
  <c r="G255" i="13"/>
  <c r="H255" i="13" s="1"/>
  <c r="L254" i="13"/>
  <c r="G254" i="13"/>
  <c r="H254" i="13" s="1"/>
  <c r="G253" i="13"/>
  <c r="H253" i="13" s="1"/>
  <c r="L252" i="13"/>
  <c r="G252" i="13"/>
  <c r="H252" i="13" s="1"/>
  <c r="L251" i="13"/>
  <c r="H251" i="13"/>
  <c r="G251" i="13"/>
  <c r="L250" i="13"/>
  <c r="G250" i="13"/>
  <c r="H250" i="13" s="1"/>
  <c r="L249" i="13"/>
  <c r="G249" i="13"/>
  <c r="H249" i="13" s="1"/>
  <c r="G248" i="13"/>
  <c r="H248" i="13" s="1"/>
  <c r="L247" i="13"/>
  <c r="H247" i="13"/>
  <c r="G247" i="13"/>
  <c r="L246" i="13"/>
  <c r="H246" i="13"/>
  <c r="G246" i="13"/>
  <c r="L245" i="13"/>
  <c r="G245" i="13"/>
  <c r="H245" i="13" s="1"/>
  <c r="L244" i="13"/>
  <c r="G244" i="13"/>
  <c r="H244" i="13" s="1"/>
  <c r="L243" i="13"/>
  <c r="G243" i="13"/>
  <c r="H243" i="13" s="1"/>
  <c r="H242" i="13"/>
  <c r="G242" i="13"/>
  <c r="L241" i="13"/>
  <c r="G241" i="13"/>
  <c r="H241" i="13" s="1"/>
  <c r="L240" i="13"/>
  <c r="G240" i="13"/>
  <c r="H240" i="13" s="1"/>
  <c r="L239" i="13"/>
  <c r="G239" i="13"/>
  <c r="H239" i="13" s="1"/>
  <c r="L238" i="13"/>
  <c r="G238" i="13"/>
  <c r="H238" i="13" s="1"/>
  <c r="G237" i="13"/>
  <c r="H237" i="13" s="1"/>
  <c r="L236" i="13"/>
  <c r="G236" i="13"/>
  <c r="H236" i="13" s="1"/>
  <c r="L235" i="13"/>
  <c r="G235" i="13"/>
  <c r="H235" i="13" s="1"/>
  <c r="L234" i="13"/>
  <c r="G234" i="13"/>
  <c r="H234" i="13" s="1"/>
  <c r="G233" i="13"/>
  <c r="H233" i="13" s="1"/>
  <c r="L232" i="13"/>
  <c r="G232" i="13"/>
  <c r="H232" i="13" s="1"/>
  <c r="L231" i="13"/>
  <c r="G231" i="13"/>
  <c r="H231" i="13" s="1"/>
  <c r="L230" i="13"/>
  <c r="H230" i="13"/>
  <c r="G230" i="13"/>
  <c r="L229" i="13"/>
  <c r="G229" i="13"/>
  <c r="H229" i="13" s="1"/>
  <c r="L228" i="13"/>
  <c r="H228" i="13"/>
  <c r="G228" i="13"/>
  <c r="G227" i="13"/>
  <c r="H227" i="13" s="1"/>
  <c r="L226" i="13"/>
  <c r="H226" i="13"/>
  <c r="G226" i="13"/>
  <c r="L225" i="13"/>
  <c r="G225" i="13"/>
  <c r="H225" i="13" s="1"/>
  <c r="L224" i="13"/>
  <c r="G224" i="13"/>
  <c r="H224" i="13" s="1"/>
  <c r="L223" i="13"/>
  <c r="G223" i="13"/>
  <c r="H223" i="13" s="1"/>
  <c r="L222" i="13"/>
  <c r="G222" i="13"/>
  <c r="H222" i="13" s="1"/>
  <c r="L221" i="13"/>
  <c r="G221" i="13"/>
  <c r="H221" i="13" s="1"/>
  <c r="L220" i="13"/>
  <c r="H220" i="13"/>
  <c r="G220" i="13"/>
  <c r="L219" i="13"/>
  <c r="G219" i="13"/>
  <c r="H219" i="13" s="1"/>
  <c r="H218" i="13"/>
  <c r="G218" i="13"/>
  <c r="L217" i="13"/>
  <c r="G217" i="13"/>
  <c r="H217" i="13" s="1"/>
  <c r="L216" i="13"/>
  <c r="H216" i="13"/>
  <c r="G216" i="13"/>
  <c r="L215" i="13"/>
  <c r="G215" i="13"/>
  <c r="H215" i="13" s="1"/>
  <c r="L214" i="13"/>
  <c r="G214" i="13"/>
  <c r="H214" i="13" s="1"/>
  <c r="G213" i="13"/>
  <c r="H213" i="13" s="1"/>
  <c r="L212" i="13"/>
  <c r="G212" i="13"/>
  <c r="H212" i="13" s="1"/>
  <c r="G211" i="13"/>
  <c r="H211" i="13" s="1"/>
  <c r="L210" i="13"/>
  <c r="G210" i="13"/>
  <c r="H210" i="13" s="1"/>
  <c r="L209" i="13"/>
  <c r="G209" i="13"/>
  <c r="H209" i="13" s="1"/>
  <c r="L208" i="13"/>
  <c r="G208" i="13"/>
  <c r="H208" i="13" s="1"/>
  <c r="G207" i="13"/>
  <c r="H207" i="13" s="1"/>
  <c r="L206" i="13"/>
  <c r="G206" i="13"/>
  <c r="H206" i="13" s="1"/>
  <c r="L205" i="13"/>
  <c r="G205" i="13"/>
  <c r="H205" i="13" s="1"/>
  <c r="L204" i="13"/>
  <c r="H204" i="13"/>
  <c r="G204" i="13"/>
  <c r="G203" i="13"/>
  <c r="H203" i="13" s="1"/>
  <c r="L202" i="13"/>
  <c r="H202" i="13"/>
  <c r="G202" i="13"/>
  <c r="L201" i="13"/>
  <c r="G201" i="13"/>
  <c r="H201" i="13" s="1"/>
  <c r="L200" i="13"/>
  <c r="G200" i="13"/>
  <c r="H200" i="13" s="1"/>
  <c r="L199" i="13"/>
  <c r="G199" i="13"/>
  <c r="H199" i="13" s="1"/>
  <c r="G198" i="13"/>
  <c r="H198" i="13" s="1"/>
  <c r="L197" i="13"/>
  <c r="H197" i="13"/>
  <c r="G197" i="13"/>
  <c r="L196" i="13"/>
  <c r="G196" i="13"/>
  <c r="H196" i="13" s="1"/>
  <c r="L195" i="13"/>
  <c r="G195" i="13"/>
  <c r="H195" i="13" s="1"/>
  <c r="G194" i="13"/>
  <c r="H194" i="13" s="1"/>
  <c r="L193" i="13"/>
  <c r="H193" i="13"/>
  <c r="G193" i="13"/>
  <c r="L192" i="13"/>
  <c r="G192" i="13"/>
  <c r="H192" i="13" s="1"/>
  <c r="L191" i="13"/>
  <c r="G191" i="13"/>
  <c r="H191" i="13" s="1"/>
  <c r="L190" i="13"/>
  <c r="H190" i="13"/>
  <c r="G190" i="13"/>
  <c r="L189" i="13"/>
  <c r="G189" i="13"/>
  <c r="H189" i="13" s="1"/>
  <c r="G188" i="13"/>
  <c r="H188" i="13" s="1"/>
  <c r="L187" i="13"/>
  <c r="G187" i="13"/>
  <c r="H187" i="13" s="1"/>
  <c r="L186" i="13"/>
  <c r="H186" i="13"/>
  <c r="G186" i="13"/>
  <c r="L185" i="13"/>
  <c r="H185" i="13"/>
  <c r="G185" i="13"/>
  <c r="G184" i="13"/>
  <c r="H184" i="13" s="1"/>
  <c r="L183" i="13"/>
  <c r="G183" i="13"/>
  <c r="H183" i="13" s="1"/>
  <c r="L182" i="13"/>
  <c r="G182" i="13"/>
  <c r="H182" i="13" s="1"/>
  <c r="L181" i="13"/>
  <c r="G181" i="13"/>
  <c r="H181" i="13" s="1"/>
  <c r="L180" i="13"/>
  <c r="G180" i="13"/>
  <c r="H180" i="13" s="1"/>
  <c r="L179" i="13"/>
  <c r="G179" i="13"/>
  <c r="H179" i="13" s="1"/>
  <c r="G178" i="13"/>
  <c r="H178" i="13" s="1"/>
  <c r="L177" i="13"/>
  <c r="G177" i="13"/>
  <c r="H177" i="13" s="1"/>
  <c r="L176" i="13"/>
  <c r="G176" i="13"/>
  <c r="H176" i="13" s="1"/>
  <c r="L175" i="13"/>
  <c r="G175" i="13"/>
  <c r="H175" i="13" s="1"/>
  <c r="L174" i="13"/>
  <c r="G174" i="13"/>
  <c r="H174" i="13" s="1"/>
  <c r="L173" i="13"/>
  <c r="H173" i="13"/>
  <c r="G173" i="13"/>
  <c r="G172" i="13"/>
  <c r="H172" i="13" s="1"/>
  <c r="L171" i="13"/>
  <c r="G171" i="13"/>
  <c r="H171" i="13" s="1"/>
  <c r="L170" i="13"/>
  <c r="G170" i="13"/>
  <c r="H170" i="13" s="1"/>
  <c r="L169" i="13"/>
  <c r="G169" i="13"/>
  <c r="H169" i="13" s="1"/>
  <c r="L168" i="13"/>
  <c r="G168" i="13"/>
  <c r="H168" i="13" s="1"/>
  <c r="L167" i="13"/>
  <c r="G167" i="13"/>
  <c r="H167" i="13" s="1"/>
  <c r="G166" i="13"/>
  <c r="H166" i="13" s="1"/>
  <c r="L165" i="13"/>
  <c r="G165" i="13"/>
  <c r="H165" i="13" s="1"/>
  <c r="L164" i="13"/>
  <c r="G164" i="13"/>
  <c r="H164" i="13" s="1"/>
  <c r="L163" i="13"/>
  <c r="G163" i="13"/>
  <c r="H163" i="13" s="1"/>
  <c r="L162" i="13"/>
  <c r="G162" i="13"/>
  <c r="H162" i="13" s="1"/>
  <c r="L161" i="13"/>
  <c r="H161" i="13"/>
  <c r="G161" i="13"/>
  <c r="G160" i="13"/>
  <c r="H160" i="13" s="1"/>
  <c r="L159" i="13"/>
  <c r="G159" i="13"/>
  <c r="H159" i="13" s="1"/>
  <c r="L158" i="13"/>
  <c r="G158" i="13"/>
  <c r="H158" i="13" s="1"/>
  <c r="L157" i="13"/>
  <c r="G157" i="13"/>
  <c r="H157" i="13" s="1"/>
  <c r="L156" i="13"/>
  <c r="G156" i="13"/>
  <c r="H156" i="13" s="1"/>
  <c r="L155" i="13"/>
  <c r="G155" i="13"/>
  <c r="H155" i="13" s="1"/>
  <c r="L154" i="13"/>
  <c r="H154" i="13"/>
  <c r="G154" i="13"/>
  <c r="L153" i="13"/>
  <c r="G153" i="13"/>
  <c r="H153" i="13" s="1"/>
  <c r="G152" i="13"/>
  <c r="H152" i="13" s="1"/>
  <c r="L151" i="13"/>
  <c r="G151" i="13"/>
  <c r="H151" i="13" s="1"/>
  <c r="L150" i="13"/>
  <c r="G150" i="13"/>
  <c r="H150" i="13" s="1"/>
  <c r="L149" i="13"/>
  <c r="H149" i="13"/>
  <c r="G149" i="13"/>
  <c r="L148" i="13"/>
  <c r="G148" i="13"/>
  <c r="H148" i="13" s="1"/>
  <c r="L147" i="13"/>
  <c r="G147" i="13"/>
  <c r="H147" i="13" s="1"/>
  <c r="G146" i="13"/>
  <c r="H146" i="13" s="1"/>
  <c r="L145" i="13"/>
  <c r="G145" i="13"/>
  <c r="H145" i="13" s="1"/>
  <c r="L144" i="13"/>
  <c r="G144" i="13"/>
  <c r="H144" i="13" s="1"/>
  <c r="L143" i="13"/>
  <c r="G143" i="13"/>
  <c r="H143" i="13" s="1"/>
  <c r="G142" i="13"/>
  <c r="H142" i="13" s="1"/>
  <c r="L141" i="13"/>
  <c r="G141" i="13"/>
  <c r="H141" i="13" s="1"/>
  <c r="L140" i="13"/>
  <c r="G140" i="13"/>
  <c r="H140" i="13" s="1"/>
  <c r="L139" i="13"/>
  <c r="G139" i="13"/>
  <c r="H139" i="13" s="1"/>
  <c r="L138" i="13"/>
  <c r="G138" i="13"/>
  <c r="H138" i="13" s="1"/>
  <c r="G137" i="13"/>
  <c r="H137" i="13" s="1"/>
  <c r="L136" i="13"/>
  <c r="G136" i="13"/>
  <c r="H136" i="13" s="1"/>
  <c r="L135" i="13"/>
  <c r="G135" i="13"/>
  <c r="H135" i="13" s="1"/>
  <c r="L134" i="13"/>
  <c r="G134" i="13"/>
  <c r="H134" i="13" s="1"/>
  <c r="L133" i="13"/>
  <c r="G133" i="13"/>
  <c r="H133" i="13" s="1"/>
  <c r="G132" i="13"/>
  <c r="H132" i="13" s="1"/>
  <c r="L131" i="13"/>
  <c r="G131" i="13"/>
  <c r="H131" i="13" s="1"/>
  <c r="L130" i="13"/>
  <c r="G130" i="13"/>
  <c r="H130" i="13" s="1"/>
  <c r="L129" i="13"/>
  <c r="G129" i="13"/>
  <c r="H129" i="13" s="1"/>
  <c r="L128" i="13"/>
  <c r="G128" i="13"/>
  <c r="H128" i="13" s="1"/>
  <c r="L127" i="13"/>
  <c r="G127" i="13"/>
  <c r="H127" i="13" s="1"/>
  <c r="L126" i="13"/>
  <c r="G126" i="13"/>
  <c r="H126" i="13" s="1"/>
  <c r="L125" i="13"/>
  <c r="G125" i="13"/>
  <c r="H125" i="13" s="1"/>
  <c r="G124" i="13"/>
  <c r="H124" i="13" s="1"/>
  <c r="L123" i="13"/>
  <c r="G123" i="13"/>
  <c r="H123" i="13" s="1"/>
  <c r="L122" i="13"/>
  <c r="G122" i="13"/>
  <c r="H122" i="13" s="1"/>
  <c r="L121" i="13"/>
  <c r="G121" i="13"/>
  <c r="H121" i="13" s="1"/>
  <c r="L120" i="13"/>
  <c r="G120" i="13"/>
  <c r="H120" i="13" s="1"/>
  <c r="G119" i="13"/>
  <c r="H119" i="13" s="1"/>
  <c r="L118" i="13"/>
  <c r="G118" i="13"/>
  <c r="H118" i="13" s="1"/>
  <c r="L117" i="13"/>
  <c r="G117" i="13"/>
  <c r="H117" i="13" s="1"/>
  <c r="L116" i="13"/>
  <c r="G116" i="13"/>
  <c r="H116" i="13" s="1"/>
  <c r="G115" i="13"/>
  <c r="H115" i="13" s="1"/>
  <c r="L114" i="13"/>
  <c r="G114" i="13"/>
  <c r="H114" i="13" s="1"/>
  <c r="L113" i="13"/>
  <c r="G113" i="13"/>
  <c r="H113" i="13" s="1"/>
  <c r="L112" i="13"/>
  <c r="G112" i="13"/>
  <c r="H112" i="13" s="1"/>
  <c r="L111" i="13"/>
  <c r="G111" i="13"/>
  <c r="H111" i="13" s="1"/>
  <c r="G110" i="13"/>
  <c r="H110" i="13" s="1"/>
  <c r="L109" i="13"/>
  <c r="G109" i="13"/>
  <c r="H109" i="13" s="1"/>
  <c r="L108" i="13"/>
  <c r="G108" i="13"/>
  <c r="H108" i="13" s="1"/>
  <c r="L107" i="13"/>
  <c r="G107" i="13"/>
  <c r="H107" i="13" s="1"/>
  <c r="L106" i="13"/>
  <c r="G106" i="13"/>
  <c r="H106" i="13" s="1"/>
  <c r="G105" i="13"/>
  <c r="H105" i="13" s="1"/>
  <c r="L104" i="13"/>
  <c r="G104" i="13"/>
  <c r="H104" i="13" s="1"/>
  <c r="L103" i="13"/>
  <c r="G103" i="13"/>
  <c r="H103" i="13" s="1"/>
  <c r="L102" i="13"/>
  <c r="G102" i="13"/>
  <c r="H102" i="13" s="1"/>
  <c r="L101" i="13"/>
  <c r="G101" i="13"/>
  <c r="H101" i="13" s="1"/>
  <c r="G100" i="13"/>
  <c r="H100" i="13" s="1"/>
  <c r="L99" i="13"/>
  <c r="H99" i="13"/>
  <c r="G99" i="13"/>
  <c r="L98" i="13"/>
  <c r="G98" i="13"/>
  <c r="H98" i="13" s="1"/>
  <c r="L97" i="13"/>
  <c r="G97" i="13"/>
  <c r="H97" i="13" s="1"/>
  <c r="L96" i="13"/>
  <c r="G96" i="13"/>
  <c r="H96" i="13" s="1"/>
  <c r="G95" i="13"/>
  <c r="H95" i="13" s="1"/>
  <c r="L94" i="13"/>
  <c r="H94" i="13"/>
  <c r="G94" i="13"/>
  <c r="L93" i="13"/>
  <c r="G93" i="13"/>
  <c r="H93" i="13" s="1"/>
  <c r="L92" i="13"/>
  <c r="G92" i="13"/>
  <c r="H92" i="13" s="1"/>
  <c r="L91" i="13"/>
  <c r="G91" i="13"/>
  <c r="H91" i="13" s="1"/>
  <c r="L90" i="13"/>
  <c r="H90" i="13"/>
  <c r="G90" i="13"/>
  <c r="G89" i="13"/>
  <c r="H89" i="13" s="1"/>
  <c r="L88" i="13"/>
  <c r="G88" i="13"/>
  <c r="H88" i="13" s="1"/>
  <c r="L87" i="13"/>
  <c r="H87" i="13"/>
  <c r="G87" i="13"/>
  <c r="L86" i="13"/>
  <c r="G86" i="13"/>
  <c r="H86" i="13" s="1"/>
  <c r="L85" i="13"/>
  <c r="G85" i="13"/>
  <c r="H85" i="13" s="1"/>
  <c r="L84" i="13"/>
  <c r="G84" i="13"/>
  <c r="H84" i="13" s="1"/>
  <c r="G83" i="13"/>
  <c r="H83" i="13" s="1"/>
  <c r="L82" i="13"/>
  <c r="G82" i="13"/>
  <c r="H82" i="13" s="1"/>
  <c r="L81" i="13"/>
  <c r="G81" i="13"/>
  <c r="H81" i="13" s="1"/>
  <c r="L80" i="13"/>
  <c r="G80" i="13"/>
  <c r="H80" i="13" s="1"/>
  <c r="L79" i="13"/>
  <c r="G79" i="13"/>
  <c r="H79" i="13" s="1"/>
  <c r="G78" i="13"/>
  <c r="H78" i="13" s="1"/>
  <c r="L77" i="13"/>
  <c r="G77" i="13"/>
  <c r="H77" i="13" s="1"/>
  <c r="L76" i="13"/>
  <c r="G76" i="13"/>
  <c r="H76" i="13" s="1"/>
  <c r="L75" i="13"/>
  <c r="G75" i="13"/>
  <c r="H75" i="13" s="1"/>
  <c r="L74" i="13"/>
  <c r="H74" i="13"/>
  <c r="G74" i="13"/>
  <c r="L73" i="13"/>
  <c r="G73" i="13"/>
  <c r="H73" i="13" s="1"/>
  <c r="G72" i="13"/>
  <c r="H72" i="13" s="1"/>
  <c r="L71" i="13"/>
  <c r="G71" i="13"/>
  <c r="H71" i="13" s="1"/>
  <c r="L70" i="13"/>
  <c r="H70" i="13"/>
  <c r="G70" i="13"/>
  <c r="L69" i="13"/>
  <c r="G69" i="13"/>
  <c r="H69" i="13" s="1"/>
  <c r="L68" i="13"/>
  <c r="G68" i="13"/>
  <c r="H68" i="13" s="1"/>
  <c r="G67" i="13"/>
  <c r="H67" i="13" s="1"/>
  <c r="L66" i="13"/>
  <c r="H66" i="13"/>
  <c r="G66" i="13"/>
  <c r="L65" i="13"/>
  <c r="G65" i="13"/>
  <c r="H65" i="13" s="1"/>
  <c r="L64" i="13"/>
  <c r="G64" i="13"/>
  <c r="H64" i="13" s="1"/>
  <c r="L63" i="13"/>
  <c r="G63" i="13"/>
  <c r="H63" i="13" s="1"/>
  <c r="L62" i="13"/>
  <c r="G62" i="13"/>
  <c r="H62" i="13" s="1"/>
  <c r="G61" i="13"/>
  <c r="H61" i="13" s="1"/>
  <c r="L60" i="13"/>
  <c r="G60" i="13"/>
  <c r="H60" i="13" s="1"/>
  <c r="L59" i="13"/>
  <c r="G59" i="13"/>
  <c r="H59" i="13" s="1"/>
  <c r="L58" i="13"/>
  <c r="G58" i="13"/>
  <c r="H58" i="13" s="1"/>
  <c r="L57" i="13"/>
  <c r="G57" i="13"/>
  <c r="H57" i="13" s="1"/>
  <c r="L56" i="13"/>
  <c r="G56" i="13"/>
  <c r="H56" i="13" s="1"/>
  <c r="G55" i="13"/>
  <c r="H55" i="13" s="1"/>
  <c r="L54" i="13"/>
  <c r="G54" i="13"/>
  <c r="H54" i="13" s="1"/>
  <c r="L53" i="13"/>
  <c r="G53" i="13"/>
  <c r="H53" i="13" s="1"/>
  <c r="L52" i="13"/>
  <c r="G52" i="13"/>
  <c r="H52" i="13" s="1"/>
  <c r="L51" i="13"/>
  <c r="G51" i="13"/>
  <c r="H51" i="13" s="1"/>
  <c r="L50" i="13"/>
  <c r="H50" i="13"/>
  <c r="G50" i="13"/>
  <c r="G49" i="13"/>
  <c r="H49" i="13" s="1"/>
  <c r="L48" i="13"/>
  <c r="G48" i="13"/>
  <c r="H48" i="13" s="1"/>
  <c r="L47" i="13"/>
  <c r="G47" i="13"/>
  <c r="H47" i="13" s="1"/>
  <c r="L46" i="13"/>
  <c r="H46" i="13"/>
  <c r="G46" i="13"/>
  <c r="L45" i="13"/>
  <c r="G45" i="13"/>
  <c r="H45" i="13" s="1"/>
  <c r="L44" i="13"/>
  <c r="G44" i="13"/>
  <c r="H44" i="13" s="1"/>
  <c r="G43" i="13"/>
  <c r="H43" i="13" s="1"/>
  <c r="L42" i="13"/>
  <c r="G42" i="13"/>
  <c r="H42" i="13" s="1"/>
  <c r="L41" i="13"/>
  <c r="G41" i="13"/>
  <c r="H41" i="13" s="1"/>
  <c r="L40" i="13"/>
  <c r="H40" i="13"/>
  <c r="G40" i="13"/>
  <c r="L39" i="13"/>
  <c r="G39" i="13"/>
  <c r="H39" i="13" s="1"/>
  <c r="L38" i="13"/>
  <c r="G38" i="13"/>
  <c r="H38" i="13" s="1"/>
  <c r="G37" i="13"/>
  <c r="H37" i="13" s="1"/>
  <c r="L36" i="13"/>
  <c r="G36" i="13"/>
  <c r="H36" i="13" s="1"/>
  <c r="L35" i="13"/>
  <c r="H35" i="13"/>
  <c r="G35" i="13"/>
  <c r="L34" i="13"/>
  <c r="G34" i="13"/>
  <c r="H34" i="13" s="1"/>
  <c r="L33" i="13"/>
  <c r="G33" i="13"/>
  <c r="H33" i="13" s="1"/>
  <c r="L32" i="13"/>
  <c r="G32" i="13"/>
  <c r="H32" i="13" s="1"/>
  <c r="G31" i="13"/>
  <c r="H31" i="13" s="1"/>
  <c r="L30" i="13"/>
  <c r="G30" i="13"/>
  <c r="H30" i="13" s="1"/>
  <c r="L29" i="13"/>
  <c r="G29" i="13"/>
  <c r="H29" i="13" s="1"/>
  <c r="L28" i="13"/>
  <c r="H28" i="13"/>
  <c r="G28" i="13"/>
  <c r="L27" i="13"/>
  <c r="G27" i="13"/>
  <c r="H27" i="13" s="1"/>
  <c r="L26" i="13"/>
  <c r="G26" i="13"/>
  <c r="H26" i="13" s="1"/>
  <c r="G25" i="13"/>
  <c r="H25" i="13" s="1"/>
  <c r="L24" i="13"/>
  <c r="G24" i="13"/>
  <c r="H24" i="13" s="1"/>
  <c r="L23" i="13"/>
  <c r="H23" i="13"/>
  <c r="G23" i="13"/>
  <c r="L22" i="13"/>
  <c r="G22" i="13"/>
  <c r="H22" i="13" s="1"/>
  <c r="L21" i="13"/>
  <c r="G21" i="13"/>
  <c r="H21" i="13" s="1"/>
  <c r="L20" i="13"/>
  <c r="G20" i="13"/>
  <c r="H20" i="13" s="1"/>
  <c r="G19" i="13"/>
  <c r="H19" i="13" s="1"/>
  <c r="L18" i="13"/>
  <c r="G18" i="13"/>
  <c r="H18" i="13" s="1"/>
  <c r="L17" i="13"/>
  <c r="G17" i="13"/>
  <c r="H17" i="13" s="1"/>
  <c r="L16" i="13"/>
  <c r="H16" i="13"/>
  <c r="G16" i="13"/>
  <c r="L15" i="13"/>
  <c r="G15" i="13"/>
  <c r="H15" i="13" s="1"/>
  <c r="L14" i="13"/>
  <c r="G14" i="13"/>
  <c r="H14" i="13" s="1"/>
  <c r="G13" i="13"/>
  <c r="H13" i="13" s="1"/>
  <c r="L12" i="13"/>
  <c r="G12" i="13"/>
  <c r="H12" i="13" s="1"/>
  <c r="G11" i="13"/>
  <c r="H11" i="13" s="1"/>
  <c r="L10" i="13"/>
  <c r="G10" i="13"/>
  <c r="H10" i="13" s="1"/>
  <c r="G9" i="13"/>
  <c r="H9" i="13" s="1"/>
  <c r="L8" i="13"/>
  <c r="G8" i="13"/>
  <c r="H8" i="13" s="1"/>
  <c r="G7" i="13"/>
  <c r="H7" i="13" s="1"/>
  <c r="L6" i="13"/>
  <c r="G6" i="13"/>
  <c r="H6" i="13" s="1"/>
  <c r="L5" i="13"/>
  <c r="G5" i="13"/>
  <c r="H5" i="13" s="1"/>
  <c r="L4" i="13"/>
  <c r="H4" i="13"/>
  <c r="G4" i="13"/>
  <c r="L3" i="13"/>
  <c r="G3" i="13"/>
  <c r="H3" i="13" s="1"/>
  <c r="L2" i="13"/>
  <c r="G2" i="13"/>
  <c r="H2" i="13" s="1"/>
  <c r="H2487" i="12"/>
  <c r="I2487" i="12" s="1"/>
  <c r="D2487" i="12"/>
  <c r="C2487" i="12"/>
  <c r="H2486" i="12"/>
  <c r="I2486" i="12" s="1"/>
  <c r="D2486" i="12"/>
  <c r="C2486" i="12"/>
  <c r="H2485" i="12"/>
  <c r="I2485" i="12" s="1"/>
  <c r="D2485" i="12"/>
  <c r="C2485" i="12"/>
  <c r="H2484" i="12"/>
  <c r="I2484" i="12" s="1"/>
  <c r="D2484" i="12"/>
  <c r="C2484" i="12"/>
  <c r="H2483" i="12"/>
  <c r="I2483" i="12" s="1"/>
  <c r="D2483" i="12"/>
  <c r="C2483" i="12"/>
  <c r="H2482" i="12"/>
  <c r="I2482" i="12" s="1"/>
  <c r="D2482" i="12"/>
  <c r="C2482" i="12"/>
  <c r="H2481" i="12"/>
  <c r="I2481" i="12" s="1"/>
  <c r="D2481" i="12"/>
  <c r="C2481" i="12"/>
  <c r="H2480" i="12"/>
  <c r="I2480" i="12" s="1"/>
  <c r="D2480" i="12"/>
  <c r="C2480" i="12"/>
  <c r="H2479" i="12"/>
  <c r="I2479" i="12" s="1"/>
  <c r="D2479" i="12"/>
  <c r="C2479" i="12"/>
  <c r="H2478" i="12"/>
  <c r="I2478" i="12" s="1"/>
  <c r="D2478" i="12"/>
  <c r="C2478" i="12"/>
  <c r="H2477" i="12"/>
  <c r="I2477" i="12" s="1"/>
  <c r="D2477" i="12"/>
  <c r="C2477" i="12"/>
  <c r="H2476" i="12"/>
  <c r="I2476" i="12" s="1"/>
  <c r="D2476" i="12"/>
  <c r="C2476" i="12"/>
  <c r="H2475" i="12"/>
  <c r="I2475" i="12" s="1"/>
  <c r="D2475" i="12"/>
  <c r="C2475" i="12"/>
  <c r="H2474" i="12"/>
  <c r="I2474" i="12" s="1"/>
  <c r="D2474" i="12"/>
  <c r="C2474" i="12"/>
  <c r="H2473" i="12"/>
  <c r="I2473" i="12" s="1"/>
  <c r="D2473" i="12"/>
  <c r="C2473" i="12"/>
  <c r="H2472" i="12"/>
  <c r="I2472" i="12" s="1"/>
  <c r="D2472" i="12"/>
  <c r="C2472" i="12"/>
  <c r="H2471" i="12"/>
  <c r="I2471" i="12" s="1"/>
  <c r="D2471" i="12"/>
  <c r="C2471" i="12"/>
  <c r="H2470" i="12"/>
  <c r="I2470" i="12" s="1"/>
  <c r="D2470" i="12"/>
  <c r="C2470" i="12"/>
  <c r="H2469" i="12"/>
  <c r="I2469" i="12" s="1"/>
  <c r="D2469" i="12"/>
  <c r="C2469" i="12"/>
  <c r="H2468" i="12"/>
  <c r="I2468" i="12" s="1"/>
  <c r="D2468" i="12"/>
  <c r="C2468" i="12"/>
  <c r="D2467" i="12"/>
  <c r="C2467" i="12"/>
  <c r="D2466" i="12"/>
  <c r="C2466" i="12"/>
  <c r="H2465" i="12"/>
  <c r="I2465" i="12" s="1"/>
  <c r="D2465" i="12"/>
  <c r="C2465" i="12"/>
  <c r="H2464" i="12"/>
  <c r="I2464" i="12" s="1"/>
  <c r="D2464" i="12"/>
  <c r="C2464" i="12"/>
  <c r="H2463" i="12"/>
  <c r="I2463" i="12" s="1"/>
  <c r="D2463" i="12"/>
  <c r="C2463" i="12"/>
  <c r="H2462" i="12"/>
  <c r="I2462" i="12" s="1"/>
  <c r="D2462" i="12"/>
  <c r="C2462" i="12"/>
  <c r="H2461" i="12"/>
  <c r="I2461" i="12" s="1"/>
  <c r="D2461" i="12"/>
  <c r="C2461" i="12"/>
  <c r="H2460" i="12"/>
  <c r="I2460" i="12" s="1"/>
  <c r="D2460" i="12"/>
  <c r="C2460" i="12"/>
  <c r="H2459" i="12"/>
  <c r="I2459" i="12" s="1"/>
  <c r="D2459" i="12"/>
  <c r="C2459" i="12"/>
  <c r="H2458" i="12"/>
  <c r="I2458" i="12" s="1"/>
  <c r="D2458" i="12"/>
  <c r="C2458" i="12"/>
  <c r="H2457" i="12"/>
  <c r="I2457" i="12" s="1"/>
  <c r="D2457" i="12"/>
  <c r="C2457" i="12"/>
  <c r="H2456" i="12"/>
  <c r="I2456" i="12" s="1"/>
  <c r="D2456" i="12"/>
  <c r="C2456" i="12"/>
  <c r="H2455" i="12"/>
  <c r="I2455" i="12" s="1"/>
  <c r="D2455" i="12"/>
  <c r="C2455" i="12"/>
  <c r="H2454" i="12"/>
  <c r="I2454" i="12" s="1"/>
  <c r="D2454" i="12"/>
  <c r="C2454" i="12"/>
  <c r="H2453" i="12"/>
  <c r="I2453" i="12" s="1"/>
  <c r="D2453" i="12"/>
  <c r="C2453" i="12"/>
  <c r="H2452" i="12"/>
  <c r="I2452" i="12" s="1"/>
  <c r="D2452" i="12"/>
  <c r="C2452" i="12"/>
  <c r="H2451" i="12"/>
  <c r="I2451" i="12" s="1"/>
  <c r="D2451" i="12"/>
  <c r="C2451" i="12"/>
  <c r="H2450" i="12"/>
  <c r="I2450" i="12" s="1"/>
  <c r="D2450" i="12"/>
  <c r="C2450" i="12"/>
  <c r="H2449" i="12"/>
  <c r="I2449" i="12" s="1"/>
  <c r="D2449" i="12"/>
  <c r="C2449" i="12"/>
  <c r="H2448" i="12"/>
  <c r="I2448" i="12" s="1"/>
  <c r="D2448" i="12"/>
  <c r="C2448" i="12"/>
  <c r="H2447" i="12"/>
  <c r="I2447" i="12" s="1"/>
  <c r="D2447" i="12"/>
  <c r="C2447" i="12"/>
  <c r="H2446" i="12"/>
  <c r="I2446" i="12" s="1"/>
  <c r="D2446" i="12"/>
  <c r="C2446" i="12"/>
  <c r="D2445" i="12"/>
  <c r="C2445" i="12"/>
  <c r="D2444" i="12"/>
  <c r="C2444" i="12"/>
  <c r="H2443" i="12"/>
  <c r="I2443" i="12" s="1"/>
  <c r="D2443" i="12"/>
  <c r="C2443" i="12"/>
  <c r="H2442" i="12"/>
  <c r="I2442" i="12" s="1"/>
  <c r="D2442" i="12"/>
  <c r="C2442" i="12"/>
  <c r="H2441" i="12"/>
  <c r="I2441" i="12" s="1"/>
  <c r="D2441" i="12"/>
  <c r="C2441" i="12"/>
  <c r="H2440" i="12"/>
  <c r="I2440" i="12" s="1"/>
  <c r="D2440" i="12"/>
  <c r="C2440" i="12"/>
  <c r="H2439" i="12"/>
  <c r="I2439" i="12" s="1"/>
  <c r="D2439" i="12"/>
  <c r="C2439" i="12"/>
  <c r="H2438" i="12"/>
  <c r="I2438" i="12" s="1"/>
  <c r="D2438" i="12"/>
  <c r="C2438" i="12"/>
  <c r="H2437" i="12"/>
  <c r="I2437" i="12" s="1"/>
  <c r="D2437" i="12"/>
  <c r="C2437" i="12"/>
  <c r="H2436" i="12"/>
  <c r="I2436" i="12" s="1"/>
  <c r="D2436" i="12"/>
  <c r="C2436" i="12"/>
  <c r="H2435" i="12"/>
  <c r="I2435" i="12" s="1"/>
  <c r="D2435" i="12"/>
  <c r="C2435" i="12"/>
  <c r="H2434" i="12"/>
  <c r="I2434" i="12" s="1"/>
  <c r="D2434" i="12"/>
  <c r="C2434" i="12"/>
  <c r="H2433" i="12"/>
  <c r="I2433" i="12" s="1"/>
  <c r="D2433" i="12"/>
  <c r="C2433" i="12"/>
  <c r="H2432" i="12"/>
  <c r="I2432" i="12" s="1"/>
  <c r="D2432" i="12"/>
  <c r="C2432" i="12"/>
  <c r="H2431" i="12"/>
  <c r="I2431" i="12" s="1"/>
  <c r="D2431" i="12"/>
  <c r="C2431" i="12"/>
  <c r="H2430" i="12"/>
  <c r="I2430" i="12" s="1"/>
  <c r="D2430" i="12"/>
  <c r="C2430" i="12"/>
  <c r="H2429" i="12"/>
  <c r="I2429" i="12" s="1"/>
  <c r="D2429" i="12"/>
  <c r="C2429" i="12"/>
  <c r="H2428" i="12"/>
  <c r="I2428" i="12" s="1"/>
  <c r="D2428" i="12"/>
  <c r="C2428" i="12"/>
  <c r="H2427" i="12"/>
  <c r="I2427" i="12" s="1"/>
  <c r="D2427" i="12"/>
  <c r="C2427" i="12"/>
  <c r="H2426" i="12"/>
  <c r="I2426" i="12" s="1"/>
  <c r="D2426" i="12"/>
  <c r="C2426" i="12"/>
  <c r="H2425" i="12"/>
  <c r="I2425" i="12" s="1"/>
  <c r="D2425" i="12"/>
  <c r="C2425" i="12"/>
  <c r="H2424" i="12"/>
  <c r="I2424" i="12" s="1"/>
  <c r="D2424" i="12"/>
  <c r="C2424" i="12"/>
  <c r="D2423" i="12"/>
  <c r="C2423" i="12"/>
  <c r="D2422" i="12"/>
  <c r="C2422" i="12"/>
  <c r="H2421" i="12"/>
  <c r="I2421" i="12" s="1"/>
  <c r="D2421" i="12"/>
  <c r="C2421" i="12"/>
  <c r="H2420" i="12"/>
  <c r="I2420" i="12" s="1"/>
  <c r="D2420" i="12"/>
  <c r="C2420" i="12"/>
  <c r="H2419" i="12"/>
  <c r="I2419" i="12" s="1"/>
  <c r="D2419" i="12"/>
  <c r="C2419" i="12"/>
  <c r="H2418" i="12"/>
  <c r="I2418" i="12" s="1"/>
  <c r="D2418" i="12"/>
  <c r="C2418" i="12"/>
  <c r="H2417" i="12"/>
  <c r="I2417" i="12" s="1"/>
  <c r="D2417" i="12"/>
  <c r="C2417" i="12"/>
  <c r="H2416" i="12"/>
  <c r="I2416" i="12" s="1"/>
  <c r="D2416" i="12"/>
  <c r="C2416" i="12"/>
  <c r="H2415" i="12"/>
  <c r="I2415" i="12" s="1"/>
  <c r="D2415" i="12"/>
  <c r="C2415" i="12"/>
  <c r="H2414" i="12"/>
  <c r="I2414" i="12" s="1"/>
  <c r="D2414" i="12"/>
  <c r="C2414" i="12"/>
  <c r="H2413" i="12"/>
  <c r="I2413" i="12" s="1"/>
  <c r="D2413" i="12"/>
  <c r="C2413" i="12"/>
  <c r="H2412" i="12"/>
  <c r="I2412" i="12" s="1"/>
  <c r="D2412" i="12"/>
  <c r="C2412" i="12"/>
  <c r="H2411" i="12"/>
  <c r="I2411" i="12" s="1"/>
  <c r="D2411" i="12"/>
  <c r="C2411" i="12"/>
  <c r="H2410" i="12"/>
  <c r="I2410" i="12" s="1"/>
  <c r="D2410" i="12"/>
  <c r="C2410" i="12"/>
  <c r="H2409" i="12"/>
  <c r="I2409" i="12" s="1"/>
  <c r="D2409" i="12"/>
  <c r="C2409" i="12"/>
  <c r="H2408" i="12"/>
  <c r="I2408" i="12" s="1"/>
  <c r="D2408" i="12"/>
  <c r="C2408" i="12"/>
  <c r="H2407" i="12"/>
  <c r="I2407" i="12" s="1"/>
  <c r="D2407" i="12"/>
  <c r="C2407" i="12"/>
  <c r="H2406" i="12"/>
  <c r="I2406" i="12" s="1"/>
  <c r="D2406" i="12"/>
  <c r="C2406" i="12"/>
  <c r="H2405" i="12"/>
  <c r="I2405" i="12" s="1"/>
  <c r="D2405" i="12"/>
  <c r="C2405" i="12"/>
  <c r="H2404" i="12"/>
  <c r="I2404" i="12" s="1"/>
  <c r="D2404" i="12"/>
  <c r="C2404" i="12"/>
  <c r="H2403" i="12"/>
  <c r="I2403" i="12" s="1"/>
  <c r="D2403" i="12"/>
  <c r="C2403" i="12"/>
  <c r="H2402" i="12"/>
  <c r="I2402" i="12" s="1"/>
  <c r="D2402" i="12"/>
  <c r="C2402" i="12"/>
  <c r="D2401" i="12"/>
  <c r="C2401" i="12"/>
  <c r="D2400" i="12"/>
  <c r="C2400" i="12"/>
  <c r="H2399" i="12"/>
  <c r="I2399" i="12" s="1"/>
  <c r="D2399" i="12"/>
  <c r="C2399" i="12"/>
  <c r="H2398" i="12"/>
  <c r="I2398" i="12" s="1"/>
  <c r="D2398" i="12"/>
  <c r="C2398" i="12"/>
  <c r="H2397" i="12"/>
  <c r="I2397" i="12" s="1"/>
  <c r="D2397" i="12"/>
  <c r="C2397" i="12"/>
  <c r="H2396" i="12"/>
  <c r="I2396" i="12" s="1"/>
  <c r="D2396" i="12"/>
  <c r="C2396" i="12"/>
  <c r="H2395" i="12"/>
  <c r="I2395" i="12" s="1"/>
  <c r="D2395" i="12"/>
  <c r="C2395" i="12"/>
  <c r="H2394" i="12"/>
  <c r="I2394" i="12" s="1"/>
  <c r="D2394" i="12"/>
  <c r="C2394" i="12"/>
  <c r="H2393" i="12"/>
  <c r="I2393" i="12" s="1"/>
  <c r="D2393" i="12"/>
  <c r="C2393" i="12"/>
  <c r="H2392" i="12"/>
  <c r="I2392" i="12" s="1"/>
  <c r="D2392" i="12"/>
  <c r="C2392" i="12"/>
  <c r="H2391" i="12"/>
  <c r="I2391" i="12" s="1"/>
  <c r="D2391" i="12"/>
  <c r="C2391" i="12"/>
  <c r="H2390" i="12"/>
  <c r="I2390" i="12" s="1"/>
  <c r="D2390" i="12"/>
  <c r="C2390" i="12"/>
  <c r="H2389" i="12"/>
  <c r="I2389" i="12" s="1"/>
  <c r="D2389" i="12"/>
  <c r="C2389" i="12"/>
  <c r="H2388" i="12"/>
  <c r="I2388" i="12" s="1"/>
  <c r="D2388" i="12"/>
  <c r="C2388" i="12"/>
  <c r="H2387" i="12"/>
  <c r="I2387" i="12" s="1"/>
  <c r="D2387" i="12"/>
  <c r="C2387" i="12"/>
  <c r="H2386" i="12"/>
  <c r="I2386" i="12" s="1"/>
  <c r="D2386" i="12"/>
  <c r="C2386" i="12"/>
  <c r="H2385" i="12"/>
  <c r="I2385" i="12" s="1"/>
  <c r="D2385" i="12"/>
  <c r="C2385" i="12"/>
  <c r="H2384" i="12"/>
  <c r="I2384" i="12" s="1"/>
  <c r="D2384" i="12"/>
  <c r="C2384" i="12"/>
  <c r="H2383" i="12"/>
  <c r="I2383" i="12" s="1"/>
  <c r="D2383" i="12"/>
  <c r="C2383" i="12"/>
  <c r="H2382" i="12"/>
  <c r="I2382" i="12" s="1"/>
  <c r="D2382" i="12"/>
  <c r="C2382" i="12"/>
  <c r="H2381" i="12"/>
  <c r="I2381" i="12" s="1"/>
  <c r="D2381" i="12"/>
  <c r="C2381" i="12"/>
  <c r="H2380" i="12"/>
  <c r="I2380" i="12" s="1"/>
  <c r="D2380" i="12"/>
  <c r="C2380" i="12"/>
  <c r="D2379" i="12"/>
  <c r="C2379" i="12"/>
  <c r="D2378" i="12"/>
  <c r="C2378" i="12"/>
  <c r="H2377" i="12"/>
  <c r="I2377" i="12" s="1"/>
  <c r="D2377" i="12"/>
  <c r="C2377" i="12"/>
  <c r="H2376" i="12"/>
  <c r="I2376" i="12" s="1"/>
  <c r="D2376" i="12"/>
  <c r="C2376" i="12"/>
  <c r="H2375" i="12"/>
  <c r="I2375" i="12" s="1"/>
  <c r="D2375" i="12"/>
  <c r="C2375" i="12"/>
  <c r="H2374" i="12"/>
  <c r="I2374" i="12" s="1"/>
  <c r="D2374" i="12"/>
  <c r="C2374" i="12"/>
  <c r="H2373" i="12"/>
  <c r="I2373" i="12" s="1"/>
  <c r="D2373" i="12"/>
  <c r="C2373" i="12"/>
  <c r="H2372" i="12"/>
  <c r="I2372" i="12" s="1"/>
  <c r="D2372" i="12"/>
  <c r="C2372" i="12"/>
  <c r="H2371" i="12"/>
  <c r="I2371" i="12" s="1"/>
  <c r="D2371" i="12"/>
  <c r="C2371" i="12"/>
  <c r="H2370" i="12"/>
  <c r="I2370" i="12" s="1"/>
  <c r="D2370" i="12"/>
  <c r="C2370" i="12"/>
  <c r="H2369" i="12"/>
  <c r="I2369" i="12" s="1"/>
  <c r="D2369" i="12"/>
  <c r="C2369" i="12"/>
  <c r="H2368" i="12"/>
  <c r="I2368" i="12" s="1"/>
  <c r="D2368" i="12"/>
  <c r="C2368" i="12"/>
  <c r="H2367" i="12"/>
  <c r="I2367" i="12" s="1"/>
  <c r="D2367" i="12"/>
  <c r="C2367" i="12"/>
  <c r="H2366" i="12"/>
  <c r="I2366" i="12" s="1"/>
  <c r="D2366" i="12"/>
  <c r="C2366" i="12"/>
  <c r="H2365" i="12"/>
  <c r="I2365" i="12" s="1"/>
  <c r="D2365" i="12"/>
  <c r="C2365" i="12"/>
  <c r="H2364" i="12"/>
  <c r="I2364" i="12" s="1"/>
  <c r="D2364" i="12"/>
  <c r="C2364" i="12"/>
  <c r="H2363" i="12"/>
  <c r="I2363" i="12" s="1"/>
  <c r="D2363" i="12"/>
  <c r="C2363" i="12"/>
  <c r="H2362" i="12"/>
  <c r="I2362" i="12" s="1"/>
  <c r="D2362" i="12"/>
  <c r="C2362" i="12"/>
  <c r="H2361" i="12"/>
  <c r="I2361" i="12" s="1"/>
  <c r="D2361" i="12"/>
  <c r="C2361" i="12"/>
  <c r="H2360" i="12"/>
  <c r="I2360" i="12" s="1"/>
  <c r="D2360" i="12"/>
  <c r="C2360" i="12"/>
  <c r="H2359" i="12"/>
  <c r="I2359" i="12" s="1"/>
  <c r="D2359" i="12"/>
  <c r="C2359" i="12"/>
  <c r="H2358" i="12"/>
  <c r="I2358" i="12" s="1"/>
  <c r="D2358" i="12"/>
  <c r="C2358" i="12"/>
  <c r="D2357" i="12"/>
  <c r="C2357" i="12"/>
  <c r="D2356" i="12"/>
  <c r="C2356" i="12"/>
  <c r="H2355" i="12"/>
  <c r="I2355" i="12" s="1"/>
  <c r="D2355" i="12"/>
  <c r="C2355" i="12"/>
  <c r="H2354" i="12"/>
  <c r="I2354" i="12" s="1"/>
  <c r="D2354" i="12"/>
  <c r="C2354" i="12"/>
  <c r="H2353" i="12"/>
  <c r="I2353" i="12" s="1"/>
  <c r="D2353" i="12"/>
  <c r="C2353" i="12"/>
  <c r="H2352" i="12"/>
  <c r="I2352" i="12" s="1"/>
  <c r="D2352" i="12"/>
  <c r="C2352" i="12"/>
  <c r="H2351" i="12"/>
  <c r="I2351" i="12" s="1"/>
  <c r="D2351" i="12"/>
  <c r="C2351" i="12"/>
  <c r="H2350" i="12"/>
  <c r="I2350" i="12" s="1"/>
  <c r="D2350" i="12"/>
  <c r="C2350" i="12"/>
  <c r="H2349" i="12"/>
  <c r="I2349" i="12" s="1"/>
  <c r="D2349" i="12"/>
  <c r="C2349" i="12"/>
  <c r="H2348" i="12"/>
  <c r="I2348" i="12" s="1"/>
  <c r="D2348" i="12"/>
  <c r="C2348" i="12"/>
  <c r="H2347" i="12"/>
  <c r="I2347" i="12" s="1"/>
  <c r="D2347" i="12"/>
  <c r="C2347" i="12"/>
  <c r="H2346" i="12"/>
  <c r="I2346" i="12" s="1"/>
  <c r="D2346" i="12"/>
  <c r="C2346" i="12"/>
  <c r="H2345" i="12"/>
  <c r="I2345" i="12" s="1"/>
  <c r="D2345" i="12"/>
  <c r="C2345" i="12"/>
  <c r="H2344" i="12"/>
  <c r="I2344" i="12" s="1"/>
  <c r="D2344" i="12"/>
  <c r="C2344" i="12"/>
  <c r="H2343" i="12"/>
  <c r="I2343" i="12" s="1"/>
  <c r="D2343" i="12"/>
  <c r="C2343" i="12"/>
  <c r="H2342" i="12"/>
  <c r="I2342" i="12" s="1"/>
  <c r="D2342" i="12"/>
  <c r="C2342" i="12"/>
  <c r="H2341" i="12"/>
  <c r="I2341" i="12" s="1"/>
  <c r="D2341" i="12"/>
  <c r="C2341" i="12"/>
  <c r="H2340" i="12"/>
  <c r="I2340" i="12" s="1"/>
  <c r="D2340" i="12"/>
  <c r="C2340" i="12"/>
  <c r="H2339" i="12"/>
  <c r="I2339" i="12" s="1"/>
  <c r="D2339" i="12"/>
  <c r="C2339" i="12"/>
  <c r="H2338" i="12"/>
  <c r="I2338" i="12" s="1"/>
  <c r="D2338" i="12"/>
  <c r="C2338" i="12"/>
  <c r="H2337" i="12"/>
  <c r="I2337" i="12" s="1"/>
  <c r="D2337" i="12"/>
  <c r="C2337" i="12"/>
  <c r="H2336" i="12"/>
  <c r="I2336" i="12" s="1"/>
  <c r="D2336" i="12"/>
  <c r="C2336" i="12"/>
  <c r="D2335" i="12"/>
  <c r="C2335" i="12"/>
  <c r="D2334" i="12"/>
  <c r="C2334" i="12"/>
  <c r="H2333" i="12"/>
  <c r="I2333" i="12" s="1"/>
  <c r="D2333" i="12"/>
  <c r="C2333" i="12"/>
  <c r="H2332" i="12"/>
  <c r="I2332" i="12" s="1"/>
  <c r="D2332" i="12"/>
  <c r="C2332" i="12"/>
  <c r="H2331" i="12"/>
  <c r="I2331" i="12" s="1"/>
  <c r="D2331" i="12"/>
  <c r="C2331" i="12"/>
  <c r="H2330" i="12"/>
  <c r="I2330" i="12" s="1"/>
  <c r="D2330" i="12"/>
  <c r="C2330" i="12"/>
  <c r="H2329" i="12"/>
  <c r="I2329" i="12" s="1"/>
  <c r="D2329" i="12"/>
  <c r="C2329" i="12"/>
  <c r="H2328" i="12"/>
  <c r="I2328" i="12" s="1"/>
  <c r="D2328" i="12"/>
  <c r="C2328" i="12"/>
  <c r="H2327" i="12"/>
  <c r="I2327" i="12" s="1"/>
  <c r="D2327" i="12"/>
  <c r="C2327" i="12"/>
  <c r="H2326" i="12"/>
  <c r="I2326" i="12" s="1"/>
  <c r="D2326" i="12"/>
  <c r="C2326" i="12"/>
  <c r="H2325" i="12"/>
  <c r="I2325" i="12" s="1"/>
  <c r="D2325" i="12"/>
  <c r="C2325" i="12"/>
  <c r="H2324" i="12"/>
  <c r="I2324" i="12" s="1"/>
  <c r="D2324" i="12"/>
  <c r="C2324" i="12"/>
  <c r="H2323" i="12"/>
  <c r="I2323" i="12" s="1"/>
  <c r="D2323" i="12"/>
  <c r="C2323" i="12"/>
  <c r="H2322" i="12"/>
  <c r="I2322" i="12" s="1"/>
  <c r="D2322" i="12"/>
  <c r="C2322" i="12"/>
  <c r="H2321" i="12"/>
  <c r="I2321" i="12" s="1"/>
  <c r="D2321" i="12"/>
  <c r="C2321" i="12"/>
  <c r="H2320" i="12"/>
  <c r="I2320" i="12" s="1"/>
  <c r="D2320" i="12"/>
  <c r="C2320" i="12"/>
  <c r="H2319" i="12"/>
  <c r="I2319" i="12" s="1"/>
  <c r="D2319" i="12"/>
  <c r="C2319" i="12"/>
  <c r="H2318" i="12"/>
  <c r="I2318" i="12" s="1"/>
  <c r="D2318" i="12"/>
  <c r="C2318" i="12"/>
  <c r="H2317" i="12"/>
  <c r="I2317" i="12" s="1"/>
  <c r="D2317" i="12"/>
  <c r="C2317" i="12"/>
  <c r="H2316" i="12"/>
  <c r="I2316" i="12" s="1"/>
  <c r="D2316" i="12"/>
  <c r="C2316" i="12"/>
  <c r="H2315" i="12"/>
  <c r="I2315" i="12" s="1"/>
  <c r="D2315" i="12"/>
  <c r="C2315" i="12"/>
  <c r="H2314" i="12"/>
  <c r="I2314" i="12" s="1"/>
  <c r="D2314" i="12"/>
  <c r="C2314" i="12"/>
  <c r="D2313" i="12"/>
  <c r="C2313" i="12"/>
  <c r="D2312" i="12"/>
  <c r="C2312" i="12"/>
  <c r="H2311" i="12"/>
  <c r="I2311" i="12" s="1"/>
  <c r="D2311" i="12"/>
  <c r="C2311" i="12"/>
  <c r="H2310" i="12"/>
  <c r="I2310" i="12" s="1"/>
  <c r="D2310" i="12"/>
  <c r="C2310" i="12"/>
  <c r="H2309" i="12"/>
  <c r="I2309" i="12" s="1"/>
  <c r="D2309" i="12"/>
  <c r="C2309" i="12"/>
  <c r="H2308" i="12"/>
  <c r="I2308" i="12" s="1"/>
  <c r="D2308" i="12"/>
  <c r="C2308" i="12"/>
  <c r="H2307" i="12"/>
  <c r="I2307" i="12" s="1"/>
  <c r="D2307" i="12"/>
  <c r="C2307" i="12"/>
  <c r="H2306" i="12"/>
  <c r="I2306" i="12" s="1"/>
  <c r="D2306" i="12"/>
  <c r="C2306" i="12"/>
  <c r="H2305" i="12"/>
  <c r="I2305" i="12" s="1"/>
  <c r="D2305" i="12"/>
  <c r="C2305" i="12"/>
  <c r="H2304" i="12"/>
  <c r="I2304" i="12" s="1"/>
  <c r="D2304" i="12"/>
  <c r="C2304" i="12"/>
  <c r="H2303" i="12"/>
  <c r="I2303" i="12" s="1"/>
  <c r="D2303" i="12"/>
  <c r="C2303" i="12"/>
  <c r="H2302" i="12"/>
  <c r="I2302" i="12" s="1"/>
  <c r="D2302" i="12"/>
  <c r="C2302" i="12"/>
  <c r="H2301" i="12"/>
  <c r="I2301" i="12" s="1"/>
  <c r="D2301" i="12"/>
  <c r="C2301" i="12"/>
  <c r="H2300" i="12"/>
  <c r="I2300" i="12" s="1"/>
  <c r="D2300" i="12"/>
  <c r="C2300" i="12"/>
  <c r="H2299" i="12"/>
  <c r="I2299" i="12" s="1"/>
  <c r="D2299" i="12"/>
  <c r="C2299" i="12"/>
  <c r="H2298" i="12"/>
  <c r="I2298" i="12" s="1"/>
  <c r="D2298" i="12"/>
  <c r="C2298" i="12"/>
  <c r="H2297" i="12"/>
  <c r="I2297" i="12" s="1"/>
  <c r="D2297" i="12"/>
  <c r="C2297" i="12"/>
  <c r="H2296" i="12"/>
  <c r="I2296" i="12" s="1"/>
  <c r="D2296" i="12"/>
  <c r="C2296" i="12"/>
  <c r="H2295" i="12"/>
  <c r="I2295" i="12" s="1"/>
  <c r="D2295" i="12"/>
  <c r="C2295" i="12"/>
  <c r="H2294" i="12"/>
  <c r="I2294" i="12" s="1"/>
  <c r="D2294" i="12"/>
  <c r="C2294" i="12"/>
  <c r="H2293" i="12"/>
  <c r="I2293" i="12" s="1"/>
  <c r="D2293" i="12"/>
  <c r="C2293" i="12"/>
  <c r="H2292" i="12"/>
  <c r="I2292" i="12" s="1"/>
  <c r="D2292" i="12"/>
  <c r="C2292" i="12"/>
  <c r="D2291" i="12"/>
  <c r="C2291" i="12"/>
  <c r="D2290" i="12"/>
  <c r="C2290" i="12"/>
  <c r="H2289" i="12"/>
  <c r="I2289" i="12" s="1"/>
  <c r="D2289" i="12"/>
  <c r="C2289" i="12"/>
  <c r="H2288" i="12"/>
  <c r="I2288" i="12" s="1"/>
  <c r="D2288" i="12"/>
  <c r="C2288" i="12"/>
  <c r="H2287" i="12"/>
  <c r="I2287" i="12" s="1"/>
  <c r="D2287" i="12"/>
  <c r="C2287" i="12"/>
  <c r="H2286" i="12"/>
  <c r="I2286" i="12" s="1"/>
  <c r="D2286" i="12"/>
  <c r="C2286" i="12"/>
  <c r="H2285" i="12"/>
  <c r="I2285" i="12" s="1"/>
  <c r="D2285" i="12"/>
  <c r="C2285" i="12"/>
  <c r="H2284" i="12"/>
  <c r="I2284" i="12" s="1"/>
  <c r="D2284" i="12"/>
  <c r="C2284" i="12"/>
  <c r="H2283" i="12"/>
  <c r="I2283" i="12" s="1"/>
  <c r="D2283" i="12"/>
  <c r="C2283" i="12"/>
  <c r="H2282" i="12"/>
  <c r="I2282" i="12" s="1"/>
  <c r="D2282" i="12"/>
  <c r="C2282" i="12"/>
  <c r="H2281" i="12"/>
  <c r="I2281" i="12" s="1"/>
  <c r="D2281" i="12"/>
  <c r="C2281" i="12"/>
  <c r="H2280" i="12"/>
  <c r="I2280" i="12" s="1"/>
  <c r="D2280" i="12"/>
  <c r="C2280" i="12"/>
  <c r="H2279" i="12"/>
  <c r="I2279" i="12" s="1"/>
  <c r="D2279" i="12"/>
  <c r="C2279" i="12"/>
  <c r="H2278" i="12"/>
  <c r="I2278" i="12" s="1"/>
  <c r="D2278" i="12"/>
  <c r="C2278" i="12"/>
  <c r="H2277" i="12"/>
  <c r="I2277" i="12" s="1"/>
  <c r="D2277" i="12"/>
  <c r="C2277" i="12"/>
  <c r="H2276" i="12"/>
  <c r="I2276" i="12" s="1"/>
  <c r="D2276" i="12"/>
  <c r="C2276" i="12"/>
  <c r="H2275" i="12"/>
  <c r="I2275" i="12" s="1"/>
  <c r="D2275" i="12"/>
  <c r="C2275" i="12"/>
  <c r="H2274" i="12"/>
  <c r="I2274" i="12" s="1"/>
  <c r="D2274" i="12"/>
  <c r="C2274" i="12"/>
  <c r="H2273" i="12"/>
  <c r="I2273" i="12" s="1"/>
  <c r="D2273" i="12"/>
  <c r="C2273" i="12"/>
  <c r="H2272" i="12"/>
  <c r="I2272" i="12" s="1"/>
  <c r="D2272" i="12"/>
  <c r="C2272" i="12"/>
  <c r="H2271" i="12"/>
  <c r="I2271" i="12" s="1"/>
  <c r="D2271" i="12"/>
  <c r="C2271" i="12"/>
  <c r="H2270" i="12"/>
  <c r="I2270" i="12" s="1"/>
  <c r="D2270" i="12"/>
  <c r="C2270" i="12"/>
  <c r="D2269" i="12"/>
  <c r="C2269" i="12"/>
  <c r="D2268" i="12"/>
  <c r="C2268" i="12"/>
  <c r="H2267" i="12"/>
  <c r="I2267" i="12" s="1"/>
  <c r="D2267" i="12"/>
  <c r="C2267" i="12"/>
  <c r="H2266" i="12"/>
  <c r="I2266" i="12" s="1"/>
  <c r="D2266" i="12"/>
  <c r="C2266" i="12"/>
  <c r="H2265" i="12"/>
  <c r="I2265" i="12" s="1"/>
  <c r="D2265" i="12"/>
  <c r="C2265" i="12"/>
  <c r="H2264" i="12"/>
  <c r="I2264" i="12" s="1"/>
  <c r="D2264" i="12"/>
  <c r="C2264" i="12"/>
  <c r="H2263" i="12"/>
  <c r="I2263" i="12" s="1"/>
  <c r="D2263" i="12"/>
  <c r="C2263" i="12"/>
  <c r="H2262" i="12"/>
  <c r="I2262" i="12" s="1"/>
  <c r="D2262" i="12"/>
  <c r="C2262" i="12"/>
  <c r="H2261" i="12"/>
  <c r="I2261" i="12" s="1"/>
  <c r="D2261" i="12"/>
  <c r="C2261" i="12"/>
  <c r="H2260" i="12"/>
  <c r="I2260" i="12" s="1"/>
  <c r="D2260" i="12"/>
  <c r="C2260" i="12"/>
  <c r="H2259" i="12"/>
  <c r="I2259" i="12" s="1"/>
  <c r="D2259" i="12"/>
  <c r="C2259" i="12"/>
  <c r="H2258" i="12"/>
  <c r="I2258" i="12" s="1"/>
  <c r="D2258" i="12"/>
  <c r="C2258" i="12"/>
  <c r="H2257" i="12"/>
  <c r="I2257" i="12" s="1"/>
  <c r="D2257" i="12"/>
  <c r="C2257" i="12"/>
  <c r="H2256" i="12"/>
  <c r="I2256" i="12" s="1"/>
  <c r="D2256" i="12"/>
  <c r="C2256" i="12"/>
  <c r="H2255" i="12"/>
  <c r="I2255" i="12" s="1"/>
  <c r="D2255" i="12"/>
  <c r="C2255" i="12"/>
  <c r="H2254" i="12"/>
  <c r="I2254" i="12" s="1"/>
  <c r="D2254" i="12"/>
  <c r="C2254" i="12"/>
  <c r="H2253" i="12"/>
  <c r="I2253" i="12" s="1"/>
  <c r="D2253" i="12"/>
  <c r="C2253" i="12"/>
  <c r="H2252" i="12"/>
  <c r="I2252" i="12" s="1"/>
  <c r="D2252" i="12"/>
  <c r="C2252" i="12"/>
  <c r="H2251" i="12"/>
  <c r="I2251" i="12" s="1"/>
  <c r="D2251" i="12"/>
  <c r="C2251" i="12"/>
  <c r="H2250" i="12"/>
  <c r="I2250" i="12" s="1"/>
  <c r="D2250" i="12"/>
  <c r="C2250" i="12"/>
  <c r="H2249" i="12"/>
  <c r="I2249" i="12" s="1"/>
  <c r="D2249" i="12"/>
  <c r="C2249" i="12"/>
  <c r="H2248" i="12"/>
  <c r="I2248" i="12" s="1"/>
  <c r="D2248" i="12"/>
  <c r="C2248" i="12"/>
  <c r="D2247" i="12"/>
  <c r="C2247" i="12"/>
  <c r="D2246" i="12"/>
  <c r="C2246" i="12"/>
  <c r="H2245" i="12"/>
  <c r="I2245" i="12" s="1"/>
  <c r="D2245" i="12"/>
  <c r="C2245" i="12"/>
  <c r="H2244" i="12"/>
  <c r="I2244" i="12" s="1"/>
  <c r="D2244" i="12"/>
  <c r="C2244" i="12"/>
  <c r="H2243" i="12"/>
  <c r="I2243" i="12" s="1"/>
  <c r="D2243" i="12"/>
  <c r="C2243" i="12"/>
  <c r="H2242" i="12"/>
  <c r="I2242" i="12" s="1"/>
  <c r="D2242" i="12"/>
  <c r="C2242" i="12"/>
  <c r="H2241" i="12"/>
  <c r="I2241" i="12" s="1"/>
  <c r="D2241" i="12"/>
  <c r="C2241" i="12"/>
  <c r="H2240" i="12"/>
  <c r="I2240" i="12" s="1"/>
  <c r="D2240" i="12"/>
  <c r="C2240" i="12"/>
  <c r="H2239" i="12"/>
  <c r="I2239" i="12" s="1"/>
  <c r="D2239" i="12"/>
  <c r="C2239" i="12"/>
  <c r="H2238" i="12"/>
  <c r="I2238" i="12" s="1"/>
  <c r="D2238" i="12"/>
  <c r="C2238" i="12"/>
  <c r="H2237" i="12"/>
  <c r="I2237" i="12" s="1"/>
  <c r="D2237" i="12"/>
  <c r="C2237" i="12"/>
  <c r="H2236" i="12"/>
  <c r="I2236" i="12" s="1"/>
  <c r="D2236" i="12"/>
  <c r="C2236" i="12"/>
  <c r="H2235" i="12"/>
  <c r="I2235" i="12" s="1"/>
  <c r="D2235" i="12"/>
  <c r="C2235" i="12"/>
  <c r="H2234" i="12"/>
  <c r="I2234" i="12" s="1"/>
  <c r="D2234" i="12"/>
  <c r="C2234" i="12"/>
  <c r="H2233" i="12"/>
  <c r="I2233" i="12" s="1"/>
  <c r="D2233" i="12"/>
  <c r="C2233" i="12"/>
  <c r="H2232" i="12"/>
  <c r="I2232" i="12" s="1"/>
  <c r="D2232" i="12"/>
  <c r="C2232" i="12"/>
  <c r="H2231" i="12"/>
  <c r="I2231" i="12" s="1"/>
  <c r="D2231" i="12"/>
  <c r="C2231" i="12"/>
  <c r="H2230" i="12"/>
  <c r="I2230" i="12" s="1"/>
  <c r="D2230" i="12"/>
  <c r="C2230" i="12"/>
  <c r="H2229" i="12"/>
  <c r="I2229" i="12" s="1"/>
  <c r="D2229" i="12"/>
  <c r="C2229" i="12"/>
  <c r="H2228" i="12"/>
  <c r="I2228" i="12" s="1"/>
  <c r="D2228" i="12"/>
  <c r="C2228" i="12"/>
  <c r="H2227" i="12"/>
  <c r="I2227" i="12" s="1"/>
  <c r="D2227" i="12"/>
  <c r="C2227" i="12"/>
  <c r="H2226" i="12"/>
  <c r="I2226" i="12" s="1"/>
  <c r="D2226" i="12"/>
  <c r="C2226" i="12"/>
  <c r="D2225" i="12"/>
  <c r="C2225" i="12"/>
  <c r="D2224" i="12"/>
  <c r="C2224" i="12"/>
  <c r="H2223" i="12"/>
  <c r="I2223" i="12" s="1"/>
  <c r="D2223" i="12"/>
  <c r="C2223" i="12"/>
  <c r="H2222" i="12"/>
  <c r="I2222" i="12" s="1"/>
  <c r="D2222" i="12"/>
  <c r="C2222" i="12"/>
  <c r="H2221" i="12"/>
  <c r="I2221" i="12" s="1"/>
  <c r="D2221" i="12"/>
  <c r="C2221" i="12"/>
  <c r="I2220" i="12"/>
  <c r="H2220" i="12"/>
  <c r="D2220" i="12"/>
  <c r="C2220" i="12"/>
  <c r="I2219" i="12"/>
  <c r="H2219" i="12"/>
  <c r="D2219" i="12"/>
  <c r="C2219" i="12"/>
  <c r="I2218" i="12"/>
  <c r="H2218" i="12"/>
  <c r="D2218" i="12"/>
  <c r="C2218" i="12"/>
  <c r="I2217" i="12"/>
  <c r="H2217" i="12"/>
  <c r="D2217" i="12"/>
  <c r="C2217" i="12"/>
  <c r="I2216" i="12"/>
  <c r="H2216" i="12"/>
  <c r="D2216" i="12"/>
  <c r="C2216" i="12"/>
  <c r="I2215" i="12"/>
  <c r="H2215" i="12"/>
  <c r="D2215" i="12"/>
  <c r="C2215" i="12"/>
  <c r="I2214" i="12"/>
  <c r="H2214" i="12"/>
  <c r="D2214" i="12"/>
  <c r="C2214" i="12"/>
  <c r="I2213" i="12"/>
  <c r="H2213" i="12"/>
  <c r="D2213" i="12"/>
  <c r="C2213" i="12"/>
  <c r="I2212" i="12"/>
  <c r="H2212" i="12"/>
  <c r="D2212" i="12"/>
  <c r="C2212" i="12"/>
  <c r="I2211" i="12"/>
  <c r="H2211" i="12"/>
  <c r="D2211" i="12"/>
  <c r="C2211" i="12"/>
  <c r="I2210" i="12"/>
  <c r="H2210" i="12"/>
  <c r="D2210" i="12"/>
  <c r="C2210" i="12"/>
  <c r="I2209" i="12"/>
  <c r="H2209" i="12"/>
  <c r="D2209" i="12"/>
  <c r="C2209" i="12"/>
  <c r="I2208" i="12"/>
  <c r="H2208" i="12"/>
  <c r="D2208" i="12"/>
  <c r="C2208" i="12"/>
  <c r="I2207" i="12"/>
  <c r="H2207" i="12"/>
  <c r="D2207" i="12"/>
  <c r="C2207" i="12"/>
  <c r="I2206" i="12"/>
  <c r="H2206" i="12"/>
  <c r="D2206" i="12"/>
  <c r="C2206" i="12"/>
  <c r="I2205" i="12"/>
  <c r="H2205" i="12"/>
  <c r="D2205" i="12"/>
  <c r="C2205" i="12"/>
  <c r="I2204" i="12"/>
  <c r="H2204" i="12"/>
  <c r="D2204" i="12"/>
  <c r="C2204" i="12"/>
  <c r="D2203" i="12"/>
  <c r="C2203" i="12"/>
  <c r="D2202" i="12"/>
  <c r="C2202" i="12"/>
  <c r="I2201" i="12"/>
  <c r="H2201" i="12"/>
  <c r="D2201" i="12"/>
  <c r="C2201" i="12"/>
  <c r="I2200" i="12"/>
  <c r="H2200" i="12"/>
  <c r="D2200" i="12"/>
  <c r="C2200" i="12"/>
  <c r="I2199" i="12"/>
  <c r="H2199" i="12"/>
  <c r="D2199" i="12"/>
  <c r="C2199" i="12"/>
  <c r="I2198" i="12"/>
  <c r="H2198" i="12"/>
  <c r="D2198" i="12"/>
  <c r="C2198" i="12"/>
  <c r="I2197" i="12"/>
  <c r="H2197" i="12"/>
  <c r="D2197" i="12"/>
  <c r="C2197" i="12"/>
  <c r="I2196" i="12"/>
  <c r="H2196" i="12"/>
  <c r="D2196" i="12"/>
  <c r="C2196" i="12"/>
  <c r="I2195" i="12"/>
  <c r="H2195" i="12"/>
  <c r="D2195" i="12"/>
  <c r="C2195" i="12"/>
  <c r="I2194" i="12"/>
  <c r="H2194" i="12"/>
  <c r="D2194" i="12"/>
  <c r="C2194" i="12"/>
  <c r="I2193" i="12"/>
  <c r="H2193" i="12"/>
  <c r="D2193" i="12"/>
  <c r="C2193" i="12"/>
  <c r="I2192" i="12"/>
  <c r="H2192" i="12"/>
  <c r="D2192" i="12"/>
  <c r="C2192" i="12"/>
  <c r="I2191" i="12"/>
  <c r="H2191" i="12"/>
  <c r="D2191" i="12"/>
  <c r="C2191" i="12"/>
  <c r="I2190" i="12"/>
  <c r="H2190" i="12"/>
  <c r="D2190" i="12"/>
  <c r="C2190" i="12"/>
  <c r="I2189" i="12"/>
  <c r="H2189" i="12"/>
  <c r="D2189" i="12"/>
  <c r="C2189" i="12"/>
  <c r="I2188" i="12"/>
  <c r="H2188" i="12"/>
  <c r="D2188" i="12"/>
  <c r="C2188" i="12"/>
  <c r="I2187" i="12"/>
  <c r="H2187" i="12"/>
  <c r="D2187" i="12"/>
  <c r="C2187" i="12"/>
  <c r="I2186" i="12"/>
  <c r="H2186" i="12"/>
  <c r="D2186" i="12"/>
  <c r="C2186" i="12"/>
  <c r="I2185" i="12"/>
  <c r="H2185" i="12"/>
  <c r="D2185" i="12"/>
  <c r="C2185" i="12"/>
  <c r="I2184" i="12"/>
  <c r="H2184" i="12"/>
  <c r="D2184" i="12"/>
  <c r="C2184" i="12"/>
  <c r="I2183" i="12"/>
  <c r="H2183" i="12"/>
  <c r="D2183" i="12"/>
  <c r="C2183" i="12"/>
  <c r="I2182" i="12"/>
  <c r="H2182" i="12"/>
  <c r="D2182" i="12"/>
  <c r="C2182" i="12"/>
  <c r="D2181" i="12"/>
  <c r="C2181" i="12"/>
  <c r="D2180" i="12"/>
  <c r="C2180" i="12"/>
  <c r="I2179" i="12"/>
  <c r="H2179" i="12"/>
  <c r="D2179" i="12"/>
  <c r="C2179" i="12"/>
  <c r="I2178" i="12"/>
  <c r="H2178" i="12"/>
  <c r="D2178" i="12"/>
  <c r="C2178" i="12"/>
  <c r="I2177" i="12"/>
  <c r="H2177" i="12"/>
  <c r="D2177" i="12"/>
  <c r="C2177" i="12"/>
  <c r="I2176" i="12"/>
  <c r="H2176" i="12"/>
  <c r="D2176" i="12"/>
  <c r="C2176" i="12"/>
  <c r="I2175" i="12"/>
  <c r="H2175" i="12"/>
  <c r="D2175" i="12"/>
  <c r="C2175" i="12"/>
  <c r="I2174" i="12"/>
  <c r="H2174" i="12"/>
  <c r="D2174" i="12"/>
  <c r="C2174" i="12"/>
  <c r="I2173" i="12"/>
  <c r="H2173" i="12"/>
  <c r="D2173" i="12"/>
  <c r="C2173" i="12"/>
  <c r="I2172" i="12"/>
  <c r="H2172" i="12"/>
  <c r="D2172" i="12"/>
  <c r="C2172" i="12"/>
  <c r="I2171" i="12"/>
  <c r="H2171" i="12"/>
  <c r="D2171" i="12"/>
  <c r="C2171" i="12"/>
  <c r="I2170" i="12"/>
  <c r="H2170" i="12"/>
  <c r="D2170" i="12"/>
  <c r="C2170" i="12"/>
  <c r="I2169" i="12"/>
  <c r="H2169" i="12"/>
  <c r="D2169" i="12"/>
  <c r="C2169" i="12"/>
  <c r="I2168" i="12"/>
  <c r="H2168" i="12"/>
  <c r="D2168" i="12"/>
  <c r="C2168" i="12"/>
  <c r="I2167" i="12"/>
  <c r="H2167" i="12"/>
  <c r="D2167" i="12"/>
  <c r="C2167" i="12"/>
  <c r="I2166" i="12"/>
  <c r="H2166" i="12"/>
  <c r="D2166" i="12"/>
  <c r="C2166" i="12"/>
  <c r="I2165" i="12"/>
  <c r="H2165" i="12"/>
  <c r="D2165" i="12"/>
  <c r="C2165" i="12"/>
  <c r="I2164" i="12"/>
  <c r="H2164" i="12"/>
  <c r="D2164" i="12"/>
  <c r="C2164" i="12"/>
  <c r="I2163" i="12"/>
  <c r="H2163" i="12"/>
  <c r="D2163" i="12"/>
  <c r="C2163" i="12"/>
  <c r="I2162" i="12"/>
  <c r="H2162" i="12"/>
  <c r="D2162" i="12"/>
  <c r="C2162" i="12"/>
  <c r="I2161" i="12"/>
  <c r="H2161" i="12"/>
  <c r="D2161" i="12"/>
  <c r="C2161" i="12"/>
  <c r="I2160" i="12"/>
  <c r="H2160" i="12"/>
  <c r="D2160" i="12"/>
  <c r="C2160" i="12"/>
  <c r="D2159" i="12"/>
  <c r="C2159" i="12"/>
  <c r="D2158" i="12"/>
  <c r="C2158" i="12"/>
  <c r="I2157" i="12"/>
  <c r="H2157" i="12"/>
  <c r="D2157" i="12"/>
  <c r="C2157" i="12"/>
  <c r="I2156" i="12"/>
  <c r="H2156" i="12"/>
  <c r="D2156" i="12"/>
  <c r="C2156" i="12"/>
  <c r="I2155" i="12"/>
  <c r="H2155" i="12"/>
  <c r="D2155" i="12"/>
  <c r="C2155" i="12"/>
  <c r="I2154" i="12"/>
  <c r="H2154" i="12"/>
  <c r="D2154" i="12"/>
  <c r="C2154" i="12"/>
  <c r="I2153" i="12"/>
  <c r="H2153" i="12"/>
  <c r="D2153" i="12"/>
  <c r="C2153" i="12"/>
  <c r="I2152" i="12"/>
  <c r="H2152" i="12"/>
  <c r="D2152" i="12"/>
  <c r="C2152" i="12"/>
  <c r="I2151" i="12"/>
  <c r="H2151" i="12"/>
  <c r="D2151" i="12"/>
  <c r="C2151" i="12"/>
  <c r="I2150" i="12"/>
  <c r="H2150" i="12"/>
  <c r="D2150" i="12"/>
  <c r="C2150" i="12"/>
  <c r="I2149" i="12"/>
  <c r="H2149" i="12"/>
  <c r="D2149" i="12"/>
  <c r="C2149" i="12"/>
  <c r="I2148" i="12"/>
  <c r="H2148" i="12"/>
  <c r="D2148" i="12"/>
  <c r="C2148" i="12"/>
  <c r="I2147" i="12"/>
  <c r="H2147" i="12"/>
  <c r="D2147" i="12"/>
  <c r="C2147" i="12"/>
  <c r="I2146" i="12"/>
  <c r="H2146" i="12"/>
  <c r="D2146" i="12"/>
  <c r="C2146" i="12"/>
  <c r="I2145" i="12"/>
  <c r="H2145" i="12"/>
  <c r="D2145" i="12"/>
  <c r="C2145" i="12"/>
  <c r="I2144" i="12"/>
  <c r="H2144" i="12"/>
  <c r="D2144" i="12"/>
  <c r="C2144" i="12"/>
  <c r="I2143" i="12"/>
  <c r="H2143" i="12"/>
  <c r="D2143" i="12"/>
  <c r="C2143" i="12"/>
  <c r="I2142" i="12"/>
  <c r="H2142" i="12"/>
  <c r="D2142" i="12"/>
  <c r="C2142" i="12"/>
  <c r="I2141" i="12"/>
  <c r="H2141" i="12"/>
  <c r="D2141" i="12"/>
  <c r="C2141" i="12"/>
  <c r="I2140" i="12"/>
  <c r="H2140" i="12"/>
  <c r="D2140" i="12"/>
  <c r="C2140" i="12"/>
  <c r="I2139" i="12"/>
  <c r="H2139" i="12"/>
  <c r="D2139" i="12"/>
  <c r="C2139" i="12"/>
  <c r="I2138" i="12"/>
  <c r="H2138" i="12"/>
  <c r="D2138" i="12"/>
  <c r="C2138" i="12"/>
  <c r="D2137" i="12"/>
  <c r="C2137" i="12"/>
  <c r="D2136" i="12"/>
  <c r="C2136" i="12"/>
  <c r="I2135" i="12"/>
  <c r="H2135" i="12"/>
  <c r="D2135" i="12"/>
  <c r="C2135" i="12"/>
  <c r="I2134" i="12"/>
  <c r="H2134" i="12"/>
  <c r="D2134" i="12"/>
  <c r="C2134" i="12"/>
  <c r="I2133" i="12"/>
  <c r="H2133" i="12"/>
  <c r="D2133" i="12"/>
  <c r="C2133" i="12"/>
  <c r="I2132" i="12"/>
  <c r="H2132" i="12"/>
  <c r="D2132" i="12"/>
  <c r="C2132" i="12"/>
  <c r="I2131" i="12"/>
  <c r="H2131" i="12"/>
  <c r="D2131" i="12"/>
  <c r="C2131" i="12"/>
  <c r="I2130" i="12"/>
  <c r="H2130" i="12"/>
  <c r="D2130" i="12"/>
  <c r="C2130" i="12"/>
  <c r="I2129" i="12"/>
  <c r="H2129" i="12"/>
  <c r="D2129" i="12"/>
  <c r="C2129" i="12"/>
  <c r="I2128" i="12"/>
  <c r="H2128" i="12"/>
  <c r="D2128" i="12"/>
  <c r="C2128" i="12"/>
  <c r="I2127" i="12"/>
  <c r="H2127" i="12"/>
  <c r="D2127" i="12"/>
  <c r="C2127" i="12"/>
  <c r="I2126" i="12"/>
  <c r="H2126" i="12"/>
  <c r="D2126" i="12"/>
  <c r="C2126" i="12"/>
  <c r="I2125" i="12"/>
  <c r="H2125" i="12"/>
  <c r="D2125" i="12"/>
  <c r="C2125" i="12"/>
  <c r="I2124" i="12"/>
  <c r="H2124" i="12"/>
  <c r="D2124" i="12"/>
  <c r="C2124" i="12"/>
  <c r="I2123" i="12"/>
  <c r="H2123" i="12"/>
  <c r="D2123" i="12"/>
  <c r="C2123" i="12"/>
  <c r="I2122" i="12"/>
  <c r="H2122" i="12"/>
  <c r="D2122" i="12"/>
  <c r="C2122" i="12"/>
  <c r="I2121" i="12"/>
  <c r="H2121" i="12"/>
  <c r="D2121" i="12"/>
  <c r="C2121" i="12"/>
  <c r="I2120" i="12"/>
  <c r="H2120" i="12"/>
  <c r="D2120" i="12"/>
  <c r="C2120" i="12"/>
  <c r="I2119" i="12"/>
  <c r="H2119" i="12"/>
  <c r="D2119" i="12"/>
  <c r="C2119" i="12"/>
  <c r="I2118" i="12"/>
  <c r="H2118" i="12"/>
  <c r="D2118" i="12"/>
  <c r="C2118" i="12"/>
  <c r="I2117" i="12"/>
  <c r="H2117" i="12"/>
  <c r="D2117" i="12"/>
  <c r="C2117" i="12"/>
  <c r="I2116" i="12"/>
  <c r="H2116" i="12"/>
  <c r="D2116" i="12"/>
  <c r="C2116" i="12"/>
  <c r="D2115" i="12"/>
  <c r="C2115" i="12"/>
  <c r="D2114" i="12"/>
  <c r="C2114" i="12"/>
  <c r="I2113" i="12"/>
  <c r="H2113" i="12"/>
  <c r="D2113" i="12"/>
  <c r="C2113" i="12"/>
  <c r="I2112" i="12"/>
  <c r="H2112" i="12"/>
  <c r="D2112" i="12"/>
  <c r="C2112" i="12"/>
  <c r="I2111" i="12"/>
  <c r="H2111" i="12"/>
  <c r="D2111" i="12"/>
  <c r="C2111" i="12"/>
  <c r="I2110" i="12"/>
  <c r="H2110" i="12"/>
  <c r="D2110" i="12"/>
  <c r="C2110" i="12"/>
  <c r="I2109" i="12"/>
  <c r="H2109" i="12"/>
  <c r="D2109" i="12"/>
  <c r="C2109" i="12"/>
  <c r="I2108" i="12"/>
  <c r="H2108" i="12"/>
  <c r="D2108" i="12"/>
  <c r="C2108" i="12"/>
  <c r="I2107" i="12"/>
  <c r="H2107" i="12"/>
  <c r="D2107" i="12"/>
  <c r="C2107" i="12"/>
  <c r="I2106" i="12"/>
  <c r="H2106" i="12"/>
  <c r="D2106" i="12"/>
  <c r="C2106" i="12"/>
  <c r="I2105" i="12"/>
  <c r="H2105" i="12"/>
  <c r="D2105" i="12"/>
  <c r="C2105" i="12"/>
  <c r="I2104" i="12"/>
  <c r="H2104" i="12"/>
  <c r="D2104" i="12"/>
  <c r="C2104" i="12"/>
  <c r="I2103" i="12"/>
  <c r="H2103" i="12"/>
  <c r="D2103" i="12"/>
  <c r="C2103" i="12"/>
  <c r="I2102" i="12"/>
  <c r="H2102" i="12"/>
  <c r="D2102" i="12"/>
  <c r="C2102" i="12"/>
  <c r="I2101" i="12"/>
  <c r="H2101" i="12"/>
  <c r="D2101" i="12"/>
  <c r="C2101" i="12"/>
  <c r="I2100" i="12"/>
  <c r="H2100" i="12"/>
  <c r="D2100" i="12"/>
  <c r="C2100" i="12"/>
  <c r="I2099" i="12"/>
  <c r="H2099" i="12"/>
  <c r="D2099" i="12"/>
  <c r="C2099" i="12"/>
  <c r="I2098" i="12"/>
  <c r="H2098" i="12"/>
  <c r="D2098" i="12"/>
  <c r="C2098" i="12"/>
  <c r="I2097" i="12"/>
  <c r="H2097" i="12"/>
  <c r="D2097" i="12"/>
  <c r="C2097" i="12"/>
  <c r="I2096" i="12"/>
  <c r="H2096" i="12"/>
  <c r="D2096" i="12"/>
  <c r="C2096" i="12"/>
  <c r="I2095" i="12"/>
  <c r="H2095" i="12"/>
  <c r="D2095" i="12"/>
  <c r="C2095" i="12"/>
  <c r="I2094" i="12"/>
  <c r="H2094" i="12"/>
  <c r="D2094" i="12"/>
  <c r="C2094" i="12"/>
  <c r="D2093" i="12"/>
  <c r="C2093" i="12"/>
  <c r="D2092" i="12"/>
  <c r="C2092" i="12"/>
  <c r="I2091" i="12"/>
  <c r="H2091" i="12"/>
  <c r="D2091" i="12"/>
  <c r="C2091" i="12"/>
  <c r="I2090" i="12"/>
  <c r="H2090" i="12"/>
  <c r="D2090" i="12"/>
  <c r="C2090" i="12"/>
  <c r="I2089" i="12"/>
  <c r="H2089" i="12"/>
  <c r="D2089" i="12"/>
  <c r="C2089" i="12"/>
  <c r="I2088" i="12"/>
  <c r="H2088" i="12"/>
  <c r="D2088" i="12"/>
  <c r="C2088" i="12"/>
  <c r="I2087" i="12"/>
  <c r="H2087" i="12"/>
  <c r="D2087" i="12"/>
  <c r="C2087" i="12"/>
  <c r="I2086" i="12"/>
  <c r="H2086" i="12"/>
  <c r="D2086" i="12"/>
  <c r="C2086" i="12"/>
  <c r="I2085" i="12"/>
  <c r="H2085" i="12"/>
  <c r="D2085" i="12"/>
  <c r="C2085" i="12"/>
  <c r="I2084" i="12"/>
  <c r="H2084" i="12"/>
  <c r="D2084" i="12"/>
  <c r="C2084" i="12"/>
  <c r="I2083" i="12"/>
  <c r="H2083" i="12"/>
  <c r="D2083" i="12"/>
  <c r="C2083" i="12"/>
  <c r="I2082" i="12"/>
  <c r="H2082" i="12"/>
  <c r="D2082" i="12"/>
  <c r="C2082" i="12"/>
  <c r="I2081" i="12"/>
  <c r="H2081" i="12"/>
  <c r="D2081" i="12"/>
  <c r="C2081" i="12"/>
  <c r="I2080" i="12"/>
  <c r="H2080" i="12"/>
  <c r="D2080" i="12"/>
  <c r="C2080" i="12"/>
  <c r="I2079" i="12"/>
  <c r="H2079" i="12"/>
  <c r="D2079" i="12"/>
  <c r="C2079" i="12"/>
  <c r="I2078" i="12"/>
  <c r="H2078" i="12"/>
  <c r="D2078" i="12"/>
  <c r="C2078" i="12"/>
  <c r="I2077" i="12"/>
  <c r="H2077" i="12"/>
  <c r="D2077" i="12"/>
  <c r="C2077" i="12"/>
  <c r="I2076" i="12"/>
  <c r="H2076" i="12"/>
  <c r="D2076" i="12"/>
  <c r="C2076" i="12"/>
  <c r="I2075" i="12"/>
  <c r="H2075" i="12"/>
  <c r="D2075" i="12"/>
  <c r="C2075" i="12"/>
  <c r="I2074" i="12"/>
  <c r="H2074" i="12"/>
  <c r="D2074" i="12"/>
  <c r="C2074" i="12"/>
  <c r="I2073" i="12"/>
  <c r="H2073" i="12"/>
  <c r="D2073" i="12"/>
  <c r="C2073" i="12"/>
  <c r="I2072" i="12"/>
  <c r="H2072" i="12"/>
  <c r="D2072" i="12"/>
  <c r="C2072" i="12"/>
  <c r="D2071" i="12"/>
  <c r="C2071" i="12"/>
  <c r="D2070" i="12"/>
  <c r="C2070" i="12"/>
  <c r="I2069" i="12"/>
  <c r="H2069" i="12"/>
  <c r="D2069" i="12"/>
  <c r="C2069" i="12"/>
  <c r="I2068" i="12"/>
  <c r="H2068" i="12"/>
  <c r="D2068" i="12"/>
  <c r="C2068" i="12"/>
  <c r="I2067" i="12"/>
  <c r="H2067" i="12"/>
  <c r="D2067" i="12"/>
  <c r="C2067" i="12"/>
  <c r="I2066" i="12"/>
  <c r="H2066" i="12"/>
  <c r="D2066" i="12"/>
  <c r="C2066" i="12"/>
  <c r="I2065" i="12"/>
  <c r="H2065" i="12"/>
  <c r="D2065" i="12"/>
  <c r="C2065" i="12"/>
  <c r="I2064" i="12"/>
  <c r="H2064" i="12"/>
  <c r="D2064" i="12"/>
  <c r="C2064" i="12"/>
  <c r="I2063" i="12"/>
  <c r="H2063" i="12"/>
  <c r="D2063" i="12"/>
  <c r="C2063" i="12"/>
  <c r="I2062" i="12"/>
  <c r="H2062" i="12"/>
  <c r="D2062" i="12"/>
  <c r="C2062" i="12"/>
  <c r="I2061" i="12"/>
  <c r="H2061" i="12"/>
  <c r="D2061" i="12"/>
  <c r="C2061" i="12"/>
  <c r="I2060" i="12"/>
  <c r="H2060" i="12"/>
  <c r="D2060" i="12"/>
  <c r="C2060" i="12"/>
  <c r="I2059" i="12"/>
  <c r="H2059" i="12"/>
  <c r="D2059" i="12"/>
  <c r="C2059" i="12"/>
  <c r="I2058" i="12"/>
  <c r="H2058" i="12"/>
  <c r="D2058" i="12"/>
  <c r="C2058" i="12"/>
  <c r="I2057" i="12"/>
  <c r="H2057" i="12"/>
  <c r="D2057" i="12"/>
  <c r="C2057" i="12"/>
  <c r="I2056" i="12"/>
  <c r="H2056" i="12"/>
  <c r="D2056" i="12"/>
  <c r="C2056" i="12"/>
  <c r="I2055" i="12"/>
  <c r="H2055" i="12"/>
  <c r="D2055" i="12"/>
  <c r="C2055" i="12"/>
  <c r="I2054" i="12"/>
  <c r="H2054" i="12"/>
  <c r="D2054" i="12"/>
  <c r="C2054" i="12"/>
  <c r="I2053" i="12"/>
  <c r="H2053" i="12"/>
  <c r="D2053" i="12"/>
  <c r="C2053" i="12"/>
  <c r="I2052" i="12"/>
  <c r="H2052" i="12"/>
  <c r="D2052" i="12"/>
  <c r="C2052" i="12"/>
  <c r="I2051" i="12"/>
  <c r="H2051" i="12"/>
  <c r="D2051" i="12"/>
  <c r="C2051" i="12"/>
  <c r="I2050" i="12"/>
  <c r="H2050" i="12"/>
  <c r="D2050" i="12"/>
  <c r="C2050" i="12"/>
  <c r="D2049" i="12"/>
  <c r="C2049" i="12"/>
  <c r="D2048" i="12"/>
  <c r="C2048" i="12"/>
  <c r="I2047" i="12"/>
  <c r="H2047" i="12"/>
  <c r="D2047" i="12"/>
  <c r="C2047" i="12"/>
  <c r="I2046" i="12"/>
  <c r="H2046" i="12"/>
  <c r="D2046" i="12"/>
  <c r="C2046" i="12"/>
  <c r="I2045" i="12"/>
  <c r="H2045" i="12"/>
  <c r="D2045" i="12"/>
  <c r="C2045" i="12"/>
  <c r="I2044" i="12"/>
  <c r="H2044" i="12"/>
  <c r="D2044" i="12"/>
  <c r="C2044" i="12"/>
  <c r="I2043" i="12"/>
  <c r="H2043" i="12"/>
  <c r="D2043" i="12"/>
  <c r="C2043" i="12"/>
  <c r="I2042" i="12"/>
  <c r="H2042" i="12"/>
  <c r="D2042" i="12"/>
  <c r="C2042" i="12"/>
  <c r="I2041" i="12"/>
  <c r="H2041" i="12"/>
  <c r="D2041" i="12"/>
  <c r="C2041" i="12"/>
  <c r="I2040" i="12"/>
  <c r="H2040" i="12"/>
  <c r="D2040" i="12"/>
  <c r="C2040" i="12"/>
  <c r="I2039" i="12"/>
  <c r="H2039" i="12"/>
  <c r="D2039" i="12"/>
  <c r="C2039" i="12"/>
  <c r="I2038" i="12"/>
  <c r="H2038" i="12"/>
  <c r="D2038" i="12"/>
  <c r="C2038" i="12"/>
  <c r="I2037" i="12"/>
  <c r="H2037" i="12"/>
  <c r="D2037" i="12"/>
  <c r="C2037" i="12"/>
  <c r="I2036" i="12"/>
  <c r="H2036" i="12"/>
  <c r="D2036" i="12"/>
  <c r="C2036" i="12"/>
  <c r="I2035" i="12"/>
  <c r="H2035" i="12"/>
  <c r="D2035" i="12"/>
  <c r="C2035" i="12"/>
  <c r="I2034" i="12"/>
  <c r="H2034" i="12"/>
  <c r="D2034" i="12"/>
  <c r="C2034" i="12"/>
  <c r="I2033" i="12"/>
  <c r="H2033" i="12"/>
  <c r="D2033" i="12"/>
  <c r="C2033" i="12"/>
  <c r="I2032" i="12"/>
  <c r="H2032" i="12"/>
  <c r="D2032" i="12"/>
  <c r="C2032" i="12"/>
  <c r="I2031" i="12"/>
  <c r="H2031" i="12"/>
  <c r="D2031" i="12"/>
  <c r="C2031" i="12"/>
  <c r="I2030" i="12"/>
  <c r="H2030" i="12"/>
  <c r="D2030" i="12"/>
  <c r="C2030" i="12"/>
  <c r="I2029" i="12"/>
  <c r="H2029" i="12"/>
  <c r="D2029" i="12"/>
  <c r="C2029" i="12"/>
  <c r="I2028" i="12"/>
  <c r="H2028" i="12"/>
  <c r="D2028" i="12"/>
  <c r="C2028" i="12"/>
  <c r="D2027" i="12"/>
  <c r="C2027" i="12"/>
  <c r="D2026" i="12"/>
  <c r="C2026" i="12"/>
  <c r="I2025" i="12"/>
  <c r="H2025" i="12"/>
  <c r="D2025" i="12"/>
  <c r="C2025" i="12"/>
  <c r="I2024" i="12"/>
  <c r="H2024" i="12"/>
  <c r="D2024" i="12"/>
  <c r="C2024" i="12"/>
  <c r="I2023" i="12"/>
  <c r="H2023" i="12"/>
  <c r="D2023" i="12"/>
  <c r="C2023" i="12"/>
  <c r="I2022" i="12"/>
  <c r="H2022" i="12"/>
  <c r="D2022" i="12"/>
  <c r="C2022" i="12"/>
  <c r="I2021" i="12"/>
  <c r="H2021" i="12"/>
  <c r="D2021" i="12"/>
  <c r="C2021" i="12"/>
  <c r="I2020" i="12"/>
  <c r="H2020" i="12"/>
  <c r="D2020" i="12"/>
  <c r="C2020" i="12"/>
  <c r="I2019" i="12"/>
  <c r="H2019" i="12"/>
  <c r="D2019" i="12"/>
  <c r="C2019" i="12"/>
  <c r="I2018" i="12"/>
  <c r="H2018" i="12"/>
  <c r="D2018" i="12"/>
  <c r="C2018" i="12"/>
  <c r="I2017" i="12"/>
  <c r="H2017" i="12"/>
  <c r="D2017" i="12"/>
  <c r="C2017" i="12"/>
  <c r="I2016" i="12"/>
  <c r="H2016" i="12"/>
  <c r="D2016" i="12"/>
  <c r="C2016" i="12"/>
  <c r="I2015" i="12"/>
  <c r="H2015" i="12"/>
  <c r="D2015" i="12"/>
  <c r="C2015" i="12"/>
  <c r="I2014" i="12"/>
  <c r="H2014" i="12"/>
  <c r="D2014" i="12"/>
  <c r="C2014" i="12"/>
  <c r="I2013" i="12"/>
  <c r="H2013" i="12"/>
  <c r="D2013" i="12"/>
  <c r="C2013" i="12"/>
  <c r="I2012" i="12"/>
  <c r="H2012" i="12"/>
  <c r="D2012" i="12"/>
  <c r="C2012" i="12"/>
  <c r="I2011" i="12"/>
  <c r="H2011" i="12"/>
  <c r="D2011" i="12"/>
  <c r="C2011" i="12"/>
  <c r="I2010" i="12"/>
  <c r="H2010" i="12"/>
  <c r="D2010" i="12"/>
  <c r="C2010" i="12"/>
  <c r="I2009" i="12"/>
  <c r="H2009" i="12"/>
  <c r="D2009" i="12"/>
  <c r="C2009" i="12"/>
  <c r="I2008" i="12"/>
  <c r="H2008" i="12"/>
  <c r="D2008" i="12"/>
  <c r="C2008" i="12"/>
  <c r="I2007" i="12"/>
  <c r="H2007" i="12"/>
  <c r="D2007" i="12"/>
  <c r="C2007" i="12"/>
  <c r="I2006" i="12"/>
  <c r="H2006" i="12"/>
  <c r="D2006" i="12"/>
  <c r="C2006" i="12"/>
  <c r="D2005" i="12"/>
  <c r="C2005" i="12"/>
  <c r="D2004" i="12"/>
  <c r="C2004" i="12"/>
  <c r="I2003" i="12"/>
  <c r="H2003" i="12"/>
  <c r="D2003" i="12"/>
  <c r="C2003" i="12"/>
  <c r="I2002" i="12"/>
  <c r="H2002" i="12"/>
  <c r="D2002" i="12"/>
  <c r="C2002" i="12"/>
  <c r="I2001" i="12"/>
  <c r="H2001" i="12"/>
  <c r="D2001" i="12"/>
  <c r="C2001" i="12"/>
  <c r="I2000" i="12"/>
  <c r="H2000" i="12"/>
  <c r="D2000" i="12"/>
  <c r="C2000" i="12"/>
  <c r="I1999" i="12"/>
  <c r="H1999" i="12"/>
  <c r="D1999" i="12"/>
  <c r="C1999" i="12"/>
  <c r="I1998" i="12"/>
  <c r="H1998" i="12"/>
  <c r="D1998" i="12"/>
  <c r="C1998" i="12"/>
  <c r="I1997" i="12"/>
  <c r="H1997" i="12"/>
  <c r="D1997" i="12"/>
  <c r="C1997" i="12"/>
  <c r="I1996" i="12"/>
  <c r="H1996" i="12"/>
  <c r="D1996" i="12"/>
  <c r="C1996" i="12"/>
  <c r="I1995" i="12"/>
  <c r="H1995" i="12"/>
  <c r="D1995" i="12"/>
  <c r="C1995" i="12"/>
  <c r="I1994" i="12"/>
  <c r="H1994" i="12"/>
  <c r="D1994" i="12"/>
  <c r="C1994" i="12"/>
  <c r="I1993" i="12"/>
  <c r="H1993" i="12"/>
  <c r="D1993" i="12"/>
  <c r="C1993" i="12"/>
  <c r="I1992" i="12"/>
  <c r="H1992" i="12"/>
  <c r="D1992" i="12"/>
  <c r="C1992" i="12"/>
  <c r="I1991" i="12"/>
  <c r="H1991" i="12"/>
  <c r="D1991" i="12"/>
  <c r="C1991" i="12"/>
  <c r="I1990" i="12"/>
  <c r="H1990" i="12"/>
  <c r="D1990" i="12"/>
  <c r="C1990" i="12"/>
  <c r="I1989" i="12"/>
  <c r="H1989" i="12"/>
  <c r="D1989" i="12"/>
  <c r="C1989" i="12"/>
  <c r="I1988" i="12"/>
  <c r="H1988" i="12"/>
  <c r="D1988" i="12"/>
  <c r="C1988" i="12"/>
  <c r="I1987" i="12"/>
  <c r="H1987" i="12"/>
  <c r="D1987" i="12"/>
  <c r="C1987" i="12"/>
  <c r="I1986" i="12"/>
  <c r="H1986" i="12"/>
  <c r="D1986" i="12"/>
  <c r="C1986" i="12"/>
  <c r="I1985" i="12"/>
  <c r="H1985" i="12"/>
  <c r="D1985" i="12"/>
  <c r="C1985" i="12"/>
  <c r="I1984" i="12"/>
  <c r="H1984" i="12"/>
  <c r="D1984" i="12"/>
  <c r="C1984" i="12"/>
  <c r="D1983" i="12"/>
  <c r="C1983" i="12"/>
  <c r="D1982" i="12"/>
  <c r="C1982" i="12"/>
  <c r="I1981" i="12"/>
  <c r="H1981" i="12"/>
  <c r="D1981" i="12"/>
  <c r="C1981" i="12"/>
  <c r="I1980" i="12"/>
  <c r="H1980" i="12"/>
  <c r="D1980" i="12"/>
  <c r="C1980" i="12"/>
  <c r="I1979" i="12"/>
  <c r="H1979" i="12"/>
  <c r="D1979" i="12"/>
  <c r="C1979" i="12"/>
  <c r="I1978" i="12"/>
  <c r="H1978" i="12"/>
  <c r="D1978" i="12"/>
  <c r="C1978" i="12"/>
  <c r="I1977" i="12"/>
  <c r="H1977" i="12"/>
  <c r="D1977" i="12"/>
  <c r="C1977" i="12"/>
  <c r="I1976" i="12"/>
  <c r="H1976" i="12"/>
  <c r="D1976" i="12"/>
  <c r="C1976" i="12"/>
  <c r="I1975" i="12"/>
  <c r="H1975" i="12"/>
  <c r="D1975" i="12"/>
  <c r="C1975" i="12"/>
  <c r="I1974" i="12"/>
  <c r="H1974" i="12"/>
  <c r="D1974" i="12"/>
  <c r="C1974" i="12"/>
  <c r="I1973" i="12"/>
  <c r="H1973" i="12"/>
  <c r="D1973" i="12"/>
  <c r="C1973" i="12"/>
  <c r="I1972" i="12"/>
  <c r="H1972" i="12"/>
  <c r="D1972" i="12"/>
  <c r="C1972" i="12"/>
  <c r="I1971" i="12"/>
  <c r="H1971" i="12"/>
  <c r="D1971" i="12"/>
  <c r="C1971" i="12"/>
  <c r="I1970" i="12"/>
  <c r="H1970" i="12"/>
  <c r="D1970" i="12"/>
  <c r="C1970" i="12"/>
  <c r="I1969" i="12"/>
  <c r="H1969" i="12"/>
  <c r="D1969" i="12"/>
  <c r="C1969" i="12"/>
  <c r="I1968" i="12"/>
  <c r="H1968" i="12"/>
  <c r="D1968" i="12"/>
  <c r="C1968" i="12"/>
  <c r="I1967" i="12"/>
  <c r="H1967" i="12"/>
  <c r="D1967" i="12"/>
  <c r="C1967" i="12"/>
  <c r="I1966" i="12"/>
  <c r="H1966" i="12"/>
  <c r="D1966" i="12"/>
  <c r="C1966" i="12"/>
  <c r="I1965" i="12"/>
  <c r="H1965" i="12"/>
  <c r="D1965" i="12"/>
  <c r="C1965" i="12"/>
  <c r="I1964" i="12"/>
  <c r="H1964" i="12"/>
  <c r="D1964" i="12"/>
  <c r="C1964" i="12"/>
  <c r="I1963" i="12"/>
  <c r="H1963" i="12"/>
  <c r="D1963" i="12"/>
  <c r="C1963" i="12"/>
  <c r="I1962" i="12"/>
  <c r="H1962" i="12"/>
  <c r="D1962" i="12"/>
  <c r="C1962" i="12"/>
  <c r="D1961" i="12"/>
  <c r="C1961" i="12"/>
  <c r="D1960" i="12"/>
  <c r="C1960" i="12"/>
  <c r="I1959" i="12"/>
  <c r="H1959" i="12"/>
  <c r="D1959" i="12"/>
  <c r="C1959" i="12"/>
  <c r="I1958" i="12"/>
  <c r="H1958" i="12"/>
  <c r="D1958" i="12"/>
  <c r="C1958" i="12"/>
  <c r="I1957" i="12"/>
  <c r="H1957" i="12"/>
  <c r="D1957" i="12"/>
  <c r="C1957" i="12"/>
  <c r="I1956" i="12"/>
  <c r="H1956" i="12"/>
  <c r="D1956" i="12"/>
  <c r="C1956" i="12"/>
  <c r="I1955" i="12"/>
  <c r="H1955" i="12"/>
  <c r="D1955" i="12"/>
  <c r="C1955" i="12"/>
  <c r="I1954" i="12"/>
  <c r="H1954" i="12"/>
  <c r="D1954" i="12"/>
  <c r="C1954" i="12"/>
  <c r="I1953" i="12"/>
  <c r="H1953" i="12"/>
  <c r="D1953" i="12"/>
  <c r="C1953" i="12"/>
  <c r="I1952" i="12"/>
  <c r="H1952" i="12"/>
  <c r="D1952" i="12"/>
  <c r="C1952" i="12"/>
  <c r="I1951" i="12"/>
  <c r="H1951" i="12"/>
  <c r="D1951" i="12"/>
  <c r="C1951" i="12"/>
  <c r="I1950" i="12"/>
  <c r="H1950" i="12"/>
  <c r="D1950" i="12"/>
  <c r="C1950" i="12"/>
  <c r="I1949" i="12"/>
  <c r="H1949" i="12"/>
  <c r="D1949" i="12"/>
  <c r="C1949" i="12"/>
  <c r="I1948" i="12"/>
  <c r="H1948" i="12"/>
  <c r="D1948" i="12"/>
  <c r="C1948" i="12"/>
  <c r="I1947" i="12"/>
  <c r="H1947" i="12"/>
  <c r="D1947" i="12"/>
  <c r="C1947" i="12"/>
  <c r="I1946" i="12"/>
  <c r="H1946" i="12"/>
  <c r="D1946" i="12"/>
  <c r="C1946" i="12"/>
  <c r="I1945" i="12"/>
  <c r="H1945" i="12"/>
  <c r="D1945" i="12"/>
  <c r="C1945" i="12"/>
  <c r="I1944" i="12"/>
  <c r="H1944" i="12"/>
  <c r="D1944" i="12"/>
  <c r="C1944" i="12"/>
  <c r="I1943" i="12"/>
  <c r="H1943" i="12"/>
  <c r="D1943" i="12"/>
  <c r="C1943" i="12"/>
  <c r="I1942" i="12"/>
  <c r="H1942" i="12"/>
  <c r="D1942" i="12"/>
  <c r="C1942" i="12"/>
  <c r="I1941" i="12"/>
  <c r="H1941" i="12"/>
  <c r="D1941" i="12"/>
  <c r="C1941" i="12"/>
  <c r="I1940" i="12"/>
  <c r="H1940" i="12"/>
  <c r="D1940" i="12"/>
  <c r="C1940" i="12"/>
  <c r="D1939" i="12"/>
  <c r="C1939" i="12"/>
  <c r="D1938" i="12"/>
  <c r="C1938" i="12"/>
  <c r="I1937" i="12"/>
  <c r="H1937" i="12"/>
  <c r="D1937" i="12"/>
  <c r="C1937" i="12"/>
  <c r="I1936" i="12"/>
  <c r="H1936" i="12"/>
  <c r="D1936" i="12"/>
  <c r="C1936" i="12"/>
  <c r="I1935" i="12"/>
  <c r="H1935" i="12"/>
  <c r="D1935" i="12"/>
  <c r="C1935" i="12"/>
  <c r="I1934" i="12"/>
  <c r="H1934" i="12"/>
  <c r="D1934" i="12"/>
  <c r="C1934" i="12"/>
  <c r="I1933" i="12"/>
  <c r="H1933" i="12"/>
  <c r="D1933" i="12"/>
  <c r="C1933" i="12"/>
  <c r="I1932" i="12"/>
  <c r="H1932" i="12"/>
  <c r="D1932" i="12"/>
  <c r="C1932" i="12"/>
  <c r="I1931" i="12"/>
  <c r="H1931" i="12"/>
  <c r="D1931" i="12"/>
  <c r="C1931" i="12"/>
  <c r="I1930" i="12"/>
  <c r="H1930" i="12"/>
  <c r="D1930" i="12"/>
  <c r="C1930" i="12"/>
  <c r="I1929" i="12"/>
  <c r="H1929" i="12"/>
  <c r="D1929" i="12"/>
  <c r="C1929" i="12"/>
  <c r="I1928" i="12"/>
  <c r="H1928" i="12"/>
  <c r="D1928" i="12"/>
  <c r="C1928" i="12"/>
  <c r="I1927" i="12"/>
  <c r="H1927" i="12"/>
  <c r="D1927" i="12"/>
  <c r="C1927" i="12"/>
  <c r="I1926" i="12"/>
  <c r="H1926" i="12"/>
  <c r="D1926" i="12"/>
  <c r="C1926" i="12"/>
  <c r="I1925" i="12"/>
  <c r="H1925" i="12"/>
  <c r="D1925" i="12"/>
  <c r="C1925" i="12"/>
  <c r="I1924" i="12"/>
  <c r="H1924" i="12"/>
  <c r="D1924" i="12"/>
  <c r="C1924" i="12"/>
  <c r="I1923" i="12"/>
  <c r="H1923" i="12"/>
  <c r="D1923" i="12"/>
  <c r="C1923" i="12"/>
  <c r="I1922" i="12"/>
  <c r="H1922" i="12"/>
  <c r="D1922" i="12"/>
  <c r="C1922" i="12"/>
  <c r="I1921" i="12"/>
  <c r="H1921" i="12"/>
  <c r="D1921" i="12"/>
  <c r="C1921" i="12"/>
  <c r="I1920" i="12"/>
  <c r="H1920" i="12"/>
  <c r="D1920" i="12"/>
  <c r="C1920" i="12"/>
  <c r="I1919" i="12"/>
  <c r="H1919" i="12"/>
  <c r="D1919" i="12"/>
  <c r="C1919" i="12"/>
  <c r="I1918" i="12"/>
  <c r="H1918" i="12"/>
  <c r="D1918" i="12"/>
  <c r="C1918" i="12"/>
  <c r="D1917" i="12"/>
  <c r="C1917" i="12"/>
  <c r="D1916" i="12"/>
  <c r="C1916" i="12"/>
  <c r="I1915" i="12"/>
  <c r="H1915" i="12"/>
  <c r="D1915" i="12"/>
  <c r="C1915" i="12"/>
  <c r="I1914" i="12"/>
  <c r="H1914" i="12"/>
  <c r="D1914" i="12"/>
  <c r="C1914" i="12"/>
  <c r="I1913" i="12"/>
  <c r="H1913" i="12"/>
  <c r="D1913" i="12"/>
  <c r="C1913" i="12"/>
  <c r="I1912" i="12"/>
  <c r="H1912" i="12"/>
  <c r="D1912" i="12"/>
  <c r="C1912" i="12"/>
  <c r="I1911" i="12"/>
  <c r="H1911" i="12"/>
  <c r="D1911" i="12"/>
  <c r="C1911" i="12"/>
  <c r="I1910" i="12"/>
  <c r="H1910" i="12"/>
  <c r="D1910" i="12"/>
  <c r="C1910" i="12"/>
  <c r="I1909" i="12"/>
  <c r="H1909" i="12"/>
  <c r="D1909" i="12"/>
  <c r="C1909" i="12"/>
  <c r="I1908" i="12"/>
  <c r="H1908" i="12"/>
  <c r="D1908" i="12"/>
  <c r="C1908" i="12"/>
  <c r="I1907" i="12"/>
  <c r="H1907" i="12"/>
  <c r="D1907" i="12"/>
  <c r="C1907" i="12"/>
  <c r="I1906" i="12"/>
  <c r="H1906" i="12"/>
  <c r="D1906" i="12"/>
  <c r="C1906" i="12"/>
  <c r="I1905" i="12"/>
  <c r="H1905" i="12"/>
  <c r="D1905" i="12"/>
  <c r="C1905" i="12"/>
  <c r="I1904" i="12"/>
  <c r="H1904" i="12"/>
  <c r="D1904" i="12"/>
  <c r="C1904" i="12"/>
  <c r="I1903" i="12"/>
  <c r="H1903" i="12"/>
  <c r="D1903" i="12"/>
  <c r="C1903" i="12"/>
  <c r="I1902" i="12"/>
  <c r="H1902" i="12"/>
  <c r="D1902" i="12"/>
  <c r="C1902" i="12"/>
  <c r="I1901" i="12"/>
  <c r="H1901" i="12"/>
  <c r="D1901" i="12"/>
  <c r="C1901" i="12"/>
  <c r="I1900" i="12"/>
  <c r="H1900" i="12"/>
  <c r="D1900" i="12"/>
  <c r="C1900" i="12"/>
  <c r="I1899" i="12"/>
  <c r="H1899" i="12"/>
  <c r="D1899" i="12"/>
  <c r="C1899" i="12"/>
  <c r="I1898" i="12"/>
  <c r="H1898" i="12"/>
  <c r="D1898" i="12"/>
  <c r="C1898" i="12"/>
  <c r="I1897" i="12"/>
  <c r="H1897" i="12"/>
  <c r="D1897" i="12"/>
  <c r="C1897" i="12"/>
  <c r="I1896" i="12"/>
  <c r="H1896" i="12"/>
  <c r="D1896" i="12"/>
  <c r="C1896" i="12"/>
  <c r="D1895" i="12"/>
  <c r="C1895" i="12"/>
  <c r="D1894" i="12"/>
  <c r="C1894" i="12"/>
  <c r="I1893" i="12"/>
  <c r="H1893" i="12"/>
  <c r="D1893" i="12"/>
  <c r="C1893" i="12"/>
  <c r="I1892" i="12"/>
  <c r="H1892" i="12"/>
  <c r="D1892" i="12"/>
  <c r="C1892" i="12"/>
  <c r="I1891" i="12"/>
  <c r="H1891" i="12"/>
  <c r="D1891" i="12"/>
  <c r="C1891" i="12"/>
  <c r="I1890" i="12"/>
  <c r="H1890" i="12"/>
  <c r="D1890" i="12"/>
  <c r="C1890" i="12"/>
  <c r="I1889" i="12"/>
  <c r="H1889" i="12"/>
  <c r="D1889" i="12"/>
  <c r="C1889" i="12"/>
  <c r="I1888" i="12"/>
  <c r="H1888" i="12"/>
  <c r="D1888" i="12"/>
  <c r="C1888" i="12"/>
  <c r="I1887" i="12"/>
  <c r="H1887" i="12"/>
  <c r="D1887" i="12"/>
  <c r="C1887" i="12"/>
  <c r="I1886" i="12"/>
  <c r="H1886" i="12"/>
  <c r="D1886" i="12"/>
  <c r="C1886" i="12"/>
  <c r="I1885" i="12"/>
  <c r="H1885" i="12"/>
  <c r="D1885" i="12"/>
  <c r="C1885" i="12"/>
  <c r="I1884" i="12"/>
  <c r="H1884" i="12"/>
  <c r="D1884" i="12"/>
  <c r="C1884" i="12"/>
  <c r="I1883" i="12"/>
  <c r="H1883" i="12"/>
  <c r="D1883" i="12"/>
  <c r="C1883" i="12"/>
  <c r="I1882" i="12"/>
  <c r="H1882" i="12"/>
  <c r="D1882" i="12"/>
  <c r="C1882" i="12"/>
  <c r="I1881" i="12"/>
  <c r="H1881" i="12"/>
  <c r="D1881" i="12"/>
  <c r="C1881" i="12"/>
  <c r="I1880" i="12"/>
  <c r="H1880" i="12"/>
  <c r="D1880" i="12"/>
  <c r="C1880" i="12"/>
  <c r="I1879" i="12"/>
  <c r="H1879" i="12"/>
  <c r="D1879" i="12"/>
  <c r="C1879" i="12"/>
  <c r="I1878" i="12"/>
  <c r="H1878" i="12"/>
  <c r="D1878" i="12"/>
  <c r="C1878" i="12"/>
  <c r="I1877" i="12"/>
  <c r="H1877" i="12"/>
  <c r="D1877" i="12"/>
  <c r="C1877" i="12"/>
  <c r="I1876" i="12"/>
  <c r="H1876" i="12"/>
  <c r="D1876" i="12"/>
  <c r="C1876" i="12"/>
  <c r="I1875" i="12"/>
  <c r="H1875" i="12"/>
  <c r="D1875" i="12"/>
  <c r="C1875" i="12"/>
  <c r="I1874" i="12"/>
  <c r="H1874" i="12"/>
  <c r="D1874" i="12"/>
  <c r="C1874" i="12"/>
  <c r="D1873" i="12"/>
  <c r="C1873" i="12"/>
  <c r="D1872" i="12"/>
  <c r="C1872" i="12"/>
  <c r="I1871" i="12"/>
  <c r="H1871" i="12"/>
  <c r="D1871" i="12"/>
  <c r="C1871" i="12"/>
  <c r="I1870" i="12"/>
  <c r="H1870" i="12"/>
  <c r="D1870" i="12"/>
  <c r="C1870" i="12"/>
  <c r="I1869" i="12"/>
  <c r="H1869" i="12"/>
  <c r="D1869" i="12"/>
  <c r="C1869" i="12"/>
  <c r="I1868" i="12"/>
  <c r="H1868" i="12"/>
  <c r="D1868" i="12"/>
  <c r="C1868" i="12"/>
  <c r="I1867" i="12"/>
  <c r="H1867" i="12"/>
  <c r="D1867" i="12"/>
  <c r="C1867" i="12"/>
  <c r="I1866" i="12"/>
  <c r="H1866" i="12"/>
  <c r="D1866" i="12"/>
  <c r="C1866" i="12"/>
  <c r="I1865" i="12"/>
  <c r="H1865" i="12"/>
  <c r="D1865" i="12"/>
  <c r="C1865" i="12"/>
  <c r="I1864" i="12"/>
  <c r="H1864" i="12"/>
  <c r="D1864" i="12"/>
  <c r="C1864" i="12"/>
  <c r="I1863" i="12"/>
  <c r="H1863" i="12"/>
  <c r="D1863" i="12"/>
  <c r="C1863" i="12"/>
  <c r="I1862" i="12"/>
  <c r="H1862" i="12"/>
  <c r="D1862" i="12"/>
  <c r="C1862" i="12"/>
  <c r="I1861" i="12"/>
  <c r="H1861" i="12"/>
  <c r="D1861" i="12"/>
  <c r="C1861" i="12"/>
  <c r="I1860" i="12"/>
  <c r="H1860" i="12"/>
  <c r="D1860" i="12"/>
  <c r="C1860" i="12"/>
  <c r="I1859" i="12"/>
  <c r="H1859" i="12"/>
  <c r="D1859" i="12"/>
  <c r="C1859" i="12"/>
  <c r="I1858" i="12"/>
  <c r="H1858" i="12"/>
  <c r="D1858" i="12"/>
  <c r="C1858" i="12"/>
  <c r="I1857" i="12"/>
  <c r="H1857" i="12"/>
  <c r="D1857" i="12"/>
  <c r="C1857" i="12"/>
  <c r="I1856" i="12"/>
  <c r="H1856" i="12"/>
  <c r="D1856" i="12"/>
  <c r="C1856" i="12"/>
  <c r="I1855" i="12"/>
  <c r="H1855" i="12"/>
  <c r="D1855" i="12"/>
  <c r="C1855" i="12"/>
  <c r="I1854" i="12"/>
  <c r="H1854" i="12"/>
  <c r="D1854" i="12"/>
  <c r="C1854" i="12"/>
  <c r="I1853" i="12"/>
  <c r="H1853" i="12"/>
  <c r="D1853" i="12"/>
  <c r="C1853" i="12"/>
  <c r="I1852" i="12"/>
  <c r="H1852" i="12"/>
  <c r="D1852" i="12"/>
  <c r="C1852" i="12"/>
  <c r="D1851" i="12"/>
  <c r="C1851" i="12"/>
  <c r="D1850" i="12"/>
  <c r="C1850" i="12"/>
  <c r="I1849" i="12"/>
  <c r="H1849" i="12"/>
  <c r="D1849" i="12"/>
  <c r="C1849" i="12"/>
  <c r="I1848" i="12"/>
  <c r="H1848" i="12"/>
  <c r="D1848" i="12"/>
  <c r="C1848" i="12"/>
  <c r="I1847" i="12"/>
  <c r="H1847" i="12"/>
  <c r="D1847" i="12"/>
  <c r="C1847" i="12"/>
  <c r="I1846" i="12"/>
  <c r="H1846" i="12"/>
  <c r="D1846" i="12"/>
  <c r="C1846" i="12"/>
  <c r="I1845" i="12"/>
  <c r="H1845" i="12"/>
  <c r="D1845" i="12"/>
  <c r="C1845" i="12"/>
  <c r="I1844" i="12"/>
  <c r="H1844" i="12"/>
  <c r="D1844" i="12"/>
  <c r="C1844" i="12"/>
  <c r="I1843" i="12"/>
  <c r="H1843" i="12"/>
  <c r="D1843" i="12"/>
  <c r="C1843" i="12"/>
  <c r="I1842" i="12"/>
  <c r="H1842" i="12"/>
  <c r="D1842" i="12"/>
  <c r="C1842" i="12"/>
  <c r="I1841" i="12"/>
  <c r="H1841" i="12"/>
  <c r="D1841" i="12"/>
  <c r="C1841" i="12"/>
  <c r="I1840" i="12"/>
  <c r="H1840" i="12"/>
  <c r="D1840" i="12"/>
  <c r="C1840" i="12"/>
  <c r="I1839" i="12"/>
  <c r="H1839" i="12"/>
  <c r="D1839" i="12"/>
  <c r="C1839" i="12"/>
  <c r="I1838" i="12"/>
  <c r="H1838" i="12"/>
  <c r="D1838" i="12"/>
  <c r="C1838" i="12"/>
  <c r="I1837" i="12"/>
  <c r="H1837" i="12"/>
  <c r="D1837" i="12"/>
  <c r="C1837" i="12"/>
  <c r="I1836" i="12"/>
  <c r="H1836" i="12"/>
  <c r="D1836" i="12"/>
  <c r="C1836" i="12"/>
  <c r="I1835" i="12"/>
  <c r="H1835" i="12"/>
  <c r="D1835" i="12"/>
  <c r="C1835" i="12"/>
  <c r="I1834" i="12"/>
  <c r="H1834" i="12"/>
  <c r="D1834" i="12"/>
  <c r="C1834" i="12"/>
  <c r="I1833" i="12"/>
  <c r="H1833" i="12"/>
  <c r="D1833" i="12"/>
  <c r="C1833" i="12"/>
  <c r="I1832" i="12"/>
  <c r="H1832" i="12"/>
  <c r="D1832" i="12"/>
  <c r="C1832" i="12"/>
  <c r="I1831" i="12"/>
  <c r="H1831" i="12"/>
  <c r="D1831" i="12"/>
  <c r="C1831" i="12"/>
  <c r="I1830" i="12"/>
  <c r="H1830" i="12"/>
  <c r="D1830" i="12"/>
  <c r="C1830" i="12"/>
  <c r="D1829" i="12"/>
  <c r="C1829" i="12"/>
  <c r="D1828" i="12"/>
  <c r="C1828" i="12"/>
  <c r="I1827" i="12"/>
  <c r="H1827" i="12"/>
  <c r="D1827" i="12"/>
  <c r="C1827" i="12"/>
  <c r="I1826" i="12"/>
  <c r="H1826" i="12"/>
  <c r="D1826" i="12"/>
  <c r="C1826" i="12"/>
  <c r="I1825" i="12"/>
  <c r="H1825" i="12"/>
  <c r="D1825" i="12"/>
  <c r="C1825" i="12"/>
  <c r="I1824" i="12"/>
  <c r="H1824" i="12"/>
  <c r="D1824" i="12"/>
  <c r="C1824" i="12"/>
  <c r="I1823" i="12"/>
  <c r="H1823" i="12"/>
  <c r="D1823" i="12"/>
  <c r="C1823" i="12"/>
  <c r="I1822" i="12"/>
  <c r="H1822" i="12"/>
  <c r="D1822" i="12"/>
  <c r="C1822" i="12"/>
  <c r="I1821" i="12"/>
  <c r="H1821" i="12"/>
  <c r="D1821" i="12"/>
  <c r="C1821" i="12"/>
  <c r="I1820" i="12"/>
  <c r="H1820" i="12"/>
  <c r="D1820" i="12"/>
  <c r="C1820" i="12"/>
  <c r="I1819" i="12"/>
  <c r="H1819" i="12"/>
  <c r="D1819" i="12"/>
  <c r="C1819" i="12"/>
  <c r="I1818" i="12"/>
  <c r="H1818" i="12"/>
  <c r="D1818" i="12"/>
  <c r="C1818" i="12"/>
  <c r="I1817" i="12"/>
  <c r="H1817" i="12"/>
  <c r="D1817" i="12"/>
  <c r="C1817" i="12"/>
  <c r="I1816" i="12"/>
  <c r="H1816" i="12"/>
  <c r="D1816" i="12"/>
  <c r="C1816" i="12"/>
  <c r="I1815" i="12"/>
  <c r="H1815" i="12"/>
  <c r="D1815" i="12"/>
  <c r="C1815" i="12"/>
  <c r="I1814" i="12"/>
  <c r="H1814" i="12"/>
  <c r="D1814" i="12"/>
  <c r="C1814" i="12"/>
  <c r="I1813" i="12"/>
  <c r="H1813" i="12"/>
  <c r="D1813" i="12"/>
  <c r="C1813" i="12"/>
  <c r="I1812" i="12"/>
  <c r="H1812" i="12"/>
  <c r="D1812" i="12"/>
  <c r="C1812" i="12"/>
  <c r="I1811" i="12"/>
  <c r="H1811" i="12"/>
  <c r="D1811" i="12"/>
  <c r="C1811" i="12"/>
  <c r="I1810" i="12"/>
  <c r="H1810" i="12"/>
  <c r="D1810" i="12"/>
  <c r="C1810" i="12"/>
  <c r="I1809" i="12"/>
  <c r="H1809" i="12"/>
  <c r="D1809" i="12"/>
  <c r="C1809" i="12"/>
  <c r="I1808" i="12"/>
  <c r="H1808" i="12"/>
  <c r="D1808" i="12"/>
  <c r="C1808" i="12"/>
  <c r="D1807" i="12"/>
  <c r="C1807" i="12"/>
  <c r="D1806" i="12"/>
  <c r="C1806" i="12"/>
  <c r="I1805" i="12"/>
  <c r="H1805" i="12"/>
  <c r="D1805" i="12"/>
  <c r="C1805" i="12"/>
  <c r="I1804" i="12"/>
  <c r="H1804" i="12"/>
  <c r="D1804" i="12"/>
  <c r="C1804" i="12"/>
  <c r="I1803" i="12"/>
  <c r="H1803" i="12"/>
  <c r="D1803" i="12"/>
  <c r="C1803" i="12"/>
  <c r="I1802" i="12"/>
  <c r="H1802" i="12"/>
  <c r="D1802" i="12"/>
  <c r="C1802" i="12"/>
  <c r="I1801" i="12"/>
  <c r="H1801" i="12"/>
  <c r="D1801" i="12"/>
  <c r="C1801" i="12"/>
  <c r="I1800" i="12"/>
  <c r="H1800" i="12"/>
  <c r="D1800" i="12"/>
  <c r="C1800" i="12"/>
  <c r="I1799" i="12"/>
  <c r="H1799" i="12"/>
  <c r="D1799" i="12"/>
  <c r="C1799" i="12"/>
  <c r="I1798" i="12"/>
  <c r="H1798" i="12"/>
  <c r="D1798" i="12"/>
  <c r="C1798" i="12"/>
  <c r="I1797" i="12"/>
  <c r="H1797" i="12"/>
  <c r="D1797" i="12"/>
  <c r="C1797" i="12"/>
  <c r="I1796" i="12"/>
  <c r="H1796" i="12"/>
  <c r="D1796" i="12"/>
  <c r="C1796" i="12"/>
  <c r="I1795" i="12"/>
  <c r="H1795" i="12"/>
  <c r="D1795" i="12"/>
  <c r="C1795" i="12"/>
  <c r="I1794" i="12"/>
  <c r="H1794" i="12"/>
  <c r="D1794" i="12"/>
  <c r="C1794" i="12"/>
  <c r="I1793" i="12"/>
  <c r="H1793" i="12"/>
  <c r="D1793" i="12"/>
  <c r="C1793" i="12"/>
  <c r="I1792" i="12"/>
  <c r="H1792" i="12"/>
  <c r="D1792" i="12"/>
  <c r="C1792" i="12"/>
  <c r="I1791" i="12"/>
  <c r="H1791" i="12"/>
  <c r="D1791" i="12"/>
  <c r="C1791" i="12"/>
  <c r="I1790" i="12"/>
  <c r="H1790" i="12"/>
  <c r="D1790" i="12"/>
  <c r="C1790" i="12"/>
  <c r="I1789" i="12"/>
  <c r="H1789" i="12"/>
  <c r="D1789" i="12"/>
  <c r="C1789" i="12"/>
  <c r="I1788" i="12"/>
  <c r="H1788" i="12"/>
  <c r="D1788" i="12"/>
  <c r="C1788" i="12"/>
  <c r="I1787" i="12"/>
  <c r="H1787" i="12"/>
  <c r="D1787" i="12"/>
  <c r="C1787" i="12"/>
  <c r="I1786" i="12"/>
  <c r="H1786" i="12"/>
  <c r="D1786" i="12"/>
  <c r="C1786" i="12"/>
  <c r="D1785" i="12"/>
  <c r="C1785" i="12"/>
  <c r="D1784" i="12"/>
  <c r="C1784" i="12"/>
  <c r="I1783" i="12"/>
  <c r="H1783" i="12"/>
  <c r="D1783" i="12"/>
  <c r="C1783" i="12"/>
  <c r="I1782" i="12"/>
  <c r="H1782" i="12"/>
  <c r="D1782" i="12"/>
  <c r="C1782" i="12"/>
  <c r="I1781" i="12"/>
  <c r="H1781" i="12"/>
  <c r="D1781" i="12"/>
  <c r="C1781" i="12"/>
  <c r="I1780" i="12"/>
  <c r="H1780" i="12"/>
  <c r="D1780" i="12"/>
  <c r="C1780" i="12"/>
  <c r="I1779" i="12"/>
  <c r="H1779" i="12"/>
  <c r="D1779" i="12"/>
  <c r="C1779" i="12"/>
  <c r="I1778" i="12"/>
  <c r="H1778" i="12"/>
  <c r="D1778" i="12"/>
  <c r="C1778" i="12"/>
  <c r="I1777" i="12"/>
  <c r="H1777" i="12"/>
  <c r="D1777" i="12"/>
  <c r="C1777" i="12"/>
  <c r="I1776" i="12"/>
  <c r="H1776" i="12"/>
  <c r="D1776" i="12"/>
  <c r="C1776" i="12"/>
  <c r="I1775" i="12"/>
  <c r="H1775" i="12"/>
  <c r="D1775" i="12"/>
  <c r="C1775" i="12"/>
  <c r="I1774" i="12"/>
  <c r="H1774" i="12"/>
  <c r="D1774" i="12"/>
  <c r="C1774" i="12"/>
  <c r="I1773" i="12"/>
  <c r="H1773" i="12"/>
  <c r="D1773" i="12"/>
  <c r="C1773" i="12"/>
  <c r="I1772" i="12"/>
  <c r="H1772" i="12"/>
  <c r="D1772" i="12"/>
  <c r="C1772" i="12"/>
  <c r="I1771" i="12"/>
  <c r="H1771" i="12"/>
  <c r="D1771" i="12"/>
  <c r="C1771" i="12"/>
  <c r="I1770" i="12"/>
  <c r="H1770" i="12"/>
  <c r="D1770" i="12"/>
  <c r="C1770" i="12"/>
  <c r="I1769" i="12"/>
  <c r="H1769" i="12"/>
  <c r="D1769" i="12"/>
  <c r="C1769" i="12"/>
  <c r="I1768" i="12"/>
  <c r="H1768" i="12"/>
  <c r="D1768" i="12"/>
  <c r="C1768" i="12"/>
  <c r="I1767" i="12"/>
  <c r="H1767" i="12"/>
  <c r="D1767" i="12"/>
  <c r="C1767" i="12"/>
  <c r="I1766" i="12"/>
  <c r="H1766" i="12"/>
  <c r="D1766" i="12"/>
  <c r="C1766" i="12"/>
  <c r="I1765" i="12"/>
  <c r="H1765" i="12"/>
  <c r="D1765" i="12"/>
  <c r="C1765" i="12"/>
  <c r="I1764" i="12"/>
  <c r="H1764" i="12"/>
  <c r="D1764" i="12"/>
  <c r="C1764" i="12"/>
  <c r="D1763" i="12"/>
  <c r="C1763" i="12"/>
  <c r="D1762" i="12"/>
  <c r="C1762" i="12"/>
  <c r="I1761" i="12"/>
  <c r="H1761" i="12"/>
  <c r="D1761" i="12"/>
  <c r="C1761" i="12"/>
  <c r="I1760" i="12"/>
  <c r="H1760" i="12"/>
  <c r="D1760" i="12"/>
  <c r="C1760" i="12"/>
  <c r="I1759" i="12"/>
  <c r="H1759" i="12"/>
  <c r="D1759" i="12"/>
  <c r="C1759" i="12"/>
  <c r="I1758" i="12"/>
  <c r="H1758" i="12"/>
  <c r="D1758" i="12"/>
  <c r="C1758" i="12"/>
  <c r="I1757" i="12"/>
  <c r="H1757" i="12"/>
  <c r="D1757" i="12"/>
  <c r="C1757" i="12"/>
  <c r="I1756" i="12"/>
  <c r="H1756" i="12"/>
  <c r="D1756" i="12"/>
  <c r="C1756" i="12"/>
  <c r="I1755" i="12"/>
  <c r="H1755" i="12"/>
  <c r="D1755" i="12"/>
  <c r="C1755" i="12"/>
  <c r="I1754" i="12"/>
  <c r="H1754" i="12"/>
  <c r="D1754" i="12"/>
  <c r="C1754" i="12"/>
  <c r="I1753" i="12"/>
  <c r="H1753" i="12"/>
  <c r="D1753" i="12"/>
  <c r="C1753" i="12"/>
  <c r="I1752" i="12"/>
  <c r="H1752" i="12"/>
  <c r="D1752" i="12"/>
  <c r="C1752" i="12"/>
  <c r="I1751" i="12"/>
  <c r="H1751" i="12"/>
  <c r="D1751" i="12"/>
  <c r="C1751" i="12"/>
  <c r="I1750" i="12"/>
  <c r="H1750" i="12"/>
  <c r="D1750" i="12"/>
  <c r="C1750" i="12"/>
  <c r="I1749" i="12"/>
  <c r="H1749" i="12"/>
  <c r="D1749" i="12"/>
  <c r="C1749" i="12"/>
  <c r="I1748" i="12"/>
  <c r="H1748" i="12"/>
  <c r="D1748" i="12"/>
  <c r="C1748" i="12"/>
  <c r="I1747" i="12"/>
  <c r="H1747" i="12"/>
  <c r="D1747" i="12"/>
  <c r="C1747" i="12"/>
  <c r="I1746" i="12"/>
  <c r="H1746" i="12"/>
  <c r="D1746" i="12"/>
  <c r="C1746" i="12"/>
  <c r="I1745" i="12"/>
  <c r="H1745" i="12"/>
  <c r="D1745" i="12"/>
  <c r="C1745" i="12"/>
  <c r="I1744" i="12"/>
  <c r="H1744" i="12"/>
  <c r="D1744" i="12"/>
  <c r="C1744" i="12"/>
  <c r="I1743" i="12"/>
  <c r="H1743" i="12"/>
  <c r="D1743" i="12"/>
  <c r="C1743" i="12"/>
  <c r="I1742" i="12"/>
  <c r="H1742" i="12"/>
  <c r="D1742" i="12"/>
  <c r="C1742" i="12"/>
  <c r="D1741" i="12"/>
  <c r="C1741" i="12"/>
  <c r="D1740" i="12"/>
  <c r="C1740" i="12"/>
  <c r="I1739" i="12"/>
  <c r="H1739" i="12"/>
  <c r="D1739" i="12"/>
  <c r="C1739" i="12"/>
  <c r="I1738" i="12"/>
  <c r="H1738" i="12"/>
  <c r="D1738" i="12"/>
  <c r="C1738" i="12"/>
  <c r="I1737" i="12"/>
  <c r="H1737" i="12"/>
  <c r="D1737" i="12"/>
  <c r="C1737" i="12"/>
  <c r="I1736" i="12"/>
  <c r="H1736" i="12"/>
  <c r="D1736" i="12"/>
  <c r="C1736" i="12"/>
  <c r="I1735" i="12"/>
  <c r="H1735" i="12"/>
  <c r="D1735" i="12"/>
  <c r="C1735" i="12"/>
  <c r="I1734" i="12"/>
  <c r="H1734" i="12"/>
  <c r="D1734" i="12"/>
  <c r="C1734" i="12"/>
  <c r="I1733" i="12"/>
  <c r="H1733" i="12"/>
  <c r="D1733" i="12"/>
  <c r="C1733" i="12"/>
  <c r="I1732" i="12"/>
  <c r="H1732" i="12"/>
  <c r="D1732" i="12"/>
  <c r="C1732" i="12"/>
  <c r="I1731" i="12"/>
  <c r="H1731" i="12"/>
  <c r="D1731" i="12"/>
  <c r="C1731" i="12"/>
  <c r="I1730" i="12"/>
  <c r="H1730" i="12"/>
  <c r="D1730" i="12"/>
  <c r="C1730" i="12"/>
  <c r="I1729" i="12"/>
  <c r="H1729" i="12"/>
  <c r="D1729" i="12"/>
  <c r="C1729" i="12"/>
  <c r="I1728" i="12"/>
  <c r="H1728" i="12"/>
  <c r="D1728" i="12"/>
  <c r="C1728" i="12"/>
  <c r="I1727" i="12"/>
  <c r="H1727" i="12"/>
  <c r="D1727" i="12"/>
  <c r="C1727" i="12"/>
  <c r="I1726" i="12"/>
  <c r="H1726" i="12"/>
  <c r="D1726" i="12"/>
  <c r="C1726" i="12"/>
  <c r="I1725" i="12"/>
  <c r="H1725" i="12"/>
  <c r="D1725" i="12"/>
  <c r="C1725" i="12"/>
  <c r="I1724" i="12"/>
  <c r="H1724" i="12"/>
  <c r="D1724" i="12"/>
  <c r="C1724" i="12"/>
  <c r="I1723" i="12"/>
  <c r="H1723" i="12"/>
  <c r="D1723" i="12"/>
  <c r="C1723" i="12"/>
  <c r="I1722" i="12"/>
  <c r="H1722" i="12"/>
  <c r="D1722" i="12"/>
  <c r="C1722" i="12"/>
  <c r="I1721" i="12"/>
  <c r="H1721" i="12"/>
  <c r="D1721" i="12"/>
  <c r="C1721" i="12"/>
  <c r="I1720" i="12"/>
  <c r="H1720" i="12"/>
  <c r="D1720" i="12"/>
  <c r="C1720" i="12"/>
  <c r="D1719" i="12"/>
  <c r="C1719" i="12"/>
  <c r="D1718" i="12"/>
  <c r="C1718" i="12"/>
  <c r="I1717" i="12"/>
  <c r="H1717" i="12"/>
  <c r="D1717" i="12"/>
  <c r="C1717" i="12"/>
  <c r="I1716" i="12"/>
  <c r="H1716" i="12"/>
  <c r="D1716" i="12"/>
  <c r="C1716" i="12"/>
  <c r="I1715" i="12"/>
  <c r="H1715" i="12"/>
  <c r="D1715" i="12"/>
  <c r="C1715" i="12"/>
  <c r="I1714" i="12"/>
  <c r="H1714" i="12"/>
  <c r="D1714" i="12"/>
  <c r="C1714" i="12"/>
  <c r="I1713" i="12"/>
  <c r="H1713" i="12"/>
  <c r="D1713" i="12"/>
  <c r="C1713" i="12"/>
  <c r="I1712" i="12"/>
  <c r="H1712" i="12"/>
  <c r="D1712" i="12"/>
  <c r="C1712" i="12"/>
  <c r="I1711" i="12"/>
  <c r="H1711" i="12"/>
  <c r="D1711" i="12"/>
  <c r="C1711" i="12"/>
  <c r="I1710" i="12"/>
  <c r="H1710" i="12"/>
  <c r="D1710" i="12"/>
  <c r="C1710" i="12"/>
  <c r="I1709" i="12"/>
  <c r="H1709" i="12"/>
  <c r="D1709" i="12"/>
  <c r="C1709" i="12"/>
  <c r="I1708" i="12"/>
  <c r="H1708" i="12"/>
  <c r="D1708" i="12"/>
  <c r="C1708" i="12"/>
  <c r="I1707" i="12"/>
  <c r="H1707" i="12"/>
  <c r="D1707" i="12"/>
  <c r="C1707" i="12"/>
  <c r="I1706" i="12"/>
  <c r="H1706" i="12"/>
  <c r="D1706" i="12"/>
  <c r="C1706" i="12"/>
  <c r="I1705" i="12"/>
  <c r="H1705" i="12"/>
  <c r="D1705" i="12"/>
  <c r="C1705" i="12"/>
  <c r="I1704" i="12"/>
  <c r="H1704" i="12"/>
  <c r="D1704" i="12"/>
  <c r="C1704" i="12"/>
  <c r="I1703" i="12"/>
  <c r="H1703" i="12"/>
  <c r="D1703" i="12"/>
  <c r="C1703" i="12"/>
  <c r="I1702" i="12"/>
  <c r="H1702" i="12"/>
  <c r="D1702" i="12"/>
  <c r="C1702" i="12"/>
  <c r="I1701" i="12"/>
  <c r="H1701" i="12"/>
  <c r="D1701" i="12"/>
  <c r="C1701" i="12"/>
  <c r="I1700" i="12"/>
  <c r="H1700" i="12"/>
  <c r="D1700" i="12"/>
  <c r="C1700" i="12"/>
  <c r="I1699" i="12"/>
  <c r="H1699" i="12"/>
  <c r="D1699" i="12"/>
  <c r="C1699" i="12"/>
  <c r="I1698" i="12"/>
  <c r="H1698" i="12"/>
  <c r="D1698" i="12"/>
  <c r="C1698" i="12"/>
  <c r="D1697" i="12"/>
  <c r="C1697" i="12"/>
  <c r="D1696" i="12"/>
  <c r="C1696" i="12"/>
  <c r="I1695" i="12"/>
  <c r="H1695" i="12"/>
  <c r="D1695" i="12"/>
  <c r="C1695" i="12"/>
  <c r="I1694" i="12"/>
  <c r="H1694" i="12"/>
  <c r="D1694" i="12"/>
  <c r="C1694" i="12"/>
  <c r="I1693" i="12"/>
  <c r="H1693" i="12"/>
  <c r="D1693" i="12"/>
  <c r="C1693" i="12"/>
  <c r="I1692" i="12"/>
  <c r="H1692" i="12"/>
  <c r="D1692" i="12"/>
  <c r="C1692" i="12"/>
  <c r="I1691" i="12"/>
  <c r="H1691" i="12"/>
  <c r="D1691" i="12"/>
  <c r="C1691" i="12"/>
  <c r="I1690" i="12"/>
  <c r="H1690" i="12"/>
  <c r="D1690" i="12"/>
  <c r="C1690" i="12"/>
  <c r="I1689" i="12"/>
  <c r="H1689" i="12"/>
  <c r="D1689" i="12"/>
  <c r="C1689" i="12"/>
  <c r="I1688" i="12"/>
  <c r="H1688" i="12"/>
  <c r="D1688" i="12"/>
  <c r="C1688" i="12"/>
  <c r="I1687" i="12"/>
  <c r="H1687" i="12"/>
  <c r="D1687" i="12"/>
  <c r="C1687" i="12"/>
  <c r="I1686" i="12"/>
  <c r="H1686" i="12"/>
  <c r="D1686" i="12"/>
  <c r="C1686" i="12"/>
  <c r="I1685" i="12"/>
  <c r="H1685" i="12"/>
  <c r="D1685" i="12"/>
  <c r="C1685" i="12"/>
  <c r="I1684" i="12"/>
  <c r="H1684" i="12"/>
  <c r="D1684" i="12"/>
  <c r="C1684" i="12"/>
  <c r="I1683" i="12"/>
  <c r="H1683" i="12"/>
  <c r="D1683" i="12"/>
  <c r="C1683" i="12"/>
  <c r="I1682" i="12"/>
  <c r="H1682" i="12"/>
  <c r="D1682" i="12"/>
  <c r="C1682" i="12"/>
  <c r="I1681" i="12"/>
  <c r="H1681" i="12"/>
  <c r="D1681" i="12"/>
  <c r="C1681" i="12"/>
  <c r="I1680" i="12"/>
  <c r="H1680" i="12"/>
  <c r="D1680" i="12"/>
  <c r="C1680" i="12"/>
  <c r="I1679" i="12"/>
  <c r="H1679" i="12"/>
  <c r="D1679" i="12"/>
  <c r="C1679" i="12"/>
  <c r="I1678" i="12"/>
  <c r="H1678" i="12"/>
  <c r="D1678" i="12"/>
  <c r="C1678" i="12"/>
  <c r="I1677" i="12"/>
  <c r="H1677" i="12"/>
  <c r="D1677" i="12"/>
  <c r="C1677" i="12"/>
  <c r="I1676" i="12"/>
  <c r="H1676" i="12"/>
  <c r="D1676" i="12"/>
  <c r="C1676" i="12"/>
  <c r="D1675" i="12"/>
  <c r="C1675" i="12"/>
  <c r="D1674" i="12"/>
  <c r="C1674" i="12"/>
  <c r="I1673" i="12"/>
  <c r="H1673" i="12"/>
  <c r="D1673" i="12"/>
  <c r="C1673" i="12"/>
  <c r="I1672" i="12"/>
  <c r="H1672" i="12"/>
  <c r="D1672" i="12"/>
  <c r="C1672" i="12"/>
  <c r="I1671" i="12"/>
  <c r="H1671" i="12"/>
  <c r="D1671" i="12"/>
  <c r="C1671" i="12"/>
  <c r="I1670" i="12"/>
  <c r="H1670" i="12"/>
  <c r="D1670" i="12"/>
  <c r="C1670" i="12"/>
  <c r="I1669" i="12"/>
  <c r="H1669" i="12"/>
  <c r="D1669" i="12"/>
  <c r="C1669" i="12"/>
  <c r="I1668" i="12"/>
  <c r="H1668" i="12"/>
  <c r="D1668" i="12"/>
  <c r="C1668" i="12"/>
  <c r="I1667" i="12"/>
  <c r="H1667" i="12"/>
  <c r="D1667" i="12"/>
  <c r="C1667" i="12"/>
  <c r="I1666" i="12"/>
  <c r="H1666" i="12"/>
  <c r="D1666" i="12"/>
  <c r="C1666" i="12"/>
  <c r="I1665" i="12"/>
  <c r="H1665" i="12"/>
  <c r="D1665" i="12"/>
  <c r="C1665" i="12"/>
  <c r="I1664" i="12"/>
  <c r="H1664" i="12"/>
  <c r="D1664" i="12"/>
  <c r="C1664" i="12"/>
  <c r="I1663" i="12"/>
  <c r="H1663" i="12"/>
  <c r="D1663" i="12"/>
  <c r="C1663" i="12"/>
  <c r="I1662" i="12"/>
  <c r="H1662" i="12"/>
  <c r="D1662" i="12"/>
  <c r="C1662" i="12"/>
  <c r="I1661" i="12"/>
  <c r="H1661" i="12"/>
  <c r="D1661" i="12"/>
  <c r="C1661" i="12"/>
  <c r="I1660" i="12"/>
  <c r="H1660" i="12"/>
  <c r="D1660" i="12"/>
  <c r="C1660" i="12"/>
  <c r="I1659" i="12"/>
  <c r="H1659" i="12"/>
  <c r="D1659" i="12"/>
  <c r="C1659" i="12"/>
  <c r="I1658" i="12"/>
  <c r="H1658" i="12"/>
  <c r="D1658" i="12"/>
  <c r="C1658" i="12"/>
  <c r="I1657" i="12"/>
  <c r="H1657" i="12"/>
  <c r="D1657" i="12"/>
  <c r="C1657" i="12"/>
  <c r="I1656" i="12"/>
  <c r="H1656" i="12"/>
  <c r="D1656" i="12"/>
  <c r="C1656" i="12"/>
  <c r="I1655" i="12"/>
  <c r="H1655" i="12"/>
  <c r="D1655" i="12"/>
  <c r="C1655" i="12"/>
  <c r="I1654" i="12"/>
  <c r="H1654" i="12"/>
  <c r="D1654" i="12"/>
  <c r="C1654" i="12"/>
  <c r="D1653" i="12"/>
  <c r="C1653" i="12"/>
  <c r="D1652" i="12"/>
  <c r="C1652" i="12"/>
  <c r="I1651" i="12"/>
  <c r="H1651" i="12"/>
  <c r="D1651" i="12"/>
  <c r="C1651" i="12"/>
  <c r="I1650" i="12"/>
  <c r="H1650" i="12"/>
  <c r="D1650" i="12"/>
  <c r="C1650" i="12"/>
  <c r="I1649" i="12"/>
  <c r="H1649" i="12"/>
  <c r="D1649" i="12"/>
  <c r="C1649" i="12"/>
  <c r="I1648" i="12"/>
  <c r="H1648" i="12"/>
  <c r="D1648" i="12"/>
  <c r="C1648" i="12"/>
  <c r="I1647" i="12"/>
  <c r="H1647" i="12"/>
  <c r="D1647" i="12"/>
  <c r="C1647" i="12"/>
  <c r="I1646" i="12"/>
  <c r="H1646" i="12"/>
  <c r="D1646" i="12"/>
  <c r="C1646" i="12"/>
  <c r="I1645" i="12"/>
  <c r="H1645" i="12"/>
  <c r="D1645" i="12"/>
  <c r="C1645" i="12"/>
  <c r="I1644" i="12"/>
  <c r="H1644" i="12"/>
  <c r="D1644" i="12"/>
  <c r="C1644" i="12"/>
  <c r="I1643" i="12"/>
  <c r="H1643" i="12"/>
  <c r="D1643" i="12"/>
  <c r="C1643" i="12"/>
  <c r="I1642" i="12"/>
  <c r="H1642" i="12"/>
  <c r="D1642" i="12"/>
  <c r="C1642" i="12"/>
  <c r="I1641" i="12"/>
  <c r="H1641" i="12"/>
  <c r="D1641" i="12"/>
  <c r="C1641" i="12"/>
  <c r="I1640" i="12"/>
  <c r="H1640" i="12"/>
  <c r="D1640" i="12"/>
  <c r="C1640" i="12"/>
  <c r="I1639" i="12"/>
  <c r="H1639" i="12"/>
  <c r="D1639" i="12"/>
  <c r="C1639" i="12"/>
  <c r="I1638" i="12"/>
  <c r="H1638" i="12"/>
  <c r="D1638" i="12"/>
  <c r="C1638" i="12"/>
  <c r="I1637" i="12"/>
  <c r="H1637" i="12"/>
  <c r="D1637" i="12"/>
  <c r="C1637" i="12"/>
  <c r="I1636" i="12"/>
  <c r="H1636" i="12"/>
  <c r="D1636" i="12"/>
  <c r="C1636" i="12"/>
  <c r="I1635" i="12"/>
  <c r="H1635" i="12"/>
  <c r="D1635" i="12"/>
  <c r="C1635" i="12"/>
  <c r="I1634" i="12"/>
  <c r="H1634" i="12"/>
  <c r="D1634" i="12"/>
  <c r="C1634" i="12"/>
  <c r="I1633" i="12"/>
  <c r="H1633" i="12"/>
  <c r="D1633" i="12"/>
  <c r="C1633" i="12"/>
  <c r="I1632" i="12"/>
  <c r="H1632" i="12"/>
  <c r="D1632" i="12"/>
  <c r="C1632" i="12"/>
  <c r="D1631" i="12"/>
  <c r="C1631" i="12"/>
  <c r="D1630" i="12"/>
  <c r="C1630" i="12"/>
  <c r="I1629" i="12"/>
  <c r="H1629" i="12"/>
  <c r="D1629" i="12"/>
  <c r="C1629" i="12"/>
  <c r="I1628" i="12"/>
  <c r="H1628" i="12"/>
  <c r="D1628" i="12"/>
  <c r="C1628" i="12"/>
  <c r="I1627" i="12"/>
  <c r="H1627" i="12"/>
  <c r="D1627" i="12"/>
  <c r="C1627" i="12"/>
  <c r="I1626" i="12"/>
  <c r="H1626" i="12"/>
  <c r="D1626" i="12"/>
  <c r="C1626" i="12"/>
  <c r="I1625" i="12"/>
  <c r="H1625" i="12"/>
  <c r="D1625" i="12"/>
  <c r="C1625" i="12"/>
  <c r="I1624" i="12"/>
  <c r="H1624" i="12"/>
  <c r="D1624" i="12"/>
  <c r="C1624" i="12"/>
  <c r="I1623" i="12"/>
  <c r="H1623" i="12"/>
  <c r="D1623" i="12"/>
  <c r="C1623" i="12"/>
  <c r="I1622" i="12"/>
  <c r="H1622" i="12"/>
  <c r="D1622" i="12"/>
  <c r="C1622" i="12"/>
  <c r="I1621" i="12"/>
  <c r="H1621" i="12"/>
  <c r="D1621" i="12"/>
  <c r="C1621" i="12"/>
  <c r="I1620" i="12"/>
  <c r="H1620" i="12"/>
  <c r="D1620" i="12"/>
  <c r="C1620" i="12"/>
  <c r="I1619" i="12"/>
  <c r="H1619" i="12"/>
  <c r="D1619" i="12"/>
  <c r="C1619" i="12"/>
  <c r="I1618" i="12"/>
  <c r="H1618" i="12"/>
  <c r="D1618" i="12"/>
  <c r="C1618" i="12"/>
  <c r="I1617" i="12"/>
  <c r="H1617" i="12"/>
  <c r="D1617" i="12"/>
  <c r="C1617" i="12"/>
  <c r="I1616" i="12"/>
  <c r="H1616" i="12"/>
  <c r="D1616" i="12"/>
  <c r="C1616" i="12"/>
  <c r="I1615" i="12"/>
  <c r="H1615" i="12"/>
  <c r="D1615" i="12"/>
  <c r="C1615" i="12"/>
  <c r="I1614" i="12"/>
  <c r="H1614" i="12"/>
  <c r="D1614" i="12"/>
  <c r="C1614" i="12"/>
  <c r="I1613" i="12"/>
  <c r="H1613" i="12"/>
  <c r="D1613" i="12"/>
  <c r="C1613" i="12"/>
  <c r="I1612" i="12"/>
  <c r="H1612" i="12"/>
  <c r="D1612" i="12"/>
  <c r="C1612" i="12"/>
  <c r="I1611" i="12"/>
  <c r="H1611" i="12"/>
  <c r="D1611" i="12"/>
  <c r="C1611" i="12"/>
  <c r="I1610" i="12"/>
  <c r="H1610" i="12"/>
  <c r="D1610" i="12"/>
  <c r="C1610" i="12"/>
  <c r="D1609" i="12"/>
  <c r="C1609" i="12"/>
  <c r="D1608" i="12"/>
  <c r="C1608" i="12"/>
  <c r="I1607" i="12"/>
  <c r="H1607" i="12"/>
  <c r="D1607" i="12"/>
  <c r="C1607" i="12"/>
  <c r="I1606" i="12"/>
  <c r="H1606" i="12"/>
  <c r="D1606" i="12"/>
  <c r="C1606" i="12"/>
  <c r="I1605" i="12"/>
  <c r="H1605" i="12"/>
  <c r="D1605" i="12"/>
  <c r="C1605" i="12"/>
  <c r="I1604" i="12"/>
  <c r="H1604" i="12"/>
  <c r="D1604" i="12"/>
  <c r="C1604" i="12"/>
  <c r="I1603" i="12"/>
  <c r="H1603" i="12"/>
  <c r="D1603" i="12"/>
  <c r="C1603" i="12"/>
  <c r="I1602" i="12"/>
  <c r="H1602" i="12"/>
  <c r="D1602" i="12"/>
  <c r="C1602" i="12"/>
  <c r="I1601" i="12"/>
  <c r="H1601" i="12"/>
  <c r="D1601" i="12"/>
  <c r="C1601" i="12"/>
  <c r="I1600" i="12"/>
  <c r="H1600" i="12"/>
  <c r="D1600" i="12"/>
  <c r="C1600" i="12"/>
  <c r="I1599" i="12"/>
  <c r="H1599" i="12"/>
  <c r="D1599" i="12"/>
  <c r="C1599" i="12"/>
  <c r="I1598" i="12"/>
  <c r="H1598" i="12"/>
  <c r="D1598" i="12"/>
  <c r="C1598" i="12"/>
  <c r="I1597" i="12"/>
  <c r="H1597" i="12"/>
  <c r="D1597" i="12"/>
  <c r="C1597" i="12"/>
  <c r="I1596" i="12"/>
  <c r="H1596" i="12"/>
  <c r="D1596" i="12"/>
  <c r="C1596" i="12"/>
  <c r="I1595" i="12"/>
  <c r="H1595" i="12"/>
  <c r="D1595" i="12"/>
  <c r="C1595" i="12"/>
  <c r="I1594" i="12"/>
  <c r="H1594" i="12"/>
  <c r="D1594" i="12"/>
  <c r="C1594" i="12"/>
  <c r="I1593" i="12"/>
  <c r="H1593" i="12"/>
  <c r="D1593" i="12"/>
  <c r="C1593" i="12"/>
  <c r="I1592" i="12"/>
  <c r="H1592" i="12"/>
  <c r="D1592" i="12"/>
  <c r="C1592" i="12"/>
  <c r="I1591" i="12"/>
  <c r="H1591" i="12"/>
  <c r="D1591" i="12"/>
  <c r="C1591" i="12"/>
  <c r="I1590" i="12"/>
  <c r="H1590" i="12"/>
  <c r="D1590" i="12"/>
  <c r="C1590" i="12"/>
  <c r="I1589" i="12"/>
  <c r="H1589" i="12"/>
  <c r="D1589" i="12"/>
  <c r="C1589" i="12"/>
  <c r="I1588" i="12"/>
  <c r="H1588" i="12"/>
  <c r="D1588" i="12"/>
  <c r="C1588" i="12"/>
  <c r="D1587" i="12"/>
  <c r="C1587" i="12"/>
  <c r="D1586" i="12"/>
  <c r="C1586" i="12"/>
  <c r="I1585" i="12"/>
  <c r="H1585" i="12"/>
  <c r="D1585" i="12"/>
  <c r="C1585" i="12"/>
  <c r="I1584" i="12"/>
  <c r="H1584" i="12"/>
  <c r="D1584" i="12"/>
  <c r="C1584" i="12"/>
  <c r="I1583" i="12"/>
  <c r="H1583" i="12"/>
  <c r="D1583" i="12"/>
  <c r="C1583" i="12"/>
  <c r="I1582" i="12"/>
  <c r="H1582" i="12"/>
  <c r="D1582" i="12"/>
  <c r="C1582" i="12"/>
  <c r="I1581" i="12"/>
  <c r="H1581" i="12"/>
  <c r="D1581" i="12"/>
  <c r="C1581" i="12"/>
  <c r="I1580" i="12"/>
  <c r="H1580" i="12"/>
  <c r="D1580" i="12"/>
  <c r="C1580" i="12"/>
  <c r="I1579" i="12"/>
  <c r="H1579" i="12"/>
  <c r="D1579" i="12"/>
  <c r="C1579" i="12"/>
  <c r="I1578" i="12"/>
  <c r="H1578" i="12"/>
  <c r="D1578" i="12"/>
  <c r="C1578" i="12"/>
  <c r="I1577" i="12"/>
  <c r="H1577" i="12"/>
  <c r="D1577" i="12"/>
  <c r="C1577" i="12"/>
  <c r="I1576" i="12"/>
  <c r="H1576" i="12"/>
  <c r="D1576" i="12"/>
  <c r="C1576" i="12"/>
  <c r="I1575" i="12"/>
  <c r="H1575" i="12"/>
  <c r="D1575" i="12"/>
  <c r="C1575" i="12"/>
  <c r="I1574" i="12"/>
  <c r="H1574" i="12"/>
  <c r="D1574" i="12"/>
  <c r="C1574" i="12"/>
  <c r="I1573" i="12"/>
  <c r="H1573" i="12"/>
  <c r="D1573" i="12"/>
  <c r="C1573" i="12"/>
  <c r="I1572" i="12"/>
  <c r="H1572" i="12"/>
  <c r="D1572" i="12"/>
  <c r="C1572" i="12"/>
  <c r="I1571" i="12"/>
  <c r="H1571" i="12"/>
  <c r="D1571" i="12"/>
  <c r="C1571" i="12"/>
  <c r="I1570" i="12"/>
  <c r="H1570" i="12"/>
  <c r="D1570" i="12"/>
  <c r="C1570" i="12"/>
  <c r="I1569" i="12"/>
  <c r="H1569" i="12"/>
  <c r="D1569" i="12"/>
  <c r="C1569" i="12"/>
  <c r="I1568" i="12"/>
  <c r="H1568" i="12"/>
  <c r="D1568" i="12"/>
  <c r="C1568" i="12"/>
  <c r="I1567" i="12"/>
  <c r="H1567" i="12"/>
  <c r="D1567" i="12"/>
  <c r="C1567" i="12"/>
  <c r="I1566" i="12"/>
  <c r="H1566" i="12"/>
  <c r="D1566" i="12"/>
  <c r="C1566" i="12"/>
  <c r="D1565" i="12"/>
  <c r="C1565" i="12"/>
  <c r="D1564" i="12"/>
  <c r="C1564" i="12"/>
  <c r="I1563" i="12"/>
  <c r="H1563" i="12"/>
  <c r="D1563" i="12"/>
  <c r="C1563" i="12"/>
  <c r="I1562" i="12"/>
  <c r="H1562" i="12"/>
  <c r="D1562" i="12"/>
  <c r="C1562" i="12"/>
  <c r="I1561" i="12"/>
  <c r="H1561" i="12"/>
  <c r="D1561" i="12"/>
  <c r="C1561" i="12"/>
  <c r="I1560" i="12"/>
  <c r="H1560" i="12"/>
  <c r="D1560" i="12"/>
  <c r="C1560" i="12"/>
  <c r="I1559" i="12"/>
  <c r="H1559" i="12"/>
  <c r="D1559" i="12"/>
  <c r="C1559" i="12"/>
  <c r="I1558" i="12"/>
  <c r="H1558" i="12"/>
  <c r="D1558" i="12"/>
  <c r="C1558" i="12"/>
  <c r="I1557" i="12"/>
  <c r="H1557" i="12"/>
  <c r="D1557" i="12"/>
  <c r="C1557" i="12"/>
  <c r="I1556" i="12"/>
  <c r="H1556" i="12"/>
  <c r="D1556" i="12"/>
  <c r="C1556" i="12"/>
  <c r="I1555" i="12"/>
  <c r="H1555" i="12"/>
  <c r="D1555" i="12"/>
  <c r="C1555" i="12"/>
  <c r="I1554" i="12"/>
  <c r="H1554" i="12"/>
  <c r="D1554" i="12"/>
  <c r="C1554" i="12"/>
  <c r="I1553" i="12"/>
  <c r="H1553" i="12"/>
  <c r="D1553" i="12"/>
  <c r="C1553" i="12"/>
  <c r="I1552" i="12"/>
  <c r="H1552" i="12"/>
  <c r="D1552" i="12"/>
  <c r="C1552" i="12"/>
  <c r="I1551" i="12"/>
  <c r="H1551" i="12"/>
  <c r="D1551" i="12"/>
  <c r="C1551" i="12"/>
  <c r="I1550" i="12"/>
  <c r="H1550" i="12"/>
  <c r="D1550" i="12"/>
  <c r="C1550" i="12"/>
  <c r="I1549" i="12"/>
  <c r="H1549" i="12"/>
  <c r="D1549" i="12"/>
  <c r="C1549" i="12"/>
  <c r="I1548" i="12"/>
  <c r="H1548" i="12"/>
  <c r="D1548" i="12"/>
  <c r="C1548" i="12"/>
  <c r="I1547" i="12"/>
  <c r="H1547" i="12"/>
  <c r="D1547" i="12"/>
  <c r="C1547" i="12"/>
  <c r="I1546" i="12"/>
  <c r="H1546" i="12"/>
  <c r="D1546" i="12"/>
  <c r="C1546" i="12"/>
  <c r="I1545" i="12"/>
  <c r="H1545" i="12"/>
  <c r="D1545" i="12"/>
  <c r="C1545" i="12"/>
  <c r="I1544" i="12"/>
  <c r="H1544" i="12"/>
  <c r="D1544" i="12"/>
  <c r="C1544" i="12"/>
  <c r="D1543" i="12"/>
  <c r="C1543" i="12"/>
  <c r="D1542" i="12"/>
  <c r="C1542" i="12"/>
  <c r="I1541" i="12"/>
  <c r="H1541" i="12"/>
  <c r="D1541" i="12"/>
  <c r="C1541" i="12"/>
  <c r="I1540" i="12"/>
  <c r="H1540" i="12"/>
  <c r="D1540" i="12"/>
  <c r="C1540" i="12"/>
  <c r="I1539" i="12"/>
  <c r="H1539" i="12"/>
  <c r="D1539" i="12"/>
  <c r="C1539" i="12"/>
  <c r="I1538" i="12"/>
  <c r="H1538" i="12"/>
  <c r="D1538" i="12"/>
  <c r="C1538" i="12"/>
  <c r="I1537" i="12"/>
  <c r="H1537" i="12"/>
  <c r="D1537" i="12"/>
  <c r="C1537" i="12"/>
  <c r="I1536" i="12"/>
  <c r="H1536" i="12"/>
  <c r="D1536" i="12"/>
  <c r="C1536" i="12"/>
  <c r="I1535" i="12"/>
  <c r="H1535" i="12"/>
  <c r="D1535" i="12"/>
  <c r="C1535" i="12"/>
  <c r="I1534" i="12"/>
  <c r="H1534" i="12"/>
  <c r="D1534" i="12"/>
  <c r="C1534" i="12"/>
  <c r="I1533" i="12"/>
  <c r="H1533" i="12"/>
  <c r="D1533" i="12"/>
  <c r="C1533" i="12"/>
  <c r="I1532" i="12"/>
  <c r="H1532" i="12"/>
  <c r="D1532" i="12"/>
  <c r="C1532" i="12"/>
  <c r="I1531" i="12"/>
  <c r="H1531" i="12"/>
  <c r="D1531" i="12"/>
  <c r="C1531" i="12"/>
  <c r="I1530" i="12"/>
  <c r="H1530" i="12"/>
  <c r="D1530" i="12"/>
  <c r="C1530" i="12"/>
  <c r="I1529" i="12"/>
  <c r="H1529" i="12"/>
  <c r="D1529" i="12"/>
  <c r="C1529" i="12"/>
  <c r="I1528" i="12"/>
  <c r="H1528" i="12"/>
  <c r="D1528" i="12"/>
  <c r="C1528" i="12"/>
  <c r="I1527" i="12"/>
  <c r="H1527" i="12"/>
  <c r="D1527" i="12"/>
  <c r="C1527" i="12"/>
  <c r="I1526" i="12"/>
  <c r="H1526" i="12"/>
  <c r="D1526" i="12"/>
  <c r="C1526" i="12"/>
  <c r="I1525" i="12"/>
  <c r="H1525" i="12"/>
  <c r="D1525" i="12"/>
  <c r="C1525" i="12"/>
  <c r="I1524" i="12"/>
  <c r="H1524" i="12"/>
  <c r="D1524" i="12"/>
  <c r="C1524" i="12"/>
  <c r="I1523" i="12"/>
  <c r="H1523" i="12"/>
  <c r="D1523" i="12"/>
  <c r="C1523" i="12"/>
  <c r="I1522" i="12"/>
  <c r="H1522" i="12"/>
  <c r="D1522" i="12"/>
  <c r="C1522" i="12"/>
  <c r="D1521" i="12"/>
  <c r="C1521" i="12"/>
  <c r="D1520" i="12"/>
  <c r="C1520" i="12"/>
  <c r="I1519" i="12"/>
  <c r="H1519" i="12"/>
  <c r="D1519" i="12"/>
  <c r="C1519" i="12"/>
  <c r="I1518" i="12"/>
  <c r="H1518" i="12"/>
  <c r="D1518" i="12"/>
  <c r="C1518" i="12"/>
  <c r="I1517" i="12"/>
  <c r="H1517" i="12"/>
  <c r="D1517" i="12"/>
  <c r="C1517" i="12"/>
  <c r="I1516" i="12"/>
  <c r="H1516" i="12"/>
  <c r="D1516" i="12"/>
  <c r="C1516" i="12"/>
  <c r="I1515" i="12"/>
  <c r="H1515" i="12"/>
  <c r="D1515" i="12"/>
  <c r="C1515" i="12"/>
  <c r="I1514" i="12"/>
  <c r="H1514" i="12"/>
  <c r="D1514" i="12"/>
  <c r="C1514" i="12"/>
  <c r="I1513" i="12"/>
  <c r="H1513" i="12"/>
  <c r="D1513" i="12"/>
  <c r="C1513" i="12"/>
  <c r="I1512" i="12"/>
  <c r="H1512" i="12"/>
  <c r="D1512" i="12"/>
  <c r="C1512" i="12"/>
  <c r="I1511" i="12"/>
  <c r="H1511" i="12"/>
  <c r="D1511" i="12"/>
  <c r="C1511" i="12"/>
  <c r="I1510" i="12"/>
  <c r="H1510" i="12"/>
  <c r="D1510" i="12"/>
  <c r="C1510" i="12"/>
  <c r="I1509" i="12"/>
  <c r="H1509" i="12"/>
  <c r="D1509" i="12"/>
  <c r="C1509" i="12"/>
  <c r="I1508" i="12"/>
  <c r="H1508" i="12"/>
  <c r="D1508" i="12"/>
  <c r="C1508" i="12"/>
  <c r="I1507" i="12"/>
  <c r="H1507" i="12"/>
  <c r="D1507" i="12"/>
  <c r="C1507" i="12"/>
  <c r="I1506" i="12"/>
  <c r="H1506" i="12"/>
  <c r="D1506" i="12"/>
  <c r="C1506" i="12"/>
  <c r="I1505" i="12"/>
  <c r="H1505" i="12"/>
  <c r="D1505" i="12"/>
  <c r="C1505" i="12"/>
  <c r="I1504" i="12"/>
  <c r="H1504" i="12"/>
  <c r="D1504" i="12"/>
  <c r="C1504" i="12"/>
  <c r="I1503" i="12"/>
  <c r="H1503" i="12"/>
  <c r="D1503" i="12"/>
  <c r="C1503" i="12"/>
  <c r="I1502" i="12"/>
  <c r="H1502" i="12"/>
  <c r="D1502" i="12"/>
  <c r="C1502" i="12"/>
  <c r="I1501" i="12"/>
  <c r="H1501" i="12"/>
  <c r="D1501" i="12"/>
  <c r="C1501" i="12"/>
  <c r="I1500" i="12"/>
  <c r="H1500" i="12"/>
  <c r="D1500" i="12"/>
  <c r="C1500" i="12"/>
  <c r="D1499" i="12"/>
  <c r="C1499" i="12"/>
  <c r="D1498" i="12"/>
  <c r="C1498" i="12"/>
  <c r="I1497" i="12"/>
  <c r="H1497" i="12"/>
  <c r="D1497" i="12"/>
  <c r="C1497" i="12"/>
  <c r="I1496" i="12"/>
  <c r="H1496" i="12"/>
  <c r="D1496" i="12"/>
  <c r="C1496" i="12"/>
  <c r="I1495" i="12"/>
  <c r="H1495" i="12"/>
  <c r="D1495" i="12"/>
  <c r="C1495" i="12"/>
  <c r="I1494" i="12"/>
  <c r="H1494" i="12"/>
  <c r="D1494" i="12"/>
  <c r="C1494" i="12"/>
  <c r="I1493" i="12"/>
  <c r="H1493" i="12"/>
  <c r="D1493" i="12"/>
  <c r="C1493" i="12"/>
  <c r="I1492" i="12"/>
  <c r="H1492" i="12"/>
  <c r="D1492" i="12"/>
  <c r="C1492" i="12"/>
  <c r="I1491" i="12"/>
  <c r="H1491" i="12"/>
  <c r="D1491" i="12"/>
  <c r="C1491" i="12"/>
  <c r="I1490" i="12"/>
  <c r="H1490" i="12"/>
  <c r="D1490" i="12"/>
  <c r="C1490" i="12"/>
  <c r="I1489" i="12"/>
  <c r="H1489" i="12"/>
  <c r="D1489" i="12"/>
  <c r="C1489" i="12"/>
  <c r="I1488" i="12"/>
  <c r="H1488" i="12"/>
  <c r="D1488" i="12"/>
  <c r="C1488" i="12"/>
  <c r="I1487" i="12"/>
  <c r="H1487" i="12"/>
  <c r="D1487" i="12"/>
  <c r="C1487" i="12"/>
  <c r="I1486" i="12"/>
  <c r="H1486" i="12"/>
  <c r="D1486" i="12"/>
  <c r="C1486" i="12"/>
  <c r="I1485" i="12"/>
  <c r="H1485" i="12"/>
  <c r="D1485" i="12"/>
  <c r="C1485" i="12"/>
  <c r="I1484" i="12"/>
  <c r="H1484" i="12"/>
  <c r="D1484" i="12"/>
  <c r="C1484" i="12"/>
  <c r="I1483" i="12"/>
  <c r="H1483" i="12"/>
  <c r="D1483" i="12"/>
  <c r="C1483" i="12"/>
  <c r="I1482" i="12"/>
  <c r="H1482" i="12"/>
  <c r="D1482" i="12"/>
  <c r="C1482" i="12"/>
  <c r="I1481" i="12"/>
  <c r="H1481" i="12"/>
  <c r="D1481" i="12"/>
  <c r="C1481" i="12"/>
  <c r="I1480" i="12"/>
  <c r="H1480" i="12"/>
  <c r="D1480" i="12"/>
  <c r="C1480" i="12"/>
  <c r="I1479" i="12"/>
  <c r="H1479" i="12"/>
  <c r="D1479" i="12"/>
  <c r="C1479" i="12"/>
  <c r="I1478" i="12"/>
  <c r="H1478" i="12"/>
  <c r="D1478" i="12"/>
  <c r="C1478" i="12"/>
  <c r="D1477" i="12"/>
  <c r="C1477" i="12"/>
  <c r="D1476" i="12"/>
  <c r="C1476" i="12"/>
  <c r="I1475" i="12"/>
  <c r="H1475" i="12"/>
  <c r="D1475" i="12"/>
  <c r="C1475" i="12"/>
  <c r="I1474" i="12"/>
  <c r="H1474" i="12"/>
  <c r="D1474" i="12"/>
  <c r="C1474" i="12"/>
  <c r="I1473" i="12"/>
  <c r="H1473" i="12"/>
  <c r="D1473" i="12"/>
  <c r="C1473" i="12"/>
  <c r="I1472" i="12"/>
  <c r="H1472" i="12"/>
  <c r="D1472" i="12"/>
  <c r="C1472" i="12"/>
  <c r="I1471" i="12"/>
  <c r="H1471" i="12"/>
  <c r="D1471" i="12"/>
  <c r="C1471" i="12"/>
  <c r="I1470" i="12"/>
  <c r="H1470" i="12"/>
  <c r="D1470" i="12"/>
  <c r="C1470" i="12"/>
  <c r="I1469" i="12"/>
  <c r="H1469" i="12"/>
  <c r="D1469" i="12"/>
  <c r="C1469" i="12"/>
  <c r="I1468" i="12"/>
  <c r="H1468" i="12"/>
  <c r="D1468" i="12"/>
  <c r="C1468" i="12"/>
  <c r="I1467" i="12"/>
  <c r="H1467" i="12"/>
  <c r="D1467" i="12"/>
  <c r="C1467" i="12"/>
  <c r="I1466" i="12"/>
  <c r="H1466" i="12"/>
  <c r="D1466" i="12"/>
  <c r="C1466" i="12"/>
  <c r="I1465" i="12"/>
  <c r="H1465" i="12"/>
  <c r="D1465" i="12"/>
  <c r="C1465" i="12"/>
  <c r="I1464" i="12"/>
  <c r="H1464" i="12"/>
  <c r="D1464" i="12"/>
  <c r="C1464" i="12"/>
  <c r="I1463" i="12"/>
  <c r="H1463" i="12"/>
  <c r="D1463" i="12"/>
  <c r="C1463" i="12"/>
  <c r="I1462" i="12"/>
  <c r="H1462" i="12"/>
  <c r="D1462" i="12"/>
  <c r="C1462" i="12"/>
  <c r="I1461" i="12"/>
  <c r="H1461" i="12"/>
  <c r="D1461" i="12"/>
  <c r="C1461" i="12"/>
  <c r="I1460" i="12"/>
  <c r="H1460" i="12"/>
  <c r="D1460" i="12"/>
  <c r="C1460" i="12"/>
  <c r="I1459" i="12"/>
  <c r="H1459" i="12"/>
  <c r="D1459" i="12"/>
  <c r="C1459" i="12"/>
  <c r="I1458" i="12"/>
  <c r="H1458" i="12"/>
  <c r="D1458" i="12"/>
  <c r="C1458" i="12"/>
  <c r="I1457" i="12"/>
  <c r="H1457" i="12"/>
  <c r="D1457" i="12"/>
  <c r="C1457" i="12"/>
  <c r="I1456" i="12"/>
  <c r="H1456" i="12"/>
  <c r="D1456" i="12"/>
  <c r="C1456" i="12"/>
  <c r="D1455" i="12"/>
  <c r="C1455" i="12"/>
  <c r="D1454" i="12"/>
  <c r="C1454" i="12"/>
  <c r="I1453" i="12"/>
  <c r="H1453" i="12"/>
  <c r="D1453" i="12"/>
  <c r="C1453" i="12"/>
  <c r="I1452" i="12"/>
  <c r="H1452" i="12"/>
  <c r="D1452" i="12"/>
  <c r="C1452" i="12"/>
  <c r="I1451" i="12"/>
  <c r="H1451" i="12"/>
  <c r="D1451" i="12"/>
  <c r="C1451" i="12"/>
  <c r="I1450" i="12"/>
  <c r="H1450" i="12"/>
  <c r="D1450" i="12"/>
  <c r="C1450" i="12"/>
  <c r="I1449" i="12"/>
  <c r="H1449" i="12"/>
  <c r="D1449" i="12"/>
  <c r="C1449" i="12"/>
  <c r="I1448" i="12"/>
  <c r="H1448" i="12"/>
  <c r="D1448" i="12"/>
  <c r="C1448" i="12"/>
  <c r="I1447" i="12"/>
  <c r="H1447" i="12"/>
  <c r="D1447" i="12"/>
  <c r="C1447" i="12"/>
  <c r="I1446" i="12"/>
  <c r="H1446" i="12"/>
  <c r="D1446" i="12"/>
  <c r="C1446" i="12"/>
  <c r="I1445" i="12"/>
  <c r="H1445" i="12"/>
  <c r="D1445" i="12"/>
  <c r="C1445" i="12"/>
  <c r="I1444" i="12"/>
  <c r="H1444" i="12"/>
  <c r="D1444" i="12"/>
  <c r="C1444" i="12"/>
  <c r="I1443" i="12"/>
  <c r="H1443" i="12"/>
  <c r="D1443" i="12"/>
  <c r="C1443" i="12"/>
  <c r="I1442" i="12"/>
  <c r="H1442" i="12"/>
  <c r="D1442" i="12"/>
  <c r="C1442" i="12"/>
  <c r="I1441" i="12"/>
  <c r="H1441" i="12"/>
  <c r="D1441" i="12"/>
  <c r="C1441" i="12"/>
  <c r="I1440" i="12"/>
  <c r="H1440" i="12"/>
  <c r="D1440" i="12"/>
  <c r="C1440" i="12"/>
  <c r="I1439" i="12"/>
  <c r="H1439" i="12"/>
  <c r="D1439" i="12"/>
  <c r="C1439" i="12"/>
  <c r="I1438" i="12"/>
  <c r="H1438" i="12"/>
  <c r="D1438" i="12"/>
  <c r="C1438" i="12"/>
  <c r="I1437" i="12"/>
  <c r="H1437" i="12"/>
  <c r="D1437" i="12"/>
  <c r="C1437" i="12"/>
  <c r="I1436" i="12"/>
  <c r="H1436" i="12"/>
  <c r="D1436" i="12"/>
  <c r="C1436" i="12"/>
  <c r="I1435" i="12"/>
  <c r="H1435" i="12"/>
  <c r="D1435" i="12"/>
  <c r="C1435" i="12"/>
  <c r="I1434" i="12"/>
  <c r="H1434" i="12"/>
  <c r="D1434" i="12"/>
  <c r="C1434" i="12"/>
  <c r="D1433" i="12"/>
  <c r="C1433" i="12"/>
  <c r="D1432" i="12"/>
  <c r="C1432" i="12"/>
  <c r="I1431" i="12"/>
  <c r="H1431" i="12"/>
  <c r="D1431" i="12"/>
  <c r="C1431" i="12"/>
  <c r="I1430" i="12"/>
  <c r="H1430" i="12"/>
  <c r="D1430" i="12"/>
  <c r="C1430" i="12"/>
  <c r="I1429" i="12"/>
  <c r="H1429" i="12"/>
  <c r="D1429" i="12"/>
  <c r="C1429" i="12"/>
  <c r="I1428" i="12"/>
  <c r="H1428" i="12"/>
  <c r="D1428" i="12"/>
  <c r="C1428" i="12"/>
  <c r="I1427" i="12"/>
  <c r="H1427" i="12"/>
  <c r="D1427" i="12"/>
  <c r="C1427" i="12"/>
  <c r="I1426" i="12"/>
  <c r="H1426" i="12"/>
  <c r="D1426" i="12"/>
  <c r="C1426" i="12"/>
  <c r="I1425" i="12"/>
  <c r="H1425" i="12"/>
  <c r="D1425" i="12"/>
  <c r="C1425" i="12"/>
  <c r="I1424" i="12"/>
  <c r="H1424" i="12"/>
  <c r="D1424" i="12"/>
  <c r="C1424" i="12"/>
  <c r="I1423" i="12"/>
  <c r="H1423" i="12"/>
  <c r="D1423" i="12"/>
  <c r="C1423" i="12"/>
  <c r="I1422" i="12"/>
  <c r="H1422" i="12"/>
  <c r="D1422" i="12"/>
  <c r="C1422" i="12"/>
  <c r="I1421" i="12"/>
  <c r="H1421" i="12"/>
  <c r="D1421" i="12"/>
  <c r="C1421" i="12"/>
  <c r="I1420" i="12"/>
  <c r="H1420" i="12"/>
  <c r="D1420" i="12"/>
  <c r="C1420" i="12"/>
  <c r="I1419" i="12"/>
  <c r="H1419" i="12"/>
  <c r="D1419" i="12"/>
  <c r="C1419" i="12"/>
  <c r="I1418" i="12"/>
  <c r="H1418" i="12"/>
  <c r="D1418" i="12"/>
  <c r="C1418" i="12"/>
  <c r="I1417" i="12"/>
  <c r="H1417" i="12"/>
  <c r="D1417" i="12"/>
  <c r="C1417" i="12"/>
  <c r="I1416" i="12"/>
  <c r="H1416" i="12"/>
  <c r="D1416" i="12"/>
  <c r="C1416" i="12"/>
  <c r="I1415" i="12"/>
  <c r="H1415" i="12"/>
  <c r="D1415" i="12"/>
  <c r="C1415" i="12"/>
  <c r="I1414" i="12"/>
  <c r="H1414" i="12"/>
  <c r="D1414" i="12"/>
  <c r="C1414" i="12"/>
  <c r="I1413" i="12"/>
  <c r="H1413" i="12"/>
  <c r="D1413" i="12"/>
  <c r="C1413" i="12"/>
  <c r="I1412" i="12"/>
  <c r="H1412" i="12"/>
  <c r="D1412" i="12"/>
  <c r="C1412" i="12"/>
  <c r="D1411" i="12"/>
  <c r="C1411" i="12"/>
  <c r="D1410" i="12"/>
  <c r="C1410" i="12"/>
  <c r="I1409" i="12"/>
  <c r="H1409" i="12"/>
  <c r="D1409" i="12"/>
  <c r="C1409" i="12"/>
  <c r="I1408" i="12"/>
  <c r="H1408" i="12"/>
  <c r="D1408" i="12"/>
  <c r="C1408" i="12"/>
  <c r="I1407" i="12"/>
  <c r="H1407" i="12"/>
  <c r="D1407" i="12"/>
  <c r="C1407" i="12"/>
  <c r="I1406" i="12"/>
  <c r="H1406" i="12"/>
  <c r="D1406" i="12"/>
  <c r="C1406" i="12"/>
  <c r="I1405" i="12"/>
  <c r="H1405" i="12"/>
  <c r="D1405" i="12"/>
  <c r="C1405" i="12"/>
  <c r="I1404" i="12"/>
  <c r="H1404" i="12"/>
  <c r="D1404" i="12"/>
  <c r="C1404" i="12"/>
  <c r="I1403" i="12"/>
  <c r="H1403" i="12"/>
  <c r="D1403" i="12"/>
  <c r="C1403" i="12"/>
  <c r="I1402" i="12"/>
  <c r="H1402" i="12"/>
  <c r="D1402" i="12"/>
  <c r="C1402" i="12"/>
  <c r="I1401" i="12"/>
  <c r="H1401" i="12"/>
  <c r="D1401" i="12"/>
  <c r="C1401" i="12"/>
  <c r="I1400" i="12"/>
  <c r="H1400" i="12"/>
  <c r="D1400" i="12"/>
  <c r="C1400" i="12"/>
  <c r="I1399" i="12"/>
  <c r="H1399" i="12"/>
  <c r="D1399" i="12"/>
  <c r="C1399" i="12"/>
  <c r="I1398" i="12"/>
  <c r="H1398" i="12"/>
  <c r="D1398" i="12"/>
  <c r="C1398" i="12"/>
  <c r="I1397" i="12"/>
  <c r="H1397" i="12"/>
  <c r="D1397" i="12"/>
  <c r="C1397" i="12"/>
  <c r="I1396" i="12"/>
  <c r="H1396" i="12"/>
  <c r="D1396" i="12"/>
  <c r="C1396" i="12"/>
  <c r="I1395" i="12"/>
  <c r="H1395" i="12"/>
  <c r="D1395" i="12"/>
  <c r="C1395" i="12"/>
  <c r="I1394" i="12"/>
  <c r="H1394" i="12"/>
  <c r="D1394" i="12"/>
  <c r="C1394" i="12"/>
  <c r="I1393" i="12"/>
  <c r="H1393" i="12"/>
  <c r="D1393" i="12"/>
  <c r="C1393" i="12"/>
  <c r="I1392" i="12"/>
  <c r="H1392" i="12"/>
  <c r="D1392" i="12"/>
  <c r="C1392" i="12"/>
  <c r="I1391" i="12"/>
  <c r="H1391" i="12"/>
  <c r="D1391" i="12"/>
  <c r="C1391" i="12"/>
  <c r="I1390" i="12"/>
  <c r="H1390" i="12"/>
  <c r="D1390" i="12"/>
  <c r="C1390" i="12"/>
  <c r="D1389" i="12"/>
  <c r="C1389" i="12"/>
  <c r="D1388" i="12"/>
  <c r="C1388" i="12"/>
  <c r="I1387" i="12"/>
  <c r="H1387" i="12"/>
  <c r="D1387" i="12"/>
  <c r="C1387" i="12"/>
  <c r="I1386" i="12"/>
  <c r="H1386" i="12"/>
  <c r="D1386" i="12"/>
  <c r="C1386" i="12"/>
  <c r="I1385" i="12"/>
  <c r="H1385" i="12"/>
  <c r="D1385" i="12"/>
  <c r="C1385" i="12"/>
  <c r="I1384" i="12"/>
  <c r="H1384" i="12"/>
  <c r="D1384" i="12"/>
  <c r="C1384" i="12"/>
  <c r="I1383" i="12"/>
  <c r="H1383" i="12"/>
  <c r="D1383" i="12"/>
  <c r="C1383" i="12"/>
  <c r="I1382" i="12"/>
  <c r="H1382" i="12"/>
  <c r="D1382" i="12"/>
  <c r="C1382" i="12"/>
  <c r="I1381" i="12"/>
  <c r="H1381" i="12"/>
  <c r="D1381" i="12"/>
  <c r="C1381" i="12"/>
  <c r="I1380" i="12"/>
  <c r="H1380" i="12"/>
  <c r="D1380" i="12"/>
  <c r="C1380" i="12"/>
  <c r="I1379" i="12"/>
  <c r="H1379" i="12"/>
  <c r="D1379" i="12"/>
  <c r="C1379" i="12"/>
  <c r="I1378" i="12"/>
  <c r="H1378" i="12"/>
  <c r="D1378" i="12"/>
  <c r="C1378" i="12"/>
  <c r="I1377" i="12"/>
  <c r="H1377" i="12"/>
  <c r="D1377" i="12"/>
  <c r="C1377" i="12"/>
  <c r="I1376" i="12"/>
  <c r="H1376" i="12"/>
  <c r="D1376" i="12"/>
  <c r="C1376" i="12"/>
  <c r="I1375" i="12"/>
  <c r="H1375" i="12"/>
  <c r="D1375" i="12"/>
  <c r="C1375" i="12"/>
  <c r="I1374" i="12"/>
  <c r="H1374" i="12"/>
  <c r="D1374" i="12"/>
  <c r="C1374" i="12"/>
  <c r="I1373" i="12"/>
  <c r="H1373" i="12"/>
  <c r="D1373" i="12"/>
  <c r="C1373" i="12"/>
  <c r="I1372" i="12"/>
  <c r="H1372" i="12"/>
  <c r="D1372" i="12"/>
  <c r="C1372" i="12"/>
  <c r="I1371" i="12"/>
  <c r="H1371" i="12"/>
  <c r="D1371" i="12"/>
  <c r="C1371" i="12"/>
  <c r="I1370" i="12"/>
  <c r="H1370" i="12"/>
  <c r="D1370" i="12"/>
  <c r="C1370" i="12"/>
  <c r="I1369" i="12"/>
  <c r="H1369" i="12"/>
  <c r="D1369" i="12"/>
  <c r="C1369" i="12"/>
  <c r="I1368" i="12"/>
  <c r="H1368" i="12"/>
  <c r="D1368" i="12"/>
  <c r="C1368" i="12"/>
  <c r="D1367" i="12"/>
  <c r="C1367" i="12"/>
  <c r="D1366" i="12"/>
  <c r="C1366" i="12"/>
  <c r="I1365" i="12"/>
  <c r="H1365" i="12"/>
  <c r="D1365" i="12"/>
  <c r="C1365" i="12"/>
  <c r="I1364" i="12"/>
  <c r="H1364" i="12"/>
  <c r="D1364" i="12"/>
  <c r="C1364" i="12"/>
  <c r="I1363" i="12"/>
  <c r="H1363" i="12"/>
  <c r="D1363" i="12"/>
  <c r="C1363" i="12"/>
  <c r="I1362" i="12"/>
  <c r="H1362" i="12"/>
  <c r="D1362" i="12"/>
  <c r="C1362" i="12"/>
  <c r="I1361" i="12"/>
  <c r="H1361" i="12"/>
  <c r="D1361" i="12"/>
  <c r="C1361" i="12"/>
  <c r="I1360" i="12"/>
  <c r="H1360" i="12"/>
  <c r="D1360" i="12"/>
  <c r="C1360" i="12"/>
  <c r="I1359" i="12"/>
  <c r="H1359" i="12"/>
  <c r="D1359" i="12"/>
  <c r="C1359" i="12"/>
  <c r="I1358" i="12"/>
  <c r="H1358" i="12"/>
  <c r="D1358" i="12"/>
  <c r="C1358" i="12"/>
  <c r="I1357" i="12"/>
  <c r="H1357" i="12"/>
  <c r="D1357" i="12"/>
  <c r="C1357" i="12"/>
  <c r="I1356" i="12"/>
  <c r="H1356" i="12"/>
  <c r="D1356" i="12"/>
  <c r="C1356" i="12"/>
  <c r="I1355" i="12"/>
  <c r="H1355" i="12"/>
  <c r="D1355" i="12"/>
  <c r="C1355" i="12"/>
  <c r="I1354" i="12"/>
  <c r="H1354" i="12"/>
  <c r="D1354" i="12"/>
  <c r="C1354" i="12"/>
  <c r="I1353" i="12"/>
  <c r="H1353" i="12"/>
  <c r="D1353" i="12"/>
  <c r="C1353" i="12"/>
  <c r="I1352" i="12"/>
  <c r="H1352" i="12"/>
  <c r="D1352" i="12"/>
  <c r="C1352" i="12"/>
  <c r="I1351" i="12"/>
  <c r="H1351" i="12"/>
  <c r="D1351" i="12"/>
  <c r="C1351" i="12"/>
  <c r="I1350" i="12"/>
  <c r="H1350" i="12"/>
  <c r="D1350" i="12"/>
  <c r="C1350" i="12"/>
  <c r="I1349" i="12"/>
  <c r="H1349" i="12"/>
  <c r="D1349" i="12"/>
  <c r="C1349" i="12"/>
  <c r="I1348" i="12"/>
  <c r="H1348" i="12"/>
  <c r="D1348" i="12"/>
  <c r="C1348" i="12"/>
  <c r="I1347" i="12"/>
  <c r="H1347" i="12"/>
  <c r="D1347" i="12"/>
  <c r="C1347" i="12"/>
  <c r="I1346" i="12"/>
  <c r="H1346" i="12"/>
  <c r="D1346" i="12"/>
  <c r="C1346" i="12"/>
  <c r="D1345" i="12"/>
  <c r="C1345" i="12"/>
  <c r="D1344" i="12"/>
  <c r="C1344" i="12"/>
  <c r="I1343" i="12"/>
  <c r="H1343" i="12"/>
  <c r="D1343" i="12"/>
  <c r="C1343" i="12"/>
  <c r="I1342" i="12"/>
  <c r="H1342" i="12"/>
  <c r="D1342" i="12"/>
  <c r="C1342" i="12"/>
  <c r="I1341" i="12"/>
  <c r="H1341" i="12"/>
  <c r="D1341" i="12"/>
  <c r="C1341" i="12"/>
  <c r="I1340" i="12"/>
  <c r="H1340" i="12"/>
  <c r="D1340" i="12"/>
  <c r="C1340" i="12"/>
  <c r="I1339" i="12"/>
  <c r="H1339" i="12"/>
  <c r="D1339" i="12"/>
  <c r="C1339" i="12"/>
  <c r="I1338" i="12"/>
  <c r="H1338" i="12"/>
  <c r="D1338" i="12"/>
  <c r="C1338" i="12"/>
  <c r="I1337" i="12"/>
  <c r="H1337" i="12"/>
  <c r="D1337" i="12"/>
  <c r="C1337" i="12"/>
  <c r="I1336" i="12"/>
  <c r="H1336" i="12"/>
  <c r="D1336" i="12"/>
  <c r="C1336" i="12"/>
  <c r="I1335" i="12"/>
  <c r="H1335" i="12"/>
  <c r="D1335" i="12"/>
  <c r="C1335" i="12"/>
  <c r="I1334" i="12"/>
  <c r="H1334" i="12"/>
  <c r="D1334" i="12"/>
  <c r="C1334" i="12"/>
  <c r="I1333" i="12"/>
  <c r="H1333" i="12"/>
  <c r="D1333" i="12"/>
  <c r="C1333" i="12"/>
  <c r="I1332" i="12"/>
  <c r="H1332" i="12"/>
  <c r="D1332" i="12"/>
  <c r="C1332" i="12"/>
  <c r="I1331" i="12"/>
  <c r="H1331" i="12"/>
  <c r="D1331" i="12"/>
  <c r="C1331" i="12"/>
  <c r="I1330" i="12"/>
  <c r="H1330" i="12"/>
  <c r="D1330" i="12"/>
  <c r="C1330" i="12"/>
  <c r="I1329" i="12"/>
  <c r="H1329" i="12"/>
  <c r="D1329" i="12"/>
  <c r="C1329" i="12"/>
  <c r="I1328" i="12"/>
  <c r="H1328" i="12"/>
  <c r="D1328" i="12"/>
  <c r="C1328" i="12"/>
  <c r="I1327" i="12"/>
  <c r="H1327" i="12"/>
  <c r="D1327" i="12"/>
  <c r="C1327" i="12"/>
  <c r="I1326" i="12"/>
  <c r="H1326" i="12"/>
  <c r="D1326" i="12"/>
  <c r="C1326" i="12"/>
  <c r="I1325" i="12"/>
  <c r="H1325" i="12"/>
  <c r="D1325" i="12"/>
  <c r="C1325" i="12"/>
  <c r="I1324" i="12"/>
  <c r="H1324" i="12"/>
  <c r="D1324" i="12"/>
  <c r="C1324" i="12"/>
  <c r="D1323" i="12"/>
  <c r="C1323" i="12"/>
  <c r="D1322" i="12"/>
  <c r="C1322" i="12"/>
  <c r="I1321" i="12"/>
  <c r="H1321" i="12"/>
  <c r="D1321" i="12"/>
  <c r="C1321" i="12"/>
  <c r="I1320" i="12"/>
  <c r="H1320" i="12"/>
  <c r="D1320" i="12"/>
  <c r="C1320" i="12"/>
  <c r="I1319" i="12"/>
  <c r="H1319" i="12"/>
  <c r="D1319" i="12"/>
  <c r="C1319" i="12"/>
  <c r="I1318" i="12"/>
  <c r="H1318" i="12"/>
  <c r="D1318" i="12"/>
  <c r="C1318" i="12"/>
  <c r="I1317" i="12"/>
  <c r="H1317" i="12"/>
  <c r="D1317" i="12"/>
  <c r="C1317" i="12"/>
  <c r="I1316" i="12"/>
  <c r="H1316" i="12"/>
  <c r="D1316" i="12"/>
  <c r="C1316" i="12"/>
  <c r="I1315" i="12"/>
  <c r="H1315" i="12"/>
  <c r="D1315" i="12"/>
  <c r="C1315" i="12"/>
  <c r="I1314" i="12"/>
  <c r="H1314" i="12"/>
  <c r="D1314" i="12"/>
  <c r="C1314" i="12"/>
  <c r="I1313" i="12"/>
  <c r="H1313" i="12"/>
  <c r="D1313" i="12"/>
  <c r="C1313" i="12"/>
  <c r="I1312" i="12"/>
  <c r="H1312" i="12"/>
  <c r="D1312" i="12"/>
  <c r="C1312" i="12"/>
  <c r="I1311" i="12"/>
  <c r="H1311" i="12"/>
  <c r="D1311" i="12"/>
  <c r="C1311" i="12"/>
  <c r="I1310" i="12"/>
  <c r="H1310" i="12"/>
  <c r="D1310" i="12"/>
  <c r="C1310" i="12"/>
  <c r="I1309" i="12"/>
  <c r="H1309" i="12"/>
  <c r="D1309" i="12"/>
  <c r="C1309" i="12"/>
  <c r="I1308" i="12"/>
  <c r="H1308" i="12"/>
  <c r="D1308" i="12"/>
  <c r="C1308" i="12"/>
  <c r="I1307" i="12"/>
  <c r="H1307" i="12"/>
  <c r="D1307" i="12"/>
  <c r="C1307" i="12"/>
  <c r="I1306" i="12"/>
  <c r="H1306" i="12"/>
  <c r="D1306" i="12"/>
  <c r="C1306" i="12"/>
  <c r="I1305" i="12"/>
  <c r="H1305" i="12"/>
  <c r="D1305" i="12"/>
  <c r="C1305" i="12"/>
  <c r="I1304" i="12"/>
  <c r="H1304" i="12"/>
  <c r="D1304" i="12"/>
  <c r="C1304" i="12"/>
  <c r="I1303" i="12"/>
  <c r="H1303" i="12"/>
  <c r="D1303" i="12"/>
  <c r="C1303" i="12"/>
  <c r="I1302" i="12"/>
  <c r="H1302" i="12"/>
  <c r="D1302" i="12"/>
  <c r="C1302" i="12"/>
  <c r="D1301" i="12"/>
  <c r="C1301" i="12"/>
  <c r="D1300" i="12"/>
  <c r="C1300" i="12"/>
  <c r="I1299" i="12"/>
  <c r="H1299" i="12"/>
  <c r="D1299" i="12"/>
  <c r="C1299" i="12"/>
  <c r="I1298" i="12"/>
  <c r="H1298" i="12"/>
  <c r="D1298" i="12"/>
  <c r="C1298" i="12"/>
  <c r="I1297" i="12"/>
  <c r="H1297" i="12"/>
  <c r="D1297" i="12"/>
  <c r="C1297" i="12"/>
  <c r="I1296" i="12"/>
  <c r="H1296" i="12"/>
  <c r="D1296" i="12"/>
  <c r="C1296" i="12"/>
  <c r="I1295" i="12"/>
  <c r="H1295" i="12"/>
  <c r="D1295" i="12"/>
  <c r="C1295" i="12"/>
  <c r="I1294" i="12"/>
  <c r="H1294" i="12"/>
  <c r="D1294" i="12"/>
  <c r="C1294" i="12"/>
  <c r="I1293" i="12"/>
  <c r="H1293" i="12"/>
  <c r="D1293" i="12"/>
  <c r="C1293" i="12"/>
  <c r="I1292" i="12"/>
  <c r="H1292" i="12"/>
  <c r="D1292" i="12"/>
  <c r="C1292" i="12"/>
  <c r="I1291" i="12"/>
  <c r="H1291" i="12"/>
  <c r="D1291" i="12"/>
  <c r="C1291" i="12"/>
  <c r="I1290" i="12"/>
  <c r="H1290" i="12"/>
  <c r="D1290" i="12"/>
  <c r="C1290" i="12"/>
  <c r="I1289" i="12"/>
  <c r="H1289" i="12"/>
  <c r="D1289" i="12"/>
  <c r="C1289" i="12"/>
  <c r="I1288" i="12"/>
  <c r="H1288" i="12"/>
  <c r="D1288" i="12"/>
  <c r="C1288" i="12"/>
  <c r="I1287" i="12"/>
  <c r="H1287" i="12"/>
  <c r="D1287" i="12"/>
  <c r="C1287" i="12"/>
  <c r="I1286" i="12"/>
  <c r="H1286" i="12"/>
  <c r="D1286" i="12"/>
  <c r="C1286" i="12"/>
  <c r="I1285" i="12"/>
  <c r="H1285" i="12"/>
  <c r="D1285" i="12"/>
  <c r="C1285" i="12"/>
  <c r="I1284" i="12"/>
  <c r="H1284" i="12"/>
  <c r="D1284" i="12"/>
  <c r="C1284" i="12"/>
  <c r="I1283" i="12"/>
  <c r="H1283" i="12"/>
  <c r="D1283" i="12"/>
  <c r="C1283" i="12"/>
  <c r="I1282" i="12"/>
  <c r="H1282" i="12"/>
  <c r="D1282" i="12"/>
  <c r="C1282" i="12"/>
  <c r="I1281" i="12"/>
  <c r="H1281" i="12"/>
  <c r="D1281" i="12"/>
  <c r="C1281" i="12"/>
  <c r="I1280" i="12"/>
  <c r="H1280" i="12"/>
  <c r="D1280" i="12"/>
  <c r="C1280" i="12"/>
  <c r="D1279" i="12"/>
  <c r="C1279" i="12"/>
  <c r="D1278" i="12"/>
  <c r="C1278" i="12"/>
  <c r="I1277" i="12"/>
  <c r="H1277" i="12"/>
  <c r="D1277" i="12"/>
  <c r="C1277" i="12"/>
  <c r="I1276" i="12"/>
  <c r="H1276" i="12"/>
  <c r="D1276" i="12"/>
  <c r="C1276" i="12"/>
  <c r="I1275" i="12"/>
  <c r="H1275" i="12"/>
  <c r="D1275" i="12"/>
  <c r="C1275" i="12"/>
  <c r="I1274" i="12"/>
  <c r="H1274" i="12"/>
  <c r="D1274" i="12"/>
  <c r="C1274" i="12"/>
  <c r="I1273" i="12"/>
  <c r="H1273" i="12"/>
  <c r="D1273" i="12"/>
  <c r="C1273" i="12"/>
  <c r="I1272" i="12"/>
  <c r="H1272" i="12"/>
  <c r="D1272" i="12"/>
  <c r="C1272" i="12"/>
  <c r="I1271" i="12"/>
  <c r="H1271" i="12"/>
  <c r="D1271" i="12"/>
  <c r="C1271" i="12"/>
  <c r="I1270" i="12"/>
  <c r="H1270" i="12"/>
  <c r="D1270" i="12"/>
  <c r="C1270" i="12"/>
  <c r="I1269" i="12"/>
  <c r="H1269" i="12"/>
  <c r="D1269" i="12"/>
  <c r="C1269" i="12"/>
  <c r="I1268" i="12"/>
  <c r="H1268" i="12"/>
  <c r="D1268" i="12"/>
  <c r="C1268" i="12"/>
  <c r="I1267" i="12"/>
  <c r="H1267" i="12"/>
  <c r="D1267" i="12"/>
  <c r="C1267" i="12"/>
  <c r="I1266" i="12"/>
  <c r="H1266" i="12"/>
  <c r="D1266" i="12"/>
  <c r="C1266" i="12"/>
  <c r="I1265" i="12"/>
  <c r="H1265" i="12"/>
  <c r="D1265" i="12"/>
  <c r="C1265" i="12"/>
  <c r="I1264" i="12"/>
  <c r="H1264" i="12"/>
  <c r="D1264" i="12"/>
  <c r="C1264" i="12"/>
  <c r="I1263" i="12"/>
  <c r="H1263" i="12"/>
  <c r="D1263" i="12"/>
  <c r="C1263" i="12"/>
  <c r="I1262" i="12"/>
  <c r="H1262" i="12"/>
  <c r="D1262" i="12"/>
  <c r="C1262" i="12"/>
  <c r="I1261" i="12"/>
  <c r="H1261" i="12"/>
  <c r="D1261" i="12"/>
  <c r="C1261" i="12"/>
  <c r="I1260" i="12"/>
  <c r="H1260" i="12"/>
  <c r="D1260" i="12"/>
  <c r="C1260" i="12"/>
  <c r="I1259" i="12"/>
  <c r="H1259" i="12"/>
  <c r="D1259" i="12"/>
  <c r="C1259" i="12"/>
  <c r="I1258" i="12"/>
  <c r="H1258" i="12"/>
  <c r="D1258" i="12"/>
  <c r="C1258" i="12"/>
  <c r="D1257" i="12"/>
  <c r="C1257" i="12"/>
  <c r="D1256" i="12"/>
  <c r="C1256" i="12"/>
  <c r="I1255" i="12"/>
  <c r="H1255" i="12"/>
  <c r="D1255" i="12"/>
  <c r="C1255" i="12"/>
  <c r="I1254" i="12"/>
  <c r="H1254" i="12"/>
  <c r="D1254" i="12"/>
  <c r="C1254" i="12"/>
  <c r="I1253" i="12"/>
  <c r="H1253" i="12"/>
  <c r="D1253" i="12"/>
  <c r="C1253" i="12"/>
  <c r="I1252" i="12"/>
  <c r="H1252" i="12"/>
  <c r="D1252" i="12"/>
  <c r="C1252" i="12"/>
  <c r="I1251" i="12"/>
  <c r="H1251" i="12"/>
  <c r="D1251" i="12"/>
  <c r="C1251" i="12"/>
  <c r="I1250" i="12"/>
  <c r="H1250" i="12"/>
  <c r="D1250" i="12"/>
  <c r="C1250" i="12"/>
  <c r="I1249" i="12"/>
  <c r="H1249" i="12"/>
  <c r="D1249" i="12"/>
  <c r="C1249" i="12"/>
  <c r="I1248" i="12"/>
  <c r="H1248" i="12"/>
  <c r="D1248" i="12"/>
  <c r="C1248" i="12"/>
  <c r="I1247" i="12"/>
  <c r="H1247" i="12"/>
  <c r="D1247" i="12"/>
  <c r="C1247" i="12"/>
  <c r="I1246" i="12"/>
  <c r="H1246" i="12"/>
  <c r="D1246" i="12"/>
  <c r="C1246" i="12"/>
  <c r="I1245" i="12"/>
  <c r="H1245" i="12"/>
  <c r="D1245" i="12"/>
  <c r="C1245" i="12"/>
  <c r="I1244" i="12"/>
  <c r="H1244" i="12"/>
  <c r="D1244" i="12"/>
  <c r="C1244" i="12"/>
  <c r="I1243" i="12"/>
  <c r="H1243" i="12"/>
  <c r="D1243" i="12"/>
  <c r="C1243" i="12"/>
  <c r="I1242" i="12"/>
  <c r="H1242" i="12"/>
  <c r="D1242" i="12"/>
  <c r="C1242" i="12"/>
  <c r="I1241" i="12"/>
  <c r="H1241" i="12"/>
  <c r="D1241" i="12"/>
  <c r="C1241" i="12"/>
  <c r="I1240" i="12"/>
  <c r="H1240" i="12"/>
  <c r="D1240" i="12"/>
  <c r="C1240" i="12"/>
  <c r="I1239" i="12"/>
  <c r="H1239" i="12"/>
  <c r="D1239" i="12"/>
  <c r="C1239" i="12"/>
  <c r="I1238" i="12"/>
  <c r="H1238" i="12"/>
  <c r="D1238" i="12"/>
  <c r="C1238" i="12"/>
  <c r="I1237" i="12"/>
  <c r="H1237" i="12"/>
  <c r="D1237" i="12"/>
  <c r="C1237" i="12"/>
  <c r="I1236" i="12"/>
  <c r="H1236" i="12"/>
  <c r="D1236" i="12"/>
  <c r="C1236" i="12"/>
  <c r="D1235" i="12"/>
  <c r="C1235" i="12"/>
  <c r="D1234" i="12"/>
  <c r="C1234" i="12"/>
  <c r="I1233" i="12"/>
  <c r="H1233" i="12"/>
  <c r="D1233" i="12"/>
  <c r="C1233" i="12"/>
  <c r="I1232" i="12"/>
  <c r="H1232" i="12"/>
  <c r="D1232" i="12"/>
  <c r="C1232" i="12"/>
  <c r="I1231" i="12"/>
  <c r="H1231" i="12"/>
  <c r="D1231" i="12"/>
  <c r="C1231" i="12"/>
  <c r="I1230" i="12"/>
  <c r="H1230" i="12"/>
  <c r="D1230" i="12"/>
  <c r="C1230" i="12"/>
  <c r="I1229" i="12"/>
  <c r="H1229" i="12"/>
  <c r="D1229" i="12"/>
  <c r="C1229" i="12"/>
  <c r="I1228" i="12"/>
  <c r="H1228" i="12"/>
  <c r="D1228" i="12"/>
  <c r="C1228" i="12"/>
  <c r="I1227" i="12"/>
  <c r="H1227" i="12"/>
  <c r="D1227" i="12"/>
  <c r="C1227" i="12"/>
  <c r="I1226" i="12"/>
  <c r="H1226" i="12"/>
  <c r="D1226" i="12"/>
  <c r="C1226" i="12"/>
  <c r="I1225" i="12"/>
  <c r="H1225" i="12"/>
  <c r="D1225" i="12"/>
  <c r="C1225" i="12"/>
  <c r="I1224" i="12"/>
  <c r="H1224" i="12"/>
  <c r="D1224" i="12"/>
  <c r="C1224" i="12"/>
  <c r="I1223" i="12"/>
  <c r="H1223" i="12"/>
  <c r="D1223" i="12"/>
  <c r="C1223" i="12"/>
  <c r="I1222" i="12"/>
  <c r="H1222" i="12"/>
  <c r="D1222" i="12"/>
  <c r="C1222" i="12"/>
  <c r="I1221" i="12"/>
  <c r="H1221" i="12"/>
  <c r="D1221" i="12"/>
  <c r="C1221" i="12"/>
  <c r="I1220" i="12"/>
  <c r="H1220" i="12"/>
  <c r="D1220" i="12"/>
  <c r="C1220" i="12"/>
  <c r="I1219" i="12"/>
  <c r="H1219" i="12"/>
  <c r="D1219" i="12"/>
  <c r="C1219" i="12"/>
  <c r="I1218" i="12"/>
  <c r="H1218" i="12"/>
  <c r="D1218" i="12"/>
  <c r="C1218" i="12"/>
  <c r="I1217" i="12"/>
  <c r="H1217" i="12"/>
  <c r="D1217" i="12"/>
  <c r="C1217" i="12"/>
  <c r="I1216" i="12"/>
  <c r="H1216" i="12"/>
  <c r="D1216" i="12"/>
  <c r="C1216" i="12"/>
  <c r="I1215" i="12"/>
  <c r="H1215" i="12"/>
  <c r="D1215" i="12"/>
  <c r="C1215" i="12"/>
  <c r="I1214" i="12"/>
  <c r="H1214" i="12"/>
  <c r="D1214" i="12"/>
  <c r="C1214" i="12"/>
  <c r="D1213" i="12"/>
  <c r="C1213" i="12"/>
  <c r="D1212" i="12"/>
  <c r="C1212" i="12"/>
  <c r="I1211" i="12"/>
  <c r="H1211" i="12"/>
  <c r="D1211" i="12"/>
  <c r="C1211" i="12"/>
  <c r="I1210" i="12"/>
  <c r="H1210" i="12"/>
  <c r="D1210" i="12"/>
  <c r="C1210" i="12"/>
  <c r="I1209" i="12"/>
  <c r="H1209" i="12"/>
  <c r="D1209" i="12"/>
  <c r="C1209" i="12"/>
  <c r="I1208" i="12"/>
  <c r="H1208" i="12"/>
  <c r="D1208" i="12"/>
  <c r="C1208" i="12"/>
  <c r="I1207" i="12"/>
  <c r="H1207" i="12"/>
  <c r="D1207" i="12"/>
  <c r="C1207" i="12"/>
  <c r="I1206" i="12"/>
  <c r="H1206" i="12"/>
  <c r="D1206" i="12"/>
  <c r="C1206" i="12"/>
  <c r="I1205" i="12"/>
  <c r="H1205" i="12"/>
  <c r="D1205" i="12"/>
  <c r="C1205" i="12"/>
  <c r="I1204" i="12"/>
  <c r="H1204" i="12"/>
  <c r="D1204" i="12"/>
  <c r="C1204" i="12"/>
  <c r="I1203" i="12"/>
  <c r="H1203" i="12"/>
  <c r="D1203" i="12"/>
  <c r="C1203" i="12"/>
  <c r="I1202" i="12"/>
  <c r="H1202" i="12"/>
  <c r="D1202" i="12"/>
  <c r="C1202" i="12"/>
  <c r="I1201" i="12"/>
  <c r="H1201" i="12"/>
  <c r="D1201" i="12"/>
  <c r="C1201" i="12"/>
  <c r="I1200" i="12"/>
  <c r="H1200" i="12"/>
  <c r="D1200" i="12"/>
  <c r="C1200" i="12"/>
  <c r="I1199" i="12"/>
  <c r="H1199" i="12"/>
  <c r="D1199" i="12"/>
  <c r="C1199" i="12"/>
  <c r="I1198" i="12"/>
  <c r="H1198" i="12"/>
  <c r="D1198" i="12"/>
  <c r="C1198" i="12"/>
  <c r="I1197" i="12"/>
  <c r="H1197" i="12"/>
  <c r="D1197" i="12"/>
  <c r="C1197" i="12"/>
  <c r="I1196" i="12"/>
  <c r="H1196" i="12"/>
  <c r="D1196" i="12"/>
  <c r="C1196" i="12"/>
  <c r="I1195" i="12"/>
  <c r="H1195" i="12"/>
  <c r="D1195" i="12"/>
  <c r="C1195" i="12"/>
  <c r="I1194" i="12"/>
  <c r="H1194" i="12"/>
  <c r="D1194" i="12"/>
  <c r="C1194" i="12"/>
  <c r="I1193" i="12"/>
  <c r="H1193" i="12"/>
  <c r="D1193" i="12"/>
  <c r="C1193" i="12"/>
  <c r="I1192" i="12"/>
  <c r="H1192" i="12"/>
  <c r="D1192" i="12"/>
  <c r="C1192" i="12"/>
  <c r="D1191" i="12"/>
  <c r="C1191" i="12"/>
  <c r="D1190" i="12"/>
  <c r="C1190" i="12"/>
  <c r="I1189" i="12"/>
  <c r="H1189" i="12"/>
  <c r="D1189" i="12"/>
  <c r="C1189" i="12"/>
  <c r="I1188" i="12"/>
  <c r="H1188" i="12"/>
  <c r="D1188" i="12"/>
  <c r="C1188" i="12"/>
  <c r="I1187" i="12"/>
  <c r="H1187" i="12"/>
  <c r="D1187" i="12"/>
  <c r="C1187" i="12"/>
  <c r="I1186" i="12"/>
  <c r="H1186" i="12"/>
  <c r="D1186" i="12"/>
  <c r="C1186" i="12"/>
  <c r="I1185" i="12"/>
  <c r="H1185" i="12"/>
  <c r="D1185" i="12"/>
  <c r="C1185" i="12"/>
  <c r="I1184" i="12"/>
  <c r="H1184" i="12"/>
  <c r="D1184" i="12"/>
  <c r="C1184" i="12"/>
  <c r="I1183" i="12"/>
  <c r="H1183" i="12"/>
  <c r="D1183" i="12"/>
  <c r="C1183" i="12"/>
  <c r="I1182" i="12"/>
  <c r="H1182" i="12"/>
  <c r="D1182" i="12"/>
  <c r="C1182" i="12"/>
  <c r="I1181" i="12"/>
  <c r="H1181" i="12"/>
  <c r="D1181" i="12"/>
  <c r="C1181" i="12"/>
  <c r="I1180" i="12"/>
  <c r="H1180" i="12"/>
  <c r="D1180" i="12"/>
  <c r="C1180" i="12"/>
  <c r="I1179" i="12"/>
  <c r="H1179" i="12"/>
  <c r="D1179" i="12"/>
  <c r="C1179" i="12"/>
  <c r="I1178" i="12"/>
  <c r="H1178" i="12"/>
  <c r="D1178" i="12"/>
  <c r="C1178" i="12"/>
  <c r="I1177" i="12"/>
  <c r="H1177" i="12"/>
  <c r="D1177" i="12"/>
  <c r="C1177" i="12"/>
  <c r="I1176" i="12"/>
  <c r="H1176" i="12"/>
  <c r="D1176" i="12"/>
  <c r="C1176" i="12"/>
  <c r="I1175" i="12"/>
  <c r="H1175" i="12"/>
  <c r="D1175" i="12"/>
  <c r="C1175" i="12"/>
  <c r="I1174" i="12"/>
  <c r="H1174" i="12"/>
  <c r="D1174" i="12"/>
  <c r="C1174" i="12"/>
  <c r="I1173" i="12"/>
  <c r="H1173" i="12"/>
  <c r="D1173" i="12"/>
  <c r="C1173" i="12"/>
  <c r="I1172" i="12"/>
  <c r="H1172" i="12"/>
  <c r="D1172" i="12"/>
  <c r="C1172" i="12"/>
  <c r="I1171" i="12"/>
  <c r="H1171" i="12"/>
  <c r="D1171" i="12"/>
  <c r="C1171" i="12"/>
  <c r="I1170" i="12"/>
  <c r="H1170" i="12"/>
  <c r="D1170" i="12"/>
  <c r="C1170" i="12"/>
  <c r="D1169" i="12"/>
  <c r="C1169" i="12"/>
  <c r="D1168" i="12"/>
  <c r="C1168" i="12"/>
  <c r="I1167" i="12"/>
  <c r="H1167" i="12"/>
  <c r="D1167" i="12"/>
  <c r="C1167" i="12"/>
  <c r="I1166" i="12"/>
  <c r="H1166" i="12"/>
  <c r="D1166" i="12"/>
  <c r="C1166" i="12"/>
  <c r="I1165" i="12"/>
  <c r="H1165" i="12"/>
  <c r="D1165" i="12"/>
  <c r="C1165" i="12"/>
  <c r="I1164" i="12"/>
  <c r="H1164" i="12"/>
  <c r="D1164" i="12"/>
  <c r="C1164" i="12"/>
  <c r="I1163" i="12"/>
  <c r="H1163" i="12"/>
  <c r="D1163" i="12"/>
  <c r="C1163" i="12"/>
  <c r="I1162" i="12"/>
  <c r="H1162" i="12"/>
  <c r="D1162" i="12"/>
  <c r="C1162" i="12"/>
  <c r="I1161" i="12"/>
  <c r="H1161" i="12"/>
  <c r="D1161" i="12"/>
  <c r="C1161" i="12"/>
  <c r="I1160" i="12"/>
  <c r="H1160" i="12"/>
  <c r="D1160" i="12"/>
  <c r="C1160" i="12"/>
  <c r="I1159" i="12"/>
  <c r="H1159" i="12"/>
  <c r="D1159" i="12"/>
  <c r="C1159" i="12"/>
  <c r="I1158" i="12"/>
  <c r="H1158" i="12"/>
  <c r="D1158" i="12"/>
  <c r="C1158" i="12"/>
  <c r="I1157" i="12"/>
  <c r="H1157" i="12"/>
  <c r="D1157" i="12"/>
  <c r="C1157" i="12"/>
  <c r="I1156" i="12"/>
  <c r="H1156" i="12"/>
  <c r="D1156" i="12"/>
  <c r="C1156" i="12"/>
  <c r="I1155" i="12"/>
  <c r="H1155" i="12"/>
  <c r="D1155" i="12"/>
  <c r="C1155" i="12"/>
  <c r="I1154" i="12"/>
  <c r="H1154" i="12"/>
  <c r="D1154" i="12"/>
  <c r="C1154" i="12"/>
  <c r="I1153" i="12"/>
  <c r="H1153" i="12"/>
  <c r="D1153" i="12"/>
  <c r="C1153" i="12"/>
  <c r="I1152" i="12"/>
  <c r="H1152" i="12"/>
  <c r="D1152" i="12"/>
  <c r="C1152" i="12"/>
  <c r="I1151" i="12"/>
  <c r="H1151" i="12"/>
  <c r="D1151" i="12"/>
  <c r="C1151" i="12"/>
  <c r="I1150" i="12"/>
  <c r="H1150" i="12"/>
  <c r="D1150" i="12"/>
  <c r="C1150" i="12"/>
  <c r="I1149" i="12"/>
  <c r="H1149" i="12"/>
  <c r="D1149" i="12"/>
  <c r="C1149" i="12"/>
  <c r="I1148" i="12"/>
  <c r="H1148" i="12"/>
  <c r="D1148" i="12"/>
  <c r="C1148" i="12"/>
  <c r="D1147" i="12"/>
  <c r="C1147" i="12"/>
  <c r="D1146" i="12"/>
  <c r="C1146" i="12"/>
  <c r="I1145" i="12"/>
  <c r="H1145" i="12"/>
  <c r="D1145" i="12"/>
  <c r="C1145" i="12"/>
  <c r="I1144" i="12"/>
  <c r="H1144" i="12"/>
  <c r="D1144" i="12"/>
  <c r="C1144" i="12"/>
  <c r="I1143" i="12"/>
  <c r="H1143" i="12"/>
  <c r="D1143" i="12"/>
  <c r="C1143" i="12"/>
  <c r="I1142" i="12"/>
  <c r="H1142" i="12"/>
  <c r="D1142" i="12"/>
  <c r="C1142" i="12"/>
  <c r="I1141" i="12"/>
  <c r="H1141" i="12"/>
  <c r="D1141" i="12"/>
  <c r="C1141" i="12"/>
  <c r="I1140" i="12"/>
  <c r="H1140" i="12"/>
  <c r="D1140" i="12"/>
  <c r="C1140" i="12"/>
  <c r="I1139" i="12"/>
  <c r="H1139" i="12"/>
  <c r="D1139" i="12"/>
  <c r="C1139" i="12"/>
  <c r="I1138" i="12"/>
  <c r="H1138" i="12"/>
  <c r="D1138" i="12"/>
  <c r="C1138" i="12"/>
  <c r="I1137" i="12"/>
  <c r="H1137" i="12"/>
  <c r="D1137" i="12"/>
  <c r="C1137" i="12"/>
  <c r="I1136" i="12"/>
  <c r="H1136" i="12"/>
  <c r="D1136" i="12"/>
  <c r="C1136" i="12"/>
  <c r="I1135" i="12"/>
  <c r="H1135" i="12"/>
  <c r="D1135" i="12"/>
  <c r="C1135" i="12"/>
  <c r="I1134" i="12"/>
  <c r="H1134" i="12"/>
  <c r="D1134" i="12"/>
  <c r="C1134" i="12"/>
  <c r="I1133" i="12"/>
  <c r="H1133" i="12"/>
  <c r="D1133" i="12"/>
  <c r="C1133" i="12"/>
  <c r="I1132" i="12"/>
  <c r="H1132" i="12"/>
  <c r="D1132" i="12"/>
  <c r="C1132" i="12"/>
  <c r="I1131" i="12"/>
  <c r="H1131" i="12"/>
  <c r="D1131" i="12"/>
  <c r="C1131" i="12"/>
  <c r="I1130" i="12"/>
  <c r="H1130" i="12"/>
  <c r="D1130" i="12"/>
  <c r="C1130" i="12"/>
  <c r="I1129" i="12"/>
  <c r="H1129" i="12"/>
  <c r="D1129" i="12"/>
  <c r="C1129" i="12"/>
  <c r="I1128" i="12"/>
  <c r="H1128" i="12"/>
  <c r="D1128" i="12"/>
  <c r="C1128" i="12"/>
  <c r="I1127" i="12"/>
  <c r="H1127" i="12"/>
  <c r="D1127" i="12"/>
  <c r="C1127" i="12"/>
  <c r="I1126" i="12"/>
  <c r="H1126" i="12"/>
  <c r="D1126" i="12"/>
  <c r="C1126" i="12"/>
  <c r="D1125" i="12"/>
  <c r="C1125" i="12"/>
  <c r="D1124" i="12"/>
  <c r="C1124" i="12"/>
  <c r="I1123" i="12"/>
  <c r="H1123" i="12"/>
  <c r="D1123" i="12"/>
  <c r="C1123" i="12"/>
  <c r="I1122" i="12"/>
  <c r="H1122" i="12"/>
  <c r="D1122" i="12"/>
  <c r="C1122" i="12"/>
  <c r="I1121" i="12"/>
  <c r="H1121" i="12"/>
  <c r="D1121" i="12"/>
  <c r="C1121" i="12"/>
  <c r="I1120" i="12"/>
  <c r="H1120" i="12"/>
  <c r="D1120" i="12"/>
  <c r="C1120" i="12"/>
  <c r="I1119" i="12"/>
  <c r="H1119" i="12"/>
  <c r="D1119" i="12"/>
  <c r="C1119" i="12"/>
  <c r="I1118" i="12"/>
  <c r="H1118" i="12"/>
  <c r="D1118" i="12"/>
  <c r="C1118" i="12"/>
  <c r="I1117" i="12"/>
  <c r="H1117" i="12"/>
  <c r="D1117" i="12"/>
  <c r="C1117" i="12"/>
  <c r="I1116" i="12"/>
  <c r="H1116" i="12"/>
  <c r="D1116" i="12"/>
  <c r="C1116" i="12"/>
  <c r="I1115" i="12"/>
  <c r="H1115" i="12"/>
  <c r="D1115" i="12"/>
  <c r="C1115" i="12"/>
  <c r="I1114" i="12"/>
  <c r="H1114" i="12"/>
  <c r="D1114" i="12"/>
  <c r="C1114" i="12"/>
  <c r="I1113" i="12"/>
  <c r="H1113" i="12"/>
  <c r="D1113" i="12"/>
  <c r="C1113" i="12"/>
  <c r="I1112" i="12"/>
  <c r="H1112" i="12"/>
  <c r="D1112" i="12"/>
  <c r="C1112" i="12"/>
  <c r="I1111" i="12"/>
  <c r="H1111" i="12"/>
  <c r="D1111" i="12"/>
  <c r="C1111" i="12"/>
  <c r="I1110" i="12"/>
  <c r="H1110" i="12"/>
  <c r="D1110" i="12"/>
  <c r="C1110" i="12"/>
  <c r="I1109" i="12"/>
  <c r="H1109" i="12"/>
  <c r="D1109" i="12"/>
  <c r="C1109" i="12"/>
  <c r="I1108" i="12"/>
  <c r="H1108" i="12"/>
  <c r="D1108" i="12"/>
  <c r="C1108" i="12"/>
  <c r="I1107" i="12"/>
  <c r="H1107" i="12"/>
  <c r="D1107" i="12"/>
  <c r="C1107" i="12"/>
  <c r="I1106" i="12"/>
  <c r="H1106" i="12"/>
  <c r="D1106" i="12"/>
  <c r="C1106" i="12"/>
  <c r="I1105" i="12"/>
  <c r="H1105" i="12"/>
  <c r="D1105" i="12"/>
  <c r="C1105" i="12"/>
  <c r="I1104" i="12"/>
  <c r="H1104" i="12"/>
  <c r="D1104" i="12"/>
  <c r="C1104" i="12"/>
  <c r="D1103" i="12"/>
  <c r="C1103" i="12"/>
  <c r="D1102" i="12"/>
  <c r="C1102" i="12"/>
  <c r="I1101" i="12"/>
  <c r="H1101" i="12"/>
  <c r="D1101" i="12"/>
  <c r="C1101" i="12"/>
  <c r="I1100" i="12"/>
  <c r="H1100" i="12"/>
  <c r="D1100" i="12"/>
  <c r="C1100" i="12"/>
  <c r="I1099" i="12"/>
  <c r="H1099" i="12"/>
  <c r="D1099" i="12"/>
  <c r="C1099" i="12"/>
  <c r="I1098" i="12"/>
  <c r="H1098" i="12"/>
  <c r="D1098" i="12"/>
  <c r="C1098" i="12"/>
  <c r="I1097" i="12"/>
  <c r="H1097" i="12"/>
  <c r="D1097" i="12"/>
  <c r="C1097" i="12"/>
  <c r="I1096" i="12"/>
  <c r="H1096" i="12"/>
  <c r="D1096" i="12"/>
  <c r="C1096" i="12"/>
  <c r="I1095" i="12"/>
  <c r="H1095" i="12"/>
  <c r="D1095" i="12"/>
  <c r="C1095" i="12"/>
  <c r="I1094" i="12"/>
  <c r="H1094" i="12"/>
  <c r="D1094" i="12"/>
  <c r="C1094" i="12"/>
  <c r="I1093" i="12"/>
  <c r="H1093" i="12"/>
  <c r="D1093" i="12"/>
  <c r="C1093" i="12"/>
  <c r="I1092" i="12"/>
  <c r="H1092" i="12"/>
  <c r="D1092" i="12"/>
  <c r="C1092" i="12"/>
  <c r="I1091" i="12"/>
  <c r="H1091" i="12"/>
  <c r="D1091" i="12"/>
  <c r="C1091" i="12"/>
  <c r="I1090" i="12"/>
  <c r="H1090" i="12"/>
  <c r="D1090" i="12"/>
  <c r="C1090" i="12"/>
  <c r="I1089" i="12"/>
  <c r="H1089" i="12"/>
  <c r="D1089" i="12"/>
  <c r="C1089" i="12"/>
  <c r="I1088" i="12"/>
  <c r="H1088" i="12"/>
  <c r="D1088" i="12"/>
  <c r="C1088" i="12"/>
  <c r="I1087" i="12"/>
  <c r="H1087" i="12"/>
  <c r="D1087" i="12"/>
  <c r="C1087" i="12"/>
  <c r="I1086" i="12"/>
  <c r="H1086" i="12"/>
  <c r="D1086" i="12"/>
  <c r="C1086" i="12"/>
  <c r="I1085" i="12"/>
  <c r="H1085" i="12"/>
  <c r="D1085" i="12"/>
  <c r="C1085" i="12"/>
  <c r="I1084" i="12"/>
  <c r="H1084" i="12"/>
  <c r="D1084" i="12"/>
  <c r="C1084" i="12"/>
  <c r="I1083" i="12"/>
  <c r="H1083" i="12"/>
  <c r="D1083" i="12"/>
  <c r="C1083" i="12"/>
  <c r="I1082" i="12"/>
  <c r="H1082" i="12"/>
  <c r="D1082" i="12"/>
  <c r="C1082" i="12"/>
  <c r="D1081" i="12"/>
  <c r="C1081" i="12"/>
  <c r="D1080" i="12"/>
  <c r="C1080" i="12"/>
  <c r="I1079" i="12"/>
  <c r="H1079" i="12"/>
  <c r="D1079" i="12"/>
  <c r="C1079" i="12"/>
  <c r="I1078" i="12"/>
  <c r="H1078" i="12"/>
  <c r="D1078" i="12"/>
  <c r="C1078" i="12"/>
  <c r="I1077" i="12"/>
  <c r="H1077" i="12"/>
  <c r="D1077" i="12"/>
  <c r="C1077" i="12"/>
  <c r="I1076" i="12"/>
  <c r="H1076" i="12"/>
  <c r="D1076" i="12"/>
  <c r="C1076" i="12"/>
  <c r="I1075" i="12"/>
  <c r="H1075" i="12"/>
  <c r="D1075" i="12"/>
  <c r="C1075" i="12"/>
  <c r="I1074" i="12"/>
  <c r="H1074" i="12"/>
  <c r="D1074" i="12"/>
  <c r="C1074" i="12"/>
  <c r="I1073" i="12"/>
  <c r="H1073" i="12"/>
  <c r="D1073" i="12"/>
  <c r="C1073" i="12"/>
  <c r="I1072" i="12"/>
  <c r="H1072" i="12"/>
  <c r="D1072" i="12"/>
  <c r="C1072" i="12"/>
  <c r="I1071" i="12"/>
  <c r="H1071" i="12"/>
  <c r="D1071" i="12"/>
  <c r="C1071" i="12"/>
  <c r="I1070" i="12"/>
  <c r="H1070" i="12"/>
  <c r="D1070" i="12"/>
  <c r="C1070" i="12"/>
  <c r="I1069" i="12"/>
  <c r="H1069" i="12"/>
  <c r="D1069" i="12"/>
  <c r="C1069" i="12"/>
  <c r="I1068" i="12"/>
  <c r="H1068" i="12"/>
  <c r="D1068" i="12"/>
  <c r="C1068" i="12"/>
  <c r="I1067" i="12"/>
  <c r="H1067" i="12"/>
  <c r="D1067" i="12"/>
  <c r="C1067" i="12"/>
  <c r="I1066" i="12"/>
  <c r="H1066" i="12"/>
  <c r="D1066" i="12"/>
  <c r="C1066" i="12"/>
  <c r="I1065" i="12"/>
  <c r="H1065" i="12"/>
  <c r="D1065" i="12"/>
  <c r="C1065" i="12"/>
  <c r="I1064" i="12"/>
  <c r="H1064" i="12"/>
  <c r="D1064" i="12"/>
  <c r="C1064" i="12"/>
  <c r="I1063" i="12"/>
  <c r="H1063" i="12"/>
  <c r="D1063" i="12"/>
  <c r="C1063" i="12"/>
  <c r="I1062" i="12"/>
  <c r="H1062" i="12"/>
  <c r="D1062" i="12"/>
  <c r="C1062" i="12"/>
  <c r="I1061" i="12"/>
  <c r="H1061" i="12"/>
  <c r="D1061" i="12"/>
  <c r="C1061" i="12"/>
  <c r="I1060" i="12"/>
  <c r="H1060" i="12"/>
  <c r="D1060" i="12"/>
  <c r="C1060" i="12"/>
  <c r="D1059" i="12"/>
  <c r="C1059" i="12"/>
  <c r="D1058" i="12"/>
  <c r="C1058" i="12"/>
  <c r="I1057" i="12"/>
  <c r="H1057" i="12"/>
  <c r="D1057" i="12"/>
  <c r="C1057" i="12"/>
  <c r="I1056" i="12"/>
  <c r="H1056" i="12"/>
  <c r="D1056" i="12"/>
  <c r="C1056" i="12"/>
  <c r="I1055" i="12"/>
  <c r="H1055" i="12"/>
  <c r="D1055" i="12"/>
  <c r="C1055" i="12"/>
  <c r="I1054" i="12"/>
  <c r="H1054" i="12"/>
  <c r="D1054" i="12"/>
  <c r="C1054" i="12"/>
  <c r="I1053" i="12"/>
  <c r="H1053" i="12"/>
  <c r="D1053" i="12"/>
  <c r="C1053" i="12"/>
  <c r="I1052" i="12"/>
  <c r="H1052" i="12"/>
  <c r="D1052" i="12"/>
  <c r="C1052" i="12"/>
  <c r="I1051" i="12"/>
  <c r="H1051" i="12"/>
  <c r="D1051" i="12"/>
  <c r="C1051" i="12"/>
  <c r="I1050" i="12"/>
  <c r="H1050" i="12"/>
  <c r="D1050" i="12"/>
  <c r="C1050" i="12"/>
  <c r="I1049" i="12"/>
  <c r="H1049" i="12"/>
  <c r="D1049" i="12"/>
  <c r="C1049" i="12"/>
  <c r="I1048" i="12"/>
  <c r="H1048" i="12"/>
  <c r="D1048" i="12"/>
  <c r="C1048" i="12"/>
  <c r="I1047" i="12"/>
  <c r="H1047" i="12"/>
  <c r="D1047" i="12"/>
  <c r="C1047" i="12"/>
  <c r="I1046" i="12"/>
  <c r="H1046" i="12"/>
  <c r="D1046" i="12"/>
  <c r="C1046" i="12"/>
  <c r="I1045" i="12"/>
  <c r="H1045" i="12"/>
  <c r="D1045" i="12"/>
  <c r="C1045" i="12"/>
  <c r="I1044" i="12"/>
  <c r="H1044" i="12"/>
  <c r="D1044" i="12"/>
  <c r="C1044" i="12"/>
  <c r="I1043" i="12"/>
  <c r="H1043" i="12"/>
  <c r="D1043" i="12"/>
  <c r="C1043" i="12"/>
  <c r="I1042" i="12"/>
  <c r="H1042" i="12"/>
  <c r="D1042" i="12"/>
  <c r="C1042" i="12"/>
  <c r="I1041" i="12"/>
  <c r="H1041" i="12"/>
  <c r="D1041" i="12"/>
  <c r="C1041" i="12"/>
  <c r="I1040" i="12"/>
  <c r="H1040" i="12"/>
  <c r="D1040" i="12"/>
  <c r="C1040" i="12"/>
  <c r="I1039" i="12"/>
  <c r="H1039" i="12"/>
  <c r="D1039" i="12"/>
  <c r="C1039" i="12"/>
  <c r="I1038" i="12"/>
  <c r="H1038" i="12"/>
  <c r="D1038" i="12"/>
  <c r="C1038" i="12"/>
  <c r="D1037" i="12"/>
  <c r="C1037" i="12"/>
  <c r="D1036" i="12"/>
  <c r="C1036" i="12"/>
  <c r="I1035" i="12"/>
  <c r="H1035" i="12"/>
  <c r="D1035" i="12"/>
  <c r="C1035" i="12"/>
  <c r="I1034" i="12"/>
  <c r="H1034" i="12"/>
  <c r="D1034" i="12"/>
  <c r="C1034" i="12"/>
  <c r="I1033" i="12"/>
  <c r="H1033" i="12"/>
  <c r="D1033" i="12"/>
  <c r="C1033" i="12"/>
  <c r="I1032" i="12"/>
  <c r="H1032" i="12"/>
  <c r="D1032" i="12"/>
  <c r="C1032" i="12"/>
  <c r="I1031" i="12"/>
  <c r="H1031" i="12"/>
  <c r="D1031" i="12"/>
  <c r="C1031" i="12"/>
  <c r="I1030" i="12"/>
  <c r="H1030" i="12"/>
  <c r="D1030" i="12"/>
  <c r="C1030" i="12"/>
  <c r="I1029" i="12"/>
  <c r="H1029" i="12"/>
  <c r="D1029" i="12"/>
  <c r="C1029" i="12"/>
  <c r="I1028" i="12"/>
  <c r="H1028" i="12"/>
  <c r="D1028" i="12"/>
  <c r="C1028" i="12"/>
  <c r="I1027" i="12"/>
  <c r="H1027" i="12"/>
  <c r="D1027" i="12"/>
  <c r="C1027" i="12"/>
  <c r="I1026" i="12"/>
  <c r="H1026" i="12"/>
  <c r="D1026" i="12"/>
  <c r="C1026" i="12"/>
  <c r="I1025" i="12"/>
  <c r="H1025" i="12"/>
  <c r="D1025" i="12"/>
  <c r="C1025" i="12"/>
  <c r="I1024" i="12"/>
  <c r="H1024" i="12"/>
  <c r="D1024" i="12"/>
  <c r="C1024" i="12"/>
  <c r="I1023" i="12"/>
  <c r="H1023" i="12"/>
  <c r="D1023" i="12"/>
  <c r="C1023" i="12"/>
  <c r="I1022" i="12"/>
  <c r="H1022" i="12"/>
  <c r="D1022" i="12"/>
  <c r="C1022" i="12"/>
  <c r="I1021" i="12"/>
  <c r="H1021" i="12"/>
  <c r="D1021" i="12"/>
  <c r="C1021" i="12"/>
  <c r="I1020" i="12"/>
  <c r="H1020" i="12"/>
  <c r="D1020" i="12"/>
  <c r="C1020" i="12"/>
  <c r="I1019" i="12"/>
  <c r="H1019" i="12"/>
  <c r="D1019" i="12"/>
  <c r="C1019" i="12"/>
  <c r="I1018" i="12"/>
  <c r="H1018" i="12"/>
  <c r="D1018" i="12"/>
  <c r="C1018" i="12"/>
  <c r="I1017" i="12"/>
  <c r="H1017" i="12"/>
  <c r="D1017" i="12"/>
  <c r="C1017" i="12"/>
  <c r="I1016" i="12"/>
  <c r="H1016" i="12"/>
  <c r="D1016" i="12"/>
  <c r="C1016" i="12"/>
  <c r="D1015" i="12"/>
  <c r="C1015" i="12"/>
  <c r="D1014" i="12"/>
  <c r="C1014" i="12"/>
  <c r="I1013" i="12"/>
  <c r="H1013" i="12"/>
  <c r="D1013" i="12"/>
  <c r="C1013" i="12"/>
  <c r="I1012" i="12"/>
  <c r="H1012" i="12"/>
  <c r="D1012" i="12"/>
  <c r="C1012" i="12"/>
  <c r="I1011" i="12"/>
  <c r="H1011" i="12"/>
  <c r="D1011" i="12"/>
  <c r="C1011" i="12"/>
  <c r="I1010" i="12"/>
  <c r="H1010" i="12"/>
  <c r="D1010" i="12"/>
  <c r="C1010" i="12"/>
  <c r="I1009" i="12"/>
  <c r="H1009" i="12"/>
  <c r="D1009" i="12"/>
  <c r="C1009" i="12"/>
  <c r="I1008" i="12"/>
  <c r="H1008" i="12"/>
  <c r="D1008" i="12"/>
  <c r="C1008" i="12"/>
  <c r="I1007" i="12"/>
  <c r="H1007" i="12"/>
  <c r="D1007" i="12"/>
  <c r="C1007" i="12"/>
  <c r="I1006" i="12"/>
  <c r="H1006" i="12"/>
  <c r="D1006" i="12"/>
  <c r="C1006" i="12"/>
  <c r="I1005" i="12"/>
  <c r="H1005" i="12"/>
  <c r="D1005" i="12"/>
  <c r="C1005" i="12"/>
  <c r="I1004" i="12"/>
  <c r="H1004" i="12"/>
  <c r="D1004" i="12"/>
  <c r="C1004" i="12"/>
  <c r="I1003" i="12"/>
  <c r="H1003" i="12"/>
  <c r="D1003" i="12"/>
  <c r="C1003" i="12"/>
  <c r="I1002" i="12"/>
  <c r="H1002" i="12"/>
  <c r="D1002" i="12"/>
  <c r="C1002" i="12"/>
  <c r="I1001" i="12"/>
  <c r="H1001" i="12"/>
  <c r="D1001" i="12"/>
  <c r="C1001" i="12"/>
  <c r="I1000" i="12"/>
  <c r="H1000" i="12"/>
  <c r="D1000" i="12"/>
  <c r="C1000" i="12"/>
  <c r="I999" i="12"/>
  <c r="H999" i="12"/>
  <c r="D999" i="12"/>
  <c r="C999" i="12"/>
  <c r="I998" i="12"/>
  <c r="H998" i="12"/>
  <c r="D998" i="12"/>
  <c r="C998" i="12"/>
  <c r="I997" i="12"/>
  <c r="H997" i="12"/>
  <c r="D997" i="12"/>
  <c r="C997" i="12"/>
  <c r="I996" i="12"/>
  <c r="H996" i="12"/>
  <c r="D996" i="12"/>
  <c r="C996" i="12"/>
  <c r="I995" i="12"/>
  <c r="H995" i="12"/>
  <c r="D995" i="12"/>
  <c r="C995" i="12"/>
  <c r="I994" i="12"/>
  <c r="H994" i="12"/>
  <c r="D994" i="12"/>
  <c r="C994" i="12"/>
  <c r="D993" i="12"/>
  <c r="C993" i="12"/>
  <c r="D992" i="12"/>
  <c r="C992" i="12"/>
  <c r="I991" i="12"/>
  <c r="H991" i="12"/>
  <c r="D991" i="12"/>
  <c r="C991" i="12"/>
  <c r="I990" i="12"/>
  <c r="H990" i="12"/>
  <c r="D990" i="12"/>
  <c r="C990" i="12"/>
  <c r="I989" i="12"/>
  <c r="H989" i="12"/>
  <c r="D989" i="12"/>
  <c r="C989" i="12"/>
  <c r="I988" i="12"/>
  <c r="H988" i="12"/>
  <c r="D988" i="12"/>
  <c r="C988" i="12"/>
  <c r="I987" i="12"/>
  <c r="H987" i="12"/>
  <c r="D987" i="12"/>
  <c r="C987" i="12"/>
  <c r="I986" i="12"/>
  <c r="H986" i="12"/>
  <c r="D986" i="12"/>
  <c r="C986" i="12"/>
  <c r="I985" i="12"/>
  <c r="H985" i="12"/>
  <c r="D985" i="12"/>
  <c r="C985" i="12"/>
  <c r="I984" i="12"/>
  <c r="H984" i="12"/>
  <c r="D984" i="12"/>
  <c r="C984" i="12"/>
  <c r="I983" i="12"/>
  <c r="H983" i="12"/>
  <c r="D983" i="12"/>
  <c r="C983" i="12"/>
  <c r="I982" i="12"/>
  <c r="H982" i="12"/>
  <c r="D982" i="12"/>
  <c r="C982" i="12"/>
  <c r="I981" i="12"/>
  <c r="H981" i="12"/>
  <c r="D981" i="12"/>
  <c r="C981" i="12"/>
  <c r="I980" i="12"/>
  <c r="H980" i="12"/>
  <c r="D980" i="12"/>
  <c r="C980" i="12"/>
  <c r="I979" i="12"/>
  <c r="H979" i="12"/>
  <c r="D979" i="12"/>
  <c r="C979" i="12"/>
  <c r="I978" i="12"/>
  <c r="H978" i="12"/>
  <c r="D978" i="12"/>
  <c r="C978" i="12"/>
  <c r="I977" i="12"/>
  <c r="H977" i="12"/>
  <c r="D977" i="12"/>
  <c r="C977" i="12"/>
  <c r="I976" i="12"/>
  <c r="H976" i="12"/>
  <c r="D976" i="12"/>
  <c r="C976" i="12"/>
  <c r="I975" i="12"/>
  <c r="H975" i="12"/>
  <c r="D975" i="12"/>
  <c r="C975" i="12"/>
  <c r="I974" i="12"/>
  <c r="H974" i="12"/>
  <c r="D974" i="12"/>
  <c r="C974" i="12"/>
  <c r="I973" i="12"/>
  <c r="H973" i="12"/>
  <c r="D973" i="12"/>
  <c r="C973" i="12"/>
  <c r="I972" i="12"/>
  <c r="H972" i="12"/>
  <c r="D972" i="12"/>
  <c r="C972" i="12"/>
  <c r="D971" i="12"/>
  <c r="C971" i="12"/>
  <c r="D970" i="12"/>
  <c r="C970" i="12"/>
  <c r="I969" i="12"/>
  <c r="H969" i="12"/>
  <c r="D969" i="12"/>
  <c r="C969" i="12"/>
  <c r="I968" i="12"/>
  <c r="H968" i="12"/>
  <c r="D968" i="12"/>
  <c r="C968" i="12"/>
  <c r="I967" i="12"/>
  <c r="H967" i="12"/>
  <c r="D967" i="12"/>
  <c r="C967" i="12"/>
  <c r="I966" i="12"/>
  <c r="H966" i="12"/>
  <c r="D966" i="12"/>
  <c r="C966" i="12"/>
  <c r="I965" i="12"/>
  <c r="H965" i="12"/>
  <c r="D965" i="12"/>
  <c r="C965" i="12"/>
  <c r="I964" i="12"/>
  <c r="H964" i="12"/>
  <c r="D964" i="12"/>
  <c r="C964" i="12"/>
  <c r="I963" i="12"/>
  <c r="H963" i="12"/>
  <c r="D963" i="12"/>
  <c r="C963" i="12"/>
  <c r="I962" i="12"/>
  <c r="H962" i="12"/>
  <c r="D962" i="12"/>
  <c r="C962" i="12"/>
  <c r="I961" i="12"/>
  <c r="H961" i="12"/>
  <c r="D961" i="12"/>
  <c r="C961" i="12"/>
  <c r="I960" i="12"/>
  <c r="H960" i="12"/>
  <c r="D960" i="12"/>
  <c r="C960" i="12"/>
  <c r="I959" i="12"/>
  <c r="H959" i="12"/>
  <c r="D959" i="12"/>
  <c r="C959" i="12"/>
  <c r="I958" i="12"/>
  <c r="H958" i="12"/>
  <c r="D958" i="12"/>
  <c r="C958" i="12"/>
  <c r="I957" i="12"/>
  <c r="H957" i="12"/>
  <c r="D957" i="12"/>
  <c r="C957" i="12"/>
  <c r="I956" i="12"/>
  <c r="H956" i="12"/>
  <c r="D956" i="12"/>
  <c r="C956" i="12"/>
  <c r="I955" i="12"/>
  <c r="H955" i="12"/>
  <c r="D955" i="12"/>
  <c r="C955" i="12"/>
  <c r="I954" i="12"/>
  <c r="H954" i="12"/>
  <c r="D954" i="12"/>
  <c r="C954" i="12"/>
  <c r="I953" i="12"/>
  <c r="H953" i="12"/>
  <c r="D953" i="12"/>
  <c r="C953" i="12"/>
  <c r="I952" i="12"/>
  <c r="H952" i="12"/>
  <c r="D952" i="12"/>
  <c r="C952" i="12"/>
  <c r="I951" i="12"/>
  <c r="H951" i="12"/>
  <c r="D951" i="12"/>
  <c r="C951" i="12"/>
  <c r="I950" i="12"/>
  <c r="H950" i="12"/>
  <c r="D950" i="12"/>
  <c r="C950" i="12"/>
  <c r="D949" i="12"/>
  <c r="C949" i="12"/>
  <c r="D948" i="12"/>
  <c r="C948" i="12"/>
  <c r="I947" i="12"/>
  <c r="H947" i="12"/>
  <c r="D947" i="12"/>
  <c r="C947" i="12"/>
  <c r="I946" i="12"/>
  <c r="H946" i="12"/>
  <c r="D946" i="12"/>
  <c r="C946" i="12"/>
  <c r="I945" i="12"/>
  <c r="H945" i="12"/>
  <c r="D945" i="12"/>
  <c r="C945" i="12"/>
  <c r="I944" i="12"/>
  <c r="H944" i="12"/>
  <c r="D944" i="12"/>
  <c r="C944" i="12"/>
  <c r="I943" i="12"/>
  <c r="H943" i="12"/>
  <c r="D943" i="12"/>
  <c r="C943" i="12"/>
  <c r="I942" i="12"/>
  <c r="H942" i="12"/>
  <c r="D942" i="12"/>
  <c r="C942" i="12"/>
  <c r="I941" i="12"/>
  <c r="H941" i="12"/>
  <c r="D941" i="12"/>
  <c r="C941" i="12"/>
  <c r="I940" i="12"/>
  <c r="H940" i="12"/>
  <c r="D940" i="12"/>
  <c r="C940" i="12"/>
  <c r="I939" i="12"/>
  <c r="H939" i="12"/>
  <c r="D939" i="12"/>
  <c r="C939" i="12"/>
  <c r="I938" i="12"/>
  <c r="H938" i="12"/>
  <c r="D938" i="12"/>
  <c r="C938" i="12"/>
  <c r="I937" i="12"/>
  <c r="H937" i="12"/>
  <c r="D937" i="12"/>
  <c r="C937" i="12"/>
  <c r="I936" i="12"/>
  <c r="H936" i="12"/>
  <c r="D936" i="12"/>
  <c r="C936" i="12"/>
  <c r="I935" i="12"/>
  <c r="H935" i="12"/>
  <c r="D935" i="12"/>
  <c r="C935" i="12"/>
  <c r="I934" i="12"/>
  <c r="H934" i="12"/>
  <c r="D934" i="12"/>
  <c r="C934" i="12"/>
  <c r="I933" i="12"/>
  <c r="H933" i="12"/>
  <c r="D933" i="12"/>
  <c r="C933" i="12"/>
  <c r="I932" i="12"/>
  <c r="H932" i="12"/>
  <c r="D932" i="12"/>
  <c r="C932" i="12"/>
  <c r="I931" i="12"/>
  <c r="H931" i="12"/>
  <c r="D931" i="12"/>
  <c r="C931" i="12"/>
  <c r="I930" i="12"/>
  <c r="H930" i="12"/>
  <c r="D930" i="12"/>
  <c r="C930" i="12"/>
  <c r="I929" i="12"/>
  <c r="H929" i="12"/>
  <c r="D929" i="12"/>
  <c r="C929" i="12"/>
  <c r="I928" i="12"/>
  <c r="H928" i="12"/>
  <c r="D928" i="12"/>
  <c r="C928" i="12"/>
  <c r="D927" i="12"/>
  <c r="C927" i="12"/>
  <c r="D926" i="12"/>
  <c r="C926" i="12"/>
  <c r="I925" i="12"/>
  <c r="H925" i="12"/>
  <c r="D925" i="12"/>
  <c r="C925" i="12"/>
  <c r="I924" i="12"/>
  <c r="H924" i="12"/>
  <c r="D924" i="12"/>
  <c r="C924" i="12"/>
  <c r="I923" i="12"/>
  <c r="H923" i="12"/>
  <c r="D923" i="12"/>
  <c r="C923" i="12"/>
  <c r="I922" i="12"/>
  <c r="H922" i="12"/>
  <c r="D922" i="12"/>
  <c r="C922" i="12"/>
  <c r="I921" i="12"/>
  <c r="H921" i="12"/>
  <c r="D921" i="12"/>
  <c r="C921" i="12"/>
  <c r="I920" i="12"/>
  <c r="H920" i="12"/>
  <c r="D920" i="12"/>
  <c r="C920" i="12"/>
  <c r="I919" i="12"/>
  <c r="H919" i="12"/>
  <c r="D919" i="12"/>
  <c r="C919" i="12"/>
  <c r="I918" i="12"/>
  <c r="H918" i="12"/>
  <c r="D918" i="12"/>
  <c r="C918" i="12"/>
  <c r="I917" i="12"/>
  <c r="H917" i="12"/>
  <c r="D917" i="12"/>
  <c r="C917" i="12"/>
  <c r="I916" i="12"/>
  <c r="H916" i="12"/>
  <c r="D916" i="12"/>
  <c r="C916" i="12"/>
  <c r="I915" i="12"/>
  <c r="H915" i="12"/>
  <c r="D915" i="12"/>
  <c r="C915" i="12"/>
  <c r="I914" i="12"/>
  <c r="H914" i="12"/>
  <c r="D914" i="12"/>
  <c r="C914" i="12"/>
  <c r="I913" i="12"/>
  <c r="H913" i="12"/>
  <c r="D913" i="12"/>
  <c r="C913" i="12"/>
  <c r="I912" i="12"/>
  <c r="H912" i="12"/>
  <c r="D912" i="12"/>
  <c r="C912" i="12"/>
  <c r="I911" i="12"/>
  <c r="H911" i="12"/>
  <c r="D911" i="12"/>
  <c r="C911" i="12"/>
  <c r="I910" i="12"/>
  <c r="H910" i="12"/>
  <c r="D910" i="12"/>
  <c r="C910" i="12"/>
  <c r="I909" i="12"/>
  <c r="H909" i="12"/>
  <c r="D909" i="12"/>
  <c r="C909" i="12"/>
  <c r="I908" i="12"/>
  <c r="H908" i="12"/>
  <c r="D908" i="12"/>
  <c r="C908" i="12"/>
  <c r="I907" i="12"/>
  <c r="H907" i="12"/>
  <c r="D907" i="12"/>
  <c r="C907" i="12"/>
  <c r="I906" i="12"/>
  <c r="H906" i="12"/>
  <c r="D906" i="12"/>
  <c r="C906" i="12"/>
  <c r="D905" i="12"/>
  <c r="C905" i="12"/>
  <c r="D904" i="12"/>
  <c r="C904" i="12"/>
  <c r="I903" i="12"/>
  <c r="H903" i="12"/>
  <c r="D903" i="12"/>
  <c r="C903" i="12"/>
  <c r="I902" i="12"/>
  <c r="H902" i="12"/>
  <c r="D902" i="12"/>
  <c r="C902" i="12"/>
  <c r="I901" i="12"/>
  <c r="H901" i="12"/>
  <c r="D901" i="12"/>
  <c r="C901" i="12"/>
  <c r="I900" i="12"/>
  <c r="H900" i="12"/>
  <c r="D900" i="12"/>
  <c r="C900" i="12"/>
  <c r="I899" i="12"/>
  <c r="H899" i="12"/>
  <c r="D899" i="12"/>
  <c r="C899" i="12"/>
  <c r="I898" i="12"/>
  <c r="H898" i="12"/>
  <c r="D898" i="12"/>
  <c r="C898" i="12"/>
  <c r="I897" i="12"/>
  <c r="H897" i="12"/>
  <c r="D897" i="12"/>
  <c r="C897" i="12"/>
  <c r="I896" i="12"/>
  <c r="H896" i="12"/>
  <c r="D896" i="12"/>
  <c r="C896" i="12"/>
  <c r="I895" i="12"/>
  <c r="H895" i="12"/>
  <c r="D895" i="12"/>
  <c r="C895" i="12"/>
  <c r="I894" i="12"/>
  <c r="H894" i="12"/>
  <c r="D894" i="12"/>
  <c r="C894" i="12"/>
  <c r="I893" i="12"/>
  <c r="H893" i="12"/>
  <c r="D893" i="12"/>
  <c r="C893" i="12"/>
  <c r="I892" i="12"/>
  <c r="H892" i="12"/>
  <c r="D892" i="12"/>
  <c r="C892" i="12"/>
  <c r="I891" i="12"/>
  <c r="H891" i="12"/>
  <c r="D891" i="12"/>
  <c r="C891" i="12"/>
  <c r="I890" i="12"/>
  <c r="H890" i="12"/>
  <c r="D890" i="12"/>
  <c r="C890" i="12"/>
  <c r="I889" i="12"/>
  <c r="H889" i="12"/>
  <c r="D889" i="12"/>
  <c r="C889" i="12"/>
  <c r="I888" i="12"/>
  <c r="H888" i="12"/>
  <c r="D888" i="12"/>
  <c r="C888" i="12"/>
  <c r="I887" i="12"/>
  <c r="H887" i="12"/>
  <c r="D887" i="12"/>
  <c r="C887" i="12"/>
  <c r="I886" i="12"/>
  <c r="H886" i="12"/>
  <c r="D886" i="12"/>
  <c r="C886" i="12"/>
  <c r="I885" i="12"/>
  <c r="H885" i="12"/>
  <c r="D885" i="12"/>
  <c r="C885" i="12"/>
  <c r="I884" i="12"/>
  <c r="H884" i="12"/>
  <c r="D884" i="12"/>
  <c r="C884" i="12"/>
  <c r="D883" i="12"/>
  <c r="C883" i="12"/>
  <c r="D882" i="12"/>
  <c r="C882" i="12"/>
  <c r="I881" i="12"/>
  <c r="H881" i="12"/>
  <c r="D881" i="12"/>
  <c r="C881" i="12"/>
  <c r="I880" i="12"/>
  <c r="H880" i="12"/>
  <c r="D880" i="12"/>
  <c r="C880" i="12"/>
  <c r="I879" i="12"/>
  <c r="H879" i="12"/>
  <c r="D879" i="12"/>
  <c r="C879" i="12"/>
  <c r="I878" i="12"/>
  <c r="H878" i="12"/>
  <c r="D878" i="12"/>
  <c r="C878" i="12"/>
  <c r="I877" i="12"/>
  <c r="H877" i="12"/>
  <c r="D877" i="12"/>
  <c r="C877" i="12"/>
  <c r="I876" i="12"/>
  <c r="H876" i="12"/>
  <c r="D876" i="12"/>
  <c r="C876" i="12"/>
  <c r="I875" i="12"/>
  <c r="H875" i="12"/>
  <c r="D875" i="12"/>
  <c r="C875" i="12"/>
  <c r="I874" i="12"/>
  <c r="H874" i="12"/>
  <c r="D874" i="12"/>
  <c r="C874" i="12"/>
  <c r="I873" i="12"/>
  <c r="H873" i="12"/>
  <c r="D873" i="12"/>
  <c r="C873" i="12"/>
  <c r="I872" i="12"/>
  <c r="H872" i="12"/>
  <c r="D872" i="12"/>
  <c r="C872" i="12"/>
  <c r="I871" i="12"/>
  <c r="H871" i="12"/>
  <c r="D871" i="12"/>
  <c r="C871" i="12"/>
  <c r="I870" i="12"/>
  <c r="H870" i="12"/>
  <c r="D870" i="12"/>
  <c r="C870" i="12"/>
  <c r="I869" i="12"/>
  <c r="H869" i="12"/>
  <c r="D869" i="12"/>
  <c r="C869" i="12"/>
  <c r="I868" i="12"/>
  <c r="H868" i="12"/>
  <c r="D868" i="12"/>
  <c r="C868" i="12"/>
  <c r="I867" i="12"/>
  <c r="H867" i="12"/>
  <c r="D867" i="12"/>
  <c r="C867" i="12"/>
  <c r="I866" i="12"/>
  <c r="H866" i="12"/>
  <c r="D866" i="12"/>
  <c r="C866" i="12"/>
  <c r="I865" i="12"/>
  <c r="H865" i="12"/>
  <c r="D865" i="12"/>
  <c r="C865" i="12"/>
  <c r="I864" i="12"/>
  <c r="H864" i="12"/>
  <c r="D864" i="12"/>
  <c r="C864" i="12"/>
  <c r="I863" i="12"/>
  <c r="H863" i="12"/>
  <c r="D863" i="12"/>
  <c r="C863" i="12"/>
  <c r="I862" i="12"/>
  <c r="H862" i="12"/>
  <c r="D862" i="12"/>
  <c r="C862" i="12"/>
  <c r="D861" i="12"/>
  <c r="C861" i="12"/>
  <c r="D860" i="12"/>
  <c r="C860" i="12"/>
  <c r="I859" i="12"/>
  <c r="H859" i="12"/>
  <c r="D859" i="12"/>
  <c r="C859" i="12"/>
  <c r="I858" i="12"/>
  <c r="H858" i="12"/>
  <c r="D858" i="12"/>
  <c r="C858" i="12"/>
  <c r="I857" i="12"/>
  <c r="H857" i="12"/>
  <c r="D857" i="12"/>
  <c r="C857" i="12"/>
  <c r="I856" i="12"/>
  <c r="H856" i="12"/>
  <c r="D856" i="12"/>
  <c r="C856" i="12"/>
  <c r="I855" i="12"/>
  <c r="H855" i="12"/>
  <c r="D855" i="12"/>
  <c r="C855" i="12"/>
  <c r="I854" i="12"/>
  <c r="H854" i="12"/>
  <c r="D854" i="12"/>
  <c r="C854" i="12"/>
  <c r="I853" i="12"/>
  <c r="H853" i="12"/>
  <c r="D853" i="12"/>
  <c r="C853" i="12"/>
  <c r="I852" i="12"/>
  <c r="H852" i="12"/>
  <c r="D852" i="12"/>
  <c r="C852" i="12"/>
  <c r="I851" i="12"/>
  <c r="H851" i="12"/>
  <c r="D851" i="12"/>
  <c r="C851" i="12"/>
  <c r="I850" i="12"/>
  <c r="H850" i="12"/>
  <c r="D850" i="12"/>
  <c r="C850" i="12"/>
  <c r="I849" i="12"/>
  <c r="H849" i="12"/>
  <c r="D849" i="12"/>
  <c r="C849" i="12"/>
  <c r="I848" i="12"/>
  <c r="H848" i="12"/>
  <c r="D848" i="12"/>
  <c r="C848" i="12"/>
  <c r="I847" i="12"/>
  <c r="H847" i="12"/>
  <c r="D847" i="12"/>
  <c r="C847" i="12"/>
  <c r="I846" i="12"/>
  <c r="H846" i="12"/>
  <c r="D846" i="12"/>
  <c r="C846" i="12"/>
  <c r="I845" i="12"/>
  <c r="H845" i="12"/>
  <c r="D845" i="12"/>
  <c r="C845" i="12"/>
  <c r="I844" i="12"/>
  <c r="H844" i="12"/>
  <c r="D844" i="12"/>
  <c r="C844" i="12"/>
  <c r="I843" i="12"/>
  <c r="H843" i="12"/>
  <c r="D843" i="12"/>
  <c r="C843" i="12"/>
  <c r="I842" i="12"/>
  <c r="H842" i="12"/>
  <c r="D842" i="12"/>
  <c r="C842" i="12"/>
  <c r="I841" i="12"/>
  <c r="H841" i="12"/>
  <c r="D841" i="12"/>
  <c r="C841" i="12"/>
  <c r="I840" i="12"/>
  <c r="H840" i="12"/>
  <c r="D840" i="12"/>
  <c r="C840" i="12"/>
  <c r="D839" i="12"/>
  <c r="C839" i="12"/>
  <c r="D838" i="12"/>
  <c r="C838" i="12"/>
  <c r="I837" i="12"/>
  <c r="H837" i="12"/>
  <c r="D837" i="12"/>
  <c r="C837" i="12"/>
  <c r="I836" i="12"/>
  <c r="H836" i="12"/>
  <c r="D836" i="12"/>
  <c r="C836" i="12"/>
  <c r="I835" i="12"/>
  <c r="H835" i="12"/>
  <c r="D835" i="12"/>
  <c r="C835" i="12"/>
  <c r="I834" i="12"/>
  <c r="H834" i="12"/>
  <c r="D834" i="12"/>
  <c r="C834" i="12"/>
  <c r="I833" i="12"/>
  <c r="H833" i="12"/>
  <c r="D833" i="12"/>
  <c r="C833" i="12"/>
  <c r="I832" i="12"/>
  <c r="H832" i="12"/>
  <c r="D832" i="12"/>
  <c r="C832" i="12"/>
  <c r="I831" i="12"/>
  <c r="H831" i="12"/>
  <c r="D831" i="12"/>
  <c r="C831" i="12"/>
  <c r="I830" i="12"/>
  <c r="H830" i="12"/>
  <c r="D830" i="12"/>
  <c r="C830" i="12"/>
  <c r="I829" i="12"/>
  <c r="H829" i="12"/>
  <c r="D829" i="12"/>
  <c r="C829" i="12"/>
  <c r="I828" i="12"/>
  <c r="H828" i="12"/>
  <c r="D828" i="12"/>
  <c r="C828" i="12"/>
  <c r="I827" i="12"/>
  <c r="H827" i="12"/>
  <c r="D827" i="12"/>
  <c r="C827" i="12"/>
  <c r="I826" i="12"/>
  <c r="H826" i="12"/>
  <c r="D826" i="12"/>
  <c r="C826" i="12"/>
  <c r="I825" i="12"/>
  <c r="H825" i="12"/>
  <c r="D825" i="12"/>
  <c r="C825" i="12"/>
  <c r="I824" i="12"/>
  <c r="H824" i="12"/>
  <c r="D824" i="12"/>
  <c r="C824" i="12"/>
  <c r="I823" i="12"/>
  <c r="H823" i="12"/>
  <c r="D823" i="12"/>
  <c r="C823" i="12"/>
  <c r="I822" i="12"/>
  <c r="H822" i="12"/>
  <c r="D822" i="12"/>
  <c r="C822" i="12"/>
  <c r="I821" i="12"/>
  <c r="H821" i="12"/>
  <c r="D821" i="12"/>
  <c r="C821" i="12"/>
  <c r="I820" i="12"/>
  <c r="H820" i="12"/>
  <c r="D820" i="12"/>
  <c r="C820" i="12"/>
  <c r="I819" i="12"/>
  <c r="H819" i="12"/>
  <c r="D819" i="12"/>
  <c r="C819" i="12"/>
  <c r="I818" i="12"/>
  <c r="H818" i="12"/>
  <c r="D818" i="12"/>
  <c r="C818" i="12"/>
  <c r="D817" i="12"/>
  <c r="C817" i="12"/>
  <c r="D816" i="12"/>
  <c r="C816" i="12"/>
  <c r="I815" i="12"/>
  <c r="H815" i="12"/>
  <c r="D815" i="12"/>
  <c r="C815" i="12"/>
  <c r="I814" i="12"/>
  <c r="H814" i="12"/>
  <c r="D814" i="12"/>
  <c r="C814" i="12"/>
  <c r="I813" i="12"/>
  <c r="H813" i="12"/>
  <c r="D813" i="12"/>
  <c r="C813" i="12"/>
  <c r="I812" i="12"/>
  <c r="H812" i="12"/>
  <c r="D812" i="12"/>
  <c r="C812" i="12"/>
  <c r="I811" i="12"/>
  <c r="H811" i="12"/>
  <c r="D811" i="12"/>
  <c r="C811" i="12"/>
  <c r="I810" i="12"/>
  <c r="H810" i="12"/>
  <c r="D810" i="12"/>
  <c r="C810" i="12"/>
  <c r="I809" i="12"/>
  <c r="H809" i="12"/>
  <c r="D809" i="12"/>
  <c r="C809" i="12"/>
  <c r="I808" i="12"/>
  <c r="H808" i="12"/>
  <c r="D808" i="12"/>
  <c r="C808" i="12"/>
  <c r="I807" i="12"/>
  <c r="H807" i="12"/>
  <c r="D807" i="12"/>
  <c r="C807" i="12"/>
  <c r="I806" i="12"/>
  <c r="H806" i="12"/>
  <c r="D806" i="12"/>
  <c r="C806" i="12"/>
  <c r="I805" i="12"/>
  <c r="H805" i="12"/>
  <c r="D805" i="12"/>
  <c r="C805" i="12"/>
  <c r="I804" i="12"/>
  <c r="H804" i="12"/>
  <c r="D804" i="12"/>
  <c r="C804" i="12"/>
  <c r="I803" i="12"/>
  <c r="H803" i="12"/>
  <c r="D803" i="12"/>
  <c r="C803" i="12"/>
  <c r="I802" i="12"/>
  <c r="H802" i="12"/>
  <c r="D802" i="12"/>
  <c r="C802" i="12"/>
  <c r="I801" i="12"/>
  <c r="H801" i="12"/>
  <c r="D801" i="12"/>
  <c r="C801" i="12"/>
  <c r="I800" i="12"/>
  <c r="H800" i="12"/>
  <c r="D800" i="12"/>
  <c r="C800" i="12"/>
  <c r="I799" i="12"/>
  <c r="H799" i="12"/>
  <c r="D799" i="12"/>
  <c r="C799" i="12"/>
  <c r="I798" i="12"/>
  <c r="H798" i="12"/>
  <c r="D798" i="12"/>
  <c r="C798" i="12"/>
  <c r="I797" i="12"/>
  <c r="H797" i="12"/>
  <c r="D797" i="12"/>
  <c r="C797" i="12"/>
  <c r="I796" i="12"/>
  <c r="H796" i="12"/>
  <c r="D796" i="12"/>
  <c r="C796" i="12"/>
  <c r="D795" i="12"/>
  <c r="C795" i="12"/>
  <c r="D794" i="12"/>
  <c r="C794" i="12"/>
  <c r="I793" i="12"/>
  <c r="H793" i="12"/>
  <c r="D793" i="12"/>
  <c r="C793" i="12"/>
  <c r="I792" i="12"/>
  <c r="H792" i="12"/>
  <c r="D792" i="12"/>
  <c r="C792" i="12"/>
  <c r="I791" i="12"/>
  <c r="H791" i="12"/>
  <c r="D791" i="12"/>
  <c r="C791" i="12"/>
  <c r="I790" i="12"/>
  <c r="H790" i="12"/>
  <c r="D790" i="12"/>
  <c r="C790" i="12"/>
  <c r="I789" i="12"/>
  <c r="H789" i="12"/>
  <c r="D789" i="12"/>
  <c r="C789" i="12"/>
  <c r="I788" i="12"/>
  <c r="H788" i="12"/>
  <c r="D788" i="12"/>
  <c r="C788" i="12"/>
  <c r="I787" i="12"/>
  <c r="H787" i="12"/>
  <c r="D787" i="12"/>
  <c r="C787" i="12"/>
  <c r="I786" i="12"/>
  <c r="H786" i="12"/>
  <c r="D786" i="12"/>
  <c r="C786" i="12"/>
  <c r="I785" i="12"/>
  <c r="H785" i="12"/>
  <c r="D785" i="12"/>
  <c r="C785" i="12"/>
  <c r="I784" i="12"/>
  <c r="H784" i="12"/>
  <c r="D784" i="12"/>
  <c r="C784" i="12"/>
  <c r="I783" i="12"/>
  <c r="H783" i="12"/>
  <c r="D783" i="12"/>
  <c r="C783" i="12"/>
  <c r="I782" i="12"/>
  <c r="H782" i="12"/>
  <c r="D782" i="12"/>
  <c r="C782" i="12"/>
  <c r="I781" i="12"/>
  <c r="H781" i="12"/>
  <c r="D781" i="12"/>
  <c r="C781" i="12"/>
  <c r="I780" i="12"/>
  <c r="H780" i="12"/>
  <c r="D780" i="12"/>
  <c r="C780" i="12"/>
  <c r="I779" i="12"/>
  <c r="H779" i="12"/>
  <c r="D779" i="12"/>
  <c r="C779" i="12"/>
  <c r="I778" i="12"/>
  <c r="H778" i="12"/>
  <c r="D778" i="12"/>
  <c r="C778" i="12"/>
  <c r="I777" i="12"/>
  <c r="H777" i="12"/>
  <c r="D777" i="12"/>
  <c r="C777" i="12"/>
  <c r="I776" i="12"/>
  <c r="H776" i="12"/>
  <c r="D776" i="12"/>
  <c r="C776" i="12"/>
  <c r="I775" i="12"/>
  <c r="H775" i="12"/>
  <c r="D775" i="12"/>
  <c r="C775" i="12"/>
  <c r="I774" i="12"/>
  <c r="H774" i="12"/>
  <c r="D774" i="12"/>
  <c r="C774" i="12"/>
  <c r="D773" i="12"/>
  <c r="C773" i="12"/>
  <c r="D772" i="12"/>
  <c r="C772" i="12"/>
  <c r="I771" i="12"/>
  <c r="H771" i="12"/>
  <c r="D771" i="12"/>
  <c r="C771" i="12"/>
  <c r="I770" i="12"/>
  <c r="H770" i="12"/>
  <c r="D770" i="12"/>
  <c r="C770" i="12"/>
  <c r="I769" i="12"/>
  <c r="H769" i="12"/>
  <c r="D769" i="12"/>
  <c r="C769" i="12"/>
  <c r="I768" i="12"/>
  <c r="H768" i="12"/>
  <c r="D768" i="12"/>
  <c r="C768" i="12"/>
  <c r="I767" i="12"/>
  <c r="H767" i="12"/>
  <c r="D767" i="12"/>
  <c r="C767" i="12"/>
  <c r="I766" i="12"/>
  <c r="H766" i="12"/>
  <c r="D766" i="12"/>
  <c r="C766" i="12"/>
  <c r="I765" i="12"/>
  <c r="H765" i="12"/>
  <c r="D765" i="12"/>
  <c r="C765" i="12"/>
  <c r="I764" i="12"/>
  <c r="H764" i="12"/>
  <c r="D764" i="12"/>
  <c r="C764" i="12"/>
  <c r="I763" i="12"/>
  <c r="H763" i="12"/>
  <c r="D763" i="12"/>
  <c r="C763" i="12"/>
  <c r="I762" i="12"/>
  <c r="H762" i="12"/>
  <c r="D762" i="12"/>
  <c r="C762" i="12"/>
  <c r="I761" i="12"/>
  <c r="H761" i="12"/>
  <c r="D761" i="12"/>
  <c r="C761" i="12"/>
  <c r="I760" i="12"/>
  <c r="H760" i="12"/>
  <c r="D760" i="12"/>
  <c r="C760" i="12"/>
  <c r="I759" i="12"/>
  <c r="H759" i="12"/>
  <c r="D759" i="12"/>
  <c r="C759" i="12"/>
  <c r="I758" i="12"/>
  <c r="H758" i="12"/>
  <c r="D758" i="12"/>
  <c r="C758" i="12"/>
  <c r="I757" i="12"/>
  <c r="H757" i="12"/>
  <c r="D757" i="12"/>
  <c r="C757" i="12"/>
  <c r="I756" i="12"/>
  <c r="H756" i="12"/>
  <c r="D756" i="12"/>
  <c r="C756" i="12"/>
  <c r="I755" i="12"/>
  <c r="H755" i="12"/>
  <c r="D755" i="12"/>
  <c r="C755" i="12"/>
  <c r="I754" i="12"/>
  <c r="H754" i="12"/>
  <c r="D754" i="12"/>
  <c r="C754" i="12"/>
  <c r="I753" i="12"/>
  <c r="H753" i="12"/>
  <c r="D753" i="12"/>
  <c r="C753" i="12"/>
  <c r="I752" i="12"/>
  <c r="H752" i="12"/>
  <c r="D752" i="12"/>
  <c r="C752" i="12"/>
  <c r="D751" i="12"/>
  <c r="C751" i="12"/>
  <c r="D750" i="12"/>
  <c r="C750" i="12"/>
  <c r="I749" i="12"/>
  <c r="H749" i="12"/>
  <c r="D749" i="12"/>
  <c r="C749" i="12"/>
  <c r="I748" i="12"/>
  <c r="H748" i="12"/>
  <c r="D748" i="12"/>
  <c r="C748" i="12"/>
  <c r="I747" i="12"/>
  <c r="H747" i="12"/>
  <c r="D747" i="12"/>
  <c r="C747" i="12"/>
  <c r="I746" i="12"/>
  <c r="H746" i="12"/>
  <c r="D746" i="12"/>
  <c r="C746" i="12"/>
  <c r="I745" i="12"/>
  <c r="H745" i="12"/>
  <c r="D745" i="12"/>
  <c r="C745" i="12"/>
  <c r="I744" i="12"/>
  <c r="H744" i="12"/>
  <c r="D744" i="12"/>
  <c r="C744" i="12"/>
  <c r="I743" i="12"/>
  <c r="H743" i="12"/>
  <c r="D743" i="12"/>
  <c r="C743" i="12"/>
  <c r="I742" i="12"/>
  <c r="H742" i="12"/>
  <c r="D742" i="12"/>
  <c r="C742" i="12"/>
  <c r="I741" i="12"/>
  <c r="H741" i="12"/>
  <c r="D741" i="12"/>
  <c r="C741" i="12"/>
  <c r="I740" i="12"/>
  <c r="H740" i="12"/>
  <c r="D740" i="12"/>
  <c r="C740" i="12"/>
  <c r="I739" i="12"/>
  <c r="H739" i="12"/>
  <c r="D739" i="12"/>
  <c r="C739" i="12"/>
  <c r="I738" i="12"/>
  <c r="H738" i="12"/>
  <c r="D738" i="12"/>
  <c r="C738" i="12"/>
  <c r="I737" i="12"/>
  <c r="H737" i="12"/>
  <c r="D737" i="12"/>
  <c r="C737" i="12"/>
  <c r="I736" i="12"/>
  <c r="H736" i="12"/>
  <c r="D736" i="12"/>
  <c r="C736" i="12"/>
  <c r="I735" i="12"/>
  <c r="H735" i="12"/>
  <c r="D735" i="12"/>
  <c r="C735" i="12"/>
  <c r="I734" i="12"/>
  <c r="H734" i="12"/>
  <c r="D734" i="12"/>
  <c r="C734" i="12"/>
  <c r="I733" i="12"/>
  <c r="H733" i="12"/>
  <c r="D733" i="12"/>
  <c r="C733" i="12"/>
  <c r="I732" i="12"/>
  <c r="H732" i="12"/>
  <c r="D732" i="12"/>
  <c r="C732" i="12"/>
  <c r="I731" i="12"/>
  <c r="H731" i="12"/>
  <c r="D731" i="12"/>
  <c r="C731" i="12"/>
  <c r="I730" i="12"/>
  <c r="H730" i="12"/>
  <c r="D730" i="12"/>
  <c r="C730" i="12"/>
  <c r="D729" i="12"/>
  <c r="C729" i="12"/>
  <c r="D728" i="12"/>
  <c r="C728" i="12"/>
  <c r="I727" i="12"/>
  <c r="H727" i="12"/>
  <c r="D727" i="12"/>
  <c r="C727" i="12"/>
  <c r="I726" i="12"/>
  <c r="H726" i="12"/>
  <c r="D726" i="12"/>
  <c r="C726" i="12"/>
  <c r="I725" i="12"/>
  <c r="H725" i="12"/>
  <c r="D725" i="12"/>
  <c r="C725" i="12"/>
  <c r="I724" i="12"/>
  <c r="H724" i="12"/>
  <c r="D724" i="12"/>
  <c r="C724" i="12"/>
  <c r="I723" i="12"/>
  <c r="H723" i="12"/>
  <c r="D723" i="12"/>
  <c r="C723" i="12"/>
  <c r="I722" i="12"/>
  <c r="H722" i="12"/>
  <c r="D722" i="12"/>
  <c r="C722" i="12"/>
  <c r="I721" i="12"/>
  <c r="H721" i="12"/>
  <c r="D721" i="12"/>
  <c r="C721" i="12"/>
  <c r="I720" i="12"/>
  <c r="H720" i="12"/>
  <c r="D720" i="12"/>
  <c r="C720" i="12"/>
  <c r="I719" i="12"/>
  <c r="H719" i="12"/>
  <c r="D719" i="12"/>
  <c r="C719" i="12"/>
  <c r="I718" i="12"/>
  <c r="H718" i="12"/>
  <c r="D718" i="12"/>
  <c r="C718" i="12"/>
  <c r="I717" i="12"/>
  <c r="H717" i="12"/>
  <c r="D717" i="12"/>
  <c r="C717" i="12"/>
  <c r="I716" i="12"/>
  <c r="H716" i="12"/>
  <c r="D716" i="12"/>
  <c r="C716" i="12"/>
  <c r="I715" i="12"/>
  <c r="H715" i="12"/>
  <c r="D715" i="12"/>
  <c r="C715" i="12"/>
  <c r="I714" i="12"/>
  <c r="H714" i="12"/>
  <c r="D714" i="12"/>
  <c r="C714" i="12"/>
  <c r="I713" i="12"/>
  <c r="H713" i="12"/>
  <c r="D713" i="12"/>
  <c r="C713" i="12"/>
  <c r="I712" i="12"/>
  <c r="H712" i="12"/>
  <c r="D712" i="12"/>
  <c r="C712" i="12"/>
  <c r="I711" i="12"/>
  <c r="H711" i="12"/>
  <c r="D711" i="12"/>
  <c r="C711" i="12"/>
  <c r="I710" i="12"/>
  <c r="H710" i="12"/>
  <c r="D710" i="12"/>
  <c r="C710" i="12"/>
  <c r="I709" i="12"/>
  <c r="H709" i="12"/>
  <c r="D709" i="12"/>
  <c r="C709" i="12"/>
  <c r="I708" i="12"/>
  <c r="H708" i="12"/>
  <c r="D708" i="12"/>
  <c r="C708" i="12"/>
  <c r="D707" i="12"/>
  <c r="C707" i="12"/>
  <c r="D706" i="12"/>
  <c r="C706" i="12"/>
  <c r="I705" i="12"/>
  <c r="H705" i="12"/>
  <c r="D705" i="12"/>
  <c r="C705" i="12"/>
  <c r="I704" i="12"/>
  <c r="H704" i="12"/>
  <c r="D704" i="12"/>
  <c r="C704" i="12"/>
  <c r="I703" i="12"/>
  <c r="H703" i="12"/>
  <c r="D703" i="12"/>
  <c r="C703" i="12"/>
  <c r="I702" i="12"/>
  <c r="H702" i="12"/>
  <c r="D702" i="12"/>
  <c r="C702" i="12"/>
  <c r="I701" i="12"/>
  <c r="H701" i="12"/>
  <c r="D701" i="12"/>
  <c r="C701" i="12"/>
  <c r="I700" i="12"/>
  <c r="H700" i="12"/>
  <c r="D700" i="12"/>
  <c r="C700" i="12"/>
  <c r="I699" i="12"/>
  <c r="H699" i="12"/>
  <c r="D699" i="12"/>
  <c r="C699" i="12"/>
  <c r="I698" i="12"/>
  <c r="H698" i="12"/>
  <c r="D698" i="12"/>
  <c r="C698" i="12"/>
  <c r="I697" i="12"/>
  <c r="H697" i="12"/>
  <c r="D697" i="12"/>
  <c r="C697" i="12"/>
  <c r="I696" i="12"/>
  <c r="H696" i="12"/>
  <c r="D696" i="12"/>
  <c r="C696" i="12"/>
  <c r="I695" i="12"/>
  <c r="H695" i="12"/>
  <c r="D695" i="12"/>
  <c r="C695" i="12"/>
  <c r="I694" i="12"/>
  <c r="H694" i="12"/>
  <c r="D694" i="12"/>
  <c r="C694" i="12"/>
  <c r="I693" i="12"/>
  <c r="H693" i="12"/>
  <c r="D693" i="12"/>
  <c r="C693" i="12"/>
  <c r="I692" i="12"/>
  <c r="H692" i="12"/>
  <c r="D692" i="12"/>
  <c r="C692" i="12"/>
  <c r="I691" i="12"/>
  <c r="H691" i="12"/>
  <c r="D691" i="12"/>
  <c r="C691" i="12"/>
  <c r="I690" i="12"/>
  <c r="H690" i="12"/>
  <c r="D690" i="12"/>
  <c r="C690" i="12"/>
  <c r="I689" i="12"/>
  <c r="H689" i="12"/>
  <c r="D689" i="12"/>
  <c r="C689" i="12"/>
  <c r="I688" i="12"/>
  <c r="H688" i="12"/>
  <c r="D688" i="12"/>
  <c r="C688" i="12"/>
  <c r="I687" i="12"/>
  <c r="H687" i="12"/>
  <c r="D687" i="12"/>
  <c r="C687" i="12"/>
  <c r="I686" i="12"/>
  <c r="H686" i="12"/>
  <c r="D686" i="12"/>
  <c r="C686" i="12"/>
  <c r="D685" i="12"/>
  <c r="C685" i="12"/>
  <c r="D684" i="12"/>
  <c r="C684" i="12"/>
  <c r="I683" i="12"/>
  <c r="H683" i="12"/>
  <c r="D683" i="12"/>
  <c r="C683" i="12"/>
  <c r="I682" i="12"/>
  <c r="H682" i="12"/>
  <c r="D682" i="12"/>
  <c r="C682" i="12"/>
  <c r="I681" i="12"/>
  <c r="H681" i="12"/>
  <c r="D681" i="12"/>
  <c r="C681" i="12"/>
  <c r="I680" i="12"/>
  <c r="H680" i="12"/>
  <c r="D680" i="12"/>
  <c r="C680" i="12"/>
  <c r="I679" i="12"/>
  <c r="H679" i="12"/>
  <c r="D679" i="12"/>
  <c r="C679" i="12"/>
  <c r="I678" i="12"/>
  <c r="H678" i="12"/>
  <c r="D678" i="12"/>
  <c r="C678" i="12"/>
  <c r="I677" i="12"/>
  <c r="H677" i="12"/>
  <c r="D677" i="12"/>
  <c r="C677" i="12"/>
  <c r="I676" i="12"/>
  <c r="H676" i="12"/>
  <c r="D676" i="12"/>
  <c r="C676" i="12"/>
  <c r="I675" i="12"/>
  <c r="H675" i="12"/>
  <c r="D675" i="12"/>
  <c r="C675" i="12"/>
  <c r="I674" i="12"/>
  <c r="H674" i="12"/>
  <c r="D674" i="12"/>
  <c r="C674" i="12"/>
  <c r="I673" i="12"/>
  <c r="H673" i="12"/>
  <c r="D673" i="12"/>
  <c r="C673" i="12"/>
  <c r="I672" i="12"/>
  <c r="H672" i="12"/>
  <c r="D672" i="12"/>
  <c r="C672" i="12"/>
  <c r="I671" i="12"/>
  <c r="H671" i="12"/>
  <c r="D671" i="12"/>
  <c r="C671" i="12"/>
  <c r="I670" i="12"/>
  <c r="H670" i="12"/>
  <c r="D670" i="12"/>
  <c r="C670" i="12"/>
  <c r="I669" i="12"/>
  <c r="H669" i="12"/>
  <c r="D669" i="12"/>
  <c r="C669" i="12"/>
  <c r="I668" i="12"/>
  <c r="H668" i="12"/>
  <c r="D668" i="12"/>
  <c r="C668" i="12"/>
  <c r="I667" i="12"/>
  <c r="H667" i="12"/>
  <c r="D667" i="12"/>
  <c r="C667" i="12"/>
  <c r="I666" i="12"/>
  <c r="H666" i="12"/>
  <c r="D666" i="12"/>
  <c r="C666" i="12"/>
  <c r="I665" i="12"/>
  <c r="H665" i="12"/>
  <c r="D665" i="12"/>
  <c r="C665" i="12"/>
  <c r="I664" i="12"/>
  <c r="H664" i="12"/>
  <c r="D664" i="12"/>
  <c r="C664" i="12"/>
  <c r="D663" i="12"/>
  <c r="C663" i="12"/>
  <c r="D662" i="12"/>
  <c r="C662" i="12"/>
  <c r="I661" i="12"/>
  <c r="H661" i="12"/>
  <c r="D661" i="12"/>
  <c r="C661" i="12"/>
  <c r="I660" i="12"/>
  <c r="H660" i="12"/>
  <c r="D660" i="12"/>
  <c r="C660" i="12"/>
  <c r="I659" i="12"/>
  <c r="H659" i="12"/>
  <c r="D659" i="12"/>
  <c r="C659" i="12"/>
  <c r="I658" i="12"/>
  <c r="H658" i="12"/>
  <c r="D658" i="12"/>
  <c r="C658" i="12"/>
  <c r="I657" i="12"/>
  <c r="H657" i="12"/>
  <c r="D657" i="12"/>
  <c r="C657" i="12"/>
  <c r="I656" i="12"/>
  <c r="H656" i="12"/>
  <c r="D656" i="12"/>
  <c r="C656" i="12"/>
  <c r="I655" i="12"/>
  <c r="H655" i="12"/>
  <c r="D655" i="12"/>
  <c r="C655" i="12"/>
  <c r="I654" i="12"/>
  <c r="H654" i="12"/>
  <c r="D654" i="12"/>
  <c r="C654" i="12"/>
  <c r="I653" i="12"/>
  <c r="H653" i="12"/>
  <c r="D653" i="12"/>
  <c r="C653" i="12"/>
  <c r="I652" i="12"/>
  <c r="H652" i="12"/>
  <c r="D652" i="12"/>
  <c r="C652" i="12"/>
  <c r="I651" i="12"/>
  <c r="H651" i="12"/>
  <c r="D651" i="12"/>
  <c r="C651" i="12"/>
  <c r="I650" i="12"/>
  <c r="H650" i="12"/>
  <c r="D650" i="12"/>
  <c r="C650" i="12"/>
  <c r="I649" i="12"/>
  <c r="H649" i="12"/>
  <c r="D649" i="12"/>
  <c r="C649" i="12"/>
  <c r="I648" i="12"/>
  <c r="H648" i="12"/>
  <c r="D648" i="12"/>
  <c r="C648" i="12"/>
  <c r="I647" i="12"/>
  <c r="H647" i="12"/>
  <c r="D647" i="12"/>
  <c r="C647" i="12"/>
  <c r="I646" i="12"/>
  <c r="H646" i="12"/>
  <c r="D646" i="12"/>
  <c r="C646" i="12"/>
  <c r="I645" i="12"/>
  <c r="H645" i="12"/>
  <c r="D645" i="12"/>
  <c r="C645" i="12"/>
  <c r="I644" i="12"/>
  <c r="H644" i="12"/>
  <c r="D644" i="12"/>
  <c r="C644" i="12"/>
  <c r="I643" i="12"/>
  <c r="H643" i="12"/>
  <c r="D643" i="12"/>
  <c r="C643" i="12"/>
  <c r="I642" i="12"/>
  <c r="H642" i="12"/>
  <c r="D642" i="12"/>
  <c r="C642" i="12"/>
  <c r="D641" i="12"/>
  <c r="C641" i="12"/>
  <c r="D640" i="12"/>
  <c r="C640" i="12"/>
  <c r="I639" i="12"/>
  <c r="H639" i="12"/>
  <c r="D639" i="12"/>
  <c r="C639" i="12"/>
  <c r="I638" i="12"/>
  <c r="H638" i="12"/>
  <c r="D638" i="12"/>
  <c r="C638" i="12"/>
  <c r="I637" i="12"/>
  <c r="H637" i="12"/>
  <c r="D637" i="12"/>
  <c r="C637" i="12"/>
  <c r="I636" i="12"/>
  <c r="H636" i="12"/>
  <c r="D636" i="12"/>
  <c r="C636" i="12"/>
  <c r="I635" i="12"/>
  <c r="H635" i="12"/>
  <c r="D635" i="12"/>
  <c r="C635" i="12"/>
  <c r="I634" i="12"/>
  <c r="H634" i="12"/>
  <c r="D634" i="12"/>
  <c r="C634" i="12"/>
  <c r="I633" i="12"/>
  <c r="H633" i="12"/>
  <c r="D633" i="12"/>
  <c r="C633" i="12"/>
  <c r="I632" i="12"/>
  <c r="H632" i="12"/>
  <c r="D632" i="12"/>
  <c r="C632" i="12"/>
  <c r="I631" i="12"/>
  <c r="H631" i="12"/>
  <c r="D631" i="12"/>
  <c r="C631" i="12"/>
  <c r="I630" i="12"/>
  <c r="H630" i="12"/>
  <c r="D630" i="12"/>
  <c r="C630" i="12"/>
  <c r="I629" i="12"/>
  <c r="H629" i="12"/>
  <c r="D629" i="12"/>
  <c r="C629" i="12"/>
  <c r="I628" i="12"/>
  <c r="H628" i="12"/>
  <c r="D628" i="12"/>
  <c r="C628" i="12"/>
  <c r="I627" i="12"/>
  <c r="H627" i="12"/>
  <c r="D627" i="12"/>
  <c r="C627" i="12"/>
  <c r="I626" i="12"/>
  <c r="H626" i="12"/>
  <c r="D626" i="12"/>
  <c r="C626" i="12"/>
  <c r="I625" i="12"/>
  <c r="H625" i="12"/>
  <c r="D625" i="12"/>
  <c r="C625" i="12"/>
  <c r="I624" i="12"/>
  <c r="H624" i="12"/>
  <c r="D624" i="12"/>
  <c r="C624" i="12"/>
  <c r="I623" i="12"/>
  <c r="H623" i="12"/>
  <c r="D623" i="12"/>
  <c r="C623" i="12"/>
  <c r="I622" i="12"/>
  <c r="H622" i="12"/>
  <c r="D622" i="12"/>
  <c r="C622" i="12"/>
  <c r="I621" i="12"/>
  <c r="H621" i="12"/>
  <c r="D621" i="12"/>
  <c r="C621" i="12"/>
  <c r="I620" i="12"/>
  <c r="H620" i="12"/>
  <c r="D620" i="12"/>
  <c r="C620" i="12"/>
  <c r="D619" i="12"/>
  <c r="C619" i="12"/>
  <c r="D618" i="12"/>
  <c r="C618" i="12"/>
  <c r="I617" i="12"/>
  <c r="H617" i="12"/>
  <c r="D617" i="12"/>
  <c r="C617" i="12"/>
  <c r="I616" i="12"/>
  <c r="H616" i="12"/>
  <c r="D616" i="12"/>
  <c r="C616" i="12"/>
  <c r="I615" i="12"/>
  <c r="H615" i="12"/>
  <c r="D615" i="12"/>
  <c r="C615" i="12"/>
  <c r="I614" i="12"/>
  <c r="H614" i="12"/>
  <c r="D614" i="12"/>
  <c r="C614" i="12"/>
  <c r="I613" i="12"/>
  <c r="H613" i="12"/>
  <c r="D613" i="12"/>
  <c r="C613" i="12"/>
  <c r="I612" i="12"/>
  <c r="H612" i="12"/>
  <c r="D612" i="12"/>
  <c r="C612" i="12"/>
  <c r="I611" i="12"/>
  <c r="H611" i="12"/>
  <c r="D611" i="12"/>
  <c r="C611" i="12"/>
  <c r="I610" i="12"/>
  <c r="H610" i="12"/>
  <c r="D610" i="12"/>
  <c r="C610" i="12"/>
  <c r="I609" i="12"/>
  <c r="H609" i="12"/>
  <c r="D609" i="12"/>
  <c r="C609" i="12"/>
  <c r="I608" i="12"/>
  <c r="H608" i="12"/>
  <c r="D608" i="12"/>
  <c r="C608" i="12"/>
  <c r="I607" i="12"/>
  <c r="H607" i="12"/>
  <c r="D607" i="12"/>
  <c r="C607" i="12"/>
  <c r="I606" i="12"/>
  <c r="H606" i="12"/>
  <c r="D606" i="12"/>
  <c r="C606" i="12"/>
  <c r="I605" i="12"/>
  <c r="H605" i="12"/>
  <c r="D605" i="12"/>
  <c r="C605" i="12"/>
  <c r="I604" i="12"/>
  <c r="H604" i="12"/>
  <c r="D604" i="12"/>
  <c r="C604" i="12"/>
  <c r="I603" i="12"/>
  <c r="H603" i="12"/>
  <c r="D603" i="12"/>
  <c r="C603" i="12"/>
  <c r="I602" i="12"/>
  <c r="H602" i="12"/>
  <c r="D602" i="12"/>
  <c r="C602" i="12"/>
  <c r="I601" i="12"/>
  <c r="H601" i="12"/>
  <c r="D601" i="12"/>
  <c r="C601" i="12"/>
  <c r="I600" i="12"/>
  <c r="H600" i="12"/>
  <c r="D600" i="12"/>
  <c r="C600" i="12"/>
  <c r="I599" i="12"/>
  <c r="H599" i="12"/>
  <c r="D599" i="12"/>
  <c r="C599" i="12"/>
  <c r="I598" i="12"/>
  <c r="H598" i="12"/>
  <c r="D598" i="12"/>
  <c r="C598" i="12"/>
  <c r="D597" i="12"/>
  <c r="C597" i="12"/>
  <c r="D596" i="12"/>
  <c r="C596" i="12"/>
  <c r="I595" i="12"/>
  <c r="H595" i="12"/>
  <c r="D595" i="12"/>
  <c r="C595" i="12"/>
  <c r="I594" i="12"/>
  <c r="H594" i="12"/>
  <c r="D594" i="12"/>
  <c r="C594" i="12"/>
  <c r="I593" i="12"/>
  <c r="H593" i="12"/>
  <c r="D593" i="12"/>
  <c r="C593" i="12"/>
  <c r="I592" i="12"/>
  <c r="H592" i="12"/>
  <c r="D592" i="12"/>
  <c r="C592" i="12"/>
  <c r="I591" i="12"/>
  <c r="H591" i="12"/>
  <c r="D591" i="12"/>
  <c r="C591" i="12"/>
  <c r="I590" i="12"/>
  <c r="H590" i="12"/>
  <c r="D590" i="12"/>
  <c r="C590" i="12"/>
  <c r="I589" i="12"/>
  <c r="H589" i="12"/>
  <c r="D589" i="12"/>
  <c r="C589" i="12"/>
  <c r="I588" i="12"/>
  <c r="H588" i="12"/>
  <c r="D588" i="12"/>
  <c r="C588" i="12"/>
  <c r="I587" i="12"/>
  <c r="H587" i="12"/>
  <c r="D587" i="12"/>
  <c r="C587" i="12"/>
  <c r="I586" i="12"/>
  <c r="H586" i="12"/>
  <c r="D586" i="12"/>
  <c r="C586" i="12"/>
  <c r="I585" i="12"/>
  <c r="H585" i="12"/>
  <c r="D585" i="12"/>
  <c r="C585" i="12"/>
  <c r="I584" i="12"/>
  <c r="H584" i="12"/>
  <c r="D584" i="12"/>
  <c r="C584" i="12"/>
  <c r="I583" i="12"/>
  <c r="H583" i="12"/>
  <c r="D583" i="12"/>
  <c r="C583" i="12"/>
  <c r="I582" i="12"/>
  <c r="H582" i="12"/>
  <c r="D582" i="12"/>
  <c r="C582" i="12"/>
  <c r="I581" i="12"/>
  <c r="H581" i="12"/>
  <c r="D581" i="12"/>
  <c r="C581" i="12"/>
  <c r="I580" i="12"/>
  <c r="H580" i="12"/>
  <c r="D580" i="12"/>
  <c r="C580" i="12"/>
  <c r="I579" i="12"/>
  <c r="H579" i="12"/>
  <c r="D579" i="12"/>
  <c r="C579" i="12"/>
  <c r="I578" i="12"/>
  <c r="H578" i="12"/>
  <c r="D578" i="12"/>
  <c r="C578" i="12"/>
  <c r="I577" i="12"/>
  <c r="H577" i="12"/>
  <c r="D577" i="12"/>
  <c r="C577" i="12"/>
  <c r="I576" i="12"/>
  <c r="H576" i="12"/>
  <c r="D576" i="12"/>
  <c r="C576" i="12"/>
  <c r="D575" i="12"/>
  <c r="C575" i="12"/>
  <c r="D574" i="12"/>
  <c r="C574" i="12"/>
  <c r="I573" i="12"/>
  <c r="H573" i="12"/>
  <c r="D573" i="12"/>
  <c r="C573" i="12"/>
  <c r="I572" i="12"/>
  <c r="H572" i="12"/>
  <c r="D572" i="12"/>
  <c r="C572" i="12"/>
  <c r="I571" i="12"/>
  <c r="H571" i="12"/>
  <c r="D571" i="12"/>
  <c r="C571" i="12"/>
  <c r="I570" i="12"/>
  <c r="H570" i="12"/>
  <c r="D570" i="12"/>
  <c r="C570" i="12"/>
  <c r="I569" i="12"/>
  <c r="H569" i="12"/>
  <c r="D569" i="12"/>
  <c r="C569" i="12"/>
  <c r="I568" i="12"/>
  <c r="H568" i="12"/>
  <c r="D568" i="12"/>
  <c r="C568" i="12"/>
  <c r="I567" i="12"/>
  <c r="H567" i="12"/>
  <c r="D567" i="12"/>
  <c r="C567" i="12"/>
  <c r="I566" i="12"/>
  <c r="H566" i="12"/>
  <c r="D566" i="12"/>
  <c r="C566" i="12"/>
  <c r="I565" i="12"/>
  <c r="H565" i="12"/>
  <c r="D565" i="12"/>
  <c r="C565" i="12"/>
  <c r="I564" i="12"/>
  <c r="H564" i="12"/>
  <c r="D564" i="12"/>
  <c r="C564" i="12"/>
  <c r="I563" i="12"/>
  <c r="H563" i="12"/>
  <c r="D563" i="12"/>
  <c r="C563" i="12"/>
  <c r="I562" i="12"/>
  <c r="H562" i="12"/>
  <c r="D562" i="12"/>
  <c r="C562" i="12"/>
  <c r="I561" i="12"/>
  <c r="H561" i="12"/>
  <c r="D561" i="12"/>
  <c r="C561" i="12"/>
  <c r="I560" i="12"/>
  <c r="H560" i="12"/>
  <c r="D560" i="12"/>
  <c r="C560" i="12"/>
  <c r="I559" i="12"/>
  <c r="H559" i="12"/>
  <c r="D559" i="12"/>
  <c r="C559" i="12"/>
  <c r="I558" i="12"/>
  <c r="H558" i="12"/>
  <c r="D558" i="12"/>
  <c r="C558" i="12"/>
  <c r="I557" i="12"/>
  <c r="H557" i="12"/>
  <c r="D557" i="12"/>
  <c r="C557" i="12"/>
  <c r="I556" i="12"/>
  <c r="H556" i="12"/>
  <c r="D556" i="12"/>
  <c r="C556" i="12"/>
  <c r="I555" i="12"/>
  <c r="H555" i="12"/>
  <c r="D555" i="12"/>
  <c r="C555" i="12"/>
  <c r="I554" i="12"/>
  <c r="H554" i="12"/>
  <c r="D554" i="12"/>
  <c r="C554" i="12"/>
  <c r="D553" i="12"/>
  <c r="C553" i="12"/>
  <c r="D552" i="12"/>
  <c r="C552" i="12"/>
  <c r="I551" i="12"/>
  <c r="H551" i="12"/>
  <c r="D551" i="12"/>
  <c r="C551" i="12"/>
  <c r="I550" i="12"/>
  <c r="H550" i="12"/>
  <c r="D550" i="12"/>
  <c r="C550" i="12"/>
  <c r="I549" i="12"/>
  <c r="H549" i="12"/>
  <c r="D549" i="12"/>
  <c r="C549" i="12"/>
  <c r="I548" i="12"/>
  <c r="H548" i="12"/>
  <c r="D548" i="12"/>
  <c r="C548" i="12"/>
  <c r="I547" i="12"/>
  <c r="H547" i="12"/>
  <c r="D547" i="12"/>
  <c r="C547" i="12"/>
  <c r="I546" i="12"/>
  <c r="H546" i="12"/>
  <c r="D546" i="12"/>
  <c r="C546" i="12"/>
  <c r="I545" i="12"/>
  <c r="H545" i="12"/>
  <c r="D545" i="12"/>
  <c r="C545" i="12"/>
  <c r="I544" i="12"/>
  <c r="H544" i="12"/>
  <c r="D544" i="12"/>
  <c r="C544" i="12"/>
  <c r="I543" i="12"/>
  <c r="H543" i="12"/>
  <c r="D543" i="12"/>
  <c r="C543" i="12"/>
  <c r="I542" i="12"/>
  <c r="H542" i="12"/>
  <c r="D542" i="12"/>
  <c r="C542" i="12"/>
  <c r="I541" i="12"/>
  <c r="H541" i="12"/>
  <c r="D541" i="12"/>
  <c r="C541" i="12"/>
  <c r="I540" i="12"/>
  <c r="H540" i="12"/>
  <c r="D540" i="12"/>
  <c r="C540" i="12"/>
  <c r="I539" i="12"/>
  <c r="H539" i="12"/>
  <c r="D539" i="12"/>
  <c r="C539" i="12"/>
  <c r="I538" i="12"/>
  <c r="H538" i="12"/>
  <c r="D538" i="12"/>
  <c r="C538" i="12"/>
  <c r="I537" i="12"/>
  <c r="H537" i="12"/>
  <c r="D537" i="12"/>
  <c r="C537" i="12"/>
  <c r="I536" i="12"/>
  <c r="H536" i="12"/>
  <c r="D536" i="12"/>
  <c r="C536" i="12"/>
  <c r="I535" i="12"/>
  <c r="H535" i="12"/>
  <c r="D535" i="12"/>
  <c r="C535" i="12"/>
  <c r="I534" i="12"/>
  <c r="H534" i="12"/>
  <c r="D534" i="12"/>
  <c r="C534" i="12"/>
  <c r="I533" i="12"/>
  <c r="H533" i="12"/>
  <c r="D533" i="12"/>
  <c r="C533" i="12"/>
  <c r="I532" i="12"/>
  <c r="H532" i="12"/>
  <c r="D532" i="12"/>
  <c r="C532" i="12"/>
  <c r="D531" i="12"/>
  <c r="C531" i="12"/>
  <c r="D530" i="12"/>
  <c r="C530" i="12"/>
  <c r="I529" i="12"/>
  <c r="H529" i="12"/>
  <c r="D529" i="12"/>
  <c r="C529" i="12"/>
  <c r="I528" i="12"/>
  <c r="H528" i="12"/>
  <c r="D528" i="12"/>
  <c r="C528" i="12"/>
  <c r="I527" i="12"/>
  <c r="H527" i="12"/>
  <c r="D527" i="12"/>
  <c r="C527" i="12"/>
  <c r="I526" i="12"/>
  <c r="H526" i="12"/>
  <c r="D526" i="12"/>
  <c r="C526" i="12"/>
  <c r="I525" i="12"/>
  <c r="H525" i="12"/>
  <c r="D525" i="12"/>
  <c r="C525" i="12"/>
  <c r="I524" i="12"/>
  <c r="H524" i="12"/>
  <c r="D524" i="12"/>
  <c r="C524" i="12"/>
  <c r="I523" i="12"/>
  <c r="H523" i="12"/>
  <c r="D523" i="12"/>
  <c r="C523" i="12"/>
  <c r="I522" i="12"/>
  <c r="H522" i="12"/>
  <c r="D522" i="12"/>
  <c r="C522" i="12"/>
  <c r="I521" i="12"/>
  <c r="H521" i="12"/>
  <c r="D521" i="12"/>
  <c r="C521" i="12"/>
  <c r="I520" i="12"/>
  <c r="H520" i="12"/>
  <c r="D520" i="12"/>
  <c r="C520" i="12"/>
  <c r="I519" i="12"/>
  <c r="H519" i="12"/>
  <c r="D519" i="12"/>
  <c r="C519" i="12"/>
  <c r="I518" i="12"/>
  <c r="H518" i="12"/>
  <c r="D518" i="12"/>
  <c r="C518" i="12"/>
  <c r="I517" i="12"/>
  <c r="H517" i="12"/>
  <c r="D517" i="12"/>
  <c r="C517" i="12"/>
  <c r="I516" i="12"/>
  <c r="H516" i="12"/>
  <c r="D516" i="12"/>
  <c r="C516" i="12"/>
  <c r="I515" i="12"/>
  <c r="H515" i="12"/>
  <c r="D515" i="12"/>
  <c r="C515" i="12"/>
  <c r="I514" i="12"/>
  <c r="H514" i="12"/>
  <c r="D514" i="12"/>
  <c r="C514" i="12"/>
  <c r="I513" i="12"/>
  <c r="H513" i="12"/>
  <c r="D513" i="12"/>
  <c r="C513" i="12"/>
  <c r="I512" i="12"/>
  <c r="H512" i="12"/>
  <c r="D512" i="12"/>
  <c r="C512" i="12"/>
  <c r="I511" i="12"/>
  <c r="H511" i="12"/>
  <c r="D511" i="12"/>
  <c r="C511" i="12"/>
  <c r="I510" i="12"/>
  <c r="H510" i="12"/>
  <c r="D510" i="12"/>
  <c r="C510" i="12"/>
  <c r="D509" i="12"/>
  <c r="C509" i="12"/>
  <c r="D508" i="12"/>
  <c r="C508" i="12"/>
  <c r="I507" i="12"/>
  <c r="H507" i="12"/>
  <c r="D507" i="12"/>
  <c r="C507" i="12"/>
  <c r="I506" i="12"/>
  <c r="H506" i="12"/>
  <c r="D506" i="12"/>
  <c r="C506" i="12"/>
  <c r="I505" i="12"/>
  <c r="H505" i="12"/>
  <c r="D505" i="12"/>
  <c r="C505" i="12"/>
  <c r="I504" i="12"/>
  <c r="H504" i="12"/>
  <c r="D504" i="12"/>
  <c r="C504" i="12"/>
  <c r="I503" i="12"/>
  <c r="H503" i="12"/>
  <c r="D503" i="12"/>
  <c r="C503" i="12"/>
  <c r="I502" i="12"/>
  <c r="H502" i="12"/>
  <c r="D502" i="12"/>
  <c r="C502" i="12"/>
  <c r="I501" i="12"/>
  <c r="H501" i="12"/>
  <c r="D501" i="12"/>
  <c r="C501" i="12"/>
  <c r="I500" i="12"/>
  <c r="H500" i="12"/>
  <c r="D500" i="12"/>
  <c r="C500" i="12"/>
  <c r="I499" i="12"/>
  <c r="H499" i="12"/>
  <c r="D499" i="12"/>
  <c r="C499" i="12"/>
  <c r="I498" i="12"/>
  <c r="H498" i="12"/>
  <c r="D498" i="12"/>
  <c r="C498" i="12"/>
  <c r="I497" i="12"/>
  <c r="H497" i="12"/>
  <c r="D497" i="12"/>
  <c r="C497" i="12"/>
  <c r="I496" i="12"/>
  <c r="H496" i="12"/>
  <c r="D496" i="12"/>
  <c r="C496" i="12"/>
  <c r="I495" i="12"/>
  <c r="H495" i="12"/>
  <c r="D495" i="12"/>
  <c r="C495" i="12"/>
  <c r="I494" i="12"/>
  <c r="H494" i="12"/>
  <c r="D494" i="12"/>
  <c r="C494" i="12"/>
  <c r="I493" i="12"/>
  <c r="H493" i="12"/>
  <c r="D493" i="12"/>
  <c r="C493" i="12"/>
  <c r="I492" i="12"/>
  <c r="H492" i="12"/>
  <c r="D492" i="12"/>
  <c r="C492" i="12"/>
  <c r="I491" i="12"/>
  <c r="H491" i="12"/>
  <c r="D491" i="12"/>
  <c r="C491" i="12"/>
  <c r="I490" i="12"/>
  <c r="H490" i="12"/>
  <c r="D490" i="12"/>
  <c r="C490" i="12"/>
  <c r="I489" i="12"/>
  <c r="H489" i="12"/>
  <c r="D489" i="12"/>
  <c r="C489" i="12"/>
  <c r="I488" i="12"/>
  <c r="H488" i="12"/>
  <c r="D488" i="12"/>
  <c r="C488" i="12"/>
  <c r="D487" i="12"/>
  <c r="C487" i="12"/>
  <c r="D486" i="12"/>
  <c r="C486" i="12"/>
  <c r="I485" i="12"/>
  <c r="H485" i="12"/>
  <c r="D485" i="12"/>
  <c r="C485" i="12"/>
  <c r="I484" i="12"/>
  <c r="H484" i="12"/>
  <c r="D484" i="12"/>
  <c r="C484" i="12"/>
  <c r="I483" i="12"/>
  <c r="H483" i="12"/>
  <c r="D483" i="12"/>
  <c r="C483" i="12"/>
  <c r="I482" i="12"/>
  <c r="H482" i="12"/>
  <c r="D482" i="12"/>
  <c r="C482" i="12"/>
  <c r="I481" i="12"/>
  <c r="H481" i="12"/>
  <c r="D481" i="12"/>
  <c r="C481" i="12"/>
  <c r="I480" i="12"/>
  <c r="H480" i="12"/>
  <c r="D480" i="12"/>
  <c r="C480" i="12"/>
  <c r="I479" i="12"/>
  <c r="H479" i="12"/>
  <c r="D479" i="12"/>
  <c r="C479" i="12"/>
  <c r="I478" i="12"/>
  <c r="H478" i="12"/>
  <c r="D478" i="12"/>
  <c r="C478" i="12"/>
  <c r="I477" i="12"/>
  <c r="H477" i="12"/>
  <c r="D477" i="12"/>
  <c r="C477" i="12"/>
  <c r="I476" i="12"/>
  <c r="H476" i="12"/>
  <c r="D476" i="12"/>
  <c r="C476" i="12"/>
  <c r="I475" i="12"/>
  <c r="H475" i="12"/>
  <c r="D475" i="12"/>
  <c r="C475" i="12"/>
  <c r="I474" i="12"/>
  <c r="H474" i="12"/>
  <c r="D474" i="12"/>
  <c r="C474" i="12"/>
  <c r="I473" i="12"/>
  <c r="H473" i="12"/>
  <c r="D473" i="12"/>
  <c r="C473" i="12"/>
  <c r="I472" i="12"/>
  <c r="H472" i="12"/>
  <c r="D472" i="12"/>
  <c r="C472" i="12"/>
  <c r="I471" i="12"/>
  <c r="H471" i="12"/>
  <c r="D471" i="12"/>
  <c r="C471" i="12"/>
  <c r="I470" i="12"/>
  <c r="H470" i="12"/>
  <c r="D470" i="12"/>
  <c r="C470" i="12"/>
  <c r="I469" i="12"/>
  <c r="H469" i="12"/>
  <c r="D469" i="12"/>
  <c r="C469" i="12"/>
  <c r="I468" i="12"/>
  <c r="H468" i="12"/>
  <c r="D468" i="12"/>
  <c r="C468" i="12"/>
  <c r="I467" i="12"/>
  <c r="H467" i="12"/>
  <c r="D467" i="12"/>
  <c r="C467" i="12"/>
  <c r="I466" i="12"/>
  <c r="H466" i="12"/>
  <c r="D466" i="12"/>
  <c r="C466" i="12"/>
  <c r="D465" i="12"/>
  <c r="C465" i="12"/>
  <c r="D464" i="12"/>
  <c r="C464" i="12"/>
  <c r="I463" i="12"/>
  <c r="H463" i="12"/>
  <c r="D463" i="12"/>
  <c r="C463" i="12"/>
  <c r="I462" i="12"/>
  <c r="H462" i="12"/>
  <c r="D462" i="12"/>
  <c r="C462" i="12"/>
  <c r="I461" i="12"/>
  <c r="H461" i="12"/>
  <c r="D461" i="12"/>
  <c r="C461" i="12"/>
  <c r="I460" i="12"/>
  <c r="H460" i="12"/>
  <c r="D460" i="12"/>
  <c r="C460" i="12"/>
  <c r="I459" i="12"/>
  <c r="H459" i="12"/>
  <c r="D459" i="12"/>
  <c r="C459" i="12"/>
  <c r="I458" i="12"/>
  <c r="H458" i="12"/>
  <c r="D458" i="12"/>
  <c r="C458" i="12"/>
  <c r="I457" i="12"/>
  <c r="H457" i="12"/>
  <c r="D457" i="12"/>
  <c r="C457" i="12"/>
  <c r="I456" i="12"/>
  <c r="H456" i="12"/>
  <c r="D456" i="12"/>
  <c r="C456" i="12"/>
  <c r="I455" i="12"/>
  <c r="H455" i="12"/>
  <c r="D455" i="12"/>
  <c r="C455" i="12"/>
  <c r="I454" i="12"/>
  <c r="H454" i="12"/>
  <c r="D454" i="12"/>
  <c r="C454" i="12"/>
  <c r="I453" i="12"/>
  <c r="H453" i="12"/>
  <c r="D453" i="12"/>
  <c r="C453" i="12"/>
  <c r="I452" i="12"/>
  <c r="H452" i="12"/>
  <c r="D452" i="12"/>
  <c r="C452" i="12"/>
  <c r="I451" i="12"/>
  <c r="H451" i="12"/>
  <c r="D451" i="12"/>
  <c r="C451" i="12"/>
  <c r="I450" i="12"/>
  <c r="H450" i="12"/>
  <c r="D450" i="12"/>
  <c r="C450" i="12"/>
  <c r="I449" i="12"/>
  <c r="H449" i="12"/>
  <c r="D449" i="12"/>
  <c r="C449" i="12"/>
  <c r="I448" i="12"/>
  <c r="H448" i="12"/>
  <c r="D448" i="12"/>
  <c r="C448" i="12"/>
  <c r="I447" i="12"/>
  <c r="H447" i="12"/>
  <c r="D447" i="12"/>
  <c r="C447" i="12"/>
  <c r="I446" i="12"/>
  <c r="H446" i="12"/>
  <c r="D446" i="12"/>
  <c r="C446" i="12"/>
  <c r="I445" i="12"/>
  <c r="H445" i="12"/>
  <c r="D445" i="12"/>
  <c r="C445" i="12"/>
  <c r="I444" i="12"/>
  <c r="H444" i="12"/>
  <c r="D444" i="12"/>
  <c r="C444" i="12"/>
  <c r="D443" i="12"/>
  <c r="C443" i="12"/>
  <c r="D442" i="12"/>
  <c r="C442" i="12"/>
  <c r="I441" i="12"/>
  <c r="H441" i="12"/>
  <c r="D441" i="12"/>
  <c r="C441" i="12"/>
  <c r="I440" i="12"/>
  <c r="H440" i="12"/>
  <c r="D440" i="12"/>
  <c r="C440" i="12"/>
  <c r="I439" i="12"/>
  <c r="H439" i="12"/>
  <c r="D439" i="12"/>
  <c r="C439" i="12"/>
  <c r="I438" i="12"/>
  <c r="H438" i="12"/>
  <c r="D438" i="12"/>
  <c r="C438" i="12"/>
  <c r="I437" i="12"/>
  <c r="H437" i="12"/>
  <c r="D437" i="12"/>
  <c r="C437" i="12"/>
  <c r="I436" i="12"/>
  <c r="H436" i="12"/>
  <c r="D436" i="12"/>
  <c r="C436" i="12"/>
  <c r="I435" i="12"/>
  <c r="H435" i="12"/>
  <c r="D435" i="12"/>
  <c r="C435" i="12"/>
  <c r="I434" i="12"/>
  <c r="H434" i="12"/>
  <c r="D434" i="12"/>
  <c r="C434" i="12"/>
  <c r="I433" i="12"/>
  <c r="H433" i="12"/>
  <c r="D433" i="12"/>
  <c r="C433" i="12"/>
  <c r="I432" i="12"/>
  <c r="H432" i="12"/>
  <c r="D432" i="12"/>
  <c r="C432" i="12"/>
  <c r="I431" i="12"/>
  <c r="H431" i="12"/>
  <c r="D431" i="12"/>
  <c r="C431" i="12"/>
  <c r="I430" i="12"/>
  <c r="H430" i="12"/>
  <c r="D430" i="12"/>
  <c r="C430" i="12"/>
  <c r="I429" i="12"/>
  <c r="H429" i="12"/>
  <c r="D429" i="12"/>
  <c r="C429" i="12"/>
  <c r="I428" i="12"/>
  <c r="H428" i="12"/>
  <c r="D428" i="12"/>
  <c r="C428" i="12"/>
  <c r="I427" i="12"/>
  <c r="H427" i="12"/>
  <c r="D427" i="12"/>
  <c r="C427" i="12"/>
  <c r="I426" i="12"/>
  <c r="H426" i="12"/>
  <c r="D426" i="12"/>
  <c r="C426" i="12"/>
  <c r="I425" i="12"/>
  <c r="H425" i="12"/>
  <c r="D425" i="12"/>
  <c r="C425" i="12"/>
  <c r="I424" i="12"/>
  <c r="H424" i="12"/>
  <c r="D424" i="12"/>
  <c r="C424" i="12"/>
  <c r="I423" i="12"/>
  <c r="H423" i="12"/>
  <c r="D423" i="12"/>
  <c r="C423" i="12"/>
  <c r="I422" i="12"/>
  <c r="H422" i="12"/>
  <c r="D422" i="12"/>
  <c r="C422" i="12"/>
  <c r="D421" i="12"/>
  <c r="C421" i="12"/>
  <c r="D420" i="12"/>
  <c r="C420" i="12"/>
  <c r="I419" i="12"/>
  <c r="H419" i="12"/>
  <c r="D419" i="12"/>
  <c r="C419" i="12"/>
  <c r="I418" i="12"/>
  <c r="H418" i="12"/>
  <c r="D418" i="12"/>
  <c r="C418" i="12"/>
  <c r="I417" i="12"/>
  <c r="H417" i="12"/>
  <c r="D417" i="12"/>
  <c r="C417" i="12"/>
  <c r="I416" i="12"/>
  <c r="H416" i="12"/>
  <c r="D416" i="12"/>
  <c r="C416" i="12"/>
  <c r="I415" i="12"/>
  <c r="H415" i="12"/>
  <c r="D415" i="12"/>
  <c r="C415" i="12"/>
  <c r="I414" i="12"/>
  <c r="H414" i="12"/>
  <c r="D414" i="12"/>
  <c r="C414" i="12"/>
  <c r="I413" i="12"/>
  <c r="H413" i="12"/>
  <c r="D413" i="12"/>
  <c r="C413" i="12"/>
  <c r="I412" i="12"/>
  <c r="H412" i="12"/>
  <c r="D412" i="12"/>
  <c r="C412" i="12"/>
  <c r="I411" i="12"/>
  <c r="H411" i="12"/>
  <c r="D411" i="12"/>
  <c r="C411" i="12"/>
  <c r="I410" i="12"/>
  <c r="H410" i="12"/>
  <c r="D410" i="12"/>
  <c r="C410" i="12"/>
  <c r="I409" i="12"/>
  <c r="H409" i="12"/>
  <c r="D409" i="12"/>
  <c r="C409" i="12"/>
  <c r="I408" i="12"/>
  <c r="H408" i="12"/>
  <c r="D408" i="12"/>
  <c r="C408" i="12"/>
  <c r="I407" i="12"/>
  <c r="H407" i="12"/>
  <c r="D407" i="12"/>
  <c r="C407" i="12"/>
  <c r="I406" i="12"/>
  <c r="H406" i="12"/>
  <c r="D406" i="12"/>
  <c r="C406" i="12"/>
  <c r="I405" i="12"/>
  <c r="H405" i="12"/>
  <c r="D405" i="12"/>
  <c r="C405" i="12"/>
  <c r="I404" i="12"/>
  <c r="H404" i="12"/>
  <c r="D404" i="12"/>
  <c r="C404" i="12"/>
  <c r="I403" i="12"/>
  <c r="H403" i="12"/>
  <c r="D403" i="12"/>
  <c r="C403" i="12"/>
  <c r="I402" i="12"/>
  <c r="H402" i="12"/>
  <c r="D402" i="12"/>
  <c r="C402" i="12"/>
  <c r="I401" i="12"/>
  <c r="H401" i="12"/>
  <c r="D401" i="12"/>
  <c r="C401" i="12"/>
  <c r="I400" i="12"/>
  <c r="H400" i="12"/>
  <c r="D400" i="12"/>
  <c r="C400" i="12"/>
  <c r="D399" i="12"/>
  <c r="C399" i="12"/>
  <c r="D398" i="12"/>
  <c r="C398" i="12"/>
  <c r="I397" i="12"/>
  <c r="H397" i="12"/>
  <c r="D397" i="12"/>
  <c r="C397" i="12"/>
  <c r="I396" i="12"/>
  <c r="H396" i="12"/>
  <c r="D396" i="12"/>
  <c r="C396" i="12"/>
  <c r="I395" i="12"/>
  <c r="H395" i="12"/>
  <c r="D395" i="12"/>
  <c r="C395" i="12"/>
  <c r="I394" i="12"/>
  <c r="H394" i="12"/>
  <c r="D394" i="12"/>
  <c r="C394" i="12"/>
  <c r="I393" i="12"/>
  <c r="H393" i="12"/>
  <c r="D393" i="12"/>
  <c r="C393" i="12"/>
  <c r="I392" i="12"/>
  <c r="H392" i="12"/>
  <c r="D392" i="12"/>
  <c r="C392" i="12"/>
  <c r="I391" i="12"/>
  <c r="H391" i="12"/>
  <c r="D391" i="12"/>
  <c r="C391" i="12"/>
  <c r="I390" i="12"/>
  <c r="H390" i="12"/>
  <c r="D390" i="12"/>
  <c r="C390" i="12"/>
  <c r="I389" i="12"/>
  <c r="H389" i="12"/>
  <c r="D389" i="12"/>
  <c r="C389" i="12"/>
  <c r="I388" i="12"/>
  <c r="H388" i="12"/>
  <c r="D388" i="12"/>
  <c r="C388" i="12"/>
  <c r="I387" i="12"/>
  <c r="H387" i="12"/>
  <c r="D387" i="12"/>
  <c r="C387" i="12"/>
  <c r="I386" i="12"/>
  <c r="H386" i="12"/>
  <c r="D386" i="12"/>
  <c r="C386" i="12"/>
  <c r="I385" i="12"/>
  <c r="H385" i="12"/>
  <c r="D385" i="12"/>
  <c r="C385" i="12"/>
  <c r="I384" i="12"/>
  <c r="H384" i="12"/>
  <c r="D384" i="12"/>
  <c r="C384" i="12"/>
  <c r="I383" i="12"/>
  <c r="H383" i="12"/>
  <c r="D383" i="12"/>
  <c r="C383" i="12"/>
  <c r="I382" i="12"/>
  <c r="H382" i="12"/>
  <c r="D382" i="12"/>
  <c r="C382" i="12"/>
  <c r="I381" i="12"/>
  <c r="H381" i="12"/>
  <c r="D381" i="12"/>
  <c r="C381" i="12"/>
  <c r="I380" i="12"/>
  <c r="H380" i="12"/>
  <c r="D380" i="12"/>
  <c r="C380" i="12"/>
  <c r="I379" i="12"/>
  <c r="H379" i="12"/>
  <c r="D379" i="12"/>
  <c r="C379" i="12"/>
  <c r="I378" i="12"/>
  <c r="H378" i="12"/>
  <c r="D378" i="12"/>
  <c r="C378" i="12"/>
  <c r="D377" i="12"/>
  <c r="C377" i="12"/>
  <c r="D376" i="12"/>
  <c r="C376" i="12"/>
  <c r="I375" i="12"/>
  <c r="H375" i="12"/>
  <c r="D375" i="12"/>
  <c r="C375" i="12"/>
  <c r="I374" i="12"/>
  <c r="H374" i="12"/>
  <c r="D374" i="12"/>
  <c r="C374" i="12"/>
  <c r="I373" i="12"/>
  <c r="H373" i="12"/>
  <c r="D373" i="12"/>
  <c r="C373" i="12"/>
  <c r="I372" i="12"/>
  <c r="H372" i="12"/>
  <c r="D372" i="12"/>
  <c r="C372" i="12"/>
  <c r="I371" i="12"/>
  <c r="H371" i="12"/>
  <c r="D371" i="12"/>
  <c r="C371" i="12"/>
  <c r="I370" i="12"/>
  <c r="H370" i="12"/>
  <c r="D370" i="12"/>
  <c r="C370" i="12"/>
  <c r="I369" i="12"/>
  <c r="H369" i="12"/>
  <c r="D369" i="12"/>
  <c r="C369" i="12"/>
  <c r="I368" i="12"/>
  <c r="H368" i="12"/>
  <c r="D368" i="12"/>
  <c r="C368" i="12"/>
  <c r="I367" i="12"/>
  <c r="H367" i="12"/>
  <c r="D367" i="12"/>
  <c r="C367" i="12"/>
  <c r="I366" i="12"/>
  <c r="H366" i="12"/>
  <c r="D366" i="12"/>
  <c r="C366" i="12"/>
  <c r="I365" i="12"/>
  <c r="H365" i="12"/>
  <c r="D365" i="12"/>
  <c r="C365" i="12"/>
  <c r="I364" i="12"/>
  <c r="H364" i="12"/>
  <c r="D364" i="12"/>
  <c r="C364" i="12"/>
  <c r="I363" i="12"/>
  <c r="H363" i="12"/>
  <c r="D363" i="12"/>
  <c r="C363" i="12"/>
  <c r="I362" i="12"/>
  <c r="H362" i="12"/>
  <c r="D362" i="12"/>
  <c r="C362" i="12"/>
  <c r="I361" i="12"/>
  <c r="H361" i="12"/>
  <c r="D361" i="12"/>
  <c r="C361" i="12"/>
  <c r="I360" i="12"/>
  <c r="H360" i="12"/>
  <c r="D360" i="12"/>
  <c r="C360" i="12"/>
  <c r="I359" i="12"/>
  <c r="H359" i="12"/>
  <c r="D359" i="12"/>
  <c r="C359" i="12"/>
  <c r="I358" i="12"/>
  <c r="H358" i="12"/>
  <c r="D358" i="12"/>
  <c r="C358" i="12"/>
  <c r="I357" i="12"/>
  <c r="H357" i="12"/>
  <c r="D357" i="12"/>
  <c r="C357" i="12"/>
  <c r="I356" i="12"/>
  <c r="H356" i="12"/>
  <c r="D356" i="12"/>
  <c r="C356" i="12"/>
  <c r="D355" i="12"/>
  <c r="C355" i="12"/>
  <c r="D354" i="12"/>
  <c r="C354" i="12"/>
  <c r="I353" i="12"/>
  <c r="H353" i="12"/>
  <c r="D353" i="12"/>
  <c r="C353" i="12"/>
  <c r="I352" i="12"/>
  <c r="H352" i="12"/>
  <c r="D352" i="12"/>
  <c r="C352" i="12"/>
  <c r="I351" i="12"/>
  <c r="H351" i="12"/>
  <c r="D351" i="12"/>
  <c r="C351" i="12"/>
  <c r="I350" i="12"/>
  <c r="H350" i="12"/>
  <c r="D350" i="12"/>
  <c r="C350" i="12"/>
  <c r="I349" i="12"/>
  <c r="H349" i="12"/>
  <c r="D349" i="12"/>
  <c r="C349" i="12"/>
  <c r="I348" i="12"/>
  <c r="H348" i="12"/>
  <c r="D348" i="12"/>
  <c r="C348" i="12"/>
  <c r="I347" i="12"/>
  <c r="H347" i="12"/>
  <c r="D347" i="12"/>
  <c r="C347" i="12"/>
  <c r="I346" i="12"/>
  <c r="H346" i="12"/>
  <c r="D346" i="12"/>
  <c r="C346" i="12"/>
  <c r="I345" i="12"/>
  <c r="H345" i="12"/>
  <c r="D345" i="12"/>
  <c r="C345" i="12"/>
  <c r="I344" i="12"/>
  <c r="H344" i="12"/>
  <c r="D344" i="12"/>
  <c r="C344" i="12"/>
  <c r="I343" i="12"/>
  <c r="H343" i="12"/>
  <c r="D343" i="12"/>
  <c r="C343" i="12"/>
  <c r="I342" i="12"/>
  <c r="H342" i="12"/>
  <c r="D342" i="12"/>
  <c r="C342" i="12"/>
  <c r="I341" i="12"/>
  <c r="H341" i="12"/>
  <c r="D341" i="12"/>
  <c r="C341" i="12"/>
  <c r="I340" i="12"/>
  <c r="H340" i="12"/>
  <c r="D340" i="12"/>
  <c r="C340" i="12"/>
  <c r="I339" i="12"/>
  <c r="H339" i="12"/>
  <c r="D339" i="12"/>
  <c r="C339" i="12"/>
  <c r="I338" i="12"/>
  <c r="H338" i="12"/>
  <c r="D338" i="12"/>
  <c r="C338" i="12"/>
  <c r="I337" i="12"/>
  <c r="H337" i="12"/>
  <c r="D337" i="12"/>
  <c r="C337" i="12"/>
  <c r="I336" i="12"/>
  <c r="H336" i="12"/>
  <c r="D336" i="12"/>
  <c r="C336" i="12"/>
  <c r="I335" i="12"/>
  <c r="H335" i="12"/>
  <c r="D335" i="12"/>
  <c r="C335" i="12"/>
  <c r="I334" i="12"/>
  <c r="H334" i="12"/>
  <c r="D334" i="12"/>
  <c r="C334" i="12"/>
  <c r="D333" i="12"/>
  <c r="C333" i="12"/>
  <c r="D332" i="12"/>
  <c r="C332" i="12"/>
  <c r="I331" i="12"/>
  <c r="H331" i="12"/>
  <c r="D331" i="12"/>
  <c r="C331" i="12"/>
  <c r="I330" i="12"/>
  <c r="H330" i="12"/>
  <c r="D330" i="12"/>
  <c r="C330" i="12"/>
  <c r="I329" i="12"/>
  <c r="H329" i="12"/>
  <c r="D329" i="12"/>
  <c r="C329" i="12"/>
  <c r="I328" i="12"/>
  <c r="H328" i="12"/>
  <c r="D328" i="12"/>
  <c r="C328" i="12"/>
  <c r="I327" i="12"/>
  <c r="H327" i="12"/>
  <c r="D327" i="12"/>
  <c r="C327" i="12"/>
  <c r="I326" i="12"/>
  <c r="H326" i="12"/>
  <c r="D326" i="12"/>
  <c r="C326" i="12"/>
  <c r="I325" i="12"/>
  <c r="H325" i="12"/>
  <c r="D325" i="12"/>
  <c r="C325" i="12"/>
  <c r="I324" i="12"/>
  <c r="H324" i="12"/>
  <c r="D324" i="12"/>
  <c r="C324" i="12"/>
  <c r="I323" i="12"/>
  <c r="H323" i="12"/>
  <c r="D323" i="12"/>
  <c r="C323" i="12"/>
  <c r="I322" i="12"/>
  <c r="H322" i="12"/>
  <c r="D322" i="12"/>
  <c r="C322" i="12"/>
  <c r="I321" i="12"/>
  <c r="H321" i="12"/>
  <c r="D321" i="12"/>
  <c r="C321" i="12"/>
  <c r="I320" i="12"/>
  <c r="H320" i="12"/>
  <c r="D320" i="12"/>
  <c r="C320" i="12"/>
  <c r="I319" i="12"/>
  <c r="H319" i="12"/>
  <c r="D319" i="12"/>
  <c r="C319" i="12"/>
  <c r="I318" i="12"/>
  <c r="H318" i="12"/>
  <c r="D318" i="12"/>
  <c r="C318" i="12"/>
  <c r="I317" i="12"/>
  <c r="H317" i="12"/>
  <c r="D317" i="12"/>
  <c r="C317" i="12"/>
  <c r="I316" i="12"/>
  <c r="H316" i="12"/>
  <c r="D316" i="12"/>
  <c r="C316" i="12"/>
  <c r="I315" i="12"/>
  <c r="H315" i="12"/>
  <c r="D315" i="12"/>
  <c r="C315" i="12"/>
  <c r="I314" i="12"/>
  <c r="H314" i="12"/>
  <c r="D314" i="12"/>
  <c r="C314" i="12"/>
  <c r="I313" i="12"/>
  <c r="H313" i="12"/>
  <c r="D313" i="12"/>
  <c r="C313" i="12"/>
  <c r="I312" i="12"/>
  <c r="H312" i="12"/>
  <c r="D312" i="12"/>
  <c r="C312" i="12"/>
  <c r="D311" i="12"/>
  <c r="C311" i="12"/>
  <c r="D310" i="12"/>
  <c r="C310" i="12"/>
  <c r="I309" i="12"/>
  <c r="H309" i="12"/>
  <c r="D309" i="12"/>
  <c r="C309" i="12"/>
  <c r="I308" i="12"/>
  <c r="H308" i="12"/>
  <c r="D308" i="12"/>
  <c r="C308" i="12"/>
  <c r="I307" i="12"/>
  <c r="H307" i="12"/>
  <c r="D307" i="12"/>
  <c r="C307" i="12"/>
  <c r="I306" i="12"/>
  <c r="H306" i="12"/>
  <c r="D306" i="12"/>
  <c r="C306" i="12"/>
  <c r="I305" i="12"/>
  <c r="H305" i="12"/>
  <c r="D305" i="12"/>
  <c r="C305" i="12"/>
  <c r="I304" i="12"/>
  <c r="H304" i="12"/>
  <c r="D304" i="12"/>
  <c r="C304" i="12"/>
  <c r="I303" i="12"/>
  <c r="H303" i="12"/>
  <c r="D303" i="12"/>
  <c r="C303" i="12"/>
  <c r="I302" i="12"/>
  <c r="H302" i="12"/>
  <c r="D302" i="12"/>
  <c r="C302" i="12"/>
  <c r="I301" i="12"/>
  <c r="H301" i="12"/>
  <c r="D301" i="12"/>
  <c r="C301" i="12"/>
  <c r="I300" i="12"/>
  <c r="H300" i="12"/>
  <c r="D300" i="12"/>
  <c r="C300" i="12"/>
  <c r="I299" i="12"/>
  <c r="H299" i="12"/>
  <c r="D299" i="12"/>
  <c r="C299" i="12"/>
  <c r="I298" i="12"/>
  <c r="H298" i="12"/>
  <c r="D298" i="12"/>
  <c r="C298" i="12"/>
  <c r="I297" i="12"/>
  <c r="H297" i="12"/>
  <c r="D297" i="12"/>
  <c r="C297" i="12"/>
  <c r="I296" i="12"/>
  <c r="H296" i="12"/>
  <c r="D296" i="12"/>
  <c r="C296" i="12"/>
  <c r="I295" i="12"/>
  <c r="H295" i="12"/>
  <c r="D295" i="12"/>
  <c r="C295" i="12"/>
  <c r="I294" i="12"/>
  <c r="H294" i="12"/>
  <c r="D294" i="12"/>
  <c r="C294" i="12"/>
  <c r="I293" i="12"/>
  <c r="H293" i="12"/>
  <c r="D293" i="12"/>
  <c r="C293" i="12"/>
  <c r="I292" i="12"/>
  <c r="H292" i="12"/>
  <c r="D292" i="12"/>
  <c r="C292" i="12"/>
  <c r="I291" i="12"/>
  <c r="H291" i="12"/>
  <c r="D291" i="12"/>
  <c r="C291" i="12"/>
  <c r="I290" i="12"/>
  <c r="H290" i="12"/>
  <c r="D290" i="12"/>
  <c r="C290" i="12"/>
  <c r="D289" i="12"/>
  <c r="C289" i="12"/>
  <c r="D288" i="12"/>
  <c r="C288" i="12"/>
  <c r="I287" i="12"/>
  <c r="H287" i="12"/>
  <c r="D287" i="12"/>
  <c r="C287" i="12"/>
  <c r="I286" i="12"/>
  <c r="H286" i="12"/>
  <c r="D286" i="12"/>
  <c r="C286" i="12"/>
  <c r="I285" i="12"/>
  <c r="H285" i="12"/>
  <c r="D285" i="12"/>
  <c r="C285" i="12"/>
  <c r="I284" i="12"/>
  <c r="H284" i="12"/>
  <c r="D284" i="12"/>
  <c r="C284" i="12"/>
  <c r="I283" i="12"/>
  <c r="H283" i="12"/>
  <c r="D283" i="12"/>
  <c r="C283" i="12"/>
  <c r="I282" i="12"/>
  <c r="H282" i="12"/>
  <c r="D282" i="12"/>
  <c r="C282" i="12"/>
  <c r="I281" i="12"/>
  <c r="H281" i="12"/>
  <c r="D281" i="12"/>
  <c r="C281" i="12"/>
  <c r="I280" i="12"/>
  <c r="H280" i="12"/>
  <c r="D280" i="12"/>
  <c r="C280" i="12"/>
  <c r="I279" i="12"/>
  <c r="H279" i="12"/>
  <c r="D279" i="12"/>
  <c r="C279" i="12"/>
  <c r="I278" i="12"/>
  <c r="H278" i="12"/>
  <c r="D278" i="12"/>
  <c r="C278" i="12"/>
  <c r="I277" i="12"/>
  <c r="H277" i="12"/>
  <c r="D277" i="12"/>
  <c r="C277" i="12"/>
  <c r="I276" i="12"/>
  <c r="H276" i="12"/>
  <c r="D276" i="12"/>
  <c r="C276" i="12"/>
  <c r="I275" i="12"/>
  <c r="H275" i="12"/>
  <c r="D275" i="12"/>
  <c r="C275" i="12"/>
  <c r="I274" i="12"/>
  <c r="H274" i="12"/>
  <c r="D274" i="12"/>
  <c r="C274" i="12"/>
  <c r="I273" i="12"/>
  <c r="H273" i="12"/>
  <c r="D273" i="12"/>
  <c r="C273" i="12"/>
  <c r="I272" i="12"/>
  <c r="H272" i="12"/>
  <c r="D272" i="12"/>
  <c r="C272" i="12"/>
  <c r="I271" i="12"/>
  <c r="H271" i="12"/>
  <c r="D271" i="12"/>
  <c r="C271" i="12"/>
  <c r="I270" i="12"/>
  <c r="H270" i="12"/>
  <c r="D270" i="12"/>
  <c r="C270" i="12"/>
  <c r="I269" i="12"/>
  <c r="H269" i="12"/>
  <c r="D269" i="12"/>
  <c r="C269" i="12"/>
  <c r="I268" i="12"/>
  <c r="H268" i="12"/>
  <c r="D268" i="12"/>
  <c r="C268" i="12"/>
  <c r="D267" i="12"/>
  <c r="C267" i="12"/>
  <c r="D266" i="12"/>
  <c r="C266" i="12"/>
  <c r="I265" i="12"/>
  <c r="H265" i="12"/>
  <c r="D265" i="12"/>
  <c r="C265" i="12"/>
  <c r="I264" i="12"/>
  <c r="H264" i="12"/>
  <c r="D264" i="12"/>
  <c r="C264" i="12"/>
  <c r="I263" i="12"/>
  <c r="H263" i="12"/>
  <c r="D263" i="12"/>
  <c r="C263" i="12"/>
  <c r="I262" i="12"/>
  <c r="H262" i="12"/>
  <c r="D262" i="12"/>
  <c r="C262" i="12"/>
  <c r="I261" i="12"/>
  <c r="H261" i="12"/>
  <c r="D261" i="12"/>
  <c r="C261" i="12"/>
  <c r="I260" i="12"/>
  <c r="H260" i="12"/>
  <c r="D260" i="12"/>
  <c r="C260" i="12"/>
  <c r="I259" i="12"/>
  <c r="H259" i="12"/>
  <c r="D259" i="12"/>
  <c r="C259" i="12"/>
  <c r="I258" i="12"/>
  <c r="H258" i="12"/>
  <c r="D258" i="12"/>
  <c r="C258" i="12"/>
  <c r="I257" i="12"/>
  <c r="H257" i="12"/>
  <c r="D257" i="12"/>
  <c r="C257" i="12"/>
  <c r="I256" i="12"/>
  <c r="H256" i="12"/>
  <c r="D256" i="12"/>
  <c r="C256" i="12"/>
  <c r="I255" i="12"/>
  <c r="H255" i="12"/>
  <c r="D255" i="12"/>
  <c r="C255" i="12"/>
  <c r="I254" i="12"/>
  <c r="H254" i="12"/>
  <c r="D254" i="12"/>
  <c r="C254" i="12"/>
  <c r="I253" i="12"/>
  <c r="H253" i="12"/>
  <c r="D253" i="12"/>
  <c r="C253" i="12"/>
  <c r="I252" i="12"/>
  <c r="H252" i="12"/>
  <c r="D252" i="12"/>
  <c r="C252" i="12"/>
  <c r="I251" i="12"/>
  <c r="H251" i="12"/>
  <c r="D251" i="12"/>
  <c r="C251" i="12"/>
  <c r="I250" i="12"/>
  <c r="H250" i="12"/>
  <c r="D250" i="12"/>
  <c r="C250" i="12"/>
  <c r="I249" i="12"/>
  <c r="H249" i="12"/>
  <c r="D249" i="12"/>
  <c r="C249" i="12"/>
  <c r="I248" i="12"/>
  <c r="H248" i="12"/>
  <c r="D248" i="12"/>
  <c r="C248" i="12"/>
  <c r="I247" i="12"/>
  <c r="H247" i="12"/>
  <c r="D247" i="12"/>
  <c r="C247" i="12"/>
  <c r="I246" i="12"/>
  <c r="H246" i="12"/>
  <c r="D246" i="12"/>
  <c r="C246" i="12"/>
  <c r="D245" i="12"/>
  <c r="C245" i="12"/>
  <c r="D244" i="12"/>
  <c r="C244" i="12"/>
  <c r="I243" i="12"/>
  <c r="H243" i="12"/>
  <c r="D243" i="12"/>
  <c r="C243" i="12"/>
  <c r="I242" i="12"/>
  <c r="H242" i="12"/>
  <c r="D242" i="12"/>
  <c r="C242" i="12"/>
  <c r="I241" i="12"/>
  <c r="H241" i="12"/>
  <c r="D241" i="12"/>
  <c r="C241" i="12"/>
  <c r="I240" i="12"/>
  <c r="H240" i="12"/>
  <c r="D240" i="12"/>
  <c r="C240" i="12"/>
  <c r="I239" i="12"/>
  <c r="H239" i="12"/>
  <c r="D239" i="12"/>
  <c r="C239" i="12"/>
  <c r="I238" i="12"/>
  <c r="H238" i="12"/>
  <c r="D238" i="12"/>
  <c r="C238" i="12"/>
  <c r="I237" i="12"/>
  <c r="H237" i="12"/>
  <c r="D237" i="12"/>
  <c r="C237" i="12"/>
  <c r="I236" i="12"/>
  <c r="H236" i="12"/>
  <c r="D236" i="12"/>
  <c r="C236" i="12"/>
  <c r="I235" i="12"/>
  <c r="H235" i="12"/>
  <c r="D235" i="12"/>
  <c r="C235" i="12"/>
  <c r="I234" i="12"/>
  <c r="H234" i="12"/>
  <c r="D234" i="12"/>
  <c r="C234" i="12"/>
  <c r="I233" i="12"/>
  <c r="H233" i="12"/>
  <c r="D233" i="12"/>
  <c r="C233" i="12"/>
  <c r="I232" i="12"/>
  <c r="H232" i="12"/>
  <c r="D232" i="12"/>
  <c r="C232" i="12"/>
  <c r="I231" i="12"/>
  <c r="H231" i="12"/>
  <c r="D231" i="12"/>
  <c r="C231" i="12"/>
  <c r="I230" i="12"/>
  <c r="H230" i="12"/>
  <c r="D230" i="12"/>
  <c r="C230" i="12"/>
  <c r="I229" i="12"/>
  <c r="H229" i="12"/>
  <c r="D229" i="12"/>
  <c r="C229" i="12"/>
  <c r="I228" i="12"/>
  <c r="H228" i="12"/>
  <c r="D228" i="12"/>
  <c r="C228" i="12"/>
  <c r="I227" i="12"/>
  <c r="H227" i="12"/>
  <c r="D227" i="12"/>
  <c r="C227" i="12"/>
  <c r="I226" i="12"/>
  <c r="H226" i="12"/>
  <c r="D226" i="12"/>
  <c r="C226" i="12"/>
  <c r="I225" i="12"/>
  <c r="H225" i="12"/>
  <c r="D225" i="12"/>
  <c r="C225" i="12"/>
  <c r="I224" i="12"/>
  <c r="H224" i="12"/>
  <c r="D224" i="12"/>
  <c r="C224" i="12"/>
  <c r="D223" i="12"/>
  <c r="C223" i="12"/>
  <c r="D222" i="12"/>
  <c r="C222" i="12"/>
  <c r="I221" i="12"/>
  <c r="H221" i="12"/>
  <c r="D221" i="12"/>
  <c r="C221" i="12"/>
  <c r="I220" i="12"/>
  <c r="H220" i="12"/>
  <c r="D220" i="12"/>
  <c r="C220" i="12"/>
  <c r="I219" i="12"/>
  <c r="H219" i="12"/>
  <c r="D219" i="12"/>
  <c r="C219" i="12"/>
  <c r="I218" i="12"/>
  <c r="H218" i="12"/>
  <c r="D218" i="12"/>
  <c r="C218" i="12"/>
  <c r="I217" i="12"/>
  <c r="H217" i="12"/>
  <c r="D217" i="12"/>
  <c r="C217" i="12"/>
  <c r="I216" i="12"/>
  <c r="H216" i="12"/>
  <c r="D216" i="12"/>
  <c r="C216" i="12"/>
  <c r="I215" i="12"/>
  <c r="H215" i="12"/>
  <c r="D215" i="12"/>
  <c r="C215" i="12"/>
  <c r="I214" i="12"/>
  <c r="H214" i="12"/>
  <c r="D214" i="12"/>
  <c r="C214" i="12"/>
  <c r="I213" i="12"/>
  <c r="H213" i="12"/>
  <c r="D213" i="12"/>
  <c r="C213" i="12"/>
  <c r="I212" i="12"/>
  <c r="H212" i="12"/>
  <c r="D212" i="12"/>
  <c r="C212" i="12"/>
  <c r="I211" i="12"/>
  <c r="H211" i="12"/>
  <c r="D211" i="12"/>
  <c r="C211" i="12"/>
  <c r="I210" i="12"/>
  <c r="H210" i="12"/>
  <c r="D210" i="12"/>
  <c r="C210" i="12"/>
  <c r="I209" i="12"/>
  <c r="H209" i="12"/>
  <c r="D209" i="12"/>
  <c r="C209" i="12"/>
  <c r="I208" i="12"/>
  <c r="H208" i="12"/>
  <c r="D208" i="12"/>
  <c r="C208" i="12"/>
  <c r="I207" i="12"/>
  <c r="H207" i="12"/>
  <c r="D207" i="12"/>
  <c r="C207" i="12"/>
  <c r="I206" i="12"/>
  <c r="H206" i="12"/>
  <c r="D206" i="12"/>
  <c r="C206" i="12"/>
  <c r="I205" i="12"/>
  <c r="H205" i="12"/>
  <c r="D205" i="12"/>
  <c r="C205" i="12"/>
  <c r="I204" i="12"/>
  <c r="H204" i="12"/>
  <c r="D204" i="12"/>
  <c r="C204" i="12"/>
  <c r="I203" i="12"/>
  <c r="H203" i="12"/>
  <c r="D203" i="12"/>
  <c r="C203" i="12"/>
  <c r="I202" i="12"/>
  <c r="H202" i="12"/>
  <c r="D202" i="12"/>
  <c r="C202" i="12"/>
  <c r="D201" i="12"/>
  <c r="C201" i="12"/>
  <c r="D200" i="12"/>
  <c r="C200" i="12"/>
  <c r="I199" i="12"/>
  <c r="H199" i="12"/>
  <c r="D199" i="12"/>
  <c r="C199" i="12"/>
  <c r="I198" i="12"/>
  <c r="H198" i="12"/>
  <c r="D198" i="12"/>
  <c r="C198" i="12"/>
  <c r="I197" i="12"/>
  <c r="H197" i="12"/>
  <c r="D197" i="12"/>
  <c r="C197" i="12"/>
  <c r="I196" i="12"/>
  <c r="H196" i="12"/>
  <c r="D196" i="12"/>
  <c r="C196" i="12"/>
  <c r="I195" i="12"/>
  <c r="H195" i="12"/>
  <c r="D195" i="12"/>
  <c r="C195" i="12"/>
  <c r="I194" i="12"/>
  <c r="H194" i="12"/>
  <c r="D194" i="12"/>
  <c r="C194" i="12"/>
  <c r="I193" i="12"/>
  <c r="H193" i="12"/>
  <c r="D193" i="12"/>
  <c r="C193" i="12"/>
  <c r="I192" i="12"/>
  <c r="H192" i="12"/>
  <c r="D192" i="12"/>
  <c r="C192" i="12"/>
  <c r="I191" i="12"/>
  <c r="H191" i="12"/>
  <c r="D191" i="12"/>
  <c r="C191" i="12"/>
  <c r="I190" i="12"/>
  <c r="H190" i="12"/>
  <c r="D190" i="12"/>
  <c r="C190" i="12"/>
  <c r="I189" i="12"/>
  <c r="H189" i="12"/>
  <c r="D189" i="12"/>
  <c r="C189" i="12"/>
  <c r="I188" i="12"/>
  <c r="H188" i="12"/>
  <c r="D188" i="12"/>
  <c r="C188" i="12"/>
  <c r="I187" i="12"/>
  <c r="H187" i="12"/>
  <c r="D187" i="12"/>
  <c r="C187" i="12"/>
  <c r="I186" i="12"/>
  <c r="H186" i="12"/>
  <c r="D186" i="12"/>
  <c r="C186" i="12"/>
  <c r="I185" i="12"/>
  <c r="H185" i="12"/>
  <c r="D185" i="12"/>
  <c r="C185" i="12"/>
  <c r="I184" i="12"/>
  <c r="H184" i="12"/>
  <c r="D184" i="12"/>
  <c r="C184" i="12"/>
  <c r="I183" i="12"/>
  <c r="H183" i="12"/>
  <c r="D183" i="12"/>
  <c r="C183" i="12"/>
  <c r="I182" i="12"/>
  <c r="H182" i="12"/>
  <c r="D182" i="12"/>
  <c r="C182" i="12"/>
  <c r="I181" i="12"/>
  <c r="H181" i="12"/>
  <c r="D181" i="12"/>
  <c r="C181" i="12"/>
  <c r="I180" i="12"/>
  <c r="H180" i="12"/>
  <c r="D180" i="12"/>
  <c r="C180" i="12"/>
  <c r="D179" i="12"/>
  <c r="C179" i="12"/>
  <c r="D178" i="12"/>
  <c r="C178" i="12"/>
  <c r="I177" i="12"/>
  <c r="H177" i="12"/>
  <c r="D177" i="12"/>
  <c r="C177" i="12"/>
  <c r="I176" i="12"/>
  <c r="H176" i="12"/>
  <c r="D176" i="12"/>
  <c r="C176" i="12"/>
  <c r="I175" i="12"/>
  <c r="H175" i="12"/>
  <c r="D175" i="12"/>
  <c r="C175" i="12"/>
  <c r="I174" i="12"/>
  <c r="H174" i="12"/>
  <c r="D174" i="12"/>
  <c r="C174" i="12"/>
  <c r="I173" i="12"/>
  <c r="H173" i="12"/>
  <c r="D173" i="12"/>
  <c r="C173" i="12"/>
  <c r="I172" i="12"/>
  <c r="H172" i="12"/>
  <c r="D172" i="12"/>
  <c r="C172" i="12"/>
  <c r="I171" i="12"/>
  <c r="H171" i="12"/>
  <c r="D171" i="12"/>
  <c r="C171" i="12"/>
  <c r="I170" i="12"/>
  <c r="H170" i="12"/>
  <c r="D170" i="12"/>
  <c r="C170" i="12"/>
  <c r="I169" i="12"/>
  <c r="H169" i="12"/>
  <c r="D169" i="12"/>
  <c r="C169" i="12"/>
  <c r="I168" i="12"/>
  <c r="H168" i="12"/>
  <c r="D168" i="12"/>
  <c r="C168" i="12"/>
  <c r="I167" i="12"/>
  <c r="H167" i="12"/>
  <c r="D167" i="12"/>
  <c r="C167" i="12"/>
  <c r="I166" i="12"/>
  <c r="H166" i="12"/>
  <c r="D166" i="12"/>
  <c r="C166" i="12"/>
  <c r="I165" i="12"/>
  <c r="H165" i="12"/>
  <c r="D165" i="12"/>
  <c r="C165" i="12"/>
  <c r="I164" i="12"/>
  <c r="H164" i="12"/>
  <c r="D164" i="12"/>
  <c r="C164" i="12"/>
  <c r="I163" i="12"/>
  <c r="H163" i="12"/>
  <c r="D163" i="12"/>
  <c r="C163" i="12"/>
  <c r="I162" i="12"/>
  <c r="H162" i="12"/>
  <c r="D162" i="12"/>
  <c r="C162" i="12"/>
  <c r="I161" i="12"/>
  <c r="H161" i="12"/>
  <c r="D161" i="12"/>
  <c r="C161" i="12"/>
  <c r="I160" i="12"/>
  <c r="H160" i="12"/>
  <c r="D160" i="12"/>
  <c r="C160" i="12"/>
  <c r="I159" i="12"/>
  <c r="H159" i="12"/>
  <c r="D159" i="12"/>
  <c r="C159" i="12"/>
  <c r="I158" i="12"/>
  <c r="H158" i="12"/>
  <c r="D158" i="12"/>
  <c r="C158" i="12"/>
  <c r="D157" i="12"/>
  <c r="C157" i="12"/>
  <c r="D156" i="12"/>
  <c r="C156" i="12"/>
  <c r="I155" i="12"/>
  <c r="H155" i="12"/>
  <c r="D155" i="12"/>
  <c r="C155" i="12"/>
  <c r="I154" i="12"/>
  <c r="H154" i="12"/>
  <c r="D154" i="12"/>
  <c r="C154" i="12"/>
  <c r="I153" i="12"/>
  <c r="H153" i="12"/>
  <c r="D153" i="12"/>
  <c r="C153" i="12"/>
  <c r="I152" i="12"/>
  <c r="H152" i="12"/>
  <c r="D152" i="12"/>
  <c r="C152" i="12"/>
  <c r="I151" i="12"/>
  <c r="H151" i="12"/>
  <c r="D151" i="12"/>
  <c r="C151" i="12"/>
  <c r="I150" i="12"/>
  <c r="H150" i="12"/>
  <c r="D150" i="12"/>
  <c r="C150" i="12"/>
  <c r="I149" i="12"/>
  <c r="H149" i="12"/>
  <c r="D149" i="12"/>
  <c r="C149" i="12"/>
  <c r="I148" i="12"/>
  <c r="H148" i="12"/>
  <c r="D148" i="12"/>
  <c r="C148" i="12"/>
  <c r="I147" i="12"/>
  <c r="H147" i="12"/>
  <c r="D147" i="12"/>
  <c r="C147" i="12"/>
  <c r="I146" i="12"/>
  <c r="H146" i="12"/>
  <c r="D146" i="12"/>
  <c r="C146" i="12"/>
  <c r="I145" i="12"/>
  <c r="H145" i="12"/>
  <c r="D145" i="12"/>
  <c r="C145" i="12"/>
  <c r="I144" i="12"/>
  <c r="H144" i="12"/>
  <c r="D144" i="12"/>
  <c r="C144" i="12"/>
  <c r="I143" i="12"/>
  <c r="H143" i="12"/>
  <c r="D143" i="12"/>
  <c r="C143" i="12"/>
  <c r="I142" i="12"/>
  <c r="H142" i="12"/>
  <c r="D142" i="12"/>
  <c r="C142" i="12"/>
  <c r="I141" i="12"/>
  <c r="H141" i="12"/>
  <c r="D141" i="12"/>
  <c r="C141" i="12"/>
  <c r="I140" i="12"/>
  <c r="H140" i="12"/>
  <c r="D140" i="12"/>
  <c r="C140" i="12"/>
  <c r="I139" i="12"/>
  <c r="H139" i="12"/>
  <c r="D139" i="12"/>
  <c r="C139" i="12"/>
  <c r="I138" i="12"/>
  <c r="H138" i="12"/>
  <c r="D138" i="12"/>
  <c r="C138" i="12"/>
  <c r="I137" i="12"/>
  <c r="H137" i="12"/>
  <c r="D137" i="12"/>
  <c r="C137" i="12"/>
  <c r="I136" i="12"/>
  <c r="H136" i="12"/>
  <c r="D136" i="12"/>
  <c r="C136" i="12"/>
  <c r="D135" i="12"/>
  <c r="C135" i="12"/>
  <c r="D134" i="12"/>
  <c r="C134" i="12"/>
  <c r="I133" i="12"/>
  <c r="H133" i="12"/>
  <c r="D133" i="12"/>
  <c r="C133" i="12"/>
  <c r="I132" i="12"/>
  <c r="H132" i="12"/>
  <c r="D132" i="12"/>
  <c r="C132" i="12"/>
  <c r="I131" i="12"/>
  <c r="H131" i="12"/>
  <c r="D131" i="12"/>
  <c r="C131" i="12"/>
  <c r="I130" i="12"/>
  <c r="H130" i="12"/>
  <c r="D130" i="12"/>
  <c r="C130" i="12"/>
  <c r="I129" i="12"/>
  <c r="H129" i="12"/>
  <c r="D129" i="12"/>
  <c r="C129" i="12"/>
  <c r="I128" i="12"/>
  <c r="H128" i="12"/>
  <c r="D128" i="12"/>
  <c r="C128" i="12"/>
  <c r="I127" i="12"/>
  <c r="H127" i="12"/>
  <c r="D127" i="12"/>
  <c r="C127" i="12"/>
  <c r="I126" i="12"/>
  <c r="H126" i="12"/>
  <c r="D126" i="12"/>
  <c r="C126" i="12"/>
  <c r="I125" i="12"/>
  <c r="H125" i="12"/>
  <c r="D125" i="12"/>
  <c r="C125" i="12"/>
  <c r="I124" i="12"/>
  <c r="H124" i="12"/>
  <c r="D124" i="12"/>
  <c r="C124" i="12"/>
  <c r="I123" i="12"/>
  <c r="H123" i="12"/>
  <c r="D123" i="12"/>
  <c r="C123" i="12"/>
  <c r="I122" i="12"/>
  <c r="H122" i="12"/>
  <c r="D122" i="12"/>
  <c r="C122" i="12"/>
  <c r="I121" i="12"/>
  <c r="H121" i="12"/>
  <c r="D121" i="12"/>
  <c r="C121" i="12"/>
  <c r="I120" i="12"/>
  <c r="H120" i="12"/>
  <c r="D120" i="12"/>
  <c r="C120" i="12"/>
  <c r="I119" i="12"/>
  <c r="H119" i="12"/>
  <c r="D119" i="12"/>
  <c r="C119" i="12"/>
  <c r="I118" i="12"/>
  <c r="H118" i="12"/>
  <c r="D118" i="12"/>
  <c r="C118" i="12"/>
  <c r="I117" i="12"/>
  <c r="H117" i="12"/>
  <c r="D117" i="12"/>
  <c r="C117" i="12"/>
  <c r="I116" i="12"/>
  <c r="H116" i="12"/>
  <c r="D116" i="12"/>
  <c r="C116" i="12"/>
  <c r="I115" i="12"/>
  <c r="H115" i="12"/>
  <c r="D115" i="12"/>
  <c r="C115" i="12"/>
  <c r="I114" i="12"/>
  <c r="H114" i="12"/>
  <c r="D114" i="12"/>
  <c r="C114" i="12"/>
  <c r="D113" i="12"/>
  <c r="C113" i="12"/>
  <c r="D112" i="12"/>
  <c r="C112" i="12"/>
  <c r="I111" i="12"/>
  <c r="H111" i="12"/>
  <c r="D111" i="12"/>
  <c r="C111" i="12"/>
  <c r="I110" i="12"/>
  <c r="H110" i="12"/>
  <c r="D110" i="12"/>
  <c r="C110" i="12"/>
  <c r="I109" i="12"/>
  <c r="H109" i="12"/>
  <c r="D109" i="12"/>
  <c r="C109" i="12"/>
  <c r="I108" i="12"/>
  <c r="H108" i="12"/>
  <c r="D108" i="12"/>
  <c r="C108" i="12"/>
  <c r="I107" i="12"/>
  <c r="H107" i="12"/>
  <c r="D107" i="12"/>
  <c r="C107" i="12"/>
  <c r="I106" i="12"/>
  <c r="H106" i="12"/>
  <c r="D106" i="12"/>
  <c r="C106" i="12"/>
  <c r="I105" i="12"/>
  <c r="H105" i="12"/>
  <c r="D105" i="12"/>
  <c r="C105" i="12"/>
  <c r="I104" i="12"/>
  <c r="H104" i="12"/>
  <c r="D104" i="12"/>
  <c r="C104" i="12"/>
  <c r="I103" i="12"/>
  <c r="H103" i="12"/>
  <c r="D103" i="12"/>
  <c r="C103" i="12"/>
  <c r="I102" i="12"/>
  <c r="H102" i="12"/>
  <c r="D102" i="12"/>
  <c r="C102" i="12"/>
  <c r="I101" i="12"/>
  <c r="H101" i="12"/>
  <c r="D101" i="12"/>
  <c r="C101" i="12"/>
  <c r="I100" i="12"/>
  <c r="H100" i="12"/>
  <c r="D100" i="12"/>
  <c r="C100" i="12"/>
  <c r="I99" i="12"/>
  <c r="H99" i="12"/>
  <c r="D99" i="12"/>
  <c r="C99" i="12"/>
  <c r="I98" i="12"/>
  <c r="H98" i="12"/>
  <c r="D98" i="12"/>
  <c r="C98" i="12"/>
  <c r="I97" i="12"/>
  <c r="H97" i="12"/>
  <c r="D97" i="12"/>
  <c r="C97" i="12"/>
  <c r="I96" i="12"/>
  <c r="H96" i="12"/>
  <c r="D96" i="12"/>
  <c r="C96" i="12"/>
  <c r="I95" i="12"/>
  <c r="H95" i="12"/>
  <c r="D95" i="12"/>
  <c r="C95" i="12"/>
  <c r="I94" i="12"/>
  <c r="H94" i="12"/>
  <c r="D94" i="12"/>
  <c r="C94" i="12"/>
  <c r="I93" i="12"/>
  <c r="H93" i="12"/>
  <c r="D93" i="12"/>
  <c r="C93" i="12"/>
  <c r="I92" i="12"/>
  <c r="H92" i="12"/>
  <c r="D92" i="12"/>
  <c r="C92" i="12"/>
  <c r="D91" i="12"/>
  <c r="C91" i="12"/>
  <c r="D90" i="12"/>
  <c r="C90" i="12"/>
  <c r="I89" i="12"/>
  <c r="H89" i="12"/>
  <c r="D89" i="12"/>
  <c r="C89" i="12"/>
  <c r="I88" i="12"/>
  <c r="H88" i="12"/>
  <c r="D88" i="12"/>
  <c r="C88" i="12"/>
  <c r="I87" i="12"/>
  <c r="H87" i="12"/>
  <c r="D87" i="12"/>
  <c r="C87" i="12"/>
  <c r="I86" i="12"/>
  <c r="H86" i="12"/>
  <c r="D86" i="12"/>
  <c r="C86" i="12"/>
  <c r="I85" i="12"/>
  <c r="H85" i="12"/>
  <c r="D85" i="12"/>
  <c r="C85" i="12"/>
  <c r="I84" i="12"/>
  <c r="H84" i="12"/>
  <c r="D84" i="12"/>
  <c r="C84" i="12"/>
  <c r="I83" i="12"/>
  <c r="H83" i="12"/>
  <c r="D83" i="12"/>
  <c r="C83" i="12"/>
  <c r="I82" i="12"/>
  <c r="H82" i="12"/>
  <c r="D82" i="12"/>
  <c r="C82" i="12"/>
  <c r="I81" i="12"/>
  <c r="H81" i="12"/>
  <c r="D81" i="12"/>
  <c r="C81" i="12"/>
  <c r="I80" i="12"/>
  <c r="H80" i="12"/>
  <c r="D80" i="12"/>
  <c r="C80" i="12"/>
  <c r="I79" i="12"/>
  <c r="H79" i="12"/>
  <c r="D79" i="12"/>
  <c r="C79" i="12"/>
  <c r="I78" i="12"/>
  <c r="H78" i="12"/>
  <c r="D78" i="12"/>
  <c r="C78" i="12"/>
  <c r="I77" i="12"/>
  <c r="H77" i="12"/>
  <c r="D77" i="12"/>
  <c r="C77" i="12"/>
  <c r="I76" i="12"/>
  <c r="H76" i="12"/>
  <c r="D76" i="12"/>
  <c r="C76" i="12"/>
  <c r="I75" i="12"/>
  <c r="H75" i="12"/>
  <c r="D75" i="12"/>
  <c r="C75" i="12"/>
  <c r="I74" i="12"/>
  <c r="H74" i="12"/>
  <c r="D74" i="12"/>
  <c r="C74" i="12"/>
  <c r="I73" i="12"/>
  <c r="H73" i="12"/>
  <c r="D73" i="12"/>
  <c r="C73" i="12"/>
  <c r="I72" i="12"/>
  <c r="H72" i="12"/>
  <c r="D72" i="12"/>
  <c r="C72" i="12"/>
  <c r="I71" i="12"/>
  <c r="H71" i="12"/>
  <c r="D71" i="12"/>
  <c r="C71" i="12"/>
  <c r="I70" i="12"/>
  <c r="H70" i="12"/>
  <c r="D70" i="12"/>
  <c r="C70" i="12"/>
  <c r="D69" i="12"/>
  <c r="C69" i="12"/>
  <c r="D68" i="12"/>
  <c r="C68" i="12"/>
  <c r="I67" i="12"/>
  <c r="H67" i="12"/>
  <c r="D67" i="12"/>
  <c r="C67" i="12"/>
  <c r="I66" i="12"/>
  <c r="H66" i="12"/>
  <c r="D66" i="12"/>
  <c r="C66" i="12"/>
  <c r="I65" i="12"/>
  <c r="H65" i="12"/>
  <c r="D65" i="12"/>
  <c r="C65" i="12"/>
  <c r="I64" i="12"/>
  <c r="H64" i="12"/>
  <c r="D64" i="12"/>
  <c r="C64" i="12"/>
  <c r="I63" i="12"/>
  <c r="H63" i="12"/>
  <c r="D63" i="12"/>
  <c r="C63" i="12"/>
  <c r="I62" i="12"/>
  <c r="H62" i="12"/>
  <c r="D62" i="12"/>
  <c r="C62" i="12"/>
  <c r="I61" i="12"/>
  <c r="H61" i="12"/>
  <c r="D61" i="12"/>
  <c r="C61" i="12"/>
  <c r="I60" i="12"/>
  <c r="H60" i="12"/>
  <c r="D60" i="12"/>
  <c r="C60" i="12"/>
  <c r="I59" i="12"/>
  <c r="H59" i="12"/>
  <c r="D59" i="12"/>
  <c r="C59" i="12"/>
  <c r="I58" i="12"/>
  <c r="H58" i="12"/>
  <c r="D58" i="12"/>
  <c r="C58" i="12"/>
  <c r="I57" i="12"/>
  <c r="H57" i="12"/>
  <c r="D57" i="12"/>
  <c r="C57" i="12"/>
  <c r="I56" i="12"/>
  <c r="H56" i="12"/>
  <c r="D56" i="12"/>
  <c r="C56" i="12"/>
  <c r="I55" i="12"/>
  <c r="H55" i="12"/>
  <c r="D55" i="12"/>
  <c r="C55" i="12"/>
  <c r="I54" i="12"/>
  <c r="H54" i="12"/>
  <c r="D54" i="12"/>
  <c r="C54" i="12"/>
  <c r="I53" i="12"/>
  <c r="H53" i="12"/>
  <c r="D53" i="12"/>
  <c r="C53" i="12"/>
  <c r="I52" i="12"/>
  <c r="H52" i="12"/>
  <c r="D52" i="12"/>
  <c r="C52" i="12"/>
  <c r="I51" i="12"/>
  <c r="H51" i="12"/>
  <c r="D51" i="12"/>
  <c r="C51" i="12"/>
  <c r="I50" i="12"/>
  <c r="H50" i="12"/>
  <c r="D50" i="12"/>
  <c r="C50" i="12"/>
  <c r="I49" i="12"/>
  <c r="H49" i="12"/>
  <c r="D49" i="12"/>
  <c r="C49" i="12"/>
  <c r="I48" i="12"/>
  <c r="H48" i="12"/>
  <c r="D48" i="12"/>
  <c r="C48" i="12"/>
  <c r="D47" i="12"/>
  <c r="C47" i="12"/>
  <c r="D46" i="12"/>
  <c r="C46" i="12"/>
  <c r="I45" i="12"/>
  <c r="H45" i="12"/>
  <c r="D45" i="12"/>
  <c r="C45" i="12"/>
  <c r="I44" i="12"/>
  <c r="H44" i="12"/>
  <c r="D44" i="12"/>
  <c r="C44" i="12"/>
  <c r="I43" i="12"/>
  <c r="H43" i="12"/>
  <c r="D43" i="12"/>
  <c r="C43" i="12"/>
  <c r="I42" i="12"/>
  <c r="H42" i="12"/>
  <c r="D42" i="12"/>
  <c r="C42" i="12"/>
  <c r="I41" i="12"/>
  <c r="H41" i="12"/>
  <c r="D41" i="12"/>
  <c r="C41" i="12"/>
  <c r="I40" i="12"/>
  <c r="H40" i="12"/>
  <c r="D40" i="12"/>
  <c r="C40" i="12"/>
  <c r="I39" i="12"/>
  <c r="H39" i="12"/>
  <c r="D39" i="12"/>
  <c r="C39" i="12"/>
  <c r="I38" i="12"/>
  <c r="H38" i="12"/>
  <c r="D38" i="12"/>
  <c r="C38" i="12"/>
  <c r="I37" i="12"/>
  <c r="H37" i="12"/>
  <c r="D37" i="12"/>
  <c r="C37" i="12"/>
  <c r="I36" i="12"/>
  <c r="H36" i="12"/>
  <c r="D36" i="12"/>
  <c r="C36" i="12"/>
  <c r="I35" i="12"/>
  <c r="H35" i="12"/>
  <c r="D35" i="12"/>
  <c r="C35" i="12"/>
  <c r="I34" i="12"/>
  <c r="H34" i="12"/>
  <c r="D34" i="12"/>
  <c r="C34" i="12"/>
  <c r="I33" i="12"/>
  <c r="H33" i="12"/>
  <c r="D33" i="12"/>
  <c r="C33" i="12"/>
  <c r="I32" i="12"/>
  <c r="H32" i="12"/>
  <c r="D32" i="12"/>
  <c r="C32" i="12"/>
  <c r="I31" i="12"/>
  <c r="H31" i="12"/>
  <c r="D31" i="12"/>
  <c r="C31" i="12"/>
  <c r="I30" i="12"/>
  <c r="H30" i="12"/>
  <c r="D30" i="12"/>
  <c r="C30" i="12"/>
  <c r="I29" i="12"/>
  <c r="H29" i="12"/>
  <c r="D29" i="12"/>
  <c r="C29" i="12"/>
  <c r="I28" i="12"/>
  <c r="H28" i="12"/>
  <c r="D28" i="12"/>
  <c r="C28" i="12"/>
  <c r="I27" i="12"/>
  <c r="H27" i="12"/>
  <c r="D27" i="12"/>
  <c r="C27" i="12"/>
  <c r="I26" i="12"/>
  <c r="H26" i="12"/>
  <c r="D26" i="12"/>
  <c r="C26" i="12"/>
  <c r="D25" i="12"/>
  <c r="C25" i="12"/>
  <c r="D24" i="12"/>
  <c r="C24" i="12"/>
  <c r="I23" i="12"/>
  <c r="AA52" i="11" s="1"/>
  <c r="H23" i="12"/>
  <c r="D23" i="12"/>
  <c r="C23" i="12"/>
  <c r="I22" i="12"/>
  <c r="AA48" i="11" s="1"/>
  <c r="H22" i="12"/>
  <c r="D22" i="12"/>
  <c r="C22" i="12"/>
  <c r="I21" i="12"/>
  <c r="AA39" i="11" s="1"/>
  <c r="H21" i="12"/>
  <c r="D21" i="12"/>
  <c r="C21" i="12"/>
  <c r="I20" i="12"/>
  <c r="H20" i="12"/>
  <c r="D20" i="12"/>
  <c r="C20" i="12"/>
  <c r="I19" i="12"/>
  <c r="H19" i="12"/>
  <c r="D19" i="12"/>
  <c r="C19" i="12"/>
  <c r="I18" i="12"/>
  <c r="H18" i="12"/>
  <c r="D18" i="12"/>
  <c r="C18" i="12"/>
  <c r="I17" i="12"/>
  <c r="H17" i="12"/>
  <c r="D17" i="12"/>
  <c r="C17" i="12"/>
  <c r="I16" i="12"/>
  <c r="H16" i="12"/>
  <c r="D16" i="12"/>
  <c r="C16" i="12"/>
  <c r="I15" i="12"/>
  <c r="H15" i="12"/>
  <c r="D15" i="12"/>
  <c r="C15" i="12"/>
  <c r="I14" i="12"/>
  <c r="H14" i="12"/>
  <c r="D14" i="12"/>
  <c r="C14" i="12"/>
  <c r="I13" i="12"/>
  <c r="H13" i="12"/>
  <c r="D13" i="12"/>
  <c r="C13" i="12"/>
  <c r="I12" i="12"/>
  <c r="H12" i="12"/>
  <c r="D12" i="12"/>
  <c r="C12" i="12"/>
  <c r="I11" i="12"/>
  <c r="AA23" i="11" s="1"/>
  <c r="H11" i="12"/>
  <c r="D11" i="12"/>
  <c r="C11" i="12"/>
  <c r="I10" i="12"/>
  <c r="H10" i="12"/>
  <c r="D10" i="12"/>
  <c r="C10" i="12"/>
  <c r="I9" i="12"/>
  <c r="H9" i="12"/>
  <c r="D9" i="12"/>
  <c r="C9" i="12"/>
  <c r="I8" i="12"/>
  <c r="H8" i="12"/>
  <c r="D8" i="12"/>
  <c r="C8" i="12"/>
  <c r="I7" i="12"/>
  <c r="H7" i="12"/>
  <c r="D7" i="12"/>
  <c r="C7" i="12"/>
  <c r="I6" i="12"/>
  <c r="H6" i="12"/>
  <c r="D6" i="12"/>
  <c r="C6" i="12"/>
  <c r="I5" i="12"/>
  <c r="H5" i="12"/>
  <c r="D5" i="12"/>
  <c r="C5" i="12"/>
  <c r="I4" i="12"/>
  <c r="H4" i="12"/>
  <c r="D4" i="12"/>
  <c r="C4" i="12"/>
  <c r="D3" i="12"/>
  <c r="C3" i="12"/>
  <c r="D2" i="12"/>
  <c r="C2" i="12"/>
  <c r="AB59" i="11"/>
  <c r="AA59" i="11"/>
  <c r="Z59" i="11"/>
  <c r="AB58" i="11"/>
  <c r="AA58" i="11"/>
  <c r="Z58" i="11"/>
  <c r="AB57" i="11"/>
  <c r="AA57" i="11"/>
  <c r="Z57" i="11"/>
  <c r="AB56" i="11"/>
  <c r="AA56" i="11"/>
  <c r="Z56" i="11"/>
  <c r="AB55" i="11"/>
  <c r="AA55" i="11"/>
  <c r="Z55" i="11"/>
  <c r="AB54" i="11"/>
  <c r="AA54" i="11"/>
  <c r="Z54" i="11"/>
  <c r="AB53" i="11"/>
  <c r="AA53" i="11"/>
  <c r="Z53" i="11"/>
  <c r="AB52" i="11"/>
  <c r="Z52" i="11"/>
  <c r="AB51" i="11"/>
  <c r="AA51" i="11"/>
  <c r="Z51" i="11"/>
  <c r="AB50" i="11"/>
  <c r="AA50" i="11"/>
  <c r="Z50" i="11"/>
  <c r="AB49" i="11"/>
  <c r="AA49" i="11"/>
  <c r="Z49" i="11"/>
  <c r="AB48" i="11"/>
  <c r="Z48" i="11"/>
  <c r="AB47" i="11"/>
  <c r="AA47" i="11"/>
  <c r="Z47" i="11"/>
  <c r="AB46" i="11"/>
  <c r="AA46" i="11"/>
  <c r="Z46" i="11"/>
  <c r="AB45" i="11"/>
  <c r="AA45" i="11"/>
  <c r="Z45" i="11"/>
  <c r="AB44" i="11"/>
  <c r="AA44" i="11"/>
  <c r="Z44" i="11"/>
  <c r="AB43" i="11"/>
  <c r="AA43" i="11"/>
  <c r="Z43" i="11"/>
  <c r="AB42" i="11"/>
  <c r="AA42" i="11"/>
  <c r="Z42" i="11"/>
  <c r="AB41" i="11"/>
  <c r="AA41" i="11"/>
  <c r="Z41" i="11"/>
  <c r="AB40" i="11"/>
  <c r="AA40" i="11"/>
  <c r="Z40" i="11"/>
  <c r="AB39" i="11"/>
  <c r="Z39" i="11"/>
  <c r="AB38" i="11"/>
  <c r="AA38" i="11"/>
  <c r="Z38" i="11"/>
  <c r="AB37" i="11"/>
  <c r="AA37" i="11"/>
  <c r="Z37" i="11"/>
  <c r="AB36" i="11"/>
  <c r="AA36" i="11"/>
  <c r="Z36" i="11"/>
  <c r="AB35" i="11"/>
  <c r="AA35" i="11"/>
  <c r="Z35" i="11"/>
  <c r="AB34" i="11"/>
  <c r="AA34" i="11"/>
  <c r="Z34" i="11"/>
  <c r="AB33" i="11"/>
  <c r="AA33" i="11"/>
  <c r="Z33" i="11"/>
  <c r="AB32" i="11"/>
  <c r="AA32" i="11"/>
  <c r="Z32" i="11"/>
  <c r="AB31" i="11"/>
  <c r="AA31" i="11"/>
  <c r="Z31" i="11"/>
  <c r="AB30" i="11"/>
  <c r="AA30" i="11"/>
  <c r="Z30" i="11"/>
  <c r="AB29" i="11"/>
  <c r="AA29" i="11"/>
  <c r="Z29" i="11"/>
  <c r="AB28" i="11"/>
  <c r="AA28" i="11"/>
  <c r="Z28" i="11"/>
  <c r="AB27" i="11"/>
  <c r="AA27" i="11"/>
  <c r="Z27" i="11"/>
  <c r="AB26" i="11"/>
  <c r="AA26" i="11"/>
  <c r="Z26" i="11"/>
  <c r="AB25" i="11"/>
  <c r="AA25" i="11"/>
  <c r="Z25" i="11"/>
  <c r="AB24" i="11"/>
  <c r="AA24" i="11"/>
  <c r="Z24" i="11"/>
  <c r="AB23" i="11"/>
  <c r="Z23" i="11"/>
  <c r="AB22" i="11"/>
  <c r="AA22" i="11"/>
  <c r="Z22" i="11"/>
  <c r="AB21" i="11"/>
  <c r="AA21" i="11"/>
  <c r="Z21" i="11"/>
  <c r="AB20" i="11"/>
  <c r="AA20" i="11"/>
  <c r="Z20" i="11"/>
  <c r="AB19" i="11"/>
  <c r="AA19" i="11"/>
  <c r="Z19" i="11"/>
  <c r="AB18" i="11"/>
  <c r="AA18" i="11"/>
  <c r="Z18" i="11"/>
  <c r="AB17" i="11"/>
  <c r="AA17" i="11"/>
  <c r="Z17" i="11"/>
  <c r="AB16" i="11"/>
  <c r="AA16" i="11"/>
  <c r="Z16" i="11"/>
  <c r="AB15" i="11"/>
  <c r="AA15" i="11"/>
  <c r="Z15" i="11"/>
  <c r="AB14" i="11"/>
  <c r="AA14" i="11"/>
  <c r="Z14" i="11"/>
  <c r="AB13" i="11"/>
  <c r="AA13" i="11"/>
  <c r="Z13" i="11"/>
  <c r="AB12" i="11"/>
  <c r="AA12" i="11"/>
  <c r="Z12" i="11"/>
  <c r="AB11" i="11"/>
  <c r="AA11" i="11"/>
  <c r="Z11" i="11"/>
  <c r="AB10" i="11"/>
  <c r="AA10" i="11"/>
  <c r="Z10" i="11"/>
  <c r="AB9" i="11"/>
  <c r="AA9" i="11"/>
  <c r="Z9" i="11"/>
  <c r="AB8" i="11"/>
  <c r="AA8" i="11"/>
  <c r="Z8" i="11"/>
  <c r="AB7" i="11"/>
  <c r="Z7" i="11"/>
  <c r="AB6" i="11"/>
  <c r="Z6" i="11"/>
  <c r="AB5" i="11"/>
  <c r="AA5" i="11"/>
  <c r="Z5" i="11"/>
  <c r="Q23" i="10"/>
  <c r="P23" i="10"/>
  <c r="O23" i="10"/>
  <c r="N23" i="10"/>
  <c r="E23" i="10"/>
  <c r="Q22" i="10"/>
  <c r="P22" i="10"/>
  <c r="O22" i="10"/>
  <c r="N22" i="10"/>
  <c r="E22" i="10"/>
  <c r="Q21" i="10"/>
  <c r="P21" i="10"/>
  <c r="O21" i="10"/>
  <c r="N21" i="10"/>
  <c r="E21" i="10"/>
  <c r="Q20" i="10"/>
  <c r="P20" i="10"/>
  <c r="O20" i="10"/>
  <c r="N20" i="10"/>
  <c r="E20" i="10"/>
  <c r="Q19" i="10"/>
  <c r="P19" i="10"/>
  <c r="O19" i="10"/>
  <c r="N19" i="10"/>
  <c r="E19" i="10"/>
  <c r="Q18" i="10"/>
  <c r="P18" i="10"/>
  <c r="O18" i="10"/>
  <c r="N18" i="10"/>
  <c r="E18" i="10"/>
  <c r="Q17" i="10"/>
  <c r="P17" i="10"/>
  <c r="O17" i="10"/>
  <c r="N17" i="10"/>
  <c r="E17" i="10"/>
  <c r="Q16" i="10"/>
  <c r="N16" i="10"/>
  <c r="E16" i="10"/>
  <c r="Q15" i="10"/>
  <c r="N15" i="10"/>
  <c r="E15" i="10"/>
  <c r="Q14" i="10"/>
  <c r="N14" i="10"/>
  <c r="E14" i="10"/>
  <c r="Q13" i="10"/>
  <c r="N13" i="10"/>
  <c r="E13" i="10"/>
  <c r="Q12" i="10"/>
  <c r="N12" i="10"/>
  <c r="E12" i="10"/>
  <c r="Q11" i="10"/>
  <c r="N11" i="10"/>
  <c r="E11" i="10"/>
  <c r="Q10" i="10"/>
  <c r="N10" i="10"/>
  <c r="E10" i="10"/>
  <c r="Q9" i="10"/>
  <c r="N9" i="10"/>
  <c r="E9" i="10"/>
  <c r="Q8" i="10"/>
  <c r="N8" i="10"/>
  <c r="E8" i="10"/>
  <c r="Q7" i="10"/>
  <c r="N7" i="10"/>
  <c r="E7" i="10"/>
  <c r="Q6" i="10"/>
  <c r="N6" i="10"/>
  <c r="E6" i="10"/>
  <c r="Q5" i="10"/>
  <c r="N5" i="10"/>
  <c r="E5" i="10"/>
  <c r="Q4" i="10"/>
  <c r="N4" i="10"/>
  <c r="E4" i="10"/>
  <c r="Q3" i="10"/>
  <c r="N3" i="10"/>
  <c r="E3" i="10"/>
  <c r="Q2" i="10"/>
  <c r="N2" i="10"/>
  <c r="E2" i="10"/>
  <c r="BY117" i="8"/>
  <c r="BV117" i="8"/>
  <c r="BU117" i="8"/>
  <c r="BM117" i="8"/>
  <c r="BN117" i="8" s="1"/>
  <c r="BP117" i="8" s="1"/>
  <c r="H2467" i="12" s="1"/>
  <c r="I2467" i="12" s="1"/>
  <c r="BJ117" i="8"/>
  <c r="BG117" i="8"/>
  <c r="BI117" i="8" s="1"/>
  <c r="AH117" i="8"/>
  <c r="Y117" i="8"/>
  <c r="AY117" i="8" s="1"/>
  <c r="W117" i="8"/>
  <c r="X117" i="8" s="1"/>
  <c r="R117" i="8"/>
  <c r="M117" i="8"/>
  <c r="L117" i="8"/>
  <c r="K117" i="8"/>
  <c r="BY116" i="8"/>
  <c r="BV116" i="8"/>
  <c r="BU116" i="8"/>
  <c r="BM116" i="8"/>
  <c r="BN116" i="8" s="1"/>
  <c r="BJ116" i="8"/>
  <c r="BG116" i="8"/>
  <c r="AH116" i="8"/>
  <c r="Y116" i="8"/>
  <c r="AY116" i="8" s="1"/>
  <c r="W116" i="8"/>
  <c r="X116" i="8" s="1"/>
  <c r="BQ116" i="8" s="1"/>
  <c r="R116" i="8"/>
  <c r="L116" i="8"/>
  <c r="K116" i="8"/>
  <c r="BY115" i="8"/>
  <c r="BV115" i="8"/>
  <c r="BU115" i="8"/>
  <c r="BM115" i="8"/>
  <c r="BN115" i="8" s="1"/>
  <c r="BJ115" i="8"/>
  <c r="BG115" i="8"/>
  <c r="BI115" i="8" s="1"/>
  <c r="AH115" i="8"/>
  <c r="Y115" i="8"/>
  <c r="AY115" i="8" s="1"/>
  <c r="W115" i="8"/>
  <c r="X115" i="8" s="1"/>
  <c r="R115" i="8"/>
  <c r="M115" i="8"/>
  <c r="L115" i="8"/>
  <c r="K115" i="8"/>
  <c r="BY114" i="8"/>
  <c r="BV114" i="8"/>
  <c r="BU114" i="8"/>
  <c r="BM114" i="8"/>
  <c r="BN114" i="8" s="1"/>
  <c r="BJ114" i="8"/>
  <c r="BG114" i="8"/>
  <c r="AH114" i="8"/>
  <c r="Y114" i="8"/>
  <c r="AY114" i="8" s="1"/>
  <c r="X114" i="8"/>
  <c r="W114" i="8"/>
  <c r="R114" i="8"/>
  <c r="L114" i="8"/>
  <c r="K114" i="8"/>
  <c r="BY113" i="8"/>
  <c r="BV113" i="8"/>
  <c r="BU113" i="8"/>
  <c r="BN113" i="8"/>
  <c r="BM113" i="8"/>
  <c r="BJ113" i="8"/>
  <c r="BG113" i="8"/>
  <c r="BI113" i="8" s="1"/>
  <c r="AH113" i="8"/>
  <c r="Y113" i="8"/>
  <c r="AY113" i="8" s="1"/>
  <c r="W113" i="8"/>
  <c r="X113" i="8" s="1"/>
  <c r="R113" i="8"/>
  <c r="L113" i="8"/>
  <c r="M113" i="8" s="1"/>
  <c r="K113" i="8"/>
  <c r="BY112" i="8"/>
  <c r="BV112" i="8"/>
  <c r="BU112" i="8"/>
  <c r="BN112" i="8"/>
  <c r="BO112" i="8" s="1"/>
  <c r="BM112" i="8"/>
  <c r="BJ112" i="8"/>
  <c r="BI112" i="8"/>
  <c r="BH112" i="8"/>
  <c r="H2356" i="12" s="1"/>
  <c r="I2356" i="12" s="1"/>
  <c r="BG112" i="8"/>
  <c r="AH112" i="8"/>
  <c r="Y112" i="8"/>
  <c r="AY112" i="8" s="1"/>
  <c r="X112" i="8"/>
  <c r="W112" i="8"/>
  <c r="R112" i="8"/>
  <c r="L112" i="8"/>
  <c r="K112" i="8"/>
  <c r="BY111" i="8"/>
  <c r="BV111" i="8"/>
  <c r="BU111" i="8"/>
  <c r="BN111" i="8"/>
  <c r="BM111" i="8"/>
  <c r="BJ111" i="8"/>
  <c r="BG111" i="8"/>
  <c r="BI111" i="8" s="1"/>
  <c r="AH111" i="8"/>
  <c r="Y111" i="8"/>
  <c r="AY111" i="8" s="1"/>
  <c r="W111" i="8"/>
  <c r="X111" i="8" s="1"/>
  <c r="R111" i="8"/>
  <c r="L111" i="8"/>
  <c r="M111" i="8" s="1"/>
  <c r="K111" i="8"/>
  <c r="BY110" i="8"/>
  <c r="BV110" i="8"/>
  <c r="BU110" i="8"/>
  <c r="BN110" i="8"/>
  <c r="BO110" i="8" s="1"/>
  <c r="BM110" i="8"/>
  <c r="BJ110" i="8"/>
  <c r="BI110" i="8"/>
  <c r="BH110" i="8"/>
  <c r="BG110" i="8"/>
  <c r="AH110" i="8"/>
  <c r="Y110" i="8"/>
  <c r="AY110" i="8" s="1"/>
  <c r="W110" i="8"/>
  <c r="X110" i="8" s="1"/>
  <c r="BQ110" i="8" s="1"/>
  <c r="R110" i="8"/>
  <c r="L110" i="8"/>
  <c r="K110" i="8"/>
  <c r="BY109" i="8"/>
  <c r="BV109" i="8"/>
  <c r="BU109" i="8"/>
  <c r="BJ109" i="8"/>
  <c r="I5" i="13" s="1"/>
  <c r="BG109" i="8"/>
  <c r="AH109" i="8"/>
  <c r="Y109" i="8"/>
  <c r="AY109" i="8" s="1"/>
  <c r="W109" i="8"/>
  <c r="X109" i="8" s="1"/>
  <c r="R109" i="8"/>
  <c r="M109" i="8"/>
  <c r="L109" i="8"/>
  <c r="K109" i="8"/>
  <c r="BM109" i="8" s="1"/>
  <c r="BN109" i="8" s="1"/>
  <c r="BY108" i="8"/>
  <c r="BV108" i="8"/>
  <c r="BU108" i="8"/>
  <c r="BJ108" i="8"/>
  <c r="BG108" i="8"/>
  <c r="AH108" i="8"/>
  <c r="Y108" i="8"/>
  <c r="AY108" i="8" s="1"/>
  <c r="W108" i="8"/>
  <c r="X108" i="8" s="1"/>
  <c r="R108" i="8"/>
  <c r="L108" i="8"/>
  <c r="M108" i="8" s="1"/>
  <c r="K108" i="8"/>
  <c r="BM108" i="8" s="1"/>
  <c r="BN108" i="8" s="1"/>
  <c r="BY107" i="8"/>
  <c r="BV107" i="8"/>
  <c r="BU107" i="8"/>
  <c r="BJ107" i="8"/>
  <c r="I3" i="13" s="1"/>
  <c r="BG107" i="8"/>
  <c r="AH107" i="8"/>
  <c r="Y107" i="8"/>
  <c r="AY107" i="8" s="1"/>
  <c r="W107" i="8"/>
  <c r="X107" i="8" s="1"/>
  <c r="BQ107" i="8" s="1"/>
  <c r="R107" i="8"/>
  <c r="L107" i="8"/>
  <c r="K107" i="8"/>
  <c r="BM107" i="8" s="1"/>
  <c r="BN107" i="8" s="1"/>
  <c r="BY106" i="8"/>
  <c r="BV106" i="8"/>
  <c r="BU106" i="8"/>
  <c r="BJ106" i="8"/>
  <c r="BG106" i="8"/>
  <c r="AH106" i="8"/>
  <c r="Y106" i="8"/>
  <c r="AY106" i="8" s="1"/>
  <c r="W106" i="8"/>
  <c r="X106" i="8" s="1"/>
  <c r="R106" i="8"/>
  <c r="L106" i="8"/>
  <c r="M106" i="8" s="1"/>
  <c r="K106" i="8"/>
  <c r="BM106" i="8" s="1"/>
  <c r="BN106" i="8" s="1"/>
  <c r="BY105" i="8"/>
  <c r="BV105" i="8"/>
  <c r="BU105" i="8"/>
  <c r="BM105" i="8"/>
  <c r="BN105" i="8" s="1"/>
  <c r="BJ105" i="8"/>
  <c r="BG105" i="8"/>
  <c r="AH105" i="8"/>
  <c r="Y105" i="8"/>
  <c r="AY105" i="8" s="1"/>
  <c r="X105" i="8"/>
  <c r="W105" i="8"/>
  <c r="R105" i="8"/>
  <c r="L105" i="8"/>
  <c r="K105" i="8"/>
  <c r="BY104" i="8"/>
  <c r="BV104" i="8"/>
  <c r="BU104" i="8"/>
  <c r="BN104" i="8"/>
  <c r="BM104" i="8"/>
  <c r="BJ104" i="8"/>
  <c r="BG104" i="8"/>
  <c r="AH104" i="8"/>
  <c r="Y104" i="8"/>
  <c r="AY104" i="8" s="1"/>
  <c r="W104" i="8"/>
  <c r="X104" i="8" s="1"/>
  <c r="R104" i="8"/>
  <c r="M104" i="8"/>
  <c r="L104" i="8"/>
  <c r="K104" i="8"/>
  <c r="BY103" i="8"/>
  <c r="BV103" i="8"/>
  <c r="BU103" i="8"/>
  <c r="BM103" i="8"/>
  <c r="BN103" i="8" s="1"/>
  <c r="BJ103" i="8"/>
  <c r="BG103" i="8"/>
  <c r="AH103" i="8"/>
  <c r="Y103" i="8"/>
  <c r="AY103" i="8" s="1"/>
  <c r="X103" i="8"/>
  <c r="W103" i="8"/>
  <c r="R103" i="8"/>
  <c r="L103" i="8"/>
  <c r="K103" i="8"/>
  <c r="BY102" i="8"/>
  <c r="BV102" i="8"/>
  <c r="BU102" i="8"/>
  <c r="BN102" i="8"/>
  <c r="BM102" i="8"/>
  <c r="BJ102" i="8"/>
  <c r="BG102" i="8"/>
  <c r="AH102" i="8"/>
  <c r="Y102" i="8"/>
  <c r="AY102" i="8" s="1"/>
  <c r="W102" i="8"/>
  <c r="X102" i="8" s="1"/>
  <c r="R102" i="8"/>
  <c r="M102" i="8"/>
  <c r="L102" i="8"/>
  <c r="K102" i="8"/>
  <c r="BY101" i="8"/>
  <c r="BV101" i="8"/>
  <c r="BU101" i="8"/>
  <c r="BM101" i="8"/>
  <c r="BN101" i="8" s="1"/>
  <c r="BJ101" i="8"/>
  <c r="BG101" i="8"/>
  <c r="AH101" i="8"/>
  <c r="Y101" i="8"/>
  <c r="AY101" i="8" s="1"/>
  <c r="W101" i="8"/>
  <c r="X101" i="8" s="1"/>
  <c r="BQ101" i="8" s="1"/>
  <c r="R101" i="8"/>
  <c r="L101" i="8"/>
  <c r="K101" i="8"/>
  <c r="BY100" i="8"/>
  <c r="BV100" i="8"/>
  <c r="BU100" i="8"/>
  <c r="BM100" i="8"/>
  <c r="BN100" i="8" s="1"/>
  <c r="BJ100" i="8"/>
  <c r="BG100" i="8"/>
  <c r="AH100" i="8"/>
  <c r="Y100" i="8"/>
  <c r="AY100" i="8" s="1"/>
  <c r="W100" i="8"/>
  <c r="X100" i="8" s="1"/>
  <c r="R100" i="8"/>
  <c r="L100" i="8"/>
  <c r="M100" i="8" s="1"/>
  <c r="K100" i="8"/>
  <c r="BY99" i="8"/>
  <c r="BV99" i="8"/>
  <c r="BU99" i="8"/>
  <c r="BM99" i="8"/>
  <c r="BN99" i="8" s="1"/>
  <c r="BJ99" i="8"/>
  <c r="BG99" i="8"/>
  <c r="AH99" i="8"/>
  <c r="Y99" i="8"/>
  <c r="AY99" i="8" s="1"/>
  <c r="W99" i="8"/>
  <c r="X99" i="8" s="1"/>
  <c r="BQ99" i="8" s="1"/>
  <c r="R99" i="8"/>
  <c r="L99" i="8"/>
  <c r="K99" i="8"/>
  <c r="BY98" i="8"/>
  <c r="BV98" i="8"/>
  <c r="BU98" i="8"/>
  <c r="BM98" i="8"/>
  <c r="BN98" i="8" s="1"/>
  <c r="BJ98" i="8"/>
  <c r="BG98" i="8"/>
  <c r="AY98" i="8"/>
  <c r="AH98" i="8"/>
  <c r="Y98" i="8"/>
  <c r="W98" i="8"/>
  <c r="X98" i="8" s="1"/>
  <c r="R98" i="8"/>
  <c r="M98" i="8"/>
  <c r="L98" i="8"/>
  <c r="K98" i="8"/>
  <c r="BY97" i="8"/>
  <c r="BV97" i="8"/>
  <c r="BU97" i="8"/>
  <c r="BM97" i="8"/>
  <c r="BN97" i="8" s="1"/>
  <c r="BJ97" i="8"/>
  <c r="BG97" i="8"/>
  <c r="AH97" i="8"/>
  <c r="Y97" i="8"/>
  <c r="AY97" i="8" s="1"/>
  <c r="X97" i="8"/>
  <c r="W97" i="8"/>
  <c r="R97" i="8"/>
  <c r="L97" i="8"/>
  <c r="K97" i="8"/>
  <c r="BY96" i="8"/>
  <c r="BV96" i="8"/>
  <c r="BU96" i="8"/>
  <c r="BN96" i="8"/>
  <c r="BM96" i="8"/>
  <c r="BJ96" i="8"/>
  <c r="BG96" i="8"/>
  <c r="AY96" i="8"/>
  <c r="AH96" i="8"/>
  <c r="Y96" i="8"/>
  <c r="W96" i="8"/>
  <c r="X96" i="8" s="1"/>
  <c r="R96" i="8"/>
  <c r="L96" i="8"/>
  <c r="M96" i="8" s="1"/>
  <c r="K96" i="8"/>
  <c r="BY95" i="8"/>
  <c r="BV95" i="8"/>
  <c r="BU95" i="8"/>
  <c r="BM95" i="8"/>
  <c r="BN95" i="8" s="1"/>
  <c r="BJ95" i="8"/>
  <c r="BG95" i="8"/>
  <c r="AH95" i="8"/>
  <c r="Y95" i="8"/>
  <c r="AY95" i="8" s="1"/>
  <c r="W95" i="8"/>
  <c r="X95" i="8" s="1"/>
  <c r="BQ95" i="8" s="1"/>
  <c r="R95" i="8"/>
  <c r="L95" i="8"/>
  <c r="K95" i="8"/>
  <c r="BY94" i="8"/>
  <c r="BV94" i="8"/>
  <c r="BU94" i="8"/>
  <c r="BM94" i="8"/>
  <c r="BN94" i="8" s="1"/>
  <c r="BJ94" i="8"/>
  <c r="BG94" i="8"/>
  <c r="AR94" i="8"/>
  <c r="AQ94" i="8"/>
  <c r="AP94" i="8"/>
  <c r="AM94" i="8"/>
  <c r="AL94" i="8"/>
  <c r="AH94" i="8"/>
  <c r="Y94" i="8"/>
  <c r="AY94" i="8" s="1"/>
  <c r="W94" i="8"/>
  <c r="X94" i="8" s="1"/>
  <c r="R94" i="8"/>
  <c r="M94" i="8"/>
  <c r="L94" i="8"/>
  <c r="AN94" i="8" s="1"/>
  <c r="K94" i="8"/>
  <c r="BY93" i="8"/>
  <c r="BV93" i="8"/>
  <c r="BU93" i="8"/>
  <c r="BM93" i="8"/>
  <c r="BN93" i="8" s="1"/>
  <c r="BJ93" i="8"/>
  <c r="BG93" i="8"/>
  <c r="AH93" i="8"/>
  <c r="Y93" i="8"/>
  <c r="AY93" i="8" s="1"/>
  <c r="X93" i="8"/>
  <c r="W93" i="8"/>
  <c r="R93" i="8"/>
  <c r="L93" i="8"/>
  <c r="K93" i="8"/>
  <c r="BY92" i="8"/>
  <c r="BV92" i="8"/>
  <c r="BU92" i="8"/>
  <c r="BN92" i="8"/>
  <c r="BM92" i="8"/>
  <c r="BJ92" i="8"/>
  <c r="BG92" i="8"/>
  <c r="AY92" i="8"/>
  <c r="AH92" i="8"/>
  <c r="Y92" i="8"/>
  <c r="W92" i="8"/>
  <c r="X92" i="8" s="1"/>
  <c r="R92" i="8"/>
  <c r="L92" i="8"/>
  <c r="M92" i="8" s="1"/>
  <c r="K92" i="8"/>
  <c r="BY91" i="8"/>
  <c r="BV91" i="8"/>
  <c r="BU91" i="8"/>
  <c r="BM91" i="8"/>
  <c r="BN91" i="8" s="1"/>
  <c r="BJ91" i="8"/>
  <c r="BG91" i="8"/>
  <c r="AH91" i="8"/>
  <c r="Y91" i="8"/>
  <c r="AY91" i="8" s="1"/>
  <c r="W91" i="8"/>
  <c r="X91" i="8" s="1"/>
  <c r="BQ91" i="8" s="1"/>
  <c r="R91" i="8"/>
  <c r="L91" i="8"/>
  <c r="K91" i="8"/>
  <c r="BY90" i="8"/>
  <c r="BV90" i="8"/>
  <c r="BU90" i="8"/>
  <c r="BM90" i="8"/>
  <c r="BN90" i="8" s="1"/>
  <c r="BJ90" i="8"/>
  <c r="BG90" i="8"/>
  <c r="AH90" i="8"/>
  <c r="Y90" i="8"/>
  <c r="AY90" i="8" s="1"/>
  <c r="W90" i="8"/>
  <c r="X90" i="8" s="1"/>
  <c r="R90" i="8"/>
  <c r="L90" i="8"/>
  <c r="M90" i="8" s="1"/>
  <c r="K90" i="8"/>
  <c r="BY89" i="8"/>
  <c r="BV89" i="8"/>
  <c r="BU89" i="8"/>
  <c r="BN89" i="8"/>
  <c r="BM89" i="8"/>
  <c r="BJ89" i="8"/>
  <c r="BG89" i="8"/>
  <c r="AH89" i="8"/>
  <c r="Y89" i="8"/>
  <c r="AY89" i="8" s="1"/>
  <c r="W89" i="8"/>
  <c r="X89" i="8" s="1"/>
  <c r="BQ89" i="8" s="1"/>
  <c r="R89" i="8"/>
  <c r="L89" i="8"/>
  <c r="K89" i="8"/>
  <c r="BY88" i="8"/>
  <c r="BV88" i="8"/>
  <c r="BU88" i="8"/>
  <c r="BM88" i="8"/>
  <c r="BN88" i="8" s="1"/>
  <c r="BJ88" i="8"/>
  <c r="BG88" i="8"/>
  <c r="AH88" i="8"/>
  <c r="Y88" i="8"/>
  <c r="AY88" i="8" s="1"/>
  <c r="W88" i="8"/>
  <c r="X88" i="8" s="1"/>
  <c r="R88" i="8"/>
  <c r="L88" i="8"/>
  <c r="M88" i="8" s="1"/>
  <c r="K88" i="8"/>
  <c r="BY87" i="8"/>
  <c r="BV87" i="8"/>
  <c r="BU87" i="8"/>
  <c r="BM87" i="8"/>
  <c r="BN87" i="8" s="1"/>
  <c r="BJ87" i="8"/>
  <c r="BG87" i="8"/>
  <c r="AH87" i="8"/>
  <c r="Y87" i="8"/>
  <c r="AY87" i="8" s="1"/>
  <c r="W87" i="8"/>
  <c r="X87" i="8" s="1"/>
  <c r="BQ87" i="8" s="1"/>
  <c r="R87" i="8"/>
  <c r="L87" i="8"/>
  <c r="K87" i="8"/>
  <c r="BY86" i="8"/>
  <c r="BV86" i="8"/>
  <c r="BU86" i="8"/>
  <c r="BM86" i="8"/>
  <c r="BN86" i="8" s="1"/>
  <c r="BJ86" i="8"/>
  <c r="BG86" i="8"/>
  <c r="AY86" i="8"/>
  <c r="AH86" i="8"/>
  <c r="Y86" i="8"/>
  <c r="W86" i="8"/>
  <c r="X86" i="8" s="1"/>
  <c r="R86" i="8"/>
  <c r="M86" i="8"/>
  <c r="L86" i="8"/>
  <c r="K86" i="8"/>
  <c r="BY85" i="8"/>
  <c r="BV85" i="8"/>
  <c r="BU85" i="8"/>
  <c r="BM85" i="8"/>
  <c r="BN85" i="8" s="1"/>
  <c r="BJ85" i="8"/>
  <c r="BG85" i="8"/>
  <c r="AH85" i="8"/>
  <c r="Y85" i="8"/>
  <c r="AY85" i="8" s="1"/>
  <c r="X85" i="8"/>
  <c r="W85" i="8"/>
  <c r="R85" i="8"/>
  <c r="L85" i="8"/>
  <c r="K85" i="8"/>
  <c r="BY84" i="8"/>
  <c r="BV84" i="8"/>
  <c r="BU84" i="8"/>
  <c r="BN84" i="8"/>
  <c r="BM84" i="8"/>
  <c r="BJ84" i="8"/>
  <c r="BG84" i="8"/>
  <c r="AH84" i="8"/>
  <c r="Y84" i="8"/>
  <c r="AY84" i="8" s="1"/>
  <c r="W84" i="8"/>
  <c r="X84" i="8" s="1"/>
  <c r="R84" i="8"/>
  <c r="L84" i="8"/>
  <c r="M84" i="8" s="1"/>
  <c r="K84" i="8"/>
  <c r="BY83" i="8"/>
  <c r="BV83" i="8"/>
  <c r="BU83" i="8"/>
  <c r="BM83" i="8"/>
  <c r="BN83" i="8" s="1"/>
  <c r="BJ83" i="8"/>
  <c r="BG83" i="8"/>
  <c r="AH83" i="8"/>
  <c r="Y83" i="8"/>
  <c r="AY83" i="8" s="1"/>
  <c r="W83" i="8"/>
  <c r="X83" i="8" s="1"/>
  <c r="BQ83" i="8" s="1"/>
  <c r="R83" i="8"/>
  <c r="L83" i="8"/>
  <c r="K83" i="8"/>
  <c r="BY82" i="8"/>
  <c r="BV82" i="8"/>
  <c r="BU82" i="8"/>
  <c r="BM82" i="8"/>
  <c r="BN82" i="8" s="1"/>
  <c r="BJ82" i="8"/>
  <c r="BG82" i="8"/>
  <c r="AH82" i="8"/>
  <c r="Y82" i="8"/>
  <c r="AY82" i="8" s="1"/>
  <c r="W82" i="8"/>
  <c r="X82" i="8" s="1"/>
  <c r="BQ82" i="8" s="1"/>
  <c r="R82" i="8"/>
  <c r="L82" i="8"/>
  <c r="K82" i="8"/>
  <c r="BY81" i="8"/>
  <c r="BV81" i="8"/>
  <c r="BU81" i="8"/>
  <c r="BM81" i="8"/>
  <c r="BN81" i="8" s="1"/>
  <c r="BJ81" i="8"/>
  <c r="BG81" i="8"/>
  <c r="AY81" i="8"/>
  <c r="AH81" i="8"/>
  <c r="Y81" i="8"/>
  <c r="W81" i="8"/>
  <c r="X81" i="8" s="1"/>
  <c r="R81" i="8"/>
  <c r="M81" i="8"/>
  <c r="L81" i="8"/>
  <c r="K81" i="8"/>
  <c r="BY80" i="8"/>
  <c r="BV80" i="8"/>
  <c r="BU80" i="8"/>
  <c r="BM80" i="8"/>
  <c r="BN80" i="8" s="1"/>
  <c r="BJ80" i="8"/>
  <c r="BG80" i="8"/>
  <c r="AH80" i="8"/>
  <c r="Y80" i="8"/>
  <c r="AY80" i="8" s="1"/>
  <c r="W80" i="8"/>
  <c r="X80" i="8" s="1"/>
  <c r="BQ80" i="8" s="1"/>
  <c r="R80" i="8"/>
  <c r="L80" i="8"/>
  <c r="AQ80" i="8" s="1"/>
  <c r="K80" i="8"/>
  <c r="BY79" i="8"/>
  <c r="BV79" i="8"/>
  <c r="BU79" i="8"/>
  <c r="BM79" i="8"/>
  <c r="BN79" i="8" s="1"/>
  <c r="BJ79" i="8"/>
  <c r="BG79" i="8"/>
  <c r="AY79" i="8"/>
  <c r="AH79" i="8"/>
  <c r="Y79" i="8"/>
  <c r="W79" i="8"/>
  <c r="X79" i="8" s="1"/>
  <c r="R79" i="8"/>
  <c r="M79" i="8"/>
  <c r="L79" i="8"/>
  <c r="K79" i="8"/>
  <c r="BY78" i="8"/>
  <c r="BV78" i="8"/>
  <c r="BU78" i="8"/>
  <c r="BM78" i="8"/>
  <c r="BN78" i="8" s="1"/>
  <c r="BJ78" i="8"/>
  <c r="BG78" i="8"/>
  <c r="AH78" i="8"/>
  <c r="Y78" i="8"/>
  <c r="AY78" i="8" s="1"/>
  <c r="W78" i="8"/>
  <c r="X78" i="8" s="1"/>
  <c r="BQ78" i="8" s="1"/>
  <c r="R78" i="8"/>
  <c r="L78" i="8"/>
  <c r="K78" i="8"/>
  <c r="BY77" i="8"/>
  <c r="BV77" i="8"/>
  <c r="BU77" i="8"/>
  <c r="BM77" i="8"/>
  <c r="BN77" i="8" s="1"/>
  <c r="BJ77" i="8"/>
  <c r="BG77" i="8"/>
  <c r="AY77" i="8"/>
  <c r="AH77" i="8"/>
  <c r="Y77" i="8"/>
  <c r="W77" i="8"/>
  <c r="X77" i="8" s="1"/>
  <c r="R77" i="8"/>
  <c r="M77" i="8"/>
  <c r="L77" i="8"/>
  <c r="K77" i="8"/>
  <c r="BY76" i="8"/>
  <c r="BV76" i="8"/>
  <c r="BU76" i="8"/>
  <c r="BM76" i="8"/>
  <c r="BN76" i="8" s="1"/>
  <c r="BJ76" i="8"/>
  <c r="BG76" i="8"/>
  <c r="AH76" i="8"/>
  <c r="Y76" i="8"/>
  <c r="AY76" i="8" s="1"/>
  <c r="W76" i="8"/>
  <c r="X76" i="8" s="1"/>
  <c r="BQ76" i="8" s="1"/>
  <c r="R76" i="8"/>
  <c r="L76" i="8"/>
  <c r="AQ76" i="8" s="1"/>
  <c r="K76" i="8"/>
  <c r="BY75" i="8"/>
  <c r="BV75" i="8"/>
  <c r="BU75" i="8"/>
  <c r="BM75" i="8"/>
  <c r="BN75" i="8" s="1"/>
  <c r="BJ75" i="8"/>
  <c r="BG75" i="8"/>
  <c r="AY75" i="8"/>
  <c r="AH75" i="8"/>
  <c r="Y75" i="8"/>
  <c r="W75" i="8"/>
  <c r="X75" i="8" s="1"/>
  <c r="R75" i="8"/>
  <c r="M75" i="8"/>
  <c r="L75" i="8"/>
  <c r="K75" i="8"/>
  <c r="BY74" i="8"/>
  <c r="BV74" i="8"/>
  <c r="BU74" i="8"/>
  <c r="BM74" i="8"/>
  <c r="BN74" i="8" s="1"/>
  <c r="BJ74" i="8"/>
  <c r="BG74" i="8"/>
  <c r="AH74" i="8"/>
  <c r="Y74" i="8"/>
  <c r="AY74" i="8" s="1"/>
  <c r="W74" i="8"/>
  <c r="X74" i="8" s="1"/>
  <c r="BQ74" i="8" s="1"/>
  <c r="R74" i="8"/>
  <c r="L74" i="8"/>
  <c r="K74" i="8"/>
  <c r="BY73" i="8"/>
  <c r="BV73" i="8"/>
  <c r="BU73" i="8"/>
  <c r="BM73" i="8"/>
  <c r="BN73" i="8" s="1"/>
  <c r="BJ73" i="8"/>
  <c r="BG73" i="8"/>
  <c r="AH73" i="8"/>
  <c r="Y73" i="8"/>
  <c r="AY73" i="8" s="1"/>
  <c r="W73" i="8"/>
  <c r="X73" i="8" s="1"/>
  <c r="R73" i="8"/>
  <c r="M73" i="8"/>
  <c r="L73" i="8"/>
  <c r="K73" i="8"/>
  <c r="BY72" i="8"/>
  <c r="BV72" i="8"/>
  <c r="BU72" i="8"/>
  <c r="BM72" i="8"/>
  <c r="BN72" i="8" s="1"/>
  <c r="BJ72" i="8"/>
  <c r="BG72" i="8"/>
  <c r="AH72" i="8"/>
  <c r="Y72" i="8"/>
  <c r="AY72" i="8" s="1"/>
  <c r="W72" i="8"/>
  <c r="X72" i="8" s="1"/>
  <c r="BQ72" i="8" s="1"/>
  <c r="R72" i="8"/>
  <c r="L72" i="8"/>
  <c r="K72" i="8"/>
  <c r="BY71" i="8"/>
  <c r="BV71" i="8"/>
  <c r="BU71" i="8"/>
  <c r="BM71" i="8"/>
  <c r="BN71" i="8" s="1"/>
  <c r="BJ71" i="8"/>
  <c r="BG71" i="8"/>
  <c r="AH71" i="8"/>
  <c r="Y71" i="8"/>
  <c r="AY71" i="8" s="1"/>
  <c r="W71" i="8"/>
  <c r="X71" i="8" s="1"/>
  <c r="R71" i="8"/>
  <c r="L71" i="8"/>
  <c r="M71" i="8" s="1"/>
  <c r="K71" i="8"/>
  <c r="BY70" i="8"/>
  <c r="BV70" i="8"/>
  <c r="BU70" i="8"/>
  <c r="BM70" i="8"/>
  <c r="BN70" i="8" s="1"/>
  <c r="BJ70" i="8"/>
  <c r="BG70" i="8"/>
  <c r="AH70" i="8"/>
  <c r="Y70" i="8"/>
  <c r="AY70" i="8" s="1"/>
  <c r="W70" i="8"/>
  <c r="X70" i="8" s="1"/>
  <c r="BQ70" i="8" s="1"/>
  <c r="R70" i="8"/>
  <c r="L70" i="8"/>
  <c r="K70" i="8"/>
  <c r="BY69" i="8"/>
  <c r="BV69" i="8"/>
  <c r="BU69" i="8"/>
  <c r="BM69" i="8"/>
  <c r="BN69" i="8" s="1"/>
  <c r="BJ69" i="8"/>
  <c r="BG69" i="8"/>
  <c r="AH69" i="8"/>
  <c r="Y69" i="8"/>
  <c r="AY69" i="8" s="1"/>
  <c r="W69" i="8"/>
  <c r="X69" i="8" s="1"/>
  <c r="R69" i="8"/>
  <c r="L69" i="8"/>
  <c r="M69" i="8" s="1"/>
  <c r="K69" i="8"/>
  <c r="BY68" i="8"/>
  <c r="BV68" i="8"/>
  <c r="BU68" i="8"/>
  <c r="BM68" i="8"/>
  <c r="BN68" i="8" s="1"/>
  <c r="BJ68" i="8"/>
  <c r="BG68" i="8"/>
  <c r="AH68" i="8"/>
  <c r="Y68" i="8"/>
  <c r="AY68" i="8" s="1"/>
  <c r="W68" i="8"/>
  <c r="X68" i="8" s="1"/>
  <c r="BQ68" i="8" s="1"/>
  <c r="R68" i="8"/>
  <c r="L68" i="8"/>
  <c r="K68" i="8"/>
  <c r="BY67" i="8"/>
  <c r="BV67" i="8"/>
  <c r="BU67" i="8"/>
  <c r="BM67" i="8"/>
  <c r="BN67" i="8" s="1"/>
  <c r="BJ67" i="8"/>
  <c r="BG67" i="8"/>
  <c r="AH67" i="8"/>
  <c r="Y67" i="8"/>
  <c r="AY67" i="8" s="1"/>
  <c r="W67" i="8"/>
  <c r="X67" i="8" s="1"/>
  <c r="R67" i="8"/>
  <c r="L67" i="8"/>
  <c r="M67" i="8" s="1"/>
  <c r="K67" i="8"/>
  <c r="BY66" i="8"/>
  <c r="BV66" i="8"/>
  <c r="BU66" i="8"/>
  <c r="BM66" i="8"/>
  <c r="BN66" i="8" s="1"/>
  <c r="BJ66" i="8"/>
  <c r="BG66" i="8"/>
  <c r="AH66" i="8"/>
  <c r="Y66" i="8"/>
  <c r="AY66" i="8" s="1"/>
  <c r="W66" i="8"/>
  <c r="X66" i="8" s="1"/>
  <c r="BQ66" i="8" s="1"/>
  <c r="R66" i="8"/>
  <c r="L66" i="8"/>
  <c r="K66" i="8"/>
  <c r="BY65" i="8"/>
  <c r="BV65" i="8"/>
  <c r="BU65" i="8"/>
  <c r="BM65" i="8"/>
  <c r="BN65" i="8" s="1"/>
  <c r="BJ65" i="8"/>
  <c r="BG65" i="8"/>
  <c r="AH65" i="8"/>
  <c r="Y65" i="8"/>
  <c r="AY65" i="8" s="1"/>
  <c r="W65" i="8"/>
  <c r="X65" i="8" s="1"/>
  <c r="R65" i="8"/>
  <c r="L65" i="8"/>
  <c r="M65" i="8" s="1"/>
  <c r="K65" i="8"/>
  <c r="BY64" i="8"/>
  <c r="BV64" i="8"/>
  <c r="BU64" i="8"/>
  <c r="BM64" i="8"/>
  <c r="BN64" i="8" s="1"/>
  <c r="BJ64" i="8"/>
  <c r="BG64" i="8"/>
  <c r="AH64" i="8"/>
  <c r="Y64" i="8"/>
  <c r="AY64" i="8" s="1"/>
  <c r="W64" i="8"/>
  <c r="X64" i="8" s="1"/>
  <c r="BQ64" i="8" s="1"/>
  <c r="R64" i="8"/>
  <c r="L64" i="8"/>
  <c r="K64" i="8"/>
  <c r="BY63" i="8"/>
  <c r="BV63" i="8"/>
  <c r="BU63" i="8"/>
  <c r="BM63" i="8"/>
  <c r="BN63" i="8" s="1"/>
  <c r="BJ63" i="8"/>
  <c r="BG63" i="8"/>
  <c r="AH63" i="8"/>
  <c r="Y63" i="8"/>
  <c r="AY63" i="8" s="1"/>
  <c r="W63" i="8"/>
  <c r="X63" i="8" s="1"/>
  <c r="R63" i="8"/>
  <c r="L63" i="8"/>
  <c r="M63" i="8" s="1"/>
  <c r="K63" i="8"/>
  <c r="BY62" i="8"/>
  <c r="BV62" i="8"/>
  <c r="BU62" i="8"/>
  <c r="BM62" i="8"/>
  <c r="BN62" i="8" s="1"/>
  <c r="BJ62" i="8"/>
  <c r="BG62" i="8"/>
  <c r="AH62" i="8"/>
  <c r="Y62" i="8"/>
  <c r="AY62" i="8" s="1"/>
  <c r="W62" i="8"/>
  <c r="X62" i="8" s="1"/>
  <c r="BQ62" i="8" s="1"/>
  <c r="R62" i="8"/>
  <c r="L62" i="8"/>
  <c r="K62" i="8"/>
  <c r="BY61" i="8"/>
  <c r="BV61" i="8"/>
  <c r="BU61" i="8"/>
  <c r="BM61" i="8"/>
  <c r="BN61" i="8" s="1"/>
  <c r="BJ61" i="8"/>
  <c r="BG61" i="8"/>
  <c r="AH61" i="8"/>
  <c r="Y61" i="8"/>
  <c r="AY61" i="8" s="1"/>
  <c r="W61" i="8"/>
  <c r="X61" i="8" s="1"/>
  <c r="R61" i="8"/>
  <c r="L61" i="8"/>
  <c r="M61" i="8" s="1"/>
  <c r="K61" i="8"/>
  <c r="BY60" i="8"/>
  <c r="BV60" i="8"/>
  <c r="BU60" i="8"/>
  <c r="BM60" i="8"/>
  <c r="BN60" i="8" s="1"/>
  <c r="BJ60" i="8"/>
  <c r="BG60" i="8"/>
  <c r="AH60" i="8"/>
  <c r="Y60" i="8"/>
  <c r="AY60" i="8" s="1"/>
  <c r="W60" i="8"/>
  <c r="X60" i="8" s="1"/>
  <c r="BQ60" i="8" s="1"/>
  <c r="R60" i="8"/>
  <c r="L60" i="8"/>
  <c r="AQ60" i="8" s="1"/>
  <c r="K60" i="8"/>
  <c r="BY59" i="8"/>
  <c r="BV59" i="8"/>
  <c r="BU59" i="8"/>
  <c r="BM59" i="8"/>
  <c r="BN59" i="8" s="1"/>
  <c r="BJ59" i="8"/>
  <c r="BG59" i="8"/>
  <c r="AH59" i="8"/>
  <c r="Y59" i="8"/>
  <c r="AY59" i="8" s="1"/>
  <c r="W59" i="8"/>
  <c r="X59" i="8" s="1"/>
  <c r="R59" i="8"/>
  <c r="L59" i="8"/>
  <c r="M59" i="8" s="1"/>
  <c r="K59" i="8"/>
  <c r="BY58" i="8"/>
  <c r="BV58" i="8"/>
  <c r="BU58" i="8"/>
  <c r="BM58" i="8"/>
  <c r="BN58" i="8" s="1"/>
  <c r="BJ58" i="8"/>
  <c r="BG58" i="8"/>
  <c r="AH58" i="8"/>
  <c r="Y58" i="8"/>
  <c r="AY58" i="8" s="1"/>
  <c r="W58" i="8"/>
  <c r="X58" i="8" s="1"/>
  <c r="BQ58" i="8" s="1"/>
  <c r="R58" i="8"/>
  <c r="L58" i="8"/>
  <c r="K58" i="8"/>
  <c r="BY57" i="8"/>
  <c r="BV57" i="8"/>
  <c r="BU57" i="8"/>
  <c r="BM57" i="8"/>
  <c r="BN57" i="8" s="1"/>
  <c r="BJ57" i="8"/>
  <c r="BG57" i="8"/>
  <c r="AH57" i="8"/>
  <c r="Y57" i="8"/>
  <c r="AY57" i="8" s="1"/>
  <c r="W57" i="8"/>
  <c r="X57" i="8" s="1"/>
  <c r="R57" i="8"/>
  <c r="L57" i="8"/>
  <c r="M57" i="8" s="1"/>
  <c r="K57" i="8"/>
  <c r="BY56" i="8"/>
  <c r="BV56" i="8"/>
  <c r="BU56" i="8"/>
  <c r="BM56" i="8"/>
  <c r="BN56" i="8" s="1"/>
  <c r="BJ56" i="8"/>
  <c r="BG56" i="8"/>
  <c r="AH56" i="8"/>
  <c r="Y56" i="8"/>
  <c r="AY56" i="8" s="1"/>
  <c r="W56" i="8"/>
  <c r="X56" i="8" s="1"/>
  <c r="BA56" i="8" s="1"/>
  <c r="R56" i="8"/>
  <c r="L56" i="8"/>
  <c r="K56" i="8"/>
  <c r="BY55" i="8"/>
  <c r="BV55" i="8"/>
  <c r="BU55" i="8"/>
  <c r="BM55" i="8"/>
  <c r="BN55" i="8" s="1"/>
  <c r="BJ55" i="8"/>
  <c r="BG55" i="8"/>
  <c r="AH55" i="8"/>
  <c r="Y55" i="8"/>
  <c r="AY55" i="8" s="1"/>
  <c r="W55" i="8"/>
  <c r="X55" i="8" s="1"/>
  <c r="R55" i="8"/>
  <c r="L55" i="8"/>
  <c r="M55" i="8" s="1"/>
  <c r="K55" i="8"/>
  <c r="BY54" i="8"/>
  <c r="BV54" i="8"/>
  <c r="BU54" i="8"/>
  <c r="BM54" i="8"/>
  <c r="BN54" i="8" s="1"/>
  <c r="BJ54" i="8"/>
  <c r="BG54" i="8"/>
  <c r="AH54" i="8"/>
  <c r="Y54" i="8"/>
  <c r="AY54" i="8" s="1"/>
  <c r="W54" i="8"/>
  <c r="X54" i="8" s="1"/>
  <c r="BQ54" i="8" s="1"/>
  <c r="R54" i="8"/>
  <c r="L54" i="8"/>
  <c r="K54" i="8"/>
  <c r="BY53" i="8"/>
  <c r="BV53" i="8"/>
  <c r="BU53" i="8"/>
  <c r="BM53" i="8"/>
  <c r="BN53" i="8" s="1"/>
  <c r="BJ53" i="8"/>
  <c r="BG53" i="8"/>
  <c r="AY53" i="8"/>
  <c r="AH53" i="8"/>
  <c r="Y53" i="8"/>
  <c r="W53" i="8"/>
  <c r="X53" i="8" s="1"/>
  <c r="R53" i="8"/>
  <c r="M53" i="8"/>
  <c r="L53" i="8"/>
  <c r="K53" i="8"/>
  <c r="BY52" i="8"/>
  <c r="BV52" i="8"/>
  <c r="BU52" i="8"/>
  <c r="BM52" i="8"/>
  <c r="BN52" i="8" s="1"/>
  <c r="BJ52" i="8"/>
  <c r="BG52" i="8"/>
  <c r="AH52" i="8"/>
  <c r="Y52" i="8"/>
  <c r="AY52" i="8" s="1"/>
  <c r="W52" i="8"/>
  <c r="X52" i="8" s="1"/>
  <c r="BA52" i="8" s="1"/>
  <c r="R52" i="8"/>
  <c r="L52" i="8"/>
  <c r="K52" i="8"/>
  <c r="BY51" i="8"/>
  <c r="BV51" i="8"/>
  <c r="BU51" i="8"/>
  <c r="BM51" i="8"/>
  <c r="BN51" i="8" s="1"/>
  <c r="BJ51" i="8"/>
  <c r="BG51" i="8"/>
  <c r="AY51" i="8"/>
  <c r="AH51" i="8"/>
  <c r="Y51" i="8"/>
  <c r="W51" i="8"/>
  <c r="X51" i="8" s="1"/>
  <c r="R51" i="8"/>
  <c r="M51" i="8"/>
  <c r="L51" i="8"/>
  <c r="K51" i="8"/>
  <c r="BY50" i="8"/>
  <c r="BV50" i="8"/>
  <c r="BU50" i="8"/>
  <c r="BM50" i="8"/>
  <c r="BN50" i="8" s="1"/>
  <c r="BJ50" i="8"/>
  <c r="BG50" i="8"/>
  <c r="AH50" i="8"/>
  <c r="Y50" i="8"/>
  <c r="AY50" i="8" s="1"/>
  <c r="X50" i="8"/>
  <c r="BQ50" i="8" s="1"/>
  <c r="W50" i="8"/>
  <c r="R50" i="8"/>
  <c r="L50" i="8"/>
  <c r="K50" i="8"/>
  <c r="BY49" i="8"/>
  <c r="BV49" i="8"/>
  <c r="BU49" i="8"/>
  <c r="BN49" i="8"/>
  <c r="BM49" i="8"/>
  <c r="BJ49" i="8"/>
  <c r="BG49" i="8"/>
  <c r="AY49" i="8"/>
  <c r="AH49" i="8"/>
  <c r="Y49" i="8"/>
  <c r="W49" i="8"/>
  <c r="X49" i="8" s="1"/>
  <c r="R49" i="8"/>
  <c r="M49" i="8"/>
  <c r="L49" i="8"/>
  <c r="K49" i="8"/>
  <c r="BY48" i="8"/>
  <c r="BV48" i="8"/>
  <c r="BU48" i="8"/>
  <c r="BM48" i="8"/>
  <c r="BN48" i="8" s="1"/>
  <c r="BJ48" i="8"/>
  <c r="BG48" i="8"/>
  <c r="AH48" i="8"/>
  <c r="Y48" i="8"/>
  <c r="AY48" i="8" s="1"/>
  <c r="X48" i="8"/>
  <c r="W48" i="8"/>
  <c r="R48" i="8"/>
  <c r="L48" i="8"/>
  <c r="K48" i="8"/>
  <c r="BY47" i="8"/>
  <c r="BV47" i="8"/>
  <c r="BU47" i="8"/>
  <c r="BN47" i="8"/>
  <c r="BM47" i="8"/>
  <c r="BJ47" i="8"/>
  <c r="BG47" i="8"/>
  <c r="AN47" i="8"/>
  <c r="AH47" i="8"/>
  <c r="Y47" i="8"/>
  <c r="AY47" i="8" s="1"/>
  <c r="W47" i="8"/>
  <c r="X47" i="8" s="1"/>
  <c r="R47" i="8"/>
  <c r="L47" i="8"/>
  <c r="AP47" i="8" s="1"/>
  <c r="K47" i="8"/>
  <c r="M47" i="8" s="1"/>
  <c r="BY46" i="8"/>
  <c r="BV46" i="8"/>
  <c r="BU46" i="8"/>
  <c r="BM46" i="8"/>
  <c r="BN46" i="8" s="1"/>
  <c r="BJ46" i="8"/>
  <c r="BG46" i="8"/>
  <c r="AH46" i="8"/>
  <c r="Y46" i="8"/>
  <c r="AY46" i="8" s="1"/>
  <c r="W46" i="8"/>
  <c r="X46" i="8" s="1"/>
  <c r="BQ46" i="8" s="1"/>
  <c r="R46" i="8"/>
  <c r="L46" i="8"/>
  <c r="K46" i="8"/>
  <c r="BY45" i="8"/>
  <c r="BV45" i="8"/>
  <c r="BU45" i="8"/>
  <c r="BM45" i="8"/>
  <c r="BN45" i="8" s="1"/>
  <c r="BJ45" i="8"/>
  <c r="BG45" i="8"/>
  <c r="AH45" i="8"/>
  <c r="Y45" i="8"/>
  <c r="AY45" i="8" s="1"/>
  <c r="W45" i="8"/>
  <c r="X45" i="8" s="1"/>
  <c r="R45" i="8"/>
  <c r="L45" i="8"/>
  <c r="M45" i="8" s="1"/>
  <c r="K45" i="8"/>
  <c r="BY44" i="8"/>
  <c r="BV44" i="8"/>
  <c r="BU44" i="8"/>
  <c r="BM44" i="8"/>
  <c r="BN44" i="8" s="1"/>
  <c r="BJ44" i="8"/>
  <c r="BG44" i="8"/>
  <c r="AH44" i="8"/>
  <c r="Y44" i="8"/>
  <c r="AY44" i="8" s="1"/>
  <c r="W44" i="8"/>
  <c r="X44" i="8" s="1"/>
  <c r="BQ44" i="8" s="1"/>
  <c r="R44" i="8"/>
  <c r="L44" i="8"/>
  <c r="K44" i="8"/>
  <c r="BY43" i="8"/>
  <c r="BV43" i="8"/>
  <c r="BU43" i="8"/>
  <c r="BM43" i="8"/>
  <c r="BN43" i="8" s="1"/>
  <c r="BJ43" i="8"/>
  <c r="BG43" i="8"/>
  <c r="AY43" i="8"/>
  <c r="AH43" i="8"/>
  <c r="Y43" i="8"/>
  <c r="W43" i="8"/>
  <c r="X43" i="8" s="1"/>
  <c r="R43" i="8"/>
  <c r="M43" i="8"/>
  <c r="L43" i="8"/>
  <c r="K43" i="8"/>
  <c r="BY42" i="8"/>
  <c r="BV42" i="8"/>
  <c r="BU42" i="8"/>
  <c r="BM42" i="8"/>
  <c r="BN42" i="8" s="1"/>
  <c r="BJ42" i="8"/>
  <c r="BG42" i="8"/>
  <c r="AH42" i="8"/>
  <c r="Y42" i="8"/>
  <c r="AY42" i="8" s="1"/>
  <c r="X42" i="8"/>
  <c r="BQ42" i="8" s="1"/>
  <c r="W42" i="8"/>
  <c r="R42" i="8"/>
  <c r="L42" i="8"/>
  <c r="AO42" i="8" s="1"/>
  <c r="K42" i="8"/>
  <c r="BY41" i="8"/>
  <c r="BV41" i="8"/>
  <c r="BU41" i="8"/>
  <c r="BN41" i="8"/>
  <c r="BM41" i="8"/>
  <c r="BJ41" i="8"/>
  <c r="BG41" i="8"/>
  <c r="AN41" i="8"/>
  <c r="AH41" i="8"/>
  <c r="Y41" i="8"/>
  <c r="AY41" i="8" s="1"/>
  <c r="W41" i="8"/>
  <c r="X41" i="8" s="1"/>
  <c r="R41" i="8"/>
  <c r="L41" i="8"/>
  <c r="AP41" i="8" s="1"/>
  <c r="K41" i="8"/>
  <c r="M41" i="8" s="1"/>
  <c r="BY40" i="8"/>
  <c r="BV40" i="8"/>
  <c r="BU40" i="8"/>
  <c r="BM40" i="8"/>
  <c r="BN40" i="8" s="1"/>
  <c r="BJ40" i="8"/>
  <c r="BG40" i="8"/>
  <c r="AH40" i="8"/>
  <c r="Y40" i="8"/>
  <c r="AY40" i="8" s="1"/>
  <c r="W40" i="8"/>
  <c r="X40" i="8" s="1"/>
  <c r="BQ40" i="8" s="1"/>
  <c r="R40" i="8"/>
  <c r="L40" i="8"/>
  <c r="K40" i="8"/>
  <c r="BY39" i="8"/>
  <c r="BV39" i="8"/>
  <c r="BU39" i="8"/>
  <c r="BM39" i="8"/>
  <c r="BN39" i="8" s="1"/>
  <c r="BJ39" i="8"/>
  <c r="BG39" i="8"/>
  <c r="AH39" i="8"/>
  <c r="Y39" i="8"/>
  <c r="AY39" i="8" s="1"/>
  <c r="W39" i="8"/>
  <c r="X39" i="8" s="1"/>
  <c r="R39" i="8"/>
  <c r="L39" i="8"/>
  <c r="M39" i="8" s="1"/>
  <c r="K39" i="8"/>
  <c r="BY38" i="8"/>
  <c r="BV38" i="8"/>
  <c r="BU38" i="8"/>
  <c r="BM38" i="8"/>
  <c r="BN38" i="8" s="1"/>
  <c r="BJ38" i="8"/>
  <c r="BG38" i="8"/>
  <c r="AH38" i="8"/>
  <c r="Y38" i="8"/>
  <c r="AY38" i="8" s="1"/>
  <c r="W38" i="8"/>
  <c r="X38" i="8" s="1"/>
  <c r="BA38" i="8" s="1"/>
  <c r="R38" i="8"/>
  <c r="L38" i="8"/>
  <c r="K38" i="8"/>
  <c r="BY37" i="8"/>
  <c r="BV37" i="8"/>
  <c r="BU37" i="8"/>
  <c r="BM37" i="8"/>
  <c r="BN37" i="8" s="1"/>
  <c r="BJ37" i="8"/>
  <c r="BG37" i="8"/>
  <c r="AH37" i="8"/>
  <c r="Y37" i="8"/>
  <c r="AY37" i="8" s="1"/>
  <c r="W37" i="8"/>
  <c r="X37" i="8" s="1"/>
  <c r="R37" i="8"/>
  <c r="L37" i="8"/>
  <c r="M37" i="8" s="1"/>
  <c r="K37" i="8"/>
  <c r="BY36" i="8"/>
  <c r="BV36" i="8"/>
  <c r="BU36" i="8"/>
  <c r="BM36" i="8"/>
  <c r="BN36" i="8" s="1"/>
  <c r="BJ36" i="8"/>
  <c r="BG36" i="8"/>
  <c r="AH36" i="8"/>
  <c r="Y36" i="8"/>
  <c r="AY36" i="8" s="1"/>
  <c r="W36" i="8"/>
  <c r="X36" i="8" s="1"/>
  <c r="R36" i="8"/>
  <c r="L36" i="8"/>
  <c r="K36" i="8"/>
  <c r="BY35" i="8"/>
  <c r="BV35" i="8"/>
  <c r="BU35" i="8"/>
  <c r="BN35" i="8"/>
  <c r="BM35" i="8"/>
  <c r="BJ35" i="8"/>
  <c r="BG35" i="8"/>
  <c r="AH35" i="8"/>
  <c r="Y35" i="8"/>
  <c r="AY35" i="8" s="1"/>
  <c r="W35" i="8"/>
  <c r="X35" i="8" s="1"/>
  <c r="R35" i="8"/>
  <c r="L35" i="8"/>
  <c r="M35" i="8" s="1"/>
  <c r="K35" i="8"/>
  <c r="BY34" i="8"/>
  <c r="BV34" i="8"/>
  <c r="BU34" i="8"/>
  <c r="BN34" i="8"/>
  <c r="BM34" i="8"/>
  <c r="BJ34" i="8"/>
  <c r="BG34" i="8"/>
  <c r="AH34" i="8"/>
  <c r="Y34" i="8"/>
  <c r="AY34" i="8" s="1"/>
  <c r="W34" i="8"/>
  <c r="X34" i="8" s="1"/>
  <c r="BQ34" i="8" s="1"/>
  <c r="R34" i="8"/>
  <c r="L34" i="8"/>
  <c r="M34" i="8" s="1"/>
  <c r="K34" i="8"/>
  <c r="BY33" i="8"/>
  <c r="BV33" i="8"/>
  <c r="BU33" i="8"/>
  <c r="BN33" i="8"/>
  <c r="BM33" i="8"/>
  <c r="BJ33" i="8"/>
  <c r="BG33" i="8"/>
  <c r="AY33" i="8"/>
  <c r="AH33" i="8"/>
  <c r="Y33" i="8"/>
  <c r="W33" i="8"/>
  <c r="X33" i="8" s="1"/>
  <c r="R33" i="8"/>
  <c r="AL33" i="8" s="1"/>
  <c r="L33" i="8"/>
  <c r="M33" i="8" s="1"/>
  <c r="K33" i="8"/>
  <c r="BY32" i="8"/>
  <c r="BV32" i="8"/>
  <c r="BU32" i="8"/>
  <c r="BN32" i="8"/>
  <c r="BM32" i="8"/>
  <c r="BJ32" i="8"/>
  <c r="BG32" i="8"/>
  <c r="AH32" i="8"/>
  <c r="Y32" i="8"/>
  <c r="AY32" i="8" s="1"/>
  <c r="W32" i="8"/>
  <c r="X32" i="8" s="1"/>
  <c r="BQ32" i="8" s="1"/>
  <c r="R32" i="8"/>
  <c r="M32" i="8"/>
  <c r="L32" i="8"/>
  <c r="K32" i="8"/>
  <c r="BY31" i="8"/>
  <c r="BV31" i="8"/>
  <c r="BU31" i="8"/>
  <c r="BM31" i="8"/>
  <c r="BN31" i="8" s="1"/>
  <c r="BJ31" i="8"/>
  <c r="BG31" i="8"/>
  <c r="AY31" i="8"/>
  <c r="AH31" i="8"/>
  <c r="Y31" i="8"/>
  <c r="W31" i="8"/>
  <c r="X31" i="8" s="1"/>
  <c r="R31" i="8"/>
  <c r="M31" i="8"/>
  <c r="L31" i="8"/>
  <c r="K31" i="8"/>
  <c r="BY30" i="8"/>
  <c r="BV30" i="8"/>
  <c r="BU30" i="8"/>
  <c r="BM30" i="8"/>
  <c r="BN30" i="8" s="1"/>
  <c r="BJ30" i="8"/>
  <c r="BG30" i="8"/>
  <c r="AH30" i="8"/>
  <c r="Y30" i="8"/>
  <c r="AY30" i="8" s="1"/>
  <c r="X30" i="8"/>
  <c r="BQ30" i="8" s="1"/>
  <c r="W30" i="8"/>
  <c r="R30" i="8"/>
  <c r="M30" i="8"/>
  <c r="L30" i="8"/>
  <c r="K30" i="8"/>
  <c r="BY29" i="8"/>
  <c r="BV29" i="8"/>
  <c r="BU29" i="8"/>
  <c r="BM29" i="8"/>
  <c r="BN29" i="8" s="1"/>
  <c r="BJ29" i="8"/>
  <c r="BG29" i="8"/>
  <c r="AH29" i="8"/>
  <c r="Y29" i="8"/>
  <c r="AY29" i="8" s="1"/>
  <c r="W29" i="8"/>
  <c r="X29" i="8" s="1"/>
  <c r="R29" i="8"/>
  <c r="L29" i="8"/>
  <c r="M29" i="8" s="1"/>
  <c r="K29" i="8"/>
  <c r="BY28" i="8"/>
  <c r="BV28" i="8"/>
  <c r="BU28" i="8"/>
  <c r="J12" i="5" s="1"/>
  <c r="BM28" i="8"/>
  <c r="BN28" i="8" s="1"/>
  <c r="BJ28" i="8"/>
  <c r="BG28" i="8"/>
  <c r="AY28" i="8"/>
  <c r="AH28" i="8"/>
  <c r="Y28" i="8"/>
  <c r="W28" i="8"/>
  <c r="X28" i="8" s="1"/>
  <c r="BQ28" i="8" s="1"/>
  <c r="R28" i="8"/>
  <c r="L28" i="8"/>
  <c r="K28" i="8"/>
  <c r="BY27" i="8"/>
  <c r="BV27" i="8"/>
  <c r="BU27" i="8"/>
  <c r="BM27" i="8"/>
  <c r="BN27" i="8" s="1"/>
  <c r="BJ27" i="8"/>
  <c r="BG27" i="8"/>
  <c r="AR27" i="8"/>
  <c r="AM27" i="8"/>
  <c r="AH27" i="8"/>
  <c r="Y27" i="8"/>
  <c r="AY27" i="8" s="1"/>
  <c r="W27" i="8"/>
  <c r="X27" i="8" s="1"/>
  <c r="BQ27" i="8" s="1"/>
  <c r="R27" i="8"/>
  <c r="L27" i="8"/>
  <c r="AQ27" i="8" s="1"/>
  <c r="K27" i="8"/>
  <c r="BY26" i="8"/>
  <c r="BV26" i="8"/>
  <c r="BU26" i="8"/>
  <c r="BM26" i="8"/>
  <c r="BN26" i="8" s="1"/>
  <c r="BJ26" i="8"/>
  <c r="BG26" i="8"/>
  <c r="AY26" i="8"/>
  <c r="AH26" i="8"/>
  <c r="Y26" i="8"/>
  <c r="W26" i="8"/>
  <c r="X26" i="8" s="1"/>
  <c r="BQ26" i="8" s="1"/>
  <c r="R26" i="8"/>
  <c r="L26" i="8"/>
  <c r="K26" i="8"/>
  <c r="BY25" i="8"/>
  <c r="BV25" i="8"/>
  <c r="BU25" i="8"/>
  <c r="BM25" i="8"/>
  <c r="BN25" i="8" s="1"/>
  <c r="BJ25" i="8"/>
  <c r="BG25" i="8"/>
  <c r="AH25" i="8"/>
  <c r="Y25" i="8"/>
  <c r="AY25" i="8" s="1"/>
  <c r="W25" i="8"/>
  <c r="X25" i="8" s="1"/>
  <c r="R25" i="8"/>
  <c r="L25" i="8"/>
  <c r="M25" i="8" s="1"/>
  <c r="K25" i="8"/>
  <c r="BY24" i="8"/>
  <c r="BV24" i="8"/>
  <c r="BU24" i="8"/>
  <c r="BM24" i="8"/>
  <c r="BN24" i="8" s="1"/>
  <c r="BJ24" i="8"/>
  <c r="BG24" i="8"/>
  <c r="AY24" i="8"/>
  <c r="AH24" i="8"/>
  <c r="Y24" i="8"/>
  <c r="W24" i="8"/>
  <c r="X24" i="8" s="1"/>
  <c r="BQ24" i="8" s="1"/>
  <c r="R24" i="8"/>
  <c r="L24" i="8"/>
  <c r="K24" i="8"/>
  <c r="BY23" i="8"/>
  <c r="BV23" i="8"/>
  <c r="BU23" i="8"/>
  <c r="BM23" i="8"/>
  <c r="BN23" i="8" s="1"/>
  <c r="BJ23" i="8"/>
  <c r="BG23" i="8"/>
  <c r="AY23" i="8"/>
  <c r="AH23" i="8"/>
  <c r="Y23" i="8"/>
  <c r="W23" i="8"/>
  <c r="X23" i="8" s="1"/>
  <c r="R23" i="8"/>
  <c r="M23" i="8"/>
  <c r="L23" i="8"/>
  <c r="K23" i="8"/>
  <c r="BY22" i="8"/>
  <c r="BV22" i="8"/>
  <c r="BU22" i="8"/>
  <c r="BM22" i="8"/>
  <c r="BN22" i="8" s="1"/>
  <c r="BJ22" i="8"/>
  <c r="BG22" i="8"/>
  <c r="AH22" i="8"/>
  <c r="Y22" i="8"/>
  <c r="AY22" i="8" s="1"/>
  <c r="X22" i="8"/>
  <c r="W22" i="8"/>
  <c r="R22" i="8"/>
  <c r="L22" i="8"/>
  <c r="K22" i="8"/>
  <c r="BY21" i="8"/>
  <c r="BV21" i="8"/>
  <c r="C38" i="19" s="1"/>
  <c r="BU21" i="8"/>
  <c r="BN21" i="8"/>
  <c r="C36" i="19" s="1"/>
  <c r="BM21" i="8"/>
  <c r="BJ21" i="8"/>
  <c r="BG21" i="8"/>
  <c r="C34" i="19" s="1"/>
  <c r="AH21" i="8"/>
  <c r="Y21" i="8"/>
  <c r="W21" i="8"/>
  <c r="C19" i="19" s="1"/>
  <c r="R21" i="8"/>
  <c r="B15" i="19" s="1"/>
  <c r="L21" i="8"/>
  <c r="K21" i="8"/>
  <c r="C12" i="19" s="1"/>
  <c r="BY20" i="8"/>
  <c r="BV20" i="8"/>
  <c r="BU20" i="8"/>
  <c r="J14" i="5" s="1"/>
  <c r="BM20" i="8"/>
  <c r="BN20" i="8" s="1"/>
  <c r="BJ20" i="8"/>
  <c r="BG20" i="8"/>
  <c r="AH20" i="8"/>
  <c r="Y20" i="8"/>
  <c r="AY20" i="8" s="1"/>
  <c r="W20" i="8"/>
  <c r="X20" i="8" s="1"/>
  <c r="BQ20" i="8" s="1"/>
  <c r="R20" i="8"/>
  <c r="L20" i="8"/>
  <c r="K20" i="8"/>
  <c r="BY19" i="8"/>
  <c r="BV19" i="8"/>
  <c r="BU19" i="8"/>
  <c r="BM19" i="8"/>
  <c r="BN19" i="8" s="1"/>
  <c r="BJ19" i="8"/>
  <c r="BG19" i="8"/>
  <c r="AH19" i="8"/>
  <c r="Y19" i="8"/>
  <c r="AY19" i="8" s="1"/>
  <c r="W19" i="8"/>
  <c r="X19" i="8" s="1"/>
  <c r="R19" i="8"/>
  <c r="L19" i="8"/>
  <c r="M19" i="8" s="1"/>
  <c r="K19" i="8"/>
  <c r="BY18" i="8"/>
  <c r="BV18" i="8"/>
  <c r="BU18" i="8"/>
  <c r="BM18" i="8"/>
  <c r="BN18" i="8" s="1"/>
  <c r="BJ18" i="8"/>
  <c r="BG18" i="8"/>
  <c r="AH18" i="8"/>
  <c r="Y18" i="8"/>
  <c r="AY18" i="8" s="1"/>
  <c r="W18" i="8"/>
  <c r="X18" i="8" s="1"/>
  <c r="BQ18" i="8" s="1"/>
  <c r="R18" i="8"/>
  <c r="L18" i="8"/>
  <c r="K18" i="8"/>
  <c r="BY17" i="8"/>
  <c r="BV17" i="8"/>
  <c r="BU17" i="8"/>
  <c r="BM17" i="8"/>
  <c r="BN17" i="8" s="1"/>
  <c r="BK17" i="8"/>
  <c r="BJ17" i="8"/>
  <c r="BG17" i="8"/>
  <c r="AY17" i="8"/>
  <c r="AH17" i="8"/>
  <c r="Y17" i="8"/>
  <c r="W17" i="8"/>
  <c r="X17" i="8" s="1"/>
  <c r="R17" i="8"/>
  <c r="M17" i="8"/>
  <c r="L17" i="8"/>
  <c r="K17" i="8"/>
  <c r="BY16" i="8"/>
  <c r="BV16" i="8"/>
  <c r="BU16" i="8"/>
  <c r="BM16" i="8"/>
  <c r="BN16" i="8" s="1"/>
  <c r="BJ16" i="8"/>
  <c r="BG16" i="8"/>
  <c r="AH16" i="8"/>
  <c r="Y16" i="8"/>
  <c r="AY16" i="8" s="1"/>
  <c r="W16" i="8"/>
  <c r="X16" i="8" s="1"/>
  <c r="BQ16" i="8" s="1"/>
  <c r="R16" i="8"/>
  <c r="L16" i="8"/>
  <c r="K16" i="8"/>
  <c r="BY15" i="8"/>
  <c r="BV15" i="8"/>
  <c r="BU15" i="8"/>
  <c r="BM15" i="8"/>
  <c r="BN15" i="8" s="1"/>
  <c r="BJ15" i="8"/>
  <c r="BG15" i="8"/>
  <c r="AY15" i="8"/>
  <c r="AH15" i="8"/>
  <c r="Y15" i="8"/>
  <c r="W15" i="8"/>
  <c r="X15" i="8" s="1"/>
  <c r="R15" i="8"/>
  <c r="AL15" i="8" s="1"/>
  <c r="M15" i="8"/>
  <c r="L15" i="8"/>
  <c r="K15" i="8"/>
  <c r="BY14" i="8"/>
  <c r="BV14" i="8"/>
  <c r="BU14" i="8"/>
  <c r="BM14" i="8"/>
  <c r="BN14" i="8" s="1"/>
  <c r="BJ14" i="8"/>
  <c r="BG14" i="8"/>
  <c r="AH14" i="8"/>
  <c r="Y14" i="8"/>
  <c r="AY14" i="8" s="1"/>
  <c r="X14" i="8"/>
  <c r="W14" i="8"/>
  <c r="R14" i="8"/>
  <c r="L14" i="8"/>
  <c r="K14" i="8"/>
  <c r="BY13" i="8"/>
  <c r="BV13" i="8"/>
  <c r="BU13" i="8"/>
  <c r="BN13" i="8"/>
  <c r="BM13" i="8"/>
  <c r="BJ13" i="8"/>
  <c r="BG13" i="8"/>
  <c r="AY13" i="8"/>
  <c r="AH13" i="8"/>
  <c r="Y13" i="8"/>
  <c r="W13" i="8"/>
  <c r="X13" i="8" s="1"/>
  <c r="R13" i="8"/>
  <c r="AL13" i="8" s="1"/>
  <c r="M13" i="8"/>
  <c r="L13" i="8"/>
  <c r="K13" i="8"/>
  <c r="BY12" i="8"/>
  <c r="BV12" i="8"/>
  <c r="BU12" i="8"/>
  <c r="BM12" i="8"/>
  <c r="BN12" i="8" s="1"/>
  <c r="BJ12" i="8"/>
  <c r="BG12" i="8"/>
  <c r="AH12" i="8"/>
  <c r="Y12" i="8"/>
  <c r="AY12" i="8" s="1"/>
  <c r="X12" i="8"/>
  <c r="W12" i="8"/>
  <c r="R12" i="8"/>
  <c r="L12" i="8"/>
  <c r="K12" i="8"/>
  <c r="BY11" i="8"/>
  <c r="BV11" i="8"/>
  <c r="BU11" i="8"/>
  <c r="BN11" i="8"/>
  <c r="BM11" i="8"/>
  <c r="BJ11" i="8"/>
  <c r="BG11" i="8"/>
  <c r="AH11" i="8"/>
  <c r="Y11" i="8"/>
  <c r="AY11" i="8" s="1"/>
  <c r="W11" i="8"/>
  <c r="X11" i="8" s="1"/>
  <c r="R11" i="8"/>
  <c r="L11" i="8"/>
  <c r="M11" i="8" s="1"/>
  <c r="K11" i="8"/>
  <c r="BY10" i="8"/>
  <c r="BV10" i="8"/>
  <c r="BU10" i="8"/>
  <c r="BM10" i="8"/>
  <c r="BN10" i="8" s="1"/>
  <c r="BJ10" i="8"/>
  <c r="BG10" i="8"/>
  <c r="AH10" i="8"/>
  <c r="Y10" i="8"/>
  <c r="AY10" i="8" s="1"/>
  <c r="W10" i="8"/>
  <c r="X10" i="8" s="1"/>
  <c r="R10" i="8"/>
  <c r="L10" i="8"/>
  <c r="K10" i="8"/>
  <c r="BY9" i="8"/>
  <c r="BV9" i="8"/>
  <c r="BU9" i="8"/>
  <c r="BN9" i="8"/>
  <c r="BM9" i="8"/>
  <c r="BJ9" i="8"/>
  <c r="BG9" i="8"/>
  <c r="AH9" i="8"/>
  <c r="Y9" i="8"/>
  <c r="AY9" i="8" s="1"/>
  <c r="W9" i="8"/>
  <c r="X9" i="8" s="1"/>
  <c r="R9" i="8"/>
  <c r="L9" i="8"/>
  <c r="M9" i="8" s="1"/>
  <c r="K9" i="8"/>
  <c r="BY8" i="8"/>
  <c r="BV8" i="8"/>
  <c r="BU8" i="8"/>
  <c r="BM8" i="8"/>
  <c r="BN8" i="8" s="1"/>
  <c r="BJ8" i="8"/>
  <c r="BG8" i="8"/>
  <c r="AH8" i="8"/>
  <c r="Y8" i="8"/>
  <c r="AY8" i="8" s="1"/>
  <c r="W8" i="8"/>
  <c r="X8" i="8" s="1"/>
  <c r="R8" i="8"/>
  <c r="L8" i="8"/>
  <c r="K8" i="8"/>
  <c r="BY7" i="8"/>
  <c r="BV7" i="8"/>
  <c r="BU7" i="8"/>
  <c r="BM7" i="8"/>
  <c r="BJ7" i="8"/>
  <c r="BG7" i="8"/>
  <c r="AH7" i="8"/>
  <c r="Y7" i="8"/>
  <c r="AY7" i="8" s="1"/>
  <c r="W7" i="8"/>
  <c r="X7" i="8" s="1"/>
  <c r="R7" i="8"/>
  <c r="M7" i="8"/>
  <c r="L7" i="8"/>
  <c r="K7" i="8"/>
  <c r="BY6" i="8"/>
  <c r="BV6" i="8"/>
  <c r="BU6" i="8"/>
  <c r="BM6" i="8"/>
  <c r="BN6" i="8" s="1"/>
  <c r="BJ6" i="8"/>
  <c r="BG6" i="8"/>
  <c r="AH6" i="8"/>
  <c r="Y6" i="8"/>
  <c r="AY6" i="8" s="1"/>
  <c r="W6" i="8"/>
  <c r="X6" i="8" s="1"/>
  <c r="R6" i="8"/>
  <c r="L6" i="8"/>
  <c r="K6" i="8"/>
  <c r="BY5" i="8"/>
  <c r="BV5" i="8"/>
  <c r="BU5" i="8"/>
  <c r="J2" i="5" s="1"/>
  <c r="BM5" i="8"/>
  <c r="BN5" i="8" s="1"/>
  <c r="BJ5" i="8"/>
  <c r="BG5" i="8"/>
  <c r="AH5" i="8"/>
  <c r="Y5" i="8"/>
  <c r="AY5" i="8" s="1"/>
  <c r="W5" i="8"/>
  <c r="X5" i="8" s="1"/>
  <c r="R5" i="8"/>
  <c r="L5" i="8"/>
  <c r="M5" i="8" s="1"/>
  <c r="K5" i="8"/>
  <c r="O37" i="7"/>
  <c r="K37" i="7"/>
  <c r="G37" i="7"/>
  <c r="H37" i="7" s="1"/>
  <c r="E37" i="7"/>
  <c r="O36" i="7"/>
  <c r="K36" i="7"/>
  <c r="G36" i="7"/>
  <c r="H36" i="7" s="1"/>
  <c r="E36" i="7"/>
  <c r="O35" i="7"/>
  <c r="K35" i="7"/>
  <c r="G35" i="7"/>
  <c r="H35" i="7" s="1"/>
  <c r="E35" i="7"/>
  <c r="O34" i="7"/>
  <c r="K34" i="7"/>
  <c r="G34" i="7"/>
  <c r="H34" i="7" s="1"/>
  <c r="E34" i="7"/>
  <c r="O33" i="7"/>
  <c r="K33" i="7"/>
  <c r="G33" i="7"/>
  <c r="H33" i="7" s="1"/>
  <c r="E33" i="7"/>
  <c r="O32" i="7"/>
  <c r="K32" i="7"/>
  <c r="G32" i="7"/>
  <c r="H32" i="7" s="1"/>
  <c r="E32" i="7"/>
  <c r="O31" i="7"/>
  <c r="K31" i="7"/>
  <c r="G31" i="7"/>
  <c r="H31" i="7" s="1"/>
  <c r="E31" i="7"/>
  <c r="O30" i="7"/>
  <c r="K30" i="7"/>
  <c r="H30" i="7"/>
  <c r="G30" i="7"/>
  <c r="E30" i="7"/>
  <c r="O29" i="7"/>
  <c r="K29" i="7"/>
  <c r="G29" i="7"/>
  <c r="H29" i="7" s="1"/>
  <c r="E29" i="7"/>
  <c r="O28" i="7"/>
  <c r="K28" i="7"/>
  <c r="G28" i="7"/>
  <c r="H28" i="7" s="1"/>
  <c r="E28" i="7"/>
  <c r="O27" i="7"/>
  <c r="K27" i="7"/>
  <c r="G27" i="7"/>
  <c r="H27" i="7" s="1"/>
  <c r="E27" i="7"/>
  <c r="O26" i="7"/>
  <c r="K26" i="7"/>
  <c r="BK57" i="8" s="1"/>
  <c r="BL57" i="8" s="1"/>
  <c r="BO57" i="8" s="1"/>
  <c r="BP57" i="8" s="1"/>
  <c r="H1147" i="12" s="1"/>
  <c r="I1147" i="12" s="1"/>
  <c r="H26" i="7"/>
  <c r="G26" i="7"/>
  <c r="E26" i="7"/>
  <c r="O25" i="7"/>
  <c r="K25" i="7"/>
  <c r="G25" i="7"/>
  <c r="H25" i="7" s="1"/>
  <c r="E25" i="7"/>
  <c r="O24" i="7"/>
  <c r="K24" i="7"/>
  <c r="G24" i="7"/>
  <c r="H24" i="7" s="1"/>
  <c r="E24" i="7"/>
  <c r="O23" i="7"/>
  <c r="K23" i="7"/>
  <c r="G23" i="7"/>
  <c r="H23" i="7" s="1"/>
  <c r="E23" i="7"/>
  <c r="O22" i="7"/>
  <c r="K22" i="7"/>
  <c r="G22" i="7"/>
  <c r="H22" i="7" s="1"/>
  <c r="E22" i="7"/>
  <c r="O21" i="7"/>
  <c r="K21" i="7"/>
  <c r="G21" i="7"/>
  <c r="H21" i="7" s="1"/>
  <c r="E21" i="7"/>
  <c r="O20" i="7"/>
  <c r="K20" i="7"/>
  <c r="BK11" i="8" s="1"/>
  <c r="G20" i="7"/>
  <c r="H20" i="7" s="1"/>
  <c r="E20" i="7"/>
  <c r="O19" i="7"/>
  <c r="K19" i="7"/>
  <c r="G19" i="7"/>
  <c r="H19" i="7" s="1"/>
  <c r="E19" i="7"/>
  <c r="O18" i="7"/>
  <c r="K18" i="7"/>
  <c r="BK28" i="8" s="1"/>
  <c r="BL28" i="8" s="1"/>
  <c r="G18" i="7"/>
  <c r="H18" i="7" s="1"/>
  <c r="E18" i="7"/>
  <c r="O17" i="7"/>
  <c r="K17" i="7"/>
  <c r="G17" i="7"/>
  <c r="H17" i="7" s="1"/>
  <c r="E17" i="7"/>
  <c r="O16" i="7"/>
  <c r="K16" i="7"/>
  <c r="BK55" i="8" s="1"/>
  <c r="BL55" i="8" s="1"/>
  <c r="G16" i="7"/>
  <c r="H16" i="7" s="1"/>
  <c r="E16" i="7"/>
  <c r="O15" i="7"/>
  <c r="K15" i="7"/>
  <c r="G15" i="7"/>
  <c r="H15" i="7" s="1"/>
  <c r="E15" i="7"/>
  <c r="O14" i="7"/>
  <c r="K14" i="7"/>
  <c r="H14" i="7"/>
  <c r="G14" i="7"/>
  <c r="E14" i="7"/>
  <c r="O13" i="7"/>
  <c r="K13" i="7"/>
  <c r="G13" i="7"/>
  <c r="H13" i="7" s="1"/>
  <c r="E13" i="7"/>
  <c r="O12" i="7"/>
  <c r="K12" i="7"/>
  <c r="G12" i="7"/>
  <c r="H12" i="7" s="1"/>
  <c r="E12" i="7"/>
  <c r="O11" i="7"/>
  <c r="K11" i="7"/>
  <c r="G11" i="7"/>
  <c r="H11" i="7" s="1"/>
  <c r="E11" i="7"/>
  <c r="O10" i="7"/>
  <c r="K10" i="7"/>
  <c r="H10" i="7"/>
  <c r="G10" i="7"/>
  <c r="E10" i="7"/>
  <c r="O9" i="7"/>
  <c r="K9" i="7"/>
  <c r="G9" i="7"/>
  <c r="H9" i="7" s="1"/>
  <c r="E9" i="7"/>
  <c r="O8" i="7"/>
  <c r="K8" i="7"/>
  <c r="G8" i="7"/>
  <c r="H8" i="7" s="1"/>
  <c r="E8" i="7"/>
  <c r="O7" i="7"/>
  <c r="K7" i="7"/>
  <c r="G7" i="7"/>
  <c r="H7" i="7" s="1"/>
  <c r="E7" i="7"/>
  <c r="O6" i="7"/>
  <c r="K6" i="7"/>
  <c r="G6" i="7"/>
  <c r="H6" i="7" s="1"/>
  <c r="E6" i="7"/>
  <c r="O5" i="7"/>
  <c r="K5" i="7"/>
  <c r="BK22" i="8" s="1"/>
  <c r="BL22" i="8" s="1"/>
  <c r="G5" i="7"/>
  <c r="H5" i="7" s="1"/>
  <c r="E5" i="7"/>
  <c r="O4" i="7"/>
  <c r="K4" i="7"/>
  <c r="BK15" i="8" s="1"/>
  <c r="G4" i="7"/>
  <c r="H4" i="7" s="1"/>
  <c r="E4" i="7"/>
  <c r="O3" i="7"/>
  <c r="K3" i="7"/>
  <c r="BK9" i="8" s="1"/>
  <c r="G3" i="7"/>
  <c r="H3" i="7" s="1"/>
  <c r="E3" i="7"/>
  <c r="O2" i="7"/>
  <c r="K2" i="7"/>
  <c r="BK5" i="8" s="1"/>
  <c r="G2" i="7"/>
  <c r="H2" i="7" s="1"/>
  <c r="E2" i="7"/>
  <c r="F117" i="6"/>
  <c r="A117" i="6"/>
  <c r="F116" i="6"/>
  <c r="A116" i="6"/>
  <c r="F115" i="6"/>
  <c r="A115" i="6"/>
  <c r="F114" i="6"/>
  <c r="A114" i="6"/>
  <c r="F113" i="6"/>
  <c r="A113" i="6"/>
  <c r="F112" i="6"/>
  <c r="A112" i="6"/>
  <c r="F111" i="6"/>
  <c r="A111" i="6"/>
  <c r="F110" i="6"/>
  <c r="A110" i="6"/>
  <c r="F109" i="6"/>
  <c r="A109" i="6"/>
  <c r="F108" i="6"/>
  <c r="A108" i="6"/>
  <c r="F107" i="6"/>
  <c r="A107" i="6"/>
  <c r="F106" i="6"/>
  <c r="A106" i="6"/>
  <c r="F105" i="6"/>
  <c r="A105" i="6"/>
  <c r="F104" i="6"/>
  <c r="A104" i="6"/>
  <c r="F103" i="6"/>
  <c r="A103" i="6"/>
  <c r="F102" i="6"/>
  <c r="A102" i="6"/>
  <c r="F101" i="6"/>
  <c r="A101" i="6"/>
  <c r="F100" i="6"/>
  <c r="A100" i="6"/>
  <c r="F99" i="6"/>
  <c r="A99" i="6"/>
  <c r="F98" i="6"/>
  <c r="A98" i="6"/>
  <c r="F97" i="6"/>
  <c r="A97" i="6"/>
  <c r="F96" i="6"/>
  <c r="A96" i="6"/>
  <c r="F95" i="6"/>
  <c r="A95" i="6"/>
  <c r="F94" i="6"/>
  <c r="A94" i="6"/>
  <c r="F93" i="6"/>
  <c r="A93" i="6"/>
  <c r="F92" i="6"/>
  <c r="A92" i="6"/>
  <c r="F91" i="6"/>
  <c r="A91" i="6"/>
  <c r="F90" i="6"/>
  <c r="A90" i="6"/>
  <c r="F89" i="6"/>
  <c r="A89" i="6"/>
  <c r="F88" i="6"/>
  <c r="A88" i="6"/>
  <c r="F87" i="6"/>
  <c r="A87" i="6"/>
  <c r="F86" i="6"/>
  <c r="A86" i="6"/>
  <c r="F85" i="6"/>
  <c r="A85" i="6"/>
  <c r="F84" i="6"/>
  <c r="A84" i="6"/>
  <c r="F83" i="6"/>
  <c r="A83" i="6"/>
  <c r="F82" i="6"/>
  <c r="A82" i="6"/>
  <c r="F81" i="6"/>
  <c r="A81" i="6"/>
  <c r="F80" i="6"/>
  <c r="A80" i="6"/>
  <c r="F79" i="6"/>
  <c r="A79" i="6"/>
  <c r="F78" i="6"/>
  <c r="A78" i="6"/>
  <c r="F77" i="6"/>
  <c r="A77" i="6"/>
  <c r="F76" i="6"/>
  <c r="A76" i="6"/>
  <c r="F75" i="6"/>
  <c r="A75" i="6"/>
  <c r="F74" i="6"/>
  <c r="A74" i="6"/>
  <c r="F73" i="6"/>
  <c r="A73" i="6"/>
  <c r="F72" i="6"/>
  <c r="A72" i="6"/>
  <c r="F71" i="6"/>
  <c r="A71" i="6"/>
  <c r="F70" i="6"/>
  <c r="A70" i="6"/>
  <c r="F69" i="6"/>
  <c r="A69" i="6"/>
  <c r="F68" i="6"/>
  <c r="A68" i="6"/>
  <c r="F67" i="6"/>
  <c r="A67" i="6"/>
  <c r="F66" i="6"/>
  <c r="A66" i="6"/>
  <c r="F65" i="6"/>
  <c r="A65" i="6"/>
  <c r="F64" i="6"/>
  <c r="A64" i="6"/>
  <c r="F63" i="6"/>
  <c r="A63" i="6"/>
  <c r="F62" i="6"/>
  <c r="A62" i="6"/>
  <c r="F61" i="6"/>
  <c r="A61" i="6"/>
  <c r="F60" i="6"/>
  <c r="A60" i="6"/>
  <c r="F59" i="6"/>
  <c r="A59" i="6"/>
  <c r="F58" i="6"/>
  <c r="A58" i="6"/>
  <c r="F57" i="6"/>
  <c r="A57" i="6"/>
  <c r="F56" i="6"/>
  <c r="A56" i="6"/>
  <c r="F55" i="6"/>
  <c r="A55" i="6"/>
  <c r="F54" i="6"/>
  <c r="A54" i="6"/>
  <c r="F53" i="6"/>
  <c r="A53" i="6"/>
  <c r="F52" i="6"/>
  <c r="A52" i="6"/>
  <c r="F51" i="6"/>
  <c r="A51" i="6"/>
  <c r="F50" i="6"/>
  <c r="A50" i="6"/>
  <c r="F49" i="6"/>
  <c r="A49" i="6"/>
  <c r="F48" i="6"/>
  <c r="A48" i="6"/>
  <c r="F47" i="6"/>
  <c r="A47" i="6"/>
  <c r="F46" i="6"/>
  <c r="A46" i="6"/>
  <c r="F45" i="6"/>
  <c r="A45" i="6"/>
  <c r="F44" i="6"/>
  <c r="A44" i="6"/>
  <c r="F43" i="6"/>
  <c r="A43" i="6"/>
  <c r="F42" i="6"/>
  <c r="A42" i="6"/>
  <c r="F41" i="6"/>
  <c r="A41" i="6"/>
  <c r="F40" i="6"/>
  <c r="A40" i="6"/>
  <c r="F39" i="6"/>
  <c r="A39" i="6"/>
  <c r="F38" i="6"/>
  <c r="A38" i="6"/>
  <c r="F37" i="6"/>
  <c r="A37" i="6"/>
  <c r="F36" i="6"/>
  <c r="A36" i="6"/>
  <c r="F35" i="6"/>
  <c r="A35" i="6"/>
  <c r="F34" i="6"/>
  <c r="A34" i="6"/>
  <c r="F33" i="6"/>
  <c r="A33" i="6"/>
  <c r="F32" i="6"/>
  <c r="A32" i="6"/>
  <c r="F31" i="6"/>
  <c r="A31" i="6"/>
  <c r="F30" i="6"/>
  <c r="A30" i="6"/>
  <c r="F29" i="6"/>
  <c r="A29" i="6"/>
  <c r="F28" i="6"/>
  <c r="A28" i="6"/>
  <c r="F27" i="6"/>
  <c r="A27" i="6"/>
  <c r="F26" i="6"/>
  <c r="A26" i="6"/>
  <c r="F25" i="6"/>
  <c r="A25" i="6"/>
  <c r="F24" i="6"/>
  <c r="A24" i="6"/>
  <c r="F23" i="6"/>
  <c r="A23" i="6"/>
  <c r="F22" i="6"/>
  <c r="A22" i="6"/>
  <c r="F21" i="6"/>
  <c r="A21" i="6"/>
  <c r="F20" i="6"/>
  <c r="A20" i="6"/>
  <c r="F19" i="6"/>
  <c r="A19" i="6"/>
  <c r="F18" i="6"/>
  <c r="A18" i="6"/>
  <c r="F17" i="6"/>
  <c r="A17" i="6"/>
  <c r="F16" i="6"/>
  <c r="A16" i="6"/>
  <c r="F15" i="6"/>
  <c r="A15" i="6"/>
  <c r="F14" i="6"/>
  <c r="A14" i="6"/>
  <c r="F13" i="6"/>
  <c r="A13" i="6"/>
  <c r="F12" i="6"/>
  <c r="A12" i="6"/>
  <c r="F11" i="6"/>
  <c r="A11" i="6"/>
  <c r="F10" i="6"/>
  <c r="A10" i="6"/>
  <c r="F9" i="6"/>
  <c r="A9" i="6"/>
  <c r="F8" i="6"/>
  <c r="A8" i="6"/>
  <c r="F7" i="6"/>
  <c r="A7" i="6"/>
  <c r="F6" i="6"/>
  <c r="A6" i="6"/>
  <c r="F5" i="6"/>
  <c r="A5" i="6"/>
  <c r="AM55" i="8" s="1"/>
  <c r="J15" i="5"/>
  <c r="I15" i="5"/>
  <c r="I14" i="5"/>
  <c r="J13" i="5"/>
  <c r="I13" i="5"/>
  <c r="I12" i="5"/>
  <c r="J11" i="5"/>
  <c r="I11" i="5"/>
  <c r="J10" i="5"/>
  <c r="I10" i="5"/>
  <c r="J9" i="5"/>
  <c r="I9" i="5"/>
  <c r="J8" i="5"/>
  <c r="I8" i="5"/>
  <c r="J7" i="5"/>
  <c r="I7" i="5"/>
  <c r="J6" i="5"/>
  <c r="I6" i="5"/>
  <c r="J5" i="5"/>
  <c r="I5" i="5"/>
  <c r="J4" i="5"/>
  <c r="I4" i="5"/>
  <c r="I3" i="5"/>
  <c r="I2" i="5"/>
  <c r="D44" i="2"/>
  <c r="D43" i="2"/>
  <c r="D42" i="2"/>
  <c r="D41" i="2"/>
  <c r="D40" i="2"/>
  <c r="B17" i="2"/>
  <c r="B16" i="2"/>
  <c r="B15" i="2"/>
  <c r="B13" i="2"/>
  <c r="B12" i="2"/>
  <c r="B5" i="2"/>
  <c r="BQ12" i="8" l="1"/>
  <c r="BQ14" i="8"/>
  <c r="BN7" i="8"/>
  <c r="B44" i="2"/>
  <c r="B42" i="2"/>
  <c r="B43" i="2"/>
  <c r="B41" i="2"/>
  <c r="B40" i="2"/>
  <c r="B20" i="19"/>
  <c r="AY21" i="8"/>
  <c r="B10" i="19" s="1"/>
  <c r="B9" i="2"/>
  <c r="AP21" i="8"/>
  <c r="M21" i="8"/>
  <c r="B7" i="19" s="1"/>
  <c r="AR21" i="8"/>
  <c r="AM21" i="8"/>
  <c r="AQ21" i="8"/>
  <c r="AL21" i="8"/>
  <c r="AN21" i="8"/>
  <c r="J3" i="5"/>
  <c r="AQ8" i="8"/>
  <c r="BL15" i="8"/>
  <c r="BO15" i="8" s="1"/>
  <c r="BP15" i="8" s="1"/>
  <c r="H223" i="12" s="1"/>
  <c r="I223" i="12" s="1"/>
  <c r="BA16" i="8"/>
  <c r="AL19" i="8"/>
  <c r="BA24" i="8"/>
  <c r="AL25" i="8"/>
  <c r="M27" i="8"/>
  <c r="AP27" i="8"/>
  <c r="BA28" i="8"/>
  <c r="AL29" i="8"/>
  <c r="AZ32" i="8"/>
  <c r="BQ36" i="8"/>
  <c r="AL41" i="8"/>
  <c r="AQ41" i="8"/>
  <c r="AO44" i="8"/>
  <c r="AL47" i="8"/>
  <c r="AQ47" i="8"/>
  <c r="AO54" i="8"/>
  <c r="AQ6" i="8"/>
  <c r="BA7" i="8"/>
  <c r="BK7" i="8"/>
  <c r="BL7" i="8" s="1"/>
  <c r="AL11" i="8"/>
  <c r="BA17" i="8"/>
  <c r="BL17" i="8"/>
  <c r="BO17" i="8" s="1"/>
  <c r="BA18" i="8"/>
  <c r="BA20" i="8"/>
  <c r="BA23" i="8"/>
  <c r="BA26" i="8"/>
  <c r="AL27" i="8"/>
  <c r="AZ30" i="8"/>
  <c r="AL35" i="8"/>
  <c r="AO40" i="8"/>
  <c r="BQ41" i="8"/>
  <c r="AM41" i="8"/>
  <c r="AR41" i="8"/>
  <c r="AO46" i="8"/>
  <c r="BQ47" i="8"/>
  <c r="AM47" i="8"/>
  <c r="AR47" i="8"/>
  <c r="AO58" i="8"/>
  <c r="BQ93" i="8"/>
  <c r="BA48" i="8"/>
  <c r="BQ97" i="8"/>
  <c r="BQ22" i="8"/>
  <c r="BO55" i="8"/>
  <c r="BP55" i="8" s="1"/>
  <c r="H1103" i="12" s="1"/>
  <c r="I1103" i="12" s="1"/>
  <c r="BA5" i="8"/>
  <c r="BL9" i="8"/>
  <c r="AQ10" i="8"/>
  <c r="BA11" i="8"/>
  <c r="BL11" i="8"/>
  <c r="BO11" i="8" s="1"/>
  <c r="BA12" i="8"/>
  <c r="BA14" i="8"/>
  <c r="AL17" i="8"/>
  <c r="BA22" i="8"/>
  <c r="AL23" i="8"/>
  <c r="BA27" i="8"/>
  <c r="AN27" i="8"/>
  <c r="AL31" i="8"/>
  <c r="AZ34" i="8"/>
  <c r="AO50" i="8"/>
  <c r="BQ85" i="8"/>
  <c r="BQ103" i="8"/>
  <c r="BP110" i="8"/>
  <c r="H2313" i="12" s="1"/>
  <c r="I2313" i="12" s="1"/>
  <c r="BH111" i="8"/>
  <c r="BH113" i="8"/>
  <c r="H2378" i="12" s="1"/>
  <c r="I2378" i="12" s="1"/>
  <c r="BH115" i="8"/>
  <c r="H2422" i="12" s="1"/>
  <c r="I2422" i="12" s="1"/>
  <c r="BH117" i="8"/>
  <c r="H2466" i="12" s="1"/>
  <c r="I2466" i="12" s="1"/>
  <c r="BW117" i="8" s="1"/>
  <c r="BQ105" i="8"/>
  <c r="AN10" i="8"/>
  <c r="BQ10" i="8"/>
  <c r="BQ19" i="8"/>
  <c r="AN19" i="8"/>
  <c r="BO28" i="8"/>
  <c r="BP28" i="8" s="1"/>
  <c r="H509" i="12" s="1"/>
  <c r="I509" i="12" s="1"/>
  <c r="BQ25" i="8"/>
  <c r="AN25" i="8"/>
  <c r="BQ5" i="8"/>
  <c r="AN5" i="8"/>
  <c r="AN8" i="8"/>
  <c r="BQ8" i="8"/>
  <c r="BO9" i="8"/>
  <c r="BQ11" i="8"/>
  <c r="AN11" i="8"/>
  <c r="BP11" i="8"/>
  <c r="H135" i="12" s="1"/>
  <c r="I135" i="12" s="1"/>
  <c r="BA19" i="8"/>
  <c r="BA25" i="8"/>
  <c r="BA36" i="8"/>
  <c r="BQ13" i="8"/>
  <c r="AN13" i="8"/>
  <c r="BQ15" i="8"/>
  <c r="AN15" i="8"/>
  <c r="AN6" i="8"/>
  <c r="BQ6" i="8"/>
  <c r="BQ9" i="8"/>
  <c r="AN9" i="8"/>
  <c r="BQ7" i="8"/>
  <c r="AN7" i="8"/>
  <c r="BA9" i="8"/>
  <c r="BA13" i="8"/>
  <c r="BA15" i="8"/>
  <c r="BQ17" i="8"/>
  <c r="AN17" i="8"/>
  <c r="BP17" i="8"/>
  <c r="H267" i="12" s="1"/>
  <c r="I267" i="12" s="1"/>
  <c r="BO22" i="8"/>
  <c r="BP22" i="8" s="1"/>
  <c r="H377" i="12" s="1"/>
  <c r="I377" i="12" s="1"/>
  <c r="BQ23" i="8"/>
  <c r="AN23" i="8"/>
  <c r="C9" i="9"/>
  <c r="C8" i="9"/>
  <c r="C10" i="9"/>
  <c r="I552" i="13"/>
  <c r="J552" i="13" s="1"/>
  <c r="I551" i="13"/>
  <c r="I553" i="13"/>
  <c r="BK93" i="8"/>
  <c r="BK54" i="8"/>
  <c r="BK86" i="8"/>
  <c r="BK79" i="8"/>
  <c r="BL79" i="8" s="1"/>
  <c r="BO79" i="8" s="1"/>
  <c r="BP79" i="8" s="1"/>
  <c r="H1631" i="12" s="1"/>
  <c r="I1631" i="12" s="1"/>
  <c r="BK71" i="8"/>
  <c r="BL71" i="8" s="1"/>
  <c r="BO71" i="8" s="1"/>
  <c r="BP71" i="8" s="1"/>
  <c r="H1455" i="12" s="1"/>
  <c r="I1455" i="12" s="1"/>
  <c r="BK63" i="8"/>
  <c r="BL63" i="8" s="1"/>
  <c r="BO63" i="8" s="1"/>
  <c r="BP63" i="8" s="1"/>
  <c r="H1279" i="12" s="1"/>
  <c r="I1279" i="12" s="1"/>
  <c r="C81" i="9"/>
  <c r="C80" i="9"/>
  <c r="C82" i="9"/>
  <c r="I504" i="13"/>
  <c r="I503" i="13"/>
  <c r="BK112" i="8"/>
  <c r="BK110" i="8"/>
  <c r="BK113" i="8"/>
  <c r="BK111" i="8"/>
  <c r="AL5" i="8"/>
  <c r="BB5" i="8"/>
  <c r="I18" i="13"/>
  <c r="I14" i="13"/>
  <c r="I19" i="13"/>
  <c r="I15" i="13"/>
  <c r="I17" i="13"/>
  <c r="I16" i="13"/>
  <c r="C13" i="9"/>
  <c r="C12" i="9"/>
  <c r="C11" i="9"/>
  <c r="C25" i="9"/>
  <c r="C24" i="9"/>
  <c r="C23" i="9"/>
  <c r="I667" i="13"/>
  <c r="J667" i="13" s="1"/>
  <c r="I668" i="13"/>
  <c r="I669" i="13"/>
  <c r="I666" i="13"/>
  <c r="J666" i="13" s="1"/>
  <c r="I665" i="13"/>
  <c r="I670" i="13"/>
  <c r="J670" i="13" s="1"/>
  <c r="BK85" i="8"/>
  <c r="BK70" i="8"/>
  <c r="BK52" i="8"/>
  <c r="BK38" i="8"/>
  <c r="BL38" i="8" s="1"/>
  <c r="BK34" i="8"/>
  <c r="BK100" i="8"/>
  <c r="BK98" i="8"/>
  <c r="BK73" i="8"/>
  <c r="BL73" i="8" s="1"/>
  <c r="BO73" i="8" s="1"/>
  <c r="BP73" i="8" s="1"/>
  <c r="H1499" i="12" s="1"/>
  <c r="I1499" i="12" s="1"/>
  <c r="BK69" i="8"/>
  <c r="BL69" i="8" s="1"/>
  <c r="BO69" i="8" s="1"/>
  <c r="BP69" i="8" s="1"/>
  <c r="H1411" i="12" s="1"/>
  <c r="I1411" i="12" s="1"/>
  <c r="C49" i="9"/>
  <c r="C48" i="9"/>
  <c r="C47" i="9"/>
  <c r="I540" i="13"/>
  <c r="I536" i="13"/>
  <c r="I538" i="13"/>
  <c r="J538" i="13" s="1"/>
  <c r="I537" i="13"/>
  <c r="I539" i="13"/>
  <c r="I535" i="13"/>
  <c r="C73" i="9"/>
  <c r="C72" i="9"/>
  <c r="C71" i="9"/>
  <c r="C85" i="9"/>
  <c r="C84" i="9"/>
  <c r="C83" i="9"/>
  <c r="I580" i="13"/>
  <c r="J580" i="13" s="1"/>
  <c r="I581" i="13"/>
  <c r="I577" i="13"/>
  <c r="I582" i="13"/>
  <c r="I578" i="13"/>
  <c r="I579" i="13"/>
  <c r="C97" i="9"/>
  <c r="C96" i="9"/>
  <c r="C95" i="9"/>
  <c r="I589" i="13"/>
  <c r="I590" i="13"/>
  <c r="BK116" i="8"/>
  <c r="BK114" i="8"/>
  <c r="C109" i="9"/>
  <c r="C108" i="9"/>
  <c r="C107" i="9"/>
  <c r="AM5" i="8"/>
  <c r="AQ5" i="8"/>
  <c r="AO10" i="8"/>
  <c r="AM11" i="8"/>
  <c r="AQ11" i="8"/>
  <c r="C4" i="9"/>
  <c r="C3" i="9"/>
  <c r="C2" i="9"/>
  <c r="I608" i="13"/>
  <c r="J608" i="13" s="1"/>
  <c r="I609" i="13"/>
  <c r="I605" i="13"/>
  <c r="I610" i="13"/>
  <c r="I606" i="13"/>
  <c r="I607" i="13"/>
  <c r="BK101" i="8"/>
  <c r="BL101" i="8" s="1"/>
  <c r="BK30" i="8"/>
  <c r="C16" i="9"/>
  <c r="C15" i="9"/>
  <c r="C14" i="9"/>
  <c r="I631" i="13"/>
  <c r="J631" i="13" s="1"/>
  <c r="K631" i="13" s="1"/>
  <c r="I632" i="13"/>
  <c r="I634" i="13"/>
  <c r="J634" i="13" s="1"/>
  <c r="I633" i="13"/>
  <c r="I630" i="13"/>
  <c r="J630" i="13" s="1"/>
  <c r="I629" i="13"/>
  <c r="C28" i="9"/>
  <c r="C27" i="9"/>
  <c r="C26" i="9"/>
  <c r="I655" i="13"/>
  <c r="J655" i="13" s="1"/>
  <c r="K655" i="13" s="1"/>
  <c r="I656" i="13"/>
  <c r="I658" i="13"/>
  <c r="J658" i="13" s="1"/>
  <c r="I657" i="13"/>
  <c r="I654" i="13"/>
  <c r="J654" i="13" s="1"/>
  <c r="I653" i="13"/>
  <c r="C40" i="9"/>
  <c r="C39" i="9"/>
  <c r="C38" i="9"/>
  <c r="I679" i="13"/>
  <c r="I680" i="13"/>
  <c r="I681" i="13"/>
  <c r="I678" i="13"/>
  <c r="I677" i="13"/>
  <c r="BK103" i="8"/>
  <c r="BL103" i="8" s="1"/>
  <c r="BK83" i="8"/>
  <c r="BK80" i="8"/>
  <c r="BK78" i="8"/>
  <c r="BK66" i="8"/>
  <c r="BK62" i="8"/>
  <c r="BK50" i="8"/>
  <c r="BK44" i="8"/>
  <c r="BL44" i="8" s="1"/>
  <c r="BK40" i="8"/>
  <c r="BL40" i="8" s="1"/>
  <c r="BK96" i="8"/>
  <c r="BK88" i="8"/>
  <c r="BK82" i="8"/>
  <c r="BK75" i="8"/>
  <c r="BL75" i="8" s="1"/>
  <c r="BO75" i="8" s="1"/>
  <c r="BP75" i="8" s="1"/>
  <c r="H1543" i="12" s="1"/>
  <c r="I1543" i="12" s="1"/>
  <c r="BK67" i="8"/>
  <c r="BL67" i="8" s="1"/>
  <c r="BO67" i="8" s="1"/>
  <c r="BP67" i="8" s="1"/>
  <c r="H1367" i="12" s="1"/>
  <c r="I1367" i="12" s="1"/>
  <c r="BK59" i="8"/>
  <c r="BL59" i="8" s="1"/>
  <c r="BO59" i="8" s="1"/>
  <c r="BP59" i="8" s="1"/>
  <c r="H1191" i="12" s="1"/>
  <c r="I1191" i="12" s="1"/>
  <c r="C52" i="9"/>
  <c r="C50" i="9"/>
  <c r="C51" i="9"/>
  <c r="I520" i="13"/>
  <c r="I522" i="13"/>
  <c r="J522" i="13" s="1"/>
  <c r="I518" i="13"/>
  <c r="J518" i="13" s="1"/>
  <c r="I521" i="13"/>
  <c r="I517" i="13"/>
  <c r="I519" i="13"/>
  <c r="C64" i="9"/>
  <c r="C63" i="9"/>
  <c r="C62" i="9"/>
  <c r="I528" i="13"/>
  <c r="I524" i="13"/>
  <c r="I526" i="13"/>
  <c r="J526" i="13" s="1"/>
  <c r="I525" i="13"/>
  <c r="I527" i="13"/>
  <c r="I523" i="13"/>
  <c r="C76" i="9"/>
  <c r="C74" i="9"/>
  <c r="C75" i="9"/>
  <c r="I562" i="13"/>
  <c r="I561" i="13"/>
  <c r="J561" i="13" s="1"/>
  <c r="I564" i="13"/>
  <c r="J564" i="13" s="1"/>
  <c r="I560" i="13"/>
  <c r="J560" i="13" s="1"/>
  <c r="I563" i="13"/>
  <c r="C88" i="9"/>
  <c r="C87" i="9"/>
  <c r="C86" i="9"/>
  <c r="I588" i="13"/>
  <c r="J588" i="13" s="1"/>
  <c r="I584" i="13"/>
  <c r="J584" i="13" s="1"/>
  <c r="I585" i="13"/>
  <c r="I586" i="13"/>
  <c r="I587" i="13"/>
  <c r="I583" i="13"/>
  <c r="C100" i="9"/>
  <c r="C98" i="9"/>
  <c r="C99" i="9"/>
  <c r="I592" i="13"/>
  <c r="J592" i="13" s="1"/>
  <c r="I591" i="13"/>
  <c r="BK117" i="8"/>
  <c r="BK115" i="8"/>
  <c r="AJ5" i="8"/>
  <c r="AR5" i="8"/>
  <c r="AZ5" i="8"/>
  <c r="BC5" i="8" s="1"/>
  <c r="BD5" i="8" s="1"/>
  <c r="BL5" i="8"/>
  <c r="M6" i="8"/>
  <c r="AL6" i="8"/>
  <c r="AP6" i="8"/>
  <c r="BB6" i="8"/>
  <c r="I34" i="13"/>
  <c r="I35" i="13"/>
  <c r="I37" i="13"/>
  <c r="I33" i="13"/>
  <c r="J33" i="13" s="1"/>
  <c r="I36" i="13"/>
  <c r="I32" i="13"/>
  <c r="AJ7" i="8"/>
  <c r="AR7" i="8"/>
  <c r="AZ7" i="8"/>
  <c r="M8" i="8"/>
  <c r="AL8" i="8"/>
  <c r="AP8" i="8"/>
  <c r="BB8" i="8"/>
  <c r="I30" i="13"/>
  <c r="I26" i="13"/>
  <c r="I31" i="13"/>
  <c r="I27" i="13"/>
  <c r="I29" i="13"/>
  <c r="I28" i="13"/>
  <c r="AJ9" i="8"/>
  <c r="AR9" i="8"/>
  <c r="AZ9" i="8"/>
  <c r="BP9" i="8"/>
  <c r="H91" i="12" s="1"/>
  <c r="I91" i="12" s="1"/>
  <c r="M10" i="8"/>
  <c r="AL10" i="8"/>
  <c r="AP10" i="8"/>
  <c r="BB10" i="8"/>
  <c r="I48" i="13"/>
  <c r="I49" i="13"/>
  <c r="I47" i="13"/>
  <c r="I46" i="13"/>
  <c r="I45" i="13"/>
  <c r="I44" i="13"/>
  <c r="J44" i="13" s="1"/>
  <c r="AJ11" i="8"/>
  <c r="AR11" i="8"/>
  <c r="AZ11" i="8"/>
  <c r="M12" i="8"/>
  <c r="AL12" i="8"/>
  <c r="AP12" i="8"/>
  <c r="BB12" i="8"/>
  <c r="I64" i="13"/>
  <c r="I65" i="13"/>
  <c r="I66" i="13"/>
  <c r="I62" i="13"/>
  <c r="I67" i="13"/>
  <c r="I63" i="13"/>
  <c r="AJ13" i="8"/>
  <c r="AR13" i="8"/>
  <c r="AZ13" i="8"/>
  <c r="M14" i="8"/>
  <c r="AL14" i="8"/>
  <c r="AP14" i="8"/>
  <c r="BB14" i="8"/>
  <c r="I108" i="13"/>
  <c r="I109" i="13"/>
  <c r="I110" i="13"/>
  <c r="I106" i="13"/>
  <c r="I107" i="13"/>
  <c r="AJ15" i="8"/>
  <c r="AR15" i="8"/>
  <c r="AZ15" i="8"/>
  <c r="M16" i="8"/>
  <c r="AL16" i="8"/>
  <c r="AP16" i="8"/>
  <c r="BB16" i="8"/>
  <c r="I144" i="13"/>
  <c r="I145" i="13"/>
  <c r="I146" i="13"/>
  <c r="I143" i="13"/>
  <c r="AJ17" i="8"/>
  <c r="AR17" i="8"/>
  <c r="AZ17" i="8"/>
  <c r="M18" i="8"/>
  <c r="AL18" i="8"/>
  <c r="AP18" i="8"/>
  <c r="BB18" i="8"/>
  <c r="I116" i="13"/>
  <c r="I117" i="13"/>
  <c r="I118" i="13"/>
  <c r="I119" i="13"/>
  <c r="AJ19" i="8"/>
  <c r="AR19" i="8"/>
  <c r="AZ19" i="8"/>
  <c r="M20" i="8"/>
  <c r="AL20" i="8"/>
  <c r="AP20" i="8"/>
  <c r="BB20" i="8"/>
  <c r="I124" i="13"/>
  <c r="I120" i="13"/>
  <c r="I121" i="13"/>
  <c r="I122" i="13"/>
  <c r="I123" i="13"/>
  <c r="AJ21" i="8"/>
  <c r="AZ21" i="8"/>
  <c r="M22" i="8"/>
  <c r="AL22" i="8"/>
  <c r="AP22" i="8"/>
  <c r="BB22" i="8"/>
  <c r="I153" i="13"/>
  <c r="I154" i="13"/>
  <c r="I155" i="13"/>
  <c r="AJ23" i="8"/>
  <c r="AR23" i="8"/>
  <c r="AZ23" i="8"/>
  <c r="M24" i="8"/>
  <c r="AL24" i="8"/>
  <c r="AP24" i="8"/>
  <c r="BB24" i="8"/>
  <c r="I80" i="13"/>
  <c r="I81" i="13"/>
  <c r="I82" i="13"/>
  <c r="I83" i="13"/>
  <c r="I79" i="13"/>
  <c r="AJ25" i="8"/>
  <c r="AR25" i="8"/>
  <c r="AZ25" i="8"/>
  <c r="M26" i="8"/>
  <c r="AL26" i="8"/>
  <c r="AP26" i="8"/>
  <c r="BB26" i="8"/>
  <c r="I88" i="13"/>
  <c r="I84" i="13"/>
  <c r="I89" i="13"/>
  <c r="I85" i="13"/>
  <c r="I86" i="13"/>
  <c r="I87" i="13"/>
  <c r="J87" i="13" s="1"/>
  <c r="AJ27" i="8"/>
  <c r="AZ27" i="8"/>
  <c r="M28" i="8"/>
  <c r="AL28" i="8"/>
  <c r="AP28" i="8"/>
  <c r="BB28" i="8"/>
  <c r="I136" i="13"/>
  <c r="I137" i="13"/>
  <c r="I133" i="13"/>
  <c r="I134" i="13"/>
  <c r="I135" i="13"/>
  <c r="BQ29" i="8"/>
  <c r="AQ29" i="8"/>
  <c r="BB29" i="8"/>
  <c r="AN30" i="8"/>
  <c r="AS30" i="8"/>
  <c r="BQ31" i="8"/>
  <c r="AQ31" i="8"/>
  <c r="BB31" i="8"/>
  <c r="AN32" i="8"/>
  <c r="AS32" i="8"/>
  <c r="BQ33" i="8"/>
  <c r="AQ33" i="8"/>
  <c r="BB33" i="8"/>
  <c r="AN34" i="8"/>
  <c r="AS34" i="8"/>
  <c r="BQ35" i="8"/>
  <c r="AQ35" i="8"/>
  <c r="BB35" i="8"/>
  <c r="AK36" i="8"/>
  <c r="AS36" i="8"/>
  <c r="BK37" i="8"/>
  <c r="AQ38" i="8"/>
  <c r="AM38" i="8"/>
  <c r="BB38" i="8"/>
  <c r="AP38" i="8"/>
  <c r="AL38" i="8"/>
  <c r="M38" i="8"/>
  <c r="AZ38" i="8"/>
  <c r="BC38" i="8" s="1"/>
  <c r="BD38" i="8" s="1"/>
  <c r="BE38" i="8" s="1"/>
  <c r="AR38" i="8"/>
  <c r="AN38" i="8"/>
  <c r="AJ38" i="8"/>
  <c r="AS38" i="8"/>
  <c r="BQ38" i="8"/>
  <c r="BQ39" i="8"/>
  <c r="AN39" i="8"/>
  <c r="AQ39" i="8"/>
  <c r="AK40" i="8"/>
  <c r="BA40" i="8"/>
  <c r="BA43" i="8"/>
  <c r="BO44" i="8"/>
  <c r="BP44" i="8" s="1"/>
  <c r="H861" i="12" s="1"/>
  <c r="I861" i="12" s="1"/>
  <c r="AL45" i="8"/>
  <c r="AM45" i="8"/>
  <c r="BA47" i="8"/>
  <c r="BK47" i="8"/>
  <c r="BL47" i="8" s="1"/>
  <c r="BO47" i="8" s="1"/>
  <c r="BP47" i="8" s="1"/>
  <c r="H927" i="12" s="1"/>
  <c r="I927" i="12" s="1"/>
  <c r="AQ48" i="8"/>
  <c r="AM48" i="8"/>
  <c r="BB48" i="8"/>
  <c r="AP48" i="8"/>
  <c r="AL48" i="8"/>
  <c r="M48" i="8"/>
  <c r="AZ48" i="8"/>
  <c r="BC48" i="8" s="1"/>
  <c r="BD48" i="8" s="1"/>
  <c r="BE48" i="8" s="1"/>
  <c r="AR48" i="8"/>
  <c r="AN48" i="8"/>
  <c r="AJ48" i="8"/>
  <c r="AS48" i="8"/>
  <c r="BQ48" i="8"/>
  <c r="BQ49" i="8"/>
  <c r="AN49" i="8"/>
  <c r="AQ49" i="8"/>
  <c r="AK50" i="8"/>
  <c r="BA50" i="8"/>
  <c r="BL50" i="8"/>
  <c r="BK51" i="8"/>
  <c r="BL51" i="8" s="1"/>
  <c r="BO51" i="8" s="1"/>
  <c r="BP51" i="8" s="1"/>
  <c r="H1015" i="12" s="1"/>
  <c r="I1015" i="12" s="1"/>
  <c r="AQ52" i="8"/>
  <c r="AM52" i="8"/>
  <c r="BB52" i="8"/>
  <c r="AP52" i="8"/>
  <c r="AL52" i="8"/>
  <c r="M52" i="8"/>
  <c r="AZ52" i="8"/>
  <c r="BC52" i="8" s="1"/>
  <c r="BD52" i="8" s="1"/>
  <c r="BE52" i="8" s="1"/>
  <c r="AR52" i="8"/>
  <c r="AN52" i="8"/>
  <c r="AJ52" i="8"/>
  <c r="AS52" i="8"/>
  <c r="BQ52" i="8"/>
  <c r="BQ53" i="8"/>
  <c r="AN53" i="8"/>
  <c r="AQ53" i="8"/>
  <c r="AK54" i="8"/>
  <c r="BA54" i="8"/>
  <c r="BL54" i="8"/>
  <c r="AQ56" i="8"/>
  <c r="AM56" i="8"/>
  <c r="BB56" i="8"/>
  <c r="AP56" i="8"/>
  <c r="AL56" i="8"/>
  <c r="M56" i="8"/>
  <c r="AZ56" i="8"/>
  <c r="BC56" i="8" s="1"/>
  <c r="BD56" i="8" s="1"/>
  <c r="BE56" i="8" s="1"/>
  <c r="AR56" i="8"/>
  <c r="AN56" i="8"/>
  <c r="AJ56" i="8"/>
  <c r="AS56" i="8"/>
  <c r="BQ56" i="8"/>
  <c r="BQ57" i="8"/>
  <c r="AN57" i="8"/>
  <c r="AQ57" i="8"/>
  <c r="AK58" i="8"/>
  <c r="BA58" i="8"/>
  <c r="BQ59" i="8"/>
  <c r="AN59" i="8"/>
  <c r="BQ61" i="8"/>
  <c r="AN61" i="8"/>
  <c r="AQ62" i="8"/>
  <c r="BQ63" i="8"/>
  <c r="AN63" i="8"/>
  <c r="AQ64" i="8"/>
  <c r="BQ65" i="8"/>
  <c r="AN65" i="8"/>
  <c r="AQ66" i="8"/>
  <c r="BQ67" i="8"/>
  <c r="AN67" i="8"/>
  <c r="AQ68" i="8"/>
  <c r="BQ69" i="8"/>
  <c r="AN69" i="8"/>
  <c r="AQ70" i="8"/>
  <c r="BQ71" i="8"/>
  <c r="AN71" i="8"/>
  <c r="AQ72" i="8"/>
  <c r="BQ73" i="8"/>
  <c r="AN73" i="8"/>
  <c r="AQ74" i="8"/>
  <c r="BQ75" i="8"/>
  <c r="AN75" i="8"/>
  <c r="BQ77" i="8"/>
  <c r="AN77" i="8"/>
  <c r="AQ78" i="8"/>
  <c r="BQ79" i="8"/>
  <c r="AN79" i="8"/>
  <c r="BQ81" i="8"/>
  <c r="AN81" i="8"/>
  <c r="AQ82" i="8"/>
  <c r="AZ87" i="8"/>
  <c r="AL88" i="8"/>
  <c r="AL100" i="8"/>
  <c r="AK114" i="8"/>
  <c r="I651" i="13"/>
  <c r="I647" i="13"/>
  <c r="J647" i="13" s="1"/>
  <c r="I652" i="13"/>
  <c r="I648" i="13"/>
  <c r="I649" i="13"/>
  <c r="I650" i="13"/>
  <c r="J650" i="13" s="1"/>
  <c r="I675" i="13"/>
  <c r="I671" i="13"/>
  <c r="J671" i="13" s="1"/>
  <c r="I676" i="13"/>
  <c r="I672" i="13"/>
  <c r="I673" i="13"/>
  <c r="I674" i="13"/>
  <c r="J674" i="13" s="1"/>
  <c r="BK91" i="8"/>
  <c r="BK76" i="8"/>
  <c r="BK60" i="8"/>
  <c r="BK42" i="8"/>
  <c r="BL42" i="8" s="1"/>
  <c r="C57" i="9"/>
  <c r="C56" i="9"/>
  <c r="C58" i="9"/>
  <c r="C69" i="9"/>
  <c r="C68" i="9"/>
  <c r="C70" i="9"/>
  <c r="C105" i="9"/>
  <c r="C104" i="9"/>
  <c r="C106" i="9"/>
  <c r="I596" i="13"/>
  <c r="J596" i="13" s="1"/>
  <c r="I597" i="13"/>
  <c r="I593" i="13"/>
  <c r="I598" i="13"/>
  <c r="I594" i="13"/>
  <c r="I595" i="13"/>
  <c r="I620" i="13"/>
  <c r="I621" i="13"/>
  <c r="I617" i="13"/>
  <c r="I619" i="13"/>
  <c r="J619" i="13" s="1"/>
  <c r="K619" i="13" s="1"/>
  <c r="I622" i="13"/>
  <c r="I618" i="13"/>
  <c r="AK6" i="8"/>
  <c r="AO6" i="8"/>
  <c r="AS6" i="8"/>
  <c r="BA6" i="8"/>
  <c r="AM7" i="8"/>
  <c r="AQ7" i="8"/>
  <c r="AK8" i="8"/>
  <c r="AO8" i="8"/>
  <c r="AS8" i="8"/>
  <c r="BA8" i="8"/>
  <c r="AM9" i="8"/>
  <c r="AQ9" i="8"/>
  <c r="AK10" i="8"/>
  <c r="AS10" i="8"/>
  <c r="BA10" i="8"/>
  <c r="C5" i="9"/>
  <c r="C7" i="9"/>
  <c r="C6" i="9"/>
  <c r="I616" i="13"/>
  <c r="I612" i="13"/>
  <c r="J612" i="13" s="1"/>
  <c r="I615" i="13"/>
  <c r="J615" i="13" s="1"/>
  <c r="K615" i="13" s="1"/>
  <c r="I613" i="13"/>
  <c r="I614" i="13"/>
  <c r="I611" i="13"/>
  <c r="C17" i="9"/>
  <c r="C18" i="9"/>
  <c r="C19" i="9"/>
  <c r="I639" i="13"/>
  <c r="J639" i="13" s="1"/>
  <c r="K639" i="13" s="1"/>
  <c r="I635" i="13"/>
  <c r="J635" i="13" s="1"/>
  <c r="K635" i="13" s="1"/>
  <c r="I640" i="13"/>
  <c r="I636" i="13"/>
  <c r="I638" i="13"/>
  <c r="J638" i="13" s="1"/>
  <c r="I637" i="13"/>
  <c r="C29" i="9"/>
  <c r="C31" i="9"/>
  <c r="C30" i="9"/>
  <c r="I663" i="13"/>
  <c r="J663" i="13" s="1"/>
  <c r="K663" i="13" s="1"/>
  <c r="I659" i="13"/>
  <c r="J659" i="13" s="1"/>
  <c r="K659" i="13" s="1"/>
  <c r="I664" i="13"/>
  <c r="I660" i="13"/>
  <c r="I662" i="13"/>
  <c r="J662" i="13" s="1"/>
  <c r="I661" i="13"/>
  <c r="C41" i="9"/>
  <c r="C42" i="9"/>
  <c r="C43" i="9"/>
  <c r="I683" i="13"/>
  <c r="I684" i="13"/>
  <c r="I686" i="13"/>
  <c r="I685" i="13"/>
  <c r="I682" i="13"/>
  <c r="BK72" i="8"/>
  <c r="BK64" i="8"/>
  <c r="BK46" i="8"/>
  <c r="BL46" i="8" s="1"/>
  <c r="BK36" i="8"/>
  <c r="BL36" i="8" s="1"/>
  <c r="BO36" i="8" s="1"/>
  <c r="BP36" i="8" s="1"/>
  <c r="H685" i="12" s="1"/>
  <c r="I685" i="12" s="1"/>
  <c r="C53" i="9"/>
  <c r="C55" i="9"/>
  <c r="C54" i="9"/>
  <c r="I508" i="13"/>
  <c r="I510" i="13"/>
  <c r="J510" i="13" s="1"/>
  <c r="I506" i="13"/>
  <c r="J506" i="13" s="1"/>
  <c r="I509" i="13"/>
  <c r="I505" i="13"/>
  <c r="I507" i="13"/>
  <c r="C65" i="9"/>
  <c r="C66" i="9"/>
  <c r="C67" i="9"/>
  <c r="I550" i="13"/>
  <c r="J550" i="13" s="1"/>
  <c r="K550" i="13" s="1"/>
  <c r="L550" i="13" s="1"/>
  <c r="I546" i="13"/>
  <c r="J546" i="13" s="1"/>
  <c r="K546" i="13" s="1"/>
  <c r="I548" i="13"/>
  <c r="J548" i="13" s="1"/>
  <c r="I547" i="13"/>
  <c r="I549" i="13"/>
  <c r="I545" i="13"/>
  <c r="BK95" i="8"/>
  <c r="BK89" i="8"/>
  <c r="BK74" i="8"/>
  <c r="BK58" i="8"/>
  <c r="BK48" i="8"/>
  <c r="BL48" i="8" s="1"/>
  <c r="BK104" i="8"/>
  <c r="BK94" i="8"/>
  <c r="BK92" i="8"/>
  <c r="BK90" i="8"/>
  <c r="BK81" i="8"/>
  <c r="BL81" i="8" s="1"/>
  <c r="BO81" i="8" s="1"/>
  <c r="BP81" i="8" s="1"/>
  <c r="H1675" i="12" s="1"/>
  <c r="I1675" i="12" s="1"/>
  <c r="BK77" i="8"/>
  <c r="BL77" i="8" s="1"/>
  <c r="BO77" i="8" s="1"/>
  <c r="BP77" i="8" s="1"/>
  <c r="H1587" i="12" s="1"/>
  <c r="I1587" i="12" s="1"/>
  <c r="BK65" i="8"/>
  <c r="BL65" i="8" s="1"/>
  <c r="BO65" i="8" s="1"/>
  <c r="BP65" i="8" s="1"/>
  <c r="H1323" i="12" s="1"/>
  <c r="I1323" i="12" s="1"/>
  <c r="BK61" i="8"/>
  <c r="BL61" i="8" s="1"/>
  <c r="BO61" i="8" s="1"/>
  <c r="BP61" i="8" s="1"/>
  <c r="H1235" i="12" s="1"/>
  <c r="I1235" i="12" s="1"/>
  <c r="C77" i="9"/>
  <c r="C79" i="9"/>
  <c r="C78" i="9"/>
  <c r="I569" i="13"/>
  <c r="J569" i="13" s="1"/>
  <c r="K569" i="13" s="1"/>
  <c r="I570" i="13"/>
  <c r="I566" i="13"/>
  <c r="I565" i="13"/>
  <c r="J565" i="13" s="1"/>
  <c r="I568" i="13"/>
  <c r="J568" i="13" s="1"/>
  <c r="I567" i="13"/>
  <c r="C89" i="9"/>
  <c r="C90" i="9"/>
  <c r="C91" i="9"/>
  <c r="I576" i="13"/>
  <c r="J576" i="13" s="1"/>
  <c r="I573" i="13"/>
  <c r="J573" i="13" s="1"/>
  <c r="K573" i="13" s="1"/>
  <c r="I574" i="13"/>
  <c r="I575" i="13"/>
  <c r="I572" i="13"/>
  <c r="J572" i="13" s="1"/>
  <c r="I571" i="13"/>
  <c r="C101" i="9"/>
  <c r="C103" i="9"/>
  <c r="C102" i="9"/>
  <c r="BK108" i="8"/>
  <c r="BK106" i="8"/>
  <c r="AK5" i="8"/>
  <c r="AO5" i="8"/>
  <c r="AS5" i="8"/>
  <c r="AM6" i="8"/>
  <c r="BK6" i="8"/>
  <c r="BL6" i="8" s="1"/>
  <c r="BO6" i="8" s="1"/>
  <c r="BP6" i="8" s="1"/>
  <c r="H25" i="12" s="1"/>
  <c r="I25" i="12" s="1"/>
  <c r="AK7" i="8"/>
  <c r="AO7" i="8"/>
  <c r="AS7" i="8"/>
  <c r="AM8" i="8"/>
  <c r="BK8" i="8"/>
  <c r="BL8" i="8" s="1"/>
  <c r="BO8" i="8" s="1"/>
  <c r="BP8" i="8" s="1"/>
  <c r="H69" i="12" s="1"/>
  <c r="I69" i="12" s="1"/>
  <c r="AK9" i="8"/>
  <c r="AO9" i="8"/>
  <c r="AS9" i="8"/>
  <c r="AM10" i="8"/>
  <c r="BK10" i="8"/>
  <c r="BL10" i="8" s="1"/>
  <c r="BO10" i="8" s="1"/>
  <c r="BP10" i="8" s="1"/>
  <c r="H113" i="12" s="1"/>
  <c r="I113" i="12" s="1"/>
  <c r="AK11" i="8"/>
  <c r="AO11" i="8"/>
  <c r="AS11" i="8"/>
  <c r="AM12" i="8"/>
  <c r="AQ12" i="8"/>
  <c r="BK12" i="8"/>
  <c r="BL12" i="8" s="1"/>
  <c r="BO12" i="8" s="1"/>
  <c r="BP12" i="8" s="1"/>
  <c r="H157" i="12" s="1"/>
  <c r="I157" i="12" s="1"/>
  <c r="AK13" i="8"/>
  <c r="AO13" i="8"/>
  <c r="AS13" i="8"/>
  <c r="AM14" i="8"/>
  <c r="AQ14" i="8"/>
  <c r="BK14" i="8"/>
  <c r="BL14" i="8" s="1"/>
  <c r="BO14" i="8" s="1"/>
  <c r="BP14" i="8" s="1"/>
  <c r="H201" i="12" s="1"/>
  <c r="I201" i="12" s="1"/>
  <c r="AK15" i="8"/>
  <c r="AO15" i="8"/>
  <c r="AS15" i="8"/>
  <c r="AM16" i="8"/>
  <c r="AQ16" i="8"/>
  <c r="BK16" i="8"/>
  <c r="BL16" i="8" s="1"/>
  <c r="BO16" i="8" s="1"/>
  <c r="BP16" i="8" s="1"/>
  <c r="H245" i="12" s="1"/>
  <c r="I245" i="12" s="1"/>
  <c r="AK17" i="8"/>
  <c r="AO17" i="8"/>
  <c r="AS17" i="8"/>
  <c r="AM18" i="8"/>
  <c r="AQ18" i="8"/>
  <c r="BK18" i="8"/>
  <c r="BL18" i="8" s="1"/>
  <c r="BO18" i="8" s="1"/>
  <c r="BP18" i="8" s="1"/>
  <c r="H289" i="12" s="1"/>
  <c r="I289" i="12" s="1"/>
  <c r="AK19" i="8"/>
  <c r="AO19" i="8"/>
  <c r="AS19" i="8"/>
  <c r="AM20" i="8"/>
  <c r="AQ20" i="8"/>
  <c r="BK20" i="8"/>
  <c r="BL20" i="8" s="1"/>
  <c r="BO20" i="8" s="1"/>
  <c r="BP20" i="8" s="1"/>
  <c r="H333" i="12" s="1"/>
  <c r="I333" i="12" s="1"/>
  <c r="X21" i="8"/>
  <c r="BQ21" i="8" s="1"/>
  <c r="B37" i="19" s="1"/>
  <c r="AK21" i="8"/>
  <c r="AO21" i="8"/>
  <c r="AS21" i="8"/>
  <c r="AM22" i="8"/>
  <c r="AQ22" i="8"/>
  <c r="AK23" i="8"/>
  <c r="AO23" i="8"/>
  <c r="AS23" i="8"/>
  <c r="AM24" i="8"/>
  <c r="AQ24" i="8"/>
  <c r="BK24" i="8"/>
  <c r="BL24" i="8" s="1"/>
  <c r="BO24" i="8" s="1"/>
  <c r="BP24" i="8" s="1"/>
  <c r="H421" i="12" s="1"/>
  <c r="I421" i="12" s="1"/>
  <c r="AK25" i="8"/>
  <c r="AO25" i="8"/>
  <c r="AS25" i="8"/>
  <c r="AM26" i="8"/>
  <c r="AQ26" i="8"/>
  <c r="BK26" i="8"/>
  <c r="BL26" i="8" s="1"/>
  <c r="BO26" i="8" s="1"/>
  <c r="BP26" i="8" s="1"/>
  <c r="H465" i="12" s="1"/>
  <c r="I465" i="12" s="1"/>
  <c r="AK27" i="8"/>
  <c r="AO27" i="8"/>
  <c r="AS27" i="8"/>
  <c r="AM28" i="8"/>
  <c r="AQ28" i="8"/>
  <c r="BA29" i="8"/>
  <c r="AM29" i="8"/>
  <c r="AR29" i="8"/>
  <c r="AJ30" i="8"/>
  <c r="AO30" i="8"/>
  <c r="BA31" i="8"/>
  <c r="AM31" i="8"/>
  <c r="AR31" i="8"/>
  <c r="AJ32" i="8"/>
  <c r="AO32" i="8"/>
  <c r="BA33" i="8"/>
  <c r="AM33" i="8"/>
  <c r="AR33" i="8"/>
  <c r="AJ34" i="8"/>
  <c r="AO34" i="8"/>
  <c r="BA35" i="8"/>
  <c r="AM35" i="8"/>
  <c r="AR35" i="8"/>
  <c r="AQ36" i="8"/>
  <c r="AM36" i="8"/>
  <c r="BB36" i="8"/>
  <c r="AP36" i="8"/>
  <c r="AL36" i="8"/>
  <c r="M36" i="8"/>
  <c r="AN36" i="8"/>
  <c r="AL37" i="8"/>
  <c r="AM37" i="8"/>
  <c r="BA39" i="8"/>
  <c r="BO40" i="8"/>
  <c r="BP40" i="8" s="1"/>
  <c r="H773" i="12" s="1"/>
  <c r="I773" i="12" s="1"/>
  <c r="AK42" i="8"/>
  <c r="BA42" i="8"/>
  <c r="BK43" i="8"/>
  <c r="BL43" i="8" s="1"/>
  <c r="BO43" i="8" s="1"/>
  <c r="BP43" i="8" s="1"/>
  <c r="H839" i="12" s="1"/>
  <c r="I839" i="12" s="1"/>
  <c r="AQ44" i="8"/>
  <c r="AM44" i="8"/>
  <c r="BB44" i="8"/>
  <c r="AP44" i="8"/>
  <c r="AL44" i="8"/>
  <c r="M44" i="8"/>
  <c r="AZ44" i="8"/>
  <c r="AR44" i="8"/>
  <c r="AN44" i="8"/>
  <c r="AJ44" i="8"/>
  <c r="AS44" i="8"/>
  <c r="BQ45" i="8"/>
  <c r="AN45" i="8"/>
  <c r="AQ45" i="8"/>
  <c r="AK46" i="8"/>
  <c r="BA46" i="8"/>
  <c r="BA49" i="8"/>
  <c r="BO50" i="8"/>
  <c r="BP50" i="8"/>
  <c r="H993" i="12" s="1"/>
  <c r="I993" i="12" s="1"/>
  <c r="AL51" i="8"/>
  <c r="AM51" i="8"/>
  <c r="BA53" i="8"/>
  <c r="BO54" i="8"/>
  <c r="BP54" i="8" s="1"/>
  <c r="H1081" i="12" s="1"/>
  <c r="I1081" i="12" s="1"/>
  <c r="AL55" i="8"/>
  <c r="BA57" i="8"/>
  <c r="BA59" i="8"/>
  <c r="BA61" i="8"/>
  <c r="BA63" i="8"/>
  <c r="BA65" i="8"/>
  <c r="BA67" i="8"/>
  <c r="BA69" i="8"/>
  <c r="BA71" i="8"/>
  <c r="BA73" i="8"/>
  <c r="BA75" i="8"/>
  <c r="BA77" i="8"/>
  <c r="BA79" i="8"/>
  <c r="BA81" i="8"/>
  <c r="AZ89" i="8"/>
  <c r="AL90" i="8"/>
  <c r="BA107" i="8"/>
  <c r="AK110" i="8"/>
  <c r="BB117" i="8"/>
  <c r="AQ117" i="8"/>
  <c r="BB115" i="8"/>
  <c r="AQ115" i="8"/>
  <c r="BB113" i="8"/>
  <c r="AQ113" i="8"/>
  <c r="BB111" i="8"/>
  <c r="AQ111" i="8"/>
  <c r="AZ109" i="8"/>
  <c r="AP109" i="8"/>
  <c r="AJ109" i="8"/>
  <c r="AZ117" i="8"/>
  <c r="AP117" i="8"/>
  <c r="AJ117" i="8"/>
  <c r="AZ115" i="8"/>
  <c r="AP115" i="8"/>
  <c r="AJ115" i="8"/>
  <c r="AZ113" i="8"/>
  <c r="AP113" i="8"/>
  <c r="AJ113" i="8"/>
  <c r="AZ111" i="8"/>
  <c r="AP111" i="8"/>
  <c r="AJ111" i="8"/>
  <c r="AZ108" i="8"/>
  <c r="AR108" i="8"/>
  <c r="AJ108" i="8"/>
  <c r="AZ106" i="8"/>
  <c r="AR106" i="8"/>
  <c r="AJ106" i="8"/>
  <c r="AZ104" i="8"/>
  <c r="AR104" i="8"/>
  <c r="AJ104" i="8"/>
  <c r="AZ102" i="8"/>
  <c r="AR102" i="8"/>
  <c r="AJ102" i="8"/>
  <c r="AZ100" i="8"/>
  <c r="AR100" i="8"/>
  <c r="AJ100" i="8"/>
  <c r="AN117" i="8"/>
  <c r="AZ116" i="8"/>
  <c r="AN115" i="8"/>
  <c r="AP112" i="8"/>
  <c r="AR111" i="8"/>
  <c r="AM109" i="8"/>
  <c r="AQ108" i="8"/>
  <c r="BB106" i="8"/>
  <c r="AO105" i="8"/>
  <c r="AP104" i="8"/>
  <c r="BB102" i="8"/>
  <c r="AO101" i="8"/>
  <c r="AP100" i="8"/>
  <c r="BB98" i="8"/>
  <c r="AQ98" i="8"/>
  <c r="AL98" i="8"/>
  <c r="BB96" i="8"/>
  <c r="AQ96" i="8"/>
  <c r="AL96" i="8"/>
  <c r="BB94" i="8"/>
  <c r="BB92" i="8"/>
  <c r="AQ92" i="8"/>
  <c r="AL92" i="8"/>
  <c r="BB90" i="8"/>
  <c r="AQ90" i="8"/>
  <c r="BB88" i="8"/>
  <c r="AQ88" i="8"/>
  <c r="BB86" i="8"/>
  <c r="AQ86" i="8"/>
  <c r="BB84" i="8"/>
  <c r="AQ84" i="8"/>
  <c r="AM115" i="8"/>
  <c r="AR113" i="8"/>
  <c r="AN111" i="8"/>
  <c r="AL109" i="8"/>
  <c r="AP108" i="8"/>
  <c r="AQ106" i="8"/>
  <c r="AM104" i="8"/>
  <c r="AQ102" i="8"/>
  <c r="AM100" i="8"/>
  <c r="AZ98" i="8"/>
  <c r="AP98" i="8"/>
  <c r="AJ98" i="8"/>
  <c r="AZ96" i="8"/>
  <c r="AP96" i="8"/>
  <c r="AJ96" i="8"/>
  <c r="AZ94" i="8"/>
  <c r="AJ94" i="8"/>
  <c r="AZ92" i="8"/>
  <c r="AP92" i="8"/>
  <c r="AJ92" i="8"/>
  <c r="AZ90" i="8"/>
  <c r="AP90" i="8"/>
  <c r="AJ90" i="8"/>
  <c r="AZ88" i="8"/>
  <c r="AP88" i="8"/>
  <c r="AJ88" i="8"/>
  <c r="AZ86" i="8"/>
  <c r="AP86" i="8"/>
  <c r="AJ86" i="8"/>
  <c r="AZ84" i="8"/>
  <c r="AP84" i="8"/>
  <c r="AJ84" i="8"/>
  <c r="AZ81" i="8"/>
  <c r="AR81" i="8"/>
  <c r="AJ81" i="8"/>
  <c r="AZ79" i="8"/>
  <c r="AR79" i="8"/>
  <c r="AJ79" i="8"/>
  <c r="AZ77" i="8"/>
  <c r="AR77" i="8"/>
  <c r="AJ77" i="8"/>
  <c r="AZ75" i="8"/>
  <c r="AR75" i="8"/>
  <c r="AJ75" i="8"/>
  <c r="AZ73" i="8"/>
  <c r="AR73" i="8"/>
  <c r="AJ73" i="8"/>
  <c r="AZ71" i="8"/>
  <c r="AR71" i="8"/>
  <c r="AJ71" i="8"/>
  <c r="AZ69" i="8"/>
  <c r="AR69" i="8"/>
  <c r="AJ69" i="8"/>
  <c r="AZ67" i="8"/>
  <c r="AR67" i="8"/>
  <c r="AJ67" i="8"/>
  <c r="AZ65" i="8"/>
  <c r="AR65" i="8"/>
  <c r="AJ65" i="8"/>
  <c r="AZ63" i="8"/>
  <c r="AR63" i="8"/>
  <c r="AJ63" i="8"/>
  <c r="AZ61" i="8"/>
  <c r="AR61" i="8"/>
  <c r="AJ61" i="8"/>
  <c r="AZ59" i="8"/>
  <c r="AR59" i="8"/>
  <c r="AJ59" i="8"/>
  <c r="AZ57" i="8"/>
  <c r="AR57" i="8"/>
  <c r="AJ57" i="8"/>
  <c r="AZ55" i="8"/>
  <c r="AR55" i="8"/>
  <c r="AJ55" i="8"/>
  <c r="AZ53" i="8"/>
  <c r="AR53" i="8"/>
  <c r="AJ53" i="8"/>
  <c r="AZ51" i="8"/>
  <c r="AR51" i="8"/>
  <c r="AJ51" i="8"/>
  <c r="AZ49" i="8"/>
  <c r="AR49" i="8"/>
  <c r="AJ49" i="8"/>
  <c r="AZ47" i="8"/>
  <c r="AJ47" i="8"/>
  <c r="AZ45" i="8"/>
  <c r="AR45" i="8"/>
  <c r="AJ45" i="8"/>
  <c r="AZ43" i="8"/>
  <c r="AR43" i="8"/>
  <c r="AJ43" i="8"/>
  <c r="AZ41" i="8"/>
  <c r="AJ41" i="8"/>
  <c r="AZ39" i="8"/>
  <c r="AR39" i="8"/>
  <c r="AJ39" i="8"/>
  <c r="AZ37" i="8"/>
  <c r="AR37" i="8"/>
  <c r="AJ37" i="8"/>
  <c r="AR117" i="8"/>
  <c r="AO116" i="8"/>
  <c r="AN113" i="8"/>
  <c r="AK112" i="8"/>
  <c r="AM111" i="8"/>
  <c r="AJ110" i="8"/>
  <c r="AR109" i="8"/>
  <c r="AM108" i="8"/>
  <c r="AZ107" i="8"/>
  <c r="AR107" i="8"/>
  <c r="AJ107" i="8"/>
  <c r="AP106" i="8"/>
  <c r="AS105" i="8"/>
  <c r="AK105" i="8"/>
  <c r="BB104" i="8"/>
  <c r="AO103" i="8"/>
  <c r="AP102" i="8"/>
  <c r="AS101" i="8"/>
  <c r="AK101" i="8"/>
  <c r="BB100" i="8"/>
  <c r="AO99" i="8"/>
  <c r="AN98" i="8"/>
  <c r="AN96" i="8"/>
  <c r="AN92" i="8"/>
  <c r="AN90" i="8"/>
  <c r="AN88" i="8"/>
  <c r="AN86" i="8"/>
  <c r="AN84" i="8"/>
  <c r="AQ81" i="8"/>
  <c r="AM81" i="8"/>
  <c r="AQ79" i="8"/>
  <c r="AM79" i="8"/>
  <c r="AQ77" i="8"/>
  <c r="AM77" i="8"/>
  <c r="AQ75" i="8"/>
  <c r="AM75" i="8"/>
  <c r="AQ73" i="8"/>
  <c r="AM73" i="8"/>
  <c r="AQ71" i="8"/>
  <c r="AM71" i="8"/>
  <c r="AQ69" i="8"/>
  <c r="AM69" i="8"/>
  <c r="AQ67" i="8"/>
  <c r="AM67" i="8"/>
  <c r="AQ65" i="8"/>
  <c r="AM65" i="8"/>
  <c r="AQ63" i="8"/>
  <c r="AM63" i="8"/>
  <c r="AQ61" i="8"/>
  <c r="AM61" i="8"/>
  <c r="AQ59" i="8"/>
  <c r="AM59" i="8"/>
  <c r="AM117" i="8"/>
  <c r="AJ116" i="8"/>
  <c r="AR115" i="8"/>
  <c r="AM113" i="8"/>
  <c r="AJ112" i="8"/>
  <c r="BB109" i="8"/>
  <c r="AQ109" i="8"/>
  <c r="BB108" i="8"/>
  <c r="AM106" i="8"/>
  <c r="AZ105" i="8"/>
  <c r="AR105" i="8"/>
  <c r="AJ105" i="8"/>
  <c r="AQ104" i="8"/>
  <c r="AM102" i="8"/>
  <c r="AZ101" i="8"/>
  <c r="AR101" i="8"/>
  <c r="AJ101" i="8"/>
  <c r="AQ100" i="8"/>
  <c r="AR98" i="8"/>
  <c r="AM98" i="8"/>
  <c r="AR96" i="8"/>
  <c r="AM96" i="8"/>
  <c r="AR92" i="8"/>
  <c r="AM92" i="8"/>
  <c r="AR90" i="8"/>
  <c r="AM90" i="8"/>
  <c r="AR88" i="8"/>
  <c r="AM88" i="8"/>
  <c r="AR86" i="8"/>
  <c r="AM86" i="8"/>
  <c r="AR84" i="8"/>
  <c r="AM84" i="8"/>
  <c r="BB81" i="8"/>
  <c r="AP81" i="8"/>
  <c r="BB79" i="8"/>
  <c r="AP79" i="8"/>
  <c r="BB77" i="8"/>
  <c r="AP77" i="8"/>
  <c r="BB75" i="8"/>
  <c r="AP75" i="8"/>
  <c r="BB73" i="8"/>
  <c r="AP73" i="8"/>
  <c r="BB71" i="8"/>
  <c r="AP71" i="8"/>
  <c r="BB69" i="8"/>
  <c r="AP69" i="8"/>
  <c r="BB67" i="8"/>
  <c r="AP67" i="8"/>
  <c r="BB65" i="8"/>
  <c r="AP65" i="8"/>
  <c r="BB63" i="8"/>
  <c r="AP63" i="8"/>
  <c r="BB61" i="8"/>
  <c r="AP61" i="8"/>
  <c r="BB59" i="8"/>
  <c r="AP59" i="8"/>
  <c r="BB57" i="8"/>
  <c r="AP57" i="8"/>
  <c r="BB55" i="8"/>
  <c r="AP55" i="8"/>
  <c r="BB53" i="8"/>
  <c r="AP53" i="8"/>
  <c r="BB51" i="8"/>
  <c r="AP51" i="8"/>
  <c r="BB49" i="8"/>
  <c r="AP49" i="8"/>
  <c r="BB47" i="8"/>
  <c r="BB45" i="8"/>
  <c r="AP45" i="8"/>
  <c r="BB43" i="8"/>
  <c r="AP43" i="8"/>
  <c r="BB41" i="8"/>
  <c r="BB39" i="8"/>
  <c r="AP39" i="8"/>
  <c r="BB37" i="8"/>
  <c r="AP37" i="8"/>
  <c r="I604" i="13"/>
  <c r="J604" i="13" s="1"/>
  <c r="I600" i="13"/>
  <c r="J600" i="13" s="1"/>
  <c r="I601" i="13"/>
  <c r="I602" i="13"/>
  <c r="I599" i="13"/>
  <c r="I603" i="13"/>
  <c r="I627" i="13"/>
  <c r="I628" i="13"/>
  <c r="I624" i="13"/>
  <c r="I625" i="13"/>
  <c r="I623" i="13"/>
  <c r="J623" i="13" s="1"/>
  <c r="K623" i="13" s="1"/>
  <c r="I626" i="13"/>
  <c r="J626" i="13" s="1"/>
  <c r="C45" i="9"/>
  <c r="C44" i="9"/>
  <c r="C46" i="9"/>
  <c r="I532" i="13"/>
  <c r="I534" i="13"/>
  <c r="J534" i="13" s="1"/>
  <c r="I530" i="13"/>
  <c r="J530" i="13" s="1"/>
  <c r="I533" i="13"/>
  <c r="I529" i="13"/>
  <c r="I531" i="13"/>
  <c r="I558" i="13"/>
  <c r="I554" i="13"/>
  <c r="I557" i="13"/>
  <c r="J557" i="13" s="1"/>
  <c r="I556" i="13"/>
  <c r="J556" i="13" s="1"/>
  <c r="I559" i="13"/>
  <c r="I555" i="13"/>
  <c r="C93" i="9"/>
  <c r="C92" i="9"/>
  <c r="C94" i="9"/>
  <c r="BK109" i="8"/>
  <c r="BL109" i="8" s="1"/>
  <c r="BO109" i="8" s="1"/>
  <c r="BP109" i="8" s="1"/>
  <c r="H2291" i="12" s="1"/>
  <c r="I2291" i="12" s="1"/>
  <c r="BK107" i="8"/>
  <c r="BL107" i="8" s="1"/>
  <c r="BO107" i="8" s="1"/>
  <c r="BP107" i="8" s="1"/>
  <c r="H2247" i="12" s="1"/>
  <c r="I2247" i="12" s="1"/>
  <c r="AP5" i="8"/>
  <c r="AJ6" i="8"/>
  <c r="AR6" i="8"/>
  <c r="AZ6" i="8"/>
  <c r="BC6" i="8" s="1"/>
  <c r="BD6" i="8" s="1"/>
  <c r="BE6" i="8" s="1"/>
  <c r="AL7" i="8"/>
  <c r="AP7" i="8"/>
  <c r="BB7" i="8"/>
  <c r="I22" i="13"/>
  <c r="I23" i="13"/>
  <c r="I25" i="13"/>
  <c r="I21" i="13"/>
  <c r="J21" i="13" s="1"/>
  <c r="I24" i="13"/>
  <c r="I20" i="13"/>
  <c r="AJ8" i="8"/>
  <c r="AR8" i="8"/>
  <c r="AZ8" i="8"/>
  <c r="BC8" i="8" s="1"/>
  <c r="BD8" i="8" s="1"/>
  <c r="BE8" i="8" s="1"/>
  <c r="AL9" i="8"/>
  <c r="AP9" i="8"/>
  <c r="BB9" i="8"/>
  <c r="I42" i="13"/>
  <c r="I38" i="13"/>
  <c r="I43" i="13"/>
  <c r="I39" i="13"/>
  <c r="I41" i="13"/>
  <c r="J41" i="13" s="1"/>
  <c r="I40" i="13"/>
  <c r="J40" i="13" s="1"/>
  <c r="AJ10" i="8"/>
  <c r="AR10" i="8"/>
  <c r="AZ10" i="8"/>
  <c r="BC10" i="8" s="1"/>
  <c r="BD10" i="8" s="1"/>
  <c r="BE10" i="8" s="1"/>
  <c r="AP11" i="8"/>
  <c r="BB11" i="8"/>
  <c r="I104" i="13"/>
  <c r="I105" i="13"/>
  <c r="I101" i="13"/>
  <c r="I102" i="13"/>
  <c r="I103" i="13"/>
  <c r="AJ12" i="8"/>
  <c r="AN12" i="8"/>
  <c r="AR12" i="8"/>
  <c r="AZ12" i="8"/>
  <c r="BC12" i="8" s="1"/>
  <c r="BD12" i="8" s="1"/>
  <c r="BE12" i="8" s="1"/>
  <c r="AP13" i="8"/>
  <c r="BB13" i="8"/>
  <c r="I140" i="13"/>
  <c r="I141" i="13"/>
  <c r="I142" i="13"/>
  <c r="I138" i="13"/>
  <c r="I139" i="13"/>
  <c r="AJ14" i="8"/>
  <c r="AN14" i="8"/>
  <c r="AR14" i="8"/>
  <c r="AZ14" i="8"/>
  <c r="BC14" i="8" s="1"/>
  <c r="BD14" i="8" s="1"/>
  <c r="BE14" i="8" s="1"/>
  <c r="AP15" i="8"/>
  <c r="BB15" i="8"/>
  <c r="I72" i="13"/>
  <c r="I68" i="13"/>
  <c r="I69" i="13"/>
  <c r="I70" i="13"/>
  <c r="I71" i="13"/>
  <c r="AJ16" i="8"/>
  <c r="AN16" i="8"/>
  <c r="AR16" i="8"/>
  <c r="AZ16" i="8"/>
  <c r="BC16" i="8" s="1"/>
  <c r="BD16" i="8" s="1"/>
  <c r="BE16" i="8" s="1"/>
  <c r="AP17" i="8"/>
  <c r="BB17" i="8"/>
  <c r="I112" i="13"/>
  <c r="I113" i="13"/>
  <c r="I114" i="13"/>
  <c r="I115" i="13"/>
  <c r="I111" i="13"/>
  <c r="AJ18" i="8"/>
  <c r="AN18" i="8"/>
  <c r="AR18" i="8"/>
  <c r="AZ18" i="8"/>
  <c r="BC18" i="8" s="1"/>
  <c r="BD18" i="8" s="1"/>
  <c r="BE18" i="8" s="1"/>
  <c r="AP19" i="8"/>
  <c r="BB19" i="8"/>
  <c r="I152" i="13"/>
  <c r="I148" i="13"/>
  <c r="I149" i="13"/>
  <c r="I150" i="13"/>
  <c r="I151" i="13"/>
  <c r="I147" i="13"/>
  <c r="AJ20" i="8"/>
  <c r="AN20" i="8"/>
  <c r="AR20" i="8"/>
  <c r="AZ20" i="8"/>
  <c r="BC20" i="8" s="1"/>
  <c r="BD20" i="8" s="1"/>
  <c r="BE20" i="8" s="1"/>
  <c r="BB21" i="8"/>
  <c r="I76" i="13"/>
  <c r="I77" i="13"/>
  <c r="I73" i="13"/>
  <c r="I78" i="13"/>
  <c r="I74" i="13"/>
  <c r="I75" i="13"/>
  <c r="AJ22" i="8"/>
  <c r="AN22" i="8"/>
  <c r="AR22" i="8"/>
  <c r="AZ22" i="8"/>
  <c r="BC22" i="8" s="1"/>
  <c r="BD22" i="8" s="1"/>
  <c r="BE22" i="8" s="1"/>
  <c r="AP23" i="8"/>
  <c r="BB23" i="8"/>
  <c r="I128" i="13"/>
  <c r="I125" i="13"/>
  <c r="I126" i="13"/>
  <c r="I127" i="13"/>
  <c r="AJ24" i="8"/>
  <c r="AN24" i="8"/>
  <c r="AR24" i="8"/>
  <c r="AZ24" i="8"/>
  <c r="BC24" i="8" s="1"/>
  <c r="BD24" i="8" s="1"/>
  <c r="BE24" i="8" s="1"/>
  <c r="AP25" i="8"/>
  <c r="BB25" i="8"/>
  <c r="I132" i="13"/>
  <c r="I129" i="13"/>
  <c r="I130" i="13"/>
  <c r="I131" i="13"/>
  <c r="AJ26" i="8"/>
  <c r="AN26" i="8"/>
  <c r="AR26" i="8"/>
  <c r="AZ26" i="8"/>
  <c r="BC26" i="8" s="1"/>
  <c r="BD26" i="8" s="1"/>
  <c r="BE26" i="8" s="1"/>
  <c r="BB27" i="8"/>
  <c r="I92" i="13"/>
  <c r="I93" i="13"/>
  <c r="I94" i="13"/>
  <c r="I90" i="13"/>
  <c r="I95" i="13"/>
  <c r="J95" i="13" s="1"/>
  <c r="I91" i="13"/>
  <c r="J91" i="13" s="1"/>
  <c r="AJ28" i="8"/>
  <c r="AN28" i="8"/>
  <c r="AR28" i="8"/>
  <c r="AZ28" i="8"/>
  <c r="BC28" i="8" s="1"/>
  <c r="BD28" i="8" s="1"/>
  <c r="BE28" i="8" s="1"/>
  <c r="AN29" i="8"/>
  <c r="I100" i="13"/>
  <c r="I96" i="13"/>
  <c r="I97" i="13"/>
  <c r="I98" i="13"/>
  <c r="I99" i="13"/>
  <c r="J99" i="13" s="1"/>
  <c r="AQ30" i="8"/>
  <c r="AM30" i="8"/>
  <c r="AK30" i="8"/>
  <c r="AP30" i="8"/>
  <c r="BA30" i="8"/>
  <c r="I160" i="13"/>
  <c r="I156" i="13"/>
  <c r="I157" i="13"/>
  <c r="I158" i="13"/>
  <c r="I159" i="13"/>
  <c r="AN31" i="8"/>
  <c r="I164" i="13"/>
  <c r="I165" i="13"/>
  <c r="I161" i="13"/>
  <c r="I166" i="13"/>
  <c r="I162" i="13"/>
  <c r="I163" i="13"/>
  <c r="AQ32" i="8"/>
  <c r="AM32" i="8"/>
  <c r="AK32" i="8"/>
  <c r="AP32" i="8"/>
  <c r="BA32" i="8"/>
  <c r="I216" i="13"/>
  <c r="J216" i="13" s="1"/>
  <c r="I217" i="13"/>
  <c r="I218" i="13"/>
  <c r="I214" i="13"/>
  <c r="I215" i="13"/>
  <c r="AN33" i="8"/>
  <c r="I184" i="13"/>
  <c r="I180" i="13"/>
  <c r="I181" i="13"/>
  <c r="I182" i="13"/>
  <c r="I183" i="13"/>
  <c r="I179" i="13"/>
  <c r="AQ34" i="8"/>
  <c r="AM34" i="8"/>
  <c r="AK34" i="8"/>
  <c r="AP34" i="8"/>
  <c r="BA34" i="8"/>
  <c r="I248" i="13"/>
  <c r="J248" i="13" s="1"/>
  <c r="I245" i="13"/>
  <c r="I247" i="13"/>
  <c r="J247" i="13" s="1"/>
  <c r="I243" i="13"/>
  <c r="J243" i="13" s="1"/>
  <c r="I246" i="13"/>
  <c r="I244" i="13"/>
  <c r="AN35" i="8"/>
  <c r="I220" i="13"/>
  <c r="J220" i="13" s="1"/>
  <c r="I221" i="13"/>
  <c r="I222" i="13"/>
  <c r="I219" i="13"/>
  <c r="AO36" i="8"/>
  <c r="BQ37" i="8"/>
  <c r="AN37" i="8"/>
  <c r="AQ37" i="8"/>
  <c r="AK38" i="8"/>
  <c r="BK39" i="8"/>
  <c r="BL39" i="8" s="1"/>
  <c r="BO39" i="8" s="1"/>
  <c r="BP39" i="8" s="1"/>
  <c r="H751" i="12" s="1"/>
  <c r="I751" i="12" s="1"/>
  <c r="AQ40" i="8"/>
  <c r="AM40" i="8"/>
  <c r="BB40" i="8"/>
  <c r="AP40" i="8"/>
  <c r="AL40" i="8"/>
  <c r="M40" i="8"/>
  <c r="AZ40" i="8"/>
  <c r="BC40" i="8" s="1"/>
  <c r="BD40" i="8" s="1"/>
  <c r="BE40" i="8" s="1"/>
  <c r="AR40" i="8"/>
  <c r="AN40" i="8"/>
  <c r="AJ40" i="8"/>
  <c r="AS40" i="8"/>
  <c r="BO42" i="8"/>
  <c r="BP42" i="8"/>
  <c r="H817" i="12" s="1"/>
  <c r="I817" i="12" s="1"/>
  <c r="AL43" i="8"/>
  <c r="AM43" i="8"/>
  <c r="BA45" i="8"/>
  <c r="BO46" i="8"/>
  <c r="BP46" i="8" s="1"/>
  <c r="H905" i="12" s="1"/>
  <c r="I905" i="12" s="1"/>
  <c r="AK48" i="8"/>
  <c r="BK49" i="8"/>
  <c r="BL49" i="8" s="1"/>
  <c r="BO49" i="8" s="1"/>
  <c r="BP49" i="8" s="1"/>
  <c r="H971" i="12" s="1"/>
  <c r="I971" i="12" s="1"/>
  <c r="AQ50" i="8"/>
  <c r="AM50" i="8"/>
  <c r="BB50" i="8"/>
  <c r="AP50" i="8"/>
  <c r="AL50" i="8"/>
  <c r="M50" i="8"/>
  <c r="AZ50" i="8"/>
  <c r="BC50" i="8" s="1"/>
  <c r="BD50" i="8" s="1"/>
  <c r="BE50" i="8" s="1"/>
  <c r="AR50" i="8"/>
  <c r="AN50" i="8"/>
  <c r="AJ50" i="8"/>
  <c r="AS50" i="8"/>
  <c r="BQ51" i="8"/>
  <c r="AN51" i="8"/>
  <c r="AQ51" i="8"/>
  <c r="AK52" i="8"/>
  <c r="BL52" i="8"/>
  <c r="BK53" i="8"/>
  <c r="BL53" i="8" s="1"/>
  <c r="BO53" i="8" s="1"/>
  <c r="BP53" i="8" s="1"/>
  <c r="H1059" i="12" s="1"/>
  <c r="I1059" i="12" s="1"/>
  <c r="AQ54" i="8"/>
  <c r="AM54" i="8"/>
  <c r="BB54" i="8"/>
  <c r="AP54" i="8"/>
  <c r="AL54" i="8"/>
  <c r="M54" i="8"/>
  <c r="AZ54" i="8"/>
  <c r="BC54" i="8" s="1"/>
  <c r="BD54" i="8" s="1"/>
  <c r="BE54" i="8" s="1"/>
  <c r="AR54" i="8"/>
  <c r="AN54" i="8"/>
  <c r="AJ54" i="8"/>
  <c r="AS54" i="8"/>
  <c r="BQ55" i="8"/>
  <c r="AN55" i="8"/>
  <c r="AQ55" i="8"/>
  <c r="AK56" i="8"/>
  <c r="AQ58" i="8"/>
  <c r="AM58" i="8"/>
  <c r="BB58" i="8"/>
  <c r="AP58" i="8"/>
  <c r="AL58" i="8"/>
  <c r="M58" i="8"/>
  <c r="AZ58" i="8"/>
  <c r="BC58" i="8" s="1"/>
  <c r="BD58" i="8" s="1"/>
  <c r="BE58" i="8" s="1"/>
  <c r="AR58" i="8"/>
  <c r="AN58" i="8"/>
  <c r="AJ58" i="8"/>
  <c r="AS58" i="8"/>
  <c r="AZ83" i="8"/>
  <c r="AL84" i="8"/>
  <c r="AZ91" i="8"/>
  <c r="AZ95" i="8"/>
  <c r="AL106" i="8"/>
  <c r="AL108" i="8"/>
  <c r="C21" i="9"/>
  <c r="C22" i="9"/>
  <c r="C20" i="9"/>
  <c r="C33" i="9"/>
  <c r="C32" i="9"/>
  <c r="C34" i="9"/>
  <c r="I643" i="13"/>
  <c r="J643" i="13" s="1"/>
  <c r="I644" i="13"/>
  <c r="I645" i="13"/>
  <c r="I642" i="13"/>
  <c r="J642" i="13" s="1"/>
  <c r="I641" i="13"/>
  <c r="I646" i="13"/>
  <c r="J646" i="13" s="1"/>
  <c r="C37" i="9"/>
  <c r="C36" i="9"/>
  <c r="C35" i="9"/>
  <c r="I516" i="13"/>
  <c r="I512" i="13"/>
  <c r="I514" i="13"/>
  <c r="J514" i="13" s="1"/>
  <c r="I513" i="13"/>
  <c r="I515" i="13"/>
  <c r="I511" i="13"/>
  <c r="BK102" i="8"/>
  <c r="C61" i="9"/>
  <c r="C60" i="9"/>
  <c r="C59" i="9"/>
  <c r="I542" i="13"/>
  <c r="I544" i="13"/>
  <c r="J544" i="13" s="1"/>
  <c r="I543" i="13"/>
  <c r="I541" i="13"/>
  <c r="BK105" i="8"/>
  <c r="BL105" i="8" s="1"/>
  <c r="BK99" i="8"/>
  <c r="BL99" i="8" s="1"/>
  <c r="BK97" i="8"/>
  <c r="BK87" i="8"/>
  <c r="BK68" i="8"/>
  <c r="BK56" i="8"/>
  <c r="BL56" i="8" s="1"/>
  <c r="BO56" i="8" s="1"/>
  <c r="BP56" i="8" s="1"/>
  <c r="H1125" i="12" s="1"/>
  <c r="I1125" i="12" s="1"/>
  <c r="BK32" i="8"/>
  <c r="BL32" i="8" s="1"/>
  <c r="BO32" i="8" s="1"/>
  <c r="BP32" i="8" s="1"/>
  <c r="H597" i="12" s="1"/>
  <c r="I597" i="12" s="1"/>
  <c r="BK84" i="8"/>
  <c r="AK12" i="8"/>
  <c r="AO12" i="8"/>
  <c r="AS12" i="8"/>
  <c r="AM13" i="8"/>
  <c r="AQ13" i="8"/>
  <c r="BK13" i="8"/>
  <c r="BL13" i="8" s="1"/>
  <c r="BO13" i="8" s="1"/>
  <c r="BP13" i="8" s="1"/>
  <c r="H179" i="12" s="1"/>
  <c r="I179" i="12" s="1"/>
  <c r="AK14" i="8"/>
  <c r="AO14" i="8"/>
  <c r="AS14" i="8"/>
  <c r="AM15" i="8"/>
  <c r="AQ15" i="8"/>
  <c r="AK16" i="8"/>
  <c r="AO16" i="8"/>
  <c r="AS16" i="8"/>
  <c r="AM17" i="8"/>
  <c r="AQ17" i="8"/>
  <c r="AK18" i="8"/>
  <c r="AO18" i="8"/>
  <c r="AS18" i="8"/>
  <c r="AM19" i="8"/>
  <c r="AQ19" i="8"/>
  <c r="BK19" i="8"/>
  <c r="BL19" i="8" s="1"/>
  <c r="BO19" i="8" s="1"/>
  <c r="BP19" i="8" s="1"/>
  <c r="H311" i="12" s="1"/>
  <c r="I311" i="12" s="1"/>
  <c r="AK20" i="8"/>
  <c r="AO20" i="8"/>
  <c r="AS20" i="8"/>
  <c r="BK21" i="8"/>
  <c r="BL21" i="8" s="1"/>
  <c r="AK22" i="8"/>
  <c r="AO22" i="8"/>
  <c r="AS22" i="8"/>
  <c r="AM23" i="8"/>
  <c r="AQ23" i="8"/>
  <c r="BK23" i="8"/>
  <c r="BL23" i="8" s="1"/>
  <c r="BO23" i="8" s="1"/>
  <c r="BP23" i="8" s="1"/>
  <c r="H399" i="12" s="1"/>
  <c r="I399" i="12" s="1"/>
  <c r="AK24" i="8"/>
  <c r="AO24" i="8"/>
  <c r="AS24" i="8"/>
  <c r="AM25" i="8"/>
  <c r="AQ25" i="8"/>
  <c r="BK25" i="8"/>
  <c r="BL25" i="8" s="1"/>
  <c r="BO25" i="8" s="1"/>
  <c r="BP25" i="8" s="1"/>
  <c r="H443" i="12" s="1"/>
  <c r="I443" i="12" s="1"/>
  <c r="AK26" i="8"/>
  <c r="AO26" i="8"/>
  <c r="AS26" i="8"/>
  <c r="BK27" i="8"/>
  <c r="BL27" i="8" s="1"/>
  <c r="BO27" i="8" s="1"/>
  <c r="BP27" i="8" s="1"/>
  <c r="H487" i="12" s="1"/>
  <c r="I487" i="12" s="1"/>
  <c r="AK28" i="8"/>
  <c r="AO28" i="8"/>
  <c r="AS28" i="8"/>
  <c r="AJ29" i="8"/>
  <c r="AP29" i="8"/>
  <c r="AZ29" i="8"/>
  <c r="BC29" i="8" s="1"/>
  <c r="BD29" i="8" s="1"/>
  <c r="BE29" i="8" s="1"/>
  <c r="BK29" i="8"/>
  <c r="BL29" i="8" s="1"/>
  <c r="BO29" i="8" s="1"/>
  <c r="BP29" i="8" s="1"/>
  <c r="H531" i="12" s="1"/>
  <c r="I531" i="12" s="1"/>
  <c r="AL30" i="8"/>
  <c r="AR30" i="8"/>
  <c r="BB30" i="8"/>
  <c r="BL30" i="8"/>
  <c r="BO30" i="8" s="1"/>
  <c r="BP30" i="8" s="1"/>
  <c r="H553" i="12" s="1"/>
  <c r="I553" i="12" s="1"/>
  <c r="AJ31" i="8"/>
  <c r="AP31" i="8"/>
  <c r="AZ31" i="8"/>
  <c r="BC31" i="8" s="1"/>
  <c r="BD31" i="8" s="1"/>
  <c r="BE31" i="8" s="1"/>
  <c r="BK31" i="8"/>
  <c r="BL31" i="8" s="1"/>
  <c r="BO31" i="8" s="1"/>
  <c r="BP31" i="8" s="1"/>
  <c r="H575" i="12" s="1"/>
  <c r="I575" i="12" s="1"/>
  <c r="AL32" i="8"/>
  <c r="AR32" i="8"/>
  <c r="BB32" i="8"/>
  <c r="AJ33" i="8"/>
  <c r="AP33" i="8"/>
  <c r="AZ33" i="8"/>
  <c r="BC33" i="8" s="1"/>
  <c r="BD33" i="8" s="1"/>
  <c r="BE33" i="8" s="1"/>
  <c r="BK33" i="8"/>
  <c r="BL33" i="8" s="1"/>
  <c r="BO33" i="8" s="1"/>
  <c r="BP33" i="8" s="1"/>
  <c r="H619" i="12" s="1"/>
  <c r="I619" i="12" s="1"/>
  <c r="AL34" i="8"/>
  <c r="AR34" i="8"/>
  <c r="BB34" i="8"/>
  <c r="BL34" i="8"/>
  <c r="BO34" i="8" s="1"/>
  <c r="BP34" i="8" s="1"/>
  <c r="H641" i="12" s="1"/>
  <c r="I641" i="12" s="1"/>
  <c r="AJ35" i="8"/>
  <c r="AP35" i="8"/>
  <c r="AZ35" i="8"/>
  <c r="BC35" i="8" s="1"/>
  <c r="BD35" i="8" s="1"/>
  <c r="BE35" i="8" s="1"/>
  <c r="BK35" i="8"/>
  <c r="BL35" i="8" s="1"/>
  <c r="BO35" i="8" s="1"/>
  <c r="BP35" i="8" s="1"/>
  <c r="H663" i="12" s="1"/>
  <c r="I663" i="12" s="1"/>
  <c r="AJ36" i="8"/>
  <c r="AR36" i="8"/>
  <c r="AZ36" i="8"/>
  <c r="BC36" i="8" s="1"/>
  <c r="BD36" i="8" s="1"/>
  <c r="BE36" i="8" s="1"/>
  <c r="BA37" i="8"/>
  <c r="AO38" i="8"/>
  <c r="BO38" i="8"/>
  <c r="BP38" i="8" s="1"/>
  <c r="H729" i="12" s="1"/>
  <c r="I729" i="12" s="1"/>
  <c r="AL39" i="8"/>
  <c r="AM39" i="8"/>
  <c r="BA41" i="8"/>
  <c r="BK41" i="8"/>
  <c r="BL41" i="8" s="1"/>
  <c r="BO41" i="8" s="1"/>
  <c r="BP41" i="8" s="1"/>
  <c r="H795" i="12" s="1"/>
  <c r="I795" i="12" s="1"/>
  <c r="AQ42" i="8"/>
  <c r="AM42" i="8"/>
  <c r="BB42" i="8"/>
  <c r="AP42" i="8"/>
  <c r="AL42" i="8"/>
  <c r="M42" i="8"/>
  <c r="AZ42" i="8"/>
  <c r="BC42" i="8" s="1"/>
  <c r="BD42" i="8" s="1"/>
  <c r="BE42" i="8" s="1"/>
  <c r="AR42" i="8"/>
  <c r="AN42" i="8"/>
  <c r="AJ42" i="8"/>
  <c r="AS42" i="8"/>
  <c r="BQ43" i="8"/>
  <c r="AN43" i="8"/>
  <c r="AQ43" i="8"/>
  <c r="AK44" i="8"/>
  <c r="BA44" i="8"/>
  <c r="BK45" i="8"/>
  <c r="BL45" i="8" s="1"/>
  <c r="BO45" i="8" s="1"/>
  <c r="BP45" i="8" s="1"/>
  <c r="H883" i="12" s="1"/>
  <c r="I883" i="12" s="1"/>
  <c r="AQ46" i="8"/>
  <c r="AM46" i="8"/>
  <c r="BB46" i="8"/>
  <c r="AP46" i="8"/>
  <c r="AL46" i="8"/>
  <c r="M46" i="8"/>
  <c r="AZ46" i="8"/>
  <c r="BC46" i="8" s="1"/>
  <c r="BD46" i="8" s="1"/>
  <c r="BE46" i="8" s="1"/>
  <c r="AR46" i="8"/>
  <c r="AN46" i="8"/>
  <c r="AJ46" i="8"/>
  <c r="AS46" i="8"/>
  <c r="AO48" i="8"/>
  <c r="BO48" i="8"/>
  <c r="BP48" i="8" s="1"/>
  <c r="H949" i="12" s="1"/>
  <c r="I949" i="12" s="1"/>
  <c r="AL49" i="8"/>
  <c r="AM49" i="8"/>
  <c r="BA51" i="8"/>
  <c r="AO52" i="8"/>
  <c r="BO52" i="8"/>
  <c r="BP52" i="8" s="1"/>
  <c r="H1037" i="12" s="1"/>
  <c r="I1037" i="12" s="1"/>
  <c r="AL53" i="8"/>
  <c r="AM53" i="8"/>
  <c r="BA55" i="8"/>
  <c r="AO56" i="8"/>
  <c r="AL57" i="8"/>
  <c r="AM57" i="8"/>
  <c r="BL58" i="8"/>
  <c r="BO58" i="8" s="1"/>
  <c r="BP58" i="8" s="1"/>
  <c r="H1169" i="12" s="1"/>
  <c r="I1169" i="12" s="1"/>
  <c r="AL59" i="8"/>
  <c r="BL60" i="8"/>
  <c r="BO60" i="8" s="1"/>
  <c r="BP60" i="8" s="1"/>
  <c r="H1213" i="12" s="1"/>
  <c r="I1213" i="12" s="1"/>
  <c r="AL61" i="8"/>
  <c r="BL62" i="8"/>
  <c r="BO62" i="8" s="1"/>
  <c r="BP62" i="8" s="1"/>
  <c r="H1257" i="12" s="1"/>
  <c r="I1257" i="12" s="1"/>
  <c r="AL63" i="8"/>
  <c r="BL64" i="8"/>
  <c r="BO64" i="8" s="1"/>
  <c r="BP64" i="8" s="1"/>
  <c r="H1301" i="12" s="1"/>
  <c r="I1301" i="12" s="1"/>
  <c r="AL65" i="8"/>
  <c r="BL66" i="8"/>
  <c r="BO66" i="8" s="1"/>
  <c r="BP66" i="8" s="1"/>
  <c r="H1345" i="12" s="1"/>
  <c r="I1345" i="12" s="1"/>
  <c r="AL67" i="8"/>
  <c r="BL68" i="8"/>
  <c r="BO68" i="8" s="1"/>
  <c r="BP68" i="8" s="1"/>
  <c r="H1389" i="12" s="1"/>
  <c r="I1389" i="12" s="1"/>
  <c r="AL69" i="8"/>
  <c r="BL70" i="8"/>
  <c r="BO70" i="8" s="1"/>
  <c r="BP70" i="8" s="1"/>
  <c r="H1433" i="12" s="1"/>
  <c r="I1433" i="12" s="1"/>
  <c r="AL71" i="8"/>
  <c r="BL72" i="8"/>
  <c r="BO72" i="8" s="1"/>
  <c r="BP72" i="8" s="1"/>
  <c r="H1477" i="12" s="1"/>
  <c r="I1477" i="12" s="1"/>
  <c r="AL73" i="8"/>
  <c r="BL74" i="8"/>
  <c r="BO74" i="8" s="1"/>
  <c r="BP74" i="8" s="1"/>
  <c r="H1521" i="12" s="1"/>
  <c r="I1521" i="12" s="1"/>
  <c r="AL75" i="8"/>
  <c r="BL76" i="8"/>
  <c r="BO76" i="8" s="1"/>
  <c r="BP76" i="8" s="1"/>
  <c r="H1565" i="12" s="1"/>
  <c r="I1565" i="12" s="1"/>
  <c r="AL77" i="8"/>
  <c r="BL78" i="8"/>
  <c r="BO78" i="8" s="1"/>
  <c r="BP78" i="8" s="1"/>
  <c r="H1609" i="12" s="1"/>
  <c r="I1609" i="12" s="1"/>
  <c r="AL79" i="8"/>
  <c r="BL80" i="8"/>
  <c r="BO80" i="8" s="1"/>
  <c r="BP80" i="8" s="1"/>
  <c r="H1653" i="12" s="1"/>
  <c r="I1653" i="12" s="1"/>
  <c r="AL81" i="8"/>
  <c r="AZ85" i="8"/>
  <c r="AL86" i="8"/>
  <c r="AZ93" i="8"/>
  <c r="AZ97" i="8"/>
  <c r="AL102" i="8"/>
  <c r="AL104" i="8"/>
  <c r="I252" i="13"/>
  <c r="I253" i="13"/>
  <c r="I249" i="13"/>
  <c r="I250" i="13"/>
  <c r="I251" i="13"/>
  <c r="J251" i="13" s="1"/>
  <c r="I192" i="13"/>
  <c r="I193" i="13"/>
  <c r="I194" i="13"/>
  <c r="I191" i="13"/>
  <c r="I224" i="13"/>
  <c r="J224" i="13" s="1"/>
  <c r="I225" i="13"/>
  <c r="I226" i="13"/>
  <c r="I227" i="13"/>
  <c r="I223" i="13"/>
  <c r="I232" i="13"/>
  <c r="I228" i="13"/>
  <c r="I233" i="13"/>
  <c r="I229" i="13"/>
  <c r="I230" i="13"/>
  <c r="I231" i="13"/>
  <c r="I236" i="13"/>
  <c r="J236" i="13" s="1"/>
  <c r="I237" i="13"/>
  <c r="I234" i="13"/>
  <c r="I235" i="13"/>
  <c r="I208" i="13"/>
  <c r="I209" i="13"/>
  <c r="I210" i="13"/>
  <c r="I211" i="13"/>
  <c r="I212" i="13"/>
  <c r="I213" i="13"/>
  <c r="I296" i="13"/>
  <c r="J296" i="13" s="1"/>
  <c r="I293" i="13"/>
  <c r="I294" i="13"/>
  <c r="I295" i="13"/>
  <c r="I327" i="13"/>
  <c r="J327" i="13" s="1"/>
  <c r="I326" i="13"/>
  <c r="I276" i="13"/>
  <c r="J276" i="13" s="1"/>
  <c r="I277" i="13"/>
  <c r="I278" i="13"/>
  <c r="I275" i="13"/>
  <c r="I279" i="13"/>
  <c r="I308" i="13"/>
  <c r="I309" i="13"/>
  <c r="I307" i="13"/>
  <c r="I339" i="13"/>
  <c r="J339" i="13" s="1"/>
  <c r="I341" i="13"/>
  <c r="I337" i="13"/>
  <c r="J337" i="13" s="1"/>
  <c r="I340" i="13"/>
  <c r="I338" i="13"/>
  <c r="AJ60" i="8"/>
  <c r="AN60" i="8"/>
  <c r="AR60" i="8"/>
  <c r="AZ60" i="8"/>
  <c r="I317" i="13"/>
  <c r="I318" i="13"/>
  <c r="AJ62" i="8"/>
  <c r="AN62" i="8"/>
  <c r="AR62" i="8"/>
  <c r="AZ62" i="8"/>
  <c r="I320" i="13"/>
  <c r="J320" i="13" s="1"/>
  <c r="I319" i="13"/>
  <c r="AJ64" i="8"/>
  <c r="AN64" i="8"/>
  <c r="AR64" i="8"/>
  <c r="AZ64" i="8"/>
  <c r="I324" i="13"/>
  <c r="J324" i="13" s="1"/>
  <c r="I325" i="13"/>
  <c r="I321" i="13"/>
  <c r="I322" i="13"/>
  <c r="I323" i="13"/>
  <c r="AJ66" i="8"/>
  <c r="AN66" i="8"/>
  <c r="AR66" i="8"/>
  <c r="AZ66" i="8"/>
  <c r="I360" i="13"/>
  <c r="I361" i="13"/>
  <c r="I362" i="13"/>
  <c r="AJ68" i="8"/>
  <c r="AN68" i="8"/>
  <c r="AR68" i="8"/>
  <c r="AZ68" i="8"/>
  <c r="I329" i="13"/>
  <c r="J329" i="13" s="1"/>
  <c r="I330" i="13"/>
  <c r="I328" i="13"/>
  <c r="AJ70" i="8"/>
  <c r="AN70" i="8"/>
  <c r="AR70" i="8"/>
  <c r="AZ70" i="8"/>
  <c r="I375" i="13"/>
  <c r="J375" i="13" s="1"/>
  <c r="I376" i="13"/>
  <c r="I377" i="13"/>
  <c r="I373" i="13"/>
  <c r="I374" i="13"/>
  <c r="AJ72" i="8"/>
  <c r="AN72" i="8"/>
  <c r="AR72" i="8"/>
  <c r="AZ72" i="8"/>
  <c r="I335" i="13"/>
  <c r="I336" i="13"/>
  <c r="I334" i="13"/>
  <c r="AJ74" i="8"/>
  <c r="AN74" i="8"/>
  <c r="AR74" i="8"/>
  <c r="AZ74" i="8"/>
  <c r="I347" i="13"/>
  <c r="J347" i="13" s="1"/>
  <c r="I343" i="13"/>
  <c r="I345" i="13"/>
  <c r="J345" i="13" s="1"/>
  <c r="I346" i="13"/>
  <c r="I344" i="13"/>
  <c r="I342" i="13"/>
  <c r="AJ76" i="8"/>
  <c r="AN76" i="8"/>
  <c r="AR76" i="8"/>
  <c r="AZ76" i="8"/>
  <c r="I383" i="13"/>
  <c r="J383" i="13" s="1"/>
  <c r="I384" i="13"/>
  <c r="I385" i="13"/>
  <c r="I386" i="13"/>
  <c r="AJ78" i="8"/>
  <c r="AN78" i="8"/>
  <c r="AR78" i="8"/>
  <c r="AZ78" i="8"/>
  <c r="I387" i="13"/>
  <c r="J387" i="13" s="1"/>
  <c r="I388" i="13"/>
  <c r="I389" i="13"/>
  <c r="AJ80" i="8"/>
  <c r="AN80" i="8"/>
  <c r="AR80" i="8"/>
  <c r="AZ80" i="8"/>
  <c r="I391" i="13"/>
  <c r="J391" i="13" s="1"/>
  <c r="I392" i="13"/>
  <c r="I393" i="13"/>
  <c r="I390" i="13"/>
  <c r="AJ82" i="8"/>
  <c r="AN82" i="8"/>
  <c r="AR82" i="8"/>
  <c r="AZ82" i="8"/>
  <c r="AJ83" i="8"/>
  <c r="AO83" i="8"/>
  <c r="BA84" i="8"/>
  <c r="AJ85" i="8"/>
  <c r="AO85" i="8"/>
  <c r="BA86" i="8"/>
  <c r="AJ87" i="8"/>
  <c r="AO87" i="8"/>
  <c r="BA88" i="8"/>
  <c r="AJ89" i="8"/>
  <c r="AO89" i="8"/>
  <c r="BA90" i="8"/>
  <c r="AJ91" i="8"/>
  <c r="AO91" i="8"/>
  <c r="BA92" i="8"/>
  <c r="AJ93" i="8"/>
  <c r="AO93" i="8"/>
  <c r="BA94" i="8"/>
  <c r="AJ95" i="8"/>
  <c r="AO95" i="8"/>
  <c r="BA96" i="8"/>
  <c r="AJ97" i="8"/>
  <c r="AO97" i="8"/>
  <c r="BA98" i="8"/>
  <c r="AQ99" i="8"/>
  <c r="AM99" i="8"/>
  <c r="BB99" i="8"/>
  <c r="AP99" i="8"/>
  <c r="AL99" i="8"/>
  <c r="M99" i="8"/>
  <c r="AN99" i="8"/>
  <c r="BQ102" i="8"/>
  <c r="AN102" i="8"/>
  <c r="AQ103" i="8"/>
  <c r="AM103" i="8"/>
  <c r="BB103" i="8"/>
  <c r="AP103" i="8"/>
  <c r="AL103" i="8"/>
  <c r="M103" i="8"/>
  <c r="AN103" i="8"/>
  <c r="BQ106" i="8"/>
  <c r="AN106" i="8"/>
  <c r="AO107" i="8"/>
  <c r="I4" i="13"/>
  <c r="BL108" i="8"/>
  <c r="BO108" i="8" s="1"/>
  <c r="BP108" i="8" s="1"/>
  <c r="H2269" i="12" s="1"/>
  <c r="I2269" i="12" s="1"/>
  <c r="BA109" i="8"/>
  <c r="AP110" i="8"/>
  <c r="BA110" i="8"/>
  <c r="BP112" i="8"/>
  <c r="H2357" i="12" s="1"/>
  <c r="I2357" i="12" s="1"/>
  <c r="BW112" i="8" s="1"/>
  <c r="AL113" i="8"/>
  <c r="BP113" i="8"/>
  <c r="H2379" i="12" s="1"/>
  <c r="I2379" i="12" s="1"/>
  <c r="BO113" i="8"/>
  <c r="BQ114" i="8"/>
  <c r="BA115" i="8"/>
  <c r="I497" i="13"/>
  <c r="J497" i="13" s="1"/>
  <c r="I498" i="13"/>
  <c r="BL115" i="8"/>
  <c r="AL117" i="8"/>
  <c r="AK60" i="8"/>
  <c r="AO60" i="8"/>
  <c r="AS60" i="8"/>
  <c r="BA60" i="8"/>
  <c r="AK62" i="8"/>
  <c r="AO62" i="8"/>
  <c r="AS62" i="8"/>
  <c r="BA62" i="8"/>
  <c r="AK64" i="8"/>
  <c r="AO64" i="8"/>
  <c r="AS64" i="8"/>
  <c r="BA64" i="8"/>
  <c r="AK66" i="8"/>
  <c r="AO66" i="8"/>
  <c r="AS66" i="8"/>
  <c r="BA66" i="8"/>
  <c r="AK68" i="8"/>
  <c r="AO68" i="8"/>
  <c r="AS68" i="8"/>
  <c r="BA68" i="8"/>
  <c r="AK70" i="8"/>
  <c r="AO70" i="8"/>
  <c r="AS70" i="8"/>
  <c r="BA70" i="8"/>
  <c r="AK72" i="8"/>
  <c r="AO72" i="8"/>
  <c r="AS72" i="8"/>
  <c r="BA72" i="8"/>
  <c r="AK74" i="8"/>
  <c r="AO74" i="8"/>
  <c r="AS74" i="8"/>
  <c r="BA74" i="8"/>
  <c r="AK76" i="8"/>
  <c r="AO76" i="8"/>
  <c r="AS76" i="8"/>
  <c r="BA76" i="8"/>
  <c r="AK78" i="8"/>
  <c r="AO78" i="8"/>
  <c r="AS78" i="8"/>
  <c r="BA78" i="8"/>
  <c r="AK80" i="8"/>
  <c r="AO80" i="8"/>
  <c r="AS80" i="8"/>
  <c r="BA80" i="8"/>
  <c r="AK82" i="8"/>
  <c r="AO82" i="8"/>
  <c r="AS82" i="8"/>
  <c r="BA82" i="8"/>
  <c r="I363" i="13"/>
  <c r="J363" i="13" s="1"/>
  <c r="I364" i="13"/>
  <c r="I365" i="13"/>
  <c r="I366" i="13"/>
  <c r="AQ83" i="8"/>
  <c r="AM83" i="8"/>
  <c r="AK83" i="8"/>
  <c r="AP83" i="8"/>
  <c r="BA83" i="8"/>
  <c r="I403" i="13"/>
  <c r="J403" i="13" s="1"/>
  <c r="I404" i="13"/>
  <c r="I400" i="13"/>
  <c r="I405" i="13"/>
  <c r="I401" i="13"/>
  <c r="I402" i="13"/>
  <c r="I409" i="13"/>
  <c r="I410" i="13"/>
  <c r="I407" i="13"/>
  <c r="J407" i="13" s="1"/>
  <c r="I408" i="13"/>
  <c r="I406" i="13"/>
  <c r="AQ85" i="8"/>
  <c r="AM85" i="8"/>
  <c r="AK85" i="8"/>
  <c r="AP85" i="8"/>
  <c r="BA85" i="8"/>
  <c r="I453" i="13"/>
  <c r="J453" i="13" s="1"/>
  <c r="I449" i="13"/>
  <c r="I450" i="13"/>
  <c r="I451" i="13"/>
  <c r="I448" i="13"/>
  <c r="I452" i="13"/>
  <c r="I413" i="13"/>
  <c r="I414" i="13"/>
  <c r="I412" i="13"/>
  <c r="J412" i="13" s="1"/>
  <c r="I411" i="13"/>
  <c r="AQ87" i="8"/>
  <c r="AM87" i="8"/>
  <c r="AK87" i="8"/>
  <c r="AP87" i="8"/>
  <c r="BA87" i="8"/>
  <c r="I417" i="13"/>
  <c r="I418" i="13"/>
  <c r="I419" i="13"/>
  <c r="I415" i="13"/>
  <c r="I416" i="13"/>
  <c r="I469" i="13"/>
  <c r="I465" i="13"/>
  <c r="J465" i="13" s="1"/>
  <c r="I470" i="13"/>
  <c r="I466" i="13"/>
  <c r="I467" i="13"/>
  <c r="I468" i="13"/>
  <c r="AQ89" i="8"/>
  <c r="AM89" i="8"/>
  <c r="AK89" i="8"/>
  <c r="AP89" i="8"/>
  <c r="BA89" i="8"/>
  <c r="I461" i="13"/>
  <c r="J461" i="13" s="1"/>
  <c r="I462" i="13"/>
  <c r="I463" i="13"/>
  <c r="I459" i="13"/>
  <c r="I464" i="13"/>
  <c r="I460" i="13"/>
  <c r="I421" i="13"/>
  <c r="I422" i="13"/>
  <c r="I420" i="13"/>
  <c r="J420" i="13" s="1"/>
  <c r="I423" i="13"/>
  <c r="AQ91" i="8"/>
  <c r="AM91" i="8"/>
  <c r="AK91" i="8"/>
  <c r="AP91" i="8"/>
  <c r="BA91" i="8"/>
  <c r="I425" i="13"/>
  <c r="I426" i="13"/>
  <c r="I427" i="13"/>
  <c r="I428" i="13"/>
  <c r="I424" i="13"/>
  <c r="I433" i="13"/>
  <c r="I429" i="13"/>
  <c r="J429" i="13" s="1"/>
  <c r="I430" i="13"/>
  <c r="I431" i="13"/>
  <c r="I432" i="13"/>
  <c r="AQ93" i="8"/>
  <c r="AM93" i="8"/>
  <c r="AK93" i="8"/>
  <c r="AP93" i="8"/>
  <c r="BA93" i="8"/>
  <c r="I434" i="13"/>
  <c r="I435" i="13"/>
  <c r="I436" i="13"/>
  <c r="I441" i="13"/>
  <c r="J441" i="13" s="1"/>
  <c r="I437" i="13"/>
  <c r="I442" i="13"/>
  <c r="I438" i="13"/>
  <c r="I439" i="13"/>
  <c r="I440" i="13"/>
  <c r="AQ95" i="8"/>
  <c r="AM95" i="8"/>
  <c r="AK95" i="8"/>
  <c r="AP95" i="8"/>
  <c r="BA95" i="8"/>
  <c r="I445" i="13"/>
  <c r="J445" i="13" s="1"/>
  <c r="I446" i="13"/>
  <c r="I447" i="13"/>
  <c r="I443" i="13"/>
  <c r="I444" i="13"/>
  <c r="I457" i="13"/>
  <c r="J457" i="13" s="1"/>
  <c r="I458" i="13"/>
  <c r="I454" i="13"/>
  <c r="I455" i="13"/>
  <c r="I456" i="13"/>
  <c r="AQ97" i="8"/>
  <c r="AM97" i="8"/>
  <c r="AK97" i="8"/>
  <c r="AP97" i="8"/>
  <c r="BA97" i="8"/>
  <c r="I473" i="13"/>
  <c r="I474" i="13"/>
  <c r="I475" i="13"/>
  <c r="I471" i="13"/>
  <c r="I476" i="13"/>
  <c r="I472" i="13"/>
  <c r="I481" i="13"/>
  <c r="I477" i="13"/>
  <c r="I482" i="13"/>
  <c r="I478" i="13"/>
  <c r="I479" i="13"/>
  <c r="I480" i="13"/>
  <c r="I493" i="13"/>
  <c r="I489" i="13"/>
  <c r="I494" i="13"/>
  <c r="I490" i="13"/>
  <c r="I491" i="13"/>
  <c r="I492" i="13"/>
  <c r="BL100" i="8"/>
  <c r="BO100" i="8" s="1"/>
  <c r="BP100" i="8" s="1"/>
  <c r="H2093" i="12" s="1"/>
  <c r="I2093" i="12" s="1"/>
  <c r="BA101" i="8"/>
  <c r="BO101" i="8"/>
  <c r="BA102" i="8"/>
  <c r="I176" i="13"/>
  <c r="I177" i="13"/>
  <c r="I173" i="13"/>
  <c r="I178" i="13"/>
  <c r="I174" i="13"/>
  <c r="I175" i="13"/>
  <c r="BL104" i="8"/>
  <c r="BO104" i="8" s="1"/>
  <c r="BP104" i="8" s="1"/>
  <c r="H2181" i="12" s="1"/>
  <c r="I2181" i="12" s="1"/>
  <c r="BA105" i="8"/>
  <c r="BO105" i="8"/>
  <c r="BA106" i="8"/>
  <c r="BQ108" i="8"/>
  <c r="AN108" i="8"/>
  <c r="AL111" i="8"/>
  <c r="BP111" i="8"/>
  <c r="H2335" i="12" s="1"/>
  <c r="I2335" i="12" s="1"/>
  <c r="BO111" i="8"/>
  <c r="BQ112" i="8"/>
  <c r="I13" i="13"/>
  <c r="J13" i="13" s="1"/>
  <c r="I12" i="13"/>
  <c r="BL112" i="8"/>
  <c r="BW113" i="8"/>
  <c r="AQ114" i="8"/>
  <c r="AM114" i="8"/>
  <c r="AS114" i="8"/>
  <c r="AN114" i="8"/>
  <c r="BB114" i="8"/>
  <c r="AR114" i="8"/>
  <c r="AL114" i="8"/>
  <c r="M114" i="8"/>
  <c r="AO114" i="8"/>
  <c r="AZ114" i="8"/>
  <c r="I188" i="13"/>
  <c r="I185" i="13"/>
  <c r="I186" i="13"/>
  <c r="I187" i="13"/>
  <c r="BL37" i="8"/>
  <c r="BO37" i="8" s="1"/>
  <c r="BP37" i="8" s="1"/>
  <c r="H707" i="12" s="1"/>
  <c r="I707" i="12" s="1"/>
  <c r="I189" i="13"/>
  <c r="I190" i="13"/>
  <c r="I196" i="13"/>
  <c r="I197" i="13"/>
  <c r="I198" i="13"/>
  <c r="I195" i="13"/>
  <c r="I256" i="13"/>
  <c r="J256" i="13" s="1"/>
  <c r="I257" i="13"/>
  <c r="I258" i="13"/>
  <c r="I254" i="13"/>
  <c r="I255" i="13"/>
  <c r="J255" i="13" s="1"/>
  <c r="I203" i="13"/>
  <c r="I200" i="13"/>
  <c r="I201" i="13"/>
  <c r="I202" i="13"/>
  <c r="I199" i="13"/>
  <c r="I206" i="13"/>
  <c r="I207" i="13"/>
  <c r="I205" i="13"/>
  <c r="I204" i="13"/>
  <c r="I241" i="13"/>
  <c r="I242" i="13"/>
  <c r="I240" i="13"/>
  <c r="I238" i="13"/>
  <c r="I239" i="13"/>
  <c r="I260" i="13"/>
  <c r="J260" i="13" s="1"/>
  <c r="I261" i="13"/>
  <c r="I262" i="13"/>
  <c r="I263" i="13"/>
  <c r="I259" i="13"/>
  <c r="J259" i="13" s="1"/>
  <c r="I272" i="13"/>
  <c r="J272" i="13" s="1"/>
  <c r="I273" i="13"/>
  <c r="I274" i="13"/>
  <c r="I270" i="13"/>
  <c r="I271" i="13"/>
  <c r="I300" i="13"/>
  <c r="I301" i="13"/>
  <c r="I297" i="13"/>
  <c r="I302" i="13"/>
  <c r="I298" i="13"/>
  <c r="I299" i="13"/>
  <c r="I304" i="13"/>
  <c r="I305" i="13"/>
  <c r="I306" i="13"/>
  <c r="I303" i="13"/>
  <c r="I310" i="13"/>
  <c r="I311" i="13"/>
  <c r="M60" i="8"/>
  <c r="AL60" i="8"/>
  <c r="AP60" i="8"/>
  <c r="BB60" i="8"/>
  <c r="I316" i="13"/>
  <c r="I312" i="13"/>
  <c r="I313" i="13"/>
  <c r="I314" i="13"/>
  <c r="I315" i="13"/>
  <c r="M62" i="8"/>
  <c r="AL62" i="8"/>
  <c r="AP62" i="8"/>
  <c r="BB62" i="8"/>
  <c r="I284" i="13"/>
  <c r="I280" i="13"/>
  <c r="I281" i="13"/>
  <c r="I282" i="13"/>
  <c r="I283" i="13"/>
  <c r="M64" i="8"/>
  <c r="AL64" i="8"/>
  <c r="AP64" i="8"/>
  <c r="BB64" i="8"/>
  <c r="I288" i="13"/>
  <c r="J288" i="13" s="1"/>
  <c r="I285" i="13"/>
  <c r="I286" i="13"/>
  <c r="I287" i="13"/>
  <c r="M66" i="8"/>
  <c r="AL66" i="8"/>
  <c r="AP66" i="8"/>
  <c r="BB66" i="8"/>
  <c r="I292" i="13"/>
  <c r="I289" i="13"/>
  <c r="I290" i="13"/>
  <c r="I291" i="13"/>
  <c r="M68" i="8"/>
  <c r="AL68" i="8"/>
  <c r="AP68" i="8"/>
  <c r="BB68" i="8"/>
  <c r="I371" i="13"/>
  <c r="J371" i="13" s="1"/>
  <c r="I367" i="13"/>
  <c r="J367" i="13" s="1"/>
  <c r="I372" i="13"/>
  <c r="I368" i="13"/>
  <c r="I369" i="13"/>
  <c r="I370" i="13"/>
  <c r="M70" i="8"/>
  <c r="AL70" i="8"/>
  <c r="AP70" i="8"/>
  <c r="BB70" i="8"/>
  <c r="I399" i="13"/>
  <c r="J399" i="13" s="1"/>
  <c r="I395" i="13"/>
  <c r="J395" i="13" s="1"/>
  <c r="I396" i="13"/>
  <c r="I397" i="13"/>
  <c r="I394" i="13"/>
  <c r="I398" i="13"/>
  <c r="M72" i="8"/>
  <c r="AL72" i="8"/>
  <c r="AP72" i="8"/>
  <c r="BB72" i="8"/>
  <c r="I331" i="13"/>
  <c r="J331" i="13" s="1"/>
  <c r="I333" i="13"/>
  <c r="I332" i="13"/>
  <c r="M74" i="8"/>
  <c r="AL74" i="8"/>
  <c r="AP74" i="8"/>
  <c r="BB74" i="8"/>
  <c r="I379" i="13"/>
  <c r="J379" i="13" s="1"/>
  <c r="I380" i="13"/>
  <c r="I381" i="13"/>
  <c r="I382" i="13"/>
  <c r="I378" i="13"/>
  <c r="M76" i="8"/>
  <c r="AL76" i="8"/>
  <c r="AP76" i="8"/>
  <c r="BB76" i="8"/>
  <c r="I348" i="13"/>
  <c r="I349" i="13"/>
  <c r="I350" i="13"/>
  <c r="M78" i="8"/>
  <c r="AL78" i="8"/>
  <c r="AP78" i="8"/>
  <c r="BB78" i="8"/>
  <c r="I355" i="13"/>
  <c r="J355" i="13" s="1"/>
  <c r="I351" i="13"/>
  <c r="J351" i="13" s="1"/>
  <c r="I356" i="13"/>
  <c r="I352" i="13"/>
  <c r="I353" i="13"/>
  <c r="I354" i="13"/>
  <c r="M80" i="8"/>
  <c r="AL80" i="8"/>
  <c r="AP80" i="8"/>
  <c r="BB80" i="8"/>
  <c r="I359" i="13"/>
  <c r="J359" i="13" s="1"/>
  <c r="I357" i="13"/>
  <c r="I358" i="13"/>
  <c r="M82" i="8"/>
  <c r="AL82" i="8"/>
  <c r="AP82" i="8"/>
  <c r="BB82" i="8"/>
  <c r="M83" i="8"/>
  <c r="AL83" i="8"/>
  <c r="AR83" i="8"/>
  <c r="BB83" i="8"/>
  <c r="BL83" i="8"/>
  <c r="BO83" i="8" s="1"/>
  <c r="BP83" i="8" s="1"/>
  <c r="H1719" i="12" s="1"/>
  <c r="I1719" i="12" s="1"/>
  <c r="M85" i="8"/>
  <c r="AL85" i="8"/>
  <c r="AR85" i="8"/>
  <c r="BB85" i="8"/>
  <c r="BL85" i="8"/>
  <c r="BO85" i="8" s="1"/>
  <c r="BP85" i="8" s="1"/>
  <c r="H1763" i="12" s="1"/>
  <c r="I1763" i="12" s="1"/>
  <c r="M87" i="8"/>
  <c r="AL87" i="8"/>
  <c r="AR87" i="8"/>
  <c r="BB87" i="8"/>
  <c r="BL87" i="8"/>
  <c r="BO87" i="8" s="1"/>
  <c r="BP87" i="8" s="1"/>
  <c r="H1807" i="12" s="1"/>
  <c r="I1807" i="12" s="1"/>
  <c r="M89" i="8"/>
  <c r="AL89" i="8"/>
  <c r="AR89" i="8"/>
  <c r="BB89" i="8"/>
  <c r="BL89" i="8"/>
  <c r="BO89" i="8" s="1"/>
  <c r="BP89" i="8" s="1"/>
  <c r="H1851" i="12" s="1"/>
  <c r="I1851" i="12" s="1"/>
  <c r="M91" i="8"/>
  <c r="AL91" i="8"/>
  <c r="AR91" i="8"/>
  <c r="BB91" i="8"/>
  <c r="BL91" i="8"/>
  <c r="BO91" i="8" s="1"/>
  <c r="BP91" i="8" s="1"/>
  <c r="H1895" i="12" s="1"/>
  <c r="I1895" i="12" s="1"/>
  <c r="M93" i="8"/>
  <c r="AL93" i="8"/>
  <c r="AR93" i="8"/>
  <c r="BB93" i="8"/>
  <c r="BL93" i="8"/>
  <c r="BO93" i="8" s="1"/>
  <c r="BP93" i="8" s="1"/>
  <c r="H1939" i="12" s="1"/>
  <c r="I1939" i="12" s="1"/>
  <c r="M95" i="8"/>
  <c r="AL95" i="8"/>
  <c r="AR95" i="8"/>
  <c r="BB95" i="8"/>
  <c r="BL95" i="8"/>
  <c r="BO95" i="8" s="1"/>
  <c r="BP95" i="8" s="1"/>
  <c r="H1983" i="12" s="1"/>
  <c r="I1983" i="12" s="1"/>
  <c r="M97" i="8"/>
  <c r="AL97" i="8"/>
  <c r="AR97" i="8"/>
  <c r="BB97" i="8"/>
  <c r="BL97" i="8"/>
  <c r="BO97" i="8" s="1"/>
  <c r="BP97" i="8" s="1"/>
  <c r="H2027" i="12" s="1"/>
  <c r="I2027" i="12" s="1"/>
  <c r="AJ99" i="8"/>
  <c r="AR99" i="8"/>
  <c r="AZ99" i="8"/>
  <c r="BQ100" i="8"/>
  <c r="AN100" i="8"/>
  <c r="AQ101" i="8"/>
  <c r="AM101" i="8"/>
  <c r="BB101" i="8"/>
  <c r="AP101" i="8"/>
  <c r="AL101" i="8"/>
  <c r="M101" i="8"/>
  <c r="AN101" i="8"/>
  <c r="BP101" i="8"/>
  <c r="H2115" i="12" s="1"/>
  <c r="I2115" i="12" s="1"/>
  <c r="AJ103" i="8"/>
  <c r="AR103" i="8"/>
  <c r="AZ103" i="8"/>
  <c r="BQ104" i="8"/>
  <c r="AN104" i="8"/>
  <c r="AQ105" i="8"/>
  <c r="AM105" i="8"/>
  <c r="BB105" i="8"/>
  <c r="AP105" i="8"/>
  <c r="AL105" i="8"/>
  <c r="M105" i="8"/>
  <c r="AN105" i="8"/>
  <c r="BP105" i="8"/>
  <c r="H2203" i="12" s="1"/>
  <c r="I2203" i="12" s="1"/>
  <c r="AK107" i="8"/>
  <c r="AS107" i="8"/>
  <c r="BA108" i="8"/>
  <c r="I9" i="13"/>
  <c r="J9" i="13" s="1"/>
  <c r="I8" i="13"/>
  <c r="BL110" i="8"/>
  <c r="P13" i="10"/>
  <c r="H2334" i="12"/>
  <c r="I2334" i="12" s="1"/>
  <c r="BW111" i="8" s="1"/>
  <c r="AQ112" i="8"/>
  <c r="AM112" i="8"/>
  <c r="AS112" i="8"/>
  <c r="AN112" i="8"/>
  <c r="BB112" i="8"/>
  <c r="AR112" i="8"/>
  <c r="AL112" i="8"/>
  <c r="M112" i="8"/>
  <c r="AO112" i="8"/>
  <c r="AZ112" i="8"/>
  <c r="BA113" i="8"/>
  <c r="I10" i="13"/>
  <c r="I11" i="13"/>
  <c r="BL113" i="8"/>
  <c r="AP114" i="8"/>
  <c r="BA114" i="8"/>
  <c r="AL115" i="8"/>
  <c r="BP115" i="8"/>
  <c r="H2423" i="12" s="1"/>
  <c r="I2423" i="12" s="1"/>
  <c r="BO115" i="8"/>
  <c r="BA117" i="8"/>
  <c r="AK29" i="8"/>
  <c r="AO29" i="8"/>
  <c r="AS29" i="8"/>
  <c r="AK31" i="8"/>
  <c r="AO31" i="8"/>
  <c r="AS31" i="8"/>
  <c r="AK33" i="8"/>
  <c r="AO33" i="8"/>
  <c r="AS33" i="8"/>
  <c r="AK35" i="8"/>
  <c r="AO35" i="8"/>
  <c r="AS35" i="8"/>
  <c r="AK37" i="8"/>
  <c r="AO37" i="8"/>
  <c r="AS37" i="8"/>
  <c r="AK39" i="8"/>
  <c r="AO39" i="8"/>
  <c r="AS39" i="8"/>
  <c r="AK41" i="8"/>
  <c r="AO41" i="8"/>
  <c r="AS41" i="8"/>
  <c r="AK43" i="8"/>
  <c r="AO43" i="8"/>
  <c r="AS43" i="8"/>
  <c r="AK45" i="8"/>
  <c r="AO45" i="8"/>
  <c r="AS45" i="8"/>
  <c r="AK47" i="8"/>
  <c r="AO47" i="8"/>
  <c r="AS47" i="8"/>
  <c r="AK49" i="8"/>
  <c r="AO49" i="8"/>
  <c r="AS49" i="8"/>
  <c r="AK51" i="8"/>
  <c r="AO51" i="8"/>
  <c r="AS51" i="8"/>
  <c r="AK53" i="8"/>
  <c r="AO53" i="8"/>
  <c r="AS53" i="8"/>
  <c r="AK55" i="8"/>
  <c r="AO55" i="8"/>
  <c r="AS55" i="8"/>
  <c r="AK57" i="8"/>
  <c r="AO57" i="8"/>
  <c r="AS57" i="8"/>
  <c r="AK59" i="8"/>
  <c r="AO59" i="8"/>
  <c r="AS59" i="8"/>
  <c r="AM60" i="8"/>
  <c r="AK61" i="8"/>
  <c r="AO61" i="8"/>
  <c r="AS61" i="8"/>
  <c r="AM62" i="8"/>
  <c r="AK63" i="8"/>
  <c r="AO63" i="8"/>
  <c r="AS63" i="8"/>
  <c r="AM64" i="8"/>
  <c r="AK65" i="8"/>
  <c r="AO65" i="8"/>
  <c r="AS65" i="8"/>
  <c r="AM66" i="8"/>
  <c r="AK67" i="8"/>
  <c r="AO67" i="8"/>
  <c r="AS67" i="8"/>
  <c r="AM68" i="8"/>
  <c r="AK69" i="8"/>
  <c r="AO69" i="8"/>
  <c r="AS69" i="8"/>
  <c r="AM70" i="8"/>
  <c r="AK71" i="8"/>
  <c r="AO71" i="8"/>
  <c r="AS71" i="8"/>
  <c r="AM72" i="8"/>
  <c r="AK73" i="8"/>
  <c r="AO73" i="8"/>
  <c r="AS73" i="8"/>
  <c r="AM74" i="8"/>
  <c r="AK75" i="8"/>
  <c r="AO75" i="8"/>
  <c r="AS75" i="8"/>
  <c r="AM76" i="8"/>
  <c r="AK77" i="8"/>
  <c r="AO77" i="8"/>
  <c r="AS77" i="8"/>
  <c r="AM78" i="8"/>
  <c r="AK79" i="8"/>
  <c r="AO79" i="8"/>
  <c r="AS79" i="8"/>
  <c r="AM80" i="8"/>
  <c r="AK81" i="8"/>
  <c r="AO81" i="8"/>
  <c r="AS81" i="8"/>
  <c r="AM82" i="8"/>
  <c r="BL82" i="8"/>
  <c r="BO82" i="8" s="1"/>
  <c r="BP82" i="8" s="1"/>
  <c r="H1697" i="12" s="1"/>
  <c r="I1697" i="12" s="1"/>
  <c r="AN83" i="8"/>
  <c r="AS83" i="8"/>
  <c r="BQ84" i="8"/>
  <c r="BL84" i="8"/>
  <c r="BO84" i="8" s="1"/>
  <c r="BP84" i="8" s="1"/>
  <c r="H1741" i="12" s="1"/>
  <c r="I1741" i="12" s="1"/>
  <c r="AN85" i="8"/>
  <c r="AS85" i="8"/>
  <c r="BQ86" i="8"/>
  <c r="BL86" i="8"/>
  <c r="BO86" i="8" s="1"/>
  <c r="BP86" i="8" s="1"/>
  <c r="H1785" i="12" s="1"/>
  <c r="I1785" i="12" s="1"/>
  <c r="AN87" i="8"/>
  <c r="AS87" i="8"/>
  <c r="BQ88" i="8"/>
  <c r="BL88" i="8"/>
  <c r="BO88" i="8" s="1"/>
  <c r="BP88" i="8" s="1"/>
  <c r="H1829" i="12" s="1"/>
  <c r="I1829" i="12" s="1"/>
  <c r="AN89" i="8"/>
  <c r="AS89" i="8"/>
  <c r="BQ90" i="8"/>
  <c r="BL90" i="8"/>
  <c r="BO90" i="8" s="1"/>
  <c r="BP90" i="8" s="1"/>
  <c r="H1873" i="12" s="1"/>
  <c r="I1873" i="12" s="1"/>
  <c r="AN91" i="8"/>
  <c r="AS91" i="8"/>
  <c r="BQ92" i="8"/>
  <c r="BL92" i="8"/>
  <c r="BO92" i="8" s="1"/>
  <c r="BP92" i="8" s="1"/>
  <c r="H1917" i="12" s="1"/>
  <c r="I1917" i="12" s="1"/>
  <c r="AN93" i="8"/>
  <c r="AS93" i="8"/>
  <c r="BQ94" i="8"/>
  <c r="BL94" i="8"/>
  <c r="BO94" i="8" s="1"/>
  <c r="BP94" i="8" s="1"/>
  <c r="H1961" i="12" s="1"/>
  <c r="I1961" i="12" s="1"/>
  <c r="AN95" i="8"/>
  <c r="AS95" i="8"/>
  <c r="BQ96" i="8"/>
  <c r="BL96" i="8"/>
  <c r="BO96" i="8" s="1"/>
  <c r="BP96" i="8" s="1"/>
  <c r="H2005" i="12" s="1"/>
  <c r="I2005" i="12" s="1"/>
  <c r="AN97" i="8"/>
  <c r="AS97" i="8"/>
  <c r="BQ98" i="8"/>
  <c r="BL98" i="8"/>
  <c r="BO98" i="8" s="1"/>
  <c r="BP98" i="8" s="1"/>
  <c r="H2049" i="12" s="1"/>
  <c r="I2049" i="12" s="1"/>
  <c r="AK99" i="8"/>
  <c r="AS99" i="8"/>
  <c r="BA99" i="8"/>
  <c r="BO99" i="8"/>
  <c r="BP99" i="8" s="1"/>
  <c r="H2071" i="12" s="1"/>
  <c r="I2071" i="12" s="1"/>
  <c r="BA100" i="8"/>
  <c r="I60" i="13"/>
  <c r="I56" i="13"/>
  <c r="I61" i="13"/>
  <c r="I57" i="13"/>
  <c r="I58" i="13"/>
  <c r="I59" i="13"/>
  <c r="BL102" i="8"/>
  <c r="BO102" i="8" s="1"/>
  <c r="BP102" i="8" s="1"/>
  <c r="H2137" i="12" s="1"/>
  <c r="I2137" i="12" s="1"/>
  <c r="AK103" i="8"/>
  <c r="AS103" i="8"/>
  <c r="BA103" i="8"/>
  <c r="BO103" i="8"/>
  <c r="BP103" i="8" s="1"/>
  <c r="H2159" i="12" s="1"/>
  <c r="I2159" i="12" s="1"/>
  <c r="BA104" i="8"/>
  <c r="I2" i="13"/>
  <c r="BL106" i="8"/>
  <c r="BO106" i="8" s="1"/>
  <c r="BP106" i="8" s="1"/>
  <c r="H2225" i="12" s="1"/>
  <c r="I2225" i="12" s="1"/>
  <c r="AQ107" i="8"/>
  <c r="AM107" i="8"/>
  <c r="BB107" i="8"/>
  <c r="AP107" i="8"/>
  <c r="AL107" i="8"/>
  <c r="M107" i="8"/>
  <c r="AN107" i="8"/>
  <c r="BQ109" i="8"/>
  <c r="AN109" i="8"/>
  <c r="AQ110" i="8"/>
  <c r="AM110" i="8"/>
  <c r="AS110" i="8"/>
  <c r="AN110" i="8"/>
  <c r="BB110" i="8"/>
  <c r="AR110" i="8"/>
  <c r="AL110" i="8"/>
  <c r="M110" i="8"/>
  <c r="AO110" i="8"/>
  <c r="AZ110" i="8"/>
  <c r="BC110" i="8" s="1"/>
  <c r="BD110" i="8" s="1"/>
  <c r="BE110" i="8" s="1"/>
  <c r="BA111" i="8"/>
  <c r="I6" i="13"/>
  <c r="I7" i="13"/>
  <c r="BL111" i="8"/>
  <c r="BA112" i="8"/>
  <c r="AJ114" i="8"/>
  <c r="I495" i="13"/>
  <c r="I496" i="13"/>
  <c r="BL114" i="8"/>
  <c r="BO114" i="8" s="1"/>
  <c r="BP114" i="8" s="1"/>
  <c r="H2401" i="12" s="1"/>
  <c r="I2401" i="12" s="1"/>
  <c r="BW115" i="8"/>
  <c r="AQ116" i="8"/>
  <c r="AM116" i="8"/>
  <c r="AK116" i="8"/>
  <c r="AP116" i="8"/>
  <c r="BA116" i="8"/>
  <c r="I499" i="13"/>
  <c r="I500" i="13"/>
  <c r="I501" i="13"/>
  <c r="I502" i="13"/>
  <c r="I485" i="13"/>
  <c r="I486" i="13"/>
  <c r="I487" i="13"/>
  <c r="I483" i="13"/>
  <c r="I488" i="13"/>
  <c r="I484" i="13"/>
  <c r="I52" i="13"/>
  <c r="I53" i="13"/>
  <c r="I54" i="13"/>
  <c r="I50" i="13"/>
  <c r="I55" i="13"/>
  <c r="J55" i="13" s="1"/>
  <c r="K55" i="13" s="1"/>
  <c r="L55" i="13" s="1"/>
  <c r="I51" i="13"/>
  <c r="I172" i="13"/>
  <c r="J172" i="13" s="1"/>
  <c r="K172" i="13" s="1"/>
  <c r="L172" i="13" s="1"/>
  <c r="I168" i="13"/>
  <c r="I169" i="13"/>
  <c r="I170" i="13"/>
  <c r="I171" i="13"/>
  <c r="J171" i="13" s="1"/>
  <c r="K171" i="13" s="1"/>
  <c r="I167" i="13"/>
  <c r="I268" i="13"/>
  <c r="J268" i="13" s="1"/>
  <c r="K268" i="13" s="1"/>
  <c r="I264" i="13"/>
  <c r="I269" i="13"/>
  <c r="J269" i="13" s="1"/>
  <c r="K269" i="13" s="1"/>
  <c r="L269" i="13" s="1"/>
  <c r="I265" i="13"/>
  <c r="I266" i="13"/>
  <c r="I267" i="13"/>
  <c r="M116" i="8"/>
  <c r="AL116" i="8"/>
  <c r="AR116" i="8"/>
  <c r="BB116" i="8"/>
  <c r="BL116" i="8"/>
  <c r="BO116" i="8" s="1"/>
  <c r="BP116" i="8" s="1"/>
  <c r="H2445" i="12" s="1"/>
  <c r="I2445" i="12" s="1"/>
  <c r="BO117" i="8"/>
  <c r="AK84" i="8"/>
  <c r="AO84" i="8"/>
  <c r="AS84" i="8"/>
  <c r="AK86" i="8"/>
  <c r="AO86" i="8"/>
  <c r="AS86" i="8"/>
  <c r="AK88" i="8"/>
  <c r="AO88" i="8"/>
  <c r="AS88" i="8"/>
  <c r="AK90" i="8"/>
  <c r="AO90" i="8"/>
  <c r="AS90" i="8"/>
  <c r="AK92" i="8"/>
  <c r="AO92" i="8"/>
  <c r="AS92" i="8"/>
  <c r="AK94" i="8"/>
  <c r="AO94" i="8"/>
  <c r="AS94" i="8"/>
  <c r="AK96" i="8"/>
  <c r="AO96" i="8"/>
  <c r="AS96" i="8"/>
  <c r="AK98" i="8"/>
  <c r="AO98" i="8"/>
  <c r="AS98" i="8"/>
  <c r="AK100" i="8"/>
  <c r="AO100" i="8"/>
  <c r="AS100" i="8"/>
  <c r="AK102" i="8"/>
  <c r="AO102" i="8"/>
  <c r="AS102" i="8"/>
  <c r="AK104" i="8"/>
  <c r="AO104" i="8"/>
  <c r="AS104" i="8"/>
  <c r="AK106" i="8"/>
  <c r="AO106" i="8"/>
  <c r="AS106" i="8"/>
  <c r="AK108" i="8"/>
  <c r="AO108" i="8"/>
  <c r="AS108" i="8"/>
  <c r="P10" i="10"/>
  <c r="H2312" i="12"/>
  <c r="I2312" i="12" s="1"/>
  <c r="BW110" i="8" s="1"/>
  <c r="BQ111" i="8"/>
  <c r="BQ113" i="8"/>
  <c r="BQ115" i="8"/>
  <c r="AN116" i="8"/>
  <c r="AS116" i="8"/>
  <c r="BQ117" i="8"/>
  <c r="BL117" i="8"/>
  <c r="L12" i="15"/>
  <c r="J6" i="13"/>
  <c r="L5" i="15"/>
  <c r="L4" i="15"/>
  <c r="J7" i="13"/>
  <c r="K7" i="13" s="1"/>
  <c r="L7" i="13" s="1"/>
  <c r="K13" i="13"/>
  <c r="L13" i="13" s="1"/>
  <c r="J18" i="13"/>
  <c r="K18" i="13" s="1"/>
  <c r="J19" i="13"/>
  <c r="K19" i="13" s="1"/>
  <c r="L19" i="13" s="1"/>
  <c r="K33" i="13"/>
  <c r="J38" i="13"/>
  <c r="K38" i="13" s="1"/>
  <c r="J39" i="13"/>
  <c r="K39" i="13" s="1"/>
  <c r="J49" i="13"/>
  <c r="K49" i="13" s="1"/>
  <c r="L49" i="13" s="1"/>
  <c r="J10" i="13"/>
  <c r="K10" i="13" s="1"/>
  <c r="J11" i="13"/>
  <c r="K11" i="13" s="1"/>
  <c r="L11" i="13" s="1"/>
  <c r="L13" i="15"/>
  <c r="J30" i="13"/>
  <c r="K30" i="13" s="1"/>
  <c r="J31" i="13"/>
  <c r="K31" i="13"/>
  <c r="L31" i="13" s="1"/>
  <c r="K44" i="13"/>
  <c r="J46" i="13"/>
  <c r="K46" i="13" s="1"/>
  <c r="J59" i="13"/>
  <c r="K59" i="13" s="1"/>
  <c r="J61" i="13"/>
  <c r="K61" i="13"/>
  <c r="L61" i="13" s="1"/>
  <c r="J63" i="13"/>
  <c r="K63" i="13" s="1"/>
  <c r="J65" i="13"/>
  <c r="K65" i="13" s="1"/>
  <c r="J69" i="13"/>
  <c r="K69" i="13" s="1"/>
  <c r="J73" i="13"/>
  <c r="K73" i="13" s="1"/>
  <c r="K91" i="13"/>
  <c r="J93" i="13"/>
  <c r="K93" i="13" s="1"/>
  <c r="K115" i="13"/>
  <c r="L115" i="13" s="1"/>
  <c r="J115" i="13"/>
  <c r="K119" i="13"/>
  <c r="L119" i="13" s="1"/>
  <c r="J119" i="13"/>
  <c r="K123" i="13"/>
  <c r="J123" i="13"/>
  <c r="K127" i="13"/>
  <c r="J127" i="13"/>
  <c r="J129" i="13"/>
  <c r="K129" i="13" s="1"/>
  <c r="J133" i="13"/>
  <c r="K133" i="13" s="1"/>
  <c r="K144" i="13"/>
  <c r="J144" i="13"/>
  <c r="J149" i="13"/>
  <c r="K149" i="13" s="1"/>
  <c r="J156" i="13"/>
  <c r="K156" i="13" s="1"/>
  <c r="J159" i="13"/>
  <c r="K159" i="13" s="1"/>
  <c r="J161" i="13"/>
  <c r="J168" i="13"/>
  <c r="K168" i="13" s="1"/>
  <c r="J173" i="13"/>
  <c r="K180" i="13"/>
  <c r="J180" i="13"/>
  <c r="K183" i="13"/>
  <c r="J183" i="13"/>
  <c r="J185" i="13"/>
  <c r="K185" i="13" s="1"/>
  <c r="J192" i="13"/>
  <c r="K192" i="13" s="1"/>
  <c r="J197" i="13"/>
  <c r="K197" i="13" s="1"/>
  <c r="J199" i="13"/>
  <c r="K199" i="13" s="1"/>
  <c r="L3" i="15"/>
  <c r="L2" i="15"/>
  <c r="J2" i="13"/>
  <c r="K2" i="13" s="1"/>
  <c r="J3" i="13"/>
  <c r="K3" i="13" s="1"/>
  <c r="J5" i="13"/>
  <c r="K5" i="13" s="1"/>
  <c r="L7" i="15"/>
  <c r="L8" i="15"/>
  <c r="L6" i="15"/>
  <c r="J14" i="13"/>
  <c r="J15" i="13"/>
  <c r="K15" i="13" s="1"/>
  <c r="J17" i="13"/>
  <c r="J22" i="13"/>
  <c r="J23" i="13"/>
  <c r="K23" i="13" s="1"/>
  <c r="J25" i="13"/>
  <c r="K25" i="13" s="1"/>
  <c r="L25" i="13" s="1"/>
  <c r="J42" i="13"/>
  <c r="J43" i="13"/>
  <c r="K43" i="13" s="1"/>
  <c r="L43" i="13" s="1"/>
  <c r="J45" i="13"/>
  <c r="K45" i="13" s="1"/>
  <c r="J48" i="13"/>
  <c r="AK109" i="8"/>
  <c r="AO109" i="8"/>
  <c r="AS109" i="8"/>
  <c r="AK111" i="8"/>
  <c r="AO111" i="8"/>
  <c r="AS111" i="8"/>
  <c r="AK113" i="8"/>
  <c r="AO113" i="8"/>
  <c r="AS113" i="8"/>
  <c r="AK115" i="8"/>
  <c r="AO115" i="8"/>
  <c r="AS115" i="8"/>
  <c r="AK117" i="8"/>
  <c r="AO117" i="8"/>
  <c r="AS117" i="8"/>
  <c r="K9" i="13"/>
  <c r="L9" i="13" s="1"/>
  <c r="K14" i="13"/>
  <c r="K21" i="13"/>
  <c r="K22" i="13"/>
  <c r="J26" i="13"/>
  <c r="K26" i="13" s="1"/>
  <c r="J27" i="13"/>
  <c r="K27" i="13"/>
  <c r="J29" i="13"/>
  <c r="K29" i="13" s="1"/>
  <c r="J34" i="13"/>
  <c r="K34" i="13" s="1"/>
  <c r="J35" i="13"/>
  <c r="K35" i="13"/>
  <c r="J37" i="13"/>
  <c r="K37" i="13" s="1"/>
  <c r="L37" i="13" s="1"/>
  <c r="K40" i="13"/>
  <c r="K41" i="13"/>
  <c r="K42" i="13"/>
  <c r="J47" i="13"/>
  <c r="K47" i="13" s="1"/>
  <c r="L11" i="15"/>
  <c r="L9" i="15"/>
  <c r="L10" i="15"/>
  <c r="K48" i="13"/>
  <c r="J51" i="13"/>
  <c r="K51" i="13" s="1"/>
  <c r="J53" i="13"/>
  <c r="K53" i="13" s="1"/>
  <c r="J57" i="13"/>
  <c r="K57" i="13"/>
  <c r="J72" i="13"/>
  <c r="K72" i="13" s="1"/>
  <c r="L72" i="13" s="1"/>
  <c r="J76" i="13"/>
  <c r="K76" i="13" s="1"/>
  <c r="J80" i="13"/>
  <c r="K80" i="13" s="1"/>
  <c r="J84" i="13"/>
  <c r="K84" i="13" s="1"/>
  <c r="K87" i="13"/>
  <c r="J89" i="13"/>
  <c r="K89" i="13" s="1"/>
  <c r="L89" i="13" s="1"/>
  <c r="J96" i="13"/>
  <c r="K96" i="13" s="1"/>
  <c r="K99" i="13"/>
  <c r="J103" i="13"/>
  <c r="K103" i="13" s="1"/>
  <c r="J105" i="13"/>
  <c r="K105" i="13" s="1"/>
  <c r="L105" i="13" s="1"/>
  <c r="J107" i="13"/>
  <c r="K107" i="13" s="1"/>
  <c r="J109" i="13"/>
  <c r="K109" i="13" s="1"/>
  <c r="J111" i="13"/>
  <c r="K111" i="13" s="1"/>
  <c r="J113" i="13"/>
  <c r="K113" i="13" s="1"/>
  <c r="J117" i="13"/>
  <c r="K117" i="13" s="1"/>
  <c r="J121" i="13"/>
  <c r="K121" i="13" s="1"/>
  <c r="J125" i="13"/>
  <c r="K125" i="13"/>
  <c r="K132" i="13"/>
  <c r="L132" i="13" s="1"/>
  <c r="J132" i="13"/>
  <c r="K136" i="13"/>
  <c r="J136" i="13"/>
  <c r="K140" i="13"/>
  <c r="J140" i="13"/>
  <c r="J145" i="13"/>
  <c r="J147" i="13"/>
  <c r="K147" i="13" s="1"/>
  <c r="K152" i="13"/>
  <c r="L152" i="13" s="1"/>
  <c r="J152" i="13"/>
  <c r="J157" i="13"/>
  <c r="K164" i="13"/>
  <c r="J164" i="13"/>
  <c r="J169" i="13"/>
  <c r="K169" i="13" s="1"/>
  <c r="K174" i="13"/>
  <c r="K176" i="13"/>
  <c r="J176" i="13"/>
  <c r="J181" i="13"/>
  <c r="K181" i="13" s="1"/>
  <c r="J188" i="13"/>
  <c r="K188" i="13" s="1"/>
  <c r="L188" i="13" s="1"/>
  <c r="J193" i="13"/>
  <c r="K193" i="13" s="1"/>
  <c r="K195" i="13"/>
  <c r="J195" i="13"/>
  <c r="J4" i="13"/>
  <c r="K4" i="13" s="1"/>
  <c r="J8" i="13"/>
  <c r="K8" i="13" s="1"/>
  <c r="J12" i="13"/>
  <c r="K12" i="13" s="1"/>
  <c r="J16" i="13"/>
  <c r="J20" i="13"/>
  <c r="K20" i="13" s="1"/>
  <c r="J24" i="13"/>
  <c r="K24" i="13" s="1"/>
  <c r="J28" i="13"/>
  <c r="K28" i="13" s="1"/>
  <c r="J32" i="13"/>
  <c r="K32" i="13" s="1"/>
  <c r="J36" i="13"/>
  <c r="K36" i="13" s="1"/>
  <c r="J50" i="13"/>
  <c r="K50" i="13" s="1"/>
  <c r="J52" i="13"/>
  <c r="K52" i="13" s="1"/>
  <c r="K56" i="13"/>
  <c r="J56" i="13"/>
  <c r="J67" i="13"/>
  <c r="K67" i="13" s="1"/>
  <c r="L67" i="13" s="1"/>
  <c r="J71" i="13"/>
  <c r="K71" i="13" s="1"/>
  <c r="J75" i="13"/>
  <c r="K75" i="13" s="1"/>
  <c r="J77" i="13"/>
  <c r="K77" i="13" s="1"/>
  <c r="J79" i="13"/>
  <c r="K79" i="13" s="1"/>
  <c r="J81" i="13"/>
  <c r="K81" i="13" s="1"/>
  <c r="J85" i="13"/>
  <c r="K85" i="13"/>
  <c r="J88" i="13"/>
  <c r="K88" i="13" s="1"/>
  <c r="J97" i="13"/>
  <c r="K97" i="13" s="1"/>
  <c r="K100" i="13"/>
  <c r="L100" i="13" s="1"/>
  <c r="J100" i="13"/>
  <c r="K104" i="13"/>
  <c r="J104" i="13"/>
  <c r="K108" i="13"/>
  <c r="J108" i="13"/>
  <c r="K112" i="13"/>
  <c r="J112" i="13"/>
  <c r="K116" i="13"/>
  <c r="J116" i="13"/>
  <c r="K120" i="13"/>
  <c r="J120" i="13"/>
  <c r="K131" i="13"/>
  <c r="J131" i="13"/>
  <c r="K135" i="13"/>
  <c r="J135" i="13"/>
  <c r="J137" i="13"/>
  <c r="K137" i="13" s="1"/>
  <c r="L137" i="13" s="1"/>
  <c r="J139" i="13"/>
  <c r="K139" i="13" s="1"/>
  <c r="K148" i="13"/>
  <c r="J148" i="13"/>
  <c r="J151" i="13"/>
  <c r="K151" i="13" s="1"/>
  <c r="J153" i="13"/>
  <c r="K153" i="13" s="1"/>
  <c r="K163" i="13"/>
  <c r="J163" i="13"/>
  <c r="K175" i="13"/>
  <c r="J175" i="13"/>
  <c r="K187" i="13"/>
  <c r="J187" i="13"/>
  <c r="J189" i="13"/>
  <c r="K189" i="13" s="1"/>
  <c r="J196" i="13"/>
  <c r="K196" i="13" s="1"/>
  <c r="J201" i="13"/>
  <c r="K201" i="13" s="1"/>
  <c r="K16" i="13"/>
  <c r="J60" i="13"/>
  <c r="K60" i="13" s="1"/>
  <c r="J64" i="13"/>
  <c r="K64" i="13" s="1"/>
  <c r="J68" i="13"/>
  <c r="K68" i="13" s="1"/>
  <c r="J83" i="13"/>
  <c r="K83" i="13" s="1"/>
  <c r="L83" i="13" s="1"/>
  <c r="J92" i="13"/>
  <c r="K92" i="13" s="1"/>
  <c r="K95" i="13"/>
  <c r="L95" i="13" s="1"/>
  <c r="J101" i="13"/>
  <c r="K101" i="13" s="1"/>
  <c r="J124" i="13"/>
  <c r="K124" i="13" s="1"/>
  <c r="L124" i="13" s="1"/>
  <c r="K126" i="13"/>
  <c r="K128" i="13"/>
  <c r="J128" i="13"/>
  <c r="J141" i="13"/>
  <c r="K141" i="13" s="1"/>
  <c r="J143" i="13"/>
  <c r="K143" i="13" s="1"/>
  <c r="J155" i="13"/>
  <c r="K155" i="13" s="1"/>
  <c r="J160" i="13"/>
  <c r="K160" i="13" s="1"/>
  <c r="L160" i="13" s="1"/>
  <c r="J165" i="13"/>
  <c r="K165" i="13" s="1"/>
  <c r="J167" i="13"/>
  <c r="K167" i="13" s="1"/>
  <c r="J177" i="13"/>
  <c r="K177" i="13" s="1"/>
  <c r="J179" i="13"/>
  <c r="K179" i="13" s="1"/>
  <c r="J184" i="13"/>
  <c r="K184" i="13" s="1"/>
  <c r="L184" i="13" s="1"/>
  <c r="K191" i="13"/>
  <c r="J191" i="13"/>
  <c r="J200" i="13"/>
  <c r="K200" i="13" s="1"/>
  <c r="J203" i="13"/>
  <c r="K203" i="13" s="1"/>
  <c r="L203" i="13" s="1"/>
  <c r="K145" i="13"/>
  <c r="K157" i="13"/>
  <c r="K161" i="13"/>
  <c r="K173" i="13"/>
  <c r="K204" i="13"/>
  <c r="J205" i="13"/>
  <c r="K205" i="13" s="1"/>
  <c r="J209" i="13"/>
  <c r="K209" i="13" s="1"/>
  <c r="K216" i="13"/>
  <c r="K223" i="13"/>
  <c r="J223" i="13"/>
  <c r="J233" i="13"/>
  <c r="K233" i="13" s="1"/>
  <c r="L233" i="13" s="1"/>
  <c r="J235" i="13"/>
  <c r="K235" i="13" s="1"/>
  <c r="J244" i="13"/>
  <c r="K244" i="13" s="1"/>
  <c r="J207" i="13"/>
  <c r="J211" i="13"/>
  <c r="K211" i="13" s="1"/>
  <c r="L211" i="13" s="1"/>
  <c r="J213" i="13"/>
  <c r="K213" i="13" s="1"/>
  <c r="L213" i="13" s="1"/>
  <c r="J215" i="13"/>
  <c r="K215" i="13" s="1"/>
  <c r="K220" i="13"/>
  <c r="J225" i="13"/>
  <c r="K225" i="13"/>
  <c r="J237" i="13"/>
  <c r="K237" i="13" s="1"/>
  <c r="L237" i="13" s="1"/>
  <c r="J239" i="13"/>
  <c r="K239" i="13" s="1"/>
  <c r="J241" i="13"/>
  <c r="K241" i="13" s="1"/>
  <c r="J54" i="13"/>
  <c r="K54" i="13" s="1"/>
  <c r="J58" i="13"/>
  <c r="K58" i="13" s="1"/>
  <c r="J62" i="13"/>
  <c r="K62" i="13" s="1"/>
  <c r="J66" i="13"/>
  <c r="K66" i="13" s="1"/>
  <c r="J70" i="13"/>
  <c r="K70" i="13" s="1"/>
  <c r="J74" i="13"/>
  <c r="K74" i="13" s="1"/>
  <c r="J78" i="13"/>
  <c r="K78" i="13" s="1"/>
  <c r="L78" i="13" s="1"/>
  <c r="J82" i="13"/>
  <c r="K82" i="13" s="1"/>
  <c r="J86" i="13"/>
  <c r="K86" i="13" s="1"/>
  <c r="J90" i="13"/>
  <c r="K90" i="13" s="1"/>
  <c r="J94" i="13"/>
  <c r="K94" i="13" s="1"/>
  <c r="J98" i="13"/>
  <c r="K98" i="13" s="1"/>
  <c r="J102" i="13"/>
  <c r="K102" i="13" s="1"/>
  <c r="J106" i="13"/>
  <c r="K106" i="13" s="1"/>
  <c r="J110" i="13"/>
  <c r="K110" i="13" s="1"/>
  <c r="L110" i="13" s="1"/>
  <c r="J114" i="13"/>
  <c r="K114" i="13" s="1"/>
  <c r="J118" i="13"/>
  <c r="K118" i="13" s="1"/>
  <c r="J122" i="13"/>
  <c r="K122" i="13" s="1"/>
  <c r="J126" i="13"/>
  <c r="J130" i="13"/>
  <c r="K130" i="13" s="1"/>
  <c r="J134" i="13"/>
  <c r="K134" i="13" s="1"/>
  <c r="J138" i="13"/>
  <c r="K138" i="13" s="1"/>
  <c r="J142" i="13"/>
  <c r="K142" i="13" s="1"/>
  <c r="L142" i="13" s="1"/>
  <c r="J146" i="13"/>
  <c r="K146" i="13" s="1"/>
  <c r="L146" i="13" s="1"/>
  <c r="J150" i="13"/>
  <c r="K150" i="13" s="1"/>
  <c r="J154" i="13"/>
  <c r="K154" i="13" s="1"/>
  <c r="J158" i="13"/>
  <c r="K158" i="13" s="1"/>
  <c r="J162" i="13"/>
  <c r="K162" i="13" s="1"/>
  <c r="J166" i="13"/>
  <c r="K166" i="13" s="1"/>
  <c r="L166" i="13" s="1"/>
  <c r="J170" i="13"/>
  <c r="K170" i="13" s="1"/>
  <c r="J174" i="13"/>
  <c r="J178" i="13"/>
  <c r="K178" i="13" s="1"/>
  <c r="L178" i="13" s="1"/>
  <c r="J182" i="13"/>
  <c r="K182" i="13" s="1"/>
  <c r="J186" i="13"/>
  <c r="K186" i="13" s="1"/>
  <c r="J190" i="13"/>
  <c r="K190" i="13" s="1"/>
  <c r="J194" i="13"/>
  <c r="K194" i="13" s="1"/>
  <c r="L194" i="13" s="1"/>
  <c r="J198" i="13"/>
  <c r="K198" i="13" s="1"/>
  <c r="L198" i="13" s="1"/>
  <c r="J202" i="13"/>
  <c r="K202" i="13" s="1"/>
  <c r="J204" i="13"/>
  <c r="J217" i="13"/>
  <c r="K217" i="13" s="1"/>
  <c r="K219" i="13"/>
  <c r="J219" i="13"/>
  <c r="J227" i="13"/>
  <c r="K227" i="13" s="1"/>
  <c r="L227" i="13" s="1"/>
  <c r="J229" i="13"/>
  <c r="K229" i="13" s="1"/>
  <c r="J245" i="13"/>
  <c r="K245" i="13" s="1"/>
  <c r="J206" i="13"/>
  <c r="K206" i="13" s="1"/>
  <c r="K207" i="13"/>
  <c r="L207" i="13" s="1"/>
  <c r="K214" i="13"/>
  <c r="J221" i="13"/>
  <c r="K221" i="13" s="1"/>
  <c r="K224" i="13"/>
  <c r="J231" i="13"/>
  <c r="K231" i="13" s="1"/>
  <c r="K236" i="13"/>
  <c r="J304" i="13"/>
  <c r="K304" i="13" s="1"/>
  <c r="J316" i="13"/>
  <c r="J208" i="13"/>
  <c r="K208" i="13" s="1"/>
  <c r="J212" i="13"/>
  <c r="K212" i="13" s="1"/>
  <c r="J228" i="13"/>
  <c r="K228" i="13" s="1"/>
  <c r="J232" i="13"/>
  <c r="K232" i="13" s="1"/>
  <c r="J242" i="13"/>
  <c r="K242" i="13" s="1"/>
  <c r="L242" i="13" s="1"/>
  <c r="K251" i="13"/>
  <c r="J257" i="13"/>
  <c r="K257" i="13" s="1"/>
  <c r="J258" i="13"/>
  <c r="K258" i="13" s="1"/>
  <c r="L258" i="13" s="1"/>
  <c r="K270" i="13"/>
  <c r="J270" i="13"/>
  <c r="J277" i="13"/>
  <c r="K277" i="13" s="1"/>
  <c r="K278" i="13"/>
  <c r="J278" i="13"/>
  <c r="J293" i="13"/>
  <c r="K293" i="13" s="1"/>
  <c r="J294" i="13"/>
  <c r="K294" i="13" s="1"/>
  <c r="J301" i="13"/>
  <c r="K301" i="13" s="1"/>
  <c r="J302" i="13"/>
  <c r="K302" i="13" s="1"/>
  <c r="L302" i="13" s="1"/>
  <c r="J309" i="13"/>
  <c r="K309" i="13" s="1"/>
  <c r="L309" i="13" s="1"/>
  <c r="J313" i="13"/>
  <c r="K313" i="13" s="1"/>
  <c r="J314" i="13"/>
  <c r="K314" i="13" s="1"/>
  <c r="K320" i="13"/>
  <c r="J326" i="13"/>
  <c r="K326" i="13" s="1"/>
  <c r="J344" i="13"/>
  <c r="K344" i="13"/>
  <c r="J356" i="13"/>
  <c r="K356" i="13" s="1"/>
  <c r="L356" i="13" s="1"/>
  <c r="J361" i="13"/>
  <c r="K361" i="13" s="1"/>
  <c r="J372" i="13"/>
  <c r="K372" i="13" s="1"/>
  <c r="L372" i="13" s="1"/>
  <c r="J246" i="13"/>
  <c r="K246" i="13" s="1"/>
  <c r="J249" i="13"/>
  <c r="K249" i="13" s="1"/>
  <c r="J250" i="13"/>
  <c r="K250" i="13" s="1"/>
  <c r="J252" i="13"/>
  <c r="K252" i="13" s="1"/>
  <c r="K255" i="13"/>
  <c r="K256" i="13"/>
  <c r="K263" i="13"/>
  <c r="L263" i="13" s="1"/>
  <c r="J264" i="13"/>
  <c r="K264" i="13" s="1"/>
  <c r="K276" i="13"/>
  <c r="J281" i="13"/>
  <c r="K281" i="13" s="1"/>
  <c r="J282" i="13"/>
  <c r="K282" i="13" s="1"/>
  <c r="J284" i="13"/>
  <c r="K284" i="13" s="1"/>
  <c r="L284" i="13" s="1"/>
  <c r="K288" i="13"/>
  <c r="L288" i="13" s="1"/>
  <c r="K312" i="13"/>
  <c r="J317" i="13"/>
  <c r="J318" i="13"/>
  <c r="K318" i="13" s="1"/>
  <c r="J325" i="13"/>
  <c r="K325" i="13" s="1"/>
  <c r="L325" i="13" s="1"/>
  <c r="J336" i="13"/>
  <c r="K336" i="13"/>
  <c r="J341" i="13"/>
  <c r="K341" i="13" s="1"/>
  <c r="L341" i="13" s="1"/>
  <c r="J360" i="13"/>
  <c r="K360" i="13"/>
  <c r="K391" i="13"/>
  <c r="J210" i="13"/>
  <c r="K210" i="13" s="1"/>
  <c r="J214" i="13"/>
  <c r="J218" i="13"/>
  <c r="K218" i="13" s="1"/>
  <c r="L218" i="13" s="1"/>
  <c r="J222" i="13"/>
  <c r="K222" i="13" s="1"/>
  <c r="J226" i="13"/>
  <c r="K226" i="13" s="1"/>
  <c r="J230" i="13"/>
  <c r="K230" i="13" s="1"/>
  <c r="J234" i="13"/>
  <c r="K234" i="13" s="1"/>
  <c r="J238" i="13"/>
  <c r="K238" i="13" s="1"/>
  <c r="J240" i="13"/>
  <c r="K240" i="13" s="1"/>
  <c r="K243" i="13"/>
  <c r="K247" i="13"/>
  <c r="K254" i="13"/>
  <c r="J254" i="13"/>
  <c r="J261" i="13"/>
  <c r="K261" i="13" s="1"/>
  <c r="K262" i="13"/>
  <c r="J262" i="13"/>
  <c r="J273" i="13"/>
  <c r="J274" i="13"/>
  <c r="K274" i="13" s="1"/>
  <c r="L274" i="13" s="1"/>
  <c r="J285" i="13"/>
  <c r="K285" i="13" s="1"/>
  <c r="K286" i="13"/>
  <c r="J286" i="13"/>
  <c r="K292" i="13"/>
  <c r="L292" i="13" s="1"/>
  <c r="J297" i="13"/>
  <c r="J298" i="13"/>
  <c r="K298" i="13" s="1"/>
  <c r="J300" i="13"/>
  <c r="K300" i="13" s="1"/>
  <c r="J305" i="13"/>
  <c r="K305" i="13" s="1"/>
  <c r="J306" i="13"/>
  <c r="K306" i="13" s="1"/>
  <c r="J308" i="13"/>
  <c r="K308" i="13" s="1"/>
  <c r="J312" i="13"/>
  <c r="K317" i="13"/>
  <c r="K324" i="13"/>
  <c r="K333" i="13"/>
  <c r="L333" i="13" s="1"/>
  <c r="J333" i="13"/>
  <c r="J385" i="13"/>
  <c r="K385" i="13" s="1"/>
  <c r="K248" i="13"/>
  <c r="L248" i="13" s="1"/>
  <c r="J253" i="13"/>
  <c r="K253" i="13" s="1"/>
  <c r="L253" i="13" s="1"/>
  <c r="K259" i="13"/>
  <c r="K260" i="13"/>
  <c r="J265" i="13"/>
  <c r="K265" i="13" s="1"/>
  <c r="J266" i="13"/>
  <c r="K266" i="13" s="1"/>
  <c r="K272" i="13"/>
  <c r="K273" i="13"/>
  <c r="K279" i="13"/>
  <c r="L279" i="13" s="1"/>
  <c r="J280" i="13"/>
  <c r="K280" i="13" s="1"/>
  <c r="J289" i="13"/>
  <c r="K289" i="13" s="1"/>
  <c r="K290" i="13"/>
  <c r="J290" i="13"/>
  <c r="J292" i="13"/>
  <c r="K295" i="13"/>
  <c r="K296" i="13"/>
  <c r="K297" i="13"/>
  <c r="J310" i="13"/>
  <c r="K310" i="13" s="1"/>
  <c r="K316" i="13"/>
  <c r="L316" i="13" s="1"/>
  <c r="J321" i="13"/>
  <c r="K321" i="13" s="1"/>
  <c r="J322" i="13"/>
  <c r="K322" i="13" s="1"/>
  <c r="K354" i="13"/>
  <c r="J354" i="13"/>
  <c r="J370" i="13"/>
  <c r="K370" i="13" s="1"/>
  <c r="K379" i="13"/>
  <c r="J384" i="13"/>
  <c r="K384" i="13" s="1"/>
  <c r="K399" i="13"/>
  <c r="L399" i="13" s="1"/>
  <c r="J402" i="13"/>
  <c r="K402" i="13" s="1"/>
  <c r="J404" i="13"/>
  <c r="K404" i="13" s="1"/>
  <c r="J405" i="13"/>
  <c r="K405" i="13" s="1"/>
  <c r="L405" i="13" s="1"/>
  <c r="J410" i="13"/>
  <c r="K410" i="13" s="1"/>
  <c r="J413" i="13"/>
  <c r="K413" i="13" s="1"/>
  <c r="J417" i="13"/>
  <c r="K417" i="13" s="1"/>
  <c r="J424" i="13"/>
  <c r="K424" i="13" s="1"/>
  <c r="K468" i="13"/>
  <c r="J468" i="13"/>
  <c r="J477" i="13"/>
  <c r="K477" i="13" s="1"/>
  <c r="J498" i="13"/>
  <c r="K498" i="13" s="1"/>
  <c r="L498" i="13" s="1"/>
  <c r="J263" i="13"/>
  <c r="J267" i="13"/>
  <c r="K267" i="13" s="1"/>
  <c r="J271" i="13"/>
  <c r="K271" i="13" s="1"/>
  <c r="J275" i="13"/>
  <c r="K275" i="13" s="1"/>
  <c r="J279" i="13"/>
  <c r="J283" i="13"/>
  <c r="K283" i="13" s="1"/>
  <c r="J287" i="13"/>
  <c r="K287" i="13" s="1"/>
  <c r="J291" i="13"/>
  <c r="K291" i="13" s="1"/>
  <c r="J295" i="13"/>
  <c r="J299" i="13"/>
  <c r="K299" i="13" s="1"/>
  <c r="J303" i="13"/>
  <c r="K303" i="13" s="1"/>
  <c r="J307" i="13"/>
  <c r="K307" i="13" s="1"/>
  <c r="J311" i="13"/>
  <c r="K311" i="13" s="1"/>
  <c r="L311" i="13" s="1"/>
  <c r="J315" i="13"/>
  <c r="K315" i="13" s="1"/>
  <c r="J319" i="13"/>
  <c r="K319" i="13" s="1"/>
  <c r="J323" i="13"/>
  <c r="K323" i="13" s="1"/>
  <c r="J328" i="13"/>
  <c r="K328" i="13" s="1"/>
  <c r="J338" i="13"/>
  <c r="K338" i="13" s="1"/>
  <c r="K343" i="13"/>
  <c r="J346" i="13"/>
  <c r="K346" i="13" s="1"/>
  <c r="J348" i="13"/>
  <c r="K348" i="13" s="1"/>
  <c r="J349" i="13"/>
  <c r="K349" i="13" s="1"/>
  <c r="K355" i="13"/>
  <c r="J358" i="13"/>
  <c r="K358" i="13" s="1"/>
  <c r="J364" i="13"/>
  <c r="K364" i="13" s="1"/>
  <c r="K365" i="13"/>
  <c r="J365" i="13"/>
  <c r="K371" i="13"/>
  <c r="J374" i="13"/>
  <c r="K374" i="13" s="1"/>
  <c r="J376" i="13"/>
  <c r="K376" i="13" s="1"/>
  <c r="J377" i="13"/>
  <c r="K377" i="13" s="1"/>
  <c r="K382" i="13"/>
  <c r="L382" i="13" s="1"/>
  <c r="J382" i="13"/>
  <c r="K383" i="13"/>
  <c r="J388" i="13"/>
  <c r="K388" i="13" s="1"/>
  <c r="K389" i="13"/>
  <c r="L389" i="13" s="1"/>
  <c r="J389" i="13"/>
  <c r="J394" i="13"/>
  <c r="K394" i="13" s="1"/>
  <c r="J396" i="13"/>
  <c r="K396" i="13" s="1"/>
  <c r="J397" i="13"/>
  <c r="K397" i="13" s="1"/>
  <c r="K403" i="13"/>
  <c r="J416" i="13"/>
  <c r="K416" i="13" s="1"/>
  <c r="J422" i="13"/>
  <c r="K422" i="13" s="1"/>
  <c r="J426" i="13"/>
  <c r="K426" i="13" s="1"/>
  <c r="J433" i="13"/>
  <c r="K433" i="13" s="1"/>
  <c r="L433" i="13" s="1"/>
  <c r="K437" i="13"/>
  <c r="J437" i="13"/>
  <c r="J472" i="13"/>
  <c r="K472" i="13" s="1"/>
  <c r="J482" i="13"/>
  <c r="K482" i="13" s="1"/>
  <c r="L482" i="13" s="1"/>
  <c r="J487" i="13"/>
  <c r="K487" i="13" s="1"/>
  <c r="K501" i="13"/>
  <c r="J501" i="13"/>
  <c r="J555" i="13"/>
  <c r="K555" i="13"/>
  <c r="K327" i="13"/>
  <c r="J330" i="13"/>
  <c r="K330" i="13" s="1"/>
  <c r="L330" i="13" s="1"/>
  <c r="J332" i="13"/>
  <c r="K332" i="13" s="1"/>
  <c r="J335" i="13"/>
  <c r="K335" i="13" s="1"/>
  <c r="K337" i="13"/>
  <c r="J340" i="13"/>
  <c r="K340" i="13" s="1"/>
  <c r="J343" i="13"/>
  <c r="K345" i="13"/>
  <c r="J352" i="13"/>
  <c r="K352" i="13" s="1"/>
  <c r="J353" i="13"/>
  <c r="K353" i="13" s="1"/>
  <c r="K359" i="13"/>
  <c r="L359" i="13" s="1"/>
  <c r="K362" i="13"/>
  <c r="L362" i="13" s="1"/>
  <c r="J362" i="13"/>
  <c r="K363" i="13"/>
  <c r="J368" i="13"/>
  <c r="K368" i="13" s="1"/>
  <c r="K369" i="13"/>
  <c r="J369" i="13"/>
  <c r="K375" i="13"/>
  <c r="J386" i="13"/>
  <c r="K386" i="13" s="1"/>
  <c r="L386" i="13" s="1"/>
  <c r="K387" i="13"/>
  <c r="K395" i="13"/>
  <c r="J400" i="13"/>
  <c r="K400" i="13" s="1"/>
  <c r="K401" i="13"/>
  <c r="J401" i="13"/>
  <c r="J406" i="13"/>
  <c r="K406" i="13" s="1"/>
  <c r="J408" i="13"/>
  <c r="K408" i="13" s="1"/>
  <c r="K409" i="13"/>
  <c r="J409" i="13"/>
  <c r="J418" i="13"/>
  <c r="K418" i="13" s="1"/>
  <c r="J421" i="13"/>
  <c r="K421" i="13" s="1"/>
  <c r="K428" i="13"/>
  <c r="L428" i="13" s="1"/>
  <c r="J428" i="13"/>
  <c r="J442" i="13"/>
  <c r="K442" i="13" s="1"/>
  <c r="L442" i="13" s="1"/>
  <c r="J447" i="13"/>
  <c r="K447" i="13" s="1"/>
  <c r="L447" i="13" s="1"/>
  <c r="J469" i="13"/>
  <c r="K469" i="13" s="1"/>
  <c r="J486" i="13"/>
  <c r="K486" i="13" s="1"/>
  <c r="K491" i="13"/>
  <c r="J491" i="13"/>
  <c r="J495" i="13"/>
  <c r="K495" i="13" s="1"/>
  <c r="K329" i="13"/>
  <c r="K331" i="13"/>
  <c r="J334" i="13"/>
  <c r="K334" i="13" s="1"/>
  <c r="K339" i="13"/>
  <c r="J342" i="13"/>
  <c r="K342" i="13" s="1"/>
  <c r="K347" i="13"/>
  <c r="L347" i="13" s="1"/>
  <c r="J350" i="13"/>
  <c r="K350" i="13" s="1"/>
  <c r="L350" i="13" s="1"/>
  <c r="K351" i="13"/>
  <c r="J357" i="13"/>
  <c r="K357" i="13" s="1"/>
  <c r="J366" i="13"/>
  <c r="K366" i="13" s="1"/>
  <c r="L366" i="13" s="1"/>
  <c r="K367" i="13"/>
  <c r="J373" i="13"/>
  <c r="K373" i="13" s="1"/>
  <c r="J378" i="13"/>
  <c r="K378" i="13" s="1"/>
  <c r="J380" i="13"/>
  <c r="K380" i="13" s="1"/>
  <c r="K381" i="13"/>
  <c r="J381" i="13"/>
  <c r="J390" i="13"/>
  <c r="K390" i="13" s="1"/>
  <c r="J392" i="13"/>
  <c r="K392" i="13" s="1"/>
  <c r="K393" i="13"/>
  <c r="L393" i="13" s="1"/>
  <c r="J393" i="13"/>
  <c r="K398" i="13"/>
  <c r="J398" i="13"/>
  <c r="K407" i="13"/>
  <c r="J414" i="13"/>
  <c r="K414" i="13" s="1"/>
  <c r="L414" i="13" s="1"/>
  <c r="K425" i="13"/>
  <c r="J425" i="13"/>
  <c r="K432" i="13"/>
  <c r="J432" i="13"/>
  <c r="K436" i="13"/>
  <c r="J436" i="13"/>
  <c r="J446" i="13"/>
  <c r="K446" i="13" s="1"/>
  <c r="J464" i="13"/>
  <c r="K464" i="13" s="1"/>
  <c r="L464" i="13" s="1"/>
  <c r="J473" i="13"/>
  <c r="K473" i="13" s="1"/>
  <c r="J490" i="13"/>
  <c r="K490" i="13" s="1"/>
  <c r="K568" i="13"/>
  <c r="K592" i="13"/>
  <c r="L592" i="13" s="1"/>
  <c r="J411" i="13"/>
  <c r="K411" i="13" s="1"/>
  <c r="K412" i="13"/>
  <c r="J419" i="13"/>
  <c r="K419" i="13" s="1"/>
  <c r="K420" i="13"/>
  <c r="K427" i="13"/>
  <c r="J427" i="13"/>
  <c r="J440" i="13"/>
  <c r="K440" i="13" s="1"/>
  <c r="K441" i="13"/>
  <c r="J444" i="13"/>
  <c r="K444" i="13" s="1"/>
  <c r="K445" i="13"/>
  <c r="J450" i="13"/>
  <c r="K450" i="13" s="1"/>
  <c r="J451" i="13"/>
  <c r="K451" i="13" s="1"/>
  <c r="J454" i="13"/>
  <c r="K454" i="13" s="1"/>
  <c r="J455" i="13"/>
  <c r="K455" i="13" s="1"/>
  <c r="K459" i="13"/>
  <c r="J459" i="13"/>
  <c r="J476" i="13"/>
  <c r="K476" i="13" s="1"/>
  <c r="L476" i="13" s="1"/>
  <c r="J480" i="13"/>
  <c r="K480" i="13" s="1"/>
  <c r="J484" i="13"/>
  <c r="K484" i="13" s="1"/>
  <c r="J494" i="13"/>
  <c r="K497" i="13"/>
  <c r="J500" i="13"/>
  <c r="K500" i="13" s="1"/>
  <c r="L500" i="13" s="1"/>
  <c r="J503" i="13"/>
  <c r="K503" i="13" s="1"/>
  <c r="J605" i="13"/>
  <c r="K605" i="13" s="1"/>
  <c r="K612" i="13"/>
  <c r="K654" i="13"/>
  <c r="J657" i="13"/>
  <c r="K657" i="13" s="1"/>
  <c r="J683" i="13"/>
  <c r="K683" i="13" s="1"/>
  <c r="J430" i="13"/>
  <c r="J431" i="13"/>
  <c r="K431" i="13" s="1"/>
  <c r="J434" i="13"/>
  <c r="K434" i="13" s="1"/>
  <c r="K435" i="13"/>
  <c r="J435" i="13"/>
  <c r="J448" i="13"/>
  <c r="K448" i="13" s="1"/>
  <c r="J458" i="13"/>
  <c r="K458" i="13" s="1"/>
  <c r="L458" i="13" s="1"/>
  <c r="J462" i="13"/>
  <c r="K462" i="13" s="1"/>
  <c r="J463" i="13"/>
  <c r="K463" i="13" s="1"/>
  <c r="J466" i="13"/>
  <c r="K466" i="13" s="1"/>
  <c r="J467" i="13"/>
  <c r="K467" i="13" s="1"/>
  <c r="J471" i="13"/>
  <c r="K471" i="13" s="1"/>
  <c r="J481" i="13"/>
  <c r="K481" i="13" s="1"/>
  <c r="J485" i="13"/>
  <c r="K485" i="13" s="1"/>
  <c r="J488" i="13"/>
  <c r="K488" i="13" s="1"/>
  <c r="L488" i="13" s="1"/>
  <c r="J489" i="13"/>
  <c r="K489" i="13" s="1"/>
  <c r="K492" i="13"/>
  <c r="J492" i="13"/>
  <c r="K494" i="13"/>
  <c r="L494" i="13" s="1"/>
  <c r="K496" i="13"/>
  <c r="L496" i="13" s="1"/>
  <c r="J496" i="13"/>
  <c r="J541" i="13"/>
  <c r="K541" i="13" s="1"/>
  <c r="J558" i="13"/>
  <c r="K558" i="13" s="1"/>
  <c r="K559" i="13"/>
  <c r="L559" i="13" s="1"/>
  <c r="K415" i="13"/>
  <c r="J415" i="13"/>
  <c r="K423" i="13"/>
  <c r="J423" i="13"/>
  <c r="K429" i="13"/>
  <c r="K430" i="13"/>
  <c r="J438" i="13"/>
  <c r="K438" i="13" s="1"/>
  <c r="J439" i="13"/>
  <c r="K439" i="13" s="1"/>
  <c r="K443" i="13"/>
  <c r="J443" i="13"/>
  <c r="J449" i="13"/>
  <c r="K449" i="13" s="1"/>
  <c r="J452" i="13"/>
  <c r="K452" i="13" s="1"/>
  <c r="K453" i="13"/>
  <c r="L453" i="13" s="1"/>
  <c r="J456" i="13"/>
  <c r="K456" i="13" s="1"/>
  <c r="K457" i="13"/>
  <c r="K460" i="13"/>
  <c r="J460" i="13"/>
  <c r="K461" i="13"/>
  <c r="K465" i="13"/>
  <c r="J470" i="13"/>
  <c r="K470" i="13" s="1"/>
  <c r="L470" i="13" s="1"/>
  <c r="J474" i="13"/>
  <c r="K474" i="13" s="1"/>
  <c r="J475" i="13"/>
  <c r="K475" i="13" s="1"/>
  <c r="J478" i="13"/>
  <c r="K478" i="13" s="1"/>
  <c r="J479" i="13"/>
  <c r="K479" i="13" s="1"/>
  <c r="K483" i="13"/>
  <c r="J483" i="13"/>
  <c r="J493" i="13"/>
  <c r="K493" i="13" s="1"/>
  <c r="J499" i="13"/>
  <c r="K499" i="13" s="1"/>
  <c r="J502" i="13"/>
  <c r="K502" i="13" s="1"/>
  <c r="L502" i="13" s="1"/>
  <c r="K544" i="13"/>
  <c r="L544" i="13" s="1"/>
  <c r="K557" i="13"/>
  <c r="J505" i="13"/>
  <c r="K505" i="13" s="1"/>
  <c r="J509" i="13"/>
  <c r="K509" i="13" s="1"/>
  <c r="J513" i="13"/>
  <c r="K513" i="13" s="1"/>
  <c r="K516" i="13"/>
  <c r="L516" i="13" s="1"/>
  <c r="J517" i="13"/>
  <c r="K517" i="13" s="1"/>
  <c r="J521" i="13"/>
  <c r="J525" i="13"/>
  <c r="J529" i="13"/>
  <c r="K529" i="13" s="1"/>
  <c r="K532" i="13"/>
  <c r="J533" i="13"/>
  <c r="J537" i="13"/>
  <c r="K537" i="13" s="1"/>
  <c r="J547" i="13"/>
  <c r="K547" i="13" s="1"/>
  <c r="J554" i="13"/>
  <c r="K554" i="13" s="1"/>
  <c r="J644" i="13"/>
  <c r="K644" i="13" s="1"/>
  <c r="J682" i="13"/>
  <c r="J504" i="13"/>
  <c r="K504" i="13" s="1"/>
  <c r="L504" i="13" s="1"/>
  <c r="J508" i="13"/>
  <c r="K508" i="13" s="1"/>
  <c r="J512" i="13"/>
  <c r="K512" i="13" s="1"/>
  <c r="J516" i="13"/>
  <c r="J520" i="13"/>
  <c r="K520" i="13" s="1"/>
  <c r="J524" i="13"/>
  <c r="K524" i="13" s="1"/>
  <c r="J528" i="13"/>
  <c r="K528" i="13" s="1"/>
  <c r="L528" i="13" s="1"/>
  <c r="J532" i="13"/>
  <c r="J536" i="13"/>
  <c r="K536" i="13" s="1"/>
  <c r="J540" i="13"/>
  <c r="K540" i="13" s="1"/>
  <c r="L540" i="13" s="1"/>
  <c r="J542" i="13"/>
  <c r="K542" i="13" s="1"/>
  <c r="J551" i="13"/>
  <c r="K551" i="13"/>
  <c r="J553" i="13"/>
  <c r="K553" i="13" s="1"/>
  <c r="L553" i="13" s="1"/>
  <c r="K582" i="13"/>
  <c r="L582" i="13" s="1"/>
  <c r="J582" i="13"/>
  <c r="K602" i="13"/>
  <c r="J602" i="13"/>
  <c r="K643" i="13"/>
  <c r="K506" i="13"/>
  <c r="J507" i="13"/>
  <c r="K507" i="13" s="1"/>
  <c r="K510" i="13"/>
  <c r="L510" i="13" s="1"/>
  <c r="J511" i="13"/>
  <c r="K511" i="13" s="1"/>
  <c r="K514" i="13"/>
  <c r="J515" i="13"/>
  <c r="K515" i="13" s="1"/>
  <c r="K518" i="13"/>
  <c r="J519" i="13"/>
  <c r="K519" i="13" s="1"/>
  <c r="K521" i="13"/>
  <c r="K522" i="13"/>
  <c r="L522" i="13" s="1"/>
  <c r="J523" i="13"/>
  <c r="K523" i="13" s="1"/>
  <c r="K525" i="13"/>
  <c r="K526" i="13"/>
  <c r="J527" i="13"/>
  <c r="K527" i="13" s="1"/>
  <c r="K530" i="13"/>
  <c r="J531" i="13"/>
  <c r="K531" i="13" s="1"/>
  <c r="K533" i="13"/>
  <c r="K534" i="13"/>
  <c r="L534" i="13" s="1"/>
  <c r="J535" i="13"/>
  <c r="K535" i="13" s="1"/>
  <c r="K538" i="13"/>
  <c r="J539" i="13"/>
  <c r="K539" i="13" s="1"/>
  <c r="J543" i="13"/>
  <c r="K543" i="13" s="1"/>
  <c r="K561" i="13"/>
  <c r="J562" i="13"/>
  <c r="K562" i="13" s="1"/>
  <c r="K565" i="13"/>
  <c r="J566" i="13"/>
  <c r="K566" i="13" s="1"/>
  <c r="K571" i="13"/>
  <c r="J571" i="13"/>
  <c r="J574" i="13"/>
  <c r="K574" i="13" s="1"/>
  <c r="K594" i="13"/>
  <c r="J594" i="13"/>
  <c r="J613" i="13"/>
  <c r="K613" i="13" s="1"/>
  <c r="J686" i="13"/>
  <c r="J545" i="13"/>
  <c r="K545" i="13" s="1"/>
  <c r="J549" i="13"/>
  <c r="K549" i="13" s="1"/>
  <c r="K556" i="13"/>
  <c r="K560" i="13"/>
  <c r="K564" i="13"/>
  <c r="L564" i="13" s="1"/>
  <c r="K572" i="13"/>
  <c r="J577" i="13"/>
  <c r="K584" i="13"/>
  <c r="J585" i="13"/>
  <c r="K585" i="13" s="1"/>
  <c r="K596" i="13"/>
  <c r="J597" i="13"/>
  <c r="K597" i="13" s="1"/>
  <c r="K604" i="13"/>
  <c r="L604" i="13" s="1"/>
  <c r="K606" i="13"/>
  <c r="J606" i="13"/>
  <c r="J614" i="13"/>
  <c r="K614" i="13" s="1"/>
  <c r="J616" i="13"/>
  <c r="K616" i="13" s="1"/>
  <c r="L616" i="13" s="1"/>
  <c r="J618" i="13"/>
  <c r="K618" i="13" s="1"/>
  <c r="K620" i="13"/>
  <c r="J620" i="13"/>
  <c r="J624" i="13"/>
  <c r="K624" i="13" s="1"/>
  <c r="J627" i="13"/>
  <c r="K627" i="13" s="1"/>
  <c r="J637" i="13"/>
  <c r="K637" i="13" s="1"/>
  <c r="J640" i="13"/>
  <c r="K640" i="13" s="1"/>
  <c r="L640" i="13" s="1"/>
  <c r="K671" i="13"/>
  <c r="J672" i="13"/>
  <c r="K672" i="13" s="1"/>
  <c r="K675" i="13"/>
  <c r="J675" i="13"/>
  <c r="J678" i="13"/>
  <c r="K678" i="13" s="1"/>
  <c r="J679" i="13"/>
  <c r="K679" i="13" s="1"/>
  <c r="K548" i="13"/>
  <c r="K552" i="13"/>
  <c r="K576" i="13"/>
  <c r="L576" i="13" s="1"/>
  <c r="K577" i="13"/>
  <c r="J578" i="13"/>
  <c r="K578" i="13" s="1"/>
  <c r="K586" i="13"/>
  <c r="J586" i="13"/>
  <c r="J589" i="13"/>
  <c r="K589" i="13" s="1"/>
  <c r="J598" i="13"/>
  <c r="K598" i="13" s="1"/>
  <c r="L598" i="13" s="1"/>
  <c r="K599" i="13"/>
  <c r="K608" i="13"/>
  <c r="J609" i="13"/>
  <c r="K609" i="13" s="1"/>
  <c r="J622" i="13"/>
  <c r="K622" i="13" s="1"/>
  <c r="L622" i="13" s="1"/>
  <c r="K630" i="13"/>
  <c r="K633" i="13"/>
  <c r="J633" i="13"/>
  <c r="K667" i="13"/>
  <c r="J668" i="13"/>
  <c r="K668" i="13" s="1"/>
  <c r="J559" i="13"/>
  <c r="J563" i="13"/>
  <c r="K563" i="13" s="1"/>
  <c r="J567" i="13"/>
  <c r="K567" i="13" s="1"/>
  <c r="J570" i="13"/>
  <c r="K570" i="13" s="1"/>
  <c r="L570" i="13" s="1"/>
  <c r="K580" i="13"/>
  <c r="J581" i="13"/>
  <c r="K581" i="13" s="1"/>
  <c r="K588" i="13"/>
  <c r="L588" i="13" s="1"/>
  <c r="J590" i="13"/>
  <c r="K590" i="13" s="1"/>
  <c r="L590" i="13" s="1"/>
  <c r="J593" i="13"/>
  <c r="K593" i="13" s="1"/>
  <c r="K600" i="13"/>
  <c r="J601" i="13"/>
  <c r="K601" i="13" s="1"/>
  <c r="K610" i="13"/>
  <c r="L610" i="13" s="1"/>
  <c r="J610" i="13"/>
  <c r="K647" i="13"/>
  <c r="J648" i="13"/>
  <c r="K648" i="13" s="1"/>
  <c r="J651" i="13"/>
  <c r="K651" i="13" s="1"/>
  <c r="J661" i="13"/>
  <c r="K661" i="13" s="1"/>
  <c r="J664" i="13"/>
  <c r="K664" i="13"/>
  <c r="L664" i="13" s="1"/>
  <c r="J575" i="13"/>
  <c r="K575" i="13" s="1"/>
  <c r="J579" i="13"/>
  <c r="K579" i="13" s="1"/>
  <c r="J583" i="13"/>
  <c r="K583" i="13" s="1"/>
  <c r="J587" i="13"/>
  <c r="K587" i="13" s="1"/>
  <c r="J591" i="13"/>
  <c r="K591" i="13" s="1"/>
  <c r="J595" i="13"/>
  <c r="K595" i="13" s="1"/>
  <c r="J599" i="13"/>
  <c r="J603" i="13"/>
  <c r="K603" i="13" s="1"/>
  <c r="J607" i="13"/>
  <c r="K607" i="13" s="1"/>
  <c r="J611" i="13"/>
  <c r="K611" i="13" s="1"/>
  <c r="K634" i="13"/>
  <c r="L634" i="13" s="1"/>
  <c r="K638" i="13"/>
  <c r="J641" i="13"/>
  <c r="K641" i="13" s="1"/>
  <c r="K658" i="13"/>
  <c r="L658" i="13" s="1"/>
  <c r="K662" i="13"/>
  <c r="J665" i="13"/>
  <c r="K665" i="13" s="1"/>
  <c r="J617" i="13"/>
  <c r="K617" i="13" s="1"/>
  <c r="J621" i="13"/>
  <c r="K621" i="13" s="1"/>
  <c r="J625" i="13"/>
  <c r="K625" i="13" s="1"/>
  <c r="J628" i="13"/>
  <c r="K628" i="13" s="1"/>
  <c r="L628" i="13" s="1"/>
  <c r="K642" i="13"/>
  <c r="J645" i="13"/>
  <c r="K645" i="13" s="1"/>
  <c r="J649" i="13"/>
  <c r="K649" i="13" s="1"/>
  <c r="J652" i="13"/>
  <c r="K652" i="13" s="1"/>
  <c r="L652" i="13" s="1"/>
  <c r="K666" i="13"/>
  <c r="J669" i="13"/>
  <c r="K669" i="13" s="1"/>
  <c r="J673" i="13"/>
  <c r="K673" i="13" s="1"/>
  <c r="J676" i="13"/>
  <c r="J680" i="13"/>
  <c r="K680" i="13" s="1"/>
  <c r="J684" i="13"/>
  <c r="K684" i="13" s="1"/>
  <c r="K626" i="13"/>
  <c r="J629" i="13"/>
  <c r="K629" i="13" s="1"/>
  <c r="J632" i="13"/>
  <c r="K632" i="13" s="1"/>
  <c r="J636" i="13"/>
  <c r="K636" i="13" s="1"/>
  <c r="K646" i="13"/>
  <c r="L646" i="13" s="1"/>
  <c r="K650" i="13"/>
  <c r="K653" i="13"/>
  <c r="J653" i="13"/>
  <c r="J656" i="13"/>
  <c r="K656" i="13" s="1"/>
  <c r="J660" i="13"/>
  <c r="K660" i="13" s="1"/>
  <c r="K670" i="13"/>
  <c r="L670" i="13" s="1"/>
  <c r="K674" i="13"/>
  <c r="K676" i="13"/>
  <c r="L676" i="13" s="1"/>
  <c r="J677" i="13"/>
  <c r="K677" i="13" s="1"/>
  <c r="K681" i="13"/>
  <c r="L681" i="13" s="1"/>
  <c r="J681" i="13"/>
  <c r="K682" i="13"/>
  <c r="J685" i="13"/>
  <c r="K685" i="13" s="1"/>
  <c r="K686" i="13"/>
  <c r="L686" i="13" s="1"/>
  <c r="BC32" i="8" l="1"/>
  <c r="BD32" i="8" s="1"/>
  <c r="BE32" i="8" s="1"/>
  <c r="BC30" i="8"/>
  <c r="BD30" i="8" s="1"/>
  <c r="BE30" i="8" s="1"/>
  <c r="BO7" i="8"/>
  <c r="BP7" i="8" s="1"/>
  <c r="H47" i="12" s="1"/>
  <c r="I47" i="12" s="1"/>
  <c r="BC34" i="8"/>
  <c r="BD34" i="8" s="1"/>
  <c r="BE34" i="8" s="1"/>
  <c r="B36" i="19"/>
  <c r="BO21" i="8"/>
  <c r="BP21" i="8" s="1"/>
  <c r="H355" i="12" s="1"/>
  <c r="I355" i="12" s="1"/>
  <c r="C43" i="2"/>
  <c r="E43" i="2" s="1"/>
  <c r="M13" i="15"/>
  <c r="BC114" i="8"/>
  <c r="BD114" i="8" s="1"/>
  <c r="BE114" i="8" s="1"/>
  <c r="BC82" i="8"/>
  <c r="BD82" i="8" s="1"/>
  <c r="BE82" i="8" s="1"/>
  <c r="BC80" i="8"/>
  <c r="BD80" i="8" s="1"/>
  <c r="BE80" i="8" s="1"/>
  <c r="AT74" i="8"/>
  <c r="AU74" i="8" s="1"/>
  <c r="AV74" i="8"/>
  <c r="BC72" i="8"/>
  <c r="BD72" i="8" s="1"/>
  <c r="BE72" i="8" s="1"/>
  <c r="AT70" i="8"/>
  <c r="AU70" i="8" s="1"/>
  <c r="AV70" i="8"/>
  <c r="BC68" i="8"/>
  <c r="BD68" i="8" s="1"/>
  <c r="BE68" i="8" s="1"/>
  <c r="BC64" i="8"/>
  <c r="BD64" i="8" s="1"/>
  <c r="BE64" i="8" s="1"/>
  <c r="BC60" i="8"/>
  <c r="BD60" i="8" s="1"/>
  <c r="BE60" i="8" s="1"/>
  <c r="AT42" i="8"/>
  <c r="AU42" i="8" s="1"/>
  <c r="AV42" i="8"/>
  <c r="AT36" i="8"/>
  <c r="AU36" i="8" s="1"/>
  <c r="AV36" i="8"/>
  <c r="AT35" i="8"/>
  <c r="AU35" i="8" s="1"/>
  <c r="AV35" i="8"/>
  <c r="AT33" i="8"/>
  <c r="AU33" i="8" s="1"/>
  <c r="AV33" i="8"/>
  <c r="AT31" i="8"/>
  <c r="AU31" i="8" s="1"/>
  <c r="AV31" i="8"/>
  <c r="AT29" i="8"/>
  <c r="AU29" i="8" s="1"/>
  <c r="AV29" i="8"/>
  <c r="F61" i="9"/>
  <c r="E61" i="9"/>
  <c r="D61" i="9"/>
  <c r="G61" i="9" s="1"/>
  <c r="E35" i="9"/>
  <c r="D35" i="9"/>
  <c r="G35" i="9" s="1"/>
  <c r="F35" i="9"/>
  <c r="D20" i="9"/>
  <c r="G20" i="9" s="1"/>
  <c r="F20" i="9"/>
  <c r="E20" i="9"/>
  <c r="BC91" i="8"/>
  <c r="BD91" i="8" s="1"/>
  <c r="BE91" i="8" s="1"/>
  <c r="AV24" i="8"/>
  <c r="AT24" i="8"/>
  <c r="AU24" i="8" s="1"/>
  <c r="AV16" i="8"/>
  <c r="AT16" i="8"/>
  <c r="AU16" i="8" s="1"/>
  <c r="AV10" i="8"/>
  <c r="AT10" i="8"/>
  <c r="AU10" i="8" s="1"/>
  <c r="AV8" i="8"/>
  <c r="AT8" i="8"/>
  <c r="AV6" i="8"/>
  <c r="AT6" i="8"/>
  <c r="F94" i="9"/>
  <c r="E94" i="9"/>
  <c r="D94" i="9"/>
  <c r="G94" i="9" s="1"/>
  <c r="D44" i="9"/>
  <c r="G44" i="9" s="1"/>
  <c r="F44" i="9"/>
  <c r="E44" i="9"/>
  <c r="BC105" i="8"/>
  <c r="BD105" i="8" s="1"/>
  <c r="BE105" i="8" s="1"/>
  <c r="AV116" i="8"/>
  <c r="AT116" i="8"/>
  <c r="AU116" i="8" s="1"/>
  <c r="AV110" i="8"/>
  <c r="AT110" i="8"/>
  <c r="BC37" i="8"/>
  <c r="BD37" i="8" s="1"/>
  <c r="BE37" i="8" s="1"/>
  <c r="AV41" i="8"/>
  <c r="AT41" i="8"/>
  <c r="AU41" i="8" s="1"/>
  <c r="BC43" i="8"/>
  <c r="BD43" i="8" s="1"/>
  <c r="BE43" i="8" s="1"/>
  <c r="AV47" i="8"/>
  <c r="AT47" i="8"/>
  <c r="AU47" i="8" s="1"/>
  <c r="BC49" i="8"/>
  <c r="BD49" i="8" s="1"/>
  <c r="BE49" i="8" s="1"/>
  <c r="AV53" i="8"/>
  <c r="AT53" i="8"/>
  <c r="AU53" i="8" s="1"/>
  <c r="BC57" i="8"/>
  <c r="BD57" i="8" s="1"/>
  <c r="BE57" i="8" s="1"/>
  <c r="AV61" i="8"/>
  <c r="AT61" i="8"/>
  <c r="AU61" i="8" s="1"/>
  <c r="BC65" i="8"/>
  <c r="BD65" i="8" s="1"/>
  <c r="BE65" i="8" s="1"/>
  <c r="AV69" i="8"/>
  <c r="AT69" i="8"/>
  <c r="AU69" i="8" s="1"/>
  <c r="BC73" i="8"/>
  <c r="BD73" i="8" s="1"/>
  <c r="BE73" i="8" s="1"/>
  <c r="AV77" i="8"/>
  <c r="AT77" i="8"/>
  <c r="AU77" i="8" s="1"/>
  <c r="BC81" i="8"/>
  <c r="BD81" i="8" s="1"/>
  <c r="BE81" i="8" s="1"/>
  <c r="AV86" i="8"/>
  <c r="AT86" i="8"/>
  <c r="AU86" i="8" s="1"/>
  <c r="BC90" i="8"/>
  <c r="BD90" i="8" s="1"/>
  <c r="BE90" i="8" s="1"/>
  <c r="AV94" i="8"/>
  <c r="AT94" i="8"/>
  <c r="AU94" i="8" s="1"/>
  <c r="BC96" i="8"/>
  <c r="BD96" i="8" s="1"/>
  <c r="BE96" i="8" s="1"/>
  <c r="AV100" i="8"/>
  <c r="AT100" i="8"/>
  <c r="AU100" i="8" s="1"/>
  <c r="BC104" i="8"/>
  <c r="BD104" i="8" s="1"/>
  <c r="BE104" i="8" s="1"/>
  <c r="AV108" i="8"/>
  <c r="AT108" i="8"/>
  <c r="AU108" i="8" s="1"/>
  <c r="BC113" i="8"/>
  <c r="BD113" i="8" s="1"/>
  <c r="BE113" i="8" s="1"/>
  <c r="AV117" i="8"/>
  <c r="AT117" i="8"/>
  <c r="AU117" i="8" s="1"/>
  <c r="AV34" i="8"/>
  <c r="AT34" i="8"/>
  <c r="AU34" i="8" s="1"/>
  <c r="AV30" i="8"/>
  <c r="AT30" i="8"/>
  <c r="AU30" i="8" s="1"/>
  <c r="E103" i="9"/>
  <c r="D103" i="9"/>
  <c r="G103" i="9" s="1"/>
  <c r="F103" i="9"/>
  <c r="E91" i="9"/>
  <c r="D91" i="9"/>
  <c r="G91" i="9" s="1"/>
  <c r="F91" i="9"/>
  <c r="F66" i="9"/>
  <c r="E66" i="9"/>
  <c r="D66" i="9"/>
  <c r="G66" i="9" s="1"/>
  <c r="F54" i="9"/>
  <c r="E54" i="9"/>
  <c r="D54" i="9"/>
  <c r="G54" i="9" s="1"/>
  <c r="E43" i="9"/>
  <c r="D43" i="9"/>
  <c r="G43" i="9" s="1"/>
  <c r="F43" i="9"/>
  <c r="F17" i="9"/>
  <c r="E17" i="9"/>
  <c r="D17" i="9"/>
  <c r="G17" i="9" s="1"/>
  <c r="E7" i="9"/>
  <c r="F7" i="9"/>
  <c r="D7" i="9"/>
  <c r="G7" i="9" s="1"/>
  <c r="F70" i="9"/>
  <c r="E70" i="9"/>
  <c r="D70" i="9"/>
  <c r="G70" i="9" s="1"/>
  <c r="D56" i="9"/>
  <c r="G56" i="9" s="1"/>
  <c r="F56" i="9"/>
  <c r="E56" i="9"/>
  <c r="AT27" i="8"/>
  <c r="AV27" i="8"/>
  <c r="BC25" i="8"/>
  <c r="BD25" i="8" s="1"/>
  <c r="BE25" i="8" s="1"/>
  <c r="AT13" i="8"/>
  <c r="AU13" i="8" s="1"/>
  <c r="AV13" i="8"/>
  <c r="BC11" i="8"/>
  <c r="BD11" i="8" s="1"/>
  <c r="BE11" i="8" s="1"/>
  <c r="AT7" i="8"/>
  <c r="AU7" i="8" s="1"/>
  <c r="AV7" i="8"/>
  <c r="E99" i="9"/>
  <c r="D99" i="9"/>
  <c r="G99" i="9" s="1"/>
  <c r="F99" i="9"/>
  <c r="D64" i="9"/>
  <c r="G64" i="9" s="1"/>
  <c r="F64" i="9"/>
  <c r="E64" i="9"/>
  <c r="F50" i="9"/>
  <c r="E50" i="9"/>
  <c r="D50" i="9"/>
  <c r="G50" i="9" s="1"/>
  <c r="D40" i="9"/>
  <c r="G40" i="9" s="1"/>
  <c r="F40" i="9"/>
  <c r="E40" i="9"/>
  <c r="E27" i="9"/>
  <c r="D27" i="9"/>
  <c r="G27" i="9" s="1"/>
  <c r="F27" i="9"/>
  <c r="F14" i="9"/>
  <c r="E14" i="9"/>
  <c r="D14" i="9"/>
  <c r="G14" i="9" s="1"/>
  <c r="E3" i="9"/>
  <c r="F3" i="9"/>
  <c r="D3" i="9"/>
  <c r="G3" i="9" s="1"/>
  <c r="E107" i="9"/>
  <c r="D107" i="9"/>
  <c r="G107" i="9" s="1"/>
  <c r="F107" i="9"/>
  <c r="D96" i="9"/>
  <c r="G96" i="9" s="1"/>
  <c r="F96" i="9"/>
  <c r="E96" i="9"/>
  <c r="E83" i="9"/>
  <c r="D83" i="9"/>
  <c r="G83" i="9" s="1"/>
  <c r="F83" i="9"/>
  <c r="D72" i="9"/>
  <c r="G72" i="9" s="1"/>
  <c r="F72" i="9"/>
  <c r="E72" i="9"/>
  <c r="E47" i="9"/>
  <c r="D47" i="9"/>
  <c r="G47" i="9" s="1"/>
  <c r="F47" i="9"/>
  <c r="D25" i="9"/>
  <c r="G25" i="9" s="1"/>
  <c r="F25" i="9"/>
  <c r="E25" i="9"/>
  <c r="F81" i="9"/>
  <c r="E81" i="9"/>
  <c r="D81" i="9"/>
  <c r="G81" i="9" s="1"/>
  <c r="D9" i="9"/>
  <c r="G9" i="9" s="1"/>
  <c r="F9" i="9"/>
  <c r="E9" i="9"/>
  <c r="B14" i="2"/>
  <c r="M12" i="15"/>
  <c r="K6" i="13"/>
  <c r="AT103" i="8"/>
  <c r="AU103" i="8" s="1"/>
  <c r="AV103" i="8"/>
  <c r="AT99" i="8"/>
  <c r="AU99" i="8" s="1"/>
  <c r="AV99" i="8"/>
  <c r="BC74" i="8"/>
  <c r="BD74" i="8" s="1"/>
  <c r="BE74" i="8" s="1"/>
  <c r="BC70" i="8"/>
  <c r="BD70" i="8" s="1"/>
  <c r="BE70" i="8" s="1"/>
  <c r="AT62" i="8"/>
  <c r="AU62" i="8" s="1"/>
  <c r="AV62" i="8"/>
  <c r="AT46" i="8"/>
  <c r="AU46" i="8" s="1"/>
  <c r="AV46" i="8"/>
  <c r="D36" i="9"/>
  <c r="G36" i="9" s="1"/>
  <c r="F36" i="9"/>
  <c r="E36" i="9"/>
  <c r="F34" i="9"/>
  <c r="E34" i="9"/>
  <c r="D34" i="9"/>
  <c r="G34" i="9" s="1"/>
  <c r="F22" i="9"/>
  <c r="E22" i="9"/>
  <c r="D22" i="9"/>
  <c r="G22" i="9" s="1"/>
  <c r="AT58" i="8"/>
  <c r="AU58" i="8" s="1"/>
  <c r="AV58" i="8"/>
  <c r="AT40" i="8"/>
  <c r="AU40" i="8" s="1"/>
  <c r="AV40" i="8"/>
  <c r="AV20" i="8"/>
  <c r="AT20" i="8"/>
  <c r="AV18" i="8"/>
  <c r="AT18" i="8"/>
  <c r="D92" i="9"/>
  <c r="G92" i="9" s="1"/>
  <c r="F92" i="9"/>
  <c r="E92" i="9"/>
  <c r="F45" i="9"/>
  <c r="E45" i="9"/>
  <c r="D45" i="9"/>
  <c r="G45" i="9" s="1"/>
  <c r="AT101" i="8"/>
  <c r="AU101" i="8" s="1"/>
  <c r="AV101" i="8"/>
  <c r="AV112" i="8"/>
  <c r="AT112" i="8"/>
  <c r="AU112" i="8" s="1"/>
  <c r="BC107" i="8"/>
  <c r="BD107" i="8" s="1"/>
  <c r="BE107" i="8" s="1"/>
  <c r="AV39" i="8"/>
  <c r="AT39" i="8"/>
  <c r="BC41" i="8"/>
  <c r="BD41" i="8" s="1"/>
  <c r="BE41" i="8" s="1"/>
  <c r="AV45" i="8"/>
  <c r="AT45" i="8"/>
  <c r="AU45" i="8" s="1"/>
  <c r="BC47" i="8"/>
  <c r="BD47" i="8" s="1"/>
  <c r="BE47" i="8" s="1"/>
  <c r="AV51" i="8"/>
  <c r="AT51" i="8"/>
  <c r="AU51" i="8" s="1"/>
  <c r="BC55" i="8"/>
  <c r="BD55" i="8" s="1"/>
  <c r="BE55" i="8" s="1"/>
  <c r="AV59" i="8"/>
  <c r="AT59" i="8"/>
  <c r="AU59" i="8" s="1"/>
  <c r="BC63" i="8"/>
  <c r="BD63" i="8" s="1"/>
  <c r="BE63" i="8" s="1"/>
  <c r="AV67" i="8"/>
  <c r="AT67" i="8"/>
  <c r="AU67" i="8" s="1"/>
  <c r="BC71" i="8"/>
  <c r="BD71" i="8" s="1"/>
  <c r="BE71" i="8" s="1"/>
  <c r="AV75" i="8"/>
  <c r="AT75" i="8"/>
  <c r="AU75" i="8" s="1"/>
  <c r="BC79" i="8"/>
  <c r="BD79" i="8" s="1"/>
  <c r="BE79" i="8" s="1"/>
  <c r="AV84" i="8"/>
  <c r="AT84" i="8"/>
  <c r="AU84" i="8" s="1"/>
  <c r="BC88" i="8"/>
  <c r="BD88" i="8" s="1"/>
  <c r="BE88" i="8" s="1"/>
  <c r="AV92" i="8"/>
  <c r="AT92" i="8"/>
  <c r="AU92" i="8" s="1"/>
  <c r="BC94" i="8"/>
  <c r="BD94" i="8" s="1"/>
  <c r="BE94" i="8" s="1"/>
  <c r="AV98" i="8"/>
  <c r="AT98" i="8"/>
  <c r="AU98" i="8" s="1"/>
  <c r="BC102" i="8"/>
  <c r="BD102" i="8" s="1"/>
  <c r="BE102" i="8" s="1"/>
  <c r="AV106" i="8"/>
  <c r="AT106" i="8"/>
  <c r="BC111" i="8"/>
  <c r="BD111" i="8" s="1"/>
  <c r="BE111" i="8" s="1"/>
  <c r="AV115" i="8"/>
  <c r="AT115" i="8"/>
  <c r="AU115" i="8" s="1"/>
  <c r="BC109" i="8"/>
  <c r="BD109" i="8" s="1"/>
  <c r="BE109" i="8" s="1"/>
  <c r="F101" i="9"/>
  <c r="E101" i="9"/>
  <c r="D101" i="9"/>
  <c r="G101" i="9" s="1"/>
  <c r="F90" i="9"/>
  <c r="E90" i="9"/>
  <c r="D90" i="9"/>
  <c r="G90" i="9" s="1"/>
  <c r="F78" i="9"/>
  <c r="E78" i="9"/>
  <c r="D78" i="9"/>
  <c r="G78" i="9" s="1"/>
  <c r="F65" i="9"/>
  <c r="E65" i="9"/>
  <c r="D65" i="9"/>
  <c r="G65" i="9" s="1"/>
  <c r="E55" i="9"/>
  <c r="D55" i="9"/>
  <c r="G55" i="9" s="1"/>
  <c r="F55" i="9"/>
  <c r="F42" i="9"/>
  <c r="E42" i="9"/>
  <c r="D42" i="9"/>
  <c r="G42" i="9" s="1"/>
  <c r="F30" i="9"/>
  <c r="E30" i="9"/>
  <c r="D30" i="9"/>
  <c r="G30" i="9" s="1"/>
  <c r="F5" i="9"/>
  <c r="E5" i="9"/>
  <c r="D5" i="9"/>
  <c r="G5" i="9" s="1"/>
  <c r="F106" i="9"/>
  <c r="E106" i="9"/>
  <c r="D106" i="9"/>
  <c r="G106" i="9" s="1"/>
  <c r="D68" i="9"/>
  <c r="G68" i="9" s="1"/>
  <c r="F68" i="9"/>
  <c r="E68" i="9"/>
  <c r="F57" i="9"/>
  <c r="E57" i="9"/>
  <c r="D57" i="9"/>
  <c r="G57" i="9" s="1"/>
  <c r="AT56" i="8"/>
  <c r="AU56" i="8" s="1"/>
  <c r="AV56" i="8"/>
  <c r="AT52" i="8"/>
  <c r="AU52" i="8" s="1"/>
  <c r="AV52" i="8"/>
  <c r="AT38" i="8"/>
  <c r="AU38" i="8" s="1"/>
  <c r="AV38" i="8"/>
  <c r="BC23" i="8"/>
  <c r="BD23" i="8" s="1"/>
  <c r="BE23" i="8" s="1"/>
  <c r="BC19" i="8"/>
  <c r="BD19" i="8" s="1"/>
  <c r="BE19" i="8" s="1"/>
  <c r="BC17" i="8"/>
  <c r="BD17" i="8" s="1"/>
  <c r="BE17" i="8" s="1"/>
  <c r="BC15" i="8"/>
  <c r="BD15" i="8" s="1"/>
  <c r="BE15" i="8" s="1"/>
  <c r="AT9" i="8"/>
  <c r="AU9" i="8" s="1"/>
  <c r="AV9" i="8"/>
  <c r="BE5" i="8"/>
  <c r="F98" i="9"/>
  <c r="E98" i="9"/>
  <c r="D98" i="9"/>
  <c r="G98" i="9" s="1"/>
  <c r="F86" i="9"/>
  <c r="E86" i="9"/>
  <c r="D86" i="9"/>
  <c r="G86" i="9" s="1"/>
  <c r="E75" i="9"/>
  <c r="D75" i="9"/>
  <c r="G75" i="9" s="1"/>
  <c r="F75" i="9"/>
  <c r="D52" i="9"/>
  <c r="G52" i="9" s="1"/>
  <c r="F52" i="9"/>
  <c r="E52" i="9"/>
  <c r="D28" i="9"/>
  <c r="G28" i="9" s="1"/>
  <c r="E28" i="9"/>
  <c r="F28" i="9"/>
  <c r="E15" i="9"/>
  <c r="F15" i="9"/>
  <c r="D15" i="9"/>
  <c r="G15" i="9" s="1"/>
  <c r="D4" i="9"/>
  <c r="G4" i="9" s="1"/>
  <c r="F4" i="9"/>
  <c r="E4" i="9"/>
  <c r="BO5" i="8"/>
  <c r="BP5" i="8" s="1"/>
  <c r="H3" i="12" s="1"/>
  <c r="I3" i="12" s="1"/>
  <c r="AA7" i="11" s="1"/>
  <c r="D108" i="9"/>
  <c r="G108" i="9" s="1"/>
  <c r="F108" i="9"/>
  <c r="E108" i="9"/>
  <c r="F97" i="9"/>
  <c r="E97" i="9"/>
  <c r="D97" i="9"/>
  <c r="G97" i="9" s="1"/>
  <c r="D84" i="9"/>
  <c r="G84" i="9" s="1"/>
  <c r="F84" i="9"/>
  <c r="E84" i="9"/>
  <c r="F73" i="9"/>
  <c r="E73" i="9"/>
  <c r="D73" i="9"/>
  <c r="G73" i="9" s="1"/>
  <c r="D48" i="9"/>
  <c r="G48" i="9" s="1"/>
  <c r="F48" i="9"/>
  <c r="E48" i="9"/>
  <c r="E11" i="9"/>
  <c r="D11" i="9"/>
  <c r="G11" i="9" s="1"/>
  <c r="F11" i="9"/>
  <c r="C41" i="2"/>
  <c r="E41" i="2" s="1"/>
  <c r="M11" i="15"/>
  <c r="M9" i="15"/>
  <c r="M10" i="15"/>
  <c r="K17" i="13"/>
  <c r="M5" i="15"/>
  <c r="M4" i="15"/>
  <c r="AT78" i="8"/>
  <c r="AU78" i="8" s="1"/>
  <c r="AV78" i="8"/>
  <c r="AT76" i="8"/>
  <c r="AU76" i="8" s="1"/>
  <c r="AV76" i="8"/>
  <c r="AT66" i="8"/>
  <c r="AU66" i="8" s="1"/>
  <c r="AV66" i="8"/>
  <c r="BC62" i="8"/>
  <c r="BD62" i="8" s="1"/>
  <c r="BE62" i="8" s="1"/>
  <c r="BC97" i="8"/>
  <c r="BD97" i="8" s="1"/>
  <c r="BE97" i="8" s="1"/>
  <c r="BC85" i="8"/>
  <c r="BD85" i="8" s="1"/>
  <c r="BE85" i="8" s="1"/>
  <c r="E59" i="9"/>
  <c r="D59" i="9"/>
  <c r="G59" i="9" s="1"/>
  <c r="F59" i="9"/>
  <c r="F37" i="9"/>
  <c r="E37" i="9"/>
  <c r="D37" i="9"/>
  <c r="G37" i="9" s="1"/>
  <c r="D32" i="9"/>
  <c r="G32" i="9" s="1"/>
  <c r="F32" i="9"/>
  <c r="E32" i="9"/>
  <c r="F21" i="9"/>
  <c r="E21" i="9"/>
  <c r="D21" i="9"/>
  <c r="G21" i="9" s="1"/>
  <c r="BC95" i="8"/>
  <c r="BD95" i="8" s="1"/>
  <c r="BE95" i="8" s="1"/>
  <c r="AT50" i="8"/>
  <c r="AU50" i="8" s="1"/>
  <c r="AV50" i="8"/>
  <c r="AV26" i="8"/>
  <c r="AT26" i="8"/>
  <c r="AU26" i="8" s="1"/>
  <c r="AV22" i="8"/>
  <c r="AT22" i="8"/>
  <c r="AU22" i="8" s="1"/>
  <c r="AV12" i="8"/>
  <c r="AT12" i="8"/>
  <c r="AU12" i="8" s="1"/>
  <c r="F93" i="9"/>
  <c r="E93" i="9"/>
  <c r="D93" i="9"/>
  <c r="G93" i="9" s="1"/>
  <c r="AT105" i="8"/>
  <c r="AU105" i="8" s="1"/>
  <c r="AV105" i="8"/>
  <c r="AV37" i="8"/>
  <c r="AT37" i="8"/>
  <c r="AU37" i="8" s="1"/>
  <c r="AV43" i="8"/>
  <c r="AT43" i="8"/>
  <c r="AU43" i="8" s="1"/>
  <c r="AV49" i="8"/>
  <c r="AT49" i="8"/>
  <c r="AU49" i="8" s="1"/>
  <c r="BC53" i="8"/>
  <c r="BD53" i="8" s="1"/>
  <c r="BE53" i="8" s="1"/>
  <c r="AV57" i="8"/>
  <c r="AT57" i="8"/>
  <c r="AU57" i="8" s="1"/>
  <c r="BC61" i="8"/>
  <c r="BD61" i="8" s="1"/>
  <c r="BE61" i="8" s="1"/>
  <c r="AV65" i="8"/>
  <c r="AT65" i="8"/>
  <c r="AU65" i="8" s="1"/>
  <c r="BC69" i="8"/>
  <c r="BD69" i="8" s="1"/>
  <c r="BE69" i="8" s="1"/>
  <c r="AV73" i="8"/>
  <c r="AT73" i="8"/>
  <c r="AU73" i="8" s="1"/>
  <c r="BC77" i="8"/>
  <c r="BD77" i="8" s="1"/>
  <c r="BE77" i="8" s="1"/>
  <c r="AV81" i="8"/>
  <c r="AT81" i="8"/>
  <c r="AU81" i="8" s="1"/>
  <c r="BC86" i="8"/>
  <c r="BD86" i="8" s="1"/>
  <c r="BE86" i="8" s="1"/>
  <c r="AV90" i="8"/>
  <c r="AT90" i="8"/>
  <c r="AU90" i="8" s="1"/>
  <c r="AV96" i="8"/>
  <c r="AT96" i="8"/>
  <c r="AU96" i="8" s="1"/>
  <c r="BC116" i="8"/>
  <c r="BD116" i="8" s="1"/>
  <c r="BE116" i="8" s="1"/>
  <c r="BC100" i="8"/>
  <c r="BD100" i="8" s="1"/>
  <c r="BE100" i="8" s="1"/>
  <c r="AV104" i="8"/>
  <c r="AT104" i="8"/>
  <c r="AU104" i="8" s="1"/>
  <c r="BC108" i="8"/>
  <c r="BD108" i="8" s="1"/>
  <c r="BE108" i="8" s="1"/>
  <c r="AV113" i="8"/>
  <c r="AT113" i="8"/>
  <c r="AU113" i="8" s="1"/>
  <c r="BC117" i="8"/>
  <c r="BD117" i="8" s="1"/>
  <c r="BE117" i="8" s="1"/>
  <c r="BC44" i="8"/>
  <c r="BD44" i="8" s="1"/>
  <c r="BE44" i="8" s="1"/>
  <c r="AV32" i="8"/>
  <c r="AT32" i="8"/>
  <c r="AU32" i="8" s="1"/>
  <c r="F89" i="9"/>
  <c r="E89" i="9"/>
  <c r="D89" i="9"/>
  <c r="G89" i="9" s="1"/>
  <c r="E79" i="9"/>
  <c r="D79" i="9"/>
  <c r="G79" i="9" s="1"/>
  <c r="F79" i="9"/>
  <c r="F53" i="9"/>
  <c r="E53" i="9"/>
  <c r="D53" i="9"/>
  <c r="G53" i="9" s="1"/>
  <c r="F41" i="9"/>
  <c r="E41" i="9"/>
  <c r="D41" i="9"/>
  <c r="G41" i="9" s="1"/>
  <c r="E31" i="9"/>
  <c r="D31" i="9"/>
  <c r="G31" i="9" s="1"/>
  <c r="F31" i="9"/>
  <c r="E19" i="9"/>
  <c r="F19" i="9"/>
  <c r="D19" i="9"/>
  <c r="G19" i="9" s="1"/>
  <c r="D104" i="9"/>
  <c r="G104" i="9" s="1"/>
  <c r="F104" i="9"/>
  <c r="E104" i="9"/>
  <c r="F69" i="9"/>
  <c r="E69" i="9"/>
  <c r="D69" i="9"/>
  <c r="G69" i="9" s="1"/>
  <c r="BC87" i="8"/>
  <c r="BD87" i="8" s="1"/>
  <c r="BE87" i="8" s="1"/>
  <c r="AT48" i="8"/>
  <c r="AU48" i="8" s="1"/>
  <c r="AV48" i="8"/>
  <c r="AT25" i="8"/>
  <c r="AV25" i="8"/>
  <c r="AT21" i="8"/>
  <c r="AU21" i="8" s="1"/>
  <c r="AV21" i="8"/>
  <c r="BC13" i="8"/>
  <c r="BD13" i="8" s="1"/>
  <c r="BE13" i="8" s="1"/>
  <c r="AT11" i="8"/>
  <c r="AU11" i="8" s="1"/>
  <c r="AV11" i="8"/>
  <c r="BC7" i="8"/>
  <c r="BD7" i="8" s="1"/>
  <c r="BE7" i="8" s="1"/>
  <c r="D100" i="9"/>
  <c r="G100" i="9" s="1"/>
  <c r="F100" i="9"/>
  <c r="E100" i="9"/>
  <c r="E87" i="9"/>
  <c r="D87" i="9"/>
  <c r="G87" i="9" s="1"/>
  <c r="F87" i="9"/>
  <c r="F74" i="9"/>
  <c r="E74" i="9"/>
  <c r="D74" i="9"/>
  <c r="G74" i="9" s="1"/>
  <c r="F62" i="9"/>
  <c r="E62" i="9"/>
  <c r="D62" i="9"/>
  <c r="G62" i="9" s="1"/>
  <c r="F38" i="9"/>
  <c r="E38" i="9"/>
  <c r="D38" i="9"/>
  <c r="G38" i="9" s="1"/>
  <c r="D16" i="9"/>
  <c r="G16" i="9" s="1"/>
  <c r="F16" i="9"/>
  <c r="E16" i="9"/>
  <c r="F109" i="9"/>
  <c r="E109" i="9"/>
  <c r="D109" i="9"/>
  <c r="G109" i="9" s="1"/>
  <c r="F85" i="9"/>
  <c r="E85" i="9"/>
  <c r="D85" i="9"/>
  <c r="G85" i="9" s="1"/>
  <c r="F49" i="9"/>
  <c r="E49" i="9"/>
  <c r="D49" i="9"/>
  <c r="G49" i="9" s="1"/>
  <c r="E23" i="9"/>
  <c r="F23" i="9"/>
  <c r="D23" i="9"/>
  <c r="G23" i="9" s="1"/>
  <c r="D12" i="9"/>
  <c r="G12" i="9" s="1"/>
  <c r="E12" i="9"/>
  <c r="F12" i="9"/>
  <c r="F82" i="9"/>
  <c r="E82" i="9"/>
  <c r="D82" i="9"/>
  <c r="G82" i="9" s="1"/>
  <c r="F10" i="9"/>
  <c r="D10" i="9"/>
  <c r="G10" i="9" s="1"/>
  <c r="E10" i="9"/>
  <c r="C42" i="2"/>
  <c r="E42" i="2" s="1"/>
  <c r="M7" i="15"/>
  <c r="M8" i="15"/>
  <c r="M6" i="15"/>
  <c r="M2" i="15"/>
  <c r="M3" i="15"/>
  <c r="B11" i="2"/>
  <c r="AT114" i="8"/>
  <c r="AV114" i="8"/>
  <c r="BC112" i="8"/>
  <c r="BD112" i="8" s="1"/>
  <c r="BE112" i="8" s="1"/>
  <c r="BC103" i="8"/>
  <c r="BD103" i="8" s="1"/>
  <c r="BE103" i="8" s="1"/>
  <c r="BC99" i="8"/>
  <c r="BD99" i="8" s="1"/>
  <c r="BE99" i="8" s="1"/>
  <c r="AV97" i="8"/>
  <c r="AT97" i="8"/>
  <c r="AU97" i="8" s="1"/>
  <c r="AV95" i="8"/>
  <c r="AT95" i="8"/>
  <c r="AU95" i="8" s="1"/>
  <c r="AV93" i="8"/>
  <c r="AT93" i="8"/>
  <c r="AU93" i="8" s="1"/>
  <c r="AV91" i="8"/>
  <c r="AT91" i="8"/>
  <c r="AU91" i="8" s="1"/>
  <c r="AV89" i="8"/>
  <c r="AT89" i="8"/>
  <c r="AU89" i="8" s="1"/>
  <c r="AV87" i="8"/>
  <c r="AT87" i="8"/>
  <c r="AU87" i="8" s="1"/>
  <c r="AV85" i="8"/>
  <c r="AT85" i="8"/>
  <c r="AU85" i="8" s="1"/>
  <c r="AV83" i="8"/>
  <c r="AT83" i="8"/>
  <c r="AU83" i="8" s="1"/>
  <c r="AT82" i="8"/>
  <c r="AU82" i="8" s="1"/>
  <c r="AV82" i="8"/>
  <c r="AT80" i="8"/>
  <c r="AU80" i="8" s="1"/>
  <c r="AV80" i="8"/>
  <c r="BC78" i="8"/>
  <c r="BD78" i="8" s="1"/>
  <c r="BE78" i="8" s="1"/>
  <c r="BC76" i="8"/>
  <c r="BD76" i="8" s="1"/>
  <c r="BE76" i="8" s="1"/>
  <c r="AT72" i="8"/>
  <c r="AU72" i="8" s="1"/>
  <c r="AV72" i="8"/>
  <c r="AT68" i="8"/>
  <c r="AU68" i="8" s="1"/>
  <c r="AV68" i="8"/>
  <c r="BC66" i="8"/>
  <c r="BD66" i="8" s="1"/>
  <c r="BE66" i="8" s="1"/>
  <c r="AT64" i="8"/>
  <c r="AU64" i="8" s="1"/>
  <c r="AV64" i="8"/>
  <c r="AT60" i="8"/>
  <c r="AU60" i="8" s="1"/>
  <c r="AV60" i="8"/>
  <c r="BC93" i="8"/>
  <c r="BD93" i="8" s="1"/>
  <c r="BE93" i="8" s="1"/>
  <c r="D60" i="9"/>
  <c r="G60" i="9" s="1"/>
  <c r="F60" i="9"/>
  <c r="E60" i="9"/>
  <c r="F33" i="9"/>
  <c r="E33" i="9"/>
  <c r="D33" i="9"/>
  <c r="G33" i="9" s="1"/>
  <c r="BC83" i="8"/>
  <c r="BD83" i="8" s="1"/>
  <c r="BE83" i="8" s="1"/>
  <c r="AT54" i="8"/>
  <c r="AU54" i="8" s="1"/>
  <c r="AV54" i="8"/>
  <c r="AV28" i="8"/>
  <c r="AT28" i="8"/>
  <c r="AU28" i="8" s="1"/>
  <c r="AV14" i="8"/>
  <c r="AT14" i="8"/>
  <c r="AU14" i="8" s="1"/>
  <c r="F46" i="9"/>
  <c r="E46" i="9"/>
  <c r="D46" i="9"/>
  <c r="G46" i="9" s="1"/>
  <c r="BC101" i="8"/>
  <c r="BD101" i="8" s="1"/>
  <c r="BE101" i="8" s="1"/>
  <c r="AT107" i="8"/>
  <c r="AV107" i="8"/>
  <c r="BC39" i="8"/>
  <c r="BD39" i="8" s="1"/>
  <c r="BE39" i="8" s="1"/>
  <c r="BC45" i="8"/>
  <c r="BD45" i="8" s="1"/>
  <c r="BE45" i="8" s="1"/>
  <c r="BC51" i="8"/>
  <c r="BD51" i="8" s="1"/>
  <c r="BE51" i="8" s="1"/>
  <c r="AV55" i="8"/>
  <c r="AT55" i="8"/>
  <c r="AU55" i="8" s="1"/>
  <c r="BC59" i="8"/>
  <c r="BD59" i="8" s="1"/>
  <c r="BE59" i="8" s="1"/>
  <c r="AV63" i="8"/>
  <c r="AT63" i="8"/>
  <c r="AU63" i="8" s="1"/>
  <c r="BC67" i="8"/>
  <c r="BD67" i="8" s="1"/>
  <c r="BE67" i="8" s="1"/>
  <c r="AV71" i="8"/>
  <c r="AT71" i="8"/>
  <c r="AU71" i="8" s="1"/>
  <c r="BC75" i="8"/>
  <c r="BD75" i="8" s="1"/>
  <c r="BE75" i="8" s="1"/>
  <c r="AV79" i="8"/>
  <c r="AT79" i="8"/>
  <c r="AU79" i="8" s="1"/>
  <c r="BC84" i="8"/>
  <c r="BD84" i="8" s="1"/>
  <c r="BE84" i="8" s="1"/>
  <c r="AV88" i="8"/>
  <c r="AT88" i="8"/>
  <c r="AU88" i="8" s="1"/>
  <c r="BC92" i="8"/>
  <c r="BD92" i="8" s="1"/>
  <c r="BE92" i="8" s="1"/>
  <c r="BC98" i="8"/>
  <c r="BD98" i="8" s="1"/>
  <c r="BE98" i="8" s="1"/>
  <c r="AV102" i="8"/>
  <c r="AT102" i="8"/>
  <c r="AU102" i="8" s="1"/>
  <c r="BC106" i="8"/>
  <c r="BD106" i="8" s="1"/>
  <c r="BE106" i="8" s="1"/>
  <c r="AV111" i="8"/>
  <c r="AT111" i="8"/>
  <c r="BC115" i="8"/>
  <c r="BD115" i="8" s="1"/>
  <c r="BE115" i="8" s="1"/>
  <c r="AT109" i="8"/>
  <c r="AU109" i="8" s="1"/>
  <c r="AV109" i="8"/>
  <c r="BC89" i="8"/>
  <c r="BD89" i="8" s="1"/>
  <c r="BE89" i="8" s="1"/>
  <c r="AT44" i="8"/>
  <c r="AU44" i="8" s="1"/>
  <c r="AV44" i="8"/>
  <c r="F102" i="9"/>
  <c r="E102" i="9"/>
  <c r="D102" i="9"/>
  <c r="G102" i="9" s="1"/>
  <c r="F77" i="9"/>
  <c r="E77" i="9"/>
  <c r="D77" i="9"/>
  <c r="G77" i="9" s="1"/>
  <c r="E67" i="9"/>
  <c r="D67" i="9"/>
  <c r="G67" i="9" s="1"/>
  <c r="F67" i="9"/>
  <c r="F29" i="9"/>
  <c r="E29" i="9"/>
  <c r="D29" i="9"/>
  <c r="G29" i="9" s="1"/>
  <c r="F18" i="9"/>
  <c r="E18" i="9"/>
  <c r="D18" i="9"/>
  <c r="G18" i="9" s="1"/>
  <c r="F6" i="9"/>
  <c r="E6" i="9"/>
  <c r="D6" i="9"/>
  <c r="G6" i="9" s="1"/>
  <c r="F105" i="9"/>
  <c r="E105" i="9"/>
  <c r="D105" i="9"/>
  <c r="G105" i="9" s="1"/>
  <c r="F58" i="9"/>
  <c r="E58" i="9"/>
  <c r="D58" i="9"/>
  <c r="G58" i="9" s="1"/>
  <c r="BC27" i="8"/>
  <c r="BD27" i="8" s="1"/>
  <c r="BE27" i="8" s="1"/>
  <c r="AT23" i="8"/>
  <c r="AV23" i="8"/>
  <c r="AT19" i="8"/>
  <c r="AU19" i="8" s="1"/>
  <c r="AV19" i="8"/>
  <c r="AT17" i="8"/>
  <c r="AV17" i="8"/>
  <c r="AT15" i="8"/>
  <c r="AU15" i="8" s="1"/>
  <c r="AV15" i="8"/>
  <c r="BC9" i="8"/>
  <c r="BD9" i="8" s="1"/>
  <c r="BE9" i="8" s="1"/>
  <c r="AT5" i="8"/>
  <c r="AV5" i="8"/>
  <c r="D88" i="9"/>
  <c r="G88" i="9" s="1"/>
  <c r="F88" i="9"/>
  <c r="E88" i="9"/>
  <c r="D76" i="9"/>
  <c r="G76" i="9" s="1"/>
  <c r="F76" i="9"/>
  <c r="E76" i="9"/>
  <c r="E63" i="9"/>
  <c r="D63" i="9"/>
  <c r="G63" i="9" s="1"/>
  <c r="F63" i="9"/>
  <c r="E51" i="9"/>
  <c r="D51" i="9"/>
  <c r="G51" i="9" s="1"/>
  <c r="F51" i="9"/>
  <c r="E39" i="9"/>
  <c r="D39" i="9"/>
  <c r="G39" i="9" s="1"/>
  <c r="F39" i="9"/>
  <c r="F26" i="9"/>
  <c r="D26" i="9"/>
  <c r="G26" i="9" s="1"/>
  <c r="E26" i="9"/>
  <c r="F2" i="9"/>
  <c r="E2" i="9"/>
  <c r="D2" i="9"/>
  <c r="G2" i="9" s="1"/>
  <c r="E95" i="9"/>
  <c r="D95" i="9"/>
  <c r="G95" i="9" s="1"/>
  <c r="F95" i="9"/>
  <c r="E71" i="9"/>
  <c r="D71" i="9"/>
  <c r="G71" i="9" s="1"/>
  <c r="F71" i="9"/>
  <c r="D24" i="9"/>
  <c r="G24" i="9" s="1"/>
  <c r="F24" i="9"/>
  <c r="E24" i="9"/>
  <c r="E13" i="9"/>
  <c r="D13" i="9"/>
  <c r="G13" i="9" s="1"/>
  <c r="F13" i="9"/>
  <c r="D80" i="9"/>
  <c r="G80" i="9" s="1"/>
  <c r="F80" i="9"/>
  <c r="E80" i="9"/>
  <c r="D8" i="9"/>
  <c r="G8" i="9" s="1"/>
  <c r="F8" i="9"/>
  <c r="E8" i="9"/>
  <c r="C40" i="2"/>
  <c r="E40" i="2" s="1"/>
  <c r="C44" i="2"/>
  <c r="E44" i="2" s="1"/>
  <c r="BA21" i="8"/>
  <c r="BC21" i="8" s="1"/>
  <c r="BD21" i="8" s="1"/>
  <c r="B33" i="19" l="1"/>
  <c r="BE21" i="8"/>
  <c r="C33" i="19" s="1"/>
  <c r="O2" i="10"/>
  <c r="AU5" i="8"/>
  <c r="AW102" i="8"/>
  <c r="BF102" i="8"/>
  <c r="AX102" i="8"/>
  <c r="BF54" i="8"/>
  <c r="AX54" i="8"/>
  <c r="AW54" i="8"/>
  <c r="AW71" i="8"/>
  <c r="BF71" i="8"/>
  <c r="AX71" i="8"/>
  <c r="AU107" i="8"/>
  <c r="O9" i="10"/>
  <c r="BF15" i="8"/>
  <c r="AX15" i="8"/>
  <c r="AW15" i="8"/>
  <c r="BF19" i="8"/>
  <c r="AX19" i="8"/>
  <c r="AW19" i="8"/>
  <c r="AW109" i="8"/>
  <c r="BF109" i="8"/>
  <c r="AX109" i="8"/>
  <c r="AW79" i="8"/>
  <c r="BF79" i="8"/>
  <c r="AX79" i="8"/>
  <c r="AW14" i="8"/>
  <c r="BF14" i="8"/>
  <c r="AX14" i="8"/>
  <c r="BF68" i="8"/>
  <c r="AX68" i="8"/>
  <c r="AW68" i="8"/>
  <c r="BF82" i="8"/>
  <c r="AX82" i="8"/>
  <c r="AW82" i="8"/>
  <c r="AW90" i="8"/>
  <c r="BF90" i="8"/>
  <c r="AX90" i="8"/>
  <c r="AW57" i="8"/>
  <c r="BF57" i="8"/>
  <c r="AX57" i="8"/>
  <c r="AW22" i="8"/>
  <c r="BF22" i="8"/>
  <c r="AX22" i="8"/>
  <c r="AW115" i="8"/>
  <c r="BF115" i="8"/>
  <c r="AX115" i="8"/>
  <c r="AW84" i="8"/>
  <c r="BF84" i="8"/>
  <c r="AX84" i="8"/>
  <c r="AW51" i="8"/>
  <c r="BF51" i="8"/>
  <c r="AX51" i="8"/>
  <c r="BF101" i="8"/>
  <c r="AX101" i="8"/>
  <c r="AW101" i="8"/>
  <c r="BF40" i="8"/>
  <c r="AX40" i="8"/>
  <c r="AW40" i="8"/>
  <c r="AW108" i="8"/>
  <c r="BF108" i="8"/>
  <c r="AX108" i="8"/>
  <c r="AW77" i="8"/>
  <c r="BF77" i="8"/>
  <c r="AX77" i="8"/>
  <c r="AW47" i="8"/>
  <c r="BF47" i="8"/>
  <c r="AX47" i="8"/>
  <c r="AX116" i="8"/>
  <c r="AW116" i="8"/>
  <c r="BF116" i="8"/>
  <c r="AW31" i="8"/>
  <c r="BF31" i="8"/>
  <c r="AX31" i="8"/>
  <c r="AW35" i="8"/>
  <c r="BF35" i="8"/>
  <c r="AX35" i="8"/>
  <c r="BF42" i="8"/>
  <c r="AX42" i="8"/>
  <c r="AW42" i="8"/>
  <c r="BF74" i="8"/>
  <c r="AX74" i="8"/>
  <c r="AW74" i="8"/>
  <c r="AW88" i="8"/>
  <c r="BF88" i="8"/>
  <c r="AX88" i="8"/>
  <c r="AX83" i="8"/>
  <c r="AW83" i="8"/>
  <c r="BF83" i="8"/>
  <c r="AX87" i="8"/>
  <c r="AW87" i="8"/>
  <c r="BF87" i="8"/>
  <c r="AX91" i="8"/>
  <c r="AW91" i="8"/>
  <c r="BF91" i="8"/>
  <c r="AX95" i="8"/>
  <c r="AW95" i="8"/>
  <c r="BF95" i="8"/>
  <c r="AU114" i="8"/>
  <c r="O16" i="10"/>
  <c r="B31" i="19"/>
  <c r="BF21" i="8"/>
  <c r="AX21" i="8"/>
  <c r="B32" i="19" s="1"/>
  <c r="AW21" i="8"/>
  <c r="C31" i="19" s="1"/>
  <c r="BF48" i="8"/>
  <c r="AX48" i="8"/>
  <c r="AW48" i="8"/>
  <c r="AW65" i="8"/>
  <c r="BF65" i="8"/>
  <c r="AX65" i="8"/>
  <c r="AW43" i="8"/>
  <c r="BF43" i="8"/>
  <c r="AX43" i="8"/>
  <c r="BF50" i="8"/>
  <c r="AX50" i="8"/>
  <c r="AW50" i="8"/>
  <c r="BF76" i="8"/>
  <c r="AX76" i="8"/>
  <c r="AW76" i="8"/>
  <c r="BF38" i="8"/>
  <c r="AX38" i="8"/>
  <c r="AW38" i="8"/>
  <c r="BF56" i="8"/>
  <c r="AX56" i="8"/>
  <c r="AW56" i="8"/>
  <c r="AW92" i="8"/>
  <c r="BF92" i="8"/>
  <c r="AX92" i="8"/>
  <c r="AW59" i="8"/>
  <c r="BF59" i="8"/>
  <c r="AX59" i="8"/>
  <c r="AX112" i="8"/>
  <c r="AW112" i="8"/>
  <c r="BF112" i="8"/>
  <c r="O14" i="10"/>
  <c r="AU20" i="8"/>
  <c r="BF46" i="8"/>
  <c r="AX46" i="8"/>
  <c r="AW46" i="8"/>
  <c r="BF103" i="8"/>
  <c r="AX103" i="8"/>
  <c r="AW103" i="8"/>
  <c r="O15" i="10"/>
  <c r="AU27" i="8"/>
  <c r="AW30" i="8"/>
  <c r="BF30" i="8"/>
  <c r="AX30" i="8"/>
  <c r="AW117" i="8"/>
  <c r="BF117" i="8"/>
  <c r="AX117" i="8"/>
  <c r="AW86" i="8"/>
  <c r="BF86" i="8"/>
  <c r="AX86" i="8"/>
  <c r="AW53" i="8"/>
  <c r="BF53" i="8"/>
  <c r="AX53" i="8"/>
  <c r="O3" i="10"/>
  <c r="AU6" i="8"/>
  <c r="BF10" i="8"/>
  <c r="AX10" i="8"/>
  <c r="AW10" i="8"/>
  <c r="AW24" i="8"/>
  <c r="BF24" i="8"/>
  <c r="AX24" i="8"/>
  <c r="BF70" i="8"/>
  <c r="AX70" i="8"/>
  <c r="AW70" i="8"/>
  <c r="BF44" i="8"/>
  <c r="AX44" i="8"/>
  <c r="AW44" i="8"/>
  <c r="AW55" i="8"/>
  <c r="BF55" i="8"/>
  <c r="AX55" i="8"/>
  <c r="BF64" i="8"/>
  <c r="AX64" i="8"/>
  <c r="AW64" i="8"/>
  <c r="O7" i="10"/>
  <c r="AU23" i="8"/>
  <c r="O13" i="10"/>
  <c r="AU111" i="8"/>
  <c r="AW63" i="8"/>
  <c r="BF63" i="8"/>
  <c r="AX63" i="8"/>
  <c r="AW28" i="8"/>
  <c r="BF28" i="8"/>
  <c r="AX28" i="8"/>
  <c r="BF72" i="8"/>
  <c r="AX72" i="8"/>
  <c r="AW72" i="8"/>
  <c r="BF80" i="8"/>
  <c r="AX80" i="8"/>
  <c r="AW80" i="8"/>
  <c r="BF11" i="8"/>
  <c r="AX11" i="8"/>
  <c r="AW11" i="8"/>
  <c r="AW104" i="8"/>
  <c r="BF104" i="8"/>
  <c r="AX104" i="8"/>
  <c r="AW96" i="8"/>
  <c r="BF96" i="8"/>
  <c r="AX96" i="8"/>
  <c r="AW73" i="8"/>
  <c r="BF73" i="8"/>
  <c r="AX73" i="8"/>
  <c r="BF105" i="8"/>
  <c r="AX105" i="8"/>
  <c r="AW105" i="8"/>
  <c r="AW12" i="8"/>
  <c r="BF12" i="8"/>
  <c r="AX12" i="8"/>
  <c r="AW26" i="8"/>
  <c r="BF26" i="8"/>
  <c r="AX26" i="8"/>
  <c r="BF9" i="8"/>
  <c r="AX9" i="8"/>
  <c r="AW9" i="8"/>
  <c r="AW98" i="8"/>
  <c r="BF98" i="8"/>
  <c r="AX98" i="8"/>
  <c r="AW67" i="8"/>
  <c r="BF67" i="8"/>
  <c r="AX67" i="8"/>
  <c r="O4" i="10"/>
  <c r="AU39" i="8"/>
  <c r="BF58" i="8"/>
  <c r="AX58" i="8"/>
  <c r="AW58" i="8"/>
  <c r="BF13" i="8"/>
  <c r="AX13" i="8"/>
  <c r="AW13" i="8"/>
  <c r="AW94" i="8"/>
  <c r="BF94" i="8"/>
  <c r="AX94" i="8"/>
  <c r="AW61" i="8"/>
  <c r="BF61" i="8"/>
  <c r="AX61" i="8"/>
  <c r="AU110" i="8"/>
  <c r="O10" i="10"/>
  <c r="AW29" i="8"/>
  <c r="BF29" i="8"/>
  <c r="AX29" i="8"/>
  <c r="AW33" i="8"/>
  <c r="BF33" i="8"/>
  <c r="AX33" i="8"/>
  <c r="BF36" i="8"/>
  <c r="AX36" i="8"/>
  <c r="AW36" i="8"/>
  <c r="O5" i="10"/>
  <c r="AU17" i="8"/>
  <c r="BF60" i="8"/>
  <c r="AX60" i="8"/>
  <c r="AW60" i="8"/>
  <c r="AX85" i="8"/>
  <c r="AW85" i="8"/>
  <c r="BF85" i="8"/>
  <c r="AX89" i="8"/>
  <c r="AW89" i="8"/>
  <c r="BF89" i="8"/>
  <c r="AX93" i="8"/>
  <c r="AW93" i="8"/>
  <c r="BF93" i="8"/>
  <c r="AX97" i="8"/>
  <c r="AW97" i="8"/>
  <c r="BF97" i="8"/>
  <c r="O8" i="10"/>
  <c r="AU25" i="8"/>
  <c r="AW32" i="8"/>
  <c r="BF32" i="8"/>
  <c r="AX32" i="8"/>
  <c r="AW113" i="8"/>
  <c r="BF113" i="8"/>
  <c r="AX113" i="8"/>
  <c r="AW81" i="8"/>
  <c r="BF81" i="8"/>
  <c r="AX81" i="8"/>
  <c r="AW49" i="8"/>
  <c r="BF49" i="8"/>
  <c r="AX49" i="8"/>
  <c r="AW37" i="8"/>
  <c r="BF37" i="8"/>
  <c r="AX37" i="8"/>
  <c r="BF66" i="8"/>
  <c r="AX66" i="8"/>
  <c r="AW66" i="8"/>
  <c r="BF78" i="8"/>
  <c r="AX78" i="8"/>
  <c r="AW78" i="8"/>
  <c r="B10" i="2"/>
  <c r="BF52" i="8"/>
  <c r="AX52" i="8"/>
  <c r="AW52" i="8"/>
  <c r="O6" i="10"/>
  <c r="AU106" i="8"/>
  <c r="AW75" i="8"/>
  <c r="BF75" i="8"/>
  <c r="AX75" i="8"/>
  <c r="AW45" i="8"/>
  <c r="BF45" i="8"/>
  <c r="AX45" i="8"/>
  <c r="O11" i="10"/>
  <c r="AU18" i="8"/>
  <c r="BF62" i="8"/>
  <c r="AX62" i="8"/>
  <c r="AW62" i="8"/>
  <c r="BF99" i="8"/>
  <c r="AX99" i="8"/>
  <c r="AW99" i="8"/>
  <c r="BF7" i="8"/>
  <c r="AX7" i="8"/>
  <c r="AW7" i="8"/>
  <c r="AW34" i="8"/>
  <c r="BF34" i="8"/>
  <c r="AX34" i="8"/>
  <c r="AW100" i="8"/>
  <c r="BF100" i="8"/>
  <c r="AX100" i="8"/>
  <c r="AW69" i="8"/>
  <c r="BF69" i="8"/>
  <c r="AX69" i="8"/>
  <c r="AW41" i="8"/>
  <c r="BF41" i="8"/>
  <c r="AX41" i="8"/>
  <c r="O12" i="10"/>
  <c r="AU8" i="8"/>
  <c r="AW16" i="8"/>
  <c r="BF16" i="8"/>
  <c r="AX16" i="8"/>
  <c r="M493" i="13" l="1"/>
  <c r="M489" i="13"/>
  <c r="M494" i="13"/>
  <c r="M490" i="13"/>
  <c r="M491" i="13"/>
  <c r="M492" i="13"/>
  <c r="BH100" i="8"/>
  <c r="H2092" i="12" s="1"/>
  <c r="I2092" i="12" s="1"/>
  <c r="BW100" i="8" s="1"/>
  <c r="BI100" i="8"/>
  <c r="M184" i="13"/>
  <c r="M180" i="13"/>
  <c r="M181" i="13"/>
  <c r="M182" i="13"/>
  <c r="M183" i="13"/>
  <c r="M179" i="13"/>
  <c r="BH33" i="8"/>
  <c r="H618" i="12" s="1"/>
  <c r="I618" i="12" s="1"/>
  <c r="BW33" i="8" s="1"/>
  <c r="BI33" i="8"/>
  <c r="M317" i="13"/>
  <c r="M318" i="13"/>
  <c r="BI61" i="8"/>
  <c r="BH61" i="8"/>
  <c r="H1234" i="12" s="1"/>
  <c r="I1234" i="12" s="1"/>
  <c r="BW61" i="8" s="1"/>
  <c r="M335" i="13"/>
  <c r="M334" i="13"/>
  <c r="M336" i="13"/>
  <c r="BI73" i="8"/>
  <c r="BH73" i="8"/>
  <c r="H1498" i="12" s="1"/>
  <c r="I1498" i="12" s="1"/>
  <c r="BW73" i="8" s="1"/>
  <c r="M331" i="13"/>
  <c r="M333" i="13"/>
  <c r="M332" i="13"/>
  <c r="BI72" i="8"/>
  <c r="BH72" i="8"/>
  <c r="H1476" i="12" s="1"/>
  <c r="I1476" i="12" s="1"/>
  <c r="BW72" i="8" s="1"/>
  <c r="M80" i="13"/>
  <c r="M81" i="13"/>
  <c r="M82" i="13"/>
  <c r="M83" i="13"/>
  <c r="M79" i="13"/>
  <c r="BI24" i="8"/>
  <c r="BH24" i="8"/>
  <c r="H420" i="12" s="1"/>
  <c r="I420" i="12" s="1"/>
  <c r="BW24" i="8" s="1"/>
  <c r="M48" i="13"/>
  <c r="M49" i="13"/>
  <c r="M45" i="13"/>
  <c r="M46" i="13"/>
  <c r="M47" i="13"/>
  <c r="M44" i="13"/>
  <c r="BH10" i="8"/>
  <c r="H112" i="12" s="1"/>
  <c r="I112" i="12" s="1"/>
  <c r="BW10" i="8" s="1"/>
  <c r="BI10" i="8"/>
  <c r="M327" i="13"/>
  <c r="M326" i="13"/>
  <c r="BI53" i="8"/>
  <c r="BH53" i="8"/>
  <c r="H1058" i="12" s="1"/>
  <c r="I1058" i="12" s="1"/>
  <c r="BW53" i="8" s="1"/>
  <c r="M433" i="13"/>
  <c r="M429" i="13"/>
  <c r="M430" i="13"/>
  <c r="M431" i="13"/>
  <c r="M432" i="13"/>
  <c r="BH92" i="8"/>
  <c r="H1916" i="12" s="1"/>
  <c r="I1916" i="12" s="1"/>
  <c r="BW92" i="8" s="1"/>
  <c r="BI92" i="8"/>
  <c r="M304" i="13"/>
  <c r="M305" i="13"/>
  <c r="M306" i="13"/>
  <c r="M303" i="13"/>
  <c r="BH56" i="8"/>
  <c r="H1124" i="12" s="1"/>
  <c r="I1124" i="12" s="1"/>
  <c r="BW56" i="8" s="1"/>
  <c r="BI56" i="8"/>
  <c r="AX114" i="8"/>
  <c r="AW114" i="8"/>
  <c r="BF114" i="8"/>
  <c r="M425" i="13"/>
  <c r="M426" i="13"/>
  <c r="M427" i="13"/>
  <c r="M424" i="13"/>
  <c r="M428" i="13"/>
  <c r="BH91" i="8"/>
  <c r="H1894" i="12" s="1"/>
  <c r="I1894" i="12" s="1"/>
  <c r="BW91" i="8" s="1"/>
  <c r="BI91" i="8"/>
  <c r="M499" i="13"/>
  <c r="M500" i="13"/>
  <c r="BH116" i="8"/>
  <c r="H2444" i="12" s="1"/>
  <c r="I2444" i="12" s="1"/>
  <c r="BW116" i="8" s="1"/>
  <c r="BI116" i="8"/>
  <c r="M208" i="13"/>
  <c r="M209" i="13"/>
  <c r="M210" i="13"/>
  <c r="M211" i="13"/>
  <c r="BI47" i="8"/>
  <c r="BH47" i="8"/>
  <c r="H926" i="12" s="1"/>
  <c r="I926" i="12" s="1"/>
  <c r="BW47" i="8" s="1"/>
  <c r="M153" i="13"/>
  <c r="M154" i="13"/>
  <c r="M155" i="13"/>
  <c r="BI22" i="8"/>
  <c r="BH22" i="8"/>
  <c r="H376" i="12" s="1"/>
  <c r="I376" i="12" s="1"/>
  <c r="BW22" i="8" s="1"/>
  <c r="M72" i="13"/>
  <c r="M68" i="13"/>
  <c r="M69" i="13"/>
  <c r="M70" i="13"/>
  <c r="M71" i="13"/>
  <c r="BI15" i="8"/>
  <c r="BH15" i="8"/>
  <c r="H222" i="12" s="1"/>
  <c r="I222" i="12" s="1"/>
  <c r="BW15" i="8" s="1"/>
  <c r="M375" i="13"/>
  <c r="M376" i="13"/>
  <c r="M377" i="13"/>
  <c r="M373" i="13"/>
  <c r="M374" i="13"/>
  <c r="BI71" i="8"/>
  <c r="BH71" i="8"/>
  <c r="H1454" i="12" s="1"/>
  <c r="I1454" i="12" s="1"/>
  <c r="BW71" i="8" s="1"/>
  <c r="M300" i="13"/>
  <c r="M301" i="13"/>
  <c r="M297" i="13"/>
  <c r="M302" i="13"/>
  <c r="M298" i="13"/>
  <c r="M299" i="13"/>
  <c r="BH54" i="8"/>
  <c r="H1080" i="12" s="1"/>
  <c r="I1080" i="12" s="1"/>
  <c r="BW54" i="8" s="1"/>
  <c r="BI54" i="8"/>
  <c r="AX5" i="8"/>
  <c r="B8" i="2"/>
  <c r="AW5" i="8"/>
  <c r="C26" i="2"/>
  <c r="C25" i="2"/>
  <c r="C24" i="2"/>
  <c r="E24" i="2" s="1"/>
  <c r="C23" i="2"/>
  <c r="C22" i="2"/>
  <c r="C21" i="2"/>
  <c r="B26" i="2"/>
  <c r="B25" i="2"/>
  <c r="B24" i="2"/>
  <c r="B23" i="2"/>
  <c r="B22" i="2"/>
  <c r="D22" i="2" s="1"/>
  <c r="B21" i="2"/>
  <c r="BF5" i="8"/>
  <c r="M347" i="13"/>
  <c r="M343" i="13"/>
  <c r="M345" i="13"/>
  <c r="M342" i="13"/>
  <c r="M346" i="13"/>
  <c r="M344" i="13"/>
  <c r="BH75" i="8"/>
  <c r="H1542" i="12" s="1"/>
  <c r="I1542" i="12" s="1"/>
  <c r="BW75" i="8" s="1"/>
  <c r="BI75" i="8"/>
  <c r="M10" i="13"/>
  <c r="M11" i="13"/>
  <c r="M453" i="13"/>
  <c r="M449" i="13"/>
  <c r="M450" i="13"/>
  <c r="M451" i="13"/>
  <c r="M452" i="13"/>
  <c r="M448" i="13"/>
  <c r="BH85" i="8"/>
  <c r="H1762" i="12" s="1"/>
  <c r="I1762" i="12" s="1"/>
  <c r="BW85" i="8" s="1"/>
  <c r="BI85" i="8"/>
  <c r="M144" i="13"/>
  <c r="M145" i="13"/>
  <c r="M146" i="13"/>
  <c r="M143" i="13"/>
  <c r="BI16" i="8"/>
  <c r="BH16" i="8"/>
  <c r="H244" i="12" s="1"/>
  <c r="I244" i="12" s="1"/>
  <c r="BW16" i="8" s="1"/>
  <c r="M329" i="13"/>
  <c r="M330" i="13"/>
  <c r="M328" i="13"/>
  <c r="BH69" i="8"/>
  <c r="H1410" i="12" s="1"/>
  <c r="I1410" i="12" s="1"/>
  <c r="BW69" i="8" s="1"/>
  <c r="BI69" i="8"/>
  <c r="M284" i="13"/>
  <c r="M280" i="13"/>
  <c r="M281" i="13"/>
  <c r="M282" i="13"/>
  <c r="M283" i="13"/>
  <c r="BI62" i="8"/>
  <c r="BH62" i="8"/>
  <c r="H1256" i="12" s="1"/>
  <c r="I1256" i="12" s="1"/>
  <c r="BW62" i="8" s="1"/>
  <c r="M236" i="13"/>
  <c r="M237" i="13"/>
  <c r="M234" i="13"/>
  <c r="M235" i="13"/>
  <c r="BI45" i="8"/>
  <c r="BH45" i="8"/>
  <c r="H882" i="12" s="1"/>
  <c r="I882" i="12" s="1"/>
  <c r="BW45" i="8" s="1"/>
  <c r="M292" i="13"/>
  <c r="M289" i="13"/>
  <c r="M290" i="13"/>
  <c r="M291" i="13"/>
  <c r="BI66" i="8"/>
  <c r="BH66" i="8"/>
  <c r="H1344" i="12" s="1"/>
  <c r="I1344" i="12" s="1"/>
  <c r="BW66" i="8" s="1"/>
  <c r="M391" i="13"/>
  <c r="M392" i="13"/>
  <c r="M393" i="13"/>
  <c r="M390" i="13"/>
  <c r="BH81" i="8"/>
  <c r="H1674" i="12" s="1"/>
  <c r="I1674" i="12" s="1"/>
  <c r="BW81" i="8" s="1"/>
  <c r="BI81" i="8"/>
  <c r="BF25" i="8"/>
  <c r="AX25" i="8"/>
  <c r="AW25" i="8"/>
  <c r="M461" i="13"/>
  <c r="M462" i="13"/>
  <c r="M463" i="13"/>
  <c r="M459" i="13"/>
  <c r="M464" i="13"/>
  <c r="M460" i="13"/>
  <c r="BH89" i="8"/>
  <c r="H1850" i="12" s="1"/>
  <c r="I1850" i="12" s="1"/>
  <c r="BW89" i="8" s="1"/>
  <c r="BI89" i="8"/>
  <c r="M316" i="13"/>
  <c r="M312" i="13"/>
  <c r="M313" i="13"/>
  <c r="M314" i="13"/>
  <c r="M315" i="13"/>
  <c r="BI60" i="8"/>
  <c r="BH60" i="8"/>
  <c r="H1212" i="12" s="1"/>
  <c r="I1212" i="12" s="1"/>
  <c r="BW60" i="8" s="1"/>
  <c r="M481" i="13"/>
  <c r="M477" i="13"/>
  <c r="M482" i="13"/>
  <c r="M478" i="13"/>
  <c r="M479" i="13"/>
  <c r="M480" i="13"/>
  <c r="BH98" i="8"/>
  <c r="H2048" i="12" s="1"/>
  <c r="I2048" i="12" s="1"/>
  <c r="BW98" i="8" s="1"/>
  <c r="BI98" i="8"/>
  <c r="M42" i="13"/>
  <c r="M38" i="13"/>
  <c r="M43" i="13"/>
  <c r="M39" i="13"/>
  <c r="M41" i="13"/>
  <c r="M40" i="13"/>
  <c r="BI9" i="8"/>
  <c r="BH9" i="8"/>
  <c r="H90" i="12" s="1"/>
  <c r="I90" i="12" s="1"/>
  <c r="BW9" i="8" s="1"/>
  <c r="M359" i="13"/>
  <c r="M357" i="13"/>
  <c r="M358" i="13"/>
  <c r="BI80" i="8"/>
  <c r="BH80" i="8"/>
  <c r="H1652" i="12" s="1"/>
  <c r="I1652" i="12" s="1"/>
  <c r="BW80" i="8" s="1"/>
  <c r="M320" i="13"/>
  <c r="M319" i="13"/>
  <c r="BI63" i="8"/>
  <c r="BH63" i="8"/>
  <c r="H1278" i="12" s="1"/>
  <c r="I1278" i="12" s="1"/>
  <c r="BW63" i="8" s="1"/>
  <c r="BF23" i="8"/>
  <c r="AX23" i="8"/>
  <c r="AW23" i="8"/>
  <c r="M288" i="13"/>
  <c r="M285" i="13"/>
  <c r="M286" i="13"/>
  <c r="M287" i="13"/>
  <c r="BI64" i="8"/>
  <c r="BH64" i="8"/>
  <c r="H1300" i="12" s="1"/>
  <c r="I1300" i="12" s="1"/>
  <c r="BW64" i="8" s="1"/>
  <c r="AW6" i="8"/>
  <c r="BF6" i="8"/>
  <c r="AX6" i="8"/>
  <c r="M160" i="13"/>
  <c r="M156" i="13"/>
  <c r="M157" i="13"/>
  <c r="M158" i="13"/>
  <c r="M159" i="13"/>
  <c r="BI30" i="8"/>
  <c r="BH30" i="8"/>
  <c r="H552" i="12" s="1"/>
  <c r="I552" i="12" s="1"/>
  <c r="BW30" i="8" s="1"/>
  <c r="M13" i="13"/>
  <c r="M12" i="13"/>
  <c r="M339" i="13"/>
  <c r="M341" i="13"/>
  <c r="M337" i="13"/>
  <c r="M340" i="13"/>
  <c r="M338" i="13"/>
  <c r="BI59" i="8"/>
  <c r="BH59" i="8"/>
  <c r="H1190" i="12" s="1"/>
  <c r="I1190" i="12" s="1"/>
  <c r="BW59" i="8" s="1"/>
  <c r="M260" i="13"/>
  <c r="M261" i="13"/>
  <c r="M262" i="13"/>
  <c r="M263" i="13"/>
  <c r="M259" i="13"/>
  <c r="BH50" i="8"/>
  <c r="H992" i="12" s="1"/>
  <c r="I992" i="12" s="1"/>
  <c r="BW50" i="8" s="1"/>
  <c r="BI50" i="8"/>
  <c r="B34" i="19"/>
  <c r="M76" i="13"/>
  <c r="M77" i="13"/>
  <c r="M73" i="13"/>
  <c r="M78" i="13"/>
  <c r="M74" i="13"/>
  <c r="M75" i="13"/>
  <c r="BI21" i="8"/>
  <c r="C35" i="19" s="1"/>
  <c r="BH21" i="8"/>
  <c r="M445" i="13"/>
  <c r="M446" i="13"/>
  <c r="M447" i="13"/>
  <c r="M443" i="13"/>
  <c r="M444" i="13"/>
  <c r="BH95" i="8"/>
  <c r="H1982" i="12" s="1"/>
  <c r="I1982" i="12" s="1"/>
  <c r="BW95" i="8" s="1"/>
  <c r="BI95" i="8"/>
  <c r="M256" i="13"/>
  <c r="M257" i="13"/>
  <c r="M258" i="13"/>
  <c r="M254" i="13"/>
  <c r="M255" i="13"/>
  <c r="BH42" i="8"/>
  <c r="H816" i="12" s="1"/>
  <c r="I816" i="12" s="1"/>
  <c r="BW42" i="8" s="1"/>
  <c r="BI42" i="8"/>
  <c r="M52" i="13"/>
  <c r="M53" i="13"/>
  <c r="M54" i="13"/>
  <c r="M50" i="13"/>
  <c r="M55" i="13"/>
  <c r="M51" i="13"/>
  <c r="BI101" i="8"/>
  <c r="BH101" i="8"/>
  <c r="H2114" i="12" s="1"/>
  <c r="I2114" i="12" s="1"/>
  <c r="BW101" i="8" s="1"/>
  <c r="M497" i="13"/>
  <c r="M498" i="13"/>
  <c r="M371" i="13"/>
  <c r="M367" i="13"/>
  <c r="M372" i="13"/>
  <c r="M368" i="13"/>
  <c r="M369" i="13"/>
  <c r="M370" i="13"/>
  <c r="BI68" i="8"/>
  <c r="BH68" i="8"/>
  <c r="H1388" i="12" s="1"/>
  <c r="I1388" i="12" s="1"/>
  <c r="BW68" i="8" s="1"/>
  <c r="M5" i="13"/>
  <c r="BH109" i="8"/>
  <c r="H2290" i="12" s="1"/>
  <c r="I2290" i="12" s="1"/>
  <c r="BW109" i="8" s="1"/>
  <c r="BI109" i="8"/>
  <c r="M152" i="13"/>
  <c r="M148" i="13"/>
  <c r="M149" i="13"/>
  <c r="M150" i="13"/>
  <c r="M151" i="13"/>
  <c r="M147" i="13"/>
  <c r="BI19" i="8"/>
  <c r="BH19" i="8"/>
  <c r="H310" i="12" s="1"/>
  <c r="I310" i="12" s="1"/>
  <c r="BW19" i="8" s="1"/>
  <c r="M224" i="13"/>
  <c r="M225" i="13"/>
  <c r="M226" i="13"/>
  <c r="M227" i="13"/>
  <c r="M223" i="13"/>
  <c r="BI41" i="8"/>
  <c r="BH41" i="8"/>
  <c r="H794" i="12" s="1"/>
  <c r="I794" i="12" s="1"/>
  <c r="BW41" i="8" s="1"/>
  <c r="M485" i="13"/>
  <c r="M486" i="13"/>
  <c r="M487" i="13"/>
  <c r="M483" i="13"/>
  <c r="M484" i="13"/>
  <c r="M488" i="13"/>
  <c r="BH99" i="8"/>
  <c r="H2070" i="12" s="1"/>
  <c r="I2070" i="12" s="1"/>
  <c r="BW99" i="8" s="1"/>
  <c r="BI99" i="8"/>
  <c r="AW18" i="8"/>
  <c r="BF18" i="8"/>
  <c r="AX18" i="8"/>
  <c r="AW106" i="8"/>
  <c r="BF106" i="8"/>
  <c r="AX106" i="8"/>
  <c r="M272" i="13"/>
  <c r="M273" i="13"/>
  <c r="M274" i="13"/>
  <c r="M270" i="13"/>
  <c r="M271" i="13"/>
  <c r="BH52" i="8"/>
  <c r="H1036" i="12" s="1"/>
  <c r="I1036" i="12" s="1"/>
  <c r="BW52" i="8" s="1"/>
  <c r="BI52" i="8"/>
  <c r="M355" i="13"/>
  <c r="M351" i="13"/>
  <c r="M356" i="13"/>
  <c r="M352" i="13"/>
  <c r="M353" i="13"/>
  <c r="M354" i="13"/>
  <c r="BI78" i="8"/>
  <c r="BH78" i="8"/>
  <c r="H1608" i="12" s="1"/>
  <c r="I1608" i="12" s="1"/>
  <c r="BW78" i="8" s="1"/>
  <c r="M212" i="13"/>
  <c r="M213" i="13"/>
  <c r="BH49" i="8"/>
  <c r="H970" i="12" s="1"/>
  <c r="I970" i="12" s="1"/>
  <c r="BW49" i="8" s="1"/>
  <c r="BI49" i="8"/>
  <c r="M434" i="13"/>
  <c r="M435" i="13"/>
  <c r="M436" i="13"/>
  <c r="BH93" i="8"/>
  <c r="H1938" i="12" s="1"/>
  <c r="I1938" i="12" s="1"/>
  <c r="BW93" i="8" s="1"/>
  <c r="BI93" i="8"/>
  <c r="BF17" i="8"/>
  <c r="AX17" i="8"/>
  <c r="AW17" i="8"/>
  <c r="M188" i="13"/>
  <c r="M185" i="13"/>
  <c r="M186" i="13"/>
  <c r="M187" i="13"/>
  <c r="BI36" i="8"/>
  <c r="BH36" i="8"/>
  <c r="H684" i="12" s="1"/>
  <c r="I684" i="12" s="1"/>
  <c r="BW36" i="8" s="1"/>
  <c r="AX110" i="8"/>
  <c r="AW110" i="8"/>
  <c r="BF110" i="8"/>
  <c r="M310" i="13"/>
  <c r="M311" i="13"/>
  <c r="BI58" i="8"/>
  <c r="BH58" i="8"/>
  <c r="H1168" i="12" s="1"/>
  <c r="I1168" i="12" s="1"/>
  <c r="BW58" i="8" s="1"/>
  <c r="M360" i="13"/>
  <c r="M361" i="13"/>
  <c r="M362" i="13"/>
  <c r="BH67" i="8"/>
  <c r="H1366" i="12" s="1"/>
  <c r="I1366" i="12" s="1"/>
  <c r="BW67" i="8" s="1"/>
  <c r="BI67" i="8"/>
  <c r="M64" i="13"/>
  <c r="M65" i="13"/>
  <c r="M66" i="13"/>
  <c r="M62" i="13"/>
  <c r="M67" i="13"/>
  <c r="M63" i="13"/>
  <c r="BI12" i="8"/>
  <c r="BH12" i="8"/>
  <c r="H156" i="12" s="1"/>
  <c r="I156" i="12" s="1"/>
  <c r="BW12" i="8" s="1"/>
  <c r="M268" i="13"/>
  <c r="M264" i="13"/>
  <c r="M269" i="13"/>
  <c r="M265" i="13"/>
  <c r="M266" i="13"/>
  <c r="M267" i="13"/>
  <c r="BI105" i="8"/>
  <c r="BH105" i="8"/>
  <c r="H2202" i="12" s="1"/>
  <c r="I2202" i="12" s="1"/>
  <c r="BW105" i="8" s="1"/>
  <c r="M176" i="13"/>
  <c r="M177" i="13"/>
  <c r="M173" i="13"/>
  <c r="M178" i="13"/>
  <c r="M174" i="13"/>
  <c r="M175" i="13"/>
  <c r="BH104" i="8"/>
  <c r="H2180" i="12" s="1"/>
  <c r="I2180" i="12" s="1"/>
  <c r="BW104" i="8" s="1"/>
  <c r="BI104" i="8"/>
  <c r="M104" i="13"/>
  <c r="M105" i="13"/>
  <c r="M101" i="13"/>
  <c r="M102" i="13"/>
  <c r="M103" i="13"/>
  <c r="BH11" i="8"/>
  <c r="H134" i="12" s="1"/>
  <c r="I134" i="12" s="1"/>
  <c r="BW11" i="8" s="1"/>
  <c r="BI11" i="8"/>
  <c r="M136" i="13"/>
  <c r="M137" i="13"/>
  <c r="M133" i="13"/>
  <c r="M134" i="13"/>
  <c r="M135" i="13"/>
  <c r="BI28" i="8"/>
  <c r="BH28" i="8"/>
  <c r="H508" i="12" s="1"/>
  <c r="I508" i="12" s="1"/>
  <c r="BW28" i="8" s="1"/>
  <c r="M399" i="13"/>
  <c r="M395" i="13"/>
  <c r="M396" i="13"/>
  <c r="M397" i="13"/>
  <c r="M398" i="13"/>
  <c r="M394" i="13"/>
  <c r="BI70" i="8"/>
  <c r="BH70" i="8"/>
  <c r="H1432" i="12" s="1"/>
  <c r="I1432" i="12" s="1"/>
  <c r="BW70" i="8" s="1"/>
  <c r="M502" i="13"/>
  <c r="M501" i="13"/>
  <c r="M204" i="13"/>
  <c r="M206" i="13"/>
  <c r="M207" i="13"/>
  <c r="M205" i="13"/>
  <c r="BH46" i="8"/>
  <c r="H904" i="12" s="1"/>
  <c r="I904" i="12" s="1"/>
  <c r="BW46" i="8" s="1"/>
  <c r="BI46" i="8"/>
  <c r="M348" i="13"/>
  <c r="M349" i="13"/>
  <c r="M350" i="13"/>
  <c r="BI76" i="8"/>
  <c r="BH76" i="8"/>
  <c r="H1564" i="12" s="1"/>
  <c r="I1564" i="12" s="1"/>
  <c r="BW76" i="8" s="1"/>
  <c r="M324" i="13"/>
  <c r="M325" i="13"/>
  <c r="M321" i="13"/>
  <c r="M322" i="13"/>
  <c r="M323" i="13"/>
  <c r="BH65" i="8"/>
  <c r="H1322" i="12" s="1"/>
  <c r="I1322" i="12" s="1"/>
  <c r="BW65" i="8" s="1"/>
  <c r="BI65" i="8"/>
  <c r="M241" i="13"/>
  <c r="M239" i="13"/>
  <c r="M240" i="13"/>
  <c r="M238" i="13"/>
  <c r="M242" i="13"/>
  <c r="BH48" i="8"/>
  <c r="H948" i="12" s="1"/>
  <c r="I948" i="12" s="1"/>
  <c r="BW48" i="8" s="1"/>
  <c r="BI48" i="8"/>
  <c r="M403" i="13"/>
  <c r="M404" i="13"/>
  <c r="M400" i="13"/>
  <c r="M405" i="13"/>
  <c r="M401" i="13"/>
  <c r="M402" i="13"/>
  <c r="BH83" i="8"/>
  <c r="H1718" i="12" s="1"/>
  <c r="I1718" i="12" s="1"/>
  <c r="BW83" i="8" s="1"/>
  <c r="BI83" i="8"/>
  <c r="M469" i="13"/>
  <c r="M465" i="13"/>
  <c r="M470" i="13"/>
  <c r="M466" i="13"/>
  <c r="M467" i="13"/>
  <c r="M468" i="13"/>
  <c r="BH88" i="8"/>
  <c r="H1828" i="12" s="1"/>
  <c r="I1828" i="12" s="1"/>
  <c r="BW88" i="8" s="1"/>
  <c r="BI88" i="8"/>
  <c r="M379" i="13"/>
  <c r="M380" i="13"/>
  <c r="M381" i="13"/>
  <c r="M382" i="13"/>
  <c r="M378" i="13"/>
  <c r="BI74" i="8"/>
  <c r="BH74" i="8"/>
  <c r="H1520" i="12" s="1"/>
  <c r="I1520" i="12" s="1"/>
  <c r="BW74" i="8" s="1"/>
  <c r="M164" i="13"/>
  <c r="M165" i="13"/>
  <c r="M161" i="13"/>
  <c r="M166" i="13"/>
  <c r="M162" i="13"/>
  <c r="M163" i="13"/>
  <c r="BH31" i="8"/>
  <c r="H574" i="12" s="1"/>
  <c r="I574" i="12" s="1"/>
  <c r="BW31" i="8" s="1"/>
  <c r="BI31" i="8"/>
  <c r="M4" i="13"/>
  <c r="BI108" i="8"/>
  <c r="BH108" i="8"/>
  <c r="H2268" i="12" s="1"/>
  <c r="I2268" i="12" s="1"/>
  <c r="BW108" i="8" s="1"/>
  <c r="M196" i="13"/>
  <c r="M197" i="13"/>
  <c r="M198" i="13"/>
  <c r="M195" i="13"/>
  <c r="BH40" i="8"/>
  <c r="H772" i="12" s="1"/>
  <c r="I772" i="12" s="1"/>
  <c r="BW40" i="8" s="1"/>
  <c r="BI40" i="8"/>
  <c r="M409" i="13"/>
  <c r="M410" i="13"/>
  <c r="M407" i="13"/>
  <c r="M408" i="13"/>
  <c r="M406" i="13"/>
  <c r="BH84" i="8"/>
  <c r="H1740" i="12" s="1"/>
  <c r="I1740" i="12" s="1"/>
  <c r="BW84" i="8" s="1"/>
  <c r="BI84" i="8"/>
  <c r="M421" i="13"/>
  <c r="M422" i="13"/>
  <c r="M423" i="13"/>
  <c r="M420" i="13"/>
  <c r="BH90" i="8"/>
  <c r="H1872" i="12" s="1"/>
  <c r="I1872" i="12" s="1"/>
  <c r="BW90" i="8" s="1"/>
  <c r="BI90" i="8"/>
  <c r="M363" i="13"/>
  <c r="M364" i="13"/>
  <c r="M365" i="13"/>
  <c r="M366" i="13"/>
  <c r="BH82" i="8"/>
  <c r="H1696" i="12" s="1"/>
  <c r="I1696" i="12" s="1"/>
  <c r="BW82" i="8" s="1"/>
  <c r="BI82" i="8"/>
  <c r="M387" i="13"/>
  <c r="M388" i="13"/>
  <c r="M389" i="13"/>
  <c r="BH79" i="8"/>
  <c r="H1630" i="12" s="1"/>
  <c r="I1630" i="12" s="1"/>
  <c r="BW79" i="8" s="1"/>
  <c r="BI79" i="8"/>
  <c r="BF107" i="8"/>
  <c r="AX107" i="8"/>
  <c r="AW107" i="8"/>
  <c r="M60" i="13"/>
  <c r="M56" i="13"/>
  <c r="M61" i="13"/>
  <c r="M57" i="13"/>
  <c r="M58" i="13"/>
  <c r="M59" i="13"/>
  <c r="BH102" i="8"/>
  <c r="H2136" i="12" s="1"/>
  <c r="I2136" i="12" s="1"/>
  <c r="BW102" i="8" s="1"/>
  <c r="BI102" i="8"/>
  <c r="AW8" i="8"/>
  <c r="BF8" i="8"/>
  <c r="AX8" i="8"/>
  <c r="M248" i="13"/>
  <c r="M244" i="13"/>
  <c r="M245" i="13"/>
  <c r="M247" i="13"/>
  <c r="M243" i="13"/>
  <c r="M246" i="13"/>
  <c r="BI34" i="8"/>
  <c r="BH34" i="8"/>
  <c r="H640" i="12" s="1"/>
  <c r="I640" i="12" s="1"/>
  <c r="BW34" i="8" s="1"/>
  <c r="M22" i="13"/>
  <c r="M23" i="13"/>
  <c r="M25" i="13"/>
  <c r="M21" i="13"/>
  <c r="M20" i="13"/>
  <c r="M24" i="13"/>
  <c r="BI7" i="8"/>
  <c r="BH7" i="8"/>
  <c r="H46" i="12" s="1"/>
  <c r="I46" i="12" s="1"/>
  <c r="BW7" i="8" s="1"/>
  <c r="M252" i="13"/>
  <c r="M253" i="13"/>
  <c r="M249" i="13"/>
  <c r="M250" i="13"/>
  <c r="M251" i="13"/>
  <c r="BI37" i="8"/>
  <c r="BH37" i="8"/>
  <c r="H706" i="12" s="1"/>
  <c r="I706" i="12" s="1"/>
  <c r="BW37" i="8" s="1"/>
  <c r="M216" i="13"/>
  <c r="M217" i="13"/>
  <c r="M218" i="13"/>
  <c r="M214" i="13"/>
  <c r="M215" i="13"/>
  <c r="BI32" i="8"/>
  <c r="BH32" i="8"/>
  <c r="H596" i="12" s="1"/>
  <c r="I596" i="12" s="1"/>
  <c r="BW32" i="8" s="1"/>
  <c r="M473" i="13"/>
  <c r="M474" i="13"/>
  <c r="M475" i="13"/>
  <c r="M471" i="13"/>
  <c r="M476" i="13"/>
  <c r="M472" i="13"/>
  <c r="BH97" i="8"/>
  <c r="H2026" i="12" s="1"/>
  <c r="I2026" i="12" s="1"/>
  <c r="BW97" i="8" s="1"/>
  <c r="BI97" i="8"/>
  <c r="M100" i="13"/>
  <c r="M96" i="13"/>
  <c r="M97" i="13"/>
  <c r="M98" i="13"/>
  <c r="M99" i="13"/>
  <c r="BH29" i="8"/>
  <c r="H530" i="12" s="1"/>
  <c r="I530" i="12" s="1"/>
  <c r="BW29" i="8" s="1"/>
  <c r="BI29" i="8"/>
  <c r="M441" i="13"/>
  <c r="M437" i="13"/>
  <c r="M442" i="13"/>
  <c r="M438" i="13"/>
  <c r="M439" i="13"/>
  <c r="M440" i="13"/>
  <c r="BH94" i="8"/>
  <c r="H1960" i="12" s="1"/>
  <c r="I1960" i="12" s="1"/>
  <c r="BW94" i="8" s="1"/>
  <c r="BI94" i="8"/>
  <c r="M140" i="13"/>
  <c r="M141" i="13"/>
  <c r="M142" i="13"/>
  <c r="M138" i="13"/>
  <c r="M139" i="13"/>
  <c r="BI13" i="8"/>
  <c r="BH13" i="8"/>
  <c r="H178" i="12" s="1"/>
  <c r="I178" i="12" s="1"/>
  <c r="BW13" i="8" s="1"/>
  <c r="AW39" i="8"/>
  <c r="BF39" i="8"/>
  <c r="AX39" i="8"/>
  <c r="M88" i="13"/>
  <c r="M84" i="13"/>
  <c r="M89" i="13"/>
  <c r="M85" i="13"/>
  <c r="M86" i="13"/>
  <c r="M87" i="13"/>
  <c r="BI26" i="8"/>
  <c r="BH26" i="8"/>
  <c r="H464" i="12" s="1"/>
  <c r="I464" i="12" s="1"/>
  <c r="BW26" i="8" s="1"/>
  <c r="M457" i="13"/>
  <c r="M458" i="13"/>
  <c r="M454" i="13"/>
  <c r="M455" i="13"/>
  <c r="M456" i="13"/>
  <c r="BH96" i="8"/>
  <c r="H2004" i="12" s="1"/>
  <c r="I2004" i="12" s="1"/>
  <c r="BW96" i="8" s="1"/>
  <c r="BI96" i="8"/>
  <c r="AW111" i="8"/>
  <c r="BF111" i="8"/>
  <c r="AX111" i="8"/>
  <c r="M276" i="13"/>
  <c r="M277" i="13"/>
  <c r="M278" i="13"/>
  <c r="M279" i="13"/>
  <c r="M275" i="13"/>
  <c r="BI55" i="8"/>
  <c r="BH55" i="8"/>
  <c r="H1102" i="12" s="1"/>
  <c r="I1102" i="12" s="1"/>
  <c r="BW55" i="8" s="1"/>
  <c r="M202" i="13"/>
  <c r="M200" i="13"/>
  <c r="M203" i="13"/>
  <c r="M201" i="13"/>
  <c r="M199" i="13"/>
  <c r="BH44" i="8"/>
  <c r="H860" i="12" s="1"/>
  <c r="I860" i="12" s="1"/>
  <c r="BW44" i="8" s="1"/>
  <c r="BI44" i="8"/>
  <c r="M413" i="13"/>
  <c r="M414" i="13"/>
  <c r="M412" i="13"/>
  <c r="M411" i="13"/>
  <c r="BH86" i="8"/>
  <c r="H1784" i="12" s="1"/>
  <c r="I1784" i="12" s="1"/>
  <c r="BW86" i="8" s="1"/>
  <c r="BI86" i="8"/>
  <c r="BF27" i="8"/>
  <c r="AX27" i="8"/>
  <c r="AW27" i="8"/>
  <c r="M172" i="13"/>
  <c r="M168" i="13"/>
  <c r="M169" i="13"/>
  <c r="M170" i="13"/>
  <c r="M171" i="13"/>
  <c r="M167" i="13"/>
  <c r="BH103" i="8"/>
  <c r="H2158" i="12" s="1"/>
  <c r="I2158" i="12" s="1"/>
  <c r="BW103" i="8" s="1"/>
  <c r="BI103" i="8"/>
  <c r="AW20" i="8"/>
  <c r="BF20" i="8"/>
  <c r="AX20" i="8"/>
  <c r="M189" i="13"/>
  <c r="M190" i="13"/>
  <c r="BH38" i="8"/>
  <c r="H728" i="12" s="1"/>
  <c r="I728" i="12" s="1"/>
  <c r="BW38" i="8" s="1"/>
  <c r="BI38" i="8"/>
  <c r="M232" i="13"/>
  <c r="M228" i="13"/>
  <c r="M233" i="13"/>
  <c r="M229" i="13"/>
  <c r="M230" i="13"/>
  <c r="M231" i="13"/>
  <c r="BI43" i="8"/>
  <c r="BH43" i="8"/>
  <c r="H838" i="12" s="1"/>
  <c r="I838" i="12" s="1"/>
  <c r="BW43" i="8" s="1"/>
  <c r="M417" i="13"/>
  <c r="M418" i="13"/>
  <c r="M416" i="13"/>
  <c r="M415" i="13"/>
  <c r="M419" i="13"/>
  <c r="BH87" i="8"/>
  <c r="H1806" i="12" s="1"/>
  <c r="I1806" i="12" s="1"/>
  <c r="BW87" i="8" s="1"/>
  <c r="BI87" i="8"/>
  <c r="M220" i="13"/>
  <c r="M221" i="13"/>
  <c r="M222" i="13"/>
  <c r="M219" i="13"/>
  <c r="BH35" i="8"/>
  <c r="H662" i="12" s="1"/>
  <c r="I662" i="12" s="1"/>
  <c r="BW35" i="8" s="1"/>
  <c r="BI35" i="8"/>
  <c r="M383" i="13"/>
  <c r="M384" i="13"/>
  <c r="M385" i="13"/>
  <c r="M386" i="13"/>
  <c r="BI77" i="8"/>
  <c r="BH77" i="8"/>
  <c r="H1586" i="12" s="1"/>
  <c r="I1586" i="12" s="1"/>
  <c r="BW77" i="8" s="1"/>
  <c r="M296" i="13"/>
  <c r="M293" i="13"/>
  <c r="M294" i="13"/>
  <c r="M295" i="13"/>
  <c r="BI51" i="8"/>
  <c r="BH51" i="8"/>
  <c r="H1014" i="12" s="1"/>
  <c r="I1014" i="12" s="1"/>
  <c r="BW51" i="8" s="1"/>
  <c r="M308" i="13"/>
  <c r="M309" i="13"/>
  <c r="M307" i="13"/>
  <c r="BI57" i="8"/>
  <c r="BH57" i="8"/>
  <c r="H1146" i="12" s="1"/>
  <c r="I1146" i="12" s="1"/>
  <c r="BW57" i="8" s="1"/>
  <c r="M108" i="13"/>
  <c r="M109" i="13"/>
  <c r="M110" i="13"/>
  <c r="M106" i="13"/>
  <c r="M107" i="13"/>
  <c r="BI14" i="8"/>
  <c r="BH14" i="8"/>
  <c r="H200" i="12" s="1"/>
  <c r="I200" i="12" s="1"/>
  <c r="BW14" i="8" s="1"/>
  <c r="M124" i="13" l="1"/>
  <c r="M120" i="13"/>
  <c r="M121" i="13"/>
  <c r="M122" i="13"/>
  <c r="M123" i="13"/>
  <c r="BI20" i="8"/>
  <c r="BH20" i="8"/>
  <c r="M92" i="13"/>
  <c r="M93" i="13"/>
  <c r="M94" i="13"/>
  <c r="M90" i="13"/>
  <c r="M95" i="13"/>
  <c r="M91" i="13"/>
  <c r="BH27" i="8"/>
  <c r="BI27" i="8"/>
  <c r="M192" i="13"/>
  <c r="M193" i="13"/>
  <c r="M194" i="13"/>
  <c r="M191" i="13"/>
  <c r="BI39" i="8"/>
  <c r="BH39" i="8"/>
  <c r="M132" i="13"/>
  <c r="M129" i="13"/>
  <c r="M130" i="13"/>
  <c r="M131" i="13"/>
  <c r="BH25" i="8"/>
  <c r="BI25" i="8"/>
  <c r="D21" i="2"/>
  <c r="D25" i="2"/>
  <c r="E23" i="2"/>
  <c r="M112" i="13"/>
  <c r="M113" i="13"/>
  <c r="M114" i="13"/>
  <c r="M115" i="13"/>
  <c r="M111" i="13"/>
  <c r="BI17" i="8"/>
  <c r="BH17" i="8"/>
  <c r="M128" i="13"/>
  <c r="M125" i="13"/>
  <c r="M126" i="13"/>
  <c r="M127" i="13"/>
  <c r="BI23" i="8"/>
  <c r="BH23" i="8"/>
  <c r="D26" i="2"/>
  <c r="M6" i="13"/>
  <c r="M7" i="13"/>
  <c r="M9" i="13"/>
  <c r="M8" i="13"/>
  <c r="M116" i="13"/>
  <c r="M117" i="13"/>
  <c r="M118" i="13"/>
  <c r="M119" i="13"/>
  <c r="BI18" i="8"/>
  <c r="BH18" i="8"/>
  <c r="B35" i="19"/>
  <c r="H354" i="12"/>
  <c r="I354" i="12" s="1"/>
  <c r="BW21" i="8" s="1"/>
  <c r="D23" i="2"/>
  <c r="E21" i="2"/>
  <c r="E25" i="2"/>
  <c r="M30" i="13"/>
  <c r="M26" i="13"/>
  <c r="M31" i="13"/>
  <c r="M27" i="13"/>
  <c r="M29" i="13"/>
  <c r="M28" i="13"/>
  <c r="BH8" i="8"/>
  <c r="BI8" i="8"/>
  <c r="M3" i="13"/>
  <c r="BI107" i="8"/>
  <c r="BH107" i="8"/>
  <c r="M2" i="13"/>
  <c r="BH106" i="8"/>
  <c r="BI106" i="8"/>
  <c r="M34" i="13"/>
  <c r="M35" i="13"/>
  <c r="M37" i="13"/>
  <c r="M33" i="13"/>
  <c r="M32" i="13"/>
  <c r="M36" i="13"/>
  <c r="BH6" i="8"/>
  <c r="BI6" i="8"/>
  <c r="M18" i="13"/>
  <c r="M14" i="13"/>
  <c r="M19" i="13"/>
  <c r="M15" i="13"/>
  <c r="M17" i="13"/>
  <c r="M16" i="13"/>
  <c r="C34" i="2"/>
  <c r="B32" i="2"/>
  <c r="C35" i="2"/>
  <c r="C33" i="2"/>
  <c r="C31" i="2"/>
  <c r="C32" i="2"/>
  <c r="B34" i="2"/>
  <c r="B35" i="2"/>
  <c r="B33" i="2"/>
  <c r="B31" i="2"/>
  <c r="BI5" i="8"/>
  <c r="BH5" i="8"/>
  <c r="D24" i="2"/>
  <c r="E22" i="2"/>
  <c r="E26" i="2"/>
  <c r="M495" i="13"/>
  <c r="M496" i="13"/>
  <c r="BH114" i="8"/>
  <c r="BI114" i="8"/>
  <c r="P6" i="10" l="1"/>
  <c r="H2224" i="12"/>
  <c r="I2224" i="12" s="1"/>
  <c r="BW106" i="8" s="1"/>
  <c r="P2" i="10"/>
  <c r="H2" i="12"/>
  <c r="I2" i="12" s="1"/>
  <c r="B7" i="2"/>
  <c r="B6" i="2"/>
  <c r="H398" i="12"/>
  <c r="I398" i="12" s="1"/>
  <c r="BW23" i="8" s="1"/>
  <c r="P7" i="10"/>
  <c r="P14" i="10"/>
  <c r="H332" i="12"/>
  <c r="I332" i="12" s="1"/>
  <c r="BW20" i="8" s="1"/>
  <c r="H2400" i="12"/>
  <c r="I2400" i="12" s="1"/>
  <c r="BW114" i="8" s="1"/>
  <c r="P16" i="10"/>
  <c r="P5" i="10"/>
  <c r="H266" i="12"/>
  <c r="I266" i="12" s="1"/>
  <c r="BW17" i="8" s="1"/>
  <c r="H750" i="12"/>
  <c r="I750" i="12" s="1"/>
  <c r="BW39" i="8" s="1"/>
  <c r="P4" i="10"/>
  <c r="H24" i="12"/>
  <c r="I24" i="12" s="1"/>
  <c r="BW6" i="8" s="1"/>
  <c r="P3" i="10"/>
  <c r="P9" i="10"/>
  <c r="H2246" i="12"/>
  <c r="I2246" i="12" s="1"/>
  <c r="BW107" i="8" s="1"/>
  <c r="H68" i="12"/>
  <c r="I68" i="12" s="1"/>
  <c r="BW8" i="8" s="1"/>
  <c r="P12" i="10"/>
  <c r="H288" i="12"/>
  <c r="I288" i="12" s="1"/>
  <c r="BW18" i="8" s="1"/>
  <c r="P11" i="10"/>
  <c r="H442" i="12"/>
  <c r="I442" i="12" s="1"/>
  <c r="BW25" i="8" s="1"/>
  <c r="P8" i="10"/>
  <c r="H486" i="12"/>
  <c r="I486" i="12" s="1"/>
  <c r="BW27" i="8" s="1"/>
  <c r="P15" i="10"/>
  <c r="AA6" i="11" l="1"/>
  <c r="BW5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Identificador.</t>
        </r>
      </text>
    </comment>
    <comment ref="B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Parâmetro.</t>
        </r>
      </text>
    </comment>
    <comment ref="C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Valor (editável).</t>
        </r>
      </text>
    </comment>
    <comment ref="D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Unidade.</t>
        </r>
      </text>
    </comment>
    <comment ref="E4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Fonte / pressuposto.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Categoria de embalagem do art. 7.º.</t>
        </r>
      </text>
    </comment>
    <comment ref="B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Teor mínimo a partir de 01/01/2030.</t>
        </r>
      </text>
    </comment>
    <comment ref="C1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Teor mínimo a partir de 01/01/2040.</t>
        </r>
      </text>
    </comment>
    <comment ref="D1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Alínea do art. 7.º.</t>
        </r>
      </text>
    </comment>
    <comment ref="E1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Nota de aplicação.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Material (dataset).</t>
        </r>
      </text>
    </comment>
    <comment ref="B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Polímero para a regra de DfR.</t>
        </r>
      </text>
    </comment>
    <comment ref="C1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Fluxo de triagem/reciclagem europeu.</t>
        </r>
      </text>
    </comment>
    <comment ref="D1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Densidade típica do polímero.</t>
        </r>
      </text>
    </comment>
    <comment ref="E1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Virgem, reciclado, alimentar, farmacêutico.</t>
        </r>
      </text>
    </comment>
    <comment ref="F1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Teor de reciclado pós-consumo do grau comprado (certificado).</t>
        </r>
      </text>
    </comment>
    <comment ref="G1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Marcação ISO 1043-1 / ISO 11469 e código da Decisão 97/129/CE.</t>
        </r>
      </text>
    </comment>
    <comment ref="H1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Fornecedor principal.</t>
        </r>
      </text>
    </comment>
    <comment ref="I1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SKUs com este material no corpo.
[calculado]</t>
        </r>
      </text>
    </comment>
    <comment ref="J1" authorId="0" shapeId="0" xr:uid="{00000000-0006-0000-0400-00000A000000}">
      <text>
        <r>
          <rPr>
            <sz val="11"/>
            <color theme="1"/>
            <rFont val="Calibri"/>
            <family val="2"/>
            <scheme val="minor"/>
          </rPr>
          <t>Massa de corpos vendida (12 meses).
[calculado]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4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Chave de pesquisa (fluxo|característica|valor).
[calculado]</t>
        </r>
      </text>
    </comment>
    <comment ref="B4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Fluxo de reciclagem do corpo.</t>
        </r>
      </text>
    </comment>
    <comment ref="C4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Característica avaliada (campo da ferramenta RecyClass).</t>
        </r>
      </text>
    </comment>
    <comment ref="D4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Opção escolhida.</t>
        </r>
      </text>
    </comment>
    <comment ref="E4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Classe de reciclabilidade A–F atribuída.</t>
        </r>
      </text>
    </comment>
    <comment ref="F4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Leitura da classe.
[calculado]</t>
        </r>
      </text>
    </comment>
    <comment ref="G4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Fração da massa do componente que acaba em reciclado (1 = reciclado; 0 = perdido).</t>
        </r>
      </text>
    </comment>
    <comment ref="H4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Porquê (processo de triagem/lavagem/extrusão).</t>
        </r>
      </text>
    </comment>
    <comment ref="I4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Ação de design para melhorar.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Tampa (dataset).</t>
        </r>
      </text>
    </comment>
    <comment ref="B1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Descrição.</t>
        </r>
      </text>
    </comment>
    <comment ref="C1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Tipo de abertura.</t>
        </r>
      </text>
    </comment>
    <comment ref="D1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Material.</t>
        </r>
      </text>
    </comment>
    <comment ref="E1" authorId="0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Polímero.
[calculado]</t>
        </r>
      </text>
    </comment>
    <comment ref="F1" authorId="0" shapeId="0" xr:uid="{00000000-0006-0000-0600-000006000000}">
      <text>
        <r>
          <rPr>
            <sz val="11"/>
            <color theme="1"/>
            <rFont val="Calibri"/>
            <family val="2"/>
            <scheme val="minor"/>
          </rPr>
          <t>Massa (média mín./máx. da especificação).</t>
        </r>
      </text>
    </comment>
    <comment ref="G1" authorId="0" shapeId="0" xr:uid="{00000000-0006-0000-0600-000007000000}">
      <text>
        <r>
          <rPr>
            <sz val="11"/>
            <color theme="1"/>
            <rFont val="Calibri"/>
            <family val="2"/>
            <scheme val="minor"/>
          </rPr>
          <t>Densidade.
[calculado]</t>
        </r>
      </text>
    </comment>
    <comment ref="H1" authorId="0" shapeId="0" xr:uid="{00000000-0006-0000-0600-000008000000}">
      <text>
        <r>
          <rPr>
            <sz val="11"/>
            <color theme="1"/>
            <rFont val="Calibri"/>
            <family val="2"/>
            <scheme val="minor"/>
          </rPr>
          <t>Flutua no afunda-flutua (separação do PET).
[calculado]</t>
        </r>
      </text>
    </comment>
    <comment ref="I1" authorId="0" shapeId="0" xr:uid="{00000000-0006-0000-0600-000009000000}">
      <text>
        <r>
          <rPr>
            <sz val="11"/>
            <color theme="1"/>
            <rFont val="Calibri"/>
            <family val="2"/>
            <scheme val="minor"/>
          </rPr>
          <t>Acabamento de rosca.</t>
        </r>
      </text>
    </comment>
    <comment ref="J1" authorId="0" shapeId="0" xr:uid="{00000000-0006-0000-0600-00000A000000}">
      <text>
        <r>
          <rPr>
            <sz val="11"/>
            <color theme="1"/>
            <rFont val="Calibri"/>
            <family val="2"/>
            <scheme val="minor"/>
          </rPr>
          <t>Vedante/liner.</t>
        </r>
      </text>
    </comment>
    <comment ref="K1" authorId="0" shapeId="0" xr:uid="{00000000-0006-0000-0600-00000B000000}">
      <text>
        <r>
          <rPr>
            <sz val="11"/>
            <color theme="1"/>
            <rFont val="Calibri"/>
            <family val="2"/>
            <scheme val="minor"/>
          </rPr>
          <t>Teor de reciclado.
[calculado]</t>
        </r>
      </text>
    </comment>
    <comment ref="L1" authorId="0" shapeId="0" xr:uid="{00000000-0006-0000-0600-00000C000000}">
      <text>
        <r>
          <rPr>
            <sz val="11"/>
            <color theme="1"/>
            <rFont val="Calibri"/>
            <family val="2"/>
            <scheme val="minor"/>
          </rPr>
          <t>Família PPWR.</t>
        </r>
      </text>
    </comment>
    <comment ref="M1" authorId="0" shapeId="0" xr:uid="{00000000-0006-0000-0600-00000D000000}">
      <text>
        <r>
          <rPr>
            <sz val="11"/>
            <color theme="1"/>
            <rFont val="Calibri"/>
            <family val="2"/>
            <scheme val="minor"/>
          </rPr>
          <t>Unidades vendidas (ano civil de 2026).</t>
        </r>
      </text>
    </comment>
    <comment ref="N1" authorId="0" shapeId="0" xr:uid="{00000000-0006-0000-0600-00000E000000}">
      <text>
        <r>
          <rPr>
            <sz val="11"/>
            <color theme="1"/>
            <rFont val="Calibri"/>
            <family val="2"/>
            <scheme val="minor"/>
          </rPr>
          <t>Países de destino.</t>
        </r>
      </text>
    </comment>
    <comment ref="O1" authorId="0" shapeId="0" xr:uid="{00000000-0006-0000-0600-00000F000000}">
      <text>
        <r>
          <rPr>
            <sz val="11"/>
            <color theme="1"/>
            <rFont val="Calibri"/>
            <family val="2"/>
            <scheme val="minor"/>
          </rPr>
          <t>Massa vendida (kg).
[calculado]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4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Identificador da avaliação.</t>
        </r>
      </text>
    </comment>
    <comment ref="B4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SKU (dataset).</t>
        </r>
      </text>
    </comment>
    <comment ref="C4" authorId="0" shapeId="0" xr:uid="{00000000-0006-0000-0700-000003000000}">
      <text>
        <r>
          <rPr>
            <sz val="11"/>
            <color theme="1"/>
            <rFont val="Calibri"/>
            <family val="2"/>
            <scheme val="minor"/>
          </rPr>
          <t>Frasco ou pote.</t>
        </r>
      </text>
    </comment>
    <comment ref="D4" authorId="0" shapeId="0" xr:uid="{00000000-0006-0000-0700-000004000000}">
      <text>
        <r>
          <rPr>
            <sz val="11"/>
            <color theme="1"/>
            <rFont val="Calibri"/>
            <family val="2"/>
            <scheme val="minor"/>
          </rPr>
          <t>Setor de aplicação.</t>
        </r>
      </text>
    </comment>
    <comment ref="E4" authorId="0" shapeId="0" xr:uid="{00000000-0006-0000-0700-000005000000}">
      <text>
        <r>
          <rPr>
            <sz val="11"/>
            <color theme="1"/>
            <rFont val="Calibri"/>
            <family val="2"/>
            <scheme val="minor"/>
          </rPr>
          <t>Tipo de contacto com o conteúdo.</t>
        </r>
      </text>
    </comment>
    <comment ref="F4" authorId="0" shapeId="0" xr:uid="{00000000-0006-0000-0700-000006000000}">
      <text>
        <r>
          <rPr>
            <sz val="11"/>
            <color theme="1"/>
            <rFont val="Calibri"/>
            <family val="2"/>
            <scheme val="minor"/>
          </rPr>
          <t>Processo.</t>
        </r>
      </text>
    </comment>
    <comment ref="G4" authorId="0" shapeId="0" xr:uid="{00000000-0006-0000-0700-000007000000}">
      <text>
        <r>
          <rPr>
            <sz val="11"/>
            <color theme="1"/>
            <rFont val="Calibri"/>
            <family val="2"/>
            <scheme val="minor"/>
          </rPr>
          <t>Família PPWR (declaração UE).</t>
        </r>
      </text>
    </comment>
    <comment ref="H4" authorId="0" shapeId="0" xr:uid="{00000000-0006-0000-0700-000008000000}">
      <text>
        <r>
          <rPr>
            <sz val="11"/>
            <color theme="1"/>
            <rFont val="Calibri"/>
            <family val="2"/>
            <scheme val="minor"/>
          </rPr>
          <t>Volume nominal.</t>
        </r>
      </text>
    </comment>
    <comment ref="I4" authorId="0" shapeId="0" xr:uid="{00000000-0006-0000-0700-000009000000}">
      <text>
        <r>
          <rPr>
            <sz val="11"/>
            <color theme="1"/>
            <rFont val="Calibri"/>
            <family val="2"/>
            <scheme val="minor"/>
          </rPr>
          <t>Maior dimensão estimada (triagem por tamanho: &lt; 50 mm em 2 dimensões é crítico).</t>
        </r>
      </text>
    </comment>
    <comment ref="J4" authorId="0" shapeId="0" xr:uid="{00000000-0006-0000-0700-00000A000000}">
      <text>
        <r>
          <rPr>
            <sz val="11"/>
            <color theme="1"/>
            <rFont val="Calibri"/>
            <family val="2"/>
            <scheme val="minor"/>
          </rPr>
          <t>[RecyClass: corpo — polímero] Material do corpo.</t>
        </r>
      </text>
    </comment>
    <comment ref="K4" authorId="0" shapeId="0" xr:uid="{00000000-0006-0000-0700-00000B000000}">
      <text>
        <r>
          <rPr>
            <sz val="11"/>
            <color theme="1"/>
            <rFont val="Calibri"/>
            <family val="2"/>
            <scheme val="minor"/>
          </rPr>
          <t>Polímero base.
[calculado]</t>
        </r>
      </text>
    </comment>
    <comment ref="L4" authorId="0" shapeId="0" xr:uid="{00000000-0006-0000-0700-00000C000000}">
      <text>
        <r>
          <rPr>
            <sz val="11"/>
            <color theme="1"/>
            <rFont val="Calibri"/>
            <family val="2"/>
            <scheme val="minor"/>
          </rPr>
          <t>Fluxo europeu de reciclagem.
[calculado]</t>
        </r>
      </text>
    </comment>
    <comment ref="M4" authorId="0" shapeId="0" xr:uid="{00000000-0006-0000-0700-00000D000000}">
      <text>
        <r>
          <rPr>
            <sz val="11"/>
            <color theme="1"/>
            <rFont val="Calibri"/>
            <family val="2"/>
            <scheme val="minor"/>
          </rPr>
          <t>[RecyClass: 1.º passo] Categoria de embalagem a escolher na ferramenta.
[calculado]</t>
        </r>
      </text>
    </comment>
    <comment ref="N4" authorId="0" shapeId="0" xr:uid="{00000000-0006-0000-0700-00000E000000}">
      <text>
        <r>
          <rPr>
            <sz val="11"/>
            <color theme="1"/>
            <rFont val="Calibri"/>
            <family val="2"/>
            <scheme val="minor"/>
          </rPr>
          <t>Cor no dataset.</t>
        </r>
      </text>
    </comment>
    <comment ref="O4" authorId="0" shapeId="0" xr:uid="{00000000-0006-0000-0700-00000F000000}">
      <text>
        <r>
          <rPr>
            <sz val="11"/>
            <color theme="1"/>
            <rFont val="Calibri"/>
            <family val="2"/>
            <scheme val="minor"/>
          </rPr>
          <t>[RecyClass: cor/transparência do corpo].</t>
        </r>
      </text>
    </comment>
    <comment ref="P4" authorId="0" shapeId="0" xr:uid="{00000000-0006-0000-0700-000010000000}">
      <text>
        <r>
          <rPr>
            <sz val="11"/>
            <color theme="1"/>
            <rFont val="Calibri"/>
            <family val="2"/>
            <scheme val="minor"/>
          </rPr>
          <t>Masterbatch (dataset).</t>
        </r>
      </text>
    </comment>
    <comment ref="Q4" authorId="0" shapeId="0" xr:uid="{00000000-0006-0000-0700-000011000000}">
      <text>
        <r>
          <rPr>
            <sz val="11"/>
            <color theme="1"/>
            <rFont val="Calibri"/>
            <family val="2"/>
            <scheme val="minor"/>
          </rPr>
          <t>Dosagem de masterbatch (fração).</t>
        </r>
      </text>
    </comment>
    <comment ref="R4" authorId="0" shapeId="0" xr:uid="{00000000-0006-0000-0700-000012000000}">
      <text>
        <r>
          <rPr>
            <sz val="11"/>
            <color theme="1"/>
            <rFont val="Calibri"/>
            <family val="2"/>
            <scheme val="minor"/>
          </rPr>
          <t>[RecyClass: densidade] Polímero + efeito do masterbatch (estimativa).
[calculado]</t>
        </r>
      </text>
    </comment>
    <comment ref="S4" authorId="0" shapeId="0" xr:uid="{00000000-0006-0000-0700-000013000000}">
      <text>
        <r>
          <rPr>
            <sz val="11"/>
            <color theme="1"/>
            <rFont val="Calibri"/>
            <family val="2"/>
            <scheme val="minor"/>
          </rPr>
          <t>[RecyClass: barreira/revestimento].</t>
        </r>
      </text>
    </comment>
    <comment ref="T4" authorId="0" shapeId="0" xr:uid="{00000000-0006-0000-0700-000014000000}">
      <text>
        <r>
          <rPr>
            <sz val="11"/>
            <color theme="1"/>
            <rFont val="Calibri"/>
            <family val="2"/>
            <scheme val="minor"/>
          </rPr>
          <t>Massa do corpo (g).</t>
        </r>
      </text>
    </comment>
    <comment ref="U4" authorId="0" shapeId="0" xr:uid="{00000000-0006-0000-0700-000015000000}">
      <text>
        <r>
          <rPr>
            <sz val="11"/>
            <color theme="1"/>
            <rFont val="Calibri"/>
            <family val="2"/>
            <scheme val="minor"/>
          </rPr>
          <t>Medida ou estimada.</t>
        </r>
      </text>
    </comment>
    <comment ref="V4" authorId="0" shapeId="0" xr:uid="{00000000-0006-0000-0700-000016000000}">
      <text>
        <r>
          <rPr>
            <sz val="11"/>
            <color theme="1"/>
            <rFont val="Calibri"/>
            <family val="2"/>
            <scheme val="minor"/>
          </rPr>
          <t>[RecyClass: fecho] Tampa de referência do sistema.</t>
        </r>
      </text>
    </comment>
    <comment ref="W4" authorId="0" shapeId="0" xr:uid="{00000000-0006-0000-0700-000017000000}">
      <text>
        <r>
          <rPr>
            <sz val="11"/>
            <color theme="1"/>
            <rFont val="Calibri"/>
            <family val="2"/>
            <scheme val="minor"/>
          </rPr>
          <t>Material da tampa.
[calculado]</t>
        </r>
      </text>
    </comment>
    <comment ref="X4" authorId="0" shapeId="0" xr:uid="{00000000-0006-0000-0700-000018000000}">
      <text>
        <r>
          <rPr>
            <sz val="11"/>
            <color theme="1"/>
            <rFont val="Calibri"/>
            <family val="2"/>
            <scheme val="minor"/>
          </rPr>
          <t>Polímero da tampa.
[calculado]</t>
        </r>
      </text>
    </comment>
    <comment ref="Y4" authorId="0" shapeId="0" xr:uid="{00000000-0006-0000-0700-000019000000}">
      <text>
        <r>
          <rPr>
            <sz val="11"/>
            <color theme="1"/>
            <rFont val="Calibri"/>
            <family val="2"/>
            <scheme val="minor"/>
          </rPr>
          <t>Massa da tampa.
[calculado]</t>
        </r>
      </text>
    </comment>
    <comment ref="Z4" authorId="0" shapeId="0" xr:uid="{00000000-0006-0000-0700-00001A000000}">
      <text>
        <r>
          <rPr>
            <sz val="11"/>
            <color theme="1"/>
            <rFont val="Calibri"/>
            <family val="2"/>
            <scheme val="minor"/>
          </rPr>
          <t>[RecyClass: vedante/liner/válvula].</t>
        </r>
      </text>
    </comment>
    <comment ref="AA4" authorId="0" shapeId="0" xr:uid="{00000000-0006-0000-0700-00001B000000}">
      <text>
        <r>
          <rPr>
            <sz val="11"/>
            <color theme="1"/>
            <rFont val="Calibri"/>
            <family val="2"/>
            <scheme val="minor"/>
          </rPr>
          <t>[RecyClass: rótulo/manga] Tipo de rótulo.</t>
        </r>
      </text>
    </comment>
    <comment ref="AB4" authorId="0" shapeId="0" xr:uid="{00000000-0006-0000-0700-00001C000000}">
      <text>
        <r>
          <rPr>
            <sz val="11"/>
            <color theme="1"/>
            <rFont val="Calibri"/>
            <family val="2"/>
            <scheme val="minor"/>
          </rPr>
          <t>[RecyClass: adesivo] Adesivo do rótulo.</t>
        </r>
      </text>
    </comment>
    <comment ref="AC4" authorId="0" shapeId="0" xr:uid="{00000000-0006-0000-0700-00001D000000}">
      <text>
        <r>
          <rPr>
            <sz val="11"/>
            <color theme="1"/>
            <rFont val="Calibri"/>
            <family val="2"/>
            <scheme val="minor"/>
          </rPr>
          <t>[RecyClass: cobertura] Fração da superfície coberta.</t>
        </r>
      </text>
    </comment>
    <comment ref="AD4" authorId="0" shapeId="0" xr:uid="{00000000-0006-0000-0700-00001E000000}">
      <text>
        <r>
          <rPr>
            <sz val="11"/>
            <color theme="1"/>
            <rFont val="Calibri"/>
            <family val="2"/>
            <scheme val="minor"/>
          </rPr>
          <t>Massa do rótulo (área × cobertura × gramagem).</t>
        </r>
      </text>
    </comment>
    <comment ref="AE4" authorId="0" shapeId="0" xr:uid="{00000000-0006-0000-0700-00001F000000}">
      <text>
        <r>
          <rPr>
            <sz val="11"/>
            <color theme="1"/>
            <rFont val="Calibri"/>
            <family val="2"/>
            <scheme val="minor"/>
          </rPr>
          <t>Origem dos dados do rótulo.</t>
        </r>
      </text>
    </comment>
    <comment ref="AF4" authorId="0" shapeId="0" xr:uid="{00000000-0006-0000-0700-000020000000}">
      <text>
        <r>
          <rPr>
            <sz val="11"/>
            <color theme="1"/>
            <rFont val="Calibri"/>
            <family val="2"/>
            <scheme val="minor"/>
          </rPr>
          <t>[RecyClass: impressão direta/metalização] Decoração direta (dataset).</t>
        </r>
      </text>
    </comment>
    <comment ref="AG4" authorId="0" shapeId="0" xr:uid="{00000000-0006-0000-0700-000021000000}">
      <text>
        <r>
          <rPr>
            <sz val="11"/>
            <color theme="1"/>
            <rFont val="Calibri"/>
            <family val="2"/>
            <scheme val="minor"/>
          </rPr>
          <t>N.º de cores de serigrafia (dim_ink).</t>
        </r>
      </text>
    </comment>
    <comment ref="AH4" authorId="0" shapeId="0" xr:uid="{00000000-0006-0000-0700-000022000000}">
      <text>
        <r>
          <rPr>
            <sz val="11"/>
            <color theme="1"/>
            <rFont val="Calibri"/>
            <family val="2"/>
            <scheme val="minor"/>
          </rPr>
          <t>Opção de decoração para a regra.
[calculado]</t>
        </r>
      </text>
    </comment>
    <comment ref="AI4" authorId="0" shapeId="0" xr:uid="{00000000-0006-0000-0700-000023000000}">
      <text>
        <r>
          <rPr>
            <sz val="11"/>
            <color theme="1"/>
            <rFont val="Calibri"/>
            <family val="2"/>
            <scheme val="minor"/>
          </rPr>
          <t>Tinta ou metalização depositada (g).</t>
        </r>
      </text>
    </comment>
    <comment ref="AJ4" authorId="0" shapeId="0" xr:uid="{00000000-0006-0000-0700-000024000000}">
      <text>
        <r>
          <rPr>
            <sz val="11"/>
            <color theme="1"/>
            <rFont val="Calibri"/>
            <family val="2"/>
            <scheme val="minor"/>
          </rPr>
          <t>Classe da característica 'Fluxo de reciclagem' (tbl_regras_dfr).
[calculado]</t>
        </r>
      </text>
    </comment>
    <comment ref="AK4" authorId="0" shapeId="0" xr:uid="{00000000-0006-0000-0700-000025000000}">
      <text>
        <r>
          <rPr>
            <sz val="11"/>
            <color theme="1"/>
            <rFont val="Calibri"/>
            <family val="2"/>
            <scheme val="minor"/>
          </rPr>
          <t>Classe da característica 'Cor do corpo' (tbl_regras_dfr).
[calculado]</t>
        </r>
      </text>
    </comment>
    <comment ref="AL4" authorId="0" shapeId="0" xr:uid="{00000000-0006-0000-0700-000026000000}">
      <text>
        <r>
          <rPr>
            <sz val="11"/>
            <color theme="1"/>
            <rFont val="Calibri"/>
            <family val="2"/>
            <scheme val="minor"/>
          </rPr>
          <t>Classe da característica 'Densidade do corpo' (tbl_regras_dfr).
[calculado]</t>
        </r>
      </text>
    </comment>
    <comment ref="AM4" authorId="0" shapeId="0" xr:uid="{00000000-0006-0000-0700-000027000000}">
      <text>
        <r>
          <rPr>
            <sz val="11"/>
            <color theme="1"/>
            <rFont val="Calibri"/>
            <family val="2"/>
            <scheme val="minor"/>
          </rPr>
          <t>Classe da característica 'Barreira / revestimento' (tbl_regras_dfr).
[calculado]</t>
        </r>
      </text>
    </comment>
    <comment ref="AN4" authorId="0" shapeId="0" xr:uid="{00000000-0006-0000-0700-000028000000}">
      <text>
        <r>
          <rPr>
            <sz val="11"/>
            <color theme="1"/>
            <rFont val="Calibri"/>
            <family val="2"/>
            <scheme val="minor"/>
          </rPr>
          <t>Classe da característica 'Material da tampa' (tbl_regras_dfr).
[calculado]</t>
        </r>
      </text>
    </comment>
    <comment ref="AO4" authorId="0" shapeId="0" xr:uid="{00000000-0006-0000-0700-000029000000}">
      <text>
        <r>
          <rPr>
            <sz val="11"/>
            <color theme="1"/>
            <rFont val="Calibri"/>
            <family val="2"/>
            <scheme val="minor"/>
          </rPr>
          <t>Classe da característica 'Vedante / liner' (tbl_regras_dfr).
[calculado]</t>
        </r>
      </text>
    </comment>
    <comment ref="AP4" authorId="0" shapeId="0" xr:uid="{00000000-0006-0000-0700-00002A000000}">
      <text>
        <r>
          <rPr>
            <sz val="11"/>
            <color theme="1"/>
            <rFont val="Calibri"/>
            <family val="2"/>
            <scheme val="minor"/>
          </rPr>
          <t>Classe da característica 'Tipo de rótulo' (tbl_regras_dfr).
[calculado]</t>
        </r>
      </text>
    </comment>
    <comment ref="AQ4" authorId="0" shapeId="0" xr:uid="{00000000-0006-0000-0700-00002B000000}">
      <text>
        <r>
          <rPr>
            <sz val="11"/>
            <color theme="1"/>
            <rFont val="Calibri"/>
            <family val="2"/>
            <scheme val="minor"/>
          </rPr>
          <t>Classe da característica 'Adesivo do rótulo' (tbl_regras_dfr).
[calculado]</t>
        </r>
      </text>
    </comment>
    <comment ref="AR4" authorId="0" shapeId="0" xr:uid="{00000000-0006-0000-0700-00002C000000}">
      <text>
        <r>
          <rPr>
            <sz val="11"/>
            <color theme="1"/>
            <rFont val="Calibri"/>
            <family val="2"/>
            <scheme val="minor"/>
          </rPr>
          <t>Classe da característica 'Cobertura do rótulo' (tbl_regras_dfr).
[calculado]</t>
        </r>
      </text>
    </comment>
    <comment ref="AS4" authorId="0" shapeId="0" xr:uid="{00000000-0006-0000-0700-00002D000000}">
      <text>
        <r>
          <rPr>
            <sz val="11"/>
            <color theme="1"/>
            <rFont val="Calibri"/>
            <family val="2"/>
            <scheme val="minor"/>
          </rPr>
          <t>Classe da característica 'Decoração direta' (tbl_regras_dfr).
[calculado]</t>
        </r>
      </text>
    </comment>
    <comment ref="AT4" authorId="0" shapeId="0" xr:uid="{00000000-0006-0000-0700-00002E000000}">
      <text>
        <r>
          <rPr>
            <sz val="11"/>
            <color theme="1"/>
            <rFont val="Calibri"/>
            <family val="2"/>
            <scheme val="minor"/>
          </rPr>
          <t>Pior classe (1 = A … 6 = F).
[calculado]</t>
        </r>
      </text>
    </comment>
    <comment ref="AU4" authorId="0" shapeId="0" xr:uid="{00000000-0006-0000-0700-00002F000000}">
      <text>
        <r>
          <rPr>
            <sz val="11"/>
            <color theme="1"/>
            <rFont val="Calibri"/>
            <family val="2"/>
            <scheme val="minor"/>
          </rPr>
          <t>Classe de reciclabilidade (pior característica).
[calculado]</t>
        </r>
      </text>
    </comment>
    <comment ref="AV4" authorId="0" shapeId="0" xr:uid="{00000000-0006-0000-0700-000030000000}">
      <text>
        <r>
          <rPr>
            <sz val="11"/>
            <color theme="1"/>
            <rFont val="Calibri"/>
            <family val="2"/>
            <scheme val="minor"/>
          </rPr>
          <t>Características sem regra (rever tbl_regras_dfr).
[calculado]</t>
        </r>
      </text>
    </comment>
    <comment ref="AW4" authorId="0" shapeId="0" xr:uid="{00000000-0006-0000-0700-000031000000}">
      <text>
        <r>
          <rPr>
            <sz val="11"/>
            <color theme="1"/>
            <rFont val="Calibri"/>
            <family val="2"/>
            <scheme val="minor"/>
          </rPr>
          <t>Característica que determina a classe.
[calculado]</t>
        </r>
      </text>
    </comment>
    <comment ref="AX4" authorId="0" shapeId="0" xr:uid="{00000000-0006-0000-0700-000032000000}">
      <text>
        <r>
          <rPr>
            <sz val="11"/>
            <color theme="1"/>
            <rFont val="Calibri"/>
            <family val="2"/>
            <scheme val="minor"/>
          </rPr>
          <t>Ação de design para subir de classe.
[calculado]</t>
        </r>
      </text>
    </comment>
    <comment ref="AY4" authorId="0" shapeId="0" xr:uid="{00000000-0006-0000-0700-000033000000}">
      <text>
        <r>
          <rPr>
            <sz val="11"/>
            <color theme="1"/>
            <rFont val="Calibri"/>
            <family val="2"/>
            <scheme val="minor"/>
          </rPr>
          <t>Massa da unidade de embalagem.
[calculado]</t>
        </r>
      </text>
    </comment>
    <comment ref="AZ4" authorId="0" shapeId="0" xr:uid="{00000000-0006-0000-0700-000034000000}">
      <text>
        <r>
          <rPr>
            <sz val="11"/>
            <color theme="1"/>
            <rFont val="Calibri"/>
            <family val="2"/>
            <scheme val="minor"/>
          </rPr>
          <t>Fração do corpo reciclada.
[calculado]</t>
        </r>
      </text>
    </comment>
    <comment ref="BA4" authorId="0" shapeId="0" xr:uid="{00000000-0006-0000-0700-000035000000}">
      <text>
        <r>
          <rPr>
            <sz val="11"/>
            <color theme="1"/>
            <rFont val="Calibri"/>
            <family val="2"/>
            <scheme val="minor"/>
          </rPr>
          <t>Fração da tampa reciclada.
[calculado]</t>
        </r>
      </text>
    </comment>
    <comment ref="BB4" authorId="0" shapeId="0" xr:uid="{00000000-0006-0000-0700-000036000000}">
      <text>
        <r>
          <rPr>
            <sz val="11"/>
            <color theme="1"/>
            <rFont val="Calibri"/>
            <family val="2"/>
            <scheme val="minor"/>
          </rPr>
          <t>Fração do rótulo reciclada.
[calculado]</t>
        </r>
      </text>
    </comment>
    <comment ref="BC4" authorId="0" shapeId="0" xr:uid="{00000000-0006-0000-0700-000037000000}">
      <text>
        <r>
          <rPr>
            <sz val="11"/>
            <color theme="1"/>
            <rFont val="Calibri"/>
            <family val="2"/>
            <scheme val="minor"/>
          </rPr>
          <t>Massa que acaba em reciclado.
[calculado]</t>
        </r>
      </text>
    </comment>
    <comment ref="BD4" authorId="0" shapeId="0" xr:uid="{00000000-0006-0000-0700-000038000000}">
      <text>
        <r>
          <rPr>
            <sz val="11"/>
            <color theme="1"/>
            <rFont val="Calibri"/>
            <family val="2"/>
            <scheme val="minor"/>
          </rPr>
          <t>Taxa de reciclabilidade em massa (sem perdas de processo).
[calculado]</t>
        </r>
      </text>
    </comment>
    <comment ref="BE4" authorId="0" shapeId="0" xr:uid="{00000000-0006-0000-0700-000039000000}">
      <text>
        <r>
          <rPr>
            <sz val="11"/>
            <color theme="1"/>
            <rFont val="Calibri"/>
            <family val="2"/>
            <scheme val="minor"/>
          </rPr>
          <t>Grau pela taxa (anexo II do PPWR).
[calculado]</t>
        </r>
      </text>
    </comment>
    <comment ref="BF4" authorId="0" shapeId="0" xr:uid="{00000000-0006-0000-0700-00003A000000}">
      <text>
        <r>
          <rPr>
            <sz val="11"/>
            <color theme="1"/>
            <rFont val="Calibri"/>
            <family val="2"/>
            <scheme val="minor"/>
          </rPr>
          <t>Pior entre a classe RecyClass (A→A, B→B, C→C, D/E→abaixo de C) e o grau pela taxa.
[calculado]</t>
        </r>
      </text>
    </comment>
    <comment ref="BG4" authorId="0" shapeId="0" xr:uid="{00000000-0006-0000-0700-00003B000000}">
      <text>
        <r>
          <rPr>
            <sz val="11"/>
            <color theme="1"/>
            <rFont val="Calibri"/>
            <family val="2"/>
            <scheme val="minor"/>
          </rPr>
          <t>Isenção da reciclabilidade (embalagem imediata de medicamento).
[calculado]</t>
        </r>
      </text>
    </comment>
    <comment ref="BH4" authorId="0" shapeId="0" xr:uid="{00000000-0006-0000-0700-00003C000000}">
      <text>
        <r>
          <rPr>
            <sz val="11"/>
            <color theme="1"/>
            <rFont val="Calibri"/>
            <family val="2"/>
            <scheme val="minor"/>
          </rPr>
          <t>Graus A–C a partir de 2030.
[calculado]</t>
        </r>
      </text>
    </comment>
    <comment ref="BI4" authorId="0" shapeId="0" xr:uid="{00000000-0006-0000-0700-00003D000000}">
      <text>
        <r>
          <rPr>
            <sz val="11"/>
            <color theme="1"/>
            <rFont val="Calibri"/>
            <family val="2"/>
            <scheme val="minor"/>
          </rPr>
          <t>Só A–B a partir de 2038.
[calculado]</t>
        </r>
      </text>
    </comment>
    <comment ref="BJ4" authorId="0" shapeId="0" xr:uid="{00000000-0006-0000-0700-00003E000000}">
      <text>
        <r>
          <rPr>
            <sz val="11"/>
            <color theme="1"/>
            <rFont val="Calibri"/>
            <family val="2"/>
            <scheme val="minor"/>
          </rPr>
          <t>Reciclado no corpo.
[calculado]</t>
        </r>
      </text>
    </comment>
    <comment ref="BK4" authorId="0" shapeId="0" xr:uid="{00000000-0006-0000-0700-00003F000000}">
      <text>
        <r>
          <rPr>
            <sz val="11"/>
            <color theme="1"/>
            <rFont val="Calibri"/>
            <family val="2"/>
            <scheme val="minor"/>
          </rPr>
          <t>Reciclado na tampa.
[calculado]</t>
        </r>
      </text>
    </comment>
    <comment ref="BL4" authorId="0" shapeId="0" xr:uid="{00000000-0006-0000-0700-000040000000}">
      <text>
        <r>
          <rPr>
            <sz val="11"/>
            <color theme="1"/>
            <rFont val="Calibri"/>
            <family val="2"/>
            <scheme val="minor"/>
          </rPr>
          <t>Reciclado pós-consumo nas partes plásticas da Plasticom.
[calculado]</t>
        </r>
      </text>
    </comment>
    <comment ref="BM4" authorId="0" shapeId="0" xr:uid="{00000000-0006-0000-0700-000041000000}">
      <text>
        <r>
          <rPr>
            <sz val="11"/>
            <color theme="1"/>
            <rFont val="Calibri"/>
            <family val="2"/>
            <scheme val="minor"/>
          </rPr>
          <t>Categoria do art. 7.º.
[calculado]</t>
        </r>
      </text>
    </comment>
    <comment ref="BN4" authorId="0" shapeId="0" xr:uid="{00000000-0006-0000-0700-000042000000}">
      <text>
        <r>
          <rPr>
            <sz val="11"/>
            <color theme="1"/>
            <rFont val="Calibri"/>
            <family val="2"/>
            <scheme val="minor"/>
          </rPr>
          <t>Meta de reciclado 2030.
[calculado]</t>
        </r>
      </text>
    </comment>
    <comment ref="BO4" authorId="0" shapeId="0" xr:uid="{00000000-0006-0000-0700-000043000000}">
      <text>
        <r>
          <rPr>
            <sz val="11"/>
            <color theme="1"/>
            <rFont val="Calibri"/>
            <family val="2"/>
            <scheme val="minor"/>
          </rPr>
          <t>Pontos percentuais em falta (indicativo por SKU; a lei avalia a média por instalação/ano).
[calculado]</t>
        </r>
      </text>
    </comment>
    <comment ref="BP4" authorId="0" shapeId="0" xr:uid="{00000000-0006-0000-0700-000044000000}">
      <text>
        <r>
          <rPr>
            <sz val="11"/>
            <color theme="1"/>
            <rFont val="Calibri"/>
            <family val="2"/>
            <scheme val="minor"/>
          </rPr>
          <t>Cumpre a meta de 2030 isoladamente?
[calculado]</t>
        </r>
      </text>
    </comment>
    <comment ref="BQ4" authorId="0" shapeId="0" xr:uid="{00000000-0006-0000-0700-000045000000}">
      <text>
        <r>
          <rPr>
            <sz val="11"/>
            <color theme="1"/>
            <rFont val="Calibri"/>
            <family val="2"/>
            <scheme val="minor"/>
          </rPr>
          <t>Monomaterial = corpo, tampa e rótulo na mesma família de polímero.
[calculado]</t>
        </r>
      </text>
    </comment>
    <comment ref="BR4" authorId="0" shapeId="0" xr:uid="{00000000-0006-0000-0700-000046000000}">
      <text>
        <r>
          <rPr>
            <sz val="11"/>
            <color theme="1"/>
            <rFont val="Calibri"/>
            <family val="2"/>
            <scheme val="minor"/>
          </rPr>
          <t>Unidades vendidas (ano civil de 2026).</t>
        </r>
      </text>
    </comment>
    <comment ref="BS4" authorId="0" shapeId="0" xr:uid="{00000000-0006-0000-0700-000047000000}">
      <text>
        <r>
          <rPr>
            <sz val="11"/>
            <color theme="1"/>
            <rFont val="Calibri"/>
            <family val="2"/>
            <scheme val="minor"/>
          </rPr>
          <t>Clientes.</t>
        </r>
      </text>
    </comment>
    <comment ref="BT4" authorId="0" shapeId="0" xr:uid="{00000000-0006-0000-0700-000048000000}">
      <text>
        <r>
          <rPr>
            <sz val="11"/>
            <color theme="1"/>
            <rFont val="Calibri"/>
            <family val="2"/>
            <scheme val="minor"/>
          </rPr>
          <t>Países de colocação no mercado.</t>
        </r>
      </text>
    </comment>
    <comment ref="BU4" authorId="0" shapeId="0" xr:uid="{00000000-0006-0000-0700-000049000000}">
      <text>
        <r>
          <rPr>
            <sz val="11"/>
            <color theme="1"/>
            <rFont val="Calibri"/>
            <family val="2"/>
            <scheme val="minor"/>
          </rPr>
          <t>Massa de corpos vendida (kg).
[calculado]</t>
        </r>
      </text>
    </comment>
    <comment ref="BV4" authorId="0" shapeId="0" xr:uid="{00000000-0006-0000-0700-00004A000000}">
      <text>
        <r>
          <rPr>
            <sz val="11"/>
            <color theme="1"/>
            <rFont val="Calibri"/>
            <family val="2"/>
            <scheme val="minor"/>
          </rPr>
          <t>Requisitos legais/normativos aplicáveis ao SKU.
[calculado]</t>
        </r>
      </text>
    </comment>
    <comment ref="BW4" authorId="0" shapeId="0" xr:uid="{00000000-0006-0000-0700-00004B000000}">
      <text>
        <r>
          <rPr>
            <sz val="11"/>
            <color theme="1"/>
            <rFont val="Calibri"/>
            <family val="2"/>
            <scheme val="minor"/>
          </rPr>
          <t>Requisitos em lacuna ou não conformes.
[calculado]</t>
        </r>
      </text>
    </comment>
    <comment ref="BX4" authorId="0" shapeId="0" xr:uid="{00000000-0006-0000-0700-00004C000000}">
      <text>
        <r>
          <rPr>
            <sz val="11"/>
            <color theme="1"/>
            <rFont val="Calibri"/>
            <family val="2"/>
            <scheme val="minor"/>
          </rPr>
          <t>Data da avaliação.</t>
        </r>
      </text>
    </comment>
    <comment ref="BY4" authorId="0" shapeId="0" xr:uid="{00000000-0006-0000-0700-00004D000000}">
      <text>
        <r>
          <rPr>
            <sz val="11"/>
            <color theme="1"/>
            <rFont val="Calibri"/>
            <family val="2"/>
            <scheme val="minor"/>
          </rPr>
          <t>Revisão anual ou em alteração de design.
[calculado]</t>
        </r>
      </text>
    </comment>
    <comment ref="BZ4" authorId="0" shapeId="0" xr:uid="{00000000-0006-0000-0700-00004E000000}">
      <text>
        <r>
          <rPr>
            <sz val="11"/>
            <color theme="1"/>
            <rFont val="Calibri"/>
            <family val="2"/>
            <scheme val="minor"/>
          </rPr>
          <t>Responsável.</t>
        </r>
      </text>
    </comment>
    <comment ref="CA4" authorId="0" shapeId="0" xr:uid="{00000000-0006-0000-0700-00004F000000}">
      <text>
        <r>
          <rPr>
            <sz val="11"/>
            <color theme="1"/>
            <rFont val="Calibri"/>
            <family val="2"/>
            <scheme val="minor"/>
          </rPr>
          <t>Autoavaliação, carta de compatibilidade ou certificado.</t>
        </r>
      </text>
    </comment>
    <comment ref="CB4" authorId="0" shapeId="0" xr:uid="{00000000-0006-0000-0700-000050000000}">
      <text>
        <r>
          <rPr>
            <sz val="11"/>
            <color theme="1"/>
            <rFont val="Calibri"/>
            <family val="2"/>
            <scheme val="minor"/>
          </rPr>
          <t>Método e versão.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1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Tampa.</t>
        </r>
      </text>
    </comment>
    <comment ref="B1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Fluxo do corpo onde a tampa é aplicada.</t>
        </r>
      </text>
    </comment>
    <comment ref="C1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Polímero.
[calculado]</t>
        </r>
      </text>
    </comment>
    <comment ref="D1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Classe da tampa nesse fluxo.
[calculado]</t>
        </r>
      </text>
    </comment>
    <comment ref="E1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Fração reciclada.
[calculado]</t>
        </r>
      </text>
    </comment>
    <comment ref="F1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Porquê.
[calculado]</t>
        </r>
      </text>
    </comment>
    <comment ref="G1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Orientação para a área comercial.
[calculado]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1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Família PPWR (grupo com a mesma documentação técnica).</t>
        </r>
      </text>
    </comment>
    <comment ref="B1" authorId="0" shapeId="0" xr:uid="{00000000-0006-0000-0900-000002000000}">
      <text>
        <r>
          <rPr>
            <sz val="11"/>
            <color theme="1"/>
            <rFont val="Calibri"/>
            <family val="2"/>
            <scheme val="minor"/>
          </rPr>
          <t>Designação.</t>
        </r>
      </text>
    </comment>
    <comment ref="C1" authorId="0" shapeId="0" xr:uid="{00000000-0006-0000-0900-000003000000}">
      <text>
        <r>
          <rPr>
            <sz val="11"/>
            <color theme="1"/>
            <rFont val="Calibri"/>
            <family val="2"/>
            <scheme val="minor"/>
          </rPr>
          <t>Frasco, pote, tampa.</t>
        </r>
      </text>
    </comment>
    <comment ref="D1" authorId="0" shapeId="0" xr:uid="{00000000-0006-0000-0900-000004000000}">
      <text>
        <r>
          <rPr>
            <sz val="11"/>
            <color theme="1"/>
            <rFont val="Calibri"/>
            <family val="2"/>
            <scheme val="minor"/>
          </rPr>
          <t>Material.</t>
        </r>
      </text>
    </comment>
    <comment ref="E1" authorId="0" shapeId="0" xr:uid="{00000000-0006-0000-0900-000005000000}">
      <text>
        <r>
          <rPr>
            <sz val="11"/>
            <color theme="1"/>
            <rFont val="Calibri"/>
            <family val="2"/>
            <scheme val="minor"/>
          </rPr>
          <t>SKUs na família.
[calculado]</t>
        </r>
      </text>
    </comment>
    <comment ref="F1" authorId="0" shapeId="0" xr:uid="{00000000-0006-0000-0900-000006000000}">
      <text>
        <r>
          <rPr>
            <sz val="11"/>
            <color theme="1"/>
            <rFont val="Calibri"/>
            <family val="2"/>
            <scheme val="minor"/>
          </rPr>
          <t>Documentação técnica (anexo VII) completa.</t>
        </r>
      </text>
    </comment>
    <comment ref="G1" authorId="0" shapeId="0" xr:uid="{00000000-0006-0000-0900-000007000000}">
      <text>
        <r>
          <rPr>
            <sz val="11"/>
            <color theme="1"/>
            <rFont val="Calibri"/>
            <family val="2"/>
            <scheme val="minor"/>
          </rPr>
          <t>Declaração UE de conformidade emitida.</t>
        </r>
      </text>
    </comment>
    <comment ref="H1" authorId="0" shapeId="0" xr:uid="{00000000-0006-0000-0900-000008000000}">
      <text>
        <r>
          <rPr>
            <sz val="11"/>
            <color theme="1"/>
            <rFont val="Calibri"/>
            <family val="2"/>
            <scheme val="minor"/>
          </rPr>
          <t>Data da declaração UE.</t>
        </r>
      </text>
    </comment>
    <comment ref="I1" authorId="0" shapeId="0" xr:uid="{00000000-0006-0000-0900-000009000000}">
      <text>
        <r>
          <rPr>
            <sz val="11"/>
            <color theme="1"/>
            <rFont val="Calibri"/>
            <family val="2"/>
            <scheme val="minor"/>
          </rPr>
          <t>Evidência Pb+Cd+Hg+Cr(VI) ≤ 100 mg/kg.</t>
        </r>
      </text>
    </comment>
    <comment ref="J1" authorId="0" shapeId="0" xr:uid="{00000000-0006-0000-0900-00000A000000}">
      <text>
        <r>
          <rPr>
            <sz val="11"/>
            <color theme="1"/>
            <rFont val="Calibri"/>
            <family val="2"/>
            <scheme val="minor"/>
          </rPr>
          <t>Resultado (soma, mg/kg).</t>
        </r>
      </text>
    </comment>
    <comment ref="K1" authorId="0" shapeId="0" xr:uid="{00000000-0006-0000-0900-00000B000000}">
      <text>
        <r>
          <rPr>
            <sz val="11"/>
            <color theme="1"/>
            <rFont val="Calibri"/>
            <family val="2"/>
            <scheme val="minor"/>
          </rPr>
          <t>PFAS (só contacto alimentar).</t>
        </r>
      </text>
    </comment>
    <comment ref="L1" authorId="0" shapeId="0" xr:uid="{00000000-0006-0000-0900-00000C000000}">
      <text>
        <r>
          <rPr>
            <sz val="11"/>
            <color theme="1"/>
            <rFont val="Calibri"/>
            <family val="2"/>
            <scheme val="minor"/>
          </rPr>
          <t>SVHC da lista candidata &gt; 0,1% m/m no artigo? (Não / Sim / Por confirmar) — triagem a partir das declarações do RG-SGA-21.</t>
        </r>
      </text>
    </comment>
    <comment ref="M1" authorId="0" shapeId="0" xr:uid="{00000000-0006-0000-0900-00000D000000}">
      <text>
        <r>
          <rPr>
            <sz val="11"/>
            <color theme="1"/>
            <rFont val="Calibri"/>
            <family val="2"/>
            <scheme val="minor"/>
          </rPr>
          <t>Declarações (RG-SGA-21 tbl_declaracoes) ou cálculo por artigo (acórdão C-106/14).</t>
        </r>
      </text>
    </comment>
    <comment ref="N1" authorId="0" shapeId="0" xr:uid="{00000000-0006-0000-0900-00000E000000}">
      <text>
        <r>
          <rPr>
            <sz val="11"/>
            <color theme="1"/>
            <rFont val="Calibri"/>
            <family val="2"/>
            <scheme val="minor"/>
          </rPr>
          <t>Obrigações REACH decorrentes (EU-ENV-008).
[calculado]</t>
        </r>
      </text>
    </comment>
    <comment ref="O1" authorId="0" shapeId="0" xr:uid="{00000000-0006-0000-0900-00000F000000}">
      <text>
        <r>
          <rPr>
            <sz val="11"/>
            <color theme="1"/>
            <rFont val="Calibri"/>
            <family val="2"/>
            <scheme val="minor"/>
          </rPr>
          <t>Pior classe dos SKUs da família.
[calculado]</t>
        </r>
      </text>
    </comment>
    <comment ref="P1" authorId="0" shapeId="0" xr:uid="{00000000-0006-0000-0900-000010000000}">
      <text>
        <r>
          <rPr>
            <sz val="11"/>
            <color theme="1"/>
            <rFont val="Calibri"/>
            <family val="2"/>
            <scheme val="minor"/>
          </rPr>
          <t>SKUs abaixo do grau C.
[calculado]</t>
        </r>
      </text>
    </comment>
    <comment ref="Q1" authorId="0" shapeId="0" xr:uid="{00000000-0006-0000-0900-000011000000}">
      <text>
        <r>
          <rPr>
            <sz val="11"/>
            <color theme="1"/>
            <rFont val="Calibri"/>
            <family val="2"/>
            <scheme val="minor"/>
          </rPr>
          <t>Conformidade atual (declaração + metais).
[calculado]</t>
        </r>
      </text>
    </comment>
    <comment ref="R1" authorId="0" shapeId="0" xr:uid="{00000000-0006-0000-0900-000012000000}">
      <text>
        <r>
          <rPr>
            <sz val="11"/>
            <color theme="1"/>
            <rFont val="Calibri"/>
            <family val="2"/>
            <scheme val="minor"/>
          </rPr>
          <t>Prazo para concluir.</t>
        </r>
      </text>
    </comment>
    <comment ref="S1" authorId="0" shapeId="0" xr:uid="{00000000-0006-0000-0900-000013000000}">
      <text>
        <r>
          <rPr>
            <sz val="11"/>
            <color theme="1"/>
            <rFont val="Calibri"/>
            <family val="2"/>
            <scheme val="minor"/>
          </rPr>
          <t>Ação.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4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ID da matriz integrada (IDs propostos pelo ChatGPT + adicionados).</t>
        </r>
      </text>
    </comment>
    <comment ref="B4" authorId="0" shapeId="0" xr:uid="{00000000-0006-0000-0A00-000002000000}">
      <text>
        <r>
          <rPr>
            <sz val="11"/>
            <color theme="1"/>
            <rFont val="Calibri"/>
            <family val="2"/>
            <scheme val="minor"/>
          </rPr>
          <t>Grupo.</t>
        </r>
      </text>
    </comment>
    <comment ref="C4" authorId="0" shapeId="0" xr:uid="{00000000-0006-0000-0A00-000003000000}">
      <text>
        <r>
          <rPr>
            <sz val="11"/>
            <color theme="1"/>
            <rFont val="Calibri"/>
            <family val="2"/>
            <scheme val="minor"/>
          </rPr>
          <t>Diploma / norma.</t>
        </r>
      </text>
    </comment>
    <comment ref="D4" authorId="0" shapeId="0" xr:uid="{00000000-0006-0000-0A00-000004000000}">
      <text>
        <r>
          <rPr>
            <sz val="11"/>
            <color theme="1"/>
            <rFont val="Calibri"/>
            <family val="2"/>
            <scheme val="minor"/>
          </rPr>
          <t>Artigo / anexo.</t>
        </r>
      </text>
    </comment>
    <comment ref="E4" authorId="0" shapeId="0" xr:uid="{00000000-0006-0000-0A00-000005000000}">
      <text>
        <r>
          <rPr>
            <sz val="11"/>
            <color theme="1"/>
            <rFont val="Calibri"/>
            <family val="2"/>
            <scheme val="minor"/>
          </rPr>
          <t>Tema.</t>
        </r>
      </text>
    </comment>
    <comment ref="F4" authorId="0" shapeId="0" xr:uid="{00000000-0006-0000-0A00-000006000000}">
      <text>
        <r>
          <rPr>
            <sz val="11"/>
            <color theme="1"/>
            <rFont val="Calibri"/>
            <family val="2"/>
            <scheme val="minor"/>
          </rPr>
          <t>O que tem de ser cumprido.</t>
        </r>
      </text>
    </comment>
    <comment ref="G4" authorId="0" shapeId="0" xr:uid="{00000000-0006-0000-0A00-000007000000}">
      <text>
        <r>
          <rPr>
            <sz val="11"/>
            <color theme="1"/>
            <rFont val="Calibri"/>
            <family val="2"/>
            <scheme val="minor"/>
          </rPr>
          <t>Obrigação legal / norma técnica / contratual / voluntária / necessita verificação.</t>
        </r>
      </text>
    </comment>
    <comment ref="H4" authorId="0" shapeId="0" xr:uid="{00000000-0006-0000-0A00-000008000000}">
      <text>
        <r>
          <rPr>
            <sz val="11"/>
            <color theme="1"/>
            <rFont val="Calibri"/>
            <family val="2"/>
            <scheme val="minor"/>
          </rPr>
          <t>Papel jurídico da Plasticom neste requisito.</t>
        </r>
      </text>
    </comment>
    <comment ref="I4" authorId="0" shapeId="0" xr:uid="{00000000-0006-0000-0A00-000009000000}">
      <text>
        <r>
          <rPr>
            <sz val="11"/>
            <color theme="1"/>
            <rFont val="Calibri"/>
            <family val="2"/>
            <scheme val="minor"/>
          </rPr>
          <t>Produto (liga a tbl_aplicabilidade), Material ou Empresa.</t>
        </r>
      </text>
    </comment>
    <comment ref="J4" authorId="0" shapeId="0" xr:uid="{00000000-0006-0000-0A00-00000A000000}">
      <text>
        <r>
          <rPr>
            <sz val="11"/>
            <color theme="1"/>
            <rFont val="Calibri"/>
            <family val="2"/>
            <scheme val="minor"/>
          </rPr>
          <t>Produtos abrangidos.</t>
        </r>
      </text>
    </comment>
    <comment ref="K4" authorId="0" shapeId="0" xr:uid="{00000000-0006-0000-0A00-00000B000000}">
      <text>
        <r>
          <rPr>
            <sz val="11"/>
            <color theme="1"/>
            <rFont val="Calibri"/>
            <family val="2"/>
            <scheme val="minor"/>
          </rPr>
          <t>Data de aplicação.</t>
        </r>
      </text>
    </comment>
    <comment ref="L4" authorId="0" shapeId="0" xr:uid="{00000000-0006-0000-0A00-00000C000000}">
      <text>
        <r>
          <rPr>
            <sz val="11"/>
            <color theme="1"/>
            <rFont val="Calibri"/>
            <family val="2"/>
            <scheme val="minor"/>
          </rPr>
          <t>Sim / Condicional / Não / Futuro.</t>
        </r>
      </text>
    </comment>
    <comment ref="M4" authorId="0" shapeId="0" xr:uid="{00000000-0006-0000-0A00-00000D000000}">
      <text>
        <r>
          <rPr>
            <sz val="11"/>
            <color theme="1"/>
            <rFont val="Calibri"/>
            <family val="2"/>
            <scheme val="minor"/>
          </rPr>
          <t>Registo/tabela do SGA com a evidência.</t>
        </r>
      </text>
    </comment>
    <comment ref="N4" authorId="0" shapeId="0" xr:uid="{00000000-0006-0000-0A00-00000E000000}">
      <text>
        <r>
          <rPr>
            <sz val="11"/>
            <color theme="1"/>
            <rFont val="Calibri"/>
            <family val="2"/>
            <scheme val="minor"/>
          </rPr>
          <t>Como se verifica.</t>
        </r>
      </text>
    </comment>
    <comment ref="O4" authorId="0" shapeId="0" xr:uid="{00000000-0006-0000-0A00-00000F000000}">
      <text>
        <r>
          <rPr>
            <sz val="11"/>
            <color theme="1"/>
            <rFont val="Calibri"/>
            <family val="2"/>
            <scheme val="minor"/>
          </rPr>
          <t>Periodicidade.</t>
        </r>
      </text>
    </comment>
    <comment ref="P4" authorId="0" shapeId="0" xr:uid="{00000000-0006-0000-0A00-000010000000}">
      <text>
        <r>
          <rPr>
            <sz val="11"/>
            <color theme="1"/>
            <rFont val="Calibri"/>
            <family val="2"/>
            <scheme val="minor"/>
          </rPr>
          <t>Estado da conformidade.</t>
        </r>
      </text>
    </comment>
    <comment ref="Q4" authorId="0" shapeId="0" xr:uid="{00000000-0006-0000-0A00-000011000000}">
      <text>
        <r>
          <rPr>
            <sz val="11"/>
            <color theme="1"/>
            <rFont val="Calibri"/>
            <family val="2"/>
            <scheme val="minor"/>
          </rPr>
          <t>Impacto do incumprimento.</t>
        </r>
      </text>
    </comment>
    <comment ref="R4" authorId="0" shapeId="0" xr:uid="{00000000-0006-0000-0A00-000012000000}">
      <text>
        <r>
          <rPr>
            <sz val="11"/>
            <color theme="1"/>
            <rFont val="Calibri"/>
            <family val="2"/>
            <scheme val="minor"/>
          </rPr>
          <t>Requisito no registo legal.</t>
        </r>
      </text>
    </comment>
    <comment ref="S4" authorId="0" shapeId="0" xr:uid="{00000000-0006-0000-0A00-000013000000}">
      <text>
        <r>
          <rPr>
            <sz val="11"/>
            <color theme="1"/>
            <rFont val="Calibri"/>
            <family val="2"/>
            <scheme val="minor"/>
          </rPr>
          <t>Ação.</t>
        </r>
      </text>
    </comment>
    <comment ref="T4" authorId="0" shapeId="0" xr:uid="{00000000-0006-0000-0A00-000014000000}">
      <text>
        <r>
          <rPr>
            <sz val="11"/>
            <color theme="1"/>
            <rFont val="Calibri"/>
            <family val="2"/>
            <scheme val="minor"/>
          </rPr>
          <t>Responsável.</t>
        </r>
      </text>
    </comment>
    <comment ref="U4" authorId="0" shapeId="0" xr:uid="{00000000-0006-0000-0A00-000015000000}">
      <text>
        <r>
          <rPr>
            <sz val="11"/>
            <color theme="1"/>
            <rFont val="Calibri"/>
            <family val="2"/>
            <scheme val="minor"/>
          </rPr>
          <t>Prazo de fecho da lacuna.</t>
        </r>
      </text>
    </comment>
    <comment ref="V4" authorId="0" shapeId="0" xr:uid="{00000000-0006-0000-0A00-000016000000}">
      <text>
        <r>
          <rPr>
            <sz val="11"/>
            <color theme="1"/>
            <rFont val="Calibri"/>
            <family val="2"/>
            <scheme val="minor"/>
          </rPr>
          <t>Resultado da verificação da matriz do ChatGPT.</t>
        </r>
      </text>
    </comment>
    <comment ref="W4" authorId="0" shapeId="0" xr:uid="{00000000-0006-0000-0A00-000017000000}">
      <text>
        <r>
          <rPr>
            <sz val="11"/>
            <color theme="1"/>
            <rFont val="Calibri"/>
            <family val="2"/>
            <scheme val="minor"/>
          </rPr>
          <t>O que foi confirmado, corrigido ou acrescentado.</t>
        </r>
      </text>
    </comment>
    <comment ref="X4" authorId="0" shapeId="0" xr:uid="{00000000-0006-0000-0A00-000018000000}">
      <text>
        <r>
          <rPr>
            <sz val="11"/>
            <color theme="1"/>
            <rFont val="Calibri"/>
            <family val="2"/>
            <scheme val="minor"/>
          </rPr>
          <t>Ligação oficial.</t>
        </r>
      </text>
    </comment>
    <comment ref="Y4" authorId="0" shapeId="0" xr:uid="{00000000-0006-0000-0A00-000019000000}">
      <text>
        <r>
          <rPr>
            <sz val="11"/>
            <color theme="1"/>
            <rFont val="Calibri"/>
            <family val="2"/>
            <scheme val="minor"/>
          </rPr>
          <t>Data da revisão.</t>
        </r>
      </text>
    </comment>
    <comment ref="Z4" authorId="0" shapeId="0" xr:uid="{00000000-0006-0000-0A00-00001A000000}">
      <text>
        <r>
          <rPr>
            <sz val="11"/>
            <color theme="1"/>
            <rFont val="Calibri"/>
            <family val="2"/>
            <scheme val="minor"/>
          </rPr>
          <t>SKUs a que se aplica (requisitos de produto).
[calculado]</t>
        </r>
      </text>
    </comment>
    <comment ref="AA4" authorId="0" shapeId="0" xr:uid="{00000000-0006-0000-0A00-00001B000000}">
      <text>
        <r>
          <rPr>
            <sz val="11"/>
            <color theme="1"/>
            <rFont val="Calibri"/>
            <family val="2"/>
            <scheme val="minor"/>
          </rPr>
          <t>SKUs conformes ou isentos.
[calculado]</t>
        </r>
      </text>
    </comment>
    <comment ref="AB4" authorId="0" shapeId="0" xr:uid="{00000000-0006-0000-0A00-00001C000000}">
      <text>
        <r>
          <rPr>
            <sz val="11"/>
            <color theme="1"/>
            <rFont val="Calibri"/>
            <family val="2"/>
            <scheme val="minor"/>
          </rPr>
          <t>Alerta automático.
[calculado]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1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SKU.</t>
        </r>
      </text>
    </comment>
    <comment ref="B1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Requisito.</t>
        </r>
      </text>
    </comment>
    <comment ref="C1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Tema.
[calculado]</t>
        </r>
      </text>
    </comment>
    <comment ref="D1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Segmento do SKU.
[calculado]</t>
        </r>
      </text>
    </comment>
    <comment ref="E1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Aplica-se ao SKU?</t>
        </r>
      </text>
    </comment>
    <comment ref="F1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Justificação da aplicabilidade.</t>
        </r>
      </text>
    </comment>
    <comment ref="G1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Estado do requisito (quando não é calculado).</t>
        </r>
      </text>
    </comment>
    <comment ref="H1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Estado para o SKU (calculado para DfR, reciclado, metais e declaração UE).
[calculado]</t>
        </r>
      </text>
    </comment>
    <comment ref="I1" authorId="0" shapeId="0" xr:uid="{00000000-0006-0000-0B00-000009000000}">
      <text>
        <r>
          <rPr>
            <sz val="11"/>
            <color theme="1"/>
            <rFont val="Calibri"/>
            <family val="2"/>
            <scheme val="minor"/>
          </rPr>
          <t>Estado normalizado (para Power BI).
[calculado]</t>
        </r>
      </text>
    </comment>
    <comment ref="J1" authorId="0" shapeId="0" xr:uid="{00000000-0006-0000-0B00-00000A000000}">
      <text>
        <r>
          <rPr>
            <sz val="11"/>
            <color theme="1"/>
            <rFont val="Calibri"/>
            <family val="2"/>
            <scheme val="minor"/>
          </rPr>
          <t>Evidência.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1" authorId="0" shapeId="0" xr:uid="{00000000-0006-0000-0C00-000001000000}">
      <text>
        <r>
          <rPr>
            <sz val="11"/>
            <color theme="1"/>
            <rFont val="Calibri"/>
            <family val="2"/>
            <scheme val="minor"/>
          </rPr>
          <t>SKU.</t>
        </r>
      </text>
    </comment>
    <comment ref="B1" authorId="0" shapeId="0" xr:uid="{00000000-0006-0000-0C00-000002000000}">
      <text>
        <r>
          <rPr>
            <sz val="11"/>
            <color theme="1"/>
            <rFont val="Calibri"/>
            <family val="2"/>
            <scheme val="minor"/>
          </rPr>
          <t>Frasco/pote ou tampa.</t>
        </r>
      </text>
    </comment>
    <comment ref="C1" authorId="0" shapeId="0" xr:uid="{00000000-0006-0000-0C00-000003000000}">
      <text>
        <r>
          <rPr>
            <sz val="11"/>
            <color theme="1"/>
            <rFont val="Calibri"/>
            <family val="2"/>
            <scheme val="minor"/>
          </rPr>
          <t>País (ISO).</t>
        </r>
      </text>
    </comment>
    <comment ref="D1" authorId="0" shapeId="0" xr:uid="{00000000-0006-0000-0C00-000004000000}">
      <text>
        <r>
          <rPr>
            <sz val="11"/>
            <color theme="1"/>
            <rFont val="Calibri"/>
            <family val="2"/>
            <scheme val="minor"/>
          </rPr>
          <t>País.</t>
        </r>
      </text>
    </comment>
    <comment ref="E1" authorId="0" shapeId="0" xr:uid="{00000000-0006-0000-0C00-000005000000}">
      <text>
        <r>
          <rPr>
            <sz val="11"/>
            <color theme="1"/>
            <rFont val="Calibri"/>
            <family val="2"/>
            <scheme val="minor"/>
          </rPr>
          <t>Clientes.</t>
        </r>
      </text>
    </comment>
    <comment ref="F1" authorId="0" shapeId="0" xr:uid="{00000000-0006-0000-0C00-000006000000}">
      <text>
        <r>
          <rPr>
            <sz val="11"/>
            <color theme="1"/>
            <rFont val="Calibri"/>
            <family val="2"/>
            <scheme val="minor"/>
          </rPr>
          <t>Unidades expedidas (ano civil de 2026).</t>
        </r>
      </text>
    </comment>
    <comment ref="G1" authorId="0" shapeId="0" xr:uid="{00000000-0006-0000-0C00-000007000000}">
      <text>
        <r>
          <rPr>
            <sz val="11"/>
            <color theme="1"/>
            <rFont val="Calibri"/>
            <family val="2"/>
            <scheme val="minor"/>
          </rPr>
          <t>Massa unitária.
[calculado]</t>
        </r>
      </text>
    </comment>
    <comment ref="H1" authorId="0" shapeId="0" xr:uid="{00000000-0006-0000-0C00-000008000000}">
      <text>
        <r>
          <rPr>
            <sz val="11"/>
            <color theme="1"/>
            <rFont val="Calibri"/>
            <family val="2"/>
            <scheme val="minor"/>
          </rPr>
          <t>Plástico colocado no mercado (kg).
[calculado]</t>
        </r>
      </text>
    </comment>
    <comment ref="I1" authorId="0" shapeId="0" xr:uid="{00000000-0006-0000-0C00-000009000000}">
      <text>
        <r>
          <rPr>
            <sz val="11"/>
            <color theme="1"/>
            <rFont val="Calibri"/>
            <family val="2"/>
            <scheme val="minor"/>
          </rPr>
          <t>Reciclado certificado.
[calculado]</t>
        </r>
      </text>
    </comment>
    <comment ref="J1" authorId="0" shapeId="0" xr:uid="{00000000-0006-0000-0C00-00000A000000}">
      <text>
        <r>
          <rPr>
            <sz val="11"/>
            <color theme="1"/>
            <rFont val="Calibri"/>
            <family val="2"/>
            <scheme val="minor"/>
          </rPr>
          <t>Plástico reciclado (kg).
[calculado]</t>
        </r>
      </text>
    </comment>
    <comment ref="K1" authorId="0" shapeId="0" xr:uid="{00000000-0006-0000-0C00-00000B000000}">
      <text>
        <r>
          <rPr>
            <sz val="11"/>
            <color theme="1"/>
            <rFont val="Calibri"/>
            <family val="2"/>
            <scheme val="minor"/>
          </rPr>
          <t>Plástico não reciclado (kg).
[calculado]</t>
        </r>
      </text>
    </comment>
    <comment ref="L1" authorId="0" shapeId="0" xr:uid="{00000000-0006-0000-0C00-00000C000000}">
      <text>
        <r>
          <rPr>
            <sz val="11"/>
            <color theme="1"/>
            <rFont val="Calibri"/>
            <family val="2"/>
            <scheme val="minor"/>
          </rPr>
          <t>Imposto espanhol estimado pago pelo cliente adquirente.
[calculado]</t>
        </r>
      </text>
    </comment>
    <comment ref="M1" authorId="0" shapeId="0" xr:uid="{00000000-0006-0000-0C00-00000D000000}">
      <text>
        <r>
          <rPr>
            <sz val="11"/>
            <color theme="1"/>
            <rFont val="Calibri"/>
            <family val="2"/>
            <scheme val="minor"/>
          </rPr>
          <t>Grau PPWR do SKU.
[calculado]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1" authorId="0" shapeId="0" xr:uid="{00000000-0006-0000-0D00-000001000000}">
      <text>
        <r>
          <rPr>
            <sz val="11"/>
            <color theme="1"/>
            <rFont val="Calibri"/>
            <family val="2"/>
            <scheme val="minor"/>
          </rPr>
          <t>Mês.</t>
        </r>
      </text>
    </comment>
    <comment ref="B1" authorId="0" shapeId="0" xr:uid="{00000000-0006-0000-0D00-000002000000}">
      <text>
        <r>
          <rPr>
            <sz val="11"/>
            <color theme="1"/>
            <rFont val="Calibri"/>
            <family val="2"/>
            <scheme val="minor"/>
          </rPr>
          <t>País de destino.</t>
        </r>
      </text>
    </comment>
    <comment ref="C1" authorId="0" shapeId="0" xr:uid="{00000000-0006-0000-0D00-000003000000}">
      <text>
        <r>
          <rPr>
            <sz val="11"/>
            <color theme="1"/>
            <rFont val="Calibri"/>
            <family val="2"/>
            <scheme val="minor"/>
          </rPr>
          <t>Material da embalagem de expedição.</t>
        </r>
      </text>
    </comment>
    <comment ref="D1" authorId="0" shapeId="0" xr:uid="{00000000-0006-0000-0D00-000004000000}">
      <text>
        <r>
          <rPr>
            <sz val="11"/>
            <color theme="1"/>
            <rFont val="Calibri"/>
            <family val="2"/>
            <scheme val="minor"/>
          </rPr>
          <t>Código LER quando vira resíduo no cliente.</t>
        </r>
      </text>
    </comment>
    <comment ref="E1" authorId="0" shapeId="0" xr:uid="{00000000-0006-0000-0D00-000005000000}">
      <text>
        <r>
          <rPr>
            <sz val="11"/>
            <color theme="1"/>
            <rFont val="Calibri"/>
            <family val="2"/>
            <scheme val="minor"/>
          </rPr>
          <t>Massa colocada no mercado (kg).</t>
        </r>
      </text>
    </comment>
    <comment ref="F1" authorId="0" shapeId="0" xr:uid="{00000000-0006-0000-0D00-000006000000}">
      <text>
        <r>
          <rPr>
            <sz val="11"/>
            <color theme="1"/>
            <rFont val="Calibri"/>
            <family val="2"/>
            <scheme val="minor"/>
          </rPr>
          <t>Regime aplicável.
[calculado]</t>
        </r>
      </text>
    </comment>
    <comment ref="G1" authorId="0" shapeId="0" xr:uid="{00000000-0006-0000-0D00-000007000000}">
      <text>
        <r>
          <rPr>
            <sz val="11"/>
            <color theme="1"/>
            <rFont val="Calibri"/>
            <family val="2"/>
            <scheme val="minor"/>
          </rPr>
          <t>Parâmetro da prestação financeira.</t>
        </r>
      </text>
    </comment>
    <comment ref="H1" authorId="0" shapeId="0" xr:uid="{00000000-0006-0000-0D00-000008000000}">
      <text>
        <r>
          <rPr>
            <sz val="11"/>
            <color theme="1"/>
            <rFont val="Calibri"/>
            <family val="2"/>
            <scheme val="minor"/>
          </rPr>
          <t>Prestação financeira estimada (valores indicativos).
[calculado]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1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Identificador.</t>
        </r>
      </text>
    </comment>
    <comment ref="B1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País (ISO).</t>
        </r>
      </text>
    </comment>
    <comment ref="C1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Tema.</t>
        </r>
      </text>
    </comment>
    <comment ref="D1" authorId="0" shapeId="0" xr:uid="{00000000-0006-0000-0E00-000004000000}">
      <text>
        <r>
          <rPr>
            <sz val="11"/>
            <color theme="1"/>
            <rFont val="Calibri"/>
            <family val="2"/>
            <scheme val="minor"/>
          </rPr>
          <t>Requisito nacional.</t>
        </r>
      </text>
    </comment>
    <comment ref="E1" authorId="0" shapeId="0" xr:uid="{00000000-0006-0000-0E00-000005000000}">
      <text>
        <r>
          <rPr>
            <sz val="11"/>
            <color theme="1"/>
            <rFont val="Calibri"/>
            <family val="2"/>
            <scheme val="minor"/>
          </rPr>
          <t>Papel da Plasticom.</t>
        </r>
      </text>
    </comment>
    <comment ref="F1" authorId="0" shapeId="0" xr:uid="{00000000-0006-0000-0E00-000006000000}">
      <text>
        <r>
          <rPr>
            <sz val="11"/>
            <color theme="1"/>
            <rFont val="Calibri"/>
            <family val="2"/>
            <scheme val="minor"/>
          </rPr>
          <t>O que a Plasticom tem de dar ao cliente/autoridade.</t>
        </r>
      </text>
    </comment>
    <comment ref="G1" authorId="0" shapeId="0" xr:uid="{00000000-0006-0000-0E00-000007000000}">
      <text>
        <r>
          <rPr>
            <sz val="11"/>
            <color theme="1"/>
            <rFont val="Calibri"/>
            <family val="2"/>
            <scheme val="minor"/>
          </rPr>
          <t>Autoridade competente.</t>
        </r>
      </text>
    </comment>
    <comment ref="H1" authorId="0" shapeId="0" xr:uid="{00000000-0006-0000-0E00-000008000000}">
      <text>
        <r>
          <rPr>
            <sz val="11"/>
            <color theme="1"/>
            <rFont val="Calibri"/>
            <family val="2"/>
            <scheme val="minor"/>
          </rPr>
          <t>Diploma.</t>
        </r>
      </text>
    </comment>
    <comment ref="I1" authorId="0" shapeId="0" xr:uid="{00000000-0006-0000-0E00-000009000000}">
      <text>
        <r>
          <rPr>
            <sz val="11"/>
            <color theme="1"/>
            <rFont val="Calibri"/>
            <family val="2"/>
            <scheme val="minor"/>
          </rPr>
          <t>Natureza.</t>
        </r>
      </text>
    </comment>
    <comment ref="J1" authorId="0" shapeId="0" xr:uid="{00000000-0006-0000-0E00-00000A000000}">
      <text>
        <r>
          <rPr>
            <sz val="11"/>
            <color theme="1"/>
            <rFont val="Calibri"/>
            <family val="2"/>
            <scheme val="minor"/>
          </rPr>
          <t>Estado.</t>
        </r>
      </text>
    </comment>
    <comment ref="K1" authorId="0" shapeId="0" xr:uid="{00000000-0006-0000-0E00-00000B000000}">
      <text>
        <r>
          <rPr>
            <sz val="11"/>
            <color theme="1"/>
            <rFont val="Calibri"/>
            <family val="2"/>
            <scheme val="minor"/>
          </rPr>
          <t>Clientes no país (dim_customer).</t>
        </r>
      </text>
    </comment>
    <comment ref="L1" authorId="0" shapeId="0" xr:uid="{00000000-0006-0000-0E00-00000C000000}">
      <text>
        <r>
          <rPr>
            <sz val="11"/>
            <color theme="1"/>
            <rFont val="Calibri"/>
            <family val="2"/>
            <scheme val="minor"/>
          </rPr>
          <t>Plástico vendido no país (12 meses).
[calculado]</t>
        </r>
      </text>
    </comment>
    <comment ref="M1" authorId="0" shapeId="0" xr:uid="{00000000-0006-0000-0E00-00000D000000}">
      <text>
        <r>
          <rPr>
            <sz val="11"/>
            <color theme="1"/>
            <rFont val="Calibri"/>
            <family val="2"/>
            <scheme val="minor"/>
          </rPr>
          <t>Reciclado certificado.
[calculado]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1" authorId="0" shapeId="0" xr:uid="{00000000-0006-0000-0F00-000001000000}">
      <text>
        <r>
          <rPr>
            <sz val="11"/>
            <color theme="1"/>
            <rFont val="Calibri"/>
            <family val="2"/>
            <scheme val="minor"/>
          </rPr>
          <t>Identificador.</t>
        </r>
      </text>
    </comment>
    <comment ref="B1" authorId="0" shapeId="0" xr:uid="{00000000-0006-0000-0F00-000002000000}">
      <text>
        <r>
          <rPr>
            <sz val="11"/>
            <color theme="1"/>
            <rFont val="Calibri"/>
            <family val="2"/>
            <scheme val="minor"/>
          </rPr>
          <t>Fornecedor.</t>
        </r>
      </text>
    </comment>
    <comment ref="C1" authorId="0" shapeId="0" xr:uid="{00000000-0006-0000-0F00-000003000000}">
      <text>
        <r>
          <rPr>
            <sz val="11"/>
            <color theme="1"/>
            <rFont val="Calibri"/>
            <family val="2"/>
            <scheme val="minor"/>
          </rPr>
          <t>Material.</t>
        </r>
      </text>
    </comment>
    <comment ref="D1" authorId="0" shapeId="0" xr:uid="{00000000-0006-0000-0F00-000004000000}">
      <text>
        <r>
          <rPr>
            <sz val="11"/>
            <color theme="1"/>
            <rFont val="Calibri"/>
            <family val="2"/>
            <scheme val="minor"/>
          </rPr>
          <t>Esquema de certificação.</t>
        </r>
      </text>
    </comment>
    <comment ref="E1" authorId="0" shapeId="0" xr:uid="{00000000-0006-0000-0F00-000005000000}">
      <text>
        <r>
          <rPr>
            <sz val="11"/>
            <color theme="1"/>
            <rFont val="Calibri"/>
            <family val="2"/>
            <scheme val="minor"/>
          </rPr>
          <t>N.º.</t>
        </r>
      </text>
    </comment>
    <comment ref="F1" authorId="0" shapeId="0" xr:uid="{00000000-0006-0000-0F00-000006000000}">
      <text>
        <r>
          <rPr>
            <sz val="11"/>
            <color theme="1"/>
            <rFont val="Calibri"/>
            <family val="2"/>
            <scheme val="minor"/>
          </rPr>
          <t>Norma de referência.</t>
        </r>
      </text>
    </comment>
    <comment ref="G1" authorId="0" shapeId="0" xr:uid="{00000000-0006-0000-0F00-000007000000}">
      <text>
        <r>
          <rPr>
            <sz val="11"/>
            <color theme="1"/>
            <rFont val="Calibri"/>
            <family val="2"/>
            <scheme val="minor"/>
          </rPr>
          <t>Teor de reciclado declarado.</t>
        </r>
      </text>
    </comment>
    <comment ref="H1" authorId="0" shapeId="0" xr:uid="{00000000-0006-0000-0F00-000008000000}">
      <text>
        <r>
          <rPr>
            <sz val="11"/>
            <color theme="1"/>
            <rFont val="Calibri"/>
            <family val="2"/>
            <scheme val="minor"/>
          </rPr>
          <t>Pós-consumo / pós-industrial / químico.</t>
        </r>
      </text>
    </comment>
    <comment ref="I1" authorId="0" shapeId="0" xr:uid="{00000000-0006-0000-0F00-000009000000}">
      <text>
        <r>
          <rPr>
            <sz val="11"/>
            <color theme="1"/>
            <rFont val="Calibri"/>
            <family val="2"/>
            <scheme val="minor"/>
          </rPr>
          <t>Emissão.</t>
        </r>
      </text>
    </comment>
    <comment ref="J1" authorId="0" shapeId="0" xr:uid="{00000000-0006-0000-0F00-00000A000000}">
      <text>
        <r>
          <rPr>
            <sz val="11"/>
            <color theme="1"/>
            <rFont val="Calibri"/>
            <family val="2"/>
            <scheme val="minor"/>
          </rPr>
          <t>Validade.</t>
        </r>
      </text>
    </comment>
    <comment ref="K1" authorId="0" shapeId="0" xr:uid="{00000000-0006-0000-0F00-00000B000000}">
      <text>
        <r>
          <rPr>
            <sz val="11"/>
            <color theme="1"/>
            <rFont val="Calibri"/>
            <family val="2"/>
            <scheme val="minor"/>
          </rPr>
          <t>Processo autorizado pelo Reg. 2022/1616?</t>
        </r>
      </text>
    </comment>
    <comment ref="L1" authorId="0" shapeId="0" xr:uid="{00000000-0006-0000-0F00-00000C000000}">
      <text>
        <r>
          <rPr>
            <sz val="11"/>
            <color theme="1"/>
            <rFont val="Calibri"/>
            <family val="2"/>
            <scheme val="minor"/>
          </rPr>
          <t>Nota.</t>
        </r>
      </text>
    </comment>
    <comment ref="M1" authorId="0" shapeId="0" xr:uid="{00000000-0006-0000-0F00-00000D000000}">
      <text>
        <r>
          <rPr>
            <sz val="11"/>
            <color theme="1"/>
            <rFont val="Calibri"/>
            <family val="2"/>
            <scheme val="minor"/>
          </rPr>
          <t>Dias até expirar.
[calculado]</t>
        </r>
      </text>
    </comment>
    <comment ref="N1" authorId="0" shapeId="0" xr:uid="{00000000-0006-0000-0F00-00000E000000}">
      <text>
        <r>
          <rPr>
            <sz val="11"/>
            <color theme="1"/>
            <rFont val="Calibri"/>
            <family val="2"/>
            <scheme val="minor"/>
          </rPr>
          <t>Estado.
[calculado]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1" authorId="0" shapeId="0" xr:uid="{00000000-0006-0000-1000-000001000000}">
      <text>
        <r>
          <rPr>
            <sz val="11"/>
            <color theme="1"/>
            <rFont val="Calibri"/>
            <family val="2"/>
            <scheme val="minor"/>
          </rPr>
          <t>Identificador.</t>
        </r>
      </text>
    </comment>
    <comment ref="B1" authorId="0" shapeId="0" xr:uid="{00000000-0006-0000-1000-000002000000}">
      <text>
        <r>
          <rPr>
            <sz val="11"/>
            <color theme="1"/>
            <rFont val="Calibri"/>
            <family val="2"/>
            <scheme val="minor"/>
          </rPr>
          <t>Texto usado.</t>
        </r>
      </text>
    </comment>
    <comment ref="C1" authorId="0" shapeId="0" xr:uid="{00000000-0006-0000-1000-000003000000}">
      <text>
        <r>
          <rPr>
            <sz val="11"/>
            <color theme="1"/>
            <rFont val="Calibri"/>
            <family val="2"/>
            <scheme val="minor"/>
          </rPr>
          <t>Tipo.</t>
        </r>
      </text>
    </comment>
    <comment ref="D1" authorId="0" shapeId="0" xr:uid="{00000000-0006-0000-1000-000004000000}">
      <text>
        <r>
          <rPr>
            <sz val="11"/>
            <color theme="1"/>
            <rFont val="Calibri"/>
            <family val="2"/>
            <scheme val="minor"/>
          </rPr>
          <t>Produtos a que se refere.</t>
        </r>
      </text>
    </comment>
    <comment ref="E1" authorId="0" shapeId="0" xr:uid="{00000000-0006-0000-1000-000005000000}">
      <text>
        <r>
          <rPr>
            <sz val="11"/>
            <color theme="1"/>
            <rFont val="Calibri"/>
            <family val="2"/>
            <scheme val="minor"/>
          </rPr>
          <t>Onde é comunicada.</t>
        </r>
      </text>
    </comment>
    <comment ref="F1" authorId="0" shapeId="0" xr:uid="{00000000-0006-0000-1000-000006000000}">
      <text>
        <r>
          <rPr>
            <sz val="11"/>
            <color theme="1"/>
            <rFont val="Calibri"/>
            <family val="2"/>
            <scheme val="minor"/>
          </rPr>
          <t>Norma / diploma.</t>
        </r>
      </text>
    </comment>
    <comment ref="G1" authorId="0" shapeId="0" xr:uid="{00000000-0006-0000-1000-000007000000}">
      <text>
        <r>
          <rPr>
            <sz val="11"/>
            <color theme="1"/>
            <rFont val="Calibri"/>
            <family val="2"/>
            <scheme val="minor"/>
          </rPr>
          <t>Evidência de suporte.</t>
        </r>
      </text>
    </comment>
    <comment ref="H1" authorId="0" shapeId="0" xr:uid="{00000000-0006-0000-1000-000008000000}">
      <text>
        <r>
          <rPr>
            <sz val="11"/>
            <color theme="1"/>
            <rFont val="Calibri"/>
            <family val="2"/>
            <scheme val="minor"/>
          </rPr>
          <t>Estado.</t>
        </r>
      </text>
    </comment>
    <comment ref="I1" authorId="0" shapeId="0" xr:uid="{00000000-0006-0000-1000-000009000000}">
      <text>
        <r>
          <rPr>
            <sz val="11"/>
            <color theme="1"/>
            <rFont val="Calibri"/>
            <family val="2"/>
            <scheme val="minor"/>
          </rPr>
          <t>Revisão.</t>
        </r>
      </text>
    </comment>
    <comment ref="J1" authorId="0" shapeId="0" xr:uid="{00000000-0006-0000-1000-00000A000000}">
      <text>
        <r>
          <rPr>
            <sz val="11"/>
            <color theme="1"/>
            <rFont val="Calibri"/>
            <family val="2"/>
            <scheme val="minor"/>
          </rPr>
          <t>Prazo.</t>
        </r>
      </text>
    </comment>
    <comment ref="K1" authorId="0" shapeId="0" xr:uid="{00000000-0006-0000-1000-00000B000000}">
      <text>
        <r>
          <rPr>
            <sz val="11"/>
            <color theme="1"/>
            <rFont val="Calibri"/>
            <family val="2"/>
            <scheme val="minor"/>
          </rPr>
          <t>Responsável.</t>
        </r>
      </text>
    </comment>
    <comment ref="L1" authorId="0" shapeId="0" xr:uid="{00000000-0006-0000-1000-00000C000000}">
      <text>
        <r>
          <rPr>
            <sz val="11"/>
            <color theme="1"/>
            <rFont val="Calibri"/>
            <family val="2"/>
            <scheme val="minor"/>
          </rPr>
          <t>Ação.</t>
        </r>
      </text>
    </comment>
    <comment ref="M1" authorId="0" shapeId="0" xr:uid="{00000000-0006-0000-1000-00000D000000}">
      <text>
        <r>
          <rPr>
            <sz val="11"/>
            <color theme="1"/>
            <rFont val="Calibri"/>
            <family val="2"/>
            <scheme val="minor"/>
          </rPr>
          <t>Alerta.
[calculado]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1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Item.</t>
        </r>
      </text>
    </comment>
    <comment ref="B1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Item do checklist de maturidade (resposta do ChatGPT).</t>
        </r>
      </text>
    </comment>
    <comment ref="C1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Implementado / Parcial / Lacuna.</t>
        </r>
      </text>
    </comment>
    <comment ref="D1" authorId="0" shapeId="0" xr:uid="{00000000-0006-0000-1100-000004000000}">
      <text>
        <r>
          <rPr>
            <sz val="11"/>
            <color theme="1"/>
            <rFont val="Calibri"/>
            <family val="2"/>
            <scheme val="minor"/>
          </rPr>
          <t>Onde está no SGA.</t>
        </r>
      </text>
    </comment>
    <comment ref="E1" authorId="0" shapeId="0" xr:uid="{00000000-0006-0000-1100-000005000000}">
      <text>
        <r>
          <rPr>
            <sz val="11"/>
            <color theme="1"/>
            <rFont val="Calibri"/>
            <family val="2"/>
            <scheme val="minor"/>
          </rPr>
          <t>Ação.</t>
        </r>
      </text>
    </comment>
  </commentList>
</comments>
</file>

<file path=xl/sharedStrings.xml><?xml version="1.0" encoding="utf-8"?>
<sst xmlns="http://schemas.openxmlformats.org/spreadsheetml/2006/main" count="25500" uniqueCount="2082">
  <si>
    <t>RG-SGA-20 — Reciclabilidade e Conformidade de Embalagens (RecyClass / PPWR)</t>
  </si>
  <si>
    <t>Sistema de Gestão Ambiental NP EN ISO 14001:2026 · Plasticom — Unidade 1 (Marinha Grande, Portugal) · Registo do SGA (fábrica simulada)</t>
  </si>
  <si>
    <t>CONTROLO DO DOCUMENTO (7.5 — informação documentada)</t>
  </si>
  <si>
    <t>Código do registo</t>
  </si>
  <si>
    <t>RG-SGA-20</t>
  </si>
  <si>
    <t>Título</t>
  </si>
  <si>
    <t>Reciclabilidade e Conformidade de Embalagens (RecyClass / PPWR)</t>
  </si>
  <si>
    <t>Versão / Revisão</t>
  </si>
  <si>
    <t>00</t>
  </si>
  <si>
    <t>Data de emissão</t>
  </si>
  <si>
    <t>Elaborado por</t>
  </si>
  <si>
    <t>Gestor(a) do SGA / EHS</t>
  </si>
  <si>
    <t>Aprovado por</t>
  </si>
  <si>
    <t>Diretor Geral</t>
  </si>
  <si>
    <t>Estado</t>
  </si>
  <si>
    <t>Em vigor</t>
  </si>
  <si>
    <t>Retenção</t>
  </si>
  <si>
    <t>5 anos após substituição</t>
  </si>
  <si>
    <t>Localização</t>
  </si>
  <si>
    <t>Repositório controlado do SGA &gt; Registos_SGA_Plasticom (versão eletrónica é a versão controlada; cópias impressas são não controladas)</t>
  </si>
  <si>
    <t>FINALIDADE E ÂMBITO</t>
  </si>
  <si>
    <t>Finalidade</t>
  </si>
  <si>
    <t>Registo de conformidade de produto das embalagens da Plasticom. A folha Avaliacao_RecyClass tem uma linha por SKU com todos os campos a introduzir na ferramenta online da RecyClass e calcula a classe (A–F), a taxa de reciclabilidade em massa e o grau PPWR indicativo com as regras de tbl_regras_dfr. Liga cada SKU aos requisitos legais aplicáveis (tbl_aplicabilidade), às famílias com declaração UE (tbl_familias_ppwr), aos certificados de reciclado e às vendas por país. A classificação é uma AUTOAVALIAÇÃO com regras simplificadas: o resultado oficial só vem da ferramenta RecyClass / certificação e dos atos delegados do PPWR (critérios de DfR previstos até 2028).</t>
  </si>
  <si>
    <t>Atividades do curso</t>
  </si>
  <si>
    <t>Complemento — reciclagem e reciclabilidade de embalagens: classificação RecyClass por SKU, graus PPWR, conteúdo reciclado, matriz legal e normativa de produto, países de destino e alegações.</t>
  </si>
  <si>
    <t>Requisitos ISO 14001:2026</t>
  </si>
  <si>
    <t>4.3 e) e 6.1.2 (perspetiva de ciclo de vida); 6.1.3 e 9.1.2 (obrigações de conformidade de produto); 8.1 (conceção e requisitos para fornecedores); 7.4 (alegações)</t>
  </si>
  <si>
    <t>ESTRUTURA DO FICHEIRO</t>
  </si>
  <si>
    <t>Parametros</t>
  </si>
  <si>
    <t>Parâmetros dos cálculos (limiares PPWR, massas de rótulo e decoração, logística, imposto espanhol, prestações RAP indicativas).</t>
  </si>
  <si>
    <t>Metas_Art7</t>
  </si>
  <si>
    <t>Metas de conteúdo reciclado do PPWR por categoria (média por instalação de fabrico e por ano).</t>
  </si>
  <si>
    <t>Materiais</t>
  </si>
  <si>
    <t>Dimensão material: polímero, fluxo de reciclagem, densidade, teor de reciclado e marcação.</t>
  </si>
  <si>
    <t>Regras_DfR</t>
  </si>
  <si>
    <t>Regras de design para reciclagem (interpretação simplificada das diretrizes RecyClass para PE/PP rígidos e garrafas de PET).</t>
  </si>
  <si>
    <t>Tampas</t>
  </si>
  <si>
    <t>Componentes de fecho (tampas) com material, massa e comportamento na reciclagem.</t>
  </si>
  <si>
    <t>Avaliacao_RecyClass</t>
  </si>
  <si>
    <t>Uma linha por SKU: campos da ferramenta RecyClass, classe A–F, taxa de reciclabilidade, grau PPWR, reciclado e mercado.</t>
  </si>
  <si>
    <t>Compat_Tampas</t>
  </si>
  <si>
    <t>Compatibilidade de cada tampa com cada fluxo de corpo (guia comercial de combinação frasco + tampa).</t>
  </si>
  <si>
    <t>Familias_PPWR</t>
  </si>
  <si>
    <t>Famílias de embalagem para a documentação técnica e declaração UE de conformidade (base do KPI-12).</t>
  </si>
  <si>
    <t>Requisitos_Embalagem</t>
  </si>
  <si>
    <t>Matriz legal e normativa integrada de embalagens (UE, contacto alimentar, cosméticos, farmacêutico, ISO/EN, Portugal) com natureza da obrigação, papel da Plasticom, evidência e verificação da resposta do ChatGPT.</t>
  </si>
  <si>
    <t>Aplicabilidade_Produto</t>
  </si>
  <si>
    <t>Fact_Aplicabilidade: produto × requisito com aplicabilidade, motivo, estado calculado e evidência.</t>
  </si>
  <si>
    <t>Vendas_Pais</t>
  </si>
  <si>
    <t>Plástico colocado no mercado por SKU e país (base para RAP, imposto espanhol e metas do art. 7.º).</t>
  </si>
  <si>
    <t>Embalagens_Expedicao</t>
  </si>
  <si>
    <t>Embalagens de expedição colocadas no mercado por mês, país e material — base da declaração RAP (DL 152-D/2017).</t>
  </si>
  <si>
    <t>Requisitos_Pais</t>
  </si>
  <si>
    <t>Camada nacional por país de destino (RAP, rotulagem, impostos, alegações).</t>
  </si>
  <si>
    <t>Certificados_PCR</t>
  </si>
  <si>
    <t>Certificados de conteúdo reciclado por fornecedor e material (EN 15343 / ISO 22095).</t>
  </si>
  <si>
    <t>Alegacoes</t>
  </si>
  <si>
    <t>Registo de alegações ambientais de produto (PR-SGA-14; Diretiva 2024/825; ISO 14021).</t>
  </si>
  <si>
    <t>Maturidade</t>
  </si>
  <si>
    <t>Checklist de 16 itens da matriz de conformidade (verificação do SGA).</t>
  </si>
  <si>
    <t>Painel</t>
  </si>
  <si>
    <t>Painel: KPI de reciclabilidade, distribuição das classes, graus PPWR, reciclado face às metas e conformidade legal (tabela dinâmica e segmentações).</t>
  </si>
  <si>
    <t>Formulario_RecyClass</t>
  </si>
  <si>
    <t>Ficha de um SKU na ordem dos campos da ferramenta online RecyClass (escolher o SKU na célula B4).</t>
  </si>
  <si>
    <t>Listas</t>
  </si>
  <si>
    <t>Domínios (listas de valores) usados na validação de dados das tabelas.</t>
  </si>
  <si>
    <t>Dicionario_Dados</t>
  </si>
  <si>
    <t>Descrição de cada coluna de cada tabela: tipo, origem (entrada/calculado), domínio, obrigatoriedade e chaves.</t>
  </si>
  <si>
    <t>CONVENÇÕES (prontas para análise de dados e machine learning)</t>
  </si>
  <si>
    <t>Tabelas</t>
  </si>
  <si>
    <t>Cada registo é uma Tabela Excel com nome próprio (tbl_*): uma linha = um registo, cabeçalho único, sem células mescladas. Ler com pandas (pd.read_excel(ficheiro, sheet_name=folha, header=&lt;linha do cabeçalho - 1&gt;)) ou Power BI (Obter Dados &gt; Tabela).</t>
  </si>
  <si>
    <t>Cabeçalho cinzento</t>
  </si>
  <si>
    <t>Coluna CALCULADA por fórmula — não escrever por cima. As restantes colunas são de entrada.</t>
  </si>
  <si>
    <t>Validação</t>
  </si>
  <si>
    <t>Colunas com lista controlada só aceitam valores da folha Listas (evita categorias duplicadas por grafia diferente).</t>
  </si>
  <si>
    <t>Chaves</t>
  </si>
  <si>
    <t>IDs estáveis e únicos (PK) e referências a IDs de outros registos (FK) permitem juntar tabelas entre ficheiros — ver SGA-00_Indice_Modelo_Dados.xlsx.</t>
  </si>
  <si>
    <t>Datas e unidades</t>
  </si>
  <si>
    <t>Datas em formato data (aaaa-mm-dd); números como números; a unidade está no nome da coluna ou no dicionário. Data de referência do SGA: 2026-12-31 (fecho do ano).</t>
  </si>
  <si>
    <t>Dados simulados</t>
  </si>
  <si>
    <t>Fábrica simulada Plasticom. Dados operacionais derivados do dataset do projeto (datasets/silver); dados ambientais e de conformidade são simulação didática — confirmar aplicabilidade legal e números antes de uso real.</t>
  </si>
  <si>
    <t>LIGAÇÕES A OUTROS REGISTOS</t>
  </si>
  <si>
    <t>RG-SGA-04 Legal</t>
  </si>
  <si>
    <t>ID_Legal liga os requisitos a tbl_legal (LEG-09, LEG-16 a LEG-21).</t>
  </si>
  <si>
    <t>RG-SGA-05 KPI</t>
  </si>
  <si>
    <t>KPI-12 e KPI-17 a KPI-21 são calculados a partir deste registo.</t>
  </si>
  <si>
    <t>RG-SGA-06 PAM</t>
  </si>
  <si>
    <t>Ações PAM-26-10 e PAM-26-22 a PAM-26-27.</t>
  </si>
  <si>
    <t>RG-SGA-11 Fornecedores</t>
  </si>
  <si>
    <t>tbl_certificados_pcr[ID_Fornecedor] → tbl_fornecedores.</t>
  </si>
  <si>
    <t>RG-SGA-17 / RG-SGA-19</t>
  </si>
  <si>
    <t>Evidências do tema DM-11 e indicador ESG-E29 (produtos recicláveis).</t>
  </si>
  <si>
    <t>Dataset</t>
  </si>
  <si>
    <t>Produtos, cores, masterbatch, decoração e vendas: datasets/silver (dim_bottle, dim_cap, dim_ink, fact_production, fact_sales).</t>
  </si>
  <si>
    <t>PAINEL DE RECICLABILIDADE E CONFORMIDADE DE EMBALAGENS — PLASTICOM</t>
  </si>
  <si>
    <t>Autoavaliação RecyClass (regras simplificadas) e graus PPWR indicativos · vendas de 2026 · atualiza com as tabelas</t>
  </si>
  <si>
    <t>Indicador</t>
  </si>
  <si>
    <t>Valor</t>
  </si>
  <si>
    <t>SKUs avaliados (frascos e potes)</t>
  </si>
  <si>
    <t>SKUs com grau PPWR A–C (não isentos) — KPI-18</t>
  </si>
  <si>
    <t>Massa vendida com grau A–C (não isentos) — KPI-20</t>
  </si>
  <si>
    <t>SKUs classe F (não recicláveis)</t>
  </si>
  <si>
    <t>SKUs isentos até 2035 (farmacêuticos)</t>
  </si>
  <si>
    <t>Taxa média de reciclabilidade ponderada pela massa vendida</t>
  </si>
  <si>
    <t>Conteúdo reciclado ponderado (corpos + tampas vendidos) — KPI-19</t>
  </si>
  <si>
    <t>Famílias com declaração UE de conformidade — KPI-12</t>
  </si>
  <si>
    <t>Certificados de reciclado válidos — KPI-21</t>
  </si>
  <si>
    <t>Imposto espanhol estimado (pago pelos clientes ES, €/ano)</t>
  </si>
  <si>
    <t>Requisitos da matriz em lacuna / parcial</t>
  </si>
  <si>
    <t>Checklist de maturidade implementado</t>
  </si>
  <si>
    <t>Alegações a retirar / proibidas / suspensas</t>
  </si>
  <si>
    <t>DISTRIBUIÇÃO POR CLASSE RECYCLASS</t>
  </si>
  <si>
    <t>Classe</t>
  </si>
  <si>
    <t>N.º SKUs</t>
  </si>
  <si>
    <t>Massa vendida (kg)</t>
  </si>
  <si>
    <t>% SKUs</t>
  </si>
  <si>
    <t>% massa</t>
  </si>
  <si>
    <t>A</t>
  </si>
  <si>
    <t>B</t>
  </si>
  <si>
    <t>C</t>
  </si>
  <si>
    <t>D</t>
  </si>
  <si>
    <t>E</t>
  </si>
  <si>
    <t>F</t>
  </si>
  <si>
    <t>GRAU PPWR INDICATIVO × CONFORMIDADE 2030/2038</t>
  </si>
  <si>
    <t>Grau PPWR</t>
  </si>
  <si>
    <t>Abaixo de C</t>
  </si>
  <si>
    <t>Não reciclável (F)</t>
  </si>
  <si>
    <t>CONTEÚDO RECICLADO FACE ÀS METAS DO ART. 7.º (média da instalação, ponderada pela massa vendida)</t>
  </si>
  <si>
    <t>Categoria art. 7.º</t>
  </si>
  <si>
    <t>Reciclado (%)</t>
  </si>
  <si>
    <t>Meta 2030</t>
  </si>
  <si>
    <t>Gap (p.p.)</t>
  </si>
  <si>
    <t>Sensível ao contacto — PET</t>
  </si>
  <si>
    <t>Sensível ao contacto — outros plásticos</t>
  </si>
  <si>
    <t>Garrafas de bebidas de utilização única</t>
  </si>
  <si>
    <t>Outras embalagens de plástico</t>
  </si>
  <si>
    <t>Isenta — medicamentos (art. 7.º)</t>
  </si>
  <si>
    <t>ANÁLISE DINÂMICA (tabela dinâmica e segmentações — atualizar com Dados &gt; Atualizar tudo)</t>
  </si>
  <si>
    <t>PARÂMETROS DE CÁLCULO</t>
  </si>
  <si>
    <t>Editar a coluna Valor; as fórmulas das outras folhas atualizam-se</t>
  </si>
  <si>
    <t>ID_Parametro</t>
  </si>
  <si>
    <t>Parametro</t>
  </si>
  <si>
    <t>Unidade</t>
  </si>
  <si>
    <t>Fonte</t>
  </si>
  <si>
    <t>P-01</t>
  </si>
  <si>
    <t>Imposto espanhol sobre embalagens de plástico não reutilizáveis (Lei 7/2022)</t>
  </si>
  <si>
    <t>€/kg de plástico não reciclado</t>
  </si>
  <si>
    <t>BOE — Ley 7/2022, art. 81.º (confirmar taxa em vigor)</t>
  </si>
  <si>
    <t>P-02</t>
  </si>
  <si>
    <t>Gramagem de rótulo de filme PE/PP/PET</t>
  </si>
  <si>
    <t>g/m²</t>
  </si>
  <si>
    <t>Estimativa técnica (filme 60 µm + adesivo)</t>
  </si>
  <si>
    <t>P-03</t>
  </si>
  <si>
    <t>Gramagem de rótulo de papel</t>
  </si>
  <si>
    <t>Estimativa técnica</t>
  </si>
  <si>
    <t>P-04</t>
  </si>
  <si>
    <t>Tinta de serigrafia depositada por cor</t>
  </si>
  <si>
    <t>g/un</t>
  </si>
  <si>
    <t>RG-SGA-13 (0,24 kg/1.000 peças para ≈ 3 cores)</t>
  </si>
  <si>
    <t>P-05</t>
  </si>
  <si>
    <t>Metalização de hot foil transferida para a peça</t>
  </si>
  <si>
    <t>Estimativa (foil consumido 1,9 kg/1.000; filme de suporte vai para resíduo)</t>
  </si>
  <si>
    <t>P-06</t>
  </si>
  <si>
    <t>Limiar do grau PPWR A (taxa de reciclabilidade em massa)</t>
  </si>
  <si>
    <t>fração</t>
  </si>
  <si>
    <t>Reg. (UE) 2025/40, anexo II, quadro 3</t>
  </si>
  <si>
    <t>P-07</t>
  </si>
  <si>
    <t>Limiar do grau PPWR B</t>
  </si>
  <si>
    <t>P-08</t>
  </si>
  <si>
    <t>Limiar do grau PPWR C</t>
  </si>
  <si>
    <t>P-09</t>
  </si>
  <si>
    <t>Cartão por caixa de expedição</t>
  </si>
  <si>
    <t>kg/caixa</t>
  </si>
  <si>
    <t>Especificação logística Plasticom</t>
  </si>
  <si>
    <t>P-10</t>
  </si>
  <si>
    <t>Frascos por caixa</t>
  </si>
  <si>
    <t>un/caixa</t>
  </si>
  <si>
    <t>Especificação logística (média)</t>
  </si>
  <si>
    <t>P-11</t>
  </si>
  <si>
    <t>Tampas por caixa</t>
  </si>
  <si>
    <t>P-12</t>
  </si>
  <si>
    <t>Caixas por palete</t>
  </si>
  <si>
    <t>caixas/palete</t>
  </si>
  <si>
    <t>Especificação logística</t>
  </si>
  <si>
    <t>P-13</t>
  </si>
  <si>
    <t>Massa de uma palete de madeira (sem retorno)</t>
  </si>
  <si>
    <t>kg/palete</t>
  </si>
  <si>
    <t>P-14</t>
  </si>
  <si>
    <t>Filme estirável por palete</t>
  </si>
  <si>
    <t>P-15</t>
  </si>
  <si>
    <t>Prestação financeira — cartão (embalagens não urbanas, PT)</t>
  </si>
  <si>
    <t>€/kg</t>
  </si>
  <si>
    <t>Valor INDICATIVO — substituir pela tabela da entidade gestora em vigor</t>
  </si>
  <si>
    <t>P-16</t>
  </si>
  <si>
    <t>Prestação financeira — plástico (embalagens não urbanas, PT)</t>
  </si>
  <si>
    <t>P-17</t>
  </si>
  <si>
    <t>Prestação financeira — madeira (embalagens não urbanas, PT)</t>
  </si>
  <si>
    <t>Metas de teor mínimo de plástico reciclado — PPWR art. 7.º (tabela tbl_metas_art7 na folha Metas_Art7)</t>
  </si>
  <si>
    <t>Categoria_Art7</t>
  </si>
  <si>
    <t>Meta_2030</t>
  </si>
  <si>
    <t>Meta_2040</t>
  </si>
  <si>
    <t>Base_Legal</t>
  </si>
  <si>
    <t>Nota</t>
  </si>
  <si>
    <t>Art. 7.º, n.º 1, al. a) e n.º 2, al. a)</t>
  </si>
  <si>
    <t>Inclui embalagens alimentares de PET (exceto garrafas de bebidas).</t>
  </si>
  <si>
    <t>Art. 7.º, n.º 1, al. b) e n.º 2, al. b)</t>
  </si>
  <si>
    <t>Embalagens alimentares de PE/PP: o reciclado tem de cumprir o Reg. (UE) 2022/1616.</t>
  </si>
  <si>
    <t>Art. 7.º, n.º 1, al. c) e n.º 2, al. c)</t>
  </si>
  <si>
    <t>Sem SKUs atuais (confirmar uso de FA-030/031).</t>
  </si>
  <si>
    <t>Art. 7.º, n.º 1, al. d) e n.º 2, al. d)</t>
  </si>
  <si>
    <t>Cosmética e higiene: pressupõe-se que NÃO é 'sensível ao contacto' (confirmar a definição do art. 3.º) — cenário conservador.</t>
  </si>
  <si>
    <t>Art. 7.º (isenções)</t>
  </si>
  <si>
    <t>Embalagem sensível ao contacto de medicamentos para uso humano e veterinário.</t>
  </si>
  <si>
    <t>Material</t>
  </si>
  <si>
    <t>Polimero_Base</t>
  </si>
  <si>
    <t>Fluxo_Reciclagem</t>
  </si>
  <si>
    <t>Densidade_g_cm3</t>
  </si>
  <si>
    <t>Grau</t>
  </si>
  <si>
    <t>Pct_PCR</t>
  </si>
  <si>
    <t>Codigo_Identificacao</t>
  </si>
  <si>
    <t>ID_Fornecedor</t>
  </si>
  <si>
    <t>N_SKUs_Corpo</t>
  </si>
  <si>
    <t>Massa_Vendida_kg</t>
  </si>
  <si>
    <t>HDPE</t>
  </si>
  <si>
    <t>PE</t>
  </si>
  <si>
    <t>PE rígido</t>
  </si>
  <si>
    <t>Virgem</t>
  </si>
  <si>
    <t>&gt;PE-HD&lt; (2)</t>
  </si>
  <si>
    <t>SUP-001</t>
  </si>
  <si>
    <t>HDPE-PCR</t>
  </si>
  <si>
    <t>Reciclado pós-consumo</t>
  </si>
  <si>
    <t>SUP-004</t>
  </si>
  <si>
    <t>MDPE</t>
  </si>
  <si>
    <t>&gt;PE-MD&lt; (4)</t>
  </si>
  <si>
    <t>LDPE</t>
  </si>
  <si>
    <t>&gt;PE-LD&lt; (4)</t>
  </si>
  <si>
    <t>SUP-007</t>
  </si>
  <si>
    <t>HDPE-FG</t>
  </si>
  <si>
    <t>Grau alimentar (FCM)</t>
  </si>
  <si>
    <t>SUP-010</t>
  </si>
  <si>
    <t>PP</t>
  </si>
  <si>
    <t>PP rígido</t>
  </si>
  <si>
    <t>&gt;PP&lt; (5)</t>
  </si>
  <si>
    <t>SUP-002</t>
  </si>
  <si>
    <t>PP-PCR</t>
  </si>
  <si>
    <t>PP-FG</t>
  </si>
  <si>
    <t>PP-PG</t>
  </si>
  <si>
    <t>Grau farmacêutico</t>
  </si>
  <si>
    <t>SUP-009</t>
  </si>
  <si>
    <t>PET</t>
  </si>
  <si>
    <t>PET frascos e garrafas</t>
  </si>
  <si>
    <t>&gt;PET&lt; (1)</t>
  </si>
  <si>
    <t>SUP-003</t>
  </si>
  <si>
    <t>rPET</t>
  </si>
  <si>
    <t>PET-PG</t>
  </si>
  <si>
    <t>PETG</t>
  </si>
  <si>
    <t>Sem fluxo (PETG)</t>
  </si>
  <si>
    <t>&gt;PETG&lt; (7)</t>
  </si>
  <si>
    <t>PVC</t>
  </si>
  <si>
    <t>Sem fluxo (PVC)</t>
  </si>
  <si>
    <t>&gt;PVC&lt; (3)</t>
  </si>
  <si>
    <t>SUP-005</t>
  </si>
  <si>
    <t>REGRAS DE DESIGN PARA RECICLAGEM (DfR) — BASE DO CÁLCULO RECYCLASS</t>
  </si>
  <si>
    <t>Interpretação simplificada das diretrizes RecyClass (HDPE/PP containers, PET bottles) · Classe final = pior característica · Editar Classe/Fração para recalibrar</t>
  </si>
  <si>
    <t>Chave</t>
  </si>
  <si>
    <t>Fluxo</t>
  </si>
  <si>
    <t>Caracteristica</t>
  </si>
  <si>
    <t>Compatibilidade</t>
  </si>
  <si>
    <t>Fracao_Reciclavel</t>
  </si>
  <si>
    <t>Fundamentacao</t>
  </si>
  <si>
    <t>Recomendacao</t>
  </si>
  <si>
    <t>Fluxo de reciclagem</t>
  </si>
  <si>
    <t>Fluxo de triagem e reciclagem mecânica estabelecido na Europa.</t>
  </si>
  <si>
    <t>Sem ação — manter.</t>
  </si>
  <si>
    <t>PETG não tem fluxo de reciclagem dedicado; é triado com o PET e perturba o processo (amolece a temperaturas de secagem do PET).</t>
  </si>
  <si>
    <t>Mudar o corpo para PET (ou PP/PE) — PETG não passa a grau C em 2030.</t>
  </si>
  <si>
    <t>Sem fluxo de reciclagem de embalagens domésticas de PVC; contamina o PET (HCl na extrusão).</t>
  </si>
  <si>
    <t>Eliminar o PVC do portfólio (substituir por PET ou PP).</t>
  </si>
  <si>
    <t>Cor do corpo</t>
  </si>
  <si>
    <t>Natural / incolor</t>
  </si>
  <si>
    <t>Reciclado incolor de maior valor.</t>
  </si>
  <si>
    <t>Branco (TiO2)</t>
  </si>
  <si>
    <t>Cores claras/brancas totalmente compatíveis.</t>
  </si>
  <si>
    <t>Colorido (claro ou transparente)</t>
  </si>
  <si>
    <t>Reciclado de PE colorido — valor e aplicações mais limitados.</t>
  </si>
  <si>
    <t>Preferir natural, branco ou cores claras.</t>
  </si>
  <si>
    <t>Colorido escuro / opaco</t>
  </si>
  <si>
    <t>Reciclado de PE escuro — só aplicações escuras.</t>
  </si>
  <si>
    <t>Preferir cores claras.</t>
  </si>
  <si>
    <t>Preto (negro de carbono)</t>
  </si>
  <si>
    <t>Negro de carbono absorve o infravermelho próximo: a embalagem não é identificada na triagem NIR e vai para refugo.</t>
  </si>
  <si>
    <t>Substituir o masterbatch por preto detetável por NIR (pigmentos sem negro de carbono).</t>
  </si>
  <si>
    <t>Preto detetável por NIR</t>
  </si>
  <si>
    <t>Detetável na triagem; reciclado escuro.</t>
  </si>
  <si>
    <t>Manter pigmento detetável por NIR e validar com teste de triagem.</t>
  </si>
  <si>
    <t>Densidade do corpo</t>
  </si>
  <si>
    <t>&lt; 1,0 g/cm³</t>
  </si>
  <si>
    <t>Flutua em água: separado corretamente das impurezas no tanque de afunda-flutua.</t>
  </si>
  <si>
    <t>≥ 1,0 g/cm³</t>
  </si>
  <si>
    <t>Afunda com as impurezas (cargas/minerais) e perde-se no afunda-flutua.</t>
  </si>
  <si>
    <t>Reduzir cargas minerais / masterbatch para densidade &lt; 1,0 g/cm³.</t>
  </si>
  <si>
    <t>Barreira / revestimento</t>
  </si>
  <si>
    <t>Nenhuma</t>
  </si>
  <si>
    <t>Estrutura monocamada.</t>
  </si>
  <si>
    <t>EVOH ≤ 6% com compatibilizante</t>
  </si>
  <si>
    <t>Tolerado em baixa percentagem.</t>
  </si>
  <si>
    <t>Limitar a barreira ao mínimo necessário.</t>
  </si>
  <si>
    <t>Camada de outro polímero (PA, PET)</t>
  </si>
  <si>
    <t>Multimaterial não separável — degrada o reciclado.</t>
  </si>
  <si>
    <t>Substituir por barreira compatível ou monomaterial.</t>
  </si>
  <si>
    <t>Material da tampa</t>
  </si>
  <si>
    <t>Sem tampa</t>
  </si>
  <si>
    <t>Sem componente.</t>
  </si>
  <si>
    <t>Poliolefina: reciclada com o corpo ou no fluxo de poliolefinas.</t>
  </si>
  <si>
    <t>Poliolefina: flutua e é reciclada no fluxo de poliolefinas.</t>
  </si>
  <si>
    <t>Afunda e é separada no afunda-flutua; massa perdida.</t>
  </si>
  <si>
    <t>Usar tampa de PP ou PE.</t>
  </si>
  <si>
    <t>Afunda e é separada; massa perdida.</t>
  </si>
  <si>
    <t>Vedante / liner</t>
  </si>
  <si>
    <t>Sem vedante</t>
  </si>
  <si>
    <t>Vedante PE/EVA</t>
  </si>
  <si>
    <t>Poliolefina compatível.</t>
  </si>
  <si>
    <t>Válvula de silicone</t>
  </si>
  <si>
    <t>Silicone contamina o reciclado de poliolefinas.</t>
  </si>
  <si>
    <t>Usar válvula de poliolefina (TPE-PO).</t>
  </si>
  <si>
    <t>Tipo de rótulo</t>
  </si>
  <si>
    <t>Sem rótulo</t>
  </si>
  <si>
    <t>Autoadesivo PE/PP</t>
  </si>
  <si>
    <t>Mesmo fluxo (poliolefinas).</t>
  </si>
  <si>
    <t>In-mould PE/PP</t>
  </si>
  <si>
    <t>Mesmo polímero, monomaterial.</t>
  </si>
  <si>
    <t>Autoadesivo PET</t>
  </si>
  <si>
    <t>Afunda e é separado; massa perdida.</t>
  </si>
  <si>
    <t>Usar rótulo de PE/PP.</t>
  </si>
  <si>
    <t>Autoadesivo papel</t>
  </si>
  <si>
    <t>Fibras de papel passam para o reciclado de poliolefina (defeitos e odor).</t>
  </si>
  <si>
    <t>Manga termorretrátil PETG</t>
  </si>
  <si>
    <t>Pode impedir a identificação NIR do corpo; PETG separado.</t>
  </si>
  <si>
    <t>Manga de PE/PP com picotado ou rótulo parcial.</t>
  </si>
  <si>
    <t>Adesivo do rótulo</t>
  </si>
  <si>
    <t>Sem adesivo</t>
  </si>
  <si>
    <t>Na reciclagem de poliolefinas o rótulo compatível é reciclado com o corpo; adesivo em quantidade vestigial.</t>
  </si>
  <si>
    <t>Acrílico permanente</t>
  </si>
  <si>
    <t>Lavável a 80 °C (alcalino)</t>
  </si>
  <si>
    <t>Hot-melt</t>
  </si>
  <si>
    <t>Cobertura do rótulo</t>
  </si>
  <si>
    <t>≤ 70% da superfície</t>
  </si>
  <si>
    <t>Sem impacto relevante na triagem de poliolefinas com rótulo compatível.</t>
  </si>
  <si>
    <t>&gt; 70% da superfície</t>
  </si>
  <si>
    <t>Decoração direta</t>
  </si>
  <si>
    <t>Sem decoração.</t>
  </si>
  <si>
    <t>Impressão de lote/data</t>
  </si>
  <si>
    <t>Codificação mínima tolerada.</t>
  </si>
  <si>
    <t>Serigrafia 1–2 cores</t>
  </si>
  <si>
    <t>Tintas diretas colorem o reciclado (baixa cobertura).</t>
  </si>
  <si>
    <t>Tintas sem metais pesados e que não sangrem; reduzir área impressa.</t>
  </si>
  <si>
    <t>Serigrafia ≥ 3 cores</t>
  </si>
  <si>
    <t>Cobertura de tinta elevada colore e contamina o reciclado.</t>
  </si>
  <si>
    <t>Reduzir cores/área ou passar a rótulo de PE/PP.</t>
  </si>
  <si>
    <t>Hot foil metalizado</t>
  </si>
  <si>
    <t>Camada metalizada e verniz não removíveis contaminam o reciclado.</t>
  </si>
  <si>
    <t>Reduzir a área de hot foil ou usar rótulo metalizado destacável.</t>
  </si>
  <si>
    <t>Reciclado de PP colorido — valor e aplicações mais limitados.</t>
  </si>
  <si>
    <t>Reciclado de PP escuro — só aplicações escuras.</t>
  </si>
  <si>
    <t>PET transparente incolor — reciclado de maior valor (garrafa a garrafa).</t>
  </si>
  <si>
    <t>Vai para o fluxo de PET colorido, de menor valor.</t>
  </si>
  <si>
    <t>Preferir PET incolor ou azul-claro.</t>
  </si>
  <si>
    <t>PET opaco perturba o fluxo de PET transparente.</t>
  </si>
  <si>
    <t>Usar PET transparente (cor por rótulo).</t>
  </si>
  <si>
    <t>PET branco opaco (TiO2) — não compatível com o reciclado transparente.</t>
  </si>
  <si>
    <t>Usar PET transparente com rótulo branco ou mudar para PP/HDPE branco.</t>
  </si>
  <si>
    <t>Não identificado por NIR.</t>
  </si>
  <si>
    <t>Preto detetável por NIR ou PET transparente.</t>
  </si>
  <si>
    <t>PET opaco escuro.</t>
  </si>
  <si>
    <t>Usar PET transparente.</t>
  </si>
  <si>
    <t>O PET afunda e é separado das poliolefinas (normal).</t>
  </si>
  <si>
    <t>PET expandido/espumado flutua e perde-se.</t>
  </si>
  <si>
    <t>Evitar PET expandido.</t>
  </si>
  <si>
    <t>Monocamada.</t>
  </si>
  <si>
    <t>Revestimento SiOx (plasma)</t>
  </si>
  <si>
    <t>Camada vestigial compatível.</t>
  </si>
  <si>
    <t>Multicamada com PA amarelece o reciclado.</t>
  </si>
  <si>
    <t>Usar barreira compatível.</t>
  </si>
  <si>
    <t>Flutua e é separada; reciclada no fluxo de poliolefinas.</t>
  </si>
  <si>
    <t>Afunda com os flocos de PET e contamina-os (aglomera na secagem).</t>
  </si>
  <si>
    <t>Mesmo polímero mas grau diferente.</t>
  </si>
  <si>
    <t>Preferir tampa de PP/PE.</t>
  </si>
  <si>
    <t>Flutua com a tampa.</t>
  </si>
  <si>
    <t>Silicone (densidade &gt; 1) afunda com os flocos de PET.</t>
  </si>
  <si>
    <t>Válvula de poliolefina.</t>
  </si>
  <si>
    <t>Flutua e é separado; reciclado no fluxo de poliolefinas.</t>
  </si>
  <si>
    <t>Não removível do corpo (raro em PET).</t>
  </si>
  <si>
    <t>Usar rótulo autoadesivo de PE/PP.</t>
  </si>
  <si>
    <t>Afunda com os flocos; adesivo e tinta contaminam.</t>
  </si>
  <si>
    <t>Fibras e colas contaminam a água de lavagem e os flocos.</t>
  </si>
  <si>
    <t>Usar rótulo de PE/PP com adesivo lavável.</t>
  </si>
  <si>
    <t>PETG afunda com o PET e cobre o corpo (triagem NIR errada).</t>
  </si>
  <si>
    <t>Manga de PE/PP flutuante com picotado.</t>
  </si>
  <si>
    <t>Sem adesivo.</t>
  </si>
  <si>
    <t>Removido na lavagem cáustica a quente.</t>
  </si>
  <si>
    <t>Adesivo não lavável fica nos flocos (amarelecimento, pontos negros).</t>
  </si>
  <si>
    <t>Exigir ao cliente adesivo lavável a 80 °C (teste de lavabilidade).</t>
  </si>
  <si>
    <t>Resíduos de hot-melt contaminam o reciclado.</t>
  </si>
  <si>
    <t>Adesivo lavável a 80 °C.</t>
  </si>
  <si>
    <t>Corpo visível para a triagem NIR.</t>
  </si>
  <si>
    <t>Rótulo pode mascarar o corpo na triagem NIR.</t>
  </si>
  <si>
    <t>Reduzir a cobertura para ≤ 70%.</t>
  </si>
  <si>
    <t>Tinta direta não removida na lavagem contamina os flocos de PET.</t>
  </si>
  <si>
    <t>Rótulo de PE/PP ou tinta destintável em lavagem alcalina (validar).</t>
  </si>
  <si>
    <t>Metalização e verniz não removíveis contaminam os flocos.</t>
  </si>
  <si>
    <t>Rótulo metalizado de PE/PP destacável.</t>
  </si>
  <si>
    <t>CapId</t>
  </si>
  <si>
    <t>Descricao</t>
  </si>
  <si>
    <t>Tipo_Abertura</t>
  </si>
  <si>
    <t>Massa_g</t>
  </si>
  <si>
    <t>Flutua_Agua</t>
  </si>
  <si>
    <t>Rosca</t>
  </si>
  <si>
    <t>Vedante</t>
  </si>
  <si>
    <t>Familia_PPWR</t>
  </si>
  <si>
    <t>Unid_Vendidas_P12</t>
  </si>
  <si>
    <t>Paises_Venda</t>
  </si>
  <si>
    <t>TR-001-HDPE-24410</t>
  </si>
  <si>
    <t>Tampa rosca comum 24/410 HDPE</t>
  </si>
  <si>
    <t>Screw Cap</t>
  </si>
  <si>
    <t>24/410</t>
  </si>
  <si>
    <t>FAM-18</t>
  </si>
  <si>
    <t>DE; ES; FR; IT; PL; PT</t>
  </si>
  <si>
    <t>TR-001-PP-24410</t>
  </si>
  <si>
    <t>Tampa rosca comum 24/410 PP</t>
  </si>
  <si>
    <t>FAM-16</t>
  </si>
  <si>
    <t>TR-001-PP-PCR-24410</t>
  </si>
  <si>
    <t>Tampa rosca comum 24/410 PP-PCR</t>
  </si>
  <si>
    <t>FAM-17</t>
  </si>
  <si>
    <t>TR-001-PETG-24410</t>
  </si>
  <si>
    <t>Tampa rosca comum 24/410 PETG</t>
  </si>
  <si>
    <t>FAM-19</t>
  </si>
  <si>
    <t>TR-002-HDPE-24410</t>
  </si>
  <si>
    <t>TR-002-PP-24410</t>
  </si>
  <si>
    <t>TR-002-PP-PCR-24410</t>
  </si>
  <si>
    <t>TR-002-PETG-24410</t>
  </si>
  <si>
    <t>TR-003-HDPE-24415</t>
  </si>
  <si>
    <t>Tampa rosca comum 24/415 HDPE</t>
  </si>
  <si>
    <t>24/415</t>
  </si>
  <si>
    <t>TR-003-PP-24415</t>
  </si>
  <si>
    <t>Tampa rosca comum 24/415 PP</t>
  </si>
  <si>
    <t>TR-003-PP-PCR-24415</t>
  </si>
  <si>
    <t>Tampa rosca comum 24/415 PP-PCR</t>
  </si>
  <si>
    <t>TR-003-PETG-24415</t>
  </si>
  <si>
    <t>Tampa rosca comum 24/415 PETG</t>
  </si>
  <si>
    <t>TR-004-HDPE-28410</t>
  </si>
  <si>
    <t>Tampa rosca comum 28/410 HDPE</t>
  </si>
  <si>
    <t>28/410</t>
  </si>
  <si>
    <t>TR-004-PP-28410</t>
  </si>
  <si>
    <t>Tampa rosca comum 28/410 PP</t>
  </si>
  <si>
    <t>DE; ES; FR; PL; PT</t>
  </si>
  <si>
    <t>TR-004-PP-PCR-28410</t>
  </si>
  <si>
    <t>Tampa rosca comum 28/410 PP-PCR</t>
  </si>
  <si>
    <t>DE; ES; FR; IT; PT</t>
  </si>
  <si>
    <t>TR-004-PETG-28410</t>
  </si>
  <si>
    <t>Tampa rosca comum 28/410 PETG</t>
  </si>
  <si>
    <t>TF-005-PP-24410</t>
  </si>
  <si>
    <t>Tampa flip top 24/410 PP</t>
  </si>
  <si>
    <t>Flip Top</t>
  </si>
  <si>
    <t>TF-005-PP-PCR-24410</t>
  </si>
  <si>
    <t>Tampa flip top 24/410 PP-PCR</t>
  </si>
  <si>
    <t>TF-005-HDPE-24410</t>
  </si>
  <si>
    <t>Tampa flip top 24/410 HDPE</t>
  </si>
  <si>
    <t>TF-006-PP-24415</t>
  </si>
  <si>
    <t>Tampa flip top 24/415 PP</t>
  </si>
  <si>
    <t>TF-006-PP-PCR-24415</t>
  </si>
  <si>
    <t>Tampa flip top 24/415 PP-PCR</t>
  </si>
  <si>
    <t>TF-006-HDPE-24415</t>
  </si>
  <si>
    <t>Tampa flip top 24/415 HDPE</t>
  </si>
  <si>
    <t>TF-007-PP-28410</t>
  </si>
  <si>
    <t>Tampa flip top 28/410 PP</t>
  </si>
  <si>
    <t>TF-007-PP-PCR-28410</t>
  </si>
  <si>
    <t>Tampa flip top 28/410 PP-PCR</t>
  </si>
  <si>
    <t>ES; IT; PT</t>
  </si>
  <si>
    <t>TF-007-HDPE-28410</t>
  </si>
  <si>
    <t>Tampa flip top 28/410 HDPE</t>
  </si>
  <si>
    <t>ES; FR; PL; PT</t>
  </si>
  <si>
    <t>TF-008-PP-28410</t>
  </si>
  <si>
    <t>ES; FR; IT; PL; PT</t>
  </si>
  <si>
    <t>TF-008-PP-PCR-28410</t>
  </si>
  <si>
    <t>TF-008-HDPE-28410</t>
  </si>
  <si>
    <t>TF-009-PP-28415</t>
  </si>
  <si>
    <t>Tampa flip top 28/415 PP</t>
  </si>
  <si>
    <t>28/415</t>
  </si>
  <si>
    <t>TF-009-PP-PCR-28415</t>
  </si>
  <si>
    <t>Tampa flip top 28/415 PP-PCR</t>
  </si>
  <si>
    <t>TF-009-HDPE-28415</t>
  </si>
  <si>
    <t>Tampa flip top 28/415 HDPE</t>
  </si>
  <si>
    <t>TE-012-PP-PG-24410</t>
  </si>
  <si>
    <t>Tampa farma lacre 24/410 PP-PG</t>
  </si>
  <si>
    <t>Tamper-Evident Screw Cap</t>
  </si>
  <si>
    <t>FAM-20</t>
  </si>
  <si>
    <t>DE; ES</t>
  </si>
  <si>
    <t>TP-013-PP-070</t>
  </si>
  <si>
    <t>Tampa de pote 70mm PP</t>
  </si>
  <si>
    <t>Snap Lid</t>
  </si>
  <si>
    <t>Snap 70mm</t>
  </si>
  <si>
    <t>ES; PT</t>
  </si>
  <si>
    <t>TP-013-PP-PG-070</t>
  </si>
  <si>
    <t>Tampa de pote 70mm PP-PG</t>
  </si>
  <si>
    <t>TA-014-HDPE-FG-28410</t>
  </si>
  <si>
    <t>Tampa rosca alimentícia 28/410 HDPE-FG</t>
  </si>
  <si>
    <t>FAM-21</t>
  </si>
  <si>
    <t>TA-014-PP-FG-28410</t>
  </si>
  <si>
    <t>Tampa rosca alimentícia 28/410 PP-FG</t>
  </si>
  <si>
    <t>FAM-22</t>
  </si>
  <si>
    <t>AVALIAÇÃO DE RECICLABILIDADE POR SKU — MODELO RECYCLASS + GRAU PPWR (AUTOAVALIAÇÃO)</t>
  </si>
  <si>
    <t>Colunas brancas = campos a introduzir na ferramenta online RecyClass · cinzentas = cálculo · Rótulos: cenário típico do cliente (confirmar) · Massas estimadas · Não substitui a certificação RecyClass</t>
  </si>
  <si>
    <t>ID_Avaliacao</t>
  </si>
  <si>
    <t>ProductId</t>
  </si>
  <si>
    <t>Formato</t>
  </si>
  <si>
    <t>Segmento</t>
  </si>
  <si>
    <t>Contacto</t>
  </si>
  <si>
    <t>Processo_Fabrico</t>
  </si>
  <si>
    <t>Volume_ml</t>
  </si>
  <si>
    <t>Dimensao_Max_mm</t>
  </si>
  <si>
    <t>Material_Corpo</t>
  </si>
  <si>
    <t>Polimero_Corpo</t>
  </si>
  <si>
    <t>Categoria_RecyClass</t>
  </si>
  <si>
    <t>Cor_Dataset</t>
  </si>
  <si>
    <t>Cor_Corpo</t>
  </si>
  <si>
    <t>Masterbatch_Tipo</t>
  </si>
  <si>
    <t>Masterbatch_Pct</t>
  </si>
  <si>
    <t>Densidade_Corpo_g_cm3</t>
  </si>
  <si>
    <t>Barreira_Revestimento</t>
  </si>
  <si>
    <t>Massa_Corpo_g</t>
  </si>
  <si>
    <t>Origem_Massa</t>
  </si>
  <si>
    <t>ID_Tampa</t>
  </si>
  <si>
    <t>Material_Tampa</t>
  </si>
  <si>
    <t>Polimero_Tampa</t>
  </si>
  <si>
    <t>Massa_Tampa_g</t>
  </si>
  <si>
    <t>Vedante_Tampa</t>
  </si>
  <si>
    <t>Rotulo_Tipo</t>
  </si>
  <si>
    <t>Rotulo_Adesivo</t>
  </si>
  <si>
    <t>Rotulo_Cobertura_Pct</t>
  </si>
  <si>
    <t>Massa_Rotulo_g</t>
  </si>
  <si>
    <t>Origem_Rotulo</t>
  </si>
  <si>
    <t>Decoracao_Tipo</t>
  </si>
  <si>
    <t>Decoracao_N_Cores</t>
  </si>
  <si>
    <t>Decoracao_Valor</t>
  </si>
  <si>
    <t>Massa_Decoracao_g</t>
  </si>
  <si>
    <t>Classe_Fluxo</t>
  </si>
  <si>
    <t>Classe_Cor</t>
  </si>
  <si>
    <t>Classe_Densidade</t>
  </si>
  <si>
    <t>Classe_Barreira</t>
  </si>
  <si>
    <t>Classe_Tampa</t>
  </si>
  <si>
    <t>Classe_Vedante</t>
  </si>
  <si>
    <t>Classe_Rotulo</t>
  </si>
  <si>
    <t>Classe_Adesivo</t>
  </si>
  <si>
    <t>Classe_Cobertura</t>
  </si>
  <si>
    <t>Classe_Decoracao</t>
  </si>
  <si>
    <t>Classe_N_Max</t>
  </si>
  <si>
    <t>Classe_RecyClass</t>
  </si>
  <si>
    <t>Regras_em_Falta</t>
  </si>
  <si>
    <t>Ponto_Critico</t>
  </si>
  <si>
    <t>Massa_Total_g</t>
  </si>
  <si>
    <t>Frac_Corpo</t>
  </si>
  <si>
    <t>Frac_Tampa</t>
  </si>
  <si>
    <t>Frac_Rotulo</t>
  </si>
  <si>
    <t>Massa_Reciclavel_g</t>
  </si>
  <si>
    <t>Taxa_Reciclabilidade</t>
  </si>
  <si>
    <t>Grau_Taxa</t>
  </si>
  <si>
    <t>Grau_PPWR_Indicativo</t>
  </si>
  <si>
    <t>Isencao_Art6</t>
  </si>
  <si>
    <t>Conforme_PPWR_2030</t>
  </si>
  <si>
    <t>Conforme_PPWR_2038</t>
  </si>
  <si>
    <t>Pct_PCR_Corpo</t>
  </si>
  <si>
    <t>Pct_PCR_Tampa</t>
  </si>
  <si>
    <t>Conteudo_Reciclado_Pct</t>
  </si>
  <si>
    <t>Gap_2030</t>
  </si>
  <si>
    <t>Conforme_Art7_2030</t>
  </si>
  <si>
    <t>Estrutura_Material</t>
  </si>
  <si>
    <t>N_Clientes_P12</t>
  </si>
  <si>
    <t>N_Requisitos_Aplicaveis</t>
  </si>
  <si>
    <t>N_Lacunas</t>
  </si>
  <si>
    <t>Data_Avaliacao</t>
  </si>
  <si>
    <t>Proxima_Revisao</t>
  </si>
  <si>
    <t>Avaliador</t>
  </si>
  <si>
    <t>Estado_Avaliacao</t>
  </si>
  <si>
    <t>Metodo</t>
  </si>
  <si>
    <t>RCA-001</t>
  </si>
  <si>
    <t>FR-001-HDPE-300</t>
  </si>
  <si>
    <t>Frasco</t>
  </si>
  <si>
    <t>Cosmética e higiene pessoal</t>
  </si>
  <si>
    <t>Contacto direto com cosmético/higiene</t>
  </si>
  <si>
    <t>Injeção-sopro (ISBM)</t>
  </si>
  <si>
    <t>FAM-01</t>
  </si>
  <si>
    <t>Cardinal Red</t>
  </si>
  <si>
    <t>Red Masterbatch</t>
  </si>
  <si>
    <t>Estimada (22 g a 300 ml, escala ^2/3)</t>
  </si>
  <si>
    <t>Sem rótulo (decoração direta Plasticom)</t>
  </si>
  <si>
    <t>Serigrafia</t>
  </si>
  <si>
    <t>Responsável de R&amp;D</t>
  </si>
  <si>
    <t>Autoavaliação (não certificada)</t>
  </si>
  <si>
    <t>Regras simplificadas SGA-20 v1 (diretrizes DfR RecyClass) — confirmar na ferramenta online</t>
  </si>
  <si>
    <t>RCA-002</t>
  </si>
  <si>
    <t>FR-002-HDPE-PCR-300</t>
  </si>
  <si>
    <t>FAM-02</t>
  </si>
  <si>
    <t>Cobalt Blue</t>
  </si>
  <si>
    <t>Blue Masterbatch</t>
  </si>
  <si>
    <t>Cenário típico do cliente — confirmar especificação</t>
  </si>
  <si>
    <t>RCA-003</t>
  </si>
  <si>
    <t>FR-001-HDPE-PCR-300</t>
  </si>
  <si>
    <t>RCA-004</t>
  </si>
  <si>
    <t>FR-001-rPET-300</t>
  </si>
  <si>
    <t>FAM-11</t>
  </si>
  <si>
    <t>Natural (Uncolored)</t>
  </si>
  <si>
    <t>No Masterbatch</t>
  </si>
  <si>
    <t>RCA-005</t>
  </si>
  <si>
    <t>FR-003-rPET-300</t>
  </si>
  <si>
    <t>RCA-006</t>
  </si>
  <si>
    <t>FR-004-rPET-330</t>
  </si>
  <si>
    <t>RCA-007</t>
  </si>
  <si>
    <t>FR-008-HDPE-350</t>
  </si>
  <si>
    <t>Graphite Gray</t>
  </si>
  <si>
    <t>Gray Masterbatch</t>
  </si>
  <si>
    <t>RCA-008</t>
  </si>
  <si>
    <t>FR-007-HDPE-350</t>
  </si>
  <si>
    <t>Translucent Amber</t>
  </si>
  <si>
    <t>Amber Masterbatch</t>
  </si>
  <si>
    <t>RCA-009</t>
  </si>
  <si>
    <t>FR-009-HDPE-350</t>
  </si>
  <si>
    <t>RCA-010</t>
  </si>
  <si>
    <t>FR-008-HDPE-PCR-350</t>
  </si>
  <si>
    <t>DE; ES; IT; PL; PT</t>
  </si>
  <si>
    <t>RCA-011</t>
  </si>
  <si>
    <t>FR-007-HDPE-PCR-350</t>
  </si>
  <si>
    <t>RCA-012</t>
  </si>
  <si>
    <t>FR-009-HDPE-PCR-350</t>
  </si>
  <si>
    <t>DE; ES; FR; PT</t>
  </si>
  <si>
    <t>RCA-013</t>
  </si>
  <si>
    <t>FR-008-LDPE-350</t>
  </si>
  <si>
    <t>FAM-04</t>
  </si>
  <si>
    <t>Opaque White</t>
  </si>
  <si>
    <t>White Masterbatch (TiO2)</t>
  </si>
  <si>
    <t>RCA-014</t>
  </si>
  <si>
    <t>FR-008-PET-350</t>
  </si>
  <si>
    <t>FAM-10</t>
  </si>
  <si>
    <t>ES; FR; IT; PT</t>
  </si>
  <si>
    <t>RCA-015</t>
  </si>
  <si>
    <t>FR-009-PET-350</t>
  </si>
  <si>
    <t>RCA-016</t>
  </si>
  <si>
    <t>FR-008-PETG-350</t>
  </si>
  <si>
    <t>FAM-13</t>
  </si>
  <si>
    <t>RCA-017</t>
  </si>
  <si>
    <t>FR-007-PETG-350</t>
  </si>
  <si>
    <t>RCA-018</t>
  </si>
  <si>
    <t>FR-009-PETG-350</t>
  </si>
  <si>
    <t>DE; IT; PT</t>
  </si>
  <si>
    <t>RCA-019</t>
  </si>
  <si>
    <t>FR-008-PP-350</t>
  </si>
  <si>
    <t>FAM-06</t>
  </si>
  <si>
    <t>Emerald Green</t>
  </si>
  <si>
    <t>Green Masterbatch</t>
  </si>
  <si>
    <t>DE; FR; PL; PT</t>
  </si>
  <si>
    <t>RCA-020</t>
  </si>
  <si>
    <t>FR-007-PP-350</t>
  </si>
  <si>
    <t>RCA-021</t>
  </si>
  <si>
    <t>FR-008-PP-PCR-350</t>
  </si>
  <si>
    <t>FAM-07</t>
  </si>
  <si>
    <t>DE; ES; IT; PT</t>
  </si>
  <si>
    <t>RCA-022</t>
  </si>
  <si>
    <t>FR-007-PP-PCR-350</t>
  </si>
  <si>
    <t>RCA-023</t>
  </si>
  <si>
    <t>FR-007-PVC-350</t>
  </si>
  <si>
    <t>FAM-14</t>
  </si>
  <si>
    <t>RCA-024</t>
  </si>
  <si>
    <t>FR-008-rPET-350</t>
  </si>
  <si>
    <t>RCA-025</t>
  </si>
  <si>
    <t>FR-007-rPET-350</t>
  </si>
  <si>
    <t>RCA-026</t>
  </si>
  <si>
    <t>FR-009-rPET-350</t>
  </si>
  <si>
    <t>RCA-027</t>
  </si>
  <si>
    <t>FR-010-PET-400</t>
  </si>
  <si>
    <t>RCA-028</t>
  </si>
  <si>
    <t>FR-014-HDPE-500</t>
  </si>
  <si>
    <t>RCA-029</t>
  </si>
  <si>
    <t>FR-013-HDPE-500</t>
  </si>
  <si>
    <t>RCA-030</t>
  </si>
  <si>
    <t>FR-015-HDPE-500</t>
  </si>
  <si>
    <t>RCA-031</t>
  </si>
  <si>
    <t>FR-014-HDPE-PCR-500</t>
  </si>
  <si>
    <t>DE; IT; PL; PT</t>
  </si>
  <si>
    <t>RCA-032</t>
  </si>
  <si>
    <t>FR-013-HDPE-PCR-500</t>
  </si>
  <si>
    <t>RCA-033</t>
  </si>
  <si>
    <t>FR-015-HDPE-PCR-500</t>
  </si>
  <si>
    <t>RCA-034</t>
  </si>
  <si>
    <t>FR-013-LDPE-500</t>
  </si>
  <si>
    <t>DE; PT</t>
  </si>
  <si>
    <t>RCA-035</t>
  </si>
  <si>
    <t>FR-013-MDPE-500</t>
  </si>
  <si>
    <t>FAM-03</t>
  </si>
  <si>
    <t>Matte Black</t>
  </si>
  <si>
    <t>Black Masterbatch (Carbon Black)</t>
  </si>
  <si>
    <t>DE; ES; PL; PT</t>
  </si>
  <si>
    <t>RCA-036</t>
  </si>
  <si>
    <t>FR-013-PET-500</t>
  </si>
  <si>
    <t>RCA-037</t>
  </si>
  <si>
    <t>FR-014-PETG-500</t>
  </si>
  <si>
    <t>RCA-038</t>
  </si>
  <si>
    <t>FR-015-PETG-500</t>
  </si>
  <si>
    <t>RCA-039</t>
  </si>
  <si>
    <t>FR-014-PP-500</t>
  </si>
  <si>
    <t>RCA-040</t>
  </si>
  <si>
    <t>FR-013-PP-500</t>
  </si>
  <si>
    <t>RCA-041</t>
  </si>
  <si>
    <t>FR-014-PP-PCR-500</t>
  </si>
  <si>
    <t>RCA-042</t>
  </si>
  <si>
    <t>FR-013-PP-PCR-500</t>
  </si>
  <si>
    <t>RCA-043</t>
  </si>
  <si>
    <t>FR-013-PVC-500</t>
  </si>
  <si>
    <t>RCA-044</t>
  </si>
  <si>
    <t>FR-014-rPET-500</t>
  </si>
  <si>
    <t>RCA-045</t>
  </si>
  <si>
    <t>FR-013-rPET-500</t>
  </si>
  <si>
    <t>RCA-046</t>
  </si>
  <si>
    <t>FR-015-rPET-500</t>
  </si>
  <si>
    <t>RCA-047</t>
  </si>
  <si>
    <t>FR-018-HDPE-600</t>
  </si>
  <si>
    <t>RCA-048</t>
  </si>
  <si>
    <t>FR-017-HDPE-600</t>
  </si>
  <si>
    <t>RCA-049</t>
  </si>
  <si>
    <t>FR-019-HDPE-600</t>
  </si>
  <si>
    <t>PL; PT</t>
  </si>
  <si>
    <t>RCA-050</t>
  </si>
  <si>
    <t>FR-018-HDPE-PCR-600</t>
  </si>
  <si>
    <t>RCA-051</t>
  </si>
  <si>
    <t>FR-017-HDPE-PCR-600</t>
  </si>
  <si>
    <t>RCA-052</t>
  </si>
  <si>
    <t>FR-018-LDPE-600</t>
  </si>
  <si>
    <t>RCA-053</t>
  </si>
  <si>
    <t>FR-018-MDPE-600</t>
  </si>
  <si>
    <t>DE; ES; PT</t>
  </si>
  <si>
    <t>RCA-054</t>
  </si>
  <si>
    <t>FR-018-PET-600</t>
  </si>
  <si>
    <t>RCA-055</t>
  </si>
  <si>
    <t>FR-019-PET-600</t>
  </si>
  <si>
    <t>RCA-056</t>
  </si>
  <si>
    <t>FR-018-PETG-600</t>
  </si>
  <si>
    <t>RCA-057</t>
  </si>
  <si>
    <t>FR-018-PP-600</t>
  </si>
  <si>
    <t>RCA-058</t>
  </si>
  <si>
    <t>FR-017-PP-600</t>
  </si>
  <si>
    <t>RCA-059</t>
  </si>
  <si>
    <t>FR-018-PP-PCR-600</t>
  </si>
  <si>
    <t>IT; PT</t>
  </si>
  <si>
    <t>RCA-060</t>
  </si>
  <si>
    <t>FR-017-PP-PCR-600</t>
  </si>
  <si>
    <t>RCA-061</t>
  </si>
  <si>
    <t>FR-018-rPET-600</t>
  </si>
  <si>
    <t>RCA-062</t>
  </si>
  <si>
    <t>FR-017-rPET-600</t>
  </si>
  <si>
    <t>RCA-063</t>
  </si>
  <si>
    <t>FR-019-rPET-600</t>
  </si>
  <si>
    <t>RCA-064</t>
  </si>
  <si>
    <t>FR-020-HDPE-750</t>
  </si>
  <si>
    <t>RCA-065</t>
  </si>
  <si>
    <t>FR-019-HDPE-750</t>
  </si>
  <si>
    <t>ES; FR; PT</t>
  </si>
  <si>
    <t>RCA-066</t>
  </si>
  <si>
    <t>FR-021-HDPE-750</t>
  </si>
  <si>
    <t>RCA-067</t>
  </si>
  <si>
    <t>FR-020-HDPE-PCR-750</t>
  </si>
  <si>
    <t>DE; FR; IT; PL; PT</t>
  </si>
  <si>
    <t>RCA-068</t>
  </si>
  <si>
    <t>FR-019-HDPE-PCR-750</t>
  </si>
  <si>
    <t>RCA-069</t>
  </si>
  <si>
    <t>FR-019-MDPE-750</t>
  </si>
  <si>
    <t>FR; IT; PT</t>
  </si>
  <si>
    <t>RCA-070</t>
  </si>
  <si>
    <t>FR-020-PET-750</t>
  </si>
  <si>
    <t>RCA-071</t>
  </si>
  <si>
    <t>FR-019-PET-750</t>
  </si>
  <si>
    <t>RCA-072</t>
  </si>
  <si>
    <t>FR-019-PETG-750</t>
  </si>
  <si>
    <t>RCA-073</t>
  </si>
  <si>
    <t>FR-020-PP-750</t>
  </si>
  <si>
    <t>RCA-074</t>
  </si>
  <si>
    <t>FR-019-PP-750</t>
  </si>
  <si>
    <t>RCA-075</t>
  </si>
  <si>
    <t>FR-020-PP-PCR-750</t>
  </si>
  <si>
    <t>RCA-076</t>
  </si>
  <si>
    <t>FR-019-PVC-750</t>
  </si>
  <si>
    <t>ES; PL; PT</t>
  </si>
  <si>
    <t>RCA-077</t>
  </si>
  <si>
    <t>FR-020-rPET-750</t>
  </si>
  <si>
    <t>RCA-078</t>
  </si>
  <si>
    <t>FR-019-rPET-750</t>
  </si>
  <si>
    <t>ES; IT; PL; PT</t>
  </si>
  <si>
    <t>RCA-079</t>
  </si>
  <si>
    <t>FR-021-rPET-750</t>
  </si>
  <si>
    <t>RCA-080</t>
  </si>
  <si>
    <t>FR-022-HDPE-1000</t>
  </si>
  <si>
    <t>RCA-081</t>
  </si>
  <si>
    <t>FR-023-HDPE-1000</t>
  </si>
  <si>
    <t>RCA-082</t>
  </si>
  <si>
    <t>FR-022-HDPE-PCR-1000</t>
  </si>
  <si>
    <t>RCA-083</t>
  </si>
  <si>
    <t>FR-022-MDPE-1000</t>
  </si>
  <si>
    <t>RCA-084</t>
  </si>
  <si>
    <t>FR-025-PET-1000</t>
  </si>
  <si>
    <t>RCA-085</t>
  </si>
  <si>
    <t>FR-024-PET-1000</t>
  </si>
  <si>
    <t>RCA-086</t>
  </si>
  <si>
    <t>FR-022-PET-1000</t>
  </si>
  <si>
    <t>FR; IT; PL; PT</t>
  </si>
  <si>
    <t>RCA-087</t>
  </si>
  <si>
    <t>FR-022-PETG-1000</t>
  </si>
  <si>
    <t>RCA-088</t>
  </si>
  <si>
    <t>FR-022-PP-1000</t>
  </si>
  <si>
    <t>RCA-089</t>
  </si>
  <si>
    <t>FR-022-PP-PCR-1000</t>
  </si>
  <si>
    <t>FR; PL; PT</t>
  </si>
  <si>
    <t>RCA-090</t>
  </si>
  <si>
    <t>FR-022-PVC-1000</t>
  </si>
  <si>
    <t>RCA-091</t>
  </si>
  <si>
    <t>FR-022-rPET-1000</t>
  </si>
  <si>
    <t>RCA-092</t>
  </si>
  <si>
    <t>FR-023-rPET-1000</t>
  </si>
  <si>
    <t>RCA-093</t>
  </si>
  <si>
    <t>FR-026-HDPE-4000</t>
  </si>
  <si>
    <t>RCA-094</t>
  </si>
  <si>
    <t>FR-027-HDPE-5000</t>
  </si>
  <si>
    <t>RCA-095</t>
  </si>
  <si>
    <t>FR-028-HDPE-5000</t>
  </si>
  <si>
    <t>RCA-096</t>
  </si>
  <si>
    <t>FR-029-MDPE-5000</t>
  </si>
  <si>
    <t>RCA-097</t>
  </si>
  <si>
    <t>FR-005-rPET-330</t>
  </si>
  <si>
    <t>RCA-098</t>
  </si>
  <si>
    <t>FR-006-rPET-330</t>
  </si>
  <si>
    <t>RCA-099</t>
  </si>
  <si>
    <t>FR-011-PET-400</t>
  </si>
  <si>
    <t>RCA-100</t>
  </si>
  <si>
    <t>FR-012-PET-400</t>
  </si>
  <si>
    <t>RCA-101</t>
  </si>
  <si>
    <t>FR-016-HDPE-600</t>
  </si>
  <si>
    <t>RCA-102</t>
  </si>
  <si>
    <t>FA-030-HDPE-FG-1000</t>
  </si>
  <si>
    <t>Alimentar</t>
  </si>
  <si>
    <t>Contacto direto com alimento</t>
  </si>
  <si>
    <t>FAM-05</t>
  </si>
  <si>
    <t>PT</t>
  </si>
  <si>
    <t>RCA-103</t>
  </si>
  <si>
    <t>FA-030-PP-FG-1000</t>
  </si>
  <si>
    <t>FAM-08</t>
  </si>
  <si>
    <t>RCA-104</t>
  </si>
  <si>
    <t>FA-031-HDPE-FG-500</t>
  </si>
  <si>
    <t>RCA-105</t>
  </si>
  <si>
    <t>FA-031-PP-FG-500</t>
  </si>
  <si>
    <t>RCA-106</t>
  </si>
  <si>
    <t>FP-032-PP-PG-100</t>
  </si>
  <si>
    <t>Farmacêutico</t>
  </si>
  <si>
    <t>Contacto direto com medicamento</t>
  </si>
  <si>
    <t>FAM-09</t>
  </si>
  <si>
    <t>Pharma White</t>
  </si>
  <si>
    <t>Pharma Masterbatch</t>
  </si>
  <si>
    <t>RCA-107</t>
  </si>
  <si>
    <t>FP-032-PET-PG-100</t>
  </si>
  <si>
    <t>FAM-12</t>
  </si>
  <si>
    <t>RCA-108</t>
  </si>
  <si>
    <t>FP-033-PP-PG-250</t>
  </si>
  <si>
    <t>RCA-109</t>
  </si>
  <si>
    <t>FP-033-PET-PG-250</t>
  </si>
  <si>
    <t>RCA-110</t>
  </si>
  <si>
    <t>PT-010-PP-050</t>
  </si>
  <si>
    <t>Pote</t>
  </si>
  <si>
    <t>Injeção</t>
  </si>
  <si>
    <t>FAM-15</t>
  </si>
  <si>
    <t>Opaque Masterbatch</t>
  </si>
  <si>
    <t>RCA-111</t>
  </si>
  <si>
    <t>PT-010-PP-PG-050</t>
  </si>
  <si>
    <t>RCA-112</t>
  </si>
  <si>
    <t>PT-011-PP-100</t>
  </si>
  <si>
    <t>RCA-113</t>
  </si>
  <si>
    <t>PT-011-PP-PG-100</t>
  </si>
  <si>
    <t>Fluxo_Corpo</t>
  </si>
  <si>
    <t>Recomendacao_Comercial</t>
  </si>
  <si>
    <t>ID_Familia</t>
  </si>
  <si>
    <t>Familia</t>
  </si>
  <si>
    <t>Tipo</t>
  </si>
  <si>
    <t>N_SKUs</t>
  </si>
  <si>
    <t>Documentacao_Tecnica</t>
  </si>
  <si>
    <t>Declaracao_UE</t>
  </si>
  <si>
    <t>Data_DoC</t>
  </si>
  <si>
    <t>Metais_Pesados_Evidencia</t>
  </si>
  <si>
    <t>Metais_mg_kg</t>
  </si>
  <si>
    <t>PFAS_Evidencia</t>
  </si>
  <si>
    <t>SVHC_Artigo</t>
  </si>
  <si>
    <t>SVHC_Evidencia</t>
  </si>
  <si>
    <t>Obrigacao_SVHC</t>
  </si>
  <si>
    <t>Pior_Classe_RecyClass</t>
  </si>
  <si>
    <t>SKUs_Nao_Conformes_2030</t>
  </si>
  <si>
    <t>Prazo</t>
  </si>
  <si>
    <t>ID_PAM</t>
  </si>
  <si>
    <t>Frascos HDPE</t>
  </si>
  <si>
    <t>Sim</t>
  </si>
  <si>
    <t>RM-2026-07 (laboratório acreditado)</t>
  </si>
  <si>
    <t>Não aplicável (sem contacto alimentar)</t>
  </si>
  <si>
    <t>Não</t>
  </si>
  <si>
    <t>Declarações dos fornecedores do polímero e do masterbatch (RG-SGA-21 tbl_declaracoes).</t>
  </si>
  <si>
    <t>PAM-26-10</t>
  </si>
  <si>
    <t>Frascos HDPE-PCR</t>
  </si>
  <si>
    <t>Frascos MDPE</t>
  </si>
  <si>
    <t>Frascos LDPE</t>
  </si>
  <si>
    <t>Declaração do fornecedor</t>
  </si>
  <si>
    <t>Frascos HDPE-FG</t>
  </si>
  <si>
    <t>Declaração SUP-010 (07/2026) + flúor total &lt; 50 ppm</t>
  </si>
  <si>
    <t>Frascos PP</t>
  </si>
  <si>
    <t>Frascos PP-PCR</t>
  </si>
  <si>
    <t>Frascos PP-FG</t>
  </si>
  <si>
    <t>Frascos PP-PG</t>
  </si>
  <si>
    <t>Em falta</t>
  </si>
  <si>
    <t>Frascos PET</t>
  </si>
  <si>
    <t>DEC-03; tinta UV: fotoiniciador 71868-10-5 = 0,018% m/m no frasco decorado (&lt; 0,1%).</t>
  </si>
  <si>
    <t>Frascos rPET</t>
  </si>
  <si>
    <t>DEC-04 (desatualizada — pedir nova, PAM-26-34); tinta UV 0,018% m/m (&lt; 0,1%).</t>
  </si>
  <si>
    <t>Frascos PET-PG</t>
  </si>
  <si>
    <t>DEC-11.</t>
  </si>
  <si>
    <t>Frascos PETG</t>
  </si>
  <si>
    <t>DEC-03; tinta UV 0,018% m/m (&lt; 0,1%).</t>
  </si>
  <si>
    <t>Frascos PVC</t>
  </si>
  <si>
    <t>Por confirmar</t>
  </si>
  <si>
    <t>Sem declaração do SUP-005 (plastificante e estabilizante desconhecidos); análise GC-MS/XRF antes de expedir (PAM-26-28).</t>
  </si>
  <si>
    <t>Potes PP (inclui PP-PG)</t>
  </si>
  <si>
    <t>Tampas PP</t>
  </si>
  <si>
    <t>Tampa</t>
  </si>
  <si>
    <t>Masterbatch deslizante/antiestático sem declaração SVHC (DEC-09, PAM-26-34).</t>
  </si>
  <si>
    <t>Tampas PP-PCR</t>
  </si>
  <si>
    <t>Tampas HDPE</t>
  </si>
  <si>
    <t>Tampas PETG</t>
  </si>
  <si>
    <t>Tampas PP-PG (farmacêuticas)</t>
  </si>
  <si>
    <t>Tampas HDPE-FG (alimentares)</t>
  </si>
  <si>
    <t>Tampas PP-FG (alimentares)</t>
  </si>
  <si>
    <t>MATRIZ LEGAL E NORMATIVA DE EMBALAGENS — RECICLAGEM, RECICLABILIDADE E SEGURANÇA DOS MATERIAIS</t>
  </si>
  <si>
    <t>IDs EU-ENV/FCM/COS/PHAR/ISO/PT da matriz proposta (ChatGPT), verificados e completados · Não é parecer jurídico — confirmar artigos na versão consolidada (EUR-Lex/DRE)</t>
  </si>
  <si>
    <t>ID_Req</t>
  </si>
  <si>
    <t>Grupo</t>
  </si>
  <si>
    <t>Artigo_Anexo</t>
  </si>
  <si>
    <t>Tema</t>
  </si>
  <si>
    <t>Requisito</t>
  </si>
  <si>
    <t>Natureza_Obrigacao</t>
  </si>
  <si>
    <t>Papel_Plasticom</t>
  </si>
  <si>
    <t>Nivel</t>
  </si>
  <si>
    <t>Ambito_Produtos</t>
  </si>
  <si>
    <t>Data_Aplicacao</t>
  </si>
  <si>
    <t>Aplicabilidade</t>
  </si>
  <si>
    <t>Evidencia_SGA</t>
  </si>
  <si>
    <t>Metodo_Verificacao</t>
  </si>
  <si>
    <t>Frequencia</t>
  </si>
  <si>
    <t>Risco</t>
  </si>
  <si>
    <t>ID_Legal</t>
  </si>
  <si>
    <t>Responsavel</t>
  </si>
  <si>
    <t>Verificacao_ChatGPT</t>
  </si>
  <si>
    <t>Nota_Verificacao</t>
  </si>
  <si>
    <t>Fonte_Oficial</t>
  </si>
  <si>
    <t>Data_Revisao</t>
  </si>
  <si>
    <t>N_SKUs_Aplicaveis</t>
  </si>
  <si>
    <t>N_SKUs_Conformes</t>
  </si>
  <si>
    <t>Alerta</t>
  </si>
  <si>
    <t>EU-ENV-001</t>
  </si>
  <si>
    <t>UE — embalagens</t>
  </si>
  <si>
    <t>Reg. (UE) 2025/40 (PPWR)</t>
  </si>
  <si>
    <t>Arts. 1.º–4.º; aplicação geral (art. 71.º)</t>
  </si>
  <si>
    <t>Âmbito PPWR</t>
  </si>
  <si>
    <t>Todas as embalagens colocadas no mercado da UE têm de cumprir os requisitos de sustentabilidade, rotulagem e informação do PPWR, aplicável desde 12/08/2026 (aplicação faseada).</t>
  </si>
  <si>
    <t>Obrigação legal</t>
  </si>
  <si>
    <t>Fabricante de embalagens e fornecedor a fabricantes de produtos embalados</t>
  </si>
  <si>
    <t>Empresa</t>
  </si>
  <si>
    <t>Todos</t>
  </si>
  <si>
    <t>RG-SGA-04 LEG-09; RG-SGA-20 tbl_recyclass, tbl_familias_ppwr</t>
  </si>
  <si>
    <t>Análise documental</t>
  </si>
  <si>
    <t>Semestral</t>
  </si>
  <si>
    <t>Parcial</t>
  </si>
  <si>
    <t>Alto</t>
  </si>
  <si>
    <t>LEG-09</t>
  </si>
  <si>
    <t>Confirmado</t>
  </si>
  <si>
    <t>Data de início de aplicação confirmada (12/08/2026). Papel da Plasticom precisado: fabricante das embalagens vazias que vende em nome próprio.</t>
  </si>
  <si>
    <t>https://eur-lex.europa.eu/eli/reg/2025/40/oj</t>
  </si>
  <si>
    <t>EU-ENV-002</t>
  </si>
  <si>
    <t>Art. 6.º e anexo II (graus de desempenho)</t>
  </si>
  <si>
    <t>Conceção para reciclagem</t>
  </si>
  <si>
    <t>A partir de 01/01/2030 só embalagens recicláveis com grau A, B ou C; a partir de 01/01/2038 só A ou B. Critérios de DfR por atos delegados (até 01/01/2028). Isenção até 2035 para embalagem imediata de medicamentos e dispositivos médicos.</t>
  </si>
  <si>
    <t>Fabricante de embalagens</t>
  </si>
  <si>
    <t>Produto</t>
  </si>
  <si>
    <t>Futuro</t>
  </si>
  <si>
    <t>RG-SGA-20 tbl_recyclass (Classe_RecyClass, Grau_PPWR_Indicativo), tbl_regras_dfr</t>
  </si>
  <si>
    <t>Avaliação técnica por SKU (autoavaliação RecyClass)</t>
  </si>
  <si>
    <t>Anual e em cada alteração de design</t>
  </si>
  <si>
    <t>PAM-26-22</t>
  </si>
  <si>
    <t>Complementado</t>
  </si>
  <si>
    <t>Correto quanto a 2030 (A–C) e 2038 (A–B). Acrescentado: atos delegados de DfR ainda por publicar (grau atual é indicativo), isenção farmacêutica até 2035 e 'reciclado à escala' (EU-ENV-010).</t>
  </si>
  <si>
    <t>EU-ENV-003</t>
  </si>
  <si>
    <t>Art. 7.º (teor mínimo de reciclado)</t>
  </si>
  <si>
    <t>Conteúdo reciclado</t>
  </si>
  <si>
    <t>A partir de 01/01/2030, teor mínimo de plástico reciclado pós-consumo por unidade de embalagem (média por instalação de fabrico e por ano): 30% PET sensível ao contacto; 10% outros plásticos sensíveis ao contacto; 30% garrafas de bebidas; 35% outras. Em 2040: 50% / 25% / 65% / 65%.</t>
  </si>
  <si>
    <t>RG-SGA-20 tbl_recyclass (Conteudo_Reciclado_Pct, Gap_2030), tbl_metas_art7, tbl_certificados_pcr; RG-SGA-13 PCR_KG</t>
  </si>
  <si>
    <t>Balanço de massa anual + certificados EN 15343</t>
  </si>
  <si>
    <t>Anual</t>
  </si>
  <si>
    <t>PAM-26-25</t>
  </si>
  <si>
    <t>Responsável de Compras</t>
  </si>
  <si>
    <t>Acrescentadas as metas numéricas 2030/2040, a regra de cálculo por instalação/ano e as isenções (medicamentos, dispositivos médicos, componentes &lt; 5% da massa). Método de cálculo por ato de execução — confirmar publicação.</t>
  </si>
  <si>
    <t>EU-ENV-004</t>
  </si>
  <si>
    <t>Art. 10.º (minimização)</t>
  </si>
  <si>
    <t>Minimização</t>
  </si>
  <si>
    <t>A partir de 2030, peso e volume reduzidos ao mínimo necessário para a função; a documentação técnica deve demonstrar a minimização.</t>
  </si>
  <si>
    <t>Fabricante de embalagens (e produtor do produto embalado)</t>
  </si>
  <si>
    <t>RG-SGA-20 tbl_recyclass (Massa_Corpo_g); RG-SGA-19 tbl_pegada_produto</t>
  </si>
  <si>
    <t>Análise documental da documentação técnica</t>
  </si>
  <si>
    <t>Médio</t>
  </si>
  <si>
    <t>Massas dos frascos ainda estimadas (escala de volume) — substituir por massas medidas por molde.</t>
  </si>
  <si>
    <t>EU-ENV-005</t>
  </si>
  <si>
    <t>Art. 12.º (rotulagem harmonizada)</t>
  </si>
  <si>
    <t>Rotulagem</t>
  </si>
  <si>
    <t>Rótulo harmonizado de composição material a partir de 12/08/2028 (ou 24 meses após o ato de execução); rótulo de conteúdo reciclado facultativo com regras próprias.</t>
  </si>
  <si>
    <t>Produtor do produto embalado (cliente); a Plasticom fornece a informação de material e pode marcar o código no molde (ISO 11469)</t>
  </si>
  <si>
    <t>RG-SGA-20 tbl_materiais (Codigo_Identificacao); fichas técnicas</t>
  </si>
  <si>
    <t>Verificação de amostras e fichas técnicas</t>
  </si>
  <si>
    <t>Distinguido o responsável (cliente) do contributo da Plasticom (informação e marcação no molde).</t>
  </si>
  <si>
    <t>EU-ENV-006</t>
  </si>
  <si>
    <t>UE — resíduos</t>
  </si>
  <si>
    <t>Diretiva 2008/98/CE (quadro dos resíduos), transposta pelo DL 102-D/2020</t>
  </si>
  <si>
    <t>Arts. 4.º (hierarquia), 15.º</t>
  </si>
  <si>
    <t>Resíduos internos</t>
  </si>
  <si>
    <t>Aplicar a hierarquia dos resíduos, separar, encaminhar para operadores licenciados e registar (MIRR, e-GAR).</t>
  </si>
  <si>
    <t>Produtor de resíduos</t>
  </si>
  <si>
    <t>RG-SGA-04 LEG-01, LEG-13; RG-SGA-13 tbl_residuos; RG-SGA-05 KPI-05</t>
  </si>
  <si>
    <t>Auditoria / análise documental</t>
  </si>
  <si>
    <t>Conforme</t>
  </si>
  <si>
    <t>LEG-01</t>
  </si>
  <si>
    <t>Gestor do SGA / EHS (Responsável Ambiental)</t>
  </si>
  <si>
    <t>Já coberto no SGA (LEG-01, LEG-13).</t>
  </si>
  <si>
    <t>https://eur-lex.europa.eu/eli/dir/2008/98/oj</t>
  </si>
  <si>
    <t>EU-ENV-007</t>
  </si>
  <si>
    <t>Diretiva (UE) 2019/904 (SUP), transposta pelo DL 78/2021</t>
  </si>
  <si>
    <t>Arts. 5.º–7.º e anexo (tampas presas, recipientes para alimentos)</t>
  </si>
  <si>
    <t>Plásticos de utilização única</t>
  </si>
  <si>
    <t>Recipientes para bebidas até 3 L com tampas de plástico têm de ter tampas presas; recipientes para alimentos de consumo imediato sujeitos a redução de consumo e RAP.</t>
  </si>
  <si>
    <t>Necessita verificação</t>
  </si>
  <si>
    <t>Fabricante de embalagens (tampas) — obrigação de colocação no mercado do produtor do produto</t>
  </si>
  <si>
    <t>Condicional</t>
  </si>
  <si>
    <t>RG-SGA-20 tbl_aplicabilidade (FA-030/031); confirmação de uso pelos clientes CUST-015/016</t>
  </si>
  <si>
    <t>Declaração de utilização do cliente</t>
  </si>
  <si>
    <t>Por ocorrência</t>
  </si>
  <si>
    <t>LEG-19</t>
  </si>
  <si>
    <t>PAM-26-26</t>
  </si>
  <si>
    <t>Condicional confirmado. Ponto crítico novo: se os frascos alimentares FA-030/031 forem usados para bebidas, as tampas TA-014 têm de ser presas (tethered).</t>
  </si>
  <si>
    <t>https://eur-lex.europa.eu/eli/dir/2019/904/oj</t>
  </si>
  <si>
    <t>EU-ENV-008</t>
  </si>
  <si>
    <t>UE — químicos</t>
  </si>
  <si>
    <t>Reg. (CE) 1907/2006 (REACH)</t>
  </si>
  <si>
    <t>Art. 33.º (SVHC em artigos &gt; 0,1%); anexo XVII</t>
  </si>
  <si>
    <t>Substâncias na cadeia</t>
  </si>
  <si>
    <t>Comunicar aos clientes SVHC &gt; 0,1% (m/m) nos artigos (art. 33.º); notificar a SCIP e, se &gt; 1 t/ano, a ECHA (art. 7.º, n.º 2); cumprir as restrições do anexo XVII aplicáveis aos artigos.</t>
  </si>
  <si>
    <t>Utilizador a jusante (misturas) e fornecedor de artigos (embalagens)</t>
  </si>
  <si>
    <t>RG-SGA-20 tbl_familias_ppwr (SVHC_Artigo); RG-SGA-21 tbl_declaracoes</t>
  </si>
  <si>
    <t>Declarações de fornecedores e cálculo por artigo</t>
  </si>
  <si>
    <t>LEG-06</t>
  </si>
  <si>
    <t>PAM-26-34</t>
  </si>
  <si>
    <t>Por confirmar: PVC (FAM-14) e tampas PP com aditivo antiestático (FAM-16/17).</t>
  </si>
  <si>
    <t>https://eur-lex.europa.eu/eli/reg/2006/1907/oj</t>
  </si>
  <si>
    <t>EU-ENV-009</t>
  </si>
  <si>
    <t>Reg. (CE) 1272/2008 (CLP)</t>
  </si>
  <si>
    <t>Arts. 17.º e 31.º</t>
  </si>
  <si>
    <t>Classificação e rotulagem de misturas</t>
  </si>
  <si>
    <t>Aplica-se às misturas usadas (tintas, solventes, óleos), não às embalagens vendidas.</t>
  </si>
  <si>
    <t>Utilizador a jusante</t>
  </si>
  <si>
    <t>RG-SGA-04 LEG-06 (FDS e rotulagem CLP)</t>
  </si>
  <si>
    <t>Inspeção de rótulos e FDS</t>
  </si>
  <si>
    <t>Baixo</t>
  </si>
  <si>
    <t>Responsável de Armazém e Logística</t>
  </si>
  <si>
    <t>Correto: o CLP não equivale à rotulagem das embalagens de consumo.</t>
  </si>
  <si>
    <t>https://eur-lex.europa.eu/eli/reg/2008/1272/oj</t>
  </si>
  <si>
    <t>EU-ENV-010</t>
  </si>
  <si>
    <t>Art. 6.º (reciclado à escala)</t>
  </si>
  <si>
    <t>Reciclado à escala</t>
  </si>
  <si>
    <t>A partir de 2035 as embalagens têm também de ser 'recicladas à escala' (recolha, triagem e reciclagem com capacidade na UE, metodologia por ato de execução).</t>
  </si>
  <si>
    <t>RG-SGA-20 tbl_recyclass (Fluxo_Reciclagem)</t>
  </si>
  <si>
    <t>Avaliação técnica</t>
  </si>
  <si>
    <t>Adicionado</t>
  </si>
  <si>
    <t>Não referido explicitamente na matriz do ChatGPT (apenas 'reciclagem em escala' como evidência).</t>
  </si>
  <si>
    <t>EU-ENV-011</t>
  </si>
  <si>
    <t>Art. 5.º (metais pesados)</t>
  </si>
  <si>
    <t>Metais pesados</t>
  </si>
  <si>
    <t>Soma de chumbo, cádmio, mercúrio e crómio hexavalente ≤ 100 mg/kg na embalagem ou nos seus componentes.</t>
  </si>
  <si>
    <t>RG-SGA-20 tbl_familias_ppwr (Metais_Pesados_Evidencia); relatório RM-2026-07</t>
  </si>
  <si>
    <t>Ensaio laboratorial por família / declaração do fornecedor</t>
  </si>
  <si>
    <t>Gerente da Qualidade</t>
  </si>
  <si>
    <t>A matriz do ChatGPT só fala em 'restrições de substâncias' em geral.</t>
  </si>
  <si>
    <t>EU-ENV-012</t>
  </si>
  <si>
    <t>Art. 5.º, n.º 5 (PFAS em contacto alimentar)</t>
  </si>
  <si>
    <t>PFAS</t>
  </si>
  <si>
    <t>Desde 12/08/2026 as embalagens em contacto com alimentos não podem conter PFAS acima de 25 ppb (cada PFAS), 250 ppb (soma) ou 50 ppm (flúor total).</t>
  </si>
  <si>
    <t>Declaração PFAS SUP-010 (07/2026); RG-SGA-21 tbl_declaracoes; RG-SGA-20 tbl_alegacoes ALG-10</t>
  </si>
  <si>
    <t>Declaração do fornecedor + ensaio de flúor total</t>
  </si>
  <si>
    <t>LEG-17</t>
  </si>
  <si>
    <t>Requisito com aplicação imediata não identificado na matriz do ChatGPT.</t>
  </si>
  <si>
    <t>EU-ENV-013</t>
  </si>
  <si>
    <t>Arts. 15.º e 38.º–39.º, anexo VII (confirmar numeração na versão consolidada)</t>
  </si>
  <si>
    <t>Documentação técnica e declaração UE</t>
  </si>
  <si>
    <t>Avaliação da conformidade (controlo interno da produção), documentação técnica e declaração UE de conformidade antes da colocação no mercado; conservar 5 anos (10 se reutilizável).</t>
  </si>
  <si>
    <t>RG-SGA-20 tbl_familias_ppwr (17/22 em 22/12/2026); RG-SGA-05 KPI-12; RG-SGA-04 OBR-12</t>
  </si>
  <si>
    <t>Análise documental do dossier</t>
  </si>
  <si>
    <t>O ChatGPT refere 'documentação técnica'; faltava a declaração UE e o prazo de conservação.</t>
  </si>
  <si>
    <t>EU-ENV-014</t>
  </si>
  <si>
    <t>Obrigações de informação na cadeia (fornecedor → fabricante do produto embalado)</t>
  </si>
  <si>
    <t>Informação ao cliente</t>
  </si>
  <si>
    <t>Fornecer ao fabricante do produto embalado a informação e documentos necessários para demonstrar a conformidade (material, reciclabilidade, reciclado, substâncias).</t>
  </si>
  <si>
    <t>Fornecedor de embalagens a fabricantes de produtos embalados</t>
  </si>
  <si>
    <t>RG-SGA-20 Formulario_RecyClass e tbl_recyclass (ficha por SKU)</t>
  </si>
  <si>
    <t>Amostragem de fichas enviadas aos clientes</t>
  </si>
  <si>
    <t>Os clientes (7 de 9 grandes) já pedem classe de reciclabilidade — DM-11 do RG-SGA-17.</t>
  </si>
  <si>
    <t>EU-ENV-015</t>
  </si>
  <si>
    <t>Art. 29.º (embalagens de transporte reutilizáveis)</t>
  </si>
  <si>
    <t>Reutilização — expedição</t>
  </si>
  <si>
    <t>A partir de 2030, paletes, grades e caixas de plástico usadas no transporte entre instalações próprias ou para parceiros no mesmo Estado-Membro têm de ser reutilizáveis (caixas de cartão excluídas).</t>
  </si>
  <si>
    <t>Utilizador de embalagens de transporte (expedição)</t>
  </si>
  <si>
    <t>Expedição</t>
  </si>
  <si>
    <t>RG-SGA-20 tbl_emb_expedicao (paletes sem retorno)</t>
  </si>
  <si>
    <t>Lacuna</t>
  </si>
  <si>
    <t>Paletes de madeira sem retorno nas entregas em Portugal — estudar pool/retorno.</t>
  </si>
  <si>
    <t>EU-ENV-016</t>
  </si>
  <si>
    <t>Arts. 44.º–45.º (RAP e modulação das prestações)</t>
  </si>
  <si>
    <t>RAP e ecomodulação</t>
  </si>
  <si>
    <t>Os produtores (clientes) pagam prestações moduladas pelo grau de reciclabilidade; grau mais baixo = custo maior.</t>
  </si>
  <si>
    <t>Produtor do produto embalado (cliente) — impacto comercial para a Plasticom</t>
  </si>
  <si>
    <t>RG-SGA-20 tbl_recyclass (grau por SKU) e tbl_requisitos_pais</t>
  </si>
  <si>
    <t>LEG-16</t>
  </si>
  <si>
    <t>Diretor Financeiro</t>
  </si>
  <si>
    <t>Datas da modulação por grau a confirmar nos atos de execução.</t>
  </si>
  <si>
    <t>EU-ENV-017</t>
  </si>
  <si>
    <t>Diretiva 94/62/CE (embalagens e resíduos de embalagens)</t>
  </si>
  <si>
    <t>Revogada pelo PPWR (com disposições transitórias)</t>
  </si>
  <si>
    <t>Regime anterior</t>
  </si>
  <si>
    <t>Base histórica dos requisitos essenciais e das normas EN 13427–13432; mantém efeitos só nas disposições transitórias.</t>
  </si>
  <si>
    <t>—</t>
  </si>
  <si>
    <t>Nenhum</t>
  </si>
  <si>
    <t>RG-SGA-04 (histórico)</t>
  </si>
  <si>
    <t>Não aplicável</t>
  </si>
  <si>
    <t>Corrigido</t>
  </si>
  <si>
    <t>O ChatGPT lista-a como referência; foi substituída pelo PPWR a partir de 12/08/2026 — manter apenas para rastrear disposições transitórias.</t>
  </si>
  <si>
    <t>https://eur-lex.europa.eu/eli/dir/1994/62/oj</t>
  </si>
  <si>
    <t>EU-ENV-018</t>
  </si>
  <si>
    <t>UE — consumidores</t>
  </si>
  <si>
    <t>Diretiva (UE) 2024/825 (capacitação dos consumidores para a transição ecológica)</t>
  </si>
  <si>
    <t>Alterações à Diretiva 2005/29/CE (anexo I)</t>
  </si>
  <si>
    <t>Alegações ambientais</t>
  </si>
  <si>
    <t>A partir de 27/09/2026 são proibidas alegações ambientais genéricas sem desempenho reconhecido e alegações baseadas em compensações; as alegações têm de ser específicas e comprovadas.</t>
  </si>
  <si>
    <t>Autor de comunicações comerciais (site, catálogos, fichas)</t>
  </si>
  <si>
    <t>PR-SGA-14; RG-SGA-20 tbl_alegacoes</t>
  </si>
  <si>
    <t>Revisão das comunicações</t>
  </si>
  <si>
    <t>LEG-18</t>
  </si>
  <si>
    <t>PAM-26-27</t>
  </si>
  <si>
    <t>Diretor Geral (Gestão de Topo)</t>
  </si>
  <si>
    <t>Na matriz do ChatGPT aparece só como COS-005; tem aplicação transversal e prazo imediato.</t>
  </si>
  <si>
    <t>https://eur-lex.europa.eu/eli/dir/2024/825/oj</t>
  </si>
  <si>
    <t>FCM-001</t>
  </si>
  <si>
    <t>UE — contacto alimentar</t>
  </si>
  <si>
    <t>Reg. (CE) 1935/2004</t>
  </si>
  <si>
    <t>Arts. 3.º, 16.º, 17.º</t>
  </si>
  <si>
    <t>Materiais em contacto com alimentos</t>
  </si>
  <si>
    <t>Materiais inertes nas condições de uso, rastreabilidade e declaração de conformidade.</t>
  </si>
  <si>
    <t>Fabricante de materiais em contacto com alimentos</t>
  </si>
  <si>
    <t>RG-SGA-04 LEG-17; dossier FCM dos SKUs FA</t>
  </si>
  <si>
    <t>https://eur-lex.europa.eu/eli/reg/2004/1935/oj</t>
  </si>
  <si>
    <t>FCM-002</t>
  </si>
  <si>
    <t>Reg. (CE) 2023/2006 (BPF)</t>
  </si>
  <si>
    <t>Arts. 5.º–7.º</t>
  </si>
  <si>
    <t>Boas práticas de fabrico FCM</t>
  </si>
  <si>
    <t>Sistema de garantia e controlo da qualidade e documentação das BPF.</t>
  </si>
  <si>
    <t>Procedimentos de qualidade da linha alimentar</t>
  </si>
  <si>
    <t>Auditoria interna BPF</t>
  </si>
  <si>
    <t>Falta auditoria interna específica de BPF (2023/2006).</t>
  </si>
  <si>
    <t>https://eur-lex.europa.eu/eli/reg/2006/2023/oj</t>
  </si>
  <si>
    <t>FCM-006</t>
  </si>
  <si>
    <t>Reg. (UE) 2024/3190</t>
  </si>
  <si>
    <t>Arts. 3.º–5.º</t>
  </si>
  <si>
    <t>Bisfenol A e bisfenóis perigosos</t>
  </si>
  <si>
    <t>Proibição de BPA e de outros bisfenóis perigosos em materiais e objetos em contacto com alimentos (incl. vernizes e tintas), com períodos de transição.</t>
  </si>
  <si>
    <t>Fabricante de materiais plásticos em contacto com alimentos</t>
  </si>
  <si>
    <t>RG-SGA-21 tbl_declaracoes (BPA = Não em todos os polímeros FCM)</t>
  </si>
  <si>
    <t>Antes estava só na matriz de químicos (RG-SGA-21); é requisito de produto.</t>
  </si>
  <si>
    <t>https://eur-lex.europa.eu/eli/reg/2024/3190/oj</t>
  </si>
  <si>
    <t>FCM-003</t>
  </si>
  <si>
    <t>Reg. (UE) 10/2011</t>
  </si>
  <si>
    <t>Arts. 11.º–12.º, 15.º, anexo IV</t>
  </si>
  <si>
    <t>Plásticos em contacto com alimentos</t>
  </si>
  <si>
    <t>Lista da União de substâncias, limites de migração global e específica e declaração de conformidade (anexo IV).</t>
  </si>
  <si>
    <t>Ensaios de migração 2026-03 (HDPE-FG, PP-FG); DoC anexo IV</t>
  </si>
  <si>
    <t>Ensaio + análise documental</t>
  </si>
  <si>
    <t>Por ocorrência (alteração de material)</t>
  </si>
  <si>
    <t>https://eur-lex.europa.eu/eli/reg/2011/10/oj</t>
  </si>
  <si>
    <t>FCM-004</t>
  </si>
  <si>
    <t>Reg. (UE) 2022/1616 (plásticos reciclados em contacto com alimentos)</t>
  </si>
  <si>
    <t>Arts. 4.º–6.º</t>
  </si>
  <si>
    <t>Reciclado em contacto alimentar</t>
  </si>
  <si>
    <t>Plástico reciclado só de processos com tecnologia adequada/autorizada. Hoje sem reciclado nos SKUs alimentares; condiciona a meta de 10% do PPWR para PE/PP alimentar.</t>
  </si>
  <si>
    <t>RG-SGA-20 tbl_certificados_pcr (CERT-04, reciclado químico em avaliação)</t>
  </si>
  <si>
    <t>Acrescentada a ligação à meta de 10% (art. 7.º do PPWR) para PE/PP alimentar.</t>
  </si>
  <si>
    <t>https://eur-lex.europa.eu/eli/reg/2022/1616/oj</t>
  </si>
  <si>
    <t>FCM-005</t>
  </si>
  <si>
    <t>Reg. (UE) 2025/40 (PPWR) × segurança alimentar</t>
  </si>
  <si>
    <t>Arts. 5.º e 7.º</t>
  </si>
  <si>
    <t>Interação segurança × ambiente</t>
  </si>
  <si>
    <t>Avaliar em conjunto PFAS, reciclado e reciclabilidade nas embalagens alimentares.</t>
  </si>
  <si>
    <t>EU-ENV-012 e FCM-004</t>
  </si>
  <si>
    <t>Operacionalizado em EU-ENV-012 (PFAS) e FCM-004.</t>
  </si>
  <si>
    <t>COS-001</t>
  </si>
  <si>
    <t>UE — cosméticos</t>
  </si>
  <si>
    <t>Reg. (CE) 1223/2009</t>
  </si>
  <si>
    <t>Art. 3.º; anexo I (relatório de segurança)</t>
  </si>
  <si>
    <t>Segurança do produto cosmético</t>
  </si>
  <si>
    <t>A pessoa responsável (cliente) avalia a segurança incluindo o material de embalagem; a Plasticom fornece especificações e composição.</t>
  </si>
  <si>
    <t>Requisito contratual</t>
  </si>
  <si>
    <t>Fornecedor de embalagem primária</t>
  </si>
  <si>
    <t>Cosmética</t>
  </si>
  <si>
    <t>Especificações aprovadas e acordos de qualidade com clientes</t>
  </si>
  <si>
    <t>LEG-20</t>
  </si>
  <si>
    <t>https://eur-lex.europa.eu/eli/reg/2009/1223/oj</t>
  </si>
  <si>
    <t>COS-002</t>
  </si>
  <si>
    <t>Anexo I, parte A, ponto 4 (material de embalagem)</t>
  </si>
  <si>
    <t>Materiais e impurezas</t>
  </si>
  <si>
    <t>Informação sobre o material de embalagem e possíveis migrações/impurezas para o relatório de segurança do cliente.</t>
  </si>
  <si>
    <t>Declarações de composição por SKU (ficha RecyClass)</t>
  </si>
  <si>
    <t>Declarações de composição ainda não enviadas a todos os clientes.</t>
  </si>
  <si>
    <t>COS-003</t>
  </si>
  <si>
    <t>EN ISO 22716:2007 (BPF de cosméticos)</t>
  </si>
  <si>
    <t>Norma harmonizada</t>
  </si>
  <si>
    <t>Boas práticas de fabrico</t>
  </si>
  <si>
    <t>Aplica-se ao fabrico do cosmético; para a Plasticom só por exigência contratual.</t>
  </si>
  <si>
    <t>Norma técnica de suporte</t>
  </si>
  <si>
    <t>Fornecedor (só se contratado)</t>
  </si>
  <si>
    <t>Acordos de qualidade</t>
  </si>
  <si>
    <t>Auditoria de cliente</t>
  </si>
  <si>
    <t>https://single-market-economy.ec.europa.eu/sectors/cosmetics_en</t>
  </si>
  <si>
    <t>COS-004</t>
  </si>
  <si>
    <t>Reg. (CE) 1223/2009 / requisitos do cliente</t>
  </si>
  <si>
    <t>Compatibilidade embalagem–produto</t>
  </si>
  <si>
    <t>Ensaios de compatibilidade e estabilidade feitos pelo cliente com especificação da Plasticom.</t>
  </si>
  <si>
    <t>Fichas técnicas e amostras aprovadas</t>
  </si>
  <si>
    <t>COS-005</t>
  </si>
  <si>
    <t>Diretiva (UE) 2024/825 / ISO 14021</t>
  </si>
  <si>
    <t>Alegações ambientais das embalagens</t>
  </si>
  <si>
    <t>Ver EU-ENV-018 (tratado de forma transversal).</t>
  </si>
  <si>
    <t>Autor da comunicação</t>
  </si>
  <si>
    <t>RG-SGA-20 tbl_alegacoes</t>
  </si>
  <si>
    <t>Consolidado em EU-ENV-018.</t>
  </si>
  <si>
    <t>PHAR-001</t>
  </si>
  <si>
    <t>UE — farmacêutico</t>
  </si>
  <si>
    <t>Diretiva 2001/83/CE</t>
  </si>
  <si>
    <t>Art. 8.º, anexo I (dossier AIM)</t>
  </si>
  <si>
    <t>Medicamentos de uso humano</t>
  </si>
  <si>
    <t>O titular da AIM declara o acondicionamento primário; alterações de material exigem notificação — obriga a controlo de alterações contratual.</t>
  </si>
  <si>
    <t>Fornecedor de acondicionamento primário</t>
  </si>
  <si>
    <t>Acordos de qualidade CUST-017/018; RG-SGA-18 (alterações)</t>
  </si>
  <si>
    <t>https://eur-lex.europa.eu/eli/dir/2001/83/oj</t>
  </si>
  <si>
    <t>PHAR-002</t>
  </si>
  <si>
    <t>Reg. (UE) 2019/6</t>
  </si>
  <si>
    <t>Medicamentos veterinários</t>
  </si>
  <si>
    <t>Sem clientes de medicamentos veterinários.</t>
  </si>
  <si>
    <t>dim_customer (sem segmento veterinário)</t>
  </si>
  <si>
    <t>Condicional → não aplicável na carteira atual.</t>
  </si>
  <si>
    <t>https://eur-lex.europa.eu/eli/reg/2019/6/oj</t>
  </si>
  <si>
    <t>PHAR-003</t>
  </si>
  <si>
    <t>Reg. Delegado (UE) 2016/161</t>
  </si>
  <si>
    <t>Arts. 3.º, 16.º (dispositivo de prevenção de adulterações)</t>
  </si>
  <si>
    <t>Dispositivos de segurança</t>
  </si>
  <si>
    <t>Obrigação do titular da AIM; a tampa com selo TE-012 pode ser o dispositivo de prevenção de adulterações — especificação contratual.</t>
  </si>
  <si>
    <t>Fornecedor de tampas com selo de garantia</t>
  </si>
  <si>
    <t>Especificação TE-012 aprovada pelo cliente</t>
  </si>
  <si>
    <t>https://eur-lex.europa.eu/eli/reg_del/2016/161/oj</t>
  </si>
  <si>
    <t>PHAR-004</t>
  </si>
  <si>
    <t>EudraLex vol. 4 (BPF de medicamentos)</t>
  </si>
  <si>
    <t>Parte I, cap. 5 (materiais de acondicionamento)</t>
  </si>
  <si>
    <t>BPF de medicamentos</t>
  </si>
  <si>
    <t>Os fabricantes de medicamentos qualificam e auditam os fornecedores de acondicionamento.</t>
  </si>
  <si>
    <t>Fornecedor qualificado</t>
  </si>
  <si>
    <t>Auditoria de cliente CUST-017 (05/2026, sem NC maiores)</t>
  </si>
  <si>
    <t>Bienal</t>
  </si>
  <si>
    <t>https://health.ec.europa.eu/medicinal-products/eudralex/eudralex-volume-4_en</t>
  </si>
  <si>
    <t>PHAR-005</t>
  </si>
  <si>
    <t>EMA — Guideline on plastic immediate packaging materials</t>
  </si>
  <si>
    <t>CPMP/QWP/4359/03</t>
  </si>
  <si>
    <t>Materiais plásticos de acondicionamento primário</t>
  </si>
  <si>
    <t>Dados de composição, extraíveis e conformidade com a Farmacopeia Europeia (3.1/3.2) para PP-PG e PET-PG.</t>
  </si>
  <si>
    <t>Declarações Ph. Eur. do fornecedor SUP-009</t>
  </si>
  <si>
    <t>SUP-009 é fornecedor spot com 1 ano: falta carta de acesso ao DMF do PET-PG.</t>
  </si>
  <si>
    <t>https://www.ema.europa.eu/en/plastic-immediate-packaging-materials-scientific-guideline</t>
  </si>
  <si>
    <t>PHAR-006</t>
  </si>
  <si>
    <t>Reg. (UE) 2025/40 (PPWR) — isenções</t>
  </si>
  <si>
    <t>Arts. 6.º e 7.º (isenções para medicamentos)</t>
  </si>
  <si>
    <t>Isenções PPWR</t>
  </si>
  <si>
    <t>Embalagem imediata de medicamentos isenta da reciclabilidade até 2035 e do teor de reciclado; a isenção tem de ser documentada por SKU e função.</t>
  </si>
  <si>
    <t>RG-SGA-20 tbl_recyclass (Conforme_PPWR_2030 = Isento), tbl_aplicabilidade</t>
  </si>
  <si>
    <t>Correto: a isenção depende da função (acondicionamento imediato), não do setor. Documentar na declaração UE.</t>
  </si>
  <si>
    <t>ISO-001</t>
  </si>
  <si>
    <t>ISO/EN</t>
  </si>
  <si>
    <t>ISO 14001:2026</t>
  </si>
  <si>
    <t>Sistema de gestão ambiental</t>
  </si>
  <si>
    <t>SGA</t>
  </si>
  <si>
    <t>Base do SGA (aspetos, obrigações, riscos, objetivos, auditoria).</t>
  </si>
  <si>
    <t>Norma voluntária</t>
  </si>
  <si>
    <t>Organização certificável</t>
  </si>
  <si>
    <t>Todo o sistema RG-SGA-00 a 20</t>
  </si>
  <si>
    <t>Auditoria</t>
  </si>
  <si>
    <t>LEG-21</t>
  </si>
  <si>
    <t>O ChatGPT indica a edição de 2015; o SGA já segue a ISO 14001:2026.</t>
  </si>
  <si>
    <t>https://www.iso.org/standard/14001</t>
  </si>
  <si>
    <t>ISO-002</t>
  </si>
  <si>
    <t>ISO 14040:2006 + Amd 1:2020</t>
  </si>
  <si>
    <t>ACV — princípios</t>
  </si>
  <si>
    <t>Estrutura para ACV de embalagens.</t>
  </si>
  <si>
    <t>RG-SGA-19 tbl_pegada_produto (berço-portão simplificado)</t>
  </si>
  <si>
    <t>Revisão crítica</t>
  </si>
  <si>
    <t>Acrescentada a emenda de 2020.</t>
  </si>
  <si>
    <t>ISO-003</t>
  </si>
  <si>
    <t>ISO 14044:2006 + Amd 1:2017 + Amd 2:2020</t>
  </si>
  <si>
    <t>ACV — requisitos</t>
  </si>
  <si>
    <t>Requisitos para inventário, avaliação e interpretação.</t>
  </si>
  <si>
    <t>RG-SGA-19 tbl_pegada_produto</t>
  </si>
  <si>
    <t>Acrescentadas as emendas.</t>
  </si>
  <si>
    <t>ISO-004</t>
  </si>
  <si>
    <t>ISO 14021:2016 + Amd 1:2021</t>
  </si>
  <si>
    <t>§ 7.7 (reciclável) e § 7.8 (conteúdo reciclado)</t>
  </si>
  <si>
    <t>Autodeclarações ambientais</t>
  </si>
  <si>
    <t>Regras para alegações 'reciclável' e 'conteúdo reciclado' (qualificação, cálculo, evidência).</t>
  </si>
  <si>
    <t>Autor da alegação</t>
  </si>
  <si>
    <t>Revisão das alegações</t>
  </si>
  <si>
    <t>Acrescentada a emenda de 2021 e as secções aplicáveis.</t>
  </si>
  <si>
    <t>ISO-005</t>
  </si>
  <si>
    <t>ISO 14024:2018</t>
  </si>
  <si>
    <t>Rotulagem tipo I</t>
  </si>
  <si>
    <t>Programas de rótulo ecológico de terceira parte.</t>
  </si>
  <si>
    <t>Sem rótulo tipo I aplicável a embalagens vazias.</t>
  </si>
  <si>
    <t>ISO-006</t>
  </si>
  <si>
    <t>ISO 14025:2006</t>
  </si>
  <si>
    <t>Declarações tipo III (EPD)</t>
  </si>
  <si>
    <t>Declarações ambientais de produto baseadas em ACV.</t>
  </si>
  <si>
    <t>Oportunidade futura (clientes pedem EPD).</t>
  </si>
  <si>
    <t>ISO-007</t>
  </si>
  <si>
    <t>ISO 14067:2018</t>
  </si>
  <si>
    <t>Pegada de carbono de produto</t>
  </si>
  <si>
    <t>PCF de embalagem com regras de alegação.</t>
  </si>
  <si>
    <t>Verificação por terceira parte</t>
  </si>
  <si>
    <t>Pegada simplificada, não verificada — não usar em alegações (ALG-07).</t>
  </si>
  <si>
    <t>ISO-008</t>
  </si>
  <si>
    <t>ISO 15270:2008</t>
  </si>
  <si>
    <t>Recuperação e reciclagem de resíduos plásticos</t>
  </si>
  <si>
    <t>Orientações para reciclagem mecânica do scrap.</t>
  </si>
  <si>
    <t>Produtor de resíduos plásticos</t>
  </si>
  <si>
    <t>RG-SGA-13 REGRIND_KG, tbl_residuos (07 02 13 → R3)</t>
  </si>
  <si>
    <t>PAM-26-12</t>
  </si>
  <si>
    <t>ISO-009</t>
  </si>
  <si>
    <t>ISO 11469:2016 (+ ISO 1043-1)</t>
  </si>
  <si>
    <t>Identificação de plásticos</t>
  </si>
  <si>
    <t>Marcação do polímero (&gt;PP&lt;, &gt;PE-HD&lt;) nas peças.</t>
  </si>
  <si>
    <t>Fabricante</t>
  </si>
  <si>
    <t>RG-SGA-20 tbl_materiais (Codigo_Identificacao)</t>
  </si>
  <si>
    <t>Inspeção de moldes</t>
  </si>
  <si>
    <t>Acrescentada a ISO 1043-1 (símbolos).</t>
  </si>
  <si>
    <t>ISO-010</t>
  </si>
  <si>
    <t>ISO 18601–18606:2013 / EN 13427–13432:2004</t>
  </si>
  <si>
    <t>Embalagens e ambiente</t>
  </si>
  <si>
    <t>Otimização, reutilização, reciclagem e recuperação de embalagens (as EN são as harmonizadas da Diretiva 94/62).</t>
  </si>
  <si>
    <t>RG-SGA-20 tbl_regras_dfr, tbl_recyclass</t>
  </si>
  <si>
    <t>Acrescentadas as EN 13427–13432; novas normas harmonizadas do PPWR em preparação no CEN.</t>
  </si>
  <si>
    <t>ISO-011</t>
  </si>
  <si>
    <t>ISO 22095:2020</t>
  </si>
  <si>
    <t>Cadeia de custódia</t>
  </si>
  <si>
    <t>Modelos de cadeia de custódia (segregação, balanço de massa).</t>
  </si>
  <si>
    <t>Comprador de reciclado</t>
  </si>
  <si>
    <t>Com PCR</t>
  </si>
  <si>
    <t>RG-SGA-20 tbl_certificados_pcr</t>
  </si>
  <si>
    <t>Auditoria de fornecedor</t>
  </si>
  <si>
    <t>ISO-012</t>
  </si>
  <si>
    <t>EN 15343:2007</t>
  </si>
  <si>
    <t>Rastreabilidade e cálculo de conteúdo reciclado</t>
  </si>
  <si>
    <t>Rastreabilidade dos reciclados e cálculo do conteúdo reciclado — base dos certificados EuCertPlast/RecyClass e do imposto espanhol.</t>
  </si>
  <si>
    <t>Análise de certificados</t>
  </si>
  <si>
    <t>Norma essencial em falta na matriz do ChatGPT.</t>
  </si>
  <si>
    <t>ISO-013</t>
  </si>
  <si>
    <t>RecyClass — diretrizes de design para reciclagem e metodologia</t>
  </si>
  <si>
    <t>Reciclabilidade (voluntária)</t>
  </si>
  <si>
    <t>Avaliação e certificação de reciclabilidade por classes A–F; base provável para os critérios do PPWR.</t>
  </si>
  <si>
    <t>RG-SGA-20 tbl_recyclass, tbl_regras_dfr, Formulario_RecyClass</t>
  </si>
  <si>
    <t>Autoavaliação + certificação por terceira parte</t>
  </si>
  <si>
    <t>PAM-26-24</t>
  </si>
  <si>
    <t>Autoavaliação feita; certificação RecyClass ainda não pedida.</t>
  </si>
  <si>
    <t>https://recyclass.eu</t>
  </si>
  <si>
    <t>ISO-014</t>
  </si>
  <si>
    <t>EN 13430:2004</t>
  </si>
  <si>
    <t>Embalagens recuperáveis por reciclagem</t>
  </si>
  <si>
    <t>Requisitos para declarar uma embalagem recuperável por reciclagem (harmonizada da Diretiva 94/62; substituição por normas PPWR em curso).</t>
  </si>
  <si>
    <t>RG-SGA-20 tbl_recyclass</t>
  </si>
  <si>
    <t>PT-001</t>
  </si>
  <si>
    <t>PT — nacional</t>
  </si>
  <si>
    <t>DL 152-D/2017 (UNILEX), alterado pelo DL 102-D/2020</t>
  </si>
  <si>
    <t>Arts. 4.º–13.º (RAP)</t>
  </si>
  <si>
    <t>Responsabilidade alargada do produtor</t>
  </si>
  <si>
    <t>Quem coloca embalagens no mercado nacional transfere a responsabilidade para um sistema integrado (entidade gestora) ou individual. A Plasticom é embalador das embalagens de expedição (caixas, filme, paletes); os clientes são embaladores das embalagens que enchem.</t>
  </si>
  <si>
    <t>Embalador (embalagens de expedição) — e fornecedor de informação aos clientes embaladores</t>
  </si>
  <si>
    <t>RG-SGA-04 LEG-16; RG-SGA-20 tbl_emb_expedicao; contrato de adesão NU-2021-0342</t>
  </si>
  <si>
    <t>Definido o papel concreto: embalador das embalagens de expedição; não é produtor das embalagens que vende vazias aos embaladores.</t>
  </si>
  <si>
    <t>https://diariodarepublica.pt/dr/legislacao-consolidada/decreto-lei/2017-114337039</t>
  </si>
  <si>
    <t>PT-002</t>
  </si>
  <si>
    <t>DL 152-D/2017 — capítulo das embalagens</t>
  </si>
  <si>
    <t>Arts. 22.º–29.º (confirmar numeração consolidada)</t>
  </si>
  <si>
    <t>Resíduos de embalagens recebidos</t>
  </si>
  <si>
    <t>Gerir os resíduos de embalagens das matérias-primas (big bags, filme, cartão, paletes) através de operadores licenciados.</t>
  </si>
  <si>
    <t>Utilizador final de embalagens não urbanas</t>
  </si>
  <si>
    <t>RG-SGA-13 tbl_residuos (15 01 01/02/03); RG-SGA-04 LEG-01</t>
  </si>
  <si>
    <t>PT-003</t>
  </si>
  <si>
    <t>DL 152-D/2017 / contrato com a entidade gestora</t>
  </si>
  <si>
    <t>Declarações periódicas</t>
  </si>
  <si>
    <t>Declaração de embalagens colocadas no mercado</t>
  </si>
  <si>
    <t>Declarar à entidade gestora as quantidades de embalagens de expedição colocadas no mercado nacional e pagar a prestação financeira.</t>
  </si>
  <si>
    <t>Embalador</t>
  </si>
  <si>
    <t>RG-SGA-20 tbl_emb_expedicao; RG-SGA-04 OBR-15</t>
  </si>
  <si>
    <t>PT-004</t>
  </si>
  <si>
    <t>Vigilância legislativa (DRE, APA, EUR-Lex)</t>
  </si>
  <si>
    <t>Alterações legislativas</t>
  </si>
  <si>
    <t>Acompanhar a adaptação nacional ao PPWR e os atos delegados/de execução (DfR, reciclado, rotulagem).</t>
  </si>
  <si>
    <t>Organização</t>
  </si>
  <si>
    <t>RG-SGA-04 (vigilância mensal EUR-Lex — PAM-26-10)</t>
  </si>
  <si>
    <t>Mensal</t>
  </si>
  <si>
    <t>PT-005</t>
  </si>
  <si>
    <t>Lei 76/2019 e Portaria 331-E/2021 (contribuição sobre embalagens de utilização única)</t>
  </si>
  <si>
    <t>Contribuição take-away</t>
  </si>
  <si>
    <t>Contribuição sobre embalagens de plástico/alumínio de refeições prontas (take-away).</t>
  </si>
  <si>
    <t>Carteira de produtos (sem embalagens de take-away)</t>
  </si>
  <si>
    <t>Confirmar se algum cliente alimentar usa potes para refeições prontas.</t>
  </si>
  <si>
    <t>PT-006</t>
  </si>
  <si>
    <t>DL 78/2021 (transposição da Diretiva SUP)</t>
  </si>
  <si>
    <t>Plásticos de utilização única (PT)</t>
  </si>
  <si>
    <t>Ver EU-ENV-007.</t>
  </si>
  <si>
    <t>Fabricante de tampas</t>
  </si>
  <si>
    <t>Ver EU-ENV-007</t>
  </si>
  <si>
    <t>Declaração do cliente</t>
  </si>
  <si>
    <t>Declarações de 04/12/2026: FA-030/031 não usados para bebidas.</t>
  </si>
  <si>
    <t>Aplicavel</t>
  </si>
  <si>
    <t>Motivo</t>
  </si>
  <si>
    <t>Estado_Base</t>
  </si>
  <si>
    <t>Estado_Resumo</t>
  </si>
  <si>
    <t>Evidencia</t>
  </si>
  <si>
    <t>Segmento Cosmética e higiene pessoal</t>
  </si>
  <si>
    <t>Segmento Cosmética e higiene pessoal — requisito só para 'Alimentar'</t>
  </si>
  <si>
    <t>Segmento Cosmética e higiene pessoal — requisito só para 'Farmacêutico'</t>
  </si>
  <si>
    <t>Segmento Alimentar</t>
  </si>
  <si>
    <t>Frasco alimentar de 0,5–1 L: confirmar se é usado para bebidas (tampas presas)</t>
  </si>
  <si>
    <t>Segmento Alimentar — requisito só para 'Cosmética'</t>
  </si>
  <si>
    <t>Segmento Alimentar — requisito só para 'Farmacêutico'</t>
  </si>
  <si>
    <t>Segmento Farmacêutico</t>
  </si>
  <si>
    <t>Segmento Farmacêutico — requisito só para 'Alimentar'</t>
  </si>
  <si>
    <t>Segmento Farmacêutico — requisito só para 'Cosmética'</t>
  </si>
  <si>
    <t>Pote farmacêutico sem tampa de selo de garantia</t>
  </si>
  <si>
    <t>Pais</t>
  </si>
  <si>
    <t>Pais_Nome</t>
  </si>
  <si>
    <t>N_Clientes</t>
  </si>
  <si>
    <t>Unidades</t>
  </si>
  <si>
    <t>Massa_Unit_g</t>
  </si>
  <si>
    <t>Massa_kg</t>
  </si>
  <si>
    <t>Massa_Reciclado_kg</t>
  </si>
  <si>
    <t>Massa_Virgem_kg</t>
  </si>
  <si>
    <t>Imposto_ES_EUR</t>
  </si>
  <si>
    <t>Grau_PPWR</t>
  </si>
  <si>
    <t>Frasco/pote</t>
  </si>
  <si>
    <t>Portugal</t>
  </si>
  <si>
    <t>DE</t>
  </si>
  <si>
    <t>Alemanha</t>
  </si>
  <si>
    <t>ES</t>
  </si>
  <si>
    <t>Espanha</t>
  </si>
  <si>
    <t>FR</t>
  </si>
  <si>
    <t>França</t>
  </si>
  <si>
    <t>IT</t>
  </si>
  <si>
    <t>Itália</t>
  </si>
  <si>
    <t>PL</t>
  </si>
  <si>
    <t>Polónia</t>
  </si>
  <si>
    <t>Mes</t>
  </si>
  <si>
    <t>Material_Embalagem</t>
  </si>
  <si>
    <t>Codigo_LER_Fim_Vida</t>
  </si>
  <si>
    <t>Regime_RAP</t>
  </si>
  <si>
    <t>ID_Param_Valor</t>
  </si>
  <si>
    <t>Prestacao_EUR</t>
  </si>
  <si>
    <t>Cartão (caixas)</t>
  </si>
  <si>
    <t>15 01 01</t>
  </si>
  <si>
    <t>Filme PE estirável</t>
  </si>
  <si>
    <t>15 01 02</t>
  </si>
  <si>
    <t>Paletes de madeira (sem retorno)</t>
  </si>
  <si>
    <t>15 01 03</t>
  </si>
  <si>
    <t>ID_Pais_Req</t>
  </si>
  <si>
    <t>Informacao_a_Fornecer</t>
  </si>
  <si>
    <t>Autoridade</t>
  </si>
  <si>
    <t>Fonte_Legal</t>
  </si>
  <si>
    <t>Massa_Plastico_kg</t>
  </si>
  <si>
    <t>PAIS-01</t>
  </si>
  <si>
    <t>RAP embalagens</t>
  </si>
  <si>
    <t>SIGRE: clientes embaladores aderem a entidade gestora (SPV, Novo Verde, Electrão) pelas embalagens que enchem.</t>
  </si>
  <si>
    <t>Fornecedor dos clientes embaladores</t>
  </si>
  <si>
    <t>Massa e material por SKU (tbl_recyclass)</t>
  </si>
  <si>
    <t>APA / IGAMAOT</t>
  </si>
  <si>
    <t>DL 152-D/2017</t>
  </si>
  <si>
    <t>PAIS-02</t>
  </si>
  <si>
    <t>RAP expedição</t>
  </si>
  <si>
    <t>A Plasticom declara as embalagens de expedição (cartão, filme, paletes) colocadas no mercado nacional.</t>
  </si>
  <si>
    <t>tbl_emb_expedicao</t>
  </si>
  <si>
    <t>APA</t>
  </si>
  <si>
    <t>PAIS-03</t>
  </si>
  <si>
    <t>RD 1055/2022: produtores de produto (clientes) inscritos no Registo de Produtores; embalagens comerciais/industriais com RAP desde 2025.</t>
  </si>
  <si>
    <t>Fornecedor intracomunitário</t>
  </si>
  <si>
    <t>Massa e material por SKU; reciclabilidade</t>
  </si>
  <si>
    <t>MITECO / CCAA</t>
  </si>
  <si>
    <t>Real Decreto 1055/2022</t>
  </si>
  <si>
    <t>Em avaliação</t>
  </si>
  <si>
    <t>PAIS-04</t>
  </si>
  <si>
    <t>Imposto sobre plástico</t>
  </si>
  <si>
    <t>Imposto especial de 0,45 €/kg sobre plástico não reciclado de embalagens não reutilizáveis; na aquisição intracomunitária paga o adquirente espanhol, que precisa do certificado de reciclado (EN 15343).</t>
  </si>
  <si>
    <t>Massa de plástico, % reciclado certificado por fatura</t>
  </si>
  <si>
    <t>AEAT</t>
  </si>
  <si>
    <t>Ley 7/2022, arts. 67.º–83.º</t>
  </si>
  <si>
    <t>PAIS-05</t>
  </si>
  <si>
    <t>Rotulagem Triman / Info-tri</t>
  </si>
  <si>
    <t>Embalagens domésticas com logótipo Triman e instruções de triagem (responsabilidade do produtor — cliente).</t>
  </si>
  <si>
    <t>Fornecedor</t>
  </si>
  <si>
    <t>Material e componentes separáveis</t>
  </si>
  <si>
    <t>Ministère de la Transition Écologique / ADEME</t>
  </si>
  <si>
    <t>Lei AGEC 2020-105; Decreto 2021-835</t>
  </si>
  <si>
    <t>PAIS-06</t>
  </si>
  <si>
    <t>Óleos minerais nas tintas</t>
  </si>
  <si>
    <t>Proibição de óleos minerais (MOSH/MOAH) em tintas de impressão de embalagens.</t>
  </si>
  <si>
    <t>Decorador (serigrafia/hot foil)</t>
  </si>
  <si>
    <t>Declaração das tintas SS-001/002 sem óleos minerais</t>
  </si>
  <si>
    <t>DGCCRF</t>
  </si>
  <si>
    <t>Lei AGEC, art. 112.º; Decreto 2020-1725</t>
  </si>
  <si>
    <t>PAIS-07</t>
  </si>
  <si>
    <t>Proibidas alegações 'biodegradável', 'respeitador do ambiente' em embalagens.</t>
  </si>
  <si>
    <t>Autor de comunicações</t>
  </si>
  <si>
    <t>tbl_alegacoes</t>
  </si>
  <si>
    <t>Lei AGEC, art. 13.º</t>
  </si>
  <si>
    <t>PAIS-08</t>
  </si>
  <si>
    <t>Rotulagem ambiental</t>
  </si>
  <si>
    <t>Rotulagem obrigatória com código de material (Decisão 97/129/CE); no B2B pode ir nos documentos de acompanhamento.</t>
  </si>
  <si>
    <t>Fabricante (código no molde ou documento)</t>
  </si>
  <si>
    <t>Código alfanumérico do material (tbl_materiais)</t>
  </si>
  <si>
    <t>Ministero dell'Ambiente</t>
  </si>
  <si>
    <t>D.Lgs. 116/2020, art. 219.º, n.º 5</t>
  </si>
  <si>
    <t>PAIS-09</t>
  </si>
  <si>
    <t>CONAI</t>
  </si>
  <si>
    <t>Contributo ambiental CONAI declarado pelo cliente importador (procedimento de importação).</t>
  </si>
  <si>
    <t>Fornecedor estrangeiro</t>
  </si>
  <si>
    <t>Massa por material por fatura</t>
  </si>
  <si>
    <t>D.Lgs. 152/2006</t>
  </si>
  <si>
    <t>PAIS-10</t>
  </si>
  <si>
    <t>Plastic tax</t>
  </si>
  <si>
    <t>Imposto sobre embalagens de plástico de utilização única (sucessivamente adiado).</t>
  </si>
  <si>
    <t>Massa de plástico e % reciclado</t>
  </si>
  <si>
    <t>Agenzia delle Dogane</t>
  </si>
  <si>
    <t>Lei 160/2019</t>
  </si>
  <si>
    <t>PAIS-11</t>
  </si>
  <si>
    <t>VerpackG / LUCID</t>
  </si>
  <si>
    <t>Registo LUCID e participação num sistema pelo 'Hersteller' (cliente que enche); modulação pelo padrão mínimo de reciclabilidade (§ 21).</t>
  </si>
  <si>
    <t>Classe de reciclabilidade por SKU</t>
  </si>
  <si>
    <t>ZSVR</t>
  </si>
  <si>
    <t>Verpackungsgesetz, §§ 7, 9, 21</t>
  </si>
  <si>
    <t>PAIS-12</t>
  </si>
  <si>
    <t>Embalagens / BDO</t>
  </si>
  <si>
    <t>Registo BDO e taxa de produto pelo introdutor (cliente).</t>
  </si>
  <si>
    <t>Massa e material</t>
  </si>
  <si>
    <t>Marszałek województwa</t>
  </si>
  <si>
    <t>Lei de 13/06/2013 sobre gestão de embalagens</t>
  </si>
  <si>
    <t>ID_Certificado</t>
  </si>
  <si>
    <t>Esquema</t>
  </si>
  <si>
    <t>N_Certificado</t>
  </si>
  <si>
    <t>Norma</t>
  </si>
  <si>
    <t>Pct_PCR_Declarado</t>
  </si>
  <si>
    <t>Origem</t>
  </si>
  <si>
    <t>Data_Emissao</t>
  </si>
  <si>
    <t>Validade</t>
  </si>
  <si>
    <t>Aprovado_Contacto_Alimentar</t>
  </si>
  <si>
    <t>Dias_para_Expirar</t>
  </si>
  <si>
    <t>CERT-01</t>
  </si>
  <si>
    <t>RecyClass Recycled Plastics Traceability</t>
  </si>
  <si>
    <t>RC-RPT-2025-1187</t>
  </si>
  <si>
    <t>EN 15343</t>
  </si>
  <si>
    <t>Pós-consumo</t>
  </si>
  <si>
    <t>CERT-02</t>
  </si>
  <si>
    <t>EuCertPlast</t>
  </si>
  <si>
    <t>ECP-UK-0452-R1</t>
  </si>
  <si>
    <t>Renovado em 10/12/2026 (pedido de 09/2026).</t>
  </si>
  <si>
    <t>CERT-03</t>
  </si>
  <si>
    <t>ECP-UK-0453-R1</t>
  </si>
  <si>
    <t>Renovado em 20/11/2026 (PAM-26-25); os lotes de jul–nov/2026 sem certificado contam como polímero virgem.</t>
  </si>
  <si>
    <t>CERT-04</t>
  </si>
  <si>
    <t>PP-FG / HDPE-FG (reciclado químico)</t>
  </si>
  <si>
    <t>ISCC PLUS (balanço de massa)</t>
  </si>
  <si>
    <t>ISO 22095 (balanço de massa)</t>
  </si>
  <si>
    <t>Pós-consumo (químico)</t>
  </si>
  <si>
    <t>Sim (processo autorizado — confirmar)</t>
  </si>
  <si>
    <t>Em negociação para cumprir a meta de 10% em alimentar (2030).</t>
  </si>
  <si>
    <t>ID_Alegacao</t>
  </si>
  <si>
    <t>Texto_Alegacao</t>
  </si>
  <si>
    <t>Canal</t>
  </si>
  <si>
    <t>Norma_Referencia</t>
  </si>
  <si>
    <t>Prazo_Acao</t>
  </si>
  <si>
    <t>ALG-01</t>
  </si>
  <si>
    <t>Frascos 100% recicláveis</t>
  </si>
  <si>
    <t>Reciclabilidade</t>
  </si>
  <si>
    <t>Todos os frascos</t>
  </si>
  <si>
    <t>Site e catálogo</t>
  </si>
  <si>
    <t>ISO 14021 § 7.7; Diretiva 2024/825</t>
  </si>
  <si>
    <t>Contrariado pela autoavaliação: PVC, PETG e preto de carbono são classe F</t>
  </si>
  <si>
    <t>Retirar</t>
  </si>
  <si>
    <t>ALG-02</t>
  </si>
  <si>
    <t>Embalagens eco-friendly / amigas do ambiente</t>
  </si>
  <si>
    <t>Genérica</t>
  </si>
  <si>
    <t>Portfólio</t>
  </si>
  <si>
    <t>Site</t>
  </si>
  <si>
    <t>Diretiva 2024/825 (anexo I, ponto 4-A)</t>
  </si>
  <si>
    <t>Sem desempenho ambiental excelente reconhecido</t>
  </si>
  <si>
    <t>Proibida</t>
  </si>
  <si>
    <t>ALG-03</t>
  </si>
  <si>
    <t>Contém 30% de PP reciclado pós-consumo</t>
  </si>
  <si>
    <t>SKUs PP-PCR</t>
  </si>
  <si>
    <t>Fichas técnicas</t>
  </si>
  <si>
    <t>ISO 14021 § 7.8; EN 15343</t>
  </si>
  <si>
    <t>CERT-01 válido; balanço de massa por lote</t>
  </si>
  <si>
    <t>Aprovada</t>
  </si>
  <si>
    <t>ALG-04</t>
  </si>
  <si>
    <t>Contém 30% de HDPE reciclado pós-consumo</t>
  </si>
  <si>
    <t>SKUs HDPE-PCR</t>
  </si>
  <si>
    <t>CERT-02 renovado, válido até 09/12/2028</t>
  </si>
  <si>
    <t>ALG-05</t>
  </si>
  <si>
    <t>Feito com 50% de rPET</t>
  </si>
  <si>
    <t>SKUs rPET</t>
  </si>
  <si>
    <t>Fichas técnicas e catálogo</t>
  </si>
  <si>
    <t>CERT-03 expirado em 30/06/2026</t>
  </si>
  <si>
    <t>Suspensa</t>
  </si>
  <si>
    <t>ALG-06</t>
  </si>
  <si>
    <t>Reciclável — classe A RecyClass (autoavaliação), onde existam sistemas de recolha</t>
  </si>
  <si>
    <t>SKUs com classe A</t>
  </si>
  <si>
    <t>ISO 14021 § 7.7; RecyClass</t>
  </si>
  <si>
    <t>tbl_recyclass (autoavaliação); falta certificação para usar o logótipo</t>
  </si>
  <si>
    <t>Em revisão</t>
  </si>
  <si>
    <t>ALG-07</t>
  </si>
  <si>
    <t>Pegada de carbono −35% face ao material virgem</t>
  </si>
  <si>
    <t>Pegada de carbono</t>
  </si>
  <si>
    <t>SKUs com PCR</t>
  </si>
  <si>
    <t>Propostas comerciais</t>
  </si>
  <si>
    <t>ISO 14067; Diretiva 2024/825</t>
  </si>
  <si>
    <t>Pegada simplificada (RG-SGA-19) não verificada</t>
  </si>
  <si>
    <t>ALG-08</t>
  </si>
  <si>
    <t>Embalagem neutra em carbono</t>
  </si>
  <si>
    <t>Neutralidade carbónica</t>
  </si>
  <si>
    <t>Diretiva 2024/825 (compensações)</t>
  </si>
  <si>
    <t>Baseada em compensações — proibida</t>
  </si>
  <si>
    <t>ALG-09</t>
  </si>
  <si>
    <t>Monomaterial: frasco, tampa e rótulo em poliolefinas</t>
  </si>
  <si>
    <t>SKUs PE/PP com tampa e rótulo PE/PP</t>
  </si>
  <si>
    <t>ISO 14021 § 5.7</t>
  </si>
  <si>
    <t>tbl_recyclass (Estrutura_Material)</t>
  </si>
  <si>
    <t>ALG-10</t>
  </si>
  <si>
    <t>Sem PFAS adicionados</t>
  </si>
  <si>
    <t>Substâncias</t>
  </si>
  <si>
    <t>Linha alimentar</t>
  </si>
  <si>
    <t>PPWR art. 5.º, n.º 5</t>
  </si>
  <si>
    <t>ID_Item</t>
  </si>
  <si>
    <t>Item_Checklist</t>
  </si>
  <si>
    <t>MAT-01</t>
  </si>
  <si>
    <t>Inventário de produtos e materiais concluído</t>
  </si>
  <si>
    <t>Implementado</t>
  </si>
  <si>
    <t>RG-SGA-20 tbl_recyclass (113 SKUs), tbl_tampas (36), tbl_materiais (14)</t>
  </si>
  <si>
    <t>MAT-02</t>
  </si>
  <si>
    <t>Aplicação de cada produto classificada por setor</t>
  </si>
  <si>
    <t>tbl_recyclass[Segmento], [Contacto]</t>
  </si>
  <si>
    <t>MAT-03</t>
  </si>
  <si>
    <t>Papel jurídico da Plasticom definido</t>
  </si>
  <si>
    <t>tbl_requisitos_emb[Papel_Plasticom]; RG-SGA-04 tbl_legal[Papel_Plasticom]</t>
  </si>
  <si>
    <t>MAT-04</t>
  </si>
  <si>
    <t>PPWR avaliado por categoria de embalagem</t>
  </si>
  <si>
    <t>tbl_familias_ppwr — declaração UE em 17 de 22 famílias (faltam PP-PG e PET-PG farmacêuticas; PETG e PVC em substituição)</t>
  </si>
  <si>
    <t>MAT-05</t>
  </si>
  <si>
    <t>Critérios de reciclabilidade definidos e documentados</t>
  </si>
  <si>
    <t>tbl_regras_dfr (regras RecyClass simplificadas); atos delegados do PPWR por publicar</t>
  </si>
  <si>
    <t>MAT-06</t>
  </si>
  <si>
    <t>Requisitos de conteúdo reciclado avaliados</t>
  </si>
  <si>
    <t>tbl_metas_art7; tbl_recyclass[Gap_2030]; tbl_certificados_pcr</t>
  </si>
  <si>
    <t>MAT-07</t>
  </si>
  <si>
    <t>Contacto alimentar avaliado quando aplicável</t>
  </si>
  <si>
    <t>tbl_aplicabilidade FCM-001 a 003; RG-SGA-04 LEG-17</t>
  </si>
  <si>
    <t>MAT-08</t>
  </si>
  <si>
    <t>Requisitos de cosméticos avaliados quando aplicável</t>
  </si>
  <si>
    <t>tbl_aplicabilidade COS-001, 002, 004; LEG-20</t>
  </si>
  <si>
    <t>MAT-09</t>
  </si>
  <si>
    <t>Requisitos farmacêuticos avaliados quando aplicável</t>
  </si>
  <si>
    <t>PHAR-001 a 006; falta DMF do PET-PG (PHAR-005)</t>
  </si>
  <si>
    <t>MAT-10</t>
  </si>
  <si>
    <t>Legislação portuguesa identificada e validada</t>
  </si>
  <si>
    <t>PT-001 a 006; RG-SGA-04 LEG-01, LEG-13, LEG-16</t>
  </si>
  <si>
    <t>MAT-11</t>
  </si>
  <si>
    <t>Países de destino com obrigações nacionais mapeados</t>
  </si>
  <si>
    <t>tbl_requisitos_pais (6 países; 3 itens por verificar)</t>
  </si>
  <si>
    <t>MAT-12</t>
  </si>
  <si>
    <t>Normas ISO/EN classificadas por natureza da obrigação</t>
  </si>
  <si>
    <t>tbl_requisitos_emb[Natureza_Obrigacao] (ISO-001 a 014)</t>
  </si>
  <si>
    <t>MAT-13</t>
  </si>
  <si>
    <t>Responsáveis por requisito definidos</t>
  </si>
  <si>
    <t>tbl_requisitos_emb[Responsavel]; RG-SGA-08 tbl_raci (PS-23 a PS-27)</t>
  </si>
  <si>
    <t>MAT-14</t>
  </si>
  <si>
    <t>Evidências de auditoria identificadas</t>
  </si>
  <si>
    <t>tbl_requisitos_emb[Evidencia_SGA]; tbl_aplicabilidade[Evidencia]</t>
  </si>
  <si>
    <t>MAT-15</t>
  </si>
  <si>
    <t>KPIs definidos e com origem de dados</t>
  </si>
  <si>
    <t>RG-SGA-05 KPI-17 a KPI-21; Painel</t>
  </si>
  <si>
    <t>MAT-16</t>
  </si>
  <si>
    <t>Periodicidade de revisão legal definida</t>
  </si>
  <si>
    <t>tbl_requisitos_emb[Frequencia]; RG-SGA-04 OBR-16</t>
  </si>
  <si>
    <t>FICHA DE PREENCHIMENTO DA FERRAMENTA RECYCLASS (por SKU)</t>
  </si>
  <si>
    <t>Escolha o SKU em B4. Os valores vêm de tbl_recyclass; copie-os para recyclass.eu (Recyclability Evaluation Tool) e compare o resultado oficial com o calculado.</t>
  </si>
  <si>
    <t>SKU (ProductId)</t>
  </si>
  <si>
    <t>1. INFORMAÇÃO GERAL</t>
  </si>
  <si>
    <t>Categoria de embalagem na ferramenta</t>
  </si>
  <si>
    <t>Formato / segmento</t>
  </si>
  <si>
    <t>Volume (ml) / maior dimensão (mm)</t>
  </si>
  <si>
    <t>Massa total da unidade (g)</t>
  </si>
  <si>
    <t>2. CORPO PRINCIPAL</t>
  </si>
  <si>
    <t>Polímero / material</t>
  </si>
  <si>
    <t>Cor e transparência</t>
  </si>
  <si>
    <t>Masterbatch / dosagem</t>
  </si>
  <si>
    <t>Densidade (g/cm³)</t>
  </si>
  <si>
    <t>Massa do corpo (g)</t>
  </si>
  <si>
    <t>3. FECHO</t>
  </si>
  <si>
    <t>Tampa (ID) / material</t>
  </si>
  <si>
    <t>Massa da tampa (g)</t>
  </si>
  <si>
    <t>Vedante / liner / válvula</t>
  </si>
  <si>
    <t>4. RÓTULO / MANGA</t>
  </si>
  <si>
    <t>Adesivo</t>
  </si>
  <si>
    <t>Cobertura da superfície</t>
  </si>
  <si>
    <t>Massa do rótulo (g)</t>
  </si>
  <si>
    <t>5. DECORAÇÃO DIRETA</t>
  </si>
  <si>
    <t>Tipo / n.º de cores</t>
  </si>
  <si>
    <t>Massa de tinta/metalização (g)</t>
  </si>
  <si>
    <t>6. RESULTADO CALCULADO</t>
  </si>
  <si>
    <t>Classe RecyClass</t>
  </si>
  <si>
    <t>Recomendação</t>
  </si>
  <si>
    <t>Taxa de reciclabilidade (massa)</t>
  </si>
  <si>
    <t>Grau PPWR indicativo</t>
  </si>
  <si>
    <t>Conforme 2030 / 2038</t>
  </si>
  <si>
    <t>Conteúdo reciclado / meta 2030</t>
  </si>
  <si>
    <t>Estrutura</t>
  </si>
  <si>
    <t>Países / requisitos aplicáveis</t>
  </si>
  <si>
    <t>A classificação oficial é a da ferramenta RecyClass (ou da certificação). Diferenças indicam regras a recalibrar em tbl_regras_dfr. Os critérios de DfR do PPWR (atos delegados) prevalecem quando publicados.</t>
  </si>
  <si>
    <t>LISTAS CONTROLADAS (domínios de validação de dados) — editar aqui para alterar opções</t>
  </si>
  <si>
    <t>DataReferencia</t>
  </si>
  <si>
    <t>CorCorpo</t>
  </si>
  <si>
    <t>Barreira</t>
  </si>
  <si>
    <t>Rotulo</t>
  </si>
  <si>
    <t>Decoracao</t>
  </si>
  <si>
    <t>Natureza</t>
  </si>
  <si>
    <t>EstadoReq</t>
  </si>
  <si>
    <t>Verificacao</t>
  </si>
  <si>
    <t>SimNao</t>
  </si>
  <si>
    <t>EstadoAlegacao</t>
  </si>
  <si>
    <t>Funcao</t>
  </si>
  <si>
    <t>EstadoAval</t>
  </si>
  <si>
    <t>Diretor Industrial</t>
  </si>
  <si>
    <t>Carta de compatibilidade RecyClass</t>
  </si>
  <si>
    <t>Certificado RecyClass</t>
  </si>
  <si>
    <t>Gerente de Produção</t>
  </si>
  <si>
    <t>Gerente de Manutenção</t>
  </si>
  <si>
    <t>Responsável de Recursos Humanos</t>
  </si>
  <si>
    <t>Operador de Serigrafia</t>
  </si>
  <si>
    <t>Operador de Injeção</t>
  </si>
  <si>
    <t>Operador de Sopro (ISBM)</t>
  </si>
  <si>
    <t>Operador de Hot Foil</t>
  </si>
  <si>
    <t>Técnico de Manutenção</t>
  </si>
  <si>
    <t>Técnico de Utilidades</t>
  </si>
  <si>
    <t>Operador de Armazém / Empilhador</t>
  </si>
  <si>
    <t>Chefe de Turno</t>
  </si>
  <si>
    <t>Auditor Interno do SGA</t>
  </si>
  <si>
    <t>Representante dos Trabalhadores (SST/Ambiente)</t>
  </si>
  <si>
    <t>Técnico de Qualidade/Ambiente</t>
  </si>
  <si>
    <t>Folha</t>
  </si>
  <si>
    <t>Tabela</t>
  </si>
  <si>
    <t>Coluna</t>
  </si>
  <si>
    <t>Dominio_Unidade</t>
  </si>
  <si>
    <t>Obrigatorio</t>
  </si>
  <si>
    <t>tbl_param_emb</t>
  </si>
  <si>
    <t>Texto</t>
  </si>
  <si>
    <t>Entrada</t>
  </si>
  <si>
    <t>Identificador.</t>
  </si>
  <si>
    <t>PK</t>
  </si>
  <si>
    <t>Parâmetro.</t>
  </si>
  <si>
    <t>Decimal</t>
  </si>
  <si>
    <t>Valor (editável).</t>
  </si>
  <si>
    <t>Unidade.</t>
  </si>
  <si>
    <t>Fonte / pressuposto.</t>
  </si>
  <si>
    <t>tbl_metas_art7</t>
  </si>
  <si>
    <t>Categoria de embalagem do art. 7.º.</t>
  </si>
  <si>
    <t>Percentagem (fração 0-1)</t>
  </si>
  <si>
    <t>Teor mínimo a partir de 01/01/2030.</t>
  </si>
  <si>
    <t>Teor mínimo a partir de 01/01/2040.</t>
  </si>
  <si>
    <t>Alínea do art. 7.º.</t>
  </si>
  <si>
    <t>Nota de aplicação.</t>
  </si>
  <si>
    <t>tbl_materiais</t>
  </si>
  <si>
    <t>Material (dataset).</t>
  </si>
  <si>
    <t>Polímero para a regra de DfR.</t>
  </si>
  <si>
    <t>Fluxo de triagem/reciclagem europeu.</t>
  </si>
  <si>
    <t>Densidade típica do polímero.</t>
  </si>
  <si>
    <t>Virgem, reciclado, alimentar, farmacêutico.</t>
  </si>
  <si>
    <t>Teor de reciclado pós-consumo do grau comprado (certificado).</t>
  </si>
  <si>
    <t>Marcação ISO 1043-1 / ISO 11469 e código da Decisão 97/129/CE.</t>
  </si>
  <si>
    <t>Fornecedor principal.</t>
  </si>
  <si>
    <t>FK → RG-SGA-11</t>
  </si>
  <si>
    <t>Inteiro</t>
  </si>
  <si>
    <t>Calculado (fórmula)</t>
  </si>
  <si>
    <t>SKUs com este material no corpo.</t>
  </si>
  <si>
    <t>Massa de corpos vendida (12 meses).</t>
  </si>
  <si>
    <t>tbl_regras_dfr</t>
  </si>
  <si>
    <t>Chave de pesquisa (fluxo|característica|valor).</t>
  </si>
  <si>
    <t>Fluxo de reciclagem do corpo.</t>
  </si>
  <si>
    <t>Característica avaliada (campo da ferramenta RecyClass).</t>
  </si>
  <si>
    <t>Opção escolhida.</t>
  </si>
  <si>
    <t>Classe de reciclabilidade A–F atribuída.</t>
  </si>
  <si>
    <t>Lista lst_Classe</t>
  </si>
  <si>
    <t>Leitura da classe.</t>
  </si>
  <si>
    <t>Fração da massa do componente que acaba em reciclado (1 = reciclado; 0 = perdido).</t>
  </si>
  <si>
    <t>Porquê (processo de triagem/lavagem/extrusão).</t>
  </si>
  <si>
    <t>Ação de design para melhorar.</t>
  </si>
  <si>
    <t>tbl_tampas</t>
  </si>
  <si>
    <t>Tampa (dataset).</t>
  </si>
  <si>
    <t>Descrição.</t>
  </si>
  <si>
    <t>Tipo de abertura.</t>
  </si>
  <si>
    <t>Material.</t>
  </si>
  <si>
    <t>Lista lst_Material</t>
  </si>
  <si>
    <t>Polímero.</t>
  </si>
  <si>
    <t>Massa (média mín./máx. da especificação).</t>
  </si>
  <si>
    <t>Densidade.</t>
  </si>
  <si>
    <t>Flutua no afunda-flutua (separação do PET).</t>
  </si>
  <si>
    <t>Acabamento de rosca.</t>
  </si>
  <si>
    <t>Vedante/liner.</t>
  </si>
  <si>
    <t>Lista lst_Vedante</t>
  </si>
  <si>
    <t>Teor de reciclado.</t>
  </si>
  <si>
    <t>Família PPWR.</t>
  </si>
  <si>
    <t>FK → tbl_familias_ppwr</t>
  </si>
  <si>
    <t>Unidades vendidas (ano civil de 2026).</t>
  </si>
  <si>
    <t>Países de destino.</t>
  </si>
  <si>
    <t>Massa vendida (kg).</t>
  </si>
  <si>
    <t>tbl_recyclass</t>
  </si>
  <si>
    <t>Identificador da avaliação.</t>
  </si>
  <si>
    <t>SKU (dataset).</t>
  </si>
  <si>
    <t>FK → dataset</t>
  </si>
  <si>
    <t>Frasco ou pote.</t>
  </si>
  <si>
    <t>Setor de aplicação.</t>
  </si>
  <si>
    <t>Lista lst_Segmento</t>
  </si>
  <si>
    <t>Tipo de contacto com o conteúdo.</t>
  </si>
  <si>
    <t>Processo.</t>
  </si>
  <si>
    <t>Família PPWR (declaração UE).</t>
  </si>
  <si>
    <t>Volume nominal.</t>
  </si>
  <si>
    <t>Maior dimensão estimada (triagem por tamanho: &lt; 50 mm em 2 dimensões é crítico).</t>
  </si>
  <si>
    <t>[RecyClass: corpo — polímero] Material do corpo.</t>
  </si>
  <si>
    <t>Polímero base.</t>
  </si>
  <si>
    <t>Fluxo europeu de reciclagem.</t>
  </si>
  <si>
    <t>[RecyClass: 1.º passo] Categoria de embalagem a escolher na ferramenta.</t>
  </si>
  <si>
    <t>Cor no dataset.</t>
  </si>
  <si>
    <t>[RecyClass: cor/transparência do corpo].</t>
  </si>
  <si>
    <t>Lista lst_CorCorpo</t>
  </si>
  <si>
    <t>Masterbatch (dataset).</t>
  </si>
  <si>
    <t>Dosagem de masterbatch (fração).</t>
  </si>
  <si>
    <t>[RecyClass: densidade] Polímero + efeito do masterbatch (estimativa).</t>
  </si>
  <si>
    <t>[RecyClass: barreira/revestimento].</t>
  </si>
  <si>
    <t>Lista lst_Barreira</t>
  </si>
  <si>
    <t>Massa do corpo (g).</t>
  </si>
  <si>
    <t>Medida ou estimada.</t>
  </si>
  <si>
    <t>[RecyClass: fecho] Tampa de referência do sistema.</t>
  </si>
  <si>
    <t>FK → tbl_tampas</t>
  </si>
  <si>
    <t>Material da tampa.</t>
  </si>
  <si>
    <t>Polímero da tampa.</t>
  </si>
  <si>
    <t>Massa da tampa.</t>
  </si>
  <si>
    <t>[RecyClass: vedante/liner/válvula].</t>
  </si>
  <si>
    <t>[RecyClass: rótulo/manga] Tipo de rótulo.</t>
  </si>
  <si>
    <t>Lista lst_Rotulo</t>
  </si>
  <si>
    <t>[RecyClass: adesivo] Adesivo do rótulo.</t>
  </si>
  <si>
    <t>Lista lst_Adesivo</t>
  </si>
  <si>
    <t>[RecyClass: cobertura] Fração da superfície coberta.</t>
  </si>
  <si>
    <t>Massa do rótulo (área × cobertura × gramagem).</t>
  </si>
  <si>
    <t>Origem dos dados do rótulo.</t>
  </si>
  <si>
    <t>[RecyClass: impressão direta/metalização] Decoração direta (dataset).</t>
  </si>
  <si>
    <t>Lista lst_Decoracao</t>
  </si>
  <si>
    <t>N.º de cores de serigrafia (dim_ink).</t>
  </si>
  <si>
    <t>Opção de decoração para a regra.</t>
  </si>
  <si>
    <t>Tinta ou metalização depositada (g).</t>
  </si>
  <si>
    <t>Classe da característica 'Fluxo de reciclagem' (tbl_regras_dfr).</t>
  </si>
  <si>
    <t>Classe da característica 'Cor do corpo' (tbl_regras_dfr).</t>
  </si>
  <si>
    <t>Classe da característica 'Densidade do corpo' (tbl_regras_dfr).</t>
  </si>
  <si>
    <t>Classe da característica 'Barreira / revestimento' (tbl_regras_dfr).</t>
  </si>
  <si>
    <t>Classe da característica 'Material da tampa' (tbl_regras_dfr).</t>
  </si>
  <si>
    <t>Classe da característica 'Vedante / liner' (tbl_regras_dfr).</t>
  </si>
  <si>
    <t>Classe da característica 'Tipo de rótulo' (tbl_regras_dfr).</t>
  </si>
  <si>
    <t>Classe da característica 'Adesivo do rótulo' (tbl_regras_dfr).</t>
  </si>
  <si>
    <t>Classe da característica 'Cobertura do rótulo' (tbl_regras_dfr).</t>
  </si>
  <si>
    <t>Classe da característica 'Decoração direta' (tbl_regras_dfr).</t>
  </si>
  <si>
    <t>Pior classe (1 = A … 6 = F).</t>
  </si>
  <si>
    <t>Classe de reciclabilidade (pior característica).</t>
  </si>
  <si>
    <t>Características sem regra (rever tbl_regras_dfr).</t>
  </si>
  <si>
    <t>Característica que determina a classe.</t>
  </si>
  <si>
    <t>Ação de design para subir de classe.</t>
  </si>
  <si>
    <t>Massa da unidade de embalagem.</t>
  </si>
  <si>
    <t>Fração do corpo reciclada.</t>
  </si>
  <si>
    <t>Fração da tampa reciclada.</t>
  </si>
  <si>
    <t>Fração do rótulo reciclada.</t>
  </si>
  <si>
    <t>Massa que acaba em reciclado.</t>
  </si>
  <si>
    <t>Taxa de reciclabilidade em massa (sem perdas de processo).</t>
  </si>
  <si>
    <t>Grau pela taxa (anexo II do PPWR).</t>
  </si>
  <si>
    <t>Pior entre a classe RecyClass (A→A, B→B, C→C, D/E→abaixo de C) e o grau pela taxa.</t>
  </si>
  <si>
    <t>Isenção da reciclabilidade (embalagem imediata de medicamento).</t>
  </si>
  <si>
    <t>Graus A–C a partir de 2030.</t>
  </si>
  <si>
    <t>Só A–B a partir de 2038.</t>
  </si>
  <si>
    <t>Reciclado no corpo.</t>
  </si>
  <si>
    <t>Reciclado na tampa.</t>
  </si>
  <si>
    <t>Reciclado pós-consumo nas partes plásticas da Plasticom.</t>
  </si>
  <si>
    <t>Categoria do art. 7.º.</t>
  </si>
  <si>
    <t>Meta de reciclado 2030.</t>
  </si>
  <si>
    <t>Pontos percentuais em falta (indicativo por SKU; a lei avalia a média por instalação/ano).</t>
  </si>
  <si>
    <t>Cumpre a meta de 2030 isoladamente?</t>
  </si>
  <si>
    <t>Monomaterial = corpo, tampa e rótulo na mesma família de polímero.</t>
  </si>
  <si>
    <t>Clientes.</t>
  </si>
  <si>
    <t>Países de colocação no mercado.</t>
  </si>
  <si>
    <t>Massa de corpos vendida (kg).</t>
  </si>
  <si>
    <t>Requisitos legais/normativos aplicáveis ao SKU.</t>
  </si>
  <si>
    <t>Requisitos em lacuna ou não conformes.</t>
  </si>
  <si>
    <t>Data (aaaa-mm-dd)</t>
  </si>
  <si>
    <t>Data da avaliação.</t>
  </si>
  <si>
    <t>Revisão anual ou em alteração de design.</t>
  </si>
  <si>
    <t>Responsável.</t>
  </si>
  <si>
    <t>Lista lst_Funcao</t>
  </si>
  <si>
    <t>Autoavaliação, carta de compatibilidade ou certificado.</t>
  </si>
  <si>
    <t>Lista lst_EstadoAval</t>
  </si>
  <si>
    <t>Método e versão.</t>
  </si>
  <si>
    <t>tbl_compat_tampas</t>
  </si>
  <si>
    <t>Tampa.</t>
  </si>
  <si>
    <t>Fluxo do corpo onde a tampa é aplicada.</t>
  </si>
  <si>
    <t>Classe da tampa nesse fluxo.</t>
  </si>
  <si>
    <t>Fração reciclada.</t>
  </si>
  <si>
    <t>Porquê.</t>
  </si>
  <si>
    <t>Orientação para a área comercial.</t>
  </si>
  <si>
    <t>tbl_familias_ppwr</t>
  </si>
  <si>
    <t>Família PPWR (grupo com a mesma documentação técnica).</t>
  </si>
  <si>
    <t>Designação.</t>
  </si>
  <si>
    <t>Frasco, pote, tampa.</t>
  </si>
  <si>
    <t>SKUs na família.</t>
  </si>
  <si>
    <t>Documentação técnica (anexo VII) completa.</t>
  </si>
  <si>
    <t>Lista lst_SimNao</t>
  </si>
  <si>
    <t>Declaração UE de conformidade emitida.</t>
  </si>
  <si>
    <t>Data da declaração UE.</t>
  </si>
  <si>
    <t>Evidência Pb+Cd+Hg+Cr(VI) ≤ 100 mg/kg.</t>
  </si>
  <si>
    <t>Resultado (soma, mg/kg).</t>
  </si>
  <si>
    <t>PFAS (só contacto alimentar).</t>
  </si>
  <si>
    <t>SVHC da lista candidata &gt; 0,1% m/m no artigo? (Não / Sim / Por confirmar) — triagem a partir das declarações do RG-SGA-21.</t>
  </si>
  <si>
    <t>Declarações (RG-SGA-21 tbl_declaracoes) ou cálculo por artigo (acórdão C-106/14).</t>
  </si>
  <si>
    <t>Obrigações REACH decorrentes (EU-ENV-008).</t>
  </si>
  <si>
    <t>Pior classe dos SKUs da família.</t>
  </si>
  <si>
    <t>SKUs abaixo do grau C.</t>
  </si>
  <si>
    <t>Conformidade atual (declaração + metais).</t>
  </si>
  <si>
    <t>Prazo para concluir.</t>
  </si>
  <si>
    <t>Ação.</t>
  </si>
  <si>
    <t>FK → RG-SGA-06</t>
  </si>
  <si>
    <t>tbl_requisitos_emb</t>
  </si>
  <si>
    <t>ID da matriz integrada (IDs propostos pelo ChatGPT + adicionados).</t>
  </si>
  <si>
    <t>Grupo.</t>
  </si>
  <si>
    <t>Diploma / norma.</t>
  </si>
  <si>
    <t>Artigo / anexo.</t>
  </si>
  <si>
    <t>Tema.</t>
  </si>
  <si>
    <t>O que tem de ser cumprido.</t>
  </si>
  <si>
    <t>Obrigação legal / norma técnica / contratual / voluntária / necessita verificação.</t>
  </si>
  <si>
    <t>Lista lst_Natureza</t>
  </si>
  <si>
    <t>Papel jurídico da Plasticom neste requisito.</t>
  </si>
  <si>
    <t>Produto (liga a tbl_aplicabilidade), Material ou Empresa.</t>
  </si>
  <si>
    <t>Produtos abrangidos.</t>
  </si>
  <si>
    <t>Data de aplicação.</t>
  </si>
  <si>
    <t>Sim / Condicional / Não / Futuro.</t>
  </si>
  <si>
    <t>Lista lst_Aplicabilidade</t>
  </si>
  <si>
    <t>Registo/tabela do SGA com a evidência.</t>
  </si>
  <si>
    <t>Como se verifica.</t>
  </si>
  <si>
    <t>Periodicidade.</t>
  </si>
  <si>
    <t>Estado da conformidade.</t>
  </si>
  <si>
    <t>Lista lst_EstadoReq</t>
  </si>
  <si>
    <t>Impacto do incumprimento.</t>
  </si>
  <si>
    <t>Lista lst_Risco</t>
  </si>
  <si>
    <t>Requisito no registo legal.</t>
  </si>
  <si>
    <t>FK → RG-SGA-04</t>
  </si>
  <si>
    <t>Prazo de fecho da lacuna.</t>
  </si>
  <si>
    <t>Resultado da verificação da matriz do ChatGPT.</t>
  </si>
  <si>
    <t>Lista lst_Verificacao</t>
  </si>
  <si>
    <t>O que foi confirmado, corrigido ou acrescentado.</t>
  </si>
  <si>
    <t>Ligação oficial.</t>
  </si>
  <si>
    <t>Data da revisão.</t>
  </si>
  <si>
    <t>SKUs a que se aplica (requisitos de produto).</t>
  </si>
  <si>
    <t>SKUs conformes ou isentos.</t>
  </si>
  <si>
    <t>Alerta automático.</t>
  </si>
  <si>
    <t>tbl_aplicabilidade</t>
  </si>
  <si>
    <t>SKU.</t>
  </si>
  <si>
    <t>FK → tbl_recyclass</t>
  </si>
  <si>
    <t>Requisito.</t>
  </si>
  <si>
    <t>FK → tbl_requisitos_emb</t>
  </si>
  <si>
    <t>Segmento do SKU.</t>
  </si>
  <si>
    <t>Aplica-se ao SKU?</t>
  </si>
  <si>
    <t>Justificação da aplicabilidade.</t>
  </si>
  <si>
    <t>Estado do requisito (quando não é calculado).</t>
  </si>
  <si>
    <t>Estado para o SKU (calculado para DfR, reciclado, metais e declaração UE).</t>
  </si>
  <si>
    <t>Estado normalizado (para Power BI).</t>
  </si>
  <si>
    <t>Evidência.</t>
  </si>
  <si>
    <t>tbl_vendas_embalagem</t>
  </si>
  <si>
    <t>FK → tbl_recyclass / tbl_tampas</t>
  </si>
  <si>
    <t>Frasco/pote ou tampa.</t>
  </si>
  <si>
    <t>País (ISO).</t>
  </si>
  <si>
    <t>País.</t>
  </si>
  <si>
    <t>Unidades expedidas (ano civil de 2026).</t>
  </si>
  <si>
    <t>Massa unitária.</t>
  </si>
  <si>
    <t>Plástico colocado no mercado (kg).</t>
  </si>
  <si>
    <t>Reciclado certificado.</t>
  </si>
  <si>
    <t>Plástico reciclado (kg).</t>
  </si>
  <si>
    <t>Plástico não reciclado (kg).</t>
  </si>
  <si>
    <t>Moeda (EUR)</t>
  </si>
  <si>
    <t>Imposto espanhol estimado pago pelo cliente adquirente.</t>
  </si>
  <si>
    <t>Grau PPWR do SKU.</t>
  </si>
  <si>
    <t>Mês.</t>
  </si>
  <si>
    <t>País de destino.</t>
  </si>
  <si>
    <t>Material da embalagem de expedição.</t>
  </si>
  <si>
    <t>Código LER quando vira resíduo no cliente.</t>
  </si>
  <si>
    <t>Massa colocada no mercado (kg).</t>
  </si>
  <si>
    <t>Regime aplicável.</t>
  </si>
  <si>
    <t>Parâmetro da prestação financeira.</t>
  </si>
  <si>
    <t>Prestação financeira estimada (valores indicativos).</t>
  </si>
  <si>
    <t>tbl_requisitos_pais</t>
  </si>
  <si>
    <t>Requisito nacional.</t>
  </si>
  <si>
    <t>Papel da Plasticom.</t>
  </si>
  <si>
    <t>O que a Plasticom tem de dar ao cliente/autoridade.</t>
  </si>
  <si>
    <t>Autoridade competente.</t>
  </si>
  <si>
    <t>Diploma.</t>
  </si>
  <si>
    <t>Natureza.</t>
  </si>
  <si>
    <t>Estado.</t>
  </si>
  <si>
    <t>Clientes no país (dim_customer).</t>
  </si>
  <si>
    <t>Plástico vendido no país (12 meses).</t>
  </si>
  <si>
    <t>tbl_certificados_pcr</t>
  </si>
  <si>
    <t>Fornecedor.</t>
  </si>
  <si>
    <t>Esquema de certificação.</t>
  </si>
  <si>
    <t>N.º.</t>
  </si>
  <si>
    <t>Norma de referência.</t>
  </si>
  <si>
    <t>Teor de reciclado declarado.</t>
  </si>
  <si>
    <t>Pós-consumo / pós-industrial / químico.</t>
  </si>
  <si>
    <t>Emissão.</t>
  </si>
  <si>
    <t>Validade.</t>
  </si>
  <si>
    <t>Processo autorizado pelo Reg. 2022/1616?</t>
  </si>
  <si>
    <t>Nota.</t>
  </si>
  <si>
    <t>Dias até expirar.</t>
  </si>
  <si>
    <t>Texto usado.</t>
  </si>
  <si>
    <t>Tipo.</t>
  </si>
  <si>
    <t>Produtos a que se refere.</t>
  </si>
  <si>
    <t>Onde é comunicada.</t>
  </si>
  <si>
    <t>Norma / diploma.</t>
  </si>
  <si>
    <t>Evidência de suporte.</t>
  </si>
  <si>
    <t>Lista lst_EstadoAlegacao</t>
  </si>
  <si>
    <t>Revisão.</t>
  </si>
  <si>
    <t>Prazo.</t>
  </si>
  <si>
    <t>Alerta.</t>
  </si>
  <si>
    <t>tbl_maturidade_emb</t>
  </si>
  <si>
    <t>Item.</t>
  </si>
  <si>
    <t>Item do checklist de maturidade (resposta do ChatGPT).</t>
  </si>
  <si>
    <t>Implementado / Parcial / Lacuna.</t>
  </si>
  <si>
    <t>Lista lst_Maturidade</t>
  </si>
  <si>
    <t>Onde está no SGA.</t>
  </si>
  <si>
    <t>Total Geral</t>
  </si>
  <si>
    <t>N.º de SKUs</t>
  </si>
  <si>
    <t>PE rígido Total</t>
  </si>
  <si>
    <t>PET frascos e garrafas Total</t>
  </si>
  <si>
    <t>PP rígido Total</t>
  </si>
  <si>
    <t>Sem fluxo (PETG) Total</t>
  </si>
  <si>
    <t>Sem fluxo (PVC)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</si>
</sst>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#,##0.0"/>
    <numFmt numFmtId="166" formatCode="0.0%"/>
    <numFmt numFmtId="167" formatCode="yyyy\-mm\-dd"/>
    <numFmt numFmtId="168" formatCode="#,##0\ \€"/>
  </numFmts>
  <fonts count="6" x14ac:knownFonts="1">
    <font>
      <sz val="11"/>
      <color theme="1"/>
      <name val="Calibri"/>
      <family val="2"/>
      <scheme val="minor"/>
    </font>
    <font>
      <b/>
      <sz val="14"/>
      <color rgb="FF0F2F3A"/>
      <name val="Arial"/>
    </font>
    <font>
      <i/>
      <sz val="10"/>
      <color rgb="FF4A5A60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4F6F7A"/>
      </patternFill>
    </fill>
    <fill>
      <patternFill patternType="solid">
        <fgColor rgb="FFEDEDED"/>
      </patternFill>
    </fill>
    <fill>
      <patternFill patternType="solid">
        <fgColor rgb="FFFFF2B3"/>
      </patternFill>
    </fill>
    <fill>
      <patternFill patternType="solid">
        <fgColor rgb="FFDCEBEF"/>
      </patternFill>
    </fill>
  </fills>
  <borders count="2">
    <border>
      <left/>
      <right/>
      <top/>
      <bottom/>
      <diagonal/>
    </border>
    <border>
      <left style="thin">
        <color rgb="FFB7C4C9"/>
      </left>
      <right style="thin">
        <color rgb="FFB7C4C9"/>
      </right>
      <top style="thin">
        <color rgb="FFB7C4C9"/>
      </top>
      <bottom style="thin">
        <color rgb="FFB7C4C9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2" fillId="0" borderId="0" xfId="0" applyFont="1"/>
    <xf numFmtId="0" fontId="5" fillId="6" borderId="0" xfId="0" applyFont="1" applyFill="1"/>
    <xf numFmtId="0" fontId="0" fillId="6" borderId="0" xfId="0" applyFill="1"/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67" fontId="4" fillId="0" borderId="0" xfId="0" applyNumberFormat="1" applyFont="1" applyAlignment="1">
      <alignment horizontal="left" vertical="top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1" fontId="5" fillId="0" borderId="1" xfId="0" applyNumberFormat="1" applyFont="1" applyBorder="1"/>
    <xf numFmtId="9" fontId="5" fillId="0" borderId="1" xfId="0" applyNumberFormat="1" applyFont="1" applyBorder="1"/>
    <xf numFmtId="166" fontId="5" fillId="0" borderId="1" xfId="0" applyNumberFormat="1" applyFont="1" applyBorder="1"/>
    <xf numFmtId="168" fontId="5" fillId="0" borderId="1" xfId="0" applyNumberFormat="1" applyFont="1" applyBorder="1"/>
    <xf numFmtId="49" fontId="5" fillId="0" borderId="1" xfId="0" applyNumberFormat="1" applyFont="1" applyBorder="1"/>
    <xf numFmtId="0" fontId="0" fillId="0" borderId="1" xfId="0" applyBorder="1" applyAlignment="1">
      <alignment vertical="top" wrapText="1"/>
    </xf>
    <xf numFmtId="0" fontId="0" fillId="0" borderId="1" xfId="0" applyBorder="1"/>
    <xf numFmtId="3" fontId="0" fillId="0" borderId="1" xfId="0" applyNumberFormat="1" applyBorder="1"/>
    <xf numFmtId="9" fontId="0" fillId="0" borderId="1" xfId="0" applyNumberFormat="1" applyBorder="1"/>
    <xf numFmtId="3" fontId="0" fillId="0" borderId="0" xfId="0" applyNumberFormat="1"/>
    <xf numFmtId="166" fontId="0" fillId="0" borderId="0" xfId="0" applyNumberFormat="1"/>
    <xf numFmtId="9" fontId="0" fillId="0" borderId="0" xfId="0" applyNumberFormat="1"/>
    <xf numFmtId="49" fontId="4" fillId="0" borderId="1" xfId="0" applyNumberFormat="1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0" fontId="5" fillId="0" borderId="0" xfId="0" applyFont="1"/>
    <xf numFmtId="9" fontId="4" fillId="0" borderId="1" xfId="0" applyNumberFormat="1" applyFont="1" applyBorder="1" applyAlignment="1">
      <alignment vertical="top" wrapText="1"/>
    </xf>
    <xf numFmtId="0" fontId="3" fillId="3" borderId="1" xfId="0" applyFont="1" applyFill="1" applyBorder="1" applyAlignment="1">
      <alignment horizontal="center" vertical="top" wrapText="1"/>
    </xf>
    <xf numFmtId="1" fontId="4" fillId="4" borderId="1" xfId="0" applyNumberFormat="1" applyFont="1" applyFill="1" applyBorder="1" applyAlignment="1">
      <alignment vertical="top" wrapText="1"/>
    </xf>
    <xf numFmtId="3" fontId="4" fillId="4" borderId="1" xfId="0" applyNumberFormat="1" applyFont="1" applyFill="1" applyBorder="1" applyAlignment="1">
      <alignment vertical="top" wrapText="1"/>
    </xf>
    <xf numFmtId="49" fontId="4" fillId="4" borderId="1" xfId="0" applyNumberFormat="1" applyFont="1" applyFill="1" applyBorder="1" applyAlignment="1">
      <alignment vertical="top" wrapText="1"/>
    </xf>
    <xf numFmtId="165" fontId="4" fillId="0" borderId="1" xfId="0" applyNumberFormat="1" applyFont="1" applyBorder="1" applyAlignment="1">
      <alignment vertical="top" wrapText="1"/>
    </xf>
    <xf numFmtId="164" fontId="4" fillId="4" borderId="1" xfId="0" applyNumberFormat="1" applyFont="1" applyFill="1" applyBorder="1" applyAlignment="1">
      <alignment vertical="top" wrapText="1"/>
    </xf>
    <xf numFmtId="9" fontId="4" fillId="4" borderId="1" xfId="0" applyNumberFormat="1" applyFont="1" applyFill="1" applyBorder="1" applyAlignment="1">
      <alignment vertical="top" wrapText="1"/>
    </xf>
    <xf numFmtId="3" fontId="4" fillId="0" borderId="1" xfId="0" applyNumberFormat="1" applyFont="1" applyBorder="1" applyAlignment="1">
      <alignment vertical="top" wrapText="1"/>
    </xf>
    <xf numFmtId="165" fontId="4" fillId="4" borderId="1" xfId="0" applyNumberFormat="1" applyFont="1" applyFill="1" applyBorder="1" applyAlignment="1">
      <alignment vertical="top" wrapText="1"/>
    </xf>
    <xf numFmtId="1" fontId="4" fillId="0" borderId="1" xfId="0" applyNumberFormat="1" applyFont="1" applyBorder="1" applyAlignment="1">
      <alignment vertical="top" wrapText="1"/>
    </xf>
    <xf numFmtId="166" fontId="4" fillId="4" borderId="1" xfId="0" applyNumberFormat="1" applyFont="1" applyFill="1" applyBorder="1" applyAlignment="1">
      <alignment vertical="top" wrapText="1"/>
    </xf>
    <xf numFmtId="167" fontId="4" fillId="0" borderId="1" xfId="0" applyNumberFormat="1" applyFont="1" applyBorder="1" applyAlignment="1">
      <alignment vertical="top" wrapText="1"/>
    </xf>
    <xf numFmtId="167" fontId="4" fillId="4" borderId="1" xfId="0" applyNumberFormat="1" applyFont="1" applyFill="1" applyBorder="1" applyAlignment="1">
      <alignment vertical="top" wrapText="1"/>
    </xf>
    <xf numFmtId="168" fontId="4" fillId="4" borderId="1" xfId="0" applyNumberFormat="1" applyFont="1" applyFill="1" applyBorder="1" applyAlignment="1">
      <alignment vertical="top" wrapText="1"/>
    </xf>
    <xf numFmtId="0" fontId="5" fillId="5" borderId="0" xfId="0" applyFont="1" applyFill="1"/>
    <xf numFmtId="0" fontId="4" fillId="0" borderId="1" xfId="0" applyFont="1" applyBorder="1"/>
    <xf numFmtId="0" fontId="3" fillId="2" borderId="0" xfId="0" applyFont="1" applyFill="1" applyAlignment="1">
      <alignment horizontal="center" vertical="top" wrapText="1"/>
    </xf>
    <xf numFmtId="167" fontId="4" fillId="0" borderId="0" xfId="0" applyNumberFormat="1" applyFont="1" applyAlignment="1">
      <alignment vertical="top" wrapText="1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82"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0B3A66"/>
        <name val="Arial"/>
      </font>
      <fill>
        <patternFill patternType="solid">
          <fgColor rgb="FFCFE2F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404040"/>
        <name val="Arial"/>
      </font>
      <fill>
        <patternFill patternType="solid">
          <fgColor rgb="FFE7E7E7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0B3A66"/>
        <name val="Arial"/>
      </font>
      <fill>
        <patternFill patternType="solid">
          <fgColor rgb="FFCFE2F3"/>
        </patternFill>
      </fill>
    </dxf>
    <dxf>
      <font>
        <b/>
        <color rgb="FF3B1F66"/>
        <name val="Arial"/>
      </font>
      <fill>
        <patternFill patternType="solid">
          <fgColor rgb="FFE4D7F5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404040"/>
        <name val="Arial"/>
      </font>
      <fill>
        <patternFill patternType="solid">
          <fgColor rgb="FFE7E7E7"/>
        </patternFill>
      </fill>
    </dxf>
    <dxf>
      <font>
        <b/>
        <color rgb="FF0B3A66"/>
        <name val="Arial"/>
      </font>
      <fill>
        <patternFill patternType="solid">
          <fgColor rgb="FFCFE2F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0B3A66"/>
        <name val="Arial"/>
      </font>
      <fill>
        <patternFill patternType="solid">
          <fgColor rgb="FFCFE2F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0B3A66"/>
        <name val="Arial"/>
      </font>
      <fill>
        <patternFill patternType="solid">
          <fgColor rgb="FFCFE2F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404040"/>
        <name val="Arial"/>
      </font>
      <fill>
        <patternFill patternType="solid">
          <fgColor rgb="FFE7E7E7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404040"/>
        <name val="Arial"/>
      </font>
      <fill>
        <patternFill patternType="solid">
          <fgColor rgb="FFE7E7E7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0B3A66"/>
        <name val="Arial"/>
      </font>
      <fill>
        <patternFill patternType="solid">
          <fgColor rgb="FFCFE2F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0B3A66"/>
        <name val="Arial"/>
      </font>
      <fill>
        <patternFill patternType="solid">
          <fgColor rgb="FFCFE2F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0B3A66"/>
        <name val="Arial"/>
      </font>
      <fill>
        <patternFill patternType="solid">
          <fgColor rgb="FFCFE2F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0B3A66"/>
        <name val="Arial"/>
      </font>
      <fill>
        <patternFill patternType="solid">
          <fgColor rgb="FFCFE2F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07/relationships/slicerCache" Target="slicerCaches/slicerCache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07/relationships/slicerCache" Target="slicerCaches/slicerCache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07/relationships/slicerCache" Target="slicerCaches/slicerCache2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07/relationships/slicerCache" Target="slicerCaches/slicerCache1.xml"/><Relationship Id="rId28" Type="http://schemas.microsoft.com/office/2007/relationships/slicerCache" Target="slicerCaches/slicerCache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microsoft.com/office/2007/relationships/slicerCache" Target="slicerCaches/slicerCache5.xml"/><Relationship Id="rId30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pt-PT"/>
              <a:t>SKUs por classe RecyClass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Painel!$B$20</c:f>
              <c:strCache>
                <c:ptCount val="1"/>
                <c:pt idx="0">
                  <c:v>N.º SKUs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Painel!$A$21:$A$26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Painel!$B$21:$B$26</c:f>
              <c:numCache>
                <c:formatCode>General</c:formatCode>
                <c:ptCount val="6"/>
                <c:pt idx="0">
                  <c:v>26</c:v>
                </c:pt>
                <c:pt idx="1">
                  <c:v>25</c:v>
                </c:pt>
                <c:pt idx="2">
                  <c:v>26</c:v>
                </c:pt>
                <c:pt idx="3">
                  <c:v>17</c:v>
                </c:pt>
                <c:pt idx="4">
                  <c:v>0</c:v>
                </c:pt>
                <c:pt idx="5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94-4896-A21D-DBA964514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3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 editAs="oneCell">
    <xdr:from>
      <xdr:col>6</xdr:col>
      <xdr:colOff>0</xdr:colOff>
      <xdr:row>49</xdr:row>
      <xdr:rowOff>0</xdr:rowOff>
    </xdr:from>
    <xdr:to>
      <xdr:col>8</xdr:col>
      <xdr:colOff>78740</xdr:colOff>
      <xdr:row>60</xdr:row>
      <xdr:rowOff>83820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lc_Segmento">
              <a:extLst>
                <a:ext uri="{FF2B5EF4-FFF2-40B4-BE49-F238E27FC236}">
                  <a16:creationId xmlns:a16="http://schemas.microsoft.com/office/drawing/2014/main" id="{3A34C38A-9DB2-A993-85D0-C548405223A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c_Segmen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06640" y="11772900"/>
              <a:ext cx="1968500" cy="2095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205740</xdr:colOff>
      <xdr:row>49</xdr:row>
      <xdr:rowOff>0</xdr:rowOff>
    </xdr:from>
    <xdr:to>
      <xdr:col>10</xdr:col>
      <xdr:colOff>254000</xdr:colOff>
      <xdr:row>60</xdr:row>
      <xdr:rowOff>83820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lc_Decoracao_Tipo">
              <a:extLst>
                <a:ext uri="{FF2B5EF4-FFF2-40B4-BE49-F238E27FC236}">
                  <a16:creationId xmlns:a16="http://schemas.microsoft.com/office/drawing/2014/main" id="{B04381C1-7983-AFA0-0136-C13DDC35F2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c_Decoracao_Tip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02140" y="11772900"/>
              <a:ext cx="1968500" cy="2095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381000</xdr:colOff>
      <xdr:row>49</xdr:row>
      <xdr:rowOff>0</xdr:rowOff>
    </xdr:from>
    <xdr:to>
      <xdr:col>13</xdr:col>
      <xdr:colOff>520700</xdr:colOff>
      <xdr:row>60</xdr:row>
      <xdr:rowOff>83820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slc_Grau_PPWR_Indicativo">
              <a:extLst>
                <a:ext uri="{FF2B5EF4-FFF2-40B4-BE49-F238E27FC236}">
                  <a16:creationId xmlns:a16="http://schemas.microsoft.com/office/drawing/2014/main" id="{2FF838DF-337C-1936-F09F-8945BDEBDE5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c_Grau_PPWR_Indicativ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97640" y="11772900"/>
              <a:ext cx="1968500" cy="2095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0</xdr:colOff>
      <xdr:row>61</xdr:row>
      <xdr:rowOff>27940</xdr:rowOff>
    </xdr:from>
    <xdr:to>
      <xdr:col>8</xdr:col>
      <xdr:colOff>78740</xdr:colOff>
      <xdr:row>72</xdr:row>
      <xdr:rowOff>111760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slc_Cor_Corpo">
              <a:extLst>
                <a:ext uri="{FF2B5EF4-FFF2-40B4-BE49-F238E27FC236}">
                  <a16:creationId xmlns:a16="http://schemas.microsoft.com/office/drawing/2014/main" id="{3922320E-9B37-7429-0F89-EF01E968F6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c_Cor_Corp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06640" y="13995400"/>
              <a:ext cx="1968500" cy="2095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205740</xdr:colOff>
      <xdr:row>61</xdr:row>
      <xdr:rowOff>27940</xdr:rowOff>
    </xdr:from>
    <xdr:to>
      <xdr:col>10</xdr:col>
      <xdr:colOff>254000</xdr:colOff>
      <xdr:row>72</xdr:row>
      <xdr:rowOff>111760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slc_Conforme_PPWR_2030">
              <a:extLst>
                <a:ext uri="{FF2B5EF4-FFF2-40B4-BE49-F238E27FC236}">
                  <a16:creationId xmlns:a16="http://schemas.microsoft.com/office/drawing/2014/main" id="{05A6A8D0-09EC-2498-FFD4-25D92BC1118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c_Conforme_PPWR_203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02140" y="13995400"/>
              <a:ext cx="1968500" cy="2095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381000</xdr:colOff>
      <xdr:row>61</xdr:row>
      <xdr:rowOff>27940</xdr:rowOff>
    </xdr:from>
    <xdr:to>
      <xdr:col>13</xdr:col>
      <xdr:colOff>520700</xdr:colOff>
      <xdr:row>72</xdr:row>
      <xdr:rowOff>111760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slc_Estrutura_Material">
              <a:extLst>
                <a:ext uri="{FF2B5EF4-FFF2-40B4-BE49-F238E27FC236}">
                  <a16:creationId xmlns:a16="http://schemas.microsoft.com/office/drawing/2014/main" id="{870D76BF-0D2C-EF62-0986-08E26FA65C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c_Estrutura_Materia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97640" y="13995400"/>
              <a:ext cx="1968500" cy="2095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line Meireles" refreshedDate="46295.7424875" createdVersion="6" refreshedVersion="8" minRefreshableVersion="3" recordCount="113" xr:uid="{F1CA1E6F-7DE6-4354-ACB9-E0B4BB9B38A3}">
  <cacheSource type="worksheet">
    <worksheetSource name="tbl_recyclass"/>
  </cacheSource>
  <cacheFields count="80">
    <cacheField name="ID_Avaliacao" numFmtId="49">
      <sharedItems/>
    </cacheField>
    <cacheField name="ProductId" numFmtId="49">
      <sharedItems/>
    </cacheField>
    <cacheField name="Formato" numFmtId="49">
      <sharedItems/>
    </cacheField>
    <cacheField name="Segmento" numFmtId="49">
      <sharedItems count="3">
        <s v="Cosmética e higiene pessoal"/>
        <s v="Alimentar"/>
        <s v="Farmacêutico"/>
      </sharedItems>
    </cacheField>
    <cacheField name="Contacto" numFmtId="49">
      <sharedItems/>
    </cacheField>
    <cacheField name="Processo_Fabrico" numFmtId="49">
      <sharedItems/>
    </cacheField>
    <cacheField name="Familia_PPWR" numFmtId="49">
      <sharedItems/>
    </cacheField>
    <cacheField name="Volume_ml" numFmtId="3">
      <sharedItems containsSemiMixedTypes="0" containsString="0" containsNumber="1" containsInteger="1" minValue="50" maxValue="5000"/>
    </cacheField>
    <cacheField name="Dimensao_Max_mm" numFmtId="3">
      <sharedItems containsSemiMixedTypes="0" containsString="0" containsNumber="1" containsInteger="1" minValue="43" maxValue="294"/>
    </cacheField>
    <cacheField name="Material_Corpo" numFmtId="49">
      <sharedItems count="14">
        <s v="HDPE"/>
        <s v="HDPE-PCR"/>
        <s v="rPET"/>
        <s v="LDPE"/>
        <s v="PET"/>
        <s v="PETG"/>
        <s v="PP"/>
        <s v="PP-PCR"/>
        <s v="PVC"/>
        <s v="MDPE"/>
        <s v="HDPE-FG"/>
        <s v="PP-FG"/>
        <s v="PP-PG"/>
        <s v="PET-PG"/>
      </sharedItems>
    </cacheField>
    <cacheField name="Polimero_Corpo" numFmtId="49">
      <sharedItems/>
    </cacheField>
    <cacheField name="Fluxo_Reciclagem" numFmtId="49">
      <sharedItems count="5">
        <s v="PE rígido"/>
        <s v="PET frascos e garrafas"/>
        <s v="Sem fluxo (PETG)"/>
        <s v="PP rígido"/>
        <s v="Sem fluxo (PVC)"/>
      </sharedItems>
    </cacheField>
    <cacheField name="Categoria_RecyClass" numFmtId="49">
      <sharedItems/>
    </cacheField>
    <cacheField name="Cor_Dataset" numFmtId="49">
      <sharedItems/>
    </cacheField>
    <cacheField name="Cor_Corpo" numFmtId="49">
      <sharedItems count="5">
        <s v="Colorido (claro ou transparente)"/>
        <s v="Natural / incolor"/>
        <s v="Colorido escuro / opaco"/>
        <s v="Branco (TiO2)"/>
        <s v="Preto (negro de carbono)"/>
      </sharedItems>
    </cacheField>
    <cacheField name="Masterbatch_Tipo" numFmtId="49">
      <sharedItems/>
    </cacheField>
    <cacheField name="Masterbatch_Pct" numFmtId="9">
      <sharedItems containsSemiMixedTypes="0" containsString="0" containsNumber="1" minValue="0" maxValue="2.5000000000000001E-2"/>
    </cacheField>
    <cacheField name="Densidade_Corpo_g_cm3" numFmtId="164">
      <sharedItems containsSemiMixedTypes="0" containsString="0" containsNumber="1" minValue="0.90500000000000003" maxValue="1.38"/>
    </cacheField>
    <cacheField name="Barreira_Revestimento" numFmtId="49">
      <sharedItems/>
    </cacheField>
    <cacheField name="Massa_Corpo_g" numFmtId="165">
      <sharedItems containsSemiMixedTypes="0" containsString="0" containsNumber="1" minValue="6.7" maxValue="143.5"/>
    </cacheField>
    <cacheField name="Origem_Massa" numFmtId="49">
      <sharedItems/>
    </cacheField>
    <cacheField name="ID_Tampa" numFmtId="49">
      <sharedItems/>
    </cacheField>
    <cacheField name="Material_Tampa" numFmtId="49">
      <sharedItems/>
    </cacheField>
    <cacheField name="Polimero_Tampa" numFmtId="49">
      <sharedItems/>
    </cacheField>
    <cacheField name="Massa_Tampa_g" numFmtId="165">
      <sharedItems containsSemiMixedTypes="0" containsString="0" containsNumber="1" minValue="10.3" maxValue="21.4"/>
    </cacheField>
    <cacheField name="Vedante_Tampa" numFmtId="49">
      <sharedItems/>
    </cacheField>
    <cacheField name="Rotulo_Tipo" numFmtId="49">
      <sharedItems/>
    </cacheField>
    <cacheField name="Rotulo_Adesivo" numFmtId="49">
      <sharedItems/>
    </cacheField>
    <cacheField name="Rotulo_Cobertura_Pct" numFmtId="9">
      <sharedItems containsSemiMixedTypes="0" containsString="0" containsNumber="1" minValue="0" maxValue="0.4"/>
    </cacheField>
    <cacheField name="Massa_Rotulo_g" numFmtId="164">
      <sharedItems containsSemiMixedTypes="0" containsString="0" containsNumber="1" minValue="0" maxValue="1.02"/>
    </cacheField>
    <cacheField name="Origem_Rotulo" numFmtId="49">
      <sharedItems/>
    </cacheField>
    <cacheField name="Decoracao_Tipo" numFmtId="49">
      <sharedItems count="3">
        <s v="Serigrafia"/>
        <s v="Nenhuma"/>
        <s v="Hot foil metalizado"/>
      </sharedItems>
    </cacheField>
    <cacheField name="Decoracao_N_Cores" numFmtId="1">
      <sharedItems containsSemiMixedTypes="0" containsString="0" containsNumber="1" containsInteger="1" minValue="0" maxValue="3"/>
    </cacheField>
    <cacheField name="Decoracao_Valor" numFmtId="49">
      <sharedItems/>
    </cacheField>
    <cacheField name="Massa_Decoracao_g" numFmtId="164">
      <sharedItems containsSemiMixedTypes="0" containsString="0" containsNumber="1" minValue="0" maxValue="0.24"/>
    </cacheField>
    <cacheField name="Classe_Fluxo" numFmtId="49">
      <sharedItems/>
    </cacheField>
    <cacheField name="Classe_Cor" numFmtId="49">
      <sharedItems/>
    </cacheField>
    <cacheField name="Classe_Densidade" numFmtId="49">
      <sharedItems/>
    </cacheField>
    <cacheField name="Classe_Barreira" numFmtId="49">
      <sharedItems/>
    </cacheField>
    <cacheField name="Classe_Tampa" numFmtId="49">
      <sharedItems/>
    </cacheField>
    <cacheField name="Classe_Vedante" numFmtId="49">
      <sharedItems/>
    </cacheField>
    <cacheField name="Classe_Rotulo" numFmtId="49">
      <sharedItems/>
    </cacheField>
    <cacheField name="Classe_Adesivo" numFmtId="49">
      <sharedItems/>
    </cacheField>
    <cacheField name="Classe_Cobertura" numFmtId="49">
      <sharedItems/>
    </cacheField>
    <cacheField name="Classe_Decoracao" numFmtId="49">
      <sharedItems/>
    </cacheField>
    <cacheField name="Classe_N_Max" numFmtId="1">
      <sharedItems containsSemiMixedTypes="0" containsString="0" containsNumber="1" containsInteger="1" minValue="1" maxValue="6"/>
    </cacheField>
    <cacheField name="Classe_RecyClass" numFmtId="49">
      <sharedItems count="5">
        <s v="B"/>
        <s v="D"/>
        <s v="C"/>
        <s v="A"/>
        <s v="F"/>
      </sharedItems>
    </cacheField>
    <cacheField name="Regras_em_Falta" numFmtId="1">
      <sharedItems containsSemiMixedTypes="0" containsString="0" containsNumber="1" containsInteger="1" minValue="0" maxValue="0"/>
    </cacheField>
    <cacheField name="Ponto_Critico" numFmtId="49">
      <sharedItems/>
    </cacheField>
    <cacheField name="Recomendacao" numFmtId="49">
      <sharedItems/>
    </cacheField>
    <cacheField name="Massa_Total_g" numFmtId="165">
      <sharedItems containsSemiMixedTypes="0" containsString="0" containsNumber="1" minValue="22.360000000000003" maxValue="164.98000000000002"/>
    </cacheField>
    <cacheField name="Frac_Corpo" numFmtId="9">
      <sharedItems containsSemiMixedTypes="0" containsString="0" containsNumber="1" containsInteger="1" minValue="0" maxValue="1"/>
    </cacheField>
    <cacheField name="Frac_Tampa" numFmtId="9">
      <sharedItems containsSemiMixedTypes="0" containsString="0" containsNumber="1" containsInteger="1" minValue="0" maxValue="1"/>
    </cacheField>
    <cacheField name="Frac_Rotulo" numFmtId="9">
      <sharedItems containsSemiMixedTypes="0" containsString="0" containsNumber="1" containsInteger="1" minValue="0" maxValue="1"/>
    </cacheField>
    <cacheField name="Massa_Reciclavel_g" numFmtId="165">
      <sharedItems containsSemiMixedTypes="0" containsString="0" containsNumber="1" minValue="0" maxValue="159.4"/>
    </cacheField>
    <cacheField name="Taxa_Reciclabilidade" numFmtId="166">
      <sharedItems containsSemiMixedTypes="0" containsString="0" containsNumber="1" minValue="0" maxValue="1"/>
    </cacheField>
    <cacheField name="Grau_Taxa" numFmtId="49">
      <sharedItems/>
    </cacheField>
    <cacheField name="Grau_PPWR_Indicativo" numFmtId="49">
      <sharedItems count="5">
        <s v="B"/>
        <s v="Abaixo de C"/>
        <s v="C"/>
        <s v="A"/>
        <s v="Não reciclável (F)"/>
      </sharedItems>
    </cacheField>
    <cacheField name="Isencao_Art6" numFmtId="49">
      <sharedItems/>
    </cacheField>
    <cacheField name="Conforme_PPWR_2030" numFmtId="49">
      <sharedItems count="3">
        <s v="Sim"/>
        <s v="Não"/>
        <s v="Isento até 2035"/>
      </sharedItems>
    </cacheField>
    <cacheField name="Conforme_PPWR_2038" numFmtId="49">
      <sharedItems/>
    </cacheField>
    <cacheField name="Pct_PCR_Corpo" numFmtId="9">
      <sharedItems containsSemiMixedTypes="0" containsString="0" containsNumber="1" minValue="0" maxValue="0.5"/>
    </cacheField>
    <cacheField name="Pct_PCR_Tampa" numFmtId="9">
      <sharedItems containsSemiMixedTypes="0" containsString="0" containsNumber="1" minValue="0" maxValue="0.3"/>
    </cacheField>
    <cacheField name="Conteudo_Reciclado_Pct" numFmtId="166">
      <sharedItems containsSemiMixedTypes="0" containsString="0" containsNumber="1" minValue="0" maxValue="0.38722397476340692"/>
    </cacheField>
    <cacheField name="Categoria_Art7" numFmtId="49">
      <sharedItems/>
    </cacheField>
    <cacheField name="Meta_2030" numFmtId="9">
      <sharedItems containsMixedTypes="1" containsNumber="1" minValue="0.1" maxValue="0.35"/>
    </cacheField>
    <cacheField name="Gap_2030" numFmtId="166">
      <sharedItems containsMixedTypes="1" containsNumber="1" minValue="0" maxValue="0.35"/>
    </cacheField>
    <cacheField name="Conforme_Art7_2030" numFmtId="49">
      <sharedItems/>
    </cacheField>
    <cacheField name="Estrutura_Material" numFmtId="49">
      <sharedItems count="2">
        <s v="Monomaterial (mesma família)"/>
        <s v="Multimaterial"/>
      </sharedItems>
    </cacheField>
    <cacheField name="Unid_Vendidas_P12" numFmtId="3">
      <sharedItems containsSemiMixedTypes="0" containsString="0" containsNumber="1" containsInteger="1" minValue="18488" maxValue="1236361"/>
    </cacheField>
    <cacheField name="N_Clientes_P12" numFmtId="1">
      <sharedItems containsSemiMixedTypes="0" containsString="0" containsNumber="1" containsInteger="1" minValue="2" maxValue="14"/>
    </cacheField>
    <cacheField name="Paises_Venda" numFmtId="49">
      <sharedItems/>
    </cacheField>
    <cacheField name="Massa_Vendida_kg" numFmtId="3">
      <sharedItems containsSemiMixedTypes="0" containsString="0" containsNumber="1" minValue="571.27919999999995" maxValue="27199.941999999999"/>
    </cacheField>
    <cacheField name="N_Requisitos_Aplicaveis" numFmtId="1">
      <sharedItems containsSemiMixedTypes="0" containsString="0" containsNumber="1" containsInteger="1" minValue="12" maxValue="15"/>
    </cacheField>
    <cacheField name="N_Lacunas" numFmtId="1">
      <sharedItems containsSemiMixedTypes="0" containsString="0" containsNumber="1" containsInteger="1" minValue="1" maxValue="4"/>
    </cacheField>
    <cacheField name="Data_Avaliacao" numFmtId="167">
      <sharedItems containsSemiMixedTypes="0" containsNonDate="0" containsDate="1" containsString="0" minDate="2026-09-22T00:00:00" maxDate="2026-09-23T00:00:00"/>
    </cacheField>
    <cacheField name="Proxima_Revisao" numFmtId="167">
      <sharedItems containsSemiMixedTypes="0" containsNonDate="0" containsDate="1" containsString="0" minDate="2027-09-22T00:00:00" maxDate="2027-09-23T00:00:00"/>
    </cacheField>
    <cacheField name="Avaliador" numFmtId="49">
      <sharedItems/>
    </cacheField>
    <cacheField name="Estado_Avaliacao" numFmtId="49">
      <sharedItems/>
    </cacheField>
    <cacheField name="Metodo" numFmtId="49">
      <sharedItems/>
    </cacheField>
  </cacheFields>
  <extLst>
    <ext xmlns:x14="http://schemas.microsoft.com/office/spreadsheetml/2009/9/main" uri="{725AE2AE-9491-48be-B2B4-4EB974FC3084}">
      <x14:pivotCacheDefinition pivotCacheId="7218353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">
  <r>
    <s v="RCA-001"/>
    <s v="FR-001-HDPE-300"/>
    <s v="Frasco"/>
    <x v="0"/>
    <s v="Contacto direto com cosmético/higiene"/>
    <s v="Injeção-sopro (ISBM)"/>
    <s v="FAM-01"/>
    <n v="300"/>
    <n v="115"/>
    <x v="0"/>
    <s v="PE"/>
    <x v="0"/>
    <s v="PE rígido — frascos e contentores (HDPE/LDPE)"/>
    <s v="Cardinal Red"/>
    <x v="0"/>
    <s v="Red Masterbatch"/>
    <n v="0.02"/>
    <n v="0.97899999999999998"/>
    <s v="Nenhuma"/>
    <n v="22"/>
    <s v="Estimada (22 g a 300 ml, escala ^2/3)"/>
    <s v="TR-001-HDPE-24410"/>
    <s v="HDPE"/>
    <s v="PE"/>
    <n v="11.5"/>
    <s v="Sem vedante"/>
    <s v="Sem rótulo"/>
    <s v="Sem adesivo"/>
    <n v="0"/>
    <n v="0"/>
    <s v="Sem rótulo (decoração direta Plasticom)"/>
    <x v="0"/>
    <n v="1"/>
    <s v="Serigrafia 1–2 cores"/>
    <n v="0.08"/>
    <s v="A"/>
    <s v="B"/>
    <s v="A"/>
    <s v="A"/>
    <s v="A"/>
    <s v="A"/>
    <s v="A"/>
    <s v="A"/>
    <s v="A"/>
    <s v="B"/>
    <n v="2"/>
    <x v="0"/>
    <n v="0"/>
    <s v="Cor"/>
    <s v="Preferir natural, branco ou cores claras."/>
    <n v="33.58"/>
    <n v="1"/>
    <n v="1"/>
    <n v="1"/>
    <n v="33.5"/>
    <n v="0.99761762954139377"/>
    <s v="A"/>
    <x v="0"/>
    <s v="—"/>
    <x v="0"/>
    <s v="Sim"/>
    <n v="0"/>
    <n v="0"/>
    <n v="0"/>
    <s v="Outras embalagens de plástico"/>
    <n v="0.35"/>
    <n v="0.35"/>
    <s v="Não"/>
    <x v="0"/>
    <n v="363211"/>
    <n v="14"/>
    <s v="DE; ES; FR; IT; PL; PT"/>
    <n v="7990.6419999999998"/>
    <n v="12"/>
    <n v="1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02"/>
    <s v="FR-002-HDPE-PCR-300"/>
    <s v="Frasco"/>
    <x v="0"/>
    <s v="Contacto direto com cosmético/higiene"/>
    <s v="Injeção-sopro (ISBM)"/>
    <s v="FAM-02"/>
    <n v="300"/>
    <n v="115"/>
    <x v="1"/>
    <s v="PE"/>
    <x v="0"/>
    <s v="PE rígido — frascos e contentores (HDPE/LDPE)"/>
    <s v="Cobalt Blue"/>
    <x v="0"/>
    <s v="Blue Masterbatch"/>
    <n v="0.02"/>
    <n v="0.98399999999999999"/>
    <s v="Nenhuma"/>
    <n v="22"/>
    <s v="Estimada (22 g a 300 ml, escala ^2/3)"/>
    <s v="TF-005-PP-PCR-24410"/>
    <s v="PP-PCR"/>
    <s v="PP"/>
    <n v="13.9"/>
    <s v="Sem vedante"/>
    <s v="Autoadesivo PE/PP"/>
    <s v="Acrílico permanente"/>
    <n v="0.4"/>
    <n v="0.46"/>
    <s v="Cenário típico do cliente — confirmar especificação"/>
    <x v="1"/>
    <n v="0"/>
    <s v="Nenhuma"/>
    <n v="0"/>
    <s v="A"/>
    <s v="B"/>
    <s v="A"/>
    <s v="A"/>
    <s v="A"/>
    <s v="A"/>
    <s v="A"/>
    <s v="A"/>
    <s v="A"/>
    <s v="A"/>
    <n v="2"/>
    <x v="0"/>
    <n v="0"/>
    <s v="Cor"/>
    <s v="Preferir natural, branco ou cores claras."/>
    <n v="36.36"/>
    <n v="1"/>
    <n v="1"/>
    <n v="1"/>
    <n v="36.36"/>
    <n v="1"/>
    <s v="A"/>
    <x v="0"/>
    <s v="—"/>
    <x v="0"/>
    <s v="Sim"/>
    <n v="0.3"/>
    <n v="0.3"/>
    <n v="0.3"/>
    <s v="Outras embalagens de plástico"/>
    <n v="0.35"/>
    <n v="4.9999999999999989E-2"/>
    <s v="Não"/>
    <x v="0"/>
    <n v="1236361"/>
    <n v="14"/>
    <s v="DE; ES; FR; IT; PL; PT"/>
    <n v="27199.941999999999"/>
    <n v="12"/>
    <n v="1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03"/>
    <s v="FR-001-HDPE-PCR-300"/>
    <s v="Frasco"/>
    <x v="0"/>
    <s v="Contacto direto com cosmético/higiene"/>
    <s v="Injeção-sopro (ISBM)"/>
    <s v="FAM-02"/>
    <n v="300"/>
    <n v="115"/>
    <x v="1"/>
    <s v="PE"/>
    <x v="0"/>
    <s v="PE rígido — frascos e contentores (HDPE/LDPE)"/>
    <s v="Cardinal Red"/>
    <x v="0"/>
    <s v="Red Masterbatch"/>
    <n v="0.02"/>
    <n v="0.98399999999999999"/>
    <s v="Nenhuma"/>
    <n v="22"/>
    <s v="Estimada (22 g a 300 ml, escala ^2/3)"/>
    <s v="TR-001-PP-PCR-24410"/>
    <s v="PP-PCR"/>
    <s v="PP"/>
    <n v="10.3"/>
    <s v="Sem vedante"/>
    <s v="Autoadesivo PE/PP"/>
    <s v="Acrílico permanente"/>
    <n v="0.4"/>
    <n v="0.46"/>
    <s v="Cenário típico do cliente — confirmar especificação"/>
    <x v="1"/>
    <n v="0"/>
    <s v="Nenhuma"/>
    <n v="0"/>
    <s v="A"/>
    <s v="B"/>
    <s v="A"/>
    <s v="A"/>
    <s v="A"/>
    <s v="A"/>
    <s v="A"/>
    <s v="A"/>
    <s v="A"/>
    <s v="A"/>
    <n v="2"/>
    <x v="0"/>
    <n v="0"/>
    <s v="Cor"/>
    <s v="Preferir natural, branco ou cores claras."/>
    <n v="32.76"/>
    <n v="1"/>
    <n v="1"/>
    <n v="1"/>
    <n v="32.76"/>
    <n v="1"/>
    <s v="A"/>
    <x v="0"/>
    <s v="—"/>
    <x v="0"/>
    <s v="Sim"/>
    <n v="0.3"/>
    <n v="0.3"/>
    <n v="0.3"/>
    <s v="Outras embalagens de plástico"/>
    <n v="0.35"/>
    <n v="4.9999999999999989E-2"/>
    <s v="Não"/>
    <x v="0"/>
    <n v="423949"/>
    <n v="14"/>
    <s v="DE; ES; FR; IT; PL; PT"/>
    <n v="9326.8780000000006"/>
    <n v="12"/>
    <n v="1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04"/>
    <s v="FR-001-rPET-300"/>
    <s v="Frasco"/>
    <x v="0"/>
    <s v="Contacto direto com cosmético/higiene"/>
    <s v="Injeção-sopro (ISBM)"/>
    <s v="FAM-11"/>
    <n v="300"/>
    <n v="115"/>
    <x v="2"/>
    <s v="PET"/>
    <x v="1"/>
    <s v="PET — garrafas/frascos transparentes incolores"/>
    <s v="Natural (Uncolored)"/>
    <x v="1"/>
    <s v="No Masterbatch"/>
    <n v="0"/>
    <n v="1.38"/>
    <s v="Nenhuma"/>
    <n v="22"/>
    <s v="Estimada (22 g a 300 ml, escala ^2/3)"/>
    <s v="TR-001-PP-24410"/>
    <s v="PP"/>
    <s v="PP"/>
    <n v="10.3"/>
    <s v="Sem vedante"/>
    <s v="Sem rótulo"/>
    <s v="Sem adesivo"/>
    <n v="0"/>
    <n v="0"/>
    <s v="Sem rótulo (decoração direta Plasticom)"/>
    <x v="2"/>
    <n v="1"/>
    <s v="Hot foil metalizado"/>
    <n v="0.03"/>
    <s v="A"/>
    <s v="A"/>
    <s v="A"/>
    <s v="A"/>
    <s v="A"/>
    <s v="A"/>
    <s v="A"/>
    <s v="A"/>
    <s v="A"/>
    <s v="D"/>
    <n v="4"/>
    <x v="1"/>
    <n v="0"/>
    <s v="Decoracao"/>
    <s v="Rótulo metalizado de PE/PP destacável."/>
    <n v="32.33"/>
    <n v="1"/>
    <n v="1"/>
    <n v="1"/>
    <n v="32.299999999999997"/>
    <n v="0.9990720692854933"/>
    <s v="A"/>
    <x v="1"/>
    <s v="—"/>
    <x v="1"/>
    <s v="Não"/>
    <n v="0.5"/>
    <n v="0"/>
    <n v="0.34055727554179571"/>
    <s v="Outras embalagens de plástico"/>
    <n v="0.35"/>
    <n v="9.4427244582042658E-3"/>
    <s v="Não"/>
    <x v="1"/>
    <n v="311456"/>
    <n v="13"/>
    <s v="DE; ES; FR; IT; PL; PT"/>
    <n v="6852.0320000000002"/>
    <n v="12"/>
    <n v="3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05"/>
    <s v="FR-003-rPET-300"/>
    <s v="Frasco"/>
    <x v="0"/>
    <s v="Contacto direto com cosmético/higiene"/>
    <s v="Injeção-sopro (ISBM)"/>
    <s v="FAM-11"/>
    <n v="300"/>
    <n v="115"/>
    <x v="2"/>
    <s v="PET"/>
    <x v="1"/>
    <s v="PET — garrafas/frascos transparentes incolores"/>
    <s v="Natural (Uncolored)"/>
    <x v="1"/>
    <s v="No Masterbatch"/>
    <n v="0"/>
    <n v="1.38"/>
    <s v="Nenhuma"/>
    <n v="22"/>
    <s v="Estimada (22 g a 300 ml, escala ^2/3)"/>
    <s v="TR-001-PP-24410"/>
    <s v="PP"/>
    <s v="PP"/>
    <n v="10.3"/>
    <s v="Sem vedante"/>
    <s v="Sem rótulo"/>
    <s v="Sem adesivo"/>
    <n v="0"/>
    <n v="0"/>
    <s v="Sem rótulo (decoração direta Plasticom)"/>
    <x v="2"/>
    <n v="1"/>
    <s v="Hot foil metalizado"/>
    <n v="0.03"/>
    <s v="A"/>
    <s v="A"/>
    <s v="A"/>
    <s v="A"/>
    <s v="A"/>
    <s v="A"/>
    <s v="A"/>
    <s v="A"/>
    <s v="A"/>
    <s v="D"/>
    <n v="4"/>
    <x v="1"/>
    <n v="0"/>
    <s v="Decoracao"/>
    <s v="Rótulo metalizado de PE/PP destacável."/>
    <n v="32.33"/>
    <n v="1"/>
    <n v="1"/>
    <n v="1"/>
    <n v="32.299999999999997"/>
    <n v="0.9990720692854933"/>
    <s v="A"/>
    <x v="1"/>
    <s v="—"/>
    <x v="1"/>
    <s v="Não"/>
    <n v="0.5"/>
    <n v="0"/>
    <n v="0.34055727554179571"/>
    <s v="Outras embalagens de plástico"/>
    <n v="0.35"/>
    <n v="9.4427244582042658E-3"/>
    <s v="Não"/>
    <x v="1"/>
    <n v="222782"/>
    <n v="14"/>
    <s v="DE; ES; FR; IT; PL; PT"/>
    <n v="4901.2039999999997"/>
    <n v="12"/>
    <n v="3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06"/>
    <s v="FR-004-rPET-330"/>
    <s v="Frasco"/>
    <x v="0"/>
    <s v="Contacto direto com cosmético/higiene"/>
    <s v="Injeção-sopro (ISBM)"/>
    <s v="FAM-11"/>
    <n v="330"/>
    <n v="119"/>
    <x v="2"/>
    <s v="PET"/>
    <x v="1"/>
    <s v="PET — garrafas/frascos transparentes incolores"/>
    <s v="Natural (Uncolored)"/>
    <x v="1"/>
    <s v="No Masterbatch"/>
    <n v="0"/>
    <n v="1.38"/>
    <s v="Nenhuma"/>
    <n v="23.4"/>
    <s v="Estimada (22 g a 300 ml, escala ^2/3)"/>
    <s v="TF-005-PP-24410"/>
    <s v="PP"/>
    <s v="PP"/>
    <n v="13.9"/>
    <s v="Sem vedante"/>
    <s v="Sem rótulo"/>
    <s v="Sem adesivo"/>
    <n v="0"/>
    <n v="0"/>
    <s v="Sem rótulo (decoração direta Plasticom)"/>
    <x v="2"/>
    <n v="1"/>
    <s v="Hot foil metalizado"/>
    <n v="0.03"/>
    <s v="A"/>
    <s v="A"/>
    <s v="A"/>
    <s v="A"/>
    <s v="A"/>
    <s v="A"/>
    <s v="A"/>
    <s v="A"/>
    <s v="A"/>
    <s v="D"/>
    <n v="4"/>
    <x v="1"/>
    <n v="0"/>
    <s v="Decoracao"/>
    <s v="Rótulo metalizado de PE/PP destacável."/>
    <n v="37.33"/>
    <n v="1"/>
    <n v="1"/>
    <n v="1"/>
    <n v="37.299999999999997"/>
    <n v="0.99919635681757302"/>
    <s v="A"/>
    <x v="1"/>
    <s v="—"/>
    <x v="1"/>
    <s v="Não"/>
    <n v="0.5"/>
    <n v="0"/>
    <n v="0.31367292225201071"/>
    <s v="Outras embalagens de plástico"/>
    <n v="0.35"/>
    <n v="3.6327077747989267E-2"/>
    <s v="Não"/>
    <x v="1"/>
    <n v="491905"/>
    <n v="14"/>
    <s v="DE; ES; FR; IT; PL; PT"/>
    <n v="11510.576999999999"/>
    <n v="12"/>
    <n v="3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07"/>
    <s v="FR-008-HDPE-350"/>
    <s v="Frasco"/>
    <x v="0"/>
    <s v="Contacto direto com cosmético/higiene"/>
    <s v="Injeção-sopro (ISBM)"/>
    <s v="FAM-01"/>
    <n v="350"/>
    <n v="121"/>
    <x v="0"/>
    <s v="PE"/>
    <x v="0"/>
    <s v="PE rígido — frascos e contentores (HDPE/LDPE)"/>
    <s v="Graphite Gray"/>
    <x v="2"/>
    <s v="Gray Masterbatch"/>
    <n v="0.02"/>
    <n v="0.97899999999999998"/>
    <s v="Nenhuma"/>
    <n v="24.4"/>
    <s v="Estimada (22 g a 300 ml, escala ^2/3)"/>
    <s v="TF-005-HDPE-24410"/>
    <s v="HDPE"/>
    <s v="PE"/>
    <n v="15.5"/>
    <s v="Sem vedante"/>
    <s v="Sem rótulo"/>
    <s v="Sem adesivo"/>
    <n v="0"/>
    <n v="0"/>
    <s v="Sem rótulo (decoração direta Plasticom)"/>
    <x v="0"/>
    <n v="2"/>
    <s v="Serigrafia 1–2 cores"/>
    <n v="0.16"/>
    <s v="A"/>
    <s v="B"/>
    <s v="A"/>
    <s v="A"/>
    <s v="A"/>
    <s v="A"/>
    <s v="A"/>
    <s v="A"/>
    <s v="A"/>
    <s v="B"/>
    <n v="2"/>
    <x v="0"/>
    <n v="0"/>
    <s v="Cor"/>
    <s v="Preferir cores claras."/>
    <n v="40.059999999999995"/>
    <n v="1"/>
    <n v="1"/>
    <n v="1"/>
    <n v="39.9"/>
    <n v="0.99600599101347986"/>
    <s v="A"/>
    <x v="0"/>
    <s v="—"/>
    <x v="0"/>
    <s v="Sim"/>
    <n v="0"/>
    <n v="0"/>
    <n v="0"/>
    <s v="Outras embalagens de plástico"/>
    <n v="0.35"/>
    <n v="0.35"/>
    <s v="Não"/>
    <x v="0"/>
    <n v="90151"/>
    <n v="10"/>
    <s v="DE; ES; FR; IT; PT"/>
    <n v="2199.6844000000001"/>
    <n v="12"/>
    <n v="1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08"/>
    <s v="FR-007-HDPE-350"/>
    <s v="Frasco"/>
    <x v="0"/>
    <s v="Contacto direto com cosmético/higiene"/>
    <s v="Injeção-sopro (ISBM)"/>
    <s v="FAM-01"/>
    <n v="350"/>
    <n v="121"/>
    <x v="0"/>
    <s v="PE"/>
    <x v="0"/>
    <s v="PE rígido — frascos e contentores (HDPE/LDPE)"/>
    <s v="Translucent Amber"/>
    <x v="0"/>
    <s v="Amber Masterbatch"/>
    <n v="1.4999999999999999E-2"/>
    <n v="0.97299999999999998"/>
    <s v="Nenhuma"/>
    <n v="24.4"/>
    <s v="Estimada (22 g a 300 ml, escala ^2/3)"/>
    <s v="TR-001-HDPE-24410"/>
    <s v="HDPE"/>
    <s v="PE"/>
    <n v="11.5"/>
    <s v="Sem vedante"/>
    <s v="Sem rótulo"/>
    <s v="Sem adesivo"/>
    <n v="0"/>
    <n v="0"/>
    <s v="Sem rótulo (decoração direta Plasticom)"/>
    <x v="0"/>
    <n v="3"/>
    <s v="Serigrafia ≥ 3 cores"/>
    <n v="0.24"/>
    <s v="A"/>
    <s v="B"/>
    <s v="A"/>
    <s v="A"/>
    <s v="A"/>
    <s v="A"/>
    <s v="A"/>
    <s v="A"/>
    <s v="A"/>
    <s v="C"/>
    <n v="3"/>
    <x v="2"/>
    <n v="0"/>
    <s v="Decoracao"/>
    <s v="Reduzir cores/área ou passar a rótulo de PE/PP."/>
    <n v="36.14"/>
    <n v="1"/>
    <n v="1"/>
    <n v="1"/>
    <n v="35.9"/>
    <n v="0.99335915882678472"/>
    <s v="A"/>
    <x v="2"/>
    <s v="—"/>
    <x v="0"/>
    <s v="Não"/>
    <n v="0"/>
    <n v="0"/>
    <n v="0"/>
    <s v="Outras embalagens de plástico"/>
    <n v="0.35"/>
    <n v="0.35"/>
    <s v="Não"/>
    <x v="0"/>
    <n v="108196"/>
    <n v="11"/>
    <s v="DE; ES; FR; IT; PL; PT"/>
    <n v="2639.9823999999999"/>
    <n v="12"/>
    <n v="1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09"/>
    <s v="FR-009-HDPE-350"/>
    <s v="Frasco"/>
    <x v="0"/>
    <s v="Contacto direto com cosmético/higiene"/>
    <s v="Injeção-sopro (ISBM)"/>
    <s v="FAM-01"/>
    <n v="350"/>
    <n v="121"/>
    <x v="0"/>
    <s v="PE"/>
    <x v="0"/>
    <s v="PE rígido — frascos e contentores (HDPE/LDPE)"/>
    <s v="Cardinal Red"/>
    <x v="0"/>
    <s v="Red Masterbatch"/>
    <n v="0.02"/>
    <n v="0.97899999999999998"/>
    <s v="Nenhuma"/>
    <n v="24.4"/>
    <s v="Estimada (22 g a 300 ml, escala ^2/3)"/>
    <s v="TR-001-HDPE-24410"/>
    <s v="HDPE"/>
    <s v="PE"/>
    <n v="11.5"/>
    <s v="Sem vedante"/>
    <s v="Autoadesivo PE/PP"/>
    <s v="Acrílico permanente"/>
    <n v="0.4"/>
    <n v="0.51"/>
    <s v="Cenário típico do cliente — confirmar especificação"/>
    <x v="1"/>
    <n v="0"/>
    <s v="Nenhuma"/>
    <n v="0"/>
    <s v="A"/>
    <s v="B"/>
    <s v="A"/>
    <s v="A"/>
    <s v="A"/>
    <s v="A"/>
    <s v="A"/>
    <s v="A"/>
    <s v="A"/>
    <s v="A"/>
    <n v="2"/>
    <x v="0"/>
    <n v="0"/>
    <s v="Cor"/>
    <s v="Preferir natural, branco ou cores claras."/>
    <n v="36.409999999999997"/>
    <n v="1"/>
    <n v="1"/>
    <n v="1"/>
    <n v="36.409999999999997"/>
    <n v="1"/>
    <s v="A"/>
    <x v="0"/>
    <s v="—"/>
    <x v="0"/>
    <s v="Sim"/>
    <n v="0"/>
    <n v="0"/>
    <n v="0"/>
    <s v="Outras embalagens de plástico"/>
    <n v="0.35"/>
    <n v="0.35"/>
    <s v="Não"/>
    <x v="0"/>
    <n v="71912"/>
    <n v="11"/>
    <s v="DE; ES; FR; PL; PT"/>
    <n v="1754.6527999999998"/>
    <n v="12"/>
    <n v="1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10"/>
    <s v="FR-008-HDPE-PCR-350"/>
    <s v="Frasco"/>
    <x v="0"/>
    <s v="Contacto direto com cosmético/higiene"/>
    <s v="Injeção-sopro (ISBM)"/>
    <s v="FAM-02"/>
    <n v="350"/>
    <n v="121"/>
    <x v="1"/>
    <s v="PE"/>
    <x v="0"/>
    <s v="PE rígido — frascos e contentores (HDPE/LDPE)"/>
    <s v="Cobalt Blue"/>
    <x v="0"/>
    <s v="Blue Masterbatch"/>
    <n v="0.02"/>
    <n v="0.98399999999999999"/>
    <s v="Nenhuma"/>
    <n v="24.4"/>
    <s v="Estimada (22 g a 300 ml, escala ^2/3)"/>
    <s v="TF-005-PP-PCR-24410"/>
    <s v="PP-PCR"/>
    <s v="PP"/>
    <n v="13.9"/>
    <s v="Sem vedante"/>
    <s v="Sem rótulo"/>
    <s v="Sem adesivo"/>
    <n v="0"/>
    <n v="0"/>
    <s v="Sem rótulo (decoração direta Plasticom)"/>
    <x v="2"/>
    <n v="1"/>
    <s v="Hot foil metalizado"/>
    <n v="0.03"/>
    <s v="A"/>
    <s v="B"/>
    <s v="A"/>
    <s v="A"/>
    <s v="A"/>
    <s v="A"/>
    <s v="A"/>
    <s v="A"/>
    <s v="A"/>
    <s v="C"/>
    <n v="3"/>
    <x v="2"/>
    <n v="0"/>
    <s v="Decoracao"/>
    <s v="Reduzir a área de hot foil ou usar rótulo metalizado destacável."/>
    <n v="38.33"/>
    <n v="1"/>
    <n v="1"/>
    <n v="1"/>
    <n v="38.299999999999997"/>
    <n v="0.99921732324549961"/>
    <s v="A"/>
    <x v="2"/>
    <s v="—"/>
    <x v="0"/>
    <s v="Não"/>
    <n v="0.3"/>
    <n v="0.3"/>
    <n v="0.3"/>
    <s v="Outras embalagens de plástico"/>
    <n v="0.35"/>
    <n v="4.9999999999999989E-2"/>
    <s v="Não"/>
    <x v="0"/>
    <n v="109845"/>
    <n v="11"/>
    <s v="DE; ES; IT; PL; PT"/>
    <n v="2680.2179999999998"/>
    <n v="12"/>
    <n v="1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11"/>
    <s v="FR-007-HDPE-PCR-350"/>
    <s v="Frasco"/>
    <x v="0"/>
    <s v="Contacto direto com cosmético/higiene"/>
    <s v="Injeção-sopro (ISBM)"/>
    <s v="FAM-02"/>
    <n v="350"/>
    <n v="121"/>
    <x v="1"/>
    <s v="PE"/>
    <x v="0"/>
    <s v="PE rígido — frascos e contentores (HDPE/LDPE)"/>
    <s v="Cobalt Blue"/>
    <x v="0"/>
    <s v="Blue Masterbatch"/>
    <n v="0.02"/>
    <n v="0.98399999999999999"/>
    <s v="Nenhuma"/>
    <n v="24.4"/>
    <s v="Estimada (22 g a 300 ml, escala ^2/3)"/>
    <s v="TR-001-PP-PCR-24410"/>
    <s v="PP-PCR"/>
    <s v="PP"/>
    <n v="10.3"/>
    <s v="Sem vedante"/>
    <s v="Autoadesivo PE/PP"/>
    <s v="Acrílico permanente"/>
    <n v="0.4"/>
    <n v="0.51"/>
    <s v="Cenário típico do cliente — confirmar especificação"/>
    <x v="1"/>
    <n v="0"/>
    <s v="Nenhuma"/>
    <n v="0"/>
    <s v="A"/>
    <s v="B"/>
    <s v="A"/>
    <s v="A"/>
    <s v="A"/>
    <s v="A"/>
    <s v="A"/>
    <s v="A"/>
    <s v="A"/>
    <s v="A"/>
    <n v="2"/>
    <x v="0"/>
    <n v="0"/>
    <s v="Cor"/>
    <s v="Preferir natural, branco ou cores claras."/>
    <n v="35.21"/>
    <n v="1"/>
    <n v="1"/>
    <n v="1"/>
    <n v="35.21"/>
    <n v="1"/>
    <s v="A"/>
    <x v="0"/>
    <s v="—"/>
    <x v="0"/>
    <s v="Sim"/>
    <n v="0.3"/>
    <n v="0.3"/>
    <n v="0.3"/>
    <s v="Outras embalagens de plástico"/>
    <n v="0.35"/>
    <n v="4.9999999999999989E-2"/>
    <s v="Não"/>
    <x v="0"/>
    <n v="160805"/>
    <n v="12"/>
    <s v="ES; FR; IT; PL; PT"/>
    <n v="3923.6419999999998"/>
    <n v="12"/>
    <n v="1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12"/>
    <s v="FR-009-HDPE-PCR-350"/>
    <s v="Frasco"/>
    <x v="0"/>
    <s v="Contacto direto com cosmético/higiene"/>
    <s v="Injeção-sopro (ISBM)"/>
    <s v="FAM-02"/>
    <n v="350"/>
    <n v="121"/>
    <x v="1"/>
    <s v="PE"/>
    <x v="0"/>
    <s v="PE rígido — frascos e contentores (HDPE/LDPE)"/>
    <s v="Translucent Amber"/>
    <x v="0"/>
    <s v="Amber Masterbatch"/>
    <n v="1.4999999999999999E-2"/>
    <n v="0.97799999999999998"/>
    <s v="Nenhuma"/>
    <n v="24.4"/>
    <s v="Estimada (22 g a 300 ml, escala ^2/3)"/>
    <s v="TR-001-PP-PCR-24410"/>
    <s v="PP-PCR"/>
    <s v="PP"/>
    <n v="10.3"/>
    <s v="Sem vedante"/>
    <s v="Autoadesivo PE/PP"/>
    <s v="Acrílico permanente"/>
    <n v="0.4"/>
    <n v="0.51"/>
    <s v="Cenário típico do cliente — confirmar especificação"/>
    <x v="1"/>
    <n v="0"/>
    <s v="Nenhuma"/>
    <n v="0"/>
    <s v="A"/>
    <s v="B"/>
    <s v="A"/>
    <s v="A"/>
    <s v="A"/>
    <s v="A"/>
    <s v="A"/>
    <s v="A"/>
    <s v="A"/>
    <s v="A"/>
    <n v="2"/>
    <x v="0"/>
    <n v="0"/>
    <s v="Cor"/>
    <s v="Preferir natural, branco ou cores claras."/>
    <n v="35.21"/>
    <n v="1"/>
    <n v="1"/>
    <n v="1"/>
    <n v="35.21"/>
    <n v="1"/>
    <s v="A"/>
    <x v="0"/>
    <s v="—"/>
    <x v="0"/>
    <s v="Sim"/>
    <n v="0.3"/>
    <n v="0.3"/>
    <n v="0.3"/>
    <s v="Outras embalagens de plástico"/>
    <n v="0.35"/>
    <n v="4.9999999999999989E-2"/>
    <s v="Não"/>
    <x v="0"/>
    <n v="30788"/>
    <n v="7"/>
    <s v="DE; ES; FR; PT"/>
    <n v="751.22719999999993"/>
    <n v="12"/>
    <n v="1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13"/>
    <s v="FR-008-LDPE-350"/>
    <s v="Frasco"/>
    <x v="0"/>
    <s v="Contacto direto com cosmético/higiene"/>
    <s v="Injeção-sopro (ISBM)"/>
    <s v="FAM-04"/>
    <n v="350"/>
    <n v="121"/>
    <x v="3"/>
    <s v="PE"/>
    <x v="0"/>
    <s v="PE rígido — frascos e contentores (HDPE/LDPE)"/>
    <s v="Opaque White"/>
    <x v="3"/>
    <s v="White Masterbatch (TiO2)"/>
    <n v="2.5000000000000001E-2"/>
    <n v="0.95"/>
    <s v="Nenhuma"/>
    <n v="24.4"/>
    <s v="Estimada (22 g a 300 ml, escala ^2/3)"/>
    <s v="TF-005-HDPE-24410"/>
    <s v="HDPE"/>
    <s v="PE"/>
    <n v="15.5"/>
    <s v="Sem vedante"/>
    <s v="Sem rótulo"/>
    <s v="Sem adesivo"/>
    <n v="0"/>
    <n v="0"/>
    <s v="Sem rótulo (decoração direta Plasticom)"/>
    <x v="0"/>
    <n v="3"/>
    <s v="Serigrafia ≥ 3 cores"/>
    <n v="0.24"/>
    <s v="A"/>
    <s v="A"/>
    <s v="A"/>
    <s v="A"/>
    <s v="A"/>
    <s v="A"/>
    <s v="A"/>
    <s v="A"/>
    <s v="A"/>
    <s v="C"/>
    <n v="3"/>
    <x v="2"/>
    <n v="0"/>
    <s v="Decoracao"/>
    <s v="Reduzir cores/área ou passar a rótulo de PE/PP."/>
    <n v="40.14"/>
    <n v="1"/>
    <n v="1"/>
    <n v="1"/>
    <n v="39.9"/>
    <n v="0.99402092675635267"/>
    <s v="A"/>
    <x v="2"/>
    <s v="—"/>
    <x v="0"/>
    <s v="Não"/>
    <n v="0"/>
    <n v="0"/>
    <n v="0"/>
    <s v="Outras embalagens de plástico"/>
    <n v="0.35"/>
    <n v="0.35"/>
    <s v="Não"/>
    <x v="0"/>
    <n v="69583"/>
    <n v="10"/>
    <s v="DE; ES; IT; PL; PT"/>
    <n v="1697.8252"/>
    <n v="12"/>
    <n v="1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14"/>
    <s v="FR-008-PET-350"/>
    <s v="Frasco"/>
    <x v="0"/>
    <s v="Contacto direto com cosmético/higiene"/>
    <s v="Injeção-sopro (ISBM)"/>
    <s v="FAM-10"/>
    <n v="350"/>
    <n v="121"/>
    <x v="4"/>
    <s v="PET"/>
    <x v="1"/>
    <s v="PET — garrafas/frascos transparentes incolores"/>
    <s v="Natural (Uncolored)"/>
    <x v="1"/>
    <s v="No Masterbatch"/>
    <n v="0"/>
    <n v="1.38"/>
    <s v="Nenhuma"/>
    <n v="24.4"/>
    <s v="Estimada (22 g a 300 ml, escala ^2/3)"/>
    <s v="TF-005-PP-24410"/>
    <s v="PP"/>
    <s v="PP"/>
    <n v="13.9"/>
    <s v="Sem vedante"/>
    <s v="Autoadesivo PE/PP"/>
    <s v="Lavável a 80 °C (alcalino)"/>
    <n v="0.4"/>
    <n v="0.51"/>
    <s v="Cenário típico do cliente — confirmar especificação"/>
    <x v="1"/>
    <n v="0"/>
    <s v="Nenhuma"/>
    <n v="0"/>
    <s v="A"/>
    <s v="A"/>
    <s v="A"/>
    <s v="A"/>
    <s v="A"/>
    <s v="A"/>
    <s v="A"/>
    <s v="A"/>
    <s v="A"/>
    <s v="A"/>
    <n v="1"/>
    <x v="3"/>
    <n v="0"/>
    <s v="—"/>
    <s v="Sem ação — manter o design."/>
    <n v="38.809999999999995"/>
    <n v="1"/>
    <n v="1"/>
    <n v="1"/>
    <n v="38.809999999999995"/>
    <n v="1"/>
    <s v="A"/>
    <x v="3"/>
    <s v="—"/>
    <x v="0"/>
    <s v="Sim"/>
    <n v="0"/>
    <n v="0"/>
    <n v="0"/>
    <s v="Outras embalagens de plástico"/>
    <n v="0.35"/>
    <n v="0.35"/>
    <s v="Não"/>
    <x v="1"/>
    <n v="112547"/>
    <n v="10"/>
    <s v="ES; FR; IT; PT"/>
    <n v="2746.1468"/>
    <n v="12"/>
    <n v="1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15"/>
    <s v="FR-009-PET-350"/>
    <s v="Frasco"/>
    <x v="0"/>
    <s v="Contacto direto com cosmético/higiene"/>
    <s v="Injeção-sopro (ISBM)"/>
    <s v="FAM-10"/>
    <n v="350"/>
    <n v="121"/>
    <x v="4"/>
    <s v="PET"/>
    <x v="1"/>
    <s v="PET — garrafas/frascos transparentes incolores"/>
    <s v="Natural (Uncolored)"/>
    <x v="1"/>
    <s v="No Masterbatch"/>
    <n v="0"/>
    <n v="1.38"/>
    <s v="Nenhuma"/>
    <n v="24.4"/>
    <s v="Estimada (22 g a 300 ml, escala ^2/3)"/>
    <s v="TR-001-PP-24410"/>
    <s v="PP"/>
    <s v="PP"/>
    <n v="10.3"/>
    <s v="Sem vedante"/>
    <s v="Sem rótulo"/>
    <s v="Sem adesivo"/>
    <n v="0"/>
    <n v="0"/>
    <s v="Sem rótulo (decoração direta Plasticom)"/>
    <x v="2"/>
    <n v="1"/>
    <s v="Hot foil metalizado"/>
    <n v="0.03"/>
    <s v="A"/>
    <s v="A"/>
    <s v="A"/>
    <s v="A"/>
    <s v="A"/>
    <s v="A"/>
    <s v="A"/>
    <s v="A"/>
    <s v="A"/>
    <s v="D"/>
    <n v="4"/>
    <x v="1"/>
    <n v="0"/>
    <s v="Decoracao"/>
    <s v="Rótulo metalizado de PE/PP destacável."/>
    <n v="34.730000000000004"/>
    <n v="1"/>
    <n v="1"/>
    <n v="1"/>
    <n v="34.700000000000003"/>
    <n v="0.99913619349265759"/>
    <s v="A"/>
    <x v="1"/>
    <s v="—"/>
    <x v="1"/>
    <s v="Não"/>
    <n v="0"/>
    <n v="0"/>
    <n v="0"/>
    <s v="Outras embalagens de plástico"/>
    <n v="0.35"/>
    <n v="0.35"/>
    <s v="Não"/>
    <x v="1"/>
    <n v="67783"/>
    <n v="10"/>
    <s v="DE; ES; FR; IT; PL; PT"/>
    <n v="1653.9051999999999"/>
    <n v="12"/>
    <n v="2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16"/>
    <s v="FR-008-PETG-350"/>
    <s v="Frasco"/>
    <x v="0"/>
    <s v="Contacto direto com cosmético/higiene"/>
    <s v="Injeção-sopro (ISBM)"/>
    <s v="FAM-13"/>
    <n v="350"/>
    <n v="121"/>
    <x v="5"/>
    <s v="PETG"/>
    <x v="2"/>
    <s v="Sem categoria RecyClass (PETG)"/>
    <s v="Natural (Uncolored)"/>
    <x v="1"/>
    <s v="No Masterbatch"/>
    <n v="0"/>
    <n v="1.27"/>
    <s v="Nenhuma"/>
    <n v="24.4"/>
    <s v="Estimada (22 g a 300 ml, escala ^2/3)"/>
    <s v="TR-001-PETG-24410"/>
    <s v="PETG"/>
    <s v="PETG"/>
    <n v="12.1"/>
    <s v="Sem vedante"/>
    <s v="Sem rótulo"/>
    <s v="Sem adesivo"/>
    <n v="0"/>
    <n v="0"/>
    <s v="Sem rótulo (decoração direta Plasticom)"/>
    <x v="0"/>
    <n v="2"/>
    <s v="Serigrafia 1–2 cores"/>
    <n v="0.16"/>
    <s v="F"/>
    <s v="—"/>
    <s v="—"/>
    <s v="—"/>
    <s v="—"/>
    <s v="—"/>
    <s v="—"/>
    <s v="—"/>
    <s v="—"/>
    <s v="—"/>
    <n v="6"/>
    <x v="4"/>
    <n v="0"/>
    <s v="Fluxo"/>
    <s v="Mudar o corpo para PET (ou PP/PE) — PETG não passa a grau C em 2030."/>
    <n v="36.659999999999997"/>
    <n v="0"/>
    <n v="0"/>
    <n v="0"/>
    <n v="0"/>
    <n v="0"/>
    <s v="&lt; 70%"/>
    <x v="4"/>
    <s v="—"/>
    <x v="1"/>
    <s v="Não"/>
    <n v="0"/>
    <n v="0"/>
    <n v="0"/>
    <s v="Outras embalagens de plástico"/>
    <n v="0.35"/>
    <n v="0.35"/>
    <s v="Não"/>
    <x v="0"/>
    <n v="67196"/>
    <n v="8"/>
    <s v="DE; ES; IT; PL; PT"/>
    <n v="1639.5824"/>
    <n v="12"/>
    <n v="4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17"/>
    <s v="FR-007-PETG-350"/>
    <s v="Frasco"/>
    <x v="0"/>
    <s v="Contacto direto com cosmético/higiene"/>
    <s v="Injeção-sopro (ISBM)"/>
    <s v="FAM-13"/>
    <n v="350"/>
    <n v="121"/>
    <x v="5"/>
    <s v="PETG"/>
    <x v="2"/>
    <s v="Sem categoria RecyClass (PETG)"/>
    <s v="Natural (Uncolored)"/>
    <x v="1"/>
    <s v="No Masterbatch"/>
    <n v="0"/>
    <n v="1.27"/>
    <s v="Nenhuma"/>
    <n v="24.4"/>
    <s v="Estimada (22 g a 300 ml, escala ^2/3)"/>
    <s v="TR-001-PETG-24410"/>
    <s v="PETG"/>
    <s v="PETG"/>
    <n v="12.1"/>
    <s v="Sem vedante"/>
    <s v="Sem rótulo"/>
    <s v="Sem adesivo"/>
    <n v="0"/>
    <n v="0"/>
    <s v="Sem rótulo (decoração direta Plasticom)"/>
    <x v="0"/>
    <n v="1"/>
    <s v="Serigrafia 1–2 cores"/>
    <n v="0.08"/>
    <s v="F"/>
    <s v="—"/>
    <s v="—"/>
    <s v="—"/>
    <s v="—"/>
    <s v="—"/>
    <s v="—"/>
    <s v="—"/>
    <s v="—"/>
    <s v="—"/>
    <n v="6"/>
    <x v="4"/>
    <n v="0"/>
    <s v="Fluxo"/>
    <s v="Mudar o corpo para PET (ou PP/PE) — PETG não passa a grau C em 2030."/>
    <n v="36.58"/>
    <n v="0"/>
    <n v="0"/>
    <n v="0"/>
    <n v="0"/>
    <n v="0"/>
    <s v="&lt; 70%"/>
    <x v="4"/>
    <s v="—"/>
    <x v="1"/>
    <s v="Não"/>
    <n v="0"/>
    <n v="0"/>
    <n v="0"/>
    <s v="Outras embalagens de plástico"/>
    <n v="0.35"/>
    <n v="0.35"/>
    <s v="Não"/>
    <x v="0"/>
    <n v="200255"/>
    <n v="14"/>
    <s v="DE; ES; FR; IT; PL; PT"/>
    <n v="4886.2219999999998"/>
    <n v="12"/>
    <n v="4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18"/>
    <s v="FR-009-PETG-350"/>
    <s v="Frasco"/>
    <x v="0"/>
    <s v="Contacto direto com cosmético/higiene"/>
    <s v="Injeção-sopro (ISBM)"/>
    <s v="FAM-13"/>
    <n v="350"/>
    <n v="121"/>
    <x v="5"/>
    <s v="PETG"/>
    <x v="2"/>
    <s v="Sem categoria RecyClass (PETG)"/>
    <s v="Natural (Uncolored)"/>
    <x v="1"/>
    <s v="No Masterbatch"/>
    <n v="0"/>
    <n v="1.27"/>
    <s v="Nenhuma"/>
    <n v="24.4"/>
    <s v="Estimada (22 g a 300 ml, escala ^2/3)"/>
    <s v="TR-001-PETG-24410"/>
    <s v="PETG"/>
    <s v="PETG"/>
    <n v="12.1"/>
    <s v="Sem vedante"/>
    <s v="Sem rótulo"/>
    <s v="Sem adesivo"/>
    <n v="0"/>
    <n v="0"/>
    <s v="Sem rótulo (decoração direta Plasticom)"/>
    <x v="0"/>
    <n v="3"/>
    <s v="Serigrafia ≥ 3 cores"/>
    <n v="0.24"/>
    <s v="F"/>
    <s v="—"/>
    <s v="—"/>
    <s v="—"/>
    <s v="—"/>
    <s v="—"/>
    <s v="—"/>
    <s v="—"/>
    <s v="—"/>
    <s v="—"/>
    <n v="6"/>
    <x v="4"/>
    <n v="0"/>
    <s v="Fluxo"/>
    <s v="Mudar o corpo para PET (ou PP/PE) — PETG não passa a grau C em 2030."/>
    <n v="36.74"/>
    <n v="0"/>
    <n v="0"/>
    <n v="0"/>
    <n v="0"/>
    <n v="0"/>
    <s v="&lt; 70%"/>
    <x v="4"/>
    <s v="—"/>
    <x v="1"/>
    <s v="Não"/>
    <n v="0"/>
    <n v="0"/>
    <n v="0"/>
    <s v="Outras embalagens de plástico"/>
    <n v="0.35"/>
    <n v="0.35"/>
    <s v="Não"/>
    <x v="0"/>
    <n v="25163"/>
    <n v="6"/>
    <s v="DE; IT; PT"/>
    <n v="613.97719999999993"/>
    <n v="12"/>
    <n v="4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19"/>
    <s v="FR-008-PP-350"/>
    <s v="Frasco"/>
    <x v="0"/>
    <s v="Contacto direto com cosmético/higiene"/>
    <s v="Injeção-sopro (ISBM)"/>
    <s v="FAM-06"/>
    <n v="350"/>
    <n v="121"/>
    <x v="6"/>
    <s v="PP"/>
    <x v="3"/>
    <s v="PP rígido — frascos, potes e contentores"/>
    <s v="Emerald Green"/>
    <x v="0"/>
    <s v="Green Masterbatch"/>
    <n v="0.02"/>
    <n v="0.92900000000000005"/>
    <s v="Nenhuma"/>
    <n v="24.4"/>
    <s v="Estimada (22 g a 300 ml, escala ^2/3)"/>
    <s v="TF-005-PP-24410"/>
    <s v="PP"/>
    <s v="PP"/>
    <n v="13.9"/>
    <s v="Sem vedante"/>
    <s v="Sem rótulo"/>
    <s v="Sem adesivo"/>
    <n v="0"/>
    <n v="0"/>
    <s v="Sem rótulo (decoração direta Plasticom)"/>
    <x v="2"/>
    <n v="1"/>
    <s v="Hot foil metalizado"/>
    <n v="0.03"/>
    <s v="A"/>
    <s v="B"/>
    <s v="A"/>
    <s v="A"/>
    <s v="A"/>
    <s v="A"/>
    <s v="A"/>
    <s v="A"/>
    <s v="A"/>
    <s v="C"/>
    <n v="3"/>
    <x v="2"/>
    <n v="0"/>
    <s v="Decoracao"/>
    <s v="Reduzir a área de hot foil ou usar rótulo metalizado destacável."/>
    <n v="38.33"/>
    <n v="1"/>
    <n v="1"/>
    <n v="1"/>
    <n v="38.299999999999997"/>
    <n v="0.99921732324549961"/>
    <s v="A"/>
    <x v="2"/>
    <s v="—"/>
    <x v="0"/>
    <s v="Não"/>
    <n v="0"/>
    <n v="0"/>
    <n v="0"/>
    <s v="Outras embalagens de plástico"/>
    <n v="0.35"/>
    <n v="0.35"/>
    <s v="Não"/>
    <x v="0"/>
    <n v="28721"/>
    <n v="7"/>
    <s v="DE; FR; PL; PT"/>
    <n v="700.79239999999993"/>
    <n v="12"/>
    <n v="1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20"/>
    <s v="FR-007-PP-350"/>
    <s v="Frasco"/>
    <x v="0"/>
    <s v="Contacto direto com cosmético/higiene"/>
    <s v="Injeção-sopro (ISBM)"/>
    <s v="FAM-06"/>
    <n v="350"/>
    <n v="121"/>
    <x v="6"/>
    <s v="PP"/>
    <x v="3"/>
    <s v="PP rígido — frascos, potes e contentores"/>
    <s v="Opaque White"/>
    <x v="3"/>
    <s v="White Masterbatch (TiO2)"/>
    <n v="2.5000000000000001E-2"/>
    <n v="0.93500000000000005"/>
    <s v="Nenhuma"/>
    <n v="24.4"/>
    <s v="Estimada (22 g a 300 ml, escala ^2/3)"/>
    <s v="TR-001-PP-24410"/>
    <s v="PP"/>
    <s v="PP"/>
    <n v="10.3"/>
    <s v="Sem vedante"/>
    <s v="Sem rótulo"/>
    <s v="Sem adesivo"/>
    <n v="0"/>
    <n v="0"/>
    <s v="Sem rótulo (decoração direta Plasticom)"/>
    <x v="0"/>
    <n v="1"/>
    <s v="Serigrafia 1–2 cores"/>
    <n v="0.08"/>
    <s v="A"/>
    <s v="A"/>
    <s v="A"/>
    <s v="A"/>
    <s v="A"/>
    <s v="A"/>
    <s v="A"/>
    <s v="A"/>
    <s v="A"/>
    <s v="B"/>
    <n v="2"/>
    <x v="0"/>
    <n v="0"/>
    <s v="Decoracao"/>
    <s v="Tintas sem metais pesados e que não sangrem; reduzir área impressa."/>
    <n v="34.78"/>
    <n v="1"/>
    <n v="1"/>
    <n v="1"/>
    <n v="34.700000000000003"/>
    <n v="0.99769982748706154"/>
    <s v="A"/>
    <x v="0"/>
    <s v="—"/>
    <x v="0"/>
    <s v="Sim"/>
    <n v="0"/>
    <n v="0"/>
    <n v="0"/>
    <s v="Outras embalagens de plástico"/>
    <n v="0.35"/>
    <n v="0.35"/>
    <s v="Não"/>
    <x v="0"/>
    <n v="82357"/>
    <n v="8"/>
    <s v="DE; ES; FR; PL; PT"/>
    <n v="2009.5107999999998"/>
    <n v="12"/>
    <n v="1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21"/>
    <s v="FR-008-PP-PCR-350"/>
    <s v="Frasco"/>
    <x v="0"/>
    <s v="Contacto direto com cosmético/higiene"/>
    <s v="Injeção-sopro (ISBM)"/>
    <s v="FAM-07"/>
    <n v="350"/>
    <n v="121"/>
    <x v="7"/>
    <s v="PP"/>
    <x v="3"/>
    <s v="PP rígido — frascos, potes e contentores"/>
    <s v="Translucent Amber"/>
    <x v="0"/>
    <s v="Amber Masterbatch"/>
    <n v="1.4999999999999999E-2"/>
    <n v="0.92800000000000005"/>
    <s v="Nenhuma"/>
    <n v="24.4"/>
    <s v="Estimada (22 g a 300 ml, escala ^2/3)"/>
    <s v="TF-005-PP-PCR-24410"/>
    <s v="PP-PCR"/>
    <s v="PP"/>
    <n v="13.9"/>
    <s v="Sem vedante"/>
    <s v="Autoadesivo PE/PP"/>
    <s v="Acrílico permanente"/>
    <n v="0.4"/>
    <n v="0.51"/>
    <s v="Cenário típico do cliente — confirmar especificação"/>
    <x v="1"/>
    <n v="0"/>
    <s v="Nenhuma"/>
    <n v="0"/>
    <s v="A"/>
    <s v="B"/>
    <s v="A"/>
    <s v="A"/>
    <s v="A"/>
    <s v="A"/>
    <s v="A"/>
    <s v="A"/>
    <s v="A"/>
    <s v="A"/>
    <n v="2"/>
    <x v="0"/>
    <n v="0"/>
    <s v="Cor"/>
    <s v="Preferir natural, branco ou cores claras."/>
    <n v="38.809999999999995"/>
    <n v="1"/>
    <n v="1"/>
    <n v="1"/>
    <n v="38.809999999999995"/>
    <n v="1"/>
    <s v="A"/>
    <x v="0"/>
    <s v="—"/>
    <x v="0"/>
    <s v="Sim"/>
    <n v="0.3"/>
    <n v="0.3"/>
    <n v="0.3"/>
    <s v="Outras embalagens de plástico"/>
    <n v="0.35"/>
    <n v="4.9999999999999989E-2"/>
    <s v="Não"/>
    <x v="0"/>
    <n v="65549"/>
    <n v="8"/>
    <s v="DE; ES; IT; PT"/>
    <n v="1599.3955999999998"/>
    <n v="12"/>
    <n v="1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22"/>
    <s v="FR-007-PP-PCR-350"/>
    <s v="Frasco"/>
    <x v="0"/>
    <s v="Contacto direto com cosmético/higiene"/>
    <s v="Injeção-sopro (ISBM)"/>
    <s v="FAM-07"/>
    <n v="350"/>
    <n v="121"/>
    <x v="7"/>
    <s v="PP"/>
    <x v="3"/>
    <s v="PP rígido — frascos, potes e contentores"/>
    <s v="Emerald Green"/>
    <x v="0"/>
    <s v="Green Masterbatch"/>
    <n v="0.02"/>
    <n v="0.93400000000000005"/>
    <s v="Nenhuma"/>
    <n v="24.4"/>
    <s v="Estimada (22 g a 300 ml, escala ^2/3)"/>
    <s v="TR-001-PP-PCR-24410"/>
    <s v="PP-PCR"/>
    <s v="PP"/>
    <n v="10.3"/>
    <s v="Sem vedante"/>
    <s v="Autoadesivo PE/PP"/>
    <s v="Acrílico permanente"/>
    <n v="0.4"/>
    <n v="0.51"/>
    <s v="Cenário típico do cliente — confirmar especificação"/>
    <x v="1"/>
    <n v="0"/>
    <s v="Nenhuma"/>
    <n v="0"/>
    <s v="A"/>
    <s v="B"/>
    <s v="A"/>
    <s v="A"/>
    <s v="A"/>
    <s v="A"/>
    <s v="A"/>
    <s v="A"/>
    <s v="A"/>
    <s v="A"/>
    <n v="2"/>
    <x v="0"/>
    <n v="0"/>
    <s v="Cor"/>
    <s v="Preferir natural, branco ou cores claras."/>
    <n v="35.21"/>
    <n v="1"/>
    <n v="1"/>
    <n v="1"/>
    <n v="35.21"/>
    <n v="1"/>
    <s v="A"/>
    <x v="0"/>
    <s v="—"/>
    <x v="0"/>
    <s v="Sim"/>
    <n v="0.3"/>
    <n v="0.3"/>
    <n v="0.3"/>
    <s v="Outras embalagens de plástico"/>
    <n v="0.35"/>
    <n v="4.9999999999999989E-2"/>
    <s v="Não"/>
    <x v="0"/>
    <n v="156110"/>
    <n v="13"/>
    <s v="DE; ES; FR; IT; PL; PT"/>
    <n v="3809.0839999999998"/>
    <n v="12"/>
    <n v="1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23"/>
    <s v="FR-007-PVC-350"/>
    <s v="Frasco"/>
    <x v="0"/>
    <s v="Contacto direto com cosmético/higiene"/>
    <s v="Injeção-sopro (ISBM)"/>
    <s v="FAM-14"/>
    <n v="350"/>
    <n v="121"/>
    <x v="8"/>
    <s v="PVC"/>
    <x v="4"/>
    <s v="Sem categoria RecyClass (PVC)"/>
    <s v="Natural (Uncolored)"/>
    <x v="1"/>
    <s v="No Masterbatch"/>
    <n v="0"/>
    <n v="1.35"/>
    <s v="Nenhuma"/>
    <n v="24.4"/>
    <s v="Estimada (22 g a 300 ml, escala ^2/3)"/>
    <s v="TR-001-PP-24410"/>
    <s v="PP"/>
    <s v="PP"/>
    <n v="10.3"/>
    <s v="Sem vedante"/>
    <s v="Sem rótulo"/>
    <s v="Sem adesivo"/>
    <n v="0"/>
    <n v="0"/>
    <s v="Sem rótulo (decoração direta Plasticom)"/>
    <x v="2"/>
    <n v="1"/>
    <s v="Hot foil metalizado"/>
    <n v="0.03"/>
    <s v="F"/>
    <s v="—"/>
    <s v="—"/>
    <s v="—"/>
    <s v="—"/>
    <s v="—"/>
    <s v="—"/>
    <s v="—"/>
    <s v="—"/>
    <s v="—"/>
    <n v="6"/>
    <x v="4"/>
    <n v="0"/>
    <s v="Fluxo"/>
    <s v="Eliminar o PVC do portfólio (substituir por PET ou PP)."/>
    <n v="34.730000000000004"/>
    <n v="0"/>
    <n v="0"/>
    <n v="0"/>
    <n v="0"/>
    <n v="0"/>
    <s v="&lt; 70%"/>
    <x v="4"/>
    <s v="—"/>
    <x v="1"/>
    <s v="Não"/>
    <n v="0"/>
    <n v="0"/>
    <n v="0"/>
    <s v="Outras embalagens de plástico"/>
    <n v="0.35"/>
    <n v="0.35"/>
    <s v="Não"/>
    <x v="1"/>
    <n v="146821"/>
    <n v="11"/>
    <s v="DE; ES; FR; IT; PL; PT"/>
    <n v="3582.4323999999997"/>
    <n v="12"/>
    <n v="4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24"/>
    <s v="FR-008-rPET-350"/>
    <s v="Frasco"/>
    <x v="0"/>
    <s v="Contacto direto com cosmético/higiene"/>
    <s v="Injeção-sopro (ISBM)"/>
    <s v="FAM-11"/>
    <n v="350"/>
    <n v="121"/>
    <x v="2"/>
    <s v="PET"/>
    <x v="1"/>
    <s v="PET — garrafas/frascos transparentes incolores"/>
    <s v="Natural (Uncolored)"/>
    <x v="1"/>
    <s v="No Masterbatch"/>
    <n v="0"/>
    <n v="1.38"/>
    <s v="Nenhuma"/>
    <n v="24.4"/>
    <s v="Estimada (22 g a 300 ml, escala ^2/3)"/>
    <s v="TF-005-PP-24410"/>
    <s v="PP"/>
    <s v="PP"/>
    <n v="13.9"/>
    <s v="Sem vedante"/>
    <s v="Autoadesivo PE/PP"/>
    <s v="Lavável a 80 °C (alcalino)"/>
    <n v="0.4"/>
    <n v="0.51"/>
    <s v="Cenário típico do cliente — confirmar especificação"/>
    <x v="1"/>
    <n v="0"/>
    <s v="Nenhuma"/>
    <n v="0"/>
    <s v="A"/>
    <s v="A"/>
    <s v="A"/>
    <s v="A"/>
    <s v="A"/>
    <s v="A"/>
    <s v="A"/>
    <s v="A"/>
    <s v="A"/>
    <s v="A"/>
    <n v="1"/>
    <x v="3"/>
    <n v="0"/>
    <s v="—"/>
    <s v="Sem ação — manter o design."/>
    <n v="38.809999999999995"/>
    <n v="1"/>
    <n v="1"/>
    <n v="1"/>
    <n v="38.809999999999995"/>
    <n v="1"/>
    <s v="A"/>
    <x v="3"/>
    <s v="—"/>
    <x v="0"/>
    <s v="Sim"/>
    <n v="0.5"/>
    <n v="0"/>
    <n v="0.31853785900783288"/>
    <s v="Outras embalagens de plástico"/>
    <n v="0.35"/>
    <n v="3.1462140992167098E-2"/>
    <s v="Não"/>
    <x v="1"/>
    <n v="92140"/>
    <n v="12"/>
    <s v="ES; FR; IT; PL; PT"/>
    <n v="2248.2159999999999"/>
    <n v="12"/>
    <n v="2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25"/>
    <s v="FR-007-rPET-350"/>
    <s v="Frasco"/>
    <x v="0"/>
    <s v="Contacto direto com cosmético/higiene"/>
    <s v="Injeção-sopro (ISBM)"/>
    <s v="FAM-11"/>
    <n v="350"/>
    <n v="121"/>
    <x v="2"/>
    <s v="PET"/>
    <x v="1"/>
    <s v="PET — garrafas/frascos transparentes incolores"/>
    <s v="Natural (Uncolored)"/>
    <x v="1"/>
    <s v="No Masterbatch"/>
    <n v="0"/>
    <n v="1.38"/>
    <s v="Nenhuma"/>
    <n v="24.4"/>
    <s v="Estimada (22 g a 300 ml, escala ^2/3)"/>
    <s v="TR-001-PP-24410"/>
    <s v="PP"/>
    <s v="PP"/>
    <n v="10.3"/>
    <s v="Sem vedante"/>
    <s v="Sem rótulo"/>
    <s v="Sem adesivo"/>
    <n v="0"/>
    <n v="0"/>
    <s v="Sem rótulo (decoração direta Plasticom)"/>
    <x v="0"/>
    <n v="1"/>
    <s v="Serigrafia 1–2 cores"/>
    <n v="0.08"/>
    <s v="A"/>
    <s v="A"/>
    <s v="A"/>
    <s v="A"/>
    <s v="A"/>
    <s v="A"/>
    <s v="A"/>
    <s v="A"/>
    <s v="A"/>
    <s v="D"/>
    <n v="4"/>
    <x v="1"/>
    <n v="0"/>
    <s v="Decoracao"/>
    <s v="Rótulo de PE/PP ou tinta destintável em lavagem alcalina (validar)."/>
    <n v="34.78"/>
    <n v="1"/>
    <n v="1"/>
    <n v="1"/>
    <n v="34.700000000000003"/>
    <n v="0.99769982748706154"/>
    <s v="A"/>
    <x v="1"/>
    <s v="—"/>
    <x v="1"/>
    <s v="Não"/>
    <n v="0.5"/>
    <n v="0"/>
    <n v="0.35158501440922185"/>
    <s v="Outras embalagens de plástico"/>
    <n v="0.35"/>
    <n v="0"/>
    <s v="Sim"/>
    <x v="1"/>
    <n v="152719"/>
    <n v="11"/>
    <s v="DE; ES; IT; PL; PT"/>
    <n v="3726.3435999999997"/>
    <n v="12"/>
    <n v="2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26"/>
    <s v="FR-009-rPET-350"/>
    <s v="Frasco"/>
    <x v="0"/>
    <s v="Contacto direto com cosmético/higiene"/>
    <s v="Injeção-sopro (ISBM)"/>
    <s v="FAM-11"/>
    <n v="350"/>
    <n v="121"/>
    <x v="2"/>
    <s v="PET"/>
    <x v="1"/>
    <s v="PET — garrafas/frascos transparentes incolores"/>
    <s v="Natural (Uncolored)"/>
    <x v="1"/>
    <s v="No Masterbatch"/>
    <n v="0"/>
    <n v="1.38"/>
    <s v="Nenhuma"/>
    <n v="24.4"/>
    <s v="Estimada (22 g a 300 ml, escala ^2/3)"/>
    <s v="TR-001-PP-24410"/>
    <s v="PP"/>
    <s v="PP"/>
    <n v="10.3"/>
    <s v="Sem vedante"/>
    <s v="Sem rótulo"/>
    <s v="Sem adesivo"/>
    <n v="0"/>
    <n v="0"/>
    <s v="Sem rótulo (decoração direta Plasticom)"/>
    <x v="2"/>
    <n v="1"/>
    <s v="Hot foil metalizado"/>
    <n v="0.03"/>
    <s v="A"/>
    <s v="A"/>
    <s v="A"/>
    <s v="A"/>
    <s v="A"/>
    <s v="A"/>
    <s v="A"/>
    <s v="A"/>
    <s v="A"/>
    <s v="D"/>
    <n v="4"/>
    <x v="1"/>
    <n v="0"/>
    <s v="Decoracao"/>
    <s v="Rótulo metalizado de PE/PP destacável."/>
    <n v="34.730000000000004"/>
    <n v="1"/>
    <n v="1"/>
    <n v="1"/>
    <n v="34.700000000000003"/>
    <n v="0.99913619349265759"/>
    <s v="A"/>
    <x v="1"/>
    <s v="—"/>
    <x v="1"/>
    <s v="Não"/>
    <n v="0.5"/>
    <n v="0"/>
    <n v="0.35158501440922185"/>
    <s v="Outras embalagens de plástico"/>
    <n v="0.35"/>
    <n v="0"/>
    <s v="Sim"/>
    <x v="1"/>
    <n v="41788"/>
    <n v="9"/>
    <s v="DE; ES; FR; PL; PT"/>
    <n v="1019.6271999999999"/>
    <n v="12"/>
    <n v="2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27"/>
    <s v="FR-010-PET-400"/>
    <s v="Frasco"/>
    <x v="0"/>
    <s v="Contacto direto com cosmético/higiene"/>
    <s v="Injeção-sopro (ISBM)"/>
    <s v="FAM-10"/>
    <n v="400"/>
    <n v="127"/>
    <x v="4"/>
    <s v="PET"/>
    <x v="1"/>
    <s v="PET — garrafas/frascos transparentes incolores"/>
    <s v="Natural (Uncolored)"/>
    <x v="1"/>
    <s v="No Masterbatch"/>
    <n v="0"/>
    <n v="1.38"/>
    <s v="Nenhuma"/>
    <n v="26.7"/>
    <s v="Estimada (22 g a 300 ml, escala ^2/3)"/>
    <s v="TF-007-PP-28410"/>
    <s v="PP"/>
    <s v="PP"/>
    <n v="19.3"/>
    <s v="Sem vedante"/>
    <s v="Sem rótulo"/>
    <s v="Sem adesivo"/>
    <n v="0"/>
    <n v="0"/>
    <s v="Sem rótulo (decoração direta Plasticom)"/>
    <x v="2"/>
    <n v="1"/>
    <s v="Hot foil metalizado"/>
    <n v="0.03"/>
    <s v="A"/>
    <s v="A"/>
    <s v="A"/>
    <s v="A"/>
    <s v="A"/>
    <s v="A"/>
    <s v="A"/>
    <s v="A"/>
    <s v="A"/>
    <s v="D"/>
    <n v="4"/>
    <x v="1"/>
    <n v="0"/>
    <s v="Decoracao"/>
    <s v="Rótulo metalizado de PE/PP destacável."/>
    <n v="46.03"/>
    <n v="1"/>
    <n v="1"/>
    <n v="1"/>
    <n v="46"/>
    <n v="0.99934825114056047"/>
    <s v="A"/>
    <x v="1"/>
    <s v="—"/>
    <x v="1"/>
    <s v="Não"/>
    <n v="0"/>
    <n v="0"/>
    <n v="0"/>
    <s v="Outras embalagens de plástico"/>
    <n v="0.35"/>
    <n v="0.35"/>
    <s v="Não"/>
    <x v="1"/>
    <n v="477793"/>
    <n v="14"/>
    <s v="DE; ES; FR; IT; PL; PT"/>
    <n v="12757.0731"/>
    <n v="12"/>
    <n v="2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28"/>
    <s v="FR-014-HDPE-500"/>
    <s v="Frasco"/>
    <x v="0"/>
    <s v="Contacto direto com cosmético/higiene"/>
    <s v="Injeção-sopro (ISBM)"/>
    <s v="FAM-01"/>
    <n v="500"/>
    <n v="137"/>
    <x v="0"/>
    <s v="PE"/>
    <x v="0"/>
    <s v="PE rígido — frascos e contentores (HDPE/LDPE)"/>
    <s v="Translucent Amber"/>
    <x v="0"/>
    <s v="Amber Masterbatch"/>
    <n v="1.4999999999999999E-2"/>
    <n v="0.97299999999999998"/>
    <s v="Nenhuma"/>
    <n v="30.9"/>
    <s v="Estimada (22 g a 300 ml, escala ^2/3)"/>
    <s v="TF-007-HDPE-28410"/>
    <s v="HDPE"/>
    <s v="PE"/>
    <n v="21.4"/>
    <s v="Sem vedante"/>
    <s v="Autoadesivo PE/PP"/>
    <s v="Acrílico permanente"/>
    <n v="0.4"/>
    <n v="0.64"/>
    <s v="Cenário típico do cliente — confirmar especificação"/>
    <x v="1"/>
    <n v="0"/>
    <s v="Nenhuma"/>
    <n v="0"/>
    <s v="A"/>
    <s v="B"/>
    <s v="A"/>
    <s v="A"/>
    <s v="A"/>
    <s v="A"/>
    <s v="A"/>
    <s v="A"/>
    <s v="A"/>
    <s v="A"/>
    <n v="2"/>
    <x v="0"/>
    <n v="0"/>
    <s v="Cor"/>
    <s v="Preferir natural, branco ou cores claras."/>
    <n v="52.94"/>
    <n v="1"/>
    <n v="1"/>
    <n v="1"/>
    <n v="52.94"/>
    <n v="1"/>
    <s v="A"/>
    <x v="0"/>
    <s v="—"/>
    <x v="0"/>
    <s v="Sim"/>
    <n v="0"/>
    <n v="0"/>
    <n v="0"/>
    <s v="Outras embalagens de plástico"/>
    <n v="0.35"/>
    <n v="0.35"/>
    <s v="Não"/>
    <x v="0"/>
    <n v="67121"/>
    <n v="9"/>
    <s v="ES; FR; IT; PL; PT"/>
    <n v="2074.0389"/>
    <n v="12"/>
    <n v="1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29"/>
    <s v="FR-013-HDPE-500"/>
    <s v="Frasco"/>
    <x v="0"/>
    <s v="Contacto direto com cosmético/higiene"/>
    <s v="Injeção-sopro (ISBM)"/>
    <s v="FAM-01"/>
    <n v="500"/>
    <n v="137"/>
    <x v="0"/>
    <s v="PE"/>
    <x v="0"/>
    <s v="PE rígido — frascos e contentores (HDPE/LDPE)"/>
    <s v="Graphite Gray"/>
    <x v="2"/>
    <s v="Gray Masterbatch"/>
    <n v="0.02"/>
    <n v="0.97899999999999998"/>
    <s v="Nenhuma"/>
    <n v="30.9"/>
    <s v="Estimada (22 g a 300 ml, escala ^2/3)"/>
    <s v="TR-004-HDPE-28410"/>
    <s v="HDPE"/>
    <s v="PE"/>
    <n v="15.9"/>
    <s v="Sem vedante"/>
    <s v="Sem rótulo"/>
    <s v="Sem adesivo"/>
    <n v="0"/>
    <n v="0"/>
    <s v="Sem rótulo (decoração direta Plasticom)"/>
    <x v="0"/>
    <n v="3"/>
    <s v="Serigrafia ≥ 3 cores"/>
    <n v="0.24"/>
    <s v="A"/>
    <s v="B"/>
    <s v="A"/>
    <s v="A"/>
    <s v="A"/>
    <s v="A"/>
    <s v="A"/>
    <s v="A"/>
    <s v="A"/>
    <s v="C"/>
    <n v="3"/>
    <x v="2"/>
    <n v="0"/>
    <s v="Decoracao"/>
    <s v="Reduzir cores/área ou passar a rótulo de PE/PP."/>
    <n v="47.04"/>
    <n v="1"/>
    <n v="1"/>
    <n v="1"/>
    <n v="46.8"/>
    <n v="0.99489795918367341"/>
    <s v="A"/>
    <x v="2"/>
    <s v="—"/>
    <x v="0"/>
    <s v="Não"/>
    <n v="0"/>
    <n v="0"/>
    <n v="0"/>
    <s v="Outras embalagens de plástico"/>
    <n v="0.35"/>
    <n v="0.35"/>
    <s v="Não"/>
    <x v="0"/>
    <n v="113538"/>
    <n v="12"/>
    <s v="DE; ES; FR; IT; PL; PT"/>
    <n v="3508.3241999999996"/>
    <n v="12"/>
    <n v="1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30"/>
    <s v="FR-015-HDPE-500"/>
    <s v="Frasco"/>
    <x v="0"/>
    <s v="Contacto direto com cosmético/higiene"/>
    <s v="Injeção-sopro (ISBM)"/>
    <s v="FAM-01"/>
    <n v="500"/>
    <n v="137"/>
    <x v="0"/>
    <s v="PE"/>
    <x v="0"/>
    <s v="PE rígido — frascos e contentores (HDPE/LDPE)"/>
    <s v="Cobalt Blue"/>
    <x v="0"/>
    <s v="Blue Masterbatch"/>
    <n v="0.02"/>
    <n v="0.97899999999999998"/>
    <s v="Nenhuma"/>
    <n v="30.9"/>
    <s v="Estimada (22 g a 300 ml, escala ^2/3)"/>
    <s v="TR-004-HDPE-28410"/>
    <s v="HDPE"/>
    <s v="PE"/>
    <n v="15.9"/>
    <s v="Sem vedante"/>
    <s v="Sem rótulo"/>
    <s v="Sem adesivo"/>
    <n v="0"/>
    <n v="0"/>
    <s v="Sem rótulo (decoração direta Plasticom)"/>
    <x v="2"/>
    <n v="1"/>
    <s v="Hot foil metalizado"/>
    <n v="0.03"/>
    <s v="A"/>
    <s v="B"/>
    <s v="A"/>
    <s v="A"/>
    <s v="A"/>
    <s v="A"/>
    <s v="A"/>
    <s v="A"/>
    <s v="A"/>
    <s v="C"/>
    <n v="3"/>
    <x v="2"/>
    <n v="0"/>
    <s v="Decoracao"/>
    <s v="Reduzir a área de hot foil ou usar rótulo metalizado destacável."/>
    <n v="46.83"/>
    <n v="1"/>
    <n v="1"/>
    <n v="1"/>
    <n v="46.8"/>
    <n v="0.99935938500960919"/>
    <s v="A"/>
    <x v="2"/>
    <s v="—"/>
    <x v="0"/>
    <s v="Não"/>
    <n v="0"/>
    <n v="0"/>
    <n v="0"/>
    <s v="Outras embalagens de plástico"/>
    <n v="0.35"/>
    <n v="0.35"/>
    <s v="Não"/>
    <x v="0"/>
    <n v="109773"/>
    <n v="13"/>
    <s v="DE; ES; FR; IT; PL; PT"/>
    <n v="3391.9856999999997"/>
    <n v="12"/>
    <n v="1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31"/>
    <s v="FR-014-HDPE-PCR-500"/>
    <s v="Frasco"/>
    <x v="0"/>
    <s v="Contacto direto com cosmético/higiene"/>
    <s v="Injeção-sopro (ISBM)"/>
    <s v="FAM-02"/>
    <n v="500"/>
    <n v="137"/>
    <x v="1"/>
    <s v="PE"/>
    <x v="0"/>
    <s v="PE rígido — frascos e contentores (HDPE/LDPE)"/>
    <s v="Graphite Gray"/>
    <x v="2"/>
    <s v="Gray Masterbatch"/>
    <n v="0.02"/>
    <n v="0.98399999999999999"/>
    <s v="Nenhuma"/>
    <n v="30.9"/>
    <s v="Estimada (22 g a 300 ml, escala ^2/3)"/>
    <s v="TF-007-PP-PCR-28410"/>
    <s v="PP-PCR"/>
    <s v="PP"/>
    <n v="19.3"/>
    <s v="Sem vedante"/>
    <s v="Autoadesivo PE/PP"/>
    <s v="Acrílico permanente"/>
    <n v="0.4"/>
    <n v="0.64"/>
    <s v="Cenário típico do cliente — confirmar especificação"/>
    <x v="1"/>
    <n v="0"/>
    <s v="Nenhuma"/>
    <n v="0"/>
    <s v="A"/>
    <s v="B"/>
    <s v="A"/>
    <s v="A"/>
    <s v="A"/>
    <s v="A"/>
    <s v="A"/>
    <s v="A"/>
    <s v="A"/>
    <s v="A"/>
    <n v="2"/>
    <x v="0"/>
    <n v="0"/>
    <s v="Cor"/>
    <s v="Preferir cores claras."/>
    <n v="50.84"/>
    <n v="1"/>
    <n v="1"/>
    <n v="1"/>
    <n v="50.84"/>
    <n v="1"/>
    <s v="A"/>
    <x v="0"/>
    <s v="—"/>
    <x v="0"/>
    <s v="Sim"/>
    <n v="0.3"/>
    <n v="0.3"/>
    <n v="0.29999999999999993"/>
    <s v="Outras embalagens de plástico"/>
    <n v="0.35"/>
    <n v="5.0000000000000044E-2"/>
    <s v="Não"/>
    <x v="0"/>
    <n v="89754"/>
    <n v="10"/>
    <s v="DE; IT; PL; PT"/>
    <n v="2773.3986"/>
    <n v="12"/>
    <n v="1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32"/>
    <s v="FR-013-HDPE-PCR-500"/>
    <s v="Frasco"/>
    <x v="0"/>
    <s v="Contacto direto com cosmético/higiene"/>
    <s v="Injeção-sopro (ISBM)"/>
    <s v="FAM-02"/>
    <n v="500"/>
    <n v="137"/>
    <x v="1"/>
    <s v="PE"/>
    <x v="0"/>
    <s v="PE rígido — frascos e contentores (HDPE/LDPE)"/>
    <s v="Cobalt Blue"/>
    <x v="0"/>
    <s v="Blue Masterbatch"/>
    <n v="0.02"/>
    <n v="0.98399999999999999"/>
    <s v="Nenhuma"/>
    <n v="30.9"/>
    <s v="Estimada (22 g a 300 ml, escala ^2/3)"/>
    <s v="TR-004-PP-PCR-28410"/>
    <s v="PP-PCR"/>
    <s v="PP"/>
    <n v="14.3"/>
    <s v="Sem vedante"/>
    <s v="Autoadesivo PE/PP"/>
    <s v="Acrílico permanente"/>
    <n v="0.4"/>
    <n v="0.64"/>
    <s v="Cenário típico do cliente — confirmar especificação"/>
    <x v="1"/>
    <n v="0"/>
    <s v="Nenhuma"/>
    <n v="0"/>
    <s v="A"/>
    <s v="B"/>
    <s v="A"/>
    <s v="A"/>
    <s v="A"/>
    <s v="A"/>
    <s v="A"/>
    <s v="A"/>
    <s v="A"/>
    <s v="A"/>
    <n v="2"/>
    <x v="0"/>
    <n v="0"/>
    <s v="Cor"/>
    <s v="Preferir natural, branco ou cores claras."/>
    <n v="45.84"/>
    <n v="1"/>
    <n v="1"/>
    <n v="1"/>
    <n v="45.84"/>
    <n v="1"/>
    <s v="A"/>
    <x v="0"/>
    <s v="—"/>
    <x v="0"/>
    <s v="Sim"/>
    <n v="0.3"/>
    <n v="0.3"/>
    <n v="0.29999999999999993"/>
    <s v="Outras embalagens de plástico"/>
    <n v="0.35"/>
    <n v="5.0000000000000044E-2"/>
    <s v="Não"/>
    <x v="0"/>
    <n v="67502"/>
    <n v="7"/>
    <s v="DE; ES; FR; PT"/>
    <n v="2085.8117999999999"/>
    <n v="12"/>
    <n v="1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33"/>
    <s v="FR-015-HDPE-PCR-500"/>
    <s v="Frasco"/>
    <x v="0"/>
    <s v="Contacto direto com cosmético/higiene"/>
    <s v="Injeção-sopro (ISBM)"/>
    <s v="FAM-02"/>
    <n v="500"/>
    <n v="137"/>
    <x v="1"/>
    <s v="PE"/>
    <x v="0"/>
    <s v="PE rígido — frascos e contentores (HDPE/LDPE)"/>
    <s v="Emerald Green"/>
    <x v="0"/>
    <s v="Green Masterbatch"/>
    <n v="0.02"/>
    <n v="0.98399999999999999"/>
    <s v="Nenhuma"/>
    <n v="30.9"/>
    <s v="Estimada (22 g a 300 ml, escala ^2/3)"/>
    <s v="TR-004-PP-PCR-28410"/>
    <s v="PP-PCR"/>
    <s v="PP"/>
    <n v="14.3"/>
    <s v="Sem vedante"/>
    <s v="Autoadesivo PE/PP"/>
    <s v="Acrílico permanente"/>
    <n v="0.4"/>
    <n v="0.64"/>
    <s v="Cenário típico do cliente — confirmar especificação"/>
    <x v="1"/>
    <n v="0"/>
    <s v="Nenhuma"/>
    <n v="0"/>
    <s v="A"/>
    <s v="B"/>
    <s v="A"/>
    <s v="A"/>
    <s v="A"/>
    <s v="A"/>
    <s v="A"/>
    <s v="A"/>
    <s v="A"/>
    <s v="A"/>
    <n v="2"/>
    <x v="0"/>
    <n v="0"/>
    <s v="Cor"/>
    <s v="Preferir natural, branco ou cores claras."/>
    <n v="45.84"/>
    <n v="1"/>
    <n v="1"/>
    <n v="1"/>
    <n v="45.84"/>
    <n v="1"/>
    <s v="A"/>
    <x v="0"/>
    <s v="—"/>
    <x v="0"/>
    <s v="Sim"/>
    <n v="0.3"/>
    <n v="0.3"/>
    <n v="0.29999999999999993"/>
    <s v="Outras embalagens de plástico"/>
    <n v="0.35"/>
    <n v="5.0000000000000044E-2"/>
    <s v="Não"/>
    <x v="0"/>
    <n v="69434"/>
    <n v="13"/>
    <s v="DE; ES; IT; PL; PT"/>
    <n v="2145.5106000000001"/>
    <n v="12"/>
    <n v="1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34"/>
    <s v="FR-013-LDPE-500"/>
    <s v="Frasco"/>
    <x v="0"/>
    <s v="Contacto direto com cosmético/higiene"/>
    <s v="Injeção-sopro (ISBM)"/>
    <s v="FAM-04"/>
    <n v="500"/>
    <n v="137"/>
    <x v="3"/>
    <s v="PE"/>
    <x v="0"/>
    <s v="PE rígido — frascos e contentores (HDPE/LDPE)"/>
    <s v="Graphite Gray"/>
    <x v="2"/>
    <s v="Gray Masterbatch"/>
    <n v="0.02"/>
    <n v="0.94399999999999995"/>
    <s v="Nenhuma"/>
    <n v="30.9"/>
    <s v="Estimada (22 g a 300 ml, escala ^2/3)"/>
    <s v="TR-004-HDPE-28410"/>
    <s v="HDPE"/>
    <s v="PE"/>
    <n v="15.9"/>
    <s v="Sem vedante"/>
    <s v="Sem rótulo"/>
    <s v="Sem adesivo"/>
    <n v="0"/>
    <n v="0"/>
    <s v="Sem rótulo (decoração direta Plasticom)"/>
    <x v="2"/>
    <n v="1"/>
    <s v="Hot foil metalizado"/>
    <n v="0.03"/>
    <s v="A"/>
    <s v="B"/>
    <s v="A"/>
    <s v="A"/>
    <s v="A"/>
    <s v="A"/>
    <s v="A"/>
    <s v="A"/>
    <s v="A"/>
    <s v="C"/>
    <n v="3"/>
    <x v="2"/>
    <n v="0"/>
    <s v="Decoracao"/>
    <s v="Reduzir a área de hot foil ou usar rótulo metalizado destacável."/>
    <n v="46.83"/>
    <n v="1"/>
    <n v="1"/>
    <n v="1"/>
    <n v="46.8"/>
    <n v="0.99935938500960919"/>
    <s v="A"/>
    <x v="2"/>
    <s v="—"/>
    <x v="0"/>
    <s v="Não"/>
    <n v="0"/>
    <n v="0"/>
    <n v="0"/>
    <s v="Outras embalagens de plástico"/>
    <n v="0.35"/>
    <n v="0.35"/>
    <s v="Não"/>
    <x v="0"/>
    <n v="43176"/>
    <n v="4"/>
    <s v="DE; PT"/>
    <n v="1334.1383999999998"/>
    <n v="12"/>
    <n v="1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35"/>
    <s v="FR-013-MDPE-500"/>
    <s v="Frasco"/>
    <x v="0"/>
    <s v="Contacto direto com cosmético/higiene"/>
    <s v="Injeção-sopro (ISBM)"/>
    <s v="FAM-03"/>
    <n v="500"/>
    <n v="137"/>
    <x v="9"/>
    <s v="PE"/>
    <x v="0"/>
    <s v="PE rígido — frascos e contentores (HDPE/LDPE)"/>
    <s v="Matte Black"/>
    <x v="4"/>
    <s v="Black Masterbatch (Carbon Black)"/>
    <n v="0.02"/>
    <n v="0.95899999999999996"/>
    <s v="Nenhuma"/>
    <n v="30.9"/>
    <s v="Estimada (22 g a 300 ml, escala ^2/3)"/>
    <s v="TR-004-HDPE-28410"/>
    <s v="HDPE"/>
    <s v="PE"/>
    <n v="15.9"/>
    <s v="Sem vedante"/>
    <s v="Sem rótulo"/>
    <s v="Sem adesivo"/>
    <n v="0"/>
    <n v="0"/>
    <s v="Sem rótulo (decoração direta Plasticom)"/>
    <x v="2"/>
    <n v="1"/>
    <s v="Hot foil metalizado"/>
    <n v="0.03"/>
    <s v="A"/>
    <s v="F"/>
    <s v="A"/>
    <s v="A"/>
    <s v="A"/>
    <s v="A"/>
    <s v="A"/>
    <s v="A"/>
    <s v="A"/>
    <s v="C"/>
    <n v="6"/>
    <x v="4"/>
    <n v="0"/>
    <s v="Cor"/>
    <s v="Substituir o masterbatch por preto detetável por NIR (pigmentos sem negro de carbono)."/>
    <n v="46.83"/>
    <n v="0"/>
    <n v="1"/>
    <n v="1"/>
    <n v="0"/>
    <n v="0"/>
    <s v="&lt; 70%"/>
    <x v="4"/>
    <s v="—"/>
    <x v="1"/>
    <s v="Não"/>
    <n v="0"/>
    <n v="0"/>
    <n v="0"/>
    <s v="Outras embalagens de plástico"/>
    <n v="0.35"/>
    <n v="0.35"/>
    <s v="Não"/>
    <x v="0"/>
    <n v="38080"/>
    <n v="7"/>
    <s v="DE; ES; PL; PT"/>
    <n v="1176.672"/>
    <n v="12"/>
    <n v="2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36"/>
    <s v="FR-013-PET-500"/>
    <s v="Frasco"/>
    <x v="0"/>
    <s v="Contacto direto com cosmético/higiene"/>
    <s v="Injeção-sopro (ISBM)"/>
    <s v="FAM-10"/>
    <n v="500"/>
    <n v="137"/>
    <x v="4"/>
    <s v="PET"/>
    <x v="1"/>
    <s v="PET — garrafas/frascos transparentes incolores"/>
    <s v="Natural (Uncolored)"/>
    <x v="1"/>
    <s v="No Masterbatch"/>
    <n v="0"/>
    <n v="1.38"/>
    <s v="Nenhuma"/>
    <n v="30.9"/>
    <s v="Estimada (22 g a 300 ml, escala ^2/3)"/>
    <s v="TR-004-PP-28410"/>
    <s v="PP"/>
    <s v="PP"/>
    <n v="14.3"/>
    <s v="Sem vedante"/>
    <s v="Autoadesivo PE/PP"/>
    <s v="Acrílico permanente"/>
    <n v="0.4"/>
    <n v="0.64"/>
    <s v="Cenário típico do cliente — confirmar especificação"/>
    <x v="1"/>
    <n v="0"/>
    <s v="Nenhuma"/>
    <n v="0"/>
    <s v="A"/>
    <s v="A"/>
    <s v="A"/>
    <s v="A"/>
    <s v="A"/>
    <s v="A"/>
    <s v="A"/>
    <s v="C"/>
    <s v="A"/>
    <s v="A"/>
    <n v="3"/>
    <x v="2"/>
    <n v="0"/>
    <s v="Adesivo"/>
    <s v="Exigir ao cliente adesivo lavável a 80 °C (teste de lavabilidade)."/>
    <n v="45.84"/>
    <n v="1"/>
    <n v="1"/>
    <n v="1"/>
    <n v="45.84"/>
    <n v="1"/>
    <s v="A"/>
    <x v="2"/>
    <s v="—"/>
    <x v="0"/>
    <s v="Não"/>
    <n v="0"/>
    <n v="0"/>
    <n v="0"/>
    <s v="Outras embalagens de plástico"/>
    <n v="0.35"/>
    <n v="0.35"/>
    <s v="Não"/>
    <x v="1"/>
    <n v="58718"/>
    <n v="8"/>
    <s v="DE; ES; PL; PT"/>
    <n v="1814.3861999999999"/>
    <n v="12"/>
    <n v="1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37"/>
    <s v="FR-014-PETG-500"/>
    <s v="Frasco"/>
    <x v="0"/>
    <s v="Contacto direto com cosmético/higiene"/>
    <s v="Injeção-sopro (ISBM)"/>
    <s v="FAM-13"/>
    <n v="500"/>
    <n v="137"/>
    <x v="5"/>
    <s v="PETG"/>
    <x v="2"/>
    <s v="Sem categoria RecyClass (PETG)"/>
    <s v="Natural (Uncolored)"/>
    <x v="1"/>
    <s v="No Masterbatch"/>
    <n v="0"/>
    <n v="1.27"/>
    <s v="Nenhuma"/>
    <n v="30.9"/>
    <s v="Estimada (22 g a 300 ml, escala ^2/3)"/>
    <s v="TR-004-PETG-28410"/>
    <s v="PETG"/>
    <s v="PETG"/>
    <n v="16.7"/>
    <s v="Sem vedante"/>
    <s v="Sem rótulo"/>
    <s v="Sem adesivo"/>
    <n v="0"/>
    <n v="0"/>
    <s v="Sem rótulo (decoração direta Plasticom)"/>
    <x v="2"/>
    <n v="1"/>
    <s v="Hot foil metalizado"/>
    <n v="0.03"/>
    <s v="F"/>
    <s v="—"/>
    <s v="—"/>
    <s v="—"/>
    <s v="—"/>
    <s v="—"/>
    <s v="—"/>
    <s v="—"/>
    <s v="—"/>
    <s v="—"/>
    <n v="6"/>
    <x v="4"/>
    <n v="0"/>
    <s v="Fluxo"/>
    <s v="Mudar o corpo para PET (ou PP/PE) — PETG não passa a grau C em 2030."/>
    <n v="47.629999999999995"/>
    <n v="0"/>
    <n v="0"/>
    <n v="0"/>
    <n v="0"/>
    <n v="0"/>
    <s v="&lt; 70%"/>
    <x v="4"/>
    <s v="—"/>
    <x v="1"/>
    <s v="Não"/>
    <n v="0"/>
    <n v="0"/>
    <n v="0"/>
    <s v="Outras embalagens de plástico"/>
    <n v="0.35"/>
    <n v="0.35"/>
    <s v="Não"/>
    <x v="0"/>
    <n v="29720"/>
    <n v="6"/>
    <s v="DE; ES; IT; PL; PT"/>
    <n v="918.34799999999996"/>
    <n v="12"/>
    <n v="4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38"/>
    <s v="FR-015-PETG-500"/>
    <s v="Frasco"/>
    <x v="0"/>
    <s v="Contacto direto com cosmético/higiene"/>
    <s v="Injeção-sopro (ISBM)"/>
    <s v="FAM-13"/>
    <n v="500"/>
    <n v="137"/>
    <x v="5"/>
    <s v="PETG"/>
    <x v="2"/>
    <s v="Sem categoria RecyClass (PETG)"/>
    <s v="Natural (Uncolored)"/>
    <x v="1"/>
    <s v="No Masterbatch"/>
    <n v="0"/>
    <n v="1.27"/>
    <s v="Nenhuma"/>
    <n v="30.9"/>
    <s v="Estimada (22 g a 300 ml, escala ^2/3)"/>
    <s v="TR-004-PETG-28410"/>
    <s v="PETG"/>
    <s v="PETG"/>
    <n v="16.7"/>
    <s v="Sem vedante"/>
    <s v="Sem rótulo"/>
    <s v="Sem adesivo"/>
    <n v="0"/>
    <n v="0"/>
    <s v="Sem rótulo (decoração direta Plasticom)"/>
    <x v="2"/>
    <n v="1"/>
    <s v="Hot foil metalizado"/>
    <n v="0.03"/>
    <s v="F"/>
    <s v="—"/>
    <s v="—"/>
    <s v="—"/>
    <s v="—"/>
    <s v="—"/>
    <s v="—"/>
    <s v="—"/>
    <s v="—"/>
    <s v="—"/>
    <n v="6"/>
    <x v="4"/>
    <n v="0"/>
    <s v="Fluxo"/>
    <s v="Mudar o corpo para PET (ou PP/PE) — PETG não passa a grau C em 2030."/>
    <n v="47.629999999999995"/>
    <n v="0"/>
    <n v="0"/>
    <n v="0"/>
    <n v="0"/>
    <n v="0"/>
    <s v="&lt; 70%"/>
    <x v="4"/>
    <s v="—"/>
    <x v="1"/>
    <s v="Não"/>
    <n v="0"/>
    <n v="0"/>
    <n v="0"/>
    <s v="Outras embalagens de plástico"/>
    <n v="0.35"/>
    <n v="0.35"/>
    <s v="Não"/>
    <x v="0"/>
    <n v="70037"/>
    <n v="10"/>
    <s v="DE; ES; FR; IT; PT"/>
    <n v="2164.1432999999997"/>
    <n v="12"/>
    <n v="4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39"/>
    <s v="FR-014-PP-500"/>
    <s v="Frasco"/>
    <x v="0"/>
    <s v="Contacto direto com cosmético/higiene"/>
    <s v="Injeção-sopro (ISBM)"/>
    <s v="FAM-06"/>
    <n v="500"/>
    <n v="137"/>
    <x v="6"/>
    <s v="PP"/>
    <x v="3"/>
    <s v="PP rígido — frascos, potes e contentores"/>
    <s v="Opaque White"/>
    <x v="3"/>
    <s v="White Masterbatch (TiO2)"/>
    <n v="2.5000000000000001E-2"/>
    <n v="0.93500000000000005"/>
    <s v="Nenhuma"/>
    <n v="30.9"/>
    <s v="Estimada (22 g a 300 ml, escala ^2/3)"/>
    <s v="TF-007-PP-28410"/>
    <s v="PP"/>
    <s v="PP"/>
    <n v="19.3"/>
    <s v="Sem vedante"/>
    <s v="Autoadesivo PE/PP"/>
    <s v="Acrílico permanente"/>
    <n v="0.4"/>
    <n v="0.64"/>
    <s v="Cenário típico do cliente — confirmar especificação"/>
    <x v="1"/>
    <n v="0"/>
    <s v="Nenhuma"/>
    <n v="0"/>
    <s v="A"/>
    <s v="A"/>
    <s v="A"/>
    <s v="A"/>
    <s v="A"/>
    <s v="A"/>
    <s v="A"/>
    <s v="A"/>
    <s v="A"/>
    <s v="A"/>
    <n v="1"/>
    <x v="3"/>
    <n v="0"/>
    <s v="—"/>
    <s v="Sem ação — manter o design."/>
    <n v="50.84"/>
    <n v="1"/>
    <n v="1"/>
    <n v="1"/>
    <n v="50.84"/>
    <n v="1"/>
    <s v="A"/>
    <x v="3"/>
    <s v="—"/>
    <x v="0"/>
    <s v="Sim"/>
    <n v="0"/>
    <n v="0"/>
    <n v="0"/>
    <s v="Outras embalagens de plástico"/>
    <n v="0.35"/>
    <n v="0.35"/>
    <s v="Não"/>
    <x v="0"/>
    <n v="95722"/>
    <n v="13"/>
    <s v="DE; ES; FR; IT; PL; PT"/>
    <n v="2957.8098"/>
    <n v="12"/>
    <n v="1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40"/>
    <s v="FR-013-PP-500"/>
    <s v="Frasco"/>
    <x v="0"/>
    <s v="Contacto direto com cosmético/higiene"/>
    <s v="Injeção-sopro (ISBM)"/>
    <s v="FAM-06"/>
    <n v="500"/>
    <n v="137"/>
    <x v="6"/>
    <s v="PP"/>
    <x v="3"/>
    <s v="PP rígido — frascos, potes e contentores"/>
    <s v="Matte Black"/>
    <x v="4"/>
    <s v="Black Masterbatch (Carbon Black)"/>
    <n v="0.02"/>
    <n v="0.92900000000000005"/>
    <s v="Nenhuma"/>
    <n v="30.9"/>
    <s v="Estimada (22 g a 300 ml, escala ^2/3)"/>
    <s v="TR-004-PP-28410"/>
    <s v="PP"/>
    <s v="PP"/>
    <n v="14.3"/>
    <s v="Sem vedante"/>
    <s v="Sem rótulo"/>
    <s v="Sem adesivo"/>
    <n v="0"/>
    <n v="0"/>
    <s v="Sem rótulo (decoração direta Plasticom)"/>
    <x v="0"/>
    <n v="1"/>
    <s v="Serigrafia 1–2 cores"/>
    <n v="0.08"/>
    <s v="A"/>
    <s v="F"/>
    <s v="A"/>
    <s v="A"/>
    <s v="A"/>
    <s v="A"/>
    <s v="A"/>
    <s v="A"/>
    <s v="A"/>
    <s v="B"/>
    <n v="6"/>
    <x v="4"/>
    <n v="0"/>
    <s v="Cor"/>
    <s v="Substituir o masterbatch por preto detetável por NIR (pigmentos sem negro de carbono)."/>
    <n v="45.28"/>
    <n v="0"/>
    <n v="1"/>
    <n v="1"/>
    <n v="0"/>
    <n v="0"/>
    <s v="&lt; 70%"/>
    <x v="4"/>
    <s v="—"/>
    <x v="1"/>
    <s v="Não"/>
    <n v="0"/>
    <n v="0"/>
    <n v="0"/>
    <s v="Outras embalagens de plástico"/>
    <n v="0.35"/>
    <n v="0.35"/>
    <s v="Não"/>
    <x v="0"/>
    <n v="49902"/>
    <n v="8"/>
    <s v="DE; ES; FR; IT; PT"/>
    <n v="1541.9717999999998"/>
    <n v="12"/>
    <n v="2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41"/>
    <s v="FR-014-PP-PCR-500"/>
    <s v="Frasco"/>
    <x v="0"/>
    <s v="Contacto direto com cosmético/higiene"/>
    <s v="Injeção-sopro (ISBM)"/>
    <s v="FAM-07"/>
    <n v="500"/>
    <n v="137"/>
    <x v="7"/>
    <s v="PP"/>
    <x v="3"/>
    <s v="PP rígido — frascos, potes e contentores"/>
    <s v="Cobalt Blue"/>
    <x v="0"/>
    <s v="Blue Masterbatch"/>
    <n v="0.02"/>
    <n v="0.93400000000000005"/>
    <s v="Nenhuma"/>
    <n v="30.9"/>
    <s v="Estimada (22 g a 300 ml, escala ^2/3)"/>
    <s v="TF-007-PP-PCR-28410"/>
    <s v="PP-PCR"/>
    <s v="PP"/>
    <n v="19.3"/>
    <s v="Sem vedante"/>
    <s v="Autoadesivo PE/PP"/>
    <s v="Acrílico permanente"/>
    <n v="0.4"/>
    <n v="0.64"/>
    <s v="Cenário típico do cliente — confirmar especificação"/>
    <x v="1"/>
    <n v="0"/>
    <s v="Nenhuma"/>
    <n v="0"/>
    <s v="A"/>
    <s v="B"/>
    <s v="A"/>
    <s v="A"/>
    <s v="A"/>
    <s v="A"/>
    <s v="A"/>
    <s v="A"/>
    <s v="A"/>
    <s v="A"/>
    <n v="2"/>
    <x v="0"/>
    <n v="0"/>
    <s v="Cor"/>
    <s v="Preferir natural, branco ou cores claras."/>
    <n v="50.84"/>
    <n v="1"/>
    <n v="1"/>
    <n v="1"/>
    <n v="50.84"/>
    <n v="1"/>
    <s v="A"/>
    <x v="0"/>
    <s v="—"/>
    <x v="0"/>
    <s v="Sim"/>
    <n v="0.3"/>
    <n v="0.3"/>
    <n v="0.29999999999999993"/>
    <s v="Outras embalagens de plástico"/>
    <n v="0.35"/>
    <n v="5.0000000000000044E-2"/>
    <s v="Não"/>
    <x v="0"/>
    <n v="54546"/>
    <n v="8"/>
    <s v="ES; FR; IT; PT"/>
    <n v="1685.4713999999999"/>
    <n v="12"/>
    <n v="1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42"/>
    <s v="FR-013-PP-PCR-500"/>
    <s v="Frasco"/>
    <x v="0"/>
    <s v="Contacto direto com cosmético/higiene"/>
    <s v="Injeção-sopro (ISBM)"/>
    <s v="FAM-07"/>
    <n v="500"/>
    <n v="137"/>
    <x v="7"/>
    <s v="PP"/>
    <x v="3"/>
    <s v="PP rígido — frascos, potes e contentores"/>
    <s v="Translucent Amber"/>
    <x v="0"/>
    <s v="Amber Masterbatch"/>
    <n v="1.4999999999999999E-2"/>
    <n v="0.92800000000000005"/>
    <s v="Nenhuma"/>
    <n v="30.9"/>
    <s v="Estimada (22 g a 300 ml, escala ^2/3)"/>
    <s v="TR-004-PP-PCR-28410"/>
    <s v="PP-PCR"/>
    <s v="PP"/>
    <n v="14.3"/>
    <s v="Sem vedante"/>
    <s v="Sem rótulo"/>
    <s v="Sem adesivo"/>
    <n v="0"/>
    <n v="0"/>
    <s v="Sem rótulo (decoração direta Plasticom)"/>
    <x v="0"/>
    <n v="3"/>
    <s v="Serigrafia ≥ 3 cores"/>
    <n v="0.24"/>
    <s v="A"/>
    <s v="B"/>
    <s v="A"/>
    <s v="A"/>
    <s v="A"/>
    <s v="A"/>
    <s v="A"/>
    <s v="A"/>
    <s v="A"/>
    <s v="C"/>
    <n v="3"/>
    <x v="2"/>
    <n v="0"/>
    <s v="Decoracao"/>
    <s v="Reduzir cores/área ou passar a rótulo de PE/PP."/>
    <n v="45.440000000000005"/>
    <n v="1"/>
    <n v="1"/>
    <n v="1"/>
    <n v="45.2"/>
    <n v="0.99471830985915488"/>
    <s v="A"/>
    <x v="2"/>
    <s v="—"/>
    <x v="0"/>
    <s v="Não"/>
    <n v="0.3"/>
    <n v="0.3"/>
    <n v="0.29999999999999993"/>
    <s v="Outras embalagens de plástico"/>
    <n v="0.35"/>
    <n v="5.0000000000000044E-2"/>
    <s v="Não"/>
    <x v="0"/>
    <n v="82148"/>
    <n v="9"/>
    <s v="DE; ES; FR; PT"/>
    <n v="2538.3731999999995"/>
    <n v="12"/>
    <n v="1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43"/>
    <s v="FR-013-PVC-500"/>
    <s v="Frasco"/>
    <x v="0"/>
    <s v="Contacto direto com cosmético/higiene"/>
    <s v="Injeção-sopro (ISBM)"/>
    <s v="FAM-14"/>
    <n v="500"/>
    <n v="137"/>
    <x v="8"/>
    <s v="PVC"/>
    <x v="4"/>
    <s v="Sem categoria RecyClass (PVC)"/>
    <s v="Natural (Uncolored)"/>
    <x v="1"/>
    <s v="No Masterbatch"/>
    <n v="0"/>
    <n v="1.35"/>
    <s v="Nenhuma"/>
    <n v="30.9"/>
    <s v="Estimada (22 g a 300 ml, escala ^2/3)"/>
    <s v="TR-004-PP-28410"/>
    <s v="PP"/>
    <s v="PP"/>
    <n v="14.3"/>
    <s v="Sem vedante"/>
    <s v="Autoadesivo PE/PP"/>
    <s v="Lavável a 80 °C (alcalino)"/>
    <n v="0.4"/>
    <n v="0.64"/>
    <s v="Cenário típico do cliente — confirmar especificação"/>
    <x v="1"/>
    <n v="0"/>
    <s v="Nenhuma"/>
    <n v="0"/>
    <s v="F"/>
    <s v="—"/>
    <s v="—"/>
    <s v="—"/>
    <s v="—"/>
    <s v="—"/>
    <s v="—"/>
    <s v="—"/>
    <s v="—"/>
    <s v="—"/>
    <n v="6"/>
    <x v="4"/>
    <n v="0"/>
    <s v="Fluxo"/>
    <s v="Eliminar o PVC do portfólio (substituir por PET ou PP)."/>
    <n v="45.84"/>
    <n v="0"/>
    <n v="0"/>
    <n v="0"/>
    <n v="0"/>
    <n v="0"/>
    <s v="&lt; 70%"/>
    <x v="4"/>
    <s v="—"/>
    <x v="1"/>
    <s v="Não"/>
    <n v="0"/>
    <n v="0"/>
    <n v="0"/>
    <s v="Outras embalagens de plástico"/>
    <n v="0.35"/>
    <n v="0.35"/>
    <s v="Não"/>
    <x v="1"/>
    <n v="68581"/>
    <n v="11"/>
    <s v="ES; FR; IT; PT"/>
    <n v="2119.1529"/>
    <n v="12"/>
    <n v="4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44"/>
    <s v="FR-014-rPET-500"/>
    <s v="Frasco"/>
    <x v="0"/>
    <s v="Contacto direto com cosmético/higiene"/>
    <s v="Injeção-sopro (ISBM)"/>
    <s v="FAM-11"/>
    <n v="500"/>
    <n v="137"/>
    <x v="2"/>
    <s v="PET"/>
    <x v="1"/>
    <s v="PET — garrafas/frascos transparentes incolores"/>
    <s v="Natural (Uncolored)"/>
    <x v="1"/>
    <s v="No Masterbatch"/>
    <n v="0"/>
    <n v="1.38"/>
    <s v="Nenhuma"/>
    <n v="30.9"/>
    <s v="Estimada (22 g a 300 ml, escala ^2/3)"/>
    <s v="TF-007-PP-28410"/>
    <s v="PP"/>
    <s v="PP"/>
    <n v="19.3"/>
    <s v="Sem vedante"/>
    <s v="Sem rótulo"/>
    <s v="Sem adesivo"/>
    <n v="0"/>
    <n v="0"/>
    <s v="Sem rótulo (decoração direta Plasticom)"/>
    <x v="0"/>
    <n v="1"/>
    <s v="Serigrafia 1–2 cores"/>
    <n v="0.08"/>
    <s v="A"/>
    <s v="A"/>
    <s v="A"/>
    <s v="A"/>
    <s v="A"/>
    <s v="A"/>
    <s v="A"/>
    <s v="A"/>
    <s v="A"/>
    <s v="D"/>
    <n v="4"/>
    <x v="1"/>
    <n v="0"/>
    <s v="Decoracao"/>
    <s v="Rótulo de PE/PP ou tinta destintável em lavagem alcalina (validar)."/>
    <n v="50.28"/>
    <n v="1"/>
    <n v="1"/>
    <n v="1"/>
    <n v="50.2"/>
    <n v="0.99840891010342092"/>
    <s v="A"/>
    <x v="1"/>
    <s v="—"/>
    <x v="1"/>
    <s v="Não"/>
    <n v="0.5"/>
    <n v="0"/>
    <n v="0.30776892430278879"/>
    <s v="Outras embalagens de plástico"/>
    <n v="0.35"/>
    <n v="4.2231075697211184E-2"/>
    <s v="Não"/>
    <x v="1"/>
    <n v="31721"/>
    <n v="6"/>
    <s v="DE; ES; FR; IT; PT"/>
    <n v="980.17889999999989"/>
    <n v="12"/>
    <n v="3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45"/>
    <s v="FR-013-rPET-500"/>
    <s v="Frasco"/>
    <x v="0"/>
    <s v="Contacto direto com cosmético/higiene"/>
    <s v="Injeção-sopro (ISBM)"/>
    <s v="FAM-11"/>
    <n v="500"/>
    <n v="137"/>
    <x v="2"/>
    <s v="PET"/>
    <x v="1"/>
    <s v="PET — garrafas/frascos transparentes incolores"/>
    <s v="Natural (Uncolored)"/>
    <x v="1"/>
    <s v="No Masterbatch"/>
    <n v="0"/>
    <n v="1.38"/>
    <s v="Nenhuma"/>
    <n v="30.9"/>
    <s v="Estimada (22 g a 300 ml, escala ^2/3)"/>
    <s v="TR-004-PP-28410"/>
    <s v="PP"/>
    <s v="PP"/>
    <n v="14.3"/>
    <s v="Sem vedante"/>
    <s v="Autoadesivo PE/PP"/>
    <s v="Lavável a 80 °C (alcalino)"/>
    <n v="0.4"/>
    <n v="0.64"/>
    <s v="Cenário típico do cliente — confirmar especificação"/>
    <x v="1"/>
    <n v="0"/>
    <s v="Nenhuma"/>
    <n v="0"/>
    <s v="A"/>
    <s v="A"/>
    <s v="A"/>
    <s v="A"/>
    <s v="A"/>
    <s v="A"/>
    <s v="A"/>
    <s v="A"/>
    <s v="A"/>
    <s v="A"/>
    <n v="1"/>
    <x v="3"/>
    <n v="0"/>
    <s v="—"/>
    <s v="Sem ação — manter o design."/>
    <n v="45.84"/>
    <n v="1"/>
    <n v="1"/>
    <n v="1"/>
    <n v="45.84"/>
    <n v="1"/>
    <s v="A"/>
    <x v="3"/>
    <s v="—"/>
    <x v="0"/>
    <s v="Sim"/>
    <n v="0.5"/>
    <n v="0"/>
    <n v="0.34181415929203535"/>
    <s v="Outras embalagens de plástico"/>
    <n v="0.35"/>
    <n v="8.1858407079646311E-3"/>
    <s v="Não"/>
    <x v="1"/>
    <n v="18488"/>
    <n v="4"/>
    <s v="ES; PT"/>
    <n v="571.27919999999995"/>
    <n v="12"/>
    <n v="2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46"/>
    <s v="FR-015-rPET-500"/>
    <s v="Frasco"/>
    <x v="0"/>
    <s v="Contacto direto com cosmético/higiene"/>
    <s v="Injeção-sopro (ISBM)"/>
    <s v="FAM-11"/>
    <n v="500"/>
    <n v="137"/>
    <x v="2"/>
    <s v="PET"/>
    <x v="1"/>
    <s v="PET — garrafas/frascos transparentes incolores"/>
    <s v="Natural (Uncolored)"/>
    <x v="1"/>
    <s v="No Masterbatch"/>
    <n v="0"/>
    <n v="1.38"/>
    <s v="Nenhuma"/>
    <n v="30.9"/>
    <s v="Estimada (22 g a 300 ml, escala ^2/3)"/>
    <s v="TR-004-PP-28410"/>
    <s v="PP"/>
    <s v="PP"/>
    <n v="14.3"/>
    <s v="Sem vedante"/>
    <s v="Sem rótulo"/>
    <s v="Sem adesivo"/>
    <n v="0"/>
    <n v="0"/>
    <s v="Sem rótulo (decoração direta Plasticom)"/>
    <x v="2"/>
    <n v="1"/>
    <s v="Hot foil metalizado"/>
    <n v="0.03"/>
    <s v="A"/>
    <s v="A"/>
    <s v="A"/>
    <s v="A"/>
    <s v="A"/>
    <s v="A"/>
    <s v="A"/>
    <s v="A"/>
    <s v="A"/>
    <s v="D"/>
    <n v="4"/>
    <x v="1"/>
    <n v="0"/>
    <s v="Decoracao"/>
    <s v="Rótulo metalizado de PE/PP destacável."/>
    <n v="45.230000000000004"/>
    <n v="1"/>
    <n v="1"/>
    <n v="1"/>
    <n v="45.2"/>
    <n v="0.99933672341366342"/>
    <s v="A"/>
    <x v="1"/>
    <s v="—"/>
    <x v="1"/>
    <s v="Não"/>
    <n v="0.5"/>
    <n v="0"/>
    <n v="0.34181415929203535"/>
    <s v="Outras embalagens de plástico"/>
    <n v="0.35"/>
    <n v="8.1858407079646311E-3"/>
    <s v="Não"/>
    <x v="1"/>
    <n v="87372"/>
    <n v="11"/>
    <s v="ES; FR; IT; PL; PT"/>
    <n v="2699.7947999999997"/>
    <n v="12"/>
    <n v="3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47"/>
    <s v="FR-018-HDPE-600"/>
    <s v="Frasco"/>
    <x v="0"/>
    <s v="Contacto direto com cosmético/higiene"/>
    <s v="Injeção-sopro (ISBM)"/>
    <s v="FAM-01"/>
    <n v="600"/>
    <n v="145"/>
    <x v="0"/>
    <s v="PE"/>
    <x v="0"/>
    <s v="PE rígido — frascos e contentores (HDPE/LDPE)"/>
    <s v="Translucent Amber"/>
    <x v="0"/>
    <s v="Amber Masterbatch"/>
    <n v="1.4999999999999999E-2"/>
    <n v="0.97299999999999998"/>
    <s v="Nenhuma"/>
    <n v="34.9"/>
    <s v="Estimada (22 g a 300 ml, escala ^2/3)"/>
    <s v="TF-007-HDPE-28410"/>
    <s v="HDPE"/>
    <s v="PE"/>
    <n v="21.4"/>
    <s v="Sem vedante"/>
    <s v="Sem rótulo"/>
    <s v="Sem adesivo"/>
    <n v="0"/>
    <n v="0"/>
    <s v="Sem rótulo (decoração direta Plasticom)"/>
    <x v="0"/>
    <n v="3"/>
    <s v="Serigrafia ≥ 3 cores"/>
    <n v="0.24"/>
    <s v="A"/>
    <s v="B"/>
    <s v="A"/>
    <s v="A"/>
    <s v="A"/>
    <s v="A"/>
    <s v="A"/>
    <s v="A"/>
    <s v="A"/>
    <s v="C"/>
    <n v="3"/>
    <x v="2"/>
    <n v="0"/>
    <s v="Decoracao"/>
    <s v="Reduzir cores/área ou passar a rótulo de PE/PP."/>
    <n v="56.54"/>
    <n v="1"/>
    <n v="1"/>
    <n v="1"/>
    <n v="56.3"/>
    <n v="0.99575521754510077"/>
    <s v="A"/>
    <x v="2"/>
    <s v="—"/>
    <x v="0"/>
    <s v="Não"/>
    <n v="0"/>
    <n v="0"/>
    <n v="0"/>
    <s v="Outras embalagens de plástico"/>
    <n v="0.35"/>
    <n v="0.35"/>
    <s v="Não"/>
    <x v="0"/>
    <n v="54869"/>
    <n v="10"/>
    <s v="DE; FR; PL; PT"/>
    <n v="1914.9280999999999"/>
    <n v="12"/>
    <n v="1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48"/>
    <s v="FR-017-HDPE-600"/>
    <s v="Frasco"/>
    <x v="0"/>
    <s v="Contacto direto com cosmético/higiene"/>
    <s v="Injeção-sopro (ISBM)"/>
    <s v="FAM-01"/>
    <n v="600"/>
    <n v="145"/>
    <x v="0"/>
    <s v="PE"/>
    <x v="0"/>
    <s v="PE rígido — frascos e contentores (HDPE/LDPE)"/>
    <s v="Graphite Gray"/>
    <x v="2"/>
    <s v="Gray Masterbatch"/>
    <n v="0.02"/>
    <n v="0.97899999999999998"/>
    <s v="Nenhuma"/>
    <n v="34.9"/>
    <s v="Estimada (22 g a 300 ml, escala ^2/3)"/>
    <s v="TR-004-HDPE-28410"/>
    <s v="HDPE"/>
    <s v="PE"/>
    <n v="15.9"/>
    <s v="Sem vedante"/>
    <s v="Autoadesivo PE/PP"/>
    <s v="Acrílico permanente"/>
    <n v="0.4"/>
    <n v="0.73"/>
    <s v="Cenário típico do cliente — confirmar especificação"/>
    <x v="1"/>
    <n v="0"/>
    <s v="Nenhuma"/>
    <n v="0"/>
    <s v="A"/>
    <s v="B"/>
    <s v="A"/>
    <s v="A"/>
    <s v="A"/>
    <s v="A"/>
    <s v="A"/>
    <s v="A"/>
    <s v="A"/>
    <s v="A"/>
    <n v="2"/>
    <x v="0"/>
    <n v="0"/>
    <s v="Cor"/>
    <s v="Preferir cores claras."/>
    <n v="51.529999999999994"/>
    <n v="1"/>
    <n v="1"/>
    <n v="1"/>
    <n v="51.529999999999994"/>
    <n v="1"/>
    <s v="A"/>
    <x v="0"/>
    <s v="—"/>
    <x v="0"/>
    <s v="Sim"/>
    <n v="0"/>
    <n v="0"/>
    <n v="0"/>
    <s v="Outras embalagens de plástico"/>
    <n v="0.35"/>
    <n v="0.35"/>
    <s v="Não"/>
    <x v="0"/>
    <n v="102299"/>
    <n v="12"/>
    <s v="DE; ES; IT; PL; PT"/>
    <n v="3570.2350999999994"/>
    <n v="12"/>
    <n v="1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49"/>
    <s v="FR-019-HDPE-600"/>
    <s v="Frasco"/>
    <x v="0"/>
    <s v="Contacto direto com cosmético/higiene"/>
    <s v="Injeção-sopro (ISBM)"/>
    <s v="FAM-01"/>
    <n v="600"/>
    <n v="145"/>
    <x v="0"/>
    <s v="PE"/>
    <x v="0"/>
    <s v="PE rígido — frascos e contentores (HDPE/LDPE)"/>
    <s v="Cardinal Red"/>
    <x v="0"/>
    <s v="Red Masterbatch"/>
    <n v="0.02"/>
    <n v="0.97899999999999998"/>
    <s v="Nenhuma"/>
    <n v="34.9"/>
    <s v="Estimada (22 g a 300 ml, escala ^2/3)"/>
    <s v="TR-004-HDPE-28410"/>
    <s v="HDPE"/>
    <s v="PE"/>
    <n v="15.9"/>
    <s v="Sem vedante"/>
    <s v="Sem rótulo"/>
    <s v="Sem adesivo"/>
    <n v="0"/>
    <n v="0"/>
    <s v="Sem rótulo (decoração direta Plasticom)"/>
    <x v="2"/>
    <n v="1"/>
    <s v="Hot foil metalizado"/>
    <n v="0.03"/>
    <s v="A"/>
    <s v="B"/>
    <s v="A"/>
    <s v="A"/>
    <s v="A"/>
    <s v="A"/>
    <s v="A"/>
    <s v="A"/>
    <s v="A"/>
    <s v="C"/>
    <n v="3"/>
    <x v="2"/>
    <n v="0"/>
    <s v="Decoracao"/>
    <s v="Reduzir a área de hot foil ou usar rótulo metalizado destacável."/>
    <n v="50.83"/>
    <n v="1"/>
    <n v="1"/>
    <n v="1"/>
    <n v="50.8"/>
    <n v="0.99940979736376157"/>
    <s v="A"/>
    <x v="2"/>
    <s v="—"/>
    <x v="0"/>
    <s v="Não"/>
    <n v="0"/>
    <n v="0"/>
    <n v="0"/>
    <s v="Outras embalagens de plástico"/>
    <n v="0.35"/>
    <n v="0.35"/>
    <s v="Não"/>
    <x v="0"/>
    <n v="49770"/>
    <n v="7"/>
    <s v="PL; PT"/>
    <n v="1736.973"/>
    <n v="12"/>
    <n v="1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50"/>
    <s v="FR-018-HDPE-PCR-600"/>
    <s v="Frasco"/>
    <x v="0"/>
    <s v="Contacto direto com cosmético/higiene"/>
    <s v="Injeção-sopro (ISBM)"/>
    <s v="FAM-02"/>
    <n v="600"/>
    <n v="145"/>
    <x v="1"/>
    <s v="PE"/>
    <x v="0"/>
    <s v="PE rígido — frascos e contentores (HDPE/LDPE)"/>
    <s v="Translucent Amber"/>
    <x v="0"/>
    <s v="Amber Masterbatch"/>
    <n v="1.4999999999999999E-2"/>
    <n v="0.97799999999999998"/>
    <s v="Nenhuma"/>
    <n v="34.9"/>
    <s v="Estimada (22 g a 300 ml, escala ^2/3)"/>
    <s v="TF-007-PP-PCR-28410"/>
    <s v="PP-PCR"/>
    <s v="PP"/>
    <n v="19.3"/>
    <s v="Sem vedante"/>
    <s v="Sem rótulo"/>
    <s v="Sem adesivo"/>
    <n v="0"/>
    <n v="0"/>
    <s v="Sem rótulo (decoração direta Plasticom)"/>
    <x v="0"/>
    <n v="1"/>
    <s v="Serigrafia 1–2 cores"/>
    <n v="0.08"/>
    <s v="A"/>
    <s v="B"/>
    <s v="A"/>
    <s v="A"/>
    <s v="A"/>
    <s v="A"/>
    <s v="A"/>
    <s v="A"/>
    <s v="A"/>
    <s v="B"/>
    <n v="2"/>
    <x v="0"/>
    <n v="0"/>
    <s v="Cor"/>
    <s v="Preferir natural, branco ou cores claras."/>
    <n v="54.28"/>
    <n v="1"/>
    <n v="1"/>
    <n v="1"/>
    <n v="54.2"/>
    <n v="0.99852616064848931"/>
    <s v="A"/>
    <x v="0"/>
    <s v="—"/>
    <x v="0"/>
    <s v="Sim"/>
    <n v="0.3"/>
    <n v="0.3"/>
    <n v="0.29999999999999993"/>
    <s v="Outras embalagens de plástico"/>
    <n v="0.35"/>
    <n v="5.0000000000000044E-2"/>
    <s v="Não"/>
    <x v="0"/>
    <n v="84520"/>
    <n v="9"/>
    <s v="DE; ES; FR; IT; PL; PT"/>
    <n v="2949.748"/>
    <n v="12"/>
    <n v="1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51"/>
    <s v="FR-017-HDPE-PCR-600"/>
    <s v="Frasco"/>
    <x v="0"/>
    <s v="Contacto direto com cosmético/higiene"/>
    <s v="Injeção-sopro (ISBM)"/>
    <s v="FAM-02"/>
    <n v="600"/>
    <n v="145"/>
    <x v="1"/>
    <s v="PE"/>
    <x v="0"/>
    <s v="PE rígido — frascos e contentores (HDPE/LDPE)"/>
    <s v="Cardinal Red"/>
    <x v="0"/>
    <s v="Red Masterbatch"/>
    <n v="0.02"/>
    <n v="0.98399999999999999"/>
    <s v="Nenhuma"/>
    <n v="34.9"/>
    <s v="Estimada (22 g a 300 ml, escala ^2/3)"/>
    <s v="TR-004-PP-PCR-28410"/>
    <s v="PP-PCR"/>
    <s v="PP"/>
    <n v="14.3"/>
    <s v="Sem vedante"/>
    <s v="Autoadesivo PE/PP"/>
    <s v="Acrílico permanente"/>
    <n v="0.4"/>
    <n v="0.73"/>
    <s v="Cenário típico do cliente — confirmar especificação"/>
    <x v="1"/>
    <n v="0"/>
    <s v="Nenhuma"/>
    <n v="0"/>
    <s v="A"/>
    <s v="B"/>
    <s v="A"/>
    <s v="A"/>
    <s v="A"/>
    <s v="A"/>
    <s v="A"/>
    <s v="A"/>
    <s v="A"/>
    <s v="A"/>
    <n v="2"/>
    <x v="0"/>
    <n v="0"/>
    <s v="Cor"/>
    <s v="Preferir natural, branco ou cores claras."/>
    <n v="49.93"/>
    <n v="1"/>
    <n v="1"/>
    <n v="1"/>
    <n v="49.93"/>
    <n v="1"/>
    <s v="A"/>
    <x v="0"/>
    <s v="—"/>
    <x v="0"/>
    <s v="Sim"/>
    <n v="0.3"/>
    <n v="0.3"/>
    <n v="0.29999999999999993"/>
    <s v="Outras embalagens de plástico"/>
    <n v="0.35"/>
    <n v="5.0000000000000044E-2"/>
    <s v="Não"/>
    <x v="0"/>
    <n v="107611"/>
    <n v="10"/>
    <s v="ES; FR; IT; PL; PT"/>
    <n v="3755.6239"/>
    <n v="12"/>
    <n v="1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52"/>
    <s v="FR-018-LDPE-600"/>
    <s v="Frasco"/>
    <x v="0"/>
    <s v="Contacto direto com cosmético/higiene"/>
    <s v="Injeção-sopro (ISBM)"/>
    <s v="FAM-04"/>
    <n v="600"/>
    <n v="145"/>
    <x v="3"/>
    <s v="PE"/>
    <x v="0"/>
    <s v="PE rígido — frascos e contentores (HDPE/LDPE)"/>
    <s v="Cardinal Red"/>
    <x v="0"/>
    <s v="Red Masterbatch"/>
    <n v="0.02"/>
    <n v="0.94399999999999995"/>
    <s v="Nenhuma"/>
    <n v="34.9"/>
    <s v="Estimada (22 g a 300 ml, escala ^2/3)"/>
    <s v="TF-007-HDPE-28410"/>
    <s v="HDPE"/>
    <s v="PE"/>
    <n v="21.4"/>
    <s v="Sem vedante"/>
    <s v="Autoadesivo PE/PP"/>
    <s v="Acrílico permanente"/>
    <n v="0.4"/>
    <n v="0.73"/>
    <s v="Cenário típico do cliente — confirmar especificação"/>
    <x v="1"/>
    <n v="0"/>
    <s v="Nenhuma"/>
    <n v="0"/>
    <s v="A"/>
    <s v="B"/>
    <s v="A"/>
    <s v="A"/>
    <s v="A"/>
    <s v="A"/>
    <s v="A"/>
    <s v="A"/>
    <s v="A"/>
    <s v="A"/>
    <n v="2"/>
    <x v="0"/>
    <n v="0"/>
    <s v="Cor"/>
    <s v="Preferir natural, branco ou cores claras."/>
    <n v="57.029999999999994"/>
    <n v="1"/>
    <n v="1"/>
    <n v="1"/>
    <n v="57.029999999999994"/>
    <n v="1"/>
    <s v="A"/>
    <x v="0"/>
    <s v="—"/>
    <x v="0"/>
    <s v="Sim"/>
    <n v="0"/>
    <n v="0"/>
    <n v="0"/>
    <s v="Outras embalagens de plástico"/>
    <n v="0.35"/>
    <n v="0.35"/>
    <s v="Não"/>
    <x v="0"/>
    <n v="52663"/>
    <n v="7"/>
    <s v="DE; IT; PL; PT"/>
    <n v="1837.9386999999999"/>
    <n v="12"/>
    <n v="1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53"/>
    <s v="FR-018-MDPE-600"/>
    <s v="Frasco"/>
    <x v="0"/>
    <s v="Contacto direto com cosmético/higiene"/>
    <s v="Injeção-sopro (ISBM)"/>
    <s v="FAM-03"/>
    <n v="600"/>
    <n v="145"/>
    <x v="9"/>
    <s v="PE"/>
    <x v="0"/>
    <s v="PE rígido — frascos e contentores (HDPE/LDPE)"/>
    <s v="Emerald Green"/>
    <x v="0"/>
    <s v="Green Masterbatch"/>
    <n v="0.02"/>
    <n v="0.95899999999999996"/>
    <s v="Nenhuma"/>
    <n v="34.9"/>
    <s v="Estimada (22 g a 300 ml, escala ^2/3)"/>
    <s v="TF-007-HDPE-28410"/>
    <s v="HDPE"/>
    <s v="PE"/>
    <n v="21.4"/>
    <s v="Sem vedante"/>
    <s v="Sem rótulo"/>
    <s v="Sem adesivo"/>
    <n v="0"/>
    <n v="0"/>
    <s v="Sem rótulo (decoração direta Plasticom)"/>
    <x v="2"/>
    <n v="1"/>
    <s v="Hot foil metalizado"/>
    <n v="0.03"/>
    <s v="A"/>
    <s v="B"/>
    <s v="A"/>
    <s v="A"/>
    <s v="A"/>
    <s v="A"/>
    <s v="A"/>
    <s v="A"/>
    <s v="A"/>
    <s v="C"/>
    <n v="3"/>
    <x v="2"/>
    <n v="0"/>
    <s v="Decoracao"/>
    <s v="Reduzir a área de hot foil ou usar rótulo metalizado destacável."/>
    <n v="56.33"/>
    <n v="1"/>
    <n v="1"/>
    <n v="1"/>
    <n v="56.3"/>
    <n v="0.99946742410793532"/>
    <s v="A"/>
    <x v="2"/>
    <s v="—"/>
    <x v="0"/>
    <s v="Não"/>
    <n v="0"/>
    <n v="0"/>
    <n v="0"/>
    <s v="Outras embalagens de plástico"/>
    <n v="0.35"/>
    <n v="0.35"/>
    <s v="Não"/>
    <x v="0"/>
    <n v="36396"/>
    <n v="5"/>
    <s v="DE; ES; PT"/>
    <n v="1270.2203999999999"/>
    <n v="12"/>
    <n v="1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54"/>
    <s v="FR-018-PET-600"/>
    <s v="Frasco"/>
    <x v="0"/>
    <s v="Contacto direto com cosmético/higiene"/>
    <s v="Injeção-sopro (ISBM)"/>
    <s v="FAM-10"/>
    <n v="600"/>
    <n v="145"/>
    <x v="4"/>
    <s v="PET"/>
    <x v="1"/>
    <s v="PET — garrafas/frascos transparentes incolores"/>
    <s v="Natural (Uncolored)"/>
    <x v="1"/>
    <s v="No Masterbatch"/>
    <n v="0"/>
    <n v="1.38"/>
    <s v="Nenhuma"/>
    <n v="34.9"/>
    <s v="Estimada (22 g a 300 ml, escala ^2/3)"/>
    <s v="TF-007-PP-28410"/>
    <s v="PP"/>
    <s v="PP"/>
    <n v="19.3"/>
    <s v="Sem vedante"/>
    <s v="Autoadesivo PE/PP"/>
    <s v="Lavável a 80 °C (alcalino)"/>
    <n v="0.4"/>
    <n v="0.73"/>
    <s v="Cenário típico do cliente — confirmar especificação"/>
    <x v="1"/>
    <n v="0"/>
    <s v="Nenhuma"/>
    <n v="0"/>
    <s v="A"/>
    <s v="A"/>
    <s v="A"/>
    <s v="A"/>
    <s v="A"/>
    <s v="A"/>
    <s v="A"/>
    <s v="A"/>
    <s v="A"/>
    <s v="A"/>
    <n v="1"/>
    <x v="3"/>
    <n v="0"/>
    <s v="—"/>
    <s v="Sem ação — manter o design."/>
    <n v="54.93"/>
    <n v="1"/>
    <n v="1"/>
    <n v="1"/>
    <n v="54.93"/>
    <n v="1"/>
    <s v="A"/>
    <x v="3"/>
    <s v="—"/>
    <x v="0"/>
    <s v="Sim"/>
    <n v="0"/>
    <n v="0"/>
    <n v="0"/>
    <s v="Outras embalagens de plástico"/>
    <n v="0.35"/>
    <n v="0.35"/>
    <s v="Não"/>
    <x v="1"/>
    <n v="36103"/>
    <n v="6"/>
    <s v="ES; PT"/>
    <n v="1259.9947"/>
    <n v="12"/>
    <n v="1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55"/>
    <s v="FR-019-PET-600"/>
    <s v="Frasco"/>
    <x v="0"/>
    <s v="Contacto direto com cosmético/higiene"/>
    <s v="Injeção-sopro (ISBM)"/>
    <s v="FAM-10"/>
    <n v="600"/>
    <n v="145"/>
    <x v="4"/>
    <s v="PET"/>
    <x v="1"/>
    <s v="PET — garrafas/frascos transparentes incolores"/>
    <s v="Natural (Uncolored)"/>
    <x v="1"/>
    <s v="No Masterbatch"/>
    <n v="0"/>
    <n v="1.38"/>
    <s v="Nenhuma"/>
    <n v="34.9"/>
    <s v="Estimada (22 g a 300 ml, escala ^2/3)"/>
    <s v="TR-004-PP-28410"/>
    <s v="PP"/>
    <s v="PP"/>
    <n v="14.3"/>
    <s v="Sem vedante"/>
    <s v="Autoadesivo PE/PP"/>
    <s v="Acrílico permanente"/>
    <n v="0.4"/>
    <n v="0.73"/>
    <s v="Cenário típico do cliente — confirmar especificação"/>
    <x v="1"/>
    <n v="0"/>
    <s v="Nenhuma"/>
    <n v="0"/>
    <s v="A"/>
    <s v="A"/>
    <s v="A"/>
    <s v="A"/>
    <s v="A"/>
    <s v="A"/>
    <s v="A"/>
    <s v="C"/>
    <s v="A"/>
    <s v="A"/>
    <n v="3"/>
    <x v="2"/>
    <n v="0"/>
    <s v="Adesivo"/>
    <s v="Exigir ao cliente adesivo lavável a 80 °C (teste de lavabilidade)."/>
    <n v="49.93"/>
    <n v="1"/>
    <n v="1"/>
    <n v="1"/>
    <n v="49.93"/>
    <n v="1"/>
    <s v="A"/>
    <x v="2"/>
    <s v="—"/>
    <x v="0"/>
    <s v="Não"/>
    <n v="0"/>
    <n v="0"/>
    <n v="0"/>
    <s v="Outras embalagens de plástico"/>
    <n v="0.35"/>
    <n v="0.35"/>
    <s v="Não"/>
    <x v="1"/>
    <n v="100080"/>
    <n v="10"/>
    <s v="DE; ES; FR; IT; PT"/>
    <n v="3492.7919999999999"/>
    <n v="12"/>
    <n v="1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56"/>
    <s v="FR-018-PETG-600"/>
    <s v="Frasco"/>
    <x v="0"/>
    <s v="Contacto direto com cosmético/higiene"/>
    <s v="Injeção-sopro (ISBM)"/>
    <s v="FAM-13"/>
    <n v="600"/>
    <n v="145"/>
    <x v="5"/>
    <s v="PETG"/>
    <x v="2"/>
    <s v="Sem categoria RecyClass (PETG)"/>
    <s v="Natural (Uncolored)"/>
    <x v="1"/>
    <s v="No Masterbatch"/>
    <n v="0"/>
    <n v="1.27"/>
    <s v="Nenhuma"/>
    <n v="34.9"/>
    <s v="Estimada (22 g a 300 ml, escala ^2/3)"/>
    <s v="TR-004-PETG-28410"/>
    <s v="PETG"/>
    <s v="PETG"/>
    <n v="16.7"/>
    <s v="Sem vedante"/>
    <s v="Sem rótulo"/>
    <s v="Sem adesivo"/>
    <n v="0"/>
    <n v="0"/>
    <s v="Sem rótulo (decoração direta Plasticom)"/>
    <x v="2"/>
    <n v="1"/>
    <s v="Hot foil metalizado"/>
    <n v="0.03"/>
    <s v="F"/>
    <s v="—"/>
    <s v="—"/>
    <s v="—"/>
    <s v="—"/>
    <s v="—"/>
    <s v="—"/>
    <s v="—"/>
    <s v="—"/>
    <s v="—"/>
    <n v="6"/>
    <x v="4"/>
    <n v="0"/>
    <s v="Fluxo"/>
    <s v="Mudar o corpo para PET (ou PP/PE) — PETG não passa a grau C em 2030."/>
    <n v="51.629999999999995"/>
    <n v="0"/>
    <n v="0"/>
    <n v="0"/>
    <n v="0"/>
    <n v="0"/>
    <s v="&lt; 70%"/>
    <x v="4"/>
    <s v="—"/>
    <x v="1"/>
    <s v="Não"/>
    <n v="0"/>
    <n v="0"/>
    <n v="0"/>
    <s v="Outras embalagens de plástico"/>
    <n v="0.35"/>
    <n v="0.35"/>
    <s v="Não"/>
    <x v="0"/>
    <n v="57253"/>
    <n v="8"/>
    <s v="DE; ES; IT; PL; PT"/>
    <n v="1998.1297"/>
    <n v="12"/>
    <n v="4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57"/>
    <s v="FR-018-PP-600"/>
    <s v="Frasco"/>
    <x v="0"/>
    <s v="Contacto direto com cosmético/higiene"/>
    <s v="Injeção-sopro (ISBM)"/>
    <s v="FAM-06"/>
    <n v="600"/>
    <n v="145"/>
    <x v="6"/>
    <s v="PP"/>
    <x v="3"/>
    <s v="PP rígido — frascos, potes e contentores"/>
    <s v="Opaque White"/>
    <x v="3"/>
    <s v="White Masterbatch (TiO2)"/>
    <n v="2.5000000000000001E-2"/>
    <n v="0.93500000000000005"/>
    <s v="Nenhuma"/>
    <n v="34.9"/>
    <s v="Estimada (22 g a 300 ml, escala ^2/3)"/>
    <s v="TF-007-PP-28410"/>
    <s v="PP"/>
    <s v="PP"/>
    <n v="19.3"/>
    <s v="Sem vedante"/>
    <s v="Autoadesivo PE/PP"/>
    <s v="Acrílico permanente"/>
    <n v="0.4"/>
    <n v="0.73"/>
    <s v="Cenário típico do cliente — confirmar especificação"/>
    <x v="1"/>
    <n v="0"/>
    <s v="Nenhuma"/>
    <n v="0"/>
    <s v="A"/>
    <s v="A"/>
    <s v="A"/>
    <s v="A"/>
    <s v="A"/>
    <s v="A"/>
    <s v="A"/>
    <s v="A"/>
    <s v="A"/>
    <s v="A"/>
    <n v="1"/>
    <x v="3"/>
    <n v="0"/>
    <s v="—"/>
    <s v="Sem ação — manter o design."/>
    <n v="54.93"/>
    <n v="1"/>
    <n v="1"/>
    <n v="1"/>
    <n v="54.93"/>
    <n v="1"/>
    <s v="A"/>
    <x v="3"/>
    <s v="—"/>
    <x v="0"/>
    <s v="Sim"/>
    <n v="0"/>
    <n v="0"/>
    <n v="0"/>
    <s v="Outras embalagens de plástico"/>
    <n v="0.35"/>
    <n v="0.35"/>
    <s v="Não"/>
    <x v="0"/>
    <n v="38151"/>
    <n v="7"/>
    <s v="PL; PT"/>
    <n v="1331.4698999999998"/>
    <n v="12"/>
    <n v="1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58"/>
    <s v="FR-017-PP-600"/>
    <s v="Frasco"/>
    <x v="0"/>
    <s v="Contacto direto com cosmético/higiene"/>
    <s v="Injeção-sopro (ISBM)"/>
    <s v="FAM-06"/>
    <n v="600"/>
    <n v="145"/>
    <x v="6"/>
    <s v="PP"/>
    <x v="3"/>
    <s v="PP rígido — frascos, potes e contentores"/>
    <s v="Cardinal Red"/>
    <x v="0"/>
    <s v="Red Masterbatch"/>
    <n v="0.02"/>
    <n v="0.92900000000000005"/>
    <s v="Nenhuma"/>
    <n v="34.9"/>
    <s v="Estimada (22 g a 300 ml, escala ^2/3)"/>
    <s v="TR-004-PP-28410"/>
    <s v="PP"/>
    <s v="PP"/>
    <n v="14.3"/>
    <s v="Sem vedante"/>
    <s v="Autoadesivo PE/PP"/>
    <s v="Acrílico permanente"/>
    <n v="0.4"/>
    <n v="0.73"/>
    <s v="Cenário típico do cliente — confirmar especificação"/>
    <x v="1"/>
    <n v="0"/>
    <s v="Nenhuma"/>
    <n v="0"/>
    <s v="A"/>
    <s v="B"/>
    <s v="A"/>
    <s v="A"/>
    <s v="A"/>
    <s v="A"/>
    <s v="A"/>
    <s v="A"/>
    <s v="A"/>
    <s v="A"/>
    <n v="2"/>
    <x v="0"/>
    <n v="0"/>
    <s v="Cor"/>
    <s v="Preferir natural, branco ou cores claras."/>
    <n v="49.93"/>
    <n v="1"/>
    <n v="1"/>
    <n v="1"/>
    <n v="49.93"/>
    <n v="1"/>
    <s v="A"/>
    <x v="0"/>
    <s v="—"/>
    <x v="0"/>
    <s v="Sim"/>
    <n v="0"/>
    <n v="0"/>
    <n v="0"/>
    <s v="Outras embalagens de plástico"/>
    <n v="0.35"/>
    <n v="0.35"/>
    <s v="Não"/>
    <x v="0"/>
    <n v="135044"/>
    <n v="13"/>
    <s v="DE; ES; FR; IT; PT"/>
    <n v="4713.0355999999992"/>
    <n v="12"/>
    <n v="1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59"/>
    <s v="FR-018-PP-PCR-600"/>
    <s v="Frasco"/>
    <x v="0"/>
    <s v="Contacto direto com cosmético/higiene"/>
    <s v="Injeção-sopro (ISBM)"/>
    <s v="FAM-07"/>
    <n v="600"/>
    <n v="145"/>
    <x v="7"/>
    <s v="PP"/>
    <x v="3"/>
    <s v="PP rígido — frascos, potes e contentores"/>
    <s v="Opaque White"/>
    <x v="3"/>
    <s v="White Masterbatch (TiO2)"/>
    <n v="2.5000000000000001E-2"/>
    <n v="0.94"/>
    <s v="Nenhuma"/>
    <n v="34.9"/>
    <s v="Estimada (22 g a 300 ml, escala ^2/3)"/>
    <s v="TF-007-PP-PCR-28410"/>
    <s v="PP-PCR"/>
    <s v="PP"/>
    <n v="19.3"/>
    <s v="Sem vedante"/>
    <s v="Autoadesivo PE/PP"/>
    <s v="Acrílico permanente"/>
    <n v="0.4"/>
    <n v="0.73"/>
    <s v="Cenário típico do cliente — confirmar especificação"/>
    <x v="1"/>
    <n v="0"/>
    <s v="Nenhuma"/>
    <n v="0"/>
    <s v="A"/>
    <s v="A"/>
    <s v="A"/>
    <s v="A"/>
    <s v="A"/>
    <s v="A"/>
    <s v="A"/>
    <s v="A"/>
    <s v="A"/>
    <s v="A"/>
    <n v="1"/>
    <x v="3"/>
    <n v="0"/>
    <s v="—"/>
    <s v="Sem ação — manter o design."/>
    <n v="54.93"/>
    <n v="1"/>
    <n v="1"/>
    <n v="1"/>
    <n v="54.93"/>
    <n v="1"/>
    <s v="A"/>
    <x v="3"/>
    <s v="—"/>
    <x v="0"/>
    <s v="Sim"/>
    <n v="0.3"/>
    <n v="0.3"/>
    <n v="0.29999999999999993"/>
    <s v="Outras embalagens de plástico"/>
    <n v="0.35"/>
    <n v="5.0000000000000044E-2"/>
    <s v="Não"/>
    <x v="0"/>
    <n v="28096"/>
    <n v="5"/>
    <s v="IT; PT"/>
    <n v="980.55039999999985"/>
    <n v="12"/>
    <n v="1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60"/>
    <s v="FR-017-PP-PCR-600"/>
    <s v="Frasco"/>
    <x v="0"/>
    <s v="Contacto direto com cosmético/higiene"/>
    <s v="Injeção-sopro (ISBM)"/>
    <s v="FAM-07"/>
    <n v="600"/>
    <n v="145"/>
    <x v="7"/>
    <s v="PP"/>
    <x v="3"/>
    <s v="PP rígido — frascos, potes e contentores"/>
    <s v="Matte Black"/>
    <x v="4"/>
    <s v="Black Masterbatch (Carbon Black)"/>
    <n v="0.02"/>
    <n v="0.93400000000000005"/>
    <s v="Nenhuma"/>
    <n v="34.9"/>
    <s v="Estimada (22 g a 300 ml, escala ^2/3)"/>
    <s v="TR-004-PP-PCR-28410"/>
    <s v="PP-PCR"/>
    <s v="PP"/>
    <n v="14.3"/>
    <s v="Sem vedante"/>
    <s v="Autoadesivo PE/PP"/>
    <s v="Acrílico permanente"/>
    <n v="0.4"/>
    <n v="0.73"/>
    <s v="Cenário típico do cliente — confirmar especificação"/>
    <x v="1"/>
    <n v="0"/>
    <s v="Nenhuma"/>
    <n v="0"/>
    <s v="A"/>
    <s v="F"/>
    <s v="A"/>
    <s v="A"/>
    <s v="A"/>
    <s v="A"/>
    <s v="A"/>
    <s v="A"/>
    <s v="A"/>
    <s v="A"/>
    <n v="6"/>
    <x v="4"/>
    <n v="0"/>
    <s v="Cor"/>
    <s v="Substituir o masterbatch por preto detetável por NIR (pigmentos sem negro de carbono)."/>
    <n v="49.93"/>
    <n v="0"/>
    <n v="1"/>
    <n v="1"/>
    <n v="0"/>
    <n v="0"/>
    <s v="&lt; 70%"/>
    <x v="4"/>
    <s v="—"/>
    <x v="1"/>
    <s v="Não"/>
    <n v="0.3"/>
    <n v="0.3"/>
    <n v="0.29999999999999993"/>
    <s v="Outras embalagens de plástico"/>
    <n v="0.35"/>
    <n v="5.0000000000000044E-2"/>
    <s v="Não"/>
    <x v="0"/>
    <n v="165820"/>
    <n v="12"/>
    <s v="DE; ES; IT; PT"/>
    <n v="5787.1180000000004"/>
    <n v="12"/>
    <n v="2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61"/>
    <s v="FR-018-rPET-600"/>
    <s v="Frasco"/>
    <x v="0"/>
    <s v="Contacto direto com cosmético/higiene"/>
    <s v="Injeção-sopro (ISBM)"/>
    <s v="FAM-11"/>
    <n v="600"/>
    <n v="145"/>
    <x v="2"/>
    <s v="PET"/>
    <x v="1"/>
    <s v="PET — garrafas/frascos transparentes incolores"/>
    <s v="Natural (Uncolored)"/>
    <x v="1"/>
    <s v="No Masterbatch"/>
    <n v="0"/>
    <n v="1.38"/>
    <s v="Nenhuma"/>
    <n v="34.9"/>
    <s v="Estimada (22 g a 300 ml, escala ^2/3)"/>
    <s v="TF-007-PP-28410"/>
    <s v="PP"/>
    <s v="PP"/>
    <n v="19.3"/>
    <s v="Sem vedante"/>
    <s v="Autoadesivo PE/PP"/>
    <s v="Lavável a 80 °C (alcalino)"/>
    <n v="0.4"/>
    <n v="0.73"/>
    <s v="Cenário típico do cliente — confirmar especificação"/>
    <x v="1"/>
    <n v="0"/>
    <s v="Nenhuma"/>
    <n v="0"/>
    <s v="A"/>
    <s v="A"/>
    <s v="A"/>
    <s v="A"/>
    <s v="A"/>
    <s v="A"/>
    <s v="A"/>
    <s v="A"/>
    <s v="A"/>
    <s v="A"/>
    <n v="1"/>
    <x v="3"/>
    <n v="0"/>
    <s v="—"/>
    <s v="Sem ação — manter o design."/>
    <n v="54.93"/>
    <n v="1"/>
    <n v="1"/>
    <n v="1"/>
    <n v="54.93"/>
    <n v="1"/>
    <s v="A"/>
    <x v="3"/>
    <s v="—"/>
    <x v="0"/>
    <s v="Sim"/>
    <n v="0.5"/>
    <n v="0"/>
    <n v="0.32195571955719554"/>
    <s v="Outras embalagens de plástico"/>
    <n v="0.35"/>
    <n v="2.8044280442804437E-2"/>
    <s v="Não"/>
    <x v="1"/>
    <n v="69911"/>
    <n v="8"/>
    <s v="ES; FR; IT; PL; PT"/>
    <n v="2439.8939"/>
    <n v="12"/>
    <n v="2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62"/>
    <s v="FR-017-rPET-600"/>
    <s v="Frasco"/>
    <x v="0"/>
    <s v="Contacto direto com cosmético/higiene"/>
    <s v="Injeção-sopro (ISBM)"/>
    <s v="FAM-11"/>
    <n v="600"/>
    <n v="145"/>
    <x v="2"/>
    <s v="PET"/>
    <x v="1"/>
    <s v="PET — garrafas/frascos transparentes incolores"/>
    <s v="Natural (Uncolored)"/>
    <x v="1"/>
    <s v="No Masterbatch"/>
    <n v="0"/>
    <n v="1.38"/>
    <s v="Nenhuma"/>
    <n v="34.9"/>
    <s v="Estimada (22 g a 300 ml, escala ^2/3)"/>
    <s v="TR-004-PP-28410"/>
    <s v="PP"/>
    <s v="PP"/>
    <n v="14.3"/>
    <s v="Sem vedante"/>
    <s v="Sem rótulo"/>
    <s v="Sem adesivo"/>
    <n v="0"/>
    <n v="0"/>
    <s v="Sem rótulo (decoração direta Plasticom)"/>
    <x v="2"/>
    <n v="1"/>
    <s v="Hot foil metalizado"/>
    <n v="0.03"/>
    <s v="A"/>
    <s v="A"/>
    <s v="A"/>
    <s v="A"/>
    <s v="A"/>
    <s v="A"/>
    <s v="A"/>
    <s v="A"/>
    <s v="A"/>
    <s v="D"/>
    <n v="4"/>
    <x v="1"/>
    <n v="0"/>
    <s v="Decoracao"/>
    <s v="Rótulo metalizado de PE/PP destacável."/>
    <n v="49.230000000000004"/>
    <n v="1"/>
    <n v="1"/>
    <n v="1"/>
    <n v="49.2"/>
    <n v="0.99939061547836683"/>
    <s v="A"/>
    <x v="1"/>
    <s v="—"/>
    <x v="1"/>
    <s v="Não"/>
    <n v="0.5"/>
    <n v="0"/>
    <n v="0.35467479674796742"/>
    <s v="Outras embalagens de plástico"/>
    <n v="0.35"/>
    <n v="0"/>
    <s v="Sim"/>
    <x v="1"/>
    <n v="92595"/>
    <n v="10"/>
    <s v="DE; ES; IT; PT"/>
    <n v="3231.5655000000002"/>
    <n v="12"/>
    <n v="2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63"/>
    <s v="FR-019-rPET-600"/>
    <s v="Frasco"/>
    <x v="0"/>
    <s v="Contacto direto com cosmético/higiene"/>
    <s v="Injeção-sopro (ISBM)"/>
    <s v="FAM-11"/>
    <n v="600"/>
    <n v="145"/>
    <x v="2"/>
    <s v="PET"/>
    <x v="1"/>
    <s v="PET — garrafas/frascos transparentes incolores"/>
    <s v="Natural (Uncolored)"/>
    <x v="1"/>
    <s v="No Masterbatch"/>
    <n v="0"/>
    <n v="1.38"/>
    <s v="Nenhuma"/>
    <n v="34.9"/>
    <s v="Estimada (22 g a 300 ml, escala ^2/3)"/>
    <s v="TR-004-PP-28410"/>
    <s v="PP"/>
    <s v="PP"/>
    <n v="14.3"/>
    <s v="Sem vedante"/>
    <s v="Autoadesivo PE/PP"/>
    <s v="Lavável a 80 °C (alcalino)"/>
    <n v="0.4"/>
    <n v="0.73"/>
    <s v="Cenário típico do cliente — confirmar especificação"/>
    <x v="1"/>
    <n v="0"/>
    <s v="Nenhuma"/>
    <n v="0"/>
    <s v="A"/>
    <s v="A"/>
    <s v="A"/>
    <s v="A"/>
    <s v="A"/>
    <s v="A"/>
    <s v="A"/>
    <s v="A"/>
    <s v="A"/>
    <s v="A"/>
    <n v="1"/>
    <x v="3"/>
    <n v="0"/>
    <s v="—"/>
    <s v="Sem ação — manter o design."/>
    <n v="49.93"/>
    <n v="1"/>
    <n v="1"/>
    <n v="1"/>
    <n v="49.93"/>
    <n v="1"/>
    <s v="A"/>
    <x v="3"/>
    <s v="—"/>
    <x v="0"/>
    <s v="Sim"/>
    <n v="0.5"/>
    <n v="0"/>
    <n v="0.35467479674796742"/>
    <s v="Outras embalagens de plástico"/>
    <n v="0.35"/>
    <n v="0"/>
    <s v="Sim"/>
    <x v="1"/>
    <n v="64510"/>
    <n v="7"/>
    <s v="DE; ES; PT"/>
    <n v="2251.3989999999999"/>
    <n v="12"/>
    <n v="1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64"/>
    <s v="FR-020-HDPE-750"/>
    <s v="Frasco"/>
    <x v="0"/>
    <s v="Contacto direto com cosmético/higiene"/>
    <s v="Injeção-sopro (ISBM)"/>
    <s v="FAM-01"/>
    <n v="750"/>
    <n v="156"/>
    <x v="0"/>
    <s v="PE"/>
    <x v="0"/>
    <s v="PE rígido — frascos e contentores (HDPE/LDPE)"/>
    <s v="Opaque White"/>
    <x v="3"/>
    <s v="White Masterbatch (TiO2)"/>
    <n v="2.5000000000000001E-2"/>
    <n v="0.98499999999999999"/>
    <s v="Nenhuma"/>
    <n v="40.5"/>
    <s v="Estimada (22 g a 300 ml, escala ^2/3)"/>
    <s v="TF-007-HDPE-28410"/>
    <s v="HDPE"/>
    <s v="PE"/>
    <n v="21.4"/>
    <s v="Sem vedante"/>
    <s v="Autoadesivo PE/PP"/>
    <s v="Acrílico permanente"/>
    <n v="0.4"/>
    <n v="0.84"/>
    <s v="Cenário típico do cliente — confirmar especificação"/>
    <x v="1"/>
    <n v="0"/>
    <s v="Nenhuma"/>
    <n v="0"/>
    <s v="A"/>
    <s v="A"/>
    <s v="A"/>
    <s v="A"/>
    <s v="A"/>
    <s v="A"/>
    <s v="A"/>
    <s v="A"/>
    <s v="A"/>
    <s v="A"/>
    <n v="1"/>
    <x v="3"/>
    <n v="0"/>
    <s v="—"/>
    <s v="Sem ação — manter o design."/>
    <n v="62.74"/>
    <n v="1"/>
    <n v="1"/>
    <n v="1"/>
    <n v="62.74"/>
    <n v="1"/>
    <s v="A"/>
    <x v="3"/>
    <s v="—"/>
    <x v="0"/>
    <s v="Sim"/>
    <n v="0"/>
    <n v="0"/>
    <n v="0"/>
    <s v="Outras embalagens de plástico"/>
    <n v="0.35"/>
    <n v="0.35"/>
    <s v="Não"/>
    <x v="0"/>
    <n v="96850"/>
    <n v="12"/>
    <s v="DE; ES; FR; IT; PL; PT"/>
    <n v="3922.4250000000002"/>
    <n v="12"/>
    <n v="1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65"/>
    <s v="FR-019-HDPE-750"/>
    <s v="Frasco"/>
    <x v="0"/>
    <s v="Contacto direto com cosmético/higiene"/>
    <s v="Injeção-sopro (ISBM)"/>
    <s v="FAM-01"/>
    <n v="750"/>
    <n v="156"/>
    <x v="0"/>
    <s v="PE"/>
    <x v="0"/>
    <s v="PE rígido — frascos e contentores (HDPE/LDPE)"/>
    <s v="Opaque White"/>
    <x v="3"/>
    <s v="White Masterbatch (TiO2)"/>
    <n v="2.5000000000000001E-2"/>
    <n v="0.98499999999999999"/>
    <s v="Nenhuma"/>
    <n v="40.5"/>
    <s v="Estimada (22 g a 300 ml, escala ^2/3)"/>
    <s v="TR-004-HDPE-28410"/>
    <s v="HDPE"/>
    <s v="PE"/>
    <n v="15.9"/>
    <s v="Sem vedante"/>
    <s v="Autoadesivo PE/PP"/>
    <s v="Acrílico permanente"/>
    <n v="0.4"/>
    <n v="0.84"/>
    <s v="Cenário típico do cliente — confirmar especificação"/>
    <x v="1"/>
    <n v="0"/>
    <s v="Nenhuma"/>
    <n v="0"/>
    <s v="A"/>
    <s v="A"/>
    <s v="A"/>
    <s v="A"/>
    <s v="A"/>
    <s v="A"/>
    <s v="A"/>
    <s v="A"/>
    <s v="A"/>
    <s v="A"/>
    <n v="1"/>
    <x v="3"/>
    <n v="0"/>
    <s v="—"/>
    <s v="Sem ação — manter o design."/>
    <n v="57.24"/>
    <n v="1"/>
    <n v="1"/>
    <n v="1"/>
    <n v="57.24"/>
    <n v="1"/>
    <s v="A"/>
    <x v="3"/>
    <s v="—"/>
    <x v="0"/>
    <s v="Sim"/>
    <n v="0"/>
    <n v="0"/>
    <n v="0"/>
    <s v="Outras embalagens de plástico"/>
    <n v="0.35"/>
    <n v="0.35"/>
    <s v="Não"/>
    <x v="0"/>
    <n v="60204"/>
    <n v="7"/>
    <s v="ES; FR; PT"/>
    <n v="2438.2620000000002"/>
    <n v="12"/>
    <n v="1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66"/>
    <s v="FR-021-HDPE-750"/>
    <s v="Frasco"/>
    <x v="0"/>
    <s v="Contacto direto com cosmético/higiene"/>
    <s v="Injeção-sopro (ISBM)"/>
    <s v="FAM-01"/>
    <n v="750"/>
    <n v="156"/>
    <x v="0"/>
    <s v="PE"/>
    <x v="0"/>
    <s v="PE rígido — frascos e contentores (HDPE/LDPE)"/>
    <s v="Translucent Amber"/>
    <x v="0"/>
    <s v="Amber Masterbatch"/>
    <n v="1.4999999999999999E-2"/>
    <n v="0.97299999999999998"/>
    <s v="Nenhuma"/>
    <n v="40.5"/>
    <s v="Estimada (22 g a 300 ml, escala ^2/3)"/>
    <s v="TR-004-HDPE-28410"/>
    <s v="HDPE"/>
    <s v="PE"/>
    <n v="15.9"/>
    <s v="Sem vedante"/>
    <s v="Autoadesivo PE/PP"/>
    <s v="Acrílico permanente"/>
    <n v="0.4"/>
    <n v="0.84"/>
    <s v="Cenário típico do cliente — confirmar especificação"/>
    <x v="1"/>
    <n v="0"/>
    <s v="Nenhuma"/>
    <n v="0"/>
    <s v="A"/>
    <s v="B"/>
    <s v="A"/>
    <s v="A"/>
    <s v="A"/>
    <s v="A"/>
    <s v="A"/>
    <s v="A"/>
    <s v="A"/>
    <s v="A"/>
    <n v="2"/>
    <x v="0"/>
    <n v="0"/>
    <s v="Cor"/>
    <s v="Preferir natural, branco ou cores claras."/>
    <n v="57.24"/>
    <n v="1"/>
    <n v="1"/>
    <n v="1"/>
    <n v="57.24"/>
    <n v="1"/>
    <s v="A"/>
    <x v="0"/>
    <s v="—"/>
    <x v="0"/>
    <s v="Sim"/>
    <n v="0"/>
    <n v="0"/>
    <n v="0"/>
    <s v="Outras embalagens de plástico"/>
    <n v="0.35"/>
    <n v="0.35"/>
    <s v="Não"/>
    <x v="0"/>
    <n v="148749"/>
    <n v="13"/>
    <s v="DE; ES; FR; IT; PL; PT"/>
    <n v="6024.3344999999999"/>
    <n v="12"/>
    <n v="1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67"/>
    <s v="FR-020-HDPE-PCR-750"/>
    <s v="Frasco"/>
    <x v="0"/>
    <s v="Contacto direto com cosmético/higiene"/>
    <s v="Injeção-sopro (ISBM)"/>
    <s v="FAM-02"/>
    <n v="750"/>
    <n v="156"/>
    <x v="1"/>
    <s v="PE"/>
    <x v="0"/>
    <s v="PE rígido — frascos e contentores (HDPE/LDPE)"/>
    <s v="Emerald Green"/>
    <x v="0"/>
    <s v="Green Masterbatch"/>
    <n v="0.02"/>
    <n v="0.98399999999999999"/>
    <s v="Nenhuma"/>
    <n v="40.5"/>
    <s v="Estimada (22 g a 300 ml, escala ^2/3)"/>
    <s v="TF-007-PP-PCR-28410"/>
    <s v="PP-PCR"/>
    <s v="PP"/>
    <n v="19.3"/>
    <s v="Sem vedante"/>
    <s v="Autoadesivo PE/PP"/>
    <s v="Acrílico permanente"/>
    <n v="0.4"/>
    <n v="0.84"/>
    <s v="Cenário típico do cliente — confirmar especificação"/>
    <x v="1"/>
    <n v="0"/>
    <s v="Nenhuma"/>
    <n v="0"/>
    <s v="A"/>
    <s v="B"/>
    <s v="A"/>
    <s v="A"/>
    <s v="A"/>
    <s v="A"/>
    <s v="A"/>
    <s v="A"/>
    <s v="A"/>
    <s v="A"/>
    <n v="2"/>
    <x v="0"/>
    <n v="0"/>
    <s v="Cor"/>
    <s v="Preferir natural, branco ou cores claras."/>
    <n v="60.64"/>
    <n v="1"/>
    <n v="1"/>
    <n v="1"/>
    <n v="60.64"/>
    <n v="1"/>
    <s v="A"/>
    <x v="0"/>
    <s v="—"/>
    <x v="0"/>
    <s v="Sim"/>
    <n v="0.3"/>
    <n v="0.3"/>
    <n v="0.30000000000000004"/>
    <s v="Outras embalagens de plástico"/>
    <n v="0.35"/>
    <n v="4.9999999999999933E-2"/>
    <s v="Não"/>
    <x v="0"/>
    <n v="41926"/>
    <n v="7"/>
    <s v="DE; FR; IT; PL; PT"/>
    <n v="1698.0029999999999"/>
    <n v="12"/>
    <n v="1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68"/>
    <s v="FR-019-HDPE-PCR-750"/>
    <s v="Frasco"/>
    <x v="0"/>
    <s v="Contacto direto com cosmético/higiene"/>
    <s v="Injeção-sopro (ISBM)"/>
    <s v="FAM-02"/>
    <n v="750"/>
    <n v="156"/>
    <x v="1"/>
    <s v="PE"/>
    <x v="0"/>
    <s v="PE rígido — frascos e contentores (HDPE/LDPE)"/>
    <s v="Opaque White"/>
    <x v="3"/>
    <s v="White Masterbatch (TiO2)"/>
    <n v="2.5000000000000001E-2"/>
    <n v="0.99"/>
    <s v="Nenhuma"/>
    <n v="40.5"/>
    <s v="Estimada (22 g a 300 ml, escala ^2/3)"/>
    <s v="TR-004-PP-PCR-28410"/>
    <s v="PP-PCR"/>
    <s v="PP"/>
    <n v="14.3"/>
    <s v="Sem vedante"/>
    <s v="Autoadesivo PE/PP"/>
    <s v="Acrílico permanente"/>
    <n v="0.4"/>
    <n v="0.84"/>
    <s v="Cenário típico do cliente — confirmar especificação"/>
    <x v="1"/>
    <n v="0"/>
    <s v="Nenhuma"/>
    <n v="0"/>
    <s v="A"/>
    <s v="A"/>
    <s v="A"/>
    <s v="A"/>
    <s v="A"/>
    <s v="A"/>
    <s v="A"/>
    <s v="A"/>
    <s v="A"/>
    <s v="A"/>
    <n v="1"/>
    <x v="3"/>
    <n v="0"/>
    <s v="—"/>
    <s v="Sem ação — manter o design."/>
    <n v="55.64"/>
    <n v="1"/>
    <n v="1"/>
    <n v="1"/>
    <n v="55.64"/>
    <n v="1"/>
    <s v="A"/>
    <x v="3"/>
    <s v="—"/>
    <x v="0"/>
    <s v="Sim"/>
    <n v="0.3"/>
    <n v="0.3"/>
    <n v="0.30000000000000004"/>
    <s v="Outras embalagens de plástico"/>
    <n v="0.35"/>
    <n v="4.9999999999999933E-2"/>
    <s v="Não"/>
    <x v="0"/>
    <n v="41335"/>
    <n v="7"/>
    <s v="DE; ES; PT"/>
    <n v="1674.0675000000001"/>
    <n v="12"/>
    <n v="1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69"/>
    <s v="FR-019-MDPE-750"/>
    <s v="Frasco"/>
    <x v="0"/>
    <s v="Contacto direto com cosmético/higiene"/>
    <s v="Injeção-sopro (ISBM)"/>
    <s v="FAM-03"/>
    <n v="750"/>
    <n v="156"/>
    <x v="9"/>
    <s v="PE"/>
    <x v="0"/>
    <s v="PE rígido — frascos e contentores (HDPE/LDPE)"/>
    <s v="Graphite Gray"/>
    <x v="2"/>
    <s v="Gray Masterbatch"/>
    <n v="0.02"/>
    <n v="0.95899999999999996"/>
    <s v="Nenhuma"/>
    <n v="40.5"/>
    <s v="Estimada (22 g a 300 ml, escala ^2/3)"/>
    <s v="TR-004-HDPE-28410"/>
    <s v="HDPE"/>
    <s v="PE"/>
    <n v="15.9"/>
    <s v="Sem vedante"/>
    <s v="Sem rótulo"/>
    <s v="Sem adesivo"/>
    <n v="0"/>
    <n v="0"/>
    <s v="Sem rótulo (decoração direta Plasticom)"/>
    <x v="2"/>
    <n v="1"/>
    <s v="Hot foil metalizado"/>
    <n v="0.03"/>
    <s v="A"/>
    <s v="B"/>
    <s v="A"/>
    <s v="A"/>
    <s v="A"/>
    <s v="A"/>
    <s v="A"/>
    <s v="A"/>
    <s v="A"/>
    <s v="C"/>
    <n v="3"/>
    <x v="2"/>
    <n v="0"/>
    <s v="Decoracao"/>
    <s v="Reduzir a área de hot foil ou usar rótulo metalizado destacável."/>
    <n v="56.43"/>
    <n v="1"/>
    <n v="1"/>
    <n v="1"/>
    <n v="56.4"/>
    <n v="0.99946836788942051"/>
    <s v="A"/>
    <x v="2"/>
    <s v="—"/>
    <x v="0"/>
    <s v="Não"/>
    <n v="0"/>
    <n v="0"/>
    <n v="0"/>
    <s v="Outras embalagens de plástico"/>
    <n v="0.35"/>
    <n v="0.35"/>
    <s v="Não"/>
    <x v="0"/>
    <n v="60507"/>
    <n v="7"/>
    <s v="FR; IT; PT"/>
    <n v="2450.5335"/>
    <n v="12"/>
    <n v="1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70"/>
    <s v="FR-020-PET-750"/>
    <s v="Frasco"/>
    <x v="0"/>
    <s v="Contacto direto com cosmético/higiene"/>
    <s v="Injeção-sopro (ISBM)"/>
    <s v="FAM-10"/>
    <n v="750"/>
    <n v="156"/>
    <x v="4"/>
    <s v="PET"/>
    <x v="1"/>
    <s v="PET — garrafas/frascos transparentes incolores"/>
    <s v="Natural (Uncolored)"/>
    <x v="1"/>
    <s v="No Masterbatch"/>
    <n v="0"/>
    <n v="1.38"/>
    <s v="Nenhuma"/>
    <n v="40.5"/>
    <s v="Estimada (22 g a 300 ml, escala ^2/3)"/>
    <s v="TF-007-PP-28410"/>
    <s v="PP"/>
    <s v="PP"/>
    <n v="19.3"/>
    <s v="Sem vedante"/>
    <s v="Autoadesivo PE/PP"/>
    <s v="Lavável a 80 °C (alcalino)"/>
    <n v="0.4"/>
    <n v="0.84"/>
    <s v="Cenário típico do cliente — confirmar especificação"/>
    <x v="1"/>
    <n v="0"/>
    <s v="Nenhuma"/>
    <n v="0"/>
    <s v="A"/>
    <s v="A"/>
    <s v="A"/>
    <s v="A"/>
    <s v="A"/>
    <s v="A"/>
    <s v="A"/>
    <s v="A"/>
    <s v="A"/>
    <s v="A"/>
    <n v="1"/>
    <x v="3"/>
    <n v="0"/>
    <s v="—"/>
    <s v="Sem ação — manter o design."/>
    <n v="60.64"/>
    <n v="1"/>
    <n v="1"/>
    <n v="1"/>
    <n v="60.64"/>
    <n v="1"/>
    <s v="A"/>
    <x v="3"/>
    <s v="—"/>
    <x v="0"/>
    <s v="Sim"/>
    <n v="0"/>
    <n v="0"/>
    <n v="0"/>
    <s v="Outras embalagens de plástico"/>
    <n v="0.35"/>
    <n v="0.35"/>
    <s v="Não"/>
    <x v="1"/>
    <n v="95974"/>
    <n v="13"/>
    <s v="DE; ES; FR; IT; PT"/>
    <n v="3886.9470000000001"/>
    <n v="12"/>
    <n v="1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71"/>
    <s v="FR-019-PET-750"/>
    <s v="Frasco"/>
    <x v="0"/>
    <s v="Contacto direto com cosmético/higiene"/>
    <s v="Injeção-sopro (ISBM)"/>
    <s v="FAM-10"/>
    <n v="750"/>
    <n v="156"/>
    <x v="4"/>
    <s v="PET"/>
    <x v="1"/>
    <s v="PET — garrafas/frascos transparentes incolores"/>
    <s v="Natural (Uncolored)"/>
    <x v="1"/>
    <s v="No Masterbatch"/>
    <n v="0"/>
    <n v="1.38"/>
    <s v="Nenhuma"/>
    <n v="40.5"/>
    <s v="Estimada (22 g a 300 ml, escala ^2/3)"/>
    <s v="TR-004-PP-28410"/>
    <s v="PP"/>
    <s v="PP"/>
    <n v="14.3"/>
    <s v="Sem vedante"/>
    <s v="Autoadesivo PE/PP"/>
    <s v="Acrílico permanente"/>
    <n v="0.4"/>
    <n v="0.84"/>
    <s v="Cenário típico do cliente — confirmar especificação"/>
    <x v="1"/>
    <n v="0"/>
    <s v="Nenhuma"/>
    <n v="0"/>
    <s v="A"/>
    <s v="A"/>
    <s v="A"/>
    <s v="A"/>
    <s v="A"/>
    <s v="A"/>
    <s v="A"/>
    <s v="C"/>
    <s v="A"/>
    <s v="A"/>
    <n v="3"/>
    <x v="2"/>
    <n v="0"/>
    <s v="Adesivo"/>
    <s v="Exigir ao cliente adesivo lavável a 80 °C (teste de lavabilidade)."/>
    <n v="55.64"/>
    <n v="1"/>
    <n v="1"/>
    <n v="1"/>
    <n v="55.64"/>
    <n v="1"/>
    <s v="A"/>
    <x v="2"/>
    <s v="—"/>
    <x v="0"/>
    <s v="Não"/>
    <n v="0"/>
    <n v="0"/>
    <n v="0"/>
    <s v="Outras embalagens de plástico"/>
    <n v="0.35"/>
    <n v="0.35"/>
    <s v="Não"/>
    <x v="1"/>
    <n v="85267"/>
    <n v="13"/>
    <s v="DE; ES; FR; IT; PL; PT"/>
    <n v="3453.3135000000002"/>
    <n v="12"/>
    <n v="1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72"/>
    <s v="FR-019-PETG-750"/>
    <s v="Frasco"/>
    <x v="0"/>
    <s v="Contacto direto com cosmético/higiene"/>
    <s v="Injeção-sopro (ISBM)"/>
    <s v="FAM-13"/>
    <n v="750"/>
    <n v="156"/>
    <x v="5"/>
    <s v="PETG"/>
    <x v="2"/>
    <s v="Sem categoria RecyClass (PETG)"/>
    <s v="Natural (Uncolored)"/>
    <x v="1"/>
    <s v="No Masterbatch"/>
    <n v="0"/>
    <n v="1.27"/>
    <s v="Nenhuma"/>
    <n v="40.5"/>
    <s v="Estimada (22 g a 300 ml, escala ^2/3)"/>
    <s v="TR-004-PETG-28410"/>
    <s v="PETG"/>
    <s v="PETG"/>
    <n v="16.7"/>
    <s v="Sem vedante"/>
    <s v="Sem rótulo"/>
    <s v="Sem adesivo"/>
    <n v="0"/>
    <n v="0"/>
    <s v="Sem rótulo (decoração direta Plasticom)"/>
    <x v="2"/>
    <n v="1"/>
    <s v="Hot foil metalizado"/>
    <n v="0.03"/>
    <s v="F"/>
    <s v="—"/>
    <s v="—"/>
    <s v="—"/>
    <s v="—"/>
    <s v="—"/>
    <s v="—"/>
    <s v="—"/>
    <s v="—"/>
    <s v="—"/>
    <n v="6"/>
    <x v="4"/>
    <n v="0"/>
    <s v="Fluxo"/>
    <s v="Mudar o corpo para PET (ou PP/PE) — PETG não passa a grau C em 2030."/>
    <n v="57.230000000000004"/>
    <n v="0"/>
    <n v="0"/>
    <n v="0"/>
    <n v="0"/>
    <n v="0"/>
    <s v="&lt; 70%"/>
    <x v="4"/>
    <s v="—"/>
    <x v="1"/>
    <s v="Não"/>
    <n v="0"/>
    <n v="0"/>
    <n v="0"/>
    <s v="Outras embalagens de plástico"/>
    <n v="0.35"/>
    <n v="0.35"/>
    <s v="Não"/>
    <x v="0"/>
    <n v="41448"/>
    <n v="6"/>
    <s v="DE; ES; PT"/>
    <n v="1678.644"/>
    <n v="12"/>
    <n v="4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73"/>
    <s v="FR-020-PP-750"/>
    <s v="Frasco"/>
    <x v="0"/>
    <s v="Contacto direto com cosmético/higiene"/>
    <s v="Injeção-sopro (ISBM)"/>
    <s v="FAM-06"/>
    <n v="750"/>
    <n v="156"/>
    <x v="6"/>
    <s v="PP"/>
    <x v="3"/>
    <s v="PP rígido — frascos, potes e contentores"/>
    <s v="Matte Black"/>
    <x v="4"/>
    <s v="Black Masterbatch (Carbon Black)"/>
    <n v="0.02"/>
    <n v="0.92900000000000005"/>
    <s v="Nenhuma"/>
    <n v="40.5"/>
    <s v="Estimada (22 g a 300 ml, escala ^2/3)"/>
    <s v="TF-007-PP-28410"/>
    <s v="PP"/>
    <s v="PP"/>
    <n v="19.3"/>
    <s v="Sem vedante"/>
    <s v="Autoadesivo PE/PP"/>
    <s v="Acrílico permanente"/>
    <n v="0.4"/>
    <n v="0.84"/>
    <s v="Cenário típico do cliente — confirmar especificação"/>
    <x v="1"/>
    <n v="0"/>
    <s v="Nenhuma"/>
    <n v="0"/>
    <s v="A"/>
    <s v="F"/>
    <s v="A"/>
    <s v="A"/>
    <s v="A"/>
    <s v="A"/>
    <s v="A"/>
    <s v="A"/>
    <s v="A"/>
    <s v="A"/>
    <n v="6"/>
    <x v="4"/>
    <n v="0"/>
    <s v="Cor"/>
    <s v="Substituir o masterbatch por preto detetável por NIR (pigmentos sem negro de carbono)."/>
    <n v="60.64"/>
    <n v="0"/>
    <n v="1"/>
    <n v="1"/>
    <n v="0"/>
    <n v="0"/>
    <s v="&lt; 70%"/>
    <x v="4"/>
    <s v="—"/>
    <x v="1"/>
    <s v="Não"/>
    <n v="0"/>
    <n v="0"/>
    <n v="0"/>
    <s v="Outras embalagens de plástico"/>
    <n v="0.35"/>
    <n v="0.35"/>
    <s v="Não"/>
    <x v="0"/>
    <n v="48563"/>
    <n v="9"/>
    <s v="DE; ES; FR; PT"/>
    <n v="1966.8015"/>
    <n v="12"/>
    <n v="2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74"/>
    <s v="FR-019-PP-750"/>
    <s v="Frasco"/>
    <x v="0"/>
    <s v="Contacto direto com cosmético/higiene"/>
    <s v="Injeção-sopro (ISBM)"/>
    <s v="FAM-06"/>
    <n v="750"/>
    <n v="156"/>
    <x v="6"/>
    <s v="PP"/>
    <x v="3"/>
    <s v="PP rígido — frascos, potes e contentores"/>
    <s v="Opaque White"/>
    <x v="3"/>
    <s v="White Masterbatch (TiO2)"/>
    <n v="2.5000000000000001E-2"/>
    <n v="0.93500000000000005"/>
    <s v="Nenhuma"/>
    <n v="40.5"/>
    <s v="Estimada (22 g a 300 ml, escala ^2/3)"/>
    <s v="TR-004-PP-28410"/>
    <s v="PP"/>
    <s v="PP"/>
    <n v="14.3"/>
    <s v="Sem vedante"/>
    <s v="Autoadesivo PE/PP"/>
    <s v="Acrílico permanente"/>
    <n v="0.4"/>
    <n v="0.84"/>
    <s v="Cenário típico do cliente — confirmar especificação"/>
    <x v="1"/>
    <n v="0"/>
    <s v="Nenhuma"/>
    <n v="0"/>
    <s v="A"/>
    <s v="A"/>
    <s v="A"/>
    <s v="A"/>
    <s v="A"/>
    <s v="A"/>
    <s v="A"/>
    <s v="A"/>
    <s v="A"/>
    <s v="A"/>
    <n v="1"/>
    <x v="3"/>
    <n v="0"/>
    <s v="—"/>
    <s v="Sem ação — manter o design."/>
    <n v="55.64"/>
    <n v="1"/>
    <n v="1"/>
    <n v="1"/>
    <n v="55.64"/>
    <n v="1"/>
    <s v="A"/>
    <x v="3"/>
    <s v="—"/>
    <x v="0"/>
    <s v="Sim"/>
    <n v="0"/>
    <n v="0"/>
    <n v="0"/>
    <s v="Outras embalagens de plástico"/>
    <n v="0.35"/>
    <n v="0.35"/>
    <s v="Não"/>
    <x v="0"/>
    <n v="92976"/>
    <n v="12"/>
    <s v="DE; ES; FR; IT; PL; PT"/>
    <n v="3765.5279999999998"/>
    <n v="12"/>
    <n v="1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75"/>
    <s v="FR-020-PP-PCR-750"/>
    <s v="Frasco"/>
    <x v="0"/>
    <s v="Contacto direto com cosmético/higiene"/>
    <s v="Injeção-sopro (ISBM)"/>
    <s v="FAM-07"/>
    <n v="750"/>
    <n v="156"/>
    <x v="7"/>
    <s v="PP"/>
    <x v="3"/>
    <s v="PP rígido — frascos, potes e contentores"/>
    <s v="Translucent Amber"/>
    <x v="0"/>
    <s v="Amber Masterbatch"/>
    <n v="1.4999999999999999E-2"/>
    <n v="0.92800000000000005"/>
    <s v="Nenhuma"/>
    <n v="40.5"/>
    <s v="Estimada (22 g a 300 ml, escala ^2/3)"/>
    <s v="TF-007-PP-PCR-28410"/>
    <s v="PP-PCR"/>
    <s v="PP"/>
    <n v="19.3"/>
    <s v="Sem vedante"/>
    <s v="Autoadesivo PE/PP"/>
    <s v="Acrílico permanente"/>
    <n v="0.4"/>
    <n v="0.84"/>
    <s v="Cenário típico do cliente — confirmar especificação"/>
    <x v="1"/>
    <n v="0"/>
    <s v="Nenhuma"/>
    <n v="0"/>
    <s v="A"/>
    <s v="B"/>
    <s v="A"/>
    <s v="A"/>
    <s v="A"/>
    <s v="A"/>
    <s v="A"/>
    <s v="A"/>
    <s v="A"/>
    <s v="A"/>
    <n v="2"/>
    <x v="0"/>
    <n v="0"/>
    <s v="Cor"/>
    <s v="Preferir natural, branco ou cores claras."/>
    <n v="60.64"/>
    <n v="1"/>
    <n v="1"/>
    <n v="1"/>
    <n v="60.64"/>
    <n v="1"/>
    <s v="A"/>
    <x v="0"/>
    <s v="—"/>
    <x v="0"/>
    <s v="Sim"/>
    <n v="0.3"/>
    <n v="0.3"/>
    <n v="0.30000000000000004"/>
    <s v="Outras embalagens de plástico"/>
    <n v="0.35"/>
    <n v="4.9999999999999933E-2"/>
    <s v="Não"/>
    <x v="0"/>
    <n v="29326"/>
    <n v="7"/>
    <s v="DE; ES; PT"/>
    <n v="1187.703"/>
    <n v="12"/>
    <n v="1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76"/>
    <s v="FR-019-PVC-750"/>
    <s v="Frasco"/>
    <x v="0"/>
    <s v="Contacto direto com cosmético/higiene"/>
    <s v="Injeção-sopro (ISBM)"/>
    <s v="FAM-14"/>
    <n v="750"/>
    <n v="156"/>
    <x v="8"/>
    <s v="PVC"/>
    <x v="4"/>
    <s v="Sem categoria RecyClass (PVC)"/>
    <s v="Natural (Uncolored)"/>
    <x v="1"/>
    <s v="No Masterbatch"/>
    <n v="0"/>
    <n v="1.35"/>
    <s v="Nenhuma"/>
    <n v="40.5"/>
    <s v="Estimada (22 g a 300 ml, escala ^2/3)"/>
    <s v="TR-004-PP-28410"/>
    <s v="PP"/>
    <s v="PP"/>
    <n v="14.3"/>
    <s v="Sem vedante"/>
    <s v="Sem rótulo"/>
    <s v="Sem adesivo"/>
    <n v="0"/>
    <n v="0"/>
    <s v="Sem rótulo (decoração direta Plasticom)"/>
    <x v="0"/>
    <n v="1"/>
    <s v="Serigrafia 1–2 cores"/>
    <n v="0.08"/>
    <s v="F"/>
    <s v="—"/>
    <s v="—"/>
    <s v="—"/>
    <s v="—"/>
    <s v="—"/>
    <s v="—"/>
    <s v="—"/>
    <s v="—"/>
    <s v="—"/>
    <n v="6"/>
    <x v="4"/>
    <n v="0"/>
    <s v="Fluxo"/>
    <s v="Eliminar o PVC do portfólio (substituir por PET ou PP)."/>
    <n v="54.879999999999995"/>
    <n v="0"/>
    <n v="0"/>
    <n v="0"/>
    <n v="0"/>
    <n v="0"/>
    <s v="&lt; 70%"/>
    <x v="4"/>
    <s v="—"/>
    <x v="1"/>
    <s v="Não"/>
    <n v="0"/>
    <n v="0"/>
    <n v="0"/>
    <s v="Outras embalagens de plástico"/>
    <n v="0.35"/>
    <n v="0.35"/>
    <s v="Não"/>
    <x v="1"/>
    <n v="52733"/>
    <n v="6"/>
    <s v="ES; PL; PT"/>
    <n v="2135.6864999999998"/>
    <n v="12"/>
    <n v="4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77"/>
    <s v="FR-020-rPET-750"/>
    <s v="Frasco"/>
    <x v="0"/>
    <s v="Contacto direto com cosmético/higiene"/>
    <s v="Injeção-sopro (ISBM)"/>
    <s v="FAM-11"/>
    <n v="750"/>
    <n v="156"/>
    <x v="2"/>
    <s v="PET"/>
    <x v="1"/>
    <s v="PET — garrafas/frascos transparentes incolores"/>
    <s v="Natural (Uncolored)"/>
    <x v="1"/>
    <s v="No Masterbatch"/>
    <n v="0"/>
    <n v="1.38"/>
    <s v="Nenhuma"/>
    <n v="40.5"/>
    <s v="Estimada (22 g a 300 ml, escala ^2/3)"/>
    <s v="TF-007-PP-28410"/>
    <s v="PP"/>
    <s v="PP"/>
    <n v="19.3"/>
    <s v="Sem vedante"/>
    <s v="Sem rótulo"/>
    <s v="Sem adesivo"/>
    <n v="0"/>
    <n v="0"/>
    <s v="Sem rótulo (decoração direta Plasticom)"/>
    <x v="0"/>
    <n v="1"/>
    <s v="Serigrafia 1–2 cores"/>
    <n v="0.08"/>
    <s v="A"/>
    <s v="A"/>
    <s v="A"/>
    <s v="A"/>
    <s v="A"/>
    <s v="A"/>
    <s v="A"/>
    <s v="A"/>
    <s v="A"/>
    <s v="D"/>
    <n v="4"/>
    <x v="1"/>
    <n v="0"/>
    <s v="Decoracao"/>
    <s v="Rótulo de PE/PP ou tinta destintável em lavagem alcalina (validar)."/>
    <n v="59.879999999999995"/>
    <n v="1"/>
    <n v="1"/>
    <n v="1"/>
    <n v="59.8"/>
    <n v="0.99866399465597866"/>
    <s v="A"/>
    <x v="1"/>
    <s v="—"/>
    <x v="1"/>
    <s v="Não"/>
    <n v="0.5"/>
    <n v="0"/>
    <n v="0.33862876254180602"/>
    <s v="Outras embalagens de plástico"/>
    <n v="0.35"/>
    <n v="1.1371237458193961E-2"/>
    <s v="Não"/>
    <x v="1"/>
    <n v="81369"/>
    <n v="11"/>
    <s v="DE; ES; IT; PT"/>
    <n v="3295.4445000000001"/>
    <n v="12"/>
    <n v="3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78"/>
    <s v="FR-019-rPET-750"/>
    <s v="Frasco"/>
    <x v="0"/>
    <s v="Contacto direto com cosmético/higiene"/>
    <s v="Injeção-sopro (ISBM)"/>
    <s v="FAM-11"/>
    <n v="750"/>
    <n v="156"/>
    <x v="2"/>
    <s v="PET"/>
    <x v="1"/>
    <s v="PET — garrafas/frascos transparentes incolores"/>
    <s v="Natural (Uncolored)"/>
    <x v="1"/>
    <s v="No Masterbatch"/>
    <n v="0"/>
    <n v="1.38"/>
    <s v="Nenhuma"/>
    <n v="40.5"/>
    <s v="Estimada (22 g a 300 ml, escala ^2/3)"/>
    <s v="TR-004-PP-28410"/>
    <s v="PP"/>
    <s v="PP"/>
    <n v="14.3"/>
    <s v="Sem vedante"/>
    <s v="Autoadesivo PE/PP"/>
    <s v="Lavável a 80 °C (alcalino)"/>
    <n v="0.4"/>
    <n v="0.84"/>
    <s v="Cenário típico do cliente — confirmar especificação"/>
    <x v="1"/>
    <n v="0"/>
    <s v="Nenhuma"/>
    <n v="0"/>
    <s v="A"/>
    <s v="A"/>
    <s v="A"/>
    <s v="A"/>
    <s v="A"/>
    <s v="A"/>
    <s v="A"/>
    <s v="A"/>
    <s v="A"/>
    <s v="A"/>
    <n v="1"/>
    <x v="3"/>
    <n v="0"/>
    <s v="—"/>
    <s v="Sem ação — manter o design."/>
    <n v="55.64"/>
    <n v="1"/>
    <n v="1"/>
    <n v="1"/>
    <n v="55.64"/>
    <n v="1"/>
    <s v="A"/>
    <x v="3"/>
    <s v="—"/>
    <x v="0"/>
    <s v="Sim"/>
    <n v="0.5"/>
    <n v="0"/>
    <n v="0.36952554744525551"/>
    <s v="Outras embalagens de plástico"/>
    <n v="0.35"/>
    <n v="0"/>
    <s v="Sim"/>
    <x v="1"/>
    <n v="75758"/>
    <n v="9"/>
    <s v="ES; IT; PL; PT"/>
    <n v="3068.1990000000001"/>
    <n v="12"/>
    <n v="1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79"/>
    <s v="FR-021-rPET-750"/>
    <s v="Frasco"/>
    <x v="0"/>
    <s v="Contacto direto com cosmético/higiene"/>
    <s v="Injeção-sopro (ISBM)"/>
    <s v="FAM-11"/>
    <n v="750"/>
    <n v="156"/>
    <x v="2"/>
    <s v="PET"/>
    <x v="1"/>
    <s v="PET — garrafas/frascos transparentes incolores"/>
    <s v="Natural (Uncolored)"/>
    <x v="1"/>
    <s v="No Masterbatch"/>
    <n v="0"/>
    <n v="1.38"/>
    <s v="Nenhuma"/>
    <n v="40.5"/>
    <s v="Estimada (22 g a 300 ml, escala ^2/3)"/>
    <s v="TR-004-PP-28410"/>
    <s v="PP"/>
    <s v="PP"/>
    <n v="14.3"/>
    <s v="Sem vedante"/>
    <s v="Sem rótulo"/>
    <s v="Sem adesivo"/>
    <n v="0"/>
    <n v="0"/>
    <s v="Sem rótulo (decoração direta Plasticom)"/>
    <x v="0"/>
    <n v="1"/>
    <s v="Serigrafia 1–2 cores"/>
    <n v="0.08"/>
    <s v="A"/>
    <s v="A"/>
    <s v="A"/>
    <s v="A"/>
    <s v="A"/>
    <s v="A"/>
    <s v="A"/>
    <s v="A"/>
    <s v="A"/>
    <s v="D"/>
    <n v="4"/>
    <x v="1"/>
    <n v="0"/>
    <s v="Decoracao"/>
    <s v="Rótulo de PE/PP ou tinta destintável em lavagem alcalina (validar)."/>
    <n v="54.879999999999995"/>
    <n v="1"/>
    <n v="1"/>
    <n v="1"/>
    <n v="54.8"/>
    <n v="0.9985422740524782"/>
    <s v="A"/>
    <x v="1"/>
    <s v="—"/>
    <x v="1"/>
    <s v="Não"/>
    <n v="0.5"/>
    <n v="0"/>
    <n v="0.36952554744525551"/>
    <s v="Outras embalagens de plástico"/>
    <n v="0.35"/>
    <n v="0"/>
    <s v="Sim"/>
    <x v="1"/>
    <n v="94735"/>
    <n v="12"/>
    <s v="DE; ES; FR; IT; PL; PT"/>
    <n v="3836.7674999999999"/>
    <n v="12"/>
    <n v="2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80"/>
    <s v="FR-022-HDPE-1000"/>
    <s v="Frasco"/>
    <x v="0"/>
    <s v="Contacto direto com cosmético/higiene"/>
    <s v="Injeção-sopro (ISBM)"/>
    <s v="FAM-01"/>
    <n v="1000"/>
    <n v="172"/>
    <x v="0"/>
    <s v="PE"/>
    <x v="0"/>
    <s v="PE rígido — frascos e contentores (HDPE/LDPE)"/>
    <s v="Matte Black"/>
    <x v="4"/>
    <s v="Black Masterbatch (Carbon Black)"/>
    <n v="0.02"/>
    <n v="0.97899999999999998"/>
    <s v="Nenhuma"/>
    <n v="49.1"/>
    <s v="Estimada (22 g a 300 ml, escala ^2/3)"/>
    <s v="TF-007-HDPE-28410"/>
    <s v="HDPE"/>
    <s v="PE"/>
    <n v="21.4"/>
    <s v="Sem vedante"/>
    <s v="Autoadesivo PE/PP"/>
    <s v="Acrílico permanente"/>
    <n v="0.4"/>
    <n v="1.02"/>
    <s v="Cenário típico do cliente — confirmar especificação"/>
    <x v="1"/>
    <n v="0"/>
    <s v="Nenhuma"/>
    <n v="0"/>
    <s v="A"/>
    <s v="F"/>
    <s v="A"/>
    <s v="A"/>
    <s v="A"/>
    <s v="A"/>
    <s v="A"/>
    <s v="A"/>
    <s v="A"/>
    <s v="A"/>
    <n v="6"/>
    <x v="4"/>
    <n v="0"/>
    <s v="Cor"/>
    <s v="Substituir o masterbatch por preto detetável por NIR (pigmentos sem negro de carbono)."/>
    <n v="71.52"/>
    <n v="0"/>
    <n v="1"/>
    <n v="1"/>
    <n v="0"/>
    <n v="0"/>
    <s v="&lt; 70%"/>
    <x v="4"/>
    <s v="—"/>
    <x v="1"/>
    <s v="Não"/>
    <n v="0"/>
    <n v="0"/>
    <n v="0"/>
    <s v="Outras embalagens de plástico"/>
    <n v="0.35"/>
    <n v="0.35"/>
    <s v="Não"/>
    <x v="0"/>
    <n v="58975"/>
    <n v="10"/>
    <s v="DE; FR; IT; PL; PT"/>
    <n v="2895.6725000000001"/>
    <n v="12"/>
    <n v="2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81"/>
    <s v="FR-023-HDPE-1000"/>
    <s v="Frasco"/>
    <x v="0"/>
    <s v="Contacto direto com cosmético/higiene"/>
    <s v="Injeção-sopro (ISBM)"/>
    <s v="FAM-01"/>
    <n v="1000"/>
    <n v="172"/>
    <x v="0"/>
    <s v="PE"/>
    <x v="0"/>
    <s v="PE rígido — frascos e contentores (HDPE/LDPE)"/>
    <s v="Opaque White"/>
    <x v="3"/>
    <s v="White Masterbatch (TiO2)"/>
    <n v="2.5000000000000001E-2"/>
    <n v="0.98499999999999999"/>
    <s v="Nenhuma"/>
    <n v="49.1"/>
    <s v="Estimada (22 g a 300 ml, escala ^2/3)"/>
    <s v="TR-004-HDPE-28410"/>
    <s v="HDPE"/>
    <s v="PE"/>
    <n v="15.9"/>
    <s v="Sem vedante"/>
    <s v="Autoadesivo PE/PP"/>
    <s v="Acrílico permanente"/>
    <n v="0.4"/>
    <n v="1.02"/>
    <s v="Cenário típico do cliente — confirmar especificação"/>
    <x v="1"/>
    <n v="0"/>
    <s v="Nenhuma"/>
    <n v="0"/>
    <s v="A"/>
    <s v="A"/>
    <s v="A"/>
    <s v="A"/>
    <s v="A"/>
    <s v="A"/>
    <s v="A"/>
    <s v="A"/>
    <s v="A"/>
    <s v="A"/>
    <n v="1"/>
    <x v="3"/>
    <n v="0"/>
    <s v="—"/>
    <s v="Sem ação — manter o design."/>
    <n v="66.02"/>
    <n v="1"/>
    <n v="1"/>
    <n v="1"/>
    <n v="66.02"/>
    <n v="1"/>
    <s v="A"/>
    <x v="3"/>
    <s v="—"/>
    <x v="0"/>
    <s v="Sim"/>
    <n v="0"/>
    <n v="0"/>
    <n v="0"/>
    <s v="Outras embalagens de plástico"/>
    <n v="0.35"/>
    <n v="0.35"/>
    <s v="Não"/>
    <x v="0"/>
    <n v="99034"/>
    <n v="14"/>
    <s v="DE; ES; FR; IT; PL; PT"/>
    <n v="4862.5694000000003"/>
    <n v="12"/>
    <n v="1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82"/>
    <s v="FR-022-HDPE-PCR-1000"/>
    <s v="Frasco"/>
    <x v="0"/>
    <s v="Contacto direto com cosmético/higiene"/>
    <s v="Injeção-sopro (ISBM)"/>
    <s v="FAM-02"/>
    <n v="1000"/>
    <n v="172"/>
    <x v="1"/>
    <s v="PE"/>
    <x v="0"/>
    <s v="PE rígido — frascos e contentores (HDPE/LDPE)"/>
    <s v="Cobalt Blue"/>
    <x v="0"/>
    <s v="Blue Masterbatch"/>
    <n v="0.02"/>
    <n v="0.98399999999999999"/>
    <s v="Nenhuma"/>
    <n v="49.1"/>
    <s v="Estimada (22 g a 300 ml, escala ^2/3)"/>
    <s v="TF-007-PP-PCR-28410"/>
    <s v="PP-PCR"/>
    <s v="PP"/>
    <n v="19.3"/>
    <s v="Sem vedante"/>
    <s v="Sem rótulo"/>
    <s v="Sem adesivo"/>
    <n v="0"/>
    <n v="0"/>
    <s v="Sem rótulo (decoração direta Plasticom)"/>
    <x v="2"/>
    <n v="1"/>
    <s v="Hot foil metalizado"/>
    <n v="0.03"/>
    <s v="A"/>
    <s v="B"/>
    <s v="A"/>
    <s v="A"/>
    <s v="A"/>
    <s v="A"/>
    <s v="A"/>
    <s v="A"/>
    <s v="A"/>
    <s v="C"/>
    <n v="3"/>
    <x v="2"/>
    <n v="0"/>
    <s v="Decoracao"/>
    <s v="Reduzir a área de hot foil ou usar rótulo metalizado destacável."/>
    <n v="68.430000000000007"/>
    <n v="1"/>
    <n v="1"/>
    <n v="1"/>
    <n v="68.400000000000006"/>
    <n v="0.99956159579131953"/>
    <s v="A"/>
    <x v="2"/>
    <s v="—"/>
    <x v="0"/>
    <s v="Não"/>
    <n v="0.3"/>
    <n v="0.3"/>
    <n v="0.3"/>
    <s v="Outras embalagens de plástico"/>
    <n v="0.35"/>
    <n v="4.9999999999999989E-2"/>
    <s v="Não"/>
    <x v="0"/>
    <n v="35647"/>
    <n v="6"/>
    <s v="ES; IT; PL; PT"/>
    <n v="1750.2676999999999"/>
    <n v="12"/>
    <n v="1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83"/>
    <s v="FR-022-MDPE-1000"/>
    <s v="Frasco"/>
    <x v="0"/>
    <s v="Contacto direto com cosmético/higiene"/>
    <s v="Injeção-sopro (ISBM)"/>
    <s v="FAM-03"/>
    <n v="1000"/>
    <n v="172"/>
    <x v="9"/>
    <s v="PE"/>
    <x v="0"/>
    <s v="PE rígido — frascos e contentores (HDPE/LDPE)"/>
    <s v="Graphite Gray"/>
    <x v="2"/>
    <s v="Gray Masterbatch"/>
    <n v="0.02"/>
    <n v="0.95899999999999996"/>
    <s v="Nenhuma"/>
    <n v="49.1"/>
    <s v="Estimada (22 g a 300 ml, escala ^2/3)"/>
    <s v="TF-007-HDPE-28410"/>
    <s v="HDPE"/>
    <s v="PE"/>
    <n v="21.4"/>
    <s v="Sem vedante"/>
    <s v="Sem rótulo"/>
    <s v="Sem adesivo"/>
    <n v="0"/>
    <n v="0"/>
    <s v="Sem rótulo (decoração direta Plasticom)"/>
    <x v="0"/>
    <n v="2"/>
    <s v="Serigrafia 1–2 cores"/>
    <n v="0.16"/>
    <s v="A"/>
    <s v="B"/>
    <s v="A"/>
    <s v="A"/>
    <s v="A"/>
    <s v="A"/>
    <s v="A"/>
    <s v="A"/>
    <s v="A"/>
    <s v="B"/>
    <n v="2"/>
    <x v="0"/>
    <n v="0"/>
    <s v="Cor"/>
    <s v="Preferir cores claras."/>
    <n v="70.66"/>
    <n v="1"/>
    <n v="1"/>
    <n v="1"/>
    <n v="70.5"/>
    <n v="0.99773563543730548"/>
    <s v="A"/>
    <x v="0"/>
    <s v="—"/>
    <x v="0"/>
    <s v="Sim"/>
    <n v="0"/>
    <n v="0"/>
    <n v="0"/>
    <s v="Outras embalagens de plástico"/>
    <n v="0.35"/>
    <n v="0.35"/>
    <s v="Não"/>
    <x v="0"/>
    <n v="35135"/>
    <n v="5"/>
    <s v="DE; FR; IT; PL; PT"/>
    <n v="1725.1285"/>
    <n v="12"/>
    <n v="1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84"/>
    <s v="FR-025-PET-1000"/>
    <s v="Frasco"/>
    <x v="0"/>
    <s v="Contacto direto com cosmético/higiene"/>
    <s v="Injeção-sopro (ISBM)"/>
    <s v="FAM-10"/>
    <n v="1000"/>
    <n v="172"/>
    <x v="4"/>
    <s v="PET"/>
    <x v="1"/>
    <s v="PET — garrafas/frascos transparentes incolores"/>
    <s v="Natural (Uncolored)"/>
    <x v="1"/>
    <s v="No Masterbatch"/>
    <n v="0"/>
    <n v="1.38"/>
    <s v="Nenhuma"/>
    <n v="49.1"/>
    <s v="Estimada (22 g a 300 ml, escala ^2/3)"/>
    <s v="TR-004-PP-28410"/>
    <s v="PP"/>
    <s v="PP"/>
    <n v="14.3"/>
    <s v="Sem vedante"/>
    <s v="Autoadesivo PE/PP"/>
    <s v="Acrílico permanente"/>
    <n v="0.4"/>
    <n v="1.02"/>
    <s v="Cenário típico do cliente — confirmar especificação"/>
    <x v="1"/>
    <n v="0"/>
    <s v="Nenhuma"/>
    <n v="0"/>
    <s v="A"/>
    <s v="A"/>
    <s v="A"/>
    <s v="A"/>
    <s v="A"/>
    <s v="A"/>
    <s v="A"/>
    <s v="C"/>
    <s v="A"/>
    <s v="A"/>
    <n v="3"/>
    <x v="2"/>
    <n v="0"/>
    <s v="Adesivo"/>
    <s v="Exigir ao cliente adesivo lavável a 80 °C (teste de lavabilidade)."/>
    <n v="64.42"/>
    <n v="1"/>
    <n v="1"/>
    <n v="1"/>
    <n v="64.42"/>
    <n v="1"/>
    <s v="A"/>
    <x v="2"/>
    <s v="—"/>
    <x v="0"/>
    <s v="Não"/>
    <n v="0"/>
    <n v="0"/>
    <n v="0"/>
    <s v="Outras embalagens de plástico"/>
    <n v="0.35"/>
    <n v="0.35"/>
    <s v="Não"/>
    <x v="1"/>
    <n v="148672"/>
    <n v="14"/>
    <s v="DE; ES; FR; IT; PL; PT"/>
    <n v="7299.7952000000005"/>
    <n v="12"/>
    <n v="1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85"/>
    <s v="FR-024-PET-1000"/>
    <s v="Frasco"/>
    <x v="0"/>
    <s v="Contacto direto com cosmético/higiene"/>
    <s v="Injeção-sopro (ISBM)"/>
    <s v="FAM-10"/>
    <n v="1000"/>
    <n v="172"/>
    <x v="4"/>
    <s v="PET"/>
    <x v="1"/>
    <s v="PET — garrafas/frascos transparentes incolores"/>
    <s v="Natural (Uncolored)"/>
    <x v="1"/>
    <s v="No Masterbatch"/>
    <n v="0"/>
    <n v="1.38"/>
    <s v="Nenhuma"/>
    <n v="49.1"/>
    <s v="Estimada (22 g a 300 ml, escala ^2/3)"/>
    <s v="TF-007-PP-28410"/>
    <s v="PP"/>
    <s v="PP"/>
    <n v="19.3"/>
    <s v="Sem vedante"/>
    <s v="Sem rótulo"/>
    <s v="Sem adesivo"/>
    <n v="0"/>
    <n v="0"/>
    <s v="Sem rótulo (decoração direta Plasticom)"/>
    <x v="0"/>
    <n v="1"/>
    <s v="Serigrafia 1–2 cores"/>
    <n v="0.08"/>
    <s v="A"/>
    <s v="A"/>
    <s v="A"/>
    <s v="A"/>
    <s v="A"/>
    <s v="A"/>
    <s v="A"/>
    <s v="A"/>
    <s v="A"/>
    <s v="D"/>
    <n v="4"/>
    <x v="1"/>
    <n v="0"/>
    <s v="Decoracao"/>
    <s v="Rótulo de PE/PP ou tinta destintável em lavagem alcalina (validar)."/>
    <n v="68.48"/>
    <n v="1"/>
    <n v="1"/>
    <n v="1"/>
    <n v="68.400000000000006"/>
    <n v="0.99883177570093462"/>
    <s v="A"/>
    <x v="1"/>
    <s v="—"/>
    <x v="1"/>
    <s v="Não"/>
    <n v="0"/>
    <n v="0"/>
    <n v="0"/>
    <s v="Outras embalagens de plástico"/>
    <n v="0.35"/>
    <n v="0.35"/>
    <s v="Não"/>
    <x v="1"/>
    <n v="204699"/>
    <n v="14"/>
    <s v="DE; ES; FR; IT; PL; PT"/>
    <n v="10050.7209"/>
    <n v="12"/>
    <n v="2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86"/>
    <s v="FR-022-PET-1000"/>
    <s v="Frasco"/>
    <x v="0"/>
    <s v="Contacto direto com cosmético/higiene"/>
    <s v="Injeção-sopro (ISBM)"/>
    <s v="FAM-10"/>
    <n v="1000"/>
    <n v="172"/>
    <x v="4"/>
    <s v="PET"/>
    <x v="1"/>
    <s v="PET — garrafas/frascos transparentes incolores"/>
    <s v="Natural (Uncolored)"/>
    <x v="1"/>
    <s v="No Masterbatch"/>
    <n v="0"/>
    <n v="1.38"/>
    <s v="Nenhuma"/>
    <n v="49.1"/>
    <s v="Estimada (22 g a 300 ml, escala ^2/3)"/>
    <s v="TF-007-PP-28410"/>
    <s v="PP"/>
    <s v="PP"/>
    <n v="19.3"/>
    <s v="Sem vedante"/>
    <s v="Sem rótulo"/>
    <s v="Sem adesivo"/>
    <n v="0"/>
    <n v="0"/>
    <s v="Sem rótulo (decoração direta Plasticom)"/>
    <x v="2"/>
    <n v="1"/>
    <s v="Hot foil metalizado"/>
    <n v="0.03"/>
    <s v="A"/>
    <s v="A"/>
    <s v="A"/>
    <s v="A"/>
    <s v="A"/>
    <s v="A"/>
    <s v="A"/>
    <s v="A"/>
    <s v="A"/>
    <s v="D"/>
    <n v="4"/>
    <x v="1"/>
    <n v="0"/>
    <s v="Decoracao"/>
    <s v="Rótulo metalizado de PE/PP destacável."/>
    <n v="68.430000000000007"/>
    <n v="1"/>
    <n v="1"/>
    <n v="1"/>
    <n v="68.400000000000006"/>
    <n v="0.99956159579131953"/>
    <s v="A"/>
    <x v="1"/>
    <s v="—"/>
    <x v="1"/>
    <s v="Não"/>
    <n v="0"/>
    <n v="0"/>
    <n v="0"/>
    <s v="Outras embalagens de plástico"/>
    <n v="0.35"/>
    <n v="0.35"/>
    <s v="Não"/>
    <x v="1"/>
    <n v="48392"/>
    <n v="9"/>
    <s v="FR; IT; PL; PT"/>
    <n v="2376.0472"/>
    <n v="12"/>
    <n v="2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87"/>
    <s v="FR-022-PETG-1000"/>
    <s v="Frasco"/>
    <x v="0"/>
    <s v="Contacto direto com cosmético/higiene"/>
    <s v="Injeção-sopro (ISBM)"/>
    <s v="FAM-13"/>
    <n v="1000"/>
    <n v="172"/>
    <x v="5"/>
    <s v="PETG"/>
    <x v="2"/>
    <s v="Sem categoria RecyClass (PETG)"/>
    <s v="Natural (Uncolored)"/>
    <x v="1"/>
    <s v="No Masterbatch"/>
    <n v="0"/>
    <n v="1.27"/>
    <s v="Nenhuma"/>
    <n v="49.1"/>
    <s v="Estimada (22 g a 300 ml, escala ^2/3)"/>
    <s v="TR-004-PETG-28410"/>
    <s v="PETG"/>
    <s v="PETG"/>
    <n v="16.7"/>
    <s v="Sem vedante"/>
    <s v="Autoadesivo PE/PP"/>
    <s v="Lavável a 80 °C (alcalino)"/>
    <n v="0.4"/>
    <n v="1.02"/>
    <s v="Cenário típico do cliente — confirmar especificação"/>
    <x v="1"/>
    <n v="0"/>
    <s v="Nenhuma"/>
    <n v="0"/>
    <s v="F"/>
    <s v="—"/>
    <s v="—"/>
    <s v="—"/>
    <s v="—"/>
    <s v="—"/>
    <s v="—"/>
    <s v="—"/>
    <s v="—"/>
    <s v="—"/>
    <n v="6"/>
    <x v="4"/>
    <n v="0"/>
    <s v="Fluxo"/>
    <s v="Mudar o corpo para PET (ou PP/PE) — PETG não passa a grau C em 2030."/>
    <n v="66.819999999999993"/>
    <n v="0"/>
    <n v="0"/>
    <n v="0"/>
    <n v="0"/>
    <n v="0"/>
    <s v="&lt; 70%"/>
    <x v="4"/>
    <s v="—"/>
    <x v="1"/>
    <s v="Não"/>
    <n v="0"/>
    <n v="0"/>
    <n v="0"/>
    <s v="Outras embalagens de plástico"/>
    <n v="0.35"/>
    <n v="0.35"/>
    <s v="Não"/>
    <x v="1"/>
    <n v="93478"/>
    <n v="11"/>
    <s v="DE; ES; FR; PL; PT"/>
    <n v="4589.7698"/>
    <n v="12"/>
    <n v="4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88"/>
    <s v="FR-022-PP-1000"/>
    <s v="Frasco"/>
    <x v="0"/>
    <s v="Contacto direto com cosmético/higiene"/>
    <s v="Injeção-sopro (ISBM)"/>
    <s v="FAM-06"/>
    <n v="1000"/>
    <n v="172"/>
    <x v="6"/>
    <s v="PP"/>
    <x v="3"/>
    <s v="PP rígido — frascos, potes e contentores"/>
    <s v="Opaque White"/>
    <x v="3"/>
    <s v="White Masterbatch (TiO2)"/>
    <n v="2.5000000000000001E-2"/>
    <n v="0.93500000000000005"/>
    <s v="Nenhuma"/>
    <n v="49.1"/>
    <s v="Estimada (22 g a 300 ml, escala ^2/3)"/>
    <s v="TF-007-PP-28410"/>
    <s v="PP"/>
    <s v="PP"/>
    <n v="19.3"/>
    <s v="Sem vedante"/>
    <s v="Autoadesivo PE/PP"/>
    <s v="Acrílico permanente"/>
    <n v="0.4"/>
    <n v="1.02"/>
    <s v="Cenário típico do cliente — confirmar especificação"/>
    <x v="1"/>
    <n v="0"/>
    <s v="Nenhuma"/>
    <n v="0"/>
    <s v="A"/>
    <s v="A"/>
    <s v="A"/>
    <s v="A"/>
    <s v="A"/>
    <s v="A"/>
    <s v="A"/>
    <s v="A"/>
    <s v="A"/>
    <s v="A"/>
    <n v="1"/>
    <x v="3"/>
    <n v="0"/>
    <s v="—"/>
    <s v="Sem ação — manter o design."/>
    <n v="69.42"/>
    <n v="1"/>
    <n v="1"/>
    <n v="1"/>
    <n v="69.42"/>
    <n v="1"/>
    <s v="A"/>
    <x v="3"/>
    <s v="—"/>
    <x v="0"/>
    <s v="Sim"/>
    <n v="0"/>
    <n v="0"/>
    <n v="0"/>
    <s v="Outras embalagens de plástico"/>
    <n v="0.35"/>
    <n v="0.35"/>
    <s v="Não"/>
    <x v="0"/>
    <n v="50601"/>
    <n v="10"/>
    <s v="ES; FR; IT; PL; PT"/>
    <n v="2484.5091000000002"/>
    <n v="12"/>
    <n v="1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89"/>
    <s v="FR-022-PP-PCR-1000"/>
    <s v="Frasco"/>
    <x v="0"/>
    <s v="Contacto direto com cosmético/higiene"/>
    <s v="Injeção-sopro (ISBM)"/>
    <s v="FAM-07"/>
    <n v="1000"/>
    <n v="172"/>
    <x v="7"/>
    <s v="PP"/>
    <x v="3"/>
    <s v="PP rígido — frascos, potes e contentores"/>
    <s v="Cobalt Blue"/>
    <x v="0"/>
    <s v="Blue Masterbatch"/>
    <n v="0.02"/>
    <n v="0.93400000000000005"/>
    <s v="Nenhuma"/>
    <n v="49.1"/>
    <s v="Estimada (22 g a 300 ml, escala ^2/3)"/>
    <s v="TF-007-PP-PCR-28410"/>
    <s v="PP-PCR"/>
    <s v="PP"/>
    <n v="19.3"/>
    <s v="Sem vedante"/>
    <s v="Sem rótulo"/>
    <s v="Sem adesivo"/>
    <n v="0"/>
    <n v="0"/>
    <s v="Sem rótulo (decoração direta Plasticom)"/>
    <x v="2"/>
    <n v="1"/>
    <s v="Hot foil metalizado"/>
    <n v="0.03"/>
    <s v="A"/>
    <s v="B"/>
    <s v="A"/>
    <s v="A"/>
    <s v="A"/>
    <s v="A"/>
    <s v="A"/>
    <s v="A"/>
    <s v="A"/>
    <s v="C"/>
    <n v="3"/>
    <x v="2"/>
    <n v="0"/>
    <s v="Decoracao"/>
    <s v="Reduzir a área de hot foil ou usar rótulo metalizado destacável."/>
    <n v="68.430000000000007"/>
    <n v="1"/>
    <n v="1"/>
    <n v="1"/>
    <n v="68.400000000000006"/>
    <n v="0.99956159579131953"/>
    <s v="A"/>
    <x v="2"/>
    <s v="—"/>
    <x v="0"/>
    <s v="Não"/>
    <n v="0.3"/>
    <n v="0.3"/>
    <n v="0.3"/>
    <s v="Outras embalagens de plástico"/>
    <n v="0.35"/>
    <n v="4.9999999999999989E-2"/>
    <s v="Não"/>
    <x v="0"/>
    <n v="23217"/>
    <n v="3"/>
    <s v="FR; PL; PT"/>
    <n v="1139.9547"/>
    <n v="12"/>
    <n v="1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90"/>
    <s v="FR-022-PVC-1000"/>
    <s v="Frasco"/>
    <x v="0"/>
    <s v="Contacto direto com cosmético/higiene"/>
    <s v="Injeção-sopro (ISBM)"/>
    <s v="FAM-14"/>
    <n v="1000"/>
    <n v="172"/>
    <x v="8"/>
    <s v="PVC"/>
    <x v="4"/>
    <s v="Sem categoria RecyClass (PVC)"/>
    <s v="Natural (Uncolored)"/>
    <x v="1"/>
    <s v="No Masterbatch"/>
    <n v="0"/>
    <n v="1.35"/>
    <s v="Nenhuma"/>
    <n v="49.1"/>
    <s v="Estimada (22 g a 300 ml, escala ^2/3)"/>
    <s v="TF-007-PP-28410"/>
    <s v="PP"/>
    <s v="PP"/>
    <n v="19.3"/>
    <s v="Sem vedante"/>
    <s v="Sem rótulo"/>
    <s v="Sem adesivo"/>
    <n v="0"/>
    <n v="0"/>
    <s v="Sem rótulo (decoração direta Plasticom)"/>
    <x v="2"/>
    <n v="1"/>
    <s v="Hot foil metalizado"/>
    <n v="0.03"/>
    <s v="F"/>
    <s v="—"/>
    <s v="—"/>
    <s v="—"/>
    <s v="—"/>
    <s v="—"/>
    <s v="—"/>
    <s v="—"/>
    <s v="—"/>
    <s v="—"/>
    <n v="6"/>
    <x v="4"/>
    <n v="0"/>
    <s v="Fluxo"/>
    <s v="Eliminar o PVC do portfólio (substituir por PET ou PP)."/>
    <n v="68.430000000000007"/>
    <n v="0"/>
    <n v="0"/>
    <n v="0"/>
    <n v="0"/>
    <n v="0"/>
    <s v="&lt; 70%"/>
    <x v="4"/>
    <s v="—"/>
    <x v="1"/>
    <s v="Não"/>
    <n v="0"/>
    <n v="0"/>
    <n v="0"/>
    <s v="Outras embalagens de plástico"/>
    <n v="0.35"/>
    <n v="0.35"/>
    <s v="Não"/>
    <x v="1"/>
    <n v="46345"/>
    <n v="9"/>
    <s v="DE; ES; FR; IT; PL; PT"/>
    <n v="2275.5394999999999"/>
    <n v="12"/>
    <n v="4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91"/>
    <s v="FR-022-rPET-1000"/>
    <s v="Frasco"/>
    <x v="0"/>
    <s v="Contacto direto com cosmético/higiene"/>
    <s v="Injeção-sopro (ISBM)"/>
    <s v="FAM-11"/>
    <n v="1000"/>
    <n v="172"/>
    <x v="2"/>
    <s v="PET"/>
    <x v="1"/>
    <s v="PET — garrafas/frascos transparentes incolores"/>
    <s v="Natural (Uncolored)"/>
    <x v="1"/>
    <s v="No Masterbatch"/>
    <n v="0"/>
    <n v="1.38"/>
    <s v="Nenhuma"/>
    <n v="49.1"/>
    <s v="Estimada (22 g a 300 ml, escala ^2/3)"/>
    <s v="TF-007-PP-28410"/>
    <s v="PP"/>
    <s v="PP"/>
    <n v="19.3"/>
    <s v="Sem vedante"/>
    <s v="Autoadesivo PE/PP"/>
    <s v="Lavável a 80 °C (alcalino)"/>
    <n v="0.4"/>
    <n v="1.02"/>
    <s v="Cenário típico do cliente — confirmar especificação"/>
    <x v="1"/>
    <n v="0"/>
    <s v="Nenhuma"/>
    <n v="0"/>
    <s v="A"/>
    <s v="A"/>
    <s v="A"/>
    <s v="A"/>
    <s v="A"/>
    <s v="A"/>
    <s v="A"/>
    <s v="A"/>
    <s v="A"/>
    <s v="A"/>
    <n v="1"/>
    <x v="3"/>
    <n v="0"/>
    <s v="—"/>
    <s v="Sem ação — manter o design."/>
    <n v="69.42"/>
    <n v="1"/>
    <n v="1"/>
    <n v="1"/>
    <n v="69.42"/>
    <n v="1"/>
    <s v="A"/>
    <x v="3"/>
    <s v="—"/>
    <x v="0"/>
    <s v="Sim"/>
    <n v="0.5"/>
    <n v="0"/>
    <n v="0.35891812865497075"/>
    <s v="Outras embalagens de plástico"/>
    <n v="0.35"/>
    <n v="0"/>
    <s v="Sim"/>
    <x v="1"/>
    <n v="94528"/>
    <n v="10"/>
    <s v="ES; FR; IT; PL; PT"/>
    <n v="4641.3247999999994"/>
    <n v="12"/>
    <n v="1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92"/>
    <s v="FR-023-rPET-1000"/>
    <s v="Frasco"/>
    <x v="0"/>
    <s v="Contacto direto com cosmético/higiene"/>
    <s v="Injeção-sopro (ISBM)"/>
    <s v="FAM-11"/>
    <n v="1000"/>
    <n v="172"/>
    <x v="2"/>
    <s v="PET"/>
    <x v="1"/>
    <s v="PET — garrafas/frascos transparentes incolores"/>
    <s v="Natural (Uncolored)"/>
    <x v="1"/>
    <s v="No Masterbatch"/>
    <n v="0"/>
    <n v="1.38"/>
    <s v="Nenhuma"/>
    <n v="49.1"/>
    <s v="Estimada (22 g a 300 ml, escala ^2/3)"/>
    <s v="TR-004-PP-28410"/>
    <s v="PP"/>
    <s v="PP"/>
    <n v="14.3"/>
    <s v="Sem vedante"/>
    <s v="Autoadesivo PE/PP"/>
    <s v="Lavável a 80 °C (alcalino)"/>
    <n v="0.4"/>
    <n v="1.02"/>
    <s v="Cenário típico do cliente — confirmar especificação"/>
    <x v="1"/>
    <n v="0"/>
    <s v="Nenhuma"/>
    <n v="0"/>
    <s v="A"/>
    <s v="A"/>
    <s v="A"/>
    <s v="A"/>
    <s v="A"/>
    <s v="A"/>
    <s v="A"/>
    <s v="A"/>
    <s v="A"/>
    <s v="A"/>
    <n v="1"/>
    <x v="3"/>
    <n v="0"/>
    <s v="—"/>
    <s v="Sem ação — manter o design."/>
    <n v="64.42"/>
    <n v="1"/>
    <n v="1"/>
    <n v="1"/>
    <n v="64.42"/>
    <n v="1"/>
    <s v="A"/>
    <x v="3"/>
    <s v="—"/>
    <x v="0"/>
    <s v="Sim"/>
    <n v="0.5"/>
    <n v="0"/>
    <n v="0.38722397476340692"/>
    <s v="Outras embalagens de plástico"/>
    <n v="0.35"/>
    <n v="0"/>
    <s v="Sim"/>
    <x v="1"/>
    <n v="93316"/>
    <n v="12"/>
    <s v="DE; ES; FR; PL; PT"/>
    <n v="4581.8156000000008"/>
    <n v="12"/>
    <n v="1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93"/>
    <s v="FR-026-HDPE-4000"/>
    <s v="Frasco"/>
    <x v="0"/>
    <s v="Contacto direto com cosmético/higiene"/>
    <s v="Injeção-sopro (ISBM)"/>
    <s v="FAM-01"/>
    <n v="4000"/>
    <n v="273"/>
    <x v="0"/>
    <s v="PE"/>
    <x v="0"/>
    <s v="PE rígido — frascos e contentores (HDPE/LDPE)"/>
    <s v="Emerald Green"/>
    <x v="0"/>
    <s v="Green Masterbatch"/>
    <n v="0.02"/>
    <n v="0.97899999999999998"/>
    <s v="Nenhuma"/>
    <n v="123.7"/>
    <s v="Estimada (22 g a 300 ml, escala ^2/3)"/>
    <s v="TF-007-HDPE-28410"/>
    <s v="HDPE"/>
    <s v="PE"/>
    <n v="21.4"/>
    <s v="Sem vedante"/>
    <s v="Sem rótulo"/>
    <s v="Sem adesivo"/>
    <n v="0"/>
    <n v="0"/>
    <s v="Sem rótulo (decoração direta Plasticom)"/>
    <x v="2"/>
    <n v="1"/>
    <s v="Hot foil metalizado"/>
    <n v="0.03"/>
    <s v="A"/>
    <s v="B"/>
    <s v="A"/>
    <s v="A"/>
    <s v="A"/>
    <s v="A"/>
    <s v="A"/>
    <s v="A"/>
    <s v="A"/>
    <s v="C"/>
    <n v="3"/>
    <x v="2"/>
    <n v="0"/>
    <s v="Decoracao"/>
    <s v="Reduzir a área de hot foil ou usar rótulo metalizado destacável."/>
    <n v="145.13"/>
    <n v="1"/>
    <n v="1"/>
    <n v="1"/>
    <n v="145.1"/>
    <n v="0.99979328877558049"/>
    <s v="A"/>
    <x v="2"/>
    <s v="—"/>
    <x v="0"/>
    <s v="Não"/>
    <n v="0"/>
    <n v="0"/>
    <n v="0"/>
    <s v="Outras embalagens de plástico"/>
    <n v="0.35"/>
    <n v="0.35"/>
    <s v="Não"/>
    <x v="0"/>
    <n v="195785"/>
    <n v="14"/>
    <s v="DE; ES; FR; IT; PL; PT"/>
    <n v="24218.604500000001"/>
    <n v="12"/>
    <n v="1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94"/>
    <s v="FR-027-HDPE-5000"/>
    <s v="Frasco"/>
    <x v="0"/>
    <s v="Contacto direto com cosmético/higiene"/>
    <s v="Injeção-sopro (ISBM)"/>
    <s v="FAM-01"/>
    <n v="5000"/>
    <n v="294"/>
    <x v="0"/>
    <s v="PE"/>
    <x v="0"/>
    <s v="PE rígido — frascos e contentores (HDPE/LDPE)"/>
    <s v="Cardinal Red"/>
    <x v="0"/>
    <s v="Red Masterbatch"/>
    <n v="0.02"/>
    <n v="0.97899999999999998"/>
    <s v="Nenhuma"/>
    <n v="143.5"/>
    <s v="Estimada (22 g a 300 ml, escala ^2/3)"/>
    <s v="TR-004-HDPE-28410"/>
    <s v="HDPE"/>
    <s v="PE"/>
    <n v="15.9"/>
    <s v="Sem vedante"/>
    <s v="Sem rótulo"/>
    <s v="Sem adesivo"/>
    <n v="0"/>
    <n v="0"/>
    <s v="Sem rótulo (decoração direta Plasticom)"/>
    <x v="0"/>
    <n v="1"/>
    <s v="Serigrafia 1–2 cores"/>
    <n v="0.08"/>
    <s v="A"/>
    <s v="B"/>
    <s v="A"/>
    <s v="A"/>
    <s v="A"/>
    <s v="A"/>
    <s v="A"/>
    <s v="A"/>
    <s v="A"/>
    <s v="B"/>
    <n v="2"/>
    <x v="0"/>
    <n v="0"/>
    <s v="Cor"/>
    <s v="Preferir natural, branco ou cores claras."/>
    <n v="159.48000000000002"/>
    <n v="1"/>
    <n v="1"/>
    <n v="1"/>
    <n v="159.4"/>
    <n v="0.99949836970152994"/>
    <s v="A"/>
    <x v="0"/>
    <s v="—"/>
    <x v="0"/>
    <s v="Sim"/>
    <n v="0"/>
    <n v="0"/>
    <n v="0"/>
    <s v="Outras embalagens de plástico"/>
    <n v="0.35"/>
    <n v="0.35"/>
    <s v="Não"/>
    <x v="0"/>
    <n v="73553"/>
    <n v="14"/>
    <s v="DE; ES; FR; IT; PL; PT"/>
    <n v="10554.8555"/>
    <n v="12"/>
    <n v="1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95"/>
    <s v="FR-028-HDPE-5000"/>
    <s v="Frasco"/>
    <x v="0"/>
    <s v="Contacto direto com cosmético/higiene"/>
    <s v="Injeção-sopro (ISBM)"/>
    <s v="FAM-01"/>
    <n v="5000"/>
    <n v="294"/>
    <x v="0"/>
    <s v="PE"/>
    <x v="0"/>
    <s v="PE rígido — frascos e contentores (HDPE/LDPE)"/>
    <s v="Matte Black"/>
    <x v="4"/>
    <s v="Black Masterbatch (Carbon Black)"/>
    <n v="0.02"/>
    <n v="0.97899999999999998"/>
    <s v="Nenhuma"/>
    <n v="143.5"/>
    <s v="Estimada (22 g a 300 ml, escala ^2/3)"/>
    <s v="TF-007-HDPE-28410"/>
    <s v="HDPE"/>
    <s v="PE"/>
    <n v="21.4"/>
    <s v="Sem vedante"/>
    <s v="Sem rótulo"/>
    <s v="Sem adesivo"/>
    <n v="0"/>
    <n v="0"/>
    <s v="Sem rótulo (decoração direta Plasticom)"/>
    <x v="0"/>
    <n v="1"/>
    <s v="Serigrafia 1–2 cores"/>
    <n v="0.08"/>
    <s v="A"/>
    <s v="F"/>
    <s v="A"/>
    <s v="A"/>
    <s v="A"/>
    <s v="A"/>
    <s v="A"/>
    <s v="A"/>
    <s v="A"/>
    <s v="B"/>
    <n v="6"/>
    <x v="4"/>
    <n v="0"/>
    <s v="Cor"/>
    <s v="Substituir o masterbatch por preto detetável por NIR (pigmentos sem negro de carbono)."/>
    <n v="164.98000000000002"/>
    <n v="0"/>
    <n v="1"/>
    <n v="1"/>
    <n v="0"/>
    <n v="0"/>
    <s v="&lt; 70%"/>
    <x v="4"/>
    <s v="—"/>
    <x v="1"/>
    <s v="Não"/>
    <n v="0"/>
    <n v="0"/>
    <n v="0"/>
    <s v="Outras embalagens de plástico"/>
    <n v="0.35"/>
    <n v="0.35"/>
    <s v="Não"/>
    <x v="0"/>
    <n v="71138"/>
    <n v="14"/>
    <s v="DE; ES; FR; IT; PL; PT"/>
    <n v="10208.303"/>
    <n v="12"/>
    <n v="2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96"/>
    <s v="FR-029-MDPE-5000"/>
    <s v="Frasco"/>
    <x v="0"/>
    <s v="Contacto direto com cosmético/higiene"/>
    <s v="Injeção-sopro (ISBM)"/>
    <s v="FAM-03"/>
    <n v="5000"/>
    <n v="294"/>
    <x v="9"/>
    <s v="PE"/>
    <x v="0"/>
    <s v="PE rígido — frascos e contentores (HDPE/LDPE)"/>
    <s v="Cardinal Red"/>
    <x v="0"/>
    <s v="Red Masterbatch"/>
    <n v="0.02"/>
    <n v="0.95899999999999996"/>
    <s v="Nenhuma"/>
    <n v="143.5"/>
    <s v="Estimada (22 g a 300 ml, escala ^2/3)"/>
    <s v="TR-004-HDPE-28410"/>
    <s v="HDPE"/>
    <s v="PE"/>
    <n v="15.9"/>
    <s v="Sem vedante"/>
    <s v="Sem rótulo"/>
    <s v="Sem adesivo"/>
    <n v="0"/>
    <n v="0"/>
    <s v="Sem rótulo (decoração direta Plasticom)"/>
    <x v="2"/>
    <n v="1"/>
    <s v="Hot foil metalizado"/>
    <n v="0.03"/>
    <s v="A"/>
    <s v="B"/>
    <s v="A"/>
    <s v="A"/>
    <s v="A"/>
    <s v="A"/>
    <s v="A"/>
    <s v="A"/>
    <s v="A"/>
    <s v="C"/>
    <n v="3"/>
    <x v="2"/>
    <n v="0"/>
    <s v="Decoracao"/>
    <s v="Reduzir a área de hot foil ou usar rótulo metalizado destacável."/>
    <n v="159.43"/>
    <n v="1"/>
    <n v="1"/>
    <n v="1"/>
    <n v="159.4"/>
    <n v="0.99981182964310356"/>
    <s v="A"/>
    <x v="2"/>
    <s v="—"/>
    <x v="0"/>
    <s v="Não"/>
    <n v="0"/>
    <n v="0"/>
    <n v="0"/>
    <s v="Outras embalagens de plástico"/>
    <n v="0.35"/>
    <n v="0.35"/>
    <s v="Não"/>
    <x v="0"/>
    <n v="80360"/>
    <n v="14"/>
    <s v="DE; ES; FR; IT; PL; PT"/>
    <n v="11531.66"/>
    <n v="12"/>
    <n v="1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97"/>
    <s v="FR-005-rPET-330"/>
    <s v="Frasco"/>
    <x v="0"/>
    <s v="Contacto direto com cosmético/higiene"/>
    <s v="Injeção-sopro (ISBM)"/>
    <s v="FAM-11"/>
    <n v="330"/>
    <n v="119"/>
    <x v="2"/>
    <s v="PET"/>
    <x v="1"/>
    <s v="PET — garrafas/frascos transparentes incolores"/>
    <s v="Natural (Uncolored)"/>
    <x v="1"/>
    <s v="No Masterbatch"/>
    <n v="0"/>
    <n v="1.38"/>
    <s v="Nenhuma"/>
    <n v="23.4"/>
    <s v="Estimada (22 g a 300 ml, escala ^2/3)"/>
    <s v="TR-001-PP-24410"/>
    <s v="PP"/>
    <s v="PP"/>
    <n v="10.3"/>
    <s v="Sem vedante"/>
    <s v="Sem rótulo"/>
    <s v="Sem adesivo"/>
    <n v="0"/>
    <n v="0"/>
    <s v="Sem rótulo (decoração direta Plasticom)"/>
    <x v="2"/>
    <n v="1"/>
    <s v="Hot foil metalizado"/>
    <n v="0.03"/>
    <s v="A"/>
    <s v="A"/>
    <s v="A"/>
    <s v="A"/>
    <s v="A"/>
    <s v="A"/>
    <s v="A"/>
    <s v="A"/>
    <s v="A"/>
    <s v="D"/>
    <n v="4"/>
    <x v="1"/>
    <n v="0"/>
    <s v="Decoracao"/>
    <s v="Rótulo metalizado de PE/PP destacável."/>
    <n v="33.730000000000004"/>
    <n v="1"/>
    <n v="1"/>
    <n v="1"/>
    <n v="33.700000000000003"/>
    <n v="0.99911058404980724"/>
    <s v="A"/>
    <x v="1"/>
    <s v="—"/>
    <x v="1"/>
    <s v="Não"/>
    <n v="0.5"/>
    <n v="0"/>
    <n v="0.34718100890207709"/>
    <s v="Outras embalagens de plástico"/>
    <n v="0.35"/>
    <n v="2.8189910979228849E-3"/>
    <s v="Não"/>
    <x v="1"/>
    <n v="689414"/>
    <n v="14"/>
    <s v="DE; ES; FR; IT; PL; PT"/>
    <n v="16132.2876"/>
    <n v="12"/>
    <n v="3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98"/>
    <s v="FR-006-rPET-330"/>
    <s v="Frasco"/>
    <x v="0"/>
    <s v="Contacto direto com cosmético/higiene"/>
    <s v="Injeção-sopro (ISBM)"/>
    <s v="FAM-11"/>
    <n v="330"/>
    <n v="119"/>
    <x v="2"/>
    <s v="PET"/>
    <x v="1"/>
    <s v="PET — garrafas/frascos transparentes incolores"/>
    <s v="Natural (Uncolored)"/>
    <x v="1"/>
    <s v="No Masterbatch"/>
    <n v="0"/>
    <n v="1.38"/>
    <s v="Nenhuma"/>
    <n v="23.4"/>
    <s v="Estimada (22 g a 300 ml, escala ^2/3)"/>
    <s v="TF-005-PP-24410"/>
    <s v="PP"/>
    <s v="PP"/>
    <n v="13.9"/>
    <s v="Sem vedante"/>
    <s v="Autoadesivo PE/PP"/>
    <s v="Lavável a 80 °C (alcalino)"/>
    <n v="0.4"/>
    <n v="0.49"/>
    <s v="Cenário típico do cliente — confirmar especificação"/>
    <x v="1"/>
    <n v="0"/>
    <s v="Nenhuma"/>
    <n v="0"/>
    <s v="A"/>
    <s v="A"/>
    <s v="A"/>
    <s v="A"/>
    <s v="A"/>
    <s v="A"/>
    <s v="A"/>
    <s v="A"/>
    <s v="A"/>
    <s v="A"/>
    <n v="1"/>
    <x v="3"/>
    <n v="0"/>
    <s v="—"/>
    <s v="Sem ação — manter o design."/>
    <n v="37.79"/>
    <n v="1"/>
    <n v="1"/>
    <n v="1"/>
    <n v="37.79"/>
    <n v="1"/>
    <s v="A"/>
    <x v="3"/>
    <s v="—"/>
    <x v="0"/>
    <s v="Sim"/>
    <n v="0.5"/>
    <n v="0"/>
    <n v="0.31367292225201071"/>
    <s v="Outras embalagens de plástico"/>
    <n v="0.35"/>
    <n v="3.6327077747989267E-2"/>
    <s v="Não"/>
    <x v="1"/>
    <n v="243893"/>
    <n v="14"/>
    <s v="DE; ES; FR; IT; PL; PT"/>
    <n v="5707.096199999999"/>
    <n v="12"/>
    <n v="2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099"/>
    <s v="FR-011-PET-400"/>
    <s v="Frasco"/>
    <x v="0"/>
    <s v="Contacto direto com cosmético/higiene"/>
    <s v="Injeção-sopro (ISBM)"/>
    <s v="FAM-10"/>
    <n v="400"/>
    <n v="127"/>
    <x v="4"/>
    <s v="PET"/>
    <x v="1"/>
    <s v="PET — garrafas/frascos transparentes incolores"/>
    <s v="Natural (Uncolored)"/>
    <x v="1"/>
    <s v="No Masterbatch"/>
    <n v="0"/>
    <n v="1.38"/>
    <s v="Nenhuma"/>
    <n v="26.7"/>
    <s v="Estimada (22 g a 300 ml, escala ^2/3)"/>
    <s v="TR-004-PP-28410"/>
    <s v="PP"/>
    <s v="PP"/>
    <n v="14.3"/>
    <s v="Sem vedante"/>
    <s v="Sem rótulo"/>
    <s v="Sem adesivo"/>
    <n v="0"/>
    <n v="0"/>
    <s v="Sem rótulo (decoração direta Plasticom)"/>
    <x v="0"/>
    <n v="3"/>
    <s v="Serigrafia ≥ 3 cores"/>
    <n v="0.24"/>
    <s v="A"/>
    <s v="A"/>
    <s v="A"/>
    <s v="A"/>
    <s v="A"/>
    <s v="A"/>
    <s v="A"/>
    <s v="A"/>
    <s v="A"/>
    <s v="D"/>
    <n v="4"/>
    <x v="1"/>
    <n v="0"/>
    <s v="Decoracao"/>
    <s v="Rótulo de PE/PP ou tinta destintável em lavagem alcalina (validar)."/>
    <n v="41.24"/>
    <n v="1"/>
    <n v="1"/>
    <n v="1"/>
    <n v="41"/>
    <n v="0.99418040737148394"/>
    <s v="A"/>
    <x v="1"/>
    <s v="—"/>
    <x v="1"/>
    <s v="Não"/>
    <n v="0"/>
    <n v="0"/>
    <n v="0"/>
    <s v="Outras embalagens de plástico"/>
    <n v="0.35"/>
    <n v="0.35"/>
    <s v="Não"/>
    <x v="1"/>
    <n v="436657"/>
    <n v="14"/>
    <s v="DE; ES; FR; IT; PL; PT"/>
    <n v="11658.741900000001"/>
    <n v="12"/>
    <n v="2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100"/>
    <s v="FR-012-PET-400"/>
    <s v="Frasco"/>
    <x v="0"/>
    <s v="Contacto direto com cosmético/higiene"/>
    <s v="Injeção-sopro (ISBM)"/>
    <s v="FAM-10"/>
    <n v="400"/>
    <n v="127"/>
    <x v="4"/>
    <s v="PET"/>
    <x v="1"/>
    <s v="PET — garrafas/frascos transparentes incolores"/>
    <s v="Natural (Uncolored)"/>
    <x v="1"/>
    <s v="No Masterbatch"/>
    <n v="0"/>
    <n v="1.38"/>
    <s v="Nenhuma"/>
    <n v="26.7"/>
    <s v="Estimada (22 g a 300 ml, escala ^2/3)"/>
    <s v="TF-007-PP-28410"/>
    <s v="PP"/>
    <s v="PP"/>
    <n v="19.3"/>
    <s v="Sem vedante"/>
    <s v="Sem rótulo"/>
    <s v="Sem adesivo"/>
    <n v="0"/>
    <n v="0"/>
    <s v="Sem rótulo (decoração direta Plasticom)"/>
    <x v="2"/>
    <n v="1"/>
    <s v="Hot foil metalizado"/>
    <n v="0.03"/>
    <s v="A"/>
    <s v="A"/>
    <s v="A"/>
    <s v="A"/>
    <s v="A"/>
    <s v="A"/>
    <s v="A"/>
    <s v="A"/>
    <s v="A"/>
    <s v="D"/>
    <n v="4"/>
    <x v="1"/>
    <n v="0"/>
    <s v="Decoracao"/>
    <s v="Rótulo metalizado de PE/PP destacável."/>
    <n v="46.03"/>
    <n v="1"/>
    <n v="1"/>
    <n v="1"/>
    <n v="46"/>
    <n v="0.99934825114056047"/>
    <s v="A"/>
    <x v="1"/>
    <s v="—"/>
    <x v="1"/>
    <s v="Não"/>
    <n v="0"/>
    <n v="0"/>
    <n v="0"/>
    <s v="Outras embalagens de plástico"/>
    <n v="0.35"/>
    <n v="0.35"/>
    <s v="Não"/>
    <x v="1"/>
    <n v="537560"/>
    <n v="14"/>
    <s v="DE; ES; FR; IT; PL; PT"/>
    <n v="14352.852000000001"/>
    <n v="12"/>
    <n v="2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101"/>
    <s v="FR-016-HDPE-600"/>
    <s v="Frasco"/>
    <x v="0"/>
    <s v="Contacto direto com cosmético/higiene"/>
    <s v="Injeção-sopro (ISBM)"/>
    <s v="FAM-01"/>
    <n v="600"/>
    <n v="145"/>
    <x v="0"/>
    <s v="PE"/>
    <x v="0"/>
    <s v="PE rígido — frascos e contentores (HDPE/LDPE)"/>
    <s v="Matte Black"/>
    <x v="4"/>
    <s v="Black Masterbatch (Carbon Black)"/>
    <n v="0.02"/>
    <n v="0.97899999999999998"/>
    <s v="Nenhuma"/>
    <n v="34.9"/>
    <s v="Estimada (22 g a 300 ml, escala ^2/3)"/>
    <s v="TF-007-HDPE-28410"/>
    <s v="HDPE"/>
    <s v="PE"/>
    <n v="21.4"/>
    <s v="Sem vedante"/>
    <s v="Sem rótulo"/>
    <s v="Sem adesivo"/>
    <n v="0"/>
    <n v="0"/>
    <s v="Sem rótulo (decoração direta Plasticom)"/>
    <x v="0"/>
    <n v="2"/>
    <s v="Serigrafia 1–2 cores"/>
    <n v="0.16"/>
    <s v="A"/>
    <s v="F"/>
    <s v="A"/>
    <s v="A"/>
    <s v="A"/>
    <s v="A"/>
    <s v="A"/>
    <s v="A"/>
    <s v="A"/>
    <s v="B"/>
    <n v="6"/>
    <x v="4"/>
    <n v="0"/>
    <s v="Cor"/>
    <s v="Substituir o masterbatch por preto detetável por NIR (pigmentos sem negro de carbono)."/>
    <n v="56.459999999999994"/>
    <n v="0"/>
    <n v="1"/>
    <n v="1"/>
    <n v="0"/>
    <n v="0"/>
    <s v="&lt; 70%"/>
    <x v="4"/>
    <s v="—"/>
    <x v="1"/>
    <s v="Não"/>
    <n v="0"/>
    <n v="0"/>
    <n v="0"/>
    <s v="Outras embalagens de plástico"/>
    <n v="0.35"/>
    <n v="0.35"/>
    <s v="Não"/>
    <x v="0"/>
    <n v="582732"/>
    <n v="14"/>
    <s v="DE; ES; FR; IT; PL; PT"/>
    <n v="20337.346799999999"/>
    <n v="12"/>
    <n v="2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102"/>
    <s v="FA-030-HDPE-FG-1000"/>
    <s v="Frasco"/>
    <x v="1"/>
    <s v="Contacto direto com alimento"/>
    <s v="Injeção-sopro (ISBM)"/>
    <s v="FAM-05"/>
    <n v="1000"/>
    <n v="172"/>
    <x v="10"/>
    <s v="PE"/>
    <x v="0"/>
    <s v="PE rígido — frascos e contentores (HDPE/LDPE)"/>
    <s v="Natural (Uncolored)"/>
    <x v="1"/>
    <s v="No Masterbatch"/>
    <n v="0"/>
    <n v="0.95499999999999996"/>
    <s v="Nenhuma"/>
    <n v="49.1"/>
    <s v="Estimada (22 g a 300 ml, escala ^2/3)"/>
    <s v="TA-014-HDPE-FG-28410"/>
    <s v="HDPE-FG"/>
    <s v="PE"/>
    <n v="15.9"/>
    <s v="Vedante PE/EVA"/>
    <s v="Autoadesivo PE/PP"/>
    <s v="Acrílico permanente"/>
    <n v="0.4"/>
    <n v="1.02"/>
    <s v="Cenário típico do cliente — confirmar especificação"/>
    <x v="1"/>
    <n v="0"/>
    <s v="Nenhuma"/>
    <n v="0"/>
    <s v="A"/>
    <s v="A"/>
    <s v="A"/>
    <s v="A"/>
    <s v="A"/>
    <s v="A"/>
    <s v="A"/>
    <s v="A"/>
    <s v="A"/>
    <s v="A"/>
    <n v="1"/>
    <x v="3"/>
    <n v="0"/>
    <s v="—"/>
    <s v="Sem ação — manter o design."/>
    <n v="66.02"/>
    <n v="1"/>
    <n v="1"/>
    <n v="1"/>
    <n v="66.02"/>
    <n v="1"/>
    <s v="A"/>
    <x v="3"/>
    <s v="—"/>
    <x v="0"/>
    <s v="Sim"/>
    <n v="0"/>
    <n v="0"/>
    <n v="0"/>
    <s v="Sensível ao contacto — outros plásticos"/>
    <n v="0.1"/>
    <n v="0.1"/>
    <s v="Não"/>
    <x v="0"/>
    <n v="117654"/>
    <n v="2"/>
    <s v="PT"/>
    <n v="5776.8114000000005"/>
    <n v="15"/>
    <n v="1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103"/>
    <s v="FA-030-PP-FG-1000"/>
    <s v="Frasco"/>
    <x v="1"/>
    <s v="Contacto direto com alimento"/>
    <s v="Injeção-sopro (ISBM)"/>
    <s v="FAM-08"/>
    <n v="1000"/>
    <n v="172"/>
    <x v="11"/>
    <s v="PP"/>
    <x v="3"/>
    <s v="PP rígido — frascos, potes e contentores"/>
    <s v="Natural (Uncolored)"/>
    <x v="1"/>
    <s v="No Masterbatch"/>
    <n v="0"/>
    <n v="0.90500000000000003"/>
    <s v="Nenhuma"/>
    <n v="49.1"/>
    <s v="Estimada (22 g a 300 ml, escala ^2/3)"/>
    <s v="TA-014-PP-FG-28410"/>
    <s v="PP-FG"/>
    <s v="PP"/>
    <n v="15.9"/>
    <s v="Vedante PE/EVA"/>
    <s v="Autoadesivo PE/PP"/>
    <s v="Acrílico permanente"/>
    <n v="0.4"/>
    <n v="1.02"/>
    <s v="Cenário típico do cliente — confirmar especificação"/>
    <x v="1"/>
    <n v="0"/>
    <s v="Nenhuma"/>
    <n v="0"/>
    <s v="A"/>
    <s v="A"/>
    <s v="A"/>
    <s v="A"/>
    <s v="A"/>
    <s v="A"/>
    <s v="A"/>
    <s v="A"/>
    <s v="A"/>
    <s v="A"/>
    <n v="1"/>
    <x v="3"/>
    <n v="0"/>
    <s v="—"/>
    <s v="Sem ação — manter o design."/>
    <n v="66.02"/>
    <n v="1"/>
    <n v="1"/>
    <n v="1"/>
    <n v="66.02"/>
    <n v="1"/>
    <s v="A"/>
    <x v="3"/>
    <s v="—"/>
    <x v="0"/>
    <s v="Sim"/>
    <n v="0"/>
    <n v="0"/>
    <n v="0"/>
    <s v="Sensível ao contacto — outros plásticos"/>
    <n v="0.1"/>
    <n v="0.1"/>
    <s v="Não"/>
    <x v="0"/>
    <n v="107903"/>
    <n v="2"/>
    <s v="PT"/>
    <n v="5298.0373"/>
    <n v="15"/>
    <n v="1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104"/>
    <s v="FA-031-HDPE-FG-500"/>
    <s v="Frasco"/>
    <x v="1"/>
    <s v="Contacto direto com alimento"/>
    <s v="Injeção-sopro (ISBM)"/>
    <s v="FAM-05"/>
    <n v="500"/>
    <n v="137"/>
    <x v="10"/>
    <s v="PE"/>
    <x v="0"/>
    <s v="PE rígido — frascos e contentores (HDPE/LDPE)"/>
    <s v="Natural (Uncolored)"/>
    <x v="1"/>
    <s v="No Masterbatch"/>
    <n v="0"/>
    <n v="0.95499999999999996"/>
    <s v="Nenhuma"/>
    <n v="30.9"/>
    <s v="Estimada (22 g a 300 ml, escala ^2/3)"/>
    <s v="TA-014-HDPE-FG-28410"/>
    <s v="HDPE-FG"/>
    <s v="PE"/>
    <n v="15.9"/>
    <s v="Vedante PE/EVA"/>
    <s v="Autoadesivo PE/PP"/>
    <s v="Acrílico permanente"/>
    <n v="0.4"/>
    <n v="0.64"/>
    <s v="Cenário típico do cliente — confirmar especificação"/>
    <x v="1"/>
    <n v="0"/>
    <s v="Nenhuma"/>
    <n v="0"/>
    <s v="A"/>
    <s v="A"/>
    <s v="A"/>
    <s v="A"/>
    <s v="A"/>
    <s v="A"/>
    <s v="A"/>
    <s v="A"/>
    <s v="A"/>
    <s v="A"/>
    <n v="1"/>
    <x v="3"/>
    <n v="0"/>
    <s v="—"/>
    <s v="Sem ação — manter o design."/>
    <n v="47.44"/>
    <n v="1"/>
    <n v="1"/>
    <n v="1"/>
    <n v="47.44"/>
    <n v="1"/>
    <s v="A"/>
    <x v="3"/>
    <s v="—"/>
    <x v="0"/>
    <s v="Sim"/>
    <n v="0"/>
    <n v="0"/>
    <n v="0"/>
    <s v="Sensível ao contacto — outros plásticos"/>
    <n v="0.1"/>
    <n v="0.1"/>
    <s v="Não"/>
    <x v="0"/>
    <n v="154593"/>
    <n v="2"/>
    <s v="PT"/>
    <n v="4776.9237000000003"/>
    <n v="15"/>
    <n v="1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105"/>
    <s v="FA-031-PP-FG-500"/>
    <s v="Frasco"/>
    <x v="1"/>
    <s v="Contacto direto com alimento"/>
    <s v="Injeção-sopro (ISBM)"/>
    <s v="FAM-08"/>
    <n v="500"/>
    <n v="137"/>
    <x v="11"/>
    <s v="PP"/>
    <x v="3"/>
    <s v="PP rígido — frascos, potes e contentores"/>
    <s v="Natural (Uncolored)"/>
    <x v="1"/>
    <s v="No Masterbatch"/>
    <n v="0"/>
    <n v="0.90500000000000003"/>
    <s v="Nenhuma"/>
    <n v="30.9"/>
    <s v="Estimada (22 g a 300 ml, escala ^2/3)"/>
    <s v="TA-014-PP-FG-28410"/>
    <s v="PP-FG"/>
    <s v="PP"/>
    <n v="15.9"/>
    <s v="Vedante PE/EVA"/>
    <s v="Autoadesivo PE/PP"/>
    <s v="Acrílico permanente"/>
    <n v="0.4"/>
    <n v="0.64"/>
    <s v="Cenário típico do cliente — confirmar especificação"/>
    <x v="1"/>
    <n v="0"/>
    <s v="Nenhuma"/>
    <n v="0"/>
    <s v="A"/>
    <s v="A"/>
    <s v="A"/>
    <s v="A"/>
    <s v="A"/>
    <s v="A"/>
    <s v="A"/>
    <s v="A"/>
    <s v="A"/>
    <s v="A"/>
    <n v="1"/>
    <x v="3"/>
    <n v="0"/>
    <s v="—"/>
    <s v="Sem ação — manter o design."/>
    <n v="47.44"/>
    <n v="1"/>
    <n v="1"/>
    <n v="1"/>
    <n v="47.44"/>
    <n v="1"/>
    <s v="A"/>
    <x v="3"/>
    <s v="—"/>
    <x v="0"/>
    <s v="Sim"/>
    <n v="0"/>
    <n v="0"/>
    <n v="0"/>
    <s v="Sensível ao contacto — outros plásticos"/>
    <n v="0.1"/>
    <n v="0.1"/>
    <s v="Não"/>
    <x v="0"/>
    <n v="167250"/>
    <n v="2"/>
    <s v="PT"/>
    <n v="5168.0249999999996"/>
    <n v="15"/>
    <n v="1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106"/>
    <s v="FP-032-PP-PG-100"/>
    <s v="Frasco"/>
    <x v="2"/>
    <s v="Contacto direto com medicamento"/>
    <s v="Injeção-sopro (ISBM)"/>
    <s v="FAM-09"/>
    <n v="100"/>
    <n v="80"/>
    <x v="12"/>
    <s v="PP"/>
    <x v="3"/>
    <s v="PP rígido — frascos, potes e contentores"/>
    <s v="Pharma White"/>
    <x v="3"/>
    <s v="Pharma Masterbatch"/>
    <n v="0.02"/>
    <n v="0.92900000000000005"/>
    <s v="Nenhuma"/>
    <n v="10.6"/>
    <s v="Estimada (22 g a 300 ml, escala ^2/3)"/>
    <s v="TE-012-PP-PG-24410"/>
    <s v="PP-PG"/>
    <s v="PP"/>
    <n v="11.5"/>
    <s v="Sem vedante"/>
    <s v="Autoadesivo papel"/>
    <s v="Acrílico permanente"/>
    <n v="0.35"/>
    <n v="0.26"/>
    <s v="Cenário típico do cliente — confirmar especificação"/>
    <x v="1"/>
    <n v="0"/>
    <s v="Nenhuma"/>
    <n v="0"/>
    <s v="A"/>
    <s v="A"/>
    <s v="A"/>
    <s v="A"/>
    <s v="A"/>
    <s v="A"/>
    <s v="C"/>
    <s v="A"/>
    <s v="A"/>
    <s v="A"/>
    <n v="3"/>
    <x v="2"/>
    <n v="0"/>
    <s v="Rotulo"/>
    <s v="Usar rótulo de PE/PP."/>
    <n v="22.360000000000003"/>
    <n v="1"/>
    <n v="1"/>
    <n v="0"/>
    <n v="22.1"/>
    <n v="0.98837209302325579"/>
    <s v="A"/>
    <x v="2"/>
    <s v="Isento até 2035"/>
    <x v="2"/>
    <s v="Isento até 2035"/>
    <n v="0"/>
    <n v="0"/>
    <n v="0"/>
    <s v="Isenta — medicamentos (art. 7.º)"/>
    <s v=""/>
    <s v=""/>
    <s v="Isento"/>
    <x v="1"/>
    <n v="165996"/>
    <n v="2"/>
    <s v="DE; ES"/>
    <n v="1759.5575999999999"/>
    <n v="13"/>
    <n v="2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107"/>
    <s v="FP-032-PET-PG-100"/>
    <s v="Frasco"/>
    <x v="2"/>
    <s v="Contacto direto com medicamento"/>
    <s v="Injeção-sopro (ISBM)"/>
    <s v="FAM-12"/>
    <n v="100"/>
    <n v="80"/>
    <x v="13"/>
    <s v="PET"/>
    <x v="1"/>
    <s v="PET — garrafas/frascos transparentes incolores"/>
    <s v="Natural (Uncolored)"/>
    <x v="1"/>
    <s v="No Masterbatch"/>
    <n v="0"/>
    <n v="1.38"/>
    <s v="Nenhuma"/>
    <n v="10.6"/>
    <s v="Estimada (22 g a 300 ml, escala ^2/3)"/>
    <s v="TE-012-PP-PG-24410"/>
    <s v="PP-PG"/>
    <s v="PP"/>
    <n v="11.5"/>
    <s v="Sem vedante"/>
    <s v="Autoadesivo papel"/>
    <s v="Acrílico permanente"/>
    <n v="0.35"/>
    <n v="0.26"/>
    <s v="Cenário típico do cliente — confirmar especificação"/>
    <x v="1"/>
    <n v="0"/>
    <s v="Nenhuma"/>
    <n v="0"/>
    <s v="A"/>
    <s v="A"/>
    <s v="A"/>
    <s v="A"/>
    <s v="A"/>
    <s v="A"/>
    <s v="C"/>
    <s v="C"/>
    <s v="A"/>
    <s v="A"/>
    <n v="3"/>
    <x v="2"/>
    <n v="0"/>
    <s v="Rotulo"/>
    <s v="Usar rótulo de PE/PP com adesivo lavável."/>
    <n v="22.360000000000003"/>
    <n v="1"/>
    <n v="1"/>
    <n v="0"/>
    <n v="22.1"/>
    <n v="0.98837209302325579"/>
    <s v="A"/>
    <x v="2"/>
    <s v="Isento até 2035"/>
    <x v="2"/>
    <s v="Isento até 2035"/>
    <n v="0"/>
    <n v="0"/>
    <n v="0"/>
    <s v="Isenta — medicamentos (art. 7.º)"/>
    <s v=""/>
    <s v=""/>
    <s v="Isento"/>
    <x v="1"/>
    <n v="183309"/>
    <n v="2"/>
    <s v="DE; ES"/>
    <n v="1943.0753999999999"/>
    <n v="13"/>
    <n v="2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108"/>
    <s v="FP-033-PP-PG-250"/>
    <s v="Frasco"/>
    <x v="2"/>
    <s v="Contacto direto com medicamento"/>
    <s v="Injeção-sopro (ISBM)"/>
    <s v="FAM-09"/>
    <n v="250"/>
    <n v="108"/>
    <x v="12"/>
    <s v="PP"/>
    <x v="3"/>
    <s v="PP rígido — frascos, potes e contentores"/>
    <s v="Pharma White"/>
    <x v="3"/>
    <s v="Pharma Masterbatch"/>
    <n v="0.02"/>
    <n v="0.92900000000000005"/>
    <s v="Nenhuma"/>
    <n v="19.5"/>
    <s v="Estimada (22 g a 300 ml, escala ^2/3)"/>
    <s v="TE-012-PP-PG-24410"/>
    <s v="PP-PG"/>
    <s v="PP"/>
    <n v="11.5"/>
    <s v="Sem vedante"/>
    <s v="Autoadesivo papel"/>
    <s v="Acrílico permanente"/>
    <n v="0.35"/>
    <n v="0.48"/>
    <s v="Cenário típico do cliente — confirmar especificação"/>
    <x v="1"/>
    <n v="0"/>
    <s v="Nenhuma"/>
    <n v="0"/>
    <s v="A"/>
    <s v="A"/>
    <s v="A"/>
    <s v="A"/>
    <s v="A"/>
    <s v="A"/>
    <s v="C"/>
    <s v="A"/>
    <s v="A"/>
    <s v="A"/>
    <n v="3"/>
    <x v="2"/>
    <n v="0"/>
    <s v="Rotulo"/>
    <s v="Usar rótulo de PE/PP."/>
    <n v="31.48"/>
    <n v="1"/>
    <n v="1"/>
    <n v="0"/>
    <n v="31"/>
    <n v="0.98475222363405335"/>
    <s v="A"/>
    <x v="2"/>
    <s v="Isento até 2035"/>
    <x v="2"/>
    <s v="Isento até 2035"/>
    <n v="0"/>
    <n v="0"/>
    <n v="0"/>
    <s v="Isenta — medicamentos (art. 7.º)"/>
    <s v=""/>
    <s v=""/>
    <s v="Isento"/>
    <x v="1"/>
    <n v="102650"/>
    <n v="2"/>
    <s v="DE; ES"/>
    <n v="2001.675"/>
    <n v="13"/>
    <n v="2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109"/>
    <s v="FP-033-PET-PG-250"/>
    <s v="Frasco"/>
    <x v="2"/>
    <s v="Contacto direto com medicamento"/>
    <s v="Injeção-sopro (ISBM)"/>
    <s v="FAM-12"/>
    <n v="250"/>
    <n v="108"/>
    <x v="13"/>
    <s v="PET"/>
    <x v="1"/>
    <s v="PET — garrafas/frascos transparentes incolores"/>
    <s v="Natural (Uncolored)"/>
    <x v="1"/>
    <s v="No Masterbatch"/>
    <n v="0"/>
    <n v="1.38"/>
    <s v="Nenhuma"/>
    <n v="19.5"/>
    <s v="Estimada (22 g a 300 ml, escala ^2/3)"/>
    <s v="TE-012-PP-PG-24410"/>
    <s v="PP-PG"/>
    <s v="PP"/>
    <n v="11.5"/>
    <s v="Sem vedante"/>
    <s v="Autoadesivo papel"/>
    <s v="Acrílico permanente"/>
    <n v="0.35"/>
    <n v="0.48"/>
    <s v="Cenário típico do cliente — confirmar especificação"/>
    <x v="1"/>
    <n v="0"/>
    <s v="Nenhuma"/>
    <n v="0"/>
    <s v="A"/>
    <s v="A"/>
    <s v="A"/>
    <s v="A"/>
    <s v="A"/>
    <s v="A"/>
    <s v="C"/>
    <s v="C"/>
    <s v="A"/>
    <s v="A"/>
    <n v="3"/>
    <x v="2"/>
    <n v="0"/>
    <s v="Rotulo"/>
    <s v="Usar rótulo de PE/PP com adesivo lavável."/>
    <n v="31.48"/>
    <n v="1"/>
    <n v="1"/>
    <n v="0"/>
    <n v="31"/>
    <n v="0.98475222363405335"/>
    <s v="A"/>
    <x v="2"/>
    <s v="Isento até 2035"/>
    <x v="2"/>
    <s v="Isento até 2035"/>
    <n v="0"/>
    <n v="0"/>
    <n v="0"/>
    <s v="Isenta — medicamentos (art. 7.º)"/>
    <s v=""/>
    <s v=""/>
    <s v="Isento"/>
    <x v="1"/>
    <n v="133107"/>
    <n v="2"/>
    <s v="DE; ES"/>
    <n v="2595.5864999999999"/>
    <n v="13"/>
    <n v="2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110"/>
    <s v="PT-010-PP-050"/>
    <s v="Pote"/>
    <x v="0"/>
    <s v="Contacto direto com cosmético/higiene"/>
    <s v="Injeção"/>
    <s v="FAM-15"/>
    <n v="50"/>
    <n v="43"/>
    <x v="6"/>
    <s v="PP"/>
    <x v="3"/>
    <s v="PP rígido — frascos, potes e contentores"/>
    <s v="Opaque White"/>
    <x v="3"/>
    <s v="Opaque Masterbatch"/>
    <n v="0.02"/>
    <n v="0.92900000000000005"/>
    <s v="Nenhuma"/>
    <n v="6.7"/>
    <s v="Estimada (22 g a 300 ml, escala ^2/3)"/>
    <s v="TP-013-PP-070"/>
    <s v="PP"/>
    <s v="PP"/>
    <n v="16.5"/>
    <s v="Sem vedante"/>
    <s v="Autoadesivo PE/PP"/>
    <s v="Acrílico permanente"/>
    <n v="0.4"/>
    <n v="0.1"/>
    <s v="Cenário típico do cliente — confirmar especificação"/>
    <x v="1"/>
    <n v="0"/>
    <s v="Nenhuma"/>
    <n v="0"/>
    <s v="A"/>
    <s v="A"/>
    <s v="A"/>
    <s v="A"/>
    <s v="A"/>
    <s v="A"/>
    <s v="A"/>
    <s v="A"/>
    <s v="A"/>
    <s v="A"/>
    <n v="1"/>
    <x v="3"/>
    <n v="0"/>
    <s v="—"/>
    <s v="Sem ação — manter o design."/>
    <n v="23.3"/>
    <n v="1"/>
    <n v="1"/>
    <n v="1"/>
    <n v="23.3"/>
    <n v="1"/>
    <s v="A"/>
    <x v="3"/>
    <s v="—"/>
    <x v="0"/>
    <s v="Sim"/>
    <n v="0"/>
    <n v="0"/>
    <n v="0"/>
    <s v="Outras embalagens de plástico"/>
    <n v="0.35"/>
    <n v="0.35"/>
    <s v="Não"/>
    <x v="0"/>
    <n v="253067"/>
    <n v="3"/>
    <s v="ES; PT"/>
    <n v="1695.5489000000002"/>
    <n v="12"/>
    <n v="2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111"/>
    <s v="PT-010-PP-PG-050"/>
    <s v="Pote"/>
    <x v="2"/>
    <s v="Contacto direto com medicamento"/>
    <s v="Injeção"/>
    <s v="FAM-15"/>
    <n v="50"/>
    <n v="43"/>
    <x v="12"/>
    <s v="PP"/>
    <x v="3"/>
    <s v="PP rígido — frascos, potes e contentores"/>
    <s v="Pharma White"/>
    <x v="3"/>
    <s v="Pharma Masterbatch"/>
    <n v="0.02"/>
    <n v="0.92900000000000005"/>
    <s v="Nenhuma"/>
    <n v="6.7"/>
    <s v="Estimada (22 g a 300 ml, escala ^2/3)"/>
    <s v="TP-013-PP-PG-070"/>
    <s v="PP-PG"/>
    <s v="PP"/>
    <n v="16.5"/>
    <s v="Sem vedante"/>
    <s v="Autoadesivo papel"/>
    <s v="Acrílico permanente"/>
    <n v="0.35"/>
    <n v="0.12"/>
    <s v="Cenário típico do cliente — confirmar especificação"/>
    <x v="1"/>
    <n v="0"/>
    <s v="Nenhuma"/>
    <n v="0"/>
    <s v="A"/>
    <s v="A"/>
    <s v="A"/>
    <s v="A"/>
    <s v="A"/>
    <s v="A"/>
    <s v="C"/>
    <s v="A"/>
    <s v="A"/>
    <s v="A"/>
    <n v="3"/>
    <x v="2"/>
    <n v="0"/>
    <s v="Rotulo"/>
    <s v="Usar rótulo de PE/PP."/>
    <n v="23.32"/>
    <n v="1"/>
    <n v="1"/>
    <n v="0"/>
    <n v="23.2"/>
    <n v="0.99485420240137212"/>
    <s v="A"/>
    <x v="2"/>
    <s v="Isento até 2035"/>
    <x v="2"/>
    <s v="Isento até 2035"/>
    <n v="0"/>
    <n v="0"/>
    <n v="0"/>
    <s v="Isenta — medicamentos (art. 7.º)"/>
    <s v=""/>
    <s v=""/>
    <s v="Isento"/>
    <x v="1"/>
    <n v="220353"/>
    <n v="3"/>
    <s v="ES; PT"/>
    <n v="1476.3651"/>
    <n v="12"/>
    <n v="1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112"/>
    <s v="PT-011-PP-100"/>
    <s v="Pote"/>
    <x v="0"/>
    <s v="Contacto direto com cosmético/higiene"/>
    <s v="Injeção"/>
    <s v="FAM-15"/>
    <n v="100"/>
    <n v="54"/>
    <x v="6"/>
    <s v="PP"/>
    <x v="3"/>
    <s v="PP rígido — frascos, potes e contentores"/>
    <s v="Opaque White"/>
    <x v="3"/>
    <s v="Opaque Masterbatch"/>
    <n v="0.02"/>
    <n v="0.92900000000000005"/>
    <s v="Nenhuma"/>
    <n v="10.6"/>
    <s v="Estimada (22 g a 300 ml, escala ^2/3)"/>
    <s v="TP-013-PP-070"/>
    <s v="PP"/>
    <s v="PP"/>
    <n v="16.5"/>
    <s v="Sem vedante"/>
    <s v="Autoadesivo PE/PP"/>
    <s v="Acrílico permanente"/>
    <n v="0.4"/>
    <n v="0.16"/>
    <s v="Cenário típico do cliente — confirmar especificação"/>
    <x v="1"/>
    <n v="0"/>
    <s v="Nenhuma"/>
    <n v="0"/>
    <s v="A"/>
    <s v="A"/>
    <s v="A"/>
    <s v="A"/>
    <s v="A"/>
    <s v="A"/>
    <s v="A"/>
    <s v="A"/>
    <s v="A"/>
    <s v="A"/>
    <n v="1"/>
    <x v="3"/>
    <n v="0"/>
    <s v="—"/>
    <s v="Sem ação — manter o design."/>
    <n v="27.26"/>
    <n v="1"/>
    <n v="1"/>
    <n v="1"/>
    <n v="27.26"/>
    <n v="1"/>
    <s v="A"/>
    <x v="3"/>
    <s v="—"/>
    <x v="0"/>
    <s v="Sim"/>
    <n v="0"/>
    <n v="0"/>
    <n v="0"/>
    <s v="Outras embalagens de plástico"/>
    <n v="0.35"/>
    <n v="0.35"/>
    <s v="Não"/>
    <x v="0"/>
    <n v="186515"/>
    <n v="3"/>
    <s v="ES; PT"/>
    <n v="1977.059"/>
    <n v="12"/>
    <n v="2"/>
    <d v="2026-09-22T00:00:00"/>
    <d v="2027-09-22T00:00:00"/>
    <s v="Responsável de R&amp;D"/>
    <s v="Autoavaliação (não certificada)"/>
    <s v="Regras simplificadas SGA-20 v1 (diretrizes DfR RecyClass) — confirmar na ferramenta online"/>
  </r>
  <r>
    <s v="RCA-113"/>
    <s v="PT-011-PP-PG-100"/>
    <s v="Pote"/>
    <x v="2"/>
    <s v="Contacto direto com medicamento"/>
    <s v="Injeção"/>
    <s v="FAM-15"/>
    <n v="100"/>
    <n v="54"/>
    <x v="12"/>
    <s v="PP"/>
    <x v="3"/>
    <s v="PP rígido — frascos, potes e contentores"/>
    <s v="Pharma White"/>
    <x v="3"/>
    <s v="Pharma Masterbatch"/>
    <n v="0.02"/>
    <n v="0.92900000000000005"/>
    <s v="Nenhuma"/>
    <n v="10.6"/>
    <s v="Estimada (22 g a 300 ml, escala ^2/3)"/>
    <s v="TP-013-PP-PG-070"/>
    <s v="PP-PG"/>
    <s v="PP"/>
    <n v="16.5"/>
    <s v="Sem vedante"/>
    <s v="Autoadesivo papel"/>
    <s v="Acrílico permanente"/>
    <n v="0.35"/>
    <n v="0.19"/>
    <s v="Cenário típico do cliente — confirmar especificação"/>
    <x v="1"/>
    <n v="0"/>
    <s v="Nenhuma"/>
    <n v="0"/>
    <s v="A"/>
    <s v="A"/>
    <s v="A"/>
    <s v="A"/>
    <s v="A"/>
    <s v="A"/>
    <s v="C"/>
    <s v="A"/>
    <s v="A"/>
    <s v="A"/>
    <n v="3"/>
    <x v="2"/>
    <n v="0"/>
    <s v="Rotulo"/>
    <s v="Usar rótulo de PE/PP."/>
    <n v="27.290000000000003"/>
    <n v="1"/>
    <n v="1"/>
    <n v="0"/>
    <n v="27.1"/>
    <n v="0.99303774276291679"/>
    <s v="A"/>
    <x v="2"/>
    <s v="Isento até 2035"/>
    <x v="2"/>
    <s v="Isento até 2035"/>
    <n v="0"/>
    <n v="0"/>
    <n v="0"/>
    <s v="Isenta — medicamentos (art. 7.º)"/>
    <s v=""/>
    <s v=""/>
    <s v="Isento"/>
    <x v="1"/>
    <n v="202596"/>
    <n v="3"/>
    <s v="ES; PT"/>
    <n v="2147.5176000000001"/>
    <n v="12"/>
    <n v="1"/>
    <d v="2026-09-22T00:00:00"/>
    <d v="2027-09-22T00:00:00"/>
    <s v="Responsável de R&amp;D"/>
    <s v="Autoavaliação (não certificada)"/>
    <s v="Regras simplificadas SGA-20 v1 (diretrizes DfR RecyClass) — confirmar na ferramenta onlin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7E600B-D7FB-433E-A140-60A8A386C083}" name="pvt_recyclass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A50:H71" firstHeaderRow="1" firstDataRow="2" firstDataCol="2"/>
  <pivotFields count="80">
    <pivotField compact="0" outline="0" showAll="0"/>
    <pivotField dataField="1" compact="0" outline="0" showAll="0"/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3" outline="0" showAll="0"/>
    <pivotField compact="0" numFmtId="3" outline="0" showAll="0"/>
    <pivotField axis="axisRow" compact="0" outline="0" showAll="0">
      <items count="15">
        <item x="0"/>
        <item x="10"/>
        <item x="1"/>
        <item x="3"/>
        <item x="9"/>
        <item x="4"/>
        <item x="5"/>
        <item x="13"/>
        <item x="6"/>
        <item x="11"/>
        <item x="7"/>
        <item x="12"/>
        <item x="8"/>
        <item x="2"/>
        <item t="default"/>
      </items>
    </pivotField>
    <pivotField compact="0" outline="0" showAll="0"/>
    <pivotField axis="axisRow" compact="0" outline="0" showAll="0">
      <items count="6">
        <item x="0"/>
        <item x="1"/>
        <item x="3"/>
        <item x="2"/>
        <item x="4"/>
        <item t="default"/>
      </items>
    </pivotField>
    <pivotField compact="0" outline="0" showAll="0"/>
    <pivotField compact="0" outline="0" showAll="0"/>
    <pivotField compact="0" outline="0" showAll="0">
      <items count="6">
        <item x="3"/>
        <item x="0"/>
        <item x="2"/>
        <item x="1"/>
        <item x="4"/>
        <item t="default"/>
      </items>
    </pivotField>
    <pivotField compact="0" outline="0" showAll="0"/>
    <pivotField compact="0" numFmtId="9" outline="0" showAll="0"/>
    <pivotField compact="0" numFmtId="164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164" outline="0" showAll="0"/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numFmtId="1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axis="axisCol" compact="0" outline="0" showAll="0">
      <items count="6">
        <item x="3"/>
        <item x="0"/>
        <item x="2"/>
        <item x="1"/>
        <item x="4"/>
        <item t="default"/>
      </items>
    </pivotField>
    <pivotField compact="0" numFmtId="1" outline="0" showAll="0"/>
    <pivotField compact="0" outline="0" showAll="0"/>
    <pivotField compact="0" outline="0" showAll="0"/>
    <pivotField compact="0" numFmtId="165" outline="0" showAll="0"/>
    <pivotField compact="0" numFmtId="9" outline="0" showAll="0"/>
    <pivotField compact="0" numFmtId="9" outline="0" showAll="0"/>
    <pivotField compact="0" numFmtId="9" outline="0" showAll="0"/>
    <pivotField compact="0" numFmtId="165" outline="0" showAll="0"/>
    <pivotField compact="0" numFmtId="166" outline="0" showAll="0"/>
    <pivotField compact="0" outline="0" showAll="0"/>
    <pivotField compact="0" outline="0" showAll="0">
      <items count="6">
        <item x="3"/>
        <item x="1"/>
        <item x="0"/>
        <item x="2"/>
        <item x="4"/>
        <item t="default"/>
      </items>
    </pivotField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numFmtId="9" outline="0" showAll="0"/>
    <pivotField compact="0" numFmtId="9" outline="0" showAll="0"/>
    <pivotField compact="0" numFmtId="166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numFmtId="3" outline="0" showAll="0"/>
    <pivotField compact="0" numFmtId="1" outline="0" showAll="0"/>
    <pivotField compact="0" outline="0" showAll="0"/>
    <pivotField compact="0" numFmtId="3" outline="0" showAll="0"/>
    <pivotField compact="0" numFmtId="1" outline="0" showAll="0"/>
    <pivotField compact="0" numFmtId="1" outline="0" showAll="0"/>
    <pivotField compact="0" numFmtId="167" outline="0" showAll="0"/>
    <pivotField compact="0" numFmtId="167" outline="0" showAll="0"/>
    <pivotField compact="0" outline="0" showAll="0"/>
    <pivotField compact="0" outline="0" showAll="0"/>
    <pivotField compact="0" outline="0" showAll="0"/>
  </pivotFields>
  <rowFields count="2">
    <field x="11"/>
    <field x="9"/>
  </rowFields>
  <rowItems count="20">
    <i>
      <x/>
      <x/>
    </i>
    <i r="1">
      <x v="1"/>
    </i>
    <i r="1">
      <x v="2"/>
    </i>
    <i r="1">
      <x v="3"/>
    </i>
    <i r="1">
      <x v="4"/>
    </i>
    <i t="default">
      <x/>
    </i>
    <i>
      <x v="1"/>
      <x v="5"/>
    </i>
    <i r="1">
      <x v="7"/>
    </i>
    <i r="1">
      <x v="13"/>
    </i>
    <i t="default">
      <x v="1"/>
    </i>
    <i>
      <x v="2"/>
      <x v="8"/>
    </i>
    <i r="1">
      <x v="9"/>
    </i>
    <i r="1">
      <x v="10"/>
    </i>
    <i r="1">
      <x v="11"/>
    </i>
    <i t="default">
      <x v="2"/>
    </i>
    <i>
      <x v="3"/>
      <x v="6"/>
    </i>
    <i t="default">
      <x v="3"/>
    </i>
    <i>
      <x v="4"/>
      <x v="12"/>
    </i>
    <i t="default">
      <x v="4"/>
    </i>
    <i t="grand">
      <x/>
    </i>
  </rowItems>
  <colFields count="1">
    <field x="4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N.º de SKUs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gmento" xr10:uid="{B328D18F-3285-47F0-81F7-8CF6AC7ADAB6}" sourceName="Segmento">
  <pivotTables>
    <pivotTable tabId="2" name="pvt_recyclass"/>
  </pivotTables>
  <data>
    <tabular pivotCacheId="72183536">
      <items count="3">
        <i x="1" s="1"/>
        <i x="0" s="1"/>
        <i x="2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ecoracao_Tipo" xr10:uid="{1A5AADC8-DC10-49CB-A13B-3335AFA32B75}" sourceName="Decoracao_Tipo">
  <pivotTables>
    <pivotTable tabId="2" name="pvt_recyclass"/>
  </pivotTables>
  <data>
    <tabular pivotCacheId="72183536">
      <items count="3">
        <i x="2" s="1"/>
        <i x="1" s="1"/>
        <i x="0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Grau_PPWR_Indicativo" xr10:uid="{7115A557-CD7A-4F45-BE42-E9760315BF7C}" sourceName="Grau_PPWR_Indicativo">
  <pivotTables>
    <pivotTable tabId="2" name="pvt_recyclass"/>
  </pivotTables>
  <data>
    <tabular pivotCacheId="72183536">
      <items count="5">
        <i x="3" s="1"/>
        <i x="1" s="1"/>
        <i x="0" s="1"/>
        <i x="2" s="1"/>
        <i x="4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r_Corpo" xr10:uid="{E62FA035-350F-4E22-98CB-CBC8C606CFE8}" sourceName="Cor_Corpo">
  <pivotTables>
    <pivotTable tabId="2" name="pvt_recyclass"/>
  </pivotTables>
  <data>
    <tabular pivotCacheId="72183536">
      <items count="5">
        <i x="3" s="1"/>
        <i x="0" s="1"/>
        <i x="2" s="1"/>
        <i x="1" s="1"/>
        <i x="4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nforme_PPWR_2030" xr10:uid="{5921D17D-FE48-44B6-A0C8-F18146C2715B}" sourceName="Conforme_PPWR_2030">
  <pivotTables>
    <pivotTable tabId="2" name="pvt_recyclass"/>
  </pivotTables>
  <data>
    <tabular pivotCacheId="72183536">
      <items count="3">
        <i x="2" s="1"/>
        <i x="1" s="1"/>
        <i x="0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strutura_Material" xr10:uid="{6D46CA8B-18E4-4BBB-B8B6-42B47E4F1A67}" sourceName="Estrutura_Material">
  <pivotTables>
    <pivotTable tabId="2" name="pvt_recyclass"/>
  </pivotTables>
  <data>
    <tabular pivotCacheId="72183536">
      <items count="2">
        <i x="0" s="1"/>
        <i x="1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lc_Segmento" xr10:uid="{C6272899-9896-46B3-8002-4CE25B83D716}" cache="SegmentaçãoDeDados_Segmento" caption="Segmento" rowHeight="234950"/>
  <slicer name="slc_Decoracao_Tipo" xr10:uid="{4EBABF85-526E-4934-960D-544FBBA36EC5}" cache="SegmentaçãoDeDados_Decoracao_Tipo" caption="Decoração" rowHeight="234950"/>
  <slicer name="slc_Grau_PPWR_Indicativo" xr10:uid="{BC331C46-F41A-4969-8DC0-C58586BDB789}" cache="SegmentaçãoDeDados_Grau_PPWR_Indicativo" caption="Grau PPWR" rowHeight="234950"/>
  <slicer name="slc_Cor_Corpo" xr10:uid="{17F92DFB-88B2-4AEA-B0FF-57C862798122}" cache="SegmentaçãoDeDados_Cor_Corpo" caption="Cor do corpo" rowHeight="234950"/>
  <slicer name="slc_Conforme_PPWR_2030" xr10:uid="{79D71A3E-836C-4216-8EA1-725ADADC7DC1}" cache="SegmentaçãoDeDados_Conforme_PPWR_2030" caption="Conforme 2030" rowHeight="234950"/>
  <slicer name="slc_Estrutura_Material" xr10:uid="{B3D6FAD3-856D-4007-84EB-AA795164CE85}" cache="SegmentaçãoDeDados_Estrutura_Material" caption="Estrutura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param_emb" displayName="tbl_param_emb" ref="A4:E21">
  <autoFilter ref="A4:E21" xr:uid="{00000000-0009-0000-0100-000001000000}"/>
  <tableColumns count="5">
    <tableColumn id="1" xr3:uid="{00000000-0010-0000-0000-000001000000}" name="ID_Parametro"/>
    <tableColumn id="2" xr3:uid="{00000000-0010-0000-0000-000002000000}" name="Parametro"/>
    <tableColumn id="3" xr3:uid="{00000000-0010-0000-0000-000003000000}" name="Valor"/>
    <tableColumn id="4" xr3:uid="{00000000-0010-0000-0000-000004000000}" name="Unidade"/>
    <tableColumn id="5" xr3:uid="{00000000-0010-0000-0000-000005000000}" name="Font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metas_art7" displayName="tbl_metas_art7" ref="A1:E6">
  <autoFilter ref="A1:E6" xr:uid="{00000000-0009-0000-0100-000002000000}"/>
  <tableColumns count="5">
    <tableColumn id="1" xr3:uid="{00000000-0010-0000-0100-000001000000}" name="Categoria_Art7"/>
    <tableColumn id="2" xr3:uid="{00000000-0010-0000-0100-000002000000}" name="Meta_2030"/>
    <tableColumn id="3" xr3:uid="{00000000-0010-0000-0100-000003000000}" name="Meta_2040"/>
    <tableColumn id="4" xr3:uid="{00000000-0010-0000-0100-000004000000}" name="Base_Legal"/>
    <tableColumn id="5" xr3:uid="{00000000-0010-0000-0100-000005000000}" name="Nota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materiais" displayName="tbl_materiais" ref="A1:J15">
  <autoFilter ref="A1:J15" xr:uid="{00000000-0009-0000-0100-000003000000}"/>
  <tableColumns count="10">
    <tableColumn id="1" xr3:uid="{00000000-0010-0000-0200-000001000000}" name="Material"/>
    <tableColumn id="2" xr3:uid="{00000000-0010-0000-0200-000002000000}" name="Polimero_Base"/>
    <tableColumn id="3" xr3:uid="{00000000-0010-0000-0200-000003000000}" name="Fluxo_Reciclagem"/>
    <tableColumn id="4" xr3:uid="{00000000-0010-0000-0200-000004000000}" name="Densidade_g_cm3"/>
    <tableColumn id="5" xr3:uid="{00000000-0010-0000-0200-000005000000}" name="Grau"/>
    <tableColumn id="6" xr3:uid="{00000000-0010-0000-0200-000006000000}" name="Pct_PCR"/>
    <tableColumn id="7" xr3:uid="{00000000-0010-0000-0200-000007000000}" name="Codigo_Identificacao"/>
    <tableColumn id="8" xr3:uid="{00000000-0010-0000-0200-000008000000}" name="ID_Fornecedor"/>
    <tableColumn id="9" xr3:uid="{00000000-0010-0000-0200-000009000000}" name="N_SKUs_Corpo"/>
    <tableColumn id="10" xr3:uid="{00000000-0010-0000-0200-00000A000000}" name="Massa_Vendida_kg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regras_dfr" displayName="tbl_regras_dfr" ref="A4:I117">
  <autoFilter ref="A4:I117" xr:uid="{00000000-0009-0000-0100-000004000000}"/>
  <tableColumns count="9">
    <tableColumn id="1" xr3:uid="{00000000-0010-0000-0300-000001000000}" name="Chave"/>
    <tableColumn id="2" xr3:uid="{00000000-0010-0000-0300-000002000000}" name="Fluxo"/>
    <tableColumn id="3" xr3:uid="{00000000-0010-0000-0300-000003000000}" name="Caracteristica"/>
    <tableColumn id="4" xr3:uid="{00000000-0010-0000-0300-000004000000}" name="Valor"/>
    <tableColumn id="5" xr3:uid="{00000000-0010-0000-0300-000005000000}" name="Classe"/>
    <tableColumn id="6" xr3:uid="{00000000-0010-0000-0300-000006000000}" name="Compatibilidade"/>
    <tableColumn id="7" xr3:uid="{00000000-0010-0000-0300-000007000000}" name="Fracao_Reciclavel"/>
    <tableColumn id="8" xr3:uid="{00000000-0010-0000-0300-000008000000}" name="Fundamentacao"/>
    <tableColumn id="9" xr3:uid="{00000000-0010-0000-0300-000009000000}" name="Recomendacao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tampas" displayName="tbl_tampas" ref="A1:O37">
  <autoFilter ref="A1:O37" xr:uid="{00000000-0009-0000-0100-000005000000}"/>
  <tableColumns count="15">
    <tableColumn id="1" xr3:uid="{00000000-0010-0000-0400-000001000000}" name="CapId"/>
    <tableColumn id="2" xr3:uid="{00000000-0010-0000-0400-000002000000}" name="Descricao"/>
    <tableColumn id="3" xr3:uid="{00000000-0010-0000-0400-000003000000}" name="Tipo_Abertura"/>
    <tableColumn id="4" xr3:uid="{00000000-0010-0000-0400-000004000000}" name="Material"/>
    <tableColumn id="5" xr3:uid="{00000000-0010-0000-0400-000005000000}" name="Polimero_Base"/>
    <tableColumn id="6" xr3:uid="{00000000-0010-0000-0400-000006000000}" name="Massa_g"/>
    <tableColumn id="7" xr3:uid="{00000000-0010-0000-0400-000007000000}" name="Densidade_g_cm3"/>
    <tableColumn id="8" xr3:uid="{00000000-0010-0000-0400-000008000000}" name="Flutua_Agua"/>
    <tableColumn id="9" xr3:uid="{00000000-0010-0000-0400-000009000000}" name="Rosca"/>
    <tableColumn id="10" xr3:uid="{00000000-0010-0000-0400-00000A000000}" name="Vedante"/>
    <tableColumn id="11" xr3:uid="{00000000-0010-0000-0400-00000B000000}" name="Pct_PCR"/>
    <tableColumn id="12" xr3:uid="{00000000-0010-0000-0400-00000C000000}" name="Familia_PPWR"/>
    <tableColumn id="13" xr3:uid="{00000000-0010-0000-0400-00000D000000}" name="Unid_Vendidas_P12"/>
    <tableColumn id="14" xr3:uid="{00000000-0010-0000-0400-00000E000000}" name="Paises_Venda"/>
    <tableColumn id="15" xr3:uid="{00000000-0010-0000-0400-00000F000000}" name="Massa_Vendida_kg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recyclass" displayName="tbl_recyclass" ref="A4:CB117">
  <autoFilter ref="A4:CB117" xr:uid="{00000000-0009-0000-0100-000006000000}"/>
  <tableColumns count="80">
    <tableColumn id="1" xr3:uid="{00000000-0010-0000-0500-000001000000}" name="ID_Avaliacao"/>
    <tableColumn id="2" xr3:uid="{00000000-0010-0000-0500-000002000000}" name="ProductId"/>
    <tableColumn id="3" xr3:uid="{00000000-0010-0000-0500-000003000000}" name="Formato"/>
    <tableColumn id="4" xr3:uid="{00000000-0010-0000-0500-000004000000}" name="Segmento"/>
    <tableColumn id="5" xr3:uid="{00000000-0010-0000-0500-000005000000}" name="Contacto"/>
    <tableColumn id="6" xr3:uid="{00000000-0010-0000-0500-000006000000}" name="Processo_Fabrico"/>
    <tableColumn id="7" xr3:uid="{00000000-0010-0000-0500-000007000000}" name="Familia_PPWR"/>
    <tableColumn id="8" xr3:uid="{00000000-0010-0000-0500-000008000000}" name="Volume_ml"/>
    <tableColumn id="9" xr3:uid="{00000000-0010-0000-0500-000009000000}" name="Dimensao_Max_mm"/>
    <tableColumn id="10" xr3:uid="{00000000-0010-0000-0500-00000A000000}" name="Material_Corpo"/>
    <tableColumn id="11" xr3:uid="{00000000-0010-0000-0500-00000B000000}" name="Polimero_Corpo"/>
    <tableColumn id="12" xr3:uid="{00000000-0010-0000-0500-00000C000000}" name="Fluxo_Reciclagem"/>
    <tableColumn id="13" xr3:uid="{00000000-0010-0000-0500-00000D000000}" name="Categoria_RecyClass"/>
    <tableColumn id="14" xr3:uid="{00000000-0010-0000-0500-00000E000000}" name="Cor_Dataset"/>
    <tableColumn id="15" xr3:uid="{00000000-0010-0000-0500-00000F000000}" name="Cor_Corpo"/>
    <tableColumn id="16" xr3:uid="{00000000-0010-0000-0500-000010000000}" name="Masterbatch_Tipo"/>
    <tableColumn id="17" xr3:uid="{00000000-0010-0000-0500-000011000000}" name="Masterbatch_Pct"/>
    <tableColumn id="18" xr3:uid="{00000000-0010-0000-0500-000012000000}" name="Densidade_Corpo_g_cm3"/>
    <tableColumn id="19" xr3:uid="{00000000-0010-0000-0500-000013000000}" name="Barreira_Revestimento"/>
    <tableColumn id="20" xr3:uid="{00000000-0010-0000-0500-000014000000}" name="Massa_Corpo_g"/>
    <tableColumn id="21" xr3:uid="{00000000-0010-0000-0500-000015000000}" name="Origem_Massa"/>
    <tableColumn id="22" xr3:uid="{00000000-0010-0000-0500-000016000000}" name="ID_Tampa"/>
    <tableColumn id="23" xr3:uid="{00000000-0010-0000-0500-000017000000}" name="Material_Tampa"/>
    <tableColumn id="24" xr3:uid="{00000000-0010-0000-0500-000018000000}" name="Polimero_Tampa"/>
    <tableColumn id="25" xr3:uid="{00000000-0010-0000-0500-000019000000}" name="Massa_Tampa_g"/>
    <tableColumn id="26" xr3:uid="{00000000-0010-0000-0500-00001A000000}" name="Vedante_Tampa"/>
    <tableColumn id="27" xr3:uid="{00000000-0010-0000-0500-00001B000000}" name="Rotulo_Tipo"/>
    <tableColumn id="28" xr3:uid="{00000000-0010-0000-0500-00001C000000}" name="Rotulo_Adesivo"/>
    <tableColumn id="29" xr3:uid="{00000000-0010-0000-0500-00001D000000}" name="Rotulo_Cobertura_Pct"/>
    <tableColumn id="30" xr3:uid="{00000000-0010-0000-0500-00001E000000}" name="Massa_Rotulo_g"/>
    <tableColumn id="31" xr3:uid="{00000000-0010-0000-0500-00001F000000}" name="Origem_Rotulo"/>
    <tableColumn id="32" xr3:uid="{00000000-0010-0000-0500-000020000000}" name="Decoracao_Tipo"/>
    <tableColumn id="33" xr3:uid="{00000000-0010-0000-0500-000021000000}" name="Decoracao_N_Cores"/>
    <tableColumn id="34" xr3:uid="{00000000-0010-0000-0500-000022000000}" name="Decoracao_Valor"/>
    <tableColumn id="35" xr3:uid="{00000000-0010-0000-0500-000023000000}" name="Massa_Decoracao_g"/>
    <tableColumn id="36" xr3:uid="{00000000-0010-0000-0500-000024000000}" name="Classe_Fluxo"/>
    <tableColumn id="37" xr3:uid="{00000000-0010-0000-0500-000025000000}" name="Classe_Cor"/>
    <tableColumn id="38" xr3:uid="{00000000-0010-0000-0500-000026000000}" name="Classe_Densidade"/>
    <tableColumn id="39" xr3:uid="{00000000-0010-0000-0500-000027000000}" name="Classe_Barreira"/>
    <tableColumn id="40" xr3:uid="{00000000-0010-0000-0500-000028000000}" name="Classe_Tampa"/>
    <tableColumn id="41" xr3:uid="{00000000-0010-0000-0500-000029000000}" name="Classe_Vedante"/>
    <tableColumn id="42" xr3:uid="{00000000-0010-0000-0500-00002A000000}" name="Classe_Rotulo"/>
    <tableColumn id="43" xr3:uid="{00000000-0010-0000-0500-00002B000000}" name="Classe_Adesivo"/>
    <tableColumn id="44" xr3:uid="{00000000-0010-0000-0500-00002C000000}" name="Classe_Cobertura"/>
    <tableColumn id="45" xr3:uid="{00000000-0010-0000-0500-00002D000000}" name="Classe_Decoracao"/>
    <tableColumn id="46" xr3:uid="{00000000-0010-0000-0500-00002E000000}" name="Classe_N_Max"/>
    <tableColumn id="47" xr3:uid="{00000000-0010-0000-0500-00002F000000}" name="Classe_RecyClass"/>
    <tableColumn id="48" xr3:uid="{00000000-0010-0000-0500-000030000000}" name="Regras_em_Falta"/>
    <tableColumn id="49" xr3:uid="{00000000-0010-0000-0500-000031000000}" name="Ponto_Critico"/>
    <tableColumn id="50" xr3:uid="{00000000-0010-0000-0500-000032000000}" name="Recomendacao"/>
    <tableColumn id="51" xr3:uid="{00000000-0010-0000-0500-000033000000}" name="Massa_Total_g"/>
    <tableColumn id="52" xr3:uid="{00000000-0010-0000-0500-000034000000}" name="Frac_Corpo"/>
    <tableColumn id="53" xr3:uid="{00000000-0010-0000-0500-000035000000}" name="Frac_Tampa"/>
    <tableColumn id="54" xr3:uid="{00000000-0010-0000-0500-000036000000}" name="Frac_Rotulo"/>
    <tableColumn id="55" xr3:uid="{00000000-0010-0000-0500-000037000000}" name="Massa_Reciclavel_g"/>
    <tableColumn id="56" xr3:uid="{00000000-0010-0000-0500-000038000000}" name="Taxa_Reciclabilidade"/>
    <tableColumn id="57" xr3:uid="{00000000-0010-0000-0500-000039000000}" name="Grau_Taxa"/>
    <tableColumn id="58" xr3:uid="{00000000-0010-0000-0500-00003A000000}" name="Grau_PPWR_Indicativo"/>
    <tableColumn id="59" xr3:uid="{00000000-0010-0000-0500-00003B000000}" name="Isencao_Art6"/>
    <tableColumn id="60" xr3:uid="{00000000-0010-0000-0500-00003C000000}" name="Conforme_PPWR_2030"/>
    <tableColumn id="61" xr3:uid="{00000000-0010-0000-0500-00003D000000}" name="Conforme_PPWR_2038"/>
    <tableColumn id="62" xr3:uid="{00000000-0010-0000-0500-00003E000000}" name="Pct_PCR_Corpo"/>
    <tableColumn id="63" xr3:uid="{00000000-0010-0000-0500-00003F000000}" name="Pct_PCR_Tampa"/>
    <tableColumn id="64" xr3:uid="{00000000-0010-0000-0500-000040000000}" name="Conteudo_Reciclado_Pct"/>
    <tableColumn id="65" xr3:uid="{00000000-0010-0000-0500-000041000000}" name="Categoria_Art7"/>
    <tableColumn id="66" xr3:uid="{00000000-0010-0000-0500-000042000000}" name="Meta_2030"/>
    <tableColumn id="67" xr3:uid="{00000000-0010-0000-0500-000043000000}" name="Gap_2030"/>
    <tableColumn id="68" xr3:uid="{00000000-0010-0000-0500-000044000000}" name="Conforme_Art7_2030"/>
    <tableColumn id="69" xr3:uid="{00000000-0010-0000-0500-000045000000}" name="Estrutura_Material"/>
    <tableColumn id="70" xr3:uid="{00000000-0010-0000-0500-000046000000}" name="Unid_Vendidas_P12"/>
    <tableColumn id="71" xr3:uid="{00000000-0010-0000-0500-000047000000}" name="N_Clientes_P12"/>
    <tableColumn id="72" xr3:uid="{00000000-0010-0000-0500-000048000000}" name="Paises_Venda"/>
    <tableColumn id="73" xr3:uid="{00000000-0010-0000-0500-000049000000}" name="Massa_Vendida_kg"/>
    <tableColumn id="74" xr3:uid="{00000000-0010-0000-0500-00004A000000}" name="N_Requisitos_Aplicaveis"/>
    <tableColumn id="75" xr3:uid="{00000000-0010-0000-0500-00004B000000}" name="N_Lacunas"/>
    <tableColumn id="76" xr3:uid="{00000000-0010-0000-0500-00004C000000}" name="Data_Avaliacao"/>
    <tableColumn id="77" xr3:uid="{00000000-0010-0000-0500-00004D000000}" name="Proxima_Revisao"/>
    <tableColumn id="78" xr3:uid="{00000000-0010-0000-0500-00004E000000}" name="Avaliador"/>
    <tableColumn id="79" xr3:uid="{00000000-0010-0000-0500-00004F000000}" name="Estado_Avaliacao"/>
    <tableColumn id="80" xr3:uid="{00000000-0010-0000-0500-000050000000}" name="Metodo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compat_tampas" displayName="tbl_compat_tampas" ref="A1:G109">
  <autoFilter ref="A1:G109" xr:uid="{00000000-0009-0000-0100-000007000000}"/>
  <tableColumns count="7">
    <tableColumn id="1" xr3:uid="{00000000-0010-0000-0600-000001000000}" name="CapId"/>
    <tableColumn id="2" xr3:uid="{00000000-0010-0000-0600-000002000000}" name="Fluxo_Corpo"/>
    <tableColumn id="3" xr3:uid="{00000000-0010-0000-0600-000003000000}" name="Polimero_Tampa"/>
    <tableColumn id="4" xr3:uid="{00000000-0010-0000-0600-000004000000}" name="Classe"/>
    <tableColumn id="5" xr3:uid="{00000000-0010-0000-0600-000005000000}" name="Fracao_Reciclavel"/>
    <tableColumn id="6" xr3:uid="{00000000-0010-0000-0600-000006000000}" name="Fundamentacao"/>
    <tableColumn id="7" xr3:uid="{00000000-0010-0000-0600-000007000000}" name="Recomendacao_Comercial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familias_ppwr" displayName="tbl_familias_ppwr" ref="A1:S23">
  <autoFilter ref="A1:S23" xr:uid="{00000000-0009-0000-0100-000008000000}"/>
  <tableColumns count="19">
    <tableColumn id="1" xr3:uid="{00000000-0010-0000-0700-000001000000}" name="ID_Familia"/>
    <tableColumn id="2" xr3:uid="{00000000-0010-0000-0700-000002000000}" name="Familia"/>
    <tableColumn id="3" xr3:uid="{00000000-0010-0000-0700-000003000000}" name="Tipo"/>
    <tableColumn id="4" xr3:uid="{00000000-0010-0000-0700-000004000000}" name="Material"/>
    <tableColumn id="5" xr3:uid="{00000000-0010-0000-0700-000005000000}" name="N_SKUs"/>
    <tableColumn id="6" xr3:uid="{00000000-0010-0000-0700-000006000000}" name="Documentacao_Tecnica"/>
    <tableColumn id="7" xr3:uid="{00000000-0010-0000-0700-000007000000}" name="Declaracao_UE"/>
    <tableColumn id="8" xr3:uid="{00000000-0010-0000-0700-000008000000}" name="Data_DoC"/>
    <tableColumn id="9" xr3:uid="{00000000-0010-0000-0700-000009000000}" name="Metais_Pesados_Evidencia"/>
    <tableColumn id="10" xr3:uid="{00000000-0010-0000-0700-00000A000000}" name="Metais_mg_kg"/>
    <tableColumn id="11" xr3:uid="{00000000-0010-0000-0700-00000B000000}" name="PFAS_Evidencia"/>
    <tableColumn id="12" xr3:uid="{00000000-0010-0000-0700-00000C000000}" name="SVHC_Artigo"/>
    <tableColumn id="13" xr3:uid="{00000000-0010-0000-0700-00000D000000}" name="SVHC_Evidencia"/>
    <tableColumn id="14" xr3:uid="{00000000-0010-0000-0700-00000E000000}" name="Obrigacao_SVHC"/>
    <tableColumn id="15" xr3:uid="{00000000-0010-0000-0700-00000F000000}" name="Pior_Classe_RecyClass"/>
    <tableColumn id="16" xr3:uid="{00000000-0010-0000-0700-000010000000}" name="SKUs_Nao_Conformes_2030"/>
    <tableColumn id="17" xr3:uid="{00000000-0010-0000-0700-000011000000}" name="Estado"/>
    <tableColumn id="18" xr3:uid="{00000000-0010-0000-0700-000012000000}" name="Prazo"/>
    <tableColumn id="19" xr3:uid="{00000000-0010-0000-0700-000013000000}" name="ID_PAM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_requisitos_emb" displayName="tbl_requisitos_emb" ref="A4:AB59">
  <autoFilter ref="A4:AB59" xr:uid="{00000000-0009-0000-0100-000009000000}"/>
  <tableColumns count="28">
    <tableColumn id="1" xr3:uid="{00000000-0010-0000-0800-000001000000}" name="ID_Req"/>
    <tableColumn id="2" xr3:uid="{00000000-0010-0000-0800-000002000000}" name="Grupo"/>
    <tableColumn id="3" xr3:uid="{00000000-0010-0000-0800-000003000000}" name="Fonte"/>
    <tableColumn id="4" xr3:uid="{00000000-0010-0000-0800-000004000000}" name="Artigo_Anexo"/>
    <tableColumn id="5" xr3:uid="{00000000-0010-0000-0800-000005000000}" name="Tema"/>
    <tableColumn id="6" xr3:uid="{00000000-0010-0000-0800-000006000000}" name="Requisito"/>
    <tableColumn id="7" xr3:uid="{00000000-0010-0000-0800-000007000000}" name="Natureza_Obrigacao"/>
    <tableColumn id="8" xr3:uid="{00000000-0010-0000-0800-000008000000}" name="Papel_Plasticom"/>
    <tableColumn id="9" xr3:uid="{00000000-0010-0000-0800-000009000000}" name="Nivel"/>
    <tableColumn id="10" xr3:uid="{00000000-0010-0000-0800-00000A000000}" name="Ambito_Produtos"/>
    <tableColumn id="11" xr3:uid="{00000000-0010-0000-0800-00000B000000}" name="Data_Aplicacao"/>
    <tableColumn id="12" xr3:uid="{00000000-0010-0000-0800-00000C000000}" name="Aplicabilidade"/>
    <tableColumn id="13" xr3:uid="{00000000-0010-0000-0800-00000D000000}" name="Evidencia_SGA"/>
    <tableColumn id="14" xr3:uid="{00000000-0010-0000-0800-00000E000000}" name="Metodo_Verificacao"/>
    <tableColumn id="15" xr3:uid="{00000000-0010-0000-0800-00000F000000}" name="Frequencia"/>
    <tableColumn id="16" xr3:uid="{00000000-0010-0000-0800-000010000000}" name="Estado"/>
    <tableColumn id="17" xr3:uid="{00000000-0010-0000-0800-000011000000}" name="Risco"/>
    <tableColumn id="18" xr3:uid="{00000000-0010-0000-0800-000012000000}" name="ID_Legal"/>
    <tableColumn id="19" xr3:uid="{00000000-0010-0000-0800-000013000000}" name="ID_PAM"/>
    <tableColumn id="20" xr3:uid="{00000000-0010-0000-0800-000014000000}" name="Responsavel"/>
    <tableColumn id="21" xr3:uid="{00000000-0010-0000-0800-000015000000}" name="Prazo"/>
    <tableColumn id="22" xr3:uid="{00000000-0010-0000-0800-000016000000}" name="Verificacao_ChatGPT"/>
    <tableColumn id="23" xr3:uid="{00000000-0010-0000-0800-000017000000}" name="Nota_Verificacao"/>
    <tableColumn id="24" xr3:uid="{00000000-0010-0000-0800-000018000000}" name="Fonte_Oficial"/>
    <tableColumn id="25" xr3:uid="{00000000-0010-0000-0800-000019000000}" name="Data_Revisao"/>
    <tableColumn id="26" xr3:uid="{00000000-0010-0000-0800-00001A000000}" name="N_SKUs_Aplicaveis"/>
    <tableColumn id="27" xr3:uid="{00000000-0010-0000-0800-00001B000000}" name="N_SKUs_Conformes"/>
    <tableColumn id="28" xr3:uid="{00000000-0010-0000-0800-00001C000000}" name="Alerta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_aplicabilidade" displayName="tbl_aplicabilidade" ref="A1:J2487">
  <autoFilter ref="A1:J2487" xr:uid="{00000000-0009-0000-0100-00000A000000}"/>
  <tableColumns count="10">
    <tableColumn id="1" xr3:uid="{00000000-0010-0000-0900-000001000000}" name="ProductId"/>
    <tableColumn id="2" xr3:uid="{00000000-0010-0000-0900-000002000000}" name="ID_Req"/>
    <tableColumn id="3" xr3:uid="{00000000-0010-0000-0900-000003000000}" name="Tema"/>
    <tableColumn id="4" xr3:uid="{00000000-0010-0000-0900-000004000000}" name="Segmento"/>
    <tableColumn id="5" xr3:uid="{00000000-0010-0000-0900-000005000000}" name="Aplicavel"/>
    <tableColumn id="6" xr3:uid="{00000000-0010-0000-0900-000006000000}" name="Motivo"/>
    <tableColumn id="7" xr3:uid="{00000000-0010-0000-0900-000007000000}" name="Estado_Base"/>
    <tableColumn id="8" xr3:uid="{00000000-0010-0000-0900-000008000000}" name="Estado"/>
    <tableColumn id="9" xr3:uid="{00000000-0010-0000-0900-000009000000}" name="Estado_Resumo"/>
    <tableColumn id="10" xr3:uid="{00000000-0010-0000-0900-00000A000000}" name="Evidencia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_vendas_embalagem" displayName="tbl_vendas_embalagem" ref="A1:M686">
  <autoFilter ref="A1:M686" xr:uid="{00000000-0009-0000-0100-00000B000000}"/>
  <tableColumns count="13">
    <tableColumn id="1" xr3:uid="{00000000-0010-0000-0A00-000001000000}" name="ProductId"/>
    <tableColumn id="2" xr3:uid="{00000000-0010-0000-0A00-000002000000}" name="Tipo"/>
    <tableColumn id="3" xr3:uid="{00000000-0010-0000-0A00-000003000000}" name="Pais"/>
    <tableColumn id="4" xr3:uid="{00000000-0010-0000-0A00-000004000000}" name="Pais_Nome"/>
    <tableColumn id="5" xr3:uid="{00000000-0010-0000-0A00-000005000000}" name="N_Clientes"/>
    <tableColumn id="6" xr3:uid="{00000000-0010-0000-0A00-000006000000}" name="Unidades"/>
    <tableColumn id="7" xr3:uid="{00000000-0010-0000-0A00-000007000000}" name="Massa_Unit_g"/>
    <tableColumn id="8" xr3:uid="{00000000-0010-0000-0A00-000008000000}" name="Massa_kg"/>
    <tableColumn id="9" xr3:uid="{00000000-0010-0000-0A00-000009000000}" name="Pct_PCR"/>
    <tableColumn id="10" xr3:uid="{00000000-0010-0000-0A00-00000A000000}" name="Massa_Reciclado_kg"/>
    <tableColumn id="11" xr3:uid="{00000000-0010-0000-0A00-00000B000000}" name="Massa_Virgem_kg"/>
    <tableColumn id="12" xr3:uid="{00000000-0010-0000-0A00-00000C000000}" name="Imposto_ES_EUR"/>
    <tableColumn id="13" xr3:uid="{00000000-0010-0000-0A00-00000D000000}" name="Grau_PPWR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_emb_expedicao" displayName="tbl_emb_expedicao" ref="A1:H217">
  <autoFilter ref="A1:H217" xr:uid="{00000000-0009-0000-0100-00000C000000}"/>
  <tableColumns count="8">
    <tableColumn id="1" xr3:uid="{00000000-0010-0000-0B00-000001000000}" name="Mes"/>
    <tableColumn id="2" xr3:uid="{00000000-0010-0000-0B00-000002000000}" name="Pais"/>
    <tableColumn id="3" xr3:uid="{00000000-0010-0000-0B00-000003000000}" name="Material_Embalagem"/>
    <tableColumn id="4" xr3:uid="{00000000-0010-0000-0B00-000004000000}" name="Codigo_LER_Fim_Vida"/>
    <tableColumn id="5" xr3:uid="{00000000-0010-0000-0B00-000005000000}" name="Massa_kg"/>
    <tableColumn id="6" xr3:uid="{00000000-0010-0000-0B00-000006000000}" name="Regime_RAP"/>
    <tableColumn id="7" xr3:uid="{00000000-0010-0000-0B00-000007000000}" name="ID_Param_Valor"/>
    <tableColumn id="8" xr3:uid="{00000000-0010-0000-0B00-000008000000}" name="Prestacao_EUR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_requisitos_pais" displayName="tbl_requisitos_pais" ref="A1:M13">
  <autoFilter ref="A1:M13" xr:uid="{00000000-0009-0000-0100-00000D000000}"/>
  <tableColumns count="13">
    <tableColumn id="1" xr3:uid="{00000000-0010-0000-0C00-000001000000}" name="ID_Pais_Req"/>
    <tableColumn id="2" xr3:uid="{00000000-0010-0000-0C00-000002000000}" name="Pais"/>
    <tableColumn id="3" xr3:uid="{00000000-0010-0000-0C00-000003000000}" name="Tema"/>
    <tableColumn id="4" xr3:uid="{00000000-0010-0000-0C00-000004000000}" name="Requisito"/>
    <tableColumn id="5" xr3:uid="{00000000-0010-0000-0C00-000005000000}" name="Papel_Plasticom"/>
    <tableColumn id="6" xr3:uid="{00000000-0010-0000-0C00-000006000000}" name="Informacao_a_Fornecer"/>
    <tableColumn id="7" xr3:uid="{00000000-0010-0000-0C00-000007000000}" name="Autoridade"/>
    <tableColumn id="8" xr3:uid="{00000000-0010-0000-0C00-000008000000}" name="Fonte_Legal"/>
    <tableColumn id="9" xr3:uid="{00000000-0010-0000-0C00-000009000000}" name="Natureza_Obrigacao"/>
    <tableColumn id="10" xr3:uid="{00000000-0010-0000-0C00-00000A000000}" name="Estado"/>
    <tableColumn id="11" xr3:uid="{00000000-0010-0000-0C00-00000B000000}" name="N_Clientes"/>
    <tableColumn id="12" xr3:uid="{00000000-0010-0000-0C00-00000C000000}" name="Massa_Plastico_kg"/>
    <tableColumn id="13" xr3:uid="{00000000-0010-0000-0C00-00000D000000}" name="Massa_Reciclado_kg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_certificados_pcr" displayName="tbl_certificados_pcr" ref="A1:N5">
  <autoFilter ref="A1:N5" xr:uid="{00000000-0009-0000-0100-00000E000000}"/>
  <tableColumns count="14">
    <tableColumn id="1" xr3:uid="{00000000-0010-0000-0D00-000001000000}" name="ID_Certificado"/>
    <tableColumn id="2" xr3:uid="{00000000-0010-0000-0D00-000002000000}" name="ID_Fornecedor"/>
    <tableColumn id="3" xr3:uid="{00000000-0010-0000-0D00-000003000000}" name="Material"/>
    <tableColumn id="4" xr3:uid="{00000000-0010-0000-0D00-000004000000}" name="Esquema"/>
    <tableColumn id="5" xr3:uid="{00000000-0010-0000-0D00-000005000000}" name="N_Certificado"/>
    <tableColumn id="6" xr3:uid="{00000000-0010-0000-0D00-000006000000}" name="Norma"/>
    <tableColumn id="7" xr3:uid="{00000000-0010-0000-0D00-000007000000}" name="Pct_PCR_Declarado"/>
    <tableColumn id="8" xr3:uid="{00000000-0010-0000-0D00-000008000000}" name="Origem"/>
    <tableColumn id="9" xr3:uid="{00000000-0010-0000-0D00-000009000000}" name="Data_Emissao"/>
    <tableColumn id="10" xr3:uid="{00000000-0010-0000-0D00-00000A000000}" name="Validade"/>
    <tableColumn id="11" xr3:uid="{00000000-0010-0000-0D00-00000B000000}" name="Aprovado_Contacto_Alimentar"/>
    <tableColumn id="12" xr3:uid="{00000000-0010-0000-0D00-00000C000000}" name="Nota"/>
    <tableColumn id="13" xr3:uid="{00000000-0010-0000-0D00-00000D000000}" name="Dias_para_Expirar"/>
    <tableColumn id="14" xr3:uid="{00000000-0010-0000-0D00-00000E000000}" name="Estado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bl_alegacoes" displayName="tbl_alegacoes" ref="A1:M11">
  <autoFilter ref="A1:M11" xr:uid="{00000000-0009-0000-0100-00000F000000}"/>
  <tableColumns count="13">
    <tableColumn id="1" xr3:uid="{00000000-0010-0000-0E00-000001000000}" name="ID_Alegacao"/>
    <tableColumn id="2" xr3:uid="{00000000-0010-0000-0E00-000002000000}" name="Texto_Alegacao"/>
    <tableColumn id="3" xr3:uid="{00000000-0010-0000-0E00-000003000000}" name="Tipo"/>
    <tableColumn id="4" xr3:uid="{00000000-0010-0000-0E00-000004000000}" name="Ambito_Produtos"/>
    <tableColumn id="5" xr3:uid="{00000000-0010-0000-0E00-000005000000}" name="Canal"/>
    <tableColumn id="6" xr3:uid="{00000000-0010-0000-0E00-000006000000}" name="Norma_Referencia"/>
    <tableColumn id="7" xr3:uid="{00000000-0010-0000-0E00-000007000000}" name="Evidencia"/>
    <tableColumn id="8" xr3:uid="{00000000-0010-0000-0E00-000008000000}" name="Estado"/>
    <tableColumn id="9" xr3:uid="{00000000-0010-0000-0E00-000009000000}" name="Data_Revisao"/>
    <tableColumn id="10" xr3:uid="{00000000-0010-0000-0E00-00000A000000}" name="Prazo_Acao"/>
    <tableColumn id="11" xr3:uid="{00000000-0010-0000-0E00-00000B000000}" name="Responsavel"/>
    <tableColumn id="12" xr3:uid="{00000000-0010-0000-0E00-00000C000000}" name="ID_PAM"/>
    <tableColumn id="13" xr3:uid="{00000000-0010-0000-0E00-00000D000000}" name="Alerta"/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bl_maturidade_emb" displayName="tbl_maturidade_emb" ref="A1:E17">
  <autoFilter ref="A1:E17" xr:uid="{00000000-0009-0000-0100-000010000000}"/>
  <tableColumns count="5">
    <tableColumn id="1" xr3:uid="{00000000-0010-0000-0F00-000001000000}" name="ID_Item"/>
    <tableColumn id="2" xr3:uid="{00000000-0010-0000-0F00-000002000000}" name="Item_Checklist"/>
    <tableColumn id="3" xr3:uid="{00000000-0010-0000-0F00-000003000000}" name="Estado"/>
    <tableColumn id="4" xr3:uid="{00000000-0010-0000-0F00-000004000000}" name="Evidencia_SGA"/>
    <tableColumn id="5" xr3:uid="{00000000-0010-0000-0F00-000005000000}" name="ID_PAM"/>
  </tableColumns>
  <tableStyleInfo name="TableStyleLight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bl_dicionario" displayName="tbl_dicionario" ref="A1:I255">
  <autoFilter ref="A1:I255" xr:uid="{00000000-0009-0000-0100-000011000000}"/>
  <tableColumns count="9">
    <tableColumn id="1" xr3:uid="{00000000-0010-0000-1000-000001000000}" name="Folha"/>
    <tableColumn id="2" xr3:uid="{00000000-0010-0000-1000-000002000000}" name="Tabela"/>
    <tableColumn id="3" xr3:uid="{00000000-0010-0000-1000-000003000000}" name="Coluna"/>
    <tableColumn id="4" xr3:uid="{00000000-0010-0000-1000-000004000000}" name="Tipo"/>
    <tableColumn id="5" xr3:uid="{00000000-0010-0000-1000-000005000000}" name="Origem"/>
    <tableColumn id="6" xr3:uid="{00000000-0010-0000-1000-000006000000}" name="Descricao"/>
    <tableColumn id="7" xr3:uid="{00000000-0010-0000-1000-000007000000}" name="Dominio_Unidade"/>
    <tableColumn id="8" xr3:uid="{00000000-0010-0000-1000-000008000000}" name="Obrigatorio"/>
    <tableColumn id="9" xr3:uid="{00000000-0010-0000-1000-000009000000}" name="Chav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9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10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11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12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13.v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14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15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16.v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5F"/>
  </sheetPr>
  <dimension ref="A1:B56"/>
  <sheetViews>
    <sheetView showGridLines="0" tabSelected="1" workbookViewId="0"/>
  </sheetViews>
  <sheetFormatPr defaultRowHeight="14.4" x14ac:dyDescent="0.3"/>
  <cols>
    <col min="1" max="1" width="30" customWidth="1"/>
    <col min="2" max="2" width="11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/>
    </row>
    <row r="5" spans="1:2" x14ac:dyDescent="0.3">
      <c r="A5" s="5" t="s">
        <v>3</v>
      </c>
      <c r="B5" s="6" t="s">
        <v>4</v>
      </c>
    </row>
    <row r="6" spans="1:2" x14ac:dyDescent="0.3">
      <c r="A6" s="5" t="s">
        <v>5</v>
      </c>
      <c r="B6" s="6" t="s">
        <v>6</v>
      </c>
    </row>
    <row r="7" spans="1:2" x14ac:dyDescent="0.3">
      <c r="A7" s="5" t="s">
        <v>7</v>
      </c>
      <c r="B7" s="6" t="s">
        <v>8</v>
      </c>
    </row>
    <row r="8" spans="1:2" x14ac:dyDescent="0.3">
      <c r="A8" s="5" t="s">
        <v>9</v>
      </c>
      <c r="B8" s="7">
        <v>46289</v>
      </c>
    </row>
    <row r="9" spans="1:2" x14ac:dyDescent="0.3">
      <c r="A9" s="5" t="s">
        <v>10</v>
      </c>
      <c r="B9" s="6" t="s">
        <v>11</v>
      </c>
    </row>
    <row r="10" spans="1:2" x14ac:dyDescent="0.3">
      <c r="A10" s="5" t="s">
        <v>12</v>
      </c>
      <c r="B10" s="6" t="s">
        <v>13</v>
      </c>
    </row>
    <row r="11" spans="1:2" x14ac:dyDescent="0.3">
      <c r="A11" s="5" t="s">
        <v>14</v>
      </c>
      <c r="B11" s="6" t="s">
        <v>15</v>
      </c>
    </row>
    <row r="12" spans="1:2" x14ac:dyDescent="0.3">
      <c r="A12" s="5" t="s">
        <v>16</v>
      </c>
      <c r="B12" s="6" t="s">
        <v>17</v>
      </c>
    </row>
    <row r="13" spans="1:2" ht="26.4" x14ac:dyDescent="0.3">
      <c r="A13" s="5" t="s">
        <v>18</v>
      </c>
      <c r="B13" s="6" t="s">
        <v>19</v>
      </c>
    </row>
    <row r="15" spans="1:2" x14ac:dyDescent="0.3">
      <c r="A15" s="3" t="s">
        <v>20</v>
      </c>
      <c r="B15" s="4"/>
    </row>
    <row r="16" spans="1:2" ht="79.2" x14ac:dyDescent="0.3">
      <c r="A16" s="5" t="s">
        <v>21</v>
      </c>
      <c r="B16" s="6" t="s">
        <v>22</v>
      </c>
    </row>
    <row r="17" spans="1:2" ht="26.4" x14ac:dyDescent="0.3">
      <c r="A17" s="5" t="s">
        <v>23</v>
      </c>
      <c r="B17" s="6" t="s">
        <v>24</v>
      </c>
    </row>
    <row r="18" spans="1:2" ht="26.4" x14ac:dyDescent="0.3">
      <c r="A18" s="5" t="s">
        <v>25</v>
      </c>
      <c r="B18" s="6" t="s">
        <v>26</v>
      </c>
    </row>
    <row r="20" spans="1:2" x14ac:dyDescent="0.3">
      <c r="A20" s="3" t="s">
        <v>27</v>
      </c>
      <c r="B20" s="4"/>
    </row>
    <row r="21" spans="1:2" x14ac:dyDescent="0.3">
      <c r="A21" s="5" t="s">
        <v>28</v>
      </c>
      <c r="B21" s="6" t="s">
        <v>29</v>
      </c>
    </row>
    <row r="22" spans="1:2" x14ac:dyDescent="0.3">
      <c r="A22" s="5" t="s">
        <v>30</v>
      </c>
      <c r="B22" s="6" t="s">
        <v>31</v>
      </c>
    </row>
    <row r="23" spans="1:2" x14ac:dyDescent="0.3">
      <c r="A23" s="5" t="s">
        <v>32</v>
      </c>
      <c r="B23" s="6" t="s">
        <v>33</v>
      </c>
    </row>
    <row r="24" spans="1:2" x14ac:dyDescent="0.3">
      <c r="A24" s="5" t="s">
        <v>34</v>
      </c>
      <c r="B24" s="6" t="s">
        <v>35</v>
      </c>
    </row>
    <row r="25" spans="1:2" x14ac:dyDescent="0.3">
      <c r="A25" s="5" t="s">
        <v>36</v>
      </c>
      <c r="B25" s="6" t="s">
        <v>37</v>
      </c>
    </row>
    <row r="26" spans="1:2" x14ac:dyDescent="0.3">
      <c r="A26" s="5" t="s">
        <v>38</v>
      </c>
      <c r="B26" s="6" t="s">
        <v>39</v>
      </c>
    </row>
    <row r="27" spans="1:2" x14ac:dyDescent="0.3">
      <c r="A27" s="5" t="s">
        <v>40</v>
      </c>
      <c r="B27" s="6" t="s">
        <v>41</v>
      </c>
    </row>
    <row r="28" spans="1:2" x14ac:dyDescent="0.3">
      <c r="A28" s="5" t="s">
        <v>42</v>
      </c>
      <c r="B28" s="6" t="s">
        <v>43</v>
      </c>
    </row>
    <row r="29" spans="1:2" ht="26.4" x14ac:dyDescent="0.3">
      <c r="A29" s="5" t="s">
        <v>44</v>
      </c>
      <c r="B29" s="6" t="s">
        <v>45</v>
      </c>
    </row>
    <row r="30" spans="1:2" x14ac:dyDescent="0.3">
      <c r="A30" s="5" t="s">
        <v>46</v>
      </c>
      <c r="B30" s="6" t="s">
        <v>47</v>
      </c>
    </row>
    <row r="31" spans="1:2" x14ac:dyDescent="0.3">
      <c r="A31" s="5" t="s">
        <v>48</v>
      </c>
      <c r="B31" s="6" t="s">
        <v>49</v>
      </c>
    </row>
    <row r="32" spans="1:2" x14ac:dyDescent="0.3">
      <c r="A32" s="5" t="s">
        <v>50</v>
      </c>
      <c r="B32" s="6" t="s">
        <v>51</v>
      </c>
    </row>
    <row r="33" spans="1:2" x14ac:dyDescent="0.3">
      <c r="A33" s="5" t="s">
        <v>52</v>
      </c>
      <c r="B33" s="6" t="s">
        <v>53</v>
      </c>
    </row>
    <row r="34" spans="1:2" x14ac:dyDescent="0.3">
      <c r="A34" s="5" t="s">
        <v>54</v>
      </c>
      <c r="B34" s="6" t="s">
        <v>55</v>
      </c>
    </row>
    <row r="35" spans="1:2" x14ac:dyDescent="0.3">
      <c r="A35" s="5" t="s">
        <v>56</v>
      </c>
      <c r="B35" s="6" t="s">
        <v>57</v>
      </c>
    </row>
    <row r="36" spans="1:2" x14ac:dyDescent="0.3">
      <c r="A36" s="5" t="s">
        <v>58</v>
      </c>
      <c r="B36" s="6" t="s">
        <v>59</v>
      </c>
    </row>
    <row r="37" spans="1:2" ht="26.4" x14ac:dyDescent="0.3">
      <c r="A37" s="5" t="s">
        <v>60</v>
      </c>
      <c r="B37" s="6" t="s">
        <v>61</v>
      </c>
    </row>
    <row r="38" spans="1:2" x14ac:dyDescent="0.3">
      <c r="A38" s="5" t="s">
        <v>62</v>
      </c>
      <c r="B38" s="6" t="s">
        <v>63</v>
      </c>
    </row>
    <row r="39" spans="1:2" x14ac:dyDescent="0.3">
      <c r="A39" s="5" t="s">
        <v>64</v>
      </c>
      <c r="B39" s="6" t="s">
        <v>65</v>
      </c>
    </row>
    <row r="40" spans="1:2" x14ac:dyDescent="0.3">
      <c r="A40" s="5" t="s">
        <v>66</v>
      </c>
      <c r="B40" s="6" t="s">
        <v>67</v>
      </c>
    </row>
    <row r="42" spans="1:2" x14ac:dyDescent="0.3">
      <c r="A42" s="3" t="s">
        <v>68</v>
      </c>
      <c r="B42" s="4"/>
    </row>
    <row r="43" spans="1:2" ht="26.4" x14ac:dyDescent="0.3">
      <c r="A43" s="5" t="s">
        <v>69</v>
      </c>
      <c r="B43" s="6" t="s">
        <v>70</v>
      </c>
    </row>
    <row r="44" spans="1:2" x14ac:dyDescent="0.3">
      <c r="A44" s="5" t="s">
        <v>71</v>
      </c>
      <c r="B44" s="6" t="s">
        <v>72</v>
      </c>
    </row>
    <row r="45" spans="1:2" x14ac:dyDescent="0.3">
      <c r="A45" s="5" t="s">
        <v>73</v>
      </c>
      <c r="B45" s="6" t="s">
        <v>74</v>
      </c>
    </row>
    <row r="46" spans="1:2" ht="26.4" x14ac:dyDescent="0.3">
      <c r="A46" s="5" t="s">
        <v>75</v>
      </c>
      <c r="B46" s="6" t="s">
        <v>76</v>
      </c>
    </row>
    <row r="47" spans="1:2" ht="26.4" x14ac:dyDescent="0.3">
      <c r="A47" s="5" t="s">
        <v>77</v>
      </c>
      <c r="B47" s="6" t="s">
        <v>78</v>
      </c>
    </row>
    <row r="48" spans="1:2" ht="26.4" x14ac:dyDescent="0.3">
      <c r="A48" s="5" t="s">
        <v>79</v>
      </c>
      <c r="B48" s="6" t="s">
        <v>80</v>
      </c>
    </row>
    <row r="50" spans="1:2" x14ac:dyDescent="0.3">
      <c r="A50" s="3" t="s">
        <v>81</v>
      </c>
      <c r="B50" s="4"/>
    </row>
    <row r="51" spans="1:2" x14ac:dyDescent="0.3">
      <c r="A51" s="5" t="s">
        <v>82</v>
      </c>
      <c r="B51" s="6" t="s">
        <v>83</v>
      </c>
    </row>
    <row r="52" spans="1:2" x14ac:dyDescent="0.3">
      <c r="A52" s="5" t="s">
        <v>84</v>
      </c>
      <c r="B52" s="6" t="s">
        <v>85</v>
      </c>
    </row>
    <row r="53" spans="1:2" x14ac:dyDescent="0.3">
      <c r="A53" s="5" t="s">
        <v>86</v>
      </c>
      <c r="B53" s="6" t="s">
        <v>87</v>
      </c>
    </row>
    <row r="54" spans="1:2" x14ac:dyDescent="0.3">
      <c r="A54" s="5" t="s">
        <v>88</v>
      </c>
      <c r="B54" s="6" t="s">
        <v>89</v>
      </c>
    </row>
    <row r="55" spans="1:2" x14ac:dyDescent="0.3">
      <c r="A55" s="5" t="s">
        <v>90</v>
      </c>
      <c r="B55" s="6" t="s">
        <v>91</v>
      </c>
    </row>
    <row r="56" spans="1:2" x14ac:dyDescent="0.3">
      <c r="A56" s="5" t="s">
        <v>92</v>
      </c>
      <c r="B56" s="6" t="s">
        <v>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H71"/>
  <sheetViews>
    <sheetView showGridLines="0" workbookViewId="0"/>
  </sheetViews>
  <sheetFormatPr defaultRowHeight="14.4" x14ac:dyDescent="0.3"/>
  <cols>
    <col min="1" max="1" width="21.33203125" bestFit="1" customWidth="1"/>
    <col min="2" max="2" width="16.44140625" bestFit="1" customWidth="1"/>
    <col min="3" max="7" width="17.5546875" bestFit="1" customWidth="1"/>
    <col min="8" max="8" width="10" bestFit="1" customWidth="1"/>
    <col min="9" max="10" width="14" customWidth="1"/>
  </cols>
  <sheetData>
    <row r="1" spans="1:2" ht="52.2" x14ac:dyDescent="0.3">
      <c r="A1" s="8" t="s">
        <v>94</v>
      </c>
    </row>
    <row r="2" spans="1:2" ht="39.6" x14ac:dyDescent="0.3">
      <c r="A2" s="9" t="s">
        <v>95</v>
      </c>
    </row>
    <row r="3" spans="1:2" x14ac:dyDescent="0.3">
      <c r="A3" s="10"/>
    </row>
    <row r="4" spans="1:2" x14ac:dyDescent="0.3">
      <c r="A4" s="11" t="s">
        <v>96</v>
      </c>
      <c r="B4" s="12" t="s">
        <v>97</v>
      </c>
    </row>
    <row r="5" spans="1:2" x14ac:dyDescent="0.3">
      <c r="A5" s="13" t="s">
        <v>98</v>
      </c>
      <c r="B5" s="14">
        <f>COUNTA(tbl_recyclass[ProductId])</f>
        <v>113</v>
      </c>
    </row>
    <row r="6" spans="1:2" x14ac:dyDescent="0.3">
      <c r="A6" s="13" t="s">
        <v>99</v>
      </c>
      <c r="B6" s="15">
        <f>COUNTIFS(tbl_recyclass[Conforme_PPWR_2030],"Sim")/(COUNTA(tbl_recyclass[ProductId])-COUNTIF(tbl_recyclass[Segmento],"Farmacêutico"))</f>
        <v>0.66355140186915884</v>
      </c>
    </row>
    <row r="7" spans="1:2" ht="26.4" x14ac:dyDescent="0.3">
      <c r="A7" s="13" t="s">
        <v>100</v>
      </c>
      <c r="B7" s="15">
        <f>SUMIFS(tbl_recyclass[Massa_Vendida_kg],tbl_recyclass[Conforme_PPWR_2030],"Sim")/SUMIFS(tbl_recyclass[Massa_Vendida_kg],tbl_recyclass[Segmento],"&lt;&gt;Farmacêutico")</f>
        <v>0.59745288378812</v>
      </c>
    </row>
    <row r="8" spans="1:2" x14ac:dyDescent="0.3">
      <c r="A8" s="13" t="s">
        <v>101</v>
      </c>
      <c r="B8" s="14">
        <f>COUNTIF(tbl_recyclass[Classe_RecyClass],"F")</f>
        <v>19</v>
      </c>
    </row>
    <row r="9" spans="1:2" x14ac:dyDescent="0.3">
      <c r="A9" s="13" t="s">
        <v>102</v>
      </c>
      <c r="B9" s="14">
        <f>COUNTIF(tbl_recyclass[Isencao_Art6],"Isento até 2035")</f>
        <v>6</v>
      </c>
    </row>
    <row r="10" spans="1:2" ht="26.4" x14ac:dyDescent="0.3">
      <c r="A10" s="13" t="s">
        <v>103</v>
      </c>
      <c r="B10" s="16">
        <f>SUMPRODUCT(tbl_recyclass[Taxa_Reciclabilidade],tbl_recyclass[Massa_Vendida_kg])/SUM(tbl_recyclass[Massa_Vendida_kg])</f>
        <v>0.84411000760562649</v>
      </c>
    </row>
    <row r="11" spans="1:2" ht="26.4" x14ac:dyDescent="0.3">
      <c r="A11" s="13" t="s">
        <v>104</v>
      </c>
      <c r="B11" s="16">
        <f>SUM(tbl_vendas_embalagem[Massa_Reciclado_kg])/SUM(tbl_vendas_embalagem[Massa_kg])</f>
        <v>0.11877847432924914</v>
      </c>
    </row>
    <row r="12" spans="1:2" ht="26.4" x14ac:dyDescent="0.3">
      <c r="A12" s="13" t="s">
        <v>105</v>
      </c>
      <c r="B12" s="15">
        <f>COUNTIF(tbl_familias_ppwr[Declaracao_UE],"Sim")/COUNTA(tbl_familias_ppwr[ID_Familia])</f>
        <v>0.77272727272727271</v>
      </c>
    </row>
    <row r="13" spans="1:2" x14ac:dyDescent="0.3">
      <c r="A13" s="13" t="s">
        <v>106</v>
      </c>
      <c r="B13" s="15">
        <f>(COUNTIF(tbl_certificados_pcr[Estado],"Válido")+COUNTIF(tbl_certificados_pcr[Estado],"Expira*"))/COUNTIFS(tbl_certificados_pcr[Pct_PCR_Declarado],"&gt;0")</f>
        <v>1</v>
      </c>
    </row>
    <row r="14" spans="1:2" ht="26.4" x14ac:dyDescent="0.3">
      <c r="A14" s="13" t="s">
        <v>107</v>
      </c>
      <c r="B14" s="17">
        <f>SUM(tbl_vendas_embalagem[Imposto_ES_EUR])</f>
        <v>39016.802871000029</v>
      </c>
    </row>
    <row r="15" spans="1:2" x14ac:dyDescent="0.3">
      <c r="A15" s="13" t="s">
        <v>108</v>
      </c>
      <c r="B15" s="18" t="str">
        <f>COUNTIF(tbl_requisitos_emb[Estado],"Lacuna")&amp;" / "&amp;COUNTIF(tbl_requisitos_emb[Estado],"Parcial")</f>
        <v>1 / 23</v>
      </c>
    </row>
    <row r="16" spans="1:2" x14ac:dyDescent="0.3">
      <c r="A16" s="13" t="s">
        <v>109</v>
      </c>
      <c r="B16" s="15">
        <f>COUNTIF(tbl_maturidade_emb[Estado],"Implementado")/COUNTA(tbl_maturidade_emb[ID_Item])</f>
        <v>0.75</v>
      </c>
    </row>
    <row r="17" spans="1:5" x14ac:dyDescent="0.3">
      <c r="A17" s="13" t="s">
        <v>110</v>
      </c>
      <c r="B17" s="14">
        <f>COUNTIF(tbl_alegacoes[Estado],"Retirar")+COUNTIF(tbl_alegacoes[Estado],"Proibida")+COUNTIF(tbl_alegacoes[Estado],"Suspensa")</f>
        <v>4</v>
      </c>
    </row>
    <row r="18" spans="1:5" x14ac:dyDescent="0.3">
      <c r="A18" s="10"/>
    </row>
    <row r="19" spans="1:5" x14ac:dyDescent="0.3">
      <c r="A19" s="5" t="s">
        <v>111</v>
      </c>
    </row>
    <row r="20" spans="1:5" ht="26.4" x14ac:dyDescent="0.3">
      <c r="A20" s="11" t="s">
        <v>112</v>
      </c>
      <c r="B20" s="12" t="s">
        <v>113</v>
      </c>
      <c r="C20" s="12" t="s">
        <v>114</v>
      </c>
      <c r="D20" s="12" t="s">
        <v>115</v>
      </c>
      <c r="E20" s="12" t="s">
        <v>116</v>
      </c>
    </row>
    <row r="21" spans="1:5" x14ac:dyDescent="0.3">
      <c r="A21" s="19" t="s">
        <v>117</v>
      </c>
      <c r="B21" s="20">
        <f>COUNTIF(tbl_recyclass[Classe_RecyClass],A21)</f>
        <v>26</v>
      </c>
      <c r="C21" s="21">
        <f>SUMIFS(tbl_recyclass[Massa_Vendida_kg],tbl_recyclass[Classe_RecyClass],A21)</f>
        <v>82511.908599999981</v>
      </c>
      <c r="D21" s="22">
        <f t="shared" ref="D21:D26" si="0">B21/SUM($B$21:$B$26)</f>
        <v>0.23008849557522124</v>
      </c>
      <c r="E21" s="22">
        <f t="shared" ref="E21:E26" si="1">C21/SUM($C$21:$C$26)</f>
        <v>0.1763463360832824</v>
      </c>
    </row>
    <row r="22" spans="1:5" x14ac:dyDescent="0.3">
      <c r="A22" s="19" t="s">
        <v>118</v>
      </c>
      <c r="B22" s="20">
        <f>COUNTIF(tbl_recyclass[Classe_RecyClass],A22)</f>
        <v>25</v>
      </c>
      <c r="C22" s="21">
        <f>SUMIFS(tbl_recyclass[Massa_Vendida_kg],tbl_recyclass[Classe_RecyClass],A22)</f>
        <v>109345.49589999999</v>
      </c>
      <c r="D22" s="22">
        <f t="shared" si="0"/>
        <v>0.22123893805309736</v>
      </c>
      <c r="E22" s="22">
        <f t="shared" si="1"/>
        <v>0.23369569188676581</v>
      </c>
    </row>
    <row r="23" spans="1:5" x14ac:dyDescent="0.3">
      <c r="A23" s="19" t="s">
        <v>119</v>
      </c>
      <c r="B23" s="20">
        <f>COUNTIF(tbl_recyclass[Classe_RecyClass],A23)</f>
        <v>26</v>
      </c>
      <c r="C23" s="21">
        <f>SUMIFS(tbl_recyclass[Massa_Vendida_kg],tbl_recyclass[Classe_RecyClass],A23)</f>
        <v>92488.845500000025</v>
      </c>
      <c r="D23" s="22">
        <f t="shared" si="0"/>
        <v>0.23008849557522124</v>
      </c>
      <c r="E23" s="22">
        <f t="shared" si="1"/>
        <v>0.19766927355377875</v>
      </c>
    </row>
    <row r="24" spans="1:5" x14ac:dyDescent="0.3">
      <c r="A24" s="19" t="s">
        <v>120</v>
      </c>
      <c r="B24" s="20">
        <f>COUNTIF(tbl_recyclass[Classe_RecyClass],A24)</f>
        <v>17</v>
      </c>
      <c r="C24" s="21">
        <f>SUMIFS(tbl_recyclass[Massa_Vendida_kg],tbl_recyclass[Classe_RecyClass],A24)</f>
        <v>111035.16289999998</v>
      </c>
      <c r="D24" s="22">
        <f t="shared" si="0"/>
        <v>0.15044247787610621</v>
      </c>
      <c r="E24" s="22">
        <f t="shared" si="1"/>
        <v>0.23730688680040316</v>
      </c>
    </row>
    <row r="25" spans="1:5" x14ac:dyDescent="0.3">
      <c r="A25" s="19" t="s">
        <v>121</v>
      </c>
      <c r="B25" s="20">
        <f>COUNTIF(tbl_recyclass[Classe_RecyClass],A25)</f>
        <v>0</v>
      </c>
      <c r="C25" s="21">
        <f>SUMIFS(tbl_recyclass[Massa_Vendida_kg],tbl_recyclass[Classe_RecyClass],A25)</f>
        <v>0</v>
      </c>
      <c r="D25" s="22">
        <f t="shared" si="0"/>
        <v>0</v>
      </c>
      <c r="E25" s="22">
        <f t="shared" si="1"/>
        <v>0</v>
      </c>
    </row>
    <row r="26" spans="1:5" x14ac:dyDescent="0.3">
      <c r="A26" s="19" t="s">
        <v>122</v>
      </c>
      <c r="B26" s="20">
        <f>COUNTIF(tbl_recyclass[Classe_RecyClass],A26)</f>
        <v>19</v>
      </c>
      <c r="C26" s="21">
        <f>SUMIFS(tbl_recyclass[Massa_Vendida_kg],tbl_recyclass[Classe_RecyClass],A26)</f>
        <v>72515.513299999991</v>
      </c>
      <c r="D26" s="22">
        <f t="shared" si="0"/>
        <v>0.16814159292035399</v>
      </c>
      <c r="E26" s="22">
        <f t="shared" si="1"/>
        <v>0.15498181167576988</v>
      </c>
    </row>
    <row r="27" spans="1:5" x14ac:dyDescent="0.3">
      <c r="A27" s="10"/>
    </row>
    <row r="28" spans="1:5" x14ac:dyDescent="0.3">
      <c r="A28" s="10"/>
    </row>
    <row r="29" spans="1:5" ht="26.4" x14ac:dyDescent="0.3">
      <c r="A29" s="5" t="s">
        <v>123</v>
      </c>
    </row>
    <row r="30" spans="1:5" ht="26.4" x14ac:dyDescent="0.3">
      <c r="A30" s="11" t="s">
        <v>124</v>
      </c>
      <c r="B30" s="12" t="s">
        <v>113</v>
      </c>
      <c r="C30" s="12" t="s">
        <v>114</v>
      </c>
    </row>
    <row r="31" spans="1:5" x14ac:dyDescent="0.3">
      <c r="A31" s="10" t="s">
        <v>117</v>
      </c>
      <c r="B31">
        <f>COUNTIF(tbl_recyclass[Grau_PPWR_Indicativo],A31)</f>
        <v>26</v>
      </c>
      <c r="C31" s="23">
        <f>SUMIFS(tbl_recyclass[Massa_Vendida_kg],tbl_recyclass[Grau_PPWR_Indicativo],A31)</f>
        <v>82511.908599999981</v>
      </c>
    </row>
    <row r="32" spans="1:5" x14ac:dyDescent="0.3">
      <c r="A32" s="10" t="s">
        <v>118</v>
      </c>
      <c r="B32">
        <f>COUNTIF(tbl_recyclass[Grau_PPWR_Indicativo],A32)</f>
        <v>25</v>
      </c>
      <c r="C32" s="23">
        <f>SUMIFS(tbl_recyclass[Massa_Vendida_kg],tbl_recyclass[Grau_PPWR_Indicativo],A32)</f>
        <v>109345.49589999999</v>
      </c>
    </row>
    <row r="33" spans="1:5" x14ac:dyDescent="0.3">
      <c r="A33" s="10" t="s">
        <v>119</v>
      </c>
      <c r="B33">
        <f>COUNTIF(tbl_recyclass[Grau_PPWR_Indicativo],A33)</f>
        <v>26</v>
      </c>
      <c r="C33" s="23">
        <f>SUMIFS(tbl_recyclass[Massa_Vendida_kg],tbl_recyclass[Grau_PPWR_Indicativo],A33)</f>
        <v>92488.845500000025</v>
      </c>
    </row>
    <row r="34" spans="1:5" x14ac:dyDescent="0.3">
      <c r="A34" s="10" t="s">
        <v>125</v>
      </c>
      <c r="B34">
        <f>COUNTIF(tbl_recyclass[Grau_PPWR_Indicativo],A34)</f>
        <v>17</v>
      </c>
      <c r="C34" s="23">
        <f>SUMIFS(tbl_recyclass[Massa_Vendida_kg],tbl_recyclass[Grau_PPWR_Indicativo],A34)</f>
        <v>111035.16289999998</v>
      </c>
    </row>
    <row r="35" spans="1:5" x14ac:dyDescent="0.3">
      <c r="A35" s="10" t="s">
        <v>126</v>
      </c>
      <c r="B35">
        <f>COUNTIF(tbl_recyclass[Grau_PPWR_Indicativo],A35)</f>
        <v>19</v>
      </c>
      <c r="C35" s="23">
        <f>SUMIFS(tbl_recyclass[Massa_Vendida_kg],tbl_recyclass[Grau_PPWR_Indicativo],A35)</f>
        <v>72515.513299999991</v>
      </c>
    </row>
    <row r="36" spans="1:5" x14ac:dyDescent="0.3">
      <c r="A36" s="10"/>
    </row>
    <row r="37" spans="1:5" x14ac:dyDescent="0.3">
      <c r="A37" s="10"/>
    </row>
    <row r="38" spans="1:5" ht="39.6" x14ac:dyDescent="0.3">
      <c r="A38" s="5" t="s">
        <v>127</v>
      </c>
    </row>
    <row r="39" spans="1:5" ht="26.4" x14ac:dyDescent="0.3">
      <c r="A39" s="11" t="s">
        <v>128</v>
      </c>
      <c r="B39" s="12" t="s">
        <v>114</v>
      </c>
      <c r="C39" s="12" t="s">
        <v>129</v>
      </c>
      <c r="D39" s="12" t="s">
        <v>130</v>
      </c>
      <c r="E39" s="12" t="s">
        <v>131</v>
      </c>
    </row>
    <row r="40" spans="1:5" x14ac:dyDescent="0.3">
      <c r="A40" s="10" t="s">
        <v>132</v>
      </c>
      <c r="B40" s="23">
        <f>SUMIFS(tbl_recyclass[Massa_Vendida_kg],tbl_recyclass[Categoria_Art7],A40)</f>
        <v>0</v>
      </c>
      <c r="C40" s="24" t="str">
        <f>IFERROR(SUMPRODUCT((tbl_recyclass[Categoria_Art7]=A40)*tbl_recyclass[Massa_Vendida_kg]*tbl_recyclass[Conteudo_Reciclado_Pct])/B40,"")</f>
        <v/>
      </c>
      <c r="D40" s="25">
        <f>IFERROR(IF(INDEX(tbl_metas_art7[Meta_2030],MATCH(A40,tbl_metas_art7[Categoria_Art7],0))="","",INDEX(tbl_metas_art7[Meta_2030],MATCH(A40,tbl_metas_art7[Categoria_Art7],0))),"")</f>
        <v>0.3</v>
      </c>
      <c r="E40" s="24" t="str">
        <f>IF(OR(C40="",D40=""),"",MAX(0,D40-C40))</f>
        <v/>
      </c>
    </row>
    <row r="41" spans="1:5" x14ac:dyDescent="0.3">
      <c r="A41" s="10" t="s">
        <v>133</v>
      </c>
      <c r="B41" s="23">
        <f>SUMIFS(tbl_recyclass[Massa_Vendida_kg],tbl_recyclass[Categoria_Art7],A41)</f>
        <v>21019.797400000003</v>
      </c>
      <c r="C41" s="24">
        <f>IFERROR(SUMPRODUCT((tbl_recyclass[Categoria_Art7]=A41)*tbl_recyclass[Massa_Vendida_kg]*tbl_recyclass[Conteudo_Reciclado_Pct])/B41,"")</f>
        <v>0</v>
      </c>
      <c r="D41" s="25">
        <f>IFERROR(IF(INDEX(tbl_metas_art7[Meta_2030],MATCH(A41,tbl_metas_art7[Categoria_Art7],0))="","",INDEX(tbl_metas_art7[Meta_2030],MATCH(A41,tbl_metas_art7[Categoria_Art7],0))),"")</f>
        <v>0.1</v>
      </c>
      <c r="E41" s="24">
        <f>IF(OR(C41="",D41=""),"",MAX(0,D41-C41))</f>
        <v>0.1</v>
      </c>
    </row>
    <row r="42" spans="1:5" x14ac:dyDescent="0.3">
      <c r="A42" s="10" t="s">
        <v>134</v>
      </c>
      <c r="B42" s="23">
        <f>SUMIFS(tbl_recyclass[Massa_Vendida_kg],tbl_recyclass[Categoria_Art7],A42)</f>
        <v>0</v>
      </c>
      <c r="C42" s="24" t="str">
        <f>IFERROR(SUMPRODUCT((tbl_recyclass[Categoria_Art7]=A42)*tbl_recyclass[Massa_Vendida_kg]*tbl_recyclass[Conteudo_Reciclado_Pct])/B42,"")</f>
        <v/>
      </c>
      <c r="D42" s="25">
        <f>IFERROR(IF(INDEX(tbl_metas_art7[Meta_2030],MATCH(A42,tbl_metas_art7[Categoria_Art7],0))="","",INDEX(tbl_metas_art7[Meta_2030],MATCH(A42,tbl_metas_art7[Categoria_Art7],0))),"")</f>
        <v>0.3</v>
      </c>
      <c r="E42" s="24" t="str">
        <f>IF(OR(C42="",D42=""),"",MAX(0,D42-C42))</f>
        <v/>
      </c>
    </row>
    <row r="43" spans="1:5" x14ac:dyDescent="0.3">
      <c r="A43" s="10" t="s">
        <v>135</v>
      </c>
      <c r="B43" s="23">
        <f>SUMIFS(tbl_recyclass[Massa_Vendida_kg],tbl_recyclass[Categoria_Art7],A43)</f>
        <v>434953.35159999982</v>
      </c>
      <c r="C43" s="24">
        <f>IFERROR(SUMPRODUCT((tbl_recyclass[Categoria_Art7]=A43)*tbl_recyclass[Massa_Vendida_kg]*tbl_recyclass[Conteudo_Reciclado_Pct])/B43,"")</f>
        <v>0.12203390478715156</v>
      </c>
      <c r="D43" s="25">
        <f>IFERROR(IF(INDEX(tbl_metas_art7[Meta_2030],MATCH(A43,tbl_metas_art7[Categoria_Art7],0))="","",INDEX(tbl_metas_art7[Meta_2030],MATCH(A43,tbl_metas_art7[Categoria_Art7],0))),"")</f>
        <v>0.35</v>
      </c>
      <c r="E43" s="24">
        <f>IF(OR(C43="",D43=""),"",MAX(0,D43-C43))</f>
        <v>0.22796609521284841</v>
      </c>
    </row>
    <row r="44" spans="1:5" x14ac:dyDescent="0.3">
      <c r="A44" s="10" t="s">
        <v>136</v>
      </c>
      <c r="B44" s="23">
        <f>SUMIFS(tbl_recyclass[Massa_Vendida_kg],tbl_recyclass[Categoria_Art7],A44)</f>
        <v>11923.7772</v>
      </c>
      <c r="C44" s="24">
        <f>IFERROR(SUMPRODUCT((tbl_recyclass[Categoria_Art7]=A44)*tbl_recyclass[Massa_Vendida_kg]*tbl_recyclass[Conteudo_Reciclado_Pct])/B44,"")</f>
        <v>0</v>
      </c>
      <c r="D44" s="25" t="str">
        <f>IFERROR(IF(INDEX(tbl_metas_art7[Meta_2030],MATCH(A44,tbl_metas_art7[Categoria_Art7],0))="","",INDEX(tbl_metas_art7[Meta_2030],MATCH(A44,tbl_metas_art7[Categoria_Art7],0))),"")</f>
        <v/>
      </c>
      <c r="E44" s="24" t="str">
        <f>IF(OR(C44="",D44=""),"",MAX(0,D44-C44))</f>
        <v/>
      </c>
    </row>
    <row r="45" spans="1:5" x14ac:dyDescent="0.3">
      <c r="A45" s="10"/>
    </row>
    <row r="46" spans="1:5" x14ac:dyDescent="0.3">
      <c r="A46" s="10"/>
    </row>
    <row r="47" spans="1:5" ht="39.6" x14ac:dyDescent="0.3">
      <c r="A47" s="5" t="s">
        <v>137</v>
      </c>
    </row>
    <row r="50" spans="1:8" x14ac:dyDescent="0.3">
      <c r="A50" s="48" t="s">
        <v>2076</v>
      </c>
      <c r="C50" s="48" t="s">
        <v>556</v>
      </c>
    </row>
    <row r="51" spans="1:8" x14ac:dyDescent="0.3">
      <c r="A51" s="48" t="s">
        <v>215</v>
      </c>
      <c r="B51" s="48" t="s">
        <v>520</v>
      </c>
      <c r="C51" t="s">
        <v>117</v>
      </c>
      <c r="D51" t="s">
        <v>118</v>
      </c>
      <c r="E51" t="s">
        <v>119</v>
      </c>
      <c r="F51" t="s">
        <v>120</v>
      </c>
      <c r="G51" t="s">
        <v>122</v>
      </c>
      <c r="H51" t="s">
        <v>2075</v>
      </c>
    </row>
    <row r="52" spans="1:8" x14ac:dyDescent="0.3">
      <c r="A52" t="s">
        <v>225</v>
      </c>
      <c r="B52" t="s">
        <v>223</v>
      </c>
      <c r="C52" s="49">
        <v>3</v>
      </c>
      <c r="D52" s="49">
        <v>7</v>
      </c>
      <c r="E52" s="49">
        <v>6</v>
      </c>
      <c r="F52" s="49"/>
      <c r="G52" s="49">
        <v>3</v>
      </c>
      <c r="H52" s="49">
        <v>19</v>
      </c>
    </row>
    <row r="53" spans="1:8" x14ac:dyDescent="0.3">
      <c r="B53" t="s">
        <v>237</v>
      </c>
      <c r="C53" s="49">
        <v>2</v>
      </c>
      <c r="D53" s="49"/>
      <c r="E53" s="49"/>
      <c r="F53" s="49"/>
      <c r="G53" s="49"/>
      <c r="H53" s="49">
        <v>2</v>
      </c>
    </row>
    <row r="54" spans="1:8" x14ac:dyDescent="0.3">
      <c r="B54" t="s">
        <v>229</v>
      </c>
      <c r="C54" s="49">
        <v>1</v>
      </c>
      <c r="D54" s="49">
        <v>10</v>
      </c>
      <c r="E54" s="49">
        <v>2</v>
      </c>
      <c r="F54" s="49"/>
      <c r="G54" s="49"/>
      <c r="H54" s="49">
        <v>13</v>
      </c>
    </row>
    <row r="55" spans="1:8" x14ac:dyDescent="0.3">
      <c r="B55" t="s">
        <v>234</v>
      </c>
      <c r="C55" s="49"/>
      <c r="D55" s="49">
        <v>1</v>
      </c>
      <c r="E55" s="49">
        <v>2</v>
      </c>
      <c r="F55" s="49"/>
      <c r="G55" s="49"/>
      <c r="H55" s="49">
        <v>3</v>
      </c>
    </row>
    <row r="56" spans="1:8" x14ac:dyDescent="0.3">
      <c r="B56" t="s">
        <v>232</v>
      </c>
      <c r="C56" s="49"/>
      <c r="D56" s="49">
        <v>1</v>
      </c>
      <c r="E56" s="49">
        <v>3</v>
      </c>
      <c r="F56" s="49"/>
      <c r="G56" s="49">
        <v>1</v>
      </c>
      <c r="H56" s="49">
        <v>5</v>
      </c>
    </row>
    <row r="57" spans="1:8" x14ac:dyDescent="0.3">
      <c r="A57" t="s">
        <v>2077</v>
      </c>
      <c r="C57" s="49">
        <v>6</v>
      </c>
      <c r="D57" s="49">
        <v>19</v>
      </c>
      <c r="E57" s="49">
        <v>13</v>
      </c>
      <c r="F57" s="49"/>
      <c r="G57" s="49">
        <v>4</v>
      </c>
      <c r="H57" s="49">
        <v>42</v>
      </c>
    </row>
    <row r="58" spans="1:8" x14ac:dyDescent="0.3">
      <c r="A58" t="s">
        <v>250</v>
      </c>
      <c r="B58" t="s">
        <v>249</v>
      </c>
      <c r="C58" s="49">
        <v>3</v>
      </c>
      <c r="D58" s="49"/>
      <c r="E58" s="49">
        <v>4</v>
      </c>
      <c r="F58" s="49">
        <v>6</v>
      </c>
      <c r="G58" s="49"/>
      <c r="H58" s="49">
        <v>13</v>
      </c>
    </row>
    <row r="59" spans="1:8" x14ac:dyDescent="0.3">
      <c r="B59" t="s">
        <v>254</v>
      </c>
      <c r="C59" s="49"/>
      <c r="D59" s="49"/>
      <c r="E59" s="49">
        <v>2</v>
      </c>
      <c r="F59" s="49"/>
      <c r="G59" s="49"/>
      <c r="H59" s="49">
        <v>2</v>
      </c>
    </row>
    <row r="60" spans="1:8" x14ac:dyDescent="0.3">
      <c r="B60" t="s">
        <v>253</v>
      </c>
      <c r="C60" s="49">
        <v>8</v>
      </c>
      <c r="D60" s="49"/>
      <c r="E60" s="49"/>
      <c r="F60" s="49">
        <v>11</v>
      </c>
      <c r="G60" s="49"/>
      <c r="H60" s="49">
        <v>19</v>
      </c>
    </row>
    <row r="61" spans="1:8" x14ac:dyDescent="0.3">
      <c r="A61" t="s">
        <v>2078</v>
      </c>
      <c r="C61" s="49">
        <v>11</v>
      </c>
      <c r="D61" s="49"/>
      <c r="E61" s="49">
        <v>6</v>
      </c>
      <c r="F61" s="49">
        <v>17</v>
      </c>
      <c r="G61" s="49"/>
      <c r="H61" s="49">
        <v>34</v>
      </c>
    </row>
    <row r="62" spans="1:8" x14ac:dyDescent="0.3">
      <c r="A62" t="s">
        <v>241</v>
      </c>
      <c r="B62" t="s">
        <v>240</v>
      </c>
      <c r="C62" s="49">
        <v>6</v>
      </c>
      <c r="D62" s="49">
        <v>2</v>
      </c>
      <c r="E62" s="49">
        <v>1</v>
      </c>
      <c r="F62" s="49"/>
      <c r="G62" s="49">
        <v>2</v>
      </c>
      <c r="H62" s="49">
        <v>11</v>
      </c>
    </row>
    <row r="63" spans="1:8" x14ac:dyDescent="0.3">
      <c r="B63" t="s">
        <v>245</v>
      </c>
      <c r="C63" s="49">
        <v>2</v>
      </c>
      <c r="D63" s="49"/>
      <c r="E63" s="49"/>
      <c r="F63" s="49"/>
      <c r="G63" s="49"/>
      <c r="H63" s="49">
        <v>2</v>
      </c>
    </row>
    <row r="64" spans="1:8" x14ac:dyDescent="0.3">
      <c r="B64" t="s">
        <v>244</v>
      </c>
      <c r="C64" s="49">
        <v>1</v>
      </c>
      <c r="D64" s="49">
        <v>4</v>
      </c>
      <c r="E64" s="49">
        <v>2</v>
      </c>
      <c r="F64" s="49"/>
      <c r="G64" s="49">
        <v>1</v>
      </c>
      <c r="H64" s="49">
        <v>8</v>
      </c>
    </row>
    <row r="65" spans="1:8" x14ac:dyDescent="0.3">
      <c r="B65" t="s">
        <v>246</v>
      </c>
      <c r="C65" s="49"/>
      <c r="D65" s="49"/>
      <c r="E65" s="49">
        <v>4</v>
      </c>
      <c r="F65" s="49"/>
      <c r="G65" s="49"/>
      <c r="H65" s="49">
        <v>4</v>
      </c>
    </row>
    <row r="66" spans="1:8" x14ac:dyDescent="0.3">
      <c r="A66" t="s">
        <v>2079</v>
      </c>
      <c r="C66" s="49">
        <v>9</v>
      </c>
      <c r="D66" s="49">
        <v>6</v>
      </c>
      <c r="E66" s="49">
        <v>7</v>
      </c>
      <c r="F66" s="49"/>
      <c r="G66" s="49">
        <v>3</v>
      </c>
      <c r="H66" s="49">
        <v>25</v>
      </c>
    </row>
    <row r="67" spans="1:8" x14ac:dyDescent="0.3">
      <c r="A67" t="s">
        <v>256</v>
      </c>
      <c r="B67" t="s">
        <v>255</v>
      </c>
      <c r="C67" s="49"/>
      <c r="D67" s="49"/>
      <c r="E67" s="49"/>
      <c r="F67" s="49"/>
      <c r="G67" s="49">
        <v>8</v>
      </c>
      <c r="H67" s="49">
        <v>8</v>
      </c>
    </row>
    <row r="68" spans="1:8" x14ac:dyDescent="0.3">
      <c r="A68" t="s">
        <v>2080</v>
      </c>
      <c r="C68" s="49"/>
      <c r="D68" s="49"/>
      <c r="E68" s="49"/>
      <c r="F68" s="49"/>
      <c r="G68" s="49">
        <v>8</v>
      </c>
      <c r="H68" s="49">
        <v>8</v>
      </c>
    </row>
    <row r="69" spans="1:8" x14ac:dyDescent="0.3">
      <c r="A69" t="s">
        <v>259</v>
      </c>
      <c r="B69" t="s">
        <v>258</v>
      </c>
      <c r="C69" s="49"/>
      <c r="D69" s="49"/>
      <c r="E69" s="49"/>
      <c r="F69" s="49"/>
      <c r="G69" s="49">
        <v>4</v>
      </c>
      <c r="H69" s="49">
        <v>4</v>
      </c>
    </row>
    <row r="70" spans="1:8" x14ac:dyDescent="0.3">
      <c r="A70" t="s">
        <v>2081</v>
      </c>
      <c r="C70" s="49"/>
      <c r="D70" s="49"/>
      <c r="E70" s="49"/>
      <c r="F70" s="49"/>
      <c r="G70" s="49">
        <v>4</v>
      </c>
      <c r="H70" s="49">
        <v>4</v>
      </c>
    </row>
    <row r="71" spans="1:8" x14ac:dyDescent="0.3">
      <c r="A71" t="s">
        <v>2075</v>
      </c>
      <c r="C71" s="49">
        <v>26</v>
      </c>
      <c r="D71" s="49">
        <v>25</v>
      </c>
      <c r="E71" s="49">
        <v>26</v>
      </c>
      <c r="F71" s="49">
        <v>17</v>
      </c>
      <c r="G71" s="49">
        <v>19</v>
      </c>
      <c r="H71" s="49">
        <v>113</v>
      </c>
    </row>
  </sheetData>
  <pageMargins left="0.75" right="0.75" top="1" bottom="1" header="0.5" footer="0.5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23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60" customWidth="1"/>
    <col min="3" max="3" width="10" customWidth="1"/>
    <col min="4" max="4" width="22" customWidth="1"/>
    <col min="5" max="5" width="60" customWidth="1"/>
  </cols>
  <sheetData>
    <row r="1" spans="1:5" ht="17.399999999999999" x14ac:dyDescent="0.3">
      <c r="A1" s="1" t="s">
        <v>138</v>
      </c>
    </row>
    <row r="2" spans="1:5" x14ac:dyDescent="0.3">
      <c r="A2" s="2" t="s">
        <v>139</v>
      </c>
    </row>
    <row r="4" spans="1:5" ht="26.4" x14ac:dyDescent="0.3">
      <c r="A4" s="12" t="s">
        <v>140</v>
      </c>
      <c r="B4" s="12" t="s">
        <v>141</v>
      </c>
      <c r="C4" s="12" t="s">
        <v>97</v>
      </c>
      <c r="D4" s="12" t="s">
        <v>142</v>
      </c>
      <c r="E4" s="12" t="s">
        <v>143</v>
      </c>
    </row>
    <row r="5" spans="1:5" ht="18" customHeight="1" x14ac:dyDescent="0.3">
      <c r="A5" s="26" t="s">
        <v>144</v>
      </c>
      <c r="B5" s="26" t="s">
        <v>145</v>
      </c>
      <c r="C5" s="27">
        <v>0.45</v>
      </c>
      <c r="D5" s="26" t="s">
        <v>146</v>
      </c>
      <c r="E5" s="26" t="s">
        <v>147</v>
      </c>
    </row>
    <row r="6" spans="1:5" ht="18" customHeight="1" x14ac:dyDescent="0.3">
      <c r="A6" s="26" t="s">
        <v>148</v>
      </c>
      <c r="B6" s="26" t="s">
        <v>149</v>
      </c>
      <c r="C6" s="27">
        <v>55</v>
      </c>
      <c r="D6" s="26" t="s">
        <v>150</v>
      </c>
      <c r="E6" s="26" t="s">
        <v>151</v>
      </c>
    </row>
    <row r="7" spans="1:5" ht="18" customHeight="1" x14ac:dyDescent="0.3">
      <c r="A7" s="26" t="s">
        <v>152</v>
      </c>
      <c r="B7" s="26" t="s">
        <v>153</v>
      </c>
      <c r="C7" s="27">
        <v>75</v>
      </c>
      <c r="D7" s="26" t="s">
        <v>150</v>
      </c>
      <c r="E7" s="26" t="s">
        <v>154</v>
      </c>
    </row>
    <row r="8" spans="1:5" ht="18" customHeight="1" x14ac:dyDescent="0.3">
      <c r="A8" s="26" t="s">
        <v>155</v>
      </c>
      <c r="B8" s="26" t="s">
        <v>156</v>
      </c>
      <c r="C8" s="27">
        <v>0.08</v>
      </c>
      <c r="D8" s="26" t="s">
        <v>157</v>
      </c>
      <c r="E8" s="26" t="s">
        <v>158</v>
      </c>
    </row>
    <row r="9" spans="1:5" ht="18" customHeight="1" x14ac:dyDescent="0.3">
      <c r="A9" s="26" t="s">
        <v>159</v>
      </c>
      <c r="B9" s="26" t="s">
        <v>160</v>
      </c>
      <c r="C9" s="27">
        <v>0.03</v>
      </c>
      <c r="D9" s="26" t="s">
        <v>157</v>
      </c>
      <c r="E9" s="26" t="s">
        <v>161</v>
      </c>
    </row>
    <row r="10" spans="1:5" ht="18" customHeight="1" x14ac:dyDescent="0.3">
      <c r="A10" s="26" t="s">
        <v>162</v>
      </c>
      <c r="B10" s="26" t="s">
        <v>163</v>
      </c>
      <c r="C10" s="27">
        <v>0.95</v>
      </c>
      <c r="D10" s="26" t="s">
        <v>164</v>
      </c>
      <c r="E10" s="26" t="s">
        <v>165</v>
      </c>
    </row>
    <row r="11" spans="1:5" ht="18" customHeight="1" x14ac:dyDescent="0.3">
      <c r="A11" s="26" t="s">
        <v>166</v>
      </c>
      <c r="B11" s="26" t="s">
        <v>167</v>
      </c>
      <c r="C11" s="27">
        <v>0.8</v>
      </c>
      <c r="D11" s="26" t="s">
        <v>164</v>
      </c>
      <c r="E11" s="26" t="s">
        <v>165</v>
      </c>
    </row>
    <row r="12" spans="1:5" ht="18" customHeight="1" x14ac:dyDescent="0.3">
      <c r="A12" s="26" t="s">
        <v>168</v>
      </c>
      <c r="B12" s="26" t="s">
        <v>169</v>
      </c>
      <c r="C12" s="27">
        <v>0.7</v>
      </c>
      <c r="D12" s="26" t="s">
        <v>164</v>
      </c>
      <c r="E12" s="26" t="s">
        <v>165</v>
      </c>
    </row>
    <row r="13" spans="1:5" ht="18" customHeight="1" x14ac:dyDescent="0.3">
      <c r="A13" s="26" t="s">
        <v>170</v>
      </c>
      <c r="B13" s="26" t="s">
        <v>171</v>
      </c>
      <c r="C13" s="27">
        <v>0.45</v>
      </c>
      <c r="D13" s="26" t="s">
        <v>172</v>
      </c>
      <c r="E13" s="26" t="s">
        <v>173</v>
      </c>
    </row>
    <row r="14" spans="1:5" ht="18" customHeight="1" x14ac:dyDescent="0.3">
      <c r="A14" s="26" t="s">
        <v>174</v>
      </c>
      <c r="B14" s="26" t="s">
        <v>175</v>
      </c>
      <c r="C14" s="27">
        <v>250</v>
      </c>
      <c r="D14" s="26" t="s">
        <v>176</v>
      </c>
      <c r="E14" s="26" t="s">
        <v>177</v>
      </c>
    </row>
    <row r="15" spans="1:5" ht="18" customHeight="1" x14ac:dyDescent="0.3">
      <c r="A15" s="26" t="s">
        <v>178</v>
      </c>
      <c r="B15" s="26" t="s">
        <v>179</v>
      </c>
      <c r="C15" s="27">
        <v>1000</v>
      </c>
      <c r="D15" s="26" t="s">
        <v>176</v>
      </c>
      <c r="E15" s="26" t="s">
        <v>177</v>
      </c>
    </row>
    <row r="16" spans="1:5" ht="18" customHeight="1" x14ac:dyDescent="0.3">
      <c r="A16" s="26" t="s">
        <v>180</v>
      </c>
      <c r="B16" s="26" t="s">
        <v>181</v>
      </c>
      <c r="C16" s="27">
        <v>40</v>
      </c>
      <c r="D16" s="26" t="s">
        <v>182</v>
      </c>
      <c r="E16" s="26" t="s">
        <v>183</v>
      </c>
    </row>
    <row r="17" spans="1:5" ht="18" customHeight="1" x14ac:dyDescent="0.3">
      <c r="A17" s="26" t="s">
        <v>184</v>
      </c>
      <c r="B17" s="26" t="s">
        <v>185</v>
      </c>
      <c r="C17" s="27">
        <v>22</v>
      </c>
      <c r="D17" s="26" t="s">
        <v>186</v>
      </c>
      <c r="E17" s="26" t="s">
        <v>183</v>
      </c>
    </row>
    <row r="18" spans="1:5" ht="18" customHeight="1" x14ac:dyDescent="0.3">
      <c r="A18" s="26" t="s">
        <v>187</v>
      </c>
      <c r="B18" s="26" t="s">
        <v>188</v>
      </c>
      <c r="C18" s="27">
        <v>0.3</v>
      </c>
      <c r="D18" s="26" t="s">
        <v>186</v>
      </c>
      <c r="E18" s="26" t="s">
        <v>183</v>
      </c>
    </row>
    <row r="19" spans="1:5" ht="18" customHeight="1" x14ac:dyDescent="0.3">
      <c r="A19" s="26" t="s">
        <v>189</v>
      </c>
      <c r="B19" s="26" t="s">
        <v>190</v>
      </c>
      <c r="C19" s="27">
        <v>0.03</v>
      </c>
      <c r="D19" s="26" t="s">
        <v>191</v>
      </c>
      <c r="E19" s="26" t="s">
        <v>192</v>
      </c>
    </row>
    <row r="20" spans="1:5" ht="18" customHeight="1" x14ac:dyDescent="0.3">
      <c r="A20" s="26" t="s">
        <v>193</v>
      </c>
      <c r="B20" s="26" t="s">
        <v>194</v>
      </c>
      <c r="C20" s="27">
        <v>0.1</v>
      </c>
      <c r="D20" s="26" t="s">
        <v>191</v>
      </c>
      <c r="E20" s="26" t="s">
        <v>192</v>
      </c>
    </row>
    <row r="21" spans="1:5" ht="18" customHeight="1" x14ac:dyDescent="0.3">
      <c r="A21" s="26" t="s">
        <v>195</v>
      </c>
      <c r="B21" s="26" t="s">
        <v>196</v>
      </c>
      <c r="C21" s="27">
        <v>0.01</v>
      </c>
      <c r="D21" s="26" t="s">
        <v>191</v>
      </c>
      <c r="E21" s="26" t="s">
        <v>192</v>
      </c>
    </row>
    <row r="23" spans="1:5" x14ac:dyDescent="0.3">
      <c r="A23" s="28" t="s">
        <v>197</v>
      </c>
    </row>
  </sheetData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6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0" customWidth="1"/>
    <col min="2" max="3" width="10" customWidth="1"/>
    <col min="4" max="4" width="36" customWidth="1"/>
    <col min="5" max="5" width="70" customWidth="1"/>
  </cols>
  <sheetData>
    <row r="1" spans="1:5" ht="26.4" x14ac:dyDescent="0.3">
      <c r="A1" s="12" t="s">
        <v>198</v>
      </c>
      <c r="B1" s="12" t="s">
        <v>199</v>
      </c>
      <c r="C1" s="12" t="s">
        <v>200</v>
      </c>
      <c r="D1" s="12" t="s">
        <v>201</v>
      </c>
      <c r="E1" s="12" t="s">
        <v>202</v>
      </c>
    </row>
    <row r="2" spans="1:5" ht="30" customHeight="1" x14ac:dyDescent="0.3">
      <c r="A2" s="26" t="s">
        <v>132</v>
      </c>
      <c r="B2" s="29">
        <v>0.3</v>
      </c>
      <c r="C2" s="29">
        <v>0.5</v>
      </c>
      <c r="D2" s="26" t="s">
        <v>203</v>
      </c>
      <c r="E2" s="26" t="s">
        <v>204</v>
      </c>
    </row>
    <row r="3" spans="1:5" ht="30" customHeight="1" x14ac:dyDescent="0.3">
      <c r="A3" s="26" t="s">
        <v>133</v>
      </c>
      <c r="B3" s="29">
        <v>0.1</v>
      </c>
      <c r="C3" s="29">
        <v>0.25</v>
      </c>
      <c r="D3" s="26" t="s">
        <v>205</v>
      </c>
      <c r="E3" s="26" t="s">
        <v>206</v>
      </c>
    </row>
    <row r="4" spans="1:5" ht="30" customHeight="1" x14ac:dyDescent="0.3">
      <c r="A4" s="26" t="s">
        <v>134</v>
      </c>
      <c r="B4" s="29">
        <v>0.3</v>
      </c>
      <c r="C4" s="29">
        <v>0.65</v>
      </c>
      <c r="D4" s="26" t="s">
        <v>207</v>
      </c>
      <c r="E4" s="26" t="s">
        <v>208</v>
      </c>
    </row>
    <row r="5" spans="1:5" ht="30" customHeight="1" x14ac:dyDescent="0.3">
      <c r="A5" s="26" t="s">
        <v>135</v>
      </c>
      <c r="B5" s="29">
        <v>0.35</v>
      </c>
      <c r="C5" s="29">
        <v>0.65</v>
      </c>
      <c r="D5" s="26" t="s">
        <v>209</v>
      </c>
      <c r="E5" s="26" t="s">
        <v>210</v>
      </c>
    </row>
    <row r="6" spans="1:5" ht="30" customHeight="1" x14ac:dyDescent="0.3">
      <c r="A6" s="26" t="s">
        <v>136</v>
      </c>
      <c r="B6" s="29"/>
      <c r="C6" s="29"/>
      <c r="D6" s="26" t="s">
        <v>211</v>
      </c>
      <c r="E6" s="26" t="s">
        <v>212</v>
      </c>
    </row>
  </sheetData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5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2" width="9" customWidth="1"/>
    <col min="3" max="3" width="22" customWidth="1"/>
    <col min="4" max="4" width="9" customWidth="1"/>
    <col min="5" max="5" width="22" customWidth="1"/>
    <col min="6" max="6" width="8" customWidth="1"/>
    <col min="7" max="7" width="14" customWidth="1"/>
    <col min="8" max="8" width="10" customWidth="1"/>
    <col min="9" max="9" width="9" customWidth="1"/>
    <col min="10" max="10" width="11" customWidth="1"/>
  </cols>
  <sheetData>
    <row r="1" spans="1:10" ht="39.6" x14ac:dyDescent="0.3">
      <c r="A1" s="12" t="s">
        <v>213</v>
      </c>
      <c r="B1" s="12" t="s">
        <v>214</v>
      </c>
      <c r="C1" s="12" t="s">
        <v>215</v>
      </c>
      <c r="D1" s="12" t="s">
        <v>216</v>
      </c>
      <c r="E1" s="12" t="s">
        <v>217</v>
      </c>
      <c r="F1" s="12" t="s">
        <v>218</v>
      </c>
      <c r="G1" s="12" t="s">
        <v>219</v>
      </c>
      <c r="H1" s="12" t="s">
        <v>220</v>
      </c>
      <c r="I1" s="30" t="s">
        <v>221</v>
      </c>
      <c r="J1" s="30" t="s">
        <v>222</v>
      </c>
    </row>
    <row r="2" spans="1:10" ht="18" customHeight="1" x14ac:dyDescent="0.3">
      <c r="A2" s="26" t="s">
        <v>223</v>
      </c>
      <c r="B2" s="26" t="s">
        <v>224</v>
      </c>
      <c r="C2" s="26" t="s">
        <v>225</v>
      </c>
      <c r="D2" s="27">
        <v>0.95499999999999996</v>
      </c>
      <c r="E2" s="26" t="s">
        <v>226</v>
      </c>
      <c r="F2" s="29">
        <v>0</v>
      </c>
      <c r="G2" s="26" t="s">
        <v>227</v>
      </c>
      <c r="H2" s="26" t="s">
        <v>228</v>
      </c>
      <c r="I2" s="31">
        <f>COUNTIF(tbl_recyclass[Material_Corpo],A2)</f>
        <v>19</v>
      </c>
      <c r="J2" s="32">
        <f>SUMIFS(tbl_recyclass[Massa_Vendida_kg],tbl_recyclass[Material_Corpo],A2)</f>
        <v>116243.81980000001</v>
      </c>
    </row>
    <row r="3" spans="1:10" ht="18" customHeight="1" x14ac:dyDescent="0.3">
      <c r="A3" s="26" t="s">
        <v>229</v>
      </c>
      <c r="B3" s="26" t="s">
        <v>224</v>
      </c>
      <c r="C3" s="26" t="s">
        <v>225</v>
      </c>
      <c r="D3" s="27">
        <v>0.96</v>
      </c>
      <c r="E3" s="26" t="s">
        <v>230</v>
      </c>
      <c r="F3" s="29">
        <v>0.3</v>
      </c>
      <c r="G3" s="26" t="s">
        <v>227</v>
      </c>
      <c r="H3" s="26" t="s">
        <v>231</v>
      </c>
      <c r="I3" s="31">
        <f>COUNTIF(tbl_recyclass[Material_Corpo],A3)</f>
        <v>13</v>
      </c>
      <c r="J3" s="32">
        <f>SUMIFS(tbl_recyclass[Massa_Vendida_kg],tbl_recyclass[Material_Corpo],A3)</f>
        <v>62714.338299999996</v>
      </c>
    </row>
    <row r="4" spans="1:10" ht="18" customHeight="1" x14ac:dyDescent="0.3">
      <c r="A4" s="26" t="s">
        <v>232</v>
      </c>
      <c r="B4" s="26" t="s">
        <v>224</v>
      </c>
      <c r="C4" s="26" t="s">
        <v>225</v>
      </c>
      <c r="D4" s="27">
        <v>0.93500000000000005</v>
      </c>
      <c r="E4" s="26" t="s">
        <v>226</v>
      </c>
      <c r="F4" s="29">
        <v>0</v>
      </c>
      <c r="G4" s="26" t="s">
        <v>233</v>
      </c>
      <c r="H4" s="26" t="s">
        <v>228</v>
      </c>
      <c r="I4" s="31">
        <f>COUNTIF(tbl_recyclass[Material_Corpo],A4)</f>
        <v>5</v>
      </c>
      <c r="J4" s="32">
        <f>SUMIFS(tbl_recyclass[Massa_Vendida_kg],tbl_recyclass[Material_Corpo],A4)</f>
        <v>18154.214400000001</v>
      </c>
    </row>
    <row r="5" spans="1:10" ht="18" customHeight="1" x14ac:dyDescent="0.3">
      <c r="A5" s="26" t="s">
        <v>234</v>
      </c>
      <c r="B5" s="26" t="s">
        <v>224</v>
      </c>
      <c r="C5" s="26" t="s">
        <v>225</v>
      </c>
      <c r="D5" s="27">
        <v>0.92</v>
      </c>
      <c r="E5" s="26" t="s">
        <v>226</v>
      </c>
      <c r="F5" s="29">
        <v>0</v>
      </c>
      <c r="G5" s="26" t="s">
        <v>235</v>
      </c>
      <c r="H5" s="26" t="s">
        <v>236</v>
      </c>
      <c r="I5" s="31">
        <f>COUNTIF(tbl_recyclass[Material_Corpo],A5)</f>
        <v>3</v>
      </c>
      <c r="J5" s="32">
        <f>SUMIFS(tbl_recyclass[Massa_Vendida_kg],tbl_recyclass[Material_Corpo],A5)</f>
        <v>4869.9022999999997</v>
      </c>
    </row>
    <row r="6" spans="1:10" ht="18" customHeight="1" x14ac:dyDescent="0.3">
      <c r="A6" s="26" t="s">
        <v>237</v>
      </c>
      <c r="B6" s="26" t="s">
        <v>224</v>
      </c>
      <c r="C6" s="26" t="s">
        <v>225</v>
      </c>
      <c r="D6" s="27">
        <v>0.95499999999999996</v>
      </c>
      <c r="E6" s="26" t="s">
        <v>238</v>
      </c>
      <c r="F6" s="29">
        <v>0</v>
      </c>
      <c r="G6" s="26" t="s">
        <v>227</v>
      </c>
      <c r="H6" s="26" t="s">
        <v>239</v>
      </c>
      <c r="I6" s="31">
        <f>COUNTIF(tbl_recyclass[Material_Corpo],A6)</f>
        <v>2</v>
      </c>
      <c r="J6" s="32">
        <f>SUMIFS(tbl_recyclass[Massa_Vendida_kg],tbl_recyclass[Material_Corpo],A6)</f>
        <v>10553.735100000002</v>
      </c>
    </row>
    <row r="7" spans="1:10" ht="18" customHeight="1" x14ac:dyDescent="0.3">
      <c r="A7" s="26" t="s">
        <v>240</v>
      </c>
      <c r="B7" s="26" t="s">
        <v>240</v>
      </c>
      <c r="C7" s="26" t="s">
        <v>241</v>
      </c>
      <c r="D7" s="27">
        <v>0.90500000000000003</v>
      </c>
      <c r="E7" s="26" t="s">
        <v>226</v>
      </c>
      <c r="F7" s="29">
        <v>0</v>
      </c>
      <c r="G7" s="26" t="s">
        <v>242</v>
      </c>
      <c r="H7" s="26" t="s">
        <v>243</v>
      </c>
      <c r="I7" s="31">
        <f>COUNTIF(tbl_recyclass[Material_Corpo],A7)</f>
        <v>11</v>
      </c>
      <c r="J7" s="32">
        <f>SUMIFS(tbl_recyclass[Massa_Vendida_kg],tbl_recyclass[Material_Corpo],A7)</f>
        <v>25144.036799999998</v>
      </c>
    </row>
    <row r="8" spans="1:10" ht="18" customHeight="1" x14ac:dyDescent="0.3">
      <c r="A8" s="26" t="s">
        <v>244</v>
      </c>
      <c r="B8" s="26" t="s">
        <v>240</v>
      </c>
      <c r="C8" s="26" t="s">
        <v>241</v>
      </c>
      <c r="D8" s="27">
        <v>0.91</v>
      </c>
      <c r="E8" s="26" t="s">
        <v>230</v>
      </c>
      <c r="F8" s="29">
        <v>0.3</v>
      </c>
      <c r="G8" s="26" t="s">
        <v>242</v>
      </c>
      <c r="H8" s="26" t="s">
        <v>243</v>
      </c>
      <c r="I8" s="31">
        <f>COUNTIF(tbl_recyclass[Material_Corpo],A8)</f>
        <v>8</v>
      </c>
      <c r="J8" s="32">
        <f>SUMIFS(tbl_recyclass[Massa_Vendida_kg],tbl_recyclass[Material_Corpo],A8)</f>
        <v>18727.650299999998</v>
      </c>
    </row>
    <row r="9" spans="1:10" ht="18" customHeight="1" x14ac:dyDescent="0.3">
      <c r="A9" s="26" t="s">
        <v>245</v>
      </c>
      <c r="B9" s="26" t="s">
        <v>240</v>
      </c>
      <c r="C9" s="26" t="s">
        <v>241</v>
      </c>
      <c r="D9" s="27">
        <v>0.90500000000000003</v>
      </c>
      <c r="E9" s="26" t="s">
        <v>238</v>
      </c>
      <c r="F9" s="29">
        <v>0</v>
      </c>
      <c r="G9" s="26" t="s">
        <v>242</v>
      </c>
      <c r="H9" s="26" t="s">
        <v>239</v>
      </c>
      <c r="I9" s="31">
        <f>COUNTIF(tbl_recyclass[Material_Corpo],A9)</f>
        <v>2</v>
      </c>
      <c r="J9" s="32">
        <f>SUMIFS(tbl_recyclass[Massa_Vendida_kg],tbl_recyclass[Material_Corpo],A9)</f>
        <v>10466.0623</v>
      </c>
    </row>
    <row r="10" spans="1:10" ht="18" customHeight="1" x14ac:dyDescent="0.3">
      <c r="A10" s="26" t="s">
        <v>246</v>
      </c>
      <c r="B10" s="26" t="s">
        <v>240</v>
      </c>
      <c r="C10" s="26" t="s">
        <v>241</v>
      </c>
      <c r="D10" s="27">
        <v>0.90500000000000003</v>
      </c>
      <c r="E10" s="26" t="s">
        <v>247</v>
      </c>
      <c r="F10" s="29">
        <v>0</v>
      </c>
      <c r="G10" s="26" t="s">
        <v>242</v>
      </c>
      <c r="H10" s="26" t="s">
        <v>248</v>
      </c>
      <c r="I10" s="31">
        <f>COUNTIF(tbl_recyclass[Material_Corpo],A10)</f>
        <v>4</v>
      </c>
      <c r="J10" s="32">
        <f>SUMIFS(tbl_recyclass[Massa_Vendida_kg],tbl_recyclass[Material_Corpo],A10)</f>
        <v>7385.1153000000004</v>
      </c>
    </row>
    <row r="11" spans="1:10" ht="18" customHeight="1" x14ac:dyDescent="0.3">
      <c r="A11" s="26" t="s">
        <v>249</v>
      </c>
      <c r="B11" s="26" t="s">
        <v>249</v>
      </c>
      <c r="C11" s="26" t="s">
        <v>250</v>
      </c>
      <c r="D11" s="27">
        <v>1.38</v>
      </c>
      <c r="E11" s="26" t="s">
        <v>226</v>
      </c>
      <c r="F11" s="29">
        <v>0</v>
      </c>
      <c r="G11" s="26" t="s">
        <v>251</v>
      </c>
      <c r="H11" s="26" t="s">
        <v>252</v>
      </c>
      <c r="I11" s="31">
        <f>COUNTIF(tbl_recyclass[Material_Corpo],A11)</f>
        <v>13</v>
      </c>
      <c r="J11" s="32">
        <f>SUMIFS(tbl_recyclass[Massa_Vendida_kg],tbl_recyclass[Material_Corpo],A11)</f>
        <v>76802.715700000001</v>
      </c>
    </row>
    <row r="12" spans="1:10" ht="18" customHeight="1" x14ac:dyDescent="0.3">
      <c r="A12" s="26" t="s">
        <v>253</v>
      </c>
      <c r="B12" s="26" t="s">
        <v>249</v>
      </c>
      <c r="C12" s="26" t="s">
        <v>250</v>
      </c>
      <c r="D12" s="27">
        <v>1.38</v>
      </c>
      <c r="E12" s="26" t="s">
        <v>230</v>
      </c>
      <c r="F12" s="29">
        <v>0.5</v>
      </c>
      <c r="G12" s="26" t="s">
        <v>251</v>
      </c>
      <c r="H12" s="26" t="s">
        <v>231</v>
      </c>
      <c r="I12" s="31">
        <f>COUNTIF(tbl_recyclass[Material_Corpo],A12)</f>
        <v>19</v>
      </c>
      <c r="J12" s="32">
        <f>SUMIFS(tbl_recyclass[Massa_Vendida_kg],tbl_recyclass[Material_Corpo],A12)</f>
        <v>83695.046300000002</v>
      </c>
    </row>
    <row r="13" spans="1:10" ht="18" customHeight="1" x14ac:dyDescent="0.3">
      <c r="A13" s="26" t="s">
        <v>254</v>
      </c>
      <c r="B13" s="26" t="s">
        <v>249</v>
      </c>
      <c r="C13" s="26" t="s">
        <v>250</v>
      </c>
      <c r="D13" s="27">
        <v>1.38</v>
      </c>
      <c r="E13" s="26" t="s">
        <v>247</v>
      </c>
      <c r="F13" s="29">
        <v>0</v>
      </c>
      <c r="G13" s="26" t="s">
        <v>251</v>
      </c>
      <c r="H13" s="26" t="s">
        <v>248</v>
      </c>
      <c r="I13" s="31">
        <f>COUNTIF(tbl_recyclass[Material_Corpo],A13)</f>
        <v>2</v>
      </c>
      <c r="J13" s="32">
        <f>SUMIFS(tbl_recyclass[Massa_Vendida_kg],tbl_recyclass[Material_Corpo],A13)</f>
        <v>4538.6619000000001</v>
      </c>
    </row>
    <row r="14" spans="1:10" ht="18" customHeight="1" x14ac:dyDescent="0.3">
      <c r="A14" s="26" t="s">
        <v>255</v>
      </c>
      <c r="B14" s="26" t="s">
        <v>255</v>
      </c>
      <c r="C14" s="26" t="s">
        <v>256</v>
      </c>
      <c r="D14" s="27">
        <v>1.27</v>
      </c>
      <c r="E14" s="26" t="s">
        <v>226</v>
      </c>
      <c r="F14" s="29">
        <v>0</v>
      </c>
      <c r="G14" s="26" t="s">
        <v>257</v>
      </c>
      <c r="H14" s="26" t="s">
        <v>252</v>
      </c>
      <c r="I14" s="31">
        <f>COUNTIF(tbl_recyclass[Material_Corpo],A14)</f>
        <v>8</v>
      </c>
      <c r="J14" s="32">
        <f>SUMIFS(tbl_recyclass[Massa_Vendida_kg],tbl_recyclass[Material_Corpo],A14)</f>
        <v>18488.8164</v>
      </c>
    </row>
    <row r="15" spans="1:10" ht="18" customHeight="1" x14ac:dyDescent="0.3">
      <c r="A15" s="26" t="s">
        <v>258</v>
      </c>
      <c r="B15" s="26" t="s">
        <v>258</v>
      </c>
      <c r="C15" s="26" t="s">
        <v>259</v>
      </c>
      <c r="D15" s="27">
        <v>1.35</v>
      </c>
      <c r="E15" s="26" t="s">
        <v>226</v>
      </c>
      <c r="F15" s="29">
        <v>0</v>
      </c>
      <c r="G15" s="26" t="s">
        <v>260</v>
      </c>
      <c r="H15" s="26" t="s">
        <v>261</v>
      </c>
      <c r="I15" s="31">
        <f>COUNTIF(tbl_recyclass[Material_Corpo],A15)</f>
        <v>4</v>
      </c>
      <c r="J15" s="32">
        <f>SUMIFS(tbl_recyclass[Massa_Vendida_kg],tbl_recyclass[Material_Corpo],A15)</f>
        <v>10112.811299999999</v>
      </c>
    </row>
  </sheetData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117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0" customWidth="1"/>
    <col min="2" max="2" width="20" customWidth="1"/>
    <col min="3" max="3" width="22" customWidth="1"/>
    <col min="4" max="4" width="30" customWidth="1"/>
    <col min="5" max="5" width="7" customWidth="1"/>
    <col min="6" max="6" width="26" customWidth="1"/>
    <col min="7" max="7" width="9" customWidth="1"/>
    <col min="8" max="8" width="60" customWidth="1"/>
    <col min="9" max="9" width="50" customWidth="1"/>
  </cols>
  <sheetData>
    <row r="1" spans="1:9" ht="17.399999999999999" x14ac:dyDescent="0.3">
      <c r="A1" s="1" t="s">
        <v>262</v>
      </c>
    </row>
    <row r="2" spans="1:9" x14ac:dyDescent="0.3">
      <c r="A2" s="2" t="s">
        <v>263</v>
      </c>
    </row>
    <row r="4" spans="1:9" ht="39.6" x14ac:dyDescent="0.3">
      <c r="A4" s="30" t="s">
        <v>264</v>
      </c>
      <c r="B4" s="12" t="s">
        <v>265</v>
      </c>
      <c r="C4" s="12" t="s">
        <v>266</v>
      </c>
      <c r="D4" s="12" t="s">
        <v>97</v>
      </c>
      <c r="E4" s="12" t="s">
        <v>112</v>
      </c>
      <c r="F4" s="30" t="s">
        <v>267</v>
      </c>
      <c r="G4" s="12" t="s">
        <v>268</v>
      </c>
      <c r="H4" s="12" t="s">
        <v>269</v>
      </c>
      <c r="I4" s="12" t="s">
        <v>270</v>
      </c>
    </row>
    <row r="5" spans="1:9" ht="30" customHeight="1" x14ac:dyDescent="0.3">
      <c r="A5" s="33" t="str">
        <f t="shared" ref="A5:A36" si="0">B5&amp;"|"&amp;C5&amp;"|"&amp;D5</f>
        <v>PE rígido|Fluxo de reciclagem|PE rígido</v>
      </c>
      <c r="B5" s="26" t="s">
        <v>225</v>
      </c>
      <c r="C5" s="26" t="s">
        <v>271</v>
      </c>
      <c r="D5" s="26" t="s">
        <v>225</v>
      </c>
      <c r="E5" s="26" t="s">
        <v>117</v>
      </c>
      <c r="F5" s="33" t="str">
        <f>CHOOSE(MATCH(E5,{"A","B","C","D","E","F"},0),"Totalmente compatível","Compatibilidade limitada","Compatibilidade limitada (afeta a qualidade)","Problemas significativos","Problemas graves","Não reciclável / não compatível")</f>
        <v>Totalmente compatível</v>
      </c>
      <c r="G5" s="29">
        <v>1</v>
      </c>
      <c r="H5" s="26" t="s">
        <v>272</v>
      </c>
      <c r="I5" s="26" t="s">
        <v>273</v>
      </c>
    </row>
    <row r="6" spans="1:9" ht="30" customHeight="1" x14ac:dyDescent="0.3">
      <c r="A6" s="33" t="str">
        <f t="shared" si="0"/>
        <v>PP rígido|Fluxo de reciclagem|PP rígido</v>
      </c>
      <c r="B6" s="26" t="s">
        <v>241</v>
      </c>
      <c r="C6" s="26" t="s">
        <v>271</v>
      </c>
      <c r="D6" s="26" t="s">
        <v>241</v>
      </c>
      <c r="E6" s="26" t="s">
        <v>117</v>
      </c>
      <c r="F6" s="33" t="str">
        <f>CHOOSE(MATCH(E6,{"A","B","C","D","E","F"},0),"Totalmente compatível","Compatibilidade limitada","Compatibilidade limitada (afeta a qualidade)","Problemas significativos","Problemas graves","Não reciclável / não compatível")</f>
        <v>Totalmente compatível</v>
      </c>
      <c r="G6" s="29">
        <v>1</v>
      </c>
      <c r="H6" s="26" t="s">
        <v>272</v>
      </c>
      <c r="I6" s="26" t="s">
        <v>273</v>
      </c>
    </row>
    <row r="7" spans="1:9" ht="30" customHeight="1" x14ac:dyDescent="0.3">
      <c r="A7" s="33" t="str">
        <f t="shared" si="0"/>
        <v>PET frascos e garrafas|Fluxo de reciclagem|PET frascos e garrafas</v>
      </c>
      <c r="B7" s="26" t="s">
        <v>250</v>
      </c>
      <c r="C7" s="26" t="s">
        <v>271</v>
      </c>
      <c r="D7" s="26" t="s">
        <v>250</v>
      </c>
      <c r="E7" s="26" t="s">
        <v>117</v>
      </c>
      <c r="F7" s="33" t="str">
        <f>CHOOSE(MATCH(E7,{"A","B","C","D","E","F"},0),"Totalmente compatível","Compatibilidade limitada","Compatibilidade limitada (afeta a qualidade)","Problemas significativos","Problemas graves","Não reciclável / não compatível")</f>
        <v>Totalmente compatível</v>
      </c>
      <c r="G7" s="29">
        <v>1</v>
      </c>
      <c r="H7" s="26" t="s">
        <v>272</v>
      </c>
      <c r="I7" s="26" t="s">
        <v>273</v>
      </c>
    </row>
    <row r="8" spans="1:9" ht="30" customHeight="1" x14ac:dyDescent="0.3">
      <c r="A8" s="33" t="str">
        <f t="shared" si="0"/>
        <v>Sem fluxo (PETG)|Fluxo de reciclagem|Sem fluxo (PETG)</v>
      </c>
      <c r="B8" s="26" t="s">
        <v>256</v>
      </c>
      <c r="C8" s="26" t="s">
        <v>271</v>
      </c>
      <c r="D8" s="26" t="s">
        <v>256</v>
      </c>
      <c r="E8" s="26" t="s">
        <v>122</v>
      </c>
      <c r="F8" s="33" t="str">
        <f>CHOOSE(MATCH(E8,{"A","B","C","D","E","F"},0),"Totalmente compatível","Compatibilidade limitada","Compatibilidade limitada (afeta a qualidade)","Problemas significativos","Problemas graves","Não reciclável / não compatível")</f>
        <v>Não reciclável / não compatível</v>
      </c>
      <c r="G8" s="29">
        <v>0</v>
      </c>
      <c r="H8" s="26" t="s">
        <v>274</v>
      </c>
      <c r="I8" s="26" t="s">
        <v>275</v>
      </c>
    </row>
    <row r="9" spans="1:9" ht="30" customHeight="1" x14ac:dyDescent="0.3">
      <c r="A9" s="33" t="str">
        <f t="shared" si="0"/>
        <v>Sem fluxo (PVC)|Fluxo de reciclagem|Sem fluxo (PVC)</v>
      </c>
      <c r="B9" s="26" t="s">
        <v>259</v>
      </c>
      <c r="C9" s="26" t="s">
        <v>271</v>
      </c>
      <c r="D9" s="26" t="s">
        <v>259</v>
      </c>
      <c r="E9" s="26" t="s">
        <v>122</v>
      </c>
      <c r="F9" s="33" t="str">
        <f>CHOOSE(MATCH(E9,{"A","B","C","D","E","F"},0),"Totalmente compatível","Compatibilidade limitada","Compatibilidade limitada (afeta a qualidade)","Problemas significativos","Problemas graves","Não reciclável / não compatível")</f>
        <v>Não reciclável / não compatível</v>
      </c>
      <c r="G9" s="29">
        <v>0</v>
      </c>
      <c r="H9" s="26" t="s">
        <v>276</v>
      </c>
      <c r="I9" s="26" t="s">
        <v>277</v>
      </c>
    </row>
    <row r="10" spans="1:9" ht="30" customHeight="1" x14ac:dyDescent="0.3">
      <c r="A10" s="33" t="str">
        <f t="shared" si="0"/>
        <v>PE rígido|Cor do corpo|Natural / incolor</v>
      </c>
      <c r="B10" s="26" t="s">
        <v>225</v>
      </c>
      <c r="C10" s="26" t="s">
        <v>278</v>
      </c>
      <c r="D10" s="26" t="s">
        <v>279</v>
      </c>
      <c r="E10" s="26" t="s">
        <v>117</v>
      </c>
      <c r="F10" s="33" t="str">
        <f>CHOOSE(MATCH(E10,{"A","B","C","D","E","F"},0),"Totalmente compatível","Compatibilidade limitada","Compatibilidade limitada (afeta a qualidade)","Problemas significativos","Problemas graves","Não reciclável / não compatível")</f>
        <v>Totalmente compatível</v>
      </c>
      <c r="G10" s="29">
        <v>1</v>
      </c>
      <c r="H10" s="26" t="s">
        <v>280</v>
      </c>
      <c r="I10" s="26" t="s">
        <v>273</v>
      </c>
    </row>
    <row r="11" spans="1:9" ht="30" customHeight="1" x14ac:dyDescent="0.3">
      <c r="A11" s="33" t="str">
        <f t="shared" si="0"/>
        <v>PE rígido|Cor do corpo|Branco (TiO2)</v>
      </c>
      <c r="B11" s="26" t="s">
        <v>225</v>
      </c>
      <c r="C11" s="26" t="s">
        <v>278</v>
      </c>
      <c r="D11" s="26" t="s">
        <v>281</v>
      </c>
      <c r="E11" s="26" t="s">
        <v>117</v>
      </c>
      <c r="F11" s="33" t="str">
        <f>CHOOSE(MATCH(E11,{"A","B","C","D","E","F"},0),"Totalmente compatível","Compatibilidade limitada","Compatibilidade limitada (afeta a qualidade)","Problemas significativos","Problemas graves","Não reciclável / não compatível")</f>
        <v>Totalmente compatível</v>
      </c>
      <c r="G11" s="29">
        <v>1</v>
      </c>
      <c r="H11" s="26" t="s">
        <v>282</v>
      </c>
      <c r="I11" s="26" t="s">
        <v>273</v>
      </c>
    </row>
    <row r="12" spans="1:9" ht="30" customHeight="1" x14ac:dyDescent="0.3">
      <c r="A12" s="33" t="str">
        <f t="shared" si="0"/>
        <v>PE rígido|Cor do corpo|Colorido (claro ou transparente)</v>
      </c>
      <c r="B12" s="26" t="s">
        <v>225</v>
      </c>
      <c r="C12" s="26" t="s">
        <v>278</v>
      </c>
      <c r="D12" s="26" t="s">
        <v>283</v>
      </c>
      <c r="E12" s="26" t="s">
        <v>118</v>
      </c>
      <c r="F12" s="33" t="str">
        <f>CHOOSE(MATCH(E12,{"A","B","C","D","E","F"},0),"Totalmente compatível","Compatibilidade limitada","Compatibilidade limitada (afeta a qualidade)","Problemas significativos","Problemas graves","Não reciclável / não compatível")</f>
        <v>Compatibilidade limitada</v>
      </c>
      <c r="G12" s="29">
        <v>1</v>
      </c>
      <c r="H12" s="26" t="s">
        <v>284</v>
      </c>
      <c r="I12" s="26" t="s">
        <v>285</v>
      </c>
    </row>
    <row r="13" spans="1:9" ht="30" customHeight="1" x14ac:dyDescent="0.3">
      <c r="A13" s="33" t="str">
        <f t="shared" si="0"/>
        <v>PE rígido|Cor do corpo|Colorido escuro / opaco</v>
      </c>
      <c r="B13" s="26" t="s">
        <v>225</v>
      </c>
      <c r="C13" s="26" t="s">
        <v>278</v>
      </c>
      <c r="D13" s="26" t="s">
        <v>286</v>
      </c>
      <c r="E13" s="26" t="s">
        <v>118</v>
      </c>
      <c r="F13" s="33" t="str">
        <f>CHOOSE(MATCH(E13,{"A","B","C","D","E","F"},0),"Totalmente compatível","Compatibilidade limitada","Compatibilidade limitada (afeta a qualidade)","Problemas significativos","Problemas graves","Não reciclável / não compatível")</f>
        <v>Compatibilidade limitada</v>
      </c>
      <c r="G13" s="29">
        <v>1</v>
      </c>
      <c r="H13" s="26" t="s">
        <v>287</v>
      </c>
      <c r="I13" s="26" t="s">
        <v>288</v>
      </c>
    </row>
    <row r="14" spans="1:9" ht="30" customHeight="1" x14ac:dyDescent="0.3">
      <c r="A14" s="33" t="str">
        <f t="shared" si="0"/>
        <v>PE rígido|Cor do corpo|Preto (negro de carbono)</v>
      </c>
      <c r="B14" s="26" t="s">
        <v>225</v>
      </c>
      <c r="C14" s="26" t="s">
        <v>278</v>
      </c>
      <c r="D14" s="26" t="s">
        <v>289</v>
      </c>
      <c r="E14" s="26" t="s">
        <v>122</v>
      </c>
      <c r="F14" s="33" t="str">
        <f>CHOOSE(MATCH(E14,{"A","B","C","D","E","F"},0),"Totalmente compatível","Compatibilidade limitada","Compatibilidade limitada (afeta a qualidade)","Problemas significativos","Problemas graves","Não reciclável / não compatível")</f>
        <v>Não reciclável / não compatível</v>
      </c>
      <c r="G14" s="29">
        <v>0</v>
      </c>
      <c r="H14" s="26" t="s">
        <v>290</v>
      </c>
      <c r="I14" s="26" t="s">
        <v>291</v>
      </c>
    </row>
    <row r="15" spans="1:9" ht="30" customHeight="1" x14ac:dyDescent="0.3">
      <c r="A15" s="33" t="str">
        <f t="shared" si="0"/>
        <v>PE rígido|Cor do corpo|Preto detetável por NIR</v>
      </c>
      <c r="B15" s="26" t="s">
        <v>225</v>
      </c>
      <c r="C15" s="26" t="s">
        <v>278</v>
      </c>
      <c r="D15" s="26" t="s">
        <v>292</v>
      </c>
      <c r="E15" s="26" t="s">
        <v>118</v>
      </c>
      <c r="F15" s="33" t="str">
        <f>CHOOSE(MATCH(E15,{"A","B","C","D","E","F"},0),"Totalmente compatível","Compatibilidade limitada","Compatibilidade limitada (afeta a qualidade)","Problemas significativos","Problemas graves","Não reciclável / não compatível")</f>
        <v>Compatibilidade limitada</v>
      </c>
      <c r="G15" s="29">
        <v>1</v>
      </c>
      <c r="H15" s="26" t="s">
        <v>293</v>
      </c>
      <c r="I15" s="26" t="s">
        <v>294</v>
      </c>
    </row>
    <row r="16" spans="1:9" ht="30" customHeight="1" x14ac:dyDescent="0.3">
      <c r="A16" s="33" t="str">
        <f t="shared" si="0"/>
        <v>PE rígido|Densidade do corpo|&lt; 1,0 g/cm³</v>
      </c>
      <c r="B16" s="26" t="s">
        <v>225</v>
      </c>
      <c r="C16" s="26" t="s">
        <v>295</v>
      </c>
      <c r="D16" s="26" t="s">
        <v>296</v>
      </c>
      <c r="E16" s="26" t="s">
        <v>117</v>
      </c>
      <c r="F16" s="33" t="str">
        <f>CHOOSE(MATCH(E16,{"A","B","C","D","E","F"},0),"Totalmente compatível","Compatibilidade limitada","Compatibilidade limitada (afeta a qualidade)","Problemas significativos","Problemas graves","Não reciclável / não compatível")</f>
        <v>Totalmente compatível</v>
      </c>
      <c r="G16" s="29">
        <v>1</v>
      </c>
      <c r="H16" s="26" t="s">
        <v>297</v>
      </c>
      <c r="I16" s="26" t="s">
        <v>273</v>
      </c>
    </row>
    <row r="17" spans="1:9" ht="30" customHeight="1" x14ac:dyDescent="0.3">
      <c r="A17" s="33" t="str">
        <f t="shared" si="0"/>
        <v>PE rígido|Densidade do corpo|≥ 1,0 g/cm³</v>
      </c>
      <c r="B17" s="26" t="s">
        <v>225</v>
      </c>
      <c r="C17" s="26" t="s">
        <v>295</v>
      </c>
      <c r="D17" s="26" t="s">
        <v>298</v>
      </c>
      <c r="E17" s="26" t="s">
        <v>120</v>
      </c>
      <c r="F17" s="33" t="str">
        <f>CHOOSE(MATCH(E17,{"A","B","C","D","E","F"},0),"Totalmente compatível","Compatibilidade limitada","Compatibilidade limitada (afeta a qualidade)","Problemas significativos","Problemas graves","Não reciclável / não compatível")</f>
        <v>Problemas significativos</v>
      </c>
      <c r="G17" s="29">
        <v>1</v>
      </c>
      <c r="H17" s="26" t="s">
        <v>299</v>
      </c>
      <c r="I17" s="26" t="s">
        <v>300</v>
      </c>
    </row>
    <row r="18" spans="1:9" ht="30" customHeight="1" x14ac:dyDescent="0.3">
      <c r="A18" s="33" t="str">
        <f t="shared" si="0"/>
        <v>PE rígido|Barreira / revestimento|Nenhuma</v>
      </c>
      <c r="B18" s="26" t="s">
        <v>225</v>
      </c>
      <c r="C18" s="26" t="s">
        <v>301</v>
      </c>
      <c r="D18" s="26" t="s">
        <v>302</v>
      </c>
      <c r="E18" s="26" t="s">
        <v>117</v>
      </c>
      <c r="F18" s="33" t="str">
        <f>CHOOSE(MATCH(E18,{"A","B","C","D","E","F"},0),"Totalmente compatível","Compatibilidade limitada","Compatibilidade limitada (afeta a qualidade)","Problemas significativos","Problemas graves","Não reciclável / não compatível")</f>
        <v>Totalmente compatível</v>
      </c>
      <c r="G18" s="29">
        <v>1</v>
      </c>
      <c r="H18" s="26" t="s">
        <v>303</v>
      </c>
      <c r="I18" s="26" t="s">
        <v>273</v>
      </c>
    </row>
    <row r="19" spans="1:9" ht="30" customHeight="1" x14ac:dyDescent="0.3">
      <c r="A19" s="33" t="str">
        <f t="shared" si="0"/>
        <v>PE rígido|Barreira / revestimento|EVOH ≤ 6% com compatibilizante</v>
      </c>
      <c r="B19" s="26" t="s">
        <v>225</v>
      </c>
      <c r="C19" s="26" t="s">
        <v>301</v>
      </c>
      <c r="D19" s="26" t="s">
        <v>304</v>
      </c>
      <c r="E19" s="26" t="s">
        <v>118</v>
      </c>
      <c r="F19" s="33" t="str">
        <f>CHOOSE(MATCH(E19,{"A","B","C","D","E","F"},0),"Totalmente compatível","Compatibilidade limitada","Compatibilidade limitada (afeta a qualidade)","Problemas significativos","Problemas graves","Não reciclável / não compatível")</f>
        <v>Compatibilidade limitada</v>
      </c>
      <c r="G19" s="29">
        <v>1</v>
      </c>
      <c r="H19" s="26" t="s">
        <v>305</v>
      </c>
      <c r="I19" s="26" t="s">
        <v>306</v>
      </c>
    </row>
    <row r="20" spans="1:9" ht="30" customHeight="1" x14ac:dyDescent="0.3">
      <c r="A20" s="33" t="str">
        <f t="shared" si="0"/>
        <v>PE rígido|Barreira / revestimento|Camada de outro polímero (PA, PET)</v>
      </c>
      <c r="B20" s="26" t="s">
        <v>225</v>
      </c>
      <c r="C20" s="26" t="s">
        <v>301</v>
      </c>
      <c r="D20" s="26" t="s">
        <v>307</v>
      </c>
      <c r="E20" s="26" t="s">
        <v>120</v>
      </c>
      <c r="F20" s="33" t="str">
        <f>CHOOSE(MATCH(E20,{"A","B","C","D","E","F"},0),"Totalmente compatível","Compatibilidade limitada","Compatibilidade limitada (afeta a qualidade)","Problemas significativos","Problemas graves","Não reciclável / não compatível")</f>
        <v>Problemas significativos</v>
      </c>
      <c r="G20" s="29">
        <v>1</v>
      </c>
      <c r="H20" s="26" t="s">
        <v>308</v>
      </c>
      <c r="I20" s="26" t="s">
        <v>309</v>
      </c>
    </row>
    <row r="21" spans="1:9" ht="30" customHeight="1" x14ac:dyDescent="0.3">
      <c r="A21" s="33" t="str">
        <f t="shared" si="0"/>
        <v>PE rígido|Material da tampa|Sem tampa</v>
      </c>
      <c r="B21" s="26" t="s">
        <v>225</v>
      </c>
      <c r="C21" s="26" t="s">
        <v>310</v>
      </c>
      <c r="D21" s="26" t="s">
        <v>311</v>
      </c>
      <c r="E21" s="26" t="s">
        <v>117</v>
      </c>
      <c r="F21" s="33" t="str">
        <f>CHOOSE(MATCH(E21,{"A","B","C","D","E","F"},0),"Totalmente compatível","Compatibilidade limitada","Compatibilidade limitada (afeta a qualidade)","Problemas significativos","Problemas graves","Não reciclável / não compatível")</f>
        <v>Totalmente compatível</v>
      </c>
      <c r="G21" s="29">
        <v>1</v>
      </c>
      <c r="H21" s="26" t="s">
        <v>312</v>
      </c>
      <c r="I21" s="26" t="s">
        <v>273</v>
      </c>
    </row>
    <row r="22" spans="1:9" ht="30" customHeight="1" x14ac:dyDescent="0.3">
      <c r="A22" s="33" t="str">
        <f t="shared" si="0"/>
        <v>PE rígido|Material da tampa|PE</v>
      </c>
      <c r="B22" s="26" t="s">
        <v>225</v>
      </c>
      <c r="C22" s="26" t="s">
        <v>310</v>
      </c>
      <c r="D22" s="26" t="s">
        <v>224</v>
      </c>
      <c r="E22" s="26" t="s">
        <v>117</v>
      </c>
      <c r="F22" s="33" t="str">
        <f>CHOOSE(MATCH(E22,{"A","B","C","D","E","F"},0),"Totalmente compatível","Compatibilidade limitada","Compatibilidade limitada (afeta a qualidade)","Problemas significativos","Problemas graves","Não reciclável / não compatível")</f>
        <v>Totalmente compatível</v>
      </c>
      <c r="G22" s="29">
        <v>1</v>
      </c>
      <c r="H22" s="26" t="s">
        <v>313</v>
      </c>
      <c r="I22" s="26" t="s">
        <v>273</v>
      </c>
    </row>
    <row r="23" spans="1:9" ht="30" customHeight="1" x14ac:dyDescent="0.3">
      <c r="A23" s="33" t="str">
        <f t="shared" si="0"/>
        <v>PE rígido|Material da tampa|PP</v>
      </c>
      <c r="B23" s="26" t="s">
        <v>225</v>
      </c>
      <c r="C23" s="26" t="s">
        <v>310</v>
      </c>
      <c r="D23" s="26" t="s">
        <v>240</v>
      </c>
      <c r="E23" s="26" t="s">
        <v>117</v>
      </c>
      <c r="F23" s="33" t="str">
        <f>CHOOSE(MATCH(E23,{"A","B","C","D","E","F"},0),"Totalmente compatível","Compatibilidade limitada","Compatibilidade limitada (afeta a qualidade)","Problemas significativos","Problemas graves","Não reciclável / não compatível")</f>
        <v>Totalmente compatível</v>
      </c>
      <c r="G23" s="29">
        <v>1</v>
      </c>
      <c r="H23" s="26" t="s">
        <v>314</v>
      </c>
      <c r="I23" s="26" t="s">
        <v>273</v>
      </c>
    </row>
    <row r="24" spans="1:9" ht="30" customHeight="1" x14ac:dyDescent="0.3">
      <c r="A24" s="33" t="str">
        <f t="shared" si="0"/>
        <v>PE rígido|Material da tampa|PETG</v>
      </c>
      <c r="B24" s="26" t="s">
        <v>225</v>
      </c>
      <c r="C24" s="26" t="s">
        <v>310</v>
      </c>
      <c r="D24" s="26" t="s">
        <v>255</v>
      </c>
      <c r="E24" s="26" t="s">
        <v>118</v>
      </c>
      <c r="F24" s="33" t="str">
        <f>CHOOSE(MATCH(E24,{"A","B","C","D","E","F"},0),"Totalmente compatível","Compatibilidade limitada","Compatibilidade limitada (afeta a qualidade)","Problemas significativos","Problemas graves","Não reciclável / não compatível")</f>
        <v>Compatibilidade limitada</v>
      </c>
      <c r="G24" s="29">
        <v>0</v>
      </c>
      <c r="H24" s="26" t="s">
        <v>315</v>
      </c>
      <c r="I24" s="26" t="s">
        <v>316</v>
      </c>
    </row>
    <row r="25" spans="1:9" ht="30" customHeight="1" x14ac:dyDescent="0.3">
      <c r="A25" s="33" t="str">
        <f t="shared" si="0"/>
        <v>PE rígido|Material da tampa|PET</v>
      </c>
      <c r="B25" s="26" t="s">
        <v>225</v>
      </c>
      <c r="C25" s="26" t="s">
        <v>310</v>
      </c>
      <c r="D25" s="26" t="s">
        <v>249</v>
      </c>
      <c r="E25" s="26" t="s">
        <v>118</v>
      </c>
      <c r="F25" s="33" t="str">
        <f>CHOOSE(MATCH(E25,{"A","B","C","D","E","F"},0),"Totalmente compatível","Compatibilidade limitada","Compatibilidade limitada (afeta a qualidade)","Problemas significativos","Problemas graves","Não reciclável / não compatível")</f>
        <v>Compatibilidade limitada</v>
      </c>
      <c r="G25" s="29">
        <v>0</v>
      </c>
      <c r="H25" s="26" t="s">
        <v>317</v>
      </c>
      <c r="I25" s="26" t="s">
        <v>316</v>
      </c>
    </row>
    <row r="26" spans="1:9" ht="30" customHeight="1" x14ac:dyDescent="0.3">
      <c r="A26" s="33" t="str">
        <f t="shared" si="0"/>
        <v>PE rígido|Vedante / liner|Sem vedante</v>
      </c>
      <c r="B26" s="26" t="s">
        <v>225</v>
      </c>
      <c r="C26" s="26" t="s">
        <v>318</v>
      </c>
      <c r="D26" s="26" t="s">
        <v>319</v>
      </c>
      <c r="E26" s="26" t="s">
        <v>117</v>
      </c>
      <c r="F26" s="33" t="str">
        <f>CHOOSE(MATCH(E26,{"A","B","C","D","E","F"},0),"Totalmente compatível","Compatibilidade limitada","Compatibilidade limitada (afeta a qualidade)","Problemas significativos","Problemas graves","Não reciclável / não compatível")</f>
        <v>Totalmente compatível</v>
      </c>
      <c r="G26" s="29">
        <v>1</v>
      </c>
      <c r="H26" s="26" t="s">
        <v>312</v>
      </c>
      <c r="I26" s="26" t="s">
        <v>273</v>
      </c>
    </row>
    <row r="27" spans="1:9" ht="30" customHeight="1" x14ac:dyDescent="0.3">
      <c r="A27" s="33" t="str">
        <f t="shared" si="0"/>
        <v>PE rígido|Vedante / liner|Vedante PE/EVA</v>
      </c>
      <c r="B27" s="26" t="s">
        <v>225</v>
      </c>
      <c r="C27" s="26" t="s">
        <v>318</v>
      </c>
      <c r="D27" s="26" t="s">
        <v>320</v>
      </c>
      <c r="E27" s="26" t="s">
        <v>117</v>
      </c>
      <c r="F27" s="33" t="str">
        <f>CHOOSE(MATCH(E27,{"A","B","C","D","E","F"},0),"Totalmente compatível","Compatibilidade limitada","Compatibilidade limitada (afeta a qualidade)","Problemas significativos","Problemas graves","Não reciclável / não compatível")</f>
        <v>Totalmente compatível</v>
      </c>
      <c r="G27" s="29">
        <v>1</v>
      </c>
      <c r="H27" s="26" t="s">
        <v>321</v>
      </c>
      <c r="I27" s="26" t="s">
        <v>273</v>
      </c>
    </row>
    <row r="28" spans="1:9" ht="30" customHeight="1" x14ac:dyDescent="0.3">
      <c r="A28" s="33" t="str">
        <f t="shared" si="0"/>
        <v>PE rígido|Vedante / liner|Válvula de silicone</v>
      </c>
      <c r="B28" s="26" t="s">
        <v>225</v>
      </c>
      <c r="C28" s="26" t="s">
        <v>318</v>
      </c>
      <c r="D28" s="26" t="s">
        <v>322</v>
      </c>
      <c r="E28" s="26" t="s">
        <v>119</v>
      </c>
      <c r="F28" s="33" t="str">
        <f>CHOOSE(MATCH(E28,{"A","B","C","D","E","F"},0),"Totalmente compatível","Compatibilidade limitada","Compatibilidade limitada (afeta a qualidade)","Problemas significativos","Problemas graves","Não reciclável / não compatível")</f>
        <v>Compatibilidade limitada (afeta a qualidade)</v>
      </c>
      <c r="G28" s="29">
        <v>1</v>
      </c>
      <c r="H28" s="26" t="s">
        <v>323</v>
      </c>
      <c r="I28" s="26" t="s">
        <v>324</v>
      </c>
    </row>
    <row r="29" spans="1:9" ht="30" customHeight="1" x14ac:dyDescent="0.3">
      <c r="A29" s="33" t="str">
        <f t="shared" si="0"/>
        <v>PE rígido|Tipo de rótulo|Sem rótulo</v>
      </c>
      <c r="B29" s="26" t="s">
        <v>225</v>
      </c>
      <c r="C29" s="26" t="s">
        <v>325</v>
      </c>
      <c r="D29" s="26" t="s">
        <v>326</v>
      </c>
      <c r="E29" s="26" t="s">
        <v>117</v>
      </c>
      <c r="F29" s="33" t="str">
        <f>CHOOSE(MATCH(E29,{"A","B","C","D","E","F"},0),"Totalmente compatível","Compatibilidade limitada","Compatibilidade limitada (afeta a qualidade)","Problemas significativos","Problemas graves","Não reciclável / não compatível")</f>
        <v>Totalmente compatível</v>
      </c>
      <c r="G29" s="29">
        <v>1</v>
      </c>
      <c r="H29" s="26" t="s">
        <v>312</v>
      </c>
      <c r="I29" s="26" t="s">
        <v>273</v>
      </c>
    </row>
    <row r="30" spans="1:9" ht="30" customHeight="1" x14ac:dyDescent="0.3">
      <c r="A30" s="33" t="str">
        <f t="shared" si="0"/>
        <v>PE rígido|Tipo de rótulo|Autoadesivo PE/PP</v>
      </c>
      <c r="B30" s="26" t="s">
        <v>225</v>
      </c>
      <c r="C30" s="26" t="s">
        <v>325</v>
      </c>
      <c r="D30" s="26" t="s">
        <v>327</v>
      </c>
      <c r="E30" s="26" t="s">
        <v>117</v>
      </c>
      <c r="F30" s="33" t="str">
        <f>CHOOSE(MATCH(E30,{"A","B","C","D","E","F"},0),"Totalmente compatível","Compatibilidade limitada","Compatibilidade limitada (afeta a qualidade)","Problemas significativos","Problemas graves","Não reciclável / não compatível")</f>
        <v>Totalmente compatível</v>
      </c>
      <c r="G30" s="29">
        <v>1</v>
      </c>
      <c r="H30" s="26" t="s">
        <v>328</v>
      </c>
      <c r="I30" s="26" t="s">
        <v>273</v>
      </c>
    </row>
    <row r="31" spans="1:9" ht="30" customHeight="1" x14ac:dyDescent="0.3">
      <c r="A31" s="33" t="str">
        <f t="shared" si="0"/>
        <v>PE rígido|Tipo de rótulo|In-mould PE/PP</v>
      </c>
      <c r="B31" s="26" t="s">
        <v>225</v>
      </c>
      <c r="C31" s="26" t="s">
        <v>325</v>
      </c>
      <c r="D31" s="26" t="s">
        <v>329</v>
      </c>
      <c r="E31" s="26" t="s">
        <v>117</v>
      </c>
      <c r="F31" s="33" t="str">
        <f>CHOOSE(MATCH(E31,{"A","B","C","D","E","F"},0),"Totalmente compatível","Compatibilidade limitada","Compatibilidade limitada (afeta a qualidade)","Problemas significativos","Problemas graves","Não reciclável / não compatível")</f>
        <v>Totalmente compatível</v>
      </c>
      <c r="G31" s="29">
        <v>1</v>
      </c>
      <c r="H31" s="26" t="s">
        <v>330</v>
      </c>
      <c r="I31" s="26" t="s">
        <v>273</v>
      </c>
    </row>
    <row r="32" spans="1:9" ht="30" customHeight="1" x14ac:dyDescent="0.3">
      <c r="A32" s="33" t="str">
        <f t="shared" si="0"/>
        <v>PE rígido|Tipo de rótulo|Autoadesivo PET</v>
      </c>
      <c r="B32" s="26" t="s">
        <v>225</v>
      </c>
      <c r="C32" s="26" t="s">
        <v>325</v>
      </c>
      <c r="D32" s="26" t="s">
        <v>331</v>
      </c>
      <c r="E32" s="26" t="s">
        <v>118</v>
      </c>
      <c r="F32" s="33" t="str">
        <f>CHOOSE(MATCH(E32,{"A","B","C","D","E","F"},0),"Totalmente compatível","Compatibilidade limitada","Compatibilidade limitada (afeta a qualidade)","Problemas significativos","Problemas graves","Não reciclável / não compatível")</f>
        <v>Compatibilidade limitada</v>
      </c>
      <c r="G32" s="29">
        <v>0</v>
      </c>
      <c r="H32" s="26" t="s">
        <v>332</v>
      </c>
      <c r="I32" s="26" t="s">
        <v>333</v>
      </c>
    </row>
    <row r="33" spans="1:9" ht="30" customHeight="1" x14ac:dyDescent="0.3">
      <c r="A33" s="33" t="str">
        <f t="shared" si="0"/>
        <v>PE rígido|Tipo de rótulo|Autoadesivo papel</v>
      </c>
      <c r="B33" s="26" t="s">
        <v>225</v>
      </c>
      <c r="C33" s="26" t="s">
        <v>325</v>
      </c>
      <c r="D33" s="26" t="s">
        <v>334</v>
      </c>
      <c r="E33" s="26" t="s">
        <v>119</v>
      </c>
      <c r="F33" s="33" t="str">
        <f>CHOOSE(MATCH(E33,{"A","B","C","D","E","F"},0),"Totalmente compatível","Compatibilidade limitada","Compatibilidade limitada (afeta a qualidade)","Problemas significativos","Problemas graves","Não reciclável / não compatível")</f>
        <v>Compatibilidade limitada (afeta a qualidade)</v>
      </c>
      <c r="G33" s="29">
        <v>0</v>
      </c>
      <c r="H33" s="26" t="s">
        <v>335</v>
      </c>
      <c r="I33" s="26" t="s">
        <v>333</v>
      </c>
    </row>
    <row r="34" spans="1:9" ht="30" customHeight="1" x14ac:dyDescent="0.3">
      <c r="A34" s="33" t="str">
        <f t="shared" si="0"/>
        <v>PE rígido|Tipo de rótulo|Manga termorretrátil PETG</v>
      </c>
      <c r="B34" s="26" t="s">
        <v>225</v>
      </c>
      <c r="C34" s="26" t="s">
        <v>325</v>
      </c>
      <c r="D34" s="26" t="s">
        <v>336</v>
      </c>
      <c r="E34" s="26" t="s">
        <v>119</v>
      </c>
      <c r="F34" s="33" t="str">
        <f>CHOOSE(MATCH(E34,{"A","B","C","D","E","F"},0),"Totalmente compatível","Compatibilidade limitada","Compatibilidade limitada (afeta a qualidade)","Problemas significativos","Problemas graves","Não reciclável / não compatível")</f>
        <v>Compatibilidade limitada (afeta a qualidade)</v>
      </c>
      <c r="G34" s="29">
        <v>0</v>
      </c>
      <c r="H34" s="26" t="s">
        <v>337</v>
      </c>
      <c r="I34" s="26" t="s">
        <v>338</v>
      </c>
    </row>
    <row r="35" spans="1:9" ht="30" customHeight="1" x14ac:dyDescent="0.3">
      <c r="A35" s="33" t="str">
        <f t="shared" si="0"/>
        <v>PE rígido|Adesivo do rótulo|Sem adesivo</v>
      </c>
      <c r="B35" s="26" t="s">
        <v>225</v>
      </c>
      <c r="C35" s="26" t="s">
        <v>339</v>
      </c>
      <c r="D35" s="26" t="s">
        <v>340</v>
      </c>
      <c r="E35" s="26" t="s">
        <v>117</v>
      </c>
      <c r="F35" s="33" t="str">
        <f>CHOOSE(MATCH(E35,{"A","B","C","D","E","F"},0),"Totalmente compatível","Compatibilidade limitada","Compatibilidade limitada (afeta a qualidade)","Problemas significativos","Problemas graves","Não reciclável / não compatível")</f>
        <v>Totalmente compatível</v>
      </c>
      <c r="G35" s="29">
        <v>1</v>
      </c>
      <c r="H35" s="26" t="s">
        <v>341</v>
      </c>
      <c r="I35" s="26" t="s">
        <v>273</v>
      </c>
    </row>
    <row r="36" spans="1:9" ht="30" customHeight="1" x14ac:dyDescent="0.3">
      <c r="A36" s="33" t="str">
        <f t="shared" si="0"/>
        <v>PE rígido|Adesivo do rótulo|Acrílico permanente</v>
      </c>
      <c r="B36" s="26" t="s">
        <v>225</v>
      </c>
      <c r="C36" s="26" t="s">
        <v>339</v>
      </c>
      <c r="D36" s="26" t="s">
        <v>342</v>
      </c>
      <c r="E36" s="26" t="s">
        <v>117</v>
      </c>
      <c r="F36" s="33" t="str">
        <f>CHOOSE(MATCH(E36,{"A","B","C","D","E","F"},0),"Totalmente compatível","Compatibilidade limitada","Compatibilidade limitada (afeta a qualidade)","Problemas significativos","Problemas graves","Não reciclável / não compatível")</f>
        <v>Totalmente compatível</v>
      </c>
      <c r="G36" s="29">
        <v>1</v>
      </c>
      <c r="H36" s="26" t="s">
        <v>341</v>
      </c>
      <c r="I36" s="26" t="s">
        <v>273</v>
      </c>
    </row>
    <row r="37" spans="1:9" ht="30" customHeight="1" x14ac:dyDescent="0.3">
      <c r="A37" s="33" t="str">
        <f t="shared" ref="A37:A68" si="1">B37&amp;"|"&amp;C37&amp;"|"&amp;D37</f>
        <v>PE rígido|Adesivo do rótulo|Lavável a 80 °C (alcalino)</v>
      </c>
      <c r="B37" s="26" t="s">
        <v>225</v>
      </c>
      <c r="C37" s="26" t="s">
        <v>339</v>
      </c>
      <c r="D37" s="26" t="s">
        <v>343</v>
      </c>
      <c r="E37" s="26" t="s">
        <v>117</v>
      </c>
      <c r="F37" s="33" t="str">
        <f>CHOOSE(MATCH(E37,{"A","B","C","D","E","F"},0),"Totalmente compatível","Compatibilidade limitada","Compatibilidade limitada (afeta a qualidade)","Problemas significativos","Problemas graves","Não reciclável / não compatível")</f>
        <v>Totalmente compatível</v>
      </c>
      <c r="G37" s="29">
        <v>1</v>
      </c>
      <c r="H37" s="26" t="s">
        <v>341</v>
      </c>
      <c r="I37" s="26" t="s">
        <v>273</v>
      </c>
    </row>
    <row r="38" spans="1:9" ht="30" customHeight="1" x14ac:dyDescent="0.3">
      <c r="A38" s="33" t="str">
        <f t="shared" si="1"/>
        <v>PE rígido|Adesivo do rótulo|Hot-melt</v>
      </c>
      <c r="B38" s="26" t="s">
        <v>225</v>
      </c>
      <c r="C38" s="26" t="s">
        <v>339</v>
      </c>
      <c r="D38" s="26" t="s">
        <v>344</v>
      </c>
      <c r="E38" s="26" t="s">
        <v>117</v>
      </c>
      <c r="F38" s="33" t="str">
        <f>CHOOSE(MATCH(E38,{"A","B","C","D","E","F"},0),"Totalmente compatível","Compatibilidade limitada","Compatibilidade limitada (afeta a qualidade)","Problemas significativos","Problemas graves","Não reciclável / não compatível")</f>
        <v>Totalmente compatível</v>
      </c>
      <c r="G38" s="29">
        <v>1</v>
      </c>
      <c r="H38" s="26" t="s">
        <v>341</v>
      </c>
      <c r="I38" s="26" t="s">
        <v>273</v>
      </c>
    </row>
    <row r="39" spans="1:9" ht="30" customHeight="1" x14ac:dyDescent="0.3">
      <c r="A39" s="33" t="str">
        <f t="shared" si="1"/>
        <v>PE rígido|Cobertura do rótulo|≤ 70% da superfície</v>
      </c>
      <c r="B39" s="26" t="s">
        <v>225</v>
      </c>
      <c r="C39" s="26" t="s">
        <v>345</v>
      </c>
      <c r="D39" s="26" t="s">
        <v>346</v>
      </c>
      <c r="E39" s="26" t="s">
        <v>117</v>
      </c>
      <c r="F39" s="33" t="str">
        <f>CHOOSE(MATCH(E39,{"A","B","C","D","E","F"},0),"Totalmente compatível","Compatibilidade limitada","Compatibilidade limitada (afeta a qualidade)","Problemas significativos","Problemas graves","Não reciclável / não compatível")</f>
        <v>Totalmente compatível</v>
      </c>
      <c r="G39" s="29">
        <v>1</v>
      </c>
      <c r="H39" s="26" t="s">
        <v>347</v>
      </c>
      <c r="I39" s="26" t="s">
        <v>273</v>
      </c>
    </row>
    <row r="40" spans="1:9" ht="30" customHeight="1" x14ac:dyDescent="0.3">
      <c r="A40" s="33" t="str">
        <f t="shared" si="1"/>
        <v>PE rígido|Cobertura do rótulo|&gt; 70% da superfície</v>
      </c>
      <c r="B40" s="26" t="s">
        <v>225</v>
      </c>
      <c r="C40" s="26" t="s">
        <v>345</v>
      </c>
      <c r="D40" s="26" t="s">
        <v>348</v>
      </c>
      <c r="E40" s="26" t="s">
        <v>117</v>
      </c>
      <c r="F40" s="33" t="str">
        <f>CHOOSE(MATCH(E40,{"A","B","C","D","E","F"},0),"Totalmente compatível","Compatibilidade limitada","Compatibilidade limitada (afeta a qualidade)","Problemas significativos","Problemas graves","Não reciclável / não compatível")</f>
        <v>Totalmente compatível</v>
      </c>
      <c r="G40" s="29">
        <v>1</v>
      </c>
      <c r="H40" s="26" t="s">
        <v>347</v>
      </c>
      <c r="I40" s="26" t="s">
        <v>273</v>
      </c>
    </row>
    <row r="41" spans="1:9" ht="30" customHeight="1" x14ac:dyDescent="0.3">
      <c r="A41" s="33" t="str">
        <f t="shared" si="1"/>
        <v>PE rígido|Decoração direta|Nenhuma</v>
      </c>
      <c r="B41" s="26" t="s">
        <v>225</v>
      </c>
      <c r="C41" s="26" t="s">
        <v>349</v>
      </c>
      <c r="D41" s="26" t="s">
        <v>302</v>
      </c>
      <c r="E41" s="26" t="s">
        <v>117</v>
      </c>
      <c r="F41" s="33" t="str">
        <f>CHOOSE(MATCH(E41,{"A","B","C","D","E","F"},0),"Totalmente compatível","Compatibilidade limitada","Compatibilidade limitada (afeta a qualidade)","Problemas significativos","Problemas graves","Não reciclável / não compatível")</f>
        <v>Totalmente compatível</v>
      </c>
      <c r="G41" s="29">
        <v>1</v>
      </c>
      <c r="H41" s="26" t="s">
        <v>350</v>
      </c>
      <c r="I41" s="26" t="s">
        <v>273</v>
      </c>
    </row>
    <row r="42" spans="1:9" ht="30" customHeight="1" x14ac:dyDescent="0.3">
      <c r="A42" s="33" t="str">
        <f t="shared" si="1"/>
        <v>PE rígido|Decoração direta|Impressão de lote/data</v>
      </c>
      <c r="B42" s="26" t="s">
        <v>225</v>
      </c>
      <c r="C42" s="26" t="s">
        <v>349</v>
      </c>
      <c r="D42" s="26" t="s">
        <v>351</v>
      </c>
      <c r="E42" s="26" t="s">
        <v>117</v>
      </c>
      <c r="F42" s="33" t="str">
        <f>CHOOSE(MATCH(E42,{"A","B","C","D","E","F"},0),"Totalmente compatível","Compatibilidade limitada","Compatibilidade limitada (afeta a qualidade)","Problemas significativos","Problemas graves","Não reciclável / não compatível")</f>
        <v>Totalmente compatível</v>
      </c>
      <c r="G42" s="29">
        <v>1</v>
      </c>
      <c r="H42" s="26" t="s">
        <v>352</v>
      </c>
      <c r="I42" s="26" t="s">
        <v>273</v>
      </c>
    </row>
    <row r="43" spans="1:9" ht="30" customHeight="1" x14ac:dyDescent="0.3">
      <c r="A43" s="33" t="str">
        <f t="shared" si="1"/>
        <v>PE rígido|Decoração direta|Serigrafia 1–2 cores</v>
      </c>
      <c r="B43" s="26" t="s">
        <v>225</v>
      </c>
      <c r="C43" s="26" t="s">
        <v>349</v>
      </c>
      <c r="D43" s="26" t="s">
        <v>353</v>
      </c>
      <c r="E43" s="26" t="s">
        <v>118</v>
      </c>
      <c r="F43" s="33" t="str">
        <f>CHOOSE(MATCH(E43,{"A","B","C","D","E","F"},0),"Totalmente compatível","Compatibilidade limitada","Compatibilidade limitada (afeta a qualidade)","Problemas significativos","Problemas graves","Não reciclável / não compatível")</f>
        <v>Compatibilidade limitada</v>
      </c>
      <c r="G43" s="29">
        <v>0</v>
      </c>
      <c r="H43" s="26" t="s">
        <v>354</v>
      </c>
      <c r="I43" s="26" t="s">
        <v>355</v>
      </c>
    </row>
    <row r="44" spans="1:9" ht="30" customHeight="1" x14ac:dyDescent="0.3">
      <c r="A44" s="33" t="str">
        <f t="shared" si="1"/>
        <v>PE rígido|Decoração direta|Serigrafia ≥ 3 cores</v>
      </c>
      <c r="B44" s="26" t="s">
        <v>225</v>
      </c>
      <c r="C44" s="26" t="s">
        <v>349</v>
      </c>
      <c r="D44" s="26" t="s">
        <v>356</v>
      </c>
      <c r="E44" s="26" t="s">
        <v>119</v>
      </c>
      <c r="F44" s="33" t="str">
        <f>CHOOSE(MATCH(E44,{"A","B","C","D","E","F"},0),"Totalmente compatível","Compatibilidade limitada","Compatibilidade limitada (afeta a qualidade)","Problemas significativos","Problemas graves","Não reciclável / não compatível")</f>
        <v>Compatibilidade limitada (afeta a qualidade)</v>
      </c>
      <c r="G44" s="29">
        <v>0</v>
      </c>
      <c r="H44" s="26" t="s">
        <v>357</v>
      </c>
      <c r="I44" s="26" t="s">
        <v>358</v>
      </c>
    </row>
    <row r="45" spans="1:9" ht="30" customHeight="1" x14ac:dyDescent="0.3">
      <c r="A45" s="33" t="str">
        <f t="shared" si="1"/>
        <v>PE rígido|Decoração direta|Hot foil metalizado</v>
      </c>
      <c r="B45" s="26" t="s">
        <v>225</v>
      </c>
      <c r="C45" s="26" t="s">
        <v>349</v>
      </c>
      <c r="D45" s="26" t="s">
        <v>359</v>
      </c>
      <c r="E45" s="26" t="s">
        <v>119</v>
      </c>
      <c r="F45" s="33" t="str">
        <f>CHOOSE(MATCH(E45,{"A","B","C","D","E","F"},0),"Totalmente compatível","Compatibilidade limitada","Compatibilidade limitada (afeta a qualidade)","Problemas significativos","Problemas graves","Não reciclável / não compatível")</f>
        <v>Compatibilidade limitada (afeta a qualidade)</v>
      </c>
      <c r="G45" s="29">
        <v>0</v>
      </c>
      <c r="H45" s="26" t="s">
        <v>360</v>
      </c>
      <c r="I45" s="26" t="s">
        <v>361</v>
      </c>
    </row>
    <row r="46" spans="1:9" ht="30" customHeight="1" x14ac:dyDescent="0.3">
      <c r="A46" s="33" t="str">
        <f t="shared" si="1"/>
        <v>PP rígido|Cor do corpo|Natural / incolor</v>
      </c>
      <c r="B46" s="26" t="s">
        <v>241</v>
      </c>
      <c r="C46" s="26" t="s">
        <v>278</v>
      </c>
      <c r="D46" s="26" t="s">
        <v>279</v>
      </c>
      <c r="E46" s="26" t="s">
        <v>117</v>
      </c>
      <c r="F46" s="33" t="str">
        <f>CHOOSE(MATCH(E46,{"A","B","C","D","E","F"},0),"Totalmente compatível","Compatibilidade limitada","Compatibilidade limitada (afeta a qualidade)","Problemas significativos","Problemas graves","Não reciclável / não compatível")</f>
        <v>Totalmente compatível</v>
      </c>
      <c r="G46" s="29">
        <v>1</v>
      </c>
      <c r="H46" s="26" t="s">
        <v>280</v>
      </c>
      <c r="I46" s="26" t="s">
        <v>273</v>
      </c>
    </row>
    <row r="47" spans="1:9" ht="30" customHeight="1" x14ac:dyDescent="0.3">
      <c r="A47" s="33" t="str">
        <f t="shared" si="1"/>
        <v>PP rígido|Cor do corpo|Branco (TiO2)</v>
      </c>
      <c r="B47" s="26" t="s">
        <v>241</v>
      </c>
      <c r="C47" s="26" t="s">
        <v>278</v>
      </c>
      <c r="D47" s="26" t="s">
        <v>281</v>
      </c>
      <c r="E47" s="26" t="s">
        <v>117</v>
      </c>
      <c r="F47" s="33" t="str">
        <f>CHOOSE(MATCH(E47,{"A","B","C","D","E","F"},0),"Totalmente compatível","Compatibilidade limitada","Compatibilidade limitada (afeta a qualidade)","Problemas significativos","Problemas graves","Não reciclável / não compatível")</f>
        <v>Totalmente compatível</v>
      </c>
      <c r="G47" s="29">
        <v>1</v>
      </c>
      <c r="H47" s="26" t="s">
        <v>282</v>
      </c>
      <c r="I47" s="26" t="s">
        <v>273</v>
      </c>
    </row>
    <row r="48" spans="1:9" ht="30" customHeight="1" x14ac:dyDescent="0.3">
      <c r="A48" s="33" t="str">
        <f t="shared" si="1"/>
        <v>PP rígido|Cor do corpo|Colorido (claro ou transparente)</v>
      </c>
      <c r="B48" s="26" t="s">
        <v>241</v>
      </c>
      <c r="C48" s="26" t="s">
        <v>278</v>
      </c>
      <c r="D48" s="26" t="s">
        <v>283</v>
      </c>
      <c r="E48" s="26" t="s">
        <v>118</v>
      </c>
      <c r="F48" s="33" t="str">
        <f>CHOOSE(MATCH(E48,{"A","B","C","D","E","F"},0),"Totalmente compatível","Compatibilidade limitada","Compatibilidade limitada (afeta a qualidade)","Problemas significativos","Problemas graves","Não reciclável / não compatível")</f>
        <v>Compatibilidade limitada</v>
      </c>
      <c r="G48" s="29">
        <v>1</v>
      </c>
      <c r="H48" s="26" t="s">
        <v>362</v>
      </c>
      <c r="I48" s="26" t="s">
        <v>285</v>
      </c>
    </row>
    <row r="49" spans="1:9" ht="30" customHeight="1" x14ac:dyDescent="0.3">
      <c r="A49" s="33" t="str">
        <f t="shared" si="1"/>
        <v>PP rígido|Cor do corpo|Colorido escuro / opaco</v>
      </c>
      <c r="B49" s="26" t="s">
        <v>241</v>
      </c>
      <c r="C49" s="26" t="s">
        <v>278</v>
      </c>
      <c r="D49" s="26" t="s">
        <v>286</v>
      </c>
      <c r="E49" s="26" t="s">
        <v>118</v>
      </c>
      <c r="F49" s="33" t="str">
        <f>CHOOSE(MATCH(E49,{"A","B","C","D","E","F"},0),"Totalmente compatível","Compatibilidade limitada","Compatibilidade limitada (afeta a qualidade)","Problemas significativos","Problemas graves","Não reciclável / não compatível")</f>
        <v>Compatibilidade limitada</v>
      </c>
      <c r="G49" s="29">
        <v>1</v>
      </c>
      <c r="H49" s="26" t="s">
        <v>363</v>
      </c>
      <c r="I49" s="26" t="s">
        <v>288</v>
      </c>
    </row>
    <row r="50" spans="1:9" ht="30" customHeight="1" x14ac:dyDescent="0.3">
      <c r="A50" s="33" t="str">
        <f t="shared" si="1"/>
        <v>PP rígido|Cor do corpo|Preto (negro de carbono)</v>
      </c>
      <c r="B50" s="26" t="s">
        <v>241</v>
      </c>
      <c r="C50" s="26" t="s">
        <v>278</v>
      </c>
      <c r="D50" s="26" t="s">
        <v>289</v>
      </c>
      <c r="E50" s="26" t="s">
        <v>122</v>
      </c>
      <c r="F50" s="33" t="str">
        <f>CHOOSE(MATCH(E50,{"A","B","C","D","E","F"},0),"Totalmente compatível","Compatibilidade limitada","Compatibilidade limitada (afeta a qualidade)","Problemas significativos","Problemas graves","Não reciclável / não compatível")</f>
        <v>Não reciclável / não compatível</v>
      </c>
      <c r="G50" s="29">
        <v>0</v>
      </c>
      <c r="H50" s="26" t="s">
        <v>290</v>
      </c>
      <c r="I50" s="26" t="s">
        <v>291</v>
      </c>
    </row>
    <row r="51" spans="1:9" ht="30" customHeight="1" x14ac:dyDescent="0.3">
      <c r="A51" s="33" t="str">
        <f t="shared" si="1"/>
        <v>PP rígido|Cor do corpo|Preto detetável por NIR</v>
      </c>
      <c r="B51" s="26" t="s">
        <v>241</v>
      </c>
      <c r="C51" s="26" t="s">
        <v>278</v>
      </c>
      <c r="D51" s="26" t="s">
        <v>292</v>
      </c>
      <c r="E51" s="26" t="s">
        <v>118</v>
      </c>
      <c r="F51" s="33" t="str">
        <f>CHOOSE(MATCH(E51,{"A","B","C","D","E","F"},0),"Totalmente compatível","Compatibilidade limitada","Compatibilidade limitada (afeta a qualidade)","Problemas significativos","Problemas graves","Não reciclável / não compatível")</f>
        <v>Compatibilidade limitada</v>
      </c>
      <c r="G51" s="29">
        <v>1</v>
      </c>
      <c r="H51" s="26" t="s">
        <v>293</v>
      </c>
      <c r="I51" s="26" t="s">
        <v>294</v>
      </c>
    </row>
    <row r="52" spans="1:9" ht="30" customHeight="1" x14ac:dyDescent="0.3">
      <c r="A52" s="33" t="str">
        <f t="shared" si="1"/>
        <v>PP rígido|Densidade do corpo|&lt; 1,0 g/cm³</v>
      </c>
      <c r="B52" s="26" t="s">
        <v>241</v>
      </c>
      <c r="C52" s="26" t="s">
        <v>295</v>
      </c>
      <c r="D52" s="26" t="s">
        <v>296</v>
      </c>
      <c r="E52" s="26" t="s">
        <v>117</v>
      </c>
      <c r="F52" s="33" t="str">
        <f>CHOOSE(MATCH(E52,{"A","B","C","D","E","F"},0),"Totalmente compatível","Compatibilidade limitada","Compatibilidade limitada (afeta a qualidade)","Problemas significativos","Problemas graves","Não reciclável / não compatível")</f>
        <v>Totalmente compatível</v>
      </c>
      <c r="G52" s="29">
        <v>1</v>
      </c>
      <c r="H52" s="26" t="s">
        <v>297</v>
      </c>
      <c r="I52" s="26" t="s">
        <v>273</v>
      </c>
    </row>
    <row r="53" spans="1:9" ht="30" customHeight="1" x14ac:dyDescent="0.3">
      <c r="A53" s="33" t="str">
        <f t="shared" si="1"/>
        <v>PP rígido|Densidade do corpo|≥ 1,0 g/cm³</v>
      </c>
      <c r="B53" s="26" t="s">
        <v>241</v>
      </c>
      <c r="C53" s="26" t="s">
        <v>295</v>
      </c>
      <c r="D53" s="26" t="s">
        <v>298</v>
      </c>
      <c r="E53" s="26" t="s">
        <v>120</v>
      </c>
      <c r="F53" s="33" t="str">
        <f>CHOOSE(MATCH(E53,{"A","B","C","D","E","F"},0),"Totalmente compatível","Compatibilidade limitada","Compatibilidade limitada (afeta a qualidade)","Problemas significativos","Problemas graves","Não reciclável / não compatível")</f>
        <v>Problemas significativos</v>
      </c>
      <c r="G53" s="29">
        <v>1</v>
      </c>
      <c r="H53" s="26" t="s">
        <v>299</v>
      </c>
      <c r="I53" s="26" t="s">
        <v>300</v>
      </c>
    </row>
    <row r="54" spans="1:9" ht="30" customHeight="1" x14ac:dyDescent="0.3">
      <c r="A54" s="33" t="str">
        <f t="shared" si="1"/>
        <v>PP rígido|Barreira / revestimento|Nenhuma</v>
      </c>
      <c r="B54" s="26" t="s">
        <v>241</v>
      </c>
      <c r="C54" s="26" t="s">
        <v>301</v>
      </c>
      <c r="D54" s="26" t="s">
        <v>302</v>
      </c>
      <c r="E54" s="26" t="s">
        <v>117</v>
      </c>
      <c r="F54" s="33" t="str">
        <f>CHOOSE(MATCH(E54,{"A","B","C","D","E","F"},0),"Totalmente compatível","Compatibilidade limitada","Compatibilidade limitada (afeta a qualidade)","Problemas significativos","Problemas graves","Não reciclável / não compatível")</f>
        <v>Totalmente compatível</v>
      </c>
      <c r="G54" s="29">
        <v>1</v>
      </c>
      <c r="H54" s="26" t="s">
        <v>303</v>
      </c>
      <c r="I54" s="26" t="s">
        <v>273</v>
      </c>
    </row>
    <row r="55" spans="1:9" ht="30" customHeight="1" x14ac:dyDescent="0.3">
      <c r="A55" s="33" t="str">
        <f t="shared" si="1"/>
        <v>PP rígido|Barreira / revestimento|EVOH ≤ 6% com compatibilizante</v>
      </c>
      <c r="B55" s="26" t="s">
        <v>241</v>
      </c>
      <c r="C55" s="26" t="s">
        <v>301</v>
      </c>
      <c r="D55" s="26" t="s">
        <v>304</v>
      </c>
      <c r="E55" s="26" t="s">
        <v>118</v>
      </c>
      <c r="F55" s="33" t="str">
        <f>CHOOSE(MATCH(E55,{"A","B","C","D","E","F"},0),"Totalmente compatível","Compatibilidade limitada","Compatibilidade limitada (afeta a qualidade)","Problemas significativos","Problemas graves","Não reciclável / não compatível")</f>
        <v>Compatibilidade limitada</v>
      </c>
      <c r="G55" s="29">
        <v>1</v>
      </c>
      <c r="H55" s="26" t="s">
        <v>305</v>
      </c>
      <c r="I55" s="26" t="s">
        <v>306</v>
      </c>
    </row>
    <row r="56" spans="1:9" ht="30" customHeight="1" x14ac:dyDescent="0.3">
      <c r="A56" s="33" t="str">
        <f t="shared" si="1"/>
        <v>PP rígido|Barreira / revestimento|Camada de outro polímero (PA, PET)</v>
      </c>
      <c r="B56" s="26" t="s">
        <v>241</v>
      </c>
      <c r="C56" s="26" t="s">
        <v>301</v>
      </c>
      <c r="D56" s="26" t="s">
        <v>307</v>
      </c>
      <c r="E56" s="26" t="s">
        <v>120</v>
      </c>
      <c r="F56" s="33" t="str">
        <f>CHOOSE(MATCH(E56,{"A","B","C","D","E","F"},0),"Totalmente compatível","Compatibilidade limitada","Compatibilidade limitada (afeta a qualidade)","Problemas significativos","Problemas graves","Não reciclável / não compatível")</f>
        <v>Problemas significativos</v>
      </c>
      <c r="G56" s="29">
        <v>1</v>
      </c>
      <c r="H56" s="26" t="s">
        <v>308</v>
      </c>
      <c r="I56" s="26" t="s">
        <v>309</v>
      </c>
    </row>
    <row r="57" spans="1:9" ht="30" customHeight="1" x14ac:dyDescent="0.3">
      <c r="A57" s="33" t="str">
        <f t="shared" si="1"/>
        <v>PP rígido|Material da tampa|Sem tampa</v>
      </c>
      <c r="B57" s="26" t="s">
        <v>241</v>
      </c>
      <c r="C57" s="26" t="s">
        <v>310</v>
      </c>
      <c r="D57" s="26" t="s">
        <v>311</v>
      </c>
      <c r="E57" s="26" t="s">
        <v>117</v>
      </c>
      <c r="F57" s="33" t="str">
        <f>CHOOSE(MATCH(E57,{"A","B","C","D","E","F"},0),"Totalmente compatível","Compatibilidade limitada","Compatibilidade limitada (afeta a qualidade)","Problemas significativos","Problemas graves","Não reciclável / não compatível")</f>
        <v>Totalmente compatível</v>
      </c>
      <c r="G57" s="29">
        <v>1</v>
      </c>
      <c r="H57" s="26" t="s">
        <v>312</v>
      </c>
      <c r="I57" s="26" t="s">
        <v>273</v>
      </c>
    </row>
    <row r="58" spans="1:9" ht="30" customHeight="1" x14ac:dyDescent="0.3">
      <c r="A58" s="33" t="str">
        <f t="shared" si="1"/>
        <v>PP rígido|Material da tampa|PE</v>
      </c>
      <c r="B58" s="26" t="s">
        <v>241</v>
      </c>
      <c r="C58" s="26" t="s">
        <v>310</v>
      </c>
      <c r="D58" s="26" t="s">
        <v>224</v>
      </c>
      <c r="E58" s="26" t="s">
        <v>117</v>
      </c>
      <c r="F58" s="33" t="str">
        <f>CHOOSE(MATCH(E58,{"A","B","C","D","E","F"},0),"Totalmente compatível","Compatibilidade limitada","Compatibilidade limitada (afeta a qualidade)","Problemas significativos","Problemas graves","Não reciclável / não compatível")</f>
        <v>Totalmente compatível</v>
      </c>
      <c r="G58" s="29">
        <v>1</v>
      </c>
      <c r="H58" s="26" t="s">
        <v>313</v>
      </c>
      <c r="I58" s="26" t="s">
        <v>273</v>
      </c>
    </row>
    <row r="59" spans="1:9" ht="30" customHeight="1" x14ac:dyDescent="0.3">
      <c r="A59" s="33" t="str">
        <f t="shared" si="1"/>
        <v>PP rígido|Material da tampa|PP</v>
      </c>
      <c r="B59" s="26" t="s">
        <v>241</v>
      </c>
      <c r="C59" s="26" t="s">
        <v>310</v>
      </c>
      <c r="D59" s="26" t="s">
        <v>240</v>
      </c>
      <c r="E59" s="26" t="s">
        <v>117</v>
      </c>
      <c r="F59" s="33" t="str">
        <f>CHOOSE(MATCH(E59,{"A","B","C","D","E","F"},0),"Totalmente compatível","Compatibilidade limitada","Compatibilidade limitada (afeta a qualidade)","Problemas significativos","Problemas graves","Não reciclável / não compatível")</f>
        <v>Totalmente compatível</v>
      </c>
      <c r="G59" s="29">
        <v>1</v>
      </c>
      <c r="H59" s="26" t="s">
        <v>314</v>
      </c>
      <c r="I59" s="26" t="s">
        <v>273</v>
      </c>
    </row>
    <row r="60" spans="1:9" ht="30" customHeight="1" x14ac:dyDescent="0.3">
      <c r="A60" s="33" t="str">
        <f t="shared" si="1"/>
        <v>PP rígido|Material da tampa|PETG</v>
      </c>
      <c r="B60" s="26" t="s">
        <v>241</v>
      </c>
      <c r="C60" s="26" t="s">
        <v>310</v>
      </c>
      <c r="D60" s="26" t="s">
        <v>255</v>
      </c>
      <c r="E60" s="26" t="s">
        <v>118</v>
      </c>
      <c r="F60" s="33" t="str">
        <f>CHOOSE(MATCH(E60,{"A","B","C","D","E","F"},0),"Totalmente compatível","Compatibilidade limitada","Compatibilidade limitada (afeta a qualidade)","Problemas significativos","Problemas graves","Não reciclável / não compatível")</f>
        <v>Compatibilidade limitada</v>
      </c>
      <c r="G60" s="29">
        <v>0</v>
      </c>
      <c r="H60" s="26" t="s">
        <v>315</v>
      </c>
      <c r="I60" s="26" t="s">
        <v>316</v>
      </c>
    </row>
    <row r="61" spans="1:9" ht="30" customHeight="1" x14ac:dyDescent="0.3">
      <c r="A61" s="33" t="str">
        <f t="shared" si="1"/>
        <v>PP rígido|Material da tampa|PET</v>
      </c>
      <c r="B61" s="26" t="s">
        <v>241</v>
      </c>
      <c r="C61" s="26" t="s">
        <v>310</v>
      </c>
      <c r="D61" s="26" t="s">
        <v>249</v>
      </c>
      <c r="E61" s="26" t="s">
        <v>118</v>
      </c>
      <c r="F61" s="33" t="str">
        <f>CHOOSE(MATCH(E61,{"A","B","C","D","E","F"},0),"Totalmente compatível","Compatibilidade limitada","Compatibilidade limitada (afeta a qualidade)","Problemas significativos","Problemas graves","Não reciclável / não compatível")</f>
        <v>Compatibilidade limitada</v>
      </c>
      <c r="G61" s="29">
        <v>0</v>
      </c>
      <c r="H61" s="26" t="s">
        <v>317</v>
      </c>
      <c r="I61" s="26" t="s">
        <v>316</v>
      </c>
    </row>
    <row r="62" spans="1:9" ht="30" customHeight="1" x14ac:dyDescent="0.3">
      <c r="A62" s="33" t="str">
        <f t="shared" si="1"/>
        <v>PP rígido|Vedante / liner|Sem vedante</v>
      </c>
      <c r="B62" s="26" t="s">
        <v>241</v>
      </c>
      <c r="C62" s="26" t="s">
        <v>318</v>
      </c>
      <c r="D62" s="26" t="s">
        <v>319</v>
      </c>
      <c r="E62" s="26" t="s">
        <v>117</v>
      </c>
      <c r="F62" s="33" t="str">
        <f>CHOOSE(MATCH(E62,{"A","B","C","D","E","F"},0),"Totalmente compatível","Compatibilidade limitada","Compatibilidade limitada (afeta a qualidade)","Problemas significativos","Problemas graves","Não reciclável / não compatível")</f>
        <v>Totalmente compatível</v>
      </c>
      <c r="G62" s="29">
        <v>1</v>
      </c>
      <c r="H62" s="26" t="s">
        <v>312</v>
      </c>
      <c r="I62" s="26" t="s">
        <v>273</v>
      </c>
    </row>
    <row r="63" spans="1:9" ht="30" customHeight="1" x14ac:dyDescent="0.3">
      <c r="A63" s="33" t="str">
        <f t="shared" si="1"/>
        <v>PP rígido|Vedante / liner|Vedante PE/EVA</v>
      </c>
      <c r="B63" s="26" t="s">
        <v>241</v>
      </c>
      <c r="C63" s="26" t="s">
        <v>318</v>
      </c>
      <c r="D63" s="26" t="s">
        <v>320</v>
      </c>
      <c r="E63" s="26" t="s">
        <v>117</v>
      </c>
      <c r="F63" s="33" t="str">
        <f>CHOOSE(MATCH(E63,{"A","B","C","D","E","F"},0),"Totalmente compatível","Compatibilidade limitada","Compatibilidade limitada (afeta a qualidade)","Problemas significativos","Problemas graves","Não reciclável / não compatível")</f>
        <v>Totalmente compatível</v>
      </c>
      <c r="G63" s="29">
        <v>1</v>
      </c>
      <c r="H63" s="26" t="s">
        <v>321</v>
      </c>
      <c r="I63" s="26" t="s">
        <v>273</v>
      </c>
    </row>
    <row r="64" spans="1:9" ht="30" customHeight="1" x14ac:dyDescent="0.3">
      <c r="A64" s="33" t="str">
        <f t="shared" si="1"/>
        <v>PP rígido|Vedante / liner|Válvula de silicone</v>
      </c>
      <c r="B64" s="26" t="s">
        <v>241</v>
      </c>
      <c r="C64" s="26" t="s">
        <v>318</v>
      </c>
      <c r="D64" s="26" t="s">
        <v>322</v>
      </c>
      <c r="E64" s="26" t="s">
        <v>119</v>
      </c>
      <c r="F64" s="33" t="str">
        <f>CHOOSE(MATCH(E64,{"A","B","C","D","E","F"},0),"Totalmente compatível","Compatibilidade limitada","Compatibilidade limitada (afeta a qualidade)","Problemas significativos","Problemas graves","Não reciclável / não compatível")</f>
        <v>Compatibilidade limitada (afeta a qualidade)</v>
      </c>
      <c r="G64" s="29">
        <v>1</v>
      </c>
      <c r="H64" s="26" t="s">
        <v>323</v>
      </c>
      <c r="I64" s="26" t="s">
        <v>324</v>
      </c>
    </row>
    <row r="65" spans="1:9" ht="30" customHeight="1" x14ac:dyDescent="0.3">
      <c r="A65" s="33" t="str">
        <f t="shared" si="1"/>
        <v>PP rígido|Tipo de rótulo|Sem rótulo</v>
      </c>
      <c r="B65" s="26" t="s">
        <v>241</v>
      </c>
      <c r="C65" s="26" t="s">
        <v>325</v>
      </c>
      <c r="D65" s="26" t="s">
        <v>326</v>
      </c>
      <c r="E65" s="26" t="s">
        <v>117</v>
      </c>
      <c r="F65" s="33" t="str">
        <f>CHOOSE(MATCH(E65,{"A","B","C","D","E","F"},0),"Totalmente compatível","Compatibilidade limitada","Compatibilidade limitada (afeta a qualidade)","Problemas significativos","Problemas graves","Não reciclável / não compatível")</f>
        <v>Totalmente compatível</v>
      </c>
      <c r="G65" s="29">
        <v>1</v>
      </c>
      <c r="H65" s="26" t="s">
        <v>312</v>
      </c>
      <c r="I65" s="26" t="s">
        <v>273</v>
      </c>
    </row>
    <row r="66" spans="1:9" ht="30" customHeight="1" x14ac:dyDescent="0.3">
      <c r="A66" s="33" t="str">
        <f t="shared" si="1"/>
        <v>PP rígido|Tipo de rótulo|Autoadesivo PE/PP</v>
      </c>
      <c r="B66" s="26" t="s">
        <v>241</v>
      </c>
      <c r="C66" s="26" t="s">
        <v>325</v>
      </c>
      <c r="D66" s="26" t="s">
        <v>327</v>
      </c>
      <c r="E66" s="26" t="s">
        <v>117</v>
      </c>
      <c r="F66" s="33" t="str">
        <f>CHOOSE(MATCH(E66,{"A","B","C","D","E","F"},0),"Totalmente compatível","Compatibilidade limitada","Compatibilidade limitada (afeta a qualidade)","Problemas significativos","Problemas graves","Não reciclável / não compatível")</f>
        <v>Totalmente compatível</v>
      </c>
      <c r="G66" s="29">
        <v>1</v>
      </c>
      <c r="H66" s="26" t="s">
        <v>328</v>
      </c>
      <c r="I66" s="26" t="s">
        <v>273</v>
      </c>
    </row>
    <row r="67" spans="1:9" ht="30" customHeight="1" x14ac:dyDescent="0.3">
      <c r="A67" s="33" t="str">
        <f t="shared" si="1"/>
        <v>PP rígido|Tipo de rótulo|In-mould PE/PP</v>
      </c>
      <c r="B67" s="26" t="s">
        <v>241</v>
      </c>
      <c r="C67" s="26" t="s">
        <v>325</v>
      </c>
      <c r="D67" s="26" t="s">
        <v>329</v>
      </c>
      <c r="E67" s="26" t="s">
        <v>117</v>
      </c>
      <c r="F67" s="33" t="str">
        <f>CHOOSE(MATCH(E67,{"A","B","C","D","E","F"},0),"Totalmente compatível","Compatibilidade limitada","Compatibilidade limitada (afeta a qualidade)","Problemas significativos","Problemas graves","Não reciclável / não compatível")</f>
        <v>Totalmente compatível</v>
      </c>
      <c r="G67" s="29">
        <v>1</v>
      </c>
      <c r="H67" s="26" t="s">
        <v>330</v>
      </c>
      <c r="I67" s="26" t="s">
        <v>273</v>
      </c>
    </row>
    <row r="68" spans="1:9" ht="30" customHeight="1" x14ac:dyDescent="0.3">
      <c r="A68" s="33" t="str">
        <f t="shared" si="1"/>
        <v>PP rígido|Tipo de rótulo|Autoadesivo PET</v>
      </c>
      <c r="B68" s="26" t="s">
        <v>241</v>
      </c>
      <c r="C68" s="26" t="s">
        <v>325</v>
      </c>
      <c r="D68" s="26" t="s">
        <v>331</v>
      </c>
      <c r="E68" s="26" t="s">
        <v>118</v>
      </c>
      <c r="F68" s="33" t="str">
        <f>CHOOSE(MATCH(E68,{"A","B","C","D","E","F"},0),"Totalmente compatível","Compatibilidade limitada","Compatibilidade limitada (afeta a qualidade)","Problemas significativos","Problemas graves","Não reciclável / não compatível")</f>
        <v>Compatibilidade limitada</v>
      </c>
      <c r="G68" s="29">
        <v>0</v>
      </c>
      <c r="H68" s="26" t="s">
        <v>332</v>
      </c>
      <c r="I68" s="26" t="s">
        <v>333</v>
      </c>
    </row>
    <row r="69" spans="1:9" ht="30" customHeight="1" x14ac:dyDescent="0.3">
      <c r="A69" s="33" t="str">
        <f t="shared" ref="A69:A100" si="2">B69&amp;"|"&amp;C69&amp;"|"&amp;D69</f>
        <v>PP rígido|Tipo de rótulo|Autoadesivo papel</v>
      </c>
      <c r="B69" s="26" t="s">
        <v>241</v>
      </c>
      <c r="C69" s="26" t="s">
        <v>325</v>
      </c>
      <c r="D69" s="26" t="s">
        <v>334</v>
      </c>
      <c r="E69" s="26" t="s">
        <v>119</v>
      </c>
      <c r="F69" s="33" t="str">
        <f>CHOOSE(MATCH(E69,{"A","B","C","D","E","F"},0),"Totalmente compatível","Compatibilidade limitada","Compatibilidade limitada (afeta a qualidade)","Problemas significativos","Problemas graves","Não reciclável / não compatível")</f>
        <v>Compatibilidade limitada (afeta a qualidade)</v>
      </c>
      <c r="G69" s="29">
        <v>0</v>
      </c>
      <c r="H69" s="26" t="s">
        <v>335</v>
      </c>
      <c r="I69" s="26" t="s">
        <v>333</v>
      </c>
    </row>
    <row r="70" spans="1:9" ht="30" customHeight="1" x14ac:dyDescent="0.3">
      <c r="A70" s="33" t="str">
        <f t="shared" si="2"/>
        <v>PP rígido|Tipo de rótulo|Manga termorretrátil PETG</v>
      </c>
      <c r="B70" s="26" t="s">
        <v>241</v>
      </c>
      <c r="C70" s="26" t="s">
        <v>325</v>
      </c>
      <c r="D70" s="26" t="s">
        <v>336</v>
      </c>
      <c r="E70" s="26" t="s">
        <v>119</v>
      </c>
      <c r="F70" s="33" t="str">
        <f>CHOOSE(MATCH(E70,{"A","B","C","D","E","F"},0),"Totalmente compatível","Compatibilidade limitada","Compatibilidade limitada (afeta a qualidade)","Problemas significativos","Problemas graves","Não reciclável / não compatível")</f>
        <v>Compatibilidade limitada (afeta a qualidade)</v>
      </c>
      <c r="G70" s="29">
        <v>0</v>
      </c>
      <c r="H70" s="26" t="s">
        <v>337</v>
      </c>
      <c r="I70" s="26" t="s">
        <v>338</v>
      </c>
    </row>
    <row r="71" spans="1:9" ht="30" customHeight="1" x14ac:dyDescent="0.3">
      <c r="A71" s="33" t="str">
        <f t="shared" si="2"/>
        <v>PP rígido|Adesivo do rótulo|Sem adesivo</v>
      </c>
      <c r="B71" s="26" t="s">
        <v>241</v>
      </c>
      <c r="C71" s="26" t="s">
        <v>339</v>
      </c>
      <c r="D71" s="26" t="s">
        <v>340</v>
      </c>
      <c r="E71" s="26" t="s">
        <v>117</v>
      </c>
      <c r="F71" s="33" t="str">
        <f>CHOOSE(MATCH(E71,{"A","B","C","D","E","F"},0),"Totalmente compatível","Compatibilidade limitada","Compatibilidade limitada (afeta a qualidade)","Problemas significativos","Problemas graves","Não reciclável / não compatível")</f>
        <v>Totalmente compatível</v>
      </c>
      <c r="G71" s="29">
        <v>1</v>
      </c>
      <c r="H71" s="26" t="s">
        <v>341</v>
      </c>
      <c r="I71" s="26" t="s">
        <v>273</v>
      </c>
    </row>
    <row r="72" spans="1:9" ht="30" customHeight="1" x14ac:dyDescent="0.3">
      <c r="A72" s="33" t="str">
        <f t="shared" si="2"/>
        <v>PP rígido|Adesivo do rótulo|Acrílico permanente</v>
      </c>
      <c r="B72" s="26" t="s">
        <v>241</v>
      </c>
      <c r="C72" s="26" t="s">
        <v>339</v>
      </c>
      <c r="D72" s="26" t="s">
        <v>342</v>
      </c>
      <c r="E72" s="26" t="s">
        <v>117</v>
      </c>
      <c r="F72" s="33" t="str">
        <f>CHOOSE(MATCH(E72,{"A","B","C","D","E","F"},0),"Totalmente compatível","Compatibilidade limitada","Compatibilidade limitada (afeta a qualidade)","Problemas significativos","Problemas graves","Não reciclável / não compatível")</f>
        <v>Totalmente compatível</v>
      </c>
      <c r="G72" s="29">
        <v>1</v>
      </c>
      <c r="H72" s="26" t="s">
        <v>341</v>
      </c>
      <c r="I72" s="26" t="s">
        <v>273</v>
      </c>
    </row>
    <row r="73" spans="1:9" ht="30" customHeight="1" x14ac:dyDescent="0.3">
      <c r="A73" s="33" t="str">
        <f t="shared" si="2"/>
        <v>PP rígido|Adesivo do rótulo|Lavável a 80 °C (alcalino)</v>
      </c>
      <c r="B73" s="26" t="s">
        <v>241</v>
      </c>
      <c r="C73" s="26" t="s">
        <v>339</v>
      </c>
      <c r="D73" s="26" t="s">
        <v>343</v>
      </c>
      <c r="E73" s="26" t="s">
        <v>117</v>
      </c>
      <c r="F73" s="33" t="str">
        <f>CHOOSE(MATCH(E73,{"A","B","C","D","E","F"},0),"Totalmente compatível","Compatibilidade limitada","Compatibilidade limitada (afeta a qualidade)","Problemas significativos","Problemas graves","Não reciclável / não compatível")</f>
        <v>Totalmente compatível</v>
      </c>
      <c r="G73" s="29">
        <v>1</v>
      </c>
      <c r="H73" s="26" t="s">
        <v>341</v>
      </c>
      <c r="I73" s="26" t="s">
        <v>273</v>
      </c>
    </row>
    <row r="74" spans="1:9" ht="30" customHeight="1" x14ac:dyDescent="0.3">
      <c r="A74" s="33" t="str">
        <f t="shared" si="2"/>
        <v>PP rígido|Adesivo do rótulo|Hot-melt</v>
      </c>
      <c r="B74" s="26" t="s">
        <v>241</v>
      </c>
      <c r="C74" s="26" t="s">
        <v>339</v>
      </c>
      <c r="D74" s="26" t="s">
        <v>344</v>
      </c>
      <c r="E74" s="26" t="s">
        <v>117</v>
      </c>
      <c r="F74" s="33" t="str">
        <f>CHOOSE(MATCH(E74,{"A","B","C","D","E","F"},0),"Totalmente compatível","Compatibilidade limitada","Compatibilidade limitada (afeta a qualidade)","Problemas significativos","Problemas graves","Não reciclável / não compatível")</f>
        <v>Totalmente compatível</v>
      </c>
      <c r="G74" s="29">
        <v>1</v>
      </c>
      <c r="H74" s="26" t="s">
        <v>341</v>
      </c>
      <c r="I74" s="26" t="s">
        <v>273</v>
      </c>
    </row>
    <row r="75" spans="1:9" ht="30" customHeight="1" x14ac:dyDescent="0.3">
      <c r="A75" s="33" t="str">
        <f t="shared" si="2"/>
        <v>PP rígido|Cobertura do rótulo|≤ 70% da superfície</v>
      </c>
      <c r="B75" s="26" t="s">
        <v>241</v>
      </c>
      <c r="C75" s="26" t="s">
        <v>345</v>
      </c>
      <c r="D75" s="26" t="s">
        <v>346</v>
      </c>
      <c r="E75" s="26" t="s">
        <v>117</v>
      </c>
      <c r="F75" s="33" t="str">
        <f>CHOOSE(MATCH(E75,{"A","B","C","D","E","F"},0),"Totalmente compatível","Compatibilidade limitada","Compatibilidade limitada (afeta a qualidade)","Problemas significativos","Problemas graves","Não reciclável / não compatível")</f>
        <v>Totalmente compatível</v>
      </c>
      <c r="G75" s="29">
        <v>1</v>
      </c>
      <c r="H75" s="26" t="s">
        <v>347</v>
      </c>
      <c r="I75" s="26" t="s">
        <v>273</v>
      </c>
    </row>
    <row r="76" spans="1:9" ht="30" customHeight="1" x14ac:dyDescent="0.3">
      <c r="A76" s="33" t="str">
        <f t="shared" si="2"/>
        <v>PP rígido|Cobertura do rótulo|&gt; 70% da superfície</v>
      </c>
      <c r="B76" s="26" t="s">
        <v>241</v>
      </c>
      <c r="C76" s="26" t="s">
        <v>345</v>
      </c>
      <c r="D76" s="26" t="s">
        <v>348</v>
      </c>
      <c r="E76" s="26" t="s">
        <v>117</v>
      </c>
      <c r="F76" s="33" t="str">
        <f>CHOOSE(MATCH(E76,{"A","B","C","D","E","F"},0),"Totalmente compatível","Compatibilidade limitada","Compatibilidade limitada (afeta a qualidade)","Problemas significativos","Problemas graves","Não reciclável / não compatível")</f>
        <v>Totalmente compatível</v>
      </c>
      <c r="G76" s="29">
        <v>1</v>
      </c>
      <c r="H76" s="26" t="s">
        <v>347</v>
      </c>
      <c r="I76" s="26" t="s">
        <v>273</v>
      </c>
    </row>
    <row r="77" spans="1:9" ht="30" customHeight="1" x14ac:dyDescent="0.3">
      <c r="A77" s="33" t="str">
        <f t="shared" si="2"/>
        <v>PP rígido|Decoração direta|Nenhuma</v>
      </c>
      <c r="B77" s="26" t="s">
        <v>241</v>
      </c>
      <c r="C77" s="26" t="s">
        <v>349</v>
      </c>
      <c r="D77" s="26" t="s">
        <v>302</v>
      </c>
      <c r="E77" s="26" t="s">
        <v>117</v>
      </c>
      <c r="F77" s="33" t="str">
        <f>CHOOSE(MATCH(E77,{"A","B","C","D","E","F"},0),"Totalmente compatível","Compatibilidade limitada","Compatibilidade limitada (afeta a qualidade)","Problemas significativos","Problemas graves","Não reciclável / não compatível")</f>
        <v>Totalmente compatível</v>
      </c>
      <c r="G77" s="29">
        <v>1</v>
      </c>
      <c r="H77" s="26" t="s">
        <v>350</v>
      </c>
      <c r="I77" s="26" t="s">
        <v>273</v>
      </c>
    </row>
    <row r="78" spans="1:9" ht="30" customHeight="1" x14ac:dyDescent="0.3">
      <c r="A78" s="33" t="str">
        <f t="shared" si="2"/>
        <v>PP rígido|Decoração direta|Impressão de lote/data</v>
      </c>
      <c r="B78" s="26" t="s">
        <v>241</v>
      </c>
      <c r="C78" s="26" t="s">
        <v>349</v>
      </c>
      <c r="D78" s="26" t="s">
        <v>351</v>
      </c>
      <c r="E78" s="26" t="s">
        <v>117</v>
      </c>
      <c r="F78" s="33" t="str">
        <f>CHOOSE(MATCH(E78,{"A","B","C","D","E","F"},0),"Totalmente compatível","Compatibilidade limitada","Compatibilidade limitada (afeta a qualidade)","Problemas significativos","Problemas graves","Não reciclável / não compatível")</f>
        <v>Totalmente compatível</v>
      </c>
      <c r="G78" s="29">
        <v>1</v>
      </c>
      <c r="H78" s="26" t="s">
        <v>352</v>
      </c>
      <c r="I78" s="26" t="s">
        <v>273</v>
      </c>
    </row>
    <row r="79" spans="1:9" ht="30" customHeight="1" x14ac:dyDescent="0.3">
      <c r="A79" s="33" t="str">
        <f t="shared" si="2"/>
        <v>PP rígido|Decoração direta|Serigrafia 1–2 cores</v>
      </c>
      <c r="B79" s="26" t="s">
        <v>241</v>
      </c>
      <c r="C79" s="26" t="s">
        <v>349</v>
      </c>
      <c r="D79" s="26" t="s">
        <v>353</v>
      </c>
      <c r="E79" s="26" t="s">
        <v>118</v>
      </c>
      <c r="F79" s="33" t="str">
        <f>CHOOSE(MATCH(E79,{"A","B","C","D","E","F"},0),"Totalmente compatível","Compatibilidade limitada","Compatibilidade limitada (afeta a qualidade)","Problemas significativos","Problemas graves","Não reciclável / não compatível")</f>
        <v>Compatibilidade limitada</v>
      </c>
      <c r="G79" s="29">
        <v>0</v>
      </c>
      <c r="H79" s="26" t="s">
        <v>354</v>
      </c>
      <c r="I79" s="26" t="s">
        <v>355</v>
      </c>
    </row>
    <row r="80" spans="1:9" ht="30" customHeight="1" x14ac:dyDescent="0.3">
      <c r="A80" s="33" t="str">
        <f t="shared" si="2"/>
        <v>PP rígido|Decoração direta|Serigrafia ≥ 3 cores</v>
      </c>
      <c r="B80" s="26" t="s">
        <v>241</v>
      </c>
      <c r="C80" s="26" t="s">
        <v>349</v>
      </c>
      <c r="D80" s="26" t="s">
        <v>356</v>
      </c>
      <c r="E80" s="26" t="s">
        <v>119</v>
      </c>
      <c r="F80" s="33" t="str">
        <f>CHOOSE(MATCH(E80,{"A","B","C","D","E","F"},0),"Totalmente compatível","Compatibilidade limitada","Compatibilidade limitada (afeta a qualidade)","Problemas significativos","Problemas graves","Não reciclável / não compatível")</f>
        <v>Compatibilidade limitada (afeta a qualidade)</v>
      </c>
      <c r="G80" s="29">
        <v>0</v>
      </c>
      <c r="H80" s="26" t="s">
        <v>357</v>
      </c>
      <c r="I80" s="26" t="s">
        <v>358</v>
      </c>
    </row>
    <row r="81" spans="1:9" ht="30" customHeight="1" x14ac:dyDescent="0.3">
      <c r="A81" s="33" t="str">
        <f t="shared" si="2"/>
        <v>PP rígido|Decoração direta|Hot foil metalizado</v>
      </c>
      <c r="B81" s="26" t="s">
        <v>241</v>
      </c>
      <c r="C81" s="26" t="s">
        <v>349</v>
      </c>
      <c r="D81" s="26" t="s">
        <v>359</v>
      </c>
      <c r="E81" s="26" t="s">
        <v>119</v>
      </c>
      <c r="F81" s="33" t="str">
        <f>CHOOSE(MATCH(E81,{"A","B","C","D","E","F"},0),"Totalmente compatível","Compatibilidade limitada","Compatibilidade limitada (afeta a qualidade)","Problemas significativos","Problemas graves","Não reciclável / não compatível")</f>
        <v>Compatibilidade limitada (afeta a qualidade)</v>
      </c>
      <c r="G81" s="29">
        <v>0</v>
      </c>
      <c r="H81" s="26" t="s">
        <v>360</v>
      </c>
      <c r="I81" s="26" t="s">
        <v>361</v>
      </c>
    </row>
    <row r="82" spans="1:9" ht="30" customHeight="1" x14ac:dyDescent="0.3">
      <c r="A82" s="33" t="str">
        <f t="shared" si="2"/>
        <v>PET frascos e garrafas|Cor do corpo|Natural / incolor</v>
      </c>
      <c r="B82" s="26" t="s">
        <v>250</v>
      </c>
      <c r="C82" s="26" t="s">
        <v>278</v>
      </c>
      <c r="D82" s="26" t="s">
        <v>279</v>
      </c>
      <c r="E82" s="26" t="s">
        <v>117</v>
      </c>
      <c r="F82" s="33" t="str">
        <f>CHOOSE(MATCH(E82,{"A","B","C","D","E","F"},0),"Totalmente compatível","Compatibilidade limitada","Compatibilidade limitada (afeta a qualidade)","Problemas significativos","Problemas graves","Não reciclável / não compatível")</f>
        <v>Totalmente compatível</v>
      </c>
      <c r="G82" s="29">
        <v>1</v>
      </c>
      <c r="H82" s="26" t="s">
        <v>364</v>
      </c>
      <c r="I82" s="26" t="s">
        <v>273</v>
      </c>
    </row>
    <row r="83" spans="1:9" ht="30" customHeight="1" x14ac:dyDescent="0.3">
      <c r="A83" s="33" t="str">
        <f t="shared" si="2"/>
        <v>PET frascos e garrafas|Cor do corpo|Colorido (claro ou transparente)</v>
      </c>
      <c r="B83" s="26" t="s">
        <v>250</v>
      </c>
      <c r="C83" s="26" t="s">
        <v>278</v>
      </c>
      <c r="D83" s="26" t="s">
        <v>283</v>
      </c>
      <c r="E83" s="26" t="s">
        <v>118</v>
      </c>
      <c r="F83" s="33" t="str">
        <f>CHOOSE(MATCH(E83,{"A","B","C","D","E","F"},0),"Totalmente compatível","Compatibilidade limitada","Compatibilidade limitada (afeta a qualidade)","Problemas significativos","Problemas graves","Não reciclável / não compatível")</f>
        <v>Compatibilidade limitada</v>
      </c>
      <c r="G83" s="29">
        <v>1</v>
      </c>
      <c r="H83" s="26" t="s">
        <v>365</v>
      </c>
      <c r="I83" s="26" t="s">
        <v>366</v>
      </c>
    </row>
    <row r="84" spans="1:9" ht="30" customHeight="1" x14ac:dyDescent="0.3">
      <c r="A84" s="33" t="str">
        <f t="shared" si="2"/>
        <v>PET frascos e garrafas|Cor do corpo|Colorido escuro / opaco</v>
      </c>
      <c r="B84" s="26" t="s">
        <v>250</v>
      </c>
      <c r="C84" s="26" t="s">
        <v>278</v>
      </c>
      <c r="D84" s="26" t="s">
        <v>286</v>
      </c>
      <c r="E84" s="26" t="s">
        <v>120</v>
      </c>
      <c r="F84" s="33" t="str">
        <f>CHOOSE(MATCH(E84,{"A","B","C","D","E","F"},0),"Totalmente compatível","Compatibilidade limitada","Compatibilidade limitada (afeta a qualidade)","Problemas significativos","Problemas graves","Não reciclável / não compatível")</f>
        <v>Problemas significativos</v>
      </c>
      <c r="G84" s="29">
        <v>1</v>
      </c>
      <c r="H84" s="26" t="s">
        <v>367</v>
      </c>
      <c r="I84" s="26" t="s">
        <v>368</v>
      </c>
    </row>
    <row r="85" spans="1:9" ht="30" customHeight="1" x14ac:dyDescent="0.3">
      <c r="A85" s="33" t="str">
        <f t="shared" si="2"/>
        <v>PET frascos e garrafas|Cor do corpo|Branco (TiO2)</v>
      </c>
      <c r="B85" s="26" t="s">
        <v>250</v>
      </c>
      <c r="C85" s="26" t="s">
        <v>278</v>
      </c>
      <c r="D85" s="26" t="s">
        <v>281</v>
      </c>
      <c r="E85" s="26" t="s">
        <v>120</v>
      </c>
      <c r="F85" s="33" t="str">
        <f>CHOOSE(MATCH(E85,{"A","B","C","D","E","F"},0),"Totalmente compatível","Compatibilidade limitada","Compatibilidade limitada (afeta a qualidade)","Problemas significativos","Problemas graves","Não reciclável / não compatível")</f>
        <v>Problemas significativos</v>
      </c>
      <c r="G85" s="29">
        <v>1</v>
      </c>
      <c r="H85" s="26" t="s">
        <v>369</v>
      </c>
      <c r="I85" s="26" t="s">
        <v>370</v>
      </c>
    </row>
    <row r="86" spans="1:9" ht="30" customHeight="1" x14ac:dyDescent="0.3">
      <c r="A86" s="33" t="str">
        <f t="shared" si="2"/>
        <v>PET frascos e garrafas|Cor do corpo|Preto (negro de carbono)</v>
      </c>
      <c r="B86" s="26" t="s">
        <v>250</v>
      </c>
      <c r="C86" s="26" t="s">
        <v>278</v>
      </c>
      <c r="D86" s="26" t="s">
        <v>289</v>
      </c>
      <c r="E86" s="26" t="s">
        <v>122</v>
      </c>
      <c r="F86" s="33" t="str">
        <f>CHOOSE(MATCH(E86,{"A","B","C","D","E","F"},0),"Totalmente compatível","Compatibilidade limitada","Compatibilidade limitada (afeta a qualidade)","Problemas significativos","Problemas graves","Não reciclável / não compatível")</f>
        <v>Não reciclável / não compatível</v>
      </c>
      <c r="G86" s="29">
        <v>0</v>
      </c>
      <c r="H86" s="26" t="s">
        <v>371</v>
      </c>
      <c r="I86" s="26" t="s">
        <v>372</v>
      </c>
    </row>
    <row r="87" spans="1:9" ht="30" customHeight="1" x14ac:dyDescent="0.3">
      <c r="A87" s="33" t="str">
        <f t="shared" si="2"/>
        <v>PET frascos e garrafas|Cor do corpo|Preto detetável por NIR</v>
      </c>
      <c r="B87" s="26" t="s">
        <v>250</v>
      </c>
      <c r="C87" s="26" t="s">
        <v>278</v>
      </c>
      <c r="D87" s="26" t="s">
        <v>292</v>
      </c>
      <c r="E87" s="26" t="s">
        <v>120</v>
      </c>
      <c r="F87" s="33" t="str">
        <f>CHOOSE(MATCH(E87,{"A","B","C","D","E","F"},0),"Totalmente compatível","Compatibilidade limitada","Compatibilidade limitada (afeta a qualidade)","Problemas significativos","Problemas graves","Não reciclável / não compatível")</f>
        <v>Problemas significativos</v>
      </c>
      <c r="G87" s="29">
        <v>1</v>
      </c>
      <c r="H87" s="26" t="s">
        <v>373</v>
      </c>
      <c r="I87" s="26" t="s">
        <v>374</v>
      </c>
    </row>
    <row r="88" spans="1:9" ht="30" customHeight="1" x14ac:dyDescent="0.3">
      <c r="A88" s="33" t="str">
        <f t="shared" si="2"/>
        <v>PET frascos e garrafas|Densidade do corpo|≥ 1,0 g/cm³</v>
      </c>
      <c r="B88" s="26" t="s">
        <v>250</v>
      </c>
      <c r="C88" s="26" t="s">
        <v>295</v>
      </c>
      <c r="D88" s="26" t="s">
        <v>298</v>
      </c>
      <c r="E88" s="26" t="s">
        <v>117</v>
      </c>
      <c r="F88" s="33" t="str">
        <f>CHOOSE(MATCH(E88,{"A","B","C","D","E","F"},0),"Totalmente compatível","Compatibilidade limitada","Compatibilidade limitada (afeta a qualidade)","Problemas significativos","Problemas graves","Não reciclável / não compatível")</f>
        <v>Totalmente compatível</v>
      </c>
      <c r="G88" s="29">
        <v>1</v>
      </c>
      <c r="H88" s="26" t="s">
        <v>375</v>
      </c>
      <c r="I88" s="26" t="s">
        <v>273</v>
      </c>
    </row>
    <row r="89" spans="1:9" ht="30" customHeight="1" x14ac:dyDescent="0.3">
      <c r="A89" s="33" t="str">
        <f t="shared" si="2"/>
        <v>PET frascos e garrafas|Densidade do corpo|&lt; 1,0 g/cm³</v>
      </c>
      <c r="B89" s="26" t="s">
        <v>250</v>
      </c>
      <c r="C89" s="26" t="s">
        <v>295</v>
      </c>
      <c r="D89" s="26" t="s">
        <v>296</v>
      </c>
      <c r="E89" s="26" t="s">
        <v>120</v>
      </c>
      <c r="F89" s="33" t="str">
        <f>CHOOSE(MATCH(E89,{"A","B","C","D","E","F"},0),"Totalmente compatível","Compatibilidade limitada","Compatibilidade limitada (afeta a qualidade)","Problemas significativos","Problemas graves","Não reciclável / não compatível")</f>
        <v>Problemas significativos</v>
      </c>
      <c r="G89" s="29">
        <v>1</v>
      </c>
      <c r="H89" s="26" t="s">
        <v>376</v>
      </c>
      <c r="I89" s="26" t="s">
        <v>377</v>
      </c>
    </row>
    <row r="90" spans="1:9" ht="30" customHeight="1" x14ac:dyDescent="0.3">
      <c r="A90" s="33" t="str">
        <f t="shared" si="2"/>
        <v>PET frascos e garrafas|Barreira / revestimento|Nenhuma</v>
      </c>
      <c r="B90" s="26" t="s">
        <v>250</v>
      </c>
      <c r="C90" s="26" t="s">
        <v>301</v>
      </c>
      <c r="D90" s="26" t="s">
        <v>302</v>
      </c>
      <c r="E90" s="26" t="s">
        <v>117</v>
      </c>
      <c r="F90" s="33" t="str">
        <f>CHOOSE(MATCH(E90,{"A","B","C","D","E","F"},0),"Totalmente compatível","Compatibilidade limitada","Compatibilidade limitada (afeta a qualidade)","Problemas significativos","Problemas graves","Não reciclável / não compatível")</f>
        <v>Totalmente compatível</v>
      </c>
      <c r="G90" s="29">
        <v>1</v>
      </c>
      <c r="H90" s="26" t="s">
        <v>378</v>
      </c>
      <c r="I90" s="26" t="s">
        <v>273</v>
      </c>
    </row>
    <row r="91" spans="1:9" ht="30" customHeight="1" x14ac:dyDescent="0.3">
      <c r="A91" s="33" t="str">
        <f t="shared" si="2"/>
        <v>PET frascos e garrafas|Barreira / revestimento|Revestimento SiOx (plasma)</v>
      </c>
      <c r="B91" s="26" t="s">
        <v>250</v>
      </c>
      <c r="C91" s="26" t="s">
        <v>301</v>
      </c>
      <c r="D91" s="26" t="s">
        <v>379</v>
      </c>
      <c r="E91" s="26" t="s">
        <v>117</v>
      </c>
      <c r="F91" s="33" t="str">
        <f>CHOOSE(MATCH(E91,{"A","B","C","D","E","F"},0),"Totalmente compatível","Compatibilidade limitada","Compatibilidade limitada (afeta a qualidade)","Problemas significativos","Problemas graves","Não reciclável / não compatível")</f>
        <v>Totalmente compatível</v>
      </c>
      <c r="G91" s="29">
        <v>1</v>
      </c>
      <c r="H91" s="26" t="s">
        <v>380</v>
      </c>
      <c r="I91" s="26" t="s">
        <v>273</v>
      </c>
    </row>
    <row r="92" spans="1:9" ht="30" customHeight="1" x14ac:dyDescent="0.3">
      <c r="A92" s="33" t="str">
        <f t="shared" si="2"/>
        <v>PET frascos e garrafas|Barreira / revestimento|Camada de outro polímero (PA, PET)</v>
      </c>
      <c r="B92" s="26" t="s">
        <v>250</v>
      </c>
      <c r="C92" s="26" t="s">
        <v>301</v>
      </c>
      <c r="D92" s="26" t="s">
        <v>307</v>
      </c>
      <c r="E92" s="26" t="s">
        <v>119</v>
      </c>
      <c r="F92" s="33" t="str">
        <f>CHOOSE(MATCH(E92,{"A","B","C","D","E","F"},0),"Totalmente compatível","Compatibilidade limitada","Compatibilidade limitada (afeta a qualidade)","Problemas significativos","Problemas graves","Não reciclável / não compatível")</f>
        <v>Compatibilidade limitada (afeta a qualidade)</v>
      </c>
      <c r="G92" s="29">
        <v>1</v>
      </c>
      <c r="H92" s="26" t="s">
        <v>381</v>
      </c>
      <c r="I92" s="26" t="s">
        <v>382</v>
      </c>
    </row>
    <row r="93" spans="1:9" ht="30" customHeight="1" x14ac:dyDescent="0.3">
      <c r="A93" s="33" t="str">
        <f t="shared" si="2"/>
        <v>PET frascos e garrafas|Material da tampa|Sem tampa</v>
      </c>
      <c r="B93" s="26" t="s">
        <v>250</v>
      </c>
      <c r="C93" s="26" t="s">
        <v>310</v>
      </c>
      <c r="D93" s="26" t="s">
        <v>311</v>
      </c>
      <c r="E93" s="26" t="s">
        <v>117</v>
      </c>
      <c r="F93" s="33" t="str">
        <f>CHOOSE(MATCH(E93,{"A","B","C","D","E","F"},0),"Totalmente compatível","Compatibilidade limitada","Compatibilidade limitada (afeta a qualidade)","Problemas significativos","Problemas graves","Não reciclável / não compatível")</f>
        <v>Totalmente compatível</v>
      </c>
      <c r="G93" s="29">
        <v>1</v>
      </c>
      <c r="H93" s="26" t="s">
        <v>312</v>
      </c>
      <c r="I93" s="26" t="s">
        <v>273</v>
      </c>
    </row>
    <row r="94" spans="1:9" ht="30" customHeight="1" x14ac:dyDescent="0.3">
      <c r="A94" s="33" t="str">
        <f t="shared" si="2"/>
        <v>PET frascos e garrafas|Material da tampa|PE</v>
      </c>
      <c r="B94" s="26" t="s">
        <v>250</v>
      </c>
      <c r="C94" s="26" t="s">
        <v>310</v>
      </c>
      <c r="D94" s="26" t="s">
        <v>224</v>
      </c>
      <c r="E94" s="26" t="s">
        <v>117</v>
      </c>
      <c r="F94" s="33" t="str">
        <f>CHOOSE(MATCH(E94,{"A","B","C","D","E","F"},0),"Totalmente compatível","Compatibilidade limitada","Compatibilidade limitada (afeta a qualidade)","Problemas significativos","Problemas graves","Não reciclável / não compatível")</f>
        <v>Totalmente compatível</v>
      </c>
      <c r="G94" s="29">
        <v>1</v>
      </c>
      <c r="H94" s="26" t="s">
        <v>383</v>
      </c>
      <c r="I94" s="26" t="s">
        <v>273</v>
      </c>
    </row>
    <row r="95" spans="1:9" ht="30" customHeight="1" x14ac:dyDescent="0.3">
      <c r="A95" s="33" t="str">
        <f t="shared" si="2"/>
        <v>PET frascos e garrafas|Material da tampa|PP</v>
      </c>
      <c r="B95" s="26" t="s">
        <v>250</v>
      </c>
      <c r="C95" s="26" t="s">
        <v>310</v>
      </c>
      <c r="D95" s="26" t="s">
        <v>240</v>
      </c>
      <c r="E95" s="26" t="s">
        <v>117</v>
      </c>
      <c r="F95" s="33" t="str">
        <f>CHOOSE(MATCH(E95,{"A","B","C","D","E","F"},0),"Totalmente compatível","Compatibilidade limitada","Compatibilidade limitada (afeta a qualidade)","Problemas significativos","Problemas graves","Não reciclável / não compatível")</f>
        <v>Totalmente compatível</v>
      </c>
      <c r="G95" s="29">
        <v>1</v>
      </c>
      <c r="H95" s="26" t="s">
        <v>383</v>
      </c>
      <c r="I95" s="26" t="s">
        <v>273</v>
      </c>
    </row>
    <row r="96" spans="1:9" ht="30" customHeight="1" x14ac:dyDescent="0.3">
      <c r="A96" s="33" t="str">
        <f t="shared" si="2"/>
        <v>PET frascos e garrafas|Material da tampa|PETG</v>
      </c>
      <c r="B96" s="26" t="s">
        <v>250</v>
      </c>
      <c r="C96" s="26" t="s">
        <v>310</v>
      </c>
      <c r="D96" s="26" t="s">
        <v>255</v>
      </c>
      <c r="E96" s="26" t="s">
        <v>120</v>
      </c>
      <c r="F96" s="33" t="str">
        <f>CHOOSE(MATCH(E96,{"A","B","C","D","E","F"},0),"Totalmente compatível","Compatibilidade limitada","Compatibilidade limitada (afeta a qualidade)","Problemas significativos","Problemas graves","Não reciclável / não compatível")</f>
        <v>Problemas significativos</v>
      </c>
      <c r="G96" s="29">
        <v>0</v>
      </c>
      <c r="H96" s="26" t="s">
        <v>384</v>
      </c>
      <c r="I96" s="26" t="s">
        <v>316</v>
      </c>
    </row>
    <row r="97" spans="1:9" ht="30" customHeight="1" x14ac:dyDescent="0.3">
      <c r="A97" s="33" t="str">
        <f t="shared" si="2"/>
        <v>PET frascos e garrafas|Material da tampa|PET</v>
      </c>
      <c r="B97" s="26" t="s">
        <v>250</v>
      </c>
      <c r="C97" s="26" t="s">
        <v>310</v>
      </c>
      <c r="D97" s="26" t="s">
        <v>249</v>
      </c>
      <c r="E97" s="26" t="s">
        <v>118</v>
      </c>
      <c r="F97" s="33" t="str">
        <f>CHOOSE(MATCH(E97,{"A","B","C","D","E","F"},0),"Totalmente compatível","Compatibilidade limitada","Compatibilidade limitada (afeta a qualidade)","Problemas significativos","Problemas graves","Não reciclável / não compatível")</f>
        <v>Compatibilidade limitada</v>
      </c>
      <c r="G97" s="29">
        <v>1</v>
      </c>
      <c r="H97" s="26" t="s">
        <v>385</v>
      </c>
      <c r="I97" s="26" t="s">
        <v>386</v>
      </c>
    </row>
    <row r="98" spans="1:9" ht="30" customHeight="1" x14ac:dyDescent="0.3">
      <c r="A98" s="33" t="str">
        <f t="shared" si="2"/>
        <v>PET frascos e garrafas|Vedante / liner|Sem vedante</v>
      </c>
      <c r="B98" s="26" t="s">
        <v>250</v>
      </c>
      <c r="C98" s="26" t="s">
        <v>318</v>
      </c>
      <c r="D98" s="26" t="s">
        <v>319</v>
      </c>
      <c r="E98" s="26" t="s">
        <v>117</v>
      </c>
      <c r="F98" s="33" t="str">
        <f>CHOOSE(MATCH(E98,{"A","B","C","D","E","F"},0),"Totalmente compatível","Compatibilidade limitada","Compatibilidade limitada (afeta a qualidade)","Problemas significativos","Problemas graves","Não reciclável / não compatível")</f>
        <v>Totalmente compatível</v>
      </c>
      <c r="G98" s="29">
        <v>1</v>
      </c>
      <c r="H98" s="26" t="s">
        <v>312</v>
      </c>
      <c r="I98" s="26" t="s">
        <v>273</v>
      </c>
    </row>
    <row r="99" spans="1:9" ht="30" customHeight="1" x14ac:dyDescent="0.3">
      <c r="A99" s="33" t="str">
        <f t="shared" si="2"/>
        <v>PET frascos e garrafas|Vedante / liner|Vedante PE/EVA</v>
      </c>
      <c r="B99" s="26" t="s">
        <v>250</v>
      </c>
      <c r="C99" s="26" t="s">
        <v>318</v>
      </c>
      <c r="D99" s="26" t="s">
        <v>320</v>
      </c>
      <c r="E99" s="26" t="s">
        <v>117</v>
      </c>
      <c r="F99" s="33" t="str">
        <f>CHOOSE(MATCH(E99,{"A","B","C","D","E","F"},0),"Totalmente compatível","Compatibilidade limitada","Compatibilidade limitada (afeta a qualidade)","Problemas significativos","Problemas graves","Não reciclável / não compatível")</f>
        <v>Totalmente compatível</v>
      </c>
      <c r="G99" s="29">
        <v>1</v>
      </c>
      <c r="H99" s="26" t="s">
        <v>387</v>
      </c>
      <c r="I99" s="26" t="s">
        <v>273</v>
      </c>
    </row>
    <row r="100" spans="1:9" ht="30" customHeight="1" x14ac:dyDescent="0.3">
      <c r="A100" s="33" t="str">
        <f t="shared" si="2"/>
        <v>PET frascos e garrafas|Vedante / liner|Válvula de silicone</v>
      </c>
      <c r="B100" s="26" t="s">
        <v>250</v>
      </c>
      <c r="C100" s="26" t="s">
        <v>318</v>
      </c>
      <c r="D100" s="26" t="s">
        <v>322</v>
      </c>
      <c r="E100" s="26" t="s">
        <v>120</v>
      </c>
      <c r="F100" s="33" t="str">
        <f>CHOOSE(MATCH(E100,{"A","B","C","D","E","F"},0),"Totalmente compatível","Compatibilidade limitada","Compatibilidade limitada (afeta a qualidade)","Problemas significativos","Problemas graves","Não reciclável / não compatível")</f>
        <v>Problemas significativos</v>
      </c>
      <c r="G100" s="29">
        <v>1</v>
      </c>
      <c r="H100" s="26" t="s">
        <v>388</v>
      </c>
      <c r="I100" s="26" t="s">
        <v>389</v>
      </c>
    </row>
    <row r="101" spans="1:9" ht="30" customHeight="1" x14ac:dyDescent="0.3">
      <c r="A101" s="33" t="str">
        <f t="shared" ref="A101:A117" si="3">B101&amp;"|"&amp;C101&amp;"|"&amp;D101</f>
        <v>PET frascos e garrafas|Tipo de rótulo|Sem rótulo</v>
      </c>
      <c r="B101" s="26" t="s">
        <v>250</v>
      </c>
      <c r="C101" s="26" t="s">
        <v>325</v>
      </c>
      <c r="D101" s="26" t="s">
        <v>326</v>
      </c>
      <c r="E101" s="26" t="s">
        <v>117</v>
      </c>
      <c r="F101" s="33" t="str">
        <f>CHOOSE(MATCH(E101,{"A","B","C","D","E","F"},0),"Totalmente compatível","Compatibilidade limitada","Compatibilidade limitada (afeta a qualidade)","Problemas significativos","Problemas graves","Não reciclável / não compatível")</f>
        <v>Totalmente compatível</v>
      </c>
      <c r="G101" s="29">
        <v>1</v>
      </c>
      <c r="H101" s="26" t="s">
        <v>312</v>
      </c>
      <c r="I101" s="26" t="s">
        <v>273</v>
      </c>
    </row>
    <row r="102" spans="1:9" ht="30" customHeight="1" x14ac:dyDescent="0.3">
      <c r="A102" s="33" t="str">
        <f t="shared" si="3"/>
        <v>PET frascos e garrafas|Tipo de rótulo|Autoadesivo PE/PP</v>
      </c>
      <c r="B102" s="26" t="s">
        <v>250</v>
      </c>
      <c r="C102" s="26" t="s">
        <v>325</v>
      </c>
      <c r="D102" s="26" t="s">
        <v>327</v>
      </c>
      <c r="E102" s="26" t="s">
        <v>117</v>
      </c>
      <c r="F102" s="33" t="str">
        <f>CHOOSE(MATCH(E102,{"A","B","C","D","E","F"},0),"Totalmente compatível","Compatibilidade limitada","Compatibilidade limitada (afeta a qualidade)","Problemas significativos","Problemas graves","Não reciclável / não compatível")</f>
        <v>Totalmente compatível</v>
      </c>
      <c r="G102" s="29">
        <v>1</v>
      </c>
      <c r="H102" s="26" t="s">
        <v>390</v>
      </c>
      <c r="I102" s="26" t="s">
        <v>273</v>
      </c>
    </row>
    <row r="103" spans="1:9" ht="30" customHeight="1" x14ac:dyDescent="0.3">
      <c r="A103" s="33" t="str">
        <f t="shared" si="3"/>
        <v>PET frascos e garrafas|Tipo de rótulo|In-mould PE/PP</v>
      </c>
      <c r="B103" s="26" t="s">
        <v>250</v>
      </c>
      <c r="C103" s="26" t="s">
        <v>325</v>
      </c>
      <c r="D103" s="26" t="s">
        <v>329</v>
      </c>
      <c r="E103" s="26" t="s">
        <v>118</v>
      </c>
      <c r="F103" s="33" t="str">
        <f>CHOOSE(MATCH(E103,{"A","B","C","D","E","F"},0),"Totalmente compatível","Compatibilidade limitada","Compatibilidade limitada (afeta a qualidade)","Problemas significativos","Problemas graves","Não reciclável / não compatível")</f>
        <v>Compatibilidade limitada</v>
      </c>
      <c r="G103" s="29">
        <v>1</v>
      </c>
      <c r="H103" s="26" t="s">
        <v>391</v>
      </c>
      <c r="I103" s="26" t="s">
        <v>392</v>
      </c>
    </row>
    <row r="104" spans="1:9" ht="30" customHeight="1" x14ac:dyDescent="0.3">
      <c r="A104" s="33" t="str">
        <f t="shared" si="3"/>
        <v>PET frascos e garrafas|Tipo de rótulo|Autoadesivo PET</v>
      </c>
      <c r="B104" s="26" t="s">
        <v>250</v>
      </c>
      <c r="C104" s="26" t="s">
        <v>325</v>
      </c>
      <c r="D104" s="26" t="s">
        <v>331</v>
      </c>
      <c r="E104" s="26" t="s">
        <v>119</v>
      </c>
      <c r="F104" s="33" t="str">
        <f>CHOOSE(MATCH(E104,{"A","B","C","D","E","F"},0),"Totalmente compatível","Compatibilidade limitada","Compatibilidade limitada (afeta a qualidade)","Problemas significativos","Problemas graves","Não reciclável / não compatível")</f>
        <v>Compatibilidade limitada (afeta a qualidade)</v>
      </c>
      <c r="G104" s="29">
        <v>0</v>
      </c>
      <c r="H104" s="26" t="s">
        <v>393</v>
      </c>
      <c r="I104" s="26" t="s">
        <v>333</v>
      </c>
    </row>
    <row r="105" spans="1:9" ht="30" customHeight="1" x14ac:dyDescent="0.3">
      <c r="A105" s="33" t="str">
        <f t="shared" si="3"/>
        <v>PET frascos e garrafas|Tipo de rótulo|Autoadesivo papel</v>
      </c>
      <c r="B105" s="26" t="s">
        <v>250</v>
      </c>
      <c r="C105" s="26" t="s">
        <v>325</v>
      </c>
      <c r="D105" s="26" t="s">
        <v>334</v>
      </c>
      <c r="E105" s="26" t="s">
        <v>119</v>
      </c>
      <c r="F105" s="33" t="str">
        <f>CHOOSE(MATCH(E105,{"A","B","C","D","E","F"},0),"Totalmente compatível","Compatibilidade limitada","Compatibilidade limitada (afeta a qualidade)","Problemas significativos","Problemas graves","Não reciclável / não compatível")</f>
        <v>Compatibilidade limitada (afeta a qualidade)</v>
      </c>
      <c r="G105" s="29">
        <v>0</v>
      </c>
      <c r="H105" s="26" t="s">
        <v>394</v>
      </c>
      <c r="I105" s="26" t="s">
        <v>395</v>
      </c>
    </row>
    <row r="106" spans="1:9" ht="30" customHeight="1" x14ac:dyDescent="0.3">
      <c r="A106" s="33" t="str">
        <f t="shared" si="3"/>
        <v>PET frascos e garrafas|Tipo de rótulo|Manga termorretrátil PETG</v>
      </c>
      <c r="B106" s="26" t="s">
        <v>250</v>
      </c>
      <c r="C106" s="26" t="s">
        <v>325</v>
      </c>
      <c r="D106" s="26" t="s">
        <v>336</v>
      </c>
      <c r="E106" s="26" t="s">
        <v>120</v>
      </c>
      <c r="F106" s="33" t="str">
        <f>CHOOSE(MATCH(E106,{"A","B","C","D","E","F"},0),"Totalmente compatível","Compatibilidade limitada","Compatibilidade limitada (afeta a qualidade)","Problemas significativos","Problemas graves","Não reciclável / não compatível")</f>
        <v>Problemas significativos</v>
      </c>
      <c r="G106" s="29">
        <v>0</v>
      </c>
      <c r="H106" s="26" t="s">
        <v>396</v>
      </c>
      <c r="I106" s="26" t="s">
        <v>397</v>
      </c>
    </row>
    <row r="107" spans="1:9" ht="30" customHeight="1" x14ac:dyDescent="0.3">
      <c r="A107" s="33" t="str">
        <f t="shared" si="3"/>
        <v>PET frascos e garrafas|Adesivo do rótulo|Sem adesivo</v>
      </c>
      <c r="B107" s="26" t="s">
        <v>250</v>
      </c>
      <c r="C107" s="26" t="s">
        <v>339</v>
      </c>
      <c r="D107" s="26" t="s">
        <v>340</v>
      </c>
      <c r="E107" s="26" t="s">
        <v>117</v>
      </c>
      <c r="F107" s="33" t="str">
        <f>CHOOSE(MATCH(E107,{"A","B","C","D","E","F"},0),"Totalmente compatível","Compatibilidade limitada","Compatibilidade limitada (afeta a qualidade)","Problemas significativos","Problemas graves","Não reciclável / não compatível")</f>
        <v>Totalmente compatível</v>
      </c>
      <c r="G107" s="29">
        <v>1</v>
      </c>
      <c r="H107" s="26" t="s">
        <v>398</v>
      </c>
      <c r="I107" s="26" t="s">
        <v>273</v>
      </c>
    </row>
    <row r="108" spans="1:9" ht="30" customHeight="1" x14ac:dyDescent="0.3">
      <c r="A108" s="33" t="str">
        <f t="shared" si="3"/>
        <v>PET frascos e garrafas|Adesivo do rótulo|Lavável a 80 °C (alcalino)</v>
      </c>
      <c r="B108" s="26" t="s">
        <v>250</v>
      </c>
      <c r="C108" s="26" t="s">
        <v>339</v>
      </c>
      <c r="D108" s="26" t="s">
        <v>343</v>
      </c>
      <c r="E108" s="26" t="s">
        <v>117</v>
      </c>
      <c r="F108" s="33" t="str">
        <f>CHOOSE(MATCH(E108,{"A","B","C","D","E","F"},0),"Totalmente compatível","Compatibilidade limitada","Compatibilidade limitada (afeta a qualidade)","Problemas significativos","Problemas graves","Não reciclável / não compatível")</f>
        <v>Totalmente compatível</v>
      </c>
      <c r="G108" s="29">
        <v>1</v>
      </c>
      <c r="H108" s="26" t="s">
        <v>399</v>
      </c>
      <c r="I108" s="26" t="s">
        <v>273</v>
      </c>
    </row>
    <row r="109" spans="1:9" ht="30" customHeight="1" x14ac:dyDescent="0.3">
      <c r="A109" s="33" t="str">
        <f t="shared" si="3"/>
        <v>PET frascos e garrafas|Adesivo do rótulo|Acrílico permanente</v>
      </c>
      <c r="B109" s="26" t="s">
        <v>250</v>
      </c>
      <c r="C109" s="26" t="s">
        <v>339</v>
      </c>
      <c r="D109" s="26" t="s">
        <v>342</v>
      </c>
      <c r="E109" s="26" t="s">
        <v>119</v>
      </c>
      <c r="F109" s="33" t="str">
        <f>CHOOSE(MATCH(E109,{"A","B","C","D","E","F"},0),"Totalmente compatível","Compatibilidade limitada","Compatibilidade limitada (afeta a qualidade)","Problemas significativos","Problemas graves","Não reciclável / não compatível")</f>
        <v>Compatibilidade limitada (afeta a qualidade)</v>
      </c>
      <c r="G109" s="29">
        <v>1</v>
      </c>
      <c r="H109" s="26" t="s">
        <v>400</v>
      </c>
      <c r="I109" s="26" t="s">
        <v>401</v>
      </c>
    </row>
    <row r="110" spans="1:9" ht="30" customHeight="1" x14ac:dyDescent="0.3">
      <c r="A110" s="33" t="str">
        <f t="shared" si="3"/>
        <v>PET frascos e garrafas|Adesivo do rótulo|Hot-melt</v>
      </c>
      <c r="B110" s="26" t="s">
        <v>250</v>
      </c>
      <c r="C110" s="26" t="s">
        <v>339</v>
      </c>
      <c r="D110" s="26" t="s">
        <v>344</v>
      </c>
      <c r="E110" s="26" t="s">
        <v>120</v>
      </c>
      <c r="F110" s="33" t="str">
        <f>CHOOSE(MATCH(E110,{"A","B","C","D","E","F"},0),"Totalmente compatível","Compatibilidade limitada","Compatibilidade limitada (afeta a qualidade)","Problemas significativos","Problemas graves","Não reciclável / não compatível")</f>
        <v>Problemas significativos</v>
      </c>
      <c r="G110" s="29">
        <v>1</v>
      </c>
      <c r="H110" s="26" t="s">
        <v>402</v>
      </c>
      <c r="I110" s="26" t="s">
        <v>403</v>
      </c>
    </row>
    <row r="111" spans="1:9" ht="30" customHeight="1" x14ac:dyDescent="0.3">
      <c r="A111" s="33" t="str">
        <f t="shared" si="3"/>
        <v>PET frascos e garrafas|Cobertura do rótulo|≤ 70% da superfície</v>
      </c>
      <c r="B111" s="26" t="s">
        <v>250</v>
      </c>
      <c r="C111" s="26" t="s">
        <v>345</v>
      </c>
      <c r="D111" s="26" t="s">
        <v>346</v>
      </c>
      <c r="E111" s="26" t="s">
        <v>117</v>
      </c>
      <c r="F111" s="33" t="str">
        <f>CHOOSE(MATCH(E111,{"A","B","C","D","E","F"},0),"Totalmente compatível","Compatibilidade limitada","Compatibilidade limitada (afeta a qualidade)","Problemas significativos","Problemas graves","Não reciclável / não compatível")</f>
        <v>Totalmente compatível</v>
      </c>
      <c r="G111" s="29">
        <v>1</v>
      </c>
      <c r="H111" s="26" t="s">
        <v>404</v>
      </c>
      <c r="I111" s="26" t="s">
        <v>273</v>
      </c>
    </row>
    <row r="112" spans="1:9" ht="30" customHeight="1" x14ac:dyDescent="0.3">
      <c r="A112" s="33" t="str">
        <f t="shared" si="3"/>
        <v>PET frascos e garrafas|Cobertura do rótulo|&gt; 70% da superfície</v>
      </c>
      <c r="B112" s="26" t="s">
        <v>250</v>
      </c>
      <c r="C112" s="26" t="s">
        <v>345</v>
      </c>
      <c r="D112" s="26" t="s">
        <v>348</v>
      </c>
      <c r="E112" s="26" t="s">
        <v>119</v>
      </c>
      <c r="F112" s="33" t="str">
        <f>CHOOSE(MATCH(E112,{"A","B","C","D","E","F"},0),"Totalmente compatível","Compatibilidade limitada","Compatibilidade limitada (afeta a qualidade)","Problemas significativos","Problemas graves","Não reciclável / não compatível")</f>
        <v>Compatibilidade limitada (afeta a qualidade)</v>
      </c>
      <c r="G112" s="29">
        <v>1</v>
      </c>
      <c r="H112" s="26" t="s">
        <v>405</v>
      </c>
      <c r="I112" s="26" t="s">
        <v>406</v>
      </c>
    </row>
    <row r="113" spans="1:9" ht="30" customHeight="1" x14ac:dyDescent="0.3">
      <c r="A113" s="33" t="str">
        <f t="shared" si="3"/>
        <v>PET frascos e garrafas|Decoração direta|Nenhuma</v>
      </c>
      <c r="B113" s="26" t="s">
        <v>250</v>
      </c>
      <c r="C113" s="26" t="s">
        <v>349</v>
      </c>
      <c r="D113" s="26" t="s">
        <v>302</v>
      </c>
      <c r="E113" s="26" t="s">
        <v>117</v>
      </c>
      <c r="F113" s="33" t="str">
        <f>CHOOSE(MATCH(E113,{"A","B","C","D","E","F"},0),"Totalmente compatível","Compatibilidade limitada","Compatibilidade limitada (afeta a qualidade)","Problemas significativos","Problemas graves","Não reciclável / não compatível")</f>
        <v>Totalmente compatível</v>
      </c>
      <c r="G113" s="29">
        <v>1</v>
      </c>
      <c r="H113" s="26" t="s">
        <v>350</v>
      </c>
      <c r="I113" s="26" t="s">
        <v>273</v>
      </c>
    </row>
    <row r="114" spans="1:9" ht="30" customHeight="1" x14ac:dyDescent="0.3">
      <c r="A114" s="33" t="str">
        <f t="shared" si="3"/>
        <v>PET frascos e garrafas|Decoração direta|Impressão de lote/data</v>
      </c>
      <c r="B114" s="26" t="s">
        <v>250</v>
      </c>
      <c r="C114" s="26" t="s">
        <v>349</v>
      </c>
      <c r="D114" s="26" t="s">
        <v>351</v>
      </c>
      <c r="E114" s="26" t="s">
        <v>117</v>
      </c>
      <c r="F114" s="33" t="str">
        <f>CHOOSE(MATCH(E114,{"A","B","C","D","E","F"},0),"Totalmente compatível","Compatibilidade limitada","Compatibilidade limitada (afeta a qualidade)","Problemas significativos","Problemas graves","Não reciclável / não compatível")</f>
        <v>Totalmente compatível</v>
      </c>
      <c r="G114" s="29">
        <v>1</v>
      </c>
      <c r="H114" s="26" t="s">
        <v>352</v>
      </c>
      <c r="I114" s="26" t="s">
        <v>273</v>
      </c>
    </row>
    <row r="115" spans="1:9" ht="30" customHeight="1" x14ac:dyDescent="0.3">
      <c r="A115" s="33" t="str">
        <f t="shared" si="3"/>
        <v>PET frascos e garrafas|Decoração direta|Serigrafia 1–2 cores</v>
      </c>
      <c r="B115" s="26" t="s">
        <v>250</v>
      </c>
      <c r="C115" s="26" t="s">
        <v>349</v>
      </c>
      <c r="D115" s="26" t="s">
        <v>353</v>
      </c>
      <c r="E115" s="26" t="s">
        <v>120</v>
      </c>
      <c r="F115" s="33" t="str">
        <f>CHOOSE(MATCH(E115,{"A","B","C","D","E","F"},0),"Totalmente compatível","Compatibilidade limitada","Compatibilidade limitada (afeta a qualidade)","Problemas significativos","Problemas graves","Não reciclável / não compatível")</f>
        <v>Problemas significativos</v>
      </c>
      <c r="G115" s="29">
        <v>0</v>
      </c>
      <c r="H115" s="26" t="s">
        <v>407</v>
      </c>
      <c r="I115" s="26" t="s">
        <v>408</v>
      </c>
    </row>
    <row r="116" spans="1:9" ht="30" customHeight="1" x14ac:dyDescent="0.3">
      <c r="A116" s="33" t="str">
        <f t="shared" si="3"/>
        <v>PET frascos e garrafas|Decoração direta|Serigrafia ≥ 3 cores</v>
      </c>
      <c r="B116" s="26" t="s">
        <v>250</v>
      </c>
      <c r="C116" s="26" t="s">
        <v>349</v>
      </c>
      <c r="D116" s="26" t="s">
        <v>356</v>
      </c>
      <c r="E116" s="26" t="s">
        <v>120</v>
      </c>
      <c r="F116" s="33" t="str">
        <f>CHOOSE(MATCH(E116,{"A","B","C","D","E","F"},0),"Totalmente compatível","Compatibilidade limitada","Compatibilidade limitada (afeta a qualidade)","Problemas significativos","Problemas graves","Não reciclável / não compatível")</f>
        <v>Problemas significativos</v>
      </c>
      <c r="G116" s="29">
        <v>0</v>
      </c>
      <c r="H116" s="26" t="s">
        <v>407</v>
      </c>
      <c r="I116" s="26" t="s">
        <v>408</v>
      </c>
    </row>
    <row r="117" spans="1:9" ht="30" customHeight="1" x14ac:dyDescent="0.3">
      <c r="A117" s="33" t="str">
        <f t="shared" si="3"/>
        <v>PET frascos e garrafas|Decoração direta|Hot foil metalizado</v>
      </c>
      <c r="B117" s="26" t="s">
        <v>250</v>
      </c>
      <c r="C117" s="26" t="s">
        <v>349</v>
      </c>
      <c r="D117" s="26" t="s">
        <v>359</v>
      </c>
      <c r="E117" s="26" t="s">
        <v>120</v>
      </c>
      <c r="F117" s="33" t="str">
        <f>CHOOSE(MATCH(E117,{"A","B","C","D","E","F"},0),"Totalmente compatível","Compatibilidade limitada","Compatibilidade limitada (afeta a qualidade)","Problemas significativos","Problemas graves","Não reciclável / não compatível")</f>
        <v>Problemas significativos</v>
      </c>
      <c r="G117" s="29">
        <v>0</v>
      </c>
      <c r="H117" s="26" t="s">
        <v>409</v>
      </c>
      <c r="I117" s="26" t="s">
        <v>410</v>
      </c>
    </row>
  </sheetData>
  <conditionalFormatting sqref="E5:E317">
    <cfRule type="expression" dxfId="81" priority="1">
      <formula>ISNUMBER(SEARCH("A",E5))</formula>
    </cfRule>
    <cfRule type="expression" dxfId="80" priority="2">
      <formula>ISNUMBER(SEARCH("B",E5))</formula>
    </cfRule>
    <cfRule type="expression" dxfId="79" priority="3">
      <formula>ISNUMBER(SEARCH("C",E5))</formula>
    </cfRule>
    <cfRule type="expression" dxfId="78" priority="4">
      <formula>ISNUMBER(SEARCH("D",E5))</formula>
    </cfRule>
    <cfRule type="expression" dxfId="77" priority="5">
      <formula>ISNUMBER(SEARCH("F",E5))</formula>
    </cfRule>
  </conditionalFormatting>
  <dataValidations count="1">
    <dataValidation type="list" allowBlank="1" showErrorMessage="1" errorTitle="Valor inválido" error="Valor fora da lista controlada (ver folha Listas)." sqref="E5:E317" xr:uid="{00000000-0002-0000-0500-000000000000}">
      <formula1>lst_Classe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37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34" customWidth="1"/>
    <col min="3" max="3" width="16" customWidth="1"/>
    <col min="4" max="4" width="9" customWidth="1"/>
    <col min="5" max="6" width="8" customWidth="1"/>
    <col min="7" max="7" width="9" customWidth="1"/>
    <col min="8" max="8" width="8" customWidth="1"/>
    <col min="9" max="9" width="9" customWidth="1"/>
    <col min="10" max="10" width="14" customWidth="1"/>
    <col min="11" max="11" width="8" customWidth="1"/>
    <col min="12" max="12" width="9" customWidth="1"/>
    <col min="13" max="13" width="11" customWidth="1"/>
    <col min="14" max="14" width="18" customWidth="1"/>
    <col min="15" max="15" width="10" customWidth="1"/>
  </cols>
  <sheetData>
    <row r="1" spans="1:15" ht="39.6" x14ac:dyDescent="0.3">
      <c r="A1" s="12" t="s">
        <v>411</v>
      </c>
      <c r="B1" s="12" t="s">
        <v>412</v>
      </c>
      <c r="C1" s="12" t="s">
        <v>413</v>
      </c>
      <c r="D1" s="12" t="s">
        <v>213</v>
      </c>
      <c r="E1" s="30" t="s">
        <v>214</v>
      </c>
      <c r="F1" s="12" t="s">
        <v>414</v>
      </c>
      <c r="G1" s="30" t="s">
        <v>216</v>
      </c>
      <c r="H1" s="30" t="s">
        <v>415</v>
      </c>
      <c r="I1" s="12" t="s">
        <v>416</v>
      </c>
      <c r="J1" s="12" t="s">
        <v>417</v>
      </c>
      <c r="K1" s="30" t="s">
        <v>218</v>
      </c>
      <c r="L1" s="12" t="s">
        <v>418</v>
      </c>
      <c r="M1" s="12" t="s">
        <v>419</v>
      </c>
      <c r="N1" s="12" t="s">
        <v>420</v>
      </c>
      <c r="O1" s="30" t="s">
        <v>222</v>
      </c>
    </row>
    <row r="2" spans="1:15" ht="18" customHeight="1" x14ac:dyDescent="0.3">
      <c r="A2" s="26" t="s">
        <v>421</v>
      </c>
      <c r="B2" s="26" t="s">
        <v>422</v>
      </c>
      <c r="C2" s="26" t="s">
        <v>423</v>
      </c>
      <c r="D2" s="26" t="s">
        <v>223</v>
      </c>
      <c r="E2" s="33" t="str">
        <f>IFERROR(INDEX(tbl_materiais[Polimero_Base],MATCH(D2,tbl_materiais[Material],0)),"")</f>
        <v>PE</v>
      </c>
      <c r="F2" s="34">
        <v>11.5</v>
      </c>
      <c r="G2" s="35">
        <f>IFERROR(INDEX(tbl_materiais[Densidade_g_cm3],MATCH(D2,tbl_materiais[Material],0)),"")</f>
        <v>0.95499999999999996</v>
      </c>
      <c r="H2" s="33" t="str">
        <f t="shared" ref="H2:H37" si="0">IF(G2="","",IF(G2&lt;1,"Sim","Não"))</f>
        <v>Sim</v>
      </c>
      <c r="I2" s="26" t="s">
        <v>424</v>
      </c>
      <c r="J2" s="26" t="s">
        <v>319</v>
      </c>
      <c r="K2" s="36">
        <f>IFERROR(INDEX(tbl_materiais[Pct_PCR],MATCH(D2,tbl_materiais[Material],0)),0)</f>
        <v>0</v>
      </c>
      <c r="L2" s="26" t="s">
        <v>425</v>
      </c>
      <c r="M2" s="37">
        <v>1595447</v>
      </c>
      <c r="N2" s="26" t="s">
        <v>426</v>
      </c>
      <c r="O2" s="32">
        <f t="shared" ref="O2:O37" si="1">M2*F2/1000</f>
        <v>18347.640500000001</v>
      </c>
    </row>
    <row r="3" spans="1:15" ht="18" customHeight="1" x14ac:dyDescent="0.3">
      <c r="A3" s="26" t="s">
        <v>427</v>
      </c>
      <c r="B3" s="26" t="s">
        <v>428</v>
      </c>
      <c r="C3" s="26" t="s">
        <v>423</v>
      </c>
      <c r="D3" s="26" t="s">
        <v>240</v>
      </c>
      <c r="E3" s="33" t="str">
        <f>IFERROR(INDEX(tbl_materiais[Polimero_Base],MATCH(D3,tbl_materiais[Material],0)),"")</f>
        <v>PP</v>
      </c>
      <c r="F3" s="34">
        <v>10.3</v>
      </c>
      <c r="G3" s="35">
        <f>IFERROR(INDEX(tbl_materiais[Densidade_g_cm3],MATCH(D3,tbl_materiais[Material],0)),"")</f>
        <v>0.90500000000000003</v>
      </c>
      <c r="H3" s="33" t="str">
        <f t="shared" si="0"/>
        <v>Sim</v>
      </c>
      <c r="I3" s="26" t="s">
        <v>424</v>
      </c>
      <c r="J3" s="26" t="s">
        <v>319</v>
      </c>
      <c r="K3" s="36">
        <f>IFERROR(INDEX(tbl_materiais[Pct_PCR],MATCH(D3,tbl_materiais[Material],0)),0)</f>
        <v>0</v>
      </c>
      <c r="L3" s="26" t="s">
        <v>429</v>
      </c>
      <c r="M3" s="37">
        <v>1539973</v>
      </c>
      <c r="N3" s="26" t="s">
        <v>426</v>
      </c>
      <c r="O3" s="32">
        <f t="shared" si="1"/>
        <v>15861.7219</v>
      </c>
    </row>
    <row r="4" spans="1:15" ht="18" customHeight="1" x14ac:dyDescent="0.3">
      <c r="A4" s="26" t="s">
        <v>430</v>
      </c>
      <c r="B4" s="26" t="s">
        <v>431</v>
      </c>
      <c r="C4" s="26" t="s">
        <v>423</v>
      </c>
      <c r="D4" s="26" t="s">
        <v>244</v>
      </c>
      <c r="E4" s="33" t="str">
        <f>IFERROR(INDEX(tbl_materiais[Polimero_Base],MATCH(D4,tbl_materiais[Material],0)),"")</f>
        <v>PP</v>
      </c>
      <c r="F4" s="34">
        <v>10.3</v>
      </c>
      <c r="G4" s="35">
        <f>IFERROR(INDEX(tbl_materiais[Densidade_g_cm3],MATCH(D4,tbl_materiais[Material],0)),"")</f>
        <v>0.91</v>
      </c>
      <c r="H4" s="33" t="str">
        <f t="shared" si="0"/>
        <v>Sim</v>
      </c>
      <c r="I4" s="26" t="s">
        <v>424</v>
      </c>
      <c r="J4" s="26" t="s">
        <v>319</v>
      </c>
      <c r="K4" s="36">
        <f>IFERROR(INDEX(tbl_materiais[Pct_PCR],MATCH(D4,tbl_materiais[Material],0)),0)</f>
        <v>0.3</v>
      </c>
      <c r="L4" s="26" t="s">
        <v>432</v>
      </c>
      <c r="M4" s="37">
        <v>1197253</v>
      </c>
      <c r="N4" s="26" t="s">
        <v>426</v>
      </c>
      <c r="O4" s="32">
        <f t="shared" si="1"/>
        <v>12331.705900000001</v>
      </c>
    </row>
    <row r="5" spans="1:15" ht="18" customHeight="1" x14ac:dyDescent="0.3">
      <c r="A5" s="26" t="s">
        <v>433</v>
      </c>
      <c r="B5" s="26" t="s">
        <v>434</v>
      </c>
      <c r="C5" s="26" t="s">
        <v>423</v>
      </c>
      <c r="D5" s="26" t="s">
        <v>255</v>
      </c>
      <c r="E5" s="33" t="str">
        <f>IFERROR(INDEX(tbl_materiais[Polimero_Base],MATCH(D5,tbl_materiais[Material],0)),"")</f>
        <v>PETG</v>
      </c>
      <c r="F5" s="34">
        <v>12.1</v>
      </c>
      <c r="G5" s="35">
        <f>IFERROR(INDEX(tbl_materiais[Densidade_g_cm3],MATCH(D5,tbl_materiais[Material],0)),"")</f>
        <v>1.27</v>
      </c>
      <c r="H5" s="33" t="str">
        <f t="shared" si="0"/>
        <v>Não</v>
      </c>
      <c r="I5" s="26" t="s">
        <v>424</v>
      </c>
      <c r="J5" s="26" t="s">
        <v>319</v>
      </c>
      <c r="K5" s="36">
        <f>IFERROR(INDEX(tbl_materiais[Pct_PCR],MATCH(D5,tbl_materiais[Material],0)),0)</f>
        <v>0</v>
      </c>
      <c r="L5" s="26" t="s">
        <v>435</v>
      </c>
      <c r="M5" s="37">
        <v>1380640</v>
      </c>
      <c r="N5" s="26" t="s">
        <v>426</v>
      </c>
      <c r="O5" s="32">
        <f t="shared" si="1"/>
        <v>16705.743999999999</v>
      </c>
    </row>
    <row r="6" spans="1:15" ht="18" customHeight="1" x14ac:dyDescent="0.3">
      <c r="A6" s="26" t="s">
        <v>436</v>
      </c>
      <c r="B6" s="26" t="s">
        <v>422</v>
      </c>
      <c r="C6" s="26" t="s">
        <v>423</v>
      </c>
      <c r="D6" s="26" t="s">
        <v>223</v>
      </c>
      <c r="E6" s="33" t="str">
        <f>IFERROR(INDEX(tbl_materiais[Polimero_Base],MATCH(D6,tbl_materiais[Material],0)),"")</f>
        <v>PE</v>
      </c>
      <c r="F6" s="34">
        <v>11.5</v>
      </c>
      <c r="G6" s="35">
        <f>IFERROR(INDEX(tbl_materiais[Densidade_g_cm3],MATCH(D6,tbl_materiais[Material],0)),"")</f>
        <v>0.95499999999999996</v>
      </c>
      <c r="H6" s="33" t="str">
        <f t="shared" si="0"/>
        <v>Sim</v>
      </c>
      <c r="I6" s="26" t="s">
        <v>424</v>
      </c>
      <c r="J6" s="26" t="s">
        <v>319</v>
      </c>
      <c r="K6" s="36">
        <f>IFERROR(INDEX(tbl_materiais[Pct_PCR],MATCH(D6,tbl_materiais[Material],0)),0)</f>
        <v>0</v>
      </c>
      <c r="L6" s="26" t="s">
        <v>425</v>
      </c>
      <c r="M6" s="37">
        <v>617081</v>
      </c>
      <c r="N6" s="26" t="s">
        <v>426</v>
      </c>
      <c r="O6" s="32">
        <f t="shared" si="1"/>
        <v>7096.4314999999997</v>
      </c>
    </row>
    <row r="7" spans="1:15" ht="18" customHeight="1" x14ac:dyDescent="0.3">
      <c r="A7" s="26" t="s">
        <v>437</v>
      </c>
      <c r="B7" s="26" t="s">
        <v>428</v>
      </c>
      <c r="C7" s="26" t="s">
        <v>423</v>
      </c>
      <c r="D7" s="26" t="s">
        <v>240</v>
      </c>
      <c r="E7" s="33" t="str">
        <f>IFERROR(INDEX(tbl_materiais[Polimero_Base],MATCH(D7,tbl_materiais[Material],0)),"")</f>
        <v>PP</v>
      </c>
      <c r="F7" s="34">
        <v>10.3</v>
      </c>
      <c r="G7" s="35">
        <f>IFERROR(INDEX(tbl_materiais[Densidade_g_cm3],MATCH(D7,tbl_materiais[Material],0)),"")</f>
        <v>0.90500000000000003</v>
      </c>
      <c r="H7" s="33" t="str">
        <f t="shared" si="0"/>
        <v>Sim</v>
      </c>
      <c r="I7" s="26" t="s">
        <v>424</v>
      </c>
      <c r="J7" s="26" t="s">
        <v>319</v>
      </c>
      <c r="K7" s="36">
        <f>IFERROR(INDEX(tbl_materiais[Pct_PCR],MATCH(D7,tbl_materiais[Material],0)),0)</f>
        <v>0</v>
      </c>
      <c r="L7" s="26" t="s">
        <v>429</v>
      </c>
      <c r="M7" s="37">
        <v>507368</v>
      </c>
      <c r="N7" s="26" t="s">
        <v>426</v>
      </c>
      <c r="O7" s="32">
        <f t="shared" si="1"/>
        <v>5225.8904000000002</v>
      </c>
    </row>
    <row r="8" spans="1:15" ht="18" customHeight="1" x14ac:dyDescent="0.3">
      <c r="A8" s="26" t="s">
        <v>438</v>
      </c>
      <c r="B8" s="26" t="s">
        <v>431</v>
      </c>
      <c r="C8" s="26" t="s">
        <v>423</v>
      </c>
      <c r="D8" s="26" t="s">
        <v>244</v>
      </c>
      <c r="E8" s="33" t="str">
        <f>IFERROR(INDEX(tbl_materiais[Polimero_Base],MATCH(D8,tbl_materiais[Material],0)),"")</f>
        <v>PP</v>
      </c>
      <c r="F8" s="34">
        <v>10.3</v>
      </c>
      <c r="G8" s="35">
        <f>IFERROR(INDEX(tbl_materiais[Densidade_g_cm3],MATCH(D8,tbl_materiais[Material],0)),"")</f>
        <v>0.91</v>
      </c>
      <c r="H8" s="33" t="str">
        <f t="shared" si="0"/>
        <v>Sim</v>
      </c>
      <c r="I8" s="26" t="s">
        <v>424</v>
      </c>
      <c r="J8" s="26" t="s">
        <v>319</v>
      </c>
      <c r="K8" s="36">
        <f>IFERROR(INDEX(tbl_materiais[Pct_PCR],MATCH(D8,tbl_materiais[Material],0)),0)</f>
        <v>0.3</v>
      </c>
      <c r="L8" s="26" t="s">
        <v>432</v>
      </c>
      <c r="M8" s="37">
        <v>488734</v>
      </c>
      <c r="N8" s="26" t="s">
        <v>426</v>
      </c>
      <c r="O8" s="32">
        <f t="shared" si="1"/>
        <v>5033.9602000000004</v>
      </c>
    </row>
    <row r="9" spans="1:15" ht="18" customHeight="1" x14ac:dyDescent="0.3">
      <c r="A9" s="26" t="s">
        <v>439</v>
      </c>
      <c r="B9" s="26" t="s">
        <v>434</v>
      </c>
      <c r="C9" s="26" t="s">
        <v>423</v>
      </c>
      <c r="D9" s="26" t="s">
        <v>255</v>
      </c>
      <c r="E9" s="33" t="str">
        <f>IFERROR(INDEX(tbl_materiais[Polimero_Base],MATCH(D9,tbl_materiais[Material],0)),"")</f>
        <v>PETG</v>
      </c>
      <c r="F9" s="34">
        <v>12.1</v>
      </c>
      <c r="G9" s="35">
        <f>IFERROR(INDEX(tbl_materiais[Densidade_g_cm3],MATCH(D9,tbl_materiais[Material],0)),"")</f>
        <v>1.27</v>
      </c>
      <c r="H9" s="33" t="str">
        <f t="shared" si="0"/>
        <v>Não</v>
      </c>
      <c r="I9" s="26" t="s">
        <v>424</v>
      </c>
      <c r="J9" s="26" t="s">
        <v>319</v>
      </c>
      <c r="K9" s="36">
        <f>IFERROR(INDEX(tbl_materiais[Pct_PCR],MATCH(D9,tbl_materiais[Material],0)),0)</f>
        <v>0</v>
      </c>
      <c r="L9" s="26" t="s">
        <v>435</v>
      </c>
      <c r="M9" s="37">
        <v>533504</v>
      </c>
      <c r="N9" s="26" t="s">
        <v>426</v>
      </c>
      <c r="O9" s="32">
        <f t="shared" si="1"/>
        <v>6455.3983999999991</v>
      </c>
    </row>
    <row r="10" spans="1:15" ht="18" customHeight="1" x14ac:dyDescent="0.3">
      <c r="A10" s="26" t="s">
        <v>440</v>
      </c>
      <c r="B10" s="26" t="s">
        <v>441</v>
      </c>
      <c r="C10" s="26" t="s">
        <v>423</v>
      </c>
      <c r="D10" s="26" t="s">
        <v>223</v>
      </c>
      <c r="E10" s="33" t="str">
        <f>IFERROR(INDEX(tbl_materiais[Polimero_Base],MATCH(D10,tbl_materiais[Material],0)),"")</f>
        <v>PE</v>
      </c>
      <c r="F10" s="34">
        <v>11.5</v>
      </c>
      <c r="G10" s="35">
        <f>IFERROR(INDEX(tbl_materiais[Densidade_g_cm3],MATCH(D10,tbl_materiais[Material],0)),"")</f>
        <v>0.95499999999999996</v>
      </c>
      <c r="H10" s="33" t="str">
        <f t="shared" si="0"/>
        <v>Sim</v>
      </c>
      <c r="I10" s="26" t="s">
        <v>442</v>
      </c>
      <c r="J10" s="26" t="s">
        <v>319</v>
      </c>
      <c r="K10" s="36">
        <f>IFERROR(INDEX(tbl_materiais[Pct_PCR],MATCH(D10,tbl_materiais[Material],0)),0)</f>
        <v>0</v>
      </c>
      <c r="L10" s="26" t="s">
        <v>425</v>
      </c>
      <c r="M10" s="37">
        <v>656567</v>
      </c>
      <c r="N10" s="26" t="s">
        <v>426</v>
      </c>
      <c r="O10" s="32">
        <f t="shared" si="1"/>
        <v>7550.5204999999996</v>
      </c>
    </row>
    <row r="11" spans="1:15" ht="18" customHeight="1" x14ac:dyDescent="0.3">
      <c r="A11" s="26" t="s">
        <v>443</v>
      </c>
      <c r="B11" s="26" t="s">
        <v>444</v>
      </c>
      <c r="C11" s="26" t="s">
        <v>423</v>
      </c>
      <c r="D11" s="26" t="s">
        <v>240</v>
      </c>
      <c r="E11" s="33" t="str">
        <f>IFERROR(INDEX(tbl_materiais[Polimero_Base],MATCH(D11,tbl_materiais[Material],0)),"")</f>
        <v>PP</v>
      </c>
      <c r="F11" s="34">
        <v>10.3</v>
      </c>
      <c r="G11" s="35">
        <f>IFERROR(INDEX(tbl_materiais[Densidade_g_cm3],MATCH(D11,tbl_materiais[Material],0)),"")</f>
        <v>0.90500000000000003</v>
      </c>
      <c r="H11" s="33" t="str">
        <f t="shared" si="0"/>
        <v>Sim</v>
      </c>
      <c r="I11" s="26" t="s">
        <v>442</v>
      </c>
      <c r="J11" s="26" t="s">
        <v>319</v>
      </c>
      <c r="K11" s="36">
        <f>IFERROR(INDEX(tbl_materiais[Pct_PCR],MATCH(D11,tbl_materiais[Material],0)),0)</f>
        <v>0</v>
      </c>
      <c r="L11" s="26" t="s">
        <v>429</v>
      </c>
      <c r="M11" s="37">
        <v>668908</v>
      </c>
      <c r="N11" s="26" t="s">
        <v>426</v>
      </c>
      <c r="O11" s="32">
        <f t="shared" si="1"/>
        <v>6889.7524000000003</v>
      </c>
    </row>
    <row r="12" spans="1:15" ht="18" customHeight="1" x14ac:dyDescent="0.3">
      <c r="A12" s="26" t="s">
        <v>445</v>
      </c>
      <c r="B12" s="26" t="s">
        <v>446</v>
      </c>
      <c r="C12" s="26" t="s">
        <v>423</v>
      </c>
      <c r="D12" s="26" t="s">
        <v>244</v>
      </c>
      <c r="E12" s="33" t="str">
        <f>IFERROR(INDEX(tbl_materiais[Polimero_Base],MATCH(D12,tbl_materiais[Material],0)),"")</f>
        <v>PP</v>
      </c>
      <c r="F12" s="34">
        <v>10.3</v>
      </c>
      <c r="G12" s="35">
        <f>IFERROR(INDEX(tbl_materiais[Densidade_g_cm3],MATCH(D12,tbl_materiais[Material],0)),"")</f>
        <v>0.91</v>
      </c>
      <c r="H12" s="33" t="str">
        <f t="shared" si="0"/>
        <v>Sim</v>
      </c>
      <c r="I12" s="26" t="s">
        <v>442</v>
      </c>
      <c r="J12" s="26" t="s">
        <v>319</v>
      </c>
      <c r="K12" s="36">
        <f>IFERROR(INDEX(tbl_materiais[Pct_PCR],MATCH(D12,tbl_materiais[Material],0)),0)</f>
        <v>0.3</v>
      </c>
      <c r="L12" s="26" t="s">
        <v>432</v>
      </c>
      <c r="M12" s="37">
        <v>705915</v>
      </c>
      <c r="N12" s="26" t="s">
        <v>426</v>
      </c>
      <c r="O12" s="32">
        <f t="shared" si="1"/>
        <v>7270.924500000001</v>
      </c>
    </row>
    <row r="13" spans="1:15" ht="18" customHeight="1" x14ac:dyDescent="0.3">
      <c r="A13" s="26" t="s">
        <v>447</v>
      </c>
      <c r="B13" s="26" t="s">
        <v>448</v>
      </c>
      <c r="C13" s="26" t="s">
        <v>423</v>
      </c>
      <c r="D13" s="26" t="s">
        <v>255</v>
      </c>
      <c r="E13" s="33" t="str">
        <f>IFERROR(INDEX(tbl_materiais[Polimero_Base],MATCH(D13,tbl_materiais[Material],0)),"")</f>
        <v>PETG</v>
      </c>
      <c r="F13" s="34">
        <v>12.1</v>
      </c>
      <c r="G13" s="35">
        <f>IFERROR(INDEX(tbl_materiais[Densidade_g_cm3],MATCH(D13,tbl_materiais[Material],0)),"")</f>
        <v>1.27</v>
      </c>
      <c r="H13" s="33" t="str">
        <f t="shared" si="0"/>
        <v>Não</v>
      </c>
      <c r="I13" s="26" t="s">
        <v>442</v>
      </c>
      <c r="J13" s="26" t="s">
        <v>319</v>
      </c>
      <c r="K13" s="36">
        <f>IFERROR(INDEX(tbl_materiais[Pct_PCR],MATCH(D13,tbl_materiais[Material],0)),0)</f>
        <v>0</v>
      </c>
      <c r="L13" s="26" t="s">
        <v>435</v>
      </c>
      <c r="M13" s="37">
        <v>775757</v>
      </c>
      <c r="N13" s="26" t="s">
        <v>426</v>
      </c>
      <c r="O13" s="32">
        <f t="shared" si="1"/>
        <v>9386.6597000000002</v>
      </c>
    </row>
    <row r="14" spans="1:15" ht="18" customHeight="1" x14ac:dyDescent="0.3">
      <c r="A14" s="26" t="s">
        <v>449</v>
      </c>
      <c r="B14" s="26" t="s">
        <v>450</v>
      </c>
      <c r="C14" s="26" t="s">
        <v>423</v>
      </c>
      <c r="D14" s="26" t="s">
        <v>223</v>
      </c>
      <c r="E14" s="33" t="str">
        <f>IFERROR(INDEX(tbl_materiais[Polimero_Base],MATCH(D14,tbl_materiais[Material],0)),"")</f>
        <v>PE</v>
      </c>
      <c r="F14" s="34">
        <v>15.9</v>
      </c>
      <c r="G14" s="35">
        <f>IFERROR(INDEX(tbl_materiais[Densidade_g_cm3],MATCH(D14,tbl_materiais[Material],0)),"")</f>
        <v>0.95499999999999996</v>
      </c>
      <c r="H14" s="33" t="str">
        <f t="shared" si="0"/>
        <v>Sim</v>
      </c>
      <c r="I14" s="26" t="s">
        <v>451</v>
      </c>
      <c r="J14" s="26" t="s">
        <v>319</v>
      </c>
      <c r="K14" s="36">
        <f>IFERROR(INDEX(tbl_materiais[Pct_PCR],MATCH(D14,tbl_materiais[Material],0)),0)</f>
        <v>0</v>
      </c>
      <c r="L14" s="26" t="s">
        <v>425</v>
      </c>
      <c r="M14" s="37">
        <v>264782</v>
      </c>
      <c r="N14" s="26" t="s">
        <v>426</v>
      </c>
      <c r="O14" s="32">
        <f t="shared" si="1"/>
        <v>4210.0338000000002</v>
      </c>
    </row>
    <row r="15" spans="1:15" ht="18" customHeight="1" x14ac:dyDescent="0.3">
      <c r="A15" s="26" t="s">
        <v>452</v>
      </c>
      <c r="B15" s="26" t="s">
        <v>453</v>
      </c>
      <c r="C15" s="26" t="s">
        <v>423</v>
      </c>
      <c r="D15" s="26" t="s">
        <v>240</v>
      </c>
      <c r="E15" s="33" t="str">
        <f>IFERROR(INDEX(tbl_materiais[Polimero_Base],MATCH(D15,tbl_materiais[Material],0)),"")</f>
        <v>PP</v>
      </c>
      <c r="F15" s="34">
        <v>14.3</v>
      </c>
      <c r="G15" s="35">
        <f>IFERROR(INDEX(tbl_materiais[Densidade_g_cm3],MATCH(D15,tbl_materiais[Material],0)),"")</f>
        <v>0.90500000000000003</v>
      </c>
      <c r="H15" s="33" t="str">
        <f t="shared" si="0"/>
        <v>Sim</v>
      </c>
      <c r="I15" s="26" t="s">
        <v>451</v>
      </c>
      <c r="J15" s="26" t="s">
        <v>319</v>
      </c>
      <c r="K15" s="36">
        <f>IFERROR(INDEX(tbl_materiais[Pct_PCR],MATCH(D15,tbl_materiais[Material],0)),0)</f>
        <v>0</v>
      </c>
      <c r="L15" s="26" t="s">
        <v>429</v>
      </c>
      <c r="M15" s="37">
        <v>119049</v>
      </c>
      <c r="N15" s="26" t="s">
        <v>454</v>
      </c>
      <c r="O15" s="32">
        <f t="shared" si="1"/>
        <v>1702.4007000000001</v>
      </c>
    </row>
    <row r="16" spans="1:15" ht="18" customHeight="1" x14ac:dyDescent="0.3">
      <c r="A16" s="26" t="s">
        <v>455</v>
      </c>
      <c r="B16" s="26" t="s">
        <v>456</v>
      </c>
      <c r="C16" s="26" t="s">
        <v>423</v>
      </c>
      <c r="D16" s="26" t="s">
        <v>244</v>
      </c>
      <c r="E16" s="33" t="str">
        <f>IFERROR(INDEX(tbl_materiais[Polimero_Base],MATCH(D16,tbl_materiais[Material],0)),"")</f>
        <v>PP</v>
      </c>
      <c r="F16" s="34">
        <v>14.3</v>
      </c>
      <c r="G16" s="35">
        <f>IFERROR(INDEX(tbl_materiais[Densidade_g_cm3],MATCH(D16,tbl_materiais[Material],0)),"")</f>
        <v>0.91</v>
      </c>
      <c r="H16" s="33" t="str">
        <f t="shared" si="0"/>
        <v>Sim</v>
      </c>
      <c r="I16" s="26" t="s">
        <v>451</v>
      </c>
      <c r="J16" s="26" t="s">
        <v>319</v>
      </c>
      <c r="K16" s="36">
        <f>IFERROR(INDEX(tbl_materiais[Pct_PCR],MATCH(D16,tbl_materiais[Material],0)),0)</f>
        <v>0.3</v>
      </c>
      <c r="L16" s="26" t="s">
        <v>432</v>
      </c>
      <c r="M16" s="37">
        <v>223095</v>
      </c>
      <c r="N16" s="26" t="s">
        <v>457</v>
      </c>
      <c r="O16" s="32">
        <f t="shared" si="1"/>
        <v>3190.2584999999999</v>
      </c>
    </row>
    <row r="17" spans="1:15" ht="18" customHeight="1" x14ac:dyDescent="0.3">
      <c r="A17" s="26" t="s">
        <v>458</v>
      </c>
      <c r="B17" s="26" t="s">
        <v>459</v>
      </c>
      <c r="C17" s="26" t="s">
        <v>423</v>
      </c>
      <c r="D17" s="26" t="s">
        <v>255</v>
      </c>
      <c r="E17" s="33" t="str">
        <f>IFERROR(INDEX(tbl_materiais[Polimero_Base],MATCH(D17,tbl_materiais[Material],0)),"")</f>
        <v>PETG</v>
      </c>
      <c r="F17" s="34">
        <v>16.7</v>
      </c>
      <c r="G17" s="35">
        <f>IFERROR(INDEX(tbl_materiais[Densidade_g_cm3],MATCH(D17,tbl_materiais[Material],0)),"")</f>
        <v>1.27</v>
      </c>
      <c r="H17" s="33" t="str">
        <f t="shared" si="0"/>
        <v>Não</v>
      </c>
      <c r="I17" s="26" t="s">
        <v>451</v>
      </c>
      <c r="J17" s="26" t="s">
        <v>319</v>
      </c>
      <c r="K17" s="36">
        <f>IFERROR(INDEX(tbl_materiais[Pct_PCR],MATCH(D17,tbl_materiais[Material],0)),0)</f>
        <v>0</v>
      </c>
      <c r="L17" s="26" t="s">
        <v>435</v>
      </c>
      <c r="M17" s="37">
        <v>162695</v>
      </c>
      <c r="N17" s="26" t="s">
        <v>426</v>
      </c>
      <c r="O17" s="32">
        <f t="shared" si="1"/>
        <v>2717.0065</v>
      </c>
    </row>
    <row r="18" spans="1:15" ht="18" customHeight="1" x14ac:dyDescent="0.3">
      <c r="A18" s="26" t="s">
        <v>460</v>
      </c>
      <c r="B18" s="26" t="s">
        <v>461</v>
      </c>
      <c r="C18" s="26" t="s">
        <v>462</v>
      </c>
      <c r="D18" s="26" t="s">
        <v>240</v>
      </c>
      <c r="E18" s="33" t="str">
        <f>IFERROR(INDEX(tbl_materiais[Polimero_Base],MATCH(D18,tbl_materiais[Material],0)),"")</f>
        <v>PP</v>
      </c>
      <c r="F18" s="34">
        <v>13.9</v>
      </c>
      <c r="G18" s="35">
        <f>IFERROR(INDEX(tbl_materiais[Densidade_g_cm3],MATCH(D18,tbl_materiais[Material],0)),"")</f>
        <v>0.90500000000000003</v>
      </c>
      <c r="H18" s="33" t="str">
        <f t="shared" si="0"/>
        <v>Sim</v>
      </c>
      <c r="I18" s="26" t="s">
        <v>424</v>
      </c>
      <c r="J18" s="26" t="s">
        <v>319</v>
      </c>
      <c r="K18" s="36">
        <f>IFERROR(INDEX(tbl_materiais[Pct_PCR],MATCH(D18,tbl_materiais[Material],0)),0)</f>
        <v>0</v>
      </c>
      <c r="L18" s="26" t="s">
        <v>429</v>
      </c>
      <c r="M18" s="37">
        <v>406106</v>
      </c>
      <c r="N18" s="26" t="s">
        <v>426</v>
      </c>
      <c r="O18" s="32">
        <f t="shared" si="1"/>
        <v>5644.8734000000004</v>
      </c>
    </row>
    <row r="19" spans="1:15" ht="18" customHeight="1" x14ac:dyDescent="0.3">
      <c r="A19" s="26" t="s">
        <v>463</v>
      </c>
      <c r="B19" s="26" t="s">
        <v>464</v>
      </c>
      <c r="C19" s="26" t="s">
        <v>462</v>
      </c>
      <c r="D19" s="26" t="s">
        <v>244</v>
      </c>
      <c r="E19" s="33" t="str">
        <f>IFERROR(INDEX(tbl_materiais[Polimero_Base],MATCH(D19,tbl_materiais[Material],0)),"")</f>
        <v>PP</v>
      </c>
      <c r="F19" s="34">
        <v>13.9</v>
      </c>
      <c r="G19" s="35">
        <f>IFERROR(INDEX(tbl_materiais[Densidade_g_cm3],MATCH(D19,tbl_materiais[Material],0)),"")</f>
        <v>0.91</v>
      </c>
      <c r="H19" s="33" t="str">
        <f t="shared" si="0"/>
        <v>Sim</v>
      </c>
      <c r="I19" s="26" t="s">
        <v>424</v>
      </c>
      <c r="J19" s="26" t="s">
        <v>319</v>
      </c>
      <c r="K19" s="36">
        <f>IFERROR(INDEX(tbl_materiais[Pct_PCR],MATCH(D19,tbl_materiais[Material],0)),0)</f>
        <v>0.3</v>
      </c>
      <c r="L19" s="26" t="s">
        <v>432</v>
      </c>
      <c r="M19" s="37">
        <v>410357</v>
      </c>
      <c r="N19" s="26" t="s">
        <v>426</v>
      </c>
      <c r="O19" s="32">
        <f t="shared" si="1"/>
        <v>5703.9623000000001</v>
      </c>
    </row>
    <row r="20" spans="1:15" ht="18" customHeight="1" x14ac:dyDescent="0.3">
      <c r="A20" s="26" t="s">
        <v>465</v>
      </c>
      <c r="B20" s="26" t="s">
        <v>466</v>
      </c>
      <c r="C20" s="26" t="s">
        <v>462</v>
      </c>
      <c r="D20" s="26" t="s">
        <v>223</v>
      </c>
      <c r="E20" s="33" t="str">
        <f>IFERROR(INDEX(tbl_materiais[Polimero_Base],MATCH(D20,tbl_materiais[Material],0)),"")</f>
        <v>PE</v>
      </c>
      <c r="F20" s="34">
        <v>15.5</v>
      </c>
      <c r="G20" s="35">
        <f>IFERROR(INDEX(tbl_materiais[Densidade_g_cm3],MATCH(D20,tbl_materiais[Material],0)),"")</f>
        <v>0.95499999999999996</v>
      </c>
      <c r="H20" s="33" t="str">
        <f t="shared" si="0"/>
        <v>Sim</v>
      </c>
      <c r="I20" s="26" t="s">
        <v>424</v>
      </c>
      <c r="J20" s="26" t="s">
        <v>319</v>
      </c>
      <c r="K20" s="36">
        <f>IFERROR(INDEX(tbl_materiais[Pct_PCR],MATCH(D20,tbl_materiais[Material],0)),0)</f>
        <v>0</v>
      </c>
      <c r="L20" s="26" t="s">
        <v>425</v>
      </c>
      <c r="M20" s="37">
        <v>455511</v>
      </c>
      <c r="N20" s="26" t="s">
        <v>426</v>
      </c>
      <c r="O20" s="32">
        <f t="shared" si="1"/>
        <v>7060.4205000000002</v>
      </c>
    </row>
    <row r="21" spans="1:15" ht="18" customHeight="1" x14ac:dyDescent="0.3">
      <c r="A21" s="26" t="s">
        <v>467</v>
      </c>
      <c r="B21" s="26" t="s">
        <v>468</v>
      </c>
      <c r="C21" s="26" t="s">
        <v>462</v>
      </c>
      <c r="D21" s="26" t="s">
        <v>240</v>
      </c>
      <c r="E21" s="33" t="str">
        <f>IFERROR(INDEX(tbl_materiais[Polimero_Base],MATCH(D21,tbl_materiais[Material],0)),"")</f>
        <v>PP</v>
      </c>
      <c r="F21" s="34">
        <v>13.9</v>
      </c>
      <c r="G21" s="35">
        <f>IFERROR(INDEX(tbl_materiais[Densidade_g_cm3],MATCH(D21,tbl_materiais[Material],0)),"")</f>
        <v>0.90500000000000003</v>
      </c>
      <c r="H21" s="33" t="str">
        <f t="shared" si="0"/>
        <v>Sim</v>
      </c>
      <c r="I21" s="26" t="s">
        <v>442</v>
      </c>
      <c r="J21" s="26" t="s">
        <v>319</v>
      </c>
      <c r="K21" s="36">
        <f>IFERROR(INDEX(tbl_materiais[Pct_PCR],MATCH(D21,tbl_materiais[Material],0)),0)</f>
        <v>0</v>
      </c>
      <c r="L21" s="26" t="s">
        <v>429</v>
      </c>
      <c r="M21" s="37">
        <v>146432</v>
      </c>
      <c r="N21" s="26" t="s">
        <v>426</v>
      </c>
      <c r="O21" s="32">
        <f t="shared" si="1"/>
        <v>2035.4048</v>
      </c>
    </row>
    <row r="22" spans="1:15" ht="18" customHeight="1" x14ac:dyDescent="0.3">
      <c r="A22" s="26" t="s">
        <v>469</v>
      </c>
      <c r="B22" s="26" t="s">
        <v>470</v>
      </c>
      <c r="C22" s="26" t="s">
        <v>462</v>
      </c>
      <c r="D22" s="26" t="s">
        <v>244</v>
      </c>
      <c r="E22" s="33" t="str">
        <f>IFERROR(INDEX(tbl_materiais[Polimero_Base],MATCH(D22,tbl_materiais[Material],0)),"")</f>
        <v>PP</v>
      </c>
      <c r="F22" s="34">
        <v>13.9</v>
      </c>
      <c r="G22" s="35">
        <f>IFERROR(INDEX(tbl_materiais[Densidade_g_cm3],MATCH(D22,tbl_materiais[Material],0)),"")</f>
        <v>0.91</v>
      </c>
      <c r="H22" s="33" t="str">
        <f t="shared" si="0"/>
        <v>Sim</v>
      </c>
      <c r="I22" s="26" t="s">
        <v>442</v>
      </c>
      <c r="J22" s="26" t="s">
        <v>319</v>
      </c>
      <c r="K22" s="36">
        <f>IFERROR(INDEX(tbl_materiais[Pct_PCR],MATCH(D22,tbl_materiais[Material],0)),0)</f>
        <v>0.3</v>
      </c>
      <c r="L22" s="26" t="s">
        <v>432</v>
      </c>
      <c r="M22" s="37">
        <v>225965</v>
      </c>
      <c r="N22" s="26" t="s">
        <v>426</v>
      </c>
      <c r="O22" s="32">
        <f t="shared" si="1"/>
        <v>3140.9135000000001</v>
      </c>
    </row>
    <row r="23" spans="1:15" ht="18" customHeight="1" x14ac:dyDescent="0.3">
      <c r="A23" s="26" t="s">
        <v>471</v>
      </c>
      <c r="B23" s="26" t="s">
        <v>472</v>
      </c>
      <c r="C23" s="26" t="s">
        <v>462</v>
      </c>
      <c r="D23" s="26" t="s">
        <v>223</v>
      </c>
      <c r="E23" s="33" t="str">
        <f>IFERROR(INDEX(tbl_materiais[Polimero_Base],MATCH(D23,tbl_materiais[Material],0)),"")</f>
        <v>PE</v>
      </c>
      <c r="F23" s="34">
        <v>15.5</v>
      </c>
      <c r="G23" s="35">
        <f>IFERROR(INDEX(tbl_materiais[Densidade_g_cm3],MATCH(D23,tbl_materiais[Material],0)),"")</f>
        <v>0.95499999999999996</v>
      </c>
      <c r="H23" s="33" t="str">
        <f t="shared" si="0"/>
        <v>Sim</v>
      </c>
      <c r="I23" s="26" t="s">
        <v>442</v>
      </c>
      <c r="J23" s="26" t="s">
        <v>319</v>
      </c>
      <c r="K23" s="36">
        <f>IFERROR(INDEX(tbl_materiais[Pct_PCR],MATCH(D23,tbl_materiais[Material],0)),0)</f>
        <v>0</v>
      </c>
      <c r="L23" s="26" t="s">
        <v>425</v>
      </c>
      <c r="M23" s="37">
        <v>221925</v>
      </c>
      <c r="N23" s="26" t="s">
        <v>426</v>
      </c>
      <c r="O23" s="32">
        <f t="shared" si="1"/>
        <v>3439.8375000000001</v>
      </c>
    </row>
    <row r="24" spans="1:15" ht="18" customHeight="1" x14ac:dyDescent="0.3">
      <c r="A24" s="26" t="s">
        <v>473</v>
      </c>
      <c r="B24" s="26" t="s">
        <v>474</v>
      </c>
      <c r="C24" s="26" t="s">
        <v>462</v>
      </c>
      <c r="D24" s="26" t="s">
        <v>240</v>
      </c>
      <c r="E24" s="33" t="str">
        <f>IFERROR(INDEX(tbl_materiais[Polimero_Base],MATCH(D24,tbl_materiais[Material],0)),"")</f>
        <v>PP</v>
      </c>
      <c r="F24" s="34">
        <v>19.3</v>
      </c>
      <c r="G24" s="35">
        <f>IFERROR(INDEX(tbl_materiais[Densidade_g_cm3],MATCH(D24,tbl_materiais[Material],0)),"")</f>
        <v>0.90500000000000003</v>
      </c>
      <c r="H24" s="33" t="str">
        <f t="shared" si="0"/>
        <v>Sim</v>
      </c>
      <c r="I24" s="26" t="s">
        <v>451</v>
      </c>
      <c r="J24" s="26" t="s">
        <v>319</v>
      </c>
      <c r="K24" s="36">
        <f>IFERROR(INDEX(tbl_materiais[Pct_PCR],MATCH(D24,tbl_materiais[Material],0)),0)</f>
        <v>0</v>
      </c>
      <c r="L24" s="26" t="s">
        <v>429</v>
      </c>
      <c r="M24" s="37">
        <v>182749</v>
      </c>
      <c r="N24" s="26" t="s">
        <v>426</v>
      </c>
      <c r="O24" s="32">
        <f t="shared" si="1"/>
        <v>3527.0557000000003</v>
      </c>
    </row>
    <row r="25" spans="1:15" ht="18" customHeight="1" x14ac:dyDescent="0.3">
      <c r="A25" s="26" t="s">
        <v>475</v>
      </c>
      <c r="B25" s="26" t="s">
        <v>476</v>
      </c>
      <c r="C25" s="26" t="s">
        <v>462</v>
      </c>
      <c r="D25" s="26" t="s">
        <v>244</v>
      </c>
      <c r="E25" s="33" t="str">
        <f>IFERROR(INDEX(tbl_materiais[Polimero_Base],MATCH(D25,tbl_materiais[Material],0)),"")</f>
        <v>PP</v>
      </c>
      <c r="F25" s="34">
        <v>19.3</v>
      </c>
      <c r="G25" s="35">
        <f>IFERROR(INDEX(tbl_materiais[Densidade_g_cm3],MATCH(D25,tbl_materiais[Material],0)),"")</f>
        <v>0.91</v>
      </c>
      <c r="H25" s="33" t="str">
        <f t="shared" si="0"/>
        <v>Sim</v>
      </c>
      <c r="I25" s="26" t="s">
        <v>451</v>
      </c>
      <c r="J25" s="26" t="s">
        <v>319</v>
      </c>
      <c r="K25" s="36">
        <f>IFERROR(INDEX(tbl_materiais[Pct_PCR],MATCH(D25,tbl_materiais[Material],0)),0)</f>
        <v>0.3</v>
      </c>
      <c r="L25" s="26" t="s">
        <v>432</v>
      </c>
      <c r="M25" s="37">
        <v>68993</v>
      </c>
      <c r="N25" s="26" t="s">
        <v>477</v>
      </c>
      <c r="O25" s="32">
        <f t="shared" si="1"/>
        <v>1331.5649000000001</v>
      </c>
    </row>
    <row r="26" spans="1:15" ht="18" customHeight="1" x14ac:dyDescent="0.3">
      <c r="A26" s="26" t="s">
        <v>478</v>
      </c>
      <c r="B26" s="26" t="s">
        <v>479</v>
      </c>
      <c r="C26" s="26" t="s">
        <v>462</v>
      </c>
      <c r="D26" s="26" t="s">
        <v>223</v>
      </c>
      <c r="E26" s="33" t="str">
        <f>IFERROR(INDEX(tbl_materiais[Polimero_Base],MATCH(D26,tbl_materiais[Material],0)),"")</f>
        <v>PE</v>
      </c>
      <c r="F26" s="34">
        <v>21.4</v>
      </c>
      <c r="G26" s="35">
        <f>IFERROR(INDEX(tbl_materiais[Densidade_g_cm3],MATCH(D26,tbl_materiais[Material],0)),"")</f>
        <v>0.95499999999999996</v>
      </c>
      <c r="H26" s="33" t="str">
        <f t="shared" si="0"/>
        <v>Sim</v>
      </c>
      <c r="I26" s="26" t="s">
        <v>451</v>
      </c>
      <c r="J26" s="26" t="s">
        <v>319</v>
      </c>
      <c r="K26" s="36">
        <f>IFERROR(INDEX(tbl_materiais[Pct_PCR],MATCH(D26,tbl_materiais[Material],0)),0)</f>
        <v>0</v>
      </c>
      <c r="L26" s="26" t="s">
        <v>425</v>
      </c>
      <c r="M26" s="37">
        <v>83224</v>
      </c>
      <c r="N26" s="26" t="s">
        <v>480</v>
      </c>
      <c r="O26" s="32">
        <f t="shared" si="1"/>
        <v>1780.9935999999998</v>
      </c>
    </row>
    <row r="27" spans="1:15" ht="18" customHeight="1" x14ac:dyDescent="0.3">
      <c r="A27" s="26" t="s">
        <v>481</v>
      </c>
      <c r="B27" s="26" t="s">
        <v>474</v>
      </c>
      <c r="C27" s="26" t="s">
        <v>462</v>
      </c>
      <c r="D27" s="26" t="s">
        <v>240</v>
      </c>
      <c r="E27" s="33" t="str">
        <f>IFERROR(INDEX(tbl_materiais[Polimero_Base],MATCH(D27,tbl_materiais[Material],0)),"")</f>
        <v>PP</v>
      </c>
      <c r="F27" s="34">
        <v>19.3</v>
      </c>
      <c r="G27" s="35">
        <f>IFERROR(INDEX(tbl_materiais[Densidade_g_cm3],MATCH(D27,tbl_materiais[Material],0)),"")</f>
        <v>0.90500000000000003</v>
      </c>
      <c r="H27" s="33" t="str">
        <f t="shared" si="0"/>
        <v>Sim</v>
      </c>
      <c r="I27" s="26" t="s">
        <v>451</v>
      </c>
      <c r="J27" s="26" t="s">
        <v>319</v>
      </c>
      <c r="K27" s="36">
        <f>IFERROR(INDEX(tbl_materiais[Pct_PCR],MATCH(D27,tbl_materiais[Material],0)),0)</f>
        <v>0</v>
      </c>
      <c r="L27" s="26" t="s">
        <v>429</v>
      </c>
      <c r="M27" s="37">
        <v>466776</v>
      </c>
      <c r="N27" s="26" t="s">
        <v>482</v>
      </c>
      <c r="O27" s="32">
        <f t="shared" si="1"/>
        <v>9008.7768000000015</v>
      </c>
    </row>
    <row r="28" spans="1:15" ht="18" customHeight="1" x14ac:dyDescent="0.3">
      <c r="A28" s="26" t="s">
        <v>483</v>
      </c>
      <c r="B28" s="26" t="s">
        <v>476</v>
      </c>
      <c r="C28" s="26" t="s">
        <v>462</v>
      </c>
      <c r="D28" s="26" t="s">
        <v>244</v>
      </c>
      <c r="E28" s="33" t="str">
        <f>IFERROR(INDEX(tbl_materiais[Polimero_Base],MATCH(D28,tbl_materiais[Material],0)),"")</f>
        <v>PP</v>
      </c>
      <c r="F28" s="34">
        <v>19.3</v>
      </c>
      <c r="G28" s="35">
        <f>IFERROR(INDEX(tbl_materiais[Densidade_g_cm3],MATCH(D28,tbl_materiais[Material],0)),"")</f>
        <v>0.91</v>
      </c>
      <c r="H28" s="33" t="str">
        <f t="shared" si="0"/>
        <v>Sim</v>
      </c>
      <c r="I28" s="26" t="s">
        <v>451</v>
      </c>
      <c r="J28" s="26" t="s">
        <v>319</v>
      </c>
      <c r="K28" s="36">
        <f>IFERROR(INDEX(tbl_materiais[Pct_PCR],MATCH(D28,tbl_materiais[Material],0)),0)</f>
        <v>0.3</v>
      </c>
      <c r="L28" s="26" t="s">
        <v>432</v>
      </c>
      <c r="M28" s="37">
        <v>306687</v>
      </c>
      <c r="N28" s="26" t="s">
        <v>426</v>
      </c>
      <c r="O28" s="32">
        <f t="shared" si="1"/>
        <v>5919.0591000000004</v>
      </c>
    </row>
    <row r="29" spans="1:15" ht="18" customHeight="1" x14ac:dyDescent="0.3">
      <c r="A29" s="26" t="s">
        <v>484</v>
      </c>
      <c r="B29" s="26" t="s">
        <v>479</v>
      </c>
      <c r="C29" s="26" t="s">
        <v>462</v>
      </c>
      <c r="D29" s="26" t="s">
        <v>223</v>
      </c>
      <c r="E29" s="33" t="str">
        <f>IFERROR(INDEX(tbl_materiais[Polimero_Base],MATCH(D29,tbl_materiais[Material],0)),"")</f>
        <v>PE</v>
      </c>
      <c r="F29" s="34">
        <v>21.4</v>
      </c>
      <c r="G29" s="35">
        <f>IFERROR(INDEX(tbl_materiais[Densidade_g_cm3],MATCH(D29,tbl_materiais[Material],0)),"")</f>
        <v>0.95499999999999996</v>
      </c>
      <c r="H29" s="33" t="str">
        <f t="shared" si="0"/>
        <v>Sim</v>
      </c>
      <c r="I29" s="26" t="s">
        <v>451</v>
      </c>
      <c r="J29" s="26" t="s">
        <v>319</v>
      </c>
      <c r="K29" s="36">
        <f>IFERROR(INDEX(tbl_materiais[Pct_PCR],MATCH(D29,tbl_materiais[Material],0)),0)</f>
        <v>0</v>
      </c>
      <c r="L29" s="26" t="s">
        <v>425</v>
      </c>
      <c r="M29" s="37">
        <v>609148</v>
      </c>
      <c r="N29" s="26" t="s">
        <v>426</v>
      </c>
      <c r="O29" s="32">
        <f t="shared" si="1"/>
        <v>13035.767199999998</v>
      </c>
    </row>
    <row r="30" spans="1:15" ht="18" customHeight="1" x14ac:dyDescent="0.3">
      <c r="A30" s="26" t="s">
        <v>485</v>
      </c>
      <c r="B30" s="26" t="s">
        <v>486</v>
      </c>
      <c r="C30" s="26" t="s">
        <v>462</v>
      </c>
      <c r="D30" s="26" t="s">
        <v>240</v>
      </c>
      <c r="E30" s="33" t="str">
        <f>IFERROR(INDEX(tbl_materiais[Polimero_Base],MATCH(D30,tbl_materiais[Material],0)),"")</f>
        <v>PP</v>
      </c>
      <c r="F30" s="34">
        <v>19.3</v>
      </c>
      <c r="G30" s="35">
        <f>IFERROR(INDEX(tbl_materiais[Densidade_g_cm3],MATCH(D30,tbl_materiais[Material],0)),"")</f>
        <v>0.90500000000000003</v>
      </c>
      <c r="H30" s="33" t="str">
        <f t="shared" si="0"/>
        <v>Sim</v>
      </c>
      <c r="I30" s="26" t="s">
        <v>487</v>
      </c>
      <c r="J30" s="26" t="s">
        <v>319</v>
      </c>
      <c r="K30" s="36">
        <f>IFERROR(INDEX(tbl_materiais[Pct_PCR],MATCH(D30,tbl_materiais[Material],0)),0)</f>
        <v>0</v>
      </c>
      <c r="L30" s="26" t="s">
        <v>429</v>
      </c>
      <c r="M30" s="37">
        <v>321170</v>
      </c>
      <c r="N30" s="26" t="s">
        <v>426</v>
      </c>
      <c r="O30" s="32">
        <f t="shared" si="1"/>
        <v>6198.5810000000001</v>
      </c>
    </row>
    <row r="31" spans="1:15" ht="18" customHeight="1" x14ac:dyDescent="0.3">
      <c r="A31" s="26" t="s">
        <v>488</v>
      </c>
      <c r="B31" s="26" t="s">
        <v>489</v>
      </c>
      <c r="C31" s="26" t="s">
        <v>462</v>
      </c>
      <c r="D31" s="26" t="s">
        <v>244</v>
      </c>
      <c r="E31" s="33" t="str">
        <f>IFERROR(INDEX(tbl_materiais[Polimero_Base],MATCH(D31,tbl_materiais[Material],0)),"")</f>
        <v>PP</v>
      </c>
      <c r="F31" s="34">
        <v>19.3</v>
      </c>
      <c r="G31" s="35">
        <f>IFERROR(INDEX(tbl_materiais[Densidade_g_cm3],MATCH(D31,tbl_materiais[Material],0)),"")</f>
        <v>0.91</v>
      </c>
      <c r="H31" s="33" t="str">
        <f t="shared" si="0"/>
        <v>Sim</v>
      </c>
      <c r="I31" s="26" t="s">
        <v>487</v>
      </c>
      <c r="J31" s="26" t="s">
        <v>319</v>
      </c>
      <c r="K31" s="36">
        <f>IFERROR(INDEX(tbl_materiais[Pct_PCR],MATCH(D31,tbl_materiais[Material],0)),0)</f>
        <v>0.3</v>
      </c>
      <c r="L31" s="26" t="s">
        <v>432</v>
      </c>
      <c r="M31" s="37">
        <v>407385</v>
      </c>
      <c r="N31" s="26" t="s">
        <v>426</v>
      </c>
      <c r="O31" s="32">
        <f t="shared" si="1"/>
        <v>7862.5304999999998</v>
      </c>
    </row>
    <row r="32" spans="1:15" ht="18" customHeight="1" x14ac:dyDescent="0.3">
      <c r="A32" s="26" t="s">
        <v>490</v>
      </c>
      <c r="B32" s="26" t="s">
        <v>491</v>
      </c>
      <c r="C32" s="26" t="s">
        <v>462</v>
      </c>
      <c r="D32" s="26" t="s">
        <v>223</v>
      </c>
      <c r="E32" s="33" t="str">
        <f>IFERROR(INDEX(tbl_materiais[Polimero_Base],MATCH(D32,tbl_materiais[Material],0)),"")</f>
        <v>PE</v>
      </c>
      <c r="F32" s="34">
        <v>21.4</v>
      </c>
      <c r="G32" s="35">
        <f>IFERROR(INDEX(tbl_materiais[Densidade_g_cm3],MATCH(D32,tbl_materiais[Material],0)),"")</f>
        <v>0.95499999999999996</v>
      </c>
      <c r="H32" s="33" t="str">
        <f t="shared" si="0"/>
        <v>Sim</v>
      </c>
      <c r="I32" s="26" t="s">
        <v>487</v>
      </c>
      <c r="J32" s="26" t="s">
        <v>319</v>
      </c>
      <c r="K32" s="36">
        <f>IFERROR(INDEX(tbl_materiais[Pct_PCR],MATCH(D32,tbl_materiais[Material],0)),0)</f>
        <v>0</v>
      </c>
      <c r="L32" s="26" t="s">
        <v>425</v>
      </c>
      <c r="M32" s="37">
        <v>302458</v>
      </c>
      <c r="N32" s="26" t="s">
        <v>426</v>
      </c>
      <c r="O32" s="32">
        <f t="shared" si="1"/>
        <v>6472.6011999999992</v>
      </c>
    </row>
    <row r="33" spans="1:15" ht="18" customHeight="1" x14ac:dyDescent="0.3">
      <c r="A33" s="26" t="s">
        <v>492</v>
      </c>
      <c r="B33" s="26" t="s">
        <v>493</v>
      </c>
      <c r="C33" s="26" t="s">
        <v>494</v>
      </c>
      <c r="D33" s="26" t="s">
        <v>246</v>
      </c>
      <c r="E33" s="33" t="str">
        <f>IFERROR(INDEX(tbl_materiais[Polimero_Base],MATCH(D33,tbl_materiais[Material],0)),"")</f>
        <v>PP</v>
      </c>
      <c r="F33" s="34">
        <v>11.5</v>
      </c>
      <c r="G33" s="35">
        <f>IFERROR(INDEX(tbl_materiais[Densidade_g_cm3],MATCH(D33,tbl_materiais[Material],0)),"")</f>
        <v>0.90500000000000003</v>
      </c>
      <c r="H33" s="33" t="str">
        <f t="shared" si="0"/>
        <v>Sim</v>
      </c>
      <c r="I33" s="26" t="s">
        <v>424</v>
      </c>
      <c r="J33" s="26" t="s">
        <v>319</v>
      </c>
      <c r="K33" s="36">
        <f>IFERROR(INDEX(tbl_materiais[Pct_PCR],MATCH(D33,tbl_materiais[Material],0)),0)</f>
        <v>0</v>
      </c>
      <c r="L33" s="26" t="s">
        <v>495</v>
      </c>
      <c r="M33" s="37">
        <v>181886</v>
      </c>
      <c r="N33" s="26" t="s">
        <v>496</v>
      </c>
      <c r="O33" s="32">
        <f t="shared" si="1"/>
        <v>2091.6889999999999</v>
      </c>
    </row>
    <row r="34" spans="1:15" ht="18" customHeight="1" x14ac:dyDescent="0.3">
      <c r="A34" s="26" t="s">
        <v>497</v>
      </c>
      <c r="B34" s="26" t="s">
        <v>498</v>
      </c>
      <c r="C34" s="26" t="s">
        <v>499</v>
      </c>
      <c r="D34" s="26" t="s">
        <v>240</v>
      </c>
      <c r="E34" s="33" t="str">
        <f>IFERROR(INDEX(tbl_materiais[Polimero_Base],MATCH(D34,tbl_materiais[Material],0)),"")</f>
        <v>PP</v>
      </c>
      <c r="F34" s="34">
        <v>16.5</v>
      </c>
      <c r="G34" s="35">
        <f>IFERROR(INDEX(tbl_materiais[Densidade_g_cm3],MATCH(D34,tbl_materiais[Material],0)),"")</f>
        <v>0.90500000000000003</v>
      </c>
      <c r="H34" s="33" t="str">
        <f t="shared" si="0"/>
        <v>Sim</v>
      </c>
      <c r="I34" s="26" t="s">
        <v>500</v>
      </c>
      <c r="J34" s="26" t="s">
        <v>319</v>
      </c>
      <c r="K34" s="36">
        <f>IFERROR(INDEX(tbl_materiais[Pct_PCR],MATCH(D34,tbl_materiais[Material],0)),0)</f>
        <v>0</v>
      </c>
      <c r="L34" s="26" t="s">
        <v>429</v>
      </c>
      <c r="M34" s="37">
        <v>186914</v>
      </c>
      <c r="N34" s="26" t="s">
        <v>501</v>
      </c>
      <c r="O34" s="32">
        <f t="shared" si="1"/>
        <v>3084.0810000000001</v>
      </c>
    </row>
    <row r="35" spans="1:15" ht="18" customHeight="1" x14ac:dyDescent="0.3">
      <c r="A35" s="26" t="s">
        <v>502</v>
      </c>
      <c r="B35" s="26" t="s">
        <v>503</v>
      </c>
      <c r="C35" s="26" t="s">
        <v>499</v>
      </c>
      <c r="D35" s="26" t="s">
        <v>246</v>
      </c>
      <c r="E35" s="33" t="str">
        <f>IFERROR(INDEX(tbl_materiais[Polimero_Base],MATCH(D35,tbl_materiais[Material],0)),"")</f>
        <v>PP</v>
      </c>
      <c r="F35" s="34">
        <v>16.5</v>
      </c>
      <c r="G35" s="35">
        <f>IFERROR(INDEX(tbl_materiais[Densidade_g_cm3],MATCH(D35,tbl_materiais[Material],0)),"")</f>
        <v>0.90500000000000003</v>
      </c>
      <c r="H35" s="33" t="str">
        <f t="shared" si="0"/>
        <v>Sim</v>
      </c>
      <c r="I35" s="26" t="s">
        <v>500</v>
      </c>
      <c r="J35" s="26" t="s">
        <v>319</v>
      </c>
      <c r="K35" s="36">
        <f>IFERROR(INDEX(tbl_materiais[Pct_PCR],MATCH(D35,tbl_materiais[Material],0)),0)</f>
        <v>0</v>
      </c>
      <c r="L35" s="26" t="s">
        <v>495</v>
      </c>
      <c r="M35" s="37">
        <v>218005</v>
      </c>
      <c r="N35" s="26" t="s">
        <v>501</v>
      </c>
      <c r="O35" s="32">
        <f t="shared" si="1"/>
        <v>3597.0825</v>
      </c>
    </row>
    <row r="36" spans="1:15" ht="18" customHeight="1" x14ac:dyDescent="0.3">
      <c r="A36" s="26" t="s">
        <v>504</v>
      </c>
      <c r="B36" s="26" t="s">
        <v>505</v>
      </c>
      <c r="C36" s="26" t="s">
        <v>423</v>
      </c>
      <c r="D36" s="26" t="s">
        <v>237</v>
      </c>
      <c r="E36" s="33" t="str">
        <f>IFERROR(INDEX(tbl_materiais[Polimero_Base],MATCH(D36,tbl_materiais[Material],0)),"")</f>
        <v>PE</v>
      </c>
      <c r="F36" s="34">
        <v>15.9</v>
      </c>
      <c r="G36" s="35">
        <f>IFERROR(INDEX(tbl_materiais[Densidade_g_cm3],MATCH(D36,tbl_materiais[Material],0)),"")</f>
        <v>0.95499999999999996</v>
      </c>
      <c r="H36" s="33" t="str">
        <f t="shared" si="0"/>
        <v>Sim</v>
      </c>
      <c r="I36" s="26" t="s">
        <v>451</v>
      </c>
      <c r="J36" s="26" t="s">
        <v>319</v>
      </c>
      <c r="K36" s="36">
        <f>IFERROR(INDEX(tbl_materiais[Pct_PCR],MATCH(D36,tbl_materiais[Material],0)),0)</f>
        <v>0</v>
      </c>
      <c r="L36" s="26" t="s">
        <v>506</v>
      </c>
      <c r="M36" s="37">
        <v>0</v>
      </c>
      <c r="N36" s="26"/>
      <c r="O36" s="32">
        <f t="shared" si="1"/>
        <v>0</v>
      </c>
    </row>
    <row r="37" spans="1:15" ht="18" customHeight="1" x14ac:dyDescent="0.3">
      <c r="A37" s="26" t="s">
        <v>507</v>
      </c>
      <c r="B37" s="26" t="s">
        <v>508</v>
      </c>
      <c r="C37" s="26" t="s">
        <v>423</v>
      </c>
      <c r="D37" s="26" t="s">
        <v>245</v>
      </c>
      <c r="E37" s="33" t="str">
        <f>IFERROR(INDEX(tbl_materiais[Polimero_Base],MATCH(D37,tbl_materiais[Material],0)),"")</f>
        <v>PP</v>
      </c>
      <c r="F37" s="34">
        <v>15.9</v>
      </c>
      <c r="G37" s="35">
        <f>IFERROR(INDEX(tbl_materiais[Densidade_g_cm3],MATCH(D37,tbl_materiais[Material],0)),"")</f>
        <v>0.90500000000000003</v>
      </c>
      <c r="H37" s="33" t="str">
        <f t="shared" si="0"/>
        <v>Sim</v>
      </c>
      <c r="I37" s="26" t="s">
        <v>451</v>
      </c>
      <c r="J37" s="26" t="s">
        <v>319</v>
      </c>
      <c r="K37" s="36">
        <f>IFERROR(INDEX(tbl_materiais[Pct_PCR],MATCH(D37,tbl_materiais[Material],0)),0)</f>
        <v>0</v>
      </c>
      <c r="L37" s="26" t="s">
        <v>509</v>
      </c>
      <c r="M37" s="37">
        <v>0</v>
      </c>
      <c r="N37" s="26"/>
      <c r="O37" s="32">
        <f t="shared" si="1"/>
        <v>0</v>
      </c>
    </row>
  </sheetData>
  <dataValidations count="2">
    <dataValidation type="list" allowBlank="1" showErrorMessage="1" errorTitle="Valor inválido" error="Valor fora da lista controlada (ver folha Listas)." sqref="D2:D237" xr:uid="{00000000-0002-0000-0600-000000000000}">
      <formula1>lst_Material</formula1>
    </dataValidation>
    <dataValidation type="list" allowBlank="1" showErrorMessage="1" errorTitle="Valor inválido" error="Valor fora da lista controlada (ver folha Listas)." sqref="J2:J237" xr:uid="{00000000-0002-0000-0600-000001000000}">
      <formula1>lst_Vedante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CB117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22" customWidth="1"/>
    <col min="3" max="3" width="8" customWidth="1"/>
    <col min="4" max="4" width="20" customWidth="1"/>
    <col min="5" max="5" width="26" customWidth="1"/>
    <col min="6" max="6" width="16" customWidth="1"/>
    <col min="7" max="7" width="9" customWidth="1"/>
    <col min="8" max="8" width="8" customWidth="1"/>
    <col min="9" max="9" width="9" customWidth="1"/>
    <col min="10" max="10" width="10" customWidth="1"/>
    <col min="11" max="11" width="8" customWidth="1"/>
    <col min="12" max="12" width="20" customWidth="1"/>
    <col min="13" max="13" width="34" customWidth="1"/>
    <col min="14" max="14" width="16" customWidth="1"/>
    <col min="15" max="15" width="22" customWidth="1"/>
    <col min="16" max="16" width="20" customWidth="1"/>
    <col min="17" max="17" width="8" customWidth="1"/>
    <col min="18" max="18" width="9" customWidth="1"/>
    <col min="19" max="19" width="20" customWidth="1"/>
    <col min="20" max="20" width="8" customWidth="1"/>
    <col min="21" max="22" width="22" customWidth="1"/>
    <col min="23" max="23" width="9" customWidth="1"/>
    <col min="24" max="25" width="8" customWidth="1"/>
    <col min="26" max="26" width="14" customWidth="1"/>
    <col min="27" max="28" width="20" customWidth="1"/>
    <col min="29" max="30" width="8" customWidth="1"/>
    <col min="31" max="31" width="28" customWidth="1"/>
    <col min="32" max="32" width="16" customWidth="1"/>
    <col min="33" max="33" width="7" customWidth="1"/>
    <col min="34" max="34" width="18" customWidth="1"/>
    <col min="35" max="45" width="8" customWidth="1"/>
    <col min="46" max="46" width="7" customWidth="1"/>
    <col min="47" max="47" width="8" customWidth="1"/>
    <col min="48" max="48" width="7" customWidth="1"/>
    <col min="49" max="49" width="16" customWidth="1"/>
    <col min="50" max="50" width="44" customWidth="1"/>
    <col min="51" max="51" width="8" customWidth="1"/>
    <col min="52" max="54" width="7" customWidth="1"/>
    <col min="55" max="57" width="8" customWidth="1"/>
    <col min="58" max="58" width="12" customWidth="1"/>
    <col min="59" max="59" width="16" customWidth="1"/>
    <col min="60" max="61" width="12" customWidth="1"/>
    <col min="62" max="64" width="8" customWidth="1"/>
    <col min="65" max="65" width="30" customWidth="1"/>
    <col min="66" max="67" width="8" customWidth="1"/>
    <col min="68" max="68" width="10" customWidth="1"/>
    <col min="69" max="69" width="22" customWidth="1"/>
    <col min="70" max="70" width="11" customWidth="1"/>
    <col min="71" max="71" width="7" customWidth="1"/>
    <col min="72" max="72" width="16" customWidth="1"/>
    <col min="73" max="73" width="10" customWidth="1"/>
    <col min="74" max="74" width="9" customWidth="1"/>
    <col min="75" max="75" width="7" customWidth="1"/>
    <col min="76" max="77" width="11" customWidth="1"/>
    <col min="78" max="79" width="22" customWidth="1"/>
    <col min="80" max="80" width="40" customWidth="1"/>
  </cols>
  <sheetData>
    <row r="1" spans="1:80" ht="17.399999999999999" x14ac:dyDescent="0.3">
      <c r="A1" s="1" t="s">
        <v>510</v>
      </c>
    </row>
    <row r="2" spans="1:80" x14ac:dyDescent="0.3">
      <c r="A2" s="2" t="s">
        <v>511</v>
      </c>
    </row>
    <row r="4" spans="1:80" ht="52.8" x14ac:dyDescent="0.3">
      <c r="A4" s="12" t="s">
        <v>512</v>
      </c>
      <c r="B4" s="12" t="s">
        <v>513</v>
      </c>
      <c r="C4" s="12" t="s">
        <v>514</v>
      </c>
      <c r="D4" s="12" t="s">
        <v>515</v>
      </c>
      <c r="E4" s="12" t="s">
        <v>516</v>
      </c>
      <c r="F4" s="12" t="s">
        <v>517</v>
      </c>
      <c r="G4" s="12" t="s">
        <v>418</v>
      </c>
      <c r="H4" s="12" t="s">
        <v>518</v>
      </c>
      <c r="I4" s="12" t="s">
        <v>519</v>
      </c>
      <c r="J4" s="12" t="s">
        <v>520</v>
      </c>
      <c r="K4" s="30" t="s">
        <v>521</v>
      </c>
      <c r="L4" s="30" t="s">
        <v>215</v>
      </c>
      <c r="M4" s="30" t="s">
        <v>522</v>
      </c>
      <c r="N4" s="12" t="s">
        <v>523</v>
      </c>
      <c r="O4" s="12" t="s">
        <v>524</v>
      </c>
      <c r="P4" s="12" t="s">
        <v>525</v>
      </c>
      <c r="Q4" s="12" t="s">
        <v>526</v>
      </c>
      <c r="R4" s="30" t="s">
        <v>527</v>
      </c>
      <c r="S4" s="12" t="s">
        <v>528</v>
      </c>
      <c r="T4" s="12" t="s">
        <v>529</v>
      </c>
      <c r="U4" s="12" t="s">
        <v>530</v>
      </c>
      <c r="V4" s="12" t="s">
        <v>531</v>
      </c>
      <c r="W4" s="30" t="s">
        <v>532</v>
      </c>
      <c r="X4" s="30" t="s">
        <v>533</v>
      </c>
      <c r="Y4" s="30" t="s">
        <v>534</v>
      </c>
      <c r="Z4" s="12" t="s">
        <v>535</v>
      </c>
      <c r="AA4" s="12" t="s">
        <v>536</v>
      </c>
      <c r="AB4" s="12" t="s">
        <v>537</v>
      </c>
      <c r="AC4" s="12" t="s">
        <v>538</v>
      </c>
      <c r="AD4" s="12" t="s">
        <v>539</v>
      </c>
      <c r="AE4" s="12" t="s">
        <v>540</v>
      </c>
      <c r="AF4" s="12" t="s">
        <v>541</v>
      </c>
      <c r="AG4" s="12" t="s">
        <v>542</v>
      </c>
      <c r="AH4" s="30" t="s">
        <v>543</v>
      </c>
      <c r="AI4" s="12" t="s">
        <v>544</v>
      </c>
      <c r="AJ4" s="30" t="s">
        <v>545</v>
      </c>
      <c r="AK4" s="30" t="s">
        <v>546</v>
      </c>
      <c r="AL4" s="30" t="s">
        <v>547</v>
      </c>
      <c r="AM4" s="30" t="s">
        <v>548</v>
      </c>
      <c r="AN4" s="30" t="s">
        <v>549</v>
      </c>
      <c r="AO4" s="30" t="s">
        <v>550</v>
      </c>
      <c r="AP4" s="30" t="s">
        <v>551</v>
      </c>
      <c r="AQ4" s="30" t="s">
        <v>552</v>
      </c>
      <c r="AR4" s="30" t="s">
        <v>553</v>
      </c>
      <c r="AS4" s="30" t="s">
        <v>554</v>
      </c>
      <c r="AT4" s="30" t="s">
        <v>555</v>
      </c>
      <c r="AU4" s="30" t="s">
        <v>556</v>
      </c>
      <c r="AV4" s="30" t="s">
        <v>557</v>
      </c>
      <c r="AW4" s="30" t="s">
        <v>558</v>
      </c>
      <c r="AX4" s="30" t="s">
        <v>270</v>
      </c>
      <c r="AY4" s="30" t="s">
        <v>559</v>
      </c>
      <c r="AZ4" s="30" t="s">
        <v>560</v>
      </c>
      <c r="BA4" s="30" t="s">
        <v>561</v>
      </c>
      <c r="BB4" s="30" t="s">
        <v>562</v>
      </c>
      <c r="BC4" s="30" t="s">
        <v>563</v>
      </c>
      <c r="BD4" s="30" t="s">
        <v>564</v>
      </c>
      <c r="BE4" s="30" t="s">
        <v>565</v>
      </c>
      <c r="BF4" s="30" t="s">
        <v>566</v>
      </c>
      <c r="BG4" s="30" t="s">
        <v>567</v>
      </c>
      <c r="BH4" s="30" t="s">
        <v>568</v>
      </c>
      <c r="BI4" s="30" t="s">
        <v>569</v>
      </c>
      <c r="BJ4" s="30" t="s">
        <v>570</v>
      </c>
      <c r="BK4" s="30" t="s">
        <v>571</v>
      </c>
      <c r="BL4" s="30" t="s">
        <v>572</v>
      </c>
      <c r="BM4" s="30" t="s">
        <v>198</v>
      </c>
      <c r="BN4" s="30" t="s">
        <v>199</v>
      </c>
      <c r="BO4" s="30" t="s">
        <v>573</v>
      </c>
      <c r="BP4" s="30" t="s">
        <v>574</v>
      </c>
      <c r="BQ4" s="30" t="s">
        <v>575</v>
      </c>
      <c r="BR4" s="12" t="s">
        <v>419</v>
      </c>
      <c r="BS4" s="12" t="s">
        <v>576</v>
      </c>
      <c r="BT4" s="12" t="s">
        <v>420</v>
      </c>
      <c r="BU4" s="30" t="s">
        <v>222</v>
      </c>
      <c r="BV4" s="30" t="s">
        <v>577</v>
      </c>
      <c r="BW4" s="30" t="s">
        <v>578</v>
      </c>
      <c r="BX4" s="12" t="s">
        <v>579</v>
      </c>
      <c r="BY4" s="30" t="s">
        <v>580</v>
      </c>
      <c r="BZ4" s="12" t="s">
        <v>581</v>
      </c>
      <c r="CA4" s="12" t="s">
        <v>582</v>
      </c>
      <c r="CB4" s="12" t="s">
        <v>583</v>
      </c>
    </row>
    <row r="5" spans="1:80" ht="18" customHeight="1" x14ac:dyDescent="0.3">
      <c r="A5" s="26" t="s">
        <v>584</v>
      </c>
      <c r="B5" s="26" t="s">
        <v>585</v>
      </c>
      <c r="C5" s="26" t="s">
        <v>586</v>
      </c>
      <c r="D5" s="26" t="s">
        <v>587</v>
      </c>
      <c r="E5" s="26" t="s">
        <v>588</v>
      </c>
      <c r="F5" s="26" t="s">
        <v>589</v>
      </c>
      <c r="G5" s="26" t="s">
        <v>590</v>
      </c>
      <c r="H5" s="37">
        <v>300</v>
      </c>
      <c r="I5" s="37">
        <v>115</v>
      </c>
      <c r="J5" s="26" t="s">
        <v>223</v>
      </c>
      <c r="K5" s="33" t="str">
        <f>IFERROR(INDEX(tbl_materiais[Polimero_Base],MATCH(J5,tbl_materiais[Material],0)),"")</f>
        <v>PE</v>
      </c>
      <c r="L5" s="33" t="str">
        <f>IFERROR(INDEX(tbl_materiais[Fluxo_Reciclagem],MATCH(J5,tbl_materiais[Material],0)),"")</f>
        <v>PE rígido</v>
      </c>
      <c r="M5" s="33" t="str">
        <f t="shared" ref="M5:M36" si="0">IF(L5="PE rígido","PE rígido — frascos e contentores (HDPE/LDPE)",IF(L5="PP rígido","PP rígido — frascos, potes e contentores",IF(L5="PET frascos e garrafas",IF(O5="Natural / incolor","PET — garrafas/frascos transparentes incolores","PET — garrafas/frascos coloridos ou opacos"),"Sem categoria RecyClass ("&amp;K5&amp;")")))</f>
        <v>PE rígido — frascos e contentores (HDPE/LDPE)</v>
      </c>
      <c r="N5" s="26" t="s">
        <v>591</v>
      </c>
      <c r="O5" s="26" t="s">
        <v>283</v>
      </c>
      <c r="P5" s="26" t="s">
        <v>592</v>
      </c>
      <c r="Q5" s="29">
        <v>0.02</v>
      </c>
      <c r="R5" s="35">
        <f>IFERROR(ROUND(INDEX(tbl_materiais[Densidade_g_cm3],MATCH(J5,tbl_materiais[Material],0))+Q5*1.2,3),"")</f>
        <v>0.97899999999999998</v>
      </c>
      <c r="S5" s="26" t="s">
        <v>302</v>
      </c>
      <c r="T5" s="34">
        <v>22</v>
      </c>
      <c r="U5" s="26" t="s">
        <v>593</v>
      </c>
      <c r="V5" s="26" t="s">
        <v>421</v>
      </c>
      <c r="W5" s="33" t="str">
        <f>IF(V5="","",IFERROR(INDEX(tbl_tampas[Material],MATCH(V5,tbl_tampas[CapId],0)),""))</f>
        <v>HDPE</v>
      </c>
      <c r="X5" s="33" t="str">
        <f>IF(V5="","Sem tampa",IFERROR(INDEX(tbl_materiais[Polimero_Base],MATCH(W5,tbl_materiais[Material],0)),""))</f>
        <v>PE</v>
      </c>
      <c r="Y5" s="38">
        <f>IF(V5="",0,IFERROR(INDEX(tbl_tampas[Massa_g],MATCH(V5,tbl_tampas[CapId],0)),0))</f>
        <v>11.5</v>
      </c>
      <c r="Z5" s="26" t="s">
        <v>319</v>
      </c>
      <c r="AA5" s="26" t="s">
        <v>326</v>
      </c>
      <c r="AB5" s="26" t="s">
        <v>340</v>
      </c>
      <c r="AC5" s="29">
        <v>0</v>
      </c>
      <c r="AD5" s="27">
        <v>0</v>
      </c>
      <c r="AE5" s="26" t="s">
        <v>594</v>
      </c>
      <c r="AF5" s="26" t="s">
        <v>595</v>
      </c>
      <c r="AG5" s="39">
        <v>1</v>
      </c>
      <c r="AH5" s="33" t="str">
        <f t="shared" ref="AH5:AH36" si="1">IF(AF5="Serigrafia",IF(AG5&gt;=3,"Serigrafia ≥ 3 cores","Serigrafia 1–2 cores"),AF5)</f>
        <v>Serigrafia 1–2 cores</v>
      </c>
      <c r="AI5" s="27">
        <v>0.08</v>
      </c>
      <c r="AJ5" s="33" t="str">
        <f>IFERROR(INDEX(tbl_regras_dfr[Classe],MATCH(L5&amp;"|Fluxo de reciclagem|"&amp;L5,tbl_regras_dfr[Chave],0)),"Sem regra")</f>
        <v>A</v>
      </c>
      <c r="AK5" s="33" t="str">
        <f>IF(LEFT(L5,9)="Sem fluxo","—",IFERROR(INDEX(tbl_regras_dfr[Classe],MATCH(L5&amp;"|Cor do corpo|"&amp;O5,tbl_regras_dfr[Chave],0)),"Sem regra"))</f>
        <v>B</v>
      </c>
      <c r="AL5" s="33" t="str">
        <f>IF(LEFT(L5,9)="Sem fluxo","—",IFERROR(INDEX(tbl_regras_dfr[Classe],MATCH(L5&amp;"|Densidade do corpo|"&amp;IF(R5&lt;1,"&lt; 1,0 g/cm³","≥ 1,0 g/cm³"),tbl_regras_dfr[Chave],0)),"Sem regra"))</f>
        <v>A</v>
      </c>
      <c r="AM5" s="33" t="str">
        <f>IF(LEFT(L5,9)="Sem fluxo","—",IFERROR(INDEX(tbl_regras_dfr[Classe],MATCH(L5&amp;"|Barreira / revestimento|"&amp;S5,tbl_regras_dfr[Chave],0)),"Sem regra"))</f>
        <v>A</v>
      </c>
      <c r="AN5" s="33" t="str">
        <f>IF(LEFT(L5,9)="Sem fluxo","—",IFERROR(INDEX(tbl_regras_dfr[Classe],MATCH(L5&amp;"|Material da tampa|"&amp;X5,tbl_regras_dfr[Chave],0)),"Sem regra"))</f>
        <v>A</v>
      </c>
      <c r="AO5" s="33" t="str">
        <f>IF(LEFT(L5,9)="Sem fluxo","—",IFERROR(INDEX(tbl_regras_dfr[Classe],MATCH(L5&amp;"|Vedante / liner|"&amp;Z5,tbl_regras_dfr[Chave],0)),"Sem regra"))</f>
        <v>A</v>
      </c>
      <c r="AP5" s="33" t="str">
        <f>IF(LEFT(L5,9)="Sem fluxo","—",IFERROR(INDEX(tbl_regras_dfr[Classe],MATCH(L5&amp;"|Tipo de rótulo|"&amp;AA5,tbl_regras_dfr[Chave],0)),"Sem regra"))</f>
        <v>A</v>
      </c>
      <c r="AQ5" s="33" t="str">
        <f>IF(LEFT(L5,9)="Sem fluxo","—",IFERROR(INDEX(tbl_regras_dfr[Classe],MATCH(L5&amp;"|Adesivo do rótulo|"&amp;AB5,tbl_regras_dfr[Chave],0)),"Sem regra"))</f>
        <v>A</v>
      </c>
      <c r="AR5" s="33" t="str">
        <f>IF(LEFT(L5,9)="Sem fluxo","—",IFERROR(INDEX(tbl_regras_dfr[Classe],MATCH(L5&amp;"|Cobertura do rótulo|"&amp;IF(AC5&gt;0.7,"&gt; 70% da superfície","≤ 70% da superfície"),tbl_regras_dfr[Chave],0)),"Sem regra"))</f>
        <v>A</v>
      </c>
      <c r="AS5" s="33" t="str">
        <f>IF(LEFT(L5,9)="Sem fluxo","—",IFERROR(INDEX(tbl_regras_dfr[Classe],MATCH(L5&amp;"|Decoração direta|"&amp;AH5,tbl_regras_dfr[Chave],0)),"Sem regra"))</f>
        <v>B</v>
      </c>
      <c r="AT5" s="31">
        <f t="shared" ref="AT5:AT36" si="2">IF(COUNTIF(AJ5:AS5,"F"),6,IF(COUNTIF(AJ5:AS5,"E"),5,IF(COUNTIF(AJ5:AS5,"D"),4,IF(COUNTIF(AJ5:AS5,"C"),3,IF(COUNTIF(AJ5:AS5,"B"),2,IF(COUNTIF(AJ5:AS5,"A"),1,0))))))</f>
        <v>2</v>
      </c>
      <c r="AU5" s="33" t="str">
        <f>IF(AT5=0,"",INDEX({"A","B","C","D","E","F"},AT5))</f>
        <v>B</v>
      </c>
      <c r="AV5" s="31">
        <f t="shared" ref="AV5:AV36" si="3">COUNTIF(AJ5:AS5,"Sem regra")</f>
        <v>0</v>
      </c>
      <c r="AW5" s="33" t="str">
        <f t="shared" ref="AW5:AW36" si="4">IF(OR(AU5="",AU5="A"),"—",SUBSTITUTE(INDEX($AJ$4:$AS$4,MATCH(AU5,AJ5:AS5,0)),"Classe_",""))</f>
        <v>Cor</v>
      </c>
      <c r="AX5" s="33" t="str">
        <f>IF(AU5="A","Sem ação — manter o design.",IFERROR(INDEX(tbl_regras_dfr[Recomendacao],MATCH(CHOOSE(MATCH(AU5,AJ5:AS5,0),L5&amp;"|Fluxo de reciclagem|"&amp;L5,L5&amp;"|Cor do corpo|"&amp;O5,L5&amp;"|Densidade do corpo|"&amp;IF(R5&lt;1,"&lt; 1,0 g/cm³","≥ 1,0 g/cm³"),L5&amp;"|Barreira / revestimento|"&amp;S5,L5&amp;"|Material da tampa|"&amp;X5,L5&amp;"|Vedante / liner|"&amp;Z5,L5&amp;"|Tipo de rótulo|"&amp;AA5,L5&amp;"|Adesivo do rótulo|"&amp;AB5,L5&amp;"|Cobertura do rótulo|"&amp;IF(AC5&gt;0.7,"&gt; 70% da superfície","≤ 70% da superfície"),L5&amp;"|Decoração direta|"&amp;AH5),tbl_regras_dfr[Chave],0)),""))</f>
        <v>Preferir natural, branco ou cores claras.</v>
      </c>
      <c r="AY5" s="38">
        <f t="shared" ref="AY5:AY36" si="5">T5+Y5+AD5+AI5</f>
        <v>33.58</v>
      </c>
      <c r="AZ5" s="36">
        <f>MIN(IFERROR(INDEX(tbl_regras_dfr[Fracao_Reciclavel],MATCH(L5&amp;"|Fluxo de reciclagem|"&amp;L5,tbl_regras_dfr[Chave],0)),0),IFERROR(INDEX(tbl_regras_dfr[Fracao_Reciclavel],MATCH(L5&amp;"|Cor do corpo|"&amp;O5,tbl_regras_dfr[Chave],0)),0))</f>
        <v>1</v>
      </c>
      <c r="BA5" s="36">
        <f>IFERROR(INDEX(tbl_regras_dfr[Fracao_Reciclavel],MATCH(L5&amp;"|Material da tampa|"&amp;X5,tbl_regras_dfr[Chave],0)),0)</f>
        <v>1</v>
      </c>
      <c r="BB5" s="36">
        <f>IFERROR(INDEX(tbl_regras_dfr[Fracao_Reciclavel],MATCH(L5&amp;"|Tipo de rótulo|"&amp;AA5,tbl_regras_dfr[Chave],0)),0)</f>
        <v>1</v>
      </c>
      <c r="BC5" s="38">
        <f t="shared" ref="BC5:BC36" si="6">AZ5*(T5+Y5*BA5+AD5*BB5)</f>
        <v>33.5</v>
      </c>
      <c r="BD5" s="40">
        <f t="shared" ref="BD5:BD36" si="7">IFERROR(BC5/AY5,0)</f>
        <v>0.99761762954139377</v>
      </c>
      <c r="BE5" s="33" t="str">
        <f>IF(BD5&gt;=INDEX(tbl_param_emb[Valor],MATCH("P-06",tbl_param_emb[ID_Parametro],0)),"A",IF(BD5&gt;=INDEX(tbl_param_emb[Valor],MATCH("P-07",tbl_param_emb[ID_Parametro],0)),"B",IF(BD5&gt;=INDEX(tbl_param_emb[Valor],MATCH("P-08",tbl_param_emb[ID_Parametro],0)),"C","&lt; 70%")))</f>
        <v>A</v>
      </c>
      <c r="BF5" s="33" t="str">
        <f>IF(AU5="F","Não reciclável (F)",INDEX({"A","B","C","Abaixo de C"},MAX(MIN(AT5,4),IF(BE5="A",1,IF(BE5="B",2,IF(BE5="C",3,4))))))</f>
        <v>B</v>
      </c>
      <c r="BG5" s="33" t="str">
        <f t="shared" ref="BG5:BG36" si="8">IF(D5="Farmacêutico","Isento até 2035","—")</f>
        <v>—</v>
      </c>
      <c r="BH5" s="33" t="str">
        <f t="shared" ref="BH5:BH36" si="9">IF(BG5&lt;&gt;"—",BG5,IF(OR(BF5="A",BF5="B",BF5="C"),"Sim","Não"))</f>
        <v>Sim</v>
      </c>
      <c r="BI5" s="33" t="str">
        <f t="shared" ref="BI5:BI36" si="10">IF(BG5&lt;&gt;"—",BG5,IF(OR(BF5="A",BF5="B"),"Sim","Não"))</f>
        <v>Sim</v>
      </c>
      <c r="BJ5" s="36">
        <f>IFERROR(INDEX(tbl_materiais[Pct_PCR],MATCH(J5,tbl_materiais[Material],0)),0)</f>
        <v>0</v>
      </c>
      <c r="BK5" s="36">
        <f>IF(V5="",0,IFERROR(INDEX(tbl_tampas[Pct_PCR],MATCH(V5,tbl_tampas[CapId],0)),0))</f>
        <v>0</v>
      </c>
      <c r="BL5" s="40">
        <f t="shared" ref="BL5:BL36" si="11">IFERROR((T5*BJ5+Y5*BK5)/(T5+Y5),0)</f>
        <v>0</v>
      </c>
      <c r="BM5" s="33" t="str">
        <f t="shared" ref="BM5:BM36" si="12">IF(D5="Farmacêutico","Isenta — medicamentos (art. 7.º)",IF(D5="Alimentar",IF(K5="PET","Sensível ao contacto — PET","Sensível ao contacto — outros plásticos"),"Outras embalagens de plástico"))</f>
        <v>Outras embalagens de plástico</v>
      </c>
      <c r="BN5" s="36">
        <f>IFERROR(IF(INDEX(tbl_metas_art7[Meta_2030],MATCH(BM5,tbl_metas_art7[Categoria_Art7],0))="","",INDEX(tbl_metas_art7[Meta_2030],MATCH(BM5,tbl_metas_art7[Categoria_Art7],0))),"")</f>
        <v>0.35</v>
      </c>
      <c r="BO5" s="40">
        <f t="shared" ref="BO5:BO36" si="13">IF(BN5="","",MAX(0,BN5-BL5))</f>
        <v>0.35</v>
      </c>
      <c r="BP5" s="33" t="str">
        <f t="shared" ref="BP5:BP36" si="14">IF(BN5="","Isento",IF(BO5=0,"Sim","Não"))</f>
        <v>Não</v>
      </c>
      <c r="BQ5" s="33" t="str">
        <f t="shared" ref="BQ5:BQ36" si="15">IF(AND(OR(X5=K5,X5="Sem tampa",AND(OR(X5="PE",X5="PP"),OR(K5="PE",K5="PP"))),OR(AA5="Sem rótulo",AND(ISNUMBER(SEARCH("PE/PP",AA5)),OR(K5="PE",K5="PP")))),"Monomaterial (mesma família)","Multimaterial")</f>
        <v>Monomaterial (mesma família)</v>
      </c>
      <c r="BR5" s="37">
        <v>363211</v>
      </c>
      <c r="BS5" s="39">
        <v>14</v>
      </c>
      <c r="BT5" s="26" t="s">
        <v>426</v>
      </c>
      <c r="BU5" s="32">
        <f t="shared" ref="BU5:BU36" si="16">BR5*T5/1000</f>
        <v>7990.6419999999998</v>
      </c>
      <c r="BV5" s="31">
        <f>COUNTIFS(tbl_aplicabilidade[ProductId],B5,tbl_aplicabilidade[Aplicavel],"Sim")</f>
        <v>12</v>
      </c>
      <c r="BW5" s="31">
        <f>COUNTIFS(tbl_aplicabilidade[ProductId],B5,tbl_aplicabilidade[Estado_Resumo],"Lacuna")+COUNTIFS(tbl_aplicabilidade[ProductId],B5,tbl_aplicabilidade[Estado_Resumo],"Não conforme")</f>
        <v>1</v>
      </c>
      <c r="BX5" s="41">
        <v>46287</v>
      </c>
      <c r="BY5" s="42">
        <f t="shared" ref="BY5:BY36" si="17">EDATE(BX5,12)</f>
        <v>46652</v>
      </c>
      <c r="BZ5" s="26" t="s">
        <v>596</v>
      </c>
      <c r="CA5" s="26" t="s">
        <v>597</v>
      </c>
      <c r="CB5" s="26" t="s">
        <v>598</v>
      </c>
    </row>
    <row r="6" spans="1:80" ht="18" customHeight="1" x14ac:dyDescent="0.3">
      <c r="A6" s="26" t="s">
        <v>599</v>
      </c>
      <c r="B6" s="26" t="s">
        <v>600</v>
      </c>
      <c r="C6" s="26" t="s">
        <v>586</v>
      </c>
      <c r="D6" s="26" t="s">
        <v>587</v>
      </c>
      <c r="E6" s="26" t="s">
        <v>588</v>
      </c>
      <c r="F6" s="26" t="s">
        <v>589</v>
      </c>
      <c r="G6" s="26" t="s">
        <v>601</v>
      </c>
      <c r="H6" s="37">
        <v>300</v>
      </c>
      <c r="I6" s="37">
        <v>115</v>
      </c>
      <c r="J6" s="26" t="s">
        <v>229</v>
      </c>
      <c r="K6" s="33" t="str">
        <f>IFERROR(INDEX(tbl_materiais[Polimero_Base],MATCH(J6,tbl_materiais[Material],0)),"")</f>
        <v>PE</v>
      </c>
      <c r="L6" s="33" t="str">
        <f>IFERROR(INDEX(tbl_materiais[Fluxo_Reciclagem],MATCH(J6,tbl_materiais[Material],0)),"")</f>
        <v>PE rígido</v>
      </c>
      <c r="M6" s="33" t="str">
        <f t="shared" si="0"/>
        <v>PE rígido — frascos e contentores (HDPE/LDPE)</v>
      </c>
      <c r="N6" s="26" t="s">
        <v>602</v>
      </c>
      <c r="O6" s="26" t="s">
        <v>283</v>
      </c>
      <c r="P6" s="26" t="s">
        <v>603</v>
      </c>
      <c r="Q6" s="29">
        <v>0.02</v>
      </c>
      <c r="R6" s="35">
        <f>IFERROR(ROUND(INDEX(tbl_materiais[Densidade_g_cm3],MATCH(J6,tbl_materiais[Material],0))+Q6*1.2,3),"")</f>
        <v>0.98399999999999999</v>
      </c>
      <c r="S6" s="26" t="s">
        <v>302</v>
      </c>
      <c r="T6" s="34">
        <v>22</v>
      </c>
      <c r="U6" s="26" t="s">
        <v>593</v>
      </c>
      <c r="V6" s="26" t="s">
        <v>463</v>
      </c>
      <c r="W6" s="33" t="str">
        <f>IF(V6="","",IFERROR(INDEX(tbl_tampas[Material],MATCH(V6,tbl_tampas[CapId],0)),""))</f>
        <v>PP-PCR</v>
      </c>
      <c r="X6" s="33" t="str">
        <f>IF(V6="","Sem tampa",IFERROR(INDEX(tbl_materiais[Polimero_Base],MATCH(W6,tbl_materiais[Material],0)),""))</f>
        <v>PP</v>
      </c>
      <c r="Y6" s="38">
        <f>IF(V6="",0,IFERROR(INDEX(tbl_tampas[Massa_g],MATCH(V6,tbl_tampas[CapId],0)),0))</f>
        <v>13.9</v>
      </c>
      <c r="Z6" s="26" t="s">
        <v>319</v>
      </c>
      <c r="AA6" s="26" t="s">
        <v>327</v>
      </c>
      <c r="AB6" s="26" t="s">
        <v>342</v>
      </c>
      <c r="AC6" s="29">
        <v>0.4</v>
      </c>
      <c r="AD6" s="27">
        <v>0.46</v>
      </c>
      <c r="AE6" s="26" t="s">
        <v>604</v>
      </c>
      <c r="AF6" s="26" t="s">
        <v>302</v>
      </c>
      <c r="AG6" s="39">
        <v>0</v>
      </c>
      <c r="AH6" s="33" t="str">
        <f t="shared" si="1"/>
        <v>Nenhuma</v>
      </c>
      <c r="AI6" s="27">
        <v>0</v>
      </c>
      <c r="AJ6" s="33" t="str">
        <f>IFERROR(INDEX(tbl_regras_dfr[Classe],MATCH(L6&amp;"|Fluxo de reciclagem|"&amp;L6,tbl_regras_dfr[Chave],0)),"Sem regra")</f>
        <v>A</v>
      </c>
      <c r="AK6" s="33" t="str">
        <f>IF(LEFT(L6,9)="Sem fluxo","—",IFERROR(INDEX(tbl_regras_dfr[Classe],MATCH(L6&amp;"|Cor do corpo|"&amp;O6,tbl_regras_dfr[Chave],0)),"Sem regra"))</f>
        <v>B</v>
      </c>
      <c r="AL6" s="33" t="str">
        <f>IF(LEFT(L6,9)="Sem fluxo","—",IFERROR(INDEX(tbl_regras_dfr[Classe],MATCH(L6&amp;"|Densidade do corpo|"&amp;IF(R6&lt;1,"&lt; 1,0 g/cm³","≥ 1,0 g/cm³"),tbl_regras_dfr[Chave],0)),"Sem regra"))</f>
        <v>A</v>
      </c>
      <c r="AM6" s="33" t="str">
        <f>IF(LEFT(L6,9)="Sem fluxo","—",IFERROR(INDEX(tbl_regras_dfr[Classe],MATCH(L6&amp;"|Barreira / revestimento|"&amp;S6,tbl_regras_dfr[Chave],0)),"Sem regra"))</f>
        <v>A</v>
      </c>
      <c r="AN6" s="33" t="str">
        <f>IF(LEFT(L6,9)="Sem fluxo","—",IFERROR(INDEX(tbl_regras_dfr[Classe],MATCH(L6&amp;"|Material da tampa|"&amp;X6,tbl_regras_dfr[Chave],0)),"Sem regra"))</f>
        <v>A</v>
      </c>
      <c r="AO6" s="33" t="str">
        <f>IF(LEFT(L6,9)="Sem fluxo","—",IFERROR(INDEX(tbl_regras_dfr[Classe],MATCH(L6&amp;"|Vedante / liner|"&amp;Z6,tbl_regras_dfr[Chave],0)),"Sem regra"))</f>
        <v>A</v>
      </c>
      <c r="AP6" s="33" t="str">
        <f>IF(LEFT(L6,9)="Sem fluxo","—",IFERROR(INDEX(tbl_regras_dfr[Classe],MATCH(L6&amp;"|Tipo de rótulo|"&amp;AA6,tbl_regras_dfr[Chave],0)),"Sem regra"))</f>
        <v>A</v>
      </c>
      <c r="AQ6" s="33" t="str">
        <f>IF(LEFT(L6,9)="Sem fluxo","—",IFERROR(INDEX(tbl_regras_dfr[Classe],MATCH(L6&amp;"|Adesivo do rótulo|"&amp;AB6,tbl_regras_dfr[Chave],0)),"Sem regra"))</f>
        <v>A</v>
      </c>
      <c r="AR6" s="33" t="str">
        <f>IF(LEFT(L6,9)="Sem fluxo","—",IFERROR(INDEX(tbl_regras_dfr[Classe],MATCH(L6&amp;"|Cobertura do rótulo|"&amp;IF(AC6&gt;0.7,"&gt; 70% da superfície","≤ 70% da superfície"),tbl_regras_dfr[Chave],0)),"Sem regra"))</f>
        <v>A</v>
      </c>
      <c r="AS6" s="33" t="str">
        <f>IF(LEFT(L6,9)="Sem fluxo","—",IFERROR(INDEX(tbl_regras_dfr[Classe],MATCH(L6&amp;"|Decoração direta|"&amp;AH6,tbl_regras_dfr[Chave],0)),"Sem regra"))</f>
        <v>A</v>
      </c>
      <c r="AT6" s="31">
        <f t="shared" si="2"/>
        <v>2</v>
      </c>
      <c r="AU6" s="33" t="str">
        <f>IF(AT6=0,"",INDEX({"A","B","C","D","E","F"},AT6))</f>
        <v>B</v>
      </c>
      <c r="AV6" s="31">
        <f t="shared" si="3"/>
        <v>0</v>
      </c>
      <c r="AW6" s="33" t="str">
        <f t="shared" si="4"/>
        <v>Cor</v>
      </c>
      <c r="AX6" s="33" t="str">
        <f>IF(AU6="A","Sem ação — manter o design.",IFERROR(INDEX(tbl_regras_dfr[Recomendacao],MATCH(CHOOSE(MATCH(AU6,AJ6:AS6,0),L6&amp;"|Fluxo de reciclagem|"&amp;L6,L6&amp;"|Cor do corpo|"&amp;O6,L6&amp;"|Densidade do corpo|"&amp;IF(R6&lt;1,"&lt; 1,0 g/cm³","≥ 1,0 g/cm³"),L6&amp;"|Barreira / revestimento|"&amp;S6,L6&amp;"|Material da tampa|"&amp;X6,L6&amp;"|Vedante / liner|"&amp;Z6,L6&amp;"|Tipo de rótulo|"&amp;AA6,L6&amp;"|Adesivo do rótulo|"&amp;AB6,L6&amp;"|Cobertura do rótulo|"&amp;IF(AC6&gt;0.7,"&gt; 70% da superfície","≤ 70% da superfície"),L6&amp;"|Decoração direta|"&amp;AH6),tbl_regras_dfr[Chave],0)),""))</f>
        <v>Preferir natural, branco ou cores claras.</v>
      </c>
      <c r="AY6" s="38">
        <f t="shared" si="5"/>
        <v>36.36</v>
      </c>
      <c r="AZ6" s="36">
        <f>MIN(IFERROR(INDEX(tbl_regras_dfr[Fracao_Reciclavel],MATCH(L6&amp;"|Fluxo de reciclagem|"&amp;L6,tbl_regras_dfr[Chave],0)),0),IFERROR(INDEX(tbl_regras_dfr[Fracao_Reciclavel],MATCH(L6&amp;"|Cor do corpo|"&amp;O6,tbl_regras_dfr[Chave],0)),0))</f>
        <v>1</v>
      </c>
      <c r="BA6" s="36">
        <f>IFERROR(INDEX(tbl_regras_dfr[Fracao_Reciclavel],MATCH(L6&amp;"|Material da tampa|"&amp;X6,tbl_regras_dfr[Chave],0)),0)</f>
        <v>1</v>
      </c>
      <c r="BB6" s="36">
        <f>IFERROR(INDEX(tbl_regras_dfr[Fracao_Reciclavel],MATCH(L6&amp;"|Tipo de rótulo|"&amp;AA6,tbl_regras_dfr[Chave],0)),0)</f>
        <v>1</v>
      </c>
      <c r="BC6" s="38">
        <f t="shared" si="6"/>
        <v>36.36</v>
      </c>
      <c r="BD6" s="40">
        <f t="shared" si="7"/>
        <v>1</v>
      </c>
      <c r="BE6" s="33" t="str">
        <f>IF(BD6&gt;=INDEX(tbl_param_emb[Valor],MATCH("P-06",tbl_param_emb[ID_Parametro],0)),"A",IF(BD6&gt;=INDEX(tbl_param_emb[Valor],MATCH("P-07",tbl_param_emb[ID_Parametro],0)),"B",IF(BD6&gt;=INDEX(tbl_param_emb[Valor],MATCH("P-08",tbl_param_emb[ID_Parametro],0)),"C","&lt; 70%")))</f>
        <v>A</v>
      </c>
      <c r="BF6" s="33" t="str">
        <f>IF(AU6="F","Não reciclável (F)",INDEX({"A","B","C","Abaixo de C"},MAX(MIN(AT6,4),IF(BE6="A",1,IF(BE6="B",2,IF(BE6="C",3,4))))))</f>
        <v>B</v>
      </c>
      <c r="BG6" s="33" t="str">
        <f t="shared" si="8"/>
        <v>—</v>
      </c>
      <c r="BH6" s="33" t="str">
        <f t="shared" si="9"/>
        <v>Sim</v>
      </c>
      <c r="BI6" s="33" t="str">
        <f t="shared" si="10"/>
        <v>Sim</v>
      </c>
      <c r="BJ6" s="36">
        <f>IFERROR(INDEX(tbl_materiais[Pct_PCR],MATCH(J6,tbl_materiais[Material],0)),0)</f>
        <v>0.3</v>
      </c>
      <c r="BK6" s="36">
        <f>IF(V6="",0,IFERROR(INDEX(tbl_tampas[Pct_PCR],MATCH(V6,tbl_tampas[CapId],0)),0))</f>
        <v>0.3</v>
      </c>
      <c r="BL6" s="40">
        <f t="shared" si="11"/>
        <v>0.3</v>
      </c>
      <c r="BM6" s="33" t="str">
        <f t="shared" si="12"/>
        <v>Outras embalagens de plástico</v>
      </c>
      <c r="BN6" s="36">
        <f>IFERROR(IF(INDEX(tbl_metas_art7[Meta_2030],MATCH(BM6,tbl_metas_art7[Categoria_Art7],0))="","",INDEX(tbl_metas_art7[Meta_2030],MATCH(BM6,tbl_metas_art7[Categoria_Art7],0))),"")</f>
        <v>0.35</v>
      </c>
      <c r="BO6" s="40">
        <f t="shared" si="13"/>
        <v>4.9999999999999989E-2</v>
      </c>
      <c r="BP6" s="33" t="str">
        <f t="shared" si="14"/>
        <v>Não</v>
      </c>
      <c r="BQ6" s="33" t="str">
        <f t="shared" si="15"/>
        <v>Monomaterial (mesma família)</v>
      </c>
      <c r="BR6" s="37">
        <v>1236361</v>
      </c>
      <c r="BS6" s="39">
        <v>14</v>
      </c>
      <c r="BT6" s="26" t="s">
        <v>426</v>
      </c>
      <c r="BU6" s="32">
        <f t="shared" si="16"/>
        <v>27199.941999999999</v>
      </c>
      <c r="BV6" s="31">
        <f>COUNTIFS(tbl_aplicabilidade[ProductId],B6,tbl_aplicabilidade[Aplicavel],"Sim")</f>
        <v>12</v>
      </c>
      <c r="BW6" s="31">
        <f>COUNTIFS(tbl_aplicabilidade[ProductId],B6,tbl_aplicabilidade[Estado_Resumo],"Lacuna")+COUNTIFS(tbl_aplicabilidade[ProductId],B6,tbl_aplicabilidade[Estado_Resumo],"Não conforme")</f>
        <v>1</v>
      </c>
      <c r="BX6" s="41">
        <v>46287</v>
      </c>
      <c r="BY6" s="42">
        <f t="shared" si="17"/>
        <v>46652</v>
      </c>
      <c r="BZ6" s="26" t="s">
        <v>596</v>
      </c>
      <c r="CA6" s="26" t="s">
        <v>597</v>
      </c>
      <c r="CB6" s="26" t="s">
        <v>598</v>
      </c>
    </row>
    <row r="7" spans="1:80" ht="18" customHeight="1" x14ac:dyDescent="0.3">
      <c r="A7" s="26" t="s">
        <v>605</v>
      </c>
      <c r="B7" s="26" t="s">
        <v>606</v>
      </c>
      <c r="C7" s="26" t="s">
        <v>586</v>
      </c>
      <c r="D7" s="26" t="s">
        <v>587</v>
      </c>
      <c r="E7" s="26" t="s">
        <v>588</v>
      </c>
      <c r="F7" s="26" t="s">
        <v>589</v>
      </c>
      <c r="G7" s="26" t="s">
        <v>601</v>
      </c>
      <c r="H7" s="37">
        <v>300</v>
      </c>
      <c r="I7" s="37">
        <v>115</v>
      </c>
      <c r="J7" s="26" t="s">
        <v>229</v>
      </c>
      <c r="K7" s="33" t="str">
        <f>IFERROR(INDEX(tbl_materiais[Polimero_Base],MATCH(J7,tbl_materiais[Material],0)),"")</f>
        <v>PE</v>
      </c>
      <c r="L7" s="33" t="str">
        <f>IFERROR(INDEX(tbl_materiais[Fluxo_Reciclagem],MATCH(J7,tbl_materiais[Material],0)),"")</f>
        <v>PE rígido</v>
      </c>
      <c r="M7" s="33" t="str">
        <f t="shared" si="0"/>
        <v>PE rígido — frascos e contentores (HDPE/LDPE)</v>
      </c>
      <c r="N7" s="26" t="s">
        <v>591</v>
      </c>
      <c r="O7" s="26" t="s">
        <v>283</v>
      </c>
      <c r="P7" s="26" t="s">
        <v>592</v>
      </c>
      <c r="Q7" s="29">
        <v>0.02</v>
      </c>
      <c r="R7" s="35">
        <f>IFERROR(ROUND(INDEX(tbl_materiais[Densidade_g_cm3],MATCH(J7,tbl_materiais[Material],0))+Q7*1.2,3),"")</f>
        <v>0.98399999999999999</v>
      </c>
      <c r="S7" s="26" t="s">
        <v>302</v>
      </c>
      <c r="T7" s="34">
        <v>22</v>
      </c>
      <c r="U7" s="26" t="s">
        <v>593</v>
      </c>
      <c r="V7" s="26" t="s">
        <v>430</v>
      </c>
      <c r="W7" s="33" t="str">
        <f>IF(V7="","",IFERROR(INDEX(tbl_tampas[Material],MATCH(V7,tbl_tampas[CapId],0)),""))</f>
        <v>PP-PCR</v>
      </c>
      <c r="X7" s="33" t="str">
        <f>IF(V7="","Sem tampa",IFERROR(INDEX(tbl_materiais[Polimero_Base],MATCH(W7,tbl_materiais[Material],0)),""))</f>
        <v>PP</v>
      </c>
      <c r="Y7" s="38">
        <f>IF(V7="",0,IFERROR(INDEX(tbl_tampas[Massa_g],MATCH(V7,tbl_tampas[CapId],0)),0))</f>
        <v>10.3</v>
      </c>
      <c r="Z7" s="26" t="s">
        <v>319</v>
      </c>
      <c r="AA7" s="26" t="s">
        <v>327</v>
      </c>
      <c r="AB7" s="26" t="s">
        <v>342</v>
      </c>
      <c r="AC7" s="29">
        <v>0.4</v>
      </c>
      <c r="AD7" s="27">
        <v>0.46</v>
      </c>
      <c r="AE7" s="26" t="s">
        <v>604</v>
      </c>
      <c r="AF7" s="26" t="s">
        <v>302</v>
      </c>
      <c r="AG7" s="39">
        <v>0</v>
      </c>
      <c r="AH7" s="33" t="str">
        <f t="shared" si="1"/>
        <v>Nenhuma</v>
      </c>
      <c r="AI7" s="27">
        <v>0</v>
      </c>
      <c r="AJ7" s="33" t="str">
        <f>IFERROR(INDEX(tbl_regras_dfr[Classe],MATCH(L7&amp;"|Fluxo de reciclagem|"&amp;L7,tbl_regras_dfr[Chave],0)),"Sem regra")</f>
        <v>A</v>
      </c>
      <c r="AK7" s="33" t="str">
        <f>IF(LEFT(L7,9)="Sem fluxo","—",IFERROR(INDEX(tbl_regras_dfr[Classe],MATCH(L7&amp;"|Cor do corpo|"&amp;O7,tbl_regras_dfr[Chave],0)),"Sem regra"))</f>
        <v>B</v>
      </c>
      <c r="AL7" s="33" t="str">
        <f>IF(LEFT(L7,9)="Sem fluxo","—",IFERROR(INDEX(tbl_regras_dfr[Classe],MATCH(L7&amp;"|Densidade do corpo|"&amp;IF(R7&lt;1,"&lt; 1,0 g/cm³","≥ 1,0 g/cm³"),tbl_regras_dfr[Chave],0)),"Sem regra"))</f>
        <v>A</v>
      </c>
      <c r="AM7" s="33" t="str">
        <f>IF(LEFT(L7,9)="Sem fluxo","—",IFERROR(INDEX(tbl_regras_dfr[Classe],MATCH(L7&amp;"|Barreira / revestimento|"&amp;S7,tbl_regras_dfr[Chave],0)),"Sem regra"))</f>
        <v>A</v>
      </c>
      <c r="AN7" s="33" t="str">
        <f>IF(LEFT(L7,9)="Sem fluxo","—",IFERROR(INDEX(tbl_regras_dfr[Classe],MATCH(L7&amp;"|Material da tampa|"&amp;X7,tbl_regras_dfr[Chave],0)),"Sem regra"))</f>
        <v>A</v>
      </c>
      <c r="AO7" s="33" t="str">
        <f>IF(LEFT(L7,9)="Sem fluxo","—",IFERROR(INDEX(tbl_regras_dfr[Classe],MATCH(L7&amp;"|Vedante / liner|"&amp;Z7,tbl_regras_dfr[Chave],0)),"Sem regra"))</f>
        <v>A</v>
      </c>
      <c r="AP7" s="33" t="str">
        <f>IF(LEFT(L7,9)="Sem fluxo","—",IFERROR(INDEX(tbl_regras_dfr[Classe],MATCH(L7&amp;"|Tipo de rótulo|"&amp;AA7,tbl_regras_dfr[Chave],0)),"Sem regra"))</f>
        <v>A</v>
      </c>
      <c r="AQ7" s="33" t="str">
        <f>IF(LEFT(L7,9)="Sem fluxo","—",IFERROR(INDEX(tbl_regras_dfr[Classe],MATCH(L7&amp;"|Adesivo do rótulo|"&amp;AB7,tbl_regras_dfr[Chave],0)),"Sem regra"))</f>
        <v>A</v>
      </c>
      <c r="AR7" s="33" t="str">
        <f>IF(LEFT(L7,9)="Sem fluxo","—",IFERROR(INDEX(tbl_regras_dfr[Classe],MATCH(L7&amp;"|Cobertura do rótulo|"&amp;IF(AC7&gt;0.7,"&gt; 70% da superfície","≤ 70% da superfície"),tbl_regras_dfr[Chave],0)),"Sem regra"))</f>
        <v>A</v>
      </c>
      <c r="AS7" s="33" t="str">
        <f>IF(LEFT(L7,9)="Sem fluxo","—",IFERROR(INDEX(tbl_regras_dfr[Classe],MATCH(L7&amp;"|Decoração direta|"&amp;AH7,tbl_regras_dfr[Chave],0)),"Sem regra"))</f>
        <v>A</v>
      </c>
      <c r="AT7" s="31">
        <f t="shared" si="2"/>
        <v>2</v>
      </c>
      <c r="AU7" s="33" t="str">
        <f>IF(AT7=0,"",INDEX({"A","B","C","D","E","F"},AT7))</f>
        <v>B</v>
      </c>
      <c r="AV7" s="31">
        <f t="shared" si="3"/>
        <v>0</v>
      </c>
      <c r="AW7" s="33" t="str">
        <f t="shared" si="4"/>
        <v>Cor</v>
      </c>
      <c r="AX7" s="33" t="str">
        <f>IF(AU7="A","Sem ação — manter o design.",IFERROR(INDEX(tbl_regras_dfr[Recomendacao],MATCH(CHOOSE(MATCH(AU7,AJ7:AS7,0),L7&amp;"|Fluxo de reciclagem|"&amp;L7,L7&amp;"|Cor do corpo|"&amp;O7,L7&amp;"|Densidade do corpo|"&amp;IF(R7&lt;1,"&lt; 1,0 g/cm³","≥ 1,0 g/cm³"),L7&amp;"|Barreira / revestimento|"&amp;S7,L7&amp;"|Material da tampa|"&amp;X7,L7&amp;"|Vedante / liner|"&amp;Z7,L7&amp;"|Tipo de rótulo|"&amp;AA7,L7&amp;"|Adesivo do rótulo|"&amp;AB7,L7&amp;"|Cobertura do rótulo|"&amp;IF(AC7&gt;0.7,"&gt; 70% da superfície","≤ 70% da superfície"),L7&amp;"|Decoração direta|"&amp;AH7),tbl_regras_dfr[Chave],0)),""))</f>
        <v>Preferir natural, branco ou cores claras.</v>
      </c>
      <c r="AY7" s="38">
        <f t="shared" si="5"/>
        <v>32.76</v>
      </c>
      <c r="AZ7" s="36">
        <f>MIN(IFERROR(INDEX(tbl_regras_dfr[Fracao_Reciclavel],MATCH(L7&amp;"|Fluxo de reciclagem|"&amp;L7,tbl_regras_dfr[Chave],0)),0),IFERROR(INDEX(tbl_regras_dfr[Fracao_Reciclavel],MATCH(L7&amp;"|Cor do corpo|"&amp;O7,tbl_regras_dfr[Chave],0)),0))</f>
        <v>1</v>
      </c>
      <c r="BA7" s="36">
        <f>IFERROR(INDEX(tbl_regras_dfr[Fracao_Reciclavel],MATCH(L7&amp;"|Material da tampa|"&amp;X7,tbl_regras_dfr[Chave],0)),0)</f>
        <v>1</v>
      </c>
      <c r="BB7" s="36">
        <f>IFERROR(INDEX(tbl_regras_dfr[Fracao_Reciclavel],MATCH(L7&amp;"|Tipo de rótulo|"&amp;AA7,tbl_regras_dfr[Chave],0)),0)</f>
        <v>1</v>
      </c>
      <c r="BC7" s="38">
        <f t="shared" si="6"/>
        <v>32.76</v>
      </c>
      <c r="BD7" s="40">
        <f t="shared" si="7"/>
        <v>1</v>
      </c>
      <c r="BE7" s="33" t="str">
        <f>IF(BD7&gt;=INDEX(tbl_param_emb[Valor],MATCH("P-06",tbl_param_emb[ID_Parametro],0)),"A",IF(BD7&gt;=INDEX(tbl_param_emb[Valor],MATCH("P-07",tbl_param_emb[ID_Parametro],0)),"B",IF(BD7&gt;=INDEX(tbl_param_emb[Valor],MATCH("P-08",tbl_param_emb[ID_Parametro],0)),"C","&lt; 70%")))</f>
        <v>A</v>
      </c>
      <c r="BF7" s="33" t="str">
        <f>IF(AU7="F","Não reciclável (F)",INDEX({"A","B","C","Abaixo de C"},MAX(MIN(AT7,4),IF(BE7="A",1,IF(BE7="B",2,IF(BE7="C",3,4))))))</f>
        <v>B</v>
      </c>
      <c r="BG7" s="33" t="str">
        <f t="shared" si="8"/>
        <v>—</v>
      </c>
      <c r="BH7" s="33" t="str">
        <f t="shared" si="9"/>
        <v>Sim</v>
      </c>
      <c r="BI7" s="33" t="str">
        <f t="shared" si="10"/>
        <v>Sim</v>
      </c>
      <c r="BJ7" s="36">
        <f>IFERROR(INDEX(tbl_materiais[Pct_PCR],MATCH(J7,tbl_materiais[Material],0)),0)</f>
        <v>0.3</v>
      </c>
      <c r="BK7" s="36">
        <f>IF(V7="",0,IFERROR(INDEX(tbl_tampas[Pct_PCR],MATCH(V7,tbl_tampas[CapId],0)),0))</f>
        <v>0.3</v>
      </c>
      <c r="BL7" s="40">
        <f t="shared" si="11"/>
        <v>0.3</v>
      </c>
      <c r="BM7" s="33" t="str">
        <f t="shared" si="12"/>
        <v>Outras embalagens de plástico</v>
      </c>
      <c r="BN7" s="36">
        <f>IFERROR(IF(INDEX(tbl_metas_art7[Meta_2030],MATCH(BM7,tbl_metas_art7[Categoria_Art7],0))="","",INDEX(tbl_metas_art7[Meta_2030],MATCH(BM7,tbl_metas_art7[Categoria_Art7],0))),"")</f>
        <v>0.35</v>
      </c>
      <c r="BO7" s="40">
        <f t="shared" si="13"/>
        <v>4.9999999999999989E-2</v>
      </c>
      <c r="BP7" s="33" t="str">
        <f t="shared" si="14"/>
        <v>Não</v>
      </c>
      <c r="BQ7" s="33" t="str">
        <f t="shared" si="15"/>
        <v>Monomaterial (mesma família)</v>
      </c>
      <c r="BR7" s="37">
        <v>423949</v>
      </c>
      <c r="BS7" s="39">
        <v>14</v>
      </c>
      <c r="BT7" s="26" t="s">
        <v>426</v>
      </c>
      <c r="BU7" s="32">
        <f t="shared" si="16"/>
        <v>9326.8780000000006</v>
      </c>
      <c r="BV7" s="31">
        <f>COUNTIFS(tbl_aplicabilidade[ProductId],B7,tbl_aplicabilidade[Aplicavel],"Sim")</f>
        <v>12</v>
      </c>
      <c r="BW7" s="31">
        <f>COUNTIFS(tbl_aplicabilidade[ProductId],B7,tbl_aplicabilidade[Estado_Resumo],"Lacuna")+COUNTIFS(tbl_aplicabilidade[ProductId],B7,tbl_aplicabilidade[Estado_Resumo],"Não conforme")</f>
        <v>1</v>
      </c>
      <c r="BX7" s="41">
        <v>46287</v>
      </c>
      <c r="BY7" s="42">
        <f t="shared" si="17"/>
        <v>46652</v>
      </c>
      <c r="BZ7" s="26" t="s">
        <v>596</v>
      </c>
      <c r="CA7" s="26" t="s">
        <v>597</v>
      </c>
      <c r="CB7" s="26" t="s">
        <v>598</v>
      </c>
    </row>
    <row r="8" spans="1:80" ht="18" customHeight="1" x14ac:dyDescent="0.3">
      <c r="A8" s="26" t="s">
        <v>607</v>
      </c>
      <c r="B8" s="26" t="s">
        <v>608</v>
      </c>
      <c r="C8" s="26" t="s">
        <v>586</v>
      </c>
      <c r="D8" s="26" t="s">
        <v>587</v>
      </c>
      <c r="E8" s="26" t="s">
        <v>588</v>
      </c>
      <c r="F8" s="26" t="s">
        <v>589</v>
      </c>
      <c r="G8" s="26" t="s">
        <v>609</v>
      </c>
      <c r="H8" s="37">
        <v>300</v>
      </c>
      <c r="I8" s="37">
        <v>115</v>
      </c>
      <c r="J8" s="26" t="s">
        <v>253</v>
      </c>
      <c r="K8" s="33" t="str">
        <f>IFERROR(INDEX(tbl_materiais[Polimero_Base],MATCH(J8,tbl_materiais[Material],0)),"")</f>
        <v>PET</v>
      </c>
      <c r="L8" s="33" t="str">
        <f>IFERROR(INDEX(tbl_materiais[Fluxo_Reciclagem],MATCH(J8,tbl_materiais[Material],0)),"")</f>
        <v>PET frascos e garrafas</v>
      </c>
      <c r="M8" s="33" t="str">
        <f t="shared" si="0"/>
        <v>PET — garrafas/frascos transparentes incolores</v>
      </c>
      <c r="N8" s="26" t="s">
        <v>610</v>
      </c>
      <c r="O8" s="26" t="s">
        <v>279</v>
      </c>
      <c r="P8" s="26" t="s">
        <v>611</v>
      </c>
      <c r="Q8" s="29">
        <v>0</v>
      </c>
      <c r="R8" s="35">
        <f>IFERROR(ROUND(INDEX(tbl_materiais[Densidade_g_cm3],MATCH(J8,tbl_materiais[Material],0))+Q8*1.2,3),"")</f>
        <v>1.38</v>
      </c>
      <c r="S8" s="26" t="s">
        <v>302</v>
      </c>
      <c r="T8" s="34">
        <v>22</v>
      </c>
      <c r="U8" s="26" t="s">
        <v>593</v>
      </c>
      <c r="V8" s="26" t="s">
        <v>427</v>
      </c>
      <c r="W8" s="33" t="str">
        <f>IF(V8="","",IFERROR(INDEX(tbl_tampas[Material],MATCH(V8,tbl_tampas[CapId],0)),""))</f>
        <v>PP</v>
      </c>
      <c r="X8" s="33" t="str">
        <f>IF(V8="","Sem tampa",IFERROR(INDEX(tbl_materiais[Polimero_Base],MATCH(W8,tbl_materiais[Material],0)),""))</f>
        <v>PP</v>
      </c>
      <c r="Y8" s="38">
        <f>IF(V8="",0,IFERROR(INDEX(tbl_tampas[Massa_g],MATCH(V8,tbl_tampas[CapId],0)),0))</f>
        <v>10.3</v>
      </c>
      <c r="Z8" s="26" t="s">
        <v>319</v>
      </c>
      <c r="AA8" s="26" t="s">
        <v>326</v>
      </c>
      <c r="AB8" s="26" t="s">
        <v>340</v>
      </c>
      <c r="AC8" s="29">
        <v>0</v>
      </c>
      <c r="AD8" s="27">
        <v>0</v>
      </c>
      <c r="AE8" s="26" t="s">
        <v>594</v>
      </c>
      <c r="AF8" s="26" t="s">
        <v>359</v>
      </c>
      <c r="AG8" s="39">
        <v>1</v>
      </c>
      <c r="AH8" s="33" t="str">
        <f t="shared" si="1"/>
        <v>Hot foil metalizado</v>
      </c>
      <c r="AI8" s="27">
        <v>0.03</v>
      </c>
      <c r="AJ8" s="33" t="str">
        <f>IFERROR(INDEX(tbl_regras_dfr[Classe],MATCH(L8&amp;"|Fluxo de reciclagem|"&amp;L8,tbl_regras_dfr[Chave],0)),"Sem regra")</f>
        <v>A</v>
      </c>
      <c r="AK8" s="33" t="str">
        <f>IF(LEFT(L8,9)="Sem fluxo","—",IFERROR(INDEX(tbl_regras_dfr[Classe],MATCH(L8&amp;"|Cor do corpo|"&amp;O8,tbl_regras_dfr[Chave],0)),"Sem regra"))</f>
        <v>A</v>
      </c>
      <c r="AL8" s="33" t="str">
        <f>IF(LEFT(L8,9)="Sem fluxo","—",IFERROR(INDEX(tbl_regras_dfr[Classe],MATCH(L8&amp;"|Densidade do corpo|"&amp;IF(R8&lt;1,"&lt; 1,0 g/cm³","≥ 1,0 g/cm³"),tbl_regras_dfr[Chave],0)),"Sem regra"))</f>
        <v>A</v>
      </c>
      <c r="AM8" s="33" t="str">
        <f>IF(LEFT(L8,9)="Sem fluxo","—",IFERROR(INDEX(tbl_regras_dfr[Classe],MATCH(L8&amp;"|Barreira / revestimento|"&amp;S8,tbl_regras_dfr[Chave],0)),"Sem regra"))</f>
        <v>A</v>
      </c>
      <c r="AN8" s="33" t="str">
        <f>IF(LEFT(L8,9)="Sem fluxo","—",IFERROR(INDEX(tbl_regras_dfr[Classe],MATCH(L8&amp;"|Material da tampa|"&amp;X8,tbl_regras_dfr[Chave],0)),"Sem regra"))</f>
        <v>A</v>
      </c>
      <c r="AO8" s="33" t="str">
        <f>IF(LEFT(L8,9)="Sem fluxo","—",IFERROR(INDEX(tbl_regras_dfr[Classe],MATCH(L8&amp;"|Vedante / liner|"&amp;Z8,tbl_regras_dfr[Chave],0)),"Sem regra"))</f>
        <v>A</v>
      </c>
      <c r="AP8" s="33" t="str">
        <f>IF(LEFT(L8,9)="Sem fluxo","—",IFERROR(INDEX(tbl_regras_dfr[Classe],MATCH(L8&amp;"|Tipo de rótulo|"&amp;AA8,tbl_regras_dfr[Chave],0)),"Sem regra"))</f>
        <v>A</v>
      </c>
      <c r="AQ8" s="33" t="str">
        <f>IF(LEFT(L8,9)="Sem fluxo","—",IFERROR(INDEX(tbl_regras_dfr[Classe],MATCH(L8&amp;"|Adesivo do rótulo|"&amp;AB8,tbl_regras_dfr[Chave],0)),"Sem regra"))</f>
        <v>A</v>
      </c>
      <c r="AR8" s="33" t="str">
        <f>IF(LEFT(L8,9)="Sem fluxo","—",IFERROR(INDEX(tbl_regras_dfr[Classe],MATCH(L8&amp;"|Cobertura do rótulo|"&amp;IF(AC8&gt;0.7,"&gt; 70% da superfície","≤ 70% da superfície"),tbl_regras_dfr[Chave],0)),"Sem regra"))</f>
        <v>A</v>
      </c>
      <c r="AS8" s="33" t="str">
        <f>IF(LEFT(L8,9)="Sem fluxo","—",IFERROR(INDEX(tbl_regras_dfr[Classe],MATCH(L8&amp;"|Decoração direta|"&amp;AH8,tbl_regras_dfr[Chave],0)),"Sem regra"))</f>
        <v>D</v>
      </c>
      <c r="AT8" s="31">
        <f t="shared" si="2"/>
        <v>4</v>
      </c>
      <c r="AU8" s="33" t="str">
        <f>IF(AT8=0,"",INDEX({"A","B","C","D","E","F"},AT8))</f>
        <v>D</v>
      </c>
      <c r="AV8" s="31">
        <f t="shared" si="3"/>
        <v>0</v>
      </c>
      <c r="AW8" s="33" t="str">
        <f t="shared" si="4"/>
        <v>Decoracao</v>
      </c>
      <c r="AX8" s="33" t="str">
        <f>IF(AU8="A","Sem ação — manter o design.",IFERROR(INDEX(tbl_regras_dfr[Recomendacao],MATCH(CHOOSE(MATCH(AU8,AJ8:AS8,0),L8&amp;"|Fluxo de reciclagem|"&amp;L8,L8&amp;"|Cor do corpo|"&amp;O8,L8&amp;"|Densidade do corpo|"&amp;IF(R8&lt;1,"&lt; 1,0 g/cm³","≥ 1,0 g/cm³"),L8&amp;"|Barreira / revestimento|"&amp;S8,L8&amp;"|Material da tampa|"&amp;X8,L8&amp;"|Vedante / liner|"&amp;Z8,L8&amp;"|Tipo de rótulo|"&amp;AA8,L8&amp;"|Adesivo do rótulo|"&amp;AB8,L8&amp;"|Cobertura do rótulo|"&amp;IF(AC8&gt;0.7,"&gt; 70% da superfície","≤ 70% da superfície"),L8&amp;"|Decoração direta|"&amp;AH8),tbl_regras_dfr[Chave],0)),""))</f>
        <v>Rótulo metalizado de PE/PP destacável.</v>
      </c>
      <c r="AY8" s="38">
        <f t="shared" si="5"/>
        <v>32.33</v>
      </c>
      <c r="AZ8" s="36">
        <f>MIN(IFERROR(INDEX(tbl_regras_dfr[Fracao_Reciclavel],MATCH(L8&amp;"|Fluxo de reciclagem|"&amp;L8,tbl_regras_dfr[Chave],0)),0),IFERROR(INDEX(tbl_regras_dfr[Fracao_Reciclavel],MATCH(L8&amp;"|Cor do corpo|"&amp;O8,tbl_regras_dfr[Chave],0)),0))</f>
        <v>1</v>
      </c>
      <c r="BA8" s="36">
        <f>IFERROR(INDEX(tbl_regras_dfr[Fracao_Reciclavel],MATCH(L8&amp;"|Material da tampa|"&amp;X8,tbl_regras_dfr[Chave],0)),0)</f>
        <v>1</v>
      </c>
      <c r="BB8" s="36">
        <f>IFERROR(INDEX(tbl_regras_dfr[Fracao_Reciclavel],MATCH(L8&amp;"|Tipo de rótulo|"&amp;AA8,tbl_regras_dfr[Chave],0)),0)</f>
        <v>1</v>
      </c>
      <c r="BC8" s="38">
        <f t="shared" si="6"/>
        <v>32.299999999999997</v>
      </c>
      <c r="BD8" s="40">
        <f t="shared" si="7"/>
        <v>0.9990720692854933</v>
      </c>
      <c r="BE8" s="33" t="str">
        <f>IF(BD8&gt;=INDEX(tbl_param_emb[Valor],MATCH("P-06",tbl_param_emb[ID_Parametro],0)),"A",IF(BD8&gt;=INDEX(tbl_param_emb[Valor],MATCH("P-07",tbl_param_emb[ID_Parametro],0)),"B",IF(BD8&gt;=INDEX(tbl_param_emb[Valor],MATCH("P-08",tbl_param_emb[ID_Parametro],0)),"C","&lt; 70%")))</f>
        <v>A</v>
      </c>
      <c r="BF8" s="33" t="str">
        <f>IF(AU8="F","Não reciclável (F)",INDEX({"A","B","C","Abaixo de C"},MAX(MIN(AT8,4),IF(BE8="A",1,IF(BE8="B",2,IF(BE8="C",3,4))))))</f>
        <v>Abaixo de C</v>
      </c>
      <c r="BG8" s="33" t="str">
        <f t="shared" si="8"/>
        <v>—</v>
      </c>
      <c r="BH8" s="33" t="str">
        <f t="shared" si="9"/>
        <v>Não</v>
      </c>
      <c r="BI8" s="33" t="str">
        <f t="shared" si="10"/>
        <v>Não</v>
      </c>
      <c r="BJ8" s="36">
        <f>IFERROR(INDEX(tbl_materiais[Pct_PCR],MATCH(J8,tbl_materiais[Material],0)),0)</f>
        <v>0.5</v>
      </c>
      <c r="BK8" s="36">
        <f>IF(V8="",0,IFERROR(INDEX(tbl_tampas[Pct_PCR],MATCH(V8,tbl_tampas[CapId],0)),0))</f>
        <v>0</v>
      </c>
      <c r="BL8" s="40">
        <f t="shared" si="11"/>
        <v>0.34055727554179571</v>
      </c>
      <c r="BM8" s="33" t="str">
        <f t="shared" si="12"/>
        <v>Outras embalagens de plástico</v>
      </c>
      <c r="BN8" s="36">
        <f>IFERROR(IF(INDEX(tbl_metas_art7[Meta_2030],MATCH(BM8,tbl_metas_art7[Categoria_Art7],0))="","",INDEX(tbl_metas_art7[Meta_2030],MATCH(BM8,tbl_metas_art7[Categoria_Art7],0))),"")</f>
        <v>0.35</v>
      </c>
      <c r="BO8" s="40">
        <f t="shared" si="13"/>
        <v>9.4427244582042658E-3</v>
      </c>
      <c r="BP8" s="33" t="str">
        <f t="shared" si="14"/>
        <v>Não</v>
      </c>
      <c r="BQ8" s="33" t="str">
        <f t="shared" si="15"/>
        <v>Multimaterial</v>
      </c>
      <c r="BR8" s="37">
        <v>311456</v>
      </c>
      <c r="BS8" s="39">
        <v>13</v>
      </c>
      <c r="BT8" s="26" t="s">
        <v>426</v>
      </c>
      <c r="BU8" s="32">
        <f t="shared" si="16"/>
        <v>6852.0320000000002</v>
      </c>
      <c r="BV8" s="31">
        <f>COUNTIFS(tbl_aplicabilidade[ProductId],B8,tbl_aplicabilidade[Aplicavel],"Sim")</f>
        <v>12</v>
      </c>
      <c r="BW8" s="31">
        <f>COUNTIFS(tbl_aplicabilidade[ProductId],B8,tbl_aplicabilidade[Estado_Resumo],"Lacuna")+COUNTIFS(tbl_aplicabilidade[ProductId],B8,tbl_aplicabilidade[Estado_Resumo],"Não conforme")</f>
        <v>3</v>
      </c>
      <c r="BX8" s="41">
        <v>46287</v>
      </c>
      <c r="BY8" s="42">
        <f t="shared" si="17"/>
        <v>46652</v>
      </c>
      <c r="BZ8" s="26" t="s">
        <v>596</v>
      </c>
      <c r="CA8" s="26" t="s">
        <v>597</v>
      </c>
      <c r="CB8" s="26" t="s">
        <v>598</v>
      </c>
    </row>
    <row r="9" spans="1:80" ht="18" customHeight="1" x14ac:dyDescent="0.3">
      <c r="A9" s="26" t="s">
        <v>612</v>
      </c>
      <c r="B9" s="26" t="s">
        <v>613</v>
      </c>
      <c r="C9" s="26" t="s">
        <v>586</v>
      </c>
      <c r="D9" s="26" t="s">
        <v>587</v>
      </c>
      <c r="E9" s="26" t="s">
        <v>588</v>
      </c>
      <c r="F9" s="26" t="s">
        <v>589</v>
      </c>
      <c r="G9" s="26" t="s">
        <v>609</v>
      </c>
      <c r="H9" s="37">
        <v>300</v>
      </c>
      <c r="I9" s="37">
        <v>115</v>
      </c>
      <c r="J9" s="26" t="s">
        <v>253</v>
      </c>
      <c r="K9" s="33" t="str">
        <f>IFERROR(INDEX(tbl_materiais[Polimero_Base],MATCH(J9,tbl_materiais[Material],0)),"")</f>
        <v>PET</v>
      </c>
      <c r="L9" s="33" t="str">
        <f>IFERROR(INDEX(tbl_materiais[Fluxo_Reciclagem],MATCH(J9,tbl_materiais[Material],0)),"")</f>
        <v>PET frascos e garrafas</v>
      </c>
      <c r="M9" s="33" t="str">
        <f t="shared" si="0"/>
        <v>PET — garrafas/frascos transparentes incolores</v>
      </c>
      <c r="N9" s="26" t="s">
        <v>610</v>
      </c>
      <c r="O9" s="26" t="s">
        <v>279</v>
      </c>
      <c r="P9" s="26" t="s">
        <v>611</v>
      </c>
      <c r="Q9" s="29">
        <v>0</v>
      </c>
      <c r="R9" s="35">
        <f>IFERROR(ROUND(INDEX(tbl_materiais[Densidade_g_cm3],MATCH(J9,tbl_materiais[Material],0))+Q9*1.2,3),"")</f>
        <v>1.38</v>
      </c>
      <c r="S9" s="26" t="s">
        <v>302</v>
      </c>
      <c r="T9" s="34">
        <v>22</v>
      </c>
      <c r="U9" s="26" t="s">
        <v>593</v>
      </c>
      <c r="V9" s="26" t="s">
        <v>427</v>
      </c>
      <c r="W9" s="33" t="str">
        <f>IF(V9="","",IFERROR(INDEX(tbl_tampas[Material],MATCH(V9,tbl_tampas[CapId],0)),""))</f>
        <v>PP</v>
      </c>
      <c r="X9" s="33" t="str">
        <f>IF(V9="","Sem tampa",IFERROR(INDEX(tbl_materiais[Polimero_Base],MATCH(W9,tbl_materiais[Material],0)),""))</f>
        <v>PP</v>
      </c>
      <c r="Y9" s="38">
        <f>IF(V9="",0,IFERROR(INDEX(tbl_tampas[Massa_g],MATCH(V9,tbl_tampas[CapId],0)),0))</f>
        <v>10.3</v>
      </c>
      <c r="Z9" s="26" t="s">
        <v>319</v>
      </c>
      <c r="AA9" s="26" t="s">
        <v>326</v>
      </c>
      <c r="AB9" s="26" t="s">
        <v>340</v>
      </c>
      <c r="AC9" s="29">
        <v>0</v>
      </c>
      <c r="AD9" s="27">
        <v>0</v>
      </c>
      <c r="AE9" s="26" t="s">
        <v>594</v>
      </c>
      <c r="AF9" s="26" t="s">
        <v>359</v>
      </c>
      <c r="AG9" s="39">
        <v>1</v>
      </c>
      <c r="AH9" s="33" t="str">
        <f t="shared" si="1"/>
        <v>Hot foil metalizado</v>
      </c>
      <c r="AI9" s="27">
        <v>0.03</v>
      </c>
      <c r="AJ9" s="33" t="str">
        <f>IFERROR(INDEX(tbl_regras_dfr[Classe],MATCH(L9&amp;"|Fluxo de reciclagem|"&amp;L9,tbl_regras_dfr[Chave],0)),"Sem regra")</f>
        <v>A</v>
      </c>
      <c r="AK9" s="33" t="str">
        <f>IF(LEFT(L9,9)="Sem fluxo","—",IFERROR(INDEX(tbl_regras_dfr[Classe],MATCH(L9&amp;"|Cor do corpo|"&amp;O9,tbl_regras_dfr[Chave],0)),"Sem regra"))</f>
        <v>A</v>
      </c>
      <c r="AL9" s="33" t="str">
        <f>IF(LEFT(L9,9)="Sem fluxo","—",IFERROR(INDEX(tbl_regras_dfr[Classe],MATCH(L9&amp;"|Densidade do corpo|"&amp;IF(R9&lt;1,"&lt; 1,0 g/cm³","≥ 1,0 g/cm³"),tbl_regras_dfr[Chave],0)),"Sem regra"))</f>
        <v>A</v>
      </c>
      <c r="AM9" s="33" t="str">
        <f>IF(LEFT(L9,9)="Sem fluxo","—",IFERROR(INDEX(tbl_regras_dfr[Classe],MATCH(L9&amp;"|Barreira / revestimento|"&amp;S9,tbl_regras_dfr[Chave],0)),"Sem regra"))</f>
        <v>A</v>
      </c>
      <c r="AN9" s="33" t="str">
        <f>IF(LEFT(L9,9)="Sem fluxo","—",IFERROR(INDEX(tbl_regras_dfr[Classe],MATCH(L9&amp;"|Material da tampa|"&amp;X9,tbl_regras_dfr[Chave],0)),"Sem regra"))</f>
        <v>A</v>
      </c>
      <c r="AO9" s="33" t="str">
        <f>IF(LEFT(L9,9)="Sem fluxo","—",IFERROR(INDEX(tbl_regras_dfr[Classe],MATCH(L9&amp;"|Vedante / liner|"&amp;Z9,tbl_regras_dfr[Chave],0)),"Sem regra"))</f>
        <v>A</v>
      </c>
      <c r="AP9" s="33" t="str">
        <f>IF(LEFT(L9,9)="Sem fluxo","—",IFERROR(INDEX(tbl_regras_dfr[Classe],MATCH(L9&amp;"|Tipo de rótulo|"&amp;AA9,tbl_regras_dfr[Chave],0)),"Sem regra"))</f>
        <v>A</v>
      </c>
      <c r="AQ9" s="33" t="str">
        <f>IF(LEFT(L9,9)="Sem fluxo","—",IFERROR(INDEX(tbl_regras_dfr[Classe],MATCH(L9&amp;"|Adesivo do rótulo|"&amp;AB9,tbl_regras_dfr[Chave],0)),"Sem regra"))</f>
        <v>A</v>
      </c>
      <c r="AR9" s="33" t="str">
        <f>IF(LEFT(L9,9)="Sem fluxo","—",IFERROR(INDEX(tbl_regras_dfr[Classe],MATCH(L9&amp;"|Cobertura do rótulo|"&amp;IF(AC9&gt;0.7,"&gt; 70% da superfície","≤ 70% da superfície"),tbl_regras_dfr[Chave],0)),"Sem regra"))</f>
        <v>A</v>
      </c>
      <c r="AS9" s="33" t="str">
        <f>IF(LEFT(L9,9)="Sem fluxo","—",IFERROR(INDEX(tbl_regras_dfr[Classe],MATCH(L9&amp;"|Decoração direta|"&amp;AH9,tbl_regras_dfr[Chave],0)),"Sem regra"))</f>
        <v>D</v>
      </c>
      <c r="AT9" s="31">
        <f t="shared" si="2"/>
        <v>4</v>
      </c>
      <c r="AU9" s="33" t="str">
        <f>IF(AT9=0,"",INDEX({"A","B","C","D","E","F"},AT9))</f>
        <v>D</v>
      </c>
      <c r="AV9" s="31">
        <f t="shared" si="3"/>
        <v>0</v>
      </c>
      <c r="AW9" s="33" t="str">
        <f t="shared" si="4"/>
        <v>Decoracao</v>
      </c>
      <c r="AX9" s="33" t="str">
        <f>IF(AU9="A","Sem ação — manter o design.",IFERROR(INDEX(tbl_regras_dfr[Recomendacao],MATCH(CHOOSE(MATCH(AU9,AJ9:AS9,0),L9&amp;"|Fluxo de reciclagem|"&amp;L9,L9&amp;"|Cor do corpo|"&amp;O9,L9&amp;"|Densidade do corpo|"&amp;IF(R9&lt;1,"&lt; 1,0 g/cm³","≥ 1,0 g/cm³"),L9&amp;"|Barreira / revestimento|"&amp;S9,L9&amp;"|Material da tampa|"&amp;X9,L9&amp;"|Vedante / liner|"&amp;Z9,L9&amp;"|Tipo de rótulo|"&amp;AA9,L9&amp;"|Adesivo do rótulo|"&amp;AB9,L9&amp;"|Cobertura do rótulo|"&amp;IF(AC9&gt;0.7,"&gt; 70% da superfície","≤ 70% da superfície"),L9&amp;"|Decoração direta|"&amp;AH9),tbl_regras_dfr[Chave],0)),""))</f>
        <v>Rótulo metalizado de PE/PP destacável.</v>
      </c>
      <c r="AY9" s="38">
        <f t="shared" si="5"/>
        <v>32.33</v>
      </c>
      <c r="AZ9" s="36">
        <f>MIN(IFERROR(INDEX(tbl_regras_dfr[Fracao_Reciclavel],MATCH(L9&amp;"|Fluxo de reciclagem|"&amp;L9,tbl_regras_dfr[Chave],0)),0),IFERROR(INDEX(tbl_regras_dfr[Fracao_Reciclavel],MATCH(L9&amp;"|Cor do corpo|"&amp;O9,tbl_regras_dfr[Chave],0)),0))</f>
        <v>1</v>
      </c>
      <c r="BA9" s="36">
        <f>IFERROR(INDEX(tbl_regras_dfr[Fracao_Reciclavel],MATCH(L9&amp;"|Material da tampa|"&amp;X9,tbl_regras_dfr[Chave],0)),0)</f>
        <v>1</v>
      </c>
      <c r="BB9" s="36">
        <f>IFERROR(INDEX(tbl_regras_dfr[Fracao_Reciclavel],MATCH(L9&amp;"|Tipo de rótulo|"&amp;AA9,tbl_regras_dfr[Chave],0)),0)</f>
        <v>1</v>
      </c>
      <c r="BC9" s="38">
        <f t="shared" si="6"/>
        <v>32.299999999999997</v>
      </c>
      <c r="BD9" s="40">
        <f t="shared" si="7"/>
        <v>0.9990720692854933</v>
      </c>
      <c r="BE9" s="33" t="str">
        <f>IF(BD9&gt;=INDEX(tbl_param_emb[Valor],MATCH("P-06",tbl_param_emb[ID_Parametro],0)),"A",IF(BD9&gt;=INDEX(tbl_param_emb[Valor],MATCH("P-07",tbl_param_emb[ID_Parametro],0)),"B",IF(BD9&gt;=INDEX(tbl_param_emb[Valor],MATCH("P-08",tbl_param_emb[ID_Parametro],0)),"C","&lt; 70%")))</f>
        <v>A</v>
      </c>
      <c r="BF9" s="33" t="str">
        <f>IF(AU9="F","Não reciclável (F)",INDEX({"A","B","C","Abaixo de C"},MAX(MIN(AT9,4),IF(BE9="A",1,IF(BE9="B",2,IF(BE9="C",3,4))))))</f>
        <v>Abaixo de C</v>
      </c>
      <c r="BG9" s="33" t="str">
        <f t="shared" si="8"/>
        <v>—</v>
      </c>
      <c r="BH9" s="33" t="str">
        <f t="shared" si="9"/>
        <v>Não</v>
      </c>
      <c r="BI9" s="33" t="str">
        <f t="shared" si="10"/>
        <v>Não</v>
      </c>
      <c r="BJ9" s="36">
        <f>IFERROR(INDEX(tbl_materiais[Pct_PCR],MATCH(J9,tbl_materiais[Material],0)),0)</f>
        <v>0.5</v>
      </c>
      <c r="BK9" s="36">
        <f>IF(V9="",0,IFERROR(INDEX(tbl_tampas[Pct_PCR],MATCH(V9,tbl_tampas[CapId],0)),0))</f>
        <v>0</v>
      </c>
      <c r="BL9" s="40">
        <f t="shared" si="11"/>
        <v>0.34055727554179571</v>
      </c>
      <c r="BM9" s="33" t="str">
        <f t="shared" si="12"/>
        <v>Outras embalagens de plástico</v>
      </c>
      <c r="BN9" s="36">
        <f>IFERROR(IF(INDEX(tbl_metas_art7[Meta_2030],MATCH(BM9,tbl_metas_art7[Categoria_Art7],0))="","",INDEX(tbl_metas_art7[Meta_2030],MATCH(BM9,tbl_metas_art7[Categoria_Art7],0))),"")</f>
        <v>0.35</v>
      </c>
      <c r="BO9" s="40">
        <f t="shared" si="13"/>
        <v>9.4427244582042658E-3</v>
      </c>
      <c r="BP9" s="33" t="str">
        <f t="shared" si="14"/>
        <v>Não</v>
      </c>
      <c r="BQ9" s="33" t="str">
        <f t="shared" si="15"/>
        <v>Multimaterial</v>
      </c>
      <c r="BR9" s="37">
        <v>222782</v>
      </c>
      <c r="BS9" s="39">
        <v>14</v>
      </c>
      <c r="BT9" s="26" t="s">
        <v>426</v>
      </c>
      <c r="BU9" s="32">
        <f t="shared" si="16"/>
        <v>4901.2039999999997</v>
      </c>
      <c r="BV9" s="31">
        <f>COUNTIFS(tbl_aplicabilidade[ProductId],B9,tbl_aplicabilidade[Aplicavel],"Sim")</f>
        <v>12</v>
      </c>
      <c r="BW9" s="31">
        <f>COUNTIFS(tbl_aplicabilidade[ProductId],B9,tbl_aplicabilidade[Estado_Resumo],"Lacuna")+COUNTIFS(tbl_aplicabilidade[ProductId],B9,tbl_aplicabilidade[Estado_Resumo],"Não conforme")</f>
        <v>3</v>
      </c>
      <c r="BX9" s="41">
        <v>46287</v>
      </c>
      <c r="BY9" s="42">
        <f t="shared" si="17"/>
        <v>46652</v>
      </c>
      <c r="BZ9" s="26" t="s">
        <v>596</v>
      </c>
      <c r="CA9" s="26" t="s">
        <v>597</v>
      </c>
      <c r="CB9" s="26" t="s">
        <v>598</v>
      </c>
    </row>
    <row r="10" spans="1:80" ht="18" customHeight="1" x14ac:dyDescent="0.3">
      <c r="A10" s="26" t="s">
        <v>614</v>
      </c>
      <c r="B10" s="26" t="s">
        <v>615</v>
      </c>
      <c r="C10" s="26" t="s">
        <v>586</v>
      </c>
      <c r="D10" s="26" t="s">
        <v>587</v>
      </c>
      <c r="E10" s="26" t="s">
        <v>588</v>
      </c>
      <c r="F10" s="26" t="s">
        <v>589</v>
      </c>
      <c r="G10" s="26" t="s">
        <v>609</v>
      </c>
      <c r="H10" s="37">
        <v>330</v>
      </c>
      <c r="I10" s="37">
        <v>119</v>
      </c>
      <c r="J10" s="26" t="s">
        <v>253</v>
      </c>
      <c r="K10" s="33" t="str">
        <f>IFERROR(INDEX(tbl_materiais[Polimero_Base],MATCH(J10,tbl_materiais[Material],0)),"")</f>
        <v>PET</v>
      </c>
      <c r="L10" s="33" t="str">
        <f>IFERROR(INDEX(tbl_materiais[Fluxo_Reciclagem],MATCH(J10,tbl_materiais[Material],0)),"")</f>
        <v>PET frascos e garrafas</v>
      </c>
      <c r="M10" s="33" t="str">
        <f t="shared" si="0"/>
        <v>PET — garrafas/frascos transparentes incolores</v>
      </c>
      <c r="N10" s="26" t="s">
        <v>610</v>
      </c>
      <c r="O10" s="26" t="s">
        <v>279</v>
      </c>
      <c r="P10" s="26" t="s">
        <v>611</v>
      </c>
      <c r="Q10" s="29">
        <v>0</v>
      </c>
      <c r="R10" s="35">
        <f>IFERROR(ROUND(INDEX(tbl_materiais[Densidade_g_cm3],MATCH(J10,tbl_materiais[Material],0))+Q10*1.2,3),"")</f>
        <v>1.38</v>
      </c>
      <c r="S10" s="26" t="s">
        <v>302</v>
      </c>
      <c r="T10" s="34">
        <v>23.4</v>
      </c>
      <c r="U10" s="26" t="s">
        <v>593</v>
      </c>
      <c r="V10" s="26" t="s">
        <v>460</v>
      </c>
      <c r="W10" s="33" t="str">
        <f>IF(V10="","",IFERROR(INDEX(tbl_tampas[Material],MATCH(V10,tbl_tampas[CapId],0)),""))</f>
        <v>PP</v>
      </c>
      <c r="X10" s="33" t="str">
        <f>IF(V10="","Sem tampa",IFERROR(INDEX(tbl_materiais[Polimero_Base],MATCH(W10,tbl_materiais[Material],0)),""))</f>
        <v>PP</v>
      </c>
      <c r="Y10" s="38">
        <f>IF(V10="",0,IFERROR(INDEX(tbl_tampas[Massa_g],MATCH(V10,tbl_tampas[CapId],0)),0))</f>
        <v>13.9</v>
      </c>
      <c r="Z10" s="26" t="s">
        <v>319</v>
      </c>
      <c r="AA10" s="26" t="s">
        <v>326</v>
      </c>
      <c r="AB10" s="26" t="s">
        <v>340</v>
      </c>
      <c r="AC10" s="29">
        <v>0</v>
      </c>
      <c r="AD10" s="27">
        <v>0</v>
      </c>
      <c r="AE10" s="26" t="s">
        <v>594</v>
      </c>
      <c r="AF10" s="26" t="s">
        <v>359</v>
      </c>
      <c r="AG10" s="39">
        <v>1</v>
      </c>
      <c r="AH10" s="33" t="str">
        <f t="shared" si="1"/>
        <v>Hot foil metalizado</v>
      </c>
      <c r="AI10" s="27">
        <v>0.03</v>
      </c>
      <c r="AJ10" s="33" t="str">
        <f>IFERROR(INDEX(tbl_regras_dfr[Classe],MATCH(L10&amp;"|Fluxo de reciclagem|"&amp;L10,tbl_regras_dfr[Chave],0)),"Sem regra")</f>
        <v>A</v>
      </c>
      <c r="AK10" s="33" t="str">
        <f>IF(LEFT(L10,9)="Sem fluxo","—",IFERROR(INDEX(tbl_regras_dfr[Classe],MATCH(L10&amp;"|Cor do corpo|"&amp;O10,tbl_regras_dfr[Chave],0)),"Sem regra"))</f>
        <v>A</v>
      </c>
      <c r="AL10" s="33" t="str">
        <f>IF(LEFT(L10,9)="Sem fluxo","—",IFERROR(INDEX(tbl_regras_dfr[Classe],MATCH(L10&amp;"|Densidade do corpo|"&amp;IF(R10&lt;1,"&lt; 1,0 g/cm³","≥ 1,0 g/cm³"),tbl_regras_dfr[Chave],0)),"Sem regra"))</f>
        <v>A</v>
      </c>
      <c r="AM10" s="33" t="str">
        <f>IF(LEFT(L10,9)="Sem fluxo","—",IFERROR(INDEX(tbl_regras_dfr[Classe],MATCH(L10&amp;"|Barreira / revestimento|"&amp;S10,tbl_regras_dfr[Chave],0)),"Sem regra"))</f>
        <v>A</v>
      </c>
      <c r="AN10" s="33" t="str">
        <f>IF(LEFT(L10,9)="Sem fluxo","—",IFERROR(INDEX(tbl_regras_dfr[Classe],MATCH(L10&amp;"|Material da tampa|"&amp;X10,tbl_regras_dfr[Chave],0)),"Sem regra"))</f>
        <v>A</v>
      </c>
      <c r="AO10" s="33" t="str">
        <f>IF(LEFT(L10,9)="Sem fluxo","—",IFERROR(INDEX(tbl_regras_dfr[Classe],MATCH(L10&amp;"|Vedante / liner|"&amp;Z10,tbl_regras_dfr[Chave],0)),"Sem regra"))</f>
        <v>A</v>
      </c>
      <c r="AP10" s="33" t="str">
        <f>IF(LEFT(L10,9)="Sem fluxo","—",IFERROR(INDEX(tbl_regras_dfr[Classe],MATCH(L10&amp;"|Tipo de rótulo|"&amp;AA10,tbl_regras_dfr[Chave],0)),"Sem regra"))</f>
        <v>A</v>
      </c>
      <c r="AQ10" s="33" t="str">
        <f>IF(LEFT(L10,9)="Sem fluxo","—",IFERROR(INDEX(tbl_regras_dfr[Classe],MATCH(L10&amp;"|Adesivo do rótulo|"&amp;AB10,tbl_regras_dfr[Chave],0)),"Sem regra"))</f>
        <v>A</v>
      </c>
      <c r="AR10" s="33" t="str">
        <f>IF(LEFT(L10,9)="Sem fluxo","—",IFERROR(INDEX(tbl_regras_dfr[Classe],MATCH(L10&amp;"|Cobertura do rótulo|"&amp;IF(AC10&gt;0.7,"&gt; 70% da superfície","≤ 70% da superfície"),tbl_regras_dfr[Chave],0)),"Sem regra"))</f>
        <v>A</v>
      </c>
      <c r="AS10" s="33" t="str">
        <f>IF(LEFT(L10,9)="Sem fluxo","—",IFERROR(INDEX(tbl_regras_dfr[Classe],MATCH(L10&amp;"|Decoração direta|"&amp;AH10,tbl_regras_dfr[Chave],0)),"Sem regra"))</f>
        <v>D</v>
      </c>
      <c r="AT10" s="31">
        <f t="shared" si="2"/>
        <v>4</v>
      </c>
      <c r="AU10" s="33" t="str">
        <f>IF(AT10=0,"",INDEX({"A","B","C","D","E","F"},AT10))</f>
        <v>D</v>
      </c>
      <c r="AV10" s="31">
        <f t="shared" si="3"/>
        <v>0</v>
      </c>
      <c r="AW10" s="33" t="str">
        <f t="shared" si="4"/>
        <v>Decoracao</v>
      </c>
      <c r="AX10" s="33" t="str">
        <f>IF(AU10="A","Sem ação — manter o design.",IFERROR(INDEX(tbl_regras_dfr[Recomendacao],MATCH(CHOOSE(MATCH(AU10,AJ10:AS10,0),L10&amp;"|Fluxo de reciclagem|"&amp;L10,L10&amp;"|Cor do corpo|"&amp;O10,L10&amp;"|Densidade do corpo|"&amp;IF(R10&lt;1,"&lt; 1,0 g/cm³","≥ 1,0 g/cm³"),L10&amp;"|Barreira / revestimento|"&amp;S10,L10&amp;"|Material da tampa|"&amp;X10,L10&amp;"|Vedante / liner|"&amp;Z10,L10&amp;"|Tipo de rótulo|"&amp;AA10,L10&amp;"|Adesivo do rótulo|"&amp;AB10,L10&amp;"|Cobertura do rótulo|"&amp;IF(AC10&gt;0.7,"&gt; 70% da superfície","≤ 70% da superfície"),L10&amp;"|Decoração direta|"&amp;AH10),tbl_regras_dfr[Chave],0)),""))</f>
        <v>Rótulo metalizado de PE/PP destacável.</v>
      </c>
      <c r="AY10" s="38">
        <f t="shared" si="5"/>
        <v>37.33</v>
      </c>
      <c r="AZ10" s="36">
        <f>MIN(IFERROR(INDEX(tbl_regras_dfr[Fracao_Reciclavel],MATCH(L10&amp;"|Fluxo de reciclagem|"&amp;L10,tbl_regras_dfr[Chave],0)),0),IFERROR(INDEX(tbl_regras_dfr[Fracao_Reciclavel],MATCH(L10&amp;"|Cor do corpo|"&amp;O10,tbl_regras_dfr[Chave],0)),0))</f>
        <v>1</v>
      </c>
      <c r="BA10" s="36">
        <f>IFERROR(INDEX(tbl_regras_dfr[Fracao_Reciclavel],MATCH(L10&amp;"|Material da tampa|"&amp;X10,tbl_regras_dfr[Chave],0)),0)</f>
        <v>1</v>
      </c>
      <c r="BB10" s="36">
        <f>IFERROR(INDEX(tbl_regras_dfr[Fracao_Reciclavel],MATCH(L10&amp;"|Tipo de rótulo|"&amp;AA10,tbl_regras_dfr[Chave],0)),0)</f>
        <v>1</v>
      </c>
      <c r="BC10" s="38">
        <f t="shared" si="6"/>
        <v>37.299999999999997</v>
      </c>
      <c r="BD10" s="40">
        <f t="shared" si="7"/>
        <v>0.99919635681757302</v>
      </c>
      <c r="BE10" s="33" t="str">
        <f>IF(BD10&gt;=INDEX(tbl_param_emb[Valor],MATCH("P-06",tbl_param_emb[ID_Parametro],0)),"A",IF(BD10&gt;=INDEX(tbl_param_emb[Valor],MATCH("P-07",tbl_param_emb[ID_Parametro],0)),"B",IF(BD10&gt;=INDEX(tbl_param_emb[Valor],MATCH("P-08",tbl_param_emb[ID_Parametro],0)),"C","&lt; 70%")))</f>
        <v>A</v>
      </c>
      <c r="BF10" s="33" t="str">
        <f>IF(AU10="F","Não reciclável (F)",INDEX({"A","B","C","Abaixo de C"},MAX(MIN(AT10,4),IF(BE10="A",1,IF(BE10="B",2,IF(BE10="C",3,4))))))</f>
        <v>Abaixo de C</v>
      </c>
      <c r="BG10" s="33" t="str">
        <f t="shared" si="8"/>
        <v>—</v>
      </c>
      <c r="BH10" s="33" t="str">
        <f t="shared" si="9"/>
        <v>Não</v>
      </c>
      <c r="BI10" s="33" t="str">
        <f t="shared" si="10"/>
        <v>Não</v>
      </c>
      <c r="BJ10" s="36">
        <f>IFERROR(INDEX(tbl_materiais[Pct_PCR],MATCH(J10,tbl_materiais[Material],0)),0)</f>
        <v>0.5</v>
      </c>
      <c r="BK10" s="36">
        <f>IF(V10="",0,IFERROR(INDEX(tbl_tampas[Pct_PCR],MATCH(V10,tbl_tampas[CapId],0)),0))</f>
        <v>0</v>
      </c>
      <c r="BL10" s="40">
        <f t="shared" si="11"/>
        <v>0.31367292225201071</v>
      </c>
      <c r="BM10" s="33" t="str">
        <f t="shared" si="12"/>
        <v>Outras embalagens de plástico</v>
      </c>
      <c r="BN10" s="36">
        <f>IFERROR(IF(INDEX(tbl_metas_art7[Meta_2030],MATCH(BM10,tbl_metas_art7[Categoria_Art7],0))="","",INDEX(tbl_metas_art7[Meta_2030],MATCH(BM10,tbl_metas_art7[Categoria_Art7],0))),"")</f>
        <v>0.35</v>
      </c>
      <c r="BO10" s="40">
        <f t="shared" si="13"/>
        <v>3.6327077747989267E-2</v>
      </c>
      <c r="BP10" s="33" t="str">
        <f t="shared" si="14"/>
        <v>Não</v>
      </c>
      <c r="BQ10" s="33" t="str">
        <f t="shared" si="15"/>
        <v>Multimaterial</v>
      </c>
      <c r="BR10" s="37">
        <v>491905</v>
      </c>
      <c r="BS10" s="39">
        <v>14</v>
      </c>
      <c r="BT10" s="26" t="s">
        <v>426</v>
      </c>
      <c r="BU10" s="32">
        <f t="shared" si="16"/>
        <v>11510.576999999999</v>
      </c>
      <c r="BV10" s="31">
        <f>COUNTIFS(tbl_aplicabilidade[ProductId],B10,tbl_aplicabilidade[Aplicavel],"Sim")</f>
        <v>12</v>
      </c>
      <c r="BW10" s="31">
        <f>COUNTIFS(tbl_aplicabilidade[ProductId],B10,tbl_aplicabilidade[Estado_Resumo],"Lacuna")+COUNTIFS(tbl_aplicabilidade[ProductId],B10,tbl_aplicabilidade[Estado_Resumo],"Não conforme")</f>
        <v>3</v>
      </c>
      <c r="BX10" s="41">
        <v>46287</v>
      </c>
      <c r="BY10" s="42">
        <f t="shared" si="17"/>
        <v>46652</v>
      </c>
      <c r="BZ10" s="26" t="s">
        <v>596</v>
      </c>
      <c r="CA10" s="26" t="s">
        <v>597</v>
      </c>
      <c r="CB10" s="26" t="s">
        <v>598</v>
      </c>
    </row>
    <row r="11" spans="1:80" ht="18" customHeight="1" x14ac:dyDescent="0.3">
      <c r="A11" s="26" t="s">
        <v>616</v>
      </c>
      <c r="B11" s="26" t="s">
        <v>617</v>
      </c>
      <c r="C11" s="26" t="s">
        <v>586</v>
      </c>
      <c r="D11" s="26" t="s">
        <v>587</v>
      </c>
      <c r="E11" s="26" t="s">
        <v>588</v>
      </c>
      <c r="F11" s="26" t="s">
        <v>589</v>
      </c>
      <c r="G11" s="26" t="s">
        <v>590</v>
      </c>
      <c r="H11" s="37">
        <v>350</v>
      </c>
      <c r="I11" s="37">
        <v>121</v>
      </c>
      <c r="J11" s="26" t="s">
        <v>223</v>
      </c>
      <c r="K11" s="33" t="str">
        <f>IFERROR(INDEX(tbl_materiais[Polimero_Base],MATCH(J11,tbl_materiais[Material],0)),"")</f>
        <v>PE</v>
      </c>
      <c r="L11" s="33" t="str">
        <f>IFERROR(INDEX(tbl_materiais[Fluxo_Reciclagem],MATCH(J11,tbl_materiais[Material],0)),"")</f>
        <v>PE rígido</v>
      </c>
      <c r="M11" s="33" t="str">
        <f t="shared" si="0"/>
        <v>PE rígido — frascos e contentores (HDPE/LDPE)</v>
      </c>
      <c r="N11" s="26" t="s">
        <v>618</v>
      </c>
      <c r="O11" s="26" t="s">
        <v>286</v>
      </c>
      <c r="P11" s="26" t="s">
        <v>619</v>
      </c>
      <c r="Q11" s="29">
        <v>0.02</v>
      </c>
      <c r="R11" s="35">
        <f>IFERROR(ROUND(INDEX(tbl_materiais[Densidade_g_cm3],MATCH(J11,tbl_materiais[Material],0))+Q11*1.2,3),"")</f>
        <v>0.97899999999999998</v>
      </c>
      <c r="S11" s="26" t="s">
        <v>302</v>
      </c>
      <c r="T11" s="34">
        <v>24.4</v>
      </c>
      <c r="U11" s="26" t="s">
        <v>593</v>
      </c>
      <c r="V11" s="26" t="s">
        <v>465</v>
      </c>
      <c r="W11" s="33" t="str">
        <f>IF(V11="","",IFERROR(INDEX(tbl_tampas[Material],MATCH(V11,tbl_tampas[CapId],0)),""))</f>
        <v>HDPE</v>
      </c>
      <c r="X11" s="33" t="str">
        <f>IF(V11="","Sem tampa",IFERROR(INDEX(tbl_materiais[Polimero_Base],MATCH(W11,tbl_materiais[Material],0)),""))</f>
        <v>PE</v>
      </c>
      <c r="Y11" s="38">
        <f>IF(V11="",0,IFERROR(INDEX(tbl_tampas[Massa_g],MATCH(V11,tbl_tampas[CapId],0)),0))</f>
        <v>15.5</v>
      </c>
      <c r="Z11" s="26" t="s">
        <v>319</v>
      </c>
      <c r="AA11" s="26" t="s">
        <v>326</v>
      </c>
      <c r="AB11" s="26" t="s">
        <v>340</v>
      </c>
      <c r="AC11" s="29">
        <v>0</v>
      </c>
      <c r="AD11" s="27">
        <v>0</v>
      </c>
      <c r="AE11" s="26" t="s">
        <v>594</v>
      </c>
      <c r="AF11" s="26" t="s">
        <v>595</v>
      </c>
      <c r="AG11" s="39">
        <v>2</v>
      </c>
      <c r="AH11" s="33" t="str">
        <f t="shared" si="1"/>
        <v>Serigrafia 1–2 cores</v>
      </c>
      <c r="AI11" s="27">
        <v>0.16</v>
      </c>
      <c r="AJ11" s="33" t="str">
        <f>IFERROR(INDEX(tbl_regras_dfr[Classe],MATCH(L11&amp;"|Fluxo de reciclagem|"&amp;L11,tbl_regras_dfr[Chave],0)),"Sem regra")</f>
        <v>A</v>
      </c>
      <c r="AK11" s="33" t="str">
        <f>IF(LEFT(L11,9)="Sem fluxo","—",IFERROR(INDEX(tbl_regras_dfr[Classe],MATCH(L11&amp;"|Cor do corpo|"&amp;O11,tbl_regras_dfr[Chave],0)),"Sem regra"))</f>
        <v>B</v>
      </c>
      <c r="AL11" s="33" t="str">
        <f>IF(LEFT(L11,9)="Sem fluxo","—",IFERROR(INDEX(tbl_regras_dfr[Classe],MATCH(L11&amp;"|Densidade do corpo|"&amp;IF(R11&lt;1,"&lt; 1,0 g/cm³","≥ 1,0 g/cm³"),tbl_regras_dfr[Chave],0)),"Sem regra"))</f>
        <v>A</v>
      </c>
      <c r="AM11" s="33" t="str">
        <f>IF(LEFT(L11,9)="Sem fluxo","—",IFERROR(INDEX(tbl_regras_dfr[Classe],MATCH(L11&amp;"|Barreira / revestimento|"&amp;S11,tbl_regras_dfr[Chave],0)),"Sem regra"))</f>
        <v>A</v>
      </c>
      <c r="AN11" s="33" t="str">
        <f>IF(LEFT(L11,9)="Sem fluxo","—",IFERROR(INDEX(tbl_regras_dfr[Classe],MATCH(L11&amp;"|Material da tampa|"&amp;X11,tbl_regras_dfr[Chave],0)),"Sem regra"))</f>
        <v>A</v>
      </c>
      <c r="AO11" s="33" t="str">
        <f>IF(LEFT(L11,9)="Sem fluxo","—",IFERROR(INDEX(tbl_regras_dfr[Classe],MATCH(L11&amp;"|Vedante / liner|"&amp;Z11,tbl_regras_dfr[Chave],0)),"Sem regra"))</f>
        <v>A</v>
      </c>
      <c r="AP11" s="33" t="str">
        <f>IF(LEFT(L11,9)="Sem fluxo","—",IFERROR(INDEX(tbl_regras_dfr[Classe],MATCH(L11&amp;"|Tipo de rótulo|"&amp;AA11,tbl_regras_dfr[Chave],0)),"Sem regra"))</f>
        <v>A</v>
      </c>
      <c r="AQ11" s="33" t="str">
        <f>IF(LEFT(L11,9)="Sem fluxo","—",IFERROR(INDEX(tbl_regras_dfr[Classe],MATCH(L11&amp;"|Adesivo do rótulo|"&amp;AB11,tbl_regras_dfr[Chave],0)),"Sem regra"))</f>
        <v>A</v>
      </c>
      <c r="AR11" s="33" t="str">
        <f>IF(LEFT(L11,9)="Sem fluxo","—",IFERROR(INDEX(tbl_regras_dfr[Classe],MATCH(L11&amp;"|Cobertura do rótulo|"&amp;IF(AC11&gt;0.7,"&gt; 70% da superfície","≤ 70% da superfície"),tbl_regras_dfr[Chave],0)),"Sem regra"))</f>
        <v>A</v>
      </c>
      <c r="AS11" s="33" t="str">
        <f>IF(LEFT(L11,9)="Sem fluxo","—",IFERROR(INDEX(tbl_regras_dfr[Classe],MATCH(L11&amp;"|Decoração direta|"&amp;AH11,tbl_regras_dfr[Chave],0)),"Sem regra"))</f>
        <v>B</v>
      </c>
      <c r="AT11" s="31">
        <f t="shared" si="2"/>
        <v>2</v>
      </c>
      <c r="AU11" s="33" t="str">
        <f>IF(AT11=0,"",INDEX({"A","B","C","D","E","F"},AT11))</f>
        <v>B</v>
      </c>
      <c r="AV11" s="31">
        <f t="shared" si="3"/>
        <v>0</v>
      </c>
      <c r="AW11" s="33" t="str">
        <f t="shared" si="4"/>
        <v>Cor</v>
      </c>
      <c r="AX11" s="33" t="str">
        <f>IF(AU11="A","Sem ação — manter o design.",IFERROR(INDEX(tbl_regras_dfr[Recomendacao],MATCH(CHOOSE(MATCH(AU11,AJ11:AS11,0),L11&amp;"|Fluxo de reciclagem|"&amp;L11,L11&amp;"|Cor do corpo|"&amp;O11,L11&amp;"|Densidade do corpo|"&amp;IF(R11&lt;1,"&lt; 1,0 g/cm³","≥ 1,0 g/cm³"),L11&amp;"|Barreira / revestimento|"&amp;S11,L11&amp;"|Material da tampa|"&amp;X11,L11&amp;"|Vedante / liner|"&amp;Z11,L11&amp;"|Tipo de rótulo|"&amp;AA11,L11&amp;"|Adesivo do rótulo|"&amp;AB11,L11&amp;"|Cobertura do rótulo|"&amp;IF(AC11&gt;0.7,"&gt; 70% da superfície","≤ 70% da superfície"),L11&amp;"|Decoração direta|"&amp;AH11),tbl_regras_dfr[Chave],0)),""))</f>
        <v>Preferir cores claras.</v>
      </c>
      <c r="AY11" s="38">
        <f t="shared" si="5"/>
        <v>40.059999999999995</v>
      </c>
      <c r="AZ11" s="36">
        <f>MIN(IFERROR(INDEX(tbl_regras_dfr[Fracao_Reciclavel],MATCH(L11&amp;"|Fluxo de reciclagem|"&amp;L11,tbl_regras_dfr[Chave],0)),0),IFERROR(INDEX(tbl_regras_dfr[Fracao_Reciclavel],MATCH(L11&amp;"|Cor do corpo|"&amp;O11,tbl_regras_dfr[Chave],0)),0))</f>
        <v>1</v>
      </c>
      <c r="BA11" s="36">
        <f>IFERROR(INDEX(tbl_regras_dfr[Fracao_Reciclavel],MATCH(L11&amp;"|Material da tampa|"&amp;X11,tbl_regras_dfr[Chave],0)),0)</f>
        <v>1</v>
      </c>
      <c r="BB11" s="36">
        <f>IFERROR(INDEX(tbl_regras_dfr[Fracao_Reciclavel],MATCH(L11&amp;"|Tipo de rótulo|"&amp;AA11,tbl_regras_dfr[Chave],0)),0)</f>
        <v>1</v>
      </c>
      <c r="BC11" s="38">
        <f t="shared" si="6"/>
        <v>39.9</v>
      </c>
      <c r="BD11" s="40">
        <f t="shared" si="7"/>
        <v>0.99600599101347986</v>
      </c>
      <c r="BE11" s="33" t="str">
        <f>IF(BD11&gt;=INDEX(tbl_param_emb[Valor],MATCH("P-06",tbl_param_emb[ID_Parametro],0)),"A",IF(BD11&gt;=INDEX(tbl_param_emb[Valor],MATCH("P-07",tbl_param_emb[ID_Parametro],0)),"B",IF(BD11&gt;=INDEX(tbl_param_emb[Valor],MATCH("P-08",tbl_param_emb[ID_Parametro],0)),"C","&lt; 70%")))</f>
        <v>A</v>
      </c>
      <c r="BF11" s="33" t="str">
        <f>IF(AU11="F","Não reciclável (F)",INDEX({"A","B","C","Abaixo de C"},MAX(MIN(AT11,4),IF(BE11="A",1,IF(BE11="B",2,IF(BE11="C",3,4))))))</f>
        <v>B</v>
      </c>
      <c r="BG11" s="33" t="str">
        <f t="shared" si="8"/>
        <v>—</v>
      </c>
      <c r="BH11" s="33" t="str">
        <f t="shared" si="9"/>
        <v>Sim</v>
      </c>
      <c r="BI11" s="33" t="str">
        <f t="shared" si="10"/>
        <v>Sim</v>
      </c>
      <c r="BJ11" s="36">
        <f>IFERROR(INDEX(tbl_materiais[Pct_PCR],MATCH(J11,tbl_materiais[Material],0)),0)</f>
        <v>0</v>
      </c>
      <c r="BK11" s="36">
        <f>IF(V11="",0,IFERROR(INDEX(tbl_tampas[Pct_PCR],MATCH(V11,tbl_tampas[CapId],0)),0))</f>
        <v>0</v>
      </c>
      <c r="BL11" s="40">
        <f t="shared" si="11"/>
        <v>0</v>
      </c>
      <c r="BM11" s="33" t="str">
        <f t="shared" si="12"/>
        <v>Outras embalagens de plástico</v>
      </c>
      <c r="BN11" s="36">
        <f>IFERROR(IF(INDEX(tbl_metas_art7[Meta_2030],MATCH(BM11,tbl_metas_art7[Categoria_Art7],0))="","",INDEX(tbl_metas_art7[Meta_2030],MATCH(BM11,tbl_metas_art7[Categoria_Art7],0))),"")</f>
        <v>0.35</v>
      </c>
      <c r="BO11" s="40">
        <f t="shared" si="13"/>
        <v>0.35</v>
      </c>
      <c r="BP11" s="33" t="str">
        <f t="shared" si="14"/>
        <v>Não</v>
      </c>
      <c r="BQ11" s="33" t="str">
        <f t="shared" si="15"/>
        <v>Monomaterial (mesma família)</v>
      </c>
      <c r="BR11" s="37">
        <v>90151</v>
      </c>
      <c r="BS11" s="39">
        <v>10</v>
      </c>
      <c r="BT11" s="26" t="s">
        <v>457</v>
      </c>
      <c r="BU11" s="32">
        <f t="shared" si="16"/>
        <v>2199.6844000000001</v>
      </c>
      <c r="BV11" s="31">
        <f>COUNTIFS(tbl_aplicabilidade[ProductId],B11,tbl_aplicabilidade[Aplicavel],"Sim")</f>
        <v>12</v>
      </c>
      <c r="BW11" s="31">
        <f>COUNTIFS(tbl_aplicabilidade[ProductId],B11,tbl_aplicabilidade[Estado_Resumo],"Lacuna")+COUNTIFS(tbl_aplicabilidade[ProductId],B11,tbl_aplicabilidade[Estado_Resumo],"Não conforme")</f>
        <v>1</v>
      </c>
      <c r="BX11" s="41">
        <v>46287</v>
      </c>
      <c r="BY11" s="42">
        <f t="shared" si="17"/>
        <v>46652</v>
      </c>
      <c r="BZ11" s="26" t="s">
        <v>596</v>
      </c>
      <c r="CA11" s="26" t="s">
        <v>597</v>
      </c>
      <c r="CB11" s="26" t="s">
        <v>598</v>
      </c>
    </row>
    <row r="12" spans="1:80" ht="18" customHeight="1" x14ac:dyDescent="0.3">
      <c r="A12" s="26" t="s">
        <v>620</v>
      </c>
      <c r="B12" s="26" t="s">
        <v>621</v>
      </c>
      <c r="C12" s="26" t="s">
        <v>586</v>
      </c>
      <c r="D12" s="26" t="s">
        <v>587</v>
      </c>
      <c r="E12" s="26" t="s">
        <v>588</v>
      </c>
      <c r="F12" s="26" t="s">
        <v>589</v>
      </c>
      <c r="G12" s="26" t="s">
        <v>590</v>
      </c>
      <c r="H12" s="37">
        <v>350</v>
      </c>
      <c r="I12" s="37">
        <v>121</v>
      </c>
      <c r="J12" s="26" t="s">
        <v>223</v>
      </c>
      <c r="K12" s="33" t="str">
        <f>IFERROR(INDEX(tbl_materiais[Polimero_Base],MATCH(J12,tbl_materiais[Material],0)),"")</f>
        <v>PE</v>
      </c>
      <c r="L12" s="33" t="str">
        <f>IFERROR(INDEX(tbl_materiais[Fluxo_Reciclagem],MATCH(J12,tbl_materiais[Material],0)),"")</f>
        <v>PE rígido</v>
      </c>
      <c r="M12" s="33" t="str">
        <f t="shared" si="0"/>
        <v>PE rígido — frascos e contentores (HDPE/LDPE)</v>
      </c>
      <c r="N12" s="26" t="s">
        <v>622</v>
      </c>
      <c r="O12" s="26" t="s">
        <v>283</v>
      </c>
      <c r="P12" s="26" t="s">
        <v>623</v>
      </c>
      <c r="Q12" s="29">
        <v>1.4999999999999999E-2</v>
      </c>
      <c r="R12" s="35">
        <f>IFERROR(ROUND(INDEX(tbl_materiais[Densidade_g_cm3],MATCH(J12,tbl_materiais[Material],0))+Q12*1.2,3),"")</f>
        <v>0.97299999999999998</v>
      </c>
      <c r="S12" s="26" t="s">
        <v>302</v>
      </c>
      <c r="T12" s="34">
        <v>24.4</v>
      </c>
      <c r="U12" s="26" t="s">
        <v>593</v>
      </c>
      <c r="V12" s="26" t="s">
        <v>421</v>
      </c>
      <c r="W12" s="33" t="str">
        <f>IF(V12="","",IFERROR(INDEX(tbl_tampas[Material],MATCH(V12,tbl_tampas[CapId],0)),""))</f>
        <v>HDPE</v>
      </c>
      <c r="X12" s="33" t="str">
        <f>IF(V12="","Sem tampa",IFERROR(INDEX(tbl_materiais[Polimero_Base],MATCH(W12,tbl_materiais[Material],0)),""))</f>
        <v>PE</v>
      </c>
      <c r="Y12" s="38">
        <f>IF(V12="",0,IFERROR(INDEX(tbl_tampas[Massa_g],MATCH(V12,tbl_tampas[CapId],0)),0))</f>
        <v>11.5</v>
      </c>
      <c r="Z12" s="26" t="s">
        <v>319</v>
      </c>
      <c r="AA12" s="26" t="s">
        <v>326</v>
      </c>
      <c r="AB12" s="26" t="s">
        <v>340</v>
      </c>
      <c r="AC12" s="29">
        <v>0</v>
      </c>
      <c r="AD12" s="27">
        <v>0</v>
      </c>
      <c r="AE12" s="26" t="s">
        <v>594</v>
      </c>
      <c r="AF12" s="26" t="s">
        <v>595</v>
      </c>
      <c r="AG12" s="39">
        <v>3</v>
      </c>
      <c r="AH12" s="33" t="str">
        <f t="shared" si="1"/>
        <v>Serigrafia ≥ 3 cores</v>
      </c>
      <c r="AI12" s="27">
        <v>0.24</v>
      </c>
      <c r="AJ12" s="33" t="str">
        <f>IFERROR(INDEX(tbl_regras_dfr[Classe],MATCH(L12&amp;"|Fluxo de reciclagem|"&amp;L12,tbl_regras_dfr[Chave],0)),"Sem regra")</f>
        <v>A</v>
      </c>
      <c r="AK12" s="33" t="str">
        <f>IF(LEFT(L12,9)="Sem fluxo","—",IFERROR(INDEX(tbl_regras_dfr[Classe],MATCH(L12&amp;"|Cor do corpo|"&amp;O12,tbl_regras_dfr[Chave],0)),"Sem regra"))</f>
        <v>B</v>
      </c>
      <c r="AL12" s="33" t="str">
        <f>IF(LEFT(L12,9)="Sem fluxo","—",IFERROR(INDEX(tbl_regras_dfr[Classe],MATCH(L12&amp;"|Densidade do corpo|"&amp;IF(R12&lt;1,"&lt; 1,0 g/cm³","≥ 1,0 g/cm³"),tbl_regras_dfr[Chave],0)),"Sem regra"))</f>
        <v>A</v>
      </c>
      <c r="AM12" s="33" t="str">
        <f>IF(LEFT(L12,9)="Sem fluxo","—",IFERROR(INDEX(tbl_regras_dfr[Classe],MATCH(L12&amp;"|Barreira / revestimento|"&amp;S12,tbl_regras_dfr[Chave],0)),"Sem regra"))</f>
        <v>A</v>
      </c>
      <c r="AN12" s="33" t="str">
        <f>IF(LEFT(L12,9)="Sem fluxo","—",IFERROR(INDEX(tbl_regras_dfr[Classe],MATCH(L12&amp;"|Material da tampa|"&amp;X12,tbl_regras_dfr[Chave],0)),"Sem regra"))</f>
        <v>A</v>
      </c>
      <c r="AO12" s="33" t="str">
        <f>IF(LEFT(L12,9)="Sem fluxo","—",IFERROR(INDEX(tbl_regras_dfr[Classe],MATCH(L12&amp;"|Vedante / liner|"&amp;Z12,tbl_regras_dfr[Chave],0)),"Sem regra"))</f>
        <v>A</v>
      </c>
      <c r="AP12" s="33" t="str">
        <f>IF(LEFT(L12,9)="Sem fluxo","—",IFERROR(INDEX(tbl_regras_dfr[Classe],MATCH(L12&amp;"|Tipo de rótulo|"&amp;AA12,tbl_regras_dfr[Chave],0)),"Sem regra"))</f>
        <v>A</v>
      </c>
      <c r="AQ12" s="33" t="str">
        <f>IF(LEFT(L12,9)="Sem fluxo","—",IFERROR(INDEX(tbl_regras_dfr[Classe],MATCH(L12&amp;"|Adesivo do rótulo|"&amp;AB12,tbl_regras_dfr[Chave],0)),"Sem regra"))</f>
        <v>A</v>
      </c>
      <c r="AR12" s="33" t="str">
        <f>IF(LEFT(L12,9)="Sem fluxo","—",IFERROR(INDEX(tbl_regras_dfr[Classe],MATCH(L12&amp;"|Cobertura do rótulo|"&amp;IF(AC12&gt;0.7,"&gt; 70% da superfície","≤ 70% da superfície"),tbl_regras_dfr[Chave],0)),"Sem regra"))</f>
        <v>A</v>
      </c>
      <c r="AS12" s="33" t="str">
        <f>IF(LEFT(L12,9)="Sem fluxo","—",IFERROR(INDEX(tbl_regras_dfr[Classe],MATCH(L12&amp;"|Decoração direta|"&amp;AH12,tbl_regras_dfr[Chave],0)),"Sem regra"))</f>
        <v>C</v>
      </c>
      <c r="AT12" s="31">
        <f t="shared" si="2"/>
        <v>3</v>
      </c>
      <c r="AU12" s="33" t="str">
        <f>IF(AT12=0,"",INDEX({"A","B","C","D","E","F"},AT12))</f>
        <v>C</v>
      </c>
      <c r="AV12" s="31">
        <f t="shared" si="3"/>
        <v>0</v>
      </c>
      <c r="AW12" s="33" t="str">
        <f t="shared" si="4"/>
        <v>Decoracao</v>
      </c>
      <c r="AX12" s="33" t="str">
        <f>IF(AU12="A","Sem ação — manter o design.",IFERROR(INDEX(tbl_regras_dfr[Recomendacao],MATCH(CHOOSE(MATCH(AU12,AJ12:AS12,0),L12&amp;"|Fluxo de reciclagem|"&amp;L12,L12&amp;"|Cor do corpo|"&amp;O12,L12&amp;"|Densidade do corpo|"&amp;IF(R12&lt;1,"&lt; 1,0 g/cm³","≥ 1,0 g/cm³"),L12&amp;"|Barreira / revestimento|"&amp;S12,L12&amp;"|Material da tampa|"&amp;X12,L12&amp;"|Vedante / liner|"&amp;Z12,L12&amp;"|Tipo de rótulo|"&amp;AA12,L12&amp;"|Adesivo do rótulo|"&amp;AB12,L12&amp;"|Cobertura do rótulo|"&amp;IF(AC12&gt;0.7,"&gt; 70% da superfície","≤ 70% da superfície"),L12&amp;"|Decoração direta|"&amp;AH12),tbl_regras_dfr[Chave],0)),""))</f>
        <v>Reduzir cores/área ou passar a rótulo de PE/PP.</v>
      </c>
      <c r="AY12" s="38">
        <f t="shared" si="5"/>
        <v>36.14</v>
      </c>
      <c r="AZ12" s="36">
        <f>MIN(IFERROR(INDEX(tbl_regras_dfr[Fracao_Reciclavel],MATCH(L12&amp;"|Fluxo de reciclagem|"&amp;L12,tbl_regras_dfr[Chave],0)),0),IFERROR(INDEX(tbl_regras_dfr[Fracao_Reciclavel],MATCH(L12&amp;"|Cor do corpo|"&amp;O12,tbl_regras_dfr[Chave],0)),0))</f>
        <v>1</v>
      </c>
      <c r="BA12" s="36">
        <f>IFERROR(INDEX(tbl_regras_dfr[Fracao_Reciclavel],MATCH(L12&amp;"|Material da tampa|"&amp;X12,tbl_regras_dfr[Chave],0)),0)</f>
        <v>1</v>
      </c>
      <c r="BB12" s="36">
        <f>IFERROR(INDEX(tbl_regras_dfr[Fracao_Reciclavel],MATCH(L12&amp;"|Tipo de rótulo|"&amp;AA12,tbl_regras_dfr[Chave],0)),0)</f>
        <v>1</v>
      </c>
      <c r="BC12" s="38">
        <f t="shared" si="6"/>
        <v>35.9</v>
      </c>
      <c r="BD12" s="40">
        <f t="shared" si="7"/>
        <v>0.99335915882678472</v>
      </c>
      <c r="BE12" s="33" t="str">
        <f>IF(BD12&gt;=INDEX(tbl_param_emb[Valor],MATCH("P-06",tbl_param_emb[ID_Parametro],0)),"A",IF(BD12&gt;=INDEX(tbl_param_emb[Valor],MATCH("P-07",tbl_param_emb[ID_Parametro],0)),"B",IF(BD12&gt;=INDEX(tbl_param_emb[Valor],MATCH("P-08",tbl_param_emb[ID_Parametro],0)),"C","&lt; 70%")))</f>
        <v>A</v>
      </c>
      <c r="BF12" s="33" t="str">
        <f>IF(AU12="F","Não reciclável (F)",INDEX({"A","B","C","Abaixo de C"},MAX(MIN(AT12,4),IF(BE12="A",1,IF(BE12="B",2,IF(BE12="C",3,4))))))</f>
        <v>C</v>
      </c>
      <c r="BG12" s="33" t="str">
        <f t="shared" si="8"/>
        <v>—</v>
      </c>
      <c r="BH12" s="33" t="str">
        <f t="shared" si="9"/>
        <v>Sim</v>
      </c>
      <c r="BI12" s="33" t="str">
        <f t="shared" si="10"/>
        <v>Não</v>
      </c>
      <c r="BJ12" s="36">
        <f>IFERROR(INDEX(tbl_materiais[Pct_PCR],MATCH(J12,tbl_materiais[Material],0)),0)</f>
        <v>0</v>
      </c>
      <c r="BK12" s="36">
        <f>IF(V12="",0,IFERROR(INDEX(tbl_tampas[Pct_PCR],MATCH(V12,tbl_tampas[CapId],0)),0))</f>
        <v>0</v>
      </c>
      <c r="BL12" s="40">
        <f t="shared" si="11"/>
        <v>0</v>
      </c>
      <c r="BM12" s="33" t="str">
        <f t="shared" si="12"/>
        <v>Outras embalagens de plástico</v>
      </c>
      <c r="BN12" s="36">
        <f>IFERROR(IF(INDEX(tbl_metas_art7[Meta_2030],MATCH(BM12,tbl_metas_art7[Categoria_Art7],0))="","",INDEX(tbl_metas_art7[Meta_2030],MATCH(BM12,tbl_metas_art7[Categoria_Art7],0))),"")</f>
        <v>0.35</v>
      </c>
      <c r="BO12" s="40">
        <f t="shared" si="13"/>
        <v>0.35</v>
      </c>
      <c r="BP12" s="33" t="str">
        <f t="shared" si="14"/>
        <v>Não</v>
      </c>
      <c r="BQ12" s="33" t="str">
        <f t="shared" si="15"/>
        <v>Monomaterial (mesma família)</v>
      </c>
      <c r="BR12" s="37">
        <v>108196</v>
      </c>
      <c r="BS12" s="39">
        <v>11</v>
      </c>
      <c r="BT12" s="26" t="s">
        <v>426</v>
      </c>
      <c r="BU12" s="32">
        <f t="shared" si="16"/>
        <v>2639.9823999999999</v>
      </c>
      <c r="BV12" s="31">
        <f>COUNTIFS(tbl_aplicabilidade[ProductId],B12,tbl_aplicabilidade[Aplicavel],"Sim")</f>
        <v>12</v>
      </c>
      <c r="BW12" s="31">
        <f>COUNTIFS(tbl_aplicabilidade[ProductId],B12,tbl_aplicabilidade[Estado_Resumo],"Lacuna")+COUNTIFS(tbl_aplicabilidade[ProductId],B12,tbl_aplicabilidade[Estado_Resumo],"Não conforme")</f>
        <v>1</v>
      </c>
      <c r="BX12" s="41">
        <v>46287</v>
      </c>
      <c r="BY12" s="42">
        <f t="shared" si="17"/>
        <v>46652</v>
      </c>
      <c r="BZ12" s="26" t="s">
        <v>596</v>
      </c>
      <c r="CA12" s="26" t="s">
        <v>597</v>
      </c>
      <c r="CB12" s="26" t="s">
        <v>598</v>
      </c>
    </row>
    <row r="13" spans="1:80" ht="18" customHeight="1" x14ac:dyDescent="0.3">
      <c r="A13" s="26" t="s">
        <v>624</v>
      </c>
      <c r="B13" s="26" t="s">
        <v>625</v>
      </c>
      <c r="C13" s="26" t="s">
        <v>586</v>
      </c>
      <c r="D13" s="26" t="s">
        <v>587</v>
      </c>
      <c r="E13" s="26" t="s">
        <v>588</v>
      </c>
      <c r="F13" s="26" t="s">
        <v>589</v>
      </c>
      <c r="G13" s="26" t="s">
        <v>590</v>
      </c>
      <c r="H13" s="37">
        <v>350</v>
      </c>
      <c r="I13" s="37">
        <v>121</v>
      </c>
      <c r="J13" s="26" t="s">
        <v>223</v>
      </c>
      <c r="K13" s="33" t="str">
        <f>IFERROR(INDEX(tbl_materiais[Polimero_Base],MATCH(J13,tbl_materiais[Material],0)),"")</f>
        <v>PE</v>
      </c>
      <c r="L13" s="33" t="str">
        <f>IFERROR(INDEX(tbl_materiais[Fluxo_Reciclagem],MATCH(J13,tbl_materiais[Material],0)),"")</f>
        <v>PE rígido</v>
      </c>
      <c r="M13" s="33" t="str">
        <f t="shared" si="0"/>
        <v>PE rígido — frascos e contentores (HDPE/LDPE)</v>
      </c>
      <c r="N13" s="26" t="s">
        <v>591</v>
      </c>
      <c r="O13" s="26" t="s">
        <v>283</v>
      </c>
      <c r="P13" s="26" t="s">
        <v>592</v>
      </c>
      <c r="Q13" s="29">
        <v>0.02</v>
      </c>
      <c r="R13" s="35">
        <f>IFERROR(ROUND(INDEX(tbl_materiais[Densidade_g_cm3],MATCH(J13,tbl_materiais[Material],0))+Q13*1.2,3),"")</f>
        <v>0.97899999999999998</v>
      </c>
      <c r="S13" s="26" t="s">
        <v>302</v>
      </c>
      <c r="T13" s="34">
        <v>24.4</v>
      </c>
      <c r="U13" s="26" t="s">
        <v>593</v>
      </c>
      <c r="V13" s="26" t="s">
        <v>421</v>
      </c>
      <c r="W13" s="33" t="str">
        <f>IF(V13="","",IFERROR(INDEX(tbl_tampas[Material],MATCH(V13,tbl_tampas[CapId],0)),""))</f>
        <v>HDPE</v>
      </c>
      <c r="X13" s="33" t="str">
        <f>IF(V13="","Sem tampa",IFERROR(INDEX(tbl_materiais[Polimero_Base],MATCH(W13,tbl_materiais[Material],0)),""))</f>
        <v>PE</v>
      </c>
      <c r="Y13" s="38">
        <f>IF(V13="",0,IFERROR(INDEX(tbl_tampas[Massa_g],MATCH(V13,tbl_tampas[CapId],0)),0))</f>
        <v>11.5</v>
      </c>
      <c r="Z13" s="26" t="s">
        <v>319</v>
      </c>
      <c r="AA13" s="26" t="s">
        <v>327</v>
      </c>
      <c r="AB13" s="26" t="s">
        <v>342</v>
      </c>
      <c r="AC13" s="29">
        <v>0.4</v>
      </c>
      <c r="AD13" s="27">
        <v>0.51</v>
      </c>
      <c r="AE13" s="26" t="s">
        <v>604</v>
      </c>
      <c r="AF13" s="26" t="s">
        <v>302</v>
      </c>
      <c r="AG13" s="39">
        <v>0</v>
      </c>
      <c r="AH13" s="33" t="str">
        <f t="shared" si="1"/>
        <v>Nenhuma</v>
      </c>
      <c r="AI13" s="27">
        <v>0</v>
      </c>
      <c r="AJ13" s="33" t="str">
        <f>IFERROR(INDEX(tbl_regras_dfr[Classe],MATCH(L13&amp;"|Fluxo de reciclagem|"&amp;L13,tbl_regras_dfr[Chave],0)),"Sem regra")</f>
        <v>A</v>
      </c>
      <c r="AK13" s="33" t="str">
        <f>IF(LEFT(L13,9)="Sem fluxo","—",IFERROR(INDEX(tbl_regras_dfr[Classe],MATCH(L13&amp;"|Cor do corpo|"&amp;O13,tbl_regras_dfr[Chave],0)),"Sem regra"))</f>
        <v>B</v>
      </c>
      <c r="AL13" s="33" t="str">
        <f>IF(LEFT(L13,9)="Sem fluxo","—",IFERROR(INDEX(tbl_regras_dfr[Classe],MATCH(L13&amp;"|Densidade do corpo|"&amp;IF(R13&lt;1,"&lt; 1,0 g/cm³","≥ 1,0 g/cm³"),tbl_regras_dfr[Chave],0)),"Sem regra"))</f>
        <v>A</v>
      </c>
      <c r="AM13" s="33" t="str">
        <f>IF(LEFT(L13,9)="Sem fluxo","—",IFERROR(INDEX(tbl_regras_dfr[Classe],MATCH(L13&amp;"|Barreira / revestimento|"&amp;S13,tbl_regras_dfr[Chave],0)),"Sem regra"))</f>
        <v>A</v>
      </c>
      <c r="AN13" s="33" t="str">
        <f>IF(LEFT(L13,9)="Sem fluxo","—",IFERROR(INDEX(tbl_regras_dfr[Classe],MATCH(L13&amp;"|Material da tampa|"&amp;X13,tbl_regras_dfr[Chave],0)),"Sem regra"))</f>
        <v>A</v>
      </c>
      <c r="AO13" s="33" t="str">
        <f>IF(LEFT(L13,9)="Sem fluxo","—",IFERROR(INDEX(tbl_regras_dfr[Classe],MATCH(L13&amp;"|Vedante / liner|"&amp;Z13,tbl_regras_dfr[Chave],0)),"Sem regra"))</f>
        <v>A</v>
      </c>
      <c r="AP13" s="33" t="str">
        <f>IF(LEFT(L13,9)="Sem fluxo","—",IFERROR(INDEX(tbl_regras_dfr[Classe],MATCH(L13&amp;"|Tipo de rótulo|"&amp;AA13,tbl_regras_dfr[Chave],0)),"Sem regra"))</f>
        <v>A</v>
      </c>
      <c r="AQ13" s="33" t="str">
        <f>IF(LEFT(L13,9)="Sem fluxo","—",IFERROR(INDEX(tbl_regras_dfr[Classe],MATCH(L13&amp;"|Adesivo do rótulo|"&amp;AB13,tbl_regras_dfr[Chave],0)),"Sem regra"))</f>
        <v>A</v>
      </c>
      <c r="AR13" s="33" t="str">
        <f>IF(LEFT(L13,9)="Sem fluxo","—",IFERROR(INDEX(tbl_regras_dfr[Classe],MATCH(L13&amp;"|Cobertura do rótulo|"&amp;IF(AC13&gt;0.7,"&gt; 70% da superfície","≤ 70% da superfície"),tbl_regras_dfr[Chave],0)),"Sem regra"))</f>
        <v>A</v>
      </c>
      <c r="AS13" s="33" t="str">
        <f>IF(LEFT(L13,9)="Sem fluxo","—",IFERROR(INDEX(tbl_regras_dfr[Classe],MATCH(L13&amp;"|Decoração direta|"&amp;AH13,tbl_regras_dfr[Chave],0)),"Sem regra"))</f>
        <v>A</v>
      </c>
      <c r="AT13" s="31">
        <f t="shared" si="2"/>
        <v>2</v>
      </c>
      <c r="AU13" s="33" t="str">
        <f>IF(AT13=0,"",INDEX({"A","B","C","D","E","F"},AT13))</f>
        <v>B</v>
      </c>
      <c r="AV13" s="31">
        <f t="shared" si="3"/>
        <v>0</v>
      </c>
      <c r="AW13" s="33" t="str">
        <f t="shared" si="4"/>
        <v>Cor</v>
      </c>
      <c r="AX13" s="33" t="str">
        <f>IF(AU13="A","Sem ação — manter o design.",IFERROR(INDEX(tbl_regras_dfr[Recomendacao],MATCH(CHOOSE(MATCH(AU13,AJ13:AS13,0),L13&amp;"|Fluxo de reciclagem|"&amp;L13,L13&amp;"|Cor do corpo|"&amp;O13,L13&amp;"|Densidade do corpo|"&amp;IF(R13&lt;1,"&lt; 1,0 g/cm³","≥ 1,0 g/cm³"),L13&amp;"|Barreira / revestimento|"&amp;S13,L13&amp;"|Material da tampa|"&amp;X13,L13&amp;"|Vedante / liner|"&amp;Z13,L13&amp;"|Tipo de rótulo|"&amp;AA13,L13&amp;"|Adesivo do rótulo|"&amp;AB13,L13&amp;"|Cobertura do rótulo|"&amp;IF(AC13&gt;0.7,"&gt; 70% da superfície","≤ 70% da superfície"),L13&amp;"|Decoração direta|"&amp;AH13),tbl_regras_dfr[Chave],0)),""))</f>
        <v>Preferir natural, branco ou cores claras.</v>
      </c>
      <c r="AY13" s="38">
        <f t="shared" si="5"/>
        <v>36.409999999999997</v>
      </c>
      <c r="AZ13" s="36">
        <f>MIN(IFERROR(INDEX(tbl_regras_dfr[Fracao_Reciclavel],MATCH(L13&amp;"|Fluxo de reciclagem|"&amp;L13,tbl_regras_dfr[Chave],0)),0),IFERROR(INDEX(tbl_regras_dfr[Fracao_Reciclavel],MATCH(L13&amp;"|Cor do corpo|"&amp;O13,tbl_regras_dfr[Chave],0)),0))</f>
        <v>1</v>
      </c>
      <c r="BA13" s="36">
        <f>IFERROR(INDEX(tbl_regras_dfr[Fracao_Reciclavel],MATCH(L13&amp;"|Material da tampa|"&amp;X13,tbl_regras_dfr[Chave],0)),0)</f>
        <v>1</v>
      </c>
      <c r="BB13" s="36">
        <f>IFERROR(INDEX(tbl_regras_dfr[Fracao_Reciclavel],MATCH(L13&amp;"|Tipo de rótulo|"&amp;AA13,tbl_regras_dfr[Chave],0)),0)</f>
        <v>1</v>
      </c>
      <c r="BC13" s="38">
        <f t="shared" si="6"/>
        <v>36.409999999999997</v>
      </c>
      <c r="BD13" s="40">
        <f t="shared" si="7"/>
        <v>1</v>
      </c>
      <c r="BE13" s="33" t="str">
        <f>IF(BD13&gt;=INDEX(tbl_param_emb[Valor],MATCH("P-06",tbl_param_emb[ID_Parametro],0)),"A",IF(BD13&gt;=INDEX(tbl_param_emb[Valor],MATCH("P-07",tbl_param_emb[ID_Parametro],0)),"B",IF(BD13&gt;=INDEX(tbl_param_emb[Valor],MATCH("P-08",tbl_param_emb[ID_Parametro],0)),"C","&lt; 70%")))</f>
        <v>A</v>
      </c>
      <c r="BF13" s="33" t="str">
        <f>IF(AU13="F","Não reciclável (F)",INDEX({"A","B","C","Abaixo de C"},MAX(MIN(AT13,4),IF(BE13="A",1,IF(BE13="B",2,IF(BE13="C",3,4))))))</f>
        <v>B</v>
      </c>
      <c r="BG13" s="33" t="str">
        <f t="shared" si="8"/>
        <v>—</v>
      </c>
      <c r="BH13" s="33" t="str">
        <f t="shared" si="9"/>
        <v>Sim</v>
      </c>
      <c r="BI13" s="33" t="str">
        <f t="shared" si="10"/>
        <v>Sim</v>
      </c>
      <c r="BJ13" s="36">
        <f>IFERROR(INDEX(tbl_materiais[Pct_PCR],MATCH(J13,tbl_materiais[Material],0)),0)</f>
        <v>0</v>
      </c>
      <c r="BK13" s="36">
        <f>IF(V13="",0,IFERROR(INDEX(tbl_tampas[Pct_PCR],MATCH(V13,tbl_tampas[CapId],0)),0))</f>
        <v>0</v>
      </c>
      <c r="BL13" s="40">
        <f t="shared" si="11"/>
        <v>0</v>
      </c>
      <c r="BM13" s="33" t="str">
        <f t="shared" si="12"/>
        <v>Outras embalagens de plástico</v>
      </c>
      <c r="BN13" s="36">
        <f>IFERROR(IF(INDEX(tbl_metas_art7[Meta_2030],MATCH(BM13,tbl_metas_art7[Categoria_Art7],0))="","",INDEX(tbl_metas_art7[Meta_2030],MATCH(BM13,tbl_metas_art7[Categoria_Art7],0))),"")</f>
        <v>0.35</v>
      </c>
      <c r="BO13" s="40">
        <f t="shared" si="13"/>
        <v>0.35</v>
      </c>
      <c r="BP13" s="33" t="str">
        <f t="shared" si="14"/>
        <v>Não</v>
      </c>
      <c r="BQ13" s="33" t="str">
        <f t="shared" si="15"/>
        <v>Monomaterial (mesma família)</v>
      </c>
      <c r="BR13" s="37">
        <v>71912</v>
      </c>
      <c r="BS13" s="39">
        <v>11</v>
      </c>
      <c r="BT13" s="26" t="s">
        <v>454</v>
      </c>
      <c r="BU13" s="32">
        <f t="shared" si="16"/>
        <v>1754.6527999999998</v>
      </c>
      <c r="BV13" s="31">
        <f>COUNTIFS(tbl_aplicabilidade[ProductId],B13,tbl_aplicabilidade[Aplicavel],"Sim")</f>
        <v>12</v>
      </c>
      <c r="BW13" s="31">
        <f>COUNTIFS(tbl_aplicabilidade[ProductId],B13,tbl_aplicabilidade[Estado_Resumo],"Lacuna")+COUNTIFS(tbl_aplicabilidade[ProductId],B13,tbl_aplicabilidade[Estado_Resumo],"Não conforme")</f>
        <v>1</v>
      </c>
      <c r="BX13" s="41">
        <v>46287</v>
      </c>
      <c r="BY13" s="42">
        <f t="shared" si="17"/>
        <v>46652</v>
      </c>
      <c r="BZ13" s="26" t="s">
        <v>596</v>
      </c>
      <c r="CA13" s="26" t="s">
        <v>597</v>
      </c>
      <c r="CB13" s="26" t="s">
        <v>598</v>
      </c>
    </row>
    <row r="14" spans="1:80" ht="18" customHeight="1" x14ac:dyDescent="0.3">
      <c r="A14" s="26" t="s">
        <v>626</v>
      </c>
      <c r="B14" s="26" t="s">
        <v>627</v>
      </c>
      <c r="C14" s="26" t="s">
        <v>586</v>
      </c>
      <c r="D14" s="26" t="s">
        <v>587</v>
      </c>
      <c r="E14" s="26" t="s">
        <v>588</v>
      </c>
      <c r="F14" s="26" t="s">
        <v>589</v>
      </c>
      <c r="G14" s="26" t="s">
        <v>601</v>
      </c>
      <c r="H14" s="37">
        <v>350</v>
      </c>
      <c r="I14" s="37">
        <v>121</v>
      </c>
      <c r="J14" s="26" t="s">
        <v>229</v>
      </c>
      <c r="K14" s="33" t="str">
        <f>IFERROR(INDEX(tbl_materiais[Polimero_Base],MATCH(J14,tbl_materiais[Material],0)),"")</f>
        <v>PE</v>
      </c>
      <c r="L14" s="33" t="str">
        <f>IFERROR(INDEX(tbl_materiais[Fluxo_Reciclagem],MATCH(J14,tbl_materiais[Material],0)),"")</f>
        <v>PE rígido</v>
      </c>
      <c r="M14" s="33" t="str">
        <f t="shared" si="0"/>
        <v>PE rígido — frascos e contentores (HDPE/LDPE)</v>
      </c>
      <c r="N14" s="26" t="s">
        <v>602</v>
      </c>
      <c r="O14" s="26" t="s">
        <v>283</v>
      </c>
      <c r="P14" s="26" t="s">
        <v>603</v>
      </c>
      <c r="Q14" s="29">
        <v>0.02</v>
      </c>
      <c r="R14" s="35">
        <f>IFERROR(ROUND(INDEX(tbl_materiais[Densidade_g_cm3],MATCH(J14,tbl_materiais[Material],0))+Q14*1.2,3),"")</f>
        <v>0.98399999999999999</v>
      </c>
      <c r="S14" s="26" t="s">
        <v>302</v>
      </c>
      <c r="T14" s="34">
        <v>24.4</v>
      </c>
      <c r="U14" s="26" t="s">
        <v>593</v>
      </c>
      <c r="V14" s="26" t="s">
        <v>463</v>
      </c>
      <c r="W14" s="33" t="str">
        <f>IF(V14="","",IFERROR(INDEX(tbl_tampas[Material],MATCH(V14,tbl_tampas[CapId],0)),""))</f>
        <v>PP-PCR</v>
      </c>
      <c r="X14" s="33" t="str">
        <f>IF(V14="","Sem tampa",IFERROR(INDEX(tbl_materiais[Polimero_Base],MATCH(W14,tbl_materiais[Material],0)),""))</f>
        <v>PP</v>
      </c>
      <c r="Y14" s="38">
        <f>IF(V14="",0,IFERROR(INDEX(tbl_tampas[Massa_g],MATCH(V14,tbl_tampas[CapId],0)),0))</f>
        <v>13.9</v>
      </c>
      <c r="Z14" s="26" t="s">
        <v>319</v>
      </c>
      <c r="AA14" s="26" t="s">
        <v>326</v>
      </c>
      <c r="AB14" s="26" t="s">
        <v>340</v>
      </c>
      <c r="AC14" s="29">
        <v>0</v>
      </c>
      <c r="AD14" s="27">
        <v>0</v>
      </c>
      <c r="AE14" s="26" t="s">
        <v>594</v>
      </c>
      <c r="AF14" s="26" t="s">
        <v>359</v>
      </c>
      <c r="AG14" s="39">
        <v>1</v>
      </c>
      <c r="AH14" s="33" t="str">
        <f t="shared" si="1"/>
        <v>Hot foil metalizado</v>
      </c>
      <c r="AI14" s="27">
        <v>0.03</v>
      </c>
      <c r="AJ14" s="33" t="str">
        <f>IFERROR(INDEX(tbl_regras_dfr[Classe],MATCH(L14&amp;"|Fluxo de reciclagem|"&amp;L14,tbl_regras_dfr[Chave],0)),"Sem regra")</f>
        <v>A</v>
      </c>
      <c r="AK14" s="33" t="str">
        <f>IF(LEFT(L14,9)="Sem fluxo","—",IFERROR(INDEX(tbl_regras_dfr[Classe],MATCH(L14&amp;"|Cor do corpo|"&amp;O14,tbl_regras_dfr[Chave],0)),"Sem regra"))</f>
        <v>B</v>
      </c>
      <c r="AL14" s="33" t="str">
        <f>IF(LEFT(L14,9)="Sem fluxo","—",IFERROR(INDEX(tbl_regras_dfr[Classe],MATCH(L14&amp;"|Densidade do corpo|"&amp;IF(R14&lt;1,"&lt; 1,0 g/cm³","≥ 1,0 g/cm³"),tbl_regras_dfr[Chave],0)),"Sem regra"))</f>
        <v>A</v>
      </c>
      <c r="AM14" s="33" t="str">
        <f>IF(LEFT(L14,9)="Sem fluxo","—",IFERROR(INDEX(tbl_regras_dfr[Classe],MATCH(L14&amp;"|Barreira / revestimento|"&amp;S14,tbl_regras_dfr[Chave],0)),"Sem regra"))</f>
        <v>A</v>
      </c>
      <c r="AN14" s="33" t="str">
        <f>IF(LEFT(L14,9)="Sem fluxo","—",IFERROR(INDEX(tbl_regras_dfr[Classe],MATCH(L14&amp;"|Material da tampa|"&amp;X14,tbl_regras_dfr[Chave],0)),"Sem regra"))</f>
        <v>A</v>
      </c>
      <c r="AO14" s="33" t="str">
        <f>IF(LEFT(L14,9)="Sem fluxo","—",IFERROR(INDEX(tbl_regras_dfr[Classe],MATCH(L14&amp;"|Vedante / liner|"&amp;Z14,tbl_regras_dfr[Chave],0)),"Sem regra"))</f>
        <v>A</v>
      </c>
      <c r="AP14" s="33" t="str">
        <f>IF(LEFT(L14,9)="Sem fluxo","—",IFERROR(INDEX(tbl_regras_dfr[Classe],MATCH(L14&amp;"|Tipo de rótulo|"&amp;AA14,tbl_regras_dfr[Chave],0)),"Sem regra"))</f>
        <v>A</v>
      </c>
      <c r="AQ14" s="33" t="str">
        <f>IF(LEFT(L14,9)="Sem fluxo","—",IFERROR(INDEX(tbl_regras_dfr[Classe],MATCH(L14&amp;"|Adesivo do rótulo|"&amp;AB14,tbl_regras_dfr[Chave],0)),"Sem regra"))</f>
        <v>A</v>
      </c>
      <c r="AR14" s="33" t="str">
        <f>IF(LEFT(L14,9)="Sem fluxo","—",IFERROR(INDEX(tbl_regras_dfr[Classe],MATCH(L14&amp;"|Cobertura do rótulo|"&amp;IF(AC14&gt;0.7,"&gt; 70% da superfície","≤ 70% da superfície"),tbl_regras_dfr[Chave],0)),"Sem regra"))</f>
        <v>A</v>
      </c>
      <c r="AS14" s="33" t="str">
        <f>IF(LEFT(L14,9)="Sem fluxo","—",IFERROR(INDEX(tbl_regras_dfr[Classe],MATCH(L14&amp;"|Decoração direta|"&amp;AH14,tbl_regras_dfr[Chave],0)),"Sem regra"))</f>
        <v>C</v>
      </c>
      <c r="AT14" s="31">
        <f t="shared" si="2"/>
        <v>3</v>
      </c>
      <c r="AU14" s="33" t="str">
        <f>IF(AT14=0,"",INDEX({"A","B","C","D","E","F"},AT14))</f>
        <v>C</v>
      </c>
      <c r="AV14" s="31">
        <f t="shared" si="3"/>
        <v>0</v>
      </c>
      <c r="AW14" s="33" t="str">
        <f t="shared" si="4"/>
        <v>Decoracao</v>
      </c>
      <c r="AX14" s="33" t="str">
        <f>IF(AU14="A","Sem ação — manter o design.",IFERROR(INDEX(tbl_regras_dfr[Recomendacao],MATCH(CHOOSE(MATCH(AU14,AJ14:AS14,0),L14&amp;"|Fluxo de reciclagem|"&amp;L14,L14&amp;"|Cor do corpo|"&amp;O14,L14&amp;"|Densidade do corpo|"&amp;IF(R14&lt;1,"&lt; 1,0 g/cm³","≥ 1,0 g/cm³"),L14&amp;"|Barreira / revestimento|"&amp;S14,L14&amp;"|Material da tampa|"&amp;X14,L14&amp;"|Vedante / liner|"&amp;Z14,L14&amp;"|Tipo de rótulo|"&amp;AA14,L14&amp;"|Adesivo do rótulo|"&amp;AB14,L14&amp;"|Cobertura do rótulo|"&amp;IF(AC14&gt;0.7,"&gt; 70% da superfície","≤ 70% da superfície"),L14&amp;"|Decoração direta|"&amp;AH14),tbl_regras_dfr[Chave],0)),""))</f>
        <v>Reduzir a área de hot foil ou usar rótulo metalizado destacável.</v>
      </c>
      <c r="AY14" s="38">
        <f t="shared" si="5"/>
        <v>38.33</v>
      </c>
      <c r="AZ14" s="36">
        <f>MIN(IFERROR(INDEX(tbl_regras_dfr[Fracao_Reciclavel],MATCH(L14&amp;"|Fluxo de reciclagem|"&amp;L14,tbl_regras_dfr[Chave],0)),0),IFERROR(INDEX(tbl_regras_dfr[Fracao_Reciclavel],MATCH(L14&amp;"|Cor do corpo|"&amp;O14,tbl_regras_dfr[Chave],0)),0))</f>
        <v>1</v>
      </c>
      <c r="BA14" s="36">
        <f>IFERROR(INDEX(tbl_regras_dfr[Fracao_Reciclavel],MATCH(L14&amp;"|Material da tampa|"&amp;X14,tbl_regras_dfr[Chave],0)),0)</f>
        <v>1</v>
      </c>
      <c r="BB14" s="36">
        <f>IFERROR(INDEX(tbl_regras_dfr[Fracao_Reciclavel],MATCH(L14&amp;"|Tipo de rótulo|"&amp;AA14,tbl_regras_dfr[Chave],0)),0)</f>
        <v>1</v>
      </c>
      <c r="BC14" s="38">
        <f t="shared" si="6"/>
        <v>38.299999999999997</v>
      </c>
      <c r="BD14" s="40">
        <f t="shared" si="7"/>
        <v>0.99921732324549961</v>
      </c>
      <c r="BE14" s="33" t="str">
        <f>IF(BD14&gt;=INDEX(tbl_param_emb[Valor],MATCH("P-06",tbl_param_emb[ID_Parametro],0)),"A",IF(BD14&gt;=INDEX(tbl_param_emb[Valor],MATCH("P-07",tbl_param_emb[ID_Parametro],0)),"B",IF(BD14&gt;=INDEX(tbl_param_emb[Valor],MATCH("P-08",tbl_param_emb[ID_Parametro],0)),"C","&lt; 70%")))</f>
        <v>A</v>
      </c>
      <c r="BF14" s="33" t="str">
        <f>IF(AU14="F","Não reciclável (F)",INDEX({"A","B","C","Abaixo de C"},MAX(MIN(AT14,4),IF(BE14="A",1,IF(BE14="B",2,IF(BE14="C",3,4))))))</f>
        <v>C</v>
      </c>
      <c r="BG14" s="33" t="str">
        <f t="shared" si="8"/>
        <v>—</v>
      </c>
      <c r="BH14" s="33" t="str">
        <f t="shared" si="9"/>
        <v>Sim</v>
      </c>
      <c r="BI14" s="33" t="str">
        <f t="shared" si="10"/>
        <v>Não</v>
      </c>
      <c r="BJ14" s="36">
        <f>IFERROR(INDEX(tbl_materiais[Pct_PCR],MATCH(J14,tbl_materiais[Material],0)),0)</f>
        <v>0.3</v>
      </c>
      <c r="BK14" s="36">
        <f>IF(V14="",0,IFERROR(INDEX(tbl_tampas[Pct_PCR],MATCH(V14,tbl_tampas[CapId],0)),0))</f>
        <v>0.3</v>
      </c>
      <c r="BL14" s="40">
        <f t="shared" si="11"/>
        <v>0.3</v>
      </c>
      <c r="BM14" s="33" t="str">
        <f t="shared" si="12"/>
        <v>Outras embalagens de plástico</v>
      </c>
      <c r="BN14" s="36">
        <f>IFERROR(IF(INDEX(tbl_metas_art7[Meta_2030],MATCH(BM14,tbl_metas_art7[Categoria_Art7],0))="","",INDEX(tbl_metas_art7[Meta_2030],MATCH(BM14,tbl_metas_art7[Categoria_Art7],0))),"")</f>
        <v>0.35</v>
      </c>
      <c r="BO14" s="40">
        <f t="shared" si="13"/>
        <v>4.9999999999999989E-2</v>
      </c>
      <c r="BP14" s="33" t="str">
        <f t="shared" si="14"/>
        <v>Não</v>
      </c>
      <c r="BQ14" s="33" t="str">
        <f t="shared" si="15"/>
        <v>Monomaterial (mesma família)</v>
      </c>
      <c r="BR14" s="37">
        <v>109845</v>
      </c>
      <c r="BS14" s="39">
        <v>11</v>
      </c>
      <c r="BT14" s="26" t="s">
        <v>628</v>
      </c>
      <c r="BU14" s="32">
        <f t="shared" si="16"/>
        <v>2680.2179999999998</v>
      </c>
      <c r="BV14" s="31">
        <f>COUNTIFS(tbl_aplicabilidade[ProductId],B14,tbl_aplicabilidade[Aplicavel],"Sim")</f>
        <v>12</v>
      </c>
      <c r="BW14" s="31">
        <f>COUNTIFS(tbl_aplicabilidade[ProductId],B14,tbl_aplicabilidade[Estado_Resumo],"Lacuna")+COUNTIFS(tbl_aplicabilidade[ProductId],B14,tbl_aplicabilidade[Estado_Resumo],"Não conforme")</f>
        <v>1</v>
      </c>
      <c r="BX14" s="41">
        <v>46287</v>
      </c>
      <c r="BY14" s="42">
        <f t="shared" si="17"/>
        <v>46652</v>
      </c>
      <c r="BZ14" s="26" t="s">
        <v>596</v>
      </c>
      <c r="CA14" s="26" t="s">
        <v>597</v>
      </c>
      <c r="CB14" s="26" t="s">
        <v>598</v>
      </c>
    </row>
    <row r="15" spans="1:80" ht="18" customHeight="1" x14ac:dyDescent="0.3">
      <c r="A15" s="26" t="s">
        <v>629</v>
      </c>
      <c r="B15" s="26" t="s">
        <v>630</v>
      </c>
      <c r="C15" s="26" t="s">
        <v>586</v>
      </c>
      <c r="D15" s="26" t="s">
        <v>587</v>
      </c>
      <c r="E15" s="26" t="s">
        <v>588</v>
      </c>
      <c r="F15" s="26" t="s">
        <v>589</v>
      </c>
      <c r="G15" s="26" t="s">
        <v>601</v>
      </c>
      <c r="H15" s="37">
        <v>350</v>
      </c>
      <c r="I15" s="37">
        <v>121</v>
      </c>
      <c r="J15" s="26" t="s">
        <v>229</v>
      </c>
      <c r="K15" s="33" t="str">
        <f>IFERROR(INDEX(tbl_materiais[Polimero_Base],MATCH(J15,tbl_materiais[Material],0)),"")</f>
        <v>PE</v>
      </c>
      <c r="L15" s="33" t="str">
        <f>IFERROR(INDEX(tbl_materiais[Fluxo_Reciclagem],MATCH(J15,tbl_materiais[Material],0)),"")</f>
        <v>PE rígido</v>
      </c>
      <c r="M15" s="33" t="str">
        <f t="shared" si="0"/>
        <v>PE rígido — frascos e contentores (HDPE/LDPE)</v>
      </c>
      <c r="N15" s="26" t="s">
        <v>602</v>
      </c>
      <c r="O15" s="26" t="s">
        <v>283</v>
      </c>
      <c r="P15" s="26" t="s">
        <v>603</v>
      </c>
      <c r="Q15" s="29">
        <v>0.02</v>
      </c>
      <c r="R15" s="35">
        <f>IFERROR(ROUND(INDEX(tbl_materiais[Densidade_g_cm3],MATCH(J15,tbl_materiais[Material],0))+Q15*1.2,3),"")</f>
        <v>0.98399999999999999</v>
      </c>
      <c r="S15" s="26" t="s">
        <v>302</v>
      </c>
      <c r="T15" s="34">
        <v>24.4</v>
      </c>
      <c r="U15" s="26" t="s">
        <v>593</v>
      </c>
      <c r="V15" s="26" t="s">
        <v>430</v>
      </c>
      <c r="W15" s="33" t="str">
        <f>IF(V15="","",IFERROR(INDEX(tbl_tampas[Material],MATCH(V15,tbl_tampas[CapId],0)),""))</f>
        <v>PP-PCR</v>
      </c>
      <c r="X15" s="33" t="str">
        <f>IF(V15="","Sem tampa",IFERROR(INDEX(tbl_materiais[Polimero_Base],MATCH(W15,tbl_materiais[Material],0)),""))</f>
        <v>PP</v>
      </c>
      <c r="Y15" s="38">
        <f>IF(V15="",0,IFERROR(INDEX(tbl_tampas[Massa_g],MATCH(V15,tbl_tampas[CapId],0)),0))</f>
        <v>10.3</v>
      </c>
      <c r="Z15" s="26" t="s">
        <v>319</v>
      </c>
      <c r="AA15" s="26" t="s">
        <v>327</v>
      </c>
      <c r="AB15" s="26" t="s">
        <v>342</v>
      </c>
      <c r="AC15" s="29">
        <v>0.4</v>
      </c>
      <c r="AD15" s="27">
        <v>0.51</v>
      </c>
      <c r="AE15" s="26" t="s">
        <v>604</v>
      </c>
      <c r="AF15" s="26" t="s">
        <v>302</v>
      </c>
      <c r="AG15" s="39">
        <v>0</v>
      </c>
      <c r="AH15" s="33" t="str">
        <f t="shared" si="1"/>
        <v>Nenhuma</v>
      </c>
      <c r="AI15" s="27">
        <v>0</v>
      </c>
      <c r="AJ15" s="33" t="str">
        <f>IFERROR(INDEX(tbl_regras_dfr[Classe],MATCH(L15&amp;"|Fluxo de reciclagem|"&amp;L15,tbl_regras_dfr[Chave],0)),"Sem regra")</f>
        <v>A</v>
      </c>
      <c r="AK15" s="33" t="str">
        <f>IF(LEFT(L15,9)="Sem fluxo","—",IFERROR(INDEX(tbl_regras_dfr[Classe],MATCH(L15&amp;"|Cor do corpo|"&amp;O15,tbl_regras_dfr[Chave],0)),"Sem regra"))</f>
        <v>B</v>
      </c>
      <c r="AL15" s="33" t="str">
        <f>IF(LEFT(L15,9)="Sem fluxo","—",IFERROR(INDEX(tbl_regras_dfr[Classe],MATCH(L15&amp;"|Densidade do corpo|"&amp;IF(R15&lt;1,"&lt; 1,0 g/cm³","≥ 1,0 g/cm³"),tbl_regras_dfr[Chave],0)),"Sem regra"))</f>
        <v>A</v>
      </c>
      <c r="AM15" s="33" t="str">
        <f>IF(LEFT(L15,9)="Sem fluxo","—",IFERROR(INDEX(tbl_regras_dfr[Classe],MATCH(L15&amp;"|Barreira / revestimento|"&amp;S15,tbl_regras_dfr[Chave],0)),"Sem regra"))</f>
        <v>A</v>
      </c>
      <c r="AN15" s="33" t="str">
        <f>IF(LEFT(L15,9)="Sem fluxo","—",IFERROR(INDEX(tbl_regras_dfr[Classe],MATCH(L15&amp;"|Material da tampa|"&amp;X15,tbl_regras_dfr[Chave],0)),"Sem regra"))</f>
        <v>A</v>
      </c>
      <c r="AO15" s="33" t="str">
        <f>IF(LEFT(L15,9)="Sem fluxo","—",IFERROR(INDEX(tbl_regras_dfr[Classe],MATCH(L15&amp;"|Vedante / liner|"&amp;Z15,tbl_regras_dfr[Chave],0)),"Sem regra"))</f>
        <v>A</v>
      </c>
      <c r="AP15" s="33" t="str">
        <f>IF(LEFT(L15,9)="Sem fluxo","—",IFERROR(INDEX(tbl_regras_dfr[Classe],MATCH(L15&amp;"|Tipo de rótulo|"&amp;AA15,tbl_regras_dfr[Chave],0)),"Sem regra"))</f>
        <v>A</v>
      </c>
      <c r="AQ15" s="33" t="str">
        <f>IF(LEFT(L15,9)="Sem fluxo","—",IFERROR(INDEX(tbl_regras_dfr[Classe],MATCH(L15&amp;"|Adesivo do rótulo|"&amp;AB15,tbl_regras_dfr[Chave],0)),"Sem regra"))</f>
        <v>A</v>
      </c>
      <c r="AR15" s="33" t="str">
        <f>IF(LEFT(L15,9)="Sem fluxo","—",IFERROR(INDEX(tbl_regras_dfr[Classe],MATCH(L15&amp;"|Cobertura do rótulo|"&amp;IF(AC15&gt;0.7,"&gt; 70% da superfície","≤ 70% da superfície"),tbl_regras_dfr[Chave],0)),"Sem regra"))</f>
        <v>A</v>
      </c>
      <c r="AS15" s="33" t="str">
        <f>IF(LEFT(L15,9)="Sem fluxo","—",IFERROR(INDEX(tbl_regras_dfr[Classe],MATCH(L15&amp;"|Decoração direta|"&amp;AH15,tbl_regras_dfr[Chave],0)),"Sem regra"))</f>
        <v>A</v>
      </c>
      <c r="AT15" s="31">
        <f t="shared" si="2"/>
        <v>2</v>
      </c>
      <c r="AU15" s="33" t="str">
        <f>IF(AT15=0,"",INDEX({"A","B","C","D","E","F"},AT15))</f>
        <v>B</v>
      </c>
      <c r="AV15" s="31">
        <f t="shared" si="3"/>
        <v>0</v>
      </c>
      <c r="AW15" s="33" t="str">
        <f t="shared" si="4"/>
        <v>Cor</v>
      </c>
      <c r="AX15" s="33" t="str">
        <f>IF(AU15="A","Sem ação — manter o design.",IFERROR(INDEX(tbl_regras_dfr[Recomendacao],MATCH(CHOOSE(MATCH(AU15,AJ15:AS15,0),L15&amp;"|Fluxo de reciclagem|"&amp;L15,L15&amp;"|Cor do corpo|"&amp;O15,L15&amp;"|Densidade do corpo|"&amp;IF(R15&lt;1,"&lt; 1,0 g/cm³","≥ 1,0 g/cm³"),L15&amp;"|Barreira / revestimento|"&amp;S15,L15&amp;"|Material da tampa|"&amp;X15,L15&amp;"|Vedante / liner|"&amp;Z15,L15&amp;"|Tipo de rótulo|"&amp;AA15,L15&amp;"|Adesivo do rótulo|"&amp;AB15,L15&amp;"|Cobertura do rótulo|"&amp;IF(AC15&gt;0.7,"&gt; 70% da superfície","≤ 70% da superfície"),L15&amp;"|Decoração direta|"&amp;AH15),tbl_regras_dfr[Chave],0)),""))</f>
        <v>Preferir natural, branco ou cores claras.</v>
      </c>
      <c r="AY15" s="38">
        <f t="shared" si="5"/>
        <v>35.21</v>
      </c>
      <c r="AZ15" s="36">
        <f>MIN(IFERROR(INDEX(tbl_regras_dfr[Fracao_Reciclavel],MATCH(L15&amp;"|Fluxo de reciclagem|"&amp;L15,tbl_regras_dfr[Chave],0)),0),IFERROR(INDEX(tbl_regras_dfr[Fracao_Reciclavel],MATCH(L15&amp;"|Cor do corpo|"&amp;O15,tbl_regras_dfr[Chave],0)),0))</f>
        <v>1</v>
      </c>
      <c r="BA15" s="36">
        <f>IFERROR(INDEX(tbl_regras_dfr[Fracao_Reciclavel],MATCH(L15&amp;"|Material da tampa|"&amp;X15,tbl_regras_dfr[Chave],0)),0)</f>
        <v>1</v>
      </c>
      <c r="BB15" s="36">
        <f>IFERROR(INDEX(tbl_regras_dfr[Fracao_Reciclavel],MATCH(L15&amp;"|Tipo de rótulo|"&amp;AA15,tbl_regras_dfr[Chave],0)),0)</f>
        <v>1</v>
      </c>
      <c r="BC15" s="38">
        <f t="shared" si="6"/>
        <v>35.21</v>
      </c>
      <c r="BD15" s="40">
        <f t="shared" si="7"/>
        <v>1</v>
      </c>
      <c r="BE15" s="33" t="str">
        <f>IF(BD15&gt;=INDEX(tbl_param_emb[Valor],MATCH("P-06",tbl_param_emb[ID_Parametro],0)),"A",IF(BD15&gt;=INDEX(tbl_param_emb[Valor],MATCH("P-07",tbl_param_emb[ID_Parametro],0)),"B",IF(BD15&gt;=INDEX(tbl_param_emb[Valor],MATCH("P-08",tbl_param_emb[ID_Parametro],0)),"C","&lt; 70%")))</f>
        <v>A</v>
      </c>
      <c r="BF15" s="33" t="str">
        <f>IF(AU15="F","Não reciclável (F)",INDEX({"A","B","C","Abaixo de C"},MAX(MIN(AT15,4),IF(BE15="A",1,IF(BE15="B",2,IF(BE15="C",3,4))))))</f>
        <v>B</v>
      </c>
      <c r="BG15" s="33" t="str">
        <f t="shared" si="8"/>
        <v>—</v>
      </c>
      <c r="BH15" s="33" t="str">
        <f t="shared" si="9"/>
        <v>Sim</v>
      </c>
      <c r="BI15" s="33" t="str">
        <f t="shared" si="10"/>
        <v>Sim</v>
      </c>
      <c r="BJ15" s="36">
        <f>IFERROR(INDEX(tbl_materiais[Pct_PCR],MATCH(J15,tbl_materiais[Material],0)),0)</f>
        <v>0.3</v>
      </c>
      <c r="BK15" s="36">
        <f>IF(V15="",0,IFERROR(INDEX(tbl_tampas[Pct_PCR],MATCH(V15,tbl_tampas[CapId],0)),0))</f>
        <v>0.3</v>
      </c>
      <c r="BL15" s="40">
        <f t="shared" si="11"/>
        <v>0.3</v>
      </c>
      <c r="BM15" s="33" t="str">
        <f t="shared" si="12"/>
        <v>Outras embalagens de plástico</v>
      </c>
      <c r="BN15" s="36">
        <f>IFERROR(IF(INDEX(tbl_metas_art7[Meta_2030],MATCH(BM15,tbl_metas_art7[Categoria_Art7],0))="","",INDEX(tbl_metas_art7[Meta_2030],MATCH(BM15,tbl_metas_art7[Categoria_Art7],0))),"")</f>
        <v>0.35</v>
      </c>
      <c r="BO15" s="40">
        <f t="shared" si="13"/>
        <v>4.9999999999999989E-2</v>
      </c>
      <c r="BP15" s="33" t="str">
        <f t="shared" si="14"/>
        <v>Não</v>
      </c>
      <c r="BQ15" s="33" t="str">
        <f t="shared" si="15"/>
        <v>Monomaterial (mesma família)</v>
      </c>
      <c r="BR15" s="37">
        <v>160805</v>
      </c>
      <c r="BS15" s="39">
        <v>12</v>
      </c>
      <c r="BT15" s="26" t="s">
        <v>482</v>
      </c>
      <c r="BU15" s="32">
        <f t="shared" si="16"/>
        <v>3923.6419999999998</v>
      </c>
      <c r="BV15" s="31">
        <f>COUNTIFS(tbl_aplicabilidade[ProductId],B15,tbl_aplicabilidade[Aplicavel],"Sim")</f>
        <v>12</v>
      </c>
      <c r="BW15" s="31">
        <f>COUNTIFS(tbl_aplicabilidade[ProductId],B15,tbl_aplicabilidade[Estado_Resumo],"Lacuna")+COUNTIFS(tbl_aplicabilidade[ProductId],B15,tbl_aplicabilidade[Estado_Resumo],"Não conforme")</f>
        <v>1</v>
      </c>
      <c r="BX15" s="41">
        <v>46287</v>
      </c>
      <c r="BY15" s="42">
        <f t="shared" si="17"/>
        <v>46652</v>
      </c>
      <c r="BZ15" s="26" t="s">
        <v>596</v>
      </c>
      <c r="CA15" s="26" t="s">
        <v>597</v>
      </c>
      <c r="CB15" s="26" t="s">
        <v>598</v>
      </c>
    </row>
    <row r="16" spans="1:80" ht="18" customHeight="1" x14ac:dyDescent="0.3">
      <c r="A16" s="26" t="s">
        <v>631</v>
      </c>
      <c r="B16" s="26" t="s">
        <v>632</v>
      </c>
      <c r="C16" s="26" t="s">
        <v>586</v>
      </c>
      <c r="D16" s="26" t="s">
        <v>587</v>
      </c>
      <c r="E16" s="26" t="s">
        <v>588</v>
      </c>
      <c r="F16" s="26" t="s">
        <v>589</v>
      </c>
      <c r="G16" s="26" t="s">
        <v>601</v>
      </c>
      <c r="H16" s="37">
        <v>350</v>
      </c>
      <c r="I16" s="37">
        <v>121</v>
      </c>
      <c r="J16" s="26" t="s">
        <v>229</v>
      </c>
      <c r="K16" s="33" t="str">
        <f>IFERROR(INDEX(tbl_materiais[Polimero_Base],MATCH(J16,tbl_materiais[Material],0)),"")</f>
        <v>PE</v>
      </c>
      <c r="L16" s="33" t="str">
        <f>IFERROR(INDEX(tbl_materiais[Fluxo_Reciclagem],MATCH(J16,tbl_materiais[Material],0)),"")</f>
        <v>PE rígido</v>
      </c>
      <c r="M16" s="33" t="str">
        <f t="shared" si="0"/>
        <v>PE rígido — frascos e contentores (HDPE/LDPE)</v>
      </c>
      <c r="N16" s="26" t="s">
        <v>622</v>
      </c>
      <c r="O16" s="26" t="s">
        <v>283</v>
      </c>
      <c r="P16" s="26" t="s">
        <v>623</v>
      </c>
      <c r="Q16" s="29">
        <v>1.4999999999999999E-2</v>
      </c>
      <c r="R16" s="35">
        <f>IFERROR(ROUND(INDEX(tbl_materiais[Densidade_g_cm3],MATCH(J16,tbl_materiais[Material],0))+Q16*1.2,3),"")</f>
        <v>0.97799999999999998</v>
      </c>
      <c r="S16" s="26" t="s">
        <v>302</v>
      </c>
      <c r="T16" s="34">
        <v>24.4</v>
      </c>
      <c r="U16" s="26" t="s">
        <v>593</v>
      </c>
      <c r="V16" s="26" t="s">
        <v>430</v>
      </c>
      <c r="W16" s="33" t="str">
        <f>IF(V16="","",IFERROR(INDEX(tbl_tampas[Material],MATCH(V16,tbl_tampas[CapId],0)),""))</f>
        <v>PP-PCR</v>
      </c>
      <c r="X16" s="33" t="str">
        <f>IF(V16="","Sem tampa",IFERROR(INDEX(tbl_materiais[Polimero_Base],MATCH(W16,tbl_materiais[Material],0)),""))</f>
        <v>PP</v>
      </c>
      <c r="Y16" s="38">
        <f>IF(V16="",0,IFERROR(INDEX(tbl_tampas[Massa_g],MATCH(V16,tbl_tampas[CapId],0)),0))</f>
        <v>10.3</v>
      </c>
      <c r="Z16" s="26" t="s">
        <v>319</v>
      </c>
      <c r="AA16" s="26" t="s">
        <v>327</v>
      </c>
      <c r="AB16" s="26" t="s">
        <v>342</v>
      </c>
      <c r="AC16" s="29">
        <v>0.4</v>
      </c>
      <c r="AD16" s="27">
        <v>0.51</v>
      </c>
      <c r="AE16" s="26" t="s">
        <v>604</v>
      </c>
      <c r="AF16" s="26" t="s">
        <v>302</v>
      </c>
      <c r="AG16" s="39">
        <v>0</v>
      </c>
      <c r="AH16" s="33" t="str">
        <f t="shared" si="1"/>
        <v>Nenhuma</v>
      </c>
      <c r="AI16" s="27">
        <v>0</v>
      </c>
      <c r="AJ16" s="33" t="str">
        <f>IFERROR(INDEX(tbl_regras_dfr[Classe],MATCH(L16&amp;"|Fluxo de reciclagem|"&amp;L16,tbl_regras_dfr[Chave],0)),"Sem regra")</f>
        <v>A</v>
      </c>
      <c r="AK16" s="33" t="str">
        <f>IF(LEFT(L16,9)="Sem fluxo","—",IFERROR(INDEX(tbl_regras_dfr[Classe],MATCH(L16&amp;"|Cor do corpo|"&amp;O16,tbl_regras_dfr[Chave],0)),"Sem regra"))</f>
        <v>B</v>
      </c>
      <c r="AL16" s="33" t="str">
        <f>IF(LEFT(L16,9)="Sem fluxo","—",IFERROR(INDEX(tbl_regras_dfr[Classe],MATCH(L16&amp;"|Densidade do corpo|"&amp;IF(R16&lt;1,"&lt; 1,0 g/cm³","≥ 1,0 g/cm³"),tbl_regras_dfr[Chave],0)),"Sem regra"))</f>
        <v>A</v>
      </c>
      <c r="AM16" s="33" t="str">
        <f>IF(LEFT(L16,9)="Sem fluxo","—",IFERROR(INDEX(tbl_regras_dfr[Classe],MATCH(L16&amp;"|Barreira / revestimento|"&amp;S16,tbl_regras_dfr[Chave],0)),"Sem regra"))</f>
        <v>A</v>
      </c>
      <c r="AN16" s="33" t="str">
        <f>IF(LEFT(L16,9)="Sem fluxo","—",IFERROR(INDEX(tbl_regras_dfr[Classe],MATCH(L16&amp;"|Material da tampa|"&amp;X16,tbl_regras_dfr[Chave],0)),"Sem regra"))</f>
        <v>A</v>
      </c>
      <c r="AO16" s="33" t="str">
        <f>IF(LEFT(L16,9)="Sem fluxo","—",IFERROR(INDEX(tbl_regras_dfr[Classe],MATCH(L16&amp;"|Vedante / liner|"&amp;Z16,tbl_regras_dfr[Chave],0)),"Sem regra"))</f>
        <v>A</v>
      </c>
      <c r="AP16" s="33" t="str">
        <f>IF(LEFT(L16,9)="Sem fluxo","—",IFERROR(INDEX(tbl_regras_dfr[Classe],MATCH(L16&amp;"|Tipo de rótulo|"&amp;AA16,tbl_regras_dfr[Chave],0)),"Sem regra"))</f>
        <v>A</v>
      </c>
      <c r="AQ16" s="33" t="str">
        <f>IF(LEFT(L16,9)="Sem fluxo","—",IFERROR(INDEX(tbl_regras_dfr[Classe],MATCH(L16&amp;"|Adesivo do rótulo|"&amp;AB16,tbl_regras_dfr[Chave],0)),"Sem regra"))</f>
        <v>A</v>
      </c>
      <c r="AR16" s="33" t="str">
        <f>IF(LEFT(L16,9)="Sem fluxo","—",IFERROR(INDEX(tbl_regras_dfr[Classe],MATCH(L16&amp;"|Cobertura do rótulo|"&amp;IF(AC16&gt;0.7,"&gt; 70% da superfície","≤ 70% da superfície"),tbl_regras_dfr[Chave],0)),"Sem regra"))</f>
        <v>A</v>
      </c>
      <c r="AS16" s="33" t="str">
        <f>IF(LEFT(L16,9)="Sem fluxo","—",IFERROR(INDEX(tbl_regras_dfr[Classe],MATCH(L16&amp;"|Decoração direta|"&amp;AH16,tbl_regras_dfr[Chave],0)),"Sem regra"))</f>
        <v>A</v>
      </c>
      <c r="AT16" s="31">
        <f t="shared" si="2"/>
        <v>2</v>
      </c>
      <c r="AU16" s="33" t="str">
        <f>IF(AT16=0,"",INDEX({"A","B","C","D","E","F"},AT16))</f>
        <v>B</v>
      </c>
      <c r="AV16" s="31">
        <f t="shared" si="3"/>
        <v>0</v>
      </c>
      <c r="AW16" s="33" t="str">
        <f t="shared" si="4"/>
        <v>Cor</v>
      </c>
      <c r="AX16" s="33" t="str">
        <f>IF(AU16="A","Sem ação — manter o design.",IFERROR(INDEX(tbl_regras_dfr[Recomendacao],MATCH(CHOOSE(MATCH(AU16,AJ16:AS16,0),L16&amp;"|Fluxo de reciclagem|"&amp;L16,L16&amp;"|Cor do corpo|"&amp;O16,L16&amp;"|Densidade do corpo|"&amp;IF(R16&lt;1,"&lt; 1,0 g/cm³","≥ 1,0 g/cm³"),L16&amp;"|Barreira / revestimento|"&amp;S16,L16&amp;"|Material da tampa|"&amp;X16,L16&amp;"|Vedante / liner|"&amp;Z16,L16&amp;"|Tipo de rótulo|"&amp;AA16,L16&amp;"|Adesivo do rótulo|"&amp;AB16,L16&amp;"|Cobertura do rótulo|"&amp;IF(AC16&gt;0.7,"&gt; 70% da superfície","≤ 70% da superfície"),L16&amp;"|Decoração direta|"&amp;AH16),tbl_regras_dfr[Chave],0)),""))</f>
        <v>Preferir natural, branco ou cores claras.</v>
      </c>
      <c r="AY16" s="38">
        <f t="shared" si="5"/>
        <v>35.21</v>
      </c>
      <c r="AZ16" s="36">
        <f>MIN(IFERROR(INDEX(tbl_regras_dfr[Fracao_Reciclavel],MATCH(L16&amp;"|Fluxo de reciclagem|"&amp;L16,tbl_regras_dfr[Chave],0)),0),IFERROR(INDEX(tbl_regras_dfr[Fracao_Reciclavel],MATCH(L16&amp;"|Cor do corpo|"&amp;O16,tbl_regras_dfr[Chave],0)),0))</f>
        <v>1</v>
      </c>
      <c r="BA16" s="36">
        <f>IFERROR(INDEX(tbl_regras_dfr[Fracao_Reciclavel],MATCH(L16&amp;"|Material da tampa|"&amp;X16,tbl_regras_dfr[Chave],0)),0)</f>
        <v>1</v>
      </c>
      <c r="BB16" s="36">
        <f>IFERROR(INDEX(tbl_regras_dfr[Fracao_Reciclavel],MATCH(L16&amp;"|Tipo de rótulo|"&amp;AA16,tbl_regras_dfr[Chave],0)),0)</f>
        <v>1</v>
      </c>
      <c r="BC16" s="38">
        <f t="shared" si="6"/>
        <v>35.21</v>
      </c>
      <c r="BD16" s="40">
        <f t="shared" si="7"/>
        <v>1</v>
      </c>
      <c r="BE16" s="33" t="str">
        <f>IF(BD16&gt;=INDEX(tbl_param_emb[Valor],MATCH("P-06",tbl_param_emb[ID_Parametro],0)),"A",IF(BD16&gt;=INDEX(tbl_param_emb[Valor],MATCH("P-07",tbl_param_emb[ID_Parametro],0)),"B",IF(BD16&gt;=INDEX(tbl_param_emb[Valor],MATCH("P-08",tbl_param_emb[ID_Parametro],0)),"C","&lt; 70%")))</f>
        <v>A</v>
      </c>
      <c r="BF16" s="33" t="str">
        <f>IF(AU16="F","Não reciclável (F)",INDEX({"A","B","C","Abaixo de C"},MAX(MIN(AT16,4),IF(BE16="A",1,IF(BE16="B",2,IF(BE16="C",3,4))))))</f>
        <v>B</v>
      </c>
      <c r="BG16" s="33" t="str">
        <f t="shared" si="8"/>
        <v>—</v>
      </c>
      <c r="BH16" s="33" t="str">
        <f t="shared" si="9"/>
        <v>Sim</v>
      </c>
      <c r="BI16" s="33" t="str">
        <f t="shared" si="10"/>
        <v>Sim</v>
      </c>
      <c r="BJ16" s="36">
        <f>IFERROR(INDEX(tbl_materiais[Pct_PCR],MATCH(J16,tbl_materiais[Material],0)),0)</f>
        <v>0.3</v>
      </c>
      <c r="BK16" s="36">
        <f>IF(V16="",0,IFERROR(INDEX(tbl_tampas[Pct_PCR],MATCH(V16,tbl_tampas[CapId],0)),0))</f>
        <v>0.3</v>
      </c>
      <c r="BL16" s="40">
        <f t="shared" si="11"/>
        <v>0.3</v>
      </c>
      <c r="BM16" s="33" t="str">
        <f t="shared" si="12"/>
        <v>Outras embalagens de plástico</v>
      </c>
      <c r="BN16" s="36">
        <f>IFERROR(IF(INDEX(tbl_metas_art7[Meta_2030],MATCH(BM16,tbl_metas_art7[Categoria_Art7],0))="","",INDEX(tbl_metas_art7[Meta_2030],MATCH(BM16,tbl_metas_art7[Categoria_Art7],0))),"")</f>
        <v>0.35</v>
      </c>
      <c r="BO16" s="40">
        <f t="shared" si="13"/>
        <v>4.9999999999999989E-2</v>
      </c>
      <c r="BP16" s="33" t="str">
        <f t="shared" si="14"/>
        <v>Não</v>
      </c>
      <c r="BQ16" s="33" t="str">
        <f t="shared" si="15"/>
        <v>Monomaterial (mesma família)</v>
      </c>
      <c r="BR16" s="37">
        <v>30788</v>
      </c>
      <c r="BS16" s="39">
        <v>7</v>
      </c>
      <c r="BT16" s="26" t="s">
        <v>633</v>
      </c>
      <c r="BU16" s="32">
        <f t="shared" si="16"/>
        <v>751.22719999999993</v>
      </c>
      <c r="BV16" s="31">
        <f>COUNTIFS(tbl_aplicabilidade[ProductId],B16,tbl_aplicabilidade[Aplicavel],"Sim")</f>
        <v>12</v>
      </c>
      <c r="BW16" s="31">
        <f>COUNTIFS(tbl_aplicabilidade[ProductId],B16,tbl_aplicabilidade[Estado_Resumo],"Lacuna")+COUNTIFS(tbl_aplicabilidade[ProductId],B16,tbl_aplicabilidade[Estado_Resumo],"Não conforme")</f>
        <v>1</v>
      </c>
      <c r="BX16" s="41">
        <v>46287</v>
      </c>
      <c r="BY16" s="42">
        <f t="shared" si="17"/>
        <v>46652</v>
      </c>
      <c r="BZ16" s="26" t="s">
        <v>596</v>
      </c>
      <c r="CA16" s="26" t="s">
        <v>597</v>
      </c>
      <c r="CB16" s="26" t="s">
        <v>598</v>
      </c>
    </row>
    <row r="17" spans="1:80" ht="18" customHeight="1" x14ac:dyDescent="0.3">
      <c r="A17" s="26" t="s">
        <v>634</v>
      </c>
      <c r="B17" s="26" t="s">
        <v>635</v>
      </c>
      <c r="C17" s="26" t="s">
        <v>586</v>
      </c>
      <c r="D17" s="26" t="s">
        <v>587</v>
      </c>
      <c r="E17" s="26" t="s">
        <v>588</v>
      </c>
      <c r="F17" s="26" t="s">
        <v>589</v>
      </c>
      <c r="G17" s="26" t="s">
        <v>636</v>
      </c>
      <c r="H17" s="37">
        <v>350</v>
      </c>
      <c r="I17" s="37">
        <v>121</v>
      </c>
      <c r="J17" s="26" t="s">
        <v>234</v>
      </c>
      <c r="K17" s="33" t="str">
        <f>IFERROR(INDEX(tbl_materiais[Polimero_Base],MATCH(J17,tbl_materiais[Material],0)),"")</f>
        <v>PE</v>
      </c>
      <c r="L17" s="33" t="str">
        <f>IFERROR(INDEX(tbl_materiais[Fluxo_Reciclagem],MATCH(J17,tbl_materiais[Material],0)),"")</f>
        <v>PE rígido</v>
      </c>
      <c r="M17" s="33" t="str">
        <f t="shared" si="0"/>
        <v>PE rígido — frascos e contentores (HDPE/LDPE)</v>
      </c>
      <c r="N17" s="26" t="s">
        <v>637</v>
      </c>
      <c r="O17" s="26" t="s">
        <v>281</v>
      </c>
      <c r="P17" s="26" t="s">
        <v>638</v>
      </c>
      <c r="Q17" s="29">
        <v>2.5000000000000001E-2</v>
      </c>
      <c r="R17" s="35">
        <f>IFERROR(ROUND(INDEX(tbl_materiais[Densidade_g_cm3],MATCH(J17,tbl_materiais[Material],0))+Q17*1.2,3),"")</f>
        <v>0.95</v>
      </c>
      <c r="S17" s="26" t="s">
        <v>302</v>
      </c>
      <c r="T17" s="34">
        <v>24.4</v>
      </c>
      <c r="U17" s="26" t="s">
        <v>593</v>
      </c>
      <c r="V17" s="26" t="s">
        <v>465</v>
      </c>
      <c r="W17" s="33" t="str">
        <f>IF(V17="","",IFERROR(INDEX(tbl_tampas[Material],MATCH(V17,tbl_tampas[CapId],0)),""))</f>
        <v>HDPE</v>
      </c>
      <c r="X17" s="33" t="str">
        <f>IF(V17="","Sem tampa",IFERROR(INDEX(tbl_materiais[Polimero_Base],MATCH(W17,tbl_materiais[Material],0)),""))</f>
        <v>PE</v>
      </c>
      <c r="Y17" s="38">
        <f>IF(V17="",0,IFERROR(INDEX(tbl_tampas[Massa_g],MATCH(V17,tbl_tampas[CapId],0)),0))</f>
        <v>15.5</v>
      </c>
      <c r="Z17" s="26" t="s">
        <v>319</v>
      </c>
      <c r="AA17" s="26" t="s">
        <v>326</v>
      </c>
      <c r="AB17" s="26" t="s">
        <v>340</v>
      </c>
      <c r="AC17" s="29">
        <v>0</v>
      </c>
      <c r="AD17" s="27">
        <v>0</v>
      </c>
      <c r="AE17" s="26" t="s">
        <v>594</v>
      </c>
      <c r="AF17" s="26" t="s">
        <v>595</v>
      </c>
      <c r="AG17" s="39">
        <v>3</v>
      </c>
      <c r="AH17" s="33" t="str">
        <f t="shared" si="1"/>
        <v>Serigrafia ≥ 3 cores</v>
      </c>
      <c r="AI17" s="27">
        <v>0.24</v>
      </c>
      <c r="AJ17" s="33" t="str">
        <f>IFERROR(INDEX(tbl_regras_dfr[Classe],MATCH(L17&amp;"|Fluxo de reciclagem|"&amp;L17,tbl_regras_dfr[Chave],0)),"Sem regra")</f>
        <v>A</v>
      </c>
      <c r="AK17" s="33" t="str">
        <f>IF(LEFT(L17,9)="Sem fluxo","—",IFERROR(INDEX(tbl_regras_dfr[Classe],MATCH(L17&amp;"|Cor do corpo|"&amp;O17,tbl_regras_dfr[Chave],0)),"Sem regra"))</f>
        <v>A</v>
      </c>
      <c r="AL17" s="33" t="str">
        <f>IF(LEFT(L17,9)="Sem fluxo","—",IFERROR(INDEX(tbl_regras_dfr[Classe],MATCH(L17&amp;"|Densidade do corpo|"&amp;IF(R17&lt;1,"&lt; 1,0 g/cm³","≥ 1,0 g/cm³"),tbl_regras_dfr[Chave],0)),"Sem regra"))</f>
        <v>A</v>
      </c>
      <c r="AM17" s="33" t="str">
        <f>IF(LEFT(L17,9)="Sem fluxo","—",IFERROR(INDEX(tbl_regras_dfr[Classe],MATCH(L17&amp;"|Barreira / revestimento|"&amp;S17,tbl_regras_dfr[Chave],0)),"Sem regra"))</f>
        <v>A</v>
      </c>
      <c r="AN17" s="33" t="str">
        <f>IF(LEFT(L17,9)="Sem fluxo","—",IFERROR(INDEX(tbl_regras_dfr[Classe],MATCH(L17&amp;"|Material da tampa|"&amp;X17,tbl_regras_dfr[Chave],0)),"Sem regra"))</f>
        <v>A</v>
      </c>
      <c r="AO17" s="33" t="str">
        <f>IF(LEFT(L17,9)="Sem fluxo","—",IFERROR(INDEX(tbl_regras_dfr[Classe],MATCH(L17&amp;"|Vedante / liner|"&amp;Z17,tbl_regras_dfr[Chave],0)),"Sem regra"))</f>
        <v>A</v>
      </c>
      <c r="AP17" s="33" t="str">
        <f>IF(LEFT(L17,9)="Sem fluxo","—",IFERROR(INDEX(tbl_regras_dfr[Classe],MATCH(L17&amp;"|Tipo de rótulo|"&amp;AA17,tbl_regras_dfr[Chave],0)),"Sem regra"))</f>
        <v>A</v>
      </c>
      <c r="AQ17" s="33" t="str">
        <f>IF(LEFT(L17,9)="Sem fluxo","—",IFERROR(INDEX(tbl_regras_dfr[Classe],MATCH(L17&amp;"|Adesivo do rótulo|"&amp;AB17,tbl_regras_dfr[Chave],0)),"Sem regra"))</f>
        <v>A</v>
      </c>
      <c r="AR17" s="33" t="str">
        <f>IF(LEFT(L17,9)="Sem fluxo","—",IFERROR(INDEX(tbl_regras_dfr[Classe],MATCH(L17&amp;"|Cobertura do rótulo|"&amp;IF(AC17&gt;0.7,"&gt; 70% da superfície","≤ 70% da superfície"),tbl_regras_dfr[Chave],0)),"Sem regra"))</f>
        <v>A</v>
      </c>
      <c r="AS17" s="33" t="str">
        <f>IF(LEFT(L17,9)="Sem fluxo","—",IFERROR(INDEX(tbl_regras_dfr[Classe],MATCH(L17&amp;"|Decoração direta|"&amp;AH17,tbl_regras_dfr[Chave],0)),"Sem regra"))</f>
        <v>C</v>
      </c>
      <c r="AT17" s="31">
        <f t="shared" si="2"/>
        <v>3</v>
      </c>
      <c r="AU17" s="33" t="str">
        <f>IF(AT17=0,"",INDEX({"A","B","C","D","E","F"},AT17))</f>
        <v>C</v>
      </c>
      <c r="AV17" s="31">
        <f t="shared" si="3"/>
        <v>0</v>
      </c>
      <c r="AW17" s="33" t="str">
        <f t="shared" si="4"/>
        <v>Decoracao</v>
      </c>
      <c r="AX17" s="33" t="str">
        <f>IF(AU17="A","Sem ação — manter o design.",IFERROR(INDEX(tbl_regras_dfr[Recomendacao],MATCH(CHOOSE(MATCH(AU17,AJ17:AS17,0),L17&amp;"|Fluxo de reciclagem|"&amp;L17,L17&amp;"|Cor do corpo|"&amp;O17,L17&amp;"|Densidade do corpo|"&amp;IF(R17&lt;1,"&lt; 1,0 g/cm³","≥ 1,0 g/cm³"),L17&amp;"|Barreira / revestimento|"&amp;S17,L17&amp;"|Material da tampa|"&amp;X17,L17&amp;"|Vedante / liner|"&amp;Z17,L17&amp;"|Tipo de rótulo|"&amp;AA17,L17&amp;"|Adesivo do rótulo|"&amp;AB17,L17&amp;"|Cobertura do rótulo|"&amp;IF(AC17&gt;0.7,"&gt; 70% da superfície","≤ 70% da superfície"),L17&amp;"|Decoração direta|"&amp;AH17),tbl_regras_dfr[Chave],0)),""))</f>
        <v>Reduzir cores/área ou passar a rótulo de PE/PP.</v>
      </c>
      <c r="AY17" s="38">
        <f t="shared" si="5"/>
        <v>40.14</v>
      </c>
      <c r="AZ17" s="36">
        <f>MIN(IFERROR(INDEX(tbl_regras_dfr[Fracao_Reciclavel],MATCH(L17&amp;"|Fluxo de reciclagem|"&amp;L17,tbl_regras_dfr[Chave],0)),0),IFERROR(INDEX(tbl_regras_dfr[Fracao_Reciclavel],MATCH(L17&amp;"|Cor do corpo|"&amp;O17,tbl_regras_dfr[Chave],0)),0))</f>
        <v>1</v>
      </c>
      <c r="BA17" s="36">
        <f>IFERROR(INDEX(tbl_regras_dfr[Fracao_Reciclavel],MATCH(L17&amp;"|Material da tampa|"&amp;X17,tbl_regras_dfr[Chave],0)),0)</f>
        <v>1</v>
      </c>
      <c r="BB17" s="36">
        <f>IFERROR(INDEX(tbl_regras_dfr[Fracao_Reciclavel],MATCH(L17&amp;"|Tipo de rótulo|"&amp;AA17,tbl_regras_dfr[Chave],0)),0)</f>
        <v>1</v>
      </c>
      <c r="BC17" s="38">
        <f t="shared" si="6"/>
        <v>39.9</v>
      </c>
      <c r="BD17" s="40">
        <f t="shared" si="7"/>
        <v>0.99402092675635267</v>
      </c>
      <c r="BE17" s="33" t="str">
        <f>IF(BD17&gt;=INDEX(tbl_param_emb[Valor],MATCH("P-06",tbl_param_emb[ID_Parametro],0)),"A",IF(BD17&gt;=INDEX(tbl_param_emb[Valor],MATCH("P-07",tbl_param_emb[ID_Parametro],0)),"B",IF(BD17&gt;=INDEX(tbl_param_emb[Valor],MATCH("P-08",tbl_param_emb[ID_Parametro],0)),"C","&lt; 70%")))</f>
        <v>A</v>
      </c>
      <c r="BF17" s="33" t="str">
        <f>IF(AU17="F","Não reciclável (F)",INDEX({"A","B","C","Abaixo de C"},MAX(MIN(AT17,4),IF(BE17="A",1,IF(BE17="B",2,IF(BE17="C",3,4))))))</f>
        <v>C</v>
      </c>
      <c r="BG17" s="33" t="str">
        <f t="shared" si="8"/>
        <v>—</v>
      </c>
      <c r="BH17" s="33" t="str">
        <f t="shared" si="9"/>
        <v>Sim</v>
      </c>
      <c r="BI17" s="33" t="str">
        <f t="shared" si="10"/>
        <v>Não</v>
      </c>
      <c r="BJ17" s="36">
        <f>IFERROR(INDEX(tbl_materiais[Pct_PCR],MATCH(J17,tbl_materiais[Material],0)),0)</f>
        <v>0</v>
      </c>
      <c r="BK17" s="36">
        <f>IF(V17="",0,IFERROR(INDEX(tbl_tampas[Pct_PCR],MATCH(V17,tbl_tampas[CapId],0)),0))</f>
        <v>0</v>
      </c>
      <c r="BL17" s="40">
        <f t="shared" si="11"/>
        <v>0</v>
      </c>
      <c r="BM17" s="33" t="str">
        <f t="shared" si="12"/>
        <v>Outras embalagens de plástico</v>
      </c>
      <c r="BN17" s="36">
        <f>IFERROR(IF(INDEX(tbl_metas_art7[Meta_2030],MATCH(BM17,tbl_metas_art7[Categoria_Art7],0))="","",INDEX(tbl_metas_art7[Meta_2030],MATCH(BM17,tbl_metas_art7[Categoria_Art7],0))),"")</f>
        <v>0.35</v>
      </c>
      <c r="BO17" s="40">
        <f t="shared" si="13"/>
        <v>0.35</v>
      </c>
      <c r="BP17" s="33" t="str">
        <f t="shared" si="14"/>
        <v>Não</v>
      </c>
      <c r="BQ17" s="33" t="str">
        <f t="shared" si="15"/>
        <v>Monomaterial (mesma família)</v>
      </c>
      <c r="BR17" s="37">
        <v>69583</v>
      </c>
      <c r="BS17" s="39">
        <v>10</v>
      </c>
      <c r="BT17" s="26" t="s">
        <v>628</v>
      </c>
      <c r="BU17" s="32">
        <f t="shared" si="16"/>
        <v>1697.8252</v>
      </c>
      <c r="BV17" s="31">
        <f>COUNTIFS(tbl_aplicabilidade[ProductId],B17,tbl_aplicabilidade[Aplicavel],"Sim")</f>
        <v>12</v>
      </c>
      <c r="BW17" s="31">
        <f>COUNTIFS(tbl_aplicabilidade[ProductId],B17,tbl_aplicabilidade[Estado_Resumo],"Lacuna")+COUNTIFS(tbl_aplicabilidade[ProductId],B17,tbl_aplicabilidade[Estado_Resumo],"Não conforme")</f>
        <v>1</v>
      </c>
      <c r="BX17" s="41">
        <v>46287</v>
      </c>
      <c r="BY17" s="42">
        <f t="shared" si="17"/>
        <v>46652</v>
      </c>
      <c r="BZ17" s="26" t="s">
        <v>596</v>
      </c>
      <c r="CA17" s="26" t="s">
        <v>597</v>
      </c>
      <c r="CB17" s="26" t="s">
        <v>598</v>
      </c>
    </row>
    <row r="18" spans="1:80" ht="18" customHeight="1" x14ac:dyDescent="0.3">
      <c r="A18" s="26" t="s">
        <v>639</v>
      </c>
      <c r="B18" s="26" t="s">
        <v>640</v>
      </c>
      <c r="C18" s="26" t="s">
        <v>586</v>
      </c>
      <c r="D18" s="26" t="s">
        <v>587</v>
      </c>
      <c r="E18" s="26" t="s">
        <v>588</v>
      </c>
      <c r="F18" s="26" t="s">
        <v>589</v>
      </c>
      <c r="G18" s="26" t="s">
        <v>641</v>
      </c>
      <c r="H18" s="37">
        <v>350</v>
      </c>
      <c r="I18" s="37">
        <v>121</v>
      </c>
      <c r="J18" s="26" t="s">
        <v>249</v>
      </c>
      <c r="K18" s="33" t="str">
        <f>IFERROR(INDEX(tbl_materiais[Polimero_Base],MATCH(J18,tbl_materiais[Material],0)),"")</f>
        <v>PET</v>
      </c>
      <c r="L18" s="33" t="str">
        <f>IFERROR(INDEX(tbl_materiais[Fluxo_Reciclagem],MATCH(J18,tbl_materiais[Material],0)),"")</f>
        <v>PET frascos e garrafas</v>
      </c>
      <c r="M18" s="33" t="str">
        <f t="shared" si="0"/>
        <v>PET — garrafas/frascos transparentes incolores</v>
      </c>
      <c r="N18" s="26" t="s">
        <v>610</v>
      </c>
      <c r="O18" s="26" t="s">
        <v>279</v>
      </c>
      <c r="P18" s="26" t="s">
        <v>611</v>
      </c>
      <c r="Q18" s="29">
        <v>0</v>
      </c>
      <c r="R18" s="35">
        <f>IFERROR(ROUND(INDEX(tbl_materiais[Densidade_g_cm3],MATCH(J18,tbl_materiais[Material],0))+Q18*1.2,3),"")</f>
        <v>1.38</v>
      </c>
      <c r="S18" s="26" t="s">
        <v>302</v>
      </c>
      <c r="T18" s="34">
        <v>24.4</v>
      </c>
      <c r="U18" s="26" t="s">
        <v>593</v>
      </c>
      <c r="V18" s="26" t="s">
        <v>460</v>
      </c>
      <c r="W18" s="33" t="str">
        <f>IF(V18="","",IFERROR(INDEX(tbl_tampas[Material],MATCH(V18,tbl_tampas[CapId],0)),""))</f>
        <v>PP</v>
      </c>
      <c r="X18" s="33" t="str">
        <f>IF(V18="","Sem tampa",IFERROR(INDEX(tbl_materiais[Polimero_Base],MATCH(W18,tbl_materiais[Material],0)),""))</f>
        <v>PP</v>
      </c>
      <c r="Y18" s="38">
        <f>IF(V18="",0,IFERROR(INDEX(tbl_tampas[Massa_g],MATCH(V18,tbl_tampas[CapId],0)),0))</f>
        <v>13.9</v>
      </c>
      <c r="Z18" s="26" t="s">
        <v>319</v>
      </c>
      <c r="AA18" s="26" t="s">
        <v>327</v>
      </c>
      <c r="AB18" s="26" t="s">
        <v>343</v>
      </c>
      <c r="AC18" s="29">
        <v>0.4</v>
      </c>
      <c r="AD18" s="27">
        <v>0.51</v>
      </c>
      <c r="AE18" s="26" t="s">
        <v>604</v>
      </c>
      <c r="AF18" s="26" t="s">
        <v>302</v>
      </c>
      <c r="AG18" s="39">
        <v>0</v>
      </c>
      <c r="AH18" s="33" t="str">
        <f t="shared" si="1"/>
        <v>Nenhuma</v>
      </c>
      <c r="AI18" s="27">
        <v>0</v>
      </c>
      <c r="AJ18" s="33" t="str">
        <f>IFERROR(INDEX(tbl_regras_dfr[Classe],MATCH(L18&amp;"|Fluxo de reciclagem|"&amp;L18,tbl_regras_dfr[Chave],0)),"Sem regra")</f>
        <v>A</v>
      </c>
      <c r="AK18" s="33" t="str">
        <f>IF(LEFT(L18,9)="Sem fluxo","—",IFERROR(INDEX(tbl_regras_dfr[Classe],MATCH(L18&amp;"|Cor do corpo|"&amp;O18,tbl_regras_dfr[Chave],0)),"Sem regra"))</f>
        <v>A</v>
      </c>
      <c r="AL18" s="33" t="str">
        <f>IF(LEFT(L18,9)="Sem fluxo","—",IFERROR(INDEX(tbl_regras_dfr[Classe],MATCH(L18&amp;"|Densidade do corpo|"&amp;IF(R18&lt;1,"&lt; 1,0 g/cm³","≥ 1,0 g/cm³"),tbl_regras_dfr[Chave],0)),"Sem regra"))</f>
        <v>A</v>
      </c>
      <c r="AM18" s="33" t="str">
        <f>IF(LEFT(L18,9)="Sem fluxo","—",IFERROR(INDEX(tbl_regras_dfr[Classe],MATCH(L18&amp;"|Barreira / revestimento|"&amp;S18,tbl_regras_dfr[Chave],0)),"Sem regra"))</f>
        <v>A</v>
      </c>
      <c r="AN18" s="33" t="str">
        <f>IF(LEFT(L18,9)="Sem fluxo","—",IFERROR(INDEX(tbl_regras_dfr[Classe],MATCH(L18&amp;"|Material da tampa|"&amp;X18,tbl_regras_dfr[Chave],0)),"Sem regra"))</f>
        <v>A</v>
      </c>
      <c r="AO18" s="33" t="str">
        <f>IF(LEFT(L18,9)="Sem fluxo","—",IFERROR(INDEX(tbl_regras_dfr[Classe],MATCH(L18&amp;"|Vedante / liner|"&amp;Z18,tbl_regras_dfr[Chave],0)),"Sem regra"))</f>
        <v>A</v>
      </c>
      <c r="AP18" s="33" t="str">
        <f>IF(LEFT(L18,9)="Sem fluxo","—",IFERROR(INDEX(tbl_regras_dfr[Classe],MATCH(L18&amp;"|Tipo de rótulo|"&amp;AA18,tbl_regras_dfr[Chave],0)),"Sem regra"))</f>
        <v>A</v>
      </c>
      <c r="AQ18" s="33" t="str">
        <f>IF(LEFT(L18,9)="Sem fluxo","—",IFERROR(INDEX(tbl_regras_dfr[Classe],MATCH(L18&amp;"|Adesivo do rótulo|"&amp;AB18,tbl_regras_dfr[Chave],0)),"Sem regra"))</f>
        <v>A</v>
      </c>
      <c r="AR18" s="33" t="str">
        <f>IF(LEFT(L18,9)="Sem fluxo","—",IFERROR(INDEX(tbl_regras_dfr[Classe],MATCH(L18&amp;"|Cobertura do rótulo|"&amp;IF(AC18&gt;0.7,"&gt; 70% da superfície","≤ 70% da superfície"),tbl_regras_dfr[Chave],0)),"Sem regra"))</f>
        <v>A</v>
      </c>
      <c r="AS18" s="33" t="str">
        <f>IF(LEFT(L18,9)="Sem fluxo","—",IFERROR(INDEX(tbl_regras_dfr[Classe],MATCH(L18&amp;"|Decoração direta|"&amp;AH18,tbl_regras_dfr[Chave],0)),"Sem regra"))</f>
        <v>A</v>
      </c>
      <c r="AT18" s="31">
        <f t="shared" si="2"/>
        <v>1</v>
      </c>
      <c r="AU18" s="33" t="str">
        <f>IF(AT18=0,"",INDEX({"A","B","C","D","E","F"},AT18))</f>
        <v>A</v>
      </c>
      <c r="AV18" s="31">
        <f t="shared" si="3"/>
        <v>0</v>
      </c>
      <c r="AW18" s="33" t="str">
        <f t="shared" si="4"/>
        <v>—</v>
      </c>
      <c r="AX18" s="33" t="str">
        <f>IF(AU18="A","Sem ação — manter o design.",IFERROR(INDEX(tbl_regras_dfr[Recomendacao],MATCH(CHOOSE(MATCH(AU18,AJ18:AS18,0),L18&amp;"|Fluxo de reciclagem|"&amp;L18,L18&amp;"|Cor do corpo|"&amp;O18,L18&amp;"|Densidade do corpo|"&amp;IF(R18&lt;1,"&lt; 1,0 g/cm³","≥ 1,0 g/cm³"),L18&amp;"|Barreira / revestimento|"&amp;S18,L18&amp;"|Material da tampa|"&amp;X18,L18&amp;"|Vedante / liner|"&amp;Z18,L18&amp;"|Tipo de rótulo|"&amp;AA18,L18&amp;"|Adesivo do rótulo|"&amp;AB18,L18&amp;"|Cobertura do rótulo|"&amp;IF(AC18&gt;0.7,"&gt; 70% da superfície","≤ 70% da superfície"),L18&amp;"|Decoração direta|"&amp;AH18),tbl_regras_dfr[Chave],0)),""))</f>
        <v>Sem ação — manter o design.</v>
      </c>
      <c r="AY18" s="38">
        <f t="shared" si="5"/>
        <v>38.809999999999995</v>
      </c>
      <c r="AZ18" s="36">
        <f>MIN(IFERROR(INDEX(tbl_regras_dfr[Fracao_Reciclavel],MATCH(L18&amp;"|Fluxo de reciclagem|"&amp;L18,tbl_regras_dfr[Chave],0)),0),IFERROR(INDEX(tbl_regras_dfr[Fracao_Reciclavel],MATCH(L18&amp;"|Cor do corpo|"&amp;O18,tbl_regras_dfr[Chave],0)),0))</f>
        <v>1</v>
      </c>
      <c r="BA18" s="36">
        <f>IFERROR(INDEX(tbl_regras_dfr[Fracao_Reciclavel],MATCH(L18&amp;"|Material da tampa|"&amp;X18,tbl_regras_dfr[Chave],0)),0)</f>
        <v>1</v>
      </c>
      <c r="BB18" s="36">
        <f>IFERROR(INDEX(tbl_regras_dfr[Fracao_Reciclavel],MATCH(L18&amp;"|Tipo de rótulo|"&amp;AA18,tbl_regras_dfr[Chave],0)),0)</f>
        <v>1</v>
      </c>
      <c r="BC18" s="38">
        <f t="shared" si="6"/>
        <v>38.809999999999995</v>
      </c>
      <c r="BD18" s="40">
        <f t="shared" si="7"/>
        <v>1</v>
      </c>
      <c r="BE18" s="33" t="str">
        <f>IF(BD18&gt;=INDEX(tbl_param_emb[Valor],MATCH("P-06",tbl_param_emb[ID_Parametro],0)),"A",IF(BD18&gt;=INDEX(tbl_param_emb[Valor],MATCH("P-07",tbl_param_emb[ID_Parametro],0)),"B",IF(BD18&gt;=INDEX(tbl_param_emb[Valor],MATCH("P-08",tbl_param_emb[ID_Parametro],0)),"C","&lt; 70%")))</f>
        <v>A</v>
      </c>
      <c r="BF18" s="33" t="str">
        <f>IF(AU18="F","Não reciclável (F)",INDEX({"A","B","C","Abaixo de C"},MAX(MIN(AT18,4),IF(BE18="A",1,IF(BE18="B",2,IF(BE18="C",3,4))))))</f>
        <v>A</v>
      </c>
      <c r="BG18" s="33" t="str">
        <f t="shared" si="8"/>
        <v>—</v>
      </c>
      <c r="BH18" s="33" t="str">
        <f t="shared" si="9"/>
        <v>Sim</v>
      </c>
      <c r="BI18" s="33" t="str">
        <f t="shared" si="10"/>
        <v>Sim</v>
      </c>
      <c r="BJ18" s="36">
        <f>IFERROR(INDEX(tbl_materiais[Pct_PCR],MATCH(J18,tbl_materiais[Material],0)),0)</f>
        <v>0</v>
      </c>
      <c r="BK18" s="36">
        <f>IF(V18="",0,IFERROR(INDEX(tbl_tampas[Pct_PCR],MATCH(V18,tbl_tampas[CapId],0)),0))</f>
        <v>0</v>
      </c>
      <c r="BL18" s="40">
        <f t="shared" si="11"/>
        <v>0</v>
      </c>
      <c r="BM18" s="33" t="str">
        <f t="shared" si="12"/>
        <v>Outras embalagens de plástico</v>
      </c>
      <c r="BN18" s="36">
        <f>IFERROR(IF(INDEX(tbl_metas_art7[Meta_2030],MATCH(BM18,tbl_metas_art7[Categoria_Art7],0))="","",INDEX(tbl_metas_art7[Meta_2030],MATCH(BM18,tbl_metas_art7[Categoria_Art7],0))),"")</f>
        <v>0.35</v>
      </c>
      <c r="BO18" s="40">
        <f t="shared" si="13"/>
        <v>0.35</v>
      </c>
      <c r="BP18" s="33" t="str">
        <f t="shared" si="14"/>
        <v>Não</v>
      </c>
      <c r="BQ18" s="33" t="str">
        <f t="shared" si="15"/>
        <v>Multimaterial</v>
      </c>
      <c r="BR18" s="37">
        <v>112547</v>
      </c>
      <c r="BS18" s="39">
        <v>10</v>
      </c>
      <c r="BT18" s="26" t="s">
        <v>642</v>
      </c>
      <c r="BU18" s="32">
        <f t="shared" si="16"/>
        <v>2746.1468</v>
      </c>
      <c r="BV18" s="31">
        <f>COUNTIFS(tbl_aplicabilidade[ProductId],B18,tbl_aplicabilidade[Aplicavel],"Sim")</f>
        <v>12</v>
      </c>
      <c r="BW18" s="31">
        <f>COUNTIFS(tbl_aplicabilidade[ProductId],B18,tbl_aplicabilidade[Estado_Resumo],"Lacuna")+COUNTIFS(tbl_aplicabilidade[ProductId],B18,tbl_aplicabilidade[Estado_Resumo],"Não conforme")</f>
        <v>1</v>
      </c>
      <c r="BX18" s="41">
        <v>46287</v>
      </c>
      <c r="BY18" s="42">
        <f t="shared" si="17"/>
        <v>46652</v>
      </c>
      <c r="BZ18" s="26" t="s">
        <v>596</v>
      </c>
      <c r="CA18" s="26" t="s">
        <v>597</v>
      </c>
      <c r="CB18" s="26" t="s">
        <v>598</v>
      </c>
    </row>
    <row r="19" spans="1:80" ht="18" customHeight="1" x14ac:dyDescent="0.3">
      <c r="A19" s="26" t="s">
        <v>643</v>
      </c>
      <c r="B19" s="26" t="s">
        <v>644</v>
      </c>
      <c r="C19" s="26" t="s">
        <v>586</v>
      </c>
      <c r="D19" s="26" t="s">
        <v>587</v>
      </c>
      <c r="E19" s="26" t="s">
        <v>588</v>
      </c>
      <c r="F19" s="26" t="s">
        <v>589</v>
      </c>
      <c r="G19" s="26" t="s">
        <v>641</v>
      </c>
      <c r="H19" s="37">
        <v>350</v>
      </c>
      <c r="I19" s="37">
        <v>121</v>
      </c>
      <c r="J19" s="26" t="s">
        <v>249</v>
      </c>
      <c r="K19" s="33" t="str">
        <f>IFERROR(INDEX(tbl_materiais[Polimero_Base],MATCH(J19,tbl_materiais[Material],0)),"")</f>
        <v>PET</v>
      </c>
      <c r="L19" s="33" t="str">
        <f>IFERROR(INDEX(tbl_materiais[Fluxo_Reciclagem],MATCH(J19,tbl_materiais[Material],0)),"")</f>
        <v>PET frascos e garrafas</v>
      </c>
      <c r="M19" s="33" t="str">
        <f t="shared" si="0"/>
        <v>PET — garrafas/frascos transparentes incolores</v>
      </c>
      <c r="N19" s="26" t="s">
        <v>610</v>
      </c>
      <c r="O19" s="26" t="s">
        <v>279</v>
      </c>
      <c r="P19" s="26" t="s">
        <v>611</v>
      </c>
      <c r="Q19" s="29">
        <v>0</v>
      </c>
      <c r="R19" s="35">
        <f>IFERROR(ROUND(INDEX(tbl_materiais[Densidade_g_cm3],MATCH(J19,tbl_materiais[Material],0))+Q19*1.2,3),"")</f>
        <v>1.38</v>
      </c>
      <c r="S19" s="26" t="s">
        <v>302</v>
      </c>
      <c r="T19" s="34">
        <v>24.4</v>
      </c>
      <c r="U19" s="26" t="s">
        <v>593</v>
      </c>
      <c r="V19" s="26" t="s">
        <v>427</v>
      </c>
      <c r="W19" s="33" t="str">
        <f>IF(V19="","",IFERROR(INDEX(tbl_tampas[Material],MATCH(V19,tbl_tampas[CapId],0)),""))</f>
        <v>PP</v>
      </c>
      <c r="X19" s="33" t="str">
        <f>IF(V19="","Sem tampa",IFERROR(INDEX(tbl_materiais[Polimero_Base],MATCH(W19,tbl_materiais[Material],0)),""))</f>
        <v>PP</v>
      </c>
      <c r="Y19" s="38">
        <f>IF(V19="",0,IFERROR(INDEX(tbl_tampas[Massa_g],MATCH(V19,tbl_tampas[CapId],0)),0))</f>
        <v>10.3</v>
      </c>
      <c r="Z19" s="26" t="s">
        <v>319</v>
      </c>
      <c r="AA19" s="26" t="s">
        <v>326</v>
      </c>
      <c r="AB19" s="26" t="s">
        <v>340</v>
      </c>
      <c r="AC19" s="29">
        <v>0</v>
      </c>
      <c r="AD19" s="27">
        <v>0</v>
      </c>
      <c r="AE19" s="26" t="s">
        <v>594</v>
      </c>
      <c r="AF19" s="26" t="s">
        <v>359</v>
      </c>
      <c r="AG19" s="39">
        <v>1</v>
      </c>
      <c r="AH19" s="33" t="str">
        <f t="shared" si="1"/>
        <v>Hot foil metalizado</v>
      </c>
      <c r="AI19" s="27">
        <v>0.03</v>
      </c>
      <c r="AJ19" s="33" t="str">
        <f>IFERROR(INDEX(tbl_regras_dfr[Classe],MATCH(L19&amp;"|Fluxo de reciclagem|"&amp;L19,tbl_regras_dfr[Chave],0)),"Sem regra")</f>
        <v>A</v>
      </c>
      <c r="AK19" s="33" t="str">
        <f>IF(LEFT(L19,9)="Sem fluxo","—",IFERROR(INDEX(tbl_regras_dfr[Classe],MATCH(L19&amp;"|Cor do corpo|"&amp;O19,tbl_regras_dfr[Chave],0)),"Sem regra"))</f>
        <v>A</v>
      </c>
      <c r="AL19" s="33" t="str">
        <f>IF(LEFT(L19,9)="Sem fluxo","—",IFERROR(INDEX(tbl_regras_dfr[Classe],MATCH(L19&amp;"|Densidade do corpo|"&amp;IF(R19&lt;1,"&lt; 1,0 g/cm³","≥ 1,0 g/cm³"),tbl_regras_dfr[Chave],0)),"Sem regra"))</f>
        <v>A</v>
      </c>
      <c r="AM19" s="33" t="str">
        <f>IF(LEFT(L19,9)="Sem fluxo","—",IFERROR(INDEX(tbl_regras_dfr[Classe],MATCH(L19&amp;"|Barreira / revestimento|"&amp;S19,tbl_regras_dfr[Chave],0)),"Sem regra"))</f>
        <v>A</v>
      </c>
      <c r="AN19" s="33" t="str">
        <f>IF(LEFT(L19,9)="Sem fluxo","—",IFERROR(INDEX(tbl_regras_dfr[Classe],MATCH(L19&amp;"|Material da tampa|"&amp;X19,tbl_regras_dfr[Chave],0)),"Sem regra"))</f>
        <v>A</v>
      </c>
      <c r="AO19" s="33" t="str">
        <f>IF(LEFT(L19,9)="Sem fluxo","—",IFERROR(INDEX(tbl_regras_dfr[Classe],MATCH(L19&amp;"|Vedante / liner|"&amp;Z19,tbl_regras_dfr[Chave],0)),"Sem regra"))</f>
        <v>A</v>
      </c>
      <c r="AP19" s="33" t="str">
        <f>IF(LEFT(L19,9)="Sem fluxo","—",IFERROR(INDEX(tbl_regras_dfr[Classe],MATCH(L19&amp;"|Tipo de rótulo|"&amp;AA19,tbl_regras_dfr[Chave],0)),"Sem regra"))</f>
        <v>A</v>
      </c>
      <c r="AQ19" s="33" t="str">
        <f>IF(LEFT(L19,9)="Sem fluxo","—",IFERROR(INDEX(tbl_regras_dfr[Classe],MATCH(L19&amp;"|Adesivo do rótulo|"&amp;AB19,tbl_regras_dfr[Chave],0)),"Sem regra"))</f>
        <v>A</v>
      </c>
      <c r="AR19" s="33" t="str">
        <f>IF(LEFT(L19,9)="Sem fluxo","—",IFERROR(INDEX(tbl_regras_dfr[Classe],MATCH(L19&amp;"|Cobertura do rótulo|"&amp;IF(AC19&gt;0.7,"&gt; 70% da superfície","≤ 70% da superfície"),tbl_regras_dfr[Chave],0)),"Sem regra"))</f>
        <v>A</v>
      </c>
      <c r="AS19" s="33" t="str">
        <f>IF(LEFT(L19,9)="Sem fluxo","—",IFERROR(INDEX(tbl_regras_dfr[Classe],MATCH(L19&amp;"|Decoração direta|"&amp;AH19,tbl_regras_dfr[Chave],0)),"Sem regra"))</f>
        <v>D</v>
      </c>
      <c r="AT19" s="31">
        <f t="shared" si="2"/>
        <v>4</v>
      </c>
      <c r="AU19" s="33" t="str">
        <f>IF(AT19=0,"",INDEX({"A","B","C","D","E","F"},AT19))</f>
        <v>D</v>
      </c>
      <c r="AV19" s="31">
        <f t="shared" si="3"/>
        <v>0</v>
      </c>
      <c r="AW19" s="33" t="str">
        <f t="shared" si="4"/>
        <v>Decoracao</v>
      </c>
      <c r="AX19" s="33" t="str">
        <f>IF(AU19="A","Sem ação — manter o design.",IFERROR(INDEX(tbl_regras_dfr[Recomendacao],MATCH(CHOOSE(MATCH(AU19,AJ19:AS19,0),L19&amp;"|Fluxo de reciclagem|"&amp;L19,L19&amp;"|Cor do corpo|"&amp;O19,L19&amp;"|Densidade do corpo|"&amp;IF(R19&lt;1,"&lt; 1,0 g/cm³","≥ 1,0 g/cm³"),L19&amp;"|Barreira / revestimento|"&amp;S19,L19&amp;"|Material da tampa|"&amp;X19,L19&amp;"|Vedante / liner|"&amp;Z19,L19&amp;"|Tipo de rótulo|"&amp;AA19,L19&amp;"|Adesivo do rótulo|"&amp;AB19,L19&amp;"|Cobertura do rótulo|"&amp;IF(AC19&gt;0.7,"&gt; 70% da superfície","≤ 70% da superfície"),L19&amp;"|Decoração direta|"&amp;AH19),tbl_regras_dfr[Chave],0)),""))</f>
        <v>Rótulo metalizado de PE/PP destacável.</v>
      </c>
      <c r="AY19" s="38">
        <f t="shared" si="5"/>
        <v>34.730000000000004</v>
      </c>
      <c r="AZ19" s="36">
        <f>MIN(IFERROR(INDEX(tbl_regras_dfr[Fracao_Reciclavel],MATCH(L19&amp;"|Fluxo de reciclagem|"&amp;L19,tbl_regras_dfr[Chave],0)),0),IFERROR(INDEX(tbl_regras_dfr[Fracao_Reciclavel],MATCH(L19&amp;"|Cor do corpo|"&amp;O19,tbl_regras_dfr[Chave],0)),0))</f>
        <v>1</v>
      </c>
      <c r="BA19" s="36">
        <f>IFERROR(INDEX(tbl_regras_dfr[Fracao_Reciclavel],MATCH(L19&amp;"|Material da tampa|"&amp;X19,tbl_regras_dfr[Chave],0)),0)</f>
        <v>1</v>
      </c>
      <c r="BB19" s="36">
        <f>IFERROR(INDEX(tbl_regras_dfr[Fracao_Reciclavel],MATCH(L19&amp;"|Tipo de rótulo|"&amp;AA19,tbl_regras_dfr[Chave],0)),0)</f>
        <v>1</v>
      </c>
      <c r="BC19" s="38">
        <f t="shared" si="6"/>
        <v>34.700000000000003</v>
      </c>
      <c r="BD19" s="40">
        <f t="shared" si="7"/>
        <v>0.99913619349265759</v>
      </c>
      <c r="BE19" s="33" t="str">
        <f>IF(BD19&gt;=INDEX(tbl_param_emb[Valor],MATCH("P-06",tbl_param_emb[ID_Parametro],0)),"A",IF(BD19&gt;=INDEX(tbl_param_emb[Valor],MATCH("P-07",tbl_param_emb[ID_Parametro],0)),"B",IF(BD19&gt;=INDEX(tbl_param_emb[Valor],MATCH("P-08",tbl_param_emb[ID_Parametro],0)),"C","&lt; 70%")))</f>
        <v>A</v>
      </c>
      <c r="BF19" s="33" t="str">
        <f>IF(AU19="F","Não reciclável (F)",INDEX({"A","B","C","Abaixo de C"},MAX(MIN(AT19,4),IF(BE19="A",1,IF(BE19="B",2,IF(BE19="C",3,4))))))</f>
        <v>Abaixo de C</v>
      </c>
      <c r="BG19" s="33" t="str">
        <f t="shared" si="8"/>
        <v>—</v>
      </c>
      <c r="BH19" s="33" t="str">
        <f t="shared" si="9"/>
        <v>Não</v>
      </c>
      <c r="BI19" s="33" t="str">
        <f t="shared" si="10"/>
        <v>Não</v>
      </c>
      <c r="BJ19" s="36">
        <f>IFERROR(INDEX(tbl_materiais[Pct_PCR],MATCH(J19,tbl_materiais[Material],0)),0)</f>
        <v>0</v>
      </c>
      <c r="BK19" s="36">
        <f>IF(V19="",0,IFERROR(INDEX(tbl_tampas[Pct_PCR],MATCH(V19,tbl_tampas[CapId],0)),0))</f>
        <v>0</v>
      </c>
      <c r="BL19" s="40">
        <f t="shared" si="11"/>
        <v>0</v>
      </c>
      <c r="BM19" s="33" t="str">
        <f t="shared" si="12"/>
        <v>Outras embalagens de plástico</v>
      </c>
      <c r="BN19" s="36">
        <f>IFERROR(IF(INDEX(tbl_metas_art7[Meta_2030],MATCH(BM19,tbl_metas_art7[Categoria_Art7],0))="","",INDEX(tbl_metas_art7[Meta_2030],MATCH(BM19,tbl_metas_art7[Categoria_Art7],0))),"")</f>
        <v>0.35</v>
      </c>
      <c r="BO19" s="40">
        <f t="shared" si="13"/>
        <v>0.35</v>
      </c>
      <c r="BP19" s="33" t="str">
        <f t="shared" si="14"/>
        <v>Não</v>
      </c>
      <c r="BQ19" s="33" t="str">
        <f t="shared" si="15"/>
        <v>Multimaterial</v>
      </c>
      <c r="BR19" s="37">
        <v>67783</v>
      </c>
      <c r="BS19" s="39">
        <v>10</v>
      </c>
      <c r="BT19" s="26" t="s">
        <v>426</v>
      </c>
      <c r="BU19" s="32">
        <f t="shared" si="16"/>
        <v>1653.9051999999999</v>
      </c>
      <c r="BV19" s="31">
        <f>COUNTIFS(tbl_aplicabilidade[ProductId],B19,tbl_aplicabilidade[Aplicavel],"Sim")</f>
        <v>12</v>
      </c>
      <c r="BW19" s="31">
        <f>COUNTIFS(tbl_aplicabilidade[ProductId],B19,tbl_aplicabilidade[Estado_Resumo],"Lacuna")+COUNTIFS(tbl_aplicabilidade[ProductId],B19,tbl_aplicabilidade[Estado_Resumo],"Não conforme")</f>
        <v>2</v>
      </c>
      <c r="BX19" s="41">
        <v>46287</v>
      </c>
      <c r="BY19" s="42">
        <f t="shared" si="17"/>
        <v>46652</v>
      </c>
      <c r="BZ19" s="26" t="s">
        <v>596</v>
      </c>
      <c r="CA19" s="26" t="s">
        <v>597</v>
      </c>
      <c r="CB19" s="26" t="s">
        <v>598</v>
      </c>
    </row>
    <row r="20" spans="1:80" ht="18" customHeight="1" x14ac:dyDescent="0.3">
      <c r="A20" s="26" t="s">
        <v>645</v>
      </c>
      <c r="B20" s="26" t="s">
        <v>646</v>
      </c>
      <c r="C20" s="26" t="s">
        <v>586</v>
      </c>
      <c r="D20" s="26" t="s">
        <v>587</v>
      </c>
      <c r="E20" s="26" t="s">
        <v>588</v>
      </c>
      <c r="F20" s="26" t="s">
        <v>589</v>
      </c>
      <c r="G20" s="26" t="s">
        <v>647</v>
      </c>
      <c r="H20" s="37">
        <v>350</v>
      </c>
      <c r="I20" s="37">
        <v>121</v>
      </c>
      <c r="J20" s="26" t="s">
        <v>255</v>
      </c>
      <c r="K20" s="33" t="str">
        <f>IFERROR(INDEX(tbl_materiais[Polimero_Base],MATCH(J20,tbl_materiais[Material],0)),"")</f>
        <v>PETG</v>
      </c>
      <c r="L20" s="33" t="str">
        <f>IFERROR(INDEX(tbl_materiais[Fluxo_Reciclagem],MATCH(J20,tbl_materiais[Material],0)),"")</f>
        <v>Sem fluxo (PETG)</v>
      </c>
      <c r="M20" s="33" t="str">
        <f t="shared" si="0"/>
        <v>Sem categoria RecyClass (PETG)</v>
      </c>
      <c r="N20" s="26" t="s">
        <v>610</v>
      </c>
      <c r="O20" s="26" t="s">
        <v>279</v>
      </c>
      <c r="P20" s="26" t="s">
        <v>611</v>
      </c>
      <c r="Q20" s="29">
        <v>0</v>
      </c>
      <c r="R20" s="35">
        <f>IFERROR(ROUND(INDEX(tbl_materiais[Densidade_g_cm3],MATCH(J20,tbl_materiais[Material],0))+Q20*1.2,3),"")</f>
        <v>1.27</v>
      </c>
      <c r="S20" s="26" t="s">
        <v>302</v>
      </c>
      <c r="T20" s="34">
        <v>24.4</v>
      </c>
      <c r="U20" s="26" t="s">
        <v>593</v>
      </c>
      <c r="V20" s="26" t="s">
        <v>433</v>
      </c>
      <c r="W20" s="33" t="str">
        <f>IF(V20="","",IFERROR(INDEX(tbl_tampas[Material],MATCH(V20,tbl_tampas[CapId],0)),""))</f>
        <v>PETG</v>
      </c>
      <c r="X20" s="33" t="str">
        <f>IF(V20="","Sem tampa",IFERROR(INDEX(tbl_materiais[Polimero_Base],MATCH(W20,tbl_materiais[Material],0)),""))</f>
        <v>PETG</v>
      </c>
      <c r="Y20" s="38">
        <f>IF(V20="",0,IFERROR(INDEX(tbl_tampas[Massa_g],MATCH(V20,tbl_tampas[CapId],0)),0))</f>
        <v>12.1</v>
      </c>
      <c r="Z20" s="26" t="s">
        <v>319</v>
      </c>
      <c r="AA20" s="26" t="s">
        <v>326</v>
      </c>
      <c r="AB20" s="26" t="s">
        <v>340</v>
      </c>
      <c r="AC20" s="29">
        <v>0</v>
      </c>
      <c r="AD20" s="27">
        <v>0</v>
      </c>
      <c r="AE20" s="26" t="s">
        <v>594</v>
      </c>
      <c r="AF20" s="26" t="s">
        <v>595</v>
      </c>
      <c r="AG20" s="39">
        <v>2</v>
      </c>
      <c r="AH20" s="33" t="str">
        <f t="shared" si="1"/>
        <v>Serigrafia 1–2 cores</v>
      </c>
      <c r="AI20" s="27">
        <v>0.16</v>
      </c>
      <c r="AJ20" s="33" t="str">
        <f>IFERROR(INDEX(tbl_regras_dfr[Classe],MATCH(L20&amp;"|Fluxo de reciclagem|"&amp;L20,tbl_regras_dfr[Chave],0)),"Sem regra")</f>
        <v>F</v>
      </c>
      <c r="AK20" s="33" t="str">
        <f>IF(LEFT(L20,9)="Sem fluxo","—",IFERROR(INDEX(tbl_regras_dfr[Classe],MATCH(L20&amp;"|Cor do corpo|"&amp;O20,tbl_regras_dfr[Chave],0)),"Sem regra"))</f>
        <v>—</v>
      </c>
      <c r="AL20" s="33" t="str">
        <f>IF(LEFT(L20,9)="Sem fluxo","—",IFERROR(INDEX(tbl_regras_dfr[Classe],MATCH(L20&amp;"|Densidade do corpo|"&amp;IF(R20&lt;1,"&lt; 1,0 g/cm³","≥ 1,0 g/cm³"),tbl_regras_dfr[Chave],0)),"Sem regra"))</f>
        <v>—</v>
      </c>
      <c r="AM20" s="33" t="str">
        <f>IF(LEFT(L20,9)="Sem fluxo","—",IFERROR(INDEX(tbl_regras_dfr[Classe],MATCH(L20&amp;"|Barreira / revestimento|"&amp;S20,tbl_regras_dfr[Chave],0)),"Sem regra"))</f>
        <v>—</v>
      </c>
      <c r="AN20" s="33" t="str">
        <f>IF(LEFT(L20,9)="Sem fluxo","—",IFERROR(INDEX(tbl_regras_dfr[Classe],MATCH(L20&amp;"|Material da tampa|"&amp;X20,tbl_regras_dfr[Chave],0)),"Sem regra"))</f>
        <v>—</v>
      </c>
      <c r="AO20" s="33" t="str">
        <f>IF(LEFT(L20,9)="Sem fluxo","—",IFERROR(INDEX(tbl_regras_dfr[Classe],MATCH(L20&amp;"|Vedante / liner|"&amp;Z20,tbl_regras_dfr[Chave],0)),"Sem regra"))</f>
        <v>—</v>
      </c>
      <c r="AP20" s="33" t="str">
        <f>IF(LEFT(L20,9)="Sem fluxo","—",IFERROR(INDEX(tbl_regras_dfr[Classe],MATCH(L20&amp;"|Tipo de rótulo|"&amp;AA20,tbl_regras_dfr[Chave],0)),"Sem regra"))</f>
        <v>—</v>
      </c>
      <c r="AQ20" s="33" t="str">
        <f>IF(LEFT(L20,9)="Sem fluxo","—",IFERROR(INDEX(tbl_regras_dfr[Classe],MATCH(L20&amp;"|Adesivo do rótulo|"&amp;AB20,tbl_regras_dfr[Chave],0)),"Sem regra"))</f>
        <v>—</v>
      </c>
      <c r="AR20" s="33" t="str">
        <f>IF(LEFT(L20,9)="Sem fluxo","—",IFERROR(INDEX(tbl_regras_dfr[Classe],MATCH(L20&amp;"|Cobertura do rótulo|"&amp;IF(AC20&gt;0.7,"&gt; 70% da superfície","≤ 70% da superfície"),tbl_regras_dfr[Chave],0)),"Sem regra"))</f>
        <v>—</v>
      </c>
      <c r="AS20" s="33" t="str">
        <f>IF(LEFT(L20,9)="Sem fluxo","—",IFERROR(INDEX(tbl_regras_dfr[Classe],MATCH(L20&amp;"|Decoração direta|"&amp;AH20,tbl_regras_dfr[Chave],0)),"Sem regra"))</f>
        <v>—</v>
      </c>
      <c r="AT20" s="31">
        <f t="shared" si="2"/>
        <v>6</v>
      </c>
      <c r="AU20" s="33" t="str">
        <f>IF(AT20=0,"",INDEX({"A","B","C","D","E","F"},AT20))</f>
        <v>F</v>
      </c>
      <c r="AV20" s="31">
        <f t="shared" si="3"/>
        <v>0</v>
      </c>
      <c r="AW20" s="33" t="str">
        <f t="shared" si="4"/>
        <v>Fluxo</v>
      </c>
      <c r="AX20" s="33" t="str">
        <f>IF(AU20="A","Sem ação — manter o design.",IFERROR(INDEX(tbl_regras_dfr[Recomendacao],MATCH(CHOOSE(MATCH(AU20,AJ20:AS20,0),L20&amp;"|Fluxo de reciclagem|"&amp;L20,L20&amp;"|Cor do corpo|"&amp;O20,L20&amp;"|Densidade do corpo|"&amp;IF(R20&lt;1,"&lt; 1,0 g/cm³","≥ 1,0 g/cm³"),L20&amp;"|Barreira / revestimento|"&amp;S20,L20&amp;"|Material da tampa|"&amp;X20,L20&amp;"|Vedante / liner|"&amp;Z20,L20&amp;"|Tipo de rótulo|"&amp;AA20,L20&amp;"|Adesivo do rótulo|"&amp;AB20,L20&amp;"|Cobertura do rótulo|"&amp;IF(AC20&gt;0.7,"&gt; 70% da superfície","≤ 70% da superfície"),L20&amp;"|Decoração direta|"&amp;AH20),tbl_regras_dfr[Chave],0)),""))</f>
        <v>Mudar o corpo para PET (ou PP/PE) — PETG não passa a grau C em 2030.</v>
      </c>
      <c r="AY20" s="38">
        <f t="shared" si="5"/>
        <v>36.659999999999997</v>
      </c>
      <c r="AZ20" s="36">
        <f>MIN(IFERROR(INDEX(tbl_regras_dfr[Fracao_Reciclavel],MATCH(L20&amp;"|Fluxo de reciclagem|"&amp;L20,tbl_regras_dfr[Chave],0)),0),IFERROR(INDEX(tbl_regras_dfr[Fracao_Reciclavel],MATCH(L20&amp;"|Cor do corpo|"&amp;O20,tbl_regras_dfr[Chave],0)),0))</f>
        <v>0</v>
      </c>
      <c r="BA20" s="36">
        <f>IFERROR(INDEX(tbl_regras_dfr[Fracao_Reciclavel],MATCH(L20&amp;"|Material da tampa|"&amp;X20,tbl_regras_dfr[Chave],0)),0)</f>
        <v>0</v>
      </c>
      <c r="BB20" s="36">
        <f>IFERROR(INDEX(tbl_regras_dfr[Fracao_Reciclavel],MATCH(L20&amp;"|Tipo de rótulo|"&amp;AA20,tbl_regras_dfr[Chave],0)),0)</f>
        <v>0</v>
      </c>
      <c r="BC20" s="38">
        <f t="shared" si="6"/>
        <v>0</v>
      </c>
      <c r="BD20" s="40">
        <f t="shared" si="7"/>
        <v>0</v>
      </c>
      <c r="BE20" s="33" t="str">
        <f>IF(BD20&gt;=INDEX(tbl_param_emb[Valor],MATCH("P-06",tbl_param_emb[ID_Parametro],0)),"A",IF(BD20&gt;=INDEX(tbl_param_emb[Valor],MATCH("P-07",tbl_param_emb[ID_Parametro],0)),"B",IF(BD20&gt;=INDEX(tbl_param_emb[Valor],MATCH("P-08",tbl_param_emb[ID_Parametro],0)),"C","&lt; 70%")))</f>
        <v>&lt; 70%</v>
      </c>
      <c r="BF20" s="33" t="str">
        <f>IF(AU20="F","Não reciclável (F)",INDEX({"A","B","C","Abaixo de C"},MAX(MIN(AT20,4),IF(BE20="A",1,IF(BE20="B",2,IF(BE20="C",3,4))))))</f>
        <v>Não reciclável (F)</v>
      </c>
      <c r="BG20" s="33" t="str">
        <f t="shared" si="8"/>
        <v>—</v>
      </c>
      <c r="BH20" s="33" t="str">
        <f t="shared" si="9"/>
        <v>Não</v>
      </c>
      <c r="BI20" s="33" t="str">
        <f t="shared" si="10"/>
        <v>Não</v>
      </c>
      <c r="BJ20" s="36">
        <f>IFERROR(INDEX(tbl_materiais[Pct_PCR],MATCH(J20,tbl_materiais[Material],0)),0)</f>
        <v>0</v>
      </c>
      <c r="BK20" s="36">
        <f>IF(V20="",0,IFERROR(INDEX(tbl_tampas[Pct_PCR],MATCH(V20,tbl_tampas[CapId],0)),0))</f>
        <v>0</v>
      </c>
      <c r="BL20" s="40">
        <f t="shared" si="11"/>
        <v>0</v>
      </c>
      <c r="BM20" s="33" t="str">
        <f t="shared" si="12"/>
        <v>Outras embalagens de plástico</v>
      </c>
      <c r="BN20" s="36">
        <f>IFERROR(IF(INDEX(tbl_metas_art7[Meta_2030],MATCH(BM20,tbl_metas_art7[Categoria_Art7],0))="","",INDEX(tbl_metas_art7[Meta_2030],MATCH(BM20,tbl_metas_art7[Categoria_Art7],0))),"")</f>
        <v>0.35</v>
      </c>
      <c r="BO20" s="40">
        <f t="shared" si="13"/>
        <v>0.35</v>
      </c>
      <c r="BP20" s="33" t="str">
        <f t="shared" si="14"/>
        <v>Não</v>
      </c>
      <c r="BQ20" s="33" t="str">
        <f t="shared" si="15"/>
        <v>Monomaterial (mesma família)</v>
      </c>
      <c r="BR20" s="37">
        <v>67196</v>
      </c>
      <c r="BS20" s="39">
        <v>8</v>
      </c>
      <c r="BT20" s="26" t="s">
        <v>628</v>
      </c>
      <c r="BU20" s="32">
        <f t="shared" si="16"/>
        <v>1639.5824</v>
      </c>
      <c r="BV20" s="31">
        <f>COUNTIFS(tbl_aplicabilidade[ProductId],B20,tbl_aplicabilidade[Aplicavel],"Sim")</f>
        <v>12</v>
      </c>
      <c r="BW20" s="31">
        <f>COUNTIFS(tbl_aplicabilidade[ProductId],B20,tbl_aplicabilidade[Estado_Resumo],"Lacuna")+COUNTIFS(tbl_aplicabilidade[ProductId],B20,tbl_aplicabilidade[Estado_Resumo],"Não conforme")</f>
        <v>4</v>
      </c>
      <c r="BX20" s="41">
        <v>46287</v>
      </c>
      <c r="BY20" s="42">
        <f t="shared" si="17"/>
        <v>46652</v>
      </c>
      <c r="BZ20" s="26" t="s">
        <v>596</v>
      </c>
      <c r="CA20" s="26" t="s">
        <v>597</v>
      </c>
      <c r="CB20" s="26" t="s">
        <v>598</v>
      </c>
    </row>
    <row r="21" spans="1:80" ht="18" customHeight="1" x14ac:dyDescent="0.3">
      <c r="A21" s="26" t="s">
        <v>648</v>
      </c>
      <c r="B21" s="26" t="s">
        <v>649</v>
      </c>
      <c r="C21" s="26" t="s">
        <v>586</v>
      </c>
      <c r="D21" s="26" t="s">
        <v>587</v>
      </c>
      <c r="E21" s="26" t="s">
        <v>588</v>
      </c>
      <c r="F21" s="26" t="s">
        <v>589</v>
      </c>
      <c r="G21" s="26" t="s">
        <v>647</v>
      </c>
      <c r="H21" s="37">
        <v>350</v>
      </c>
      <c r="I21" s="37">
        <v>121</v>
      </c>
      <c r="J21" s="26" t="s">
        <v>255</v>
      </c>
      <c r="K21" s="33" t="str">
        <f>IFERROR(INDEX(tbl_materiais[Polimero_Base],MATCH(J21,tbl_materiais[Material],0)),"")</f>
        <v>PETG</v>
      </c>
      <c r="L21" s="33" t="str">
        <f>IFERROR(INDEX(tbl_materiais[Fluxo_Reciclagem],MATCH(J21,tbl_materiais[Material],0)),"")</f>
        <v>Sem fluxo (PETG)</v>
      </c>
      <c r="M21" s="33" t="str">
        <f t="shared" si="0"/>
        <v>Sem categoria RecyClass (PETG)</v>
      </c>
      <c r="N21" s="26" t="s">
        <v>610</v>
      </c>
      <c r="O21" s="26" t="s">
        <v>279</v>
      </c>
      <c r="P21" s="26" t="s">
        <v>611</v>
      </c>
      <c r="Q21" s="29">
        <v>0</v>
      </c>
      <c r="R21" s="35">
        <f>IFERROR(ROUND(INDEX(tbl_materiais[Densidade_g_cm3],MATCH(J21,tbl_materiais[Material],0))+Q21*1.2,3),"")</f>
        <v>1.27</v>
      </c>
      <c r="S21" s="26" t="s">
        <v>302</v>
      </c>
      <c r="T21" s="34">
        <v>24.4</v>
      </c>
      <c r="U21" s="26" t="s">
        <v>593</v>
      </c>
      <c r="V21" s="26" t="s">
        <v>433</v>
      </c>
      <c r="W21" s="33" t="str">
        <f>IF(V21="","",IFERROR(INDEX(tbl_tampas[Material],MATCH(V21,tbl_tampas[CapId],0)),""))</f>
        <v>PETG</v>
      </c>
      <c r="X21" s="33" t="str">
        <f>IF(V21="","Sem tampa",IFERROR(INDEX(tbl_materiais[Polimero_Base],MATCH(W21,tbl_materiais[Material],0)),""))</f>
        <v>PETG</v>
      </c>
      <c r="Y21" s="38">
        <f>IF(V21="",0,IFERROR(INDEX(tbl_tampas[Massa_g],MATCH(V21,tbl_tampas[CapId],0)),0))</f>
        <v>12.1</v>
      </c>
      <c r="Z21" s="26" t="s">
        <v>319</v>
      </c>
      <c r="AA21" s="26" t="s">
        <v>326</v>
      </c>
      <c r="AB21" s="26" t="s">
        <v>340</v>
      </c>
      <c r="AC21" s="29">
        <v>0</v>
      </c>
      <c r="AD21" s="27">
        <v>0</v>
      </c>
      <c r="AE21" s="26" t="s">
        <v>594</v>
      </c>
      <c r="AF21" s="26" t="s">
        <v>595</v>
      </c>
      <c r="AG21" s="39">
        <v>1</v>
      </c>
      <c r="AH21" s="33" t="str">
        <f t="shared" si="1"/>
        <v>Serigrafia 1–2 cores</v>
      </c>
      <c r="AI21" s="27">
        <v>0.08</v>
      </c>
      <c r="AJ21" s="33" t="str">
        <f>IFERROR(INDEX(tbl_regras_dfr[Classe],MATCH(L21&amp;"|Fluxo de reciclagem|"&amp;L21,tbl_regras_dfr[Chave],0)),"Sem regra")</f>
        <v>F</v>
      </c>
      <c r="AK21" s="33" t="str">
        <f>IF(LEFT(L21,9)="Sem fluxo","—",IFERROR(INDEX(tbl_regras_dfr[Classe],MATCH(L21&amp;"|Cor do corpo|"&amp;O21,tbl_regras_dfr[Chave],0)),"Sem regra"))</f>
        <v>—</v>
      </c>
      <c r="AL21" s="33" t="str">
        <f>IF(LEFT(L21,9)="Sem fluxo","—",IFERROR(INDEX(tbl_regras_dfr[Classe],MATCH(L21&amp;"|Densidade do corpo|"&amp;IF(R21&lt;1,"&lt; 1,0 g/cm³","≥ 1,0 g/cm³"),tbl_regras_dfr[Chave],0)),"Sem regra"))</f>
        <v>—</v>
      </c>
      <c r="AM21" s="33" t="str">
        <f>IF(LEFT(L21,9)="Sem fluxo","—",IFERROR(INDEX(tbl_regras_dfr[Classe],MATCH(L21&amp;"|Barreira / revestimento|"&amp;S21,tbl_regras_dfr[Chave],0)),"Sem regra"))</f>
        <v>—</v>
      </c>
      <c r="AN21" s="33" t="str">
        <f>IF(LEFT(L21,9)="Sem fluxo","—",IFERROR(INDEX(tbl_regras_dfr[Classe],MATCH(L21&amp;"|Material da tampa|"&amp;X21,tbl_regras_dfr[Chave],0)),"Sem regra"))</f>
        <v>—</v>
      </c>
      <c r="AO21" s="33" t="str">
        <f>IF(LEFT(L21,9)="Sem fluxo","—",IFERROR(INDEX(tbl_regras_dfr[Classe],MATCH(L21&amp;"|Vedante / liner|"&amp;Z21,tbl_regras_dfr[Chave],0)),"Sem regra"))</f>
        <v>—</v>
      </c>
      <c r="AP21" s="33" t="str">
        <f>IF(LEFT(L21,9)="Sem fluxo","—",IFERROR(INDEX(tbl_regras_dfr[Classe],MATCH(L21&amp;"|Tipo de rótulo|"&amp;AA21,tbl_regras_dfr[Chave],0)),"Sem regra"))</f>
        <v>—</v>
      </c>
      <c r="AQ21" s="33" t="str">
        <f>IF(LEFT(L21,9)="Sem fluxo","—",IFERROR(INDEX(tbl_regras_dfr[Classe],MATCH(L21&amp;"|Adesivo do rótulo|"&amp;AB21,tbl_regras_dfr[Chave],0)),"Sem regra"))</f>
        <v>—</v>
      </c>
      <c r="AR21" s="33" t="str">
        <f>IF(LEFT(L21,9)="Sem fluxo","—",IFERROR(INDEX(tbl_regras_dfr[Classe],MATCH(L21&amp;"|Cobertura do rótulo|"&amp;IF(AC21&gt;0.7,"&gt; 70% da superfície","≤ 70% da superfície"),tbl_regras_dfr[Chave],0)),"Sem regra"))</f>
        <v>—</v>
      </c>
      <c r="AS21" s="33" t="str">
        <f>IF(LEFT(L21,9)="Sem fluxo","—",IFERROR(INDEX(tbl_regras_dfr[Classe],MATCH(L21&amp;"|Decoração direta|"&amp;AH21,tbl_regras_dfr[Chave],0)),"Sem regra"))</f>
        <v>—</v>
      </c>
      <c r="AT21" s="31">
        <f t="shared" si="2"/>
        <v>6</v>
      </c>
      <c r="AU21" s="33" t="str">
        <f>IF(AT21=0,"",INDEX({"A","B","C","D","E","F"},AT21))</f>
        <v>F</v>
      </c>
      <c r="AV21" s="31">
        <f t="shared" si="3"/>
        <v>0</v>
      </c>
      <c r="AW21" s="33" t="str">
        <f t="shared" si="4"/>
        <v>Fluxo</v>
      </c>
      <c r="AX21" s="33" t="str">
        <f>IF(AU21="A","Sem ação — manter o design.",IFERROR(INDEX(tbl_regras_dfr[Recomendacao],MATCH(CHOOSE(MATCH(AU21,AJ21:AS21,0),L21&amp;"|Fluxo de reciclagem|"&amp;L21,L21&amp;"|Cor do corpo|"&amp;O21,L21&amp;"|Densidade do corpo|"&amp;IF(R21&lt;1,"&lt; 1,0 g/cm³","≥ 1,0 g/cm³"),L21&amp;"|Barreira / revestimento|"&amp;S21,L21&amp;"|Material da tampa|"&amp;X21,L21&amp;"|Vedante / liner|"&amp;Z21,L21&amp;"|Tipo de rótulo|"&amp;AA21,L21&amp;"|Adesivo do rótulo|"&amp;AB21,L21&amp;"|Cobertura do rótulo|"&amp;IF(AC21&gt;0.7,"&gt; 70% da superfície","≤ 70% da superfície"),L21&amp;"|Decoração direta|"&amp;AH21),tbl_regras_dfr[Chave],0)),""))</f>
        <v>Mudar o corpo para PET (ou PP/PE) — PETG não passa a grau C em 2030.</v>
      </c>
      <c r="AY21" s="38">
        <f t="shared" si="5"/>
        <v>36.58</v>
      </c>
      <c r="AZ21" s="36">
        <f>MIN(IFERROR(INDEX(tbl_regras_dfr[Fracao_Reciclavel],MATCH(L21&amp;"|Fluxo de reciclagem|"&amp;L21,tbl_regras_dfr[Chave],0)),0),IFERROR(INDEX(tbl_regras_dfr[Fracao_Reciclavel],MATCH(L21&amp;"|Cor do corpo|"&amp;O21,tbl_regras_dfr[Chave],0)),0))</f>
        <v>0</v>
      </c>
      <c r="BA21" s="36">
        <f>IFERROR(INDEX(tbl_regras_dfr[Fracao_Reciclavel],MATCH(L21&amp;"|Material da tampa|"&amp;X21,tbl_regras_dfr[Chave],0)),0)</f>
        <v>0</v>
      </c>
      <c r="BB21" s="36">
        <f>IFERROR(INDEX(tbl_regras_dfr[Fracao_Reciclavel],MATCH(L21&amp;"|Tipo de rótulo|"&amp;AA21,tbl_regras_dfr[Chave],0)),0)</f>
        <v>0</v>
      </c>
      <c r="BC21" s="38">
        <f t="shared" si="6"/>
        <v>0</v>
      </c>
      <c r="BD21" s="40">
        <f t="shared" si="7"/>
        <v>0</v>
      </c>
      <c r="BE21" s="33" t="str">
        <f>IF(BD21&gt;=INDEX(tbl_param_emb[Valor],MATCH("P-06",tbl_param_emb[ID_Parametro],0)),"A",IF(BD21&gt;=INDEX(tbl_param_emb[Valor],MATCH("P-07",tbl_param_emb[ID_Parametro],0)),"B",IF(BD21&gt;=INDEX(tbl_param_emb[Valor],MATCH("P-08",tbl_param_emb[ID_Parametro],0)),"C","&lt; 70%")))</f>
        <v>&lt; 70%</v>
      </c>
      <c r="BF21" s="33" t="str">
        <f>IF(AU21="F","Não reciclável (F)",INDEX({"A","B","C","Abaixo de C"},MAX(MIN(AT21,4),IF(BE21="A",1,IF(BE21="B",2,IF(BE21="C",3,4))))))</f>
        <v>Não reciclável (F)</v>
      </c>
      <c r="BG21" s="33" t="str">
        <f t="shared" si="8"/>
        <v>—</v>
      </c>
      <c r="BH21" s="33" t="str">
        <f t="shared" si="9"/>
        <v>Não</v>
      </c>
      <c r="BI21" s="33" t="str">
        <f t="shared" si="10"/>
        <v>Não</v>
      </c>
      <c r="BJ21" s="36">
        <f>IFERROR(INDEX(tbl_materiais[Pct_PCR],MATCH(J21,tbl_materiais[Material],0)),0)</f>
        <v>0</v>
      </c>
      <c r="BK21" s="36">
        <f>IF(V21="",0,IFERROR(INDEX(tbl_tampas[Pct_PCR],MATCH(V21,tbl_tampas[CapId],0)),0))</f>
        <v>0</v>
      </c>
      <c r="BL21" s="40">
        <f t="shared" si="11"/>
        <v>0</v>
      </c>
      <c r="BM21" s="33" t="str">
        <f t="shared" si="12"/>
        <v>Outras embalagens de plástico</v>
      </c>
      <c r="BN21" s="36">
        <f>IFERROR(IF(INDEX(tbl_metas_art7[Meta_2030],MATCH(BM21,tbl_metas_art7[Categoria_Art7],0))="","",INDEX(tbl_metas_art7[Meta_2030],MATCH(BM21,tbl_metas_art7[Categoria_Art7],0))),"")</f>
        <v>0.35</v>
      </c>
      <c r="BO21" s="40">
        <f t="shared" si="13"/>
        <v>0.35</v>
      </c>
      <c r="BP21" s="33" t="str">
        <f t="shared" si="14"/>
        <v>Não</v>
      </c>
      <c r="BQ21" s="33" t="str">
        <f t="shared" si="15"/>
        <v>Monomaterial (mesma família)</v>
      </c>
      <c r="BR21" s="37">
        <v>200255</v>
      </c>
      <c r="BS21" s="39">
        <v>14</v>
      </c>
      <c r="BT21" s="26" t="s">
        <v>426</v>
      </c>
      <c r="BU21" s="32">
        <f t="shared" si="16"/>
        <v>4886.2219999999998</v>
      </c>
      <c r="BV21" s="31">
        <f>COUNTIFS(tbl_aplicabilidade[ProductId],B21,tbl_aplicabilidade[Aplicavel],"Sim")</f>
        <v>12</v>
      </c>
      <c r="BW21" s="31">
        <f>COUNTIFS(tbl_aplicabilidade[ProductId],B21,tbl_aplicabilidade[Estado_Resumo],"Lacuna")+COUNTIFS(tbl_aplicabilidade[ProductId],B21,tbl_aplicabilidade[Estado_Resumo],"Não conforme")</f>
        <v>4</v>
      </c>
      <c r="BX21" s="41">
        <v>46287</v>
      </c>
      <c r="BY21" s="42">
        <f t="shared" si="17"/>
        <v>46652</v>
      </c>
      <c r="BZ21" s="26" t="s">
        <v>596</v>
      </c>
      <c r="CA21" s="26" t="s">
        <v>597</v>
      </c>
      <c r="CB21" s="26" t="s">
        <v>598</v>
      </c>
    </row>
    <row r="22" spans="1:80" ht="18" customHeight="1" x14ac:dyDescent="0.3">
      <c r="A22" s="26" t="s">
        <v>650</v>
      </c>
      <c r="B22" s="26" t="s">
        <v>651</v>
      </c>
      <c r="C22" s="26" t="s">
        <v>586</v>
      </c>
      <c r="D22" s="26" t="s">
        <v>587</v>
      </c>
      <c r="E22" s="26" t="s">
        <v>588</v>
      </c>
      <c r="F22" s="26" t="s">
        <v>589</v>
      </c>
      <c r="G22" s="26" t="s">
        <v>647</v>
      </c>
      <c r="H22" s="37">
        <v>350</v>
      </c>
      <c r="I22" s="37">
        <v>121</v>
      </c>
      <c r="J22" s="26" t="s">
        <v>255</v>
      </c>
      <c r="K22" s="33" t="str">
        <f>IFERROR(INDEX(tbl_materiais[Polimero_Base],MATCH(J22,tbl_materiais[Material],0)),"")</f>
        <v>PETG</v>
      </c>
      <c r="L22" s="33" t="str">
        <f>IFERROR(INDEX(tbl_materiais[Fluxo_Reciclagem],MATCH(J22,tbl_materiais[Material],0)),"")</f>
        <v>Sem fluxo (PETG)</v>
      </c>
      <c r="M22" s="33" t="str">
        <f t="shared" si="0"/>
        <v>Sem categoria RecyClass (PETG)</v>
      </c>
      <c r="N22" s="26" t="s">
        <v>610</v>
      </c>
      <c r="O22" s="26" t="s">
        <v>279</v>
      </c>
      <c r="P22" s="26" t="s">
        <v>611</v>
      </c>
      <c r="Q22" s="29">
        <v>0</v>
      </c>
      <c r="R22" s="35">
        <f>IFERROR(ROUND(INDEX(tbl_materiais[Densidade_g_cm3],MATCH(J22,tbl_materiais[Material],0))+Q22*1.2,3),"")</f>
        <v>1.27</v>
      </c>
      <c r="S22" s="26" t="s">
        <v>302</v>
      </c>
      <c r="T22" s="34">
        <v>24.4</v>
      </c>
      <c r="U22" s="26" t="s">
        <v>593</v>
      </c>
      <c r="V22" s="26" t="s">
        <v>433</v>
      </c>
      <c r="W22" s="33" t="str">
        <f>IF(V22="","",IFERROR(INDEX(tbl_tampas[Material],MATCH(V22,tbl_tampas[CapId],0)),""))</f>
        <v>PETG</v>
      </c>
      <c r="X22" s="33" t="str">
        <f>IF(V22="","Sem tampa",IFERROR(INDEX(tbl_materiais[Polimero_Base],MATCH(W22,tbl_materiais[Material],0)),""))</f>
        <v>PETG</v>
      </c>
      <c r="Y22" s="38">
        <f>IF(V22="",0,IFERROR(INDEX(tbl_tampas[Massa_g],MATCH(V22,tbl_tampas[CapId],0)),0))</f>
        <v>12.1</v>
      </c>
      <c r="Z22" s="26" t="s">
        <v>319</v>
      </c>
      <c r="AA22" s="26" t="s">
        <v>326</v>
      </c>
      <c r="AB22" s="26" t="s">
        <v>340</v>
      </c>
      <c r="AC22" s="29">
        <v>0</v>
      </c>
      <c r="AD22" s="27">
        <v>0</v>
      </c>
      <c r="AE22" s="26" t="s">
        <v>594</v>
      </c>
      <c r="AF22" s="26" t="s">
        <v>595</v>
      </c>
      <c r="AG22" s="39">
        <v>3</v>
      </c>
      <c r="AH22" s="33" t="str">
        <f t="shared" si="1"/>
        <v>Serigrafia ≥ 3 cores</v>
      </c>
      <c r="AI22" s="27">
        <v>0.24</v>
      </c>
      <c r="AJ22" s="33" t="str">
        <f>IFERROR(INDEX(tbl_regras_dfr[Classe],MATCH(L22&amp;"|Fluxo de reciclagem|"&amp;L22,tbl_regras_dfr[Chave],0)),"Sem regra")</f>
        <v>F</v>
      </c>
      <c r="AK22" s="33" t="str">
        <f>IF(LEFT(L22,9)="Sem fluxo","—",IFERROR(INDEX(tbl_regras_dfr[Classe],MATCH(L22&amp;"|Cor do corpo|"&amp;O22,tbl_regras_dfr[Chave],0)),"Sem regra"))</f>
        <v>—</v>
      </c>
      <c r="AL22" s="33" t="str">
        <f>IF(LEFT(L22,9)="Sem fluxo","—",IFERROR(INDEX(tbl_regras_dfr[Classe],MATCH(L22&amp;"|Densidade do corpo|"&amp;IF(R22&lt;1,"&lt; 1,0 g/cm³","≥ 1,0 g/cm³"),tbl_regras_dfr[Chave],0)),"Sem regra"))</f>
        <v>—</v>
      </c>
      <c r="AM22" s="33" t="str">
        <f>IF(LEFT(L22,9)="Sem fluxo","—",IFERROR(INDEX(tbl_regras_dfr[Classe],MATCH(L22&amp;"|Barreira / revestimento|"&amp;S22,tbl_regras_dfr[Chave],0)),"Sem regra"))</f>
        <v>—</v>
      </c>
      <c r="AN22" s="33" t="str">
        <f>IF(LEFT(L22,9)="Sem fluxo","—",IFERROR(INDEX(tbl_regras_dfr[Classe],MATCH(L22&amp;"|Material da tampa|"&amp;X22,tbl_regras_dfr[Chave],0)),"Sem regra"))</f>
        <v>—</v>
      </c>
      <c r="AO22" s="33" t="str">
        <f>IF(LEFT(L22,9)="Sem fluxo","—",IFERROR(INDEX(tbl_regras_dfr[Classe],MATCH(L22&amp;"|Vedante / liner|"&amp;Z22,tbl_regras_dfr[Chave],0)),"Sem regra"))</f>
        <v>—</v>
      </c>
      <c r="AP22" s="33" t="str">
        <f>IF(LEFT(L22,9)="Sem fluxo","—",IFERROR(INDEX(tbl_regras_dfr[Classe],MATCH(L22&amp;"|Tipo de rótulo|"&amp;AA22,tbl_regras_dfr[Chave],0)),"Sem regra"))</f>
        <v>—</v>
      </c>
      <c r="AQ22" s="33" t="str">
        <f>IF(LEFT(L22,9)="Sem fluxo","—",IFERROR(INDEX(tbl_regras_dfr[Classe],MATCH(L22&amp;"|Adesivo do rótulo|"&amp;AB22,tbl_regras_dfr[Chave],0)),"Sem regra"))</f>
        <v>—</v>
      </c>
      <c r="AR22" s="33" t="str">
        <f>IF(LEFT(L22,9)="Sem fluxo","—",IFERROR(INDEX(tbl_regras_dfr[Classe],MATCH(L22&amp;"|Cobertura do rótulo|"&amp;IF(AC22&gt;0.7,"&gt; 70% da superfície","≤ 70% da superfície"),tbl_regras_dfr[Chave],0)),"Sem regra"))</f>
        <v>—</v>
      </c>
      <c r="AS22" s="33" t="str">
        <f>IF(LEFT(L22,9)="Sem fluxo","—",IFERROR(INDEX(tbl_regras_dfr[Classe],MATCH(L22&amp;"|Decoração direta|"&amp;AH22,tbl_regras_dfr[Chave],0)),"Sem regra"))</f>
        <v>—</v>
      </c>
      <c r="AT22" s="31">
        <f t="shared" si="2"/>
        <v>6</v>
      </c>
      <c r="AU22" s="33" t="str">
        <f>IF(AT22=0,"",INDEX({"A","B","C","D","E","F"},AT22))</f>
        <v>F</v>
      </c>
      <c r="AV22" s="31">
        <f t="shared" si="3"/>
        <v>0</v>
      </c>
      <c r="AW22" s="33" t="str">
        <f t="shared" si="4"/>
        <v>Fluxo</v>
      </c>
      <c r="AX22" s="33" t="str">
        <f>IF(AU22="A","Sem ação — manter o design.",IFERROR(INDEX(tbl_regras_dfr[Recomendacao],MATCH(CHOOSE(MATCH(AU22,AJ22:AS22,0),L22&amp;"|Fluxo de reciclagem|"&amp;L22,L22&amp;"|Cor do corpo|"&amp;O22,L22&amp;"|Densidade do corpo|"&amp;IF(R22&lt;1,"&lt; 1,0 g/cm³","≥ 1,0 g/cm³"),L22&amp;"|Barreira / revestimento|"&amp;S22,L22&amp;"|Material da tampa|"&amp;X22,L22&amp;"|Vedante / liner|"&amp;Z22,L22&amp;"|Tipo de rótulo|"&amp;AA22,L22&amp;"|Adesivo do rótulo|"&amp;AB22,L22&amp;"|Cobertura do rótulo|"&amp;IF(AC22&gt;0.7,"&gt; 70% da superfície","≤ 70% da superfície"),L22&amp;"|Decoração direta|"&amp;AH22),tbl_regras_dfr[Chave],0)),""))</f>
        <v>Mudar o corpo para PET (ou PP/PE) — PETG não passa a grau C em 2030.</v>
      </c>
      <c r="AY22" s="38">
        <f t="shared" si="5"/>
        <v>36.74</v>
      </c>
      <c r="AZ22" s="36">
        <f>MIN(IFERROR(INDEX(tbl_regras_dfr[Fracao_Reciclavel],MATCH(L22&amp;"|Fluxo de reciclagem|"&amp;L22,tbl_regras_dfr[Chave],0)),0),IFERROR(INDEX(tbl_regras_dfr[Fracao_Reciclavel],MATCH(L22&amp;"|Cor do corpo|"&amp;O22,tbl_regras_dfr[Chave],0)),0))</f>
        <v>0</v>
      </c>
      <c r="BA22" s="36">
        <f>IFERROR(INDEX(tbl_regras_dfr[Fracao_Reciclavel],MATCH(L22&amp;"|Material da tampa|"&amp;X22,tbl_regras_dfr[Chave],0)),0)</f>
        <v>0</v>
      </c>
      <c r="BB22" s="36">
        <f>IFERROR(INDEX(tbl_regras_dfr[Fracao_Reciclavel],MATCH(L22&amp;"|Tipo de rótulo|"&amp;AA22,tbl_regras_dfr[Chave],0)),0)</f>
        <v>0</v>
      </c>
      <c r="BC22" s="38">
        <f t="shared" si="6"/>
        <v>0</v>
      </c>
      <c r="BD22" s="40">
        <f t="shared" si="7"/>
        <v>0</v>
      </c>
      <c r="BE22" s="33" t="str">
        <f>IF(BD22&gt;=INDEX(tbl_param_emb[Valor],MATCH("P-06",tbl_param_emb[ID_Parametro],0)),"A",IF(BD22&gt;=INDEX(tbl_param_emb[Valor],MATCH("P-07",tbl_param_emb[ID_Parametro],0)),"B",IF(BD22&gt;=INDEX(tbl_param_emb[Valor],MATCH("P-08",tbl_param_emb[ID_Parametro],0)),"C","&lt; 70%")))</f>
        <v>&lt; 70%</v>
      </c>
      <c r="BF22" s="33" t="str">
        <f>IF(AU22="F","Não reciclável (F)",INDEX({"A","B","C","Abaixo de C"},MAX(MIN(AT22,4),IF(BE22="A",1,IF(BE22="B",2,IF(BE22="C",3,4))))))</f>
        <v>Não reciclável (F)</v>
      </c>
      <c r="BG22" s="33" t="str">
        <f t="shared" si="8"/>
        <v>—</v>
      </c>
      <c r="BH22" s="33" t="str">
        <f t="shared" si="9"/>
        <v>Não</v>
      </c>
      <c r="BI22" s="33" t="str">
        <f t="shared" si="10"/>
        <v>Não</v>
      </c>
      <c r="BJ22" s="36">
        <f>IFERROR(INDEX(tbl_materiais[Pct_PCR],MATCH(J22,tbl_materiais[Material],0)),0)</f>
        <v>0</v>
      </c>
      <c r="BK22" s="36">
        <f>IF(V22="",0,IFERROR(INDEX(tbl_tampas[Pct_PCR],MATCH(V22,tbl_tampas[CapId],0)),0))</f>
        <v>0</v>
      </c>
      <c r="BL22" s="40">
        <f t="shared" si="11"/>
        <v>0</v>
      </c>
      <c r="BM22" s="33" t="str">
        <f t="shared" si="12"/>
        <v>Outras embalagens de plástico</v>
      </c>
      <c r="BN22" s="36">
        <f>IFERROR(IF(INDEX(tbl_metas_art7[Meta_2030],MATCH(BM22,tbl_metas_art7[Categoria_Art7],0))="","",INDEX(tbl_metas_art7[Meta_2030],MATCH(BM22,tbl_metas_art7[Categoria_Art7],0))),"")</f>
        <v>0.35</v>
      </c>
      <c r="BO22" s="40">
        <f t="shared" si="13"/>
        <v>0.35</v>
      </c>
      <c r="BP22" s="33" t="str">
        <f t="shared" si="14"/>
        <v>Não</v>
      </c>
      <c r="BQ22" s="33" t="str">
        <f t="shared" si="15"/>
        <v>Monomaterial (mesma família)</v>
      </c>
      <c r="BR22" s="37">
        <v>25163</v>
      </c>
      <c r="BS22" s="39">
        <v>6</v>
      </c>
      <c r="BT22" s="26" t="s">
        <v>652</v>
      </c>
      <c r="BU22" s="32">
        <f t="shared" si="16"/>
        <v>613.97719999999993</v>
      </c>
      <c r="BV22" s="31">
        <f>COUNTIFS(tbl_aplicabilidade[ProductId],B22,tbl_aplicabilidade[Aplicavel],"Sim")</f>
        <v>12</v>
      </c>
      <c r="BW22" s="31">
        <f>COUNTIFS(tbl_aplicabilidade[ProductId],B22,tbl_aplicabilidade[Estado_Resumo],"Lacuna")+COUNTIFS(tbl_aplicabilidade[ProductId],B22,tbl_aplicabilidade[Estado_Resumo],"Não conforme")</f>
        <v>4</v>
      </c>
      <c r="BX22" s="41">
        <v>46287</v>
      </c>
      <c r="BY22" s="42">
        <f t="shared" si="17"/>
        <v>46652</v>
      </c>
      <c r="BZ22" s="26" t="s">
        <v>596</v>
      </c>
      <c r="CA22" s="26" t="s">
        <v>597</v>
      </c>
      <c r="CB22" s="26" t="s">
        <v>598</v>
      </c>
    </row>
    <row r="23" spans="1:80" ht="18" customHeight="1" x14ac:dyDescent="0.3">
      <c r="A23" s="26" t="s">
        <v>653</v>
      </c>
      <c r="B23" s="26" t="s">
        <v>654</v>
      </c>
      <c r="C23" s="26" t="s">
        <v>586</v>
      </c>
      <c r="D23" s="26" t="s">
        <v>587</v>
      </c>
      <c r="E23" s="26" t="s">
        <v>588</v>
      </c>
      <c r="F23" s="26" t="s">
        <v>589</v>
      </c>
      <c r="G23" s="26" t="s">
        <v>655</v>
      </c>
      <c r="H23" s="37">
        <v>350</v>
      </c>
      <c r="I23" s="37">
        <v>121</v>
      </c>
      <c r="J23" s="26" t="s">
        <v>240</v>
      </c>
      <c r="K23" s="33" t="str">
        <f>IFERROR(INDEX(tbl_materiais[Polimero_Base],MATCH(J23,tbl_materiais[Material],0)),"")</f>
        <v>PP</v>
      </c>
      <c r="L23" s="33" t="str">
        <f>IFERROR(INDEX(tbl_materiais[Fluxo_Reciclagem],MATCH(J23,tbl_materiais[Material],0)),"")</f>
        <v>PP rígido</v>
      </c>
      <c r="M23" s="33" t="str">
        <f t="shared" si="0"/>
        <v>PP rígido — frascos, potes e contentores</v>
      </c>
      <c r="N23" s="26" t="s">
        <v>656</v>
      </c>
      <c r="O23" s="26" t="s">
        <v>283</v>
      </c>
      <c r="P23" s="26" t="s">
        <v>657</v>
      </c>
      <c r="Q23" s="29">
        <v>0.02</v>
      </c>
      <c r="R23" s="35">
        <f>IFERROR(ROUND(INDEX(tbl_materiais[Densidade_g_cm3],MATCH(J23,tbl_materiais[Material],0))+Q23*1.2,3),"")</f>
        <v>0.92900000000000005</v>
      </c>
      <c r="S23" s="26" t="s">
        <v>302</v>
      </c>
      <c r="T23" s="34">
        <v>24.4</v>
      </c>
      <c r="U23" s="26" t="s">
        <v>593</v>
      </c>
      <c r="V23" s="26" t="s">
        <v>460</v>
      </c>
      <c r="W23" s="33" t="str">
        <f>IF(V23="","",IFERROR(INDEX(tbl_tampas[Material],MATCH(V23,tbl_tampas[CapId],0)),""))</f>
        <v>PP</v>
      </c>
      <c r="X23" s="33" t="str">
        <f>IF(V23="","Sem tampa",IFERROR(INDEX(tbl_materiais[Polimero_Base],MATCH(W23,tbl_materiais[Material],0)),""))</f>
        <v>PP</v>
      </c>
      <c r="Y23" s="38">
        <f>IF(V23="",0,IFERROR(INDEX(tbl_tampas[Massa_g],MATCH(V23,tbl_tampas[CapId],0)),0))</f>
        <v>13.9</v>
      </c>
      <c r="Z23" s="26" t="s">
        <v>319</v>
      </c>
      <c r="AA23" s="26" t="s">
        <v>326</v>
      </c>
      <c r="AB23" s="26" t="s">
        <v>340</v>
      </c>
      <c r="AC23" s="29">
        <v>0</v>
      </c>
      <c r="AD23" s="27">
        <v>0</v>
      </c>
      <c r="AE23" s="26" t="s">
        <v>594</v>
      </c>
      <c r="AF23" s="26" t="s">
        <v>359</v>
      </c>
      <c r="AG23" s="39">
        <v>1</v>
      </c>
      <c r="AH23" s="33" t="str">
        <f t="shared" si="1"/>
        <v>Hot foil metalizado</v>
      </c>
      <c r="AI23" s="27">
        <v>0.03</v>
      </c>
      <c r="AJ23" s="33" t="str">
        <f>IFERROR(INDEX(tbl_regras_dfr[Classe],MATCH(L23&amp;"|Fluxo de reciclagem|"&amp;L23,tbl_regras_dfr[Chave],0)),"Sem regra")</f>
        <v>A</v>
      </c>
      <c r="AK23" s="33" t="str">
        <f>IF(LEFT(L23,9)="Sem fluxo","—",IFERROR(INDEX(tbl_regras_dfr[Classe],MATCH(L23&amp;"|Cor do corpo|"&amp;O23,tbl_regras_dfr[Chave],0)),"Sem regra"))</f>
        <v>B</v>
      </c>
      <c r="AL23" s="33" t="str">
        <f>IF(LEFT(L23,9)="Sem fluxo","—",IFERROR(INDEX(tbl_regras_dfr[Classe],MATCH(L23&amp;"|Densidade do corpo|"&amp;IF(R23&lt;1,"&lt; 1,0 g/cm³","≥ 1,0 g/cm³"),tbl_regras_dfr[Chave],0)),"Sem regra"))</f>
        <v>A</v>
      </c>
      <c r="AM23" s="33" t="str">
        <f>IF(LEFT(L23,9)="Sem fluxo","—",IFERROR(INDEX(tbl_regras_dfr[Classe],MATCH(L23&amp;"|Barreira / revestimento|"&amp;S23,tbl_regras_dfr[Chave],0)),"Sem regra"))</f>
        <v>A</v>
      </c>
      <c r="AN23" s="33" t="str">
        <f>IF(LEFT(L23,9)="Sem fluxo","—",IFERROR(INDEX(tbl_regras_dfr[Classe],MATCH(L23&amp;"|Material da tampa|"&amp;X23,tbl_regras_dfr[Chave],0)),"Sem regra"))</f>
        <v>A</v>
      </c>
      <c r="AO23" s="33" t="str">
        <f>IF(LEFT(L23,9)="Sem fluxo","—",IFERROR(INDEX(tbl_regras_dfr[Classe],MATCH(L23&amp;"|Vedante / liner|"&amp;Z23,tbl_regras_dfr[Chave],0)),"Sem regra"))</f>
        <v>A</v>
      </c>
      <c r="AP23" s="33" t="str">
        <f>IF(LEFT(L23,9)="Sem fluxo","—",IFERROR(INDEX(tbl_regras_dfr[Classe],MATCH(L23&amp;"|Tipo de rótulo|"&amp;AA23,tbl_regras_dfr[Chave],0)),"Sem regra"))</f>
        <v>A</v>
      </c>
      <c r="AQ23" s="33" t="str">
        <f>IF(LEFT(L23,9)="Sem fluxo","—",IFERROR(INDEX(tbl_regras_dfr[Classe],MATCH(L23&amp;"|Adesivo do rótulo|"&amp;AB23,tbl_regras_dfr[Chave],0)),"Sem regra"))</f>
        <v>A</v>
      </c>
      <c r="AR23" s="33" t="str">
        <f>IF(LEFT(L23,9)="Sem fluxo","—",IFERROR(INDEX(tbl_regras_dfr[Classe],MATCH(L23&amp;"|Cobertura do rótulo|"&amp;IF(AC23&gt;0.7,"&gt; 70% da superfície","≤ 70% da superfície"),tbl_regras_dfr[Chave],0)),"Sem regra"))</f>
        <v>A</v>
      </c>
      <c r="AS23" s="33" t="str">
        <f>IF(LEFT(L23,9)="Sem fluxo","—",IFERROR(INDEX(tbl_regras_dfr[Classe],MATCH(L23&amp;"|Decoração direta|"&amp;AH23,tbl_regras_dfr[Chave],0)),"Sem regra"))</f>
        <v>C</v>
      </c>
      <c r="AT23" s="31">
        <f t="shared" si="2"/>
        <v>3</v>
      </c>
      <c r="AU23" s="33" t="str">
        <f>IF(AT23=0,"",INDEX({"A","B","C","D","E","F"},AT23))</f>
        <v>C</v>
      </c>
      <c r="AV23" s="31">
        <f t="shared" si="3"/>
        <v>0</v>
      </c>
      <c r="AW23" s="33" t="str">
        <f t="shared" si="4"/>
        <v>Decoracao</v>
      </c>
      <c r="AX23" s="33" t="str">
        <f>IF(AU23="A","Sem ação — manter o design.",IFERROR(INDEX(tbl_regras_dfr[Recomendacao],MATCH(CHOOSE(MATCH(AU23,AJ23:AS23,0),L23&amp;"|Fluxo de reciclagem|"&amp;L23,L23&amp;"|Cor do corpo|"&amp;O23,L23&amp;"|Densidade do corpo|"&amp;IF(R23&lt;1,"&lt; 1,0 g/cm³","≥ 1,0 g/cm³"),L23&amp;"|Barreira / revestimento|"&amp;S23,L23&amp;"|Material da tampa|"&amp;X23,L23&amp;"|Vedante / liner|"&amp;Z23,L23&amp;"|Tipo de rótulo|"&amp;AA23,L23&amp;"|Adesivo do rótulo|"&amp;AB23,L23&amp;"|Cobertura do rótulo|"&amp;IF(AC23&gt;0.7,"&gt; 70% da superfície","≤ 70% da superfície"),L23&amp;"|Decoração direta|"&amp;AH23),tbl_regras_dfr[Chave],0)),""))</f>
        <v>Reduzir a área de hot foil ou usar rótulo metalizado destacável.</v>
      </c>
      <c r="AY23" s="38">
        <f t="shared" si="5"/>
        <v>38.33</v>
      </c>
      <c r="AZ23" s="36">
        <f>MIN(IFERROR(INDEX(tbl_regras_dfr[Fracao_Reciclavel],MATCH(L23&amp;"|Fluxo de reciclagem|"&amp;L23,tbl_regras_dfr[Chave],0)),0),IFERROR(INDEX(tbl_regras_dfr[Fracao_Reciclavel],MATCH(L23&amp;"|Cor do corpo|"&amp;O23,tbl_regras_dfr[Chave],0)),0))</f>
        <v>1</v>
      </c>
      <c r="BA23" s="36">
        <f>IFERROR(INDEX(tbl_regras_dfr[Fracao_Reciclavel],MATCH(L23&amp;"|Material da tampa|"&amp;X23,tbl_regras_dfr[Chave],0)),0)</f>
        <v>1</v>
      </c>
      <c r="BB23" s="36">
        <f>IFERROR(INDEX(tbl_regras_dfr[Fracao_Reciclavel],MATCH(L23&amp;"|Tipo de rótulo|"&amp;AA23,tbl_regras_dfr[Chave],0)),0)</f>
        <v>1</v>
      </c>
      <c r="BC23" s="38">
        <f t="shared" si="6"/>
        <v>38.299999999999997</v>
      </c>
      <c r="BD23" s="40">
        <f t="shared" si="7"/>
        <v>0.99921732324549961</v>
      </c>
      <c r="BE23" s="33" t="str">
        <f>IF(BD23&gt;=INDEX(tbl_param_emb[Valor],MATCH("P-06",tbl_param_emb[ID_Parametro],0)),"A",IF(BD23&gt;=INDEX(tbl_param_emb[Valor],MATCH("P-07",tbl_param_emb[ID_Parametro],0)),"B",IF(BD23&gt;=INDEX(tbl_param_emb[Valor],MATCH("P-08",tbl_param_emb[ID_Parametro],0)),"C","&lt; 70%")))</f>
        <v>A</v>
      </c>
      <c r="BF23" s="33" t="str">
        <f>IF(AU23="F","Não reciclável (F)",INDEX({"A","B","C","Abaixo de C"},MAX(MIN(AT23,4),IF(BE23="A",1,IF(BE23="B",2,IF(BE23="C",3,4))))))</f>
        <v>C</v>
      </c>
      <c r="BG23" s="33" t="str">
        <f t="shared" si="8"/>
        <v>—</v>
      </c>
      <c r="BH23" s="33" t="str">
        <f t="shared" si="9"/>
        <v>Sim</v>
      </c>
      <c r="BI23" s="33" t="str">
        <f t="shared" si="10"/>
        <v>Não</v>
      </c>
      <c r="BJ23" s="36">
        <f>IFERROR(INDEX(tbl_materiais[Pct_PCR],MATCH(J23,tbl_materiais[Material],0)),0)</f>
        <v>0</v>
      </c>
      <c r="BK23" s="36">
        <f>IF(V23="",0,IFERROR(INDEX(tbl_tampas[Pct_PCR],MATCH(V23,tbl_tampas[CapId],0)),0))</f>
        <v>0</v>
      </c>
      <c r="BL23" s="40">
        <f t="shared" si="11"/>
        <v>0</v>
      </c>
      <c r="BM23" s="33" t="str">
        <f t="shared" si="12"/>
        <v>Outras embalagens de plástico</v>
      </c>
      <c r="BN23" s="36">
        <f>IFERROR(IF(INDEX(tbl_metas_art7[Meta_2030],MATCH(BM23,tbl_metas_art7[Categoria_Art7],0))="","",INDEX(tbl_metas_art7[Meta_2030],MATCH(BM23,tbl_metas_art7[Categoria_Art7],0))),"")</f>
        <v>0.35</v>
      </c>
      <c r="BO23" s="40">
        <f t="shared" si="13"/>
        <v>0.35</v>
      </c>
      <c r="BP23" s="33" t="str">
        <f t="shared" si="14"/>
        <v>Não</v>
      </c>
      <c r="BQ23" s="33" t="str">
        <f t="shared" si="15"/>
        <v>Monomaterial (mesma família)</v>
      </c>
      <c r="BR23" s="37">
        <v>28721</v>
      </c>
      <c r="BS23" s="39">
        <v>7</v>
      </c>
      <c r="BT23" s="26" t="s">
        <v>658</v>
      </c>
      <c r="BU23" s="32">
        <f t="shared" si="16"/>
        <v>700.79239999999993</v>
      </c>
      <c r="BV23" s="31">
        <f>COUNTIFS(tbl_aplicabilidade[ProductId],B23,tbl_aplicabilidade[Aplicavel],"Sim")</f>
        <v>12</v>
      </c>
      <c r="BW23" s="31">
        <f>COUNTIFS(tbl_aplicabilidade[ProductId],B23,tbl_aplicabilidade[Estado_Resumo],"Lacuna")+COUNTIFS(tbl_aplicabilidade[ProductId],B23,tbl_aplicabilidade[Estado_Resumo],"Não conforme")</f>
        <v>1</v>
      </c>
      <c r="BX23" s="41">
        <v>46287</v>
      </c>
      <c r="BY23" s="42">
        <f t="shared" si="17"/>
        <v>46652</v>
      </c>
      <c r="BZ23" s="26" t="s">
        <v>596</v>
      </c>
      <c r="CA23" s="26" t="s">
        <v>597</v>
      </c>
      <c r="CB23" s="26" t="s">
        <v>598</v>
      </c>
    </row>
    <row r="24" spans="1:80" ht="18" customHeight="1" x14ac:dyDescent="0.3">
      <c r="A24" s="26" t="s">
        <v>659</v>
      </c>
      <c r="B24" s="26" t="s">
        <v>660</v>
      </c>
      <c r="C24" s="26" t="s">
        <v>586</v>
      </c>
      <c r="D24" s="26" t="s">
        <v>587</v>
      </c>
      <c r="E24" s="26" t="s">
        <v>588</v>
      </c>
      <c r="F24" s="26" t="s">
        <v>589</v>
      </c>
      <c r="G24" s="26" t="s">
        <v>655</v>
      </c>
      <c r="H24" s="37">
        <v>350</v>
      </c>
      <c r="I24" s="37">
        <v>121</v>
      </c>
      <c r="J24" s="26" t="s">
        <v>240</v>
      </c>
      <c r="K24" s="33" t="str">
        <f>IFERROR(INDEX(tbl_materiais[Polimero_Base],MATCH(J24,tbl_materiais[Material],0)),"")</f>
        <v>PP</v>
      </c>
      <c r="L24" s="33" t="str">
        <f>IFERROR(INDEX(tbl_materiais[Fluxo_Reciclagem],MATCH(J24,tbl_materiais[Material],0)),"")</f>
        <v>PP rígido</v>
      </c>
      <c r="M24" s="33" t="str">
        <f t="shared" si="0"/>
        <v>PP rígido — frascos, potes e contentores</v>
      </c>
      <c r="N24" s="26" t="s">
        <v>637</v>
      </c>
      <c r="O24" s="26" t="s">
        <v>281</v>
      </c>
      <c r="P24" s="26" t="s">
        <v>638</v>
      </c>
      <c r="Q24" s="29">
        <v>2.5000000000000001E-2</v>
      </c>
      <c r="R24" s="35">
        <f>IFERROR(ROUND(INDEX(tbl_materiais[Densidade_g_cm3],MATCH(J24,tbl_materiais[Material],0))+Q24*1.2,3),"")</f>
        <v>0.93500000000000005</v>
      </c>
      <c r="S24" s="26" t="s">
        <v>302</v>
      </c>
      <c r="T24" s="34">
        <v>24.4</v>
      </c>
      <c r="U24" s="26" t="s">
        <v>593</v>
      </c>
      <c r="V24" s="26" t="s">
        <v>427</v>
      </c>
      <c r="W24" s="33" t="str">
        <f>IF(V24="","",IFERROR(INDEX(tbl_tampas[Material],MATCH(V24,tbl_tampas[CapId],0)),""))</f>
        <v>PP</v>
      </c>
      <c r="X24" s="33" t="str">
        <f>IF(V24="","Sem tampa",IFERROR(INDEX(tbl_materiais[Polimero_Base],MATCH(W24,tbl_materiais[Material],0)),""))</f>
        <v>PP</v>
      </c>
      <c r="Y24" s="38">
        <f>IF(V24="",0,IFERROR(INDEX(tbl_tampas[Massa_g],MATCH(V24,tbl_tampas[CapId],0)),0))</f>
        <v>10.3</v>
      </c>
      <c r="Z24" s="26" t="s">
        <v>319</v>
      </c>
      <c r="AA24" s="26" t="s">
        <v>326</v>
      </c>
      <c r="AB24" s="26" t="s">
        <v>340</v>
      </c>
      <c r="AC24" s="29">
        <v>0</v>
      </c>
      <c r="AD24" s="27">
        <v>0</v>
      </c>
      <c r="AE24" s="26" t="s">
        <v>594</v>
      </c>
      <c r="AF24" s="26" t="s">
        <v>595</v>
      </c>
      <c r="AG24" s="39">
        <v>1</v>
      </c>
      <c r="AH24" s="33" t="str">
        <f t="shared" si="1"/>
        <v>Serigrafia 1–2 cores</v>
      </c>
      <c r="AI24" s="27">
        <v>0.08</v>
      </c>
      <c r="AJ24" s="33" t="str">
        <f>IFERROR(INDEX(tbl_regras_dfr[Classe],MATCH(L24&amp;"|Fluxo de reciclagem|"&amp;L24,tbl_regras_dfr[Chave],0)),"Sem regra")</f>
        <v>A</v>
      </c>
      <c r="AK24" s="33" t="str">
        <f>IF(LEFT(L24,9)="Sem fluxo","—",IFERROR(INDEX(tbl_regras_dfr[Classe],MATCH(L24&amp;"|Cor do corpo|"&amp;O24,tbl_regras_dfr[Chave],0)),"Sem regra"))</f>
        <v>A</v>
      </c>
      <c r="AL24" s="33" t="str">
        <f>IF(LEFT(L24,9)="Sem fluxo","—",IFERROR(INDEX(tbl_regras_dfr[Classe],MATCH(L24&amp;"|Densidade do corpo|"&amp;IF(R24&lt;1,"&lt; 1,0 g/cm³","≥ 1,0 g/cm³"),tbl_regras_dfr[Chave],0)),"Sem regra"))</f>
        <v>A</v>
      </c>
      <c r="AM24" s="33" t="str">
        <f>IF(LEFT(L24,9)="Sem fluxo","—",IFERROR(INDEX(tbl_regras_dfr[Classe],MATCH(L24&amp;"|Barreira / revestimento|"&amp;S24,tbl_regras_dfr[Chave],0)),"Sem regra"))</f>
        <v>A</v>
      </c>
      <c r="AN24" s="33" t="str">
        <f>IF(LEFT(L24,9)="Sem fluxo","—",IFERROR(INDEX(tbl_regras_dfr[Classe],MATCH(L24&amp;"|Material da tampa|"&amp;X24,tbl_regras_dfr[Chave],0)),"Sem regra"))</f>
        <v>A</v>
      </c>
      <c r="AO24" s="33" t="str">
        <f>IF(LEFT(L24,9)="Sem fluxo","—",IFERROR(INDEX(tbl_regras_dfr[Classe],MATCH(L24&amp;"|Vedante / liner|"&amp;Z24,tbl_regras_dfr[Chave],0)),"Sem regra"))</f>
        <v>A</v>
      </c>
      <c r="AP24" s="33" t="str">
        <f>IF(LEFT(L24,9)="Sem fluxo","—",IFERROR(INDEX(tbl_regras_dfr[Classe],MATCH(L24&amp;"|Tipo de rótulo|"&amp;AA24,tbl_regras_dfr[Chave],0)),"Sem regra"))</f>
        <v>A</v>
      </c>
      <c r="AQ24" s="33" t="str">
        <f>IF(LEFT(L24,9)="Sem fluxo","—",IFERROR(INDEX(tbl_regras_dfr[Classe],MATCH(L24&amp;"|Adesivo do rótulo|"&amp;AB24,tbl_regras_dfr[Chave],0)),"Sem regra"))</f>
        <v>A</v>
      </c>
      <c r="AR24" s="33" t="str">
        <f>IF(LEFT(L24,9)="Sem fluxo","—",IFERROR(INDEX(tbl_regras_dfr[Classe],MATCH(L24&amp;"|Cobertura do rótulo|"&amp;IF(AC24&gt;0.7,"&gt; 70% da superfície","≤ 70% da superfície"),tbl_regras_dfr[Chave],0)),"Sem regra"))</f>
        <v>A</v>
      </c>
      <c r="AS24" s="33" t="str">
        <f>IF(LEFT(L24,9)="Sem fluxo","—",IFERROR(INDEX(tbl_regras_dfr[Classe],MATCH(L24&amp;"|Decoração direta|"&amp;AH24,tbl_regras_dfr[Chave],0)),"Sem regra"))</f>
        <v>B</v>
      </c>
      <c r="AT24" s="31">
        <f t="shared" si="2"/>
        <v>2</v>
      </c>
      <c r="AU24" s="33" t="str">
        <f>IF(AT24=0,"",INDEX({"A","B","C","D","E","F"},AT24))</f>
        <v>B</v>
      </c>
      <c r="AV24" s="31">
        <f t="shared" si="3"/>
        <v>0</v>
      </c>
      <c r="AW24" s="33" t="str">
        <f t="shared" si="4"/>
        <v>Decoracao</v>
      </c>
      <c r="AX24" s="33" t="str">
        <f>IF(AU24="A","Sem ação — manter o design.",IFERROR(INDEX(tbl_regras_dfr[Recomendacao],MATCH(CHOOSE(MATCH(AU24,AJ24:AS24,0),L24&amp;"|Fluxo de reciclagem|"&amp;L24,L24&amp;"|Cor do corpo|"&amp;O24,L24&amp;"|Densidade do corpo|"&amp;IF(R24&lt;1,"&lt; 1,0 g/cm³","≥ 1,0 g/cm³"),L24&amp;"|Barreira / revestimento|"&amp;S24,L24&amp;"|Material da tampa|"&amp;X24,L24&amp;"|Vedante / liner|"&amp;Z24,L24&amp;"|Tipo de rótulo|"&amp;AA24,L24&amp;"|Adesivo do rótulo|"&amp;AB24,L24&amp;"|Cobertura do rótulo|"&amp;IF(AC24&gt;0.7,"&gt; 70% da superfície","≤ 70% da superfície"),L24&amp;"|Decoração direta|"&amp;AH24),tbl_regras_dfr[Chave],0)),""))</f>
        <v>Tintas sem metais pesados e que não sangrem; reduzir área impressa.</v>
      </c>
      <c r="AY24" s="38">
        <f t="shared" si="5"/>
        <v>34.78</v>
      </c>
      <c r="AZ24" s="36">
        <f>MIN(IFERROR(INDEX(tbl_regras_dfr[Fracao_Reciclavel],MATCH(L24&amp;"|Fluxo de reciclagem|"&amp;L24,tbl_regras_dfr[Chave],0)),0),IFERROR(INDEX(tbl_regras_dfr[Fracao_Reciclavel],MATCH(L24&amp;"|Cor do corpo|"&amp;O24,tbl_regras_dfr[Chave],0)),0))</f>
        <v>1</v>
      </c>
      <c r="BA24" s="36">
        <f>IFERROR(INDEX(tbl_regras_dfr[Fracao_Reciclavel],MATCH(L24&amp;"|Material da tampa|"&amp;X24,tbl_regras_dfr[Chave],0)),0)</f>
        <v>1</v>
      </c>
      <c r="BB24" s="36">
        <f>IFERROR(INDEX(tbl_regras_dfr[Fracao_Reciclavel],MATCH(L24&amp;"|Tipo de rótulo|"&amp;AA24,tbl_regras_dfr[Chave],0)),0)</f>
        <v>1</v>
      </c>
      <c r="BC24" s="38">
        <f t="shared" si="6"/>
        <v>34.700000000000003</v>
      </c>
      <c r="BD24" s="40">
        <f t="shared" si="7"/>
        <v>0.99769982748706154</v>
      </c>
      <c r="BE24" s="33" t="str">
        <f>IF(BD24&gt;=INDEX(tbl_param_emb[Valor],MATCH("P-06",tbl_param_emb[ID_Parametro],0)),"A",IF(BD24&gt;=INDEX(tbl_param_emb[Valor],MATCH("P-07",tbl_param_emb[ID_Parametro],0)),"B",IF(BD24&gt;=INDEX(tbl_param_emb[Valor],MATCH("P-08",tbl_param_emb[ID_Parametro],0)),"C","&lt; 70%")))</f>
        <v>A</v>
      </c>
      <c r="BF24" s="33" t="str">
        <f>IF(AU24="F","Não reciclável (F)",INDEX({"A","B","C","Abaixo de C"},MAX(MIN(AT24,4),IF(BE24="A",1,IF(BE24="B",2,IF(BE24="C",3,4))))))</f>
        <v>B</v>
      </c>
      <c r="BG24" s="33" t="str">
        <f t="shared" si="8"/>
        <v>—</v>
      </c>
      <c r="BH24" s="33" t="str">
        <f t="shared" si="9"/>
        <v>Sim</v>
      </c>
      <c r="BI24" s="33" t="str">
        <f t="shared" si="10"/>
        <v>Sim</v>
      </c>
      <c r="BJ24" s="36">
        <f>IFERROR(INDEX(tbl_materiais[Pct_PCR],MATCH(J24,tbl_materiais[Material],0)),0)</f>
        <v>0</v>
      </c>
      <c r="BK24" s="36">
        <f>IF(V24="",0,IFERROR(INDEX(tbl_tampas[Pct_PCR],MATCH(V24,tbl_tampas[CapId],0)),0))</f>
        <v>0</v>
      </c>
      <c r="BL24" s="40">
        <f t="shared" si="11"/>
        <v>0</v>
      </c>
      <c r="BM24" s="33" t="str">
        <f t="shared" si="12"/>
        <v>Outras embalagens de plástico</v>
      </c>
      <c r="BN24" s="36">
        <f>IFERROR(IF(INDEX(tbl_metas_art7[Meta_2030],MATCH(BM24,tbl_metas_art7[Categoria_Art7],0))="","",INDEX(tbl_metas_art7[Meta_2030],MATCH(BM24,tbl_metas_art7[Categoria_Art7],0))),"")</f>
        <v>0.35</v>
      </c>
      <c r="BO24" s="40">
        <f t="shared" si="13"/>
        <v>0.35</v>
      </c>
      <c r="BP24" s="33" t="str">
        <f t="shared" si="14"/>
        <v>Não</v>
      </c>
      <c r="BQ24" s="33" t="str">
        <f t="shared" si="15"/>
        <v>Monomaterial (mesma família)</v>
      </c>
      <c r="BR24" s="37">
        <v>82357</v>
      </c>
      <c r="BS24" s="39">
        <v>8</v>
      </c>
      <c r="BT24" s="26" t="s">
        <v>454</v>
      </c>
      <c r="BU24" s="32">
        <f t="shared" si="16"/>
        <v>2009.5107999999998</v>
      </c>
      <c r="BV24" s="31">
        <f>COUNTIFS(tbl_aplicabilidade[ProductId],B24,tbl_aplicabilidade[Aplicavel],"Sim")</f>
        <v>12</v>
      </c>
      <c r="BW24" s="31">
        <f>COUNTIFS(tbl_aplicabilidade[ProductId],B24,tbl_aplicabilidade[Estado_Resumo],"Lacuna")+COUNTIFS(tbl_aplicabilidade[ProductId],B24,tbl_aplicabilidade[Estado_Resumo],"Não conforme")</f>
        <v>1</v>
      </c>
      <c r="BX24" s="41">
        <v>46287</v>
      </c>
      <c r="BY24" s="42">
        <f t="shared" si="17"/>
        <v>46652</v>
      </c>
      <c r="BZ24" s="26" t="s">
        <v>596</v>
      </c>
      <c r="CA24" s="26" t="s">
        <v>597</v>
      </c>
      <c r="CB24" s="26" t="s">
        <v>598</v>
      </c>
    </row>
    <row r="25" spans="1:80" ht="18" customHeight="1" x14ac:dyDescent="0.3">
      <c r="A25" s="26" t="s">
        <v>661</v>
      </c>
      <c r="B25" s="26" t="s">
        <v>662</v>
      </c>
      <c r="C25" s="26" t="s">
        <v>586</v>
      </c>
      <c r="D25" s="26" t="s">
        <v>587</v>
      </c>
      <c r="E25" s="26" t="s">
        <v>588</v>
      </c>
      <c r="F25" s="26" t="s">
        <v>589</v>
      </c>
      <c r="G25" s="26" t="s">
        <v>663</v>
      </c>
      <c r="H25" s="37">
        <v>350</v>
      </c>
      <c r="I25" s="37">
        <v>121</v>
      </c>
      <c r="J25" s="26" t="s">
        <v>244</v>
      </c>
      <c r="K25" s="33" t="str">
        <f>IFERROR(INDEX(tbl_materiais[Polimero_Base],MATCH(J25,tbl_materiais[Material],0)),"")</f>
        <v>PP</v>
      </c>
      <c r="L25" s="33" t="str">
        <f>IFERROR(INDEX(tbl_materiais[Fluxo_Reciclagem],MATCH(J25,tbl_materiais[Material],0)),"")</f>
        <v>PP rígido</v>
      </c>
      <c r="M25" s="33" t="str">
        <f t="shared" si="0"/>
        <v>PP rígido — frascos, potes e contentores</v>
      </c>
      <c r="N25" s="26" t="s">
        <v>622</v>
      </c>
      <c r="O25" s="26" t="s">
        <v>283</v>
      </c>
      <c r="P25" s="26" t="s">
        <v>623</v>
      </c>
      <c r="Q25" s="29">
        <v>1.4999999999999999E-2</v>
      </c>
      <c r="R25" s="35">
        <f>IFERROR(ROUND(INDEX(tbl_materiais[Densidade_g_cm3],MATCH(J25,tbl_materiais[Material],0))+Q25*1.2,3),"")</f>
        <v>0.92800000000000005</v>
      </c>
      <c r="S25" s="26" t="s">
        <v>302</v>
      </c>
      <c r="T25" s="34">
        <v>24.4</v>
      </c>
      <c r="U25" s="26" t="s">
        <v>593</v>
      </c>
      <c r="V25" s="26" t="s">
        <v>463</v>
      </c>
      <c r="W25" s="33" t="str">
        <f>IF(V25="","",IFERROR(INDEX(tbl_tampas[Material],MATCH(V25,tbl_tampas[CapId],0)),""))</f>
        <v>PP-PCR</v>
      </c>
      <c r="X25" s="33" t="str">
        <f>IF(V25="","Sem tampa",IFERROR(INDEX(tbl_materiais[Polimero_Base],MATCH(W25,tbl_materiais[Material],0)),""))</f>
        <v>PP</v>
      </c>
      <c r="Y25" s="38">
        <f>IF(V25="",0,IFERROR(INDEX(tbl_tampas[Massa_g],MATCH(V25,tbl_tampas[CapId],0)),0))</f>
        <v>13.9</v>
      </c>
      <c r="Z25" s="26" t="s">
        <v>319</v>
      </c>
      <c r="AA25" s="26" t="s">
        <v>327</v>
      </c>
      <c r="AB25" s="26" t="s">
        <v>342</v>
      </c>
      <c r="AC25" s="29">
        <v>0.4</v>
      </c>
      <c r="AD25" s="27">
        <v>0.51</v>
      </c>
      <c r="AE25" s="26" t="s">
        <v>604</v>
      </c>
      <c r="AF25" s="26" t="s">
        <v>302</v>
      </c>
      <c r="AG25" s="39">
        <v>0</v>
      </c>
      <c r="AH25" s="33" t="str">
        <f t="shared" si="1"/>
        <v>Nenhuma</v>
      </c>
      <c r="AI25" s="27">
        <v>0</v>
      </c>
      <c r="AJ25" s="33" t="str">
        <f>IFERROR(INDEX(tbl_regras_dfr[Classe],MATCH(L25&amp;"|Fluxo de reciclagem|"&amp;L25,tbl_regras_dfr[Chave],0)),"Sem regra")</f>
        <v>A</v>
      </c>
      <c r="AK25" s="33" t="str">
        <f>IF(LEFT(L25,9)="Sem fluxo","—",IFERROR(INDEX(tbl_regras_dfr[Classe],MATCH(L25&amp;"|Cor do corpo|"&amp;O25,tbl_regras_dfr[Chave],0)),"Sem regra"))</f>
        <v>B</v>
      </c>
      <c r="AL25" s="33" t="str">
        <f>IF(LEFT(L25,9)="Sem fluxo","—",IFERROR(INDEX(tbl_regras_dfr[Classe],MATCH(L25&amp;"|Densidade do corpo|"&amp;IF(R25&lt;1,"&lt; 1,0 g/cm³","≥ 1,0 g/cm³"),tbl_regras_dfr[Chave],0)),"Sem regra"))</f>
        <v>A</v>
      </c>
      <c r="AM25" s="33" t="str">
        <f>IF(LEFT(L25,9)="Sem fluxo","—",IFERROR(INDEX(tbl_regras_dfr[Classe],MATCH(L25&amp;"|Barreira / revestimento|"&amp;S25,tbl_regras_dfr[Chave],0)),"Sem regra"))</f>
        <v>A</v>
      </c>
      <c r="AN25" s="33" t="str">
        <f>IF(LEFT(L25,9)="Sem fluxo","—",IFERROR(INDEX(tbl_regras_dfr[Classe],MATCH(L25&amp;"|Material da tampa|"&amp;X25,tbl_regras_dfr[Chave],0)),"Sem regra"))</f>
        <v>A</v>
      </c>
      <c r="AO25" s="33" t="str">
        <f>IF(LEFT(L25,9)="Sem fluxo","—",IFERROR(INDEX(tbl_regras_dfr[Classe],MATCH(L25&amp;"|Vedante / liner|"&amp;Z25,tbl_regras_dfr[Chave],0)),"Sem regra"))</f>
        <v>A</v>
      </c>
      <c r="AP25" s="33" t="str">
        <f>IF(LEFT(L25,9)="Sem fluxo","—",IFERROR(INDEX(tbl_regras_dfr[Classe],MATCH(L25&amp;"|Tipo de rótulo|"&amp;AA25,tbl_regras_dfr[Chave],0)),"Sem regra"))</f>
        <v>A</v>
      </c>
      <c r="AQ25" s="33" t="str">
        <f>IF(LEFT(L25,9)="Sem fluxo","—",IFERROR(INDEX(tbl_regras_dfr[Classe],MATCH(L25&amp;"|Adesivo do rótulo|"&amp;AB25,tbl_regras_dfr[Chave],0)),"Sem regra"))</f>
        <v>A</v>
      </c>
      <c r="AR25" s="33" t="str">
        <f>IF(LEFT(L25,9)="Sem fluxo","—",IFERROR(INDEX(tbl_regras_dfr[Classe],MATCH(L25&amp;"|Cobertura do rótulo|"&amp;IF(AC25&gt;0.7,"&gt; 70% da superfície","≤ 70% da superfície"),tbl_regras_dfr[Chave],0)),"Sem regra"))</f>
        <v>A</v>
      </c>
      <c r="AS25" s="33" t="str">
        <f>IF(LEFT(L25,9)="Sem fluxo","—",IFERROR(INDEX(tbl_regras_dfr[Classe],MATCH(L25&amp;"|Decoração direta|"&amp;AH25,tbl_regras_dfr[Chave],0)),"Sem regra"))</f>
        <v>A</v>
      </c>
      <c r="AT25" s="31">
        <f t="shared" si="2"/>
        <v>2</v>
      </c>
      <c r="AU25" s="33" t="str">
        <f>IF(AT25=0,"",INDEX({"A","B","C","D","E","F"},AT25))</f>
        <v>B</v>
      </c>
      <c r="AV25" s="31">
        <f t="shared" si="3"/>
        <v>0</v>
      </c>
      <c r="AW25" s="33" t="str">
        <f t="shared" si="4"/>
        <v>Cor</v>
      </c>
      <c r="AX25" s="33" t="str">
        <f>IF(AU25="A","Sem ação — manter o design.",IFERROR(INDEX(tbl_regras_dfr[Recomendacao],MATCH(CHOOSE(MATCH(AU25,AJ25:AS25,0),L25&amp;"|Fluxo de reciclagem|"&amp;L25,L25&amp;"|Cor do corpo|"&amp;O25,L25&amp;"|Densidade do corpo|"&amp;IF(R25&lt;1,"&lt; 1,0 g/cm³","≥ 1,0 g/cm³"),L25&amp;"|Barreira / revestimento|"&amp;S25,L25&amp;"|Material da tampa|"&amp;X25,L25&amp;"|Vedante / liner|"&amp;Z25,L25&amp;"|Tipo de rótulo|"&amp;AA25,L25&amp;"|Adesivo do rótulo|"&amp;AB25,L25&amp;"|Cobertura do rótulo|"&amp;IF(AC25&gt;0.7,"&gt; 70% da superfície","≤ 70% da superfície"),L25&amp;"|Decoração direta|"&amp;AH25),tbl_regras_dfr[Chave],0)),""))</f>
        <v>Preferir natural, branco ou cores claras.</v>
      </c>
      <c r="AY25" s="38">
        <f t="shared" si="5"/>
        <v>38.809999999999995</v>
      </c>
      <c r="AZ25" s="36">
        <f>MIN(IFERROR(INDEX(tbl_regras_dfr[Fracao_Reciclavel],MATCH(L25&amp;"|Fluxo de reciclagem|"&amp;L25,tbl_regras_dfr[Chave],0)),0),IFERROR(INDEX(tbl_regras_dfr[Fracao_Reciclavel],MATCH(L25&amp;"|Cor do corpo|"&amp;O25,tbl_regras_dfr[Chave],0)),0))</f>
        <v>1</v>
      </c>
      <c r="BA25" s="36">
        <f>IFERROR(INDEX(tbl_regras_dfr[Fracao_Reciclavel],MATCH(L25&amp;"|Material da tampa|"&amp;X25,tbl_regras_dfr[Chave],0)),0)</f>
        <v>1</v>
      </c>
      <c r="BB25" s="36">
        <f>IFERROR(INDEX(tbl_regras_dfr[Fracao_Reciclavel],MATCH(L25&amp;"|Tipo de rótulo|"&amp;AA25,tbl_regras_dfr[Chave],0)),0)</f>
        <v>1</v>
      </c>
      <c r="BC25" s="38">
        <f t="shared" si="6"/>
        <v>38.809999999999995</v>
      </c>
      <c r="BD25" s="40">
        <f t="shared" si="7"/>
        <v>1</v>
      </c>
      <c r="BE25" s="33" t="str">
        <f>IF(BD25&gt;=INDEX(tbl_param_emb[Valor],MATCH("P-06",tbl_param_emb[ID_Parametro],0)),"A",IF(BD25&gt;=INDEX(tbl_param_emb[Valor],MATCH("P-07",tbl_param_emb[ID_Parametro],0)),"B",IF(BD25&gt;=INDEX(tbl_param_emb[Valor],MATCH("P-08",tbl_param_emb[ID_Parametro],0)),"C","&lt; 70%")))</f>
        <v>A</v>
      </c>
      <c r="BF25" s="33" t="str">
        <f>IF(AU25="F","Não reciclável (F)",INDEX({"A","B","C","Abaixo de C"},MAX(MIN(AT25,4),IF(BE25="A",1,IF(BE25="B",2,IF(BE25="C",3,4))))))</f>
        <v>B</v>
      </c>
      <c r="BG25" s="33" t="str">
        <f t="shared" si="8"/>
        <v>—</v>
      </c>
      <c r="BH25" s="33" t="str">
        <f t="shared" si="9"/>
        <v>Sim</v>
      </c>
      <c r="BI25" s="33" t="str">
        <f t="shared" si="10"/>
        <v>Sim</v>
      </c>
      <c r="BJ25" s="36">
        <f>IFERROR(INDEX(tbl_materiais[Pct_PCR],MATCH(J25,tbl_materiais[Material],0)),0)</f>
        <v>0.3</v>
      </c>
      <c r="BK25" s="36">
        <f>IF(V25="",0,IFERROR(INDEX(tbl_tampas[Pct_PCR],MATCH(V25,tbl_tampas[CapId],0)),0))</f>
        <v>0.3</v>
      </c>
      <c r="BL25" s="40">
        <f t="shared" si="11"/>
        <v>0.3</v>
      </c>
      <c r="BM25" s="33" t="str">
        <f t="shared" si="12"/>
        <v>Outras embalagens de plástico</v>
      </c>
      <c r="BN25" s="36">
        <f>IFERROR(IF(INDEX(tbl_metas_art7[Meta_2030],MATCH(BM25,tbl_metas_art7[Categoria_Art7],0))="","",INDEX(tbl_metas_art7[Meta_2030],MATCH(BM25,tbl_metas_art7[Categoria_Art7],0))),"")</f>
        <v>0.35</v>
      </c>
      <c r="BO25" s="40">
        <f t="shared" si="13"/>
        <v>4.9999999999999989E-2</v>
      </c>
      <c r="BP25" s="33" t="str">
        <f t="shared" si="14"/>
        <v>Não</v>
      </c>
      <c r="BQ25" s="33" t="str">
        <f t="shared" si="15"/>
        <v>Monomaterial (mesma família)</v>
      </c>
      <c r="BR25" s="37">
        <v>65549</v>
      </c>
      <c r="BS25" s="39">
        <v>8</v>
      </c>
      <c r="BT25" s="26" t="s">
        <v>664</v>
      </c>
      <c r="BU25" s="32">
        <f t="shared" si="16"/>
        <v>1599.3955999999998</v>
      </c>
      <c r="BV25" s="31">
        <f>COUNTIFS(tbl_aplicabilidade[ProductId],B25,tbl_aplicabilidade[Aplicavel],"Sim")</f>
        <v>12</v>
      </c>
      <c r="BW25" s="31">
        <f>COUNTIFS(tbl_aplicabilidade[ProductId],B25,tbl_aplicabilidade[Estado_Resumo],"Lacuna")+COUNTIFS(tbl_aplicabilidade[ProductId],B25,tbl_aplicabilidade[Estado_Resumo],"Não conforme")</f>
        <v>1</v>
      </c>
      <c r="BX25" s="41">
        <v>46287</v>
      </c>
      <c r="BY25" s="42">
        <f t="shared" si="17"/>
        <v>46652</v>
      </c>
      <c r="BZ25" s="26" t="s">
        <v>596</v>
      </c>
      <c r="CA25" s="26" t="s">
        <v>597</v>
      </c>
      <c r="CB25" s="26" t="s">
        <v>598</v>
      </c>
    </row>
    <row r="26" spans="1:80" ht="18" customHeight="1" x14ac:dyDescent="0.3">
      <c r="A26" s="26" t="s">
        <v>665</v>
      </c>
      <c r="B26" s="26" t="s">
        <v>666</v>
      </c>
      <c r="C26" s="26" t="s">
        <v>586</v>
      </c>
      <c r="D26" s="26" t="s">
        <v>587</v>
      </c>
      <c r="E26" s="26" t="s">
        <v>588</v>
      </c>
      <c r="F26" s="26" t="s">
        <v>589</v>
      </c>
      <c r="G26" s="26" t="s">
        <v>663</v>
      </c>
      <c r="H26" s="37">
        <v>350</v>
      </c>
      <c r="I26" s="37">
        <v>121</v>
      </c>
      <c r="J26" s="26" t="s">
        <v>244</v>
      </c>
      <c r="K26" s="33" t="str">
        <f>IFERROR(INDEX(tbl_materiais[Polimero_Base],MATCH(J26,tbl_materiais[Material],0)),"")</f>
        <v>PP</v>
      </c>
      <c r="L26" s="33" t="str">
        <f>IFERROR(INDEX(tbl_materiais[Fluxo_Reciclagem],MATCH(J26,tbl_materiais[Material],0)),"")</f>
        <v>PP rígido</v>
      </c>
      <c r="M26" s="33" t="str">
        <f t="shared" si="0"/>
        <v>PP rígido — frascos, potes e contentores</v>
      </c>
      <c r="N26" s="26" t="s">
        <v>656</v>
      </c>
      <c r="O26" s="26" t="s">
        <v>283</v>
      </c>
      <c r="P26" s="26" t="s">
        <v>657</v>
      </c>
      <c r="Q26" s="29">
        <v>0.02</v>
      </c>
      <c r="R26" s="35">
        <f>IFERROR(ROUND(INDEX(tbl_materiais[Densidade_g_cm3],MATCH(J26,tbl_materiais[Material],0))+Q26*1.2,3),"")</f>
        <v>0.93400000000000005</v>
      </c>
      <c r="S26" s="26" t="s">
        <v>302</v>
      </c>
      <c r="T26" s="34">
        <v>24.4</v>
      </c>
      <c r="U26" s="26" t="s">
        <v>593</v>
      </c>
      <c r="V26" s="26" t="s">
        <v>430</v>
      </c>
      <c r="W26" s="33" t="str">
        <f>IF(V26="","",IFERROR(INDEX(tbl_tampas[Material],MATCH(V26,tbl_tampas[CapId],0)),""))</f>
        <v>PP-PCR</v>
      </c>
      <c r="X26" s="33" t="str">
        <f>IF(V26="","Sem tampa",IFERROR(INDEX(tbl_materiais[Polimero_Base],MATCH(W26,tbl_materiais[Material],0)),""))</f>
        <v>PP</v>
      </c>
      <c r="Y26" s="38">
        <f>IF(V26="",0,IFERROR(INDEX(tbl_tampas[Massa_g],MATCH(V26,tbl_tampas[CapId],0)),0))</f>
        <v>10.3</v>
      </c>
      <c r="Z26" s="26" t="s">
        <v>319</v>
      </c>
      <c r="AA26" s="26" t="s">
        <v>327</v>
      </c>
      <c r="AB26" s="26" t="s">
        <v>342</v>
      </c>
      <c r="AC26" s="29">
        <v>0.4</v>
      </c>
      <c r="AD26" s="27">
        <v>0.51</v>
      </c>
      <c r="AE26" s="26" t="s">
        <v>604</v>
      </c>
      <c r="AF26" s="26" t="s">
        <v>302</v>
      </c>
      <c r="AG26" s="39">
        <v>0</v>
      </c>
      <c r="AH26" s="33" t="str">
        <f t="shared" si="1"/>
        <v>Nenhuma</v>
      </c>
      <c r="AI26" s="27">
        <v>0</v>
      </c>
      <c r="AJ26" s="33" t="str">
        <f>IFERROR(INDEX(tbl_regras_dfr[Classe],MATCH(L26&amp;"|Fluxo de reciclagem|"&amp;L26,tbl_regras_dfr[Chave],0)),"Sem regra")</f>
        <v>A</v>
      </c>
      <c r="AK26" s="33" t="str">
        <f>IF(LEFT(L26,9)="Sem fluxo","—",IFERROR(INDEX(tbl_regras_dfr[Classe],MATCH(L26&amp;"|Cor do corpo|"&amp;O26,tbl_regras_dfr[Chave],0)),"Sem regra"))</f>
        <v>B</v>
      </c>
      <c r="AL26" s="33" t="str">
        <f>IF(LEFT(L26,9)="Sem fluxo","—",IFERROR(INDEX(tbl_regras_dfr[Classe],MATCH(L26&amp;"|Densidade do corpo|"&amp;IF(R26&lt;1,"&lt; 1,0 g/cm³","≥ 1,0 g/cm³"),tbl_regras_dfr[Chave],0)),"Sem regra"))</f>
        <v>A</v>
      </c>
      <c r="AM26" s="33" t="str">
        <f>IF(LEFT(L26,9)="Sem fluxo","—",IFERROR(INDEX(tbl_regras_dfr[Classe],MATCH(L26&amp;"|Barreira / revestimento|"&amp;S26,tbl_regras_dfr[Chave],0)),"Sem regra"))</f>
        <v>A</v>
      </c>
      <c r="AN26" s="33" t="str">
        <f>IF(LEFT(L26,9)="Sem fluxo","—",IFERROR(INDEX(tbl_regras_dfr[Classe],MATCH(L26&amp;"|Material da tampa|"&amp;X26,tbl_regras_dfr[Chave],0)),"Sem regra"))</f>
        <v>A</v>
      </c>
      <c r="AO26" s="33" t="str">
        <f>IF(LEFT(L26,9)="Sem fluxo","—",IFERROR(INDEX(tbl_regras_dfr[Classe],MATCH(L26&amp;"|Vedante / liner|"&amp;Z26,tbl_regras_dfr[Chave],0)),"Sem regra"))</f>
        <v>A</v>
      </c>
      <c r="AP26" s="33" t="str">
        <f>IF(LEFT(L26,9)="Sem fluxo","—",IFERROR(INDEX(tbl_regras_dfr[Classe],MATCH(L26&amp;"|Tipo de rótulo|"&amp;AA26,tbl_regras_dfr[Chave],0)),"Sem regra"))</f>
        <v>A</v>
      </c>
      <c r="AQ26" s="33" t="str">
        <f>IF(LEFT(L26,9)="Sem fluxo","—",IFERROR(INDEX(tbl_regras_dfr[Classe],MATCH(L26&amp;"|Adesivo do rótulo|"&amp;AB26,tbl_regras_dfr[Chave],0)),"Sem regra"))</f>
        <v>A</v>
      </c>
      <c r="AR26" s="33" t="str">
        <f>IF(LEFT(L26,9)="Sem fluxo","—",IFERROR(INDEX(tbl_regras_dfr[Classe],MATCH(L26&amp;"|Cobertura do rótulo|"&amp;IF(AC26&gt;0.7,"&gt; 70% da superfície","≤ 70% da superfície"),tbl_regras_dfr[Chave],0)),"Sem regra"))</f>
        <v>A</v>
      </c>
      <c r="AS26" s="33" t="str">
        <f>IF(LEFT(L26,9)="Sem fluxo","—",IFERROR(INDEX(tbl_regras_dfr[Classe],MATCH(L26&amp;"|Decoração direta|"&amp;AH26,tbl_regras_dfr[Chave],0)),"Sem regra"))</f>
        <v>A</v>
      </c>
      <c r="AT26" s="31">
        <f t="shared" si="2"/>
        <v>2</v>
      </c>
      <c r="AU26" s="33" t="str">
        <f>IF(AT26=0,"",INDEX({"A","B","C","D","E","F"},AT26))</f>
        <v>B</v>
      </c>
      <c r="AV26" s="31">
        <f t="shared" si="3"/>
        <v>0</v>
      </c>
      <c r="AW26" s="33" t="str">
        <f t="shared" si="4"/>
        <v>Cor</v>
      </c>
      <c r="AX26" s="33" t="str">
        <f>IF(AU26="A","Sem ação — manter o design.",IFERROR(INDEX(tbl_regras_dfr[Recomendacao],MATCH(CHOOSE(MATCH(AU26,AJ26:AS26,0),L26&amp;"|Fluxo de reciclagem|"&amp;L26,L26&amp;"|Cor do corpo|"&amp;O26,L26&amp;"|Densidade do corpo|"&amp;IF(R26&lt;1,"&lt; 1,0 g/cm³","≥ 1,0 g/cm³"),L26&amp;"|Barreira / revestimento|"&amp;S26,L26&amp;"|Material da tampa|"&amp;X26,L26&amp;"|Vedante / liner|"&amp;Z26,L26&amp;"|Tipo de rótulo|"&amp;AA26,L26&amp;"|Adesivo do rótulo|"&amp;AB26,L26&amp;"|Cobertura do rótulo|"&amp;IF(AC26&gt;0.7,"&gt; 70% da superfície","≤ 70% da superfície"),L26&amp;"|Decoração direta|"&amp;AH26),tbl_regras_dfr[Chave],0)),""))</f>
        <v>Preferir natural, branco ou cores claras.</v>
      </c>
      <c r="AY26" s="38">
        <f t="shared" si="5"/>
        <v>35.21</v>
      </c>
      <c r="AZ26" s="36">
        <f>MIN(IFERROR(INDEX(tbl_regras_dfr[Fracao_Reciclavel],MATCH(L26&amp;"|Fluxo de reciclagem|"&amp;L26,tbl_regras_dfr[Chave],0)),0),IFERROR(INDEX(tbl_regras_dfr[Fracao_Reciclavel],MATCH(L26&amp;"|Cor do corpo|"&amp;O26,tbl_regras_dfr[Chave],0)),0))</f>
        <v>1</v>
      </c>
      <c r="BA26" s="36">
        <f>IFERROR(INDEX(tbl_regras_dfr[Fracao_Reciclavel],MATCH(L26&amp;"|Material da tampa|"&amp;X26,tbl_regras_dfr[Chave],0)),0)</f>
        <v>1</v>
      </c>
      <c r="BB26" s="36">
        <f>IFERROR(INDEX(tbl_regras_dfr[Fracao_Reciclavel],MATCH(L26&amp;"|Tipo de rótulo|"&amp;AA26,tbl_regras_dfr[Chave],0)),0)</f>
        <v>1</v>
      </c>
      <c r="BC26" s="38">
        <f t="shared" si="6"/>
        <v>35.21</v>
      </c>
      <c r="BD26" s="40">
        <f t="shared" si="7"/>
        <v>1</v>
      </c>
      <c r="BE26" s="33" t="str">
        <f>IF(BD26&gt;=INDEX(tbl_param_emb[Valor],MATCH("P-06",tbl_param_emb[ID_Parametro],0)),"A",IF(BD26&gt;=INDEX(tbl_param_emb[Valor],MATCH("P-07",tbl_param_emb[ID_Parametro],0)),"B",IF(BD26&gt;=INDEX(tbl_param_emb[Valor],MATCH("P-08",tbl_param_emb[ID_Parametro],0)),"C","&lt; 70%")))</f>
        <v>A</v>
      </c>
      <c r="BF26" s="33" t="str">
        <f>IF(AU26="F","Não reciclável (F)",INDEX({"A","B","C","Abaixo de C"},MAX(MIN(AT26,4),IF(BE26="A",1,IF(BE26="B",2,IF(BE26="C",3,4))))))</f>
        <v>B</v>
      </c>
      <c r="BG26" s="33" t="str">
        <f t="shared" si="8"/>
        <v>—</v>
      </c>
      <c r="BH26" s="33" t="str">
        <f t="shared" si="9"/>
        <v>Sim</v>
      </c>
      <c r="BI26" s="33" t="str">
        <f t="shared" si="10"/>
        <v>Sim</v>
      </c>
      <c r="BJ26" s="36">
        <f>IFERROR(INDEX(tbl_materiais[Pct_PCR],MATCH(J26,tbl_materiais[Material],0)),0)</f>
        <v>0.3</v>
      </c>
      <c r="BK26" s="36">
        <f>IF(V26="",0,IFERROR(INDEX(tbl_tampas[Pct_PCR],MATCH(V26,tbl_tampas[CapId],0)),0))</f>
        <v>0.3</v>
      </c>
      <c r="BL26" s="40">
        <f t="shared" si="11"/>
        <v>0.3</v>
      </c>
      <c r="BM26" s="33" t="str">
        <f t="shared" si="12"/>
        <v>Outras embalagens de plástico</v>
      </c>
      <c r="BN26" s="36">
        <f>IFERROR(IF(INDEX(tbl_metas_art7[Meta_2030],MATCH(BM26,tbl_metas_art7[Categoria_Art7],0))="","",INDEX(tbl_metas_art7[Meta_2030],MATCH(BM26,tbl_metas_art7[Categoria_Art7],0))),"")</f>
        <v>0.35</v>
      </c>
      <c r="BO26" s="40">
        <f t="shared" si="13"/>
        <v>4.9999999999999989E-2</v>
      </c>
      <c r="BP26" s="33" t="str">
        <f t="shared" si="14"/>
        <v>Não</v>
      </c>
      <c r="BQ26" s="33" t="str">
        <f t="shared" si="15"/>
        <v>Monomaterial (mesma família)</v>
      </c>
      <c r="BR26" s="37">
        <v>156110</v>
      </c>
      <c r="BS26" s="39">
        <v>13</v>
      </c>
      <c r="BT26" s="26" t="s">
        <v>426</v>
      </c>
      <c r="BU26" s="32">
        <f t="shared" si="16"/>
        <v>3809.0839999999998</v>
      </c>
      <c r="BV26" s="31">
        <f>COUNTIFS(tbl_aplicabilidade[ProductId],B26,tbl_aplicabilidade[Aplicavel],"Sim")</f>
        <v>12</v>
      </c>
      <c r="BW26" s="31">
        <f>COUNTIFS(tbl_aplicabilidade[ProductId],B26,tbl_aplicabilidade[Estado_Resumo],"Lacuna")+COUNTIFS(tbl_aplicabilidade[ProductId],B26,tbl_aplicabilidade[Estado_Resumo],"Não conforme")</f>
        <v>1</v>
      </c>
      <c r="BX26" s="41">
        <v>46287</v>
      </c>
      <c r="BY26" s="42">
        <f t="shared" si="17"/>
        <v>46652</v>
      </c>
      <c r="BZ26" s="26" t="s">
        <v>596</v>
      </c>
      <c r="CA26" s="26" t="s">
        <v>597</v>
      </c>
      <c r="CB26" s="26" t="s">
        <v>598</v>
      </c>
    </row>
    <row r="27" spans="1:80" ht="18" customHeight="1" x14ac:dyDescent="0.3">
      <c r="A27" s="26" t="s">
        <v>667</v>
      </c>
      <c r="B27" s="26" t="s">
        <v>668</v>
      </c>
      <c r="C27" s="26" t="s">
        <v>586</v>
      </c>
      <c r="D27" s="26" t="s">
        <v>587</v>
      </c>
      <c r="E27" s="26" t="s">
        <v>588</v>
      </c>
      <c r="F27" s="26" t="s">
        <v>589</v>
      </c>
      <c r="G27" s="26" t="s">
        <v>669</v>
      </c>
      <c r="H27" s="37">
        <v>350</v>
      </c>
      <c r="I27" s="37">
        <v>121</v>
      </c>
      <c r="J27" s="26" t="s">
        <v>258</v>
      </c>
      <c r="K27" s="33" t="str">
        <f>IFERROR(INDEX(tbl_materiais[Polimero_Base],MATCH(J27,tbl_materiais[Material],0)),"")</f>
        <v>PVC</v>
      </c>
      <c r="L27" s="33" t="str">
        <f>IFERROR(INDEX(tbl_materiais[Fluxo_Reciclagem],MATCH(J27,tbl_materiais[Material],0)),"")</f>
        <v>Sem fluxo (PVC)</v>
      </c>
      <c r="M27" s="33" t="str">
        <f t="shared" si="0"/>
        <v>Sem categoria RecyClass (PVC)</v>
      </c>
      <c r="N27" s="26" t="s">
        <v>610</v>
      </c>
      <c r="O27" s="26" t="s">
        <v>279</v>
      </c>
      <c r="P27" s="26" t="s">
        <v>611</v>
      </c>
      <c r="Q27" s="29">
        <v>0</v>
      </c>
      <c r="R27" s="35">
        <f>IFERROR(ROUND(INDEX(tbl_materiais[Densidade_g_cm3],MATCH(J27,tbl_materiais[Material],0))+Q27*1.2,3),"")</f>
        <v>1.35</v>
      </c>
      <c r="S27" s="26" t="s">
        <v>302</v>
      </c>
      <c r="T27" s="34">
        <v>24.4</v>
      </c>
      <c r="U27" s="26" t="s">
        <v>593</v>
      </c>
      <c r="V27" s="26" t="s">
        <v>427</v>
      </c>
      <c r="W27" s="33" t="str">
        <f>IF(V27="","",IFERROR(INDEX(tbl_tampas[Material],MATCH(V27,tbl_tampas[CapId],0)),""))</f>
        <v>PP</v>
      </c>
      <c r="X27" s="33" t="str">
        <f>IF(V27="","Sem tampa",IFERROR(INDEX(tbl_materiais[Polimero_Base],MATCH(W27,tbl_materiais[Material],0)),""))</f>
        <v>PP</v>
      </c>
      <c r="Y27" s="38">
        <f>IF(V27="",0,IFERROR(INDEX(tbl_tampas[Massa_g],MATCH(V27,tbl_tampas[CapId],0)),0))</f>
        <v>10.3</v>
      </c>
      <c r="Z27" s="26" t="s">
        <v>319</v>
      </c>
      <c r="AA27" s="26" t="s">
        <v>326</v>
      </c>
      <c r="AB27" s="26" t="s">
        <v>340</v>
      </c>
      <c r="AC27" s="29">
        <v>0</v>
      </c>
      <c r="AD27" s="27">
        <v>0</v>
      </c>
      <c r="AE27" s="26" t="s">
        <v>594</v>
      </c>
      <c r="AF27" s="26" t="s">
        <v>359</v>
      </c>
      <c r="AG27" s="39">
        <v>1</v>
      </c>
      <c r="AH27" s="33" t="str">
        <f t="shared" si="1"/>
        <v>Hot foil metalizado</v>
      </c>
      <c r="AI27" s="27">
        <v>0.03</v>
      </c>
      <c r="AJ27" s="33" t="str">
        <f>IFERROR(INDEX(tbl_regras_dfr[Classe],MATCH(L27&amp;"|Fluxo de reciclagem|"&amp;L27,tbl_regras_dfr[Chave],0)),"Sem regra")</f>
        <v>F</v>
      </c>
      <c r="AK27" s="33" t="str">
        <f>IF(LEFT(L27,9)="Sem fluxo","—",IFERROR(INDEX(tbl_regras_dfr[Classe],MATCH(L27&amp;"|Cor do corpo|"&amp;O27,tbl_regras_dfr[Chave],0)),"Sem regra"))</f>
        <v>—</v>
      </c>
      <c r="AL27" s="33" t="str">
        <f>IF(LEFT(L27,9)="Sem fluxo","—",IFERROR(INDEX(tbl_regras_dfr[Classe],MATCH(L27&amp;"|Densidade do corpo|"&amp;IF(R27&lt;1,"&lt; 1,0 g/cm³","≥ 1,0 g/cm³"),tbl_regras_dfr[Chave],0)),"Sem regra"))</f>
        <v>—</v>
      </c>
      <c r="AM27" s="33" t="str">
        <f>IF(LEFT(L27,9)="Sem fluxo","—",IFERROR(INDEX(tbl_regras_dfr[Classe],MATCH(L27&amp;"|Barreira / revestimento|"&amp;S27,tbl_regras_dfr[Chave],0)),"Sem regra"))</f>
        <v>—</v>
      </c>
      <c r="AN27" s="33" t="str">
        <f>IF(LEFT(L27,9)="Sem fluxo","—",IFERROR(INDEX(tbl_regras_dfr[Classe],MATCH(L27&amp;"|Material da tampa|"&amp;X27,tbl_regras_dfr[Chave],0)),"Sem regra"))</f>
        <v>—</v>
      </c>
      <c r="AO27" s="33" t="str">
        <f>IF(LEFT(L27,9)="Sem fluxo","—",IFERROR(INDEX(tbl_regras_dfr[Classe],MATCH(L27&amp;"|Vedante / liner|"&amp;Z27,tbl_regras_dfr[Chave],0)),"Sem regra"))</f>
        <v>—</v>
      </c>
      <c r="AP27" s="33" t="str">
        <f>IF(LEFT(L27,9)="Sem fluxo","—",IFERROR(INDEX(tbl_regras_dfr[Classe],MATCH(L27&amp;"|Tipo de rótulo|"&amp;AA27,tbl_regras_dfr[Chave],0)),"Sem regra"))</f>
        <v>—</v>
      </c>
      <c r="AQ27" s="33" t="str">
        <f>IF(LEFT(L27,9)="Sem fluxo","—",IFERROR(INDEX(tbl_regras_dfr[Classe],MATCH(L27&amp;"|Adesivo do rótulo|"&amp;AB27,tbl_regras_dfr[Chave],0)),"Sem regra"))</f>
        <v>—</v>
      </c>
      <c r="AR27" s="33" t="str">
        <f>IF(LEFT(L27,9)="Sem fluxo","—",IFERROR(INDEX(tbl_regras_dfr[Classe],MATCH(L27&amp;"|Cobertura do rótulo|"&amp;IF(AC27&gt;0.7,"&gt; 70% da superfície","≤ 70% da superfície"),tbl_regras_dfr[Chave],0)),"Sem regra"))</f>
        <v>—</v>
      </c>
      <c r="AS27" s="33" t="str">
        <f>IF(LEFT(L27,9)="Sem fluxo","—",IFERROR(INDEX(tbl_regras_dfr[Classe],MATCH(L27&amp;"|Decoração direta|"&amp;AH27,tbl_regras_dfr[Chave],0)),"Sem regra"))</f>
        <v>—</v>
      </c>
      <c r="AT27" s="31">
        <f t="shared" si="2"/>
        <v>6</v>
      </c>
      <c r="AU27" s="33" t="str">
        <f>IF(AT27=0,"",INDEX({"A","B","C","D","E","F"},AT27))</f>
        <v>F</v>
      </c>
      <c r="AV27" s="31">
        <f t="shared" si="3"/>
        <v>0</v>
      </c>
      <c r="AW27" s="33" t="str">
        <f t="shared" si="4"/>
        <v>Fluxo</v>
      </c>
      <c r="AX27" s="33" t="str">
        <f>IF(AU27="A","Sem ação — manter o design.",IFERROR(INDEX(tbl_regras_dfr[Recomendacao],MATCH(CHOOSE(MATCH(AU27,AJ27:AS27,0),L27&amp;"|Fluxo de reciclagem|"&amp;L27,L27&amp;"|Cor do corpo|"&amp;O27,L27&amp;"|Densidade do corpo|"&amp;IF(R27&lt;1,"&lt; 1,0 g/cm³","≥ 1,0 g/cm³"),L27&amp;"|Barreira / revestimento|"&amp;S27,L27&amp;"|Material da tampa|"&amp;X27,L27&amp;"|Vedante / liner|"&amp;Z27,L27&amp;"|Tipo de rótulo|"&amp;AA27,L27&amp;"|Adesivo do rótulo|"&amp;AB27,L27&amp;"|Cobertura do rótulo|"&amp;IF(AC27&gt;0.7,"&gt; 70% da superfície","≤ 70% da superfície"),L27&amp;"|Decoração direta|"&amp;AH27),tbl_regras_dfr[Chave],0)),""))</f>
        <v>Eliminar o PVC do portfólio (substituir por PET ou PP).</v>
      </c>
      <c r="AY27" s="38">
        <f t="shared" si="5"/>
        <v>34.730000000000004</v>
      </c>
      <c r="AZ27" s="36">
        <f>MIN(IFERROR(INDEX(tbl_regras_dfr[Fracao_Reciclavel],MATCH(L27&amp;"|Fluxo de reciclagem|"&amp;L27,tbl_regras_dfr[Chave],0)),0),IFERROR(INDEX(tbl_regras_dfr[Fracao_Reciclavel],MATCH(L27&amp;"|Cor do corpo|"&amp;O27,tbl_regras_dfr[Chave],0)),0))</f>
        <v>0</v>
      </c>
      <c r="BA27" s="36">
        <f>IFERROR(INDEX(tbl_regras_dfr[Fracao_Reciclavel],MATCH(L27&amp;"|Material da tampa|"&amp;X27,tbl_regras_dfr[Chave],0)),0)</f>
        <v>0</v>
      </c>
      <c r="BB27" s="36">
        <f>IFERROR(INDEX(tbl_regras_dfr[Fracao_Reciclavel],MATCH(L27&amp;"|Tipo de rótulo|"&amp;AA27,tbl_regras_dfr[Chave],0)),0)</f>
        <v>0</v>
      </c>
      <c r="BC27" s="38">
        <f t="shared" si="6"/>
        <v>0</v>
      </c>
      <c r="BD27" s="40">
        <f t="shared" si="7"/>
        <v>0</v>
      </c>
      <c r="BE27" s="33" t="str">
        <f>IF(BD27&gt;=INDEX(tbl_param_emb[Valor],MATCH("P-06",tbl_param_emb[ID_Parametro],0)),"A",IF(BD27&gt;=INDEX(tbl_param_emb[Valor],MATCH("P-07",tbl_param_emb[ID_Parametro],0)),"B",IF(BD27&gt;=INDEX(tbl_param_emb[Valor],MATCH("P-08",tbl_param_emb[ID_Parametro],0)),"C","&lt; 70%")))</f>
        <v>&lt; 70%</v>
      </c>
      <c r="BF27" s="33" t="str">
        <f>IF(AU27="F","Não reciclável (F)",INDEX({"A","B","C","Abaixo de C"},MAX(MIN(AT27,4),IF(BE27="A",1,IF(BE27="B",2,IF(BE27="C",3,4))))))</f>
        <v>Não reciclável (F)</v>
      </c>
      <c r="BG27" s="33" t="str">
        <f t="shared" si="8"/>
        <v>—</v>
      </c>
      <c r="BH27" s="33" t="str">
        <f t="shared" si="9"/>
        <v>Não</v>
      </c>
      <c r="BI27" s="33" t="str">
        <f t="shared" si="10"/>
        <v>Não</v>
      </c>
      <c r="BJ27" s="36">
        <f>IFERROR(INDEX(tbl_materiais[Pct_PCR],MATCH(J27,tbl_materiais[Material],0)),0)</f>
        <v>0</v>
      </c>
      <c r="BK27" s="36">
        <f>IF(V27="",0,IFERROR(INDEX(tbl_tampas[Pct_PCR],MATCH(V27,tbl_tampas[CapId],0)),0))</f>
        <v>0</v>
      </c>
      <c r="BL27" s="40">
        <f t="shared" si="11"/>
        <v>0</v>
      </c>
      <c r="BM27" s="33" t="str">
        <f t="shared" si="12"/>
        <v>Outras embalagens de plástico</v>
      </c>
      <c r="BN27" s="36">
        <f>IFERROR(IF(INDEX(tbl_metas_art7[Meta_2030],MATCH(BM27,tbl_metas_art7[Categoria_Art7],0))="","",INDEX(tbl_metas_art7[Meta_2030],MATCH(BM27,tbl_metas_art7[Categoria_Art7],0))),"")</f>
        <v>0.35</v>
      </c>
      <c r="BO27" s="40">
        <f t="shared" si="13"/>
        <v>0.35</v>
      </c>
      <c r="BP27" s="33" t="str">
        <f t="shared" si="14"/>
        <v>Não</v>
      </c>
      <c r="BQ27" s="33" t="str">
        <f t="shared" si="15"/>
        <v>Multimaterial</v>
      </c>
      <c r="BR27" s="37">
        <v>146821</v>
      </c>
      <c r="BS27" s="39">
        <v>11</v>
      </c>
      <c r="BT27" s="26" t="s">
        <v>426</v>
      </c>
      <c r="BU27" s="32">
        <f t="shared" si="16"/>
        <v>3582.4323999999997</v>
      </c>
      <c r="BV27" s="31">
        <f>COUNTIFS(tbl_aplicabilidade[ProductId],B27,tbl_aplicabilidade[Aplicavel],"Sim")</f>
        <v>12</v>
      </c>
      <c r="BW27" s="31">
        <f>COUNTIFS(tbl_aplicabilidade[ProductId],B27,tbl_aplicabilidade[Estado_Resumo],"Lacuna")+COUNTIFS(tbl_aplicabilidade[ProductId],B27,tbl_aplicabilidade[Estado_Resumo],"Não conforme")</f>
        <v>4</v>
      </c>
      <c r="BX27" s="41">
        <v>46287</v>
      </c>
      <c r="BY27" s="42">
        <f t="shared" si="17"/>
        <v>46652</v>
      </c>
      <c r="BZ27" s="26" t="s">
        <v>596</v>
      </c>
      <c r="CA27" s="26" t="s">
        <v>597</v>
      </c>
      <c r="CB27" s="26" t="s">
        <v>598</v>
      </c>
    </row>
    <row r="28" spans="1:80" ht="18" customHeight="1" x14ac:dyDescent="0.3">
      <c r="A28" s="26" t="s">
        <v>670</v>
      </c>
      <c r="B28" s="26" t="s">
        <v>671</v>
      </c>
      <c r="C28" s="26" t="s">
        <v>586</v>
      </c>
      <c r="D28" s="26" t="s">
        <v>587</v>
      </c>
      <c r="E28" s="26" t="s">
        <v>588</v>
      </c>
      <c r="F28" s="26" t="s">
        <v>589</v>
      </c>
      <c r="G28" s="26" t="s">
        <v>609</v>
      </c>
      <c r="H28" s="37">
        <v>350</v>
      </c>
      <c r="I28" s="37">
        <v>121</v>
      </c>
      <c r="J28" s="26" t="s">
        <v>253</v>
      </c>
      <c r="K28" s="33" t="str">
        <f>IFERROR(INDEX(tbl_materiais[Polimero_Base],MATCH(J28,tbl_materiais[Material],0)),"")</f>
        <v>PET</v>
      </c>
      <c r="L28" s="33" t="str">
        <f>IFERROR(INDEX(tbl_materiais[Fluxo_Reciclagem],MATCH(J28,tbl_materiais[Material],0)),"")</f>
        <v>PET frascos e garrafas</v>
      </c>
      <c r="M28" s="33" t="str">
        <f t="shared" si="0"/>
        <v>PET — garrafas/frascos transparentes incolores</v>
      </c>
      <c r="N28" s="26" t="s">
        <v>610</v>
      </c>
      <c r="O28" s="26" t="s">
        <v>279</v>
      </c>
      <c r="P28" s="26" t="s">
        <v>611</v>
      </c>
      <c r="Q28" s="29">
        <v>0</v>
      </c>
      <c r="R28" s="35">
        <f>IFERROR(ROUND(INDEX(tbl_materiais[Densidade_g_cm3],MATCH(J28,tbl_materiais[Material],0))+Q28*1.2,3),"")</f>
        <v>1.38</v>
      </c>
      <c r="S28" s="26" t="s">
        <v>302</v>
      </c>
      <c r="T28" s="34">
        <v>24.4</v>
      </c>
      <c r="U28" s="26" t="s">
        <v>593</v>
      </c>
      <c r="V28" s="26" t="s">
        <v>460</v>
      </c>
      <c r="W28" s="33" t="str">
        <f>IF(V28="","",IFERROR(INDEX(tbl_tampas[Material],MATCH(V28,tbl_tampas[CapId],0)),""))</f>
        <v>PP</v>
      </c>
      <c r="X28" s="33" t="str">
        <f>IF(V28="","Sem tampa",IFERROR(INDEX(tbl_materiais[Polimero_Base],MATCH(W28,tbl_materiais[Material],0)),""))</f>
        <v>PP</v>
      </c>
      <c r="Y28" s="38">
        <f>IF(V28="",0,IFERROR(INDEX(tbl_tampas[Massa_g],MATCH(V28,tbl_tampas[CapId],0)),0))</f>
        <v>13.9</v>
      </c>
      <c r="Z28" s="26" t="s">
        <v>319</v>
      </c>
      <c r="AA28" s="26" t="s">
        <v>327</v>
      </c>
      <c r="AB28" s="26" t="s">
        <v>343</v>
      </c>
      <c r="AC28" s="29">
        <v>0.4</v>
      </c>
      <c r="AD28" s="27">
        <v>0.51</v>
      </c>
      <c r="AE28" s="26" t="s">
        <v>604</v>
      </c>
      <c r="AF28" s="26" t="s">
        <v>302</v>
      </c>
      <c r="AG28" s="39">
        <v>0</v>
      </c>
      <c r="AH28" s="33" t="str">
        <f t="shared" si="1"/>
        <v>Nenhuma</v>
      </c>
      <c r="AI28" s="27">
        <v>0</v>
      </c>
      <c r="AJ28" s="33" t="str">
        <f>IFERROR(INDEX(tbl_regras_dfr[Classe],MATCH(L28&amp;"|Fluxo de reciclagem|"&amp;L28,tbl_regras_dfr[Chave],0)),"Sem regra")</f>
        <v>A</v>
      </c>
      <c r="AK28" s="33" t="str">
        <f>IF(LEFT(L28,9)="Sem fluxo","—",IFERROR(INDEX(tbl_regras_dfr[Classe],MATCH(L28&amp;"|Cor do corpo|"&amp;O28,tbl_regras_dfr[Chave],0)),"Sem regra"))</f>
        <v>A</v>
      </c>
      <c r="AL28" s="33" t="str">
        <f>IF(LEFT(L28,9)="Sem fluxo","—",IFERROR(INDEX(tbl_regras_dfr[Classe],MATCH(L28&amp;"|Densidade do corpo|"&amp;IF(R28&lt;1,"&lt; 1,0 g/cm³","≥ 1,0 g/cm³"),tbl_regras_dfr[Chave],0)),"Sem regra"))</f>
        <v>A</v>
      </c>
      <c r="AM28" s="33" t="str">
        <f>IF(LEFT(L28,9)="Sem fluxo","—",IFERROR(INDEX(tbl_regras_dfr[Classe],MATCH(L28&amp;"|Barreira / revestimento|"&amp;S28,tbl_regras_dfr[Chave],0)),"Sem regra"))</f>
        <v>A</v>
      </c>
      <c r="AN28" s="33" t="str">
        <f>IF(LEFT(L28,9)="Sem fluxo","—",IFERROR(INDEX(tbl_regras_dfr[Classe],MATCH(L28&amp;"|Material da tampa|"&amp;X28,tbl_regras_dfr[Chave],0)),"Sem regra"))</f>
        <v>A</v>
      </c>
      <c r="AO28" s="33" t="str">
        <f>IF(LEFT(L28,9)="Sem fluxo","—",IFERROR(INDEX(tbl_regras_dfr[Classe],MATCH(L28&amp;"|Vedante / liner|"&amp;Z28,tbl_regras_dfr[Chave],0)),"Sem regra"))</f>
        <v>A</v>
      </c>
      <c r="AP28" s="33" t="str">
        <f>IF(LEFT(L28,9)="Sem fluxo","—",IFERROR(INDEX(tbl_regras_dfr[Classe],MATCH(L28&amp;"|Tipo de rótulo|"&amp;AA28,tbl_regras_dfr[Chave],0)),"Sem regra"))</f>
        <v>A</v>
      </c>
      <c r="AQ28" s="33" t="str">
        <f>IF(LEFT(L28,9)="Sem fluxo","—",IFERROR(INDEX(tbl_regras_dfr[Classe],MATCH(L28&amp;"|Adesivo do rótulo|"&amp;AB28,tbl_regras_dfr[Chave],0)),"Sem regra"))</f>
        <v>A</v>
      </c>
      <c r="AR28" s="33" t="str">
        <f>IF(LEFT(L28,9)="Sem fluxo","—",IFERROR(INDEX(tbl_regras_dfr[Classe],MATCH(L28&amp;"|Cobertura do rótulo|"&amp;IF(AC28&gt;0.7,"&gt; 70% da superfície","≤ 70% da superfície"),tbl_regras_dfr[Chave],0)),"Sem regra"))</f>
        <v>A</v>
      </c>
      <c r="AS28" s="33" t="str">
        <f>IF(LEFT(L28,9)="Sem fluxo","—",IFERROR(INDEX(tbl_regras_dfr[Classe],MATCH(L28&amp;"|Decoração direta|"&amp;AH28,tbl_regras_dfr[Chave],0)),"Sem regra"))</f>
        <v>A</v>
      </c>
      <c r="AT28" s="31">
        <f t="shared" si="2"/>
        <v>1</v>
      </c>
      <c r="AU28" s="33" t="str">
        <f>IF(AT28=0,"",INDEX({"A","B","C","D","E","F"},AT28))</f>
        <v>A</v>
      </c>
      <c r="AV28" s="31">
        <f t="shared" si="3"/>
        <v>0</v>
      </c>
      <c r="AW28" s="33" t="str">
        <f t="shared" si="4"/>
        <v>—</v>
      </c>
      <c r="AX28" s="33" t="str">
        <f>IF(AU28="A","Sem ação — manter o design.",IFERROR(INDEX(tbl_regras_dfr[Recomendacao],MATCH(CHOOSE(MATCH(AU28,AJ28:AS28,0),L28&amp;"|Fluxo de reciclagem|"&amp;L28,L28&amp;"|Cor do corpo|"&amp;O28,L28&amp;"|Densidade do corpo|"&amp;IF(R28&lt;1,"&lt; 1,0 g/cm³","≥ 1,0 g/cm³"),L28&amp;"|Barreira / revestimento|"&amp;S28,L28&amp;"|Material da tampa|"&amp;X28,L28&amp;"|Vedante / liner|"&amp;Z28,L28&amp;"|Tipo de rótulo|"&amp;AA28,L28&amp;"|Adesivo do rótulo|"&amp;AB28,L28&amp;"|Cobertura do rótulo|"&amp;IF(AC28&gt;0.7,"&gt; 70% da superfície","≤ 70% da superfície"),L28&amp;"|Decoração direta|"&amp;AH28),tbl_regras_dfr[Chave],0)),""))</f>
        <v>Sem ação — manter o design.</v>
      </c>
      <c r="AY28" s="38">
        <f t="shared" si="5"/>
        <v>38.809999999999995</v>
      </c>
      <c r="AZ28" s="36">
        <f>MIN(IFERROR(INDEX(tbl_regras_dfr[Fracao_Reciclavel],MATCH(L28&amp;"|Fluxo de reciclagem|"&amp;L28,tbl_regras_dfr[Chave],0)),0),IFERROR(INDEX(tbl_regras_dfr[Fracao_Reciclavel],MATCH(L28&amp;"|Cor do corpo|"&amp;O28,tbl_regras_dfr[Chave],0)),0))</f>
        <v>1</v>
      </c>
      <c r="BA28" s="36">
        <f>IFERROR(INDEX(tbl_regras_dfr[Fracao_Reciclavel],MATCH(L28&amp;"|Material da tampa|"&amp;X28,tbl_regras_dfr[Chave],0)),0)</f>
        <v>1</v>
      </c>
      <c r="BB28" s="36">
        <f>IFERROR(INDEX(tbl_regras_dfr[Fracao_Reciclavel],MATCH(L28&amp;"|Tipo de rótulo|"&amp;AA28,tbl_regras_dfr[Chave],0)),0)</f>
        <v>1</v>
      </c>
      <c r="BC28" s="38">
        <f t="shared" si="6"/>
        <v>38.809999999999995</v>
      </c>
      <c r="BD28" s="40">
        <f t="shared" si="7"/>
        <v>1</v>
      </c>
      <c r="BE28" s="33" t="str">
        <f>IF(BD28&gt;=INDEX(tbl_param_emb[Valor],MATCH("P-06",tbl_param_emb[ID_Parametro],0)),"A",IF(BD28&gt;=INDEX(tbl_param_emb[Valor],MATCH("P-07",tbl_param_emb[ID_Parametro],0)),"B",IF(BD28&gt;=INDEX(tbl_param_emb[Valor],MATCH("P-08",tbl_param_emb[ID_Parametro],0)),"C","&lt; 70%")))</f>
        <v>A</v>
      </c>
      <c r="BF28" s="33" t="str">
        <f>IF(AU28="F","Não reciclável (F)",INDEX({"A","B","C","Abaixo de C"},MAX(MIN(AT28,4),IF(BE28="A",1,IF(BE28="B",2,IF(BE28="C",3,4))))))</f>
        <v>A</v>
      </c>
      <c r="BG28" s="33" t="str">
        <f t="shared" si="8"/>
        <v>—</v>
      </c>
      <c r="BH28" s="33" t="str">
        <f t="shared" si="9"/>
        <v>Sim</v>
      </c>
      <c r="BI28" s="33" t="str">
        <f t="shared" si="10"/>
        <v>Sim</v>
      </c>
      <c r="BJ28" s="36">
        <f>IFERROR(INDEX(tbl_materiais[Pct_PCR],MATCH(J28,tbl_materiais[Material],0)),0)</f>
        <v>0.5</v>
      </c>
      <c r="BK28" s="36">
        <f>IF(V28="",0,IFERROR(INDEX(tbl_tampas[Pct_PCR],MATCH(V28,tbl_tampas[CapId],0)),0))</f>
        <v>0</v>
      </c>
      <c r="BL28" s="40">
        <f t="shared" si="11"/>
        <v>0.31853785900783288</v>
      </c>
      <c r="BM28" s="33" t="str">
        <f t="shared" si="12"/>
        <v>Outras embalagens de plástico</v>
      </c>
      <c r="BN28" s="36">
        <f>IFERROR(IF(INDEX(tbl_metas_art7[Meta_2030],MATCH(BM28,tbl_metas_art7[Categoria_Art7],0))="","",INDEX(tbl_metas_art7[Meta_2030],MATCH(BM28,tbl_metas_art7[Categoria_Art7],0))),"")</f>
        <v>0.35</v>
      </c>
      <c r="BO28" s="40">
        <f t="shared" si="13"/>
        <v>3.1462140992167098E-2</v>
      </c>
      <c r="BP28" s="33" t="str">
        <f t="shared" si="14"/>
        <v>Não</v>
      </c>
      <c r="BQ28" s="33" t="str">
        <f t="shared" si="15"/>
        <v>Multimaterial</v>
      </c>
      <c r="BR28" s="37">
        <v>92140</v>
      </c>
      <c r="BS28" s="39">
        <v>12</v>
      </c>
      <c r="BT28" s="26" t="s">
        <v>482</v>
      </c>
      <c r="BU28" s="32">
        <f t="shared" si="16"/>
        <v>2248.2159999999999</v>
      </c>
      <c r="BV28" s="31">
        <f>COUNTIFS(tbl_aplicabilidade[ProductId],B28,tbl_aplicabilidade[Aplicavel],"Sim")</f>
        <v>12</v>
      </c>
      <c r="BW28" s="31">
        <f>COUNTIFS(tbl_aplicabilidade[ProductId],B28,tbl_aplicabilidade[Estado_Resumo],"Lacuna")+COUNTIFS(tbl_aplicabilidade[ProductId],B28,tbl_aplicabilidade[Estado_Resumo],"Não conforme")</f>
        <v>2</v>
      </c>
      <c r="BX28" s="41">
        <v>46287</v>
      </c>
      <c r="BY28" s="42">
        <f t="shared" si="17"/>
        <v>46652</v>
      </c>
      <c r="BZ28" s="26" t="s">
        <v>596</v>
      </c>
      <c r="CA28" s="26" t="s">
        <v>597</v>
      </c>
      <c r="CB28" s="26" t="s">
        <v>598</v>
      </c>
    </row>
    <row r="29" spans="1:80" ht="18" customHeight="1" x14ac:dyDescent="0.3">
      <c r="A29" s="26" t="s">
        <v>672</v>
      </c>
      <c r="B29" s="26" t="s">
        <v>673</v>
      </c>
      <c r="C29" s="26" t="s">
        <v>586</v>
      </c>
      <c r="D29" s="26" t="s">
        <v>587</v>
      </c>
      <c r="E29" s="26" t="s">
        <v>588</v>
      </c>
      <c r="F29" s="26" t="s">
        <v>589</v>
      </c>
      <c r="G29" s="26" t="s">
        <v>609</v>
      </c>
      <c r="H29" s="37">
        <v>350</v>
      </c>
      <c r="I29" s="37">
        <v>121</v>
      </c>
      <c r="J29" s="26" t="s">
        <v>253</v>
      </c>
      <c r="K29" s="33" t="str">
        <f>IFERROR(INDEX(tbl_materiais[Polimero_Base],MATCH(J29,tbl_materiais[Material],0)),"")</f>
        <v>PET</v>
      </c>
      <c r="L29" s="33" t="str">
        <f>IFERROR(INDEX(tbl_materiais[Fluxo_Reciclagem],MATCH(J29,tbl_materiais[Material],0)),"")</f>
        <v>PET frascos e garrafas</v>
      </c>
      <c r="M29" s="33" t="str">
        <f t="shared" si="0"/>
        <v>PET — garrafas/frascos transparentes incolores</v>
      </c>
      <c r="N29" s="26" t="s">
        <v>610</v>
      </c>
      <c r="O29" s="26" t="s">
        <v>279</v>
      </c>
      <c r="P29" s="26" t="s">
        <v>611</v>
      </c>
      <c r="Q29" s="29">
        <v>0</v>
      </c>
      <c r="R29" s="35">
        <f>IFERROR(ROUND(INDEX(tbl_materiais[Densidade_g_cm3],MATCH(J29,tbl_materiais[Material],0))+Q29*1.2,3),"")</f>
        <v>1.38</v>
      </c>
      <c r="S29" s="26" t="s">
        <v>302</v>
      </c>
      <c r="T29" s="34">
        <v>24.4</v>
      </c>
      <c r="U29" s="26" t="s">
        <v>593</v>
      </c>
      <c r="V29" s="26" t="s">
        <v>427</v>
      </c>
      <c r="W29" s="33" t="str">
        <f>IF(V29="","",IFERROR(INDEX(tbl_tampas[Material],MATCH(V29,tbl_tampas[CapId],0)),""))</f>
        <v>PP</v>
      </c>
      <c r="X29" s="33" t="str">
        <f>IF(V29="","Sem tampa",IFERROR(INDEX(tbl_materiais[Polimero_Base],MATCH(W29,tbl_materiais[Material],0)),""))</f>
        <v>PP</v>
      </c>
      <c r="Y29" s="38">
        <f>IF(V29="",0,IFERROR(INDEX(tbl_tampas[Massa_g],MATCH(V29,tbl_tampas[CapId],0)),0))</f>
        <v>10.3</v>
      </c>
      <c r="Z29" s="26" t="s">
        <v>319</v>
      </c>
      <c r="AA29" s="26" t="s">
        <v>326</v>
      </c>
      <c r="AB29" s="26" t="s">
        <v>340</v>
      </c>
      <c r="AC29" s="29">
        <v>0</v>
      </c>
      <c r="AD29" s="27">
        <v>0</v>
      </c>
      <c r="AE29" s="26" t="s">
        <v>594</v>
      </c>
      <c r="AF29" s="26" t="s">
        <v>595</v>
      </c>
      <c r="AG29" s="39">
        <v>1</v>
      </c>
      <c r="AH29" s="33" t="str">
        <f t="shared" si="1"/>
        <v>Serigrafia 1–2 cores</v>
      </c>
      <c r="AI29" s="27">
        <v>0.08</v>
      </c>
      <c r="AJ29" s="33" t="str">
        <f>IFERROR(INDEX(tbl_regras_dfr[Classe],MATCH(L29&amp;"|Fluxo de reciclagem|"&amp;L29,tbl_regras_dfr[Chave],0)),"Sem regra")</f>
        <v>A</v>
      </c>
      <c r="AK29" s="33" t="str">
        <f>IF(LEFT(L29,9)="Sem fluxo","—",IFERROR(INDEX(tbl_regras_dfr[Classe],MATCH(L29&amp;"|Cor do corpo|"&amp;O29,tbl_regras_dfr[Chave],0)),"Sem regra"))</f>
        <v>A</v>
      </c>
      <c r="AL29" s="33" t="str">
        <f>IF(LEFT(L29,9)="Sem fluxo","—",IFERROR(INDEX(tbl_regras_dfr[Classe],MATCH(L29&amp;"|Densidade do corpo|"&amp;IF(R29&lt;1,"&lt; 1,0 g/cm³","≥ 1,0 g/cm³"),tbl_regras_dfr[Chave],0)),"Sem regra"))</f>
        <v>A</v>
      </c>
      <c r="AM29" s="33" t="str">
        <f>IF(LEFT(L29,9)="Sem fluxo","—",IFERROR(INDEX(tbl_regras_dfr[Classe],MATCH(L29&amp;"|Barreira / revestimento|"&amp;S29,tbl_regras_dfr[Chave],0)),"Sem regra"))</f>
        <v>A</v>
      </c>
      <c r="AN29" s="33" t="str">
        <f>IF(LEFT(L29,9)="Sem fluxo","—",IFERROR(INDEX(tbl_regras_dfr[Classe],MATCH(L29&amp;"|Material da tampa|"&amp;X29,tbl_regras_dfr[Chave],0)),"Sem regra"))</f>
        <v>A</v>
      </c>
      <c r="AO29" s="33" t="str">
        <f>IF(LEFT(L29,9)="Sem fluxo","—",IFERROR(INDEX(tbl_regras_dfr[Classe],MATCH(L29&amp;"|Vedante / liner|"&amp;Z29,tbl_regras_dfr[Chave],0)),"Sem regra"))</f>
        <v>A</v>
      </c>
      <c r="AP29" s="33" t="str">
        <f>IF(LEFT(L29,9)="Sem fluxo","—",IFERROR(INDEX(tbl_regras_dfr[Classe],MATCH(L29&amp;"|Tipo de rótulo|"&amp;AA29,tbl_regras_dfr[Chave],0)),"Sem regra"))</f>
        <v>A</v>
      </c>
      <c r="AQ29" s="33" t="str">
        <f>IF(LEFT(L29,9)="Sem fluxo","—",IFERROR(INDEX(tbl_regras_dfr[Classe],MATCH(L29&amp;"|Adesivo do rótulo|"&amp;AB29,tbl_regras_dfr[Chave],0)),"Sem regra"))</f>
        <v>A</v>
      </c>
      <c r="AR29" s="33" t="str">
        <f>IF(LEFT(L29,9)="Sem fluxo","—",IFERROR(INDEX(tbl_regras_dfr[Classe],MATCH(L29&amp;"|Cobertura do rótulo|"&amp;IF(AC29&gt;0.7,"&gt; 70% da superfície","≤ 70% da superfície"),tbl_regras_dfr[Chave],0)),"Sem regra"))</f>
        <v>A</v>
      </c>
      <c r="AS29" s="33" t="str">
        <f>IF(LEFT(L29,9)="Sem fluxo","—",IFERROR(INDEX(tbl_regras_dfr[Classe],MATCH(L29&amp;"|Decoração direta|"&amp;AH29,tbl_regras_dfr[Chave],0)),"Sem regra"))</f>
        <v>D</v>
      </c>
      <c r="AT29" s="31">
        <f t="shared" si="2"/>
        <v>4</v>
      </c>
      <c r="AU29" s="33" t="str">
        <f>IF(AT29=0,"",INDEX({"A","B","C","D","E","F"},AT29))</f>
        <v>D</v>
      </c>
      <c r="AV29" s="31">
        <f t="shared" si="3"/>
        <v>0</v>
      </c>
      <c r="AW29" s="33" t="str">
        <f t="shared" si="4"/>
        <v>Decoracao</v>
      </c>
      <c r="AX29" s="33" t="str">
        <f>IF(AU29="A","Sem ação — manter o design.",IFERROR(INDEX(tbl_regras_dfr[Recomendacao],MATCH(CHOOSE(MATCH(AU29,AJ29:AS29,0),L29&amp;"|Fluxo de reciclagem|"&amp;L29,L29&amp;"|Cor do corpo|"&amp;O29,L29&amp;"|Densidade do corpo|"&amp;IF(R29&lt;1,"&lt; 1,0 g/cm³","≥ 1,0 g/cm³"),L29&amp;"|Barreira / revestimento|"&amp;S29,L29&amp;"|Material da tampa|"&amp;X29,L29&amp;"|Vedante / liner|"&amp;Z29,L29&amp;"|Tipo de rótulo|"&amp;AA29,L29&amp;"|Adesivo do rótulo|"&amp;AB29,L29&amp;"|Cobertura do rótulo|"&amp;IF(AC29&gt;0.7,"&gt; 70% da superfície","≤ 70% da superfície"),L29&amp;"|Decoração direta|"&amp;AH29),tbl_regras_dfr[Chave],0)),""))</f>
        <v>Rótulo de PE/PP ou tinta destintável em lavagem alcalina (validar).</v>
      </c>
      <c r="AY29" s="38">
        <f t="shared" si="5"/>
        <v>34.78</v>
      </c>
      <c r="AZ29" s="36">
        <f>MIN(IFERROR(INDEX(tbl_regras_dfr[Fracao_Reciclavel],MATCH(L29&amp;"|Fluxo de reciclagem|"&amp;L29,tbl_regras_dfr[Chave],0)),0),IFERROR(INDEX(tbl_regras_dfr[Fracao_Reciclavel],MATCH(L29&amp;"|Cor do corpo|"&amp;O29,tbl_regras_dfr[Chave],0)),0))</f>
        <v>1</v>
      </c>
      <c r="BA29" s="36">
        <f>IFERROR(INDEX(tbl_regras_dfr[Fracao_Reciclavel],MATCH(L29&amp;"|Material da tampa|"&amp;X29,tbl_regras_dfr[Chave],0)),0)</f>
        <v>1</v>
      </c>
      <c r="BB29" s="36">
        <f>IFERROR(INDEX(tbl_regras_dfr[Fracao_Reciclavel],MATCH(L29&amp;"|Tipo de rótulo|"&amp;AA29,tbl_regras_dfr[Chave],0)),0)</f>
        <v>1</v>
      </c>
      <c r="BC29" s="38">
        <f t="shared" si="6"/>
        <v>34.700000000000003</v>
      </c>
      <c r="BD29" s="40">
        <f t="shared" si="7"/>
        <v>0.99769982748706154</v>
      </c>
      <c r="BE29" s="33" t="str">
        <f>IF(BD29&gt;=INDEX(tbl_param_emb[Valor],MATCH("P-06",tbl_param_emb[ID_Parametro],0)),"A",IF(BD29&gt;=INDEX(tbl_param_emb[Valor],MATCH("P-07",tbl_param_emb[ID_Parametro],0)),"B",IF(BD29&gt;=INDEX(tbl_param_emb[Valor],MATCH("P-08",tbl_param_emb[ID_Parametro],0)),"C","&lt; 70%")))</f>
        <v>A</v>
      </c>
      <c r="BF29" s="33" t="str">
        <f>IF(AU29="F","Não reciclável (F)",INDEX({"A","B","C","Abaixo de C"},MAX(MIN(AT29,4),IF(BE29="A",1,IF(BE29="B",2,IF(BE29="C",3,4))))))</f>
        <v>Abaixo de C</v>
      </c>
      <c r="BG29" s="33" t="str">
        <f t="shared" si="8"/>
        <v>—</v>
      </c>
      <c r="BH29" s="33" t="str">
        <f t="shared" si="9"/>
        <v>Não</v>
      </c>
      <c r="BI29" s="33" t="str">
        <f t="shared" si="10"/>
        <v>Não</v>
      </c>
      <c r="BJ29" s="36">
        <f>IFERROR(INDEX(tbl_materiais[Pct_PCR],MATCH(J29,tbl_materiais[Material],0)),0)</f>
        <v>0.5</v>
      </c>
      <c r="BK29" s="36">
        <f>IF(V29="",0,IFERROR(INDEX(tbl_tampas[Pct_PCR],MATCH(V29,tbl_tampas[CapId],0)),0))</f>
        <v>0</v>
      </c>
      <c r="BL29" s="40">
        <f t="shared" si="11"/>
        <v>0.35158501440922185</v>
      </c>
      <c r="BM29" s="33" t="str">
        <f t="shared" si="12"/>
        <v>Outras embalagens de plástico</v>
      </c>
      <c r="BN29" s="36">
        <f>IFERROR(IF(INDEX(tbl_metas_art7[Meta_2030],MATCH(BM29,tbl_metas_art7[Categoria_Art7],0))="","",INDEX(tbl_metas_art7[Meta_2030],MATCH(BM29,tbl_metas_art7[Categoria_Art7],0))),"")</f>
        <v>0.35</v>
      </c>
      <c r="BO29" s="40">
        <f t="shared" si="13"/>
        <v>0</v>
      </c>
      <c r="BP29" s="33" t="str">
        <f t="shared" si="14"/>
        <v>Sim</v>
      </c>
      <c r="BQ29" s="33" t="str">
        <f t="shared" si="15"/>
        <v>Multimaterial</v>
      </c>
      <c r="BR29" s="37">
        <v>152719</v>
      </c>
      <c r="BS29" s="39">
        <v>11</v>
      </c>
      <c r="BT29" s="26" t="s">
        <v>628</v>
      </c>
      <c r="BU29" s="32">
        <f t="shared" si="16"/>
        <v>3726.3435999999997</v>
      </c>
      <c r="BV29" s="31">
        <f>COUNTIFS(tbl_aplicabilidade[ProductId],B29,tbl_aplicabilidade[Aplicavel],"Sim")</f>
        <v>12</v>
      </c>
      <c r="BW29" s="31">
        <f>COUNTIFS(tbl_aplicabilidade[ProductId],B29,tbl_aplicabilidade[Estado_Resumo],"Lacuna")+COUNTIFS(tbl_aplicabilidade[ProductId],B29,tbl_aplicabilidade[Estado_Resumo],"Não conforme")</f>
        <v>2</v>
      </c>
      <c r="BX29" s="41">
        <v>46287</v>
      </c>
      <c r="BY29" s="42">
        <f t="shared" si="17"/>
        <v>46652</v>
      </c>
      <c r="BZ29" s="26" t="s">
        <v>596</v>
      </c>
      <c r="CA29" s="26" t="s">
        <v>597</v>
      </c>
      <c r="CB29" s="26" t="s">
        <v>598</v>
      </c>
    </row>
    <row r="30" spans="1:80" ht="18" customHeight="1" x14ac:dyDescent="0.3">
      <c r="A30" s="26" t="s">
        <v>674</v>
      </c>
      <c r="B30" s="26" t="s">
        <v>675</v>
      </c>
      <c r="C30" s="26" t="s">
        <v>586</v>
      </c>
      <c r="D30" s="26" t="s">
        <v>587</v>
      </c>
      <c r="E30" s="26" t="s">
        <v>588</v>
      </c>
      <c r="F30" s="26" t="s">
        <v>589</v>
      </c>
      <c r="G30" s="26" t="s">
        <v>609</v>
      </c>
      <c r="H30" s="37">
        <v>350</v>
      </c>
      <c r="I30" s="37">
        <v>121</v>
      </c>
      <c r="J30" s="26" t="s">
        <v>253</v>
      </c>
      <c r="K30" s="33" t="str">
        <f>IFERROR(INDEX(tbl_materiais[Polimero_Base],MATCH(J30,tbl_materiais[Material],0)),"")</f>
        <v>PET</v>
      </c>
      <c r="L30" s="33" t="str">
        <f>IFERROR(INDEX(tbl_materiais[Fluxo_Reciclagem],MATCH(J30,tbl_materiais[Material],0)),"")</f>
        <v>PET frascos e garrafas</v>
      </c>
      <c r="M30" s="33" t="str">
        <f t="shared" si="0"/>
        <v>PET — garrafas/frascos transparentes incolores</v>
      </c>
      <c r="N30" s="26" t="s">
        <v>610</v>
      </c>
      <c r="O30" s="26" t="s">
        <v>279</v>
      </c>
      <c r="P30" s="26" t="s">
        <v>611</v>
      </c>
      <c r="Q30" s="29">
        <v>0</v>
      </c>
      <c r="R30" s="35">
        <f>IFERROR(ROUND(INDEX(tbl_materiais[Densidade_g_cm3],MATCH(J30,tbl_materiais[Material],0))+Q30*1.2,3),"")</f>
        <v>1.38</v>
      </c>
      <c r="S30" s="26" t="s">
        <v>302</v>
      </c>
      <c r="T30" s="34">
        <v>24.4</v>
      </c>
      <c r="U30" s="26" t="s">
        <v>593</v>
      </c>
      <c r="V30" s="26" t="s">
        <v>427</v>
      </c>
      <c r="W30" s="33" t="str">
        <f>IF(V30="","",IFERROR(INDEX(tbl_tampas[Material],MATCH(V30,tbl_tampas[CapId],0)),""))</f>
        <v>PP</v>
      </c>
      <c r="X30" s="33" t="str">
        <f>IF(V30="","Sem tampa",IFERROR(INDEX(tbl_materiais[Polimero_Base],MATCH(W30,tbl_materiais[Material],0)),""))</f>
        <v>PP</v>
      </c>
      <c r="Y30" s="38">
        <f>IF(V30="",0,IFERROR(INDEX(tbl_tampas[Massa_g],MATCH(V30,tbl_tampas[CapId],0)),0))</f>
        <v>10.3</v>
      </c>
      <c r="Z30" s="26" t="s">
        <v>319</v>
      </c>
      <c r="AA30" s="26" t="s">
        <v>326</v>
      </c>
      <c r="AB30" s="26" t="s">
        <v>340</v>
      </c>
      <c r="AC30" s="29">
        <v>0</v>
      </c>
      <c r="AD30" s="27">
        <v>0</v>
      </c>
      <c r="AE30" s="26" t="s">
        <v>594</v>
      </c>
      <c r="AF30" s="26" t="s">
        <v>359</v>
      </c>
      <c r="AG30" s="39">
        <v>1</v>
      </c>
      <c r="AH30" s="33" t="str">
        <f t="shared" si="1"/>
        <v>Hot foil metalizado</v>
      </c>
      <c r="AI30" s="27">
        <v>0.03</v>
      </c>
      <c r="AJ30" s="33" t="str">
        <f>IFERROR(INDEX(tbl_regras_dfr[Classe],MATCH(L30&amp;"|Fluxo de reciclagem|"&amp;L30,tbl_regras_dfr[Chave],0)),"Sem regra")</f>
        <v>A</v>
      </c>
      <c r="AK30" s="33" t="str">
        <f>IF(LEFT(L30,9)="Sem fluxo","—",IFERROR(INDEX(tbl_regras_dfr[Classe],MATCH(L30&amp;"|Cor do corpo|"&amp;O30,tbl_regras_dfr[Chave],0)),"Sem regra"))</f>
        <v>A</v>
      </c>
      <c r="AL30" s="33" t="str">
        <f>IF(LEFT(L30,9)="Sem fluxo","—",IFERROR(INDEX(tbl_regras_dfr[Classe],MATCH(L30&amp;"|Densidade do corpo|"&amp;IF(R30&lt;1,"&lt; 1,0 g/cm³","≥ 1,0 g/cm³"),tbl_regras_dfr[Chave],0)),"Sem regra"))</f>
        <v>A</v>
      </c>
      <c r="AM30" s="33" t="str">
        <f>IF(LEFT(L30,9)="Sem fluxo","—",IFERROR(INDEX(tbl_regras_dfr[Classe],MATCH(L30&amp;"|Barreira / revestimento|"&amp;S30,tbl_regras_dfr[Chave],0)),"Sem regra"))</f>
        <v>A</v>
      </c>
      <c r="AN30" s="33" t="str">
        <f>IF(LEFT(L30,9)="Sem fluxo","—",IFERROR(INDEX(tbl_regras_dfr[Classe],MATCH(L30&amp;"|Material da tampa|"&amp;X30,tbl_regras_dfr[Chave],0)),"Sem regra"))</f>
        <v>A</v>
      </c>
      <c r="AO30" s="33" t="str">
        <f>IF(LEFT(L30,9)="Sem fluxo","—",IFERROR(INDEX(tbl_regras_dfr[Classe],MATCH(L30&amp;"|Vedante / liner|"&amp;Z30,tbl_regras_dfr[Chave],0)),"Sem regra"))</f>
        <v>A</v>
      </c>
      <c r="AP30" s="33" t="str">
        <f>IF(LEFT(L30,9)="Sem fluxo","—",IFERROR(INDEX(tbl_regras_dfr[Classe],MATCH(L30&amp;"|Tipo de rótulo|"&amp;AA30,tbl_regras_dfr[Chave],0)),"Sem regra"))</f>
        <v>A</v>
      </c>
      <c r="AQ30" s="33" t="str">
        <f>IF(LEFT(L30,9)="Sem fluxo","—",IFERROR(INDEX(tbl_regras_dfr[Classe],MATCH(L30&amp;"|Adesivo do rótulo|"&amp;AB30,tbl_regras_dfr[Chave],0)),"Sem regra"))</f>
        <v>A</v>
      </c>
      <c r="AR30" s="33" t="str">
        <f>IF(LEFT(L30,9)="Sem fluxo","—",IFERROR(INDEX(tbl_regras_dfr[Classe],MATCH(L30&amp;"|Cobertura do rótulo|"&amp;IF(AC30&gt;0.7,"&gt; 70% da superfície","≤ 70% da superfície"),tbl_regras_dfr[Chave],0)),"Sem regra"))</f>
        <v>A</v>
      </c>
      <c r="AS30" s="33" t="str">
        <f>IF(LEFT(L30,9)="Sem fluxo","—",IFERROR(INDEX(tbl_regras_dfr[Classe],MATCH(L30&amp;"|Decoração direta|"&amp;AH30,tbl_regras_dfr[Chave],0)),"Sem regra"))</f>
        <v>D</v>
      </c>
      <c r="AT30" s="31">
        <f t="shared" si="2"/>
        <v>4</v>
      </c>
      <c r="AU30" s="33" t="str">
        <f>IF(AT30=0,"",INDEX({"A","B","C","D","E","F"},AT30))</f>
        <v>D</v>
      </c>
      <c r="AV30" s="31">
        <f t="shared" si="3"/>
        <v>0</v>
      </c>
      <c r="AW30" s="33" t="str">
        <f t="shared" si="4"/>
        <v>Decoracao</v>
      </c>
      <c r="AX30" s="33" t="str">
        <f>IF(AU30="A","Sem ação — manter o design.",IFERROR(INDEX(tbl_regras_dfr[Recomendacao],MATCH(CHOOSE(MATCH(AU30,AJ30:AS30,0),L30&amp;"|Fluxo de reciclagem|"&amp;L30,L30&amp;"|Cor do corpo|"&amp;O30,L30&amp;"|Densidade do corpo|"&amp;IF(R30&lt;1,"&lt; 1,0 g/cm³","≥ 1,0 g/cm³"),L30&amp;"|Barreira / revestimento|"&amp;S30,L30&amp;"|Material da tampa|"&amp;X30,L30&amp;"|Vedante / liner|"&amp;Z30,L30&amp;"|Tipo de rótulo|"&amp;AA30,L30&amp;"|Adesivo do rótulo|"&amp;AB30,L30&amp;"|Cobertura do rótulo|"&amp;IF(AC30&gt;0.7,"&gt; 70% da superfície","≤ 70% da superfície"),L30&amp;"|Decoração direta|"&amp;AH30),tbl_regras_dfr[Chave],0)),""))</f>
        <v>Rótulo metalizado de PE/PP destacável.</v>
      </c>
      <c r="AY30" s="38">
        <f t="shared" si="5"/>
        <v>34.730000000000004</v>
      </c>
      <c r="AZ30" s="36">
        <f>MIN(IFERROR(INDEX(tbl_regras_dfr[Fracao_Reciclavel],MATCH(L30&amp;"|Fluxo de reciclagem|"&amp;L30,tbl_regras_dfr[Chave],0)),0),IFERROR(INDEX(tbl_regras_dfr[Fracao_Reciclavel],MATCH(L30&amp;"|Cor do corpo|"&amp;O30,tbl_regras_dfr[Chave],0)),0))</f>
        <v>1</v>
      </c>
      <c r="BA30" s="36">
        <f>IFERROR(INDEX(tbl_regras_dfr[Fracao_Reciclavel],MATCH(L30&amp;"|Material da tampa|"&amp;X30,tbl_regras_dfr[Chave],0)),0)</f>
        <v>1</v>
      </c>
      <c r="BB30" s="36">
        <f>IFERROR(INDEX(tbl_regras_dfr[Fracao_Reciclavel],MATCH(L30&amp;"|Tipo de rótulo|"&amp;AA30,tbl_regras_dfr[Chave],0)),0)</f>
        <v>1</v>
      </c>
      <c r="BC30" s="38">
        <f t="shared" si="6"/>
        <v>34.700000000000003</v>
      </c>
      <c r="BD30" s="40">
        <f t="shared" si="7"/>
        <v>0.99913619349265759</v>
      </c>
      <c r="BE30" s="33" t="str">
        <f>IF(BD30&gt;=INDEX(tbl_param_emb[Valor],MATCH("P-06",tbl_param_emb[ID_Parametro],0)),"A",IF(BD30&gt;=INDEX(tbl_param_emb[Valor],MATCH("P-07",tbl_param_emb[ID_Parametro],0)),"B",IF(BD30&gt;=INDEX(tbl_param_emb[Valor],MATCH("P-08",tbl_param_emb[ID_Parametro],0)),"C","&lt; 70%")))</f>
        <v>A</v>
      </c>
      <c r="BF30" s="33" t="str">
        <f>IF(AU30="F","Não reciclável (F)",INDEX({"A","B","C","Abaixo de C"},MAX(MIN(AT30,4),IF(BE30="A",1,IF(BE30="B",2,IF(BE30="C",3,4))))))</f>
        <v>Abaixo de C</v>
      </c>
      <c r="BG30" s="33" t="str">
        <f t="shared" si="8"/>
        <v>—</v>
      </c>
      <c r="BH30" s="33" t="str">
        <f t="shared" si="9"/>
        <v>Não</v>
      </c>
      <c r="BI30" s="33" t="str">
        <f t="shared" si="10"/>
        <v>Não</v>
      </c>
      <c r="BJ30" s="36">
        <f>IFERROR(INDEX(tbl_materiais[Pct_PCR],MATCH(J30,tbl_materiais[Material],0)),0)</f>
        <v>0.5</v>
      </c>
      <c r="BK30" s="36">
        <f>IF(V30="",0,IFERROR(INDEX(tbl_tampas[Pct_PCR],MATCH(V30,tbl_tampas[CapId],0)),0))</f>
        <v>0</v>
      </c>
      <c r="BL30" s="40">
        <f t="shared" si="11"/>
        <v>0.35158501440922185</v>
      </c>
      <c r="BM30" s="33" t="str">
        <f t="shared" si="12"/>
        <v>Outras embalagens de plástico</v>
      </c>
      <c r="BN30" s="36">
        <f>IFERROR(IF(INDEX(tbl_metas_art7[Meta_2030],MATCH(BM30,tbl_metas_art7[Categoria_Art7],0))="","",INDEX(tbl_metas_art7[Meta_2030],MATCH(BM30,tbl_metas_art7[Categoria_Art7],0))),"")</f>
        <v>0.35</v>
      </c>
      <c r="BO30" s="40">
        <f t="shared" si="13"/>
        <v>0</v>
      </c>
      <c r="BP30" s="33" t="str">
        <f t="shared" si="14"/>
        <v>Sim</v>
      </c>
      <c r="BQ30" s="33" t="str">
        <f t="shared" si="15"/>
        <v>Multimaterial</v>
      </c>
      <c r="BR30" s="37">
        <v>41788</v>
      </c>
      <c r="BS30" s="39">
        <v>9</v>
      </c>
      <c r="BT30" s="26" t="s">
        <v>454</v>
      </c>
      <c r="BU30" s="32">
        <f t="shared" si="16"/>
        <v>1019.6271999999999</v>
      </c>
      <c r="BV30" s="31">
        <f>COUNTIFS(tbl_aplicabilidade[ProductId],B30,tbl_aplicabilidade[Aplicavel],"Sim")</f>
        <v>12</v>
      </c>
      <c r="BW30" s="31">
        <f>COUNTIFS(tbl_aplicabilidade[ProductId],B30,tbl_aplicabilidade[Estado_Resumo],"Lacuna")+COUNTIFS(tbl_aplicabilidade[ProductId],B30,tbl_aplicabilidade[Estado_Resumo],"Não conforme")</f>
        <v>2</v>
      </c>
      <c r="BX30" s="41">
        <v>46287</v>
      </c>
      <c r="BY30" s="42">
        <f t="shared" si="17"/>
        <v>46652</v>
      </c>
      <c r="BZ30" s="26" t="s">
        <v>596</v>
      </c>
      <c r="CA30" s="26" t="s">
        <v>597</v>
      </c>
      <c r="CB30" s="26" t="s">
        <v>598</v>
      </c>
    </row>
    <row r="31" spans="1:80" ht="18" customHeight="1" x14ac:dyDescent="0.3">
      <c r="A31" s="26" t="s">
        <v>676</v>
      </c>
      <c r="B31" s="26" t="s">
        <v>677</v>
      </c>
      <c r="C31" s="26" t="s">
        <v>586</v>
      </c>
      <c r="D31" s="26" t="s">
        <v>587</v>
      </c>
      <c r="E31" s="26" t="s">
        <v>588</v>
      </c>
      <c r="F31" s="26" t="s">
        <v>589</v>
      </c>
      <c r="G31" s="26" t="s">
        <v>641</v>
      </c>
      <c r="H31" s="37">
        <v>400</v>
      </c>
      <c r="I31" s="37">
        <v>127</v>
      </c>
      <c r="J31" s="26" t="s">
        <v>249</v>
      </c>
      <c r="K31" s="33" t="str">
        <f>IFERROR(INDEX(tbl_materiais[Polimero_Base],MATCH(J31,tbl_materiais[Material],0)),"")</f>
        <v>PET</v>
      </c>
      <c r="L31" s="33" t="str">
        <f>IFERROR(INDEX(tbl_materiais[Fluxo_Reciclagem],MATCH(J31,tbl_materiais[Material],0)),"")</f>
        <v>PET frascos e garrafas</v>
      </c>
      <c r="M31" s="33" t="str">
        <f t="shared" si="0"/>
        <v>PET — garrafas/frascos transparentes incolores</v>
      </c>
      <c r="N31" s="26" t="s">
        <v>610</v>
      </c>
      <c r="O31" s="26" t="s">
        <v>279</v>
      </c>
      <c r="P31" s="26" t="s">
        <v>611</v>
      </c>
      <c r="Q31" s="29">
        <v>0</v>
      </c>
      <c r="R31" s="35">
        <f>IFERROR(ROUND(INDEX(tbl_materiais[Densidade_g_cm3],MATCH(J31,tbl_materiais[Material],0))+Q31*1.2,3),"")</f>
        <v>1.38</v>
      </c>
      <c r="S31" s="26" t="s">
        <v>302</v>
      </c>
      <c r="T31" s="34">
        <v>26.7</v>
      </c>
      <c r="U31" s="26" t="s">
        <v>593</v>
      </c>
      <c r="V31" s="26" t="s">
        <v>473</v>
      </c>
      <c r="W31" s="33" t="str">
        <f>IF(V31="","",IFERROR(INDEX(tbl_tampas[Material],MATCH(V31,tbl_tampas[CapId],0)),""))</f>
        <v>PP</v>
      </c>
      <c r="X31" s="33" t="str">
        <f>IF(V31="","Sem tampa",IFERROR(INDEX(tbl_materiais[Polimero_Base],MATCH(W31,tbl_materiais[Material],0)),""))</f>
        <v>PP</v>
      </c>
      <c r="Y31" s="38">
        <f>IF(V31="",0,IFERROR(INDEX(tbl_tampas[Massa_g],MATCH(V31,tbl_tampas[CapId],0)),0))</f>
        <v>19.3</v>
      </c>
      <c r="Z31" s="26" t="s">
        <v>319</v>
      </c>
      <c r="AA31" s="26" t="s">
        <v>326</v>
      </c>
      <c r="AB31" s="26" t="s">
        <v>340</v>
      </c>
      <c r="AC31" s="29">
        <v>0</v>
      </c>
      <c r="AD31" s="27">
        <v>0</v>
      </c>
      <c r="AE31" s="26" t="s">
        <v>594</v>
      </c>
      <c r="AF31" s="26" t="s">
        <v>359</v>
      </c>
      <c r="AG31" s="39">
        <v>1</v>
      </c>
      <c r="AH31" s="33" t="str">
        <f t="shared" si="1"/>
        <v>Hot foil metalizado</v>
      </c>
      <c r="AI31" s="27">
        <v>0.03</v>
      </c>
      <c r="AJ31" s="33" t="str">
        <f>IFERROR(INDEX(tbl_regras_dfr[Classe],MATCH(L31&amp;"|Fluxo de reciclagem|"&amp;L31,tbl_regras_dfr[Chave],0)),"Sem regra")</f>
        <v>A</v>
      </c>
      <c r="AK31" s="33" t="str">
        <f>IF(LEFT(L31,9)="Sem fluxo","—",IFERROR(INDEX(tbl_regras_dfr[Classe],MATCH(L31&amp;"|Cor do corpo|"&amp;O31,tbl_regras_dfr[Chave],0)),"Sem regra"))</f>
        <v>A</v>
      </c>
      <c r="AL31" s="33" t="str">
        <f>IF(LEFT(L31,9)="Sem fluxo","—",IFERROR(INDEX(tbl_regras_dfr[Classe],MATCH(L31&amp;"|Densidade do corpo|"&amp;IF(R31&lt;1,"&lt; 1,0 g/cm³","≥ 1,0 g/cm³"),tbl_regras_dfr[Chave],0)),"Sem regra"))</f>
        <v>A</v>
      </c>
      <c r="AM31" s="33" t="str">
        <f>IF(LEFT(L31,9)="Sem fluxo","—",IFERROR(INDEX(tbl_regras_dfr[Classe],MATCH(L31&amp;"|Barreira / revestimento|"&amp;S31,tbl_regras_dfr[Chave],0)),"Sem regra"))</f>
        <v>A</v>
      </c>
      <c r="AN31" s="33" t="str">
        <f>IF(LEFT(L31,9)="Sem fluxo","—",IFERROR(INDEX(tbl_regras_dfr[Classe],MATCH(L31&amp;"|Material da tampa|"&amp;X31,tbl_regras_dfr[Chave],0)),"Sem regra"))</f>
        <v>A</v>
      </c>
      <c r="AO31" s="33" t="str">
        <f>IF(LEFT(L31,9)="Sem fluxo","—",IFERROR(INDEX(tbl_regras_dfr[Classe],MATCH(L31&amp;"|Vedante / liner|"&amp;Z31,tbl_regras_dfr[Chave],0)),"Sem regra"))</f>
        <v>A</v>
      </c>
      <c r="AP31" s="33" t="str">
        <f>IF(LEFT(L31,9)="Sem fluxo","—",IFERROR(INDEX(tbl_regras_dfr[Classe],MATCH(L31&amp;"|Tipo de rótulo|"&amp;AA31,tbl_regras_dfr[Chave],0)),"Sem regra"))</f>
        <v>A</v>
      </c>
      <c r="AQ31" s="33" t="str">
        <f>IF(LEFT(L31,9)="Sem fluxo","—",IFERROR(INDEX(tbl_regras_dfr[Classe],MATCH(L31&amp;"|Adesivo do rótulo|"&amp;AB31,tbl_regras_dfr[Chave],0)),"Sem regra"))</f>
        <v>A</v>
      </c>
      <c r="AR31" s="33" t="str">
        <f>IF(LEFT(L31,9)="Sem fluxo","—",IFERROR(INDEX(tbl_regras_dfr[Classe],MATCH(L31&amp;"|Cobertura do rótulo|"&amp;IF(AC31&gt;0.7,"&gt; 70% da superfície","≤ 70% da superfície"),tbl_regras_dfr[Chave],0)),"Sem regra"))</f>
        <v>A</v>
      </c>
      <c r="AS31" s="33" t="str">
        <f>IF(LEFT(L31,9)="Sem fluxo","—",IFERROR(INDEX(tbl_regras_dfr[Classe],MATCH(L31&amp;"|Decoração direta|"&amp;AH31,tbl_regras_dfr[Chave],0)),"Sem regra"))</f>
        <v>D</v>
      </c>
      <c r="AT31" s="31">
        <f t="shared" si="2"/>
        <v>4</v>
      </c>
      <c r="AU31" s="33" t="str">
        <f>IF(AT31=0,"",INDEX({"A","B","C","D","E","F"},AT31))</f>
        <v>D</v>
      </c>
      <c r="AV31" s="31">
        <f t="shared" si="3"/>
        <v>0</v>
      </c>
      <c r="AW31" s="33" t="str">
        <f t="shared" si="4"/>
        <v>Decoracao</v>
      </c>
      <c r="AX31" s="33" t="str">
        <f>IF(AU31="A","Sem ação — manter o design.",IFERROR(INDEX(tbl_regras_dfr[Recomendacao],MATCH(CHOOSE(MATCH(AU31,AJ31:AS31,0),L31&amp;"|Fluxo de reciclagem|"&amp;L31,L31&amp;"|Cor do corpo|"&amp;O31,L31&amp;"|Densidade do corpo|"&amp;IF(R31&lt;1,"&lt; 1,0 g/cm³","≥ 1,0 g/cm³"),L31&amp;"|Barreira / revestimento|"&amp;S31,L31&amp;"|Material da tampa|"&amp;X31,L31&amp;"|Vedante / liner|"&amp;Z31,L31&amp;"|Tipo de rótulo|"&amp;AA31,L31&amp;"|Adesivo do rótulo|"&amp;AB31,L31&amp;"|Cobertura do rótulo|"&amp;IF(AC31&gt;0.7,"&gt; 70% da superfície","≤ 70% da superfície"),L31&amp;"|Decoração direta|"&amp;AH31),tbl_regras_dfr[Chave],0)),""))</f>
        <v>Rótulo metalizado de PE/PP destacável.</v>
      </c>
      <c r="AY31" s="38">
        <f t="shared" si="5"/>
        <v>46.03</v>
      </c>
      <c r="AZ31" s="36">
        <f>MIN(IFERROR(INDEX(tbl_regras_dfr[Fracao_Reciclavel],MATCH(L31&amp;"|Fluxo de reciclagem|"&amp;L31,tbl_regras_dfr[Chave],0)),0),IFERROR(INDEX(tbl_regras_dfr[Fracao_Reciclavel],MATCH(L31&amp;"|Cor do corpo|"&amp;O31,tbl_regras_dfr[Chave],0)),0))</f>
        <v>1</v>
      </c>
      <c r="BA31" s="36">
        <f>IFERROR(INDEX(tbl_regras_dfr[Fracao_Reciclavel],MATCH(L31&amp;"|Material da tampa|"&amp;X31,tbl_regras_dfr[Chave],0)),0)</f>
        <v>1</v>
      </c>
      <c r="BB31" s="36">
        <f>IFERROR(INDEX(tbl_regras_dfr[Fracao_Reciclavel],MATCH(L31&amp;"|Tipo de rótulo|"&amp;AA31,tbl_regras_dfr[Chave],0)),0)</f>
        <v>1</v>
      </c>
      <c r="BC31" s="38">
        <f t="shared" si="6"/>
        <v>46</v>
      </c>
      <c r="BD31" s="40">
        <f t="shared" si="7"/>
        <v>0.99934825114056047</v>
      </c>
      <c r="BE31" s="33" t="str">
        <f>IF(BD31&gt;=INDEX(tbl_param_emb[Valor],MATCH("P-06",tbl_param_emb[ID_Parametro],0)),"A",IF(BD31&gt;=INDEX(tbl_param_emb[Valor],MATCH("P-07",tbl_param_emb[ID_Parametro],0)),"B",IF(BD31&gt;=INDEX(tbl_param_emb[Valor],MATCH("P-08",tbl_param_emb[ID_Parametro],0)),"C","&lt; 70%")))</f>
        <v>A</v>
      </c>
      <c r="BF31" s="33" t="str">
        <f>IF(AU31="F","Não reciclável (F)",INDEX({"A","B","C","Abaixo de C"},MAX(MIN(AT31,4),IF(BE31="A",1,IF(BE31="B",2,IF(BE31="C",3,4))))))</f>
        <v>Abaixo de C</v>
      </c>
      <c r="BG31" s="33" t="str">
        <f t="shared" si="8"/>
        <v>—</v>
      </c>
      <c r="BH31" s="33" t="str">
        <f t="shared" si="9"/>
        <v>Não</v>
      </c>
      <c r="BI31" s="33" t="str">
        <f t="shared" si="10"/>
        <v>Não</v>
      </c>
      <c r="BJ31" s="36">
        <f>IFERROR(INDEX(tbl_materiais[Pct_PCR],MATCH(J31,tbl_materiais[Material],0)),0)</f>
        <v>0</v>
      </c>
      <c r="BK31" s="36">
        <f>IF(V31="",0,IFERROR(INDEX(tbl_tampas[Pct_PCR],MATCH(V31,tbl_tampas[CapId],0)),0))</f>
        <v>0</v>
      </c>
      <c r="BL31" s="40">
        <f t="shared" si="11"/>
        <v>0</v>
      </c>
      <c r="BM31" s="33" t="str">
        <f t="shared" si="12"/>
        <v>Outras embalagens de plástico</v>
      </c>
      <c r="BN31" s="36">
        <f>IFERROR(IF(INDEX(tbl_metas_art7[Meta_2030],MATCH(BM31,tbl_metas_art7[Categoria_Art7],0))="","",INDEX(tbl_metas_art7[Meta_2030],MATCH(BM31,tbl_metas_art7[Categoria_Art7],0))),"")</f>
        <v>0.35</v>
      </c>
      <c r="BO31" s="40">
        <f t="shared" si="13"/>
        <v>0.35</v>
      </c>
      <c r="BP31" s="33" t="str">
        <f t="shared" si="14"/>
        <v>Não</v>
      </c>
      <c r="BQ31" s="33" t="str">
        <f t="shared" si="15"/>
        <v>Multimaterial</v>
      </c>
      <c r="BR31" s="37">
        <v>477793</v>
      </c>
      <c r="BS31" s="39">
        <v>14</v>
      </c>
      <c r="BT31" s="26" t="s">
        <v>426</v>
      </c>
      <c r="BU31" s="32">
        <f t="shared" si="16"/>
        <v>12757.0731</v>
      </c>
      <c r="BV31" s="31">
        <f>COUNTIFS(tbl_aplicabilidade[ProductId],B31,tbl_aplicabilidade[Aplicavel],"Sim")</f>
        <v>12</v>
      </c>
      <c r="BW31" s="31">
        <f>COUNTIFS(tbl_aplicabilidade[ProductId],B31,tbl_aplicabilidade[Estado_Resumo],"Lacuna")+COUNTIFS(tbl_aplicabilidade[ProductId],B31,tbl_aplicabilidade[Estado_Resumo],"Não conforme")</f>
        <v>2</v>
      </c>
      <c r="BX31" s="41">
        <v>46287</v>
      </c>
      <c r="BY31" s="42">
        <f t="shared" si="17"/>
        <v>46652</v>
      </c>
      <c r="BZ31" s="26" t="s">
        <v>596</v>
      </c>
      <c r="CA31" s="26" t="s">
        <v>597</v>
      </c>
      <c r="CB31" s="26" t="s">
        <v>598</v>
      </c>
    </row>
    <row r="32" spans="1:80" ht="18" customHeight="1" x14ac:dyDescent="0.3">
      <c r="A32" s="26" t="s">
        <v>678</v>
      </c>
      <c r="B32" s="26" t="s">
        <v>679</v>
      </c>
      <c r="C32" s="26" t="s">
        <v>586</v>
      </c>
      <c r="D32" s="26" t="s">
        <v>587</v>
      </c>
      <c r="E32" s="26" t="s">
        <v>588</v>
      </c>
      <c r="F32" s="26" t="s">
        <v>589</v>
      </c>
      <c r="G32" s="26" t="s">
        <v>590</v>
      </c>
      <c r="H32" s="37">
        <v>500</v>
      </c>
      <c r="I32" s="37">
        <v>137</v>
      </c>
      <c r="J32" s="26" t="s">
        <v>223</v>
      </c>
      <c r="K32" s="33" t="str">
        <f>IFERROR(INDEX(tbl_materiais[Polimero_Base],MATCH(J32,tbl_materiais[Material],0)),"")</f>
        <v>PE</v>
      </c>
      <c r="L32" s="33" t="str">
        <f>IFERROR(INDEX(tbl_materiais[Fluxo_Reciclagem],MATCH(J32,tbl_materiais[Material],0)),"")</f>
        <v>PE rígido</v>
      </c>
      <c r="M32" s="33" t="str">
        <f t="shared" si="0"/>
        <v>PE rígido — frascos e contentores (HDPE/LDPE)</v>
      </c>
      <c r="N32" s="26" t="s">
        <v>622</v>
      </c>
      <c r="O32" s="26" t="s">
        <v>283</v>
      </c>
      <c r="P32" s="26" t="s">
        <v>623</v>
      </c>
      <c r="Q32" s="29">
        <v>1.4999999999999999E-2</v>
      </c>
      <c r="R32" s="35">
        <f>IFERROR(ROUND(INDEX(tbl_materiais[Densidade_g_cm3],MATCH(J32,tbl_materiais[Material],0))+Q32*1.2,3),"")</f>
        <v>0.97299999999999998</v>
      </c>
      <c r="S32" s="26" t="s">
        <v>302</v>
      </c>
      <c r="T32" s="34">
        <v>30.9</v>
      </c>
      <c r="U32" s="26" t="s">
        <v>593</v>
      </c>
      <c r="V32" s="26" t="s">
        <v>478</v>
      </c>
      <c r="W32" s="33" t="str">
        <f>IF(V32="","",IFERROR(INDEX(tbl_tampas[Material],MATCH(V32,tbl_tampas[CapId],0)),""))</f>
        <v>HDPE</v>
      </c>
      <c r="X32" s="33" t="str">
        <f>IF(V32="","Sem tampa",IFERROR(INDEX(tbl_materiais[Polimero_Base],MATCH(W32,tbl_materiais[Material],0)),""))</f>
        <v>PE</v>
      </c>
      <c r="Y32" s="38">
        <f>IF(V32="",0,IFERROR(INDEX(tbl_tampas[Massa_g],MATCH(V32,tbl_tampas[CapId],0)),0))</f>
        <v>21.4</v>
      </c>
      <c r="Z32" s="26" t="s">
        <v>319</v>
      </c>
      <c r="AA32" s="26" t="s">
        <v>327</v>
      </c>
      <c r="AB32" s="26" t="s">
        <v>342</v>
      </c>
      <c r="AC32" s="29">
        <v>0.4</v>
      </c>
      <c r="AD32" s="27">
        <v>0.64</v>
      </c>
      <c r="AE32" s="26" t="s">
        <v>604</v>
      </c>
      <c r="AF32" s="26" t="s">
        <v>302</v>
      </c>
      <c r="AG32" s="39">
        <v>0</v>
      </c>
      <c r="AH32" s="33" t="str">
        <f t="shared" si="1"/>
        <v>Nenhuma</v>
      </c>
      <c r="AI32" s="27">
        <v>0</v>
      </c>
      <c r="AJ32" s="33" t="str">
        <f>IFERROR(INDEX(tbl_regras_dfr[Classe],MATCH(L32&amp;"|Fluxo de reciclagem|"&amp;L32,tbl_regras_dfr[Chave],0)),"Sem regra")</f>
        <v>A</v>
      </c>
      <c r="AK32" s="33" t="str">
        <f>IF(LEFT(L32,9)="Sem fluxo","—",IFERROR(INDEX(tbl_regras_dfr[Classe],MATCH(L32&amp;"|Cor do corpo|"&amp;O32,tbl_regras_dfr[Chave],0)),"Sem regra"))</f>
        <v>B</v>
      </c>
      <c r="AL32" s="33" t="str">
        <f>IF(LEFT(L32,9)="Sem fluxo","—",IFERROR(INDEX(tbl_regras_dfr[Classe],MATCH(L32&amp;"|Densidade do corpo|"&amp;IF(R32&lt;1,"&lt; 1,0 g/cm³","≥ 1,0 g/cm³"),tbl_regras_dfr[Chave],0)),"Sem regra"))</f>
        <v>A</v>
      </c>
      <c r="AM32" s="33" t="str">
        <f>IF(LEFT(L32,9)="Sem fluxo","—",IFERROR(INDEX(tbl_regras_dfr[Classe],MATCH(L32&amp;"|Barreira / revestimento|"&amp;S32,tbl_regras_dfr[Chave],0)),"Sem regra"))</f>
        <v>A</v>
      </c>
      <c r="AN32" s="33" t="str">
        <f>IF(LEFT(L32,9)="Sem fluxo","—",IFERROR(INDEX(tbl_regras_dfr[Classe],MATCH(L32&amp;"|Material da tampa|"&amp;X32,tbl_regras_dfr[Chave],0)),"Sem regra"))</f>
        <v>A</v>
      </c>
      <c r="AO32" s="33" t="str">
        <f>IF(LEFT(L32,9)="Sem fluxo","—",IFERROR(INDEX(tbl_regras_dfr[Classe],MATCH(L32&amp;"|Vedante / liner|"&amp;Z32,tbl_regras_dfr[Chave],0)),"Sem regra"))</f>
        <v>A</v>
      </c>
      <c r="AP32" s="33" t="str">
        <f>IF(LEFT(L32,9)="Sem fluxo","—",IFERROR(INDEX(tbl_regras_dfr[Classe],MATCH(L32&amp;"|Tipo de rótulo|"&amp;AA32,tbl_regras_dfr[Chave],0)),"Sem regra"))</f>
        <v>A</v>
      </c>
      <c r="AQ32" s="33" t="str">
        <f>IF(LEFT(L32,9)="Sem fluxo","—",IFERROR(INDEX(tbl_regras_dfr[Classe],MATCH(L32&amp;"|Adesivo do rótulo|"&amp;AB32,tbl_regras_dfr[Chave],0)),"Sem regra"))</f>
        <v>A</v>
      </c>
      <c r="AR32" s="33" t="str">
        <f>IF(LEFT(L32,9)="Sem fluxo","—",IFERROR(INDEX(tbl_regras_dfr[Classe],MATCH(L32&amp;"|Cobertura do rótulo|"&amp;IF(AC32&gt;0.7,"&gt; 70% da superfície","≤ 70% da superfície"),tbl_regras_dfr[Chave],0)),"Sem regra"))</f>
        <v>A</v>
      </c>
      <c r="AS32" s="33" t="str">
        <f>IF(LEFT(L32,9)="Sem fluxo","—",IFERROR(INDEX(tbl_regras_dfr[Classe],MATCH(L32&amp;"|Decoração direta|"&amp;AH32,tbl_regras_dfr[Chave],0)),"Sem regra"))</f>
        <v>A</v>
      </c>
      <c r="AT32" s="31">
        <f t="shared" si="2"/>
        <v>2</v>
      </c>
      <c r="AU32" s="33" t="str">
        <f>IF(AT32=0,"",INDEX({"A","B","C","D","E","F"},AT32))</f>
        <v>B</v>
      </c>
      <c r="AV32" s="31">
        <f t="shared" si="3"/>
        <v>0</v>
      </c>
      <c r="AW32" s="33" t="str">
        <f t="shared" si="4"/>
        <v>Cor</v>
      </c>
      <c r="AX32" s="33" t="str">
        <f>IF(AU32="A","Sem ação — manter o design.",IFERROR(INDEX(tbl_regras_dfr[Recomendacao],MATCH(CHOOSE(MATCH(AU32,AJ32:AS32,0),L32&amp;"|Fluxo de reciclagem|"&amp;L32,L32&amp;"|Cor do corpo|"&amp;O32,L32&amp;"|Densidade do corpo|"&amp;IF(R32&lt;1,"&lt; 1,0 g/cm³","≥ 1,0 g/cm³"),L32&amp;"|Barreira / revestimento|"&amp;S32,L32&amp;"|Material da tampa|"&amp;X32,L32&amp;"|Vedante / liner|"&amp;Z32,L32&amp;"|Tipo de rótulo|"&amp;AA32,L32&amp;"|Adesivo do rótulo|"&amp;AB32,L32&amp;"|Cobertura do rótulo|"&amp;IF(AC32&gt;0.7,"&gt; 70% da superfície","≤ 70% da superfície"),L32&amp;"|Decoração direta|"&amp;AH32),tbl_regras_dfr[Chave],0)),""))</f>
        <v>Preferir natural, branco ou cores claras.</v>
      </c>
      <c r="AY32" s="38">
        <f t="shared" si="5"/>
        <v>52.94</v>
      </c>
      <c r="AZ32" s="36">
        <f>MIN(IFERROR(INDEX(tbl_regras_dfr[Fracao_Reciclavel],MATCH(L32&amp;"|Fluxo de reciclagem|"&amp;L32,tbl_regras_dfr[Chave],0)),0),IFERROR(INDEX(tbl_regras_dfr[Fracao_Reciclavel],MATCH(L32&amp;"|Cor do corpo|"&amp;O32,tbl_regras_dfr[Chave],0)),0))</f>
        <v>1</v>
      </c>
      <c r="BA32" s="36">
        <f>IFERROR(INDEX(tbl_regras_dfr[Fracao_Reciclavel],MATCH(L32&amp;"|Material da tampa|"&amp;X32,tbl_regras_dfr[Chave],0)),0)</f>
        <v>1</v>
      </c>
      <c r="BB32" s="36">
        <f>IFERROR(INDEX(tbl_regras_dfr[Fracao_Reciclavel],MATCH(L32&amp;"|Tipo de rótulo|"&amp;AA32,tbl_regras_dfr[Chave],0)),0)</f>
        <v>1</v>
      </c>
      <c r="BC32" s="38">
        <f t="shared" si="6"/>
        <v>52.94</v>
      </c>
      <c r="BD32" s="40">
        <f t="shared" si="7"/>
        <v>1</v>
      </c>
      <c r="BE32" s="33" t="str">
        <f>IF(BD32&gt;=INDEX(tbl_param_emb[Valor],MATCH("P-06",tbl_param_emb[ID_Parametro],0)),"A",IF(BD32&gt;=INDEX(tbl_param_emb[Valor],MATCH("P-07",tbl_param_emb[ID_Parametro],0)),"B",IF(BD32&gt;=INDEX(tbl_param_emb[Valor],MATCH("P-08",tbl_param_emb[ID_Parametro],0)),"C","&lt; 70%")))</f>
        <v>A</v>
      </c>
      <c r="BF32" s="33" t="str">
        <f>IF(AU32="F","Não reciclável (F)",INDEX({"A","B","C","Abaixo de C"},MAX(MIN(AT32,4),IF(BE32="A",1,IF(BE32="B",2,IF(BE32="C",3,4))))))</f>
        <v>B</v>
      </c>
      <c r="BG32" s="33" t="str">
        <f t="shared" si="8"/>
        <v>—</v>
      </c>
      <c r="BH32" s="33" t="str">
        <f t="shared" si="9"/>
        <v>Sim</v>
      </c>
      <c r="BI32" s="33" t="str">
        <f t="shared" si="10"/>
        <v>Sim</v>
      </c>
      <c r="BJ32" s="36">
        <f>IFERROR(INDEX(tbl_materiais[Pct_PCR],MATCH(J32,tbl_materiais[Material],0)),0)</f>
        <v>0</v>
      </c>
      <c r="BK32" s="36">
        <f>IF(V32="",0,IFERROR(INDEX(tbl_tampas[Pct_PCR],MATCH(V32,tbl_tampas[CapId],0)),0))</f>
        <v>0</v>
      </c>
      <c r="BL32" s="40">
        <f t="shared" si="11"/>
        <v>0</v>
      </c>
      <c r="BM32" s="33" t="str">
        <f t="shared" si="12"/>
        <v>Outras embalagens de plástico</v>
      </c>
      <c r="BN32" s="36">
        <f>IFERROR(IF(INDEX(tbl_metas_art7[Meta_2030],MATCH(BM32,tbl_metas_art7[Categoria_Art7],0))="","",INDEX(tbl_metas_art7[Meta_2030],MATCH(BM32,tbl_metas_art7[Categoria_Art7],0))),"")</f>
        <v>0.35</v>
      </c>
      <c r="BO32" s="40">
        <f t="shared" si="13"/>
        <v>0.35</v>
      </c>
      <c r="BP32" s="33" t="str">
        <f t="shared" si="14"/>
        <v>Não</v>
      </c>
      <c r="BQ32" s="33" t="str">
        <f t="shared" si="15"/>
        <v>Monomaterial (mesma família)</v>
      </c>
      <c r="BR32" s="37">
        <v>67121</v>
      </c>
      <c r="BS32" s="39">
        <v>9</v>
      </c>
      <c r="BT32" s="26" t="s">
        <v>482</v>
      </c>
      <c r="BU32" s="32">
        <f t="shared" si="16"/>
        <v>2074.0389</v>
      </c>
      <c r="BV32" s="31">
        <f>COUNTIFS(tbl_aplicabilidade[ProductId],B32,tbl_aplicabilidade[Aplicavel],"Sim")</f>
        <v>12</v>
      </c>
      <c r="BW32" s="31">
        <f>COUNTIFS(tbl_aplicabilidade[ProductId],B32,tbl_aplicabilidade[Estado_Resumo],"Lacuna")+COUNTIFS(tbl_aplicabilidade[ProductId],B32,tbl_aplicabilidade[Estado_Resumo],"Não conforme")</f>
        <v>1</v>
      </c>
      <c r="BX32" s="41">
        <v>46287</v>
      </c>
      <c r="BY32" s="42">
        <f t="shared" si="17"/>
        <v>46652</v>
      </c>
      <c r="BZ32" s="26" t="s">
        <v>596</v>
      </c>
      <c r="CA32" s="26" t="s">
        <v>597</v>
      </c>
      <c r="CB32" s="26" t="s">
        <v>598</v>
      </c>
    </row>
    <row r="33" spans="1:80" ht="18" customHeight="1" x14ac:dyDescent="0.3">
      <c r="A33" s="26" t="s">
        <v>680</v>
      </c>
      <c r="B33" s="26" t="s">
        <v>681</v>
      </c>
      <c r="C33" s="26" t="s">
        <v>586</v>
      </c>
      <c r="D33" s="26" t="s">
        <v>587</v>
      </c>
      <c r="E33" s="26" t="s">
        <v>588</v>
      </c>
      <c r="F33" s="26" t="s">
        <v>589</v>
      </c>
      <c r="G33" s="26" t="s">
        <v>590</v>
      </c>
      <c r="H33" s="37">
        <v>500</v>
      </c>
      <c r="I33" s="37">
        <v>137</v>
      </c>
      <c r="J33" s="26" t="s">
        <v>223</v>
      </c>
      <c r="K33" s="33" t="str">
        <f>IFERROR(INDEX(tbl_materiais[Polimero_Base],MATCH(J33,tbl_materiais[Material],0)),"")</f>
        <v>PE</v>
      </c>
      <c r="L33" s="33" t="str">
        <f>IFERROR(INDEX(tbl_materiais[Fluxo_Reciclagem],MATCH(J33,tbl_materiais[Material],0)),"")</f>
        <v>PE rígido</v>
      </c>
      <c r="M33" s="33" t="str">
        <f t="shared" si="0"/>
        <v>PE rígido — frascos e contentores (HDPE/LDPE)</v>
      </c>
      <c r="N33" s="26" t="s">
        <v>618</v>
      </c>
      <c r="O33" s="26" t="s">
        <v>286</v>
      </c>
      <c r="P33" s="26" t="s">
        <v>619</v>
      </c>
      <c r="Q33" s="29">
        <v>0.02</v>
      </c>
      <c r="R33" s="35">
        <f>IFERROR(ROUND(INDEX(tbl_materiais[Densidade_g_cm3],MATCH(J33,tbl_materiais[Material],0))+Q33*1.2,3),"")</f>
        <v>0.97899999999999998</v>
      </c>
      <c r="S33" s="26" t="s">
        <v>302</v>
      </c>
      <c r="T33" s="34">
        <v>30.9</v>
      </c>
      <c r="U33" s="26" t="s">
        <v>593</v>
      </c>
      <c r="V33" s="26" t="s">
        <v>449</v>
      </c>
      <c r="W33" s="33" t="str">
        <f>IF(V33="","",IFERROR(INDEX(tbl_tampas[Material],MATCH(V33,tbl_tampas[CapId],0)),""))</f>
        <v>HDPE</v>
      </c>
      <c r="X33" s="33" t="str">
        <f>IF(V33="","Sem tampa",IFERROR(INDEX(tbl_materiais[Polimero_Base],MATCH(W33,tbl_materiais[Material],0)),""))</f>
        <v>PE</v>
      </c>
      <c r="Y33" s="38">
        <f>IF(V33="",0,IFERROR(INDEX(tbl_tampas[Massa_g],MATCH(V33,tbl_tampas[CapId],0)),0))</f>
        <v>15.9</v>
      </c>
      <c r="Z33" s="26" t="s">
        <v>319</v>
      </c>
      <c r="AA33" s="26" t="s">
        <v>326</v>
      </c>
      <c r="AB33" s="26" t="s">
        <v>340</v>
      </c>
      <c r="AC33" s="29">
        <v>0</v>
      </c>
      <c r="AD33" s="27">
        <v>0</v>
      </c>
      <c r="AE33" s="26" t="s">
        <v>594</v>
      </c>
      <c r="AF33" s="26" t="s">
        <v>595</v>
      </c>
      <c r="AG33" s="39">
        <v>3</v>
      </c>
      <c r="AH33" s="33" t="str">
        <f t="shared" si="1"/>
        <v>Serigrafia ≥ 3 cores</v>
      </c>
      <c r="AI33" s="27">
        <v>0.24</v>
      </c>
      <c r="AJ33" s="33" t="str">
        <f>IFERROR(INDEX(tbl_regras_dfr[Classe],MATCH(L33&amp;"|Fluxo de reciclagem|"&amp;L33,tbl_regras_dfr[Chave],0)),"Sem regra")</f>
        <v>A</v>
      </c>
      <c r="AK33" s="33" t="str">
        <f>IF(LEFT(L33,9)="Sem fluxo","—",IFERROR(INDEX(tbl_regras_dfr[Classe],MATCH(L33&amp;"|Cor do corpo|"&amp;O33,tbl_regras_dfr[Chave],0)),"Sem regra"))</f>
        <v>B</v>
      </c>
      <c r="AL33" s="33" t="str">
        <f>IF(LEFT(L33,9)="Sem fluxo","—",IFERROR(INDEX(tbl_regras_dfr[Classe],MATCH(L33&amp;"|Densidade do corpo|"&amp;IF(R33&lt;1,"&lt; 1,0 g/cm³","≥ 1,0 g/cm³"),tbl_regras_dfr[Chave],0)),"Sem regra"))</f>
        <v>A</v>
      </c>
      <c r="AM33" s="33" t="str">
        <f>IF(LEFT(L33,9)="Sem fluxo","—",IFERROR(INDEX(tbl_regras_dfr[Classe],MATCH(L33&amp;"|Barreira / revestimento|"&amp;S33,tbl_regras_dfr[Chave],0)),"Sem regra"))</f>
        <v>A</v>
      </c>
      <c r="AN33" s="33" t="str">
        <f>IF(LEFT(L33,9)="Sem fluxo","—",IFERROR(INDEX(tbl_regras_dfr[Classe],MATCH(L33&amp;"|Material da tampa|"&amp;X33,tbl_regras_dfr[Chave],0)),"Sem regra"))</f>
        <v>A</v>
      </c>
      <c r="AO33" s="33" t="str">
        <f>IF(LEFT(L33,9)="Sem fluxo","—",IFERROR(INDEX(tbl_regras_dfr[Classe],MATCH(L33&amp;"|Vedante / liner|"&amp;Z33,tbl_regras_dfr[Chave],0)),"Sem regra"))</f>
        <v>A</v>
      </c>
      <c r="AP33" s="33" t="str">
        <f>IF(LEFT(L33,9)="Sem fluxo","—",IFERROR(INDEX(tbl_regras_dfr[Classe],MATCH(L33&amp;"|Tipo de rótulo|"&amp;AA33,tbl_regras_dfr[Chave],0)),"Sem regra"))</f>
        <v>A</v>
      </c>
      <c r="AQ33" s="33" t="str">
        <f>IF(LEFT(L33,9)="Sem fluxo","—",IFERROR(INDEX(tbl_regras_dfr[Classe],MATCH(L33&amp;"|Adesivo do rótulo|"&amp;AB33,tbl_regras_dfr[Chave],0)),"Sem regra"))</f>
        <v>A</v>
      </c>
      <c r="AR33" s="33" t="str">
        <f>IF(LEFT(L33,9)="Sem fluxo","—",IFERROR(INDEX(tbl_regras_dfr[Classe],MATCH(L33&amp;"|Cobertura do rótulo|"&amp;IF(AC33&gt;0.7,"&gt; 70% da superfície","≤ 70% da superfície"),tbl_regras_dfr[Chave],0)),"Sem regra"))</f>
        <v>A</v>
      </c>
      <c r="AS33" s="33" t="str">
        <f>IF(LEFT(L33,9)="Sem fluxo","—",IFERROR(INDEX(tbl_regras_dfr[Classe],MATCH(L33&amp;"|Decoração direta|"&amp;AH33,tbl_regras_dfr[Chave],0)),"Sem regra"))</f>
        <v>C</v>
      </c>
      <c r="AT33" s="31">
        <f t="shared" si="2"/>
        <v>3</v>
      </c>
      <c r="AU33" s="33" t="str">
        <f>IF(AT33=0,"",INDEX({"A","B","C","D","E","F"},AT33))</f>
        <v>C</v>
      </c>
      <c r="AV33" s="31">
        <f t="shared" si="3"/>
        <v>0</v>
      </c>
      <c r="AW33" s="33" t="str">
        <f t="shared" si="4"/>
        <v>Decoracao</v>
      </c>
      <c r="AX33" s="33" t="str">
        <f>IF(AU33="A","Sem ação — manter o design.",IFERROR(INDEX(tbl_regras_dfr[Recomendacao],MATCH(CHOOSE(MATCH(AU33,AJ33:AS33,0),L33&amp;"|Fluxo de reciclagem|"&amp;L33,L33&amp;"|Cor do corpo|"&amp;O33,L33&amp;"|Densidade do corpo|"&amp;IF(R33&lt;1,"&lt; 1,0 g/cm³","≥ 1,0 g/cm³"),L33&amp;"|Barreira / revestimento|"&amp;S33,L33&amp;"|Material da tampa|"&amp;X33,L33&amp;"|Vedante / liner|"&amp;Z33,L33&amp;"|Tipo de rótulo|"&amp;AA33,L33&amp;"|Adesivo do rótulo|"&amp;AB33,L33&amp;"|Cobertura do rótulo|"&amp;IF(AC33&gt;0.7,"&gt; 70% da superfície","≤ 70% da superfície"),L33&amp;"|Decoração direta|"&amp;AH33),tbl_regras_dfr[Chave],0)),""))</f>
        <v>Reduzir cores/área ou passar a rótulo de PE/PP.</v>
      </c>
      <c r="AY33" s="38">
        <f t="shared" si="5"/>
        <v>47.04</v>
      </c>
      <c r="AZ33" s="36">
        <f>MIN(IFERROR(INDEX(tbl_regras_dfr[Fracao_Reciclavel],MATCH(L33&amp;"|Fluxo de reciclagem|"&amp;L33,tbl_regras_dfr[Chave],0)),0),IFERROR(INDEX(tbl_regras_dfr[Fracao_Reciclavel],MATCH(L33&amp;"|Cor do corpo|"&amp;O33,tbl_regras_dfr[Chave],0)),0))</f>
        <v>1</v>
      </c>
      <c r="BA33" s="36">
        <f>IFERROR(INDEX(tbl_regras_dfr[Fracao_Reciclavel],MATCH(L33&amp;"|Material da tampa|"&amp;X33,tbl_regras_dfr[Chave],0)),0)</f>
        <v>1</v>
      </c>
      <c r="BB33" s="36">
        <f>IFERROR(INDEX(tbl_regras_dfr[Fracao_Reciclavel],MATCH(L33&amp;"|Tipo de rótulo|"&amp;AA33,tbl_regras_dfr[Chave],0)),0)</f>
        <v>1</v>
      </c>
      <c r="BC33" s="38">
        <f t="shared" si="6"/>
        <v>46.8</v>
      </c>
      <c r="BD33" s="40">
        <f t="shared" si="7"/>
        <v>0.99489795918367341</v>
      </c>
      <c r="BE33" s="33" t="str">
        <f>IF(BD33&gt;=INDEX(tbl_param_emb[Valor],MATCH("P-06",tbl_param_emb[ID_Parametro],0)),"A",IF(BD33&gt;=INDEX(tbl_param_emb[Valor],MATCH("P-07",tbl_param_emb[ID_Parametro],0)),"B",IF(BD33&gt;=INDEX(tbl_param_emb[Valor],MATCH("P-08",tbl_param_emb[ID_Parametro],0)),"C","&lt; 70%")))</f>
        <v>A</v>
      </c>
      <c r="BF33" s="33" t="str">
        <f>IF(AU33="F","Não reciclável (F)",INDEX({"A","B","C","Abaixo de C"},MAX(MIN(AT33,4),IF(BE33="A",1,IF(BE33="B",2,IF(BE33="C",3,4))))))</f>
        <v>C</v>
      </c>
      <c r="BG33" s="33" t="str">
        <f t="shared" si="8"/>
        <v>—</v>
      </c>
      <c r="BH33" s="33" t="str">
        <f t="shared" si="9"/>
        <v>Sim</v>
      </c>
      <c r="BI33" s="33" t="str">
        <f t="shared" si="10"/>
        <v>Não</v>
      </c>
      <c r="BJ33" s="36">
        <f>IFERROR(INDEX(tbl_materiais[Pct_PCR],MATCH(J33,tbl_materiais[Material],0)),0)</f>
        <v>0</v>
      </c>
      <c r="BK33" s="36">
        <f>IF(V33="",0,IFERROR(INDEX(tbl_tampas[Pct_PCR],MATCH(V33,tbl_tampas[CapId],0)),0))</f>
        <v>0</v>
      </c>
      <c r="BL33" s="40">
        <f t="shared" si="11"/>
        <v>0</v>
      </c>
      <c r="BM33" s="33" t="str">
        <f t="shared" si="12"/>
        <v>Outras embalagens de plástico</v>
      </c>
      <c r="BN33" s="36">
        <f>IFERROR(IF(INDEX(tbl_metas_art7[Meta_2030],MATCH(BM33,tbl_metas_art7[Categoria_Art7],0))="","",INDEX(tbl_metas_art7[Meta_2030],MATCH(BM33,tbl_metas_art7[Categoria_Art7],0))),"")</f>
        <v>0.35</v>
      </c>
      <c r="BO33" s="40">
        <f t="shared" si="13"/>
        <v>0.35</v>
      </c>
      <c r="BP33" s="33" t="str">
        <f t="shared" si="14"/>
        <v>Não</v>
      </c>
      <c r="BQ33" s="33" t="str">
        <f t="shared" si="15"/>
        <v>Monomaterial (mesma família)</v>
      </c>
      <c r="BR33" s="37">
        <v>113538</v>
      </c>
      <c r="BS33" s="39">
        <v>12</v>
      </c>
      <c r="BT33" s="26" t="s">
        <v>426</v>
      </c>
      <c r="BU33" s="32">
        <f t="shared" si="16"/>
        <v>3508.3241999999996</v>
      </c>
      <c r="BV33" s="31">
        <f>COUNTIFS(tbl_aplicabilidade[ProductId],B33,tbl_aplicabilidade[Aplicavel],"Sim")</f>
        <v>12</v>
      </c>
      <c r="BW33" s="31">
        <f>COUNTIFS(tbl_aplicabilidade[ProductId],B33,tbl_aplicabilidade[Estado_Resumo],"Lacuna")+COUNTIFS(tbl_aplicabilidade[ProductId],B33,tbl_aplicabilidade[Estado_Resumo],"Não conforme")</f>
        <v>1</v>
      </c>
      <c r="BX33" s="41">
        <v>46287</v>
      </c>
      <c r="BY33" s="42">
        <f t="shared" si="17"/>
        <v>46652</v>
      </c>
      <c r="BZ33" s="26" t="s">
        <v>596</v>
      </c>
      <c r="CA33" s="26" t="s">
        <v>597</v>
      </c>
      <c r="CB33" s="26" t="s">
        <v>598</v>
      </c>
    </row>
    <row r="34" spans="1:80" ht="18" customHeight="1" x14ac:dyDescent="0.3">
      <c r="A34" s="26" t="s">
        <v>682</v>
      </c>
      <c r="B34" s="26" t="s">
        <v>683</v>
      </c>
      <c r="C34" s="26" t="s">
        <v>586</v>
      </c>
      <c r="D34" s="26" t="s">
        <v>587</v>
      </c>
      <c r="E34" s="26" t="s">
        <v>588</v>
      </c>
      <c r="F34" s="26" t="s">
        <v>589</v>
      </c>
      <c r="G34" s="26" t="s">
        <v>590</v>
      </c>
      <c r="H34" s="37">
        <v>500</v>
      </c>
      <c r="I34" s="37">
        <v>137</v>
      </c>
      <c r="J34" s="26" t="s">
        <v>223</v>
      </c>
      <c r="K34" s="33" t="str">
        <f>IFERROR(INDEX(tbl_materiais[Polimero_Base],MATCH(J34,tbl_materiais[Material],0)),"")</f>
        <v>PE</v>
      </c>
      <c r="L34" s="33" t="str">
        <f>IFERROR(INDEX(tbl_materiais[Fluxo_Reciclagem],MATCH(J34,tbl_materiais[Material],0)),"")</f>
        <v>PE rígido</v>
      </c>
      <c r="M34" s="33" t="str">
        <f t="shared" si="0"/>
        <v>PE rígido — frascos e contentores (HDPE/LDPE)</v>
      </c>
      <c r="N34" s="26" t="s">
        <v>602</v>
      </c>
      <c r="O34" s="26" t="s">
        <v>283</v>
      </c>
      <c r="P34" s="26" t="s">
        <v>603</v>
      </c>
      <c r="Q34" s="29">
        <v>0.02</v>
      </c>
      <c r="R34" s="35">
        <f>IFERROR(ROUND(INDEX(tbl_materiais[Densidade_g_cm3],MATCH(J34,tbl_materiais[Material],0))+Q34*1.2,3),"")</f>
        <v>0.97899999999999998</v>
      </c>
      <c r="S34" s="26" t="s">
        <v>302</v>
      </c>
      <c r="T34" s="34">
        <v>30.9</v>
      </c>
      <c r="U34" s="26" t="s">
        <v>593</v>
      </c>
      <c r="V34" s="26" t="s">
        <v>449</v>
      </c>
      <c r="W34" s="33" t="str">
        <f>IF(V34="","",IFERROR(INDEX(tbl_tampas[Material],MATCH(V34,tbl_tampas[CapId],0)),""))</f>
        <v>HDPE</v>
      </c>
      <c r="X34" s="33" t="str">
        <f>IF(V34="","Sem tampa",IFERROR(INDEX(tbl_materiais[Polimero_Base],MATCH(W34,tbl_materiais[Material],0)),""))</f>
        <v>PE</v>
      </c>
      <c r="Y34" s="38">
        <f>IF(V34="",0,IFERROR(INDEX(tbl_tampas[Massa_g],MATCH(V34,tbl_tampas[CapId],0)),0))</f>
        <v>15.9</v>
      </c>
      <c r="Z34" s="26" t="s">
        <v>319</v>
      </c>
      <c r="AA34" s="26" t="s">
        <v>326</v>
      </c>
      <c r="AB34" s="26" t="s">
        <v>340</v>
      </c>
      <c r="AC34" s="29">
        <v>0</v>
      </c>
      <c r="AD34" s="27">
        <v>0</v>
      </c>
      <c r="AE34" s="26" t="s">
        <v>594</v>
      </c>
      <c r="AF34" s="26" t="s">
        <v>359</v>
      </c>
      <c r="AG34" s="39">
        <v>1</v>
      </c>
      <c r="AH34" s="33" t="str">
        <f t="shared" si="1"/>
        <v>Hot foil metalizado</v>
      </c>
      <c r="AI34" s="27">
        <v>0.03</v>
      </c>
      <c r="AJ34" s="33" t="str">
        <f>IFERROR(INDEX(tbl_regras_dfr[Classe],MATCH(L34&amp;"|Fluxo de reciclagem|"&amp;L34,tbl_regras_dfr[Chave],0)),"Sem regra")</f>
        <v>A</v>
      </c>
      <c r="AK34" s="33" t="str">
        <f>IF(LEFT(L34,9)="Sem fluxo","—",IFERROR(INDEX(tbl_regras_dfr[Classe],MATCH(L34&amp;"|Cor do corpo|"&amp;O34,tbl_regras_dfr[Chave],0)),"Sem regra"))</f>
        <v>B</v>
      </c>
      <c r="AL34" s="33" t="str">
        <f>IF(LEFT(L34,9)="Sem fluxo","—",IFERROR(INDEX(tbl_regras_dfr[Classe],MATCH(L34&amp;"|Densidade do corpo|"&amp;IF(R34&lt;1,"&lt; 1,0 g/cm³","≥ 1,0 g/cm³"),tbl_regras_dfr[Chave],0)),"Sem regra"))</f>
        <v>A</v>
      </c>
      <c r="AM34" s="33" t="str">
        <f>IF(LEFT(L34,9)="Sem fluxo","—",IFERROR(INDEX(tbl_regras_dfr[Classe],MATCH(L34&amp;"|Barreira / revestimento|"&amp;S34,tbl_regras_dfr[Chave],0)),"Sem regra"))</f>
        <v>A</v>
      </c>
      <c r="AN34" s="33" t="str">
        <f>IF(LEFT(L34,9)="Sem fluxo","—",IFERROR(INDEX(tbl_regras_dfr[Classe],MATCH(L34&amp;"|Material da tampa|"&amp;X34,tbl_regras_dfr[Chave],0)),"Sem regra"))</f>
        <v>A</v>
      </c>
      <c r="AO34" s="33" t="str">
        <f>IF(LEFT(L34,9)="Sem fluxo","—",IFERROR(INDEX(tbl_regras_dfr[Classe],MATCH(L34&amp;"|Vedante / liner|"&amp;Z34,tbl_regras_dfr[Chave],0)),"Sem regra"))</f>
        <v>A</v>
      </c>
      <c r="AP34" s="33" t="str">
        <f>IF(LEFT(L34,9)="Sem fluxo","—",IFERROR(INDEX(tbl_regras_dfr[Classe],MATCH(L34&amp;"|Tipo de rótulo|"&amp;AA34,tbl_regras_dfr[Chave],0)),"Sem regra"))</f>
        <v>A</v>
      </c>
      <c r="AQ34" s="33" t="str">
        <f>IF(LEFT(L34,9)="Sem fluxo","—",IFERROR(INDEX(tbl_regras_dfr[Classe],MATCH(L34&amp;"|Adesivo do rótulo|"&amp;AB34,tbl_regras_dfr[Chave],0)),"Sem regra"))</f>
        <v>A</v>
      </c>
      <c r="AR34" s="33" t="str">
        <f>IF(LEFT(L34,9)="Sem fluxo","—",IFERROR(INDEX(tbl_regras_dfr[Classe],MATCH(L34&amp;"|Cobertura do rótulo|"&amp;IF(AC34&gt;0.7,"&gt; 70% da superfície","≤ 70% da superfície"),tbl_regras_dfr[Chave],0)),"Sem regra"))</f>
        <v>A</v>
      </c>
      <c r="AS34" s="33" t="str">
        <f>IF(LEFT(L34,9)="Sem fluxo","—",IFERROR(INDEX(tbl_regras_dfr[Classe],MATCH(L34&amp;"|Decoração direta|"&amp;AH34,tbl_regras_dfr[Chave],0)),"Sem regra"))</f>
        <v>C</v>
      </c>
      <c r="AT34" s="31">
        <f t="shared" si="2"/>
        <v>3</v>
      </c>
      <c r="AU34" s="33" t="str">
        <f>IF(AT34=0,"",INDEX({"A","B","C","D","E","F"},AT34))</f>
        <v>C</v>
      </c>
      <c r="AV34" s="31">
        <f t="shared" si="3"/>
        <v>0</v>
      </c>
      <c r="AW34" s="33" t="str">
        <f t="shared" si="4"/>
        <v>Decoracao</v>
      </c>
      <c r="AX34" s="33" t="str">
        <f>IF(AU34="A","Sem ação — manter o design.",IFERROR(INDEX(tbl_regras_dfr[Recomendacao],MATCH(CHOOSE(MATCH(AU34,AJ34:AS34,0),L34&amp;"|Fluxo de reciclagem|"&amp;L34,L34&amp;"|Cor do corpo|"&amp;O34,L34&amp;"|Densidade do corpo|"&amp;IF(R34&lt;1,"&lt; 1,0 g/cm³","≥ 1,0 g/cm³"),L34&amp;"|Barreira / revestimento|"&amp;S34,L34&amp;"|Material da tampa|"&amp;X34,L34&amp;"|Vedante / liner|"&amp;Z34,L34&amp;"|Tipo de rótulo|"&amp;AA34,L34&amp;"|Adesivo do rótulo|"&amp;AB34,L34&amp;"|Cobertura do rótulo|"&amp;IF(AC34&gt;0.7,"&gt; 70% da superfície","≤ 70% da superfície"),L34&amp;"|Decoração direta|"&amp;AH34),tbl_regras_dfr[Chave],0)),""))</f>
        <v>Reduzir a área de hot foil ou usar rótulo metalizado destacável.</v>
      </c>
      <c r="AY34" s="38">
        <f t="shared" si="5"/>
        <v>46.83</v>
      </c>
      <c r="AZ34" s="36">
        <f>MIN(IFERROR(INDEX(tbl_regras_dfr[Fracao_Reciclavel],MATCH(L34&amp;"|Fluxo de reciclagem|"&amp;L34,tbl_regras_dfr[Chave],0)),0),IFERROR(INDEX(tbl_regras_dfr[Fracao_Reciclavel],MATCH(L34&amp;"|Cor do corpo|"&amp;O34,tbl_regras_dfr[Chave],0)),0))</f>
        <v>1</v>
      </c>
      <c r="BA34" s="36">
        <f>IFERROR(INDEX(tbl_regras_dfr[Fracao_Reciclavel],MATCH(L34&amp;"|Material da tampa|"&amp;X34,tbl_regras_dfr[Chave],0)),0)</f>
        <v>1</v>
      </c>
      <c r="BB34" s="36">
        <f>IFERROR(INDEX(tbl_regras_dfr[Fracao_Reciclavel],MATCH(L34&amp;"|Tipo de rótulo|"&amp;AA34,tbl_regras_dfr[Chave],0)),0)</f>
        <v>1</v>
      </c>
      <c r="BC34" s="38">
        <f t="shared" si="6"/>
        <v>46.8</v>
      </c>
      <c r="BD34" s="40">
        <f t="shared" si="7"/>
        <v>0.99935938500960919</v>
      </c>
      <c r="BE34" s="33" t="str">
        <f>IF(BD34&gt;=INDEX(tbl_param_emb[Valor],MATCH("P-06",tbl_param_emb[ID_Parametro],0)),"A",IF(BD34&gt;=INDEX(tbl_param_emb[Valor],MATCH("P-07",tbl_param_emb[ID_Parametro],0)),"B",IF(BD34&gt;=INDEX(tbl_param_emb[Valor],MATCH("P-08",tbl_param_emb[ID_Parametro],0)),"C","&lt; 70%")))</f>
        <v>A</v>
      </c>
      <c r="BF34" s="33" t="str">
        <f>IF(AU34="F","Não reciclável (F)",INDEX({"A","B","C","Abaixo de C"},MAX(MIN(AT34,4),IF(BE34="A",1,IF(BE34="B",2,IF(BE34="C",3,4))))))</f>
        <v>C</v>
      </c>
      <c r="BG34" s="33" t="str">
        <f t="shared" si="8"/>
        <v>—</v>
      </c>
      <c r="BH34" s="33" t="str">
        <f t="shared" si="9"/>
        <v>Sim</v>
      </c>
      <c r="BI34" s="33" t="str">
        <f t="shared" si="10"/>
        <v>Não</v>
      </c>
      <c r="BJ34" s="36">
        <f>IFERROR(INDEX(tbl_materiais[Pct_PCR],MATCH(J34,tbl_materiais[Material],0)),0)</f>
        <v>0</v>
      </c>
      <c r="BK34" s="36">
        <f>IF(V34="",0,IFERROR(INDEX(tbl_tampas[Pct_PCR],MATCH(V34,tbl_tampas[CapId],0)),0))</f>
        <v>0</v>
      </c>
      <c r="BL34" s="40">
        <f t="shared" si="11"/>
        <v>0</v>
      </c>
      <c r="BM34" s="33" t="str">
        <f t="shared" si="12"/>
        <v>Outras embalagens de plástico</v>
      </c>
      <c r="BN34" s="36">
        <f>IFERROR(IF(INDEX(tbl_metas_art7[Meta_2030],MATCH(BM34,tbl_metas_art7[Categoria_Art7],0))="","",INDEX(tbl_metas_art7[Meta_2030],MATCH(BM34,tbl_metas_art7[Categoria_Art7],0))),"")</f>
        <v>0.35</v>
      </c>
      <c r="BO34" s="40">
        <f t="shared" si="13"/>
        <v>0.35</v>
      </c>
      <c r="BP34" s="33" t="str">
        <f t="shared" si="14"/>
        <v>Não</v>
      </c>
      <c r="BQ34" s="33" t="str">
        <f t="shared" si="15"/>
        <v>Monomaterial (mesma família)</v>
      </c>
      <c r="BR34" s="37">
        <v>109773</v>
      </c>
      <c r="BS34" s="39">
        <v>13</v>
      </c>
      <c r="BT34" s="26" t="s">
        <v>426</v>
      </c>
      <c r="BU34" s="32">
        <f t="shared" si="16"/>
        <v>3391.9856999999997</v>
      </c>
      <c r="BV34" s="31">
        <f>COUNTIFS(tbl_aplicabilidade[ProductId],B34,tbl_aplicabilidade[Aplicavel],"Sim")</f>
        <v>12</v>
      </c>
      <c r="BW34" s="31">
        <f>COUNTIFS(tbl_aplicabilidade[ProductId],B34,tbl_aplicabilidade[Estado_Resumo],"Lacuna")+COUNTIFS(tbl_aplicabilidade[ProductId],B34,tbl_aplicabilidade[Estado_Resumo],"Não conforme")</f>
        <v>1</v>
      </c>
      <c r="BX34" s="41">
        <v>46287</v>
      </c>
      <c r="BY34" s="42">
        <f t="shared" si="17"/>
        <v>46652</v>
      </c>
      <c r="BZ34" s="26" t="s">
        <v>596</v>
      </c>
      <c r="CA34" s="26" t="s">
        <v>597</v>
      </c>
      <c r="CB34" s="26" t="s">
        <v>598</v>
      </c>
    </row>
    <row r="35" spans="1:80" ht="18" customHeight="1" x14ac:dyDescent="0.3">
      <c r="A35" s="26" t="s">
        <v>684</v>
      </c>
      <c r="B35" s="26" t="s">
        <v>685</v>
      </c>
      <c r="C35" s="26" t="s">
        <v>586</v>
      </c>
      <c r="D35" s="26" t="s">
        <v>587</v>
      </c>
      <c r="E35" s="26" t="s">
        <v>588</v>
      </c>
      <c r="F35" s="26" t="s">
        <v>589</v>
      </c>
      <c r="G35" s="26" t="s">
        <v>601</v>
      </c>
      <c r="H35" s="37">
        <v>500</v>
      </c>
      <c r="I35" s="37">
        <v>137</v>
      </c>
      <c r="J35" s="26" t="s">
        <v>229</v>
      </c>
      <c r="K35" s="33" t="str">
        <f>IFERROR(INDEX(tbl_materiais[Polimero_Base],MATCH(J35,tbl_materiais[Material],0)),"")</f>
        <v>PE</v>
      </c>
      <c r="L35" s="33" t="str">
        <f>IFERROR(INDEX(tbl_materiais[Fluxo_Reciclagem],MATCH(J35,tbl_materiais[Material],0)),"")</f>
        <v>PE rígido</v>
      </c>
      <c r="M35" s="33" t="str">
        <f t="shared" si="0"/>
        <v>PE rígido — frascos e contentores (HDPE/LDPE)</v>
      </c>
      <c r="N35" s="26" t="s">
        <v>618</v>
      </c>
      <c r="O35" s="26" t="s">
        <v>286</v>
      </c>
      <c r="P35" s="26" t="s">
        <v>619</v>
      </c>
      <c r="Q35" s="29">
        <v>0.02</v>
      </c>
      <c r="R35" s="35">
        <f>IFERROR(ROUND(INDEX(tbl_materiais[Densidade_g_cm3],MATCH(J35,tbl_materiais[Material],0))+Q35*1.2,3),"")</f>
        <v>0.98399999999999999</v>
      </c>
      <c r="S35" s="26" t="s">
        <v>302</v>
      </c>
      <c r="T35" s="34">
        <v>30.9</v>
      </c>
      <c r="U35" s="26" t="s">
        <v>593</v>
      </c>
      <c r="V35" s="26" t="s">
        <v>475</v>
      </c>
      <c r="W35" s="33" t="str">
        <f>IF(V35="","",IFERROR(INDEX(tbl_tampas[Material],MATCH(V35,tbl_tampas[CapId],0)),""))</f>
        <v>PP-PCR</v>
      </c>
      <c r="X35" s="33" t="str">
        <f>IF(V35="","Sem tampa",IFERROR(INDEX(tbl_materiais[Polimero_Base],MATCH(W35,tbl_materiais[Material],0)),""))</f>
        <v>PP</v>
      </c>
      <c r="Y35" s="38">
        <f>IF(V35="",0,IFERROR(INDEX(tbl_tampas[Massa_g],MATCH(V35,tbl_tampas[CapId],0)),0))</f>
        <v>19.3</v>
      </c>
      <c r="Z35" s="26" t="s">
        <v>319</v>
      </c>
      <c r="AA35" s="26" t="s">
        <v>327</v>
      </c>
      <c r="AB35" s="26" t="s">
        <v>342</v>
      </c>
      <c r="AC35" s="29">
        <v>0.4</v>
      </c>
      <c r="AD35" s="27">
        <v>0.64</v>
      </c>
      <c r="AE35" s="26" t="s">
        <v>604</v>
      </c>
      <c r="AF35" s="26" t="s">
        <v>302</v>
      </c>
      <c r="AG35" s="39">
        <v>0</v>
      </c>
      <c r="AH35" s="33" t="str">
        <f t="shared" si="1"/>
        <v>Nenhuma</v>
      </c>
      <c r="AI35" s="27">
        <v>0</v>
      </c>
      <c r="AJ35" s="33" t="str">
        <f>IFERROR(INDEX(tbl_regras_dfr[Classe],MATCH(L35&amp;"|Fluxo de reciclagem|"&amp;L35,tbl_regras_dfr[Chave],0)),"Sem regra")</f>
        <v>A</v>
      </c>
      <c r="AK35" s="33" t="str">
        <f>IF(LEFT(L35,9)="Sem fluxo","—",IFERROR(INDEX(tbl_regras_dfr[Classe],MATCH(L35&amp;"|Cor do corpo|"&amp;O35,tbl_regras_dfr[Chave],0)),"Sem regra"))</f>
        <v>B</v>
      </c>
      <c r="AL35" s="33" t="str">
        <f>IF(LEFT(L35,9)="Sem fluxo","—",IFERROR(INDEX(tbl_regras_dfr[Classe],MATCH(L35&amp;"|Densidade do corpo|"&amp;IF(R35&lt;1,"&lt; 1,0 g/cm³","≥ 1,0 g/cm³"),tbl_regras_dfr[Chave],0)),"Sem regra"))</f>
        <v>A</v>
      </c>
      <c r="AM35" s="33" t="str">
        <f>IF(LEFT(L35,9)="Sem fluxo","—",IFERROR(INDEX(tbl_regras_dfr[Classe],MATCH(L35&amp;"|Barreira / revestimento|"&amp;S35,tbl_regras_dfr[Chave],0)),"Sem regra"))</f>
        <v>A</v>
      </c>
      <c r="AN35" s="33" t="str">
        <f>IF(LEFT(L35,9)="Sem fluxo","—",IFERROR(INDEX(tbl_regras_dfr[Classe],MATCH(L35&amp;"|Material da tampa|"&amp;X35,tbl_regras_dfr[Chave],0)),"Sem regra"))</f>
        <v>A</v>
      </c>
      <c r="AO35" s="33" t="str">
        <f>IF(LEFT(L35,9)="Sem fluxo","—",IFERROR(INDEX(tbl_regras_dfr[Classe],MATCH(L35&amp;"|Vedante / liner|"&amp;Z35,tbl_regras_dfr[Chave],0)),"Sem regra"))</f>
        <v>A</v>
      </c>
      <c r="AP35" s="33" t="str">
        <f>IF(LEFT(L35,9)="Sem fluxo","—",IFERROR(INDEX(tbl_regras_dfr[Classe],MATCH(L35&amp;"|Tipo de rótulo|"&amp;AA35,tbl_regras_dfr[Chave],0)),"Sem regra"))</f>
        <v>A</v>
      </c>
      <c r="AQ35" s="33" t="str">
        <f>IF(LEFT(L35,9)="Sem fluxo","—",IFERROR(INDEX(tbl_regras_dfr[Classe],MATCH(L35&amp;"|Adesivo do rótulo|"&amp;AB35,tbl_regras_dfr[Chave],0)),"Sem regra"))</f>
        <v>A</v>
      </c>
      <c r="AR35" s="33" t="str">
        <f>IF(LEFT(L35,9)="Sem fluxo","—",IFERROR(INDEX(tbl_regras_dfr[Classe],MATCH(L35&amp;"|Cobertura do rótulo|"&amp;IF(AC35&gt;0.7,"&gt; 70% da superfície","≤ 70% da superfície"),tbl_regras_dfr[Chave],0)),"Sem regra"))</f>
        <v>A</v>
      </c>
      <c r="AS35" s="33" t="str">
        <f>IF(LEFT(L35,9)="Sem fluxo","—",IFERROR(INDEX(tbl_regras_dfr[Classe],MATCH(L35&amp;"|Decoração direta|"&amp;AH35,tbl_regras_dfr[Chave],0)),"Sem regra"))</f>
        <v>A</v>
      </c>
      <c r="AT35" s="31">
        <f t="shared" si="2"/>
        <v>2</v>
      </c>
      <c r="AU35" s="33" t="str">
        <f>IF(AT35=0,"",INDEX({"A","B","C","D","E","F"},AT35))</f>
        <v>B</v>
      </c>
      <c r="AV35" s="31">
        <f t="shared" si="3"/>
        <v>0</v>
      </c>
      <c r="AW35" s="33" t="str">
        <f t="shared" si="4"/>
        <v>Cor</v>
      </c>
      <c r="AX35" s="33" t="str">
        <f>IF(AU35="A","Sem ação — manter o design.",IFERROR(INDEX(tbl_regras_dfr[Recomendacao],MATCH(CHOOSE(MATCH(AU35,AJ35:AS35,0),L35&amp;"|Fluxo de reciclagem|"&amp;L35,L35&amp;"|Cor do corpo|"&amp;O35,L35&amp;"|Densidade do corpo|"&amp;IF(R35&lt;1,"&lt; 1,0 g/cm³","≥ 1,0 g/cm³"),L35&amp;"|Barreira / revestimento|"&amp;S35,L35&amp;"|Material da tampa|"&amp;X35,L35&amp;"|Vedante / liner|"&amp;Z35,L35&amp;"|Tipo de rótulo|"&amp;AA35,L35&amp;"|Adesivo do rótulo|"&amp;AB35,L35&amp;"|Cobertura do rótulo|"&amp;IF(AC35&gt;0.7,"&gt; 70% da superfície","≤ 70% da superfície"),L35&amp;"|Decoração direta|"&amp;AH35),tbl_regras_dfr[Chave],0)),""))</f>
        <v>Preferir cores claras.</v>
      </c>
      <c r="AY35" s="38">
        <f t="shared" si="5"/>
        <v>50.84</v>
      </c>
      <c r="AZ35" s="36">
        <f>MIN(IFERROR(INDEX(tbl_regras_dfr[Fracao_Reciclavel],MATCH(L35&amp;"|Fluxo de reciclagem|"&amp;L35,tbl_regras_dfr[Chave],0)),0),IFERROR(INDEX(tbl_regras_dfr[Fracao_Reciclavel],MATCH(L35&amp;"|Cor do corpo|"&amp;O35,tbl_regras_dfr[Chave],0)),0))</f>
        <v>1</v>
      </c>
      <c r="BA35" s="36">
        <f>IFERROR(INDEX(tbl_regras_dfr[Fracao_Reciclavel],MATCH(L35&amp;"|Material da tampa|"&amp;X35,tbl_regras_dfr[Chave],0)),0)</f>
        <v>1</v>
      </c>
      <c r="BB35" s="36">
        <f>IFERROR(INDEX(tbl_regras_dfr[Fracao_Reciclavel],MATCH(L35&amp;"|Tipo de rótulo|"&amp;AA35,tbl_regras_dfr[Chave],0)),0)</f>
        <v>1</v>
      </c>
      <c r="BC35" s="38">
        <f t="shared" si="6"/>
        <v>50.84</v>
      </c>
      <c r="BD35" s="40">
        <f t="shared" si="7"/>
        <v>1</v>
      </c>
      <c r="BE35" s="33" t="str">
        <f>IF(BD35&gt;=INDEX(tbl_param_emb[Valor],MATCH("P-06",tbl_param_emb[ID_Parametro],0)),"A",IF(BD35&gt;=INDEX(tbl_param_emb[Valor],MATCH("P-07",tbl_param_emb[ID_Parametro],0)),"B",IF(BD35&gt;=INDEX(tbl_param_emb[Valor],MATCH("P-08",tbl_param_emb[ID_Parametro],0)),"C","&lt; 70%")))</f>
        <v>A</v>
      </c>
      <c r="BF35" s="33" t="str">
        <f>IF(AU35="F","Não reciclável (F)",INDEX({"A","B","C","Abaixo de C"},MAX(MIN(AT35,4),IF(BE35="A",1,IF(BE35="B",2,IF(BE35="C",3,4))))))</f>
        <v>B</v>
      </c>
      <c r="BG35" s="33" t="str">
        <f t="shared" si="8"/>
        <v>—</v>
      </c>
      <c r="BH35" s="33" t="str">
        <f t="shared" si="9"/>
        <v>Sim</v>
      </c>
      <c r="BI35" s="33" t="str">
        <f t="shared" si="10"/>
        <v>Sim</v>
      </c>
      <c r="BJ35" s="36">
        <f>IFERROR(INDEX(tbl_materiais[Pct_PCR],MATCH(J35,tbl_materiais[Material],0)),0)</f>
        <v>0.3</v>
      </c>
      <c r="BK35" s="36">
        <f>IF(V35="",0,IFERROR(INDEX(tbl_tampas[Pct_PCR],MATCH(V35,tbl_tampas[CapId],0)),0))</f>
        <v>0.3</v>
      </c>
      <c r="BL35" s="40">
        <f t="shared" si="11"/>
        <v>0.29999999999999993</v>
      </c>
      <c r="BM35" s="33" t="str">
        <f t="shared" si="12"/>
        <v>Outras embalagens de plástico</v>
      </c>
      <c r="BN35" s="36">
        <f>IFERROR(IF(INDEX(tbl_metas_art7[Meta_2030],MATCH(BM35,tbl_metas_art7[Categoria_Art7],0))="","",INDEX(tbl_metas_art7[Meta_2030],MATCH(BM35,tbl_metas_art7[Categoria_Art7],0))),"")</f>
        <v>0.35</v>
      </c>
      <c r="BO35" s="40">
        <f t="shared" si="13"/>
        <v>5.0000000000000044E-2</v>
      </c>
      <c r="BP35" s="33" t="str">
        <f t="shared" si="14"/>
        <v>Não</v>
      </c>
      <c r="BQ35" s="33" t="str">
        <f t="shared" si="15"/>
        <v>Monomaterial (mesma família)</v>
      </c>
      <c r="BR35" s="37">
        <v>89754</v>
      </c>
      <c r="BS35" s="39">
        <v>10</v>
      </c>
      <c r="BT35" s="26" t="s">
        <v>686</v>
      </c>
      <c r="BU35" s="32">
        <f t="shared" si="16"/>
        <v>2773.3986</v>
      </c>
      <c r="BV35" s="31">
        <f>COUNTIFS(tbl_aplicabilidade[ProductId],B35,tbl_aplicabilidade[Aplicavel],"Sim")</f>
        <v>12</v>
      </c>
      <c r="BW35" s="31">
        <f>COUNTIFS(tbl_aplicabilidade[ProductId],B35,tbl_aplicabilidade[Estado_Resumo],"Lacuna")+COUNTIFS(tbl_aplicabilidade[ProductId],B35,tbl_aplicabilidade[Estado_Resumo],"Não conforme")</f>
        <v>1</v>
      </c>
      <c r="BX35" s="41">
        <v>46287</v>
      </c>
      <c r="BY35" s="42">
        <f t="shared" si="17"/>
        <v>46652</v>
      </c>
      <c r="BZ35" s="26" t="s">
        <v>596</v>
      </c>
      <c r="CA35" s="26" t="s">
        <v>597</v>
      </c>
      <c r="CB35" s="26" t="s">
        <v>598</v>
      </c>
    </row>
    <row r="36" spans="1:80" ht="18" customHeight="1" x14ac:dyDescent="0.3">
      <c r="A36" s="26" t="s">
        <v>687</v>
      </c>
      <c r="B36" s="26" t="s">
        <v>688</v>
      </c>
      <c r="C36" s="26" t="s">
        <v>586</v>
      </c>
      <c r="D36" s="26" t="s">
        <v>587</v>
      </c>
      <c r="E36" s="26" t="s">
        <v>588</v>
      </c>
      <c r="F36" s="26" t="s">
        <v>589</v>
      </c>
      <c r="G36" s="26" t="s">
        <v>601</v>
      </c>
      <c r="H36" s="37">
        <v>500</v>
      </c>
      <c r="I36" s="37">
        <v>137</v>
      </c>
      <c r="J36" s="26" t="s">
        <v>229</v>
      </c>
      <c r="K36" s="33" t="str">
        <f>IFERROR(INDEX(tbl_materiais[Polimero_Base],MATCH(J36,tbl_materiais[Material],0)),"")</f>
        <v>PE</v>
      </c>
      <c r="L36" s="33" t="str">
        <f>IFERROR(INDEX(tbl_materiais[Fluxo_Reciclagem],MATCH(J36,tbl_materiais[Material],0)),"")</f>
        <v>PE rígido</v>
      </c>
      <c r="M36" s="33" t="str">
        <f t="shared" si="0"/>
        <v>PE rígido — frascos e contentores (HDPE/LDPE)</v>
      </c>
      <c r="N36" s="26" t="s">
        <v>602</v>
      </c>
      <c r="O36" s="26" t="s">
        <v>283</v>
      </c>
      <c r="P36" s="26" t="s">
        <v>603</v>
      </c>
      <c r="Q36" s="29">
        <v>0.02</v>
      </c>
      <c r="R36" s="35">
        <f>IFERROR(ROUND(INDEX(tbl_materiais[Densidade_g_cm3],MATCH(J36,tbl_materiais[Material],0))+Q36*1.2,3),"")</f>
        <v>0.98399999999999999</v>
      </c>
      <c r="S36" s="26" t="s">
        <v>302</v>
      </c>
      <c r="T36" s="34">
        <v>30.9</v>
      </c>
      <c r="U36" s="26" t="s">
        <v>593</v>
      </c>
      <c r="V36" s="26" t="s">
        <v>455</v>
      </c>
      <c r="W36" s="33" t="str">
        <f>IF(V36="","",IFERROR(INDEX(tbl_tampas[Material],MATCH(V36,tbl_tampas[CapId],0)),""))</f>
        <v>PP-PCR</v>
      </c>
      <c r="X36" s="33" t="str">
        <f>IF(V36="","Sem tampa",IFERROR(INDEX(tbl_materiais[Polimero_Base],MATCH(W36,tbl_materiais[Material],0)),""))</f>
        <v>PP</v>
      </c>
      <c r="Y36" s="38">
        <f>IF(V36="",0,IFERROR(INDEX(tbl_tampas[Massa_g],MATCH(V36,tbl_tampas[CapId],0)),0))</f>
        <v>14.3</v>
      </c>
      <c r="Z36" s="26" t="s">
        <v>319</v>
      </c>
      <c r="AA36" s="26" t="s">
        <v>327</v>
      </c>
      <c r="AB36" s="26" t="s">
        <v>342</v>
      </c>
      <c r="AC36" s="29">
        <v>0.4</v>
      </c>
      <c r="AD36" s="27">
        <v>0.64</v>
      </c>
      <c r="AE36" s="26" t="s">
        <v>604</v>
      </c>
      <c r="AF36" s="26" t="s">
        <v>302</v>
      </c>
      <c r="AG36" s="39">
        <v>0</v>
      </c>
      <c r="AH36" s="33" t="str">
        <f t="shared" si="1"/>
        <v>Nenhuma</v>
      </c>
      <c r="AI36" s="27">
        <v>0</v>
      </c>
      <c r="AJ36" s="33" t="str">
        <f>IFERROR(INDEX(tbl_regras_dfr[Classe],MATCH(L36&amp;"|Fluxo de reciclagem|"&amp;L36,tbl_regras_dfr[Chave],0)),"Sem regra")</f>
        <v>A</v>
      </c>
      <c r="AK36" s="33" t="str">
        <f>IF(LEFT(L36,9)="Sem fluxo","—",IFERROR(INDEX(tbl_regras_dfr[Classe],MATCH(L36&amp;"|Cor do corpo|"&amp;O36,tbl_regras_dfr[Chave],0)),"Sem regra"))</f>
        <v>B</v>
      </c>
      <c r="AL36" s="33" t="str">
        <f>IF(LEFT(L36,9)="Sem fluxo","—",IFERROR(INDEX(tbl_regras_dfr[Classe],MATCH(L36&amp;"|Densidade do corpo|"&amp;IF(R36&lt;1,"&lt; 1,0 g/cm³","≥ 1,0 g/cm³"),tbl_regras_dfr[Chave],0)),"Sem regra"))</f>
        <v>A</v>
      </c>
      <c r="AM36" s="33" t="str">
        <f>IF(LEFT(L36,9)="Sem fluxo","—",IFERROR(INDEX(tbl_regras_dfr[Classe],MATCH(L36&amp;"|Barreira / revestimento|"&amp;S36,tbl_regras_dfr[Chave],0)),"Sem regra"))</f>
        <v>A</v>
      </c>
      <c r="AN36" s="33" t="str">
        <f>IF(LEFT(L36,9)="Sem fluxo","—",IFERROR(INDEX(tbl_regras_dfr[Classe],MATCH(L36&amp;"|Material da tampa|"&amp;X36,tbl_regras_dfr[Chave],0)),"Sem regra"))</f>
        <v>A</v>
      </c>
      <c r="AO36" s="33" t="str">
        <f>IF(LEFT(L36,9)="Sem fluxo","—",IFERROR(INDEX(tbl_regras_dfr[Classe],MATCH(L36&amp;"|Vedante / liner|"&amp;Z36,tbl_regras_dfr[Chave],0)),"Sem regra"))</f>
        <v>A</v>
      </c>
      <c r="AP36" s="33" t="str">
        <f>IF(LEFT(L36,9)="Sem fluxo","—",IFERROR(INDEX(tbl_regras_dfr[Classe],MATCH(L36&amp;"|Tipo de rótulo|"&amp;AA36,tbl_regras_dfr[Chave],0)),"Sem regra"))</f>
        <v>A</v>
      </c>
      <c r="AQ36" s="33" t="str">
        <f>IF(LEFT(L36,9)="Sem fluxo","—",IFERROR(INDEX(tbl_regras_dfr[Classe],MATCH(L36&amp;"|Adesivo do rótulo|"&amp;AB36,tbl_regras_dfr[Chave],0)),"Sem regra"))</f>
        <v>A</v>
      </c>
      <c r="AR36" s="33" t="str">
        <f>IF(LEFT(L36,9)="Sem fluxo","—",IFERROR(INDEX(tbl_regras_dfr[Classe],MATCH(L36&amp;"|Cobertura do rótulo|"&amp;IF(AC36&gt;0.7,"&gt; 70% da superfície","≤ 70% da superfície"),tbl_regras_dfr[Chave],0)),"Sem regra"))</f>
        <v>A</v>
      </c>
      <c r="AS36" s="33" t="str">
        <f>IF(LEFT(L36,9)="Sem fluxo","—",IFERROR(INDEX(tbl_regras_dfr[Classe],MATCH(L36&amp;"|Decoração direta|"&amp;AH36,tbl_regras_dfr[Chave],0)),"Sem regra"))</f>
        <v>A</v>
      </c>
      <c r="AT36" s="31">
        <f t="shared" si="2"/>
        <v>2</v>
      </c>
      <c r="AU36" s="33" t="str">
        <f>IF(AT36=0,"",INDEX({"A","B","C","D","E","F"},AT36))</f>
        <v>B</v>
      </c>
      <c r="AV36" s="31">
        <f t="shared" si="3"/>
        <v>0</v>
      </c>
      <c r="AW36" s="33" t="str">
        <f t="shared" si="4"/>
        <v>Cor</v>
      </c>
      <c r="AX36" s="33" t="str">
        <f>IF(AU36="A","Sem ação — manter o design.",IFERROR(INDEX(tbl_regras_dfr[Recomendacao],MATCH(CHOOSE(MATCH(AU36,AJ36:AS36,0),L36&amp;"|Fluxo de reciclagem|"&amp;L36,L36&amp;"|Cor do corpo|"&amp;O36,L36&amp;"|Densidade do corpo|"&amp;IF(R36&lt;1,"&lt; 1,0 g/cm³","≥ 1,0 g/cm³"),L36&amp;"|Barreira / revestimento|"&amp;S36,L36&amp;"|Material da tampa|"&amp;X36,L36&amp;"|Vedante / liner|"&amp;Z36,L36&amp;"|Tipo de rótulo|"&amp;AA36,L36&amp;"|Adesivo do rótulo|"&amp;AB36,L36&amp;"|Cobertura do rótulo|"&amp;IF(AC36&gt;0.7,"&gt; 70% da superfície","≤ 70% da superfície"),L36&amp;"|Decoração direta|"&amp;AH36),tbl_regras_dfr[Chave],0)),""))</f>
        <v>Preferir natural, branco ou cores claras.</v>
      </c>
      <c r="AY36" s="38">
        <f t="shared" si="5"/>
        <v>45.84</v>
      </c>
      <c r="AZ36" s="36">
        <f>MIN(IFERROR(INDEX(tbl_regras_dfr[Fracao_Reciclavel],MATCH(L36&amp;"|Fluxo de reciclagem|"&amp;L36,tbl_regras_dfr[Chave],0)),0),IFERROR(INDEX(tbl_regras_dfr[Fracao_Reciclavel],MATCH(L36&amp;"|Cor do corpo|"&amp;O36,tbl_regras_dfr[Chave],0)),0))</f>
        <v>1</v>
      </c>
      <c r="BA36" s="36">
        <f>IFERROR(INDEX(tbl_regras_dfr[Fracao_Reciclavel],MATCH(L36&amp;"|Material da tampa|"&amp;X36,tbl_regras_dfr[Chave],0)),0)</f>
        <v>1</v>
      </c>
      <c r="BB36" s="36">
        <f>IFERROR(INDEX(tbl_regras_dfr[Fracao_Reciclavel],MATCH(L36&amp;"|Tipo de rótulo|"&amp;AA36,tbl_regras_dfr[Chave],0)),0)</f>
        <v>1</v>
      </c>
      <c r="BC36" s="38">
        <f t="shared" si="6"/>
        <v>45.84</v>
      </c>
      <c r="BD36" s="40">
        <f t="shared" si="7"/>
        <v>1</v>
      </c>
      <c r="BE36" s="33" t="str">
        <f>IF(BD36&gt;=INDEX(tbl_param_emb[Valor],MATCH("P-06",tbl_param_emb[ID_Parametro],0)),"A",IF(BD36&gt;=INDEX(tbl_param_emb[Valor],MATCH("P-07",tbl_param_emb[ID_Parametro],0)),"B",IF(BD36&gt;=INDEX(tbl_param_emb[Valor],MATCH("P-08",tbl_param_emb[ID_Parametro],0)),"C","&lt; 70%")))</f>
        <v>A</v>
      </c>
      <c r="BF36" s="33" t="str">
        <f>IF(AU36="F","Não reciclável (F)",INDEX({"A","B","C","Abaixo de C"},MAX(MIN(AT36,4),IF(BE36="A",1,IF(BE36="B",2,IF(BE36="C",3,4))))))</f>
        <v>B</v>
      </c>
      <c r="BG36" s="33" t="str">
        <f t="shared" si="8"/>
        <v>—</v>
      </c>
      <c r="BH36" s="33" t="str">
        <f t="shared" si="9"/>
        <v>Sim</v>
      </c>
      <c r="BI36" s="33" t="str">
        <f t="shared" si="10"/>
        <v>Sim</v>
      </c>
      <c r="BJ36" s="36">
        <f>IFERROR(INDEX(tbl_materiais[Pct_PCR],MATCH(J36,tbl_materiais[Material],0)),0)</f>
        <v>0.3</v>
      </c>
      <c r="BK36" s="36">
        <f>IF(V36="",0,IFERROR(INDEX(tbl_tampas[Pct_PCR],MATCH(V36,tbl_tampas[CapId],0)),0))</f>
        <v>0.3</v>
      </c>
      <c r="BL36" s="40">
        <f t="shared" si="11"/>
        <v>0.29999999999999993</v>
      </c>
      <c r="BM36" s="33" t="str">
        <f t="shared" si="12"/>
        <v>Outras embalagens de plástico</v>
      </c>
      <c r="BN36" s="36">
        <f>IFERROR(IF(INDEX(tbl_metas_art7[Meta_2030],MATCH(BM36,tbl_metas_art7[Categoria_Art7],0))="","",INDEX(tbl_metas_art7[Meta_2030],MATCH(BM36,tbl_metas_art7[Categoria_Art7],0))),"")</f>
        <v>0.35</v>
      </c>
      <c r="BO36" s="40">
        <f t="shared" si="13"/>
        <v>5.0000000000000044E-2</v>
      </c>
      <c r="BP36" s="33" t="str">
        <f t="shared" si="14"/>
        <v>Não</v>
      </c>
      <c r="BQ36" s="33" t="str">
        <f t="shared" si="15"/>
        <v>Monomaterial (mesma família)</v>
      </c>
      <c r="BR36" s="37">
        <v>67502</v>
      </c>
      <c r="BS36" s="39">
        <v>7</v>
      </c>
      <c r="BT36" s="26" t="s">
        <v>633</v>
      </c>
      <c r="BU36" s="32">
        <f t="shared" si="16"/>
        <v>2085.8117999999999</v>
      </c>
      <c r="BV36" s="31">
        <f>COUNTIFS(tbl_aplicabilidade[ProductId],B36,tbl_aplicabilidade[Aplicavel],"Sim")</f>
        <v>12</v>
      </c>
      <c r="BW36" s="31">
        <f>COUNTIFS(tbl_aplicabilidade[ProductId],B36,tbl_aplicabilidade[Estado_Resumo],"Lacuna")+COUNTIFS(tbl_aplicabilidade[ProductId],B36,tbl_aplicabilidade[Estado_Resumo],"Não conforme")</f>
        <v>1</v>
      </c>
      <c r="BX36" s="41">
        <v>46287</v>
      </c>
      <c r="BY36" s="42">
        <f t="shared" si="17"/>
        <v>46652</v>
      </c>
      <c r="BZ36" s="26" t="s">
        <v>596</v>
      </c>
      <c r="CA36" s="26" t="s">
        <v>597</v>
      </c>
      <c r="CB36" s="26" t="s">
        <v>598</v>
      </c>
    </row>
    <row r="37" spans="1:80" ht="18" customHeight="1" x14ac:dyDescent="0.3">
      <c r="A37" s="26" t="s">
        <v>689</v>
      </c>
      <c r="B37" s="26" t="s">
        <v>690</v>
      </c>
      <c r="C37" s="26" t="s">
        <v>586</v>
      </c>
      <c r="D37" s="26" t="s">
        <v>587</v>
      </c>
      <c r="E37" s="26" t="s">
        <v>588</v>
      </c>
      <c r="F37" s="26" t="s">
        <v>589</v>
      </c>
      <c r="G37" s="26" t="s">
        <v>601</v>
      </c>
      <c r="H37" s="37">
        <v>500</v>
      </c>
      <c r="I37" s="37">
        <v>137</v>
      </c>
      <c r="J37" s="26" t="s">
        <v>229</v>
      </c>
      <c r="K37" s="33" t="str">
        <f>IFERROR(INDEX(tbl_materiais[Polimero_Base],MATCH(J37,tbl_materiais[Material],0)),"")</f>
        <v>PE</v>
      </c>
      <c r="L37" s="33" t="str">
        <f>IFERROR(INDEX(tbl_materiais[Fluxo_Reciclagem],MATCH(J37,tbl_materiais[Material],0)),"")</f>
        <v>PE rígido</v>
      </c>
      <c r="M37" s="33" t="str">
        <f t="shared" ref="M37:M68" si="18">IF(L37="PE rígido","PE rígido — frascos e contentores (HDPE/LDPE)",IF(L37="PP rígido","PP rígido — frascos, potes e contentores",IF(L37="PET frascos e garrafas",IF(O37="Natural / incolor","PET — garrafas/frascos transparentes incolores","PET — garrafas/frascos coloridos ou opacos"),"Sem categoria RecyClass ("&amp;K37&amp;")")))</f>
        <v>PE rígido — frascos e contentores (HDPE/LDPE)</v>
      </c>
      <c r="N37" s="26" t="s">
        <v>656</v>
      </c>
      <c r="O37" s="26" t="s">
        <v>283</v>
      </c>
      <c r="P37" s="26" t="s">
        <v>657</v>
      </c>
      <c r="Q37" s="29">
        <v>0.02</v>
      </c>
      <c r="R37" s="35">
        <f>IFERROR(ROUND(INDEX(tbl_materiais[Densidade_g_cm3],MATCH(J37,tbl_materiais[Material],0))+Q37*1.2,3),"")</f>
        <v>0.98399999999999999</v>
      </c>
      <c r="S37" s="26" t="s">
        <v>302</v>
      </c>
      <c r="T37" s="34">
        <v>30.9</v>
      </c>
      <c r="U37" s="26" t="s">
        <v>593</v>
      </c>
      <c r="V37" s="26" t="s">
        <v>455</v>
      </c>
      <c r="W37" s="33" t="str">
        <f>IF(V37="","",IFERROR(INDEX(tbl_tampas[Material],MATCH(V37,tbl_tampas[CapId],0)),""))</f>
        <v>PP-PCR</v>
      </c>
      <c r="X37" s="33" t="str">
        <f>IF(V37="","Sem tampa",IFERROR(INDEX(tbl_materiais[Polimero_Base],MATCH(W37,tbl_materiais[Material],0)),""))</f>
        <v>PP</v>
      </c>
      <c r="Y37" s="38">
        <f>IF(V37="",0,IFERROR(INDEX(tbl_tampas[Massa_g],MATCH(V37,tbl_tampas[CapId],0)),0))</f>
        <v>14.3</v>
      </c>
      <c r="Z37" s="26" t="s">
        <v>319</v>
      </c>
      <c r="AA37" s="26" t="s">
        <v>327</v>
      </c>
      <c r="AB37" s="26" t="s">
        <v>342</v>
      </c>
      <c r="AC37" s="29">
        <v>0.4</v>
      </c>
      <c r="AD37" s="27">
        <v>0.64</v>
      </c>
      <c r="AE37" s="26" t="s">
        <v>604</v>
      </c>
      <c r="AF37" s="26" t="s">
        <v>302</v>
      </c>
      <c r="AG37" s="39">
        <v>0</v>
      </c>
      <c r="AH37" s="33" t="str">
        <f t="shared" ref="AH37:AH68" si="19">IF(AF37="Serigrafia",IF(AG37&gt;=3,"Serigrafia ≥ 3 cores","Serigrafia 1–2 cores"),AF37)</f>
        <v>Nenhuma</v>
      </c>
      <c r="AI37" s="27">
        <v>0</v>
      </c>
      <c r="AJ37" s="33" t="str">
        <f>IFERROR(INDEX(tbl_regras_dfr[Classe],MATCH(L37&amp;"|Fluxo de reciclagem|"&amp;L37,tbl_regras_dfr[Chave],0)),"Sem regra")</f>
        <v>A</v>
      </c>
      <c r="AK37" s="33" t="str">
        <f>IF(LEFT(L37,9)="Sem fluxo","—",IFERROR(INDEX(tbl_regras_dfr[Classe],MATCH(L37&amp;"|Cor do corpo|"&amp;O37,tbl_regras_dfr[Chave],0)),"Sem regra"))</f>
        <v>B</v>
      </c>
      <c r="AL37" s="33" t="str">
        <f>IF(LEFT(L37,9)="Sem fluxo","—",IFERROR(INDEX(tbl_regras_dfr[Classe],MATCH(L37&amp;"|Densidade do corpo|"&amp;IF(R37&lt;1,"&lt; 1,0 g/cm³","≥ 1,0 g/cm³"),tbl_regras_dfr[Chave],0)),"Sem regra"))</f>
        <v>A</v>
      </c>
      <c r="AM37" s="33" t="str">
        <f>IF(LEFT(L37,9)="Sem fluxo","—",IFERROR(INDEX(tbl_regras_dfr[Classe],MATCH(L37&amp;"|Barreira / revestimento|"&amp;S37,tbl_regras_dfr[Chave],0)),"Sem regra"))</f>
        <v>A</v>
      </c>
      <c r="AN37" s="33" t="str">
        <f>IF(LEFT(L37,9)="Sem fluxo","—",IFERROR(INDEX(tbl_regras_dfr[Classe],MATCH(L37&amp;"|Material da tampa|"&amp;X37,tbl_regras_dfr[Chave],0)),"Sem regra"))</f>
        <v>A</v>
      </c>
      <c r="AO37" s="33" t="str">
        <f>IF(LEFT(L37,9)="Sem fluxo","—",IFERROR(INDEX(tbl_regras_dfr[Classe],MATCH(L37&amp;"|Vedante / liner|"&amp;Z37,tbl_regras_dfr[Chave],0)),"Sem regra"))</f>
        <v>A</v>
      </c>
      <c r="AP37" s="33" t="str">
        <f>IF(LEFT(L37,9)="Sem fluxo","—",IFERROR(INDEX(tbl_regras_dfr[Classe],MATCH(L37&amp;"|Tipo de rótulo|"&amp;AA37,tbl_regras_dfr[Chave],0)),"Sem regra"))</f>
        <v>A</v>
      </c>
      <c r="AQ37" s="33" t="str">
        <f>IF(LEFT(L37,9)="Sem fluxo","—",IFERROR(INDEX(tbl_regras_dfr[Classe],MATCH(L37&amp;"|Adesivo do rótulo|"&amp;AB37,tbl_regras_dfr[Chave],0)),"Sem regra"))</f>
        <v>A</v>
      </c>
      <c r="AR37" s="33" t="str">
        <f>IF(LEFT(L37,9)="Sem fluxo","—",IFERROR(INDEX(tbl_regras_dfr[Classe],MATCH(L37&amp;"|Cobertura do rótulo|"&amp;IF(AC37&gt;0.7,"&gt; 70% da superfície","≤ 70% da superfície"),tbl_regras_dfr[Chave],0)),"Sem regra"))</f>
        <v>A</v>
      </c>
      <c r="AS37" s="33" t="str">
        <f>IF(LEFT(L37,9)="Sem fluxo","—",IFERROR(INDEX(tbl_regras_dfr[Classe],MATCH(L37&amp;"|Decoração direta|"&amp;AH37,tbl_regras_dfr[Chave],0)),"Sem regra"))</f>
        <v>A</v>
      </c>
      <c r="AT37" s="31">
        <f t="shared" ref="AT37:AT68" si="20">IF(COUNTIF(AJ37:AS37,"F"),6,IF(COUNTIF(AJ37:AS37,"E"),5,IF(COUNTIF(AJ37:AS37,"D"),4,IF(COUNTIF(AJ37:AS37,"C"),3,IF(COUNTIF(AJ37:AS37,"B"),2,IF(COUNTIF(AJ37:AS37,"A"),1,0))))))</f>
        <v>2</v>
      </c>
      <c r="AU37" s="33" t="str">
        <f>IF(AT37=0,"",INDEX({"A","B","C","D","E","F"},AT37))</f>
        <v>B</v>
      </c>
      <c r="AV37" s="31">
        <f t="shared" ref="AV37:AV68" si="21">COUNTIF(AJ37:AS37,"Sem regra")</f>
        <v>0</v>
      </c>
      <c r="AW37" s="33" t="str">
        <f t="shared" ref="AW37:AW68" si="22">IF(OR(AU37="",AU37="A"),"—",SUBSTITUTE(INDEX($AJ$4:$AS$4,MATCH(AU37,AJ37:AS37,0)),"Classe_",""))</f>
        <v>Cor</v>
      </c>
      <c r="AX37" s="33" t="str">
        <f>IF(AU37="A","Sem ação — manter o design.",IFERROR(INDEX(tbl_regras_dfr[Recomendacao],MATCH(CHOOSE(MATCH(AU37,AJ37:AS37,0),L37&amp;"|Fluxo de reciclagem|"&amp;L37,L37&amp;"|Cor do corpo|"&amp;O37,L37&amp;"|Densidade do corpo|"&amp;IF(R37&lt;1,"&lt; 1,0 g/cm³","≥ 1,0 g/cm³"),L37&amp;"|Barreira / revestimento|"&amp;S37,L37&amp;"|Material da tampa|"&amp;X37,L37&amp;"|Vedante / liner|"&amp;Z37,L37&amp;"|Tipo de rótulo|"&amp;AA37,L37&amp;"|Adesivo do rótulo|"&amp;AB37,L37&amp;"|Cobertura do rótulo|"&amp;IF(AC37&gt;0.7,"&gt; 70% da superfície","≤ 70% da superfície"),L37&amp;"|Decoração direta|"&amp;AH37),tbl_regras_dfr[Chave],0)),""))</f>
        <v>Preferir natural, branco ou cores claras.</v>
      </c>
      <c r="AY37" s="38">
        <f t="shared" ref="AY37:AY68" si="23">T37+Y37+AD37+AI37</f>
        <v>45.84</v>
      </c>
      <c r="AZ37" s="36">
        <f>MIN(IFERROR(INDEX(tbl_regras_dfr[Fracao_Reciclavel],MATCH(L37&amp;"|Fluxo de reciclagem|"&amp;L37,tbl_regras_dfr[Chave],0)),0),IFERROR(INDEX(tbl_regras_dfr[Fracao_Reciclavel],MATCH(L37&amp;"|Cor do corpo|"&amp;O37,tbl_regras_dfr[Chave],0)),0))</f>
        <v>1</v>
      </c>
      <c r="BA37" s="36">
        <f>IFERROR(INDEX(tbl_regras_dfr[Fracao_Reciclavel],MATCH(L37&amp;"|Material da tampa|"&amp;X37,tbl_regras_dfr[Chave],0)),0)</f>
        <v>1</v>
      </c>
      <c r="BB37" s="36">
        <f>IFERROR(INDEX(tbl_regras_dfr[Fracao_Reciclavel],MATCH(L37&amp;"|Tipo de rótulo|"&amp;AA37,tbl_regras_dfr[Chave],0)),0)</f>
        <v>1</v>
      </c>
      <c r="BC37" s="38">
        <f t="shared" ref="BC37:BC68" si="24">AZ37*(T37+Y37*BA37+AD37*BB37)</f>
        <v>45.84</v>
      </c>
      <c r="BD37" s="40">
        <f t="shared" ref="BD37:BD68" si="25">IFERROR(BC37/AY37,0)</f>
        <v>1</v>
      </c>
      <c r="BE37" s="33" t="str">
        <f>IF(BD37&gt;=INDEX(tbl_param_emb[Valor],MATCH("P-06",tbl_param_emb[ID_Parametro],0)),"A",IF(BD37&gt;=INDEX(tbl_param_emb[Valor],MATCH("P-07",tbl_param_emb[ID_Parametro],0)),"B",IF(BD37&gt;=INDEX(tbl_param_emb[Valor],MATCH("P-08",tbl_param_emb[ID_Parametro],0)),"C","&lt; 70%")))</f>
        <v>A</v>
      </c>
      <c r="BF37" s="33" t="str">
        <f>IF(AU37="F","Não reciclável (F)",INDEX({"A","B","C","Abaixo de C"},MAX(MIN(AT37,4),IF(BE37="A",1,IF(BE37="B",2,IF(BE37="C",3,4))))))</f>
        <v>B</v>
      </c>
      <c r="BG37" s="33" t="str">
        <f t="shared" ref="BG37:BG68" si="26">IF(D37="Farmacêutico","Isento até 2035","—")</f>
        <v>—</v>
      </c>
      <c r="BH37" s="33" t="str">
        <f t="shared" ref="BH37:BH68" si="27">IF(BG37&lt;&gt;"—",BG37,IF(OR(BF37="A",BF37="B",BF37="C"),"Sim","Não"))</f>
        <v>Sim</v>
      </c>
      <c r="BI37" s="33" t="str">
        <f t="shared" ref="BI37:BI68" si="28">IF(BG37&lt;&gt;"—",BG37,IF(OR(BF37="A",BF37="B"),"Sim","Não"))</f>
        <v>Sim</v>
      </c>
      <c r="BJ37" s="36">
        <f>IFERROR(INDEX(tbl_materiais[Pct_PCR],MATCH(J37,tbl_materiais[Material],0)),0)</f>
        <v>0.3</v>
      </c>
      <c r="BK37" s="36">
        <f>IF(V37="",0,IFERROR(INDEX(tbl_tampas[Pct_PCR],MATCH(V37,tbl_tampas[CapId],0)),0))</f>
        <v>0.3</v>
      </c>
      <c r="BL37" s="40">
        <f t="shared" ref="BL37:BL68" si="29">IFERROR((T37*BJ37+Y37*BK37)/(T37+Y37),0)</f>
        <v>0.29999999999999993</v>
      </c>
      <c r="BM37" s="33" t="str">
        <f t="shared" ref="BM37:BM68" si="30">IF(D37="Farmacêutico","Isenta — medicamentos (art. 7.º)",IF(D37="Alimentar",IF(K37="PET","Sensível ao contacto — PET","Sensível ao contacto — outros plásticos"),"Outras embalagens de plástico"))</f>
        <v>Outras embalagens de plástico</v>
      </c>
      <c r="BN37" s="36">
        <f>IFERROR(IF(INDEX(tbl_metas_art7[Meta_2030],MATCH(BM37,tbl_metas_art7[Categoria_Art7],0))="","",INDEX(tbl_metas_art7[Meta_2030],MATCH(BM37,tbl_metas_art7[Categoria_Art7],0))),"")</f>
        <v>0.35</v>
      </c>
      <c r="BO37" s="40">
        <f t="shared" ref="BO37:BO68" si="31">IF(BN37="","",MAX(0,BN37-BL37))</f>
        <v>5.0000000000000044E-2</v>
      </c>
      <c r="BP37" s="33" t="str">
        <f t="shared" ref="BP37:BP68" si="32">IF(BN37="","Isento",IF(BO37=0,"Sim","Não"))</f>
        <v>Não</v>
      </c>
      <c r="BQ37" s="33" t="str">
        <f t="shared" ref="BQ37:BQ68" si="33">IF(AND(OR(X37=K37,X37="Sem tampa",AND(OR(X37="PE",X37="PP"),OR(K37="PE",K37="PP"))),OR(AA37="Sem rótulo",AND(ISNUMBER(SEARCH("PE/PP",AA37)),OR(K37="PE",K37="PP")))),"Monomaterial (mesma família)","Multimaterial")</f>
        <v>Monomaterial (mesma família)</v>
      </c>
      <c r="BR37" s="37">
        <v>69434</v>
      </c>
      <c r="BS37" s="39">
        <v>13</v>
      </c>
      <c r="BT37" s="26" t="s">
        <v>628</v>
      </c>
      <c r="BU37" s="32">
        <f t="shared" ref="BU37:BU68" si="34">BR37*T37/1000</f>
        <v>2145.5106000000001</v>
      </c>
      <c r="BV37" s="31">
        <f>COUNTIFS(tbl_aplicabilidade[ProductId],B37,tbl_aplicabilidade[Aplicavel],"Sim")</f>
        <v>12</v>
      </c>
      <c r="BW37" s="31">
        <f>COUNTIFS(tbl_aplicabilidade[ProductId],B37,tbl_aplicabilidade[Estado_Resumo],"Lacuna")+COUNTIFS(tbl_aplicabilidade[ProductId],B37,tbl_aplicabilidade[Estado_Resumo],"Não conforme")</f>
        <v>1</v>
      </c>
      <c r="BX37" s="41">
        <v>46287</v>
      </c>
      <c r="BY37" s="42">
        <f t="shared" ref="BY37:BY68" si="35">EDATE(BX37,12)</f>
        <v>46652</v>
      </c>
      <c r="BZ37" s="26" t="s">
        <v>596</v>
      </c>
      <c r="CA37" s="26" t="s">
        <v>597</v>
      </c>
      <c r="CB37" s="26" t="s">
        <v>598</v>
      </c>
    </row>
    <row r="38" spans="1:80" ht="18" customHeight="1" x14ac:dyDescent="0.3">
      <c r="A38" s="26" t="s">
        <v>691</v>
      </c>
      <c r="B38" s="26" t="s">
        <v>692</v>
      </c>
      <c r="C38" s="26" t="s">
        <v>586</v>
      </c>
      <c r="D38" s="26" t="s">
        <v>587</v>
      </c>
      <c r="E38" s="26" t="s">
        <v>588</v>
      </c>
      <c r="F38" s="26" t="s">
        <v>589</v>
      </c>
      <c r="G38" s="26" t="s">
        <v>636</v>
      </c>
      <c r="H38" s="37">
        <v>500</v>
      </c>
      <c r="I38" s="37">
        <v>137</v>
      </c>
      <c r="J38" s="26" t="s">
        <v>234</v>
      </c>
      <c r="K38" s="33" t="str">
        <f>IFERROR(INDEX(tbl_materiais[Polimero_Base],MATCH(J38,tbl_materiais[Material],0)),"")</f>
        <v>PE</v>
      </c>
      <c r="L38" s="33" t="str">
        <f>IFERROR(INDEX(tbl_materiais[Fluxo_Reciclagem],MATCH(J38,tbl_materiais[Material],0)),"")</f>
        <v>PE rígido</v>
      </c>
      <c r="M38" s="33" t="str">
        <f t="shared" si="18"/>
        <v>PE rígido — frascos e contentores (HDPE/LDPE)</v>
      </c>
      <c r="N38" s="26" t="s">
        <v>618</v>
      </c>
      <c r="O38" s="26" t="s">
        <v>286</v>
      </c>
      <c r="P38" s="26" t="s">
        <v>619</v>
      </c>
      <c r="Q38" s="29">
        <v>0.02</v>
      </c>
      <c r="R38" s="35">
        <f>IFERROR(ROUND(INDEX(tbl_materiais[Densidade_g_cm3],MATCH(J38,tbl_materiais[Material],0))+Q38*1.2,3),"")</f>
        <v>0.94399999999999995</v>
      </c>
      <c r="S38" s="26" t="s">
        <v>302</v>
      </c>
      <c r="T38" s="34">
        <v>30.9</v>
      </c>
      <c r="U38" s="26" t="s">
        <v>593</v>
      </c>
      <c r="V38" s="26" t="s">
        <v>449</v>
      </c>
      <c r="W38" s="33" t="str">
        <f>IF(V38="","",IFERROR(INDEX(tbl_tampas[Material],MATCH(V38,tbl_tampas[CapId],0)),""))</f>
        <v>HDPE</v>
      </c>
      <c r="X38" s="33" t="str">
        <f>IF(V38="","Sem tampa",IFERROR(INDEX(tbl_materiais[Polimero_Base],MATCH(W38,tbl_materiais[Material],0)),""))</f>
        <v>PE</v>
      </c>
      <c r="Y38" s="38">
        <f>IF(V38="",0,IFERROR(INDEX(tbl_tampas[Massa_g],MATCH(V38,tbl_tampas[CapId],0)),0))</f>
        <v>15.9</v>
      </c>
      <c r="Z38" s="26" t="s">
        <v>319</v>
      </c>
      <c r="AA38" s="26" t="s">
        <v>326</v>
      </c>
      <c r="AB38" s="26" t="s">
        <v>340</v>
      </c>
      <c r="AC38" s="29">
        <v>0</v>
      </c>
      <c r="AD38" s="27">
        <v>0</v>
      </c>
      <c r="AE38" s="26" t="s">
        <v>594</v>
      </c>
      <c r="AF38" s="26" t="s">
        <v>359</v>
      </c>
      <c r="AG38" s="39">
        <v>1</v>
      </c>
      <c r="AH38" s="33" t="str">
        <f t="shared" si="19"/>
        <v>Hot foil metalizado</v>
      </c>
      <c r="AI38" s="27">
        <v>0.03</v>
      </c>
      <c r="AJ38" s="33" t="str">
        <f>IFERROR(INDEX(tbl_regras_dfr[Classe],MATCH(L38&amp;"|Fluxo de reciclagem|"&amp;L38,tbl_regras_dfr[Chave],0)),"Sem regra")</f>
        <v>A</v>
      </c>
      <c r="AK38" s="33" t="str">
        <f>IF(LEFT(L38,9)="Sem fluxo","—",IFERROR(INDEX(tbl_regras_dfr[Classe],MATCH(L38&amp;"|Cor do corpo|"&amp;O38,tbl_regras_dfr[Chave],0)),"Sem regra"))</f>
        <v>B</v>
      </c>
      <c r="AL38" s="33" t="str">
        <f>IF(LEFT(L38,9)="Sem fluxo","—",IFERROR(INDEX(tbl_regras_dfr[Classe],MATCH(L38&amp;"|Densidade do corpo|"&amp;IF(R38&lt;1,"&lt; 1,0 g/cm³","≥ 1,0 g/cm³"),tbl_regras_dfr[Chave],0)),"Sem regra"))</f>
        <v>A</v>
      </c>
      <c r="AM38" s="33" t="str">
        <f>IF(LEFT(L38,9)="Sem fluxo","—",IFERROR(INDEX(tbl_regras_dfr[Classe],MATCH(L38&amp;"|Barreira / revestimento|"&amp;S38,tbl_regras_dfr[Chave],0)),"Sem regra"))</f>
        <v>A</v>
      </c>
      <c r="AN38" s="33" t="str">
        <f>IF(LEFT(L38,9)="Sem fluxo","—",IFERROR(INDEX(tbl_regras_dfr[Classe],MATCH(L38&amp;"|Material da tampa|"&amp;X38,tbl_regras_dfr[Chave],0)),"Sem regra"))</f>
        <v>A</v>
      </c>
      <c r="AO38" s="33" t="str">
        <f>IF(LEFT(L38,9)="Sem fluxo","—",IFERROR(INDEX(tbl_regras_dfr[Classe],MATCH(L38&amp;"|Vedante / liner|"&amp;Z38,tbl_regras_dfr[Chave],0)),"Sem regra"))</f>
        <v>A</v>
      </c>
      <c r="AP38" s="33" t="str">
        <f>IF(LEFT(L38,9)="Sem fluxo","—",IFERROR(INDEX(tbl_regras_dfr[Classe],MATCH(L38&amp;"|Tipo de rótulo|"&amp;AA38,tbl_regras_dfr[Chave],0)),"Sem regra"))</f>
        <v>A</v>
      </c>
      <c r="AQ38" s="33" t="str">
        <f>IF(LEFT(L38,9)="Sem fluxo","—",IFERROR(INDEX(tbl_regras_dfr[Classe],MATCH(L38&amp;"|Adesivo do rótulo|"&amp;AB38,tbl_regras_dfr[Chave],0)),"Sem regra"))</f>
        <v>A</v>
      </c>
      <c r="AR38" s="33" t="str">
        <f>IF(LEFT(L38,9)="Sem fluxo","—",IFERROR(INDEX(tbl_regras_dfr[Classe],MATCH(L38&amp;"|Cobertura do rótulo|"&amp;IF(AC38&gt;0.7,"&gt; 70% da superfície","≤ 70% da superfície"),tbl_regras_dfr[Chave],0)),"Sem regra"))</f>
        <v>A</v>
      </c>
      <c r="AS38" s="33" t="str">
        <f>IF(LEFT(L38,9)="Sem fluxo","—",IFERROR(INDEX(tbl_regras_dfr[Classe],MATCH(L38&amp;"|Decoração direta|"&amp;AH38,tbl_regras_dfr[Chave],0)),"Sem regra"))</f>
        <v>C</v>
      </c>
      <c r="AT38" s="31">
        <f t="shared" si="20"/>
        <v>3</v>
      </c>
      <c r="AU38" s="33" t="str">
        <f>IF(AT38=0,"",INDEX({"A","B","C","D","E","F"},AT38))</f>
        <v>C</v>
      </c>
      <c r="AV38" s="31">
        <f t="shared" si="21"/>
        <v>0</v>
      </c>
      <c r="AW38" s="33" t="str">
        <f t="shared" si="22"/>
        <v>Decoracao</v>
      </c>
      <c r="AX38" s="33" t="str">
        <f>IF(AU38="A","Sem ação — manter o design.",IFERROR(INDEX(tbl_regras_dfr[Recomendacao],MATCH(CHOOSE(MATCH(AU38,AJ38:AS38,0),L38&amp;"|Fluxo de reciclagem|"&amp;L38,L38&amp;"|Cor do corpo|"&amp;O38,L38&amp;"|Densidade do corpo|"&amp;IF(R38&lt;1,"&lt; 1,0 g/cm³","≥ 1,0 g/cm³"),L38&amp;"|Barreira / revestimento|"&amp;S38,L38&amp;"|Material da tampa|"&amp;X38,L38&amp;"|Vedante / liner|"&amp;Z38,L38&amp;"|Tipo de rótulo|"&amp;AA38,L38&amp;"|Adesivo do rótulo|"&amp;AB38,L38&amp;"|Cobertura do rótulo|"&amp;IF(AC38&gt;0.7,"&gt; 70% da superfície","≤ 70% da superfície"),L38&amp;"|Decoração direta|"&amp;AH38),tbl_regras_dfr[Chave],0)),""))</f>
        <v>Reduzir a área de hot foil ou usar rótulo metalizado destacável.</v>
      </c>
      <c r="AY38" s="38">
        <f t="shared" si="23"/>
        <v>46.83</v>
      </c>
      <c r="AZ38" s="36">
        <f>MIN(IFERROR(INDEX(tbl_regras_dfr[Fracao_Reciclavel],MATCH(L38&amp;"|Fluxo de reciclagem|"&amp;L38,tbl_regras_dfr[Chave],0)),0),IFERROR(INDEX(tbl_regras_dfr[Fracao_Reciclavel],MATCH(L38&amp;"|Cor do corpo|"&amp;O38,tbl_regras_dfr[Chave],0)),0))</f>
        <v>1</v>
      </c>
      <c r="BA38" s="36">
        <f>IFERROR(INDEX(tbl_regras_dfr[Fracao_Reciclavel],MATCH(L38&amp;"|Material da tampa|"&amp;X38,tbl_regras_dfr[Chave],0)),0)</f>
        <v>1</v>
      </c>
      <c r="BB38" s="36">
        <f>IFERROR(INDEX(tbl_regras_dfr[Fracao_Reciclavel],MATCH(L38&amp;"|Tipo de rótulo|"&amp;AA38,tbl_regras_dfr[Chave],0)),0)</f>
        <v>1</v>
      </c>
      <c r="BC38" s="38">
        <f t="shared" si="24"/>
        <v>46.8</v>
      </c>
      <c r="BD38" s="40">
        <f t="shared" si="25"/>
        <v>0.99935938500960919</v>
      </c>
      <c r="BE38" s="33" t="str">
        <f>IF(BD38&gt;=INDEX(tbl_param_emb[Valor],MATCH("P-06",tbl_param_emb[ID_Parametro],0)),"A",IF(BD38&gt;=INDEX(tbl_param_emb[Valor],MATCH("P-07",tbl_param_emb[ID_Parametro],0)),"B",IF(BD38&gt;=INDEX(tbl_param_emb[Valor],MATCH("P-08",tbl_param_emb[ID_Parametro],0)),"C","&lt; 70%")))</f>
        <v>A</v>
      </c>
      <c r="BF38" s="33" t="str">
        <f>IF(AU38="F","Não reciclável (F)",INDEX({"A","B","C","Abaixo de C"},MAX(MIN(AT38,4),IF(BE38="A",1,IF(BE38="B",2,IF(BE38="C",3,4))))))</f>
        <v>C</v>
      </c>
      <c r="BG38" s="33" t="str">
        <f t="shared" si="26"/>
        <v>—</v>
      </c>
      <c r="BH38" s="33" t="str">
        <f t="shared" si="27"/>
        <v>Sim</v>
      </c>
      <c r="BI38" s="33" t="str">
        <f t="shared" si="28"/>
        <v>Não</v>
      </c>
      <c r="BJ38" s="36">
        <f>IFERROR(INDEX(tbl_materiais[Pct_PCR],MATCH(J38,tbl_materiais[Material],0)),0)</f>
        <v>0</v>
      </c>
      <c r="BK38" s="36">
        <f>IF(V38="",0,IFERROR(INDEX(tbl_tampas[Pct_PCR],MATCH(V38,tbl_tampas[CapId],0)),0))</f>
        <v>0</v>
      </c>
      <c r="BL38" s="40">
        <f t="shared" si="29"/>
        <v>0</v>
      </c>
      <c r="BM38" s="33" t="str">
        <f t="shared" si="30"/>
        <v>Outras embalagens de plástico</v>
      </c>
      <c r="BN38" s="36">
        <f>IFERROR(IF(INDEX(tbl_metas_art7[Meta_2030],MATCH(BM38,tbl_metas_art7[Categoria_Art7],0))="","",INDEX(tbl_metas_art7[Meta_2030],MATCH(BM38,tbl_metas_art7[Categoria_Art7],0))),"")</f>
        <v>0.35</v>
      </c>
      <c r="BO38" s="40">
        <f t="shared" si="31"/>
        <v>0.35</v>
      </c>
      <c r="BP38" s="33" t="str">
        <f t="shared" si="32"/>
        <v>Não</v>
      </c>
      <c r="BQ38" s="33" t="str">
        <f t="shared" si="33"/>
        <v>Monomaterial (mesma família)</v>
      </c>
      <c r="BR38" s="37">
        <v>43176</v>
      </c>
      <c r="BS38" s="39">
        <v>4</v>
      </c>
      <c r="BT38" s="26" t="s">
        <v>693</v>
      </c>
      <c r="BU38" s="32">
        <f t="shared" si="34"/>
        <v>1334.1383999999998</v>
      </c>
      <c r="BV38" s="31">
        <f>COUNTIFS(tbl_aplicabilidade[ProductId],B38,tbl_aplicabilidade[Aplicavel],"Sim")</f>
        <v>12</v>
      </c>
      <c r="BW38" s="31">
        <f>COUNTIFS(tbl_aplicabilidade[ProductId],B38,tbl_aplicabilidade[Estado_Resumo],"Lacuna")+COUNTIFS(tbl_aplicabilidade[ProductId],B38,tbl_aplicabilidade[Estado_Resumo],"Não conforme")</f>
        <v>1</v>
      </c>
      <c r="BX38" s="41">
        <v>46287</v>
      </c>
      <c r="BY38" s="42">
        <f t="shared" si="35"/>
        <v>46652</v>
      </c>
      <c r="BZ38" s="26" t="s">
        <v>596</v>
      </c>
      <c r="CA38" s="26" t="s">
        <v>597</v>
      </c>
      <c r="CB38" s="26" t="s">
        <v>598</v>
      </c>
    </row>
    <row r="39" spans="1:80" ht="18" customHeight="1" x14ac:dyDescent="0.3">
      <c r="A39" s="26" t="s">
        <v>694</v>
      </c>
      <c r="B39" s="26" t="s">
        <v>695</v>
      </c>
      <c r="C39" s="26" t="s">
        <v>586</v>
      </c>
      <c r="D39" s="26" t="s">
        <v>587</v>
      </c>
      <c r="E39" s="26" t="s">
        <v>588</v>
      </c>
      <c r="F39" s="26" t="s">
        <v>589</v>
      </c>
      <c r="G39" s="26" t="s">
        <v>696</v>
      </c>
      <c r="H39" s="37">
        <v>500</v>
      </c>
      <c r="I39" s="37">
        <v>137</v>
      </c>
      <c r="J39" s="26" t="s">
        <v>232</v>
      </c>
      <c r="K39" s="33" t="str">
        <f>IFERROR(INDEX(tbl_materiais[Polimero_Base],MATCH(J39,tbl_materiais[Material],0)),"")</f>
        <v>PE</v>
      </c>
      <c r="L39" s="33" t="str">
        <f>IFERROR(INDEX(tbl_materiais[Fluxo_Reciclagem],MATCH(J39,tbl_materiais[Material],0)),"")</f>
        <v>PE rígido</v>
      </c>
      <c r="M39" s="33" t="str">
        <f t="shared" si="18"/>
        <v>PE rígido — frascos e contentores (HDPE/LDPE)</v>
      </c>
      <c r="N39" s="26" t="s">
        <v>697</v>
      </c>
      <c r="O39" s="26" t="s">
        <v>289</v>
      </c>
      <c r="P39" s="26" t="s">
        <v>698</v>
      </c>
      <c r="Q39" s="29">
        <v>0.02</v>
      </c>
      <c r="R39" s="35">
        <f>IFERROR(ROUND(INDEX(tbl_materiais[Densidade_g_cm3],MATCH(J39,tbl_materiais[Material],0))+Q39*1.2,3),"")</f>
        <v>0.95899999999999996</v>
      </c>
      <c r="S39" s="26" t="s">
        <v>302</v>
      </c>
      <c r="T39" s="34">
        <v>30.9</v>
      </c>
      <c r="U39" s="26" t="s">
        <v>593</v>
      </c>
      <c r="V39" s="26" t="s">
        <v>449</v>
      </c>
      <c r="W39" s="33" t="str">
        <f>IF(V39="","",IFERROR(INDEX(tbl_tampas[Material],MATCH(V39,tbl_tampas[CapId],0)),""))</f>
        <v>HDPE</v>
      </c>
      <c r="X39" s="33" t="str">
        <f>IF(V39="","Sem tampa",IFERROR(INDEX(tbl_materiais[Polimero_Base],MATCH(W39,tbl_materiais[Material],0)),""))</f>
        <v>PE</v>
      </c>
      <c r="Y39" s="38">
        <f>IF(V39="",0,IFERROR(INDEX(tbl_tampas[Massa_g],MATCH(V39,tbl_tampas[CapId],0)),0))</f>
        <v>15.9</v>
      </c>
      <c r="Z39" s="26" t="s">
        <v>319</v>
      </c>
      <c r="AA39" s="26" t="s">
        <v>326</v>
      </c>
      <c r="AB39" s="26" t="s">
        <v>340</v>
      </c>
      <c r="AC39" s="29">
        <v>0</v>
      </c>
      <c r="AD39" s="27">
        <v>0</v>
      </c>
      <c r="AE39" s="26" t="s">
        <v>594</v>
      </c>
      <c r="AF39" s="26" t="s">
        <v>359</v>
      </c>
      <c r="AG39" s="39">
        <v>1</v>
      </c>
      <c r="AH39" s="33" t="str">
        <f t="shared" si="19"/>
        <v>Hot foil metalizado</v>
      </c>
      <c r="AI39" s="27">
        <v>0.03</v>
      </c>
      <c r="AJ39" s="33" t="str">
        <f>IFERROR(INDEX(tbl_regras_dfr[Classe],MATCH(L39&amp;"|Fluxo de reciclagem|"&amp;L39,tbl_regras_dfr[Chave],0)),"Sem regra")</f>
        <v>A</v>
      </c>
      <c r="AK39" s="33" t="str">
        <f>IF(LEFT(L39,9)="Sem fluxo","—",IFERROR(INDEX(tbl_regras_dfr[Classe],MATCH(L39&amp;"|Cor do corpo|"&amp;O39,tbl_regras_dfr[Chave],0)),"Sem regra"))</f>
        <v>F</v>
      </c>
      <c r="AL39" s="33" t="str">
        <f>IF(LEFT(L39,9)="Sem fluxo","—",IFERROR(INDEX(tbl_regras_dfr[Classe],MATCH(L39&amp;"|Densidade do corpo|"&amp;IF(R39&lt;1,"&lt; 1,0 g/cm³","≥ 1,0 g/cm³"),tbl_regras_dfr[Chave],0)),"Sem regra"))</f>
        <v>A</v>
      </c>
      <c r="AM39" s="33" t="str">
        <f>IF(LEFT(L39,9)="Sem fluxo","—",IFERROR(INDEX(tbl_regras_dfr[Classe],MATCH(L39&amp;"|Barreira / revestimento|"&amp;S39,tbl_regras_dfr[Chave],0)),"Sem regra"))</f>
        <v>A</v>
      </c>
      <c r="AN39" s="33" t="str">
        <f>IF(LEFT(L39,9)="Sem fluxo","—",IFERROR(INDEX(tbl_regras_dfr[Classe],MATCH(L39&amp;"|Material da tampa|"&amp;X39,tbl_regras_dfr[Chave],0)),"Sem regra"))</f>
        <v>A</v>
      </c>
      <c r="AO39" s="33" t="str">
        <f>IF(LEFT(L39,9)="Sem fluxo","—",IFERROR(INDEX(tbl_regras_dfr[Classe],MATCH(L39&amp;"|Vedante / liner|"&amp;Z39,tbl_regras_dfr[Chave],0)),"Sem regra"))</f>
        <v>A</v>
      </c>
      <c r="AP39" s="33" t="str">
        <f>IF(LEFT(L39,9)="Sem fluxo","—",IFERROR(INDEX(tbl_regras_dfr[Classe],MATCH(L39&amp;"|Tipo de rótulo|"&amp;AA39,tbl_regras_dfr[Chave],0)),"Sem regra"))</f>
        <v>A</v>
      </c>
      <c r="AQ39" s="33" t="str">
        <f>IF(LEFT(L39,9)="Sem fluxo","—",IFERROR(INDEX(tbl_regras_dfr[Classe],MATCH(L39&amp;"|Adesivo do rótulo|"&amp;AB39,tbl_regras_dfr[Chave],0)),"Sem regra"))</f>
        <v>A</v>
      </c>
      <c r="AR39" s="33" t="str">
        <f>IF(LEFT(L39,9)="Sem fluxo","—",IFERROR(INDEX(tbl_regras_dfr[Classe],MATCH(L39&amp;"|Cobertura do rótulo|"&amp;IF(AC39&gt;0.7,"&gt; 70% da superfície","≤ 70% da superfície"),tbl_regras_dfr[Chave],0)),"Sem regra"))</f>
        <v>A</v>
      </c>
      <c r="AS39" s="33" t="str">
        <f>IF(LEFT(L39,9)="Sem fluxo","—",IFERROR(INDEX(tbl_regras_dfr[Classe],MATCH(L39&amp;"|Decoração direta|"&amp;AH39,tbl_regras_dfr[Chave],0)),"Sem regra"))</f>
        <v>C</v>
      </c>
      <c r="AT39" s="31">
        <f t="shared" si="20"/>
        <v>6</v>
      </c>
      <c r="AU39" s="33" t="str">
        <f>IF(AT39=0,"",INDEX({"A","B","C","D","E","F"},AT39))</f>
        <v>F</v>
      </c>
      <c r="AV39" s="31">
        <f t="shared" si="21"/>
        <v>0</v>
      </c>
      <c r="AW39" s="33" t="str">
        <f t="shared" si="22"/>
        <v>Cor</v>
      </c>
      <c r="AX39" s="33" t="str">
        <f>IF(AU39="A","Sem ação — manter o design.",IFERROR(INDEX(tbl_regras_dfr[Recomendacao],MATCH(CHOOSE(MATCH(AU39,AJ39:AS39,0),L39&amp;"|Fluxo de reciclagem|"&amp;L39,L39&amp;"|Cor do corpo|"&amp;O39,L39&amp;"|Densidade do corpo|"&amp;IF(R39&lt;1,"&lt; 1,0 g/cm³","≥ 1,0 g/cm³"),L39&amp;"|Barreira / revestimento|"&amp;S39,L39&amp;"|Material da tampa|"&amp;X39,L39&amp;"|Vedante / liner|"&amp;Z39,L39&amp;"|Tipo de rótulo|"&amp;AA39,L39&amp;"|Adesivo do rótulo|"&amp;AB39,L39&amp;"|Cobertura do rótulo|"&amp;IF(AC39&gt;0.7,"&gt; 70% da superfície","≤ 70% da superfície"),L39&amp;"|Decoração direta|"&amp;AH39),tbl_regras_dfr[Chave],0)),""))</f>
        <v>Substituir o masterbatch por preto detetável por NIR (pigmentos sem negro de carbono).</v>
      </c>
      <c r="AY39" s="38">
        <f t="shared" si="23"/>
        <v>46.83</v>
      </c>
      <c r="AZ39" s="36">
        <f>MIN(IFERROR(INDEX(tbl_regras_dfr[Fracao_Reciclavel],MATCH(L39&amp;"|Fluxo de reciclagem|"&amp;L39,tbl_regras_dfr[Chave],0)),0),IFERROR(INDEX(tbl_regras_dfr[Fracao_Reciclavel],MATCH(L39&amp;"|Cor do corpo|"&amp;O39,tbl_regras_dfr[Chave],0)),0))</f>
        <v>0</v>
      </c>
      <c r="BA39" s="36">
        <f>IFERROR(INDEX(tbl_regras_dfr[Fracao_Reciclavel],MATCH(L39&amp;"|Material da tampa|"&amp;X39,tbl_regras_dfr[Chave],0)),0)</f>
        <v>1</v>
      </c>
      <c r="BB39" s="36">
        <f>IFERROR(INDEX(tbl_regras_dfr[Fracao_Reciclavel],MATCH(L39&amp;"|Tipo de rótulo|"&amp;AA39,tbl_regras_dfr[Chave],0)),0)</f>
        <v>1</v>
      </c>
      <c r="BC39" s="38">
        <f t="shared" si="24"/>
        <v>0</v>
      </c>
      <c r="BD39" s="40">
        <f t="shared" si="25"/>
        <v>0</v>
      </c>
      <c r="BE39" s="33" t="str">
        <f>IF(BD39&gt;=INDEX(tbl_param_emb[Valor],MATCH("P-06",tbl_param_emb[ID_Parametro],0)),"A",IF(BD39&gt;=INDEX(tbl_param_emb[Valor],MATCH("P-07",tbl_param_emb[ID_Parametro],0)),"B",IF(BD39&gt;=INDEX(tbl_param_emb[Valor],MATCH("P-08",tbl_param_emb[ID_Parametro],0)),"C","&lt; 70%")))</f>
        <v>&lt; 70%</v>
      </c>
      <c r="BF39" s="33" t="str">
        <f>IF(AU39="F","Não reciclável (F)",INDEX({"A","B","C","Abaixo de C"},MAX(MIN(AT39,4),IF(BE39="A",1,IF(BE39="B",2,IF(BE39="C",3,4))))))</f>
        <v>Não reciclável (F)</v>
      </c>
      <c r="BG39" s="33" t="str">
        <f t="shared" si="26"/>
        <v>—</v>
      </c>
      <c r="BH39" s="33" t="str">
        <f t="shared" si="27"/>
        <v>Não</v>
      </c>
      <c r="BI39" s="33" t="str">
        <f t="shared" si="28"/>
        <v>Não</v>
      </c>
      <c r="BJ39" s="36">
        <f>IFERROR(INDEX(tbl_materiais[Pct_PCR],MATCH(J39,tbl_materiais[Material],0)),0)</f>
        <v>0</v>
      </c>
      <c r="BK39" s="36">
        <f>IF(V39="",0,IFERROR(INDEX(tbl_tampas[Pct_PCR],MATCH(V39,tbl_tampas[CapId],0)),0))</f>
        <v>0</v>
      </c>
      <c r="BL39" s="40">
        <f t="shared" si="29"/>
        <v>0</v>
      </c>
      <c r="BM39" s="33" t="str">
        <f t="shared" si="30"/>
        <v>Outras embalagens de plástico</v>
      </c>
      <c r="BN39" s="36">
        <f>IFERROR(IF(INDEX(tbl_metas_art7[Meta_2030],MATCH(BM39,tbl_metas_art7[Categoria_Art7],0))="","",INDEX(tbl_metas_art7[Meta_2030],MATCH(BM39,tbl_metas_art7[Categoria_Art7],0))),"")</f>
        <v>0.35</v>
      </c>
      <c r="BO39" s="40">
        <f t="shared" si="31"/>
        <v>0.35</v>
      </c>
      <c r="BP39" s="33" t="str">
        <f t="shared" si="32"/>
        <v>Não</v>
      </c>
      <c r="BQ39" s="33" t="str">
        <f t="shared" si="33"/>
        <v>Monomaterial (mesma família)</v>
      </c>
      <c r="BR39" s="37">
        <v>38080</v>
      </c>
      <c r="BS39" s="39">
        <v>7</v>
      </c>
      <c r="BT39" s="26" t="s">
        <v>699</v>
      </c>
      <c r="BU39" s="32">
        <f t="shared" si="34"/>
        <v>1176.672</v>
      </c>
      <c r="BV39" s="31">
        <f>COUNTIFS(tbl_aplicabilidade[ProductId],B39,tbl_aplicabilidade[Aplicavel],"Sim")</f>
        <v>12</v>
      </c>
      <c r="BW39" s="31">
        <f>COUNTIFS(tbl_aplicabilidade[ProductId],B39,tbl_aplicabilidade[Estado_Resumo],"Lacuna")+COUNTIFS(tbl_aplicabilidade[ProductId],B39,tbl_aplicabilidade[Estado_Resumo],"Não conforme")</f>
        <v>2</v>
      </c>
      <c r="BX39" s="41">
        <v>46287</v>
      </c>
      <c r="BY39" s="42">
        <f t="shared" si="35"/>
        <v>46652</v>
      </c>
      <c r="BZ39" s="26" t="s">
        <v>596</v>
      </c>
      <c r="CA39" s="26" t="s">
        <v>597</v>
      </c>
      <c r="CB39" s="26" t="s">
        <v>598</v>
      </c>
    </row>
    <row r="40" spans="1:80" ht="18" customHeight="1" x14ac:dyDescent="0.3">
      <c r="A40" s="26" t="s">
        <v>700</v>
      </c>
      <c r="B40" s="26" t="s">
        <v>701</v>
      </c>
      <c r="C40" s="26" t="s">
        <v>586</v>
      </c>
      <c r="D40" s="26" t="s">
        <v>587</v>
      </c>
      <c r="E40" s="26" t="s">
        <v>588</v>
      </c>
      <c r="F40" s="26" t="s">
        <v>589</v>
      </c>
      <c r="G40" s="26" t="s">
        <v>641</v>
      </c>
      <c r="H40" s="37">
        <v>500</v>
      </c>
      <c r="I40" s="37">
        <v>137</v>
      </c>
      <c r="J40" s="26" t="s">
        <v>249</v>
      </c>
      <c r="K40" s="33" t="str">
        <f>IFERROR(INDEX(tbl_materiais[Polimero_Base],MATCH(J40,tbl_materiais[Material],0)),"")</f>
        <v>PET</v>
      </c>
      <c r="L40" s="33" t="str">
        <f>IFERROR(INDEX(tbl_materiais[Fluxo_Reciclagem],MATCH(J40,tbl_materiais[Material],0)),"")</f>
        <v>PET frascos e garrafas</v>
      </c>
      <c r="M40" s="33" t="str">
        <f t="shared" si="18"/>
        <v>PET — garrafas/frascos transparentes incolores</v>
      </c>
      <c r="N40" s="26" t="s">
        <v>610</v>
      </c>
      <c r="O40" s="26" t="s">
        <v>279</v>
      </c>
      <c r="P40" s="26" t="s">
        <v>611</v>
      </c>
      <c r="Q40" s="29">
        <v>0</v>
      </c>
      <c r="R40" s="35">
        <f>IFERROR(ROUND(INDEX(tbl_materiais[Densidade_g_cm3],MATCH(J40,tbl_materiais[Material],0))+Q40*1.2,3),"")</f>
        <v>1.38</v>
      </c>
      <c r="S40" s="26" t="s">
        <v>302</v>
      </c>
      <c r="T40" s="34">
        <v>30.9</v>
      </c>
      <c r="U40" s="26" t="s">
        <v>593</v>
      </c>
      <c r="V40" s="26" t="s">
        <v>452</v>
      </c>
      <c r="W40" s="33" t="str">
        <f>IF(V40="","",IFERROR(INDEX(tbl_tampas[Material],MATCH(V40,tbl_tampas[CapId],0)),""))</f>
        <v>PP</v>
      </c>
      <c r="X40" s="33" t="str">
        <f>IF(V40="","Sem tampa",IFERROR(INDEX(tbl_materiais[Polimero_Base],MATCH(W40,tbl_materiais[Material],0)),""))</f>
        <v>PP</v>
      </c>
      <c r="Y40" s="38">
        <f>IF(V40="",0,IFERROR(INDEX(tbl_tampas[Massa_g],MATCH(V40,tbl_tampas[CapId],0)),0))</f>
        <v>14.3</v>
      </c>
      <c r="Z40" s="26" t="s">
        <v>319</v>
      </c>
      <c r="AA40" s="26" t="s">
        <v>327</v>
      </c>
      <c r="AB40" s="26" t="s">
        <v>342</v>
      </c>
      <c r="AC40" s="29">
        <v>0.4</v>
      </c>
      <c r="AD40" s="27">
        <v>0.64</v>
      </c>
      <c r="AE40" s="26" t="s">
        <v>604</v>
      </c>
      <c r="AF40" s="26" t="s">
        <v>302</v>
      </c>
      <c r="AG40" s="39">
        <v>0</v>
      </c>
      <c r="AH40" s="33" t="str">
        <f t="shared" si="19"/>
        <v>Nenhuma</v>
      </c>
      <c r="AI40" s="27">
        <v>0</v>
      </c>
      <c r="AJ40" s="33" t="str">
        <f>IFERROR(INDEX(tbl_regras_dfr[Classe],MATCH(L40&amp;"|Fluxo de reciclagem|"&amp;L40,tbl_regras_dfr[Chave],0)),"Sem regra")</f>
        <v>A</v>
      </c>
      <c r="AK40" s="33" t="str">
        <f>IF(LEFT(L40,9)="Sem fluxo","—",IFERROR(INDEX(tbl_regras_dfr[Classe],MATCH(L40&amp;"|Cor do corpo|"&amp;O40,tbl_regras_dfr[Chave],0)),"Sem regra"))</f>
        <v>A</v>
      </c>
      <c r="AL40" s="33" t="str">
        <f>IF(LEFT(L40,9)="Sem fluxo","—",IFERROR(INDEX(tbl_regras_dfr[Classe],MATCH(L40&amp;"|Densidade do corpo|"&amp;IF(R40&lt;1,"&lt; 1,0 g/cm³","≥ 1,0 g/cm³"),tbl_regras_dfr[Chave],0)),"Sem regra"))</f>
        <v>A</v>
      </c>
      <c r="AM40" s="33" t="str">
        <f>IF(LEFT(L40,9)="Sem fluxo","—",IFERROR(INDEX(tbl_regras_dfr[Classe],MATCH(L40&amp;"|Barreira / revestimento|"&amp;S40,tbl_regras_dfr[Chave],0)),"Sem regra"))</f>
        <v>A</v>
      </c>
      <c r="AN40" s="33" t="str">
        <f>IF(LEFT(L40,9)="Sem fluxo","—",IFERROR(INDEX(tbl_regras_dfr[Classe],MATCH(L40&amp;"|Material da tampa|"&amp;X40,tbl_regras_dfr[Chave],0)),"Sem regra"))</f>
        <v>A</v>
      </c>
      <c r="AO40" s="33" t="str">
        <f>IF(LEFT(L40,9)="Sem fluxo","—",IFERROR(INDEX(tbl_regras_dfr[Classe],MATCH(L40&amp;"|Vedante / liner|"&amp;Z40,tbl_regras_dfr[Chave],0)),"Sem regra"))</f>
        <v>A</v>
      </c>
      <c r="AP40" s="33" t="str">
        <f>IF(LEFT(L40,9)="Sem fluxo","—",IFERROR(INDEX(tbl_regras_dfr[Classe],MATCH(L40&amp;"|Tipo de rótulo|"&amp;AA40,tbl_regras_dfr[Chave],0)),"Sem regra"))</f>
        <v>A</v>
      </c>
      <c r="AQ40" s="33" t="str">
        <f>IF(LEFT(L40,9)="Sem fluxo","—",IFERROR(INDEX(tbl_regras_dfr[Classe],MATCH(L40&amp;"|Adesivo do rótulo|"&amp;AB40,tbl_regras_dfr[Chave],0)),"Sem regra"))</f>
        <v>C</v>
      </c>
      <c r="AR40" s="33" t="str">
        <f>IF(LEFT(L40,9)="Sem fluxo","—",IFERROR(INDEX(tbl_regras_dfr[Classe],MATCH(L40&amp;"|Cobertura do rótulo|"&amp;IF(AC40&gt;0.7,"&gt; 70% da superfície","≤ 70% da superfície"),tbl_regras_dfr[Chave],0)),"Sem regra"))</f>
        <v>A</v>
      </c>
      <c r="AS40" s="33" t="str">
        <f>IF(LEFT(L40,9)="Sem fluxo","—",IFERROR(INDEX(tbl_regras_dfr[Classe],MATCH(L40&amp;"|Decoração direta|"&amp;AH40,tbl_regras_dfr[Chave],0)),"Sem regra"))</f>
        <v>A</v>
      </c>
      <c r="AT40" s="31">
        <f t="shared" si="20"/>
        <v>3</v>
      </c>
      <c r="AU40" s="33" t="str">
        <f>IF(AT40=0,"",INDEX({"A","B","C","D","E","F"},AT40))</f>
        <v>C</v>
      </c>
      <c r="AV40" s="31">
        <f t="shared" si="21"/>
        <v>0</v>
      </c>
      <c r="AW40" s="33" t="str">
        <f t="shared" si="22"/>
        <v>Adesivo</v>
      </c>
      <c r="AX40" s="33" t="str">
        <f>IF(AU40="A","Sem ação — manter o design.",IFERROR(INDEX(tbl_regras_dfr[Recomendacao],MATCH(CHOOSE(MATCH(AU40,AJ40:AS40,0),L40&amp;"|Fluxo de reciclagem|"&amp;L40,L40&amp;"|Cor do corpo|"&amp;O40,L40&amp;"|Densidade do corpo|"&amp;IF(R40&lt;1,"&lt; 1,0 g/cm³","≥ 1,0 g/cm³"),L40&amp;"|Barreira / revestimento|"&amp;S40,L40&amp;"|Material da tampa|"&amp;X40,L40&amp;"|Vedante / liner|"&amp;Z40,L40&amp;"|Tipo de rótulo|"&amp;AA40,L40&amp;"|Adesivo do rótulo|"&amp;AB40,L40&amp;"|Cobertura do rótulo|"&amp;IF(AC40&gt;0.7,"&gt; 70% da superfície","≤ 70% da superfície"),L40&amp;"|Decoração direta|"&amp;AH40),tbl_regras_dfr[Chave],0)),""))</f>
        <v>Exigir ao cliente adesivo lavável a 80 °C (teste de lavabilidade).</v>
      </c>
      <c r="AY40" s="38">
        <f t="shared" si="23"/>
        <v>45.84</v>
      </c>
      <c r="AZ40" s="36">
        <f>MIN(IFERROR(INDEX(tbl_regras_dfr[Fracao_Reciclavel],MATCH(L40&amp;"|Fluxo de reciclagem|"&amp;L40,tbl_regras_dfr[Chave],0)),0),IFERROR(INDEX(tbl_regras_dfr[Fracao_Reciclavel],MATCH(L40&amp;"|Cor do corpo|"&amp;O40,tbl_regras_dfr[Chave],0)),0))</f>
        <v>1</v>
      </c>
      <c r="BA40" s="36">
        <f>IFERROR(INDEX(tbl_regras_dfr[Fracao_Reciclavel],MATCH(L40&amp;"|Material da tampa|"&amp;X40,tbl_regras_dfr[Chave],0)),0)</f>
        <v>1</v>
      </c>
      <c r="BB40" s="36">
        <f>IFERROR(INDEX(tbl_regras_dfr[Fracao_Reciclavel],MATCH(L40&amp;"|Tipo de rótulo|"&amp;AA40,tbl_regras_dfr[Chave],0)),0)</f>
        <v>1</v>
      </c>
      <c r="BC40" s="38">
        <f t="shared" si="24"/>
        <v>45.84</v>
      </c>
      <c r="BD40" s="40">
        <f t="shared" si="25"/>
        <v>1</v>
      </c>
      <c r="BE40" s="33" t="str">
        <f>IF(BD40&gt;=INDEX(tbl_param_emb[Valor],MATCH("P-06",tbl_param_emb[ID_Parametro],0)),"A",IF(BD40&gt;=INDEX(tbl_param_emb[Valor],MATCH("P-07",tbl_param_emb[ID_Parametro],0)),"B",IF(BD40&gt;=INDEX(tbl_param_emb[Valor],MATCH("P-08",tbl_param_emb[ID_Parametro],0)),"C","&lt; 70%")))</f>
        <v>A</v>
      </c>
      <c r="BF40" s="33" t="str">
        <f>IF(AU40="F","Não reciclável (F)",INDEX({"A","B","C","Abaixo de C"},MAX(MIN(AT40,4),IF(BE40="A",1,IF(BE40="B",2,IF(BE40="C",3,4))))))</f>
        <v>C</v>
      </c>
      <c r="BG40" s="33" t="str">
        <f t="shared" si="26"/>
        <v>—</v>
      </c>
      <c r="BH40" s="33" t="str">
        <f t="shared" si="27"/>
        <v>Sim</v>
      </c>
      <c r="BI40" s="33" t="str">
        <f t="shared" si="28"/>
        <v>Não</v>
      </c>
      <c r="BJ40" s="36">
        <f>IFERROR(INDEX(tbl_materiais[Pct_PCR],MATCH(J40,tbl_materiais[Material],0)),0)</f>
        <v>0</v>
      </c>
      <c r="BK40" s="36">
        <f>IF(V40="",0,IFERROR(INDEX(tbl_tampas[Pct_PCR],MATCH(V40,tbl_tampas[CapId],0)),0))</f>
        <v>0</v>
      </c>
      <c r="BL40" s="40">
        <f t="shared" si="29"/>
        <v>0</v>
      </c>
      <c r="BM40" s="33" t="str">
        <f t="shared" si="30"/>
        <v>Outras embalagens de plástico</v>
      </c>
      <c r="BN40" s="36">
        <f>IFERROR(IF(INDEX(tbl_metas_art7[Meta_2030],MATCH(BM40,tbl_metas_art7[Categoria_Art7],0))="","",INDEX(tbl_metas_art7[Meta_2030],MATCH(BM40,tbl_metas_art7[Categoria_Art7],0))),"")</f>
        <v>0.35</v>
      </c>
      <c r="BO40" s="40">
        <f t="shared" si="31"/>
        <v>0.35</v>
      </c>
      <c r="BP40" s="33" t="str">
        <f t="shared" si="32"/>
        <v>Não</v>
      </c>
      <c r="BQ40" s="33" t="str">
        <f t="shared" si="33"/>
        <v>Multimaterial</v>
      </c>
      <c r="BR40" s="37">
        <v>58718</v>
      </c>
      <c r="BS40" s="39">
        <v>8</v>
      </c>
      <c r="BT40" s="26" t="s">
        <v>699</v>
      </c>
      <c r="BU40" s="32">
        <f t="shared" si="34"/>
        <v>1814.3861999999999</v>
      </c>
      <c r="BV40" s="31">
        <f>COUNTIFS(tbl_aplicabilidade[ProductId],B40,tbl_aplicabilidade[Aplicavel],"Sim")</f>
        <v>12</v>
      </c>
      <c r="BW40" s="31">
        <f>COUNTIFS(tbl_aplicabilidade[ProductId],B40,tbl_aplicabilidade[Estado_Resumo],"Lacuna")+COUNTIFS(tbl_aplicabilidade[ProductId],B40,tbl_aplicabilidade[Estado_Resumo],"Não conforme")</f>
        <v>1</v>
      </c>
      <c r="BX40" s="41">
        <v>46287</v>
      </c>
      <c r="BY40" s="42">
        <f t="shared" si="35"/>
        <v>46652</v>
      </c>
      <c r="BZ40" s="26" t="s">
        <v>596</v>
      </c>
      <c r="CA40" s="26" t="s">
        <v>597</v>
      </c>
      <c r="CB40" s="26" t="s">
        <v>598</v>
      </c>
    </row>
    <row r="41" spans="1:80" ht="18" customHeight="1" x14ac:dyDescent="0.3">
      <c r="A41" s="26" t="s">
        <v>702</v>
      </c>
      <c r="B41" s="26" t="s">
        <v>703</v>
      </c>
      <c r="C41" s="26" t="s">
        <v>586</v>
      </c>
      <c r="D41" s="26" t="s">
        <v>587</v>
      </c>
      <c r="E41" s="26" t="s">
        <v>588</v>
      </c>
      <c r="F41" s="26" t="s">
        <v>589</v>
      </c>
      <c r="G41" s="26" t="s">
        <v>647</v>
      </c>
      <c r="H41" s="37">
        <v>500</v>
      </c>
      <c r="I41" s="37">
        <v>137</v>
      </c>
      <c r="J41" s="26" t="s">
        <v>255</v>
      </c>
      <c r="K41" s="33" t="str">
        <f>IFERROR(INDEX(tbl_materiais[Polimero_Base],MATCH(J41,tbl_materiais[Material],0)),"")</f>
        <v>PETG</v>
      </c>
      <c r="L41" s="33" t="str">
        <f>IFERROR(INDEX(tbl_materiais[Fluxo_Reciclagem],MATCH(J41,tbl_materiais[Material],0)),"")</f>
        <v>Sem fluxo (PETG)</v>
      </c>
      <c r="M41" s="33" t="str">
        <f t="shared" si="18"/>
        <v>Sem categoria RecyClass (PETG)</v>
      </c>
      <c r="N41" s="26" t="s">
        <v>610</v>
      </c>
      <c r="O41" s="26" t="s">
        <v>279</v>
      </c>
      <c r="P41" s="26" t="s">
        <v>611</v>
      </c>
      <c r="Q41" s="29">
        <v>0</v>
      </c>
      <c r="R41" s="35">
        <f>IFERROR(ROUND(INDEX(tbl_materiais[Densidade_g_cm3],MATCH(J41,tbl_materiais[Material],0))+Q41*1.2,3),"")</f>
        <v>1.27</v>
      </c>
      <c r="S41" s="26" t="s">
        <v>302</v>
      </c>
      <c r="T41" s="34">
        <v>30.9</v>
      </c>
      <c r="U41" s="26" t="s">
        <v>593</v>
      </c>
      <c r="V41" s="26" t="s">
        <v>458</v>
      </c>
      <c r="W41" s="33" t="str">
        <f>IF(V41="","",IFERROR(INDEX(tbl_tampas[Material],MATCH(V41,tbl_tampas[CapId],0)),""))</f>
        <v>PETG</v>
      </c>
      <c r="X41" s="33" t="str">
        <f>IF(V41="","Sem tampa",IFERROR(INDEX(tbl_materiais[Polimero_Base],MATCH(W41,tbl_materiais[Material],0)),""))</f>
        <v>PETG</v>
      </c>
      <c r="Y41" s="38">
        <f>IF(V41="",0,IFERROR(INDEX(tbl_tampas[Massa_g],MATCH(V41,tbl_tampas[CapId],0)),0))</f>
        <v>16.7</v>
      </c>
      <c r="Z41" s="26" t="s">
        <v>319</v>
      </c>
      <c r="AA41" s="26" t="s">
        <v>326</v>
      </c>
      <c r="AB41" s="26" t="s">
        <v>340</v>
      </c>
      <c r="AC41" s="29">
        <v>0</v>
      </c>
      <c r="AD41" s="27">
        <v>0</v>
      </c>
      <c r="AE41" s="26" t="s">
        <v>594</v>
      </c>
      <c r="AF41" s="26" t="s">
        <v>359</v>
      </c>
      <c r="AG41" s="39">
        <v>1</v>
      </c>
      <c r="AH41" s="33" t="str">
        <f t="shared" si="19"/>
        <v>Hot foil metalizado</v>
      </c>
      <c r="AI41" s="27">
        <v>0.03</v>
      </c>
      <c r="AJ41" s="33" t="str">
        <f>IFERROR(INDEX(tbl_regras_dfr[Classe],MATCH(L41&amp;"|Fluxo de reciclagem|"&amp;L41,tbl_regras_dfr[Chave],0)),"Sem regra")</f>
        <v>F</v>
      </c>
      <c r="AK41" s="33" t="str">
        <f>IF(LEFT(L41,9)="Sem fluxo","—",IFERROR(INDEX(tbl_regras_dfr[Classe],MATCH(L41&amp;"|Cor do corpo|"&amp;O41,tbl_regras_dfr[Chave],0)),"Sem regra"))</f>
        <v>—</v>
      </c>
      <c r="AL41" s="33" t="str">
        <f>IF(LEFT(L41,9)="Sem fluxo","—",IFERROR(INDEX(tbl_regras_dfr[Classe],MATCH(L41&amp;"|Densidade do corpo|"&amp;IF(R41&lt;1,"&lt; 1,0 g/cm³","≥ 1,0 g/cm³"),tbl_regras_dfr[Chave],0)),"Sem regra"))</f>
        <v>—</v>
      </c>
      <c r="AM41" s="33" t="str">
        <f>IF(LEFT(L41,9)="Sem fluxo","—",IFERROR(INDEX(tbl_regras_dfr[Classe],MATCH(L41&amp;"|Barreira / revestimento|"&amp;S41,tbl_regras_dfr[Chave],0)),"Sem regra"))</f>
        <v>—</v>
      </c>
      <c r="AN41" s="33" t="str">
        <f>IF(LEFT(L41,9)="Sem fluxo","—",IFERROR(INDEX(tbl_regras_dfr[Classe],MATCH(L41&amp;"|Material da tampa|"&amp;X41,tbl_regras_dfr[Chave],0)),"Sem regra"))</f>
        <v>—</v>
      </c>
      <c r="AO41" s="33" t="str">
        <f>IF(LEFT(L41,9)="Sem fluxo","—",IFERROR(INDEX(tbl_regras_dfr[Classe],MATCH(L41&amp;"|Vedante / liner|"&amp;Z41,tbl_regras_dfr[Chave],0)),"Sem regra"))</f>
        <v>—</v>
      </c>
      <c r="AP41" s="33" t="str">
        <f>IF(LEFT(L41,9)="Sem fluxo","—",IFERROR(INDEX(tbl_regras_dfr[Classe],MATCH(L41&amp;"|Tipo de rótulo|"&amp;AA41,tbl_regras_dfr[Chave],0)),"Sem regra"))</f>
        <v>—</v>
      </c>
      <c r="AQ41" s="33" t="str">
        <f>IF(LEFT(L41,9)="Sem fluxo","—",IFERROR(INDEX(tbl_regras_dfr[Classe],MATCH(L41&amp;"|Adesivo do rótulo|"&amp;AB41,tbl_regras_dfr[Chave],0)),"Sem regra"))</f>
        <v>—</v>
      </c>
      <c r="AR41" s="33" t="str">
        <f>IF(LEFT(L41,9)="Sem fluxo","—",IFERROR(INDEX(tbl_regras_dfr[Classe],MATCH(L41&amp;"|Cobertura do rótulo|"&amp;IF(AC41&gt;0.7,"&gt; 70% da superfície","≤ 70% da superfície"),tbl_regras_dfr[Chave],0)),"Sem regra"))</f>
        <v>—</v>
      </c>
      <c r="AS41" s="33" t="str">
        <f>IF(LEFT(L41,9)="Sem fluxo","—",IFERROR(INDEX(tbl_regras_dfr[Classe],MATCH(L41&amp;"|Decoração direta|"&amp;AH41,tbl_regras_dfr[Chave],0)),"Sem regra"))</f>
        <v>—</v>
      </c>
      <c r="AT41" s="31">
        <f t="shared" si="20"/>
        <v>6</v>
      </c>
      <c r="AU41" s="33" t="str">
        <f>IF(AT41=0,"",INDEX({"A","B","C","D","E","F"},AT41))</f>
        <v>F</v>
      </c>
      <c r="AV41" s="31">
        <f t="shared" si="21"/>
        <v>0</v>
      </c>
      <c r="AW41" s="33" t="str">
        <f t="shared" si="22"/>
        <v>Fluxo</v>
      </c>
      <c r="AX41" s="33" t="str">
        <f>IF(AU41="A","Sem ação — manter o design.",IFERROR(INDEX(tbl_regras_dfr[Recomendacao],MATCH(CHOOSE(MATCH(AU41,AJ41:AS41,0),L41&amp;"|Fluxo de reciclagem|"&amp;L41,L41&amp;"|Cor do corpo|"&amp;O41,L41&amp;"|Densidade do corpo|"&amp;IF(R41&lt;1,"&lt; 1,0 g/cm³","≥ 1,0 g/cm³"),L41&amp;"|Barreira / revestimento|"&amp;S41,L41&amp;"|Material da tampa|"&amp;X41,L41&amp;"|Vedante / liner|"&amp;Z41,L41&amp;"|Tipo de rótulo|"&amp;AA41,L41&amp;"|Adesivo do rótulo|"&amp;AB41,L41&amp;"|Cobertura do rótulo|"&amp;IF(AC41&gt;0.7,"&gt; 70% da superfície","≤ 70% da superfície"),L41&amp;"|Decoração direta|"&amp;AH41),tbl_regras_dfr[Chave],0)),""))</f>
        <v>Mudar o corpo para PET (ou PP/PE) — PETG não passa a grau C em 2030.</v>
      </c>
      <c r="AY41" s="38">
        <f t="shared" si="23"/>
        <v>47.629999999999995</v>
      </c>
      <c r="AZ41" s="36">
        <f>MIN(IFERROR(INDEX(tbl_regras_dfr[Fracao_Reciclavel],MATCH(L41&amp;"|Fluxo de reciclagem|"&amp;L41,tbl_regras_dfr[Chave],0)),0),IFERROR(INDEX(tbl_regras_dfr[Fracao_Reciclavel],MATCH(L41&amp;"|Cor do corpo|"&amp;O41,tbl_regras_dfr[Chave],0)),0))</f>
        <v>0</v>
      </c>
      <c r="BA41" s="36">
        <f>IFERROR(INDEX(tbl_regras_dfr[Fracao_Reciclavel],MATCH(L41&amp;"|Material da tampa|"&amp;X41,tbl_regras_dfr[Chave],0)),0)</f>
        <v>0</v>
      </c>
      <c r="BB41" s="36">
        <f>IFERROR(INDEX(tbl_regras_dfr[Fracao_Reciclavel],MATCH(L41&amp;"|Tipo de rótulo|"&amp;AA41,tbl_regras_dfr[Chave],0)),0)</f>
        <v>0</v>
      </c>
      <c r="BC41" s="38">
        <f t="shared" si="24"/>
        <v>0</v>
      </c>
      <c r="BD41" s="40">
        <f t="shared" si="25"/>
        <v>0</v>
      </c>
      <c r="BE41" s="33" t="str">
        <f>IF(BD41&gt;=INDEX(tbl_param_emb[Valor],MATCH("P-06",tbl_param_emb[ID_Parametro],0)),"A",IF(BD41&gt;=INDEX(tbl_param_emb[Valor],MATCH("P-07",tbl_param_emb[ID_Parametro],0)),"B",IF(BD41&gt;=INDEX(tbl_param_emb[Valor],MATCH("P-08",tbl_param_emb[ID_Parametro],0)),"C","&lt; 70%")))</f>
        <v>&lt; 70%</v>
      </c>
      <c r="BF41" s="33" t="str">
        <f>IF(AU41="F","Não reciclável (F)",INDEX({"A","B","C","Abaixo de C"},MAX(MIN(AT41,4),IF(BE41="A",1,IF(BE41="B",2,IF(BE41="C",3,4))))))</f>
        <v>Não reciclável (F)</v>
      </c>
      <c r="BG41" s="33" t="str">
        <f t="shared" si="26"/>
        <v>—</v>
      </c>
      <c r="BH41" s="33" t="str">
        <f t="shared" si="27"/>
        <v>Não</v>
      </c>
      <c r="BI41" s="33" t="str">
        <f t="shared" si="28"/>
        <v>Não</v>
      </c>
      <c r="BJ41" s="36">
        <f>IFERROR(INDEX(tbl_materiais[Pct_PCR],MATCH(J41,tbl_materiais[Material],0)),0)</f>
        <v>0</v>
      </c>
      <c r="BK41" s="36">
        <f>IF(V41="",0,IFERROR(INDEX(tbl_tampas[Pct_PCR],MATCH(V41,tbl_tampas[CapId],0)),0))</f>
        <v>0</v>
      </c>
      <c r="BL41" s="40">
        <f t="shared" si="29"/>
        <v>0</v>
      </c>
      <c r="BM41" s="33" t="str">
        <f t="shared" si="30"/>
        <v>Outras embalagens de plástico</v>
      </c>
      <c r="BN41" s="36">
        <f>IFERROR(IF(INDEX(tbl_metas_art7[Meta_2030],MATCH(BM41,tbl_metas_art7[Categoria_Art7],0))="","",INDEX(tbl_metas_art7[Meta_2030],MATCH(BM41,tbl_metas_art7[Categoria_Art7],0))),"")</f>
        <v>0.35</v>
      </c>
      <c r="BO41" s="40">
        <f t="shared" si="31"/>
        <v>0.35</v>
      </c>
      <c r="BP41" s="33" t="str">
        <f t="shared" si="32"/>
        <v>Não</v>
      </c>
      <c r="BQ41" s="33" t="str">
        <f t="shared" si="33"/>
        <v>Monomaterial (mesma família)</v>
      </c>
      <c r="BR41" s="37">
        <v>29720</v>
      </c>
      <c r="BS41" s="39">
        <v>6</v>
      </c>
      <c r="BT41" s="26" t="s">
        <v>628</v>
      </c>
      <c r="BU41" s="32">
        <f t="shared" si="34"/>
        <v>918.34799999999996</v>
      </c>
      <c r="BV41" s="31">
        <f>COUNTIFS(tbl_aplicabilidade[ProductId],B41,tbl_aplicabilidade[Aplicavel],"Sim")</f>
        <v>12</v>
      </c>
      <c r="BW41" s="31">
        <f>COUNTIFS(tbl_aplicabilidade[ProductId],B41,tbl_aplicabilidade[Estado_Resumo],"Lacuna")+COUNTIFS(tbl_aplicabilidade[ProductId],B41,tbl_aplicabilidade[Estado_Resumo],"Não conforme")</f>
        <v>4</v>
      </c>
      <c r="BX41" s="41">
        <v>46287</v>
      </c>
      <c r="BY41" s="42">
        <f t="shared" si="35"/>
        <v>46652</v>
      </c>
      <c r="BZ41" s="26" t="s">
        <v>596</v>
      </c>
      <c r="CA41" s="26" t="s">
        <v>597</v>
      </c>
      <c r="CB41" s="26" t="s">
        <v>598</v>
      </c>
    </row>
    <row r="42" spans="1:80" ht="18" customHeight="1" x14ac:dyDescent="0.3">
      <c r="A42" s="26" t="s">
        <v>704</v>
      </c>
      <c r="B42" s="26" t="s">
        <v>705</v>
      </c>
      <c r="C42" s="26" t="s">
        <v>586</v>
      </c>
      <c r="D42" s="26" t="s">
        <v>587</v>
      </c>
      <c r="E42" s="26" t="s">
        <v>588</v>
      </c>
      <c r="F42" s="26" t="s">
        <v>589</v>
      </c>
      <c r="G42" s="26" t="s">
        <v>647</v>
      </c>
      <c r="H42" s="37">
        <v>500</v>
      </c>
      <c r="I42" s="37">
        <v>137</v>
      </c>
      <c r="J42" s="26" t="s">
        <v>255</v>
      </c>
      <c r="K42" s="33" t="str">
        <f>IFERROR(INDEX(tbl_materiais[Polimero_Base],MATCH(J42,tbl_materiais[Material],0)),"")</f>
        <v>PETG</v>
      </c>
      <c r="L42" s="33" t="str">
        <f>IFERROR(INDEX(tbl_materiais[Fluxo_Reciclagem],MATCH(J42,tbl_materiais[Material],0)),"")</f>
        <v>Sem fluxo (PETG)</v>
      </c>
      <c r="M42" s="33" t="str">
        <f t="shared" si="18"/>
        <v>Sem categoria RecyClass (PETG)</v>
      </c>
      <c r="N42" s="26" t="s">
        <v>610</v>
      </c>
      <c r="O42" s="26" t="s">
        <v>279</v>
      </c>
      <c r="P42" s="26" t="s">
        <v>611</v>
      </c>
      <c r="Q42" s="29">
        <v>0</v>
      </c>
      <c r="R42" s="35">
        <f>IFERROR(ROUND(INDEX(tbl_materiais[Densidade_g_cm3],MATCH(J42,tbl_materiais[Material],0))+Q42*1.2,3),"")</f>
        <v>1.27</v>
      </c>
      <c r="S42" s="26" t="s">
        <v>302</v>
      </c>
      <c r="T42" s="34">
        <v>30.9</v>
      </c>
      <c r="U42" s="26" t="s">
        <v>593</v>
      </c>
      <c r="V42" s="26" t="s">
        <v>458</v>
      </c>
      <c r="W42" s="33" t="str">
        <f>IF(V42="","",IFERROR(INDEX(tbl_tampas[Material],MATCH(V42,tbl_tampas[CapId],0)),""))</f>
        <v>PETG</v>
      </c>
      <c r="X42" s="33" t="str">
        <f>IF(V42="","Sem tampa",IFERROR(INDEX(tbl_materiais[Polimero_Base],MATCH(W42,tbl_materiais[Material],0)),""))</f>
        <v>PETG</v>
      </c>
      <c r="Y42" s="38">
        <f>IF(V42="",0,IFERROR(INDEX(tbl_tampas[Massa_g],MATCH(V42,tbl_tampas[CapId],0)),0))</f>
        <v>16.7</v>
      </c>
      <c r="Z42" s="26" t="s">
        <v>319</v>
      </c>
      <c r="AA42" s="26" t="s">
        <v>326</v>
      </c>
      <c r="AB42" s="26" t="s">
        <v>340</v>
      </c>
      <c r="AC42" s="29">
        <v>0</v>
      </c>
      <c r="AD42" s="27">
        <v>0</v>
      </c>
      <c r="AE42" s="26" t="s">
        <v>594</v>
      </c>
      <c r="AF42" s="26" t="s">
        <v>359</v>
      </c>
      <c r="AG42" s="39">
        <v>1</v>
      </c>
      <c r="AH42" s="33" t="str">
        <f t="shared" si="19"/>
        <v>Hot foil metalizado</v>
      </c>
      <c r="AI42" s="27">
        <v>0.03</v>
      </c>
      <c r="AJ42" s="33" t="str">
        <f>IFERROR(INDEX(tbl_regras_dfr[Classe],MATCH(L42&amp;"|Fluxo de reciclagem|"&amp;L42,tbl_regras_dfr[Chave],0)),"Sem regra")</f>
        <v>F</v>
      </c>
      <c r="AK42" s="33" t="str">
        <f>IF(LEFT(L42,9)="Sem fluxo","—",IFERROR(INDEX(tbl_regras_dfr[Classe],MATCH(L42&amp;"|Cor do corpo|"&amp;O42,tbl_regras_dfr[Chave],0)),"Sem regra"))</f>
        <v>—</v>
      </c>
      <c r="AL42" s="33" t="str">
        <f>IF(LEFT(L42,9)="Sem fluxo","—",IFERROR(INDEX(tbl_regras_dfr[Classe],MATCH(L42&amp;"|Densidade do corpo|"&amp;IF(R42&lt;1,"&lt; 1,0 g/cm³","≥ 1,0 g/cm³"),tbl_regras_dfr[Chave],0)),"Sem regra"))</f>
        <v>—</v>
      </c>
      <c r="AM42" s="33" t="str">
        <f>IF(LEFT(L42,9)="Sem fluxo","—",IFERROR(INDEX(tbl_regras_dfr[Classe],MATCH(L42&amp;"|Barreira / revestimento|"&amp;S42,tbl_regras_dfr[Chave],0)),"Sem regra"))</f>
        <v>—</v>
      </c>
      <c r="AN42" s="33" t="str">
        <f>IF(LEFT(L42,9)="Sem fluxo","—",IFERROR(INDEX(tbl_regras_dfr[Classe],MATCH(L42&amp;"|Material da tampa|"&amp;X42,tbl_regras_dfr[Chave],0)),"Sem regra"))</f>
        <v>—</v>
      </c>
      <c r="AO42" s="33" t="str">
        <f>IF(LEFT(L42,9)="Sem fluxo","—",IFERROR(INDEX(tbl_regras_dfr[Classe],MATCH(L42&amp;"|Vedante / liner|"&amp;Z42,tbl_regras_dfr[Chave],0)),"Sem regra"))</f>
        <v>—</v>
      </c>
      <c r="AP42" s="33" t="str">
        <f>IF(LEFT(L42,9)="Sem fluxo","—",IFERROR(INDEX(tbl_regras_dfr[Classe],MATCH(L42&amp;"|Tipo de rótulo|"&amp;AA42,tbl_regras_dfr[Chave],0)),"Sem regra"))</f>
        <v>—</v>
      </c>
      <c r="AQ42" s="33" t="str">
        <f>IF(LEFT(L42,9)="Sem fluxo","—",IFERROR(INDEX(tbl_regras_dfr[Classe],MATCH(L42&amp;"|Adesivo do rótulo|"&amp;AB42,tbl_regras_dfr[Chave],0)),"Sem regra"))</f>
        <v>—</v>
      </c>
      <c r="AR42" s="33" t="str">
        <f>IF(LEFT(L42,9)="Sem fluxo","—",IFERROR(INDEX(tbl_regras_dfr[Classe],MATCH(L42&amp;"|Cobertura do rótulo|"&amp;IF(AC42&gt;0.7,"&gt; 70% da superfície","≤ 70% da superfície"),tbl_regras_dfr[Chave],0)),"Sem regra"))</f>
        <v>—</v>
      </c>
      <c r="AS42" s="33" t="str">
        <f>IF(LEFT(L42,9)="Sem fluxo","—",IFERROR(INDEX(tbl_regras_dfr[Classe],MATCH(L42&amp;"|Decoração direta|"&amp;AH42,tbl_regras_dfr[Chave],0)),"Sem regra"))</f>
        <v>—</v>
      </c>
      <c r="AT42" s="31">
        <f t="shared" si="20"/>
        <v>6</v>
      </c>
      <c r="AU42" s="33" t="str">
        <f>IF(AT42=0,"",INDEX({"A","B","C","D","E","F"},AT42))</f>
        <v>F</v>
      </c>
      <c r="AV42" s="31">
        <f t="shared" si="21"/>
        <v>0</v>
      </c>
      <c r="AW42" s="33" t="str">
        <f t="shared" si="22"/>
        <v>Fluxo</v>
      </c>
      <c r="AX42" s="33" t="str">
        <f>IF(AU42="A","Sem ação — manter o design.",IFERROR(INDEX(tbl_regras_dfr[Recomendacao],MATCH(CHOOSE(MATCH(AU42,AJ42:AS42,0),L42&amp;"|Fluxo de reciclagem|"&amp;L42,L42&amp;"|Cor do corpo|"&amp;O42,L42&amp;"|Densidade do corpo|"&amp;IF(R42&lt;1,"&lt; 1,0 g/cm³","≥ 1,0 g/cm³"),L42&amp;"|Barreira / revestimento|"&amp;S42,L42&amp;"|Material da tampa|"&amp;X42,L42&amp;"|Vedante / liner|"&amp;Z42,L42&amp;"|Tipo de rótulo|"&amp;AA42,L42&amp;"|Adesivo do rótulo|"&amp;AB42,L42&amp;"|Cobertura do rótulo|"&amp;IF(AC42&gt;0.7,"&gt; 70% da superfície","≤ 70% da superfície"),L42&amp;"|Decoração direta|"&amp;AH42),tbl_regras_dfr[Chave],0)),""))</f>
        <v>Mudar o corpo para PET (ou PP/PE) — PETG não passa a grau C em 2030.</v>
      </c>
      <c r="AY42" s="38">
        <f t="shared" si="23"/>
        <v>47.629999999999995</v>
      </c>
      <c r="AZ42" s="36">
        <f>MIN(IFERROR(INDEX(tbl_regras_dfr[Fracao_Reciclavel],MATCH(L42&amp;"|Fluxo de reciclagem|"&amp;L42,tbl_regras_dfr[Chave],0)),0),IFERROR(INDEX(tbl_regras_dfr[Fracao_Reciclavel],MATCH(L42&amp;"|Cor do corpo|"&amp;O42,tbl_regras_dfr[Chave],0)),0))</f>
        <v>0</v>
      </c>
      <c r="BA42" s="36">
        <f>IFERROR(INDEX(tbl_regras_dfr[Fracao_Reciclavel],MATCH(L42&amp;"|Material da tampa|"&amp;X42,tbl_regras_dfr[Chave],0)),0)</f>
        <v>0</v>
      </c>
      <c r="BB42" s="36">
        <f>IFERROR(INDEX(tbl_regras_dfr[Fracao_Reciclavel],MATCH(L42&amp;"|Tipo de rótulo|"&amp;AA42,tbl_regras_dfr[Chave],0)),0)</f>
        <v>0</v>
      </c>
      <c r="BC42" s="38">
        <f t="shared" si="24"/>
        <v>0</v>
      </c>
      <c r="BD42" s="40">
        <f t="shared" si="25"/>
        <v>0</v>
      </c>
      <c r="BE42" s="33" t="str">
        <f>IF(BD42&gt;=INDEX(tbl_param_emb[Valor],MATCH("P-06",tbl_param_emb[ID_Parametro],0)),"A",IF(BD42&gt;=INDEX(tbl_param_emb[Valor],MATCH("P-07",tbl_param_emb[ID_Parametro],0)),"B",IF(BD42&gt;=INDEX(tbl_param_emb[Valor],MATCH("P-08",tbl_param_emb[ID_Parametro],0)),"C","&lt; 70%")))</f>
        <v>&lt; 70%</v>
      </c>
      <c r="BF42" s="33" t="str">
        <f>IF(AU42="F","Não reciclável (F)",INDEX({"A","B","C","Abaixo de C"},MAX(MIN(AT42,4),IF(BE42="A",1,IF(BE42="B",2,IF(BE42="C",3,4))))))</f>
        <v>Não reciclável (F)</v>
      </c>
      <c r="BG42" s="33" t="str">
        <f t="shared" si="26"/>
        <v>—</v>
      </c>
      <c r="BH42" s="33" t="str">
        <f t="shared" si="27"/>
        <v>Não</v>
      </c>
      <c r="BI42" s="33" t="str">
        <f t="shared" si="28"/>
        <v>Não</v>
      </c>
      <c r="BJ42" s="36">
        <f>IFERROR(INDEX(tbl_materiais[Pct_PCR],MATCH(J42,tbl_materiais[Material],0)),0)</f>
        <v>0</v>
      </c>
      <c r="BK42" s="36">
        <f>IF(V42="",0,IFERROR(INDEX(tbl_tampas[Pct_PCR],MATCH(V42,tbl_tampas[CapId],0)),0))</f>
        <v>0</v>
      </c>
      <c r="BL42" s="40">
        <f t="shared" si="29"/>
        <v>0</v>
      </c>
      <c r="BM42" s="33" t="str">
        <f t="shared" si="30"/>
        <v>Outras embalagens de plástico</v>
      </c>
      <c r="BN42" s="36">
        <f>IFERROR(IF(INDEX(tbl_metas_art7[Meta_2030],MATCH(BM42,tbl_metas_art7[Categoria_Art7],0))="","",INDEX(tbl_metas_art7[Meta_2030],MATCH(BM42,tbl_metas_art7[Categoria_Art7],0))),"")</f>
        <v>0.35</v>
      </c>
      <c r="BO42" s="40">
        <f t="shared" si="31"/>
        <v>0.35</v>
      </c>
      <c r="BP42" s="33" t="str">
        <f t="shared" si="32"/>
        <v>Não</v>
      </c>
      <c r="BQ42" s="33" t="str">
        <f t="shared" si="33"/>
        <v>Monomaterial (mesma família)</v>
      </c>
      <c r="BR42" s="37">
        <v>70037</v>
      </c>
      <c r="BS42" s="39">
        <v>10</v>
      </c>
      <c r="BT42" s="26" t="s">
        <v>457</v>
      </c>
      <c r="BU42" s="32">
        <f t="shared" si="34"/>
        <v>2164.1432999999997</v>
      </c>
      <c r="BV42" s="31">
        <f>COUNTIFS(tbl_aplicabilidade[ProductId],B42,tbl_aplicabilidade[Aplicavel],"Sim")</f>
        <v>12</v>
      </c>
      <c r="BW42" s="31">
        <f>COUNTIFS(tbl_aplicabilidade[ProductId],B42,tbl_aplicabilidade[Estado_Resumo],"Lacuna")+COUNTIFS(tbl_aplicabilidade[ProductId],B42,tbl_aplicabilidade[Estado_Resumo],"Não conforme")</f>
        <v>4</v>
      </c>
      <c r="BX42" s="41">
        <v>46287</v>
      </c>
      <c r="BY42" s="42">
        <f t="shared" si="35"/>
        <v>46652</v>
      </c>
      <c r="BZ42" s="26" t="s">
        <v>596</v>
      </c>
      <c r="CA42" s="26" t="s">
        <v>597</v>
      </c>
      <c r="CB42" s="26" t="s">
        <v>598</v>
      </c>
    </row>
    <row r="43" spans="1:80" ht="18" customHeight="1" x14ac:dyDescent="0.3">
      <c r="A43" s="26" t="s">
        <v>706</v>
      </c>
      <c r="B43" s="26" t="s">
        <v>707</v>
      </c>
      <c r="C43" s="26" t="s">
        <v>586</v>
      </c>
      <c r="D43" s="26" t="s">
        <v>587</v>
      </c>
      <c r="E43" s="26" t="s">
        <v>588</v>
      </c>
      <c r="F43" s="26" t="s">
        <v>589</v>
      </c>
      <c r="G43" s="26" t="s">
        <v>655</v>
      </c>
      <c r="H43" s="37">
        <v>500</v>
      </c>
      <c r="I43" s="37">
        <v>137</v>
      </c>
      <c r="J43" s="26" t="s">
        <v>240</v>
      </c>
      <c r="K43" s="33" t="str">
        <f>IFERROR(INDEX(tbl_materiais[Polimero_Base],MATCH(J43,tbl_materiais[Material],0)),"")</f>
        <v>PP</v>
      </c>
      <c r="L43" s="33" t="str">
        <f>IFERROR(INDEX(tbl_materiais[Fluxo_Reciclagem],MATCH(J43,tbl_materiais[Material],0)),"")</f>
        <v>PP rígido</v>
      </c>
      <c r="M43" s="33" t="str">
        <f t="shared" si="18"/>
        <v>PP rígido — frascos, potes e contentores</v>
      </c>
      <c r="N43" s="26" t="s">
        <v>637</v>
      </c>
      <c r="O43" s="26" t="s">
        <v>281</v>
      </c>
      <c r="P43" s="26" t="s">
        <v>638</v>
      </c>
      <c r="Q43" s="29">
        <v>2.5000000000000001E-2</v>
      </c>
      <c r="R43" s="35">
        <f>IFERROR(ROUND(INDEX(tbl_materiais[Densidade_g_cm3],MATCH(J43,tbl_materiais[Material],0))+Q43*1.2,3),"")</f>
        <v>0.93500000000000005</v>
      </c>
      <c r="S43" s="26" t="s">
        <v>302</v>
      </c>
      <c r="T43" s="34">
        <v>30.9</v>
      </c>
      <c r="U43" s="26" t="s">
        <v>593</v>
      </c>
      <c r="V43" s="26" t="s">
        <v>473</v>
      </c>
      <c r="W43" s="33" t="str">
        <f>IF(V43="","",IFERROR(INDEX(tbl_tampas[Material],MATCH(V43,tbl_tampas[CapId],0)),""))</f>
        <v>PP</v>
      </c>
      <c r="X43" s="33" t="str">
        <f>IF(V43="","Sem tampa",IFERROR(INDEX(tbl_materiais[Polimero_Base],MATCH(W43,tbl_materiais[Material],0)),""))</f>
        <v>PP</v>
      </c>
      <c r="Y43" s="38">
        <f>IF(V43="",0,IFERROR(INDEX(tbl_tampas[Massa_g],MATCH(V43,tbl_tampas[CapId],0)),0))</f>
        <v>19.3</v>
      </c>
      <c r="Z43" s="26" t="s">
        <v>319</v>
      </c>
      <c r="AA43" s="26" t="s">
        <v>327</v>
      </c>
      <c r="AB43" s="26" t="s">
        <v>342</v>
      </c>
      <c r="AC43" s="29">
        <v>0.4</v>
      </c>
      <c r="AD43" s="27">
        <v>0.64</v>
      </c>
      <c r="AE43" s="26" t="s">
        <v>604</v>
      </c>
      <c r="AF43" s="26" t="s">
        <v>302</v>
      </c>
      <c r="AG43" s="39">
        <v>0</v>
      </c>
      <c r="AH43" s="33" t="str">
        <f t="shared" si="19"/>
        <v>Nenhuma</v>
      </c>
      <c r="AI43" s="27">
        <v>0</v>
      </c>
      <c r="AJ43" s="33" t="str">
        <f>IFERROR(INDEX(tbl_regras_dfr[Classe],MATCH(L43&amp;"|Fluxo de reciclagem|"&amp;L43,tbl_regras_dfr[Chave],0)),"Sem regra")</f>
        <v>A</v>
      </c>
      <c r="AK43" s="33" t="str">
        <f>IF(LEFT(L43,9)="Sem fluxo","—",IFERROR(INDEX(tbl_regras_dfr[Classe],MATCH(L43&amp;"|Cor do corpo|"&amp;O43,tbl_regras_dfr[Chave],0)),"Sem regra"))</f>
        <v>A</v>
      </c>
      <c r="AL43" s="33" t="str">
        <f>IF(LEFT(L43,9)="Sem fluxo","—",IFERROR(INDEX(tbl_regras_dfr[Classe],MATCH(L43&amp;"|Densidade do corpo|"&amp;IF(R43&lt;1,"&lt; 1,0 g/cm³","≥ 1,0 g/cm³"),tbl_regras_dfr[Chave],0)),"Sem regra"))</f>
        <v>A</v>
      </c>
      <c r="AM43" s="33" t="str">
        <f>IF(LEFT(L43,9)="Sem fluxo","—",IFERROR(INDEX(tbl_regras_dfr[Classe],MATCH(L43&amp;"|Barreira / revestimento|"&amp;S43,tbl_regras_dfr[Chave],0)),"Sem regra"))</f>
        <v>A</v>
      </c>
      <c r="AN43" s="33" t="str">
        <f>IF(LEFT(L43,9)="Sem fluxo","—",IFERROR(INDEX(tbl_regras_dfr[Classe],MATCH(L43&amp;"|Material da tampa|"&amp;X43,tbl_regras_dfr[Chave],0)),"Sem regra"))</f>
        <v>A</v>
      </c>
      <c r="AO43" s="33" t="str">
        <f>IF(LEFT(L43,9)="Sem fluxo","—",IFERROR(INDEX(tbl_regras_dfr[Classe],MATCH(L43&amp;"|Vedante / liner|"&amp;Z43,tbl_regras_dfr[Chave],0)),"Sem regra"))</f>
        <v>A</v>
      </c>
      <c r="AP43" s="33" t="str">
        <f>IF(LEFT(L43,9)="Sem fluxo","—",IFERROR(INDEX(tbl_regras_dfr[Classe],MATCH(L43&amp;"|Tipo de rótulo|"&amp;AA43,tbl_regras_dfr[Chave],0)),"Sem regra"))</f>
        <v>A</v>
      </c>
      <c r="AQ43" s="33" t="str">
        <f>IF(LEFT(L43,9)="Sem fluxo","—",IFERROR(INDEX(tbl_regras_dfr[Classe],MATCH(L43&amp;"|Adesivo do rótulo|"&amp;AB43,tbl_regras_dfr[Chave],0)),"Sem regra"))</f>
        <v>A</v>
      </c>
      <c r="AR43" s="33" t="str">
        <f>IF(LEFT(L43,9)="Sem fluxo","—",IFERROR(INDEX(tbl_regras_dfr[Classe],MATCH(L43&amp;"|Cobertura do rótulo|"&amp;IF(AC43&gt;0.7,"&gt; 70% da superfície","≤ 70% da superfície"),tbl_regras_dfr[Chave],0)),"Sem regra"))</f>
        <v>A</v>
      </c>
      <c r="AS43" s="33" t="str">
        <f>IF(LEFT(L43,9)="Sem fluxo","—",IFERROR(INDEX(tbl_regras_dfr[Classe],MATCH(L43&amp;"|Decoração direta|"&amp;AH43,tbl_regras_dfr[Chave],0)),"Sem regra"))</f>
        <v>A</v>
      </c>
      <c r="AT43" s="31">
        <f t="shared" si="20"/>
        <v>1</v>
      </c>
      <c r="AU43" s="33" t="str">
        <f>IF(AT43=0,"",INDEX({"A","B","C","D","E","F"},AT43))</f>
        <v>A</v>
      </c>
      <c r="AV43" s="31">
        <f t="shared" si="21"/>
        <v>0</v>
      </c>
      <c r="AW43" s="33" t="str">
        <f t="shared" si="22"/>
        <v>—</v>
      </c>
      <c r="AX43" s="33" t="str">
        <f>IF(AU43="A","Sem ação — manter o design.",IFERROR(INDEX(tbl_regras_dfr[Recomendacao],MATCH(CHOOSE(MATCH(AU43,AJ43:AS43,0),L43&amp;"|Fluxo de reciclagem|"&amp;L43,L43&amp;"|Cor do corpo|"&amp;O43,L43&amp;"|Densidade do corpo|"&amp;IF(R43&lt;1,"&lt; 1,0 g/cm³","≥ 1,0 g/cm³"),L43&amp;"|Barreira / revestimento|"&amp;S43,L43&amp;"|Material da tampa|"&amp;X43,L43&amp;"|Vedante / liner|"&amp;Z43,L43&amp;"|Tipo de rótulo|"&amp;AA43,L43&amp;"|Adesivo do rótulo|"&amp;AB43,L43&amp;"|Cobertura do rótulo|"&amp;IF(AC43&gt;0.7,"&gt; 70% da superfície","≤ 70% da superfície"),L43&amp;"|Decoração direta|"&amp;AH43),tbl_regras_dfr[Chave],0)),""))</f>
        <v>Sem ação — manter o design.</v>
      </c>
      <c r="AY43" s="38">
        <f t="shared" si="23"/>
        <v>50.84</v>
      </c>
      <c r="AZ43" s="36">
        <f>MIN(IFERROR(INDEX(tbl_regras_dfr[Fracao_Reciclavel],MATCH(L43&amp;"|Fluxo de reciclagem|"&amp;L43,tbl_regras_dfr[Chave],0)),0),IFERROR(INDEX(tbl_regras_dfr[Fracao_Reciclavel],MATCH(L43&amp;"|Cor do corpo|"&amp;O43,tbl_regras_dfr[Chave],0)),0))</f>
        <v>1</v>
      </c>
      <c r="BA43" s="36">
        <f>IFERROR(INDEX(tbl_regras_dfr[Fracao_Reciclavel],MATCH(L43&amp;"|Material da tampa|"&amp;X43,tbl_regras_dfr[Chave],0)),0)</f>
        <v>1</v>
      </c>
      <c r="BB43" s="36">
        <f>IFERROR(INDEX(tbl_regras_dfr[Fracao_Reciclavel],MATCH(L43&amp;"|Tipo de rótulo|"&amp;AA43,tbl_regras_dfr[Chave],0)),0)</f>
        <v>1</v>
      </c>
      <c r="BC43" s="38">
        <f t="shared" si="24"/>
        <v>50.84</v>
      </c>
      <c r="BD43" s="40">
        <f t="shared" si="25"/>
        <v>1</v>
      </c>
      <c r="BE43" s="33" t="str">
        <f>IF(BD43&gt;=INDEX(tbl_param_emb[Valor],MATCH("P-06",tbl_param_emb[ID_Parametro],0)),"A",IF(BD43&gt;=INDEX(tbl_param_emb[Valor],MATCH("P-07",tbl_param_emb[ID_Parametro],0)),"B",IF(BD43&gt;=INDEX(tbl_param_emb[Valor],MATCH("P-08",tbl_param_emb[ID_Parametro],0)),"C","&lt; 70%")))</f>
        <v>A</v>
      </c>
      <c r="BF43" s="33" t="str">
        <f>IF(AU43="F","Não reciclável (F)",INDEX({"A","B","C","Abaixo de C"},MAX(MIN(AT43,4),IF(BE43="A",1,IF(BE43="B",2,IF(BE43="C",3,4))))))</f>
        <v>A</v>
      </c>
      <c r="BG43" s="33" t="str">
        <f t="shared" si="26"/>
        <v>—</v>
      </c>
      <c r="BH43" s="33" t="str">
        <f t="shared" si="27"/>
        <v>Sim</v>
      </c>
      <c r="BI43" s="33" t="str">
        <f t="shared" si="28"/>
        <v>Sim</v>
      </c>
      <c r="BJ43" s="36">
        <f>IFERROR(INDEX(tbl_materiais[Pct_PCR],MATCH(J43,tbl_materiais[Material],0)),0)</f>
        <v>0</v>
      </c>
      <c r="BK43" s="36">
        <f>IF(V43="",0,IFERROR(INDEX(tbl_tampas[Pct_PCR],MATCH(V43,tbl_tampas[CapId],0)),0))</f>
        <v>0</v>
      </c>
      <c r="BL43" s="40">
        <f t="shared" si="29"/>
        <v>0</v>
      </c>
      <c r="BM43" s="33" t="str">
        <f t="shared" si="30"/>
        <v>Outras embalagens de plástico</v>
      </c>
      <c r="BN43" s="36">
        <f>IFERROR(IF(INDEX(tbl_metas_art7[Meta_2030],MATCH(BM43,tbl_metas_art7[Categoria_Art7],0))="","",INDEX(tbl_metas_art7[Meta_2030],MATCH(BM43,tbl_metas_art7[Categoria_Art7],0))),"")</f>
        <v>0.35</v>
      </c>
      <c r="BO43" s="40">
        <f t="shared" si="31"/>
        <v>0.35</v>
      </c>
      <c r="BP43" s="33" t="str">
        <f t="shared" si="32"/>
        <v>Não</v>
      </c>
      <c r="BQ43" s="33" t="str">
        <f t="shared" si="33"/>
        <v>Monomaterial (mesma família)</v>
      </c>
      <c r="BR43" s="37">
        <v>95722</v>
      </c>
      <c r="BS43" s="39">
        <v>13</v>
      </c>
      <c r="BT43" s="26" t="s">
        <v>426</v>
      </c>
      <c r="BU43" s="32">
        <f t="shared" si="34"/>
        <v>2957.8098</v>
      </c>
      <c r="BV43" s="31">
        <f>COUNTIFS(tbl_aplicabilidade[ProductId],B43,tbl_aplicabilidade[Aplicavel],"Sim")</f>
        <v>12</v>
      </c>
      <c r="BW43" s="31">
        <f>COUNTIFS(tbl_aplicabilidade[ProductId],B43,tbl_aplicabilidade[Estado_Resumo],"Lacuna")+COUNTIFS(tbl_aplicabilidade[ProductId],B43,tbl_aplicabilidade[Estado_Resumo],"Não conforme")</f>
        <v>1</v>
      </c>
      <c r="BX43" s="41">
        <v>46287</v>
      </c>
      <c r="BY43" s="42">
        <f t="shared" si="35"/>
        <v>46652</v>
      </c>
      <c r="BZ43" s="26" t="s">
        <v>596</v>
      </c>
      <c r="CA43" s="26" t="s">
        <v>597</v>
      </c>
      <c r="CB43" s="26" t="s">
        <v>598</v>
      </c>
    </row>
    <row r="44" spans="1:80" ht="18" customHeight="1" x14ac:dyDescent="0.3">
      <c r="A44" s="26" t="s">
        <v>708</v>
      </c>
      <c r="B44" s="26" t="s">
        <v>709</v>
      </c>
      <c r="C44" s="26" t="s">
        <v>586</v>
      </c>
      <c r="D44" s="26" t="s">
        <v>587</v>
      </c>
      <c r="E44" s="26" t="s">
        <v>588</v>
      </c>
      <c r="F44" s="26" t="s">
        <v>589</v>
      </c>
      <c r="G44" s="26" t="s">
        <v>655</v>
      </c>
      <c r="H44" s="37">
        <v>500</v>
      </c>
      <c r="I44" s="37">
        <v>137</v>
      </c>
      <c r="J44" s="26" t="s">
        <v>240</v>
      </c>
      <c r="K44" s="33" t="str">
        <f>IFERROR(INDEX(tbl_materiais[Polimero_Base],MATCH(J44,tbl_materiais[Material],0)),"")</f>
        <v>PP</v>
      </c>
      <c r="L44" s="33" t="str">
        <f>IFERROR(INDEX(tbl_materiais[Fluxo_Reciclagem],MATCH(J44,tbl_materiais[Material],0)),"")</f>
        <v>PP rígido</v>
      </c>
      <c r="M44" s="33" t="str">
        <f t="shared" si="18"/>
        <v>PP rígido — frascos, potes e contentores</v>
      </c>
      <c r="N44" s="26" t="s">
        <v>697</v>
      </c>
      <c r="O44" s="26" t="s">
        <v>289</v>
      </c>
      <c r="P44" s="26" t="s">
        <v>698</v>
      </c>
      <c r="Q44" s="29">
        <v>0.02</v>
      </c>
      <c r="R44" s="35">
        <f>IFERROR(ROUND(INDEX(tbl_materiais[Densidade_g_cm3],MATCH(J44,tbl_materiais[Material],0))+Q44*1.2,3),"")</f>
        <v>0.92900000000000005</v>
      </c>
      <c r="S44" s="26" t="s">
        <v>302</v>
      </c>
      <c r="T44" s="34">
        <v>30.9</v>
      </c>
      <c r="U44" s="26" t="s">
        <v>593</v>
      </c>
      <c r="V44" s="26" t="s">
        <v>452</v>
      </c>
      <c r="W44" s="33" t="str">
        <f>IF(V44="","",IFERROR(INDEX(tbl_tampas[Material],MATCH(V44,tbl_tampas[CapId],0)),""))</f>
        <v>PP</v>
      </c>
      <c r="X44" s="33" t="str">
        <f>IF(V44="","Sem tampa",IFERROR(INDEX(tbl_materiais[Polimero_Base],MATCH(W44,tbl_materiais[Material],0)),""))</f>
        <v>PP</v>
      </c>
      <c r="Y44" s="38">
        <f>IF(V44="",0,IFERROR(INDEX(tbl_tampas[Massa_g],MATCH(V44,tbl_tampas[CapId],0)),0))</f>
        <v>14.3</v>
      </c>
      <c r="Z44" s="26" t="s">
        <v>319</v>
      </c>
      <c r="AA44" s="26" t="s">
        <v>326</v>
      </c>
      <c r="AB44" s="26" t="s">
        <v>340</v>
      </c>
      <c r="AC44" s="29">
        <v>0</v>
      </c>
      <c r="AD44" s="27">
        <v>0</v>
      </c>
      <c r="AE44" s="26" t="s">
        <v>594</v>
      </c>
      <c r="AF44" s="26" t="s">
        <v>595</v>
      </c>
      <c r="AG44" s="39">
        <v>1</v>
      </c>
      <c r="AH44" s="33" t="str">
        <f t="shared" si="19"/>
        <v>Serigrafia 1–2 cores</v>
      </c>
      <c r="AI44" s="27">
        <v>0.08</v>
      </c>
      <c r="AJ44" s="33" t="str">
        <f>IFERROR(INDEX(tbl_regras_dfr[Classe],MATCH(L44&amp;"|Fluxo de reciclagem|"&amp;L44,tbl_regras_dfr[Chave],0)),"Sem regra")</f>
        <v>A</v>
      </c>
      <c r="AK44" s="33" t="str">
        <f>IF(LEFT(L44,9)="Sem fluxo","—",IFERROR(INDEX(tbl_regras_dfr[Classe],MATCH(L44&amp;"|Cor do corpo|"&amp;O44,tbl_regras_dfr[Chave],0)),"Sem regra"))</f>
        <v>F</v>
      </c>
      <c r="AL44" s="33" t="str">
        <f>IF(LEFT(L44,9)="Sem fluxo","—",IFERROR(INDEX(tbl_regras_dfr[Classe],MATCH(L44&amp;"|Densidade do corpo|"&amp;IF(R44&lt;1,"&lt; 1,0 g/cm³","≥ 1,0 g/cm³"),tbl_regras_dfr[Chave],0)),"Sem regra"))</f>
        <v>A</v>
      </c>
      <c r="AM44" s="33" t="str">
        <f>IF(LEFT(L44,9)="Sem fluxo","—",IFERROR(INDEX(tbl_regras_dfr[Classe],MATCH(L44&amp;"|Barreira / revestimento|"&amp;S44,tbl_regras_dfr[Chave],0)),"Sem regra"))</f>
        <v>A</v>
      </c>
      <c r="AN44" s="33" t="str">
        <f>IF(LEFT(L44,9)="Sem fluxo","—",IFERROR(INDEX(tbl_regras_dfr[Classe],MATCH(L44&amp;"|Material da tampa|"&amp;X44,tbl_regras_dfr[Chave],0)),"Sem regra"))</f>
        <v>A</v>
      </c>
      <c r="AO44" s="33" t="str">
        <f>IF(LEFT(L44,9)="Sem fluxo","—",IFERROR(INDEX(tbl_regras_dfr[Classe],MATCH(L44&amp;"|Vedante / liner|"&amp;Z44,tbl_regras_dfr[Chave],0)),"Sem regra"))</f>
        <v>A</v>
      </c>
      <c r="AP44" s="33" t="str">
        <f>IF(LEFT(L44,9)="Sem fluxo","—",IFERROR(INDEX(tbl_regras_dfr[Classe],MATCH(L44&amp;"|Tipo de rótulo|"&amp;AA44,tbl_regras_dfr[Chave],0)),"Sem regra"))</f>
        <v>A</v>
      </c>
      <c r="AQ44" s="33" t="str">
        <f>IF(LEFT(L44,9)="Sem fluxo","—",IFERROR(INDEX(tbl_regras_dfr[Classe],MATCH(L44&amp;"|Adesivo do rótulo|"&amp;AB44,tbl_regras_dfr[Chave],0)),"Sem regra"))</f>
        <v>A</v>
      </c>
      <c r="AR44" s="33" t="str">
        <f>IF(LEFT(L44,9)="Sem fluxo","—",IFERROR(INDEX(tbl_regras_dfr[Classe],MATCH(L44&amp;"|Cobertura do rótulo|"&amp;IF(AC44&gt;0.7,"&gt; 70% da superfície","≤ 70% da superfície"),tbl_regras_dfr[Chave],0)),"Sem regra"))</f>
        <v>A</v>
      </c>
      <c r="AS44" s="33" t="str">
        <f>IF(LEFT(L44,9)="Sem fluxo","—",IFERROR(INDEX(tbl_regras_dfr[Classe],MATCH(L44&amp;"|Decoração direta|"&amp;AH44,tbl_regras_dfr[Chave],0)),"Sem regra"))</f>
        <v>B</v>
      </c>
      <c r="AT44" s="31">
        <f t="shared" si="20"/>
        <v>6</v>
      </c>
      <c r="AU44" s="33" t="str">
        <f>IF(AT44=0,"",INDEX({"A","B","C","D","E","F"},AT44))</f>
        <v>F</v>
      </c>
      <c r="AV44" s="31">
        <f t="shared" si="21"/>
        <v>0</v>
      </c>
      <c r="AW44" s="33" t="str">
        <f t="shared" si="22"/>
        <v>Cor</v>
      </c>
      <c r="AX44" s="33" t="str">
        <f>IF(AU44="A","Sem ação — manter o design.",IFERROR(INDEX(tbl_regras_dfr[Recomendacao],MATCH(CHOOSE(MATCH(AU44,AJ44:AS44,0),L44&amp;"|Fluxo de reciclagem|"&amp;L44,L44&amp;"|Cor do corpo|"&amp;O44,L44&amp;"|Densidade do corpo|"&amp;IF(R44&lt;1,"&lt; 1,0 g/cm³","≥ 1,0 g/cm³"),L44&amp;"|Barreira / revestimento|"&amp;S44,L44&amp;"|Material da tampa|"&amp;X44,L44&amp;"|Vedante / liner|"&amp;Z44,L44&amp;"|Tipo de rótulo|"&amp;AA44,L44&amp;"|Adesivo do rótulo|"&amp;AB44,L44&amp;"|Cobertura do rótulo|"&amp;IF(AC44&gt;0.7,"&gt; 70% da superfície","≤ 70% da superfície"),L44&amp;"|Decoração direta|"&amp;AH44),tbl_regras_dfr[Chave],0)),""))</f>
        <v>Substituir o masterbatch por preto detetável por NIR (pigmentos sem negro de carbono).</v>
      </c>
      <c r="AY44" s="38">
        <f t="shared" si="23"/>
        <v>45.28</v>
      </c>
      <c r="AZ44" s="36">
        <f>MIN(IFERROR(INDEX(tbl_regras_dfr[Fracao_Reciclavel],MATCH(L44&amp;"|Fluxo de reciclagem|"&amp;L44,tbl_regras_dfr[Chave],0)),0),IFERROR(INDEX(tbl_regras_dfr[Fracao_Reciclavel],MATCH(L44&amp;"|Cor do corpo|"&amp;O44,tbl_regras_dfr[Chave],0)),0))</f>
        <v>0</v>
      </c>
      <c r="BA44" s="36">
        <f>IFERROR(INDEX(tbl_regras_dfr[Fracao_Reciclavel],MATCH(L44&amp;"|Material da tampa|"&amp;X44,tbl_regras_dfr[Chave],0)),0)</f>
        <v>1</v>
      </c>
      <c r="BB44" s="36">
        <f>IFERROR(INDEX(tbl_regras_dfr[Fracao_Reciclavel],MATCH(L44&amp;"|Tipo de rótulo|"&amp;AA44,tbl_regras_dfr[Chave],0)),0)</f>
        <v>1</v>
      </c>
      <c r="BC44" s="38">
        <f t="shared" si="24"/>
        <v>0</v>
      </c>
      <c r="BD44" s="40">
        <f t="shared" si="25"/>
        <v>0</v>
      </c>
      <c r="BE44" s="33" t="str">
        <f>IF(BD44&gt;=INDEX(tbl_param_emb[Valor],MATCH("P-06",tbl_param_emb[ID_Parametro],0)),"A",IF(BD44&gt;=INDEX(tbl_param_emb[Valor],MATCH("P-07",tbl_param_emb[ID_Parametro],0)),"B",IF(BD44&gt;=INDEX(tbl_param_emb[Valor],MATCH("P-08",tbl_param_emb[ID_Parametro],0)),"C","&lt; 70%")))</f>
        <v>&lt; 70%</v>
      </c>
      <c r="BF44" s="33" t="str">
        <f>IF(AU44="F","Não reciclável (F)",INDEX({"A","B","C","Abaixo de C"},MAX(MIN(AT44,4),IF(BE44="A",1,IF(BE44="B",2,IF(BE44="C",3,4))))))</f>
        <v>Não reciclável (F)</v>
      </c>
      <c r="BG44" s="33" t="str">
        <f t="shared" si="26"/>
        <v>—</v>
      </c>
      <c r="BH44" s="33" t="str">
        <f t="shared" si="27"/>
        <v>Não</v>
      </c>
      <c r="BI44" s="33" t="str">
        <f t="shared" si="28"/>
        <v>Não</v>
      </c>
      <c r="BJ44" s="36">
        <f>IFERROR(INDEX(tbl_materiais[Pct_PCR],MATCH(J44,tbl_materiais[Material],0)),0)</f>
        <v>0</v>
      </c>
      <c r="BK44" s="36">
        <f>IF(V44="",0,IFERROR(INDEX(tbl_tampas[Pct_PCR],MATCH(V44,tbl_tampas[CapId],0)),0))</f>
        <v>0</v>
      </c>
      <c r="BL44" s="40">
        <f t="shared" si="29"/>
        <v>0</v>
      </c>
      <c r="BM44" s="33" t="str">
        <f t="shared" si="30"/>
        <v>Outras embalagens de plástico</v>
      </c>
      <c r="BN44" s="36">
        <f>IFERROR(IF(INDEX(tbl_metas_art7[Meta_2030],MATCH(BM44,tbl_metas_art7[Categoria_Art7],0))="","",INDEX(tbl_metas_art7[Meta_2030],MATCH(BM44,tbl_metas_art7[Categoria_Art7],0))),"")</f>
        <v>0.35</v>
      </c>
      <c r="BO44" s="40">
        <f t="shared" si="31"/>
        <v>0.35</v>
      </c>
      <c r="BP44" s="33" t="str">
        <f t="shared" si="32"/>
        <v>Não</v>
      </c>
      <c r="BQ44" s="33" t="str">
        <f t="shared" si="33"/>
        <v>Monomaterial (mesma família)</v>
      </c>
      <c r="BR44" s="37">
        <v>49902</v>
      </c>
      <c r="BS44" s="39">
        <v>8</v>
      </c>
      <c r="BT44" s="26" t="s">
        <v>457</v>
      </c>
      <c r="BU44" s="32">
        <f t="shared" si="34"/>
        <v>1541.9717999999998</v>
      </c>
      <c r="BV44" s="31">
        <f>COUNTIFS(tbl_aplicabilidade[ProductId],B44,tbl_aplicabilidade[Aplicavel],"Sim")</f>
        <v>12</v>
      </c>
      <c r="BW44" s="31">
        <f>COUNTIFS(tbl_aplicabilidade[ProductId],B44,tbl_aplicabilidade[Estado_Resumo],"Lacuna")+COUNTIFS(tbl_aplicabilidade[ProductId],B44,tbl_aplicabilidade[Estado_Resumo],"Não conforme")</f>
        <v>2</v>
      </c>
      <c r="BX44" s="41">
        <v>46287</v>
      </c>
      <c r="BY44" s="42">
        <f t="shared" si="35"/>
        <v>46652</v>
      </c>
      <c r="BZ44" s="26" t="s">
        <v>596</v>
      </c>
      <c r="CA44" s="26" t="s">
        <v>597</v>
      </c>
      <c r="CB44" s="26" t="s">
        <v>598</v>
      </c>
    </row>
    <row r="45" spans="1:80" ht="18" customHeight="1" x14ac:dyDescent="0.3">
      <c r="A45" s="26" t="s">
        <v>710</v>
      </c>
      <c r="B45" s="26" t="s">
        <v>711</v>
      </c>
      <c r="C45" s="26" t="s">
        <v>586</v>
      </c>
      <c r="D45" s="26" t="s">
        <v>587</v>
      </c>
      <c r="E45" s="26" t="s">
        <v>588</v>
      </c>
      <c r="F45" s="26" t="s">
        <v>589</v>
      </c>
      <c r="G45" s="26" t="s">
        <v>663</v>
      </c>
      <c r="H45" s="37">
        <v>500</v>
      </c>
      <c r="I45" s="37">
        <v>137</v>
      </c>
      <c r="J45" s="26" t="s">
        <v>244</v>
      </c>
      <c r="K45" s="33" t="str">
        <f>IFERROR(INDEX(tbl_materiais[Polimero_Base],MATCH(J45,tbl_materiais[Material],0)),"")</f>
        <v>PP</v>
      </c>
      <c r="L45" s="33" t="str">
        <f>IFERROR(INDEX(tbl_materiais[Fluxo_Reciclagem],MATCH(J45,tbl_materiais[Material],0)),"")</f>
        <v>PP rígido</v>
      </c>
      <c r="M45" s="33" t="str">
        <f t="shared" si="18"/>
        <v>PP rígido — frascos, potes e contentores</v>
      </c>
      <c r="N45" s="26" t="s">
        <v>602</v>
      </c>
      <c r="O45" s="26" t="s">
        <v>283</v>
      </c>
      <c r="P45" s="26" t="s">
        <v>603</v>
      </c>
      <c r="Q45" s="29">
        <v>0.02</v>
      </c>
      <c r="R45" s="35">
        <f>IFERROR(ROUND(INDEX(tbl_materiais[Densidade_g_cm3],MATCH(J45,tbl_materiais[Material],0))+Q45*1.2,3),"")</f>
        <v>0.93400000000000005</v>
      </c>
      <c r="S45" s="26" t="s">
        <v>302</v>
      </c>
      <c r="T45" s="34">
        <v>30.9</v>
      </c>
      <c r="U45" s="26" t="s">
        <v>593</v>
      </c>
      <c r="V45" s="26" t="s">
        <v>475</v>
      </c>
      <c r="W45" s="33" t="str">
        <f>IF(V45="","",IFERROR(INDEX(tbl_tampas[Material],MATCH(V45,tbl_tampas[CapId],0)),""))</f>
        <v>PP-PCR</v>
      </c>
      <c r="X45" s="33" t="str">
        <f>IF(V45="","Sem tampa",IFERROR(INDEX(tbl_materiais[Polimero_Base],MATCH(W45,tbl_materiais[Material],0)),""))</f>
        <v>PP</v>
      </c>
      <c r="Y45" s="38">
        <f>IF(V45="",0,IFERROR(INDEX(tbl_tampas[Massa_g],MATCH(V45,tbl_tampas[CapId],0)),0))</f>
        <v>19.3</v>
      </c>
      <c r="Z45" s="26" t="s">
        <v>319</v>
      </c>
      <c r="AA45" s="26" t="s">
        <v>327</v>
      </c>
      <c r="AB45" s="26" t="s">
        <v>342</v>
      </c>
      <c r="AC45" s="29">
        <v>0.4</v>
      </c>
      <c r="AD45" s="27">
        <v>0.64</v>
      </c>
      <c r="AE45" s="26" t="s">
        <v>604</v>
      </c>
      <c r="AF45" s="26" t="s">
        <v>302</v>
      </c>
      <c r="AG45" s="39">
        <v>0</v>
      </c>
      <c r="AH45" s="33" t="str">
        <f t="shared" si="19"/>
        <v>Nenhuma</v>
      </c>
      <c r="AI45" s="27">
        <v>0</v>
      </c>
      <c r="AJ45" s="33" t="str">
        <f>IFERROR(INDEX(tbl_regras_dfr[Classe],MATCH(L45&amp;"|Fluxo de reciclagem|"&amp;L45,tbl_regras_dfr[Chave],0)),"Sem regra")</f>
        <v>A</v>
      </c>
      <c r="AK45" s="33" t="str">
        <f>IF(LEFT(L45,9)="Sem fluxo","—",IFERROR(INDEX(tbl_regras_dfr[Classe],MATCH(L45&amp;"|Cor do corpo|"&amp;O45,tbl_regras_dfr[Chave],0)),"Sem regra"))</f>
        <v>B</v>
      </c>
      <c r="AL45" s="33" t="str">
        <f>IF(LEFT(L45,9)="Sem fluxo","—",IFERROR(INDEX(tbl_regras_dfr[Classe],MATCH(L45&amp;"|Densidade do corpo|"&amp;IF(R45&lt;1,"&lt; 1,0 g/cm³","≥ 1,0 g/cm³"),tbl_regras_dfr[Chave],0)),"Sem regra"))</f>
        <v>A</v>
      </c>
      <c r="AM45" s="33" t="str">
        <f>IF(LEFT(L45,9)="Sem fluxo","—",IFERROR(INDEX(tbl_regras_dfr[Classe],MATCH(L45&amp;"|Barreira / revestimento|"&amp;S45,tbl_regras_dfr[Chave],0)),"Sem regra"))</f>
        <v>A</v>
      </c>
      <c r="AN45" s="33" t="str">
        <f>IF(LEFT(L45,9)="Sem fluxo","—",IFERROR(INDEX(tbl_regras_dfr[Classe],MATCH(L45&amp;"|Material da tampa|"&amp;X45,tbl_regras_dfr[Chave],0)),"Sem regra"))</f>
        <v>A</v>
      </c>
      <c r="AO45" s="33" t="str">
        <f>IF(LEFT(L45,9)="Sem fluxo","—",IFERROR(INDEX(tbl_regras_dfr[Classe],MATCH(L45&amp;"|Vedante / liner|"&amp;Z45,tbl_regras_dfr[Chave],0)),"Sem regra"))</f>
        <v>A</v>
      </c>
      <c r="AP45" s="33" t="str">
        <f>IF(LEFT(L45,9)="Sem fluxo","—",IFERROR(INDEX(tbl_regras_dfr[Classe],MATCH(L45&amp;"|Tipo de rótulo|"&amp;AA45,tbl_regras_dfr[Chave],0)),"Sem regra"))</f>
        <v>A</v>
      </c>
      <c r="AQ45" s="33" t="str">
        <f>IF(LEFT(L45,9)="Sem fluxo","—",IFERROR(INDEX(tbl_regras_dfr[Classe],MATCH(L45&amp;"|Adesivo do rótulo|"&amp;AB45,tbl_regras_dfr[Chave],0)),"Sem regra"))</f>
        <v>A</v>
      </c>
      <c r="AR45" s="33" t="str">
        <f>IF(LEFT(L45,9)="Sem fluxo","—",IFERROR(INDEX(tbl_regras_dfr[Classe],MATCH(L45&amp;"|Cobertura do rótulo|"&amp;IF(AC45&gt;0.7,"&gt; 70% da superfície","≤ 70% da superfície"),tbl_regras_dfr[Chave],0)),"Sem regra"))</f>
        <v>A</v>
      </c>
      <c r="AS45" s="33" t="str">
        <f>IF(LEFT(L45,9)="Sem fluxo","—",IFERROR(INDEX(tbl_regras_dfr[Classe],MATCH(L45&amp;"|Decoração direta|"&amp;AH45,tbl_regras_dfr[Chave],0)),"Sem regra"))</f>
        <v>A</v>
      </c>
      <c r="AT45" s="31">
        <f t="shared" si="20"/>
        <v>2</v>
      </c>
      <c r="AU45" s="33" t="str">
        <f>IF(AT45=0,"",INDEX({"A","B","C","D","E","F"},AT45))</f>
        <v>B</v>
      </c>
      <c r="AV45" s="31">
        <f t="shared" si="21"/>
        <v>0</v>
      </c>
      <c r="AW45" s="33" t="str">
        <f t="shared" si="22"/>
        <v>Cor</v>
      </c>
      <c r="AX45" s="33" t="str">
        <f>IF(AU45="A","Sem ação — manter o design.",IFERROR(INDEX(tbl_regras_dfr[Recomendacao],MATCH(CHOOSE(MATCH(AU45,AJ45:AS45,0),L45&amp;"|Fluxo de reciclagem|"&amp;L45,L45&amp;"|Cor do corpo|"&amp;O45,L45&amp;"|Densidade do corpo|"&amp;IF(R45&lt;1,"&lt; 1,0 g/cm³","≥ 1,0 g/cm³"),L45&amp;"|Barreira / revestimento|"&amp;S45,L45&amp;"|Material da tampa|"&amp;X45,L45&amp;"|Vedante / liner|"&amp;Z45,L45&amp;"|Tipo de rótulo|"&amp;AA45,L45&amp;"|Adesivo do rótulo|"&amp;AB45,L45&amp;"|Cobertura do rótulo|"&amp;IF(AC45&gt;0.7,"&gt; 70% da superfície","≤ 70% da superfície"),L45&amp;"|Decoração direta|"&amp;AH45),tbl_regras_dfr[Chave],0)),""))</f>
        <v>Preferir natural, branco ou cores claras.</v>
      </c>
      <c r="AY45" s="38">
        <f t="shared" si="23"/>
        <v>50.84</v>
      </c>
      <c r="AZ45" s="36">
        <f>MIN(IFERROR(INDEX(tbl_regras_dfr[Fracao_Reciclavel],MATCH(L45&amp;"|Fluxo de reciclagem|"&amp;L45,tbl_regras_dfr[Chave],0)),0),IFERROR(INDEX(tbl_regras_dfr[Fracao_Reciclavel],MATCH(L45&amp;"|Cor do corpo|"&amp;O45,tbl_regras_dfr[Chave],0)),0))</f>
        <v>1</v>
      </c>
      <c r="BA45" s="36">
        <f>IFERROR(INDEX(tbl_regras_dfr[Fracao_Reciclavel],MATCH(L45&amp;"|Material da tampa|"&amp;X45,tbl_regras_dfr[Chave],0)),0)</f>
        <v>1</v>
      </c>
      <c r="BB45" s="36">
        <f>IFERROR(INDEX(tbl_regras_dfr[Fracao_Reciclavel],MATCH(L45&amp;"|Tipo de rótulo|"&amp;AA45,tbl_regras_dfr[Chave],0)),0)</f>
        <v>1</v>
      </c>
      <c r="BC45" s="38">
        <f t="shared" si="24"/>
        <v>50.84</v>
      </c>
      <c r="BD45" s="40">
        <f t="shared" si="25"/>
        <v>1</v>
      </c>
      <c r="BE45" s="33" t="str">
        <f>IF(BD45&gt;=INDEX(tbl_param_emb[Valor],MATCH("P-06",tbl_param_emb[ID_Parametro],0)),"A",IF(BD45&gt;=INDEX(tbl_param_emb[Valor],MATCH("P-07",tbl_param_emb[ID_Parametro],0)),"B",IF(BD45&gt;=INDEX(tbl_param_emb[Valor],MATCH("P-08",tbl_param_emb[ID_Parametro],0)),"C","&lt; 70%")))</f>
        <v>A</v>
      </c>
      <c r="BF45" s="33" t="str">
        <f>IF(AU45="F","Não reciclável (F)",INDEX({"A","B","C","Abaixo de C"},MAX(MIN(AT45,4),IF(BE45="A",1,IF(BE45="B",2,IF(BE45="C",3,4))))))</f>
        <v>B</v>
      </c>
      <c r="BG45" s="33" t="str">
        <f t="shared" si="26"/>
        <v>—</v>
      </c>
      <c r="BH45" s="33" t="str">
        <f t="shared" si="27"/>
        <v>Sim</v>
      </c>
      <c r="BI45" s="33" t="str">
        <f t="shared" si="28"/>
        <v>Sim</v>
      </c>
      <c r="BJ45" s="36">
        <f>IFERROR(INDEX(tbl_materiais[Pct_PCR],MATCH(J45,tbl_materiais[Material],0)),0)</f>
        <v>0.3</v>
      </c>
      <c r="BK45" s="36">
        <f>IF(V45="",0,IFERROR(INDEX(tbl_tampas[Pct_PCR],MATCH(V45,tbl_tampas[CapId],0)),0))</f>
        <v>0.3</v>
      </c>
      <c r="BL45" s="40">
        <f t="shared" si="29"/>
        <v>0.29999999999999993</v>
      </c>
      <c r="BM45" s="33" t="str">
        <f t="shared" si="30"/>
        <v>Outras embalagens de plástico</v>
      </c>
      <c r="BN45" s="36">
        <f>IFERROR(IF(INDEX(tbl_metas_art7[Meta_2030],MATCH(BM45,tbl_metas_art7[Categoria_Art7],0))="","",INDEX(tbl_metas_art7[Meta_2030],MATCH(BM45,tbl_metas_art7[Categoria_Art7],0))),"")</f>
        <v>0.35</v>
      </c>
      <c r="BO45" s="40">
        <f t="shared" si="31"/>
        <v>5.0000000000000044E-2</v>
      </c>
      <c r="BP45" s="33" t="str">
        <f t="shared" si="32"/>
        <v>Não</v>
      </c>
      <c r="BQ45" s="33" t="str">
        <f t="shared" si="33"/>
        <v>Monomaterial (mesma família)</v>
      </c>
      <c r="BR45" s="37">
        <v>54546</v>
      </c>
      <c r="BS45" s="39">
        <v>8</v>
      </c>
      <c r="BT45" s="26" t="s">
        <v>642</v>
      </c>
      <c r="BU45" s="32">
        <f t="shared" si="34"/>
        <v>1685.4713999999999</v>
      </c>
      <c r="BV45" s="31">
        <f>COUNTIFS(tbl_aplicabilidade[ProductId],B45,tbl_aplicabilidade[Aplicavel],"Sim")</f>
        <v>12</v>
      </c>
      <c r="BW45" s="31">
        <f>COUNTIFS(tbl_aplicabilidade[ProductId],B45,tbl_aplicabilidade[Estado_Resumo],"Lacuna")+COUNTIFS(tbl_aplicabilidade[ProductId],B45,tbl_aplicabilidade[Estado_Resumo],"Não conforme")</f>
        <v>1</v>
      </c>
      <c r="BX45" s="41">
        <v>46287</v>
      </c>
      <c r="BY45" s="42">
        <f t="shared" si="35"/>
        <v>46652</v>
      </c>
      <c r="BZ45" s="26" t="s">
        <v>596</v>
      </c>
      <c r="CA45" s="26" t="s">
        <v>597</v>
      </c>
      <c r="CB45" s="26" t="s">
        <v>598</v>
      </c>
    </row>
    <row r="46" spans="1:80" ht="18" customHeight="1" x14ac:dyDescent="0.3">
      <c r="A46" s="26" t="s">
        <v>712</v>
      </c>
      <c r="B46" s="26" t="s">
        <v>713</v>
      </c>
      <c r="C46" s="26" t="s">
        <v>586</v>
      </c>
      <c r="D46" s="26" t="s">
        <v>587</v>
      </c>
      <c r="E46" s="26" t="s">
        <v>588</v>
      </c>
      <c r="F46" s="26" t="s">
        <v>589</v>
      </c>
      <c r="G46" s="26" t="s">
        <v>663</v>
      </c>
      <c r="H46" s="37">
        <v>500</v>
      </c>
      <c r="I46" s="37">
        <v>137</v>
      </c>
      <c r="J46" s="26" t="s">
        <v>244</v>
      </c>
      <c r="K46" s="33" t="str">
        <f>IFERROR(INDEX(tbl_materiais[Polimero_Base],MATCH(J46,tbl_materiais[Material],0)),"")</f>
        <v>PP</v>
      </c>
      <c r="L46" s="33" t="str">
        <f>IFERROR(INDEX(tbl_materiais[Fluxo_Reciclagem],MATCH(J46,tbl_materiais[Material],0)),"")</f>
        <v>PP rígido</v>
      </c>
      <c r="M46" s="33" t="str">
        <f t="shared" si="18"/>
        <v>PP rígido — frascos, potes e contentores</v>
      </c>
      <c r="N46" s="26" t="s">
        <v>622</v>
      </c>
      <c r="O46" s="26" t="s">
        <v>283</v>
      </c>
      <c r="P46" s="26" t="s">
        <v>623</v>
      </c>
      <c r="Q46" s="29">
        <v>1.4999999999999999E-2</v>
      </c>
      <c r="R46" s="35">
        <f>IFERROR(ROUND(INDEX(tbl_materiais[Densidade_g_cm3],MATCH(J46,tbl_materiais[Material],0))+Q46*1.2,3),"")</f>
        <v>0.92800000000000005</v>
      </c>
      <c r="S46" s="26" t="s">
        <v>302</v>
      </c>
      <c r="T46" s="34">
        <v>30.9</v>
      </c>
      <c r="U46" s="26" t="s">
        <v>593</v>
      </c>
      <c r="V46" s="26" t="s">
        <v>455</v>
      </c>
      <c r="W46" s="33" t="str">
        <f>IF(V46="","",IFERROR(INDEX(tbl_tampas[Material],MATCH(V46,tbl_tampas[CapId],0)),""))</f>
        <v>PP-PCR</v>
      </c>
      <c r="X46" s="33" t="str">
        <f>IF(V46="","Sem tampa",IFERROR(INDEX(tbl_materiais[Polimero_Base],MATCH(W46,tbl_materiais[Material],0)),""))</f>
        <v>PP</v>
      </c>
      <c r="Y46" s="38">
        <f>IF(V46="",0,IFERROR(INDEX(tbl_tampas[Massa_g],MATCH(V46,tbl_tampas[CapId],0)),0))</f>
        <v>14.3</v>
      </c>
      <c r="Z46" s="26" t="s">
        <v>319</v>
      </c>
      <c r="AA46" s="26" t="s">
        <v>326</v>
      </c>
      <c r="AB46" s="26" t="s">
        <v>340</v>
      </c>
      <c r="AC46" s="29">
        <v>0</v>
      </c>
      <c r="AD46" s="27">
        <v>0</v>
      </c>
      <c r="AE46" s="26" t="s">
        <v>594</v>
      </c>
      <c r="AF46" s="26" t="s">
        <v>595</v>
      </c>
      <c r="AG46" s="39">
        <v>3</v>
      </c>
      <c r="AH46" s="33" t="str">
        <f t="shared" si="19"/>
        <v>Serigrafia ≥ 3 cores</v>
      </c>
      <c r="AI46" s="27">
        <v>0.24</v>
      </c>
      <c r="AJ46" s="33" t="str">
        <f>IFERROR(INDEX(tbl_regras_dfr[Classe],MATCH(L46&amp;"|Fluxo de reciclagem|"&amp;L46,tbl_regras_dfr[Chave],0)),"Sem regra")</f>
        <v>A</v>
      </c>
      <c r="AK46" s="33" t="str">
        <f>IF(LEFT(L46,9)="Sem fluxo","—",IFERROR(INDEX(tbl_regras_dfr[Classe],MATCH(L46&amp;"|Cor do corpo|"&amp;O46,tbl_regras_dfr[Chave],0)),"Sem regra"))</f>
        <v>B</v>
      </c>
      <c r="AL46" s="33" t="str">
        <f>IF(LEFT(L46,9)="Sem fluxo","—",IFERROR(INDEX(tbl_regras_dfr[Classe],MATCH(L46&amp;"|Densidade do corpo|"&amp;IF(R46&lt;1,"&lt; 1,0 g/cm³","≥ 1,0 g/cm³"),tbl_regras_dfr[Chave],0)),"Sem regra"))</f>
        <v>A</v>
      </c>
      <c r="AM46" s="33" t="str">
        <f>IF(LEFT(L46,9)="Sem fluxo","—",IFERROR(INDEX(tbl_regras_dfr[Classe],MATCH(L46&amp;"|Barreira / revestimento|"&amp;S46,tbl_regras_dfr[Chave],0)),"Sem regra"))</f>
        <v>A</v>
      </c>
      <c r="AN46" s="33" t="str">
        <f>IF(LEFT(L46,9)="Sem fluxo","—",IFERROR(INDEX(tbl_regras_dfr[Classe],MATCH(L46&amp;"|Material da tampa|"&amp;X46,tbl_regras_dfr[Chave],0)),"Sem regra"))</f>
        <v>A</v>
      </c>
      <c r="AO46" s="33" t="str">
        <f>IF(LEFT(L46,9)="Sem fluxo","—",IFERROR(INDEX(tbl_regras_dfr[Classe],MATCH(L46&amp;"|Vedante / liner|"&amp;Z46,tbl_regras_dfr[Chave],0)),"Sem regra"))</f>
        <v>A</v>
      </c>
      <c r="AP46" s="33" t="str">
        <f>IF(LEFT(L46,9)="Sem fluxo","—",IFERROR(INDEX(tbl_regras_dfr[Classe],MATCH(L46&amp;"|Tipo de rótulo|"&amp;AA46,tbl_regras_dfr[Chave],0)),"Sem regra"))</f>
        <v>A</v>
      </c>
      <c r="AQ46" s="33" t="str">
        <f>IF(LEFT(L46,9)="Sem fluxo","—",IFERROR(INDEX(tbl_regras_dfr[Classe],MATCH(L46&amp;"|Adesivo do rótulo|"&amp;AB46,tbl_regras_dfr[Chave],0)),"Sem regra"))</f>
        <v>A</v>
      </c>
      <c r="AR46" s="33" t="str">
        <f>IF(LEFT(L46,9)="Sem fluxo","—",IFERROR(INDEX(tbl_regras_dfr[Classe],MATCH(L46&amp;"|Cobertura do rótulo|"&amp;IF(AC46&gt;0.7,"&gt; 70% da superfície","≤ 70% da superfície"),tbl_regras_dfr[Chave],0)),"Sem regra"))</f>
        <v>A</v>
      </c>
      <c r="AS46" s="33" t="str">
        <f>IF(LEFT(L46,9)="Sem fluxo","—",IFERROR(INDEX(tbl_regras_dfr[Classe],MATCH(L46&amp;"|Decoração direta|"&amp;AH46,tbl_regras_dfr[Chave],0)),"Sem regra"))</f>
        <v>C</v>
      </c>
      <c r="AT46" s="31">
        <f t="shared" si="20"/>
        <v>3</v>
      </c>
      <c r="AU46" s="33" t="str">
        <f>IF(AT46=0,"",INDEX({"A","B","C","D","E","F"},AT46))</f>
        <v>C</v>
      </c>
      <c r="AV46" s="31">
        <f t="shared" si="21"/>
        <v>0</v>
      </c>
      <c r="AW46" s="33" t="str">
        <f t="shared" si="22"/>
        <v>Decoracao</v>
      </c>
      <c r="AX46" s="33" t="str">
        <f>IF(AU46="A","Sem ação — manter o design.",IFERROR(INDEX(tbl_regras_dfr[Recomendacao],MATCH(CHOOSE(MATCH(AU46,AJ46:AS46,0),L46&amp;"|Fluxo de reciclagem|"&amp;L46,L46&amp;"|Cor do corpo|"&amp;O46,L46&amp;"|Densidade do corpo|"&amp;IF(R46&lt;1,"&lt; 1,0 g/cm³","≥ 1,0 g/cm³"),L46&amp;"|Barreira / revestimento|"&amp;S46,L46&amp;"|Material da tampa|"&amp;X46,L46&amp;"|Vedante / liner|"&amp;Z46,L46&amp;"|Tipo de rótulo|"&amp;AA46,L46&amp;"|Adesivo do rótulo|"&amp;AB46,L46&amp;"|Cobertura do rótulo|"&amp;IF(AC46&gt;0.7,"&gt; 70% da superfície","≤ 70% da superfície"),L46&amp;"|Decoração direta|"&amp;AH46),tbl_regras_dfr[Chave],0)),""))</f>
        <v>Reduzir cores/área ou passar a rótulo de PE/PP.</v>
      </c>
      <c r="AY46" s="38">
        <f t="shared" si="23"/>
        <v>45.440000000000005</v>
      </c>
      <c r="AZ46" s="36">
        <f>MIN(IFERROR(INDEX(tbl_regras_dfr[Fracao_Reciclavel],MATCH(L46&amp;"|Fluxo de reciclagem|"&amp;L46,tbl_regras_dfr[Chave],0)),0),IFERROR(INDEX(tbl_regras_dfr[Fracao_Reciclavel],MATCH(L46&amp;"|Cor do corpo|"&amp;O46,tbl_regras_dfr[Chave],0)),0))</f>
        <v>1</v>
      </c>
      <c r="BA46" s="36">
        <f>IFERROR(INDEX(tbl_regras_dfr[Fracao_Reciclavel],MATCH(L46&amp;"|Material da tampa|"&amp;X46,tbl_regras_dfr[Chave],0)),0)</f>
        <v>1</v>
      </c>
      <c r="BB46" s="36">
        <f>IFERROR(INDEX(tbl_regras_dfr[Fracao_Reciclavel],MATCH(L46&amp;"|Tipo de rótulo|"&amp;AA46,tbl_regras_dfr[Chave],0)),0)</f>
        <v>1</v>
      </c>
      <c r="BC46" s="38">
        <f t="shared" si="24"/>
        <v>45.2</v>
      </c>
      <c r="BD46" s="40">
        <f t="shared" si="25"/>
        <v>0.99471830985915488</v>
      </c>
      <c r="BE46" s="33" t="str">
        <f>IF(BD46&gt;=INDEX(tbl_param_emb[Valor],MATCH("P-06",tbl_param_emb[ID_Parametro],0)),"A",IF(BD46&gt;=INDEX(tbl_param_emb[Valor],MATCH("P-07",tbl_param_emb[ID_Parametro],0)),"B",IF(BD46&gt;=INDEX(tbl_param_emb[Valor],MATCH("P-08",tbl_param_emb[ID_Parametro],0)),"C","&lt; 70%")))</f>
        <v>A</v>
      </c>
      <c r="BF46" s="33" t="str">
        <f>IF(AU46="F","Não reciclável (F)",INDEX({"A","B","C","Abaixo de C"},MAX(MIN(AT46,4),IF(BE46="A",1,IF(BE46="B",2,IF(BE46="C",3,4))))))</f>
        <v>C</v>
      </c>
      <c r="BG46" s="33" t="str">
        <f t="shared" si="26"/>
        <v>—</v>
      </c>
      <c r="BH46" s="33" t="str">
        <f t="shared" si="27"/>
        <v>Sim</v>
      </c>
      <c r="BI46" s="33" t="str">
        <f t="shared" si="28"/>
        <v>Não</v>
      </c>
      <c r="BJ46" s="36">
        <f>IFERROR(INDEX(tbl_materiais[Pct_PCR],MATCH(J46,tbl_materiais[Material],0)),0)</f>
        <v>0.3</v>
      </c>
      <c r="BK46" s="36">
        <f>IF(V46="",0,IFERROR(INDEX(tbl_tampas[Pct_PCR],MATCH(V46,tbl_tampas[CapId],0)),0))</f>
        <v>0.3</v>
      </c>
      <c r="BL46" s="40">
        <f t="shared" si="29"/>
        <v>0.29999999999999993</v>
      </c>
      <c r="BM46" s="33" t="str">
        <f t="shared" si="30"/>
        <v>Outras embalagens de plástico</v>
      </c>
      <c r="BN46" s="36">
        <f>IFERROR(IF(INDEX(tbl_metas_art7[Meta_2030],MATCH(BM46,tbl_metas_art7[Categoria_Art7],0))="","",INDEX(tbl_metas_art7[Meta_2030],MATCH(BM46,tbl_metas_art7[Categoria_Art7],0))),"")</f>
        <v>0.35</v>
      </c>
      <c r="BO46" s="40">
        <f t="shared" si="31"/>
        <v>5.0000000000000044E-2</v>
      </c>
      <c r="BP46" s="33" t="str">
        <f t="shared" si="32"/>
        <v>Não</v>
      </c>
      <c r="BQ46" s="33" t="str">
        <f t="shared" si="33"/>
        <v>Monomaterial (mesma família)</v>
      </c>
      <c r="BR46" s="37">
        <v>82148</v>
      </c>
      <c r="BS46" s="39">
        <v>9</v>
      </c>
      <c r="BT46" s="26" t="s">
        <v>633</v>
      </c>
      <c r="BU46" s="32">
        <f t="shared" si="34"/>
        <v>2538.3731999999995</v>
      </c>
      <c r="BV46" s="31">
        <f>COUNTIFS(tbl_aplicabilidade[ProductId],B46,tbl_aplicabilidade[Aplicavel],"Sim")</f>
        <v>12</v>
      </c>
      <c r="BW46" s="31">
        <f>COUNTIFS(tbl_aplicabilidade[ProductId],B46,tbl_aplicabilidade[Estado_Resumo],"Lacuna")+COUNTIFS(tbl_aplicabilidade[ProductId],B46,tbl_aplicabilidade[Estado_Resumo],"Não conforme")</f>
        <v>1</v>
      </c>
      <c r="BX46" s="41">
        <v>46287</v>
      </c>
      <c r="BY46" s="42">
        <f t="shared" si="35"/>
        <v>46652</v>
      </c>
      <c r="BZ46" s="26" t="s">
        <v>596</v>
      </c>
      <c r="CA46" s="26" t="s">
        <v>597</v>
      </c>
      <c r="CB46" s="26" t="s">
        <v>598</v>
      </c>
    </row>
    <row r="47" spans="1:80" ht="18" customHeight="1" x14ac:dyDescent="0.3">
      <c r="A47" s="26" t="s">
        <v>714</v>
      </c>
      <c r="B47" s="26" t="s">
        <v>715</v>
      </c>
      <c r="C47" s="26" t="s">
        <v>586</v>
      </c>
      <c r="D47" s="26" t="s">
        <v>587</v>
      </c>
      <c r="E47" s="26" t="s">
        <v>588</v>
      </c>
      <c r="F47" s="26" t="s">
        <v>589</v>
      </c>
      <c r="G47" s="26" t="s">
        <v>669</v>
      </c>
      <c r="H47" s="37">
        <v>500</v>
      </c>
      <c r="I47" s="37">
        <v>137</v>
      </c>
      <c r="J47" s="26" t="s">
        <v>258</v>
      </c>
      <c r="K47" s="33" t="str">
        <f>IFERROR(INDEX(tbl_materiais[Polimero_Base],MATCH(J47,tbl_materiais[Material],0)),"")</f>
        <v>PVC</v>
      </c>
      <c r="L47" s="33" t="str">
        <f>IFERROR(INDEX(tbl_materiais[Fluxo_Reciclagem],MATCH(J47,tbl_materiais[Material],0)),"")</f>
        <v>Sem fluxo (PVC)</v>
      </c>
      <c r="M47" s="33" t="str">
        <f t="shared" si="18"/>
        <v>Sem categoria RecyClass (PVC)</v>
      </c>
      <c r="N47" s="26" t="s">
        <v>610</v>
      </c>
      <c r="O47" s="26" t="s">
        <v>279</v>
      </c>
      <c r="P47" s="26" t="s">
        <v>611</v>
      </c>
      <c r="Q47" s="29">
        <v>0</v>
      </c>
      <c r="R47" s="35">
        <f>IFERROR(ROUND(INDEX(tbl_materiais[Densidade_g_cm3],MATCH(J47,tbl_materiais[Material],0))+Q47*1.2,3),"")</f>
        <v>1.35</v>
      </c>
      <c r="S47" s="26" t="s">
        <v>302</v>
      </c>
      <c r="T47" s="34">
        <v>30.9</v>
      </c>
      <c r="U47" s="26" t="s">
        <v>593</v>
      </c>
      <c r="V47" s="26" t="s">
        <v>452</v>
      </c>
      <c r="W47" s="33" t="str">
        <f>IF(V47="","",IFERROR(INDEX(tbl_tampas[Material],MATCH(V47,tbl_tampas[CapId],0)),""))</f>
        <v>PP</v>
      </c>
      <c r="X47" s="33" t="str">
        <f>IF(V47="","Sem tampa",IFERROR(INDEX(tbl_materiais[Polimero_Base],MATCH(W47,tbl_materiais[Material],0)),""))</f>
        <v>PP</v>
      </c>
      <c r="Y47" s="38">
        <f>IF(V47="",0,IFERROR(INDEX(tbl_tampas[Massa_g],MATCH(V47,tbl_tampas[CapId],0)),0))</f>
        <v>14.3</v>
      </c>
      <c r="Z47" s="26" t="s">
        <v>319</v>
      </c>
      <c r="AA47" s="26" t="s">
        <v>327</v>
      </c>
      <c r="AB47" s="26" t="s">
        <v>343</v>
      </c>
      <c r="AC47" s="29">
        <v>0.4</v>
      </c>
      <c r="AD47" s="27">
        <v>0.64</v>
      </c>
      <c r="AE47" s="26" t="s">
        <v>604</v>
      </c>
      <c r="AF47" s="26" t="s">
        <v>302</v>
      </c>
      <c r="AG47" s="39">
        <v>0</v>
      </c>
      <c r="AH47" s="33" t="str">
        <f t="shared" si="19"/>
        <v>Nenhuma</v>
      </c>
      <c r="AI47" s="27">
        <v>0</v>
      </c>
      <c r="AJ47" s="33" t="str">
        <f>IFERROR(INDEX(tbl_regras_dfr[Classe],MATCH(L47&amp;"|Fluxo de reciclagem|"&amp;L47,tbl_regras_dfr[Chave],0)),"Sem regra")</f>
        <v>F</v>
      </c>
      <c r="AK47" s="33" t="str">
        <f>IF(LEFT(L47,9)="Sem fluxo","—",IFERROR(INDEX(tbl_regras_dfr[Classe],MATCH(L47&amp;"|Cor do corpo|"&amp;O47,tbl_regras_dfr[Chave],0)),"Sem regra"))</f>
        <v>—</v>
      </c>
      <c r="AL47" s="33" t="str">
        <f>IF(LEFT(L47,9)="Sem fluxo","—",IFERROR(INDEX(tbl_regras_dfr[Classe],MATCH(L47&amp;"|Densidade do corpo|"&amp;IF(R47&lt;1,"&lt; 1,0 g/cm³","≥ 1,0 g/cm³"),tbl_regras_dfr[Chave],0)),"Sem regra"))</f>
        <v>—</v>
      </c>
      <c r="AM47" s="33" t="str">
        <f>IF(LEFT(L47,9)="Sem fluxo","—",IFERROR(INDEX(tbl_regras_dfr[Classe],MATCH(L47&amp;"|Barreira / revestimento|"&amp;S47,tbl_regras_dfr[Chave],0)),"Sem regra"))</f>
        <v>—</v>
      </c>
      <c r="AN47" s="33" t="str">
        <f>IF(LEFT(L47,9)="Sem fluxo","—",IFERROR(INDEX(tbl_regras_dfr[Classe],MATCH(L47&amp;"|Material da tampa|"&amp;X47,tbl_regras_dfr[Chave],0)),"Sem regra"))</f>
        <v>—</v>
      </c>
      <c r="AO47" s="33" t="str">
        <f>IF(LEFT(L47,9)="Sem fluxo","—",IFERROR(INDEX(tbl_regras_dfr[Classe],MATCH(L47&amp;"|Vedante / liner|"&amp;Z47,tbl_regras_dfr[Chave],0)),"Sem regra"))</f>
        <v>—</v>
      </c>
      <c r="AP47" s="33" t="str">
        <f>IF(LEFT(L47,9)="Sem fluxo","—",IFERROR(INDEX(tbl_regras_dfr[Classe],MATCH(L47&amp;"|Tipo de rótulo|"&amp;AA47,tbl_regras_dfr[Chave],0)),"Sem regra"))</f>
        <v>—</v>
      </c>
      <c r="AQ47" s="33" t="str">
        <f>IF(LEFT(L47,9)="Sem fluxo","—",IFERROR(INDEX(tbl_regras_dfr[Classe],MATCH(L47&amp;"|Adesivo do rótulo|"&amp;AB47,tbl_regras_dfr[Chave],0)),"Sem regra"))</f>
        <v>—</v>
      </c>
      <c r="AR47" s="33" t="str">
        <f>IF(LEFT(L47,9)="Sem fluxo","—",IFERROR(INDEX(tbl_regras_dfr[Classe],MATCH(L47&amp;"|Cobertura do rótulo|"&amp;IF(AC47&gt;0.7,"&gt; 70% da superfície","≤ 70% da superfície"),tbl_regras_dfr[Chave],0)),"Sem regra"))</f>
        <v>—</v>
      </c>
      <c r="AS47" s="33" t="str">
        <f>IF(LEFT(L47,9)="Sem fluxo","—",IFERROR(INDEX(tbl_regras_dfr[Classe],MATCH(L47&amp;"|Decoração direta|"&amp;AH47,tbl_regras_dfr[Chave],0)),"Sem regra"))</f>
        <v>—</v>
      </c>
      <c r="AT47" s="31">
        <f t="shared" si="20"/>
        <v>6</v>
      </c>
      <c r="AU47" s="33" t="str">
        <f>IF(AT47=0,"",INDEX({"A","B","C","D","E","F"},AT47))</f>
        <v>F</v>
      </c>
      <c r="AV47" s="31">
        <f t="shared" si="21"/>
        <v>0</v>
      </c>
      <c r="AW47" s="33" t="str">
        <f t="shared" si="22"/>
        <v>Fluxo</v>
      </c>
      <c r="AX47" s="33" t="str">
        <f>IF(AU47="A","Sem ação — manter o design.",IFERROR(INDEX(tbl_regras_dfr[Recomendacao],MATCH(CHOOSE(MATCH(AU47,AJ47:AS47,0),L47&amp;"|Fluxo de reciclagem|"&amp;L47,L47&amp;"|Cor do corpo|"&amp;O47,L47&amp;"|Densidade do corpo|"&amp;IF(R47&lt;1,"&lt; 1,0 g/cm³","≥ 1,0 g/cm³"),L47&amp;"|Barreira / revestimento|"&amp;S47,L47&amp;"|Material da tampa|"&amp;X47,L47&amp;"|Vedante / liner|"&amp;Z47,L47&amp;"|Tipo de rótulo|"&amp;AA47,L47&amp;"|Adesivo do rótulo|"&amp;AB47,L47&amp;"|Cobertura do rótulo|"&amp;IF(AC47&gt;0.7,"&gt; 70% da superfície","≤ 70% da superfície"),L47&amp;"|Decoração direta|"&amp;AH47),tbl_regras_dfr[Chave],0)),""))</f>
        <v>Eliminar o PVC do portfólio (substituir por PET ou PP).</v>
      </c>
      <c r="AY47" s="38">
        <f t="shared" si="23"/>
        <v>45.84</v>
      </c>
      <c r="AZ47" s="36">
        <f>MIN(IFERROR(INDEX(tbl_regras_dfr[Fracao_Reciclavel],MATCH(L47&amp;"|Fluxo de reciclagem|"&amp;L47,tbl_regras_dfr[Chave],0)),0),IFERROR(INDEX(tbl_regras_dfr[Fracao_Reciclavel],MATCH(L47&amp;"|Cor do corpo|"&amp;O47,tbl_regras_dfr[Chave],0)),0))</f>
        <v>0</v>
      </c>
      <c r="BA47" s="36">
        <f>IFERROR(INDEX(tbl_regras_dfr[Fracao_Reciclavel],MATCH(L47&amp;"|Material da tampa|"&amp;X47,tbl_regras_dfr[Chave],0)),0)</f>
        <v>0</v>
      </c>
      <c r="BB47" s="36">
        <f>IFERROR(INDEX(tbl_regras_dfr[Fracao_Reciclavel],MATCH(L47&amp;"|Tipo de rótulo|"&amp;AA47,tbl_regras_dfr[Chave],0)),0)</f>
        <v>0</v>
      </c>
      <c r="BC47" s="38">
        <f t="shared" si="24"/>
        <v>0</v>
      </c>
      <c r="BD47" s="40">
        <f t="shared" si="25"/>
        <v>0</v>
      </c>
      <c r="BE47" s="33" t="str">
        <f>IF(BD47&gt;=INDEX(tbl_param_emb[Valor],MATCH("P-06",tbl_param_emb[ID_Parametro],0)),"A",IF(BD47&gt;=INDEX(tbl_param_emb[Valor],MATCH("P-07",tbl_param_emb[ID_Parametro],0)),"B",IF(BD47&gt;=INDEX(tbl_param_emb[Valor],MATCH("P-08",tbl_param_emb[ID_Parametro],0)),"C","&lt; 70%")))</f>
        <v>&lt; 70%</v>
      </c>
      <c r="BF47" s="33" t="str">
        <f>IF(AU47="F","Não reciclável (F)",INDEX({"A","B","C","Abaixo de C"},MAX(MIN(AT47,4),IF(BE47="A",1,IF(BE47="B",2,IF(BE47="C",3,4))))))</f>
        <v>Não reciclável (F)</v>
      </c>
      <c r="BG47" s="33" t="str">
        <f t="shared" si="26"/>
        <v>—</v>
      </c>
      <c r="BH47" s="33" t="str">
        <f t="shared" si="27"/>
        <v>Não</v>
      </c>
      <c r="BI47" s="33" t="str">
        <f t="shared" si="28"/>
        <v>Não</v>
      </c>
      <c r="BJ47" s="36">
        <f>IFERROR(INDEX(tbl_materiais[Pct_PCR],MATCH(J47,tbl_materiais[Material],0)),0)</f>
        <v>0</v>
      </c>
      <c r="BK47" s="36">
        <f>IF(V47="",0,IFERROR(INDEX(tbl_tampas[Pct_PCR],MATCH(V47,tbl_tampas[CapId],0)),0))</f>
        <v>0</v>
      </c>
      <c r="BL47" s="40">
        <f t="shared" si="29"/>
        <v>0</v>
      </c>
      <c r="BM47" s="33" t="str">
        <f t="shared" si="30"/>
        <v>Outras embalagens de plástico</v>
      </c>
      <c r="BN47" s="36">
        <f>IFERROR(IF(INDEX(tbl_metas_art7[Meta_2030],MATCH(BM47,tbl_metas_art7[Categoria_Art7],0))="","",INDEX(tbl_metas_art7[Meta_2030],MATCH(BM47,tbl_metas_art7[Categoria_Art7],0))),"")</f>
        <v>0.35</v>
      </c>
      <c r="BO47" s="40">
        <f t="shared" si="31"/>
        <v>0.35</v>
      </c>
      <c r="BP47" s="33" t="str">
        <f t="shared" si="32"/>
        <v>Não</v>
      </c>
      <c r="BQ47" s="33" t="str">
        <f t="shared" si="33"/>
        <v>Multimaterial</v>
      </c>
      <c r="BR47" s="37">
        <v>68581</v>
      </c>
      <c r="BS47" s="39">
        <v>11</v>
      </c>
      <c r="BT47" s="26" t="s">
        <v>642</v>
      </c>
      <c r="BU47" s="32">
        <f t="shared" si="34"/>
        <v>2119.1529</v>
      </c>
      <c r="BV47" s="31">
        <f>COUNTIFS(tbl_aplicabilidade[ProductId],B47,tbl_aplicabilidade[Aplicavel],"Sim")</f>
        <v>12</v>
      </c>
      <c r="BW47" s="31">
        <f>COUNTIFS(tbl_aplicabilidade[ProductId],B47,tbl_aplicabilidade[Estado_Resumo],"Lacuna")+COUNTIFS(tbl_aplicabilidade[ProductId],B47,tbl_aplicabilidade[Estado_Resumo],"Não conforme")</f>
        <v>4</v>
      </c>
      <c r="BX47" s="41">
        <v>46287</v>
      </c>
      <c r="BY47" s="42">
        <f t="shared" si="35"/>
        <v>46652</v>
      </c>
      <c r="BZ47" s="26" t="s">
        <v>596</v>
      </c>
      <c r="CA47" s="26" t="s">
        <v>597</v>
      </c>
      <c r="CB47" s="26" t="s">
        <v>598</v>
      </c>
    </row>
    <row r="48" spans="1:80" ht="18" customHeight="1" x14ac:dyDescent="0.3">
      <c r="A48" s="26" t="s">
        <v>716</v>
      </c>
      <c r="B48" s="26" t="s">
        <v>717</v>
      </c>
      <c r="C48" s="26" t="s">
        <v>586</v>
      </c>
      <c r="D48" s="26" t="s">
        <v>587</v>
      </c>
      <c r="E48" s="26" t="s">
        <v>588</v>
      </c>
      <c r="F48" s="26" t="s">
        <v>589</v>
      </c>
      <c r="G48" s="26" t="s">
        <v>609</v>
      </c>
      <c r="H48" s="37">
        <v>500</v>
      </c>
      <c r="I48" s="37">
        <v>137</v>
      </c>
      <c r="J48" s="26" t="s">
        <v>253</v>
      </c>
      <c r="K48" s="33" t="str">
        <f>IFERROR(INDEX(tbl_materiais[Polimero_Base],MATCH(J48,tbl_materiais[Material],0)),"")</f>
        <v>PET</v>
      </c>
      <c r="L48" s="33" t="str">
        <f>IFERROR(INDEX(tbl_materiais[Fluxo_Reciclagem],MATCH(J48,tbl_materiais[Material],0)),"")</f>
        <v>PET frascos e garrafas</v>
      </c>
      <c r="M48" s="33" t="str">
        <f t="shared" si="18"/>
        <v>PET — garrafas/frascos transparentes incolores</v>
      </c>
      <c r="N48" s="26" t="s">
        <v>610</v>
      </c>
      <c r="O48" s="26" t="s">
        <v>279</v>
      </c>
      <c r="P48" s="26" t="s">
        <v>611</v>
      </c>
      <c r="Q48" s="29">
        <v>0</v>
      </c>
      <c r="R48" s="35">
        <f>IFERROR(ROUND(INDEX(tbl_materiais[Densidade_g_cm3],MATCH(J48,tbl_materiais[Material],0))+Q48*1.2,3),"")</f>
        <v>1.38</v>
      </c>
      <c r="S48" s="26" t="s">
        <v>302</v>
      </c>
      <c r="T48" s="34">
        <v>30.9</v>
      </c>
      <c r="U48" s="26" t="s">
        <v>593</v>
      </c>
      <c r="V48" s="26" t="s">
        <v>473</v>
      </c>
      <c r="W48" s="33" t="str">
        <f>IF(V48="","",IFERROR(INDEX(tbl_tampas[Material],MATCH(V48,tbl_tampas[CapId],0)),""))</f>
        <v>PP</v>
      </c>
      <c r="X48" s="33" t="str">
        <f>IF(V48="","Sem tampa",IFERROR(INDEX(tbl_materiais[Polimero_Base],MATCH(W48,tbl_materiais[Material],0)),""))</f>
        <v>PP</v>
      </c>
      <c r="Y48" s="38">
        <f>IF(V48="",0,IFERROR(INDEX(tbl_tampas[Massa_g],MATCH(V48,tbl_tampas[CapId],0)),0))</f>
        <v>19.3</v>
      </c>
      <c r="Z48" s="26" t="s">
        <v>319</v>
      </c>
      <c r="AA48" s="26" t="s">
        <v>326</v>
      </c>
      <c r="AB48" s="26" t="s">
        <v>340</v>
      </c>
      <c r="AC48" s="29">
        <v>0</v>
      </c>
      <c r="AD48" s="27">
        <v>0</v>
      </c>
      <c r="AE48" s="26" t="s">
        <v>594</v>
      </c>
      <c r="AF48" s="26" t="s">
        <v>595</v>
      </c>
      <c r="AG48" s="39">
        <v>1</v>
      </c>
      <c r="AH48" s="33" t="str">
        <f t="shared" si="19"/>
        <v>Serigrafia 1–2 cores</v>
      </c>
      <c r="AI48" s="27">
        <v>0.08</v>
      </c>
      <c r="AJ48" s="33" t="str">
        <f>IFERROR(INDEX(tbl_regras_dfr[Classe],MATCH(L48&amp;"|Fluxo de reciclagem|"&amp;L48,tbl_regras_dfr[Chave],0)),"Sem regra")</f>
        <v>A</v>
      </c>
      <c r="AK48" s="33" t="str">
        <f>IF(LEFT(L48,9)="Sem fluxo","—",IFERROR(INDEX(tbl_regras_dfr[Classe],MATCH(L48&amp;"|Cor do corpo|"&amp;O48,tbl_regras_dfr[Chave],0)),"Sem regra"))</f>
        <v>A</v>
      </c>
      <c r="AL48" s="33" t="str">
        <f>IF(LEFT(L48,9)="Sem fluxo","—",IFERROR(INDEX(tbl_regras_dfr[Classe],MATCH(L48&amp;"|Densidade do corpo|"&amp;IF(R48&lt;1,"&lt; 1,0 g/cm³","≥ 1,0 g/cm³"),tbl_regras_dfr[Chave],0)),"Sem regra"))</f>
        <v>A</v>
      </c>
      <c r="AM48" s="33" t="str">
        <f>IF(LEFT(L48,9)="Sem fluxo","—",IFERROR(INDEX(tbl_regras_dfr[Classe],MATCH(L48&amp;"|Barreira / revestimento|"&amp;S48,tbl_regras_dfr[Chave],0)),"Sem regra"))</f>
        <v>A</v>
      </c>
      <c r="AN48" s="33" t="str">
        <f>IF(LEFT(L48,9)="Sem fluxo","—",IFERROR(INDEX(tbl_regras_dfr[Classe],MATCH(L48&amp;"|Material da tampa|"&amp;X48,tbl_regras_dfr[Chave],0)),"Sem regra"))</f>
        <v>A</v>
      </c>
      <c r="AO48" s="33" t="str">
        <f>IF(LEFT(L48,9)="Sem fluxo","—",IFERROR(INDEX(tbl_regras_dfr[Classe],MATCH(L48&amp;"|Vedante / liner|"&amp;Z48,tbl_regras_dfr[Chave],0)),"Sem regra"))</f>
        <v>A</v>
      </c>
      <c r="AP48" s="33" t="str">
        <f>IF(LEFT(L48,9)="Sem fluxo","—",IFERROR(INDEX(tbl_regras_dfr[Classe],MATCH(L48&amp;"|Tipo de rótulo|"&amp;AA48,tbl_regras_dfr[Chave],0)),"Sem regra"))</f>
        <v>A</v>
      </c>
      <c r="AQ48" s="33" t="str">
        <f>IF(LEFT(L48,9)="Sem fluxo","—",IFERROR(INDEX(tbl_regras_dfr[Classe],MATCH(L48&amp;"|Adesivo do rótulo|"&amp;AB48,tbl_regras_dfr[Chave],0)),"Sem regra"))</f>
        <v>A</v>
      </c>
      <c r="AR48" s="33" t="str">
        <f>IF(LEFT(L48,9)="Sem fluxo","—",IFERROR(INDEX(tbl_regras_dfr[Classe],MATCH(L48&amp;"|Cobertura do rótulo|"&amp;IF(AC48&gt;0.7,"&gt; 70% da superfície","≤ 70% da superfície"),tbl_regras_dfr[Chave],0)),"Sem regra"))</f>
        <v>A</v>
      </c>
      <c r="AS48" s="33" t="str">
        <f>IF(LEFT(L48,9)="Sem fluxo","—",IFERROR(INDEX(tbl_regras_dfr[Classe],MATCH(L48&amp;"|Decoração direta|"&amp;AH48,tbl_regras_dfr[Chave],0)),"Sem regra"))</f>
        <v>D</v>
      </c>
      <c r="AT48" s="31">
        <f t="shared" si="20"/>
        <v>4</v>
      </c>
      <c r="AU48" s="33" t="str">
        <f>IF(AT48=0,"",INDEX({"A","B","C","D","E","F"},AT48))</f>
        <v>D</v>
      </c>
      <c r="AV48" s="31">
        <f t="shared" si="21"/>
        <v>0</v>
      </c>
      <c r="AW48" s="33" t="str">
        <f t="shared" si="22"/>
        <v>Decoracao</v>
      </c>
      <c r="AX48" s="33" t="str">
        <f>IF(AU48="A","Sem ação — manter o design.",IFERROR(INDEX(tbl_regras_dfr[Recomendacao],MATCH(CHOOSE(MATCH(AU48,AJ48:AS48,0),L48&amp;"|Fluxo de reciclagem|"&amp;L48,L48&amp;"|Cor do corpo|"&amp;O48,L48&amp;"|Densidade do corpo|"&amp;IF(R48&lt;1,"&lt; 1,0 g/cm³","≥ 1,0 g/cm³"),L48&amp;"|Barreira / revestimento|"&amp;S48,L48&amp;"|Material da tampa|"&amp;X48,L48&amp;"|Vedante / liner|"&amp;Z48,L48&amp;"|Tipo de rótulo|"&amp;AA48,L48&amp;"|Adesivo do rótulo|"&amp;AB48,L48&amp;"|Cobertura do rótulo|"&amp;IF(AC48&gt;0.7,"&gt; 70% da superfície","≤ 70% da superfície"),L48&amp;"|Decoração direta|"&amp;AH48),tbl_regras_dfr[Chave],0)),""))</f>
        <v>Rótulo de PE/PP ou tinta destintável em lavagem alcalina (validar).</v>
      </c>
      <c r="AY48" s="38">
        <f t="shared" si="23"/>
        <v>50.28</v>
      </c>
      <c r="AZ48" s="36">
        <f>MIN(IFERROR(INDEX(tbl_regras_dfr[Fracao_Reciclavel],MATCH(L48&amp;"|Fluxo de reciclagem|"&amp;L48,tbl_regras_dfr[Chave],0)),0),IFERROR(INDEX(tbl_regras_dfr[Fracao_Reciclavel],MATCH(L48&amp;"|Cor do corpo|"&amp;O48,tbl_regras_dfr[Chave],0)),0))</f>
        <v>1</v>
      </c>
      <c r="BA48" s="36">
        <f>IFERROR(INDEX(tbl_regras_dfr[Fracao_Reciclavel],MATCH(L48&amp;"|Material da tampa|"&amp;X48,tbl_regras_dfr[Chave],0)),0)</f>
        <v>1</v>
      </c>
      <c r="BB48" s="36">
        <f>IFERROR(INDEX(tbl_regras_dfr[Fracao_Reciclavel],MATCH(L48&amp;"|Tipo de rótulo|"&amp;AA48,tbl_regras_dfr[Chave],0)),0)</f>
        <v>1</v>
      </c>
      <c r="BC48" s="38">
        <f t="shared" si="24"/>
        <v>50.2</v>
      </c>
      <c r="BD48" s="40">
        <f t="shared" si="25"/>
        <v>0.99840891010342092</v>
      </c>
      <c r="BE48" s="33" t="str">
        <f>IF(BD48&gt;=INDEX(tbl_param_emb[Valor],MATCH("P-06",tbl_param_emb[ID_Parametro],0)),"A",IF(BD48&gt;=INDEX(tbl_param_emb[Valor],MATCH("P-07",tbl_param_emb[ID_Parametro],0)),"B",IF(BD48&gt;=INDEX(tbl_param_emb[Valor],MATCH("P-08",tbl_param_emb[ID_Parametro],0)),"C","&lt; 70%")))</f>
        <v>A</v>
      </c>
      <c r="BF48" s="33" t="str">
        <f>IF(AU48="F","Não reciclável (F)",INDEX({"A","B","C","Abaixo de C"},MAX(MIN(AT48,4),IF(BE48="A",1,IF(BE48="B",2,IF(BE48="C",3,4))))))</f>
        <v>Abaixo de C</v>
      </c>
      <c r="BG48" s="33" t="str">
        <f t="shared" si="26"/>
        <v>—</v>
      </c>
      <c r="BH48" s="33" t="str">
        <f t="shared" si="27"/>
        <v>Não</v>
      </c>
      <c r="BI48" s="33" t="str">
        <f t="shared" si="28"/>
        <v>Não</v>
      </c>
      <c r="BJ48" s="36">
        <f>IFERROR(INDEX(tbl_materiais[Pct_PCR],MATCH(J48,tbl_materiais[Material],0)),0)</f>
        <v>0.5</v>
      </c>
      <c r="BK48" s="36">
        <f>IF(V48="",0,IFERROR(INDEX(tbl_tampas[Pct_PCR],MATCH(V48,tbl_tampas[CapId],0)),0))</f>
        <v>0</v>
      </c>
      <c r="BL48" s="40">
        <f t="shared" si="29"/>
        <v>0.30776892430278879</v>
      </c>
      <c r="BM48" s="33" t="str">
        <f t="shared" si="30"/>
        <v>Outras embalagens de plástico</v>
      </c>
      <c r="BN48" s="36">
        <f>IFERROR(IF(INDEX(tbl_metas_art7[Meta_2030],MATCH(BM48,tbl_metas_art7[Categoria_Art7],0))="","",INDEX(tbl_metas_art7[Meta_2030],MATCH(BM48,tbl_metas_art7[Categoria_Art7],0))),"")</f>
        <v>0.35</v>
      </c>
      <c r="BO48" s="40">
        <f t="shared" si="31"/>
        <v>4.2231075697211184E-2</v>
      </c>
      <c r="BP48" s="33" t="str">
        <f t="shared" si="32"/>
        <v>Não</v>
      </c>
      <c r="BQ48" s="33" t="str">
        <f t="shared" si="33"/>
        <v>Multimaterial</v>
      </c>
      <c r="BR48" s="37">
        <v>31721</v>
      </c>
      <c r="BS48" s="39">
        <v>6</v>
      </c>
      <c r="BT48" s="26" t="s">
        <v>457</v>
      </c>
      <c r="BU48" s="32">
        <f t="shared" si="34"/>
        <v>980.17889999999989</v>
      </c>
      <c r="BV48" s="31">
        <f>COUNTIFS(tbl_aplicabilidade[ProductId],B48,tbl_aplicabilidade[Aplicavel],"Sim")</f>
        <v>12</v>
      </c>
      <c r="BW48" s="31">
        <f>COUNTIFS(tbl_aplicabilidade[ProductId],B48,tbl_aplicabilidade[Estado_Resumo],"Lacuna")+COUNTIFS(tbl_aplicabilidade[ProductId],B48,tbl_aplicabilidade[Estado_Resumo],"Não conforme")</f>
        <v>3</v>
      </c>
      <c r="BX48" s="41">
        <v>46287</v>
      </c>
      <c r="BY48" s="42">
        <f t="shared" si="35"/>
        <v>46652</v>
      </c>
      <c r="BZ48" s="26" t="s">
        <v>596</v>
      </c>
      <c r="CA48" s="26" t="s">
        <v>597</v>
      </c>
      <c r="CB48" s="26" t="s">
        <v>598</v>
      </c>
    </row>
    <row r="49" spans="1:80" ht="18" customHeight="1" x14ac:dyDescent="0.3">
      <c r="A49" s="26" t="s">
        <v>718</v>
      </c>
      <c r="B49" s="26" t="s">
        <v>719</v>
      </c>
      <c r="C49" s="26" t="s">
        <v>586</v>
      </c>
      <c r="D49" s="26" t="s">
        <v>587</v>
      </c>
      <c r="E49" s="26" t="s">
        <v>588</v>
      </c>
      <c r="F49" s="26" t="s">
        <v>589</v>
      </c>
      <c r="G49" s="26" t="s">
        <v>609</v>
      </c>
      <c r="H49" s="37">
        <v>500</v>
      </c>
      <c r="I49" s="37">
        <v>137</v>
      </c>
      <c r="J49" s="26" t="s">
        <v>253</v>
      </c>
      <c r="K49" s="33" t="str">
        <f>IFERROR(INDEX(tbl_materiais[Polimero_Base],MATCH(J49,tbl_materiais[Material],0)),"")</f>
        <v>PET</v>
      </c>
      <c r="L49" s="33" t="str">
        <f>IFERROR(INDEX(tbl_materiais[Fluxo_Reciclagem],MATCH(J49,tbl_materiais[Material],0)),"")</f>
        <v>PET frascos e garrafas</v>
      </c>
      <c r="M49" s="33" t="str">
        <f t="shared" si="18"/>
        <v>PET — garrafas/frascos transparentes incolores</v>
      </c>
      <c r="N49" s="26" t="s">
        <v>610</v>
      </c>
      <c r="O49" s="26" t="s">
        <v>279</v>
      </c>
      <c r="P49" s="26" t="s">
        <v>611</v>
      </c>
      <c r="Q49" s="29">
        <v>0</v>
      </c>
      <c r="R49" s="35">
        <f>IFERROR(ROUND(INDEX(tbl_materiais[Densidade_g_cm3],MATCH(J49,tbl_materiais[Material],0))+Q49*1.2,3),"")</f>
        <v>1.38</v>
      </c>
      <c r="S49" s="26" t="s">
        <v>302</v>
      </c>
      <c r="T49" s="34">
        <v>30.9</v>
      </c>
      <c r="U49" s="26" t="s">
        <v>593</v>
      </c>
      <c r="V49" s="26" t="s">
        <v>452</v>
      </c>
      <c r="W49" s="33" t="str">
        <f>IF(V49="","",IFERROR(INDEX(tbl_tampas[Material],MATCH(V49,tbl_tampas[CapId],0)),""))</f>
        <v>PP</v>
      </c>
      <c r="X49" s="33" t="str">
        <f>IF(V49="","Sem tampa",IFERROR(INDEX(tbl_materiais[Polimero_Base],MATCH(W49,tbl_materiais[Material],0)),""))</f>
        <v>PP</v>
      </c>
      <c r="Y49" s="38">
        <f>IF(V49="",0,IFERROR(INDEX(tbl_tampas[Massa_g],MATCH(V49,tbl_tampas[CapId],0)),0))</f>
        <v>14.3</v>
      </c>
      <c r="Z49" s="26" t="s">
        <v>319</v>
      </c>
      <c r="AA49" s="26" t="s">
        <v>327</v>
      </c>
      <c r="AB49" s="26" t="s">
        <v>343</v>
      </c>
      <c r="AC49" s="29">
        <v>0.4</v>
      </c>
      <c r="AD49" s="27">
        <v>0.64</v>
      </c>
      <c r="AE49" s="26" t="s">
        <v>604</v>
      </c>
      <c r="AF49" s="26" t="s">
        <v>302</v>
      </c>
      <c r="AG49" s="39">
        <v>0</v>
      </c>
      <c r="AH49" s="33" t="str">
        <f t="shared" si="19"/>
        <v>Nenhuma</v>
      </c>
      <c r="AI49" s="27">
        <v>0</v>
      </c>
      <c r="AJ49" s="33" t="str">
        <f>IFERROR(INDEX(tbl_regras_dfr[Classe],MATCH(L49&amp;"|Fluxo de reciclagem|"&amp;L49,tbl_regras_dfr[Chave],0)),"Sem regra")</f>
        <v>A</v>
      </c>
      <c r="AK49" s="33" t="str">
        <f>IF(LEFT(L49,9)="Sem fluxo","—",IFERROR(INDEX(tbl_regras_dfr[Classe],MATCH(L49&amp;"|Cor do corpo|"&amp;O49,tbl_regras_dfr[Chave],0)),"Sem regra"))</f>
        <v>A</v>
      </c>
      <c r="AL49" s="33" t="str">
        <f>IF(LEFT(L49,9)="Sem fluxo","—",IFERROR(INDEX(tbl_regras_dfr[Classe],MATCH(L49&amp;"|Densidade do corpo|"&amp;IF(R49&lt;1,"&lt; 1,0 g/cm³","≥ 1,0 g/cm³"),tbl_regras_dfr[Chave],0)),"Sem regra"))</f>
        <v>A</v>
      </c>
      <c r="AM49" s="33" t="str">
        <f>IF(LEFT(L49,9)="Sem fluxo","—",IFERROR(INDEX(tbl_regras_dfr[Classe],MATCH(L49&amp;"|Barreira / revestimento|"&amp;S49,tbl_regras_dfr[Chave],0)),"Sem regra"))</f>
        <v>A</v>
      </c>
      <c r="AN49" s="33" t="str">
        <f>IF(LEFT(L49,9)="Sem fluxo","—",IFERROR(INDEX(tbl_regras_dfr[Classe],MATCH(L49&amp;"|Material da tampa|"&amp;X49,tbl_regras_dfr[Chave],0)),"Sem regra"))</f>
        <v>A</v>
      </c>
      <c r="AO49" s="33" t="str">
        <f>IF(LEFT(L49,9)="Sem fluxo","—",IFERROR(INDEX(tbl_regras_dfr[Classe],MATCH(L49&amp;"|Vedante / liner|"&amp;Z49,tbl_regras_dfr[Chave],0)),"Sem regra"))</f>
        <v>A</v>
      </c>
      <c r="AP49" s="33" t="str">
        <f>IF(LEFT(L49,9)="Sem fluxo","—",IFERROR(INDEX(tbl_regras_dfr[Classe],MATCH(L49&amp;"|Tipo de rótulo|"&amp;AA49,tbl_regras_dfr[Chave],0)),"Sem regra"))</f>
        <v>A</v>
      </c>
      <c r="AQ49" s="33" t="str">
        <f>IF(LEFT(L49,9)="Sem fluxo","—",IFERROR(INDEX(tbl_regras_dfr[Classe],MATCH(L49&amp;"|Adesivo do rótulo|"&amp;AB49,tbl_regras_dfr[Chave],0)),"Sem regra"))</f>
        <v>A</v>
      </c>
      <c r="AR49" s="33" t="str">
        <f>IF(LEFT(L49,9)="Sem fluxo","—",IFERROR(INDEX(tbl_regras_dfr[Classe],MATCH(L49&amp;"|Cobertura do rótulo|"&amp;IF(AC49&gt;0.7,"&gt; 70% da superfície","≤ 70% da superfície"),tbl_regras_dfr[Chave],0)),"Sem regra"))</f>
        <v>A</v>
      </c>
      <c r="AS49" s="33" t="str">
        <f>IF(LEFT(L49,9)="Sem fluxo","—",IFERROR(INDEX(tbl_regras_dfr[Classe],MATCH(L49&amp;"|Decoração direta|"&amp;AH49,tbl_regras_dfr[Chave],0)),"Sem regra"))</f>
        <v>A</v>
      </c>
      <c r="AT49" s="31">
        <f t="shared" si="20"/>
        <v>1</v>
      </c>
      <c r="AU49" s="33" t="str">
        <f>IF(AT49=0,"",INDEX({"A","B","C","D","E","F"},AT49))</f>
        <v>A</v>
      </c>
      <c r="AV49" s="31">
        <f t="shared" si="21"/>
        <v>0</v>
      </c>
      <c r="AW49" s="33" t="str">
        <f t="shared" si="22"/>
        <v>—</v>
      </c>
      <c r="AX49" s="33" t="str">
        <f>IF(AU49="A","Sem ação — manter o design.",IFERROR(INDEX(tbl_regras_dfr[Recomendacao],MATCH(CHOOSE(MATCH(AU49,AJ49:AS49,0),L49&amp;"|Fluxo de reciclagem|"&amp;L49,L49&amp;"|Cor do corpo|"&amp;O49,L49&amp;"|Densidade do corpo|"&amp;IF(R49&lt;1,"&lt; 1,0 g/cm³","≥ 1,0 g/cm³"),L49&amp;"|Barreira / revestimento|"&amp;S49,L49&amp;"|Material da tampa|"&amp;X49,L49&amp;"|Vedante / liner|"&amp;Z49,L49&amp;"|Tipo de rótulo|"&amp;AA49,L49&amp;"|Adesivo do rótulo|"&amp;AB49,L49&amp;"|Cobertura do rótulo|"&amp;IF(AC49&gt;0.7,"&gt; 70% da superfície","≤ 70% da superfície"),L49&amp;"|Decoração direta|"&amp;AH49),tbl_regras_dfr[Chave],0)),""))</f>
        <v>Sem ação — manter o design.</v>
      </c>
      <c r="AY49" s="38">
        <f t="shared" si="23"/>
        <v>45.84</v>
      </c>
      <c r="AZ49" s="36">
        <f>MIN(IFERROR(INDEX(tbl_regras_dfr[Fracao_Reciclavel],MATCH(L49&amp;"|Fluxo de reciclagem|"&amp;L49,tbl_regras_dfr[Chave],0)),0),IFERROR(INDEX(tbl_regras_dfr[Fracao_Reciclavel],MATCH(L49&amp;"|Cor do corpo|"&amp;O49,tbl_regras_dfr[Chave],0)),0))</f>
        <v>1</v>
      </c>
      <c r="BA49" s="36">
        <f>IFERROR(INDEX(tbl_regras_dfr[Fracao_Reciclavel],MATCH(L49&amp;"|Material da tampa|"&amp;X49,tbl_regras_dfr[Chave],0)),0)</f>
        <v>1</v>
      </c>
      <c r="BB49" s="36">
        <f>IFERROR(INDEX(tbl_regras_dfr[Fracao_Reciclavel],MATCH(L49&amp;"|Tipo de rótulo|"&amp;AA49,tbl_regras_dfr[Chave],0)),0)</f>
        <v>1</v>
      </c>
      <c r="BC49" s="38">
        <f t="shared" si="24"/>
        <v>45.84</v>
      </c>
      <c r="BD49" s="40">
        <f t="shared" si="25"/>
        <v>1</v>
      </c>
      <c r="BE49" s="33" t="str">
        <f>IF(BD49&gt;=INDEX(tbl_param_emb[Valor],MATCH("P-06",tbl_param_emb[ID_Parametro],0)),"A",IF(BD49&gt;=INDEX(tbl_param_emb[Valor],MATCH("P-07",tbl_param_emb[ID_Parametro],0)),"B",IF(BD49&gt;=INDEX(tbl_param_emb[Valor],MATCH("P-08",tbl_param_emb[ID_Parametro],0)),"C","&lt; 70%")))</f>
        <v>A</v>
      </c>
      <c r="BF49" s="33" t="str">
        <f>IF(AU49="F","Não reciclável (F)",INDEX({"A","B","C","Abaixo de C"},MAX(MIN(AT49,4),IF(BE49="A",1,IF(BE49="B",2,IF(BE49="C",3,4))))))</f>
        <v>A</v>
      </c>
      <c r="BG49" s="33" t="str">
        <f t="shared" si="26"/>
        <v>—</v>
      </c>
      <c r="BH49" s="33" t="str">
        <f t="shared" si="27"/>
        <v>Sim</v>
      </c>
      <c r="BI49" s="33" t="str">
        <f t="shared" si="28"/>
        <v>Sim</v>
      </c>
      <c r="BJ49" s="36">
        <f>IFERROR(INDEX(tbl_materiais[Pct_PCR],MATCH(J49,tbl_materiais[Material],0)),0)</f>
        <v>0.5</v>
      </c>
      <c r="BK49" s="36">
        <f>IF(V49="",0,IFERROR(INDEX(tbl_tampas[Pct_PCR],MATCH(V49,tbl_tampas[CapId],0)),0))</f>
        <v>0</v>
      </c>
      <c r="BL49" s="40">
        <f t="shared" si="29"/>
        <v>0.34181415929203535</v>
      </c>
      <c r="BM49" s="33" t="str">
        <f t="shared" si="30"/>
        <v>Outras embalagens de plástico</v>
      </c>
      <c r="BN49" s="36">
        <f>IFERROR(IF(INDEX(tbl_metas_art7[Meta_2030],MATCH(BM49,tbl_metas_art7[Categoria_Art7],0))="","",INDEX(tbl_metas_art7[Meta_2030],MATCH(BM49,tbl_metas_art7[Categoria_Art7],0))),"")</f>
        <v>0.35</v>
      </c>
      <c r="BO49" s="40">
        <f t="shared" si="31"/>
        <v>8.1858407079646311E-3</v>
      </c>
      <c r="BP49" s="33" t="str">
        <f t="shared" si="32"/>
        <v>Não</v>
      </c>
      <c r="BQ49" s="33" t="str">
        <f t="shared" si="33"/>
        <v>Multimaterial</v>
      </c>
      <c r="BR49" s="37">
        <v>18488</v>
      </c>
      <c r="BS49" s="39">
        <v>4</v>
      </c>
      <c r="BT49" s="26" t="s">
        <v>501</v>
      </c>
      <c r="BU49" s="32">
        <f t="shared" si="34"/>
        <v>571.27919999999995</v>
      </c>
      <c r="BV49" s="31">
        <f>COUNTIFS(tbl_aplicabilidade[ProductId],B49,tbl_aplicabilidade[Aplicavel],"Sim")</f>
        <v>12</v>
      </c>
      <c r="BW49" s="31">
        <f>COUNTIFS(tbl_aplicabilidade[ProductId],B49,tbl_aplicabilidade[Estado_Resumo],"Lacuna")+COUNTIFS(tbl_aplicabilidade[ProductId],B49,tbl_aplicabilidade[Estado_Resumo],"Não conforme")</f>
        <v>2</v>
      </c>
      <c r="BX49" s="41">
        <v>46287</v>
      </c>
      <c r="BY49" s="42">
        <f t="shared" si="35"/>
        <v>46652</v>
      </c>
      <c r="BZ49" s="26" t="s">
        <v>596</v>
      </c>
      <c r="CA49" s="26" t="s">
        <v>597</v>
      </c>
      <c r="CB49" s="26" t="s">
        <v>598</v>
      </c>
    </row>
    <row r="50" spans="1:80" ht="18" customHeight="1" x14ac:dyDescent="0.3">
      <c r="A50" s="26" t="s">
        <v>720</v>
      </c>
      <c r="B50" s="26" t="s">
        <v>721</v>
      </c>
      <c r="C50" s="26" t="s">
        <v>586</v>
      </c>
      <c r="D50" s="26" t="s">
        <v>587</v>
      </c>
      <c r="E50" s="26" t="s">
        <v>588</v>
      </c>
      <c r="F50" s="26" t="s">
        <v>589</v>
      </c>
      <c r="G50" s="26" t="s">
        <v>609</v>
      </c>
      <c r="H50" s="37">
        <v>500</v>
      </c>
      <c r="I50" s="37">
        <v>137</v>
      </c>
      <c r="J50" s="26" t="s">
        <v>253</v>
      </c>
      <c r="K50" s="33" t="str">
        <f>IFERROR(INDEX(tbl_materiais[Polimero_Base],MATCH(J50,tbl_materiais[Material],0)),"")</f>
        <v>PET</v>
      </c>
      <c r="L50" s="33" t="str">
        <f>IFERROR(INDEX(tbl_materiais[Fluxo_Reciclagem],MATCH(J50,tbl_materiais[Material],0)),"")</f>
        <v>PET frascos e garrafas</v>
      </c>
      <c r="M50" s="33" t="str">
        <f t="shared" si="18"/>
        <v>PET — garrafas/frascos transparentes incolores</v>
      </c>
      <c r="N50" s="26" t="s">
        <v>610</v>
      </c>
      <c r="O50" s="26" t="s">
        <v>279</v>
      </c>
      <c r="P50" s="26" t="s">
        <v>611</v>
      </c>
      <c r="Q50" s="29">
        <v>0</v>
      </c>
      <c r="R50" s="35">
        <f>IFERROR(ROUND(INDEX(tbl_materiais[Densidade_g_cm3],MATCH(J50,tbl_materiais[Material],0))+Q50*1.2,3),"")</f>
        <v>1.38</v>
      </c>
      <c r="S50" s="26" t="s">
        <v>302</v>
      </c>
      <c r="T50" s="34">
        <v>30.9</v>
      </c>
      <c r="U50" s="26" t="s">
        <v>593</v>
      </c>
      <c r="V50" s="26" t="s">
        <v>452</v>
      </c>
      <c r="W50" s="33" t="str">
        <f>IF(V50="","",IFERROR(INDEX(tbl_tampas[Material],MATCH(V50,tbl_tampas[CapId],0)),""))</f>
        <v>PP</v>
      </c>
      <c r="X50" s="33" t="str">
        <f>IF(V50="","Sem tampa",IFERROR(INDEX(tbl_materiais[Polimero_Base],MATCH(W50,tbl_materiais[Material],0)),""))</f>
        <v>PP</v>
      </c>
      <c r="Y50" s="38">
        <f>IF(V50="",0,IFERROR(INDEX(tbl_tampas[Massa_g],MATCH(V50,tbl_tampas[CapId],0)),0))</f>
        <v>14.3</v>
      </c>
      <c r="Z50" s="26" t="s">
        <v>319</v>
      </c>
      <c r="AA50" s="26" t="s">
        <v>326</v>
      </c>
      <c r="AB50" s="26" t="s">
        <v>340</v>
      </c>
      <c r="AC50" s="29">
        <v>0</v>
      </c>
      <c r="AD50" s="27">
        <v>0</v>
      </c>
      <c r="AE50" s="26" t="s">
        <v>594</v>
      </c>
      <c r="AF50" s="26" t="s">
        <v>359</v>
      </c>
      <c r="AG50" s="39">
        <v>1</v>
      </c>
      <c r="AH50" s="33" t="str">
        <f t="shared" si="19"/>
        <v>Hot foil metalizado</v>
      </c>
      <c r="AI50" s="27">
        <v>0.03</v>
      </c>
      <c r="AJ50" s="33" t="str">
        <f>IFERROR(INDEX(tbl_regras_dfr[Classe],MATCH(L50&amp;"|Fluxo de reciclagem|"&amp;L50,tbl_regras_dfr[Chave],0)),"Sem regra")</f>
        <v>A</v>
      </c>
      <c r="AK50" s="33" t="str">
        <f>IF(LEFT(L50,9)="Sem fluxo","—",IFERROR(INDEX(tbl_regras_dfr[Classe],MATCH(L50&amp;"|Cor do corpo|"&amp;O50,tbl_regras_dfr[Chave],0)),"Sem regra"))</f>
        <v>A</v>
      </c>
      <c r="AL50" s="33" t="str">
        <f>IF(LEFT(L50,9)="Sem fluxo","—",IFERROR(INDEX(tbl_regras_dfr[Classe],MATCH(L50&amp;"|Densidade do corpo|"&amp;IF(R50&lt;1,"&lt; 1,0 g/cm³","≥ 1,0 g/cm³"),tbl_regras_dfr[Chave],0)),"Sem regra"))</f>
        <v>A</v>
      </c>
      <c r="AM50" s="33" t="str">
        <f>IF(LEFT(L50,9)="Sem fluxo","—",IFERROR(INDEX(tbl_regras_dfr[Classe],MATCH(L50&amp;"|Barreira / revestimento|"&amp;S50,tbl_regras_dfr[Chave],0)),"Sem regra"))</f>
        <v>A</v>
      </c>
      <c r="AN50" s="33" t="str">
        <f>IF(LEFT(L50,9)="Sem fluxo","—",IFERROR(INDEX(tbl_regras_dfr[Classe],MATCH(L50&amp;"|Material da tampa|"&amp;X50,tbl_regras_dfr[Chave],0)),"Sem regra"))</f>
        <v>A</v>
      </c>
      <c r="AO50" s="33" t="str">
        <f>IF(LEFT(L50,9)="Sem fluxo","—",IFERROR(INDEX(tbl_regras_dfr[Classe],MATCH(L50&amp;"|Vedante / liner|"&amp;Z50,tbl_regras_dfr[Chave],0)),"Sem regra"))</f>
        <v>A</v>
      </c>
      <c r="AP50" s="33" t="str">
        <f>IF(LEFT(L50,9)="Sem fluxo","—",IFERROR(INDEX(tbl_regras_dfr[Classe],MATCH(L50&amp;"|Tipo de rótulo|"&amp;AA50,tbl_regras_dfr[Chave],0)),"Sem regra"))</f>
        <v>A</v>
      </c>
      <c r="AQ50" s="33" t="str">
        <f>IF(LEFT(L50,9)="Sem fluxo","—",IFERROR(INDEX(tbl_regras_dfr[Classe],MATCH(L50&amp;"|Adesivo do rótulo|"&amp;AB50,tbl_regras_dfr[Chave],0)),"Sem regra"))</f>
        <v>A</v>
      </c>
      <c r="AR50" s="33" t="str">
        <f>IF(LEFT(L50,9)="Sem fluxo","—",IFERROR(INDEX(tbl_regras_dfr[Classe],MATCH(L50&amp;"|Cobertura do rótulo|"&amp;IF(AC50&gt;0.7,"&gt; 70% da superfície","≤ 70% da superfície"),tbl_regras_dfr[Chave],0)),"Sem regra"))</f>
        <v>A</v>
      </c>
      <c r="AS50" s="33" t="str">
        <f>IF(LEFT(L50,9)="Sem fluxo","—",IFERROR(INDEX(tbl_regras_dfr[Classe],MATCH(L50&amp;"|Decoração direta|"&amp;AH50,tbl_regras_dfr[Chave],0)),"Sem regra"))</f>
        <v>D</v>
      </c>
      <c r="AT50" s="31">
        <f t="shared" si="20"/>
        <v>4</v>
      </c>
      <c r="AU50" s="33" t="str">
        <f>IF(AT50=0,"",INDEX({"A","B","C","D","E","F"},AT50))</f>
        <v>D</v>
      </c>
      <c r="AV50" s="31">
        <f t="shared" si="21"/>
        <v>0</v>
      </c>
      <c r="AW50" s="33" t="str">
        <f t="shared" si="22"/>
        <v>Decoracao</v>
      </c>
      <c r="AX50" s="33" t="str">
        <f>IF(AU50="A","Sem ação — manter o design.",IFERROR(INDEX(tbl_regras_dfr[Recomendacao],MATCH(CHOOSE(MATCH(AU50,AJ50:AS50,0),L50&amp;"|Fluxo de reciclagem|"&amp;L50,L50&amp;"|Cor do corpo|"&amp;O50,L50&amp;"|Densidade do corpo|"&amp;IF(R50&lt;1,"&lt; 1,0 g/cm³","≥ 1,0 g/cm³"),L50&amp;"|Barreira / revestimento|"&amp;S50,L50&amp;"|Material da tampa|"&amp;X50,L50&amp;"|Vedante / liner|"&amp;Z50,L50&amp;"|Tipo de rótulo|"&amp;AA50,L50&amp;"|Adesivo do rótulo|"&amp;AB50,L50&amp;"|Cobertura do rótulo|"&amp;IF(AC50&gt;0.7,"&gt; 70% da superfície","≤ 70% da superfície"),L50&amp;"|Decoração direta|"&amp;AH50),tbl_regras_dfr[Chave],0)),""))</f>
        <v>Rótulo metalizado de PE/PP destacável.</v>
      </c>
      <c r="AY50" s="38">
        <f t="shared" si="23"/>
        <v>45.230000000000004</v>
      </c>
      <c r="AZ50" s="36">
        <f>MIN(IFERROR(INDEX(tbl_regras_dfr[Fracao_Reciclavel],MATCH(L50&amp;"|Fluxo de reciclagem|"&amp;L50,tbl_regras_dfr[Chave],0)),0),IFERROR(INDEX(tbl_regras_dfr[Fracao_Reciclavel],MATCH(L50&amp;"|Cor do corpo|"&amp;O50,tbl_regras_dfr[Chave],0)),0))</f>
        <v>1</v>
      </c>
      <c r="BA50" s="36">
        <f>IFERROR(INDEX(tbl_regras_dfr[Fracao_Reciclavel],MATCH(L50&amp;"|Material da tampa|"&amp;X50,tbl_regras_dfr[Chave],0)),0)</f>
        <v>1</v>
      </c>
      <c r="BB50" s="36">
        <f>IFERROR(INDEX(tbl_regras_dfr[Fracao_Reciclavel],MATCH(L50&amp;"|Tipo de rótulo|"&amp;AA50,tbl_regras_dfr[Chave],0)),0)</f>
        <v>1</v>
      </c>
      <c r="BC50" s="38">
        <f t="shared" si="24"/>
        <v>45.2</v>
      </c>
      <c r="BD50" s="40">
        <f t="shared" si="25"/>
        <v>0.99933672341366342</v>
      </c>
      <c r="BE50" s="33" t="str">
        <f>IF(BD50&gt;=INDEX(tbl_param_emb[Valor],MATCH("P-06",tbl_param_emb[ID_Parametro],0)),"A",IF(BD50&gt;=INDEX(tbl_param_emb[Valor],MATCH("P-07",tbl_param_emb[ID_Parametro],0)),"B",IF(BD50&gt;=INDEX(tbl_param_emb[Valor],MATCH("P-08",tbl_param_emb[ID_Parametro],0)),"C","&lt; 70%")))</f>
        <v>A</v>
      </c>
      <c r="BF50" s="33" t="str">
        <f>IF(AU50="F","Não reciclável (F)",INDEX({"A","B","C","Abaixo de C"},MAX(MIN(AT50,4),IF(BE50="A",1,IF(BE50="B",2,IF(BE50="C",3,4))))))</f>
        <v>Abaixo de C</v>
      </c>
      <c r="BG50" s="33" t="str">
        <f t="shared" si="26"/>
        <v>—</v>
      </c>
      <c r="BH50" s="33" t="str">
        <f t="shared" si="27"/>
        <v>Não</v>
      </c>
      <c r="BI50" s="33" t="str">
        <f t="shared" si="28"/>
        <v>Não</v>
      </c>
      <c r="BJ50" s="36">
        <f>IFERROR(INDEX(tbl_materiais[Pct_PCR],MATCH(J50,tbl_materiais[Material],0)),0)</f>
        <v>0.5</v>
      </c>
      <c r="BK50" s="36">
        <f>IF(V50="",0,IFERROR(INDEX(tbl_tampas[Pct_PCR],MATCH(V50,tbl_tampas[CapId],0)),0))</f>
        <v>0</v>
      </c>
      <c r="BL50" s="40">
        <f t="shared" si="29"/>
        <v>0.34181415929203535</v>
      </c>
      <c r="BM50" s="33" t="str">
        <f t="shared" si="30"/>
        <v>Outras embalagens de plástico</v>
      </c>
      <c r="BN50" s="36">
        <f>IFERROR(IF(INDEX(tbl_metas_art7[Meta_2030],MATCH(BM50,tbl_metas_art7[Categoria_Art7],0))="","",INDEX(tbl_metas_art7[Meta_2030],MATCH(BM50,tbl_metas_art7[Categoria_Art7],0))),"")</f>
        <v>0.35</v>
      </c>
      <c r="BO50" s="40">
        <f t="shared" si="31"/>
        <v>8.1858407079646311E-3</v>
      </c>
      <c r="BP50" s="33" t="str">
        <f t="shared" si="32"/>
        <v>Não</v>
      </c>
      <c r="BQ50" s="33" t="str">
        <f t="shared" si="33"/>
        <v>Multimaterial</v>
      </c>
      <c r="BR50" s="37">
        <v>87372</v>
      </c>
      <c r="BS50" s="39">
        <v>11</v>
      </c>
      <c r="BT50" s="26" t="s">
        <v>482</v>
      </c>
      <c r="BU50" s="32">
        <f t="shared" si="34"/>
        <v>2699.7947999999997</v>
      </c>
      <c r="BV50" s="31">
        <f>COUNTIFS(tbl_aplicabilidade[ProductId],B50,tbl_aplicabilidade[Aplicavel],"Sim")</f>
        <v>12</v>
      </c>
      <c r="BW50" s="31">
        <f>COUNTIFS(tbl_aplicabilidade[ProductId],B50,tbl_aplicabilidade[Estado_Resumo],"Lacuna")+COUNTIFS(tbl_aplicabilidade[ProductId],B50,tbl_aplicabilidade[Estado_Resumo],"Não conforme")</f>
        <v>3</v>
      </c>
      <c r="BX50" s="41">
        <v>46287</v>
      </c>
      <c r="BY50" s="42">
        <f t="shared" si="35"/>
        <v>46652</v>
      </c>
      <c r="BZ50" s="26" t="s">
        <v>596</v>
      </c>
      <c r="CA50" s="26" t="s">
        <v>597</v>
      </c>
      <c r="CB50" s="26" t="s">
        <v>598</v>
      </c>
    </row>
    <row r="51" spans="1:80" ht="18" customHeight="1" x14ac:dyDescent="0.3">
      <c r="A51" s="26" t="s">
        <v>722</v>
      </c>
      <c r="B51" s="26" t="s">
        <v>723</v>
      </c>
      <c r="C51" s="26" t="s">
        <v>586</v>
      </c>
      <c r="D51" s="26" t="s">
        <v>587</v>
      </c>
      <c r="E51" s="26" t="s">
        <v>588</v>
      </c>
      <c r="F51" s="26" t="s">
        <v>589</v>
      </c>
      <c r="G51" s="26" t="s">
        <v>590</v>
      </c>
      <c r="H51" s="37">
        <v>600</v>
      </c>
      <c r="I51" s="37">
        <v>145</v>
      </c>
      <c r="J51" s="26" t="s">
        <v>223</v>
      </c>
      <c r="K51" s="33" t="str">
        <f>IFERROR(INDEX(tbl_materiais[Polimero_Base],MATCH(J51,tbl_materiais[Material],0)),"")</f>
        <v>PE</v>
      </c>
      <c r="L51" s="33" t="str">
        <f>IFERROR(INDEX(tbl_materiais[Fluxo_Reciclagem],MATCH(J51,tbl_materiais[Material],0)),"")</f>
        <v>PE rígido</v>
      </c>
      <c r="M51" s="33" t="str">
        <f t="shared" si="18"/>
        <v>PE rígido — frascos e contentores (HDPE/LDPE)</v>
      </c>
      <c r="N51" s="26" t="s">
        <v>622</v>
      </c>
      <c r="O51" s="26" t="s">
        <v>283</v>
      </c>
      <c r="P51" s="26" t="s">
        <v>623</v>
      </c>
      <c r="Q51" s="29">
        <v>1.4999999999999999E-2</v>
      </c>
      <c r="R51" s="35">
        <f>IFERROR(ROUND(INDEX(tbl_materiais[Densidade_g_cm3],MATCH(J51,tbl_materiais[Material],0))+Q51*1.2,3),"")</f>
        <v>0.97299999999999998</v>
      </c>
      <c r="S51" s="26" t="s">
        <v>302</v>
      </c>
      <c r="T51" s="34">
        <v>34.9</v>
      </c>
      <c r="U51" s="26" t="s">
        <v>593</v>
      </c>
      <c r="V51" s="26" t="s">
        <v>478</v>
      </c>
      <c r="W51" s="33" t="str">
        <f>IF(V51="","",IFERROR(INDEX(tbl_tampas[Material],MATCH(V51,tbl_tampas[CapId],0)),""))</f>
        <v>HDPE</v>
      </c>
      <c r="X51" s="33" t="str">
        <f>IF(V51="","Sem tampa",IFERROR(INDEX(tbl_materiais[Polimero_Base],MATCH(W51,tbl_materiais[Material],0)),""))</f>
        <v>PE</v>
      </c>
      <c r="Y51" s="38">
        <f>IF(V51="",0,IFERROR(INDEX(tbl_tampas[Massa_g],MATCH(V51,tbl_tampas[CapId],0)),0))</f>
        <v>21.4</v>
      </c>
      <c r="Z51" s="26" t="s">
        <v>319</v>
      </c>
      <c r="AA51" s="26" t="s">
        <v>326</v>
      </c>
      <c r="AB51" s="26" t="s">
        <v>340</v>
      </c>
      <c r="AC51" s="29">
        <v>0</v>
      </c>
      <c r="AD51" s="27">
        <v>0</v>
      </c>
      <c r="AE51" s="26" t="s">
        <v>594</v>
      </c>
      <c r="AF51" s="26" t="s">
        <v>595</v>
      </c>
      <c r="AG51" s="39">
        <v>3</v>
      </c>
      <c r="AH51" s="33" t="str">
        <f t="shared" si="19"/>
        <v>Serigrafia ≥ 3 cores</v>
      </c>
      <c r="AI51" s="27">
        <v>0.24</v>
      </c>
      <c r="AJ51" s="33" t="str">
        <f>IFERROR(INDEX(tbl_regras_dfr[Classe],MATCH(L51&amp;"|Fluxo de reciclagem|"&amp;L51,tbl_regras_dfr[Chave],0)),"Sem regra")</f>
        <v>A</v>
      </c>
      <c r="AK51" s="33" t="str">
        <f>IF(LEFT(L51,9)="Sem fluxo","—",IFERROR(INDEX(tbl_regras_dfr[Classe],MATCH(L51&amp;"|Cor do corpo|"&amp;O51,tbl_regras_dfr[Chave],0)),"Sem regra"))</f>
        <v>B</v>
      </c>
      <c r="AL51" s="33" t="str">
        <f>IF(LEFT(L51,9)="Sem fluxo","—",IFERROR(INDEX(tbl_regras_dfr[Classe],MATCH(L51&amp;"|Densidade do corpo|"&amp;IF(R51&lt;1,"&lt; 1,0 g/cm³","≥ 1,0 g/cm³"),tbl_regras_dfr[Chave],0)),"Sem regra"))</f>
        <v>A</v>
      </c>
      <c r="AM51" s="33" t="str">
        <f>IF(LEFT(L51,9)="Sem fluxo","—",IFERROR(INDEX(tbl_regras_dfr[Classe],MATCH(L51&amp;"|Barreira / revestimento|"&amp;S51,tbl_regras_dfr[Chave],0)),"Sem regra"))</f>
        <v>A</v>
      </c>
      <c r="AN51" s="33" t="str">
        <f>IF(LEFT(L51,9)="Sem fluxo","—",IFERROR(INDEX(tbl_regras_dfr[Classe],MATCH(L51&amp;"|Material da tampa|"&amp;X51,tbl_regras_dfr[Chave],0)),"Sem regra"))</f>
        <v>A</v>
      </c>
      <c r="AO51" s="33" t="str">
        <f>IF(LEFT(L51,9)="Sem fluxo","—",IFERROR(INDEX(tbl_regras_dfr[Classe],MATCH(L51&amp;"|Vedante / liner|"&amp;Z51,tbl_regras_dfr[Chave],0)),"Sem regra"))</f>
        <v>A</v>
      </c>
      <c r="AP51" s="33" t="str">
        <f>IF(LEFT(L51,9)="Sem fluxo","—",IFERROR(INDEX(tbl_regras_dfr[Classe],MATCH(L51&amp;"|Tipo de rótulo|"&amp;AA51,tbl_regras_dfr[Chave],0)),"Sem regra"))</f>
        <v>A</v>
      </c>
      <c r="AQ51" s="33" t="str">
        <f>IF(LEFT(L51,9)="Sem fluxo","—",IFERROR(INDEX(tbl_regras_dfr[Classe],MATCH(L51&amp;"|Adesivo do rótulo|"&amp;AB51,tbl_regras_dfr[Chave],0)),"Sem regra"))</f>
        <v>A</v>
      </c>
      <c r="AR51" s="33" t="str">
        <f>IF(LEFT(L51,9)="Sem fluxo","—",IFERROR(INDEX(tbl_regras_dfr[Classe],MATCH(L51&amp;"|Cobertura do rótulo|"&amp;IF(AC51&gt;0.7,"&gt; 70% da superfície","≤ 70% da superfície"),tbl_regras_dfr[Chave],0)),"Sem regra"))</f>
        <v>A</v>
      </c>
      <c r="AS51" s="33" t="str">
        <f>IF(LEFT(L51,9)="Sem fluxo","—",IFERROR(INDEX(tbl_regras_dfr[Classe],MATCH(L51&amp;"|Decoração direta|"&amp;AH51,tbl_regras_dfr[Chave],0)),"Sem regra"))</f>
        <v>C</v>
      </c>
      <c r="AT51" s="31">
        <f t="shared" si="20"/>
        <v>3</v>
      </c>
      <c r="AU51" s="33" t="str">
        <f>IF(AT51=0,"",INDEX({"A","B","C","D","E","F"},AT51))</f>
        <v>C</v>
      </c>
      <c r="AV51" s="31">
        <f t="shared" si="21"/>
        <v>0</v>
      </c>
      <c r="AW51" s="33" t="str">
        <f t="shared" si="22"/>
        <v>Decoracao</v>
      </c>
      <c r="AX51" s="33" t="str">
        <f>IF(AU51="A","Sem ação — manter o design.",IFERROR(INDEX(tbl_regras_dfr[Recomendacao],MATCH(CHOOSE(MATCH(AU51,AJ51:AS51,0),L51&amp;"|Fluxo de reciclagem|"&amp;L51,L51&amp;"|Cor do corpo|"&amp;O51,L51&amp;"|Densidade do corpo|"&amp;IF(R51&lt;1,"&lt; 1,0 g/cm³","≥ 1,0 g/cm³"),L51&amp;"|Barreira / revestimento|"&amp;S51,L51&amp;"|Material da tampa|"&amp;X51,L51&amp;"|Vedante / liner|"&amp;Z51,L51&amp;"|Tipo de rótulo|"&amp;AA51,L51&amp;"|Adesivo do rótulo|"&amp;AB51,L51&amp;"|Cobertura do rótulo|"&amp;IF(AC51&gt;0.7,"&gt; 70% da superfície","≤ 70% da superfície"),L51&amp;"|Decoração direta|"&amp;AH51),tbl_regras_dfr[Chave],0)),""))</f>
        <v>Reduzir cores/área ou passar a rótulo de PE/PP.</v>
      </c>
      <c r="AY51" s="38">
        <f t="shared" si="23"/>
        <v>56.54</v>
      </c>
      <c r="AZ51" s="36">
        <f>MIN(IFERROR(INDEX(tbl_regras_dfr[Fracao_Reciclavel],MATCH(L51&amp;"|Fluxo de reciclagem|"&amp;L51,tbl_regras_dfr[Chave],0)),0),IFERROR(INDEX(tbl_regras_dfr[Fracao_Reciclavel],MATCH(L51&amp;"|Cor do corpo|"&amp;O51,tbl_regras_dfr[Chave],0)),0))</f>
        <v>1</v>
      </c>
      <c r="BA51" s="36">
        <f>IFERROR(INDEX(tbl_regras_dfr[Fracao_Reciclavel],MATCH(L51&amp;"|Material da tampa|"&amp;X51,tbl_regras_dfr[Chave],0)),0)</f>
        <v>1</v>
      </c>
      <c r="BB51" s="36">
        <f>IFERROR(INDEX(tbl_regras_dfr[Fracao_Reciclavel],MATCH(L51&amp;"|Tipo de rótulo|"&amp;AA51,tbl_regras_dfr[Chave],0)),0)</f>
        <v>1</v>
      </c>
      <c r="BC51" s="38">
        <f t="shared" si="24"/>
        <v>56.3</v>
      </c>
      <c r="BD51" s="40">
        <f t="shared" si="25"/>
        <v>0.99575521754510077</v>
      </c>
      <c r="BE51" s="33" t="str">
        <f>IF(BD51&gt;=INDEX(tbl_param_emb[Valor],MATCH("P-06",tbl_param_emb[ID_Parametro],0)),"A",IF(BD51&gt;=INDEX(tbl_param_emb[Valor],MATCH("P-07",tbl_param_emb[ID_Parametro],0)),"B",IF(BD51&gt;=INDEX(tbl_param_emb[Valor],MATCH("P-08",tbl_param_emb[ID_Parametro],0)),"C","&lt; 70%")))</f>
        <v>A</v>
      </c>
      <c r="BF51" s="33" t="str">
        <f>IF(AU51="F","Não reciclável (F)",INDEX({"A","B","C","Abaixo de C"},MAX(MIN(AT51,4),IF(BE51="A",1,IF(BE51="B",2,IF(BE51="C",3,4))))))</f>
        <v>C</v>
      </c>
      <c r="BG51" s="33" t="str">
        <f t="shared" si="26"/>
        <v>—</v>
      </c>
      <c r="BH51" s="33" t="str">
        <f t="shared" si="27"/>
        <v>Sim</v>
      </c>
      <c r="BI51" s="33" t="str">
        <f t="shared" si="28"/>
        <v>Não</v>
      </c>
      <c r="BJ51" s="36">
        <f>IFERROR(INDEX(tbl_materiais[Pct_PCR],MATCH(J51,tbl_materiais[Material],0)),0)</f>
        <v>0</v>
      </c>
      <c r="BK51" s="36">
        <f>IF(V51="",0,IFERROR(INDEX(tbl_tampas[Pct_PCR],MATCH(V51,tbl_tampas[CapId],0)),0))</f>
        <v>0</v>
      </c>
      <c r="BL51" s="40">
        <f t="shared" si="29"/>
        <v>0</v>
      </c>
      <c r="BM51" s="33" t="str">
        <f t="shared" si="30"/>
        <v>Outras embalagens de plástico</v>
      </c>
      <c r="BN51" s="36">
        <f>IFERROR(IF(INDEX(tbl_metas_art7[Meta_2030],MATCH(BM51,tbl_metas_art7[Categoria_Art7],0))="","",INDEX(tbl_metas_art7[Meta_2030],MATCH(BM51,tbl_metas_art7[Categoria_Art7],0))),"")</f>
        <v>0.35</v>
      </c>
      <c r="BO51" s="40">
        <f t="shared" si="31"/>
        <v>0.35</v>
      </c>
      <c r="BP51" s="33" t="str">
        <f t="shared" si="32"/>
        <v>Não</v>
      </c>
      <c r="BQ51" s="33" t="str">
        <f t="shared" si="33"/>
        <v>Monomaterial (mesma família)</v>
      </c>
      <c r="BR51" s="37">
        <v>54869</v>
      </c>
      <c r="BS51" s="39">
        <v>10</v>
      </c>
      <c r="BT51" s="26" t="s">
        <v>658</v>
      </c>
      <c r="BU51" s="32">
        <f t="shared" si="34"/>
        <v>1914.9280999999999</v>
      </c>
      <c r="BV51" s="31">
        <f>COUNTIFS(tbl_aplicabilidade[ProductId],B51,tbl_aplicabilidade[Aplicavel],"Sim")</f>
        <v>12</v>
      </c>
      <c r="BW51" s="31">
        <f>COUNTIFS(tbl_aplicabilidade[ProductId],B51,tbl_aplicabilidade[Estado_Resumo],"Lacuna")+COUNTIFS(tbl_aplicabilidade[ProductId],B51,tbl_aplicabilidade[Estado_Resumo],"Não conforme")</f>
        <v>1</v>
      </c>
      <c r="BX51" s="41">
        <v>46287</v>
      </c>
      <c r="BY51" s="42">
        <f t="shared" si="35"/>
        <v>46652</v>
      </c>
      <c r="BZ51" s="26" t="s">
        <v>596</v>
      </c>
      <c r="CA51" s="26" t="s">
        <v>597</v>
      </c>
      <c r="CB51" s="26" t="s">
        <v>598</v>
      </c>
    </row>
    <row r="52" spans="1:80" ht="18" customHeight="1" x14ac:dyDescent="0.3">
      <c r="A52" s="26" t="s">
        <v>724</v>
      </c>
      <c r="B52" s="26" t="s">
        <v>725</v>
      </c>
      <c r="C52" s="26" t="s">
        <v>586</v>
      </c>
      <c r="D52" s="26" t="s">
        <v>587</v>
      </c>
      <c r="E52" s="26" t="s">
        <v>588</v>
      </c>
      <c r="F52" s="26" t="s">
        <v>589</v>
      </c>
      <c r="G52" s="26" t="s">
        <v>590</v>
      </c>
      <c r="H52" s="37">
        <v>600</v>
      </c>
      <c r="I52" s="37">
        <v>145</v>
      </c>
      <c r="J52" s="26" t="s">
        <v>223</v>
      </c>
      <c r="K52" s="33" t="str">
        <f>IFERROR(INDEX(tbl_materiais[Polimero_Base],MATCH(J52,tbl_materiais[Material],0)),"")</f>
        <v>PE</v>
      </c>
      <c r="L52" s="33" t="str">
        <f>IFERROR(INDEX(tbl_materiais[Fluxo_Reciclagem],MATCH(J52,tbl_materiais[Material],0)),"")</f>
        <v>PE rígido</v>
      </c>
      <c r="M52" s="33" t="str">
        <f t="shared" si="18"/>
        <v>PE rígido — frascos e contentores (HDPE/LDPE)</v>
      </c>
      <c r="N52" s="26" t="s">
        <v>618</v>
      </c>
      <c r="O52" s="26" t="s">
        <v>286</v>
      </c>
      <c r="P52" s="26" t="s">
        <v>619</v>
      </c>
      <c r="Q52" s="29">
        <v>0.02</v>
      </c>
      <c r="R52" s="35">
        <f>IFERROR(ROUND(INDEX(tbl_materiais[Densidade_g_cm3],MATCH(J52,tbl_materiais[Material],0))+Q52*1.2,3),"")</f>
        <v>0.97899999999999998</v>
      </c>
      <c r="S52" s="26" t="s">
        <v>302</v>
      </c>
      <c r="T52" s="34">
        <v>34.9</v>
      </c>
      <c r="U52" s="26" t="s">
        <v>593</v>
      </c>
      <c r="V52" s="26" t="s">
        <v>449</v>
      </c>
      <c r="W52" s="33" t="str">
        <f>IF(V52="","",IFERROR(INDEX(tbl_tampas[Material],MATCH(V52,tbl_tampas[CapId],0)),""))</f>
        <v>HDPE</v>
      </c>
      <c r="X52" s="33" t="str">
        <f>IF(V52="","Sem tampa",IFERROR(INDEX(tbl_materiais[Polimero_Base],MATCH(W52,tbl_materiais[Material],0)),""))</f>
        <v>PE</v>
      </c>
      <c r="Y52" s="38">
        <f>IF(V52="",0,IFERROR(INDEX(tbl_tampas[Massa_g],MATCH(V52,tbl_tampas[CapId],0)),0))</f>
        <v>15.9</v>
      </c>
      <c r="Z52" s="26" t="s">
        <v>319</v>
      </c>
      <c r="AA52" s="26" t="s">
        <v>327</v>
      </c>
      <c r="AB52" s="26" t="s">
        <v>342</v>
      </c>
      <c r="AC52" s="29">
        <v>0.4</v>
      </c>
      <c r="AD52" s="27">
        <v>0.73</v>
      </c>
      <c r="AE52" s="26" t="s">
        <v>604</v>
      </c>
      <c r="AF52" s="26" t="s">
        <v>302</v>
      </c>
      <c r="AG52" s="39">
        <v>0</v>
      </c>
      <c r="AH52" s="33" t="str">
        <f t="shared" si="19"/>
        <v>Nenhuma</v>
      </c>
      <c r="AI52" s="27">
        <v>0</v>
      </c>
      <c r="AJ52" s="33" t="str">
        <f>IFERROR(INDEX(tbl_regras_dfr[Classe],MATCH(L52&amp;"|Fluxo de reciclagem|"&amp;L52,tbl_regras_dfr[Chave],0)),"Sem regra")</f>
        <v>A</v>
      </c>
      <c r="AK52" s="33" t="str">
        <f>IF(LEFT(L52,9)="Sem fluxo","—",IFERROR(INDEX(tbl_regras_dfr[Classe],MATCH(L52&amp;"|Cor do corpo|"&amp;O52,tbl_regras_dfr[Chave],0)),"Sem regra"))</f>
        <v>B</v>
      </c>
      <c r="AL52" s="33" t="str">
        <f>IF(LEFT(L52,9)="Sem fluxo","—",IFERROR(INDEX(tbl_regras_dfr[Classe],MATCH(L52&amp;"|Densidade do corpo|"&amp;IF(R52&lt;1,"&lt; 1,0 g/cm³","≥ 1,0 g/cm³"),tbl_regras_dfr[Chave],0)),"Sem regra"))</f>
        <v>A</v>
      </c>
      <c r="AM52" s="33" t="str">
        <f>IF(LEFT(L52,9)="Sem fluxo","—",IFERROR(INDEX(tbl_regras_dfr[Classe],MATCH(L52&amp;"|Barreira / revestimento|"&amp;S52,tbl_regras_dfr[Chave],0)),"Sem regra"))</f>
        <v>A</v>
      </c>
      <c r="AN52" s="33" t="str">
        <f>IF(LEFT(L52,9)="Sem fluxo","—",IFERROR(INDEX(tbl_regras_dfr[Classe],MATCH(L52&amp;"|Material da tampa|"&amp;X52,tbl_regras_dfr[Chave],0)),"Sem regra"))</f>
        <v>A</v>
      </c>
      <c r="AO52" s="33" t="str">
        <f>IF(LEFT(L52,9)="Sem fluxo","—",IFERROR(INDEX(tbl_regras_dfr[Classe],MATCH(L52&amp;"|Vedante / liner|"&amp;Z52,tbl_regras_dfr[Chave],0)),"Sem regra"))</f>
        <v>A</v>
      </c>
      <c r="AP52" s="33" t="str">
        <f>IF(LEFT(L52,9)="Sem fluxo","—",IFERROR(INDEX(tbl_regras_dfr[Classe],MATCH(L52&amp;"|Tipo de rótulo|"&amp;AA52,tbl_regras_dfr[Chave],0)),"Sem regra"))</f>
        <v>A</v>
      </c>
      <c r="AQ52" s="33" t="str">
        <f>IF(LEFT(L52,9)="Sem fluxo","—",IFERROR(INDEX(tbl_regras_dfr[Classe],MATCH(L52&amp;"|Adesivo do rótulo|"&amp;AB52,tbl_regras_dfr[Chave],0)),"Sem regra"))</f>
        <v>A</v>
      </c>
      <c r="AR52" s="33" t="str">
        <f>IF(LEFT(L52,9)="Sem fluxo","—",IFERROR(INDEX(tbl_regras_dfr[Classe],MATCH(L52&amp;"|Cobertura do rótulo|"&amp;IF(AC52&gt;0.7,"&gt; 70% da superfície","≤ 70% da superfície"),tbl_regras_dfr[Chave],0)),"Sem regra"))</f>
        <v>A</v>
      </c>
      <c r="AS52" s="33" t="str">
        <f>IF(LEFT(L52,9)="Sem fluxo","—",IFERROR(INDEX(tbl_regras_dfr[Classe],MATCH(L52&amp;"|Decoração direta|"&amp;AH52,tbl_regras_dfr[Chave],0)),"Sem regra"))</f>
        <v>A</v>
      </c>
      <c r="AT52" s="31">
        <f t="shared" si="20"/>
        <v>2</v>
      </c>
      <c r="AU52" s="33" t="str">
        <f>IF(AT52=0,"",INDEX({"A","B","C","D","E","F"},AT52))</f>
        <v>B</v>
      </c>
      <c r="AV52" s="31">
        <f t="shared" si="21"/>
        <v>0</v>
      </c>
      <c r="AW52" s="33" t="str">
        <f t="shared" si="22"/>
        <v>Cor</v>
      </c>
      <c r="AX52" s="33" t="str">
        <f>IF(AU52="A","Sem ação — manter o design.",IFERROR(INDEX(tbl_regras_dfr[Recomendacao],MATCH(CHOOSE(MATCH(AU52,AJ52:AS52,0),L52&amp;"|Fluxo de reciclagem|"&amp;L52,L52&amp;"|Cor do corpo|"&amp;O52,L52&amp;"|Densidade do corpo|"&amp;IF(R52&lt;1,"&lt; 1,0 g/cm³","≥ 1,0 g/cm³"),L52&amp;"|Barreira / revestimento|"&amp;S52,L52&amp;"|Material da tampa|"&amp;X52,L52&amp;"|Vedante / liner|"&amp;Z52,L52&amp;"|Tipo de rótulo|"&amp;AA52,L52&amp;"|Adesivo do rótulo|"&amp;AB52,L52&amp;"|Cobertura do rótulo|"&amp;IF(AC52&gt;0.7,"&gt; 70% da superfície","≤ 70% da superfície"),L52&amp;"|Decoração direta|"&amp;AH52),tbl_regras_dfr[Chave],0)),""))</f>
        <v>Preferir cores claras.</v>
      </c>
      <c r="AY52" s="38">
        <f t="shared" si="23"/>
        <v>51.529999999999994</v>
      </c>
      <c r="AZ52" s="36">
        <f>MIN(IFERROR(INDEX(tbl_regras_dfr[Fracao_Reciclavel],MATCH(L52&amp;"|Fluxo de reciclagem|"&amp;L52,tbl_regras_dfr[Chave],0)),0),IFERROR(INDEX(tbl_regras_dfr[Fracao_Reciclavel],MATCH(L52&amp;"|Cor do corpo|"&amp;O52,tbl_regras_dfr[Chave],0)),0))</f>
        <v>1</v>
      </c>
      <c r="BA52" s="36">
        <f>IFERROR(INDEX(tbl_regras_dfr[Fracao_Reciclavel],MATCH(L52&amp;"|Material da tampa|"&amp;X52,tbl_regras_dfr[Chave],0)),0)</f>
        <v>1</v>
      </c>
      <c r="BB52" s="36">
        <f>IFERROR(INDEX(tbl_regras_dfr[Fracao_Reciclavel],MATCH(L52&amp;"|Tipo de rótulo|"&amp;AA52,tbl_regras_dfr[Chave],0)),0)</f>
        <v>1</v>
      </c>
      <c r="BC52" s="38">
        <f t="shared" si="24"/>
        <v>51.529999999999994</v>
      </c>
      <c r="BD52" s="40">
        <f t="shared" si="25"/>
        <v>1</v>
      </c>
      <c r="BE52" s="33" t="str">
        <f>IF(BD52&gt;=INDEX(tbl_param_emb[Valor],MATCH("P-06",tbl_param_emb[ID_Parametro],0)),"A",IF(BD52&gt;=INDEX(tbl_param_emb[Valor],MATCH("P-07",tbl_param_emb[ID_Parametro],0)),"B",IF(BD52&gt;=INDEX(tbl_param_emb[Valor],MATCH("P-08",tbl_param_emb[ID_Parametro],0)),"C","&lt; 70%")))</f>
        <v>A</v>
      </c>
      <c r="BF52" s="33" t="str">
        <f>IF(AU52="F","Não reciclável (F)",INDEX({"A","B","C","Abaixo de C"},MAX(MIN(AT52,4),IF(BE52="A",1,IF(BE52="B",2,IF(BE52="C",3,4))))))</f>
        <v>B</v>
      </c>
      <c r="BG52" s="33" t="str">
        <f t="shared" si="26"/>
        <v>—</v>
      </c>
      <c r="BH52" s="33" t="str">
        <f t="shared" si="27"/>
        <v>Sim</v>
      </c>
      <c r="BI52" s="33" t="str">
        <f t="shared" si="28"/>
        <v>Sim</v>
      </c>
      <c r="BJ52" s="36">
        <f>IFERROR(INDEX(tbl_materiais[Pct_PCR],MATCH(J52,tbl_materiais[Material],0)),0)</f>
        <v>0</v>
      </c>
      <c r="BK52" s="36">
        <f>IF(V52="",0,IFERROR(INDEX(tbl_tampas[Pct_PCR],MATCH(V52,tbl_tampas[CapId],0)),0))</f>
        <v>0</v>
      </c>
      <c r="BL52" s="40">
        <f t="shared" si="29"/>
        <v>0</v>
      </c>
      <c r="BM52" s="33" t="str">
        <f t="shared" si="30"/>
        <v>Outras embalagens de plástico</v>
      </c>
      <c r="BN52" s="36">
        <f>IFERROR(IF(INDEX(tbl_metas_art7[Meta_2030],MATCH(BM52,tbl_metas_art7[Categoria_Art7],0))="","",INDEX(tbl_metas_art7[Meta_2030],MATCH(BM52,tbl_metas_art7[Categoria_Art7],0))),"")</f>
        <v>0.35</v>
      </c>
      <c r="BO52" s="40">
        <f t="shared" si="31"/>
        <v>0.35</v>
      </c>
      <c r="BP52" s="33" t="str">
        <f t="shared" si="32"/>
        <v>Não</v>
      </c>
      <c r="BQ52" s="33" t="str">
        <f t="shared" si="33"/>
        <v>Monomaterial (mesma família)</v>
      </c>
      <c r="BR52" s="37">
        <v>102299</v>
      </c>
      <c r="BS52" s="39">
        <v>12</v>
      </c>
      <c r="BT52" s="26" t="s">
        <v>628</v>
      </c>
      <c r="BU52" s="32">
        <f t="shared" si="34"/>
        <v>3570.2350999999994</v>
      </c>
      <c r="BV52" s="31">
        <f>COUNTIFS(tbl_aplicabilidade[ProductId],B52,tbl_aplicabilidade[Aplicavel],"Sim")</f>
        <v>12</v>
      </c>
      <c r="BW52" s="31">
        <f>COUNTIFS(tbl_aplicabilidade[ProductId],B52,tbl_aplicabilidade[Estado_Resumo],"Lacuna")+COUNTIFS(tbl_aplicabilidade[ProductId],B52,tbl_aplicabilidade[Estado_Resumo],"Não conforme")</f>
        <v>1</v>
      </c>
      <c r="BX52" s="41">
        <v>46287</v>
      </c>
      <c r="BY52" s="42">
        <f t="shared" si="35"/>
        <v>46652</v>
      </c>
      <c r="BZ52" s="26" t="s">
        <v>596</v>
      </c>
      <c r="CA52" s="26" t="s">
        <v>597</v>
      </c>
      <c r="CB52" s="26" t="s">
        <v>598</v>
      </c>
    </row>
    <row r="53" spans="1:80" ht="18" customHeight="1" x14ac:dyDescent="0.3">
      <c r="A53" s="26" t="s">
        <v>726</v>
      </c>
      <c r="B53" s="26" t="s">
        <v>727</v>
      </c>
      <c r="C53" s="26" t="s">
        <v>586</v>
      </c>
      <c r="D53" s="26" t="s">
        <v>587</v>
      </c>
      <c r="E53" s="26" t="s">
        <v>588</v>
      </c>
      <c r="F53" s="26" t="s">
        <v>589</v>
      </c>
      <c r="G53" s="26" t="s">
        <v>590</v>
      </c>
      <c r="H53" s="37">
        <v>600</v>
      </c>
      <c r="I53" s="37">
        <v>145</v>
      </c>
      <c r="J53" s="26" t="s">
        <v>223</v>
      </c>
      <c r="K53" s="33" t="str">
        <f>IFERROR(INDEX(tbl_materiais[Polimero_Base],MATCH(J53,tbl_materiais[Material],0)),"")</f>
        <v>PE</v>
      </c>
      <c r="L53" s="33" t="str">
        <f>IFERROR(INDEX(tbl_materiais[Fluxo_Reciclagem],MATCH(J53,tbl_materiais[Material],0)),"")</f>
        <v>PE rígido</v>
      </c>
      <c r="M53" s="33" t="str">
        <f t="shared" si="18"/>
        <v>PE rígido — frascos e contentores (HDPE/LDPE)</v>
      </c>
      <c r="N53" s="26" t="s">
        <v>591</v>
      </c>
      <c r="O53" s="26" t="s">
        <v>283</v>
      </c>
      <c r="P53" s="26" t="s">
        <v>592</v>
      </c>
      <c r="Q53" s="29">
        <v>0.02</v>
      </c>
      <c r="R53" s="35">
        <f>IFERROR(ROUND(INDEX(tbl_materiais[Densidade_g_cm3],MATCH(J53,tbl_materiais[Material],0))+Q53*1.2,3),"")</f>
        <v>0.97899999999999998</v>
      </c>
      <c r="S53" s="26" t="s">
        <v>302</v>
      </c>
      <c r="T53" s="34">
        <v>34.9</v>
      </c>
      <c r="U53" s="26" t="s">
        <v>593</v>
      </c>
      <c r="V53" s="26" t="s">
        <v>449</v>
      </c>
      <c r="W53" s="33" t="str">
        <f>IF(V53="","",IFERROR(INDEX(tbl_tampas[Material],MATCH(V53,tbl_tampas[CapId],0)),""))</f>
        <v>HDPE</v>
      </c>
      <c r="X53" s="33" t="str">
        <f>IF(V53="","Sem tampa",IFERROR(INDEX(tbl_materiais[Polimero_Base],MATCH(W53,tbl_materiais[Material],0)),""))</f>
        <v>PE</v>
      </c>
      <c r="Y53" s="38">
        <f>IF(V53="",0,IFERROR(INDEX(tbl_tampas[Massa_g],MATCH(V53,tbl_tampas[CapId],0)),0))</f>
        <v>15.9</v>
      </c>
      <c r="Z53" s="26" t="s">
        <v>319</v>
      </c>
      <c r="AA53" s="26" t="s">
        <v>326</v>
      </c>
      <c r="AB53" s="26" t="s">
        <v>340</v>
      </c>
      <c r="AC53" s="29">
        <v>0</v>
      </c>
      <c r="AD53" s="27">
        <v>0</v>
      </c>
      <c r="AE53" s="26" t="s">
        <v>594</v>
      </c>
      <c r="AF53" s="26" t="s">
        <v>359</v>
      </c>
      <c r="AG53" s="39">
        <v>1</v>
      </c>
      <c r="AH53" s="33" t="str">
        <f t="shared" si="19"/>
        <v>Hot foil metalizado</v>
      </c>
      <c r="AI53" s="27">
        <v>0.03</v>
      </c>
      <c r="AJ53" s="33" t="str">
        <f>IFERROR(INDEX(tbl_regras_dfr[Classe],MATCH(L53&amp;"|Fluxo de reciclagem|"&amp;L53,tbl_regras_dfr[Chave],0)),"Sem regra")</f>
        <v>A</v>
      </c>
      <c r="AK53" s="33" t="str">
        <f>IF(LEFT(L53,9)="Sem fluxo","—",IFERROR(INDEX(tbl_regras_dfr[Classe],MATCH(L53&amp;"|Cor do corpo|"&amp;O53,tbl_regras_dfr[Chave],0)),"Sem regra"))</f>
        <v>B</v>
      </c>
      <c r="AL53" s="33" t="str">
        <f>IF(LEFT(L53,9)="Sem fluxo","—",IFERROR(INDEX(tbl_regras_dfr[Classe],MATCH(L53&amp;"|Densidade do corpo|"&amp;IF(R53&lt;1,"&lt; 1,0 g/cm³","≥ 1,0 g/cm³"),tbl_regras_dfr[Chave],0)),"Sem regra"))</f>
        <v>A</v>
      </c>
      <c r="AM53" s="33" t="str">
        <f>IF(LEFT(L53,9)="Sem fluxo","—",IFERROR(INDEX(tbl_regras_dfr[Classe],MATCH(L53&amp;"|Barreira / revestimento|"&amp;S53,tbl_regras_dfr[Chave],0)),"Sem regra"))</f>
        <v>A</v>
      </c>
      <c r="AN53" s="33" t="str">
        <f>IF(LEFT(L53,9)="Sem fluxo","—",IFERROR(INDEX(tbl_regras_dfr[Classe],MATCH(L53&amp;"|Material da tampa|"&amp;X53,tbl_regras_dfr[Chave],0)),"Sem regra"))</f>
        <v>A</v>
      </c>
      <c r="AO53" s="33" t="str">
        <f>IF(LEFT(L53,9)="Sem fluxo","—",IFERROR(INDEX(tbl_regras_dfr[Classe],MATCH(L53&amp;"|Vedante / liner|"&amp;Z53,tbl_regras_dfr[Chave],0)),"Sem regra"))</f>
        <v>A</v>
      </c>
      <c r="AP53" s="33" t="str">
        <f>IF(LEFT(L53,9)="Sem fluxo","—",IFERROR(INDEX(tbl_regras_dfr[Classe],MATCH(L53&amp;"|Tipo de rótulo|"&amp;AA53,tbl_regras_dfr[Chave],0)),"Sem regra"))</f>
        <v>A</v>
      </c>
      <c r="AQ53" s="33" t="str">
        <f>IF(LEFT(L53,9)="Sem fluxo","—",IFERROR(INDEX(tbl_regras_dfr[Classe],MATCH(L53&amp;"|Adesivo do rótulo|"&amp;AB53,tbl_regras_dfr[Chave],0)),"Sem regra"))</f>
        <v>A</v>
      </c>
      <c r="AR53" s="33" t="str">
        <f>IF(LEFT(L53,9)="Sem fluxo","—",IFERROR(INDEX(tbl_regras_dfr[Classe],MATCH(L53&amp;"|Cobertura do rótulo|"&amp;IF(AC53&gt;0.7,"&gt; 70% da superfície","≤ 70% da superfície"),tbl_regras_dfr[Chave],0)),"Sem regra"))</f>
        <v>A</v>
      </c>
      <c r="AS53" s="33" t="str">
        <f>IF(LEFT(L53,9)="Sem fluxo","—",IFERROR(INDEX(tbl_regras_dfr[Classe],MATCH(L53&amp;"|Decoração direta|"&amp;AH53,tbl_regras_dfr[Chave],0)),"Sem regra"))</f>
        <v>C</v>
      </c>
      <c r="AT53" s="31">
        <f t="shared" si="20"/>
        <v>3</v>
      </c>
      <c r="AU53" s="33" t="str">
        <f>IF(AT53=0,"",INDEX({"A","B","C","D","E","F"},AT53))</f>
        <v>C</v>
      </c>
      <c r="AV53" s="31">
        <f t="shared" si="21"/>
        <v>0</v>
      </c>
      <c r="AW53" s="33" t="str">
        <f t="shared" si="22"/>
        <v>Decoracao</v>
      </c>
      <c r="AX53" s="33" t="str">
        <f>IF(AU53="A","Sem ação — manter o design.",IFERROR(INDEX(tbl_regras_dfr[Recomendacao],MATCH(CHOOSE(MATCH(AU53,AJ53:AS53,0),L53&amp;"|Fluxo de reciclagem|"&amp;L53,L53&amp;"|Cor do corpo|"&amp;O53,L53&amp;"|Densidade do corpo|"&amp;IF(R53&lt;1,"&lt; 1,0 g/cm³","≥ 1,0 g/cm³"),L53&amp;"|Barreira / revestimento|"&amp;S53,L53&amp;"|Material da tampa|"&amp;X53,L53&amp;"|Vedante / liner|"&amp;Z53,L53&amp;"|Tipo de rótulo|"&amp;AA53,L53&amp;"|Adesivo do rótulo|"&amp;AB53,L53&amp;"|Cobertura do rótulo|"&amp;IF(AC53&gt;0.7,"&gt; 70% da superfície","≤ 70% da superfície"),L53&amp;"|Decoração direta|"&amp;AH53),tbl_regras_dfr[Chave],0)),""))</f>
        <v>Reduzir a área de hot foil ou usar rótulo metalizado destacável.</v>
      </c>
      <c r="AY53" s="38">
        <f t="shared" si="23"/>
        <v>50.83</v>
      </c>
      <c r="AZ53" s="36">
        <f>MIN(IFERROR(INDEX(tbl_regras_dfr[Fracao_Reciclavel],MATCH(L53&amp;"|Fluxo de reciclagem|"&amp;L53,tbl_regras_dfr[Chave],0)),0),IFERROR(INDEX(tbl_regras_dfr[Fracao_Reciclavel],MATCH(L53&amp;"|Cor do corpo|"&amp;O53,tbl_regras_dfr[Chave],0)),0))</f>
        <v>1</v>
      </c>
      <c r="BA53" s="36">
        <f>IFERROR(INDEX(tbl_regras_dfr[Fracao_Reciclavel],MATCH(L53&amp;"|Material da tampa|"&amp;X53,tbl_regras_dfr[Chave],0)),0)</f>
        <v>1</v>
      </c>
      <c r="BB53" s="36">
        <f>IFERROR(INDEX(tbl_regras_dfr[Fracao_Reciclavel],MATCH(L53&amp;"|Tipo de rótulo|"&amp;AA53,tbl_regras_dfr[Chave],0)),0)</f>
        <v>1</v>
      </c>
      <c r="BC53" s="38">
        <f t="shared" si="24"/>
        <v>50.8</v>
      </c>
      <c r="BD53" s="40">
        <f t="shared" si="25"/>
        <v>0.99940979736376157</v>
      </c>
      <c r="BE53" s="33" t="str">
        <f>IF(BD53&gt;=INDEX(tbl_param_emb[Valor],MATCH("P-06",tbl_param_emb[ID_Parametro],0)),"A",IF(BD53&gt;=INDEX(tbl_param_emb[Valor],MATCH("P-07",tbl_param_emb[ID_Parametro],0)),"B",IF(BD53&gt;=INDEX(tbl_param_emb[Valor],MATCH("P-08",tbl_param_emb[ID_Parametro],0)),"C","&lt; 70%")))</f>
        <v>A</v>
      </c>
      <c r="BF53" s="33" t="str">
        <f>IF(AU53="F","Não reciclável (F)",INDEX({"A","B","C","Abaixo de C"},MAX(MIN(AT53,4),IF(BE53="A",1,IF(BE53="B",2,IF(BE53="C",3,4))))))</f>
        <v>C</v>
      </c>
      <c r="BG53" s="33" t="str">
        <f t="shared" si="26"/>
        <v>—</v>
      </c>
      <c r="BH53" s="33" t="str">
        <f t="shared" si="27"/>
        <v>Sim</v>
      </c>
      <c r="BI53" s="33" t="str">
        <f t="shared" si="28"/>
        <v>Não</v>
      </c>
      <c r="BJ53" s="36">
        <f>IFERROR(INDEX(tbl_materiais[Pct_PCR],MATCH(J53,tbl_materiais[Material],0)),0)</f>
        <v>0</v>
      </c>
      <c r="BK53" s="36">
        <f>IF(V53="",0,IFERROR(INDEX(tbl_tampas[Pct_PCR],MATCH(V53,tbl_tampas[CapId],0)),0))</f>
        <v>0</v>
      </c>
      <c r="BL53" s="40">
        <f t="shared" si="29"/>
        <v>0</v>
      </c>
      <c r="BM53" s="33" t="str">
        <f t="shared" si="30"/>
        <v>Outras embalagens de plástico</v>
      </c>
      <c r="BN53" s="36">
        <f>IFERROR(IF(INDEX(tbl_metas_art7[Meta_2030],MATCH(BM53,tbl_metas_art7[Categoria_Art7],0))="","",INDEX(tbl_metas_art7[Meta_2030],MATCH(BM53,tbl_metas_art7[Categoria_Art7],0))),"")</f>
        <v>0.35</v>
      </c>
      <c r="BO53" s="40">
        <f t="shared" si="31"/>
        <v>0.35</v>
      </c>
      <c r="BP53" s="33" t="str">
        <f t="shared" si="32"/>
        <v>Não</v>
      </c>
      <c r="BQ53" s="33" t="str">
        <f t="shared" si="33"/>
        <v>Monomaterial (mesma família)</v>
      </c>
      <c r="BR53" s="37">
        <v>49770</v>
      </c>
      <c r="BS53" s="39">
        <v>7</v>
      </c>
      <c r="BT53" s="26" t="s">
        <v>728</v>
      </c>
      <c r="BU53" s="32">
        <f t="shared" si="34"/>
        <v>1736.973</v>
      </c>
      <c r="BV53" s="31">
        <f>COUNTIFS(tbl_aplicabilidade[ProductId],B53,tbl_aplicabilidade[Aplicavel],"Sim")</f>
        <v>12</v>
      </c>
      <c r="BW53" s="31">
        <f>COUNTIFS(tbl_aplicabilidade[ProductId],B53,tbl_aplicabilidade[Estado_Resumo],"Lacuna")+COUNTIFS(tbl_aplicabilidade[ProductId],B53,tbl_aplicabilidade[Estado_Resumo],"Não conforme")</f>
        <v>1</v>
      </c>
      <c r="BX53" s="41">
        <v>46287</v>
      </c>
      <c r="BY53" s="42">
        <f t="shared" si="35"/>
        <v>46652</v>
      </c>
      <c r="BZ53" s="26" t="s">
        <v>596</v>
      </c>
      <c r="CA53" s="26" t="s">
        <v>597</v>
      </c>
      <c r="CB53" s="26" t="s">
        <v>598</v>
      </c>
    </row>
    <row r="54" spans="1:80" ht="18" customHeight="1" x14ac:dyDescent="0.3">
      <c r="A54" s="26" t="s">
        <v>729</v>
      </c>
      <c r="B54" s="26" t="s">
        <v>730</v>
      </c>
      <c r="C54" s="26" t="s">
        <v>586</v>
      </c>
      <c r="D54" s="26" t="s">
        <v>587</v>
      </c>
      <c r="E54" s="26" t="s">
        <v>588</v>
      </c>
      <c r="F54" s="26" t="s">
        <v>589</v>
      </c>
      <c r="G54" s="26" t="s">
        <v>601</v>
      </c>
      <c r="H54" s="37">
        <v>600</v>
      </c>
      <c r="I54" s="37">
        <v>145</v>
      </c>
      <c r="J54" s="26" t="s">
        <v>229</v>
      </c>
      <c r="K54" s="33" t="str">
        <f>IFERROR(INDEX(tbl_materiais[Polimero_Base],MATCH(J54,tbl_materiais[Material],0)),"")</f>
        <v>PE</v>
      </c>
      <c r="L54" s="33" t="str">
        <f>IFERROR(INDEX(tbl_materiais[Fluxo_Reciclagem],MATCH(J54,tbl_materiais[Material],0)),"")</f>
        <v>PE rígido</v>
      </c>
      <c r="M54" s="33" t="str">
        <f t="shared" si="18"/>
        <v>PE rígido — frascos e contentores (HDPE/LDPE)</v>
      </c>
      <c r="N54" s="26" t="s">
        <v>622</v>
      </c>
      <c r="O54" s="26" t="s">
        <v>283</v>
      </c>
      <c r="P54" s="26" t="s">
        <v>623</v>
      </c>
      <c r="Q54" s="29">
        <v>1.4999999999999999E-2</v>
      </c>
      <c r="R54" s="35">
        <f>IFERROR(ROUND(INDEX(tbl_materiais[Densidade_g_cm3],MATCH(J54,tbl_materiais[Material],0))+Q54*1.2,3),"")</f>
        <v>0.97799999999999998</v>
      </c>
      <c r="S54" s="26" t="s">
        <v>302</v>
      </c>
      <c r="T54" s="34">
        <v>34.9</v>
      </c>
      <c r="U54" s="26" t="s">
        <v>593</v>
      </c>
      <c r="V54" s="26" t="s">
        <v>475</v>
      </c>
      <c r="W54" s="33" t="str">
        <f>IF(V54="","",IFERROR(INDEX(tbl_tampas[Material],MATCH(V54,tbl_tampas[CapId],0)),""))</f>
        <v>PP-PCR</v>
      </c>
      <c r="X54" s="33" t="str">
        <f>IF(V54="","Sem tampa",IFERROR(INDEX(tbl_materiais[Polimero_Base],MATCH(W54,tbl_materiais[Material],0)),""))</f>
        <v>PP</v>
      </c>
      <c r="Y54" s="38">
        <f>IF(V54="",0,IFERROR(INDEX(tbl_tampas[Massa_g],MATCH(V54,tbl_tampas[CapId],0)),0))</f>
        <v>19.3</v>
      </c>
      <c r="Z54" s="26" t="s">
        <v>319</v>
      </c>
      <c r="AA54" s="26" t="s">
        <v>326</v>
      </c>
      <c r="AB54" s="26" t="s">
        <v>340</v>
      </c>
      <c r="AC54" s="29">
        <v>0</v>
      </c>
      <c r="AD54" s="27">
        <v>0</v>
      </c>
      <c r="AE54" s="26" t="s">
        <v>594</v>
      </c>
      <c r="AF54" s="26" t="s">
        <v>595</v>
      </c>
      <c r="AG54" s="39">
        <v>1</v>
      </c>
      <c r="AH54" s="33" t="str">
        <f t="shared" si="19"/>
        <v>Serigrafia 1–2 cores</v>
      </c>
      <c r="AI54" s="27">
        <v>0.08</v>
      </c>
      <c r="AJ54" s="33" t="str">
        <f>IFERROR(INDEX(tbl_regras_dfr[Classe],MATCH(L54&amp;"|Fluxo de reciclagem|"&amp;L54,tbl_regras_dfr[Chave],0)),"Sem regra")</f>
        <v>A</v>
      </c>
      <c r="AK54" s="33" t="str">
        <f>IF(LEFT(L54,9)="Sem fluxo","—",IFERROR(INDEX(tbl_regras_dfr[Classe],MATCH(L54&amp;"|Cor do corpo|"&amp;O54,tbl_regras_dfr[Chave],0)),"Sem regra"))</f>
        <v>B</v>
      </c>
      <c r="AL54" s="33" t="str">
        <f>IF(LEFT(L54,9)="Sem fluxo","—",IFERROR(INDEX(tbl_regras_dfr[Classe],MATCH(L54&amp;"|Densidade do corpo|"&amp;IF(R54&lt;1,"&lt; 1,0 g/cm³","≥ 1,0 g/cm³"),tbl_regras_dfr[Chave],0)),"Sem regra"))</f>
        <v>A</v>
      </c>
      <c r="AM54" s="33" t="str">
        <f>IF(LEFT(L54,9)="Sem fluxo","—",IFERROR(INDEX(tbl_regras_dfr[Classe],MATCH(L54&amp;"|Barreira / revestimento|"&amp;S54,tbl_regras_dfr[Chave],0)),"Sem regra"))</f>
        <v>A</v>
      </c>
      <c r="AN54" s="33" t="str">
        <f>IF(LEFT(L54,9)="Sem fluxo","—",IFERROR(INDEX(tbl_regras_dfr[Classe],MATCH(L54&amp;"|Material da tampa|"&amp;X54,tbl_regras_dfr[Chave],0)),"Sem regra"))</f>
        <v>A</v>
      </c>
      <c r="AO54" s="33" t="str">
        <f>IF(LEFT(L54,9)="Sem fluxo","—",IFERROR(INDEX(tbl_regras_dfr[Classe],MATCH(L54&amp;"|Vedante / liner|"&amp;Z54,tbl_regras_dfr[Chave],0)),"Sem regra"))</f>
        <v>A</v>
      </c>
      <c r="AP54" s="33" t="str">
        <f>IF(LEFT(L54,9)="Sem fluxo","—",IFERROR(INDEX(tbl_regras_dfr[Classe],MATCH(L54&amp;"|Tipo de rótulo|"&amp;AA54,tbl_regras_dfr[Chave],0)),"Sem regra"))</f>
        <v>A</v>
      </c>
      <c r="AQ54" s="33" t="str">
        <f>IF(LEFT(L54,9)="Sem fluxo","—",IFERROR(INDEX(tbl_regras_dfr[Classe],MATCH(L54&amp;"|Adesivo do rótulo|"&amp;AB54,tbl_regras_dfr[Chave],0)),"Sem regra"))</f>
        <v>A</v>
      </c>
      <c r="AR54" s="33" t="str">
        <f>IF(LEFT(L54,9)="Sem fluxo","—",IFERROR(INDEX(tbl_regras_dfr[Classe],MATCH(L54&amp;"|Cobertura do rótulo|"&amp;IF(AC54&gt;0.7,"&gt; 70% da superfície","≤ 70% da superfície"),tbl_regras_dfr[Chave],0)),"Sem regra"))</f>
        <v>A</v>
      </c>
      <c r="AS54" s="33" t="str">
        <f>IF(LEFT(L54,9)="Sem fluxo","—",IFERROR(INDEX(tbl_regras_dfr[Classe],MATCH(L54&amp;"|Decoração direta|"&amp;AH54,tbl_regras_dfr[Chave],0)),"Sem regra"))</f>
        <v>B</v>
      </c>
      <c r="AT54" s="31">
        <f t="shared" si="20"/>
        <v>2</v>
      </c>
      <c r="AU54" s="33" t="str">
        <f>IF(AT54=0,"",INDEX({"A","B","C","D","E","F"},AT54))</f>
        <v>B</v>
      </c>
      <c r="AV54" s="31">
        <f t="shared" si="21"/>
        <v>0</v>
      </c>
      <c r="AW54" s="33" t="str">
        <f t="shared" si="22"/>
        <v>Cor</v>
      </c>
      <c r="AX54" s="33" t="str">
        <f>IF(AU54="A","Sem ação — manter o design.",IFERROR(INDEX(tbl_regras_dfr[Recomendacao],MATCH(CHOOSE(MATCH(AU54,AJ54:AS54,0),L54&amp;"|Fluxo de reciclagem|"&amp;L54,L54&amp;"|Cor do corpo|"&amp;O54,L54&amp;"|Densidade do corpo|"&amp;IF(R54&lt;1,"&lt; 1,0 g/cm³","≥ 1,0 g/cm³"),L54&amp;"|Barreira / revestimento|"&amp;S54,L54&amp;"|Material da tampa|"&amp;X54,L54&amp;"|Vedante / liner|"&amp;Z54,L54&amp;"|Tipo de rótulo|"&amp;AA54,L54&amp;"|Adesivo do rótulo|"&amp;AB54,L54&amp;"|Cobertura do rótulo|"&amp;IF(AC54&gt;0.7,"&gt; 70% da superfície","≤ 70% da superfície"),L54&amp;"|Decoração direta|"&amp;AH54),tbl_regras_dfr[Chave],0)),""))</f>
        <v>Preferir natural, branco ou cores claras.</v>
      </c>
      <c r="AY54" s="38">
        <f t="shared" si="23"/>
        <v>54.28</v>
      </c>
      <c r="AZ54" s="36">
        <f>MIN(IFERROR(INDEX(tbl_regras_dfr[Fracao_Reciclavel],MATCH(L54&amp;"|Fluxo de reciclagem|"&amp;L54,tbl_regras_dfr[Chave],0)),0),IFERROR(INDEX(tbl_regras_dfr[Fracao_Reciclavel],MATCH(L54&amp;"|Cor do corpo|"&amp;O54,tbl_regras_dfr[Chave],0)),0))</f>
        <v>1</v>
      </c>
      <c r="BA54" s="36">
        <f>IFERROR(INDEX(tbl_regras_dfr[Fracao_Reciclavel],MATCH(L54&amp;"|Material da tampa|"&amp;X54,tbl_regras_dfr[Chave],0)),0)</f>
        <v>1</v>
      </c>
      <c r="BB54" s="36">
        <f>IFERROR(INDEX(tbl_regras_dfr[Fracao_Reciclavel],MATCH(L54&amp;"|Tipo de rótulo|"&amp;AA54,tbl_regras_dfr[Chave],0)),0)</f>
        <v>1</v>
      </c>
      <c r="BC54" s="38">
        <f t="shared" si="24"/>
        <v>54.2</v>
      </c>
      <c r="BD54" s="40">
        <f t="shared" si="25"/>
        <v>0.99852616064848931</v>
      </c>
      <c r="BE54" s="33" t="str">
        <f>IF(BD54&gt;=INDEX(tbl_param_emb[Valor],MATCH("P-06",tbl_param_emb[ID_Parametro],0)),"A",IF(BD54&gt;=INDEX(tbl_param_emb[Valor],MATCH("P-07",tbl_param_emb[ID_Parametro],0)),"B",IF(BD54&gt;=INDEX(tbl_param_emb[Valor],MATCH("P-08",tbl_param_emb[ID_Parametro],0)),"C","&lt; 70%")))</f>
        <v>A</v>
      </c>
      <c r="BF54" s="33" t="str">
        <f>IF(AU54="F","Não reciclável (F)",INDEX({"A","B","C","Abaixo de C"},MAX(MIN(AT54,4),IF(BE54="A",1,IF(BE54="B",2,IF(BE54="C",3,4))))))</f>
        <v>B</v>
      </c>
      <c r="BG54" s="33" t="str">
        <f t="shared" si="26"/>
        <v>—</v>
      </c>
      <c r="BH54" s="33" t="str">
        <f t="shared" si="27"/>
        <v>Sim</v>
      </c>
      <c r="BI54" s="33" t="str">
        <f t="shared" si="28"/>
        <v>Sim</v>
      </c>
      <c r="BJ54" s="36">
        <f>IFERROR(INDEX(tbl_materiais[Pct_PCR],MATCH(J54,tbl_materiais[Material],0)),0)</f>
        <v>0.3</v>
      </c>
      <c r="BK54" s="36">
        <f>IF(V54="",0,IFERROR(INDEX(tbl_tampas[Pct_PCR],MATCH(V54,tbl_tampas[CapId],0)),0))</f>
        <v>0.3</v>
      </c>
      <c r="BL54" s="40">
        <f t="shared" si="29"/>
        <v>0.29999999999999993</v>
      </c>
      <c r="BM54" s="33" t="str">
        <f t="shared" si="30"/>
        <v>Outras embalagens de plástico</v>
      </c>
      <c r="BN54" s="36">
        <f>IFERROR(IF(INDEX(tbl_metas_art7[Meta_2030],MATCH(BM54,tbl_metas_art7[Categoria_Art7],0))="","",INDEX(tbl_metas_art7[Meta_2030],MATCH(BM54,tbl_metas_art7[Categoria_Art7],0))),"")</f>
        <v>0.35</v>
      </c>
      <c r="BO54" s="40">
        <f t="shared" si="31"/>
        <v>5.0000000000000044E-2</v>
      </c>
      <c r="BP54" s="33" t="str">
        <f t="shared" si="32"/>
        <v>Não</v>
      </c>
      <c r="BQ54" s="33" t="str">
        <f t="shared" si="33"/>
        <v>Monomaterial (mesma família)</v>
      </c>
      <c r="BR54" s="37">
        <v>84520</v>
      </c>
      <c r="BS54" s="39">
        <v>9</v>
      </c>
      <c r="BT54" s="26" t="s">
        <v>426</v>
      </c>
      <c r="BU54" s="32">
        <f t="shared" si="34"/>
        <v>2949.748</v>
      </c>
      <c r="BV54" s="31">
        <f>COUNTIFS(tbl_aplicabilidade[ProductId],B54,tbl_aplicabilidade[Aplicavel],"Sim")</f>
        <v>12</v>
      </c>
      <c r="BW54" s="31">
        <f>COUNTIFS(tbl_aplicabilidade[ProductId],B54,tbl_aplicabilidade[Estado_Resumo],"Lacuna")+COUNTIFS(tbl_aplicabilidade[ProductId],B54,tbl_aplicabilidade[Estado_Resumo],"Não conforme")</f>
        <v>1</v>
      </c>
      <c r="BX54" s="41">
        <v>46287</v>
      </c>
      <c r="BY54" s="42">
        <f t="shared" si="35"/>
        <v>46652</v>
      </c>
      <c r="BZ54" s="26" t="s">
        <v>596</v>
      </c>
      <c r="CA54" s="26" t="s">
        <v>597</v>
      </c>
      <c r="CB54" s="26" t="s">
        <v>598</v>
      </c>
    </row>
    <row r="55" spans="1:80" ht="18" customHeight="1" x14ac:dyDescent="0.3">
      <c r="A55" s="26" t="s">
        <v>731</v>
      </c>
      <c r="B55" s="26" t="s">
        <v>732</v>
      </c>
      <c r="C55" s="26" t="s">
        <v>586</v>
      </c>
      <c r="D55" s="26" t="s">
        <v>587</v>
      </c>
      <c r="E55" s="26" t="s">
        <v>588</v>
      </c>
      <c r="F55" s="26" t="s">
        <v>589</v>
      </c>
      <c r="G55" s="26" t="s">
        <v>601</v>
      </c>
      <c r="H55" s="37">
        <v>600</v>
      </c>
      <c r="I55" s="37">
        <v>145</v>
      </c>
      <c r="J55" s="26" t="s">
        <v>229</v>
      </c>
      <c r="K55" s="33" t="str">
        <f>IFERROR(INDEX(tbl_materiais[Polimero_Base],MATCH(J55,tbl_materiais[Material],0)),"")</f>
        <v>PE</v>
      </c>
      <c r="L55" s="33" t="str">
        <f>IFERROR(INDEX(tbl_materiais[Fluxo_Reciclagem],MATCH(J55,tbl_materiais[Material],0)),"")</f>
        <v>PE rígido</v>
      </c>
      <c r="M55" s="33" t="str">
        <f t="shared" si="18"/>
        <v>PE rígido — frascos e contentores (HDPE/LDPE)</v>
      </c>
      <c r="N55" s="26" t="s">
        <v>591</v>
      </c>
      <c r="O55" s="26" t="s">
        <v>283</v>
      </c>
      <c r="P55" s="26" t="s">
        <v>592</v>
      </c>
      <c r="Q55" s="29">
        <v>0.02</v>
      </c>
      <c r="R55" s="35">
        <f>IFERROR(ROUND(INDEX(tbl_materiais[Densidade_g_cm3],MATCH(J55,tbl_materiais[Material],0))+Q55*1.2,3),"")</f>
        <v>0.98399999999999999</v>
      </c>
      <c r="S55" s="26" t="s">
        <v>302</v>
      </c>
      <c r="T55" s="34">
        <v>34.9</v>
      </c>
      <c r="U55" s="26" t="s">
        <v>593</v>
      </c>
      <c r="V55" s="26" t="s">
        <v>455</v>
      </c>
      <c r="W55" s="33" t="str">
        <f>IF(V55="","",IFERROR(INDEX(tbl_tampas[Material],MATCH(V55,tbl_tampas[CapId],0)),""))</f>
        <v>PP-PCR</v>
      </c>
      <c r="X55" s="33" t="str">
        <f>IF(V55="","Sem tampa",IFERROR(INDEX(tbl_materiais[Polimero_Base],MATCH(W55,tbl_materiais[Material],0)),""))</f>
        <v>PP</v>
      </c>
      <c r="Y55" s="38">
        <f>IF(V55="",0,IFERROR(INDEX(tbl_tampas[Massa_g],MATCH(V55,tbl_tampas[CapId],0)),0))</f>
        <v>14.3</v>
      </c>
      <c r="Z55" s="26" t="s">
        <v>319</v>
      </c>
      <c r="AA55" s="26" t="s">
        <v>327</v>
      </c>
      <c r="AB55" s="26" t="s">
        <v>342</v>
      </c>
      <c r="AC55" s="29">
        <v>0.4</v>
      </c>
      <c r="AD55" s="27">
        <v>0.73</v>
      </c>
      <c r="AE55" s="26" t="s">
        <v>604</v>
      </c>
      <c r="AF55" s="26" t="s">
        <v>302</v>
      </c>
      <c r="AG55" s="39">
        <v>0</v>
      </c>
      <c r="AH55" s="33" t="str">
        <f t="shared" si="19"/>
        <v>Nenhuma</v>
      </c>
      <c r="AI55" s="27">
        <v>0</v>
      </c>
      <c r="AJ55" s="33" t="str">
        <f>IFERROR(INDEX(tbl_regras_dfr[Classe],MATCH(L55&amp;"|Fluxo de reciclagem|"&amp;L55,tbl_regras_dfr[Chave],0)),"Sem regra")</f>
        <v>A</v>
      </c>
      <c r="AK55" s="33" t="str">
        <f>IF(LEFT(L55,9)="Sem fluxo","—",IFERROR(INDEX(tbl_regras_dfr[Classe],MATCH(L55&amp;"|Cor do corpo|"&amp;O55,tbl_regras_dfr[Chave],0)),"Sem regra"))</f>
        <v>B</v>
      </c>
      <c r="AL55" s="33" t="str">
        <f>IF(LEFT(L55,9)="Sem fluxo","—",IFERROR(INDEX(tbl_regras_dfr[Classe],MATCH(L55&amp;"|Densidade do corpo|"&amp;IF(R55&lt;1,"&lt; 1,0 g/cm³","≥ 1,0 g/cm³"),tbl_regras_dfr[Chave],0)),"Sem regra"))</f>
        <v>A</v>
      </c>
      <c r="AM55" s="33" t="str">
        <f>IF(LEFT(L55,9)="Sem fluxo","—",IFERROR(INDEX(tbl_regras_dfr[Classe],MATCH(L55&amp;"|Barreira / revestimento|"&amp;S55,tbl_regras_dfr[Chave],0)),"Sem regra"))</f>
        <v>A</v>
      </c>
      <c r="AN55" s="33" t="str">
        <f>IF(LEFT(L55,9)="Sem fluxo","—",IFERROR(INDEX(tbl_regras_dfr[Classe],MATCH(L55&amp;"|Material da tampa|"&amp;X55,tbl_regras_dfr[Chave],0)),"Sem regra"))</f>
        <v>A</v>
      </c>
      <c r="AO55" s="33" t="str">
        <f>IF(LEFT(L55,9)="Sem fluxo","—",IFERROR(INDEX(tbl_regras_dfr[Classe],MATCH(L55&amp;"|Vedante / liner|"&amp;Z55,tbl_regras_dfr[Chave],0)),"Sem regra"))</f>
        <v>A</v>
      </c>
      <c r="AP55" s="33" t="str">
        <f>IF(LEFT(L55,9)="Sem fluxo","—",IFERROR(INDEX(tbl_regras_dfr[Classe],MATCH(L55&amp;"|Tipo de rótulo|"&amp;AA55,tbl_regras_dfr[Chave],0)),"Sem regra"))</f>
        <v>A</v>
      </c>
      <c r="AQ55" s="33" t="str">
        <f>IF(LEFT(L55,9)="Sem fluxo","—",IFERROR(INDEX(tbl_regras_dfr[Classe],MATCH(L55&amp;"|Adesivo do rótulo|"&amp;AB55,tbl_regras_dfr[Chave],0)),"Sem regra"))</f>
        <v>A</v>
      </c>
      <c r="AR55" s="33" t="str">
        <f>IF(LEFT(L55,9)="Sem fluxo","—",IFERROR(INDEX(tbl_regras_dfr[Classe],MATCH(L55&amp;"|Cobertura do rótulo|"&amp;IF(AC55&gt;0.7,"&gt; 70% da superfície","≤ 70% da superfície"),tbl_regras_dfr[Chave],0)),"Sem regra"))</f>
        <v>A</v>
      </c>
      <c r="AS55" s="33" t="str">
        <f>IF(LEFT(L55,9)="Sem fluxo","—",IFERROR(INDEX(tbl_regras_dfr[Classe],MATCH(L55&amp;"|Decoração direta|"&amp;AH55,tbl_regras_dfr[Chave],0)),"Sem regra"))</f>
        <v>A</v>
      </c>
      <c r="AT55" s="31">
        <f t="shared" si="20"/>
        <v>2</v>
      </c>
      <c r="AU55" s="33" t="str">
        <f>IF(AT55=0,"",INDEX({"A","B","C","D","E","F"},AT55))</f>
        <v>B</v>
      </c>
      <c r="AV55" s="31">
        <f t="shared" si="21"/>
        <v>0</v>
      </c>
      <c r="AW55" s="33" t="str">
        <f t="shared" si="22"/>
        <v>Cor</v>
      </c>
      <c r="AX55" s="33" t="str">
        <f>IF(AU55="A","Sem ação — manter o design.",IFERROR(INDEX(tbl_regras_dfr[Recomendacao],MATCH(CHOOSE(MATCH(AU55,AJ55:AS55,0),L55&amp;"|Fluxo de reciclagem|"&amp;L55,L55&amp;"|Cor do corpo|"&amp;O55,L55&amp;"|Densidade do corpo|"&amp;IF(R55&lt;1,"&lt; 1,0 g/cm³","≥ 1,0 g/cm³"),L55&amp;"|Barreira / revestimento|"&amp;S55,L55&amp;"|Material da tampa|"&amp;X55,L55&amp;"|Vedante / liner|"&amp;Z55,L55&amp;"|Tipo de rótulo|"&amp;AA55,L55&amp;"|Adesivo do rótulo|"&amp;AB55,L55&amp;"|Cobertura do rótulo|"&amp;IF(AC55&gt;0.7,"&gt; 70% da superfície","≤ 70% da superfície"),L55&amp;"|Decoração direta|"&amp;AH55),tbl_regras_dfr[Chave],0)),""))</f>
        <v>Preferir natural, branco ou cores claras.</v>
      </c>
      <c r="AY55" s="38">
        <f t="shared" si="23"/>
        <v>49.93</v>
      </c>
      <c r="AZ55" s="36">
        <f>MIN(IFERROR(INDEX(tbl_regras_dfr[Fracao_Reciclavel],MATCH(L55&amp;"|Fluxo de reciclagem|"&amp;L55,tbl_regras_dfr[Chave],0)),0),IFERROR(INDEX(tbl_regras_dfr[Fracao_Reciclavel],MATCH(L55&amp;"|Cor do corpo|"&amp;O55,tbl_regras_dfr[Chave],0)),0))</f>
        <v>1</v>
      </c>
      <c r="BA55" s="36">
        <f>IFERROR(INDEX(tbl_regras_dfr[Fracao_Reciclavel],MATCH(L55&amp;"|Material da tampa|"&amp;X55,tbl_regras_dfr[Chave],0)),0)</f>
        <v>1</v>
      </c>
      <c r="BB55" s="36">
        <f>IFERROR(INDEX(tbl_regras_dfr[Fracao_Reciclavel],MATCH(L55&amp;"|Tipo de rótulo|"&amp;AA55,tbl_regras_dfr[Chave],0)),0)</f>
        <v>1</v>
      </c>
      <c r="BC55" s="38">
        <f t="shared" si="24"/>
        <v>49.93</v>
      </c>
      <c r="BD55" s="40">
        <f t="shared" si="25"/>
        <v>1</v>
      </c>
      <c r="BE55" s="33" t="str">
        <f>IF(BD55&gt;=INDEX(tbl_param_emb[Valor],MATCH("P-06",tbl_param_emb[ID_Parametro],0)),"A",IF(BD55&gt;=INDEX(tbl_param_emb[Valor],MATCH("P-07",tbl_param_emb[ID_Parametro],0)),"B",IF(BD55&gt;=INDEX(tbl_param_emb[Valor],MATCH("P-08",tbl_param_emb[ID_Parametro],0)),"C","&lt; 70%")))</f>
        <v>A</v>
      </c>
      <c r="BF55" s="33" t="str">
        <f>IF(AU55="F","Não reciclável (F)",INDEX({"A","B","C","Abaixo de C"},MAX(MIN(AT55,4),IF(BE55="A",1,IF(BE55="B",2,IF(BE55="C",3,4))))))</f>
        <v>B</v>
      </c>
      <c r="BG55" s="33" t="str">
        <f t="shared" si="26"/>
        <v>—</v>
      </c>
      <c r="BH55" s="33" t="str">
        <f t="shared" si="27"/>
        <v>Sim</v>
      </c>
      <c r="BI55" s="33" t="str">
        <f t="shared" si="28"/>
        <v>Sim</v>
      </c>
      <c r="BJ55" s="36">
        <f>IFERROR(INDEX(tbl_materiais[Pct_PCR],MATCH(J55,tbl_materiais[Material],0)),0)</f>
        <v>0.3</v>
      </c>
      <c r="BK55" s="36">
        <f>IF(V55="",0,IFERROR(INDEX(tbl_tampas[Pct_PCR],MATCH(V55,tbl_tampas[CapId],0)),0))</f>
        <v>0.3</v>
      </c>
      <c r="BL55" s="40">
        <f t="shared" si="29"/>
        <v>0.29999999999999993</v>
      </c>
      <c r="BM55" s="33" t="str">
        <f t="shared" si="30"/>
        <v>Outras embalagens de plástico</v>
      </c>
      <c r="BN55" s="36">
        <f>IFERROR(IF(INDEX(tbl_metas_art7[Meta_2030],MATCH(BM55,tbl_metas_art7[Categoria_Art7],0))="","",INDEX(tbl_metas_art7[Meta_2030],MATCH(BM55,tbl_metas_art7[Categoria_Art7],0))),"")</f>
        <v>0.35</v>
      </c>
      <c r="BO55" s="40">
        <f t="shared" si="31"/>
        <v>5.0000000000000044E-2</v>
      </c>
      <c r="BP55" s="33" t="str">
        <f t="shared" si="32"/>
        <v>Não</v>
      </c>
      <c r="BQ55" s="33" t="str">
        <f t="shared" si="33"/>
        <v>Monomaterial (mesma família)</v>
      </c>
      <c r="BR55" s="37">
        <v>107611</v>
      </c>
      <c r="BS55" s="39">
        <v>10</v>
      </c>
      <c r="BT55" s="26" t="s">
        <v>482</v>
      </c>
      <c r="BU55" s="32">
        <f t="shared" si="34"/>
        <v>3755.6239</v>
      </c>
      <c r="BV55" s="31">
        <f>COUNTIFS(tbl_aplicabilidade[ProductId],B55,tbl_aplicabilidade[Aplicavel],"Sim")</f>
        <v>12</v>
      </c>
      <c r="BW55" s="31">
        <f>COUNTIFS(tbl_aplicabilidade[ProductId],B55,tbl_aplicabilidade[Estado_Resumo],"Lacuna")+COUNTIFS(tbl_aplicabilidade[ProductId],B55,tbl_aplicabilidade[Estado_Resumo],"Não conforme")</f>
        <v>1</v>
      </c>
      <c r="BX55" s="41">
        <v>46287</v>
      </c>
      <c r="BY55" s="42">
        <f t="shared" si="35"/>
        <v>46652</v>
      </c>
      <c r="BZ55" s="26" t="s">
        <v>596</v>
      </c>
      <c r="CA55" s="26" t="s">
        <v>597</v>
      </c>
      <c r="CB55" s="26" t="s">
        <v>598</v>
      </c>
    </row>
    <row r="56" spans="1:80" ht="18" customHeight="1" x14ac:dyDescent="0.3">
      <c r="A56" s="26" t="s">
        <v>733</v>
      </c>
      <c r="B56" s="26" t="s">
        <v>734</v>
      </c>
      <c r="C56" s="26" t="s">
        <v>586</v>
      </c>
      <c r="D56" s="26" t="s">
        <v>587</v>
      </c>
      <c r="E56" s="26" t="s">
        <v>588</v>
      </c>
      <c r="F56" s="26" t="s">
        <v>589</v>
      </c>
      <c r="G56" s="26" t="s">
        <v>636</v>
      </c>
      <c r="H56" s="37">
        <v>600</v>
      </c>
      <c r="I56" s="37">
        <v>145</v>
      </c>
      <c r="J56" s="26" t="s">
        <v>234</v>
      </c>
      <c r="K56" s="33" t="str">
        <f>IFERROR(INDEX(tbl_materiais[Polimero_Base],MATCH(J56,tbl_materiais[Material],0)),"")</f>
        <v>PE</v>
      </c>
      <c r="L56" s="33" t="str">
        <f>IFERROR(INDEX(tbl_materiais[Fluxo_Reciclagem],MATCH(J56,tbl_materiais[Material],0)),"")</f>
        <v>PE rígido</v>
      </c>
      <c r="M56" s="33" t="str">
        <f t="shared" si="18"/>
        <v>PE rígido — frascos e contentores (HDPE/LDPE)</v>
      </c>
      <c r="N56" s="26" t="s">
        <v>591</v>
      </c>
      <c r="O56" s="26" t="s">
        <v>283</v>
      </c>
      <c r="P56" s="26" t="s">
        <v>592</v>
      </c>
      <c r="Q56" s="29">
        <v>0.02</v>
      </c>
      <c r="R56" s="35">
        <f>IFERROR(ROUND(INDEX(tbl_materiais[Densidade_g_cm3],MATCH(J56,tbl_materiais[Material],0))+Q56*1.2,3),"")</f>
        <v>0.94399999999999995</v>
      </c>
      <c r="S56" s="26" t="s">
        <v>302</v>
      </c>
      <c r="T56" s="34">
        <v>34.9</v>
      </c>
      <c r="U56" s="26" t="s">
        <v>593</v>
      </c>
      <c r="V56" s="26" t="s">
        <v>478</v>
      </c>
      <c r="W56" s="33" t="str">
        <f>IF(V56="","",IFERROR(INDEX(tbl_tampas[Material],MATCH(V56,tbl_tampas[CapId],0)),""))</f>
        <v>HDPE</v>
      </c>
      <c r="X56" s="33" t="str">
        <f>IF(V56="","Sem tampa",IFERROR(INDEX(tbl_materiais[Polimero_Base],MATCH(W56,tbl_materiais[Material],0)),""))</f>
        <v>PE</v>
      </c>
      <c r="Y56" s="38">
        <f>IF(V56="",0,IFERROR(INDEX(tbl_tampas[Massa_g],MATCH(V56,tbl_tampas[CapId],0)),0))</f>
        <v>21.4</v>
      </c>
      <c r="Z56" s="26" t="s">
        <v>319</v>
      </c>
      <c r="AA56" s="26" t="s">
        <v>327</v>
      </c>
      <c r="AB56" s="26" t="s">
        <v>342</v>
      </c>
      <c r="AC56" s="29">
        <v>0.4</v>
      </c>
      <c r="AD56" s="27">
        <v>0.73</v>
      </c>
      <c r="AE56" s="26" t="s">
        <v>604</v>
      </c>
      <c r="AF56" s="26" t="s">
        <v>302</v>
      </c>
      <c r="AG56" s="39">
        <v>0</v>
      </c>
      <c r="AH56" s="33" t="str">
        <f t="shared" si="19"/>
        <v>Nenhuma</v>
      </c>
      <c r="AI56" s="27">
        <v>0</v>
      </c>
      <c r="AJ56" s="33" t="str">
        <f>IFERROR(INDEX(tbl_regras_dfr[Classe],MATCH(L56&amp;"|Fluxo de reciclagem|"&amp;L56,tbl_regras_dfr[Chave],0)),"Sem regra")</f>
        <v>A</v>
      </c>
      <c r="AK56" s="33" t="str">
        <f>IF(LEFT(L56,9)="Sem fluxo","—",IFERROR(INDEX(tbl_regras_dfr[Classe],MATCH(L56&amp;"|Cor do corpo|"&amp;O56,tbl_regras_dfr[Chave],0)),"Sem regra"))</f>
        <v>B</v>
      </c>
      <c r="AL56" s="33" t="str">
        <f>IF(LEFT(L56,9)="Sem fluxo","—",IFERROR(INDEX(tbl_regras_dfr[Classe],MATCH(L56&amp;"|Densidade do corpo|"&amp;IF(R56&lt;1,"&lt; 1,0 g/cm³","≥ 1,0 g/cm³"),tbl_regras_dfr[Chave],0)),"Sem regra"))</f>
        <v>A</v>
      </c>
      <c r="AM56" s="33" t="str">
        <f>IF(LEFT(L56,9)="Sem fluxo","—",IFERROR(INDEX(tbl_regras_dfr[Classe],MATCH(L56&amp;"|Barreira / revestimento|"&amp;S56,tbl_regras_dfr[Chave],0)),"Sem regra"))</f>
        <v>A</v>
      </c>
      <c r="AN56" s="33" t="str">
        <f>IF(LEFT(L56,9)="Sem fluxo","—",IFERROR(INDEX(tbl_regras_dfr[Classe],MATCH(L56&amp;"|Material da tampa|"&amp;X56,tbl_regras_dfr[Chave],0)),"Sem regra"))</f>
        <v>A</v>
      </c>
      <c r="AO56" s="33" t="str">
        <f>IF(LEFT(L56,9)="Sem fluxo","—",IFERROR(INDEX(tbl_regras_dfr[Classe],MATCH(L56&amp;"|Vedante / liner|"&amp;Z56,tbl_regras_dfr[Chave],0)),"Sem regra"))</f>
        <v>A</v>
      </c>
      <c r="AP56" s="33" t="str">
        <f>IF(LEFT(L56,9)="Sem fluxo","—",IFERROR(INDEX(tbl_regras_dfr[Classe],MATCH(L56&amp;"|Tipo de rótulo|"&amp;AA56,tbl_regras_dfr[Chave],0)),"Sem regra"))</f>
        <v>A</v>
      </c>
      <c r="AQ56" s="33" t="str">
        <f>IF(LEFT(L56,9)="Sem fluxo","—",IFERROR(INDEX(tbl_regras_dfr[Classe],MATCH(L56&amp;"|Adesivo do rótulo|"&amp;AB56,tbl_regras_dfr[Chave],0)),"Sem regra"))</f>
        <v>A</v>
      </c>
      <c r="AR56" s="33" t="str">
        <f>IF(LEFT(L56,9)="Sem fluxo","—",IFERROR(INDEX(tbl_regras_dfr[Classe],MATCH(L56&amp;"|Cobertura do rótulo|"&amp;IF(AC56&gt;0.7,"&gt; 70% da superfície","≤ 70% da superfície"),tbl_regras_dfr[Chave],0)),"Sem regra"))</f>
        <v>A</v>
      </c>
      <c r="AS56" s="33" t="str">
        <f>IF(LEFT(L56,9)="Sem fluxo","—",IFERROR(INDEX(tbl_regras_dfr[Classe],MATCH(L56&amp;"|Decoração direta|"&amp;AH56,tbl_regras_dfr[Chave],0)),"Sem regra"))</f>
        <v>A</v>
      </c>
      <c r="AT56" s="31">
        <f t="shared" si="20"/>
        <v>2</v>
      </c>
      <c r="AU56" s="33" t="str">
        <f>IF(AT56=0,"",INDEX({"A","B","C","D","E","F"},AT56))</f>
        <v>B</v>
      </c>
      <c r="AV56" s="31">
        <f t="shared" si="21"/>
        <v>0</v>
      </c>
      <c r="AW56" s="33" t="str">
        <f t="shared" si="22"/>
        <v>Cor</v>
      </c>
      <c r="AX56" s="33" t="str">
        <f>IF(AU56="A","Sem ação — manter o design.",IFERROR(INDEX(tbl_regras_dfr[Recomendacao],MATCH(CHOOSE(MATCH(AU56,AJ56:AS56,0),L56&amp;"|Fluxo de reciclagem|"&amp;L56,L56&amp;"|Cor do corpo|"&amp;O56,L56&amp;"|Densidade do corpo|"&amp;IF(R56&lt;1,"&lt; 1,0 g/cm³","≥ 1,0 g/cm³"),L56&amp;"|Barreira / revestimento|"&amp;S56,L56&amp;"|Material da tampa|"&amp;X56,L56&amp;"|Vedante / liner|"&amp;Z56,L56&amp;"|Tipo de rótulo|"&amp;AA56,L56&amp;"|Adesivo do rótulo|"&amp;AB56,L56&amp;"|Cobertura do rótulo|"&amp;IF(AC56&gt;0.7,"&gt; 70% da superfície","≤ 70% da superfície"),L56&amp;"|Decoração direta|"&amp;AH56),tbl_regras_dfr[Chave],0)),""))</f>
        <v>Preferir natural, branco ou cores claras.</v>
      </c>
      <c r="AY56" s="38">
        <f t="shared" si="23"/>
        <v>57.029999999999994</v>
      </c>
      <c r="AZ56" s="36">
        <f>MIN(IFERROR(INDEX(tbl_regras_dfr[Fracao_Reciclavel],MATCH(L56&amp;"|Fluxo de reciclagem|"&amp;L56,tbl_regras_dfr[Chave],0)),0),IFERROR(INDEX(tbl_regras_dfr[Fracao_Reciclavel],MATCH(L56&amp;"|Cor do corpo|"&amp;O56,tbl_regras_dfr[Chave],0)),0))</f>
        <v>1</v>
      </c>
      <c r="BA56" s="36">
        <f>IFERROR(INDEX(tbl_regras_dfr[Fracao_Reciclavel],MATCH(L56&amp;"|Material da tampa|"&amp;X56,tbl_regras_dfr[Chave],0)),0)</f>
        <v>1</v>
      </c>
      <c r="BB56" s="36">
        <f>IFERROR(INDEX(tbl_regras_dfr[Fracao_Reciclavel],MATCH(L56&amp;"|Tipo de rótulo|"&amp;AA56,tbl_regras_dfr[Chave],0)),0)</f>
        <v>1</v>
      </c>
      <c r="BC56" s="38">
        <f t="shared" si="24"/>
        <v>57.029999999999994</v>
      </c>
      <c r="BD56" s="40">
        <f t="shared" si="25"/>
        <v>1</v>
      </c>
      <c r="BE56" s="33" t="str">
        <f>IF(BD56&gt;=INDEX(tbl_param_emb[Valor],MATCH("P-06",tbl_param_emb[ID_Parametro],0)),"A",IF(BD56&gt;=INDEX(tbl_param_emb[Valor],MATCH("P-07",tbl_param_emb[ID_Parametro],0)),"B",IF(BD56&gt;=INDEX(tbl_param_emb[Valor],MATCH("P-08",tbl_param_emb[ID_Parametro],0)),"C","&lt; 70%")))</f>
        <v>A</v>
      </c>
      <c r="BF56" s="33" t="str">
        <f>IF(AU56="F","Não reciclável (F)",INDEX({"A","B","C","Abaixo de C"},MAX(MIN(AT56,4),IF(BE56="A",1,IF(BE56="B",2,IF(BE56="C",3,4))))))</f>
        <v>B</v>
      </c>
      <c r="BG56" s="33" t="str">
        <f t="shared" si="26"/>
        <v>—</v>
      </c>
      <c r="BH56" s="33" t="str">
        <f t="shared" si="27"/>
        <v>Sim</v>
      </c>
      <c r="BI56" s="33" t="str">
        <f t="shared" si="28"/>
        <v>Sim</v>
      </c>
      <c r="BJ56" s="36">
        <f>IFERROR(INDEX(tbl_materiais[Pct_PCR],MATCH(J56,tbl_materiais[Material],0)),0)</f>
        <v>0</v>
      </c>
      <c r="BK56" s="36">
        <f>IF(V56="",0,IFERROR(INDEX(tbl_tampas[Pct_PCR],MATCH(V56,tbl_tampas[CapId],0)),0))</f>
        <v>0</v>
      </c>
      <c r="BL56" s="40">
        <f t="shared" si="29"/>
        <v>0</v>
      </c>
      <c r="BM56" s="33" t="str">
        <f t="shared" si="30"/>
        <v>Outras embalagens de plástico</v>
      </c>
      <c r="BN56" s="36">
        <f>IFERROR(IF(INDEX(tbl_metas_art7[Meta_2030],MATCH(BM56,tbl_metas_art7[Categoria_Art7],0))="","",INDEX(tbl_metas_art7[Meta_2030],MATCH(BM56,tbl_metas_art7[Categoria_Art7],0))),"")</f>
        <v>0.35</v>
      </c>
      <c r="BO56" s="40">
        <f t="shared" si="31"/>
        <v>0.35</v>
      </c>
      <c r="BP56" s="33" t="str">
        <f t="shared" si="32"/>
        <v>Não</v>
      </c>
      <c r="BQ56" s="33" t="str">
        <f t="shared" si="33"/>
        <v>Monomaterial (mesma família)</v>
      </c>
      <c r="BR56" s="37">
        <v>52663</v>
      </c>
      <c r="BS56" s="39">
        <v>7</v>
      </c>
      <c r="BT56" s="26" t="s">
        <v>686</v>
      </c>
      <c r="BU56" s="32">
        <f t="shared" si="34"/>
        <v>1837.9386999999999</v>
      </c>
      <c r="BV56" s="31">
        <f>COUNTIFS(tbl_aplicabilidade[ProductId],B56,tbl_aplicabilidade[Aplicavel],"Sim")</f>
        <v>12</v>
      </c>
      <c r="BW56" s="31">
        <f>COUNTIFS(tbl_aplicabilidade[ProductId],B56,tbl_aplicabilidade[Estado_Resumo],"Lacuna")+COUNTIFS(tbl_aplicabilidade[ProductId],B56,tbl_aplicabilidade[Estado_Resumo],"Não conforme")</f>
        <v>1</v>
      </c>
      <c r="BX56" s="41">
        <v>46287</v>
      </c>
      <c r="BY56" s="42">
        <f t="shared" si="35"/>
        <v>46652</v>
      </c>
      <c r="BZ56" s="26" t="s">
        <v>596</v>
      </c>
      <c r="CA56" s="26" t="s">
        <v>597</v>
      </c>
      <c r="CB56" s="26" t="s">
        <v>598</v>
      </c>
    </row>
    <row r="57" spans="1:80" ht="18" customHeight="1" x14ac:dyDescent="0.3">
      <c r="A57" s="26" t="s">
        <v>735</v>
      </c>
      <c r="B57" s="26" t="s">
        <v>736</v>
      </c>
      <c r="C57" s="26" t="s">
        <v>586</v>
      </c>
      <c r="D57" s="26" t="s">
        <v>587</v>
      </c>
      <c r="E57" s="26" t="s">
        <v>588</v>
      </c>
      <c r="F57" s="26" t="s">
        <v>589</v>
      </c>
      <c r="G57" s="26" t="s">
        <v>696</v>
      </c>
      <c r="H57" s="37">
        <v>600</v>
      </c>
      <c r="I57" s="37">
        <v>145</v>
      </c>
      <c r="J57" s="26" t="s">
        <v>232</v>
      </c>
      <c r="K57" s="33" t="str">
        <f>IFERROR(INDEX(tbl_materiais[Polimero_Base],MATCH(J57,tbl_materiais[Material],0)),"")</f>
        <v>PE</v>
      </c>
      <c r="L57" s="33" t="str">
        <f>IFERROR(INDEX(tbl_materiais[Fluxo_Reciclagem],MATCH(J57,tbl_materiais[Material],0)),"")</f>
        <v>PE rígido</v>
      </c>
      <c r="M57" s="33" t="str">
        <f t="shared" si="18"/>
        <v>PE rígido — frascos e contentores (HDPE/LDPE)</v>
      </c>
      <c r="N57" s="26" t="s">
        <v>656</v>
      </c>
      <c r="O57" s="26" t="s">
        <v>283</v>
      </c>
      <c r="P57" s="26" t="s">
        <v>657</v>
      </c>
      <c r="Q57" s="29">
        <v>0.02</v>
      </c>
      <c r="R57" s="35">
        <f>IFERROR(ROUND(INDEX(tbl_materiais[Densidade_g_cm3],MATCH(J57,tbl_materiais[Material],0))+Q57*1.2,3),"")</f>
        <v>0.95899999999999996</v>
      </c>
      <c r="S57" s="26" t="s">
        <v>302</v>
      </c>
      <c r="T57" s="34">
        <v>34.9</v>
      </c>
      <c r="U57" s="26" t="s">
        <v>593</v>
      </c>
      <c r="V57" s="26" t="s">
        <v>478</v>
      </c>
      <c r="W57" s="33" t="str">
        <f>IF(V57="","",IFERROR(INDEX(tbl_tampas[Material],MATCH(V57,tbl_tampas[CapId],0)),""))</f>
        <v>HDPE</v>
      </c>
      <c r="X57" s="33" t="str">
        <f>IF(V57="","Sem tampa",IFERROR(INDEX(tbl_materiais[Polimero_Base],MATCH(W57,tbl_materiais[Material],0)),""))</f>
        <v>PE</v>
      </c>
      <c r="Y57" s="38">
        <f>IF(V57="",0,IFERROR(INDEX(tbl_tampas[Massa_g],MATCH(V57,tbl_tampas[CapId],0)),0))</f>
        <v>21.4</v>
      </c>
      <c r="Z57" s="26" t="s">
        <v>319</v>
      </c>
      <c r="AA57" s="26" t="s">
        <v>326</v>
      </c>
      <c r="AB57" s="26" t="s">
        <v>340</v>
      </c>
      <c r="AC57" s="29">
        <v>0</v>
      </c>
      <c r="AD57" s="27">
        <v>0</v>
      </c>
      <c r="AE57" s="26" t="s">
        <v>594</v>
      </c>
      <c r="AF57" s="26" t="s">
        <v>359</v>
      </c>
      <c r="AG57" s="39">
        <v>1</v>
      </c>
      <c r="AH57" s="33" t="str">
        <f t="shared" si="19"/>
        <v>Hot foil metalizado</v>
      </c>
      <c r="AI57" s="27">
        <v>0.03</v>
      </c>
      <c r="AJ57" s="33" t="str">
        <f>IFERROR(INDEX(tbl_regras_dfr[Classe],MATCH(L57&amp;"|Fluxo de reciclagem|"&amp;L57,tbl_regras_dfr[Chave],0)),"Sem regra")</f>
        <v>A</v>
      </c>
      <c r="AK57" s="33" t="str">
        <f>IF(LEFT(L57,9)="Sem fluxo","—",IFERROR(INDEX(tbl_regras_dfr[Classe],MATCH(L57&amp;"|Cor do corpo|"&amp;O57,tbl_regras_dfr[Chave],0)),"Sem regra"))</f>
        <v>B</v>
      </c>
      <c r="AL57" s="33" t="str">
        <f>IF(LEFT(L57,9)="Sem fluxo","—",IFERROR(INDEX(tbl_regras_dfr[Classe],MATCH(L57&amp;"|Densidade do corpo|"&amp;IF(R57&lt;1,"&lt; 1,0 g/cm³","≥ 1,0 g/cm³"),tbl_regras_dfr[Chave],0)),"Sem regra"))</f>
        <v>A</v>
      </c>
      <c r="AM57" s="33" t="str">
        <f>IF(LEFT(L57,9)="Sem fluxo","—",IFERROR(INDEX(tbl_regras_dfr[Classe],MATCH(L57&amp;"|Barreira / revestimento|"&amp;S57,tbl_regras_dfr[Chave],0)),"Sem regra"))</f>
        <v>A</v>
      </c>
      <c r="AN57" s="33" t="str">
        <f>IF(LEFT(L57,9)="Sem fluxo","—",IFERROR(INDEX(tbl_regras_dfr[Classe],MATCH(L57&amp;"|Material da tampa|"&amp;X57,tbl_regras_dfr[Chave],0)),"Sem regra"))</f>
        <v>A</v>
      </c>
      <c r="AO57" s="33" t="str">
        <f>IF(LEFT(L57,9)="Sem fluxo","—",IFERROR(INDEX(tbl_regras_dfr[Classe],MATCH(L57&amp;"|Vedante / liner|"&amp;Z57,tbl_regras_dfr[Chave],0)),"Sem regra"))</f>
        <v>A</v>
      </c>
      <c r="AP57" s="33" t="str">
        <f>IF(LEFT(L57,9)="Sem fluxo","—",IFERROR(INDEX(tbl_regras_dfr[Classe],MATCH(L57&amp;"|Tipo de rótulo|"&amp;AA57,tbl_regras_dfr[Chave],0)),"Sem regra"))</f>
        <v>A</v>
      </c>
      <c r="AQ57" s="33" t="str">
        <f>IF(LEFT(L57,9)="Sem fluxo","—",IFERROR(INDEX(tbl_regras_dfr[Classe],MATCH(L57&amp;"|Adesivo do rótulo|"&amp;AB57,tbl_regras_dfr[Chave],0)),"Sem regra"))</f>
        <v>A</v>
      </c>
      <c r="AR57" s="33" t="str">
        <f>IF(LEFT(L57,9)="Sem fluxo","—",IFERROR(INDEX(tbl_regras_dfr[Classe],MATCH(L57&amp;"|Cobertura do rótulo|"&amp;IF(AC57&gt;0.7,"&gt; 70% da superfície","≤ 70% da superfície"),tbl_regras_dfr[Chave],0)),"Sem regra"))</f>
        <v>A</v>
      </c>
      <c r="AS57" s="33" t="str">
        <f>IF(LEFT(L57,9)="Sem fluxo","—",IFERROR(INDEX(tbl_regras_dfr[Classe],MATCH(L57&amp;"|Decoração direta|"&amp;AH57,tbl_regras_dfr[Chave],0)),"Sem regra"))</f>
        <v>C</v>
      </c>
      <c r="AT57" s="31">
        <f t="shared" si="20"/>
        <v>3</v>
      </c>
      <c r="AU57" s="33" t="str">
        <f>IF(AT57=0,"",INDEX({"A","B","C","D","E","F"},AT57))</f>
        <v>C</v>
      </c>
      <c r="AV57" s="31">
        <f t="shared" si="21"/>
        <v>0</v>
      </c>
      <c r="AW57" s="33" t="str">
        <f t="shared" si="22"/>
        <v>Decoracao</v>
      </c>
      <c r="AX57" s="33" t="str">
        <f>IF(AU57="A","Sem ação — manter o design.",IFERROR(INDEX(tbl_regras_dfr[Recomendacao],MATCH(CHOOSE(MATCH(AU57,AJ57:AS57,0),L57&amp;"|Fluxo de reciclagem|"&amp;L57,L57&amp;"|Cor do corpo|"&amp;O57,L57&amp;"|Densidade do corpo|"&amp;IF(R57&lt;1,"&lt; 1,0 g/cm³","≥ 1,0 g/cm³"),L57&amp;"|Barreira / revestimento|"&amp;S57,L57&amp;"|Material da tampa|"&amp;X57,L57&amp;"|Vedante / liner|"&amp;Z57,L57&amp;"|Tipo de rótulo|"&amp;AA57,L57&amp;"|Adesivo do rótulo|"&amp;AB57,L57&amp;"|Cobertura do rótulo|"&amp;IF(AC57&gt;0.7,"&gt; 70% da superfície","≤ 70% da superfície"),L57&amp;"|Decoração direta|"&amp;AH57),tbl_regras_dfr[Chave],0)),""))</f>
        <v>Reduzir a área de hot foil ou usar rótulo metalizado destacável.</v>
      </c>
      <c r="AY57" s="38">
        <f t="shared" si="23"/>
        <v>56.33</v>
      </c>
      <c r="AZ57" s="36">
        <f>MIN(IFERROR(INDEX(tbl_regras_dfr[Fracao_Reciclavel],MATCH(L57&amp;"|Fluxo de reciclagem|"&amp;L57,tbl_regras_dfr[Chave],0)),0),IFERROR(INDEX(tbl_regras_dfr[Fracao_Reciclavel],MATCH(L57&amp;"|Cor do corpo|"&amp;O57,tbl_regras_dfr[Chave],0)),0))</f>
        <v>1</v>
      </c>
      <c r="BA57" s="36">
        <f>IFERROR(INDEX(tbl_regras_dfr[Fracao_Reciclavel],MATCH(L57&amp;"|Material da tampa|"&amp;X57,tbl_regras_dfr[Chave],0)),0)</f>
        <v>1</v>
      </c>
      <c r="BB57" s="36">
        <f>IFERROR(INDEX(tbl_regras_dfr[Fracao_Reciclavel],MATCH(L57&amp;"|Tipo de rótulo|"&amp;AA57,tbl_regras_dfr[Chave],0)),0)</f>
        <v>1</v>
      </c>
      <c r="BC57" s="38">
        <f t="shared" si="24"/>
        <v>56.3</v>
      </c>
      <c r="BD57" s="40">
        <f t="shared" si="25"/>
        <v>0.99946742410793532</v>
      </c>
      <c r="BE57" s="33" t="str">
        <f>IF(BD57&gt;=INDEX(tbl_param_emb[Valor],MATCH("P-06",tbl_param_emb[ID_Parametro],0)),"A",IF(BD57&gt;=INDEX(tbl_param_emb[Valor],MATCH("P-07",tbl_param_emb[ID_Parametro],0)),"B",IF(BD57&gt;=INDEX(tbl_param_emb[Valor],MATCH("P-08",tbl_param_emb[ID_Parametro],0)),"C","&lt; 70%")))</f>
        <v>A</v>
      </c>
      <c r="BF57" s="33" t="str">
        <f>IF(AU57="F","Não reciclável (F)",INDEX({"A","B","C","Abaixo de C"},MAX(MIN(AT57,4),IF(BE57="A",1,IF(BE57="B",2,IF(BE57="C",3,4))))))</f>
        <v>C</v>
      </c>
      <c r="BG57" s="33" t="str">
        <f t="shared" si="26"/>
        <v>—</v>
      </c>
      <c r="BH57" s="33" t="str">
        <f t="shared" si="27"/>
        <v>Sim</v>
      </c>
      <c r="BI57" s="33" t="str">
        <f t="shared" si="28"/>
        <v>Não</v>
      </c>
      <c r="BJ57" s="36">
        <f>IFERROR(INDEX(tbl_materiais[Pct_PCR],MATCH(J57,tbl_materiais[Material],0)),0)</f>
        <v>0</v>
      </c>
      <c r="BK57" s="36">
        <f>IF(V57="",0,IFERROR(INDEX(tbl_tampas[Pct_PCR],MATCH(V57,tbl_tampas[CapId],0)),0))</f>
        <v>0</v>
      </c>
      <c r="BL57" s="40">
        <f t="shared" si="29"/>
        <v>0</v>
      </c>
      <c r="BM57" s="33" t="str">
        <f t="shared" si="30"/>
        <v>Outras embalagens de plástico</v>
      </c>
      <c r="BN57" s="36">
        <f>IFERROR(IF(INDEX(tbl_metas_art7[Meta_2030],MATCH(BM57,tbl_metas_art7[Categoria_Art7],0))="","",INDEX(tbl_metas_art7[Meta_2030],MATCH(BM57,tbl_metas_art7[Categoria_Art7],0))),"")</f>
        <v>0.35</v>
      </c>
      <c r="BO57" s="40">
        <f t="shared" si="31"/>
        <v>0.35</v>
      </c>
      <c r="BP57" s="33" t="str">
        <f t="shared" si="32"/>
        <v>Não</v>
      </c>
      <c r="BQ57" s="33" t="str">
        <f t="shared" si="33"/>
        <v>Monomaterial (mesma família)</v>
      </c>
      <c r="BR57" s="37">
        <v>36396</v>
      </c>
      <c r="BS57" s="39">
        <v>5</v>
      </c>
      <c r="BT57" s="26" t="s">
        <v>737</v>
      </c>
      <c r="BU57" s="32">
        <f t="shared" si="34"/>
        <v>1270.2203999999999</v>
      </c>
      <c r="BV57" s="31">
        <f>COUNTIFS(tbl_aplicabilidade[ProductId],B57,tbl_aplicabilidade[Aplicavel],"Sim")</f>
        <v>12</v>
      </c>
      <c r="BW57" s="31">
        <f>COUNTIFS(tbl_aplicabilidade[ProductId],B57,tbl_aplicabilidade[Estado_Resumo],"Lacuna")+COUNTIFS(tbl_aplicabilidade[ProductId],B57,tbl_aplicabilidade[Estado_Resumo],"Não conforme")</f>
        <v>1</v>
      </c>
      <c r="BX57" s="41">
        <v>46287</v>
      </c>
      <c r="BY57" s="42">
        <f t="shared" si="35"/>
        <v>46652</v>
      </c>
      <c r="BZ57" s="26" t="s">
        <v>596</v>
      </c>
      <c r="CA57" s="26" t="s">
        <v>597</v>
      </c>
      <c r="CB57" s="26" t="s">
        <v>598</v>
      </c>
    </row>
    <row r="58" spans="1:80" ht="18" customHeight="1" x14ac:dyDescent="0.3">
      <c r="A58" s="26" t="s">
        <v>738</v>
      </c>
      <c r="B58" s="26" t="s">
        <v>739</v>
      </c>
      <c r="C58" s="26" t="s">
        <v>586</v>
      </c>
      <c r="D58" s="26" t="s">
        <v>587</v>
      </c>
      <c r="E58" s="26" t="s">
        <v>588</v>
      </c>
      <c r="F58" s="26" t="s">
        <v>589</v>
      </c>
      <c r="G58" s="26" t="s">
        <v>641</v>
      </c>
      <c r="H58" s="37">
        <v>600</v>
      </c>
      <c r="I58" s="37">
        <v>145</v>
      </c>
      <c r="J58" s="26" t="s">
        <v>249</v>
      </c>
      <c r="K58" s="33" t="str">
        <f>IFERROR(INDEX(tbl_materiais[Polimero_Base],MATCH(J58,tbl_materiais[Material],0)),"")</f>
        <v>PET</v>
      </c>
      <c r="L58" s="33" t="str">
        <f>IFERROR(INDEX(tbl_materiais[Fluxo_Reciclagem],MATCH(J58,tbl_materiais[Material],0)),"")</f>
        <v>PET frascos e garrafas</v>
      </c>
      <c r="M58" s="33" t="str">
        <f t="shared" si="18"/>
        <v>PET — garrafas/frascos transparentes incolores</v>
      </c>
      <c r="N58" s="26" t="s">
        <v>610</v>
      </c>
      <c r="O58" s="26" t="s">
        <v>279</v>
      </c>
      <c r="P58" s="26" t="s">
        <v>611</v>
      </c>
      <c r="Q58" s="29">
        <v>0</v>
      </c>
      <c r="R58" s="35">
        <f>IFERROR(ROUND(INDEX(tbl_materiais[Densidade_g_cm3],MATCH(J58,tbl_materiais[Material],0))+Q58*1.2,3),"")</f>
        <v>1.38</v>
      </c>
      <c r="S58" s="26" t="s">
        <v>302</v>
      </c>
      <c r="T58" s="34">
        <v>34.9</v>
      </c>
      <c r="U58" s="26" t="s">
        <v>593</v>
      </c>
      <c r="V58" s="26" t="s">
        <v>473</v>
      </c>
      <c r="W58" s="33" t="str">
        <f>IF(V58="","",IFERROR(INDEX(tbl_tampas[Material],MATCH(V58,tbl_tampas[CapId],0)),""))</f>
        <v>PP</v>
      </c>
      <c r="X58" s="33" t="str">
        <f>IF(V58="","Sem tampa",IFERROR(INDEX(tbl_materiais[Polimero_Base],MATCH(W58,tbl_materiais[Material],0)),""))</f>
        <v>PP</v>
      </c>
      <c r="Y58" s="38">
        <f>IF(V58="",0,IFERROR(INDEX(tbl_tampas[Massa_g],MATCH(V58,tbl_tampas[CapId],0)),0))</f>
        <v>19.3</v>
      </c>
      <c r="Z58" s="26" t="s">
        <v>319</v>
      </c>
      <c r="AA58" s="26" t="s">
        <v>327</v>
      </c>
      <c r="AB58" s="26" t="s">
        <v>343</v>
      </c>
      <c r="AC58" s="29">
        <v>0.4</v>
      </c>
      <c r="AD58" s="27">
        <v>0.73</v>
      </c>
      <c r="AE58" s="26" t="s">
        <v>604</v>
      </c>
      <c r="AF58" s="26" t="s">
        <v>302</v>
      </c>
      <c r="AG58" s="39">
        <v>0</v>
      </c>
      <c r="AH58" s="33" t="str">
        <f t="shared" si="19"/>
        <v>Nenhuma</v>
      </c>
      <c r="AI58" s="27">
        <v>0</v>
      </c>
      <c r="AJ58" s="33" t="str">
        <f>IFERROR(INDEX(tbl_regras_dfr[Classe],MATCH(L58&amp;"|Fluxo de reciclagem|"&amp;L58,tbl_regras_dfr[Chave],0)),"Sem regra")</f>
        <v>A</v>
      </c>
      <c r="AK58" s="33" t="str">
        <f>IF(LEFT(L58,9)="Sem fluxo","—",IFERROR(INDEX(tbl_regras_dfr[Classe],MATCH(L58&amp;"|Cor do corpo|"&amp;O58,tbl_regras_dfr[Chave],0)),"Sem regra"))</f>
        <v>A</v>
      </c>
      <c r="AL58" s="33" t="str">
        <f>IF(LEFT(L58,9)="Sem fluxo","—",IFERROR(INDEX(tbl_regras_dfr[Classe],MATCH(L58&amp;"|Densidade do corpo|"&amp;IF(R58&lt;1,"&lt; 1,0 g/cm³","≥ 1,0 g/cm³"),tbl_regras_dfr[Chave],0)),"Sem regra"))</f>
        <v>A</v>
      </c>
      <c r="AM58" s="33" t="str">
        <f>IF(LEFT(L58,9)="Sem fluxo","—",IFERROR(INDEX(tbl_regras_dfr[Classe],MATCH(L58&amp;"|Barreira / revestimento|"&amp;S58,tbl_regras_dfr[Chave],0)),"Sem regra"))</f>
        <v>A</v>
      </c>
      <c r="AN58" s="33" t="str">
        <f>IF(LEFT(L58,9)="Sem fluxo","—",IFERROR(INDEX(tbl_regras_dfr[Classe],MATCH(L58&amp;"|Material da tampa|"&amp;X58,tbl_regras_dfr[Chave],0)),"Sem regra"))</f>
        <v>A</v>
      </c>
      <c r="AO58" s="33" t="str">
        <f>IF(LEFT(L58,9)="Sem fluxo","—",IFERROR(INDEX(tbl_regras_dfr[Classe],MATCH(L58&amp;"|Vedante / liner|"&amp;Z58,tbl_regras_dfr[Chave],0)),"Sem regra"))</f>
        <v>A</v>
      </c>
      <c r="AP58" s="33" t="str">
        <f>IF(LEFT(L58,9)="Sem fluxo","—",IFERROR(INDEX(tbl_regras_dfr[Classe],MATCH(L58&amp;"|Tipo de rótulo|"&amp;AA58,tbl_regras_dfr[Chave],0)),"Sem regra"))</f>
        <v>A</v>
      </c>
      <c r="AQ58" s="33" t="str">
        <f>IF(LEFT(L58,9)="Sem fluxo","—",IFERROR(INDEX(tbl_regras_dfr[Classe],MATCH(L58&amp;"|Adesivo do rótulo|"&amp;AB58,tbl_regras_dfr[Chave],0)),"Sem regra"))</f>
        <v>A</v>
      </c>
      <c r="AR58" s="33" t="str">
        <f>IF(LEFT(L58,9)="Sem fluxo","—",IFERROR(INDEX(tbl_regras_dfr[Classe],MATCH(L58&amp;"|Cobertura do rótulo|"&amp;IF(AC58&gt;0.7,"&gt; 70% da superfície","≤ 70% da superfície"),tbl_regras_dfr[Chave],0)),"Sem regra"))</f>
        <v>A</v>
      </c>
      <c r="AS58" s="33" t="str">
        <f>IF(LEFT(L58,9)="Sem fluxo","—",IFERROR(INDEX(tbl_regras_dfr[Classe],MATCH(L58&amp;"|Decoração direta|"&amp;AH58,tbl_regras_dfr[Chave],0)),"Sem regra"))</f>
        <v>A</v>
      </c>
      <c r="AT58" s="31">
        <f t="shared" si="20"/>
        <v>1</v>
      </c>
      <c r="AU58" s="33" t="str">
        <f>IF(AT58=0,"",INDEX({"A","B","C","D","E","F"},AT58))</f>
        <v>A</v>
      </c>
      <c r="AV58" s="31">
        <f t="shared" si="21"/>
        <v>0</v>
      </c>
      <c r="AW58" s="33" t="str">
        <f t="shared" si="22"/>
        <v>—</v>
      </c>
      <c r="AX58" s="33" t="str">
        <f>IF(AU58="A","Sem ação — manter o design.",IFERROR(INDEX(tbl_regras_dfr[Recomendacao],MATCH(CHOOSE(MATCH(AU58,AJ58:AS58,0),L58&amp;"|Fluxo de reciclagem|"&amp;L58,L58&amp;"|Cor do corpo|"&amp;O58,L58&amp;"|Densidade do corpo|"&amp;IF(R58&lt;1,"&lt; 1,0 g/cm³","≥ 1,0 g/cm³"),L58&amp;"|Barreira / revestimento|"&amp;S58,L58&amp;"|Material da tampa|"&amp;X58,L58&amp;"|Vedante / liner|"&amp;Z58,L58&amp;"|Tipo de rótulo|"&amp;AA58,L58&amp;"|Adesivo do rótulo|"&amp;AB58,L58&amp;"|Cobertura do rótulo|"&amp;IF(AC58&gt;0.7,"&gt; 70% da superfície","≤ 70% da superfície"),L58&amp;"|Decoração direta|"&amp;AH58),tbl_regras_dfr[Chave],0)),""))</f>
        <v>Sem ação — manter o design.</v>
      </c>
      <c r="AY58" s="38">
        <f t="shared" si="23"/>
        <v>54.93</v>
      </c>
      <c r="AZ58" s="36">
        <f>MIN(IFERROR(INDEX(tbl_regras_dfr[Fracao_Reciclavel],MATCH(L58&amp;"|Fluxo de reciclagem|"&amp;L58,tbl_regras_dfr[Chave],0)),0),IFERROR(INDEX(tbl_regras_dfr[Fracao_Reciclavel],MATCH(L58&amp;"|Cor do corpo|"&amp;O58,tbl_regras_dfr[Chave],0)),0))</f>
        <v>1</v>
      </c>
      <c r="BA58" s="36">
        <f>IFERROR(INDEX(tbl_regras_dfr[Fracao_Reciclavel],MATCH(L58&amp;"|Material da tampa|"&amp;X58,tbl_regras_dfr[Chave],0)),0)</f>
        <v>1</v>
      </c>
      <c r="BB58" s="36">
        <f>IFERROR(INDEX(tbl_regras_dfr[Fracao_Reciclavel],MATCH(L58&amp;"|Tipo de rótulo|"&amp;AA58,tbl_regras_dfr[Chave],0)),0)</f>
        <v>1</v>
      </c>
      <c r="BC58" s="38">
        <f t="shared" si="24"/>
        <v>54.93</v>
      </c>
      <c r="BD58" s="40">
        <f t="shared" si="25"/>
        <v>1</v>
      </c>
      <c r="BE58" s="33" t="str">
        <f>IF(BD58&gt;=INDEX(tbl_param_emb[Valor],MATCH("P-06",tbl_param_emb[ID_Parametro],0)),"A",IF(BD58&gt;=INDEX(tbl_param_emb[Valor],MATCH("P-07",tbl_param_emb[ID_Parametro],0)),"B",IF(BD58&gt;=INDEX(tbl_param_emb[Valor],MATCH("P-08",tbl_param_emb[ID_Parametro],0)),"C","&lt; 70%")))</f>
        <v>A</v>
      </c>
      <c r="BF58" s="33" t="str">
        <f>IF(AU58="F","Não reciclável (F)",INDEX({"A","B","C","Abaixo de C"},MAX(MIN(AT58,4),IF(BE58="A",1,IF(BE58="B",2,IF(BE58="C",3,4))))))</f>
        <v>A</v>
      </c>
      <c r="BG58" s="33" t="str">
        <f t="shared" si="26"/>
        <v>—</v>
      </c>
      <c r="BH58" s="33" t="str">
        <f t="shared" si="27"/>
        <v>Sim</v>
      </c>
      <c r="BI58" s="33" t="str">
        <f t="shared" si="28"/>
        <v>Sim</v>
      </c>
      <c r="BJ58" s="36">
        <f>IFERROR(INDEX(tbl_materiais[Pct_PCR],MATCH(J58,tbl_materiais[Material],0)),0)</f>
        <v>0</v>
      </c>
      <c r="BK58" s="36">
        <f>IF(V58="",0,IFERROR(INDEX(tbl_tampas[Pct_PCR],MATCH(V58,tbl_tampas[CapId],0)),0))</f>
        <v>0</v>
      </c>
      <c r="BL58" s="40">
        <f t="shared" si="29"/>
        <v>0</v>
      </c>
      <c r="BM58" s="33" t="str">
        <f t="shared" si="30"/>
        <v>Outras embalagens de plástico</v>
      </c>
      <c r="BN58" s="36">
        <f>IFERROR(IF(INDEX(tbl_metas_art7[Meta_2030],MATCH(BM58,tbl_metas_art7[Categoria_Art7],0))="","",INDEX(tbl_metas_art7[Meta_2030],MATCH(BM58,tbl_metas_art7[Categoria_Art7],0))),"")</f>
        <v>0.35</v>
      </c>
      <c r="BO58" s="40">
        <f t="shared" si="31"/>
        <v>0.35</v>
      </c>
      <c r="BP58" s="33" t="str">
        <f t="shared" si="32"/>
        <v>Não</v>
      </c>
      <c r="BQ58" s="33" t="str">
        <f t="shared" si="33"/>
        <v>Multimaterial</v>
      </c>
      <c r="BR58" s="37">
        <v>36103</v>
      </c>
      <c r="BS58" s="39">
        <v>6</v>
      </c>
      <c r="BT58" s="26" t="s">
        <v>501</v>
      </c>
      <c r="BU58" s="32">
        <f t="shared" si="34"/>
        <v>1259.9947</v>
      </c>
      <c r="BV58" s="31">
        <f>COUNTIFS(tbl_aplicabilidade[ProductId],B58,tbl_aplicabilidade[Aplicavel],"Sim")</f>
        <v>12</v>
      </c>
      <c r="BW58" s="31">
        <f>COUNTIFS(tbl_aplicabilidade[ProductId],B58,tbl_aplicabilidade[Estado_Resumo],"Lacuna")+COUNTIFS(tbl_aplicabilidade[ProductId],B58,tbl_aplicabilidade[Estado_Resumo],"Não conforme")</f>
        <v>1</v>
      </c>
      <c r="BX58" s="41">
        <v>46287</v>
      </c>
      <c r="BY58" s="42">
        <f t="shared" si="35"/>
        <v>46652</v>
      </c>
      <c r="BZ58" s="26" t="s">
        <v>596</v>
      </c>
      <c r="CA58" s="26" t="s">
        <v>597</v>
      </c>
      <c r="CB58" s="26" t="s">
        <v>598</v>
      </c>
    </row>
    <row r="59" spans="1:80" ht="18" customHeight="1" x14ac:dyDescent="0.3">
      <c r="A59" s="26" t="s">
        <v>740</v>
      </c>
      <c r="B59" s="26" t="s">
        <v>741</v>
      </c>
      <c r="C59" s="26" t="s">
        <v>586</v>
      </c>
      <c r="D59" s="26" t="s">
        <v>587</v>
      </c>
      <c r="E59" s="26" t="s">
        <v>588</v>
      </c>
      <c r="F59" s="26" t="s">
        <v>589</v>
      </c>
      <c r="G59" s="26" t="s">
        <v>641</v>
      </c>
      <c r="H59" s="37">
        <v>600</v>
      </c>
      <c r="I59" s="37">
        <v>145</v>
      </c>
      <c r="J59" s="26" t="s">
        <v>249</v>
      </c>
      <c r="K59" s="33" t="str">
        <f>IFERROR(INDEX(tbl_materiais[Polimero_Base],MATCH(J59,tbl_materiais[Material],0)),"")</f>
        <v>PET</v>
      </c>
      <c r="L59" s="33" t="str">
        <f>IFERROR(INDEX(tbl_materiais[Fluxo_Reciclagem],MATCH(J59,tbl_materiais[Material],0)),"")</f>
        <v>PET frascos e garrafas</v>
      </c>
      <c r="M59" s="33" t="str">
        <f t="shared" si="18"/>
        <v>PET — garrafas/frascos transparentes incolores</v>
      </c>
      <c r="N59" s="26" t="s">
        <v>610</v>
      </c>
      <c r="O59" s="26" t="s">
        <v>279</v>
      </c>
      <c r="P59" s="26" t="s">
        <v>611</v>
      </c>
      <c r="Q59" s="29">
        <v>0</v>
      </c>
      <c r="R59" s="35">
        <f>IFERROR(ROUND(INDEX(tbl_materiais[Densidade_g_cm3],MATCH(J59,tbl_materiais[Material],0))+Q59*1.2,3),"")</f>
        <v>1.38</v>
      </c>
      <c r="S59" s="26" t="s">
        <v>302</v>
      </c>
      <c r="T59" s="34">
        <v>34.9</v>
      </c>
      <c r="U59" s="26" t="s">
        <v>593</v>
      </c>
      <c r="V59" s="26" t="s">
        <v>452</v>
      </c>
      <c r="W59" s="33" t="str">
        <f>IF(V59="","",IFERROR(INDEX(tbl_tampas[Material],MATCH(V59,tbl_tampas[CapId],0)),""))</f>
        <v>PP</v>
      </c>
      <c r="X59" s="33" t="str">
        <f>IF(V59="","Sem tampa",IFERROR(INDEX(tbl_materiais[Polimero_Base],MATCH(W59,tbl_materiais[Material],0)),""))</f>
        <v>PP</v>
      </c>
      <c r="Y59" s="38">
        <f>IF(V59="",0,IFERROR(INDEX(tbl_tampas[Massa_g],MATCH(V59,tbl_tampas[CapId],0)),0))</f>
        <v>14.3</v>
      </c>
      <c r="Z59" s="26" t="s">
        <v>319</v>
      </c>
      <c r="AA59" s="26" t="s">
        <v>327</v>
      </c>
      <c r="AB59" s="26" t="s">
        <v>342</v>
      </c>
      <c r="AC59" s="29">
        <v>0.4</v>
      </c>
      <c r="AD59" s="27">
        <v>0.73</v>
      </c>
      <c r="AE59" s="26" t="s">
        <v>604</v>
      </c>
      <c r="AF59" s="26" t="s">
        <v>302</v>
      </c>
      <c r="AG59" s="39">
        <v>0</v>
      </c>
      <c r="AH59" s="33" t="str">
        <f t="shared" si="19"/>
        <v>Nenhuma</v>
      </c>
      <c r="AI59" s="27">
        <v>0</v>
      </c>
      <c r="AJ59" s="33" t="str">
        <f>IFERROR(INDEX(tbl_regras_dfr[Classe],MATCH(L59&amp;"|Fluxo de reciclagem|"&amp;L59,tbl_regras_dfr[Chave],0)),"Sem regra")</f>
        <v>A</v>
      </c>
      <c r="AK59" s="33" t="str">
        <f>IF(LEFT(L59,9)="Sem fluxo","—",IFERROR(INDEX(tbl_regras_dfr[Classe],MATCH(L59&amp;"|Cor do corpo|"&amp;O59,tbl_regras_dfr[Chave],0)),"Sem regra"))</f>
        <v>A</v>
      </c>
      <c r="AL59" s="33" t="str">
        <f>IF(LEFT(L59,9)="Sem fluxo","—",IFERROR(INDEX(tbl_regras_dfr[Classe],MATCH(L59&amp;"|Densidade do corpo|"&amp;IF(R59&lt;1,"&lt; 1,0 g/cm³","≥ 1,0 g/cm³"),tbl_regras_dfr[Chave],0)),"Sem regra"))</f>
        <v>A</v>
      </c>
      <c r="AM59" s="33" t="str">
        <f>IF(LEFT(L59,9)="Sem fluxo","—",IFERROR(INDEX(tbl_regras_dfr[Classe],MATCH(L59&amp;"|Barreira / revestimento|"&amp;S59,tbl_regras_dfr[Chave],0)),"Sem regra"))</f>
        <v>A</v>
      </c>
      <c r="AN59" s="33" t="str">
        <f>IF(LEFT(L59,9)="Sem fluxo","—",IFERROR(INDEX(tbl_regras_dfr[Classe],MATCH(L59&amp;"|Material da tampa|"&amp;X59,tbl_regras_dfr[Chave],0)),"Sem regra"))</f>
        <v>A</v>
      </c>
      <c r="AO59" s="33" t="str">
        <f>IF(LEFT(L59,9)="Sem fluxo","—",IFERROR(INDEX(tbl_regras_dfr[Classe],MATCH(L59&amp;"|Vedante / liner|"&amp;Z59,tbl_regras_dfr[Chave],0)),"Sem regra"))</f>
        <v>A</v>
      </c>
      <c r="AP59" s="33" t="str">
        <f>IF(LEFT(L59,9)="Sem fluxo","—",IFERROR(INDEX(tbl_regras_dfr[Classe],MATCH(L59&amp;"|Tipo de rótulo|"&amp;AA59,tbl_regras_dfr[Chave],0)),"Sem regra"))</f>
        <v>A</v>
      </c>
      <c r="AQ59" s="33" t="str">
        <f>IF(LEFT(L59,9)="Sem fluxo","—",IFERROR(INDEX(tbl_regras_dfr[Classe],MATCH(L59&amp;"|Adesivo do rótulo|"&amp;AB59,tbl_regras_dfr[Chave],0)),"Sem regra"))</f>
        <v>C</v>
      </c>
      <c r="AR59" s="33" t="str">
        <f>IF(LEFT(L59,9)="Sem fluxo","—",IFERROR(INDEX(tbl_regras_dfr[Classe],MATCH(L59&amp;"|Cobertura do rótulo|"&amp;IF(AC59&gt;0.7,"&gt; 70% da superfície","≤ 70% da superfície"),tbl_regras_dfr[Chave],0)),"Sem regra"))</f>
        <v>A</v>
      </c>
      <c r="AS59" s="33" t="str">
        <f>IF(LEFT(L59,9)="Sem fluxo","—",IFERROR(INDEX(tbl_regras_dfr[Classe],MATCH(L59&amp;"|Decoração direta|"&amp;AH59,tbl_regras_dfr[Chave],0)),"Sem regra"))</f>
        <v>A</v>
      </c>
      <c r="AT59" s="31">
        <f t="shared" si="20"/>
        <v>3</v>
      </c>
      <c r="AU59" s="33" t="str">
        <f>IF(AT59=0,"",INDEX({"A","B","C","D","E","F"},AT59))</f>
        <v>C</v>
      </c>
      <c r="AV59" s="31">
        <f t="shared" si="21"/>
        <v>0</v>
      </c>
      <c r="AW59" s="33" t="str">
        <f t="shared" si="22"/>
        <v>Adesivo</v>
      </c>
      <c r="AX59" s="33" t="str">
        <f>IF(AU59="A","Sem ação — manter o design.",IFERROR(INDEX(tbl_regras_dfr[Recomendacao],MATCH(CHOOSE(MATCH(AU59,AJ59:AS59,0),L59&amp;"|Fluxo de reciclagem|"&amp;L59,L59&amp;"|Cor do corpo|"&amp;O59,L59&amp;"|Densidade do corpo|"&amp;IF(R59&lt;1,"&lt; 1,0 g/cm³","≥ 1,0 g/cm³"),L59&amp;"|Barreira / revestimento|"&amp;S59,L59&amp;"|Material da tampa|"&amp;X59,L59&amp;"|Vedante / liner|"&amp;Z59,L59&amp;"|Tipo de rótulo|"&amp;AA59,L59&amp;"|Adesivo do rótulo|"&amp;AB59,L59&amp;"|Cobertura do rótulo|"&amp;IF(AC59&gt;0.7,"&gt; 70% da superfície","≤ 70% da superfície"),L59&amp;"|Decoração direta|"&amp;AH59),tbl_regras_dfr[Chave],0)),""))</f>
        <v>Exigir ao cliente adesivo lavável a 80 °C (teste de lavabilidade).</v>
      </c>
      <c r="AY59" s="38">
        <f t="shared" si="23"/>
        <v>49.93</v>
      </c>
      <c r="AZ59" s="36">
        <f>MIN(IFERROR(INDEX(tbl_regras_dfr[Fracao_Reciclavel],MATCH(L59&amp;"|Fluxo de reciclagem|"&amp;L59,tbl_regras_dfr[Chave],0)),0),IFERROR(INDEX(tbl_regras_dfr[Fracao_Reciclavel],MATCH(L59&amp;"|Cor do corpo|"&amp;O59,tbl_regras_dfr[Chave],0)),0))</f>
        <v>1</v>
      </c>
      <c r="BA59" s="36">
        <f>IFERROR(INDEX(tbl_regras_dfr[Fracao_Reciclavel],MATCH(L59&amp;"|Material da tampa|"&amp;X59,tbl_regras_dfr[Chave],0)),0)</f>
        <v>1</v>
      </c>
      <c r="BB59" s="36">
        <f>IFERROR(INDEX(tbl_regras_dfr[Fracao_Reciclavel],MATCH(L59&amp;"|Tipo de rótulo|"&amp;AA59,tbl_regras_dfr[Chave],0)),0)</f>
        <v>1</v>
      </c>
      <c r="BC59" s="38">
        <f t="shared" si="24"/>
        <v>49.93</v>
      </c>
      <c r="BD59" s="40">
        <f t="shared" si="25"/>
        <v>1</v>
      </c>
      <c r="BE59" s="33" t="str">
        <f>IF(BD59&gt;=INDEX(tbl_param_emb[Valor],MATCH("P-06",tbl_param_emb[ID_Parametro],0)),"A",IF(BD59&gt;=INDEX(tbl_param_emb[Valor],MATCH("P-07",tbl_param_emb[ID_Parametro],0)),"B",IF(BD59&gt;=INDEX(tbl_param_emb[Valor],MATCH("P-08",tbl_param_emb[ID_Parametro],0)),"C","&lt; 70%")))</f>
        <v>A</v>
      </c>
      <c r="BF59" s="33" t="str">
        <f>IF(AU59="F","Não reciclável (F)",INDEX({"A","B","C","Abaixo de C"},MAX(MIN(AT59,4),IF(BE59="A",1,IF(BE59="B",2,IF(BE59="C",3,4))))))</f>
        <v>C</v>
      </c>
      <c r="BG59" s="33" t="str">
        <f t="shared" si="26"/>
        <v>—</v>
      </c>
      <c r="BH59" s="33" t="str">
        <f t="shared" si="27"/>
        <v>Sim</v>
      </c>
      <c r="BI59" s="33" t="str">
        <f t="shared" si="28"/>
        <v>Não</v>
      </c>
      <c r="BJ59" s="36">
        <f>IFERROR(INDEX(tbl_materiais[Pct_PCR],MATCH(J59,tbl_materiais[Material],0)),0)</f>
        <v>0</v>
      </c>
      <c r="BK59" s="36">
        <f>IF(V59="",0,IFERROR(INDEX(tbl_tampas[Pct_PCR],MATCH(V59,tbl_tampas[CapId],0)),0))</f>
        <v>0</v>
      </c>
      <c r="BL59" s="40">
        <f t="shared" si="29"/>
        <v>0</v>
      </c>
      <c r="BM59" s="33" t="str">
        <f t="shared" si="30"/>
        <v>Outras embalagens de plástico</v>
      </c>
      <c r="BN59" s="36">
        <f>IFERROR(IF(INDEX(tbl_metas_art7[Meta_2030],MATCH(BM59,tbl_metas_art7[Categoria_Art7],0))="","",INDEX(tbl_metas_art7[Meta_2030],MATCH(BM59,tbl_metas_art7[Categoria_Art7],0))),"")</f>
        <v>0.35</v>
      </c>
      <c r="BO59" s="40">
        <f t="shared" si="31"/>
        <v>0.35</v>
      </c>
      <c r="BP59" s="33" t="str">
        <f t="shared" si="32"/>
        <v>Não</v>
      </c>
      <c r="BQ59" s="33" t="str">
        <f t="shared" si="33"/>
        <v>Multimaterial</v>
      </c>
      <c r="BR59" s="37">
        <v>100080</v>
      </c>
      <c r="BS59" s="39">
        <v>10</v>
      </c>
      <c r="BT59" s="26" t="s">
        <v>457</v>
      </c>
      <c r="BU59" s="32">
        <f t="shared" si="34"/>
        <v>3492.7919999999999</v>
      </c>
      <c r="BV59" s="31">
        <f>COUNTIFS(tbl_aplicabilidade[ProductId],B59,tbl_aplicabilidade[Aplicavel],"Sim")</f>
        <v>12</v>
      </c>
      <c r="BW59" s="31">
        <f>COUNTIFS(tbl_aplicabilidade[ProductId],B59,tbl_aplicabilidade[Estado_Resumo],"Lacuna")+COUNTIFS(tbl_aplicabilidade[ProductId],B59,tbl_aplicabilidade[Estado_Resumo],"Não conforme")</f>
        <v>1</v>
      </c>
      <c r="BX59" s="41">
        <v>46287</v>
      </c>
      <c r="BY59" s="42">
        <f t="shared" si="35"/>
        <v>46652</v>
      </c>
      <c r="BZ59" s="26" t="s">
        <v>596</v>
      </c>
      <c r="CA59" s="26" t="s">
        <v>597</v>
      </c>
      <c r="CB59" s="26" t="s">
        <v>598</v>
      </c>
    </row>
    <row r="60" spans="1:80" ht="18" customHeight="1" x14ac:dyDescent="0.3">
      <c r="A60" s="26" t="s">
        <v>742</v>
      </c>
      <c r="B60" s="26" t="s">
        <v>743</v>
      </c>
      <c r="C60" s="26" t="s">
        <v>586</v>
      </c>
      <c r="D60" s="26" t="s">
        <v>587</v>
      </c>
      <c r="E60" s="26" t="s">
        <v>588</v>
      </c>
      <c r="F60" s="26" t="s">
        <v>589</v>
      </c>
      <c r="G60" s="26" t="s">
        <v>647</v>
      </c>
      <c r="H60" s="37">
        <v>600</v>
      </c>
      <c r="I60" s="37">
        <v>145</v>
      </c>
      <c r="J60" s="26" t="s">
        <v>255</v>
      </c>
      <c r="K60" s="33" t="str">
        <f>IFERROR(INDEX(tbl_materiais[Polimero_Base],MATCH(J60,tbl_materiais[Material],0)),"")</f>
        <v>PETG</v>
      </c>
      <c r="L60" s="33" t="str">
        <f>IFERROR(INDEX(tbl_materiais[Fluxo_Reciclagem],MATCH(J60,tbl_materiais[Material],0)),"")</f>
        <v>Sem fluxo (PETG)</v>
      </c>
      <c r="M60" s="33" t="str">
        <f t="shared" si="18"/>
        <v>Sem categoria RecyClass (PETG)</v>
      </c>
      <c r="N60" s="26" t="s">
        <v>610</v>
      </c>
      <c r="O60" s="26" t="s">
        <v>279</v>
      </c>
      <c r="P60" s="26" t="s">
        <v>611</v>
      </c>
      <c r="Q60" s="29">
        <v>0</v>
      </c>
      <c r="R60" s="35">
        <f>IFERROR(ROUND(INDEX(tbl_materiais[Densidade_g_cm3],MATCH(J60,tbl_materiais[Material],0))+Q60*1.2,3),"")</f>
        <v>1.27</v>
      </c>
      <c r="S60" s="26" t="s">
        <v>302</v>
      </c>
      <c r="T60" s="34">
        <v>34.9</v>
      </c>
      <c r="U60" s="26" t="s">
        <v>593</v>
      </c>
      <c r="V60" s="26" t="s">
        <v>458</v>
      </c>
      <c r="W60" s="33" t="str">
        <f>IF(V60="","",IFERROR(INDEX(tbl_tampas[Material],MATCH(V60,tbl_tampas[CapId],0)),""))</f>
        <v>PETG</v>
      </c>
      <c r="X60" s="33" t="str">
        <f>IF(V60="","Sem tampa",IFERROR(INDEX(tbl_materiais[Polimero_Base],MATCH(W60,tbl_materiais[Material],0)),""))</f>
        <v>PETG</v>
      </c>
      <c r="Y60" s="38">
        <f>IF(V60="",0,IFERROR(INDEX(tbl_tampas[Massa_g],MATCH(V60,tbl_tampas[CapId],0)),0))</f>
        <v>16.7</v>
      </c>
      <c r="Z60" s="26" t="s">
        <v>319</v>
      </c>
      <c r="AA60" s="26" t="s">
        <v>326</v>
      </c>
      <c r="AB60" s="26" t="s">
        <v>340</v>
      </c>
      <c r="AC60" s="29">
        <v>0</v>
      </c>
      <c r="AD60" s="27">
        <v>0</v>
      </c>
      <c r="AE60" s="26" t="s">
        <v>594</v>
      </c>
      <c r="AF60" s="26" t="s">
        <v>359</v>
      </c>
      <c r="AG60" s="39">
        <v>1</v>
      </c>
      <c r="AH60" s="33" t="str">
        <f t="shared" si="19"/>
        <v>Hot foil metalizado</v>
      </c>
      <c r="AI60" s="27">
        <v>0.03</v>
      </c>
      <c r="AJ60" s="33" t="str">
        <f>IFERROR(INDEX(tbl_regras_dfr[Classe],MATCH(L60&amp;"|Fluxo de reciclagem|"&amp;L60,tbl_regras_dfr[Chave],0)),"Sem regra")</f>
        <v>F</v>
      </c>
      <c r="AK60" s="33" t="str">
        <f>IF(LEFT(L60,9)="Sem fluxo","—",IFERROR(INDEX(tbl_regras_dfr[Classe],MATCH(L60&amp;"|Cor do corpo|"&amp;O60,tbl_regras_dfr[Chave],0)),"Sem regra"))</f>
        <v>—</v>
      </c>
      <c r="AL60" s="33" t="str">
        <f>IF(LEFT(L60,9)="Sem fluxo","—",IFERROR(INDEX(tbl_regras_dfr[Classe],MATCH(L60&amp;"|Densidade do corpo|"&amp;IF(R60&lt;1,"&lt; 1,0 g/cm³","≥ 1,0 g/cm³"),tbl_regras_dfr[Chave],0)),"Sem regra"))</f>
        <v>—</v>
      </c>
      <c r="AM60" s="33" t="str">
        <f>IF(LEFT(L60,9)="Sem fluxo","—",IFERROR(INDEX(tbl_regras_dfr[Classe],MATCH(L60&amp;"|Barreira / revestimento|"&amp;S60,tbl_regras_dfr[Chave],0)),"Sem regra"))</f>
        <v>—</v>
      </c>
      <c r="AN60" s="33" t="str">
        <f>IF(LEFT(L60,9)="Sem fluxo","—",IFERROR(INDEX(tbl_regras_dfr[Classe],MATCH(L60&amp;"|Material da tampa|"&amp;X60,tbl_regras_dfr[Chave],0)),"Sem regra"))</f>
        <v>—</v>
      </c>
      <c r="AO60" s="33" t="str">
        <f>IF(LEFT(L60,9)="Sem fluxo","—",IFERROR(INDEX(tbl_regras_dfr[Classe],MATCH(L60&amp;"|Vedante / liner|"&amp;Z60,tbl_regras_dfr[Chave],0)),"Sem regra"))</f>
        <v>—</v>
      </c>
      <c r="AP60" s="33" t="str">
        <f>IF(LEFT(L60,9)="Sem fluxo","—",IFERROR(INDEX(tbl_regras_dfr[Classe],MATCH(L60&amp;"|Tipo de rótulo|"&amp;AA60,tbl_regras_dfr[Chave],0)),"Sem regra"))</f>
        <v>—</v>
      </c>
      <c r="AQ60" s="33" t="str">
        <f>IF(LEFT(L60,9)="Sem fluxo","—",IFERROR(INDEX(tbl_regras_dfr[Classe],MATCH(L60&amp;"|Adesivo do rótulo|"&amp;AB60,tbl_regras_dfr[Chave],0)),"Sem regra"))</f>
        <v>—</v>
      </c>
      <c r="AR60" s="33" t="str">
        <f>IF(LEFT(L60,9)="Sem fluxo","—",IFERROR(INDEX(tbl_regras_dfr[Classe],MATCH(L60&amp;"|Cobertura do rótulo|"&amp;IF(AC60&gt;0.7,"&gt; 70% da superfície","≤ 70% da superfície"),tbl_regras_dfr[Chave],0)),"Sem regra"))</f>
        <v>—</v>
      </c>
      <c r="AS60" s="33" t="str">
        <f>IF(LEFT(L60,9)="Sem fluxo","—",IFERROR(INDEX(tbl_regras_dfr[Classe],MATCH(L60&amp;"|Decoração direta|"&amp;AH60,tbl_regras_dfr[Chave],0)),"Sem regra"))</f>
        <v>—</v>
      </c>
      <c r="AT60" s="31">
        <f t="shared" si="20"/>
        <v>6</v>
      </c>
      <c r="AU60" s="33" t="str">
        <f>IF(AT60=0,"",INDEX({"A","B","C","D","E","F"},AT60))</f>
        <v>F</v>
      </c>
      <c r="AV60" s="31">
        <f t="shared" si="21"/>
        <v>0</v>
      </c>
      <c r="AW60" s="33" t="str">
        <f t="shared" si="22"/>
        <v>Fluxo</v>
      </c>
      <c r="AX60" s="33" t="str">
        <f>IF(AU60="A","Sem ação — manter o design.",IFERROR(INDEX(tbl_regras_dfr[Recomendacao],MATCH(CHOOSE(MATCH(AU60,AJ60:AS60,0),L60&amp;"|Fluxo de reciclagem|"&amp;L60,L60&amp;"|Cor do corpo|"&amp;O60,L60&amp;"|Densidade do corpo|"&amp;IF(R60&lt;1,"&lt; 1,0 g/cm³","≥ 1,0 g/cm³"),L60&amp;"|Barreira / revestimento|"&amp;S60,L60&amp;"|Material da tampa|"&amp;X60,L60&amp;"|Vedante / liner|"&amp;Z60,L60&amp;"|Tipo de rótulo|"&amp;AA60,L60&amp;"|Adesivo do rótulo|"&amp;AB60,L60&amp;"|Cobertura do rótulo|"&amp;IF(AC60&gt;0.7,"&gt; 70% da superfície","≤ 70% da superfície"),L60&amp;"|Decoração direta|"&amp;AH60),tbl_regras_dfr[Chave],0)),""))</f>
        <v>Mudar o corpo para PET (ou PP/PE) — PETG não passa a grau C em 2030.</v>
      </c>
      <c r="AY60" s="38">
        <f t="shared" si="23"/>
        <v>51.629999999999995</v>
      </c>
      <c r="AZ60" s="36">
        <f>MIN(IFERROR(INDEX(tbl_regras_dfr[Fracao_Reciclavel],MATCH(L60&amp;"|Fluxo de reciclagem|"&amp;L60,tbl_regras_dfr[Chave],0)),0),IFERROR(INDEX(tbl_regras_dfr[Fracao_Reciclavel],MATCH(L60&amp;"|Cor do corpo|"&amp;O60,tbl_regras_dfr[Chave],0)),0))</f>
        <v>0</v>
      </c>
      <c r="BA60" s="36">
        <f>IFERROR(INDEX(tbl_regras_dfr[Fracao_Reciclavel],MATCH(L60&amp;"|Material da tampa|"&amp;X60,tbl_regras_dfr[Chave],0)),0)</f>
        <v>0</v>
      </c>
      <c r="BB60" s="36">
        <f>IFERROR(INDEX(tbl_regras_dfr[Fracao_Reciclavel],MATCH(L60&amp;"|Tipo de rótulo|"&amp;AA60,tbl_regras_dfr[Chave],0)),0)</f>
        <v>0</v>
      </c>
      <c r="BC60" s="38">
        <f t="shared" si="24"/>
        <v>0</v>
      </c>
      <c r="BD60" s="40">
        <f t="shared" si="25"/>
        <v>0</v>
      </c>
      <c r="BE60" s="33" t="str">
        <f>IF(BD60&gt;=INDEX(tbl_param_emb[Valor],MATCH("P-06",tbl_param_emb[ID_Parametro],0)),"A",IF(BD60&gt;=INDEX(tbl_param_emb[Valor],MATCH("P-07",tbl_param_emb[ID_Parametro],0)),"B",IF(BD60&gt;=INDEX(tbl_param_emb[Valor],MATCH("P-08",tbl_param_emb[ID_Parametro],0)),"C","&lt; 70%")))</f>
        <v>&lt; 70%</v>
      </c>
      <c r="BF60" s="33" t="str">
        <f>IF(AU60="F","Não reciclável (F)",INDEX({"A","B","C","Abaixo de C"},MAX(MIN(AT60,4),IF(BE60="A",1,IF(BE60="B",2,IF(BE60="C",3,4))))))</f>
        <v>Não reciclável (F)</v>
      </c>
      <c r="BG60" s="33" t="str">
        <f t="shared" si="26"/>
        <v>—</v>
      </c>
      <c r="BH60" s="33" t="str">
        <f t="shared" si="27"/>
        <v>Não</v>
      </c>
      <c r="BI60" s="33" t="str">
        <f t="shared" si="28"/>
        <v>Não</v>
      </c>
      <c r="BJ60" s="36">
        <f>IFERROR(INDEX(tbl_materiais[Pct_PCR],MATCH(J60,tbl_materiais[Material],0)),0)</f>
        <v>0</v>
      </c>
      <c r="BK60" s="36">
        <f>IF(V60="",0,IFERROR(INDEX(tbl_tampas[Pct_PCR],MATCH(V60,tbl_tampas[CapId],0)),0))</f>
        <v>0</v>
      </c>
      <c r="BL60" s="40">
        <f t="shared" si="29"/>
        <v>0</v>
      </c>
      <c r="BM60" s="33" t="str">
        <f t="shared" si="30"/>
        <v>Outras embalagens de plástico</v>
      </c>
      <c r="BN60" s="36">
        <f>IFERROR(IF(INDEX(tbl_metas_art7[Meta_2030],MATCH(BM60,tbl_metas_art7[Categoria_Art7],0))="","",INDEX(tbl_metas_art7[Meta_2030],MATCH(BM60,tbl_metas_art7[Categoria_Art7],0))),"")</f>
        <v>0.35</v>
      </c>
      <c r="BO60" s="40">
        <f t="shared" si="31"/>
        <v>0.35</v>
      </c>
      <c r="BP60" s="33" t="str">
        <f t="shared" si="32"/>
        <v>Não</v>
      </c>
      <c r="BQ60" s="33" t="str">
        <f t="shared" si="33"/>
        <v>Monomaterial (mesma família)</v>
      </c>
      <c r="BR60" s="37">
        <v>57253</v>
      </c>
      <c r="BS60" s="39">
        <v>8</v>
      </c>
      <c r="BT60" s="26" t="s">
        <v>628</v>
      </c>
      <c r="BU60" s="32">
        <f t="shared" si="34"/>
        <v>1998.1297</v>
      </c>
      <c r="BV60" s="31">
        <f>COUNTIFS(tbl_aplicabilidade[ProductId],B60,tbl_aplicabilidade[Aplicavel],"Sim")</f>
        <v>12</v>
      </c>
      <c r="BW60" s="31">
        <f>COUNTIFS(tbl_aplicabilidade[ProductId],B60,tbl_aplicabilidade[Estado_Resumo],"Lacuna")+COUNTIFS(tbl_aplicabilidade[ProductId],B60,tbl_aplicabilidade[Estado_Resumo],"Não conforme")</f>
        <v>4</v>
      </c>
      <c r="BX60" s="41">
        <v>46287</v>
      </c>
      <c r="BY60" s="42">
        <f t="shared" si="35"/>
        <v>46652</v>
      </c>
      <c r="BZ60" s="26" t="s">
        <v>596</v>
      </c>
      <c r="CA60" s="26" t="s">
        <v>597</v>
      </c>
      <c r="CB60" s="26" t="s">
        <v>598</v>
      </c>
    </row>
    <row r="61" spans="1:80" ht="18" customHeight="1" x14ac:dyDescent="0.3">
      <c r="A61" s="26" t="s">
        <v>744</v>
      </c>
      <c r="B61" s="26" t="s">
        <v>745</v>
      </c>
      <c r="C61" s="26" t="s">
        <v>586</v>
      </c>
      <c r="D61" s="26" t="s">
        <v>587</v>
      </c>
      <c r="E61" s="26" t="s">
        <v>588</v>
      </c>
      <c r="F61" s="26" t="s">
        <v>589</v>
      </c>
      <c r="G61" s="26" t="s">
        <v>655</v>
      </c>
      <c r="H61" s="37">
        <v>600</v>
      </c>
      <c r="I61" s="37">
        <v>145</v>
      </c>
      <c r="J61" s="26" t="s">
        <v>240</v>
      </c>
      <c r="K61" s="33" t="str">
        <f>IFERROR(INDEX(tbl_materiais[Polimero_Base],MATCH(J61,tbl_materiais[Material],0)),"")</f>
        <v>PP</v>
      </c>
      <c r="L61" s="33" t="str">
        <f>IFERROR(INDEX(tbl_materiais[Fluxo_Reciclagem],MATCH(J61,tbl_materiais[Material],0)),"")</f>
        <v>PP rígido</v>
      </c>
      <c r="M61" s="33" t="str">
        <f t="shared" si="18"/>
        <v>PP rígido — frascos, potes e contentores</v>
      </c>
      <c r="N61" s="26" t="s">
        <v>637</v>
      </c>
      <c r="O61" s="26" t="s">
        <v>281</v>
      </c>
      <c r="P61" s="26" t="s">
        <v>638</v>
      </c>
      <c r="Q61" s="29">
        <v>2.5000000000000001E-2</v>
      </c>
      <c r="R61" s="35">
        <f>IFERROR(ROUND(INDEX(tbl_materiais[Densidade_g_cm3],MATCH(J61,tbl_materiais[Material],0))+Q61*1.2,3),"")</f>
        <v>0.93500000000000005</v>
      </c>
      <c r="S61" s="26" t="s">
        <v>302</v>
      </c>
      <c r="T61" s="34">
        <v>34.9</v>
      </c>
      <c r="U61" s="26" t="s">
        <v>593</v>
      </c>
      <c r="V61" s="26" t="s">
        <v>473</v>
      </c>
      <c r="W61" s="33" t="str">
        <f>IF(V61="","",IFERROR(INDEX(tbl_tampas[Material],MATCH(V61,tbl_tampas[CapId],0)),""))</f>
        <v>PP</v>
      </c>
      <c r="X61" s="33" t="str">
        <f>IF(V61="","Sem tampa",IFERROR(INDEX(tbl_materiais[Polimero_Base],MATCH(W61,tbl_materiais[Material],0)),""))</f>
        <v>PP</v>
      </c>
      <c r="Y61" s="38">
        <f>IF(V61="",0,IFERROR(INDEX(tbl_tampas[Massa_g],MATCH(V61,tbl_tampas[CapId],0)),0))</f>
        <v>19.3</v>
      </c>
      <c r="Z61" s="26" t="s">
        <v>319</v>
      </c>
      <c r="AA61" s="26" t="s">
        <v>327</v>
      </c>
      <c r="AB61" s="26" t="s">
        <v>342</v>
      </c>
      <c r="AC61" s="29">
        <v>0.4</v>
      </c>
      <c r="AD61" s="27">
        <v>0.73</v>
      </c>
      <c r="AE61" s="26" t="s">
        <v>604</v>
      </c>
      <c r="AF61" s="26" t="s">
        <v>302</v>
      </c>
      <c r="AG61" s="39">
        <v>0</v>
      </c>
      <c r="AH61" s="33" t="str">
        <f t="shared" si="19"/>
        <v>Nenhuma</v>
      </c>
      <c r="AI61" s="27">
        <v>0</v>
      </c>
      <c r="AJ61" s="33" t="str">
        <f>IFERROR(INDEX(tbl_regras_dfr[Classe],MATCH(L61&amp;"|Fluxo de reciclagem|"&amp;L61,tbl_regras_dfr[Chave],0)),"Sem regra")</f>
        <v>A</v>
      </c>
      <c r="AK61" s="33" t="str">
        <f>IF(LEFT(L61,9)="Sem fluxo","—",IFERROR(INDEX(tbl_regras_dfr[Classe],MATCH(L61&amp;"|Cor do corpo|"&amp;O61,tbl_regras_dfr[Chave],0)),"Sem regra"))</f>
        <v>A</v>
      </c>
      <c r="AL61" s="33" t="str">
        <f>IF(LEFT(L61,9)="Sem fluxo","—",IFERROR(INDEX(tbl_regras_dfr[Classe],MATCH(L61&amp;"|Densidade do corpo|"&amp;IF(R61&lt;1,"&lt; 1,0 g/cm³","≥ 1,0 g/cm³"),tbl_regras_dfr[Chave],0)),"Sem regra"))</f>
        <v>A</v>
      </c>
      <c r="AM61" s="33" t="str">
        <f>IF(LEFT(L61,9)="Sem fluxo","—",IFERROR(INDEX(tbl_regras_dfr[Classe],MATCH(L61&amp;"|Barreira / revestimento|"&amp;S61,tbl_regras_dfr[Chave],0)),"Sem regra"))</f>
        <v>A</v>
      </c>
      <c r="AN61" s="33" t="str">
        <f>IF(LEFT(L61,9)="Sem fluxo","—",IFERROR(INDEX(tbl_regras_dfr[Classe],MATCH(L61&amp;"|Material da tampa|"&amp;X61,tbl_regras_dfr[Chave],0)),"Sem regra"))</f>
        <v>A</v>
      </c>
      <c r="AO61" s="33" t="str">
        <f>IF(LEFT(L61,9)="Sem fluxo","—",IFERROR(INDEX(tbl_regras_dfr[Classe],MATCH(L61&amp;"|Vedante / liner|"&amp;Z61,tbl_regras_dfr[Chave],0)),"Sem regra"))</f>
        <v>A</v>
      </c>
      <c r="AP61" s="33" t="str">
        <f>IF(LEFT(L61,9)="Sem fluxo","—",IFERROR(INDEX(tbl_regras_dfr[Classe],MATCH(L61&amp;"|Tipo de rótulo|"&amp;AA61,tbl_regras_dfr[Chave],0)),"Sem regra"))</f>
        <v>A</v>
      </c>
      <c r="AQ61" s="33" t="str">
        <f>IF(LEFT(L61,9)="Sem fluxo","—",IFERROR(INDEX(tbl_regras_dfr[Classe],MATCH(L61&amp;"|Adesivo do rótulo|"&amp;AB61,tbl_regras_dfr[Chave],0)),"Sem regra"))</f>
        <v>A</v>
      </c>
      <c r="AR61" s="33" t="str">
        <f>IF(LEFT(L61,9)="Sem fluxo","—",IFERROR(INDEX(tbl_regras_dfr[Classe],MATCH(L61&amp;"|Cobertura do rótulo|"&amp;IF(AC61&gt;0.7,"&gt; 70% da superfície","≤ 70% da superfície"),tbl_regras_dfr[Chave],0)),"Sem regra"))</f>
        <v>A</v>
      </c>
      <c r="AS61" s="33" t="str">
        <f>IF(LEFT(L61,9)="Sem fluxo","—",IFERROR(INDEX(tbl_regras_dfr[Classe],MATCH(L61&amp;"|Decoração direta|"&amp;AH61,tbl_regras_dfr[Chave],0)),"Sem regra"))</f>
        <v>A</v>
      </c>
      <c r="AT61" s="31">
        <f t="shared" si="20"/>
        <v>1</v>
      </c>
      <c r="AU61" s="33" t="str">
        <f>IF(AT61=0,"",INDEX({"A","B","C","D","E","F"},AT61))</f>
        <v>A</v>
      </c>
      <c r="AV61" s="31">
        <f t="shared" si="21"/>
        <v>0</v>
      </c>
      <c r="AW61" s="33" t="str">
        <f t="shared" si="22"/>
        <v>—</v>
      </c>
      <c r="AX61" s="33" t="str">
        <f>IF(AU61="A","Sem ação — manter o design.",IFERROR(INDEX(tbl_regras_dfr[Recomendacao],MATCH(CHOOSE(MATCH(AU61,AJ61:AS61,0),L61&amp;"|Fluxo de reciclagem|"&amp;L61,L61&amp;"|Cor do corpo|"&amp;O61,L61&amp;"|Densidade do corpo|"&amp;IF(R61&lt;1,"&lt; 1,0 g/cm³","≥ 1,0 g/cm³"),L61&amp;"|Barreira / revestimento|"&amp;S61,L61&amp;"|Material da tampa|"&amp;X61,L61&amp;"|Vedante / liner|"&amp;Z61,L61&amp;"|Tipo de rótulo|"&amp;AA61,L61&amp;"|Adesivo do rótulo|"&amp;AB61,L61&amp;"|Cobertura do rótulo|"&amp;IF(AC61&gt;0.7,"&gt; 70% da superfície","≤ 70% da superfície"),L61&amp;"|Decoração direta|"&amp;AH61),tbl_regras_dfr[Chave],0)),""))</f>
        <v>Sem ação — manter o design.</v>
      </c>
      <c r="AY61" s="38">
        <f t="shared" si="23"/>
        <v>54.93</v>
      </c>
      <c r="AZ61" s="36">
        <f>MIN(IFERROR(INDEX(tbl_regras_dfr[Fracao_Reciclavel],MATCH(L61&amp;"|Fluxo de reciclagem|"&amp;L61,tbl_regras_dfr[Chave],0)),0),IFERROR(INDEX(tbl_regras_dfr[Fracao_Reciclavel],MATCH(L61&amp;"|Cor do corpo|"&amp;O61,tbl_regras_dfr[Chave],0)),0))</f>
        <v>1</v>
      </c>
      <c r="BA61" s="36">
        <f>IFERROR(INDEX(tbl_regras_dfr[Fracao_Reciclavel],MATCH(L61&amp;"|Material da tampa|"&amp;X61,tbl_regras_dfr[Chave],0)),0)</f>
        <v>1</v>
      </c>
      <c r="BB61" s="36">
        <f>IFERROR(INDEX(tbl_regras_dfr[Fracao_Reciclavel],MATCH(L61&amp;"|Tipo de rótulo|"&amp;AA61,tbl_regras_dfr[Chave],0)),0)</f>
        <v>1</v>
      </c>
      <c r="BC61" s="38">
        <f t="shared" si="24"/>
        <v>54.93</v>
      </c>
      <c r="BD61" s="40">
        <f t="shared" si="25"/>
        <v>1</v>
      </c>
      <c r="BE61" s="33" t="str">
        <f>IF(BD61&gt;=INDEX(tbl_param_emb[Valor],MATCH("P-06",tbl_param_emb[ID_Parametro],0)),"A",IF(BD61&gt;=INDEX(tbl_param_emb[Valor],MATCH("P-07",tbl_param_emb[ID_Parametro],0)),"B",IF(BD61&gt;=INDEX(tbl_param_emb[Valor],MATCH("P-08",tbl_param_emb[ID_Parametro],0)),"C","&lt; 70%")))</f>
        <v>A</v>
      </c>
      <c r="BF61" s="33" t="str">
        <f>IF(AU61="F","Não reciclável (F)",INDEX({"A","B","C","Abaixo de C"},MAX(MIN(AT61,4),IF(BE61="A",1,IF(BE61="B",2,IF(BE61="C",3,4))))))</f>
        <v>A</v>
      </c>
      <c r="BG61" s="33" t="str">
        <f t="shared" si="26"/>
        <v>—</v>
      </c>
      <c r="BH61" s="33" t="str">
        <f t="shared" si="27"/>
        <v>Sim</v>
      </c>
      <c r="BI61" s="33" t="str">
        <f t="shared" si="28"/>
        <v>Sim</v>
      </c>
      <c r="BJ61" s="36">
        <f>IFERROR(INDEX(tbl_materiais[Pct_PCR],MATCH(J61,tbl_materiais[Material],0)),0)</f>
        <v>0</v>
      </c>
      <c r="BK61" s="36">
        <f>IF(V61="",0,IFERROR(INDEX(tbl_tampas[Pct_PCR],MATCH(V61,tbl_tampas[CapId],0)),0))</f>
        <v>0</v>
      </c>
      <c r="BL61" s="40">
        <f t="shared" si="29"/>
        <v>0</v>
      </c>
      <c r="BM61" s="33" t="str">
        <f t="shared" si="30"/>
        <v>Outras embalagens de plástico</v>
      </c>
      <c r="BN61" s="36">
        <f>IFERROR(IF(INDEX(tbl_metas_art7[Meta_2030],MATCH(BM61,tbl_metas_art7[Categoria_Art7],0))="","",INDEX(tbl_metas_art7[Meta_2030],MATCH(BM61,tbl_metas_art7[Categoria_Art7],0))),"")</f>
        <v>0.35</v>
      </c>
      <c r="BO61" s="40">
        <f t="shared" si="31"/>
        <v>0.35</v>
      </c>
      <c r="BP61" s="33" t="str">
        <f t="shared" si="32"/>
        <v>Não</v>
      </c>
      <c r="BQ61" s="33" t="str">
        <f t="shared" si="33"/>
        <v>Monomaterial (mesma família)</v>
      </c>
      <c r="BR61" s="37">
        <v>38151</v>
      </c>
      <c r="BS61" s="39">
        <v>7</v>
      </c>
      <c r="BT61" s="26" t="s">
        <v>728</v>
      </c>
      <c r="BU61" s="32">
        <f t="shared" si="34"/>
        <v>1331.4698999999998</v>
      </c>
      <c r="BV61" s="31">
        <f>COUNTIFS(tbl_aplicabilidade[ProductId],B61,tbl_aplicabilidade[Aplicavel],"Sim")</f>
        <v>12</v>
      </c>
      <c r="BW61" s="31">
        <f>COUNTIFS(tbl_aplicabilidade[ProductId],B61,tbl_aplicabilidade[Estado_Resumo],"Lacuna")+COUNTIFS(tbl_aplicabilidade[ProductId],B61,tbl_aplicabilidade[Estado_Resumo],"Não conforme")</f>
        <v>1</v>
      </c>
      <c r="BX61" s="41">
        <v>46287</v>
      </c>
      <c r="BY61" s="42">
        <f t="shared" si="35"/>
        <v>46652</v>
      </c>
      <c r="BZ61" s="26" t="s">
        <v>596</v>
      </c>
      <c r="CA61" s="26" t="s">
        <v>597</v>
      </c>
      <c r="CB61" s="26" t="s">
        <v>598</v>
      </c>
    </row>
    <row r="62" spans="1:80" ht="18" customHeight="1" x14ac:dyDescent="0.3">
      <c r="A62" s="26" t="s">
        <v>746</v>
      </c>
      <c r="B62" s="26" t="s">
        <v>747</v>
      </c>
      <c r="C62" s="26" t="s">
        <v>586</v>
      </c>
      <c r="D62" s="26" t="s">
        <v>587</v>
      </c>
      <c r="E62" s="26" t="s">
        <v>588</v>
      </c>
      <c r="F62" s="26" t="s">
        <v>589</v>
      </c>
      <c r="G62" s="26" t="s">
        <v>655</v>
      </c>
      <c r="H62" s="37">
        <v>600</v>
      </c>
      <c r="I62" s="37">
        <v>145</v>
      </c>
      <c r="J62" s="26" t="s">
        <v>240</v>
      </c>
      <c r="K62" s="33" t="str">
        <f>IFERROR(INDEX(tbl_materiais[Polimero_Base],MATCH(J62,tbl_materiais[Material],0)),"")</f>
        <v>PP</v>
      </c>
      <c r="L62" s="33" t="str">
        <f>IFERROR(INDEX(tbl_materiais[Fluxo_Reciclagem],MATCH(J62,tbl_materiais[Material],0)),"")</f>
        <v>PP rígido</v>
      </c>
      <c r="M62" s="33" t="str">
        <f t="shared" si="18"/>
        <v>PP rígido — frascos, potes e contentores</v>
      </c>
      <c r="N62" s="26" t="s">
        <v>591</v>
      </c>
      <c r="O62" s="26" t="s">
        <v>283</v>
      </c>
      <c r="P62" s="26" t="s">
        <v>592</v>
      </c>
      <c r="Q62" s="29">
        <v>0.02</v>
      </c>
      <c r="R62" s="35">
        <f>IFERROR(ROUND(INDEX(tbl_materiais[Densidade_g_cm3],MATCH(J62,tbl_materiais[Material],0))+Q62*1.2,3),"")</f>
        <v>0.92900000000000005</v>
      </c>
      <c r="S62" s="26" t="s">
        <v>302</v>
      </c>
      <c r="T62" s="34">
        <v>34.9</v>
      </c>
      <c r="U62" s="26" t="s">
        <v>593</v>
      </c>
      <c r="V62" s="26" t="s">
        <v>452</v>
      </c>
      <c r="W62" s="33" t="str">
        <f>IF(V62="","",IFERROR(INDEX(tbl_tampas[Material],MATCH(V62,tbl_tampas[CapId],0)),""))</f>
        <v>PP</v>
      </c>
      <c r="X62" s="33" t="str">
        <f>IF(V62="","Sem tampa",IFERROR(INDEX(tbl_materiais[Polimero_Base],MATCH(W62,tbl_materiais[Material],0)),""))</f>
        <v>PP</v>
      </c>
      <c r="Y62" s="38">
        <f>IF(V62="",0,IFERROR(INDEX(tbl_tampas[Massa_g],MATCH(V62,tbl_tampas[CapId],0)),0))</f>
        <v>14.3</v>
      </c>
      <c r="Z62" s="26" t="s">
        <v>319</v>
      </c>
      <c r="AA62" s="26" t="s">
        <v>327</v>
      </c>
      <c r="AB62" s="26" t="s">
        <v>342</v>
      </c>
      <c r="AC62" s="29">
        <v>0.4</v>
      </c>
      <c r="AD62" s="27">
        <v>0.73</v>
      </c>
      <c r="AE62" s="26" t="s">
        <v>604</v>
      </c>
      <c r="AF62" s="26" t="s">
        <v>302</v>
      </c>
      <c r="AG62" s="39">
        <v>0</v>
      </c>
      <c r="AH62" s="33" t="str">
        <f t="shared" si="19"/>
        <v>Nenhuma</v>
      </c>
      <c r="AI62" s="27">
        <v>0</v>
      </c>
      <c r="AJ62" s="33" t="str">
        <f>IFERROR(INDEX(tbl_regras_dfr[Classe],MATCH(L62&amp;"|Fluxo de reciclagem|"&amp;L62,tbl_regras_dfr[Chave],0)),"Sem regra")</f>
        <v>A</v>
      </c>
      <c r="AK62" s="33" t="str">
        <f>IF(LEFT(L62,9)="Sem fluxo","—",IFERROR(INDEX(tbl_regras_dfr[Classe],MATCH(L62&amp;"|Cor do corpo|"&amp;O62,tbl_regras_dfr[Chave],0)),"Sem regra"))</f>
        <v>B</v>
      </c>
      <c r="AL62" s="33" t="str">
        <f>IF(LEFT(L62,9)="Sem fluxo","—",IFERROR(INDEX(tbl_regras_dfr[Classe],MATCH(L62&amp;"|Densidade do corpo|"&amp;IF(R62&lt;1,"&lt; 1,0 g/cm³","≥ 1,0 g/cm³"),tbl_regras_dfr[Chave],0)),"Sem regra"))</f>
        <v>A</v>
      </c>
      <c r="AM62" s="33" t="str">
        <f>IF(LEFT(L62,9)="Sem fluxo","—",IFERROR(INDEX(tbl_regras_dfr[Classe],MATCH(L62&amp;"|Barreira / revestimento|"&amp;S62,tbl_regras_dfr[Chave],0)),"Sem regra"))</f>
        <v>A</v>
      </c>
      <c r="AN62" s="33" t="str">
        <f>IF(LEFT(L62,9)="Sem fluxo","—",IFERROR(INDEX(tbl_regras_dfr[Classe],MATCH(L62&amp;"|Material da tampa|"&amp;X62,tbl_regras_dfr[Chave],0)),"Sem regra"))</f>
        <v>A</v>
      </c>
      <c r="AO62" s="33" t="str">
        <f>IF(LEFT(L62,9)="Sem fluxo","—",IFERROR(INDEX(tbl_regras_dfr[Classe],MATCH(L62&amp;"|Vedante / liner|"&amp;Z62,tbl_regras_dfr[Chave],0)),"Sem regra"))</f>
        <v>A</v>
      </c>
      <c r="AP62" s="33" t="str">
        <f>IF(LEFT(L62,9)="Sem fluxo","—",IFERROR(INDEX(tbl_regras_dfr[Classe],MATCH(L62&amp;"|Tipo de rótulo|"&amp;AA62,tbl_regras_dfr[Chave],0)),"Sem regra"))</f>
        <v>A</v>
      </c>
      <c r="AQ62" s="33" t="str">
        <f>IF(LEFT(L62,9)="Sem fluxo","—",IFERROR(INDEX(tbl_regras_dfr[Classe],MATCH(L62&amp;"|Adesivo do rótulo|"&amp;AB62,tbl_regras_dfr[Chave],0)),"Sem regra"))</f>
        <v>A</v>
      </c>
      <c r="AR62" s="33" t="str">
        <f>IF(LEFT(L62,9)="Sem fluxo","—",IFERROR(INDEX(tbl_regras_dfr[Classe],MATCH(L62&amp;"|Cobertura do rótulo|"&amp;IF(AC62&gt;0.7,"&gt; 70% da superfície","≤ 70% da superfície"),tbl_regras_dfr[Chave],0)),"Sem regra"))</f>
        <v>A</v>
      </c>
      <c r="AS62" s="33" t="str">
        <f>IF(LEFT(L62,9)="Sem fluxo","—",IFERROR(INDEX(tbl_regras_dfr[Classe],MATCH(L62&amp;"|Decoração direta|"&amp;AH62,tbl_regras_dfr[Chave],0)),"Sem regra"))</f>
        <v>A</v>
      </c>
      <c r="AT62" s="31">
        <f t="shared" si="20"/>
        <v>2</v>
      </c>
      <c r="AU62" s="33" t="str">
        <f>IF(AT62=0,"",INDEX({"A","B","C","D","E","F"},AT62))</f>
        <v>B</v>
      </c>
      <c r="AV62" s="31">
        <f t="shared" si="21"/>
        <v>0</v>
      </c>
      <c r="AW62" s="33" t="str">
        <f t="shared" si="22"/>
        <v>Cor</v>
      </c>
      <c r="AX62" s="33" t="str">
        <f>IF(AU62="A","Sem ação — manter o design.",IFERROR(INDEX(tbl_regras_dfr[Recomendacao],MATCH(CHOOSE(MATCH(AU62,AJ62:AS62,0),L62&amp;"|Fluxo de reciclagem|"&amp;L62,L62&amp;"|Cor do corpo|"&amp;O62,L62&amp;"|Densidade do corpo|"&amp;IF(R62&lt;1,"&lt; 1,0 g/cm³","≥ 1,0 g/cm³"),L62&amp;"|Barreira / revestimento|"&amp;S62,L62&amp;"|Material da tampa|"&amp;X62,L62&amp;"|Vedante / liner|"&amp;Z62,L62&amp;"|Tipo de rótulo|"&amp;AA62,L62&amp;"|Adesivo do rótulo|"&amp;AB62,L62&amp;"|Cobertura do rótulo|"&amp;IF(AC62&gt;0.7,"&gt; 70% da superfície","≤ 70% da superfície"),L62&amp;"|Decoração direta|"&amp;AH62),tbl_regras_dfr[Chave],0)),""))</f>
        <v>Preferir natural, branco ou cores claras.</v>
      </c>
      <c r="AY62" s="38">
        <f t="shared" si="23"/>
        <v>49.93</v>
      </c>
      <c r="AZ62" s="36">
        <f>MIN(IFERROR(INDEX(tbl_regras_dfr[Fracao_Reciclavel],MATCH(L62&amp;"|Fluxo de reciclagem|"&amp;L62,tbl_regras_dfr[Chave],0)),0),IFERROR(INDEX(tbl_regras_dfr[Fracao_Reciclavel],MATCH(L62&amp;"|Cor do corpo|"&amp;O62,tbl_regras_dfr[Chave],0)),0))</f>
        <v>1</v>
      </c>
      <c r="BA62" s="36">
        <f>IFERROR(INDEX(tbl_regras_dfr[Fracao_Reciclavel],MATCH(L62&amp;"|Material da tampa|"&amp;X62,tbl_regras_dfr[Chave],0)),0)</f>
        <v>1</v>
      </c>
      <c r="BB62" s="36">
        <f>IFERROR(INDEX(tbl_regras_dfr[Fracao_Reciclavel],MATCH(L62&amp;"|Tipo de rótulo|"&amp;AA62,tbl_regras_dfr[Chave],0)),0)</f>
        <v>1</v>
      </c>
      <c r="BC62" s="38">
        <f t="shared" si="24"/>
        <v>49.93</v>
      </c>
      <c r="BD62" s="40">
        <f t="shared" si="25"/>
        <v>1</v>
      </c>
      <c r="BE62" s="33" t="str">
        <f>IF(BD62&gt;=INDEX(tbl_param_emb[Valor],MATCH("P-06",tbl_param_emb[ID_Parametro],0)),"A",IF(BD62&gt;=INDEX(tbl_param_emb[Valor],MATCH("P-07",tbl_param_emb[ID_Parametro],0)),"B",IF(BD62&gt;=INDEX(tbl_param_emb[Valor],MATCH("P-08",tbl_param_emb[ID_Parametro],0)),"C","&lt; 70%")))</f>
        <v>A</v>
      </c>
      <c r="BF62" s="33" t="str">
        <f>IF(AU62="F","Não reciclável (F)",INDEX({"A","B","C","Abaixo de C"},MAX(MIN(AT62,4),IF(BE62="A",1,IF(BE62="B",2,IF(BE62="C",3,4))))))</f>
        <v>B</v>
      </c>
      <c r="BG62" s="33" t="str">
        <f t="shared" si="26"/>
        <v>—</v>
      </c>
      <c r="BH62" s="33" t="str">
        <f t="shared" si="27"/>
        <v>Sim</v>
      </c>
      <c r="BI62" s="33" t="str">
        <f t="shared" si="28"/>
        <v>Sim</v>
      </c>
      <c r="BJ62" s="36">
        <f>IFERROR(INDEX(tbl_materiais[Pct_PCR],MATCH(J62,tbl_materiais[Material],0)),0)</f>
        <v>0</v>
      </c>
      <c r="BK62" s="36">
        <f>IF(V62="",0,IFERROR(INDEX(tbl_tampas[Pct_PCR],MATCH(V62,tbl_tampas[CapId],0)),0))</f>
        <v>0</v>
      </c>
      <c r="BL62" s="40">
        <f t="shared" si="29"/>
        <v>0</v>
      </c>
      <c r="BM62" s="33" t="str">
        <f t="shared" si="30"/>
        <v>Outras embalagens de plástico</v>
      </c>
      <c r="BN62" s="36">
        <f>IFERROR(IF(INDEX(tbl_metas_art7[Meta_2030],MATCH(BM62,tbl_metas_art7[Categoria_Art7],0))="","",INDEX(tbl_metas_art7[Meta_2030],MATCH(BM62,tbl_metas_art7[Categoria_Art7],0))),"")</f>
        <v>0.35</v>
      </c>
      <c r="BO62" s="40">
        <f t="shared" si="31"/>
        <v>0.35</v>
      </c>
      <c r="BP62" s="33" t="str">
        <f t="shared" si="32"/>
        <v>Não</v>
      </c>
      <c r="BQ62" s="33" t="str">
        <f t="shared" si="33"/>
        <v>Monomaterial (mesma família)</v>
      </c>
      <c r="BR62" s="37">
        <v>135044</v>
      </c>
      <c r="BS62" s="39">
        <v>13</v>
      </c>
      <c r="BT62" s="26" t="s">
        <v>457</v>
      </c>
      <c r="BU62" s="32">
        <f t="shared" si="34"/>
        <v>4713.0355999999992</v>
      </c>
      <c r="BV62" s="31">
        <f>COUNTIFS(tbl_aplicabilidade[ProductId],B62,tbl_aplicabilidade[Aplicavel],"Sim")</f>
        <v>12</v>
      </c>
      <c r="BW62" s="31">
        <f>COUNTIFS(tbl_aplicabilidade[ProductId],B62,tbl_aplicabilidade[Estado_Resumo],"Lacuna")+COUNTIFS(tbl_aplicabilidade[ProductId],B62,tbl_aplicabilidade[Estado_Resumo],"Não conforme")</f>
        <v>1</v>
      </c>
      <c r="BX62" s="41">
        <v>46287</v>
      </c>
      <c r="BY62" s="42">
        <f t="shared" si="35"/>
        <v>46652</v>
      </c>
      <c r="BZ62" s="26" t="s">
        <v>596</v>
      </c>
      <c r="CA62" s="26" t="s">
        <v>597</v>
      </c>
      <c r="CB62" s="26" t="s">
        <v>598</v>
      </c>
    </row>
    <row r="63" spans="1:80" ht="18" customHeight="1" x14ac:dyDescent="0.3">
      <c r="A63" s="26" t="s">
        <v>748</v>
      </c>
      <c r="B63" s="26" t="s">
        <v>749</v>
      </c>
      <c r="C63" s="26" t="s">
        <v>586</v>
      </c>
      <c r="D63" s="26" t="s">
        <v>587</v>
      </c>
      <c r="E63" s="26" t="s">
        <v>588</v>
      </c>
      <c r="F63" s="26" t="s">
        <v>589</v>
      </c>
      <c r="G63" s="26" t="s">
        <v>663</v>
      </c>
      <c r="H63" s="37">
        <v>600</v>
      </c>
      <c r="I63" s="37">
        <v>145</v>
      </c>
      <c r="J63" s="26" t="s">
        <v>244</v>
      </c>
      <c r="K63" s="33" t="str">
        <f>IFERROR(INDEX(tbl_materiais[Polimero_Base],MATCH(J63,tbl_materiais[Material],0)),"")</f>
        <v>PP</v>
      </c>
      <c r="L63" s="33" t="str">
        <f>IFERROR(INDEX(tbl_materiais[Fluxo_Reciclagem],MATCH(J63,tbl_materiais[Material],0)),"")</f>
        <v>PP rígido</v>
      </c>
      <c r="M63" s="33" t="str">
        <f t="shared" si="18"/>
        <v>PP rígido — frascos, potes e contentores</v>
      </c>
      <c r="N63" s="26" t="s">
        <v>637</v>
      </c>
      <c r="O63" s="26" t="s">
        <v>281</v>
      </c>
      <c r="P63" s="26" t="s">
        <v>638</v>
      </c>
      <c r="Q63" s="29">
        <v>2.5000000000000001E-2</v>
      </c>
      <c r="R63" s="35">
        <f>IFERROR(ROUND(INDEX(tbl_materiais[Densidade_g_cm3],MATCH(J63,tbl_materiais[Material],0))+Q63*1.2,3),"")</f>
        <v>0.94</v>
      </c>
      <c r="S63" s="26" t="s">
        <v>302</v>
      </c>
      <c r="T63" s="34">
        <v>34.9</v>
      </c>
      <c r="U63" s="26" t="s">
        <v>593</v>
      </c>
      <c r="V63" s="26" t="s">
        <v>475</v>
      </c>
      <c r="W63" s="33" t="str">
        <f>IF(V63="","",IFERROR(INDEX(tbl_tampas[Material],MATCH(V63,tbl_tampas[CapId],0)),""))</f>
        <v>PP-PCR</v>
      </c>
      <c r="X63" s="33" t="str">
        <f>IF(V63="","Sem tampa",IFERROR(INDEX(tbl_materiais[Polimero_Base],MATCH(W63,tbl_materiais[Material],0)),""))</f>
        <v>PP</v>
      </c>
      <c r="Y63" s="38">
        <f>IF(V63="",0,IFERROR(INDEX(tbl_tampas[Massa_g],MATCH(V63,tbl_tampas[CapId],0)),0))</f>
        <v>19.3</v>
      </c>
      <c r="Z63" s="26" t="s">
        <v>319</v>
      </c>
      <c r="AA63" s="26" t="s">
        <v>327</v>
      </c>
      <c r="AB63" s="26" t="s">
        <v>342</v>
      </c>
      <c r="AC63" s="29">
        <v>0.4</v>
      </c>
      <c r="AD63" s="27">
        <v>0.73</v>
      </c>
      <c r="AE63" s="26" t="s">
        <v>604</v>
      </c>
      <c r="AF63" s="26" t="s">
        <v>302</v>
      </c>
      <c r="AG63" s="39">
        <v>0</v>
      </c>
      <c r="AH63" s="33" t="str">
        <f t="shared" si="19"/>
        <v>Nenhuma</v>
      </c>
      <c r="AI63" s="27">
        <v>0</v>
      </c>
      <c r="AJ63" s="33" t="str">
        <f>IFERROR(INDEX(tbl_regras_dfr[Classe],MATCH(L63&amp;"|Fluxo de reciclagem|"&amp;L63,tbl_regras_dfr[Chave],0)),"Sem regra")</f>
        <v>A</v>
      </c>
      <c r="AK63" s="33" t="str">
        <f>IF(LEFT(L63,9)="Sem fluxo","—",IFERROR(INDEX(tbl_regras_dfr[Classe],MATCH(L63&amp;"|Cor do corpo|"&amp;O63,tbl_regras_dfr[Chave],0)),"Sem regra"))</f>
        <v>A</v>
      </c>
      <c r="AL63" s="33" t="str">
        <f>IF(LEFT(L63,9)="Sem fluxo","—",IFERROR(INDEX(tbl_regras_dfr[Classe],MATCH(L63&amp;"|Densidade do corpo|"&amp;IF(R63&lt;1,"&lt; 1,0 g/cm³","≥ 1,0 g/cm³"),tbl_regras_dfr[Chave],0)),"Sem regra"))</f>
        <v>A</v>
      </c>
      <c r="AM63" s="33" t="str">
        <f>IF(LEFT(L63,9)="Sem fluxo","—",IFERROR(INDEX(tbl_regras_dfr[Classe],MATCH(L63&amp;"|Barreira / revestimento|"&amp;S63,tbl_regras_dfr[Chave],0)),"Sem regra"))</f>
        <v>A</v>
      </c>
      <c r="AN63" s="33" t="str">
        <f>IF(LEFT(L63,9)="Sem fluxo","—",IFERROR(INDEX(tbl_regras_dfr[Classe],MATCH(L63&amp;"|Material da tampa|"&amp;X63,tbl_regras_dfr[Chave],0)),"Sem regra"))</f>
        <v>A</v>
      </c>
      <c r="AO63" s="33" t="str">
        <f>IF(LEFT(L63,9)="Sem fluxo","—",IFERROR(INDEX(tbl_regras_dfr[Classe],MATCH(L63&amp;"|Vedante / liner|"&amp;Z63,tbl_regras_dfr[Chave],0)),"Sem regra"))</f>
        <v>A</v>
      </c>
      <c r="AP63" s="33" t="str">
        <f>IF(LEFT(L63,9)="Sem fluxo","—",IFERROR(INDEX(tbl_regras_dfr[Classe],MATCH(L63&amp;"|Tipo de rótulo|"&amp;AA63,tbl_regras_dfr[Chave],0)),"Sem regra"))</f>
        <v>A</v>
      </c>
      <c r="AQ63" s="33" t="str">
        <f>IF(LEFT(L63,9)="Sem fluxo","—",IFERROR(INDEX(tbl_regras_dfr[Classe],MATCH(L63&amp;"|Adesivo do rótulo|"&amp;AB63,tbl_regras_dfr[Chave],0)),"Sem regra"))</f>
        <v>A</v>
      </c>
      <c r="AR63" s="33" t="str">
        <f>IF(LEFT(L63,9)="Sem fluxo","—",IFERROR(INDEX(tbl_regras_dfr[Classe],MATCH(L63&amp;"|Cobertura do rótulo|"&amp;IF(AC63&gt;0.7,"&gt; 70% da superfície","≤ 70% da superfície"),tbl_regras_dfr[Chave],0)),"Sem regra"))</f>
        <v>A</v>
      </c>
      <c r="AS63" s="33" t="str">
        <f>IF(LEFT(L63,9)="Sem fluxo","—",IFERROR(INDEX(tbl_regras_dfr[Classe],MATCH(L63&amp;"|Decoração direta|"&amp;AH63,tbl_regras_dfr[Chave],0)),"Sem regra"))</f>
        <v>A</v>
      </c>
      <c r="AT63" s="31">
        <f t="shared" si="20"/>
        <v>1</v>
      </c>
      <c r="AU63" s="33" t="str">
        <f>IF(AT63=0,"",INDEX({"A","B","C","D","E","F"},AT63))</f>
        <v>A</v>
      </c>
      <c r="AV63" s="31">
        <f t="shared" si="21"/>
        <v>0</v>
      </c>
      <c r="AW63" s="33" t="str">
        <f t="shared" si="22"/>
        <v>—</v>
      </c>
      <c r="AX63" s="33" t="str">
        <f>IF(AU63="A","Sem ação — manter o design.",IFERROR(INDEX(tbl_regras_dfr[Recomendacao],MATCH(CHOOSE(MATCH(AU63,AJ63:AS63,0),L63&amp;"|Fluxo de reciclagem|"&amp;L63,L63&amp;"|Cor do corpo|"&amp;O63,L63&amp;"|Densidade do corpo|"&amp;IF(R63&lt;1,"&lt; 1,0 g/cm³","≥ 1,0 g/cm³"),L63&amp;"|Barreira / revestimento|"&amp;S63,L63&amp;"|Material da tampa|"&amp;X63,L63&amp;"|Vedante / liner|"&amp;Z63,L63&amp;"|Tipo de rótulo|"&amp;AA63,L63&amp;"|Adesivo do rótulo|"&amp;AB63,L63&amp;"|Cobertura do rótulo|"&amp;IF(AC63&gt;0.7,"&gt; 70% da superfície","≤ 70% da superfície"),L63&amp;"|Decoração direta|"&amp;AH63),tbl_regras_dfr[Chave],0)),""))</f>
        <v>Sem ação — manter o design.</v>
      </c>
      <c r="AY63" s="38">
        <f t="shared" si="23"/>
        <v>54.93</v>
      </c>
      <c r="AZ63" s="36">
        <f>MIN(IFERROR(INDEX(tbl_regras_dfr[Fracao_Reciclavel],MATCH(L63&amp;"|Fluxo de reciclagem|"&amp;L63,tbl_regras_dfr[Chave],0)),0),IFERROR(INDEX(tbl_regras_dfr[Fracao_Reciclavel],MATCH(L63&amp;"|Cor do corpo|"&amp;O63,tbl_regras_dfr[Chave],0)),0))</f>
        <v>1</v>
      </c>
      <c r="BA63" s="36">
        <f>IFERROR(INDEX(tbl_regras_dfr[Fracao_Reciclavel],MATCH(L63&amp;"|Material da tampa|"&amp;X63,tbl_regras_dfr[Chave],0)),0)</f>
        <v>1</v>
      </c>
      <c r="BB63" s="36">
        <f>IFERROR(INDEX(tbl_regras_dfr[Fracao_Reciclavel],MATCH(L63&amp;"|Tipo de rótulo|"&amp;AA63,tbl_regras_dfr[Chave],0)),0)</f>
        <v>1</v>
      </c>
      <c r="BC63" s="38">
        <f t="shared" si="24"/>
        <v>54.93</v>
      </c>
      <c r="BD63" s="40">
        <f t="shared" si="25"/>
        <v>1</v>
      </c>
      <c r="BE63" s="33" t="str">
        <f>IF(BD63&gt;=INDEX(tbl_param_emb[Valor],MATCH("P-06",tbl_param_emb[ID_Parametro],0)),"A",IF(BD63&gt;=INDEX(tbl_param_emb[Valor],MATCH("P-07",tbl_param_emb[ID_Parametro],0)),"B",IF(BD63&gt;=INDEX(tbl_param_emb[Valor],MATCH("P-08",tbl_param_emb[ID_Parametro],0)),"C","&lt; 70%")))</f>
        <v>A</v>
      </c>
      <c r="BF63" s="33" t="str">
        <f>IF(AU63="F","Não reciclável (F)",INDEX({"A","B","C","Abaixo de C"},MAX(MIN(AT63,4),IF(BE63="A",1,IF(BE63="B",2,IF(BE63="C",3,4))))))</f>
        <v>A</v>
      </c>
      <c r="BG63" s="33" t="str">
        <f t="shared" si="26"/>
        <v>—</v>
      </c>
      <c r="BH63" s="33" t="str">
        <f t="shared" si="27"/>
        <v>Sim</v>
      </c>
      <c r="BI63" s="33" t="str">
        <f t="shared" si="28"/>
        <v>Sim</v>
      </c>
      <c r="BJ63" s="36">
        <f>IFERROR(INDEX(tbl_materiais[Pct_PCR],MATCH(J63,tbl_materiais[Material],0)),0)</f>
        <v>0.3</v>
      </c>
      <c r="BK63" s="36">
        <f>IF(V63="",0,IFERROR(INDEX(tbl_tampas[Pct_PCR],MATCH(V63,tbl_tampas[CapId],0)),0))</f>
        <v>0.3</v>
      </c>
      <c r="BL63" s="40">
        <f t="shared" si="29"/>
        <v>0.29999999999999993</v>
      </c>
      <c r="BM63" s="33" t="str">
        <f t="shared" si="30"/>
        <v>Outras embalagens de plástico</v>
      </c>
      <c r="BN63" s="36">
        <f>IFERROR(IF(INDEX(tbl_metas_art7[Meta_2030],MATCH(BM63,tbl_metas_art7[Categoria_Art7],0))="","",INDEX(tbl_metas_art7[Meta_2030],MATCH(BM63,tbl_metas_art7[Categoria_Art7],0))),"")</f>
        <v>0.35</v>
      </c>
      <c r="BO63" s="40">
        <f t="shared" si="31"/>
        <v>5.0000000000000044E-2</v>
      </c>
      <c r="BP63" s="33" t="str">
        <f t="shared" si="32"/>
        <v>Não</v>
      </c>
      <c r="BQ63" s="33" t="str">
        <f t="shared" si="33"/>
        <v>Monomaterial (mesma família)</v>
      </c>
      <c r="BR63" s="37">
        <v>28096</v>
      </c>
      <c r="BS63" s="39">
        <v>5</v>
      </c>
      <c r="BT63" s="26" t="s">
        <v>750</v>
      </c>
      <c r="BU63" s="32">
        <f t="shared" si="34"/>
        <v>980.55039999999985</v>
      </c>
      <c r="BV63" s="31">
        <f>COUNTIFS(tbl_aplicabilidade[ProductId],B63,tbl_aplicabilidade[Aplicavel],"Sim")</f>
        <v>12</v>
      </c>
      <c r="BW63" s="31">
        <f>COUNTIFS(tbl_aplicabilidade[ProductId],B63,tbl_aplicabilidade[Estado_Resumo],"Lacuna")+COUNTIFS(tbl_aplicabilidade[ProductId],B63,tbl_aplicabilidade[Estado_Resumo],"Não conforme")</f>
        <v>1</v>
      </c>
      <c r="BX63" s="41">
        <v>46287</v>
      </c>
      <c r="BY63" s="42">
        <f t="shared" si="35"/>
        <v>46652</v>
      </c>
      <c r="BZ63" s="26" t="s">
        <v>596</v>
      </c>
      <c r="CA63" s="26" t="s">
        <v>597</v>
      </c>
      <c r="CB63" s="26" t="s">
        <v>598</v>
      </c>
    </row>
    <row r="64" spans="1:80" ht="18" customHeight="1" x14ac:dyDescent="0.3">
      <c r="A64" s="26" t="s">
        <v>751</v>
      </c>
      <c r="B64" s="26" t="s">
        <v>752</v>
      </c>
      <c r="C64" s="26" t="s">
        <v>586</v>
      </c>
      <c r="D64" s="26" t="s">
        <v>587</v>
      </c>
      <c r="E64" s="26" t="s">
        <v>588</v>
      </c>
      <c r="F64" s="26" t="s">
        <v>589</v>
      </c>
      <c r="G64" s="26" t="s">
        <v>663</v>
      </c>
      <c r="H64" s="37">
        <v>600</v>
      </c>
      <c r="I64" s="37">
        <v>145</v>
      </c>
      <c r="J64" s="26" t="s">
        <v>244</v>
      </c>
      <c r="K64" s="33" t="str">
        <f>IFERROR(INDEX(tbl_materiais[Polimero_Base],MATCH(J64,tbl_materiais[Material],0)),"")</f>
        <v>PP</v>
      </c>
      <c r="L64" s="33" t="str">
        <f>IFERROR(INDEX(tbl_materiais[Fluxo_Reciclagem],MATCH(J64,tbl_materiais[Material],0)),"")</f>
        <v>PP rígido</v>
      </c>
      <c r="M64" s="33" t="str">
        <f t="shared" si="18"/>
        <v>PP rígido — frascos, potes e contentores</v>
      </c>
      <c r="N64" s="26" t="s">
        <v>697</v>
      </c>
      <c r="O64" s="26" t="s">
        <v>289</v>
      </c>
      <c r="P64" s="26" t="s">
        <v>698</v>
      </c>
      <c r="Q64" s="29">
        <v>0.02</v>
      </c>
      <c r="R64" s="35">
        <f>IFERROR(ROUND(INDEX(tbl_materiais[Densidade_g_cm3],MATCH(J64,tbl_materiais[Material],0))+Q64*1.2,3),"")</f>
        <v>0.93400000000000005</v>
      </c>
      <c r="S64" s="26" t="s">
        <v>302</v>
      </c>
      <c r="T64" s="34">
        <v>34.9</v>
      </c>
      <c r="U64" s="26" t="s">
        <v>593</v>
      </c>
      <c r="V64" s="26" t="s">
        <v>455</v>
      </c>
      <c r="W64" s="33" t="str">
        <f>IF(V64="","",IFERROR(INDEX(tbl_tampas[Material],MATCH(V64,tbl_tampas[CapId],0)),""))</f>
        <v>PP-PCR</v>
      </c>
      <c r="X64" s="33" t="str">
        <f>IF(V64="","Sem tampa",IFERROR(INDEX(tbl_materiais[Polimero_Base],MATCH(W64,tbl_materiais[Material],0)),""))</f>
        <v>PP</v>
      </c>
      <c r="Y64" s="38">
        <f>IF(V64="",0,IFERROR(INDEX(tbl_tampas[Massa_g],MATCH(V64,tbl_tampas[CapId],0)),0))</f>
        <v>14.3</v>
      </c>
      <c r="Z64" s="26" t="s">
        <v>319</v>
      </c>
      <c r="AA64" s="26" t="s">
        <v>327</v>
      </c>
      <c r="AB64" s="26" t="s">
        <v>342</v>
      </c>
      <c r="AC64" s="29">
        <v>0.4</v>
      </c>
      <c r="AD64" s="27">
        <v>0.73</v>
      </c>
      <c r="AE64" s="26" t="s">
        <v>604</v>
      </c>
      <c r="AF64" s="26" t="s">
        <v>302</v>
      </c>
      <c r="AG64" s="39">
        <v>0</v>
      </c>
      <c r="AH64" s="33" t="str">
        <f t="shared" si="19"/>
        <v>Nenhuma</v>
      </c>
      <c r="AI64" s="27">
        <v>0</v>
      </c>
      <c r="AJ64" s="33" t="str">
        <f>IFERROR(INDEX(tbl_regras_dfr[Classe],MATCH(L64&amp;"|Fluxo de reciclagem|"&amp;L64,tbl_regras_dfr[Chave],0)),"Sem regra")</f>
        <v>A</v>
      </c>
      <c r="AK64" s="33" t="str">
        <f>IF(LEFT(L64,9)="Sem fluxo","—",IFERROR(INDEX(tbl_regras_dfr[Classe],MATCH(L64&amp;"|Cor do corpo|"&amp;O64,tbl_regras_dfr[Chave],0)),"Sem regra"))</f>
        <v>F</v>
      </c>
      <c r="AL64" s="33" t="str">
        <f>IF(LEFT(L64,9)="Sem fluxo","—",IFERROR(INDEX(tbl_regras_dfr[Classe],MATCH(L64&amp;"|Densidade do corpo|"&amp;IF(R64&lt;1,"&lt; 1,0 g/cm³","≥ 1,0 g/cm³"),tbl_regras_dfr[Chave],0)),"Sem regra"))</f>
        <v>A</v>
      </c>
      <c r="AM64" s="33" t="str">
        <f>IF(LEFT(L64,9)="Sem fluxo","—",IFERROR(INDEX(tbl_regras_dfr[Classe],MATCH(L64&amp;"|Barreira / revestimento|"&amp;S64,tbl_regras_dfr[Chave],0)),"Sem regra"))</f>
        <v>A</v>
      </c>
      <c r="AN64" s="33" t="str">
        <f>IF(LEFT(L64,9)="Sem fluxo","—",IFERROR(INDEX(tbl_regras_dfr[Classe],MATCH(L64&amp;"|Material da tampa|"&amp;X64,tbl_regras_dfr[Chave],0)),"Sem regra"))</f>
        <v>A</v>
      </c>
      <c r="AO64" s="33" t="str">
        <f>IF(LEFT(L64,9)="Sem fluxo","—",IFERROR(INDEX(tbl_regras_dfr[Classe],MATCH(L64&amp;"|Vedante / liner|"&amp;Z64,tbl_regras_dfr[Chave],0)),"Sem regra"))</f>
        <v>A</v>
      </c>
      <c r="AP64" s="33" t="str">
        <f>IF(LEFT(L64,9)="Sem fluxo","—",IFERROR(INDEX(tbl_regras_dfr[Classe],MATCH(L64&amp;"|Tipo de rótulo|"&amp;AA64,tbl_regras_dfr[Chave],0)),"Sem regra"))</f>
        <v>A</v>
      </c>
      <c r="AQ64" s="33" t="str">
        <f>IF(LEFT(L64,9)="Sem fluxo","—",IFERROR(INDEX(tbl_regras_dfr[Classe],MATCH(L64&amp;"|Adesivo do rótulo|"&amp;AB64,tbl_regras_dfr[Chave],0)),"Sem regra"))</f>
        <v>A</v>
      </c>
      <c r="AR64" s="33" t="str">
        <f>IF(LEFT(L64,9)="Sem fluxo","—",IFERROR(INDEX(tbl_regras_dfr[Classe],MATCH(L64&amp;"|Cobertura do rótulo|"&amp;IF(AC64&gt;0.7,"&gt; 70% da superfície","≤ 70% da superfície"),tbl_regras_dfr[Chave],0)),"Sem regra"))</f>
        <v>A</v>
      </c>
      <c r="AS64" s="33" t="str">
        <f>IF(LEFT(L64,9)="Sem fluxo","—",IFERROR(INDEX(tbl_regras_dfr[Classe],MATCH(L64&amp;"|Decoração direta|"&amp;AH64,tbl_regras_dfr[Chave],0)),"Sem regra"))</f>
        <v>A</v>
      </c>
      <c r="AT64" s="31">
        <f t="shared" si="20"/>
        <v>6</v>
      </c>
      <c r="AU64" s="33" t="str">
        <f>IF(AT64=0,"",INDEX({"A","B","C","D","E","F"},AT64))</f>
        <v>F</v>
      </c>
      <c r="AV64" s="31">
        <f t="shared" si="21"/>
        <v>0</v>
      </c>
      <c r="AW64" s="33" t="str">
        <f t="shared" si="22"/>
        <v>Cor</v>
      </c>
      <c r="AX64" s="33" t="str">
        <f>IF(AU64="A","Sem ação — manter o design.",IFERROR(INDEX(tbl_regras_dfr[Recomendacao],MATCH(CHOOSE(MATCH(AU64,AJ64:AS64,0),L64&amp;"|Fluxo de reciclagem|"&amp;L64,L64&amp;"|Cor do corpo|"&amp;O64,L64&amp;"|Densidade do corpo|"&amp;IF(R64&lt;1,"&lt; 1,0 g/cm³","≥ 1,0 g/cm³"),L64&amp;"|Barreira / revestimento|"&amp;S64,L64&amp;"|Material da tampa|"&amp;X64,L64&amp;"|Vedante / liner|"&amp;Z64,L64&amp;"|Tipo de rótulo|"&amp;AA64,L64&amp;"|Adesivo do rótulo|"&amp;AB64,L64&amp;"|Cobertura do rótulo|"&amp;IF(AC64&gt;0.7,"&gt; 70% da superfície","≤ 70% da superfície"),L64&amp;"|Decoração direta|"&amp;AH64),tbl_regras_dfr[Chave],0)),""))</f>
        <v>Substituir o masterbatch por preto detetável por NIR (pigmentos sem negro de carbono).</v>
      </c>
      <c r="AY64" s="38">
        <f t="shared" si="23"/>
        <v>49.93</v>
      </c>
      <c r="AZ64" s="36">
        <f>MIN(IFERROR(INDEX(tbl_regras_dfr[Fracao_Reciclavel],MATCH(L64&amp;"|Fluxo de reciclagem|"&amp;L64,tbl_regras_dfr[Chave],0)),0),IFERROR(INDEX(tbl_regras_dfr[Fracao_Reciclavel],MATCH(L64&amp;"|Cor do corpo|"&amp;O64,tbl_regras_dfr[Chave],0)),0))</f>
        <v>0</v>
      </c>
      <c r="BA64" s="36">
        <f>IFERROR(INDEX(tbl_regras_dfr[Fracao_Reciclavel],MATCH(L64&amp;"|Material da tampa|"&amp;X64,tbl_regras_dfr[Chave],0)),0)</f>
        <v>1</v>
      </c>
      <c r="BB64" s="36">
        <f>IFERROR(INDEX(tbl_regras_dfr[Fracao_Reciclavel],MATCH(L64&amp;"|Tipo de rótulo|"&amp;AA64,tbl_regras_dfr[Chave],0)),0)</f>
        <v>1</v>
      </c>
      <c r="BC64" s="38">
        <f t="shared" si="24"/>
        <v>0</v>
      </c>
      <c r="BD64" s="40">
        <f t="shared" si="25"/>
        <v>0</v>
      </c>
      <c r="BE64" s="33" t="str">
        <f>IF(BD64&gt;=INDEX(tbl_param_emb[Valor],MATCH("P-06",tbl_param_emb[ID_Parametro],0)),"A",IF(BD64&gt;=INDEX(tbl_param_emb[Valor],MATCH("P-07",tbl_param_emb[ID_Parametro],0)),"B",IF(BD64&gt;=INDEX(tbl_param_emb[Valor],MATCH("P-08",tbl_param_emb[ID_Parametro],0)),"C","&lt; 70%")))</f>
        <v>&lt; 70%</v>
      </c>
      <c r="BF64" s="33" t="str">
        <f>IF(AU64="F","Não reciclável (F)",INDEX({"A","B","C","Abaixo de C"},MAX(MIN(AT64,4),IF(BE64="A",1,IF(BE64="B",2,IF(BE64="C",3,4))))))</f>
        <v>Não reciclável (F)</v>
      </c>
      <c r="BG64" s="33" t="str">
        <f t="shared" si="26"/>
        <v>—</v>
      </c>
      <c r="BH64" s="33" t="str">
        <f t="shared" si="27"/>
        <v>Não</v>
      </c>
      <c r="BI64" s="33" t="str">
        <f t="shared" si="28"/>
        <v>Não</v>
      </c>
      <c r="BJ64" s="36">
        <f>IFERROR(INDEX(tbl_materiais[Pct_PCR],MATCH(J64,tbl_materiais[Material],0)),0)</f>
        <v>0.3</v>
      </c>
      <c r="BK64" s="36">
        <f>IF(V64="",0,IFERROR(INDEX(tbl_tampas[Pct_PCR],MATCH(V64,tbl_tampas[CapId],0)),0))</f>
        <v>0.3</v>
      </c>
      <c r="BL64" s="40">
        <f t="shared" si="29"/>
        <v>0.29999999999999993</v>
      </c>
      <c r="BM64" s="33" t="str">
        <f t="shared" si="30"/>
        <v>Outras embalagens de plástico</v>
      </c>
      <c r="BN64" s="36">
        <f>IFERROR(IF(INDEX(tbl_metas_art7[Meta_2030],MATCH(BM64,tbl_metas_art7[Categoria_Art7],0))="","",INDEX(tbl_metas_art7[Meta_2030],MATCH(BM64,tbl_metas_art7[Categoria_Art7],0))),"")</f>
        <v>0.35</v>
      </c>
      <c r="BO64" s="40">
        <f t="shared" si="31"/>
        <v>5.0000000000000044E-2</v>
      </c>
      <c r="BP64" s="33" t="str">
        <f t="shared" si="32"/>
        <v>Não</v>
      </c>
      <c r="BQ64" s="33" t="str">
        <f t="shared" si="33"/>
        <v>Monomaterial (mesma família)</v>
      </c>
      <c r="BR64" s="37">
        <v>165820</v>
      </c>
      <c r="BS64" s="39">
        <v>12</v>
      </c>
      <c r="BT64" s="26" t="s">
        <v>664</v>
      </c>
      <c r="BU64" s="32">
        <f t="shared" si="34"/>
        <v>5787.1180000000004</v>
      </c>
      <c r="BV64" s="31">
        <f>COUNTIFS(tbl_aplicabilidade[ProductId],B64,tbl_aplicabilidade[Aplicavel],"Sim")</f>
        <v>12</v>
      </c>
      <c r="BW64" s="31">
        <f>COUNTIFS(tbl_aplicabilidade[ProductId],B64,tbl_aplicabilidade[Estado_Resumo],"Lacuna")+COUNTIFS(tbl_aplicabilidade[ProductId],B64,tbl_aplicabilidade[Estado_Resumo],"Não conforme")</f>
        <v>2</v>
      </c>
      <c r="BX64" s="41">
        <v>46287</v>
      </c>
      <c r="BY64" s="42">
        <f t="shared" si="35"/>
        <v>46652</v>
      </c>
      <c r="BZ64" s="26" t="s">
        <v>596</v>
      </c>
      <c r="CA64" s="26" t="s">
        <v>597</v>
      </c>
      <c r="CB64" s="26" t="s">
        <v>598</v>
      </c>
    </row>
    <row r="65" spans="1:80" ht="18" customHeight="1" x14ac:dyDescent="0.3">
      <c r="A65" s="26" t="s">
        <v>753</v>
      </c>
      <c r="B65" s="26" t="s">
        <v>754</v>
      </c>
      <c r="C65" s="26" t="s">
        <v>586</v>
      </c>
      <c r="D65" s="26" t="s">
        <v>587</v>
      </c>
      <c r="E65" s="26" t="s">
        <v>588</v>
      </c>
      <c r="F65" s="26" t="s">
        <v>589</v>
      </c>
      <c r="G65" s="26" t="s">
        <v>609</v>
      </c>
      <c r="H65" s="37">
        <v>600</v>
      </c>
      <c r="I65" s="37">
        <v>145</v>
      </c>
      <c r="J65" s="26" t="s">
        <v>253</v>
      </c>
      <c r="K65" s="33" t="str">
        <f>IFERROR(INDEX(tbl_materiais[Polimero_Base],MATCH(J65,tbl_materiais[Material],0)),"")</f>
        <v>PET</v>
      </c>
      <c r="L65" s="33" t="str">
        <f>IFERROR(INDEX(tbl_materiais[Fluxo_Reciclagem],MATCH(J65,tbl_materiais[Material],0)),"")</f>
        <v>PET frascos e garrafas</v>
      </c>
      <c r="M65" s="33" t="str">
        <f t="shared" si="18"/>
        <v>PET — garrafas/frascos transparentes incolores</v>
      </c>
      <c r="N65" s="26" t="s">
        <v>610</v>
      </c>
      <c r="O65" s="26" t="s">
        <v>279</v>
      </c>
      <c r="P65" s="26" t="s">
        <v>611</v>
      </c>
      <c r="Q65" s="29">
        <v>0</v>
      </c>
      <c r="R65" s="35">
        <f>IFERROR(ROUND(INDEX(tbl_materiais[Densidade_g_cm3],MATCH(J65,tbl_materiais[Material],0))+Q65*1.2,3),"")</f>
        <v>1.38</v>
      </c>
      <c r="S65" s="26" t="s">
        <v>302</v>
      </c>
      <c r="T65" s="34">
        <v>34.9</v>
      </c>
      <c r="U65" s="26" t="s">
        <v>593</v>
      </c>
      <c r="V65" s="26" t="s">
        <v>473</v>
      </c>
      <c r="W65" s="33" t="str">
        <f>IF(V65="","",IFERROR(INDEX(tbl_tampas[Material],MATCH(V65,tbl_tampas[CapId],0)),""))</f>
        <v>PP</v>
      </c>
      <c r="X65" s="33" t="str">
        <f>IF(V65="","Sem tampa",IFERROR(INDEX(tbl_materiais[Polimero_Base],MATCH(W65,tbl_materiais[Material],0)),""))</f>
        <v>PP</v>
      </c>
      <c r="Y65" s="38">
        <f>IF(V65="",0,IFERROR(INDEX(tbl_tampas[Massa_g],MATCH(V65,tbl_tampas[CapId],0)),0))</f>
        <v>19.3</v>
      </c>
      <c r="Z65" s="26" t="s">
        <v>319</v>
      </c>
      <c r="AA65" s="26" t="s">
        <v>327</v>
      </c>
      <c r="AB65" s="26" t="s">
        <v>343</v>
      </c>
      <c r="AC65" s="29">
        <v>0.4</v>
      </c>
      <c r="AD65" s="27">
        <v>0.73</v>
      </c>
      <c r="AE65" s="26" t="s">
        <v>604</v>
      </c>
      <c r="AF65" s="26" t="s">
        <v>302</v>
      </c>
      <c r="AG65" s="39">
        <v>0</v>
      </c>
      <c r="AH65" s="33" t="str">
        <f t="shared" si="19"/>
        <v>Nenhuma</v>
      </c>
      <c r="AI65" s="27">
        <v>0</v>
      </c>
      <c r="AJ65" s="33" t="str">
        <f>IFERROR(INDEX(tbl_regras_dfr[Classe],MATCH(L65&amp;"|Fluxo de reciclagem|"&amp;L65,tbl_regras_dfr[Chave],0)),"Sem regra")</f>
        <v>A</v>
      </c>
      <c r="AK65" s="33" t="str">
        <f>IF(LEFT(L65,9)="Sem fluxo","—",IFERROR(INDEX(tbl_regras_dfr[Classe],MATCH(L65&amp;"|Cor do corpo|"&amp;O65,tbl_regras_dfr[Chave],0)),"Sem regra"))</f>
        <v>A</v>
      </c>
      <c r="AL65" s="33" t="str">
        <f>IF(LEFT(L65,9)="Sem fluxo","—",IFERROR(INDEX(tbl_regras_dfr[Classe],MATCH(L65&amp;"|Densidade do corpo|"&amp;IF(R65&lt;1,"&lt; 1,0 g/cm³","≥ 1,0 g/cm³"),tbl_regras_dfr[Chave],0)),"Sem regra"))</f>
        <v>A</v>
      </c>
      <c r="AM65" s="33" t="str">
        <f>IF(LEFT(L65,9)="Sem fluxo","—",IFERROR(INDEX(tbl_regras_dfr[Classe],MATCH(L65&amp;"|Barreira / revestimento|"&amp;S65,tbl_regras_dfr[Chave],0)),"Sem regra"))</f>
        <v>A</v>
      </c>
      <c r="AN65" s="33" t="str">
        <f>IF(LEFT(L65,9)="Sem fluxo","—",IFERROR(INDEX(tbl_regras_dfr[Classe],MATCH(L65&amp;"|Material da tampa|"&amp;X65,tbl_regras_dfr[Chave],0)),"Sem regra"))</f>
        <v>A</v>
      </c>
      <c r="AO65" s="33" t="str">
        <f>IF(LEFT(L65,9)="Sem fluxo","—",IFERROR(INDEX(tbl_regras_dfr[Classe],MATCH(L65&amp;"|Vedante / liner|"&amp;Z65,tbl_regras_dfr[Chave],0)),"Sem regra"))</f>
        <v>A</v>
      </c>
      <c r="AP65" s="33" t="str">
        <f>IF(LEFT(L65,9)="Sem fluxo","—",IFERROR(INDEX(tbl_regras_dfr[Classe],MATCH(L65&amp;"|Tipo de rótulo|"&amp;AA65,tbl_regras_dfr[Chave],0)),"Sem regra"))</f>
        <v>A</v>
      </c>
      <c r="AQ65" s="33" t="str">
        <f>IF(LEFT(L65,9)="Sem fluxo","—",IFERROR(INDEX(tbl_regras_dfr[Classe],MATCH(L65&amp;"|Adesivo do rótulo|"&amp;AB65,tbl_regras_dfr[Chave],0)),"Sem regra"))</f>
        <v>A</v>
      </c>
      <c r="AR65" s="33" t="str">
        <f>IF(LEFT(L65,9)="Sem fluxo","—",IFERROR(INDEX(tbl_regras_dfr[Classe],MATCH(L65&amp;"|Cobertura do rótulo|"&amp;IF(AC65&gt;0.7,"&gt; 70% da superfície","≤ 70% da superfície"),tbl_regras_dfr[Chave],0)),"Sem regra"))</f>
        <v>A</v>
      </c>
      <c r="AS65" s="33" t="str">
        <f>IF(LEFT(L65,9)="Sem fluxo","—",IFERROR(INDEX(tbl_regras_dfr[Classe],MATCH(L65&amp;"|Decoração direta|"&amp;AH65,tbl_regras_dfr[Chave],0)),"Sem regra"))</f>
        <v>A</v>
      </c>
      <c r="AT65" s="31">
        <f t="shared" si="20"/>
        <v>1</v>
      </c>
      <c r="AU65" s="33" t="str">
        <f>IF(AT65=0,"",INDEX({"A","B","C","D","E","F"},AT65))</f>
        <v>A</v>
      </c>
      <c r="AV65" s="31">
        <f t="shared" si="21"/>
        <v>0</v>
      </c>
      <c r="AW65" s="33" t="str">
        <f t="shared" si="22"/>
        <v>—</v>
      </c>
      <c r="AX65" s="33" t="str">
        <f>IF(AU65="A","Sem ação — manter o design.",IFERROR(INDEX(tbl_regras_dfr[Recomendacao],MATCH(CHOOSE(MATCH(AU65,AJ65:AS65,0),L65&amp;"|Fluxo de reciclagem|"&amp;L65,L65&amp;"|Cor do corpo|"&amp;O65,L65&amp;"|Densidade do corpo|"&amp;IF(R65&lt;1,"&lt; 1,0 g/cm³","≥ 1,0 g/cm³"),L65&amp;"|Barreira / revestimento|"&amp;S65,L65&amp;"|Material da tampa|"&amp;X65,L65&amp;"|Vedante / liner|"&amp;Z65,L65&amp;"|Tipo de rótulo|"&amp;AA65,L65&amp;"|Adesivo do rótulo|"&amp;AB65,L65&amp;"|Cobertura do rótulo|"&amp;IF(AC65&gt;0.7,"&gt; 70% da superfície","≤ 70% da superfície"),L65&amp;"|Decoração direta|"&amp;AH65),tbl_regras_dfr[Chave],0)),""))</f>
        <v>Sem ação — manter o design.</v>
      </c>
      <c r="AY65" s="38">
        <f t="shared" si="23"/>
        <v>54.93</v>
      </c>
      <c r="AZ65" s="36">
        <f>MIN(IFERROR(INDEX(tbl_regras_dfr[Fracao_Reciclavel],MATCH(L65&amp;"|Fluxo de reciclagem|"&amp;L65,tbl_regras_dfr[Chave],0)),0),IFERROR(INDEX(tbl_regras_dfr[Fracao_Reciclavel],MATCH(L65&amp;"|Cor do corpo|"&amp;O65,tbl_regras_dfr[Chave],0)),0))</f>
        <v>1</v>
      </c>
      <c r="BA65" s="36">
        <f>IFERROR(INDEX(tbl_regras_dfr[Fracao_Reciclavel],MATCH(L65&amp;"|Material da tampa|"&amp;X65,tbl_regras_dfr[Chave],0)),0)</f>
        <v>1</v>
      </c>
      <c r="BB65" s="36">
        <f>IFERROR(INDEX(tbl_regras_dfr[Fracao_Reciclavel],MATCH(L65&amp;"|Tipo de rótulo|"&amp;AA65,tbl_regras_dfr[Chave],0)),0)</f>
        <v>1</v>
      </c>
      <c r="BC65" s="38">
        <f t="shared" si="24"/>
        <v>54.93</v>
      </c>
      <c r="BD65" s="40">
        <f t="shared" si="25"/>
        <v>1</v>
      </c>
      <c r="BE65" s="33" t="str">
        <f>IF(BD65&gt;=INDEX(tbl_param_emb[Valor],MATCH("P-06",tbl_param_emb[ID_Parametro],0)),"A",IF(BD65&gt;=INDEX(tbl_param_emb[Valor],MATCH("P-07",tbl_param_emb[ID_Parametro],0)),"B",IF(BD65&gt;=INDEX(tbl_param_emb[Valor],MATCH("P-08",tbl_param_emb[ID_Parametro],0)),"C","&lt; 70%")))</f>
        <v>A</v>
      </c>
      <c r="BF65" s="33" t="str">
        <f>IF(AU65="F","Não reciclável (F)",INDEX({"A","B","C","Abaixo de C"},MAX(MIN(AT65,4),IF(BE65="A",1,IF(BE65="B",2,IF(BE65="C",3,4))))))</f>
        <v>A</v>
      </c>
      <c r="BG65" s="33" t="str">
        <f t="shared" si="26"/>
        <v>—</v>
      </c>
      <c r="BH65" s="33" t="str">
        <f t="shared" si="27"/>
        <v>Sim</v>
      </c>
      <c r="BI65" s="33" t="str">
        <f t="shared" si="28"/>
        <v>Sim</v>
      </c>
      <c r="BJ65" s="36">
        <f>IFERROR(INDEX(tbl_materiais[Pct_PCR],MATCH(J65,tbl_materiais[Material],0)),0)</f>
        <v>0.5</v>
      </c>
      <c r="BK65" s="36">
        <f>IF(V65="",0,IFERROR(INDEX(tbl_tampas[Pct_PCR],MATCH(V65,tbl_tampas[CapId],0)),0))</f>
        <v>0</v>
      </c>
      <c r="BL65" s="40">
        <f t="shared" si="29"/>
        <v>0.32195571955719554</v>
      </c>
      <c r="BM65" s="33" t="str">
        <f t="shared" si="30"/>
        <v>Outras embalagens de plástico</v>
      </c>
      <c r="BN65" s="36">
        <f>IFERROR(IF(INDEX(tbl_metas_art7[Meta_2030],MATCH(BM65,tbl_metas_art7[Categoria_Art7],0))="","",INDEX(tbl_metas_art7[Meta_2030],MATCH(BM65,tbl_metas_art7[Categoria_Art7],0))),"")</f>
        <v>0.35</v>
      </c>
      <c r="BO65" s="40">
        <f t="shared" si="31"/>
        <v>2.8044280442804437E-2</v>
      </c>
      <c r="BP65" s="33" t="str">
        <f t="shared" si="32"/>
        <v>Não</v>
      </c>
      <c r="BQ65" s="33" t="str">
        <f t="shared" si="33"/>
        <v>Multimaterial</v>
      </c>
      <c r="BR65" s="37">
        <v>69911</v>
      </c>
      <c r="BS65" s="39">
        <v>8</v>
      </c>
      <c r="BT65" s="26" t="s">
        <v>482</v>
      </c>
      <c r="BU65" s="32">
        <f t="shared" si="34"/>
        <v>2439.8939</v>
      </c>
      <c r="BV65" s="31">
        <f>COUNTIFS(tbl_aplicabilidade[ProductId],B65,tbl_aplicabilidade[Aplicavel],"Sim")</f>
        <v>12</v>
      </c>
      <c r="BW65" s="31">
        <f>COUNTIFS(tbl_aplicabilidade[ProductId],B65,tbl_aplicabilidade[Estado_Resumo],"Lacuna")+COUNTIFS(tbl_aplicabilidade[ProductId],B65,tbl_aplicabilidade[Estado_Resumo],"Não conforme")</f>
        <v>2</v>
      </c>
      <c r="BX65" s="41">
        <v>46287</v>
      </c>
      <c r="BY65" s="42">
        <f t="shared" si="35"/>
        <v>46652</v>
      </c>
      <c r="BZ65" s="26" t="s">
        <v>596</v>
      </c>
      <c r="CA65" s="26" t="s">
        <v>597</v>
      </c>
      <c r="CB65" s="26" t="s">
        <v>598</v>
      </c>
    </row>
    <row r="66" spans="1:80" ht="18" customHeight="1" x14ac:dyDescent="0.3">
      <c r="A66" s="26" t="s">
        <v>755</v>
      </c>
      <c r="B66" s="26" t="s">
        <v>756</v>
      </c>
      <c r="C66" s="26" t="s">
        <v>586</v>
      </c>
      <c r="D66" s="26" t="s">
        <v>587</v>
      </c>
      <c r="E66" s="26" t="s">
        <v>588</v>
      </c>
      <c r="F66" s="26" t="s">
        <v>589</v>
      </c>
      <c r="G66" s="26" t="s">
        <v>609</v>
      </c>
      <c r="H66" s="37">
        <v>600</v>
      </c>
      <c r="I66" s="37">
        <v>145</v>
      </c>
      <c r="J66" s="26" t="s">
        <v>253</v>
      </c>
      <c r="K66" s="33" t="str">
        <f>IFERROR(INDEX(tbl_materiais[Polimero_Base],MATCH(J66,tbl_materiais[Material],0)),"")</f>
        <v>PET</v>
      </c>
      <c r="L66" s="33" t="str">
        <f>IFERROR(INDEX(tbl_materiais[Fluxo_Reciclagem],MATCH(J66,tbl_materiais[Material],0)),"")</f>
        <v>PET frascos e garrafas</v>
      </c>
      <c r="M66" s="33" t="str">
        <f t="shared" si="18"/>
        <v>PET — garrafas/frascos transparentes incolores</v>
      </c>
      <c r="N66" s="26" t="s">
        <v>610</v>
      </c>
      <c r="O66" s="26" t="s">
        <v>279</v>
      </c>
      <c r="P66" s="26" t="s">
        <v>611</v>
      </c>
      <c r="Q66" s="29">
        <v>0</v>
      </c>
      <c r="R66" s="35">
        <f>IFERROR(ROUND(INDEX(tbl_materiais[Densidade_g_cm3],MATCH(J66,tbl_materiais[Material],0))+Q66*1.2,3),"")</f>
        <v>1.38</v>
      </c>
      <c r="S66" s="26" t="s">
        <v>302</v>
      </c>
      <c r="T66" s="34">
        <v>34.9</v>
      </c>
      <c r="U66" s="26" t="s">
        <v>593</v>
      </c>
      <c r="V66" s="26" t="s">
        <v>452</v>
      </c>
      <c r="W66" s="33" t="str">
        <f>IF(V66="","",IFERROR(INDEX(tbl_tampas[Material],MATCH(V66,tbl_tampas[CapId],0)),""))</f>
        <v>PP</v>
      </c>
      <c r="X66" s="33" t="str">
        <f>IF(V66="","Sem tampa",IFERROR(INDEX(tbl_materiais[Polimero_Base],MATCH(W66,tbl_materiais[Material],0)),""))</f>
        <v>PP</v>
      </c>
      <c r="Y66" s="38">
        <f>IF(V66="",0,IFERROR(INDEX(tbl_tampas[Massa_g],MATCH(V66,tbl_tampas[CapId],0)),0))</f>
        <v>14.3</v>
      </c>
      <c r="Z66" s="26" t="s">
        <v>319</v>
      </c>
      <c r="AA66" s="26" t="s">
        <v>326</v>
      </c>
      <c r="AB66" s="26" t="s">
        <v>340</v>
      </c>
      <c r="AC66" s="29">
        <v>0</v>
      </c>
      <c r="AD66" s="27">
        <v>0</v>
      </c>
      <c r="AE66" s="26" t="s">
        <v>594</v>
      </c>
      <c r="AF66" s="26" t="s">
        <v>359</v>
      </c>
      <c r="AG66" s="39">
        <v>1</v>
      </c>
      <c r="AH66" s="33" t="str">
        <f t="shared" si="19"/>
        <v>Hot foil metalizado</v>
      </c>
      <c r="AI66" s="27">
        <v>0.03</v>
      </c>
      <c r="AJ66" s="33" t="str">
        <f>IFERROR(INDEX(tbl_regras_dfr[Classe],MATCH(L66&amp;"|Fluxo de reciclagem|"&amp;L66,tbl_regras_dfr[Chave],0)),"Sem regra")</f>
        <v>A</v>
      </c>
      <c r="AK66" s="33" t="str">
        <f>IF(LEFT(L66,9)="Sem fluxo","—",IFERROR(INDEX(tbl_regras_dfr[Classe],MATCH(L66&amp;"|Cor do corpo|"&amp;O66,tbl_regras_dfr[Chave],0)),"Sem regra"))</f>
        <v>A</v>
      </c>
      <c r="AL66" s="33" t="str">
        <f>IF(LEFT(L66,9)="Sem fluxo","—",IFERROR(INDEX(tbl_regras_dfr[Classe],MATCH(L66&amp;"|Densidade do corpo|"&amp;IF(R66&lt;1,"&lt; 1,0 g/cm³","≥ 1,0 g/cm³"),tbl_regras_dfr[Chave],0)),"Sem regra"))</f>
        <v>A</v>
      </c>
      <c r="AM66" s="33" t="str">
        <f>IF(LEFT(L66,9)="Sem fluxo","—",IFERROR(INDEX(tbl_regras_dfr[Classe],MATCH(L66&amp;"|Barreira / revestimento|"&amp;S66,tbl_regras_dfr[Chave],0)),"Sem regra"))</f>
        <v>A</v>
      </c>
      <c r="AN66" s="33" t="str">
        <f>IF(LEFT(L66,9)="Sem fluxo","—",IFERROR(INDEX(tbl_regras_dfr[Classe],MATCH(L66&amp;"|Material da tampa|"&amp;X66,tbl_regras_dfr[Chave],0)),"Sem regra"))</f>
        <v>A</v>
      </c>
      <c r="AO66" s="33" t="str">
        <f>IF(LEFT(L66,9)="Sem fluxo","—",IFERROR(INDEX(tbl_regras_dfr[Classe],MATCH(L66&amp;"|Vedante / liner|"&amp;Z66,tbl_regras_dfr[Chave],0)),"Sem regra"))</f>
        <v>A</v>
      </c>
      <c r="AP66" s="33" t="str">
        <f>IF(LEFT(L66,9)="Sem fluxo","—",IFERROR(INDEX(tbl_regras_dfr[Classe],MATCH(L66&amp;"|Tipo de rótulo|"&amp;AA66,tbl_regras_dfr[Chave],0)),"Sem regra"))</f>
        <v>A</v>
      </c>
      <c r="AQ66" s="33" t="str">
        <f>IF(LEFT(L66,9)="Sem fluxo","—",IFERROR(INDEX(tbl_regras_dfr[Classe],MATCH(L66&amp;"|Adesivo do rótulo|"&amp;AB66,tbl_regras_dfr[Chave],0)),"Sem regra"))</f>
        <v>A</v>
      </c>
      <c r="AR66" s="33" t="str">
        <f>IF(LEFT(L66,9)="Sem fluxo","—",IFERROR(INDEX(tbl_regras_dfr[Classe],MATCH(L66&amp;"|Cobertura do rótulo|"&amp;IF(AC66&gt;0.7,"&gt; 70% da superfície","≤ 70% da superfície"),tbl_regras_dfr[Chave],0)),"Sem regra"))</f>
        <v>A</v>
      </c>
      <c r="AS66" s="33" t="str">
        <f>IF(LEFT(L66,9)="Sem fluxo","—",IFERROR(INDEX(tbl_regras_dfr[Classe],MATCH(L66&amp;"|Decoração direta|"&amp;AH66,tbl_regras_dfr[Chave],0)),"Sem regra"))</f>
        <v>D</v>
      </c>
      <c r="AT66" s="31">
        <f t="shared" si="20"/>
        <v>4</v>
      </c>
      <c r="AU66" s="33" t="str">
        <f>IF(AT66=0,"",INDEX({"A","B","C","D","E","F"},AT66))</f>
        <v>D</v>
      </c>
      <c r="AV66" s="31">
        <f t="shared" si="21"/>
        <v>0</v>
      </c>
      <c r="AW66" s="33" t="str">
        <f t="shared" si="22"/>
        <v>Decoracao</v>
      </c>
      <c r="AX66" s="33" t="str">
        <f>IF(AU66="A","Sem ação — manter o design.",IFERROR(INDEX(tbl_regras_dfr[Recomendacao],MATCH(CHOOSE(MATCH(AU66,AJ66:AS66,0),L66&amp;"|Fluxo de reciclagem|"&amp;L66,L66&amp;"|Cor do corpo|"&amp;O66,L66&amp;"|Densidade do corpo|"&amp;IF(R66&lt;1,"&lt; 1,0 g/cm³","≥ 1,0 g/cm³"),L66&amp;"|Barreira / revestimento|"&amp;S66,L66&amp;"|Material da tampa|"&amp;X66,L66&amp;"|Vedante / liner|"&amp;Z66,L66&amp;"|Tipo de rótulo|"&amp;AA66,L66&amp;"|Adesivo do rótulo|"&amp;AB66,L66&amp;"|Cobertura do rótulo|"&amp;IF(AC66&gt;0.7,"&gt; 70% da superfície","≤ 70% da superfície"),L66&amp;"|Decoração direta|"&amp;AH66),tbl_regras_dfr[Chave],0)),""))</f>
        <v>Rótulo metalizado de PE/PP destacável.</v>
      </c>
      <c r="AY66" s="38">
        <f t="shared" si="23"/>
        <v>49.230000000000004</v>
      </c>
      <c r="AZ66" s="36">
        <f>MIN(IFERROR(INDEX(tbl_regras_dfr[Fracao_Reciclavel],MATCH(L66&amp;"|Fluxo de reciclagem|"&amp;L66,tbl_regras_dfr[Chave],0)),0),IFERROR(INDEX(tbl_regras_dfr[Fracao_Reciclavel],MATCH(L66&amp;"|Cor do corpo|"&amp;O66,tbl_regras_dfr[Chave],0)),0))</f>
        <v>1</v>
      </c>
      <c r="BA66" s="36">
        <f>IFERROR(INDEX(tbl_regras_dfr[Fracao_Reciclavel],MATCH(L66&amp;"|Material da tampa|"&amp;X66,tbl_regras_dfr[Chave],0)),0)</f>
        <v>1</v>
      </c>
      <c r="BB66" s="36">
        <f>IFERROR(INDEX(tbl_regras_dfr[Fracao_Reciclavel],MATCH(L66&amp;"|Tipo de rótulo|"&amp;AA66,tbl_regras_dfr[Chave],0)),0)</f>
        <v>1</v>
      </c>
      <c r="BC66" s="38">
        <f t="shared" si="24"/>
        <v>49.2</v>
      </c>
      <c r="BD66" s="40">
        <f t="shared" si="25"/>
        <v>0.99939061547836683</v>
      </c>
      <c r="BE66" s="33" t="str">
        <f>IF(BD66&gt;=INDEX(tbl_param_emb[Valor],MATCH("P-06",tbl_param_emb[ID_Parametro],0)),"A",IF(BD66&gt;=INDEX(tbl_param_emb[Valor],MATCH("P-07",tbl_param_emb[ID_Parametro],0)),"B",IF(BD66&gt;=INDEX(tbl_param_emb[Valor],MATCH("P-08",tbl_param_emb[ID_Parametro],0)),"C","&lt; 70%")))</f>
        <v>A</v>
      </c>
      <c r="BF66" s="33" t="str">
        <f>IF(AU66="F","Não reciclável (F)",INDEX({"A","B","C","Abaixo de C"},MAX(MIN(AT66,4),IF(BE66="A",1,IF(BE66="B",2,IF(BE66="C",3,4))))))</f>
        <v>Abaixo de C</v>
      </c>
      <c r="BG66" s="33" t="str">
        <f t="shared" si="26"/>
        <v>—</v>
      </c>
      <c r="BH66" s="33" t="str">
        <f t="shared" si="27"/>
        <v>Não</v>
      </c>
      <c r="BI66" s="33" t="str">
        <f t="shared" si="28"/>
        <v>Não</v>
      </c>
      <c r="BJ66" s="36">
        <f>IFERROR(INDEX(tbl_materiais[Pct_PCR],MATCH(J66,tbl_materiais[Material],0)),0)</f>
        <v>0.5</v>
      </c>
      <c r="BK66" s="36">
        <f>IF(V66="",0,IFERROR(INDEX(tbl_tampas[Pct_PCR],MATCH(V66,tbl_tampas[CapId],0)),0))</f>
        <v>0</v>
      </c>
      <c r="BL66" s="40">
        <f t="shared" si="29"/>
        <v>0.35467479674796742</v>
      </c>
      <c r="BM66" s="33" t="str">
        <f t="shared" si="30"/>
        <v>Outras embalagens de plástico</v>
      </c>
      <c r="BN66" s="36">
        <f>IFERROR(IF(INDEX(tbl_metas_art7[Meta_2030],MATCH(BM66,tbl_metas_art7[Categoria_Art7],0))="","",INDEX(tbl_metas_art7[Meta_2030],MATCH(BM66,tbl_metas_art7[Categoria_Art7],0))),"")</f>
        <v>0.35</v>
      </c>
      <c r="BO66" s="40">
        <f t="shared" si="31"/>
        <v>0</v>
      </c>
      <c r="BP66" s="33" t="str">
        <f t="shared" si="32"/>
        <v>Sim</v>
      </c>
      <c r="BQ66" s="33" t="str">
        <f t="shared" si="33"/>
        <v>Multimaterial</v>
      </c>
      <c r="BR66" s="37">
        <v>92595</v>
      </c>
      <c r="BS66" s="39">
        <v>10</v>
      </c>
      <c r="BT66" s="26" t="s">
        <v>664</v>
      </c>
      <c r="BU66" s="32">
        <f t="shared" si="34"/>
        <v>3231.5655000000002</v>
      </c>
      <c r="BV66" s="31">
        <f>COUNTIFS(tbl_aplicabilidade[ProductId],B66,tbl_aplicabilidade[Aplicavel],"Sim")</f>
        <v>12</v>
      </c>
      <c r="BW66" s="31">
        <f>COUNTIFS(tbl_aplicabilidade[ProductId],B66,tbl_aplicabilidade[Estado_Resumo],"Lacuna")+COUNTIFS(tbl_aplicabilidade[ProductId],B66,tbl_aplicabilidade[Estado_Resumo],"Não conforme")</f>
        <v>2</v>
      </c>
      <c r="BX66" s="41">
        <v>46287</v>
      </c>
      <c r="BY66" s="42">
        <f t="shared" si="35"/>
        <v>46652</v>
      </c>
      <c r="BZ66" s="26" t="s">
        <v>596</v>
      </c>
      <c r="CA66" s="26" t="s">
        <v>597</v>
      </c>
      <c r="CB66" s="26" t="s">
        <v>598</v>
      </c>
    </row>
    <row r="67" spans="1:80" ht="18" customHeight="1" x14ac:dyDescent="0.3">
      <c r="A67" s="26" t="s">
        <v>757</v>
      </c>
      <c r="B67" s="26" t="s">
        <v>758</v>
      </c>
      <c r="C67" s="26" t="s">
        <v>586</v>
      </c>
      <c r="D67" s="26" t="s">
        <v>587</v>
      </c>
      <c r="E67" s="26" t="s">
        <v>588</v>
      </c>
      <c r="F67" s="26" t="s">
        <v>589</v>
      </c>
      <c r="G67" s="26" t="s">
        <v>609</v>
      </c>
      <c r="H67" s="37">
        <v>600</v>
      </c>
      <c r="I67" s="37">
        <v>145</v>
      </c>
      <c r="J67" s="26" t="s">
        <v>253</v>
      </c>
      <c r="K67" s="33" t="str">
        <f>IFERROR(INDEX(tbl_materiais[Polimero_Base],MATCH(J67,tbl_materiais[Material],0)),"")</f>
        <v>PET</v>
      </c>
      <c r="L67" s="33" t="str">
        <f>IFERROR(INDEX(tbl_materiais[Fluxo_Reciclagem],MATCH(J67,tbl_materiais[Material],0)),"")</f>
        <v>PET frascos e garrafas</v>
      </c>
      <c r="M67" s="33" t="str">
        <f t="shared" si="18"/>
        <v>PET — garrafas/frascos transparentes incolores</v>
      </c>
      <c r="N67" s="26" t="s">
        <v>610</v>
      </c>
      <c r="O67" s="26" t="s">
        <v>279</v>
      </c>
      <c r="P67" s="26" t="s">
        <v>611</v>
      </c>
      <c r="Q67" s="29">
        <v>0</v>
      </c>
      <c r="R67" s="35">
        <f>IFERROR(ROUND(INDEX(tbl_materiais[Densidade_g_cm3],MATCH(J67,tbl_materiais[Material],0))+Q67*1.2,3),"")</f>
        <v>1.38</v>
      </c>
      <c r="S67" s="26" t="s">
        <v>302</v>
      </c>
      <c r="T67" s="34">
        <v>34.9</v>
      </c>
      <c r="U67" s="26" t="s">
        <v>593</v>
      </c>
      <c r="V67" s="26" t="s">
        <v>452</v>
      </c>
      <c r="W67" s="33" t="str">
        <f>IF(V67="","",IFERROR(INDEX(tbl_tampas[Material],MATCH(V67,tbl_tampas[CapId],0)),""))</f>
        <v>PP</v>
      </c>
      <c r="X67" s="33" t="str">
        <f>IF(V67="","Sem tampa",IFERROR(INDEX(tbl_materiais[Polimero_Base],MATCH(W67,tbl_materiais[Material],0)),""))</f>
        <v>PP</v>
      </c>
      <c r="Y67" s="38">
        <f>IF(V67="",0,IFERROR(INDEX(tbl_tampas[Massa_g],MATCH(V67,tbl_tampas[CapId],0)),0))</f>
        <v>14.3</v>
      </c>
      <c r="Z67" s="26" t="s">
        <v>319</v>
      </c>
      <c r="AA67" s="26" t="s">
        <v>327</v>
      </c>
      <c r="AB67" s="26" t="s">
        <v>343</v>
      </c>
      <c r="AC67" s="29">
        <v>0.4</v>
      </c>
      <c r="AD67" s="27">
        <v>0.73</v>
      </c>
      <c r="AE67" s="26" t="s">
        <v>604</v>
      </c>
      <c r="AF67" s="26" t="s">
        <v>302</v>
      </c>
      <c r="AG67" s="39">
        <v>0</v>
      </c>
      <c r="AH67" s="33" t="str">
        <f t="shared" si="19"/>
        <v>Nenhuma</v>
      </c>
      <c r="AI67" s="27">
        <v>0</v>
      </c>
      <c r="AJ67" s="33" t="str">
        <f>IFERROR(INDEX(tbl_regras_dfr[Classe],MATCH(L67&amp;"|Fluxo de reciclagem|"&amp;L67,tbl_regras_dfr[Chave],0)),"Sem regra")</f>
        <v>A</v>
      </c>
      <c r="AK67" s="33" t="str">
        <f>IF(LEFT(L67,9)="Sem fluxo","—",IFERROR(INDEX(tbl_regras_dfr[Classe],MATCH(L67&amp;"|Cor do corpo|"&amp;O67,tbl_regras_dfr[Chave],0)),"Sem regra"))</f>
        <v>A</v>
      </c>
      <c r="AL67" s="33" t="str">
        <f>IF(LEFT(L67,9)="Sem fluxo","—",IFERROR(INDEX(tbl_regras_dfr[Classe],MATCH(L67&amp;"|Densidade do corpo|"&amp;IF(R67&lt;1,"&lt; 1,0 g/cm³","≥ 1,0 g/cm³"),tbl_regras_dfr[Chave],0)),"Sem regra"))</f>
        <v>A</v>
      </c>
      <c r="AM67" s="33" t="str">
        <f>IF(LEFT(L67,9)="Sem fluxo","—",IFERROR(INDEX(tbl_regras_dfr[Classe],MATCH(L67&amp;"|Barreira / revestimento|"&amp;S67,tbl_regras_dfr[Chave],0)),"Sem regra"))</f>
        <v>A</v>
      </c>
      <c r="AN67" s="33" t="str">
        <f>IF(LEFT(L67,9)="Sem fluxo","—",IFERROR(INDEX(tbl_regras_dfr[Classe],MATCH(L67&amp;"|Material da tampa|"&amp;X67,tbl_regras_dfr[Chave],0)),"Sem regra"))</f>
        <v>A</v>
      </c>
      <c r="AO67" s="33" t="str">
        <f>IF(LEFT(L67,9)="Sem fluxo","—",IFERROR(INDEX(tbl_regras_dfr[Classe],MATCH(L67&amp;"|Vedante / liner|"&amp;Z67,tbl_regras_dfr[Chave],0)),"Sem regra"))</f>
        <v>A</v>
      </c>
      <c r="AP67" s="33" t="str">
        <f>IF(LEFT(L67,9)="Sem fluxo","—",IFERROR(INDEX(tbl_regras_dfr[Classe],MATCH(L67&amp;"|Tipo de rótulo|"&amp;AA67,tbl_regras_dfr[Chave],0)),"Sem regra"))</f>
        <v>A</v>
      </c>
      <c r="AQ67" s="33" t="str">
        <f>IF(LEFT(L67,9)="Sem fluxo","—",IFERROR(INDEX(tbl_regras_dfr[Classe],MATCH(L67&amp;"|Adesivo do rótulo|"&amp;AB67,tbl_regras_dfr[Chave],0)),"Sem regra"))</f>
        <v>A</v>
      </c>
      <c r="AR67" s="33" t="str">
        <f>IF(LEFT(L67,9)="Sem fluxo","—",IFERROR(INDEX(tbl_regras_dfr[Classe],MATCH(L67&amp;"|Cobertura do rótulo|"&amp;IF(AC67&gt;0.7,"&gt; 70% da superfície","≤ 70% da superfície"),tbl_regras_dfr[Chave],0)),"Sem regra"))</f>
        <v>A</v>
      </c>
      <c r="AS67" s="33" t="str">
        <f>IF(LEFT(L67,9)="Sem fluxo","—",IFERROR(INDEX(tbl_regras_dfr[Classe],MATCH(L67&amp;"|Decoração direta|"&amp;AH67,tbl_regras_dfr[Chave],0)),"Sem regra"))</f>
        <v>A</v>
      </c>
      <c r="AT67" s="31">
        <f t="shared" si="20"/>
        <v>1</v>
      </c>
      <c r="AU67" s="33" t="str">
        <f>IF(AT67=0,"",INDEX({"A","B","C","D","E","F"},AT67))</f>
        <v>A</v>
      </c>
      <c r="AV67" s="31">
        <f t="shared" si="21"/>
        <v>0</v>
      </c>
      <c r="AW67" s="33" t="str">
        <f t="shared" si="22"/>
        <v>—</v>
      </c>
      <c r="AX67" s="33" t="str">
        <f>IF(AU67="A","Sem ação — manter o design.",IFERROR(INDEX(tbl_regras_dfr[Recomendacao],MATCH(CHOOSE(MATCH(AU67,AJ67:AS67,0),L67&amp;"|Fluxo de reciclagem|"&amp;L67,L67&amp;"|Cor do corpo|"&amp;O67,L67&amp;"|Densidade do corpo|"&amp;IF(R67&lt;1,"&lt; 1,0 g/cm³","≥ 1,0 g/cm³"),L67&amp;"|Barreira / revestimento|"&amp;S67,L67&amp;"|Material da tampa|"&amp;X67,L67&amp;"|Vedante / liner|"&amp;Z67,L67&amp;"|Tipo de rótulo|"&amp;AA67,L67&amp;"|Adesivo do rótulo|"&amp;AB67,L67&amp;"|Cobertura do rótulo|"&amp;IF(AC67&gt;0.7,"&gt; 70% da superfície","≤ 70% da superfície"),L67&amp;"|Decoração direta|"&amp;AH67),tbl_regras_dfr[Chave],0)),""))</f>
        <v>Sem ação — manter o design.</v>
      </c>
      <c r="AY67" s="38">
        <f t="shared" si="23"/>
        <v>49.93</v>
      </c>
      <c r="AZ67" s="36">
        <f>MIN(IFERROR(INDEX(tbl_regras_dfr[Fracao_Reciclavel],MATCH(L67&amp;"|Fluxo de reciclagem|"&amp;L67,tbl_regras_dfr[Chave],0)),0),IFERROR(INDEX(tbl_regras_dfr[Fracao_Reciclavel],MATCH(L67&amp;"|Cor do corpo|"&amp;O67,tbl_regras_dfr[Chave],0)),0))</f>
        <v>1</v>
      </c>
      <c r="BA67" s="36">
        <f>IFERROR(INDEX(tbl_regras_dfr[Fracao_Reciclavel],MATCH(L67&amp;"|Material da tampa|"&amp;X67,tbl_regras_dfr[Chave],0)),0)</f>
        <v>1</v>
      </c>
      <c r="BB67" s="36">
        <f>IFERROR(INDEX(tbl_regras_dfr[Fracao_Reciclavel],MATCH(L67&amp;"|Tipo de rótulo|"&amp;AA67,tbl_regras_dfr[Chave],0)),0)</f>
        <v>1</v>
      </c>
      <c r="BC67" s="38">
        <f t="shared" si="24"/>
        <v>49.93</v>
      </c>
      <c r="BD67" s="40">
        <f t="shared" si="25"/>
        <v>1</v>
      </c>
      <c r="BE67" s="33" t="str">
        <f>IF(BD67&gt;=INDEX(tbl_param_emb[Valor],MATCH("P-06",tbl_param_emb[ID_Parametro],0)),"A",IF(BD67&gt;=INDEX(tbl_param_emb[Valor],MATCH("P-07",tbl_param_emb[ID_Parametro],0)),"B",IF(BD67&gt;=INDEX(tbl_param_emb[Valor],MATCH("P-08",tbl_param_emb[ID_Parametro],0)),"C","&lt; 70%")))</f>
        <v>A</v>
      </c>
      <c r="BF67" s="33" t="str">
        <f>IF(AU67="F","Não reciclável (F)",INDEX({"A","B","C","Abaixo de C"},MAX(MIN(AT67,4),IF(BE67="A",1,IF(BE67="B",2,IF(BE67="C",3,4))))))</f>
        <v>A</v>
      </c>
      <c r="BG67" s="33" t="str">
        <f t="shared" si="26"/>
        <v>—</v>
      </c>
      <c r="BH67" s="33" t="str">
        <f t="shared" si="27"/>
        <v>Sim</v>
      </c>
      <c r="BI67" s="33" t="str">
        <f t="shared" si="28"/>
        <v>Sim</v>
      </c>
      <c r="BJ67" s="36">
        <f>IFERROR(INDEX(tbl_materiais[Pct_PCR],MATCH(J67,tbl_materiais[Material],0)),0)</f>
        <v>0.5</v>
      </c>
      <c r="BK67" s="36">
        <f>IF(V67="",0,IFERROR(INDEX(tbl_tampas[Pct_PCR],MATCH(V67,tbl_tampas[CapId],0)),0))</f>
        <v>0</v>
      </c>
      <c r="BL67" s="40">
        <f t="shared" si="29"/>
        <v>0.35467479674796742</v>
      </c>
      <c r="BM67" s="33" t="str">
        <f t="shared" si="30"/>
        <v>Outras embalagens de plástico</v>
      </c>
      <c r="BN67" s="36">
        <f>IFERROR(IF(INDEX(tbl_metas_art7[Meta_2030],MATCH(BM67,tbl_metas_art7[Categoria_Art7],0))="","",INDEX(tbl_metas_art7[Meta_2030],MATCH(BM67,tbl_metas_art7[Categoria_Art7],0))),"")</f>
        <v>0.35</v>
      </c>
      <c r="BO67" s="40">
        <f t="shared" si="31"/>
        <v>0</v>
      </c>
      <c r="BP67" s="33" t="str">
        <f t="shared" si="32"/>
        <v>Sim</v>
      </c>
      <c r="BQ67" s="33" t="str">
        <f t="shared" si="33"/>
        <v>Multimaterial</v>
      </c>
      <c r="BR67" s="37">
        <v>64510</v>
      </c>
      <c r="BS67" s="39">
        <v>7</v>
      </c>
      <c r="BT67" s="26" t="s">
        <v>737</v>
      </c>
      <c r="BU67" s="32">
        <f t="shared" si="34"/>
        <v>2251.3989999999999</v>
      </c>
      <c r="BV67" s="31">
        <f>COUNTIFS(tbl_aplicabilidade[ProductId],B67,tbl_aplicabilidade[Aplicavel],"Sim")</f>
        <v>12</v>
      </c>
      <c r="BW67" s="31">
        <f>COUNTIFS(tbl_aplicabilidade[ProductId],B67,tbl_aplicabilidade[Estado_Resumo],"Lacuna")+COUNTIFS(tbl_aplicabilidade[ProductId],B67,tbl_aplicabilidade[Estado_Resumo],"Não conforme")</f>
        <v>1</v>
      </c>
      <c r="BX67" s="41">
        <v>46287</v>
      </c>
      <c r="BY67" s="42">
        <f t="shared" si="35"/>
        <v>46652</v>
      </c>
      <c r="BZ67" s="26" t="s">
        <v>596</v>
      </c>
      <c r="CA67" s="26" t="s">
        <v>597</v>
      </c>
      <c r="CB67" s="26" t="s">
        <v>598</v>
      </c>
    </row>
    <row r="68" spans="1:80" ht="18" customHeight="1" x14ac:dyDescent="0.3">
      <c r="A68" s="26" t="s">
        <v>759</v>
      </c>
      <c r="B68" s="26" t="s">
        <v>760</v>
      </c>
      <c r="C68" s="26" t="s">
        <v>586</v>
      </c>
      <c r="D68" s="26" t="s">
        <v>587</v>
      </c>
      <c r="E68" s="26" t="s">
        <v>588</v>
      </c>
      <c r="F68" s="26" t="s">
        <v>589</v>
      </c>
      <c r="G68" s="26" t="s">
        <v>590</v>
      </c>
      <c r="H68" s="37">
        <v>750</v>
      </c>
      <c r="I68" s="37">
        <v>156</v>
      </c>
      <c r="J68" s="26" t="s">
        <v>223</v>
      </c>
      <c r="K68" s="33" t="str">
        <f>IFERROR(INDEX(tbl_materiais[Polimero_Base],MATCH(J68,tbl_materiais[Material],0)),"")</f>
        <v>PE</v>
      </c>
      <c r="L68" s="33" t="str">
        <f>IFERROR(INDEX(tbl_materiais[Fluxo_Reciclagem],MATCH(J68,tbl_materiais[Material],0)),"")</f>
        <v>PE rígido</v>
      </c>
      <c r="M68" s="33" t="str">
        <f t="shared" si="18"/>
        <v>PE rígido — frascos e contentores (HDPE/LDPE)</v>
      </c>
      <c r="N68" s="26" t="s">
        <v>637</v>
      </c>
      <c r="O68" s="26" t="s">
        <v>281</v>
      </c>
      <c r="P68" s="26" t="s">
        <v>638</v>
      </c>
      <c r="Q68" s="29">
        <v>2.5000000000000001E-2</v>
      </c>
      <c r="R68" s="35">
        <f>IFERROR(ROUND(INDEX(tbl_materiais[Densidade_g_cm3],MATCH(J68,tbl_materiais[Material],0))+Q68*1.2,3),"")</f>
        <v>0.98499999999999999</v>
      </c>
      <c r="S68" s="26" t="s">
        <v>302</v>
      </c>
      <c r="T68" s="34">
        <v>40.5</v>
      </c>
      <c r="U68" s="26" t="s">
        <v>593</v>
      </c>
      <c r="V68" s="26" t="s">
        <v>478</v>
      </c>
      <c r="W68" s="33" t="str">
        <f>IF(V68="","",IFERROR(INDEX(tbl_tampas[Material],MATCH(V68,tbl_tampas[CapId],0)),""))</f>
        <v>HDPE</v>
      </c>
      <c r="X68" s="33" t="str">
        <f>IF(V68="","Sem tampa",IFERROR(INDEX(tbl_materiais[Polimero_Base],MATCH(W68,tbl_materiais[Material],0)),""))</f>
        <v>PE</v>
      </c>
      <c r="Y68" s="38">
        <f>IF(V68="",0,IFERROR(INDEX(tbl_tampas[Massa_g],MATCH(V68,tbl_tampas[CapId],0)),0))</f>
        <v>21.4</v>
      </c>
      <c r="Z68" s="26" t="s">
        <v>319</v>
      </c>
      <c r="AA68" s="26" t="s">
        <v>327</v>
      </c>
      <c r="AB68" s="26" t="s">
        <v>342</v>
      </c>
      <c r="AC68" s="29">
        <v>0.4</v>
      </c>
      <c r="AD68" s="27">
        <v>0.84</v>
      </c>
      <c r="AE68" s="26" t="s">
        <v>604</v>
      </c>
      <c r="AF68" s="26" t="s">
        <v>302</v>
      </c>
      <c r="AG68" s="39">
        <v>0</v>
      </c>
      <c r="AH68" s="33" t="str">
        <f t="shared" si="19"/>
        <v>Nenhuma</v>
      </c>
      <c r="AI68" s="27">
        <v>0</v>
      </c>
      <c r="AJ68" s="33" t="str">
        <f>IFERROR(INDEX(tbl_regras_dfr[Classe],MATCH(L68&amp;"|Fluxo de reciclagem|"&amp;L68,tbl_regras_dfr[Chave],0)),"Sem regra")</f>
        <v>A</v>
      </c>
      <c r="AK68" s="33" t="str">
        <f>IF(LEFT(L68,9)="Sem fluxo","—",IFERROR(INDEX(tbl_regras_dfr[Classe],MATCH(L68&amp;"|Cor do corpo|"&amp;O68,tbl_regras_dfr[Chave],0)),"Sem regra"))</f>
        <v>A</v>
      </c>
      <c r="AL68" s="33" t="str">
        <f>IF(LEFT(L68,9)="Sem fluxo","—",IFERROR(INDEX(tbl_regras_dfr[Classe],MATCH(L68&amp;"|Densidade do corpo|"&amp;IF(R68&lt;1,"&lt; 1,0 g/cm³","≥ 1,0 g/cm³"),tbl_regras_dfr[Chave],0)),"Sem regra"))</f>
        <v>A</v>
      </c>
      <c r="AM68" s="33" t="str">
        <f>IF(LEFT(L68,9)="Sem fluxo","—",IFERROR(INDEX(tbl_regras_dfr[Classe],MATCH(L68&amp;"|Barreira / revestimento|"&amp;S68,tbl_regras_dfr[Chave],0)),"Sem regra"))</f>
        <v>A</v>
      </c>
      <c r="AN68" s="33" t="str">
        <f>IF(LEFT(L68,9)="Sem fluxo","—",IFERROR(INDEX(tbl_regras_dfr[Classe],MATCH(L68&amp;"|Material da tampa|"&amp;X68,tbl_regras_dfr[Chave],0)),"Sem regra"))</f>
        <v>A</v>
      </c>
      <c r="AO68" s="33" t="str">
        <f>IF(LEFT(L68,9)="Sem fluxo","—",IFERROR(INDEX(tbl_regras_dfr[Classe],MATCH(L68&amp;"|Vedante / liner|"&amp;Z68,tbl_regras_dfr[Chave],0)),"Sem regra"))</f>
        <v>A</v>
      </c>
      <c r="AP68" s="33" t="str">
        <f>IF(LEFT(L68,9)="Sem fluxo","—",IFERROR(INDEX(tbl_regras_dfr[Classe],MATCH(L68&amp;"|Tipo de rótulo|"&amp;AA68,tbl_regras_dfr[Chave],0)),"Sem regra"))</f>
        <v>A</v>
      </c>
      <c r="AQ68" s="33" t="str">
        <f>IF(LEFT(L68,9)="Sem fluxo","—",IFERROR(INDEX(tbl_regras_dfr[Classe],MATCH(L68&amp;"|Adesivo do rótulo|"&amp;AB68,tbl_regras_dfr[Chave],0)),"Sem regra"))</f>
        <v>A</v>
      </c>
      <c r="AR68" s="33" t="str">
        <f>IF(LEFT(L68,9)="Sem fluxo","—",IFERROR(INDEX(tbl_regras_dfr[Classe],MATCH(L68&amp;"|Cobertura do rótulo|"&amp;IF(AC68&gt;0.7,"&gt; 70% da superfície","≤ 70% da superfície"),tbl_regras_dfr[Chave],0)),"Sem regra"))</f>
        <v>A</v>
      </c>
      <c r="AS68" s="33" t="str">
        <f>IF(LEFT(L68,9)="Sem fluxo","—",IFERROR(INDEX(tbl_regras_dfr[Classe],MATCH(L68&amp;"|Decoração direta|"&amp;AH68,tbl_regras_dfr[Chave],0)),"Sem regra"))</f>
        <v>A</v>
      </c>
      <c r="AT68" s="31">
        <f t="shared" si="20"/>
        <v>1</v>
      </c>
      <c r="AU68" s="33" t="str">
        <f>IF(AT68=0,"",INDEX({"A","B","C","D","E","F"},AT68))</f>
        <v>A</v>
      </c>
      <c r="AV68" s="31">
        <f t="shared" si="21"/>
        <v>0</v>
      </c>
      <c r="AW68" s="33" t="str">
        <f t="shared" si="22"/>
        <v>—</v>
      </c>
      <c r="AX68" s="33" t="str">
        <f>IF(AU68="A","Sem ação — manter o design.",IFERROR(INDEX(tbl_regras_dfr[Recomendacao],MATCH(CHOOSE(MATCH(AU68,AJ68:AS68,0),L68&amp;"|Fluxo de reciclagem|"&amp;L68,L68&amp;"|Cor do corpo|"&amp;O68,L68&amp;"|Densidade do corpo|"&amp;IF(R68&lt;1,"&lt; 1,0 g/cm³","≥ 1,0 g/cm³"),L68&amp;"|Barreira / revestimento|"&amp;S68,L68&amp;"|Material da tampa|"&amp;X68,L68&amp;"|Vedante / liner|"&amp;Z68,L68&amp;"|Tipo de rótulo|"&amp;AA68,L68&amp;"|Adesivo do rótulo|"&amp;AB68,L68&amp;"|Cobertura do rótulo|"&amp;IF(AC68&gt;0.7,"&gt; 70% da superfície","≤ 70% da superfície"),L68&amp;"|Decoração direta|"&amp;AH68),tbl_regras_dfr[Chave],0)),""))</f>
        <v>Sem ação — manter o design.</v>
      </c>
      <c r="AY68" s="38">
        <f t="shared" si="23"/>
        <v>62.74</v>
      </c>
      <c r="AZ68" s="36">
        <f>MIN(IFERROR(INDEX(tbl_regras_dfr[Fracao_Reciclavel],MATCH(L68&amp;"|Fluxo de reciclagem|"&amp;L68,tbl_regras_dfr[Chave],0)),0),IFERROR(INDEX(tbl_regras_dfr[Fracao_Reciclavel],MATCH(L68&amp;"|Cor do corpo|"&amp;O68,tbl_regras_dfr[Chave],0)),0))</f>
        <v>1</v>
      </c>
      <c r="BA68" s="36">
        <f>IFERROR(INDEX(tbl_regras_dfr[Fracao_Reciclavel],MATCH(L68&amp;"|Material da tampa|"&amp;X68,tbl_regras_dfr[Chave],0)),0)</f>
        <v>1</v>
      </c>
      <c r="BB68" s="36">
        <f>IFERROR(INDEX(tbl_regras_dfr[Fracao_Reciclavel],MATCH(L68&amp;"|Tipo de rótulo|"&amp;AA68,tbl_regras_dfr[Chave],0)),0)</f>
        <v>1</v>
      </c>
      <c r="BC68" s="38">
        <f t="shared" si="24"/>
        <v>62.74</v>
      </c>
      <c r="BD68" s="40">
        <f t="shared" si="25"/>
        <v>1</v>
      </c>
      <c r="BE68" s="33" t="str">
        <f>IF(BD68&gt;=INDEX(tbl_param_emb[Valor],MATCH("P-06",tbl_param_emb[ID_Parametro],0)),"A",IF(BD68&gt;=INDEX(tbl_param_emb[Valor],MATCH("P-07",tbl_param_emb[ID_Parametro],0)),"B",IF(BD68&gt;=INDEX(tbl_param_emb[Valor],MATCH("P-08",tbl_param_emb[ID_Parametro],0)),"C","&lt; 70%")))</f>
        <v>A</v>
      </c>
      <c r="BF68" s="33" t="str">
        <f>IF(AU68="F","Não reciclável (F)",INDEX({"A","B","C","Abaixo de C"},MAX(MIN(AT68,4),IF(BE68="A",1,IF(BE68="B",2,IF(BE68="C",3,4))))))</f>
        <v>A</v>
      </c>
      <c r="BG68" s="33" t="str">
        <f t="shared" si="26"/>
        <v>—</v>
      </c>
      <c r="BH68" s="33" t="str">
        <f t="shared" si="27"/>
        <v>Sim</v>
      </c>
      <c r="BI68" s="33" t="str">
        <f t="shared" si="28"/>
        <v>Sim</v>
      </c>
      <c r="BJ68" s="36">
        <f>IFERROR(INDEX(tbl_materiais[Pct_PCR],MATCH(J68,tbl_materiais[Material],0)),0)</f>
        <v>0</v>
      </c>
      <c r="BK68" s="36">
        <f>IF(V68="",0,IFERROR(INDEX(tbl_tampas[Pct_PCR],MATCH(V68,tbl_tampas[CapId],0)),0))</f>
        <v>0</v>
      </c>
      <c r="BL68" s="40">
        <f t="shared" si="29"/>
        <v>0</v>
      </c>
      <c r="BM68" s="33" t="str">
        <f t="shared" si="30"/>
        <v>Outras embalagens de plástico</v>
      </c>
      <c r="BN68" s="36">
        <f>IFERROR(IF(INDEX(tbl_metas_art7[Meta_2030],MATCH(BM68,tbl_metas_art7[Categoria_Art7],0))="","",INDEX(tbl_metas_art7[Meta_2030],MATCH(BM68,tbl_metas_art7[Categoria_Art7],0))),"")</f>
        <v>0.35</v>
      </c>
      <c r="BO68" s="40">
        <f t="shared" si="31"/>
        <v>0.35</v>
      </c>
      <c r="BP68" s="33" t="str">
        <f t="shared" si="32"/>
        <v>Não</v>
      </c>
      <c r="BQ68" s="33" t="str">
        <f t="shared" si="33"/>
        <v>Monomaterial (mesma família)</v>
      </c>
      <c r="BR68" s="37">
        <v>96850</v>
      </c>
      <c r="BS68" s="39">
        <v>12</v>
      </c>
      <c r="BT68" s="26" t="s">
        <v>426</v>
      </c>
      <c r="BU68" s="32">
        <f t="shared" si="34"/>
        <v>3922.4250000000002</v>
      </c>
      <c r="BV68" s="31">
        <f>COUNTIFS(tbl_aplicabilidade[ProductId],B68,tbl_aplicabilidade[Aplicavel],"Sim")</f>
        <v>12</v>
      </c>
      <c r="BW68" s="31">
        <f>COUNTIFS(tbl_aplicabilidade[ProductId],B68,tbl_aplicabilidade[Estado_Resumo],"Lacuna")+COUNTIFS(tbl_aplicabilidade[ProductId],B68,tbl_aplicabilidade[Estado_Resumo],"Não conforme")</f>
        <v>1</v>
      </c>
      <c r="BX68" s="41">
        <v>46287</v>
      </c>
      <c r="BY68" s="42">
        <f t="shared" si="35"/>
        <v>46652</v>
      </c>
      <c r="BZ68" s="26" t="s">
        <v>596</v>
      </c>
      <c r="CA68" s="26" t="s">
        <v>597</v>
      </c>
      <c r="CB68" s="26" t="s">
        <v>598</v>
      </c>
    </row>
    <row r="69" spans="1:80" ht="18" customHeight="1" x14ac:dyDescent="0.3">
      <c r="A69" s="26" t="s">
        <v>761</v>
      </c>
      <c r="B69" s="26" t="s">
        <v>762</v>
      </c>
      <c r="C69" s="26" t="s">
        <v>586</v>
      </c>
      <c r="D69" s="26" t="s">
        <v>587</v>
      </c>
      <c r="E69" s="26" t="s">
        <v>588</v>
      </c>
      <c r="F69" s="26" t="s">
        <v>589</v>
      </c>
      <c r="G69" s="26" t="s">
        <v>590</v>
      </c>
      <c r="H69" s="37">
        <v>750</v>
      </c>
      <c r="I69" s="37">
        <v>156</v>
      </c>
      <c r="J69" s="26" t="s">
        <v>223</v>
      </c>
      <c r="K69" s="33" t="str">
        <f>IFERROR(INDEX(tbl_materiais[Polimero_Base],MATCH(J69,tbl_materiais[Material],0)),"")</f>
        <v>PE</v>
      </c>
      <c r="L69" s="33" t="str">
        <f>IFERROR(INDEX(tbl_materiais[Fluxo_Reciclagem],MATCH(J69,tbl_materiais[Material],0)),"")</f>
        <v>PE rígido</v>
      </c>
      <c r="M69" s="33" t="str">
        <f t="shared" ref="M69:M100" si="36">IF(L69="PE rígido","PE rígido — frascos e contentores (HDPE/LDPE)",IF(L69="PP rígido","PP rígido — frascos, potes e contentores",IF(L69="PET frascos e garrafas",IF(O69="Natural / incolor","PET — garrafas/frascos transparentes incolores","PET — garrafas/frascos coloridos ou opacos"),"Sem categoria RecyClass ("&amp;K69&amp;")")))</f>
        <v>PE rígido — frascos e contentores (HDPE/LDPE)</v>
      </c>
      <c r="N69" s="26" t="s">
        <v>637</v>
      </c>
      <c r="O69" s="26" t="s">
        <v>281</v>
      </c>
      <c r="P69" s="26" t="s">
        <v>638</v>
      </c>
      <c r="Q69" s="29">
        <v>2.5000000000000001E-2</v>
      </c>
      <c r="R69" s="35">
        <f>IFERROR(ROUND(INDEX(tbl_materiais[Densidade_g_cm3],MATCH(J69,tbl_materiais[Material],0))+Q69*1.2,3),"")</f>
        <v>0.98499999999999999</v>
      </c>
      <c r="S69" s="26" t="s">
        <v>302</v>
      </c>
      <c r="T69" s="34">
        <v>40.5</v>
      </c>
      <c r="U69" s="26" t="s">
        <v>593</v>
      </c>
      <c r="V69" s="26" t="s">
        <v>449</v>
      </c>
      <c r="W69" s="33" t="str">
        <f>IF(V69="","",IFERROR(INDEX(tbl_tampas[Material],MATCH(V69,tbl_tampas[CapId],0)),""))</f>
        <v>HDPE</v>
      </c>
      <c r="X69" s="33" t="str">
        <f>IF(V69="","Sem tampa",IFERROR(INDEX(tbl_materiais[Polimero_Base],MATCH(W69,tbl_materiais[Material],0)),""))</f>
        <v>PE</v>
      </c>
      <c r="Y69" s="38">
        <f>IF(V69="",0,IFERROR(INDEX(tbl_tampas[Massa_g],MATCH(V69,tbl_tampas[CapId],0)),0))</f>
        <v>15.9</v>
      </c>
      <c r="Z69" s="26" t="s">
        <v>319</v>
      </c>
      <c r="AA69" s="26" t="s">
        <v>327</v>
      </c>
      <c r="AB69" s="26" t="s">
        <v>342</v>
      </c>
      <c r="AC69" s="29">
        <v>0.4</v>
      </c>
      <c r="AD69" s="27">
        <v>0.84</v>
      </c>
      <c r="AE69" s="26" t="s">
        <v>604</v>
      </c>
      <c r="AF69" s="26" t="s">
        <v>302</v>
      </c>
      <c r="AG69" s="39">
        <v>0</v>
      </c>
      <c r="AH69" s="33" t="str">
        <f t="shared" ref="AH69:AH100" si="37">IF(AF69="Serigrafia",IF(AG69&gt;=3,"Serigrafia ≥ 3 cores","Serigrafia 1–2 cores"),AF69)</f>
        <v>Nenhuma</v>
      </c>
      <c r="AI69" s="27">
        <v>0</v>
      </c>
      <c r="AJ69" s="33" t="str">
        <f>IFERROR(INDEX(tbl_regras_dfr[Classe],MATCH(L69&amp;"|Fluxo de reciclagem|"&amp;L69,tbl_regras_dfr[Chave],0)),"Sem regra")</f>
        <v>A</v>
      </c>
      <c r="AK69" s="33" t="str">
        <f>IF(LEFT(L69,9)="Sem fluxo","—",IFERROR(INDEX(tbl_regras_dfr[Classe],MATCH(L69&amp;"|Cor do corpo|"&amp;O69,tbl_regras_dfr[Chave],0)),"Sem regra"))</f>
        <v>A</v>
      </c>
      <c r="AL69" s="33" t="str">
        <f>IF(LEFT(L69,9)="Sem fluxo","—",IFERROR(INDEX(tbl_regras_dfr[Classe],MATCH(L69&amp;"|Densidade do corpo|"&amp;IF(R69&lt;1,"&lt; 1,0 g/cm³","≥ 1,0 g/cm³"),tbl_regras_dfr[Chave],0)),"Sem regra"))</f>
        <v>A</v>
      </c>
      <c r="AM69" s="33" t="str">
        <f>IF(LEFT(L69,9)="Sem fluxo","—",IFERROR(INDEX(tbl_regras_dfr[Classe],MATCH(L69&amp;"|Barreira / revestimento|"&amp;S69,tbl_regras_dfr[Chave],0)),"Sem regra"))</f>
        <v>A</v>
      </c>
      <c r="AN69" s="33" t="str">
        <f>IF(LEFT(L69,9)="Sem fluxo","—",IFERROR(INDEX(tbl_regras_dfr[Classe],MATCH(L69&amp;"|Material da tampa|"&amp;X69,tbl_regras_dfr[Chave],0)),"Sem regra"))</f>
        <v>A</v>
      </c>
      <c r="AO69" s="33" t="str">
        <f>IF(LEFT(L69,9)="Sem fluxo","—",IFERROR(INDEX(tbl_regras_dfr[Classe],MATCH(L69&amp;"|Vedante / liner|"&amp;Z69,tbl_regras_dfr[Chave],0)),"Sem regra"))</f>
        <v>A</v>
      </c>
      <c r="AP69" s="33" t="str">
        <f>IF(LEFT(L69,9)="Sem fluxo","—",IFERROR(INDEX(tbl_regras_dfr[Classe],MATCH(L69&amp;"|Tipo de rótulo|"&amp;AA69,tbl_regras_dfr[Chave],0)),"Sem regra"))</f>
        <v>A</v>
      </c>
      <c r="AQ69" s="33" t="str">
        <f>IF(LEFT(L69,9)="Sem fluxo","—",IFERROR(INDEX(tbl_regras_dfr[Classe],MATCH(L69&amp;"|Adesivo do rótulo|"&amp;AB69,tbl_regras_dfr[Chave],0)),"Sem regra"))</f>
        <v>A</v>
      </c>
      <c r="AR69" s="33" t="str">
        <f>IF(LEFT(L69,9)="Sem fluxo","—",IFERROR(INDEX(tbl_regras_dfr[Classe],MATCH(L69&amp;"|Cobertura do rótulo|"&amp;IF(AC69&gt;0.7,"&gt; 70% da superfície","≤ 70% da superfície"),tbl_regras_dfr[Chave],0)),"Sem regra"))</f>
        <v>A</v>
      </c>
      <c r="AS69" s="33" t="str">
        <f>IF(LEFT(L69,9)="Sem fluxo","—",IFERROR(INDEX(tbl_regras_dfr[Classe],MATCH(L69&amp;"|Decoração direta|"&amp;AH69,tbl_regras_dfr[Chave],0)),"Sem regra"))</f>
        <v>A</v>
      </c>
      <c r="AT69" s="31">
        <f t="shared" ref="AT69:AT100" si="38">IF(COUNTIF(AJ69:AS69,"F"),6,IF(COUNTIF(AJ69:AS69,"E"),5,IF(COUNTIF(AJ69:AS69,"D"),4,IF(COUNTIF(AJ69:AS69,"C"),3,IF(COUNTIF(AJ69:AS69,"B"),2,IF(COUNTIF(AJ69:AS69,"A"),1,0))))))</f>
        <v>1</v>
      </c>
      <c r="AU69" s="33" t="str">
        <f>IF(AT69=0,"",INDEX({"A","B","C","D","E","F"},AT69))</f>
        <v>A</v>
      </c>
      <c r="AV69" s="31">
        <f t="shared" ref="AV69:AV100" si="39">COUNTIF(AJ69:AS69,"Sem regra")</f>
        <v>0</v>
      </c>
      <c r="AW69" s="33" t="str">
        <f t="shared" ref="AW69:AW100" si="40">IF(OR(AU69="",AU69="A"),"—",SUBSTITUTE(INDEX($AJ$4:$AS$4,MATCH(AU69,AJ69:AS69,0)),"Classe_",""))</f>
        <v>—</v>
      </c>
      <c r="AX69" s="33" t="str">
        <f>IF(AU69="A","Sem ação — manter o design.",IFERROR(INDEX(tbl_regras_dfr[Recomendacao],MATCH(CHOOSE(MATCH(AU69,AJ69:AS69,0),L69&amp;"|Fluxo de reciclagem|"&amp;L69,L69&amp;"|Cor do corpo|"&amp;O69,L69&amp;"|Densidade do corpo|"&amp;IF(R69&lt;1,"&lt; 1,0 g/cm³","≥ 1,0 g/cm³"),L69&amp;"|Barreira / revestimento|"&amp;S69,L69&amp;"|Material da tampa|"&amp;X69,L69&amp;"|Vedante / liner|"&amp;Z69,L69&amp;"|Tipo de rótulo|"&amp;AA69,L69&amp;"|Adesivo do rótulo|"&amp;AB69,L69&amp;"|Cobertura do rótulo|"&amp;IF(AC69&gt;0.7,"&gt; 70% da superfície","≤ 70% da superfície"),L69&amp;"|Decoração direta|"&amp;AH69),tbl_regras_dfr[Chave],0)),""))</f>
        <v>Sem ação — manter o design.</v>
      </c>
      <c r="AY69" s="38">
        <f t="shared" ref="AY69:AY100" si="41">T69+Y69+AD69+AI69</f>
        <v>57.24</v>
      </c>
      <c r="AZ69" s="36">
        <f>MIN(IFERROR(INDEX(tbl_regras_dfr[Fracao_Reciclavel],MATCH(L69&amp;"|Fluxo de reciclagem|"&amp;L69,tbl_regras_dfr[Chave],0)),0),IFERROR(INDEX(tbl_regras_dfr[Fracao_Reciclavel],MATCH(L69&amp;"|Cor do corpo|"&amp;O69,tbl_regras_dfr[Chave],0)),0))</f>
        <v>1</v>
      </c>
      <c r="BA69" s="36">
        <f>IFERROR(INDEX(tbl_regras_dfr[Fracao_Reciclavel],MATCH(L69&amp;"|Material da tampa|"&amp;X69,tbl_regras_dfr[Chave],0)),0)</f>
        <v>1</v>
      </c>
      <c r="BB69" s="36">
        <f>IFERROR(INDEX(tbl_regras_dfr[Fracao_Reciclavel],MATCH(L69&amp;"|Tipo de rótulo|"&amp;AA69,tbl_regras_dfr[Chave],0)),0)</f>
        <v>1</v>
      </c>
      <c r="BC69" s="38">
        <f t="shared" ref="BC69:BC100" si="42">AZ69*(T69+Y69*BA69+AD69*BB69)</f>
        <v>57.24</v>
      </c>
      <c r="BD69" s="40">
        <f t="shared" ref="BD69:BD100" si="43">IFERROR(BC69/AY69,0)</f>
        <v>1</v>
      </c>
      <c r="BE69" s="33" t="str">
        <f>IF(BD69&gt;=INDEX(tbl_param_emb[Valor],MATCH("P-06",tbl_param_emb[ID_Parametro],0)),"A",IF(BD69&gt;=INDEX(tbl_param_emb[Valor],MATCH("P-07",tbl_param_emb[ID_Parametro],0)),"B",IF(BD69&gt;=INDEX(tbl_param_emb[Valor],MATCH("P-08",tbl_param_emb[ID_Parametro],0)),"C","&lt; 70%")))</f>
        <v>A</v>
      </c>
      <c r="BF69" s="33" t="str">
        <f>IF(AU69="F","Não reciclável (F)",INDEX({"A","B","C","Abaixo de C"},MAX(MIN(AT69,4),IF(BE69="A",1,IF(BE69="B",2,IF(BE69="C",3,4))))))</f>
        <v>A</v>
      </c>
      <c r="BG69" s="33" t="str">
        <f t="shared" ref="BG69:BG100" si="44">IF(D69="Farmacêutico","Isento até 2035","—")</f>
        <v>—</v>
      </c>
      <c r="BH69" s="33" t="str">
        <f t="shared" ref="BH69:BH100" si="45">IF(BG69&lt;&gt;"—",BG69,IF(OR(BF69="A",BF69="B",BF69="C"),"Sim","Não"))</f>
        <v>Sim</v>
      </c>
      <c r="BI69" s="33" t="str">
        <f t="shared" ref="BI69:BI100" si="46">IF(BG69&lt;&gt;"—",BG69,IF(OR(BF69="A",BF69="B"),"Sim","Não"))</f>
        <v>Sim</v>
      </c>
      <c r="BJ69" s="36">
        <f>IFERROR(INDEX(tbl_materiais[Pct_PCR],MATCH(J69,tbl_materiais[Material],0)),0)</f>
        <v>0</v>
      </c>
      <c r="BK69" s="36">
        <f>IF(V69="",0,IFERROR(INDEX(tbl_tampas[Pct_PCR],MATCH(V69,tbl_tampas[CapId],0)),0))</f>
        <v>0</v>
      </c>
      <c r="BL69" s="40">
        <f t="shared" ref="BL69:BL100" si="47">IFERROR((T69*BJ69+Y69*BK69)/(T69+Y69),0)</f>
        <v>0</v>
      </c>
      <c r="BM69" s="33" t="str">
        <f t="shared" ref="BM69:BM100" si="48">IF(D69="Farmacêutico","Isenta — medicamentos (art. 7.º)",IF(D69="Alimentar",IF(K69="PET","Sensível ao contacto — PET","Sensível ao contacto — outros plásticos"),"Outras embalagens de plástico"))</f>
        <v>Outras embalagens de plástico</v>
      </c>
      <c r="BN69" s="36">
        <f>IFERROR(IF(INDEX(tbl_metas_art7[Meta_2030],MATCH(BM69,tbl_metas_art7[Categoria_Art7],0))="","",INDEX(tbl_metas_art7[Meta_2030],MATCH(BM69,tbl_metas_art7[Categoria_Art7],0))),"")</f>
        <v>0.35</v>
      </c>
      <c r="BO69" s="40">
        <f t="shared" ref="BO69:BO100" si="49">IF(BN69="","",MAX(0,BN69-BL69))</f>
        <v>0.35</v>
      </c>
      <c r="BP69" s="33" t="str">
        <f t="shared" ref="BP69:BP100" si="50">IF(BN69="","Isento",IF(BO69=0,"Sim","Não"))</f>
        <v>Não</v>
      </c>
      <c r="BQ69" s="33" t="str">
        <f t="shared" ref="BQ69:BQ100" si="51">IF(AND(OR(X69=K69,X69="Sem tampa",AND(OR(X69="PE",X69="PP"),OR(K69="PE",K69="PP"))),OR(AA69="Sem rótulo",AND(ISNUMBER(SEARCH("PE/PP",AA69)),OR(K69="PE",K69="PP")))),"Monomaterial (mesma família)","Multimaterial")</f>
        <v>Monomaterial (mesma família)</v>
      </c>
      <c r="BR69" s="37">
        <v>60204</v>
      </c>
      <c r="BS69" s="39">
        <v>7</v>
      </c>
      <c r="BT69" s="26" t="s">
        <v>763</v>
      </c>
      <c r="BU69" s="32">
        <f t="shared" ref="BU69:BU100" si="52">BR69*T69/1000</f>
        <v>2438.2620000000002</v>
      </c>
      <c r="BV69" s="31">
        <f>COUNTIFS(tbl_aplicabilidade[ProductId],B69,tbl_aplicabilidade[Aplicavel],"Sim")</f>
        <v>12</v>
      </c>
      <c r="BW69" s="31">
        <f>COUNTIFS(tbl_aplicabilidade[ProductId],B69,tbl_aplicabilidade[Estado_Resumo],"Lacuna")+COUNTIFS(tbl_aplicabilidade[ProductId],B69,tbl_aplicabilidade[Estado_Resumo],"Não conforme")</f>
        <v>1</v>
      </c>
      <c r="BX69" s="41">
        <v>46287</v>
      </c>
      <c r="BY69" s="42">
        <f t="shared" ref="BY69:BY100" si="53">EDATE(BX69,12)</f>
        <v>46652</v>
      </c>
      <c r="BZ69" s="26" t="s">
        <v>596</v>
      </c>
      <c r="CA69" s="26" t="s">
        <v>597</v>
      </c>
      <c r="CB69" s="26" t="s">
        <v>598</v>
      </c>
    </row>
    <row r="70" spans="1:80" ht="18" customHeight="1" x14ac:dyDescent="0.3">
      <c r="A70" s="26" t="s">
        <v>764</v>
      </c>
      <c r="B70" s="26" t="s">
        <v>765</v>
      </c>
      <c r="C70" s="26" t="s">
        <v>586</v>
      </c>
      <c r="D70" s="26" t="s">
        <v>587</v>
      </c>
      <c r="E70" s="26" t="s">
        <v>588</v>
      </c>
      <c r="F70" s="26" t="s">
        <v>589</v>
      </c>
      <c r="G70" s="26" t="s">
        <v>590</v>
      </c>
      <c r="H70" s="37">
        <v>750</v>
      </c>
      <c r="I70" s="37">
        <v>156</v>
      </c>
      <c r="J70" s="26" t="s">
        <v>223</v>
      </c>
      <c r="K70" s="33" t="str">
        <f>IFERROR(INDEX(tbl_materiais[Polimero_Base],MATCH(J70,tbl_materiais[Material],0)),"")</f>
        <v>PE</v>
      </c>
      <c r="L70" s="33" t="str">
        <f>IFERROR(INDEX(tbl_materiais[Fluxo_Reciclagem],MATCH(J70,tbl_materiais[Material],0)),"")</f>
        <v>PE rígido</v>
      </c>
      <c r="M70" s="33" t="str">
        <f t="shared" si="36"/>
        <v>PE rígido — frascos e contentores (HDPE/LDPE)</v>
      </c>
      <c r="N70" s="26" t="s">
        <v>622</v>
      </c>
      <c r="O70" s="26" t="s">
        <v>283</v>
      </c>
      <c r="P70" s="26" t="s">
        <v>623</v>
      </c>
      <c r="Q70" s="29">
        <v>1.4999999999999999E-2</v>
      </c>
      <c r="R70" s="35">
        <f>IFERROR(ROUND(INDEX(tbl_materiais[Densidade_g_cm3],MATCH(J70,tbl_materiais[Material],0))+Q70*1.2,3),"")</f>
        <v>0.97299999999999998</v>
      </c>
      <c r="S70" s="26" t="s">
        <v>302</v>
      </c>
      <c r="T70" s="34">
        <v>40.5</v>
      </c>
      <c r="U70" s="26" t="s">
        <v>593</v>
      </c>
      <c r="V70" s="26" t="s">
        <v>449</v>
      </c>
      <c r="W70" s="33" t="str">
        <f>IF(V70="","",IFERROR(INDEX(tbl_tampas[Material],MATCH(V70,tbl_tampas[CapId],0)),""))</f>
        <v>HDPE</v>
      </c>
      <c r="X70" s="33" t="str">
        <f>IF(V70="","Sem tampa",IFERROR(INDEX(tbl_materiais[Polimero_Base],MATCH(W70,tbl_materiais[Material],0)),""))</f>
        <v>PE</v>
      </c>
      <c r="Y70" s="38">
        <f>IF(V70="",0,IFERROR(INDEX(tbl_tampas[Massa_g],MATCH(V70,tbl_tampas[CapId],0)),0))</f>
        <v>15.9</v>
      </c>
      <c r="Z70" s="26" t="s">
        <v>319</v>
      </c>
      <c r="AA70" s="26" t="s">
        <v>327</v>
      </c>
      <c r="AB70" s="26" t="s">
        <v>342</v>
      </c>
      <c r="AC70" s="29">
        <v>0.4</v>
      </c>
      <c r="AD70" s="27">
        <v>0.84</v>
      </c>
      <c r="AE70" s="26" t="s">
        <v>604</v>
      </c>
      <c r="AF70" s="26" t="s">
        <v>302</v>
      </c>
      <c r="AG70" s="39">
        <v>0</v>
      </c>
      <c r="AH70" s="33" t="str">
        <f t="shared" si="37"/>
        <v>Nenhuma</v>
      </c>
      <c r="AI70" s="27">
        <v>0</v>
      </c>
      <c r="AJ70" s="33" t="str">
        <f>IFERROR(INDEX(tbl_regras_dfr[Classe],MATCH(L70&amp;"|Fluxo de reciclagem|"&amp;L70,tbl_regras_dfr[Chave],0)),"Sem regra")</f>
        <v>A</v>
      </c>
      <c r="AK70" s="33" t="str">
        <f>IF(LEFT(L70,9)="Sem fluxo","—",IFERROR(INDEX(tbl_regras_dfr[Classe],MATCH(L70&amp;"|Cor do corpo|"&amp;O70,tbl_regras_dfr[Chave],0)),"Sem regra"))</f>
        <v>B</v>
      </c>
      <c r="AL70" s="33" t="str">
        <f>IF(LEFT(L70,9)="Sem fluxo","—",IFERROR(INDEX(tbl_regras_dfr[Classe],MATCH(L70&amp;"|Densidade do corpo|"&amp;IF(R70&lt;1,"&lt; 1,0 g/cm³","≥ 1,0 g/cm³"),tbl_regras_dfr[Chave],0)),"Sem regra"))</f>
        <v>A</v>
      </c>
      <c r="AM70" s="33" t="str">
        <f>IF(LEFT(L70,9)="Sem fluxo","—",IFERROR(INDEX(tbl_regras_dfr[Classe],MATCH(L70&amp;"|Barreira / revestimento|"&amp;S70,tbl_regras_dfr[Chave],0)),"Sem regra"))</f>
        <v>A</v>
      </c>
      <c r="AN70" s="33" t="str">
        <f>IF(LEFT(L70,9)="Sem fluxo","—",IFERROR(INDEX(tbl_regras_dfr[Classe],MATCH(L70&amp;"|Material da tampa|"&amp;X70,tbl_regras_dfr[Chave],0)),"Sem regra"))</f>
        <v>A</v>
      </c>
      <c r="AO70" s="33" t="str">
        <f>IF(LEFT(L70,9)="Sem fluxo","—",IFERROR(INDEX(tbl_regras_dfr[Classe],MATCH(L70&amp;"|Vedante / liner|"&amp;Z70,tbl_regras_dfr[Chave],0)),"Sem regra"))</f>
        <v>A</v>
      </c>
      <c r="AP70" s="33" t="str">
        <f>IF(LEFT(L70,9)="Sem fluxo","—",IFERROR(INDEX(tbl_regras_dfr[Classe],MATCH(L70&amp;"|Tipo de rótulo|"&amp;AA70,tbl_regras_dfr[Chave],0)),"Sem regra"))</f>
        <v>A</v>
      </c>
      <c r="AQ70" s="33" t="str">
        <f>IF(LEFT(L70,9)="Sem fluxo","—",IFERROR(INDEX(tbl_regras_dfr[Classe],MATCH(L70&amp;"|Adesivo do rótulo|"&amp;AB70,tbl_regras_dfr[Chave],0)),"Sem regra"))</f>
        <v>A</v>
      </c>
      <c r="AR70" s="33" t="str">
        <f>IF(LEFT(L70,9)="Sem fluxo","—",IFERROR(INDEX(tbl_regras_dfr[Classe],MATCH(L70&amp;"|Cobertura do rótulo|"&amp;IF(AC70&gt;0.7,"&gt; 70% da superfície","≤ 70% da superfície"),tbl_regras_dfr[Chave],0)),"Sem regra"))</f>
        <v>A</v>
      </c>
      <c r="AS70" s="33" t="str">
        <f>IF(LEFT(L70,9)="Sem fluxo","—",IFERROR(INDEX(tbl_regras_dfr[Classe],MATCH(L70&amp;"|Decoração direta|"&amp;AH70,tbl_regras_dfr[Chave],0)),"Sem regra"))</f>
        <v>A</v>
      </c>
      <c r="AT70" s="31">
        <f t="shared" si="38"/>
        <v>2</v>
      </c>
      <c r="AU70" s="33" t="str">
        <f>IF(AT70=0,"",INDEX({"A","B","C","D","E","F"},AT70))</f>
        <v>B</v>
      </c>
      <c r="AV70" s="31">
        <f t="shared" si="39"/>
        <v>0</v>
      </c>
      <c r="AW70" s="33" t="str">
        <f t="shared" si="40"/>
        <v>Cor</v>
      </c>
      <c r="AX70" s="33" t="str">
        <f>IF(AU70="A","Sem ação — manter o design.",IFERROR(INDEX(tbl_regras_dfr[Recomendacao],MATCH(CHOOSE(MATCH(AU70,AJ70:AS70,0),L70&amp;"|Fluxo de reciclagem|"&amp;L70,L70&amp;"|Cor do corpo|"&amp;O70,L70&amp;"|Densidade do corpo|"&amp;IF(R70&lt;1,"&lt; 1,0 g/cm³","≥ 1,0 g/cm³"),L70&amp;"|Barreira / revestimento|"&amp;S70,L70&amp;"|Material da tampa|"&amp;X70,L70&amp;"|Vedante / liner|"&amp;Z70,L70&amp;"|Tipo de rótulo|"&amp;AA70,L70&amp;"|Adesivo do rótulo|"&amp;AB70,L70&amp;"|Cobertura do rótulo|"&amp;IF(AC70&gt;0.7,"&gt; 70% da superfície","≤ 70% da superfície"),L70&amp;"|Decoração direta|"&amp;AH70),tbl_regras_dfr[Chave],0)),""))</f>
        <v>Preferir natural, branco ou cores claras.</v>
      </c>
      <c r="AY70" s="38">
        <f t="shared" si="41"/>
        <v>57.24</v>
      </c>
      <c r="AZ70" s="36">
        <f>MIN(IFERROR(INDEX(tbl_regras_dfr[Fracao_Reciclavel],MATCH(L70&amp;"|Fluxo de reciclagem|"&amp;L70,tbl_regras_dfr[Chave],0)),0),IFERROR(INDEX(tbl_regras_dfr[Fracao_Reciclavel],MATCH(L70&amp;"|Cor do corpo|"&amp;O70,tbl_regras_dfr[Chave],0)),0))</f>
        <v>1</v>
      </c>
      <c r="BA70" s="36">
        <f>IFERROR(INDEX(tbl_regras_dfr[Fracao_Reciclavel],MATCH(L70&amp;"|Material da tampa|"&amp;X70,tbl_regras_dfr[Chave],0)),0)</f>
        <v>1</v>
      </c>
      <c r="BB70" s="36">
        <f>IFERROR(INDEX(tbl_regras_dfr[Fracao_Reciclavel],MATCH(L70&amp;"|Tipo de rótulo|"&amp;AA70,tbl_regras_dfr[Chave],0)),0)</f>
        <v>1</v>
      </c>
      <c r="BC70" s="38">
        <f t="shared" si="42"/>
        <v>57.24</v>
      </c>
      <c r="BD70" s="40">
        <f t="shared" si="43"/>
        <v>1</v>
      </c>
      <c r="BE70" s="33" t="str">
        <f>IF(BD70&gt;=INDEX(tbl_param_emb[Valor],MATCH("P-06",tbl_param_emb[ID_Parametro],0)),"A",IF(BD70&gt;=INDEX(tbl_param_emb[Valor],MATCH("P-07",tbl_param_emb[ID_Parametro],0)),"B",IF(BD70&gt;=INDEX(tbl_param_emb[Valor],MATCH("P-08",tbl_param_emb[ID_Parametro],0)),"C","&lt; 70%")))</f>
        <v>A</v>
      </c>
      <c r="BF70" s="33" t="str">
        <f>IF(AU70="F","Não reciclável (F)",INDEX({"A","B","C","Abaixo de C"},MAX(MIN(AT70,4),IF(BE70="A",1,IF(BE70="B",2,IF(BE70="C",3,4))))))</f>
        <v>B</v>
      </c>
      <c r="BG70" s="33" t="str">
        <f t="shared" si="44"/>
        <v>—</v>
      </c>
      <c r="BH70" s="33" t="str">
        <f t="shared" si="45"/>
        <v>Sim</v>
      </c>
      <c r="BI70" s="33" t="str">
        <f t="shared" si="46"/>
        <v>Sim</v>
      </c>
      <c r="BJ70" s="36">
        <f>IFERROR(INDEX(tbl_materiais[Pct_PCR],MATCH(J70,tbl_materiais[Material],0)),0)</f>
        <v>0</v>
      </c>
      <c r="BK70" s="36">
        <f>IF(V70="",0,IFERROR(INDEX(tbl_tampas[Pct_PCR],MATCH(V70,tbl_tampas[CapId],0)),0))</f>
        <v>0</v>
      </c>
      <c r="BL70" s="40">
        <f t="shared" si="47"/>
        <v>0</v>
      </c>
      <c r="BM70" s="33" t="str">
        <f t="shared" si="48"/>
        <v>Outras embalagens de plástico</v>
      </c>
      <c r="BN70" s="36">
        <f>IFERROR(IF(INDEX(tbl_metas_art7[Meta_2030],MATCH(BM70,tbl_metas_art7[Categoria_Art7],0))="","",INDEX(tbl_metas_art7[Meta_2030],MATCH(BM70,tbl_metas_art7[Categoria_Art7],0))),"")</f>
        <v>0.35</v>
      </c>
      <c r="BO70" s="40">
        <f t="shared" si="49"/>
        <v>0.35</v>
      </c>
      <c r="BP70" s="33" t="str">
        <f t="shared" si="50"/>
        <v>Não</v>
      </c>
      <c r="BQ70" s="33" t="str">
        <f t="shared" si="51"/>
        <v>Monomaterial (mesma família)</v>
      </c>
      <c r="BR70" s="37">
        <v>148749</v>
      </c>
      <c r="BS70" s="39">
        <v>13</v>
      </c>
      <c r="BT70" s="26" t="s">
        <v>426</v>
      </c>
      <c r="BU70" s="32">
        <f t="shared" si="52"/>
        <v>6024.3344999999999</v>
      </c>
      <c r="BV70" s="31">
        <f>COUNTIFS(tbl_aplicabilidade[ProductId],B70,tbl_aplicabilidade[Aplicavel],"Sim")</f>
        <v>12</v>
      </c>
      <c r="BW70" s="31">
        <f>COUNTIFS(tbl_aplicabilidade[ProductId],B70,tbl_aplicabilidade[Estado_Resumo],"Lacuna")+COUNTIFS(tbl_aplicabilidade[ProductId],B70,tbl_aplicabilidade[Estado_Resumo],"Não conforme")</f>
        <v>1</v>
      </c>
      <c r="BX70" s="41">
        <v>46287</v>
      </c>
      <c r="BY70" s="42">
        <f t="shared" si="53"/>
        <v>46652</v>
      </c>
      <c r="BZ70" s="26" t="s">
        <v>596</v>
      </c>
      <c r="CA70" s="26" t="s">
        <v>597</v>
      </c>
      <c r="CB70" s="26" t="s">
        <v>598</v>
      </c>
    </row>
    <row r="71" spans="1:80" ht="18" customHeight="1" x14ac:dyDescent="0.3">
      <c r="A71" s="26" t="s">
        <v>766</v>
      </c>
      <c r="B71" s="26" t="s">
        <v>767</v>
      </c>
      <c r="C71" s="26" t="s">
        <v>586</v>
      </c>
      <c r="D71" s="26" t="s">
        <v>587</v>
      </c>
      <c r="E71" s="26" t="s">
        <v>588</v>
      </c>
      <c r="F71" s="26" t="s">
        <v>589</v>
      </c>
      <c r="G71" s="26" t="s">
        <v>601</v>
      </c>
      <c r="H71" s="37">
        <v>750</v>
      </c>
      <c r="I71" s="37">
        <v>156</v>
      </c>
      <c r="J71" s="26" t="s">
        <v>229</v>
      </c>
      <c r="K71" s="33" t="str">
        <f>IFERROR(INDEX(tbl_materiais[Polimero_Base],MATCH(J71,tbl_materiais[Material],0)),"")</f>
        <v>PE</v>
      </c>
      <c r="L71" s="33" t="str">
        <f>IFERROR(INDEX(tbl_materiais[Fluxo_Reciclagem],MATCH(J71,tbl_materiais[Material],0)),"")</f>
        <v>PE rígido</v>
      </c>
      <c r="M71" s="33" t="str">
        <f t="shared" si="36"/>
        <v>PE rígido — frascos e contentores (HDPE/LDPE)</v>
      </c>
      <c r="N71" s="26" t="s">
        <v>656</v>
      </c>
      <c r="O71" s="26" t="s">
        <v>283</v>
      </c>
      <c r="P71" s="26" t="s">
        <v>657</v>
      </c>
      <c r="Q71" s="29">
        <v>0.02</v>
      </c>
      <c r="R71" s="35">
        <f>IFERROR(ROUND(INDEX(tbl_materiais[Densidade_g_cm3],MATCH(J71,tbl_materiais[Material],0))+Q71*1.2,3),"")</f>
        <v>0.98399999999999999</v>
      </c>
      <c r="S71" s="26" t="s">
        <v>302</v>
      </c>
      <c r="T71" s="34">
        <v>40.5</v>
      </c>
      <c r="U71" s="26" t="s">
        <v>593</v>
      </c>
      <c r="V71" s="26" t="s">
        <v>475</v>
      </c>
      <c r="W71" s="33" t="str">
        <f>IF(V71="","",IFERROR(INDEX(tbl_tampas[Material],MATCH(V71,tbl_tampas[CapId],0)),""))</f>
        <v>PP-PCR</v>
      </c>
      <c r="X71" s="33" t="str">
        <f>IF(V71="","Sem tampa",IFERROR(INDEX(tbl_materiais[Polimero_Base],MATCH(W71,tbl_materiais[Material],0)),""))</f>
        <v>PP</v>
      </c>
      <c r="Y71" s="38">
        <f>IF(V71="",0,IFERROR(INDEX(tbl_tampas[Massa_g],MATCH(V71,tbl_tampas[CapId],0)),0))</f>
        <v>19.3</v>
      </c>
      <c r="Z71" s="26" t="s">
        <v>319</v>
      </c>
      <c r="AA71" s="26" t="s">
        <v>327</v>
      </c>
      <c r="AB71" s="26" t="s">
        <v>342</v>
      </c>
      <c r="AC71" s="29">
        <v>0.4</v>
      </c>
      <c r="AD71" s="27">
        <v>0.84</v>
      </c>
      <c r="AE71" s="26" t="s">
        <v>604</v>
      </c>
      <c r="AF71" s="26" t="s">
        <v>302</v>
      </c>
      <c r="AG71" s="39">
        <v>0</v>
      </c>
      <c r="AH71" s="33" t="str">
        <f t="shared" si="37"/>
        <v>Nenhuma</v>
      </c>
      <c r="AI71" s="27">
        <v>0</v>
      </c>
      <c r="AJ71" s="33" t="str">
        <f>IFERROR(INDEX(tbl_regras_dfr[Classe],MATCH(L71&amp;"|Fluxo de reciclagem|"&amp;L71,tbl_regras_dfr[Chave],0)),"Sem regra")</f>
        <v>A</v>
      </c>
      <c r="AK71" s="33" t="str">
        <f>IF(LEFT(L71,9)="Sem fluxo","—",IFERROR(INDEX(tbl_regras_dfr[Classe],MATCH(L71&amp;"|Cor do corpo|"&amp;O71,tbl_regras_dfr[Chave],0)),"Sem regra"))</f>
        <v>B</v>
      </c>
      <c r="AL71" s="33" t="str">
        <f>IF(LEFT(L71,9)="Sem fluxo","—",IFERROR(INDEX(tbl_regras_dfr[Classe],MATCH(L71&amp;"|Densidade do corpo|"&amp;IF(R71&lt;1,"&lt; 1,0 g/cm³","≥ 1,0 g/cm³"),tbl_regras_dfr[Chave],0)),"Sem regra"))</f>
        <v>A</v>
      </c>
      <c r="AM71" s="33" t="str">
        <f>IF(LEFT(L71,9)="Sem fluxo","—",IFERROR(INDEX(tbl_regras_dfr[Classe],MATCH(L71&amp;"|Barreira / revestimento|"&amp;S71,tbl_regras_dfr[Chave],0)),"Sem regra"))</f>
        <v>A</v>
      </c>
      <c r="AN71" s="33" t="str">
        <f>IF(LEFT(L71,9)="Sem fluxo","—",IFERROR(INDEX(tbl_regras_dfr[Classe],MATCH(L71&amp;"|Material da tampa|"&amp;X71,tbl_regras_dfr[Chave],0)),"Sem regra"))</f>
        <v>A</v>
      </c>
      <c r="AO71" s="33" t="str">
        <f>IF(LEFT(L71,9)="Sem fluxo","—",IFERROR(INDEX(tbl_regras_dfr[Classe],MATCH(L71&amp;"|Vedante / liner|"&amp;Z71,tbl_regras_dfr[Chave],0)),"Sem regra"))</f>
        <v>A</v>
      </c>
      <c r="AP71" s="33" t="str">
        <f>IF(LEFT(L71,9)="Sem fluxo","—",IFERROR(INDEX(tbl_regras_dfr[Classe],MATCH(L71&amp;"|Tipo de rótulo|"&amp;AA71,tbl_regras_dfr[Chave],0)),"Sem regra"))</f>
        <v>A</v>
      </c>
      <c r="AQ71" s="33" t="str">
        <f>IF(LEFT(L71,9)="Sem fluxo","—",IFERROR(INDEX(tbl_regras_dfr[Classe],MATCH(L71&amp;"|Adesivo do rótulo|"&amp;AB71,tbl_regras_dfr[Chave],0)),"Sem regra"))</f>
        <v>A</v>
      </c>
      <c r="AR71" s="33" t="str">
        <f>IF(LEFT(L71,9)="Sem fluxo","—",IFERROR(INDEX(tbl_regras_dfr[Classe],MATCH(L71&amp;"|Cobertura do rótulo|"&amp;IF(AC71&gt;0.7,"&gt; 70% da superfície","≤ 70% da superfície"),tbl_regras_dfr[Chave],0)),"Sem regra"))</f>
        <v>A</v>
      </c>
      <c r="AS71" s="33" t="str">
        <f>IF(LEFT(L71,9)="Sem fluxo","—",IFERROR(INDEX(tbl_regras_dfr[Classe],MATCH(L71&amp;"|Decoração direta|"&amp;AH71,tbl_regras_dfr[Chave],0)),"Sem regra"))</f>
        <v>A</v>
      </c>
      <c r="AT71" s="31">
        <f t="shared" si="38"/>
        <v>2</v>
      </c>
      <c r="AU71" s="33" t="str">
        <f>IF(AT71=0,"",INDEX({"A","B","C","D","E","F"},AT71))</f>
        <v>B</v>
      </c>
      <c r="AV71" s="31">
        <f t="shared" si="39"/>
        <v>0</v>
      </c>
      <c r="AW71" s="33" t="str">
        <f t="shared" si="40"/>
        <v>Cor</v>
      </c>
      <c r="AX71" s="33" t="str">
        <f>IF(AU71="A","Sem ação — manter o design.",IFERROR(INDEX(tbl_regras_dfr[Recomendacao],MATCH(CHOOSE(MATCH(AU71,AJ71:AS71,0),L71&amp;"|Fluxo de reciclagem|"&amp;L71,L71&amp;"|Cor do corpo|"&amp;O71,L71&amp;"|Densidade do corpo|"&amp;IF(R71&lt;1,"&lt; 1,0 g/cm³","≥ 1,0 g/cm³"),L71&amp;"|Barreira / revestimento|"&amp;S71,L71&amp;"|Material da tampa|"&amp;X71,L71&amp;"|Vedante / liner|"&amp;Z71,L71&amp;"|Tipo de rótulo|"&amp;AA71,L71&amp;"|Adesivo do rótulo|"&amp;AB71,L71&amp;"|Cobertura do rótulo|"&amp;IF(AC71&gt;0.7,"&gt; 70% da superfície","≤ 70% da superfície"),L71&amp;"|Decoração direta|"&amp;AH71),tbl_regras_dfr[Chave],0)),""))</f>
        <v>Preferir natural, branco ou cores claras.</v>
      </c>
      <c r="AY71" s="38">
        <f t="shared" si="41"/>
        <v>60.64</v>
      </c>
      <c r="AZ71" s="36">
        <f>MIN(IFERROR(INDEX(tbl_regras_dfr[Fracao_Reciclavel],MATCH(L71&amp;"|Fluxo de reciclagem|"&amp;L71,tbl_regras_dfr[Chave],0)),0),IFERROR(INDEX(tbl_regras_dfr[Fracao_Reciclavel],MATCH(L71&amp;"|Cor do corpo|"&amp;O71,tbl_regras_dfr[Chave],0)),0))</f>
        <v>1</v>
      </c>
      <c r="BA71" s="36">
        <f>IFERROR(INDEX(tbl_regras_dfr[Fracao_Reciclavel],MATCH(L71&amp;"|Material da tampa|"&amp;X71,tbl_regras_dfr[Chave],0)),0)</f>
        <v>1</v>
      </c>
      <c r="BB71" s="36">
        <f>IFERROR(INDEX(tbl_regras_dfr[Fracao_Reciclavel],MATCH(L71&amp;"|Tipo de rótulo|"&amp;AA71,tbl_regras_dfr[Chave],0)),0)</f>
        <v>1</v>
      </c>
      <c r="BC71" s="38">
        <f t="shared" si="42"/>
        <v>60.64</v>
      </c>
      <c r="BD71" s="40">
        <f t="shared" si="43"/>
        <v>1</v>
      </c>
      <c r="BE71" s="33" t="str">
        <f>IF(BD71&gt;=INDEX(tbl_param_emb[Valor],MATCH("P-06",tbl_param_emb[ID_Parametro],0)),"A",IF(BD71&gt;=INDEX(tbl_param_emb[Valor],MATCH("P-07",tbl_param_emb[ID_Parametro],0)),"B",IF(BD71&gt;=INDEX(tbl_param_emb[Valor],MATCH("P-08",tbl_param_emb[ID_Parametro],0)),"C","&lt; 70%")))</f>
        <v>A</v>
      </c>
      <c r="BF71" s="33" t="str">
        <f>IF(AU71="F","Não reciclável (F)",INDEX({"A","B","C","Abaixo de C"},MAX(MIN(AT71,4),IF(BE71="A",1,IF(BE71="B",2,IF(BE71="C",3,4))))))</f>
        <v>B</v>
      </c>
      <c r="BG71" s="33" t="str">
        <f t="shared" si="44"/>
        <v>—</v>
      </c>
      <c r="BH71" s="33" t="str">
        <f t="shared" si="45"/>
        <v>Sim</v>
      </c>
      <c r="BI71" s="33" t="str">
        <f t="shared" si="46"/>
        <v>Sim</v>
      </c>
      <c r="BJ71" s="36">
        <f>IFERROR(INDEX(tbl_materiais[Pct_PCR],MATCH(J71,tbl_materiais[Material],0)),0)</f>
        <v>0.3</v>
      </c>
      <c r="BK71" s="36">
        <f>IF(V71="",0,IFERROR(INDEX(tbl_tampas[Pct_PCR],MATCH(V71,tbl_tampas[CapId],0)),0))</f>
        <v>0.3</v>
      </c>
      <c r="BL71" s="40">
        <f t="shared" si="47"/>
        <v>0.30000000000000004</v>
      </c>
      <c r="BM71" s="33" t="str">
        <f t="shared" si="48"/>
        <v>Outras embalagens de plástico</v>
      </c>
      <c r="BN71" s="36">
        <f>IFERROR(IF(INDEX(tbl_metas_art7[Meta_2030],MATCH(BM71,tbl_metas_art7[Categoria_Art7],0))="","",INDEX(tbl_metas_art7[Meta_2030],MATCH(BM71,tbl_metas_art7[Categoria_Art7],0))),"")</f>
        <v>0.35</v>
      </c>
      <c r="BO71" s="40">
        <f t="shared" si="49"/>
        <v>4.9999999999999933E-2</v>
      </c>
      <c r="BP71" s="33" t="str">
        <f t="shared" si="50"/>
        <v>Não</v>
      </c>
      <c r="BQ71" s="33" t="str">
        <f t="shared" si="51"/>
        <v>Monomaterial (mesma família)</v>
      </c>
      <c r="BR71" s="37">
        <v>41926</v>
      </c>
      <c r="BS71" s="39">
        <v>7</v>
      </c>
      <c r="BT71" s="26" t="s">
        <v>768</v>
      </c>
      <c r="BU71" s="32">
        <f t="shared" si="52"/>
        <v>1698.0029999999999</v>
      </c>
      <c r="BV71" s="31">
        <f>COUNTIFS(tbl_aplicabilidade[ProductId],B71,tbl_aplicabilidade[Aplicavel],"Sim")</f>
        <v>12</v>
      </c>
      <c r="BW71" s="31">
        <f>COUNTIFS(tbl_aplicabilidade[ProductId],B71,tbl_aplicabilidade[Estado_Resumo],"Lacuna")+COUNTIFS(tbl_aplicabilidade[ProductId],B71,tbl_aplicabilidade[Estado_Resumo],"Não conforme")</f>
        <v>1</v>
      </c>
      <c r="BX71" s="41">
        <v>46287</v>
      </c>
      <c r="BY71" s="42">
        <f t="shared" si="53"/>
        <v>46652</v>
      </c>
      <c r="BZ71" s="26" t="s">
        <v>596</v>
      </c>
      <c r="CA71" s="26" t="s">
        <v>597</v>
      </c>
      <c r="CB71" s="26" t="s">
        <v>598</v>
      </c>
    </row>
    <row r="72" spans="1:80" ht="18" customHeight="1" x14ac:dyDescent="0.3">
      <c r="A72" s="26" t="s">
        <v>769</v>
      </c>
      <c r="B72" s="26" t="s">
        <v>770</v>
      </c>
      <c r="C72" s="26" t="s">
        <v>586</v>
      </c>
      <c r="D72" s="26" t="s">
        <v>587</v>
      </c>
      <c r="E72" s="26" t="s">
        <v>588</v>
      </c>
      <c r="F72" s="26" t="s">
        <v>589</v>
      </c>
      <c r="G72" s="26" t="s">
        <v>601</v>
      </c>
      <c r="H72" s="37">
        <v>750</v>
      </c>
      <c r="I72" s="37">
        <v>156</v>
      </c>
      <c r="J72" s="26" t="s">
        <v>229</v>
      </c>
      <c r="K72" s="33" t="str">
        <f>IFERROR(INDEX(tbl_materiais[Polimero_Base],MATCH(J72,tbl_materiais[Material],0)),"")</f>
        <v>PE</v>
      </c>
      <c r="L72" s="33" t="str">
        <f>IFERROR(INDEX(tbl_materiais[Fluxo_Reciclagem],MATCH(J72,tbl_materiais[Material],0)),"")</f>
        <v>PE rígido</v>
      </c>
      <c r="M72" s="33" t="str">
        <f t="shared" si="36"/>
        <v>PE rígido — frascos e contentores (HDPE/LDPE)</v>
      </c>
      <c r="N72" s="26" t="s">
        <v>637</v>
      </c>
      <c r="O72" s="26" t="s">
        <v>281</v>
      </c>
      <c r="P72" s="26" t="s">
        <v>638</v>
      </c>
      <c r="Q72" s="29">
        <v>2.5000000000000001E-2</v>
      </c>
      <c r="R72" s="35">
        <f>IFERROR(ROUND(INDEX(tbl_materiais[Densidade_g_cm3],MATCH(J72,tbl_materiais[Material],0))+Q72*1.2,3),"")</f>
        <v>0.99</v>
      </c>
      <c r="S72" s="26" t="s">
        <v>302</v>
      </c>
      <c r="T72" s="34">
        <v>40.5</v>
      </c>
      <c r="U72" s="26" t="s">
        <v>593</v>
      </c>
      <c r="V72" s="26" t="s">
        <v>455</v>
      </c>
      <c r="W72" s="33" t="str">
        <f>IF(V72="","",IFERROR(INDEX(tbl_tampas[Material],MATCH(V72,tbl_tampas[CapId],0)),""))</f>
        <v>PP-PCR</v>
      </c>
      <c r="X72" s="33" t="str">
        <f>IF(V72="","Sem tampa",IFERROR(INDEX(tbl_materiais[Polimero_Base],MATCH(W72,tbl_materiais[Material],0)),""))</f>
        <v>PP</v>
      </c>
      <c r="Y72" s="38">
        <f>IF(V72="",0,IFERROR(INDEX(tbl_tampas[Massa_g],MATCH(V72,tbl_tampas[CapId],0)),0))</f>
        <v>14.3</v>
      </c>
      <c r="Z72" s="26" t="s">
        <v>319</v>
      </c>
      <c r="AA72" s="26" t="s">
        <v>327</v>
      </c>
      <c r="AB72" s="26" t="s">
        <v>342</v>
      </c>
      <c r="AC72" s="29">
        <v>0.4</v>
      </c>
      <c r="AD72" s="27">
        <v>0.84</v>
      </c>
      <c r="AE72" s="26" t="s">
        <v>604</v>
      </c>
      <c r="AF72" s="26" t="s">
        <v>302</v>
      </c>
      <c r="AG72" s="39">
        <v>0</v>
      </c>
      <c r="AH72" s="33" t="str">
        <f t="shared" si="37"/>
        <v>Nenhuma</v>
      </c>
      <c r="AI72" s="27">
        <v>0</v>
      </c>
      <c r="AJ72" s="33" t="str">
        <f>IFERROR(INDEX(tbl_regras_dfr[Classe],MATCH(L72&amp;"|Fluxo de reciclagem|"&amp;L72,tbl_regras_dfr[Chave],0)),"Sem regra")</f>
        <v>A</v>
      </c>
      <c r="AK72" s="33" t="str">
        <f>IF(LEFT(L72,9)="Sem fluxo","—",IFERROR(INDEX(tbl_regras_dfr[Classe],MATCH(L72&amp;"|Cor do corpo|"&amp;O72,tbl_regras_dfr[Chave],0)),"Sem regra"))</f>
        <v>A</v>
      </c>
      <c r="AL72" s="33" t="str">
        <f>IF(LEFT(L72,9)="Sem fluxo","—",IFERROR(INDEX(tbl_regras_dfr[Classe],MATCH(L72&amp;"|Densidade do corpo|"&amp;IF(R72&lt;1,"&lt; 1,0 g/cm³","≥ 1,0 g/cm³"),tbl_regras_dfr[Chave],0)),"Sem regra"))</f>
        <v>A</v>
      </c>
      <c r="AM72" s="33" t="str">
        <f>IF(LEFT(L72,9)="Sem fluxo","—",IFERROR(INDEX(tbl_regras_dfr[Classe],MATCH(L72&amp;"|Barreira / revestimento|"&amp;S72,tbl_regras_dfr[Chave],0)),"Sem regra"))</f>
        <v>A</v>
      </c>
      <c r="AN72" s="33" t="str">
        <f>IF(LEFT(L72,9)="Sem fluxo","—",IFERROR(INDEX(tbl_regras_dfr[Classe],MATCH(L72&amp;"|Material da tampa|"&amp;X72,tbl_regras_dfr[Chave],0)),"Sem regra"))</f>
        <v>A</v>
      </c>
      <c r="AO72" s="33" t="str">
        <f>IF(LEFT(L72,9)="Sem fluxo","—",IFERROR(INDEX(tbl_regras_dfr[Classe],MATCH(L72&amp;"|Vedante / liner|"&amp;Z72,tbl_regras_dfr[Chave],0)),"Sem regra"))</f>
        <v>A</v>
      </c>
      <c r="AP72" s="33" t="str">
        <f>IF(LEFT(L72,9)="Sem fluxo","—",IFERROR(INDEX(tbl_regras_dfr[Classe],MATCH(L72&amp;"|Tipo de rótulo|"&amp;AA72,tbl_regras_dfr[Chave],0)),"Sem regra"))</f>
        <v>A</v>
      </c>
      <c r="AQ72" s="33" t="str">
        <f>IF(LEFT(L72,9)="Sem fluxo","—",IFERROR(INDEX(tbl_regras_dfr[Classe],MATCH(L72&amp;"|Adesivo do rótulo|"&amp;AB72,tbl_regras_dfr[Chave],0)),"Sem regra"))</f>
        <v>A</v>
      </c>
      <c r="AR72" s="33" t="str">
        <f>IF(LEFT(L72,9)="Sem fluxo","—",IFERROR(INDEX(tbl_regras_dfr[Classe],MATCH(L72&amp;"|Cobertura do rótulo|"&amp;IF(AC72&gt;0.7,"&gt; 70% da superfície","≤ 70% da superfície"),tbl_regras_dfr[Chave],0)),"Sem regra"))</f>
        <v>A</v>
      </c>
      <c r="AS72" s="33" t="str">
        <f>IF(LEFT(L72,9)="Sem fluxo","—",IFERROR(INDEX(tbl_regras_dfr[Classe],MATCH(L72&amp;"|Decoração direta|"&amp;AH72,tbl_regras_dfr[Chave],0)),"Sem regra"))</f>
        <v>A</v>
      </c>
      <c r="AT72" s="31">
        <f t="shared" si="38"/>
        <v>1</v>
      </c>
      <c r="AU72" s="33" t="str">
        <f>IF(AT72=0,"",INDEX({"A","B","C","D","E","F"},AT72))</f>
        <v>A</v>
      </c>
      <c r="AV72" s="31">
        <f t="shared" si="39"/>
        <v>0</v>
      </c>
      <c r="AW72" s="33" t="str">
        <f t="shared" si="40"/>
        <v>—</v>
      </c>
      <c r="AX72" s="33" t="str">
        <f>IF(AU72="A","Sem ação — manter o design.",IFERROR(INDEX(tbl_regras_dfr[Recomendacao],MATCH(CHOOSE(MATCH(AU72,AJ72:AS72,0),L72&amp;"|Fluxo de reciclagem|"&amp;L72,L72&amp;"|Cor do corpo|"&amp;O72,L72&amp;"|Densidade do corpo|"&amp;IF(R72&lt;1,"&lt; 1,0 g/cm³","≥ 1,0 g/cm³"),L72&amp;"|Barreira / revestimento|"&amp;S72,L72&amp;"|Material da tampa|"&amp;X72,L72&amp;"|Vedante / liner|"&amp;Z72,L72&amp;"|Tipo de rótulo|"&amp;AA72,L72&amp;"|Adesivo do rótulo|"&amp;AB72,L72&amp;"|Cobertura do rótulo|"&amp;IF(AC72&gt;0.7,"&gt; 70% da superfície","≤ 70% da superfície"),L72&amp;"|Decoração direta|"&amp;AH72),tbl_regras_dfr[Chave],0)),""))</f>
        <v>Sem ação — manter o design.</v>
      </c>
      <c r="AY72" s="38">
        <f t="shared" si="41"/>
        <v>55.64</v>
      </c>
      <c r="AZ72" s="36">
        <f>MIN(IFERROR(INDEX(tbl_regras_dfr[Fracao_Reciclavel],MATCH(L72&amp;"|Fluxo de reciclagem|"&amp;L72,tbl_regras_dfr[Chave],0)),0),IFERROR(INDEX(tbl_regras_dfr[Fracao_Reciclavel],MATCH(L72&amp;"|Cor do corpo|"&amp;O72,tbl_regras_dfr[Chave],0)),0))</f>
        <v>1</v>
      </c>
      <c r="BA72" s="36">
        <f>IFERROR(INDEX(tbl_regras_dfr[Fracao_Reciclavel],MATCH(L72&amp;"|Material da tampa|"&amp;X72,tbl_regras_dfr[Chave],0)),0)</f>
        <v>1</v>
      </c>
      <c r="BB72" s="36">
        <f>IFERROR(INDEX(tbl_regras_dfr[Fracao_Reciclavel],MATCH(L72&amp;"|Tipo de rótulo|"&amp;AA72,tbl_regras_dfr[Chave],0)),0)</f>
        <v>1</v>
      </c>
      <c r="BC72" s="38">
        <f t="shared" si="42"/>
        <v>55.64</v>
      </c>
      <c r="BD72" s="40">
        <f t="shared" si="43"/>
        <v>1</v>
      </c>
      <c r="BE72" s="33" t="str">
        <f>IF(BD72&gt;=INDEX(tbl_param_emb[Valor],MATCH("P-06",tbl_param_emb[ID_Parametro],0)),"A",IF(BD72&gt;=INDEX(tbl_param_emb[Valor],MATCH("P-07",tbl_param_emb[ID_Parametro],0)),"B",IF(BD72&gt;=INDEX(tbl_param_emb[Valor],MATCH("P-08",tbl_param_emb[ID_Parametro],0)),"C","&lt; 70%")))</f>
        <v>A</v>
      </c>
      <c r="BF72" s="33" t="str">
        <f>IF(AU72="F","Não reciclável (F)",INDEX({"A","B","C","Abaixo de C"},MAX(MIN(AT72,4),IF(BE72="A",1,IF(BE72="B",2,IF(BE72="C",3,4))))))</f>
        <v>A</v>
      </c>
      <c r="BG72" s="33" t="str">
        <f t="shared" si="44"/>
        <v>—</v>
      </c>
      <c r="BH72" s="33" t="str">
        <f t="shared" si="45"/>
        <v>Sim</v>
      </c>
      <c r="BI72" s="33" t="str">
        <f t="shared" si="46"/>
        <v>Sim</v>
      </c>
      <c r="BJ72" s="36">
        <f>IFERROR(INDEX(tbl_materiais[Pct_PCR],MATCH(J72,tbl_materiais[Material],0)),0)</f>
        <v>0.3</v>
      </c>
      <c r="BK72" s="36">
        <f>IF(V72="",0,IFERROR(INDEX(tbl_tampas[Pct_PCR],MATCH(V72,tbl_tampas[CapId],0)),0))</f>
        <v>0.3</v>
      </c>
      <c r="BL72" s="40">
        <f t="shared" si="47"/>
        <v>0.30000000000000004</v>
      </c>
      <c r="BM72" s="33" t="str">
        <f t="shared" si="48"/>
        <v>Outras embalagens de plástico</v>
      </c>
      <c r="BN72" s="36">
        <f>IFERROR(IF(INDEX(tbl_metas_art7[Meta_2030],MATCH(BM72,tbl_metas_art7[Categoria_Art7],0))="","",INDEX(tbl_metas_art7[Meta_2030],MATCH(BM72,tbl_metas_art7[Categoria_Art7],0))),"")</f>
        <v>0.35</v>
      </c>
      <c r="BO72" s="40">
        <f t="shared" si="49"/>
        <v>4.9999999999999933E-2</v>
      </c>
      <c r="BP72" s="33" t="str">
        <f t="shared" si="50"/>
        <v>Não</v>
      </c>
      <c r="BQ72" s="33" t="str">
        <f t="shared" si="51"/>
        <v>Monomaterial (mesma família)</v>
      </c>
      <c r="BR72" s="37">
        <v>41335</v>
      </c>
      <c r="BS72" s="39">
        <v>7</v>
      </c>
      <c r="BT72" s="26" t="s">
        <v>737</v>
      </c>
      <c r="BU72" s="32">
        <f t="shared" si="52"/>
        <v>1674.0675000000001</v>
      </c>
      <c r="BV72" s="31">
        <f>COUNTIFS(tbl_aplicabilidade[ProductId],B72,tbl_aplicabilidade[Aplicavel],"Sim")</f>
        <v>12</v>
      </c>
      <c r="BW72" s="31">
        <f>COUNTIFS(tbl_aplicabilidade[ProductId],B72,tbl_aplicabilidade[Estado_Resumo],"Lacuna")+COUNTIFS(tbl_aplicabilidade[ProductId],B72,tbl_aplicabilidade[Estado_Resumo],"Não conforme")</f>
        <v>1</v>
      </c>
      <c r="BX72" s="41">
        <v>46287</v>
      </c>
      <c r="BY72" s="42">
        <f t="shared" si="53"/>
        <v>46652</v>
      </c>
      <c r="BZ72" s="26" t="s">
        <v>596</v>
      </c>
      <c r="CA72" s="26" t="s">
        <v>597</v>
      </c>
      <c r="CB72" s="26" t="s">
        <v>598</v>
      </c>
    </row>
    <row r="73" spans="1:80" ht="18" customHeight="1" x14ac:dyDescent="0.3">
      <c r="A73" s="26" t="s">
        <v>771</v>
      </c>
      <c r="B73" s="26" t="s">
        <v>772</v>
      </c>
      <c r="C73" s="26" t="s">
        <v>586</v>
      </c>
      <c r="D73" s="26" t="s">
        <v>587</v>
      </c>
      <c r="E73" s="26" t="s">
        <v>588</v>
      </c>
      <c r="F73" s="26" t="s">
        <v>589</v>
      </c>
      <c r="G73" s="26" t="s">
        <v>696</v>
      </c>
      <c r="H73" s="37">
        <v>750</v>
      </c>
      <c r="I73" s="37">
        <v>156</v>
      </c>
      <c r="J73" s="26" t="s">
        <v>232</v>
      </c>
      <c r="K73" s="33" t="str">
        <f>IFERROR(INDEX(tbl_materiais[Polimero_Base],MATCH(J73,tbl_materiais[Material],0)),"")</f>
        <v>PE</v>
      </c>
      <c r="L73" s="33" t="str">
        <f>IFERROR(INDEX(tbl_materiais[Fluxo_Reciclagem],MATCH(J73,tbl_materiais[Material],0)),"")</f>
        <v>PE rígido</v>
      </c>
      <c r="M73" s="33" t="str">
        <f t="shared" si="36"/>
        <v>PE rígido — frascos e contentores (HDPE/LDPE)</v>
      </c>
      <c r="N73" s="26" t="s">
        <v>618</v>
      </c>
      <c r="O73" s="26" t="s">
        <v>286</v>
      </c>
      <c r="P73" s="26" t="s">
        <v>619</v>
      </c>
      <c r="Q73" s="29">
        <v>0.02</v>
      </c>
      <c r="R73" s="35">
        <f>IFERROR(ROUND(INDEX(tbl_materiais[Densidade_g_cm3],MATCH(J73,tbl_materiais[Material],0))+Q73*1.2,3),"")</f>
        <v>0.95899999999999996</v>
      </c>
      <c r="S73" s="26" t="s">
        <v>302</v>
      </c>
      <c r="T73" s="34">
        <v>40.5</v>
      </c>
      <c r="U73" s="26" t="s">
        <v>593</v>
      </c>
      <c r="V73" s="26" t="s">
        <v>449</v>
      </c>
      <c r="W73" s="33" t="str">
        <f>IF(V73="","",IFERROR(INDEX(tbl_tampas[Material],MATCH(V73,tbl_tampas[CapId],0)),""))</f>
        <v>HDPE</v>
      </c>
      <c r="X73" s="33" t="str">
        <f>IF(V73="","Sem tampa",IFERROR(INDEX(tbl_materiais[Polimero_Base],MATCH(W73,tbl_materiais[Material],0)),""))</f>
        <v>PE</v>
      </c>
      <c r="Y73" s="38">
        <f>IF(V73="",0,IFERROR(INDEX(tbl_tampas[Massa_g],MATCH(V73,tbl_tampas[CapId],0)),0))</f>
        <v>15.9</v>
      </c>
      <c r="Z73" s="26" t="s">
        <v>319</v>
      </c>
      <c r="AA73" s="26" t="s">
        <v>326</v>
      </c>
      <c r="AB73" s="26" t="s">
        <v>340</v>
      </c>
      <c r="AC73" s="29">
        <v>0</v>
      </c>
      <c r="AD73" s="27">
        <v>0</v>
      </c>
      <c r="AE73" s="26" t="s">
        <v>594</v>
      </c>
      <c r="AF73" s="26" t="s">
        <v>359</v>
      </c>
      <c r="AG73" s="39">
        <v>1</v>
      </c>
      <c r="AH73" s="33" t="str">
        <f t="shared" si="37"/>
        <v>Hot foil metalizado</v>
      </c>
      <c r="AI73" s="27">
        <v>0.03</v>
      </c>
      <c r="AJ73" s="33" t="str">
        <f>IFERROR(INDEX(tbl_regras_dfr[Classe],MATCH(L73&amp;"|Fluxo de reciclagem|"&amp;L73,tbl_regras_dfr[Chave],0)),"Sem regra")</f>
        <v>A</v>
      </c>
      <c r="AK73" s="33" t="str">
        <f>IF(LEFT(L73,9)="Sem fluxo","—",IFERROR(INDEX(tbl_regras_dfr[Classe],MATCH(L73&amp;"|Cor do corpo|"&amp;O73,tbl_regras_dfr[Chave],0)),"Sem regra"))</f>
        <v>B</v>
      </c>
      <c r="AL73" s="33" t="str">
        <f>IF(LEFT(L73,9)="Sem fluxo","—",IFERROR(INDEX(tbl_regras_dfr[Classe],MATCH(L73&amp;"|Densidade do corpo|"&amp;IF(R73&lt;1,"&lt; 1,0 g/cm³","≥ 1,0 g/cm³"),tbl_regras_dfr[Chave],0)),"Sem regra"))</f>
        <v>A</v>
      </c>
      <c r="AM73" s="33" t="str">
        <f>IF(LEFT(L73,9)="Sem fluxo","—",IFERROR(INDEX(tbl_regras_dfr[Classe],MATCH(L73&amp;"|Barreira / revestimento|"&amp;S73,tbl_regras_dfr[Chave],0)),"Sem regra"))</f>
        <v>A</v>
      </c>
      <c r="AN73" s="33" t="str">
        <f>IF(LEFT(L73,9)="Sem fluxo","—",IFERROR(INDEX(tbl_regras_dfr[Classe],MATCH(L73&amp;"|Material da tampa|"&amp;X73,tbl_regras_dfr[Chave],0)),"Sem regra"))</f>
        <v>A</v>
      </c>
      <c r="AO73" s="33" t="str">
        <f>IF(LEFT(L73,9)="Sem fluxo","—",IFERROR(INDEX(tbl_regras_dfr[Classe],MATCH(L73&amp;"|Vedante / liner|"&amp;Z73,tbl_regras_dfr[Chave],0)),"Sem regra"))</f>
        <v>A</v>
      </c>
      <c r="AP73" s="33" t="str">
        <f>IF(LEFT(L73,9)="Sem fluxo","—",IFERROR(INDEX(tbl_regras_dfr[Classe],MATCH(L73&amp;"|Tipo de rótulo|"&amp;AA73,tbl_regras_dfr[Chave],0)),"Sem regra"))</f>
        <v>A</v>
      </c>
      <c r="AQ73" s="33" t="str">
        <f>IF(LEFT(L73,9)="Sem fluxo","—",IFERROR(INDEX(tbl_regras_dfr[Classe],MATCH(L73&amp;"|Adesivo do rótulo|"&amp;AB73,tbl_regras_dfr[Chave],0)),"Sem regra"))</f>
        <v>A</v>
      </c>
      <c r="AR73" s="33" t="str">
        <f>IF(LEFT(L73,9)="Sem fluxo","—",IFERROR(INDEX(tbl_regras_dfr[Classe],MATCH(L73&amp;"|Cobertura do rótulo|"&amp;IF(AC73&gt;0.7,"&gt; 70% da superfície","≤ 70% da superfície"),tbl_regras_dfr[Chave],0)),"Sem regra"))</f>
        <v>A</v>
      </c>
      <c r="AS73" s="33" t="str">
        <f>IF(LEFT(L73,9)="Sem fluxo","—",IFERROR(INDEX(tbl_regras_dfr[Classe],MATCH(L73&amp;"|Decoração direta|"&amp;AH73,tbl_regras_dfr[Chave],0)),"Sem regra"))</f>
        <v>C</v>
      </c>
      <c r="AT73" s="31">
        <f t="shared" si="38"/>
        <v>3</v>
      </c>
      <c r="AU73" s="33" t="str">
        <f>IF(AT73=0,"",INDEX({"A","B","C","D","E","F"},AT73))</f>
        <v>C</v>
      </c>
      <c r="AV73" s="31">
        <f t="shared" si="39"/>
        <v>0</v>
      </c>
      <c r="AW73" s="33" t="str">
        <f t="shared" si="40"/>
        <v>Decoracao</v>
      </c>
      <c r="AX73" s="33" t="str">
        <f>IF(AU73="A","Sem ação — manter o design.",IFERROR(INDEX(tbl_regras_dfr[Recomendacao],MATCH(CHOOSE(MATCH(AU73,AJ73:AS73,0),L73&amp;"|Fluxo de reciclagem|"&amp;L73,L73&amp;"|Cor do corpo|"&amp;O73,L73&amp;"|Densidade do corpo|"&amp;IF(R73&lt;1,"&lt; 1,0 g/cm³","≥ 1,0 g/cm³"),L73&amp;"|Barreira / revestimento|"&amp;S73,L73&amp;"|Material da tampa|"&amp;X73,L73&amp;"|Vedante / liner|"&amp;Z73,L73&amp;"|Tipo de rótulo|"&amp;AA73,L73&amp;"|Adesivo do rótulo|"&amp;AB73,L73&amp;"|Cobertura do rótulo|"&amp;IF(AC73&gt;0.7,"&gt; 70% da superfície","≤ 70% da superfície"),L73&amp;"|Decoração direta|"&amp;AH73),tbl_regras_dfr[Chave],0)),""))</f>
        <v>Reduzir a área de hot foil ou usar rótulo metalizado destacável.</v>
      </c>
      <c r="AY73" s="38">
        <f t="shared" si="41"/>
        <v>56.43</v>
      </c>
      <c r="AZ73" s="36">
        <f>MIN(IFERROR(INDEX(tbl_regras_dfr[Fracao_Reciclavel],MATCH(L73&amp;"|Fluxo de reciclagem|"&amp;L73,tbl_regras_dfr[Chave],0)),0),IFERROR(INDEX(tbl_regras_dfr[Fracao_Reciclavel],MATCH(L73&amp;"|Cor do corpo|"&amp;O73,tbl_regras_dfr[Chave],0)),0))</f>
        <v>1</v>
      </c>
      <c r="BA73" s="36">
        <f>IFERROR(INDEX(tbl_regras_dfr[Fracao_Reciclavel],MATCH(L73&amp;"|Material da tampa|"&amp;X73,tbl_regras_dfr[Chave],0)),0)</f>
        <v>1</v>
      </c>
      <c r="BB73" s="36">
        <f>IFERROR(INDEX(tbl_regras_dfr[Fracao_Reciclavel],MATCH(L73&amp;"|Tipo de rótulo|"&amp;AA73,tbl_regras_dfr[Chave],0)),0)</f>
        <v>1</v>
      </c>
      <c r="BC73" s="38">
        <f t="shared" si="42"/>
        <v>56.4</v>
      </c>
      <c r="BD73" s="40">
        <f t="shared" si="43"/>
        <v>0.99946836788942051</v>
      </c>
      <c r="BE73" s="33" t="str">
        <f>IF(BD73&gt;=INDEX(tbl_param_emb[Valor],MATCH("P-06",tbl_param_emb[ID_Parametro],0)),"A",IF(BD73&gt;=INDEX(tbl_param_emb[Valor],MATCH("P-07",tbl_param_emb[ID_Parametro],0)),"B",IF(BD73&gt;=INDEX(tbl_param_emb[Valor],MATCH("P-08",tbl_param_emb[ID_Parametro],0)),"C","&lt; 70%")))</f>
        <v>A</v>
      </c>
      <c r="BF73" s="33" t="str">
        <f>IF(AU73="F","Não reciclável (F)",INDEX({"A","B","C","Abaixo de C"},MAX(MIN(AT73,4),IF(BE73="A",1,IF(BE73="B",2,IF(BE73="C",3,4))))))</f>
        <v>C</v>
      </c>
      <c r="BG73" s="33" t="str">
        <f t="shared" si="44"/>
        <v>—</v>
      </c>
      <c r="BH73" s="33" t="str">
        <f t="shared" si="45"/>
        <v>Sim</v>
      </c>
      <c r="BI73" s="33" t="str">
        <f t="shared" si="46"/>
        <v>Não</v>
      </c>
      <c r="BJ73" s="36">
        <f>IFERROR(INDEX(tbl_materiais[Pct_PCR],MATCH(J73,tbl_materiais[Material],0)),0)</f>
        <v>0</v>
      </c>
      <c r="BK73" s="36">
        <f>IF(V73="",0,IFERROR(INDEX(tbl_tampas[Pct_PCR],MATCH(V73,tbl_tampas[CapId],0)),0))</f>
        <v>0</v>
      </c>
      <c r="BL73" s="40">
        <f t="shared" si="47"/>
        <v>0</v>
      </c>
      <c r="BM73" s="33" t="str">
        <f t="shared" si="48"/>
        <v>Outras embalagens de plástico</v>
      </c>
      <c r="BN73" s="36">
        <f>IFERROR(IF(INDEX(tbl_metas_art7[Meta_2030],MATCH(BM73,tbl_metas_art7[Categoria_Art7],0))="","",INDEX(tbl_metas_art7[Meta_2030],MATCH(BM73,tbl_metas_art7[Categoria_Art7],0))),"")</f>
        <v>0.35</v>
      </c>
      <c r="BO73" s="40">
        <f t="shared" si="49"/>
        <v>0.35</v>
      </c>
      <c r="BP73" s="33" t="str">
        <f t="shared" si="50"/>
        <v>Não</v>
      </c>
      <c r="BQ73" s="33" t="str">
        <f t="shared" si="51"/>
        <v>Monomaterial (mesma família)</v>
      </c>
      <c r="BR73" s="37">
        <v>60507</v>
      </c>
      <c r="BS73" s="39">
        <v>7</v>
      </c>
      <c r="BT73" s="26" t="s">
        <v>773</v>
      </c>
      <c r="BU73" s="32">
        <f t="shared" si="52"/>
        <v>2450.5335</v>
      </c>
      <c r="BV73" s="31">
        <f>COUNTIFS(tbl_aplicabilidade[ProductId],B73,tbl_aplicabilidade[Aplicavel],"Sim")</f>
        <v>12</v>
      </c>
      <c r="BW73" s="31">
        <f>COUNTIFS(tbl_aplicabilidade[ProductId],B73,tbl_aplicabilidade[Estado_Resumo],"Lacuna")+COUNTIFS(tbl_aplicabilidade[ProductId],B73,tbl_aplicabilidade[Estado_Resumo],"Não conforme")</f>
        <v>1</v>
      </c>
      <c r="BX73" s="41">
        <v>46287</v>
      </c>
      <c r="BY73" s="42">
        <f t="shared" si="53"/>
        <v>46652</v>
      </c>
      <c r="BZ73" s="26" t="s">
        <v>596</v>
      </c>
      <c r="CA73" s="26" t="s">
        <v>597</v>
      </c>
      <c r="CB73" s="26" t="s">
        <v>598</v>
      </c>
    </row>
    <row r="74" spans="1:80" ht="18" customHeight="1" x14ac:dyDescent="0.3">
      <c r="A74" s="26" t="s">
        <v>774</v>
      </c>
      <c r="B74" s="26" t="s">
        <v>775</v>
      </c>
      <c r="C74" s="26" t="s">
        <v>586</v>
      </c>
      <c r="D74" s="26" t="s">
        <v>587</v>
      </c>
      <c r="E74" s="26" t="s">
        <v>588</v>
      </c>
      <c r="F74" s="26" t="s">
        <v>589</v>
      </c>
      <c r="G74" s="26" t="s">
        <v>641</v>
      </c>
      <c r="H74" s="37">
        <v>750</v>
      </c>
      <c r="I74" s="37">
        <v>156</v>
      </c>
      <c r="J74" s="26" t="s">
        <v>249</v>
      </c>
      <c r="K74" s="33" t="str">
        <f>IFERROR(INDEX(tbl_materiais[Polimero_Base],MATCH(J74,tbl_materiais[Material],0)),"")</f>
        <v>PET</v>
      </c>
      <c r="L74" s="33" t="str">
        <f>IFERROR(INDEX(tbl_materiais[Fluxo_Reciclagem],MATCH(J74,tbl_materiais[Material],0)),"")</f>
        <v>PET frascos e garrafas</v>
      </c>
      <c r="M74" s="33" t="str">
        <f t="shared" si="36"/>
        <v>PET — garrafas/frascos transparentes incolores</v>
      </c>
      <c r="N74" s="26" t="s">
        <v>610</v>
      </c>
      <c r="O74" s="26" t="s">
        <v>279</v>
      </c>
      <c r="P74" s="26" t="s">
        <v>611</v>
      </c>
      <c r="Q74" s="29">
        <v>0</v>
      </c>
      <c r="R74" s="35">
        <f>IFERROR(ROUND(INDEX(tbl_materiais[Densidade_g_cm3],MATCH(J74,tbl_materiais[Material],0))+Q74*1.2,3),"")</f>
        <v>1.38</v>
      </c>
      <c r="S74" s="26" t="s">
        <v>302</v>
      </c>
      <c r="T74" s="34">
        <v>40.5</v>
      </c>
      <c r="U74" s="26" t="s">
        <v>593</v>
      </c>
      <c r="V74" s="26" t="s">
        <v>473</v>
      </c>
      <c r="W74" s="33" t="str">
        <f>IF(V74="","",IFERROR(INDEX(tbl_tampas[Material],MATCH(V74,tbl_tampas[CapId],0)),""))</f>
        <v>PP</v>
      </c>
      <c r="X74" s="33" t="str">
        <f>IF(V74="","Sem tampa",IFERROR(INDEX(tbl_materiais[Polimero_Base],MATCH(W74,tbl_materiais[Material],0)),""))</f>
        <v>PP</v>
      </c>
      <c r="Y74" s="38">
        <f>IF(V74="",0,IFERROR(INDEX(tbl_tampas[Massa_g],MATCH(V74,tbl_tampas[CapId],0)),0))</f>
        <v>19.3</v>
      </c>
      <c r="Z74" s="26" t="s">
        <v>319</v>
      </c>
      <c r="AA74" s="26" t="s">
        <v>327</v>
      </c>
      <c r="AB74" s="26" t="s">
        <v>343</v>
      </c>
      <c r="AC74" s="29">
        <v>0.4</v>
      </c>
      <c r="AD74" s="27">
        <v>0.84</v>
      </c>
      <c r="AE74" s="26" t="s">
        <v>604</v>
      </c>
      <c r="AF74" s="26" t="s">
        <v>302</v>
      </c>
      <c r="AG74" s="39">
        <v>0</v>
      </c>
      <c r="AH74" s="33" t="str">
        <f t="shared" si="37"/>
        <v>Nenhuma</v>
      </c>
      <c r="AI74" s="27">
        <v>0</v>
      </c>
      <c r="AJ74" s="33" t="str">
        <f>IFERROR(INDEX(tbl_regras_dfr[Classe],MATCH(L74&amp;"|Fluxo de reciclagem|"&amp;L74,tbl_regras_dfr[Chave],0)),"Sem regra")</f>
        <v>A</v>
      </c>
      <c r="AK74" s="33" t="str">
        <f>IF(LEFT(L74,9)="Sem fluxo","—",IFERROR(INDEX(tbl_regras_dfr[Classe],MATCH(L74&amp;"|Cor do corpo|"&amp;O74,tbl_regras_dfr[Chave],0)),"Sem regra"))</f>
        <v>A</v>
      </c>
      <c r="AL74" s="33" t="str">
        <f>IF(LEFT(L74,9)="Sem fluxo","—",IFERROR(INDEX(tbl_regras_dfr[Classe],MATCH(L74&amp;"|Densidade do corpo|"&amp;IF(R74&lt;1,"&lt; 1,0 g/cm³","≥ 1,0 g/cm³"),tbl_regras_dfr[Chave],0)),"Sem regra"))</f>
        <v>A</v>
      </c>
      <c r="AM74" s="33" t="str">
        <f>IF(LEFT(L74,9)="Sem fluxo","—",IFERROR(INDEX(tbl_regras_dfr[Classe],MATCH(L74&amp;"|Barreira / revestimento|"&amp;S74,tbl_regras_dfr[Chave],0)),"Sem regra"))</f>
        <v>A</v>
      </c>
      <c r="AN74" s="33" t="str">
        <f>IF(LEFT(L74,9)="Sem fluxo","—",IFERROR(INDEX(tbl_regras_dfr[Classe],MATCH(L74&amp;"|Material da tampa|"&amp;X74,tbl_regras_dfr[Chave],0)),"Sem regra"))</f>
        <v>A</v>
      </c>
      <c r="AO74" s="33" t="str">
        <f>IF(LEFT(L74,9)="Sem fluxo","—",IFERROR(INDEX(tbl_regras_dfr[Classe],MATCH(L74&amp;"|Vedante / liner|"&amp;Z74,tbl_regras_dfr[Chave],0)),"Sem regra"))</f>
        <v>A</v>
      </c>
      <c r="AP74" s="33" t="str">
        <f>IF(LEFT(L74,9)="Sem fluxo","—",IFERROR(INDEX(tbl_regras_dfr[Classe],MATCH(L74&amp;"|Tipo de rótulo|"&amp;AA74,tbl_regras_dfr[Chave],0)),"Sem regra"))</f>
        <v>A</v>
      </c>
      <c r="AQ74" s="33" t="str">
        <f>IF(LEFT(L74,9)="Sem fluxo","—",IFERROR(INDEX(tbl_regras_dfr[Classe],MATCH(L74&amp;"|Adesivo do rótulo|"&amp;AB74,tbl_regras_dfr[Chave],0)),"Sem regra"))</f>
        <v>A</v>
      </c>
      <c r="AR74" s="33" t="str">
        <f>IF(LEFT(L74,9)="Sem fluxo","—",IFERROR(INDEX(tbl_regras_dfr[Classe],MATCH(L74&amp;"|Cobertura do rótulo|"&amp;IF(AC74&gt;0.7,"&gt; 70% da superfície","≤ 70% da superfície"),tbl_regras_dfr[Chave],0)),"Sem regra"))</f>
        <v>A</v>
      </c>
      <c r="AS74" s="33" t="str">
        <f>IF(LEFT(L74,9)="Sem fluxo","—",IFERROR(INDEX(tbl_regras_dfr[Classe],MATCH(L74&amp;"|Decoração direta|"&amp;AH74,tbl_regras_dfr[Chave],0)),"Sem regra"))</f>
        <v>A</v>
      </c>
      <c r="AT74" s="31">
        <f t="shared" si="38"/>
        <v>1</v>
      </c>
      <c r="AU74" s="33" t="str">
        <f>IF(AT74=0,"",INDEX({"A","B","C","D","E","F"},AT74))</f>
        <v>A</v>
      </c>
      <c r="AV74" s="31">
        <f t="shared" si="39"/>
        <v>0</v>
      </c>
      <c r="AW74" s="33" t="str">
        <f t="shared" si="40"/>
        <v>—</v>
      </c>
      <c r="AX74" s="33" t="str">
        <f>IF(AU74="A","Sem ação — manter o design.",IFERROR(INDEX(tbl_regras_dfr[Recomendacao],MATCH(CHOOSE(MATCH(AU74,AJ74:AS74,0),L74&amp;"|Fluxo de reciclagem|"&amp;L74,L74&amp;"|Cor do corpo|"&amp;O74,L74&amp;"|Densidade do corpo|"&amp;IF(R74&lt;1,"&lt; 1,0 g/cm³","≥ 1,0 g/cm³"),L74&amp;"|Barreira / revestimento|"&amp;S74,L74&amp;"|Material da tampa|"&amp;X74,L74&amp;"|Vedante / liner|"&amp;Z74,L74&amp;"|Tipo de rótulo|"&amp;AA74,L74&amp;"|Adesivo do rótulo|"&amp;AB74,L74&amp;"|Cobertura do rótulo|"&amp;IF(AC74&gt;0.7,"&gt; 70% da superfície","≤ 70% da superfície"),L74&amp;"|Decoração direta|"&amp;AH74),tbl_regras_dfr[Chave],0)),""))</f>
        <v>Sem ação — manter o design.</v>
      </c>
      <c r="AY74" s="38">
        <f t="shared" si="41"/>
        <v>60.64</v>
      </c>
      <c r="AZ74" s="36">
        <f>MIN(IFERROR(INDEX(tbl_regras_dfr[Fracao_Reciclavel],MATCH(L74&amp;"|Fluxo de reciclagem|"&amp;L74,tbl_regras_dfr[Chave],0)),0),IFERROR(INDEX(tbl_regras_dfr[Fracao_Reciclavel],MATCH(L74&amp;"|Cor do corpo|"&amp;O74,tbl_regras_dfr[Chave],0)),0))</f>
        <v>1</v>
      </c>
      <c r="BA74" s="36">
        <f>IFERROR(INDEX(tbl_regras_dfr[Fracao_Reciclavel],MATCH(L74&amp;"|Material da tampa|"&amp;X74,tbl_regras_dfr[Chave],0)),0)</f>
        <v>1</v>
      </c>
      <c r="BB74" s="36">
        <f>IFERROR(INDEX(tbl_regras_dfr[Fracao_Reciclavel],MATCH(L74&amp;"|Tipo de rótulo|"&amp;AA74,tbl_regras_dfr[Chave],0)),0)</f>
        <v>1</v>
      </c>
      <c r="BC74" s="38">
        <f t="shared" si="42"/>
        <v>60.64</v>
      </c>
      <c r="BD74" s="40">
        <f t="shared" si="43"/>
        <v>1</v>
      </c>
      <c r="BE74" s="33" t="str">
        <f>IF(BD74&gt;=INDEX(tbl_param_emb[Valor],MATCH("P-06",tbl_param_emb[ID_Parametro],0)),"A",IF(BD74&gt;=INDEX(tbl_param_emb[Valor],MATCH("P-07",tbl_param_emb[ID_Parametro],0)),"B",IF(BD74&gt;=INDEX(tbl_param_emb[Valor],MATCH("P-08",tbl_param_emb[ID_Parametro],0)),"C","&lt; 70%")))</f>
        <v>A</v>
      </c>
      <c r="BF74" s="33" t="str">
        <f>IF(AU74="F","Não reciclável (F)",INDEX({"A","B","C","Abaixo de C"},MAX(MIN(AT74,4),IF(BE74="A",1,IF(BE74="B",2,IF(BE74="C",3,4))))))</f>
        <v>A</v>
      </c>
      <c r="BG74" s="33" t="str">
        <f t="shared" si="44"/>
        <v>—</v>
      </c>
      <c r="BH74" s="33" t="str">
        <f t="shared" si="45"/>
        <v>Sim</v>
      </c>
      <c r="BI74" s="33" t="str">
        <f t="shared" si="46"/>
        <v>Sim</v>
      </c>
      <c r="BJ74" s="36">
        <f>IFERROR(INDEX(tbl_materiais[Pct_PCR],MATCH(J74,tbl_materiais[Material],0)),0)</f>
        <v>0</v>
      </c>
      <c r="BK74" s="36">
        <f>IF(V74="",0,IFERROR(INDEX(tbl_tampas[Pct_PCR],MATCH(V74,tbl_tampas[CapId],0)),0))</f>
        <v>0</v>
      </c>
      <c r="BL74" s="40">
        <f t="shared" si="47"/>
        <v>0</v>
      </c>
      <c r="BM74" s="33" t="str">
        <f t="shared" si="48"/>
        <v>Outras embalagens de plástico</v>
      </c>
      <c r="BN74" s="36">
        <f>IFERROR(IF(INDEX(tbl_metas_art7[Meta_2030],MATCH(BM74,tbl_metas_art7[Categoria_Art7],0))="","",INDEX(tbl_metas_art7[Meta_2030],MATCH(BM74,tbl_metas_art7[Categoria_Art7],0))),"")</f>
        <v>0.35</v>
      </c>
      <c r="BO74" s="40">
        <f t="shared" si="49"/>
        <v>0.35</v>
      </c>
      <c r="BP74" s="33" t="str">
        <f t="shared" si="50"/>
        <v>Não</v>
      </c>
      <c r="BQ74" s="33" t="str">
        <f t="shared" si="51"/>
        <v>Multimaterial</v>
      </c>
      <c r="BR74" s="37">
        <v>95974</v>
      </c>
      <c r="BS74" s="39">
        <v>13</v>
      </c>
      <c r="BT74" s="26" t="s">
        <v>457</v>
      </c>
      <c r="BU74" s="32">
        <f t="shared" si="52"/>
        <v>3886.9470000000001</v>
      </c>
      <c r="BV74" s="31">
        <f>COUNTIFS(tbl_aplicabilidade[ProductId],B74,tbl_aplicabilidade[Aplicavel],"Sim")</f>
        <v>12</v>
      </c>
      <c r="BW74" s="31">
        <f>COUNTIFS(tbl_aplicabilidade[ProductId],B74,tbl_aplicabilidade[Estado_Resumo],"Lacuna")+COUNTIFS(tbl_aplicabilidade[ProductId],B74,tbl_aplicabilidade[Estado_Resumo],"Não conforme")</f>
        <v>1</v>
      </c>
      <c r="BX74" s="41">
        <v>46287</v>
      </c>
      <c r="BY74" s="42">
        <f t="shared" si="53"/>
        <v>46652</v>
      </c>
      <c r="BZ74" s="26" t="s">
        <v>596</v>
      </c>
      <c r="CA74" s="26" t="s">
        <v>597</v>
      </c>
      <c r="CB74" s="26" t="s">
        <v>598</v>
      </c>
    </row>
    <row r="75" spans="1:80" ht="18" customHeight="1" x14ac:dyDescent="0.3">
      <c r="A75" s="26" t="s">
        <v>776</v>
      </c>
      <c r="B75" s="26" t="s">
        <v>777</v>
      </c>
      <c r="C75" s="26" t="s">
        <v>586</v>
      </c>
      <c r="D75" s="26" t="s">
        <v>587</v>
      </c>
      <c r="E75" s="26" t="s">
        <v>588</v>
      </c>
      <c r="F75" s="26" t="s">
        <v>589</v>
      </c>
      <c r="G75" s="26" t="s">
        <v>641</v>
      </c>
      <c r="H75" s="37">
        <v>750</v>
      </c>
      <c r="I75" s="37">
        <v>156</v>
      </c>
      <c r="J75" s="26" t="s">
        <v>249</v>
      </c>
      <c r="K75" s="33" t="str">
        <f>IFERROR(INDEX(tbl_materiais[Polimero_Base],MATCH(J75,tbl_materiais[Material],0)),"")</f>
        <v>PET</v>
      </c>
      <c r="L75" s="33" t="str">
        <f>IFERROR(INDEX(tbl_materiais[Fluxo_Reciclagem],MATCH(J75,tbl_materiais[Material],0)),"")</f>
        <v>PET frascos e garrafas</v>
      </c>
      <c r="M75" s="33" t="str">
        <f t="shared" si="36"/>
        <v>PET — garrafas/frascos transparentes incolores</v>
      </c>
      <c r="N75" s="26" t="s">
        <v>610</v>
      </c>
      <c r="O75" s="26" t="s">
        <v>279</v>
      </c>
      <c r="P75" s="26" t="s">
        <v>611</v>
      </c>
      <c r="Q75" s="29">
        <v>0</v>
      </c>
      <c r="R75" s="35">
        <f>IFERROR(ROUND(INDEX(tbl_materiais[Densidade_g_cm3],MATCH(J75,tbl_materiais[Material],0))+Q75*1.2,3),"")</f>
        <v>1.38</v>
      </c>
      <c r="S75" s="26" t="s">
        <v>302</v>
      </c>
      <c r="T75" s="34">
        <v>40.5</v>
      </c>
      <c r="U75" s="26" t="s">
        <v>593</v>
      </c>
      <c r="V75" s="26" t="s">
        <v>452</v>
      </c>
      <c r="W75" s="33" t="str">
        <f>IF(V75="","",IFERROR(INDEX(tbl_tampas[Material],MATCH(V75,tbl_tampas[CapId],0)),""))</f>
        <v>PP</v>
      </c>
      <c r="X75" s="33" t="str">
        <f>IF(V75="","Sem tampa",IFERROR(INDEX(tbl_materiais[Polimero_Base],MATCH(W75,tbl_materiais[Material],0)),""))</f>
        <v>PP</v>
      </c>
      <c r="Y75" s="38">
        <f>IF(V75="",0,IFERROR(INDEX(tbl_tampas[Massa_g],MATCH(V75,tbl_tampas[CapId],0)),0))</f>
        <v>14.3</v>
      </c>
      <c r="Z75" s="26" t="s">
        <v>319</v>
      </c>
      <c r="AA75" s="26" t="s">
        <v>327</v>
      </c>
      <c r="AB75" s="26" t="s">
        <v>342</v>
      </c>
      <c r="AC75" s="29">
        <v>0.4</v>
      </c>
      <c r="AD75" s="27">
        <v>0.84</v>
      </c>
      <c r="AE75" s="26" t="s">
        <v>604</v>
      </c>
      <c r="AF75" s="26" t="s">
        <v>302</v>
      </c>
      <c r="AG75" s="39">
        <v>0</v>
      </c>
      <c r="AH75" s="33" t="str">
        <f t="shared" si="37"/>
        <v>Nenhuma</v>
      </c>
      <c r="AI75" s="27">
        <v>0</v>
      </c>
      <c r="AJ75" s="33" t="str">
        <f>IFERROR(INDEX(tbl_regras_dfr[Classe],MATCH(L75&amp;"|Fluxo de reciclagem|"&amp;L75,tbl_regras_dfr[Chave],0)),"Sem regra")</f>
        <v>A</v>
      </c>
      <c r="AK75" s="33" t="str">
        <f>IF(LEFT(L75,9)="Sem fluxo","—",IFERROR(INDEX(tbl_regras_dfr[Classe],MATCH(L75&amp;"|Cor do corpo|"&amp;O75,tbl_regras_dfr[Chave],0)),"Sem regra"))</f>
        <v>A</v>
      </c>
      <c r="AL75" s="33" t="str">
        <f>IF(LEFT(L75,9)="Sem fluxo","—",IFERROR(INDEX(tbl_regras_dfr[Classe],MATCH(L75&amp;"|Densidade do corpo|"&amp;IF(R75&lt;1,"&lt; 1,0 g/cm³","≥ 1,0 g/cm³"),tbl_regras_dfr[Chave],0)),"Sem regra"))</f>
        <v>A</v>
      </c>
      <c r="AM75" s="33" t="str">
        <f>IF(LEFT(L75,9)="Sem fluxo","—",IFERROR(INDEX(tbl_regras_dfr[Classe],MATCH(L75&amp;"|Barreira / revestimento|"&amp;S75,tbl_regras_dfr[Chave],0)),"Sem regra"))</f>
        <v>A</v>
      </c>
      <c r="AN75" s="33" t="str">
        <f>IF(LEFT(L75,9)="Sem fluxo","—",IFERROR(INDEX(tbl_regras_dfr[Classe],MATCH(L75&amp;"|Material da tampa|"&amp;X75,tbl_regras_dfr[Chave],0)),"Sem regra"))</f>
        <v>A</v>
      </c>
      <c r="AO75" s="33" t="str">
        <f>IF(LEFT(L75,9)="Sem fluxo","—",IFERROR(INDEX(tbl_regras_dfr[Classe],MATCH(L75&amp;"|Vedante / liner|"&amp;Z75,tbl_regras_dfr[Chave],0)),"Sem regra"))</f>
        <v>A</v>
      </c>
      <c r="AP75" s="33" t="str">
        <f>IF(LEFT(L75,9)="Sem fluxo","—",IFERROR(INDEX(tbl_regras_dfr[Classe],MATCH(L75&amp;"|Tipo de rótulo|"&amp;AA75,tbl_regras_dfr[Chave],0)),"Sem regra"))</f>
        <v>A</v>
      </c>
      <c r="AQ75" s="33" t="str">
        <f>IF(LEFT(L75,9)="Sem fluxo","—",IFERROR(INDEX(tbl_regras_dfr[Classe],MATCH(L75&amp;"|Adesivo do rótulo|"&amp;AB75,tbl_regras_dfr[Chave],0)),"Sem regra"))</f>
        <v>C</v>
      </c>
      <c r="AR75" s="33" t="str">
        <f>IF(LEFT(L75,9)="Sem fluxo","—",IFERROR(INDEX(tbl_regras_dfr[Classe],MATCH(L75&amp;"|Cobertura do rótulo|"&amp;IF(AC75&gt;0.7,"&gt; 70% da superfície","≤ 70% da superfície"),tbl_regras_dfr[Chave],0)),"Sem regra"))</f>
        <v>A</v>
      </c>
      <c r="AS75" s="33" t="str">
        <f>IF(LEFT(L75,9)="Sem fluxo","—",IFERROR(INDEX(tbl_regras_dfr[Classe],MATCH(L75&amp;"|Decoração direta|"&amp;AH75,tbl_regras_dfr[Chave],0)),"Sem regra"))</f>
        <v>A</v>
      </c>
      <c r="AT75" s="31">
        <f t="shared" si="38"/>
        <v>3</v>
      </c>
      <c r="AU75" s="33" t="str">
        <f>IF(AT75=0,"",INDEX({"A","B","C","D","E","F"},AT75))</f>
        <v>C</v>
      </c>
      <c r="AV75" s="31">
        <f t="shared" si="39"/>
        <v>0</v>
      </c>
      <c r="AW75" s="33" t="str">
        <f t="shared" si="40"/>
        <v>Adesivo</v>
      </c>
      <c r="AX75" s="33" t="str">
        <f>IF(AU75="A","Sem ação — manter o design.",IFERROR(INDEX(tbl_regras_dfr[Recomendacao],MATCH(CHOOSE(MATCH(AU75,AJ75:AS75,0),L75&amp;"|Fluxo de reciclagem|"&amp;L75,L75&amp;"|Cor do corpo|"&amp;O75,L75&amp;"|Densidade do corpo|"&amp;IF(R75&lt;1,"&lt; 1,0 g/cm³","≥ 1,0 g/cm³"),L75&amp;"|Barreira / revestimento|"&amp;S75,L75&amp;"|Material da tampa|"&amp;X75,L75&amp;"|Vedante / liner|"&amp;Z75,L75&amp;"|Tipo de rótulo|"&amp;AA75,L75&amp;"|Adesivo do rótulo|"&amp;AB75,L75&amp;"|Cobertura do rótulo|"&amp;IF(AC75&gt;0.7,"&gt; 70% da superfície","≤ 70% da superfície"),L75&amp;"|Decoração direta|"&amp;AH75),tbl_regras_dfr[Chave],0)),""))</f>
        <v>Exigir ao cliente adesivo lavável a 80 °C (teste de lavabilidade).</v>
      </c>
      <c r="AY75" s="38">
        <f t="shared" si="41"/>
        <v>55.64</v>
      </c>
      <c r="AZ75" s="36">
        <f>MIN(IFERROR(INDEX(tbl_regras_dfr[Fracao_Reciclavel],MATCH(L75&amp;"|Fluxo de reciclagem|"&amp;L75,tbl_regras_dfr[Chave],0)),0),IFERROR(INDEX(tbl_regras_dfr[Fracao_Reciclavel],MATCH(L75&amp;"|Cor do corpo|"&amp;O75,tbl_regras_dfr[Chave],0)),0))</f>
        <v>1</v>
      </c>
      <c r="BA75" s="36">
        <f>IFERROR(INDEX(tbl_regras_dfr[Fracao_Reciclavel],MATCH(L75&amp;"|Material da tampa|"&amp;X75,tbl_regras_dfr[Chave],0)),0)</f>
        <v>1</v>
      </c>
      <c r="BB75" s="36">
        <f>IFERROR(INDEX(tbl_regras_dfr[Fracao_Reciclavel],MATCH(L75&amp;"|Tipo de rótulo|"&amp;AA75,tbl_regras_dfr[Chave],0)),0)</f>
        <v>1</v>
      </c>
      <c r="BC75" s="38">
        <f t="shared" si="42"/>
        <v>55.64</v>
      </c>
      <c r="BD75" s="40">
        <f t="shared" si="43"/>
        <v>1</v>
      </c>
      <c r="BE75" s="33" t="str">
        <f>IF(BD75&gt;=INDEX(tbl_param_emb[Valor],MATCH("P-06",tbl_param_emb[ID_Parametro],0)),"A",IF(BD75&gt;=INDEX(tbl_param_emb[Valor],MATCH("P-07",tbl_param_emb[ID_Parametro],0)),"B",IF(BD75&gt;=INDEX(tbl_param_emb[Valor],MATCH("P-08",tbl_param_emb[ID_Parametro],0)),"C","&lt; 70%")))</f>
        <v>A</v>
      </c>
      <c r="BF75" s="33" t="str">
        <f>IF(AU75="F","Não reciclável (F)",INDEX({"A","B","C","Abaixo de C"},MAX(MIN(AT75,4),IF(BE75="A",1,IF(BE75="B",2,IF(BE75="C",3,4))))))</f>
        <v>C</v>
      </c>
      <c r="BG75" s="33" t="str">
        <f t="shared" si="44"/>
        <v>—</v>
      </c>
      <c r="BH75" s="33" t="str">
        <f t="shared" si="45"/>
        <v>Sim</v>
      </c>
      <c r="BI75" s="33" t="str">
        <f t="shared" si="46"/>
        <v>Não</v>
      </c>
      <c r="BJ75" s="36">
        <f>IFERROR(INDEX(tbl_materiais[Pct_PCR],MATCH(J75,tbl_materiais[Material],0)),0)</f>
        <v>0</v>
      </c>
      <c r="BK75" s="36">
        <f>IF(V75="",0,IFERROR(INDEX(tbl_tampas[Pct_PCR],MATCH(V75,tbl_tampas[CapId],0)),0))</f>
        <v>0</v>
      </c>
      <c r="BL75" s="40">
        <f t="shared" si="47"/>
        <v>0</v>
      </c>
      <c r="BM75" s="33" t="str">
        <f t="shared" si="48"/>
        <v>Outras embalagens de plástico</v>
      </c>
      <c r="BN75" s="36">
        <f>IFERROR(IF(INDEX(tbl_metas_art7[Meta_2030],MATCH(BM75,tbl_metas_art7[Categoria_Art7],0))="","",INDEX(tbl_metas_art7[Meta_2030],MATCH(BM75,tbl_metas_art7[Categoria_Art7],0))),"")</f>
        <v>0.35</v>
      </c>
      <c r="BO75" s="40">
        <f t="shared" si="49"/>
        <v>0.35</v>
      </c>
      <c r="BP75" s="33" t="str">
        <f t="shared" si="50"/>
        <v>Não</v>
      </c>
      <c r="BQ75" s="33" t="str">
        <f t="shared" si="51"/>
        <v>Multimaterial</v>
      </c>
      <c r="BR75" s="37">
        <v>85267</v>
      </c>
      <c r="BS75" s="39">
        <v>13</v>
      </c>
      <c r="BT75" s="26" t="s">
        <v>426</v>
      </c>
      <c r="BU75" s="32">
        <f t="shared" si="52"/>
        <v>3453.3135000000002</v>
      </c>
      <c r="BV75" s="31">
        <f>COUNTIFS(tbl_aplicabilidade[ProductId],B75,tbl_aplicabilidade[Aplicavel],"Sim")</f>
        <v>12</v>
      </c>
      <c r="BW75" s="31">
        <f>COUNTIFS(tbl_aplicabilidade[ProductId],B75,tbl_aplicabilidade[Estado_Resumo],"Lacuna")+COUNTIFS(tbl_aplicabilidade[ProductId],B75,tbl_aplicabilidade[Estado_Resumo],"Não conforme")</f>
        <v>1</v>
      </c>
      <c r="BX75" s="41">
        <v>46287</v>
      </c>
      <c r="BY75" s="42">
        <f t="shared" si="53"/>
        <v>46652</v>
      </c>
      <c r="BZ75" s="26" t="s">
        <v>596</v>
      </c>
      <c r="CA75" s="26" t="s">
        <v>597</v>
      </c>
      <c r="CB75" s="26" t="s">
        <v>598</v>
      </c>
    </row>
    <row r="76" spans="1:80" ht="18" customHeight="1" x14ac:dyDescent="0.3">
      <c r="A76" s="26" t="s">
        <v>778</v>
      </c>
      <c r="B76" s="26" t="s">
        <v>779</v>
      </c>
      <c r="C76" s="26" t="s">
        <v>586</v>
      </c>
      <c r="D76" s="26" t="s">
        <v>587</v>
      </c>
      <c r="E76" s="26" t="s">
        <v>588</v>
      </c>
      <c r="F76" s="26" t="s">
        <v>589</v>
      </c>
      <c r="G76" s="26" t="s">
        <v>647</v>
      </c>
      <c r="H76" s="37">
        <v>750</v>
      </c>
      <c r="I76" s="37">
        <v>156</v>
      </c>
      <c r="J76" s="26" t="s">
        <v>255</v>
      </c>
      <c r="K76" s="33" t="str">
        <f>IFERROR(INDEX(tbl_materiais[Polimero_Base],MATCH(J76,tbl_materiais[Material],0)),"")</f>
        <v>PETG</v>
      </c>
      <c r="L76" s="33" t="str">
        <f>IFERROR(INDEX(tbl_materiais[Fluxo_Reciclagem],MATCH(J76,tbl_materiais[Material],0)),"")</f>
        <v>Sem fluxo (PETG)</v>
      </c>
      <c r="M76" s="33" t="str">
        <f t="shared" si="36"/>
        <v>Sem categoria RecyClass (PETG)</v>
      </c>
      <c r="N76" s="26" t="s">
        <v>610</v>
      </c>
      <c r="O76" s="26" t="s">
        <v>279</v>
      </c>
      <c r="P76" s="26" t="s">
        <v>611</v>
      </c>
      <c r="Q76" s="29">
        <v>0</v>
      </c>
      <c r="R76" s="35">
        <f>IFERROR(ROUND(INDEX(tbl_materiais[Densidade_g_cm3],MATCH(J76,tbl_materiais[Material],0))+Q76*1.2,3),"")</f>
        <v>1.27</v>
      </c>
      <c r="S76" s="26" t="s">
        <v>302</v>
      </c>
      <c r="T76" s="34">
        <v>40.5</v>
      </c>
      <c r="U76" s="26" t="s">
        <v>593</v>
      </c>
      <c r="V76" s="26" t="s">
        <v>458</v>
      </c>
      <c r="W76" s="33" t="str">
        <f>IF(V76="","",IFERROR(INDEX(tbl_tampas[Material],MATCH(V76,tbl_tampas[CapId],0)),""))</f>
        <v>PETG</v>
      </c>
      <c r="X76" s="33" t="str">
        <f>IF(V76="","Sem tampa",IFERROR(INDEX(tbl_materiais[Polimero_Base],MATCH(W76,tbl_materiais[Material],0)),""))</f>
        <v>PETG</v>
      </c>
      <c r="Y76" s="38">
        <f>IF(V76="",0,IFERROR(INDEX(tbl_tampas[Massa_g],MATCH(V76,tbl_tampas[CapId],0)),0))</f>
        <v>16.7</v>
      </c>
      <c r="Z76" s="26" t="s">
        <v>319</v>
      </c>
      <c r="AA76" s="26" t="s">
        <v>326</v>
      </c>
      <c r="AB76" s="26" t="s">
        <v>340</v>
      </c>
      <c r="AC76" s="29">
        <v>0</v>
      </c>
      <c r="AD76" s="27">
        <v>0</v>
      </c>
      <c r="AE76" s="26" t="s">
        <v>594</v>
      </c>
      <c r="AF76" s="26" t="s">
        <v>359</v>
      </c>
      <c r="AG76" s="39">
        <v>1</v>
      </c>
      <c r="AH76" s="33" t="str">
        <f t="shared" si="37"/>
        <v>Hot foil metalizado</v>
      </c>
      <c r="AI76" s="27">
        <v>0.03</v>
      </c>
      <c r="AJ76" s="33" t="str">
        <f>IFERROR(INDEX(tbl_regras_dfr[Classe],MATCH(L76&amp;"|Fluxo de reciclagem|"&amp;L76,tbl_regras_dfr[Chave],0)),"Sem regra")</f>
        <v>F</v>
      </c>
      <c r="AK76" s="33" t="str">
        <f>IF(LEFT(L76,9)="Sem fluxo","—",IFERROR(INDEX(tbl_regras_dfr[Classe],MATCH(L76&amp;"|Cor do corpo|"&amp;O76,tbl_regras_dfr[Chave],0)),"Sem regra"))</f>
        <v>—</v>
      </c>
      <c r="AL76" s="33" t="str">
        <f>IF(LEFT(L76,9)="Sem fluxo","—",IFERROR(INDEX(tbl_regras_dfr[Classe],MATCH(L76&amp;"|Densidade do corpo|"&amp;IF(R76&lt;1,"&lt; 1,0 g/cm³","≥ 1,0 g/cm³"),tbl_regras_dfr[Chave],0)),"Sem regra"))</f>
        <v>—</v>
      </c>
      <c r="AM76" s="33" t="str">
        <f>IF(LEFT(L76,9)="Sem fluxo","—",IFERROR(INDEX(tbl_regras_dfr[Classe],MATCH(L76&amp;"|Barreira / revestimento|"&amp;S76,tbl_regras_dfr[Chave],0)),"Sem regra"))</f>
        <v>—</v>
      </c>
      <c r="AN76" s="33" t="str">
        <f>IF(LEFT(L76,9)="Sem fluxo","—",IFERROR(INDEX(tbl_regras_dfr[Classe],MATCH(L76&amp;"|Material da tampa|"&amp;X76,tbl_regras_dfr[Chave],0)),"Sem regra"))</f>
        <v>—</v>
      </c>
      <c r="AO76" s="33" t="str">
        <f>IF(LEFT(L76,9)="Sem fluxo","—",IFERROR(INDEX(tbl_regras_dfr[Classe],MATCH(L76&amp;"|Vedante / liner|"&amp;Z76,tbl_regras_dfr[Chave],0)),"Sem regra"))</f>
        <v>—</v>
      </c>
      <c r="AP76" s="33" t="str">
        <f>IF(LEFT(L76,9)="Sem fluxo","—",IFERROR(INDEX(tbl_regras_dfr[Classe],MATCH(L76&amp;"|Tipo de rótulo|"&amp;AA76,tbl_regras_dfr[Chave],0)),"Sem regra"))</f>
        <v>—</v>
      </c>
      <c r="AQ76" s="33" t="str">
        <f>IF(LEFT(L76,9)="Sem fluxo","—",IFERROR(INDEX(tbl_regras_dfr[Classe],MATCH(L76&amp;"|Adesivo do rótulo|"&amp;AB76,tbl_regras_dfr[Chave],0)),"Sem regra"))</f>
        <v>—</v>
      </c>
      <c r="AR76" s="33" t="str">
        <f>IF(LEFT(L76,9)="Sem fluxo","—",IFERROR(INDEX(tbl_regras_dfr[Classe],MATCH(L76&amp;"|Cobertura do rótulo|"&amp;IF(AC76&gt;0.7,"&gt; 70% da superfície","≤ 70% da superfície"),tbl_regras_dfr[Chave],0)),"Sem regra"))</f>
        <v>—</v>
      </c>
      <c r="AS76" s="33" t="str">
        <f>IF(LEFT(L76,9)="Sem fluxo","—",IFERROR(INDEX(tbl_regras_dfr[Classe],MATCH(L76&amp;"|Decoração direta|"&amp;AH76,tbl_regras_dfr[Chave],0)),"Sem regra"))</f>
        <v>—</v>
      </c>
      <c r="AT76" s="31">
        <f t="shared" si="38"/>
        <v>6</v>
      </c>
      <c r="AU76" s="33" t="str">
        <f>IF(AT76=0,"",INDEX({"A","B","C","D","E","F"},AT76))</f>
        <v>F</v>
      </c>
      <c r="AV76" s="31">
        <f t="shared" si="39"/>
        <v>0</v>
      </c>
      <c r="AW76" s="33" t="str">
        <f t="shared" si="40"/>
        <v>Fluxo</v>
      </c>
      <c r="AX76" s="33" t="str">
        <f>IF(AU76="A","Sem ação — manter o design.",IFERROR(INDEX(tbl_regras_dfr[Recomendacao],MATCH(CHOOSE(MATCH(AU76,AJ76:AS76,0),L76&amp;"|Fluxo de reciclagem|"&amp;L76,L76&amp;"|Cor do corpo|"&amp;O76,L76&amp;"|Densidade do corpo|"&amp;IF(R76&lt;1,"&lt; 1,0 g/cm³","≥ 1,0 g/cm³"),L76&amp;"|Barreira / revestimento|"&amp;S76,L76&amp;"|Material da tampa|"&amp;X76,L76&amp;"|Vedante / liner|"&amp;Z76,L76&amp;"|Tipo de rótulo|"&amp;AA76,L76&amp;"|Adesivo do rótulo|"&amp;AB76,L76&amp;"|Cobertura do rótulo|"&amp;IF(AC76&gt;0.7,"&gt; 70% da superfície","≤ 70% da superfície"),L76&amp;"|Decoração direta|"&amp;AH76),tbl_regras_dfr[Chave],0)),""))</f>
        <v>Mudar o corpo para PET (ou PP/PE) — PETG não passa a grau C em 2030.</v>
      </c>
      <c r="AY76" s="38">
        <f t="shared" si="41"/>
        <v>57.230000000000004</v>
      </c>
      <c r="AZ76" s="36">
        <f>MIN(IFERROR(INDEX(tbl_regras_dfr[Fracao_Reciclavel],MATCH(L76&amp;"|Fluxo de reciclagem|"&amp;L76,tbl_regras_dfr[Chave],0)),0),IFERROR(INDEX(tbl_regras_dfr[Fracao_Reciclavel],MATCH(L76&amp;"|Cor do corpo|"&amp;O76,tbl_regras_dfr[Chave],0)),0))</f>
        <v>0</v>
      </c>
      <c r="BA76" s="36">
        <f>IFERROR(INDEX(tbl_regras_dfr[Fracao_Reciclavel],MATCH(L76&amp;"|Material da tampa|"&amp;X76,tbl_regras_dfr[Chave],0)),0)</f>
        <v>0</v>
      </c>
      <c r="BB76" s="36">
        <f>IFERROR(INDEX(tbl_regras_dfr[Fracao_Reciclavel],MATCH(L76&amp;"|Tipo de rótulo|"&amp;AA76,tbl_regras_dfr[Chave],0)),0)</f>
        <v>0</v>
      </c>
      <c r="BC76" s="38">
        <f t="shared" si="42"/>
        <v>0</v>
      </c>
      <c r="BD76" s="40">
        <f t="shared" si="43"/>
        <v>0</v>
      </c>
      <c r="BE76" s="33" t="str">
        <f>IF(BD76&gt;=INDEX(tbl_param_emb[Valor],MATCH("P-06",tbl_param_emb[ID_Parametro],0)),"A",IF(BD76&gt;=INDEX(tbl_param_emb[Valor],MATCH("P-07",tbl_param_emb[ID_Parametro],0)),"B",IF(BD76&gt;=INDEX(tbl_param_emb[Valor],MATCH("P-08",tbl_param_emb[ID_Parametro],0)),"C","&lt; 70%")))</f>
        <v>&lt; 70%</v>
      </c>
      <c r="BF76" s="33" t="str">
        <f>IF(AU76="F","Não reciclável (F)",INDEX({"A","B","C","Abaixo de C"},MAX(MIN(AT76,4),IF(BE76="A",1,IF(BE76="B",2,IF(BE76="C",3,4))))))</f>
        <v>Não reciclável (F)</v>
      </c>
      <c r="BG76" s="33" t="str">
        <f t="shared" si="44"/>
        <v>—</v>
      </c>
      <c r="BH76" s="33" t="str">
        <f t="shared" si="45"/>
        <v>Não</v>
      </c>
      <c r="BI76" s="33" t="str">
        <f t="shared" si="46"/>
        <v>Não</v>
      </c>
      <c r="BJ76" s="36">
        <f>IFERROR(INDEX(tbl_materiais[Pct_PCR],MATCH(J76,tbl_materiais[Material],0)),0)</f>
        <v>0</v>
      </c>
      <c r="BK76" s="36">
        <f>IF(V76="",0,IFERROR(INDEX(tbl_tampas[Pct_PCR],MATCH(V76,tbl_tampas[CapId],0)),0))</f>
        <v>0</v>
      </c>
      <c r="BL76" s="40">
        <f t="shared" si="47"/>
        <v>0</v>
      </c>
      <c r="BM76" s="33" t="str">
        <f t="shared" si="48"/>
        <v>Outras embalagens de plástico</v>
      </c>
      <c r="BN76" s="36">
        <f>IFERROR(IF(INDEX(tbl_metas_art7[Meta_2030],MATCH(BM76,tbl_metas_art7[Categoria_Art7],0))="","",INDEX(tbl_metas_art7[Meta_2030],MATCH(BM76,tbl_metas_art7[Categoria_Art7],0))),"")</f>
        <v>0.35</v>
      </c>
      <c r="BO76" s="40">
        <f t="shared" si="49"/>
        <v>0.35</v>
      </c>
      <c r="BP76" s="33" t="str">
        <f t="shared" si="50"/>
        <v>Não</v>
      </c>
      <c r="BQ76" s="33" t="str">
        <f t="shared" si="51"/>
        <v>Monomaterial (mesma família)</v>
      </c>
      <c r="BR76" s="37">
        <v>41448</v>
      </c>
      <c r="BS76" s="39">
        <v>6</v>
      </c>
      <c r="BT76" s="26" t="s">
        <v>737</v>
      </c>
      <c r="BU76" s="32">
        <f t="shared" si="52"/>
        <v>1678.644</v>
      </c>
      <c r="BV76" s="31">
        <f>COUNTIFS(tbl_aplicabilidade[ProductId],B76,tbl_aplicabilidade[Aplicavel],"Sim")</f>
        <v>12</v>
      </c>
      <c r="BW76" s="31">
        <f>COUNTIFS(tbl_aplicabilidade[ProductId],B76,tbl_aplicabilidade[Estado_Resumo],"Lacuna")+COUNTIFS(tbl_aplicabilidade[ProductId],B76,tbl_aplicabilidade[Estado_Resumo],"Não conforme")</f>
        <v>4</v>
      </c>
      <c r="BX76" s="41">
        <v>46287</v>
      </c>
      <c r="BY76" s="42">
        <f t="shared" si="53"/>
        <v>46652</v>
      </c>
      <c r="BZ76" s="26" t="s">
        <v>596</v>
      </c>
      <c r="CA76" s="26" t="s">
        <v>597</v>
      </c>
      <c r="CB76" s="26" t="s">
        <v>598</v>
      </c>
    </row>
    <row r="77" spans="1:80" ht="18" customHeight="1" x14ac:dyDescent="0.3">
      <c r="A77" s="26" t="s">
        <v>780</v>
      </c>
      <c r="B77" s="26" t="s">
        <v>781</v>
      </c>
      <c r="C77" s="26" t="s">
        <v>586</v>
      </c>
      <c r="D77" s="26" t="s">
        <v>587</v>
      </c>
      <c r="E77" s="26" t="s">
        <v>588</v>
      </c>
      <c r="F77" s="26" t="s">
        <v>589</v>
      </c>
      <c r="G77" s="26" t="s">
        <v>655</v>
      </c>
      <c r="H77" s="37">
        <v>750</v>
      </c>
      <c r="I77" s="37">
        <v>156</v>
      </c>
      <c r="J77" s="26" t="s">
        <v>240</v>
      </c>
      <c r="K77" s="33" t="str">
        <f>IFERROR(INDEX(tbl_materiais[Polimero_Base],MATCH(J77,tbl_materiais[Material],0)),"")</f>
        <v>PP</v>
      </c>
      <c r="L77" s="33" t="str">
        <f>IFERROR(INDEX(tbl_materiais[Fluxo_Reciclagem],MATCH(J77,tbl_materiais[Material],0)),"")</f>
        <v>PP rígido</v>
      </c>
      <c r="M77" s="33" t="str">
        <f t="shared" si="36"/>
        <v>PP rígido — frascos, potes e contentores</v>
      </c>
      <c r="N77" s="26" t="s">
        <v>697</v>
      </c>
      <c r="O77" s="26" t="s">
        <v>289</v>
      </c>
      <c r="P77" s="26" t="s">
        <v>698</v>
      </c>
      <c r="Q77" s="29">
        <v>0.02</v>
      </c>
      <c r="R77" s="35">
        <f>IFERROR(ROUND(INDEX(tbl_materiais[Densidade_g_cm3],MATCH(J77,tbl_materiais[Material],0))+Q77*1.2,3),"")</f>
        <v>0.92900000000000005</v>
      </c>
      <c r="S77" s="26" t="s">
        <v>302</v>
      </c>
      <c r="T77" s="34">
        <v>40.5</v>
      </c>
      <c r="U77" s="26" t="s">
        <v>593</v>
      </c>
      <c r="V77" s="26" t="s">
        <v>473</v>
      </c>
      <c r="W77" s="33" t="str">
        <f>IF(V77="","",IFERROR(INDEX(tbl_tampas[Material],MATCH(V77,tbl_tampas[CapId],0)),""))</f>
        <v>PP</v>
      </c>
      <c r="X77" s="33" t="str">
        <f>IF(V77="","Sem tampa",IFERROR(INDEX(tbl_materiais[Polimero_Base],MATCH(W77,tbl_materiais[Material],0)),""))</f>
        <v>PP</v>
      </c>
      <c r="Y77" s="38">
        <f>IF(V77="",0,IFERROR(INDEX(tbl_tampas[Massa_g],MATCH(V77,tbl_tampas[CapId],0)),0))</f>
        <v>19.3</v>
      </c>
      <c r="Z77" s="26" t="s">
        <v>319</v>
      </c>
      <c r="AA77" s="26" t="s">
        <v>327</v>
      </c>
      <c r="AB77" s="26" t="s">
        <v>342</v>
      </c>
      <c r="AC77" s="29">
        <v>0.4</v>
      </c>
      <c r="AD77" s="27">
        <v>0.84</v>
      </c>
      <c r="AE77" s="26" t="s">
        <v>604</v>
      </c>
      <c r="AF77" s="26" t="s">
        <v>302</v>
      </c>
      <c r="AG77" s="39">
        <v>0</v>
      </c>
      <c r="AH77" s="33" t="str">
        <f t="shared" si="37"/>
        <v>Nenhuma</v>
      </c>
      <c r="AI77" s="27">
        <v>0</v>
      </c>
      <c r="AJ77" s="33" t="str">
        <f>IFERROR(INDEX(tbl_regras_dfr[Classe],MATCH(L77&amp;"|Fluxo de reciclagem|"&amp;L77,tbl_regras_dfr[Chave],0)),"Sem regra")</f>
        <v>A</v>
      </c>
      <c r="AK77" s="33" t="str">
        <f>IF(LEFT(L77,9)="Sem fluxo","—",IFERROR(INDEX(tbl_regras_dfr[Classe],MATCH(L77&amp;"|Cor do corpo|"&amp;O77,tbl_regras_dfr[Chave],0)),"Sem regra"))</f>
        <v>F</v>
      </c>
      <c r="AL77" s="33" t="str">
        <f>IF(LEFT(L77,9)="Sem fluxo","—",IFERROR(INDEX(tbl_regras_dfr[Classe],MATCH(L77&amp;"|Densidade do corpo|"&amp;IF(R77&lt;1,"&lt; 1,0 g/cm³","≥ 1,0 g/cm³"),tbl_regras_dfr[Chave],0)),"Sem regra"))</f>
        <v>A</v>
      </c>
      <c r="AM77" s="33" t="str">
        <f>IF(LEFT(L77,9)="Sem fluxo","—",IFERROR(INDEX(tbl_regras_dfr[Classe],MATCH(L77&amp;"|Barreira / revestimento|"&amp;S77,tbl_regras_dfr[Chave],0)),"Sem regra"))</f>
        <v>A</v>
      </c>
      <c r="AN77" s="33" t="str">
        <f>IF(LEFT(L77,9)="Sem fluxo","—",IFERROR(INDEX(tbl_regras_dfr[Classe],MATCH(L77&amp;"|Material da tampa|"&amp;X77,tbl_regras_dfr[Chave],0)),"Sem regra"))</f>
        <v>A</v>
      </c>
      <c r="AO77" s="33" t="str">
        <f>IF(LEFT(L77,9)="Sem fluxo","—",IFERROR(INDEX(tbl_regras_dfr[Classe],MATCH(L77&amp;"|Vedante / liner|"&amp;Z77,tbl_regras_dfr[Chave],0)),"Sem regra"))</f>
        <v>A</v>
      </c>
      <c r="AP77" s="33" t="str">
        <f>IF(LEFT(L77,9)="Sem fluxo","—",IFERROR(INDEX(tbl_regras_dfr[Classe],MATCH(L77&amp;"|Tipo de rótulo|"&amp;AA77,tbl_regras_dfr[Chave],0)),"Sem regra"))</f>
        <v>A</v>
      </c>
      <c r="AQ77" s="33" t="str">
        <f>IF(LEFT(L77,9)="Sem fluxo","—",IFERROR(INDEX(tbl_regras_dfr[Classe],MATCH(L77&amp;"|Adesivo do rótulo|"&amp;AB77,tbl_regras_dfr[Chave],0)),"Sem regra"))</f>
        <v>A</v>
      </c>
      <c r="AR77" s="33" t="str">
        <f>IF(LEFT(L77,9)="Sem fluxo","—",IFERROR(INDEX(tbl_regras_dfr[Classe],MATCH(L77&amp;"|Cobertura do rótulo|"&amp;IF(AC77&gt;0.7,"&gt; 70% da superfície","≤ 70% da superfície"),tbl_regras_dfr[Chave],0)),"Sem regra"))</f>
        <v>A</v>
      </c>
      <c r="AS77" s="33" t="str">
        <f>IF(LEFT(L77,9)="Sem fluxo","—",IFERROR(INDEX(tbl_regras_dfr[Classe],MATCH(L77&amp;"|Decoração direta|"&amp;AH77,tbl_regras_dfr[Chave],0)),"Sem regra"))</f>
        <v>A</v>
      </c>
      <c r="AT77" s="31">
        <f t="shared" si="38"/>
        <v>6</v>
      </c>
      <c r="AU77" s="33" t="str">
        <f>IF(AT77=0,"",INDEX({"A","B","C","D","E","F"},AT77))</f>
        <v>F</v>
      </c>
      <c r="AV77" s="31">
        <f t="shared" si="39"/>
        <v>0</v>
      </c>
      <c r="AW77" s="33" t="str">
        <f t="shared" si="40"/>
        <v>Cor</v>
      </c>
      <c r="AX77" s="33" t="str">
        <f>IF(AU77="A","Sem ação — manter o design.",IFERROR(INDEX(tbl_regras_dfr[Recomendacao],MATCH(CHOOSE(MATCH(AU77,AJ77:AS77,0),L77&amp;"|Fluxo de reciclagem|"&amp;L77,L77&amp;"|Cor do corpo|"&amp;O77,L77&amp;"|Densidade do corpo|"&amp;IF(R77&lt;1,"&lt; 1,0 g/cm³","≥ 1,0 g/cm³"),L77&amp;"|Barreira / revestimento|"&amp;S77,L77&amp;"|Material da tampa|"&amp;X77,L77&amp;"|Vedante / liner|"&amp;Z77,L77&amp;"|Tipo de rótulo|"&amp;AA77,L77&amp;"|Adesivo do rótulo|"&amp;AB77,L77&amp;"|Cobertura do rótulo|"&amp;IF(AC77&gt;0.7,"&gt; 70% da superfície","≤ 70% da superfície"),L77&amp;"|Decoração direta|"&amp;AH77),tbl_regras_dfr[Chave],0)),""))</f>
        <v>Substituir o masterbatch por preto detetável por NIR (pigmentos sem negro de carbono).</v>
      </c>
      <c r="AY77" s="38">
        <f t="shared" si="41"/>
        <v>60.64</v>
      </c>
      <c r="AZ77" s="36">
        <f>MIN(IFERROR(INDEX(tbl_regras_dfr[Fracao_Reciclavel],MATCH(L77&amp;"|Fluxo de reciclagem|"&amp;L77,tbl_regras_dfr[Chave],0)),0),IFERROR(INDEX(tbl_regras_dfr[Fracao_Reciclavel],MATCH(L77&amp;"|Cor do corpo|"&amp;O77,tbl_regras_dfr[Chave],0)),0))</f>
        <v>0</v>
      </c>
      <c r="BA77" s="36">
        <f>IFERROR(INDEX(tbl_regras_dfr[Fracao_Reciclavel],MATCH(L77&amp;"|Material da tampa|"&amp;X77,tbl_regras_dfr[Chave],0)),0)</f>
        <v>1</v>
      </c>
      <c r="BB77" s="36">
        <f>IFERROR(INDEX(tbl_regras_dfr[Fracao_Reciclavel],MATCH(L77&amp;"|Tipo de rótulo|"&amp;AA77,tbl_regras_dfr[Chave],0)),0)</f>
        <v>1</v>
      </c>
      <c r="BC77" s="38">
        <f t="shared" si="42"/>
        <v>0</v>
      </c>
      <c r="BD77" s="40">
        <f t="shared" si="43"/>
        <v>0</v>
      </c>
      <c r="BE77" s="33" t="str">
        <f>IF(BD77&gt;=INDEX(tbl_param_emb[Valor],MATCH("P-06",tbl_param_emb[ID_Parametro],0)),"A",IF(BD77&gt;=INDEX(tbl_param_emb[Valor],MATCH("P-07",tbl_param_emb[ID_Parametro],0)),"B",IF(BD77&gt;=INDEX(tbl_param_emb[Valor],MATCH("P-08",tbl_param_emb[ID_Parametro],0)),"C","&lt; 70%")))</f>
        <v>&lt; 70%</v>
      </c>
      <c r="BF77" s="33" t="str">
        <f>IF(AU77="F","Não reciclável (F)",INDEX({"A","B","C","Abaixo de C"},MAX(MIN(AT77,4),IF(BE77="A",1,IF(BE77="B",2,IF(BE77="C",3,4))))))</f>
        <v>Não reciclável (F)</v>
      </c>
      <c r="BG77" s="33" t="str">
        <f t="shared" si="44"/>
        <v>—</v>
      </c>
      <c r="BH77" s="33" t="str">
        <f t="shared" si="45"/>
        <v>Não</v>
      </c>
      <c r="BI77" s="33" t="str">
        <f t="shared" si="46"/>
        <v>Não</v>
      </c>
      <c r="BJ77" s="36">
        <f>IFERROR(INDEX(tbl_materiais[Pct_PCR],MATCH(J77,tbl_materiais[Material],0)),0)</f>
        <v>0</v>
      </c>
      <c r="BK77" s="36">
        <f>IF(V77="",0,IFERROR(INDEX(tbl_tampas[Pct_PCR],MATCH(V77,tbl_tampas[CapId],0)),0))</f>
        <v>0</v>
      </c>
      <c r="BL77" s="40">
        <f t="shared" si="47"/>
        <v>0</v>
      </c>
      <c r="BM77" s="33" t="str">
        <f t="shared" si="48"/>
        <v>Outras embalagens de plástico</v>
      </c>
      <c r="BN77" s="36">
        <f>IFERROR(IF(INDEX(tbl_metas_art7[Meta_2030],MATCH(BM77,tbl_metas_art7[Categoria_Art7],0))="","",INDEX(tbl_metas_art7[Meta_2030],MATCH(BM77,tbl_metas_art7[Categoria_Art7],0))),"")</f>
        <v>0.35</v>
      </c>
      <c r="BO77" s="40">
        <f t="shared" si="49"/>
        <v>0.35</v>
      </c>
      <c r="BP77" s="33" t="str">
        <f t="shared" si="50"/>
        <v>Não</v>
      </c>
      <c r="BQ77" s="33" t="str">
        <f t="shared" si="51"/>
        <v>Monomaterial (mesma família)</v>
      </c>
      <c r="BR77" s="37">
        <v>48563</v>
      </c>
      <c r="BS77" s="39">
        <v>9</v>
      </c>
      <c r="BT77" s="26" t="s">
        <v>633</v>
      </c>
      <c r="BU77" s="32">
        <f t="shared" si="52"/>
        <v>1966.8015</v>
      </c>
      <c r="BV77" s="31">
        <f>COUNTIFS(tbl_aplicabilidade[ProductId],B77,tbl_aplicabilidade[Aplicavel],"Sim")</f>
        <v>12</v>
      </c>
      <c r="BW77" s="31">
        <f>COUNTIFS(tbl_aplicabilidade[ProductId],B77,tbl_aplicabilidade[Estado_Resumo],"Lacuna")+COUNTIFS(tbl_aplicabilidade[ProductId],B77,tbl_aplicabilidade[Estado_Resumo],"Não conforme")</f>
        <v>2</v>
      </c>
      <c r="BX77" s="41">
        <v>46287</v>
      </c>
      <c r="BY77" s="42">
        <f t="shared" si="53"/>
        <v>46652</v>
      </c>
      <c r="BZ77" s="26" t="s">
        <v>596</v>
      </c>
      <c r="CA77" s="26" t="s">
        <v>597</v>
      </c>
      <c r="CB77" s="26" t="s">
        <v>598</v>
      </c>
    </row>
    <row r="78" spans="1:80" ht="18" customHeight="1" x14ac:dyDescent="0.3">
      <c r="A78" s="26" t="s">
        <v>782</v>
      </c>
      <c r="B78" s="26" t="s">
        <v>783</v>
      </c>
      <c r="C78" s="26" t="s">
        <v>586</v>
      </c>
      <c r="D78" s="26" t="s">
        <v>587</v>
      </c>
      <c r="E78" s="26" t="s">
        <v>588</v>
      </c>
      <c r="F78" s="26" t="s">
        <v>589</v>
      </c>
      <c r="G78" s="26" t="s">
        <v>655</v>
      </c>
      <c r="H78" s="37">
        <v>750</v>
      </c>
      <c r="I78" s="37">
        <v>156</v>
      </c>
      <c r="J78" s="26" t="s">
        <v>240</v>
      </c>
      <c r="K78" s="33" t="str">
        <f>IFERROR(INDEX(tbl_materiais[Polimero_Base],MATCH(J78,tbl_materiais[Material],0)),"")</f>
        <v>PP</v>
      </c>
      <c r="L78" s="33" t="str">
        <f>IFERROR(INDEX(tbl_materiais[Fluxo_Reciclagem],MATCH(J78,tbl_materiais[Material],0)),"")</f>
        <v>PP rígido</v>
      </c>
      <c r="M78" s="33" t="str">
        <f t="shared" si="36"/>
        <v>PP rígido — frascos, potes e contentores</v>
      </c>
      <c r="N78" s="26" t="s">
        <v>637</v>
      </c>
      <c r="O78" s="26" t="s">
        <v>281</v>
      </c>
      <c r="P78" s="26" t="s">
        <v>638</v>
      </c>
      <c r="Q78" s="29">
        <v>2.5000000000000001E-2</v>
      </c>
      <c r="R78" s="35">
        <f>IFERROR(ROUND(INDEX(tbl_materiais[Densidade_g_cm3],MATCH(J78,tbl_materiais[Material],0))+Q78*1.2,3),"")</f>
        <v>0.93500000000000005</v>
      </c>
      <c r="S78" s="26" t="s">
        <v>302</v>
      </c>
      <c r="T78" s="34">
        <v>40.5</v>
      </c>
      <c r="U78" s="26" t="s">
        <v>593</v>
      </c>
      <c r="V78" s="26" t="s">
        <v>452</v>
      </c>
      <c r="W78" s="33" t="str">
        <f>IF(V78="","",IFERROR(INDEX(tbl_tampas[Material],MATCH(V78,tbl_tampas[CapId],0)),""))</f>
        <v>PP</v>
      </c>
      <c r="X78" s="33" t="str">
        <f>IF(V78="","Sem tampa",IFERROR(INDEX(tbl_materiais[Polimero_Base],MATCH(W78,tbl_materiais[Material],0)),""))</f>
        <v>PP</v>
      </c>
      <c r="Y78" s="38">
        <f>IF(V78="",0,IFERROR(INDEX(tbl_tampas[Massa_g],MATCH(V78,tbl_tampas[CapId],0)),0))</f>
        <v>14.3</v>
      </c>
      <c r="Z78" s="26" t="s">
        <v>319</v>
      </c>
      <c r="AA78" s="26" t="s">
        <v>327</v>
      </c>
      <c r="AB78" s="26" t="s">
        <v>342</v>
      </c>
      <c r="AC78" s="29">
        <v>0.4</v>
      </c>
      <c r="AD78" s="27">
        <v>0.84</v>
      </c>
      <c r="AE78" s="26" t="s">
        <v>604</v>
      </c>
      <c r="AF78" s="26" t="s">
        <v>302</v>
      </c>
      <c r="AG78" s="39">
        <v>0</v>
      </c>
      <c r="AH78" s="33" t="str">
        <f t="shared" si="37"/>
        <v>Nenhuma</v>
      </c>
      <c r="AI78" s="27">
        <v>0</v>
      </c>
      <c r="AJ78" s="33" t="str">
        <f>IFERROR(INDEX(tbl_regras_dfr[Classe],MATCH(L78&amp;"|Fluxo de reciclagem|"&amp;L78,tbl_regras_dfr[Chave],0)),"Sem regra")</f>
        <v>A</v>
      </c>
      <c r="AK78" s="33" t="str">
        <f>IF(LEFT(L78,9)="Sem fluxo","—",IFERROR(INDEX(tbl_regras_dfr[Classe],MATCH(L78&amp;"|Cor do corpo|"&amp;O78,tbl_regras_dfr[Chave],0)),"Sem regra"))</f>
        <v>A</v>
      </c>
      <c r="AL78" s="33" t="str">
        <f>IF(LEFT(L78,9)="Sem fluxo","—",IFERROR(INDEX(tbl_regras_dfr[Classe],MATCH(L78&amp;"|Densidade do corpo|"&amp;IF(R78&lt;1,"&lt; 1,0 g/cm³","≥ 1,0 g/cm³"),tbl_regras_dfr[Chave],0)),"Sem regra"))</f>
        <v>A</v>
      </c>
      <c r="AM78" s="33" t="str">
        <f>IF(LEFT(L78,9)="Sem fluxo","—",IFERROR(INDEX(tbl_regras_dfr[Classe],MATCH(L78&amp;"|Barreira / revestimento|"&amp;S78,tbl_regras_dfr[Chave],0)),"Sem regra"))</f>
        <v>A</v>
      </c>
      <c r="AN78" s="33" t="str">
        <f>IF(LEFT(L78,9)="Sem fluxo","—",IFERROR(INDEX(tbl_regras_dfr[Classe],MATCH(L78&amp;"|Material da tampa|"&amp;X78,tbl_regras_dfr[Chave],0)),"Sem regra"))</f>
        <v>A</v>
      </c>
      <c r="AO78" s="33" t="str">
        <f>IF(LEFT(L78,9)="Sem fluxo","—",IFERROR(INDEX(tbl_regras_dfr[Classe],MATCH(L78&amp;"|Vedante / liner|"&amp;Z78,tbl_regras_dfr[Chave],0)),"Sem regra"))</f>
        <v>A</v>
      </c>
      <c r="AP78" s="33" t="str">
        <f>IF(LEFT(L78,9)="Sem fluxo","—",IFERROR(INDEX(tbl_regras_dfr[Classe],MATCH(L78&amp;"|Tipo de rótulo|"&amp;AA78,tbl_regras_dfr[Chave],0)),"Sem regra"))</f>
        <v>A</v>
      </c>
      <c r="AQ78" s="33" t="str">
        <f>IF(LEFT(L78,9)="Sem fluxo","—",IFERROR(INDEX(tbl_regras_dfr[Classe],MATCH(L78&amp;"|Adesivo do rótulo|"&amp;AB78,tbl_regras_dfr[Chave],0)),"Sem regra"))</f>
        <v>A</v>
      </c>
      <c r="AR78" s="33" t="str">
        <f>IF(LEFT(L78,9)="Sem fluxo","—",IFERROR(INDEX(tbl_regras_dfr[Classe],MATCH(L78&amp;"|Cobertura do rótulo|"&amp;IF(AC78&gt;0.7,"&gt; 70% da superfície","≤ 70% da superfície"),tbl_regras_dfr[Chave],0)),"Sem regra"))</f>
        <v>A</v>
      </c>
      <c r="AS78" s="33" t="str">
        <f>IF(LEFT(L78,9)="Sem fluxo","—",IFERROR(INDEX(tbl_regras_dfr[Classe],MATCH(L78&amp;"|Decoração direta|"&amp;AH78,tbl_regras_dfr[Chave],0)),"Sem regra"))</f>
        <v>A</v>
      </c>
      <c r="AT78" s="31">
        <f t="shared" si="38"/>
        <v>1</v>
      </c>
      <c r="AU78" s="33" t="str">
        <f>IF(AT78=0,"",INDEX({"A","B","C","D","E","F"},AT78))</f>
        <v>A</v>
      </c>
      <c r="AV78" s="31">
        <f t="shared" si="39"/>
        <v>0</v>
      </c>
      <c r="AW78" s="33" t="str">
        <f t="shared" si="40"/>
        <v>—</v>
      </c>
      <c r="AX78" s="33" t="str">
        <f>IF(AU78="A","Sem ação — manter o design.",IFERROR(INDEX(tbl_regras_dfr[Recomendacao],MATCH(CHOOSE(MATCH(AU78,AJ78:AS78,0),L78&amp;"|Fluxo de reciclagem|"&amp;L78,L78&amp;"|Cor do corpo|"&amp;O78,L78&amp;"|Densidade do corpo|"&amp;IF(R78&lt;1,"&lt; 1,0 g/cm³","≥ 1,0 g/cm³"),L78&amp;"|Barreira / revestimento|"&amp;S78,L78&amp;"|Material da tampa|"&amp;X78,L78&amp;"|Vedante / liner|"&amp;Z78,L78&amp;"|Tipo de rótulo|"&amp;AA78,L78&amp;"|Adesivo do rótulo|"&amp;AB78,L78&amp;"|Cobertura do rótulo|"&amp;IF(AC78&gt;0.7,"&gt; 70% da superfície","≤ 70% da superfície"),L78&amp;"|Decoração direta|"&amp;AH78),tbl_regras_dfr[Chave],0)),""))</f>
        <v>Sem ação — manter o design.</v>
      </c>
      <c r="AY78" s="38">
        <f t="shared" si="41"/>
        <v>55.64</v>
      </c>
      <c r="AZ78" s="36">
        <f>MIN(IFERROR(INDEX(tbl_regras_dfr[Fracao_Reciclavel],MATCH(L78&amp;"|Fluxo de reciclagem|"&amp;L78,tbl_regras_dfr[Chave],0)),0),IFERROR(INDEX(tbl_regras_dfr[Fracao_Reciclavel],MATCH(L78&amp;"|Cor do corpo|"&amp;O78,tbl_regras_dfr[Chave],0)),0))</f>
        <v>1</v>
      </c>
      <c r="BA78" s="36">
        <f>IFERROR(INDEX(tbl_regras_dfr[Fracao_Reciclavel],MATCH(L78&amp;"|Material da tampa|"&amp;X78,tbl_regras_dfr[Chave],0)),0)</f>
        <v>1</v>
      </c>
      <c r="BB78" s="36">
        <f>IFERROR(INDEX(tbl_regras_dfr[Fracao_Reciclavel],MATCH(L78&amp;"|Tipo de rótulo|"&amp;AA78,tbl_regras_dfr[Chave],0)),0)</f>
        <v>1</v>
      </c>
      <c r="BC78" s="38">
        <f t="shared" si="42"/>
        <v>55.64</v>
      </c>
      <c r="BD78" s="40">
        <f t="shared" si="43"/>
        <v>1</v>
      </c>
      <c r="BE78" s="33" t="str">
        <f>IF(BD78&gt;=INDEX(tbl_param_emb[Valor],MATCH("P-06",tbl_param_emb[ID_Parametro],0)),"A",IF(BD78&gt;=INDEX(tbl_param_emb[Valor],MATCH("P-07",tbl_param_emb[ID_Parametro],0)),"B",IF(BD78&gt;=INDEX(tbl_param_emb[Valor],MATCH("P-08",tbl_param_emb[ID_Parametro],0)),"C","&lt; 70%")))</f>
        <v>A</v>
      </c>
      <c r="BF78" s="33" t="str">
        <f>IF(AU78="F","Não reciclável (F)",INDEX({"A","B","C","Abaixo de C"},MAX(MIN(AT78,4),IF(BE78="A",1,IF(BE78="B",2,IF(BE78="C",3,4))))))</f>
        <v>A</v>
      </c>
      <c r="BG78" s="33" t="str">
        <f t="shared" si="44"/>
        <v>—</v>
      </c>
      <c r="BH78" s="33" t="str">
        <f t="shared" si="45"/>
        <v>Sim</v>
      </c>
      <c r="BI78" s="33" t="str">
        <f t="shared" si="46"/>
        <v>Sim</v>
      </c>
      <c r="BJ78" s="36">
        <f>IFERROR(INDEX(tbl_materiais[Pct_PCR],MATCH(J78,tbl_materiais[Material],0)),0)</f>
        <v>0</v>
      </c>
      <c r="BK78" s="36">
        <f>IF(V78="",0,IFERROR(INDEX(tbl_tampas[Pct_PCR],MATCH(V78,tbl_tampas[CapId],0)),0))</f>
        <v>0</v>
      </c>
      <c r="BL78" s="40">
        <f t="shared" si="47"/>
        <v>0</v>
      </c>
      <c r="BM78" s="33" t="str">
        <f t="shared" si="48"/>
        <v>Outras embalagens de plástico</v>
      </c>
      <c r="BN78" s="36">
        <f>IFERROR(IF(INDEX(tbl_metas_art7[Meta_2030],MATCH(BM78,tbl_metas_art7[Categoria_Art7],0))="","",INDEX(tbl_metas_art7[Meta_2030],MATCH(BM78,tbl_metas_art7[Categoria_Art7],0))),"")</f>
        <v>0.35</v>
      </c>
      <c r="BO78" s="40">
        <f t="shared" si="49"/>
        <v>0.35</v>
      </c>
      <c r="BP78" s="33" t="str">
        <f t="shared" si="50"/>
        <v>Não</v>
      </c>
      <c r="BQ78" s="33" t="str">
        <f t="shared" si="51"/>
        <v>Monomaterial (mesma família)</v>
      </c>
      <c r="BR78" s="37">
        <v>92976</v>
      </c>
      <c r="BS78" s="39">
        <v>12</v>
      </c>
      <c r="BT78" s="26" t="s">
        <v>426</v>
      </c>
      <c r="BU78" s="32">
        <f t="shared" si="52"/>
        <v>3765.5279999999998</v>
      </c>
      <c r="BV78" s="31">
        <f>COUNTIFS(tbl_aplicabilidade[ProductId],B78,tbl_aplicabilidade[Aplicavel],"Sim")</f>
        <v>12</v>
      </c>
      <c r="BW78" s="31">
        <f>COUNTIFS(tbl_aplicabilidade[ProductId],B78,tbl_aplicabilidade[Estado_Resumo],"Lacuna")+COUNTIFS(tbl_aplicabilidade[ProductId],B78,tbl_aplicabilidade[Estado_Resumo],"Não conforme")</f>
        <v>1</v>
      </c>
      <c r="BX78" s="41">
        <v>46287</v>
      </c>
      <c r="BY78" s="42">
        <f t="shared" si="53"/>
        <v>46652</v>
      </c>
      <c r="BZ78" s="26" t="s">
        <v>596</v>
      </c>
      <c r="CA78" s="26" t="s">
        <v>597</v>
      </c>
      <c r="CB78" s="26" t="s">
        <v>598</v>
      </c>
    </row>
    <row r="79" spans="1:80" ht="18" customHeight="1" x14ac:dyDescent="0.3">
      <c r="A79" s="26" t="s">
        <v>784</v>
      </c>
      <c r="B79" s="26" t="s">
        <v>785</v>
      </c>
      <c r="C79" s="26" t="s">
        <v>586</v>
      </c>
      <c r="D79" s="26" t="s">
        <v>587</v>
      </c>
      <c r="E79" s="26" t="s">
        <v>588</v>
      </c>
      <c r="F79" s="26" t="s">
        <v>589</v>
      </c>
      <c r="G79" s="26" t="s">
        <v>663</v>
      </c>
      <c r="H79" s="37">
        <v>750</v>
      </c>
      <c r="I79" s="37">
        <v>156</v>
      </c>
      <c r="J79" s="26" t="s">
        <v>244</v>
      </c>
      <c r="K79" s="33" t="str">
        <f>IFERROR(INDEX(tbl_materiais[Polimero_Base],MATCH(J79,tbl_materiais[Material],0)),"")</f>
        <v>PP</v>
      </c>
      <c r="L79" s="33" t="str">
        <f>IFERROR(INDEX(tbl_materiais[Fluxo_Reciclagem],MATCH(J79,tbl_materiais[Material],0)),"")</f>
        <v>PP rígido</v>
      </c>
      <c r="M79" s="33" t="str">
        <f t="shared" si="36"/>
        <v>PP rígido — frascos, potes e contentores</v>
      </c>
      <c r="N79" s="26" t="s">
        <v>622</v>
      </c>
      <c r="O79" s="26" t="s">
        <v>283</v>
      </c>
      <c r="P79" s="26" t="s">
        <v>623</v>
      </c>
      <c r="Q79" s="29">
        <v>1.4999999999999999E-2</v>
      </c>
      <c r="R79" s="35">
        <f>IFERROR(ROUND(INDEX(tbl_materiais[Densidade_g_cm3],MATCH(J79,tbl_materiais[Material],0))+Q79*1.2,3),"")</f>
        <v>0.92800000000000005</v>
      </c>
      <c r="S79" s="26" t="s">
        <v>302</v>
      </c>
      <c r="T79" s="34">
        <v>40.5</v>
      </c>
      <c r="U79" s="26" t="s">
        <v>593</v>
      </c>
      <c r="V79" s="26" t="s">
        <v>475</v>
      </c>
      <c r="W79" s="33" t="str">
        <f>IF(V79="","",IFERROR(INDEX(tbl_tampas[Material],MATCH(V79,tbl_tampas[CapId],0)),""))</f>
        <v>PP-PCR</v>
      </c>
      <c r="X79" s="33" t="str">
        <f>IF(V79="","Sem tampa",IFERROR(INDEX(tbl_materiais[Polimero_Base],MATCH(W79,tbl_materiais[Material],0)),""))</f>
        <v>PP</v>
      </c>
      <c r="Y79" s="38">
        <f>IF(V79="",0,IFERROR(INDEX(tbl_tampas[Massa_g],MATCH(V79,tbl_tampas[CapId],0)),0))</f>
        <v>19.3</v>
      </c>
      <c r="Z79" s="26" t="s">
        <v>319</v>
      </c>
      <c r="AA79" s="26" t="s">
        <v>327</v>
      </c>
      <c r="AB79" s="26" t="s">
        <v>342</v>
      </c>
      <c r="AC79" s="29">
        <v>0.4</v>
      </c>
      <c r="AD79" s="27">
        <v>0.84</v>
      </c>
      <c r="AE79" s="26" t="s">
        <v>604</v>
      </c>
      <c r="AF79" s="26" t="s">
        <v>302</v>
      </c>
      <c r="AG79" s="39">
        <v>0</v>
      </c>
      <c r="AH79" s="33" t="str">
        <f t="shared" si="37"/>
        <v>Nenhuma</v>
      </c>
      <c r="AI79" s="27">
        <v>0</v>
      </c>
      <c r="AJ79" s="33" t="str">
        <f>IFERROR(INDEX(tbl_regras_dfr[Classe],MATCH(L79&amp;"|Fluxo de reciclagem|"&amp;L79,tbl_regras_dfr[Chave],0)),"Sem regra")</f>
        <v>A</v>
      </c>
      <c r="AK79" s="33" t="str">
        <f>IF(LEFT(L79,9)="Sem fluxo","—",IFERROR(INDEX(tbl_regras_dfr[Classe],MATCH(L79&amp;"|Cor do corpo|"&amp;O79,tbl_regras_dfr[Chave],0)),"Sem regra"))</f>
        <v>B</v>
      </c>
      <c r="AL79" s="33" t="str">
        <f>IF(LEFT(L79,9)="Sem fluxo","—",IFERROR(INDEX(tbl_regras_dfr[Classe],MATCH(L79&amp;"|Densidade do corpo|"&amp;IF(R79&lt;1,"&lt; 1,0 g/cm³","≥ 1,0 g/cm³"),tbl_regras_dfr[Chave],0)),"Sem regra"))</f>
        <v>A</v>
      </c>
      <c r="AM79" s="33" t="str">
        <f>IF(LEFT(L79,9)="Sem fluxo","—",IFERROR(INDEX(tbl_regras_dfr[Classe],MATCH(L79&amp;"|Barreira / revestimento|"&amp;S79,tbl_regras_dfr[Chave],0)),"Sem regra"))</f>
        <v>A</v>
      </c>
      <c r="AN79" s="33" t="str">
        <f>IF(LEFT(L79,9)="Sem fluxo","—",IFERROR(INDEX(tbl_regras_dfr[Classe],MATCH(L79&amp;"|Material da tampa|"&amp;X79,tbl_regras_dfr[Chave],0)),"Sem regra"))</f>
        <v>A</v>
      </c>
      <c r="AO79" s="33" t="str">
        <f>IF(LEFT(L79,9)="Sem fluxo","—",IFERROR(INDEX(tbl_regras_dfr[Classe],MATCH(L79&amp;"|Vedante / liner|"&amp;Z79,tbl_regras_dfr[Chave],0)),"Sem regra"))</f>
        <v>A</v>
      </c>
      <c r="AP79" s="33" t="str">
        <f>IF(LEFT(L79,9)="Sem fluxo","—",IFERROR(INDEX(tbl_regras_dfr[Classe],MATCH(L79&amp;"|Tipo de rótulo|"&amp;AA79,tbl_regras_dfr[Chave],0)),"Sem regra"))</f>
        <v>A</v>
      </c>
      <c r="AQ79" s="33" t="str">
        <f>IF(LEFT(L79,9)="Sem fluxo","—",IFERROR(INDEX(tbl_regras_dfr[Classe],MATCH(L79&amp;"|Adesivo do rótulo|"&amp;AB79,tbl_regras_dfr[Chave],0)),"Sem regra"))</f>
        <v>A</v>
      </c>
      <c r="AR79" s="33" t="str">
        <f>IF(LEFT(L79,9)="Sem fluxo","—",IFERROR(INDEX(tbl_regras_dfr[Classe],MATCH(L79&amp;"|Cobertura do rótulo|"&amp;IF(AC79&gt;0.7,"&gt; 70% da superfície","≤ 70% da superfície"),tbl_regras_dfr[Chave],0)),"Sem regra"))</f>
        <v>A</v>
      </c>
      <c r="AS79" s="33" t="str">
        <f>IF(LEFT(L79,9)="Sem fluxo","—",IFERROR(INDEX(tbl_regras_dfr[Classe],MATCH(L79&amp;"|Decoração direta|"&amp;AH79,tbl_regras_dfr[Chave],0)),"Sem regra"))</f>
        <v>A</v>
      </c>
      <c r="AT79" s="31">
        <f t="shared" si="38"/>
        <v>2</v>
      </c>
      <c r="AU79" s="33" t="str">
        <f>IF(AT79=0,"",INDEX({"A","B","C","D","E","F"},AT79))</f>
        <v>B</v>
      </c>
      <c r="AV79" s="31">
        <f t="shared" si="39"/>
        <v>0</v>
      </c>
      <c r="AW79" s="33" t="str">
        <f t="shared" si="40"/>
        <v>Cor</v>
      </c>
      <c r="AX79" s="33" t="str">
        <f>IF(AU79="A","Sem ação — manter o design.",IFERROR(INDEX(tbl_regras_dfr[Recomendacao],MATCH(CHOOSE(MATCH(AU79,AJ79:AS79,0),L79&amp;"|Fluxo de reciclagem|"&amp;L79,L79&amp;"|Cor do corpo|"&amp;O79,L79&amp;"|Densidade do corpo|"&amp;IF(R79&lt;1,"&lt; 1,0 g/cm³","≥ 1,0 g/cm³"),L79&amp;"|Barreira / revestimento|"&amp;S79,L79&amp;"|Material da tampa|"&amp;X79,L79&amp;"|Vedante / liner|"&amp;Z79,L79&amp;"|Tipo de rótulo|"&amp;AA79,L79&amp;"|Adesivo do rótulo|"&amp;AB79,L79&amp;"|Cobertura do rótulo|"&amp;IF(AC79&gt;0.7,"&gt; 70% da superfície","≤ 70% da superfície"),L79&amp;"|Decoração direta|"&amp;AH79),tbl_regras_dfr[Chave],0)),""))</f>
        <v>Preferir natural, branco ou cores claras.</v>
      </c>
      <c r="AY79" s="38">
        <f t="shared" si="41"/>
        <v>60.64</v>
      </c>
      <c r="AZ79" s="36">
        <f>MIN(IFERROR(INDEX(tbl_regras_dfr[Fracao_Reciclavel],MATCH(L79&amp;"|Fluxo de reciclagem|"&amp;L79,tbl_regras_dfr[Chave],0)),0),IFERROR(INDEX(tbl_regras_dfr[Fracao_Reciclavel],MATCH(L79&amp;"|Cor do corpo|"&amp;O79,tbl_regras_dfr[Chave],0)),0))</f>
        <v>1</v>
      </c>
      <c r="BA79" s="36">
        <f>IFERROR(INDEX(tbl_regras_dfr[Fracao_Reciclavel],MATCH(L79&amp;"|Material da tampa|"&amp;X79,tbl_regras_dfr[Chave],0)),0)</f>
        <v>1</v>
      </c>
      <c r="BB79" s="36">
        <f>IFERROR(INDEX(tbl_regras_dfr[Fracao_Reciclavel],MATCH(L79&amp;"|Tipo de rótulo|"&amp;AA79,tbl_regras_dfr[Chave],0)),0)</f>
        <v>1</v>
      </c>
      <c r="BC79" s="38">
        <f t="shared" si="42"/>
        <v>60.64</v>
      </c>
      <c r="BD79" s="40">
        <f t="shared" si="43"/>
        <v>1</v>
      </c>
      <c r="BE79" s="33" t="str">
        <f>IF(BD79&gt;=INDEX(tbl_param_emb[Valor],MATCH("P-06",tbl_param_emb[ID_Parametro],0)),"A",IF(BD79&gt;=INDEX(tbl_param_emb[Valor],MATCH("P-07",tbl_param_emb[ID_Parametro],0)),"B",IF(BD79&gt;=INDEX(tbl_param_emb[Valor],MATCH("P-08",tbl_param_emb[ID_Parametro],0)),"C","&lt; 70%")))</f>
        <v>A</v>
      </c>
      <c r="BF79" s="33" t="str">
        <f>IF(AU79="F","Não reciclável (F)",INDEX({"A","B","C","Abaixo de C"},MAX(MIN(AT79,4),IF(BE79="A",1,IF(BE79="B",2,IF(BE79="C",3,4))))))</f>
        <v>B</v>
      </c>
      <c r="BG79" s="33" t="str">
        <f t="shared" si="44"/>
        <v>—</v>
      </c>
      <c r="BH79" s="33" t="str">
        <f t="shared" si="45"/>
        <v>Sim</v>
      </c>
      <c r="BI79" s="33" t="str">
        <f t="shared" si="46"/>
        <v>Sim</v>
      </c>
      <c r="BJ79" s="36">
        <f>IFERROR(INDEX(tbl_materiais[Pct_PCR],MATCH(J79,tbl_materiais[Material],0)),0)</f>
        <v>0.3</v>
      </c>
      <c r="BK79" s="36">
        <f>IF(V79="",0,IFERROR(INDEX(tbl_tampas[Pct_PCR],MATCH(V79,tbl_tampas[CapId],0)),0))</f>
        <v>0.3</v>
      </c>
      <c r="BL79" s="40">
        <f t="shared" si="47"/>
        <v>0.30000000000000004</v>
      </c>
      <c r="BM79" s="33" t="str">
        <f t="shared" si="48"/>
        <v>Outras embalagens de plástico</v>
      </c>
      <c r="BN79" s="36">
        <f>IFERROR(IF(INDEX(tbl_metas_art7[Meta_2030],MATCH(BM79,tbl_metas_art7[Categoria_Art7],0))="","",INDEX(tbl_metas_art7[Meta_2030],MATCH(BM79,tbl_metas_art7[Categoria_Art7],0))),"")</f>
        <v>0.35</v>
      </c>
      <c r="BO79" s="40">
        <f t="shared" si="49"/>
        <v>4.9999999999999933E-2</v>
      </c>
      <c r="BP79" s="33" t="str">
        <f t="shared" si="50"/>
        <v>Não</v>
      </c>
      <c r="BQ79" s="33" t="str">
        <f t="shared" si="51"/>
        <v>Monomaterial (mesma família)</v>
      </c>
      <c r="BR79" s="37">
        <v>29326</v>
      </c>
      <c r="BS79" s="39">
        <v>7</v>
      </c>
      <c r="BT79" s="26" t="s">
        <v>737</v>
      </c>
      <c r="BU79" s="32">
        <f t="shared" si="52"/>
        <v>1187.703</v>
      </c>
      <c r="BV79" s="31">
        <f>COUNTIFS(tbl_aplicabilidade[ProductId],B79,tbl_aplicabilidade[Aplicavel],"Sim")</f>
        <v>12</v>
      </c>
      <c r="BW79" s="31">
        <f>COUNTIFS(tbl_aplicabilidade[ProductId],B79,tbl_aplicabilidade[Estado_Resumo],"Lacuna")+COUNTIFS(tbl_aplicabilidade[ProductId],B79,tbl_aplicabilidade[Estado_Resumo],"Não conforme")</f>
        <v>1</v>
      </c>
      <c r="BX79" s="41">
        <v>46287</v>
      </c>
      <c r="BY79" s="42">
        <f t="shared" si="53"/>
        <v>46652</v>
      </c>
      <c r="BZ79" s="26" t="s">
        <v>596</v>
      </c>
      <c r="CA79" s="26" t="s">
        <v>597</v>
      </c>
      <c r="CB79" s="26" t="s">
        <v>598</v>
      </c>
    </row>
    <row r="80" spans="1:80" ht="18" customHeight="1" x14ac:dyDescent="0.3">
      <c r="A80" s="26" t="s">
        <v>786</v>
      </c>
      <c r="B80" s="26" t="s">
        <v>787</v>
      </c>
      <c r="C80" s="26" t="s">
        <v>586</v>
      </c>
      <c r="D80" s="26" t="s">
        <v>587</v>
      </c>
      <c r="E80" s="26" t="s">
        <v>588</v>
      </c>
      <c r="F80" s="26" t="s">
        <v>589</v>
      </c>
      <c r="G80" s="26" t="s">
        <v>669</v>
      </c>
      <c r="H80" s="37">
        <v>750</v>
      </c>
      <c r="I80" s="37">
        <v>156</v>
      </c>
      <c r="J80" s="26" t="s">
        <v>258</v>
      </c>
      <c r="K80" s="33" t="str">
        <f>IFERROR(INDEX(tbl_materiais[Polimero_Base],MATCH(J80,tbl_materiais[Material],0)),"")</f>
        <v>PVC</v>
      </c>
      <c r="L80" s="33" t="str">
        <f>IFERROR(INDEX(tbl_materiais[Fluxo_Reciclagem],MATCH(J80,tbl_materiais[Material],0)),"")</f>
        <v>Sem fluxo (PVC)</v>
      </c>
      <c r="M80" s="33" t="str">
        <f t="shared" si="36"/>
        <v>Sem categoria RecyClass (PVC)</v>
      </c>
      <c r="N80" s="26" t="s">
        <v>610</v>
      </c>
      <c r="O80" s="26" t="s">
        <v>279</v>
      </c>
      <c r="P80" s="26" t="s">
        <v>611</v>
      </c>
      <c r="Q80" s="29">
        <v>0</v>
      </c>
      <c r="R80" s="35">
        <f>IFERROR(ROUND(INDEX(tbl_materiais[Densidade_g_cm3],MATCH(J80,tbl_materiais[Material],0))+Q80*1.2,3),"")</f>
        <v>1.35</v>
      </c>
      <c r="S80" s="26" t="s">
        <v>302</v>
      </c>
      <c r="T80" s="34">
        <v>40.5</v>
      </c>
      <c r="U80" s="26" t="s">
        <v>593</v>
      </c>
      <c r="V80" s="26" t="s">
        <v>452</v>
      </c>
      <c r="W80" s="33" t="str">
        <f>IF(V80="","",IFERROR(INDEX(tbl_tampas[Material],MATCH(V80,tbl_tampas[CapId],0)),""))</f>
        <v>PP</v>
      </c>
      <c r="X80" s="33" t="str">
        <f>IF(V80="","Sem tampa",IFERROR(INDEX(tbl_materiais[Polimero_Base],MATCH(W80,tbl_materiais[Material],0)),""))</f>
        <v>PP</v>
      </c>
      <c r="Y80" s="38">
        <f>IF(V80="",0,IFERROR(INDEX(tbl_tampas[Massa_g],MATCH(V80,tbl_tampas[CapId],0)),0))</f>
        <v>14.3</v>
      </c>
      <c r="Z80" s="26" t="s">
        <v>319</v>
      </c>
      <c r="AA80" s="26" t="s">
        <v>326</v>
      </c>
      <c r="AB80" s="26" t="s">
        <v>340</v>
      </c>
      <c r="AC80" s="29">
        <v>0</v>
      </c>
      <c r="AD80" s="27">
        <v>0</v>
      </c>
      <c r="AE80" s="26" t="s">
        <v>594</v>
      </c>
      <c r="AF80" s="26" t="s">
        <v>595</v>
      </c>
      <c r="AG80" s="39">
        <v>1</v>
      </c>
      <c r="AH80" s="33" t="str">
        <f t="shared" si="37"/>
        <v>Serigrafia 1–2 cores</v>
      </c>
      <c r="AI80" s="27">
        <v>0.08</v>
      </c>
      <c r="AJ80" s="33" t="str">
        <f>IFERROR(INDEX(tbl_regras_dfr[Classe],MATCH(L80&amp;"|Fluxo de reciclagem|"&amp;L80,tbl_regras_dfr[Chave],0)),"Sem regra")</f>
        <v>F</v>
      </c>
      <c r="AK80" s="33" t="str">
        <f>IF(LEFT(L80,9)="Sem fluxo","—",IFERROR(INDEX(tbl_regras_dfr[Classe],MATCH(L80&amp;"|Cor do corpo|"&amp;O80,tbl_regras_dfr[Chave],0)),"Sem regra"))</f>
        <v>—</v>
      </c>
      <c r="AL80" s="33" t="str">
        <f>IF(LEFT(L80,9)="Sem fluxo","—",IFERROR(INDEX(tbl_regras_dfr[Classe],MATCH(L80&amp;"|Densidade do corpo|"&amp;IF(R80&lt;1,"&lt; 1,0 g/cm³","≥ 1,0 g/cm³"),tbl_regras_dfr[Chave],0)),"Sem regra"))</f>
        <v>—</v>
      </c>
      <c r="AM80" s="33" t="str">
        <f>IF(LEFT(L80,9)="Sem fluxo","—",IFERROR(INDEX(tbl_regras_dfr[Classe],MATCH(L80&amp;"|Barreira / revestimento|"&amp;S80,tbl_regras_dfr[Chave],0)),"Sem regra"))</f>
        <v>—</v>
      </c>
      <c r="AN80" s="33" t="str">
        <f>IF(LEFT(L80,9)="Sem fluxo","—",IFERROR(INDEX(tbl_regras_dfr[Classe],MATCH(L80&amp;"|Material da tampa|"&amp;X80,tbl_regras_dfr[Chave],0)),"Sem regra"))</f>
        <v>—</v>
      </c>
      <c r="AO80" s="33" t="str">
        <f>IF(LEFT(L80,9)="Sem fluxo","—",IFERROR(INDEX(tbl_regras_dfr[Classe],MATCH(L80&amp;"|Vedante / liner|"&amp;Z80,tbl_regras_dfr[Chave],0)),"Sem regra"))</f>
        <v>—</v>
      </c>
      <c r="AP80" s="33" t="str">
        <f>IF(LEFT(L80,9)="Sem fluxo","—",IFERROR(INDEX(tbl_regras_dfr[Classe],MATCH(L80&amp;"|Tipo de rótulo|"&amp;AA80,tbl_regras_dfr[Chave],0)),"Sem regra"))</f>
        <v>—</v>
      </c>
      <c r="AQ80" s="33" t="str">
        <f>IF(LEFT(L80,9)="Sem fluxo","—",IFERROR(INDEX(tbl_regras_dfr[Classe],MATCH(L80&amp;"|Adesivo do rótulo|"&amp;AB80,tbl_regras_dfr[Chave],0)),"Sem regra"))</f>
        <v>—</v>
      </c>
      <c r="AR80" s="33" t="str">
        <f>IF(LEFT(L80,9)="Sem fluxo","—",IFERROR(INDEX(tbl_regras_dfr[Classe],MATCH(L80&amp;"|Cobertura do rótulo|"&amp;IF(AC80&gt;0.7,"&gt; 70% da superfície","≤ 70% da superfície"),tbl_regras_dfr[Chave],0)),"Sem regra"))</f>
        <v>—</v>
      </c>
      <c r="AS80" s="33" t="str">
        <f>IF(LEFT(L80,9)="Sem fluxo","—",IFERROR(INDEX(tbl_regras_dfr[Classe],MATCH(L80&amp;"|Decoração direta|"&amp;AH80,tbl_regras_dfr[Chave],0)),"Sem regra"))</f>
        <v>—</v>
      </c>
      <c r="AT80" s="31">
        <f t="shared" si="38"/>
        <v>6</v>
      </c>
      <c r="AU80" s="33" t="str">
        <f>IF(AT80=0,"",INDEX({"A","B","C","D","E","F"},AT80))</f>
        <v>F</v>
      </c>
      <c r="AV80" s="31">
        <f t="shared" si="39"/>
        <v>0</v>
      </c>
      <c r="AW80" s="33" t="str">
        <f t="shared" si="40"/>
        <v>Fluxo</v>
      </c>
      <c r="AX80" s="33" t="str">
        <f>IF(AU80="A","Sem ação — manter o design.",IFERROR(INDEX(tbl_regras_dfr[Recomendacao],MATCH(CHOOSE(MATCH(AU80,AJ80:AS80,0),L80&amp;"|Fluxo de reciclagem|"&amp;L80,L80&amp;"|Cor do corpo|"&amp;O80,L80&amp;"|Densidade do corpo|"&amp;IF(R80&lt;1,"&lt; 1,0 g/cm³","≥ 1,0 g/cm³"),L80&amp;"|Barreira / revestimento|"&amp;S80,L80&amp;"|Material da tampa|"&amp;X80,L80&amp;"|Vedante / liner|"&amp;Z80,L80&amp;"|Tipo de rótulo|"&amp;AA80,L80&amp;"|Adesivo do rótulo|"&amp;AB80,L80&amp;"|Cobertura do rótulo|"&amp;IF(AC80&gt;0.7,"&gt; 70% da superfície","≤ 70% da superfície"),L80&amp;"|Decoração direta|"&amp;AH80),tbl_regras_dfr[Chave],0)),""))</f>
        <v>Eliminar o PVC do portfólio (substituir por PET ou PP).</v>
      </c>
      <c r="AY80" s="38">
        <f t="shared" si="41"/>
        <v>54.879999999999995</v>
      </c>
      <c r="AZ80" s="36">
        <f>MIN(IFERROR(INDEX(tbl_regras_dfr[Fracao_Reciclavel],MATCH(L80&amp;"|Fluxo de reciclagem|"&amp;L80,tbl_regras_dfr[Chave],0)),0),IFERROR(INDEX(tbl_regras_dfr[Fracao_Reciclavel],MATCH(L80&amp;"|Cor do corpo|"&amp;O80,tbl_regras_dfr[Chave],0)),0))</f>
        <v>0</v>
      </c>
      <c r="BA80" s="36">
        <f>IFERROR(INDEX(tbl_regras_dfr[Fracao_Reciclavel],MATCH(L80&amp;"|Material da tampa|"&amp;X80,tbl_regras_dfr[Chave],0)),0)</f>
        <v>0</v>
      </c>
      <c r="BB80" s="36">
        <f>IFERROR(INDEX(tbl_regras_dfr[Fracao_Reciclavel],MATCH(L80&amp;"|Tipo de rótulo|"&amp;AA80,tbl_regras_dfr[Chave],0)),0)</f>
        <v>0</v>
      </c>
      <c r="BC80" s="38">
        <f t="shared" si="42"/>
        <v>0</v>
      </c>
      <c r="BD80" s="40">
        <f t="shared" si="43"/>
        <v>0</v>
      </c>
      <c r="BE80" s="33" t="str">
        <f>IF(BD80&gt;=INDEX(tbl_param_emb[Valor],MATCH("P-06",tbl_param_emb[ID_Parametro],0)),"A",IF(BD80&gt;=INDEX(tbl_param_emb[Valor],MATCH("P-07",tbl_param_emb[ID_Parametro],0)),"B",IF(BD80&gt;=INDEX(tbl_param_emb[Valor],MATCH("P-08",tbl_param_emb[ID_Parametro],0)),"C","&lt; 70%")))</f>
        <v>&lt; 70%</v>
      </c>
      <c r="BF80" s="33" t="str">
        <f>IF(AU80="F","Não reciclável (F)",INDEX({"A","B","C","Abaixo de C"},MAX(MIN(AT80,4),IF(BE80="A",1,IF(BE80="B",2,IF(BE80="C",3,4))))))</f>
        <v>Não reciclável (F)</v>
      </c>
      <c r="BG80" s="33" t="str">
        <f t="shared" si="44"/>
        <v>—</v>
      </c>
      <c r="BH80" s="33" t="str">
        <f t="shared" si="45"/>
        <v>Não</v>
      </c>
      <c r="BI80" s="33" t="str">
        <f t="shared" si="46"/>
        <v>Não</v>
      </c>
      <c r="BJ80" s="36">
        <f>IFERROR(INDEX(tbl_materiais[Pct_PCR],MATCH(J80,tbl_materiais[Material],0)),0)</f>
        <v>0</v>
      </c>
      <c r="BK80" s="36">
        <f>IF(V80="",0,IFERROR(INDEX(tbl_tampas[Pct_PCR],MATCH(V80,tbl_tampas[CapId],0)),0))</f>
        <v>0</v>
      </c>
      <c r="BL80" s="40">
        <f t="shared" si="47"/>
        <v>0</v>
      </c>
      <c r="BM80" s="33" t="str">
        <f t="shared" si="48"/>
        <v>Outras embalagens de plástico</v>
      </c>
      <c r="BN80" s="36">
        <f>IFERROR(IF(INDEX(tbl_metas_art7[Meta_2030],MATCH(BM80,tbl_metas_art7[Categoria_Art7],0))="","",INDEX(tbl_metas_art7[Meta_2030],MATCH(BM80,tbl_metas_art7[Categoria_Art7],0))),"")</f>
        <v>0.35</v>
      </c>
      <c r="BO80" s="40">
        <f t="shared" si="49"/>
        <v>0.35</v>
      </c>
      <c r="BP80" s="33" t="str">
        <f t="shared" si="50"/>
        <v>Não</v>
      </c>
      <c r="BQ80" s="33" t="str">
        <f t="shared" si="51"/>
        <v>Multimaterial</v>
      </c>
      <c r="BR80" s="37">
        <v>52733</v>
      </c>
      <c r="BS80" s="39">
        <v>6</v>
      </c>
      <c r="BT80" s="26" t="s">
        <v>788</v>
      </c>
      <c r="BU80" s="32">
        <f t="shared" si="52"/>
        <v>2135.6864999999998</v>
      </c>
      <c r="BV80" s="31">
        <f>COUNTIFS(tbl_aplicabilidade[ProductId],B80,tbl_aplicabilidade[Aplicavel],"Sim")</f>
        <v>12</v>
      </c>
      <c r="BW80" s="31">
        <f>COUNTIFS(tbl_aplicabilidade[ProductId],B80,tbl_aplicabilidade[Estado_Resumo],"Lacuna")+COUNTIFS(tbl_aplicabilidade[ProductId],B80,tbl_aplicabilidade[Estado_Resumo],"Não conforme")</f>
        <v>4</v>
      </c>
      <c r="BX80" s="41">
        <v>46287</v>
      </c>
      <c r="BY80" s="42">
        <f t="shared" si="53"/>
        <v>46652</v>
      </c>
      <c r="BZ80" s="26" t="s">
        <v>596</v>
      </c>
      <c r="CA80" s="26" t="s">
        <v>597</v>
      </c>
      <c r="CB80" s="26" t="s">
        <v>598</v>
      </c>
    </row>
    <row r="81" spans="1:80" ht="18" customHeight="1" x14ac:dyDescent="0.3">
      <c r="A81" s="26" t="s">
        <v>789</v>
      </c>
      <c r="B81" s="26" t="s">
        <v>790</v>
      </c>
      <c r="C81" s="26" t="s">
        <v>586</v>
      </c>
      <c r="D81" s="26" t="s">
        <v>587</v>
      </c>
      <c r="E81" s="26" t="s">
        <v>588</v>
      </c>
      <c r="F81" s="26" t="s">
        <v>589</v>
      </c>
      <c r="G81" s="26" t="s">
        <v>609</v>
      </c>
      <c r="H81" s="37">
        <v>750</v>
      </c>
      <c r="I81" s="37">
        <v>156</v>
      </c>
      <c r="J81" s="26" t="s">
        <v>253</v>
      </c>
      <c r="K81" s="33" t="str">
        <f>IFERROR(INDEX(tbl_materiais[Polimero_Base],MATCH(J81,tbl_materiais[Material],0)),"")</f>
        <v>PET</v>
      </c>
      <c r="L81" s="33" t="str">
        <f>IFERROR(INDEX(tbl_materiais[Fluxo_Reciclagem],MATCH(J81,tbl_materiais[Material],0)),"")</f>
        <v>PET frascos e garrafas</v>
      </c>
      <c r="M81" s="33" t="str">
        <f t="shared" si="36"/>
        <v>PET — garrafas/frascos transparentes incolores</v>
      </c>
      <c r="N81" s="26" t="s">
        <v>610</v>
      </c>
      <c r="O81" s="26" t="s">
        <v>279</v>
      </c>
      <c r="P81" s="26" t="s">
        <v>611</v>
      </c>
      <c r="Q81" s="29">
        <v>0</v>
      </c>
      <c r="R81" s="35">
        <f>IFERROR(ROUND(INDEX(tbl_materiais[Densidade_g_cm3],MATCH(J81,tbl_materiais[Material],0))+Q81*1.2,3),"")</f>
        <v>1.38</v>
      </c>
      <c r="S81" s="26" t="s">
        <v>302</v>
      </c>
      <c r="T81" s="34">
        <v>40.5</v>
      </c>
      <c r="U81" s="26" t="s">
        <v>593</v>
      </c>
      <c r="V81" s="26" t="s">
        <v>473</v>
      </c>
      <c r="W81" s="33" t="str">
        <f>IF(V81="","",IFERROR(INDEX(tbl_tampas[Material],MATCH(V81,tbl_tampas[CapId],0)),""))</f>
        <v>PP</v>
      </c>
      <c r="X81" s="33" t="str">
        <f>IF(V81="","Sem tampa",IFERROR(INDEX(tbl_materiais[Polimero_Base],MATCH(W81,tbl_materiais[Material],0)),""))</f>
        <v>PP</v>
      </c>
      <c r="Y81" s="38">
        <f>IF(V81="",0,IFERROR(INDEX(tbl_tampas[Massa_g],MATCH(V81,tbl_tampas[CapId],0)),0))</f>
        <v>19.3</v>
      </c>
      <c r="Z81" s="26" t="s">
        <v>319</v>
      </c>
      <c r="AA81" s="26" t="s">
        <v>326</v>
      </c>
      <c r="AB81" s="26" t="s">
        <v>340</v>
      </c>
      <c r="AC81" s="29">
        <v>0</v>
      </c>
      <c r="AD81" s="27">
        <v>0</v>
      </c>
      <c r="AE81" s="26" t="s">
        <v>594</v>
      </c>
      <c r="AF81" s="26" t="s">
        <v>595</v>
      </c>
      <c r="AG81" s="39">
        <v>1</v>
      </c>
      <c r="AH81" s="33" t="str">
        <f t="shared" si="37"/>
        <v>Serigrafia 1–2 cores</v>
      </c>
      <c r="AI81" s="27">
        <v>0.08</v>
      </c>
      <c r="AJ81" s="33" t="str">
        <f>IFERROR(INDEX(tbl_regras_dfr[Classe],MATCH(L81&amp;"|Fluxo de reciclagem|"&amp;L81,tbl_regras_dfr[Chave],0)),"Sem regra")</f>
        <v>A</v>
      </c>
      <c r="AK81" s="33" t="str">
        <f>IF(LEFT(L81,9)="Sem fluxo","—",IFERROR(INDEX(tbl_regras_dfr[Classe],MATCH(L81&amp;"|Cor do corpo|"&amp;O81,tbl_regras_dfr[Chave],0)),"Sem regra"))</f>
        <v>A</v>
      </c>
      <c r="AL81" s="33" t="str">
        <f>IF(LEFT(L81,9)="Sem fluxo","—",IFERROR(INDEX(tbl_regras_dfr[Classe],MATCH(L81&amp;"|Densidade do corpo|"&amp;IF(R81&lt;1,"&lt; 1,0 g/cm³","≥ 1,0 g/cm³"),tbl_regras_dfr[Chave],0)),"Sem regra"))</f>
        <v>A</v>
      </c>
      <c r="AM81" s="33" t="str">
        <f>IF(LEFT(L81,9)="Sem fluxo","—",IFERROR(INDEX(tbl_regras_dfr[Classe],MATCH(L81&amp;"|Barreira / revestimento|"&amp;S81,tbl_regras_dfr[Chave],0)),"Sem regra"))</f>
        <v>A</v>
      </c>
      <c r="AN81" s="33" t="str">
        <f>IF(LEFT(L81,9)="Sem fluxo","—",IFERROR(INDEX(tbl_regras_dfr[Classe],MATCH(L81&amp;"|Material da tampa|"&amp;X81,tbl_regras_dfr[Chave],0)),"Sem regra"))</f>
        <v>A</v>
      </c>
      <c r="AO81" s="33" t="str">
        <f>IF(LEFT(L81,9)="Sem fluxo","—",IFERROR(INDEX(tbl_regras_dfr[Classe],MATCH(L81&amp;"|Vedante / liner|"&amp;Z81,tbl_regras_dfr[Chave],0)),"Sem regra"))</f>
        <v>A</v>
      </c>
      <c r="AP81" s="33" t="str">
        <f>IF(LEFT(L81,9)="Sem fluxo","—",IFERROR(INDEX(tbl_regras_dfr[Classe],MATCH(L81&amp;"|Tipo de rótulo|"&amp;AA81,tbl_regras_dfr[Chave],0)),"Sem regra"))</f>
        <v>A</v>
      </c>
      <c r="AQ81" s="33" t="str">
        <f>IF(LEFT(L81,9)="Sem fluxo","—",IFERROR(INDEX(tbl_regras_dfr[Classe],MATCH(L81&amp;"|Adesivo do rótulo|"&amp;AB81,tbl_regras_dfr[Chave],0)),"Sem regra"))</f>
        <v>A</v>
      </c>
      <c r="AR81" s="33" t="str">
        <f>IF(LEFT(L81,9)="Sem fluxo","—",IFERROR(INDEX(tbl_regras_dfr[Classe],MATCH(L81&amp;"|Cobertura do rótulo|"&amp;IF(AC81&gt;0.7,"&gt; 70% da superfície","≤ 70% da superfície"),tbl_regras_dfr[Chave],0)),"Sem regra"))</f>
        <v>A</v>
      </c>
      <c r="AS81" s="33" t="str">
        <f>IF(LEFT(L81,9)="Sem fluxo","—",IFERROR(INDEX(tbl_regras_dfr[Classe],MATCH(L81&amp;"|Decoração direta|"&amp;AH81,tbl_regras_dfr[Chave],0)),"Sem regra"))</f>
        <v>D</v>
      </c>
      <c r="AT81" s="31">
        <f t="shared" si="38"/>
        <v>4</v>
      </c>
      <c r="AU81" s="33" t="str">
        <f>IF(AT81=0,"",INDEX({"A","B","C","D","E","F"},AT81))</f>
        <v>D</v>
      </c>
      <c r="AV81" s="31">
        <f t="shared" si="39"/>
        <v>0</v>
      </c>
      <c r="AW81" s="33" t="str">
        <f t="shared" si="40"/>
        <v>Decoracao</v>
      </c>
      <c r="AX81" s="33" t="str">
        <f>IF(AU81="A","Sem ação — manter o design.",IFERROR(INDEX(tbl_regras_dfr[Recomendacao],MATCH(CHOOSE(MATCH(AU81,AJ81:AS81,0),L81&amp;"|Fluxo de reciclagem|"&amp;L81,L81&amp;"|Cor do corpo|"&amp;O81,L81&amp;"|Densidade do corpo|"&amp;IF(R81&lt;1,"&lt; 1,0 g/cm³","≥ 1,0 g/cm³"),L81&amp;"|Barreira / revestimento|"&amp;S81,L81&amp;"|Material da tampa|"&amp;X81,L81&amp;"|Vedante / liner|"&amp;Z81,L81&amp;"|Tipo de rótulo|"&amp;AA81,L81&amp;"|Adesivo do rótulo|"&amp;AB81,L81&amp;"|Cobertura do rótulo|"&amp;IF(AC81&gt;0.7,"&gt; 70% da superfície","≤ 70% da superfície"),L81&amp;"|Decoração direta|"&amp;AH81),tbl_regras_dfr[Chave],0)),""))</f>
        <v>Rótulo de PE/PP ou tinta destintável em lavagem alcalina (validar).</v>
      </c>
      <c r="AY81" s="38">
        <f t="shared" si="41"/>
        <v>59.879999999999995</v>
      </c>
      <c r="AZ81" s="36">
        <f>MIN(IFERROR(INDEX(tbl_regras_dfr[Fracao_Reciclavel],MATCH(L81&amp;"|Fluxo de reciclagem|"&amp;L81,tbl_regras_dfr[Chave],0)),0),IFERROR(INDEX(tbl_regras_dfr[Fracao_Reciclavel],MATCH(L81&amp;"|Cor do corpo|"&amp;O81,tbl_regras_dfr[Chave],0)),0))</f>
        <v>1</v>
      </c>
      <c r="BA81" s="36">
        <f>IFERROR(INDEX(tbl_regras_dfr[Fracao_Reciclavel],MATCH(L81&amp;"|Material da tampa|"&amp;X81,tbl_regras_dfr[Chave],0)),0)</f>
        <v>1</v>
      </c>
      <c r="BB81" s="36">
        <f>IFERROR(INDEX(tbl_regras_dfr[Fracao_Reciclavel],MATCH(L81&amp;"|Tipo de rótulo|"&amp;AA81,tbl_regras_dfr[Chave],0)),0)</f>
        <v>1</v>
      </c>
      <c r="BC81" s="38">
        <f t="shared" si="42"/>
        <v>59.8</v>
      </c>
      <c r="BD81" s="40">
        <f t="shared" si="43"/>
        <v>0.99866399465597866</v>
      </c>
      <c r="BE81" s="33" t="str">
        <f>IF(BD81&gt;=INDEX(tbl_param_emb[Valor],MATCH("P-06",tbl_param_emb[ID_Parametro],0)),"A",IF(BD81&gt;=INDEX(tbl_param_emb[Valor],MATCH("P-07",tbl_param_emb[ID_Parametro],0)),"B",IF(BD81&gt;=INDEX(tbl_param_emb[Valor],MATCH("P-08",tbl_param_emb[ID_Parametro],0)),"C","&lt; 70%")))</f>
        <v>A</v>
      </c>
      <c r="BF81" s="33" t="str">
        <f>IF(AU81="F","Não reciclável (F)",INDEX({"A","B","C","Abaixo de C"},MAX(MIN(AT81,4),IF(BE81="A",1,IF(BE81="B",2,IF(BE81="C",3,4))))))</f>
        <v>Abaixo de C</v>
      </c>
      <c r="BG81" s="33" t="str">
        <f t="shared" si="44"/>
        <v>—</v>
      </c>
      <c r="BH81" s="33" t="str">
        <f t="shared" si="45"/>
        <v>Não</v>
      </c>
      <c r="BI81" s="33" t="str">
        <f t="shared" si="46"/>
        <v>Não</v>
      </c>
      <c r="BJ81" s="36">
        <f>IFERROR(INDEX(tbl_materiais[Pct_PCR],MATCH(J81,tbl_materiais[Material],0)),0)</f>
        <v>0.5</v>
      </c>
      <c r="BK81" s="36">
        <f>IF(V81="",0,IFERROR(INDEX(tbl_tampas[Pct_PCR],MATCH(V81,tbl_tampas[CapId],0)),0))</f>
        <v>0</v>
      </c>
      <c r="BL81" s="40">
        <f t="shared" si="47"/>
        <v>0.33862876254180602</v>
      </c>
      <c r="BM81" s="33" t="str">
        <f t="shared" si="48"/>
        <v>Outras embalagens de plástico</v>
      </c>
      <c r="BN81" s="36">
        <f>IFERROR(IF(INDEX(tbl_metas_art7[Meta_2030],MATCH(BM81,tbl_metas_art7[Categoria_Art7],0))="","",INDEX(tbl_metas_art7[Meta_2030],MATCH(BM81,tbl_metas_art7[Categoria_Art7],0))),"")</f>
        <v>0.35</v>
      </c>
      <c r="BO81" s="40">
        <f t="shared" si="49"/>
        <v>1.1371237458193961E-2</v>
      </c>
      <c r="BP81" s="33" t="str">
        <f t="shared" si="50"/>
        <v>Não</v>
      </c>
      <c r="BQ81" s="33" t="str">
        <f t="shared" si="51"/>
        <v>Multimaterial</v>
      </c>
      <c r="BR81" s="37">
        <v>81369</v>
      </c>
      <c r="BS81" s="39">
        <v>11</v>
      </c>
      <c r="BT81" s="26" t="s">
        <v>664</v>
      </c>
      <c r="BU81" s="32">
        <f t="shared" si="52"/>
        <v>3295.4445000000001</v>
      </c>
      <c r="BV81" s="31">
        <f>COUNTIFS(tbl_aplicabilidade[ProductId],B81,tbl_aplicabilidade[Aplicavel],"Sim")</f>
        <v>12</v>
      </c>
      <c r="BW81" s="31">
        <f>COUNTIFS(tbl_aplicabilidade[ProductId],B81,tbl_aplicabilidade[Estado_Resumo],"Lacuna")+COUNTIFS(tbl_aplicabilidade[ProductId],B81,tbl_aplicabilidade[Estado_Resumo],"Não conforme")</f>
        <v>3</v>
      </c>
      <c r="BX81" s="41">
        <v>46287</v>
      </c>
      <c r="BY81" s="42">
        <f t="shared" si="53"/>
        <v>46652</v>
      </c>
      <c r="BZ81" s="26" t="s">
        <v>596</v>
      </c>
      <c r="CA81" s="26" t="s">
        <v>597</v>
      </c>
      <c r="CB81" s="26" t="s">
        <v>598</v>
      </c>
    </row>
    <row r="82" spans="1:80" ht="18" customHeight="1" x14ac:dyDescent="0.3">
      <c r="A82" s="26" t="s">
        <v>791</v>
      </c>
      <c r="B82" s="26" t="s">
        <v>792</v>
      </c>
      <c r="C82" s="26" t="s">
        <v>586</v>
      </c>
      <c r="D82" s="26" t="s">
        <v>587</v>
      </c>
      <c r="E82" s="26" t="s">
        <v>588</v>
      </c>
      <c r="F82" s="26" t="s">
        <v>589</v>
      </c>
      <c r="G82" s="26" t="s">
        <v>609</v>
      </c>
      <c r="H82" s="37">
        <v>750</v>
      </c>
      <c r="I82" s="37">
        <v>156</v>
      </c>
      <c r="J82" s="26" t="s">
        <v>253</v>
      </c>
      <c r="K82" s="33" t="str">
        <f>IFERROR(INDEX(tbl_materiais[Polimero_Base],MATCH(J82,tbl_materiais[Material],0)),"")</f>
        <v>PET</v>
      </c>
      <c r="L82" s="33" t="str">
        <f>IFERROR(INDEX(tbl_materiais[Fluxo_Reciclagem],MATCH(J82,tbl_materiais[Material],0)),"")</f>
        <v>PET frascos e garrafas</v>
      </c>
      <c r="M82" s="33" t="str">
        <f t="shared" si="36"/>
        <v>PET — garrafas/frascos transparentes incolores</v>
      </c>
      <c r="N82" s="26" t="s">
        <v>610</v>
      </c>
      <c r="O82" s="26" t="s">
        <v>279</v>
      </c>
      <c r="P82" s="26" t="s">
        <v>611</v>
      </c>
      <c r="Q82" s="29">
        <v>0</v>
      </c>
      <c r="R82" s="35">
        <f>IFERROR(ROUND(INDEX(tbl_materiais[Densidade_g_cm3],MATCH(J82,tbl_materiais[Material],0))+Q82*1.2,3),"")</f>
        <v>1.38</v>
      </c>
      <c r="S82" s="26" t="s">
        <v>302</v>
      </c>
      <c r="T82" s="34">
        <v>40.5</v>
      </c>
      <c r="U82" s="26" t="s">
        <v>593</v>
      </c>
      <c r="V82" s="26" t="s">
        <v>452</v>
      </c>
      <c r="W82" s="33" t="str">
        <f>IF(V82="","",IFERROR(INDEX(tbl_tampas[Material],MATCH(V82,tbl_tampas[CapId],0)),""))</f>
        <v>PP</v>
      </c>
      <c r="X82" s="33" t="str">
        <f>IF(V82="","Sem tampa",IFERROR(INDEX(tbl_materiais[Polimero_Base],MATCH(W82,tbl_materiais[Material],0)),""))</f>
        <v>PP</v>
      </c>
      <c r="Y82" s="38">
        <f>IF(V82="",0,IFERROR(INDEX(tbl_tampas[Massa_g],MATCH(V82,tbl_tampas[CapId],0)),0))</f>
        <v>14.3</v>
      </c>
      <c r="Z82" s="26" t="s">
        <v>319</v>
      </c>
      <c r="AA82" s="26" t="s">
        <v>327</v>
      </c>
      <c r="AB82" s="26" t="s">
        <v>343</v>
      </c>
      <c r="AC82" s="29">
        <v>0.4</v>
      </c>
      <c r="AD82" s="27">
        <v>0.84</v>
      </c>
      <c r="AE82" s="26" t="s">
        <v>604</v>
      </c>
      <c r="AF82" s="26" t="s">
        <v>302</v>
      </c>
      <c r="AG82" s="39">
        <v>0</v>
      </c>
      <c r="AH82" s="33" t="str">
        <f t="shared" si="37"/>
        <v>Nenhuma</v>
      </c>
      <c r="AI82" s="27">
        <v>0</v>
      </c>
      <c r="AJ82" s="33" t="str">
        <f>IFERROR(INDEX(tbl_regras_dfr[Classe],MATCH(L82&amp;"|Fluxo de reciclagem|"&amp;L82,tbl_regras_dfr[Chave],0)),"Sem regra")</f>
        <v>A</v>
      </c>
      <c r="AK82" s="33" t="str">
        <f>IF(LEFT(L82,9)="Sem fluxo","—",IFERROR(INDEX(tbl_regras_dfr[Classe],MATCH(L82&amp;"|Cor do corpo|"&amp;O82,tbl_regras_dfr[Chave],0)),"Sem regra"))</f>
        <v>A</v>
      </c>
      <c r="AL82" s="33" t="str">
        <f>IF(LEFT(L82,9)="Sem fluxo","—",IFERROR(INDEX(tbl_regras_dfr[Classe],MATCH(L82&amp;"|Densidade do corpo|"&amp;IF(R82&lt;1,"&lt; 1,0 g/cm³","≥ 1,0 g/cm³"),tbl_regras_dfr[Chave],0)),"Sem regra"))</f>
        <v>A</v>
      </c>
      <c r="AM82" s="33" t="str">
        <f>IF(LEFT(L82,9)="Sem fluxo","—",IFERROR(INDEX(tbl_regras_dfr[Classe],MATCH(L82&amp;"|Barreira / revestimento|"&amp;S82,tbl_regras_dfr[Chave],0)),"Sem regra"))</f>
        <v>A</v>
      </c>
      <c r="AN82" s="33" t="str">
        <f>IF(LEFT(L82,9)="Sem fluxo","—",IFERROR(INDEX(tbl_regras_dfr[Classe],MATCH(L82&amp;"|Material da tampa|"&amp;X82,tbl_regras_dfr[Chave],0)),"Sem regra"))</f>
        <v>A</v>
      </c>
      <c r="AO82" s="33" t="str">
        <f>IF(LEFT(L82,9)="Sem fluxo","—",IFERROR(INDEX(tbl_regras_dfr[Classe],MATCH(L82&amp;"|Vedante / liner|"&amp;Z82,tbl_regras_dfr[Chave],0)),"Sem regra"))</f>
        <v>A</v>
      </c>
      <c r="AP82" s="33" t="str">
        <f>IF(LEFT(L82,9)="Sem fluxo","—",IFERROR(INDEX(tbl_regras_dfr[Classe],MATCH(L82&amp;"|Tipo de rótulo|"&amp;AA82,tbl_regras_dfr[Chave],0)),"Sem regra"))</f>
        <v>A</v>
      </c>
      <c r="AQ82" s="33" t="str">
        <f>IF(LEFT(L82,9)="Sem fluxo","—",IFERROR(INDEX(tbl_regras_dfr[Classe],MATCH(L82&amp;"|Adesivo do rótulo|"&amp;AB82,tbl_regras_dfr[Chave],0)),"Sem regra"))</f>
        <v>A</v>
      </c>
      <c r="AR82" s="33" t="str">
        <f>IF(LEFT(L82,9)="Sem fluxo","—",IFERROR(INDEX(tbl_regras_dfr[Classe],MATCH(L82&amp;"|Cobertura do rótulo|"&amp;IF(AC82&gt;0.7,"&gt; 70% da superfície","≤ 70% da superfície"),tbl_regras_dfr[Chave],0)),"Sem regra"))</f>
        <v>A</v>
      </c>
      <c r="AS82" s="33" t="str">
        <f>IF(LEFT(L82,9)="Sem fluxo","—",IFERROR(INDEX(tbl_regras_dfr[Classe],MATCH(L82&amp;"|Decoração direta|"&amp;AH82,tbl_regras_dfr[Chave],0)),"Sem regra"))</f>
        <v>A</v>
      </c>
      <c r="AT82" s="31">
        <f t="shared" si="38"/>
        <v>1</v>
      </c>
      <c r="AU82" s="33" t="str">
        <f>IF(AT82=0,"",INDEX({"A","B","C","D","E","F"},AT82))</f>
        <v>A</v>
      </c>
      <c r="AV82" s="31">
        <f t="shared" si="39"/>
        <v>0</v>
      </c>
      <c r="AW82" s="33" t="str">
        <f t="shared" si="40"/>
        <v>—</v>
      </c>
      <c r="AX82" s="33" t="str">
        <f>IF(AU82="A","Sem ação — manter o design.",IFERROR(INDEX(tbl_regras_dfr[Recomendacao],MATCH(CHOOSE(MATCH(AU82,AJ82:AS82,0),L82&amp;"|Fluxo de reciclagem|"&amp;L82,L82&amp;"|Cor do corpo|"&amp;O82,L82&amp;"|Densidade do corpo|"&amp;IF(R82&lt;1,"&lt; 1,0 g/cm³","≥ 1,0 g/cm³"),L82&amp;"|Barreira / revestimento|"&amp;S82,L82&amp;"|Material da tampa|"&amp;X82,L82&amp;"|Vedante / liner|"&amp;Z82,L82&amp;"|Tipo de rótulo|"&amp;AA82,L82&amp;"|Adesivo do rótulo|"&amp;AB82,L82&amp;"|Cobertura do rótulo|"&amp;IF(AC82&gt;0.7,"&gt; 70% da superfície","≤ 70% da superfície"),L82&amp;"|Decoração direta|"&amp;AH82),tbl_regras_dfr[Chave],0)),""))</f>
        <v>Sem ação — manter o design.</v>
      </c>
      <c r="AY82" s="38">
        <f t="shared" si="41"/>
        <v>55.64</v>
      </c>
      <c r="AZ82" s="36">
        <f>MIN(IFERROR(INDEX(tbl_regras_dfr[Fracao_Reciclavel],MATCH(L82&amp;"|Fluxo de reciclagem|"&amp;L82,tbl_regras_dfr[Chave],0)),0),IFERROR(INDEX(tbl_regras_dfr[Fracao_Reciclavel],MATCH(L82&amp;"|Cor do corpo|"&amp;O82,tbl_regras_dfr[Chave],0)),0))</f>
        <v>1</v>
      </c>
      <c r="BA82" s="36">
        <f>IFERROR(INDEX(tbl_regras_dfr[Fracao_Reciclavel],MATCH(L82&amp;"|Material da tampa|"&amp;X82,tbl_regras_dfr[Chave],0)),0)</f>
        <v>1</v>
      </c>
      <c r="BB82" s="36">
        <f>IFERROR(INDEX(tbl_regras_dfr[Fracao_Reciclavel],MATCH(L82&amp;"|Tipo de rótulo|"&amp;AA82,tbl_regras_dfr[Chave],0)),0)</f>
        <v>1</v>
      </c>
      <c r="BC82" s="38">
        <f t="shared" si="42"/>
        <v>55.64</v>
      </c>
      <c r="BD82" s="40">
        <f t="shared" si="43"/>
        <v>1</v>
      </c>
      <c r="BE82" s="33" t="str">
        <f>IF(BD82&gt;=INDEX(tbl_param_emb[Valor],MATCH("P-06",tbl_param_emb[ID_Parametro],0)),"A",IF(BD82&gt;=INDEX(tbl_param_emb[Valor],MATCH("P-07",tbl_param_emb[ID_Parametro],0)),"B",IF(BD82&gt;=INDEX(tbl_param_emb[Valor],MATCH("P-08",tbl_param_emb[ID_Parametro],0)),"C","&lt; 70%")))</f>
        <v>A</v>
      </c>
      <c r="BF82" s="33" t="str">
        <f>IF(AU82="F","Não reciclável (F)",INDEX({"A","B","C","Abaixo de C"},MAX(MIN(AT82,4),IF(BE82="A",1,IF(BE82="B",2,IF(BE82="C",3,4))))))</f>
        <v>A</v>
      </c>
      <c r="BG82" s="33" t="str">
        <f t="shared" si="44"/>
        <v>—</v>
      </c>
      <c r="BH82" s="33" t="str">
        <f t="shared" si="45"/>
        <v>Sim</v>
      </c>
      <c r="BI82" s="33" t="str">
        <f t="shared" si="46"/>
        <v>Sim</v>
      </c>
      <c r="BJ82" s="36">
        <f>IFERROR(INDEX(tbl_materiais[Pct_PCR],MATCH(J82,tbl_materiais[Material],0)),0)</f>
        <v>0.5</v>
      </c>
      <c r="BK82" s="36">
        <f>IF(V82="",0,IFERROR(INDEX(tbl_tampas[Pct_PCR],MATCH(V82,tbl_tampas[CapId],0)),0))</f>
        <v>0</v>
      </c>
      <c r="BL82" s="40">
        <f t="shared" si="47"/>
        <v>0.36952554744525551</v>
      </c>
      <c r="BM82" s="33" t="str">
        <f t="shared" si="48"/>
        <v>Outras embalagens de plástico</v>
      </c>
      <c r="BN82" s="36">
        <f>IFERROR(IF(INDEX(tbl_metas_art7[Meta_2030],MATCH(BM82,tbl_metas_art7[Categoria_Art7],0))="","",INDEX(tbl_metas_art7[Meta_2030],MATCH(BM82,tbl_metas_art7[Categoria_Art7],0))),"")</f>
        <v>0.35</v>
      </c>
      <c r="BO82" s="40">
        <f t="shared" si="49"/>
        <v>0</v>
      </c>
      <c r="BP82" s="33" t="str">
        <f t="shared" si="50"/>
        <v>Sim</v>
      </c>
      <c r="BQ82" s="33" t="str">
        <f t="shared" si="51"/>
        <v>Multimaterial</v>
      </c>
      <c r="BR82" s="37">
        <v>75758</v>
      </c>
      <c r="BS82" s="39">
        <v>9</v>
      </c>
      <c r="BT82" s="26" t="s">
        <v>793</v>
      </c>
      <c r="BU82" s="32">
        <f t="shared" si="52"/>
        <v>3068.1990000000001</v>
      </c>
      <c r="BV82" s="31">
        <f>COUNTIFS(tbl_aplicabilidade[ProductId],B82,tbl_aplicabilidade[Aplicavel],"Sim")</f>
        <v>12</v>
      </c>
      <c r="BW82" s="31">
        <f>COUNTIFS(tbl_aplicabilidade[ProductId],B82,tbl_aplicabilidade[Estado_Resumo],"Lacuna")+COUNTIFS(tbl_aplicabilidade[ProductId],B82,tbl_aplicabilidade[Estado_Resumo],"Não conforme")</f>
        <v>1</v>
      </c>
      <c r="BX82" s="41">
        <v>46287</v>
      </c>
      <c r="BY82" s="42">
        <f t="shared" si="53"/>
        <v>46652</v>
      </c>
      <c r="BZ82" s="26" t="s">
        <v>596</v>
      </c>
      <c r="CA82" s="26" t="s">
        <v>597</v>
      </c>
      <c r="CB82" s="26" t="s">
        <v>598</v>
      </c>
    </row>
    <row r="83" spans="1:80" ht="18" customHeight="1" x14ac:dyDescent="0.3">
      <c r="A83" s="26" t="s">
        <v>794</v>
      </c>
      <c r="B83" s="26" t="s">
        <v>795</v>
      </c>
      <c r="C83" s="26" t="s">
        <v>586</v>
      </c>
      <c r="D83" s="26" t="s">
        <v>587</v>
      </c>
      <c r="E83" s="26" t="s">
        <v>588</v>
      </c>
      <c r="F83" s="26" t="s">
        <v>589</v>
      </c>
      <c r="G83" s="26" t="s">
        <v>609</v>
      </c>
      <c r="H83" s="37">
        <v>750</v>
      </c>
      <c r="I83" s="37">
        <v>156</v>
      </c>
      <c r="J83" s="26" t="s">
        <v>253</v>
      </c>
      <c r="K83" s="33" t="str">
        <f>IFERROR(INDEX(tbl_materiais[Polimero_Base],MATCH(J83,tbl_materiais[Material],0)),"")</f>
        <v>PET</v>
      </c>
      <c r="L83" s="33" t="str">
        <f>IFERROR(INDEX(tbl_materiais[Fluxo_Reciclagem],MATCH(J83,tbl_materiais[Material],0)),"")</f>
        <v>PET frascos e garrafas</v>
      </c>
      <c r="M83" s="33" t="str">
        <f t="shared" si="36"/>
        <v>PET — garrafas/frascos transparentes incolores</v>
      </c>
      <c r="N83" s="26" t="s">
        <v>610</v>
      </c>
      <c r="O83" s="26" t="s">
        <v>279</v>
      </c>
      <c r="P83" s="26" t="s">
        <v>611</v>
      </c>
      <c r="Q83" s="29">
        <v>0</v>
      </c>
      <c r="R83" s="35">
        <f>IFERROR(ROUND(INDEX(tbl_materiais[Densidade_g_cm3],MATCH(J83,tbl_materiais[Material],0))+Q83*1.2,3),"")</f>
        <v>1.38</v>
      </c>
      <c r="S83" s="26" t="s">
        <v>302</v>
      </c>
      <c r="T83" s="34">
        <v>40.5</v>
      </c>
      <c r="U83" s="26" t="s">
        <v>593</v>
      </c>
      <c r="V83" s="26" t="s">
        <v>452</v>
      </c>
      <c r="W83" s="33" t="str">
        <f>IF(V83="","",IFERROR(INDEX(tbl_tampas[Material],MATCH(V83,tbl_tampas[CapId],0)),""))</f>
        <v>PP</v>
      </c>
      <c r="X83" s="33" t="str">
        <f>IF(V83="","Sem tampa",IFERROR(INDEX(tbl_materiais[Polimero_Base],MATCH(W83,tbl_materiais[Material],0)),""))</f>
        <v>PP</v>
      </c>
      <c r="Y83" s="38">
        <f>IF(V83="",0,IFERROR(INDEX(tbl_tampas[Massa_g],MATCH(V83,tbl_tampas[CapId],0)),0))</f>
        <v>14.3</v>
      </c>
      <c r="Z83" s="26" t="s">
        <v>319</v>
      </c>
      <c r="AA83" s="26" t="s">
        <v>326</v>
      </c>
      <c r="AB83" s="26" t="s">
        <v>340</v>
      </c>
      <c r="AC83" s="29">
        <v>0</v>
      </c>
      <c r="AD83" s="27">
        <v>0</v>
      </c>
      <c r="AE83" s="26" t="s">
        <v>594</v>
      </c>
      <c r="AF83" s="26" t="s">
        <v>595</v>
      </c>
      <c r="AG83" s="39">
        <v>1</v>
      </c>
      <c r="AH83" s="33" t="str">
        <f t="shared" si="37"/>
        <v>Serigrafia 1–2 cores</v>
      </c>
      <c r="AI83" s="27">
        <v>0.08</v>
      </c>
      <c r="AJ83" s="33" t="str">
        <f>IFERROR(INDEX(tbl_regras_dfr[Classe],MATCH(L83&amp;"|Fluxo de reciclagem|"&amp;L83,tbl_regras_dfr[Chave],0)),"Sem regra")</f>
        <v>A</v>
      </c>
      <c r="AK83" s="33" t="str">
        <f>IF(LEFT(L83,9)="Sem fluxo","—",IFERROR(INDEX(tbl_regras_dfr[Classe],MATCH(L83&amp;"|Cor do corpo|"&amp;O83,tbl_regras_dfr[Chave],0)),"Sem regra"))</f>
        <v>A</v>
      </c>
      <c r="AL83" s="33" t="str">
        <f>IF(LEFT(L83,9)="Sem fluxo","—",IFERROR(INDEX(tbl_regras_dfr[Classe],MATCH(L83&amp;"|Densidade do corpo|"&amp;IF(R83&lt;1,"&lt; 1,0 g/cm³","≥ 1,0 g/cm³"),tbl_regras_dfr[Chave],0)),"Sem regra"))</f>
        <v>A</v>
      </c>
      <c r="AM83" s="33" t="str">
        <f>IF(LEFT(L83,9)="Sem fluxo","—",IFERROR(INDEX(tbl_regras_dfr[Classe],MATCH(L83&amp;"|Barreira / revestimento|"&amp;S83,tbl_regras_dfr[Chave],0)),"Sem regra"))</f>
        <v>A</v>
      </c>
      <c r="AN83" s="33" t="str">
        <f>IF(LEFT(L83,9)="Sem fluxo","—",IFERROR(INDEX(tbl_regras_dfr[Classe],MATCH(L83&amp;"|Material da tampa|"&amp;X83,tbl_regras_dfr[Chave],0)),"Sem regra"))</f>
        <v>A</v>
      </c>
      <c r="AO83" s="33" t="str">
        <f>IF(LEFT(L83,9)="Sem fluxo","—",IFERROR(INDEX(tbl_regras_dfr[Classe],MATCH(L83&amp;"|Vedante / liner|"&amp;Z83,tbl_regras_dfr[Chave],0)),"Sem regra"))</f>
        <v>A</v>
      </c>
      <c r="AP83" s="33" t="str">
        <f>IF(LEFT(L83,9)="Sem fluxo","—",IFERROR(INDEX(tbl_regras_dfr[Classe],MATCH(L83&amp;"|Tipo de rótulo|"&amp;AA83,tbl_regras_dfr[Chave],0)),"Sem regra"))</f>
        <v>A</v>
      </c>
      <c r="AQ83" s="33" t="str">
        <f>IF(LEFT(L83,9)="Sem fluxo","—",IFERROR(INDEX(tbl_regras_dfr[Classe],MATCH(L83&amp;"|Adesivo do rótulo|"&amp;AB83,tbl_regras_dfr[Chave],0)),"Sem regra"))</f>
        <v>A</v>
      </c>
      <c r="AR83" s="33" t="str">
        <f>IF(LEFT(L83,9)="Sem fluxo","—",IFERROR(INDEX(tbl_regras_dfr[Classe],MATCH(L83&amp;"|Cobertura do rótulo|"&amp;IF(AC83&gt;0.7,"&gt; 70% da superfície","≤ 70% da superfície"),tbl_regras_dfr[Chave],0)),"Sem regra"))</f>
        <v>A</v>
      </c>
      <c r="AS83" s="33" t="str">
        <f>IF(LEFT(L83,9)="Sem fluxo","—",IFERROR(INDEX(tbl_regras_dfr[Classe],MATCH(L83&amp;"|Decoração direta|"&amp;AH83,tbl_regras_dfr[Chave],0)),"Sem regra"))</f>
        <v>D</v>
      </c>
      <c r="AT83" s="31">
        <f t="shared" si="38"/>
        <v>4</v>
      </c>
      <c r="AU83" s="33" t="str">
        <f>IF(AT83=0,"",INDEX({"A","B","C","D","E","F"},AT83))</f>
        <v>D</v>
      </c>
      <c r="AV83" s="31">
        <f t="shared" si="39"/>
        <v>0</v>
      </c>
      <c r="AW83" s="33" t="str">
        <f t="shared" si="40"/>
        <v>Decoracao</v>
      </c>
      <c r="AX83" s="33" t="str">
        <f>IF(AU83="A","Sem ação — manter o design.",IFERROR(INDEX(tbl_regras_dfr[Recomendacao],MATCH(CHOOSE(MATCH(AU83,AJ83:AS83,0),L83&amp;"|Fluxo de reciclagem|"&amp;L83,L83&amp;"|Cor do corpo|"&amp;O83,L83&amp;"|Densidade do corpo|"&amp;IF(R83&lt;1,"&lt; 1,0 g/cm³","≥ 1,0 g/cm³"),L83&amp;"|Barreira / revestimento|"&amp;S83,L83&amp;"|Material da tampa|"&amp;X83,L83&amp;"|Vedante / liner|"&amp;Z83,L83&amp;"|Tipo de rótulo|"&amp;AA83,L83&amp;"|Adesivo do rótulo|"&amp;AB83,L83&amp;"|Cobertura do rótulo|"&amp;IF(AC83&gt;0.7,"&gt; 70% da superfície","≤ 70% da superfície"),L83&amp;"|Decoração direta|"&amp;AH83),tbl_regras_dfr[Chave],0)),""))</f>
        <v>Rótulo de PE/PP ou tinta destintável em lavagem alcalina (validar).</v>
      </c>
      <c r="AY83" s="38">
        <f t="shared" si="41"/>
        <v>54.879999999999995</v>
      </c>
      <c r="AZ83" s="36">
        <f>MIN(IFERROR(INDEX(tbl_regras_dfr[Fracao_Reciclavel],MATCH(L83&amp;"|Fluxo de reciclagem|"&amp;L83,tbl_regras_dfr[Chave],0)),0),IFERROR(INDEX(tbl_regras_dfr[Fracao_Reciclavel],MATCH(L83&amp;"|Cor do corpo|"&amp;O83,tbl_regras_dfr[Chave],0)),0))</f>
        <v>1</v>
      </c>
      <c r="BA83" s="36">
        <f>IFERROR(INDEX(tbl_regras_dfr[Fracao_Reciclavel],MATCH(L83&amp;"|Material da tampa|"&amp;X83,tbl_regras_dfr[Chave],0)),0)</f>
        <v>1</v>
      </c>
      <c r="BB83" s="36">
        <f>IFERROR(INDEX(tbl_regras_dfr[Fracao_Reciclavel],MATCH(L83&amp;"|Tipo de rótulo|"&amp;AA83,tbl_regras_dfr[Chave],0)),0)</f>
        <v>1</v>
      </c>
      <c r="BC83" s="38">
        <f t="shared" si="42"/>
        <v>54.8</v>
      </c>
      <c r="BD83" s="40">
        <f t="shared" si="43"/>
        <v>0.9985422740524782</v>
      </c>
      <c r="BE83" s="33" t="str">
        <f>IF(BD83&gt;=INDEX(tbl_param_emb[Valor],MATCH("P-06",tbl_param_emb[ID_Parametro],0)),"A",IF(BD83&gt;=INDEX(tbl_param_emb[Valor],MATCH("P-07",tbl_param_emb[ID_Parametro],0)),"B",IF(BD83&gt;=INDEX(tbl_param_emb[Valor],MATCH("P-08",tbl_param_emb[ID_Parametro],0)),"C","&lt; 70%")))</f>
        <v>A</v>
      </c>
      <c r="BF83" s="33" t="str">
        <f>IF(AU83="F","Não reciclável (F)",INDEX({"A","B","C","Abaixo de C"},MAX(MIN(AT83,4),IF(BE83="A",1,IF(BE83="B",2,IF(BE83="C",3,4))))))</f>
        <v>Abaixo de C</v>
      </c>
      <c r="BG83" s="33" t="str">
        <f t="shared" si="44"/>
        <v>—</v>
      </c>
      <c r="BH83" s="33" t="str">
        <f t="shared" si="45"/>
        <v>Não</v>
      </c>
      <c r="BI83" s="33" t="str">
        <f t="shared" si="46"/>
        <v>Não</v>
      </c>
      <c r="BJ83" s="36">
        <f>IFERROR(INDEX(tbl_materiais[Pct_PCR],MATCH(J83,tbl_materiais[Material],0)),0)</f>
        <v>0.5</v>
      </c>
      <c r="BK83" s="36">
        <f>IF(V83="",0,IFERROR(INDEX(tbl_tampas[Pct_PCR],MATCH(V83,tbl_tampas[CapId],0)),0))</f>
        <v>0</v>
      </c>
      <c r="BL83" s="40">
        <f t="shared" si="47"/>
        <v>0.36952554744525551</v>
      </c>
      <c r="BM83" s="33" t="str">
        <f t="shared" si="48"/>
        <v>Outras embalagens de plástico</v>
      </c>
      <c r="BN83" s="36">
        <f>IFERROR(IF(INDEX(tbl_metas_art7[Meta_2030],MATCH(BM83,tbl_metas_art7[Categoria_Art7],0))="","",INDEX(tbl_metas_art7[Meta_2030],MATCH(BM83,tbl_metas_art7[Categoria_Art7],0))),"")</f>
        <v>0.35</v>
      </c>
      <c r="BO83" s="40">
        <f t="shared" si="49"/>
        <v>0</v>
      </c>
      <c r="BP83" s="33" t="str">
        <f t="shared" si="50"/>
        <v>Sim</v>
      </c>
      <c r="BQ83" s="33" t="str">
        <f t="shared" si="51"/>
        <v>Multimaterial</v>
      </c>
      <c r="BR83" s="37">
        <v>94735</v>
      </c>
      <c r="BS83" s="39">
        <v>12</v>
      </c>
      <c r="BT83" s="26" t="s">
        <v>426</v>
      </c>
      <c r="BU83" s="32">
        <f t="shared" si="52"/>
        <v>3836.7674999999999</v>
      </c>
      <c r="BV83" s="31">
        <f>COUNTIFS(tbl_aplicabilidade[ProductId],B83,tbl_aplicabilidade[Aplicavel],"Sim")</f>
        <v>12</v>
      </c>
      <c r="BW83" s="31">
        <f>COUNTIFS(tbl_aplicabilidade[ProductId],B83,tbl_aplicabilidade[Estado_Resumo],"Lacuna")+COUNTIFS(tbl_aplicabilidade[ProductId],B83,tbl_aplicabilidade[Estado_Resumo],"Não conforme")</f>
        <v>2</v>
      </c>
      <c r="BX83" s="41">
        <v>46287</v>
      </c>
      <c r="BY83" s="42">
        <f t="shared" si="53"/>
        <v>46652</v>
      </c>
      <c r="BZ83" s="26" t="s">
        <v>596</v>
      </c>
      <c r="CA83" s="26" t="s">
        <v>597</v>
      </c>
      <c r="CB83" s="26" t="s">
        <v>598</v>
      </c>
    </row>
    <row r="84" spans="1:80" ht="18" customHeight="1" x14ac:dyDescent="0.3">
      <c r="A84" s="26" t="s">
        <v>796</v>
      </c>
      <c r="B84" s="26" t="s">
        <v>797</v>
      </c>
      <c r="C84" s="26" t="s">
        <v>586</v>
      </c>
      <c r="D84" s="26" t="s">
        <v>587</v>
      </c>
      <c r="E84" s="26" t="s">
        <v>588</v>
      </c>
      <c r="F84" s="26" t="s">
        <v>589</v>
      </c>
      <c r="G84" s="26" t="s">
        <v>590</v>
      </c>
      <c r="H84" s="37">
        <v>1000</v>
      </c>
      <c r="I84" s="37">
        <v>172</v>
      </c>
      <c r="J84" s="26" t="s">
        <v>223</v>
      </c>
      <c r="K84" s="33" t="str">
        <f>IFERROR(INDEX(tbl_materiais[Polimero_Base],MATCH(J84,tbl_materiais[Material],0)),"")</f>
        <v>PE</v>
      </c>
      <c r="L84" s="33" t="str">
        <f>IFERROR(INDEX(tbl_materiais[Fluxo_Reciclagem],MATCH(J84,tbl_materiais[Material],0)),"")</f>
        <v>PE rígido</v>
      </c>
      <c r="M84" s="33" t="str">
        <f t="shared" si="36"/>
        <v>PE rígido — frascos e contentores (HDPE/LDPE)</v>
      </c>
      <c r="N84" s="26" t="s">
        <v>697</v>
      </c>
      <c r="O84" s="26" t="s">
        <v>289</v>
      </c>
      <c r="P84" s="26" t="s">
        <v>698</v>
      </c>
      <c r="Q84" s="29">
        <v>0.02</v>
      </c>
      <c r="R84" s="35">
        <f>IFERROR(ROUND(INDEX(tbl_materiais[Densidade_g_cm3],MATCH(J84,tbl_materiais[Material],0))+Q84*1.2,3),"")</f>
        <v>0.97899999999999998</v>
      </c>
      <c r="S84" s="26" t="s">
        <v>302</v>
      </c>
      <c r="T84" s="34">
        <v>49.1</v>
      </c>
      <c r="U84" s="26" t="s">
        <v>593</v>
      </c>
      <c r="V84" s="26" t="s">
        <v>478</v>
      </c>
      <c r="W84" s="33" t="str">
        <f>IF(V84="","",IFERROR(INDEX(tbl_tampas[Material],MATCH(V84,tbl_tampas[CapId],0)),""))</f>
        <v>HDPE</v>
      </c>
      <c r="X84" s="33" t="str">
        <f>IF(V84="","Sem tampa",IFERROR(INDEX(tbl_materiais[Polimero_Base],MATCH(W84,tbl_materiais[Material],0)),""))</f>
        <v>PE</v>
      </c>
      <c r="Y84" s="38">
        <f>IF(V84="",0,IFERROR(INDEX(tbl_tampas[Massa_g],MATCH(V84,tbl_tampas[CapId],0)),0))</f>
        <v>21.4</v>
      </c>
      <c r="Z84" s="26" t="s">
        <v>319</v>
      </c>
      <c r="AA84" s="26" t="s">
        <v>327</v>
      </c>
      <c r="AB84" s="26" t="s">
        <v>342</v>
      </c>
      <c r="AC84" s="29">
        <v>0.4</v>
      </c>
      <c r="AD84" s="27">
        <v>1.02</v>
      </c>
      <c r="AE84" s="26" t="s">
        <v>604</v>
      </c>
      <c r="AF84" s="26" t="s">
        <v>302</v>
      </c>
      <c r="AG84" s="39">
        <v>0</v>
      </c>
      <c r="AH84" s="33" t="str">
        <f t="shared" si="37"/>
        <v>Nenhuma</v>
      </c>
      <c r="AI84" s="27">
        <v>0</v>
      </c>
      <c r="AJ84" s="33" t="str">
        <f>IFERROR(INDEX(tbl_regras_dfr[Classe],MATCH(L84&amp;"|Fluxo de reciclagem|"&amp;L84,tbl_regras_dfr[Chave],0)),"Sem regra")</f>
        <v>A</v>
      </c>
      <c r="AK84" s="33" t="str">
        <f>IF(LEFT(L84,9)="Sem fluxo","—",IFERROR(INDEX(tbl_regras_dfr[Classe],MATCH(L84&amp;"|Cor do corpo|"&amp;O84,tbl_regras_dfr[Chave],0)),"Sem regra"))</f>
        <v>F</v>
      </c>
      <c r="AL84" s="33" t="str">
        <f>IF(LEFT(L84,9)="Sem fluxo","—",IFERROR(INDEX(tbl_regras_dfr[Classe],MATCH(L84&amp;"|Densidade do corpo|"&amp;IF(R84&lt;1,"&lt; 1,0 g/cm³","≥ 1,0 g/cm³"),tbl_regras_dfr[Chave],0)),"Sem regra"))</f>
        <v>A</v>
      </c>
      <c r="AM84" s="33" t="str">
        <f>IF(LEFT(L84,9)="Sem fluxo","—",IFERROR(INDEX(tbl_regras_dfr[Classe],MATCH(L84&amp;"|Barreira / revestimento|"&amp;S84,tbl_regras_dfr[Chave],0)),"Sem regra"))</f>
        <v>A</v>
      </c>
      <c r="AN84" s="33" t="str">
        <f>IF(LEFT(L84,9)="Sem fluxo","—",IFERROR(INDEX(tbl_regras_dfr[Classe],MATCH(L84&amp;"|Material da tampa|"&amp;X84,tbl_regras_dfr[Chave],0)),"Sem regra"))</f>
        <v>A</v>
      </c>
      <c r="AO84" s="33" t="str">
        <f>IF(LEFT(L84,9)="Sem fluxo","—",IFERROR(INDEX(tbl_regras_dfr[Classe],MATCH(L84&amp;"|Vedante / liner|"&amp;Z84,tbl_regras_dfr[Chave],0)),"Sem regra"))</f>
        <v>A</v>
      </c>
      <c r="AP84" s="33" t="str">
        <f>IF(LEFT(L84,9)="Sem fluxo","—",IFERROR(INDEX(tbl_regras_dfr[Classe],MATCH(L84&amp;"|Tipo de rótulo|"&amp;AA84,tbl_regras_dfr[Chave],0)),"Sem regra"))</f>
        <v>A</v>
      </c>
      <c r="AQ84" s="33" t="str">
        <f>IF(LEFT(L84,9)="Sem fluxo","—",IFERROR(INDEX(tbl_regras_dfr[Classe],MATCH(L84&amp;"|Adesivo do rótulo|"&amp;AB84,tbl_regras_dfr[Chave],0)),"Sem regra"))</f>
        <v>A</v>
      </c>
      <c r="AR84" s="33" t="str">
        <f>IF(LEFT(L84,9)="Sem fluxo","—",IFERROR(INDEX(tbl_regras_dfr[Classe],MATCH(L84&amp;"|Cobertura do rótulo|"&amp;IF(AC84&gt;0.7,"&gt; 70% da superfície","≤ 70% da superfície"),tbl_regras_dfr[Chave],0)),"Sem regra"))</f>
        <v>A</v>
      </c>
      <c r="AS84" s="33" t="str">
        <f>IF(LEFT(L84,9)="Sem fluxo","—",IFERROR(INDEX(tbl_regras_dfr[Classe],MATCH(L84&amp;"|Decoração direta|"&amp;AH84,tbl_regras_dfr[Chave],0)),"Sem regra"))</f>
        <v>A</v>
      </c>
      <c r="AT84" s="31">
        <f t="shared" si="38"/>
        <v>6</v>
      </c>
      <c r="AU84" s="33" t="str">
        <f>IF(AT84=0,"",INDEX({"A","B","C","D","E","F"},AT84))</f>
        <v>F</v>
      </c>
      <c r="AV84" s="31">
        <f t="shared" si="39"/>
        <v>0</v>
      </c>
      <c r="AW84" s="33" t="str">
        <f t="shared" si="40"/>
        <v>Cor</v>
      </c>
      <c r="AX84" s="33" t="str">
        <f>IF(AU84="A","Sem ação — manter o design.",IFERROR(INDEX(tbl_regras_dfr[Recomendacao],MATCH(CHOOSE(MATCH(AU84,AJ84:AS84,0),L84&amp;"|Fluxo de reciclagem|"&amp;L84,L84&amp;"|Cor do corpo|"&amp;O84,L84&amp;"|Densidade do corpo|"&amp;IF(R84&lt;1,"&lt; 1,0 g/cm³","≥ 1,0 g/cm³"),L84&amp;"|Barreira / revestimento|"&amp;S84,L84&amp;"|Material da tampa|"&amp;X84,L84&amp;"|Vedante / liner|"&amp;Z84,L84&amp;"|Tipo de rótulo|"&amp;AA84,L84&amp;"|Adesivo do rótulo|"&amp;AB84,L84&amp;"|Cobertura do rótulo|"&amp;IF(AC84&gt;0.7,"&gt; 70% da superfície","≤ 70% da superfície"),L84&amp;"|Decoração direta|"&amp;AH84),tbl_regras_dfr[Chave],0)),""))</f>
        <v>Substituir o masterbatch por preto detetável por NIR (pigmentos sem negro de carbono).</v>
      </c>
      <c r="AY84" s="38">
        <f t="shared" si="41"/>
        <v>71.52</v>
      </c>
      <c r="AZ84" s="36">
        <f>MIN(IFERROR(INDEX(tbl_regras_dfr[Fracao_Reciclavel],MATCH(L84&amp;"|Fluxo de reciclagem|"&amp;L84,tbl_regras_dfr[Chave],0)),0),IFERROR(INDEX(tbl_regras_dfr[Fracao_Reciclavel],MATCH(L84&amp;"|Cor do corpo|"&amp;O84,tbl_regras_dfr[Chave],0)),0))</f>
        <v>0</v>
      </c>
      <c r="BA84" s="36">
        <f>IFERROR(INDEX(tbl_regras_dfr[Fracao_Reciclavel],MATCH(L84&amp;"|Material da tampa|"&amp;X84,tbl_regras_dfr[Chave],0)),0)</f>
        <v>1</v>
      </c>
      <c r="BB84" s="36">
        <f>IFERROR(INDEX(tbl_regras_dfr[Fracao_Reciclavel],MATCH(L84&amp;"|Tipo de rótulo|"&amp;AA84,tbl_regras_dfr[Chave],0)),0)</f>
        <v>1</v>
      </c>
      <c r="BC84" s="38">
        <f t="shared" si="42"/>
        <v>0</v>
      </c>
      <c r="BD84" s="40">
        <f t="shared" si="43"/>
        <v>0</v>
      </c>
      <c r="BE84" s="33" t="str">
        <f>IF(BD84&gt;=INDEX(tbl_param_emb[Valor],MATCH("P-06",tbl_param_emb[ID_Parametro],0)),"A",IF(BD84&gt;=INDEX(tbl_param_emb[Valor],MATCH("P-07",tbl_param_emb[ID_Parametro],0)),"B",IF(BD84&gt;=INDEX(tbl_param_emb[Valor],MATCH("P-08",tbl_param_emb[ID_Parametro],0)),"C","&lt; 70%")))</f>
        <v>&lt; 70%</v>
      </c>
      <c r="BF84" s="33" t="str">
        <f>IF(AU84="F","Não reciclável (F)",INDEX({"A","B","C","Abaixo de C"},MAX(MIN(AT84,4),IF(BE84="A",1,IF(BE84="B",2,IF(BE84="C",3,4))))))</f>
        <v>Não reciclável (F)</v>
      </c>
      <c r="BG84" s="33" t="str">
        <f t="shared" si="44"/>
        <v>—</v>
      </c>
      <c r="BH84" s="33" t="str">
        <f t="shared" si="45"/>
        <v>Não</v>
      </c>
      <c r="BI84" s="33" t="str">
        <f t="shared" si="46"/>
        <v>Não</v>
      </c>
      <c r="BJ84" s="36">
        <f>IFERROR(INDEX(tbl_materiais[Pct_PCR],MATCH(J84,tbl_materiais[Material],0)),0)</f>
        <v>0</v>
      </c>
      <c r="BK84" s="36">
        <f>IF(V84="",0,IFERROR(INDEX(tbl_tampas[Pct_PCR],MATCH(V84,tbl_tampas[CapId],0)),0))</f>
        <v>0</v>
      </c>
      <c r="BL84" s="40">
        <f t="shared" si="47"/>
        <v>0</v>
      </c>
      <c r="BM84" s="33" t="str">
        <f t="shared" si="48"/>
        <v>Outras embalagens de plástico</v>
      </c>
      <c r="BN84" s="36">
        <f>IFERROR(IF(INDEX(tbl_metas_art7[Meta_2030],MATCH(BM84,tbl_metas_art7[Categoria_Art7],0))="","",INDEX(tbl_metas_art7[Meta_2030],MATCH(BM84,tbl_metas_art7[Categoria_Art7],0))),"")</f>
        <v>0.35</v>
      </c>
      <c r="BO84" s="40">
        <f t="shared" si="49"/>
        <v>0.35</v>
      </c>
      <c r="BP84" s="33" t="str">
        <f t="shared" si="50"/>
        <v>Não</v>
      </c>
      <c r="BQ84" s="33" t="str">
        <f t="shared" si="51"/>
        <v>Monomaterial (mesma família)</v>
      </c>
      <c r="BR84" s="37">
        <v>58975</v>
      </c>
      <c r="BS84" s="39">
        <v>10</v>
      </c>
      <c r="BT84" s="26" t="s">
        <v>768</v>
      </c>
      <c r="BU84" s="32">
        <f t="shared" si="52"/>
        <v>2895.6725000000001</v>
      </c>
      <c r="BV84" s="31">
        <f>COUNTIFS(tbl_aplicabilidade[ProductId],B84,tbl_aplicabilidade[Aplicavel],"Sim")</f>
        <v>12</v>
      </c>
      <c r="BW84" s="31">
        <f>COUNTIFS(tbl_aplicabilidade[ProductId],B84,tbl_aplicabilidade[Estado_Resumo],"Lacuna")+COUNTIFS(tbl_aplicabilidade[ProductId],B84,tbl_aplicabilidade[Estado_Resumo],"Não conforme")</f>
        <v>2</v>
      </c>
      <c r="BX84" s="41">
        <v>46287</v>
      </c>
      <c r="BY84" s="42">
        <f t="shared" si="53"/>
        <v>46652</v>
      </c>
      <c r="BZ84" s="26" t="s">
        <v>596</v>
      </c>
      <c r="CA84" s="26" t="s">
        <v>597</v>
      </c>
      <c r="CB84" s="26" t="s">
        <v>598</v>
      </c>
    </row>
    <row r="85" spans="1:80" ht="18" customHeight="1" x14ac:dyDescent="0.3">
      <c r="A85" s="26" t="s">
        <v>798</v>
      </c>
      <c r="B85" s="26" t="s">
        <v>799</v>
      </c>
      <c r="C85" s="26" t="s">
        <v>586</v>
      </c>
      <c r="D85" s="26" t="s">
        <v>587</v>
      </c>
      <c r="E85" s="26" t="s">
        <v>588</v>
      </c>
      <c r="F85" s="26" t="s">
        <v>589</v>
      </c>
      <c r="G85" s="26" t="s">
        <v>590</v>
      </c>
      <c r="H85" s="37">
        <v>1000</v>
      </c>
      <c r="I85" s="37">
        <v>172</v>
      </c>
      <c r="J85" s="26" t="s">
        <v>223</v>
      </c>
      <c r="K85" s="33" t="str">
        <f>IFERROR(INDEX(tbl_materiais[Polimero_Base],MATCH(J85,tbl_materiais[Material],0)),"")</f>
        <v>PE</v>
      </c>
      <c r="L85" s="33" t="str">
        <f>IFERROR(INDEX(tbl_materiais[Fluxo_Reciclagem],MATCH(J85,tbl_materiais[Material],0)),"")</f>
        <v>PE rígido</v>
      </c>
      <c r="M85" s="33" t="str">
        <f t="shared" si="36"/>
        <v>PE rígido — frascos e contentores (HDPE/LDPE)</v>
      </c>
      <c r="N85" s="26" t="s">
        <v>637</v>
      </c>
      <c r="O85" s="26" t="s">
        <v>281</v>
      </c>
      <c r="P85" s="26" t="s">
        <v>638</v>
      </c>
      <c r="Q85" s="29">
        <v>2.5000000000000001E-2</v>
      </c>
      <c r="R85" s="35">
        <f>IFERROR(ROUND(INDEX(tbl_materiais[Densidade_g_cm3],MATCH(J85,tbl_materiais[Material],0))+Q85*1.2,3),"")</f>
        <v>0.98499999999999999</v>
      </c>
      <c r="S85" s="26" t="s">
        <v>302</v>
      </c>
      <c r="T85" s="34">
        <v>49.1</v>
      </c>
      <c r="U85" s="26" t="s">
        <v>593</v>
      </c>
      <c r="V85" s="26" t="s">
        <v>449</v>
      </c>
      <c r="W85" s="33" t="str">
        <f>IF(V85="","",IFERROR(INDEX(tbl_tampas[Material],MATCH(V85,tbl_tampas[CapId],0)),""))</f>
        <v>HDPE</v>
      </c>
      <c r="X85" s="33" t="str">
        <f>IF(V85="","Sem tampa",IFERROR(INDEX(tbl_materiais[Polimero_Base],MATCH(W85,tbl_materiais[Material],0)),""))</f>
        <v>PE</v>
      </c>
      <c r="Y85" s="38">
        <f>IF(V85="",0,IFERROR(INDEX(tbl_tampas[Massa_g],MATCH(V85,tbl_tampas[CapId],0)),0))</f>
        <v>15.9</v>
      </c>
      <c r="Z85" s="26" t="s">
        <v>319</v>
      </c>
      <c r="AA85" s="26" t="s">
        <v>327</v>
      </c>
      <c r="AB85" s="26" t="s">
        <v>342</v>
      </c>
      <c r="AC85" s="29">
        <v>0.4</v>
      </c>
      <c r="AD85" s="27">
        <v>1.02</v>
      </c>
      <c r="AE85" s="26" t="s">
        <v>604</v>
      </c>
      <c r="AF85" s="26" t="s">
        <v>302</v>
      </c>
      <c r="AG85" s="39">
        <v>0</v>
      </c>
      <c r="AH85" s="33" t="str">
        <f t="shared" si="37"/>
        <v>Nenhuma</v>
      </c>
      <c r="AI85" s="27">
        <v>0</v>
      </c>
      <c r="AJ85" s="33" t="str">
        <f>IFERROR(INDEX(tbl_regras_dfr[Classe],MATCH(L85&amp;"|Fluxo de reciclagem|"&amp;L85,tbl_regras_dfr[Chave],0)),"Sem regra")</f>
        <v>A</v>
      </c>
      <c r="AK85" s="33" t="str">
        <f>IF(LEFT(L85,9)="Sem fluxo","—",IFERROR(INDEX(tbl_regras_dfr[Classe],MATCH(L85&amp;"|Cor do corpo|"&amp;O85,tbl_regras_dfr[Chave],0)),"Sem regra"))</f>
        <v>A</v>
      </c>
      <c r="AL85" s="33" t="str">
        <f>IF(LEFT(L85,9)="Sem fluxo","—",IFERROR(INDEX(tbl_regras_dfr[Classe],MATCH(L85&amp;"|Densidade do corpo|"&amp;IF(R85&lt;1,"&lt; 1,0 g/cm³","≥ 1,0 g/cm³"),tbl_regras_dfr[Chave],0)),"Sem regra"))</f>
        <v>A</v>
      </c>
      <c r="AM85" s="33" t="str">
        <f>IF(LEFT(L85,9)="Sem fluxo","—",IFERROR(INDEX(tbl_regras_dfr[Classe],MATCH(L85&amp;"|Barreira / revestimento|"&amp;S85,tbl_regras_dfr[Chave],0)),"Sem regra"))</f>
        <v>A</v>
      </c>
      <c r="AN85" s="33" t="str">
        <f>IF(LEFT(L85,9)="Sem fluxo","—",IFERROR(INDEX(tbl_regras_dfr[Classe],MATCH(L85&amp;"|Material da tampa|"&amp;X85,tbl_regras_dfr[Chave],0)),"Sem regra"))</f>
        <v>A</v>
      </c>
      <c r="AO85" s="33" t="str">
        <f>IF(LEFT(L85,9)="Sem fluxo","—",IFERROR(INDEX(tbl_regras_dfr[Classe],MATCH(L85&amp;"|Vedante / liner|"&amp;Z85,tbl_regras_dfr[Chave],0)),"Sem regra"))</f>
        <v>A</v>
      </c>
      <c r="AP85" s="33" t="str">
        <f>IF(LEFT(L85,9)="Sem fluxo","—",IFERROR(INDEX(tbl_regras_dfr[Classe],MATCH(L85&amp;"|Tipo de rótulo|"&amp;AA85,tbl_regras_dfr[Chave],0)),"Sem regra"))</f>
        <v>A</v>
      </c>
      <c r="AQ85" s="33" t="str">
        <f>IF(LEFT(L85,9)="Sem fluxo","—",IFERROR(INDEX(tbl_regras_dfr[Classe],MATCH(L85&amp;"|Adesivo do rótulo|"&amp;AB85,tbl_regras_dfr[Chave],0)),"Sem regra"))</f>
        <v>A</v>
      </c>
      <c r="AR85" s="33" t="str">
        <f>IF(LEFT(L85,9)="Sem fluxo","—",IFERROR(INDEX(tbl_regras_dfr[Classe],MATCH(L85&amp;"|Cobertura do rótulo|"&amp;IF(AC85&gt;0.7,"&gt; 70% da superfície","≤ 70% da superfície"),tbl_regras_dfr[Chave],0)),"Sem regra"))</f>
        <v>A</v>
      </c>
      <c r="AS85" s="33" t="str">
        <f>IF(LEFT(L85,9)="Sem fluxo","—",IFERROR(INDEX(tbl_regras_dfr[Classe],MATCH(L85&amp;"|Decoração direta|"&amp;AH85,tbl_regras_dfr[Chave],0)),"Sem regra"))</f>
        <v>A</v>
      </c>
      <c r="AT85" s="31">
        <f t="shared" si="38"/>
        <v>1</v>
      </c>
      <c r="AU85" s="33" t="str">
        <f>IF(AT85=0,"",INDEX({"A","B","C","D","E","F"},AT85))</f>
        <v>A</v>
      </c>
      <c r="AV85" s="31">
        <f t="shared" si="39"/>
        <v>0</v>
      </c>
      <c r="AW85" s="33" t="str">
        <f t="shared" si="40"/>
        <v>—</v>
      </c>
      <c r="AX85" s="33" t="str">
        <f>IF(AU85="A","Sem ação — manter o design.",IFERROR(INDEX(tbl_regras_dfr[Recomendacao],MATCH(CHOOSE(MATCH(AU85,AJ85:AS85,0),L85&amp;"|Fluxo de reciclagem|"&amp;L85,L85&amp;"|Cor do corpo|"&amp;O85,L85&amp;"|Densidade do corpo|"&amp;IF(R85&lt;1,"&lt; 1,0 g/cm³","≥ 1,0 g/cm³"),L85&amp;"|Barreira / revestimento|"&amp;S85,L85&amp;"|Material da tampa|"&amp;X85,L85&amp;"|Vedante / liner|"&amp;Z85,L85&amp;"|Tipo de rótulo|"&amp;AA85,L85&amp;"|Adesivo do rótulo|"&amp;AB85,L85&amp;"|Cobertura do rótulo|"&amp;IF(AC85&gt;0.7,"&gt; 70% da superfície","≤ 70% da superfície"),L85&amp;"|Decoração direta|"&amp;AH85),tbl_regras_dfr[Chave],0)),""))</f>
        <v>Sem ação — manter o design.</v>
      </c>
      <c r="AY85" s="38">
        <f t="shared" si="41"/>
        <v>66.02</v>
      </c>
      <c r="AZ85" s="36">
        <f>MIN(IFERROR(INDEX(tbl_regras_dfr[Fracao_Reciclavel],MATCH(L85&amp;"|Fluxo de reciclagem|"&amp;L85,tbl_regras_dfr[Chave],0)),0),IFERROR(INDEX(tbl_regras_dfr[Fracao_Reciclavel],MATCH(L85&amp;"|Cor do corpo|"&amp;O85,tbl_regras_dfr[Chave],0)),0))</f>
        <v>1</v>
      </c>
      <c r="BA85" s="36">
        <f>IFERROR(INDEX(tbl_regras_dfr[Fracao_Reciclavel],MATCH(L85&amp;"|Material da tampa|"&amp;X85,tbl_regras_dfr[Chave],0)),0)</f>
        <v>1</v>
      </c>
      <c r="BB85" s="36">
        <f>IFERROR(INDEX(tbl_regras_dfr[Fracao_Reciclavel],MATCH(L85&amp;"|Tipo de rótulo|"&amp;AA85,tbl_regras_dfr[Chave],0)),0)</f>
        <v>1</v>
      </c>
      <c r="BC85" s="38">
        <f t="shared" si="42"/>
        <v>66.02</v>
      </c>
      <c r="BD85" s="40">
        <f t="shared" si="43"/>
        <v>1</v>
      </c>
      <c r="BE85" s="33" t="str">
        <f>IF(BD85&gt;=INDEX(tbl_param_emb[Valor],MATCH("P-06",tbl_param_emb[ID_Parametro],0)),"A",IF(BD85&gt;=INDEX(tbl_param_emb[Valor],MATCH("P-07",tbl_param_emb[ID_Parametro],0)),"B",IF(BD85&gt;=INDEX(tbl_param_emb[Valor],MATCH("P-08",tbl_param_emb[ID_Parametro],0)),"C","&lt; 70%")))</f>
        <v>A</v>
      </c>
      <c r="BF85" s="33" t="str">
        <f>IF(AU85="F","Não reciclável (F)",INDEX({"A","B","C","Abaixo de C"},MAX(MIN(AT85,4),IF(BE85="A",1,IF(BE85="B",2,IF(BE85="C",3,4))))))</f>
        <v>A</v>
      </c>
      <c r="BG85" s="33" t="str">
        <f t="shared" si="44"/>
        <v>—</v>
      </c>
      <c r="BH85" s="33" t="str">
        <f t="shared" si="45"/>
        <v>Sim</v>
      </c>
      <c r="BI85" s="33" t="str">
        <f t="shared" si="46"/>
        <v>Sim</v>
      </c>
      <c r="BJ85" s="36">
        <f>IFERROR(INDEX(tbl_materiais[Pct_PCR],MATCH(J85,tbl_materiais[Material],0)),0)</f>
        <v>0</v>
      </c>
      <c r="BK85" s="36">
        <f>IF(V85="",0,IFERROR(INDEX(tbl_tampas[Pct_PCR],MATCH(V85,tbl_tampas[CapId],0)),0))</f>
        <v>0</v>
      </c>
      <c r="BL85" s="40">
        <f t="shared" si="47"/>
        <v>0</v>
      </c>
      <c r="BM85" s="33" t="str">
        <f t="shared" si="48"/>
        <v>Outras embalagens de plástico</v>
      </c>
      <c r="BN85" s="36">
        <f>IFERROR(IF(INDEX(tbl_metas_art7[Meta_2030],MATCH(BM85,tbl_metas_art7[Categoria_Art7],0))="","",INDEX(tbl_metas_art7[Meta_2030],MATCH(BM85,tbl_metas_art7[Categoria_Art7],0))),"")</f>
        <v>0.35</v>
      </c>
      <c r="BO85" s="40">
        <f t="shared" si="49"/>
        <v>0.35</v>
      </c>
      <c r="BP85" s="33" t="str">
        <f t="shared" si="50"/>
        <v>Não</v>
      </c>
      <c r="BQ85" s="33" t="str">
        <f t="shared" si="51"/>
        <v>Monomaterial (mesma família)</v>
      </c>
      <c r="BR85" s="37">
        <v>99034</v>
      </c>
      <c r="BS85" s="39">
        <v>14</v>
      </c>
      <c r="BT85" s="26" t="s">
        <v>426</v>
      </c>
      <c r="BU85" s="32">
        <f t="shared" si="52"/>
        <v>4862.5694000000003</v>
      </c>
      <c r="BV85" s="31">
        <f>COUNTIFS(tbl_aplicabilidade[ProductId],B85,tbl_aplicabilidade[Aplicavel],"Sim")</f>
        <v>12</v>
      </c>
      <c r="BW85" s="31">
        <f>COUNTIFS(tbl_aplicabilidade[ProductId],B85,tbl_aplicabilidade[Estado_Resumo],"Lacuna")+COUNTIFS(tbl_aplicabilidade[ProductId],B85,tbl_aplicabilidade[Estado_Resumo],"Não conforme")</f>
        <v>1</v>
      </c>
      <c r="BX85" s="41">
        <v>46287</v>
      </c>
      <c r="BY85" s="42">
        <f t="shared" si="53"/>
        <v>46652</v>
      </c>
      <c r="BZ85" s="26" t="s">
        <v>596</v>
      </c>
      <c r="CA85" s="26" t="s">
        <v>597</v>
      </c>
      <c r="CB85" s="26" t="s">
        <v>598</v>
      </c>
    </row>
    <row r="86" spans="1:80" ht="18" customHeight="1" x14ac:dyDescent="0.3">
      <c r="A86" s="26" t="s">
        <v>800</v>
      </c>
      <c r="B86" s="26" t="s">
        <v>801</v>
      </c>
      <c r="C86" s="26" t="s">
        <v>586</v>
      </c>
      <c r="D86" s="26" t="s">
        <v>587</v>
      </c>
      <c r="E86" s="26" t="s">
        <v>588</v>
      </c>
      <c r="F86" s="26" t="s">
        <v>589</v>
      </c>
      <c r="G86" s="26" t="s">
        <v>601</v>
      </c>
      <c r="H86" s="37">
        <v>1000</v>
      </c>
      <c r="I86" s="37">
        <v>172</v>
      </c>
      <c r="J86" s="26" t="s">
        <v>229</v>
      </c>
      <c r="K86" s="33" t="str">
        <f>IFERROR(INDEX(tbl_materiais[Polimero_Base],MATCH(J86,tbl_materiais[Material],0)),"")</f>
        <v>PE</v>
      </c>
      <c r="L86" s="33" t="str">
        <f>IFERROR(INDEX(tbl_materiais[Fluxo_Reciclagem],MATCH(J86,tbl_materiais[Material],0)),"")</f>
        <v>PE rígido</v>
      </c>
      <c r="M86" s="33" t="str">
        <f t="shared" si="36"/>
        <v>PE rígido — frascos e contentores (HDPE/LDPE)</v>
      </c>
      <c r="N86" s="26" t="s">
        <v>602</v>
      </c>
      <c r="O86" s="26" t="s">
        <v>283</v>
      </c>
      <c r="P86" s="26" t="s">
        <v>603</v>
      </c>
      <c r="Q86" s="29">
        <v>0.02</v>
      </c>
      <c r="R86" s="35">
        <f>IFERROR(ROUND(INDEX(tbl_materiais[Densidade_g_cm3],MATCH(J86,tbl_materiais[Material],0))+Q86*1.2,3),"")</f>
        <v>0.98399999999999999</v>
      </c>
      <c r="S86" s="26" t="s">
        <v>302</v>
      </c>
      <c r="T86" s="34">
        <v>49.1</v>
      </c>
      <c r="U86" s="26" t="s">
        <v>593</v>
      </c>
      <c r="V86" s="26" t="s">
        <v>475</v>
      </c>
      <c r="W86" s="33" t="str">
        <f>IF(V86="","",IFERROR(INDEX(tbl_tampas[Material],MATCH(V86,tbl_tampas[CapId],0)),""))</f>
        <v>PP-PCR</v>
      </c>
      <c r="X86" s="33" t="str">
        <f>IF(V86="","Sem tampa",IFERROR(INDEX(tbl_materiais[Polimero_Base],MATCH(W86,tbl_materiais[Material],0)),""))</f>
        <v>PP</v>
      </c>
      <c r="Y86" s="38">
        <f>IF(V86="",0,IFERROR(INDEX(tbl_tampas[Massa_g],MATCH(V86,tbl_tampas[CapId],0)),0))</f>
        <v>19.3</v>
      </c>
      <c r="Z86" s="26" t="s">
        <v>319</v>
      </c>
      <c r="AA86" s="26" t="s">
        <v>326</v>
      </c>
      <c r="AB86" s="26" t="s">
        <v>340</v>
      </c>
      <c r="AC86" s="29">
        <v>0</v>
      </c>
      <c r="AD86" s="27">
        <v>0</v>
      </c>
      <c r="AE86" s="26" t="s">
        <v>594</v>
      </c>
      <c r="AF86" s="26" t="s">
        <v>359</v>
      </c>
      <c r="AG86" s="39">
        <v>1</v>
      </c>
      <c r="AH86" s="33" t="str">
        <f t="shared" si="37"/>
        <v>Hot foil metalizado</v>
      </c>
      <c r="AI86" s="27">
        <v>0.03</v>
      </c>
      <c r="AJ86" s="33" t="str">
        <f>IFERROR(INDEX(tbl_regras_dfr[Classe],MATCH(L86&amp;"|Fluxo de reciclagem|"&amp;L86,tbl_regras_dfr[Chave],0)),"Sem regra")</f>
        <v>A</v>
      </c>
      <c r="AK86" s="33" t="str">
        <f>IF(LEFT(L86,9)="Sem fluxo","—",IFERROR(INDEX(tbl_regras_dfr[Classe],MATCH(L86&amp;"|Cor do corpo|"&amp;O86,tbl_regras_dfr[Chave],0)),"Sem regra"))</f>
        <v>B</v>
      </c>
      <c r="AL86" s="33" t="str">
        <f>IF(LEFT(L86,9)="Sem fluxo","—",IFERROR(INDEX(tbl_regras_dfr[Classe],MATCH(L86&amp;"|Densidade do corpo|"&amp;IF(R86&lt;1,"&lt; 1,0 g/cm³","≥ 1,0 g/cm³"),tbl_regras_dfr[Chave],0)),"Sem regra"))</f>
        <v>A</v>
      </c>
      <c r="AM86" s="33" t="str">
        <f>IF(LEFT(L86,9)="Sem fluxo","—",IFERROR(INDEX(tbl_regras_dfr[Classe],MATCH(L86&amp;"|Barreira / revestimento|"&amp;S86,tbl_regras_dfr[Chave],0)),"Sem regra"))</f>
        <v>A</v>
      </c>
      <c r="AN86" s="33" t="str">
        <f>IF(LEFT(L86,9)="Sem fluxo","—",IFERROR(INDEX(tbl_regras_dfr[Classe],MATCH(L86&amp;"|Material da tampa|"&amp;X86,tbl_regras_dfr[Chave],0)),"Sem regra"))</f>
        <v>A</v>
      </c>
      <c r="AO86" s="33" t="str">
        <f>IF(LEFT(L86,9)="Sem fluxo","—",IFERROR(INDEX(tbl_regras_dfr[Classe],MATCH(L86&amp;"|Vedante / liner|"&amp;Z86,tbl_regras_dfr[Chave],0)),"Sem regra"))</f>
        <v>A</v>
      </c>
      <c r="AP86" s="33" t="str">
        <f>IF(LEFT(L86,9)="Sem fluxo","—",IFERROR(INDEX(tbl_regras_dfr[Classe],MATCH(L86&amp;"|Tipo de rótulo|"&amp;AA86,tbl_regras_dfr[Chave],0)),"Sem regra"))</f>
        <v>A</v>
      </c>
      <c r="AQ86" s="33" t="str">
        <f>IF(LEFT(L86,9)="Sem fluxo","—",IFERROR(INDEX(tbl_regras_dfr[Classe],MATCH(L86&amp;"|Adesivo do rótulo|"&amp;AB86,tbl_regras_dfr[Chave],0)),"Sem regra"))</f>
        <v>A</v>
      </c>
      <c r="AR86" s="33" t="str">
        <f>IF(LEFT(L86,9)="Sem fluxo","—",IFERROR(INDEX(tbl_regras_dfr[Classe],MATCH(L86&amp;"|Cobertura do rótulo|"&amp;IF(AC86&gt;0.7,"&gt; 70% da superfície","≤ 70% da superfície"),tbl_regras_dfr[Chave],0)),"Sem regra"))</f>
        <v>A</v>
      </c>
      <c r="AS86" s="33" t="str">
        <f>IF(LEFT(L86,9)="Sem fluxo","—",IFERROR(INDEX(tbl_regras_dfr[Classe],MATCH(L86&amp;"|Decoração direta|"&amp;AH86,tbl_regras_dfr[Chave],0)),"Sem regra"))</f>
        <v>C</v>
      </c>
      <c r="AT86" s="31">
        <f t="shared" si="38"/>
        <v>3</v>
      </c>
      <c r="AU86" s="33" t="str">
        <f>IF(AT86=0,"",INDEX({"A","B","C","D","E","F"},AT86))</f>
        <v>C</v>
      </c>
      <c r="AV86" s="31">
        <f t="shared" si="39"/>
        <v>0</v>
      </c>
      <c r="AW86" s="33" t="str">
        <f t="shared" si="40"/>
        <v>Decoracao</v>
      </c>
      <c r="AX86" s="33" t="str">
        <f>IF(AU86="A","Sem ação — manter o design.",IFERROR(INDEX(tbl_regras_dfr[Recomendacao],MATCH(CHOOSE(MATCH(AU86,AJ86:AS86,0),L86&amp;"|Fluxo de reciclagem|"&amp;L86,L86&amp;"|Cor do corpo|"&amp;O86,L86&amp;"|Densidade do corpo|"&amp;IF(R86&lt;1,"&lt; 1,0 g/cm³","≥ 1,0 g/cm³"),L86&amp;"|Barreira / revestimento|"&amp;S86,L86&amp;"|Material da tampa|"&amp;X86,L86&amp;"|Vedante / liner|"&amp;Z86,L86&amp;"|Tipo de rótulo|"&amp;AA86,L86&amp;"|Adesivo do rótulo|"&amp;AB86,L86&amp;"|Cobertura do rótulo|"&amp;IF(AC86&gt;0.7,"&gt; 70% da superfície","≤ 70% da superfície"),L86&amp;"|Decoração direta|"&amp;AH86),tbl_regras_dfr[Chave],0)),""))</f>
        <v>Reduzir a área de hot foil ou usar rótulo metalizado destacável.</v>
      </c>
      <c r="AY86" s="38">
        <f t="shared" si="41"/>
        <v>68.430000000000007</v>
      </c>
      <c r="AZ86" s="36">
        <f>MIN(IFERROR(INDEX(tbl_regras_dfr[Fracao_Reciclavel],MATCH(L86&amp;"|Fluxo de reciclagem|"&amp;L86,tbl_regras_dfr[Chave],0)),0),IFERROR(INDEX(tbl_regras_dfr[Fracao_Reciclavel],MATCH(L86&amp;"|Cor do corpo|"&amp;O86,tbl_regras_dfr[Chave],0)),0))</f>
        <v>1</v>
      </c>
      <c r="BA86" s="36">
        <f>IFERROR(INDEX(tbl_regras_dfr[Fracao_Reciclavel],MATCH(L86&amp;"|Material da tampa|"&amp;X86,tbl_regras_dfr[Chave],0)),0)</f>
        <v>1</v>
      </c>
      <c r="BB86" s="36">
        <f>IFERROR(INDEX(tbl_regras_dfr[Fracao_Reciclavel],MATCH(L86&amp;"|Tipo de rótulo|"&amp;AA86,tbl_regras_dfr[Chave],0)),0)</f>
        <v>1</v>
      </c>
      <c r="BC86" s="38">
        <f t="shared" si="42"/>
        <v>68.400000000000006</v>
      </c>
      <c r="BD86" s="40">
        <f t="shared" si="43"/>
        <v>0.99956159579131953</v>
      </c>
      <c r="BE86" s="33" t="str">
        <f>IF(BD86&gt;=INDEX(tbl_param_emb[Valor],MATCH("P-06",tbl_param_emb[ID_Parametro],0)),"A",IF(BD86&gt;=INDEX(tbl_param_emb[Valor],MATCH("P-07",tbl_param_emb[ID_Parametro],0)),"B",IF(BD86&gt;=INDEX(tbl_param_emb[Valor],MATCH("P-08",tbl_param_emb[ID_Parametro],0)),"C","&lt; 70%")))</f>
        <v>A</v>
      </c>
      <c r="BF86" s="33" t="str">
        <f>IF(AU86="F","Não reciclável (F)",INDEX({"A","B","C","Abaixo de C"},MAX(MIN(AT86,4),IF(BE86="A",1,IF(BE86="B",2,IF(BE86="C",3,4))))))</f>
        <v>C</v>
      </c>
      <c r="BG86" s="33" t="str">
        <f t="shared" si="44"/>
        <v>—</v>
      </c>
      <c r="BH86" s="33" t="str">
        <f t="shared" si="45"/>
        <v>Sim</v>
      </c>
      <c r="BI86" s="33" t="str">
        <f t="shared" si="46"/>
        <v>Não</v>
      </c>
      <c r="BJ86" s="36">
        <f>IFERROR(INDEX(tbl_materiais[Pct_PCR],MATCH(J86,tbl_materiais[Material],0)),0)</f>
        <v>0.3</v>
      </c>
      <c r="BK86" s="36">
        <f>IF(V86="",0,IFERROR(INDEX(tbl_tampas[Pct_PCR],MATCH(V86,tbl_tampas[CapId],0)),0))</f>
        <v>0.3</v>
      </c>
      <c r="BL86" s="40">
        <f t="shared" si="47"/>
        <v>0.3</v>
      </c>
      <c r="BM86" s="33" t="str">
        <f t="shared" si="48"/>
        <v>Outras embalagens de plástico</v>
      </c>
      <c r="BN86" s="36">
        <f>IFERROR(IF(INDEX(tbl_metas_art7[Meta_2030],MATCH(BM86,tbl_metas_art7[Categoria_Art7],0))="","",INDEX(tbl_metas_art7[Meta_2030],MATCH(BM86,tbl_metas_art7[Categoria_Art7],0))),"")</f>
        <v>0.35</v>
      </c>
      <c r="BO86" s="40">
        <f t="shared" si="49"/>
        <v>4.9999999999999989E-2</v>
      </c>
      <c r="BP86" s="33" t="str">
        <f t="shared" si="50"/>
        <v>Não</v>
      </c>
      <c r="BQ86" s="33" t="str">
        <f t="shared" si="51"/>
        <v>Monomaterial (mesma família)</v>
      </c>
      <c r="BR86" s="37">
        <v>35647</v>
      </c>
      <c r="BS86" s="39">
        <v>6</v>
      </c>
      <c r="BT86" s="26" t="s">
        <v>793</v>
      </c>
      <c r="BU86" s="32">
        <f t="shared" si="52"/>
        <v>1750.2676999999999</v>
      </c>
      <c r="BV86" s="31">
        <f>COUNTIFS(tbl_aplicabilidade[ProductId],B86,tbl_aplicabilidade[Aplicavel],"Sim")</f>
        <v>12</v>
      </c>
      <c r="BW86" s="31">
        <f>COUNTIFS(tbl_aplicabilidade[ProductId],B86,tbl_aplicabilidade[Estado_Resumo],"Lacuna")+COUNTIFS(tbl_aplicabilidade[ProductId],B86,tbl_aplicabilidade[Estado_Resumo],"Não conforme")</f>
        <v>1</v>
      </c>
      <c r="BX86" s="41">
        <v>46287</v>
      </c>
      <c r="BY86" s="42">
        <f t="shared" si="53"/>
        <v>46652</v>
      </c>
      <c r="BZ86" s="26" t="s">
        <v>596</v>
      </c>
      <c r="CA86" s="26" t="s">
        <v>597</v>
      </c>
      <c r="CB86" s="26" t="s">
        <v>598</v>
      </c>
    </row>
    <row r="87" spans="1:80" ht="18" customHeight="1" x14ac:dyDescent="0.3">
      <c r="A87" s="26" t="s">
        <v>802</v>
      </c>
      <c r="B87" s="26" t="s">
        <v>803</v>
      </c>
      <c r="C87" s="26" t="s">
        <v>586</v>
      </c>
      <c r="D87" s="26" t="s">
        <v>587</v>
      </c>
      <c r="E87" s="26" t="s">
        <v>588</v>
      </c>
      <c r="F87" s="26" t="s">
        <v>589</v>
      </c>
      <c r="G87" s="26" t="s">
        <v>696</v>
      </c>
      <c r="H87" s="37">
        <v>1000</v>
      </c>
      <c r="I87" s="37">
        <v>172</v>
      </c>
      <c r="J87" s="26" t="s">
        <v>232</v>
      </c>
      <c r="K87" s="33" t="str">
        <f>IFERROR(INDEX(tbl_materiais[Polimero_Base],MATCH(J87,tbl_materiais[Material],0)),"")</f>
        <v>PE</v>
      </c>
      <c r="L87" s="33" t="str">
        <f>IFERROR(INDEX(tbl_materiais[Fluxo_Reciclagem],MATCH(J87,tbl_materiais[Material],0)),"")</f>
        <v>PE rígido</v>
      </c>
      <c r="M87" s="33" t="str">
        <f t="shared" si="36"/>
        <v>PE rígido — frascos e contentores (HDPE/LDPE)</v>
      </c>
      <c r="N87" s="26" t="s">
        <v>618</v>
      </c>
      <c r="O87" s="26" t="s">
        <v>286</v>
      </c>
      <c r="P87" s="26" t="s">
        <v>619</v>
      </c>
      <c r="Q87" s="29">
        <v>0.02</v>
      </c>
      <c r="R87" s="35">
        <f>IFERROR(ROUND(INDEX(tbl_materiais[Densidade_g_cm3],MATCH(J87,tbl_materiais[Material],0))+Q87*1.2,3),"")</f>
        <v>0.95899999999999996</v>
      </c>
      <c r="S87" s="26" t="s">
        <v>302</v>
      </c>
      <c r="T87" s="34">
        <v>49.1</v>
      </c>
      <c r="U87" s="26" t="s">
        <v>593</v>
      </c>
      <c r="V87" s="26" t="s">
        <v>478</v>
      </c>
      <c r="W87" s="33" t="str">
        <f>IF(V87="","",IFERROR(INDEX(tbl_tampas[Material],MATCH(V87,tbl_tampas[CapId],0)),""))</f>
        <v>HDPE</v>
      </c>
      <c r="X87" s="33" t="str">
        <f>IF(V87="","Sem tampa",IFERROR(INDEX(tbl_materiais[Polimero_Base],MATCH(W87,tbl_materiais[Material],0)),""))</f>
        <v>PE</v>
      </c>
      <c r="Y87" s="38">
        <f>IF(V87="",0,IFERROR(INDEX(tbl_tampas[Massa_g],MATCH(V87,tbl_tampas[CapId],0)),0))</f>
        <v>21.4</v>
      </c>
      <c r="Z87" s="26" t="s">
        <v>319</v>
      </c>
      <c r="AA87" s="26" t="s">
        <v>326</v>
      </c>
      <c r="AB87" s="26" t="s">
        <v>340</v>
      </c>
      <c r="AC87" s="29">
        <v>0</v>
      </c>
      <c r="AD87" s="27">
        <v>0</v>
      </c>
      <c r="AE87" s="26" t="s">
        <v>594</v>
      </c>
      <c r="AF87" s="26" t="s">
        <v>595</v>
      </c>
      <c r="AG87" s="39">
        <v>2</v>
      </c>
      <c r="AH87" s="33" t="str">
        <f t="shared" si="37"/>
        <v>Serigrafia 1–2 cores</v>
      </c>
      <c r="AI87" s="27">
        <v>0.16</v>
      </c>
      <c r="AJ87" s="33" t="str">
        <f>IFERROR(INDEX(tbl_regras_dfr[Classe],MATCH(L87&amp;"|Fluxo de reciclagem|"&amp;L87,tbl_regras_dfr[Chave],0)),"Sem regra")</f>
        <v>A</v>
      </c>
      <c r="AK87" s="33" t="str">
        <f>IF(LEFT(L87,9)="Sem fluxo","—",IFERROR(INDEX(tbl_regras_dfr[Classe],MATCH(L87&amp;"|Cor do corpo|"&amp;O87,tbl_regras_dfr[Chave],0)),"Sem regra"))</f>
        <v>B</v>
      </c>
      <c r="AL87" s="33" t="str">
        <f>IF(LEFT(L87,9)="Sem fluxo","—",IFERROR(INDEX(tbl_regras_dfr[Classe],MATCH(L87&amp;"|Densidade do corpo|"&amp;IF(R87&lt;1,"&lt; 1,0 g/cm³","≥ 1,0 g/cm³"),tbl_regras_dfr[Chave],0)),"Sem regra"))</f>
        <v>A</v>
      </c>
      <c r="AM87" s="33" t="str">
        <f>IF(LEFT(L87,9)="Sem fluxo","—",IFERROR(INDEX(tbl_regras_dfr[Classe],MATCH(L87&amp;"|Barreira / revestimento|"&amp;S87,tbl_regras_dfr[Chave],0)),"Sem regra"))</f>
        <v>A</v>
      </c>
      <c r="AN87" s="33" t="str">
        <f>IF(LEFT(L87,9)="Sem fluxo","—",IFERROR(INDEX(tbl_regras_dfr[Classe],MATCH(L87&amp;"|Material da tampa|"&amp;X87,tbl_regras_dfr[Chave],0)),"Sem regra"))</f>
        <v>A</v>
      </c>
      <c r="AO87" s="33" t="str">
        <f>IF(LEFT(L87,9)="Sem fluxo","—",IFERROR(INDEX(tbl_regras_dfr[Classe],MATCH(L87&amp;"|Vedante / liner|"&amp;Z87,tbl_regras_dfr[Chave],0)),"Sem regra"))</f>
        <v>A</v>
      </c>
      <c r="AP87" s="33" t="str">
        <f>IF(LEFT(L87,9)="Sem fluxo","—",IFERROR(INDEX(tbl_regras_dfr[Classe],MATCH(L87&amp;"|Tipo de rótulo|"&amp;AA87,tbl_regras_dfr[Chave],0)),"Sem regra"))</f>
        <v>A</v>
      </c>
      <c r="AQ87" s="33" t="str">
        <f>IF(LEFT(L87,9)="Sem fluxo","—",IFERROR(INDEX(tbl_regras_dfr[Classe],MATCH(L87&amp;"|Adesivo do rótulo|"&amp;AB87,tbl_regras_dfr[Chave],0)),"Sem regra"))</f>
        <v>A</v>
      </c>
      <c r="AR87" s="33" t="str">
        <f>IF(LEFT(L87,9)="Sem fluxo","—",IFERROR(INDEX(tbl_regras_dfr[Classe],MATCH(L87&amp;"|Cobertura do rótulo|"&amp;IF(AC87&gt;0.7,"&gt; 70% da superfície","≤ 70% da superfície"),tbl_regras_dfr[Chave],0)),"Sem regra"))</f>
        <v>A</v>
      </c>
      <c r="AS87" s="33" t="str">
        <f>IF(LEFT(L87,9)="Sem fluxo","—",IFERROR(INDEX(tbl_regras_dfr[Classe],MATCH(L87&amp;"|Decoração direta|"&amp;AH87,tbl_regras_dfr[Chave],0)),"Sem regra"))</f>
        <v>B</v>
      </c>
      <c r="AT87" s="31">
        <f t="shared" si="38"/>
        <v>2</v>
      </c>
      <c r="AU87" s="33" t="str">
        <f>IF(AT87=0,"",INDEX({"A","B","C","D","E","F"},AT87))</f>
        <v>B</v>
      </c>
      <c r="AV87" s="31">
        <f t="shared" si="39"/>
        <v>0</v>
      </c>
      <c r="AW87" s="33" t="str">
        <f t="shared" si="40"/>
        <v>Cor</v>
      </c>
      <c r="AX87" s="33" t="str">
        <f>IF(AU87="A","Sem ação — manter o design.",IFERROR(INDEX(tbl_regras_dfr[Recomendacao],MATCH(CHOOSE(MATCH(AU87,AJ87:AS87,0),L87&amp;"|Fluxo de reciclagem|"&amp;L87,L87&amp;"|Cor do corpo|"&amp;O87,L87&amp;"|Densidade do corpo|"&amp;IF(R87&lt;1,"&lt; 1,0 g/cm³","≥ 1,0 g/cm³"),L87&amp;"|Barreira / revestimento|"&amp;S87,L87&amp;"|Material da tampa|"&amp;X87,L87&amp;"|Vedante / liner|"&amp;Z87,L87&amp;"|Tipo de rótulo|"&amp;AA87,L87&amp;"|Adesivo do rótulo|"&amp;AB87,L87&amp;"|Cobertura do rótulo|"&amp;IF(AC87&gt;0.7,"&gt; 70% da superfície","≤ 70% da superfície"),L87&amp;"|Decoração direta|"&amp;AH87),tbl_regras_dfr[Chave],0)),""))</f>
        <v>Preferir cores claras.</v>
      </c>
      <c r="AY87" s="38">
        <f t="shared" si="41"/>
        <v>70.66</v>
      </c>
      <c r="AZ87" s="36">
        <f>MIN(IFERROR(INDEX(tbl_regras_dfr[Fracao_Reciclavel],MATCH(L87&amp;"|Fluxo de reciclagem|"&amp;L87,tbl_regras_dfr[Chave],0)),0),IFERROR(INDEX(tbl_regras_dfr[Fracao_Reciclavel],MATCH(L87&amp;"|Cor do corpo|"&amp;O87,tbl_regras_dfr[Chave],0)),0))</f>
        <v>1</v>
      </c>
      <c r="BA87" s="36">
        <f>IFERROR(INDEX(tbl_regras_dfr[Fracao_Reciclavel],MATCH(L87&amp;"|Material da tampa|"&amp;X87,tbl_regras_dfr[Chave],0)),0)</f>
        <v>1</v>
      </c>
      <c r="BB87" s="36">
        <f>IFERROR(INDEX(tbl_regras_dfr[Fracao_Reciclavel],MATCH(L87&amp;"|Tipo de rótulo|"&amp;AA87,tbl_regras_dfr[Chave],0)),0)</f>
        <v>1</v>
      </c>
      <c r="BC87" s="38">
        <f t="shared" si="42"/>
        <v>70.5</v>
      </c>
      <c r="BD87" s="40">
        <f t="shared" si="43"/>
        <v>0.99773563543730548</v>
      </c>
      <c r="BE87" s="33" t="str">
        <f>IF(BD87&gt;=INDEX(tbl_param_emb[Valor],MATCH("P-06",tbl_param_emb[ID_Parametro],0)),"A",IF(BD87&gt;=INDEX(tbl_param_emb[Valor],MATCH("P-07",tbl_param_emb[ID_Parametro],0)),"B",IF(BD87&gt;=INDEX(tbl_param_emb[Valor],MATCH("P-08",tbl_param_emb[ID_Parametro],0)),"C","&lt; 70%")))</f>
        <v>A</v>
      </c>
      <c r="BF87" s="33" t="str">
        <f>IF(AU87="F","Não reciclável (F)",INDEX({"A","B","C","Abaixo de C"},MAX(MIN(AT87,4),IF(BE87="A",1,IF(BE87="B",2,IF(BE87="C",3,4))))))</f>
        <v>B</v>
      </c>
      <c r="BG87" s="33" t="str">
        <f t="shared" si="44"/>
        <v>—</v>
      </c>
      <c r="BH87" s="33" t="str">
        <f t="shared" si="45"/>
        <v>Sim</v>
      </c>
      <c r="BI87" s="33" t="str">
        <f t="shared" si="46"/>
        <v>Sim</v>
      </c>
      <c r="BJ87" s="36">
        <f>IFERROR(INDEX(tbl_materiais[Pct_PCR],MATCH(J87,tbl_materiais[Material],0)),0)</f>
        <v>0</v>
      </c>
      <c r="BK87" s="36">
        <f>IF(V87="",0,IFERROR(INDEX(tbl_tampas[Pct_PCR],MATCH(V87,tbl_tampas[CapId],0)),0))</f>
        <v>0</v>
      </c>
      <c r="BL87" s="40">
        <f t="shared" si="47"/>
        <v>0</v>
      </c>
      <c r="BM87" s="33" t="str">
        <f t="shared" si="48"/>
        <v>Outras embalagens de plástico</v>
      </c>
      <c r="BN87" s="36">
        <f>IFERROR(IF(INDEX(tbl_metas_art7[Meta_2030],MATCH(BM87,tbl_metas_art7[Categoria_Art7],0))="","",INDEX(tbl_metas_art7[Meta_2030],MATCH(BM87,tbl_metas_art7[Categoria_Art7],0))),"")</f>
        <v>0.35</v>
      </c>
      <c r="BO87" s="40">
        <f t="shared" si="49"/>
        <v>0.35</v>
      </c>
      <c r="BP87" s="33" t="str">
        <f t="shared" si="50"/>
        <v>Não</v>
      </c>
      <c r="BQ87" s="33" t="str">
        <f t="shared" si="51"/>
        <v>Monomaterial (mesma família)</v>
      </c>
      <c r="BR87" s="37">
        <v>35135</v>
      </c>
      <c r="BS87" s="39">
        <v>5</v>
      </c>
      <c r="BT87" s="26" t="s">
        <v>768</v>
      </c>
      <c r="BU87" s="32">
        <f t="shared" si="52"/>
        <v>1725.1285</v>
      </c>
      <c r="BV87" s="31">
        <f>COUNTIFS(tbl_aplicabilidade[ProductId],B87,tbl_aplicabilidade[Aplicavel],"Sim")</f>
        <v>12</v>
      </c>
      <c r="BW87" s="31">
        <f>COUNTIFS(tbl_aplicabilidade[ProductId],B87,tbl_aplicabilidade[Estado_Resumo],"Lacuna")+COUNTIFS(tbl_aplicabilidade[ProductId],B87,tbl_aplicabilidade[Estado_Resumo],"Não conforme")</f>
        <v>1</v>
      </c>
      <c r="BX87" s="41">
        <v>46287</v>
      </c>
      <c r="BY87" s="42">
        <f t="shared" si="53"/>
        <v>46652</v>
      </c>
      <c r="BZ87" s="26" t="s">
        <v>596</v>
      </c>
      <c r="CA87" s="26" t="s">
        <v>597</v>
      </c>
      <c r="CB87" s="26" t="s">
        <v>598</v>
      </c>
    </row>
    <row r="88" spans="1:80" ht="18" customHeight="1" x14ac:dyDescent="0.3">
      <c r="A88" s="26" t="s">
        <v>804</v>
      </c>
      <c r="B88" s="26" t="s">
        <v>805</v>
      </c>
      <c r="C88" s="26" t="s">
        <v>586</v>
      </c>
      <c r="D88" s="26" t="s">
        <v>587</v>
      </c>
      <c r="E88" s="26" t="s">
        <v>588</v>
      </c>
      <c r="F88" s="26" t="s">
        <v>589</v>
      </c>
      <c r="G88" s="26" t="s">
        <v>641</v>
      </c>
      <c r="H88" s="37">
        <v>1000</v>
      </c>
      <c r="I88" s="37">
        <v>172</v>
      </c>
      <c r="J88" s="26" t="s">
        <v>249</v>
      </c>
      <c r="K88" s="33" t="str">
        <f>IFERROR(INDEX(tbl_materiais[Polimero_Base],MATCH(J88,tbl_materiais[Material],0)),"")</f>
        <v>PET</v>
      </c>
      <c r="L88" s="33" t="str">
        <f>IFERROR(INDEX(tbl_materiais[Fluxo_Reciclagem],MATCH(J88,tbl_materiais[Material],0)),"")</f>
        <v>PET frascos e garrafas</v>
      </c>
      <c r="M88" s="33" t="str">
        <f t="shared" si="36"/>
        <v>PET — garrafas/frascos transparentes incolores</v>
      </c>
      <c r="N88" s="26" t="s">
        <v>610</v>
      </c>
      <c r="O88" s="26" t="s">
        <v>279</v>
      </c>
      <c r="P88" s="26" t="s">
        <v>611</v>
      </c>
      <c r="Q88" s="29">
        <v>0</v>
      </c>
      <c r="R88" s="35">
        <f>IFERROR(ROUND(INDEX(tbl_materiais[Densidade_g_cm3],MATCH(J88,tbl_materiais[Material],0))+Q88*1.2,3),"")</f>
        <v>1.38</v>
      </c>
      <c r="S88" s="26" t="s">
        <v>302</v>
      </c>
      <c r="T88" s="34">
        <v>49.1</v>
      </c>
      <c r="U88" s="26" t="s">
        <v>593</v>
      </c>
      <c r="V88" s="26" t="s">
        <v>452</v>
      </c>
      <c r="W88" s="33" t="str">
        <f>IF(V88="","",IFERROR(INDEX(tbl_tampas[Material],MATCH(V88,tbl_tampas[CapId],0)),""))</f>
        <v>PP</v>
      </c>
      <c r="X88" s="33" t="str">
        <f>IF(V88="","Sem tampa",IFERROR(INDEX(tbl_materiais[Polimero_Base],MATCH(W88,tbl_materiais[Material],0)),""))</f>
        <v>PP</v>
      </c>
      <c r="Y88" s="38">
        <f>IF(V88="",0,IFERROR(INDEX(tbl_tampas[Massa_g],MATCH(V88,tbl_tampas[CapId],0)),0))</f>
        <v>14.3</v>
      </c>
      <c r="Z88" s="26" t="s">
        <v>319</v>
      </c>
      <c r="AA88" s="26" t="s">
        <v>327</v>
      </c>
      <c r="AB88" s="26" t="s">
        <v>342</v>
      </c>
      <c r="AC88" s="29">
        <v>0.4</v>
      </c>
      <c r="AD88" s="27">
        <v>1.02</v>
      </c>
      <c r="AE88" s="26" t="s">
        <v>604</v>
      </c>
      <c r="AF88" s="26" t="s">
        <v>302</v>
      </c>
      <c r="AG88" s="39">
        <v>0</v>
      </c>
      <c r="AH88" s="33" t="str">
        <f t="shared" si="37"/>
        <v>Nenhuma</v>
      </c>
      <c r="AI88" s="27">
        <v>0</v>
      </c>
      <c r="AJ88" s="33" t="str">
        <f>IFERROR(INDEX(tbl_regras_dfr[Classe],MATCH(L88&amp;"|Fluxo de reciclagem|"&amp;L88,tbl_regras_dfr[Chave],0)),"Sem regra")</f>
        <v>A</v>
      </c>
      <c r="AK88" s="33" t="str">
        <f>IF(LEFT(L88,9)="Sem fluxo","—",IFERROR(INDEX(tbl_regras_dfr[Classe],MATCH(L88&amp;"|Cor do corpo|"&amp;O88,tbl_regras_dfr[Chave],0)),"Sem regra"))</f>
        <v>A</v>
      </c>
      <c r="AL88" s="33" t="str">
        <f>IF(LEFT(L88,9)="Sem fluxo","—",IFERROR(INDEX(tbl_regras_dfr[Classe],MATCH(L88&amp;"|Densidade do corpo|"&amp;IF(R88&lt;1,"&lt; 1,0 g/cm³","≥ 1,0 g/cm³"),tbl_regras_dfr[Chave],0)),"Sem regra"))</f>
        <v>A</v>
      </c>
      <c r="AM88" s="33" t="str">
        <f>IF(LEFT(L88,9)="Sem fluxo","—",IFERROR(INDEX(tbl_regras_dfr[Classe],MATCH(L88&amp;"|Barreira / revestimento|"&amp;S88,tbl_regras_dfr[Chave],0)),"Sem regra"))</f>
        <v>A</v>
      </c>
      <c r="AN88" s="33" t="str">
        <f>IF(LEFT(L88,9)="Sem fluxo","—",IFERROR(INDEX(tbl_regras_dfr[Classe],MATCH(L88&amp;"|Material da tampa|"&amp;X88,tbl_regras_dfr[Chave],0)),"Sem regra"))</f>
        <v>A</v>
      </c>
      <c r="AO88" s="33" t="str">
        <f>IF(LEFT(L88,9)="Sem fluxo","—",IFERROR(INDEX(tbl_regras_dfr[Classe],MATCH(L88&amp;"|Vedante / liner|"&amp;Z88,tbl_regras_dfr[Chave],0)),"Sem regra"))</f>
        <v>A</v>
      </c>
      <c r="AP88" s="33" t="str">
        <f>IF(LEFT(L88,9)="Sem fluxo","—",IFERROR(INDEX(tbl_regras_dfr[Classe],MATCH(L88&amp;"|Tipo de rótulo|"&amp;AA88,tbl_regras_dfr[Chave],0)),"Sem regra"))</f>
        <v>A</v>
      </c>
      <c r="AQ88" s="33" t="str">
        <f>IF(LEFT(L88,9)="Sem fluxo","—",IFERROR(INDEX(tbl_regras_dfr[Classe],MATCH(L88&amp;"|Adesivo do rótulo|"&amp;AB88,tbl_regras_dfr[Chave],0)),"Sem regra"))</f>
        <v>C</v>
      </c>
      <c r="AR88" s="33" t="str">
        <f>IF(LEFT(L88,9)="Sem fluxo","—",IFERROR(INDEX(tbl_regras_dfr[Classe],MATCH(L88&amp;"|Cobertura do rótulo|"&amp;IF(AC88&gt;0.7,"&gt; 70% da superfície","≤ 70% da superfície"),tbl_regras_dfr[Chave],0)),"Sem regra"))</f>
        <v>A</v>
      </c>
      <c r="AS88" s="33" t="str">
        <f>IF(LEFT(L88,9)="Sem fluxo","—",IFERROR(INDEX(tbl_regras_dfr[Classe],MATCH(L88&amp;"|Decoração direta|"&amp;AH88,tbl_regras_dfr[Chave],0)),"Sem regra"))</f>
        <v>A</v>
      </c>
      <c r="AT88" s="31">
        <f t="shared" si="38"/>
        <v>3</v>
      </c>
      <c r="AU88" s="33" t="str">
        <f>IF(AT88=0,"",INDEX({"A","B","C","D","E","F"},AT88))</f>
        <v>C</v>
      </c>
      <c r="AV88" s="31">
        <f t="shared" si="39"/>
        <v>0</v>
      </c>
      <c r="AW88" s="33" t="str">
        <f t="shared" si="40"/>
        <v>Adesivo</v>
      </c>
      <c r="AX88" s="33" t="str">
        <f>IF(AU88="A","Sem ação — manter o design.",IFERROR(INDEX(tbl_regras_dfr[Recomendacao],MATCH(CHOOSE(MATCH(AU88,AJ88:AS88,0),L88&amp;"|Fluxo de reciclagem|"&amp;L88,L88&amp;"|Cor do corpo|"&amp;O88,L88&amp;"|Densidade do corpo|"&amp;IF(R88&lt;1,"&lt; 1,0 g/cm³","≥ 1,0 g/cm³"),L88&amp;"|Barreira / revestimento|"&amp;S88,L88&amp;"|Material da tampa|"&amp;X88,L88&amp;"|Vedante / liner|"&amp;Z88,L88&amp;"|Tipo de rótulo|"&amp;AA88,L88&amp;"|Adesivo do rótulo|"&amp;AB88,L88&amp;"|Cobertura do rótulo|"&amp;IF(AC88&gt;0.7,"&gt; 70% da superfície","≤ 70% da superfície"),L88&amp;"|Decoração direta|"&amp;AH88),tbl_regras_dfr[Chave],0)),""))</f>
        <v>Exigir ao cliente adesivo lavável a 80 °C (teste de lavabilidade).</v>
      </c>
      <c r="AY88" s="38">
        <f t="shared" si="41"/>
        <v>64.42</v>
      </c>
      <c r="AZ88" s="36">
        <f>MIN(IFERROR(INDEX(tbl_regras_dfr[Fracao_Reciclavel],MATCH(L88&amp;"|Fluxo de reciclagem|"&amp;L88,tbl_regras_dfr[Chave],0)),0),IFERROR(INDEX(tbl_regras_dfr[Fracao_Reciclavel],MATCH(L88&amp;"|Cor do corpo|"&amp;O88,tbl_regras_dfr[Chave],0)),0))</f>
        <v>1</v>
      </c>
      <c r="BA88" s="36">
        <f>IFERROR(INDEX(tbl_regras_dfr[Fracao_Reciclavel],MATCH(L88&amp;"|Material da tampa|"&amp;X88,tbl_regras_dfr[Chave],0)),0)</f>
        <v>1</v>
      </c>
      <c r="BB88" s="36">
        <f>IFERROR(INDEX(tbl_regras_dfr[Fracao_Reciclavel],MATCH(L88&amp;"|Tipo de rótulo|"&amp;AA88,tbl_regras_dfr[Chave],0)),0)</f>
        <v>1</v>
      </c>
      <c r="BC88" s="38">
        <f t="shared" si="42"/>
        <v>64.42</v>
      </c>
      <c r="BD88" s="40">
        <f t="shared" si="43"/>
        <v>1</v>
      </c>
      <c r="BE88" s="33" t="str">
        <f>IF(BD88&gt;=INDEX(tbl_param_emb[Valor],MATCH("P-06",tbl_param_emb[ID_Parametro],0)),"A",IF(BD88&gt;=INDEX(tbl_param_emb[Valor],MATCH("P-07",tbl_param_emb[ID_Parametro],0)),"B",IF(BD88&gt;=INDEX(tbl_param_emb[Valor],MATCH("P-08",tbl_param_emb[ID_Parametro],0)),"C","&lt; 70%")))</f>
        <v>A</v>
      </c>
      <c r="BF88" s="33" t="str">
        <f>IF(AU88="F","Não reciclável (F)",INDEX({"A","B","C","Abaixo de C"},MAX(MIN(AT88,4),IF(BE88="A",1,IF(BE88="B",2,IF(BE88="C",3,4))))))</f>
        <v>C</v>
      </c>
      <c r="BG88" s="33" t="str">
        <f t="shared" si="44"/>
        <v>—</v>
      </c>
      <c r="BH88" s="33" t="str">
        <f t="shared" si="45"/>
        <v>Sim</v>
      </c>
      <c r="BI88" s="33" t="str">
        <f t="shared" si="46"/>
        <v>Não</v>
      </c>
      <c r="BJ88" s="36">
        <f>IFERROR(INDEX(tbl_materiais[Pct_PCR],MATCH(J88,tbl_materiais[Material],0)),0)</f>
        <v>0</v>
      </c>
      <c r="BK88" s="36">
        <f>IF(V88="",0,IFERROR(INDEX(tbl_tampas[Pct_PCR],MATCH(V88,tbl_tampas[CapId],0)),0))</f>
        <v>0</v>
      </c>
      <c r="BL88" s="40">
        <f t="shared" si="47"/>
        <v>0</v>
      </c>
      <c r="BM88" s="33" t="str">
        <f t="shared" si="48"/>
        <v>Outras embalagens de plástico</v>
      </c>
      <c r="BN88" s="36">
        <f>IFERROR(IF(INDEX(tbl_metas_art7[Meta_2030],MATCH(BM88,tbl_metas_art7[Categoria_Art7],0))="","",INDEX(tbl_metas_art7[Meta_2030],MATCH(BM88,tbl_metas_art7[Categoria_Art7],0))),"")</f>
        <v>0.35</v>
      </c>
      <c r="BO88" s="40">
        <f t="shared" si="49"/>
        <v>0.35</v>
      </c>
      <c r="BP88" s="33" t="str">
        <f t="shared" si="50"/>
        <v>Não</v>
      </c>
      <c r="BQ88" s="33" t="str">
        <f t="shared" si="51"/>
        <v>Multimaterial</v>
      </c>
      <c r="BR88" s="37">
        <v>148672</v>
      </c>
      <c r="BS88" s="39">
        <v>14</v>
      </c>
      <c r="BT88" s="26" t="s">
        <v>426</v>
      </c>
      <c r="BU88" s="32">
        <f t="shared" si="52"/>
        <v>7299.7952000000005</v>
      </c>
      <c r="BV88" s="31">
        <f>COUNTIFS(tbl_aplicabilidade[ProductId],B88,tbl_aplicabilidade[Aplicavel],"Sim")</f>
        <v>12</v>
      </c>
      <c r="BW88" s="31">
        <f>COUNTIFS(tbl_aplicabilidade[ProductId],B88,tbl_aplicabilidade[Estado_Resumo],"Lacuna")+COUNTIFS(tbl_aplicabilidade[ProductId],B88,tbl_aplicabilidade[Estado_Resumo],"Não conforme")</f>
        <v>1</v>
      </c>
      <c r="BX88" s="41">
        <v>46287</v>
      </c>
      <c r="BY88" s="42">
        <f t="shared" si="53"/>
        <v>46652</v>
      </c>
      <c r="BZ88" s="26" t="s">
        <v>596</v>
      </c>
      <c r="CA88" s="26" t="s">
        <v>597</v>
      </c>
      <c r="CB88" s="26" t="s">
        <v>598</v>
      </c>
    </row>
    <row r="89" spans="1:80" ht="18" customHeight="1" x14ac:dyDescent="0.3">
      <c r="A89" s="26" t="s">
        <v>806</v>
      </c>
      <c r="B89" s="26" t="s">
        <v>807</v>
      </c>
      <c r="C89" s="26" t="s">
        <v>586</v>
      </c>
      <c r="D89" s="26" t="s">
        <v>587</v>
      </c>
      <c r="E89" s="26" t="s">
        <v>588</v>
      </c>
      <c r="F89" s="26" t="s">
        <v>589</v>
      </c>
      <c r="G89" s="26" t="s">
        <v>641</v>
      </c>
      <c r="H89" s="37">
        <v>1000</v>
      </c>
      <c r="I89" s="37">
        <v>172</v>
      </c>
      <c r="J89" s="26" t="s">
        <v>249</v>
      </c>
      <c r="K89" s="33" t="str">
        <f>IFERROR(INDEX(tbl_materiais[Polimero_Base],MATCH(J89,tbl_materiais[Material],0)),"")</f>
        <v>PET</v>
      </c>
      <c r="L89" s="33" t="str">
        <f>IFERROR(INDEX(tbl_materiais[Fluxo_Reciclagem],MATCH(J89,tbl_materiais[Material],0)),"")</f>
        <v>PET frascos e garrafas</v>
      </c>
      <c r="M89" s="33" t="str">
        <f t="shared" si="36"/>
        <v>PET — garrafas/frascos transparentes incolores</v>
      </c>
      <c r="N89" s="26" t="s">
        <v>610</v>
      </c>
      <c r="O89" s="26" t="s">
        <v>279</v>
      </c>
      <c r="P89" s="26" t="s">
        <v>611</v>
      </c>
      <c r="Q89" s="29">
        <v>0</v>
      </c>
      <c r="R89" s="35">
        <f>IFERROR(ROUND(INDEX(tbl_materiais[Densidade_g_cm3],MATCH(J89,tbl_materiais[Material],0))+Q89*1.2,3),"")</f>
        <v>1.38</v>
      </c>
      <c r="S89" s="26" t="s">
        <v>302</v>
      </c>
      <c r="T89" s="34">
        <v>49.1</v>
      </c>
      <c r="U89" s="26" t="s">
        <v>593</v>
      </c>
      <c r="V89" s="26" t="s">
        <v>473</v>
      </c>
      <c r="W89" s="33" t="str">
        <f>IF(V89="","",IFERROR(INDEX(tbl_tampas[Material],MATCH(V89,tbl_tampas[CapId],0)),""))</f>
        <v>PP</v>
      </c>
      <c r="X89" s="33" t="str">
        <f>IF(V89="","Sem tampa",IFERROR(INDEX(tbl_materiais[Polimero_Base],MATCH(W89,tbl_materiais[Material],0)),""))</f>
        <v>PP</v>
      </c>
      <c r="Y89" s="38">
        <f>IF(V89="",0,IFERROR(INDEX(tbl_tampas[Massa_g],MATCH(V89,tbl_tampas[CapId],0)),0))</f>
        <v>19.3</v>
      </c>
      <c r="Z89" s="26" t="s">
        <v>319</v>
      </c>
      <c r="AA89" s="26" t="s">
        <v>326</v>
      </c>
      <c r="AB89" s="26" t="s">
        <v>340</v>
      </c>
      <c r="AC89" s="29">
        <v>0</v>
      </c>
      <c r="AD89" s="27">
        <v>0</v>
      </c>
      <c r="AE89" s="26" t="s">
        <v>594</v>
      </c>
      <c r="AF89" s="26" t="s">
        <v>595</v>
      </c>
      <c r="AG89" s="39">
        <v>1</v>
      </c>
      <c r="AH89" s="33" t="str">
        <f t="shared" si="37"/>
        <v>Serigrafia 1–2 cores</v>
      </c>
      <c r="AI89" s="27">
        <v>0.08</v>
      </c>
      <c r="AJ89" s="33" t="str">
        <f>IFERROR(INDEX(tbl_regras_dfr[Classe],MATCH(L89&amp;"|Fluxo de reciclagem|"&amp;L89,tbl_regras_dfr[Chave],0)),"Sem regra")</f>
        <v>A</v>
      </c>
      <c r="AK89" s="33" t="str">
        <f>IF(LEFT(L89,9)="Sem fluxo","—",IFERROR(INDEX(tbl_regras_dfr[Classe],MATCH(L89&amp;"|Cor do corpo|"&amp;O89,tbl_regras_dfr[Chave],0)),"Sem regra"))</f>
        <v>A</v>
      </c>
      <c r="AL89" s="33" t="str">
        <f>IF(LEFT(L89,9)="Sem fluxo","—",IFERROR(INDEX(tbl_regras_dfr[Classe],MATCH(L89&amp;"|Densidade do corpo|"&amp;IF(R89&lt;1,"&lt; 1,0 g/cm³","≥ 1,0 g/cm³"),tbl_regras_dfr[Chave],0)),"Sem regra"))</f>
        <v>A</v>
      </c>
      <c r="AM89" s="33" t="str">
        <f>IF(LEFT(L89,9)="Sem fluxo","—",IFERROR(INDEX(tbl_regras_dfr[Classe],MATCH(L89&amp;"|Barreira / revestimento|"&amp;S89,tbl_regras_dfr[Chave],0)),"Sem regra"))</f>
        <v>A</v>
      </c>
      <c r="AN89" s="33" t="str">
        <f>IF(LEFT(L89,9)="Sem fluxo","—",IFERROR(INDEX(tbl_regras_dfr[Classe],MATCH(L89&amp;"|Material da tampa|"&amp;X89,tbl_regras_dfr[Chave],0)),"Sem regra"))</f>
        <v>A</v>
      </c>
      <c r="AO89" s="33" t="str">
        <f>IF(LEFT(L89,9)="Sem fluxo","—",IFERROR(INDEX(tbl_regras_dfr[Classe],MATCH(L89&amp;"|Vedante / liner|"&amp;Z89,tbl_regras_dfr[Chave],0)),"Sem regra"))</f>
        <v>A</v>
      </c>
      <c r="AP89" s="33" t="str">
        <f>IF(LEFT(L89,9)="Sem fluxo","—",IFERROR(INDEX(tbl_regras_dfr[Classe],MATCH(L89&amp;"|Tipo de rótulo|"&amp;AA89,tbl_regras_dfr[Chave],0)),"Sem regra"))</f>
        <v>A</v>
      </c>
      <c r="AQ89" s="33" t="str">
        <f>IF(LEFT(L89,9)="Sem fluxo","—",IFERROR(INDEX(tbl_regras_dfr[Classe],MATCH(L89&amp;"|Adesivo do rótulo|"&amp;AB89,tbl_regras_dfr[Chave],0)),"Sem regra"))</f>
        <v>A</v>
      </c>
      <c r="AR89" s="33" t="str">
        <f>IF(LEFT(L89,9)="Sem fluxo","—",IFERROR(INDEX(tbl_regras_dfr[Classe],MATCH(L89&amp;"|Cobertura do rótulo|"&amp;IF(AC89&gt;0.7,"&gt; 70% da superfície","≤ 70% da superfície"),tbl_regras_dfr[Chave],0)),"Sem regra"))</f>
        <v>A</v>
      </c>
      <c r="AS89" s="33" t="str">
        <f>IF(LEFT(L89,9)="Sem fluxo","—",IFERROR(INDEX(tbl_regras_dfr[Classe],MATCH(L89&amp;"|Decoração direta|"&amp;AH89,tbl_regras_dfr[Chave],0)),"Sem regra"))</f>
        <v>D</v>
      </c>
      <c r="AT89" s="31">
        <f t="shared" si="38"/>
        <v>4</v>
      </c>
      <c r="AU89" s="33" t="str">
        <f>IF(AT89=0,"",INDEX({"A","B","C","D","E","F"},AT89))</f>
        <v>D</v>
      </c>
      <c r="AV89" s="31">
        <f t="shared" si="39"/>
        <v>0</v>
      </c>
      <c r="AW89" s="33" t="str">
        <f t="shared" si="40"/>
        <v>Decoracao</v>
      </c>
      <c r="AX89" s="33" t="str">
        <f>IF(AU89="A","Sem ação — manter o design.",IFERROR(INDEX(tbl_regras_dfr[Recomendacao],MATCH(CHOOSE(MATCH(AU89,AJ89:AS89,0),L89&amp;"|Fluxo de reciclagem|"&amp;L89,L89&amp;"|Cor do corpo|"&amp;O89,L89&amp;"|Densidade do corpo|"&amp;IF(R89&lt;1,"&lt; 1,0 g/cm³","≥ 1,0 g/cm³"),L89&amp;"|Barreira / revestimento|"&amp;S89,L89&amp;"|Material da tampa|"&amp;X89,L89&amp;"|Vedante / liner|"&amp;Z89,L89&amp;"|Tipo de rótulo|"&amp;AA89,L89&amp;"|Adesivo do rótulo|"&amp;AB89,L89&amp;"|Cobertura do rótulo|"&amp;IF(AC89&gt;0.7,"&gt; 70% da superfície","≤ 70% da superfície"),L89&amp;"|Decoração direta|"&amp;AH89),tbl_regras_dfr[Chave],0)),""))</f>
        <v>Rótulo de PE/PP ou tinta destintável em lavagem alcalina (validar).</v>
      </c>
      <c r="AY89" s="38">
        <f t="shared" si="41"/>
        <v>68.48</v>
      </c>
      <c r="AZ89" s="36">
        <f>MIN(IFERROR(INDEX(tbl_regras_dfr[Fracao_Reciclavel],MATCH(L89&amp;"|Fluxo de reciclagem|"&amp;L89,tbl_regras_dfr[Chave],0)),0),IFERROR(INDEX(tbl_regras_dfr[Fracao_Reciclavel],MATCH(L89&amp;"|Cor do corpo|"&amp;O89,tbl_regras_dfr[Chave],0)),0))</f>
        <v>1</v>
      </c>
      <c r="BA89" s="36">
        <f>IFERROR(INDEX(tbl_regras_dfr[Fracao_Reciclavel],MATCH(L89&amp;"|Material da tampa|"&amp;X89,tbl_regras_dfr[Chave],0)),0)</f>
        <v>1</v>
      </c>
      <c r="BB89" s="36">
        <f>IFERROR(INDEX(tbl_regras_dfr[Fracao_Reciclavel],MATCH(L89&amp;"|Tipo de rótulo|"&amp;AA89,tbl_regras_dfr[Chave],0)),0)</f>
        <v>1</v>
      </c>
      <c r="BC89" s="38">
        <f t="shared" si="42"/>
        <v>68.400000000000006</v>
      </c>
      <c r="BD89" s="40">
        <f t="shared" si="43"/>
        <v>0.99883177570093462</v>
      </c>
      <c r="BE89" s="33" t="str">
        <f>IF(BD89&gt;=INDEX(tbl_param_emb[Valor],MATCH("P-06",tbl_param_emb[ID_Parametro],0)),"A",IF(BD89&gt;=INDEX(tbl_param_emb[Valor],MATCH("P-07",tbl_param_emb[ID_Parametro],0)),"B",IF(BD89&gt;=INDEX(tbl_param_emb[Valor],MATCH("P-08",tbl_param_emb[ID_Parametro],0)),"C","&lt; 70%")))</f>
        <v>A</v>
      </c>
      <c r="BF89" s="33" t="str">
        <f>IF(AU89="F","Não reciclável (F)",INDEX({"A","B","C","Abaixo de C"},MAX(MIN(AT89,4),IF(BE89="A",1,IF(BE89="B",2,IF(BE89="C",3,4))))))</f>
        <v>Abaixo de C</v>
      </c>
      <c r="BG89" s="33" t="str">
        <f t="shared" si="44"/>
        <v>—</v>
      </c>
      <c r="BH89" s="33" t="str">
        <f t="shared" si="45"/>
        <v>Não</v>
      </c>
      <c r="BI89" s="33" t="str">
        <f t="shared" si="46"/>
        <v>Não</v>
      </c>
      <c r="BJ89" s="36">
        <f>IFERROR(INDEX(tbl_materiais[Pct_PCR],MATCH(J89,tbl_materiais[Material],0)),0)</f>
        <v>0</v>
      </c>
      <c r="BK89" s="36">
        <f>IF(V89="",0,IFERROR(INDEX(tbl_tampas[Pct_PCR],MATCH(V89,tbl_tampas[CapId],0)),0))</f>
        <v>0</v>
      </c>
      <c r="BL89" s="40">
        <f t="shared" si="47"/>
        <v>0</v>
      </c>
      <c r="BM89" s="33" t="str">
        <f t="shared" si="48"/>
        <v>Outras embalagens de plástico</v>
      </c>
      <c r="BN89" s="36">
        <f>IFERROR(IF(INDEX(tbl_metas_art7[Meta_2030],MATCH(BM89,tbl_metas_art7[Categoria_Art7],0))="","",INDEX(tbl_metas_art7[Meta_2030],MATCH(BM89,tbl_metas_art7[Categoria_Art7],0))),"")</f>
        <v>0.35</v>
      </c>
      <c r="BO89" s="40">
        <f t="shared" si="49"/>
        <v>0.35</v>
      </c>
      <c r="BP89" s="33" t="str">
        <f t="shared" si="50"/>
        <v>Não</v>
      </c>
      <c r="BQ89" s="33" t="str">
        <f t="shared" si="51"/>
        <v>Multimaterial</v>
      </c>
      <c r="BR89" s="37">
        <v>204699</v>
      </c>
      <c r="BS89" s="39">
        <v>14</v>
      </c>
      <c r="BT89" s="26" t="s">
        <v>426</v>
      </c>
      <c r="BU89" s="32">
        <f t="shared" si="52"/>
        <v>10050.7209</v>
      </c>
      <c r="BV89" s="31">
        <f>COUNTIFS(tbl_aplicabilidade[ProductId],B89,tbl_aplicabilidade[Aplicavel],"Sim")</f>
        <v>12</v>
      </c>
      <c r="BW89" s="31">
        <f>COUNTIFS(tbl_aplicabilidade[ProductId],B89,tbl_aplicabilidade[Estado_Resumo],"Lacuna")+COUNTIFS(tbl_aplicabilidade[ProductId],B89,tbl_aplicabilidade[Estado_Resumo],"Não conforme")</f>
        <v>2</v>
      </c>
      <c r="BX89" s="41">
        <v>46287</v>
      </c>
      <c r="BY89" s="42">
        <f t="shared" si="53"/>
        <v>46652</v>
      </c>
      <c r="BZ89" s="26" t="s">
        <v>596</v>
      </c>
      <c r="CA89" s="26" t="s">
        <v>597</v>
      </c>
      <c r="CB89" s="26" t="s">
        <v>598</v>
      </c>
    </row>
    <row r="90" spans="1:80" ht="18" customHeight="1" x14ac:dyDescent="0.3">
      <c r="A90" s="26" t="s">
        <v>808</v>
      </c>
      <c r="B90" s="26" t="s">
        <v>809</v>
      </c>
      <c r="C90" s="26" t="s">
        <v>586</v>
      </c>
      <c r="D90" s="26" t="s">
        <v>587</v>
      </c>
      <c r="E90" s="26" t="s">
        <v>588</v>
      </c>
      <c r="F90" s="26" t="s">
        <v>589</v>
      </c>
      <c r="G90" s="26" t="s">
        <v>641</v>
      </c>
      <c r="H90" s="37">
        <v>1000</v>
      </c>
      <c r="I90" s="37">
        <v>172</v>
      </c>
      <c r="J90" s="26" t="s">
        <v>249</v>
      </c>
      <c r="K90" s="33" t="str">
        <f>IFERROR(INDEX(tbl_materiais[Polimero_Base],MATCH(J90,tbl_materiais[Material],0)),"")</f>
        <v>PET</v>
      </c>
      <c r="L90" s="33" t="str">
        <f>IFERROR(INDEX(tbl_materiais[Fluxo_Reciclagem],MATCH(J90,tbl_materiais[Material],0)),"")</f>
        <v>PET frascos e garrafas</v>
      </c>
      <c r="M90" s="33" t="str">
        <f t="shared" si="36"/>
        <v>PET — garrafas/frascos transparentes incolores</v>
      </c>
      <c r="N90" s="26" t="s">
        <v>610</v>
      </c>
      <c r="O90" s="26" t="s">
        <v>279</v>
      </c>
      <c r="P90" s="26" t="s">
        <v>611</v>
      </c>
      <c r="Q90" s="29">
        <v>0</v>
      </c>
      <c r="R90" s="35">
        <f>IFERROR(ROUND(INDEX(tbl_materiais[Densidade_g_cm3],MATCH(J90,tbl_materiais[Material],0))+Q90*1.2,3),"")</f>
        <v>1.38</v>
      </c>
      <c r="S90" s="26" t="s">
        <v>302</v>
      </c>
      <c r="T90" s="34">
        <v>49.1</v>
      </c>
      <c r="U90" s="26" t="s">
        <v>593</v>
      </c>
      <c r="V90" s="26" t="s">
        <v>473</v>
      </c>
      <c r="W90" s="33" t="str">
        <f>IF(V90="","",IFERROR(INDEX(tbl_tampas[Material],MATCH(V90,tbl_tampas[CapId],0)),""))</f>
        <v>PP</v>
      </c>
      <c r="X90" s="33" t="str">
        <f>IF(V90="","Sem tampa",IFERROR(INDEX(tbl_materiais[Polimero_Base],MATCH(W90,tbl_materiais[Material],0)),""))</f>
        <v>PP</v>
      </c>
      <c r="Y90" s="38">
        <f>IF(V90="",0,IFERROR(INDEX(tbl_tampas[Massa_g],MATCH(V90,tbl_tampas[CapId],0)),0))</f>
        <v>19.3</v>
      </c>
      <c r="Z90" s="26" t="s">
        <v>319</v>
      </c>
      <c r="AA90" s="26" t="s">
        <v>326</v>
      </c>
      <c r="AB90" s="26" t="s">
        <v>340</v>
      </c>
      <c r="AC90" s="29">
        <v>0</v>
      </c>
      <c r="AD90" s="27">
        <v>0</v>
      </c>
      <c r="AE90" s="26" t="s">
        <v>594</v>
      </c>
      <c r="AF90" s="26" t="s">
        <v>359</v>
      </c>
      <c r="AG90" s="39">
        <v>1</v>
      </c>
      <c r="AH90" s="33" t="str">
        <f t="shared" si="37"/>
        <v>Hot foil metalizado</v>
      </c>
      <c r="AI90" s="27">
        <v>0.03</v>
      </c>
      <c r="AJ90" s="33" t="str">
        <f>IFERROR(INDEX(tbl_regras_dfr[Classe],MATCH(L90&amp;"|Fluxo de reciclagem|"&amp;L90,tbl_regras_dfr[Chave],0)),"Sem regra")</f>
        <v>A</v>
      </c>
      <c r="AK90" s="33" t="str">
        <f>IF(LEFT(L90,9)="Sem fluxo","—",IFERROR(INDEX(tbl_regras_dfr[Classe],MATCH(L90&amp;"|Cor do corpo|"&amp;O90,tbl_regras_dfr[Chave],0)),"Sem regra"))</f>
        <v>A</v>
      </c>
      <c r="AL90" s="33" t="str">
        <f>IF(LEFT(L90,9)="Sem fluxo","—",IFERROR(INDEX(tbl_regras_dfr[Classe],MATCH(L90&amp;"|Densidade do corpo|"&amp;IF(R90&lt;1,"&lt; 1,0 g/cm³","≥ 1,0 g/cm³"),tbl_regras_dfr[Chave],0)),"Sem regra"))</f>
        <v>A</v>
      </c>
      <c r="AM90" s="33" t="str">
        <f>IF(LEFT(L90,9)="Sem fluxo","—",IFERROR(INDEX(tbl_regras_dfr[Classe],MATCH(L90&amp;"|Barreira / revestimento|"&amp;S90,tbl_regras_dfr[Chave],0)),"Sem regra"))</f>
        <v>A</v>
      </c>
      <c r="AN90" s="33" t="str">
        <f>IF(LEFT(L90,9)="Sem fluxo","—",IFERROR(INDEX(tbl_regras_dfr[Classe],MATCH(L90&amp;"|Material da tampa|"&amp;X90,tbl_regras_dfr[Chave],0)),"Sem regra"))</f>
        <v>A</v>
      </c>
      <c r="AO90" s="33" t="str">
        <f>IF(LEFT(L90,9)="Sem fluxo","—",IFERROR(INDEX(tbl_regras_dfr[Classe],MATCH(L90&amp;"|Vedante / liner|"&amp;Z90,tbl_regras_dfr[Chave],0)),"Sem regra"))</f>
        <v>A</v>
      </c>
      <c r="AP90" s="33" t="str">
        <f>IF(LEFT(L90,9)="Sem fluxo","—",IFERROR(INDEX(tbl_regras_dfr[Classe],MATCH(L90&amp;"|Tipo de rótulo|"&amp;AA90,tbl_regras_dfr[Chave],0)),"Sem regra"))</f>
        <v>A</v>
      </c>
      <c r="AQ90" s="33" t="str">
        <f>IF(LEFT(L90,9)="Sem fluxo","—",IFERROR(INDEX(tbl_regras_dfr[Classe],MATCH(L90&amp;"|Adesivo do rótulo|"&amp;AB90,tbl_regras_dfr[Chave],0)),"Sem regra"))</f>
        <v>A</v>
      </c>
      <c r="AR90" s="33" t="str">
        <f>IF(LEFT(L90,9)="Sem fluxo","—",IFERROR(INDEX(tbl_regras_dfr[Classe],MATCH(L90&amp;"|Cobertura do rótulo|"&amp;IF(AC90&gt;0.7,"&gt; 70% da superfície","≤ 70% da superfície"),tbl_regras_dfr[Chave],0)),"Sem regra"))</f>
        <v>A</v>
      </c>
      <c r="AS90" s="33" t="str">
        <f>IF(LEFT(L90,9)="Sem fluxo","—",IFERROR(INDEX(tbl_regras_dfr[Classe],MATCH(L90&amp;"|Decoração direta|"&amp;AH90,tbl_regras_dfr[Chave],0)),"Sem regra"))</f>
        <v>D</v>
      </c>
      <c r="AT90" s="31">
        <f t="shared" si="38"/>
        <v>4</v>
      </c>
      <c r="AU90" s="33" t="str">
        <f>IF(AT90=0,"",INDEX({"A","B","C","D","E","F"},AT90))</f>
        <v>D</v>
      </c>
      <c r="AV90" s="31">
        <f t="shared" si="39"/>
        <v>0</v>
      </c>
      <c r="AW90" s="33" t="str">
        <f t="shared" si="40"/>
        <v>Decoracao</v>
      </c>
      <c r="AX90" s="33" t="str">
        <f>IF(AU90="A","Sem ação — manter o design.",IFERROR(INDEX(tbl_regras_dfr[Recomendacao],MATCH(CHOOSE(MATCH(AU90,AJ90:AS90,0),L90&amp;"|Fluxo de reciclagem|"&amp;L90,L90&amp;"|Cor do corpo|"&amp;O90,L90&amp;"|Densidade do corpo|"&amp;IF(R90&lt;1,"&lt; 1,0 g/cm³","≥ 1,0 g/cm³"),L90&amp;"|Barreira / revestimento|"&amp;S90,L90&amp;"|Material da tampa|"&amp;X90,L90&amp;"|Vedante / liner|"&amp;Z90,L90&amp;"|Tipo de rótulo|"&amp;AA90,L90&amp;"|Adesivo do rótulo|"&amp;AB90,L90&amp;"|Cobertura do rótulo|"&amp;IF(AC90&gt;0.7,"&gt; 70% da superfície","≤ 70% da superfície"),L90&amp;"|Decoração direta|"&amp;AH90),tbl_regras_dfr[Chave],0)),""))</f>
        <v>Rótulo metalizado de PE/PP destacável.</v>
      </c>
      <c r="AY90" s="38">
        <f t="shared" si="41"/>
        <v>68.430000000000007</v>
      </c>
      <c r="AZ90" s="36">
        <f>MIN(IFERROR(INDEX(tbl_regras_dfr[Fracao_Reciclavel],MATCH(L90&amp;"|Fluxo de reciclagem|"&amp;L90,tbl_regras_dfr[Chave],0)),0),IFERROR(INDEX(tbl_regras_dfr[Fracao_Reciclavel],MATCH(L90&amp;"|Cor do corpo|"&amp;O90,tbl_regras_dfr[Chave],0)),0))</f>
        <v>1</v>
      </c>
      <c r="BA90" s="36">
        <f>IFERROR(INDEX(tbl_regras_dfr[Fracao_Reciclavel],MATCH(L90&amp;"|Material da tampa|"&amp;X90,tbl_regras_dfr[Chave],0)),0)</f>
        <v>1</v>
      </c>
      <c r="BB90" s="36">
        <f>IFERROR(INDEX(tbl_regras_dfr[Fracao_Reciclavel],MATCH(L90&amp;"|Tipo de rótulo|"&amp;AA90,tbl_regras_dfr[Chave],0)),0)</f>
        <v>1</v>
      </c>
      <c r="BC90" s="38">
        <f t="shared" si="42"/>
        <v>68.400000000000006</v>
      </c>
      <c r="BD90" s="40">
        <f t="shared" si="43"/>
        <v>0.99956159579131953</v>
      </c>
      <c r="BE90" s="33" t="str">
        <f>IF(BD90&gt;=INDEX(tbl_param_emb[Valor],MATCH("P-06",tbl_param_emb[ID_Parametro],0)),"A",IF(BD90&gt;=INDEX(tbl_param_emb[Valor],MATCH("P-07",tbl_param_emb[ID_Parametro],0)),"B",IF(BD90&gt;=INDEX(tbl_param_emb[Valor],MATCH("P-08",tbl_param_emb[ID_Parametro],0)),"C","&lt; 70%")))</f>
        <v>A</v>
      </c>
      <c r="BF90" s="33" t="str">
        <f>IF(AU90="F","Não reciclável (F)",INDEX({"A","B","C","Abaixo de C"},MAX(MIN(AT90,4),IF(BE90="A",1,IF(BE90="B",2,IF(BE90="C",3,4))))))</f>
        <v>Abaixo de C</v>
      </c>
      <c r="BG90" s="33" t="str">
        <f t="shared" si="44"/>
        <v>—</v>
      </c>
      <c r="BH90" s="33" t="str">
        <f t="shared" si="45"/>
        <v>Não</v>
      </c>
      <c r="BI90" s="33" t="str">
        <f t="shared" si="46"/>
        <v>Não</v>
      </c>
      <c r="BJ90" s="36">
        <f>IFERROR(INDEX(tbl_materiais[Pct_PCR],MATCH(J90,tbl_materiais[Material],0)),0)</f>
        <v>0</v>
      </c>
      <c r="BK90" s="36">
        <f>IF(V90="",0,IFERROR(INDEX(tbl_tampas[Pct_PCR],MATCH(V90,tbl_tampas[CapId],0)),0))</f>
        <v>0</v>
      </c>
      <c r="BL90" s="40">
        <f t="shared" si="47"/>
        <v>0</v>
      </c>
      <c r="BM90" s="33" t="str">
        <f t="shared" si="48"/>
        <v>Outras embalagens de plástico</v>
      </c>
      <c r="BN90" s="36">
        <f>IFERROR(IF(INDEX(tbl_metas_art7[Meta_2030],MATCH(BM90,tbl_metas_art7[Categoria_Art7],0))="","",INDEX(tbl_metas_art7[Meta_2030],MATCH(BM90,tbl_metas_art7[Categoria_Art7],0))),"")</f>
        <v>0.35</v>
      </c>
      <c r="BO90" s="40">
        <f t="shared" si="49"/>
        <v>0.35</v>
      </c>
      <c r="BP90" s="33" t="str">
        <f t="shared" si="50"/>
        <v>Não</v>
      </c>
      <c r="BQ90" s="33" t="str">
        <f t="shared" si="51"/>
        <v>Multimaterial</v>
      </c>
      <c r="BR90" s="37">
        <v>48392</v>
      </c>
      <c r="BS90" s="39">
        <v>9</v>
      </c>
      <c r="BT90" s="26" t="s">
        <v>810</v>
      </c>
      <c r="BU90" s="32">
        <f t="shared" si="52"/>
        <v>2376.0472</v>
      </c>
      <c r="BV90" s="31">
        <f>COUNTIFS(tbl_aplicabilidade[ProductId],B90,tbl_aplicabilidade[Aplicavel],"Sim")</f>
        <v>12</v>
      </c>
      <c r="BW90" s="31">
        <f>COUNTIFS(tbl_aplicabilidade[ProductId],B90,tbl_aplicabilidade[Estado_Resumo],"Lacuna")+COUNTIFS(tbl_aplicabilidade[ProductId],B90,tbl_aplicabilidade[Estado_Resumo],"Não conforme")</f>
        <v>2</v>
      </c>
      <c r="BX90" s="41">
        <v>46287</v>
      </c>
      <c r="BY90" s="42">
        <f t="shared" si="53"/>
        <v>46652</v>
      </c>
      <c r="BZ90" s="26" t="s">
        <v>596</v>
      </c>
      <c r="CA90" s="26" t="s">
        <v>597</v>
      </c>
      <c r="CB90" s="26" t="s">
        <v>598</v>
      </c>
    </row>
    <row r="91" spans="1:80" ht="18" customHeight="1" x14ac:dyDescent="0.3">
      <c r="A91" s="26" t="s">
        <v>811</v>
      </c>
      <c r="B91" s="26" t="s">
        <v>812</v>
      </c>
      <c r="C91" s="26" t="s">
        <v>586</v>
      </c>
      <c r="D91" s="26" t="s">
        <v>587</v>
      </c>
      <c r="E91" s="26" t="s">
        <v>588</v>
      </c>
      <c r="F91" s="26" t="s">
        <v>589</v>
      </c>
      <c r="G91" s="26" t="s">
        <v>647</v>
      </c>
      <c r="H91" s="37">
        <v>1000</v>
      </c>
      <c r="I91" s="37">
        <v>172</v>
      </c>
      <c r="J91" s="26" t="s">
        <v>255</v>
      </c>
      <c r="K91" s="33" t="str">
        <f>IFERROR(INDEX(tbl_materiais[Polimero_Base],MATCH(J91,tbl_materiais[Material],0)),"")</f>
        <v>PETG</v>
      </c>
      <c r="L91" s="33" t="str">
        <f>IFERROR(INDEX(tbl_materiais[Fluxo_Reciclagem],MATCH(J91,tbl_materiais[Material],0)),"")</f>
        <v>Sem fluxo (PETG)</v>
      </c>
      <c r="M91" s="33" t="str">
        <f t="shared" si="36"/>
        <v>Sem categoria RecyClass (PETG)</v>
      </c>
      <c r="N91" s="26" t="s">
        <v>610</v>
      </c>
      <c r="O91" s="26" t="s">
        <v>279</v>
      </c>
      <c r="P91" s="26" t="s">
        <v>611</v>
      </c>
      <c r="Q91" s="29">
        <v>0</v>
      </c>
      <c r="R91" s="35">
        <f>IFERROR(ROUND(INDEX(tbl_materiais[Densidade_g_cm3],MATCH(J91,tbl_materiais[Material],0))+Q91*1.2,3),"")</f>
        <v>1.27</v>
      </c>
      <c r="S91" s="26" t="s">
        <v>302</v>
      </c>
      <c r="T91" s="34">
        <v>49.1</v>
      </c>
      <c r="U91" s="26" t="s">
        <v>593</v>
      </c>
      <c r="V91" s="26" t="s">
        <v>458</v>
      </c>
      <c r="W91" s="33" t="str">
        <f>IF(V91="","",IFERROR(INDEX(tbl_tampas[Material],MATCH(V91,tbl_tampas[CapId],0)),""))</f>
        <v>PETG</v>
      </c>
      <c r="X91" s="33" t="str">
        <f>IF(V91="","Sem tampa",IFERROR(INDEX(tbl_materiais[Polimero_Base],MATCH(W91,tbl_materiais[Material],0)),""))</f>
        <v>PETG</v>
      </c>
      <c r="Y91" s="38">
        <f>IF(V91="",0,IFERROR(INDEX(tbl_tampas[Massa_g],MATCH(V91,tbl_tampas[CapId],0)),0))</f>
        <v>16.7</v>
      </c>
      <c r="Z91" s="26" t="s">
        <v>319</v>
      </c>
      <c r="AA91" s="26" t="s">
        <v>327</v>
      </c>
      <c r="AB91" s="26" t="s">
        <v>343</v>
      </c>
      <c r="AC91" s="29">
        <v>0.4</v>
      </c>
      <c r="AD91" s="27">
        <v>1.02</v>
      </c>
      <c r="AE91" s="26" t="s">
        <v>604</v>
      </c>
      <c r="AF91" s="26" t="s">
        <v>302</v>
      </c>
      <c r="AG91" s="39">
        <v>0</v>
      </c>
      <c r="AH91" s="33" t="str">
        <f t="shared" si="37"/>
        <v>Nenhuma</v>
      </c>
      <c r="AI91" s="27">
        <v>0</v>
      </c>
      <c r="AJ91" s="33" t="str">
        <f>IFERROR(INDEX(tbl_regras_dfr[Classe],MATCH(L91&amp;"|Fluxo de reciclagem|"&amp;L91,tbl_regras_dfr[Chave],0)),"Sem regra")</f>
        <v>F</v>
      </c>
      <c r="AK91" s="33" t="str">
        <f>IF(LEFT(L91,9)="Sem fluxo","—",IFERROR(INDEX(tbl_regras_dfr[Classe],MATCH(L91&amp;"|Cor do corpo|"&amp;O91,tbl_regras_dfr[Chave],0)),"Sem regra"))</f>
        <v>—</v>
      </c>
      <c r="AL91" s="33" t="str">
        <f>IF(LEFT(L91,9)="Sem fluxo","—",IFERROR(INDEX(tbl_regras_dfr[Classe],MATCH(L91&amp;"|Densidade do corpo|"&amp;IF(R91&lt;1,"&lt; 1,0 g/cm³","≥ 1,0 g/cm³"),tbl_regras_dfr[Chave],0)),"Sem regra"))</f>
        <v>—</v>
      </c>
      <c r="AM91" s="33" t="str">
        <f>IF(LEFT(L91,9)="Sem fluxo","—",IFERROR(INDEX(tbl_regras_dfr[Classe],MATCH(L91&amp;"|Barreira / revestimento|"&amp;S91,tbl_regras_dfr[Chave],0)),"Sem regra"))</f>
        <v>—</v>
      </c>
      <c r="AN91" s="33" t="str">
        <f>IF(LEFT(L91,9)="Sem fluxo","—",IFERROR(INDEX(tbl_regras_dfr[Classe],MATCH(L91&amp;"|Material da tampa|"&amp;X91,tbl_regras_dfr[Chave],0)),"Sem regra"))</f>
        <v>—</v>
      </c>
      <c r="AO91" s="33" t="str">
        <f>IF(LEFT(L91,9)="Sem fluxo","—",IFERROR(INDEX(tbl_regras_dfr[Classe],MATCH(L91&amp;"|Vedante / liner|"&amp;Z91,tbl_regras_dfr[Chave],0)),"Sem regra"))</f>
        <v>—</v>
      </c>
      <c r="AP91" s="33" t="str">
        <f>IF(LEFT(L91,9)="Sem fluxo","—",IFERROR(INDEX(tbl_regras_dfr[Classe],MATCH(L91&amp;"|Tipo de rótulo|"&amp;AA91,tbl_regras_dfr[Chave],0)),"Sem regra"))</f>
        <v>—</v>
      </c>
      <c r="AQ91" s="33" t="str">
        <f>IF(LEFT(L91,9)="Sem fluxo","—",IFERROR(INDEX(tbl_regras_dfr[Classe],MATCH(L91&amp;"|Adesivo do rótulo|"&amp;AB91,tbl_regras_dfr[Chave],0)),"Sem regra"))</f>
        <v>—</v>
      </c>
      <c r="AR91" s="33" t="str">
        <f>IF(LEFT(L91,9)="Sem fluxo","—",IFERROR(INDEX(tbl_regras_dfr[Classe],MATCH(L91&amp;"|Cobertura do rótulo|"&amp;IF(AC91&gt;0.7,"&gt; 70% da superfície","≤ 70% da superfície"),tbl_regras_dfr[Chave],0)),"Sem regra"))</f>
        <v>—</v>
      </c>
      <c r="AS91" s="33" t="str">
        <f>IF(LEFT(L91,9)="Sem fluxo","—",IFERROR(INDEX(tbl_regras_dfr[Classe],MATCH(L91&amp;"|Decoração direta|"&amp;AH91,tbl_regras_dfr[Chave],0)),"Sem regra"))</f>
        <v>—</v>
      </c>
      <c r="AT91" s="31">
        <f t="shared" si="38"/>
        <v>6</v>
      </c>
      <c r="AU91" s="33" t="str">
        <f>IF(AT91=0,"",INDEX({"A","B","C","D","E","F"},AT91))</f>
        <v>F</v>
      </c>
      <c r="AV91" s="31">
        <f t="shared" si="39"/>
        <v>0</v>
      </c>
      <c r="AW91" s="33" t="str">
        <f t="shared" si="40"/>
        <v>Fluxo</v>
      </c>
      <c r="AX91" s="33" t="str">
        <f>IF(AU91="A","Sem ação — manter o design.",IFERROR(INDEX(tbl_regras_dfr[Recomendacao],MATCH(CHOOSE(MATCH(AU91,AJ91:AS91,0),L91&amp;"|Fluxo de reciclagem|"&amp;L91,L91&amp;"|Cor do corpo|"&amp;O91,L91&amp;"|Densidade do corpo|"&amp;IF(R91&lt;1,"&lt; 1,0 g/cm³","≥ 1,0 g/cm³"),L91&amp;"|Barreira / revestimento|"&amp;S91,L91&amp;"|Material da tampa|"&amp;X91,L91&amp;"|Vedante / liner|"&amp;Z91,L91&amp;"|Tipo de rótulo|"&amp;AA91,L91&amp;"|Adesivo do rótulo|"&amp;AB91,L91&amp;"|Cobertura do rótulo|"&amp;IF(AC91&gt;0.7,"&gt; 70% da superfície","≤ 70% da superfície"),L91&amp;"|Decoração direta|"&amp;AH91),tbl_regras_dfr[Chave],0)),""))</f>
        <v>Mudar o corpo para PET (ou PP/PE) — PETG não passa a grau C em 2030.</v>
      </c>
      <c r="AY91" s="38">
        <f t="shared" si="41"/>
        <v>66.819999999999993</v>
      </c>
      <c r="AZ91" s="36">
        <f>MIN(IFERROR(INDEX(tbl_regras_dfr[Fracao_Reciclavel],MATCH(L91&amp;"|Fluxo de reciclagem|"&amp;L91,tbl_regras_dfr[Chave],0)),0),IFERROR(INDEX(tbl_regras_dfr[Fracao_Reciclavel],MATCH(L91&amp;"|Cor do corpo|"&amp;O91,tbl_regras_dfr[Chave],0)),0))</f>
        <v>0</v>
      </c>
      <c r="BA91" s="36">
        <f>IFERROR(INDEX(tbl_regras_dfr[Fracao_Reciclavel],MATCH(L91&amp;"|Material da tampa|"&amp;X91,tbl_regras_dfr[Chave],0)),0)</f>
        <v>0</v>
      </c>
      <c r="BB91" s="36">
        <f>IFERROR(INDEX(tbl_regras_dfr[Fracao_Reciclavel],MATCH(L91&amp;"|Tipo de rótulo|"&amp;AA91,tbl_regras_dfr[Chave],0)),0)</f>
        <v>0</v>
      </c>
      <c r="BC91" s="38">
        <f t="shared" si="42"/>
        <v>0</v>
      </c>
      <c r="BD91" s="40">
        <f t="shared" si="43"/>
        <v>0</v>
      </c>
      <c r="BE91" s="33" t="str">
        <f>IF(BD91&gt;=INDEX(tbl_param_emb[Valor],MATCH("P-06",tbl_param_emb[ID_Parametro],0)),"A",IF(BD91&gt;=INDEX(tbl_param_emb[Valor],MATCH("P-07",tbl_param_emb[ID_Parametro],0)),"B",IF(BD91&gt;=INDEX(tbl_param_emb[Valor],MATCH("P-08",tbl_param_emb[ID_Parametro],0)),"C","&lt; 70%")))</f>
        <v>&lt; 70%</v>
      </c>
      <c r="BF91" s="33" t="str">
        <f>IF(AU91="F","Não reciclável (F)",INDEX({"A","B","C","Abaixo de C"},MAX(MIN(AT91,4),IF(BE91="A",1,IF(BE91="B",2,IF(BE91="C",3,4))))))</f>
        <v>Não reciclável (F)</v>
      </c>
      <c r="BG91" s="33" t="str">
        <f t="shared" si="44"/>
        <v>—</v>
      </c>
      <c r="BH91" s="33" t="str">
        <f t="shared" si="45"/>
        <v>Não</v>
      </c>
      <c r="BI91" s="33" t="str">
        <f t="shared" si="46"/>
        <v>Não</v>
      </c>
      <c r="BJ91" s="36">
        <f>IFERROR(INDEX(tbl_materiais[Pct_PCR],MATCH(J91,tbl_materiais[Material],0)),0)</f>
        <v>0</v>
      </c>
      <c r="BK91" s="36">
        <f>IF(V91="",0,IFERROR(INDEX(tbl_tampas[Pct_PCR],MATCH(V91,tbl_tampas[CapId],0)),0))</f>
        <v>0</v>
      </c>
      <c r="BL91" s="40">
        <f t="shared" si="47"/>
        <v>0</v>
      </c>
      <c r="BM91" s="33" t="str">
        <f t="shared" si="48"/>
        <v>Outras embalagens de plástico</v>
      </c>
      <c r="BN91" s="36">
        <f>IFERROR(IF(INDEX(tbl_metas_art7[Meta_2030],MATCH(BM91,tbl_metas_art7[Categoria_Art7],0))="","",INDEX(tbl_metas_art7[Meta_2030],MATCH(BM91,tbl_metas_art7[Categoria_Art7],0))),"")</f>
        <v>0.35</v>
      </c>
      <c r="BO91" s="40">
        <f t="shared" si="49"/>
        <v>0.35</v>
      </c>
      <c r="BP91" s="33" t="str">
        <f t="shared" si="50"/>
        <v>Não</v>
      </c>
      <c r="BQ91" s="33" t="str">
        <f t="shared" si="51"/>
        <v>Multimaterial</v>
      </c>
      <c r="BR91" s="37">
        <v>93478</v>
      </c>
      <c r="BS91" s="39">
        <v>11</v>
      </c>
      <c r="BT91" s="26" t="s">
        <v>454</v>
      </c>
      <c r="BU91" s="32">
        <f t="shared" si="52"/>
        <v>4589.7698</v>
      </c>
      <c r="BV91" s="31">
        <f>COUNTIFS(tbl_aplicabilidade[ProductId],B91,tbl_aplicabilidade[Aplicavel],"Sim")</f>
        <v>12</v>
      </c>
      <c r="BW91" s="31">
        <f>COUNTIFS(tbl_aplicabilidade[ProductId],B91,tbl_aplicabilidade[Estado_Resumo],"Lacuna")+COUNTIFS(tbl_aplicabilidade[ProductId],B91,tbl_aplicabilidade[Estado_Resumo],"Não conforme")</f>
        <v>4</v>
      </c>
      <c r="BX91" s="41">
        <v>46287</v>
      </c>
      <c r="BY91" s="42">
        <f t="shared" si="53"/>
        <v>46652</v>
      </c>
      <c r="BZ91" s="26" t="s">
        <v>596</v>
      </c>
      <c r="CA91" s="26" t="s">
        <v>597</v>
      </c>
      <c r="CB91" s="26" t="s">
        <v>598</v>
      </c>
    </row>
    <row r="92" spans="1:80" ht="18" customHeight="1" x14ac:dyDescent="0.3">
      <c r="A92" s="26" t="s">
        <v>813</v>
      </c>
      <c r="B92" s="26" t="s">
        <v>814</v>
      </c>
      <c r="C92" s="26" t="s">
        <v>586</v>
      </c>
      <c r="D92" s="26" t="s">
        <v>587</v>
      </c>
      <c r="E92" s="26" t="s">
        <v>588</v>
      </c>
      <c r="F92" s="26" t="s">
        <v>589</v>
      </c>
      <c r="G92" s="26" t="s">
        <v>655</v>
      </c>
      <c r="H92" s="37">
        <v>1000</v>
      </c>
      <c r="I92" s="37">
        <v>172</v>
      </c>
      <c r="J92" s="26" t="s">
        <v>240</v>
      </c>
      <c r="K92" s="33" t="str">
        <f>IFERROR(INDEX(tbl_materiais[Polimero_Base],MATCH(J92,tbl_materiais[Material],0)),"")</f>
        <v>PP</v>
      </c>
      <c r="L92" s="33" t="str">
        <f>IFERROR(INDEX(tbl_materiais[Fluxo_Reciclagem],MATCH(J92,tbl_materiais[Material],0)),"")</f>
        <v>PP rígido</v>
      </c>
      <c r="M92" s="33" t="str">
        <f t="shared" si="36"/>
        <v>PP rígido — frascos, potes e contentores</v>
      </c>
      <c r="N92" s="26" t="s">
        <v>637</v>
      </c>
      <c r="O92" s="26" t="s">
        <v>281</v>
      </c>
      <c r="P92" s="26" t="s">
        <v>638</v>
      </c>
      <c r="Q92" s="29">
        <v>2.5000000000000001E-2</v>
      </c>
      <c r="R92" s="35">
        <f>IFERROR(ROUND(INDEX(tbl_materiais[Densidade_g_cm3],MATCH(J92,tbl_materiais[Material],0))+Q92*1.2,3),"")</f>
        <v>0.93500000000000005</v>
      </c>
      <c r="S92" s="26" t="s">
        <v>302</v>
      </c>
      <c r="T92" s="34">
        <v>49.1</v>
      </c>
      <c r="U92" s="26" t="s">
        <v>593</v>
      </c>
      <c r="V92" s="26" t="s">
        <v>473</v>
      </c>
      <c r="W92" s="33" t="str">
        <f>IF(V92="","",IFERROR(INDEX(tbl_tampas[Material],MATCH(V92,tbl_tampas[CapId],0)),""))</f>
        <v>PP</v>
      </c>
      <c r="X92" s="33" t="str">
        <f>IF(V92="","Sem tampa",IFERROR(INDEX(tbl_materiais[Polimero_Base],MATCH(W92,tbl_materiais[Material],0)),""))</f>
        <v>PP</v>
      </c>
      <c r="Y92" s="38">
        <f>IF(V92="",0,IFERROR(INDEX(tbl_tampas[Massa_g],MATCH(V92,tbl_tampas[CapId],0)),0))</f>
        <v>19.3</v>
      </c>
      <c r="Z92" s="26" t="s">
        <v>319</v>
      </c>
      <c r="AA92" s="26" t="s">
        <v>327</v>
      </c>
      <c r="AB92" s="26" t="s">
        <v>342</v>
      </c>
      <c r="AC92" s="29">
        <v>0.4</v>
      </c>
      <c r="AD92" s="27">
        <v>1.02</v>
      </c>
      <c r="AE92" s="26" t="s">
        <v>604</v>
      </c>
      <c r="AF92" s="26" t="s">
        <v>302</v>
      </c>
      <c r="AG92" s="39">
        <v>0</v>
      </c>
      <c r="AH92" s="33" t="str">
        <f t="shared" si="37"/>
        <v>Nenhuma</v>
      </c>
      <c r="AI92" s="27">
        <v>0</v>
      </c>
      <c r="AJ92" s="33" t="str">
        <f>IFERROR(INDEX(tbl_regras_dfr[Classe],MATCH(L92&amp;"|Fluxo de reciclagem|"&amp;L92,tbl_regras_dfr[Chave],0)),"Sem regra")</f>
        <v>A</v>
      </c>
      <c r="AK92" s="33" t="str">
        <f>IF(LEFT(L92,9)="Sem fluxo","—",IFERROR(INDEX(tbl_regras_dfr[Classe],MATCH(L92&amp;"|Cor do corpo|"&amp;O92,tbl_regras_dfr[Chave],0)),"Sem regra"))</f>
        <v>A</v>
      </c>
      <c r="AL92" s="33" t="str">
        <f>IF(LEFT(L92,9)="Sem fluxo","—",IFERROR(INDEX(tbl_regras_dfr[Classe],MATCH(L92&amp;"|Densidade do corpo|"&amp;IF(R92&lt;1,"&lt; 1,0 g/cm³","≥ 1,0 g/cm³"),tbl_regras_dfr[Chave],0)),"Sem regra"))</f>
        <v>A</v>
      </c>
      <c r="AM92" s="33" t="str">
        <f>IF(LEFT(L92,9)="Sem fluxo","—",IFERROR(INDEX(tbl_regras_dfr[Classe],MATCH(L92&amp;"|Barreira / revestimento|"&amp;S92,tbl_regras_dfr[Chave],0)),"Sem regra"))</f>
        <v>A</v>
      </c>
      <c r="AN92" s="33" t="str">
        <f>IF(LEFT(L92,9)="Sem fluxo","—",IFERROR(INDEX(tbl_regras_dfr[Classe],MATCH(L92&amp;"|Material da tampa|"&amp;X92,tbl_regras_dfr[Chave],0)),"Sem regra"))</f>
        <v>A</v>
      </c>
      <c r="AO92" s="33" t="str">
        <f>IF(LEFT(L92,9)="Sem fluxo","—",IFERROR(INDEX(tbl_regras_dfr[Classe],MATCH(L92&amp;"|Vedante / liner|"&amp;Z92,tbl_regras_dfr[Chave],0)),"Sem regra"))</f>
        <v>A</v>
      </c>
      <c r="AP92" s="33" t="str">
        <f>IF(LEFT(L92,9)="Sem fluxo","—",IFERROR(INDEX(tbl_regras_dfr[Classe],MATCH(L92&amp;"|Tipo de rótulo|"&amp;AA92,tbl_regras_dfr[Chave],0)),"Sem regra"))</f>
        <v>A</v>
      </c>
      <c r="AQ92" s="33" t="str">
        <f>IF(LEFT(L92,9)="Sem fluxo","—",IFERROR(INDEX(tbl_regras_dfr[Classe],MATCH(L92&amp;"|Adesivo do rótulo|"&amp;AB92,tbl_regras_dfr[Chave],0)),"Sem regra"))</f>
        <v>A</v>
      </c>
      <c r="AR92" s="33" t="str">
        <f>IF(LEFT(L92,9)="Sem fluxo","—",IFERROR(INDEX(tbl_regras_dfr[Classe],MATCH(L92&amp;"|Cobertura do rótulo|"&amp;IF(AC92&gt;0.7,"&gt; 70% da superfície","≤ 70% da superfície"),tbl_regras_dfr[Chave],0)),"Sem regra"))</f>
        <v>A</v>
      </c>
      <c r="AS92" s="33" t="str">
        <f>IF(LEFT(L92,9)="Sem fluxo","—",IFERROR(INDEX(tbl_regras_dfr[Classe],MATCH(L92&amp;"|Decoração direta|"&amp;AH92,tbl_regras_dfr[Chave],0)),"Sem regra"))</f>
        <v>A</v>
      </c>
      <c r="AT92" s="31">
        <f t="shared" si="38"/>
        <v>1</v>
      </c>
      <c r="AU92" s="33" t="str">
        <f>IF(AT92=0,"",INDEX({"A","B","C","D","E","F"},AT92))</f>
        <v>A</v>
      </c>
      <c r="AV92" s="31">
        <f t="shared" si="39"/>
        <v>0</v>
      </c>
      <c r="AW92" s="33" t="str">
        <f t="shared" si="40"/>
        <v>—</v>
      </c>
      <c r="AX92" s="33" t="str">
        <f>IF(AU92="A","Sem ação — manter o design.",IFERROR(INDEX(tbl_regras_dfr[Recomendacao],MATCH(CHOOSE(MATCH(AU92,AJ92:AS92,0),L92&amp;"|Fluxo de reciclagem|"&amp;L92,L92&amp;"|Cor do corpo|"&amp;O92,L92&amp;"|Densidade do corpo|"&amp;IF(R92&lt;1,"&lt; 1,0 g/cm³","≥ 1,0 g/cm³"),L92&amp;"|Barreira / revestimento|"&amp;S92,L92&amp;"|Material da tampa|"&amp;X92,L92&amp;"|Vedante / liner|"&amp;Z92,L92&amp;"|Tipo de rótulo|"&amp;AA92,L92&amp;"|Adesivo do rótulo|"&amp;AB92,L92&amp;"|Cobertura do rótulo|"&amp;IF(AC92&gt;0.7,"&gt; 70% da superfície","≤ 70% da superfície"),L92&amp;"|Decoração direta|"&amp;AH92),tbl_regras_dfr[Chave],0)),""))</f>
        <v>Sem ação — manter o design.</v>
      </c>
      <c r="AY92" s="38">
        <f t="shared" si="41"/>
        <v>69.42</v>
      </c>
      <c r="AZ92" s="36">
        <f>MIN(IFERROR(INDEX(tbl_regras_dfr[Fracao_Reciclavel],MATCH(L92&amp;"|Fluxo de reciclagem|"&amp;L92,tbl_regras_dfr[Chave],0)),0),IFERROR(INDEX(tbl_regras_dfr[Fracao_Reciclavel],MATCH(L92&amp;"|Cor do corpo|"&amp;O92,tbl_regras_dfr[Chave],0)),0))</f>
        <v>1</v>
      </c>
      <c r="BA92" s="36">
        <f>IFERROR(INDEX(tbl_regras_dfr[Fracao_Reciclavel],MATCH(L92&amp;"|Material da tampa|"&amp;X92,tbl_regras_dfr[Chave],0)),0)</f>
        <v>1</v>
      </c>
      <c r="BB92" s="36">
        <f>IFERROR(INDEX(tbl_regras_dfr[Fracao_Reciclavel],MATCH(L92&amp;"|Tipo de rótulo|"&amp;AA92,tbl_regras_dfr[Chave],0)),0)</f>
        <v>1</v>
      </c>
      <c r="BC92" s="38">
        <f t="shared" si="42"/>
        <v>69.42</v>
      </c>
      <c r="BD92" s="40">
        <f t="shared" si="43"/>
        <v>1</v>
      </c>
      <c r="BE92" s="33" t="str">
        <f>IF(BD92&gt;=INDEX(tbl_param_emb[Valor],MATCH("P-06",tbl_param_emb[ID_Parametro],0)),"A",IF(BD92&gt;=INDEX(tbl_param_emb[Valor],MATCH("P-07",tbl_param_emb[ID_Parametro],0)),"B",IF(BD92&gt;=INDEX(tbl_param_emb[Valor],MATCH("P-08",tbl_param_emb[ID_Parametro],0)),"C","&lt; 70%")))</f>
        <v>A</v>
      </c>
      <c r="BF92" s="33" t="str">
        <f>IF(AU92="F","Não reciclável (F)",INDEX({"A","B","C","Abaixo de C"},MAX(MIN(AT92,4),IF(BE92="A",1,IF(BE92="B",2,IF(BE92="C",3,4))))))</f>
        <v>A</v>
      </c>
      <c r="BG92" s="33" t="str">
        <f t="shared" si="44"/>
        <v>—</v>
      </c>
      <c r="BH92" s="33" t="str">
        <f t="shared" si="45"/>
        <v>Sim</v>
      </c>
      <c r="BI92" s="33" t="str">
        <f t="shared" si="46"/>
        <v>Sim</v>
      </c>
      <c r="BJ92" s="36">
        <f>IFERROR(INDEX(tbl_materiais[Pct_PCR],MATCH(J92,tbl_materiais[Material],0)),0)</f>
        <v>0</v>
      </c>
      <c r="BK92" s="36">
        <f>IF(V92="",0,IFERROR(INDEX(tbl_tampas[Pct_PCR],MATCH(V92,tbl_tampas[CapId],0)),0))</f>
        <v>0</v>
      </c>
      <c r="BL92" s="40">
        <f t="shared" si="47"/>
        <v>0</v>
      </c>
      <c r="BM92" s="33" t="str">
        <f t="shared" si="48"/>
        <v>Outras embalagens de plástico</v>
      </c>
      <c r="BN92" s="36">
        <f>IFERROR(IF(INDEX(tbl_metas_art7[Meta_2030],MATCH(BM92,tbl_metas_art7[Categoria_Art7],0))="","",INDEX(tbl_metas_art7[Meta_2030],MATCH(BM92,tbl_metas_art7[Categoria_Art7],0))),"")</f>
        <v>0.35</v>
      </c>
      <c r="BO92" s="40">
        <f t="shared" si="49"/>
        <v>0.35</v>
      </c>
      <c r="BP92" s="33" t="str">
        <f t="shared" si="50"/>
        <v>Não</v>
      </c>
      <c r="BQ92" s="33" t="str">
        <f t="shared" si="51"/>
        <v>Monomaterial (mesma família)</v>
      </c>
      <c r="BR92" s="37">
        <v>50601</v>
      </c>
      <c r="BS92" s="39">
        <v>10</v>
      </c>
      <c r="BT92" s="26" t="s">
        <v>482</v>
      </c>
      <c r="BU92" s="32">
        <f t="shared" si="52"/>
        <v>2484.5091000000002</v>
      </c>
      <c r="BV92" s="31">
        <f>COUNTIFS(tbl_aplicabilidade[ProductId],B92,tbl_aplicabilidade[Aplicavel],"Sim")</f>
        <v>12</v>
      </c>
      <c r="BW92" s="31">
        <f>COUNTIFS(tbl_aplicabilidade[ProductId],B92,tbl_aplicabilidade[Estado_Resumo],"Lacuna")+COUNTIFS(tbl_aplicabilidade[ProductId],B92,tbl_aplicabilidade[Estado_Resumo],"Não conforme")</f>
        <v>1</v>
      </c>
      <c r="BX92" s="41">
        <v>46287</v>
      </c>
      <c r="BY92" s="42">
        <f t="shared" si="53"/>
        <v>46652</v>
      </c>
      <c r="BZ92" s="26" t="s">
        <v>596</v>
      </c>
      <c r="CA92" s="26" t="s">
        <v>597</v>
      </c>
      <c r="CB92" s="26" t="s">
        <v>598</v>
      </c>
    </row>
    <row r="93" spans="1:80" ht="18" customHeight="1" x14ac:dyDescent="0.3">
      <c r="A93" s="26" t="s">
        <v>815</v>
      </c>
      <c r="B93" s="26" t="s">
        <v>816</v>
      </c>
      <c r="C93" s="26" t="s">
        <v>586</v>
      </c>
      <c r="D93" s="26" t="s">
        <v>587</v>
      </c>
      <c r="E93" s="26" t="s">
        <v>588</v>
      </c>
      <c r="F93" s="26" t="s">
        <v>589</v>
      </c>
      <c r="G93" s="26" t="s">
        <v>663</v>
      </c>
      <c r="H93" s="37">
        <v>1000</v>
      </c>
      <c r="I93" s="37">
        <v>172</v>
      </c>
      <c r="J93" s="26" t="s">
        <v>244</v>
      </c>
      <c r="K93" s="33" t="str">
        <f>IFERROR(INDEX(tbl_materiais[Polimero_Base],MATCH(J93,tbl_materiais[Material],0)),"")</f>
        <v>PP</v>
      </c>
      <c r="L93" s="33" t="str">
        <f>IFERROR(INDEX(tbl_materiais[Fluxo_Reciclagem],MATCH(J93,tbl_materiais[Material],0)),"")</f>
        <v>PP rígido</v>
      </c>
      <c r="M93" s="33" t="str">
        <f t="shared" si="36"/>
        <v>PP rígido — frascos, potes e contentores</v>
      </c>
      <c r="N93" s="26" t="s">
        <v>602</v>
      </c>
      <c r="O93" s="26" t="s">
        <v>283</v>
      </c>
      <c r="P93" s="26" t="s">
        <v>603</v>
      </c>
      <c r="Q93" s="29">
        <v>0.02</v>
      </c>
      <c r="R93" s="35">
        <f>IFERROR(ROUND(INDEX(tbl_materiais[Densidade_g_cm3],MATCH(J93,tbl_materiais[Material],0))+Q93*1.2,3),"")</f>
        <v>0.93400000000000005</v>
      </c>
      <c r="S93" s="26" t="s">
        <v>302</v>
      </c>
      <c r="T93" s="34">
        <v>49.1</v>
      </c>
      <c r="U93" s="26" t="s">
        <v>593</v>
      </c>
      <c r="V93" s="26" t="s">
        <v>475</v>
      </c>
      <c r="W93" s="33" t="str">
        <f>IF(V93="","",IFERROR(INDEX(tbl_tampas[Material],MATCH(V93,tbl_tampas[CapId],0)),""))</f>
        <v>PP-PCR</v>
      </c>
      <c r="X93" s="33" t="str">
        <f>IF(V93="","Sem tampa",IFERROR(INDEX(tbl_materiais[Polimero_Base],MATCH(W93,tbl_materiais[Material],0)),""))</f>
        <v>PP</v>
      </c>
      <c r="Y93" s="38">
        <f>IF(V93="",0,IFERROR(INDEX(tbl_tampas[Massa_g],MATCH(V93,tbl_tampas[CapId],0)),0))</f>
        <v>19.3</v>
      </c>
      <c r="Z93" s="26" t="s">
        <v>319</v>
      </c>
      <c r="AA93" s="26" t="s">
        <v>326</v>
      </c>
      <c r="AB93" s="26" t="s">
        <v>340</v>
      </c>
      <c r="AC93" s="29">
        <v>0</v>
      </c>
      <c r="AD93" s="27">
        <v>0</v>
      </c>
      <c r="AE93" s="26" t="s">
        <v>594</v>
      </c>
      <c r="AF93" s="26" t="s">
        <v>359</v>
      </c>
      <c r="AG93" s="39">
        <v>1</v>
      </c>
      <c r="AH93" s="33" t="str">
        <f t="shared" si="37"/>
        <v>Hot foil metalizado</v>
      </c>
      <c r="AI93" s="27">
        <v>0.03</v>
      </c>
      <c r="AJ93" s="33" t="str">
        <f>IFERROR(INDEX(tbl_regras_dfr[Classe],MATCH(L93&amp;"|Fluxo de reciclagem|"&amp;L93,tbl_regras_dfr[Chave],0)),"Sem regra")</f>
        <v>A</v>
      </c>
      <c r="AK93" s="33" t="str">
        <f>IF(LEFT(L93,9)="Sem fluxo","—",IFERROR(INDEX(tbl_regras_dfr[Classe],MATCH(L93&amp;"|Cor do corpo|"&amp;O93,tbl_regras_dfr[Chave],0)),"Sem regra"))</f>
        <v>B</v>
      </c>
      <c r="AL93" s="33" t="str">
        <f>IF(LEFT(L93,9)="Sem fluxo","—",IFERROR(INDEX(tbl_regras_dfr[Classe],MATCH(L93&amp;"|Densidade do corpo|"&amp;IF(R93&lt;1,"&lt; 1,0 g/cm³","≥ 1,0 g/cm³"),tbl_regras_dfr[Chave],0)),"Sem regra"))</f>
        <v>A</v>
      </c>
      <c r="AM93" s="33" t="str">
        <f>IF(LEFT(L93,9)="Sem fluxo","—",IFERROR(INDEX(tbl_regras_dfr[Classe],MATCH(L93&amp;"|Barreira / revestimento|"&amp;S93,tbl_regras_dfr[Chave],0)),"Sem regra"))</f>
        <v>A</v>
      </c>
      <c r="AN93" s="33" t="str">
        <f>IF(LEFT(L93,9)="Sem fluxo","—",IFERROR(INDEX(tbl_regras_dfr[Classe],MATCH(L93&amp;"|Material da tampa|"&amp;X93,tbl_regras_dfr[Chave],0)),"Sem regra"))</f>
        <v>A</v>
      </c>
      <c r="AO93" s="33" t="str">
        <f>IF(LEFT(L93,9)="Sem fluxo","—",IFERROR(INDEX(tbl_regras_dfr[Classe],MATCH(L93&amp;"|Vedante / liner|"&amp;Z93,tbl_regras_dfr[Chave],0)),"Sem regra"))</f>
        <v>A</v>
      </c>
      <c r="AP93" s="33" t="str">
        <f>IF(LEFT(L93,9)="Sem fluxo","—",IFERROR(INDEX(tbl_regras_dfr[Classe],MATCH(L93&amp;"|Tipo de rótulo|"&amp;AA93,tbl_regras_dfr[Chave],0)),"Sem regra"))</f>
        <v>A</v>
      </c>
      <c r="AQ93" s="33" t="str">
        <f>IF(LEFT(L93,9)="Sem fluxo","—",IFERROR(INDEX(tbl_regras_dfr[Classe],MATCH(L93&amp;"|Adesivo do rótulo|"&amp;AB93,tbl_regras_dfr[Chave],0)),"Sem regra"))</f>
        <v>A</v>
      </c>
      <c r="AR93" s="33" t="str">
        <f>IF(LEFT(L93,9)="Sem fluxo","—",IFERROR(INDEX(tbl_regras_dfr[Classe],MATCH(L93&amp;"|Cobertura do rótulo|"&amp;IF(AC93&gt;0.7,"&gt; 70% da superfície","≤ 70% da superfície"),tbl_regras_dfr[Chave],0)),"Sem regra"))</f>
        <v>A</v>
      </c>
      <c r="AS93" s="33" t="str">
        <f>IF(LEFT(L93,9)="Sem fluxo","—",IFERROR(INDEX(tbl_regras_dfr[Classe],MATCH(L93&amp;"|Decoração direta|"&amp;AH93,tbl_regras_dfr[Chave],0)),"Sem regra"))</f>
        <v>C</v>
      </c>
      <c r="AT93" s="31">
        <f t="shared" si="38"/>
        <v>3</v>
      </c>
      <c r="AU93" s="33" t="str">
        <f>IF(AT93=0,"",INDEX({"A","B","C","D","E","F"},AT93))</f>
        <v>C</v>
      </c>
      <c r="AV93" s="31">
        <f t="shared" si="39"/>
        <v>0</v>
      </c>
      <c r="AW93" s="33" t="str">
        <f t="shared" si="40"/>
        <v>Decoracao</v>
      </c>
      <c r="AX93" s="33" t="str">
        <f>IF(AU93="A","Sem ação — manter o design.",IFERROR(INDEX(tbl_regras_dfr[Recomendacao],MATCH(CHOOSE(MATCH(AU93,AJ93:AS93,0),L93&amp;"|Fluxo de reciclagem|"&amp;L93,L93&amp;"|Cor do corpo|"&amp;O93,L93&amp;"|Densidade do corpo|"&amp;IF(R93&lt;1,"&lt; 1,0 g/cm³","≥ 1,0 g/cm³"),L93&amp;"|Barreira / revestimento|"&amp;S93,L93&amp;"|Material da tampa|"&amp;X93,L93&amp;"|Vedante / liner|"&amp;Z93,L93&amp;"|Tipo de rótulo|"&amp;AA93,L93&amp;"|Adesivo do rótulo|"&amp;AB93,L93&amp;"|Cobertura do rótulo|"&amp;IF(AC93&gt;0.7,"&gt; 70% da superfície","≤ 70% da superfície"),L93&amp;"|Decoração direta|"&amp;AH93),tbl_regras_dfr[Chave],0)),""))</f>
        <v>Reduzir a área de hot foil ou usar rótulo metalizado destacável.</v>
      </c>
      <c r="AY93" s="38">
        <f t="shared" si="41"/>
        <v>68.430000000000007</v>
      </c>
      <c r="AZ93" s="36">
        <f>MIN(IFERROR(INDEX(tbl_regras_dfr[Fracao_Reciclavel],MATCH(L93&amp;"|Fluxo de reciclagem|"&amp;L93,tbl_regras_dfr[Chave],0)),0),IFERROR(INDEX(tbl_regras_dfr[Fracao_Reciclavel],MATCH(L93&amp;"|Cor do corpo|"&amp;O93,tbl_regras_dfr[Chave],0)),0))</f>
        <v>1</v>
      </c>
      <c r="BA93" s="36">
        <f>IFERROR(INDEX(tbl_regras_dfr[Fracao_Reciclavel],MATCH(L93&amp;"|Material da tampa|"&amp;X93,tbl_regras_dfr[Chave],0)),0)</f>
        <v>1</v>
      </c>
      <c r="BB93" s="36">
        <f>IFERROR(INDEX(tbl_regras_dfr[Fracao_Reciclavel],MATCH(L93&amp;"|Tipo de rótulo|"&amp;AA93,tbl_regras_dfr[Chave],0)),0)</f>
        <v>1</v>
      </c>
      <c r="BC93" s="38">
        <f t="shared" si="42"/>
        <v>68.400000000000006</v>
      </c>
      <c r="BD93" s="40">
        <f t="shared" si="43"/>
        <v>0.99956159579131953</v>
      </c>
      <c r="BE93" s="33" t="str">
        <f>IF(BD93&gt;=INDEX(tbl_param_emb[Valor],MATCH("P-06",tbl_param_emb[ID_Parametro],0)),"A",IF(BD93&gt;=INDEX(tbl_param_emb[Valor],MATCH("P-07",tbl_param_emb[ID_Parametro],0)),"B",IF(BD93&gt;=INDEX(tbl_param_emb[Valor],MATCH("P-08",tbl_param_emb[ID_Parametro],0)),"C","&lt; 70%")))</f>
        <v>A</v>
      </c>
      <c r="BF93" s="33" t="str">
        <f>IF(AU93="F","Não reciclável (F)",INDEX({"A","B","C","Abaixo de C"},MAX(MIN(AT93,4),IF(BE93="A",1,IF(BE93="B",2,IF(BE93="C",3,4))))))</f>
        <v>C</v>
      </c>
      <c r="BG93" s="33" t="str">
        <f t="shared" si="44"/>
        <v>—</v>
      </c>
      <c r="BH93" s="33" t="str">
        <f t="shared" si="45"/>
        <v>Sim</v>
      </c>
      <c r="BI93" s="33" t="str">
        <f t="shared" si="46"/>
        <v>Não</v>
      </c>
      <c r="BJ93" s="36">
        <f>IFERROR(INDEX(tbl_materiais[Pct_PCR],MATCH(J93,tbl_materiais[Material],0)),0)</f>
        <v>0.3</v>
      </c>
      <c r="BK93" s="36">
        <f>IF(V93="",0,IFERROR(INDEX(tbl_tampas[Pct_PCR],MATCH(V93,tbl_tampas[CapId],0)),0))</f>
        <v>0.3</v>
      </c>
      <c r="BL93" s="40">
        <f t="shared" si="47"/>
        <v>0.3</v>
      </c>
      <c r="BM93" s="33" t="str">
        <f t="shared" si="48"/>
        <v>Outras embalagens de plástico</v>
      </c>
      <c r="BN93" s="36">
        <f>IFERROR(IF(INDEX(tbl_metas_art7[Meta_2030],MATCH(BM93,tbl_metas_art7[Categoria_Art7],0))="","",INDEX(tbl_metas_art7[Meta_2030],MATCH(BM93,tbl_metas_art7[Categoria_Art7],0))),"")</f>
        <v>0.35</v>
      </c>
      <c r="BO93" s="40">
        <f t="shared" si="49"/>
        <v>4.9999999999999989E-2</v>
      </c>
      <c r="BP93" s="33" t="str">
        <f t="shared" si="50"/>
        <v>Não</v>
      </c>
      <c r="BQ93" s="33" t="str">
        <f t="shared" si="51"/>
        <v>Monomaterial (mesma família)</v>
      </c>
      <c r="BR93" s="37">
        <v>23217</v>
      </c>
      <c r="BS93" s="39">
        <v>3</v>
      </c>
      <c r="BT93" s="26" t="s">
        <v>817</v>
      </c>
      <c r="BU93" s="32">
        <f t="shared" si="52"/>
        <v>1139.9547</v>
      </c>
      <c r="BV93" s="31">
        <f>COUNTIFS(tbl_aplicabilidade[ProductId],B93,tbl_aplicabilidade[Aplicavel],"Sim")</f>
        <v>12</v>
      </c>
      <c r="BW93" s="31">
        <f>COUNTIFS(tbl_aplicabilidade[ProductId],B93,tbl_aplicabilidade[Estado_Resumo],"Lacuna")+COUNTIFS(tbl_aplicabilidade[ProductId],B93,tbl_aplicabilidade[Estado_Resumo],"Não conforme")</f>
        <v>1</v>
      </c>
      <c r="BX93" s="41">
        <v>46287</v>
      </c>
      <c r="BY93" s="42">
        <f t="shared" si="53"/>
        <v>46652</v>
      </c>
      <c r="BZ93" s="26" t="s">
        <v>596</v>
      </c>
      <c r="CA93" s="26" t="s">
        <v>597</v>
      </c>
      <c r="CB93" s="26" t="s">
        <v>598</v>
      </c>
    </row>
    <row r="94" spans="1:80" ht="18" customHeight="1" x14ac:dyDescent="0.3">
      <c r="A94" s="26" t="s">
        <v>818</v>
      </c>
      <c r="B94" s="26" t="s">
        <v>819</v>
      </c>
      <c r="C94" s="26" t="s">
        <v>586</v>
      </c>
      <c r="D94" s="26" t="s">
        <v>587</v>
      </c>
      <c r="E94" s="26" t="s">
        <v>588</v>
      </c>
      <c r="F94" s="26" t="s">
        <v>589</v>
      </c>
      <c r="G94" s="26" t="s">
        <v>669</v>
      </c>
      <c r="H94" s="37">
        <v>1000</v>
      </c>
      <c r="I94" s="37">
        <v>172</v>
      </c>
      <c r="J94" s="26" t="s">
        <v>258</v>
      </c>
      <c r="K94" s="33" t="str">
        <f>IFERROR(INDEX(tbl_materiais[Polimero_Base],MATCH(J94,tbl_materiais[Material],0)),"")</f>
        <v>PVC</v>
      </c>
      <c r="L94" s="33" t="str">
        <f>IFERROR(INDEX(tbl_materiais[Fluxo_Reciclagem],MATCH(J94,tbl_materiais[Material],0)),"")</f>
        <v>Sem fluxo (PVC)</v>
      </c>
      <c r="M94" s="33" t="str">
        <f t="shared" si="36"/>
        <v>Sem categoria RecyClass (PVC)</v>
      </c>
      <c r="N94" s="26" t="s">
        <v>610</v>
      </c>
      <c r="O94" s="26" t="s">
        <v>279</v>
      </c>
      <c r="P94" s="26" t="s">
        <v>611</v>
      </c>
      <c r="Q94" s="29">
        <v>0</v>
      </c>
      <c r="R94" s="35">
        <f>IFERROR(ROUND(INDEX(tbl_materiais[Densidade_g_cm3],MATCH(J94,tbl_materiais[Material],0))+Q94*1.2,3),"")</f>
        <v>1.35</v>
      </c>
      <c r="S94" s="26" t="s">
        <v>302</v>
      </c>
      <c r="T94" s="34">
        <v>49.1</v>
      </c>
      <c r="U94" s="26" t="s">
        <v>593</v>
      </c>
      <c r="V94" s="26" t="s">
        <v>473</v>
      </c>
      <c r="W94" s="33" t="str">
        <f>IF(V94="","",IFERROR(INDEX(tbl_tampas[Material],MATCH(V94,tbl_tampas[CapId],0)),""))</f>
        <v>PP</v>
      </c>
      <c r="X94" s="33" t="str">
        <f>IF(V94="","Sem tampa",IFERROR(INDEX(tbl_materiais[Polimero_Base],MATCH(W94,tbl_materiais[Material],0)),""))</f>
        <v>PP</v>
      </c>
      <c r="Y94" s="38">
        <f>IF(V94="",0,IFERROR(INDEX(tbl_tampas[Massa_g],MATCH(V94,tbl_tampas[CapId],0)),0))</f>
        <v>19.3</v>
      </c>
      <c r="Z94" s="26" t="s">
        <v>319</v>
      </c>
      <c r="AA94" s="26" t="s">
        <v>326</v>
      </c>
      <c r="AB94" s="26" t="s">
        <v>340</v>
      </c>
      <c r="AC94" s="29">
        <v>0</v>
      </c>
      <c r="AD94" s="27">
        <v>0</v>
      </c>
      <c r="AE94" s="26" t="s">
        <v>594</v>
      </c>
      <c r="AF94" s="26" t="s">
        <v>359</v>
      </c>
      <c r="AG94" s="39">
        <v>1</v>
      </c>
      <c r="AH94" s="33" t="str">
        <f t="shared" si="37"/>
        <v>Hot foil metalizado</v>
      </c>
      <c r="AI94" s="27">
        <v>0.03</v>
      </c>
      <c r="AJ94" s="33" t="str">
        <f>IFERROR(INDEX(tbl_regras_dfr[Classe],MATCH(L94&amp;"|Fluxo de reciclagem|"&amp;L94,tbl_regras_dfr[Chave],0)),"Sem regra")</f>
        <v>F</v>
      </c>
      <c r="AK94" s="33" t="str">
        <f>IF(LEFT(L94,9)="Sem fluxo","—",IFERROR(INDEX(tbl_regras_dfr[Classe],MATCH(L94&amp;"|Cor do corpo|"&amp;O94,tbl_regras_dfr[Chave],0)),"Sem regra"))</f>
        <v>—</v>
      </c>
      <c r="AL94" s="33" t="str">
        <f>IF(LEFT(L94,9)="Sem fluxo","—",IFERROR(INDEX(tbl_regras_dfr[Classe],MATCH(L94&amp;"|Densidade do corpo|"&amp;IF(R94&lt;1,"&lt; 1,0 g/cm³","≥ 1,0 g/cm³"),tbl_regras_dfr[Chave],0)),"Sem regra"))</f>
        <v>—</v>
      </c>
      <c r="AM94" s="33" t="str">
        <f>IF(LEFT(L94,9)="Sem fluxo","—",IFERROR(INDEX(tbl_regras_dfr[Classe],MATCH(L94&amp;"|Barreira / revestimento|"&amp;S94,tbl_regras_dfr[Chave],0)),"Sem regra"))</f>
        <v>—</v>
      </c>
      <c r="AN94" s="33" t="str">
        <f>IF(LEFT(L94,9)="Sem fluxo","—",IFERROR(INDEX(tbl_regras_dfr[Classe],MATCH(L94&amp;"|Material da tampa|"&amp;X94,tbl_regras_dfr[Chave],0)),"Sem regra"))</f>
        <v>—</v>
      </c>
      <c r="AO94" s="33" t="str">
        <f>IF(LEFT(L94,9)="Sem fluxo","—",IFERROR(INDEX(tbl_regras_dfr[Classe],MATCH(L94&amp;"|Vedante / liner|"&amp;Z94,tbl_regras_dfr[Chave],0)),"Sem regra"))</f>
        <v>—</v>
      </c>
      <c r="AP94" s="33" t="str">
        <f>IF(LEFT(L94,9)="Sem fluxo","—",IFERROR(INDEX(tbl_regras_dfr[Classe],MATCH(L94&amp;"|Tipo de rótulo|"&amp;AA94,tbl_regras_dfr[Chave],0)),"Sem regra"))</f>
        <v>—</v>
      </c>
      <c r="AQ94" s="33" t="str">
        <f>IF(LEFT(L94,9)="Sem fluxo","—",IFERROR(INDEX(tbl_regras_dfr[Classe],MATCH(L94&amp;"|Adesivo do rótulo|"&amp;AB94,tbl_regras_dfr[Chave],0)),"Sem regra"))</f>
        <v>—</v>
      </c>
      <c r="AR94" s="33" t="str">
        <f>IF(LEFT(L94,9)="Sem fluxo","—",IFERROR(INDEX(tbl_regras_dfr[Classe],MATCH(L94&amp;"|Cobertura do rótulo|"&amp;IF(AC94&gt;0.7,"&gt; 70% da superfície","≤ 70% da superfície"),tbl_regras_dfr[Chave],0)),"Sem regra"))</f>
        <v>—</v>
      </c>
      <c r="AS94" s="33" t="str">
        <f>IF(LEFT(L94,9)="Sem fluxo","—",IFERROR(INDEX(tbl_regras_dfr[Classe],MATCH(L94&amp;"|Decoração direta|"&amp;AH94,tbl_regras_dfr[Chave],0)),"Sem regra"))</f>
        <v>—</v>
      </c>
      <c r="AT94" s="31">
        <f t="shared" si="38"/>
        <v>6</v>
      </c>
      <c r="AU94" s="33" t="str">
        <f>IF(AT94=0,"",INDEX({"A","B","C","D","E","F"},AT94))</f>
        <v>F</v>
      </c>
      <c r="AV94" s="31">
        <f t="shared" si="39"/>
        <v>0</v>
      </c>
      <c r="AW94" s="33" t="str">
        <f t="shared" si="40"/>
        <v>Fluxo</v>
      </c>
      <c r="AX94" s="33" t="str">
        <f>IF(AU94="A","Sem ação — manter o design.",IFERROR(INDEX(tbl_regras_dfr[Recomendacao],MATCH(CHOOSE(MATCH(AU94,AJ94:AS94,0),L94&amp;"|Fluxo de reciclagem|"&amp;L94,L94&amp;"|Cor do corpo|"&amp;O94,L94&amp;"|Densidade do corpo|"&amp;IF(R94&lt;1,"&lt; 1,0 g/cm³","≥ 1,0 g/cm³"),L94&amp;"|Barreira / revestimento|"&amp;S94,L94&amp;"|Material da tampa|"&amp;X94,L94&amp;"|Vedante / liner|"&amp;Z94,L94&amp;"|Tipo de rótulo|"&amp;AA94,L94&amp;"|Adesivo do rótulo|"&amp;AB94,L94&amp;"|Cobertura do rótulo|"&amp;IF(AC94&gt;0.7,"&gt; 70% da superfície","≤ 70% da superfície"),L94&amp;"|Decoração direta|"&amp;AH94),tbl_regras_dfr[Chave],0)),""))</f>
        <v>Eliminar o PVC do portfólio (substituir por PET ou PP).</v>
      </c>
      <c r="AY94" s="38">
        <f t="shared" si="41"/>
        <v>68.430000000000007</v>
      </c>
      <c r="AZ94" s="36">
        <f>MIN(IFERROR(INDEX(tbl_regras_dfr[Fracao_Reciclavel],MATCH(L94&amp;"|Fluxo de reciclagem|"&amp;L94,tbl_regras_dfr[Chave],0)),0),IFERROR(INDEX(tbl_regras_dfr[Fracao_Reciclavel],MATCH(L94&amp;"|Cor do corpo|"&amp;O94,tbl_regras_dfr[Chave],0)),0))</f>
        <v>0</v>
      </c>
      <c r="BA94" s="36">
        <f>IFERROR(INDEX(tbl_regras_dfr[Fracao_Reciclavel],MATCH(L94&amp;"|Material da tampa|"&amp;X94,tbl_regras_dfr[Chave],0)),0)</f>
        <v>0</v>
      </c>
      <c r="BB94" s="36">
        <f>IFERROR(INDEX(tbl_regras_dfr[Fracao_Reciclavel],MATCH(L94&amp;"|Tipo de rótulo|"&amp;AA94,tbl_regras_dfr[Chave],0)),0)</f>
        <v>0</v>
      </c>
      <c r="BC94" s="38">
        <f t="shared" si="42"/>
        <v>0</v>
      </c>
      <c r="BD94" s="40">
        <f t="shared" si="43"/>
        <v>0</v>
      </c>
      <c r="BE94" s="33" t="str">
        <f>IF(BD94&gt;=INDEX(tbl_param_emb[Valor],MATCH("P-06",tbl_param_emb[ID_Parametro],0)),"A",IF(BD94&gt;=INDEX(tbl_param_emb[Valor],MATCH("P-07",tbl_param_emb[ID_Parametro],0)),"B",IF(BD94&gt;=INDEX(tbl_param_emb[Valor],MATCH("P-08",tbl_param_emb[ID_Parametro],0)),"C","&lt; 70%")))</f>
        <v>&lt; 70%</v>
      </c>
      <c r="BF94" s="33" t="str">
        <f>IF(AU94="F","Não reciclável (F)",INDEX({"A","B","C","Abaixo de C"},MAX(MIN(AT94,4),IF(BE94="A",1,IF(BE94="B",2,IF(BE94="C",3,4))))))</f>
        <v>Não reciclável (F)</v>
      </c>
      <c r="BG94" s="33" t="str">
        <f t="shared" si="44"/>
        <v>—</v>
      </c>
      <c r="BH94" s="33" t="str">
        <f t="shared" si="45"/>
        <v>Não</v>
      </c>
      <c r="BI94" s="33" t="str">
        <f t="shared" si="46"/>
        <v>Não</v>
      </c>
      <c r="BJ94" s="36">
        <f>IFERROR(INDEX(tbl_materiais[Pct_PCR],MATCH(J94,tbl_materiais[Material],0)),0)</f>
        <v>0</v>
      </c>
      <c r="BK94" s="36">
        <f>IF(V94="",0,IFERROR(INDEX(tbl_tampas[Pct_PCR],MATCH(V94,tbl_tampas[CapId],0)),0))</f>
        <v>0</v>
      </c>
      <c r="BL94" s="40">
        <f t="shared" si="47"/>
        <v>0</v>
      </c>
      <c r="BM94" s="33" t="str">
        <f t="shared" si="48"/>
        <v>Outras embalagens de plástico</v>
      </c>
      <c r="BN94" s="36">
        <f>IFERROR(IF(INDEX(tbl_metas_art7[Meta_2030],MATCH(BM94,tbl_metas_art7[Categoria_Art7],0))="","",INDEX(tbl_metas_art7[Meta_2030],MATCH(BM94,tbl_metas_art7[Categoria_Art7],0))),"")</f>
        <v>0.35</v>
      </c>
      <c r="BO94" s="40">
        <f t="shared" si="49"/>
        <v>0.35</v>
      </c>
      <c r="BP94" s="33" t="str">
        <f t="shared" si="50"/>
        <v>Não</v>
      </c>
      <c r="BQ94" s="33" t="str">
        <f t="shared" si="51"/>
        <v>Multimaterial</v>
      </c>
      <c r="BR94" s="37">
        <v>46345</v>
      </c>
      <c r="BS94" s="39">
        <v>9</v>
      </c>
      <c r="BT94" s="26" t="s">
        <v>426</v>
      </c>
      <c r="BU94" s="32">
        <f t="shared" si="52"/>
        <v>2275.5394999999999</v>
      </c>
      <c r="BV94" s="31">
        <f>COUNTIFS(tbl_aplicabilidade[ProductId],B94,tbl_aplicabilidade[Aplicavel],"Sim")</f>
        <v>12</v>
      </c>
      <c r="BW94" s="31">
        <f>COUNTIFS(tbl_aplicabilidade[ProductId],B94,tbl_aplicabilidade[Estado_Resumo],"Lacuna")+COUNTIFS(tbl_aplicabilidade[ProductId],B94,tbl_aplicabilidade[Estado_Resumo],"Não conforme")</f>
        <v>4</v>
      </c>
      <c r="BX94" s="41">
        <v>46287</v>
      </c>
      <c r="BY94" s="42">
        <f t="shared" si="53"/>
        <v>46652</v>
      </c>
      <c r="BZ94" s="26" t="s">
        <v>596</v>
      </c>
      <c r="CA94" s="26" t="s">
        <v>597</v>
      </c>
      <c r="CB94" s="26" t="s">
        <v>598</v>
      </c>
    </row>
    <row r="95" spans="1:80" ht="18" customHeight="1" x14ac:dyDescent="0.3">
      <c r="A95" s="26" t="s">
        <v>820</v>
      </c>
      <c r="B95" s="26" t="s">
        <v>821</v>
      </c>
      <c r="C95" s="26" t="s">
        <v>586</v>
      </c>
      <c r="D95" s="26" t="s">
        <v>587</v>
      </c>
      <c r="E95" s="26" t="s">
        <v>588</v>
      </c>
      <c r="F95" s="26" t="s">
        <v>589</v>
      </c>
      <c r="G95" s="26" t="s">
        <v>609</v>
      </c>
      <c r="H95" s="37">
        <v>1000</v>
      </c>
      <c r="I95" s="37">
        <v>172</v>
      </c>
      <c r="J95" s="26" t="s">
        <v>253</v>
      </c>
      <c r="K95" s="33" t="str">
        <f>IFERROR(INDEX(tbl_materiais[Polimero_Base],MATCH(J95,tbl_materiais[Material],0)),"")</f>
        <v>PET</v>
      </c>
      <c r="L95" s="33" t="str">
        <f>IFERROR(INDEX(tbl_materiais[Fluxo_Reciclagem],MATCH(J95,tbl_materiais[Material],0)),"")</f>
        <v>PET frascos e garrafas</v>
      </c>
      <c r="M95" s="33" t="str">
        <f t="shared" si="36"/>
        <v>PET — garrafas/frascos transparentes incolores</v>
      </c>
      <c r="N95" s="26" t="s">
        <v>610</v>
      </c>
      <c r="O95" s="26" t="s">
        <v>279</v>
      </c>
      <c r="P95" s="26" t="s">
        <v>611</v>
      </c>
      <c r="Q95" s="29">
        <v>0</v>
      </c>
      <c r="R95" s="35">
        <f>IFERROR(ROUND(INDEX(tbl_materiais[Densidade_g_cm3],MATCH(J95,tbl_materiais[Material],0))+Q95*1.2,3),"")</f>
        <v>1.38</v>
      </c>
      <c r="S95" s="26" t="s">
        <v>302</v>
      </c>
      <c r="T95" s="34">
        <v>49.1</v>
      </c>
      <c r="U95" s="26" t="s">
        <v>593</v>
      </c>
      <c r="V95" s="26" t="s">
        <v>473</v>
      </c>
      <c r="W95" s="33" t="str">
        <f>IF(V95="","",IFERROR(INDEX(tbl_tampas[Material],MATCH(V95,tbl_tampas[CapId],0)),""))</f>
        <v>PP</v>
      </c>
      <c r="X95" s="33" t="str">
        <f>IF(V95="","Sem tampa",IFERROR(INDEX(tbl_materiais[Polimero_Base],MATCH(W95,tbl_materiais[Material],0)),""))</f>
        <v>PP</v>
      </c>
      <c r="Y95" s="38">
        <f>IF(V95="",0,IFERROR(INDEX(tbl_tampas[Massa_g],MATCH(V95,tbl_tampas[CapId],0)),0))</f>
        <v>19.3</v>
      </c>
      <c r="Z95" s="26" t="s">
        <v>319</v>
      </c>
      <c r="AA95" s="26" t="s">
        <v>327</v>
      </c>
      <c r="AB95" s="26" t="s">
        <v>343</v>
      </c>
      <c r="AC95" s="29">
        <v>0.4</v>
      </c>
      <c r="AD95" s="27">
        <v>1.02</v>
      </c>
      <c r="AE95" s="26" t="s">
        <v>604</v>
      </c>
      <c r="AF95" s="26" t="s">
        <v>302</v>
      </c>
      <c r="AG95" s="39">
        <v>0</v>
      </c>
      <c r="AH95" s="33" t="str">
        <f t="shared" si="37"/>
        <v>Nenhuma</v>
      </c>
      <c r="AI95" s="27">
        <v>0</v>
      </c>
      <c r="AJ95" s="33" t="str">
        <f>IFERROR(INDEX(tbl_regras_dfr[Classe],MATCH(L95&amp;"|Fluxo de reciclagem|"&amp;L95,tbl_regras_dfr[Chave],0)),"Sem regra")</f>
        <v>A</v>
      </c>
      <c r="AK95" s="33" t="str">
        <f>IF(LEFT(L95,9)="Sem fluxo","—",IFERROR(INDEX(tbl_regras_dfr[Classe],MATCH(L95&amp;"|Cor do corpo|"&amp;O95,tbl_regras_dfr[Chave],0)),"Sem regra"))</f>
        <v>A</v>
      </c>
      <c r="AL95" s="33" t="str">
        <f>IF(LEFT(L95,9)="Sem fluxo","—",IFERROR(INDEX(tbl_regras_dfr[Classe],MATCH(L95&amp;"|Densidade do corpo|"&amp;IF(R95&lt;1,"&lt; 1,0 g/cm³","≥ 1,0 g/cm³"),tbl_regras_dfr[Chave],0)),"Sem regra"))</f>
        <v>A</v>
      </c>
      <c r="AM95" s="33" t="str">
        <f>IF(LEFT(L95,9)="Sem fluxo","—",IFERROR(INDEX(tbl_regras_dfr[Classe],MATCH(L95&amp;"|Barreira / revestimento|"&amp;S95,tbl_regras_dfr[Chave],0)),"Sem regra"))</f>
        <v>A</v>
      </c>
      <c r="AN95" s="33" t="str">
        <f>IF(LEFT(L95,9)="Sem fluxo","—",IFERROR(INDEX(tbl_regras_dfr[Classe],MATCH(L95&amp;"|Material da tampa|"&amp;X95,tbl_regras_dfr[Chave],0)),"Sem regra"))</f>
        <v>A</v>
      </c>
      <c r="AO95" s="33" t="str">
        <f>IF(LEFT(L95,9)="Sem fluxo","—",IFERROR(INDEX(tbl_regras_dfr[Classe],MATCH(L95&amp;"|Vedante / liner|"&amp;Z95,tbl_regras_dfr[Chave],0)),"Sem regra"))</f>
        <v>A</v>
      </c>
      <c r="AP95" s="33" t="str">
        <f>IF(LEFT(L95,9)="Sem fluxo","—",IFERROR(INDEX(tbl_regras_dfr[Classe],MATCH(L95&amp;"|Tipo de rótulo|"&amp;AA95,tbl_regras_dfr[Chave],0)),"Sem regra"))</f>
        <v>A</v>
      </c>
      <c r="AQ95" s="33" t="str">
        <f>IF(LEFT(L95,9)="Sem fluxo","—",IFERROR(INDEX(tbl_regras_dfr[Classe],MATCH(L95&amp;"|Adesivo do rótulo|"&amp;AB95,tbl_regras_dfr[Chave],0)),"Sem regra"))</f>
        <v>A</v>
      </c>
      <c r="AR95" s="33" t="str">
        <f>IF(LEFT(L95,9)="Sem fluxo","—",IFERROR(INDEX(tbl_regras_dfr[Classe],MATCH(L95&amp;"|Cobertura do rótulo|"&amp;IF(AC95&gt;0.7,"&gt; 70% da superfície","≤ 70% da superfície"),tbl_regras_dfr[Chave],0)),"Sem regra"))</f>
        <v>A</v>
      </c>
      <c r="AS95" s="33" t="str">
        <f>IF(LEFT(L95,9)="Sem fluxo","—",IFERROR(INDEX(tbl_regras_dfr[Classe],MATCH(L95&amp;"|Decoração direta|"&amp;AH95,tbl_regras_dfr[Chave],0)),"Sem regra"))</f>
        <v>A</v>
      </c>
      <c r="AT95" s="31">
        <f t="shared" si="38"/>
        <v>1</v>
      </c>
      <c r="AU95" s="33" t="str">
        <f>IF(AT95=0,"",INDEX({"A","B","C","D","E","F"},AT95))</f>
        <v>A</v>
      </c>
      <c r="AV95" s="31">
        <f t="shared" si="39"/>
        <v>0</v>
      </c>
      <c r="AW95" s="33" t="str">
        <f t="shared" si="40"/>
        <v>—</v>
      </c>
      <c r="AX95" s="33" t="str">
        <f>IF(AU95="A","Sem ação — manter o design.",IFERROR(INDEX(tbl_regras_dfr[Recomendacao],MATCH(CHOOSE(MATCH(AU95,AJ95:AS95,0),L95&amp;"|Fluxo de reciclagem|"&amp;L95,L95&amp;"|Cor do corpo|"&amp;O95,L95&amp;"|Densidade do corpo|"&amp;IF(R95&lt;1,"&lt; 1,0 g/cm³","≥ 1,0 g/cm³"),L95&amp;"|Barreira / revestimento|"&amp;S95,L95&amp;"|Material da tampa|"&amp;X95,L95&amp;"|Vedante / liner|"&amp;Z95,L95&amp;"|Tipo de rótulo|"&amp;AA95,L95&amp;"|Adesivo do rótulo|"&amp;AB95,L95&amp;"|Cobertura do rótulo|"&amp;IF(AC95&gt;0.7,"&gt; 70% da superfície","≤ 70% da superfície"),L95&amp;"|Decoração direta|"&amp;AH95),tbl_regras_dfr[Chave],0)),""))</f>
        <v>Sem ação — manter o design.</v>
      </c>
      <c r="AY95" s="38">
        <f t="shared" si="41"/>
        <v>69.42</v>
      </c>
      <c r="AZ95" s="36">
        <f>MIN(IFERROR(INDEX(tbl_regras_dfr[Fracao_Reciclavel],MATCH(L95&amp;"|Fluxo de reciclagem|"&amp;L95,tbl_regras_dfr[Chave],0)),0),IFERROR(INDEX(tbl_regras_dfr[Fracao_Reciclavel],MATCH(L95&amp;"|Cor do corpo|"&amp;O95,tbl_regras_dfr[Chave],0)),0))</f>
        <v>1</v>
      </c>
      <c r="BA95" s="36">
        <f>IFERROR(INDEX(tbl_regras_dfr[Fracao_Reciclavel],MATCH(L95&amp;"|Material da tampa|"&amp;X95,tbl_regras_dfr[Chave],0)),0)</f>
        <v>1</v>
      </c>
      <c r="BB95" s="36">
        <f>IFERROR(INDEX(tbl_regras_dfr[Fracao_Reciclavel],MATCH(L95&amp;"|Tipo de rótulo|"&amp;AA95,tbl_regras_dfr[Chave],0)),0)</f>
        <v>1</v>
      </c>
      <c r="BC95" s="38">
        <f t="shared" si="42"/>
        <v>69.42</v>
      </c>
      <c r="BD95" s="40">
        <f t="shared" si="43"/>
        <v>1</v>
      </c>
      <c r="BE95" s="33" t="str">
        <f>IF(BD95&gt;=INDEX(tbl_param_emb[Valor],MATCH("P-06",tbl_param_emb[ID_Parametro],0)),"A",IF(BD95&gt;=INDEX(tbl_param_emb[Valor],MATCH("P-07",tbl_param_emb[ID_Parametro],0)),"B",IF(BD95&gt;=INDEX(tbl_param_emb[Valor],MATCH("P-08",tbl_param_emb[ID_Parametro],0)),"C","&lt; 70%")))</f>
        <v>A</v>
      </c>
      <c r="BF95" s="33" t="str">
        <f>IF(AU95="F","Não reciclável (F)",INDEX({"A","B","C","Abaixo de C"},MAX(MIN(AT95,4),IF(BE95="A",1,IF(BE95="B",2,IF(BE95="C",3,4))))))</f>
        <v>A</v>
      </c>
      <c r="BG95" s="33" t="str">
        <f t="shared" si="44"/>
        <v>—</v>
      </c>
      <c r="BH95" s="33" t="str">
        <f t="shared" si="45"/>
        <v>Sim</v>
      </c>
      <c r="BI95" s="33" t="str">
        <f t="shared" si="46"/>
        <v>Sim</v>
      </c>
      <c r="BJ95" s="36">
        <f>IFERROR(INDEX(tbl_materiais[Pct_PCR],MATCH(J95,tbl_materiais[Material],0)),0)</f>
        <v>0.5</v>
      </c>
      <c r="BK95" s="36">
        <f>IF(V95="",0,IFERROR(INDEX(tbl_tampas[Pct_PCR],MATCH(V95,tbl_tampas[CapId],0)),0))</f>
        <v>0</v>
      </c>
      <c r="BL95" s="40">
        <f t="shared" si="47"/>
        <v>0.35891812865497075</v>
      </c>
      <c r="BM95" s="33" t="str">
        <f t="shared" si="48"/>
        <v>Outras embalagens de plástico</v>
      </c>
      <c r="BN95" s="36">
        <f>IFERROR(IF(INDEX(tbl_metas_art7[Meta_2030],MATCH(BM95,tbl_metas_art7[Categoria_Art7],0))="","",INDEX(tbl_metas_art7[Meta_2030],MATCH(BM95,tbl_metas_art7[Categoria_Art7],0))),"")</f>
        <v>0.35</v>
      </c>
      <c r="BO95" s="40">
        <f t="shared" si="49"/>
        <v>0</v>
      </c>
      <c r="BP95" s="33" t="str">
        <f t="shared" si="50"/>
        <v>Sim</v>
      </c>
      <c r="BQ95" s="33" t="str">
        <f t="shared" si="51"/>
        <v>Multimaterial</v>
      </c>
      <c r="BR95" s="37">
        <v>94528</v>
      </c>
      <c r="BS95" s="39">
        <v>10</v>
      </c>
      <c r="BT95" s="26" t="s">
        <v>482</v>
      </c>
      <c r="BU95" s="32">
        <f t="shared" si="52"/>
        <v>4641.3247999999994</v>
      </c>
      <c r="BV95" s="31">
        <f>COUNTIFS(tbl_aplicabilidade[ProductId],B95,tbl_aplicabilidade[Aplicavel],"Sim")</f>
        <v>12</v>
      </c>
      <c r="BW95" s="31">
        <f>COUNTIFS(tbl_aplicabilidade[ProductId],B95,tbl_aplicabilidade[Estado_Resumo],"Lacuna")+COUNTIFS(tbl_aplicabilidade[ProductId],B95,tbl_aplicabilidade[Estado_Resumo],"Não conforme")</f>
        <v>1</v>
      </c>
      <c r="BX95" s="41">
        <v>46287</v>
      </c>
      <c r="BY95" s="42">
        <f t="shared" si="53"/>
        <v>46652</v>
      </c>
      <c r="BZ95" s="26" t="s">
        <v>596</v>
      </c>
      <c r="CA95" s="26" t="s">
        <v>597</v>
      </c>
      <c r="CB95" s="26" t="s">
        <v>598</v>
      </c>
    </row>
    <row r="96" spans="1:80" ht="18" customHeight="1" x14ac:dyDescent="0.3">
      <c r="A96" s="26" t="s">
        <v>822</v>
      </c>
      <c r="B96" s="26" t="s">
        <v>823</v>
      </c>
      <c r="C96" s="26" t="s">
        <v>586</v>
      </c>
      <c r="D96" s="26" t="s">
        <v>587</v>
      </c>
      <c r="E96" s="26" t="s">
        <v>588</v>
      </c>
      <c r="F96" s="26" t="s">
        <v>589</v>
      </c>
      <c r="G96" s="26" t="s">
        <v>609</v>
      </c>
      <c r="H96" s="37">
        <v>1000</v>
      </c>
      <c r="I96" s="37">
        <v>172</v>
      </c>
      <c r="J96" s="26" t="s">
        <v>253</v>
      </c>
      <c r="K96" s="33" t="str">
        <f>IFERROR(INDEX(tbl_materiais[Polimero_Base],MATCH(J96,tbl_materiais[Material],0)),"")</f>
        <v>PET</v>
      </c>
      <c r="L96" s="33" t="str">
        <f>IFERROR(INDEX(tbl_materiais[Fluxo_Reciclagem],MATCH(J96,tbl_materiais[Material],0)),"")</f>
        <v>PET frascos e garrafas</v>
      </c>
      <c r="M96" s="33" t="str">
        <f t="shared" si="36"/>
        <v>PET — garrafas/frascos transparentes incolores</v>
      </c>
      <c r="N96" s="26" t="s">
        <v>610</v>
      </c>
      <c r="O96" s="26" t="s">
        <v>279</v>
      </c>
      <c r="P96" s="26" t="s">
        <v>611</v>
      </c>
      <c r="Q96" s="29">
        <v>0</v>
      </c>
      <c r="R96" s="35">
        <f>IFERROR(ROUND(INDEX(tbl_materiais[Densidade_g_cm3],MATCH(J96,tbl_materiais[Material],0))+Q96*1.2,3),"")</f>
        <v>1.38</v>
      </c>
      <c r="S96" s="26" t="s">
        <v>302</v>
      </c>
      <c r="T96" s="34">
        <v>49.1</v>
      </c>
      <c r="U96" s="26" t="s">
        <v>593</v>
      </c>
      <c r="V96" s="26" t="s">
        <v>452</v>
      </c>
      <c r="W96" s="33" t="str">
        <f>IF(V96="","",IFERROR(INDEX(tbl_tampas[Material],MATCH(V96,tbl_tampas[CapId],0)),""))</f>
        <v>PP</v>
      </c>
      <c r="X96" s="33" t="str">
        <f>IF(V96="","Sem tampa",IFERROR(INDEX(tbl_materiais[Polimero_Base],MATCH(W96,tbl_materiais[Material],0)),""))</f>
        <v>PP</v>
      </c>
      <c r="Y96" s="38">
        <f>IF(V96="",0,IFERROR(INDEX(tbl_tampas[Massa_g],MATCH(V96,tbl_tampas[CapId],0)),0))</f>
        <v>14.3</v>
      </c>
      <c r="Z96" s="26" t="s">
        <v>319</v>
      </c>
      <c r="AA96" s="26" t="s">
        <v>327</v>
      </c>
      <c r="AB96" s="26" t="s">
        <v>343</v>
      </c>
      <c r="AC96" s="29">
        <v>0.4</v>
      </c>
      <c r="AD96" s="27">
        <v>1.02</v>
      </c>
      <c r="AE96" s="26" t="s">
        <v>604</v>
      </c>
      <c r="AF96" s="26" t="s">
        <v>302</v>
      </c>
      <c r="AG96" s="39">
        <v>0</v>
      </c>
      <c r="AH96" s="33" t="str">
        <f t="shared" si="37"/>
        <v>Nenhuma</v>
      </c>
      <c r="AI96" s="27">
        <v>0</v>
      </c>
      <c r="AJ96" s="33" t="str">
        <f>IFERROR(INDEX(tbl_regras_dfr[Classe],MATCH(L96&amp;"|Fluxo de reciclagem|"&amp;L96,tbl_regras_dfr[Chave],0)),"Sem regra")</f>
        <v>A</v>
      </c>
      <c r="AK96" s="33" t="str">
        <f>IF(LEFT(L96,9)="Sem fluxo","—",IFERROR(INDEX(tbl_regras_dfr[Classe],MATCH(L96&amp;"|Cor do corpo|"&amp;O96,tbl_regras_dfr[Chave],0)),"Sem regra"))</f>
        <v>A</v>
      </c>
      <c r="AL96" s="33" t="str">
        <f>IF(LEFT(L96,9)="Sem fluxo","—",IFERROR(INDEX(tbl_regras_dfr[Classe],MATCH(L96&amp;"|Densidade do corpo|"&amp;IF(R96&lt;1,"&lt; 1,0 g/cm³","≥ 1,0 g/cm³"),tbl_regras_dfr[Chave],0)),"Sem regra"))</f>
        <v>A</v>
      </c>
      <c r="AM96" s="33" t="str">
        <f>IF(LEFT(L96,9)="Sem fluxo","—",IFERROR(INDEX(tbl_regras_dfr[Classe],MATCH(L96&amp;"|Barreira / revestimento|"&amp;S96,tbl_regras_dfr[Chave],0)),"Sem regra"))</f>
        <v>A</v>
      </c>
      <c r="AN96" s="33" t="str">
        <f>IF(LEFT(L96,9)="Sem fluxo","—",IFERROR(INDEX(tbl_regras_dfr[Classe],MATCH(L96&amp;"|Material da tampa|"&amp;X96,tbl_regras_dfr[Chave],0)),"Sem regra"))</f>
        <v>A</v>
      </c>
      <c r="AO96" s="33" t="str">
        <f>IF(LEFT(L96,9)="Sem fluxo","—",IFERROR(INDEX(tbl_regras_dfr[Classe],MATCH(L96&amp;"|Vedante / liner|"&amp;Z96,tbl_regras_dfr[Chave],0)),"Sem regra"))</f>
        <v>A</v>
      </c>
      <c r="AP96" s="33" t="str">
        <f>IF(LEFT(L96,9)="Sem fluxo","—",IFERROR(INDEX(tbl_regras_dfr[Classe],MATCH(L96&amp;"|Tipo de rótulo|"&amp;AA96,tbl_regras_dfr[Chave],0)),"Sem regra"))</f>
        <v>A</v>
      </c>
      <c r="AQ96" s="33" t="str">
        <f>IF(LEFT(L96,9)="Sem fluxo","—",IFERROR(INDEX(tbl_regras_dfr[Classe],MATCH(L96&amp;"|Adesivo do rótulo|"&amp;AB96,tbl_regras_dfr[Chave],0)),"Sem regra"))</f>
        <v>A</v>
      </c>
      <c r="AR96" s="33" t="str">
        <f>IF(LEFT(L96,9)="Sem fluxo","—",IFERROR(INDEX(tbl_regras_dfr[Classe],MATCH(L96&amp;"|Cobertura do rótulo|"&amp;IF(AC96&gt;0.7,"&gt; 70% da superfície","≤ 70% da superfície"),tbl_regras_dfr[Chave],0)),"Sem regra"))</f>
        <v>A</v>
      </c>
      <c r="AS96" s="33" t="str">
        <f>IF(LEFT(L96,9)="Sem fluxo","—",IFERROR(INDEX(tbl_regras_dfr[Classe],MATCH(L96&amp;"|Decoração direta|"&amp;AH96,tbl_regras_dfr[Chave],0)),"Sem regra"))</f>
        <v>A</v>
      </c>
      <c r="AT96" s="31">
        <f t="shared" si="38"/>
        <v>1</v>
      </c>
      <c r="AU96" s="33" t="str">
        <f>IF(AT96=0,"",INDEX({"A","B","C","D","E","F"},AT96))</f>
        <v>A</v>
      </c>
      <c r="AV96" s="31">
        <f t="shared" si="39"/>
        <v>0</v>
      </c>
      <c r="AW96" s="33" t="str">
        <f t="shared" si="40"/>
        <v>—</v>
      </c>
      <c r="AX96" s="33" t="str">
        <f>IF(AU96="A","Sem ação — manter o design.",IFERROR(INDEX(tbl_regras_dfr[Recomendacao],MATCH(CHOOSE(MATCH(AU96,AJ96:AS96,0),L96&amp;"|Fluxo de reciclagem|"&amp;L96,L96&amp;"|Cor do corpo|"&amp;O96,L96&amp;"|Densidade do corpo|"&amp;IF(R96&lt;1,"&lt; 1,0 g/cm³","≥ 1,0 g/cm³"),L96&amp;"|Barreira / revestimento|"&amp;S96,L96&amp;"|Material da tampa|"&amp;X96,L96&amp;"|Vedante / liner|"&amp;Z96,L96&amp;"|Tipo de rótulo|"&amp;AA96,L96&amp;"|Adesivo do rótulo|"&amp;AB96,L96&amp;"|Cobertura do rótulo|"&amp;IF(AC96&gt;0.7,"&gt; 70% da superfície","≤ 70% da superfície"),L96&amp;"|Decoração direta|"&amp;AH96),tbl_regras_dfr[Chave],0)),""))</f>
        <v>Sem ação — manter o design.</v>
      </c>
      <c r="AY96" s="38">
        <f t="shared" si="41"/>
        <v>64.42</v>
      </c>
      <c r="AZ96" s="36">
        <f>MIN(IFERROR(INDEX(tbl_regras_dfr[Fracao_Reciclavel],MATCH(L96&amp;"|Fluxo de reciclagem|"&amp;L96,tbl_regras_dfr[Chave],0)),0),IFERROR(INDEX(tbl_regras_dfr[Fracao_Reciclavel],MATCH(L96&amp;"|Cor do corpo|"&amp;O96,tbl_regras_dfr[Chave],0)),0))</f>
        <v>1</v>
      </c>
      <c r="BA96" s="36">
        <f>IFERROR(INDEX(tbl_regras_dfr[Fracao_Reciclavel],MATCH(L96&amp;"|Material da tampa|"&amp;X96,tbl_regras_dfr[Chave],0)),0)</f>
        <v>1</v>
      </c>
      <c r="BB96" s="36">
        <f>IFERROR(INDEX(tbl_regras_dfr[Fracao_Reciclavel],MATCH(L96&amp;"|Tipo de rótulo|"&amp;AA96,tbl_regras_dfr[Chave],0)),0)</f>
        <v>1</v>
      </c>
      <c r="BC96" s="38">
        <f t="shared" si="42"/>
        <v>64.42</v>
      </c>
      <c r="BD96" s="40">
        <f t="shared" si="43"/>
        <v>1</v>
      </c>
      <c r="BE96" s="33" t="str">
        <f>IF(BD96&gt;=INDEX(tbl_param_emb[Valor],MATCH("P-06",tbl_param_emb[ID_Parametro],0)),"A",IF(BD96&gt;=INDEX(tbl_param_emb[Valor],MATCH("P-07",tbl_param_emb[ID_Parametro],0)),"B",IF(BD96&gt;=INDEX(tbl_param_emb[Valor],MATCH("P-08",tbl_param_emb[ID_Parametro],0)),"C","&lt; 70%")))</f>
        <v>A</v>
      </c>
      <c r="BF96" s="33" t="str">
        <f>IF(AU96="F","Não reciclável (F)",INDEX({"A","B","C","Abaixo de C"},MAX(MIN(AT96,4),IF(BE96="A",1,IF(BE96="B",2,IF(BE96="C",3,4))))))</f>
        <v>A</v>
      </c>
      <c r="BG96" s="33" t="str">
        <f t="shared" si="44"/>
        <v>—</v>
      </c>
      <c r="BH96" s="33" t="str">
        <f t="shared" si="45"/>
        <v>Sim</v>
      </c>
      <c r="BI96" s="33" t="str">
        <f t="shared" si="46"/>
        <v>Sim</v>
      </c>
      <c r="BJ96" s="36">
        <f>IFERROR(INDEX(tbl_materiais[Pct_PCR],MATCH(J96,tbl_materiais[Material],0)),0)</f>
        <v>0.5</v>
      </c>
      <c r="BK96" s="36">
        <f>IF(V96="",0,IFERROR(INDEX(tbl_tampas[Pct_PCR],MATCH(V96,tbl_tampas[CapId],0)),0))</f>
        <v>0</v>
      </c>
      <c r="BL96" s="40">
        <f t="shared" si="47"/>
        <v>0.38722397476340692</v>
      </c>
      <c r="BM96" s="33" t="str">
        <f t="shared" si="48"/>
        <v>Outras embalagens de plástico</v>
      </c>
      <c r="BN96" s="36">
        <f>IFERROR(IF(INDEX(tbl_metas_art7[Meta_2030],MATCH(BM96,tbl_metas_art7[Categoria_Art7],0))="","",INDEX(tbl_metas_art7[Meta_2030],MATCH(BM96,tbl_metas_art7[Categoria_Art7],0))),"")</f>
        <v>0.35</v>
      </c>
      <c r="BO96" s="40">
        <f t="shared" si="49"/>
        <v>0</v>
      </c>
      <c r="BP96" s="33" t="str">
        <f t="shared" si="50"/>
        <v>Sim</v>
      </c>
      <c r="BQ96" s="33" t="str">
        <f t="shared" si="51"/>
        <v>Multimaterial</v>
      </c>
      <c r="BR96" s="37">
        <v>93316</v>
      </c>
      <c r="BS96" s="39">
        <v>12</v>
      </c>
      <c r="BT96" s="26" t="s">
        <v>454</v>
      </c>
      <c r="BU96" s="32">
        <f t="shared" si="52"/>
        <v>4581.8156000000008</v>
      </c>
      <c r="BV96" s="31">
        <f>COUNTIFS(tbl_aplicabilidade[ProductId],B96,tbl_aplicabilidade[Aplicavel],"Sim")</f>
        <v>12</v>
      </c>
      <c r="BW96" s="31">
        <f>COUNTIFS(tbl_aplicabilidade[ProductId],B96,tbl_aplicabilidade[Estado_Resumo],"Lacuna")+COUNTIFS(tbl_aplicabilidade[ProductId],B96,tbl_aplicabilidade[Estado_Resumo],"Não conforme")</f>
        <v>1</v>
      </c>
      <c r="BX96" s="41">
        <v>46287</v>
      </c>
      <c r="BY96" s="42">
        <f t="shared" si="53"/>
        <v>46652</v>
      </c>
      <c r="BZ96" s="26" t="s">
        <v>596</v>
      </c>
      <c r="CA96" s="26" t="s">
        <v>597</v>
      </c>
      <c r="CB96" s="26" t="s">
        <v>598</v>
      </c>
    </row>
    <row r="97" spans="1:80" ht="18" customHeight="1" x14ac:dyDescent="0.3">
      <c r="A97" s="26" t="s">
        <v>824</v>
      </c>
      <c r="B97" s="26" t="s">
        <v>825</v>
      </c>
      <c r="C97" s="26" t="s">
        <v>586</v>
      </c>
      <c r="D97" s="26" t="s">
        <v>587</v>
      </c>
      <c r="E97" s="26" t="s">
        <v>588</v>
      </c>
      <c r="F97" s="26" t="s">
        <v>589</v>
      </c>
      <c r="G97" s="26" t="s">
        <v>590</v>
      </c>
      <c r="H97" s="37">
        <v>4000</v>
      </c>
      <c r="I97" s="37">
        <v>273</v>
      </c>
      <c r="J97" s="26" t="s">
        <v>223</v>
      </c>
      <c r="K97" s="33" t="str">
        <f>IFERROR(INDEX(tbl_materiais[Polimero_Base],MATCH(J97,tbl_materiais[Material],0)),"")</f>
        <v>PE</v>
      </c>
      <c r="L97" s="33" t="str">
        <f>IFERROR(INDEX(tbl_materiais[Fluxo_Reciclagem],MATCH(J97,tbl_materiais[Material],0)),"")</f>
        <v>PE rígido</v>
      </c>
      <c r="M97" s="33" t="str">
        <f t="shared" si="36"/>
        <v>PE rígido — frascos e contentores (HDPE/LDPE)</v>
      </c>
      <c r="N97" s="26" t="s">
        <v>656</v>
      </c>
      <c r="O97" s="26" t="s">
        <v>283</v>
      </c>
      <c r="P97" s="26" t="s">
        <v>657</v>
      </c>
      <c r="Q97" s="29">
        <v>0.02</v>
      </c>
      <c r="R97" s="35">
        <f>IFERROR(ROUND(INDEX(tbl_materiais[Densidade_g_cm3],MATCH(J97,tbl_materiais[Material],0))+Q97*1.2,3),"")</f>
        <v>0.97899999999999998</v>
      </c>
      <c r="S97" s="26" t="s">
        <v>302</v>
      </c>
      <c r="T97" s="34">
        <v>123.7</v>
      </c>
      <c r="U97" s="26" t="s">
        <v>593</v>
      </c>
      <c r="V97" s="26" t="s">
        <v>478</v>
      </c>
      <c r="W97" s="33" t="str">
        <f>IF(V97="","",IFERROR(INDEX(tbl_tampas[Material],MATCH(V97,tbl_tampas[CapId],0)),""))</f>
        <v>HDPE</v>
      </c>
      <c r="X97" s="33" t="str">
        <f>IF(V97="","Sem tampa",IFERROR(INDEX(tbl_materiais[Polimero_Base],MATCH(W97,tbl_materiais[Material],0)),""))</f>
        <v>PE</v>
      </c>
      <c r="Y97" s="38">
        <f>IF(V97="",0,IFERROR(INDEX(tbl_tampas[Massa_g],MATCH(V97,tbl_tampas[CapId],0)),0))</f>
        <v>21.4</v>
      </c>
      <c r="Z97" s="26" t="s">
        <v>319</v>
      </c>
      <c r="AA97" s="26" t="s">
        <v>326</v>
      </c>
      <c r="AB97" s="26" t="s">
        <v>340</v>
      </c>
      <c r="AC97" s="29">
        <v>0</v>
      </c>
      <c r="AD97" s="27">
        <v>0</v>
      </c>
      <c r="AE97" s="26" t="s">
        <v>594</v>
      </c>
      <c r="AF97" s="26" t="s">
        <v>359</v>
      </c>
      <c r="AG97" s="39">
        <v>1</v>
      </c>
      <c r="AH97" s="33" t="str">
        <f t="shared" si="37"/>
        <v>Hot foil metalizado</v>
      </c>
      <c r="AI97" s="27">
        <v>0.03</v>
      </c>
      <c r="AJ97" s="33" t="str">
        <f>IFERROR(INDEX(tbl_regras_dfr[Classe],MATCH(L97&amp;"|Fluxo de reciclagem|"&amp;L97,tbl_regras_dfr[Chave],0)),"Sem regra")</f>
        <v>A</v>
      </c>
      <c r="AK97" s="33" t="str">
        <f>IF(LEFT(L97,9)="Sem fluxo","—",IFERROR(INDEX(tbl_regras_dfr[Classe],MATCH(L97&amp;"|Cor do corpo|"&amp;O97,tbl_regras_dfr[Chave],0)),"Sem regra"))</f>
        <v>B</v>
      </c>
      <c r="AL97" s="33" t="str">
        <f>IF(LEFT(L97,9)="Sem fluxo","—",IFERROR(INDEX(tbl_regras_dfr[Classe],MATCH(L97&amp;"|Densidade do corpo|"&amp;IF(R97&lt;1,"&lt; 1,0 g/cm³","≥ 1,0 g/cm³"),tbl_regras_dfr[Chave],0)),"Sem regra"))</f>
        <v>A</v>
      </c>
      <c r="AM97" s="33" t="str">
        <f>IF(LEFT(L97,9)="Sem fluxo","—",IFERROR(INDEX(tbl_regras_dfr[Classe],MATCH(L97&amp;"|Barreira / revestimento|"&amp;S97,tbl_regras_dfr[Chave],0)),"Sem regra"))</f>
        <v>A</v>
      </c>
      <c r="AN97" s="33" t="str">
        <f>IF(LEFT(L97,9)="Sem fluxo","—",IFERROR(INDEX(tbl_regras_dfr[Classe],MATCH(L97&amp;"|Material da tampa|"&amp;X97,tbl_regras_dfr[Chave],0)),"Sem regra"))</f>
        <v>A</v>
      </c>
      <c r="AO97" s="33" t="str">
        <f>IF(LEFT(L97,9)="Sem fluxo","—",IFERROR(INDEX(tbl_regras_dfr[Classe],MATCH(L97&amp;"|Vedante / liner|"&amp;Z97,tbl_regras_dfr[Chave],0)),"Sem regra"))</f>
        <v>A</v>
      </c>
      <c r="AP97" s="33" t="str">
        <f>IF(LEFT(L97,9)="Sem fluxo","—",IFERROR(INDEX(tbl_regras_dfr[Classe],MATCH(L97&amp;"|Tipo de rótulo|"&amp;AA97,tbl_regras_dfr[Chave],0)),"Sem regra"))</f>
        <v>A</v>
      </c>
      <c r="AQ97" s="33" t="str">
        <f>IF(LEFT(L97,9)="Sem fluxo","—",IFERROR(INDEX(tbl_regras_dfr[Classe],MATCH(L97&amp;"|Adesivo do rótulo|"&amp;AB97,tbl_regras_dfr[Chave],0)),"Sem regra"))</f>
        <v>A</v>
      </c>
      <c r="AR97" s="33" t="str">
        <f>IF(LEFT(L97,9)="Sem fluxo","—",IFERROR(INDEX(tbl_regras_dfr[Classe],MATCH(L97&amp;"|Cobertura do rótulo|"&amp;IF(AC97&gt;0.7,"&gt; 70% da superfície","≤ 70% da superfície"),tbl_regras_dfr[Chave],0)),"Sem regra"))</f>
        <v>A</v>
      </c>
      <c r="AS97" s="33" t="str">
        <f>IF(LEFT(L97,9)="Sem fluxo","—",IFERROR(INDEX(tbl_regras_dfr[Classe],MATCH(L97&amp;"|Decoração direta|"&amp;AH97,tbl_regras_dfr[Chave],0)),"Sem regra"))</f>
        <v>C</v>
      </c>
      <c r="AT97" s="31">
        <f t="shared" si="38"/>
        <v>3</v>
      </c>
      <c r="AU97" s="33" t="str">
        <f>IF(AT97=0,"",INDEX({"A","B","C","D","E","F"},AT97))</f>
        <v>C</v>
      </c>
      <c r="AV97" s="31">
        <f t="shared" si="39"/>
        <v>0</v>
      </c>
      <c r="AW97" s="33" t="str">
        <f t="shared" si="40"/>
        <v>Decoracao</v>
      </c>
      <c r="AX97" s="33" t="str">
        <f>IF(AU97="A","Sem ação — manter o design.",IFERROR(INDEX(tbl_regras_dfr[Recomendacao],MATCH(CHOOSE(MATCH(AU97,AJ97:AS97,0),L97&amp;"|Fluxo de reciclagem|"&amp;L97,L97&amp;"|Cor do corpo|"&amp;O97,L97&amp;"|Densidade do corpo|"&amp;IF(R97&lt;1,"&lt; 1,0 g/cm³","≥ 1,0 g/cm³"),L97&amp;"|Barreira / revestimento|"&amp;S97,L97&amp;"|Material da tampa|"&amp;X97,L97&amp;"|Vedante / liner|"&amp;Z97,L97&amp;"|Tipo de rótulo|"&amp;AA97,L97&amp;"|Adesivo do rótulo|"&amp;AB97,L97&amp;"|Cobertura do rótulo|"&amp;IF(AC97&gt;0.7,"&gt; 70% da superfície","≤ 70% da superfície"),L97&amp;"|Decoração direta|"&amp;AH97),tbl_regras_dfr[Chave],0)),""))</f>
        <v>Reduzir a área de hot foil ou usar rótulo metalizado destacável.</v>
      </c>
      <c r="AY97" s="38">
        <f t="shared" si="41"/>
        <v>145.13</v>
      </c>
      <c r="AZ97" s="36">
        <f>MIN(IFERROR(INDEX(tbl_regras_dfr[Fracao_Reciclavel],MATCH(L97&amp;"|Fluxo de reciclagem|"&amp;L97,tbl_regras_dfr[Chave],0)),0),IFERROR(INDEX(tbl_regras_dfr[Fracao_Reciclavel],MATCH(L97&amp;"|Cor do corpo|"&amp;O97,tbl_regras_dfr[Chave],0)),0))</f>
        <v>1</v>
      </c>
      <c r="BA97" s="36">
        <f>IFERROR(INDEX(tbl_regras_dfr[Fracao_Reciclavel],MATCH(L97&amp;"|Material da tampa|"&amp;X97,tbl_regras_dfr[Chave],0)),0)</f>
        <v>1</v>
      </c>
      <c r="BB97" s="36">
        <f>IFERROR(INDEX(tbl_regras_dfr[Fracao_Reciclavel],MATCH(L97&amp;"|Tipo de rótulo|"&amp;AA97,tbl_regras_dfr[Chave],0)),0)</f>
        <v>1</v>
      </c>
      <c r="BC97" s="38">
        <f t="shared" si="42"/>
        <v>145.1</v>
      </c>
      <c r="BD97" s="40">
        <f t="shared" si="43"/>
        <v>0.99979328877558049</v>
      </c>
      <c r="BE97" s="33" t="str">
        <f>IF(BD97&gt;=INDEX(tbl_param_emb[Valor],MATCH("P-06",tbl_param_emb[ID_Parametro],0)),"A",IF(BD97&gt;=INDEX(tbl_param_emb[Valor],MATCH("P-07",tbl_param_emb[ID_Parametro],0)),"B",IF(BD97&gt;=INDEX(tbl_param_emb[Valor],MATCH("P-08",tbl_param_emb[ID_Parametro],0)),"C","&lt; 70%")))</f>
        <v>A</v>
      </c>
      <c r="BF97" s="33" t="str">
        <f>IF(AU97="F","Não reciclável (F)",INDEX({"A","B","C","Abaixo de C"},MAX(MIN(AT97,4),IF(BE97="A",1,IF(BE97="B",2,IF(BE97="C",3,4))))))</f>
        <v>C</v>
      </c>
      <c r="BG97" s="33" t="str">
        <f t="shared" si="44"/>
        <v>—</v>
      </c>
      <c r="BH97" s="33" t="str">
        <f t="shared" si="45"/>
        <v>Sim</v>
      </c>
      <c r="BI97" s="33" t="str">
        <f t="shared" si="46"/>
        <v>Não</v>
      </c>
      <c r="BJ97" s="36">
        <f>IFERROR(INDEX(tbl_materiais[Pct_PCR],MATCH(J97,tbl_materiais[Material],0)),0)</f>
        <v>0</v>
      </c>
      <c r="BK97" s="36">
        <f>IF(V97="",0,IFERROR(INDEX(tbl_tampas[Pct_PCR],MATCH(V97,tbl_tampas[CapId],0)),0))</f>
        <v>0</v>
      </c>
      <c r="BL97" s="40">
        <f t="shared" si="47"/>
        <v>0</v>
      </c>
      <c r="BM97" s="33" t="str">
        <f t="shared" si="48"/>
        <v>Outras embalagens de plástico</v>
      </c>
      <c r="BN97" s="36">
        <f>IFERROR(IF(INDEX(tbl_metas_art7[Meta_2030],MATCH(BM97,tbl_metas_art7[Categoria_Art7],0))="","",INDEX(tbl_metas_art7[Meta_2030],MATCH(BM97,tbl_metas_art7[Categoria_Art7],0))),"")</f>
        <v>0.35</v>
      </c>
      <c r="BO97" s="40">
        <f t="shared" si="49"/>
        <v>0.35</v>
      </c>
      <c r="BP97" s="33" t="str">
        <f t="shared" si="50"/>
        <v>Não</v>
      </c>
      <c r="BQ97" s="33" t="str">
        <f t="shared" si="51"/>
        <v>Monomaterial (mesma família)</v>
      </c>
      <c r="BR97" s="37">
        <v>195785</v>
      </c>
      <c r="BS97" s="39">
        <v>14</v>
      </c>
      <c r="BT97" s="26" t="s">
        <v>426</v>
      </c>
      <c r="BU97" s="32">
        <f t="shared" si="52"/>
        <v>24218.604500000001</v>
      </c>
      <c r="BV97" s="31">
        <f>COUNTIFS(tbl_aplicabilidade[ProductId],B97,tbl_aplicabilidade[Aplicavel],"Sim")</f>
        <v>12</v>
      </c>
      <c r="BW97" s="31">
        <f>COUNTIFS(tbl_aplicabilidade[ProductId],B97,tbl_aplicabilidade[Estado_Resumo],"Lacuna")+COUNTIFS(tbl_aplicabilidade[ProductId],B97,tbl_aplicabilidade[Estado_Resumo],"Não conforme")</f>
        <v>1</v>
      </c>
      <c r="BX97" s="41">
        <v>46287</v>
      </c>
      <c r="BY97" s="42">
        <f t="shared" si="53"/>
        <v>46652</v>
      </c>
      <c r="BZ97" s="26" t="s">
        <v>596</v>
      </c>
      <c r="CA97" s="26" t="s">
        <v>597</v>
      </c>
      <c r="CB97" s="26" t="s">
        <v>598</v>
      </c>
    </row>
    <row r="98" spans="1:80" ht="18" customHeight="1" x14ac:dyDescent="0.3">
      <c r="A98" s="26" t="s">
        <v>826</v>
      </c>
      <c r="B98" s="26" t="s">
        <v>827</v>
      </c>
      <c r="C98" s="26" t="s">
        <v>586</v>
      </c>
      <c r="D98" s="26" t="s">
        <v>587</v>
      </c>
      <c r="E98" s="26" t="s">
        <v>588</v>
      </c>
      <c r="F98" s="26" t="s">
        <v>589</v>
      </c>
      <c r="G98" s="26" t="s">
        <v>590</v>
      </c>
      <c r="H98" s="37">
        <v>5000</v>
      </c>
      <c r="I98" s="37">
        <v>294</v>
      </c>
      <c r="J98" s="26" t="s">
        <v>223</v>
      </c>
      <c r="K98" s="33" t="str">
        <f>IFERROR(INDEX(tbl_materiais[Polimero_Base],MATCH(J98,tbl_materiais[Material],0)),"")</f>
        <v>PE</v>
      </c>
      <c r="L98" s="33" t="str">
        <f>IFERROR(INDEX(tbl_materiais[Fluxo_Reciclagem],MATCH(J98,tbl_materiais[Material],0)),"")</f>
        <v>PE rígido</v>
      </c>
      <c r="M98" s="33" t="str">
        <f t="shared" si="36"/>
        <v>PE rígido — frascos e contentores (HDPE/LDPE)</v>
      </c>
      <c r="N98" s="26" t="s">
        <v>591</v>
      </c>
      <c r="O98" s="26" t="s">
        <v>283</v>
      </c>
      <c r="P98" s="26" t="s">
        <v>592</v>
      </c>
      <c r="Q98" s="29">
        <v>0.02</v>
      </c>
      <c r="R98" s="35">
        <f>IFERROR(ROUND(INDEX(tbl_materiais[Densidade_g_cm3],MATCH(J98,tbl_materiais[Material],0))+Q98*1.2,3),"")</f>
        <v>0.97899999999999998</v>
      </c>
      <c r="S98" s="26" t="s">
        <v>302</v>
      </c>
      <c r="T98" s="34">
        <v>143.5</v>
      </c>
      <c r="U98" s="26" t="s">
        <v>593</v>
      </c>
      <c r="V98" s="26" t="s">
        <v>449</v>
      </c>
      <c r="W98" s="33" t="str">
        <f>IF(V98="","",IFERROR(INDEX(tbl_tampas[Material],MATCH(V98,tbl_tampas[CapId],0)),""))</f>
        <v>HDPE</v>
      </c>
      <c r="X98" s="33" t="str">
        <f>IF(V98="","Sem tampa",IFERROR(INDEX(tbl_materiais[Polimero_Base],MATCH(W98,tbl_materiais[Material],0)),""))</f>
        <v>PE</v>
      </c>
      <c r="Y98" s="38">
        <f>IF(V98="",0,IFERROR(INDEX(tbl_tampas[Massa_g],MATCH(V98,tbl_tampas[CapId],0)),0))</f>
        <v>15.9</v>
      </c>
      <c r="Z98" s="26" t="s">
        <v>319</v>
      </c>
      <c r="AA98" s="26" t="s">
        <v>326</v>
      </c>
      <c r="AB98" s="26" t="s">
        <v>340</v>
      </c>
      <c r="AC98" s="29">
        <v>0</v>
      </c>
      <c r="AD98" s="27">
        <v>0</v>
      </c>
      <c r="AE98" s="26" t="s">
        <v>594</v>
      </c>
      <c r="AF98" s="26" t="s">
        <v>595</v>
      </c>
      <c r="AG98" s="39">
        <v>1</v>
      </c>
      <c r="AH98" s="33" t="str">
        <f t="shared" si="37"/>
        <v>Serigrafia 1–2 cores</v>
      </c>
      <c r="AI98" s="27">
        <v>0.08</v>
      </c>
      <c r="AJ98" s="33" t="str">
        <f>IFERROR(INDEX(tbl_regras_dfr[Classe],MATCH(L98&amp;"|Fluxo de reciclagem|"&amp;L98,tbl_regras_dfr[Chave],0)),"Sem regra")</f>
        <v>A</v>
      </c>
      <c r="AK98" s="33" t="str">
        <f>IF(LEFT(L98,9)="Sem fluxo","—",IFERROR(INDEX(tbl_regras_dfr[Classe],MATCH(L98&amp;"|Cor do corpo|"&amp;O98,tbl_regras_dfr[Chave],0)),"Sem regra"))</f>
        <v>B</v>
      </c>
      <c r="AL98" s="33" t="str">
        <f>IF(LEFT(L98,9)="Sem fluxo","—",IFERROR(INDEX(tbl_regras_dfr[Classe],MATCH(L98&amp;"|Densidade do corpo|"&amp;IF(R98&lt;1,"&lt; 1,0 g/cm³","≥ 1,0 g/cm³"),tbl_regras_dfr[Chave],0)),"Sem regra"))</f>
        <v>A</v>
      </c>
      <c r="AM98" s="33" t="str">
        <f>IF(LEFT(L98,9)="Sem fluxo","—",IFERROR(INDEX(tbl_regras_dfr[Classe],MATCH(L98&amp;"|Barreira / revestimento|"&amp;S98,tbl_regras_dfr[Chave],0)),"Sem regra"))</f>
        <v>A</v>
      </c>
      <c r="AN98" s="33" t="str">
        <f>IF(LEFT(L98,9)="Sem fluxo","—",IFERROR(INDEX(tbl_regras_dfr[Classe],MATCH(L98&amp;"|Material da tampa|"&amp;X98,tbl_regras_dfr[Chave],0)),"Sem regra"))</f>
        <v>A</v>
      </c>
      <c r="AO98" s="33" t="str">
        <f>IF(LEFT(L98,9)="Sem fluxo","—",IFERROR(INDEX(tbl_regras_dfr[Classe],MATCH(L98&amp;"|Vedante / liner|"&amp;Z98,tbl_regras_dfr[Chave],0)),"Sem regra"))</f>
        <v>A</v>
      </c>
      <c r="AP98" s="33" t="str">
        <f>IF(LEFT(L98,9)="Sem fluxo","—",IFERROR(INDEX(tbl_regras_dfr[Classe],MATCH(L98&amp;"|Tipo de rótulo|"&amp;AA98,tbl_regras_dfr[Chave],0)),"Sem regra"))</f>
        <v>A</v>
      </c>
      <c r="AQ98" s="33" t="str">
        <f>IF(LEFT(L98,9)="Sem fluxo","—",IFERROR(INDEX(tbl_regras_dfr[Classe],MATCH(L98&amp;"|Adesivo do rótulo|"&amp;AB98,tbl_regras_dfr[Chave],0)),"Sem regra"))</f>
        <v>A</v>
      </c>
      <c r="AR98" s="33" t="str">
        <f>IF(LEFT(L98,9)="Sem fluxo","—",IFERROR(INDEX(tbl_regras_dfr[Classe],MATCH(L98&amp;"|Cobertura do rótulo|"&amp;IF(AC98&gt;0.7,"&gt; 70% da superfície","≤ 70% da superfície"),tbl_regras_dfr[Chave],0)),"Sem regra"))</f>
        <v>A</v>
      </c>
      <c r="AS98" s="33" t="str">
        <f>IF(LEFT(L98,9)="Sem fluxo","—",IFERROR(INDEX(tbl_regras_dfr[Classe],MATCH(L98&amp;"|Decoração direta|"&amp;AH98,tbl_regras_dfr[Chave],0)),"Sem regra"))</f>
        <v>B</v>
      </c>
      <c r="AT98" s="31">
        <f t="shared" si="38"/>
        <v>2</v>
      </c>
      <c r="AU98" s="33" t="str">
        <f>IF(AT98=0,"",INDEX({"A","B","C","D","E","F"},AT98))</f>
        <v>B</v>
      </c>
      <c r="AV98" s="31">
        <f t="shared" si="39"/>
        <v>0</v>
      </c>
      <c r="AW98" s="33" t="str">
        <f t="shared" si="40"/>
        <v>Cor</v>
      </c>
      <c r="AX98" s="33" t="str">
        <f>IF(AU98="A","Sem ação — manter o design.",IFERROR(INDEX(tbl_regras_dfr[Recomendacao],MATCH(CHOOSE(MATCH(AU98,AJ98:AS98,0),L98&amp;"|Fluxo de reciclagem|"&amp;L98,L98&amp;"|Cor do corpo|"&amp;O98,L98&amp;"|Densidade do corpo|"&amp;IF(R98&lt;1,"&lt; 1,0 g/cm³","≥ 1,0 g/cm³"),L98&amp;"|Barreira / revestimento|"&amp;S98,L98&amp;"|Material da tampa|"&amp;X98,L98&amp;"|Vedante / liner|"&amp;Z98,L98&amp;"|Tipo de rótulo|"&amp;AA98,L98&amp;"|Adesivo do rótulo|"&amp;AB98,L98&amp;"|Cobertura do rótulo|"&amp;IF(AC98&gt;0.7,"&gt; 70% da superfície","≤ 70% da superfície"),L98&amp;"|Decoração direta|"&amp;AH98),tbl_regras_dfr[Chave],0)),""))</f>
        <v>Preferir natural, branco ou cores claras.</v>
      </c>
      <c r="AY98" s="38">
        <f t="shared" si="41"/>
        <v>159.48000000000002</v>
      </c>
      <c r="AZ98" s="36">
        <f>MIN(IFERROR(INDEX(tbl_regras_dfr[Fracao_Reciclavel],MATCH(L98&amp;"|Fluxo de reciclagem|"&amp;L98,tbl_regras_dfr[Chave],0)),0),IFERROR(INDEX(tbl_regras_dfr[Fracao_Reciclavel],MATCH(L98&amp;"|Cor do corpo|"&amp;O98,tbl_regras_dfr[Chave],0)),0))</f>
        <v>1</v>
      </c>
      <c r="BA98" s="36">
        <f>IFERROR(INDEX(tbl_regras_dfr[Fracao_Reciclavel],MATCH(L98&amp;"|Material da tampa|"&amp;X98,tbl_regras_dfr[Chave],0)),0)</f>
        <v>1</v>
      </c>
      <c r="BB98" s="36">
        <f>IFERROR(INDEX(tbl_regras_dfr[Fracao_Reciclavel],MATCH(L98&amp;"|Tipo de rótulo|"&amp;AA98,tbl_regras_dfr[Chave],0)),0)</f>
        <v>1</v>
      </c>
      <c r="BC98" s="38">
        <f t="shared" si="42"/>
        <v>159.4</v>
      </c>
      <c r="BD98" s="40">
        <f t="shared" si="43"/>
        <v>0.99949836970152994</v>
      </c>
      <c r="BE98" s="33" t="str">
        <f>IF(BD98&gt;=INDEX(tbl_param_emb[Valor],MATCH("P-06",tbl_param_emb[ID_Parametro],0)),"A",IF(BD98&gt;=INDEX(tbl_param_emb[Valor],MATCH("P-07",tbl_param_emb[ID_Parametro],0)),"B",IF(BD98&gt;=INDEX(tbl_param_emb[Valor],MATCH("P-08",tbl_param_emb[ID_Parametro],0)),"C","&lt; 70%")))</f>
        <v>A</v>
      </c>
      <c r="BF98" s="33" t="str">
        <f>IF(AU98="F","Não reciclável (F)",INDEX({"A","B","C","Abaixo de C"},MAX(MIN(AT98,4),IF(BE98="A",1,IF(BE98="B",2,IF(BE98="C",3,4))))))</f>
        <v>B</v>
      </c>
      <c r="BG98" s="33" t="str">
        <f t="shared" si="44"/>
        <v>—</v>
      </c>
      <c r="BH98" s="33" t="str">
        <f t="shared" si="45"/>
        <v>Sim</v>
      </c>
      <c r="BI98" s="33" t="str">
        <f t="shared" si="46"/>
        <v>Sim</v>
      </c>
      <c r="BJ98" s="36">
        <f>IFERROR(INDEX(tbl_materiais[Pct_PCR],MATCH(J98,tbl_materiais[Material],0)),0)</f>
        <v>0</v>
      </c>
      <c r="BK98" s="36">
        <f>IF(V98="",0,IFERROR(INDEX(tbl_tampas[Pct_PCR],MATCH(V98,tbl_tampas[CapId],0)),0))</f>
        <v>0</v>
      </c>
      <c r="BL98" s="40">
        <f t="shared" si="47"/>
        <v>0</v>
      </c>
      <c r="BM98" s="33" t="str">
        <f t="shared" si="48"/>
        <v>Outras embalagens de plástico</v>
      </c>
      <c r="BN98" s="36">
        <f>IFERROR(IF(INDEX(tbl_metas_art7[Meta_2030],MATCH(BM98,tbl_metas_art7[Categoria_Art7],0))="","",INDEX(tbl_metas_art7[Meta_2030],MATCH(BM98,tbl_metas_art7[Categoria_Art7],0))),"")</f>
        <v>0.35</v>
      </c>
      <c r="BO98" s="40">
        <f t="shared" si="49"/>
        <v>0.35</v>
      </c>
      <c r="BP98" s="33" t="str">
        <f t="shared" si="50"/>
        <v>Não</v>
      </c>
      <c r="BQ98" s="33" t="str">
        <f t="shared" si="51"/>
        <v>Monomaterial (mesma família)</v>
      </c>
      <c r="BR98" s="37">
        <v>73553</v>
      </c>
      <c r="BS98" s="39">
        <v>14</v>
      </c>
      <c r="BT98" s="26" t="s">
        <v>426</v>
      </c>
      <c r="BU98" s="32">
        <f t="shared" si="52"/>
        <v>10554.8555</v>
      </c>
      <c r="BV98" s="31">
        <f>COUNTIFS(tbl_aplicabilidade[ProductId],B98,tbl_aplicabilidade[Aplicavel],"Sim")</f>
        <v>12</v>
      </c>
      <c r="BW98" s="31">
        <f>COUNTIFS(tbl_aplicabilidade[ProductId],B98,tbl_aplicabilidade[Estado_Resumo],"Lacuna")+COUNTIFS(tbl_aplicabilidade[ProductId],B98,tbl_aplicabilidade[Estado_Resumo],"Não conforme")</f>
        <v>1</v>
      </c>
      <c r="BX98" s="41">
        <v>46287</v>
      </c>
      <c r="BY98" s="42">
        <f t="shared" si="53"/>
        <v>46652</v>
      </c>
      <c r="BZ98" s="26" t="s">
        <v>596</v>
      </c>
      <c r="CA98" s="26" t="s">
        <v>597</v>
      </c>
      <c r="CB98" s="26" t="s">
        <v>598</v>
      </c>
    </row>
    <row r="99" spans="1:80" ht="18" customHeight="1" x14ac:dyDescent="0.3">
      <c r="A99" s="26" t="s">
        <v>828</v>
      </c>
      <c r="B99" s="26" t="s">
        <v>829</v>
      </c>
      <c r="C99" s="26" t="s">
        <v>586</v>
      </c>
      <c r="D99" s="26" t="s">
        <v>587</v>
      </c>
      <c r="E99" s="26" t="s">
        <v>588</v>
      </c>
      <c r="F99" s="26" t="s">
        <v>589</v>
      </c>
      <c r="G99" s="26" t="s">
        <v>590</v>
      </c>
      <c r="H99" s="37">
        <v>5000</v>
      </c>
      <c r="I99" s="37">
        <v>294</v>
      </c>
      <c r="J99" s="26" t="s">
        <v>223</v>
      </c>
      <c r="K99" s="33" t="str">
        <f>IFERROR(INDEX(tbl_materiais[Polimero_Base],MATCH(J99,tbl_materiais[Material],0)),"")</f>
        <v>PE</v>
      </c>
      <c r="L99" s="33" t="str">
        <f>IFERROR(INDEX(tbl_materiais[Fluxo_Reciclagem],MATCH(J99,tbl_materiais[Material],0)),"")</f>
        <v>PE rígido</v>
      </c>
      <c r="M99" s="33" t="str">
        <f t="shared" si="36"/>
        <v>PE rígido — frascos e contentores (HDPE/LDPE)</v>
      </c>
      <c r="N99" s="26" t="s">
        <v>697</v>
      </c>
      <c r="O99" s="26" t="s">
        <v>289</v>
      </c>
      <c r="P99" s="26" t="s">
        <v>698</v>
      </c>
      <c r="Q99" s="29">
        <v>0.02</v>
      </c>
      <c r="R99" s="35">
        <f>IFERROR(ROUND(INDEX(tbl_materiais[Densidade_g_cm3],MATCH(J99,tbl_materiais[Material],0))+Q99*1.2,3),"")</f>
        <v>0.97899999999999998</v>
      </c>
      <c r="S99" s="26" t="s">
        <v>302</v>
      </c>
      <c r="T99" s="34">
        <v>143.5</v>
      </c>
      <c r="U99" s="26" t="s">
        <v>593</v>
      </c>
      <c r="V99" s="26" t="s">
        <v>478</v>
      </c>
      <c r="W99" s="33" t="str">
        <f>IF(V99="","",IFERROR(INDEX(tbl_tampas[Material],MATCH(V99,tbl_tampas[CapId],0)),""))</f>
        <v>HDPE</v>
      </c>
      <c r="X99" s="33" t="str">
        <f>IF(V99="","Sem tampa",IFERROR(INDEX(tbl_materiais[Polimero_Base],MATCH(W99,tbl_materiais[Material],0)),""))</f>
        <v>PE</v>
      </c>
      <c r="Y99" s="38">
        <f>IF(V99="",0,IFERROR(INDEX(tbl_tampas[Massa_g],MATCH(V99,tbl_tampas[CapId],0)),0))</f>
        <v>21.4</v>
      </c>
      <c r="Z99" s="26" t="s">
        <v>319</v>
      </c>
      <c r="AA99" s="26" t="s">
        <v>326</v>
      </c>
      <c r="AB99" s="26" t="s">
        <v>340</v>
      </c>
      <c r="AC99" s="29">
        <v>0</v>
      </c>
      <c r="AD99" s="27">
        <v>0</v>
      </c>
      <c r="AE99" s="26" t="s">
        <v>594</v>
      </c>
      <c r="AF99" s="26" t="s">
        <v>595</v>
      </c>
      <c r="AG99" s="39">
        <v>1</v>
      </c>
      <c r="AH99" s="33" t="str">
        <f t="shared" si="37"/>
        <v>Serigrafia 1–2 cores</v>
      </c>
      <c r="AI99" s="27">
        <v>0.08</v>
      </c>
      <c r="AJ99" s="33" t="str">
        <f>IFERROR(INDEX(tbl_regras_dfr[Classe],MATCH(L99&amp;"|Fluxo de reciclagem|"&amp;L99,tbl_regras_dfr[Chave],0)),"Sem regra")</f>
        <v>A</v>
      </c>
      <c r="AK99" s="33" t="str">
        <f>IF(LEFT(L99,9)="Sem fluxo","—",IFERROR(INDEX(tbl_regras_dfr[Classe],MATCH(L99&amp;"|Cor do corpo|"&amp;O99,tbl_regras_dfr[Chave],0)),"Sem regra"))</f>
        <v>F</v>
      </c>
      <c r="AL99" s="33" t="str">
        <f>IF(LEFT(L99,9)="Sem fluxo","—",IFERROR(INDEX(tbl_regras_dfr[Classe],MATCH(L99&amp;"|Densidade do corpo|"&amp;IF(R99&lt;1,"&lt; 1,0 g/cm³","≥ 1,0 g/cm³"),tbl_regras_dfr[Chave],0)),"Sem regra"))</f>
        <v>A</v>
      </c>
      <c r="AM99" s="33" t="str">
        <f>IF(LEFT(L99,9)="Sem fluxo","—",IFERROR(INDEX(tbl_regras_dfr[Classe],MATCH(L99&amp;"|Barreira / revestimento|"&amp;S99,tbl_regras_dfr[Chave],0)),"Sem regra"))</f>
        <v>A</v>
      </c>
      <c r="AN99" s="33" t="str">
        <f>IF(LEFT(L99,9)="Sem fluxo","—",IFERROR(INDEX(tbl_regras_dfr[Classe],MATCH(L99&amp;"|Material da tampa|"&amp;X99,tbl_regras_dfr[Chave],0)),"Sem regra"))</f>
        <v>A</v>
      </c>
      <c r="AO99" s="33" t="str">
        <f>IF(LEFT(L99,9)="Sem fluxo","—",IFERROR(INDEX(tbl_regras_dfr[Classe],MATCH(L99&amp;"|Vedante / liner|"&amp;Z99,tbl_regras_dfr[Chave],0)),"Sem regra"))</f>
        <v>A</v>
      </c>
      <c r="AP99" s="33" t="str">
        <f>IF(LEFT(L99,9)="Sem fluxo","—",IFERROR(INDEX(tbl_regras_dfr[Classe],MATCH(L99&amp;"|Tipo de rótulo|"&amp;AA99,tbl_regras_dfr[Chave],0)),"Sem regra"))</f>
        <v>A</v>
      </c>
      <c r="AQ99" s="33" t="str">
        <f>IF(LEFT(L99,9)="Sem fluxo","—",IFERROR(INDEX(tbl_regras_dfr[Classe],MATCH(L99&amp;"|Adesivo do rótulo|"&amp;AB99,tbl_regras_dfr[Chave],0)),"Sem regra"))</f>
        <v>A</v>
      </c>
      <c r="AR99" s="33" t="str">
        <f>IF(LEFT(L99,9)="Sem fluxo","—",IFERROR(INDEX(tbl_regras_dfr[Classe],MATCH(L99&amp;"|Cobertura do rótulo|"&amp;IF(AC99&gt;0.7,"&gt; 70% da superfície","≤ 70% da superfície"),tbl_regras_dfr[Chave],0)),"Sem regra"))</f>
        <v>A</v>
      </c>
      <c r="AS99" s="33" t="str">
        <f>IF(LEFT(L99,9)="Sem fluxo","—",IFERROR(INDEX(tbl_regras_dfr[Classe],MATCH(L99&amp;"|Decoração direta|"&amp;AH99,tbl_regras_dfr[Chave],0)),"Sem regra"))</f>
        <v>B</v>
      </c>
      <c r="AT99" s="31">
        <f t="shared" si="38"/>
        <v>6</v>
      </c>
      <c r="AU99" s="33" t="str">
        <f>IF(AT99=0,"",INDEX({"A","B","C","D","E","F"},AT99))</f>
        <v>F</v>
      </c>
      <c r="AV99" s="31">
        <f t="shared" si="39"/>
        <v>0</v>
      </c>
      <c r="AW99" s="33" t="str">
        <f t="shared" si="40"/>
        <v>Cor</v>
      </c>
      <c r="AX99" s="33" t="str">
        <f>IF(AU99="A","Sem ação — manter o design.",IFERROR(INDEX(tbl_regras_dfr[Recomendacao],MATCH(CHOOSE(MATCH(AU99,AJ99:AS99,0),L99&amp;"|Fluxo de reciclagem|"&amp;L99,L99&amp;"|Cor do corpo|"&amp;O99,L99&amp;"|Densidade do corpo|"&amp;IF(R99&lt;1,"&lt; 1,0 g/cm³","≥ 1,0 g/cm³"),L99&amp;"|Barreira / revestimento|"&amp;S99,L99&amp;"|Material da tampa|"&amp;X99,L99&amp;"|Vedante / liner|"&amp;Z99,L99&amp;"|Tipo de rótulo|"&amp;AA99,L99&amp;"|Adesivo do rótulo|"&amp;AB99,L99&amp;"|Cobertura do rótulo|"&amp;IF(AC99&gt;0.7,"&gt; 70% da superfície","≤ 70% da superfície"),L99&amp;"|Decoração direta|"&amp;AH99),tbl_regras_dfr[Chave],0)),""))</f>
        <v>Substituir o masterbatch por preto detetável por NIR (pigmentos sem negro de carbono).</v>
      </c>
      <c r="AY99" s="38">
        <f t="shared" si="41"/>
        <v>164.98000000000002</v>
      </c>
      <c r="AZ99" s="36">
        <f>MIN(IFERROR(INDEX(tbl_regras_dfr[Fracao_Reciclavel],MATCH(L99&amp;"|Fluxo de reciclagem|"&amp;L99,tbl_regras_dfr[Chave],0)),0),IFERROR(INDEX(tbl_regras_dfr[Fracao_Reciclavel],MATCH(L99&amp;"|Cor do corpo|"&amp;O99,tbl_regras_dfr[Chave],0)),0))</f>
        <v>0</v>
      </c>
      <c r="BA99" s="36">
        <f>IFERROR(INDEX(tbl_regras_dfr[Fracao_Reciclavel],MATCH(L99&amp;"|Material da tampa|"&amp;X99,tbl_regras_dfr[Chave],0)),0)</f>
        <v>1</v>
      </c>
      <c r="BB99" s="36">
        <f>IFERROR(INDEX(tbl_regras_dfr[Fracao_Reciclavel],MATCH(L99&amp;"|Tipo de rótulo|"&amp;AA99,tbl_regras_dfr[Chave],0)),0)</f>
        <v>1</v>
      </c>
      <c r="BC99" s="38">
        <f t="shared" si="42"/>
        <v>0</v>
      </c>
      <c r="BD99" s="40">
        <f t="shared" si="43"/>
        <v>0</v>
      </c>
      <c r="BE99" s="33" t="str">
        <f>IF(BD99&gt;=INDEX(tbl_param_emb[Valor],MATCH("P-06",tbl_param_emb[ID_Parametro],0)),"A",IF(BD99&gt;=INDEX(tbl_param_emb[Valor],MATCH("P-07",tbl_param_emb[ID_Parametro],0)),"B",IF(BD99&gt;=INDEX(tbl_param_emb[Valor],MATCH("P-08",tbl_param_emb[ID_Parametro],0)),"C","&lt; 70%")))</f>
        <v>&lt; 70%</v>
      </c>
      <c r="BF99" s="33" t="str">
        <f>IF(AU99="F","Não reciclável (F)",INDEX({"A","B","C","Abaixo de C"},MAX(MIN(AT99,4),IF(BE99="A",1,IF(BE99="B",2,IF(BE99="C",3,4))))))</f>
        <v>Não reciclável (F)</v>
      </c>
      <c r="BG99" s="33" t="str">
        <f t="shared" si="44"/>
        <v>—</v>
      </c>
      <c r="BH99" s="33" t="str">
        <f t="shared" si="45"/>
        <v>Não</v>
      </c>
      <c r="BI99" s="33" t="str">
        <f t="shared" si="46"/>
        <v>Não</v>
      </c>
      <c r="BJ99" s="36">
        <f>IFERROR(INDEX(tbl_materiais[Pct_PCR],MATCH(J99,tbl_materiais[Material],0)),0)</f>
        <v>0</v>
      </c>
      <c r="BK99" s="36">
        <f>IF(V99="",0,IFERROR(INDEX(tbl_tampas[Pct_PCR],MATCH(V99,tbl_tampas[CapId],0)),0))</f>
        <v>0</v>
      </c>
      <c r="BL99" s="40">
        <f t="shared" si="47"/>
        <v>0</v>
      </c>
      <c r="BM99" s="33" t="str">
        <f t="shared" si="48"/>
        <v>Outras embalagens de plástico</v>
      </c>
      <c r="BN99" s="36">
        <f>IFERROR(IF(INDEX(tbl_metas_art7[Meta_2030],MATCH(BM99,tbl_metas_art7[Categoria_Art7],0))="","",INDEX(tbl_metas_art7[Meta_2030],MATCH(BM99,tbl_metas_art7[Categoria_Art7],0))),"")</f>
        <v>0.35</v>
      </c>
      <c r="BO99" s="40">
        <f t="shared" si="49"/>
        <v>0.35</v>
      </c>
      <c r="BP99" s="33" t="str">
        <f t="shared" si="50"/>
        <v>Não</v>
      </c>
      <c r="BQ99" s="33" t="str">
        <f t="shared" si="51"/>
        <v>Monomaterial (mesma família)</v>
      </c>
      <c r="BR99" s="37">
        <v>71138</v>
      </c>
      <c r="BS99" s="39">
        <v>14</v>
      </c>
      <c r="BT99" s="26" t="s">
        <v>426</v>
      </c>
      <c r="BU99" s="32">
        <f t="shared" si="52"/>
        <v>10208.303</v>
      </c>
      <c r="BV99" s="31">
        <f>COUNTIFS(tbl_aplicabilidade[ProductId],B99,tbl_aplicabilidade[Aplicavel],"Sim")</f>
        <v>12</v>
      </c>
      <c r="BW99" s="31">
        <f>COUNTIFS(tbl_aplicabilidade[ProductId],B99,tbl_aplicabilidade[Estado_Resumo],"Lacuna")+COUNTIFS(tbl_aplicabilidade[ProductId],B99,tbl_aplicabilidade[Estado_Resumo],"Não conforme")</f>
        <v>2</v>
      </c>
      <c r="BX99" s="41">
        <v>46287</v>
      </c>
      <c r="BY99" s="42">
        <f t="shared" si="53"/>
        <v>46652</v>
      </c>
      <c r="BZ99" s="26" t="s">
        <v>596</v>
      </c>
      <c r="CA99" s="26" t="s">
        <v>597</v>
      </c>
      <c r="CB99" s="26" t="s">
        <v>598</v>
      </c>
    </row>
    <row r="100" spans="1:80" ht="18" customHeight="1" x14ac:dyDescent="0.3">
      <c r="A100" s="26" t="s">
        <v>830</v>
      </c>
      <c r="B100" s="26" t="s">
        <v>831</v>
      </c>
      <c r="C100" s="26" t="s">
        <v>586</v>
      </c>
      <c r="D100" s="26" t="s">
        <v>587</v>
      </c>
      <c r="E100" s="26" t="s">
        <v>588</v>
      </c>
      <c r="F100" s="26" t="s">
        <v>589</v>
      </c>
      <c r="G100" s="26" t="s">
        <v>696</v>
      </c>
      <c r="H100" s="37">
        <v>5000</v>
      </c>
      <c r="I100" s="37">
        <v>294</v>
      </c>
      <c r="J100" s="26" t="s">
        <v>232</v>
      </c>
      <c r="K100" s="33" t="str">
        <f>IFERROR(INDEX(tbl_materiais[Polimero_Base],MATCH(J100,tbl_materiais[Material],0)),"")</f>
        <v>PE</v>
      </c>
      <c r="L100" s="33" t="str">
        <f>IFERROR(INDEX(tbl_materiais[Fluxo_Reciclagem],MATCH(J100,tbl_materiais[Material],0)),"")</f>
        <v>PE rígido</v>
      </c>
      <c r="M100" s="33" t="str">
        <f t="shared" si="36"/>
        <v>PE rígido — frascos e contentores (HDPE/LDPE)</v>
      </c>
      <c r="N100" s="26" t="s">
        <v>591</v>
      </c>
      <c r="O100" s="26" t="s">
        <v>283</v>
      </c>
      <c r="P100" s="26" t="s">
        <v>592</v>
      </c>
      <c r="Q100" s="29">
        <v>0.02</v>
      </c>
      <c r="R100" s="35">
        <f>IFERROR(ROUND(INDEX(tbl_materiais[Densidade_g_cm3],MATCH(J100,tbl_materiais[Material],0))+Q100*1.2,3),"")</f>
        <v>0.95899999999999996</v>
      </c>
      <c r="S100" s="26" t="s">
        <v>302</v>
      </c>
      <c r="T100" s="34">
        <v>143.5</v>
      </c>
      <c r="U100" s="26" t="s">
        <v>593</v>
      </c>
      <c r="V100" s="26" t="s">
        <v>449</v>
      </c>
      <c r="W100" s="33" t="str">
        <f>IF(V100="","",IFERROR(INDEX(tbl_tampas[Material],MATCH(V100,tbl_tampas[CapId],0)),""))</f>
        <v>HDPE</v>
      </c>
      <c r="X100" s="33" t="str">
        <f>IF(V100="","Sem tampa",IFERROR(INDEX(tbl_materiais[Polimero_Base],MATCH(W100,tbl_materiais[Material],0)),""))</f>
        <v>PE</v>
      </c>
      <c r="Y100" s="38">
        <f>IF(V100="",0,IFERROR(INDEX(tbl_tampas[Massa_g],MATCH(V100,tbl_tampas[CapId],0)),0))</f>
        <v>15.9</v>
      </c>
      <c r="Z100" s="26" t="s">
        <v>319</v>
      </c>
      <c r="AA100" s="26" t="s">
        <v>326</v>
      </c>
      <c r="AB100" s="26" t="s">
        <v>340</v>
      </c>
      <c r="AC100" s="29">
        <v>0</v>
      </c>
      <c r="AD100" s="27">
        <v>0</v>
      </c>
      <c r="AE100" s="26" t="s">
        <v>594</v>
      </c>
      <c r="AF100" s="26" t="s">
        <v>359</v>
      </c>
      <c r="AG100" s="39">
        <v>1</v>
      </c>
      <c r="AH100" s="33" t="str">
        <f t="shared" si="37"/>
        <v>Hot foil metalizado</v>
      </c>
      <c r="AI100" s="27">
        <v>0.03</v>
      </c>
      <c r="AJ100" s="33" t="str">
        <f>IFERROR(INDEX(tbl_regras_dfr[Classe],MATCH(L100&amp;"|Fluxo de reciclagem|"&amp;L100,tbl_regras_dfr[Chave],0)),"Sem regra")</f>
        <v>A</v>
      </c>
      <c r="AK100" s="33" t="str">
        <f>IF(LEFT(L100,9)="Sem fluxo","—",IFERROR(INDEX(tbl_regras_dfr[Classe],MATCH(L100&amp;"|Cor do corpo|"&amp;O100,tbl_regras_dfr[Chave],0)),"Sem regra"))</f>
        <v>B</v>
      </c>
      <c r="AL100" s="33" t="str">
        <f>IF(LEFT(L100,9)="Sem fluxo","—",IFERROR(INDEX(tbl_regras_dfr[Classe],MATCH(L100&amp;"|Densidade do corpo|"&amp;IF(R100&lt;1,"&lt; 1,0 g/cm³","≥ 1,0 g/cm³"),tbl_regras_dfr[Chave],0)),"Sem regra"))</f>
        <v>A</v>
      </c>
      <c r="AM100" s="33" t="str">
        <f>IF(LEFT(L100,9)="Sem fluxo","—",IFERROR(INDEX(tbl_regras_dfr[Classe],MATCH(L100&amp;"|Barreira / revestimento|"&amp;S100,tbl_regras_dfr[Chave],0)),"Sem regra"))</f>
        <v>A</v>
      </c>
      <c r="AN100" s="33" t="str">
        <f>IF(LEFT(L100,9)="Sem fluxo","—",IFERROR(INDEX(tbl_regras_dfr[Classe],MATCH(L100&amp;"|Material da tampa|"&amp;X100,tbl_regras_dfr[Chave],0)),"Sem regra"))</f>
        <v>A</v>
      </c>
      <c r="AO100" s="33" t="str">
        <f>IF(LEFT(L100,9)="Sem fluxo","—",IFERROR(INDEX(tbl_regras_dfr[Classe],MATCH(L100&amp;"|Vedante / liner|"&amp;Z100,tbl_regras_dfr[Chave],0)),"Sem regra"))</f>
        <v>A</v>
      </c>
      <c r="AP100" s="33" t="str">
        <f>IF(LEFT(L100,9)="Sem fluxo","—",IFERROR(INDEX(tbl_regras_dfr[Classe],MATCH(L100&amp;"|Tipo de rótulo|"&amp;AA100,tbl_regras_dfr[Chave],0)),"Sem regra"))</f>
        <v>A</v>
      </c>
      <c r="AQ100" s="33" t="str">
        <f>IF(LEFT(L100,9)="Sem fluxo","—",IFERROR(INDEX(tbl_regras_dfr[Classe],MATCH(L100&amp;"|Adesivo do rótulo|"&amp;AB100,tbl_regras_dfr[Chave],0)),"Sem regra"))</f>
        <v>A</v>
      </c>
      <c r="AR100" s="33" t="str">
        <f>IF(LEFT(L100,9)="Sem fluxo","—",IFERROR(INDEX(tbl_regras_dfr[Classe],MATCH(L100&amp;"|Cobertura do rótulo|"&amp;IF(AC100&gt;0.7,"&gt; 70% da superfície","≤ 70% da superfície"),tbl_regras_dfr[Chave],0)),"Sem regra"))</f>
        <v>A</v>
      </c>
      <c r="AS100" s="33" t="str">
        <f>IF(LEFT(L100,9)="Sem fluxo","—",IFERROR(INDEX(tbl_regras_dfr[Classe],MATCH(L100&amp;"|Decoração direta|"&amp;AH100,tbl_regras_dfr[Chave],0)),"Sem regra"))</f>
        <v>C</v>
      </c>
      <c r="AT100" s="31">
        <f t="shared" si="38"/>
        <v>3</v>
      </c>
      <c r="AU100" s="33" t="str">
        <f>IF(AT100=0,"",INDEX({"A","B","C","D","E","F"},AT100))</f>
        <v>C</v>
      </c>
      <c r="AV100" s="31">
        <f t="shared" si="39"/>
        <v>0</v>
      </c>
      <c r="AW100" s="33" t="str">
        <f t="shared" si="40"/>
        <v>Decoracao</v>
      </c>
      <c r="AX100" s="33" t="str">
        <f>IF(AU100="A","Sem ação — manter o design.",IFERROR(INDEX(tbl_regras_dfr[Recomendacao],MATCH(CHOOSE(MATCH(AU100,AJ100:AS100,0),L100&amp;"|Fluxo de reciclagem|"&amp;L100,L100&amp;"|Cor do corpo|"&amp;O100,L100&amp;"|Densidade do corpo|"&amp;IF(R100&lt;1,"&lt; 1,0 g/cm³","≥ 1,0 g/cm³"),L100&amp;"|Barreira / revestimento|"&amp;S100,L100&amp;"|Material da tampa|"&amp;X100,L100&amp;"|Vedante / liner|"&amp;Z100,L100&amp;"|Tipo de rótulo|"&amp;AA100,L100&amp;"|Adesivo do rótulo|"&amp;AB100,L100&amp;"|Cobertura do rótulo|"&amp;IF(AC100&gt;0.7,"&gt; 70% da superfície","≤ 70% da superfície"),L100&amp;"|Decoração direta|"&amp;AH100),tbl_regras_dfr[Chave],0)),""))</f>
        <v>Reduzir a área de hot foil ou usar rótulo metalizado destacável.</v>
      </c>
      <c r="AY100" s="38">
        <f t="shared" si="41"/>
        <v>159.43</v>
      </c>
      <c r="AZ100" s="36">
        <f>MIN(IFERROR(INDEX(tbl_regras_dfr[Fracao_Reciclavel],MATCH(L100&amp;"|Fluxo de reciclagem|"&amp;L100,tbl_regras_dfr[Chave],0)),0),IFERROR(INDEX(tbl_regras_dfr[Fracao_Reciclavel],MATCH(L100&amp;"|Cor do corpo|"&amp;O100,tbl_regras_dfr[Chave],0)),0))</f>
        <v>1</v>
      </c>
      <c r="BA100" s="36">
        <f>IFERROR(INDEX(tbl_regras_dfr[Fracao_Reciclavel],MATCH(L100&amp;"|Material da tampa|"&amp;X100,tbl_regras_dfr[Chave],0)),0)</f>
        <v>1</v>
      </c>
      <c r="BB100" s="36">
        <f>IFERROR(INDEX(tbl_regras_dfr[Fracao_Reciclavel],MATCH(L100&amp;"|Tipo de rótulo|"&amp;AA100,tbl_regras_dfr[Chave],0)),0)</f>
        <v>1</v>
      </c>
      <c r="BC100" s="38">
        <f t="shared" si="42"/>
        <v>159.4</v>
      </c>
      <c r="BD100" s="40">
        <f t="shared" si="43"/>
        <v>0.99981182964310356</v>
      </c>
      <c r="BE100" s="33" t="str">
        <f>IF(BD100&gt;=INDEX(tbl_param_emb[Valor],MATCH("P-06",tbl_param_emb[ID_Parametro],0)),"A",IF(BD100&gt;=INDEX(tbl_param_emb[Valor],MATCH("P-07",tbl_param_emb[ID_Parametro],0)),"B",IF(BD100&gt;=INDEX(tbl_param_emb[Valor],MATCH("P-08",tbl_param_emb[ID_Parametro],0)),"C","&lt; 70%")))</f>
        <v>A</v>
      </c>
      <c r="BF100" s="33" t="str">
        <f>IF(AU100="F","Não reciclável (F)",INDEX({"A","B","C","Abaixo de C"},MAX(MIN(AT100,4),IF(BE100="A",1,IF(BE100="B",2,IF(BE100="C",3,4))))))</f>
        <v>C</v>
      </c>
      <c r="BG100" s="33" t="str">
        <f t="shared" si="44"/>
        <v>—</v>
      </c>
      <c r="BH100" s="33" t="str">
        <f t="shared" si="45"/>
        <v>Sim</v>
      </c>
      <c r="BI100" s="33" t="str">
        <f t="shared" si="46"/>
        <v>Não</v>
      </c>
      <c r="BJ100" s="36">
        <f>IFERROR(INDEX(tbl_materiais[Pct_PCR],MATCH(J100,tbl_materiais[Material],0)),0)</f>
        <v>0</v>
      </c>
      <c r="BK100" s="36">
        <f>IF(V100="",0,IFERROR(INDEX(tbl_tampas[Pct_PCR],MATCH(V100,tbl_tampas[CapId],0)),0))</f>
        <v>0</v>
      </c>
      <c r="BL100" s="40">
        <f t="shared" si="47"/>
        <v>0</v>
      </c>
      <c r="BM100" s="33" t="str">
        <f t="shared" si="48"/>
        <v>Outras embalagens de plástico</v>
      </c>
      <c r="BN100" s="36">
        <f>IFERROR(IF(INDEX(tbl_metas_art7[Meta_2030],MATCH(BM100,tbl_metas_art7[Categoria_Art7],0))="","",INDEX(tbl_metas_art7[Meta_2030],MATCH(BM100,tbl_metas_art7[Categoria_Art7],0))),"")</f>
        <v>0.35</v>
      </c>
      <c r="BO100" s="40">
        <f t="shared" si="49"/>
        <v>0.35</v>
      </c>
      <c r="BP100" s="33" t="str">
        <f t="shared" si="50"/>
        <v>Não</v>
      </c>
      <c r="BQ100" s="33" t="str">
        <f t="shared" si="51"/>
        <v>Monomaterial (mesma família)</v>
      </c>
      <c r="BR100" s="37">
        <v>80360</v>
      </c>
      <c r="BS100" s="39">
        <v>14</v>
      </c>
      <c r="BT100" s="26" t="s">
        <v>426</v>
      </c>
      <c r="BU100" s="32">
        <f t="shared" si="52"/>
        <v>11531.66</v>
      </c>
      <c r="BV100" s="31">
        <f>COUNTIFS(tbl_aplicabilidade[ProductId],B100,tbl_aplicabilidade[Aplicavel],"Sim")</f>
        <v>12</v>
      </c>
      <c r="BW100" s="31">
        <f>COUNTIFS(tbl_aplicabilidade[ProductId],B100,tbl_aplicabilidade[Estado_Resumo],"Lacuna")+COUNTIFS(tbl_aplicabilidade[ProductId],B100,tbl_aplicabilidade[Estado_Resumo],"Não conforme")</f>
        <v>1</v>
      </c>
      <c r="BX100" s="41">
        <v>46287</v>
      </c>
      <c r="BY100" s="42">
        <f t="shared" si="53"/>
        <v>46652</v>
      </c>
      <c r="BZ100" s="26" t="s">
        <v>596</v>
      </c>
      <c r="CA100" s="26" t="s">
        <v>597</v>
      </c>
      <c r="CB100" s="26" t="s">
        <v>598</v>
      </c>
    </row>
    <row r="101" spans="1:80" ht="18" customHeight="1" x14ac:dyDescent="0.3">
      <c r="A101" s="26" t="s">
        <v>832</v>
      </c>
      <c r="B101" s="26" t="s">
        <v>833</v>
      </c>
      <c r="C101" s="26" t="s">
        <v>586</v>
      </c>
      <c r="D101" s="26" t="s">
        <v>587</v>
      </c>
      <c r="E101" s="26" t="s">
        <v>588</v>
      </c>
      <c r="F101" s="26" t="s">
        <v>589</v>
      </c>
      <c r="G101" s="26" t="s">
        <v>609</v>
      </c>
      <c r="H101" s="37">
        <v>330</v>
      </c>
      <c r="I101" s="37">
        <v>119</v>
      </c>
      <c r="J101" s="26" t="s">
        <v>253</v>
      </c>
      <c r="K101" s="33" t="str">
        <f>IFERROR(INDEX(tbl_materiais[Polimero_Base],MATCH(J101,tbl_materiais[Material],0)),"")</f>
        <v>PET</v>
      </c>
      <c r="L101" s="33" t="str">
        <f>IFERROR(INDEX(tbl_materiais[Fluxo_Reciclagem],MATCH(J101,tbl_materiais[Material],0)),"")</f>
        <v>PET frascos e garrafas</v>
      </c>
      <c r="M101" s="33" t="str">
        <f t="shared" ref="M101:M117" si="54">IF(L101="PE rígido","PE rígido — frascos e contentores (HDPE/LDPE)",IF(L101="PP rígido","PP rígido — frascos, potes e contentores",IF(L101="PET frascos e garrafas",IF(O101="Natural / incolor","PET — garrafas/frascos transparentes incolores","PET — garrafas/frascos coloridos ou opacos"),"Sem categoria RecyClass ("&amp;K101&amp;")")))</f>
        <v>PET — garrafas/frascos transparentes incolores</v>
      </c>
      <c r="N101" s="26" t="s">
        <v>610</v>
      </c>
      <c r="O101" s="26" t="s">
        <v>279</v>
      </c>
      <c r="P101" s="26" t="s">
        <v>611</v>
      </c>
      <c r="Q101" s="29">
        <v>0</v>
      </c>
      <c r="R101" s="35">
        <f>IFERROR(ROUND(INDEX(tbl_materiais[Densidade_g_cm3],MATCH(J101,tbl_materiais[Material],0))+Q101*1.2,3),"")</f>
        <v>1.38</v>
      </c>
      <c r="S101" s="26" t="s">
        <v>302</v>
      </c>
      <c r="T101" s="34">
        <v>23.4</v>
      </c>
      <c r="U101" s="26" t="s">
        <v>593</v>
      </c>
      <c r="V101" s="26" t="s">
        <v>427</v>
      </c>
      <c r="W101" s="33" t="str">
        <f>IF(V101="","",IFERROR(INDEX(tbl_tampas[Material],MATCH(V101,tbl_tampas[CapId],0)),""))</f>
        <v>PP</v>
      </c>
      <c r="X101" s="33" t="str">
        <f>IF(V101="","Sem tampa",IFERROR(INDEX(tbl_materiais[Polimero_Base],MATCH(W101,tbl_materiais[Material],0)),""))</f>
        <v>PP</v>
      </c>
      <c r="Y101" s="38">
        <f>IF(V101="",0,IFERROR(INDEX(tbl_tampas[Massa_g],MATCH(V101,tbl_tampas[CapId],0)),0))</f>
        <v>10.3</v>
      </c>
      <c r="Z101" s="26" t="s">
        <v>319</v>
      </c>
      <c r="AA101" s="26" t="s">
        <v>326</v>
      </c>
      <c r="AB101" s="26" t="s">
        <v>340</v>
      </c>
      <c r="AC101" s="29">
        <v>0</v>
      </c>
      <c r="AD101" s="27">
        <v>0</v>
      </c>
      <c r="AE101" s="26" t="s">
        <v>594</v>
      </c>
      <c r="AF101" s="26" t="s">
        <v>359</v>
      </c>
      <c r="AG101" s="39">
        <v>1</v>
      </c>
      <c r="AH101" s="33" t="str">
        <f t="shared" ref="AH101:AH117" si="55">IF(AF101="Serigrafia",IF(AG101&gt;=3,"Serigrafia ≥ 3 cores","Serigrafia 1–2 cores"),AF101)</f>
        <v>Hot foil metalizado</v>
      </c>
      <c r="AI101" s="27">
        <v>0.03</v>
      </c>
      <c r="AJ101" s="33" t="str">
        <f>IFERROR(INDEX(tbl_regras_dfr[Classe],MATCH(L101&amp;"|Fluxo de reciclagem|"&amp;L101,tbl_regras_dfr[Chave],0)),"Sem regra")</f>
        <v>A</v>
      </c>
      <c r="AK101" s="33" t="str">
        <f>IF(LEFT(L101,9)="Sem fluxo","—",IFERROR(INDEX(tbl_regras_dfr[Classe],MATCH(L101&amp;"|Cor do corpo|"&amp;O101,tbl_regras_dfr[Chave],0)),"Sem regra"))</f>
        <v>A</v>
      </c>
      <c r="AL101" s="33" t="str">
        <f>IF(LEFT(L101,9)="Sem fluxo","—",IFERROR(INDEX(tbl_regras_dfr[Classe],MATCH(L101&amp;"|Densidade do corpo|"&amp;IF(R101&lt;1,"&lt; 1,0 g/cm³","≥ 1,0 g/cm³"),tbl_regras_dfr[Chave],0)),"Sem regra"))</f>
        <v>A</v>
      </c>
      <c r="AM101" s="33" t="str">
        <f>IF(LEFT(L101,9)="Sem fluxo","—",IFERROR(INDEX(tbl_regras_dfr[Classe],MATCH(L101&amp;"|Barreira / revestimento|"&amp;S101,tbl_regras_dfr[Chave],0)),"Sem regra"))</f>
        <v>A</v>
      </c>
      <c r="AN101" s="33" t="str">
        <f>IF(LEFT(L101,9)="Sem fluxo","—",IFERROR(INDEX(tbl_regras_dfr[Classe],MATCH(L101&amp;"|Material da tampa|"&amp;X101,tbl_regras_dfr[Chave],0)),"Sem regra"))</f>
        <v>A</v>
      </c>
      <c r="AO101" s="33" t="str">
        <f>IF(LEFT(L101,9)="Sem fluxo","—",IFERROR(INDEX(tbl_regras_dfr[Classe],MATCH(L101&amp;"|Vedante / liner|"&amp;Z101,tbl_regras_dfr[Chave],0)),"Sem regra"))</f>
        <v>A</v>
      </c>
      <c r="AP101" s="33" t="str">
        <f>IF(LEFT(L101,9)="Sem fluxo","—",IFERROR(INDEX(tbl_regras_dfr[Classe],MATCH(L101&amp;"|Tipo de rótulo|"&amp;AA101,tbl_regras_dfr[Chave],0)),"Sem regra"))</f>
        <v>A</v>
      </c>
      <c r="AQ101" s="33" t="str">
        <f>IF(LEFT(L101,9)="Sem fluxo","—",IFERROR(INDEX(tbl_regras_dfr[Classe],MATCH(L101&amp;"|Adesivo do rótulo|"&amp;AB101,tbl_regras_dfr[Chave],0)),"Sem regra"))</f>
        <v>A</v>
      </c>
      <c r="AR101" s="33" t="str">
        <f>IF(LEFT(L101,9)="Sem fluxo","—",IFERROR(INDEX(tbl_regras_dfr[Classe],MATCH(L101&amp;"|Cobertura do rótulo|"&amp;IF(AC101&gt;0.7,"&gt; 70% da superfície","≤ 70% da superfície"),tbl_regras_dfr[Chave],0)),"Sem regra"))</f>
        <v>A</v>
      </c>
      <c r="AS101" s="33" t="str">
        <f>IF(LEFT(L101,9)="Sem fluxo","—",IFERROR(INDEX(tbl_regras_dfr[Classe],MATCH(L101&amp;"|Decoração direta|"&amp;AH101,tbl_regras_dfr[Chave],0)),"Sem regra"))</f>
        <v>D</v>
      </c>
      <c r="AT101" s="31">
        <f t="shared" ref="AT101:AT117" si="56">IF(COUNTIF(AJ101:AS101,"F"),6,IF(COUNTIF(AJ101:AS101,"E"),5,IF(COUNTIF(AJ101:AS101,"D"),4,IF(COUNTIF(AJ101:AS101,"C"),3,IF(COUNTIF(AJ101:AS101,"B"),2,IF(COUNTIF(AJ101:AS101,"A"),1,0))))))</f>
        <v>4</v>
      </c>
      <c r="AU101" s="33" t="str">
        <f>IF(AT101=0,"",INDEX({"A","B","C","D","E","F"},AT101))</f>
        <v>D</v>
      </c>
      <c r="AV101" s="31">
        <f t="shared" ref="AV101:AV117" si="57">COUNTIF(AJ101:AS101,"Sem regra")</f>
        <v>0</v>
      </c>
      <c r="AW101" s="33" t="str">
        <f t="shared" ref="AW101:AW117" si="58">IF(OR(AU101="",AU101="A"),"—",SUBSTITUTE(INDEX($AJ$4:$AS$4,MATCH(AU101,AJ101:AS101,0)),"Classe_",""))</f>
        <v>Decoracao</v>
      </c>
      <c r="AX101" s="33" t="str">
        <f>IF(AU101="A","Sem ação — manter o design.",IFERROR(INDEX(tbl_regras_dfr[Recomendacao],MATCH(CHOOSE(MATCH(AU101,AJ101:AS101,0),L101&amp;"|Fluxo de reciclagem|"&amp;L101,L101&amp;"|Cor do corpo|"&amp;O101,L101&amp;"|Densidade do corpo|"&amp;IF(R101&lt;1,"&lt; 1,0 g/cm³","≥ 1,0 g/cm³"),L101&amp;"|Barreira / revestimento|"&amp;S101,L101&amp;"|Material da tampa|"&amp;X101,L101&amp;"|Vedante / liner|"&amp;Z101,L101&amp;"|Tipo de rótulo|"&amp;AA101,L101&amp;"|Adesivo do rótulo|"&amp;AB101,L101&amp;"|Cobertura do rótulo|"&amp;IF(AC101&gt;0.7,"&gt; 70% da superfície","≤ 70% da superfície"),L101&amp;"|Decoração direta|"&amp;AH101),tbl_regras_dfr[Chave],0)),""))</f>
        <v>Rótulo metalizado de PE/PP destacável.</v>
      </c>
      <c r="AY101" s="38">
        <f t="shared" ref="AY101:AY117" si="59">T101+Y101+AD101+AI101</f>
        <v>33.730000000000004</v>
      </c>
      <c r="AZ101" s="36">
        <f>MIN(IFERROR(INDEX(tbl_regras_dfr[Fracao_Reciclavel],MATCH(L101&amp;"|Fluxo de reciclagem|"&amp;L101,tbl_regras_dfr[Chave],0)),0),IFERROR(INDEX(tbl_regras_dfr[Fracao_Reciclavel],MATCH(L101&amp;"|Cor do corpo|"&amp;O101,tbl_regras_dfr[Chave],0)),0))</f>
        <v>1</v>
      </c>
      <c r="BA101" s="36">
        <f>IFERROR(INDEX(tbl_regras_dfr[Fracao_Reciclavel],MATCH(L101&amp;"|Material da tampa|"&amp;X101,tbl_regras_dfr[Chave],0)),0)</f>
        <v>1</v>
      </c>
      <c r="BB101" s="36">
        <f>IFERROR(INDEX(tbl_regras_dfr[Fracao_Reciclavel],MATCH(L101&amp;"|Tipo de rótulo|"&amp;AA101,tbl_regras_dfr[Chave],0)),0)</f>
        <v>1</v>
      </c>
      <c r="BC101" s="38">
        <f t="shared" ref="BC101:BC117" si="60">AZ101*(T101+Y101*BA101+AD101*BB101)</f>
        <v>33.700000000000003</v>
      </c>
      <c r="BD101" s="40">
        <f t="shared" ref="BD101:BD117" si="61">IFERROR(BC101/AY101,0)</f>
        <v>0.99911058404980724</v>
      </c>
      <c r="BE101" s="33" t="str">
        <f>IF(BD101&gt;=INDEX(tbl_param_emb[Valor],MATCH("P-06",tbl_param_emb[ID_Parametro],0)),"A",IF(BD101&gt;=INDEX(tbl_param_emb[Valor],MATCH("P-07",tbl_param_emb[ID_Parametro],0)),"B",IF(BD101&gt;=INDEX(tbl_param_emb[Valor],MATCH("P-08",tbl_param_emb[ID_Parametro],0)),"C","&lt; 70%")))</f>
        <v>A</v>
      </c>
      <c r="BF101" s="33" t="str">
        <f>IF(AU101="F","Não reciclável (F)",INDEX({"A","B","C","Abaixo de C"},MAX(MIN(AT101,4),IF(BE101="A",1,IF(BE101="B",2,IF(BE101="C",3,4))))))</f>
        <v>Abaixo de C</v>
      </c>
      <c r="BG101" s="33" t="str">
        <f t="shared" ref="BG101:BG117" si="62">IF(D101="Farmacêutico","Isento até 2035","—")</f>
        <v>—</v>
      </c>
      <c r="BH101" s="33" t="str">
        <f t="shared" ref="BH101:BH117" si="63">IF(BG101&lt;&gt;"—",BG101,IF(OR(BF101="A",BF101="B",BF101="C"),"Sim","Não"))</f>
        <v>Não</v>
      </c>
      <c r="BI101" s="33" t="str">
        <f t="shared" ref="BI101:BI117" si="64">IF(BG101&lt;&gt;"—",BG101,IF(OR(BF101="A",BF101="B"),"Sim","Não"))</f>
        <v>Não</v>
      </c>
      <c r="BJ101" s="36">
        <f>IFERROR(INDEX(tbl_materiais[Pct_PCR],MATCH(J101,tbl_materiais[Material],0)),0)</f>
        <v>0.5</v>
      </c>
      <c r="BK101" s="36">
        <f>IF(V101="",0,IFERROR(INDEX(tbl_tampas[Pct_PCR],MATCH(V101,tbl_tampas[CapId],0)),0))</f>
        <v>0</v>
      </c>
      <c r="BL101" s="40">
        <f t="shared" ref="BL101:BL117" si="65">IFERROR((T101*BJ101+Y101*BK101)/(T101+Y101),0)</f>
        <v>0.34718100890207709</v>
      </c>
      <c r="BM101" s="33" t="str">
        <f t="shared" ref="BM101:BM117" si="66">IF(D101="Farmacêutico","Isenta — medicamentos (art. 7.º)",IF(D101="Alimentar",IF(K101="PET","Sensível ao contacto — PET","Sensível ao contacto — outros plásticos"),"Outras embalagens de plástico"))</f>
        <v>Outras embalagens de plástico</v>
      </c>
      <c r="BN101" s="36">
        <f>IFERROR(IF(INDEX(tbl_metas_art7[Meta_2030],MATCH(BM101,tbl_metas_art7[Categoria_Art7],0))="","",INDEX(tbl_metas_art7[Meta_2030],MATCH(BM101,tbl_metas_art7[Categoria_Art7],0))),"")</f>
        <v>0.35</v>
      </c>
      <c r="BO101" s="40">
        <f t="shared" ref="BO101:BO117" si="67">IF(BN101="","",MAX(0,BN101-BL101))</f>
        <v>2.8189910979228849E-3</v>
      </c>
      <c r="BP101" s="33" t="str">
        <f t="shared" ref="BP101:BP117" si="68">IF(BN101="","Isento",IF(BO101=0,"Sim","Não"))</f>
        <v>Não</v>
      </c>
      <c r="BQ101" s="33" t="str">
        <f t="shared" ref="BQ101:BQ117" si="69">IF(AND(OR(X101=K101,X101="Sem tampa",AND(OR(X101="PE",X101="PP"),OR(K101="PE",K101="PP"))),OR(AA101="Sem rótulo",AND(ISNUMBER(SEARCH("PE/PP",AA101)),OR(K101="PE",K101="PP")))),"Monomaterial (mesma família)","Multimaterial")</f>
        <v>Multimaterial</v>
      </c>
      <c r="BR101" s="37">
        <v>689414</v>
      </c>
      <c r="BS101" s="39">
        <v>14</v>
      </c>
      <c r="BT101" s="26" t="s">
        <v>426</v>
      </c>
      <c r="BU101" s="32">
        <f t="shared" ref="BU101:BU117" si="70">BR101*T101/1000</f>
        <v>16132.2876</v>
      </c>
      <c r="BV101" s="31">
        <f>COUNTIFS(tbl_aplicabilidade[ProductId],B101,tbl_aplicabilidade[Aplicavel],"Sim")</f>
        <v>12</v>
      </c>
      <c r="BW101" s="31">
        <f>COUNTIFS(tbl_aplicabilidade[ProductId],B101,tbl_aplicabilidade[Estado_Resumo],"Lacuna")+COUNTIFS(tbl_aplicabilidade[ProductId],B101,tbl_aplicabilidade[Estado_Resumo],"Não conforme")</f>
        <v>3</v>
      </c>
      <c r="BX101" s="41">
        <v>46287</v>
      </c>
      <c r="BY101" s="42">
        <f t="shared" ref="BY101:BY117" si="71">EDATE(BX101,12)</f>
        <v>46652</v>
      </c>
      <c r="BZ101" s="26" t="s">
        <v>596</v>
      </c>
      <c r="CA101" s="26" t="s">
        <v>597</v>
      </c>
      <c r="CB101" s="26" t="s">
        <v>598</v>
      </c>
    </row>
    <row r="102" spans="1:80" ht="18" customHeight="1" x14ac:dyDescent="0.3">
      <c r="A102" s="26" t="s">
        <v>834</v>
      </c>
      <c r="B102" s="26" t="s">
        <v>835</v>
      </c>
      <c r="C102" s="26" t="s">
        <v>586</v>
      </c>
      <c r="D102" s="26" t="s">
        <v>587</v>
      </c>
      <c r="E102" s="26" t="s">
        <v>588</v>
      </c>
      <c r="F102" s="26" t="s">
        <v>589</v>
      </c>
      <c r="G102" s="26" t="s">
        <v>609</v>
      </c>
      <c r="H102" s="37">
        <v>330</v>
      </c>
      <c r="I102" s="37">
        <v>119</v>
      </c>
      <c r="J102" s="26" t="s">
        <v>253</v>
      </c>
      <c r="K102" s="33" t="str">
        <f>IFERROR(INDEX(tbl_materiais[Polimero_Base],MATCH(J102,tbl_materiais[Material],0)),"")</f>
        <v>PET</v>
      </c>
      <c r="L102" s="33" t="str">
        <f>IFERROR(INDEX(tbl_materiais[Fluxo_Reciclagem],MATCH(J102,tbl_materiais[Material],0)),"")</f>
        <v>PET frascos e garrafas</v>
      </c>
      <c r="M102" s="33" t="str">
        <f t="shared" si="54"/>
        <v>PET — garrafas/frascos transparentes incolores</v>
      </c>
      <c r="N102" s="26" t="s">
        <v>610</v>
      </c>
      <c r="O102" s="26" t="s">
        <v>279</v>
      </c>
      <c r="P102" s="26" t="s">
        <v>611</v>
      </c>
      <c r="Q102" s="29">
        <v>0</v>
      </c>
      <c r="R102" s="35">
        <f>IFERROR(ROUND(INDEX(tbl_materiais[Densidade_g_cm3],MATCH(J102,tbl_materiais[Material],0))+Q102*1.2,3),"")</f>
        <v>1.38</v>
      </c>
      <c r="S102" s="26" t="s">
        <v>302</v>
      </c>
      <c r="T102" s="34">
        <v>23.4</v>
      </c>
      <c r="U102" s="26" t="s">
        <v>593</v>
      </c>
      <c r="V102" s="26" t="s">
        <v>460</v>
      </c>
      <c r="W102" s="33" t="str">
        <f>IF(V102="","",IFERROR(INDEX(tbl_tampas[Material],MATCH(V102,tbl_tampas[CapId],0)),""))</f>
        <v>PP</v>
      </c>
      <c r="X102" s="33" t="str">
        <f>IF(V102="","Sem tampa",IFERROR(INDEX(tbl_materiais[Polimero_Base],MATCH(W102,tbl_materiais[Material],0)),""))</f>
        <v>PP</v>
      </c>
      <c r="Y102" s="38">
        <f>IF(V102="",0,IFERROR(INDEX(tbl_tampas[Massa_g],MATCH(V102,tbl_tampas[CapId],0)),0))</f>
        <v>13.9</v>
      </c>
      <c r="Z102" s="26" t="s">
        <v>319</v>
      </c>
      <c r="AA102" s="26" t="s">
        <v>327</v>
      </c>
      <c r="AB102" s="26" t="s">
        <v>343</v>
      </c>
      <c r="AC102" s="29">
        <v>0.4</v>
      </c>
      <c r="AD102" s="27">
        <v>0.49</v>
      </c>
      <c r="AE102" s="26" t="s">
        <v>604</v>
      </c>
      <c r="AF102" s="26" t="s">
        <v>302</v>
      </c>
      <c r="AG102" s="39">
        <v>0</v>
      </c>
      <c r="AH102" s="33" t="str">
        <f t="shared" si="55"/>
        <v>Nenhuma</v>
      </c>
      <c r="AI102" s="27">
        <v>0</v>
      </c>
      <c r="AJ102" s="33" t="str">
        <f>IFERROR(INDEX(tbl_regras_dfr[Classe],MATCH(L102&amp;"|Fluxo de reciclagem|"&amp;L102,tbl_regras_dfr[Chave],0)),"Sem regra")</f>
        <v>A</v>
      </c>
      <c r="AK102" s="33" t="str">
        <f>IF(LEFT(L102,9)="Sem fluxo","—",IFERROR(INDEX(tbl_regras_dfr[Classe],MATCH(L102&amp;"|Cor do corpo|"&amp;O102,tbl_regras_dfr[Chave],0)),"Sem regra"))</f>
        <v>A</v>
      </c>
      <c r="AL102" s="33" t="str">
        <f>IF(LEFT(L102,9)="Sem fluxo","—",IFERROR(INDEX(tbl_regras_dfr[Classe],MATCH(L102&amp;"|Densidade do corpo|"&amp;IF(R102&lt;1,"&lt; 1,0 g/cm³","≥ 1,0 g/cm³"),tbl_regras_dfr[Chave],0)),"Sem regra"))</f>
        <v>A</v>
      </c>
      <c r="AM102" s="33" t="str">
        <f>IF(LEFT(L102,9)="Sem fluxo","—",IFERROR(INDEX(tbl_regras_dfr[Classe],MATCH(L102&amp;"|Barreira / revestimento|"&amp;S102,tbl_regras_dfr[Chave],0)),"Sem regra"))</f>
        <v>A</v>
      </c>
      <c r="AN102" s="33" t="str">
        <f>IF(LEFT(L102,9)="Sem fluxo","—",IFERROR(INDEX(tbl_regras_dfr[Classe],MATCH(L102&amp;"|Material da tampa|"&amp;X102,tbl_regras_dfr[Chave],0)),"Sem regra"))</f>
        <v>A</v>
      </c>
      <c r="AO102" s="33" t="str">
        <f>IF(LEFT(L102,9)="Sem fluxo","—",IFERROR(INDEX(tbl_regras_dfr[Classe],MATCH(L102&amp;"|Vedante / liner|"&amp;Z102,tbl_regras_dfr[Chave],0)),"Sem regra"))</f>
        <v>A</v>
      </c>
      <c r="AP102" s="33" t="str">
        <f>IF(LEFT(L102,9)="Sem fluxo","—",IFERROR(INDEX(tbl_regras_dfr[Classe],MATCH(L102&amp;"|Tipo de rótulo|"&amp;AA102,tbl_regras_dfr[Chave],0)),"Sem regra"))</f>
        <v>A</v>
      </c>
      <c r="AQ102" s="33" t="str">
        <f>IF(LEFT(L102,9)="Sem fluxo","—",IFERROR(INDEX(tbl_regras_dfr[Classe],MATCH(L102&amp;"|Adesivo do rótulo|"&amp;AB102,tbl_regras_dfr[Chave],0)),"Sem regra"))</f>
        <v>A</v>
      </c>
      <c r="AR102" s="33" t="str">
        <f>IF(LEFT(L102,9)="Sem fluxo","—",IFERROR(INDEX(tbl_regras_dfr[Classe],MATCH(L102&amp;"|Cobertura do rótulo|"&amp;IF(AC102&gt;0.7,"&gt; 70% da superfície","≤ 70% da superfície"),tbl_regras_dfr[Chave],0)),"Sem regra"))</f>
        <v>A</v>
      </c>
      <c r="AS102" s="33" t="str">
        <f>IF(LEFT(L102,9)="Sem fluxo","—",IFERROR(INDEX(tbl_regras_dfr[Classe],MATCH(L102&amp;"|Decoração direta|"&amp;AH102,tbl_regras_dfr[Chave],0)),"Sem regra"))</f>
        <v>A</v>
      </c>
      <c r="AT102" s="31">
        <f t="shared" si="56"/>
        <v>1</v>
      </c>
      <c r="AU102" s="33" t="str">
        <f>IF(AT102=0,"",INDEX({"A","B","C","D","E","F"},AT102))</f>
        <v>A</v>
      </c>
      <c r="AV102" s="31">
        <f t="shared" si="57"/>
        <v>0</v>
      </c>
      <c r="AW102" s="33" t="str">
        <f t="shared" si="58"/>
        <v>—</v>
      </c>
      <c r="AX102" s="33" t="str">
        <f>IF(AU102="A","Sem ação — manter o design.",IFERROR(INDEX(tbl_regras_dfr[Recomendacao],MATCH(CHOOSE(MATCH(AU102,AJ102:AS102,0),L102&amp;"|Fluxo de reciclagem|"&amp;L102,L102&amp;"|Cor do corpo|"&amp;O102,L102&amp;"|Densidade do corpo|"&amp;IF(R102&lt;1,"&lt; 1,0 g/cm³","≥ 1,0 g/cm³"),L102&amp;"|Barreira / revestimento|"&amp;S102,L102&amp;"|Material da tampa|"&amp;X102,L102&amp;"|Vedante / liner|"&amp;Z102,L102&amp;"|Tipo de rótulo|"&amp;AA102,L102&amp;"|Adesivo do rótulo|"&amp;AB102,L102&amp;"|Cobertura do rótulo|"&amp;IF(AC102&gt;0.7,"&gt; 70% da superfície","≤ 70% da superfície"),L102&amp;"|Decoração direta|"&amp;AH102),tbl_regras_dfr[Chave],0)),""))</f>
        <v>Sem ação — manter o design.</v>
      </c>
      <c r="AY102" s="38">
        <f t="shared" si="59"/>
        <v>37.79</v>
      </c>
      <c r="AZ102" s="36">
        <f>MIN(IFERROR(INDEX(tbl_regras_dfr[Fracao_Reciclavel],MATCH(L102&amp;"|Fluxo de reciclagem|"&amp;L102,tbl_regras_dfr[Chave],0)),0),IFERROR(INDEX(tbl_regras_dfr[Fracao_Reciclavel],MATCH(L102&amp;"|Cor do corpo|"&amp;O102,tbl_regras_dfr[Chave],0)),0))</f>
        <v>1</v>
      </c>
      <c r="BA102" s="36">
        <f>IFERROR(INDEX(tbl_regras_dfr[Fracao_Reciclavel],MATCH(L102&amp;"|Material da tampa|"&amp;X102,tbl_regras_dfr[Chave],0)),0)</f>
        <v>1</v>
      </c>
      <c r="BB102" s="36">
        <f>IFERROR(INDEX(tbl_regras_dfr[Fracao_Reciclavel],MATCH(L102&amp;"|Tipo de rótulo|"&amp;AA102,tbl_regras_dfr[Chave],0)),0)</f>
        <v>1</v>
      </c>
      <c r="BC102" s="38">
        <f t="shared" si="60"/>
        <v>37.79</v>
      </c>
      <c r="BD102" s="40">
        <f t="shared" si="61"/>
        <v>1</v>
      </c>
      <c r="BE102" s="33" t="str">
        <f>IF(BD102&gt;=INDEX(tbl_param_emb[Valor],MATCH("P-06",tbl_param_emb[ID_Parametro],0)),"A",IF(BD102&gt;=INDEX(tbl_param_emb[Valor],MATCH("P-07",tbl_param_emb[ID_Parametro],0)),"B",IF(BD102&gt;=INDEX(tbl_param_emb[Valor],MATCH("P-08",tbl_param_emb[ID_Parametro],0)),"C","&lt; 70%")))</f>
        <v>A</v>
      </c>
      <c r="BF102" s="33" t="str">
        <f>IF(AU102="F","Não reciclável (F)",INDEX({"A","B","C","Abaixo de C"},MAX(MIN(AT102,4),IF(BE102="A",1,IF(BE102="B",2,IF(BE102="C",3,4))))))</f>
        <v>A</v>
      </c>
      <c r="BG102" s="33" t="str">
        <f t="shared" si="62"/>
        <v>—</v>
      </c>
      <c r="BH102" s="33" t="str">
        <f t="shared" si="63"/>
        <v>Sim</v>
      </c>
      <c r="BI102" s="33" t="str">
        <f t="shared" si="64"/>
        <v>Sim</v>
      </c>
      <c r="BJ102" s="36">
        <f>IFERROR(INDEX(tbl_materiais[Pct_PCR],MATCH(J102,tbl_materiais[Material],0)),0)</f>
        <v>0.5</v>
      </c>
      <c r="BK102" s="36">
        <f>IF(V102="",0,IFERROR(INDEX(tbl_tampas[Pct_PCR],MATCH(V102,tbl_tampas[CapId],0)),0))</f>
        <v>0</v>
      </c>
      <c r="BL102" s="40">
        <f t="shared" si="65"/>
        <v>0.31367292225201071</v>
      </c>
      <c r="BM102" s="33" t="str">
        <f t="shared" si="66"/>
        <v>Outras embalagens de plástico</v>
      </c>
      <c r="BN102" s="36">
        <f>IFERROR(IF(INDEX(tbl_metas_art7[Meta_2030],MATCH(BM102,tbl_metas_art7[Categoria_Art7],0))="","",INDEX(tbl_metas_art7[Meta_2030],MATCH(BM102,tbl_metas_art7[Categoria_Art7],0))),"")</f>
        <v>0.35</v>
      </c>
      <c r="BO102" s="40">
        <f t="shared" si="67"/>
        <v>3.6327077747989267E-2</v>
      </c>
      <c r="BP102" s="33" t="str">
        <f t="shared" si="68"/>
        <v>Não</v>
      </c>
      <c r="BQ102" s="33" t="str">
        <f t="shared" si="69"/>
        <v>Multimaterial</v>
      </c>
      <c r="BR102" s="37">
        <v>243893</v>
      </c>
      <c r="BS102" s="39">
        <v>14</v>
      </c>
      <c r="BT102" s="26" t="s">
        <v>426</v>
      </c>
      <c r="BU102" s="32">
        <f t="shared" si="70"/>
        <v>5707.096199999999</v>
      </c>
      <c r="BV102" s="31">
        <f>COUNTIFS(tbl_aplicabilidade[ProductId],B102,tbl_aplicabilidade[Aplicavel],"Sim")</f>
        <v>12</v>
      </c>
      <c r="BW102" s="31">
        <f>COUNTIFS(tbl_aplicabilidade[ProductId],B102,tbl_aplicabilidade[Estado_Resumo],"Lacuna")+COUNTIFS(tbl_aplicabilidade[ProductId],B102,tbl_aplicabilidade[Estado_Resumo],"Não conforme")</f>
        <v>2</v>
      </c>
      <c r="BX102" s="41">
        <v>46287</v>
      </c>
      <c r="BY102" s="42">
        <f t="shared" si="71"/>
        <v>46652</v>
      </c>
      <c r="BZ102" s="26" t="s">
        <v>596</v>
      </c>
      <c r="CA102" s="26" t="s">
        <v>597</v>
      </c>
      <c r="CB102" s="26" t="s">
        <v>598</v>
      </c>
    </row>
    <row r="103" spans="1:80" ht="18" customHeight="1" x14ac:dyDescent="0.3">
      <c r="A103" s="26" t="s">
        <v>836</v>
      </c>
      <c r="B103" s="26" t="s">
        <v>837</v>
      </c>
      <c r="C103" s="26" t="s">
        <v>586</v>
      </c>
      <c r="D103" s="26" t="s">
        <v>587</v>
      </c>
      <c r="E103" s="26" t="s">
        <v>588</v>
      </c>
      <c r="F103" s="26" t="s">
        <v>589</v>
      </c>
      <c r="G103" s="26" t="s">
        <v>641</v>
      </c>
      <c r="H103" s="37">
        <v>400</v>
      </c>
      <c r="I103" s="37">
        <v>127</v>
      </c>
      <c r="J103" s="26" t="s">
        <v>249</v>
      </c>
      <c r="K103" s="33" t="str">
        <f>IFERROR(INDEX(tbl_materiais[Polimero_Base],MATCH(J103,tbl_materiais[Material],0)),"")</f>
        <v>PET</v>
      </c>
      <c r="L103" s="33" t="str">
        <f>IFERROR(INDEX(tbl_materiais[Fluxo_Reciclagem],MATCH(J103,tbl_materiais[Material],0)),"")</f>
        <v>PET frascos e garrafas</v>
      </c>
      <c r="M103" s="33" t="str">
        <f t="shared" si="54"/>
        <v>PET — garrafas/frascos transparentes incolores</v>
      </c>
      <c r="N103" s="26" t="s">
        <v>610</v>
      </c>
      <c r="O103" s="26" t="s">
        <v>279</v>
      </c>
      <c r="P103" s="26" t="s">
        <v>611</v>
      </c>
      <c r="Q103" s="29">
        <v>0</v>
      </c>
      <c r="R103" s="35">
        <f>IFERROR(ROUND(INDEX(tbl_materiais[Densidade_g_cm3],MATCH(J103,tbl_materiais[Material],0))+Q103*1.2,3),"")</f>
        <v>1.38</v>
      </c>
      <c r="S103" s="26" t="s">
        <v>302</v>
      </c>
      <c r="T103" s="34">
        <v>26.7</v>
      </c>
      <c r="U103" s="26" t="s">
        <v>593</v>
      </c>
      <c r="V103" s="26" t="s">
        <v>452</v>
      </c>
      <c r="W103" s="33" t="str">
        <f>IF(V103="","",IFERROR(INDEX(tbl_tampas[Material],MATCH(V103,tbl_tampas[CapId],0)),""))</f>
        <v>PP</v>
      </c>
      <c r="X103" s="33" t="str">
        <f>IF(V103="","Sem tampa",IFERROR(INDEX(tbl_materiais[Polimero_Base],MATCH(W103,tbl_materiais[Material],0)),""))</f>
        <v>PP</v>
      </c>
      <c r="Y103" s="38">
        <f>IF(V103="",0,IFERROR(INDEX(tbl_tampas[Massa_g],MATCH(V103,tbl_tampas[CapId],0)),0))</f>
        <v>14.3</v>
      </c>
      <c r="Z103" s="26" t="s">
        <v>319</v>
      </c>
      <c r="AA103" s="26" t="s">
        <v>326</v>
      </c>
      <c r="AB103" s="26" t="s">
        <v>340</v>
      </c>
      <c r="AC103" s="29">
        <v>0</v>
      </c>
      <c r="AD103" s="27">
        <v>0</v>
      </c>
      <c r="AE103" s="26" t="s">
        <v>594</v>
      </c>
      <c r="AF103" s="26" t="s">
        <v>595</v>
      </c>
      <c r="AG103" s="39">
        <v>3</v>
      </c>
      <c r="AH103" s="33" t="str">
        <f t="shared" si="55"/>
        <v>Serigrafia ≥ 3 cores</v>
      </c>
      <c r="AI103" s="27">
        <v>0.24</v>
      </c>
      <c r="AJ103" s="33" t="str">
        <f>IFERROR(INDEX(tbl_regras_dfr[Classe],MATCH(L103&amp;"|Fluxo de reciclagem|"&amp;L103,tbl_regras_dfr[Chave],0)),"Sem regra")</f>
        <v>A</v>
      </c>
      <c r="AK103" s="33" t="str">
        <f>IF(LEFT(L103,9)="Sem fluxo","—",IFERROR(INDEX(tbl_regras_dfr[Classe],MATCH(L103&amp;"|Cor do corpo|"&amp;O103,tbl_regras_dfr[Chave],0)),"Sem regra"))</f>
        <v>A</v>
      </c>
      <c r="AL103" s="33" t="str">
        <f>IF(LEFT(L103,9)="Sem fluxo","—",IFERROR(INDEX(tbl_regras_dfr[Classe],MATCH(L103&amp;"|Densidade do corpo|"&amp;IF(R103&lt;1,"&lt; 1,0 g/cm³","≥ 1,0 g/cm³"),tbl_regras_dfr[Chave],0)),"Sem regra"))</f>
        <v>A</v>
      </c>
      <c r="AM103" s="33" t="str">
        <f>IF(LEFT(L103,9)="Sem fluxo","—",IFERROR(INDEX(tbl_regras_dfr[Classe],MATCH(L103&amp;"|Barreira / revestimento|"&amp;S103,tbl_regras_dfr[Chave],0)),"Sem regra"))</f>
        <v>A</v>
      </c>
      <c r="AN103" s="33" t="str">
        <f>IF(LEFT(L103,9)="Sem fluxo","—",IFERROR(INDEX(tbl_regras_dfr[Classe],MATCH(L103&amp;"|Material da tampa|"&amp;X103,tbl_regras_dfr[Chave],0)),"Sem regra"))</f>
        <v>A</v>
      </c>
      <c r="AO103" s="33" t="str">
        <f>IF(LEFT(L103,9)="Sem fluxo","—",IFERROR(INDEX(tbl_regras_dfr[Classe],MATCH(L103&amp;"|Vedante / liner|"&amp;Z103,tbl_regras_dfr[Chave],0)),"Sem regra"))</f>
        <v>A</v>
      </c>
      <c r="AP103" s="33" t="str">
        <f>IF(LEFT(L103,9)="Sem fluxo","—",IFERROR(INDEX(tbl_regras_dfr[Classe],MATCH(L103&amp;"|Tipo de rótulo|"&amp;AA103,tbl_regras_dfr[Chave],0)),"Sem regra"))</f>
        <v>A</v>
      </c>
      <c r="AQ103" s="33" t="str">
        <f>IF(LEFT(L103,9)="Sem fluxo","—",IFERROR(INDEX(tbl_regras_dfr[Classe],MATCH(L103&amp;"|Adesivo do rótulo|"&amp;AB103,tbl_regras_dfr[Chave],0)),"Sem regra"))</f>
        <v>A</v>
      </c>
      <c r="AR103" s="33" t="str">
        <f>IF(LEFT(L103,9)="Sem fluxo","—",IFERROR(INDEX(tbl_regras_dfr[Classe],MATCH(L103&amp;"|Cobertura do rótulo|"&amp;IF(AC103&gt;0.7,"&gt; 70% da superfície","≤ 70% da superfície"),tbl_regras_dfr[Chave],0)),"Sem regra"))</f>
        <v>A</v>
      </c>
      <c r="AS103" s="33" t="str">
        <f>IF(LEFT(L103,9)="Sem fluxo","—",IFERROR(INDEX(tbl_regras_dfr[Classe],MATCH(L103&amp;"|Decoração direta|"&amp;AH103,tbl_regras_dfr[Chave],0)),"Sem regra"))</f>
        <v>D</v>
      </c>
      <c r="AT103" s="31">
        <f t="shared" si="56"/>
        <v>4</v>
      </c>
      <c r="AU103" s="33" t="str">
        <f>IF(AT103=0,"",INDEX({"A","B","C","D","E","F"},AT103))</f>
        <v>D</v>
      </c>
      <c r="AV103" s="31">
        <f t="shared" si="57"/>
        <v>0</v>
      </c>
      <c r="AW103" s="33" t="str">
        <f t="shared" si="58"/>
        <v>Decoracao</v>
      </c>
      <c r="AX103" s="33" t="str">
        <f>IF(AU103="A","Sem ação — manter o design.",IFERROR(INDEX(tbl_regras_dfr[Recomendacao],MATCH(CHOOSE(MATCH(AU103,AJ103:AS103,0),L103&amp;"|Fluxo de reciclagem|"&amp;L103,L103&amp;"|Cor do corpo|"&amp;O103,L103&amp;"|Densidade do corpo|"&amp;IF(R103&lt;1,"&lt; 1,0 g/cm³","≥ 1,0 g/cm³"),L103&amp;"|Barreira / revestimento|"&amp;S103,L103&amp;"|Material da tampa|"&amp;X103,L103&amp;"|Vedante / liner|"&amp;Z103,L103&amp;"|Tipo de rótulo|"&amp;AA103,L103&amp;"|Adesivo do rótulo|"&amp;AB103,L103&amp;"|Cobertura do rótulo|"&amp;IF(AC103&gt;0.7,"&gt; 70% da superfície","≤ 70% da superfície"),L103&amp;"|Decoração direta|"&amp;AH103),tbl_regras_dfr[Chave],0)),""))</f>
        <v>Rótulo de PE/PP ou tinta destintável em lavagem alcalina (validar).</v>
      </c>
      <c r="AY103" s="38">
        <f t="shared" si="59"/>
        <v>41.24</v>
      </c>
      <c r="AZ103" s="36">
        <f>MIN(IFERROR(INDEX(tbl_regras_dfr[Fracao_Reciclavel],MATCH(L103&amp;"|Fluxo de reciclagem|"&amp;L103,tbl_regras_dfr[Chave],0)),0),IFERROR(INDEX(tbl_regras_dfr[Fracao_Reciclavel],MATCH(L103&amp;"|Cor do corpo|"&amp;O103,tbl_regras_dfr[Chave],0)),0))</f>
        <v>1</v>
      </c>
      <c r="BA103" s="36">
        <f>IFERROR(INDEX(tbl_regras_dfr[Fracao_Reciclavel],MATCH(L103&amp;"|Material da tampa|"&amp;X103,tbl_regras_dfr[Chave],0)),0)</f>
        <v>1</v>
      </c>
      <c r="BB103" s="36">
        <f>IFERROR(INDEX(tbl_regras_dfr[Fracao_Reciclavel],MATCH(L103&amp;"|Tipo de rótulo|"&amp;AA103,tbl_regras_dfr[Chave],0)),0)</f>
        <v>1</v>
      </c>
      <c r="BC103" s="38">
        <f t="shared" si="60"/>
        <v>41</v>
      </c>
      <c r="BD103" s="40">
        <f t="shared" si="61"/>
        <v>0.99418040737148394</v>
      </c>
      <c r="BE103" s="33" t="str">
        <f>IF(BD103&gt;=INDEX(tbl_param_emb[Valor],MATCH("P-06",tbl_param_emb[ID_Parametro],0)),"A",IF(BD103&gt;=INDEX(tbl_param_emb[Valor],MATCH("P-07",tbl_param_emb[ID_Parametro],0)),"B",IF(BD103&gt;=INDEX(tbl_param_emb[Valor],MATCH("P-08",tbl_param_emb[ID_Parametro],0)),"C","&lt; 70%")))</f>
        <v>A</v>
      </c>
      <c r="BF103" s="33" t="str">
        <f>IF(AU103="F","Não reciclável (F)",INDEX({"A","B","C","Abaixo de C"},MAX(MIN(AT103,4),IF(BE103="A",1,IF(BE103="B",2,IF(BE103="C",3,4))))))</f>
        <v>Abaixo de C</v>
      </c>
      <c r="BG103" s="33" t="str">
        <f t="shared" si="62"/>
        <v>—</v>
      </c>
      <c r="BH103" s="33" t="str">
        <f t="shared" si="63"/>
        <v>Não</v>
      </c>
      <c r="BI103" s="33" t="str">
        <f t="shared" si="64"/>
        <v>Não</v>
      </c>
      <c r="BJ103" s="36">
        <f>IFERROR(INDEX(tbl_materiais[Pct_PCR],MATCH(J103,tbl_materiais[Material],0)),0)</f>
        <v>0</v>
      </c>
      <c r="BK103" s="36">
        <f>IF(V103="",0,IFERROR(INDEX(tbl_tampas[Pct_PCR],MATCH(V103,tbl_tampas[CapId],0)),0))</f>
        <v>0</v>
      </c>
      <c r="BL103" s="40">
        <f t="shared" si="65"/>
        <v>0</v>
      </c>
      <c r="BM103" s="33" t="str">
        <f t="shared" si="66"/>
        <v>Outras embalagens de plástico</v>
      </c>
      <c r="BN103" s="36">
        <f>IFERROR(IF(INDEX(tbl_metas_art7[Meta_2030],MATCH(BM103,tbl_metas_art7[Categoria_Art7],0))="","",INDEX(tbl_metas_art7[Meta_2030],MATCH(BM103,tbl_metas_art7[Categoria_Art7],0))),"")</f>
        <v>0.35</v>
      </c>
      <c r="BO103" s="40">
        <f t="shared" si="67"/>
        <v>0.35</v>
      </c>
      <c r="BP103" s="33" t="str">
        <f t="shared" si="68"/>
        <v>Não</v>
      </c>
      <c r="BQ103" s="33" t="str">
        <f t="shared" si="69"/>
        <v>Multimaterial</v>
      </c>
      <c r="BR103" s="37">
        <v>436657</v>
      </c>
      <c r="BS103" s="39">
        <v>14</v>
      </c>
      <c r="BT103" s="26" t="s">
        <v>426</v>
      </c>
      <c r="BU103" s="32">
        <f t="shared" si="70"/>
        <v>11658.741900000001</v>
      </c>
      <c r="BV103" s="31">
        <f>COUNTIFS(tbl_aplicabilidade[ProductId],B103,tbl_aplicabilidade[Aplicavel],"Sim")</f>
        <v>12</v>
      </c>
      <c r="BW103" s="31">
        <f>COUNTIFS(tbl_aplicabilidade[ProductId],B103,tbl_aplicabilidade[Estado_Resumo],"Lacuna")+COUNTIFS(tbl_aplicabilidade[ProductId],B103,tbl_aplicabilidade[Estado_Resumo],"Não conforme")</f>
        <v>2</v>
      </c>
      <c r="BX103" s="41">
        <v>46287</v>
      </c>
      <c r="BY103" s="42">
        <f t="shared" si="71"/>
        <v>46652</v>
      </c>
      <c r="BZ103" s="26" t="s">
        <v>596</v>
      </c>
      <c r="CA103" s="26" t="s">
        <v>597</v>
      </c>
      <c r="CB103" s="26" t="s">
        <v>598</v>
      </c>
    </row>
    <row r="104" spans="1:80" ht="18" customHeight="1" x14ac:dyDescent="0.3">
      <c r="A104" s="26" t="s">
        <v>838</v>
      </c>
      <c r="B104" s="26" t="s">
        <v>839</v>
      </c>
      <c r="C104" s="26" t="s">
        <v>586</v>
      </c>
      <c r="D104" s="26" t="s">
        <v>587</v>
      </c>
      <c r="E104" s="26" t="s">
        <v>588</v>
      </c>
      <c r="F104" s="26" t="s">
        <v>589</v>
      </c>
      <c r="G104" s="26" t="s">
        <v>641</v>
      </c>
      <c r="H104" s="37">
        <v>400</v>
      </c>
      <c r="I104" s="37">
        <v>127</v>
      </c>
      <c r="J104" s="26" t="s">
        <v>249</v>
      </c>
      <c r="K104" s="33" t="str">
        <f>IFERROR(INDEX(tbl_materiais[Polimero_Base],MATCH(J104,tbl_materiais[Material],0)),"")</f>
        <v>PET</v>
      </c>
      <c r="L104" s="33" t="str">
        <f>IFERROR(INDEX(tbl_materiais[Fluxo_Reciclagem],MATCH(J104,tbl_materiais[Material],0)),"")</f>
        <v>PET frascos e garrafas</v>
      </c>
      <c r="M104" s="33" t="str">
        <f t="shared" si="54"/>
        <v>PET — garrafas/frascos transparentes incolores</v>
      </c>
      <c r="N104" s="26" t="s">
        <v>610</v>
      </c>
      <c r="O104" s="26" t="s">
        <v>279</v>
      </c>
      <c r="P104" s="26" t="s">
        <v>611</v>
      </c>
      <c r="Q104" s="29">
        <v>0</v>
      </c>
      <c r="R104" s="35">
        <f>IFERROR(ROUND(INDEX(tbl_materiais[Densidade_g_cm3],MATCH(J104,tbl_materiais[Material],0))+Q104*1.2,3),"")</f>
        <v>1.38</v>
      </c>
      <c r="S104" s="26" t="s">
        <v>302</v>
      </c>
      <c r="T104" s="34">
        <v>26.7</v>
      </c>
      <c r="U104" s="26" t="s">
        <v>593</v>
      </c>
      <c r="V104" s="26" t="s">
        <v>473</v>
      </c>
      <c r="W104" s="33" t="str">
        <f>IF(V104="","",IFERROR(INDEX(tbl_tampas[Material],MATCH(V104,tbl_tampas[CapId],0)),""))</f>
        <v>PP</v>
      </c>
      <c r="X104" s="33" t="str">
        <f>IF(V104="","Sem tampa",IFERROR(INDEX(tbl_materiais[Polimero_Base],MATCH(W104,tbl_materiais[Material],0)),""))</f>
        <v>PP</v>
      </c>
      <c r="Y104" s="38">
        <f>IF(V104="",0,IFERROR(INDEX(tbl_tampas[Massa_g],MATCH(V104,tbl_tampas[CapId],0)),0))</f>
        <v>19.3</v>
      </c>
      <c r="Z104" s="26" t="s">
        <v>319</v>
      </c>
      <c r="AA104" s="26" t="s">
        <v>326</v>
      </c>
      <c r="AB104" s="26" t="s">
        <v>340</v>
      </c>
      <c r="AC104" s="29">
        <v>0</v>
      </c>
      <c r="AD104" s="27">
        <v>0</v>
      </c>
      <c r="AE104" s="26" t="s">
        <v>594</v>
      </c>
      <c r="AF104" s="26" t="s">
        <v>359</v>
      </c>
      <c r="AG104" s="39">
        <v>1</v>
      </c>
      <c r="AH104" s="33" t="str">
        <f t="shared" si="55"/>
        <v>Hot foil metalizado</v>
      </c>
      <c r="AI104" s="27">
        <v>0.03</v>
      </c>
      <c r="AJ104" s="33" t="str">
        <f>IFERROR(INDEX(tbl_regras_dfr[Classe],MATCH(L104&amp;"|Fluxo de reciclagem|"&amp;L104,tbl_regras_dfr[Chave],0)),"Sem regra")</f>
        <v>A</v>
      </c>
      <c r="AK104" s="33" t="str">
        <f>IF(LEFT(L104,9)="Sem fluxo","—",IFERROR(INDEX(tbl_regras_dfr[Classe],MATCH(L104&amp;"|Cor do corpo|"&amp;O104,tbl_regras_dfr[Chave],0)),"Sem regra"))</f>
        <v>A</v>
      </c>
      <c r="AL104" s="33" t="str">
        <f>IF(LEFT(L104,9)="Sem fluxo","—",IFERROR(INDEX(tbl_regras_dfr[Classe],MATCH(L104&amp;"|Densidade do corpo|"&amp;IF(R104&lt;1,"&lt; 1,0 g/cm³","≥ 1,0 g/cm³"),tbl_regras_dfr[Chave],0)),"Sem regra"))</f>
        <v>A</v>
      </c>
      <c r="AM104" s="33" t="str">
        <f>IF(LEFT(L104,9)="Sem fluxo","—",IFERROR(INDEX(tbl_regras_dfr[Classe],MATCH(L104&amp;"|Barreira / revestimento|"&amp;S104,tbl_regras_dfr[Chave],0)),"Sem regra"))</f>
        <v>A</v>
      </c>
      <c r="AN104" s="33" t="str">
        <f>IF(LEFT(L104,9)="Sem fluxo","—",IFERROR(INDEX(tbl_regras_dfr[Classe],MATCH(L104&amp;"|Material da tampa|"&amp;X104,tbl_regras_dfr[Chave],0)),"Sem regra"))</f>
        <v>A</v>
      </c>
      <c r="AO104" s="33" t="str">
        <f>IF(LEFT(L104,9)="Sem fluxo","—",IFERROR(INDEX(tbl_regras_dfr[Classe],MATCH(L104&amp;"|Vedante / liner|"&amp;Z104,tbl_regras_dfr[Chave],0)),"Sem regra"))</f>
        <v>A</v>
      </c>
      <c r="AP104" s="33" t="str">
        <f>IF(LEFT(L104,9)="Sem fluxo","—",IFERROR(INDEX(tbl_regras_dfr[Classe],MATCH(L104&amp;"|Tipo de rótulo|"&amp;AA104,tbl_regras_dfr[Chave],0)),"Sem regra"))</f>
        <v>A</v>
      </c>
      <c r="AQ104" s="33" t="str">
        <f>IF(LEFT(L104,9)="Sem fluxo","—",IFERROR(INDEX(tbl_regras_dfr[Classe],MATCH(L104&amp;"|Adesivo do rótulo|"&amp;AB104,tbl_regras_dfr[Chave],0)),"Sem regra"))</f>
        <v>A</v>
      </c>
      <c r="AR104" s="33" t="str">
        <f>IF(LEFT(L104,9)="Sem fluxo","—",IFERROR(INDEX(tbl_regras_dfr[Classe],MATCH(L104&amp;"|Cobertura do rótulo|"&amp;IF(AC104&gt;0.7,"&gt; 70% da superfície","≤ 70% da superfície"),tbl_regras_dfr[Chave],0)),"Sem regra"))</f>
        <v>A</v>
      </c>
      <c r="AS104" s="33" t="str">
        <f>IF(LEFT(L104,9)="Sem fluxo","—",IFERROR(INDEX(tbl_regras_dfr[Classe],MATCH(L104&amp;"|Decoração direta|"&amp;AH104,tbl_regras_dfr[Chave],0)),"Sem regra"))</f>
        <v>D</v>
      </c>
      <c r="AT104" s="31">
        <f t="shared" si="56"/>
        <v>4</v>
      </c>
      <c r="AU104" s="33" t="str">
        <f>IF(AT104=0,"",INDEX({"A","B","C","D","E","F"},AT104))</f>
        <v>D</v>
      </c>
      <c r="AV104" s="31">
        <f t="shared" si="57"/>
        <v>0</v>
      </c>
      <c r="AW104" s="33" t="str">
        <f t="shared" si="58"/>
        <v>Decoracao</v>
      </c>
      <c r="AX104" s="33" t="str">
        <f>IF(AU104="A","Sem ação — manter o design.",IFERROR(INDEX(tbl_regras_dfr[Recomendacao],MATCH(CHOOSE(MATCH(AU104,AJ104:AS104,0),L104&amp;"|Fluxo de reciclagem|"&amp;L104,L104&amp;"|Cor do corpo|"&amp;O104,L104&amp;"|Densidade do corpo|"&amp;IF(R104&lt;1,"&lt; 1,0 g/cm³","≥ 1,0 g/cm³"),L104&amp;"|Barreira / revestimento|"&amp;S104,L104&amp;"|Material da tampa|"&amp;X104,L104&amp;"|Vedante / liner|"&amp;Z104,L104&amp;"|Tipo de rótulo|"&amp;AA104,L104&amp;"|Adesivo do rótulo|"&amp;AB104,L104&amp;"|Cobertura do rótulo|"&amp;IF(AC104&gt;0.7,"&gt; 70% da superfície","≤ 70% da superfície"),L104&amp;"|Decoração direta|"&amp;AH104),tbl_regras_dfr[Chave],0)),""))</f>
        <v>Rótulo metalizado de PE/PP destacável.</v>
      </c>
      <c r="AY104" s="38">
        <f t="shared" si="59"/>
        <v>46.03</v>
      </c>
      <c r="AZ104" s="36">
        <f>MIN(IFERROR(INDEX(tbl_regras_dfr[Fracao_Reciclavel],MATCH(L104&amp;"|Fluxo de reciclagem|"&amp;L104,tbl_regras_dfr[Chave],0)),0),IFERROR(INDEX(tbl_regras_dfr[Fracao_Reciclavel],MATCH(L104&amp;"|Cor do corpo|"&amp;O104,tbl_regras_dfr[Chave],0)),0))</f>
        <v>1</v>
      </c>
      <c r="BA104" s="36">
        <f>IFERROR(INDEX(tbl_regras_dfr[Fracao_Reciclavel],MATCH(L104&amp;"|Material da tampa|"&amp;X104,tbl_regras_dfr[Chave],0)),0)</f>
        <v>1</v>
      </c>
      <c r="BB104" s="36">
        <f>IFERROR(INDEX(tbl_regras_dfr[Fracao_Reciclavel],MATCH(L104&amp;"|Tipo de rótulo|"&amp;AA104,tbl_regras_dfr[Chave],0)),0)</f>
        <v>1</v>
      </c>
      <c r="BC104" s="38">
        <f t="shared" si="60"/>
        <v>46</v>
      </c>
      <c r="BD104" s="40">
        <f t="shared" si="61"/>
        <v>0.99934825114056047</v>
      </c>
      <c r="BE104" s="33" t="str">
        <f>IF(BD104&gt;=INDEX(tbl_param_emb[Valor],MATCH("P-06",tbl_param_emb[ID_Parametro],0)),"A",IF(BD104&gt;=INDEX(tbl_param_emb[Valor],MATCH("P-07",tbl_param_emb[ID_Parametro],0)),"B",IF(BD104&gt;=INDEX(tbl_param_emb[Valor],MATCH("P-08",tbl_param_emb[ID_Parametro],0)),"C","&lt; 70%")))</f>
        <v>A</v>
      </c>
      <c r="BF104" s="33" t="str">
        <f>IF(AU104="F","Não reciclável (F)",INDEX({"A","B","C","Abaixo de C"},MAX(MIN(AT104,4),IF(BE104="A",1,IF(BE104="B",2,IF(BE104="C",3,4))))))</f>
        <v>Abaixo de C</v>
      </c>
      <c r="BG104" s="33" t="str">
        <f t="shared" si="62"/>
        <v>—</v>
      </c>
      <c r="BH104" s="33" t="str">
        <f t="shared" si="63"/>
        <v>Não</v>
      </c>
      <c r="BI104" s="33" t="str">
        <f t="shared" si="64"/>
        <v>Não</v>
      </c>
      <c r="BJ104" s="36">
        <f>IFERROR(INDEX(tbl_materiais[Pct_PCR],MATCH(J104,tbl_materiais[Material],0)),0)</f>
        <v>0</v>
      </c>
      <c r="BK104" s="36">
        <f>IF(V104="",0,IFERROR(INDEX(tbl_tampas[Pct_PCR],MATCH(V104,tbl_tampas[CapId],0)),0))</f>
        <v>0</v>
      </c>
      <c r="BL104" s="40">
        <f t="shared" si="65"/>
        <v>0</v>
      </c>
      <c r="BM104" s="33" t="str">
        <f t="shared" si="66"/>
        <v>Outras embalagens de plástico</v>
      </c>
      <c r="BN104" s="36">
        <f>IFERROR(IF(INDEX(tbl_metas_art7[Meta_2030],MATCH(BM104,tbl_metas_art7[Categoria_Art7],0))="","",INDEX(tbl_metas_art7[Meta_2030],MATCH(BM104,tbl_metas_art7[Categoria_Art7],0))),"")</f>
        <v>0.35</v>
      </c>
      <c r="BO104" s="40">
        <f t="shared" si="67"/>
        <v>0.35</v>
      </c>
      <c r="BP104" s="33" t="str">
        <f t="shared" si="68"/>
        <v>Não</v>
      </c>
      <c r="BQ104" s="33" t="str">
        <f t="shared" si="69"/>
        <v>Multimaterial</v>
      </c>
      <c r="BR104" s="37">
        <v>537560</v>
      </c>
      <c r="BS104" s="39">
        <v>14</v>
      </c>
      <c r="BT104" s="26" t="s">
        <v>426</v>
      </c>
      <c r="BU104" s="32">
        <f t="shared" si="70"/>
        <v>14352.852000000001</v>
      </c>
      <c r="BV104" s="31">
        <f>COUNTIFS(tbl_aplicabilidade[ProductId],B104,tbl_aplicabilidade[Aplicavel],"Sim")</f>
        <v>12</v>
      </c>
      <c r="BW104" s="31">
        <f>COUNTIFS(tbl_aplicabilidade[ProductId],B104,tbl_aplicabilidade[Estado_Resumo],"Lacuna")+COUNTIFS(tbl_aplicabilidade[ProductId],B104,tbl_aplicabilidade[Estado_Resumo],"Não conforme")</f>
        <v>2</v>
      </c>
      <c r="BX104" s="41">
        <v>46287</v>
      </c>
      <c r="BY104" s="42">
        <f t="shared" si="71"/>
        <v>46652</v>
      </c>
      <c r="BZ104" s="26" t="s">
        <v>596</v>
      </c>
      <c r="CA104" s="26" t="s">
        <v>597</v>
      </c>
      <c r="CB104" s="26" t="s">
        <v>598</v>
      </c>
    </row>
    <row r="105" spans="1:80" ht="18" customHeight="1" x14ac:dyDescent="0.3">
      <c r="A105" s="26" t="s">
        <v>840</v>
      </c>
      <c r="B105" s="26" t="s">
        <v>841</v>
      </c>
      <c r="C105" s="26" t="s">
        <v>586</v>
      </c>
      <c r="D105" s="26" t="s">
        <v>587</v>
      </c>
      <c r="E105" s="26" t="s">
        <v>588</v>
      </c>
      <c r="F105" s="26" t="s">
        <v>589</v>
      </c>
      <c r="G105" s="26" t="s">
        <v>590</v>
      </c>
      <c r="H105" s="37">
        <v>600</v>
      </c>
      <c r="I105" s="37">
        <v>145</v>
      </c>
      <c r="J105" s="26" t="s">
        <v>223</v>
      </c>
      <c r="K105" s="33" t="str">
        <f>IFERROR(INDEX(tbl_materiais[Polimero_Base],MATCH(J105,tbl_materiais[Material],0)),"")</f>
        <v>PE</v>
      </c>
      <c r="L105" s="33" t="str">
        <f>IFERROR(INDEX(tbl_materiais[Fluxo_Reciclagem],MATCH(J105,tbl_materiais[Material],0)),"")</f>
        <v>PE rígido</v>
      </c>
      <c r="M105" s="33" t="str">
        <f t="shared" si="54"/>
        <v>PE rígido — frascos e contentores (HDPE/LDPE)</v>
      </c>
      <c r="N105" s="26" t="s">
        <v>697</v>
      </c>
      <c r="O105" s="26" t="s">
        <v>289</v>
      </c>
      <c r="P105" s="26" t="s">
        <v>698</v>
      </c>
      <c r="Q105" s="29">
        <v>0.02</v>
      </c>
      <c r="R105" s="35">
        <f>IFERROR(ROUND(INDEX(tbl_materiais[Densidade_g_cm3],MATCH(J105,tbl_materiais[Material],0))+Q105*1.2,3),"")</f>
        <v>0.97899999999999998</v>
      </c>
      <c r="S105" s="26" t="s">
        <v>302</v>
      </c>
      <c r="T105" s="34">
        <v>34.9</v>
      </c>
      <c r="U105" s="26" t="s">
        <v>593</v>
      </c>
      <c r="V105" s="26" t="s">
        <v>478</v>
      </c>
      <c r="W105" s="33" t="str">
        <f>IF(V105="","",IFERROR(INDEX(tbl_tampas[Material],MATCH(V105,tbl_tampas[CapId],0)),""))</f>
        <v>HDPE</v>
      </c>
      <c r="X105" s="33" t="str">
        <f>IF(V105="","Sem tampa",IFERROR(INDEX(tbl_materiais[Polimero_Base],MATCH(W105,tbl_materiais[Material],0)),""))</f>
        <v>PE</v>
      </c>
      <c r="Y105" s="38">
        <f>IF(V105="",0,IFERROR(INDEX(tbl_tampas[Massa_g],MATCH(V105,tbl_tampas[CapId],0)),0))</f>
        <v>21.4</v>
      </c>
      <c r="Z105" s="26" t="s">
        <v>319</v>
      </c>
      <c r="AA105" s="26" t="s">
        <v>326</v>
      </c>
      <c r="AB105" s="26" t="s">
        <v>340</v>
      </c>
      <c r="AC105" s="29">
        <v>0</v>
      </c>
      <c r="AD105" s="27">
        <v>0</v>
      </c>
      <c r="AE105" s="26" t="s">
        <v>594</v>
      </c>
      <c r="AF105" s="26" t="s">
        <v>595</v>
      </c>
      <c r="AG105" s="39">
        <v>2</v>
      </c>
      <c r="AH105" s="33" t="str">
        <f t="shared" si="55"/>
        <v>Serigrafia 1–2 cores</v>
      </c>
      <c r="AI105" s="27">
        <v>0.16</v>
      </c>
      <c r="AJ105" s="33" t="str">
        <f>IFERROR(INDEX(tbl_regras_dfr[Classe],MATCH(L105&amp;"|Fluxo de reciclagem|"&amp;L105,tbl_regras_dfr[Chave],0)),"Sem regra")</f>
        <v>A</v>
      </c>
      <c r="AK105" s="33" t="str">
        <f>IF(LEFT(L105,9)="Sem fluxo","—",IFERROR(INDEX(tbl_regras_dfr[Classe],MATCH(L105&amp;"|Cor do corpo|"&amp;O105,tbl_regras_dfr[Chave],0)),"Sem regra"))</f>
        <v>F</v>
      </c>
      <c r="AL105" s="33" t="str">
        <f>IF(LEFT(L105,9)="Sem fluxo","—",IFERROR(INDEX(tbl_regras_dfr[Classe],MATCH(L105&amp;"|Densidade do corpo|"&amp;IF(R105&lt;1,"&lt; 1,0 g/cm³","≥ 1,0 g/cm³"),tbl_regras_dfr[Chave],0)),"Sem regra"))</f>
        <v>A</v>
      </c>
      <c r="AM105" s="33" t="str">
        <f>IF(LEFT(L105,9)="Sem fluxo","—",IFERROR(INDEX(tbl_regras_dfr[Classe],MATCH(L105&amp;"|Barreira / revestimento|"&amp;S105,tbl_regras_dfr[Chave],0)),"Sem regra"))</f>
        <v>A</v>
      </c>
      <c r="AN105" s="33" t="str">
        <f>IF(LEFT(L105,9)="Sem fluxo","—",IFERROR(INDEX(tbl_regras_dfr[Classe],MATCH(L105&amp;"|Material da tampa|"&amp;X105,tbl_regras_dfr[Chave],0)),"Sem regra"))</f>
        <v>A</v>
      </c>
      <c r="AO105" s="33" t="str">
        <f>IF(LEFT(L105,9)="Sem fluxo","—",IFERROR(INDEX(tbl_regras_dfr[Classe],MATCH(L105&amp;"|Vedante / liner|"&amp;Z105,tbl_regras_dfr[Chave],0)),"Sem regra"))</f>
        <v>A</v>
      </c>
      <c r="AP105" s="33" t="str">
        <f>IF(LEFT(L105,9)="Sem fluxo","—",IFERROR(INDEX(tbl_regras_dfr[Classe],MATCH(L105&amp;"|Tipo de rótulo|"&amp;AA105,tbl_regras_dfr[Chave],0)),"Sem regra"))</f>
        <v>A</v>
      </c>
      <c r="AQ105" s="33" t="str">
        <f>IF(LEFT(L105,9)="Sem fluxo","—",IFERROR(INDEX(tbl_regras_dfr[Classe],MATCH(L105&amp;"|Adesivo do rótulo|"&amp;AB105,tbl_regras_dfr[Chave],0)),"Sem regra"))</f>
        <v>A</v>
      </c>
      <c r="AR105" s="33" t="str">
        <f>IF(LEFT(L105,9)="Sem fluxo","—",IFERROR(INDEX(tbl_regras_dfr[Classe],MATCH(L105&amp;"|Cobertura do rótulo|"&amp;IF(AC105&gt;0.7,"&gt; 70% da superfície","≤ 70% da superfície"),tbl_regras_dfr[Chave],0)),"Sem regra"))</f>
        <v>A</v>
      </c>
      <c r="AS105" s="33" t="str">
        <f>IF(LEFT(L105,9)="Sem fluxo","—",IFERROR(INDEX(tbl_regras_dfr[Classe],MATCH(L105&amp;"|Decoração direta|"&amp;AH105,tbl_regras_dfr[Chave],0)),"Sem regra"))</f>
        <v>B</v>
      </c>
      <c r="AT105" s="31">
        <f t="shared" si="56"/>
        <v>6</v>
      </c>
      <c r="AU105" s="33" t="str">
        <f>IF(AT105=0,"",INDEX({"A","B","C","D","E","F"},AT105))</f>
        <v>F</v>
      </c>
      <c r="AV105" s="31">
        <f t="shared" si="57"/>
        <v>0</v>
      </c>
      <c r="AW105" s="33" t="str">
        <f t="shared" si="58"/>
        <v>Cor</v>
      </c>
      <c r="AX105" s="33" t="str">
        <f>IF(AU105="A","Sem ação — manter o design.",IFERROR(INDEX(tbl_regras_dfr[Recomendacao],MATCH(CHOOSE(MATCH(AU105,AJ105:AS105,0),L105&amp;"|Fluxo de reciclagem|"&amp;L105,L105&amp;"|Cor do corpo|"&amp;O105,L105&amp;"|Densidade do corpo|"&amp;IF(R105&lt;1,"&lt; 1,0 g/cm³","≥ 1,0 g/cm³"),L105&amp;"|Barreira / revestimento|"&amp;S105,L105&amp;"|Material da tampa|"&amp;X105,L105&amp;"|Vedante / liner|"&amp;Z105,L105&amp;"|Tipo de rótulo|"&amp;AA105,L105&amp;"|Adesivo do rótulo|"&amp;AB105,L105&amp;"|Cobertura do rótulo|"&amp;IF(AC105&gt;0.7,"&gt; 70% da superfície","≤ 70% da superfície"),L105&amp;"|Decoração direta|"&amp;AH105),tbl_regras_dfr[Chave],0)),""))</f>
        <v>Substituir o masterbatch por preto detetável por NIR (pigmentos sem negro de carbono).</v>
      </c>
      <c r="AY105" s="38">
        <f t="shared" si="59"/>
        <v>56.459999999999994</v>
      </c>
      <c r="AZ105" s="36">
        <f>MIN(IFERROR(INDEX(tbl_regras_dfr[Fracao_Reciclavel],MATCH(L105&amp;"|Fluxo de reciclagem|"&amp;L105,tbl_regras_dfr[Chave],0)),0),IFERROR(INDEX(tbl_regras_dfr[Fracao_Reciclavel],MATCH(L105&amp;"|Cor do corpo|"&amp;O105,tbl_regras_dfr[Chave],0)),0))</f>
        <v>0</v>
      </c>
      <c r="BA105" s="36">
        <f>IFERROR(INDEX(tbl_regras_dfr[Fracao_Reciclavel],MATCH(L105&amp;"|Material da tampa|"&amp;X105,tbl_regras_dfr[Chave],0)),0)</f>
        <v>1</v>
      </c>
      <c r="BB105" s="36">
        <f>IFERROR(INDEX(tbl_regras_dfr[Fracao_Reciclavel],MATCH(L105&amp;"|Tipo de rótulo|"&amp;AA105,tbl_regras_dfr[Chave],0)),0)</f>
        <v>1</v>
      </c>
      <c r="BC105" s="38">
        <f t="shared" si="60"/>
        <v>0</v>
      </c>
      <c r="BD105" s="40">
        <f t="shared" si="61"/>
        <v>0</v>
      </c>
      <c r="BE105" s="33" t="str">
        <f>IF(BD105&gt;=INDEX(tbl_param_emb[Valor],MATCH("P-06",tbl_param_emb[ID_Parametro],0)),"A",IF(BD105&gt;=INDEX(tbl_param_emb[Valor],MATCH("P-07",tbl_param_emb[ID_Parametro],0)),"B",IF(BD105&gt;=INDEX(tbl_param_emb[Valor],MATCH("P-08",tbl_param_emb[ID_Parametro],0)),"C","&lt; 70%")))</f>
        <v>&lt; 70%</v>
      </c>
      <c r="BF105" s="33" t="str">
        <f>IF(AU105="F","Não reciclável (F)",INDEX({"A","B","C","Abaixo de C"},MAX(MIN(AT105,4),IF(BE105="A",1,IF(BE105="B",2,IF(BE105="C",3,4))))))</f>
        <v>Não reciclável (F)</v>
      </c>
      <c r="BG105" s="33" t="str">
        <f t="shared" si="62"/>
        <v>—</v>
      </c>
      <c r="BH105" s="33" t="str">
        <f t="shared" si="63"/>
        <v>Não</v>
      </c>
      <c r="BI105" s="33" t="str">
        <f t="shared" si="64"/>
        <v>Não</v>
      </c>
      <c r="BJ105" s="36">
        <f>IFERROR(INDEX(tbl_materiais[Pct_PCR],MATCH(J105,tbl_materiais[Material],0)),0)</f>
        <v>0</v>
      </c>
      <c r="BK105" s="36">
        <f>IF(V105="",0,IFERROR(INDEX(tbl_tampas[Pct_PCR],MATCH(V105,tbl_tampas[CapId],0)),0))</f>
        <v>0</v>
      </c>
      <c r="BL105" s="40">
        <f t="shared" si="65"/>
        <v>0</v>
      </c>
      <c r="BM105" s="33" t="str">
        <f t="shared" si="66"/>
        <v>Outras embalagens de plástico</v>
      </c>
      <c r="BN105" s="36">
        <f>IFERROR(IF(INDEX(tbl_metas_art7[Meta_2030],MATCH(BM105,tbl_metas_art7[Categoria_Art7],0))="","",INDEX(tbl_metas_art7[Meta_2030],MATCH(BM105,tbl_metas_art7[Categoria_Art7],0))),"")</f>
        <v>0.35</v>
      </c>
      <c r="BO105" s="40">
        <f t="shared" si="67"/>
        <v>0.35</v>
      </c>
      <c r="BP105" s="33" t="str">
        <f t="shared" si="68"/>
        <v>Não</v>
      </c>
      <c r="BQ105" s="33" t="str">
        <f t="shared" si="69"/>
        <v>Monomaterial (mesma família)</v>
      </c>
      <c r="BR105" s="37">
        <v>582732</v>
      </c>
      <c r="BS105" s="39">
        <v>14</v>
      </c>
      <c r="BT105" s="26" t="s">
        <v>426</v>
      </c>
      <c r="BU105" s="32">
        <f t="shared" si="70"/>
        <v>20337.346799999999</v>
      </c>
      <c r="BV105" s="31">
        <f>COUNTIFS(tbl_aplicabilidade[ProductId],B105,tbl_aplicabilidade[Aplicavel],"Sim")</f>
        <v>12</v>
      </c>
      <c r="BW105" s="31">
        <f>COUNTIFS(tbl_aplicabilidade[ProductId],B105,tbl_aplicabilidade[Estado_Resumo],"Lacuna")+COUNTIFS(tbl_aplicabilidade[ProductId],B105,tbl_aplicabilidade[Estado_Resumo],"Não conforme")</f>
        <v>2</v>
      </c>
      <c r="BX105" s="41">
        <v>46287</v>
      </c>
      <c r="BY105" s="42">
        <f t="shared" si="71"/>
        <v>46652</v>
      </c>
      <c r="BZ105" s="26" t="s">
        <v>596</v>
      </c>
      <c r="CA105" s="26" t="s">
        <v>597</v>
      </c>
      <c r="CB105" s="26" t="s">
        <v>598</v>
      </c>
    </row>
    <row r="106" spans="1:80" ht="18" customHeight="1" x14ac:dyDescent="0.3">
      <c r="A106" s="26" t="s">
        <v>842</v>
      </c>
      <c r="B106" s="26" t="s">
        <v>843</v>
      </c>
      <c r="C106" s="26" t="s">
        <v>586</v>
      </c>
      <c r="D106" s="26" t="s">
        <v>844</v>
      </c>
      <c r="E106" s="26" t="s">
        <v>845</v>
      </c>
      <c r="F106" s="26" t="s">
        <v>589</v>
      </c>
      <c r="G106" s="26" t="s">
        <v>846</v>
      </c>
      <c r="H106" s="37">
        <v>1000</v>
      </c>
      <c r="I106" s="37">
        <v>172</v>
      </c>
      <c r="J106" s="26" t="s">
        <v>237</v>
      </c>
      <c r="K106" s="33" t="str">
        <f>IFERROR(INDEX(tbl_materiais[Polimero_Base],MATCH(J106,tbl_materiais[Material],0)),"")</f>
        <v>PE</v>
      </c>
      <c r="L106" s="33" t="str">
        <f>IFERROR(INDEX(tbl_materiais[Fluxo_Reciclagem],MATCH(J106,tbl_materiais[Material],0)),"")</f>
        <v>PE rígido</v>
      </c>
      <c r="M106" s="33" t="str">
        <f t="shared" si="54"/>
        <v>PE rígido — frascos e contentores (HDPE/LDPE)</v>
      </c>
      <c r="N106" s="26" t="s">
        <v>610</v>
      </c>
      <c r="O106" s="26" t="s">
        <v>279</v>
      </c>
      <c r="P106" s="26" t="s">
        <v>611</v>
      </c>
      <c r="Q106" s="29">
        <v>0</v>
      </c>
      <c r="R106" s="35">
        <f>IFERROR(ROUND(INDEX(tbl_materiais[Densidade_g_cm3],MATCH(J106,tbl_materiais[Material],0))+Q106*1.2,3),"")</f>
        <v>0.95499999999999996</v>
      </c>
      <c r="S106" s="26" t="s">
        <v>302</v>
      </c>
      <c r="T106" s="34">
        <v>49.1</v>
      </c>
      <c r="U106" s="26" t="s">
        <v>593</v>
      </c>
      <c r="V106" s="26" t="s">
        <v>504</v>
      </c>
      <c r="W106" s="33" t="str">
        <f>IF(V106="","",IFERROR(INDEX(tbl_tampas[Material],MATCH(V106,tbl_tampas[CapId],0)),""))</f>
        <v>HDPE-FG</v>
      </c>
      <c r="X106" s="33" t="str">
        <f>IF(V106="","Sem tampa",IFERROR(INDEX(tbl_materiais[Polimero_Base],MATCH(W106,tbl_materiais[Material],0)),""))</f>
        <v>PE</v>
      </c>
      <c r="Y106" s="38">
        <f>IF(V106="",0,IFERROR(INDEX(tbl_tampas[Massa_g],MATCH(V106,tbl_tampas[CapId],0)),0))</f>
        <v>15.9</v>
      </c>
      <c r="Z106" s="26" t="s">
        <v>320</v>
      </c>
      <c r="AA106" s="26" t="s">
        <v>327</v>
      </c>
      <c r="AB106" s="26" t="s">
        <v>342</v>
      </c>
      <c r="AC106" s="29">
        <v>0.4</v>
      </c>
      <c r="AD106" s="27">
        <v>1.02</v>
      </c>
      <c r="AE106" s="26" t="s">
        <v>604</v>
      </c>
      <c r="AF106" s="26" t="s">
        <v>302</v>
      </c>
      <c r="AG106" s="39">
        <v>0</v>
      </c>
      <c r="AH106" s="33" t="str">
        <f t="shared" si="55"/>
        <v>Nenhuma</v>
      </c>
      <c r="AI106" s="27">
        <v>0</v>
      </c>
      <c r="AJ106" s="33" t="str">
        <f>IFERROR(INDEX(tbl_regras_dfr[Classe],MATCH(L106&amp;"|Fluxo de reciclagem|"&amp;L106,tbl_regras_dfr[Chave],0)),"Sem regra")</f>
        <v>A</v>
      </c>
      <c r="AK106" s="33" t="str">
        <f>IF(LEFT(L106,9)="Sem fluxo","—",IFERROR(INDEX(tbl_regras_dfr[Classe],MATCH(L106&amp;"|Cor do corpo|"&amp;O106,tbl_regras_dfr[Chave],0)),"Sem regra"))</f>
        <v>A</v>
      </c>
      <c r="AL106" s="33" t="str">
        <f>IF(LEFT(L106,9)="Sem fluxo","—",IFERROR(INDEX(tbl_regras_dfr[Classe],MATCH(L106&amp;"|Densidade do corpo|"&amp;IF(R106&lt;1,"&lt; 1,0 g/cm³","≥ 1,0 g/cm³"),tbl_regras_dfr[Chave],0)),"Sem regra"))</f>
        <v>A</v>
      </c>
      <c r="AM106" s="33" t="str">
        <f>IF(LEFT(L106,9)="Sem fluxo","—",IFERROR(INDEX(tbl_regras_dfr[Classe],MATCH(L106&amp;"|Barreira / revestimento|"&amp;S106,tbl_regras_dfr[Chave],0)),"Sem regra"))</f>
        <v>A</v>
      </c>
      <c r="AN106" s="33" t="str">
        <f>IF(LEFT(L106,9)="Sem fluxo","—",IFERROR(INDEX(tbl_regras_dfr[Classe],MATCH(L106&amp;"|Material da tampa|"&amp;X106,tbl_regras_dfr[Chave],0)),"Sem regra"))</f>
        <v>A</v>
      </c>
      <c r="AO106" s="33" t="str">
        <f>IF(LEFT(L106,9)="Sem fluxo","—",IFERROR(INDEX(tbl_regras_dfr[Classe],MATCH(L106&amp;"|Vedante / liner|"&amp;Z106,tbl_regras_dfr[Chave],0)),"Sem regra"))</f>
        <v>A</v>
      </c>
      <c r="AP106" s="33" t="str">
        <f>IF(LEFT(L106,9)="Sem fluxo","—",IFERROR(INDEX(tbl_regras_dfr[Classe],MATCH(L106&amp;"|Tipo de rótulo|"&amp;AA106,tbl_regras_dfr[Chave],0)),"Sem regra"))</f>
        <v>A</v>
      </c>
      <c r="AQ106" s="33" t="str">
        <f>IF(LEFT(L106,9)="Sem fluxo","—",IFERROR(INDEX(tbl_regras_dfr[Classe],MATCH(L106&amp;"|Adesivo do rótulo|"&amp;AB106,tbl_regras_dfr[Chave],0)),"Sem regra"))</f>
        <v>A</v>
      </c>
      <c r="AR106" s="33" t="str">
        <f>IF(LEFT(L106,9)="Sem fluxo","—",IFERROR(INDEX(tbl_regras_dfr[Classe],MATCH(L106&amp;"|Cobertura do rótulo|"&amp;IF(AC106&gt;0.7,"&gt; 70% da superfície","≤ 70% da superfície"),tbl_regras_dfr[Chave],0)),"Sem regra"))</f>
        <v>A</v>
      </c>
      <c r="AS106" s="33" t="str">
        <f>IF(LEFT(L106,9)="Sem fluxo","—",IFERROR(INDEX(tbl_regras_dfr[Classe],MATCH(L106&amp;"|Decoração direta|"&amp;AH106,tbl_regras_dfr[Chave],0)),"Sem regra"))</f>
        <v>A</v>
      </c>
      <c r="AT106" s="31">
        <f t="shared" si="56"/>
        <v>1</v>
      </c>
      <c r="AU106" s="33" t="str">
        <f>IF(AT106=0,"",INDEX({"A","B","C","D","E","F"},AT106))</f>
        <v>A</v>
      </c>
      <c r="AV106" s="31">
        <f t="shared" si="57"/>
        <v>0</v>
      </c>
      <c r="AW106" s="33" t="str">
        <f t="shared" si="58"/>
        <v>—</v>
      </c>
      <c r="AX106" s="33" t="str">
        <f>IF(AU106="A","Sem ação — manter o design.",IFERROR(INDEX(tbl_regras_dfr[Recomendacao],MATCH(CHOOSE(MATCH(AU106,AJ106:AS106,0),L106&amp;"|Fluxo de reciclagem|"&amp;L106,L106&amp;"|Cor do corpo|"&amp;O106,L106&amp;"|Densidade do corpo|"&amp;IF(R106&lt;1,"&lt; 1,0 g/cm³","≥ 1,0 g/cm³"),L106&amp;"|Barreira / revestimento|"&amp;S106,L106&amp;"|Material da tampa|"&amp;X106,L106&amp;"|Vedante / liner|"&amp;Z106,L106&amp;"|Tipo de rótulo|"&amp;AA106,L106&amp;"|Adesivo do rótulo|"&amp;AB106,L106&amp;"|Cobertura do rótulo|"&amp;IF(AC106&gt;0.7,"&gt; 70% da superfície","≤ 70% da superfície"),L106&amp;"|Decoração direta|"&amp;AH106),tbl_regras_dfr[Chave],0)),""))</f>
        <v>Sem ação — manter o design.</v>
      </c>
      <c r="AY106" s="38">
        <f t="shared" si="59"/>
        <v>66.02</v>
      </c>
      <c r="AZ106" s="36">
        <f>MIN(IFERROR(INDEX(tbl_regras_dfr[Fracao_Reciclavel],MATCH(L106&amp;"|Fluxo de reciclagem|"&amp;L106,tbl_regras_dfr[Chave],0)),0),IFERROR(INDEX(tbl_regras_dfr[Fracao_Reciclavel],MATCH(L106&amp;"|Cor do corpo|"&amp;O106,tbl_regras_dfr[Chave],0)),0))</f>
        <v>1</v>
      </c>
      <c r="BA106" s="36">
        <f>IFERROR(INDEX(tbl_regras_dfr[Fracao_Reciclavel],MATCH(L106&amp;"|Material da tampa|"&amp;X106,tbl_regras_dfr[Chave],0)),0)</f>
        <v>1</v>
      </c>
      <c r="BB106" s="36">
        <f>IFERROR(INDEX(tbl_regras_dfr[Fracao_Reciclavel],MATCH(L106&amp;"|Tipo de rótulo|"&amp;AA106,tbl_regras_dfr[Chave],0)),0)</f>
        <v>1</v>
      </c>
      <c r="BC106" s="38">
        <f t="shared" si="60"/>
        <v>66.02</v>
      </c>
      <c r="BD106" s="40">
        <f t="shared" si="61"/>
        <v>1</v>
      </c>
      <c r="BE106" s="33" t="str">
        <f>IF(BD106&gt;=INDEX(tbl_param_emb[Valor],MATCH("P-06",tbl_param_emb[ID_Parametro],0)),"A",IF(BD106&gt;=INDEX(tbl_param_emb[Valor],MATCH("P-07",tbl_param_emb[ID_Parametro],0)),"B",IF(BD106&gt;=INDEX(tbl_param_emb[Valor],MATCH("P-08",tbl_param_emb[ID_Parametro],0)),"C","&lt; 70%")))</f>
        <v>A</v>
      </c>
      <c r="BF106" s="33" t="str">
        <f>IF(AU106="F","Não reciclável (F)",INDEX({"A","B","C","Abaixo de C"},MAX(MIN(AT106,4),IF(BE106="A",1,IF(BE106="B",2,IF(BE106="C",3,4))))))</f>
        <v>A</v>
      </c>
      <c r="BG106" s="33" t="str">
        <f t="shared" si="62"/>
        <v>—</v>
      </c>
      <c r="BH106" s="33" t="str">
        <f t="shared" si="63"/>
        <v>Sim</v>
      </c>
      <c r="BI106" s="33" t="str">
        <f t="shared" si="64"/>
        <v>Sim</v>
      </c>
      <c r="BJ106" s="36">
        <f>IFERROR(INDEX(tbl_materiais[Pct_PCR],MATCH(J106,tbl_materiais[Material],0)),0)</f>
        <v>0</v>
      </c>
      <c r="BK106" s="36">
        <f>IF(V106="",0,IFERROR(INDEX(tbl_tampas[Pct_PCR],MATCH(V106,tbl_tampas[CapId],0)),0))</f>
        <v>0</v>
      </c>
      <c r="BL106" s="40">
        <f t="shared" si="65"/>
        <v>0</v>
      </c>
      <c r="BM106" s="33" t="str">
        <f t="shared" si="66"/>
        <v>Sensível ao contacto — outros plásticos</v>
      </c>
      <c r="BN106" s="36">
        <f>IFERROR(IF(INDEX(tbl_metas_art7[Meta_2030],MATCH(BM106,tbl_metas_art7[Categoria_Art7],0))="","",INDEX(tbl_metas_art7[Meta_2030],MATCH(BM106,tbl_metas_art7[Categoria_Art7],0))),"")</f>
        <v>0.1</v>
      </c>
      <c r="BO106" s="40">
        <f t="shared" si="67"/>
        <v>0.1</v>
      </c>
      <c r="BP106" s="33" t="str">
        <f t="shared" si="68"/>
        <v>Não</v>
      </c>
      <c r="BQ106" s="33" t="str">
        <f t="shared" si="69"/>
        <v>Monomaterial (mesma família)</v>
      </c>
      <c r="BR106" s="37">
        <v>117654</v>
      </c>
      <c r="BS106" s="39">
        <v>2</v>
      </c>
      <c r="BT106" s="26" t="s">
        <v>847</v>
      </c>
      <c r="BU106" s="32">
        <f t="shared" si="70"/>
        <v>5776.8114000000005</v>
      </c>
      <c r="BV106" s="31">
        <f>COUNTIFS(tbl_aplicabilidade[ProductId],B106,tbl_aplicabilidade[Aplicavel],"Sim")</f>
        <v>15</v>
      </c>
      <c r="BW106" s="31">
        <f>COUNTIFS(tbl_aplicabilidade[ProductId],B106,tbl_aplicabilidade[Estado_Resumo],"Lacuna")+COUNTIFS(tbl_aplicabilidade[ProductId],B106,tbl_aplicabilidade[Estado_Resumo],"Não conforme")</f>
        <v>1</v>
      </c>
      <c r="BX106" s="41">
        <v>46287</v>
      </c>
      <c r="BY106" s="42">
        <f t="shared" si="71"/>
        <v>46652</v>
      </c>
      <c r="BZ106" s="26" t="s">
        <v>596</v>
      </c>
      <c r="CA106" s="26" t="s">
        <v>597</v>
      </c>
      <c r="CB106" s="26" t="s">
        <v>598</v>
      </c>
    </row>
    <row r="107" spans="1:80" ht="18" customHeight="1" x14ac:dyDescent="0.3">
      <c r="A107" s="26" t="s">
        <v>848</v>
      </c>
      <c r="B107" s="26" t="s">
        <v>849</v>
      </c>
      <c r="C107" s="26" t="s">
        <v>586</v>
      </c>
      <c r="D107" s="26" t="s">
        <v>844</v>
      </c>
      <c r="E107" s="26" t="s">
        <v>845</v>
      </c>
      <c r="F107" s="26" t="s">
        <v>589</v>
      </c>
      <c r="G107" s="26" t="s">
        <v>850</v>
      </c>
      <c r="H107" s="37">
        <v>1000</v>
      </c>
      <c r="I107" s="37">
        <v>172</v>
      </c>
      <c r="J107" s="26" t="s">
        <v>245</v>
      </c>
      <c r="K107" s="33" t="str">
        <f>IFERROR(INDEX(tbl_materiais[Polimero_Base],MATCH(J107,tbl_materiais[Material],0)),"")</f>
        <v>PP</v>
      </c>
      <c r="L107" s="33" t="str">
        <f>IFERROR(INDEX(tbl_materiais[Fluxo_Reciclagem],MATCH(J107,tbl_materiais[Material],0)),"")</f>
        <v>PP rígido</v>
      </c>
      <c r="M107" s="33" t="str">
        <f t="shared" si="54"/>
        <v>PP rígido — frascos, potes e contentores</v>
      </c>
      <c r="N107" s="26" t="s">
        <v>610</v>
      </c>
      <c r="O107" s="26" t="s">
        <v>279</v>
      </c>
      <c r="P107" s="26" t="s">
        <v>611</v>
      </c>
      <c r="Q107" s="29">
        <v>0</v>
      </c>
      <c r="R107" s="35">
        <f>IFERROR(ROUND(INDEX(tbl_materiais[Densidade_g_cm3],MATCH(J107,tbl_materiais[Material],0))+Q107*1.2,3),"")</f>
        <v>0.90500000000000003</v>
      </c>
      <c r="S107" s="26" t="s">
        <v>302</v>
      </c>
      <c r="T107" s="34">
        <v>49.1</v>
      </c>
      <c r="U107" s="26" t="s">
        <v>593</v>
      </c>
      <c r="V107" s="26" t="s">
        <v>507</v>
      </c>
      <c r="W107" s="33" t="str">
        <f>IF(V107="","",IFERROR(INDEX(tbl_tampas[Material],MATCH(V107,tbl_tampas[CapId],0)),""))</f>
        <v>PP-FG</v>
      </c>
      <c r="X107" s="33" t="str">
        <f>IF(V107="","Sem tampa",IFERROR(INDEX(tbl_materiais[Polimero_Base],MATCH(W107,tbl_materiais[Material],0)),""))</f>
        <v>PP</v>
      </c>
      <c r="Y107" s="38">
        <f>IF(V107="",0,IFERROR(INDEX(tbl_tampas[Massa_g],MATCH(V107,tbl_tampas[CapId],0)),0))</f>
        <v>15.9</v>
      </c>
      <c r="Z107" s="26" t="s">
        <v>320</v>
      </c>
      <c r="AA107" s="26" t="s">
        <v>327</v>
      </c>
      <c r="AB107" s="26" t="s">
        <v>342</v>
      </c>
      <c r="AC107" s="29">
        <v>0.4</v>
      </c>
      <c r="AD107" s="27">
        <v>1.02</v>
      </c>
      <c r="AE107" s="26" t="s">
        <v>604</v>
      </c>
      <c r="AF107" s="26" t="s">
        <v>302</v>
      </c>
      <c r="AG107" s="39">
        <v>0</v>
      </c>
      <c r="AH107" s="33" t="str">
        <f t="shared" si="55"/>
        <v>Nenhuma</v>
      </c>
      <c r="AI107" s="27">
        <v>0</v>
      </c>
      <c r="AJ107" s="33" t="str">
        <f>IFERROR(INDEX(tbl_regras_dfr[Classe],MATCH(L107&amp;"|Fluxo de reciclagem|"&amp;L107,tbl_regras_dfr[Chave],0)),"Sem regra")</f>
        <v>A</v>
      </c>
      <c r="AK107" s="33" t="str">
        <f>IF(LEFT(L107,9)="Sem fluxo","—",IFERROR(INDEX(tbl_regras_dfr[Classe],MATCH(L107&amp;"|Cor do corpo|"&amp;O107,tbl_regras_dfr[Chave],0)),"Sem regra"))</f>
        <v>A</v>
      </c>
      <c r="AL107" s="33" t="str">
        <f>IF(LEFT(L107,9)="Sem fluxo","—",IFERROR(INDEX(tbl_regras_dfr[Classe],MATCH(L107&amp;"|Densidade do corpo|"&amp;IF(R107&lt;1,"&lt; 1,0 g/cm³","≥ 1,0 g/cm³"),tbl_regras_dfr[Chave],0)),"Sem regra"))</f>
        <v>A</v>
      </c>
      <c r="AM107" s="33" t="str">
        <f>IF(LEFT(L107,9)="Sem fluxo","—",IFERROR(INDEX(tbl_regras_dfr[Classe],MATCH(L107&amp;"|Barreira / revestimento|"&amp;S107,tbl_regras_dfr[Chave],0)),"Sem regra"))</f>
        <v>A</v>
      </c>
      <c r="AN107" s="33" t="str">
        <f>IF(LEFT(L107,9)="Sem fluxo","—",IFERROR(INDEX(tbl_regras_dfr[Classe],MATCH(L107&amp;"|Material da tampa|"&amp;X107,tbl_regras_dfr[Chave],0)),"Sem regra"))</f>
        <v>A</v>
      </c>
      <c r="AO107" s="33" t="str">
        <f>IF(LEFT(L107,9)="Sem fluxo","—",IFERROR(INDEX(tbl_regras_dfr[Classe],MATCH(L107&amp;"|Vedante / liner|"&amp;Z107,tbl_regras_dfr[Chave],0)),"Sem regra"))</f>
        <v>A</v>
      </c>
      <c r="AP107" s="33" t="str">
        <f>IF(LEFT(L107,9)="Sem fluxo","—",IFERROR(INDEX(tbl_regras_dfr[Classe],MATCH(L107&amp;"|Tipo de rótulo|"&amp;AA107,tbl_regras_dfr[Chave],0)),"Sem regra"))</f>
        <v>A</v>
      </c>
      <c r="AQ107" s="33" t="str">
        <f>IF(LEFT(L107,9)="Sem fluxo","—",IFERROR(INDEX(tbl_regras_dfr[Classe],MATCH(L107&amp;"|Adesivo do rótulo|"&amp;AB107,tbl_regras_dfr[Chave],0)),"Sem regra"))</f>
        <v>A</v>
      </c>
      <c r="AR107" s="33" t="str">
        <f>IF(LEFT(L107,9)="Sem fluxo","—",IFERROR(INDEX(tbl_regras_dfr[Classe],MATCH(L107&amp;"|Cobertura do rótulo|"&amp;IF(AC107&gt;0.7,"&gt; 70% da superfície","≤ 70% da superfície"),tbl_regras_dfr[Chave],0)),"Sem regra"))</f>
        <v>A</v>
      </c>
      <c r="AS107" s="33" t="str">
        <f>IF(LEFT(L107,9)="Sem fluxo","—",IFERROR(INDEX(tbl_regras_dfr[Classe],MATCH(L107&amp;"|Decoração direta|"&amp;AH107,tbl_regras_dfr[Chave],0)),"Sem regra"))</f>
        <v>A</v>
      </c>
      <c r="AT107" s="31">
        <f t="shared" si="56"/>
        <v>1</v>
      </c>
      <c r="AU107" s="33" t="str">
        <f>IF(AT107=0,"",INDEX({"A","B","C","D","E","F"},AT107))</f>
        <v>A</v>
      </c>
      <c r="AV107" s="31">
        <f t="shared" si="57"/>
        <v>0</v>
      </c>
      <c r="AW107" s="33" t="str">
        <f t="shared" si="58"/>
        <v>—</v>
      </c>
      <c r="AX107" s="33" t="str">
        <f>IF(AU107="A","Sem ação — manter o design.",IFERROR(INDEX(tbl_regras_dfr[Recomendacao],MATCH(CHOOSE(MATCH(AU107,AJ107:AS107,0),L107&amp;"|Fluxo de reciclagem|"&amp;L107,L107&amp;"|Cor do corpo|"&amp;O107,L107&amp;"|Densidade do corpo|"&amp;IF(R107&lt;1,"&lt; 1,0 g/cm³","≥ 1,0 g/cm³"),L107&amp;"|Barreira / revestimento|"&amp;S107,L107&amp;"|Material da tampa|"&amp;X107,L107&amp;"|Vedante / liner|"&amp;Z107,L107&amp;"|Tipo de rótulo|"&amp;AA107,L107&amp;"|Adesivo do rótulo|"&amp;AB107,L107&amp;"|Cobertura do rótulo|"&amp;IF(AC107&gt;0.7,"&gt; 70% da superfície","≤ 70% da superfície"),L107&amp;"|Decoração direta|"&amp;AH107),tbl_regras_dfr[Chave],0)),""))</f>
        <v>Sem ação — manter o design.</v>
      </c>
      <c r="AY107" s="38">
        <f t="shared" si="59"/>
        <v>66.02</v>
      </c>
      <c r="AZ107" s="36">
        <f>MIN(IFERROR(INDEX(tbl_regras_dfr[Fracao_Reciclavel],MATCH(L107&amp;"|Fluxo de reciclagem|"&amp;L107,tbl_regras_dfr[Chave],0)),0),IFERROR(INDEX(tbl_regras_dfr[Fracao_Reciclavel],MATCH(L107&amp;"|Cor do corpo|"&amp;O107,tbl_regras_dfr[Chave],0)),0))</f>
        <v>1</v>
      </c>
      <c r="BA107" s="36">
        <f>IFERROR(INDEX(tbl_regras_dfr[Fracao_Reciclavel],MATCH(L107&amp;"|Material da tampa|"&amp;X107,tbl_regras_dfr[Chave],0)),0)</f>
        <v>1</v>
      </c>
      <c r="BB107" s="36">
        <f>IFERROR(INDEX(tbl_regras_dfr[Fracao_Reciclavel],MATCH(L107&amp;"|Tipo de rótulo|"&amp;AA107,tbl_regras_dfr[Chave],0)),0)</f>
        <v>1</v>
      </c>
      <c r="BC107" s="38">
        <f t="shared" si="60"/>
        <v>66.02</v>
      </c>
      <c r="BD107" s="40">
        <f t="shared" si="61"/>
        <v>1</v>
      </c>
      <c r="BE107" s="33" t="str">
        <f>IF(BD107&gt;=INDEX(tbl_param_emb[Valor],MATCH("P-06",tbl_param_emb[ID_Parametro],0)),"A",IF(BD107&gt;=INDEX(tbl_param_emb[Valor],MATCH("P-07",tbl_param_emb[ID_Parametro],0)),"B",IF(BD107&gt;=INDEX(tbl_param_emb[Valor],MATCH("P-08",tbl_param_emb[ID_Parametro],0)),"C","&lt; 70%")))</f>
        <v>A</v>
      </c>
      <c r="BF107" s="33" t="str">
        <f>IF(AU107="F","Não reciclável (F)",INDEX({"A","B","C","Abaixo de C"},MAX(MIN(AT107,4),IF(BE107="A",1,IF(BE107="B",2,IF(BE107="C",3,4))))))</f>
        <v>A</v>
      </c>
      <c r="BG107" s="33" t="str">
        <f t="shared" si="62"/>
        <v>—</v>
      </c>
      <c r="BH107" s="33" t="str">
        <f t="shared" si="63"/>
        <v>Sim</v>
      </c>
      <c r="BI107" s="33" t="str">
        <f t="shared" si="64"/>
        <v>Sim</v>
      </c>
      <c r="BJ107" s="36">
        <f>IFERROR(INDEX(tbl_materiais[Pct_PCR],MATCH(J107,tbl_materiais[Material],0)),0)</f>
        <v>0</v>
      </c>
      <c r="BK107" s="36">
        <f>IF(V107="",0,IFERROR(INDEX(tbl_tampas[Pct_PCR],MATCH(V107,tbl_tampas[CapId],0)),0))</f>
        <v>0</v>
      </c>
      <c r="BL107" s="40">
        <f t="shared" si="65"/>
        <v>0</v>
      </c>
      <c r="BM107" s="33" t="str">
        <f t="shared" si="66"/>
        <v>Sensível ao contacto — outros plásticos</v>
      </c>
      <c r="BN107" s="36">
        <f>IFERROR(IF(INDEX(tbl_metas_art7[Meta_2030],MATCH(BM107,tbl_metas_art7[Categoria_Art7],0))="","",INDEX(tbl_metas_art7[Meta_2030],MATCH(BM107,tbl_metas_art7[Categoria_Art7],0))),"")</f>
        <v>0.1</v>
      </c>
      <c r="BO107" s="40">
        <f t="shared" si="67"/>
        <v>0.1</v>
      </c>
      <c r="BP107" s="33" t="str">
        <f t="shared" si="68"/>
        <v>Não</v>
      </c>
      <c r="BQ107" s="33" t="str">
        <f t="shared" si="69"/>
        <v>Monomaterial (mesma família)</v>
      </c>
      <c r="BR107" s="37">
        <v>107903</v>
      </c>
      <c r="BS107" s="39">
        <v>2</v>
      </c>
      <c r="BT107" s="26" t="s">
        <v>847</v>
      </c>
      <c r="BU107" s="32">
        <f t="shared" si="70"/>
        <v>5298.0373</v>
      </c>
      <c r="BV107" s="31">
        <f>COUNTIFS(tbl_aplicabilidade[ProductId],B107,tbl_aplicabilidade[Aplicavel],"Sim")</f>
        <v>15</v>
      </c>
      <c r="BW107" s="31">
        <f>COUNTIFS(tbl_aplicabilidade[ProductId],B107,tbl_aplicabilidade[Estado_Resumo],"Lacuna")+COUNTIFS(tbl_aplicabilidade[ProductId],B107,tbl_aplicabilidade[Estado_Resumo],"Não conforme")</f>
        <v>1</v>
      </c>
      <c r="BX107" s="41">
        <v>46287</v>
      </c>
      <c r="BY107" s="42">
        <f t="shared" si="71"/>
        <v>46652</v>
      </c>
      <c r="BZ107" s="26" t="s">
        <v>596</v>
      </c>
      <c r="CA107" s="26" t="s">
        <v>597</v>
      </c>
      <c r="CB107" s="26" t="s">
        <v>598</v>
      </c>
    </row>
    <row r="108" spans="1:80" ht="18" customHeight="1" x14ac:dyDescent="0.3">
      <c r="A108" s="26" t="s">
        <v>851</v>
      </c>
      <c r="B108" s="26" t="s">
        <v>852</v>
      </c>
      <c r="C108" s="26" t="s">
        <v>586</v>
      </c>
      <c r="D108" s="26" t="s">
        <v>844</v>
      </c>
      <c r="E108" s="26" t="s">
        <v>845</v>
      </c>
      <c r="F108" s="26" t="s">
        <v>589</v>
      </c>
      <c r="G108" s="26" t="s">
        <v>846</v>
      </c>
      <c r="H108" s="37">
        <v>500</v>
      </c>
      <c r="I108" s="37">
        <v>137</v>
      </c>
      <c r="J108" s="26" t="s">
        <v>237</v>
      </c>
      <c r="K108" s="33" t="str">
        <f>IFERROR(INDEX(tbl_materiais[Polimero_Base],MATCH(J108,tbl_materiais[Material],0)),"")</f>
        <v>PE</v>
      </c>
      <c r="L108" s="33" t="str">
        <f>IFERROR(INDEX(tbl_materiais[Fluxo_Reciclagem],MATCH(J108,tbl_materiais[Material],0)),"")</f>
        <v>PE rígido</v>
      </c>
      <c r="M108" s="33" t="str">
        <f t="shared" si="54"/>
        <v>PE rígido — frascos e contentores (HDPE/LDPE)</v>
      </c>
      <c r="N108" s="26" t="s">
        <v>610</v>
      </c>
      <c r="O108" s="26" t="s">
        <v>279</v>
      </c>
      <c r="P108" s="26" t="s">
        <v>611</v>
      </c>
      <c r="Q108" s="29">
        <v>0</v>
      </c>
      <c r="R108" s="35">
        <f>IFERROR(ROUND(INDEX(tbl_materiais[Densidade_g_cm3],MATCH(J108,tbl_materiais[Material],0))+Q108*1.2,3),"")</f>
        <v>0.95499999999999996</v>
      </c>
      <c r="S108" s="26" t="s">
        <v>302</v>
      </c>
      <c r="T108" s="34">
        <v>30.9</v>
      </c>
      <c r="U108" s="26" t="s">
        <v>593</v>
      </c>
      <c r="V108" s="26" t="s">
        <v>504</v>
      </c>
      <c r="W108" s="33" t="str">
        <f>IF(V108="","",IFERROR(INDEX(tbl_tampas[Material],MATCH(V108,tbl_tampas[CapId],0)),""))</f>
        <v>HDPE-FG</v>
      </c>
      <c r="X108" s="33" t="str">
        <f>IF(V108="","Sem tampa",IFERROR(INDEX(tbl_materiais[Polimero_Base],MATCH(W108,tbl_materiais[Material],0)),""))</f>
        <v>PE</v>
      </c>
      <c r="Y108" s="38">
        <f>IF(V108="",0,IFERROR(INDEX(tbl_tampas[Massa_g],MATCH(V108,tbl_tampas[CapId],0)),0))</f>
        <v>15.9</v>
      </c>
      <c r="Z108" s="26" t="s">
        <v>320</v>
      </c>
      <c r="AA108" s="26" t="s">
        <v>327</v>
      </c>
      <c r="AB108" s="26" t="s">
        <v>342</v>
      </c>
      <c r="AC108" s="29">
        <v>0.4</v>
      </c>
      <c r="AD108" s="27">
        <v>0.64</v>
      </c>
      <c r="AE108" s="26" t="s">
        <v>604</v>
      </c>
      <c r="AF108" s="26" t="s">
        <v>302</v>
      </c>
      <c r="AG108" s="39">
        <v>0</v>
      </c>
      <c r="AH108" s="33" t="str">
        <f t="shared" si="55"/>
        <v>Nenhuma</v>
      </c>
      <c r="AI108" s="27">
        <v>0</v>
      </c>
      <c r="AJ108" s="33" t="str">
        <f>IFERROR(INDEX(tbl_regras_dfr[Classe],MATCH(L108&amp;"|Fluxo de reciclagem|"&amp;L108,tbl_regras_dfr[Chave],0)),"Sem regra")</f>
        <v>A</v>
      </c>
      <c r="AK108" s="33" t="str">
        <f>IF(LEFT(L108,9)="Sem fluxo","—",IFERROR(INDEX(tbl_regras_dfr[Classe],MATCH(L108&amp;"|Cor do corpo|"&amp;O108,tbl_regras_dfr[Chave],0)),"Sem regra"))</f>
        <v>A</v>
      </c>
      <c r="AL108" s="33" t="str">
        <f>IF(LEFT(L108,9)="Sem fluxo","—",IFERROR(INDEX(tbl_regras_dfr[Classe],MATCH(L108&amp;"|Densidade do corpo|"&amp;IF(R108&lt;1,"&lt; 1,0 g/cm³","≥ 1,0 g/cm³"),tbl_regras_dfr[Chave],0)),"Sem regra"))</f>
        <v>A</v>
      </c>
      <c r="AM108" s="33" t="str">
        <f>IF(LEFT(L108,9)="Sem fluxo","—",IFERROR(INDEX(tbl_regras_dfr[Classe],MATCH(L108&amp;"|Barreira / revestimento|"&amp;S108,tbl_regras_dfr[Chave],0)),"Sem regra"))</f>
        <v>A</v>
      </c>
      <c r="AN108" s="33" t="str">
        <f>IF(LEFT(L108,9)="Sem fluxo","—",IFERROR(INDEX(tbl_regras_dfr[Classe],MATCH(L108&amp;"|Material da tampa|"&amp;X108,tbl_regras_dfr[Chave],0)),"Sem regra"))</f>
        <v>A</v>
      </c>
      <c r="AO108" s="33" t="str">
        <f>IF(LEFT(L108,9)="Sem fluxo","—",IFERROR(INDEX(tbl_regras_dfr[Classe],MATCH(L108&amp;"|Vedante / liner|"&amp;Z108,tbl_regras_dfr[Chave],0)),"Sem regra"))</f>
        <v>A</v>
      </c>
      <c r="AP108" s="33" t="str">
        <f>IF(LEFT(L108,9)="Sem fluxo","—",IFERROR(INDEX(tbl_regras_dfr[Classe],MATCH(L108&amp;"|Tipo de rótulo|"&amp;AA108,tbl_regras_dfr[Chave],0)),"Sem regra"))</f>
        <v>A</v>
      </c>
      <c r="AQ108" s="33" t="str">
        <f>IF(LEFT(L108,9)="Sem fluxo","—",IFERROR(INDEX(tbl_regras_dfr[Classe],MATCH(L108&amp;"|Adesivo do rótulo|"&amp;AB108,tbl_regras_dfr[Chave],0)),"Sem regra"))</f>
        <v>A</v>
      </c>
      <c r="AR108" s="33" t="str">
        <f>IF(LEFT(L108,9)="Sem fluxo","—",IFERROR(INDEX(tbl_regras_dfr[Classe],MATCH(L108&amp;"|Cobertura do rótulo|"&amp;IF(AC108&gt;0.7,"&gt; 70% da superfície","≤ 70% da superfície"),tbl_regras_dfr[Chave],0)),"Sem regra"))</f>
        <v>A</v>
      </c>
      <c r="AS108" s="33" t="str">
        <f>IF(LEFT(L108,9)="Sem fluxo","—",IFERROR(INDEX(tbl_regras_dfr[Classe],MATCH(L108&amp;"|Decoração direta|"&amp;AH108,tbl_regras_dfr[Chave],0)),"Sem regra"))</f>
        <v>A</v>
      </c>
      <c r="AT108" s="31">
        <f t="shared" si="56"/>
        <v>1</v>
      </c>
      <c r="AU108" s="33" t="str">
        <f>IF(AT108=0,"",INDEX({"A","B","C","D","E","F"},AT108))</f>
        <v>A</v>
      </c>
      <c r="AV108" s="31">
        <f t="shared" si="57"/>
        <v>0</v>
      </c>
      <c r="AW108" s="33" t="str">
        <f t="shared" si="58"/>
        <v>—</v>
      </c>
      <c r="AX108" s="33" t="str">
        <f>IF(AU108="A","Sem ação — manter o design.",IFERROR(INDEX(tbl_regras_dfr[Recomendacao],MATCH(CHOOSE(MATCH(AU108,AJ108:AS108,0),L108&amp;"|Fluxo de reciclagem|"&amp;L108,L108&amp;"|Cor do corpo|"&amp;O108,L108&amp;"|Densidade do corpo|"&amp;IF(R108&lt;1,"&lt; 1,0 g/cm³","≥ 1,0 g/cm³"),L108&amp;"|Barreira / revestimento|"&amp;S108,L108&amp;"|Material da tampa|"&amp;X108,L108&amp;"|Vedante / liner|"&amp;Z108,L108&amp;"|Tipo de rótulo|"&amp;AA108,L108&amp;"|Adesivo do rótulo|"&amp;AB108,L108&amp;"|Cobertura do rótulo|"&amp;IF(AC108&gt;0.7,"&gt; 70% da superfície","≤ 70% da superfície"),L108&amp;"|Decoração direta|"&amp;AH108),tbl_regras_dfr[Chave],0)),""))</f>
        <v>Sem ação — manter o design.</v>
      </c>
      <c r="AY108" s="38">
        <f t="shared" si="59"/>
        <v>47.44</v>
      </c>
      <c r="AZ108" s="36">
        <f>MIN(IFERROR(INDEX(tbl_regras_dfr[Fracao_Reciclavel],MATCH(L108&amp;"|Fluxo de reciclagem|"&amp;L108,tbl_regras_dfr[Chave],0)),0),IFERROR(INDEX(tbl_regras_dfr[Fracao_Reciclavel],MATCH(L108&amp;"|Cor do corpo|"&amp;O108,tbl_regras_dfr[Chave],0)),0))</f>
        <v>1</v>
      </c>
      <c r="BA108" s="36">
        <f>IFERROR(INDEX(tbl_regras_dfr[Fracao_Reciclavel],MATCH(L108&amp;"|Material da tampa|"&amp;X108,tbl_regras_dfr[Chave],0)),0)</f>
        <v>1</v>
      </c>
      <c r="BB108" s="36">
        <f>IFERROR(INDEX(tbl_regras_dfr[Fracao_Reciclavel],MATCH(L108&amp;"|Tipo de rótulo|"&amp;AA108,tbl_regras_dfr[Chave],0)),0)</f>
        <v>1</v>
      </c>
      <c r="BC108" s="38">
        <f t="shared" si="60"/>
        <v>47.44</v>
      </c>
      <c r="BD108" s="40">
        <f t="shared" si="61"/>
        <v>1</v>
      </c>
      <c r="BE108" s="33" t="str">
        <f>IF(BD108&gt;=INDEX(tbl_param_emb[Valor],MATCH("P-06",tbl_param_emb[ID_Parametro],0)),"A",IF(BD108&gt;=INDEX(tbl_param_emb[Valor],MATCH("P-07",tbl_param_emb[ID_Parametro],0)),"B",IF(BD108&gt;=INDEX(tbl_param_emb[Valor],MATCH("P-08",tbl_param_emb[ID_Parametro],0)),"C","&lt; 70%")))</f>
        <v>A</v>
      </c>
      <c r="BF108" s="33" t="str">
        <f>IF(AU108="F","Não reciclável (F)",INDEX({"A","B","C","Abaixo de C"},MAX(MIN(AT108,4),IF(BE108="A",1,IF(BE108="B",2,IF(BE108="C",3,4))))))</f>
        <v>A</v>
      </c>
      <c r="BG108" s="33" t="str">
        <f t="shared" si="62"/>
        <v>—</v>
      </c>
      <c r="BH108" s="33" t="str">
        <f t="shared" si="63"/>
        <v>Sim</v>
      </c>
      <c r="BI108" s="33" t="str">
        <f t="shared" si="64"/>
        <v>Sim</v>
      </c>
      <c r="BJ108" s="36">
        <f>IFERROR(INDEX(tbl_materiais[Pct_PCR],MATCH(J108,tbl_materiais[Material],0)),0)</f>
        <v>0</v>
      </c>
      <c r="BK108" s="36">
        <f>IF(V108="",0,IFERROR(INDEX(tbl_tampas[Pct_PCR],MATCH(V108,tbl_tampas[CapId],0)),0))</f>
        <v>0</v>
      </c>
      <c r="BL108" s="40">
        <f t="shared" si="65"/>
        <v>0</v>
      </c>
      <c r="BM108" s="33" t="str">
        <f t="shared" si="66"/>
        <v>Sensível ao contacto — outros plásticos</v>
      </c>
      <c r="BN108" s="36">
        <f>IFERROR(IF(INDEX(tbl_metas_art7[Meta_2030],MATCH(BM108,tbl_metas_art7[Categoria_Art7],0))="","",INDEX(tbl_metas_art7[Meta_2030],MATCH(BM108,tbl_metas_art7[Categoria_Art7],0))),"")</f>
        <v>0.1</v>
      </c>
      <c r="BO108" s="40">
        <f t="shared" si="67"/>
        <v>0.1</v>
      </c>
      <c r="BP108" s="33" t="str">
        <f t="shared" si="68"/>
        <v>Não</v>
      </c>
      <c r="BQ108" s="33" t="str">
        <f t="shared" si="69"/>
        <v>Monomaterial (mesma família)</v>
      </c>
      <c r="BR108" s="37">
        <v>154593</v>
      </c>
      <c r="BS108" s="39">
        <v>2</v>
      </c>
      <c r="BT108" s="26" t="s">
        <v>847</v>
      </c>
      <c r="BU108" s="32">
        <f t="shared" si="70"/>
        <v>4776.9237000000003</v>
      </c>
      <c r="BV108" s="31">
        <f>COUNTIFS(tbl_aplicabilidade[ProductId],B108,tbl_aplicabilidade[Aplicavel],"Sim")</f>
        <v>15</v>
      </c>
      <c r="BW108" s="31">
        <f>COUNTIFS(tbl_aplicabilidade[ProductId],B108,tbl_aplicabilidade[Estado_Resumo],"Lacuna")+COUNTIFS(tbl_aplicabilidade[ProductId],B108,tbl_aplicabilidade[Estado_Resumo],"Não conforme")</f>
        <v>1</v>
      </c>
      <c r="BX108" s="41">
        <v>46287</v>
      </c>
      <c r="BY108" s="42">
        <f t="shared" si="71"/>
        <v>46652</v>
      </c>
      <c r="BZ108" s="26" t="s">
        <v>596</v>
      </c>
      <c r="CA108" s="26" t="s">
        <v>597</v>
      </c>
      <c r="CB108" s="26" t="s">
        <v>598</v>
      </c>
    </row>
    <row r="109" spans="1:80" ht="18" customHeight="1" x14ac:dyDescent="0.3">
      <c r="A109" s="26" t="s">
        <v>853</v>
      </c>
      <c r="B109" s="26" t="s">
        <v>854</v>
      </c>
      <c r="C109" s="26" t="s">
        <v>586</v>
      </c>
      <c r="D109" s="26" t="s">
        <v>844</v>
      </c>
      <c r="E109" s="26" t="s">
        <v>845</v>
      </c>
      <c r="F109" s="26" t="s">
        <v>589</v>
      </c>
      <c r="G109" s="26" t="s">
        <v>850</v>
      </c>
      <c r="H109" s="37">
        <v>500</v>
      </c>
      <c r="I109" s="37">
        <v>137</v>
      </c>
      <c r="J109" s="26" t="s">
        <v>245</v>
      </c>
      <c r="K109" s="33" t="str">
        <f>IFERROR(INDEX(tbl_materiais[Polimero_Base],MATCH(J109,tbl_materiais[Material],0)),"")</f>
        <v>PP</v>
      </c>
      <c r="L109" s="33" t="str">
        <f>IFERROR(INDEX(tbl_materiais[Fluxo_Reciclagem],MATCH(J109,tbl_materiais[Material],0)),"")</f>
        <v>PP rígido</v>
      </c>
      <c r="M109" s="33" t="str">
        <f t="shared" si="54"/>
        <v>PP rígido — frascos, potes e contentores</v>
      </c>
      <c r="N109" s="26" t="s">
        <v>610</v>
      </c>
      <c r="O109" s="26" t="s">
        <v>279</v>
      </c>
      <c r="P109" s="26" t="s">
        <v>611</v>
      </c>
      <c r="Q109" s="29">
        <v>0</v>
      </c>
      <c r="R109" s="35">
        <f>IFERROR(ROUND(INDEX(tbl_materiais[Densidade_g_cm3],MATCH(J109,tbl_materiais[Material],0))+Q109*1.2,3),"")</f>
        <v>0.90500000000000003</v>
      </c>
      <c r="S109" s="26" t="s">
        <v>302</v>
      </c>
      <c r="T109" s="34">
        <v>30.9</v>
      </c>
      <c r="U109" s="26" t="s">
        <v>593</v>
      </c>
      <c r="V109" s="26" t="s">
        <v>507</v>
      </c>
      <c r="W109" s="33" t="str">
        <f>IF(V109="","",IFERROR(INDEX(tbl_tampas[Material],MATCH(V109,tbl_tampas[CapId],0)),""))</f>
        <v>PP-FG</v>
      </c>
      <c r="X109" s="33" t="str">
        <f>IF(V109="","Sem tampa",IFERROR(INDEX(tbl_materiais[Polimero_Base],MATCH(W109,tbl_materiais[Material],0)),""))</f>
        <v>PP</v>
      </c>
      <c r="Y109" s="38">
        <f>IF(V109="",0,IFERROR(INDEX(tbl_tampas[Massa_g],MATCH(V109,tbl_tampas[CapId],0)),0))</f>
        <v>15.9</v>
      </c>
      <c r="Z109" s="26" t="s">
        <v>320</v>
      </c>
      <c r="AA109" s="26" t="s">
        <v>327</v>
      </c>
      <c r="AB109" s="26" t="s">
        <v>342</v>
      </c>
      <c r="AC109" s="29">
        <v>0.4</v>
      </c>
      <c r="AD109" s="27">
        <v>0.64</v>
      </c>
      <c r="AE109" s="26" t="s">
        <v>604</v>
      </c>
      <c r="AF109" s="26" t="s">
        <v>302</v>
      </c>
      <c r="AG109" s="39">
        <v>0</v>
      </c>
      <c r="AH109" s="33" t="str">
        <f t="shared" si="55"/>
        <v>Nenhuma</v>
      </c>
      <c r="AI109" s="27">
        <v>0</v>
      </c>
      <c r="AJ109" s="33" t="str">
        <f>IFERROR(INDEX(tbl_regras_dfr[Classe],MATCH(L109&amp;"|Fluxo de reciclagem|"&amp;L109,tbl_regras_dfr[Chave],0)),"Sem regra")</f>
        <v>A</v>
      </c>
      <c r="AK109" s="33" t="str">
        <f>IF(LEFT(L109,9)="Sem fluxo","—",IFERROR(INDEX(tbl_regras_dfr[Classe],MATCH(L109&amp;"|Cor do corpo|"&amp;O109,tbl_regras_dfr[Chave],0)),"Sem regra"))</f>
        <v>A</v>
      </c>
      <c r="AL109" s="33" t="str">
        <f>IF(LEFT(L109,9)="Sem fluxo","—",IFERROR(INDEX(tbl_regras_dfr[Classe],MATCH(L109&amp;"|Densidade do corpo|"&amp;IF(R109&lt;1,"&lt; 1,0 g/cm³","≥ 1,0 g/cm³"),tbl_regras_dfr[Chave],0)),"Sem regra"))</f>
        <v>A</v>
      </c>
      <c r="AM109" s="33" t="str">
        <f>IF(LEFT(L109,9)="Sem fluxo","—",IFERROR(INDEX(tbl_regras_dfr[Classe],MATCH(L109&amp;"|Barreira / revestimento|"&amp;S109,tbl_regras_dfr[Chave],0)),"Sem regra"))</f>
        <v>A</v>
      </c>
      <c r="AN109" s="33" t="str">
        <f>IF(LEFT(L109,9)="Sem fluxo","—",IFERROR(INDEX(tbl_regras_dfr[Classe],MATCH(L109&amp;"|Material da tampa|"&amp;X109,tbl_regras_dfr[Chave],0)),"Sem regra"))</f>
        <v>A</v>
      </c>
      <c r="AO109" s="33" t="str">
        <f>IF(LEFT(L109,9)="Sem fluxo","—",IFERROR(INDEX(tbl_regras_dfr[Classe],MATCH(L109&amp;"|Vedante / liner|"&amp;Z109,tbl_regras_dfr[Chave],0)),"Sem regra"))</f>
        <v>A</v>
      </c>
      <c r="AP109" s="33" t="str">
        <f>IF(LEFT(L109,9)="Sem fluxo","—",IFERROR(INDEX(tbl_regras_dfr[Classe],MATCH(L109&amp;"|Tipo de rótulo|"&amp;AA109,tbl_regras_dfr[Chave],0)),"Sem regra"))</f>
        <v>A</v>
      </c>
      <c r="AQ109" s="33" t="str">
        <f>IF(LEFT(L109,9)="Sem fluxo","—",IFERROR(INDEX(tbl_regras_dfr[Classe],MATCH(L109&amp;"|Adesivo do rótulo|"&amp;AB109,tbl_regras_dfr[Chave],0)),"Sem regra"))</f>
        <v>A</v>
      </c>
      <c r="AR109" s="33" t="str">
        <f>IF(LEFT(L109,9)="Sem fluxo","—",IFERROR(INDEX(tbl_regras_dfr[Classe],MATCH(L109&amp;"|Cobertura do rótulo|"&amp;IF(AC109&gt;0.7,"&gt; 70% da superfície","≤ 70% da superfície"),tbl_regras_dfr[Chave],0)),"Sem regra"))</f>
        <v>A</v>
      </c>
      <c r="AS109" s="33" t="str">
        <f>IF(LEFT(L109,9)="Sem fluxo","—",IFERROR(INDEX(tbl_regras_dfr[Classe],MATCH(L109&amp;"|Decoração direta|"&amp;AH109,tbl_regras_dfr[Chave],0)),"Sem regra"))</f>
        <v>A</v>
      </c>
      <c r="AT109" s="31">
        <f t="shared" si="56"/>
        <v>1</v>
      </c>
      <c r="AU109" s="33" t="str">
        <f>IF(AT109=0,"",INDEX({"A","B","C","D","E","F"},AT109))</f>
        <v>A</v>
      </c>
      <c r="AV109" s="31">
        <f t="shared" si="57"/>
        <v>0</v>
      </c>
      <c r="AW109" s="33" t="str">
        <f t="shared" si="58"/>
        <v>—</v>
      </c>
      <c r="AX109" s="33" t="str">
        <f>IF(AU109="A","Sem ação — manter o design.",IFERROR(INDEX(tbl_regras_dfr[Recomendacao],MATCH(CHOOSE(MATCH(AU109,AJ109:AS109,0),L109&amp;"|Fluxo de reciclagem|"&amp;L109,L109&amp;"|Cor do corpo|"&amp;O109,L109&amp;"|Densidade do corpo|"&amp;IF(R109&lt;1,"&lt; 1,0 g/cm³","≥ 1,0 g/cm³"),L109&amp;"|Barreira / revestimento|"&amp;S109,L109&amp;"|Material da tampa|"&amp;X109,L109&amp;"|Vedante / liner|"&amp;Z109,L109&amp;"|Tipo de rótulo|"&amp;AA109,L109&amp;"|Adesivo do rótulo|"&amp;AB109,L109&amp;"|Cobertura do rótulo|"&amp;IF(AC109&gt;0.7,"&gt; 70% da superfície","≤ 70% da superfície"),L109&amp;"|Decoração direta|"&amp;AH109),tbl_regras_dfr[Chave],0)),""))</f>
        <v>Sem ação — manter o design.</v>
      </c>
      <c r="AY109" s="38">
        <f t="shared" si="59"/>
        <v>47.44</v>
      </c>
      <c r="AZ109" s="36">
        <f>MIN(IFERROR(INDEX(tbl_regras_dfr[Fracao_Reciclavel],MATCH(L109&amp;"|Fluxo de reciclagem|"&amp;L109,tbl_regras_dfr[Chave],0)),0),IFERROR(INDEX(tbl_regras_dfr[Fracao_Reciclavel],MATCH(L109&amp;"|Cor do corpo|"&amp;O109,tbl_regras_dfr[Chave],0)),0))</f>
        <v>1</v>
      </c>
      <c r="BA109" s="36">
        <f>IFERROR(INDEX(tbl_regras_dfr[Fracao_Reciclavel],MATCH(L109&amp;"|Material da tampa|"&amp;X109,tbl_regras_dfr[Chave],0)),0)</f>
        <v>1</v>
      </c>
      <c r="BB109" s="36">
        <f>IFERROR(INDEX(tbl_regras_dfr[Fracao_Reciclavel],MATCH(L109&amp;"|Tipo de rótulo|"&amp;AA109,tbl_regras_dfr[Chave],0)),0)</f>
        <v>1</v>
      </c>
      <c r="BC109" s="38">
        <f t="shared" si="60"/>
        <v>47.44</v>
      </c>
      <c r="BD109" s="40">
        <f t="shared" si="61"/>
        <v>1</v>
      </c>
      <c r="BE109" s="33" t="str">
        <f>IF(BD109&gt;=INDEX(tbl_param_emb[Valor],MATCH("P-06",tbl_param_emb[ID_Parametro],0)),"A",IF(BD109&gt;=INDEX(tbl_param_emb[Valor],MATCH("P-07",tbl_param_emb[ID_Parametro],0)),"B",IF(BD109&gt;=INDEX(tbl_param_emb[Valor],MATCH("P-08",tbl_param_emb[ID_Parametro],0)),"C","&lt; 70%")))</f>
        <v>A</v>
      </c>
      <c r="BF109" s="33" t="str">
        <f>IF(AU109="F","Não reciclável (F)",INDEX({"A","B","C","Abaixo de C"},MAX(MIN(AT109,4),IF(BE109="A",1,IF(BE109="B",2,IF(BE109="C",3,4))))))</f>
        <v>A</v>
      </c>
      <c r="BG109" s="33" t="str">
        <f t="shared" si="62"/>
        <v>—</v>
      </c>
      <c r="BH109" s="33" t="str">
        <f t="shared" si="63"/>
        <v>Sim</v>
      </c>
      <c r="BI109" s="33" t="str">
        <f t="shared" si="64"/>
        <v>Sim</v>
      </c>
      <c r="BJ109" s="36">
        <f>IFERROR(INDEX(tbl_materiais[Pct_PCR],MATCH(J109,tbl_materiais[Material],0)),0)</f>
        <v>0</v>
      </c>
      <c r="BK109" s="36">
        <f>IF(V109="",0,IFERROR(INDEX(tbl_tampas[Pct_PCR],MATCH(V109,tbl_tampas[CapId],0)),0))</f>
        <v>0</v>
      </c>
      <c r="BL109" s="40">
        <f t="shared" si="65"/>
        <v>0</v>
      </c>
      <c r="BM109" s="33" t="str">
        <f t="shared" si="66"/>
        <v>Sensível ao contacto — outros plásticos</v>
      </c>
      <c r="BN109" s="36">
        <f>IFERROR(IF(INDEX(tbl_metas_art7[Meta_2030],MATCH(BM109,tbl_metas_art7[Categoria_Art7],0))="","",INDEX(tbl_metas_art7[Meta_2030],MATCH(BM109,tbl_metas_art7[Categoria_Art7],0))),"")</f>
        <v>0.1</v>
      </c>
      <c r="BO109" s="40">
        <f t="shared" si="67"/>
        <v>0.1</v>
      </c>
      <c r="BP109" s="33" t="str">
        <f t="shared" si="68"/>
        <v>Não</v>
      </c>
      <c r="BQ109" s="33" t="str">
        <f t="shared" si="69"/>
        <v>Monomaterial (mesma família)</v>
      </c>
      <c r="BR109" s="37">
        <v>167250</v>
      </c>
      <c r="BS109" s="39">
        <v>2</v>
      </c>
      <c r="BT109" s="26" t="s">
        <v>847</v>
      </c>
      <c r="BU109" s="32">
        <f t="shared" si="70"/>
        <v>5168.0249999999996</v>
      </c>
      <c r="BV109" s="31">
        <f>COUNTIFS(tbl_aplicabilidade[ProductId],B109,tbl_aplicabilidade[Aplicavel],"Sim")</f>
        <v>15</v>
      </c>
      <c r="BW109" s="31">
        <f>COUNTIFS(tbl_aplicabilidade[ProductId],B109,tbl_aplicabilidade[Estado_Resumo],"Lacuna")+COUNTIFS(tbl_aplicabilidade[ProductId],B109,tbl_aplicabilidade[Estado_Resumo],"Não conforme")</f>
        <v>1</v>
      </c>
      <c r="BX109" s="41">
        <v>46287</v>
      </c>
      <c r="BY109" s="42">
        <f t="shared" si="71"/>
        <v>46652</v>
      </c>
      <c r="BZ109" s="26" t="s">
        <v>596</v>
      </c>
      <c r="CA109" s="26" t="s">
        <v>597</v>
      </c>
      <c r="CB109" s="26" t="s">
        <v>598</v>
      </c>
    </row>
    <row r="110" spans="1:80" ht="18" customHeight="1" x14ac:dyDescent="0.3">
      <c r="A110" s="26" t="s">
        <v>855</v>
      </c>
      <c r="B110" s="26" t="s">
        <v>856</v>
      </c>
      <c r="C110" s="26" t="s">
        <v>586</v>
      </c>
      <c r="D110" s="26" t="s">
        <v>857</v>
      </c>
      <c r="E110" s="26" t="s">
        <v>858</v>
      </c>
      <c r="F110" s="26" t="s">
        <v>589</v>
      </c>
      <c r="G110" s="26" t="s">
        <v>859</v>
      </c>
      <c r="H110" s="37">
        <v>100</v>
      </c>
      <c r="I110" s="37">
        <v>80</v>
      </c>
      <c r="J110" s="26" t="s">
        <v>246</v>
      </c>
      <c r="K110" s="33" t="str">
        <f>IFERROR(INDEX(tbl_materiais[Polimero_Base],MATCH(J110,tbl_materiais[Material],0)),"")</f>
        <v>PP</v>
      </c>
      <c r="L110" s="33" t="str">
        <f>IFERROR(INDEX(tbl_materiais[Fluxo_Reciclagem],MATCH(J110,tbl_materiais[Material],0)),"")</f>
        <v>PP rígido</v>
      </c>
      <c r="M110" s="33" t="str">
        <f t="shared" si="54"/>
        <v>PP rígido — frascos, potes e contentores</v>
      </c>
      <c r="N110" s="26" t="s">
        <v>860</v>
      </c>
      <c r="O110" s="26" t="s">
        <v>281</v>
      </c>
      <c r="P110" s="26" t="s">
        <v>861</v>
      </c>
      <c r="Q110" s="29">
        <v>0.02</v>
      </c>
      <c r="R110" s="35">
        <f>IFERROR(ROUND(INDEX(tbl_materiais[Densidade_g_cm3],MATCH(J110,tbl_materiais[Material],0))+Q110*1.2,3),"")</f>
        <v>0.92900000000000005</v>
      </c>
      <c r="S110" s="26" t="s">
        <v>302</v>
      </c>
      <c r="T110" s="34">
        <v>10.6</v>
      </c>
      <c r="U110" s="26" t="s">
        <v>593</v>
      </c>
      <c r="V110" s="26" t="s">
        <v>492</v>
      </c>
      <c r="W110" s="33" t="str">
        <f>IF(V110="","",IFERROR(INDEX(tbl_tampas[Material],MATCH(V110,tbl_tampas[CapId],0)),""))</f>
        <v>PP-PG</v>
      </c>
      <c r="X110" s="33" t="str">
        <f>IF(V110="","Sem tampa",IFERROR(INDEX(tbl_materiais[Polimero_Base],MATCH(W110,tbl_materiais[Material],0)),""))</f>
        <v>PP</v>
      </c>
      <c r="Y110" s="38">
        <f>IF(V110="",0,IFERROR(INDEX(tbl_tampas[Massa_g],MATCH(V110,tbl_tampas[CapId],0)),0))</f>
        <v>11.5</v>
      </c>
      <c r="Z110" s="26" t="s">
        <v>319</v>
      </c>
      <c r="AA110" s="26" t="s">
        <v>334</v>
      </c>
      <c r="AB110" s="26" t="s">
        <v>342</v>
      </c>
      <c r="AC110" s="29">
        <v>0.35</v>
      </c>
      <c r="AD110" s="27">
        <v>0.26</v>
      </c>
      <c r="AE110" s="26" t="s">
        <v>604</v>
      </c>
      <c r="AF110" s="26" t="s">
        <v>302</v>
      </c>
      <c r="AG110" s="39">
        <v>0</v>
      </c>
      <c r="AH110" s="33" t="str">
        <f t="shared" si="55"/>
        <v>Nenhuma</v>
      </c>
      <c r="AI110" s="27">
        <v>0</v>
      </c>
      <c r="AJ110" s="33" t="str">
        <f>IFERROR(INDEX(tbl_regras_dfr[Classe],MATCH(L110&amp;"|Fluxo de reciclagem|"&amp;L110,tbl_regras_dfr[Chave],0)),"Sem regra")</f>
        <v>A</v>
      </c>
      <c r="AK110" s="33" t="str">
        <f>IF(LEFT(L110,9)="Sem fluxo","—",IFERROR(INDEX(tbl_regras_dfr[Classe],MATCH(L110&amp;"|Cor do corpo|"&amp;O110,tbl_regras_dfr[Chave],0)),"Sem regra"))</f>
        <v>A</v>
      </c>
      <c r="AL110" s="33" t="str">
        <f>IF(LEFT(L110,9)="Sem fluxo","—",IFERROR(INDEX(tbl_regras_dfr[Classe],MATCH(L110&amp;"|Densidade do corpo|"&amp;IF(R110&lt;1,"&lt; 1,0 g/cm³","≥ 1,0 g/cm³"),tbl_regras_dfr[Chave],0)),"Sem regra"))</f>
        <v>A</v>
      </c>
      <c r="AM110" s="33" t="str">
        <f>IF(LEFT(L110,9)="Sem fluxo","—",IFERROR(INDEX(tbl_regras_dfr[Classe],MATCH(L110&amp;"|Barreira / revestimento|"&amp;S110,tbl_regras_dfr[Chave],0)),"Sem regra"))</f>
        <v>A</v>
      </c>
      <c r="AN110" s="33" t="str">
        <f>IF(LEFT(L110,9)="Sem fluxo","—",IFERROR(INDEX(tbl_regras_dfr[Classe],MATCH(L110&amp;"|Material da tampa|"&amp;X110,tbl_regras_dfr[Chave],0)),"Sem regra"))</f>
        <v>A</v>
      </c>
      <c r="AO110" s="33" t="str">
        <f>IF(LEFT(L110,9)="Sem fluxo","—",IFERROR(INDEX(tbl_regras_dfr[Classe],MATCH(L110&amp;"|Vedante / liner|"&amp;Z110,tbl_regras_dfr[Chave],0)),"Sem regra"))</f>
        <v>A</v>
      </c>
      <c r="AP110" s="33" t="str">
        <f>IF(LEFT(L110,9)="Sem fluxo","—",IFERROR(INDEX(tbl_regras_dfr[Classe],MATCH(L110&amp;"|Tipo de rótulo|"&amp;AA110,tbl_regras_dfr[Chave],0)),"Sem regra"))</f>
        <v>C</v>
      </c>
      <c r="AQ110" s="33" t="str">
        <f>IF(LEFT(L110,9)="Sem fluxo","—",IFERROR(INDEX(tbl_regras_dfr[Classe],MATCH(L110&amp;"|Adesivo do rótulo|"&amp;AB110,tbl_regras_dfr[Chave],0)),"Sem regra"))</f>
        <v>A</v>
      </c>
      <c r="AR110" s="33" t="str">
        <f>IF(LEFT(L110,9)="Sem fluxo","—",IFERROR(INDEX(tbl_regras_dfr[Classe],MATCH(L110&amp;"|Cobertura do rótulo|"&amp;IF(AC110&gt;0.7,"&gt; 70% da superfície","≤ 70% da superfície"),tbl_regras_dfr[Chave],0)),"Sem regra"))</f>
        <v>A</v>
      </c>
      <c r="AS110" s="33" t="str">
        <f>IF(LEFT(L110,9)="Sem fluxo","—",IFERROR(INDEX(tbl_regras_dfr[Classe],MATCH(L110&amp;"|Decoração direta|"&amp;AH110,tbl_regras_dfr[Chave],0)),"Sem regra"))</f>
        <v>A</v>
      </c>
      <c r="AT110" s="31">
        <f t="shared" si="56"/>
        <v>3</v>
      </c>
      <c r="AU110" s="33" t="str">
        <f>IF(AT110=0,"",INDEX({"A","B","C","D","E","F"},AT110))</f>
        <v>C</v>
      </c>
      <c r="AV110" s="31">
        <f t="shared" si="57"/>
        <v>0</v>
      </c>
      <c r="AW110" s="33" t="str">
        <f t="shared" si="58"/>
        <v>Rotulo</v>
      </c>
      <c r="AX110" s="33" t="str">
        <f>IF(AU110="A","Sem ação — manter o design.",IFERROR(INDEX(tbl_regras_dfr[Recomendacao],MATCH(CHOOSE(MATCH(AU110,AJ110:AS110,0),L110&amp;"|Fluxo de reciclagem|"&amp;L110,L110&amp;"|Cor do corpo|"&amp;O110,L110&amp;"|Densidade do corpo|"&amp;IF(R110&lt;1,"&lt; 1,0 g/cm³","≥ 1,0 g/cm³"),L110&amp;"|Barreira / revestimento|"&amp;S110,L110&amp;"|Material da tampa|"&amp;X110,L110&amp;"|Vedante / liner|"&amp;Z110,L110&amp;"|Tipo de rótulo|"&amp;AA110,L110&amp;"|Adesivo do rótulo|"&amp;AB110,L110&amp;"|Cobertura do rótulo|"&amp;IF(AC110&gt;0.7,"&gt; 70% da superfície","≤ 70% da superfície"),L110&amp;"|Decoração direta|"&amp;AH110),tbl_regras_dfr[Chave],0)),""))</f>
        <v>Usar rótulo de PE/PP.</v>
      </c>
      <c r="AY110" s="38">
        <f t="shared" si="59"/>
        <v>22.360000000000003</v>
      </c>
      <c r="AZ110" s="36">
        <f>MIN(IFERROR(INDEX(tbl_regras_dfr[Fracao_Reciclavel],MATCH(L110&amp;"|Fluxo de reciclagem|"&amp;L110,tbl_regras_dfr[Chave],0)),0),IFERROR(INDEX(tbl_regras_dfr[Fracao_Reciclavel],MATCH(L110&amp;"|Cor do corpo|"&amp;O110,tbl_regras_dfr[Chave],0)),0))</f>
        <v>1</v>
      </c>
      <c r="BA110" s="36">
        <f>IFERROR(INDEX(tbl_regras_dfr[Fracao_Reciclavel],MATCH(L110&amp;"|Material da tampa|"&amp;X110,tbl_regras_dfr[Chave],0)),0)</f>
        <v>1</v>
      </c>
      <c r="BB110" s="36">
        <f>IFERROR(INDEX(tbl_regras_dfr[Fracao_Reciclavel],MATCH(L110&amp;"|Tipo de rótulo|"&amp;AA110,tbl_regras_dfr[Chave],0)),0)</f>
        <v>0</v>
      </c>
      <c r="BC110" s="38">
        <f t="shared" si="60"/>
        <v>22.1</v>
      </c>
      <c r="BD110" s="40">
        <f t="shared" si="61"/>
        <v>0.98837209302325579</v>
      </c>
      <c r="BE110" s="33" t="str">
        <f>IF(BD110&gt;=INDEX(tbl_param_emb[Valor],MATCH("P-06",tbl_param_emb[ID_Parametro],0)),"A",IF(BD110&gt;=INDEX(tbl_param_emb[Valor],MATCH("P-07",tbl_param_emb[ID_Parametro],0)),"B",IF(BD110&gt;=INDEX(tbl_param_emb[Valor],MATCH("P-08",tbl_param_emb[ID_Parametro],0)),"C","&lt; 70%")))</f>
        <v>A</v>
      </c>
      <c r="BF110" s="33" t="str">
        <f>IF(AU110="F","Não reciclável (F)",INDEX({"A","B","C","Abaixo de C"},MAX(MIN(AT110,4),IF(BE110="A",1,IF(BE110="B",2,IF(BE110="C",3,4))))))</f>
        <v>C</v>
      </c>
      <c r="BG110" s="33" t="str">
        <f t="shared" si="62"/>
        <v>Isento até 2035</v>
      </c>
      <c r="BH110" s="33" t="str">
        <f t="shared" si="63"/>
        <v>Isento até 2035</v>
      </c>
      <c r="BI110" s="33" t="str">
        <f t="shared" si="64"/>
        <v>Isento até 2035</v>
      </c>
      <c r="BJ110" s="36">
        <f>IFERROR(INDEX(tbl_materiais[Pct_PCR],MATCH(J110,tbl_materiais[Material],0)),0)</f>
        <v>0</v>
      </c>
      <c r="BK110" s="36">
        <f>IF(V110="",0,IFERROR(INDEX(tbl_tampas[Pct_PCR],MATCH(V110,tbl_tampas[CapId],0)),0))</f>
        <v>0</v>
      </c>
      <c r="BL110" s="40">
        <f t="shared" si="65"/>
        <v>0</v>
      </c>
      <c r="BM110" s="33" t="str">
        <f t="shared" si="66"/>
        <v>Isenta — medicamentos (art. 7.º)</v>
      </c>
      <c r="BN110" s="36" t="str">
        <f>IFERROR(IF(INDEX(tbl_metas_art7[Meta_2030],MATCH(BM110,tbl_metas_art7[Categoria_Art7],0))="","",INDEX(tbl_metas_art7[Meta_2030],MATCH(BM110,tbl_metas_art7[Categoria_Art7],0))),"")</f>
        <v/>
      </c>
      <c r="BO110" s="40" t="str">
        <f t="shared" si="67"/>
        <v/>
      </c>
      <c r="BP110" s="33" t="str">
        <f t="shared" si="68"/>
        <v>Isento</v>
      </c>
      <c r="BQ110" s="33" t="str">
        <f t="shared" si="69"/>
        <v>Multimaterial</v>
      </c>
      <c r="BR110" s="37">
        <v>165996</v>
      </c>
      <c r="BS110" s="39">
        <v>2</v>
      </c>
      <c r="BT110" s="26" t="s">
        <v>496</v>
      </c>
      <c r="BU110" s="32">
        <f t="shared" si="70"/>
        <v>1759.5575999999999</v>
      </c>
      <c r="BV110" s="31">
        <f>COUNTIFS(tbl_aplicabilidade[ProductId],B110,tbl_aplicabilidade[Aplicavel],"Sim")</f>
        <v>13</v>
      </c>
      <c r="BW110" s="31">
        <f>COUNTIFS(tbl_aplicabilidade[ProductId],B110,tbl_aplicabilidade[Estado_Resumo],"Lacuna")+COUNTIFS(tbl_aplicabilidade[ProductId],B110,tbl_aplicabilidade[Estado_Resumo],"Não conforme")</f>
        <v>2</v>
      </c>
      <c r="BX110" s="41">
        <v>46287</v>
      </c>
      <c r="BY110" s="42">
        <f t="shared" si="71"/>
        <v>46652</v>
      </c>
      <c r="BZ110" s="26" t="s">
        <v>596</v>
      </c>
      <c r="CA110" s="26" t="s">
        <v>597</v>
      </c>
      <c r="CB110" s="26" t="s">
        <v>598</v>
      </c>
    </row>
    <row r="111" spans="1:80" ht="18" customHeight="1" x14ac:dyDescent="0.3">
      <c r="A111" s="26" t="s">
        <v>862</v>
      </c>
      <c r="B111" s="26" t="s">
        <v>863</v>
      </c>
      <c r="C111" s="26" t="s">
        <v>586</v>
      </c>
      <c r="D111" s="26" t="s">
        <v>857</v>
      </c>
      <c r="E111" s="26" t="s">
        <v>858</v>
      </c>
      <c r="F111" s="26" t="s">
        <v>589</v>
      </c>
      <c r="G111" s="26" t="s">
        <v>864</v>
      </c>
      <c r="H111" s="37">
        <v>100</v>
      </c>
      <c r="I111" s="37">
        <v>80</v>
      </c>
      <c r="J111" s="26" t="s">
        <v>254</v>
      </c>
      <c r="K111" s="33" t="str">
        <f>IFERROR(INDEX(tbl_materiais[Polimero_Base],MATCH(J111,tbl_materiais[Material],0)),"")</f>
        <v>PET</v>
      </c>
      <c r="L111" s="33" t="str">
        <f>IFERROR(INDEX(tbl_materiais[Fluxo_Reciclagem],MATCH(J111,tbl_materiais[Material],0)),"")</f>
        <v>PET frascos e garrafas</v>
      </c>
      <c r="M111" s="33" t="str">
        <f t="shared" si="54"/>
        <v>PET — garrafas/frascos transparentes incolores</v>
      </c>
      <c r="N111" s="26" t="s">
        <v>610</v>
      </c>
      <c r="O111" s="26" t="s">
        <v>279</v>
      </c>
      <c r="P111" s="26" t="s">
        <v>611</v>
      </c>
      <c r="Q111" s="29">
        <v>0</v>
      </c>
      <c r="R111" s="35">
        <f>IFERROR(ROUND(INDEX(tbl_materiais[Densidade_g_cm3],MATCH(J111,tbl_materiais[Material],0))+Q111*1.2,3),"")</f>
        <v>1.38</v>
      </c>
      <c r="S111" s="26" t="s">
        <v>302</v>
      </c>
      <c r="T111" s="34">
        <v>10.6</v>
      </c>
      <c r="U111" s="26" t="s">
        <v>593</v>
      </c>
      <c r="V111" s="26" t="s">
        <v>492</v>
      </c>
      <c r="W111" s="33" t="str">
        <f>IF(V111="","",IFERROR(INDEX(tbl_tampas[Material],MATCH(V111,tbl_tampas[CapId],0)),""))</f>
        <v>PP-PG</v>
      </c>
      <c r="X111" s="33" t="str">
        <f>IF(V111="","Sem tampa",IFERROR(INDEX(tbl_materiais[Polimero_Base],MATCH(W111,tbl_materiais[Material],0)),""))</f>
        <v>PP</v>
      </c>
      <c r="Y111" s="38">
        <f>IF(V111="",0,IFERROR(INDEX(tbl_tampas[Massa_g],MATCH(V111,tbl_tampas[CapId],0)),0))</f>
        <v>11.5</v>
      </c>
      <c r="Z111" s="26" t="s">
        <v>319</v>
      </c>
      <c r="AA111" s="26" t="s">
        <v>334</v>
      </c>
      <c r="AB111" s="26" t="s">
        <v>342</v>
      </c>
      <c r="AC111" s="29">
        <v>0.35</v>
      </c>
      <c r="AD111" s="27">
        <v>0.26</v>
      </c>
      <c r="AE111" s="26" t="s">
        <v>604</v>
      </c>
      <c r="AF111" s="26" t="s">
        <v>302</v>
      </c>
      <c r="AG111" s="39">
        <v>0</v>
      </c>
      <c r="AH111" s="33" t="str">
        <f t="shared" si="55"/>
        <v>Nenhuma</v>
      </c>
      <c r="AI111" s="27">
        <v>0</v>
      </c>
      <c r="AJ111" s="33" t="str">
        <f>IFERROR(INDEX(tbl_regras_dfr[Classe],MATCH(L111&amp;"|Fluxo de reciclagem|"&amp;L111,tbl_regras_dfr[Chave],0)),"Sem regra")</f>
        <v>A</v>
      </c>
      <c r="AK111" s="33" t="str">
        <f>IF(LEFT(L111,9)="Sem fluxo","—",IFERROR(INDEX(tbl_regras_dfr[Classe],MATCH(L111&amp;"|Cor do corpo|"&amp;O111,tbl_regras_dfr[Chave],0)),"Sem regra"))</f>
        <v>A</v>
      </c>
      <c r="AL111" s="33" t="str">
        <f>IF(LEFT(L111,9)="Sem fluxo","—",IFERROR(INDEX(tbl_regras_dfr[Classe],MATCH(L111&amp;"|Densidade do corpo|"&amp;IF(R111&lt;1,"&lt; 1,0 g/cm³","≥ 1,0 g/cm³"),tbl_regras_dfr[Chave],0)),"Sem regra"))</f>
        <v>A</v>
      </c>
      <c r="AM111" s="33" t="str">
        <f>IF(LEFT(L111,9)="Sem fluxo","—",IFERROR(INDEX(tbl_regras_dfr[Classe],MATCH(L111&amp;"|Barreira / revestimento|"&amp;S111,tbl_regras_dfr[Chave],0)),"Sem regra"))</f>
        <v>A</v>
      </c>
      <c r="AN111" s="33" t="str">
        <f>IF(LEFT(L111,9)="Sem fluxo","—",IFERROR(INDEX(tbl_regras_dfr[Classe],MATCH(L111&amp;"|Material da tampa|"&amp;X111,tbl_regras_dfr[Chave],0)),"Sem regra"))</f>
        <v>A</v>
      </c>
      <c r="AO111" s="33" t="str">
        <f>IF(LEFT(L111,9)="Sem fluxo","—",IFERROR(INDEX(tbl_regras_dfr[Classe],MATCH(L111&amp;"|Vedante / liner|"&amp;Z111,tbl_regras_dfr[Chave],0)),"Sem regra"))</f>
        <v>A</v>
      </c>
      <c r="AP111" s="33" t="str">
        <f>IF(LEFT(L111,9)="Sem fluxo","—",IFERROR(INDEX(tbl_regras_dfr[Classe],MATCH(L111&amp;"|Tipo de rótulo|"&amp;AA111,tbl_regras_dfr[Chave],0)),"Sem regra"))</f>
        <v>C</v>
      </c>
      <c r="AQ111" s="33" t="str">
        <f>IF(LEFT(L111,9)="Sem fluxo","—",IFERROR(INDEX(tbl_regras_dfr[Classe],MATCH(L111&amp;"|Adesivo do rótulo|"&amp;AB111,tbl_regras_dfr[Chave],0)),"Sem regra"))</f>
        <v>C</v>
      </c>
      <c r="AR111" s="33" t="str">
        <f>IF(LEFT(L111,9)="Sem fluxo","—",IFERROR(INDEX(tbl_regras_dfr[Classe],MATCH(L111&amp;"|Cobertura do rótulo|"&amp;IF(AC111&gt;0.7,"&gt; 70% da superfície","≤ 70% da superfície"),tbl_regras_dfr[Chave],0)),"Sem regra"))</f>
        <v>A</v>
      </c>
      <c r="AS111" s="33" t="str">
        <f>IF(LEFT(L111,9)="Sem fluxo","—",IFERROR(INDEX(tbl_regras_dfr[Classe],MATCH(L111&amp;"|Decoração direta|"&amp;AH111,tbl_regras_dfr[Chave],0)),"Sem regra"))</f>
        <v>A</v>
      </c>
      <c r="AT111" s="31">
        <f t="shared" si="56"/>
        <v>3</v>
      </c>
      <c r="AU111" s="33" t="str">
        <f>IF(AT111=0,"",INDEX({"A","B","C","D","E","F"},AT111))</f>
        <v>C</v>
      </c>
      <c r="AV111" s="31">
        <f t="shared" si="57"/>
        <v>0</v>
      </c>
      <c r="AW111" s="33" t="str">
        <f t="shared" si="58"/>
        <v>Rotulo</v>
      </c>
      <c r="AX111" s="33" t="str">
        <f>IF(AU111="A","Sem ação — manter o design.",IFERROR(INDEX(tbl_regras_dfr[Recomendacao],MATCH(CHOOSE(MATCH(AU111,AJ111:AS111,0),L111&amp;"|Fluxo de reciclagem|"&amp;L111,L111&amp;"|Cor do corpo|"&amp;O111,L111&amp;"|Densidade do corpo|"&amp;IF(R111&lt;1,"&lt; 1,0 g/cm³","≥ 1,0 g/cm³"),L111&amp;"|Barreira / revestimento|"&amp;S111,L111&amp;"|Material da tampa|"&amp;X111,L111&amp;"|Vedante / liner|"&amp;Z111,L111&amp;"|Tipo de rótulo|"&amp;AA111,L111&amp;"|Adesivo do rótulo|"&amp;AB111,L111&amp;"|Cobertura do rótulo|"&amp;IF(AC111&gt;0.7,"&gt; 70% da superfície","≤ 70% da superfície"),L111&amp;"|Decoração direta|"&amp;AH111),tbl_regras_dfr[Chave],0)),""))</f>
        <v>Usar rótulo de PE/PP com adesivo lavável.</v>
      </c>
      <c r="AY111" s="38">
        <f t="shared" si="59"/>
        <v>22.360000000000003</v>
      </c>
      <c r="AZ111" s="36">
        <f>MIN(IFERROR(INDEX(tbl_regras_dfr[Fracao_Reciclavel],MATCH(L111&amp;"|Fluxo de reciclagem|"&amp;L111,tbl_regras_dfr[Chave],0)),0),IFERROR(INDEX(tbl_regras_dfr[Fracao_Reciclavel],MATCH(L111&amp;"|Cor do corpo|"&amp;O111,tbl_regras_dfr[Chave],0)),0))</f>
        <v>1</v>
      </c>
      <c r="BA111" s="36">
        <f>IFERROR(INDEX(tbl_regras_dfr[Fracao_Reciclavel],MATCH(L111&amp;"|Material da tampa|"&amp;X111,tbl_regras_dfr[Chave],0)),0)</f>
        <v>1</v>
      </c>
      <c r="BB111" s="36">
        <f>IFERROR(INDEX(tbl_regras_dfr[Fracao_Reciclavel],MATCH(L111&amp;"|Tipo de rótulo|"&amp;AA111,tbl_regras_dfr[Chave],0)),0)</f>
        <v>0</v>
      </c>
      <c r="BC111" s="38">
        <f t="shared" si="60"/>
        <v>22.1</v>
      </c>
      <c r="BD111" s="40">
        <f t="shared" si="61"/>
        <v>0.98837209302325579</v>
      </c>
      <c r="BE111" s="33" t="str">
        <f>IF(BD111&gt;=INDEX(tbl_param_emb[Valor],MATCH("P-06",tbl_param_emb[ID_Parametro],0)),"A",IF(BD111&gt;=INDEX(tbl_param_emb[Valor],MATCH("P-07",tbl_param_emb[ID_Parametro],0)),"B",IF(BD111&gt;=INDEX(tbl_param_emb[Valor],MATCH("P-08",tbl_param_emb[ID_Parametro],0)),"C","&lt; 70%")))</f>
        <v>A</v>
      </c>
      <c r="BF111" s="33" t="str">
        <f>IF(AU111="F","Não reciclável (F)",INDEX({"A","B","C","Abaixo de C"},MAX(MIN(AT111,4),IF(BE111="A",1,IF(BE111="B",2,IF(BE111="C",3,4))))))</f>
        <v>C</v>
      </c>
      <c r="BG111" s="33" t="str">
        <f t="shared" si="62"/>
        <v>Isento até 2035</v>
      </c>
      <c r="BH111" s="33" t="str">
        <f t="shared" si="63"/>
        <v>Isento até 2035</v>
      </c>
      <c r="BI111" s="33" t="str">
        <f t="shared" si="64"/>
        <v>Isento até 2035</v>
      </c>
      <c r="BJ111" s="36">
        <f>IFERROR(INDEX(tbl_materiais[Pct_PCR],MATCH(J111,tbl_materiais[Material],0)),0)</f>
        <v>0</v>
      </c>
      <c r="BK111" s="36">
        <f>IF(V111="",0,IFERROR(INDEX(tbl_tampas[Pct_PCR],MATCH(V111,tbl_tampas[CapId],0)),0))</f>
        <v>0</v>
      </c>
      <c r="BL111" s="40">
        <f t="shared" si="65"/>
        <v>0</v>
      </c>
      <c r="BM111" s="33" t="str">
        <f t="shared" si="66"/>
        <v>Isenta — medicamentos (art. 7.º)</v>
      </c>
      <c r="BN111" s="36" t="str">
        <f>IFERROR(IF(INDEX(tbl_metas_art7[Meta_2030],MATCH(BM111,tbl_metas_art7[Categoria_Art7],0))="","",INDEX(tbl_metas_art7[Meta_2030],MATCH(BM111,tbl_metas_art7[Categoria_Art7],0))),"")</f>
        <v/>
      </c>
      <c r="BO111" s="40" t="str">
        <f t="shared" si="67"/>
        <v/>
      </c>
      <c r="BP111" s="33" t="str">
        <f t="shared" si="68"/>
        <v>Isento</v>
      </c>
      <c r="BQ111" s="33" t="str">
        <f t="shared" si="69"/>
        <v>Multimaterial</v>
      </c>
      <c r="BR111" s="37">
        <v>183309</v>
      </c>
      <c r="BS111" s="39">
        <v>2</v>
      </c>
      <c r="BT111" s="26" t="s">
        <v>496</v>
      </c>
      <c r="BU111" s="32">
        <f t="shared" si="70"/>
        <v>1943.0753999999999</v>
      </c>
      <c r="BV111" s="31">
        <f>COUNTIFS(tbl_aplicabilidade[ProductId],B111,tbl_aplicabilidade[Aplicavel],"Sim")</f>
        <v>13</v>
      </c>
      <c r="BW111" s="31">
        <f>COUNTIFS(tbl_aplicabilidade[ProductId],B111,tbl_aplicabilidade[Estado_Resumo],"Lacuna")+COUNTIFS(tbl_aplicabilidade[ProductId],B111,tbl_aplicabilidade[Estado_Resumo],"Não conforme")</f>
        <v>2</v>
      </c>
      <c r="BX111" s="41">
        <v>46287</v>
      </c>
      <c r="BY111" s="42">
        <f t="shared" si="71"/>
        <v>46652</v>
      </c>
      <c r="BZ111" s="26" t="s">
        <v>596</v>
      </c>
      <c r="CA111" s="26" t="s">
        <v>597</v>
      </c>
      <c r="CB111" s="26" t="s">
        <v>598</v>
      </c>
    </row>
    <row r="112" spans="1:80" ht="18" customHeight="1" x14ac:dyDescent="0.3">
      <c r="A112" s="26" t="s">
        <v>865</v>
      </c>
      <c r="B112" s="26" t="s">
        <v>866</v>
      </c>
      <c r="C112" s="26" t="s">
        <v>586</v>
      </c>
      <c r="D112" s="26" t="s">
        <v>857</v>
      </c>
      <c r="E112" s="26" t="s">
        <v>858</v>
      </c>
      <c r="F112" s="26" t="s">
        <v>589</v>
      </c>
      <c r="G112" s="26" t="s">
        <v>859</v>
      </c>
      <c r="H112" s="37">
        <v>250</v>
      </c>
      <c r="I112" s="37">
        <v>108</v>
      </c>
      <c r="J112" s="26" t="s">
        <v>246</v>
      </c>
      <c r="K112" s="33" t="str">
        <f>IFERROR(INDEX(tbl_materiais[Polimero_Base],MATCH(J112,tbl_materiais[Material],0)),"")</f>
        <v>PP</v>
      </c>
      <c r="L112" s="33" t="str">
        <f>IFERROR(INDEX(tbl_materiais[Fluxo_Reciclagem],MATCH(J112,tbl_materiais[Material],0)),"")</f>
        <v>PP rígido</v>
      </c>
      <c r="M112" s="33" t="str">
        <f t="shared" si="54"/>
        <v>PP rígido — frascos, potes e contentores</v>
      </c>
      <c r="N112" s="26" t="s">
        <v>860</v>
      </c>
      <c r="O112" s="26" t="s">
        <v>281</v>
      </c>
      <c r="P112" s="26" t="s">
        <v>861</v>
      </c>
      <c r="Q112" s="29">
        <v>0.02</v>
      </c>
      <c r="R112" s="35">
        <f>IFERROR(ROUND(INDEX(tbl_materiais[Densidade_g_cm3],MATCH(J112,tbl_materiais[Material],0))+Q112*1.2,3),"")</f>
        <v>0.92900000000000005</v>
      </c>
      <c r="S112" s="26" t="s">
        <v>302</v>
      </c>
      <c r="T112" s="34">
        <v>19.5</v>
      </c>
      <c r="U112" s="26" t="s">
        <v>593</v>
      </c>
      <c r="V112" s="26" t="s">
        <v>492</v>
      </c>
      <c r="W112" s="33" t="str">
        <f>IF(V112="","",IFERROR(INDEX(tbl_tampas[Material],MATCH(V112,tbl_tampas[CapId],0)),""))</f>
        <v>PP-PG</v>
      </c>
      <c r="X112" s="33" t="str">
        <f>IF(V112="","Sem tampa",IFERROR(INDEX(tbl_materiais[Polimero_Base],MATCH(W112,tbl_materiais[Material],0)),""))</f>
        <v>PP</v>
      </c>
      <c r="Y112" s="38">
        <f>IF(V112="",0,IFERROR(INDEX(tbl_tampas[Massa_g],MATCH(V112,tbl_tampas[CapId],0)),0))</f>
        <v>11.5</v>
      </c>
      <c r="Z112" s="26" t="s">
        <v>319</v>
      </c>
      <c r="AA112" s="26" t="s">
        <v>334</v>
      </c>
      <c r="AB112" s="26" t="s">
        <v>342</v>
      </c>
      <c r="AC112" s="29">
        <v>0.35</v>
      </c>
      <c r="AD112" s="27">
        <v>0.48</v>
      </c>
      <c r="AE112" s="26" t="s">
        <v>604</v>
      </c>
      <c r="AF112" s="26" t="s">
        <v>302</v>
      </c>
      <c r="AG112" s="39">
        <v>0</v>
      </c>
      <c r="AH112" s="33" t="str">
        <f t="shared" si="55"/>
        <v>Nenhuma</v>
      </c>
      <c r="AI112" s="27">
        <v>0</v>
      </c>
      <c r="AJ112" s="33" t="str">
        <f>IFERROR(INDEX(tbl_regras_dfr[Classe],MATCH(L112&amp;"|Fluxo de reciclagem|"&amp;L112,tbl_regras_dfr[Chave],0)),"Sem regra")</f>
        <v>A</v>
      </c>
      <c r="AK112" s="33" t="str">
        <f>IF(LEFT(L112,9)="Sem fluxo","—",IFERROR(INDEX(tbl_regras_dfr[Classe],MATCH(L112&amp;"|Cor do corpo|"&amp;O112,tbl_regras_dfr[Chave],0)),"Sem regra"))</f>
        <v>A</v>
      </c>
      <c r="AL112" s="33" t="str">
        <f>IF(LEFT(L112,9)="Sem fluxo","—",IFERROR(INDEX(tbl_regras_dfr[Classe],MATCH(L112&amp;"|Densidade do corpo|"&amp;IF(R112&lt;1,"&lt; 1,0 g/cm³","≥ 1,0 g/cm³"),tbl_regras_dfr[Chave],0)),"Sem regra"))</f>
        <v>A</v>
      </c>
      <c r="AM112" s="33" t="str">
        <f>IF(LEFT(L112,9)="Sem fluxo","—",IFERROR(INDEX(tbl_regras_dfr[Classe],MATCH(L112&amp;"|Barreira / revestimento|"&amp;S112,tbl_regras_dfr[Chave],0)),"Sem regra"))</f>
        <v>A</v>
      </c>
      <c r="AN112" s="33" t="str">
        <f>IF(LEFT(L112,9)="Sem fluxo","—",IFERROR(INDEX(tbl_regras_dfr[Classe],MATCH(L112&amp;"|Material da tampa|"&amp;X112,tbl_regras_dfr[Chave],0)),"Sem regra"))</f>
        <v>A</v>
      </c>
      <c r="AO112" s="33" t="str">
        <f>IF(LEFT(L112,9)="Sem fluxo","—",IFERROR(INDEX(tbl_regras_dfr[Classe],MATCH(L112&amp;"|Vedante / liner|"&amp;Z112,tbl_regras_dfr[Chave],0)),"Sem regra"))</f>
        <v>A</v>
      </c>
      <c r="AP112" s="33" t="str">
        <f>IF(LEFT(L112,9)="Sem fluxo","—",IFERROR(INDEX(tbl_regras_dfr[Classe],MATCH(L112&amp;"|Tipo de rótulo|"&amp;AA112,tbl_regras_dfr[Chave],0)),"Sem regra"))</f>
        <v>C</v>
      </c>
      <c r="AQ112" s="33" t="str">
        <f>IF(LEFT(L112,9)="Sem fluxo","—",IFERROR(INDEX(tbl_regras_dfr[Classe],MATCH(L112&amp;"|Adesivo do rótulo|"&amp;AB112,tbl_regras_dfr[Chave],0)),"Sem regra"))</f>
        <v>A</v>
      </c>
      <c r="AR112" s="33" t="str">
        <f>IF(LEFT(L112,9)="Sem fluxo","—",IFERROR(INDEX(tbl_regras_dfr[Classe],MATCH(L112&amp;"|Cobertura do rótulo|"&amp;IF(AC112&gt;0.7,"&gt; 70% da superfície","≤ 70% da superfície"),tbl_regras_dfr[Chave],0)),"Sem regra"))</f>
        <v>A</v>
      </c>
      <c r="AS112" s="33" t="str">
        <f>IF(LEFT(L112,9)="Sem fluxo","—",IFERROR(INDEX(tbl_regras_dfr[Classe],MATCH(L112&amp;"|Decoração direta|"&amp;AH112,tbl_regras_dfr[Chave],0)),"Sem regra"))</f>
        <v>A</v>
      </c>
      <c r="AT112" s="31">
        <f t="shared" si="56"/>
        <v>3</v>
      </c>
      <c r="AU112" s="33" t="str">
        <f>IF(AT112=0,"",INDEX({"A","B","C","D","E","F"},AT112))</f>
        <v>C</v>
      </c>
      <c r="AV112" s="31">
        <f t="shared" si="57"/>
        <v>0</v>
      </c>
      <c r="AW112" s="33" t="str">
        <f t="shared" si="58"/>
        <v>Rotulo</v>
      </c>
      <c r="AX112" s="33" t="str">
        <f>IF(AU112="A","Sem ação — manter o design.",IFERROR(INDEX(tbl_regras_dfr[Recomendacao],MATCH(CHOOSE(MATCH(AU112,AJ112:AS112,0),L112&amp;"|Fluxo de reciclagem|"&amp;L112,L112&amp;"|Cor do corpo|"&amp;O112,L112&amp;"|Densidade do corpo|"&amp;IF(R112&lt;1,"&lt; 1,0 g/cm³","≥ 1,0 g/cm³"),L112&amp;"|Barreira / revestimento|"&amp;S112,L112&amp;"|Material da tampa|"&amp;X112,L112&amp;"|Vedante / liner|"&amp;Z112,L112&amp;"|Tipo de rótulo|"&amp;AA112,L112&amp;"|Adesivo do rótulo|"&amp;AB112,L112&amp;"|Cobertura do rótulo|"&amp;IF(AC112&gt;0.7,"&gt; 70% da superfície","≤ 70% da superfície"),L112&amp;"|Decoração direta|"&amp;AH112),tbl_regras_dfr[Chave],0)),""))</f>
        <v>Usar rótulo de PE/PP.</v>
      </c>
      <c r="AY112" s="38">
        <f t="shared" si="59"/>
        <v>31.48</v>
      </c>
      <c r="AZ112" s="36">
        <f>MIN(IFERROR(INDEX(tbl_regras_dfr[Fracao_Reciclavel],MATCH(L112&amp;"|Fluxo de reciclagem|"&amp;L112,tbl_regras_dfr[Chave],0)),0),IFERROR(INDEX(tbl_regras_dfr[Fracao_Reciclavel],MATCH(L112&amp;"|Cor do corpo|"&amp;O112,tbl_regras_dfr[Chave],0)),0))</f>
        <v>1</v>
      </c>
      <c r="BA112" s="36">
        <f>IFERROR(INDEX(tbl_regras_dfr[Fracao_Reciclavel],MATCH(L112&amp;"|Material da tampa|"&amp;X112,tbl_regras_dfr[Chave],0)),0)</f>
        <v>1</v>
      </c>
      <c r="BB112" s="36">
        <f>IFERROR(INDEX(tbl_regras_dfr[Fracao_Reciclavel],MATCH(L112&amp;"|Tipo de rótulo|"&amp;AA112,tbl_regras_dfr[Chave],0)),0)</f>
        <v>0</v>
      </c>
      <c r="BC112" s="38">
        <f t="shared" si="60"/>
        <v>31</v>
      </c>
      <c r="BD112" s="40">
        <f t="shared" si="61"/>
        <v>0.98475222363405335</v>
      </c>
      <c r="BE112" s="33" t="str">
        <f>IF(BD112&gt;=INDEX(tbl_param_emb[Valor],MATCH("P-06",tbl_param_emb[ID_Parametro],0)),"A",IF(BD112&gt;=INDEX(tbl_param_emb[Valor],MATCH("P-07",tbl_param_emb[ID_Parametro],0)),"B",IF(BD112&gt;=INDEX(tbl_param_emb[Valor],MATCH("P-08",tbl_param_emb[ID_Parametro],0)),"C","&lt; 70%")))</f>
        <v>A</v>
      </c>
      <c r="BF112" s="33" t="str">
        <f>IF(AU112="F","Não reciclável (F)",INDEX({"A","B","C","Abaixo de C"},MAX(MIN(AT112,4),IF(BE112="A",1,IF(BE112="B",2,IF(BE112="C",3,4))))))</f>
        <v>C</v>
      </c>
      <c r="BG112" s="33" t="str">
        <f t="shared" si="62"/>
        <v>Isento até 2035</v>
      </c>
      <c r="BH112" s="33" t="str">
        <f t="shared" si="63"/>
        <v>Isento até 2035</v>
      </c>
      <c r="BI112" s="33" t="str">
        <f t="shared" si="64"/>
        <v>Isento até 2035</v>
      </c>
      <c r="BJ112" s="36">
        <f>IFERROR(INDEX(tbl_materiais[Pct_PCR],MATCH(J112,tbl_materiais[Material],0)),0)</f>
        <v>0</v>
      </c>
      <c r="BK112" s="36">
        <f>IF(V112="",0,IFERROR(INDEX(tbl_tampas[Pct_PCR],MATCH(V112,tbl_tampas[CapId],0)),0))</f>
        <v>0</v>
      </c>
      <c r="BL112" s="40">
        <f t="shared" si="65"/>
        <v>0</v>
      </c>
      <c r="BM112" s="33" t="str">
        <f t="shared" si="66"/>
        <v>Isenta — medicamentos (art. 7.º)</v>
      </c>
      <c r="BN112" s="36" t="str">
        <f>IFERROR(IF(INDEX(tbl_metas_art7[Meta_2030],MATCH(BM112,tbl_metas_art7[Categoria_Art7],0))="","",INDEX(tbl_metas_art7[Meta_2030],MATCH(BM112,tbl_metas_art7[Categoria_Art7],0))),"")</f>
        <v/>
      </c>
      <c r="BO112" s="40" t="str">
        <f t="shared" si="67"/>
        <v/>
      </c>
      <c r="BP112" s="33" t="str">
        <f t="shared" si="68"/>
        <v>Isento</v>
      </c>
      <c r="BQ112" s="33" t="str">
        <f t="shared" si="69"/>
        <v>Multimaterial</v>
      </c>
      <c r="BR112" s="37">
        <v>102650</v>
      </c>
      <c r="BS112" s="39">
        <v>2</v>
      </c>
      <c r="BT112" s="26" t="s">
        <v>496</v>
      </c>
      <c r="BU112" s="32">
        <f t="shared" si="70"/>
        <v>2001.675</v>
      </c>
      <c r="BV112" s="31">
        <f>COUNTIFS(tbl_aplicabilidade[ProductId],B112,tbl_aplicabilidade[Aplicavel],"Sim")</f>
        <v>13</v>
      </c>
      <c r="BW112" s="31">
        <f>COUNTIFS(tbl_aplicabilidade[ProductId],B112,tbl_aplicabilidade[Estado_Resumo],"Lacuna")+COUNTIFS(tbl_aplicabilidade[ProductId],B112,tbl_aplicabilidade[Estado_Resumo],"Não conforme")</f>
        <v>2</v>
      </c>
      <c r="BX112" s="41">
        <v>46287</v>
      </c>
      <c r="BY112" s="42">
        <f t="shared" si="71"/>
        <v>46652</v>
      </c>
      <c r="BZ112" s="26" t="s">
        <v>596</v>
      </c>
      <c r="CA112" s="26" t="s">
        <v>597</v>
      </c>
      <c r="CB112" s="26" t="s">
        <v>598</v>
      </c>
    </row>
    <row r="113" spans="1:80" ht="18" customHeight="1" x14ac:dyDescent="0.3">
      <c r="A113" s="26" t="s">
        <v>867</v>
      </c>
      <c r="B113" s="26" t="s">
        <v>868</v>
      </c>
      <c r="C113" s="26" t="s">
        <v>586</v>
      </c>
      <c r="D113" s="26" t="s">
        <v>857</v>
      </c>
      <c r="E113" s="26" t="s">
        <v>858</v>
      </c>
      <c r="F113" s="26" t="s">
        <v>589</v>
      </c>
      <c r="G113" s="26" t="s">
        <v>864</v>
      </c>
      <c r="H113" s="37">
        <v>250</v>
      </c>
      <c r="I113" s="37">
        <v>108</v>
      </c>
      <c r="J113" s="26" t="s">
        <v>254</v>
      </c>
      <c r="K113" s="33" t="str">
        <f>IFERROR(INDEX(tbl_materiais[Polimero_Base],MATCH(J113,tbl_materiais[Material],0)),"")</f>
        <v>PET</v>
      </c>
      <c r="L113" s="33" t="str">
        <f>IFERROR(INDEX(tbl_materiais[Fluxo_Reciclagem],MATCH(J113,tbl_materiais[Material],0)),"")</f>
        <v>PET frascos e garrafas</v>
      </c>
      <c r="M113" s="33" t="str">
        <f t="shared" si="54"/>
        <v>PET — garrafas/frascos transparentes incolores</v>
      </c>
      <c r="N113" s="26" t="s">
        <v>610</v>
      </c>
      <c r="O113" s="26" t="s">
        <v>279</v>
      </c>
      <c r="P113" s="26" t="s">
        <v>611</v>
      </c>
      <c r="Q113" s="29">
        <v>0</v>
      </c>
      <c r="R113" s="35">
        <f>IFERROR(ROUND(INDEX(tbl_materiais[Densidade_g_cm3],MATCH(J113,tbl_materiais[Material],0))+Q113*1.2,3),"")</f>
        <v>1.38</v>
      </c>
      <c r="S113" s="26" t="s">
        <v>302</v>
      </c>
      <c r="T113" s="34">
        <v>19.5</v>
      </c>
      <c r="U113" s="26" t="s">
        <v>593</v>
      </c>
      <c r="V113" s="26" t="s">
        <v>492</v>
      </c>
      <c r="W113" s="33" t="str">
        <f>IF(V113="","",IFERROR(INDEX(tbl_tampas[Material],MATCH(V113,tbl_tampas[CapId],0)),""))</f>
        <v>PP-PG</v>
      </c>
      <c r="X113" s="33" t="str">
        <f>IF(V113="","Sem tampa",IFERROR(INDEX(tbl_materiais[Polimero_Base],MATCH(W113,tbl_materiais[Material],0)),""))</f>
        <v>PP</v>
      </c>
      <c r="Y113" s="38">
        <f>IF(V113="",0,IFERROR(INDEX(tbl_tampas[Massa_g],MATCH(V113,tbl_tampas[CapId],0)),0))</f>
        <v>11.5</v>
      </c>
      <c r="Z113" s="26" t="s">
        <v>319</v>
      </c>
      <c r="AA113" s="26" t="s">
        <v>334</v>
      </c>
      <c r="AB113" s="26" t="s">
        <v>342</v>
      </c>
      <c r="AC113" s="29">
        <v>0.35</v>
      </c>
      <c r="AD113" s="27">
        <v>0.48</v>
      </c>
      <c r="AE113" s="26" t="s">
        <v>604</v>
      </c>
      <c r="AF113" s="26" t="s">
        <v>302</v>
      </c>
      <c r="AG113" s="39">
        <v>0</v>
      </c>
      <c r="AH113" s="33" t="str">
        <f t="shared" si="55"/>
        <v>Nenhuma</v>
      </c>
      <c r="AI113" s="27">
        <v>0</v>
      </c>
      <c r="AJ113" s="33" t="str">
        <f>IFERROR(INDEX(tbl_regras_dfr[Classe],MATCH(L113&amp;"|Fluxo de reciclagem|"&amp;L113,tbl_regras_dfr[Chave],0)),"Sem regra")</f>
        <v>A</v>
      </c>
      <c r="AK113" s="33" t="str">
        <f>IF(LEFT(L113,9)="Sem fluxo","—",IFERROR(INDEX(tbl_regras_dfr[Classe],MATCH(L113&amp;"|Cor do corpo|"&amp;O113,tbl_regras_dfr[Chave],0)),"Sem regra"))</f>
        <v>A</v>
      </c>
      <c r="AL113" s="33" t="str">
        <f>IF(LEFT(L113,9)="Sem fluxo","—",IFERROR(INDEX(tbl_regras_dfr[Classe],MATCH(L113&amp;"|Densidade do corpo|"&amp;IF(R113&lt;1,"&lt; 1,0 g/cm³","≥ 1,0 g/cm³"),tbl_regras_dfr[Chave],0)),"Sem regra"))</f>
        <v>A</v>
      </c>
      <c r="AM113" s="33" t="str">
        <f>IF(LEFT(L113,9)="Sem fluxo","—",IFERROR(INDEX(tbl_regras_dfr[Classe],MATCH(L113&amp;"|Barreira / revestimento|"&amp;S113,tbl_regras_dfr[Chave],0)),"Sem regra"))</f>
        <v>A</v>
      </c>
      <c r="AN113" s="33" t="str">
        <f>IF(LEFT(L113,9)="Sem fluxo","—",IFERROR(INDEX(tbl_regras_dfr[Classe],MATCH(L113&amp;"|Material da tampa|"&amp;X113,tbl_regras_dfr[Chave],0)),"Sem regra"))</f>
        <v>A</v>
      </c>
      <c r="AO113" s="33" t="str">
        <f>IF(LEFT(L113,9)="Sem fluxo","—",IFERROR(INDEX(tbl_regras_dfr[Classe],MATCH(L113&amp;"|Vedante / liner|"&amp;Z113,tbl_regras_dfr[Chave],0)),"Sem regra"))</f>
        <v>A</v>
      </c>
      <c r="AP113" s="33" t="str">
        <f>IF(LEFT(L113,9)="Sem fluxo","—",IFERROR(INDEX(tbl_regras_dfr[Classe],MATCH(L113&amp;"|Tipo de rótulo|"&amp;AA113,tbl_regras_dfr[Chave],0)),"Sem regra"))</f>
        <v>C</v>
      </c>
      <c r="AQ113" s="33" t="str">
        <f>IF(LEFT(L113,9)="Sem fluxo","—",IFERROR(INDEX(tbl_regras_dfr[Classe],MATCH(L113&amp;"|Adesivo do rótulo|"&amp;AB113,tbl_regras_dfr[Chave],0)),"Sem regra"))</f>
        <v>C</v>
      </c>
      <c r="AR113" s="33" t="str">
        <f>IF(LEFT(L113,9)="Sem fluxo","—",IFERROR(INDEX(tbl_regras_dfr[Classe],MATCH(L113&amp;"|Cobertura do rótulo|"&amp;IF(AC113&gt;0.7,"&gt; 70% da superfície","≤ 70% da superfície"),tbl_regras_dfr[Chave],0)),"Sem regra"))</f>
        <v>A</v>
      </c>
      <c r="AS113" s="33" t="str">
        <f>IF(LEFT(L113,9)="Sem fluxo","—",IFERROR(INDEX(tbl_regras_dfr[Classe],MATCH(L113&amp;"|Decoração direta|"&amp;AH113,tbl_regras_dfr[Chave],0)),"Sem regra"))</f>
        <v>A</v>
      </c>
      <c r="AT113" s="31">
        <f t="shared" si="56"/>
        <v>3</v>
      </c>
      <c r="AU113" s="33" t="str">
        <f>IF(AT113=0,"",INDEX({"A","B","C","D","E","F"},AT113))</f>
        <v>C</v>
      </c>
      <c r="AV113" s="31">
        <f t="shared" si="57"/>
        <v>0</v>
      </c>
      <c r="AW113" s="33" t="str">
        <f t="shared" si="58"/>
        <v>Rotulo</v>
      </c>
      <c r="AX113" s="33" t="str">
        <f>IF(AU113="A","Sem ação — manter o design.",IFERROR(INDEX(tbl_regras_dfr[Recomendacao],MATCH(CHOOSE(MATCH(AU113,AJ113:AS113,0),L113&amp;"|Fluxo de reciclagem|"&amp;L113,L113&amp;"|Cor do corpo|"&amp;O113,L113&amp;"|Densidade do corpo|"&amp;IF(R113&lt;1,"&lt; 1,0 g/cm³","≥ 1,0 g/cm³"),L113&amp;"|Barreira / revestimento|"&amp;S113,L113&amp;"|Material da tampa|"&amp;X113,L113&amp;"|Vedante / liner|"&amp;Z113,L113&amp;"|Tipo de rótulo|"&amp;AA113,L113&amp;"|Adesivo do rótulo|"&amp;AB113,L113&amp;"|Cobertura do rótulo|"&amp;IF(AC113&gt;0.7,"&gt; 70% da superfície","≤ 70% da superfície"),L113&amp;"|Decoração direta|"&amp;AH113),tbl_regras_dfr[Chave],0)),""))</f>
        <v>Usar rótulo de PE/PP com adesivo lavável.</v>
      </c>
      <c r="AY113" s="38">
        <f t="shared" si="59"/>
        <v>31.48</v>
      </c>
      <c r="AZ113" s="36">
        <f>MIN(IFERROR(INDEX(tbl_regras_dfr[Fracao_Reciclavel],MATCH(L113&amp;"|Fluxo de reciclagem|"&amp;L113,tbl_regras_dfr[Chave],0)),0),IFERROR(INDEX(tbl_regras_dfr[Fracao_Reciclavel],MATCH(L113&amp;"|Cor do corpo|"&amp;O113,tbl_regras_dfr[Chave],0)),0))</f>
        <v>1</v>
      </c>
      <c r="BA113" s="36">
        <f>IFERROR(INDEX(tbl_regras_dfr[Fracao_Reciclavel],MATCH(L113&amp;"|Material da tampa|"&amp;X113,tbl_regras_dfr[Chave],0)),0)</f>
        <v>1</v>
      </c>
      <c r="BB113" s="36">
        <f>IFERROR(INDEX(tbl_regras_dfr[Fracao_Reciclavel],MATCH(L113&amp;"|Tipo de rótulo|"&amp;AA113,tbl_regras_dfr[Chave],0)),0)</f>
        <v>0</v>
      </c>
      <c r="BC113" s="38">
        <f t="shared" si="60"/>
        <v>31</v>
      </c>
      <c r="BD113" s="40">
        <f t="shared" si="61"/>
        <v>0.98475222363405335</v>
      </c>
      <c r="BE113" s="33" t="str">
        <f>IF(BD113&gt;=INDEX(tbl_param_emb[Valor],MATCH("P-06",tbl_param_emb[ID_Parametro],0)),"A",IF(BD113&gt;=INDEX(tbl_param_emb[Valor],MATCH("P-07",tbl_param_emb[ID_Parametro],0)),"B",IF(BD113&gt;=INDEX(tbl_param_emb[Valor],MATCH("P-08",tbl_param_emb[ID_Parametro],0)),"C","&lt; 70%")))</f>
        <v>A</v>
      </c>
      <c r="BF113" s="33" t="str">
        <f>IF(AU113="F","Não reciclável (F)",INDEX({"A","B","C","Abaixo de C"},MAX(MIN(AT113,4),IF(BE113="A",1,IF(BE113="B",2,IF(BE113="C",3,4))))))</f>
        <v>C</v>
      </c>
      <c r="BG113" s="33" t="str">
        <f t="shared" si="62"/>
        <v>Isento até 2035</v>
      </c>
      <c r="BH113" s="33" t="str">
        <f t="shared" si="63"/>
        <v>Isento até 2035</v>
      </c>
      <c r="BI113" s="33" t="str">
        <f t="shared" si="64"/>
        <v>Isento até 2035</v>
      </c>
      <c r="BJ113" s="36">
        <f>IFERROR(INDEX(tbl_materiais[Pct_PCR],MATCH(J113,tbl_materiais[Material],0)),0)</f>
        <v>0</v>
      </c>
      <c r="BK113" s="36">
        <f>IF(V113="",0,IFERROR(INDEX(tbl_tampas[Pct_PCR],MATCH(V113,tbl_tampas[CapId],0)),0))</f>
        <v>0</v>
      </c>
      <c r="BL113" s="40">
        <f t="shared" si="65"/>
        <v>0</v>
      </c>
      <c r="BM113" s="33" t="str">
        <f t="shared" si="66"/>
        <v>Isenta — medicamentos (art. 7.º)</v>
      </c>
      <c r="BN113" s="36" t="str">
        <f>IFERROR(IF(INDEX(tbl_metas_art7[Meta_2030],MATCH(BM113,tbl_metas_art7[Categoria_Art7],0))="","",INDEX(tbl_metas_art7[Meta_2030],MATCH(BM113,tbl_metas_art7[Categoria_Art7],0))),"")</f>
        <v/>
      </c>
      <c r="BO113" s="40" t="str">
        <f t="shared" si="67"/>
        <v/>
      </c>
      <c r="BP113" s="33" t="str">
        <f t="shared" si="68"/>
        <v>Isento</v>
      </c>
      <c r="BQ113" s="33" t="str">
        <f t="shared" si="69"/>
        <v>Multimaterial</v>
      </c>
      <c r="BR113" s="37">
        <v>133107</v>
      </c>
      <c r="BS113" s="39">
        <v>2</v>
      </c>
      <c r="BT113" s="26" t="s">
        <v>496</v>
      </c>
      <c r="BU113" s="32">
        <f t="shared" si="70"/>
        <v>2595.5864999999999</v>
      </c>
      <c r="BV113" s="31">
        <f>COUNTIFS(tbl_aplicabilidade[ProductId],B113,tbl_aplicabilidade[Aplicavel],"Sim")</f>
        <v>13</v>
      </c>
      <c r="BW113" s="31">
        <f>COUNTIFS(tbl_aplicabilidade[ProductId],B113,tbl_aplicabilidade[Estado_Resumo],"Lacuna")+COUNTIFS(tbl_aplicabilidade[ProductId],B113,tbl_aplicabilidade[Estado_Resumo],"Não conforme")</f>
        <v>2</v>
      </c>
      <c r="BX113" s="41">
        <v>46287</v>
      </c>
      <c r="BY113" s="42">
        <f t="shared" si="71"/>
        <v>46652</v>
      </c>
      <c r="BZ113" s="26" t="s">
        <v>596</v>
      </c>
      <c r="CA113" s="26" t="s">
        <v>597</v>
      </c>
      <c r="CB113" s="26" t="s">
        <v>598</v>
      </c>
    </row>
    <row r="114" spans="1:80" ht="18" customHeight="1" x14ac:dyDescent="0.3">
      <c r="A114" s="26" t="s">
        <v>869</v>
      </c>
      <c r="B114" s="26" t="s">
        <v>870</v>
      </c>
      <c r="C114" s="26" t="s">
        <v>871</v>
      </c>
      <c r="D114" s="26" t="s">
        <v>587</v>
      </c>
      <c r="E114" s="26" t="s">
        <v>588</v>
      </c>
      <c r="F114" s="26" t="s">
        <v>872</v>
      </c>
      <c r="G114" s="26" t="s">
        <v>873</v>
      </c>
      <c r="H114" s="37">
        <v>50</v>
      </c>
      <c r="I114" s="37">
        <v>43</v>
      </c>
      <c r="J114" s="26" t="s">
        <v>240</v>
      </c>
      <c r="K114" s="33" t="str">
        <f>IFERROR(INDEX(tbl_materiais[Polimero_Base],MATCH(J114,tbl_materiais[Material],0)),"")</f>
        <v>PP</v>
      </c>
      <c r="L114" s="33" t="str">
        <f>IFERROR(INDEX(tbl_materiais[Fluxo_Reciclagem],MATCH(J114,tbl_materiais[Material],0)),"")</f>
        <v>PP rígido</v>
      </c>
      <c r="M114" s="33" t="str">
        <f t="shared" si="54"/>
        <v>PP rígido — frascos, potes e contentores</v>
      </c>
      <c r="N114" s="26" t="s">
        <v>637</v>
      </c>
      <c r="O114" s="26" t="s">
        <v>281</v>
      </c>
      <c r="P114" s="26" t="s">
        <v>874</v>
      </c>
      <c r="Q114" s="29">
        <v>0.02</v>
      </c>
      <c r="R114" s="35">
        <f>IFERROR(ROUND(INDEX(tbl_materiais[Densidade_g_cm3],MATCH(J114,tbl_materiais[Material],0))+Q114*1.2,3),"")</f>
        <v>0.92900000000000005</v>
      </c>
      <c r="S114" s="26" t="s">
        <v>302</v>
      </c>
      <c r="T114" s="34">
        <v>6.7</v>
      </c>
      <c r="U114" s="26" t="s">
        <v>593</v>
      </c>
      <c r="V114" s="26" t="s">
        <v>497</v>
      </c>
      <c r="W114" s="33" t="str">
        <f>IF(V114="","",IFERROR(INDEX(tbl_tampas[Material],MATCH(V114,tbl_tampas[CapId],0)),""))</f>
        <v>PP</v>
      </c>
      <c r="X114" s="33" t="str">
        <f>IF(V114="","Sem tampa",IFERROR(INDEX(tbl_materiais[Polimero_Base],MATCH(W114,tbl_materiais[Material],0)),""))</f>
        <v>PP</v>
      </c>
      <c r="Y114" s="38">
        <f>IF(V114="",0,IFERROR(INDEX(tbl_tampas[Massa_g],MATCH(V114,tbl_tampas[CapId],0)),0))</f>
        <v>16.5</v>
      </c>
      <c r="Z114" s="26" t="s">
        <v>319</v>
      </c>
      <c r="AA114" s="26" t="s">
        <v>327</v>
      </c>
      <c r="AB114" s="26" t="s">
        <v>342</v>
      </c>
      <c r="AC114" s="29">
        <v>0.4</v>
      </c>
      <c r="AD114" s="27">
        <v>0.1</v>
      </c>
      <c r="AE114" s="26" t="s">
        <v>604</v>
      </c>
      <c r="AF114" s="26" t="s">
        <v>302</v>
      </c>
      <c r="AG114" s="39">
        <v>0</v>
      </c>
      <c r="AH114" s="33" t="str">
        <f t="shared" si="55"/>
        <v>Nenhuma</v>
      </c>
      <c r="AI114" s="27">
        <v>0</v>
      </c>
      <c r="AJ114" s="33" t="str">
        <f>IFERROR(INDEX(tbl_regras_dfr[Classe],MATCH(L114&amp;"|Fluxo de reciclagem|"&amp;L114,tbl_regras_dfr[Chave],0)),"Sem regra")</f>
        <v>A</v>
      </c>
      <c r="AK114" s="33" t="str">
        <f>IF(LEFT(L114,9)="Sem fluxo","—",IFERROR(INDEX(tbl_regras_dfr[Classe],MATCH(L114&amp;"|Cor do corpo|"&amp;O114,tbl_regras_dfr[Chave],0)),"Sem regra"))</f>
        <v>A</v>
      </c>
      <c r="AL114" s="33" t="str">
        <f>IF(LEFT(L114,9)="Sem fluxo","—",IFERROR(INDEX(tbl_regras_dfr[Classe],MATCH(L114&amp;"|Densidade do corpo|"&amp;IF(R114&lt;1,"&lt; 1,0 g/cm³","≥ 1,0 g/cm³"),tbl_regras_dfr[Chave],0)),"Sem regra"))</f>
        <v>A</v>
      </c>
      <c r="AM114" s="33" t="str">
        <f>IF(LEFT(L114,9)="Sem fluxo","—",IFERROR(INDEX(tbl_regras_dfr[Classe],MATCH(L114&amp;"|Barreira / revestimento|"&amp;S114,tbl_regras_dfr[Chave],0)),"Sem regra"))</f>
        <v>A</v>
      </c>
      <c r="AN114" s="33" t="str">
        <f>IF(LEFT(L114,9)="Sem fluxo","—",IFERROR(INDEX(tbl_regras_dfr[Classe],MATCH(L114&amp;"|Material da tampa|"&amp;X114,tbl_regras_dfr[Chave],0)),"Sem regra"))</f>
        <v>A</v>
      </c>
      <c r="AO114" s="33" t="str">
        <f>IF(LEFT(L114,9)="Sem fluxo","—",IFERROR(INDEX(tbl_regras_dfr[Classe],MATCH(L114&amp;"|Vedante / liner|"&amp;Z114,tbl_regras_dfr[Chave],0)),"Sem regra"))</f>
        <v>A</v>
      </c>
      <c r="AP114" s="33" t="str">
        <f>IF(LEFT(L114,9)="Sem fluxo","—",IFERROR(INDEX(tbl_regras_dfr[Classe],MATCH(L114&amp;"|Tipo de rótulo|"&amp;AA114,tbl_regras_dfr[Chave],0)),"Sem regra"))</f>
        <v>A</v>
      </c>
      <c r="AQ114" s="33" t="str">
        <f>IF(LEFT(L114,9)="Sem fluxo","—",IFERROR(INDEX(tbl_regras_dfr[Classe],MATCH(L114&amp;"|Adesivo do rótulo|"&amp;AB114,tbl_regras_dfr[Chave],0)),"Sem regra"))</f>
        <v>A</v>
      </c>
      <c r="AR114" s="33" t="str">
        <f>IF(LEFT(L114,9)="Sem fluxo","—",IFERROR(INDEX(tbl_regras_dfr[Classe],MATCH(L114&amp;"|Cobertura do rótulo|"&amp;IF(AC114&gt;0.7,"&gt; 70% da superfície","≤ 70% da superfície"),tbl_regras_dfr[Chave],0)),"Sem regra"))</f>
        <v>A</v>
      </c>
      <c r="AS114" s="33" t="str">
        <f>IF(LEFT(L114,9)="Sem fluxo","—",IFERROR(INDEX(tbl_regras_dfr[Classe],MATCH(L114&amp;"|Decoração direta|"&amp;AH114,tbl_regras_dfr[Chave],0)),"Sem regra"))</f>
        <v>A</v>
      </c>
      <c r="AT114" s="31">
        <f t="shared" si="56"/>
        <v>1</v>
      </c>
      <c r="AU114" s="33" t="str">
        <f>IF(AT114=0,"",INDEX({"A","B","C","D","E","F"},AT114))</f>
        <v>A</v>
      </c>
      <c r="AV114" s="31">
        <f t="shared" si="57"/>
        <v>0</v>
      </c>
      <c r="AW114" s="33" t="str">
        <f t="shared" si="58"/>
        <v>—</v>
      </c>
      <c r="AX114" s="33" t="str">
        <f>IF(AU114="A","Sem ação — manter o design.",IFERROR(INDEX(tbl_regras_dfr[Recomendacao],MATCH(CHOOSE(MATCH(AU114,AJ114:AS114,0),L114&amp;"|Fluxo de reciclagem|"&amp;L114,L114&amp;"|Cor do corpo|"&amp;O114,L114&amp;"|Densidade do corpo|"&amp;IF(R114&lt;1,"&lt; 1,0 g/cm³","≥ 1,0 g/cm³"),L114&amp;"|Barreira / revestimento|"&amp;S114,L114&amp;"|Material da tampa|"&amp;X114,L114&amp;"|Vedante / liner|"&amp;Z114,L114&amp;"|Tipo de rótulo|"&amp;AA114,L114&amp;"|Adesivo do rótulo|"&amp;AB114,L114&amp;"|Cobertura do rótulo|"&amp;IF(AC114&gt;0.7,"&gt; 70% da superfície","≤ 70% da superfície"),L114&amp;"|Decoração direta|"&amp;AH114),tbl_regras_dfr[Chave],0)),""))</f>
        <v>Sem ação — manter o design.</v>
      </c>
      <c r="AY114" s="38">
        <f t="shared" si="59"/>
        <v>23.3</v>
      </c>
      <c r="AZ114" s="36">
        <f>MIN(IFERROR(INDEX(tbl_regras_dfr[Fracao_Reciclavel],MATCH(L114&amp;"|Fluxo de reciclagem|"&amp;L114,tbl_regras_dfr[Chave],0)),0),IFERROR(INDEX(tbl_regras_dfr[Fracao_Reciclavel],MATCH(L114&amp;"|Cor do corpo|"&amp;O114,tbl_regras_dfr[Chave],0)),0))</f>
        <v>1</v>
      </c>
      <c r="BA114" s="36">
        <f>IFERROR(INDEX(tbl_regras_dfr[Fracao_Reciclavel],MATCH(L114&amp;"|Material da tampa|"&amp;X114,tbl_regras_dfr[Chave],0)),0)</f>
        <v>1</v>
      </c>
      <c r="BB114" s="36">
        <f>IFERROR(INDEX(tbl_regras_dfr[Fracao_Reciclavel],MATCH(L114&amp;"|Tipo de rótulo|"&amp;AA114,tbl_regras_dfr[Chave],0)),0)</f>
        <v>1</v>
      </c>
      <c r="BC114" s="38">
        <f t="shared" si="60"/>
        <v>23.3</v>
      </c>
      <c r="BD114" s="40">
        <f t="shared" si="61"/>
        <v>1</v>
      </c>
      <c r="BE114" s="33" t="str">
        <f>IF(BD114&gt;=INDEX(tbl_param_emb[Valor],MATCH("P-06",tbl_param_emb[ID_Parametro],0)),"A",IF(BD114&gt;=INDEX(tbl_param_emb[Valor],MATCH("P-07",tbl_param_emb[ID_Parametro],0)),"B",IF(BD114&gt;=INDEX(tbl_param_emb[Valor],MATCH("P-08",tbl_param_emb[ID_Parametro],0)),"C","&lt; 70%")))</f>
        <v>A</v>
      </c>
      <c r="BF114" s="33" t="str">
        <f>IF(AU114="F","Não reciclável (F)",INDEX({"A","B","C","Abaixo de C"},MAX(MIN(AT114,4),IF(BE114="A",1,IF(BE114="B",2,IF(BE114="C",3,4))))))</f>
        <v>A</v>
      </c>
      <c r="BG114" s="33" t="str">
        <f t="shared" si="62"/>
        <v>—</v>
      </c>
      <c r="BH114" s="33" t="str">
        <f t="shared" si="63"/>
        <v>Sim</v>
      </c>
      <c r="BI114" s="33" t="str">
        <f t="shared" si="64"/>
        <v>Sim</v>
      </c>
      <c r="BJ114" s="36">
        <f>IFERROR(INDEX(tbl_materiais[Pct_PCR],MATCH(J114,tbl_materiais[Material],0)),0)</f>
        <v>0</v>
      </c>
      <c r="BK114" s="36">
        <f>IF(V114="",0,IFERROR(INDEX(tbl_tampas[Pct_PCR],MATCH(V114,tbl_tampas[CapId],0)),0))</f>
        <v>0</v>
      </c>
      <c r="BL114" s="40">
        <f t="shared" si="65"/>
        <v>0</v>
      </c>
      <c r="BM114" s="33" t="str">
        <f t="shared" si="66"/>
        <v>Outras embalagens de plástico</v>
      </c>
      <c r="BN114" s="36">
        <f>IFERROR(IF(INDEX(tbl_metas_art7[Meta_2030],MATCH(BM114,tbl_metas_art7[Categoria_Art7],0))="","",INDEX(tbl_metas_art7[Meta_2030],MATCH(BM114,tbl_metas_art7[Categoria_Art7],0))),"")</f>
        <v>0.35</v>
      </c>
      <c r="BO114" s="40">
        <f t="shared" si="67"/>
        <v>0.35</v>
      </c>
      <c r="BP114" s="33" t="str">
        <f t="shared" si="68"/>
        <v>Não</v>
      </c>
      <c r="BQ114" s="33" t="str">
        <f t="shared" si="69"/>
        <v>Monomaterial (mesma família)</v>
      </c>
      <c r="BR114" s="37">
        <v>253067</v>
      </c>
      <c r="BS114" s="39">
        <v>3</v>
      </c>
      <c r="BT114" s="26" t="s">
        <v>501</v>
      </c>
      <c r="BU114" s="32">
        <f t="shared" si="70"/>
        <v>1695.5489000000002</v>
      </c>
      <c r="BV114" s="31">
        <f>COUNTIFS(tbl_aplicabilidade[ProductId],B114,tbl_aplicabilidade[Aplicavel],"Sim")</f>
        <v>12</v>
      </c>
      <c r="BW114" s="31">
        <f>COUNTIFS(tbl_aplicabilidade[ProductId],B114,tbl_aplicabilidade[Estado_Resumo],"Lacuna")+COUNTIFS(tbl_aplicabilidade[ProductId],B114,tbl_aplicabilidade[Estado_Resumo],"Não conforme")</f>
        <v>2</v>
      </c>
      <c r="BX114" s="41">
        <v>46287</v>
      </c>
      <c r="BY114" s="42">
        <f t="shared" si="71"/>
        <v>46652</v>
      </c>
      <c r="BZ114" s="26" t="s">
        <v>596</v>
      </c>
      <c r="CA114" s="26" t="s">
        <v>597</v>
      </c>
      <c r="CB114" s="26" t="s">
        <v>598</v>
      </c>
    </row>
    <row r="115" spans="1:80" ht="18" customHeight="1" x14ac:dyDescent="0.3">
      <c r="A115" s="26" t="s">
        <v>875</v>
      </c>
      <c r="B115" s="26" t="s">
        <v>876</v>
      </c>
      <c r="C115" s="26" t="s">
        <v>871</v>
      </c>
      <c r="D115" s="26" t="s">
        <v>857</v>
      </c>
      <c r="E115" s="26" t="s">
        <v>858</v>
      </c>
      <c r="F115" s="26" t="s">
        <v>872</v>
      </c>
      <c r="G115" s="26" t="s">
        <v>873</v>
      </c>
      <c r="H115" s="37">
        <v>50</v>
      </c>
      <c r="I115" s="37">
        <v>43</v>
      </c>
      <c r="J115" s="26" t="s">
        <v>246</v>
      </c>
      <c r="K115" s="33" t="str">
        <f>IFERROR(INDEX(tbl_materiais[Polimero_Base],MATCH(J115,tbl_materiais[Material],0)),"")</f>
        <v>PP</v>
      </c>
      <c r="L115" s="33" t="str">
        <f>IFERROR(INDEX(tbl_materiais[Fluxo_Reciclagem],MATCH(J115,tbl_materiais[Material],0)),"")</f>
        <v>PP rígido</v>
      </c>
      <c r="M115" s="33" t="str">
        <f t="shared" si="54"/>
        <v>PP rígido — frascos, potes e contentores</v>
      </c>
      <c r="N115" s="26" t="s">
        <v>860</v>
      </c>
      <c r="O115" s="26" t="s">
        <v>281</v>
      </c>
      <c r="P115" s="26" t="s">
        <v>861</v>
      </c>
      <c r="Q115" s="29">
        <v>0.02</v>
      </c>
      <c r="R115" s="35">
        <f>IFERROR(ROUND(INDEX(tbl_materiais[Densidade_g_cm3],MATCH(J115,tbl_materiais[Material],0))+Q115*1.2,3),"")</f>
        <v>0.92900000000000005</v>
      </c>
      <c r="S115" s="26" t="s">
        <v>302</v>
      </c>
      <c r="T115" s="34">
        <v>6.7</v>
      </c>
      <c r="U115" s="26" t="s">
        <v>593</v>
      </c>
      <c r="V115" s="26" t="s">
        <v>502</v>
      </c>
      <c r="W115" s="33" t="str">
        <f>IF(V115="","",IFERROR(INDEX(tbl_tampas[Material],MATCH(V115,tbl_tampas[CapId],0)),""))</f>
        <v>PP-PG</v>
      </c>
      <c r="X115" s="33" t="str">
        <f>IF(V115="","Sem tampa",IFERROR(INDEX(tbl_materiais[Polimero_Base],MATCH(W115,tbl_materiais[Material],0)),""))</f>
        <v>PP</v>
      </c>
      <c r="Y115" s="38">
        <f>IF(V115="",0,IFERROR(INDEX(tbl_tampas[Massa_g],MATCH(V115,tbl_tampas[CapId],0)),0))</f>
        <v>16.5</v>
      </c>
      <c r="Z115" s="26" t="s">
        <v>319</v>
      </c>
      <c r="AA115" s="26" t="s">
        <v>334</v>
      </c>
      <c r="AB115" s="26" t="s">
        <v>342</v>
      </c>
      <c r="AC115" s="29">
        <v>0.35</v>
      </c>
      <c r="AD115" s="27">
        <v>0.12</v>
      </c>
      <c r="AE115" s="26" t="s">
        <v>604</v>
      </c>
      <c r="AF115" s="26" t="s">
        <v>302</v>
      </c>
      <c r="AG115" s="39">
        <v>0</v>
      </c>
      <c r="AH115" s="33" t="str">
        <f t="shared" si="55"/>
        <v>Nenhuma</v>
      </c>
      <c r="AI115" s="27">
        <v>0</v>
      </c>
      <c r="AJ115" s="33" t="str">
        <f>IFERROR(INDEX(tbl_regras_dfr[Classe],MATCH(L115&amp;"|Fluxo de reciclagem|"&amp;L115,tbl_regras_dfr[Chave],0)),"Sem regra")</f>
        <v>A</v>
      </c>
      <c r="AK115" s="33" t="str">
        <f>IF(LEFT(L115,9)="Sem fluxo","—",IFERROR(INDEX(tbl_regras_dfr[Classe],MATCH(L115&amp;"|Cor do corpo|"&amp;O115,tbl_regras_dfr[Chave],0)),"Sem regra"))</f>
        <v>A</v>
      </c>
      <c r="AL115" s="33" t="str">
        <f>IF(LEFT(L115,9)="Sem fluxo","—",IFERROR(INDEX(tbl_regras_dfr[Classe],MATCH(L115&amp;"|Densidade do corpo|"&amp;IF(R115&lt;1,"&lt; 1,0 g/cm³","≥ 1,0 g/cm³"),tbl_regras_dfr[Chave],0)),"Sem regra"))</f>
        <v>A</v>
      </c>
      <c r="AM115" s="33" t="str">
        <f>IF(LEFT(L115,9)="Sem fluxo","—",IFERROR(INDEX(tbl_regras_dfr[Classe],MATCH(L115&amp;"|Barreira / revestimento|"&amp;S115,tbl_regras_dfr[Chave],0)),"Sem regra"))</f>
        <v>A</v>
      </c>
      <c r="AN115" s="33" t="str">
        <f>IF(LEFT(L115,9)="Sem fluxo","—",IFERROR(INDEX(tbl_regras_dfr[Classe],MATCH(L115&amp;"|Material da tampa|"&amp;X115,tbl_regras_dfr[Chave],0)),"Sem regra"))</f>
        <v>A</v>
      </c>
      <c r="AO115" s="33" t="str">
        <f>IF(LEFT(L115,9)="Sem fluxo","—",IFERROR(INDEX(tbl_regras_dfr[Classe],MATCH(L115&amp;"|Vedante / liner|"&amp;Z115,tbl_regras_dfr[Chave],0)),"Sem regra"))</f>
        <v>A</v>
      </c>
      <c r="AP115" s="33" t="str">
        <f>IF(LEFT(L115,9)="Sem fluxo","—",IFERROR(INDEX(tbl_regras_dfr[Classe],MATCH(L115&amp;"|Tipo de rótulo|"&amp;AA115,tbl_regras_dfr[Chave],0)),"Sem regra"))</f>
        <v>C</v>
      </c>
      <c r="AQ115" s="33" t="str">
        <f>IF(LEFT(L115,9)="Sem fluxo","—",IFERROR(INDEX(tbl_regras_dfr[Classe],MATCH(L115&amp;"|Adesivo do rótulo|"&amp;AB115,tbl_regras_dfr[Chave],0)),"Sem regra"))</f>
        <v>A</v>
      </c>
      <c r="AR115" s="33" t="str">
        <f>IF(LEFT(L115,9)="Sem fluxo","—",IFERROR(INDEX(tbl_regras_dfr[Classe],MATCH(L115&amp;"|Cobertura do rótulo|"&amp;IF(AC115&gt;0.7,"&gt; 70% da superfície","≤ 70% da superfície"),tbl_regras_dfr[Chave],0)),"Sem regra"))</f>
        <v>A</v>
      </c>
      <c r="AS115" s="33" t="str">
        <f>IF(LEFT(L115,9)="Sem fluxo","—",IFERROR(INDEX(tbl_regras_dfr[Classe],MATCH(L115&amp;"|Decoração direta|"&amp;AH115,tbl_regras_dfr[Chave],0)),"Sem regra"))</f>
        <v>A</v>
      </c>
      <c r="AT115" s="31">
        <f t="shared" si="56"/>
        <v>3</v>
      </c>
      <c r="AU115" s="33" t="str">
        <f>IF(AT115=0,"",INDEX({"A","B","C","D","E","F"},AT115))</f>
        <v>C</v>
      </c>
      <c r="AV115" s="31">
        <f t="shared" si="57"/>
        <v>0</v>
      </c>
      <c r="AW115" s="33" t="str">
        <f t="shared" si="58"/>
        <v>Rotulo</v>
      </c>
      <c r="AX115" s="33" t="str">
        <f>IF(AU115="A","Sem ação — manter o design.",IFERROR(INDEX(tbl_regras_dfr[Recomendacao],MATCH(CHOOSE(MATCH(AU115,AJ115:AS115,0),L115&amp;"|Fluxo de reciclagem|"&amp;L115,L115&amp;"|Cor do corpo|"&amp;O115,L115&amp;"|Densidade do corpo|"&amp;IF(R115&lt;1,"&lt; 1,0 g/cm³","≥ 1,0 g/cm³"),L115&amp;"|Barreira / revestimento|"&amp;S115,L115&amp;"|Material da tampa|"&amp;X115,L115&amp;"|Vedante / liner|"&amp;Z115,L115&amp;"|Tipo de rótulo|"&amp;AA115,L115&amp;"|Adesivo do rótulo|"&amp;AB115,L115&amp;"|Cobertura do rótulo|"&amp;IF(AC115&gt;0.7,"&gt; 70% da superfície","≤ 70% da superfície"),L115&amp;"|Decoração direta|"&amp;AH115),tbl_regras_dfr[Chave],0)),""))</f>
        <v>Usar rótulo de PE/PP.</v>
      </c>
      <c r="AY115" s="38">
        <f t="shared" si="59"/>
        <v>23.32</v>
      </c>
      <c r="AZ115" s="36">
        <f>MIN(IFERROR(INDEX(tbl_regras_dfr[Fracao_Reciclavel],MATCH(L115&amp;"|Fluxo de reciclagem|"&amp;L115,tbl_regras_dfr[Chave],0)),0),IFERROR(INDEX(tbl_regras_dfr[Fracao_Reciclavel],MATCH(L115&amp;"|Cor do corpo|"&amp;O115,tbl_regras_dfr[Chave],0)),0))</f>
        <v>1</v>
      </c>
      <c r="BA115" s="36">
        <f>IFERROR(INDEX(tbl_regras_dfr[Fracao_Reciclavel],MATCH(L115&amp;"|Material da tampa|"&amp;X115,tbl_regras_dfr[Chave],0)),0)</f>
        <v>1</v>
      </c>
      <c r="BB115" s="36">
        <f>IFERROR(INDEX(tbl_regras_dfr[Fracao_Reciclavel],MATCH(L115&amp;"|Tipo de rótulo|"&amp;AA115,tbl_regras_dfr[Chave],0)),0)</f>
        <v>0</v>
      </c>
      <c r="BC115" s="38">
        <f t="shared" si="60"/>
        <v>23.2</v>
      </c>
      <c r="BD115" s="40">
        <f t="shared" si="61"/>
        <v>0.99485420240137212</v>
      </c>
      <c r="BE115" s="33" t="str">
        <f>IF(BD115&gt;=INDEX(tbl_param_emb[Valor],MATCH("P-06",tbl_param_emb[ID_Parametro],0)),"A",IF(BD115&gt;=INDEX(tbl_param_emb[Valor],MATCH("P-07",tbl_param_emb[ID_Parametro],0)),"B",IF(BD115&gt;=INDEX(tbl_param_emb[Valor],MATCH("P-08",tbl_param_emb[ID_Parametro],0)),"C","&lt; 70%")))</f>
        <v>A</v>
      </c>
      <c r="BF115" s="33" t="str">
        <f>IF(AU115="F","Não reciclável (F)",INDEX({"A","B","C","Abaixo de C"},MAX(MIN(AT115,4),IF(BE115="A",1,IF(BE115="B",2,IF(BE115="C",3,4))))))</f>
        <v>C</v>
      </c>
      <c r="BG115" s="33" t="str">
        <f t="shared" si="62"/>
        <v>Isento até 2035</v>
      </c>
      <c r="BH115" s="33" t="str">
        <f t="shared" si="63"/>
        <v>Isento até 2035</v>
      </c>
      <c r="BI115" s="33" t="str">
        <f t="shared" si="64"/>
        <v>Isento até 2035</v>
      </c>
      <c r="BJ115" s="36">
        <f>IFERROR(INDEX(tbl_materiais[Pct_PCR],MATCH(J115,tbl_materiais[Material],0)),0)</f>
        <v>0</v>
      </c>
      <c r="BK115" s="36">
        <f>IF(V115="",0,IFERROR(INDEX(tbl_tampas[Pct_PCR],MATCH(V115,tbl_tampas[CapId],0)),0))</f>
        <v>0</v>
      </c>
      <c r="BL115" s="40">
        <f t="shared" si="65"/>
        <v>0</v>
      </c>
      <c r="BM115" s="33" t="str">
        <f t="shared" si="66"/>
        <v>Isenta — medicamentos (art. 7.º)</v>
      </c>
      <c r="BN115" s="36" t="str">
        <f>IFERROR(IF(INDEX(tbl_metas_art7[Meta_2030],MATCH(BM115,tbl_metas_art7[Categoria_Art7],0))="","",INDEX(tbl_metas_art7[Meta_2030],MATCH(BM115,tbl_metas_art7[Categoria_Art7],0))),"")</f>
        <v/>
      </c>
      <c r="BO115" s="40" t="str">
        <f t="shared" si="67"/>
        <v/>
      </c>
      <c r="BP115" s="33" t="str">
        <f t="shared" si="68"/>
        <v>Isento</v>
      </c>
      <c r="BQ115" s="33" t="str">
        <f t="shared" si="69"/>
        <v>Multimaterial</v>
      </c>
      <c r="BR115" s="37">
        <v>220353</v>
      </c>
      <c r="BS115" s="39">
        <v>3</v>
      </c>
      <c r="BT115" s="26" t="s">
        <v>501</v>
      </c>
      <c r="BU115" s="32">
        <f t="shared" si="70"/>
        <v>1476.3651</v>
      </c>
      <c r="BV115" s="31">
        <f>COUNTIFS(tbl_aplicabilidade[ProductId],B115,tbl_aplicabilidade[Aplicavel],"Sim")</f>
        <v>12</v>
      </c>
      <c r="BW115" s="31">
        <f>COUNTIFS(tbl_aplicabilidade[ProductId],B115,tbl_aplicabilidade[Estado_Resumo],"Lacuna")+COUNTIFS(tbl_aplicabilidade[ProductId],B115,tbl_aplicabilidade[Estado_Resumo],"Não conforme")</f>
        <v>1</v>
      </c>
      <c r="BX115" s="41">
        <v>46287</v>
      </c>
      <c r="BY115" s="42">
        <f t="shared" si="71"/>
        <v>46652</v>
      </c>
      <c r="BZ115" s="26" t="s">
        <v>596</v>
      </c>
      <c r="CA115" s="26" t="s">
        <v>597</v>
      </c>
      <c r="CB115" s="26" t="s">
        <v>598</v>
      </c>
    </row>
    <row r="116" spans="1:80" ht="18" customHeight="1" x14ac:dyDescent="0.3">
      <c r="A116" s="26" t="s">
        <v>877</v>
      </c>
      <c r="B116" s="26" t="s">
        <v>878</v>
      </c>
      <c r="C116" s="26" t="s">
        <v>871</v>
      </c>
      <c r="D116" s="26" t="s">
        <v>587</v>
      </c>
      <c r="E116" s="26" t="s">
        <v>588</v>
      </c>
      <c r="F116" s="26" t="s">
        <v>872</v>
      </c>
      <c r="G116" s="26" t="s">
        <v>873</v>
      </c>
      <c r="H116" s="37">
        <v>100</v>
      </c>
      <c r="I116" s="37">
        <v>54</v>
      </c>
      <c r="J116" s="26" t="s">
        <v>240</v>
      </c>
      <c r="K116" s="33" t="str">
        <f>IFERROR(INDEX(tbl_materiais[Polimero_Base],MATCH(J116,tbl_materiais[Material],0)),"")</f>
        <v>PP</v>
      </c>
      <c r="L116" s="33" t="str">
        <f>IFERROR(INDEX(tbl_materiais[Fluxo_Reciclagem],MATCH(J116,tbl_materiais[Material],0)),"")</f>
        <v>PP rígido</v>
      </c>
      <c r="M116" s="33" t="str">
        <f t="shared" si="54"/>
        <v>PP rígido — frascos, potes e contentores</v>
      </c>
      <c r="N116" s="26" t="s">
        <v>637</v>
      </c>
      <c r="O116" s="26" t="s">
        <v>281</v>
      </c>
      <c r="P116" s="26" t="s">
        <v>874</v>
      </c>
      <c r="Q116" s="29">
        <v>0.02</v>
      </c>
      <c r="R116" s="35">
        <f>IFERROR(ROUND(INDEX(tbl_materiais[Densidade_g_cm3],MATCH(J116,tbl_materiais[Material],0))+Q116*1.2,3),"")</f>
        <v>0.92900000000000005</v>
      </c>
      <c r="S116" s="26" t="s">
        <v>302</v>
      </c>
      <c r="T116" s="34">
        <v>10.6</v>
      </c>
      <c r="U116" s="26" t="s">
        <v>593</v>
      </c>
      <c r="V116" s="26" t="s">
        <v>497</v>
      </c>
      <c r="W116" s="33" t="str">
        <f>IF(V116="","",IFERROR(INDEX(tbl_tampas[Material],MATCH(V116,tbl_tampas[CapId],0)),""))</f>
        <v>PP</v>
      </c>
      <c r="X116" s="33" t="str">
        <f>IF(V116="","Sem tampa",IFERROR(INDEX(tbl_materiais[Polimero_Base],MATCH(W116,tbl_materiais[Material],0)),""))</f>
        <v>PP</v>
      </c>
      <c r="Y116" s="38">
        <f>IF(V116="",0,IFERROR(INDEX(tbl_tampas[Massa_g],MATCH(V116,tbl_tampas[CapId],0)),0))</f>
        <v>16.5</v>
      </c>
      <c r="Z116" s="26" t="s">
        <v>319</v>
      </c>
      <c r="AA116" s="26" t="s">
        <v>327</v>
      </c>
      <c r="AB116" s="26" t="s">
        <v>342</v>
      </c>
      <c r="AC116" s="29">
        <v>0.4</v>
      </c>
      <c r="AD116" s="27">
        <v>0.16</v>
      </c>
      <c r="AE116" s="26" t="s">
        <v>604</v>
      </c>
      <c r="AF116" s="26" t="s">
        <v>302</v>
      </c>
      <c r="AG116" s="39">
        <v>0</v>
      </c>
      <c r="AH116" s="33" t="str">
        <f t="shared" si="55"/>
        <v>Nenhuma</v>
      </c>
      <c r="AI116" s="27">
        <v>0</v>
      </c>
      <c r="AJ116" s="33" t="str">
        <f>IFERROR(INDEX(tbl_regras_dfr[Classe],MATCH(L116&amp;"|Fluxo de reciclagem|"&amp;L116,tbl_regras_dfr[Chave],0)),"Sem regra")</f>
        <v>A</v>
      </c>
      <c r="AK116" s="33" t="str">
        <f>IF(LEFT(L116,9)="Sem fluxo","—",IFERROR(INDEX(tbl_regras_dfr[Classe],MATCH(L116&amp;"|Cor do corpo|"&amp;O116,tbl_regras_dfr[Chave],0)),"Sem regra"))</f>
        <v>A</v>
      </c>
      <c r="AL116" s="33" t="str">
        <f>IF(LEFT(L116,9)="Sem fluxo","—",IFERROR(INDEX(tbl_regras_dfr[Classe],MATCH(L116&amp;"|Densidade do corpo|"&amp;IF(R116&lt;1,"&lt; 1,0 g/cm³","≥ 1,0 g/cm³"),tbl_regras_dfr[Chave],0)),"Sem regra"))</f>
        <v>A</v>
      </c>
      <c r="AM116" s="33" t="str">
        <f>IF(LEFT(L116,9)="Sem fluxo","—",IFERROR(INDEX(tbl_regras_dfr[Classe],MATCH(L116&amp;"|Barreira / revestimento|"&amp;S116,tbl_regras_dfr[Chave],0)),"Sem regra"))</f>
        <v>A</v>
      </c>
      <c r="AN116" s="33" t="str">
        <f>IF(LEFT(L116,9)="Sem fluxo","—",IFERROR(INDEX(tbl_regras_dfr[Classe],MATCH(L116&amp;"|Material da tampa|"&amp;X116,tbl_regras_dfr[Chave],0)),"Sem regra"))</f>
        <v>A</v>
      </c>
      <c r="AO116" s="33" t="str">
        <f>IF(LEFT(L116,9)="Sem fluxo","—",IFERROR(INDEX(tbl_regras_dfr[Classe],MATCH(L116&amp;"|Vedante / liner|"&amp;Z116,tbl_regras_dfr[Chave],0)),"Sem regra"))</f>
        <v>A</v>
      </c>
      <c r="AP116" s="33" t="str">
        <f>IF(LEFT(L116,9)="Sem fluxo","—",IFERROR(INDEX(tbl_regras_dfr[Classe],MATCH(L116&amp;"|Tipo de rótulo|"&amp;AA116,tbl_regras_dfr[Chave],0)),"Sem regra"))</f>
        <v>A</v>
      </c>
      <c r="AQ116" s="33" t="str">
        <f>IF(LEFT(L116,9)="Sem fluxo","—",IFERROR(INDEX(tbl_regras_dfr[Classe],MATCH(L116&amp;"|Adesivo do rótulo|"&amp;AB116,tbl_regras_dfr[Chave],0)),"Sem regra"))</f>
        <v>A</v>
      </c>
      <c r="AR116" s="33" t="str">
        <f>IF(LEFT(L116,9)="Sem fluxo","—",IFERROR(INDEX(tbl_regras_dfr[Classe],MATCH(L116&amp;"|Cobertura do rótulo|"&amp;IF(AC116&gt;0.7,"&gt; 70% da superfície","≤ 70% da superfície"),tbl_regras_dfr[Chave],0)),"Sem regra"))</f>
        <v>A</v>
      </c>
      <c r="AS116" s="33" t="str">
        <f>IF(LEFT(L116,9)="Sem fluxo","—",IFERROR(INDEX(tbl_regras_dfr[Classe],MATCH(L116&amp;"|Decoração direta|"&amp;AH116,tbl_regras_dfr[Chave],0)),"Sem regra"))</f>
        <v>A</v>
      </c>
      <c r="AT116" s="31">
        <f t="shared" si="56"/>
        <v>1</v>
      </c>
      <c r="AU116" s="33" t="str">
        <f>IF(AT116=0,"",INDEX({"A","B","C","D","E","F"},AT116))</f>
        <v>A</v>
      </c>
      <c r="AV116" s="31">
        <f t="shared" si="57"/>
        <v>0</v>
      </c>
      <c r="AW116" s="33" t="str">
        <f t="shared" si="58"/>
        <v>—</v>
      </c>
      <c r="AX116" s="33" t="str">
        <f>IF(AU116="A","Sem ação — manter o design.",IFERROR(INDEX(tbl_regras_dfr[Recomendacao],MATCH(CHOOSE(MATCH(AU116,AJ116:AS116,0),L116&amp;"|Fluxo de reciclagem|"&amp;L116,L116&amp;"|Cor do corpo|"&amp;O116,L116&amp;"|Densidade do corpo|"&amp;IF(R116&lt;1,"&lt; 1,0 g/cm³","≥ 1,0 g/cm³"),L116&amp;"|Barreira / revestimento|"&amp;S116,L116&amp;"|Material da tampa|"&amp;X116,L116&amp;"|Vedante / liner|"&amp;Z116,L116&amp;"|Tipo de rótulo|"&amp;AA116,L116&amp;"|Adesivo do rótulo|"&amp;AB116,L116&amp;"|Cobertura do rótulo|"&amp;IF(AC116&gt;0.7,"&gt; 70% da superfície","≤ 70% da superfície"),L116&amp;"|Decoração direta|"&amp;AH116),tbl_regras_dfr[Chave],0)),""))</f>
        <v>Sem ação — manter o design.</v>
      </c>
      <c r="AY116" s="38">
        <f t="shared" si="59"/>
        <v>27.26</v>
      </c>
      <c r="AZ116" s="36">
        <f>MIN(IFERROR(INDEX(tbl_regras_dfr[Fracao_Reciclavel],MATCH(L116&amp;"|Fluxo de reciclagem|"&amp;L116,tbl_regras_dfr[Chave],0)),0),IFERROR(INDEX(tbl_regras_dfr[Fracao_Reciclavel],MATCH(L116&amp;"|Cor do corpo|"&amp;O116,tbl_regras_dfr[Chave],0)),0))</f>
        <v>1</v>
      </c>
      <c r="BA116" s="36">
        <f>IFERROR(INDEX(tbl_regras_dfr[Fracao_Reciclavel],MATCH(L116&amp;"|Material da tampa|"&amp;X116,tbl_regras_dfr[Chave],0)),0)</f>
        <v>1</v>
      </c>
      <c r="BB116" s="36">
        <f>IFERROR(INDEX(tbl_regras_dfr[Fracao_Reciclavel],MATCH(L116&amp;"|Tipo de rótulo|"&amp;AA116,tbl_regras_dfr[Chave],0)),0)</f>
        <v>1</v>
      </c>
      <c r="BC116" s="38">
        <f t="shared" si="60"/>
        <v>27.26</v>
      </c>
      <c r="BD116" s="40">
        <f t="shared" si="61"/>
        <v>1</v>
      </c>
      <c r="BE116" s="33" t="str">
        <f>IF(BD116&gt;=INDEX(tbl_param_emb[Valor],MATCH("P-06",tbl_param_emb[ID_Parametro],0)),"A",IF(BD116&gt;=INDEX(tbl_param_emb[Valor],MATCH("P-07",tbl_param_emb[ID_Parametro],0)),"B",IF(BD116&gt;=INDEX(tbl_param_emb[Valor],MATCH("P-08",tbl_param_emb[ID_Parametro],0)),"C","&lt; 70%")))</f>
        <v>A</v>
      </c>
      <c r="BF116" s="33" t="str">
        <f>IF(AU116="F","Não reciclável (F)",INDEX({"A","B","C","Abaixo de C"},MAX(MIN(AT116,4),IF(BE116="A",1,IF(BE116="B",2,IF(BE116="C",3,4))))))</f>
        <v>A</v>
      </c>
      <c r="BG116" s="33" t="str">
        <f t="shared" si="62"/>
        <v>—</v>
      </c>
      <c r="BH116" s="33" t="str">
        <f t="shared" si="63"/>
        <v>Sim</v>
      </c>
      <c r="BI116" s="33" t="str">
        <f t="shared" si="64"/>
        <v>Sim</v>
      </c>
      <c r="BJ116" s="36">
        <f>IFERROR(INDEX(tbl_materiais[Pct_PCR],MATCH(J116,tbl_materiais[Material],0)),0)</f>
        <v>0</v>
      </c>
      <c r="BK116" s="36">
        <f>IF(V116="",0,IFERROR(INDEX(tbl_tampas[Pct_PCR],MATCH(V116,tbl_tampas[CapId],0)),0))</f>
        <v>0</v>
      </c>
      <c r="BL116" s="40">
        <f t="shared" si="65"/>
        <v>0</v>
      </c>
      <c r="BM116" s="33" t="str">
        <f t="shared" si="66"/>
        <v>Outras embalagens de plástico</v>
      </c>
      <c r="BN116" s="36">
        <f>IFERROR(IF(INDEX(tbl_metas_art7[Meta_2030],MATCH(BM116,tbl_metas_art7[Categoria_Art7],0))="","",INDEX(tbl_metas_art7[Meta_2030],MATCH(BM116,tbl_metas_art7[Categoria_Art7],0))),"")</f>
        <v>0.35</v>
      </c>
      <c r="BO116" s="40">
        <f t="shared" si="67"/>
        <v>0.35</v>
      </c>
      <c r="BP116" s="33" t="str">
        <f t="shared" si="68"/>
        <v>Não</v>
      </c>
      <c r="BQ116" s="33" t="str">
        <f t="shared" si="69"/>
        <v>Monomaterial (mesma família)</v>
      </c>
      <c r="BR116" s="37">
        <v>186515</v>
      </c>
      <c r="BS116" s="39">
        <v>3</v>
      </c>
      <c r="BT116" s="26" t="s">
        <v>501</v>
      </c>
      <c r="BU116" s="32">
        <f t="shared" si="70"/>
        <v>1977.059</v>
      </c>
      <c r="BV116" s="31">
        <f>COUNTIFS(tbl_aplicabilidade[ProductId],B116,tbl_aplicabilidade[Aplicavel],"Sim")</f>
        <v>12</v>
      </c>
      <c r="BW116" s="31">
        <f>COUNTIFS(tbl_aplicabilidade[ProductId],B116,tbl_aplicabilidade[Estado_Resumo],"Lacuna")+COUNTIFS(tbl_aplicabilidade[ProductId],B116,tbl_aplicabilidade[Estado_Resumo],"Não conforme")</f>
        <v>2</v>
      </c>
      <c r="BX116" s="41">
        <v>46287</v>
      </c>
      <c r="BY116" s="42">
        <f t="shared" si="71"/>
        <v>46652</v>
      </c>
      <c r="BZ116" s="26" t="s">
        <v>596</v>
      </c>
      <c r="CA116" s="26" t="s">
        <v>597</v>
      </c>
      <c r="CB116" s="26" t="s">
        <v>598</v>
      </c>
    </row>
    <row r="117" spans="1:80" ht="18" customHeight="1" x14ac:dyDescent="0.3">
      <c r="A117" s="26" t="s">
        <v>879</v>
      </c>
      <c r="B117" s="26" t="s">
        <v>880</v>
      </c>
      <c r="C117" s="26" t="s">
        <v>871</v>
      </c>
      <c r="D117" s="26" t="s">
        <v>857</v>
      </c>
      <c r="E117" s="26" t="s">
        <v>858</v>
      </c>
      <c r="F117" s="26" t="s">
        <v>872</v>
      </c>
      <c r="G117" s="26" t="s">
        <v>873</v>
      </c>
      <c r="H117" s="37">
        <v>100</v>
      </c>
      <c r="I117" s="37">
        <v>54</v>
      </c>
      <c r="J117" s="26" t="s">
        <v>246</v>
      </c>
      <c r="K117" s="33" t="str">
        <f>IFERROR(INDEX(tbl_materiais[Polimero_Base],MATCH(J117,tbl_materiais[Material],0)),"")</f>
        <v>PP</v>
      </c>
      <c r="L117" s="33" t="str">
        <f>IFERROR(INDEX(tbl_materiais[Fluxo_Reciclagem],MATCH(J117,tbl_materiais[Material],0)),"")</f>
        <v>PP rígido</v>
      </c>
      <c r="M117" s="33" t="str">
        <f t="shared" si="54"/>
        <v>PP rígido — frascos, potes e contentores</v>
      </c>
      <c r="N117" s="26" t="s">
        <v>860</v>
      </c>
      <c r="O117" s="26" t="s">
        <v>281</v>
      </c>
      <c r="P117" s="26" t="s">
        <v>861</v>
      </c>
      <c r="Q117" s="29">
        <v>0.02</v>
      </c>
      <c r="R117" s="35">
        <f>IFERROR(ROUND(INDEX(tbl_materiais[Densidade_g_cm3],MATCH(J117,tbl_materiais[Material],0))+Q117*1.2,3),"")</f>
        <v>0.92900000000000005</v>
      </c>
      <c r="S117" s="26" t="s">
        <v>302</v>
      </c>
      <c r="T117" s="34">
        <v>10.6</v>
      </c>
      <c r="U117" s="26" t="s">
        <v>593</v>
      </c>
      <c r="V117" s="26" t="s">
        <v>502</v>
      </c>
      <c r="W117" s="33" t="str">
        <f>IF(V117="","",IFERROR(INDEX(tbl_tampas[Material],MATCH(V117,tbl_tampas[CapId],0)),""))</f>
        <v>PP-PG</v>
      </c>
      <c r="X117" s="33" t="str">
        <f>IF(V117="","Sem tampa",IFERROR(INDEX(tbl_materiais[Polimero_Base],MATCH(W117,tbl_materiais[Material],0)),""))</f>
        <v>PP</v>
      </c>
      <c r="Y117" s="38">
        <f>IF(V117="",0,IFERROR(INDEX(tbl_tampas[Massa_g],MATCH(V117,tbl_tampas[CapId],0)),0))</f>
        <v>16.5</v>
      </c>
      <c r="Z117" s="26" t="s">
        <v>319</v>
      </c>
      <c r="AA117" s="26" t="s">
        <v>334</v>
      </c>
      <c r="AB117" s="26" t="s">
        <v>342</v>
      </c>
      <c r="AC117" s="29">
        <v>0.35</v>
      </c>
      <c r="AD117" s="27">
        <v>0.19</v>
      </c>
      <c r="AE117" s="26" t="s">
        <v>604</v>
      </c>
      <c r="AF117" s="26" t="s">
        <v>302</v>
      </c>
      <c r="AG117" s="39">
        <v>0</v>
      </c>
      <c r="AH117" s="33" t="str">
        <f t="shared" si="55"/>
        <v>Nenhuma</v>
      </c>
      <c r="AI117" s="27">
        <v>0</v>
      </c>
      <c r="AJ117" s="33" t="str">
        <f>IFERROR(INDEX(tbl_regras_dfr[Classe],MATCH(L117&amp;"|Fluxo de reciclagem|"&amp;L117,tbl_regras_dfr[Chave],0)),"Sem regra")</f>
        <v>A</v>
      </c>
      <c r="AK117" s="33" t="str">
        <f>IF(LEFT(L117,9)="Sem fluxo","—",IFERROR(INDEX(tbl_regras_dfr[Classe],MATCH(L117&amp;"|Cor do corpo|"&amp;O117,tbl_regras_dfr[Chave],0)),"Sem regra"))</f>
        <v>A</v>
      </c>
      <c r="AL117" s="33" t="str">
        <f>IF(LEFT(L117,9)="Sem fluxo","—",IFERROR(INDEX(tbl_regras_dfr[Classe],MATCH(L117&amp;"|Densidade do corpo|"&amp;IF(R117&lt;1,"&lt; 1,0 g/cm³","≥ 1,0 g/cm³"),tbl_regras_dfr[Chave],0)),"Sem regra"))</f>
        <v>A</v>
      </c>
      <c r="AM117" s="33" t="str">
        <f>IF(LEFT(L117,9)="Sem fluxo","—",IFERROR(INDEX(tbl_regras_dfr[Classe],MATCH(L117&amp;"|Barreira / revestimento|"&amp;S117,tbl_regras_dfr[Chave],0)),"Sem regra"))</f>
        <v>A</v>
      </c>
      <c r="AN117" s="33" t="str">
        <f>IF(LEFT(L117,9)="Sem fluxo","—",IFERROR(INDEX(tbl_regras_dfr[Classe],MATCH(L117&amp;"|Material da tampa|"&amp;X117,tbl_regras_dfr[Chave],0)),"Sem regra"))</f>
        <v>A</v>
      </c>
      <c r="AO117" s="33" t="str">
        <f>IF(LEFT(L117,9)="Sem fluxo","—",IFERROR(INDEX(tbl_regras_dfr[Classe],MATCH(L117&amp;"|Vedante / liner|"&amp;Z117,tbl_regras_dfr[Chave],0)),"Sem regra"))</f>
        <v>A</v>
      </c>
      <c r="AP117" s="33" t="str">
        <f>IF(LEFT(L117,9)="Sem fluxo","—",IFERROR(INDEX(tbl_regras_dfr[Classe],MATCH(L117&amp;"|Tipo de rótulo|"&amp;AA117,tbl_regras_dfr[Chave],0)),"Sem regra"))</f>
        <v>C</v>
      </c>
      <c r="AQ117" s="33" t="str">
        <f>IF(LEFT(L117,9)="Sem fluxo","—",IFERROR(INDEX(tbl_regras_dfr[Classe],MATCH(L117&amp;"|Adesivo do rótulo|"&amp;AB117,tbl_regras_dfr[Chave],0)),"Sem regra"))</f>
        <v>A</v>
      </c>
      <c r="AR117" s="33" t="str">
        <f>IF(LEFT(L117,9)="Sem fluxo","—",IFERROR(INDEX(tbl_regras_dfr[Classe],MATCH(L117&amp;"|Cobertura do rótulo|"&amp;IF(AC117&gt;0.7,"&gt; 70% da superfície","≤ 70% da superfície"),tbl_regras_dfr[Chave],0)),"Sem regra"))</f>
        <v>A</v>
      </c>
      <c r="AS117" s="33" t="str">
        <f>IF(LEFT(L117,9)="Sem fluxo","—",IFERROR(INDEX(tbl_regras_dfr[Classe],MATCH(L117&amp;"|Decoração direta|"&amp;AH117,tbl_regras_dfr[Chave],0)),"Sem regra"))</f>
        <v>A</v>
      </c>
      <c r="AT117" s="31">
        <f t="shared" si="56"/>
        <v>3</v>
      </c>
      <c r="AU117" s="33" t="str">
        <f>IF(AT117=0,"",INDEX({"A","B","C","D","E","F"},AT117))</f>
        <v>C</v>
      </c>
      <c r="AV117" s="31">
        <f t="shared" si="57"/>
        <v>0</v>
      </c>
      <c r="AW117" s="33" t="str">
        <f t="shared" si="58"/>
        <v>Rotulo</v>
      </c>
      <c r="AX117" s="33" t="str">
        <f>IF(AU117="A","Sem ação — manter o design.",IFERROR(INDEX(tbl_regras_dfr[Recomendacao],MATCH(CHOOSE(MATCH(AU117,AJ117:AS117,0),L117&amp;"|Fluxo de reciclagem|"&amp;L117,L117&amp;"|Cor do corpo|"&amp;O117,L117&amp;"|Densidade do corpo|"&amp;IF(R117&lt;1,"&lt; 1,0 g/cm³","≥ 1,0 g/cm³"),L117&amp;"|Barreira / revestimento|"&amp;S117,L117&amp;"|Material da tampa|"&amp;X117,L117&amp;"|Vedante / liner|"&amp;Z117,L117&amp;"|Tipo de rótulo|"&amp;AA117,L117&amp;"|Adesivo do rótulo|"&amp;AB117,L117&amp;"|Cobertura do rótulo|"&amp;IF(AC117&gt;0.7,"&gt; 70% da superfície","≤ 70% da superfície"),L117&amp;"|Decoração direta|"&amp;AH117),tbl_regras_dfr[Chave],0)),""))</f>
        <v>Usar rótulo de PE/PP.</v>
      </c>
      <c r="AY117" s="38">
        <f t="shared" si="59"/>
        <v>27.290000000000003</v>
      </c>
      <c r="AZ117" s="36">
        <f>MIN(IFERROR(INDEX(tbl_regras_dfr[Fracao_Reciclavel],MATCH(L117&amp;"|Fluxo de reciclagem|"&amp;L117,tbl_regras_dfr[Chave],0)),0),IFERROR(INDEX(tbl_regras_dfr[Fracao_Reciclavel],MATCH(L117&amp;"|Cor do corpo|"&amp;O117,tbl_regras_dfr[Chave],0)),0))</f>
        <v>1</v>
      </c>
      <c r="BA117" s="36">
        <f>IFERROR(INDEX(tbl_regras_dfr[Fracao_Reciclavel],MATCH(L117&amp;"|Material da tampa|"&amp;X117,tbl_regras_dfr[Chave],0)),0)</f>
        <v>1</v>
      </c>
      <c r="BB117" s="36">
        <f>IFERROR(INDEX(tbl_regras_dfr[Fracao_Reciclavel],MATCH(L117&amp;"|Tipo de rótulo|"&amp;AA117,tbl_regras_dfr[Chave],0)),0)</f>
        <v>0</v>
      </c>
      <c r="BC117" s="38">
        <f t="shared" si="60"/>
        <v>27.1</v>
      </c>
      <c r="BD117" s="40">
        <f t="shared" si="61"/>
        <v>0.99303774276291679</v>
      </c>
      <c r="BE117" s="33" t="str">
        <f>IF(BD117&gt;=INDEX(tbl_param_emb[Valor],MATCH("P-06",tbl_param_emb[ID_Parametro],0)),"A",IF(BD117&gt;=INDEX(tbl_param_emb[Valor],MATCH("P-07",tbl_param_emb[ID_Parametro],0)),"B",IF(BD117&gt;=INDEX(tbl_param_emb[Valor],MATCH("P-08",tbl_param_emb[ID_Parametro],0)),"C","&lt; 70%")))</f>
        <v>A</v>
      </c>
      <c r="BF117" s="33" t="str">
        <f>IF(AU117="F","Não reciclável (F)",INDEX({"A","B","C","Abaixo de C"},MAX(MIN(AT117,4),IF(BE117="A",1,IF(BE117="B",2,IF(BE117="C",3,4))))))</f>
        <v>C</v>
      </c>
      <c r="BG117" s="33" t="str">
        <f t="shared" si="62"/>
        <v>Isento até 2035</v>
      </c>
      <c r="BH117" s="33" t="str">
        <f t="shared" si="63"/>
        <v>Isento até 2035</v>
      </c>
      <c r="BI117" s="33" t="str">
        <f t="shared" si="64"/>
        <v>Isento até 2035</v>
      </c>
      <c r="BJ117" s="36">
        <f>IFERROR(INDEX(tbl_materiais[Pct_PCR],MATCH(J117,tbl_materiais[Material],0)),0)</f>
        <v>0</v>
      </c>
      <c r="BK117" s="36">
        <f>IF(V117="",0,IFERROR(INDEX(tbl_tampas[Pct_PCR],MATCH(V117,tbl_tampas[CapId],0)),0))</f>
        <v>0</v>
      </c>
      <c r="BL117" s="40">
        <f t="shared" si="65"/>
        <v>0</v>
      </c>
      <c r="BM117" s="33" t="str">
        <f t="shared" si="66"/>
        <v>Isenta — medicamentos (art. 7.º)</v>
      </c>
      <c r="BN117" s="36" t="str">
        <f>IFERROR(IF(INDEX(tbl_metas_art7[Meta_2030],MATCH(BM117,tbl_metas_art7[Categoria_Art7],0))="","",INDEX(tbl_metas_art7[Meta_2030],MATCH(BM117,tbl_metas_art7[Categoria_Art7],0))),"")</f>
        <v/>
      </c>
      <c r="BO117" s="40" t="str">
        <f t="shared" si="67"/>
        <v/>
      </c>
      <c r="BP117" s="33" t="str">
        <f t="shared" si="68"/>
        <v>Isento</v>
      </c>
      <c r="BQ117" s="33" t="str">
        <f t="shared" si="69"/>
        <v>Multimaterial</v>
      </c>
      <c r="BR117" s="37">
        <v>202596</v>
      </c>
      <c r="BS117" s="39">
        <v>3</v>
      </c>
      <c r="BT117" s="26" t="s">
        <v>501</v>
      </c>
      <c r="BU117" s="32">
        <f t="shared" si="70"/>
        <v>2147.5176000000001</v>
      </c>
      <c r="BV117" s="31">
        <f>COUNTIFS(tbl_aplicabilidade[ProductId],B117,tbl_aplicabilidade[Aplicavel],"Sim")</f>
        <v>12</v>
      </c>
      <c r="BW117" s="31">
        <f>COUNTIFS(tbl_aplicabilidade[ProductId],B117,tbl_aplicabilidade[Estado_Resumo],"Lacuna")+COUNTIFS(tbl_aplicabilidade[ProductId],B117,tbl_aplicabilidade[Estado_Resumo],"Não conforme")</f>
        <v>1</v>
      </c>
      <c r="BX117" s="41">
        <v>46287</v>
      </c>
      <c r="BY117" s="42">
        <f t="shared" si="71"/>
        <v>46652</v>
      </c>
      <c r="BZ117" s="26" t="s">
        <v>596</v>
      </c>
      <c r="CA117" s="26" t="s">
        <v>597</v>
      </c>
      <c r="CB117" s="26" t="s">
        <v>598</v>
      </c>
    </row>
  </sheetData>
  <conditionalFormatting sqref="AJ5:AS317">
    <cfRule type="expression" dxfId="76" priority="18">
      <formula>ISNUMBER(SEARCH("F",AJ5))</formula>
    </cfRule>
    <cfRule type="expression" dxfId="75" priority="19">
      <formula>ISNUMBER(SEARCH("D",AJ5))</formula>
    </cfRule>
    <cfRule type="expression" dxfId="74" priority="20">
      <formula>ISNUMBER(SEARCH("C",AJ5))</formula>
    </cfRule>
    <cfRule type="expression" dxfId="73" priority="21">
      <formula>ISNUMBER(SEARCH("B",AJ5))</formula>
    </cfRule>
  </conditionalFormatting>
  <conditionalFormatting sqref="AU5:AU317">
    <cfRule type="expression" dxfId="72" priority="1">
      <formula>ISNUMBER(SEARCH("A",AU5))</formula>
    </cfRule>
    <cfRule type="expression" dxfId="71" priority="2">
      <formula>ISNUMBER(SEARCH("B",AU5))</formula>
    </cfRule>
    <cfRule type="expression" dxfId="70" priority="3">
      <formula>ISNUMBER(SEARCH("C",AU5))</formula>
    </cfRule>
    <cfRule type="expression" dxfId="69" priority="4">
      <formula>ISNUMBER(SEARCH("D",AU5))</formula>
    </cfRule>
    <cfRule type="expression" dxfId="68" priority="5">
      <formula>ISNUMBER(SEARCH("F",AU5))</formula>
    </cfRule>
  </conditionalFormatting>
  <conditionalFormatting sqref="AV5:AV317">
    <cfRule type="expression" dxfId="67" priority="17">
      <formula>AND(ISNUMBER(AV5),AV5&gt;0)</formula>
    </cfRule>
  </conditionalFormatting>
  <conditionalFormatting sqref="BF5:BF317">
    <cfRule type="expression" dxfId="66" priority="6">
      <formula>ISNUMBER(SEARCH("Não reciclável",BF5))</formula>
    </cfRule>
    <cfRule type="expression" dxfId="65" priority="7">
      <formula>ISNUMBER(SEARCH("Abaixo",BF5))</formula>
    </cfRule>
    <cfRule type="expression" dxfId="64" priority="8">
      <formula>ISNUMBER(SEARCH("A",BF5))</formula>
    </cfRule>
    <cfRule type="expression" dxfId="63" priority="9">
      <formula>ISNUMBER(SEARCH("B",BF5))</formula>
    </cfRule>
    <cfRule type="expression" dxfId="62" priority="10">
      <formula>ISNUMBER(SEARCH("C",BF5))</formula>
    </cfRule>
  </conditionalFormatting>
  <conditionalFormatting sqref="BH5:BH317">
    <cfRule type="expression" dxfId="61" priority="11">
      <formula>ISNUMBER(SEARCH("Não",BH5))</formula>
    </cfRule>
    <cfRule type="expression" dxfId="60" priority="12">
      <formula>ISNUMBER(SEARCH("Sim",BH5))</formula>
    </cfRule>
    <cfRule type="expression" dxfId="59" priority="13">
      <formula>ISNUMBER(SEARCH("Isento",BH5))</formula>
    </cfRule>
  </conditionalFormatting>
  <conditionalFormatting sqref="BP5:BP317">
    <cfRule type="expression" dxfId="58" priority="14">
      <formula>ISNUMBER(SEARCH("Não",BP5))</formula>
    </cfRule>
    <cfRule type="expression" dxfId="57" priority="15">
      <formula>ISNUMBER(SEARCH("Sim",BP5))</formula>
    </cfRule>
    <cfRule type="expression" dxfId="56" priority="16">
      <formula>ISNUMBER(SEARCH("Isento",BP5))</formula>
    </cfRule>
  </conditionalFormatting>
  <dataValidations count="10">
    <dataValidation type="list" allowBlank="1" showErrorMessage="1" errorTitle="Valor inválido" error="Valor fora da lista controlada (ver folha Listas)." sqref="D5:D317" xr:uid="{00000000-0002-0000-0700-000000000000}">
      <formula1>lst_Segmento</formula1>
    </dataValidation>
    <dataValidation type="list" allowBlank="1" showErrorMessage="1" errorTitle="Valor inválido" error="Valor fora da lista controlada (ver folha Listas)." sqref="J5:J317" xr:uid="{00000000-0002-0000-0700-000001000000}">
      <formula1>lst_Material</formula1>
    </dataValidation>
    <dataValidation type="list" allowBlank="1" showErrorMessage="1" errorTitle="Valor inválido" error="Valor fora da lista controlada (ver folha Listas)." sqref="O5:O317" xr:uid="{00000000-0002-0000-0700-000002000000}">
      <formula1>lst_CorCorpo</formula1>
    </dataValidation>
    <dataValidation type="list" allowBlank="1" showErrorMessage="1" errorTitle="Valor inválido" error="Valor fora da lista controlada (ver folha Listas)." sqref="S5:S317" xr:uid="{00000000-0002-0000-0700-000003000000}">
      <formula1>lst_Barreira</formula1>
    </dataValidation>
    <dataValidation type="list" allowBlank="1" showErrorMessage="1" errorTitle="Valor inválido" error="Valor fora da lista controlada (ver folha Listas)." sqref="Z5:Z317" xr:uid="{00000000-0002-0000-0700-000005000000}">
      <formula1>lst_Vedante</formula1>
    </dataValidation>
    <dataValidation type="list" allowBlank="1" showErrorMessage="1" errorTitle="Valor inválido" error="Valor fora da lista controlada (ver folha Listas)." sqref="AA5:AA317" xr:uid="{00000000-0002-0000-0700-000006000000}">
      <formula1>lst_Rotulo</formula1>
    </dataValidation>
    <dataValidation type="list" allowBlank="1" showErrorMessage="1" errorTitle="Valor inválido" error="Valor fora da lista controlada (ver folha Listas)." sqref="AB5:AB317" xr:uid="{00000000-0002-0000-0700-000007000000}">
      <formula1>lst_Adesivo</formula1>
    </dataValidation>
    <dataValidation type="list" allowBlank="1" showErrorMessage="1" errorTitle="Valor inválido" error="Valor fora da lista controlada (ver folha Listas)." sqref="AF5:AF317" xr:uid="{00000000-0002-0000-0700-000008000000}">
      <formula1>lst_Decoracao</formula1>
    </dataValidation>
    <dataValidation type="list" allowBlank="1" showErrorMessage="1" errorTitle="Valor inválido" error="Valor fora da lista controlada (ver folha Listas)." sqref="BZ5:BZ317" xr:uid="{00000000-0002-0000-0700-000009000000}">
      <formula1>lst_Funcao</formula1>
    </dataValidation>
    <dataValidation type="list" allowBlank="1" showErrorMessage="1" errorTitle="Valor inválido" error="Valor fora da lista controlada (ver folha Listas)." sqref="CA5:CA317" xr:uid="{00000000-0002-0000-0700-00000A000000}">
      <formula1>lst_EstadoAval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Valor inválido" error="Valor fora da lista controlada (ver folha Listas)." xr:uid="{00000000-0002-0000-0700-000004000000}">
          <x14:formula1>
            <xm:f>Tampas!$A$2:$A$37</xm:f>
          </x14:formula1>
          <xm:sqref>V5:V317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G109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20" customWidth="1"/>
    <col min="3" max="3" width="8" customWidth="1"/>
    <col min="4" max="4" width="7" customWidth="1"/>
    <col min="5" max="5" width="9" customWidth="1"/>
    <col min="6" max="6" width="50" customWidth="1"/>
    <col min="7" max="7" width="30" customWidth="1"/>
  </cols>
  <sheetData>
    <row r="1" spans="1:7" ht="39.6" x14ac:dyDescent="0.3">
      <c r="A1" s="12" t="s">
        <v>411</v>
      </c>
      <c r="B1" s="12" t="s">
        <v>881</v>
      </c>
      <c r="C1" s="30" t="s">
        <v>533</v>
      </c>
      <c r="D1" s="30" t="s">
        <v>112</v>
      </c>
      <c r="E1" s="30" t="s">
        <v>268</v>
      </c>
      <c r="F1" s="30" t="s">
        <v>269</v>
      </c>
      <c r="G1" s="30" t="s">
        <v>882</v>
      </c>
    </row>
    <row r="2" spans="1:7" ht="18" customHeight="1" x14ac:dyDescent="0.3">
      <c r="A2" s="26" t="s">
        <v>421</v>
      </c>
      <c r="B2" s="26" t="s">
        <v>225</v>
      </c>
      <c r="C2" s="33" t="str">
        <f>IFERROR(INDEX(tbl_tampas[Polimero_Base],MATCH(A2,tbl_tampas[CapId],0)),"")</f>
        <v>PE</v>
      </c>
      <c r="D2" s="33" t="str">
        <f>IFERROR(INDEX(tbl_regras_dfr[Classe],MATCH(B2&amp;"|Material da tampa|"&amp;C2,tbl_regras_dfr[Chave],0)),"Sem regra")</f>
        <v>A</v>
      </c>
      <c r="E2" s="36">
        <f>IFERROR(INDEX(tbl_regras_dfr[Fracao_Reciclavel],MATCH(B2&amp;"|Material da tampa|"&amp;C2,tbl_regras_dfr[Chave],0)),0)</f>
        <v>1</v>
      </c>
      <c r="F2" s="33" t="str">
        <f>IFERROR(INDEX(tbl_regras_dfr[Fundamentacao],MATCH(B2&amp;"|Material da tampa|"&amp;C2,tbl_regras_dfr[Chave],0)),"")</f>
        <v>Poliolefina: reciclada com o corpo ou no fluxo de poliolefinas.</v>
      </c>
      <c r="G2" s="33" t="str">
        <f t="shared" ref="G2:G33" si="0">IF(D2="A","Recomendada",IF(D2="B","Aceitável (perda de massa)","Evitar neste fluxo"))</f>
        <v>Recomendada</v>
      </c>
    </row>
    <row r="3" spans="1:7" ht="18" customHeight="1" x14ac:dyDescent="0.3">
      <c r="A3" s="26" t="s">
        <v>421</v>
      </c>
      <c r="B3" s="26" t="s">
        <v>241</v>
      </c>
      <c r="C3" s="33" t="str">
        <f>IFERROR(INDEX(tbl_tampas[Polimero_Base],MATCH(A3,tbl_tampas[CapId],0)),"")</f>
        <v>PE</v>
      </c>
      <c r="D3" s="33" t="str">
        <f>IFERROR(INDEX(tbl_regras_dfr[Classe],MATCH(B3&amp;"|Material da tampa|"&amp;C3,tbl_regras_dfr[Chave],0)),"Sem regra")</f>
        <v>A</v>
      </c>
      <c r="E3" s="36">
        <f>IFERROR(INDEX(tbl_regras_dfr[Fracao_Reciclavel],MATCH(B3&amp;"|Material da tampa|"&amp;C3,tbl_regras_dfr[Chave],0)),0)</f>
        <v>1</v>
      </c>
      <c r="F3" s="33" t="str">
        <f>IFERROR(INDEX(tbl_regras_dfr[Fundamentacao],MATCH(B3&amp;"|Material da tampa|"&amp;C3,tbl_regras_dfr[Chave],0)),"")</f>
        <v>Poliolefina: reciclada com o corpo ou no fluxo de poliolefinas.</v>
      </c>
      <c r="G3" s="33" t="str">
        <f t="shared" si="0"/>
        <v>Recomendada</v>
      </c>
    </row>
    <row r="4" spans="1:7" ht="18" customHeight="1" x14ac:dyDescent="0.3">
      <c r="A4" s="26" t="s">
        <v>421</v>
      </c>
      <c r="B4" s="26" t="s">
        <v>250</v>
      </c>
      <c r="C4" s="33" t="str">
        <f>IFERROR(INDEX(tbl_tampas[Polimero_Base],MATCH(A4,tbl_tampas[CapId],0)),"")</f>
        <v>PE</v>
      </c>
      <c r="D4" s="33" t="str">
        <f>IFERROR(INDEX(tbl_regras_dfr[Classe],MATCH(B4&amp;"|Material da tampa|"&amp;C4,tbl_regras_dfr[Chave],0)),"Sem regra")</f>
        <v>A</v>
      </c>
      <c r="E4" s="36">
        <f>IFERROR(INDEX(tbl_regras_dfr[Fracao_Reciclavel],MATCH(B4&amp;"|Material da tampa|"&amp;C4,tbl_regras_dfr[Chave],0)),0)</f>
        <v>1</v>
      </c>
      <c r="F4" s="33" t="str">
        <f>IFERROR(INDEX(tbl_regras_dfr[Fundamentacao],MATCH(B4&amp;"|Material da tampa|"&amp;C4,tbl_regras_dfr[Chave],0)),"")</f>
        <v>Flutua e é separada; reciclada no fluxo de poliolefinas.</v>
      </c>
      <c r="G4" s="33" t="str">
        <f t="shared" si="0"/>
        <v>Recomendada</v>
      </c>
    </row>
    <row r="5" spans="1:7" ht="18" customHeight="1" x14ac:dyDescent="0.3">
      <c r="A5" s="26" t="s">
        <v>427</v>
      </c>
      <c r="B5" s="26" t="s">
        <v>225</v>
      </c>
      <c r="C5" s="33" t="str">
        <f>IFERROR(INDEX(tbl_tampas[Polimero_Base],MATCH(A5,tbl_tampas[CapId],0)),"")</f>
        <v>PP</v>
      </c>
      <c r="D5" s="33" t="str">
        <f>IFERROR(INDEX(tbl_regras_dfr[Classe],MATCH(B5&amp;"|Material da tampa|"&amp;C5,tbl_regras_dfr[Chave],0)),"Sem regra")</f>
        <v>A</v>
      </c>
      <c r="E5" s="36">
        <f>IFERROR(INDEX(tbl_regras_dfr[Fracao_Reciclavel],MATCH(B5&amp;"|Material da tampa|"&amp;C5,tbl_regras_dfr[Chave],0)),0)</f>
        <v>1</v>
      </c>
      <c r="F5" s="33" t="str">
        <f>IFERROR(INDEX(tbl_regras_dfr[Fundamentacao],MATCH(B5&amp;"|Material da tampa|"&amp;C5,tbl_regras_dfr[Chave],0)),"")</f>
        <v>Poliolefina: flutua e é reciclada no fluxo de poliolefinas.</v>
      </c>
      <c r="G5" s="33" t="str">
        <f t="shared" si="0"/>
        <v>Recomendada</v>
      </c>
    </row>
    <row r="6" spans="1:7" ht="18" customHeight="1" x14ac:dyDescent="0.3">
      <c r="A6" s="26" t="s">
        <v>427</v>
      </c>
      <c r="B6" s="26" t="s">
        <v>241</v>
      </c>
      <c r="C6" s="33" t="str">
        <f>IFERROR(INDEX(tbl_tampas[Polimero_Base],MATCH(A6,tbl_tampas[CapId],0)),"")</f>
        <v>PP</v>
      </c>
      <c r="D6" s="33" t="str">
        <f>IFERROR(INDEX(tbl_regras_dfr[Classe],MATCH(B6&amp;"|Material da tampa|"&amp;C6,tbl_regras_dfr[Chave],0)),"Sem regra")</f>
        <v>A</v>
      </c>
      <c r="E6" s="36">
        <f>IFERROR(INDEX(tbl_regras_dfr[Fracao_Reciclavel],MATCH(B6&amp;"|Material da tampa|"&amp;C6,tbl_regras_dfr[Chave],0)),0)</f>
        <v>1</v>
      </c>
      <c r="F6" s="33" t="str">
        <f>IFERROR(INDEX(tbl_regras_dfr[Fundamentacao],MATCH(B6&amp;"|Material da tampa|"&amp;C6,tbl_regras_dfr[Chave],0)),"")</f>
        <v>Poliolefina: flutua e é reciclada no fluxo de poliolefinas.</v>
      </c>
      <c r="G6" s="33" t="str">
        <f t="shared" si="0"/>
        <v>Recomendada</v>
      </c>
    </row>
    <row r="7" spans="1:7" ht="18" customHeight="1" x14ac:dyDescent="0.3">
      <c r="A7" s="26" t="s">
        <v>427</v>
      </c>
      <c r="B7" s="26" t="s">
        <v>250</v>
      </c>
      <c r="C7" s="33" t="str">
        <f>IFERROR(INDEX(tbl_tampas[Polimero_Base],MATCH(A7,tbl_tampas[CapId],0)),"")</f>
        <v>PP</v>
      </c>
      <c r="D7" s="33" t="str">
        <f>IFERROR(INDEX(tbl_regras_dfr[Classe],MATCH(B7&amp;"|Material da tampa|"&amp;C7,tbl_regras_dfr[Chave],0)),"Sem regra")</f>
        <v>A</v>
      </c>
      <c r="E7" s="36">
        <f>IFERROR(INDEX(tbl_regras_dfr[Fracao_Reciclavel],MATCH(B7&amp;"|Material da tampa|"&amp;C7,tbl_regras_dfr[Chave],0)),0)</f>
        <v>1</v>
      </c>
      <c r="F7" s="33" t="str">
        <f>IFERROR(INDEX(tbl_regras_dfr[Fundamentacao],MATCH(B7&amp;"|Material da tampa|"&amp;C7,tbl_regras_dfr[Chave],0)),"")</f>
        <v>Flutua e é separada; reciclada no fluxo de poliolefinas.</v>
      </c>
      <c r="G7" s="33" t="str">
        <f t="shared" si="0"/>
        <v>Recomendada</v>
      </c>
    </row>
    <row r="8" spans="1:7" ht="18" customHeight="1" x14ac:dyDescent="0.3">
      <c r="A8" s="26" t="s">
        <v>430</v>
      </c>
      <c r="B8" s="26" t="s">
        <v>225</v>
      </c>
      <c r="C8" s="33" t="str">
        <f>IFERROR(INDEX(tbl_tampas[Polimero_Base],MATCH(A8,tbl_tampas[CapId],0)),"")</f>
        <v>PP</v>
      </c>
      <c r="D8" s="33" t="str">
        <f>IFERROR(INDEX(tbl_regras_dfr[Classe],MATCH(B8&amp;"|Material da tampa|"&amp;C8,tbl_regras_dfr[Chave],0)),"Sem regra")</f>
        <v>A</v>
      </c>
      <c r="E8" s="36">
        <f>IFERROR(INDEX(tbl_regras_dfr[Fracao_Reciclavel],MATCH(B8&amp;"|Material da tampa|"&amp;C8,tbl_regras_dfr[Chave],0)),0)</f>
        <v>1</v>
      </c>
      <c r="F8" s="33" t="str">
        <f>IFERROR(INDEX(tbl_regras_dfr[Fundamentacao],MATCH(B8&amp;"|Material da tampa|"&amp;C8,tbl_regras_dfr[Chave],0)),"")</f>
        <v>Poliolefina: flutua e é reciclada no fluxo de poliolefinas.</v>
      </c>
      <c r="G8" s="33" t="str">
        <f t="shared" si="0"/>
        <v>Recomendada</v>
      </c>
    </row>
    <row r="9" spans="1:7" ht="18" customHeight="1" x14ac:dyDescent="0.3">
      <c r="A9" s="26" t="s">
        <v>430</v>
      </c>
      <c r="B9" s="26" t="s">
        <v>241</v>
      </c>
      <c r="C9" s="33" t="str">
        <f>IFERROR(INDEX(tbl_tampas[Polimero_Base],MATCH(A9,tbl_tampas[CapId],0)),"")</f>
        <v>PP</v>
      </c>
      <c r="D9" s="33" t="str">
        <f>IFERROR(INDEX(tbl_regras_dfr[Classe],MATCH(B9&amp;"|Material da tampa|"&amp;C9,tbl_regras_dfr[Chave],0)),"Sem regra")</f>
        <v>A</v>
      </c>
      <c r="E9" s="36">
        <f>IFERROR(INDEX(tbl_regras_dfr[Fracao_Reciclavel],MATCH(B9&amp;"|Material da tampa|"&amp;C9,tbl_regras_dfr[Chave],0)),0)</f>
        <v>1</v>
      </c>
      <c r="F9" s="33" t="str">
        <f>IFERROR(INDEX(tbl_regras_dfr[Fundamentacao],MATCH(B9&amp;"|Material da tampa|"&amp;C9,tbl_regras_dfr[Chave],0)),"")</f>
        <v>Poliolefina: flutua e é reciclada no fluxo de poliolefinas.</v>
      </c>
      <c r="G9" s="33" t="str">
        <f t="shared" si="0"/>
        <v>Recomendada</v>
      </c>
    </row>
    <row r="10" spans="1:7" ht="18" customHeight="1" x14ac:dyDescent="0.3">
      <c r="A10" s="26" t="s">
        <v>430</v>
      </c>
      <c r="B10" s="26" t="s">
        <v>250</v>
      </c>
      <c r="C10" s="33" t="str">
        <f>IFERROR(INDEX(tbl_tampas[Polimero_Base],MATCH(A10,tbl_tampas[CapId],0)),"")</f>
        <v>PP</v>
      </c>
      <c r="D10" s="33" t="str">
        <f>IFERROR(INDEX(tbl_regras_dfr[Classe],MATCH(B10&amp;"|Material da tampa|"&amp;C10,tbl_regras_dfr[Chave],0)),"Sem regra")</f>
        <v>A</v>
      </c>
      <c r="E10" s="36">
        <f>IFERROR(INDEX(tbl_regras_dfr[Fracao_Reciclavel],MATCH(B10&amp;"|Material da tampa|"&amp;C10,tbl_regras_dfr[Chave],0)),0)</f>
        <v>1</v>
      </c>
      <c r="F10" s="33" t="str">
        <f>IFERROR(INDEX(tbl_regras_dfr[Fundamentacao],MATCH(B10&amp;"|Material da tampa|"&amp;C10,tbl_regras_dfr[Chave],0)),"")</f>
        <v>Flutua e é separada; reciclada no fluxo de poliolefinas.</v>
      </c>
      <c r="G10" s="33" t="str">
        <f t="shared" si="0"/>
        <v>Recomendada</v>
      </c>
    </row>
    <row r="11" spans="1:7" ht="18" customHeight="1" x14ac:dyDescent="0.3">
      <c r="A11" s="26" t="s">
        <v>433</v>
      </c>
      <c r="B11" s="26" t="s">
        <v>225</v>
      </c>
      <c r="C11" s="33" t="str">
        <f>IFERROR(INDEX(tbl_tampas[Polimero_Base],MATCH(A11,tbl_tampas[CapId],0)),"")</f>
        <v>PETG</v>
      </c>
      <c r="D11" s="33" t="str">
        <f>IFERROR(INDEX(tbl_regras_dfr[Classe],MATCH(B11&amp;"|Material da tampa|"&amp;C11,tbl_regras_dfr[Chave],0)),"Sem regra")</f>
        <v>B</v>
      </c>
      <c r="E11" s="36">
        <f>IFERROR(INDEX(tbl_regras_dfr[Fracao_Reciclavel],MATCH(B11&amp;"|Material da tampa|"&amp;C11,tbl_regras_dfr[Chave],0)),0)</f>
        <v>0</v>
      </c>
      <c r="F11" s="33" t="str">
        <f>IFERROR(INDEX(tbl_regras_dfr[Fundamentacao],MATCH(B11&amp;"|Material da tampa|"&amp;C11,tbl_regras_dfr[Chave],0)),"")</f>
        <v>Afunda e é separada no afunda-flutua; massa perdida.</v>
      </c>
      <c r="G11" s="33" t="str">
        <f t="shared" si="0"/>
        <v>Aceitável (perda de massa)</v>
      </c>
    </row>
    <row r="12" spans="1:7" ht="18" customHeight="1" x14ac:dyDescent="0.3">
      <c r="A12" s="26" t="s">
        <v>433</v>
      </c>
      <c r="B12" s="26" t="s">
        <v>241</v>
      </c>
      <c r="C12" s="33" t="str">
        <f>IFERROR(INDEX(tbl_tampas[Polimero_Base],MATCH(A12,tbl_tampas[CapId],0)),"")</f>
        <v>PETG</v>
      </c>
      <c r="D12" s="33" t="str">
        <f>IFERROR(INDEX(tbl_regras_dfr[Classe],MATCH(B12&amp;"|Material da tampa|"&amp;C12,tbl_regras_dfr[Chave],0)),"Sem regra")</f>
        <v>B</v>
      </c>
      <c r="E12" s="36">
        <f>IFERROR(INDEX(tbl_regras_dfr[Fracao_Reciclavel],MATCH(B12&amp;"|Material da tampa|"&amp;C12,tbl_regras_dfr[Chave],0)),0)</f>
        <v>0</v>
      </c>
      <c r="F12" s="33" t="str">
        <f>IFERROR(INDEX(tbl_regras_dfr[Fundamentacao],MATCH(B12&amp;"|Material da tampa|"&amp;C12,tbl_regras_dfr[Chave],0)),"")</f>
        <v>Afunda e é separada no afunda-flutua; massa perdida.</v>
      </c>
      <c r="G12" s="33" t="str">
        <f t="shared" si="0"/>
        <v>Aceitável (perda de massa)</v>
      </c>
    </row>
    <row r="13" spans="1:7" ht="18" customHeight="1" x14ac:dyDescent="0.3">
      <c r="A13" s="26" t="s">
        <v>433</v>
      </c>
      <c r="B13" s="26" t="s">
        <v>250</v>
      </c>
      <c r="C13" s="33" t="str">
        <f>IFERROR(INDEX(tbl_tampas[Polimero_Base],MATCH(A13,tbl_tampas[CapId],0)),"")</f>
        <v>PETG</v>
      </c>
      <c r="D13" s="33" t="str">
        <f>IFERROR(INDEX(tbl_regras_dfr[Classe],MATCH(B13&amp;"|Material da tampa|"&amp;C13,tbl_regras_dfr[Chave],0)),"Sem regra")</f>
        <v>D</v>
      </c>
      <c r="E13" s="36">
        <f>IFERROR(INDEX(tbl_regras_dfr[Fracao_Reciclavel],MATCH(B13&amp;"|Material da tampa|"&amp;C13,tbl_regras_dfr[Chave],0)),0)</f>
        <v>0</v>
      </c>
      <c r="F13" s="33" t="str">
        <f>IFERROR(INDEX(tbl_regras_dfr[Fundamentacao],MATCH(B13&amp;"|Material da tampa|"&amp;C13,tbl_regras_dfr[Chave],0)),"")</f>
        <v>Afunda com os flocos de PET e contamina-os (aglomera na secagem).</v>
      </c>
      <c r="G13" s="33" t="str">
        <f t="shared" si="0"/>
        <v>Evitar neste fluxo</v>
      </c>
    </row>
    <row r="14" spans="1:7" ht="18" customHeight="1" x14ac:dyDescent="0.3">
      <c r="A14" s="26" t="s">
        <v>436</v>
      </c>
      <c r="B14" s="26" t="s">
        <v>225</v>
      </c>
      <c r="C14" s="33" t="str">
        <f>IFERROR(INDEX(tbl_tampas[Polimero_Base],MATCH(A14,tbl_tampas[CapId],0)),"")</f>
        <v>PE</v>
      </c>
      <c r="D14" s="33" t="str">
        <f>IFERROR(INDEX(tbl_regras_dfr[Classe],MATCH(B14&amp;"|Material da tampa|"&amp;C14,tbl_regras_dfr[Chave],0)),"Sem regra")</f>
        <v>A</v>
      </c>
      <c r="E14" s="36">
        <f>IFERROR(INDEX(tbl_regras_dfr[Fracao_Reciclavel],MATCH(B14&amp;"|Material da tampa|"&amp;C14,tbl_regras_dfr[Chave],0)),0)</f>
        <v>1</v>
      </c>
      <c r="F14" s="33" t="str">
        <f>IFERROR(INDEX(tbl_regras_dfr[Fundamentacao],MATCH(B14&amp;"|Material da tampa|"&amp;C14,tbl_regras_dfr[Chave],0)),"")</f>
        <v>Poliolefina: reciclada com o corpo ou no fluxo de poliolefinas.</v>
      </c>
      <c r="G14" s="33" t="str">
        <f t="shared" si="0"/>
        <v>Recomendada</v>
      </c>
    </row>
    <row r="15" spans="1:7" ht="18" customHeight="1" x14ac:dyDescent="0.3">
      <c r="A15" s="26" t="s">
        <v>436</v>
      </c>
      <c r="B15" s="26" t="s">
        <v>241</v>
      </c>
      <c r="C15" s="33" t="str">
        <f>IFERROR(INDEX(tbl_tampas[Polimero_Base],MATCH(A15,tbl_tampas[CapId],0)),"")</f>
        <v>PE</v>
      </c>
      <c r="D15" s="33" t="str">
        <f>IFERROR(INDEX(tbl_regras_dfr[Classe],MATCH(B15&amp;"|Material da tampa|"&amp;C15,tbl_regras_dfr[Chave],0)),"Sem regra")</f>
        <v>A</v>
      </c>
      <c r="E15" s="36">
        <f>IFERROR(INDEX(tbl_regras_dfr[Fracao_Reciclavel],MATCH(B15&amp;"|Material da tampa|"&amp;C15,tbl_regras_dfr[Chave],0)),0)</f>
        <v>1</v>
      </c>
      <c r="F15" s="33" t="str">
        <f>IFERROR(INDEX(tbl_regras_dfr[Fundamentacao],MATCH(B15&amp;"|Material da tampa|"&amp;C15,tbl_regras_dfr[Chave],0)),"")</f>
        <v>Poliolefina: reciclada com o corpo ou no fluxo de poliolefinas.</v>
      </c>
      <c r="G15" s="33" t="str">
        <f t="shared" si="0"/>
        <v>Recomendada</v>
      </c>
    </row>
    <row r="16" spans="1:7" ht="18" customHeight="1" x14ac:dyDescent="0.3">
      <c r="A16" s="26" t="s">
        <v>436</v>
      </c>
      <c r="B16" s="26" t="s">
        <v>250</v>
      </c>
      <c r="C16" s="33" t="str">
        <f>IFERROR(INDEX(tbl_tampas[Polimero_Base],MATCH(A16,tbl_tampas[CapId],0)),"")</f>
        <v>PE</v>
      </c>
      <c r="D16" s="33" t="str">
        <f>IFERROR(INDEX(tbl_regras_dfr[Classe],MATCH(B16&amp;"|Material da tampa|"&amp;C16,tbl_regras_dfr[Chave],0)),"Sem regra")</f>
        <v>A</v>
      </c>
      <c r="E16" s="36">
        <f>IFERROR(INDEX(tbl_regras_dfr[Fracao_Reciclavel],MATCH(B16&amp;"|Material da tampa|"&amp;C16,tbl_regras_dfr[Chave],0)),0)</f>
        <v>1</v>
      </c>
      <c r="F16" s="33" t="str">
        <f>IFERROR(INDEX(tbl_regras_dfr[Fundamentacao],MATCH(B16&amp;"|Material da tampa|"&amp;C16,tbl_regras_dfr[Chave],0)),"")</f>
        <v>Flutua e é separada; reciclada no fluxo de poliolefinas.</v>
      </c>
      <c r="G16" s="33" t="str">
        <f t="shared" si="0"/>
        <v>Recomendada</v>
      </c>
    </row>
    <row r="17" spans="1:7" ht="18" customHeight="1" x14ac:dyDescent="0.3">
      <c r="A17" s="26" t="s">
        <v>437</v>
      </c>
      <c r="B17" s="26" t="s">
        <v>225</v>
      </c>
      <c r="C17" s="33" t="str">
        <f>IFERROR(INDEX(tbl_tampas[Polimero_Base],MATCH(A17,tbl_tampas[CapId],0)),"")</f>
        <v>PP</v>
      </c>
      <c r="D17" s="33" t="str">
        <f>IFERROR(INDEX(tbl_regras_dfr[Classe],MATCH(B17&amp;"|Material da tampa|"&amp;C17,tbl_regras_dfr[Chave],0)),"Sem regra")</f>
        <v>A</v>
      </c>
      <c r="E17" s="36">
        <f>IFERROR(INDEX(tbl_regras_dfr[Fracao_Reciclavel],MATCH(B17&amp;"|Material da tampa|"&amp;C17,tbl_regras_dfr[Chave],0)),0)</f>
        <v>1</v>
      </c>
      <c r="F17" s="33" t="str">
        <f>IFERROR(INDEX(tbl_regras_dfr[Fundamentacao],MATCH(B17&amp;"|Material da tampa|"&amp;C17,tbl_regras_dfr[Chave],0)),"")</f>
        <v>Poliolefina: flutua e é reciclada no fluxo de poliolefinas.</v>
      </c>
      <c r="G17" s="33" t="str">
        <f t="shared" si="0"/>
        <v>Recomendada</v>
      </c>
    </row>
    <row r="18" spans="1:7" ht="18" customHeight="1" x14ac:dyDescent="0.3">
      <c r="A18" s="26" t="s">
        <v>437</v>
      </c>
      <c r="B18" s="26" t="s">
        <v>241</v>
      </c>
      <c r="C18" s="33" t="str">
        <f>IFERROR(INDEX(tbl_tampas[Polimero_Base],MATCH(A18,tbl_tampas[CapId],0)),"")</f>
        <v>PP</v>
      </c>
      <c r="D18" s="33" t="str">
        <f>IFERROR(INDEX(tbl_regras_dfr[Classe],MATCH(B18&amp;"|Material da tampa|"&amp;C18,tbl_regras_dfr[Chave],0)),"Sem regra")</f>
        <v>A</v>
      </c>
      <c r="E18" s="36">
        <f>IFERROR(INDEX(tbl_regras_dfr[Fracao_Reciclavel],MATCH(B18&amp;"|Material da tampa|"&amp;C18,tbl_regras_dfr[Chave],0)),0)</f>
        <v>1</v>
      </c>
      <c r="F18" s="33" t="str">
        <f>IFERROR(INDEX(tbl_regras_dfr[Fundamentacao],MATCH(B18&amp;"|Material da tampa|"&amp;C18,tbl_regras_dfr[Chave],0)),"")</f>
        <v>Poliolefina: flutua e é reciclada no fluxo de poliolefinas.</v>
      </c>
      <c r="G18" s="33" t="str">
        <f t="shared" si="0"/>
        <v>Recomendada</v>
      </c>
    </row>
    <row r="19" spans="1:7" ht="18" customHeight="1" x14ac:dyDescent="0.3">
      <c r="A19" s="26" t="s">
        <v>437</v>
      </c>
      <c r="B19" s="26" t="s">
        <v>250</v>
      </c>
      <c r="C19" s="33" t="str">
        <f>IFERROR(INDEX(tbl_tampas[Polimero_Base],MATCH(A19,tbl_tampas[CapId],0)),"")</f>
        <v>PP</v>
      </c>
      <c r="D19" s="33" t="str">
        <f>IFERROR(INDEX(tbl_regras_dfr[Classe],MATCH(B19&amp;"|Material da tampa|"&amp;C19,tbl_regras_dfr[Chave],0)),"Sem regra")</f>
        <v>A</v>
      </c>
      <c r="E19" s="36">
        <f>IFERROR(INDEX(tbl_regras_dfr[Fracao_Reciclavel],MATCH(B19&amp;"|Material da tampa|"&amp;C19,tbl_regras_dfr[Chave],0)),0)</f>
        <v>1</v>
      </c>
      <c r="F19" s="33" t="str">
        <f>IFERROR(INDEX(tbl_regras_dfr[Fundamentacao],MATCH(B19&amp;"|Material da tampa|"&amp;C19,tbl_regras_dfr[Chave],0)),"")</f>
        <v>Flutua e é separada; reciclada no fluxo de poliolefinas.</v>
      </c>
      <c r="G19" s="33" t="str">
        <f t="shared" si="0"/>
        <v>Recomendada</v>
      </c>
    </row>
    <row r="20" spans="1:7" ht="18" customHeight="1" x14ac:dyDescent="0.3">
      <c r="A20" s="26" t="s">
        <v>438</v>
      </c>
      <c r="B20" s="26" t="s">
        <v>225</v>
      </c>
      <c r="C20" s="33" t="str">
        <f>IFERROR(INDEX(tbl_tampas[Polimero_Base],MATCH(A20,tbl_tampas[CapId],0)),"")</f>
        <v>PP</v>
      </c>
      <c r="D20" s="33" t="str">
        <f>IFERROR(INDEX(tbl_regras_dfr[Classe],MATCH(B20&amp;"|Material da tampa|"&amp;C20,tbl_regras_dfr[Chave],0)),"Sem regra")</f>
        <v>A</v>
      </c>
      <c r="E20" s="36">
        <f>IFERROR(INDEX(tbl_regras_dfr[Fracao_Reciclavel],MATCH(B20&amp;"|Material da tampa|"&amp;C20,tbl_regras_dfr[Chave],0)),0)</f>
        <v>1</v>
      </c>
      <c r="F20" s="33" t="str">
        <f>IFERROR(INDEX(tbl_regras_dfr[Fundamentacao],MATCH(B20&amp;"|Material da tampa|"&amp;C20,tbl_regras_dfr[Chave],0)),"")</f>
        <v>Poliolefina: flutua e é reciclada no fluxo de poliolefinas.</v>
      </c>
      <c r="G20" s="33" t="str">
        <f t="shared" si="0"/>
        <v>Recomendada</v>
      </c>
    </row>
    <row r="21" spans="1:7" ht="18" customHeight="1" x14ac:dyDescent="0.3">
      <c r="A21" s="26" t="s">
        <v>438</v>
      </c>
      <c r="B21" s="26" t="s">
        <v>241</v>
      </c>
      <c r="C21" s="33" t="str">
        <f>IFERROR(INDEX(tbl_tampas[Polimero_Base],MATCH(A21,tbl_tampas[CapId],0)),"")</f>
        <v>PP</v>
      </c>
      <c r="D21" s="33" t="str">
        <f>IFERROR(INDEX(tbl_regras_dfr[Classe],MATCH(B21&amp;"|Material da tampa|"&amp;C21,tbl_regras_dfr[Chave],0)),"Sem regra")</f>
        <v>A</v>
      </c>
      <c r="E21" s="36">
        <f>IFERROR(INDEX(tbl_regras_dfr[Fracao_Reciclavel],MATCH(B21&amp;"|Material da tampa|"&amp;C21,tbl_regras_dfr[Chave],0)),0)</f>
        <v>1</v>
      </c>
      <c r="F21" s="33" t="str">
        <f>IFERROR(INDEX(tbl_regras_dfr[Fundamentacao],MATCH(B21&amp;"|Material da tampa|"&amp;C21,tbl_regras_dfr[Chave],0)),"")</f>
        <v>Poliolefina: flutua e é reciclada no fluxo de poliolefinas.</v>
      </c>
      <c r="G21" s="33" t="str">
        <f t="shared" si="0"/>
        <v>Recomendada</v>
      </c>
    </row>
    <row r="22" spans="1:7" ht="18" customHeight="1" x14ac:dyDescent="0.3">
      <c r="A22" s="26" t="s">
        <v>438</v>
      </c>
      <c r="B22" s="26" t="s">
        <v>250</v>
      </c>
      <c r="C22" s="33" t="str">
        <f>IFERROR(INDEX(tbl_tampas[Polimero_Base],MATCH(A22,tbl_tampas[CapId],0)),"")</f>
        <v>PP</v>
      </c>
      <c r="D22" s="33" t="str">
        <f>IFERROR(INDEX(tbl_regras_dfr[Classe],MATCH(B22&amp;"|Material da tampa|"&amp;C22,tbl_regras_dfr[Chave],0)),"Sem regra")</f>
        <v>A</v>
      </c>
      <c r="E22" s="36">
        <f>IFERROR(INDEX(tbl_regras_dfr[Fracao_Reciclavel],MATCH(B22&amp;"|Material da tampa|"&amp;C22,tbl_regras_dfr[Chave],0)),0)</f>
        <v>1</v>
      </c>
      <c r="F22" s="33" t="str">
        <f>IFERROR(INDEX(tbl_regras_dfr[Fundamentacao],MATCH(B22&amp;"|Material da tampa|"&amp;C22,tbl_regras_dfr[Chave],0)),"")</f>
        <v>Flutua e é separada; reciclada no fluxo de poliolefinas.</v>
      </c>
      <c r="G22" s="33" t="str">
        <f t="shared" si="0"/>
        <v>Recomendada</v>
      </c>
    </row>
    <row r="23" spans="1:7" ht="18" customHeight="1" x14ac:dyDescent="0.3">
      <c r="A23" s="26" t="s">
        <v>439</v>
      </c>
      <c r="B23" s="26" t="s">
        <v>225</v>
      </c>
      <c r="C23" s="33" t="str">
        <f>IFERROR(INDEX(tbl_tampas[Polimero_Base],MATCH(A23,tbl_tampas[CapId],0)),"")</f>
        <v>PETG</v>
      </c>
      <c r="D23" s="33" t="str">
        <f>IFERROR(INDEX(tbl_regras_dfr[Classe],MATCH(B23&amp;"|Material da tampa|"&amp;C23,tbl_regras_dfr[Chave],0)),"Sem regra")</f>
        <v>B</v>
      </c>
      <c r="E23" s="36">
        <f>IFERROR(INDEX(tbl_regras_dfr[Fracao_Reciclavel],MATCH(B23&amp;"|Material da tampa|"&amp;C23,tbl_regras_dfr[Chave],0)),0)</f>
        <v>0</v>
      </c>
      <c r="F23" s="33" t="str">
        <f>IFERROR(INDEX(tbl_regras_dfr[Fundamentacao],MATCH(B23&amp;"|Material da tampa|"&amp;C23,tbl_regras_dfr[Chave],0)),"")</f>
        <v>Afunda e é separada no afunda-flutua; massa perdida.</v>
      </c>
      <c r="G23" s="33" t="str">
        <f t="shared" si="0"/>
        <v>Aceitável (perda de massa)</v>
      </c>
    </row>
    <row r="24" spans="1:7" ht="18" customHeight="1" x14ac:dyDescent="0.3">
      <c r="A24" s="26" t="s">
        <v>439</v>
      </c>
      <c r="B24" s="26" t="s">
        <v>241</v>
      </c>
      <c r="C24" s="33" t="str">
        <f>IFERROR(INDEX(tbl_tampas[Polimero_Base],MATCH(A24,tbl_tampas[CapId],0)),"")</f>
        <v>PETG</v>
      </c>
      <c r="D24" s="33" t="str">
        <f>IFERROR(INDEX(tbl_regras_dfr[Classe],MATCH(B24&amp;"|Material da tampa|"&amp;C24,tbl_regras_dfr[Chave],0)),"Sem regra")</f>
        <v>B</v>
      </c>
      <c r="E24" s="36">
        <f>IFERROR(INDEX(tbl_regras_dfr[Fracao_Reciclavel],MATCH(B24&amp;"|Material da tampa|"&amp;C24,tbl_regras_dfr[Chave],0)),0)</f>
        <v>0</v>
      </c>
      <c r="F24" s="33" t="str">
        <f>IFERROR(INDEX(tbl_regras_dfr[Fundamentacao],MATCH(B24&amp;"|Material da tampa|"&amp;C24,tbl_regras_dfr[Chave],0)),"")</f>
        <v>Afunda e é separada no afunda-flutua; massa perdida.</v>
      </c>
      <c r="G24" s="33" t="str">
        <f t="shared" si="0"/>
        <v>Aceitável (perda de massa)</v>
      </c>
    </row>
    <row r="25" spans="1:7" ht="18" customHeight="1" x14ac:dyDescent="0.3">
      <c r="A25" s="26" t="s">
        <v>439</v>
      </c>
      <c r="B25" s="26" t="s">
        <v>250</v>
      </c>
      <c r="C25" s="33" t="str">
        <f>IFERROR(INDEX(tbl_tampas[Polimero_Base],MATCH(A25,tbl_tampas[CapId],0)),"")</f>
        <v>PETG</v>
      </c>
      <c r="D25" s="33" t="str">
        <f>IFERROR(INDEX(tbl_regras_dfr[Classe],MATCH(B25&amp;"|Material da tampa|"&amp;C25,tbl_regras_dfr[Chave],0)),"Sem regra")</f>
        <v>D</v>
      </c>
      <c r="E25" s="36">
        <f>IFERROR(INDEX(tbl_regras_dfr[Fracao_Reciclavel],MATCH(B25&amp;"|Material da tampa|"&amp;C25,tbl_regras_dfr[Chave],0)),0)</f>
        <v>0</v>
      </c>
      <c r="F25" s="33" t="str">
        <f>IFERROR(INDEX(tbl_regras_dfr[Fundamentacao],MATCH(B25&amp;"|Material da tampa|"&amp;C25,tbl_regras_dfr[Chave],0)),"")</f>
        <v>Afunda com os flocos de PET e contamina-os (aglomera na secagem).</v>
      </c>
      <c r="G25" s="33" t="str">
        <f t="shared" si="0"/>
        <v>Evitar neste fluxo</v>
      </c>
    </row>
    <row r="26" spans="1:7" ht="18" customHeight="1" x14ac:dyDescent="0.3">
      <c r="A26" s="26" t="s">
        <v>440</v>
      </c>
      <c r="B26" s="26" t="s">
        <v>225</v>
      </c>
      <c r="C26" s="33" t="str">
        <f>IFERROR(INDEX(tbl_tampas[Polimero_Base],MATCH(A26,tbl_tampas[CapId],0)),"")</f>
        <v>PE</v>
      </c>
      <c r="D26" s="33" t="str">
        <f>IFERROR(INDEX(tbl_regras_dfr[Classe],MATCH(B26&amp;"|Material da tampa|"&amp;C26,tbl_regras_dfr[Chave],0)),"Sem regra")</f>
        <v>A</v>
      </c>
      <c r="E26" s="36">
        <f>IFERROR(INDEX(tbl_regras_dfr[Fracao_Reciclavel],MATCH(B26&amp;"|Material da tampa|"&amp;C26,tbl_regras_dfr[Chave],0)),0)</f>
        <v>1</v>
      </c>
      <c r="F26" s="33" t="str">
        <f>IFERROR(INDEX(tbl_regras_dfr[Fundamentacao],MATCH(B26&amp;"|Material da tampa|"&amp;C26,tbl_regras_dfr[Chave],0)),"")</f>
        <v>Poliolefina: reciclada com o corpo ou no fluxo de poliolefinas.</v>
      </c>
      <c r="G26" s="33" t="str">
        <f t="shared" si="0"/>
        <v>Recomendada</v>
      </c>
    </row>
    <row r="27" spans="1:7" ht="18" customHeight="1" x14ac:dyDescent="0.3">
      <c r="A27" s="26" t="s">
        <v>440</v>
      </c>
      <c r="B27" s="26" t="s">
        <v>241</v>
      </c>
      <c r="C27" s="33" t="str">
        <f>IFERROR(INDEX(tbl_tampas[Polimero_Base],MATCH(A27,tbl_tampas[CapId],0)),"")</f>
        <v>PE</v>
      </c>
      <c r="D27" s="33" t="str">
        <f>IFERROR(INDEX(tbl_regras_dfr[Classe],MATCH(B27&amp;"|Material da tampa|"&amp;C27,tbl_regras_dfr[Chave],0)),"Sem regra")</f>
        <v>A</v>
      </c>
      <c r="E27" s="36">
        <f>IFERROR(INDEX(tbl_regras_dfr[Fracao_Reciclavel],MATCH(B27&amp;"|Material da tampa|"&amp;C27,tbl_regras_dfr[Chave],0)),0)</f>
        <v>1</v>
      </c>
      <c r="F27" s="33" t="str">
        <f>IFERROR(INDEX(tbl_regras_dfr[Fundamentacao],MATCH(B27&amp;"|Material da tampa|"&amp;C27,tbl_regras_dfr[Chave],0)),"")</f>
        <v>Poliolefina: reciclada com o corpo ou no fluxo de poliolefinas.</v>
      </c>
      <c r="G27" s="33" t="str">
        <f t="shared" si="0"/>
        <v>Recomendada</v>
      </c>
    </row>
    <row r="28" spans="1:7" ht="18" customHeight="1" x14ac:dyDescent="0.3">
      <c r="A28" s="26" t="s">
        <v>440</v>
      </c>
      <c r="B28" s="26" t="s">
        <v>250</v>
      </c>
      <c r="C28" s="33" t="str">
        <f>IFERROR(INDEX(tbl_tampas[Polimero_Base],MATCH(A28,tbl_tampas[CapId],0)),"")</f>
        <v>PE</v>
      </c>
      <c r="D28" s="33" t="str">
        <f>IFERROR(INDEX(tbl_regras_dfr[Classe],MATCH(B28&amp;"|Material da tampa|"&amp;C28,tbl_regras_dfr[Chave],0)),"Sem regra")</f>
        <v>A</v>
      </c>
      <c r="E28" s="36">
        <f>IFERROR(INDEX(tbl_regras_dfr[Fracao_Reciclavel],MATCH(B28&amp;"|Material da tampa|"&amp;C28,tbl_regras_dfr[Chave],0)),0)</f>
        <v>1</v>
      </c>
      <c r="F28" s="33" t="str">
        <f>IFERROR(INDEX(tbl_regras_dfr[Fundamentacao],MATCH(B28&amp;"|Material da tampa|"&amp;C28,tbl_regras_dfr[Chave],0)),"")</f>
        <v>Flutua e é separada; reciclada no fluxo de poliolefinas.</v>
      </c>
      <c r="G28" s="33" t="str">
        <f t="shared" si="0"/>
        <v>Recomendada</v>
      </c>
    </row>
    <row r="29" spans="1:7" ht="18" customHeight="1" x14ac:dyDescent="0.3">
      <c r="A29" s="26" t="s">
        <v>443</v>
      </c>
      <c r="B29" s="26" t="s">
        <v>225</v>
      </c>
      <c r="C29" s="33" t="str">
        <f>IFERROR(INDEX(tbl_tampas[Polimero_Base],MATCH(A29,tbl_tampas[CapId],0)),"")</f>
        <v>PP</v>
      </c>
      <c r="D29" s="33" t="str">
        <f>IFERROR(INDEX(tbl_regras_dfr[Classe],MATCH(B29&amp;"|Material da tampa|"&amp;C29,tbl_regras_dfr[Chave],0)),"Sem regra")</f>
        <v>A</v>
      </c>
      <c r="E29" s="36">
        <f>IFERROR(INDEX(tbl_regras_dfr[Fracao_Reciclavel],MATCH(B29&amp;"|Material da tampa|"&amp;C29,tbl_regras_dfr[Chave],0)),0)</f>
        <v>1</v>
      </c>
      <c r="F29" s="33" t="str">
        <f>IFERROR(INDEX(tbl_regras_dfr[Fundamentacao],MATCH(B29&amp;"|Material da tampa|"&amp;C29,tbl_regras_dfr[Chave],0)),"")</f>
        <v>Poliolefina: flutua e é reciclada no fluxo de poliolefinas.</v>
      </c>
      <c r="G29" s="33" t="str">
        <f t="shared" si="0"/>
        <v>Recomendada</v>
      </c>
    </row>
    <row r="30" spans="1:7" ht="18" customHeight="1" x14ac:dyDescent="0.3">
      <c r="A30" s="26" t="s">
        <v>443</v>
      </c>
      <c r="B30" s="26" t="s">
        <v>241</v>
      </c>
      <c r="C30" s="33" t="str">
        <f>IFERROR(INDEX(tbl_tampas[Polimero_Base],MATCH(A30,tbl_tampas[CapId],0)),"")</f>
        <v>PP</v>
      </c>
      <c r="D30" s="33" t="str">
        <f>IFERROR(INDEX(tbl_regras_dfr[Classe],MATCH(B30&amp;"|Material da tampa|"&amp;C30,tbl_regras_dfr[Chave],0)),"Sem regra")</f>
        <v>A</v>
      </c>
      <c r="E30" s="36">
        <f>IFERROR(INDEX(tbl_regras_dfr[Fracao_Reciclavel],MATCH(B30&amp;"|Material da tampa|"&amp;C30,tbl_regras_dfr[Chave],0)),0)</f>
        <v>1</v>
      </c>
      <c r="F30" s="33" t="str">
        <f>IFERROR(INDEX(tbl_regras_dfr[Fundamentacao],MATCH(B30&amp;"|Material da tampa|"&amp;C30,tbl_regras_dfr[Chave],0)),"")</f>
        <v>Poliolefina: flutua e é reciclada no fluxo de poliolefinas.</v>
      </c>
      <c r="G30" s="33" t="str">
        <f t="shared" si="0"/>
        <v>Recomendada</v>
      </c>
    </row>
    <row r="31" spans="1:7" ht="18" customHeight="1" x14ac:dyDescent="0.3">
      <c r="A31" s="26" t="s">
        <v>443</v>
      </c>
      <c r="B31" s="26" t="s">
        <v>250</v>
      </c>
      <c r="C31" s="33" t="str">
        <f>IFERROR(INDEX(tbl_tampas[Polimero_Base],MATCH(A31,tbl_tampas[CapId],0)),"")</f>
        <v>PP</v>
      </c>
      <c r="D31" s="33" t="str">
        <f>IFERROR(INDEX(tbl_regras_dfr[Classe],MATCH(B31&amp;"|Material da tampa|"&amp;C31,tbl_regras_dfr[Chave],0)),"Sem regra")</f>
        <v>A</v>
      </c>
      <c r="E31" s="36">
        <f>IFERROR(INDEX(tbl_regras_dfr[Fracao_Reciclavel],MATCH(B31&amp;"|Material da tampa|"&amp;C31,tbl_regras_dfr[Chave],0)),0)</f>
        <v>1</v>
      </c>
      <c r="F31" s="33" t="str">
        <f>IFERROR(INDEX(tbl_regras_dfr[Fundamentacao],MATCH(B31&amp;"|Material da tampa|"&amp;C31,tbl_regras_dfr[Chave],0)),"")</f>
        <v>Flutua e é separada; reciclada no fluxo de poliolefinas.</v>
      </c>
      <c r="G31" s="33" t="str">
        <f t="shared" si="0"/>
        <v>Recomendada</v>
      </c>
    </row>
    <row r="32" spans="1:7" ht="18" customHeight="1" x14ac:dyDescent="0.3">
      <c r="A32" s="26" t="s">
        <v>445</v>
      </c>
      <c r="B32" s="26" t="s">
        <v>225</v>
      </c>
      <c r="C32" s="33" t="str">
        <f>IFERROR(INDEX(tbl_tampas[Polimero_Base],MATCH(A32,tbl_tampas[CapId],0)),"")</f>
        <v>PP</v>
      </c>
      <c r="D32" s="33" t="str">
        <f>IFERROR(INDEX(tbl_regras_dfr[Classe],MATCH(B32&amp;"|Material da tampa|"&amp;C32,tbl_regras_dfr[Chave],0)),"Sem regra")</f>
        <v>A</v>
      </c>
      <c r="E32" s="36">
        <f>IFERROR(INDEX(tbl_regras_dfr[Fracao_Reciclavel],MATCH(B32&amp;"|Material da tampa|"&amp;C32,tbl_regras_dfr[Chave],0)),0)</f>
        <v>1</v>
      </c>
      <c r="F32" s="33" t="str">
        <f>IFERROR(INDEX(tbl_regras_dfr[Fundamentacao],MATCH(B32&amp;"|Material da tampa|"&amp;C32,tbl_regras_dfr[Chave],0)),"")</f>
        <v>Poliolefina: flutua e é reciclada no fluxo de poliolefinas.</v>
      </c>
      <c r="G32" s="33" t="str">
        <f t="shared" si="0"/>
        <v>Recomendada</v>
      </c>
    </row>
    <row r="33" spans="1:7" ht="18" customHeight="1" x14ac:dyDescent="0.3">
      <c r="A33" s="26" t="s">
        <v>445</v>
      </c>
      <c r="B33" s="26" t="s">
        <v>241</v>
      </c>
      <c r="C33" s="33" t="str">
        <f>IFERROR(INDEX(tbl_tampas[Polimero_Base],MATCH(A33,tbl_tampas[CapId],0)),"")</f>
        <v>PP</v>
      </c>
      <c r="D33" s="33" t="str">
        <f>IFERROR(INDEX(tbl_regras_dfr[Classe],MATCH(B33&amp;"|Material da tampa|"&amp;C33,tbl_regras_dfr[Chave],0)),"Sem regra")</f>
        <v>A</v>
      </c>
      <c r="E33" s="36">
        <f>IFERROR(INDEX(tbl_regras_dfr[Fracao_Reciclavel],MATCH(B33&amp;"|Material da tampa|"&amp;C33,tbl_regras_dfr[Chave],0)),0)</f>
        <v>1</v>
      </c>
      <c r="F33" s="33" t="str">
        <f>IFERROR(INDEX(tbl_regras_dfr[Fundamentacao],MATCH(B33&amp;"|Material da tampa|"&amp;C33,tbl_regras_dfr[Chave],0)),"")</f>
        <v>Poliolefina: flutua e é reciclada no fluxo de poliolefinas.</v>
      </c>
      <c r="G33" s="33" t="str">
        <f t="shared" si="0"/>
        <v>Recomendada</v>
      </c>
    </row>
    <row r="34" spans="1:7" ht="18" customHeight="1" x14ac:dyDescent="0.3">
      <c r="A34" s="26" t="s">
        <v>445</v>
      </c>
      <c r="B34" s="26" t="s">
        <v>250</v>
      </c>
      <c r="C34" s="33" t="str">
        <f>IFERROR(INDEX(tbl_tampas[Polimero_Base],MATCH(A34,tbl_tampas[CapId],0)),"")</f>
        <v>PP</v>
      </c>
      <c r="D34" s="33" t="str">
        <f>IFERROR(INDEX(tbl_regras_dfr[Classe],MATCH(B34&amp;"|Material da tampa|"&amp;C34,tbl_regras_dfr[Chave],0)),"Sem regra")</f>
        <v>A</v>
      </c>
      <c r="E34" s="36">
        <f>IFERROR(INDEX(tbl_regras_dfr[Fracao_Reciclavel],MATCH(B34&amp;"|Material da tampa|"&amp;C34,tbl_regras_dfr[Chave],0)),0)</f>
        <v>1</v>
      </c>
      <c r="F34" s="33" t="str">
        <f>IFERROR(INDEX(tbl_regras_dfr[Fundamentacao],MATCH(B34&amp;"|Material da tampa|"&amp;C34,tbl_regras_dfr[Chave],0)),"")</f>
        <v>Flutua e é separada; reciclada no fluxo de poliolefinas.</v>
      </c>
      <c r="G34" s="33" t="str">
        <f t="shared" ref="G34:G65" si="1">IF(D34="A","Recomendada",IF(D34="B","Aceitável (perda de massa)","Evitar neste fluxo"))</f>
        <v>Recomendada</v>
      </c>
    </row>
    <row r="35" spans="1:7" ht="18" customHeight="1" x14ac:dyDescent="0.3">
      <c r="A35" s="26" t="s">
        <v>447</v>
      </c>
      <c r="B35" s="26" t="s">
        <v>225</v>
      </c>
      <c r="C35" s="33" t="str">
        <f>IFERROR(INDEX(tbl_tampas[Polimero_Base],MATCH(A35,tbl_tampas[CapId],0)),"")</f>
        <v>PETG</v>
      </c>
      <c r="D35" s="33" t="str">
        <f>IFERROR(INDEX(tbl_regras_dfr[Classe],MATCH(B35&amp;"|Material da tampa|"&amp;C35,tbl_regras_dfr[Chave],0)),"Sem regra")</f>
        <v>B</v>
      </c>
      <c r="E35" s="36">
        <f>IFERROR(INDEX(tbl_regras_dfr[Fracao_Reciclavel],MATCH(B35&amp;"|Material da tampa|"&amp;C35,tbl_regras_dfr[Chave],0)),0)</f>
        <v>0</v>
      </c>
      <c r="F35" s="33" t="str">
        <f>IFERROR(INDEX(tbl_regras_dfr[Fundamentacao],MATCH(B35&amp;"|Material da tampa|"&amp;C35,tbl_regras_dfr[Chave],0)),"")</f>
        <v>Afunda e é separada no afunda-flutua; massa perdida.</v>
      </c>
      <c r="G35" s="33" t="str">
        <f t="shared" si="1"/>
        <v>Aceitável (perda de massa)</v>
      </c>
    </row>
    <row r="36" spans="1:7" ht="18" customHeight="1" x14ac:dyDescent="0.3">
      <c r="A36" s="26" t="s">
        <v>447</v>
      </c>
      <c r="B36" s="26" t="s">
        <v>241</v>
      </c>
      <c r="C36" s="33" t="str">
        <f>IFERROR(INDEX(tbl_tampas[Polimero_Base],MATCH(A36,tbl_tampas[CapId],0)),"")</f>
        <v>PETG</v>
      </c>
      <c r="D36" s="33" t="str">
        <f>IFERROR(INDEX(tbl_regras_dfr[Classe],MATCH(B36&amp;"|Material da tampa|"&amp;C36,tbl_regras_dfr[Chave],0)),"Sem regra")</f>
        <v>B</v>
      </c>
      <c r="E36" s="36">
        <f>IFERROR(INDEX(tbl_regras_dfr[Fracao_Reciclavel],MATCH(B36&amp;"|Material da tampa|"&amp;C36,tbl_regras_dfr[Chave],0)),0)</f>
        <v>0</v>
      </c>
      <c r="F36" s="33" t="str">
        <f>IFERROR(INDEX(tbl_regras_dfr[Fundamentacao],MATCH(B36&amp;"|Material da tampa|"&amp;C36,tbl_regras_dfr[Chave],0)),"")</f>
        <v>Afunda e é separada no afunda-flutua; massa perdida.</v>
      </c>
      <c r="G36" s="33" t="str">
        <f t="shared" si="1"/>
        <v>Aceitável (perda de massa)</v>
      </c>
    </row>
    <row r="37" spans="1:7" ht="18" customHeight="1" x14ac:dyDescent="0.3">
      <c r="A37" s="26" t="s">
        <v>447</v>
      </c>
      <c r="B37" s="26" t="s">
        <v>250</v>
      </c>
      <c r="C37" s="33" t="str">
        <f>IFERROR(INDEX(tbl_tampas[Polimero_Base],MATCH(A37,tbl_tampas[CapId],0)),"")</f>
        <v>PETG</v>
      </c>
      <c r="D37" s="33" t="str">
        <f>IFERROR(INDEX(tbl_regras_dfr[Classe],MATCH(B37&amp;"|Material da tampa|"&amp;C37,tbl_regras_dfr[Chave],0)),"Sem regra")</f>
        <v>D</v>
      </c>
      <c r="E37" s="36">
        <f>IFERROR(INDEX(tbl_regras_dfr[Fracao_Reciclavel],MATCH(B37&amp;"|Material da tampa|"&amp;C37,tbl_regras_dfr[Chave],0)),0)</f>
        <v>0</v>
      </c>
      <c r="F37" s="33" t="str">
        <f>IFERROR(INDEX(tbl_regras_dfr[Fundamentacao],MATCH(B37&amp;"|Material da tampa|"&amp;C37,tbl_regras_dfr[Chave],0)),"")</f>
        <v>Afunda com os flocos de PET e contamina-os (aglomera na secagem).</v>
      </c>
      <c r="G37" s="33" t="str">
        <f t="shared" si="1"/>
        <v>Evitar neste fluxo</v>
      </c>
    </row>
    <row r="38" spans="1:7" ht="18" customHeight="1" x14ac:dyDescent="0.3">
      <c r="A38" s="26" t="s">
        <v>449</v>
      </c>
      <c r="B38" s="26" t="s">
        <v>225</v>
      </c>
      <c r="C38" s="33" t="str">
        <f>IFERROR(INDEX(tbl_tampas[Polimero_Base],MATCH(A38,tbl_tampas[CapId],0)),"")</f>
        <v>PE</v>
      </c>
      <c r="D38" s="33" t="str">
        <f>IFERROR(INDEX(tbl_regras_dfr[Classe],MATCH(B38&amp;"|Material da tampa|"&amp;C38,tbl_regras_dfr[Chave],0)),"Sem regra")</f>
        <v>A</v>
      </c>
      <c r="E38" s="36">
        <f>IFERROR(INDEX(tbl_regras_dfr[Fracao_Reciclavel],MATCH(B38&amp;"|Material da tampa|"&amp;C38,tbl_regras_dfr[Chave],0)),0)</f>
        <v>1</v>
      </c>
      <c r="F38" s="33" t="str">
        <f>IFERROR(INDEX(tbl_regras_dfr[Fundamentacao],MATCH(B38&amp;"|Material da tampa|"&amp;C38,tbl_regras_dfr[Chave],0)),"")</f>
        <v>Poliolefina: reciclada com o corpo ou no fluxo de poliolefinas.</v>
      </c>
      <c r="G38" s="33" t="str">
        <f t="shared" si="1"/>
        <v>Recomendada</v>
      </c>
    </row>
    <row r="39" spans="1:7" ht="18" customHeight="1" x14ac:dyDescent="0.3">
      <c r="A39" s="26" t="s">
        <v>449</v>
      </c>
      <c r="B39" s="26" t="s">
        <v>241</v>
      </c>
      <c r="C39" s="33" t="str">
        <f>IFERROR(INDEX(tbl_tampas[Polimero_Base],MATCH(A39,tbl_tampas[CapId],0)),"")</f>
        <v>PE</v>
      </c>
      <c r="D39" s="33" t="str">
        <f>IFERROR(INDEX(tbl_regras_dfr[Classe],MATCH(B39&amp;"|Material da tampa|"&amp;C39,tbl_regras_dfr[Chave],0)),"Sem regra")</f>
        <v>A</v>
      </c>
      <c r="E39" s="36">
        <f>IFERROR(INDEX(tbl_regras_dfr[Fracao_Reciclavel],MATCH(B39&amp;"|Material da tampa|"&amp;C39,tbl_regras_dfr[Chave],0)),0)</f>
        <v>1</v>
      </c>
      <c r="F39" s="33" t="str">
        <f>IFERROR(INDEX(tbl_regras_dfr[Fundamentacao],MATCH(B39&amp;"|Material da tampa|"&amp;C39,tbl_regras_dfr[Chave],0)),"")</f>
        <v>Poliolefina: reciclada com o corpo ou no fluxo de poliolefinas.</v>
      </c>
      <c r="G39" s="33" t="str">
        <f t="shared" si="1"/>
        <v>Recomendada</v>
      </c>
    </row>
    <row r="40" spans="1:7" ht="18" customHeight="1" x14ac:dyDescent="0.3">
      <c r="A40" s="26" t="s">
        <v>449</v>
      </c>
      <c r="B40" s="26" t="s">
        <v>250</v>
      </c>
      <c r="C40" s="33" t="str">
        <f>IFERROR(INDEX(tbl_tampas[Polimero_Base],MATCH(A40,tbl_tampas[CapId],0)),"")</f>
        <v>PE</v>
      </c>
      <c r="D40" s="33" t="str">
        <f>IFERROR(INDEX(tbl_regras_dfr[Classe],MATCH(B40&amp;"|Material da tampa|"&amp;C40,tbl_regras_dfr[Chave],0)),"Sem regra")</f>
        <v>A</v>
      </c>
      <c r="E40" s="36">
        <f>IFERROR(INDEX(tbl_regras_dfr[Fracao_Reciclavel],MATCH(B40&amp;"|Material da tampa|"&amp;C40,tbl_regras_dfr[Chave],0)),0)</f>
        <v>1</v>
      </c>
      <c r="F40" s="33" t="str">
        <f>IFERROR(INDEX(tbl_regras_dfr[Fundamentacao],MATCH(B40&amp;"|Material da tampa|"&amp;C40,tbl_regras_dfr[Chave],0)),"")</f>
        <v>Flutua e é separada; reciclada no fluxo de poliolefinas.</v>
      </c>
      <c r="G40" s="33" t="str">
        <f t="shared" si="1"/>
        <v>Recomendada</v>
      </c>
    </row>
    <row r="41" spans="1:7" ht="18" customHeight="1" x14ac:dyDescent="0.3">
      <c r="A41" s="26" t="s">
        <v>452</v>
      </c>
      <c r="B41" s="26" t="s">
        <v>225</v>
      </c>
      <c r="C41" s="33" t="str">
        <f>IFERROR(INDEX(tbl_tampas[Polimero_Base],MATCH(A41,tbl_tampas[CapId],0)),"")</f>
        <v>PP</v>
      </c>
      <c r="D41" s="33" t="str">
        <f>IFERROR(INDEX(tbl_regras_dfr[Classe],MATCH(B41&amp;"|Material da tampa|"&amp;C41,tbl_regras_dfr[Chave],0)),"Sem regra")</f>
        <v>A</v>
      </c>
      <c r="E41" s="36">
        <f>IFERROR(INDEX(tbl_regras_dfr[Fracao_Reciclavel],MATCH(B41&amp;"|Material da tampa|"&amp;C41,tbl_regras_dfr[Chave],0)),0)</f>
        <v>1</v>
      </c>
      <c r="F41" s="33" t="str">
        <f>IFERROR(INDEX(tbl_regras_dfr[Fundamentacao],MATCH(B41&amp;"|Material da tampa|"&amp;C41,tbl_regras_dfr[Chave],0)),"")</f>
        <v>Poliolefina: flutua e é reciclada no fluxo de poliolefinas.</v>
      </c>
      <c r="G41" s="33" t="str">
        <f t="shared" si="1"/>
        <v>Recomendada</v>
      </c>
    </row>
    <row r="42" spans="1:7" ht="18" customHeight="1" x14ac:dyDescent="0.3">
      <c r="A42" s="26" t="s">
        <v>452</v>
      </c>
      <c r="B42" s="26" t="s">
        <v>241</v>
      </c>
      <c r="C42" s="33" t="str">
        <f>IFERROR(INDEX(tbl_tampas[Polimero_Base],MATCH(A42,tbl_tampas[CapId],0)),"")</f>
        <v>PP</v>
      </c>
      <c r="D42" s="33" t="str">
        <f>IFERROR(INDEX(tbl_regras_dfr[Classe],MATCH(B42&amp;"|Material da tampa|"&amp;C42,tbl_regras_dfr[Chave],0)),"Sem regra")</f>
        <v>A</v>
      </c>
      <c r="E42" s="36">
        <f>IFERROR(INDEX(tbl_regras_dfr[Fracao_Reciclavel],MATCH(B42&amp;"|Material da tampa|"&amp;C42,tbl_regras_dfr[Chave],0)),0)</f>
        <v>1</v>
      </c>
      <c r="F42" s="33" t="str">
        <f>IFERROR(INDEX(tbl_regras_dfr[Fundamentacao],MATCH(B42&amp;"|Material da tampa|"&amp;C42,tbl_regras_dfr[Chave],0)),"")</f>
        <v>Poliolefina: flutua e é reciclada no fluxo de poliolefinas.</v>
      </c>
      <c r="G42" s="33" t="str">
        <f t="shared" si="1"/>
        <v>Recomendada</v>
      </c>
    </row>
    <row r="43" spans="1:7" ht="18" customHeight="1" x14ac:dyDescent="0.3">
      <c r="A43" s="26" t="s">
        <v>452</v>
      </c>
      <c r="B43" s="26" t="s">
        <v>250</v>
      </c>
      <c r="C43" s="33" t="str">
        <f>IFERROR(INDEX(tbl_tampas[Polimero_Base],MATCH(A43,tbl_tampas[CapId],0)),"")</f>
        <v>PP</v>
      </c>
      <c r="D43" s="33" t="str">
        <f>IFERROR(INDEX(tbl_regras_dfr[Classe],MATCH(B43&amp;"|Material da tampa|"&amp;C43,tbl_regras_dfr[Chave],0)),"Sem regra")</f>
        <v>A</v>
      </c>
      <c r="E43" s="36">
        <f>IFERROR(INDEX(tbl_regras_dfr[Fracao_Reciclavel],MATCH(B43&amp;"|Material da tampa|"&amp;C43,tbl_regras_dfr[Chave],0)),0)</f>
        <v>1</v>
      </c>
      <c r="F43" s="33" t="str">
        <f>IFERROR(INDEX(tbl_regras_dfr[Fundamentacao],MATCH(B43&amp;"|Material da tampa|"&amp;C43,tbl_regras_dfr[Chave],0)),"")</f>
        <v>Flutua e é separada; reciclada no fluxo de poliolefinas.</v>
      </c>
      <c r="G43" s="33" t="str">
        <f t="shared" si="1"/>
        <v>Recomendada</v>
      </c>
    </row>
    <row r="44" spans="1:7" ht="18" customHeight="1" x14ac:dyDescent="0.3">
      <c r="A44" s="26" t="s">
        <v>455</v>
      </c>
      <c r="B44" s="26" t="s">
        <v>225</v>
      </c>
      <c r="C44" s="33" t="str">
        <f>IFERROR(INDEX(tbl_tampas[Polimero_Base],MATCH(A44,tbl_tampas[CapId],0)),"")</f>
        <v>PP</v>
      </c>
      <c r="D44" s="33" t="str">
        <f>IFERROR(INDEX(tbl_regras_dfr[Classe],MATCH(B44&amp;"|Material da tampa|"&amp;C44,tbl_regras_dfr[Chave],0)),"Sem regra")</f>
        <v>A</v>
      </c>
      <c r="E44" s="36">
        <f>IFERROR(INDEX(tbl_regras_dfr[Fracao_Reciclavel],MATCH(B44&amp;"|Material da tampa|"&amp;C44,tbl_regras_dfr[Chave],0)),0)</f>
        <v>1</v>
      </c>
      <c r="F44" s="33" t="str">
        <f>IFERROR(INDEX(tbl_regras_dfr[Fundamentacao],MATCH(B44&amp;"|Material da tampa|"&amp;C44,tbl_regras_dfr[Chave],0)),"")</f>
        <v>Poliolefina: flutua e é reciclada no fluxo de poliolefinas.</v>
      </c>
      <c r="G44" s="33" t="str">
        <f t="shared" si="1"/>
        <v>Recomendada</v>
      </c>
    </row>
    <row r="45" spans="1:7" ht="18" customHeight="1" x14ac:dyDescent="0.3">
      <c r="A45" s="26" t="s">
        <v>455</v>
      </c>
      <c r="B45" s="26" t="s">
        <v>241</v>
      </c>
      <c r="C45" s="33" t="str">
        <f>IFERROR(INDEX(tbl_tampas[Polimero_Base],MATCH(A45,tbl_tampas[CapId],0)),"")</f>
        <v>PP</v>
      </c>
      <c r="D45" s="33" t="str">
        <f>IFERROR(INDEX(tbl_regras_dfr[Classe],MATCH(B45&amp;"|Material da tampa|"&amp;C45,tbl_regras_dfr[Chave],0)),"Sem regra")</f>
        <v>A</v>
      </c>
      <c r="E45" s="36">
        <f>IFERROR(INDEX(tbl_regras_dfr[Fracao_Reciclavel],MATCH(B45&amp;"|Material da tampa|"&amp;C45,tbl_regras_dfr[Chave],0)),0)</f>
        <v>1</v>
      </c>
      <c r="F45" s="33" t="str">
        <f>IFERROR(INDEX(tbl_regras_dfr[Fundamentacao],MATCH(B45&amp;"|Material da tampa|"&amp;C45,tbl_regras_dfr[Chave],0)),"")</f>
        <v>Poliolefina: flutua e é reciclada no fluxo de poliolefinas.</v>
      </c>
      <c r="G45" s="33" t="str">
        <f t="shared" si="1"/>
        <v>Recomendada</v>
      </c>
    </row>
    <row r="46" spans="1:7" ht="18" customHeight="1" x14ac:dyDescent="0.3">
      <c r="A46" s="26" t="s">
        <v>455</v>
      </c>
      <c r="B46" s="26" t="s">
        <v>250</v>
      </c>
      <c r="C46" s="33" t="str">
        <f>IFERROR(INDEX(tbl_tampas[Polimero_Base],MATCH(A46,tbl_tampas[CapId],0)),"")</f>
        <v>PP</v>
      </c>
      <c r="D46" s="33" t="str">
        <f>IFERROR(INDEX(tbl_regras_dfr[Classe],MATCH(B46&amp;"|Material da tampa|"&amp;C46,tbl_regras_dfr[Chave],0)),"Sem regra")</f>
        <v>A</v>
      </c>
      <c r="E46" s="36">
        <f>IFERROR(INDEX(tbl_regras_dfr[Fracao_Reciclavel],MATCH(B46&amp;"|Material da tampa|"&amp;C46,tbl_regras_dfr[Chave],0)),0)</f>
        <v>1</v>
      </c>
      <c r="F46" s="33" t="str">
        <f>IFERROR(INDEX(tbl_regras_dfr[Fundamentacao],MATCH(B46&amp;"|Material da tampa|"&amp;C46,tbl_regras_dfr[Chave],0)),"")</f>
        <v>Flutua e é separada; reciclada no fluxo de poliolefinas.</v>
      </c>
      <c r="G46" s="33" t="str">
        <f t="shared" si="1"/>
        <v>Recomendada</v>
      </c>
    </row>
    <row r="47" spans="1:7" ht="18" customHeight="1" x14ac:dyDescent="0.3">
      <c r="A47" s="26" t="s">
        <v>458</v>
      </c>
      <c r="B47" s="26" t="s">
        <v>225</v>
      </c>
      <c r="C47" s="33" t="str">
        <f>IFERROR(INDEX(tbl_tampas[Polimero_Base],MATCH(A47,tbl_tampas[CapId],0)),"")</f>
        <v>PETG</v>
      </c>
      <c r="D47" s="33" t="str">
        <f>IFERROR(INDEX(tbl_regras_dfr[Classe],MATCH(B47&amp;"|Material da tampa|"&amp;C47,tbl_regras_dfr[Chave],0)),"Sem regra")</f>
        <v>B</v>
      </c>
      <c r="E47" s="36">
        <f>IFERROR(INDEX(tbl_regras_dfr[Fracao_Reciclavel],MATCH(B47&amp;"|Material da tampa|"&amp;C47,tbl_regras_dfr[Chave],0)),0)</f>
        <v>0</v>
      </c>
      <c r="F47" s="33" t="str">
        <f>IFERROR(INDEX(tbl_regras_dfr[Fundamentacao],MATCH(B47&amp;"|Material da tampa|"&amp;C47,tbl_regras_dfr[Chave],0)),"")</f>
        <v>Afunda e é separada no afunda-flutua; massa perdida.</v>
      </c>
      <c r="G47" s="33" t="str">
        <f t="shared" si="1"/>
        <v>Aceitável (perda de massa)</v>
      </c>
    </row>
    <row r="48" spans="1:7" ht="18" customHeight="1" x14ac:dyDescent="0.3">
      <c r="A48" s="26" t="s">
        <v>458</v>
      </c>
      <c r="B48" s="26" t="s">
        <v>241</v>
      </c>
      <c r="C48" s="33" t="str">
        <f>IFERROR(INDEX(tbl_tampas[Polimero_Base],MATCH(A48,tbl_tampas[CapId],0)),"")</f>
        <v>PETG</v>
      </c>
      <c r="D48" s="33" t="str">
        <f>IFERROR(INDEX(tbl_regras_dfr[Classe],MATCH(B48&amp;"|Material da tampa|"&amp;C48,tbl_regras_dfr[Chave],0)),"Sem regra")</f>
        <v>B</v>
      </c>
      <c r="E48" s="36">
        <f>IFERROR(INDEX(tbl_regras_dfr[Fracao_Reciclavel],MATCH(B48&amp;"|Material da tampa|"&amp;C48,tbl_regras_dfr[Chave],0)),0)</f>
        <v>0</v>
      </c>
      <c r="F48" s="33" t="str">
        <f>IFERROR(INDEX(tbl_regras_dfr[Fundamentacao],MATCH(B48&amp;"|Material da tampa|"&amp;C48,tbl_regras_dfr[Chave],0)),"")</f>
        <v>Afunda e é separada no afunda-flutua; massa perdida.</v>
      </c>
      <c r="G48" s="33" t="str">
        <f t="shared" si="1"/>
        <v>Aceitável (perda de massa)</v>
      </c>
    </row>
    <row r="49" spans="1:7" ht="18" customHeight="1" x14ac:dyDescent="0.3">
      <c r="A49" s="26" t="s">
        <v>458</v>
      </c>
      <c r="B49" s="26" t="s">
        <v>250</v>
      </c>
      <c r="C49" s="33" t="str">
        <f>IFERROR(INDEX(tbl_tampas[Polimero_Base],MATCH(A49,tbl_tampas[CapId],0)),"")</f>
        <v>PETG</v>
      </c>
      <c r="D49" s="33" t="str">
        <f>IFERROR(INDEX(tbl_regras_dfr[Classe],MATCH(B49&amp;"|Material da tampa|"&amp;C49,tbl_regras_dfr[Chave],0)),"Sem regra")</f>
        <v>D</v>
      </c>
      <c r="E49" s="36">
        <f>IFERROR(INDEX(tbl_regras_dfr[Fracao_Reciclavel],MATCH(B49&amp;"|Material da tampa|"&amp;C49,tbl_regras_dfr[Chave],0)),0)</f>
        <v>0</v>
      </c>
      <c r="F49" s="33" t="str">
        <f>IFERROR(INDEX(tbl_regras_dfr[Fundamentacao],MATCH(B49&amp;"|Material da tampa|"&amp;C49,tbl_regras_dfr[Chave],0)),"")</f>
        <v>Afunda com os flocos de PET e contamina-os (aglomera na secagem).</v>
      </c>
      <c r="G49" s="33" t="str">
        <f t="shared" si="1"/>
        <v>Evitar neste fluxo</v>
      </c>
    </row>
    <row r="50" spans="1:7" ht="18" customHeight="1" x14ac:dyDescent="0.3">
      <c r="A50" s="26" t="s">
        <v>460</v>
      </c>
      <c r="B50" s="26" t="s">
        <v>225</v>
      </c>
      <c r="C50" s="33" t="str">
        <f>IFERROR(INDEX(tbl_tampas[Polimero_Base],MATCH(A50,tbl_tampas[CapId],0)),"")</f>
        <v>PP</v>
      </c>
      <c r="D50" s="33" t="str">
        <f>IFERROR(INDEX(tbl_regras_dfr[Classe],MATCH(B50&amp;"|Material da tampa|"&amp;C50,tbl_regras_dfr[Chave],0)),"Sem regra")</f>
        <v>A</v>
      </c>
      <c r="E50" s="36">
        <f>IFERROR(INDEX(tbl_regras_dfr[Fracao_Reciclavel],MATCH(B50&amp;"|Material da tampa|"&amp;C50,tbl_regras_dfr[Chave],0)),0)</f>
        <v>1</v>
      </c>
      <c r="F50" s="33" t="str">
        <f>IFERROR(INDEX(tbl_regras_dfr[Fundamentacao],MATCH(B50&amp;"|Material da tampa|"&amp;C50,tbl_regras_dfr[Chave],0)),"")</f>
        <v>Poliolefina: flutua e é reciclada no fluxo de poliolefinas.</v>
      </c>
      <c r="G50" s="33" t="str">
        <f t="shared" si="1"/>
        <v>Recomendada</v>
      </c>
    </row>
    <row r="51" spans="1:7" ht="18" customHeight="1" x14ac:dyDescent="0.3">
      <c r="A51" s="26" t="s">
        <v>460</v>
      </c>
      <c r="B51" s="26" t="s">
        <v>241</v>
      </c>
      <c r="C51" s="33" t="str">
        <f>IFERROR(INDEX(tbl_tampas[Polimero_Base],MATCH(A51,tbl_tampas[CapId],0)),"")</f>
        <v>PP</v>
      </c>
      <c r="D51" s="33" t="str">
        <f>IFERROR(INDEX(tbl_regras_dfr[Classe],MATCH(B51&amp;"|Material da tampa|"&amp;C51,tbl_regras_dfr[Chave],0)),"Sem regra")</f>
        <v>A</v>
      </c>
      <c r="E51" s="36">
        <f>IFERROR(INDEX(tbl_regras_dfr[Fracao_Reciclavel],MATCH(B51&amp;"|Material da tampa|"&amp;C51,tbl_regras_dfr[Chave],0)),0)</f>
        <v>1</v>
      </c>
      <c r="F51" s="33" t="str">
        <f>IFERROR(INDEX(tbl_regras_dfr[Fundamentacao],MATCH(B51&amp;"|Material da tampa|"&amp;C51,tbl_regras_dfr[Chave],0)),"")</f>
        <v>Poliolefina: flutua e é reciclada no fluxo de poliolefinas.</v>
      </c>
      <c r="G51" s="33" t="str">
        <f t="shared" si="1"/>
        <v>Recomendada</v>
      </c>
    </row>
    <row r="52" spans="1:7" ht="18" customHeight="1" x14ac:dyDescent="0.3">
      <c r="A52" s="26" t="s">
        <v>460</v>
      </c>
      <c r="B52" s="26" t="s">
        <v>250</v>
      </c>
      <c r="C52" s="33" t="str">
        <f>IFERROR(INDEX(tbl_tampas[Polimero_Base],MATCH(A52,tbl_tampas[CapId],0)),"")</f>
        <v>PP</v>
      </c>
      <c r="D52" s="33" t="str">
        <f>IFERROR(INDEX(tbl_regras_dfr[Classe],MATCH(B52&amp;"|Material da tampa|"&amp;C52,tbl_regras_dfr[Chave],0)),"Sem regra")</f>
        <v>A</v>
      </c>
      <c r="E52" s="36">
        <f>IFERROR(INDEX(tbl_regras_dfr[Fracao_Reciclavel],MATCH(B52&amp;"|Material da tampa|"&amp;C52,tbl_regras_dfr[Chave],0)),0)</f>
        <v>1</v>
      </c>
      <c r="F52" s="33" t="str">
        <f>IFERROR(INDEX(tbl_regras_dfr[Fundamentacao],MATCH(B52&amp;"|Material da tampa|"&amp;C52,tbl_regras_dfr[Chave],0)),"")</f>
        <v>Flutua e é separada; reciclada no fluxo de poliolefinas.</v>
      </c>
      <c r="G52" s="33" t="str">
        <f t="shared" si="1"/>
        <v>Recomendada</v>
      </c>
    </row>
    <row r="53" spans="1:7" ht="18" customHeight="1" x14ac:dyDescent="0.3">
      <c r="A53" s="26" t="s">
        <v>463</v>
      </c>
      <c r="B53" s="26" t="s">
        <v>225</v>
      </c>
      <c r="C53" s="33" t="str">
        <f>IFERROR(INDEX(tbl_tampas[Polimero_Base],MATCH(A53,tbl_tampas[CapId],0)),"")</f>
        <v>PP</v>
      </c>
      <c r="D53" s="33" t="str">
        <f>IFERROR(INDEX(tbl_regras_dfr[Classe],MATCH(B53&amp;"|Material da tampa|"&amp;C53,tbl_regras_dfr[Chave],0)),"Sem regra")</f>
        <v>A</v>
      </c>
      <c r="E53" s="36">
        <f>IFERROR(INDEX(tbl_regras_dfr[Fracao_Reciclavel],MATCH(B53&amp;"|Material da tampa|"&amp;C53,tbl_regras_dfr[Chave],0)),0)</f>
        <v>1</v>
      </c>
      <c r="F53" s="33" t="str">
        <f>IFERROR(INDEX(tbl_regras_dfr[Fundamentacao],MATCH(B53&amp;"|Material da tampa|"&amp;C53,tbl_regras_dfr[Chave],0)),"")</f>
        <v>Poliolefina: flutua e é reciclada no fluxo de poliolefinas.</v>
      </c>
      <c r="G53" s="33" t="str">
        <f t="shared" si="1"/>
        <v>Recomendada</v>
      </c>
    </row>
    <row r="54" spans="1:7" ht="18" customHeight="1" x14ac:dyDescent="0.3">
      <c r="A54" s="26" t="s">
        <v>463</v>
      </c>
      <c r="B54" s="26" t="s">
        <v>241</v>
      </c>
      <c r="C54" s="33" t="str">
        <f>IFERROR(INDEX(tbl_tampas[Polimero_Base],MATCH(A54,tbl_tampas[CapId],0)),"")</f>
        <v>PP</v>
      </c>
      <c r="D54" s="33" t="str">
        <f>IFERROR(INDEX(tbl_regras_dfr[Classe],MATCH(B54&amp;"|Material da tampa|"&amp;C54,tbl_regras_dfr[Chave],0)),"Sem regra")</f>
        <v>A</v>
      </c>
      <c r="E54" s="36">
        <f>IFERROR(INDEX(tbl_regras_dfr[Fracao_Reciclavel],MATCH(B54&amp;"|Material da tampa|"&amp;C54,tbl_regras_dfr[Chave],0)),0)</f>
        <v>1</v>
      </c>
      <c r="F54" s="33" t="str">
        <f>IFERROR(INDEX(tbl_regras_dfr[Fundamentacao],MATCH(B54&amp;"|Material da tampa|"&amp;C54,tbl_regras_dfr[Chave],0)),"")</f>
        <v>Poliolefina: flutua e é reciclada no fluxo de poliolefinas.</v>
      </c>
      <c r="G54" s="33" t="str">
        <f t="shared" si="1"/>
        <v>Recomendada</v>
      </c>
    </row>
    <row r="55" spans="1:7" ht="18" customHeight="1" x14ac:dyDescent="0.3">
      <c r="A55" s="26" t="s">
        <v>463</v>
      </c>
      <c r="B55" s="26" t="s">
        <v>250</v>
      </c>
      <c r="C55" s="33" t="str">
        <f>IFERROR(INDEX(tbl_tampas[Polimero_Base],MATCH(A55,tbl_tampas[CapId],0)),"")</f>
        <v>PP</v>
      </c>
      <c r="D55" s="33" t="str">
        <f>IFERROR(INDEX(tbl_regras_dfr[Classe],MATCH(B55&amp;"|Material da tampa|"&amp;C55,tbl_regras_dfr[Chave],0)),"Sem regra")</f>
        <v>A</v>
      </c>
      <c r="E55" s="36">
        <f>IFERROR(INDEX(tbl_regras_dfr[Fracao_Reciclavel],MATCH(B55&amp;"|Material da tampa|"&amp;C55,tbl_regras_dfr[Chave],0)),0)</f>
        <v>1</v>
      </c>
      <c r="F55" s="33" t="str">
        <f>IFERROR(INDEX(tbl_regras_dfr[Fundamentacao],MATCH(B55&amp;"|Material da tampa|"&amp;C55,tbl_regras_dfr[Chave],0)),"")</f>
        <v>Flutua e é separada; reciclada no fluxo de poliolefinas.</v>
      </c>
      <c r="G55" s="33" t="str">
        <f t="shared" si="1"/>
        <v>Recomendada</v>
      </c>
    </row>
    <row r="56" spans="1:7" ht="18" customHeight="1" x14ac:dyDescent="0.3">
      <c r="A56" s="26" t="s">
        <v>465</v>
      </c>
      <c r="B56" s="26" t="s">
        <v>225</v>
      </c>
      <c r="C56" s="33" t="str">
        <f>IFERROR(INDEX(tbl_tampas[Polimero_Base],MATCH(A56,tbl_tampas[CapId],0)),"")</f>
        <v>PE</v>
      </c>
      <c r="D56" s="33" t="str">
        <f>IFERROR(INDEX(tbl_regras_dfr[Classe],MATCH(B56&amp;"|Material da tampa|"&amp;C56,tbl_regras_dfr[Chave],0)),"Sem regra")</f>
        <v>A</v>
      </c>
      <c r="E56" s="36">
        <f>IFERROR(INDEX(tbl_regras_dfr[Fracao_Reciclavel],MATCH(B56&amp;"|Material da tampa|"&amp;C56,tbl_regras_dfr[Chave],0)),0)</f>
        <v>1</v>
      </c>
      <c r="F56" s="33" t="str">
        <f>IFERROR(INDEX(tbl_regras_dfr[Fundamentacao],MATCH(B56&amp;"|Material da tampa|"&amp;C56,tbl_regras_dfr[Chave],0)),"")</f>
        <v>Poliolefina: reciclada com o corpo ou no fluxo de poliolefinas.</v>
      </c>
      <c r="G56" s="33" t="str">
        <f t="shared" si="1"/>
        <v>Recomendada</v>
      </c>
    </row>
    <row r="57" spans="1:7" ht="18" customHeight="1" x14ac:dyDescent="0.3">
      <c r="A57" s="26" t="s">
        <v>465</v>
      </c>
      <c r="B57" s="26" t="s">
        <v>241</v>
      </c>
      <c r="C57" s="33" t="str">
        <f>IFERROR(INDEX(tbl_tampas[Polimero_Base],MATCH(A57,tbl_tampas[CapId],0)),"")</f>
        <v>PE</v>
      </c>
      <c r="D57" s="33" t="str">
        <f>IFERROR(INDEX(tbl_regras_dfr[Classe],MATCH(B57&amp;"|Material da tampa|"&amp;C57,tbl_regras_dfr[Chave],0)),"Sem regra")</f>
        <v>A</v>
      </c>
      <c r="E57" s="36">
        <f>IFERROR(INDEX(tbl_regras_dfr[Fracao_Reciclavel],MATCH(B57&amp;"|Material da tampa|"&amp;C57,tbl_regras_dfr[Chave],0)),0)</f>
        <v>1</v>
      </c>
      <c r="F57" s="33" t="str">
        <f>IFERROR(INDEX(tbl_regras_dfr[Fundamentacao],MATCH(B57&amp;"|Material da tampa|"&amp;C57,tbl_regras_dfr[Chave],0)),"")</f>
        <v>Poliolefina: reciclada com o corpo ou no fluxo de poliolefinas.</v>
      </c>
      <c r="G57" s="33" t="str">
        <f t="shared" si="1"/>
        <v>Recomendada</v>
      </c>
    </row>
    <row r="58" spans="1:7" ht="18" customHeight="1" x14ac:dyDescent="0.3">
      <c r="A58" s="26" t="s">
        <v>465</v>
      </c>
      <c r="B58" s="26" t="s">
        <v>250</v>
      </c>
      <c r="C58" s="33" t="str">
        <f>IFERROR(INDEX(tbl_tampas[Polimero_Base],MATCH(A58,tbl_tampas[CapId],0)),"")</f>
        <v>PE</v>
      </c>
      <c r="D58" s="33" t="str">
        <f>IFERROR(INDEX(tbl_regras_dfr[Classe],MATCH(B58&amp;"|Material da tampa|"&amp;C58,tbl_regras_dfr[Chave],0)),"Sem regra")</f>
        <v>A</v>
      </c>
      <c r="E58" s="36">
        <f>IFERROR(INDEX(tbl_regras_dfr[Fracao_Reciclavel],MATCH(B58&amp;"|Material da tampa|"&amp;C58,tbl_regras_dfr[Chave],0)),0)</f>
        <v>1</v>
      </c>
      <c r="F58" s="33" t="str">
        <f>IFERROR(INDEX(tbl_regras_dfr[Fundamentacao],MATCH(B58&amp;"|Material da tampa|"&amp;C58,tbl_regras_dfr[Chave],0)),"")</f>
        <v>Flutua e é separada; reciclada no fluxo de poliolefinas.</v>
      </c>
      <c r="G58" s="33" t="str">
        <f t="shared" si="1"/>
        <v>Recomendada</v>
      </c>
    </row>
    <row r="59" spans="1:7" ht="18" customHeight="1" x14ac:dyDescent="0.3">
      <c r="A59" s="26" t="s">
        <v>467</v>
      </c>
      <c r="B59" s="26" t="s">
        <v>225</v>
      </c>
      <c r="C59" s="33" t="str">
        <f>IFERROR(INDEX(tbl_tampas[Polimero_Base],MATCH(A59,tbl_tampas[CapId],0)),"")</f>
        <v>PP</v>
      </c>
      <c r="D59" s="33" t="str">
        <f>IFERROR(INDEX(tbl_regras_dfr[Classe],MATCH(B59&amp;"|Material da tampa|"&amp;C59,tbl_regras_dfr[Chave],0)),"Sem regra")</f>
        <v>A</v>
      </c>
      <c r="E59" s="36">
        <f>IFERROR(INDEX(tbl_regras_dfr[Fracao_Reciclavel],MATCH(B59&amp;"|Material da tampa|"&amp;C59,tbl_regras_dfr[Chave],0)),0)</f>
        <v>1</v>
      </c>
      <c r="F59" s="33" t="str">
        <f>IFERROR(INDEX(tbl_regras_dfr[Fundamentacao],MATCH(B59&amp;"|Material da tampa|"&amp;C59,tbl_regras_dfr[Chave],0)),"")</f>
        <v>Poliolefina: flutua e é reciclada no fluxo de poliolefinas.</v>
      </c>
      <c r="G59" s="33" t="str">
        <f t="shared" si="1"/>
        <v>Recomendada</v>
      </c>
    </row>
    <row r="60" spans="1:7" ht="18" customHeight="1" x14ac:dyDescent="0.3">
      <c r="A60" s="26" t="s">
        <v>467</v>
      </c>
      <c r="B60" s="26" t="s">
        <v>241</v>
      </c>
      <c r="C60" s="33" t="str">
        <f>IFERROR(INDEX(tbl_tampas[Polimero_Base],MATCH(A60,tbl_tampas[CapId],0)),"")</f>
        <v>PP</v>
      </c>
      <c r="D60" s="33" t="str">
        <f>IFERROR(INDEX(tbl_regras_dfr[Classe],MATCH(B60&amp;"|Material da tampa|"&amp;C60,tbl_regras_dfr[Chave],0)),"Sem regra")</f>
        <v>A</v>
      </c>
      <c r="E60" s="36">
        <f>IFERROR(INDEX(tbl_regras_dfr[Fracao_Reciclavel],MATCH(B60&amp;"|Material da tampa|"&amp;C60,tbl_regras_dfr[Chave],0)),0)</f>
        <v>1</v>
      </c>
      <c r="F60" s="33" t="str">
        <f>IFERROR(INDEX(tbl_regras_dfr[Fundamentacao],MATCH(B60&amp;"|Material da tampa|"&amp;C60,tbl_regras_dfr[Chave],0)),"")</f>
        <v>Poliolefina: flutua e é reciclada no fluxo de poliolefinas.</v>
      </c>
      <c r="G60" s="33" t="str">
        <f t="shared" si="1"/>
        <v>Recomendada</v>
      </c>
    </row>
    <row r="61" spans="1:7" ht="18" customHeight="1" x14ac:dyDescent="0.3">
      <c r="A61" s="26" t="s">
        <v>467</v>
      </c>
      <c r="B61" s="26" t="s">
        <v>250</v>
      </c>
      <c r="C61" s="33" t="str">
        <f>IFERROR(INDEX(tbl_tampas[Polimero_Base],MATCH(A61,tbl_tampas[CapId],0)),"")</f>
        <v>PP</v>
      </c>
      <c r="D61" s="33" t="str">
        <f>IFERROR(INDEX(tbl_regras_dfr[Classe],MATCH(B61&amp;"|Material da tampa|"&amp;C61,tbl_regras_dfr[Chave],0)),"Sem regra")</f>
        <v>A</v>
      </c>
      <c r="E61" s="36">
        <f>IFERROR(INDEX(tbl_regras_dfr[Fracao_Reciclavel],MATCH(B61&amp;"|Material da tampa|"&amp;C61,tbl_regras_dfr[Chave],0)),0)</f>
        <v>1</v>
      </c>
      <c r="F61" s="33" t="str">
        <f>IFERROR(INDEX(tbl_regras_dfr[Fundamentacao],MATCH(B61&amp;"|Material da tampa|"&amp;C61,tbl_regras_dfr[Chave],0)),"")</f>
        <v>Flutua e é separada; reciclada no fluxo de poliolefinas.</v>
      </c>
      <c r="G61" s="33" t="str">
        <f t="shared" si="1"/>
        <v>Recomendada</v>
      </c>
    </row>
    <row r="62" spans="1:7" ht="18" customHeight="1" x14ac:dyDescent="0.3">
      <c r="A62" s="26" t="s">
        <v>469</v>
      </c>
      <c r="B62" s="26" t="s">
        <v>225</v>
      </c>
      <c r="C62" s="33" t="str">
        <f>IFERROR(INDEX(tbl_tampas[Polimero_Base],MATCH(A62,tbl_tampas[CapId],0)),"")</f>
        <v>PP</v>
      </c>
      <c r="D62" s="33" t="str">
        <f>IFERROR(INDEX(tbl_regras_dfr[Classe],MATCH(B62&amp;"|Material da tampa|"&amp;C62,tbl_regras_dfr[Chave],0)),"Sem regra")</f>
        <v>A</v>
      </c>
      <c r="E62" s="36">
        <f>IFERROR(INDEX(tbl_regras_dfr[Fracao_Reciclavel],MATCH(B62&amp;"|Material da tampa|"&amp;C62,tbl_regras_dfr[Chave],0)),0)</f>
        <v>1</v>
      </c>
      <c r="F62" s="33" t="str">
        <f>IFERROR(INDEX(tbl_regras_dfr[Fundamentacao],MATCH(B62&amp;"|Material da tampa|"&amp;C62,tbl_regras_dfr[Chave],0)),"")</f>
        <v>Poliolefina: flutua e é reciclada no fluxo de poliolefinas.</v>
      </c>
      <c r="G62" s="33" t="str">
        <f t="shared" si="1"/>
        <v>Recomendada</v>
      </c>
    </row>
    <row r="63" spans="1:7" ht="18" customHeight="1" x14ac:dyDescent="0.3">
      <c r="A63" s="26" t="s">
        <v>469</v>
      </c>
      <c r="B63" s="26" t="s">
        <v>241</v>
      </c>
      <c r="C63" s="33" t="str">
        <f>IFERROR(INDEX(tbl_tampas[Polimero_Base],MATCH(A63,tbl_tampas[CapId],0)),"")</f>
        <v>PP</v>
      </c>
      <c r="D63" s="33" t="str">
        <f>IFERROR(INDEX(tbl_regras_dfr[Classe],MATCH(B63&amp;"|Material da tampa|"&amp;C63,tbl_regras_dfr[Chave],0)),"Sem regra")</f>
        <v>A</v>
      </c>
      <c r="E63" s="36">
        <f>IFERROR(INDEX(tbl_regras_dfr[Fracao_Reciclavel],MATCH(B63&amp;"|Material da tampa|"&amp;C63,tbl_regras_dfr[Chave],0)),0)</f>
        <v>1</v>
      </c>
      <c r="F63" s="33" t="str">
        <f>IFERROR(INDEX(tbl_regras_dfr[Fundamentacao],MATCH(B63&amp;"|Material da tampa|"&amp;C63,tbl_regras_dfr[Chave],0)),"")</f>
        <v>Poliolefina: flutua e é reciclada no fluxo de poliolefinas.</v>
      </c>
      <c r="G63" s="33" t="str">
        <f t="shared" si="1"/>
        <v>Recomendada</v>
      </c>
    </row>
    <row r="64" spans="1:7" ht="18" customHeight="1" x14ac:dyDescent="0.3">
      <c r="A64" s="26" t="s">
        <v>469</v>
      </c>
      <c r="B64" s="26" t="s">
        <v>250</v>
      </c>
      <c r="C64" s="33" t="str">
        <f>IFERROR(INDEX(tbl_tampas[Polimero_Base],MATCH(A64,tbl_tampas[CapId],0)),"")</f>
        <v>PP</v>
      </c>
      <c r="D64" s="33" t="str">
        <f>IFERROR(INDEX(tbl_regras_dfr[Classe],MATCH(B64&amp;"|Material da tampa|"&amp;C64,tbl_regras_dfr[Chave],0)),"Sem regra")</f>
        <v>A</v>
      </c>
      <c r="E64" s="36">
        <f>IFERROR(INDEX(tbl_regras_dfr[Fracao_Reciclavel],MATCH(B64&amp;"|Material da tampa|"&amp;C64,tbl_regras_dfr[Chave],0)),0)</f>
        <v>1</v>
      </c>
      <c r="F64" s="33" t="str">
        <f>IFERROR(INDEX(tbl_regras_dfr[Fundamentacao],MATCH(B64&amp;"|Material da tampa|"&amp;C64,tbl_regras_dfr[Chave],0)),"")</f>
        <v>Flutua e é separada; reciclada no fluxo de poliolefinas.</v>
      </c>
      <c r="G64" s="33" t="str">
        <f t="shared" si="1"/>
        <v>Recomendada</v>
      </c>
    </row>
    <row r="65" spans="1:7" ht="18" customHeight="1" x14ac:dyDescent="0.3">
      <c r="A65" s="26" t="s">
        <v>471</v>
      </c>
      <c r="B65" s="26" t="s">
        <v>225</v>
      </c>
      <c r="C65" s="33" t="str">
        <f>IFERROR(INDEX(tbl_tampas[Polimero_Base],MATCH(A65,tbl_tampas[CapId],0)),"")</f>
        <v>PE</v>
      </c>
      <c r="D65" s="33" t="str">
        <f>IFERROR(INDEX(tbl_regras_dfr[Classe],MATCH(B65&amp;"|Material da tampa|"&amp;C65,tbl_regras_dfr[Chave],0)),"Sem regra")</f>
        <v>A</v>
      </c>
      <c r="E65" s="36">
        <f>IFERROR(INDEX(tbl_regras_dfr[Fracao_Reciclavel],MATCH(B65&amp;"|Material da tampa|"&amp;C65,tbl_regras_dfr[Chave],0)),0)</f>
        <v>1</v>
      </c>
      <c r="F65" s="33" t="str">
        <f>IFERROR(INDEX(tbl_regras_dfr[Fundamentacao],MATCH(B65&amp;"|Material da tampa|"&amp;C65,tbl_regras_dfr[Chave],0)),"")</f>
        <v>Poliolefina: reciclada com o corpo ou no fluxo de poliolefinas.</v>
      </c>
      <c r="G65" s="33" t="str">
        <f t="shared" si="1"/>
        <v>Recomendada</v>
      </c>
    </row>
    <row r="66" spans="1:7" ht="18" customHeight="1" x14ac:dyDescent="0.3">
      <c r="A66" s="26" t="s">
        <v>471</v>
      </c>
      <c r="B66" s="26" t="s">
        <v>241</v>
      </c>
      <c r="C66" s="33" t="str">
        <f>IFERROR(INDEX(tbl_tampas[Polimero_Base],MATCH(A66,tbl_tampas[CapId],0)),"")</f>
        <v>PE</v>
      </c>
      <c r="D66" s="33" t="str">
        <f>IFERROR(INDEX(tbl_regras_dfr[Classe],MATCH(B66&amp;"|Material da tampa|"&amp;C66,tbl_regras_dfr[Chave],0)),"Sem regra")</f>
        <v>A</v>
      </c>
      <c r="E66" s="36">
        <f>IFERROR(INDEX(tbl_regras_dfr[Fracao_Reciclavel],MATCH(B66&amp;"|Material da tampa|"&amp;C66,tbl_regras_dfr[Chave],0)),0)</f>
        <v>1</v>
      </c>
      <c r="F66" s="33" t="str">
        <f>IFERROR(INDEX(tbl_regras_dfr[Fundamentacao],MATCH(B66&amp;"|Material da tampa|"&amp;C66,tbl_regras_dfr[Chave],0)),"")</f>
        <v>Poliolefina: reciclada com o corpo ou no fluxo de poliolefinas.</v>
      </c>
      <c r="G66" s="33" t="str">
        <f t="shared" ref="G66:G97" si="2">IF(D66="A","Recomendada",IF(D66="B","Aceitável (perda de massa)","Evitar neste fluxo"))</f>
        <v>Recomendada</v>
      </c>
    </row>
    <row r="67" spans="1:7" ht="18" customHeight="1" x14ac:dyDescent="0.3">
      <c r="A67" s="26" t="s">
        <v>471</v>
      </c>
      <c r="B67" s="26" t="s">
        <v>250</v>
      </c>
      <c r="C67" s="33" t="str">
        <f>IFERROR(INDEX(tbl_tampas[Polimero_Base],MATCH(A67,tbl_tampas[CapId],0)),"")</f>
        <v>PE</v>
      </c>
      <c r="D67" s="33" t="str">
        <f>IFERROR(INDEX(tbl_regras_dfr[Classe],MATCH(B67&amp;"|Material da tampa|"&amp;C67,tbl_regras_dfr[Chave],0)),"Sem regra")</f>
        <v>A</v>
      </c>
      <c r="E67" s="36">
        <f>IFERROR(INDEX(tbl_regras_dfr[Fracao_Reciclavel],MATCH(B67&amp;"|Material da tampa|"&amp;C67,tbl_regras_dfr[Chave],0)),0)</f>
        <v>1</v>
      </c>
      <c r="F67" s="33" t="str">
        <f>IFERROR(INDEX(tbl_regras_dfr[Fundamentacao],MATCH(B67&amp;"|Material da tampa|"&amp;C67,tbl_regras_dfr[Chave],0)),"")</f>
        <v>Flutua e é separada; reciclada no fluxo de poliolefinas.</v>
      </c>
      <c r="G67" s="33" t="str">
        <f t="shared" si="2"/>
        <v>Recomendada</v>
      </c>
    </row>
    <row r="68" spans="1:7" ht="18" customHeight="1" x14ac:dyDescent="0.3">
      <c r="A68" s="26" t="s">
        <v>473</v>
      </c>
      <c r="B68" s="26" t="s">
        <v>225</v>
      </c>
      <c r="C68" s="33" t="str">
        <f>IFERROR(INDEX(tbl_tampas[Polimero_Base],MATCH(A68,tbl_tampas[CapId],0)),"")</f>
        <v>PP</v>
      </c>
      <c r="D68" s="33" t="str">
        <f>IFERROR(INDEX(tbl_regras_dfr[Classe],MATCH(B68&amp;"|Material da tampa|"&amp;C68,tbl_regras_dfr[Chave],0)),"Sem regra")</f>
        <v>A</v>
      </c>
      <c r="E68" s="36">
        <f>IFERROR(INDEX(tbl_regras_dfr[Fracao_Reciclavel],MATCH(B68&amp;"|Material da tampa|"&amp;C68,tbl_regras_dfr[Chave],0)),0)</f>
        <v>1</v>
      </c>
      <c r="F68" s="33" t="str">
        <f>IFERROR(INDEX(tbl_regras_dfr[Fundamentacao],MATCH(B68&amp;"|Material da tampa|"&amp;C68,tbl_regras_dfr[Chave],0)),"")</f>
        <v>Poliolefina: flutua e é reciclada no fluxo de poliolefinas.</v>
      </c>
      <c r="G68" s="33" t="str">
        <f t="shared" si="2"/>
        <v>Recomendada</v>
      </c>
    </row>
    <row r="69" spans="1:7" ht="18" customHeight="1" x14ac:dyDescent="0.3">
      <c r="A69" s="26" t="s">
        <v>473</v>
      </c>
      <c r="B69" s="26" t="s">
        <v>241</v>
      </c>
      <c r="C69" s="33" t="str">
        <f>IFERROR(INDEX(tbl_tampas[Polimero_Base],MATCH(A69,tbl_tampas[CapId],0)),"")</f>
        <v>PP</v>
      </c>
      <c r="D69" s="33" t="str">
        <f>IFERROR(INDEX(tbl_regras_dfr[Classe],MATCH(B69&amp;"|Material da tampa|"&amp;C69,tbl_regras_dfr[Chave],0)),"Sem regra")</f>
        <v>A</v>
      </c>
      <c r="E69" s="36">
        <f>IFERROR(INDEX(tbl_regras_dfr[Fracao_Reciclavel],MATCH(B69&amp;"|Material da tampa|"&amp;C69,tbl_regras_dfr[Chave],0)),0)</f>
        <v>1</v>
      </c>
      <c r="F69" s="33" t="str">
        <f>IFERROR(INDEX(tbl_regras_dfr[Fundamentacao],MATCH(B69&amp;"|Material da tampa|"&amp;C69,tbl_regras_dfr[Chave],0)),"")</f>
        <v>Poliolefina: flutua e é reciclada no fluxo de poliolefinas.</v>
      </c>
      <c r="G69" s="33" t="str">
        <f t="shared" si="2"/>
        <v>Recomendada</v>
      </c>
    </row>
    <row r="70" spans="1:7" ht="18" customHeight="1" x14ac:dyDescent="0.3">
      <c r="A70" s="26" t="s">
        <v>473</v>
      </c>
      <c r="B70" s="26" t="s">
        <v>250</v>
      </c>
      <c r="C70" s="33" t="str">
        <f>IFERROR(INDEX(tbl_tampas[Polimero_Base],MATCH(A70,tbl_tampas[CapId],0)),"")</f>
        <v>PP</v>
      </c>
      <c r="D70" s="33" t="str">
        <f>IFERROR(INDEX(tbl_regras_dfr[Classe],MATCH(B70&amp;"|Material da tampa|"&amp;C70,tbl_regras_dfr[Chave],0)),"Sem regra")</f>
        <v>A</v>
      </c>
      <c r="E70" s="36">
        <f>IFERROR(INDEX(tbl_regras_dfr[Fracao_Reciclavel],MATCH(B70&amp;"|Material da tampa|"&amp;C70,tbl_regras_dfr[Chave],0)),0)</f>
        <v>1</v>
      </c>
      <c r="F70" s="33" t="str">
        <f>IFERROR(INDEX(tbl_regras_dfr[Fundamentacao],MATCH(B70&amp;"|Material da tampa|"&amp;C70,tbl_regras_dfr[Chave],0)),"")</f>
        <v>Flutua e é separada; reciclada no fluxo de poliolefinas.</v>
      </c>
      <c r="G70" s="33" t="str">
        <f t="shared" si="2"/>
        <v>Recomendada</v>
      </c>
    </row>
    <row r="71" spans="1:7" ht="18" customHeight="1" x14ac:dyDescent="0.3">
      <c r="A71" s="26" t="s">
        <v>475</v>
      </c>
      <c r="B71" s="26" t="s">
        <v>225</v>
      </c>
      <c r="C71" s="33" t="str">
        <f>IFERROR(INDEX(tbl_tampas[Polimero_Base],MATCH(A71,tbl_tampas[CapId],0)),"")</f>
        <v>PP</v>
      </c>
      <c r="D71" s="33" t="str">
        <f>IFERROR(INDEX(tbl_regras_dfr[Classe],MATCH(B71&amp;"|Material da tampa|"&amp;C71,tbl_regras_dfr[Chave],0)),"Sem regra")</f>
        <v>A</v>
      </c>
      <c r="E71" s="36">
        <f>IFERROR(INDEX(tbl_regras_dfr[Fracao_Reciclavel],MATCH(B71&amp;"|Material da tampa|"&amp;C71,tbl_regras_dfr[Chave],0)),0)</f>
        <v>1</v>
      </c>
      <c r="F71" s="33" t="str">
        <f>IFERROR(INDEX(tbl_regras_dfr[Fundamentacao],MATCH(B71&amp;"|Material da tampa|"&amp;C71,tbl_regras_dfr[Chave],0)),"")</f>
        <v>Poliolefina: flutua e é reciclada no fluxo de poliolefinas.</v>
      </c>
      <c r="G71" s="33" t="str">
        <f t="shared" si="2"/>
        <v>Recomendada</v>
      </c>
    </row>
    <row r="72" spans="1:7" ht="18" customHeight="1" x14ac:dyDescent="0.3">
      <c r="A72" s="26" t="s">
        <v>475</v>
      </c>
      <c r="B72" s="26" t="s">
        <v>241</v>
      </c>
      <c r="C72" s="33" t="str">
        <f>IFERROR(INDEX(tbl_tampas[Polimero_Base],MATCH(A72,tbl_tampas[CapId],0)),"")</f>
        <v>PP</v>
      </c>
      <c r="D72" s="33" t="str">
        <f>IFERROR(INDEX(tbl_regras_dfr[Classe],MATCH(B72&amp;"|Material da tampa|"&amp;C72,tbl_regras_dfr[Chave],0)),"Sem regra")</f>
        <v>A</v>
      </c>
      <c r="E72" s="36">
        <f>IFERROR(INDEX(tbl_regras_dfr[Fracao_Reciclavel],MATCH(B72&amp;"|Material da tampa|"&amp;C72,tbl_regras_dfr[Chave],0)),0)</f>
        <v>1</v>
      </c>
      <c r="F72" s="33" t="str">
        <f>IFERROR(INDEX(tbl_regras_dfr[Fundamentacao],MATCH(B72&amp;"|Material da tampa|"&amp;C72,tbl_regras_dfr[Chave],0)),"")</f>
        <v>Poliolefina: flutua e é reciclada no fluxo de poliolefinas.</v>
      </c>
      <c r="G72" s="33" t="str">
        <f t="shared" si="2"/>
        <v>Recomendada</v>
      </c>
    </row>
    <row r="73" spans="1:7" ht="18" customHeight="1" x14ac:dyDescent="0.3">
      <c r="A73" s="26" t="s">
        <v>475</v>
      </c>
      <c r="B73" s="26" t="s">
        <v>250</v>
      </c>
      <c r="C73" s="33" t="str">
        <f>IFERROR(INDEX(tbl_tampas[Polimero_Base],MATCH(A73,tbl_tampas[CapId],0)),"")</f>
        <v>PP</v>
      </c>
      <c r="D73" s="33" t="str">
        <f>IFERROR(INDEX(tbl_regras_dfr[Classe],MATCH(B73&amp;"|Material da tampa|"&amp;C73,tbl_regras_dfr[Chave],0)),"Sem regra")</f>
        <v>A</v>
      </c>
      <c r="E73" s="36">
        <f>IFERROR(INDEX(tbl_regras_dfr[Fracao_Reciclavel],MATCH(B73&amp;"|Material da tampa|"&amp;C73,tbl_regras_dfr[Chave],0)),0)</f>
        <v>1</v>
      </c>
      <c r="F73" s="33" t="str">
        <f>IFERROR(INDEX(tbl_regras_dfr[Fundamentacao],MATCH(B73&amp;"|Material da tampa|"&amp;C73,tbl_regras_dfr[Chave],0)),"")</f>
        <v>Flutua e é separada; reciclada no fluxo de poliolefinas.</v>
      </c>
      <c r="G73" s="33" t="str">
        <f t="shared" si="2"/>
        <v>Recomendada</v>
      </c>
    </row>
    <row r="74" spans="1:7" ht="18" customHeight="1" x14ac:dyDescent="0.3">
      <c r="A74" s="26" t="s">
        <v>478</v>
      </c>
      <c r="B74" s="26" t="s">
        <v>225</v>
      </c>
      <c r="C74" s="33" t="str">
        <f>IFERROR(INDEX(tbl_tampas[Polimero_Base],MATCH(A74,tbl_tampas[CapId],0)),"")</f>
        <v>PE</v>
      </c>
      <c r="D74" s="33" t="str">
        <f>IFERROR(INDEX(tbl_regras_dfr[Classe],MATCH(B74&amp;"|Material da tampa|"&amp;C74,tbl_regras_dfr[Chave],0)),"Sem regra")</f>
        <v>A</v>
      </c>
      <c r="E74" s="36">
        <f>IFERROR(INDEX(tbl_regras_dfr[Fracao_Reciclavel],MATCH(B74&amp;"|Material da tampa|"&amp;C74,tbl_regras_dfr[Chave],0)),0)</f>
        <v>1</v>
      </c>
      <c r="F74" s="33" t="str">
        <f>IFERROR(INDEX(tbl_regras_dfr[Fundamentacao],MATCH(B74&amp;"|Material da tampa|"&amp;C74,tbl_regras_dfr[Chave],0)),"")</f>
        <v>Poliolefina: reciclada com o corpo ou no fluxo de poliolefinas.</v>
      </c>
      <c r="G74" s="33" t="str">
        <f t="shared" si="2"/>
        <v>Recomendada</v>
      </c>
    </row>
    <row r="75" spans="1:7" ht="18" customHeight="1" x14ac:dyDescent="0.3">
      <c r="A75" s="26" t="s">
        <v>478</v>
      </c>
      <c r="B75" s="26" t="s">
        <v>241</v>
      </c>
      <c r="C75" s="33" t="str">
        <f>IFERROR(INDEX(tbl_tampas[Polimero_Base],MATCH(A75,tbl_tampas[CapId],0)),"")</f>
        <v>PE</v>
      </c>
      <c r="D75" s="33" t="str">
        <f>IFERROR(INDEX(tbl_regras_dfr[Classe],MATCH(B75&amp;"|Material da tampa|"&amp;C75,tbl_regras_dfr[Chave],0)),"Sem regra")</f>
        <v>A</v>
      </c>
      <c r="E75" s="36">
        <f>IFERROR(INDEX(tbl_regras_dfr[Fracao_Reciclavel],MATCH(B75&amp;"|Material da tampa|"&amp;C75,tbl_regras_dfr[Chave],0)),0)</f>
        <v>1</v>
      </c>
      <c r="F75" s="33" t="str">
        <f>IFERROR(INDEX(tbl_regras_dfr[Fundamentacao],MATCH(B75&amp;"|Material da tampa|"&amp;C75,tbl_regras_dfr[Chave],0)),"")</f>
        <v>Poliolefina: reciclada com o corpo ou no fluxo de poliolefinas.</v>
      </c>
      <c r="G75" s="33" t="str">
        <f t="shared" si="2"/>
        <v>Recomendada</v>
      </c>
    </row>
    <row r="76" spans="1:7" ht="18" customHeight="1" x14ac:dyDescent="0.3">
      <c r="A76" s="26" t="s">
        <v>478</v>
      </c>
      <c r="B76" s="26" t="s">
        <v>250</v>
      </c>
      <c r="C76" s="33" t="str">
        <f>IFERROR(INDEX(tbl_tampas[Polimero_Base],MATCH(A76,tbl_tampas[CapId],0)),"")</f>
        <v>PE</v>
      </c>
      <c r="D76" s="33" t="str">
        <f>IFERROR(INDEX(tbl_regras_dfr[Classe],MATCH(B76&amp;"|Material da tampa|"&amp;C76,tbl_regras_dfr[Chave],0)),"Sem regra")</f>
        <v>A</v>
      </c>
      <c r="E76" s="36">
        <f>IFERROR(INDEX(tbl_regras_dfr[Fracao_Reciclavel],MATCH(B76&amp;"|Material da tampa|"&amp;C76,tbl_regras_dfr[Chave],0)),0)</f>
        <v>1</v>
      </c>
      <c r="F76" s="33" t="str">
        <f>IFERROR(INDEX(tbl_regras_dfr[Fundamentacao],MATCH(B76&amp;"|Material da tampa|"&amp;C76,tbl_regras_dfr[Chave],0)),"")</f>
        <v>Flutua e é separada; reciclada no fluxo de poliolefinas.</v>
      </c>
      <c r="G76" s="33" t="str">
        <f t="shared" si="2"/>
        <v>Recomendada</v>
      </c>
    </row>
    <row r="77" spans="1:7" ht="18" customHeight="1" x14ac:dyDescent="0.3">
      <c r="A77" s="26" t="s">
        <v>481</v>
      </c>
      <c r="B77" s="26" t="s">
        <v>225</v>
      </c>
      <c r="C77" s="33" t="str">
        <f>IFERROR(INDEX(tbl_tampas[Polimero_Base],MATCH(A77,tbl_tampas[CapId],0)),"")</f>
        <v>PP</v>
      </c>
      <c r="D77" s="33" t="str">
        <f>IFERROR(INDEX(tbl_regras_dfr[Classe],MATCH(B77&amp;"|Material da tampa|"&amp;C77,tbl_regras_dfr[Chave],0)),"Sem regra")</f>
        <v>A</v>
      </c>
      <c r="E77" s="36">
        <f>IFERROR(INDEX(tbl_regras_dfr[Fracao_Reciclavel],MATCH(B77&amp;"|Material da tampa|"&amp;C77,tbl_regras_dfr[Chave],0)),0)</f>
        <v>1</v>
      </c>
      <c r="F77" s="33" t="str">
        <f>IFERROR(INDEX(tbl_regras_dfr[Fundamentacao],MATCH(B77&amp;"|Material da tampa|"&amp;C77,tbl_regras_dfr[Chave],0)),"")</f>
        <v>Poliolefina: flutua e é reciclada no fluxo de poliolefinas.</v>
      </c>
      <c r="G77" s="33" t="str">
        <f t="shared" si="2"/>
        <v>Recomendada</v>
      </c>
    </row>
    <row r="78" spans="1:7" ht="18" customHeight="1" x14ac:dyDescent="0.3">
      <c r="A78" s="26" t="s">
        <v>481</v>
      </c>
      <c r="B78" s="26" t="s">
        <v>241</v>
      </c>
      <c r="C78" s="33" t="str">
        <f>IFERROR(INDEX(tbl_tampas[Polimero_Base],MATCH(A78,tbl_tampas[CapId],0)),"")</f>
        <v>PP</v>
      </c>
      <c r="D78" s="33" t="str">
        <f>IFERROR(INDEX(tbl_regras_dfr[Classe],MATCH(B78&amp;"|Material da tampa|"&amp;C78,tbl_regras_dfr[Chave],0)),"Sem regra")</f>
        <v>A</v>
      </c>
      <c r="E78" s="36">
        <f>IFERROR(INDEX(tbl_regras_dfr[Fracao_Reciclavel],MATCH(B78&amp;"|Material da tampa|"&amp;C78,tbl_regras_dfr[Chave],0)),0)</f>
        <v>1</v>
      </c>
      <c r="F78" s="33" t="str">
        <f>IFERROR(INDEX(tbl_regras_dfr[Fundamentacao],MATCH(B78&amp;"|Material da tampa|"&amp;C78,tbl_regras_dfr[Chave],0)),"")</f>
        <v>Poliolefina: flutua e é reciclada no fluxo de poliolefinas.</v>
      </c>
      <c r="G78" s="33" t="str">
        <f t="shared" si="2"/>
        <v>Recomendada</v>
      </c>
    </row>
    <row r="79" spans="1:7" ht="18" customHeight="1" x14ac:dyDescent="0.3">
      <c r="A79" s="26" t="s">
        <v>481</v>
      </c>
      <c r="B79" s="26" t="s">
        <v>250</v>
      </c>
      <c r="C79" s="33" t="str">
        <f>IFERROR(INDEX(tbl_tampas[Polimero_Base],MATCH(A79,tbl_tampas[CapId],0)),"")</f>
        <v>PP</v>
      </c>
      <c r="D79" s="33" t="str">
        <f>IFERROR(INDEX(tbl_regras_dfr[Classe],MATCH(B79&amp;"|Material da tampa|"&amp;C79,tbl_regras_dfr[Chave],0)),"Sem regra")</f>
        <v>A</v>
      </c>
      <c r="E79" s="36">
        <f>IFERROR(INDEX(tbl_regras_dfr[Fracao_Reciclavel],MATCH(B79&amp;"|Material da tampa|"&amp;C79,tbl_regras_dfr[Chave],0)),0)</f>
        <v>1</v>
      </c>
      <c r="F79" s="33" t="str">
        <f>IFERROR(INDEX(tbl_regras_dfr[Fundamentacao],MATCH(B79&amp;"|Material da tampa|"&amp;C79,tbl_regras_dfr[Chave],0)),"")</f>
        <v>Flutua e é separada; reciclada no fluxo de poliolefinas.</v>
      </c>
      <c r="G79" s="33" t="str">
        <f t="shared" si="2"/>
        <v>Recomendada</v>
      </c>
    </row>
    <row r="80" spans="1:7" ht="18" customHeight="1" x14ac:dyDescent="0.3">
      <c r="A80" s="26" t="s">
        <v>483</v>
      </c>
      <c r="B80" s="26" t="s">
        <v>225</v>
      </c>
      <c r="C80" s="33" t="str">
        <f>IFERROR(INDEX(tbl_tampas[Polimero_Base],MATCH(A80,tbl_tampas[CapId],0)),"")</f>
        <v>PP</v>
      </c>
      <c r="D80" s="33" t="str">
        <f>IFERROR(INDEX(tbl_regras_dfr[Classe],MATCH(B80&amp;"|Material da tampa|"&amp;C80,tbl_regras_dfr[Chave],0)),"Sem regra")</f>
        <v>A</v>
      </c>
      <c r="E80" s="36">
        <f>IFERROR(INDEX(tbl_regras_dfr[Fracao_Reciclavel],MATCH(B80&amp;"|Material da tampa|"&amp;C80,tbl_regras_dfr[Chave],0)),0)</f>
        <v>1</v>
      </c>
      <c r="F80" s="33" t="str">
        <f>IFERROR(INDEX(tbl_regras_dfr[Fundamentacao],MATCH(B80&amp;"|Material da tampa|"&amp;C80,tbl_regras_dfr[Chave],0)),"")</f>
        <v>Poliolefina: flutua e é reciclada no fluxo de poliolefinas.</v>
      </c>
      <c r="G80" s="33" t="str">
        <f t="shared" si="2"/>
        <v>Recomendada</v>
      </c>
    </row>
    <row r="81" spans="1:7" ht="18" customHeight="1" x14ac:dyDescent="0.3">
      <c r="A81" s="26" t="s">
        <v>483</v>
      </c>
      <c r="B81" s="26" t="s">
        <v>241</v>
      </c>
      <c r="C81" s="33" t="str">
        <f>IFERROR(INDEX(tbl_tampas[Polimero_Base],MATCH(A81,tbl_tampas[CapId],0)),"")</f>
        <v>PP</v>
      </c>
      <c r="D81" s="33" t="str">
        <f>IFERROR(INDEX(tbl_regras_dfr[Classe],MATCH(B81&amp;"|Material da tampa|"&amp;C81,tbl_regras_dfr[Chave],0)),"Sem regra")</f>
        <v>A</v>
      </c>
      <c r="E81" s="36">
        <f>IFERROR(INDEX(tbl_regras_dfr[Fracao_Reciclavel],MATCH(B81&amp;"|Material da tampa|"&amp;C81,tbl_regras_dfr[Chave],0)),0)</f>
        <v>1</v>
      </c>
      <c r="F81" s="33" t="str">
        <f>IFERROR(INDEX(tbl_regras_dfr[Fundamentacao],MATCH(B81&amp;"|Material da tampa|"&amp;C81,tbl_regras_dfr[Chave],0)),"")</f>
        <v>Poliolefina: flutua e é reciclada no fluxo de poliolefinas.</v>
      </c>
      <c r="G81" s="33" t="str">
        <f t="shared" si="2"/>
        <v>Recomendada</v>
      </c>
    </row>
    <row r="82" spans="1:7" ht="18" customHeight="1" x14ac:dyDescent="0.3">
      <c r="A82" s="26" t="s">
        <v>483</v>
      </c>
      <c r="B82" s="26" t="s">
        <v>250</v>
      </c>
      <c r="C82" s="33" t="str">
        <f>IFERROR(INDEX(tbl_tampas[Polimero_Base],MATCH(A82,tbl_tampas[CapId],0)),"")</f>
        <v>PP</v>
      </c>
      <c r="D82" s="33" t="str">
        <f>IFERROR(INDEX(tbl_regras_dfr[Classe],MATCH(B82&amp;"|Material da tampa|"&amp;C82,tbl_regras_dfr[Chave],0)),"Sem regra")</f>
        <v>A</v>
      </c>
      <c r="E82" s="36">
        <f>IFERROR(INDEX(tbl_regras_dfr[Fracao_Reciclavel],MATCH(B82&amp;"|Material da tampa|"&amp;C82,tbl_regras_dfr[Chave],0)),0)</f>
        <v>1</v>
      </c>
      <c r="F82" s="33" t="str">
        <f>IFERROR(INDEX(tbl_regras_dfr[Fundamentacao],MATCH(B82&amp;"|Material da tampa|"&amp;C82,tbl_regras_dfr[Chave],0)),"")</f>
        <v>Flutua e é separada; reciclada no fluxo de poliolefinas.</v>
      </c>
      <c r="G82" s="33" t="str">
        <f t="shared" si="2"/>
        <v>Recomendada</v>
      </c>
    </row>
    <row r="83" spans="1:7" ht="18" customHeight="1" x14ac:dyDescent="0.3">
      <c r="A83" s="26" t="s">
        <v>484</v>
      </c>
      <c r="B83" s="26" t="s">
        <v>225</v>
      </c>
      <c r="C83" s="33" t="str">
        <f>IFERROR(INDEX(tbl_tampas[Polimero_Base],MATCH(A83,tbl_tampas[CapId],0)),"")</f>
        <v>PE</v>
      </c>
      <c r="D83" s="33" t="str">
        <f>IFERROR(INDEX(tbl_regras_dfr[Classe],MATCH(B83&amp;"|Material da tampa|"&amp;C83,tbl_regras_dfr[Chave],0)),"Sem regra")</f>
        <v>A</v>
      </c>
      <c r="E83" s="36">
        <f>IFERROR(INDEX(tbl_regras_dfr[Fracao_Reciclavel],MATCH(B83&amp;"|Material da tampa|"&amp;C83,tbl_regras_dfr[Chave],0)),0)</f>
        <v>1</v>
      </c>
      <c r="F83" s="33" t="str">
        <f>IFERROR(INDEX(tbl_regras_dfr[Fundamentacao],MATCH(B83&amp;"|Material da tampa|"&amp;C83,tbl_regras_dfr[Chave],0)),"")</f>
        <v>Poliolefina: reciclada com o corpo ou no fluxo de poliolefinas.</v>
      </c>
      <c r="G83" s="33" t="str">
        <f t="shared" si="2"/>
        <v>Recomendada</v>
      </c>
    </row>
    <row r="84" spans="1:7" ht="18" customHeight="1" x14ac:dyDescent="0.3">
      <c r="A84" s="26" t="s">
        <v>484</v>
      </c>
      <c r="B84" s="26" t="s">
        <v>241</v>
      </c>
      <c r="C84" s="33" t="str">
        <f>IFERROR(INDEX(tbl_tampas[Polimero_Base],MATCH(A84,tbl_tampas[CapId],0)),"")</f>
        <v>PE</v>
      </c>
      <c r="D84" s="33" t="str">
        <f>IFERROR(INDEX(tbl_regras_dfr[Classe],MATCH(B84&amp;"|Material da tampa|"&amp;C84,tbl_regras_dfr[Chave],0)),"Sem regra")</f>
        <v>A</v>
      </c>
      <c r="E84" s="36">
        <f>IFERROR(INDEX(tbl_regras_dfr[Fracao_Reciclavel],MATCH(B84&amp;"|Material da tampa|"&amp;C84,tbl_regras_dfr[Chave],0)),0)</f>
        <v>1</v>
      </c>
      <c r="F84" s="33" t="str">
        <f>IFERROR(INDEX(tbl_regras_dfr[Fundamentacao],MATCH(B84&amp;"|Material da tampa|"&amp;C84,tbl_regras_dfr[Chave],0)),"")</f>
        <v>Poliolefina: reciclada com o corpo ou no fluxo de poliolefinas.</v>
      </c>
      <c r="G84" s="33" t="str">
        <f t="shared" si="2"/>
        <v>Recomendada</v>
      </c>
    </row>
    <row r="85" spans="1:7" ht="18" customHeight="1" x14ac:dyDescent="0.3">
      <c r="A85" s="26" t="s">
        <v>484</v>
      </c>
      <c r="B85" s="26" t="s">
        <v>250</v>
      </c>
      <c r="C85" s="33" t="str">
        <f>IFERROR(INDEX(tbl_tampas[Polimero_Base],MATCH(A85,tbl_tampas[CapId],0)),"")</f>
        <v>PE</v>
      </c>
      <c r="D85" s="33" t="str">
        <f>IFERROR(INDEX(tbl_regras_dfr[Classe],MATCH(B85&amp;"|Material da tampa|"&amp;C85,tbl_regras_dfr[Chave],0)),"Sem regra")</f>
        <v>A</v>
      </c>
      <c r="E85" s="36">
        <f>IFERROR(INDEX(tbl_regras_dfr[Fracao_Reciclavel],MATCH(B85&amp;"|Material da tampa|"&amp;C85,tbl_regras_dfr[Chave],0)),0)</f>
        <v>1</v>
      </c>
      <c r="F85" s="33" t="str">
        <f>IFERROR(INDEX(tbl_regras_dfr[Fundamentacao],MATCH(B85&amp;"|Material da tampa|"&amp;C85,tbl_regras_dfr[Chave],0)),"")</f>
        <v>Flutua e é separada; reciclada no fluxo de poliolefinas.</v>
      </c>
      <c r="G85" s="33" t="str">
        <f t="shared" si="2"/>
        <v>Recomendada</v>
      </c>
    </row>
    <row r="86" spans="1:7" ht="18" customHeight="1" x14ac:dyDescent="0.3">
      <c r="A86" s="26" t="s">
        <v>485</v>
      </c>
      <c r="B86" s="26" t="s">
        <v>225</v>
      </c>
      <c r="C86" s="33" t="str">
        <f>IFERROR(INDEX(tbl_tampas[Polimero_Base],MATCH(A86,tbl_tampas[CapId],0)),"")</f>
        <v>PP</v>
      </c>
      <c r="D86" s="33" t="str">
        <f>IFERROR(INDEX(tbl_regras_dfr[Classe],MATCH(B86&amp;"|Material da tampa|"&amp;C86,tbl_regras_dfr[Chave],0)),"Sem regra")</f>
        <v>A</v>
      </c>
      <c r="E86" s="36">
        <f>IFERROR(INDEX(tbl_regras_dfr[Fracao_Reciclavel],MATCH(B86&amp;"|Material da tampa|"&amp;C86,tbl_regras_dfr[Chave],0)),0)</f>
        <v>1</v>
      </c>
      <c r="F86" s="33" t="str">
        <f>IFERROR(INDEX(tbl_regras_dfr[Fundamentacao],MATCH(B86&amp;"|Material da tampa|"&amp;C86,tbl_regras_dfr[Chave],0)),"")</f>
        <v>Poliolefina: flutua e é reciclada no fluxo de poliolefinas.</v>
      </c>
      <c r="G86" s="33" t="str">
        <f t="shared" si="2"/>
        <v>Recomendada</v>
      </c>
    </row>
    <row r="87" spans="1:7" ht="18" customHeight="1" x14ac:dyDescent="0.3">
      <c r="A87" s="26" t="s">
        <v>485</v>
      </c>
      <c r="B87" s="26" t="s">
        <v>241</v>
      </c>
      <c r="C87" s="33" t="str">
        <f>IFERROR(INDEX(tbl_tampas[Polimero_Base],MATCH(A87,tbl_tampas[CapId],0)),"")</f>
        <v>PP</v>
      </c>
      <c r="D87" s="33" t="str">
        <f>IFERROR(INDEX(tbl_regras_dfr[Classe],MATCH(B87&amp;"|Material da tampa|"&amp;C87,tbl_regras_dfr[Chave],0)),"Sem regra")</f>
        <v>A</v>
      </c>
      <c r="E87" s="36">
        <f>IFERROR(INDEX(tbl_regras_dfr[Fracao_Reciclavel],MATCH(B87&amp;"|Material da tampa|"&amp;C87,tbl_regras_dfr[Chave],0)),0)</f>
        <v>1</v>
      </c>
      <c r="F87" s="33" t="str">
        <f>IFERROR(INDEX(tbl_regras_dfr[Fundamentacao],MATCH(B87&amp;"|Material da tampa|"&amp;C87,tbl_regras_dfr[Chave],0)),"")</f>
        <v>Poliolefina: flutua e é reciclada no fluxo de poliolefinas.</v>
      </c>
      <c r="G87" s="33" t="str">
        <f t="shared" si="2"/>
        <v>Recomendada</v>
      </c>
    </row>
    <row r="88" spans="1:7" ht="18" customHeight="1" x14ac:dyDescent="0.3">
      <c r="A88" s="26" t="s">
        <v>485</v>
      </c>
      <c r="B88" s="26" t="s">
        <v>250</v>
      </c>
      <c r="C88" s="33" t="str">
        <f>IFERROR(INDEX(tbl_tampas[Polimero_Base],MATCH(A88,tbl_tampas[CapId],0)),"")</f>
        <v>PP</v>
      </c>
      <c r="D88" s="33" t="str">
        <f>IFERROR(INDEX(tbl_regras_dfr[Classe],MATCH(B88&amp;"|Material da tampa|"&amp;C88,tbl_regras_dfr[Chave],0)),"Sem regra")</f>
        <v>A</v>
      </c>
      <c r="E88" s="36">
        <f>IFERROR(INDEX(tbl_regras_dfr[Fracao_Reciclavel],MATCH(B88&amp;"|Material da tampa|"&amp;C88,tbl_regras_dfr[Chave],0)),0)</f>
        <v>1</v>
      </c>
      <c r="F88" s="33" t="str">
        <f>IFERROR(INDEX(tbl_regras_dfr[Fundamentacao],MATCH(B88&amp;"|Material da tampa|"&amp;C88,tbl_regras_dfr[Chave],0)),"")</f>
        <v>Flutua e é separada; reciclada no fluxo de poliolefinas.</v>
      </c>
      <c r="G88" s="33" t="str">
        <f t="shared" si="2"/>
        <v>Recomendada</v>
      </c>
    </row>
    <row r="89" spans="1:7" ht="18" customHeight="1" x14ac:dyDescent="0.3">
      <c r="A89" s="26" t="s">
        <v>488</v>
      </c>
      <c r="B89" s="26" t="s">
        <v>225</v>
      </c>
      <c r="C89" s="33" t="str">
        <f>IFERROR(INDEX(tbl_tampas[Polimero_Base],MATCH(A89,tbl_tampas[CapId],0)),"")</f>
        <v>PP</v>
      </c>
      <c r="D89" s="33" t="str">
        <f>IFERROR(INDEX(tbl_regras_dfr[Classe],MATCH(B89&amp;"|Material da tampa|"&amp;C89,tbl_regras_dfr[Chave],0)),"Sem regra")</f>
        <v>A</v>
      </c>
      <c r="E89" s="36">
        <f>IFERROR(INDEX(tbl_regras_dfr[Fracao_Reciclavel],MATCH(B89&amp;"|Material da tampa|"&amp;C89,tbl_regras_dfr[Chave],0)),0)</f>
        <v>1</v>
      </c>
      <c r="F89" s="33" t="str">
        <f>IFERROR(INDEX(tbl_regras_dfr[Fundamentacao],MATCH(B89&amp;"|Material da tampa|"&amp;C89,tbl_regras_dfr[Chave],0)),"")</f>
        <v>Poliolefina: flutua e é reciclada no fluxo de poliolefinas.</v>
      </c>
      <c r="G89" s="33" t="str">
        <f t="shared" si="2"/>
        <v>Recomendada</v>
      </c>
    </row>
    <row r="90" spans="1:7" ht="18" customHeight="1" x14ac:dyDescent="0.3">
      <c r="A90" s="26" t="s">
        <v>488</v>
      </c>
      <c r="B90" s="26" t="s">
        <v>241</v>
      </c>
      <c r="C90" s="33" t="str">
        <f>IFERROR(INDEX(tbl_tampas[Polimero_Base],MATCH(A90,tbl_tampas[CapId],0)),"")</f>
        <v>PP</v>
      </c>
      <c r="D90" s="33" t="str">
        <f>IFERROR(INDEX(tbl_regras_dfr[Classe],MATCH(B90&amp;"|Material da tampa|"&amp;C90,tbl_regras_dfr[Chave],0)),"Sem regra")</f>
        <v>A</v>
      </c>
      <c r="E90" s="36">
        <f>IFERROR(INDEX(tbl_regras_dfr[Fracao_Reciclavel],MATCH(B90&amp;"|Material da tampa|"&amp;C90,tbl_regras_dfr[Chave],0)),0)</f>
        <v>1</v>
      </c>
      <c r="F90" s="33" t="str">
        <f>IFERROR(INDEX(tbl_regras_dfr[Fundamentacao],MATCH(B90&amp;"|Material da tampa|"&amp;C90,tbl_regras_dfr[Chave],0)),"")</f>
        <v>Poliolefina: flutua e é reciclada no fluxo de poliolefinas.</v>
      </c>
      <c r="G90" s="33" t="str">
        <f t="shared" si="2"/>
        <v>Recomendada</v>
      </c>
    </row>
    <row r="91" spans="1:7" ht="18" customHeight="1" x14ac:dyDescent="0.3">
      <c r="A91" s="26" t="s">
        <v>488</v>
      </c>
      <c r="B91" s="26" t="s">
        <v>250</v>
      </c>
      <c r="C91" s="33" t="str">
        <f>IFERROR(INDEX(tbl_tampas[Polimero_Base],MATCH(A91,tbl_tampas[CapId],0)),"")</f>
        <v>PP</v>
      </c>
      <c r="D91" s="33" t="str">
        <f>IFERROR(INDEX(tbl_regras_dfr[Classe],MATCH(B91&amp;"|Material da tampa|"&amp;C91,tbl_regras_dfr[Chave],0)),"Sem regra")</f>
        <v>A</v>
      </c>
      <c r="E91" s="36">
        <f>IFERROR(INDEX(tbl_regras_dfr[Fracao_Reciclavel],MATCH(B91&amp;"|Material da tampa|"&amp;C91,tbl_regras_dfr[Chave],0)),0)</f>
        <v>1</v>
      </c>
      <c r="F91" s="33" t="str">
        <f>IFERROR(INDEX(tbl_regras_dfr[Fundamentacao],MATCH(B91&amp;"|Material da tampa|"&amp;C91,tbl_regras_dfr[Chave],0)),"")</f>
        <v>Flutua e é separada; reciclada no fluxo de poliolefinas.</v>
      </c>
      <c r="G91" s="33" t="str">
        <f t="shared" si="2"/>
        <v>Recomendada</v>
      </c>
    </row>
    <row r="92" spans="1:7" ht="18" customHeight="1" x14ac:dyDescent="0.3">
      <c r="A92" s="26" t="s">
        <v>490</v>
      </c>
      <c r="B92" s="26" t="s">
        <v>225</v>
      </c>
      <c r="C92" s="33" t="str">
        <f>IFERROR(INDEX(tbl_tampas[Polimero_Base],MATCH(A92,tbl_tampas[CapId],0)),"")</f>
        <v>PE</v>
      </c>
      <c r="D92" s="33" t="str">
        <f>IFERROR(INDEX(tbl_regras_dfr[Classe],MATCH(B92&amp;"|Material da tampa|"&amp;C92,tbl_regras_dfr[Chave],0)),"Sem regra")</f>
        <v>A</v>
      </c>
      <c r="E92" s="36">
        <f>IFERROR(INDEX(tbl_regras_dfr[Fracao_Reciclavel],MATCH(B92&amp;"|Material da tampa|"&amp;C92,tbl_regras_dfr[Chave],0)),0)</f>
        <v>1</v>
      </c>
      <c r="F92" s="33" t="str">
        <f>IFERROR(INDEX(tbl_regras_dfr[Fundamentacao],MATCH(B92&amp;"|Material da tampa|"&amp;C92,tbl_regras_dfr[Chave],0)),"")</f>
        <v>Poliolefina: reciclada com o corpo ou no fluxo de poliolefinas.</v>
      </c>
      <c r="G92" s="33" t="str">
        <f t="shared" si="2"/>
        <v>Recomendada</v>
      </c>
    </row>
    <row r="93" spans="1:7" ht="18" customHeight="1" x14ac:dyDescent="0.3">
      <c r="A93" s="26" t="s">
        <v>490</v>
      </c>
      <c r="B93" s="26" t="s">
        <v>241</v>
      </c>
      <c r="C93" s="33" t="str">
        <f>IFERROR(INDEX(tbl_tampas[Polimero_Base],MATCH(A93,tbl_tampas[CapId],0)),"")</f>
        <v>PE</v>
      </c>
      <c r="D93" s="33" t="str">
        <f>IFERROR(INDEX(tbl_regras_dfr[Classe],MATCH(B93&amp;"|Material da tampa|"&amp;C93,tbl_regras_dfr[Chave],0)),"Sem regra")</f>
        <v>A</v>
      </c>
      <c r="E93" s="36">
        <f>IFERROR(INDEX(tbl_regras_dfr[Fracao_Reciclavel],MATCH(B93&amp;"|Material da tampa|"&amp;C93,tbl_regras_dfr[Chave],0)),0)</f>
        <v>1</v>
      </c>
      <c r="F93" s="33" t="str">
        <f>IFERROR(INDEX(tbl_regras_dfr[Fundamentacao],MATCH(B93&amp;"|Material da tampa|"&amp;C93,tbl_regras_dfr[Chave],0)),"")</f>
        <v>Poliolefina: reciclada com o corpo ou no fluxo de poliolefinas.</v>
      </c>
      <c r="G93" s="33" t="str">
        <f t="shared" si="2"/>
        <v>Recomendada</v>
      </c>
    </row>
    <row r="94" spans="1:7" ht="18" customHeight="1" x14ac:dyDescent="0.3">
      <c r="A94" s="26" t="s">
        <v>490</v>
      </c>
      <c r="B94" s="26" t="s">
        <v>250</v>
      </c>
      <c r="C94" s="33" t="str">
        <f>IFERROR(INDEX(tbl_tampas[Polimero_Base],MATCH(A94,tbl_tampas[CapId],0)),"")</f>
        <v>PE</v>
      </c>
      <c r="D94" s="33" t="str">
        <f>IFERROR(INDEX(tbl_regras_dfr[Classe],MATCH(B94&amp;"|Material da tampa|"&amp;C94,tbl_regras_dfr[Chave],0)),"Sem regra")</f>
        <v>A</v>
      </c>
      <c r="E94" s="36">
        <f>IFERROR(INDEX(tbl_regras_dfr[Fracao_Reciclavel],MATCH(B94&amp;"|Material da tampa|"&amp;C94,tbl_regras_dfr[Chave],0)),0)</f>
        <v>1</v>
      </c>
      <c r="F94" s="33" t="str">
        <f>IFERROR(INDEX(tbl_regras_dfr[Fundamentacao],MATCH(B94&amp;"|Material da tampa|"&amp;C94,tbl_regras_dfr[Chave],0)),"")</f>
        <v>Flutua e é separada; reciclada no fluxo de poliolefinas.</v>
      </c>
      <c r="G94" s="33" t="str">
        <f t="shared" si="2"/>
        <v>Recomendada</v>
      </c>
    </row>
    <row r="95" spans="1:7" ht="18" customHeight="1" x14ac:dyDescent="0.3">
      <c r="A95" s="26" t="s">
        <v>492</v>
      </c>
      <c r="B95" s="26" t="s">
        <v>225</v>
      </c>
      <c r="C95" s="33" t="str">
        <f>IFERROR(INDEX(tbl_tampas[Polimero_Base],MATCH(A95,tbl_tampas[CapId],0)),"")</f>
        <v>PP</v>
      </c>
      <c r="D95" s="33" t="str">
        <f>IFERROR(INDEX(tbl_regras_dfr[Classe],MATCH(B95&amp;"|Material da tampa|"&amp;C95,tbl_regras_dfr[Chave],0)),"Sem regra")</f>
        <v>A</v>
      </c>
      <c r="E95" s="36">
        <f>IFERROR(INDEX(tbl_regras_dfr[Fracao_Reciclavel],MATCH(B95&amp;"|Material da tampa|"&amp;C95,tbl_regras_dfr[Chave],0)),0)</f>
        <v>1</v>
      </c>
      <c r="F95" s="33" t="str">
        <f>IFERROR(INDEX(tbl_regras_dfr[Fundamentacao],MATCH(B95&amp;"|Material da tampa|"&amp;C95,tbl_regras_dfr[Chave],0)),"")</f>
        <v>Poliolefina: flutua e é reciclada no fluxo de poliolefinas.</v>
      </c>
      <c r="G95" s="33" t="str">
        <f t="shared" si="2"/>
        <v>Recomendada</v>
      </c>
    </row>
    <row r="96" spans="1:7" ht="18" customHeight="1" x14ac:dyDescent="0.3">
      <c r="A96" s="26" t="s">
        <v>492</v>
      </c>
      <c r="B96" s="26" t="s">
        <v>241</v>
      </c>
      <c r="C96" s="33" t="str">
        <f>IFERROR(INDEX(tbl_tampas[Polimero_Base],MATCH(A96,tbl_tampas[CapId],0)),"")</f>
        <v>PP</v>
      </c>
      <c r="D96" s="33" t="str">
        <f>IFERROR(INDEX(tbl_regras_dfr[Classe],MATCH(B96&amp;"|Material da tampa|"&amp;C96,tbl_regras_dfr[Chave],0)),"Sem regra")</f>
        <v>A</v>
      </c>
      <c r="E96" s="36">
        <f>IFERROR(INDEX(tbl_regras_dfr[Fracao_Reciclavel],MATCH(B96&amp;"|Material da tampa|"&amp;C96,tbl_regras_dfr[Chave],0)),0)</f>
        <v>1</v>
      </c>
      <c r="F96" s="33" t="str">
        <f>IFERROR(INDEX(tbl_regras_dfr[Fundamentacao],MATCH(B96&amp;"|Material da tampa|"&amp;C96,tbl_regras_dfr[Chave],0)),"")</f>
        <v>Poliolefina: flutua e é reciclada no fluxo de poliolefinas.</v>
      </c>
      <c r="G96" s="33" t="str">
        <f t="shared" si="2"/>
        <v>Recomendada</v>
      </c>
    </row>
    <row r="97" spans="1:7" ht="18" customHeight="1" x14ac:dyDescent="0.3">
      <c r="A97" s="26" t="s">
        <v>492</v>
      </c>
      <c r="B97" s="26" t="s">
        <v>250</v>
      </c>
      <c r="C97" s="33" t="str">
        <f>IFERROR(INDEX(tbl_tampas[Polimero_Base],MATCH(A97,tbl_tampas[CapId],0)),"")</f>
        <v>PP</v>
      </c>
      <c r="D97" s="33" t="str">
        <f>IFERROR(INDEX(tbl_regras_dfr[Classe],MATCH(B97&amp;"|Material da tampa|"&amp;C97,tbl_regras_dfr[Chave],0)),"Sem regra")</f>
        <v>A</v>
      </c>
      <c r="E97" s="36">
        <f>IFERROR(INDEX(tbl_regras_dfr[Fracao_Reciclavel],MATCH(B97&amp;"|Material da tampa|"&amp;C97,tbl_regras_dfr[Chave],0)),0)</f>
        <v>1</v>
      </c>
      <c r="F97" s="33" t="str">
        <f>IFERROR(INDEX(tbl_regras_dfr[Fundamentacao],MATCH(B97&amp;"|Material da tampa|"&amp;C97,tbl_regras_dfr[Chave],0)),"")</f>
        <v>Flutua e é separada; reciclada no fluxo de poliolefinas.</v>
      </c>
      <c r="G97" s="33" t="str">
        <f t="shared" si="2"/>
        <v>Recomendada</v>
      </c>
    </row>
    <row r="98" spans="1:7" ht="18" customHeight="1" x14ac:dyDescent="0.3">
      <c r="A98" s="26" t="s">
        <v>497</v>
      </c>
      <c r="B98" s="26" t="s">
        <v>225</v>
      </c>
      <c r="C98" s="33" t="str">
        <f>IFERROR(INDEX(tbl_tampas[Polimero_Base],MATCH(A98,tbl_tampas[CapId],0)),"")</f>
        <v>PP</v>
      </c>
      <c r="D98" s="33" t="str">
        <f>IFERROR(INDEX(tbl_regras_dfr[Classe],MATCH(B98&amp;"|Material da tampa|"&amp;C98,tbl_regras_dfr[Chave],0)),"Sem regra")</f>
        <v>A</v>
      </c>
      <c r="E98" s="36">
        <f>IFERROR(INDEX(tbl_regras_dfr[Fracao_Reciclavel],MATCH(B98&amp;"|Material da tampa|"&amp;C98,tbl_regras_dfr[Chave],0)),0)</f>
        <v>1</v>
      </c>
      <c r="F98" s="33" t="str">
        <f>IFERROR(INDEX(tbl_regras_dfr[Fundamentacao],MATCH(B98&amp;"|Material da tampa|"&amp;C98,tbl_regras_dfr[Chave],0)),"")</f>
        <v>Poliolefina: flutua e é reciclada no fluxo de poliolefinas.</v>
      </c>
      <c r="G98" s="33" t="str">
        <f t="shared" ref="G98:G109" si="3">IF(D98="A","Recomendada",IF(D98="B","Aceitável (perda de massa)","Evitar neste fluxo"))</f>
        <v>Recomendada</v>
      </c>
    </row>
    <row r="99" spans="1:7" ht="18" customHeight="1" x14ac:dyDescent="0.3">
      <c r="A99" s="26" t="s">
        <v>497</v>
      </c>
      <c r="B99" s="26" t="s">
        <v>241</v>
      </c>
      <c r="C99" s="33" t="str">
        <f>IFERROR(INDEX(tbl_tampas[Polimero_Base],MATCH(A99,tbl_tampas[CapId],0)),"")</f>
        <v>PP</v>
      </c>
      <c r="D99" s="33" t="str">
        <f>IFERROR(INDEX(tbl_regras_dfr[Classe],MATCH(B99&amp;"|Material da tampa|"&amp;C99,tbl_regras_dfr[Chave],0)),"Sem regra")</f>
        <v>A</v>
      </c>
      <c r="E99" s="36">
        <f>IFERROR(INDEX(tbl_regras_dfr[Fracao_Reciclavel],MATCH(B99&amp;"|Material da tampa|"&amp;C99,tbl_regras_dfr[Chave],0)),0)</f>
        <v>1</v>
      </c>
      <c r="F99" s="33" t="str">
        <f>IFERROR(INDEX(tbl_regras_dfr[Fundamentacao],MATCH(B99&amp;"|Material da tampa|"&amp;C99,tbl_regras_dfr[Chave],0)),"")</f>
        <v>Poliolefina: flutua e é reciclada no fluxo de poliolefinas.</v>
      </c>
      <c r="G99" s="33" t="str">
        <f t="shared" si="3"/>
        <v>Recomendada</v>
      </c>
    </row>
    <row r="100" spans="1:7" ht="18" customHeight="1" x14ac:dyDescent="0.3">
      <c r="A100" s="26" t="s">
        <v>497</v>
      </c>
      <c r="B100" s="26" t="s">
        <v>250</v>
      </c>
      <c r="C100" s="33" t="str">
        <f>IFERROR(INDEX(tbl_tampas[Polimero_Base],MATCH(A100,tbl_tampas[CapId],0)),"")</f>
        <v>PP</v>
      </c>
      <c r="D100" s="33" t="str">
        <f>IFERROR(INDEX(tbl_regras_dfr[Classe],MATCH(B100&amp;"|Material da tampa|"&amp;C100,tbl_regras_dfr[Chave],0)),"Sem regra")</f>
        <v>A</v>
      </c>
      <c r="E100" s="36">
        <f>IFERROR(INDEX(tbl_regras_dfr[Fracao_Reciclavel],MATCH(B100&amp;"|Material da tampa|"&amp;C100,tbl_regras_dfr[Chave],0)),0)</f>
        <v>1</v>
      </c>
      <c r="F100" s="33" t="str">
        <f>IFERROR(INDEX(tbl_regras_dfr[Fundamentacao],MATCH(B100&amp;"|Material da tampa|"&amp;C100,tbl_regras_dfr[Chave],0)),"")</f>
        <v>Flutua e é separada; reciclada no fluxo de poliolefinas.</v>
      </c>
      <c r="G100" s="33" t="str">
        <f t="shared" si="3"/>
        <v>Recomendada</v>
      </c>
    </row>
    <row r="101" spans="1:7" ht="18" customHeight="1" x14ac:dyDescent="0.3">
      <c r="A101" s="26" t="s">
        <v>502</v>
      </c>
      <c r="B101" s="26" t="s">
        <v>225</v>
      </c>
      <c r="C101" s="33" t="str">
        <f>IFERROR(INDEX(tbl_tampas[Polimero_Base],MATCH(A101,tbl_tampas[CapId],0)),"")</f>
        <v>PP</v>
      </c>
      <c r="D101" s="33" t="str">
        <f>IFERROR(INDEX(tbl_regras_dfr[Classe],MATCH(B101&amp;"|Material da tampa|"&amp;C101,tbl_regras_dfr[Chave],0)),"Sem regra")</f>
        <v>A</v>
      </c>
      <c r="E101" s="36">
        <f>IFERROR(INDEX(tbl_regras_dfr[Fracao_Reciclavel],MATCH(B101&amp;"|Material da tampa|"&amp;C101,tbl_regras_dfr[Chave],0)),0)</f>
        <v>1</v>
      </c>
      <c r="F101" s="33" t="str">
        <f>IFERROR(INDEX(tbl_regras_dfr[Fundamentacao],MATCH(B101&amp;"|Material da tampa|"&amp;C101,tbl_regras_dfr[Chave],0)),"")</f>
        <v>Poliolefina: flutua e é reciclada no fluxo de poliolefinas.</v>
      </c>
      <c r="G101" s="33" t="str">
        <f t="shared" si="3"/>
        <v>Recomendada</v>
      </c>
    </row>
    <row r="102" spans="1:7" ht="18" customHeight="1" x14ac:dyDescent="0.3">
      <c r="A102" s="26" t="s">
        <v>502</v>
      </c>
      <c r="B102" s="26" t="s">
        <v>241</v>
      </c>
      <c r="C102" s="33" t="str">
        <f>IFERROR(INDEX(tbl_tampas[Polimero_Base],MATCH(A102,tbl_tampas[CapId],0)),"")</f>
        <v>PP</v>
      </c>
      <c r="D102" s="33" t="str">
        <f>IFERROR(INDEX(tbl_regras_dfr[Classe],MATCH(B102&amp;"|Material da tampa|"&amp;C102,tbl_regras_dfr[Chave],0)),"Sem regra")</f>
        <v>A</v>
      </c>
      <c r="E102" s="36">
        <f>IFERROR(INDEX(tbl_regras_dfr[Fracao_Reciclavel],MATCH(B102&amp;"|Material da tampa|"&amp;C102,tbl_regras_dfr[Chave],0)),0)</f>
        <v>1</v>
      </c>
      <c r="F102" s="33" t="str">
        <f>IFERROR(INDEX(tbl_regras_dfr[Fundamentacao],MATCH(B102&amp;"|Material da tampa|"&amp;C102,tbl_regras_dfr[Chave],0)),"")</f>
        <v>Poliolefina: flutua e é reciclada no fluxo de poliolefinas.</v>
      </c>
      <c r="G102" s="33" t="str">
        <f t="shared" si="3"/>
        <v>Recomendada</v>
      </c>
    </row>
    <row r="103" spans="1:7" ht="18" customHeight="1" x14ac:dyDescent="0.3">
      <c r="A103" s="26" t="s">
        <v>502</v>
      </c>
      <c r="B103" s="26" t="s">
        <v>250</v>
      </c>
      <c r="C103" s="33" t="str">
        <f>IFERROR(INDEX(tbl_tampas[Polimero_Base],MATCH(A103,tbl_tampas[CapId],0)),"")</f>
        <v>PP</v>
      </c>
      <c r="D103" s="33" t="str">
        <f>IFERROR(INDEX(tbl_regras_dfr[Classe],MATCH(B103&amp;"|Material da tampa|"&amp;C103,tbl_regras_dfr[Chave],0)),"Sem regra")</f>
        <v>A</v>
      </c>
      <c r="E103" s="36">
        <f>IFERROR(INDEX(tbl_regras_dfr[Fracao_Reciclavel],MATCH(B103&amp;"|Material da tampa|"&amp;C103,tbl_regras_dfr[Chave],0)),0)</f>
        <v>1</v>
      </c>
      <c r="F103" s="33" t="str">
        <f>IFERROR(INDEX(tbl_regras_dfr[Fundamentacao],MATCH(B103&amp;"|Material da tampa|"&amp;C103,tbl_regras_dfr[Chave],0)),"")</f>
        <v>Flutua e é separada; reciclada no fluxo de poliolefinas.</v>
      </c>
      <c r="G103" s="33" t="str">
        <f t="shared" si="3"/>
        <v>Recomendada</v>
      </c>
    </row>
    <row r="104" spans="1:7" ht="18" customHeight="1" x14ac:dyDescent="0.3">
      <c r="A104" s="26" t="s">
        <v>504</v>
      </c>
      <c r="B104" s="26" t="s">
        <v>225</v>
      </c>
      <c r="C104" s="33" t="str">
        <f>IFERROR(INDEX(tbl_tampas[Polimero_Base],MATCH(A104,tbl_tampas[CapId],0)),"")</f>
        <v>PE</v>
      </c>
      <c r="D104" s="33" t="str">
        <f>IFERROR(INDEX(tbl_regras_dfr[Classe],MATCH(B104&amp;"|Material da tampa|"&amp;C104,tbl_regras_dfr[Chave],0)),"Sem regra")</f>
        <v>A</v>
      </c>
      <c r="E104" s="36">
        <f>IFERROR(INDEX(tbl_regras_dfr[Fracao_Reciclavel],MATCH(B104&amp;"|Material da tampa|"&amp;C104,tbl_regras_dfr[Chave],0)),0)</f>
        <v>1</v>
      </c>
      <c r="F104" s="33" t="str">
        <f>IFERROR(INDEX(tbl_regras_dfr[Fundamentacao],MATCH(B104&amp;"|Material da tampa|"&amp;C104,tbl_regras_dfr[Chave],0)),"")</f>
        <v>Poliolefina: reciclada com o corpo ou no fluxo de poliolefinas.</v>
      </c>
      <c r="G104" s="33" t="str">
        <f t="shared" si="3"/>
        <v>Recomendada</v>
      </c>
    </row>
    <row r="105" spans="1:7" ht="18" customHeight="1" x14ac:dyDescent="0.3">
      <c r="A105" s="26" t="s">
        <v>504</v>
      </c>
      <c r="B105" s="26" t="s">
        <v>241</v>
      </c>
      <c r="C105" s="33" t="str">
        <f>IFERROR(INDEX(tbl_tampas[Polimero_Base],MATCH(A105,tbl_tampas[CapId],0)),"")</f>
        <v>PE</v>
      </c>
      <c r="D105" s="33" t="str">
        <f>IFERROR(INDEX(tbl_regras_dfr[Classe],MATCH(B105&amp;"|Material da tampa|"&amp;C105,tbl_regras_dfr[Chave],0)),"Sem regra")</f>
        <v>A</v>
      </c>
      <c r="E105" s="36">
        <f>IFERROR(INDEX(tbl_regras_dfr[Fracao_Reciclavel],MATCH(B105&amp;"|Material da tampa|"&amp;C105,tbl_regras_dfr[Chave],0)),0)</f>
        <v>1</v>
      </c>
      <c r="F105" s="33" t="str">
        <f>IFERROR(INDEX(tbl_regras_dfr[Fundamentacao],MATCH(B105&amp;"|Material da tampa|"&amp;C105,tbl_regras_dfr[Chave],0)),"")</f>
        <v>Poliolefina: reciclada com o corpo ou no fluxo de poliolefinas.</v>
      </c>
      <c r="G105" s="33" t="str">
        <f t="shared" si="3"/>
        <v>Recomendada</v>
      </c>
    </row>
    <row r="106" spans="1:7" ht="18" customHeight="1" x14ac:dyDescent="0.3">
      <c r="A106" s="26" t="s">
        <v>504</v>
      </c>
      <c r="B106" s="26" t="s">
        <v>250</v>
      </c>
      <c r="C106" s="33" t="str">
        <f>IFERROR(INDEX(tbl_tampas[Polimero_Base],MATCH(A106,tbl_tampas[CapId],0)),"")</f>
        <v>PE</v>
      </c>
      <c r="D106" s="33" t="str">
        <f>IFERROR(INDEX(tbl_regras_dfr[Classe],MATCH(B106&amp;"|Material da tampa|"&amp;C106,tbl_regras_dfr[Chave],0)),"Sem regra")</f>
        <v>A</v>
      </c>
      <c r="E106" s="36">
        <f>IFERROR(INDEX(tbl_regras_dfr[Fracao_Reciclavel],MATCH(B106&amp;"|Material da tampa|"&amp;C106,tbl_regras_dfr[Chave],0)),0)</f>
        <v>1</v>
      </c>
      <c r="F106" s="33" t="str">
        <f>IFERROR(INDEX(tbl_regras_dfr[Fundamentacao],MATCH(B106&amp;"|Material da tampa|"&amp;C106,tbl_regras_dfr[Chave],0)),"")</f>
        <v>Flutua e é separada; reciclada no fluxo de poliolefinas.</v>
      </c>
      <c r="G106" s="33" t="str">
        <f t="shared" si="3"/>
        <v>Recomendada</v>
      </c>
    </row>
    <row r="107" spans="1:7" ht="18" customHeight="1" x14ac:dyDescent="0.3">
      <c r="A107" s="26" t="s">
        <v>507</v>
      </c>
      <c r="B107" s="26" t="s">
        <v>225</v>
      </c>
      <c r="C107" s="33" t="str">
        <f>IFERROR(INDEX(tbl_tampas[Polimero_Base],MATCH(A107,tbl_tampas[CapId],0)),"")</f>
        <v>PP</v>
      </c>
      <c r="D107" s="33" t="str">
        <f>IFERROR(INDEX(tbl_regras_dfr[Classe],MATCH(B107&amp;"|Material da tampa|"&amp;C107,tbl_regras_dfr[Chave],0)),"Sem regra")</f>
        <v>A</v>
      </c>
      <c r="E107" s="36">
        <f>IFERROR(INDEX(tbl_regras_dfr[Fracao_Reciclavel],MATCH(B107&amp;"|Material da tampa|"&amp;C107,tbl_regras_dfr[Chave],0)),0)</f>
        <v>1</v>
      </c>
      <c r="F107" s="33" t="str">
        <f>IFERROR(INDEX(tbl_regras_dfr[Fundamentacao],MATCH(B107&amp;"|Material da tampa|"&amp;C107,tbl_regras_dfr[Chave],0)),"")</f>
        <v>Poliolefina: flutua e é reciclada no fluxo de poliolefinas.</v>
      </c>
      <c r="G107" s="33" t="str">
        <f t="shared" si="3"/>
        <v>Recomendada</v>
      </c>
    </row>
    <row r="108" spans="1:7" ht="18" customHeight="1" x14ac:dyDescent="0.3">
      <c r="A108" s="26" t="s">
        <v>507</v>
      </c>
      <c r="B108" s="26" t="s">
        <v>241</v>
      </c>
      <c r="C108" s="33" t="str">
        <f>IFERROR(INDEX(tbl_tampas[Polimero_Base],MATCH(A108,tbl_tampas[CapId],0)),"")</f>
        <v>PP</v>
      </c>
      <c r="D108" s="33" t="str">
        <f>IFERROR(INDEX(tbl_regras_dfr[Classe],MATCH(B108&amp;"|Material da tampa|"&amp;C108,tbl_regras_dfr[Chave],0)),"Sem regra")</f>
        <v>A</v>
      </c>
      <c r="E108" s="36">
        <f>IFERROR(INDEX(tbl_regras_dfr[Fracao_Reciclavel],MATCH(B108&amp;"|Material da tampa|"&amp;C108,tbl_regras_dfr[Chave],0)),0)</f>
        <v>1</v>
      </c>
      <c r="F108" s="33" t="str">
        <f>IFERROR(INDEX(tbl_regras_dfr[Fundamentacao],MATCH(B108&amp;"|Material da tampa|"&amp;C108,tbl_regras_dfr[Chave],0)),"")</f>
        <v>Poliolefina: flutua e é reciclada no fluxo de poliolefinas.</v>
      </c>
      <c r="G108" s="33" t="str">
        <f t="shared" si="3"/>
        <v>Recomendada</v>
      </c>
    </row>
    <row r="109" spans="1:7" ht="18" customHeight="1" x14ac:dyDescent="0.3">
      <c r="A109" s="26" t="s">
        <v>507</v>
      </c>
      <c r="B109" s="26" t="s">
        <v>250</v>
      </c>
      <c r="C109" s="33" t="str">
        <f>IFERROR(INDEX(tbl_tampas[Polimero_Base],MATCH(A109,tbl_tampas[CapId],0)),"")</f>
        <v>PP</v>
      </c>
      <c r="D109" s="33" t="str">
        <f>IFERROR(INDEX(tbl_regras_dfr[Classe],MATCH(B109&amp;"|Material da tampa|"&amp;C109,tbl_regras_dfr[Chave],0)),"Sem regra")</f>
        <v>A</v>
      </c>
      <c r="E109" s="36">
        <f>IFERROR(INDEX(tbl_regras_dfr[Fracao_Reciclavel],MATCH(B109&amp;"|Material da tampa|"&amp;C109,tbl_regras_dfr[Chave],0)),0)</f>
        <v>1</v>
      </c>
      <c r="F109" s="33" t="str">
        <f>IFERROR(INDEX(tbl_regras_dfr[Fundamentacao],MATCH(B109&amp;"|Material da tampa|"&amp;C109,tbl_regras_dfr[Chave],0)),"")</f>
        <v>Flutua e é separada; reciclada no fluxo de poliolefinas.</v>
      </c>
      <c r="G109" s="33" t="str">
        <f t="shared" si="3"/>
        <v>Recomendada</v>
      </c>
    </row>
  </sheetData>
  <conditionalFormatting sqref="D2:D309">
    <cfRule type="expression" dxfId="55" priority="1">
      <formula>ISNUMBER(SEARCH("A",D2))</formula>
    </cfRule>
    <cfRule type="expression" dxfId="54" priority="2">
      <formula>ISNUMBER(SEARCH("B",D2))</formula>
    </cfRule>
    <cfRule type="expression" dxfId="53" priority="3">
      <formula>ISNUMBER(SEARCH("D",D2))</formula>
    </cfRule>
    <cfRule type="expression" dxfId="52" priority="4">
      <formula>ISNUMBER(SEARCH("F",D2))</formula>
    </cfRule>
  </conditionalFormatting>
  <conditionalFormatting sqref="G2:G309">
    <cfRule type="expression" dxfId="51" priority="5">
      <formula>ISNUMBER(SEARCH("Evitar",G2))</formula>
    </cfRule>
    <cfRule type="expression" dxfId="50" priority="6">
      <formula>ISNUMBER(SEARCH("Aceitável",G2))</formula>
    </cfRule>
    <cfRule type="expression" dxfId="49" priority="7">
      <formula>ISNUMBER(SEARCH("Recomendada",G2))</formula>
    </cfRule>
  </conditionalFormatting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S23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30" customWidth="1"/>
    <col min="3" max="3" width="8" customWidth="1"/>
    <col min="4" max="4" width="10" customWidth="1"/>
    <col min="5" max="5" width="7" customWidth="1"/>
    <col min="6" max="7" width="10" customWidth="1"/>
    <col min="8" max="8" width="11" customWidth="1"/>
    <col min="9" max="9" width="30" customWidth="1"/>
    <col min="10" max="10" width="9" customWidth="1"/>
    <col min="11" max="11" width="34" customWidth="1"/>
    <col min="12" max="12" width="12" customWidth="1"/>
    <col min="13" max="13" width="40" customWidth="1"/>
    <col min="14" max="14" width="18" customWidth="1"/>
    <col min="15" max="16" width="9" customWidth="1"/>
    <col min="17" max="17" width="10" customWidth="1"/>
    <col min="18" max="18" width="11" customWidth="1"/>
    <col min="19" max="19" width="10" customWidth="1"/>
  </cols>
  <sheetData>
    <row r="1" spans="1:19" ht="52.8" x14ac:dyDescent="0.3">
      <c r="A1" s="12" t="s">
        <v>883</v>
      </c>
      <c r="B1" s="12" t="s">
        <v>884</v>
      </c>
      <c r="C1" s="12" t="s">
        <v>885</v>
      </c>
      <c r="D1" s="12" t="s">
        <v>213</v>
      </c>
      <c r="E1" s="30" t="s">
        <v>886</v>
      </c>
      <c r="F1" s="12" t="s">
        <v>887</v>
      </c>
      <c r="G1" s="12" t="s">
        <v>888</v>
      </c>
      <c r="H1" s="12" t="s">
        <v>889</v>
      </c>
      <c r="I1" s="12" t="s">
        <v>890</v>
      </c>
      <c r="J1" s="12" t="s">
        <v>891</v>
      </c>
      <c r="K1" s="12" t="s">
        <v>892</v>
      </c>
      <c r="L1" s="12" t="s">
        <v>893</v>
      </c>
      <c r="M1" s="12" t="s">
        <v>894</v>
      </c>
      <c r="N1" s="30" t="s">
        <v>895</v>
      </c>
      <c r="O1" s="30" t="s">
        <v>896</v>
      </c>
      <c r="P1" s="30" t="s">
        <v>897</v>
      </c>
      <c r="Q1" s="30" t="s">
        <v>14</v>
      </c>
      <c r="R1" s="12" t="s">
        <v>898</v>
      </c>
      <c r="S1" s="12" t="s">
        <v>899</v>
      </c>
    </row>
    <row r="2" spans="1:19" ht="30" customHeight="1" x14ac:dyDescent="0.3">
      <c r="A2" s="26" t="s">
        <v>590</v>
      </c>
      <c r="B2" s="26" t="s">
        <v>900</v>
      </c>
      <c r="C2" s="26" t="s">
        <v>586</v>
      </c>
      <c r="D2" s="26" t="s">
        <v>223</v>
      </c>
      <c r="E2" s="31">
        <f>COUNTIF(tbl_recyclass[Familia_PPWR],A2)+COUNTIF(tbl_tampas[Familia_PPWR],A2)</f>
        <v>19</v>
      </c>
      <c r="F2" s="26" t="s">
        <v>901</v>
      </c>
      <c r="G2" s="26" t="s">
        <v>901</v>
      </c>
      <c r="H2" s="41">
        <v>46244</v>
      </c>
      <c r="I2" s="26" t="s">
        <v>902</v>
      </c>
      <c r="J2" s="37">
        <v>18</v>
      </c>
      <c r="K2" s="26" t="s">
        <v>903</v>
      </c>
      <c r="L2" s="26" t="s">
        <v>904</v>
      </c>
      <c r="M2" s="26" t="s">
        <v>905</v>
      </c>
      <c r="N2" s="33" t="str">
        <f t="shared" ref="N2:N23" si="0">IF(L2="Sim","Art. 33.º + SCIP (+ art. 7.º, n.º 2 se &gt; 1 t/ano)",IF(L2="Por confirmar","Não expedir sem confirmação","Nenhuma"))</f>
        <v>Nenhuma</v>
      </c>
      <c r="O2" s="33" t="str">
        <f>IF(COUNTIF(tbl_recyclass[Familia_PPWR],A2)=0,"(componente)",INDEX({"A","B","C","D","E","F"},_xlfn.MAXIFS(tbl_recyclass[Classe_N_Max],tbl_recyclass[Familia_PPWR],A2)))</f>
        <v>F</v>
      </c>
      <c r="P2" s="31">
        <f>COUNTIFS(tbl_recyclass[Familia_PPWR],A2,tbl_recyclass[Conforme_PPWR_2030],"Não")</f>
        <v>3</v>
      </c>
      <c r="Q2" s="33" t="str">
        <f t="shared" ref="Q2:Q23" si="1">IF(AND(G2="Sim",I2&lt;&gt;"Em falta"),"Conforme","Lacuna")</f>
        <v>Conforme</v>
      </c>
      <c r="R2" s="41">
        <v>46387</v>
      </c>
      <c r="S2" s="26" t="s">
        <v>906</v>
      </c>
    </row>
    <row r="3" spans="1:19" ht="30" customHeight="1" x14ac:dyDescent="0.3">
      <c r="A3" s="26" t="s">
        <v>601</v>
      </c>
      <c r="B3" s="26" t="s">
        <v>907</v>
      </c>
      <c r="C3" s="26" t="s">
        <v>586</v>
      </c>
      <c r="D3" s="26" t="s">
        <v>229</v>
      </c>
      <c r="E3" s="31">
        <f>COUNTIF(tbl_recyclass[Familia_PPWR],A3)+COUNTIF(tbl_tampas[Familia_PPWR],A3)</f>
        <v>13</v>
      </c>
      <c r="F3" s="26" t="s">
        <v>901</v>
      </c>
      <c r="G3" s="26" t="s">
        <v>901</v>
      </c>
      <c r="H3" s="41">
        <v>46244</v>
      </c>
      <c r="I3" s="26" t="s">
        <v>902</v>
      </c>
      <c r="J3" s="37">
        <v>18</v>
      </c>
      <c r="K3" s="26" t="s">
        <v>903</v>
      </c>
      <c r="L3" s="26" t="s">
        <v>904</v>
      </c>
      <c r="M3" s="26" t="s">
        <v>905</v>
      </c>
      <c r="N3" s="33" t="str">
        <f t="shared" si="0"/>
        <v>Nenhuma</v>
      </c>
      <c r="O3" s="33" t="str">
        <f>IF(COUNTIF(tbl_recyclass[Familia_PPWR],A3)=0,"(componente)",INDEX({"A","B","C","D","E","F"},_xlfn.MAXIFS(tbl_recyclass[Classe_N_Max],tbl_recyclass[Familia_PPWR],A3)))</f>
        <v>C</v>
      </c>
      <c r="P3" s="31">
        <f>COUNTIFS(tbl_recyclass[Familia_PPWR],A3,tbl_recyclass[Conforme_PPWR_2030],"Não")</f>
        <v>0</v>
      </c>
      <c r="Q3" s="33" t="str">
        <f t="shared" si="1"/>
        <v>Conforme</v>
      </c>
      <c r="R3" s="41">
        <v>46387</v>
      </c>
      <c r="S3" s="26" t="s">
        <v>906</v>
      </c>
    </row>
    <row r="4" spans="1:19" ht="30" customHeight="1" x14ac:dyDescent="0.3">
      <c r="A4" s="26" t="s">
        <v>696</v>
      </c>
      <c r="B4" s="26" t="s">
        <v>908</v>
      </c>
      <c r="C4" s="26" t="s">
        <v>586</v>
      </c>
      <c r="D4" s="26" t="s">
        <v>232</v>
      </c>
      <c r="E4" s="31">
        <f>COUNTIF(tbl_recyclass[Familia_PPWR],A4)+COUNTIF(tbl_tampas[Familia_PPWR],A4)</f>
        <v>5</v>
      </c>
      <c r="F4" s="26" t="s">
        <v>901</v>
      </c>
      <c r="G4" s="26" t="s">
        <v>901</v>
      </c>
      <c r="H4" s="41">
        <v>46244</v>
      </c>
      <c r="I4" s="26" t="s">
        <v>902</v>
      </c>
      <c r="J4" s="37">
        <v>18</v>
      </c>
      <c r="K4" s="26" t="s">
        <v>903</v>
      </c>
      <c r="L4" s="26" t="s">
        <v>904</v>
      </c>
      <c r="M4" s="26" t="s">
        <v>905</v>
      </c>
      <c r="N4" s="33" t="str">
        <f t="shared" si="0"/>
        <v>Nenhuma</v>
      </c>
      <c r="O4" s="33" t="str">
        <f>IF(COUNTIF(tbl_recyclass[Familia_PPWR],A4)=0,"(componente)",INDEX({"A","B","C","D","E","F"},_xlfn.MAXIFS(tbl_recyclass[Classe_N_Max],tbl_recyclass[Familia_PPWR],A4)))</f>
        <v>F</v>
      </c>
      <c r="P4" s="31">
        <f>COUNTIFS(tbl_recyclass[Familia_PPWR],A4,tbl_recyclass[Conforme_PPWR_2030],"Não")</f>
        <v>1</v>
      </c>
      <c r="Q4" s="33" t="str">
        <f t="shared" si="1"/>
        <v>Conforme</v>
      </c>
      <c r="R4" s="41">
        <v>46387</v>
      </c>
      <c r="S4" s="26" t="s">
        <v>906</v>
      </c>
    </row>
    <row r="5" spans="1:19" ht="30" customHeight="1" x14ac:dyDescent="0.3">
      <c r="A5" s="26" t="s">
        <v>636</v>
      </c>
      <c r="B5" s="26" t="s">
        <v>909</v>
      </c>
      <c r="C5" s="26" t="s">
        <v>586</v>
      </c>
      <c r="D5" s="26" t="s">
        <v>234</v>
      </c>
      <c r="E5" s="31">
        <f>COUNTIF(tbl_recyclass[Familia_PPWR],A5)+COUNTIF(tbl_tampas[Familia_PPWR],A5)</f>
        <v>3</v>
      </c>
      <c r="F5" s="26" t="s">
        <v>901</v>
      </c>
      <c r="G5" s="26" t="s">
        <v>901</v>
      </c>
      <c r="H5" s="41">
        <v>46244</v>
      </c>
      <c r="I5" s="26" t="s">
        <v>910</v>
      </c>
      <c r="J5" s="37"/>
      <c r="K5" s="26" t="s">
        <v>903</v>
      </c>
      <c r="L5" s="26" t="s">
        <v>904</v>
      </c>
      <c r="M5" s="26" t="s">
        <v>905</v>
      </c>
      <c r="N5" s="33" t="str">
        <f t="shared" si="0"/>
        <v>Nenhuma</v>
      </c>
      <c r="O5" s="33" t="str">
        <f>IF(COUNTIF(tbl_recyclass[Familia_PPWR],A5)=0,"(componente)",INDEX({"A","B","C","D","E","F"},_xlfn.MAXIFS(tbl_recyclass[Classe_N_Max],tbl_recyclass[Familia_PPWR],A5)))</f>
        <v>C</v>
      </c>
      <c r="P5" s="31">
        <f>COUNTIFS(tbl_recyclass[Familia_PPWR],A5,tbl_recyclass[Conforme_PPWR_2030],"Não")</f>
        <v>0</v>
      </c>
      <c r="Q5" s="33" t="str">
        <f t="shared" si="1"/>
        <v>Conforme</v>
      </c>
      <c r="R5" s="41">
        <v>46387</v>
      </c>
      <c r="S5" s="26" t="s">
        <v>906</v>
      </c>
    </row>
    <row r="6" spans="1:19" ht="30" customHeight="1" x14ac:dyDescent="0.3">
      <c r="A6" s="26" t="s">
        <v>846</v>
      </c>
      <c r="B6" s="26" t="s">
        <v>911</v>
      </c>
      <c r="C6" s="26" t="s">
        <v>586</v>
      </c>
      <c r="D6" s="26" t="s">
        <v>237</v>
      </c>
      <c r="E6" s="31">
        <f>COUNTIF(tbl_recyclass[Familia_PPWR],A6)+COUNTIF(tbl_tampas[Familia_PPWR],A6)</f>
        <v>2</v>
      </c>
      <c r="F6" s="26" t="s">
        <v>901</v>
      </c>
      <c r="G6" s="26" t="s">
        <v>901</v>
      </c>
      <c r="H6" s="41">
        <v>46244</v>
      </c>
      <c r="I6" s="26" t="s">
        <v>902</v>
      </c>
      <c r="J6" s="37">
        <v>18</v>
      </c>
      <c r="K6" s="26" t="s">
        <v>912</v>
      </c>
      <c r="L6" s="26" t="s">
        <v>904</v>
      </c>
      <c r="M6" s="26" t="s">
        <v>905</v>
      </c>
      <c r="N6" s="33" t="str">
        <f t="shared" si="0"/>
        <v>Nenhuma</v>
      </c>
      <c r="O6" s="33" t="str">
        <f>IF(COUNTIF(tbl_recyclass[Familia_PPWR],A6)=0,"(componente)",INDEX({"A","B","C","D","E","F"},_xlfn.MAXIFS(tbl_recyclass[Classe_N_Max],tbl_recyclass[Familia_PPWR],A6)))</f>
        <v>A</v>
      </c>
      <c r="P6" s="31">
        <f>COUNTIFS(tbl_recyclass[Familia_PPWR],A6,tbl_recyclass[Conforme_PPWR_2030],"Não")</f>
        <v>0</v>
      </c>
      <c r="Q6" s="33" t="str">
        <f t="shared" si="1"/>
        <v>Conforme</v>
      </c>
      <c r="R6" s="41">
        <v>46387</v>
      </c>
      <c r="S6" s="26" t="s">
        <v>906</v>
      </c>
    </row>
    <row r="7" spans="1:19" ht="30" customHeight="1" x14ac:dyDescent="0.3">
      <c r="A7" s="26" t="s">
        <v>655</v>
      </c>
      <c r="B7" s="26" t="s">
        <v>913</v>
      </c>
      <c r="C7" s="26" t="s">
        <v>586</v>
      </c>
      <c r="D7" s="26" t="s">
        <v>240</v>
      </c>
      <c r="E7" s="31">
        <f>COUNTIF(tbl_recyclass[Familia_PPWR],A7)+COUNTIF(tbl_tampas[Familia_PPWR],A7)</f>
        <v>9</v>
      </c>
      <c r="F7" s="26" t="s">
        <v>901</v>
      </c>
      <c r="G7" s="26" t="s">
        <v>901</v>
      </c>
      <c r="H7" s="41">
        <v>46244</v>
      </c>
      <c r="I7" s="26" t="s">
        <v>910</v>
      </c>
      <c r="J7" s="37"/>
      <c r="K7" s="26" t="s">
        <v>903</v>
      </c>
      <c r="L7" s="26" t="s">
        <v>904</v>
      </c>
      <c r="M7" s="26" t="s">
        <v>905</v>
      </c>
      <c r="N7" s="33" t="str">
        <f t="shared" si="0"/>
        <v>Nenhuma</v>
      </c>
      <c r="O7" s="33" t="str">
        <f>IF(COUNTIF(tbl_recyclass[Familia_PPWR],A7)=0,"(componente)",INDEX({"A","B","C","D","E","F"},_xlfn.MAXIFS(tbl_recyclass[Classe_N_Max],tbl_recyclass[Familia_PPWR],A7)))</f>
        <v>F</v>
      </c>
      <c r="P7" s="31">
        <f>COUNTIFS(tbl_recyclass[Familia_PPWR],A7,tbl_recyclass[Conforme_PPWR_2030],"Não")</f>
        <v>2</v>
      </c>
      <c r="Q7" s="33" t="str">
        <f t="shared" si="1"/>
        <v>Conforme</v>
      </c>
      <c r="R7" s="41">
        <v>46387</v>
      </c>
      <c r="S7" s="26" t="s">
        <v>906</v>
      </c>
    </row>
    <row r="8" spans="1:19" ht="30" customHeight="1" x14ac:dyDescent="0.3">
      <c r="A8" s="26" t="s">
        <v>663</v>
      </c>
      <c r="B8" s="26" t="s">
        <v>914</v>
      </c>
      <c r="C8" s="26" t="s">
        <v>586</v>
      </c>
      <c r="D8" s="26" t="s">
        <v>244</v>
      </c>
      <c r="E8" s="31">
        <f>COUNTIF(tbl_recyclass[Familia_PPWR],A8)+COUNTIF(tbl_tampas[Familia_PPWR],A8)</f>
        <v>8</v>
      </c>
      <c r="F8" s="26" t="s">
        <v>901</v>
      </c>
      <c r="G8" s="26" t="s">
        <v>901</v>
      </c>
      <c r="H8" s="41">
        <v>46315</v>
      </c>
      <c r="I8" s="26" t="s">
        <v>910</v>
      </c>
      <c r="J8" s="37"/>
      <c r="K8" s="26" t="s">
        <v>903</v>
      </c>
      <c r="L8" s="26" t="s">
        <v>904</v>
      </c>
      <c r="M8" s="26" t="s">
        <v>905</v>
      </c>
      <c r="N8" s="33" t="str">
        <f t="shared" si="0"/>
        <v>Nenhuma</v>
      </c>
      <c r="O8" s="33" t="str">
        <f>IF(COUNTIF(tbl_recyclass[Familia_PPWR],A8)=0,"(componente)",INDEX({"A","B","C","D","E","F"},_xlfn.MAXIFS(tbl_recyclass[Classe_N_Max],tbl_recyclass[Familia_PPWR],A8)))</f>
        <v>F</v>
      </c>
      <c r="P8" s="31">
        <f>COUNTIFS(tbl_recyclass[Familia_PPWR],A8,tbl_recyclass[Conforme_PPWR_2030],"Não")</f>
        <v>1</v>
      </c>
      <c r="Q8" s="33" t="str">
        <f t="shared" si="1"/>
        <v>Conforme</v>
      </c>
      <c r="R8" s="41">
        <v>46387</v>
      </c>
      <c r="S8" s="26" t="s">
        <v>906</v>
      </c>
    </row>
    <row r="9" spans="1:19" ht="30" customHeight="1" x14ac:dyDescent="0.3">
      <c r="A9" s="26" t="s">
        <v>850</v>
      </c>
      <c r="B9" s="26" t="s">
        <v>915</v>
      </c>
      <c r="C9" s="26" t="s">
        <v>586</v>
      </c>
      <c r="D9" s="26" t="s">
        <v>245</v>
      </c>
      <c r="E9" s="31">
        <f>COUNTIF(tbl_recyclass[Familia_PPWR],A9)+COUNTIF(tbl_tampas[Familia_PPWR],A9)</f>
        <v>2</v>
      </c>
      <c r="F9" s="26" t="s">
        <v>901</v>
      </c>
      <c r="G9" s="26" t="s">
        <v>901</v>
      </c>
      <c r="H9" s="41">
        <v>46315</v>
      </c>
      <c r="I9" s="26" t="s">
        <v>910</v>
      </c>
      <c r="J9" s="37"/>
      <c r="K9" s="26" t="s">
        <v>912</v>
      </c>
      <c r="L9" s="26" t="s">
        <v>904</v>
      </c>
      <c r="M9" s="26" t="s">
        <v>905</v>
      </c>
      <c r="N9" s="33" t="str">
        <f t="shared" si="0"/>
        <v>Nenhuma</v>
      </c>
      <c r="O9" s="33" t="str">
        <f>IF(COUNTIF(tbl_recyclass[Familia_PPWR],A9)=0,"(componente)",INDEX({"A","B","C","D","E","F"},_xlfn.MAXIFS(tbl_recyclass[Classe_N_Max],tbl_recyclass[Familia_PPWR],A9)))</f>
        <v>A</v>
      </c>
      <c r="P9" s="31">
        <f>COUNTIFS(tbl_recyclass[Familia_PPWR],A9,tbl_recyclass[Conforme_PPWR_2030],"Não")</f>
        <v>0</v>
      </c>
      <c r="Q9" s="33" t="str">
        <f t="shared" si="1"/>
        <v>Conforme</v>
      </c>
      <c r="R9" s="41">
        <v>46387</v>
      </c>
      <c r="S9" s="26" t="s">
        <v>906</v>
      </c>
    </row>
    <row r="10" spans="1:19" ht="30" customHeight="1" x14ac:dyDescent="0.3">
      <c r="A10" s="26" t="s">
        <v>859</v>
      </c>
      <c r="B10" s="26" t="s">
        <v>916</v>
      </c>
      <c r="C10" s="26" t="s">
        <v>586</v>
      </c>
      <c r="D10" s="26" t="s">
        <v>246</v>
      </c>
      <c r="E10" s="31">
        <f>COUNTIF(tbl_recyclass[Familia_PPWR],A10)+COUNTIF(tbl_tampas[Familia_PPWR],A10)</f>
        <v>2</v>
      </c>
      <c r="F10" s="26" t="s">
        <v>904</v>
      </c>
      <c r="G10" s="26" t="s">
        <v>904</v>
      </c>
      <c r="H10" s="41"/>
      <c r="I10" s="26" t="s">
        <v>917</v>
      </c>
      <c r="J10" s="37"/>
      <c r="K10" s="26" t="s">
        <v>903</v>
      </c>
      <c r="L10" s="26" t="s">
        <v>904</v>
      </c>
      <c r="M10" s="26" t="s">
        <v>905</v>
      </c>
      <c r="N10" s="33" t="str">
        <f t="shared" si="0"/>
        <v>Nenhuma</v>
      </c>
      <c r="O10" s="33" t="str">
        <f>IF(COUNTIF(tbl_recyclass[Familia_PPWR],A10)=0,"(componente)",INDEX({"A","B","C","D","E","F"},_xlfn.MAXIFS(tbl_recyclass[Classe_N_Max],tbl_recyclass[Familia_PPWR],A10)))</f>
        <v>C</v>
      </c>
      <c r="P10" s="31">
        <f>COUNTIFS(tbl_recyclass[Familia_PPWR],A10,tbl_recyclass[Conforme_PPWR_2030],"Não")</f>
        <v>0</v>
      </c>
      <c r="Q10" s="33" t="str">
        <f t="shared" si="1"/>
        <v>Lacuna</v>
      </c>
      <c r="R10" s="41">
        <v>46387</v>
      </c>
      <c r="S10" s="26" t="s">
        <v>906</v>
      </c>
    </row>
    <row r="11" spans="1:19" ht="30" customHeight="1" x14ac:dyDescent="0.3">
      <c r="A11" s="26" t="s">
        <v>641</v>
      </c>
      <c r="B11" s="26" t="s">
        <v>918</v>
      </c>
      <c r="C11" s="26" t="s">
        <v>586</v>
      </c>
      <c r="D11" s="26" t="s">
        <v>249</v>
      </c>
      <c r="E11" s="31">
        <f>COUNTIF(tbl_recyclass[Familia_PPWR],A11)+COUNTIF(tbl_tampas[Familia_PPWR],A11)</f>
        <v>13</v>
      </c>
      <c r="F11" s="26" t="s">
        <v>901</v>
      </c>
      <c r="G11" s="26" t="s">
        <v>901</v>
      </c>
      <c r="H11" s="41">
        <v>46332</v>
      </c>
      <c r="I11" s="26" t="s">
        <v>910</v>
      </c>
      <c r="J11" s="37"/>
      <c r="K11" s="26" t="s">
        <v>903</v>
      </c>
      <c r="L11" s="26" t="s">
        <v>904</v>
      </c>
      <c r="M11" s="26" t="s">
        <v>919</v>
      </c>
      <c r="N11" s="33" t="str">
        <f t="shared" si="0"/>
        <v>Nenhuma</v>
      </c>
      <c r="O11" s="33" t="str">
        <f>IF(COUNTIF(tbl_recyclass[Familia_PPWR],A11)=0,"(componente)",INDEX({"A","B","C","D","E","F"},_xlfn.MAXIFS(tbl_recyclass[Classe_N_Max],tbl_recyclass[Familia_PPWR],A11)))</f>
        <v>D</v>
      </c>
      <c r="P11" s="31">
        <f>COUNTIFS(tbl_recyclass[Familia_PPWR],A11,tbl_recyclass[Conforme_PPWR_2030],"Não")</f>
        <v>6</v>
      </c>
      <c r="Q11" s="33" t="str">
        <f t="shared" si="1"/>
        <v>Conforme</v>
      </c>
      <c r="R11" s="41">
        <v>46387</v>
      </c>
      <c r="S11" s="26" t="s">
        <v>906</v>
      </c>
    </row>
    <row r="12" spans="1:19" ht="30" customHeight="1" x14ac:dyDescent="0.3">
      <c r="A12" s="26" t="s">
        <v>609</v>
      </c>
      <c r="B12" s="26" t="s">
        <v>920</v>
      </c>
      <c r="C12" s="26" t="s">
        <v>586</v>
      </c>
      <c r="D12" s="26" t="s">
        <v>253</v>
      </c>
      <c r="E12" s="31">
        <f>COUNTIF(tbl_recyclass[Familia_PPWR],A12)+COUNTIF(tbl_tampas[Familia_PPWR],A12)</f>
        <v>19</v>
      </c>
      <c r="F12" s="26" t="s">
        <v>901</v>
      </c>
      <c r="G12" s="26" t="s">
        <v>901</v>
      </c>
      <c r="H12" s="41">
        <v>46353</v>
      </c>
      <c r="I12" s="26" t="s">
        <v>917</v>
      </c>
      <c r="J12" s="37"/>
      <c r="K12" s="26" t="s">
        <v>903</v>
      </c>
      <c r="L12" s="26" t="s">
        <v>904</v>
      </c>
      <c r="M12" s="26" t="s">
        <v>921</v>
      </c>
      <c r="N12" s="33" t="str">
        <f t="shared" si="0"/>
        <v>Nenhuma</v>
      </c>
      <c r="O12" s="33" t="str">
        <f>IF(COUNTIF(tbl_recyclass[Familia_PPWR],A12)=0,"(componente)",INDEX({"A","B","C","D","E","F"},_xlfn.MAXIFS(tbl_recyclass[Classe_N_Max],tbl_recyclass[Familia_PPWR],A12)))</f>
        <v>D</v>
      </c>
      <c r="P12" s="31">
        <f>COUNTIFS(tbl_recyclass[Familia_PPWR],A12,tbl_recyclass[Conforme_PPWR_2030],"Não")</f>
        <v>11</v>
      </c>
      <c r="Q12" s="33" t="str">
        <f t="shared" si="1"/>
        <v>Lacuna</v>
      </c>
      <c r="R12" s="41">
        <v>46387</v>
      </c>
      <c r="S12" s="26" t="s">
        <v>906</v>
      </c>
    </row>
    <row r="13" spans="1:19" ht="30" customHeight="1" x14ac:dyDescent="0.3">
      <c r="A13" s="26" t="s">
        <v>864</v>
      </c>
      <c r="B13" s="26" t="s">
        <v>922</v>
      </c>
      <c r="C13" s="26" t="s">
        <v>586</v>
      </c>
      <c r="D13" s="26" t="s">
        <v>254</v>
      </c>
      <c r="E13" s="31">
        <f>COUNTIF(tbl_recyclass[Familia_PPWR],A13)+COUNTIF(tbl_tampas[Familia_PPWR],A13)</f>
        <v>2</v>
      </c>
      <c r="F13" s="26" t="s">
        <v>904</v>
      </c>
      <c r="G13" s="26" t="s">
        <v>904</v>
      </c>
      <c r="H13" s="41"/>
      <c r="I13" s="26" t="s">
        <v>917</v>
      </c>
      <c r="J13" s="37"/>
      <c r="K13" s="26" t="s">
        <v>903</v>
      </c>
      <c r="L13" s="26" t="s">
        <v>904</v>
      </c>
      <c r="M13" s="26" t="s">
        <v>923</v>
      </c>
      <c r="N13" s="33" t="str">
        <f t="shared" si="0"/>
        <v>Nenhuma</v>
      </c>
      <c r="O13" s="33" t="str">
        <f>IF(COUNTIF(tbl_recyclass[Familia_PPWR],A13)=0,"(componente)",INDEX({"A","B","C","D","E","F"},_xlfn.MAXIFS(tbl_recyclass[Classe_N_Max],tbl_recyclass[Familia_PPWR],A13)))</f>
        <v>C</v>
      </c>
      <c r="P13" s="31">
        <f>COUNTIFS(tbl_recyclass[Familia_PPWR],A13,tbl_recyclass[Conforme_PPWR_2030],"Não")</f>
        <v>0</v>
      </c>
      <c r="Q13" s="33" t="str">
        <f t="shared" si="1"/>
        <v>Lacuna</v>
      </c>
      <c r="R13" s="41">
        <v>46387</v>
      </c>
      <c r="S13" s="26" t="s">
        <v>906</v>
      </c>
    </row>
    <row r="14" spans="1:19" ht="30" customHeight="1" x14ac:dyDescent="0.3">
      <c r="A14" s="26" t="s">
        <v>647</v>
      </c>
      <c r="B14" s="26" t="s">
        <v>924</v>
      </c>
      <c r="C14" s="26" t="s">
        <v>586</v>
      </c>
      <c r="D14" s="26" t="s">
        <v>255</v>
      </c>
      <c r="E14" s="31">
        <f>COUNTIF(tbl_recyclass[Familia_PPWR],A14)+COUNTIF(tbl_tampas[Familia_PPWR],A14)</f>
        <v>8</v>
      </c>
      <c r="F14" s="26" t="s">
        <v>904</v>
      </c>
      <c r="G14" s="26" t="s">
        <v>904</v>
      </c>
      <c r="H14" s="41"/>
      <c r="I14" s="26" t="s">
        <v>917</v>
      </c>
      <c r="J14" s="37"/>
      <c r="K14" s="26" t="s">
        <v>903</v>
      </c>
      <c r="L14" s="26" t="s">
        <v>904</v>
      </c>
      <c r="M14" s="26" t="s">
        <v>925</v>
      </c>
      <c r="N14" s="33" t="str">
        <f t="shared" si="0"/>
        <v>Nenhuma</v>
      </c>
      <c r="O14" s="33" t="str">
        <f>IF(COUNTIF(tbl_recyclass[Familia_PPWR],A14)=0,"(componente)",INDEX({"A","B","C","D","E","F"},_xlfn.MAXIFS(tbl_recyclass[Classe_N_Max],tbl_recyclass[Familia_PPWR],A14)))</f>
        <v>F</v>
      </c>
      <c r="P14" s="31">
        <f>COUNTIFS(tbl_recyclass[Familia_PPWR],A14,tbl_recyclass[Conforme_PPWR_2030],"Não")</f>
        <v>8</v>
      </c>
      <c r="Q14" s="33" t="str">
        <f t="shared" si="1"/>
        <v>Lacuna</v>
      </c>
      <c r="R14" s="41">
        <v>46387</v>
      </c>
      <c r="S14" s="26" t="s">
        <v>906</v>
      </c>
    </row>
    <row r="15" spans="1:19" ht="30" customHeight="1" x14ac:dyDescent="0.3">
      <c r="A15" s="26" t="s">
        <v>669</v>
      </c>
      <c r="B15" s="26" t="s">
        <v>926</v>
      </c>
      <c r="C15" s="26" t="s">
        <v>586</v>
      </c>
      <c r="D15" s="26" t="s">
        <v>258</v>
      </c>
      <c r="E15" s="31">
        <f>COUNTIF(tbl_recyclass[Familia_PPWR],A15)+COUNTIF(tbl_tampas[Familia_PPWR],A15)</f>
        <v>4</v>
      </c>
      <c r="F15" s="26" t="s">
        <v>904</v>
      </c>
      <c r="G15" s="26" t="s">
        <v>904</v>
      </c>
      <c r="H15" s="41"/>
      <c r="I15" s="26" t="s">
        <v>917</v>
      </c>
      <c r="J15" s="37"/>
      <c r="K15" s="26" t="s">
        <v>903</v>
      </c>
      <c r="L15" s="26" t="s">
        <v>927</v>
      </c>
      <c r="M15" s="26" t="s">
        <v>928</v>
      </c>
      <c r="N15" s="33" t="str">
        <f t="shared" si="0"/>
        <v>Não expedir sem confirmação</v>
      </c>
      <c r="O15" s="33" t="str">
        <f>IF(COUNTIF(tbl_recyclass[Familia_PPWR],A15)=0,"(componente)",INDEX({"A","B","C","D","E","F"},_xlfn.MAXIFS(tbl_recyclass[Classe_N_Max],tbl_recyclass[Familia_PPWR],A15)))</f>
        <v>F</v>
      </c>
      <c r="P15" s="31">
        <f>COUNTIFS(tbl_recyclass[Familia_PPWR],A15,tbl_recyclass[Conforme_PPWR_2030],"Não")</f>
        <v>4</v>
      </c>
      <c r="Q15" s="33" t="str">
        <f t="shared" si="1"/>
        <v>Lacuna</v>
      </c>
      <c r="R15" s="41">
        <v>46387</v>
      </c>
      <c r="S15" s="26" t="s">
        <v>906</v>
      </c>
    </row>
    <row r="16" spans="1:19" ht="30" customHeight="1" x14ac:dyDescent="0.3">
      <c r="A16" s="26" t="s">
        <v>873</v>
      </c>
      <c r="B16" s="26" t="s">
        <v>929</v>
      </c>
      <c r="C16" s="26" t="s">
        <v>871</v>
      </c>
      <c r="D16" s="26" t="s">
        <v>240</v>
      </c>
      <c r="E16" s="31">
        <f>COUNTIF(tbl_recyclass[Familia_PPWR],A16)+COUNTIF(tbl_tampas[Familia_PPWR],A16)</f>
        <v>4</v>
      </c>
      <c r="F16" s="26" t="s">
        <v>901</v>
      </c>
      <c r="G16" s="26" t="s">
        <v>901</v>
      </c>
      <c r="H16" s="41">
        <v>46339</v>
      </c>
      <c r="I16" s="26" t="s">
        <v>917</v>
      </c>
      <c r="J16" s="37"/>
      <c r="K16" s="26" t="s">
        <v>903</v>
      </c>
      <c r="L16" s="26" t="s">
        <v>904</v>
      </c>
      <c r="M16" s="26" t="s">
        <v>905</v>
      </c>
      <c r="N16" s="33" t="str">
        <f t="shared" si="0"/>
        <v>Nenhuma</v>
      </c>
      <c r="O16" s="33" t="str">
        <f>IF(COUNTIF(tbl_recyclass[Familia_PPWR],A16)=0,"(componente)",INDEX({"A","B","C","D","E","F"},_xlfn.MAXIFS(tbl_recyclass[Classe_N_Max],tbl_recyclass[Familia_PPWR],A16)))</f>
        <v>C</v>
      </c>
      <c r="P16" s="31">
        <f>COUNTIFS(tbl_recyclass[Familia_PPWR],A16,tbl_recyclass[Conforme_PPWR_2030],"Não")</f>
        <v>0</v>
      </c>
      <c r="Q16" s="33" t="str">
        <f t="shared" si="1"/>
        <v>Lacuna</v>
      </c>
      <c r="R16" s="41">
        <v>46387</v>
      </c>
      <c r="S16" s="26" t="s">
        <v>906</v>
      </c>
    </row>
    <row r="17" spans="1:19" ht="30" customHeight="1" x14ac:dyDescent="0.3">
      <c r="A17" s="26" t="s">
        <v>429</v>
      </c>
      <c r="B17" s="26" t="s">
        <v>930</v>
      </c>
      <c r="C17" s="26" t="s">
        <v>931</v>
      </c>
      <c r="D17" s="26" t="s">
        <v>240</v>
      </c>
      <c r="E17" s="31">
        <f>COUNTIF(tbl_recyclass[Familia_PPWR],A17)+COUNTIF(tbl_tampas[Familia_PPWR],A17)</f>
        <v>10</v>
      </c>
      <c r="F17" s="26" t="s">
        <v>901</v>
      </c>
      <c r="G17" s="26" t="s">
        <v>901</v>
      </c>
      <c r="H17" s="41">
        <v>46244</v>
      </c>
      <c r="I17" s="26" t="s">
        <v>910</v>
      </c>
      <c r="J17" s="37"/>
      <c r="K17" s="26" t="s">
        <v>903</v>
      </c>
      <c r="L17" s="26" t="s">
        <v>927</v>
      </c>
      <c r="M17" s="26" t="s">
        <v>932</v>
      </c>
      <c r="N17" s="33" t="str">
        <f t="shared" si="0"/>
        <v>Não expedir sem confirmação</v>
      </c>
      <c r="O17" s="33" t="str">
        <f>IF(COUNTIF(tbl_recyclass[Familia_PPWR],A17)=0,"(componente)",INDEX({"A","B","C","D","E","F"},_xlfn.MAXIFS(tbl_recyclass[Classe_N_Max],tbl_recyclass[Familia_PPWR],A17)))</f>
        <v>(componente)</v>
      </c>
      <c r="P17" s="31">
        <f>COUNTIFS(tbl_recyclass[Familia_PPWR],A17,tbl_recyclass[Conforme_PPWR_2030],"Não")</f>
        <v>0</v>
      </c>
      <c r="Q17" s="33" t="str">
        <f t="shared" si="1"/>
        <v>Conforme</v>
      </c>
      <c r="R17" s="41">
        <v>46387</v>
      </c>
      <c r="S17" s="26" t="s">
        <v>906</v>
      </c>
    </row>
    <row r="18" spans="1:19" ht="30" customHeight="1" x14ac:dyDescent="0.3">
      <c r="A18" s="26" t="s">
        <v>432</v>
      </c>
      <c r="B18" s="26" t="s">
        <v>933</v>
      </c>
      <c r="C18" s="26" t="s">
        <v>931</v>
      </c>
      <c r="D18" s="26" t="s">
        <v>244</v>
      </c>
      <c r="E18" s="31">
        <f>COUNTIF(tbl_recyclass[Familia_PPWR],A18)+COUNTIF(tbl_tampas[Familia_PPWR],A18)</f>
        <v>9</v>
      </c>
      <c r="F18" s="26" t="s">
        <v>901</v>
      </c>
      <c r="G18" s="26" t="s">
        <v>901</v>
      </c>
      <c r="H18" s="41">
        <v>46315</v>
      </c>
      <c r="I18" s="26" t="s">
        <v>910</v>
      </c>
      <c r="J18" s="37"/>
      <c r="K18" s="26" t="s">
        <v>903</v>
      </c>
      <c r="L18" s="26" t="s">
        <v>927</v>
      </c>
      <c r="M18" s="26" t="s">
        <v>932</v>
      </c>
      <c r="N18" s="33" t="str">
        <f t="shared" si="0"/>
        <v>Não expedir sem confirmação</v>
      </c>
      <c r="O18" s="33" t="str">
        <f>IF(COUNTIF(tbl_recyclass[Familia_PPWR],A18)=0,"(componente)",INDEX({"A","B","C","D","E","F"},_xlfn.MAXIFS(tbl_recyclass[Classe_N_Max],tbl_recyclass[Familia_PPWR],A18)))</f>
        <v>(componente)</v>
      </c>
      <c r="P18" s="31">
        <f>COUNTIFS(tbl_recyclass[Familia_PPWR],A18,tbl_recyclass[Conforme_PPWR_2030],"Não")</f>
        <v>0</v>
      </c>
      <c r="Q18" s="33" t="str">
        <f t="shared" si="1"/>
        <v>Conforme</v>
      </c>
      <c r="R18" s="41">
        <v>46387</v>
      </c>
      <c r="S18" s="26" t="s">
        <v>906</v>
      </c>
    </row>
    <row r="19" spans="1:19" ht="30" customHeight="1" x14ac:dyDescent="0.3">
      <c r="A19" s="26" t="s">
        <v>425</v>
      </c>
      <c r="B19" s="26" t="s">
        <v>934</v>
      </c>
      <c r="C19" s="26" t="s">
        <v>931</v>
      </c>
      <c r="D19" s="26" t="s">
        <v>223</v>
      </c>
      <c r="E19" s="31">
        <f>COUNTIF(tbl_recyclass[Familia_PPWR],A19)+COUNTIF(tbl_tampas[Familia_PPWR],A19)</f>
        <v>9</v>
      </c>
      <c r="F19" s="26" t="s">
        <v>901</v>
      </c>
      <c r="G19" s="26" t="s">
        <v>901</v>
      </c>
      <c r="H19" s="41">
        <v>46244</v>
      </c>
      <c r="I19" s="26" t="s">
        <v>902</v>
      </c>
      <c r="J19" s="37">
        <v>18</v>
      </c>
      <c r="K19" s="26" t="s">
        <v>903</v>
      </c>
      <c r="L19" s="26" t="s">
        <v>904</v>
      </c>
      <c r="M19" s="26" t="s">
        <v>905</v>
      </c>
      <c r="N19" s="33" t="str">
        <f t="shared" si="0"/>
        <v>Nenhuma</v>
      </c>
      <c r="O19" s="33" t="str">
        <f>IF(COUNTIF(tbl_recyclass[Familia_PPWR],A19)=0,"(componente)",INDEX({"A","B","C","D","E","F"},_xlfn.MAXIFS(tbl_recyclass[Classe_N_Max],tbl_recyclass[Familia_PPWR],A19)))</f>
        <v>(componente)</v>
      </c>
      <c r="P19" s="31">
        <f>COUNTIFS(tbl_recyclass[Familia_PPWR],A19,tbl_recyclass[Conforme_PPWR_2030],"Não")</f>
        <v>0</v>
      </c>
      <c r="Q19" s="33" t="str">
        <f t="shared" si="1"/>
        <v>Conforme</v>
      </c>
      <c r="R19" s="41">
        <v>46387</v>
      </c>
      <c r="S19" s="26" t="s">
        <v>906</v>
      </c>
    </row>
    <row r="20" spans="1:19" ht="30" customHeight="1" x14ac:dyDescent="0.3">
      <c r="A20" s="26" t="s">
        <v>435</v>
      </c>
      <c r="B20" s="26" t="s">
        <v>935</v>
      </c>
      <c r="C20" s="26" t="s">
        <v>931</v>
      </c>
      <c r="D20" s="26" t="s">
        <v>255</v>
      </c>
      <c r="E20" s="31">
        <f>COUNTIF(tbl_recyclass[Familia_PPWR],A20)+COUNTIF(tbl_tampas[Familia_PPWR],A20)</f>
        <v>4</v>
      </c>
      <c r="F20" s="26" t="s">
        <v>904</v>
      </c>
      <c r="G20" s="26" t="s">
        <v>904</v>
      </c>
      <c r="H20" s="41"/>
      <c r="I20" s="26" t="s">
        <v>917</v>
      </c>
      <c r="J20" s="37"/>
      <c r="K20" s="26" t="s">
        <v>903</v>
      </c>
      <c r="L20" s="26" t="s">
        <v>904</v>
      </c>
      <c r="M20" s="26" t="s">
        <v>925</v>
      </c>
      <c r="N20" s="33" t="str">
        <f t="shared" si="0"/>
        <v>Nenhuma</v>
      </c>
      <c r="O20" s="33" t="str">
        <f>IF(COUNTIF(tbl_recyclass[Familia_PPWR],A20)=0,"(componente)",INDEX({"A","B","C","D","E","F"},_xlfn.MAXIFS(tbl_recyclass[Classe_N_Max],tbl_recyclass[Familia_PPWR],A20)))</f>
        <v>(componente)</v>
      </c>
      <c r="P20" s="31">
        <f>COUNTIFS(tbl_recyclass[Familia_PPWR],A20,tbl_recyclass[Conforme_PPWR_2030],"Não")</f>
        <v>0</v>
      </c>
      <c r="Q20" s="33" t="str">
        <f t="shared" si="1"/>
        <v>Lacuna</v>
      </c>
      <c r="R20" s="41">
        <v>46387</v>
      </c>
      <c r="S20" s="26" t="s">
        <v>906</v>
      </c>
    </row>
    <row r="21" spans="1:19" ht="30" customHeight="1" x14ac:dyDescent="0.3">
      <c r="A21" s="26" t="s">
        <v>495</v>
      </c>
      <c r="B21" s="26" t="s">
        <v>936</v>
      </c>
      <c r="C21" s="26" t="s">
        <v>931</v>
      </c>
      <c r="D21" s="26" t="s">
        <v>246</v>
      </c>
      <c r="E21" s="31">
        <f>COUNTIF(tbl_recyclass[Familia_PPWR],A21)+COUNTIF(tbl_tampas[Familia_PPWR],A21)</f>
        <v>2</v>
      </c>
      <c r="F21" s="26" t="s">
        <v>901</v>
      </c>
      <c r="G21" s="26" t="s">
        <v>901</v>
      </c>
      <c r="H21" s="41">
        <v>46378</v>
      </c>
      <c r="I21" s="26" t="s">
        <v>917</v>
      </c>
      <c r="J21" s="37"/>
      <c r="K21" s="26" t="s">
        <v>903</v>
      </c>
      <c r="L21" s="26" t="s">
        <v>904</v>
      </c>
      <c r="M21" s="26" t="s">
        <v>905</v>
      </c>
      <c r="N21" s="33" t="str">
        <f t="shared" si="0"/>
        <v>Nenhuma</v>
      </c>
      <c r="O21" s="33" t="str">
        <f>IF(COUNTIF(tbl_recyclass[Familia_PPWR],A21)=0,"(componente)",INDEX({"A","B","C","D","E","F"},_xlfn.MAXIFS(tbl_recyclass[Classe_N_Max],tbl_recyclass[Familia_PPWR],A21)))</f>
        <v>(componente)</v>
      </c>
      <c r="P21" s="31">
        <f>COUNTIFS(tbl_recyclass[Familia_PPWR],A21,tbl_recyclass[Conforme_PPWR_2030],"Não")</f>
        <v>0</v>
      </c>
      <c r="Q21" s="33" t="str">
        <f t="shared" si="1"/>
        <v>Lacuna</v>
      </c>
      <c r="R21" s="41">
        <v>46387</v>
      </c>
      <c r="S21" s="26" t="s">
        <v>906</v>
      </c>
    </row>
    <row r="22" spans="1:19" ht="30" customHeight="1" x14ac:dyDescent="0.3">
      <c r="A22" s="26" t="s">
        <v>506</v>
      </c>
      <c r="B22" s="26" t="s">
        <v>937</v>
      </c>
      <c r="C22" s="26" t="s">
        <v>931</v>
      </c>
      <c r="D22" s="26" t="s">
        <v>237</v>
      </c>
      <c r="E22" s="31">
        <f>COUNTIF(tbl_recyclass[Familia_PPWR],A22)+COUNTIF(tbl_tampas[Familia_PPWR],A22)</f>
        <v>1</v>
      </c>
      <c r="F22" s="26" t="s">
        <v>901</v>
      </c>
      <c r="G22" s="26" t="s">
        <v>901</v>
      </c>
      <c r="H22" s="41">
        <v>46244</v>
      </c>
      <c r="I22" s="26" t="s">
        <v>902</v>
      </c>
      <c r="J22" s="37">
        <v>18</v>
      </c>
      <c r="K22" s="26" t="s">
        <v>912</v>
      </c>
      <c r="L22" s="26" t="s">
        <v>904</v>
      </c>
      <c r="M22" s="26" t="s">
        <v>905</v>
      </c>
      <c r="N22" s="33" t="str">
        <f t="shared" si="0"/>
        <v>Nenhuma</v>
      </c>
      <c r="O22" s="33" t="str">
        <f>IF(COUNTIF(tbl_recyclass[Familia_PPWR],A22)=0,"(componente)",INDEX({"A","B","C","D","E","F"},_xlfn.MAXIFS(tbl_recyclass[Classe_N_Max],tbl_recyclass[Familia_PPWR],A22)))</f>
        <v>(componente)</v>
      </c>
      <c r="P22" s="31">
        <f>COUNTIFS(tbl_recyclass[Familia_PPWR],A22,tbl_recyclass[Conforme_PPWR_2030],"Não")</f>
        <v>0</v>
      </c>
      <c r="Q22" s="33" t="str">
        <f t="shared" si="1"/>
        <v>Conforme</v>
      </c>
      <c r="R22" s="41">
        <v>46387</v>
      </c>
      <c r="S22" s="26" t="s">
        <v>906</v>
      </c>
    </row>
    <row r="23" spans="1:19" ht="30" customHeight="1" x14ac:dyDescent="0.3">
      <c r="A23" s="26" t="s">
        <v>509</v>
      </c>
      <c r="B23" s="26" t="s">
        <v>938</v>
      </c>
      <c r="C23" s="26" t="s">
        <v>931</v>
      </c>
      <c r="D23" s="26" t="s">
        <v>245</v>
      </c>
      <c r="E23" s="31">
        <f>COUNTIF(tbl_recyclass[Familia_PPWR],A23)+COUNTIF(tbl_tampas[Familia_PPWR],A23)</f>
        <v>1</v>
      </c>
      <c r="F23" s="26" t="s">
        <v>901</v>
      </c>
      <c r="G23" s="26" t="s">
        <v>901</v>
      </c>
      <c r="H23" s="41">
        <v>46360</v>
      </c>
      <c r="I23" s="26" t="s">
        <v>910</v>
      </c>
      <c r="J23" s="37"/>
      <c r="K23" s="26" t="s">
        <v>912</v>
      </c>
      <c r="L23" s="26" t="s">
        <v>904</v>
      </c>
      <c r="M23" s="26" t="s">
        <v>905</v>
      </c>
      <c r="N23" s="33" t="str">
        <f t="shared" si="0"/>
        <v>Nenhuma</v>
      </c>
      <c r="O23" s="33" t="str">
        <f>IF(COUNTIF(tbl_recyclass[Familia_PPWR],A23)=0,"(componente)",INDEX({"A","B","C","D","E","F"},_xlfn.MAXIFS(tbl_recyclass[Classe_N_Max],tbl_recyclass[Familia_PPWR],A23)))</f>
        <v>(componente)</v>
      </c>
      <c r="P23" s="31">
        <f>COUNTIFS(tbl_recyclass[Familia_PPWR],A23,tbl_recyclass[Conforme_PPWR_2030],"Não")</f>
        <v>0</v>
      </c>
      <c r="Q23" s="33" t="str">
        <f t="shared" si="1"/>
        <v>Conforme</v>
      </c>
      <c r="R23" s="41">
        <v>46387</v>
      </c>
      <c r="S23" s="26" t="s">
        <v>906</v>
      </c>
    </row>
  </sheetData>
  <conditionalFormatting sqref="O2:O223">
    <cfRule type="expression" dxfId="48" priority="3">
      <formula>ISNUMBER(SEARCH("F",O2))</formula>
    </cfRule>
    <cfRule type="expression" dxfId="47" priority="4">
      <formula>ISNUMBER(SEARCH("D",O2))</formula>
    </cfRule>
    <cfRule type="expression" dxfId="46" priority="5">
      <formula>ISNUMBER(SEARCH("C",O2))</formula>
    </cfRule>
    <cfRule type="expression" dxfId="45" priority="6">
      <formula>ISNUMBER(SEARCH("B",O2))</formula>
    </cfRule>
    <cfRule type="expression" dxfId="44" priority="7">
      <formula>ISNUMBER(SEARCH("A",O2))</formula>
    </cfRule>
  </conditionalFormatting>
  <conditionalFormatting sqref="Q2:Q223">
    <cfRule type="expression" dxfId="43" priority="1">
      <formula>ISNUMBER(SEARCH("Lacuna",Q2))</formula>
    </cfRule>
    <cfRule type="expression" dxfId="42" priority="2">
      <formula>ISNUMBER(SEARCH("Conforme",Q2))</formula>
    </cfRule>
  </conditionalFormatting>
  <dataValidations count="2">
    <dataValidation type="list" allowBlank="1" showErrorMessage="1" errorTitle="Valor inválido" error="Valor fora da lista controlada (ver folha Listas)." sqref="D2:D223" xr:uid="{00000000-0002-0000-0900-000000000000}">
      <formula1>lst_Material</formula1>
    </dataValidation>
    <dataValidation type="list" allowBlank="1" showErrorMessage="1" errorTitle="Valor inválido" error="Valor fora da lista controlada (ver folha Listas)." sqref="F2:G223" xr:uid="{00000000-0002-0000-0900-000001000000}">
      <formula1>lst_SimNao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B59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2" width="16" customWidth="1"/>
    <col min="3" max="3" width="34" customWidth="1"/>
    <col min="4" max="4" width="26" customWidth="1"/>
    <col min="5" max="5" width="22" customWidth="1"/>
    <col min="6" max="6" width="60" customWidth="1"/>
    <col min="7" max="7" width="18" customWidth="1"/>
    <col min="8" max="8" width="30" customWidth="1"/>
    <col min="9" max="9" width="8" customWidth="1"/>
    <col min="10" max="10" width="12" customWidth="1"/>
    <col min="11" max="11" width="11" customWidth="1"/>
    <col min="12" max="12" width="10" customWidth="1"/>
    <col min="13" max="13" width="40" customWidth="1"/>
    <col min="14" max="14" width="22" customWidth="1"/>
    <col min="15" max="15" width="14" customWidth="1"/>
    <col min="16" max="16" width="11" customWidth="1"/>
    <col min="17" max="17" width="7" customWidth="1"/>
    <col min="18" max="18" width="8" customWidth="1"/>
    <col min="19" max="19" width="10" customWidth="1"/>
    <col min="20" max="20" width="26" customWidth="1"/>
    <col min="21" max="21" width="11" customWidth="1"/>
    <col min="22" max="22" width="13" customWidth="1"/>
    <col min="23" max="23" width="44" customWidth="1"/>
    <col min="24" max="24" width="30" customWidth="1"/>
    <col min="25" max="25" width="11" customWidth="1"/>
    <col min="26" max="27" width="9" customWidth="1"/>
    <col min="28" max="28" width="22" customWidth="1"/>
  </cols>
  <sheetData>
    <row r="1" spans="1:28" ht="17.399999999999999" x14ac:dyDescent="0.3">
      <c r="A1" s="1" t="s">
        <v>939</v>
      </c>
    </row>
    <row r="2" spans="1:28" x14ac:dyDescent="0.3">
      <c r="A2" s="2" t="s">
        <v>940</v>
      </c>
    </row>
    <row r="4" spans="1:28" ht="39.6" x14ac:dyDescent="0.3">
      <c r="A4" s="12" t="s">
        <v>941</v>
      </c>
      <c r="B4" s="12" t="s">
        <v>942</v>
      </c>
      <c r="C4" s="12" t="s">
        <v>143</v>
      </c>
      <c r="D4" s="12" t="s">
        <v>943</v>
      </c>
      <c r="E4" s="12" t="s">
        <v>944</v>
      </c>
      <c r="F4" s="12" t="s">
        <v>945</v>
      </c>
      <c r="G4" s="12" t="s">
        <v>946</v>
      </c>
      <c r="H4" s="12" t="s">
        <v>947</v>
      </c>
      <c r="I4" s="12" t="s">
        <v>948</v>
      </c>
      <c r="J4" s="12" t="s">
        <v>949</v>
      </c>
      <c r="K4" s="12" t="s">
        <v>950</v>
      </c>
      <c r="L4" s="12" t="s">
        <v>951</v>
      </c>
      <c r="M4" s="12" t="s">
        <v>952</v>
      </c>
      <c r="N4" s="12" t="s">
        <v>953</v>
      </c>
      <c r="O4" s="12" t="s">
        <v>954</v>
      </c>
      <c r="P4" s="12" t="s">
        <v>14</v>
      </c>
      <c r="Q4" s="12" t="s">
        <v>955</v>
      </c>
      <c r="R4" s="12" t="s">
        <v>956</v>
      </c>
      <c r="S4" s="12" t="s">
        <v>899</v>
      </c>
      <c r="T4" s="12" t="s">
        <v>957</v>
      </c>
      <c r="U4" s="12" t="s">
        <v>898</v>
      </c>
      <c r="V4" s="12" t="s">
        <v>958</v>
      </c>
      <c r="W4" s="12" t="s">
        <v>959</v>
      </c>
      <c r="X4" s="12" t="s">
        <v>960</v>
      </c>
      <c r="Y4" s="12" t="s">
        <v>961</v>
      </c>
      <c r="Z4" s="30" t="s">
        <v>962</v>
      </c>
      <c r="AA4" s="30" t="s">
        <v>963</v>
      </c>
      <c r="AB4" s="30" t="s">
        <v>964</v>
      </c>
    </row>
    <row r="5" spans="1:28" ht="70.05" customHeight="1" x14ac:dyDescent="0.3">
      <c r="A5" s="26" t="s">
        <v>965</v>
      </c>
      <c r="B5" s="26" t="s">
        <v>966</v>
      </c>
      <c r="C5" s="26" t="s">
        <v>967</v>
      </c>
      <c r="D5" s="26" t="s">
        <v>968</v>
      </c>
      <c r="E5" s="26" t="s">
        <v>969</v>
      </c>
      <c r="F5" s="26" t="s">
        <v>970</v>
      </c>
      <c r="G5" s="26" t="s">
        <v>971</v>
      </c>
      <c r="H5" s="26" t="s">
        <v>972</v>
      </c>
      <c r="I5" s="26" t="s">
        <v>973</v>
      </c>
      <c r="J5" s="26" t="s">
        <v>974</v>
      </c>
      <c r="K5" s="41">
        <v>46246</v>
      </c>
      <c r="L5" s="26" t="s">
        <v>901</v>
      </c>
      <c r="M5" s="26" t="s">
        <v>975</v>
      </c>
      <c r="N5" s="26" t="s">
        <v>976</v>
      </c>
      <c r="O5" s="26" t="s">
        <v>977</v>
      </c>
      <c r="P5" s="26" t="s">
        <v>978</v>
      </c>
      <c r="Q5" s="26" t="s">
        <v>979</v>
      </c>
      <c r="R5" s="26" t="s">
        <v>980</v>
      </c>
      <c r="S5" s="26" t="s">
        <v>906</v>
      </c>
      <c r="T5" s="26" t="s">
        <v>596</v>
      </c>
      <c r="U5" s="41">
        <v>46387</v>
      </c>
      <c r="V5" s="26" t="s">
        <v>981</v>
      </c>
      <c r="W5" s="26" t="s">
        <v>982</v>
      </c>
      <c r="X5" s="26" t="s">
        <v>983</v>
      </c>
      <c r="Y5" s="41">
        <v>46287</v>
      </c>
      <c r="Z5" s="31">
        <f>COUNTIFS(tbl_aplicabilidade[ID_Req],A5,tbl_aplicabilidade[Aplicavel],"Sim")</f>
        <v>0</v>
      </c>
      <c r="AA5" s="31">
        <f>COUNTIFS(tbl_aplicabilidade[ID_Req],A5,tbl_aplicabilidade[Estado_Resumo],"Conforme")+COUNTIFS(tbl_aplicabilidade[ID_Req],A5,tbl_aplicabilidade[Estado_Resumo],"Isento")</f>
        <v>0</v>
      </c>
      <c r="AB5" s="33" t="str">
        <f t="shared" ref="AB5:AB36" si="0">IF(AND(OR(P5="Lacuna",P5="Parcial"),S5=""),"Lacuna sem ação",IF(AND(U5&lt;&gt;"",U5&lt;DataRef,P5&lt;&gt;"Conforme"),"Prazo vencido",IF(G5="Necessita verificação","Confirmar aplicabilidade","OK")))</f>
        <v>OK</v>
      </c>
    </row>
    <row r="6" spans="1:28" ht="70.05" customHeight="1" x14ac:dyDescent="0.3">
      <c r="A6" s="26" t="s">
        <v>984</v>
      </c>
      <c r="B6" s="26" t="s">
        <v>966</v>
      </c>
      <c r="C6" s="26" t="s">
        <v>967</v>
      </c>
      <c r="D6" s="26" t="s">
        <v>985</v>
      </c>
      <c r="E6" s="26" t="s">
        <v>986</v>
      </c>
      <c r="F6" s="26" t="s">
        <v>987</v>
      </c>
      <c r="G6" s="26" t="s">
        <v>971</v>
      </c>
      <c r="H6" s="26" t="s">
        <v>988</v>
      </c>
      <c r="I6" s="26" t="s">
        <v>989</v>
      </c>
      <c r="J6" s="26" t="s">
        <v>974</v>
      </c>
      <c r="K6" s="41">
        <v>47484</v>
      </c>
      <c r="L6" s="26" t="s">
        <v>990</v>
      </c>
      <c r="M6" s="26" t="s">
        <v>991</v>
      </c>
      <c r="N6" s="26" t="s">
        <v>992</v>
      </c>
      <c r="O6" s="26" t="s">
        <v>993</v>
      </c>
      <c r="P6" s="26" t="s">
        <v>978</v>
      </c>
      <c r="Q6" s="26" t="s">
        <v>979</v>
      </c>
      <c r="R6" s="26" t="s">
        <v>980</v>
      </c>
      <c r="S6" s="26" t="s">
        <v>994</v>
      </c>
      <c r="T6" s="26" t="s">
        <v>596</v>
      </c>
      <c r="U6" s="41">
        <v>47118</v>
      </c>
      <c r="V6" s="26" t="s">
        <v>995</v>
      </c>
      <c r="W6" s="26" t="s">
        <v>996</v>
      </c>
      <c r="X6" s="26" t="s">
        <v>983</v>
      </c>
      <c r="Y6" s="41">
        <v>46287</v>
      </c>
      <c r="Z6" s="31">
        <f>COUNTIFS(tbl_aplicabilidade[ID_Req],A6,tbl_aplicabilidade[Aplicavel],"Sim")</f>
        <v>113</v>
      </c>
      <c r="AA6" s="31">
        <f>COUNTIFS(tbl_aplicabilidade[ID_Req],A6,tbl_aplicabilidade[Estado_Resumo],"Conforme")+COUNTIFS(tbl_aplicabilidade[ID_Req],A6,tbl_aplicabilidade[Estado_Resumo],"Isento")</f>
        <v>77</v>
      </c>
      <c r="AB6" s="33" t="str">
        <f t="shared" si="0"/>
        <v>OK</v>
      </c>
    </row>
    <row r="7" spans="1:28" ht="70.05" customHeight="1" x14ac:dyDescent="0.3">
      <c r="A7" s="26" t="s">
        <v>997</v>
      </c>
      <c r="B7" s="26" t="s">
        <v>966</v>
      </c>
      <c r="C7" s="26" t="s">
        <v>967</v>
      </c>
      <c r="D7" s="26" t="s">
        <v>998</v>
      </c>
      <c r="E7" s="26" t="s">
        <v>999</v>
      </c>
      <c r="F7" s="26" t="s">
        <v>1000</v>
      </c>
      <c r="G7" s="26" t="s">
        <v>971</v>
      </c>
      <c r="H7" s="26" t="s">
        <v>988</v>
      </c>
      <c r="I7" s="26" t="s">
        <v>989</v>
      </c>
      <c r="J7" s="26" t="s">
        <v>974</v>
      </c>
      <c r="K7" s="41">
        <v>47484</v>
      </c>
      <c r="L7" s="26" t="s">
        <v>990</v>
      </c>
      <c r="M7" s="26" t="s">
        <v>1001</v>
      </c>
      <c r="N7" s="26" t="s">
        <v>1002</v>
      </c>
      <c r="O7" s="26" t="s">
        <v>1003</v>
      </c>
      <c r="P7" s="26" t="s">
        <v>978</v>
      </c>
      <c r="Q7" s="26" t="s">
        <v>979</v>
      </c>
      <c r="R7" s="26" t="s">
        <v>980</v>
      </c>
      <c r="S7" s="26" t="s">
        <v>1004</v>
      </c>
      <c r="T7" s="26" t="s">
        <v>1005</v>
      </c>
      <c r="U7" s="41">
        <v>47483</v>
      </c>
      <c r="V7" s="26" t="s">
        <v>995</v>
      </c>
      <c r="W7" s="26" t="s">
        <v>1006</v>
      </c>
      <c r="X7" s="26" t="s">
        <v>983</v>
      </c>
      <c r="Y7" s="41">
        <v>46287</v>
      </c>
      <c r="Z7" s="31">
        <f>COUNTIFS(tbl_aplicabilidade[ID_Req],A7,tbl_aplicabilidade[Aplicavel],"Sim")</f>
        <v>113</v>
      </c>
      <c r="AA7" s="31">
        <f>COUNTIFS(tbl_aplicabilidade[ID_Req],A7,tbl_aplicabilidade[Estado_Resumo],"Conforme")+COUNTIFS(tbl_aplicabilidade[ID_Req],A7,tbl_aplicabilidade[Estado_Resumo],"Isento")</f>
        <v>14</v>
      </c>
      <c r="AB7" s="33" t="str">
        <f t="shared" si="0"/>
        <v>OK</v>
      </c>
    </row>
    <row r="8" spans="1:28" ht="70.05" customHeight="1" x14ac:dyDescent="0.3">
      <c r="A8" s="26" t="s">
        <v>1007</v>
      </c>
      <c r="B8" s="26" t="s">
        <v>966</v>
      </c>
      <c r="C8" s="26" t="s">
        <v>967</v>
      </c>
      <c r="D8" s="26" t="s">
        <v>1008</v>
      </c>
      <c r="E8" s="26" t="s">
        <v>1009</v>
      </c>
      <c r="F8" s="26" t="s">
        <v>1010</v>
      </c>
      <c r="G8" s="26" t="s">
        <v>971</v>
      </c>
      <c r="H8" s="26" t="s">
        <v>1011</v>
      </c>
      <c r="I8" s="26" t="s">
        <v>989</v>
      </c>
      <c r="J8" s="26" t="s">
        <v>974</v>
      </c>
      <c r="K8" s="41">
        <v>47484</v>
      </c>
      <c r="L8" s="26" t="s">
        <v>990</v>
      </c>
      <c r="M8" s="26" t="s">
        <v>1012</v>
      </c>
      <c r="N8" s="26" t="s">
        <v>1013</v>
      </c>
      <c r="O8" s="26" t="s">
        <v>1003</v>
      </c>
      <c r="P8" s="26" t="s">
        <v>978</v>
      </c>
      <c r="Q8" s="26" t="s">
        <v>1014</v>
      </c>
      <c r="R8" s="26" t="s">
        <v>980</v>
      </c>
      <c r="S8" s="26" t="s">
        <v>906</v>
      </c>
      <c r="T8" s="26" t="s">
        <v>596</v>
      </c>
      <c r="U8" s="41">
        <v>47483</v>
      </c>
      <c r="V8" s="26" t="s">
        <v>981</v>
      </c>
      <c r="W8" s="26" t="s">
        <v>1015</v>
      </c>
      <c r="X8" s="26" t="s">
        <v>983</v>
      </c>
      <c r="Y8" s="41">
        <v>46287</v>
      </c>
      <c r="Z8" s="31">
        <f>COUNTIFS(tbl_aplicabilidade[ID_Req],A8,tbl_aplicabilidade[Aplicavel],"Sim")</f>
        <v>113</v>
      </c>
      <c r="AA8" s="31">
        <f>COUNTIFS(tbl_aplicabilidade[ID_Req],A8,tbl_aplicabilidade[Estado_Resumo],"Conforme")+COUNTIFS(tbl_aplicabilidade[ID_Req],A8,tbl_aplicabilidade[Estado_Resumo],"Isento")</f>
        <v>0</v>
      </c>
      <c r="AB8" s="33" t="str">
        <f t="shared" si="0"/>
        <v>OK</v>
      </c>
    </row>
    <row r="9" spans="1:28" ht="70.05" customHeight="1" x14ac:dyDescent="0.3">
      <c r="A9" s="26" t="s">
        <v>1016</v>
      </c>
      <c r="B9" s="26" t="s">
        <v>966</v>
      </c>
      <c r="C9" s="26" t="s">
        <v>967</v>
      </c>
      <c r="D9" s="26" t="s">
        <v>1017</v>
      </c>
      <c r="E9" s="26" t="s">
        <v>1018</v>
      </c>
      <c r="F9" s="26" t="s">
        <v>1019</v>
      </c>
      <c r="G9" s="26" t="s">
        <v>971</v>
      </c>
      <c r="H9" s="26" t="s">
        <v>1020</v>
      </c>
      <c r="I9" s="26" t="s">
        <v>989</v>
      </c>
      <c r="J9" s="26" t="s">
        <v>974</v>
      </c>
      <c r="K9" s="41">
        <v>46977</v>
      </c>
      <c r="L9" s="26" t="s">
        <v>990</v>
      </c>
      <c r="M9" s="26" t="s">
        <v>1021</v>
      </c>
      <c r="N9" s="26" t="s">
        <v>1022</v>
      </c>
      <c r="O9" s="26" t="s">
        <v>1003</v>
      </c>
      <c r="P9" s="26" t="s">
        <v>990</v>
      </c>
      <c r="Q9" s="26" t="s">
        <v>1014</v>
      </c>
      <c r="R9" s="26" t="s">
        <v>980</v>
      </c>
      <c r="S9" s="26"/>
      <c r="T9" s="26" t="s">
        <v>596</v>
      </c>
      <c r="U9" s="41">
        <v>46977</v>
      </c>
      <c r="V9" s="26" t="s">
        <v>995</v>
      </c>
      <c r="W9" s="26" t="s">
        <v>1023</v>
      </c>
      <c r="X9" s="26" t="s">
        <v>983</v>
      </c>
      <c r="Y9" s="41">
        <v>46287</v>
      </c>
      <c r="Z9" s="31">
        <f>COUNTIFS(tbl_aplicabilidade[ID_Req],A9,tbl_aplicabilidade[Aplicavel],"Sim")</f>
        <v>113</v>
      </c>
      <c r="AA9" s="31">
        <f>COUNTIFS(tbl_aplicabilidade[ID_Req],A9,tbl_aplicabilidade[Estado_Resumo],"Conforme")+COUNTIFS(tbl_aplicabilidade[ID_Req],A9,tbl_aplicabilidade[Estado_Resumo],"Isento")</f>
        <v>0</v>
      </c>
      <c r="AB9" s="33" t="str">
        <f t="shared" si="0"/>
        <v>OK</v>
      </c>
    </row>
    <row r="10" spans="1:28" ht="70.05" customHeight="1" x14ac:dyDescent="0.3">
      <c r="A10" s="26" t="s">
        <v>1024</v>
      </c>
      <c r="B10" s="26" t="s">
        <v>1025</v>
      </c>
      <c r="C10" s="26" t="s">
        <v>1026</v>
      </c>
      <c r="D10" s="26" t="s">
        <v>1027</v>
      </c>
      <c r="E10" s="26" t="s">
        <v>1028</v>
      </c>
      <c r="F10" s="26" t="s">
        <v>1029</v>
      </c>
      <c r="G10" s="26" t="s">
        <v>971</v>
      </c>
      <c r="H10" s="26" t="s">
        <v>1030</v>
      </c>
      <c r="I10" s="26" t="s">
        <v>973</v>
      </c>
      <c r="J10" s="26" t="s">
        <v>973</v>
      </c>
      <c r="K10" s="41">
        <v>44175</v>
      </c>
      <c r="L10" s="26" t="s">
        <v>901</v>
      </c>
      <c r="M10" s="26" t="s">
        <v>1031</v>
      </c>
      <c r="N10" s="26" t="s">
        <v>1032</v>
      </c>
      <c r="O10" s="26" t="s">
        <v>1003</v>
      </c>
      <c r="P10" s="26" t="s">
        <v>1033</v>
      </c>
      <c r="Q10" s="26" t="s">
        <v>1014</v>
      </c>
      <c r="R10" s="26" t="s">
        <v>1034</v>
      </c>
      <c r="S10" s="26"/>
      <c r="T10" s="26" t="s">
        <v>1035</v>
      </c>
      <c r="U10" s="41"/>
      <c r="V10" s="26" t="s">
        <v>981</v>
      </c>
      <c r="W10" s="26" t="s">
        <v>1036</v>
      </c>
      <c r="X10" s="26" t="s">
        <v>1037</v>
      </c>
      <c r="Y10" s="41">
        <v>46287</v>
      </c>
      <c r="Z10" s="31">
        <f>COUNTIFS(tbl_aplicabilidade[ID_Req],A10,tbl_aplicabilidade[Aplicavel],"Sim")</f>
        <v>0</v>
      </c>
      <c r="AA10" s="31">
        <f>COUNTIFS(tbl_aplicabilidade[ID_Req],A10,tbl_aplicabilidade[Estado_Resumo],"Conforme")+COUNTIFS(tbl_aplicabilidade[ID_Req],A10,tbl_aplicabilidade[Estado_Resumo],"Isento")</f>
        <v>0</v>
      </c>
      <c r="AB10" s="33" t="str">
        <f t="shared" si="0"/>
        <v>OK</v>
      </c>
    </row>
    <row r="11" spans="1:28" ht="70.05" customHeight="1" x14ac:dyDescent="0.3">
      <c r="A11" s="26" t="s">
        <v>1038</v>
      </c>
      <c r="B11" s="26" t="s">
        <v>966</v>
      </c>
      <c r="C11" s="26" t="s">
        <v>1039</v>
      </c>
      <c r="D11" s="26" t="s">
        <v>1040</v>
      </c>
      <c r="E11" s="26" t="s">
        <v>1041</v>
      </c>
      <c r="F11" s="26" t="s">
        <v>1042</v>
      </c>
      <c r="G11" s="26" t="s">
        <v>1043</v>
      </c>
      <c r="H11" s="26" t="s">
        <v>1044</v>
      </c>
      <c r="I11" s="26" t="s">
        <v>989</v>
      </c>
      <c r="J11" s="26" t="s">
        <v>844</v>
      </c>
      <c r="K11" s="41">
        <v>45476</v>
      </c>
      <c r="L11" s="26" t="s">
        <v>1045</v>
      </c>
      <c r="M11" s="26" t="s">
        <v>1046</v>
      </c>
      <c r="N11" s="26" t="s">
        <v>1047</v>
      </c>
      <c r="O11" s="26" t="s">
        <v>1048</v>
      </c>
      <c r="P11" s="26" t="s">
        <v>1033</v>
      </c>
      <c r="Q11" s="26" t="s">
        <v>1014</v>
      </c>
      <c r="R11" s="26" t="s">
        <v>1049</v>
      </c>
      <c r="S11" s="26" t="s">
        <v>1050</v>
      </c>
      <c r="T11" s="26" t="s">
        <v>596</v>
      </c>
      <c r="U11" s="41">
        <v>46356</v>
      </c>
      <c r="V11" s="26" t="s">
        <v>995</v>
      </c>
      <c r="W11" s="26" t="s">
        <v>1051</v>
      </c>
      <c r="X11" s="26" t="s">
        <v>1052</v>
      </c>
      <c r="Y11" s="41">
        <v>46287</v>
      </c>
      <c r="Z11" s="31">
        <f>COUNTIFS(tbl_aplicabilidade[ID_Req],A11,tbl_aplicabilidade[Aplicavel],"Sim")</f>
        <v>4</v>
      </c>
      <c r="AA11" s="31">
        <f>COUNTIFS(tbl_aplicabilidade[ID_Req],A11,tbl_aplicabilidade[Estado_Resumo],"Conforme")+COUNTIFS(tbl_aplicabilidade[ID_Req],A11,tbl_aplicabilidade[Estado_Resumo],"Isento")</f>
        <v>4</v>
      </c>
      <c r="AB11" s="33" t="str">
        <f t="shared" si="0"/>
        <v>Confirmar aplicabilidade</v>
      </c>
    </row>
    <row r="12" spans="1:28" ht="70.05" customHeight="1" x14ac:dyDescent="0.3">
      <c r="A12" s="26" t="s">
        <v>1053</v>
      </c>
      <c r="B12" s="26" t="s">
        <v>1054</v>
      </c>
      <c r="C12" s="26" t="s">
        <v>1055</v>
      </c>
      <c r="D12" s="26" t="s">
        <v>1056</v>
      </c>
      <c r="E12" s="26" t="s">
        <v>1057</v>
      </c>
      <c r="F12" s="26" t="s">
        <v>1058</v>
      </c>
      <c r="G12" s="26" t="s">
        <v>971</v>
      </c>
      <c r="H12" s="26" t="s">
        <v>1059</v>
      </c>
      <c r="I12" s="26" t="s">
        <v>973</v>
      </c>
      <c r="J12" s="26" t="s">
        <v>974</v>
      </c>
      <c r="K12" s="41">
        <v>39234</v>
      </c>
      <c r="L12" s="26" t="s">
        <v>901</v>
      </c>
      <c r="M12" s="26" t="s">
        <v>1060</v>
      </c>
      <c r="N12" s="26" t="s">
        <v>1061</v>
      </c>
      <c r="O12" s="26" t="s">
        <v>977</v>
      </c>
      <c r="P12" s="26" t="s">
        <v>978</v>
      </c>
      <c r="Q12" s="26" t="s">
        <v>1014</v>
      </c>
      <c r="R12" s="26" t="s">
        <v>1062</v>
      </c>
      <c r="S12" s="26" t="s">
        <v>1063</v>
      </c>
      <c r="T12" s="26" t="s">
        <v>1005</v>
      </c>
      <c r="U12" s="41">
        <v>46387</v>
      </c>
      <c r="V12" s="26" t="s">
        <v>981</v>
      </c>
      <c r="W12" s="26" t="s">
        <v>1064</v>
      </c>
      <c r="X12" s="26" t="s">
        <v>1065</v>
      </c>
      <c r="Y12" s="41">
        <v>46287</v>
      </c>
      <c r="Z12" s="31">
        <f>COUNTIFS(tbl_aplicabilidade[ID_Req],A12,tbl_aplicabilidade[Aplicavel],"Sim")</f>
        <v>0</v>
      </c>
      <c r="AA12" s="31">
        <f>COUNTIFS(tbl_aplicabilidade[ID_Req],A12,tbl_aplicabilidade[Estado_Resumo],"Conforme")+COUNTIFS(tbl_aplicabilidade[ID_Req],A12,tbl_aplicabilidade[Estado_Resumo],"Isento")</f>
        <v>0</v>
      </c>
      <c r="AB12" s="33" t="str">
        <f t="shared" si="0"/>
        <v>OK</v>
      </c>
    </row>
    <row r="13" spans="1:28" ht="70.05" customHeight="1" x14ac:dyDescent="0.3">
      <c r="A13" s="26" t="s">
        <v>1066</v>
      </c>
      <c r="B13" s="26" t="s">
        <v>1054</v>
      </c>
      <c r="C13" s="26" t="s">
        <v>1067</v>
      </c>
      <c r="D13" s="26" t="s">
        <v>1068</v>
      </c>
      <c r="E13" s="26" t="s">
        <v>1069</v>
      </c>
      <c r="F13" s="26" t="s">
        <v>1070</v>
      </c>
      <c r="G13" s="26" t="s">
        <v>971</v>
      </c>
      <c r="H13" s="26" t="s">
        <v>1071</v>
      </c>
      <c r="I13" s="26" t="s">
        <v>973</v>
      </c>
      <c r="J13" s="26" t="s">
        <v>973</v>
      </c>
      <c r="K13" s="41">
        <v>39833</v>
      </c>
      <c r="L13" s="26" t="s">
        <v>901</v>
      </c>
      <c r="M13" s="26" t="s">
        <v>1072</v>
      </c>
      <c r="N13" s="26" t="s">
        <v>1073</v>
      </c>
      <c r="O13" s="26" t="s">
        <v>1003</v>
      </c>
      <c r="P13" s="26" t="s">
        <v>1033</v>
      </c>
      <c r="Q13" s="26" t="s">
        <v>1074</v>
      </c>
      <c r="R13" s="26" t="s">
        <v>1062</v>
      </c>
      <c r="S13" s="26"/>
      <c r="T13" s="26" t="s">
        <v>1075</v>
      </c>
      <c r="U13" s="41"/>
      <c r="V13" s="26" t="s">
        <v>981</v>
      </c>
      <c r="W13" s="26" t="s">
        <v>1076</v>
      </c>
      <c r="X13" s="26" t="s">
        <v>1077</v>
      </c>
      <c r="Y13" s="41">
        <v>46287</v>
      </c>
      <c r="Z13" s="31">
        <f>COUNTIFS(tbl_aplicabilidade[ID_Req],A13,tbl_aplicabilidade[Aplicavel],"Sim")</f>
        <v>0</v>
      </c>
      <c r="AA13" s="31">
        <f>COUNTIFS(tbl_aplicabilidade[ID_Req],A13,tbl_aplicabilidade[Estado_Resumo],"Conforme")+COUNTIFS(tbl_aplicabilidade[ID_Req],A13,tbl_aplicabilidade[Estado_Resumo],"Isento")</f>
        <v>0</v>
      </c>
      <c r="AB13" s="33" t="str">
        <f t="shared" si="0"/>
        <v>OK</v>
      </c>
    </row>
    <row r="14" spans="1:28" ht="70.05" customHeight="1" x14ac:dyDescent="0.3">
      <c r="A14" s="26" t="s">
        <v>1078</v>
      </c>
      <c r="B14" s="26" t="s">
        <v>966</v>
      </c>
      <c r="C14" s="26" t="s">
        <v>967</v>
      </c>
      <c r="D14" s="26" t="s">
        <v>1079</v>
      </c>
      <c r="E14" s="26" t="s">
        <v>1080</v>
      </c>
      <c r="F14" s="26" t="s">
        <v>1081</v>
      </c>
      <c r="G14" s="26" t="s">
        <v>971</v>
      </c>
      <c r="H14" s="26" t="s">
        <v>988</v>
      </c>
      <c r="I14" s="26" t="s">
        <v>989</v>
      </c>
      <c r="J14" s="26" t="s">
        <v>974</v>
      </c>
      <c r="K14" s="41">
        <v>49310</v>
      </c>
      <c r="L14" s="26" t="s">
        <v>990</v>
      </c>
      <c r="M14" s="26" t="s">
        <v>1082</v>
      </c>
      <c r="N14" s="26" t="s">
        <v>1083</v>
      </c>
      <c r="O14" s="26" t="s">
        <v>1003</v>
      </c>
      <c r="P14" s="26" t="s">
        <v>990</v>
      </c>
      <c r="Q14" s="26" t="s">
        <v>1014</v>
      </c>
      <c r="R14" s="26" t="s">
        <v>980</v>
      </c>
      <c r="S14" s="26"/>
      <c r="T14" s="26" t="s">
        <v>596</v>
      </c>
      <c r="U14" s="41">
        <v>49309</v>
      </c>
      <c r="V14" s="26" t="s">
        <v>1084</v>
      </c>
      <c r="W14" s="26" t="s">
        <v>1085</v>
      </c>
      <c r="X14" s="26" t="s">
        <v>983</v>
      </c>
      <c r="Y14" s="41">
        <v>46287</v>
      </c>
      <c r="Z14" s="31">
        <f>COUNTIFS(tbl_aplicabilidade[ID_Req],A14,tbl_aplicabilidade[Aplicavel],"Sim")</f>
        <v>113</v>
      </c>
      <c r="AA14" s="31">
        <f>COUNTIFS(tbl_aplicabilidade[ID_Req],A14,tbl_aplicabilidade[Estado_Resumo],"Conforme")+COUNTIFS(tbl_aplicabilidade[ID_Req],A14,tbl_aplicabilidade[Estado_Resumo],"Isento")</f>
        <v>0</v>
      </c>
      <c r="AB14" s="33" t="str">
        <f t="shared" si="0"/>
        <v>OK</v>
      </c>
    </row>
    <row r="15" spans="1:28" ht="70.05" customHeight="1" x14ac:dyDescent="0.3">
      <c r="A15" s="26" t="s">
        <v>1086</v>
      </c>
      <c r="B15" s="26" t="s">
        <v>966</v>
      </c>
      <c r="C15" s="26" t="s">
        <v>967</v>
      </c>
      <c r="D15" s="26" t="s">
        <v>1087</v>
      </c>
      <c r="E15" s="26" t="s">
        <v>1088</v>
      </c>
      <c r="F15" s="26" t="s">
        <v>1089</v>
      </c>
      <c r="G15" s="26" t="s">
        <v>971</v>
      </c>
      <c r="H15" s="26" t="s">
        <v>988</v>
      </c>
      <c r="I15" s="26" t="s">
        <v>989</v>
      </c>
      <c r="J15" s="26" t="s">
        <v>974</v>
      </c>
      <c r="K15" s="41">
        <v>46246</v>
      </c>
      <c r="L15" s="26" t="s">
        <v>901</v>
      </c>
      <c r="M15" s="26" t="s">
        <v>1090</v>
      </c>
      <c r="N15" s="26" t="s">
        <v>1091</v>
      </c>
      <c r="O15" s="26" t="s">
        <v>1003</v>
      </c>
      <c r="P15" s="26" t="s">
        <v>978</v>
      </c>
      <c r="Q15" s="26" t="s">
        <v>979</v>
      </c>
      <c r="R15" s="26" t="s">
        <v>980</v>
      </c>
      <c r="S15" s="26" t="s">
        <v>906</v>
      </c>
      <c r="T15" s="26" t="s">
        <v>1092</v>
      </c>
      <c r="U15" s="41">
        <v>46387</v>
      </c>
      <c r="V15" s="26" t="s">
        <v>1084</v>
      </c>
      <c r="W15" s="26" t="s">
        <v>1093</v>
      </c>
      <c r="X15" s="26" t="s">
        <v>983</v>
      </c>
      <c r="Y15" s="41">
        <v>46287</v>
      </c>
      <c r="Z15" s="31">
        <f>COUNTIFS(tbl_aplicabilidade[ID_Req],A15,tbl_aplicabilidade[Aplicavel],"Sim")</f>
        <v>113</v>
      </c>
      <c r="AA15" s="31">
        <f>COUNTIFS(tbl_aplicabilidade[ID_Req],A15,tbl_aplicabilidade[Estado_Resumo],"Conforme")+COUNTIFS(tbl_aplicabilidade[ID_Req],A15,tbl_aplicabilidade[Estado_Resumo],"Isento")</f>
        <v>74</v>
      </c>
      <c r="AB15" s="33" t="str">
        <f t="shared" si="0"/>
        <v>OK</v>
      </c>
    </row>
    <row r="16" spans="1:28" ht="70.05" customHeight="1" x14ac:dyDescent="0.3">
      <c r="A16" s="26" t="s">
        <v>1094</v>
      </c>
      <c r="B16" s="26" t="s">
        <v>966</v>
      </c>
      <c r="C16" s="26" t="s">
        <v>967</v>
      </c>
      <c r="D16" s="26" t="s">
        <v>1095</v>
      </c>
      <c r="E16" s="26" t="s">
        <v>1096</v>
      </c>
      <c r="F16" s="26" t="s">
        <v>1097</v>
      </c>
      <c r="G16" s="26" t="s">
        <v>971</v>
      </c>
      <c r="H16" s="26" t="s">
        <v>988</v>
      </c>
      <c r="I16" s="26" t="s">
        <v>989</v>
      </c>
      <c r="J16" s="26" t="s">
        <v>844</v>
      </c>
      <c r="K16" s="41">
        <v>46246</v>
      </c>
      <c r="L16" s="26" t="s">
        <v>901</v>
      </c>
      <c r="M16" s="26" t="s">
        <v>1098</v>
      </c>
      <c r="N16" s="26" t="s">
        <v>1099</v>
      </c>
      <c r="O16" s="26" t="s">
        <v>1003</v>
      </c>
      <c r="P16" s="26" t="s">
        <v>1033</v>
      </c>
      <c r="Q16" s="26" t="s">
        <v>979</v>
      </c>
      <c r="R16" s="26" t="s">
        <v>1100</v>
      </c>
      <c r="S16" s="26"/>
      <c r="T16" s="26" t="s">
        <v>1092</v>
      </c>
      <c r="U16" s="41"/>
      <c r="V16" s="26" t="s">
        <v>1084</v>
      </c>
      <c r="W16" s="26" t="s">
        <v>1101</v>
      </c>
      <c r="X16" s="26" t="s">
        <v>983</v>
      </c>
      <c r="Y16" s="41">
        <v>46287</v>
      </c>
      <c r="Z16" s="31">
        <f>COUNTIFS(tbl_aplicabilidade[ID_Req],A16,tbl_aplicabilidade[Aplicavel],"Sim")</f>
        <v>4</v>
      </c>
      <c r="AA16" s="31">
        <f>COUNTIFS(tbl_aplicabilidade[ID_Req],A16,tbl_aplicabilidade[Estado_Resumo],"Conforme")+COUNTIFS(tbl_aplicabilidade[ID_Req],A16,tbl_aplicabilidade[Estado_Resumo],"Isento")</f>
        <v>4</v>
      </c>
      <c r="AB16" s="33" t="str">
        <f t="shared" si="0"/>
        <v>OK</v>
      </c>
    </row>
    <row r="17" spans="1:28" ht="70.05" customHeight="1" x14ac:dyDescent="0.3">
      <c r="A17" s="26" t="s">
        <v>1102</v>
      </c>
      <c r="B17" s="26" t="s">
        <v>966</v>
      </c>
      <c r="C17" s="26" t="s">
        <v>967</v>
      </c>
      <c r="D17" s="26" t="s">
        <v>1103</v>
      </c>
      <c r="E17" s="26" t="s">
        <v>1104</v>
      </c>
      <c r="F17" s="26" t="s">
        <v>1105</v>
      </c>
      <c r="G17" s="26" t="s">
        <v>971</v>
      </c>
      <c r="H17" s="26" t="s">
        <v>988</v>
      </c>
      <c r="I17" s="26" t="s">
        <v>989</v>
      </c>
      <c r="J17" s="26" t="s">
        <v>974</v>
      </c>
      <c r="K17" s="41">
        <v>46246</v>
      </c>
      <c r="L17" s="26" t="s">
        <v>901</v>
      </c>
      <c r="M17" s="26" t="s">
        <v>1106</v>
      </c>
      <c r="N17" s="26" t="s">
        <v>1107</v>
      </c>
      <c r="O17" s="26" t="s">
        <v>977</v>
      </c>
      <c r="P17" s="26" t="s">
        <v>978</v>
      </c>
      <c r="Q17" s="26" t="s">
        <v>979</v>
      </c>
      <c r="R17" s="26" t="s">
        <v>980</v>
      </c>
      <c r="S17" s="26" t="s">
        <v>906</v>
      </c>
      <c r="T17" s="26" t="s">
        <v>596</v>
      </c>
      <c r="U17" s="41">
        <v>46387</v>
      </c>
      <c r="V17" s="26" t="s">
        <v>995</v>
      </c>
      <c r="W17" s="26" t="s">
        <v>1108</v>
      </c>
      <c r="X17" s="26" t="s">
        <v>983</v>
      </c>
      <c r="Y17" s="41">
        <v>46287</v>
      </c>
      <c r="Z17" s="31">
        <f>COUNTIFS(tbl_aplicabilidade[ID_Req],A17,tbl_aplicabilidade[Aplicavel],"Sim")</f>
        <v>113</v>
      </c>
      <c r="AA17" s="31">
        <f>COUNTIFS(tbl_aplicabilidade[ID_Req],A17,tbl_aplicabilidade[Estado_Resumo],"Conforme")+COUNTIFS(tbl_aplicabilidade[ID_Req],A17,tbl_aplicabilidade[Estado_Resumo],"Isento")</f>
        <v>97</v>
      </c>
      <c r="AB17" s="33" t="str">
        <f t="shared" si="0"/>
        <v>OK</v>
      </c>
    </row>
    <row r="18" spans="1:28" ht="70.05" customHeight="1" x14ac:dyDescent="0.3">
      <c r="A18" s="26" t="s">
        <v>1109</v>
      </c>
      <c r="B18" s="26" t="s">
        <v>966</v>
      </c>
      <c r="C18" s="26" t="s">
        <v>967</v>
      </c>
      <c r="D18" s="26" t="s">
        <v>1110</v>
      </c>
      <c r="E18" s="26" t="s">
        <v>1111</v>
      </c>
      <c r="F18" s="26" t="s">
        <v>1112</v>
      </c>
      <c r="G18" s="26" t="s">
        <v>971</v>
      </c>
      <c r="H18" s="26" t="s">
        <v>1113</v>
      </c>
      <c r="I18" s="26" t="s">
        <v>973</v>
      </c>
      <c r="J18" s="26" t="s">
        <v>974</v>
      </c>
      <c r="K18" s="41">
        <v>46246</v>
      </c>
      <c r="L18" s="26" t="s">
        <v>901</v>
      </c>
      <c r="M18" s="26" t="s">
        <v>1114</v>
      </c>
      <c r="N18" s="26" t="s">
        <v>1115</v>
      </c>
      <c r="O18" s="26" t="s">
        <v>1003</v>
      </c>
      <c r="P18" s="26" t="s">
        <v>978</v>
      </c>
      <c r="Q18" s="26" t="s">
        <v>1014</v>
      </c>
      <c r="R18" s="26" t="s">
        <v>980</v>
      </c>
      <c r="S18" s="26" t="s">
        <v>906</v>
      </c>
      <c r="T18" s="26" t="s">
        <v>596</v>
      </c>
      <c r="U18" s="41">
        <v>46387</v>
      </c>
      <c r="V18" s="26" t="s">
        <v>1084</v>
      </c>
      <c r="W18" s="26" t="s">
        <v>1116</v>
      </c>
      <c r="X18" s="26" t="s">
        <v>983</v>
      </c>
      <c r="Y18" s="41">
        <v>46287</v>
      </c>
      <c r="Z18" s="31">
        <f>COUNTIFS(tbl_aplicabilidade[ID_Req],A18,tbl_aplicabilidade[Aplicavel],"Sim")</f>
        <v>0</v>
      </c>
      <c r="AA18" s="31">
        <f>COUNTIFS(tbl_aplicabilidade[ID_Req],A18,tbl_aplicabilidade[Estado_Resumo],"Conforme")+COUNTIFS(tbl_aplicabilidade[ID_Req],A18,tbl_aplicabilidade[Estado_Resumo],"Isento")</f>
        <v>0</v>
      </c>
      <c r="AB18" s="33" t="str">
        <f t="shared" si="0"/>
        <v>OK</v>
      </c>
    </row>
    <row r="19" spans="1:28" ht="70.05" customHeight="1" x14ac:dyDescent="0.3">
      <c r="A19" s="26" t="s">
        <v>1117</v>
      </c>
      <c r="B19" s="26" t="s">
        <v>966</v>
      </c>
      <c r="C19" s="26" t="s">
        <v>967</v>
      </c>
      <c r="D19" s="26" t="s">
        <v>1118</v>
      </c>
      <c r="E19" s="26" t="s">
        <v>1119</v>
      </c>
      <c r="F19" s="26" t="s">
        <v>1120</v>
      </c>
      <c r="G19" s="26" t="s">
        <v>1043</v>
      </c>
      <c r="H19" s="26" t="s">
        <v>1121</v>
      </c>
      <c r="I19" s="26" t="s">
        <v>973</v>
      </c>
      <c r="J19" s="26" t="s">
        <v>1122</v>
      </c>
      <c r="K19" s="41">
        <v>47484</v>
      </c>
      <c r="L19" s="26" t="s">
        <v>990</v>
      </c>
      <c r="M19" s="26" t="s">
        <v>1123</v>
      </c>
      <c r="N19" s="26" t="s">
        <v>976</v>
      </c>
      <c r="O19" s="26" t="s">
        <v>1003</v>
      </c>
      <c r="P19" s="26" t="s">
        <v>1124</v>
      </c>
      <c r="Q19" s="26" t="s">
        <v>1014</v>
      </c>
      <c r="R19" s="26" t="s">
        <v>980</v>
      </c>
      <c r="S19" s="26" t="s">
        <v>1050</v>
      </c>
      <c r="T19" s="26" t="s">
        <v>1075</v>
      </c>
      <c r="U19" s="41">
        <v>47299</v>
      </c>
      <c r="V19" s="26" t="s">
        <v>1084</v>
      </c>
      <c r="W19" s="26" t="s">
        <v>1125</v>
      </c>
      <c r="X19" s="26" t="s">
        <v>983</v>
      </c>
      <c r="Y19" s="41">
        <v>46287</v>
      </c>
      <c r="Z19" s="31">
        <f>COUNTIFS(tbl_aplicabilidade[ID_Req],A19,tbl_aplicabilidade[Aplicavel],"Sim")</f>
        <v>0</v>
      </c>
      <c r="AA19" s="31">
        <f>COUNTIFS(tbl_aplicabilidade[ID_Req],A19,tbl_aplicabilidade[Estado_Resumo],"Conforme")+COUNTIFS(tbl_aplicabilidade[ID_Req],A19,tbl_aplicabilidade[Estado_Resumo],"Isento")</f>
        <v>0</v>
      </c>
      <c r="AB19" s="33" t="str">
        <f t="shared" si="0"/>
        <v>Confirmar aplicabilidade</v>
      </c>
    </row>
    <row r="20" spans="1:28" ht="70.05" customHeight="1" x14ac:dyDescent="0.3">
      <c r="A20" s="26" t="s">
        <v>1126</v>
      </c>
      <c r="B20" s="26" t="s">
        <v>966</v>
      </c>
      <c r="C20" s="26" t="s">
        <v>967</v>
      </c>
      <c r="D20" s="26" t="s">
        <v>1127</v>
      </c>
      <c r="E20" s="26" t="s">
        <v>1128</v>
      </c>
      <c r="F20" s="26" t="s">
        <v>1129</v>
      </c>
      <c r="G20" s="26" t="s">
        <v>971</v>
      </c>
      <c r="H20" s="26" t="s">
        <v>1130</v>
      </c>
      <c r="I20" s="26" t="s">
        <v>973</v>
      </c>
      <c r="J20" s="26" t="s">
        <v>974</v>
      </c>
      <c r="K20" s="41">
        <v>46977</v>
      </c>
      <c r="L20" s="26" t="s">
        <v>990</v>
      </c>
      <c r="M20" s="26" t="s">
        <v>1131</v>
      </c>
      <c r="N20" s="26" t="s">
        <v>976</v>
      </c>
      <c r="O20" s="26" t="s">
        <v>1003</v>
      </c>
      <c r="P20" s="26" t="s">
        <v>990</v>
      </c>
      <c r="Q20" s="26" t="s">
        <v>1014</v>
      </c>
      <c r="R20" s="26" t="s">
        <v>1132</v>
      </c>
      <c r="S20" s="26"/>
      <c r="T20" s="26" t="s">
        <v>1133</v>
      </c>
      <c r="U20" s="41"/>
      <c r="V20" s="26" t="s">
        <v>1084</v>
      </c>
      <c r="W20" s="26" t="s">
        <v>1134</v>
      </c>
      <c r="X20" s="26" t="s">
        <v>983</v>
      </c>
      <c r="Y20" s="41">
        <v>46287</v>
      </c>
      <c r="Z20" s="31">
        <f>COUNTIFS(tbl_aplicabilidade[ID_Req],A20,tbl_aplicabilidade[Aplicavel],"Sim")</f>
        <v>0</v>
      </c>
      <c r="AA20" s="31">
        <f>COUNTIFS(tbl_aplicabilidade[ID_Req],A20,tbl_aplicabilidade[Estado_Resumo],"Conforme")+COUNTIFS(tbl_aplicabilidade[ID_Req],A20,tbl_aplicabilidade[Estado_Resumo],"Isento")</f>
        <v>0</v>
      </c>
      <c r="AB20" s="33" t="str">
        <f t="shared" si="0"/>
        <v>OK</v>
      </c>
    </row>
    <row r="21" spans="1:28" ht="70.05" customHeight="1" x14ac:dyDescent="0.3">
      <c r="A21" s="26" t="s">
        <v>1135</v>
      </c>
      <c r="B21" s="26" t="s">
        <v>966</v>
      </c>
      <c r="C21" s="26" t="s">
        <v>1136</v>
      </c>
      <c r="D21" s="26" t="s">
        <v>1137</v>
      </c>
      <c r="E21" s="26" t="s">
        <v>1138</v>
      </c>
      <c r="F21" s="26" t="s">
        <v>1139</v>
      </c>
      <c r="G21" s="26" t="s">
        <v>1043</v>
      </c>
      <c r="H21" s="26" t="s">
        <v>1140</v>
      </c>
      <c r="I21" s="26" t="s">
        <v>973</v>
      </c>
      <c r="J21" s="26" t="s">
        <v>1141</v>
      </c>
      <c r="K21" s="41">
        <v>34699</v>
      </c>
      <c r="L21" s="26" t="s">
        <v>904</v>
      </c>
      <c r="M21" s="26" t="s">
        <v>1142</v>
      </c>
      <c r="N21" s="26" t="s">
        <v>976</v>
      </c>
      <c r="O21" s="26" t="s">
        <v>1048</v>
      </c>
      <c r="P21" s="26" t="s">
        <v>1143</v>
      </c>
      <c r="Q21" s="26" t="s">
        <v>1074</v>
      </c>
      <c r="R21" s="26"/>
      <c r="S21" s="26"/>
      <c r="T21" s="26" t="s">
        <v>1035</v>
      </c>
      <c r="U21" s="41"/>
      <c r="V21" s="26" t="s">
        <v>1144</v>
      </c>
      <c r="W21" s="26" t="s">
        <v>1145</v>
      </c>
      <c r="X21" s="26" t="s">
        <v>1146</v>
      </c>
      <c r="Y21" s="41">
        <v>46287</v>
      </c>
      <c r="Z21" s="31">
        <f>COUNTIFS(tbl_aplicabilidade[ID_Req],A21,tbl_aplicabilidade[Aplicavel],"Sim")</f>
        <v>0</v>
      </c>
      <c r="AA21" s="31">
        <f>COUNTIFS(tbl_aplicabilidade[ID_Req],A21,tbl_aplicabilidade[Estado_Resumo],"Conforme")+COUNTIFS(tbl_aplicabilidade[ID_Req],A21,tbl_aplicabilidade[Estado_Resumo],"Isento")</f>
        <v>0</v>
      </c>
      <c r="AB21" s="33" t="str">
        <f t="shared" si="0"/>
        <v>Confirmar aplicabilidade</v>
      </c>
    </row>
    <row r="22" spans="1:28" ht="70.05" customHeight="1" x14ac:dyDescent="0.3">
      <c r="A22" s="26" t="s">
        <v>1147</v>
      </c>
      <c r="B22" s="26" t="s">
        <v>1148</v>
      </c>
      <c r="C22" s="26" t="s">
        <v>1149</v>
      </c>
      <c r="D22" s="26" t="s">
        <v>1150</v>
      </c>
      <c r="E22" s="26" t="s">
        <v>1151</v>
      </c>
      <c r="F22" s="26" t="s">
        <v>1152</v>
      </c>
      <c r="G22" s="26" t="s">
        <v>971</v>
      </c>
      <c r="H22" s="26" t="s">
        <v>1153</v>
      </c>
      <c r="I22" s="26" t="s">
        <v>973</v>
      </c>
      <c r="J22" s="26" t="s">
        <v>974</v>
      </c>
      <c r="K22" s="41">
        <v>46292</v>
      </c>
      <c r="L22" s="26" t="s">
        <v>901</v>
      </c>
      <c r="M22" s="26" t="s">
        <v>1154</v>
      </c>
      <c r="N22" s="26" t="s">
        <v>1155</v>
      </c>
      <c r="O22" s="26" t="s">
        <v>977</v>
      </c>
      <c r="P22" s="26" t="s">
        <v>1033</v>
      </c>
      <c r="Q22" s="26" t="s">
        <v>979</v>
      </c>
      <c r="R22" s="26" t="s">
        <v>1156</v>
      </c>
      <c r="S22" s="26" t="s">
        <v>1157</v>
      </c>
      <c r="T22" s="26" t="s">
        <v>1158</v>
      </c>
      <c r="U22" s="41">
        <v>46292</v>
      </c>
      <c r="V22" s="26" t="s">
        <v>1084</v>
      </c>
      <c r="W22" s="26" t="s">
        <v>1159</v>
      </c>
      <c r="X22" s="26" t="s">
        <v>1160</v>
      </c>
      <c r="Y22" s="41">
        <v>46287</v>
      </c>
      <c r="Z22" s="31">
        <f>COUNTIFS(tbl_aplicabilidade[ID_Req],A22,tbl_aplicabilidade[Aplicavel],"Sim")</f>
        <v>0</v>
      </c>
      <c r="AA22" s="31">
        <f>COUNTIFS(tbl_aplicabilidade[ID_Req],A22,tbl_aplicabilidade[Estado_Resumo],"Conforme")+COUNTIFS(tbl_aplicabilidade[ID_Req],A22,tbl_aplicabilidade[Estado_Resumo],"Isento")</f>
        <v>0</v>
      </c>
      <c r="AB22" s="33" t="str">
        <f t="shared" si="0"/>
        <v>OK</v>
      </c>
    </row>
    <row r="23" spans="1:28" ht="70.05" customHeight="1" x14ac:dyDescent="0.3">
      <c r="A23" s="26" t="s">
        <v>1161</v>
      </c>
      <c r="B23" s="26" t="s">
        <v>1162</v>
      </c>
      <c r="C23" s="26" t="s">
        <v>1163</v>
      </c>
      <c r="D23" s="26" t="s">
        <v>1164</v>
      </c>
      <c r="E23" s="26" t="s">
        <v>1165</v>
      </c>
      <c r="F23" s="26" t="s">
        <v>1166</v>
      </c>
      <c r="G23" s="26" t="s">
        <v>971</v>
      </c>
      <c r="H23" s="26" t="s">
        <v>1167</v>
      </c>
      <c r="I23" s="26" t="s">
        <v>989</v>
      </c>
      <c r="J23" s="26" t="s">
        <v>844</v>
      </c>
      <c r="K23" s="41">
        <v>38324</v>
      </c>
      <c r="L23" s="26" t="s">
        <v>901</v>
      </c>
      <c r="M23" s="26" t="s">
        <v>1168</v>
      </c>
      <c r="N23" s="26" t="s">
        <v>976</v>
      </c>
      <c r="O23" s="26" t="s">
        <v>1003</v>
      </c>
      <c r="P23" s="26" t="s">
        <v>1033</v>
      </c>
      <c r="Q23" s="26" t="s">
        <v>979</v>
      </c>
      <c r="R23" s="26" t="s">
        <v>1100</v>
      </c>
      <c r="S23" s="26"/>
      <c r="T23" s="26" t="s">
        <v>1092</v>
      </c>
      <c r="U23" s="41"/>
      <c r="V23" s="26" t="s">
        <v>981</v>
      </c>
      <c r="W23" s="26"/>
      <c r="X23" s="26" t="s">
        <v>1169</v>
      </c>
      <c r="Y23" s="41">
        <v>46287</v>
      </c>
      <c r="Z23" s="31">
        <f>COUNTIFS(tbl_aplicabilidade[ID_Req],A23,tbl_aplicabilidade[Aplicavel],"Sim")</f>
        <v>4</v>
      </c>
      <c r="AA23" s="31">
        <f>COUNTIFS(tbl_aplicabilidade[ID_Req],A23,tbl_aplicabilidade[Estado_Resumo],"Conforme")+COUNTIFS(tbl_aplicabilidade[ID_Req],A23,tbl_aplicabilidade[Estado_Resumo],"Isento")</f>
        <v>4</v>
      </c>
      <c r="AB23" s="33" t="str">
        <f t="shared" si="0"/>
        <v>OK</v>
      </c>
    </row>
    <row r="24" spans="1:28" ht="70.05" customHeight="1" x14ac:dyDescent="0.3">
      <c r="A24" s="26" t="s">
        <v>1170</v>
      </c>
      <c r="B24" s="26" t="s">
        <v>1162</v>
      </c>
      <c r="C24" s="26" t="s">
        <v>1171</v>
      </c>
      <c r="D24" s="26" t="s">
        <v>1172</v>
      </c>
      <c r="E24" s="26" t="s">
        <v>1173</v>
      </c>
      <c r="F24" s="26" t="s">
        <v>1174</v>
      </c>
      <c r="G24" s="26" t="s">
        <v>971</v>
      </c>
      <c r="H24" s="26" t="s">
        <v>1167</v>
      </c>
      <c r="I24" s="26" t="s">
        <v>989</v>
      </c>
      <c r="J24" s="26" t="s">
        <v>844</v>
      </c>
      <c r="K24" s="41">
        <v>39661</v>
      </c>
      <c r="L24" s="26" t="s">
        <v>901</v>
      </c>
      <c r="M24" s="26" t="s">
        <v>1175</v>
      </c>
      <c r="N24" s="26" t="s">
        <v>1176</v>
      </c>
      <c r="O24" s="26" t="s">
        <v>1003</v>
      </c>
      <c r="P24" s="26" t="s">
        <v>978</v>
      </c>
      <c r="Q24" s="26" t="s">
        <v>1014</v>
      </c>
      <c r="R24" s="26" t="s">
        <v>1100</v>
      </c>
      <c r="S24" s="26"/>
      <c r="T24" s="26" t="s">
        <v>1092</v>
      </c>
      <c r="U24" s="41">
        <v>46477</v>
      </c>
      <c r="V24" s="26" t="s">
        <v>981</v>
      </c>
      <c r="W24" s="26" t="s">
        <v>1177</v>
      </c>
      <c r="X24" s="26" t="s">
        <v>1178</v>
      </c>
      <c r="Y24" s="41">
        <v>46287</v>
      </c>
      <c r="Z24" s="31">
        <f>COUNTIFS(tbl_aplicabilidade[ID_Req],A24,tbl_aplicabilidade[Aplicavel],"Sim")</f>
        <v>4</v>
      </c>
      <c r="AA24" s="31">
        <f>COUNTIFS(tbl_aplicabilidade[ID_Req],A24,tbl_aplicabilidade[Estado_Resumo],"Conforme")+COUNTIFS(tbl_aplicabilidade[ID_Req],A24,tbl_aplicabilidade[Estado_Resumo],"Isento")</f>
        <v>0</v>
      </c>
      <c r="AB24" s="33" t="str">
        <f t="shared" si="0"/>
        <v>Lacuna sem ação</v>
      </c>
    </row>
    <row r="25" spans="1:28" ht="70.05" customHeight="1" x14ac:dyDescent="0.3">
      <c r="A25" s="26" t="s">
        <v>1179</v>
      </c>
      <c r="B25" s="26" t="s">
        <v>1162</v>
      </c>
      <c r="C25" s="26" t="s">
        <v>1180</v>
      </c>
      <c r="D25" s="26" t="s">
        <v>1181</v>
      </c>
      <c r="E25" s="26" t="s">
        <v>1182</v>
      </c>
      <c r="F25" s="26" t="s">
        <v>1183</v>
      </c>
      <c r="G25" s="26" t="s">
        <v>971</v>
      </c>
      <c r="H25" s="26" t="s">
        <v>1184</v>
      </c>
      <c r="I25" s="26" t="s">
        <v>989</v>
      </c>
      <c r="J25" s="26" t="s">
        <v>844</v>
      </c>
      <c r="K25" s="41">
        <v>45677</v>
      </c>
      <c r="L25" s="26" t="s">
        <v>901</v>
      </c>
      <c r="M25" s="26" t="s">
        <v>1185</v>
      </c>
      <c r="N25" s="26" t="s">
        <v>910</v>
      </c>
      <c r="O25" s="26" t="s">
        <v>1003</v>
      </c>
      <c r="P25" s="26" t="s">
        <v>1033</v>
      </c>
      <c r="Q25" s="26" t="s">
        <v>1014</v>
      </c>
      <c r="R25" s="26" t="s">
        <v>1100</v>
      </c>
      <c r="S25" s="26"/>
      <c r="T25" s="26" t="s">
        <v>1092</v>
      </c>
      <c r="U25" s="41"/>
      <c r="V25" s="26" t="s">
        <v>1084</v>
      </c>
      <c r="W25" s="26" t="s">
        <v>1186</v>
      </c>
      <c r="X25" s="26" t="s">
        <v>1187</v>
      </c>
      <c r="Y25" s="41">
        <v>46287</v>
      </c>
      <c r="Z25" s="31">
        <f>COUNTIFS(tbl_aplicabilidade[ID_Req],A25,tbl_aplicabilidade[Aplicavel],"Sim")</f>
        <v>4</v>
      </c>
      <c r="AA25" s="31">
        <f>COUNTIFS(tbl_aplicabilidade[ID_Req],A25,tbl_aplicabilidade[Estado_Resumo],"Conforme")+COUNTIFS(tbl_aplicabilidade[ID_Req],A25,tbl_aplicabilidade[Estado_Resumo],"Isento")</f>
        <v>4</v>
      </c>
      <c r="AB25" s="33" t="str">
        <f t="shared" si="0"/>
        <v>OK</v>
      </c>
    </row>
    <row r="26" spans="1:28" ht="70.05" customHeight="1" x14ac:dyDescent="0.3">
      <c r="A26" s="26" t="s">
        <v>1188</v>
      </c>
      <c r="B26" s="26" t="s">
        <v>1162</v>
      </c>
      <c r="C26" s="26" t="s">
        <v>1189</v>
      </c>
      <c r="D26" s="26" t="s">
        <v>1190</v>
      </c>
      <c r="E26" s="26" t="s">
        <v>1191</v>
      </c>
      <c r="F26" s="26" t="s">
        <v>1192</v>
      </c>
      <c r="G26" s="26" t="s">
        <v>971</v>
      </c>
      <c r="H26" s="26" t="s">
        <v>1184</v>
      </c>
      <c r="I26" s="26" t="s">
        <v>989</v>
      </c>
      <c r="J26" s="26" t="s">
        <v>844</v>
      </c>
      <c r="K26" s="41">
        <v>40664</v>
      </c>
      <c r="L26" s="26" t="s">
        <v>901</v>
      </c>
      <c r="M26" s="26" t="s">
        <v>1193</v>
      </c>
      <c r="N26" s="26" t="s">
        <v>1194</v>
      </c>
      <c r="O26" s="26" t="s">
        <v>1195</v>
      </c>
      <c r="P26" s="26" t="s">
        <v>1033</v>
      </c>
      <c r="Q26" s="26" t="s">
        <v>979</v>
      </c>
      <c r="R26" s="26" t="s">
        <v>1100</v>
      </c>
      <c r="S26" s="26"/>
      <c r="T26" s="26" t="s">
        <v>1092</v>
      </c>
      <c r="U26" s="41"/>
      <c r="V26" s="26" t="s">
        <v>981</v>
      </c>
      <c r="W26" s="26"/>
      <c r="X26" s="26" t="s">
        <v>1196</v>
      </c>
      <c r="Y26" s="41">
        <v>46287</v>
      </c>
      <c r="Z26" s="31">
        <f>COUNTIFS(tbl_aplicabilidade[ID_Req],A26,tbl_aplicabilidade[Aplicavel],"Sim")</f>
        <v>4</v>
      </c>
      <c r="AA26" s="31">
        <f>COUNTIFS(tbl_aplicabilidade[ID_Req],A26,tbl_aplicabilidade[Estado_Resumo],"Conforme")+COUNTIFS(tbl_aplicabilidade[ID_Req],A26,tbl_aplicabilidade[Estado_Resumo],"Isento")</f>
        <v>4</v>
      </c>
      <c r="AB26" s="33" t="str">
        <f t="shared" si="0"/>
        <v>OK</v>
      </c>
    </row>
    <row r="27" spans="1:28" ht="70.05" customHeight="1" x14ac:dyDescent="0.3">
      <c r="A27" s="26" t="s">
        <v>1197</v>
      </c>
      <c r="B27" s="26" t="s">
        <v>1162</v>
      </c>
      <c r="C27" s="26" t="s">
        <v>1198</v>
      </c>
      <c r="D27" s="26" t="s">
        <v>1199</v>
      </c>
      <c r="E27" s="26" t="s">
        <v>1200</v>
      </c>
      <c r="F27" s="26" t="s">
        <v>1201</v>
      </c>
      <c r="G27" s="26" t="s">
        <v>971</v>
      </c>
      <c r="H27" s="26" t="s">
        <v>1167</v>
      </c>
      <c r="I27" s="26" t="s">
        <v>213</v>
      </c>
      <c r="J27" s="26" t="s">
        <v>844</v>
      </c>
      <c r="K27" s="41">
        <v>44844</v>
      </c>
      <c r="L27" s="26" t="s">
        <v>1045</v>
      </c>
      <c r="M27" s="26" t="s">
        <v>1202</v>
      </c>
      <c r="N27" s="26" t="s">
        <v>976</v>
      </c>
      <c r="O27" s="26" t="s">
        <v>1048</v>
      </c>
      <c r="P27" s="26" t="s">
        <v>1143</v>
      </c>
      <c r="Q27" s="26" t="s">
        <v>1014</v>
      </c>
      <c r="R27" s="26" t="s">
        <v>1100</v>
      </c>
      <c r="S27" s="26" t="s">
        <v>1004</v>
      </c>
      <c r="T27" s="26" t="s">
        <v>1092</v>
      </c>
      <c r="U27" s="41">
        <v>47483</v>
      </c>
      <c r="V27" s="26" t="s">
        <v>995</v>
      </c>
      <c r="W27" s="26" t="s">
        <v>1203</v>
      </c>
      <c r="X27" s="26" t="s">
        <v>1204</v>
      </c>
      <c r="Y27" s="41">
        <v>46287</v>
      </c>
      <c r="Z27" s="31">
        <f>COUNTIFS(tbl_aplicabilidade[ID_Req],A27,tbl_aplicabilidade[Aplicavel],"Sim")</f>
        <v>0</v>
      </c>
      <c r="AA27" s="31">
        <f>COUNTIFS(tbl_aplicabilidade[ID_Req],A27,tbl_aplicabilidade[Estado_Resumo],"Conforme")+COUNTIFS(tbl_aplicabilidade[ID_Req],A27,tbl_aplicabilidade[Estado_Resumo],"Isento")</f>
        <v>0</v>
      </c>
      <c r="AB27" s="33" t="str">
        <f t="shared" si="0"/>
        <v>OK</v>
      </c>
    </row>
    <row r="28" spans="1:28" ht="70.05" customHeight="1" x14ac:dyDescent="0.3">
      <c r="A28" s="26" t="s">
        <v>1205</v>
      </c>
      <c r="B28" s="26" t="s">
        <v>1162</v>
      </c>
      <c r="C28" s="26" t="s">
        <v>1206</v>
      </c>
      <c r="D28" s="26" t="s">
        <v>1207</v>
      </c>
      <c r="E28" s="26" t="s">
        <v>1208</v>
      </c>
      <c r="F28" s="26" t="s">
        <v>1209</v>
      </c>
      <c r="G28" s="26" t="s">
        <v>971</v>
      </c>
      <c r="H28" s="26" t="s">
        <v>988</v>
      </c>
      <c r="I28" s="26" t="s">
        <v>973</v>
      </c>
      <c r="J28" s="26" t="s">
        <v>844</v>
      </c>
      <c r="K28" s="41">
        <v>46246</v>
      </c>
      <c r="L28" s="26" t="s">
        <v>901</v>
      </c>
      <c r="M28" s="26" t="s">
        <v>1210</v>
      </c>
      <c r="N28" s="26" t="s">
        <v>976</v>
      </c>
      <c r="O28" s="26" t="s">
        <v>1003</v>
      </c>
      <c r="P28" s="26" t="s">
        <v>1033</v>
      </c>
      <c r="Q28" s="26" t="s">
        <v>1014</v>
      </c>
      <c r="R28" s="26" t="s">
        <v>1100</v>
      </c>
      <c r="S28" s="26"/>
      <c r="T28" s="26" t="s">
        <v>1092</v>
      </c>
      <c r="U28" s="41"/>
      <c r="V28" s="26" t="s">
        <v>981</v>
      </c>
      <c r="W28" s="26" t="s">
        <v>1211</v>
      </c>
      <c r="X28" s="26" t="s">
        <v>983</v>
      </c>
      <c r="Y28" s="41">
        <v>46287</v>
      </c>
      <c r="Z28" s="31">
        <f>COUNTIFS(tbl_aplicabilidade[ID_Req],A28,tbl_aplicabilidade[Aplicavel],"Sim")</f>
        <v>0</v>
      </c>
      <c r="AA28" s="31">
        <f>COUNTIFS(tbl_aplicabilidade[ID_Req],A28,tbl_aplicabilidade[Estado_Resumo],"Conforme")+COUNTIFS(tbl_aplicabilidade[ID_Req],A28,tbl_aplicabilidade[Estado_Resumo],"Isento")</f>
        <v>0</v>
      </c>
      <c r="AB28" s="33" t="str">
        <f t="shared" si="0"/>
        <v>OK</v>
      </c>
    </row>
    <row r="29" spans="1:28" ht="70.05" customHeight="1" x14ac:dyDescent="0.3">
      <c r="A29" s="26" t="s">
        <v>1212</v>
      </c>
      <c r="B29" s="26" t="s">
        <v>1213</v>
      </c>
      <c r="C29" s="26" t="s">
        <v>1214</v>
      </c>
      <c r="D29" s="26" t="s">
        <v>1215</v>
      </c>
      <c r="E29" s="26" t="s">
        <v>1216</v>
      </c>
      <c r="F29" s="26" t="s">
        <v>1217</v>
      </c>
      <c r="G29" s="26" t="s">
        <v>1218</v>
      </c>
      <c r="H29" s="26" t="s">
        <v>1219</v>
      </c>
      <c r="I29" s="26" t="s">
        <v>989</v>
      </c>
      <c r="J29" s="26" t="s">
        <v>1220</v>
      </c>
      <c r="K29" s="41">
        <v>41466</v>
      </c>
      <c r="L29" s="26" t="s">
        <v>901</v>
      </c>
      <c r="M29" s="26" t="s">
        <v>1221</v>
      </c>
      <c r="N29" s="26" t="s">
        <v>976</v>
      </c>
      <c r="O29" s="26" t="s">
        <v>1003</v>
      </c>
      <c r="P29" s="26" t="s">
        <v>1033</v>
      </c>
      <c r="Q29" s="26" t="s">
        <v>1014</v>
      </c>
      <c r="R29" s="26" t="s">
        <v>1222</v>
      </c>
      <c r="S29" s="26"/>
      <c r="T29" s="26" t="s">
        <v>1092</v>
      </c>
      <c r="U29" s="41"/>
      <c r="V29" s="26" t="s">
        <v>981</v>
      </c>
      <c r="W29" s="26"/>
      <c r="X29" s="26" t="s">
        <v>1223</v>
      </c>
      <c r="Y29" s="41">
        <v>46287</v>
      </c>
      <c r="Z29" s="31">
        <f>COUNTIFS(tbl_aplicabilidade[ID_Req],A29,tbl_aplicabilidade[Aplicavel],"Sim")</f>
        <v>103</v>
      </c>
      <c r="AA29" s="31">
        <f>COUNTIFS(tbl_aplicabilidade[ID_Req],A29,tbl_aplicabilidade[Estado_Resumo],"Conforme")+COUNTIFS(tbl_aplicabilidade[ID_Req],A29,tbl_aplicabilidade[Estado_Resumo],"Isento")</f>
        <v>103</v>
      </c>
      <c r="AB29" s="33" t="str">
        <f t="shared" si="0"/>
        <v>OK</v>
      </c>
    </row>
    <row r="30" spans="1:28" ht="70.05" customHeight="1" x14ac:dyDescent="0.3">
      <c r="A30" s="26" t="s">
        <v>1224</v>
      </c>
      <c r="B30" s="26" t="s">
        <v>1213</v>
      </c>
      <c r="C30" s="26" t="s">
        <v>1214</v>
      </c>
      <c r="D30" s="26" t="s">
        <v>1225</v>
      </c>
      <c r="E30" s="26" t="s">
        <v>1226</v>
      </c>
      <c r="F30" s="26" t="s">
        <v>1227</v>
      </c>
      <c r="G30" s="26" t="s">
        <v>1218</v>
      </c>
      <c r="H30" s="26" t="s">
        <v>1219</v>
      </c>
      <c r="I30" s="26" t="s">
        <v>989</v>
      </c>
      <c r="J30" s="26" t="s">
        <v>1220</v>
      </c>
      <c r="K30" s="41">
        <v>41466</v>
      </c>
      <c r="L30" s="26" t="s">
        <v>901</v>
      </c>
      <c r="M30" s="26" t="s">
        <v>1228</v>
      </c>
      <c r="N30" s="26" t="s">
        <v>976</v>
      </c>
      <c r="O30" s="26" t="s">
        <v>1003</v>
      </c>
      <c r="P30" s="26" t="s">
        <v>978</v>
      </c>
      <c r="Q30" s="26" t="s">
        <v>1014</v>
      </c>
      <c r="R30" s="26" t="s">
        <v>1222</v>
      </c>
      <c r="S30" s="26"/>
      <c r="T30" s="26" t="s">
        <v>1092</v>
      </c>
      <c r="U30" s="41">
        <v>46387</v>
      </c>
      <c r="V30" s="26" t="s">
        <v>981</v>
      </c>
      <c r="W30" s="26" t="s">
        <v>1229</v>
      </c>
      <c r="X30" s="26" t="s">
        <v>1223</v>
      </c>
      <c r="Y30" s="41">
        <v>46287</v>
      </c>
      <c r="Z30" s="31">
        <f>COUNTIFS(tbl_aplicabilidade[ID_Req],A30,tbl_aplicabilidade[Aplicavel],"Sim")</f>
        <v>103</v>
      </c>
      <c r="AA30" s="31">
        <f>COUNTIFS(tbl_aplicabilidade[ID_Req],A30,tbl_aplicabilidade[Estado_Resumo],"Conforme")+COUNTIFS(tbl_aplicabilidade[ID_Req],A30,tbl_aplicabilidade[Estado_Resumo],"Isento")</f>
        <v>0</v>
      </c>
      <c r="AB30" s="33" t="str">
        <f t="shared" si="0"/>
        <v>Lacuna sem ação</v>
      </c>
    </row>
    <row r="31" spans="1:28" ht="70.05" customHeight="1" x14ac:dyDescent="0.3">
      <c r="A31" s="26" t="s">
        <v>1230</v>
      </c>
      <c r="B31" s="26" t="s">
        <v>1213</v>
      </c>
      <c r="C31" s="26" t="s">
        <v>1231</v>
      </c>
      <c r="D31" s="26" t="s">
        <v>1232</v>
      </c>
      <c r="E31" s="26" t="s">
        <v>1233</v>
      </c>
      <c r="F31" s="26" t="s">
        <v>1234</v>
      </c>
      <c r="G31" s="26" t="s">
        <v>1235</v>
      </c>
      <c r="H31" s="26" t="s">
        <v>1236</v>
      </c>
      <c r="I31" s="26" t="s">
        <v>973</v>
      </c>
      <c r="J31" s="26" t="s">
        <v>1220</v>
      </c>
      <c r="K31" s="41">
        <v>39401</v>
      </c>
      <c r="L31" s="26" t="s">
        <v>1045</v>
      </c>
      <c r="M31" s="26" t="s">
        <v>1237</v>
      </c>
      <c r="N31" s="26" t="s">
        <v>1238</v>
      </c>
      <c r="O31" s="26" t="s">
        <v>1048</v>
      </c>
      <c r="P31" s="26" t="s">
        <v>1033</v>
      </c>
      <c r="Q31" s="26" t="s">
        <v>1074</v>
      </c>
      <c r="R31" s="26" t="s">
        <v>1222</v>
      </c>
      <c r="S31" s="26"/>
      <c r="T31" s="26" t="s">
        <v>1092</v>
      </c>
      <c r="U31" s="41"/>
      <c r="V31" s="26" t="s">
        <v>981</v>
      </c>
      <c r="W31" s="26"/>
      <c r="X31" s="26" t="s">
        <v>1239</v>
      </c>
      <c r="Y31" s="41">
        <v>46287</v>
      </c>
      <c r="Z31" s="31">
        <f>COUNTIFS(tbl_aplicabilidade[ID_Req],A31,tbl_aplicabilidade[Aplicavel],"Sim")</f>
        <v>0</v>
      </c>
      <c r="AA31" s="31">
        <f>COUNTIFS(tbl_aplicabilidade[ID_Req],A31,tbl_aplicabilidade[Estado_Resumo],"Conforme")+COUNTIFS(tbl_aplicabilidade[ID_Req],A31,tbl_aplicabilidade[Estado_Resumo],"Isento")</f>
        <v>0</v>
      </c>
      <c r="AB31" s="33" t="str">
        <f t="shared" si="0"/>
        <v>OK</v>
      </c>
    </row>
    <row r="32" spans="1:28" ht="70.05" customHeight="1" x14ac:dyDescent="0.3">
      <c r="A32" s="26" t="s">
        <v>1240</v>
      </c>
      <c r="B32" s="26" t="s">
        <v>1213</v>
      </c>
      <c r="C32" s="26" t="s">
        <v>1241</v>
      </c>
      <c r="D32" s="26" t="s">
        <v>1140</v>
      </c>
      <c r="E32" s="26" t="s">
        <v>1242</v>
      </c>
      <c r="F32" s="26" t="s">
        <v>1243</v>
      </c>
      <c r="G32" s="26" t="s">
        <v>1218</v>
      </c>
      <c r="H32" s="26" t="s">
        <v>1219</v>
      </c>
      <c r="I32" s="26" t="s">
        <v>989</v>
      </c>
      <c r="J32" s="26" t="s">
        <v>1220</v>
      </c>
      <c r="K32" s="41">
        <v>41466</v>
      </c>
      <c r="L32" s="26" t="s">
        <v>901</v>
      </c>
      <c r="M32" s="26" t="s">
        <v>1244</v>
      </c>
      <c r="N32" s="26" t="s">
        <v>976</v>
      </c>
      <c r="O32" s="26" t="s">
        <v>1048</v>
      </c>
      <c r="P32" s="26" t="s">
        <v>1033</v>
      </c>
      <c r="Q32" s="26" t="s">
        <v>1014</v>
      </c>
      <c r="R32" s="26" t="s">
        <v>1222</v>
      </c>
      <c r="S32" s="26"/>
      <c r="T32" s="26" t="s">
        <v>1092</v>
      </c>
      <c r="U32" s="41"/>
      <c r="V32" s="26" t="s">
        <v>981</v>
      </c>
      <c r="W32" s="26"/>
      <c r="X32" s="26"/>
      <c r="Y32" s="41">
        <v>46287</v>
      </c>
      <c r="Z32" s="31">
        <f>COUNTIFS(tbl_aplicabilidade[ID_Req],A32,tbl_aplicabilidade[Aplicavel],"Sim")</f>
        <v>103</v>
      </c>
      <c r="AA32" s="31">
        <f>COUNTIFS(tbl_aplicabilidade[ID_Req],A32,tbl_aplicabilidade[Estado_Resumo],"Conforme")+COUNTIFS(tbl_aplicabilidade[ID_Req],A32,tbl_aplicabilidade[Estado_Resumo],"Isento")</f>
        <v>103</v>
      </c>
      <c r="AB32" s="33" t="str">
        <f t="shared" si="0"/>
        <v>OK</v>
      </c>
    </row>
    <row r="33" spans="1:28" ht="70.05" customHeight="1" x14ac:dyDescent="0.3">
      <c r="A33" s="26" t="s">
        <v>1245</v>
      </c>
      <c r="B33" s="26" t="s">
        <v>1213</v>
      </c>
      <c r="C33" s="26" t="s">
        <v>1246</v>
      </c>
      <c r="D33" s="26" t="s">
        <v>1140</v>
      </c>
      <c r="E33" s="26" t="s">
        <v>1247</v>
      </c>
      <c r="F33" s="26" t="s">
        <v>1248</v>
      </c>
      <c r="G33" s="26" t="s">
        <v>971</v>
      </c>
      <c r="H33" s="26" t="s">
        <v>1249</v>
      </c>
      <c r="I33" s="26" t="s">
        <v>973</v>
      </c>
      <c r="J33" s="26" t="s">
        <v>1220</v>
      </c>
      <c r="K33" s="41">
        <v>46292</v>
      </c>
      <c r="L33" s="26" t="s">
        <v>901</v>
      </c>
      <c r="M33" s="26" t="s">
        <v>1250</v>
      </c>
      <c r="N33" s="26" t="s">
        <v>1155</v>
      </c>
      <c r="O33" s="26" t="s">
        <v>977</v>
      </c>
      <c r="P33" s="26" t="s">
        <v>1033</v>
      </c>
      <c r="Q33" s="26" t="s">
        <v>979</v>
      </c>
      <c r="R33" s="26" t="s">
        <v>1156</v>
      </c>
      <c r="S33" s="26" t="s">
        <v>1157</v>
      </c>
      <c r="T33" s="26" t="s">
        <v>1158</v>
      </c>
      <c r="U33" s="41">
        <v>46292</v>
      </c>
      <c r="V33" s="26" t="s">
        <v>981</v>
      </c>
      <c r="W33" s="26" t="s">
        <v>1251</v>
      </c>
      <c r="X33" s="26"/>
      <c r="Y33" s="41">
        <v>46287</v>
      </c>
      <c r="Z33" s="31">
        <f>COUNTIFS(tbl_aplicabilidade[ID_Req],A33,tbl_aplicabilidade[Aplicavel],"Sim")</f>
        <v>0</v>
      </c>
      <c r="AA33" s="31">
        <f>COUNTIFS(tbl_aplicabilidade[ID_Req],A33,tbl_aplicabilidade[Estado_Resumo],"Conforme")+COUNTIFS(tbl_aplicabilidade[ID_Req],A33,tbl_aplicabilidade[Estado_Resumo],"Isento")</f>
        <v>0</v>
      </c>
      <c r="AB33" s="33" t="str">
        <f t="shared" si="0"/>
        <v>OK</v>
      </c>
    </row>
    <row r="34" spans="1:28" ht="70.05" customHeight="1" x14ac:dyDescent="0.3">
      <c r="A34" s="26" t="s">
        <v>1252</v>
      </c>
      <c r="B34" s="26" t="s">
        <v>1253</v>
      </c>
      <c r="C34" s="26" t="s">
        <v>1254</v>
      </c>
      <c r="D34" s="26" t="s">
        <v>1255</v>
      </c>
      <c r="E34" s="26" t="s">
        <v>1256</v>
      </c>
      <c r="F34" s="26" t="s">
        <v>1257</v>
      </c>
      <c r="G34" s="26" t="s">
        <v>1218</v>
      </c>
      <c r="H34" s="26" t="s">
        <v>1258</v>
      </c>
      <c r="I34" s="26" t="s">
        <v>989</v>
      </c>
      <c r="J34" s="26" t="s">
        <v>857</v>
      </c>
      <c r="K34" s="41">
        <v>37243</v>
      </c>
      <c r="L34" s="26" t="s">
        <v>901</v>
      </c>
      <c r="M34" s="26" t="s">
        <v>1259</v>
      </c>
      <c r="N34" s="26" t="s">
        <v>1238</v>
      </c>
      <c r="O34" s="26" t="s">
        <v>1003</v>
      </c>
      <c r="P34" s="26" t="s">
        <v>1033</v>
      </c>
      <c r="Q34" s="26" t="s">
        <v>979</v>
      </c>
      <c r="R34" s="26" t="s">
        <v>1222</v>
      </c>
      <c r="S34" s="26"/>
      <c r="T34" s="26" t="s">
        <v>1092</v>
      </c>
      <c r="U34" s="41"/>
      <c r="V34" s="26" t="s">
        <v>981</v>
      </c>
      <c r="W34" s="26"/>
      <c r="X34" s="26" t="s">
        <v>1260</v>
      </c>
      <c r="Y34" s="41">
        <v>46287</v>
      </c>
      <c r="Z34" s="31">
        <f>COUNTIFS(tbl_aplicabilidade[ID_Req],A34,tbl_aplicabilidade[Aplicavel],"Sim")</f>
        <v>6</v>
      </c>
      <c r="AA34" s="31">
        <f>COUNTIFS(tbl_aplicabilidade[ID_Req],A34,tbl_aplicabilidade[Estado_Resumo],"Conforme")+COUNTIFS(tbl_aplicabilidade[ID_Req],A34,tbl_aplicabilidade[Estado_Resumo],"Isento")</f>
        <v>6</v>
      </c>
      <c r="AB34" s="33" t="str">
        <f t="shared" si="0"/>
        <v>OK</v>
      </c>
    </row>
    <row r="35" spans="1:28" ht="70.05" customHeight="1" x14ac:dyDescent="0.3">
      <c r="A35" s="26" t="s">
        <v>1261</v>
      </c>
      <c r="B35" s="26" t="s">
        <v>1253</v>
      </c>
      <c r="C35" s="26" t="s">
        <v>1262</v>
      </c>
      <c r="D35" s="26" t="s">
        <v>1140</v>
      </c>
      <c r="E35" s="26" t="s">
        <v>1263</v>
      </c>
      <c r="F35" s="26" t="s">
        <v>1264</v>
      </c>
      <c r="G35" s="26" t="s">
        <v>1218</v>
      </c>
      <c r="H35" s="26" t="s">
        <v>1140</v>
      </c>
      <c r="I35" s="26" t="s">
        <v>973</v>
      </c>
      <c r="J35" s="26" t="s">
        <v>1141</v>
      </c>
      <c r="K35" s="41">
        <v>44589</v>
      </c>
      <c r="L35" s="26" t="s">
        <v>904</v>
      </c>
      <c r="M35" s="26" t="s">
        <v>1265</v>
      </c>
      <c r="N35" s="26" t="s">
        <v>976</v>
      </c>
      <c r="O35" s="26" t="s">
        <v>1003</v>
      </c>
      <c r="P35" s="26" t="s">
        <v>1143</v>
      </c>
      <c r="Q35" s="26" t="s">
        <v>1074</v>
      </c>
      <c r="R35" s="26"/>
      <c r="S35" s="26"/>
      <c r="T35" s="26" t="s">
        <v>1092</v>
      </c>
      <c r="U35" s="41"/>
      <c r="V35" s="26" t="s">
        <v>981</v>
      </c>
      <c r="W35" s="26" t="s">
        <v>1266</v>
      </c>
      <c r="X35" s="26" t="s">
        <v>1267</v>
      </c>
      <c r="Y35" s="41">
        <v>46287</v>
      </c>
      <c r="Z35" s="31">
        <f>COUNTIFS(tbl_aplicabilidade[ID_Req],A35,tbl_aplicabilidade[Aplicavel],"Sim")</f>
        <v>0</v>
      </c>
      <c r="AA35" s="31">
        <f>COUNTIFS(tbl_aplicabilidade[ID_Req],A35,tbl_aplicabilidade[Estado_Resumo],"Conforme")+COUNTIFS(tbl_aplicabilidade[ID_Req],A35,tbl_aplicabilidade[Estado_Resumo],"Isento")</f>
        <v>0</v>
      </c>
      <c r="AB35" s="33" t="str">
        <f t="shared" si="0"/>
        <v>OK</v>
      </c>
    </row>
    <row r="36" spans="1:28" ht="70.05" customHeight="1" x14ac:dyDescent="0.3">
      <c r="A36" s="26" t="s">
        <v>1268</v>
      </c>
      <c r="B36" s="26" t="s">
        <v>1253</v>
      </c>
      <c r="C36" s="26" t="s">
        <v>1269</v>
      </c>
      <c r="D36" s="26" t="s">
        <v>1270</v>
      </c>
      <c r="E36" s="26" t="s">
        <v>1271</v>
      </c>
      <c r="F36" s="26" t="s">
        <v>1272</v>
      </c>
      <c r="G36" s="26" t="s">
        <v>1218</v>
      </c>
      <c r="H36" s="26" t="s">
        <v>1273</v>
      </c>
      <c r="I36" s="26" t="s">
        <v>989</v>
      </c>
      <c r="J36" s="26" t="s">
        <v>857</v>
      </c>
      <c r="K36" s="41">
        <v>43505</v>
      </c>
      <c r="L36" s="26" t="s">
        <v>1045</v>
      </c>
      <c r="M36" s="26" t="s">
        <v>1274</v>
      </c>
      <c r="N36" s="26" t="s">
        <v>976</v>
      </c>
      <c r="O36" s="26" t="s">
        <v>1048</v>
      </c>
      <c r="P36" s="26" t="s">
        <v>1033</v>
      </c>
      <c r="Q36" s="26" t="s">
        <v>1014</v>
      </c>
      <c r="R36" s="26" t="s">
        <v>1222</v>
      </c>
      <c r="S36" s="26"/>
      <c r="T36" s="26" t="s">
        <v>1092</v>
      </c>
      <c r="U36" s="41"/>
      <c r="V36" s="26" t="s">
        <v>981</v>
      </c>
      <c r="W36" s="26"/>
      <c r="X36" s="26" t="s">
        <v>1275</v>
      </c>
      <c r="Y36" s="41">
        <v>46287</v>
      </c>
      <c r="Z36" s="31">
        <f>COUNTIFS(tbl_aplicabilidade[ID_Req],A36,tbl_aplicabilidade[Aplicavel],"Sim")</f>
        <v>4</v>
      </c>
      <c r="AA36" s="31">
        <f>COUNTIFS(tbl_aplicabilidade[ID_Req],A36,tbl_aplicabilidade[Estado_Resumo],"Conforme")+COUNTIFS(tbl_aplicabilidade[ID_Req],A36,tbl_aplicabilidade[Estado_Resumo],"Isento")</f>
        <v>4</v>
      </c>
      <c r="AB36" s="33" t="str">
        <f t="shared" si="0"/>
        <v>OK</v>
      </c>
    </row>
    <row r="37" spans="1:28" ht="70.05" customHeight="1" x14ac:dyDescent="0.3">
      <c r="A37" s="26" t="s">
        <v>1276</v>
      </c>
      <c r="B37" s="26" t="s">
        <v>1253</v>
      </c>
      <c r="C37" s="26" t="s">
        <v>1277</v>
      </c>
      <c r="D37" s="26" t="s">
        <v>1278</v>
      </c>
      <c r="E37" s="26" t="s">
        <v>1279</v>
      </c>
      <c r="F37" s="26" t="s">
        <v>1280</v>
      </c>
      <c r="G37" s="26" t="s">
        <v>1218</v>
      </c>
      <c r="H37" s="26" t="s">
        <v>1281</v>
      </c>
      <c r="I37" s="26" t="s">
        <v>973</v>
      </c>
      <c r="J37" s="26" t="s">
        <v>857</v>
      </c>
      <c r="K37" s="41">
        <v>41334</v>
      </c>
      <c r="L37" s="26" t="s">
        <v>901</v>
      </c>
      <c r="M37" s="26" t="s">
        <v>1282</v>
      </c>
      <c r="N37" s="26" t="s">
        <v>1238</v>
      </c>
      <c r="O37" s="26" t="s">
        <v>1283</v>
      </c>
      <c r="P37" s="26" t="s">
        <v>1033</v>
      </c>
      <c r="Q37" s="26" t="s">
        <v>1014</v>
      </c>
      <c r="R37" s="26" t="s">
        <v>1222</v>
      </c>
      <c r="S37" s="26"/>
      <c r="T37" s="26" t="s">
        <v>1092</v>
      </c>
      <c r="U37" s="41"/>
      <c r="V37" s="26" t="s">
        <v>981</v>
      </c>
      <c r="W37" s="26"/>
      <c r="X37" s="26" t="s">
        <v>1284</v>
      </c>
      <c r="Y37" s="41">
        <v>46287</v>
      </c>
      <c r="Z37" s="31">
        <f>COUNTIFS(tbl_aplicabilidade[ID_Req],A37,tbl_aplicabilidade[Aplicavel],"Sim")</f>
        <v>0</v>
      </c>
      <c r="AA37" s="31">
        <f>COUNTIFS(tbl_aplicabilidade[ID_Req],A37,tbl_aplicabilidade[Estado_Resumo],"Conforme")+COUNTIFS(tbl_aplicabilidade[ID_Req],A37,tbl_aplicabilidade[Estado_Resumo],"Isento")</f>
        <v>0</v>
      </c>
      <c r="AB37" s="33" t="str">
        <f t="shared" ref="AB37:AB59" si="1">IF(AND(OR(P37="Lacuna",P37="Parcial"),S37=""),"Lacuna sem ação",IF(AND(U37&lt;&gt;"",U37&lt;DataRef,P37&lt;&gt;"Conforme"),"Prazo vencido",IF(G37="Necessita verificação","Confirmar aplicabilidade","OK")))</f>
        <v>OK</v>
      </c>
    </row>
    <row r="38" spans="1:28" ht="70.05" customHeight="1" x14ac:dyDescent="0.3">
      <c r="A38" s="26" t="s">
        <v>1285</v>
      </c>
      <c r="B38" s="26" t="s">
        <v>1253</v>
      </c>
      <c r="C38" s="26" t="s">
        <v>1286</v>
      </c>
      <c r="D38" s="26" t="s">
        <v>1287</v>
      </c>
      <c r="E38" s="26" t="s">
        <v>1288</v>
      </c>
      <c r="F38" s="26" t="s">
        <v>1289</v>
      </c>
      <c r="G38" s="26" t="s">
        <v>1235</v>
      </c>
      <c r="H38" s="26" t="s">
        <v>1258</v>
      </c>
      <c r="I38" s="26" t="s">
        <v>989</v>
      </c>
      <c r="J38" s="26" t="s">
        <v>857</v>
      </c>
      <c r="K38" s="41">
        <v>38687</v>
      </c>
      <c r="L38" s="26" t="s">
        <v>901</v>
      </c>
      <c r="M38" s="26" t="s">
        <v>1290</v>
      </c>
      <c r="N38" s="26" t="s">
        <v>976</v>
      </c>
      <c r="O38" s="26" t="s">
        <v>1003</v>
      </c>
      <c r="P38" s="26" t="s">
        <v>978</v>
      </c>
      <c r="Q38" s="26" t="s">
        <v>979</v>
      </c>
      <c r="R38" s="26" t="s">
        <v>1222</v>
      </c>
      <c r="S38" s="26"/>
      <c r="T38" s="26" t="s">
        <v>1092</v>
      </c>
      <c r="U38" s="41">
        <v>46387</v>
      </c>
      <c r="V38" s="26" t="s">
        <v>981</v>
      </c>
      <c r="W38" s="26" t="s">
        <v>1291</v>
      </c>
      <c r="X38" s="26" t="s">
        <v>1292</v>
      </c>
      <c r="Y38" s="41">
        <v>46287</v>
      </c>
      <c r="Z38" s="31">
        <f>COUNTIFS(tbl_aplicabilidade[ID_Req],A38,tbl_aplicabilidade[Aplicavel],"Sim")</f>
        <v>6</v>
      </c>
      <c r="AA38" s="31">
        <f>COUNTIFS(tbl_aplicabilidade[ID_Req],A38,tbl_aplicabilidade[Estado_Resumo],"Conforme")+COUNTIFS(tbl_aplicabilidade[ID_Req],A38,tbl_aplicabilidade[Estado_Resumo],"Isento")</f>
        <v>0</v>
      </c>
      <c r="AB38" s="33" t="str">
        <f t="shared" si="1"/>
        <v>Lacuna sem ação</v>
      </c>
    </row>
    <row r="39" spans="1:28" ht="70.05" customHeight="1" x14ac:dyDescent="0.3">
      <c r="A39" s="26" t="s">
        <v>1293</v>
      </c>
      <c r="B39" s="26" t="s">
        <v>1253</v>
      </c>
      <c r="C39" s="26" t="s">
        <v>1294</v>
      </c>
      <c r="D39" s="26" t="s">
        <v>1295</v>
      </c>
      <c r="E39" s="26" t="s">
        <v>1296</v>
      </c>
      <c r="F39" s="26" t="s">
        <v>1297</v>
      </c>
      <c r="G39" s="26" t="s">
        <v>971</v>
      </c>
      <c r="H39" s="26" t="s">
        <v>988</v>
      </c>
      <c r="I39" s="26" t="s">
        <v>989</v>
      </c>
      <c r="J39" s="26" t="s">
        <v>857</v>
      </c>
      <c r="K39" s="41">
        <v>46246</v>
      </c>
      <c r="L39" s="26" t="s">
        <v>901</v>
      </c>
      <c r="M39" s="26" t="s">
        <v>1298</v>
      </c>
      <c r="N39" s="26" t="s">
        <v>976</v>
      </c>
      <c r="O39" s="26" t="s">
        <v>1003</v>
      </c>
      <c r="P39" s="26" t="s">
        <v>978</v>
      </c>
      <c r="Q39" s="26" t="s">
        <v>1014</v>
      </c>
      <c r="R39" s="26" t="s">
        <v>980</v>
      </c>
      <c r="S39" s="26" t="s">
        <v>906</v>
      </c>
      <c r="T39" s="26" t="s">
        <v>596</v>
      </c>
      <c r="U39" s="41">
        <v>46387</v>
      </c>
      <c r="V39" s="26" t="s">
        <v>981</v>
      </c>
      <c r="W39" s="26" t="s">
        <v>1299</v>
      </c>
      <c r="X39" s="26" t="s">
        <v>983</v>
      </c>
      <c r="Y39" s="41">
        <v>46287</v>
      </c>
      <c r="Z39" s="31">
        <f>COUNTIFS(tbl_aplicabilidade[ID_Req],A39,tbl_aplicabilidade[Aplicavel],"Sim")</f>
        <v>6</v>
      </c>
      <c r="AA39" s="31">
        <f>COUNTIFS(tbl_aplicabilidade[ID_Req],A39,tbl_aplicabilidade[Estado_Resumo],"Conforme")+COUNTIFS(tbl_aplicabilidade[ID_Req],A39,tbl_aplicabilidade[Estado_Resumo],"Isento")</f>
        <v>0</v>
      </c>
      <c r="AB39" s="33" t="str">
        <f t="shared" si="1"/>
        <v>OK</v>
      </c>
    </row>
    <row r="40" spans="1:28" ht="70.05" customHeight="1" x14ac:dyDescent="0.3">
      <c r="A40" s="26" t="s">
        <v>1300</v>
      </c>
      <c r="B40" s="26" t="s">
        <v>1301</v>
      </c>
      <c r="C40" s="26" t="s">
        <v>1302</v>
      </c>
      <c r="D40" s="26" t="s">
        <v>1303</v>
      </c>
      <c r="E40" s="26" t="s">
        <v>1304</v>
      </c>
      <c r="F40" s="26" t="s">
        <v>1305</v>
      </c>
      <c r="G40" s="26" t="s">
        <v>1306</v>
      </c>
      <c r="H40" s="26" t="s">
        <v>1307</v>
      </c>
      <c r="I40" s="26" t="s">
        <v>973</v>
      </c>
      <c r="J40" s="26" t="s">
        <v>973</v>
      </c>
      <c r="K40" s="41">
        <v>46023</v>
      </c>
      <c r="L40" s="26" t="s">
        <v>901</v>
      </c>
      <c r="M40" s="26" t="s">
        <v>1308</v>
      </c>
      <c r="N40" s="26" t="s">
        <v>1309</v>
      </c>
      <c r="O40" s="26" t="s">
        <v>1003</v>
      </c>
      <c r="P40" s="26" t="s">
        <v>1033</v>
      </c>
      <c r="Q40" s="26" t="s">
        <v>1074</v>
      </c>
      <c r="R40" s="26" t="s">
        <v>1310</v>
      </c>
      <c r="S40" s="26"/>
      <c r="T40" s="26" t="s">
        <v>1035</v>
      </c>
      <c r="U40" s="41"/>
      <c r="V40" s="26" t="s">
        <v>1144</v>
      </c>
      <c r="W40" s="26" t="s">
        <v>1311</v>
      </c>
      <c r="X40" s="26" t="s">
        <v>1312</v>
      </c>
      <c r="Y40" s="41">
        <v>46287</v>
      </c>
      <c r="Z40" s="31">
        <f>COUNTIFS(tbl_aplicabilidade[ID_Req],A40,tbl_aplicabilidade[Aplicavel],"Sim")</f>
        <v>0</v>
      </c>
      <c r="AA40" s="31">
        <f>COUNTIFS(tbl_aplicabilidade[ID_Req],A40,tbl_aplicabilidade[Estado_Resumo],"Conforme")+COUNTIFS(tbl_aplicabilidade[ID_Req],A40,tbl_aplicabilidade[Estado_Resumo],"Isento")</f>
        <v>0</v>
      </c>
      <c r="AB40" s="33" t="str">
        <f t="shared" si="1"/>
        <v>OK</v>
      </c>
    </row>
    <row r="41" spans="1:28" ht="70.05" customHeight="1" x14ac:dyDescent="0.3">
      <c r="A41" s="26" t="s">
        <v>1313</v>
      </c>
      <c r="B41" s="26" t="s">
        <v>1301</v>
      </c>
      <c r="C41" s="26" t="s">
        <v>1314</v>
      </c>
      <c r="D41" s="26" t="s">
        <v>1140</v>
      </c>
      <c r="E41" s="26" t="s">
        <v>1315</v>
      </c>
      <c r="F41" s="26" t="s">
        <v>1316</v>
      </c>
      <c r="G41" s="26" t="s">
        <v>1235</v>
      </c>
      <c r="H41" s="26" t="s">
        <v>1140</v>
      </c>
      <c r="I41" s="26" t="s">
        <v>973</v>
      </c>
      <c r="J41" s="26" t="s">
        <v>974</v>
      </c>
      <c r="K41" s="41">
        <v>38899</v>
      </c>
      <c r="L41" s="26" t="s">
        <v>1045</v>
      </c>
      <c r="M41" s="26" t="s">
        <v>1317</v>
      </c>
      <c r="N41" s="26" t="s">
        <v>1318</v>
      </c>
      <c r="O41" s="26" t="s">
        <v>1048</v>
      </c>
      <c r="P41" s="26" t="s">
        <v>978</v>
      </c>
      <c r="Q41" s="26" t="s">
        <v>1074</v>
      </c>
      <c r="R41" s="26" t="s">
        <v>1310</v>
      </c>
      <c r="S41" s="26"/>
      <c r="T41" s="26" t="s">
        <v>596</v>
      </c>
      <c r="U41" s="41"/>
      <c r="V41" s="26" t="s">
        <v>995</v>
      </c>
      <c r="W41" s="26" t="s">
        <v>1319</v>
      </c>
      <c r="X41" s="26"/>
      <c r="Y41" s="41">
        <v>46287</v>
      </c>
      <c r="Z41" s="31">
        <f>COUNTIFS(tbl_aplicabilidade[ID_Req],A41,tbl_aplicabilidade[Aplicavel],"Sim")</f>
        <v>0</v>
      </c>
      <c r="AA41" s="31">
        <f>COUNTIFS(tbl_aplicabilidade[ID_Req],A41,tbl_aplicabilidade[Estado_Resumo],"Conforme")+COUNTIFS(tbl_aplicabilidade[ID_Req],A41,tbl_aplicabilidade[Estado_Resumo],"Isento")</f>
        <v>0</v>
      </c>
      <c r="AB41" s="33" t="str">
        <f t="shared" si="1"/>
        <v>Lacuna sem ação</v>
      </c>
    </row>
    <row r="42" spans="1:28" ht="70.05" customHeight="1" x14ac:dyDescent="0.3">
      <c r="A42" s="26" t="s">
        <v>1320</v>
      </c>
      <c r="B42" s="26" t="s">
        <v>1301</v>
      </c>
      <c r="C42" s="26" t="s">
        <v>1321</v>
      </c>
      <c r="D42" s="26" t="s">
        <v>1140</v>
      </c>
      <c r="E42" s="26" t="s">
        <v>1322</v>
      </c>
      <c r="F42" s="26" t="s">
        <v>1323</v>
      </c>
      <c r="G42" s="26" t="s">
        <v>1235</v>
      </c>
      <c r="H42" s="26" t="s">
        <v>1140</v>
      </c>
      <c r="I42" s="26" t="s">
        <v>973</v>
      </c>
      <c r="J42" s="26" t="s">
        <v>974</v>
      </c>
      <c r="K42" s="41">
        <v>38899</v>
      </c>
      <c r="L42" s="26" t="s">
        <v>1045</v>
      </c>
      <c r="M42" s="26" t="s">
        <v>1324</v>
      </c>
      <c r="N42" s="26" t="s">
        <v>1318</v>
      </c>
      <c r="O42" s="26" t="s">
        <v>1048</v>
      </c>
      <c r="P42" s="26" t="s">
        <v>978</v>
      </c>
      <c r="Q42" s="26" t="s">
        <v>1074</v>
      </c>
      <c r="R42" s="26" t="s">
        <v>1310</v>
      </c>
      <c r="S42" s="26"/>
      <c r="T42" s="26" t="s">
        <v>596</v>
      </c>
      <c r="U42" s="41"/>
      <c r="V42" s="26" t="s">
        <v>995</v>
      </c>
      <c r="W42" s="26" t="s">
        <v>1325</v>
      </c>
      <c r="X42" s="26"/>
      <c r="Y42" s="41">
        <v>46287</v>
      </c>
      <c r="Z42" s="31">
        <f>COUNTIFS(tbl_aplicabilidade[ID_Req],A42,tbl_aplicabilidade[Aplicavel],"Sim")</f>
        <v>0</v>
      </c>
      <c r="AA42" s="31">
        <f>COUNTIFS(tbl_aplicabilidade[ID_Req],A42,tbl_aplicabilidade[Estado_Resumo],"Conforme")+COUNTIFS(tbl_aplicabilidade[ID_Req],A42,tbl_aplicabilidade[Estado_Resumo],"Isento")</f>
        <v>0</v>
      </c>
      <c r="AB42" s="33" t="str">
        <f t="shared" si="1"/>
        <v>Lacuna sem ação</v>
      </c>
    </row>
    <row r="43" spans="1:28" ht="70.05" customHeight="1" x14ac:dyDescent="0.3">
      <c r="A43" s="26" t="s">
        <v>1326</v>
      </c>
      <c r="B43" s="26" t="s">
        <v>1301</v>
      </c>
      <c r="C43" s="26" t="s">
        <v>1327</v>
      </c>
      <c r="D43" s="26" t="s">
        <v>1328</v>
      </c>
      <c r="E43" s="26" t="s">
        <v>1329</v>
      </c>
      <c r="F43" s="26" t="s">
        <v>1330</v>
      </c>
      <c r="G43" s="26" t="s">
        <v>1235</v>
      </c>
      <c r="H43" s="26" t="s">
        <v>1331</v>
      </c>
      <c r="I43" s="26" t="s">
        <v>973</v>
      </c>
      <c r="J43" s="26" t="s">
        <v>974</v>
      </c>
      <c r="K43" s="41">
        <v>42444</v>
      </c>
      <c r="L43" s="26" t="s">
        <v>901</v>
      </c>
      <c r="M43" s="26" t="s">
        <v>1154</v>
      </c>
      <c r="N43" s="26" t="s">
        <v>1332</v>
      </c>
      <c r="O43" s="26" t="s">
        <v>977</v>
      </c>
      <c r="P43" s="26" t="s">
        <v>978</v>
      </c>
      <c r="Q43" s="26" t="s">
        <v>1014</v>
      </c>
      <c r="R43" s="26" t="s">
        <v>1310</v>
      </c>
      <c r="S43" s="26" t="s">
        <v>1157</v>
      </c>
      <c r="T43" s="26" t="s">
        <v>596</v>
      </c>
      <c r="U43" s="41"/>
      <c r="V43" s="26" t="s">
        <v>995</v>
      </c>
      <c r="W43" s="26" t="s">
        <v>1333</v>
      </c>
      <c r="X43" s="26"/>
      <c r="Y43" s="41">
        <v>46287</v>
      </c>
      <c r="Z43" s="31">
        <f>COUNTIFS(tbl_aplicabilidade[ID_Req],A43,tbl_aplicabilidade[Aplicavel],"Sim")</f>
        <v>0</v>
      </c>
      <c r="AA43" s="31">
        <f>COUNTIFS(tbl_aplicabilidade[ID_Req],A43,tbl_aplicabilidade[Estado_Resumo],"Conforme")+COUNTIFS(tbl_aplicabilidade[ID_Req],A43,tbl_aplicabilidade[Estado_Resumo],"Isento")</f>
        <v>0</v>
      </c>
      <c r="AB43" s="33" t="str">
        <f t="shared" si="1"/>
        <v>OK</v>
      </c>
    </row>
    <row r="44" spans="1:28" ht="70.05" customHeight="1" x14ac:dyDescent="0.3">
      <c r="A44" s="26" t="s">
        <v>1334</v>
      </c>
      <c r="B44" s="26" t="s">
        <v>1301</v>
      </c>
      <c r="C44" s="26" t="s">
        <v>1335</v>
      </c>
      <c r="D44" s="26" t="s">
        <v>1140</v>
      </c>
      <c r="E44" s="26" t="s">
        <v>1336</v>
      </c>
      <c r="F44" s="26" t="s">
        <v>1337</v>
      </c>
      <c r="G44" s="26" t="s">
        <v>1306</v>
      </c>
      <c r="H44" s="26" t="s">
        <v>1140</v>
      </c>
      <c r="I44" s="26" t="s">
        <v>973</v>
      </c>
      <c r="J44" s="26" t="s">
        <v>1141</v>
      </c>
      <c r="K44" s="41">
        <v>43282</v>
      </c>
      <c r="L44" s="26" t="s">
        <v>904</v>
      </c>
      <c r="M44" s="26" t="s">
        <v>1140</v>
      </c>
      <c r="N44" s="26" t="s">
        <v>1140</v>
      </c>
      <c r="O44" s="26" t="s">
        <v>1048</v>
      </c>
      <c r="P44" s="26" t="s">
        <v>1143</v>
      </c>
      <c r="Q44" s="26" t="s">
        <v>1074</v>
      </c>
      <c r="R44" s="26"/>
      <c r="S44" s="26"/>
      <c r="T44" s="26" t="s">
        <v>596</v>
      </c>
      <c r="U44" s="41"/>
      <c r="V44" s="26" t="s">
        <v>981</v>
      </c>
      <c r="W44" s="26" t="s">
        <v>1338</v>
      </c>
      <c r="X44" s="26"/>
      <c r="Y44" s="41">
        <v>46287</v>
      </c>
      <c r="Z44" s="31">
        <f>COUNTIFS(tbl_aplicabilidade[ID_Req],A44,tbl_aplicabilidade[Aplicavel],"Sim")</f>
        <v>0</v>
      </c>
      <c r="AA44" s="31">
        <f>COUNTIFS(tbl_aplicabilidade[ID_Req],A44,tbl_aplicabilidade[Estado_Resumo],"Conforme")+COUNTIFS(tbl_aplicabilidade[ID_Req],A44,tbl_aplicabilidade[Estado_Resumo],"Isento")</f>
        <v>0</v>
      </c>
      <c r="AB44" s="33" t="str">
        <f t="shared" si="1"/>
        <v>OK</v>
      </c>
    </row>
    <row r="45" spans="1:28" ht="70.05" customHeight="1" x14ac:dyDescent="0.3">
      <c r="A45" s="26" t="s">
        <v>1339</v>
      </c>
      <c r="B45" s="26" t="s">
        <v>1301</v>
      </c>
      <c r="C45" s="26" t="s">
        <v>1340</v>
      </c>
      <c r="D45" s="26" t="s">
        <v>1140</v>
      </c>
      <c r="E45" s="26" t="s">
        <v>1341</v>
      </c>
      <c r="F45" s="26" t="s">
        <v>1342</v>
      </c>
      <c r="G45" s="26" t="s">
        <v>1306</v>
      </c>
      <c r="H45" s="26" t="s">
        <v>1140</v>
      </c>
      <c r="I45" s="26" t="s">
        <v>973</v>
      </c>
      <c r="J45" s="26" t="s">
        <v>974</v>
      </c>
      <c r="K45" s="41">
        <v>38899</v>
      </c>
      <c r="L45" s="26" t="s">
        <v>1045</v>
      </c>
      <c r="M45" s="26" t="s">
        <v>1140</v>
      </c>
      <c r="N45" s="26" t="s">
        <v>1140</v>
      </c>
      <c r="O45" s="26" t="s">
        <v>1048</v>
      </c>
      <c r="P45" s="26" t="s">
        <v>1143</v>
      </c>
      <c r="Q45" s="26" t="s">
        <v>1074</v>
      </c>
      <c r="R45" s="26"/>
      <c r="S45" s="26"/>
      <c r="T45" s="26" t="s">
        <v>596</v>
      </c>
      <c r="U45" s="41"/>
      <c r="V45" s="26" t="s">
        <v>981</v>
      </c>
      <c r="W45" s="26" t="s">
        <v>1343</v>
      </c>
      <c r="X45" s="26"/>
      <c r="Y45" s="41">
        <v>46287</v>
      </c>
      <c r="Z45" s="31">
        <f>COUNTIFS(tbl_aplicabilidade[ID_Req],A45,tbl_aplicabilidade[Aplicavel],"Sim")</f>
        <v>0</v>
      </c>
      <c r="AA45" s="31">
        <f>COUNTIFS(tbl_aplicabilidade[ID_Req],A45,tbl_aplicabilidade[Estado_Resumo],"Conforme")+COUNTIFS(tbl_aplicabilidade[ID_Req],A45,tbl_aplicabilidade[Estado_Resumo],"Isento")</f>
        <v>0</v>
      </c>
      <c r="AB45" s="33" t="str">
        <f t="shared" si="1"/>
        <v>OK</v>
      </c>
    </row>
    <row r="46" spans="1:28" ht="70.05" customHeight="1" x14ac:dyDescent="0.3">
      <c r="A46" s="26" t="s">
        <v>1344</v>
      </c>
      <c r="B46" s="26" t="s">
        <v>1301</v>
      </c>
      <c r="C46" s="26" t="s">
        <v>1345</v>
      </c>
      <c r="D46" s="26" t="s">
        <v>1140</v>
      </c>
      <c r="E46" s="26" t="s">
        <v>1346</v>
      </c>
      <c r="F46" s="26" t="s">
        <v>1347</v>
      </c>
      <c r="G46" s="26" t="s">
        <v>1235</v>
      </c>
      <c r="H46" s="26" t="s">
        <v>1140</v>
      </c>
      <c r="I46" s="26" t="s">
        <v>973</v>
      </c>
      <c r="J46" s="26" t="s">
        <v>974</v>
      </c>
      <c r="K46" s="41">
        <v>43313</v>
      </c>
      <c r="L46" s="26" t="s">
        <v>901</v>
      </c>
      <c r="M46" s="26" t="s">
        <v>1324</v>
      </c>
      <c r="N46" s="26" t="s">
        <v>1348</v>
      </c>
      <c r="O46" s="26" t="s">
        <v>1003</v>
      </c>
      <c r="P46" s="26" t="s">
        <v>978</v>
      </c>
      <c r="Q46" s="26" t="s">
        <v>1014</v>
      </c>
      <c r="R46" s="26" t="s">
        <v>1310</v>
      </c>
      <c r="S46" s="26"/>
      <c r="T46" s="26" t="s">
        <v>1035</v>
      </c>
      <c r="U46" s="41"/>
      <c r="V46" s="26" t="s">
        <v>981</v>
      </c>
      <c r="W46" s="26" t="s">
        <v>1349</v>
      </c>
      <c r="X46" s="26"/>
      <c r="Y46" s="41">
        <v>46287</v>
      </c>
      <c r="Z46" s="31">
        <f>COUNTIFS(tbl_aplicabilidade[ID_Req],A46,tbl_aplicabilidade[Aplicavel],"Sim")</f>
        <v>0</v>
      </c>
      <c r="AA46" s="31">
        <f>COUNTIFS(tbl_aplicabilidade[ID_Req],A46,tbl_aplicabilidade[Estado_Resumo],"Conforme")+COUNTIFS(tbl_aplicabilidade[ID_Req],A46,tbl_aplicabilidade[Estado_Resumo],"Isento")</f>
        <v>0</v>
      </c>
      <c r="AB46" s="33" t="str">
        <f t="shared" si="1"/>
        <v>Lacuna sem ação</v>
      </c>
    </row>
    <row r="47" spans="1:28" ht="70.05" customHeight="1" x14ac:dyDescent="0.3">
      <c r="A47" s="26" t="s">
        <v>1350</v>
      </c>
      <c r="B47" s="26" t="s">
        <v>1301</v>
      </c>
      <c r="C47" s="26" t="s">
        <v>1351</v>
      </c>
      <c r="D47" s="26" t="s">
        <v>1140</v>
      </c>
      <c r="E47" s="26" t="s">
        <v>1352</v>
      </c>
      <c r="F47" s="26" t="s">
        <v>1353</v>
      </c>
      <c r="G47" s="26" t="s">
        <v>1235</v>
      </c>
      <c r="H47" s="26" t="s">
        <v>1354</v>
      </c>
      <c r="I47" s="26" t="s">
        <v>973</v>
      </c>
      <c r="J47" s="26" t="s">
        <v>973</v>
      </c>
      <c r="K47" s="41">
        <v>39600</v>
      </c>
      <c r="L47" s="26" t="s">
        <v>901</v>
      </c>
      <c r="M47" s="26" t="s">
        <v>1355</v>
      </c>
      <c r="N47" s="26" t="s">
        <v>976</v>
      </c>
      <c r="O47" s="26" t="s">
        <v>1003</v>
      </c>
      <c r="P47" s="26" t="s">
        <v>1033</v>
      </c>
      <c r="Q47" s="26" t="s">
        <v>1074</v>
      </c>
      <c r="R47" s="26" t="s">
        <v>1310</v>
      </c>
      <c r="S47" s="26" t="s">
        <v>1356</v>
      </c>
      <c r="T47" s="26" t="s">
        <v>1035</v>
      </c>
      <c r="U47" s="41"/>
      <c r="V47" s="26" t="s">
        <v>981</v>
      </c>
      <c r="W47" s="26"/>
      <c r="X47" s="26"/>
      <c r="Y47" s="41">
        <v>46287</v>
      </c>
      <c r="Z47" s="31">
        <f>COUNTIFS(tbl_aplicabilidade[ID_Req],A47,tbl_aplicabilidade[Aplicavel],"Sim")</f>
        <v>0</v>
      </c>
      <c r="AA47" s="31">
        <f>COUNTIFS(tbl_aplicabilidade[ID_Req],A47,tbl_aplicabilidade[Estado_Resumo],"Conforme")+COUNTIFS(tbl_aplicabilidade[ID_Req],A47,tbl_aplicabilidade[Estado_Resumo],"Isento")</f>
        <v>0</v>
      </c>
      <c r="AB47" s="33" t="str">
        <f t="shared" si="1"/>
        <v>OK</v>
      </c>
    </row>
    <row r="48" spans="1:28" ht="70.05" customHeight="1" x14ac:dyDescent="0.3">
      <c r="A48" s="26" t="s">
        <v>1357</v>
      </c>
      <c r="B48" s="26" t="s">
        <v>1301</v>
      </c>
      <c r="C48" s="26" t="s">
        <v>1358</v>
      </c>
      <c r="D48" s="26" t="s">
        <v>1140</v>
      </c>
      <c r="E48" s="26" t="s">
        <v>1359</v>
      </c>
      <c r="F48" s="26" t="s">
        <v>1360</v>
      </c>
      <c r="G48" s="26" t="s">
        <v>1235</v>
      </c>
      <c r="H48" s="26" t="s">
        <v>1361</v>
      </c>
      <c r="I48" s="26" t="s">
        <v>989</v>
      </c>
      <c r="J48" s="26" t="s">
        <v>974</v>
      </c>
      <c r="K48" s="41">
        <v>42430</v>
      </c>
      <c r="L48" s="26" t="s">
        <v>901</v>
      </c>
      <c r="M48" s="26" t="s">
        <v>1362</v>
      </c>
      <c r="N48" s="26" t="s">
        <v>1363</v>
      </c>
      <c r="O48" s="26" t="s">
        <v>1048</v>
      </c>
      <c r="P48" s="26" t="s">
        <v>978</v>
      </c>
      <c r="Q48" s="26" t="s">
        <v>1074</v>
      </c>
      <c r="R48" s="26" t="s">
        <v>1310</v>
      </c>
      <c r="S48" s="26"/>
      <c r="T48" s="26" t="s">
        <v>596</v>
      </c>
      <c r="U48" s="41"/>
      <c r="V48" s="26" t="s">
        <v>995</v>
      </c>
      <c r="W48" s="26" t="s">
        <v>1364</v>
      </c>
      <c r="X48" s="26"/>
      <c r="Y48" s="41">
        <v>46287</v>
      </c>
      <c r="Z48" s="31">
        <f>COUNTIFS(tbl_aplicabilidade[ID_Req],A48,tbl_aplicabilidade[Aplicavel],"Sim")</f>
        <v>113</v>
      </c>
      <c r="AA48" s="31">
        <f>COUNTIFS(tbl_aplicabilidade[ID_Req],A48,tbl_aplicabilidade[Estado_Resumo],"Conforme")+COUNTIFS(tbl_aplicabilidade[ID_Req],A48,tbl_aplicabilidade[Estado_Resumo],"Isento")</f>
        <v>0</v>
      </c>
      <c r="AB48" s="33" t="str">
        <f t="shared" si="1"/>
        <v>Lacuna sem ação</v>
      </c>
    </row>
    <row r="49" spans="1:28" ht="70.05" customHeight="1" x14ac:dyDescent="0.3">
      <c r="A49" s="26" t="s">
        <v>1365</v>
      </c>
      <c r="B49" s="26" t="s">
        <v>1301</v>
      </c>
      <c r="C49" s="26" t="s">
        <v>1366</v>
      </c>
      <c r="D49" s="26" t="s">
        <v>1140</v>
      </c>
      <c r="E49" s="26" t="s">
        <v>1367</v>
      </c>
      <c r="F49" s="26" t="s">
        <v>1368</v>
      </c>
      <c r="G49" s="26" t="s">
        <v>1235</v>
      </c>
      <c r="H49" s="26" t="s">
        <v>988</v>
      </c>
      <c r="I49" s="26" t="s">
        <v>973</v>
      </c>
      <c r="J49" s="26" t="s">
        <v>974</v>
      </c>
      <c r="K49" s="41">
        <v>41275</v>
      </c>
      <c r="L49" s="26" t="s">
        <v>901</v>
      </c>
      <c r="M49" s="26" t="s">
        <v>1369</v>
      </c>
      <c r="N49" s="26" t="s">
        <v>976</v>
      </c>
      <c r="O49" s="26" t="s">
        <v>1003</v>
      </c>
      <c r="P49" s="26" t="s">
        <v>978</v>
      </c>
      <c r="Q49" s="26" t="s">
        <v>1014</v>
      </c>
      <c r="R49" s="26" t="s">
        <v>1310</v>
      </c>
      <c r="S49" s="26"/>
      <c r="T49" s="26" t="s">
        <v>596</v>
      </c>
      <c r="U49" s="41"/>
      <c r="V49" s="26" t="s">
        <v>995</v>
      </c>
      <c r="W49" s="26" t="s">
        <v>1370</v>
      </c>
      <c r="X49" s="26"/>
      <c r="Y49" s="41">
        <v>46287</v>
      </c>
      <c r="Z49" s="31">
        <f>COUNTIFS(tbl_aplicabilidade[ID_Req],A49,tbl_aplicabilidade[Aplicavel],"Sim")</f>
        <v>0</v>
      </c>
      <c r="AA49" s="31">
        <f>COUNTIFS(tbl_aplicabilidade[ID_Req],A49,tbl_aplicabilidade[Estado_Resumo],"Conforme")+COUNTIFS(tbl_aplicabilidade[ID_Req],A49,tbl_aplicabilidade[Estado_Resumo],"Isento")</f>
        <v>0</v>
      </c>
      <c r="AB49" s="33" t="str">
        <f t="shared" si="1"/>
        <v>Lacuna sem ação</v>
      </c>
    </row>
    <row r="50" spans="1:28" ht="70.05" customHeight="1" x14ac:dyDescent="0.3">
      <c r="A50" s="26" t="s">
        <v>1371</v>
      </c>
      <c r="B50" s="26" t="s">
        <v>1301</v>
      </c>
      <c r="C50" s="26" t="s">
        <v>1372</v>
      </c>
      <c r="D50" s="26" t="s">
        <v>1140</v>
      </c>
      <c r="E50" s="26" t="s">
        <v>1373</v>
      </c>
      <c r="F50" s="26" t="s">
        <v>1374</v>
      </c>
      <c r="G50" s="26" t="s">
        <v>1235</v>
      </c>
      <c r="H50" s="26" t="s">
        <v>1375</v>
      </c>
      <c r="I50" s="26" t="s">
        <v>213</v>
      </c>
      <c r="J50" s="26" t="s">
        <v>1376</v>
      </c>
      <c r="K50" s="41">
        <v>44105</v>
      </c>
      <c r="L50" s="26" t="s">
        <v>901</v>
      </c>
      <c r="M50" s="26" t="s">
        <v>1377</v>
      </c>
      <c r="N50" s="26" t="s">
        <v>1378</v>
      </c>
      <c r="O50" s="26" t="s">
        <v>1003</v>
      </c>
      <c r="P50" s="26" t="s">
        <v>978</v>
      </c>
      <c r="Q50" s="26" t="s">
        <v>1014</v>
      </c>
      <c r="R50" s="26" t="s">
        <v>1310</v>
      </c>
      <c r="S50" s="26" t="s">
        <v>1004</v>
      </c>
      <c r="T50" s="26" t="s">
        <v>1005</v>
      </c>
      <c r="U50" s="41"/>
      <c r="V50" s="26" t="s">
        <v>981</v>
      </c>
      <c r="W50" s="26"/>
      <c r="X50" s="26"/>
      <c r="Y50" s="41">
        <v>46287</v>
      </c>
      <c r="Z50" s="31">
        <f>COUNTIFS(tbl_aplicabilidade[ID_Req],A50,tbl_aplicabilidade[Aplicavel],"Sim")</f>
        <v>0</v>
      </c>
      <c r="AA50" s="31">
        <f>COUNTIFS(tbl_aplicabilidade[ID_Req],A50,tbl_aplicabilidade[Estado_Resumo],"Conforme")+COUNTIFS(tbl_aplicabilidade[ID_Req],A50,tbl_aplicabilidade[Estado_Resumo],"Isento")</f>
        <v>0</v>
      </c>
      <c r="AB50" s="33" t="str">
        <f t="shared" si="1"/>
        <v>OK</v>
      </c>
    </row>
    <row r="51" spans="1:28" ht="70.05" customHeight="1" x14ac:dyDescent="0.3">
      <c r="A51" s="26" t="s">
        <v>1379</v>
      </c>
      <c r="B51" s="26" t="s">
        <v>1301</v>
      </c>
      <c r="C51" s="26" t="s">
        <v>1380</v>
      </c>
      <c r="D51" s="26" t="s">
        <v>1140</v>
      </c>
      <c r="E51" s="26" t="s">
        <v>1381</v>
      </c>
      <c r="F51" s="26" t="s">
        <v>1382</v>
      </c>
      <c r="G51" s="26" t="s">
        <v>1235</v>
      </c>
      <c r="H51" s="26" t="s">
        <v>1375</v>
      </c>
      <c r="I51" s="26" t="s">
        <v>213</v>
      </c>
      <c r="J51" s="26" t="s">
        <v>1376</v>
      </c>
      <c r="K51" s="41">
        <v>39387</v>
      </c>
      <c r="L51" s="26" t="s">
        <v>901</v>
      </c>
      <c r="M51" s="26" t="s">
        <v>1377</v>
      </c>
      <c r="N51" s="26" t="s">
        <v>1383</v>
      </c>
      <c r="O51" s="26" t="s">
        <v>1003</v>
      </c>
      <c r="P51" s="26" t="s">
        <v>978</v>
      </c>
      <c r="Q51" s="26" t="s">
        <v>979</v>
      </c>
      <c r="R51" s="26" t="s">
        <v>1310</v>
      </c>
      <c r="S51" s="26" t="s">
        <v>1004</v>
      </c>
      <c r="T51" s="26" t="s">
        <v>1005</v>
      </c>
      <c r="U51" s="41">
        <v>46387</v>
      </c>
      <c r="V51" s="26" t="s">
        <v>1084</v>
      </c>
      <c r="W51" s="26" t="s">
        <v>1384</v>
      </c>
      <c r="X51" s="26"/>
      <c r="Y51" s="41">
        <v>46287</v>
      </c>
      <c r="Z51" s="31">
        <f>COUNTIFS(tbl_aplicabilidade[ID_Req],A51,tbl_aplicabilidade[Aplicavel],"Sim")</f>
        <v>0</v>
      </c>
      <c r="AA51" s="31">
        <f>COUNTIFS(tbl_aplicabilidade[ID_Req],A51,tbl_aplicabilidade[Estado_Resumo],"Conforme")+COUNTIFS(tbl_aplicabilidade[ID_Req],A51,tbl_aplicabilidade[Estado_Resumo],"Isento")</f>
        <v>0</v>
      </c>
      <c r="AB51" s="33" t="str">
        <f t="shared" si="1"/>
        <v>OK</v>
      </c>
    </row>
    <row r="52" spans="1:28" ht="70.05" customHeight="1" x14ac:dyDescent="0.3">
      <c r="A52" s="26" t="s">
        <v>1385</v>
      </c>
      <c r="B52" s="26" t="s">
        <v>1301</v>
      </c>
      <c r="C52" s="26" t="s">
        <v>1386</v>
      </c>
      <c r="D52" s="26" t="s">
        <v>1140</v>
      </c>
      <c r="E52" s="26" t="s">
        <v>1387</v>
      </c>
      <c r="F52" s="26" t="s">
        <v>1388</v>
      </c>
      <c r="G52" s="26" t="s">
        <v>1306</v>
      </c>
      <c r="H52" s="26" t="s">
        <v>988</v>
      </c>
      <c r="I52" s="26" t="s">
        <v>989</v>
      </c>
      <c r="J52" s="26" t="s">
        <v>974</v>
      </c>
      <c r="K52" s="41">
        <v>46023</v>
      </c>
      <c r="L52" s="26" t="s">
        <v>901</v>
      </c>
      <c r="M52" s="26" t="s">
        <v>1389</v>
      </c>
      <c r="N52" s="26" t="s">
        <v>1390</v>
      </c>
      <c r="O52" s="26" t="s">
        <v>1003</v>
      </c>
      <c r="P52" s="26" t="s">
        <v>978</v>
      </c>
      <c r="Q52" s="26" t="s">
        <v>1014</v>
      </c>
      <c r="R52" s="26" t="s">
        <v>1310</v>
      </c>
      <c r="S52" s="26" t="s">
        <v>1391</v>
      </c>
      <c r="T52" s="26" t="s">
        <v>596</v>
      </c>
      <c r="U52" s="41"/>
      <c r="V52" s="26" t="s">
        <v>1084</v>
      </c>
      <c r="W52" s="26" t="s">
        <v>1392</v>
      </c>
      <c r="X52" s="26" t="s">
        <v>1393</v>
      </c>
      <c r="Y52" s="41">
        <v>46287</v>
      </c>
      <c r="Z52" s="31">
        <f>COUNTIFS(tbl_aplicabilidade[ID_Req],A52,tbl_aplicabilidade[Aplicavel],"Sim")</f>
        <v>113</v>
      </c>
      <c r="AA52" s="31">
        <f>COUNTIFS(tbl_aplicabilidade[ID_Req],A52,tbl_aplicabilidade[Estado_Resumo],"Conforme")+COUNTIFS(tbl_aplicabilidade[ID_Req],A52,tbl_aplicabilidade[Estado_Resumo],"Isento")</f>
        <v>0</v>
      </c>
      <c r="AB52" s="33" t="str">
        <f t="shared" si="1"/>
        <v>OK</v>
      </c>
    </row>
    <row r="53" spans="1:28" ht="70.05" customHeight="1" x14ac:dyDescent="0.3">
      <c r="A53" s="26" t="s">
        <v>1394</v>
      </c>
      <c r="B53" s="26" t="s">
        <v>1301</v>
      </c>
      <c r="C53" s="26" t="s">
        <v>1395</v>
      </c>
      <c r="D53" s="26" t="s">
        <v>1140</v>
      </c>
      <c r="E53" s="26" t="s">
        <v>1396</v>
      </c>
      <c r="F53" s="26" t="s">
        <v>1397</v>
      </c>
      <c r="G53" s="26" t="s">
        <v>1043</v>
      </c>
      <c r="H53" s="26" t="s">
        <v>988</v>
      </c>
      <c r="I53" s="26" t="s">
        <v>973</v>
      </c>
      <c r="J53" s="26" t="s">
        <v>974</v>
      </c>
      <c r="K53" s="41">
        <v>37987</v>
      </c>
      <c r="L53" s="26" t="s">
        <v>1045</v>
      </c>
      <c r="M53" s="26" t="s">
        <v>1398</v>
      </c>
      <c r="N53" s="26" t="s">
        <v>976</v>
      </c>
      <c r="O53" s="26" t="s">
        <v>1003</v>
      </c>
      <c r="P53" s="26" t="s">
        <v>978</v>
      </c>
      <c r="Q53" s="26" t="s">
        <v>1074</v>
      </c>
      <c r="R53" s="26" t="s">
        <v>1310</v>
      </c>
      <c r="S53" s="26"/>
      <c r="T53" s="26" t="s">
        <v>596</v>
      </c>
      <c r="U53" s="41"/>
      <c r="V53" s="26" t="s">
        <v>1084</v>
      </c>
      <c r="W53" s="26"/>
      <c r="X53" s="26"/>
      <c r="Y53" s="41">
        <v>46287</v>
      </c>
      <c r="Z53" s="31">
        <f>COUNTIFS(tbl_aplicabilidade[ID_Req],A53,tbl_aplicabilidade[Aplicavel],"Sim")</f>
        <v>0</v>
      </c>
      <c r="AA53" s="31">
        <f>COUNTIFS(tbl_aplicabilidade[ID_Req],A53,tbl_aplicabilidade[Estado_Resumo],"Conforme")+COUNTIFS(tbl_aplicabilidade[ID_Req],A53,tbl_aplicabilidade[Estado_Resumo],"Isento")</f>
        <v>0</v>
      </c>
      <c r="AB53" s="33" t="str">
        <f t="shared" si="1"/>
        <v>Lacuna sem ação</v>
      </c>
    </row>
    <row r="54" spans="1:28" ht="70.05" customHeight="1" x14ac:dyDescent="0.3">
      <c r="A54" s="26" t="s">
        <v>1399</v>
      </c>
      <c r="B54" s="26" t="s">
        <v>1400</v>
      </c>
      <c r="C54" s="26" t="s">
        <v>1401</v>
      </c>
      <c r="D54" s="26" t="s">
        <v>1402</v>
      </c>
      <c r="E54" s="26" t="s">
        <v>1403</v>
      </c>
      <c r="F54" s="26" t="s">
        <v>1404</v>
      </c>
      <c r="G54" s="26" t="s">
        <v>971</v>
      </c>
      <c r="H54" s="26" t="s">
        <v>1405</v>
      </c>
      <c r="I54" s="26" t="s">
        <v>973</v>
      </c>
      <c r="J54" s="26" t="s">
        <v>1122</v>
      </c>
      <c r="K54" s="41">
        <v>43101</v>
      </c>
      <c r="L54" s="26" t="s">
        <v>901</v>
      </c>
      <c r="M54" s="26" t="s">
        <v>1406</v>
      </c>
      <c r="N54" s="26" t="s">
        <v>976</v>
      </c>
      <c r="O54" s="26" t="s">
        <v>1003</v>
      </c>
      <c r="P54" s="26" t="s">
        <v>1033</v>
      </c>
      <c r="Q54" s="26" t="s">
        <v>1014</v>
      </c>
      <c r="R54" s="26" t="s">
        <v>1132</v>
      </c>
      <c r="S54" s="26"/>
      <c r="T54" s="26" t="s">
        <v>1133</v>
      </c>
      <c r="U54" s="41"/>
      <c r="V54" s="26" t="s">
        <v>995</v>
      </c>
      <c r="W54" s="26" t="s">
        <v>1407</v>
      </c>
      <c r="X54" s="26" t="s">
        <v>1408</v>
      </c>
      <c r="Y54" s="41">
        <v>46287</v>
      </c>
      <c r="Z54" s="31">
        <f>COUNTIFS(tbl_aplicabilidade[ID_Req],A54,tbl_aplicabilidade[Aplicavel],"Sim")</f>
        <v>0</v>
      </c>
      <c r="AA54" s="31">
        <f>COUNTIFS(tbl_aplicabilidade[ID_Req],A54,tbl_aplicabilidade[Estado_Resumo],"Conforme")+COUNTIFS(tbl_aplicabilidade[ID_Req],A54,tbl_aplicabilidade[Estado_Resumo],"Isento")</f>
        <v>0</v>
      </c>
      <c r="AB54" s="33" t="str">
        <f t="shared" si="1"/>
        <v>OK</v>
      </c>
    </row>
    <row r="55" spans="1:28" ht="70.05" customHeight="1" x14ac:dyDescent="0.3">
      <c r="A55" s="26" t="s">
        <v>1409</v>
      </c>
      <c r="B55" s="26" t="s">
        <v>1400</v>
      </c>
      <c r="C55" s="26" t="s">
        <v>1410</v>
      </c>
      <c r="D55" s="26" t="s">
        <v>1411</v>
      </c>
      <c r="E55" s="26" t="s">
        <v>1412</v>
      </c>
      <c r="F55" s="26" t="s">
        <v>1413</v>
      </c>
      <c r="G55" s="26" t="s">
        <v>971</v>
      </c>
      <c r="H55" s="26" t="s">
        <v>1414</v>
      </c>
      <c r="I55" s="26" t="s">
        <v>973</v>
      </c>
      <c r="J55" s="26" t="s">
        <v>973</v>
      </c>
      <c r="K55" s="41">
        <v>43101</v>
      </c>
      <c r="L55" s="26" t="s">
        <v>901</v>
      </c>
      <c r="M55" s="26" t="s">
        <v>1415</v>
      </c>
      <c r="N55" s="26" t="s">
        <v>976</v>
      </c>
      <c r="O55" s="26" t="s">
        <v>1003</v>
      </c>
      <c r="P55" s="26" t="s">
        <v>1033</v>
      </c>
      <c r="Q55" s="26" t="s">
        <v>1074</v>
      </c>
      <c r="R55" s="26" t="s">
        <v>1034</v>
      </c>
      <c r="S55" s="26"/>
      <c r="T55" s="26" t="s">
        <v>1075</v>
      </c>
      <c r="U55" s="41"/>
      <c r="V55" s="26" t="s">
        <v>981</v>
      </c>
      <c r="W55" s="26"/>
      <c r="X55" s="26"/>
      <c r="Y55" s="41">
        <v>46287</v>
      </c>
      <c r="Z55" s="31">
        <f>COUNTIFS(tbl_aplicabilidade[ID_Req],A55,tbl_aplicabilidade[Aplicavel],"Sim")</f>
        <v>0</v>
      </c>
      <c r="AA55" s="31">
        <f>COUNTIFS(tbl_aplicabilidade[ID_Req],A55,tbl_aplicabilidade[Estado_Resumo],"Conforme")+COUNTIFS(tbl_aplicabilidade[ID_Req],A55,tbl_aplicabilidade[Estado_Resumo],"Isento")</f>
        <v>0</v>
      </c>
      <c r="AB55" s="33" t="str">
        <f t="shared" si="1"/>
        <v>OK</v>
      </c>
    </row>
    <row r="56" spans="1:28" ht="70.05" customHeight="1" x14ac:dyDescent="0.3">
      <c r="A56" s="26" t="s">
        <v>1416</v>
      </c>
      <c r="B56" s="26" t="s">
        <v>1400</v>
      </c>
      <c r="C56" s="26" t="s">
        <v>1417</v>
      </c>
      <c r="D56" s="26" t="s">
        <v>1418</v>
      </c>
      <c r="E56" s="26" t="s">
        <v>1419</v>
      </c>
      <c r="F56" s="26" t="s">
        <v>1420</v>
      </c>
      <c r="G56" s="26" t="s">
        <v>971</v>
      </c>
      <c r="H56" s="26" t="s">
        <v>1421</v>
      </c>
      <c r="I56" s="26" t="s">
        <v>973</v>
      </c>
      <c r="J56" s="26" t="s">
        <v>1122</v>
      </c>
      <c r="K56" s="41">
        <v>43101</v>
      </c>
      <c r="L56" s="26" t="s">
        <v>901</v>
      </c>
      <c r="M56" s="26" t="s">
        <v>1422</v>
      </c>
      <c r="N56" s="26" t="s">
        <v>976</v>
      </c>
      <c r="O56" s="26" t="s">
        <v>1003</v>
      </c>
      <c r="P56" s="26" t="s">
        <v>1033</v>
      </c>
      <c r="Q56" s="26" t="s">
        <v>1014</v>
      </c>
      <c r="R56" s="26" t="s">
        <v>1132</v>
      </c>
      <c r="S56" s="26"/>
      <c r="T56" s="26" t="s">
        <v>1133</v>
      </c>
      <c r="U56" s="41">
        <v>46446</v>
      </c>
      <c r="V56" s="26" t="s">
        <v>995</v>
      </c>
      <c r="W56" s="26"/>
      <c r="X56" s="26"/>
      <c r="Y56" s="41">
        <v>46287</v>
      </c>
      <c r="Z56" s="31">
        <f>COUNTIFS(tbl_aplicabilidade[ID_Req],A56,tbl_aplicabilidade[Aplicavel],"Sim")</f>
        <v>0</v>
      </c>
      <c r="AA56" s="31">
        <f>COUNTIFS(tbl_aplicabilidade[ID_Req],A56,tbl_aplicabilidade[Estado_Resumo],"Conforme")+COUNTIFS(tbl_aplicabilidade[ID_Req],A56,tbl_aplicabilidade[Estado_Resumo],"Isento")</f>
        <v>0</v>
      </c>
      <c r="AB56" s="33" t="str">
        <f t="shared" si="1"/>
        <v>OK</v>
      </c>
    </row>
    <row r="57" spans="1:28" ht="70.05" customHeight="1" x14ac:dyDescent="0.3">
      <c r="A57" s="26" t="s">
        <v>1423</v>
      </c>
      <c r="B57" s="26" t="s">
        <v>1400</v>
      </c>
      <c r="C57" s="26" t="s">
        <v>1424</v>
      </c>
      <c r="D57" s="26" t="s">
        <v>1140</v>
      </c>
      <c r="E57" s="26" t="s">
        <v>1425</v>
      </c>
      <c r="F57" s="26" t="s">
        <v>1426</v>
      </c>
      <c r="G57" s="26" t="s">
        <v>971</v>
      </c>
      <c r="H57" s="26" t="s">
        <v>1427</v>
      </c>
      <c r="I57" s="26" t="s">
        <v>973</v>
      </c>
      <c r="J57" s="26" t="s">
        <v>973</v>
      </c>
      <c r="K57" s="41">
        <v>46246</v>
      </c>
      <c r="L57" s="26" t="s">
        <v>901</v>
      </c>
      <c r="M57" s="26" t="s">
        <v>1428</v>
      </c>
      <c r="N57" s="26" t="s">
        <v>976</v>
      </c>
      <c r="O57" s="26" t="s">
        <v>1429</v>
      </c>
      <c r="P57" s="26" t="s">
        <v>978</v>
      </c>
      <c r="Q57" s="26" t="s">
        <v>1014</v>
      </c>
      <c r="R57" s="26" t="s">
        <v>980</v>
      </c>
      <c r="S57" s="26" t="s">
        <v>906</v>
      </c>
      <c r="T57" s="26" t="s">
        <v>1035</v>
      </c>
      <c r="U57" s="41"/>
      <c r="V57" s="26" t="s">
        <v>981</v>
      </c>
      <c r="W57" s="26"/>
      <c r="X57" s="26"/>
      <c r="Y57" s="41">
        <v>46287</v>
      </c>
      <c r="Z57" s="31">
        <f>COUNTIFS(tbl_aplicabilidade[ID_Req],A57,tbl_aplicabilidade[Aplicavel],"Sim")</f>
        <v>0</v>
      </c>
      <c r="AA57" s="31">
        <f>COUNTIFS(tbl_aplicabilidade[ID_Req],A57,tbl_aplicabilidade[Estado_Resumo],"Conforme")+COUNTIFS(tbl_aplicabilidade[ID_Req],A57,tbl_aplicabilidade[Estado_Resumo],"Isento")</f>
        <v>0</v>
      </c>
      <c r="AB57" s="33" t="str">
        <f t="shared" si="1"/>
        <v>OK</v>
      </c>
    </row>
    <row r="58" spans="1:28" ht="70.05" customHeight="1" x14ac:dyDescent="0.3">
      <c r="A58" s="26" t="s">
        <v>1430</v>
      </c>
      <c r="B58" s="26" t="s">
        <v>1400</v>
      </c>
      <c r="C58" s="26" t="s">
        <v>1431</v>
      </c>
      <c r="D58" s="26" t="s">
        <v>1140</v>
      </c>
      <c r="E58" s="26" t="s">
        <v>1432</v>
      </c>
      <c r="F58" s="26" t="s">
        <v>1433</v>
      </c>
      <c r="G58" s="26" t="s">
        <v>971</v>
      </c>
      <c r="H58" s="26" t="s">
        <v>1140</v>
      </c>
      <c r="I58" s="26" t="s">
        <v>973</v>
      </c>
      <c r="J58" s="26" t="s">
        <v>1141</v>
      </c>
      <c r="K58" s="41">
        <v>44743</v>
      </c>
      <c r="L58" s="26" t="s">
        <v>904</v>
      </c>
      <c r="M58" s="26" t="s">
        <v>1434</v>
      </c>
      <c r="N58" s="26" t="s">
        <v>976</v>
      </c>
      <c r="O58" s="26" t="s">
        <v>1003</v>
      </c>
      <c r="P58" s="26" t="s">
        <v>1143</v>
      </c>
      <c r="Q58" s="26" t="s">
        <v>1074</v>
      </c>
      <c r="R58" s="26"/>
      <c r="S58" s="26"/>
      <c r="T58" s="26" t="s">
        <v>1035</v>
      </c>
      <c r="U58" s="41"/>
      <c r="V58" s="26" t="s">
        <v>1084</v>
      </c>
      <c r="W58" s="26" t="s">
        <v>1435</v>
      </c>
      <c r="X58" s="26"/>
      <c r="Y58" s="41">
        <v>46287</v>
      </c>
      <c r="Z58" s="31">
        <f>COUNTIFS(tbl_aplicabilidade[ID_Req],A58,tbl_aplicabilidade[Aplicavel],"Sim")</f>
        <v>0</v>
      </c>
      <c r="AA58" s="31">
        <f>COUNTIFS(tbl_aplicabilidade[ID_Req],A58,tbl_aplicabilidade[Estado_Resumo],"Conforme")+COUNTIFS(tbl_aplicabilidade[ID_Req],A58,tbl_aplicabilidade[Estado_Resumo],"Isento")</f>
        <v>0</v>
      </c>
      <c r="AB58" s="33" t="str">
        <f t="shared" si="1"/>
        <v>OK</v>
      </c>
    </row>
    <row r="59" spans="1:28" ht="70.05" customHeight="1" x14ac:dyDescent="0.3">
      <c r="A59" s="26" t="s">
        <v>1436</v>
      </c>
      <c r="B59" s="26" t="s">
        <v>1400</v>
      </c>
      <c r="C59" s="26" t="s">
        <v>1437</v>
      </c>
      <c r="D59" s="26" t="s">
        <v>1140</v>
      </c>
      <c r="E59" s="26" t="s">
        <v>1438</v>
      </c>
      <c r="F59" s="26" t="s">
        <v>1439</v>
      </c>
      <c r="G59" s="26" t="s">
        <v>1043</v>
      </c>
      <c r="H59" s="26" t="s">
        <v>1440</v>
      </c>
      <c r="I59" s="26" t="s">
        <v>973</v>
      </c>
      <c r="J59" s="26" t="s">
        <v>844</v>
      </c>
      <c r="K59" s="41">
        <v>44432</v>
      </c>
      <c r="L59" s="26" t="s">
        <v>1045</v>
      </c>
      <c r="M59" s="26" t="s">
        <v>1441</v>
      </c>
      <c r="N59" s="26" t="s">
        <v>1442</v>
      </c>
      <c r="O59" s="26" t="s">
        <v>1048</v>
      </c>
      <c r="P59" s="26" t="s">
        <v>1033</v>
      </c>
      <c r="Q59" s="26" t="s">
        <v>1014</v>
      </c>
      <c r="R59" s="26" t="s">
        <v>1049</v>
      </c>
      <c r="S59" s="26" t="s">
        <v>1050</v>
      </c>
      <c r="T59" s="26" t="s">
        <v>596</v>
      </c>
      <c r="U59" s="41">
        <v>46356</v>
      </c>
      <c r="V59" s="26" t="s">
        <v>1084</v>
      </c>
      <c r="W59" s="26" t="s">
        <v>1443</v>
      </c>
      <c r="X59" s="26"/>
      <c r="Y59" s="41">
        <v>46287</v>
      </c>
      <c r="Z59" s="31">
        <f>COUNTIFS(tbl_aplicabilidade[ID_Req],A59,tbl_aplicabilidade[Aplicavel],"Sim")</f>
        <v>0</v>
      </c>
      <c r="AA59" s="31">
        <f>COUNTIFS(tbl_aplicabilidade[ID_Req],A59,tbl_aplicabilidade[Estado_Resumo],"Conforme")+COUNTIFS(tbl_aplicabilidade[ID_Req],A59,tbl_aplicabilidade[Estado_Resumo],"Isento")</f>
        <v>0</v>
      </c>
      <c r="AB59" s="33" t="str">
        <f t="shared" si="1"/>
        <v>Confirmar aplicabilidade</v>
      </c>
    </row>
  </sheetData>
  <conditionalFormatting sqref="G5:G259">
    <cfRule type="expression" dxfId="41" priority="15">
      <formula>ISNUMBER(SEARCH("verificação",G5))</formula>
    </cfRule>
  </conditionalFormatting>
  <conditionalFormatting sqref="P5:P259">
    <cfRule type="expression" dxfId="40" priority="1">
      <formula>ISNUMBER(SEARCH("Lacuna",P5))</formula>
    </cfRule>
    <cfRule type="expression" dxfId="39" priority="2">
      <formula>ISNUMBER(SEARCH("Parcial",P5))</formula>
    </cfRule>
    <cfRule type="expression" dxfId="38" priority="3">
      <formula>ISNUMBER(SEARCH("Conforme",P5))</formula>
    </cfRule>
    <cfRule type="expression" dxfId="37" priority="4">
      <formula>ISNUMBER(SEARCH("Em avaliação",P5))</formula>
    </cfRule>
    <cfRule type="expression" dxfId="36" priority="5">
      <formula>ISNUMBER(SEARCH("Futuro",P5))</formula>
    </cfRule>
    <cfRule type="expression" dxfId="35" priority="6">
      <formula>ISNUMBER(SEARCH("Não aplicável",P5))</formula>
    </cfRule>
  </conditionalFormatting>
  <conditionalFormatting sqref="V5:V259">
    <cfRule type="expression" dxfId="34" priority="7">
      <formula>ISNUMBER(SEARCH("Corrigido",V5))</formula>
    </cfRule>
    <cfRule type="expression" dxfId="33" priority="8">
      <formula>ISNUMBER(SEARCH("Adicionado",V5))</formula>
    </cfRule>
    <cfRule type="expression" dxfId="32" priority="9">
      <formula>ISNUMBER(SEARCH("Complementado",V5))</formula>
    </cfRule>
    <cfRule type="expression" dxfId="31" priority="10">
      <formula>ISNUMBER(SEARCH("Confirmado",V5))</formula>
    </cfRule>
  </conditionalFormatting>
  <conditionalFormatting sqref="AB5:AB259">
    <cfRule type="expression" dxfId="30" priority="11">
      <formula>ISNUMBER(SEARCH("sem ação",AB5))</formula>
    </cfRule>
    <cfRule type="expression" dxfId="29" priority="12">
      <formula>ISNUMBER(SEARCH("vencido",AB5))</formula>
    </cfRule>
    <cfRule type="expression" dxfId="28" priority="13">
      <formula>ISNUMBER(SEARCH("Confirmar",AB5))</formula>
    </cfRule>
    <cfRule type="expression" dxfId="27" priority="14">
      <formula>ISNUMBER(SEARCH("OK",AB5))</formula>
    </cfRule>
  </conditionalFormatting>
  <dataValidations count="6">
    <dataValidation type="list" allowBlank="1" showErrorMessage="1" errorTitle="Valor inválido" error="Valor fora da lista controlada (ver folha Listas)." sqref="G5:G259" xr:uid="{00000000-0002-0000-0A00-000000000000}">
      <formula1>lst_Natureza</formula1>
    </dataValidation>
    <dataValidation type="list" allowBlank="1" showErrorMessage="1" errorTitle="Valor inválido" error="Valor fora da lista controlada (ver folha Listas)." sqref="L5:L259" xr:uid="{00000000-0002-0000-0A00-000001000000}">
      <formula1>lst_Aplicabilidade</formula1>
    </dataValidation>
    <dataValidation type="list" allowBlank="1" showErrorMessage="1" errorTitle="Valor inválido" error="Valor fora da lista controlada (ver folha Listas)." sqref="P5:P259" xr:uid="{00000000-0002-0000-0A00-000002000000}">
      <formula1>lst_EstadoReq</formula1>
    </dataValidation>
    <dataValidation type="list" allowBlank="1" showErrorMessage="1" errorTitle="Valor inválido" error="Valor fora da lista controlada (ver folha Listas)." sqref="Q5:Q259" xr:uid="{00000000-0002-0000-0A00-000003000000}">
      <formula1>lst_Risco</formula1>
    </dataValidation>
    <dataValidation type="list" allowBlank="1" showErrorMessage="1" errorTitle="Valor inválido" error="Valor fora da lista controlada (ver folha Listas)." sqref="T5:T259" xr:uid="{00000000-0002-0000-0A00-000004000000}">
      <formula1>lst_Funcao</formula1>
    </dataValidation>
    <dataValidation type="list" allowBlank="1" showErrorMessage="1" errorTitle="Valor inválido" error="Valor fora da lista controlada (ver folha Listas)." sqref="V5:V259" xr:uid="{00000000-0002-0000-0A00-000005000000}">
      <formula1>lst_Verificacao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J2487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10" customWidth="1"/>
    <col min="3" max="3" width="22" customWidth="1"/>
    <col min="4" max="4" width="20" customWidth="1"/>
    <col min="5" max="5" width="8" customWidth="1"/>
    <col min="6" max="6" width="40" customWidth="1"/>
    <col min="7" max="7" width="12" customWidth="1"/>
    <col min="8" max="8" width="22" customWidth="1"/>
    <col min="9" max="9" width="12" customWidth="1"/>
    <col min="10" max="10" width="36" customWidth="1"/>
  </cols>
  <sheetData>
    <row r="1" spans="1:10" ht="26.4" x14ac:dyDescent="0.3">
      <c r="A1" s="12" t="s">
        <v>513</v>
      </c>
      <c r="B1" s="12" t="s">
        <v>941</v>
      </c>
      <c r="C1" s="30" t="s">
        <v>944</v>
      </c>
      <c r="D1" s="30" t="s">
        <v>515</v>
      </c>
      <c r="E1" s="12" t="s">
        <v>1444</v>
      </c>
      <c r="F1" s="12" t="s">
        <v>1445</v>
      </c>
      <c r="G1" s="12" t="s">
        <v>1446</v>
      </c>
      <c r="H1" s="30" t="s">
        <v>14</v>
      </c>
      <c r="I1" s="30" t="s">
        <v>1447</v>
      </c>
      <c r="J1" s="12" t="s">
        <v>1448</v>
      </c>
    </row>
    <row r="2" spans="1:10" ht="16.05" customHeight="1" x14ac:dyDescent="0.3">
      <c r="A2" s="26" t="s">
        <v>585</v>
      </c>
      <c r="B2" s="26" t="s">
        <v>984</v>
      </c>
      <c r="C2" s="33" t="str">
        <f>IFERROR(INDEX(tbl_requisitos_emb[Tema],MATCH(B2,tbl_requisitos_emb[ID_Req],0)),"")</f>
        <v>Conceção para reciclagem</v>
      </c>
      <c r="D2" s="33" t="str">
        <f>IFERROR(INDEX(tbl_recyclass[Segmento],MATCH(A2,tbl_recyclass[ProductId],0)),"")</f>
        <v>Cosmética e higiene pessoal</v>
      </c>
      <c r="E2" s="26" t="s">
        <v>901</v>
      </c>
      <c r="F2" s="26" t="s">
        <v>1449</v>
      </c>
      <c r="G2" s="26" t="s">
        <v>978</v>
      </c>
      <c r="H2" s="33" t="str">
        <f>IF(E2="Não","Não aplicável",IFERROR(IF(B2="EU-ENV-002",IF(INDEX(tbl_recyclass[Conforme_PPWR_2030],MATCH(A2,tbl_recyclass[ProductId],0))="Sim","Conforme (autoavaliação)",IF(INDEX(tbl_recyclass[Conforme_PPWR_2030],MATCH(A2,tbl_recyclass[ProductId],0))="Não","Não conforme em 2030","Isento até 2035")),IF(B2="EU-ENV-003",IF(INDEX(tbl_recyclass[Conforme_Art7_2030],MATCH(A2,tbl_recyclass[ProductId],0))="Sim","Conforme (meta 2030)",IF(INDEX(tbl_recyclass[Conforme_Art7_2030],MATCH(A2,tbl_recyclass[ProductId],0))="Não","Lacuna face à meta 2030","Isento")),IF(B2="EU-ENV-011",IF(INDEX(tbl_familias_ppwr[Metais_Pesados_Evidencia],MATCH(INDEX(tbl_recyclass[Familia_PPWR],MATCH(A2,tbl_recyclass[ProductId],0)),tbl_familias_ppwr[ID_Familia],0))="Em falta","Lacuna","Conforme"),IF(B2="EU-ENV-013",IF(INDEX(tbl_familias_ppwr[Declaracao_UE],MATCH(INDEX(tbl_recyclass[Familia_PPWR],MATCH(A2,tbl_recyclass[ProductId],0)),tbl_familias_ppwr[ID_Familia],0))="Sim","Conforme","Lacuna"),G2)))),G2))</f>
        <v>Conforme (autoavaliação)</v>
      </c>
      <c r="I2" s="33" t="str">
        <f t="shared" ref="I2:I65" si="0">IF(ISNUMBER(SEARCH("Não aplicável",H2)),"Não aplicável",IF(ISNUMBER(SEARCH("Isento",H2)),"Isento",IF(ISNUMBER(SEARCH("Não conforme",H2)),"Não conforme",IF(ISNUMBER(SEARCH("Lacuna",H2)),"Lacuna",IF(ISNUMBER(SEARCH("Conforme",H2)),"Conforme",H2)))))</f>
        <v>Conforme</v>
      </c>
      <c r="J2" s="26" t="s">
        <v>991</v>
      </c>
    </row>
    <row r="3" spans="1:10" ht="16.05" customHeight="1" x14ac:dyDescent="0.3">
      <c r="A3" s="26" t="s">
        <v>585</v>
      </c>
      <c r="B3" s="26" t="s">
        <v>997</v>
      </c>
      <c r="C3" s="33" t="str">
        <f>IFERROR(INDEX(tbl_requisitos_emb[Tema],MATCH(B3,tbl_requisitos_emb[ID_Req],0)),"")</f>
        <v>Conteúdo reciclado</v>
      </c>
      <c r="D3" s="33" t="str">
        <f>IFERROR(INDEX(tbl_recyclass[Segmento],MATCH(A3,tbl_recyclass[ProductId],0)),"")</f>
        <v>Cosmética e higiene pessoal</v>
      </c>
      <c r="E3" s="26" t="s">
        <v>901</v>
      </c>
      <c r="F3" s="26" t="s">
        <v>1449</v>
      </c>
      <c r="G3" s="26" t="s">
        <v>978</v>
      </c>
      <c r="H3" s="33" t="str">
        <f>IF(E3="Não","Não aplicável",IFERROR(IF(B3="EU-ENV-002",IF(INDEX(tbl_recyclass[Conforme_PPWR_2030],MATCH(A3,tbl_recyclass[ProductId],0))="Sim","Conforme (autoavaliação)",IF(INDEX(tbl_recyclass[Conforme_PPWR_2030],MATCH(A3,tbl_recyclass[ProductId],0))="Não","Não conforme em 2030","Isento até 2035")),IF(B3="EU-ENV-003",IF(INDEX(tbl_recyclass[Conforme_Art7_2030],MATCH(A3,tbl_recyclass[ProductId],0))="Sim","Conforme (meta 2030)",IF(INDEX(tbl_recyclass[Conforme_Art7_2030],MATCH(A3,tbl_recyclass[ProductId],0))="Não","Lacuna face à meta 2030","Isento")),IF(B3="EU-ENV-011",IF(INDEX(tbl_familias_ppwr[Metais_Pesados_Evidencia],MATCH(INDEX(tbl_recyclass[Familia_PPWR],MATCH(A3,tbl_recyclass[ProductId],0)),tbl_familias_ppwr[ID_Familia],0))="Em falta","Lacuna","Conforme"),IF(B3="EU-ENV-013",IF(INDEX(tbl_familias_ppwr[Declaracao_UE],MATCH(INDEX(tbl_recyclass[Familia_PPWR],MATCH(A3,tbl_recyclass[ProductId],0)),tbl_familias_ppwr[ID_Familia],0))="Sim","Conforme","Lacuna"),G3)))),G3))</f>
        <v>Lacuna face à meta 2030</v>
      </c>
      <c r="I3" s="33" t="str">
        <f t="shared" si="0"/>
        <v>Lacuna</v>
      </c>
      <c r="J3" s="26" t="s">
        <v>1001</v>
      </c>
    </row>
    <row r="4" spans="1:10" ht="16.05" customHeight="1" x14ac:dyDescent="0.3">
      <c r="A4" s="26" t="s">
        <v>585</v>
      </c>
      <c r="B4" s="26" t="s">
        <v>1007</v>
      </c>
      <c r="C4" s="33" t="str">
        <f>IFERROR(INDEX(tbl_requisitos_emb[Tema],MATCH(B4,tbl_requisitos_emb[ID_Req],0)),"")</f>
        <v>Minimização</v>
      </c>
      <c r="D4" s="33" t="str">
        <f>IFERROR(INDEX(tbl_recyclass[Segmento],MATCH(A4,tbl_recyclass[ProductId],0)),"")</f>
        <v>Cosmética e higiene pessoal</v>
      </c>
      <c r="E4" s="26" t="s">
        <v>901</v>
      </c>
      <c r="F4" s="26" t="s">
        <v>1449</v>
      </c>
      <c r="G4" s="26" t="s">
        <v>978</v>
      </c>
      <c r="H4" s="33" t="str">
        <f>IF(E4="Não","Não aplicável",IFERROR(IF(B4="EU-ENV-002",IF(INDEX(tbl_recyclass[Conforme_PPWR_2030],MATCH(A4,tbl_recyclass[ProductId],0))="Sim","Conforme (autoavaliação)",IF(INDEX(tbl_recyclass[Conforme_PPWR_2030],MATCH(A4,tbl_recyclass[ProductId],0))="Não","Não conforme em 2030","Isento até 2035")),IF(B4="EU-ENV-003",IF(INDEX(tbl_recyclass[Conforme_Art7_2030],MATCH(A4,tbl_recyclass[ProductId],0))="Sim","Conforme (meta 2030)",IF(INDEX(tbl_recyclass[Conforme_Art7_2030],MATCH(A4,tbl_recyclass[ProductId],0))="Não","Lacuna face à meta 2030","Isento")),IF(B4="EU-ENV-011",IF(INDEX(tbl_familias_ppwr[Metais_Pesados_Evidencia],MATCH(INDEX(tbl_recyclass[Familia_PPWR],MATCH(A4,tbl_recyclass[ProductId],0)),tbl_familias_ppwr[ID_Familia],0))="Em falta","Lacuna","Conforme"),IF(B4="EU-ENV-013",IF(INDEX(tbl_familias_ppwr[Declaracao_UE],MATCH(INDEX(tbl_recyclass[Familia_PPWR],MATCH(A4,tbl_recyclass[ProductId],0)),tbl_familias_ppwr[ID_Familia],0))="Sim","Conforme","Lacuna"),G4)))),G4))</f>
        <v>Parcial</v>
      </c>
      <c r="I4" s="33" t="str">
        <f t="shared" si="0"/>
        <v>Parcial</v>
      </c>
      <c r="J4" s="26" t="s">
        <v>1012</v>
      </c>
    </row>
    <row r="5" spans="1:10" ht="16.05" customHeight="1" x14ac:dyDescent="0.3">
      <c r="A5" s="26" t="s">
        <v>585</v>
      </c>
      <c r="B5" s="26" t="s">
        <v>1016</v>
      </c>
      <c r="C5" s="33" t="str">
        <f>IFERROR(INDEX(tbl_requisitos_emb[Tema],MATCH(B5,tbl_requisitos_emb[ID_Req],0)),"")</f>
        <v>Rotulagem</v>
      </c>
      <c r="D5" s="33" t="str">
        <f>IFERROR(INDEX(tbl_recyclass[Segmento],MATCH(A5,tbl_recyclass[ProductId],0)),"")</f>
        <v>Cosmética e higiene pessoal</v>
      </c>
      <c r="E5" s="26" t="s">
        <v>901</v>
      </c>
      <c r="F5" s="26" t="s">
        <v>1449</v>
      </c>
      <c r="G5" s="26" t="s">
        <v>990</v>
      </c>
      <c r="H5" s="33" t="str">
        <f>IF(E5="Não","Não aplicável",IFERROR(IF(B5="EU-ENV-002",IF(INDEX(tbl_recyclass[Conforme_PPWR_2030],MATCH(A5,tbl_recyclass[ProductId],0))="Sim","Conforme (autoavaliação)",IF(INDEX(tbl_recyclass[Conforme_PPWR_2030],MATCH(A5,tbl_recyclass[ProductId],0))="Não","Não conforme em 2030","Isento até 2035")),IF(B5="EU-ENV-003",IF(INDEX(tbl_recyclass[Conforme_Art7_2030],MATCH(A5,tbl_recyclass[ProductId],0))="Sim","Conforme (meta 2030)",IF(INDEX(tbl_recyclass[Conforme_Art7_2030],MATCH(A5,tbl_recyclass[ProductId],0))="Não","Lacuna face à meta 2030","Isento")),IF(B5="EU-ENV-011",IF(INDEX(tbl_familias_ppwr[Metais_Pesados_Evidencia],MATCH(INDEX(tbl_recyclass[Familia_PPWR],MATCH(A5,tbl_recyclass[ProductId],0)),tbl_familias_ppwr[ID_Familia],0))="Em falta","Lacuna","Conforme"),IF(B5="EU-ENV-013",IF(INDEX(tbl_familias_ppwr[Declaracao_UE],MATCH(INDEX(tbl_recyclass[Familia_PPWR],MATCH(A5,tbl_recyclass[ProductId],0)),tbl_familias_ppwr[ID_Familia],0))="Sim","Conforme","Lacuna"),G5)))),G5))</f>
        <v>Futuro</v>
      </c>
      <c r="I5" s="33" t="str">
        <f t="shared" si="0"/>
        <v>Futuro</v>
      </c>
      <c r="J5" s="26" t="s">
        <v>1021</v>
      </c>
    </row>
    <row r="6" spans="1:10" ht="16.05" customHeight="1" x14ac:dyDescent="0.3">
      <c r="A6" s="26" t="s">
        <v>585</v>
      </c>
      <c r="B6" s="26" t="s">
        <v>1038</v>
      </c>
      <c r="C6" s="33" t="str">
        <f>IFERROR(INDEX(tbl_requisitos_emb[Tema],MATCH(B6,tbl_requisitos_emb[ID_Req],0)),"")</f>
        <v>Plásticos de utilização única</v>
      </c>
      <c r="D6" s="33" t="str">
        <f>IFERROR(INDEX(tbl_recyclass[Segmento],MATCH(A6,tbl_recyclass[ProductId],0)),"")</f>
        <v>Cosmética e higiene pessoal</v>
      </c>
      <c r="E6" s="26" t="s">
        <v>904</v>
      </c>
      <c r="F6" s="26" t="s">
        <v>1450</v>
      </c>
      <c r="G6" s="26" t="s">
        <v>1143</v>
      </c>
      <c r="H6" s="33" t="str">
        <f>IF(E6="Não","Não aplicável",IFERROR(IF(B6="EU-ENV-002",IF(INDEX(tbl_recyclass[Conforme_PPWR_2030],MATCH(A6,tbl_recyclass[ProductId],0))="Sim","Conforme (autoavaliação)",IF(INDEX(tbl_recyclass[Conforme_PPWR_2030],MATCH(A6,tbl_recyclass[ProductId],0))="Não","Não conforme em 2030","Isento até 2035")),IF(B6="EU-ENV-003",IF(INDEX(tbl_recyclass[Conforme_Art7_2030],MATCH(A6,tbl_recyclass[ProductId],0))="Sim","Conforme (meta 2030)",IF(INDEX(tbl_recyclass[Conforme_Art7_2030],MATCH(A6,tbl_recyclass[ProductId],0))="Não","Lacuna face à meta 2030","Isento")),IF(B6="EU-ENV-011",IF(INDEX(tbl_familias_ppwr[Metais_Pesados_Evidencia],MATCH(INDEX(tbl_recyclass[Familia_PPWR],MATCH(A6,tbl_recyclass[ProductId],0)),tbl_familias_ppwr[ID_Familia],0))="Em falta","Lacuna","Conforme"),IF(B6="EU-ENV-013",IF(INDEX(tbl_familias_ppwr[Declaracao_UE],MATCH(INDEX(tbl_recyclass[Familia_PPWR],MATCH(A6,tbl_recyclass[ProductId],0)),tbl_familias_ppwr[ID_Familia],0))="Sim","Conforme","Lacuna"),G6)))),G6))</f>
        <v>Não aplicável</v>
      </c>
      <c r="I6" s="33" t="str">
        <f t="shared" si="0"/>
        <v>Não aplicável</v>
      </c>
      <c r="J6" s="26"/>
    </row>
    <row r="7" spans="1:10" ht="16.05" customHeight="1" x14ac:dyDescent="0.3">
      <c r="A7" s="26" t="s">
        <v>585</v>
      </c>
      <c r="B7" s="26" t="s">
        <v>1078</v>
      </c>
      <c r="C7" s="33" t="str">
        <f>IFERROR(INDEX(tbl_requisitos_emb[Tema],MATCH(B7,tbl_requisitos_emb[ID_Req],0)),"")</f>
        <v>Reciclado à escala</v>
      </c>
      <c r="D7" s="33" t="str">
        <f>IFERROR(INDEX(tbl_recyclass[Segmento],MATCH(A7,tbl_recyclass[ProductId],0)),"")</f>
        <v>Cosmética e higiene pessoal</v>
      </c>
      <c r="E7" s="26" t="s">
        <v>901</v>
      </c>
      <c r="F7" s="26" t="s">
        <v>1449</v>
      </c>
      <c r="G7" s="26" t="s">
        <v>990</v>
      </c>
      <c r="H7" s="33" t="str">
        <f>IF(E7="Não","Não aplicável",IFERROR(IF(B7="EU-ENV-002",IF(INDEX(tbl_recyclass[Conforme_PPWR_2030],MATCH(A7,tbl_recyclass[ProductId],0))="Sim","Conforme (autoavaliação)",IF(INDEX(tbl_recyclass[Conforme_PPWR_2030],MATCH(A7,tbl_recyclass[ProductId],0))="Não","Não conforme em 2030","Isento até 2035")),IF(B7="EU-ENV-003",IF(INDEX(tbl_recyclass[Conforme_Art7_2030],MATCH(A7,tbl_recyclass[ProductId],0))="Sim","Conforme (meta 2030)",IF(INDEX(tbl_recyclass[Conforme_Art7_2030],MATCH(A7,tbl_recyclass[ProductId],0))="Não","Lacuna face à meta 2030","Isento")),IF(B7="EU-ENV-011",IF(INDEX(tbl_familias_ppwr[Metais_Pesados_Evidencia],MATCH(INDEX(tbl_recyclass[Familia_PPWR],MATCH(A7,tbl_recyclass[ProductId],0)),tbl_familias_ppwr[ID_Familia],0))="Em falta","Lacuna","Conforme"),IF(B7="EU-ENV-013",IF(INDEX(tbl_familias_ppwr[Declaracao_UE],MATCH(INDEX(tbl_recyclass[Familia_PPWR],MATCH(A7,tbl_recyclass[ProductId],0)),tbl_familias_ppwr[ID_Familia],0))="Sim","Conforme","Lacuna"),G7)))),G7))</f>
        <v>Futuro</v>
      </c>
      <c r="I7" s="33" t="str">
        <f t="shared" si="0"/>
        <v>Futuro</v>
      </c>
      <c r="J7" s="26" t="s">
        <v>1082</v>
      </c>
    </row>
    <row r="8" spans="1:10" ht="16.05" customHeight="1" x14ac:dyDescent="0.3">
      <c r="A8" s="26" t="s">
        <v>585</v>
      </c>
      <c r="B8" s="26" t="s">
        <v>1086</v>
      </c>
      <c r="C8" s="33" t="str">
        <f>IFERROR(INDEX(tbl_requisitos_emb[Tema],MATCH(B8,tbl_requisitos_emb[ID_Req],0)),"")</f>
        <v>Metais pesados</v>
      </c>
      <c r="D8" s="33" t="str">
        <f>IFERROR(INDEX(tbl_recyclass[Segmento],MATCH(A8,tbl_recyclass[ProductId],0)),"")</f>
        <v>Cosmética e higiene pessoal</v>
      </c>
      <c r="E8" s="26" t="s">
        <v>901</v>
      </c>
      <c r="F8" s="26" t="s">
        <v>1449</v>
      </c>
      <c r="G8" s="26" t="s">
        <v>978</v>
      </c>
      <c r="H8" s="33" t="str">
        <f>IF(E8="Não","Não aplicável",IFERROR(IF(B8="EU-ENV-002",IF(INDEX(tbl_recyclass[Conforme_PPWR_2030],MATCH(A8,tbl_recyclass[ProductId],0))="Sim","Conforme (autoavaliação)",IF(INDEX(tbl_recyclass[Conforme_PPWR_2030],MATCH(A8,tbl_recyclass[ProductId],0))="Não","Não conforme em 2030","Isento até 2035")),IF(B8="EU-ENV-003",IF(INDEX(tbl_recyclass[Conforme_Art7_2030],MATCH(A8,tbl_recyclass[ProductId],0))="Sim","Conforme (meta 2030)",IF(INDEX(tbl_recyclass[Conforme_Art7_2030],MATCH(A8,tbl_recyclass[ProductId],0))="Não","Lacuna face à meta 2030","Isento")),IF(B8="EU-ENV-011",IF(INDEX(tbl_familias_ppwr[Metais_Pesados_Evidencia],MATCH(INDEX(tbl_recyclass[Familia_PPWR],MATCH(A8,tbl_recyclass[ProductId],0)),tbl_familias_ppwr[ID_Familia],0))="Em falta","Lacuna","Conforme"),IF(B8="EU-ENV-013",IF(INDEX(tbl_familias_ppwr[Declaracao_UE],MATCH(INDEX(tbl_recyclass[Familia_PPWR],MATCH(A8,tbl_recyclass[ProductId],0)),tbl_familias_ppwr[ID_Familia],0))="Sim","Conforme","Lacuna"),G8)))),G8))</f>
        <v>Conforme</v>
      </c>
      <c r="I8" s="33" t="str">
        <f t="shared" si="0"/>
        <v>Conforme</v>
      </c>
      <c r="J8" s="26" t="s">
        <v>1090</v>
      </c>
    </row>
    <row r="9" spans="1:10" ht="16.05" customHeight="1" x14ac:dyDescent="0.3">
      <c r="A9" s="26" t="s">
        <v>585</v>
      </c>
      <c r="B9" s="26" t="s">
        <v>1094</v>
      </c>
      <c r="C9" s="33" t="str">
        <f>IFERROR(INDEX(tbl_requisitos_emb[Tema],MATCH(B9,tbl_requisitos_emb[ID_Req],0)),"")</f>
        <v>PFAS</v>
      </c>
      <c r="D9" s="33" t="str">
        <f>IFERROR(INDEX(tbl_recyclass[Segmento],MATCH(A9,tbl_recyclass[ProductId],0)),"")</f>
        <v>Cosmética e higiene pessoal</v>
      </c>
      <c r="E9" s="26" t="s">
        <v>904</v>
      </c>
      <c r="F9" s="26" t="s">
        <v>1450</v>
      </c>
      <c r="G9" s="26" t="s">
        <v>1143</v>
      </c>
      <c r="H9" s="33" t="str">
        <f>IF(E9="Não","Não aplicável",IFERROR(IF(B9="EU-ENV-002",IF(INDEX(tbl_recyclass[Conforme_PPWR_2030],MATCH(A9,tbl_recyclass[ProductId],0))="Sim","Conforme (autoavaliação)",IF(INDEX(tbl_recyclass[Conforme_PPWR_2030],MATCH(A9,tbl_recyclass[ProductId],0))="Não","Não conforme em 2030","Isento até 2035")),IF(B9="EU-ENV-003",IF(INDEX(tbl_recyclass[Conforme_Art7_2030],MATCH(A9,tbl_recyclass[ProductId],0))="Sim","Conforme (meta 2030)",IF(INDEX(tbl_recyclass[Conforme_Art7_2030],MATCH(A9,tbl_recyclass[ProductId],0))="Não","Lacuna face à meta 2030","Isento")),IF(B9="EU-ENV-011",IF(INDEX(tbl_familias_ppwr[Metais_Pesados_Evidencia],MATCH(INDEX(tbl_recyclass[Familia_PPWR],MATCH(A9,tbl_recyclass[ProductId],0)),tbl_familias_ppwr[ID_Familia],0))="Em falta","Lacuna","Conforme"),IF(B9="EU-ENV-013",IF(INDEX(tbl_familias_ppwr[Declaracao_UE],MATCH(INDEX(tbl_recyclass[Familia_PPWR],MATCH(A9,tbl_recyclass[ProductId],0)),tbl_familias_ppwr[ID_Familia],0))="Sim","Conforme","Lacuna"),G9)))),G9))</f>
        <v>Não aplicável</v>
      </c>
      <c r="I9" s="33" t="str">
        <f t="shared" si="0"/>
        <v>Não aplicável</v>
      </c>
      <c r="J9" s="26"/>
    </row>
    <row r="10" spans="1:10" ht="16.05" customHeight="1" x14ac:dyDescent="0.3">
      <c r="A10" s="26" t="s">
        <v>585</v>
      </c>
      <c r="B10" s="26" t="s">
        <v>1102</v>
      </c>
      <c r="C10" s="33" t="str">
        <f>IFERROR(INDEX(tbl_requisitos_emb[Tema],MATCH(B10,tbl_requisitos_emb[ID_Req],0)),"")</f>
        <v>Documentação técnica e declaração UE</v>
      </c>
      <c r="D10" s="33" t="str">
        <f>IFERROR(INDEX(tbl_recyclass[Segmento],MATCH(A10,tbl_recyclass[ProductId],0)),"")</f>
        <v>Cosmética e higiene pessoal</v>
      </c>
      <c r="E10" s="26" t="s">
        <v>901</v>
      </c>
      <c r="F10" s="26" t="s">
        <v>1449</v>
      </c>
      <c r="G10" s="26" t="s">
        <v>978</v>
      </c>
      <c r="H10" s="33" t="str">
        <f>IF(E10="Não","Não aplicável",IFERROR(IF(B10="EU-ENV-002",IF(INDEX(tbl_recyclass[Conforme_PPWR_2030],MATCH(A10,tbl_recyclass[ProductId],0))="Sim","Conforme (autoavaliação)",IF(INDEX(tbl_recyclass[Conforme_PPWR_2030],MATCH(A10,tbl_recyclass[ProductId],0))="Não","Não conforme em 2030","Isento até 2035")),IF(B10="EU-ENV-003",IF(INDEX(tbl_recyclass[Conforme_Art7_2030],MATCH(A10,tbl_recyclass[ProductId],0))="Sim","Conforme (meta 2030)",IF(INDEX(tbl_recyclass[Conforme_Art7_2030],MATCH(A10,tbl_recyclass[ProductId],0))="Não","Lacuna face à meta 2030","Isento")),IF(B10="EU-ENV-011",IF(INDEX(tbl_familias_ppwr[Metais_Pesados_Evidencia],MATCH(INDEX(tbl_recyclass[Familia_PPWR],MATCH(A10,tbl_recyclass[ProductId],0)),tbl_familias_ppwr[ID_Familia],0))="Em falta","Lacuna","Conforme"),IF(B10="EU-ENV-013",IF(INDEX(tbl_familias_ppwr[Declaracao_UE],MATCH(INDEX(tbl_recyclass[Familia_PPWR],MATCH(A10,tbl_recyclass[ProductId],0)),tbl_familias_ppwr[ID_Familia],0))="Sim","Conforme","Lacuna"),G10)))),G10))</f>
        <v>Conforme</v>
      </c>
      <c r="I10" s="33" t="str">
        <f t="shared" si="0"/>
        <v>Conforme</v>
      </c>
      <c r="J10" s="26" t="s">
        <v>1106</v>
      </c>
    </row>
    <row r="11" spans="1:10" ht="16.05" customHeight="1" x14ac:dyDescent="0.3">
      <c r="A11" s="26" t="s">
        <v>585</v>
      </c>
      <c r="B11" s="26" t="s">
        <v>1161</v>
      </c>
      <c r="C11" s="33" t="str">
        <f>IFERROR(INDEX(tbl_requisitos_emb[Tema],MATCH(B11,tbl_requisitos_emb[ID_Req],0)),"")</f>
        <v>Materiais em contacto com alimentos</v>
      </c>
      <c r="D11" s="33" t="str">
        <f>IFERROR(INDEX(tbl_recyclass[Segmento],MATCH(A11,tbl_recyclass[ProductId],0)),"")</f>
        <v>Cosmética e higiene pessoal</v>
      </c>
      <c r="E11" s="26" t="s">
        <v>904</v>
      </c>
      <c r="F11" s="26" t="s">
        <v>1450</v>
      </c>
      <c r="G11" s="26" t="s">
        <v>1143</v>
      </c>
      <c r="H11" s="33" t="str">
        <f>IF(E11="Não","Não aplicável",IFERROR(IF(B11="EU-ENV-002",IF(INDEX(tbl_recyclass[Conforme_PPWR_2030],MATCH(A11,tbl_recyclass[ProductId],0))="Sim","Conforme (autoavaliação)",IF(INDEX(tbl_recyclass[Conforme_PPWR_2030],MATCH(A11,tbl_recyclass[ProductId],0))="Não","Não conforme em 2030","Isento até 2035")),IF(B11="EU-ENV-003",IF(INDEX(tbl_recyclass[Conforme_Art7_2030],MATCH(A11,tbl_recyclass[ProductId],0))="Sim","Conforme (meta 2030)",IF(INDEX(tbl_recyclass[Conforme_Art7_2030],MATCH(A11,tbl_recyclass[ProductId],0))="Não","Lacuna face à meta 2030","Isento")),IF(B11="EU-ENV-011",IF(INDEX(tbl_familias_ppwr[Metais_Pesados_Evidencia],MATCH(INDEX(tbl_recyclass[Familia_PPWR],MATCH(A11,tbl_recyclass[ProductId],0)),tbl_familias_ppwr[ID_Familia],0))="Em falta","Lacuna","Conforme"),IF(B11="EU-ENV-013",IF(INDEX(tbl_familias_ppwr[Declaracao_UE],MATCH(INDEX(tbl_recyclass[Familia_PPWR],MATCH(A11,tbl_recyclass[ProductId],0)),tbl_familias_ppwr[ID_Familia],0))="Sim","Conforme","Lacuna"),G11)))),G11))</f>
        <v>Não aplicável</v>
      </c>
      <c r="I11" s="33" t="str">
        <f t="shared" si="0"/>
        <v>Não aplicável</v>
      </c>
      <c r="J11" s="26"/>
    </row>
    <row r="12" spans="1:10" ht="16.05" customHeight="1" x14ac:dyDescent="0.3">
      <c r="A12" s="26" t="s">
        <v>585</v>
      </c>
      <c r="B12" s="26" t="s">
        <v>1170</v>
      </c>
      <c r="C12" s="33" t="str">
        <f>IFERROR(INDEX(tbl_requisitos_emb[Tema],MATCH(B12,tbl_requisitos_emb[ID_Req],0)),"")</f>
        <v>Boas práticas de fabrico FCM</v>
      </c>
      <c r="D12" s="33" t="str">
        <f>IFERROR(INDEX(tbl_recyclass[Segmento],MATCH(A12,tbl_recyclass[ProductId],0)),"")</f>
        <v>Cosmética e higiene pessoal</v>
      </c>
      <c r="E12" s="26" t="s">
        <v>904</v>
      </c>
      <c r="F12" s="26" t="s">
        <v>1450</v>
      </c>
      <c r="G12" s="26" t="s">
        <v>1143</v>
      </c>
      <c r="H12" s="33" t="str">
        <f>IF(E12="Não","Não aplicável",IFERROR(IF(B12="EU-ENV-002",IF(INDEX(tbl_recyclass[Conforme_PPWR_2030],MATCH(A12,tbl_recyclass[ProductId],0))="Sim","Conforme (autoavaliação)",IF(INDEX(tbl_recyclass[Conforme_PPWR_2030],MATCH(A12,tbl_recyclass[ProductId],0))="Não","Não conforme em 2030","Isento até 2035")),IF(B12="EU-ENV-003",IF(INDEX(tbl_recyclass[Conforme_Art7_2030],MATCH(A12,tbl_recyclass[ProductId],0))="Sim","Conforme (meta 2030)",IF(INDEX(tbl_recyclass[Conforme_Art7_2030],MATCH(A12,tbl_recyclass[ProductId],0))="Não","Lacuna face à meta 2030","Isento")),IF(B12="EU-ENV-011",IF(INDEX(tbl_familias_ppwr[Metais_Pesados_Evidencia],MATCH(INDEX(tbl_recyclass[Familia_PPWR],MATCH(A12,tbl_recyclass[ProductId],0)),tbl_familias_ppwr[ID_Familia],0))="Em falta","Lacuna","Conforme"),IF(B12="EU-ENV-013",IF(INDEX(tbl_familias_ppwr[Declaracao_UE],MATCH(INDEX(tbl_recyclass[Familia_PPWR],MATCH(A12,tbl_recyclass[ProductId],0)),tbl_familias_ppwr[ID_Familia],0))="Sim","Conforme","Lacuna"),G12)))),G12))</f>
        <v>Não aplicável</v>
      </c>
      <c r="I12" s="33" t="str">
        <f t="shared" si="0"/>
        <v>Não aplicável</v>
      </c>
      <c r="J12" s="26"/>
    </row>
    <row r="13" spans="1:10" ht="16.05" customHeight="1" x14ac:dyDescent="0.3">
      <c r="A13" s="26" t="s">
        <v>585</v>
      </c>
      <c r="B13" s="26" t="s">
        <v>1179</v>
      </c>
      <c r="C13" s="33" t="str">
        <f>IFERROR(INDEX(tbl_requisitos_emb[Tema],MATCH(B13,tbl_requisitos_emb[ID_Req],0)),"")</f>
        <v>Bisfenol A e bisfenóis perigosos</v>
      </c>
      <c r="D13" s="33" t="str">
        <f>IFERROR(INDEX(tbl_recyclass[Segmento],MATCH(A13,tbl_recyclass[ProductId],0)),"")</f>
        <v>Cosmética e higiene pessoal</v>
      </c>
      <c r="E13" s="26" t="s">
        <v>904</v>
      </c>
      <c r="F13" s="26" t="s">
        <v>1450</v>
      </c>
      <c r="G13" s="26" t="s">
        <v>1143</v>
      </c>
      <c r="H13" s="33" t="str">
        <f>IF(E13="Não","Não aplicável",IFERROR(IF(B13="EU-ENV-002",IF(INDEX(tbl_recyclass[Conforme_PPWR_2030],MATCH(A13,tbl_recyclass[ProductId],0))="Sim","Conforme (autoavaliação)",IF(INDEX(tbl_recyclass[Conforme_PPWR_2030],MATCH(A13,tbl_recyclass[ProductId],0))="Não","Não conforme em 2030","Isento até 2035")),IF(B13="EU-ENV-003",IF(INDEX(tbl_recyclass[Conforme_Art7_2030],MATCH(A13,tbl_recyclass[ProductId],0))="Sim","Conforme (meta 2030)",IF(INDEX(tbl_recyclass[Conforme_Art7_2030],MATCH(A13,tbl_recyclass[ProductId],0))="Não","Lacuna face à meta 2030","Isento")),IF(B13="EU-ENV-011",IF(INDEX(tbl_familias_ppwr[Metais_Pesados_Evidencia],MATCH(INDEX(tbl_recyclass[Familia_PPWR],MATCH(A13,tbl_recyclass[ProductId],0)),tbl_familias_ppwr[ID_Familia],0))="Em falta","Lacuna","Conforme"),IF(B13="EU-ENV-013",IF(INDEX(tbl_familias_ppwr[Declaracao_UE],MATCH(INDEX(tbl_recyclass[Familia_PPWR],MATCH(A13,tbl_recyclass[ProductId],0)),tbl_familias_ppwr[ID_Familia],0))="Sim","Conforme","Lacuna"),G13)))),G13))</f>
        <v>Não aplicável</v>
      </c>
      <c r="I13" s="33" t="str">
        <f t="shared" si="0"/>
        <v>Não aplicável</v>
      </c>
      <c r="J13" s="26"/>
    </row>
    <row r="14" spans="1:10" ht="16.05" customHeight="1" x14ac:dyDescent="0.3">
      <c r="A14" s="26" t="s">
        <v>585</v>
      </c>
      <c r="B14" s="26" t="s">
        <v>1188</v>
      </c>
      <c r="C14" s="33" t="str">
        <f>IFERROR(INDEX(tbl_requisitos_emb[Tema],MATCH(B14,tbl_requisitos_emb[ID_Req],0)),"")</f>
        <v>Plásticos em contacto com alimentos</v>
      </c>
      <c r="D14" s="33" t="str">
        <f>IFERROR(INDEX(tbl_recyclass[Segmento],MATCH(A14,tbl_recyclass[ProductId],0)),"")</f>
        <v>Cosmética e higiene pessoal</v>
      </c>
      <c r="E14" s="26" t="s">
        <v>904</v>
      </c>
      <c r="F14" s="26" t="s">
        <v>1450</v>
      </c>
      <c r="G14" s="26" t="s">
        <v>1143</v>
      </c>
      <c r="H14" s="33" t="str">
        <f>IF(E14="Não","Não aplicável",IFERROR(IF(B14="EU-ENV-002",IF(INDEX(tbl_recyclass[Conforme_PPWR_2030],MATCH(A14,tbl_recyclass[ProductId],0))="Sim","Conforme (autoavaliação)",IF(INDEX(tbl_recyclass[Conforme_PPWR_2030],MATCH(A14,tbl_recyclass[ProductId],0))="Não","Não conforme em 2030","Isento até 2035")),IF(B14="EU-ENV-003",IF(INDEX(tbl_recyclass[Conforme_Art7_2030],MATCH(A14,tbl_recyclass[ProductId],0))="Sim","Conforme (meta 2030)",IF(INDEX(tbl_recyclass[Conforme_Art7_2030],MATCH(A14,tbl_recyclass[ProductId],0))="Não","Lacuna face à meta 2030","Isento")),IF(B14="EU-ENV-011",IF(INDEX(tbl_familias_ppwr[Metais_Pesados_Evidencia],MATCH(INDEX(tbl_recyclass[Familia_PPWR],MATCH(A14,tbl_recyclass[ProductId],0)),tbl_familias_ppwr[ID_Familia],0))="Em falta","Lacuna","Conforme"),IF(B14="EU-ENV-013",IF(INDEX(tbl_familias_ppwr[Declaracao_UE],MATCH(INDEX(tbl_recyclass[Familia_PPWR],MATCH(A14,tbl_recyclass[ProductId],0)),tbl_familias_ppwr[ID_Familia],0))="Sim","Conforme","Lacuna"),G14)))),G14))</f>
        <v>Não aplicável</v>
      </c>
      <c r="I14" s="33" t="str">
        <f t="shared" si="0"/>
        <v>Não aplicável</v>
      </c>
      <c r="J14" s="26"/>
    </row>
    <row r="15" spans="1:10" ht="16.05" customHeight="1" x14ac:dyDescent="0.3">
      <c r="A15" s="26" t="s">
        <v>585</v>
      </c>
      <c r="B15" s="26" t="s">
        <v>1212</v>
      </c>
      <c r="C15" s="33" t="str">
        <f>IFERROR(INDEX(tbl_requisitos_emb[Tema],MATCH(B15,tbl_requisitos_emb[ID_Req],0)),"")</f>
        <v>Segurança do produto cosmético</v>
      </c>
      <c r="D15" s="33" t="str">
        <f>IFERROR(INDEX(tbl_recyclass[Segmento],MATCH(A15,tbl_recyclass[ProductId],0)),"")</f>
        <v>Cosmética e higiene pessoal</v>
      </c>
      <c r="E15" s="26" t="s">
        <v>901</v>
      </c>
      <c r="F15" s="26" t="s">
        <v>1449</v>
      </c>
      <c r="G15" s="26" t="s">
        <v>1033</v>
      </c>
      <c r="H15" s="33" t="str">
        <f>IF(E15="Não","Não aplicável",IFERROR(IF(B15="EU-ENV-002",IF(INDEX(tbl_recyclass[Conforme_PPWR_2030],MATCH(A15,tbl_recyclass[ProductId],0))="Sim","Conforme (autoavaliação)",IF(INDEX(tbl_recyclass[Conforme_PPWR_2030],MATCH(A15,tbl_recyclass[ProductId],0))="Não","Não conforme em 2030","Isento até 2035")),IF(B15="EU-ENV-003",IF(INDEX(tbl_recyclass[Conforme_Art7_2030],MATCH(A15,tbl_recyclass[ProductId],0))="Sim","Conforme (meta 2030)",IF(INDEX(tbl_recyclass[Conforme_Art7_2030],MATCH(A15,tbl_recyclass[ProductId],0))="Não","Lacuna face à meta 2030","Isento")),IF(B15="EU-ENV-011",IF(INDEX(tbl_familias_ppwr[Metais_Pesados_Evidencia],MATCH(INDEX(tbl_recyclass[Familia_PPWR],MATCH(A15,tbl_recyclass[ProductId],0)),tbl_familias_ppwr[ID_Familia],0))="Em falta","Lacuna","Conforme"),IF(B15="EU-ENV-013",IF(INDEX(tbl_familias_ppwr[Declaracao_UE],MATCH(INDEX(tbl_recyclass[Familia_PPWR],MATCH(A15,tbl_recyclass[ProductId],0)),tbl_familias_ppwr[ID_Familia],0))="Sim","Conforme","Lacuna"),G15)))),G15))</f>
        <v>Conforme</v>
      </c>
      <c r="I15" s="33" t="str">
        <f t="shared" si="0"/>
        <v>Conforme</v>
      </c>
      <c r="J15" s="26" t="s">
        <v>1221</v>
      </c>
    </row>
    <row r="16" spans="1:10" ht="16.05" customHeight="1" x14ac:dyDescent="0.3">
      <c r="A16" s="26" t="s">
        <v>585</v>
      </c>
      <c r="B16" s="26" t="s">
        <v>1224</v>
      </c>
      <c r="C16" s="33" t="str">
        <f>IFERROR(INDEX(tbl_requisitos_emb[Tema],MATCH(B16,tbl_requisitos_emb[ID_Req],0)),"")</f>
        <v>Materiais e impurezas</v>
      </c>
      <c r="D16" s="33" t="str">
        <f>IFERROR(INDEX(tbl_recyclass[Segmento],MATCH(A16,tbl_recyclass[ProductId],0)),"")</f>
        <v>Cosmética e higiene pessoal</v>
      </c>
      <c r="E16" s="26" t="s">
        <v>901</v>
      </c>
      <c r="F16" s="26" t="s">
        <v>1449</v>
      </c>
      <c r="G16" s="26" t="s">
        <v>978</v>
      </c>
      <c r="H16" s="33" t="str">
        <f>IF(E16="Não","Não aplicável",IFERROR(IF(B16="EU-ENV-002",IF(INDEX(tbl_recyclass[Conforme_PPWR_2030],MATCH(A16,tbl_recyclass[ProductId],0))="Sim","Conforme (autoavaliação)",IF(INDEX(tbl_recyclass[Conforme_PPWR_2030],MATCH(A16,tbl_recyclass[ProductId],0))="Não","Não conforme em 2030","Isento até 2035")),IF(B16="EU-ENV-003",IF(INDEX(tbl_recyclass[Conforme_Art7_2030],MATCH(A16,tbl_recyclass[ProductId],0))="Sim","Conforme (meta 2030)",IF(INDEX(tbl_recyclass[Conforme_Art7_2030],MATCH(A16,tbl_recyclass[ProductId],0))="Não","Lacuna face à meta 2030","Isento")),IF(B16="EU-ENV-011",IF(INDEX(tbl_familias_ppwr[Metais_Pesados_Evidencia],MATCH(INDEX(tbl_recyclass[Familia_PPWR],MATCH(A16,tbl_recyclass[ProductId],0)),tbl_familias_ppwr[ID_Familia],0))="Em falta","Lacuna","Conforme"),IF(B16="EU-ENV-013",IF(INDEX(tbl_familias_ppwr[Declaracao_UE],MATCH(INDEX(tbl_recyclass[Familia_PPWR],MATCH(A16,tbl_recyclass[ProductId],0)),tbl_familias_ppwr[ID_Familia],0))="Sim","Conforme","Lacuna"),G16)))),G16))</f>
        <v>Parcial</v>
      </c>
      <c r="I16" s="33" t="str">
        <f t="shared" si="0"/>
        <v>Parcial</v>
      </c>
      <c r="J16" s="26" t="s">
        <v>1228</v>
      </c>
    </row>
    <row r="17" spans="1:10" ht="16.05" customHeight="1" x14ac:dyDescent="0.3">
      <c r="A17" s="26" t="s">
        <v>585</v>
      </c>
      <c r="B17" s="26" t="s">
        <v>1240</v>
      </c>
      <c r="C17" s="33" t="str">
        <f>IFERROR(INDEX(tbl_requisitos_emb[Tema],MATCH(B17,tbl_requisitos_emb[ID_Req],0)),"")</f>
        <v>Compatibilidade embalagem–produto</v>
      </c>
      <c r="D17" s="33" t="str">
        <f>IFERROR(INDEX(tbl_recyclass[Segmento],MATCH(A17,tbl_recyclass[ProductId],0)),"")</f>
        <v>Cosmética e higiene pessoal</v>
      </c>
      <c r="E17" s="26" t="s">
        <v>901</v>
      </c>
      <c r="F17" s="26" t="s">
        <v>1449</v>
      </c>
      <c r="G17" s="26" t="s">
        <v>1033</v>
      </c>
      <c r="H17" s="33" t="str">
        <f>IF(E17="Não","Não aplicável",IFERROR(IF(B17="EU-ENV-002",IF(INDEX(tbl_recyclass[Conforme_PPWR_2030],MATCH(A17,tbl_recyclass[ProductId],0))="Sim","Conforme (autoavaliação)",IF(INDEX(tbl_recyclass[Conforme_PPWR_2030],MATCH(A17,tbl_recyclass[ProductId],0))="Não","Não conforme em 2030","Isento até 2035")),IF(B17="EU-ENV-003",IF(INDEX(tbl_recyclass[Conforme_Art7_2030],MATCH(A17,tbl_recyclass[ProductId],0))="Sim","Conforme (meta 2030)",IF(INDEX(tbl_recyclass[Conforme_Art7_2030],MATCH(A17,tbl_recyclass[ProductId],0))="Não","Lacuna face à meta 2030","Isento")),IF(B17="EU-ENV-011",IF(INDEX(tbl_familias_ppwr[Metais_Pesados_Evidencia],MATCH(INDEX(tbl_recyclass[Familia_PPWR],MATCH(A17,tbl_recyclass[ProductId],0)),tbl_familias_ppwr[ID_Familia],0))="Em falta","Lacuna","Conforme"),IF(B17="EU-ENV-013",IF(INDEX(tbl_familias_ppwr[Declaracao_UE],MATCH(INDEX(tbl_recyclass[Familia_PPWR],MATCH(A17,tbl_recyclass[ProductId],0)),tbl_familias_ppwr[ID_Familia],0))="Sim","Conforme","Lacuna"),G17)))),G17))</f>
        <v>Conforme</v>
      </c>
      <c r="I17" s="33" t="str">
        <f t="shared" si="0"/>
        <v>Conforme</v>
      </c>
      <c r="J17" s="26" t="s">
        <v>1244</v>
      </c>
    </row>
    <row r="18" spans="1:10" ht="16.05" customHeight="1" x14ac:dyDescent="0.3">
      <c r="A18" s="26" t="s">
        <v>585</v>
      </c>
      <c r="B18" s="26" t="s">
        <v>1252</v>
      </c>
      <c r="C18" s="33" t="str">
        <f>IFERROR(INDEX(tbl_requisitos_emb[Tema],MATCH(B18,tbl_requisitos_emb[ID_Req],0)),"")</f>
        <v>Medicamentos de uso humano</v>
      </c>
      <c r="D18" s="33" t="str">
        <f>IFERROR(INDEX(tbl_recyclass[Segmento],MATCH(A18,tbl_recyclass[ProductId],0)),"")</f>
        <v>Cosmética e higiene pessoal</v>
      </c>
      <c r="E18" s="26" t="s">
        <v>904</v>
      </c>
      <c r="F18" s="26" t="s">
        <v>1451</v>
      </c>
      <c r="G18" s="26" t="s">
        <v>1143</v>
      </c>
      <c r="H18" s="33" t="str">
        <f>IF(E18="Não","Não aplicável",IFERROR(IF(B18="EU-ENV-002",IF(INDEX(tbl_recyclass[Conforme_PPWR_2030],MATCH(A18,tbl_recyclass[ProductId],0))="Sim","Conforme (autoavaliação)",IF(INDEX(tbl_recyclass[Conforme_PPWR_2030],MATCH(A18,tbl_recyclass[ProductId],0))="Não","Não conforme em 2030","Isento até 2035")),IF(B18="EU-ENV-003",IF(INDEX(tbl_recyclass[Conforme_Art7_2030],MATCH(A18,tbl_recyclass[ProductId],0))="Sim","Conforme (meta 2030)",IF(INDEX(tbl_recyclass[Conforme_Art7_2030],MATCH(A18,tbl_recyclass[ProductId],0))="Não","Lacuna face à meta 2030","Isento")),IF(B18="EU-ENV-011",IF(INDEX(tbl_familias_ppwr[Metais_Pesados_Evidencia],MATCH(INDEX(tbl_recyclass[Familia_PPWR],MATCH(A18,tbl_recyclass[ProductId],0)),tbl_familias_ppwr[ID_Familia],0))="Em falta","Lacuna","Conforme"),IF(B18="EU-ENV-013",IF(INDEX(tbl_familias_ppwr[Declaracao_UE],MATCH(INDEX(tbl_recyclass[Familia_PPWR],MATCH(A18,tbl_recyclass[ProductId],0)),tbl_familias_ppwr[ID_Familia],0))="Sim","Conforme","Lacuna"),G18)))),G18))</f>
        <v>Não aplicável</v>
      </c>
      <c r="I18" s="33" t="str">
        <f t="shared" si="0"/>
        <v>Não aplicável</v>
      </c>
      <c r="J18" s="26"/>
    </row>
    <row r="19" spans="1:10" ht="16.05" customHeight="1" x14ac:dyDescent="0.3">
      <c r="A19" s="26" t="s">
        <v>585</v>
      </c>
      <c r="B19" s="26" t="s">
        <v>1268</v>
      </c>
      <c r="C19" s="33" t="str">
        <f>IFERROR(INDEX(tbl_requisitos_emb[Tema],MATCH(B19,tbl_requisitos_emb[ID_Req],0)),"")</f>
        <v>Dispositivos de segurança</v>
      </c>
      <c r="D19" s="33" t="str">
        <f>IFERROR(INDEX(tbl_recyclass[Segmento],MATCH(A19,tbl_recyclass[ProductId],0)),"")</f>
        <v>Cosmética e higiene pessoal</v>
      </c>
      <c r="E19" s="26" t="s">
        <v>904</v>
      </c>
      <c r="F19" s="26" t="s">
        <v>1451</v>
      </c>
      <c r="G19" s="26" t="s">
        <v>1143</v>
      </c>
      <c r="H19" s="33" t="str">
        <f>IF(E19="Não","Não aplicável",IFERROR(IF(B19="EU-ENV-002",IF(INDEX(tbl_recyclass[Conforme_PPWR_2030],MATCH(A19,tbl_recyclass[ProductId],0))="Sim","Conforme (autoavaliação)",IF(INDEX(tbl_recyclass[Conforme_PPWR_2030],MATCH(A19,tbl_recyclass[ProductId],0))="Não","Não conforme em 2030","Isento até 2035")),IF(B19="EU-ENV-003",IF(INDEX(tbl_recyclass[Conforme_Art7_2030],MATCH(A19,tbl_recyclass[ProductId],0))="Sim","Conforme (meta 2030)",IF(INDEX(tbl_recyclass[Conforme_Art7_2030],MATCH(A19,tbl_recyclass[ProductId],0))="Não","Lacuna face à meta 2030","Isento")),IF(B19="EU-ENV-011",IF(INDEX(tbl_familias_ppwr[Metais_Pesados_Evidencia],MATCH(INDEX(tbl_recyclass[Familia_PPWR],MATCH(A19,tbl_recyclass[ProductId],0)),tbl_familias_ppwr[ID_Familia],0))="Em falta","Lacuna","Conforme"),IF(B19="EU-ENV-013",IF(INDEX(tbl_familias_ppwr[Declaracao_UE],MATCH(INDEX(tbl_recyclass[Familia_PPWR],MATCH(A19,tbl_recyclass[ProductId],0)),tbl_familias_ppwr[ID_Familia],0))="Sim","Conforme","Lacuna"),G19)))),G19))</f>
        <v>Não aplicável</v>
      </c>
      <c r="I19" s="33" t="str">
        <f t="shared" si="0"/>
        <v>Não aplicável</v>
      </c>
      <c r="J19" s="26"/>
    </row>
    <row r="20" spans="1:10" ht="16.05" customHeight="1" x14ac:dyDescent="0.3">
      <c r="A20" s="26" t="s">
        <v>585</v>
      </c>
      <c r="B20" s="26" t="s">
        <v>1285</v>
      </c>
      <c r="C20" s="33" t="str">
        <f>IFERROR(INDEX(tbl_requisitos_emb[Tema],MATCH(B20,tbl_requisitos_emb[ID_Req],0)),"")</f>
        <v>Materiais plásticos de acondicionamento primário</v>
      </c>
      <c r="D20" s="33" t="str">
        <f>IFERROR(INDEX(tbl_recyclass[Segmento],MATCH(A20,tbl_recyclass[ProductId],0)),"")</f>
        <v>Cosmética e higiene pessoal</v>
      </c>
      <c r="E20" s="26" t="s">
        <v>904</v>
      </c>
      <c r="F20" s="26" t="s">
        <v>1451</v>
      </c>
      <c r="G20" s="26" t="s">
        <v>1143</v>
      </c>
      <c r="H20" s="33" t="str">
        <f>IF(E20="Não","Não aplicável",IFERROR(IF(B20="EU-ENV-002",IF(INDEX(tbl_recyclass[Conforme_PPWR_2030],MATCH(A20,tbl_recyclass[ProductId],0))="Sim","Conforme (autoavaliação)",IF(INDEX(tbl_recyclass[Conforme_PPWR_2030],MATCH(A20,tbl_recyclass[ProductId],0))="Não","Não conforme em 2030","Isento até 2035")),IF(B20="EU-ENV-003",IF(INDEX(tbl_recyclass[Conforme_Art7_2030],MATCH(A20,tbl_recyclass[ProductId],0))="Sim","Conforme (meta 2030)",IF(INDEX(tbl_recyclass[Conforme_Art7_2030],MATCH(A20,tbl_recyclass[ProductId],0))="Não","Lacuna face à meta 2030","Isento")),IF(B20="EU-ENV-011",IF(INDEX(tbl_familias_ppwr[Metais_Pesados_Evidencia],MATCH(INDEX(tbl_recyclass[Familia_PPWR],MATCH(A20,tbl_recyclass[ProductId],0)),tbl_familias_ppwr[ID_Familia],0))="Em falta","Lacuna","Conforme"),IF(B20="EU-ENV-013",IF(INDEX(tbl_familias_ppwr[Declaracao_UE],MATCH(INDEX(tbl_recyclass[Familia_PPWR],MATCH(A20,tbl_recyclass[ProductId],0)),tbl_familias_ppwr[ID_Familia],0))="Sim","Conforme","Lacuna"),G20)))),G20))</f>
        <v>Não aplicável</v>
      </c>
      <c r="I20" s="33" t="str">
        <f t="shared" si="0"/>
        <v>Não aplicável</v>
      </c>
      <c r="J20" s="26"/>
    </row>
    <row r="21" spans="1:10" ht="16.05" customHeight="1" x14ac:dyDescent="0.3">
      <c r="A21" s="26" t="s">
        <v>585</v>
      </c>
      <c r="B21" s="26" t="s">
        <v>1293</v>
      </c>
      <c r="C21" s="33" t="str">
        <f>IFERROR(INDEX(tbl_requisitos_emb[Tema],MATCH(B21,tbl_requisitos_emb[ID_Req],0)),"")</f>
        <v>Isenções PPWR</v>
      </c>
      <c r="D21" s="33" t="str">
        <f>IFERROR(INDEX(tbl_recyclass[Segmento],MATCH(A21,tbl_recyclass[ProductId],0)),"")</f>
        <v>Cosmética e higiene pessoal</v>
      </c>
      <c r="E21" s="26" t="s">
        <v>904</v>
      </c>
      <c r="F21" s="26" t="s">
        <v>1451</v>
      </c>
      <c r="G21" s="26" t="s">
        <v>1143</v>
      </c>
      <c r="H21" s="33" t="str">
        <f>IF(E21="Não","Não aplicável",IFERROR(IF(B21="EU-ENV-002",IF(INDEX(tbl_recyclass[Conforme_PPWR_2030],MATCH(A21,tbl_recyclass[ProductId],0))="Sim","Conforme (autoavaliação)",IF(INDEX(tbl_recyclass[Conforme_PPWR_2030],MATCH(A21,tbl_recyclass[ProductId],0))="Não","Não conforme em 2030","Isento até 2035")),IF(B21="EU-ENV-003",IF(INDEX(tbl_recyclass[Conforme_Art7_2030],MATCH(A21,tbl_recyclass[ProductId],0))="Sim","Conforme (meta 2030)",IF(INDEX(tbl_recyclass[Conforme_Art7_2030],MATCH(A21,tbl_recyclass[ProductId],0))="Não","Lacuna face à meta 2030","Isento")),IF(B21="EU-ENV-011",IF(INDEX(tbl_familias_ppwr[Metais_Pesados_Evidencia],MATCH(INDEX(tbl_recyclass[Familia_PPWR],MATCH(A21,tbl_recyclass[ProductId],0)),tbl_familias_ppwr[ID_Familia],0))="Em falta","Lacuna","Conforme"),IF(B21="EU-ENV-013",IF(INDEX(tbl_familias_ppwr[Declaracao_UE],MATCH(INDEX(tbl_recyclass[Familia_PPWR],MATCH(A21,tbl_recyclass[ProductId],0)),tbl_familias_ppwr[ID_Familia],0))="Sim","Conforme","Lacuna"),G21)))),G21))</f>
        <v>Não aplicável</v>
      </c>
      <c r="I21" s="33" t="str">
        <f t="shared" si="0"/>
        <v>Não aplicável</v>
      </c>
      <c r="J21" s="26"/>
    </row>
    <row r="22" spans="1:10" ht="16.05" customHeight="1" x14ac:dyDescent="0.3">
      <c r="A22" s="26" t="s">
        <v>585</v>
      </c>
      <c r="B22" s="26" t="s">
        <v>1357</v>
      </c>
      <c r="C22" s="33" t="str">
        <f>IFERROR(INDEX(tbl_requisitos_emb[Tema],MATCH(B22,tbl_requisitos_emb[ID_Req],0)),"")</f>
        <v>Identificação de plásticos</v>
      </c>
      <c r="D22" s="33" t="str">
        <f>IFERROR(INDEX(tbl_recyclass[Segmento],MATCH(A22,tbl_recyclass[ProductId],0)),"")</f>
        <v>Cosmética e higiene pessoal</v>
      </c>
      <c r="E22" s="26" t="s">
        <v>901</v>
      </c>
      <c r="F22" s="26" t="s">
        <v>1449</v>
      </c>
      <c r="G22" s="26" t="s">
        <v>978</v>
      </c>
      <c r="H22" s="33" t="str">
        <f>IF(E22="Não","Não aplicável",IFERROR(IF(B22="EU-ENV-002",IF(INDEX(tbl_recyclass[Conforme_PPWR_2030],MATCH(A22,tbl_recyclass[ProductId],0))="Sim","Conforme (autoavaliação)",IF(INDEX(tbl_recyclass[Conforme_PPWR_2030],MATCH(A22,tbl_recyclass[ProductId],0))="Não","Não conforme em 2030","Isento até 2035")),IF(B22="EU-ENV-003",IF(INDEX(tbl_recyclass[Conforme_Art7_2030],MATCH(A22,tbl_recyclass[ProductId],0))="Sim","Conforme (meta 2030)",IF(INDEX(tbl_recyclass[Conforme_Art7_2030],MATCH(A22,tbl_recyclass[ProductId],0))="Não","Lacuna face à meta 2030","Isento")),IF(B22="EU-ENV-011",IF(INDEX(tbl_familias_ppwr[Metais_Pesados_Evidencia],MATCH(INDEX(tbl_recyclass[Familia_PPWR],MATCH(A22,tbl_recyclass[ProductId],0)),tbl_familias_ppwr[ID_Familia],0))="Em falta","Lacuna","Conforme"),IF(B22="EU-ENV-013",IF(INDEX(tbl_familias_ppwr[Declaracao_UE],MATCH(INDEX(tbl_recyclass[Familia_PPWR],MATCH(A22,tbl_recyclass[ProductId],0)),tbl_familias_ppwr[ID_Familia],0))="Sim","Conforme","Lacuna"),G22)))),G22))</f>
        <v>Parcial</v>
      </c>
      <c r="I22" s="33" t="str">
        <f t="shared" si="0"/>
        <v>Parcial</v>
      </c>
      <c r="J22" s="26" t="s">
        <v>1362</v>
      </c>
    </row>
    <row r="23" spans="1:10" ht="16.05" customHeight="1" x14ac:dyDescent="0.3">
      <c r="A23" s="26" t="s">
        <v>585</v>
      </c>
      <c r="B23" s="26" t="s">
        <v>1385</v>
      </c>
      <c r="C23" s="33" t="str">
        <f>IFERROR(INDEX(tbl_requisitos_emb[Tema],MATCH(B23,tbl_requisitos_emb[ID_Req],0)),"")</f>
        <v>Reciclabilidade (voluntária)</v>
      </c>
      <c r="D23" s="33" t="str">
        <f>IFERROR(INDEX(tbl_recyclass[Segmento],MATCH(A23,tbl_recyclass[ProductId],0)),"")</f>
        <v>Cosmética e higiene pessoal</v>
      </c>
      <c r="E23" s="26" t="s">
        <v>901</v>
      </c>
      <c r="F23" s="26" t="s">
        <v>1449</v>
      </c>
      <c r="G23" s="26" t="s">
        <v>978</v>
      </c>
      <c r="H23" s="33" t="str">
        <f>IF(E23="Não","Não aplicável",IFERROR(IF(B23="EU-ENV-002",IF(INDEX(tbl_recyclass[Conforme_PPWR_2030],MATCH(A23,tbl_recyclass[ProductId],0))="Sim","Conforme (autoavaliação)",IF(INDEX(tbl_recyclass[Conforme_PPWR_2030],MATCH(A23,tbl_recyclass[ProductId],0))="Não","Não conforme em 2030","Isento até 2035")),IF(B23="EU-ENV-003",IF(INDEX(tbl_recyclass[Conforme_Art7_2030],MATCH(A23,tbl_recyclass[ProductId],0))="Sim","Conforme (meta 2030)",IF(INDEX(tbl_recyclass[Conforme_Art7_2030],MATCH(A23,tbl_recyclass[ProductId],0))="Não","Lacuna face à meta 2030","Isento")),IF(B23="EU-ENV-011",IF(INDEX(tbl_familias_ppwr[Metais_Pesados_Evidencia],MATCH(INDEX(tbl_recyclass[Familia_PPWR],MATCH(A23,tbl_recyclass[ProductId],0)),tbl_familias_ppwr[ID_Familia],0))="Em falta","Lacuna","Conforme"),IF(B23="EU-ENV-013",IF(INDEX(tbl_familias_ppwr[Declaracao_UE],MATCH(INDEX(tbl_recyclass[Familia_PPWR],MATCH(A23,tbl_recyclass[ProductId],0)),tbl_familias_ppwr[ID_Familia],0))="Sim","Conforme","Lacuna"),G23)))),G23))</f>
        <v>Parcial</v>
      </c>
      <c r="I23" s="33" t="str">
        <f t="shared" si="0"/>
        <v>Parcial</v>
      </c>
      <c r="J23" s="26" t="s">
        <v>1389</v>
      </c>
    </row>
    <row r="24" spans="1:10" ht="16.05" customHeight="1" x14ac:dyDescent="0.3">
      <c r="A24" s="26" t="s">
        <v>600</v>
      </c>
      <c r="B24" s="26" t="s">
        <v>984</v>
      </c>
      <c r="C24" s="33" t="str">
        <f>IFERROR(INDEX(tbl_requisitos_emb[Tema],MATCH(B24,tbl_requisitos_emb[ID_Req],0)),"")</f>
        <v>Conceção para reciclagem</v>
      </c>
      <c r="D24" s="33" t="str">
        <f>IFERROR(INDEX(tbl_recyclass[Segmento],MATCH(A24,tbl_recyclass[ProductId],0)),"")</f>
        <v>Cosmética e higiene pessoal</v>
      </c>
      <c r="E24" s="26" t="s">
        <v>901</v>
      </c>
      <c r="F24" s="26" t="s">
        <v>1449</v>
      </c>
      <c r="G24" s="26" t="s">
        <v>978</v>
      </c>
      <c r="H24" s="33" t="str">
        <f>IF(E24="Não","Não aplicável",IFERROR(IF(B24="EU-ENV-002",IF(INDEX(tbl_recyclass[Conforme_PPWR_2030],MATCH(A24,tbl_recyclass[ProductId],0))="Sim","Conforme (autoavaliação)",IF(INDEX(tbl_recyclass[Conforme_PPWR_2030],MATCH(A24,tbl_recyclass[ProductId],0))="Não","Não conforme em 2030","Isento até 2035")),IF(B24="EU-ENV-003",IF(INDEX(tbl_recyclass[Conforme_Art7_2030],MATCH(A24,tbl_recyclass[ProductId],0))="Sim","Conforme (meta 2030)",IF(INDEX(tbl_recyclass[Conforme_Art7_2030],MATCH(A24,tbl_recyclass[ProductId],0))="Não","Lacuna face à meta 2030","Isento")),IF(B24="EU-ENV-011",IF(INDEX(tbl_familias_ppwr[Metais_Pesados_Evidencia],MATCH(INDEX(tbl_recyclass[Familia_PPWR],MATCH(A24,tbl_recyclass[ProductId],0)),tbl_familias_ppwr[ID_Familia],0))="Em falta","Lacuna","Conforme"),IF(B24="EU-ENV-013",IF(INDEX(tbl_familias_ppwr[Declaracao_UE],MATCH(INDEX(tbl_recyclass[Familia_PPWR],MATCH(A24,tbl_recyclass[ProductId],0)),tbl_familias_ppwr[ID_Familia],0))="Sim","Conforme","Lacuna"),G24)))),G24))</f>
        <v>Conforme (autoavaliação)</v>
      </c>
      <c r="I24" s="33" t="str">
        <f t="shared" si="0"/>
        <v>Conforme</v>
      </c>
      <c r="J24" s="26" t="s">
        <v>991</v>
      </c>
    </row>
    <row r="25" spans="1:10" ht="16.05" customHeight="1" x14ac:dyDescent="0.3">
      <c r="A25" s="26" t="s">
        <v>600</v>
      </c>
      <c r="B25" s="26" t="s">
        <v>997</v>
      </c>
      <c r="C25" s="33" t="str">
        <f>IFERROR(INDEX(tbl_requisitos_emb[Tema],MATCH(B25,tbl_requisitos_emb[ID_Req],0)),"")</f>
        <v>Conteúdo reciclado</v>
      </c>
      <c r="D25" s="33" t="str">
        <f>IFERROR(INDEX(tbl_recyclass[Segmento],MATCH(A25,tbl_recyclass[ProductId],0)),"")</f>
        <v>Cosmética e higiene pessoal</v>
      </c>
      <c r="E25" s="26" t="s">
        <v>901</v>
      </c>
      <c r="F25" s="26" t="s">
        <v>1449</v>
      </c>
      <c r="G25" s="26" t="s">
        <v>978</v>
      </c>
      <c r="H25" s="33" t="str">
        <f>IF(E25="Não","Não aplicável",IFERROR(IF(B25="EU-ENV-002",IF(INDEX(tbl_recyclass[Conforme_PPWR_2030],MATCH(A25,tbl_recyclass[ProductId],0))="Sim","Conforme (autoavaliação)",IF(INDEX(tbl_recyclass[Conforme_PPWR_2030],MATCH(A25,tbl_recyclass[ProductId],0))="Não","Não conforme em 2030","Isento até 2035")),IF(B25="EU-ENV-003",IF(INDEX(tbl_recyclass[Conforme_Art7_2030],MATCH(A25,tbl_recyclass[ProductId],0))="Sim","Conforme (meta 2030)",IF(INDEX(tbl_recyclass[Conforme_Art7_2030],MATCH(A25,tbl_recyclass[ProductId],0))="Não","Lacuna face à meta 2030","Isento")),IF(B25="EU-ENV-011",IF(INDEX(tbl_familias_ppwr[Metais_Pesados_Evidencia],MATCH(INDEX(tbl_recyclass[Familia_PPWR],MATCH(A25,tbl_recyclass[ProductId],0)),tbl_familias_ppwr[ID_Familia],0))="Em falta","Lacuna","Conforme"),IF(B25="EU-ENV-013",IF(INDEX(tbl_familias_ppwr[Declaracao_UE],MATCH(INDEX(tbl_recyclass[Familia_PPWR],MATCH(A25,tbl_recyclass[ProductId],0)),tbl_familias_ppwr[ID_Familia],0))="Sim","Conforme","Lacuna"),G25)))),G25))</f>
        <v>Lacuna face à meta 2030</v>
      </c>
      <c r="I25" s="33" t="str">
        <f t="shared" si="0"/>
        <v>Lacuna</v>
      </c>
      <c r="J25" s="26" t="s">
        <v>1001</v>
      </c>
    </row>
    <row r="26" spans="1:10" ht="16.05" customHeight="1" x14ac:dyDescent="0.3">
      <c r="A26" s="26" t="s">
        <v>600</v>
      </c>
      <c r="B26" s="26" t="s">
        <v>1007</v>
      </c>
      <c r="C26" s="33" t="str">
        <f>IFERROR(INDEX(tbl_requisitos_emb[Tema],MATCH(B26,tbl_requisitos_emb[ID_Req],0)),"")</f>
        <v>Minimização</v>
      </c>
      <c r="D26" s="33" t="str">
        <f>IFERROR(INDEX(tbl_recyclass[Segmento],MATCH(A26,tbl_recyclass[ProductId],0)),"")</f>
        <v>Cosmética e higiene pessoal</v>
      </c>
      <c r="E26" s="26" t="s">
        <v>901</v>
      </c>
      <c r="F26" s="26" t="s">
        <v>1449</v>
      </c>
      <c r="G26" s="26" t="s">
        <v>978</v>
      </c>
      <c r="H26" s="33" t="str">
        <f>IF(E26="Não","Não aplicável",IFERROR(IF(B26="EU-ENV-002",IF(INDEX(tbl_recyclass[Conforme_PPWR_2030],MATCH(A26,tbl_recyclass[ProductId],0))="Sim","Conforme (autoavaliação)",IF(INDEX(tbl_recyclass[Conforme_PPWR_2030],MATCH(A26,tbl_recyclass[ProductId],0))="Não","Não conforme em 2030","Isento até 2035")),IF(B26="EU-ENV-003",IF(INDEX(tbl_recyclass[Conforme_Art7_2030],MATCH(A26,tbl_recyclass[ProductId],0))="Sim","Conforme (meta 2030)",IF(INDEX(tbl_recyclass[Conforme_Art7_2030],MATCH(A26,tbl_recyclass[ProductId],0))="Não","Lacuna face à meta 2030","Isento")),IF(B26="EU-ENV-011",IF(INDEX(tbl_familias_ppwr[Metais_Pesados_Evidencia],MATCH(INDEX(tbl_recyclass[Familia_PPWR],MATCH(A26,tbl_recyclass[ProductId],0)),tbl_familias_ppwr[ID_Familia],0))="Em falta","Lacuna","Conforme"),IF(B26="EU-ENV-013",IF(INDEX(tbl_familias_ppwr[Declaracao_UE],MATCH(INDEX(tbl_recyclass[Familia_PPWR],MATCH(A26,tbl_recyclass[ProductId],0)),tbl_familias_ppwr[ID_Familia],0))="Sim","Conforme","Lacuna"),G26)))),G26))</f>
        <v>Parcial</v>
      </c>
      <c r="I26" s="33" t="str">
        <f t="shared" si="0"/>
        <v>Parcial</v>
      </c>
      <c r="J26" s="26" t="s">
        <v>1012</v>
      </c>
    </row>
    <row r="27" spans="1:10" ht="16.05" customHeight="1" x14ac:dyDescent="0.3">
      <c r="A27" s="26" t="s">
        <v>600</v>
      </c>
      <c r="B27" s="26" t="s">
        <v>1016</v>
      </c>
      <c r="C27" s="33" t="str">
        <f>IFERROR(INDEX(tbl_requisitos_emb[Tema],MATCH(B27,tbl_requisitos_emb[ID_Req],0)),"")</f>
        <v>Rotulagem</v>
      </c>
      <c r="D27" s="33" t="str">
        <f>IFERROR(INDEX(tbl_recyclass[Segmento],MATCH(A27,tbl_recyclass[ProductId],0)),"")</f>
        <v>Cosmética e higiene pessoal</v>
      </c>
      <c r="E27" s="26" t="s">
        <v>901</v>
      </c>
      <c r="F27" s="26" t="s">
        <v>1449</v>
      </c>
      <c r="G27" s="26" t="s">
        <v>990</v>
      </c>
      <c r="H27" s="33" t="str">
        <f>IF(E27="Não","Não aplicável",IFERROR(IF(B27="EU-ENV-002",IF(INDEX(tbl_recyclass[Conforme_PPWR_2030],MATCH(A27,tbl_recyclass[ProductId],0))="Sim","Conforme (autoavaliação)",IF(INDEX(tbl_recyclass[Conforme_PPWR_2030],MATCH(A27,tbl_recyclass[ProductId],0))="Não","Não conforme em 2030","Isento até 2035")),IF(B27="EU-ENV-003",IF(INDEX(tbl_recyclass[Conforme_Art7_2030],MATCH(A27,tbl_recyclass[ProductId],0))="Sim","Conforme (meta 2030)",IF(INDEX(tbl_recyclass[Conforme_Art7_2030],MATCH(A27,tbl_recyclass[ProductId],0))="Não","Lacuna face à meta 2030","Isento")),IF(B27="EU-ENV-011",IF(INDEX(tbl_familias_ppwr[Metais_Pesados_Evidencia],MATCH(INDEX(tbl_recyclass[Familia_PPWR],MATCH(A27,tbl_recyclass[ProductId],0)),tbl_familias_ppwr[ID_Familia],0))="Em falta","Lacuna","Conforme"),IF(B27="EU-ENV-013",IF(INDEX(tbl_familias_ppwr[Declaracao_UE],MATCH(INDEX(tbl_recyclass[Familia_PPWR],MATCH(A27,tbl_recyclass[ProductId],0)),tbl_familias_ppwr[ID_Familia],0))="Sim","Conforme","Lacuna"),G27)))),G27))</f>
        <v>Futuro</v>
      </c>
      <c r="I27" s="33" t="str">
        <f t="shared" si="0"/>
        <v>Futuro</v>
      </c>
      <c r="J27" s="26" t="s">
        <v>1021</v>
      </c>
    </row>
    <row r="28" spans="1:10" ht="16.05" customHeight="1" x14ac:dyDescent="0.3">
      <c r="A28" s="26" t="s">
        <v>600</v>
      </c>
      <c r="B28" s="26" t="s">
        <v>1038</v>
      </c>
      <c r="C28" s="33" t="str">
        <f>IFERROR(INDEX(tbl_requisitos_emb[Tema],MATCH(B28,tbl_requisitos_emb[ID_Req],0)),"")</f>
        <v>Plásticos de utilização única</v>
      </c>
      <c r="D28" s="33" t="str">
        <f>IFERROR(INDEX(tbl_recyclass[Segmento],MATCH(A28,tbl_recyclass[ProductId],0)),"")</f>
        <v>Cosmética e higiene pessoal</v>
      </c>
      <c r="E28" s="26" t="s">
        <v>904</v>
      </c>
      <c r="F28" s="26" t="s">
        <v>1450</v>
      </c>
      <c r="G28" s="26" t="s">
        <v>1143</v>
      </c>
      <c r="H28" s="33" t="str">
        <f>IF(E28="Não","Não aplicável",IFERROR(IF(B28="EU-ENV-002",IF(INDEX(tbl_recyclass[Conforme_PPWR_2030],MATCH(A28,tbl_recyclass[ProductId],0))="Sim","Conforme (autoavaliação)",IF(INDEX(tbl_recyclass[Conforme_PPWR_2030],MATCH(A28,tbl_recyclass[ProductId],0))="Não","Não conforme em 2030","Isento até 2035")),IF(B28="EU-ENV-003",IF(INDEX(tbl_recyclass[Conforme_Art7_2030],MATCH(A28,tbl_recyclass[ProductId],0))="Sim","Conforme (meta 2030)",IF(INDEX(tbl_recyclass[Conforme_Art7_2030],MATCH(A28,tbl_recyclass[ProductId],0))="Não","Lacuna face à meta 2030","Isento")),IF(B28="EU-ENV-011",IF(INDEX(tbl_familias_ppwr[Metais_Pesados_Evidencia],MATCH(INDEX(tbl_recyclass[Familia_PPWR],MATCH(A28,tbl_recyclass[ProductId],0)),tbl_familias_ppwr[ID_Familia],0))="Em falta","Lacuna","Conforme"),IF(B28="EU-ENV-013",IF(INDEX(tbl_familias_ppwr[Declaracao_UE],MATCH(INDEX(tbl_recyclass[Familia_PPWR],MATCH(A28,tbl_recyclass[ProductId],0)),tbl_familias_ppwr[ID_Familia],0))="Sim","Conforme","Lacuna"),G28)))),G28))</f>
        <v>Não aplicável</v>
      </c>
      <c r="I28" s="33" t="str">
        <f t="shared" si="0"/>
        <v>Não aplicável</v>
      </c>
      <c r="J28" s="26"/>
    </row>
    <row r="29" spans="1:10" ht="16.05" customHeight="1" x14ac:dyDescent="0.3">
      <c r="A29" s="26" t="s">
        <v>600</v>
      </c>
      <c r="B29" s="26" t="s">
        <v>1078</v>
      </c>
      <c r="C29" s="33" t="str">
        <f>IFERROR(INDEX(tbl_requisitos_emb[Tema],MATCH(B29,tbl_requisitos_emb[ID_Req],0)),"")</f>
        <v>Reciclado à escala</v>
      </c>
      <c r="D29" s="33" t="str">
        <f>IFERROR(INDEX(tbl_recyclass[Segmento],MATCH(A29,tbl_recyclass[ProductId],0)),"")</f>
        <v>Cosmética e higiene pessoal</v>
      </c>
      <c r="E29" s="26" t="s">
        <v>901</v>
      </c>
      <c r="F29" s="26" t="s">
        <v>1449</v>
      </c>
      <c r="G29" s="26" t="s">
        <v>990</v>
      </c>
      <c r="H29" s="33" t="str">
        <f>IF(E29="Não","Não aplicável",IFERROR(IF(B29="EU-ENV-002",IF(INDEX(tbl_recyclass[Conforme_PPWR_2030],MATCH(A29,tbl_recyclass[ProductId],0))="Sim","Conforme (autoavaliação)",IF(INDEX(tbl_recyclass[Conforme_PPWR_2030],MATCH(A29,tbl_recyclass[ProductId],0))="Não","Não conforme em 2030","Isento até 2035")),IF(B29="EU-ENV-003",IF(INDEX(tbl_recyclass[Conforme_Art7_2030],MATCH(A29,tbl_recyclass[ProductId],0))="Sim","Conforme (meta 2030)",IF(INDEX(tbl_recyclass[Conforme_Art7_2030],MATCH(A29,tbl_recyclass[ProductId],0))="Não","Lacuna face à meta 2030","Isento")),IF(B29="EU-ENV-011",IF(INDEX(tbl_familias_ppwr[Metais_Pesados_Evidencia],MATCH(INDEX(tbl_recyclass[Familia_PPWR],MATCH(A29,tbl_recyclass[ProductId],0)),tbl_familias_ppwr[ID_Familia],0))="Em falta","Lacuna","Conforme"),IF(B29="EU-ENV-013",IF(INDEX(tbl_familias_ppwr[Declaracao_UE],MATCH(INDEX(tbl_recyclass[Familia_PPWR],MATCH(A29,tbl_recyclass[ProductId],0)),tbl_familias_ppwr[ID_Familia],0))="Sim","Conforme","Lacuna"),G29)))),G29))</f>
        <v>Futuro</v>
      </c>
      <c r="I29" s="33" t="str">
        <f t="shared" si="0"/>
        <v>Futuro</v>
      </c>
      <c r="J29" s="26" t="s">
        <v>1082</v>
      </c>
    </row>
    <row r="30" spans="1:10" ht="16.05" customHeight="1" x14ac:dyDescent="0.3">
      <c r="A30" s="26" t="s">
        <v>600</v>
      </c>
      <c r="B30" s="26" t="s">
        <v>1086</v>
      </c>
      <c r="C30" s="33" t="str">
        <f>IFERROR(INDEX(tbl_requisitos_emb[Tema],MATCH(B30,tbl_requisitos_emb[ID_Req],0)),"")</f>
        <v>Metais pesados</v>
      </c>
      <c r="D30" s="33" t="str">
        <f>IFERROR(INDEX(tbl_recyclass[Segmento],MATCH(A30,tbl_recyclass[ProductId],0)),"")</f>
        <v>Cosmética e higiene pessoal</v>
      </c>
      <c r="E30" s="26" t="s">
        <v>901</v>
      </c>
      <c r="F30" s="26" t="s">
        <v>1449</v>
      </c>
      <c r="G30" s="26" t="s">
        <v>978</v>
      </c>
      <c r="H30" s="33" t="str">
        <f>IF(E30="Não","Não aplicável",IFERROR(IF(B30="EU-ENV-002",IF(INDEX(tbl_recyclass[Conforme_PPWR_2030],MATCH(A30,tbl_recyclass[ProductId],0))="Sim","Conforme (autoavaliação)",IF(INDEX(tbl_recyclass[Conforme_PPWR_2030],MATCH(A30,tbl_recyclass[ProductId],0))="Não","Não conforme em 2030","Isento até 2035")),IF(B30="EU-ENV-003",IF(INDEX(tbl_recyclass[Conforme_Art7_2030],MATCH(A30,tbl_recyclass[ProductId],0))="Sim","Conforme (meta 2030)",IF(INDEX(tbl_recyclass[Conforme_Art7_2030],MATCH(A30,tbl_recyclass[ProductId],0))="Não","Lacuna face à meta 2030","Isento")),IF(B30="EU-ENV-011",IF(INDEX(tbl_familias_ppwr[Metais_Pesados_Evidencia],MATCH(INDEX(tbl_recyclass[Familia_PPWR],MATCH(A30,tbl_recyclass[ProductId],0)),tbl_familias_ppwr[ID_Familia],0))="Em falta","Lacuna","Conforme"),IF(B30="EU-ENV-013",IF(INDEX(tbl_familias_ppwr[Declaracao_UE],MATCH(INDEX(tbl_recyclass[Familia_PPWR],MATCH(A30,tbl_recyclass[ProductId],0)),tbl_familias_ppwr[ID_Familia],0))="Sim","Conforme","Lacuna"),G30)))),G30))</f>
        <v>Conforme</v>
      </c>
      <c r="I30" s="33" t="str">
        <f t="shared" si="0"/>
        <v>Conforme</v>
      </c>
      <c r="J30" s="26" t="s">
        <v>1090</v>
      </c>
    </row>
    <row r="31" spans="1:10" ht="16.05" customHeight="1" x14ac:dyDescent="0.3">
      <c r="A31" s="26" t="s">
        <v>600</v>
      </c>
      <c r="B31" s="26" t="s">
        <v>1094</v>
      </c>
      <c r="C31" s="33" t="str">
        <f>IFERROR(INDEX(tbl_requisitos_emb[Tema],MATCH(B31,tbl_requisitos_emb[ID_Req],0)),"")</f>
        <v>PFAS</v>
      </c>
      <c r="D31" s="33" t="str">
        <f>IFERROR(INDEX(tbl_recyclass[Segmento],MATCH(A31,tbl_recyclass[ProductId],0)),"")</f>
        <v>Cosmética e higiene pessoal</v>
      </c>
      <c r="E31" s="26" t="s">
        <v>904</v>
      </c>
      <c r="F31" s="26" t="s">
        <v>1450</v>
      </c>
      <c r="G31" s="26" t="s">
        <v>1143</v>
      </c>
      <c r="H31" s="33" t="str">
        <f>IF(E31="Não","Não aplicável",IFERROR(IF(B31="EU-ENV-002",IF(INDEX(tbl_recyclass[Conforme_PPWR_2030],MATCH(A31,tbl_recyclass[ProductId],0))="Sim","Conforme (autoavaliação)",IF(INDEX(tbl_recyclass[Conforme_PPWR_2030],MATCH(A31,tbl_recyclass[ProductId],0))="Não","Não conforme em 2030","Isento até 2035")),IF(B31="EU-ENV-003",IF(INDEX(tbl_recyclass[Conforme_Art7_2030],MATCH(A31,tbl_recyclass[ProductId],0))="Sim","Conforme (meta 2030)",IF(INDEX(tbl_recyclass[Conforme_Art7_2030],MATCH(A31,tbl_recyclass[ProductId],0))="Não","Lacuna face à meta 2030","Isento")),IF(B31="EU-ENV-011",IF(INDEX(tbl_familias_ppwr[Metais_Pesados_Evidencia],MATCH(INDEX(tbl_recyclass[Familia_PPWR],MATCH(A31,tbl_recyclass[ProductId],0)),tbl_familias_ppwr[ID_Familia],0))="Em falta","Lacuna","Conforme"),IF(B31="EU-ENV-013",IF(INDEX(tbl_familias_ppwr[Declaracao_UE],MATCH(INDEX(tbl_recyclass[Familia_PPWR],MATCH(A31,tbl_recyclass[ProductId],0)),tbl_familias_ppwr[ID_Familia],0))="Sim","Conforme","Lacuna"),G31)))),G31))</f>
        <v>Não aplicável</v>
      </c>
      <c r="I31" s="33" t="str">
        <f t="shared" si="0"/>
        <v>Não aplicável</v>
      </c>
      <c r="J31" s="26"/>
    </row>
    <row r="32" spans="1:10" ht="16.05" customHeight="1" x14ac:dyDescent="0.3">
      <c r="A32" s="26" t="s">
        <v>600</v>
      </c>
      <c r="B32" s="26" t="s">
        <v>1102</v>
      </c>
      <c r="C32" s="33" t="str">
        <f>IFERROR(INDEX(tbl_requisitos_emb[Tema],MATCH(B32,tbl_requisitos_emb[ID_Req],0)),"")</f>
        <v>Documentação técnica e declaração UE</v>
      </c>
      <c r="D32" s="33" t="str">
        <f>IFERROR(INDEX(tbl_recyclass[Segmento],MATCH(A32,tbl_recyclass[ProductId],0)),"")</f>
        <v>Cosmética e higiene pessoal</v>
      </c>
      <c r="E32" s="26" t="s">
        <v>901</v>
      </c>
      <c r="F32" s="26" t="s">
        <v>1449</v>
      </c>
      <c r="G32" s="26" t="s">
        <v>978</v>
      </c>
      <c r="H32" s="33" t="str">
        <f>IF(E32="Não","Não aplicável",IFERROR(IF(B32="EU-ENV-002",IF(INDEX(tbl_recyclass[Conforme_PPWR_2030],MATCH(A32,tbl_recyclass[ProductId],0))="Sim","Conforme (autoavaliação)",IF(INDEX(tbl_recyclass[Conforme_PPWR_2030],MATCH(A32,tbl_recyclass[ProductId],0))="Não","Não conforme em 2030","Isento até 2035")),IF(B32="EU-ENV-003",IF(INDEX(tbl_recyclass[Conforme_Art7_2030],MATCH(A32,tbl_recyclass[ProductId],0))="Sim","Conforme (meta 2030)",IF(INDEX(tbl_recyclass[Conforme_Art7_2030],MATCH(A32,tbl_recyclass[ProductId],0))="Não","Lacuna face à meta 2030","Isento")),IF(B32="EU-ENV-011",IF(INDEX(tbl_familias_ppwr[Metais_Pesados_Evidencia],MATCH(INDEX(tbl_recyclass[Familia_PPWR],MATCH(A32,tbl_recyclass[ProductId],0)),tbl_familias_ppwr[ID_Familia],0))="Em falta","Lacuna","Conforme"),IF(B32="EU-ENV-013",IF(INDEX(tbl_familias_ppwr[Declaracao_UE],MATCH(INDEX(tbl_recyclass[Familia_PPWR],MATCH(A32,tbl_recyclass[ProductId],0)),tbl_familias_ppwr[ID_Familia],0))="Sim","Conforme","Lacuna"),G32)))),G32))</f>
        <v>Conforme</v>
      </c>
      <c r="I32" s="33" t="str">
        <f t="shared" si="0"/>
        <v>Conforme</v>
      </c>
      <c r="J32" s="26" t="s">
        <v>1106</v>
      </c>
    </row>
    <row r="33" spans="1:10" ht="16.05" customHeight="1" x14ac:dyDescent="0.3">
      <c r="A33" s="26" t="s">
        <v>600</v>
      </c>
      <c r="B33" s="26" t="s">
        <v>1161</v>
      </c>
      <c r="C33" s="33" t="str">
        <f>IFERROR(INDEX(tbl_requisitos_emb[Tema],MATCH(B33,tbl_requisitos_emb[ID_Req],0)),"")</f>
        <v>Materiais em contacto com alimentos</v>
      </c>
      <c r="D33" s="33" t="str">
        <f>IFERROR(INDEX(tbl_recyclass[Segmento],MATCH(A33,tbl_recyclass[ProductId],0)),"")</f>
        <v>Cosmética e higiene pessoal</v>
      </c>
      <c r="E33" s="26" t="s">
        <v>904</v>
      </c>
      <c r="F33" s="26" t="s">
        <v>1450</v>
      </c>
      <c r="G33" s="26" t="s">
        <v>1143</v>
      </c>
      <c r="H33" s="33" t="str">
        <f>IF(E33="Não","Não aplicável",IFERROR(IF(B33="EU-ENV-002",IF(INDEX(tbl_recyclass[Conforme_PPWR_2030],MATCH(A33,tbl_recyclass[ProductId],0))="Sim","Conforme (autoavaliação)",IF(INDEX(tbl_recyclass[Conforme_PPWR_2030],MATCH(A33,tbl_recyclass[ProductId],0))="Não","Não conforme em 2030","Isento até 2035")),IF(B33="EU-ENV-003",IF(INDEX(tbl_recyclass[Conforme_Art7_2030],MATCH(A33,tbl_recyclass[ProductId],0))="Sim","Conforme (meta 2030)",IF(INDEX(tbl_recyclass[Conforme_Art7_2030],MATCH(A33,tbl_recyclass[ProductId],0))="Não","Lacuna face à meta 2030","Isento")),IF(B33="EU-ENV-011",IF(INDEX(tbl_familias_ppwr[Metais_Pesados_Evidencia],MATCH(INDEX(tbl_recyclass[Familia_PPWR],MATCH(A33,tbl_recyclass[ProductId],0)),tbl_familias_ppwr[ID_Familia],0))="Em falta","Lacuna","Conforme"),IF(B33="EU-ENV-013",IF(INDEX(tbl_familias_ppwr[Declaracao_UE],MATCH(INDEX(tbl_recyclass[Familia_PPWR],MATCH(A33,tbl_recyclass[ProductId],0)),tbl_familias_ppwr[ID_Familia],0))="Sim","Conforme","Lacuna"),G33)))),G33))</f>
        <v>Não aplicável</v>
      </c>
      <c r="I33" s="33" t="str">
        <f t="shared" si="0"/>
        <v>Não aplicável</v>
      </c>
      <c r="J33" s="26"/>
    </row>
    <row r="34" spans="1:10" ht="16.05" customHeight="1" x14ac:dyDescent="0.3">
      <c r="A34" s="26" t="s">
        <v>600</v>
      </c>
      <c r="B34" s="26" t="s">
        <v>1170</v>
      </c>
      <c r="C34" s="33" t="str">
        <f>IFERROR(INDEX(tbl_requisitos_emb[Tema],MATCH(B34,tbl_requisitos_emb[ID_Req],0)),"")</f>
        <v>Boas práticas de fabrico FCM</v>
      </c>
      <c r="D34" s="33" t="str">
        <f>IFERROR(INDEX(tbl_recyclass[Segmento],MATCH(A34,tbl_recyclass[ProductId],0)),"")</f>
        <v>Cosmética e higiene pessoal</v>
      </c>
      <c r="E34" s="26" t="s">
        <v>904</v>
      </c>
      <c r="F34" s="26" t="s">
        <v>1450</v>
      </c>
      <c r="G34" s="26" t="s">
        <v>1143</v>
      </c>
      <c r="H34" s="33" t="str">
        <f>IF(E34="Não","Não aplicável",IFERROR(IF(B34="EU-ENV-002",IF(INDEX(tbl_recyclass[Conforme_PPWR_2030],MATCH(A34,tbl_recyclass[ProductId],0))="Sim","Conforme (autoavaliação)",IF(INDEX(tbl_recyclass[Conforme_PPWR_2030],MATCH(A34,tbl_recyclass[ProductId],0))="Não","Não conforme em 2030","Isento até 2035")),IF(B34="EU-ENV-003",IF(INDEX(tbl_recyclass[Conforme_Art7_2030],MATCH(A34,tbl_recyclass[ProductId],0))="Sim","Conforme (meta 2030)",IF(INDEX(tbl_recyclass[Conforme_Art7_2030],MATCH(A34,tbl_recyclass[ProductId],0))="Não","Lacuna face à meta 2030","Isento")),IF(B34="EU-ENV-011",IF(INDEX(tbl_familias_ppwr[Metais_Pesados_Evidencia],MATCH(INDEX(tbl_recyclass[Familia_PPWR],MATCH(A34,tbl_recyclass[ProductId],0)),tbl_familias_ppwr[ID_Familia],0))="Em falta","Lacuna","Conforme"),IF(B34="EU-ENV-013",IF(INDEX(tbl_familias_ppwr[Declaracao_UE],MATCH(INDEX(tbl_recyclass[Familia_PPWR],MATCH(A34,tbl_recyclass[ProductId],0)),tbl_familias_ppwr[ID_Familia],0))="Sim","Conforme","Lacuna"),G34)))),G34))</f>
        <v>Não aplicável</v>
      </c>
      <c r="I34" s="33" t="str">
        <f t="shared" si="0"/>
        <v>Não aplicável</v>
      </c>
      <c r="J34" s="26"/>
    </row>
    <row r="35" spans="1:10" ht="16.05" customHeight="1" x14ac:dyDescent="0.3">
      <c r="A35" s="26" t="s">
        <v>600</v>
      </c>
      <c r="B35" s="26" t="s">
        <v>1179</v>
      </c>
      <c r="C35" s="33" t="str">
        <f>IFERROR(INDEX(tbl_requisitos_emb[Tema],MATCH(B35,tbl_requisitos_emb[ID_Req],0)),"")</f>
        <v>Bisfenol A e bisfenóis perigosos</v>
      </c>
      <c r="D35" s="33" t="str">
        <f>IFERROR(INDEX(tbl_recyclass[Segmento],MATCH(A35,tbl_recyclass[ProductId],0)),"")</f>
        <v>Cosmética e higiene pessoal</v>
      </c>
      <c r="E35" s="26" t="s">
        <v>904</v>
      </c>
      <c r="F35" s="26" t="s">
        <v>1450</v>
      </c>
      <c r="G35" s="26" t="s">
        <v>1143</v>
      </c>
      <c r="H35" s="33" t="str">
        <f>IF(E35="Não","Não aplicável",IFERROR(IF(B35="EU-ENV-002",IF(INDEX(tbl_recyclass[Conforme_PPWR_2030],MATCH(A35,tbl_recyclass[ProductId],0))="Sim","Conforme (autoavaliação)",IF(INDEX(tbl_recyclass[Conforme_PPWR_2030],MATCH(A35,tbl_recyclass[ProductId],0))="Não","Não conforme em 2030","Isento até 2035")),IF(B35="EU-ENV-003",IF(INDEX(tbl_recyclass[Conforme_Art7_2030],MATCH(A35,tbl_recyclass[ProductId],0))="Sim","Conforme (meta 2030)",IF(INDEX(tbl_recyclass[Conforme_Art7_2030],MATCH(A35,tbl_recyclass[ProductId],0))="Não","Lacuna face à meta 2030","Isento")),IF(B35="EU-ENV-011",IF(INDEX(tbl_familias_ppwr[Metais_Pesados_Evidencia],MATCH(INDEX(tbl_recyclass[Familia_PPWR],MATCH(A35,tbl_recyclass[ProductId],0)),tbl_familias_ppwr[ID_Familia],0))="Em falta","Lacuna","Conforme"),IF(B35="EU-ENV-013",IF(INDEX(tbl_familias_ppwr[Declaracao_UE],MATCH(INDEX(tbl_recyclass[Familia_PPWR],MATCH(A35,tbl_recyclass[ProductId],0)),tbl_familias_ppwr[ID_Familia],0))="Sim","Conforme","Lacuna"),G35)))),G35))</f>
        <v>Não aplicável</v>
      </c>
      <c r="I35" s="33" t="str">
        <f t="shared" si="0"/>
        <v>Não aplicável</v>
      </c>
      <c r="J35" s="26"/>
    </row>
    <row r="36" spans="1:10" ht="16.05" customHeight="1" x14ac:dyDescent="0.3">
      <c r="A36" s="26" t="s">
        <v>600</v>
      </c>
      <c r="B36" s="26" t="s">
        <v>1188</v>
      </c>
      <c r="C36" s="33" t="str">
        <f>IFERROR(INDEX(tbl_requisitos_emb[Tema],MATCH(B36,tbl_requisitos_emb[ID_Req],0)),"")</f>
        <v>Plásticos em contacto com alimentos</v>
      </c>
      <c r="D36" s="33" t="str">
        <f>IFERROR(INDEX(tbl_recyclass[Segmento],MATCH(A36,tbl_recyclass[ProductId],0)),"")</f>
        <v>Cosmética e higiene pessoal</v>
      </c>
      <c r="E36" s="26" t="s">
        <v>904</v>
      </c>
      <c r="F36" s="26" t="s">
        <v>1450</v>
      </c>
      <c r="G36" s="26" t="s">
        <v>1143</v>
      </c>
      <c r="H36" s="33" t="str">
        <f>IF(E36="Não","Não aplicável",IFERROR(IF(B36="EU-ENV-002",IF(INDEX(tbl_recyclass[Conforme_PPWR_2030],MATCH(A36,tbl_recyclass[ProductId],0))="Sim","Conforme (autoavaliação)",IF(INDEX(tbl_recyclass[Conforme_PPWR_2030],MATCH(A36,tbl_recyclass[ProductId],0))="Não","Não conforme em 2030","Isento até 2035")),IF(B36="EU-ENV-003",IF(INDEX(tbl_recyclass[Conforme_Art7_2030],MATCH(A36,tbl_recyclass[ProductId],0))="Sim","Conforme (meta 2030)",IF(INDEX(tbl_recyclass[Conforme_Art7_2030],MATCH(A36,tbl_recyclass[ProductId],0))="Não","Lacuna face à meta 2030","Isento")),IF(B36="EU-ENV-011",IF(INDEX(tbl_familias_ppwr[Metais_Pesados_Evidencia],MATCH(INDEX(tbl_recyclass[Familia_PPWR],MATCH(A36,tbl_recyclass[ProductId],0)),tbl_familias_ppwr[ID_Familia],0))="Em falta","Lacuna","Conforme"),IF(B36="EU-ENV-013",IF(INDEX(tbl_familias_ppwr[Declaracao_UE],MATCH(INDEX(tbl_recyclass[Familia_PPWR],MATCH(A36,tbl_recyclass[ProductId],0)),tbl_familias_ppwr[ID_Familia],0))="Sim","Conforme","Lacuna"),G36)))),G36))</f>
        <v>Não aplicável</v>
      </c>
      <c r="I36" s="33" t="str">
        <f t="shared" si="0"/>
        <v>Não aplicável</v>
      </c>
      <c r="J36" s="26"/>
    </row>
    <row r="37" spans="1:10" ht="16.05" customHeight="1" x14ac:dyDescent="0.3">
      <c r="A37" s="26" t="s">
        <v>600</v>
      </c>
      <c r="B37" s="26" t="s">
        <v>1212</v>
      </c>
      <c r="C37" s="33" t="str">
        <f>IFERROR(INDEX(tbl_requisitos_emb[Tema],MATCH(B37,tbl_requisitos_emb[ID_Req],0)),"")</f>
        <v>Segurança do produto cosmético</v>
      </c>
      <c r="D37" s="33" t="str">
        <f>IFERROR(INDEX(tbl_recyclass[Segmento],MATCH(A37,tbl_recyclass[ProductId],0)),"")</f>
        <v>Cosmética e higiene pessoal</v>
      </c>
      <c r="E37" s="26" t="s">
        <v>901</v>
      </c>
      <c r="F37" s="26" t="s">
        <v>1449</v>
      </c>
      <c r="G37" s="26" t="s">
        <v>1033</v>
      </c>
      <c r="H37" s="33" t="str">
        <f>IF(E37="Não","Não aplicável",IFERROR(IF(B37="EU-ENV-002",IF(INDEX(tbl_recyclass[Conforme_PPWR_2030],MATCH(A37,tbl_recyclass[ProductId],0))="Sim","Conforme (autoavaliação)",IF(INDEX(tbl_recyclass[Conforme_PPWR_2030],MATCH(A37,tbl_recyclass[ProductId],0))="Não","Não conforme em 2030","Isento até 2035")),IF(B37="EU-ENV-003",IF(INDEX(tbl_recyclass[Conforme_Art7_2030],MATCH(A37,tbl_recyclass[ProductId],0))="Sim","Conforme (meta 2030)",IF(INDEX(tbl_recyclass[Conforme_Art7_2030],MATCH(A37,tbl_recyclass[ProductId],0))="Não","Lacuna face à meta 2030","Isento")),IF(B37="EU-ENV-011",IF(INDEX(tbl_familias_ppwr[Metais_Pesados_Evidencia],MATCH(INDEX(tbl_recyclass[Familia_PPWR],MATCH(A37,tbl_recyclass[ProductId],0)),tbl_familias_ppwr[ID_Familia],0))="Em falta","Lacuna","Conforme"),IF(B37="EU-ENV-013",IF(INDEX(tbl_familias_ppwr[Declaracao_UE],MATCH(INDEX(tbl_recyclass[Familia_PPWR],MATCH(A37,tbl_recyclass[ProductId],0)),tbl_familias_ppwr[ID_Familia],0))="Sim","Conforme","Lacuna"),G37)))),G37))</f>
        <v>Conforme</v>
      </c>
      <c r="I37" s="33" t="str">
        <f t="shared" si="0"/>
        <v>Conforme</v>
      </c>
      <c r="J37" s="26" t="s">
        <v>1221</v>
      </c>
    </row>
    <row r="38" spans="1:10" ht="16.05" customHeight="1" x14ac:dyDescent="0.3">
      <c r="A38" s="26" t="s">
        <v>600</v>
      </c>
      <c r="B38" s="26" t="s">
        <v>1224</v>
      </c>
      <c r="C38" s="33" t="str">
        <f>IFERROR(INDEX(tbl_requisitos_emb[Tema],MATCH(B38,tbl_requisitos_emb[ID_Req],0)),"")</f>
        <v>Materiais e impurezas</v>
      </c>
      <c r="D38" s="33" t="str">
        <f>IFERROR(INDEX(tbl_recyclass[Segmento],MATCH(A38,tbl_recyclass[ProductId],0)),"")</f>
        <v>Cosmética e higiene pessoal</v>
      </c>
      <c r="E38" s="26" t="s">
        <v>901</v>
      </c>
      <c r="F38" s="26" t="s">
        <v>1449</v>
      </c>
      <c r="G38" s="26" t="s">
        <v>978</v>
      </c>
      <c r="H38" s="33" t="str">
        <f>IF(E38="Não","Não aplicável",IFERROR(IF(B38="EU-ENV-002",IF(INDEX(tbl_recyclass[Conforme_PPWR_2030],MATCH(A38,tbl_recyclass[ProductId],0))="Sim","Conforme (autoavaliação)",IF(INDEX(tbl_recyclass[Conforme_PPWR_2030],MATCH(A38,tbl_recyclass[ProductId],0))="Não","Não conforme em 2030","Isento até 2035")),IF(B38="EU-ENV-003",IF(INDEX(tbl_recyclass[Conforme_Art7_2030],MATCH(A38,tbl_recyclass[ProductId],0))="Sim","Conforme (meta 2030)",IF(INDEX(tbl_recyclass[Conforme_Art7_2030],MATCH(A38,tbl_recyclass[ProductId],0))="Não","Lacuna face à meta 2030","Isento")),IF(B38="EU-ENV-011",IF(INDEX(tbl_familias_ppwr[Metais_Pesados_Evidencia],MATCH(INDEX(tbl_recyclass[Familia_PPWR],MATCH(A38,tbl_recyclass[ProductId],0)),tbl_familias_ppwr[ID_Familia],0))="Em falta","Lacuna","Conforme"),IF(B38="EU-ENV-013",IF(INDEX(tbl_familias_ppwr[Declaracao_UE],MATCH(INDEX(tbl_recyclass[Familia_PPWR],MATCH(A38,tbl_recyclass[ProductId],0)),tbl_familias_ppwr[ID_Familia],0))="Sim","Conforme","Lacuna"),G38)))),G38))</f>
        <v>Parcial</v>
      </c>
      <c r="I38" s="33" t="str">
        <f t="shared" si="0"/>
        <v>Parcial</v>
      </c>
      <c r="J38" s="26" t="s">
        <v>1228</v>
      </c>
    </row>
    <row r="39" spans="1:10" ht="16.05" customHeight="1" x14ac:dyDescent="0.3">
      <c r="A39" s="26" t="s">
        <v>600</v>
      </c>
      <c r="B39" s="26" t="s">
        <v>1240</v>
      </c>
      <c r="C39" s="33" t="str">
        <f>IFERROR(INDEX(tbl_requisitos_emb[Tema],MATCH(B39,tbl_requisitos_emb[ID_Req],0)),"")</f>
        <v>Compatibilidade embalagem–produto</v>
      </c>
      <c r="D39" s="33" t="str">
        <f>IFERROR(INDEX(tbl_recyclass[Segmento],MATCH(A39,tbl_recyclass[ProductId],0)),"")</f>
        <v>Cosmética e higiene pessoal</v>
      </c>
      <c r="E39" s="26" t="s">
        <v>901</v>
      </c>
      <c r="F39" s="26" t="s">
        <v>1449</v>
      </c>
      <c r="G39" s="26" t="s">
        <v>1033</v>
      </c>
      <c r="H39" s="33" t="str">
        <f>IF(E39="Não","Não aplicável",IFERROR(IF(B39="EU-ENV-002",IF(INDEX(tbl_recyclass[Conforme_PPWR_2030],MATCH(A39,tbl_recyclass[ProductId],0))="Sim","Conforme (autoavaliação)",IF(INDEX(tbl_recyclass[Conforme_PPWR_2030],MATCH(A39,tbl_recyclass[ProductId],0))="Não","Não conforme em 2030","Isento até 2035")),IF(B39="EU-ENV-003",IF(INDEX(tbl_recyclass[Conforme_Art7_2030],MATCH(A39,tbl_recyclass[ProductId],0))="Sim","Conforme (meta 2030)",IF(INDEX(tbl_recyclass[Conforme_Art7_2030],MATCH(A39,tbl_recyclass[ProductId],0))="Não","Lacuna face à meta 2030","Isento")),IF(B39="EU-ENV-011",IF(INDEX(tbl_familias_ppwr[Metais_Pesados_Evidencia],MATCH(INDEX(tbl_recyclass[Familia_PPWR],MATCH(A39,tbl_recyclass[ProductId],0)),tbl_familias_ppwr[ID_Familia],0))="Em falta","Lacuna","Conforme"),IF(B39="EU-ENV-013",IF(INDEX(tbl_familias_ppwr[Declaracao_UE],MATCH(INDEX(tbl_recyclass[Familia_PPWR],MATCH(A39,tbl_recyclass[ProductId],0)),tbl_familias_ppwr[ID_Familia],0))="Sim","Conforme","Lacuna"),G39)))),G39))</f>
        <v>Conforme</v>
      </c>
      <c r="I39" s="33" t="str">
        <f t="shared" si="0"/>
        <v>Conforme</v>
      </c>
      <c r="J39" s="26" t="s">
        <v>1244</v>
      </c>
    </row>
    <row r="40" spans="1:10" ht="16.05" customHeight="1" x14ac:dyDescent="0.3">
      <c r="A40" s="26" t="s">
        <v>600</v>
      </c>
      <c r="B40" s="26" t="s">
        <v>1252</v>
      </c>
      <c r="C40" s="33" t="str">
        <f>IFERROR(INDEX(tbl_requisitos_emb[Tema],MATCH(B40,tbl_requisitos_emb[ID_Req],0)),"")</f>
        <v>Medicamentos de uso humano</v>
      </c>
      <c r="D40" s="33" t="str">
        <f>IFERROR(INDEX(tbl_recyclass[Segmento],MATCH(A40,tbl_recyclass[ProductId],0)),"")</f>
        <v>Cosmética e higiene pessoal</v>
      </c>
      <c r="E40" s="26" t="s">
        <v>904</v>
      </c>
      <c r="F40" s="26" t="s">
        <v>1451</v>
      </c>
      <c r="G40" s="26" t="s">
        <v>1143</v>
      </c>
      <c r="H40" s="33" t="str">
        <f>IF(E40="Não","Não aplicável",IFERROR(IF(B40="EU-ENV-002",IF(INDEX(tbl_recyclass[Conforme_PPWR_2030],MATCH(A40,tbl_recyclass[ProductId],0))="Sim","Conforme (autoavaliação)",IF(INDEX(tbl_recyclass[Conforme_PPWR_2030],MATCH(A40,tbl_recyclass[ProductId],0))="Não","Não conforme em 2030","Isento até 2035")),IF(B40="EU-ENV-003",IF(INDEX(tbl_recyclass[Conforme_Art7_2030],MATCH(A40,tbl_recyclass[ProductId],0))="Sim","Conforme (meta 2030)",IF(INDEX(tbl_recyclass[Conforme_Art7_2030],MATCH(A40,tbl_recyclass[ProductId],0))="Não","Lacuna face à meta 2030","Isento")),IF(B40="EU-ENV-011",IF(INDEX(tbl_familias_ppwr[Metais_Pesados_Evidencia],MATCH(INDEX(tbl_recyclass[Familia_PPWR],MATCH(A40,tbl_recyclass[ProductId],0)),tbl_familias_ppwr[ID_Familia],0))="Em falta","Lacuna","Conforme"),IF(B40="EU-ENV-013",IF(INDEX(tbl_familias_ppwr[Declaracao_UE],MATCH(INDEX(tbl_recyclass[Familia_PPWR],MATCH(A40,tbl_recyclass[ProductId],0)),tbl_familias_ppwr[ID_Familia],0))="Sim","Conforme","Lacuna"),G40)))),G40))</f>
        <v>Não aplicável</v>
      </c>
      <c r="I40" s="33" t="str">
        <f t="shared" si="0"/>
        <v>Não aplicável</v>
      </c>
      <c r="J40" s="26"/>
    </row>
    <row r="41" spans="1:10" ht="16.05" customHeight="1" x14ac:dyDescent="0.3">
      <c r="A41" s="26" t="s">
        <v>600</v>
      </c>
      <c r="B41" s="26" t="s">
        <v>1268</v>
      </c>
      <c r="C41" s="33" t="str">
        <f>IFERROR(INDEX(tbl_requisitos_emb[Tema],MATCH(B41,tbl_requisitos_emb[ID_Req],0)),"")</f>
        <v>Dispositivos de segurança</v>
      </c>
      <c r="D41" s="33" t="str">
        <f>IFERROR(INDEX(tbl_recyclass[Segmento],MATCH(A41,tbl_recyclass[ProductId],0)),"")</f>
        <v>Cosmética e higiene pessoal</v>
      </c>
      <c r="E41" s="26" t="s">
        <v>904</v>
      </c>
      <c r="F41" s="26" t="s">
        <v>1451</v>
      </c>
      <c r="G41" s="26" t="s">
        <v>1143</v>
      </c>
      <c r="H41" s="33" t="str">
        <f>IF(E41="Não","Não aplicável",IFERROR(IF(B41="EU-ENV-002",IF(INDEX(tbl_recyclass[Conforme_PPWR_2030],MATCH(A41,tbl_recyclass[ProductId],0))="Sim","Conforme (autoavaliação)",IF(INDEX(tbl_recyclass[Conforme_PPWR_2030],MATCH(A41,tbl_recyclass[ProductId],0))="Não","Não conforme em 2030","Isento até 2035")),IF(B41="EU-ENV-003",IF(INDEX(tbl_recyclass[Conforme_Art7_2030],MATCH(A41,tbl_recyclass[ProductId],0))="Sim","Conforme (meta 2030)",IF(INDEX(tbl_recyclass[Conforme_Art7_2030],MATCH(A41,tbl_recyclass[ProductId],0))="Não","Lacuna face à meta 2030","Isento")),IF(B41="EU-ENV-011",IF(INDEX(tbl_familias_ppwr[Metais_Pesados_Evidencia],MATCH(INDEX(tbl_recyclass[Familia_PPWR],MATCH(A41,tbl_recyclass[ProductId],0)),tbl_familias_ppwr[ID_Familia],0))="Em falta","Lacuna","Conforme"),IF(B41="EU-ENV-013",IF(INDEX(tbl_familias_ppwr[Declaracao_UE],MATCH(INDEX(tbl_recyclass[Familia_PPWR],MATCH(A41,tbl_recyclass[ProductId],0)),tbl_familias_ppwr[ID_Familia],0))="Sim","Conforme","Lacuna"),G41)))),G41))</f>
        <v>Não aplicável</v>
      </c>
      <c r="I41" s="33" t="str">
        <f t="shared" si="0"/>
        <v>Não aplicável</v>
      </c>
      <c r="J41" s="26"/>
    </row>
    <row r="42" spans="1:10" ht="16.05" customHeight="1" x14ac:dyDescent="0.3">
      <c r="A42" s="26" t="s">
        <v>600</v>
      </c>
      <c r="B42" s="26" t="s">
        <v>1285</v>
      </c>
      <c r="C42" s="33" t="str">
        <f>IFERROR(INDEX(tbl_requisitos_emb[Tema],MATCH(B42,tbl_requisitos_emb[ID_Req],0)),"")</f>
        <v>Materiais plásticos de acondicionamento primário</v>
      </c>
      <c r="D42" s="33" t="str">
        <f>IFERROR(INDEX(tbl_recyclass[Segmento],MATCH(A42,tbl_recyclass[ProductId],0)),"")</f>
        <v>Cosmética e higiene pessoal</v>
      </c>
      <c r="E42" s="26" t="s">
        <v>904</v>
      </c>
      <c r="F42" s="26" t="s">
        <v>1451</v>
      </c>
      <c r="G42" s="26" t="s">
        <v>1143</v>
      </c>
      <c r="H42" s="33" t="str">
        <f>IF(E42="Não","Não aplicável",IFERROR(IF(B42="EU-ENV-002",IF(INDEX(tbl_recyclass[Conforme_PPWR_2030],MATCH(A42,tbl_recyclass[ProductId],0))="Sim","Conforme (autoavaliação)",IF(INDEX(tbl_recyclass[Conforme_PPWR_2030],MATCH(A42,tbl_recyclass[ProductId],0))="Não","Não conforme em 2030","Isento até 2035")),IF(B42="EU-ENV-003",IF(INDEX(tbl_recyclass[Conforme_Art7_2030],MATCH(A42,tbl_recyclass[ProductId],0))="Sim","Conforme (meta 2030)",IF(INDEX(tbl_recyclass[Conforme_Art7_2030],MATCH(A42,tbl_recyclass[ProductId],0))="Não","Lacuna face à meta 2030","Isento")),IF(B42="EU-ENV-011",IF(INDEX(tbl_familias_ppwr[Metais_Pesados_Evidencia],MATCH(INDEX(tbl_recyclass[Familia_PPWR],MATCH(A42,tbl_recyclass[ProductId],0)),tbl_familias_ppwr[ID_Familia],0))="Em falta","Lacuna","Conforme"),IF(B42="EU-ENV-013",IF(INDEX(tbl_familias_ppwr[Declaracao_UE],MATCH(INDEX(tbl_recyclass[Familia_PPWR],MATCH(A42,tbl_recyclass[ProductId],0)),tbl_familias_ppwr[ID_Familia],0))="Sim","Conforme","Lacuna"),G42)))),G42))</f>
        <v>Não aplicável</v>
      </c>
      <c r="I42" s="33" t="str">
        <f t="shared" si="0"/>
        <v>Não aplicável</v>
      </c>
      <c r="J42" s="26"/>
    </row>
    <row r="43" spans="1:10" ht="16.05" customHeight="1" x14ac:dyDescent="0.3">
      <c r="A43" s="26" t="s">
        <v>600</v>
      </c>
      <c r="B43" s="26" t="s">
        <v>1293</v>
      </c>
      <c r="C43" s="33" t="str">
        <f>IFERROR(INDEX(tbl_requisitos_emb[Tema],MATCH(B43,tbl_requisitos_emb[ID_Req],0)),"")</f>
        <v>Isenções PPWR</v>
      </c>
      <c r="D43" s="33" t="str">
        <f>IFERROR(INDEX(tbl_recyclass[Segmento],MATCH(A43,tbl_recyclass[ProductId],0)),"")</f>
        <v>Cosmética e higiene pessoal</v>
      </c>
      <c r="E43" s="26" t="s">
        <v>904</v>
      </c>
      <c r="F43" s="26" t="s">
        <v>1451</v>
      </c>
      <c r="G43" s="26" t="s">
        <v>1143</v>
      </c>
      <c r="H43" s="33" t="str">
        <f>IF(E43="Não","Não aplicável",IFERROR(IF(B43="EU-ENV-002",IF(INDEX(tbl_recyclass[Conforme_PPWR_2030],MATCH(A43,tbl_recyclass[ProductId],0))="Sim","Conforme (autoavaliação)",IF(INDEX(tbl_recyclass[Conforme_PPWR_2030],MATCH(A43,tbl_recyclass[ProductId],0))="Não","Não conforme em 2030","Isento até 2035")),IF(B43="EU-ENV-003",IF(INDEX(tbl_recyclass[Conforme_Art7_2030],MATCH(A43,tbl_recyclass[ProductId],0))="Sim","Conforme (meta 2030)",IF(INDEX(tbl_recyclass[Conforme_Art7_2030],MATCH(A43,tbl_recyclass[ProductId],0))="Não","Lacuna face à meta 2030","Isento")),IF(B43="EU-ENV-011",IF(INDEX(tbl_familias_ppwr[Metais_Pesados_Evidencia],MATCH(INDEX(tbl_recyclass[Familia_PPWR],MATCH(A43,tbl_recyclass[ProductId],0)),tbl_familias_ppwr[ID_Familia],0))="Em falta","Lacuna","Conforme"),IF(B43="EU-ENV-013",IF(INDEX(tbl_familias_ppwr[Declaracao_UE],MATCH(INDEX(tbl_recyclass[Familia_PPWR],MATCH(A43,tbl_recyclass[ProductId],0)),tbl_familias_ppwr[ID_Familia],0))="Sim","Conforme","Lacuna"),G43)))),G43))</f>
        <v>Não aplicável</v>
      </c>
      <c r="I43" s="33" t="str">
        <f t="shared" si="0"/>
        <v>Não aplicável</v>
      </c>
      <c r="J43" s="26"/>
    </row>
    <row r="44" spans="1:10" ht="16.05" customHeight="1" x14ac:dyDescent="0.3">
      <c r="A44" s="26" t="s">
        <v>600</v>
      </c>
      <c r="B44" s="26" t="s">
        <v>1357</v>
      </c>
      <c r="C44" s="33" t="str">
        <f>IFERROR(INDEX(tbl_requisitos_emb[Tema],MATCH(B44,tbl_requisitos_emb[ID_Req],0)),"")</f>
        <v>Identificação de plásticos</v>
      </c>
      <c r="D44" s="33" t="str">
        <f>IFERROR(INDEX(tbl_recyclass[Segmento],MATCH(A44,tbl_recyclass[ProductId],0)),"")</f>
        <v>Cosmética e higiene pessoal</v>
      </c>
      <c r="E44" s="26" t="s">
        <v>901</v>
      </c>
      <c r="F44" s="26" t="s">
        <v>1449</v>
      </c>
      <c r="G44" s="26" t="s">
        <v>978</v>
      </c>
      <c r="H44" s="33" t="str">
        <f>IF(E44="Não","Não aplicável",IFERROR(IF(B44="EU-ENV-002",IF(INDEX(tbl_recyclass[Conforme_PPWR_2030],MATCH(A44,tbl_recyclass[ProductId],0))="Sim","Conforme (autoavaliação)",IF(INDEX(tbl_recyclass[Conforme_PPWR_2030],MATCH(A44,tbl_recyclass[ProductId],0))="Não","Não conforme em 2030","Isento até 2035")),IF(B44="EU-ENV-003",IF(INDEX(tbl_recyclass[Conforme_Art7_2030],MATCH(A44,tbl_recyclass[ProductId],0))="Sim","Conforme (meta 2030)",IF(INDEX(tbl_recyclass[Conforme_Art7_2030],MATCH(A44,tbl_recyclass[ProductId],0))="Não","Lacuna face à meta 2030","Isento")),IF(B44="EU-ENV-011",IF(INDEX(tbl_familias_ppwr[Metais_Pesados_Evidencia],MATCH(INDEX(tbl_recyclass[Familia_PPWR],MATCH(A44,tbl_recyclass[ProductId],0)),tbl_familias_ppwr[ID_Familia],0))="Em falta","Lacuna","Conforme"),IF(B44="EU-ENV-013",IF(INDEX(tbl_familias_ppwr[Declaracao_UE],MATCH(INDEX(tbl_recyclass[Familia_PPWR],MATCH(A44,tbl_recyclass[ProductId],0)),tbl_familias_ppwr[ID_Familia],0))="Sim","Conforme","Lacuna"),G44)))),G44))</f>
        <v>Parcial</v>
      </c>
      <c r="I44" s="33" t="str">
        <f t="shared" si="0"/>
        <v>Parcial</v>
      </c>
      <c r="J44" s="26" t="s">
        <v>1362</v>
      </c>
    </row>
    <row r="45" spans="1:10" ht="16.05" customHeight="1" x14ac:dyDescent="0.3">
      <c r="A45" s="26" t="s">
        <v>600</v>
      </c>
      <c r="B45" s="26" t="s">
        <v>1385</v>
      </c>
      <c r="C45" s="33" t="str">
        <f>IFERROR(INDEX(tbl_requisitos_emb[Tema],MATCH(B45,tbl_requisitos_emb[ID_Req],0)),"")</f>
        <v>Reciclabilidade (voluntária)</v>
      </c>
      <c r="D45" s="33" t="str">
        <f>IFERROR(INDEX(tbl_recyclass[Segmento],MATCH(A45,tbl_recyclass[ProductId],0)),"")</f>
        <v>Cosmética e higiene pessoal</v>
      </c>
      <c r="E45" s="26" t="s">
        <v>901</v>
      </c>
      <c r="F45" s="26" t="s">
        <v>1449</v>
      </c>
      <c r="G45" s="26" t="s">
        <v>978</v>
      </c>
      <c r="H45" s="33" t="str">
        <f>IF(E45="Não","Não aplicável",IFERROR(IF(B45="EU-ENV-002",IF(INDEX(tbl_recyclass[Conforme_PPWR_2030],MATCH(A45,tbl_recyclass[ProductId],0))="Sim","Conforme (autoavaliação)",IF(INDEX(tbl_recyclass[Conforme_PPWR_2030],MATCH(A45,tbl_recyclass[ProductId],0))="Não","Não conforme em 2030","Isento até 2035")),IF(B45="EU-ENV-003",IF(INDEX(tbl_recyclass[Conforme_Art7_2030],MATCH(A45,tbl_recyclass[ProductId],0))="Sim","Conforme (meta 2030)",IF(INDEX(tbl_recyclass[Conforme_Art7_2030],MATCH(A45,tbl_recyclass[ProductId],0))="Não","Lacuna face à meta 2030","Isento")),IF(B45="EU-ENV-011",IF(INDEX(tbl_familias_ppwr[Metais_Pesados_Evidencia],MATCH(INDEX(tbl_recyclass[Familia_PPWR],MATCH(A45,tbl_recyclass[ProductId],0)),tbl_familias_ppwr[ID_Familia],0))="Em falta","Lacuna","Conforme"),IF(B45="EU-ENV-013",IF(INDEX(tbl_familias_ppwr[Declaracao_UE],MATCH(INDEX(tbl_recyclass[Familia_PPWR],MATCH(A45,tbl_recyclass[ProductId],0)),tbl_familias_ppwr[ID_Familia],0))="Sim","Conforme","Lacuna"),G45)))),G45))</f>
        <v>Parcial</v>
      </c>
      <c r="I45" s="33" t="str">
        <f t="shared" si="0"/>
        <v>Parcial</v>
      </c>
      <c r="J45" s="26" t="s">
        <v>1389</v>
      </c>
    </row>
    <row r="46" spans="1:10" ht="16.05" customHeight="1" x14ac:dyDescent="0.3">
      <c r="A46" s="26" t="s">
        <v>606</v>
      </c>
      <c r="B46" s="26" t="s">
        <v>984</v>
      </c>
      <c r="C46" s="33" t="str">
        <f>IFERROR(INDEX(tbl_requisitos_emb[Tema],MATCH(B46,tbl_requisitos_emb[ID_Req],0)),"")</f>
        <v>Conceção para reciclagem</v>
      </c>
      <c r="D46" s="33" t="str">
        <f>IFERROR(INDEX(tbl_recyclass[Segmento],MATCH(A46,tbl_recyclass[ProductId],0)),"")</f>
        <v>Cosmética e higiene pessoal</v>
      </c>
      <c r="E46" s="26" t="s">
        <v>901</v>
      </c>
      <c r="F46" s="26" t="s">
        <v>1449</v>
      </c>
      <c r="G46" s="26" t="s">
        <v>978</v>
      </c>
      <c r="H46" s="33" t="str">
        <f>IF(E46="Não","Não aplicável",IFERROR(IF(B46="EU-ENV-002",IF(INDEX(tbl_recyclass[Conforme_PPWR_2030],MATCH(A46,tbl_recyclass[ProductId],0))="Sim","Conforme (autoavaliação)",IF(INDEX(tbl_recyclass[Conforme_PPWR_2030],MATCH(A46,tbl_recyclass[ProductId],0))="Não","Não conforme em 2030","Isento até 2035")),IF(B46="EU-ENV-003",IF(INDEX(tbl_recyclass[Conforme_Art7_2030],MATCH(A46,tbl_recyclass[ProductId],0))="Sim","Conforme (meta 2030)",IF(INDEX(tbl_recyclass[Conforme_Art7_2030],MATCH(A46,tbl_recyclass[ProductId],0))="Não","Lacuna face à meta 2030","Isento")),IF(B46="EU-ENV-011",IF(INDEX(tbl_familias_ppwr[Metais_Pesados_Evidencia],MATCH(INDEX(tbl_recyclass[Familia_PPWR],MATCH(A46,tbl_recyclass[ProductId],0)),tbl_familias_ppwr[ID_Familia],0))="Em falta","Lacuna","Conforme"),IF(B46="EU-ENV-013",IF(INDEX(tbl_familias_ppwr[Declaracao_UE],MATCH(INDEX(tbl_recyclass[Familia_PPWR],MATCH(A46,tbl_recyclass[ProductId],0)),tbl_familias_ppwr[ID_Familia],0))="Sim","Conforme","Lacuna"),G46)))),G46))</f>
        <v>Conforme (autoavaliação)</v>
      </c>
      <c r="I46" s="33" t="str">
        <f t="shared" si="0"/>
        <v>Conforme</v>
      </c>
      <c r="J46" s="26" t="s">
        <v>991</v>
      </c>
    </row>
    <row r="47" spans="1:10" ht="16.05" customHeight="1" x14ac:dyDescent="0.3">
      <c r="A47" s="26" t="s">
        <v>606</v>
      </c>
      <c r="B47" s="26" t="s">
        <v>997</v>
      </c>
      <c r="C47" s="33" t="str">
        <f>IFERROR(INDEX(tbl_requisitos_emb[Tema],MATCH(B47,tbl_requisitos_emb[ID_Req],0)),"")</f>
        <v>Conteúdo reciclado</v>
      </c>
      <c r="D47" s="33" t="str">
        <f>IFERROR(INDEX(tbl_recyclass[Segmento],MATCH(A47,tbl_recyclass[ProductId],0)),"")</f>
        <v>Cosmética e higiene pessoal</v>
      </c>
      <c r="E47" s="26" t="s">
        <v>901</v>
      </c>
      <c r="F47" s="26" t="s">
        <v>1449</v>
      </c>
      <c r="G47" s="26" t="s">
        <v>978</v>
      </c>
      <c r="H47" s="33" t="str">
        <f>IF(E47="Não","Não aplicável",IFERROR(IF(B47="EU-ENV-002",IF(INDEX(tbl_recyclass[Conforme_PPWR_2030],MATCH(A47,tbl_recyclass[ProductId],0))="Sim","Conforme (autoavaliação)",IF(INDEX(tbl_recyclass[Conforme_PPWR_2030],MATCH(A47,tbl_recyclass[ProductId],0))="Não","Não conforme em 2030","Isento até 2035")),IF(B47="EU-ENV-003",IF(INDEX(tbl_recyclass[Conforme_Art7_2030],MATCH(A47,tbl_recyclass[ProductId],0))="Sim","Conforme (meta 2030)",IF(INDEX(tbl_recyclass[Conforme_Art7_2030],MATCH(A47,tbl_recyclass[ProductId],0))="Não","Lacuna face à meta 2030","Isento")),IF(B47="EU-ENV-011",IF(INDEX(tbl_familias_ppwr[Metais_Pesados_Evidencia],MATCH(INDEX(tbl_recyclass[Familia_PPWR],MATCH(A47,tbl_recyclass[ProductId],0)),tbl_familias_ppwr[ID_Familia],0))="Em falta","Lacuna","Conforme"),IF(B47="EU-ENV-013",IF(INDEX(tbl_familias_ppwr[Declaracao_UE],MATCH(INDEX(tbl_recyclass[Familia_PPWR],MATCH(A47,tbl_recyclass[ProductId],0)),tbl_familias_ppwr[ID_Familia],0))="Sim","Conforme","Lacuna"),G47)))),G47))</f>
        <v>Lacuna face à meta 2030</v>
      </c>
      <c r="I47" s="33" t="str">
        <f t="shared" si="0"/>
        <v>Lacuna</v>
      </c>
      <c r="J47" s="26" t="s">
        <v>1001</v>
      </c>
    </row>
    <row r="48" spans="1:10" ht="16.05" customHeight="1" x14ac:dyDescent="0.3">
      <c r="A48" s="26" t="s">
        <v>606</v>
      </c>
      <c r="B48" s="26" t="s">
        <v>1007</v>
      </c>
      <c r="C48" s="33" t="str">
        <f>IFERROR(INDEX(tbl_requisitos_emb[Tema],MATCH(B48,tbl_requisitos_emb[ID_Req],0)),"")</f>
        <v>Minimização</v>
      </c>
      <c r="D48" s="33" t="str">
        <f>IFERROR(INDEX(tbl_recyclass[Segmento],MATCH(A48,tbl_recyclass[ProductId],0)),"")</f>
        <v>Cosmética e higiene pessoal</v>
      </c>
      <c r="E48" s="26" t="s">
        <v>901</v>
      </c>
      <c r="F48" s="26" t="s">
        <v>1449</v>
      </c>
      <c r="G48" s="26" t="s">
        <v>978</v>
      </c>
      <c r="H48" s="33" t="str">
        <f>IF(E48="Não","Não aplicável",IFERROR(IF(B48="EU-ENV-002",IF(INDEX(tbl_recyclass[Conforme_PPWR_2030],MATCH(A48,tbl_recyclass[ProductId],0))="Sim","Conforme (autoavaliação)",IF(INDEX(tbl_recyclass[Conforme_PPWR_2030],MATCH(A48,tbl_recyclass[ProductId],0))="Não","Não conforme em 2030","Isento até 2035")),IF(B48="EU-ENV-003",IF(INDEX(tbl_recyclass[Conforme_Art7_2030],MATCH(A48,tbl_recyclass[ProductId],0))="Sim","Conforme (meta 2030)",IF(INDEX(tbl_recyclass[Conforme_Art7_2030],MATCH(A48,tbl_recyclass[ProductId],0))="Não","Lacuna face à meta 2030","Isento")),IF(B48="EU-ENV-011",IF(INDEX(tbl_familias_ppwr[Metais_Pesados_Evidencia],MATCH(INDEX(tbl_recyclass[Familia_PPWR],MATCH(A48,tbl_recyclass[ProductId],0)),tbl_familias_ppwr[ID_Familia],0))="Em falta","Lacuna","Conforme"),IF(B48="EU-ENV-013",IF(INDEX(tbl_familias_ppwr[Declaracao_UE],MATCH(INDEX(tbl_recyclass[Familia_PPWR],MATCH(A48,tbl_recyclass[ProductId],0)),tbl_familias_ppwr[ID_Familia],0))="Sim","Conforme","Lacuna"),G48)))),G48))</f>
        <v>Parcial</v>
      </c>
      <c r="I48" s="33" t="str">
        <f t="shared" si="0"/>
        <v>Parcial</v>
      </c>
      <c r="J48" s="26" t="s">
        <v>1012</v>
      </c>
    </row>
    <row r="49" spans="1:10" ht="16.05" customHeight="1" x14ac:dyDescent="0.3">
      <c r="A49" s="26" t="s">
        <v>606</v>
      </c>
      <c r="B49" s="26" t="s">
        <v>1016</v>
      </c>
      <c r="C49" s="33" t="str">
        <f>IFERROR(INDEX(tbl_requisitos_emb[Tema],MATCH(B49,tbl_requisitos_emb[ID_Req],0)),"")</f>
        <v>Rotulagem</v>
      </c>
      <c r="D49" s="33" t="str">
        <f>IFERROR(INDEX(tbl_recyclass[Segmento],MATCH(A49,tbl_recyclass[ProductId],0)),"")</f>
        <v>Cosmética e higiene pessoal</v>
      </c>
      <c r="E49" s="26" t="s">
        <v>901</v>
      </c>
      <c r="F49" s="26" t="s">
        <v>1449</v>
      </c>
      <c r="G49" s="26" t="s">
        <v>990</v>
      </c>
      <c r="H49" s="33" t="str">
        <f>IF(E49="Não","Não aplicável",IFERROR(IF(B49="EU-ENV-002",IF(INDEX(tbl_recyclass[Conforme_PPWR_2030],MATCH(A49,tbl_recyclass[ProductId],0))="Sim","Conforme (autoavaliação)",IF(INDEX(tbl_recyclass[Conforme_PPWR_2030],MATCH(A49,tbl_recyclass[ProductId],0))="Não","Não conforme em 2030","Isento até 2035")),IF(B49="EU-ENV-003",IF(INDEX(tbl_recyclass[Conforme_Art7_2030],MATCH(A49,tbl_recyclass[ProductId],0))="Sim","Conforme (meta 2030)",IF(INDEX(tbl_recyclass[Conforme_Art7_2030],MATCH(A49,tbl_recyclass[ProductId],0))="Não","Lacuna face à meta 2030","Isento")),IF(B49="EU-ENV-011",IF(INDEX(tbl_familias_ppwr[Metais_Pesados_Evidencia],MATCH(INDEX(tbl_recyclass[Familia_PPWR],MATCH(A49,tbl_recyclass[ProductId],0)),tbl_familias_ppwr[ID_Familia],0))="Em falta","Lacuna","Conforme"),IF(B49="EU-ENV-013",IF(INDEX(tbl_familias_ppwr[Declaracao_UE],MATCH(INDEX(tbl_recyclass[Familia_PPWR],MATCH(A49,tbl_recyclass[ProductId],0)),tbl_familias_ppwr[ID_Familia],0))="Sim","Conforme","Lacuna"),G49)))),G49))</f>
        <v>Futuro</v>
      </c>
      <c r="I49" s="33" t="str">
        <f t="shared" si="0"/>
        <v>Futuro</v>
      </c>
      <c r="J49" s="26" t="s">
        <v>1021</v>
      </c>
    </row>
    <row r="50" spans="1:10" ht="16.05" customHeight="1" x14ac:dyDescent="0.3">
      <c r="A50" s="26" t="s">
        <v>606</v>
      </c>
      <c r="B50" s="26" t="s">
        <v>1038</v>
      </c>
      <c r="C50" s="33" t="str">
        <f>IFERROR(INDEX(tbl_requisitos_emb[Tema],MATCH(B50,tbl_requisitos_emb[ID_Req],0)),"")</f>
        <v>Plásticos de utilização única</v>
      </c>
      <c r="D50" s="33" t="str">
        <f>IFERROR(INDEX(tbl_recyclass[Segmento],MATCH(A50,tbl_recyclass[ProductId],0)),"")</f>
        <v>Cosmética e higiene pessoal</v>
      </c>
      <c r="E50" s="26" t="s">
        <v>904</v>
      </c>
      <c r="F50" s="26" t="s">
        <v>1450</v>
      </c>
      <c r="G50" s="26" t="s">
        <v>1143</v>
      </c>
      <c r="H50" s="33" t="str">
        <f>IF(E50="Não","Não aplicável",IFERROR(IF(B50="EU-ENV-002",IF(INDEX(tbl_recyclass[Conforme_PPWR_2030],MATCH(A50,tbl_recyclass[ProductId],0))="Sim","Conforme (autoavaliação)",IF(INDEX(tbl_recyclass[Conforme_PPWR_2030],MATCH(A50,tbl_recyclass[ProductId],0))="Não","Não conforme em 2030","Isento até 2035")),IF(B50="EU-ENV-003",IF(INDEX(tbl_recyclass[Conforme_Art7_2030],MATCH(A50,tbl_recyclass[ProductId],0))="Sim","Conforme (meta 2030)",IF(INDEX(tbl_recyclass[Conforme_Art7_2030],MATCH(A50,tbl_recyclass[ProductId],0))="Não","Lacuna face à meta 2030","Isento")),IF(B50="EU-ENV-011",IF(INDEX(tbl_familias_ppwr[Metais_Pesados_Evidencia],MATCH(INDEX(tbl_recyclass[Familia_PPWR],MATCH(A50,tbl_recyclass[ProductId],0)),tbl_familias_ppwr[ID_Familia],0))="Em falta","Lacuna","Conforme"),IF(B50="EU-ENV-013",IF(INDEX(tbl_familias_ppwr[Declaracao_UE],MATCH(INDEX(tbl_recyclass[Familia_PPWR],MATCH(A50,tbl_recyclass[ProductId],0)),tbl_familias_ppwr[ID_Familia],0))="Sim","Conforme","Lacuna"),G50)))),G50))</f>
        <v>Não aplicável</v>
      </c>
      <c r="I50" s="33" t="str">
        <f t="shared" si="0"/>
        <v>Não aplicável</v>
      </c>
      <c r="J50" s="26"/>
    </row>
    <row r="51" spans="1:10" ht="16.05" customHeight="1" x14ac:dyDescent="0.3">
      <c r="A51" s="26" t="s">
        <v>606</v>
      </c>
      <c r="B51" s="26" t="s">
        <v>1078</v>
      </c>
      <c r="C51" s="33" t="str">
        <f>IFERROR(INDEX(tbl_requisitos_emb[Tema],MATCH(B51,tbl_requisitos_emb[ID_Req],0)),"")</f>
        <v>Reciclado à escala</v>
      </c>
      <c r="D51" s="33" t="str">
        <f>IFERROR(INDEX(tbl_recyclass[Segmento],MATCH(A51,tbl_recyclass[ProductId],0)),"")</f>
        <v>Cosmética e higiene pessoal</v>
      </c>
      <c r="E51" s="26" t="s">
        <v>901</v>
      </c>
      <c r="F51" s="26" t="s">
        <v>1449</v>
      </c>
      <c r="G51" s="26" t="s">
        <v>990</v>
      </c>
      <c r="H51" s="33" t="str">
        <f>IF(E51="Não","Não aplicável",IFERROR(IF(B51="EU-ENV-002",IF(INDEX(tbl_recyclass[Conforme_PPWR_2030],MATCH(A51,tbl_recyclass[ProductId],0))="Sim","Conforme (autoavaliação)",IF(INDEX(tbl_recyclass[Conforme_PPWR_2030],MATCH(A51,tbl_recyclass[ProductId],0))="Não","Não conforme em 2030","Isento até 2035")),IF(B51="EU-ENV-003",IF(INDEX(tbl_recyclass[Conforme_Art7_2030],MATCH(A51,tbl_recyclass[ProductId],0))="Sim","Conforme (meta 2030)",IF(INDEX(tbl_recyclass[Conforme_Art7_2030],MATCH(A51,tbl_recyclass[ProductId],0))="Não","Lacuna face à meta 2030","Isento")),IF(B51="EU-ENV-011",IF(INDEX(tbl_familias_ppwr[Metais_Pesados_Evidencia],MATCH(INDEX(tbl_recyclass[Familia_PPWR],MATCH(A51,tbl_recyclass[ProductId],0)),tbl_familias_ppwr[ID_Familia],0))="Em falta","Lacuna","Conforme"),IF(B51="EU-ENV-013",IF(INDEX(tbl_familias_ppwr[Declaracao_UE],MATCH(INDEX(tbl_recyclass[Familia_PPWR],MATCH(A51,tbl_recyclass[ProductId],0)),tbl_familias_ppwr[ID_Familia],0))="Sim","Conforme","Lacuna"),G51)))),G51))</f>
        <v>Futuro</v>
      </c>
      <c r="I51" s="33" t="str">
        <f t="shared" si="0"/>
        <v>Futuro</v>
      </c>
      <c r="J51" s="26" t="s">
        <v>1082</v>
      </c>
    </row>
    <row r="52" spans="1:10" ht="16.05" customHeight="1" x14ac:dyDescent="0.3">
      <c r="A52" s="26" t="s">
        <v>606</v>
      </c>
      <c r="B52" s="26" t="s">
        <v>1086</v>
      </c>
      <c r="C52" s="33" t="str">
        <f>IFERROR(INDEX(tbl_requisitos_emb[Tema],MATCH(B52,tbl_requisitos_emb[ID_Req],0)),"")</f>
        <v>Metais pesados</v>
      </c>
      <c r="D52" s="33" t="str">
        <f>IFERROR(INDEX(tbl_recyclass[Segmento],MATCH(A52,tbl_recyclass[ProductId],0)),"")</f>
        <v>Cosmética e higiene pessoal</v>
      </c>
      <c r="E52" s="26" t="s">
        <v>901</v>
      </c>
      <c r="F52" s="26" t="s">
        <v>1449</v>
      </c>
      <c r="G52" s="26" t="s">
        <v>978</v>
      </c>
      <c r="H52" s="33" t="str">
        <f>IF(E52="Não","Não aplicável",IFERROR(IF(B52="EU-ENV-002",IF(INDEX(tbl_recyclass[Conforme_PPWR_2030],MATCH(A52,tbl_recyclass[ProductId],0))="Sim","Conforme (autoavaliação)",IF(INDEX(tbl_recyclass[Conforme_PPWR_2030],MATCH(A52,tbl_recyclass[ProductId],0))="Não","Não conforme em 2030","Isento até 2035")),IF(B52="EU-ENV-003",IF(INDEX(tbl_recyclass[Conforme_Art7_2030],MATCH(A52,tbl_recyclass[ProductId],0))="Sim","Conforme (meta 2030)",IF(INDEX(tbl_recyclass[Conforme_Art7_2030],MATCH(A52,tbl_recyclass[ProductId],0))="Não","Lacuna face à meta 2030","Isento")),IF(B52="EU-ENV-011",IF(INDEX(tbl_familias_ppwr[Metais_Pesados_Evidencia],MATCH(INDEX(tbl_recyclass[Familia_PPWR],MATCH(A52,tbl_recyclass[ProductId],0)),tbl_familias_ppwr[ID_Familia],0))="Em falta","Lacuna","Conforme"),IF(B52="EU-ENV-013",IF(INDEX(tbl_familias_ppwr[Declaracao_UE],MATCH(INDEX(tbl_recyclass[Familia_PPWR],MATCH(A52,tbl_recyclass[ProductId],0)),tbl_familias_ppwr[ID_Familia],0))="Sim","Conforme","Lacuna"),G52)))),G52))</f>
        <v>Conforme</v>
      </c>
      <c r="I52" s="33" t="str">
        <f t="shared" si="0"/>
        <v>Conforme</v>
      </c>
      <c r="J52" s="26" t="s">
        <v>1090</v>
      </c>
    </row>
    <row r="53" spans="1:10" ht="16.05" customHeight="1" x14ac:dyDescent="0.3">
      <c r="A53" s="26" t="s">
        <v>606</v>
      </c>
      <c r="B53" s="26" t="s">
        <v>1094</v>
      </c>
      <c r="C53" s="33" t="str">
        <f>IFERROR(INDEX(tbl_requisitos_emb[Tema],MATCH(B53,tbl_requisitos_emb[ID_Req],0)),"")</f>
        <v>PFAS</v>
      </c>
      <c r="D53" s="33" t="str">
        <f>IFERROR(INDEX(tbl_recyclass[Segmento],MATCH(A53,tbl_recyclass[ProductId],0)),"")</f>
        <v>Cosmética e higiene pessoal</v>
      </c>
      <c r="E53" s="26" t="s">
        <v>904</v>
      </c>
      <c r="F53" s="26" t="s">
        <v>1450</v>
      </c>
      <c r="G53" s="26" t="s">
        <v>1143</v>
      </c>
      <c r="H53" s="33" t="str">
        <f>IF(E53="Não","Não aplicável",IFERROR(IF(B53="EU-ENV-002",IF(INDEX(tbl_recyclass[Conforme_PPWR_2030],MATCH(A53,tbl_recyclass[ProductId],0))="Sim","Conforme (autoavaliação)",IF(INDEX(tbl_recyclass[Conforme_PPWR_2030],MATCH(A53,tbl_recyclass[ProductId],0))="Não","Não conforme em 2030","Isento até 2035")),IF(B53="EU-ENV-003",IF(INDEX(tbl_recyclass[Conforme_Art7_2030],MATCH(A53,tbl_recyclass[ProductId],0))="Sim","Conforme (meta 2030)",IF(INDEX(tbl_recyclass[Conforme_Art7_2030],MATCH(A53,tbl_recyclass[ProductId],0))="Não","Lacuna face à meta 2030","Isento")),IF(B53="EU-ENV-011",IF(INDEX(tbl_familias_ppwr[Metais_Pesados_Evidencia],MATCH(INDEX(tbl_recyclass[Familia_PPWR],MATCH(A53,tbl_recyclass[ProductId],0)),tbl_familias_ppwr[ID_Familia],0))="Em falta","Lacuna","Conforme"),IF(B53="EU-ENV-013",IF(INDEX(tbl_familias_ppwr[Declaracao_UE],MATCH(INDEX(tbl_recyclass[Familia_PPWR],MATCH(A53,tbl_recyclass[ProductId],0)),tbl_familias_ppwr[ID_Familia],0))="Sim","Conforme","Lacuna"),G53)))),G53))</f>
        <v>Não aplicável</v>
      </c>
      <c r="I53" s="33" t="str">
        <f t="shared" si="0"/>
        <v>Não aplicável</v>
      </c>
      <c r="J53" s="26"/>
    </row>
    <row r="54" spans="1:10" ht="16.05" customHeight="1" x14ac:dyDescent="0.3">
      <c r="A54" s="26" t="s">
        <v>606</v>
      </c>
      <c r="B54" s="26" t="s">
        <v>1102</v>
      </c>
      <c r="C54" s="33" t="str">
        <f>IFERROR(INDEX(tbl_requisitos_emb[Tema],MATCH(B54,tbl_requisitos_emb[ID_Req],0)),"")</f>
        <v>Documentação técnica e declaração UE</v>
      </c>
      <c r="D54" s="33" t="str">
        <f>IFERROR(INDEX(tbl_recyclass[Segmento],MATCH(A54,tbl_recyclass[ProductId],0)),"")</f>
        <v>Cosmética e higiene pessoal</v>
      </c>
      <c r="E54" s="26" t="s">
        <v>901</v>
      </c>
      <c r="F54" s="26" t="s">
        <v>1449</v>
      </c>
      <c r="G54" s="26" t="s">
        <v>978</v>
      </c>
      <c r="H54" s="33" t="str">
        <f>IF(E54="Não","Não aplicável",IFERROR(IF(B54="EU-ENV-002",IF(INDEX(tbl_recyclass[Conforme_PPWR_2030],MATCH(A54,tbl_recyclass[ProductId],0))="Sim","Conforme (autoavaliação)",IF(INDEX(tbl_recyclass[Conforme_PPWR_2030],MATCH(A54,tbl_recyclass[ProductId],0))="Não","Não conforme em 2030","Isento até 2035")),IF(B54="EU-ENV-003",IF(INDEX(tbl_recyclass[Conforme_Art7_2030],MATCH(A54,tbl_recyclass[ProductId],0))="Sim","Conforme (meta 2030)",IF(INDEX(tbl_recyclass[Conforme_Art7_2030],MATCH(A54,tbl_recyclass[ProductId],0))="Não","Lacuna face à meta 2030","Isento")),IF(B54="EU-ENV-011",IF(INDEX(tbl_familias_ppwr[Metais_Pesados_Evidencia],MATCH(INDEX(tbl_recyclass[Familia_PPWR],MATCH(A54,tbl_recyclass[ProductId],0)),tbl_familias_ppwr[ID_Familia],0))="Em falta","Lacuna","Conforme"),IF(B54="EU-ENV-013",IF(INDEX(tbl_familias_ppwr[Declaracao_UE],MATCH(INDEX(tbl_recyclass[Familia_PPWR],MATCH(A54,tbl_recyclass[ProductId],0)),tbl_familias_ppwr[ID_Familia],0))="Sim","Conforme","Lacuna"),G54)))),G54))</f>
        <v>Conforme</v>
      </c>
      <c r="I54" s="33" t="str">
        <f t="shared" si="0"/>
        <v>Conforme</v>
      </c>
      <c r="J54" s="26" t="s">
        <v>1106</v>
      </c>
    </row>
    <row r="55" spans="1:10" ht="16.05" customHeight="1" x14ac:dyDescent="0.3">
      <c r="A55" s="26" t="s">
        <v>606</v>
      </c>
      <c r="B55" s="26" t="s">
        <v>1161</v>
      </c>
      <c r="C55" s="33" t="str">
        <f>IFERROR(INDEX(tbl_requisitos_emb[Tema],MATCH(B55,tbl_requisitos_emb[ID_Req],0)),"")</f>
        <v>Materiais em contacto com alimentos</v>
      </c>
      <c r="D55" s="33" t="str">
        <f>IFERROR(INDEX(tbl_recyclass[Segmento],MATCH(A55,tbl_recyclass[ProductId],0)),"")</f>
        <v>Cosmética e higiene pessoal</v>
      </c>
      <c r="E55" s="26" t="s">
        <v>904</v>
      </c>
      <c r="F55" s="26" t="s">
        <v>1450</v>
      </c>
      <c r="G55" s="26" t="s">
        <v>1143</v>
      </c>
      <c r="H55" s="33" t="str">
        <f>IF(E55="Não","Não aplicável",IFERROR(IF(B55="EU-ENV-002",IF(INDEX(tbl_recyclass[Conforme_PPWR_2030],MATCH(A55,tbl_recyclass[ProductId],0))="Sim","Conforme (autoavaliação)",IF(INDEX(tbl_recyclass[Conforme_PPWR_2030],MATCH(A55,tbl_recyclass[ProductId],0))="Não","Não conforme em 2030","Isento até 2035")),IF(B55="EU-ENV-003",IF(INDEX(tbl_recyclass[Conforme_Art7_2030],MATCH(A55,tbl_recyclass[ProductId],0))="Sim","Conforme (meta 2030)",IF(INDEX(tbl_recyclass[Conforme_Art7_2030],MATCH(A55,tbl_recyclass[ProductId],0))="Não","Lacuna face à meta 2030","Isento")),IF(B55="EU-ENV-011",IF(INDEX(tbl_familias_ppwr[Metais_Pesados_Evidencia],MATCH(INDEX(tbl_recyclass[Familia_PPWR],MATCH(A55,tbl_recyclass[ProductId],0)),tbl_familias_ppwr[ID_Familia],0))="Em falta","Lacuna","Conforme"),IF(B55="EU-ENV-013",IF(INDEX(tbl_familias_ppwr[Declaracao_UE],MATCH(INDEX(tbl_recyclass[Familia_PPWR],MATCH(A55,tbl_recyclass[ProductId],0)),tbl_familias_ppwr[ID_Familia],0))="Sim","Conforme","Lacuna"),G55)))),G55))</f>
        <v>Não aplicável</v>
      </c>
      <c r="I55" s="33" t="str">
        <f t="shared" si="0"/>
        <v>Não aplicável</v>
      </c>
      <c r="J55" s="26"/>
    </row>
    <row r="56" spans="1:10" ht="16.05" customHeight="1" x14ac:dyDescent="0.3">
      <c r="A56" s="26" t="s">
        <v>606</v>
      </c>
      <c r="B56" s="26" t="s">
        <v>1170</v>
      </c>
      <c r="C56" s="33" t="str">
        <f>IFERROR(INDEX(tbl_requisitos_emb[Tema],MATCH(B56,tbl_requisitos_emb[ID_Req],0)),"")</f>
        <v>Boas práticas de fabrico FCM</v>
      </c>
      <c r="D56" s="33" t="str">
        <f>IFERROR(INDEX(tbl_recyclass[Segmento],MATCH(A56,tbl_recyclass[ProductId],0)),"")</f>
        <v>Cosmética e higiene pessoal</v>
      </c>
      <c r="E56" s="26" t="s">
        <v>904</v>
      </c>
      <c r="F56" s="26" t="s">
        <v>1450</v>
      </c>
      <c r="G56" s="26" t="s">
        <v>1143</v>
      </c>
      <c r="H56" s="33" t="str">
        <f>IF(E56="Não","Não aplicável",IFERROR(IF(B56="EU-ENV-002",IF(INDEX(tbl_recyclass[Conforme_PPWR_2030],MATCH(A56,tbl_recyclass[ProductId],0))="Sim","Conforme (autoavaliação)",IF(INDEX(tbl_recyclass[Conforme_PPWR_2030],MATCH(A56,tbl_recyclass[ProductId],0))="Não","Não conforme em 2030","Isento até 2035")),IF(B56="EU-ENV-003",IF(INDEX(tbl_recyclass[Conforme_Art7_2030],MATCH(A56,tbl_recyclass[ProductId],0))="Sim","Conforme (meta 2030)",IF(INDEX(tbl_recyclass[Conforme_Art7_2030],MATCH(A56,tbl_recyclass[ProductId],0))="Não","Lacuna face à meta 2030","Isento")),IF(B56="EU-ENV-011",IF(INDEX(tbl_familias_ppwr[Metais_Pesados_Evidencia],MATCH(INDEX(tbl_recyclass[Familia_PPWR],MATCH(A56,tbl_recyclass[ProductId],0)),tbl_familias_ppwr[ID_Familia],0))="Em falta","Lacuna","Conforme"),IF(B56="EU-ENV-013",IF(INDEX(tbl_familias_ppwr[Declaracao_UE],MATCH(INDEX(tbl_recyclass[Familia_PPWR],MATCH(A56,tbl_recyclass[ProductId],0)),tbl_familias_ppwr[ID_Familia],0))="Sim","Conforme","Lacuna"),G56)))),G56))</f>
        <v>Não aplicável</v>
      </c>
      <c r="I56" s="33" t="str">
        <f t="shared" si="0"/>
        <v>Não aplicável</v>
      </c>
      <c r="J56" s="26"/>
    </row>
    <row r="57" spans="1:10" ht="16.05" customHeight="1" x14ac:dyDescent="0.3">
      <c r="A57" s="26" t="s">
        <v>606</v>
      </c>
      <c r="B57" s="26" t="s">
        <v>1179</v>
      </c>
      <c r="C57" s="33" t="str">
        <f>IFERROR(INDEX(tbl_requisitos_emb[Tema],MATCH(B57,tbl_requisitos_emb[ID_Req],0)),"")</f>
        <v>Bisfenol A e bisfenóis perigosos</v>
      </c>
      <c r="D57" s="33" t="str">
        <f>IFERROR(INDEX(tbl_recyclass[Segmento],MATCH(A57,tbl_recyclass[ProductId],0)),"")</f>
        <v>Cosmética e higiene pessoal</v>
      </c>
      <c r="E57" s="26" t="s">
        <v>904</v>
      </c>
      <c r="F57" s="26" t="s">
        <v>1450</v>
      </c>
      <c r="G57" s="26" t="s">
        <v>1143</v>
      </c>
      <c r="H57" s="33" t="str">
        <f>IF(E57="Não","Não aplicável",IFERROR(IF(B57="EU-ENV-002",IF(INDEX(tbl_recyclass[Conforme_PPWR_2030],MATCH(A57,tbl_recyclass[ProductId],0))="Sim","Conforme (autoavaliação)",IF(INDEX(tbl_recyclass[Conforme_PPWR_2030],MATCH(A57,tbl_recyclass[ProductId],0))="Não","Não conforme em 2030","Isento até 2035")),IF(B57="EU-ENV-003",IF(INDEX(tbl_recyclass[Conforme_Art7_2030],MATCH(A57,tbl_recyclass[ProductId],0))="Sim","Conforme (meta 2030)",IF(INDEX(tbl_recyclass[Conforme_Art7_2030],MATCH(A57,tbl_recyclass[ProductId],0))="Não","Lacuna face à meta 2030","Isento")),IF(B57="EU-ENV-011",IF(INDEX(tbl_familias_ppwr[Metais_Pesados_Evidencia],MATCH(INDEX(tbl_recyclass[Familia_PPWR],MATCH(A57,tbl_recyclass[ProductId],0)),tbl_familias_ppwr[ID_Familia],0))="Em falta","Lacuna","Conforme"),IF(B57="EU-ENV-013",IF(INDEX(tbl_familias_ppwr[Declaracao_UE],MATCH(INDEX(tbl_recyclass[Familia_PPWR],MATCH(A57,tbl_recyclass[ProductId],0)),tbl_familias_ppwr[ID_Familia],0))="Sim","Conforme","Lacuna"),G57)))),G57))</f>
        <v>Não aplicável</v>
      </c>
      <c r="I57" s="33" t="str">
        <f t="shared" si="0"/>
        <v>Não aplicável</v>
      </c>
      <c r="J57" s="26"/>
    </row>
    <row r="58" spans="1:10" ht="16.05" customHeight="1" x14ac:dyDescent="0.3">
      <c r="A58" s="26" t="s">
        <v>606</v>
      </c>
      <c r="B58" s="26" t="s">
        <v>1188</v>
      </c>
      <c r="C58" s="33" t="str">
        <f>IFERROR(INDEX(tbl_requisitos_emb[Tema],MATCH(B58,tbl_requisitos_emb[ID_Req],0)),"")</f>
        <v>Plásticos em contacto com alimentos</v>
      </c>
      <c r="D58" s="33" t="str">
        <f>IFERROR(INDEX(tbl_recyclass[Segmento],MATCH(A58,tbl_recyclass[ProductId],0)),"")</f>
        <v>Cosmética e higiene pessoal</v>
      </c>
      <c r="E58" s="26" t="s">
        <v>904</v>
      </c>
      <c r="F58" s="26" t="s">
        <v>1450</v>
      </c>
      <c r="G58" s="26" t="s">
        <v>1143</v>
      </c>
      <c r="H58" s="33" t="str">
        <f>IF(E58="Não","Não aplicável",IFERROR(IF(B58="EU-ENV-002",IF(INDEX(tbl_recyclass[Conforme_PPWR_2030],MATCH(A58,tbl_recyclass[ProductId],0))="Sim","Conforme (autoavaliação)",IF(INDEX(tbl_recyclass[Conforme_PPWR_2030],MATCH(A58,tbl_recyclass[ProductId],0))="Não","Não conforme em 2030","Isento até 2035")),IF(B58="EU-ENV-003",IF(INDEX(tbl_recyclass[Conforme_Art7_2030],MATCH(A58,tbl_recyclass[ProductId],0))="Sim","Conforme (meta 2030)",IF(INDEX(tbl_recyclass[Conforme_Art7_2030],MATCH(A58,tbl_recyclass[ProductId],0))="Não","Lacuna face à meta 2030","Isento")),IF(B58="EU-ENV-011",IF(INDEX(tbl_familias_ppwr[Metais_Pesados_Evidencia],MATCH(INDEX(tbl_recyclass[Familia_PPWR],MATCH(A58,tbl_recyclass[ProductId],0)),tbl_familias_ppwr[ID_Familia],0))="Em falta","Lacuna","Conforme"),IF(B58="EU-ENV-013",IF(INDEX(tbl_familias_ppwr[Declaracao_UE],MATCH(INDEX(tbl_recyclass[Familia_PPWR],MATCH(A58,tbl_recyclass[ProductId],0)),tbl_familias_ppwr[ID_Familia],0))="Sim","Conforme","Lacuna"),G58)))),G58))</f>
        <v>Não aplicável</v>
      </c>
      <c r="I58" s="33" t="str">
        <f t="shared" si="0"/>
        <v>Não aplicável</v>
      </c>
      <c r="J58" s="26"/>
    </row>
    <row r="59" spans="1:10" ht="16.05" customHeight="1" x14ac:dyDescent="0.3">
      <c r="A59" s="26" t="s">
        <v>606</v>
      </c>
      <c r="B59" s="26" t="s">
        <v>1212</v>
      </c>
      <c r="C59" s="33" t="str">
        <f>IFERROR(INDEX(tbl_requisitos_emb[Tema],MATCH(B59,tbl_requisitos_emb[ID_Req],0)),"")</f>
        <v>Segurança do produto cosmético</v>
      </c>
      <c r="D59" s="33" t="str">
        <f>IFERROR(INDEX(tbl_recyclass[Segmento],MATCH(A59,tbl_recyclass[ProductId],0)),"")</f>
        <v>Cosmética e higiene pessoal</v>
      </c>
      <c r="E59" s="26" t="s">
        <v>901</v>
      </c>
      <c r="F59" s="26" t="s">
        <v>1449</v>
      </c>
      <c r="G59" s="26" t="s">
        <v>1033</v>
      </c>
      <c r="H59" s="33" t="str">
        <f>IF(E59="Não","Não aplicável",IFERROR(IF(B59="EU-ENV-002",IF(INDEX(tbl_recyclass[Conforme_PPWR_2030],MATCH(A59,tbl_recyclass[ProductId],0))="Sim","Conforme (autoavaliação)",IF(INDEX(tbl_recyclass[Conforme_PPWR_2030],MATCH(A59,tbl_recyclass[ProductId],0))="Não","Não conforme em 2030","Isento até 2035")),IF(B59="EU-ENV-003",IF(INDEX(tbl_recyclass[Conforme_Art7_2030],MATCH(A59,tbl_recyclass[ProductId],0))="Sim","Conforme (meta 2030)",IF(INDEX(tbl_recyclass[Conforme_Art7_2030],MATCH(A59,tbl_recyclass[ProductId],0))="Não","Lacuna face à meta 2030","Isento")),IF(B59="EU-ENV-011",IF(INDEX(tbl_familias_ppwr[Metais_Pesados_Evidencia],MATCH(INDEX(tbl_recyclass[Familia_PPWR],MATCH(A59,tbl_recyclass[ProductId],0)),tbl_familias_ppwr[ID_Familia],0))="Em falta","Lacuna","Conforme"),IF(B59="EU-ENV-013",IF(INDEX(tbl_familias_ppwr[Declaracao_UE],MATCH(INDEX(tbl_recyclass[Familia_PPWR],MATCH(A59,tbl_recyclass[ProductId],0)),tbl_familias_ppwr[ID_Familia],0))="Sim","Conforme","Lacuna"),G59)))),G59))</f>
        <v>Conforme</v>
      </c>
      <c r="I59" s="33" t="str">
        <f t="shared" si="0"/>
        <v>Conforme</v>
      </c>
      <c r="J59" s="26" t="s">
        <v>1221</v>
      </c>
    </row>
    <row r="60" spans="1:10" ht="16.05" customHeight="1" x14ac:dyDescent="0.3">
      <c r="A60" s="26" t="s">
        <v>606</v>
      </c>
      <c r="B60" s="26" t="s">
        <v>1224</v>
      </c>
      <c r="C60" s="33" t="str">
        <f>IFERROR(INDEX(tbl_requisitos_emb[Tema],MATCH(B60,tbl_requisitos_emb[ID_Req],0)),"")</f>
        <v>Materiais e impurezas</v>
      </c>
      <c r="D60" s="33" t="str">
        <f>IFERROR(INDEX(tbl_recyclass[Segmento],MATCH(A60,tbl_recyclass[ProductId],0)),"")</f>
        <v>Cosmética e higiene pessoal</v>
      </c>
      <c r="E60" s="26" t="s">
        <v>901</v>
      </c>
      <c r="F60" s="26" t="s">
        <v>1449</v>
      </c>
      <c r="G60" s="26" t="s">
        <v>978</v>
      </c>
      <c r="H60" s="33" t="str">
        <f>IF(E60="Não","Não aplicável",IFERROR(IF(B60="EU-ENV-002",IF(INDEX(tbl_recyclass[Conforme_PPWR_2030],MATCH(A60,tbl_recyclass[ProductId],0))="Sim","Conforme (autoavaliação)",IF(INDEX(tbl_recyclass[Conforme_PPWR_2030],MATCH(A60,tbl_recyclass[ProductId],0))="Não","Não conforme em 2030","Isento até 2035")),IF(B60="EU-ENV-003",IF(INDEX(tbl_recyclass[Conforme_Art7_2030],MATCH(A60,tbl_recyclass[ProductId],0))="Sim","Conforme (meta 2030)",IF(INDEX(tbl_recyclass[Conforme_Art7_2030],MATCH(A60,tbl_recyclass[ProductId],0))="Não","Lacuna face à meta 2030","Isento")),IF(B60="EU-ENV-011",IF(INDEX(tbl_familias_ppwr[Metais_Pesados_Evidencia],MATCH(INDEX(tbl_recyclass[Familia_PPWR],MATCH(A60,tbl_recyclass[ProductId],0)),tbl_familias_ppwr[ID_Familia],0))="Em falta","Lacuna","Conforme"),IF(B60="EU-ENV-013",IF(INDEX(tbl_familias_ppwr[Declaracao_UE],MATCH(INDEX(tbl_recyclass[Familia_PPWR],MATCH(A60,tbl_recyclass[ProductId],0)),tbl_familias_ppwr[ID_Familia],0))="Sim","Conforme","Lacuna"),G60)))),G60))</f>
        <v>Parcial</v>
      </c>
      <c r="I60" s="33" t="str">
        <f t="shared" si="0"/>
        <v>Parcial</v>
      </c>
      <c r="J60" s="26" t="s">
        <v>1228</v>
      </c>
    </row>
    <row r="61" spans="1:10" ht="16.05" customHeight="1" x14ac:dyDescent="0.3">
      <c r="A61" s="26" t="s">
        <v>606</v>
      </c>
      <c r="B61" s="26" t="s">
        <v>1240</v>
      </c>
      <c r="C61" s="33" t="str">
        <f>IFERROR(INDEX(tbl_requisitos_emb[Tema],MATCH(B61,tbl_requisitos_emb[ID_Req],0)),"")</f>
        <v>Compatibilidade embalagem–produto</v>
      </c>
      <c r="D61" s="33" t="str">
        <f>IFERROR(INDEX(tbl_recyclass[Segmento],MATCH(A61,tbl_recyclass[ProductId],0)),"")</f>
        <v>Cosmética e higiene pessoal</v>
      </c>
      <c r="E61" s="26" t="s">
        <v>901</v>
      </c>
      <c r="F61" s="26" t="s">
        <v>1449</v>
      </c>
      <c r="G61" s="26" t="s">
        <v>1033</v>
      </c>
      <c r="H61" s="33" t="str">
        <f>IF(E61="Não","Não aplicável",IFERROR(IF(B61="EU-ENV-002",IF(INDEX(tbl_recyclass[Conforme_PPWR_2030],MATCH(A61,tbl_recyclass[ProductId],0))="Sim","Conforme (autoavaliação)",IF(INDEX(tbl_recyclass[Conforme_PPWR_2030],MATCH(A61,tbl_recyclass[ProductId],0))="Não","Não conforme em 2030","Isento até 2035")),IF(B61="EU-ENV-003",IF(INDEX(tbl_recyclass[Conforme_Art7_2030],MATCH(A61,tbl_recyclass[ProductId],0))="Sim","Conforme (meta 2030)",IF(INDEX(tbl_recyclass[Conforme_Art7_2030],MATCH(A61,tbl_recyclass[ProductId],0))="Não","Lacuna face à meta 2030","Isento")),IF(B61="EU-ENV-011",IF(INDEX(tbl_familias_ppwr[Metais_Pesados_Evidencia],MATCH(INDEX(tbl_recyclass[Familia_PPWR],MATCH(A61,tbl_recyclass[ProductId],0)),tbl_familias_ppwr[ID_Familia],0))="Em falta","Lacuna","Conforme"),IF(B61="EU-ENV-013",IF(INDEX(tbl_familias_ppwr[Declaracao_UE],MATCH(INDEX(tbl_recyclass[Familia_PPWR],MATCH(A61,tbl_recyclass[ProductId],0)),tbl_familias_ppwr[ID_Familia],0))="Sim","Conforme","Lacuna"),G61)))),G61))</f>
        <v>Conforme</v>
      </c>
      <c r="I61" s="33" t="str">
        <f t="shared" si="0"/>
        <v>Conforme</v>
      </c>
      <c r="J61" s="26" t="s">
        <v>1244</v>
      </c>
    </row>
    <row r="62" spans="1:10" ht="16.05" customHeight="1" x14ac:dyDescent="0.3">
      <c r="A62" s="26" t="s">
        <v>606</v>
      </c>
      <c r="B62" s="26" t="s">
        <v>1252</v>
      </c>
      <c r="C62" s="33" t="str">
        <f>IFERROR(INDEX(tbl_requisitos_emb[Tema],MATCH(B62,tbl_requisitos_emb[ID_Req],0)),"")</f>
        <v>Medicamentos de uso humano</v>
      </c>
      <c r="D62" s="33" t="str">
        <f>IFERROR(INDEX(tbl_recyclass[Segmento],MATCH(A62,tbl_recyclass[ProductId],0)),"")</f>
        <v>Cosmética e higiene pessoal</v>
      </c>
      <c r="E62" s="26" t="s">
        <v>904</v>
      </c>
      <c r="F62" s="26" t="s">
        <v>1451</v>
      </c>
      <c r="G62" s="26" t="s">
        <v>1143</v>
      </c>
      <c r="H62" s="33" t="str">
        <f>IF(E62="Não","Não aplicável",IFERROR(IF(B62="EU-ENV-002",IF(INDEX(tbl_recyclass[Conforme_PPWR_2030],MATCH(A62,tbl_recyclass[ProductId],0))="Sim","Conforme (autoavaliação)",IF(INDEX(tbl_recyclass[Conforme_PPWR_2030],MATCH(A62,tbl_recyclass[ProductId],0))="Não","Não conforme em 2030","Isento até 2035")),IF(B62="EU-ENV-003",IF(INDEX(tbl_recyclass[Conforme_Art7_2030],MATCH(A62,tbl_recyclass[ProductId],0))="Sim","Conforme (meta 2030)",IF(INDEX(tbl_recyclass[Conforme_Art7_2030],MATCH(A62,tbl_recyclass[ProductId],0))="Não","Lacuna face à meta 2030","Isento")),IF(B62="EU-ENV-011",IF(INDEX(tbl_familias_ppwr[Metais_Pesados_Evidencia],MATCH(INDEX(tbl_recyclass[Familia_PPWR],MATCH(A62,tbl_recyclass[ProductId],0)),tbl_familias_ppwr[ID_Familia],0))="Em falta","Lacuna","Conforme"),IF(B62="EU-ENV-013",IF(INDEX(tbl_familias_ppwr[Declaracao_UE],MATCH(INDEX(tbl_recyclass[Familia_PPWR],MATCH(A62,tbl_recyclass[ProductId],0)),tbl_familias_ppwr[ID_Familia],0))="Sim","Conforme","Lacuna"),G62)))),G62))</f>
        <v>Não aplicável</v>
      </c>
      <c r="I62" s="33" t="str">
        <f t="shared" si="0"/>
        <v>Não aplicável</v>
      </c>
      <c r="J62" s="26"/>
    </row>
    <row r="63" spans="1:10" ht="16.05" customHeight="1" x14ac:dyDescent="0.3">
      <c r="A63" s="26" t="s">
        <v>606</v>
      </c>
      <c r="B63" s="26" t="s">
        <v>1268</v>
      </c>
      <c r="C63" s="33" t="str">
        <f>IFERROR(INDEX(tbl_requisitos_emb[Tema],MATCH(B63,tbl_requisitos_emb[ID_Req],0)),"")</f>
        <v>Dispositivos de segurança</v>
      </c>
      <c r="D63" s="33" t="str">
        <f>IFERROR(INDEX(tbl_recyclass[Segmento],MATCH(A63,tbl_recyclass[ProductId],0)),"")</f>
        <v>Cosmética e higiene pessoal</v>
      </c>
      <c r="E63" s="26" t="s">
        <v>904</v>
      </c>
      <c r="F63" s="26" t="s">
        <v>1451</v>
      </c>
      <c r="G63" s="26" t="s">
        <v>1143</v>
      </c>
      <c r="H63" s="33" t="str">
        <f>IF(E63="Não","Não aplicável",IFERROR(IF(B63="EU-ENV-002",IF(INDEX(tbl_recyclass[Conforme_PPWR_2030],MATCH(A63,tbl_recyclass[ProductId],0))="Sim","Conforme (autoavaliação)",IF(INDEX(tbl_recyclass[Conforme_PPWR_2030],MATCH(A63,tbl_recyclass[ProductId],0))="Não","Não conforme em 2030","Isento até 2035")),IF(B63="EU-ENV-003",IF(INDEX(tbl_recyclass[Conforme_Art7_2030],MATCH(A63,tbl_recyclass[ProductId],0))="Sim","Conforme (meta 2030)",IF(INDEX(tbl_recyclass[Conforme_Art7_2030],MATCH(A63,tbl_recyclass[ProductId],0))="Não","Lacuna face à meta 2030","Isento")),IF(B63="EU-ENV-011",IF(INDEX(tbl_familias_ppwr[Metais_Pesados_Evidencia],MATCH(INDEX(tbl_recyclass[Familia_PPWR],MATCH(A63,tbl_recyclass[ProductId],0)),tbl_familias_ppwr[ID_Familia],0))="Em falta","Lacuna","Conforme"),IF(B63="EU-ENV-013",IF(INDEX(tbl_familias_ppwr[Declaracao_UE],MATCH(INDEX(tbl_recyclass[Familia_PPWR],MATCH(A63,tbl_recyclass[ProductId],0)),tbl_familias_ppwr[ID_Familia],0))="Sim","Conforme","Lacuna"),G63)))),G63))</f>
        <v>Não aplicável</v>
      </c>
      <c r="I63" s="33" t="str">
        <f t="shared" si="0"/>
        <v>Não aplicável</v>
      </c>
      <c r="J63" s="26"/>
    </row>
    <row r="64" spans="1:10" ht="16.05" customHeight="1" x14ac:dyDescent="0.3">
      <c r="A64" s="26" t="s">
        <v>606</v>
      </c>
      <c r="B64" s="26" t="s">
        <v>1285</v>
      </c>
      <c r="C64" s="33" t="str">
        <f>IFERROR(INDEX(tbl_requisitos_emb[Tema],MATCH(B64,tbl_requisitos_emb[ID_Req],0)),"")</f>
        <v>Materiais plásticos de acondicionamento primário</v>
      </c>
      <c r="D64" s="33" t="str">
        <f>IFERROR(INDEX(tbl_recyclass[Segmento],MATCH(A64,tbl_recyclass[ProductId],0)),"")</f>
        <v>Cosmética e higiene pessoal</v>
      </c>
      <c r="E64" s="26" t="s">
        <v>904</v>
      </c>
      <c r="F64" s="26" t="s">
        <v>1451</v>
      </c>
      <c r="G64" s="26" t="s">
        <v>1143</v>
      </c>
      <c r="H64" s="33" t="str">
        <f>IF(E64="Não","Não aplicável",IFERROR(IF(B64="EU-ENV-002",IF(INDEX(tbl_recyclass[Conforme_PPWR_2030],MATCH(A64,tbl_recyclass[ProductId],0))="Sim","Conforme (autoavaliação)",IF(INDEX(tbl_recyclass[Conforme_PPWR_2030],MATCH(A64,tbl_recyclass[ProductId],0))="Não","Não conforme em 2030","Isento até 2035")),IF(B64="EU-ENV-003",IF(INDEX(tbl_recyclass[Conforme_Art7_2030],MATCH(A64,tbl_recyclass[ProductId],0))="Sim","Conforme (meta 2030)",IF(INDEX(tbl_recyclass[Conforme_Art7_2030],MATCH(A64,tbl_recyclass[ProductId],0))="Não","Lacuna face à meta 2030","Isento")),IF(B64="EU-ENV-011",IF(INDEX(tbl_familias_ppwr[Metais_Pesados_Evidencia],MATCH(INDEX(tbl_recyclass[Familia_PPWR],MATCH(A64,tbl_recyclass[ProductId],0)),tbl_familias_ppwr[ID_Familia],0))="Em falta","Lacuna","Conforme"),IF(B64="EU-ENV-013",IF(INDEX(tbl_familias_ppwr[Declaracao_UE],MATCH(INDEX(tbl_recyclass[Familia_PPWR],MATCH(A64,tbl_recyclass[ProductId],0)),tbl_familias_ppwr[ID_Familia],0))="Sim","Conforme","Lacuna"),G64)))),G64))</f>
        <v>Não aplicável</v>
      </c>
      <c r="I64" s="33" t="str">
        <f t="shared" si="0"/>
        <v>Não aplicável</v>
      </c>
      <c r="J64" s="26"/>
    </row>
    <row r="65" spans="1:10" ht="16.05" customHeight="1" x14ac:dyDescent="0.3">
      <c r="A65" s="26" t="s">
        <v>606</v>
      </c>
      <c r="B65" s="26" t="s">
        <v>1293</v>
      </c>
      <c r="C65" s="33" t="str">
        <f>IFERROR(INDEX(tbl_requisitos_emb[Tema],MATCH(B65,tbl_requisitos_emb[ID_Req],0)),"")</f>
        <v>Isenções PPWR</v>
      </c>
      <c r="D65" s="33" t="str">
        <f>IFERROR(INDEX(tbl_recyclass[Segmento],MATCH(A65,tbl_recyclass[ProductId],0)),"")</f>
        <v>Cosmética e higiene pessoal</v>
      </c>
      <c r="E65" s="26" t="s">
        <v>904</v>
      </c>
      <c r="F65" s="26" t="s">
        <v>1451</v>
      </c>
      <c r="G65" s="26" t="s">
        <v>1143</v>
      </c>
      <c r="H65" s="33" t="str">
        <f>IF(E65="Não","Não aplicável",IFERROR(IF(B65="EU-ENV-002",IF(INDEX(tbl_recyclass[Conforme_PPWR_2030],MATCH(A65,tbl_recyclass[ProductId],0))="Sim","Conforme (autoavaliação)",IF(INDEX(tbl_recyclass[Conforme_PPWR_2030],MATCH(A65,tbl_recyclass[ProductId],0))="Não","Não conforme em 2030","Isento até 2035")),IF(B65="EU-ENV-003",IF(INDEX(tbl_recyclass[Conforme_Art7_2030],MATCH(A65,tbl_recyclass[ProductId],0))="Sim","Conforme (meta 2030)",IF(INDEX(tbl_recyclass[Conforme_Art7_2030],MATCH(A65,tbl_recyclass[ProductId],0))="Não","Lacuna face à meta 2030","Isento")),IF(B65="EU-ENV-011",IF(INDEX(tbl_familias_ppwr[Metais_Pesados_Evidencia],MATCH(INDEX(tbl_recyclass[Familia_PPWR],MATCH(A65,tbl_recyclass[ProductId],0)),tbl_familias_ppwr[ID_Familia],0))="Em falta","Lacuna","Conforme"),IF(B65="EU-ENV-013",IF(INDEX(tbl_familias_ppwr[Declaracao_UE],MATCH(INDEX(tbl_recyclass[Familia_PPWR],MATCH(A65,tbl_recyclass[ProductId],0)),tbl_familias_ppwr[ID_Familia],0))="Sim","Conforme","Lacuna"),G65)))),G65))</f>
        <v>Não aplicável</v>
      </c>
      <c r="I65" s="33" t="str">
        <f t="shared" si="0"/>
        <v>Não aplicável</v>
      </c>
      <c r="J65" s="26"/>
    </row>
    <row r="66" spans="1:10" ht="16.05" customHeight="1" x14ac:dyDescent="0.3">
      <c r="A66" s="26" t="s">
        <v>606</v>
      </c>
      <c r="B66" s="26" t="s">
        <v>1357</v>
      </c>
      <c r="C66" s="33" t="str">
        <f>IFERROR(INDEX(tbl_requisitos_emb[Tema],MATCH(B66,tbl_requisitos_emb[ID_Req],0)),"")</f>
        <v>Identificação de plásticos</v>
      </c>
      <c r="D66" s="33" t="str">
        <f>IFERROR(INDEX(tbl_recyclass[Segmento],MATCH(A66,tbl_recyclass[ProductId],0)),"")</f>
        <v>Cosmética e higiene pessoal</v>
      </c>
      <c r="E66" s="26" t="s">
        <v>901</v>
      </c>
      <c r="F66" s="26" t="s">
        <v>1449</v>
      </c>
      <c r="G66" s="26" t="s">
        <v>978</v>
      </c>
      <c r="H66" s="33" t="str">
        <f>IF(E66="Não","Não aplicável",IFERROR(IF(B66="EU-ENV-002",IF(INDEX(tbl_recyclass[Conforme_PPWR_2030],MATCH(A66,tbl_recyclass[ProductId],0))="Sim","Conforme (autoavaliação)",IF(INDEX(tbl_recyclass[Conforme_PPWR_2030],MATCH(A66,tbl_recyclass[ProductId],0))="Não","Não conforme em 2030","Isento até 2035")),IF(B66="EU-ENV-003",IF(INDEX(tbl_recyclass[Conforme_Art7_2030],MATCH(A66,tbl_recyclass[ProductId],0))="Sim","Conforme (meta 2030)",IF(INDEX(tbl_recyclass[Conforme_Art7_2030],MATCH(A66,tbl_recyclass[ProductId],0))="Não","Lacuna face à meta 2030","Isento")),IF(B66="EU-ENV-011",IF(INDEX(tbl_familias_ppwr[Metais_Pesados_Evidencia],MATCH(INDEX(tbl_recyclass[Familia_PPWR],MATCH(A66,tbl_recyclass[ProductId],0)),tbl_familias_ppwr[ID_Familia],0))="Em falta","Lacuna","Conforme"),IF(B66="EU-ENV-013",IF(INDEX(tbl_familias_ppwr[Declaracao_UE],MATCH(INDEX(tbl_recyclass[Familia_PPWR],MATCH(A66,tbl_recyclass[ProductId],0)),tbl_familias_ppwr[ID_Familia],0))="Sim","Conforme","Lacuna"),G66)))),G66))</f>
        <v>Parcial</v>
      </c>
      <c r="I66" s="33" t="str">
        <f t="shared" ref="I66:I129" si="1">IF(ISNUMBER(SEARCH("Não aplicável",H66)),"Não aplicável",IF(ISNUMBER(SEARCH("Isento",H66)),"Isento",IF(ISNUMBER(SEARCH("Não conforme",H66)),"Não conforme",IF(ISNUMBER(SEARCH("Lacuna",H66)),"Lacuna",IF(ISNUMBER(SEARCH("Conforme",H66)),"Conforme",H66)))))</f>
        <v>Parcial</v>
      </c>
      <c r="J66" s="26" t="s">
        <v>1362</v>
      </c>
    </row>
    <row r="67" spans="1:10" ht="16.05" customHeight="1" x14ac:dyDescent="0.3">
      <c r="A67" s="26" t="s">
        <v>606</v>
      </c>
      <c r="B67" s="26" t="s">
        <v>1385</v>
      </c>
      <c r="C67" s="33" t="str">
        <f>IFERROR(INDEX(tbl_requisitos_emb[Tema],MATCH(B67,tbl_requisitos_emb[ID_Req],0)),"")</f>
        <v>Reciclabilidade (voluntária)</v>
      </c>
      <c r="D67" s="33" t="str">
        <f>IFERROR(INDEX(tbl_recyclass[Segmento],MATCH(A67,tbl_recyclass[ProductId],0)),"")</f>
        <v>Cosmética e higiene pessoal</v>
      </c>
      <c r="E67" s="26" t="s">
        <v>901</v>
      </c>
      <c r="F67" s="26" t="s">
        <v>1449</v>
      </c>
      <c r="G67" s="26" t="s">
        <v>978</v>
      </c>
      <c r="H67" s="33" t="str">
        <f>IF(E67="Não","Não aplicável",IFERROR(IF(B67="EU-ENV-002",IF(INDEX(tbl_recyclass[Conforme_PPWR_2030],MATCH(A67,tbl_recyclass[ProductId],0))="Sim","Conforme (autoavaliação)",IF(INDEX(tbl_recyclass[Conforme_PPWR_2030],MATCH(A67,tbl_recyclass[ProductId],0))="Não","Não conforme em 2030","Isento até 2035")),IF(B67="EU-ENV-003",IF(INDEX(tbl_recyclass[Conforme_Art7_2030],MATCH(A67,tbl_recyclass[ProductId],0))="Sim","Conforme (meta 2030)",IF(INDEX(tbl_recyclass[Conforme_Art7_2030],MATCH(A67,tbl_recyclass[ProductId],0))="Não","Lacuna face à meta 2030","Isento")),IF(B67="EU-ENV-011",IF(INDEX(tbl_familias_ppwr[Metais_Pesados_Evidencia],MATCH(INDEX(tbl_recyclass[Familia_PPWR],MATCH(A67,tbl_recyclass[ProductId],0)),tbl_familias_ppwr[ID_Familia],0))="Em falta","Lacuna","Conforme"),IF(B67="EU-ENV-013",IF(INDEX(tbl_familias_ppwr[Declaracao_UE],MATCH(INDEX(tbl_recyclass[Familia_PPWR],MATCH(A67,tbl_recyclass[ProductId],0)),tbl_familias_ppwr[ID_Familia],0))="Sim","Conforme","Lacuna"),G67)))),G67))</f>
        <v>Parcial</v>
      </c>
      <c r="I67" s="33" t="str">
        <f t="shared" si="1"/>
        <v>Parcial</v>
      </c>
      <c r="J67" s="26" t="s">
        <v>1389</v>
      </c>
    </row>
    <row r="68" spans="1:10" ht="16.05" customHeight="1" x14ac:dyDescent="0.3">
      <c r="A68" s="26" t="s">
        <v>608</v>
      </c>
      <c r="B68" s="26" t="s">
        <v>984</v>
      </c>
      <c r="C68" s="33" t="str">
        <f>IFERROR(INDEX(tbl_requisitos_emb[Tema],MATCH(B68,tbl_requisitos_emb[ID_Req],0)),"")</f>
        <v>Conceção para reciclagem</v>
      </c>
      <c r="D68" s="33" t="str">
        <f>IFERROR(INDEX(tbl_recyclass[Segmento],MATCH(A68,tbl_recyclass[ProductId],0)),"")</f>
        <v>Cosmética e higiene pessoal</v>
      </c>
      <c r="E68" s="26" t="s">
        <v>901</v>
      </c>
      <c r="F68" s="26" t="s">
        <v>1449</v>
      </c>
      <c r="G68" s="26" t="s">
        <v>978</v>
      </c>
      <c r="H68" s="33" t="str">
        <f>IF(E68="Não","Não aplicável",IFERROR(IF(B68="EU-ENV-002",IF(INDEX(tbl_recyclass[Conforme_PPWR_2030],MATCH(A68,tbl_recyclass[ProductId],0))="Sim","Conforme (autoavaliação)",IF(INDEX(tbl_recyclass[Conforme_PPWR_2030],MATCH(A68,tbl_recyclass[ProductId],0))="Não","Não conforme em 2030","Isento até 2035")),IF(B68="EU-ENV-003",IF(INDEX(tbl_recyclass[Conforme_Art7_2030],MATCH(A68,tbl_recyclass[ProductId],0))="Sim","Conforme (meta 2030)",IF(INDEX(tbl_recyclass[Conforme_Art7_2030],MATCH(A68,tbl_recyclass[ProductId],0))="Não","Lacuna face à meta 2030","Isento")),IF(B68="EU-ENV-011",IF(INDEX(tbl_familias_ppwr[Metais_Pesados_Evidencia],MATCH(INDEX(tbl_recyclass[Familia_PPWR],MATCH(A68,tbl_recyclass[ProductId],0)),tbl_familias_ppwr[ID_Familia],0))="Em falta","Lacuna","Conforme"),IF(B68="EU-ENV-013",IF(INDEX(tbl_familias_ppwr[Declaracao_UE],MATCH(INDEX(tbl_recyclass[Familia_PPWR],MATCH(A68,tbl_recyclass[ProductId],0)),tbl_familias_ppwr[ID_Familia],0))="Sim","Conforme","Lacuna"),G68)))),G68))</f>
        <v>Não conforme em 2030</v>
      </c>
      <c r="I68" s="33" t="str">
        <f t="shared" si="1"/>
        <v>Não conforme</v>
      </c>
      <c r="J68" s="26" t="s">
        <v>991</v>
      </c>
    </row>
    <row r="69" spans="1:10" ht="16.05" customHeight="1" x14ac:dyDescent="0.3">
      <c r="A69" s="26" t="s">
        <v>608</v>
      </c>
      <c r="B69" s="26" t="s">
        <v>997</v>
      </c>
      <c r="C69" s="33" t="str">
        <f>IFERROR(INDEX(tbl_requisitos_emb[Tema],MATCH(B69,tbl_requisitos_emb[ID_Req],0)),"")</f>
        <v>Conteúdo reciclado</v>
      </c>
      <c r="D69" s="33" t="str">
        <f>IFERROR(INDEX(tbl_recyclass[Segmento],MATCH(A69,tbl_recyclass[ProductId],0)),"")</f>
        <v>Cosmética e higiene pessoal</v>
      </c>
      <c r="E69" s="26" t="s">
        <v>901</v>
      </c>
      <c r="F69" s="26" t="s">
        <v>1449</v>
      </c>
      <c r="G69" s="26" t="s">
        <v>978</v>
      </c>
      <c r="H69" s="33" t="str">
        <f>IF(E69="Não","Não aplicável",IFERROR(IF(B69="EU-ENV-002",IF(INDEX(tbl_recyclass[Conforme_PPWR_2030],MATCH(A69,tbl_recyclass[ProductId],0))="Sim","Conforme (autoavaliação)",IF(INDEX(tbl_recyclass[Conforme_PPWR_2030],MATCH(A69,tbl_recyclass[ProductId],0))="Não","Não conforme em 2030","Isento até 2035")),IF(B69="EU-ENV-003",IF(INDEX(tbl_recyclass[Conforme_Art7_2030],MATCH(A69,tbl_recyclass[ProductId],0))="Sim","Conforme (meta 2030)",IF(INDEX(tbl_recyclass[Conforme_Art7_2030],MATCH(A69,tbl_recyclass[ProductId],0))="Não","Lacuna face à meta 2030","Isento")),IF(B69="EU-ENV-011",IF(INDEX(tbl_familias_ppwr[Metais_Pesados_Evidencia],MATCH(INDEX(tbl_recyclass[Familia_PPWR],MATCH(A69,tbl_recyclass[ProductId],0)),tbl_familias_ppwr[ID_Familia],0))="Em falta","Lacuna","Conforme"),IF(B69="EU-ENV-013",IF(INDEX(tbl_familias_ppwr[Declaracao_UE],MATCH(INDEX(tbl_recyclass[Familia_PPWR],MATCH(A69,tbl_recyclass[ProductId],0)),tbl_familias_ppwr[ID_Familia],0))="Sim","Conforme","Lacuna"),G69)))),G69))</f>
        <v>Lacuna face à meta 2030</v>
      </c>
      <c r="I69" s="33" t="str">
        <f t="shared" si="1"/>
        <v>Lacuna</v>
      </c>
      <c r="J69" s="26" t="s">
        <v>1001</v>
      </c>
    </row>
    <row r="70" spans="1:10" ht="16.05" customHeight="1" x14ac:dyDescent="0.3">
      <c r="A70" s="26" t="s">
        <v>608</v>
      </c>
      <c r="B70" s="26" t="s">
        <v>1007</v>
      </c>
      <c r="C70" s="33" t="str">
        <f>IFERROR(INDEX(tbl_requisitos_emb[Tema],MATCH(B70,tbl_requisitos_emb[ID_Req],0)),"")</f>
        <v>Minimização</v>
      </c>
      <c r="D70" s="33" t="str">
        <f>IFERROR(INDEX(tbl_recyclass[Segmento],MATCH(A70,tbl_recyclass[ProductId],0)),"")</f>
        <v>Cosmética e higiene pessoal</v>
      </c>
      <c r="E70" s="26" t="s">
        <v>901</v>
      </c>
      <c r="F70" s="26" t="s">
        <v>1449</v>
      </c>
      <c r="G70" s="26" t="s">
        <v>978</v>
      </c>
      <c r="H70" s="33" t="str">
        <f>IF(E70="Não","Não aplicável",IFERROR(IF(B70="EU-ENV-002",IF(INDEX(tbl_recyclass[Conforme_PPWR_2030],MATCH(A70,tbl_recyclass[ProductId],0))="Sim","Conforme (autoavaliação)",IF(INDEX(tbl_recyclass[Conforme_PPWR_2030],MATCH(A70,tbl_recyclass[ProductId],0))="Não","Não conforme em 2030","Isento até 2035")),IF(B70="EU-ENV-003",IF(INDEX(tbl_recyclass[Conforme_Art7_2030],MATCH(A70,tbl_recyclass[ProductId],0))="Sim","Conforme (meta 2030)",IF(INDEX(tbl_recyclass[Conforme_Art7_2030],MATCH(A70,tbl_recyclass[ProductId],0))="Não","Lacuna face à meta 2030","Isento")),IF(B70="EU-ENV-011",IF(INDEX(tbl_familias_ppwr[Metais_Pesados_Evidencia],MATCH(INDEX(tbl_recyclass[Familia_PPWR],MATCH(A70,tbl_recyclass[ProductId],0)),tbl_familias_ppwr[ID_Familia],0))="Em falta","Lacuna","Conforme"),IF(B70="EU-ENV-013",IF(INDEX(tbl_familias_ppwr[Declaracao_UE],MATCH(INDEX(tbl_recyclass[Familia_PPWR],MATCH(A70,tbl_recyclass[ProductId],0)),tbl_familias_ppwr[ID_Familia],0))="Sim","Conforme","Lacuna"),G70)))),G70))</f>
        <v>Parcial</v>
      </c>
      <c r="I70" s="33" t="str">
        <f t="shared" si="1"/>
        <v>Parcial</v>
      </c>
      <c r="J70" s="26" t="s">
        <v>1012</v>
      </c>
    </row>
    <row r="71" spans="1:10" ht="16.05" customHeight="1" x14ac:dyDescent="0.3">
      <c r="A71" s="26" t="s">
        <v>608</v>
      </c>
      <c r="B71" s="26" t="s">
        <v>1016</v>
      </c>
      <c r="C71" s="33" t="str">
        <f>IFERROR(INDEX(tbl_requisitos_emb[Tema],MATCH(B71,tbl_requisitos_emb[ID_Req],0)),"")</f>
        <v>Rotulagem</v>
      </c>
      <c r="D71" s="33" t="str">
        <f>IFERROR(INDEX(tbl_recyclass[Segmento],MATCH(A71,tbl_recyclass[ProductId],0)),"")</f>
        <v>Cosmética e higiene pessoal</v>
      </c>
      <c r="E71" s="26" t="s">
        <v>901</v>
      </c>
      <c r="F71" s="26" t="s">
        <v>1449</v>
      </c>
      <c r="G71" s="26" t="s">
        <v>990</v>
      </c>
      <c r="H71" s="33" t="str">
        <f>IF(E71="Não","Não aplicável",IFERROR(IF(B71="EU-ENV-002",IF(INDEX(tbl_recyclass[Conforme_PPWR_2030],MATCH(A71,tbl_recyclass[ProductId],0))="Sim","Conforme (autoavaliação)",IF(INDEX(tbl_recyclass[Conforme_PPWR_2030],MATCH(A71,tbl_recyclass[ProductId],0))="Não","Não conforme em 2030","Isento até 2035")),IF(B71="EU-ENV-003",IF(INDEX(tbl_recyclass[Conforme_Art7_2030],MATCH(A71,tbl_recyclass[ProductId],0))="Sim","Conforme (meta 2030)",IF(INDEX(tbl_recyclass[Conforme_Art7_2030],MATCH(A71,tbl_recyclass[ProductId],0))="Não","Lacuna face à meta 2030","Isento")),IF(B71="EU-ENV-011",IF(INDEX(tbl_familias_ppwr[Metais_Pesados_Evidencia],MATCH(INDEX(tbl_recyclass[Familia_PPWR],MATCH(A71,tbl_recyclass[ProductId],0)),tbl_familias_ppwr[ID_Familia],0))="Em falta","Lacuna","Conforme"),IF(B71="EU-ENV-013",IF(INDEX(tbl_familias_ppwr[Declaracao_UE],MATCH(INDEX(tbl_recyclass[Familia_PPWR],MATCH(A71,tbl_recyclass[ProductId],0)),tbl_familias_ppwr[ID_Familia],0))="Sim","Conforme","Lacuna"),G71)))),G71))</f>
        <v>Futuro</v>
      </c>
      <c r="I71" s="33" t="str">
        <f t="shared" si="1"/>
        <v>Futuro</v>
      </c>
      <c r="J71" s="26" t="s">
        <v>1021</v>
      </c>
    </row>
    <row r="72" spans="1:10" ht="16.05" customHeight="1" x14ac:dyDescent="0.3">
      <c r="A72" s="26" t="s">
        <v>608</v>
      </c>
      <c r="B72" s="26" t="s">
        <v>1038</v>
      </c>
      <c r="C72" s="33" t="str">
        <f>IFERROR(INDEX(tbl_requisitos_emb[Tema],MATCH(B72,tbl_requisitos_emb[ID_Req],0)),"")</f>
        <v>Plásticos de utilização única</v>
      </c>
      <c r="D72" s="33" t="str">
        <f>IFERROR(INDEX(tbl_recyclass[Segmento],MATCH(A72,tbl_recyclass[ProductId],0)),"")</f>
        <v>Cosmética e higiene pessoal</v>
      </c>
      <c r="E72" s="26" t="s">
        <v>904</v>
      </c>
      <c r="F72" s="26" t="s">
        <v>1450</v>
      </c>
      <c r="G72" s="26" t="s">
        <v>1143</v>
      </c>
      <c r="H72" s="33" t="str">
        <f>IF(E72="Não","Não aplicável",IFERROR(IF(B72="EU-ENV-002",IF(INDEX(tbl_recyclass[Conforme_PPWR_2030],MATCH(A72,tbl_recyclass[ProductId],0))="Sim","Conforme (autoavaliação)",IF(INDEX(tbl_recyclass[Conforme_PPWR_2030],MATCH(A72,tbl_recyclass[ProductId],0))="Não","Não conforme em 2030","Isento até 2035")),IF(B72="EU-ENV-003",IF(INDEX(tbl_recyclass[Conforme_Art7_2030],MATCH(A72,tbl_recyclass[ProductId],0))="Sim","Conforme (meta 2030)",IF(INDEX(tbl_recyclass[Conforme_Art7_2030],MATCH(A72,tbl_recyclass[ProductId],0))="Não","Lacuna face à meta 2030","Isento")),IF(B72="EU-ENV-011",IF(INDEX(tbl_familias_ppwr[Metais_Pesados_Evidencia],MATCH(INDEX(tbl_recyclass[Familia_PPWR],MATCH(A72,tbl_recyclass[ProductId],0)),tbl_familias_ppwr[ID_Familia],0))="Em falta","Lacuna","Conforme"),IF(B72="EU-ENV-013",IF(INDEX(tbl_familias_ppwr[Declaracao_UE],MATCH(INDEX(tbl_recyclass[Familia_PPWR],MATCH(A72,tbl_recyclass[ProductId],0)),tbl_familias_ppwr[ID_Familia],0))="Sim","Conforme","Lacuna"),G72)))),G72))</f>
        <v>Não aplicável</v>
      </c>
      <c r="I72" s="33" t="str">
        <f t="shared" si="1"/>
        <v>Não aplicável</v>
      </c>
      <c r="J72" s="26"/>
    </row>
    <row r="73" spans="1:10" ht="16.05" customHeight="1" x14ac:dyDescent="0.3">
      <c r="A73" s="26" t="s">
        <v>608</v>
      </c>
      <c r="B73" s="26" t="s">
        <v>1078</v>
      </c>
      <c r="C73" s="33" t="str">
        <f>IFERROR(INDEX(tbl_requisitos_emb[Tema],MATCH(B73,tbl_requisitos_emb[ID_Req],0)),"")</f>
        <v>Reciclado à escala</v>
      </c>
      <c r="D73" s="33" t="str">
        <f>IFERROR(INDEX(tbl_recyclass[Segmento],MATCH(A73,tbl_recyclass[ProductId],0)),"")</f>
        <v>Cosmética e higiene pessoal</v>
      </c>
      <c r="E73" s="26" t="s">
        <v>901</v>
      </c>
      <c r="F73" s="26" t="s">
        <v>1449</v>
      </c>
      <c r="G73" s="26" t="s">
        <v>990</v>
      </c>
      <c r="H73" s="33" t="str">
        <f>IF(E73="Não","Não aplicável",IFERROR(IF(B73="EU-ENV-002",IF(INDEX(tbl_recyclass[Conforme_PPWR_2030],MATCH(A73,tbl_recyclass[ProductId],0))="Sim","Conforme (autoavaliação)",IF(INDEX(tbl_recyclass[Conforme_PPWR_2030],MATCH(A73,tbl_recyclass[ProductId],0))="Não","Não conforme em 2030","Isento até 2035")),IF(B73="EU-ENV-003",IF(INDEX(tbl_recyclass[Conforme_Art7_2030],MATCH(A73,tbl_recyclass[ProductId],0))="Sim","Conforme (meta 2030)",IF(INDEX(tbl_recyclass[Conforme_Art7_2030],MATCH(A73,tbl_recyclass[ProductId],0))="Não","Lacuna face à meta 2030","Isento")),IF(B73="EU-ENV-011",IF(INDEX(tbl_familias_ppwr[Metais_Pesados_Evidencia],MATCH(INDEX(tbl_recyclass[Familia_PPWR],MATCH(A73,tbl_recyclass[ProductId],0)),tbl_familias_ppwr[ID_Familia],0))="Em falta","Lacuna","Conforme"),IF(B73="EU-ENV-013",IF(INDEX(tbl_familias_ppwr[Declaracao_UE],MATCH(INDEX(tbl_recyclass[Familia_PPWR],MATCH(A73,tbl_recyclass[ProductId],0)),tbl_familias_ppwr[ID_Familia],0))="Sim","Conforme","Lacuna"),G73)))),G73))</f>
        <v>Futuro</v>
      </c>
      <c r="I73" s="33" t="str">
        <f t="shared" si="1"/>
        <v>Futuro</v>
      </c>
      <c r="J73" s="26" t="s">
        <v>1082</v>
      </c>
    </row>
    <row r="74" spans="1:10" ht="16.05" customHeight="1" x14ac:dyDescent="0.3">
      <c r="A74" s="26" t="s">
        <v>608</v>
      </c>
      <c r="B74" s="26" t="s">
        <v>1086</v>
      </c>
      <c r="C74" s="33" t="str">
        <f>IFERROR(INDEX(tbl_requisitos_emb[Tema],MATCH(B74,tbl_requisitos_emb[ID_Req],0)),"")</f>
        <v>Metais pesados</v>
      </c>
      <c r="D74" s="33" t="str">
        <f>IFERROR(INDEX(tbl_recyclass[Segmento],MATCH(A74,tbl_recyclass[ProductId],0)),"")</f>
        <v>Cosmética e higiene pessoal</v>
      </c>
      <c r="E74" s="26" t="s">
        <v>901</v>
      </c>
      <c r="F74" s="26" t="s">
        <v>1449</v>
      </c>
      <c r="G74" s="26" t="s">
        <v>978</v>
      </c>
      <c r="H74" s="33" t="str">
        <f>IF(E74="Não","Não aplicável",IFERROR(IF(B74="EU-ENV-002",IF(INDEX(tbl_recyclass[Conforme_PPWR_2030],MATCH(A74,tbl_recyclass[ProductId],0))="Sim","Conforme (autoavaliação)",IF(INDEX(tbl_recyclass[Conforme_PPWR_2030],MATCH(A74,tbl_recyclass[ProductId],0))="Não","Não conforme em 2030","Isento até 2035")),IF(B74="EU-ENV-003",IF(INDEX(tbl_recyclass[Conforme_Art7_2030],MATCH(A74,tbl_recyclass[ProductId],0))="Sim","Conforme (meta 2030)",IF(INDEX(tbl_recyclass[Conforme_Art7_2030],MATCH(A74,tbl_recyclass[ProductId],0))="Não","Lacuna face à meta 2030","Isento")),IF(B74="EU-ENV-011",IF(INDEX(tbl_familias_ppwr[Metais_Pesados_Evidencia],MATCH(INDEX(tbl_recyclass[Familia_PPWR],MATCH(A74,tbl_recyclass[ProductId],0)),tbl_familias_ppwr[ID_Familia],0))="Em falta","Lacuna","Conforme"),IF(B74="EU-ENV-013",IF(INDEX(tbl_familias_ppwr[Declaracao_UE],MATCH(INDEX(tbl_recyclass[Familia_PPWR],MATCH(A74,tbl_recyclass[ProductId],0)),tbl_familias_ppwr[ID_Familia],0))="Sim","Conforme","Lacuna"),G74)))),G74))</f>
        <v>Lacuna</v>
      </c>
      <c r="I74" s="33" t="str">
        <f t="shared" si="1"/>
        <v>Lacuna</v>
      </c>
      <c r="J74" s="26" t="s">
        <v>1090</v>
      </c>
    </row>
    <row r="75" spans="1:10" ht="16.05" customHeight="1" x14ac:dyDescent="0.3">
      <c r="A75" s="26" t="s">
        <v>608</v>
      </c>
      <c r="B75" s="26" t="s">
        <v>1094</v>
      </c>
      <c r="C75" s="33" t="str">
        <f>IFERROR(INDEX(tbl_requisitos_emb[Tema],MATCH(B75,tbl_requisitos_emb[ID_Req],0)),"")</f>
        <v>PFAS</v>
      </c>
      <c r="D75" s="33" t="str">
        <f>IFERROR(INDEX(tbl_recyclass[Segmento],MATCH(A75,tbl_recyclass[ProductId],0)),"")</f>
        <v>Cosmética e higiene pessoal</v>
      </c>
      <c r="E75" s="26" t="s">
        <v>904</v>
      </c>
      <c r="F75" s="26" t="s">
        <v>1450</v>
      </c>
      <c r="G75" s="26" t="s">
        <v>1143</v>
      </c>
      <c r="H75" s="33" t="str">
        <f>IF(E75="Não","Não aplicável",IFERROR(IF(B75="EU-ENV-002",IF(INDEX(tbl_recyclass[Conforme_PPWR_2030],MATCH(A75,tbl_recyclass[ProductId],0))="Sim","Conforme (autoavaliação)",IF(INDEX(tbl_recyclass[Conforme_PPWR_2030],MATCH(A75,tbl_recyclass[ProductId],0))="Não","Não conforme em 2030","Isento até 2035")),IF(B75="EU-ENV-003",IF(INDEX(tbl_recyclass[Conforme_Art7_2030],MATCH(A75,tbl_recyclass[ProductId],0))="Sim","Conforme (meta 2030)",IF(INDEX(tbl_recyclass[Conforme_Art7_2030],MATCH(A75,tbl_recyclass[ProductId],0))="Não","Lacuna face à meta 2030","Isento")),IF(B75="EU-ENV-011",IF(INDEX(tbl_familias_ppwr[Metais_Pesados_Evidencia],MATCH(INDEX(tbl_recyclass[Familia_PPWR],MATCH(A75,tbl_recyclass[ProductId],0)),tbl_familias_ppwr[ID_Familia],0))="Em falta","Lacuna","Conforme"),IF(B75="EU-ENV-013",IF(INDEX(tbl_familias_ppwr[Declaracao_UE],MATCH(INDEX(tbl_recyclass[Familia_PPWR],MATCH(A75,tbl_recyclass[ProductId],0)),tbl_familias_ppwr[ID_Familia],0))="Sim","Conforme","Lacuna"),G75)))),G75))</f>
        <v>Não aplicável</v>
      </c>
      <c r="I75" s="33" t="str">
        <f t="shared" si="1"/>
        <v>Não aplicável</v>
      </c>
      <c r="J75" s="26"/>
    </row>
    <row r="76" spans="1:10" ht="16.05" customHeight="1" x14ac:dyDescent="0.3">
      <c r="A76" s="26" t="s">
        <v>608</v>
      </c>
      <c r="B76" s="26" t="s">
        <v>1102</v>
      </c>
      <c r="C76" s="33" t="str">
        <f>IFERROR(INDEX(tbl_requisitos_emb[Tema],MATCH(B76,tbl_requisitos_emb[ID_Req],0)),"")</f>
        <v>Documentação técnica e declaração UE</v>
      </c>
      <c r="D76" s="33" t="str">
        <f>IFERROR(INDEX(tbl_recyclass[Segmento],MATCH(A76,tbl_recyclass[ProductId],0)),"")</f>
        <v>Cosmética e higiene pessoal</v>
      </c>
      <c r="E76" s="26" t="s">
        <v>901</v>
      </c>
      <c r="F76" s="26" t="s">
        <v>1449</v>
      </c>
      <c r="G76" s="26" t="s">
        <v>978</v>
      </c>
      <c r="H76" s="33" t="str">
        <f>IF(E76="Não","Não aplicável",IFERROR(IF(B76="EU-ENV-002",IF(INDEX(tbl_recyclass[Conforme_PPWR_2030],MATCH(A76,tbl_recyclass[ProductId],0))="Sim","Conforme (autoavaliação)",IF(INDEX(tbl_recyclass[Conforme_PPWR_2030],MATCH(A76,tbl_recyclass[ProductId],0))="Não","Não conforme em 2030","Isento até 2035")),IF(B76="EU-ENV-003",IF(INDEX(tbl_recyclass[Conforme_Art7_2030],MATCH(A76,tbl_recyclass[ProductId],0))="Sim","Conforme (meta 2030)",IF(INDEX(tbl_recyclass[Conforme_Art7_2030],MATCH(A76,tbl_recyclass[ProductId],0))="Não","Lacuna face à meta 2030","Isento")),IF(B76="EU-ENV-011",IF(INDEX(tbl_familias_ppwr[Metais_Pesados_Evidencia],MATCH(INDEX(tbl_recyclass[Familia_PPWR],MATCH(A76,tbl_recyclass[ProductId],0)),tbl_familias_ppwr[ID_Familia],0))="Em falta","Lacuna","Conforme"),IF(B76="EU-ENV-013",IF(INDEX(tbl_familias_ppwr[Declaracao_UE],MATCH(INDEX(tbl_recyclass[Familia_PPWR],MATCH(A76,tbl_recyclass[ProductId],0)),tbl_familias_ppwr[ID_Familia],0))="Sim","Conforme","Lacuna"),G76)))),G76))</f>
        <v>Conforme</v>
      </c>
      <c r="I76" s="33" t="str">
        <f t="shared" si="1"/>
        <v>Conforme</v>
      </c>
      <c r="J76" s="26" t="s">
        <v>1106</v>
      </c>
    </row>
    <row r="77" spans="1:10" ht="16.05" customHeight="1" x14ac:dyDescent="0.3">
      <c r="A77" s="26" t="s">
        <v>608</v>
      </c>
      <c r="B77" s="26" t="s">
        <v>1161</v>
      </c>
      <c r="C77" s="33" t="str">
        <f>IFERROR(INDEX(tbl_requisitos_emb[Tema],MATCH(B77,tbl_requisitos_emb[ID_Req],0)),"")</f>
        <v>Materiais em contacto com alimentos</v>
      </c>
      <c r="D77" s="33" t="str">
        <f>IFERROR(INDEX(tbl_recyclass[Segmento],MATCH(A77,tbl_recyclass[ProductId],0)),"")</f>
        <v>Cosmética e higiene pessoal</v>
      </c>
      <c r="E77" s="26" t="s">
        <v>904</v>
      </c>
      <c r="F77" s="26" t="s">
        <v>1450</v>
      </c>
      <c r="G77" s="26" t="s">
        <v>1143</v>
      </c>
      <c r="H77" s="33" t="str">
        <f>IF(E77="Não","Não aplicável",IFERROR(IF(B77="EU-ENV-002",IF(INDEX(tbl_recyclass[Conforme_PPWR_2030],MATCH(A77,tbl_recyclass[ProductId],0))="Sim","Conforme (autoavaliação)",IF(INDEX(tbl_recyclass[Conforme_PPWR_2030],MATCH(A77,tbl_recyclass[ProductId],0))="Não","Não conforme em 2030","Isento até 2035")),IF(B77="EU-ENV-003",IF(INDEX(tbl_recyclass[Conforme_Art7_2030],MATCH(A77,tbl_recyclass[ProductId],0))="Sim","Conforme (meta 2030)",IF(INDEX(tbl_recyclass[Conforme_Art7_2030],MATCH(A77,tbl_recyclass[ProductId],0))="Não","Lacuna face à meta 2030","Isento")),IF(B77="EU-ENV-011",IF(INDEX(tbl_familias_ppwr[Metais_Pesados_Evidencia],MATCH(INDEX(tbl_recyclass[Familia_PPWR],MATCH(A77,tbl_recyclass[ProductId],0)),tbl_familias_ppwr[ID_Familia],0))="Em falta","Lacuna","Conforme"),IF(B77="EU-ENV-013",IF(INDEX(tbl_familias_ppwr[Declaracao_UE],MATCH(INDEX(tbl_recyclass[Familia_PPWR],MATCH(A77,tbl_recyclass[ProductId],0)),tbl_familias_ppwr[ID_Familia],0))="Sim","Conforme","Lacuna"),G77)))),G77))</f>
        <v>Não aplicável</v>
      </c>
      <c r="I77" s="33" t="str">
        <f t="shared" si="1"/>
        <v>Não aplicável</v>
      </c>
      <c r="J77" s="26"/>
    </row>
    <row r="78" spans="1:10" ht="16.05" customHeight="1" x14ac:dyDescent="0.3">
      <c r="A78" s="26" t="s">
        <v>608</v>
      </c>
      <c r="B78" s="26" t="s">
        <v>1170</v>
      </c>
      <c r="C78" s="33" t="str">
        <f>IFERROR(INDEX(tbl_requisitos_emb[Tema],MATCH(B78,tbl_requisitos_emb[ID_Req],0)),"")</f>
        <v>Boas práticas de fabrico FCM</v>
      </c>
      <c r="D78" s="33" t="str">
        <f>IFERROR(INDEX(tbl_recyclass[Segmento],MATCH(A78,tbl_recyclass[ProductId],0)),"")</f>
        <v>Cosmética e higiene pessoal</v>
      </c>
      <c r="E78" s="26" t="s">
        <v>904</v>
      </c>
      <c r="F78" s="26" t="s">
        <v>1450</v>
      </c>
      <c r="G78" s="26" t="s">
        <v>1143</v>
      </c>
      <c r="H78" s="33" t="str">
        <f>IF(E78="Não","Não aplicável",IFERROR(IF(B78="EU-ENV-002",IF(INDEX(tbl_recyclass[Conforme_PPWR_2030],MATCH(A78,tbl_recyclass[ProductId],0))="Sim","Conforme (autoavaliação)",IF(INDEX(tbl_recyclass[Conforme_PPWR_2030],MATCH(A78,tbl_recyclass[ProductId],0))="Não","Não conforme em 2030","Isento até 2035")),IF(B78="EU-ENV-003",IF(INDEX(tbl_recyclass[Conforme_Art7_2030],MATCH(A78,tbl_recyclass[ProductId],0))="Sim","Conforme (meta 2030)",IF(INDEX(tbl_recyclass[Conforme_Art7_2030],MATCH(A78,tbl_recyclass[ProductId],0))="Não","Lacuna face à meta 2030","Isento")),IF(B78="EU-ENV-011",IF(INDEX(tbl_familias_ppwr[Metais_Pesados_Evidencia],MATCH(INDEX(tbl_recyclass[Familia_PPWR],MATCH(A78,tbl_recyclass[ProductId],0)),tbl_familias_ppwr[ID_Familia],0))="Em falta","Lacuna","Conforme"),IF(B78="EU-ENV-013",IF(INDEX(tbl_familias_ppwr[Declaracao_UE],MATCH(INDEX(tbl_recyclass[Familia_PPWR],MATCH(A78,tbl_recyclass[ProductId],0)),tbl_familias_ppwr[ID_Familia],0))="Sim","Conforme","Lacuna"),G78)))),G78))</f>
        <v>Não aplicável</v>
      </c>
      <c r="I78" s="33" t="str">
        <f t="shared" si="1"/>
        <v>Não aplicável</v>
      </c>
      <c r="J78" s="26"/>
    </row>
    <row r="79" spans="1:10" ht="16.05" customHeight="1" x14ac:dyDescent="0.3">
      <c r="A79" s="26" t="s">
        <v>608</v>
      </c>
      <c r="B79" s="26" t="s">
        <v>1179</v>
      </c>
      <c r="C79" s="33" t="str">
        <f>IFERROR(INDEX(tbl_requisitos_emb[Tema],MATCH(B79,tbl_requisitos_emb[ID_Req],0)),"")</f>
        <v>Bisfenol A e bisfenóis perigosos</v>
      </c>
      <c r="D79" s="33" t="str">
        <f>IFERROR(INDEX(tbl_recyclass[Segmento],MATCH(A79,tbl_recyclass[ProductId],0)),"")</f>
        <v>Cosmética e higiene pessoal</v>
      </c>
      <c r="E79" s="26" t="s">
        <v>904</v>
      </c>
      <c r="F79" s="26" t="s">
        <v>1450</v>
      </c>
      <c r="G79" s="26" t="s">
        <v>1143</v>
      </c>
      <c r="H79" s="33" t="str">
        <f>IF(E79="Não","Não aplicável",IFERROR(IF(B79="EU-ENV-002",IF(INDEX(tbl_recyclass[Conforme_PPWR_2030],MATCH(A79,tbl_recyclass[ProductId],0))="Sim","Conforme (autoavaliação)",IF(INDEX(tbl_recyclass[Conforme_PPWR_2030],MATCH(A79,tbl_recyclass[ProductId],0))="Não","Não conforme em 2030","Isento até 2035")),IF(B79="EU-ENV-003",IF(INDEX(tbl_recyclass[Conforme_Art7_2030],MATCH(A79,tbl_recyclass[ProductId],0))="Sim","Conforme (meta 2030)",IF(INDEX(tbl_recyclass[Conforme_Art7_2030],MATCH(A79,tbl_recyclass[ProductId],0))="Não","Lacuna face à meta 2030","Isento")),IF(B79="EU-ENV-011",IF(INDEX(tbl_familias_ppwr[Metais_Pesados_Evidencia],MATCH(INDEX(tbl_recyclass[Familia_PPWR],MATCH(A79,tbl_recyclass[ProductId],0)),tbl_familias_ppwr[ID_Familia],0))="Em falta","Lacuna","Conforme"),IF(B79="EU-ENV-013",IF(INDEX(tbl_familias_ppwr[Declaracao_UE],MATCH(INDEX(tbl_recyclass[Familia_PPWR],MATCH(A79,tbl_recyclass[ProductId],0)),tbl_familias_ppwr[ID_Familia],0))="Sim","Conforme","Lacuna"),G79)))),G79))</f>
        <v>Não aplicável</v>
      </c>
      <c r="I79" s="33" t="str">
        <f t="shared" si="1"/>
        <v>Não aplicável</v>
      </c>
      <c r="J79" s="26"/>
    </row>
    <row r="80" spans="1:10" ht="16.05" customHeight="1" x14ac:dyDescent="0.3">
      <c r="A80" s="26" t="s">
        <v>608</v>
      </c>
      <c r="B80" s="26" t="s">
        <v>1188</v>
      </c>
      <c r="C80" s="33" t="str">
        <f>IFERROR(INDEX(tbl_requisitos_emb[Tema],MATCH(B80,tbl_requisitos_emb[ID_Req],0)),"")</f>
        <v>Plásticos em contacto com alimentos</v>
      </c>
      <c r="D80" s="33" t="str">
        <f>IFERROR(INDEX(tbl_recyclass[Segmento],MATCH(A80,tbl_recyclass[ProductId],0)),"")</f>
        <v>Cosmética e higiene pessoal</v>
      </c>
      <c r="E80" s="26" t="s">
        <v>904</v>
      </c>
      <c r="F80" s="26" t="s">
        <v>1450</v>
      </c>
      <c r="G80" s="26" t="s">
        <v>1143</v>
      </c>
      <c r="H80" s="33" t="str">
        <f>IF(E80="Não","Não aplicável",IFERROR(IF(B80="EU-ENV-002",IF(INDEX(tbl_recyclass[Conforme_PPWR_2030],MATCH(A80,tbl_recyclass[ProductId],0))="Sim","Conforme (autoavaliação)",IF(INDEX(tbl_recyclass[Conforme_PPWR_2030],MATCH(A80,tbl_recyclass[ProductId],0))="Não","Não conforme em 2030","Isento até 2035")),IF(B80="EU-ENV-003",IF(INDEX(tbl_recyclass[Conforme_Art7_2030],MATCH(A80,tbl_recyclass[ProductId],0))="Sim","Conforme (meta 2030)",IF(INDEX(tbl_recyclass[Conforme_Art7_2030],MATCH(A80,tbl_recyclass[ProductId],0))="Não","Lacuna face à meta 2030","Isento")),IF(B80="EU-ENV-011",IF(INDEX(tbl_familias_ppwr[Metais_Pesados_Evidencia],MATCH(INDEX(tbl_recyclass[Familia_PPWR],MATCH(A80,tbl_recyclass[ProductId],0)),tbl_familias_ppwr[ID_Familia],0))="Em falta","Lacuna","Conforme"),IF(B80="EU-ENV-013",IF(INDEX(tbl_familias_ppwr[Declaracao_UE],MATCH(INDEX(tbl_recyclass[Familia_PPWR],MATCH(A80,tbl_recyclass[ProductId],0)),tbl_familias_ppwr[ID_Familia],0))="Sim","Conforme","Lacuna"),G80)))),G80))</f>
        <v>Não aplicável</v>
      </c>
      <c r="I80" s="33" t="str">
        <f t="shared" si="1"/>
        <v>Não aplicável</v>
      </c>
      <c r="J80" s="26"/>
    </row>
    <row r="81" spans="1:10" ht="16.05" customHeight="1" x14ac:dyDescent="0.3">
      <c r="A81" s="26" t="s">
        <v>608</v>
      </c>
      <c r="B81" s="26" t="s">
        <v>1212</v>
      </c>
      <c r="C81" s="33" t="str">
        <f>IFERROR(INDEX(tbl_requisitos_emb[Tema],MATCH(B81,tbl_requisitos_emb[ID_Req],0)),"")</f>
        <v>Segurança do produto cosmético</v>
      </c>
      <c r="D81" s="33" t="str">
        <f>IFERROR(INDEX(tbl_recyclass[Segmento],MATCH(A81,tbl_recyclass[ProductId],0)),"")</f>
        <v>Cosmética e higiene pessoal</v>
      </c>
      <c r="E81" s="26" t="s">
        <v>901</v>
      </c>
      <c r="F81" s="26" t="s">
        <v>1449</v>
      </c>
      <c r="G81" s="26" t="s">
        <v>1033</v>
      </c>
      <c r="H81" s="33" t="str">
        <f>IF(E81="Não","Não aplicável",IFERROR(IF(B81="EU-ENV-002",IF(INDEX(tbl_recyclass[Conforme_PPWR_2030],MATCH(A81,tbl_recyclass[ProductId],0))="Sim","Conforme (autoavaliação)",IF(INDEX(tbl_recyclass[Conforme_PPWR_2030],MATCH(A81,tbl_recyclass[ProductId],0))="Não","Não conforme em 2030","Isento até 2035")),IF(B81="EU-ENV-003",IF(INDEX(tbl_recyclass[Conforme_Art7_2030],MATCH(A81,tbl_recyclass[ProductId],0))="Sim","Conforme (meta 2030)",IF(INDEX(tbl_recyclass[Conforme_Art7_2030],MATCH(A81,tbl_recyclass[ProductId],0))="Não","Lacuna face à meta 2030","Isento")),IF(B81="EU-ENV-011",IF(INDEX(tbl_familias_ppwr[Metais_Pesados_Evidencia],MATCH(INDEX(tbl_recyclass[Familia_PPWR],MATCH(A81,tbl_recyclass[ProductId],0)),tbl_familias_ppwr[ID_Familia],0))="Em falta","Lacuna","Conforme"),IF(B81="EU-ENV-013",IF(INDEX(tbl_familias_ppwr[Declaracao_UE],MATCH(INDEX(tbl_recyclass[Familia_PPWR],MATCH(A81,tbl_recyclass[ProductId],0)),tbl_familias_ppwr[ID_Familia],0))="Sim","Conforme","Lacuna"),G81)))),G81))</f>
        <v>Conforme</v>
      </c>
      <c r="I81" s="33" t="str">
        <f t="shared" si="1"/>
        <v>Conforme</v>
      </c>
      <c r="J81" s="26" t="s">
        <v>1221</v>
      </c>
    </row>
    <row r="82" spans="1:10" ht="16.05" customHeight="1" x14ac:dyDescent="0.3">
      <c r="A82" s="26" t="s">
        <v>608</v>
      </c>
      <c r="B82" s="26" t="s">
        <v>1224</v>
      </c>
      <c r="C82" s="33" t="str">
        <f>IFERROR(INDEX(tbl_requisitos_emb[Tema],MATCH(B82,tbl_requisitos_emb[ID_Req],0)),"")</f>
        <v>Materiais e impurezas</v>
      </c>
      <c r="D82" s="33" t="str">
        <f>IFERROR(INDEX(tbl_recyclass[Segmento],MATCH(A82,tbl_recyclass[ProductId],0)),"")</f>
        <v>Cosmética e higiene pessoal</v>
      </c>
      <c r="E82" s="26" t="s">
        <v>901</v>
      </c>
      <c r="F82" s="26" t="s">
        <v>1449</v>
      </c>
      <c r="G82" s="26" t="s">
        <v>978</v>
      </c>
      <c r="H82" s="33" t="str">
        <f>IF(E82="Não","Não aplicável",IFERROR(IF(B82="EU-ENV-002",IF(INDEX(tbl_recyclass[Conforme_PPWR_2030],MATCH(A82,tbl_recyclass[ProductId],0))="Sim","Conforme (autoavaliação)",IF(INDEX(tbl_recyclass[Conforme_PPWR_2030],MATCH(A82,tbl_recyclass[ProductId],0))="Não","Não conforme em 2030","Isento até 2035")),IF(B82="EU-ENV-003",IF(INDEX(tbl_recyclass[Conforme_Art7_2030],MATCH(A82,tbl_recyclass[ProductId],0))="Sim","Conforme (meta 2030)",IF(INDEX(tbl_recyclass[Conforme_Art7_2030],MATCH(A82,tbl_recyclass[ProductId],0))="Não","Lacuna face à meta 2030","Isento")),IF(B82="EU-ENV-011",IF(INDEX(tbl_familias_ppwr[Metais_Pesados_Evidencia],MATCH(INDEX(tbl_recyclass[Familia_PPWR],MATCH(A82,tbl_recyclass[ProductId],0)),tbl_familias_ppwr[ID_Familia],0))="Em falta","Lacuna","Conforme"),IF(B82="EU-ENV-013",IF(INDEX(tbl_familias_ppwr[Declaracao_UE],MATCH(INDEX(tbl_recyclass[Familia_PPWR],MATCH(A82,tbl_recyclass[ProductId],0)),tbl_familias_ppwr[ID_Familia],0))="Sim","Conforme","Lacuna"),G82)))),G82))</f>
        <v>Parcial</v>
      </c>
      <c r="I82" s="33" t="str">
        <f t="shared" si="1"/>
        <v>Parcial</v>
      </c>
      <c r="J82" s="26" t="s">
        <v>1228</v>
      </c>
    </row>
    <row r="83" spans="1:10" ht="16.05" customHeight="1" x14ac:dyDescent="0.3">
      <c r="A83" s="26" t="s">
        <v>608</v>
      </c>
      <c r="B83" s="26" t="s">
        <v>1240</v>
      </c>
      <c r="C83" s="33" t="str">
        <f>IFERROR(INDEX(tbl_requisitos_emb[Tema],MATCH(B83,tbl_requisitos_emb[ID_Req],0)),"")</f>
        <v>Compatibilidade embalagem–produto</v>
      </c>
      <c r="D83" s="33" t="str">
        <f>IFERROR(INDEX(tbl_recyclass[Segmento],MATCH(A83,tbl_recyclass[ProductId],0)),"")</f>
        <v>Cosmética e higiene pessoal</v>
      </c>
      <c r="E83" s="26" t="s">
        <v>901</v>
      </c>
      <c r="F83" s="26" t="s">
        <v>1449</v>
      </c>
      <c r="G83" s="26" t="s">
        <v>1033</v>
      </c>
      <c r="H83" s="33" t="str">
        <f>IF(E83="Não","Não aplicável",IFERROR(IF(B83="EU-ENV-002",IF(INDEX(tbl_recyclass[Conforme_PPWR_2030],MATCH(A83,tbl_recyclass[ProductId],0))="Sim","Conforme (autoavaliação)",IF(INDEX(tbl_recyclass[Conforme_PPWR_2030],MATCH(A83,tbl_recyclass[ProductId],0))="Não","Não conforme em 2030","Isento até 2035")),IF(B83="EU-ENV-003",IF(INDEX(tbl_recyclass[Conforme_Art7_2030],MATCH(A83,tbl_recyclass[ProductId],0))="Sim","Conforme (meta 2030)",IF(INDEX(tbl_recyclass[Conforme_Art7_2030],MATCH(A83,tbl_recyclass[ProductId],0))="Não","Lacuna face à meta 2030","Isento")),IF(B83="EU-ENV-011",IF(INDEX(tbl_familias_ppwr[Metais_Pesados_Evidencia],MATCH(INDEX(tbl_recyclass[Familia_PPWR],MATCH(A83,tbl_recyclass[ProductId],0)),tbl_familias_ppwr[ID_Familia],0))="Em falta","Lacuna","Conforme"),IF(B83="EU-ENV-013",IF(INDEX(tbl_familias_ppwr[Declaracao_UE],MATCH(INDEX(tbl_recyclass[Familia_PPWR],MATCH(A83,tbl_recyclass[ProductId],0)),tbl_familias_ppwr[ID_Familia],0))="Sim","Conforme","Lacuna"),G83)))),G83))</f>
        <v>Conforme</v>
      </c>
      <c r="I83" s="33" t="str">
        <f t="shared" si="1"/>
        <v>Conforme</v>
      </c>
      <c r="J83" s="26" t="s">
        <v>1244</v>
      </c>
    </row>
    <row r="84" spans="1:10" ht="16.05" customHeight="1" x14ac:dyDescent="0.3">
      <c r="A84" s="26" t="s">
        <v>608</v>
      </c>
      <c r="B84" s="26" t="s">
        <v>1252</v>
      </c>
      <c r="C84" s="33" t="str">
        <f>IFERROR(INDEX(tbl_requisitos_emb[Tema],MATCH(B84,tbl_requisitos_emb[ID_Req],0)),"")</f>
        <v>Medicamentos de uso humano</v>
      </c>
      <c r="D84" s="33" t="str">
        <f>IFERROR(INDEX(tbl_recyclass[Segmento],MATCH(A84,tbl_recyclass[ProductId],0)),"")</f>
        <v>Cosmética e higiene pessoal</v>
      </c>
      <c r="E84" s="26" t="s">
        <v>904</v>
      </c>
      <c r="F84" s="26" t="s">
        <v>1451</v>
      </c>
      <c r="G84" s="26" t="s">
        <v>1143</v>
      </c>
      <c r="H84" s="33" t="str">
        <f>IF(E84="Não","Não aplicável",IFERROR(IF(B84="EU-ENV-002",IF(INDEX(tbl_recyclass[Conforme_PPWR_2030],MATCH(A84,tbl_recyclass[ProductId],0))="Sim","Conforme (autoavaliação)",IF(INDEX(tbl_recyclass[Conforme_PPWR_2030],MATCH(A84,tbl_recyclass[ProductId],0))="Não","Não conforme em 2030","Isento até 2035")),IF(B84="EU-ENV-003",IF(INDEX(tbl_recyclass[Conforme_Art7_2030],MATCH(A84,tbl_recyclass[ProductId],0))="Sim","Conforme (meta 2030)",IF(INDEX(tbl_recyclass[Conforme_Art7_2030],MATCH(A84,tbl_recyclass[ProductId],0))="Não","Lacuna face à meta 2030","Isento")),IF(B84="EU-ENV-011",IF(INDEX(tbl_familias_ppwr[Metais_Pesados_Evidencia],MATCH(INDEX(tbl_recyclass[Familia_PPWR],MATCH(A84,tbl_recyclass[ProductId],0)),tbl_familias_ppwr[ID_Familia],0))="Em falta","Lacuna","Conforme"),IF(B84="EU-ENV-013",IF(INDEX(tbl_familias_ppwr[Declaracao_UE],MATCH(INDEX(tbl_recyclass[Familia_PPWR],MATCH(A84,tbl_recyclass[ProductId],0)),tbl_familias_ppwr[ID_Familia],0))="Sim","Conforme","Lacuna"),G84)))),G84))</f>
        <v>Não aplicável</v>
      </c>
      <c r="I84" s="33" t="str">
        <f t="shared" si="1"/>
        <v>Não aplicável</v>
      </c>
      <c r="J84" s="26"/>
    </row>
    <row r="85" spans="1:10" ht="16.05" customHeight="1" x14ac:dyDescent="0.3">
      <c r="A85" s="26" t="s">
        <v>608</v>
      </c>
      <c r="B85" s="26" t="s">
        <v>1268</v>
      </c>
      <c r="C85" s="33" t="str">
        <f>IFERROR(INDEX(tbl_requisitos_emb[Tema],MATCH(B85,tbl_requisitos_emb[ID_Req],0)),"")</f>
        <v>Dispositivos de segurança</v>
      </c>
      <c r="D85" s="33" t="str">
        <f>IFERROR(INDEX(tbl_recyclass[Segmento],MATCH(A85,tbl_recyclass[ProductId],0)),"")</f>
        <v>Cosmética e higiene pessoal</v>
      </c>
      <c r="E85" s="26" t="s">
        <v>904</v>
      </c>
      <c r="F85" s="26" t="s">
        <v>1451</v>
      </c>
      <c r="G85" s="26" t="s">
        <v>1143</v>
      </c>
      <c r="H85" s="33" t="str">
        <f>IF(E85="Não","Não aplicável",IFERROR(IF(B85="EU-ENV-002",IF(INDEX(tbl_recyclass[Conforme_PPWR_2030],MATCH(A85,tbl_recyclass[ProductId],0))="Sim","Conforme (autoavaliação)",IF(INDEX(tbl_recyclass[Conforme_PPWR_2030],MATCH(A85,tbl_recyclass[ProductId],0))="Não","Não conforme em 2030","Isento até 2035")),IF(B85="EU-ENV-003",IF(INDEX(tbl_recyclass[Conforme_Art7_2030],MATCH(A85,tbl_recyclass[ProductId],0))="Sim","Conforme (meta 2030)",IF(INDEX(tbl_recyclass[Conforme_Art7_2030],MATCH(A85,tbl_recyclass[ProductId],0))="Não","Lacuna face à meta 2030","Isento")),IF(B85="EU-ENV-011",IF(INDEX(tbl_familias_ppwr[Metais_Pesados_Evidencia],MATCH(INDEX(tbl_recyclass[Familia_PPWR],MATCH(A85,tbl_recyclass[ProductId],0)),tbl_familias_ppwr[ID_Familia],0))="Em falta","Lacuna","Conforme"),IF(B85="EU-ENV-013",IF(INDEX(tbl_familias_ppwr[Declaracao_UE],MATCH(INDEX(tbl_recyclass[Familia_PPWR],MATCH(A85,tbl_recyclass[ProductId],0)),tbl_familias_ppwr[ID_Familia],0))="Sim","Conforme","Lacuna"),G85)))),G85))</f>
        <v>Não aplicável</v>
      </c>
      <c r="I85" s="33" t="str">
        <f t="shared" si="1"/>
        <v>Não aplicável</v>
      </c>
      <c r="J85" s="26"/>
    </row>
    <row r="86" spans="1:10" ht="16.05" customHeight="1" x14ac:dyDescent="0.3">
      <c r="A86" s="26" t="s">
        <v>608</v>
      </c>
      <c r="B86" s="26" t="s">
        <v>1285</v>
      </c>
      <c r="C86" s="33" t="str">
        <f>IFERROR(INDEX(tbl_requisitos_emb[Tema],MATCH(B86,tbl_requisitos_emb[ID_Req],0)),"")</f>
        <v>Materiais plásticos de acondicionamento primário</v>
      </c>
      <c r="D86" s="33" t="str">
        <f>IFERROR(INDEX(tbl_recyclass[Segmento],MATCH(A86,tbl_recyclass[ProductId],0)),"")</f>
        <v>Cosmética e higiene pessoal</v>
      </c>
      <c r="E86" s="26" t="s">
        <v>904</v>
      </c>
      <c r="F86" s="26" t="s">
        <v>1451</v>
      </c>
      <c r="G86" s="26" t="s">
        <v>1143</v>
      </c>
      <c r="H86" s="33" t="str">
        <f>IF(E86="Não","Não aplicável",IFERROR(IF(B86="EU-ENV-002",IF(INDEX(tbl_recyclass[Conforme_PPWR_2030],MATCH(A86,tbl_recyclass[ProductId],0))="Sim","Conforme (autoavaliação)",IF(INDEX(tbl_recyclass[Conforme_PPWR_2030],MATCH(A86,tbl_recyclass[ProductId],0))="Não","Não conforme em 2030","Isento até 2035")),IF(B86="EU-ENV-003",IF(INDEX(tbl_recyclass[Conforme_Art7_2030],MATCH(A86,tbl_recyclass[ProductId],0))="Sim","Conforme (meta 2030)",IF(INDEX(tbl_recyclass[Conforme_Art7_2030],MATCH(A86,tbl_recyclass[ProductId],0))="Não","Lacuna face à meta 2030","Isento")),IF(B86="EU-ENV-011",IF(INDEX(tbl_familias_ppwr[Metais_Pesados_Evidencia],MATCH(INDEX(tbl_recyclass[Familia_PPWR],MATCH(A86,tbl_recyclass[ProductId],0)),tbl_familias_ppwr[ID_Familia],0))="Em falta","Lacuna","Conforme"),IF(B86="EU-ENV-013",IF(INDEX(tbl_familias_ppwr[Declaracao_UE],MATCH(INDEX(tbl_recyclass[Familia_PPWR],MATCH(A86,tbl_recyclass[ProductId],0)),tbl_familias_ppwr[ID_Familia],0))="Sim","Conforme","Lacuna"),G86)))),G86))</f>
        <v>Não aplicável</v>
      </c>
      <c r="I86" s="33" t="str">
        <f t="shared" si="1"/>
        <v>Não aplicável</v>
      </c>
      <c r="J86" s="26"/>
    </row>
    <row r="87" spans="1:10" ht="16.05" customHeight="1" x14ac:dyDescent="0.3">
      <c r="A87" s="26" t="s">
        <v>608</v>
      </c>
      <c r="B87" s="26" t="s">
        <v>1293</v>
      </c>
      <c r="C87" s="33" t="str">
        <f>IFERROR(INDEX(tbl_requisitos_emb[Tema],MATCH(B87,tbl_requisitos_emb[ID_Req],0)),"")</f>
        <v>Isenções PPWR</v>
      </c>
      <c r="D87" s="33" t="str">
        <f>IFERROR(INDEX(tbl_recyclass[Segmento],MATCH(A87,tbl_recyclass[ProductId],0)),"")</f>
        <v>Cosmética e higiene pessoal</v>
      </c>
      <c r="E87" s="26" t="s">
        <v>904</v>
      </c>
      <c r="F87" s="26" t="s">
        <v>1451</v>
      </c>
      <c r="G87" s="26" t="s">
        <v>1143</v>
      </c>
      <c r="H87" s="33" t="str">
        <f>IF(E87="Não","Não aplicável",IFERROR(IF(B87="EU-ENV-002",IF(INDEX(tbl_recyclass[Conforme_PPWR_2030],MATCH(A87,tbl_recyclass[ProductId],0))="Sim","Conforme (autoavaliação)",IF(INDEX(tbl_recyclass[Conforme_PPWR_2030],MATCH(A87,tbl_recyclass[ProductId],0))="Não","Não conforme em 2030","Isento até 2035")),IF(B87="EU-ENV-003",IF(INDEX(tbl_recyclass[Conforme_Art7_2030],MATCH(A87,tbl_recyclass[ProductId],0))="Sim","Conforme (meta 2030)",IF(INDEX(tbl_recyclass[Conforme_Art7_2030],MATCH(A87,tbl_recyclass[ProductId],0))="Não","Lacuna face à meta 2030","Isento")),IF(B87="EU-ENV-011",IF(INDEX(tbl_familias_ppwr[Metais_Pesados_Evidencia],MATCH(INDEX(tbl_recyclass[Familia_PPWR],MATCH(A87,tbl_recyclass[ProductId],0)),tbl_familias_ppwr[ID_Familia],0))="Em falta","Lacuna","Conforme"),IF(B87="EU-ENV-013",IF(INDEX(tbl_familias_ppwr[Declaracao_UE],MATCH(INDEX(tbl_recyclass[Familia_PPWR],MATCH(A87,tbl_recyclass[ProductId],0)),tbl_familias_ppwr[ID_Familia],0))="Sim","Conforme","Lacuna"),G87)))),G87))</f>
        <v>Não aplicável</v>
      </c>
      <c r="I87" s="33" t="str">
        <f t="shared" si="1"/>
        <v>Não aplicável</v>
      </c>
      <c r="J87" s="26"/>
    </row>
    <row r="88" spans="1:10" ht="16.05" customHeight="1" x14ac:dyDescent="0.3">
      <c r="A88" s="26" t="s">
        <v>608</v>
      </c>
      <c r="B88" s="26" t="s">
        <v>1357</v>
      </c>
      <c r="C88" s="33" t="str">
        <f>IFERROR(INDEX(tbl_requisitos_emb[Tema],MATCH(B88,tbl_requisitos_emb[ID_Req],0)),"")</f>
        <v>Identificação de plásticos</v>
      </c>
      <c r="D88" s="33" t="str">
        <f>IFERROR(INDEX(tbl_recyclass[Segmento],MATCH(A88,tbl_recyclass[ProductId],0)),"")</f>
        <v>Cosmética e higiene pessoal</v>
      </c>
      <c r="E88" s="26" t="s">
        <v>901</v>
      </c>
      <c r="F88" s="26" t="s">
        <v>1449</v>
      </c>
      <c r="G88" s="26" t="s">
        <v>978</v>
      </c>
      <c r="H88" s="33" t="str">
        <f>IF(E88="Não","Não aplicável",IFERROR(IF(B88="EU-ENV-002",IF(INDEX(tbl_recyclass[Conforme_PPWR_2030],MATCH(A88,tbl_recyclass[ProductId],0))="Sim","Conforme (autoavaliação)",IF(INDEX(tbl_recyclass[Conforme_PPWR_2030],MATCH(A88,tbl_recyclass[ProductId],0))="Não","Não conforme em 2030","Isento até 2035")),IF(B88="EU-ENV-003",IF(INDEX(tbl_recyclass[Conforme_Art7_2030],MATCH(A88,tbl_recyclass[ProductId],0))="Sim","Conforme (meta 2030)",IF(INDEX(tbl_recyclass[Conforme_Art7_2030],MATCH(A88,tbl_recyclass[ProductId],0))="Não","Lacuna face à meta 2030","Isento")),IF(B88="EU-ENV-011",IF(INDEX(tbl_familias_ppwr[Metais_Pesados_Evidencia],MATCH(INDEX(tbl_recyclass[Familia_PPWR],MATCH(A88,tbl_recyclass[ProductId],0)),tbl_familias_ppwr[ID_Familia],0))="Em falta","Lacuna","Conforme"),IF(B88="EU-ENV-013",IF(INDEX(tbl_familias_ppwr[Declaracao_UE],MATCH(INDEX(tbl_recyclass[Familia_PPWR],MATCH(A88,tbl_recyclass[ProductId],0)),tbl_familias_ppwr[ID_Familia],0))="Sim","Conforme","Lacuna"),G88)))),G88))</f>
        <v>Parcial</v>
      </c>
      <c r="I88" s="33" t="str">
        <f t="shared" si="1"/>
        <v>Parcial</v>
      </c>
      <c r="J88" s="26" t="s">
        <v>1362</v>
      </c>
    </row>
    <row r="89" spans="1:10" ht="16.05" customHeight="1" x14ac:dyDescent="0.3">
      <c r="A89" s="26" t="s">
        <v>608</v>
      </c>
      <c r="B89" s="26" t="s">
        <v>1385</v>
      </c>
      <c r="C89" s="33" t="str">
        <f>IFERROR(INDEX(tbl_requisitos_emb[Tema],MATCH(B89,tbl_requisitos_emb[ID_Req],0)),"")</f>
        <v>Reciclabilidade (voluntária)</v>
      </c>
      <c r="D89" s="33" t="str">
        <f>IFERROR(INDEX(tbl_recyclass[Segmento],MATCH(A89,tbl_recyclass[ProductId],0)),"")</f>
        <v>Cosmética e higiene pessoal</v>
      </c>
      <c r="E89" s="26" t="s">
        <v>901</v>
      </c>
      <c r="F89" s="26" t="s">
        <v>1449</v>
      </c>
      <c r="G89" s="26" t="s">
        <v>978</v>
      </c>
      <c r="H89" s="33" t="str">
        <f>IF(E89="Não","Não aplicável",IFERROR(IF(B89="EU-ENV-002",IF(INDEX(tbl_recyclass[Conforme_PPWR_2030],MATCH(A89,tbl_recyclass[ProductId],0))="Sim","Conforme (autoavaliação)",IF(INDEX(tbl_recyclass[Conforme_PPWR_2030],MATCH(A89,tbl_recyclass[ProductId],0))="Não","Não conforme em 2030","Isento até 2035")),IF(B89="EU-ENV-003",IF(INDEX(tbl_recyclass[Conforme_Art7_2030],MATCH(A89,tbl_recyclass[ProductId],0))="Sim","Conforme (meta 2030)",IF(INDEX(tbl_recyclass[Conforme_Art7_2030],MATCH(A89,tbl_recyclass[ProductId],0))="Não","Lacuna face à meta 2030","Isento")),IF(B89="EU-ENV-011",IF(INDEX(tbl_familias_ppwr[Metais_Pesados_Evidencia],MATCH(INDEX(tbl_recyclass[Familia_PPWR],MATCH(A89,tbl_recyclass[ProductId],0)),tbl_familias_ppwr[ID_Familia],0))="Em falta","Lacuna","Conforme"),IF(B89="EU-ENV-013",IF(INDEX(tbl_familias_ppwr[Declaracao_UE],MATCH(INDEX(tbl_recyclass[Familia_PPWR],MATCH(A89,tbl_recyclass[ProductId],0)),tbl_familias_ppwr[ID_Familia],0))="Sim","Conforme","Lacuna"),G89)))),G89))</f>
        <v>Parcial</v>
      </c>
      <c r="I89" s="33" t="str">
        <f t="shared" si="1"/>
        <v>Parcial</v>
      </c>
      <c r="J89" s="26" t="s">
        <v>1389</v>
      </c>
    </row>
    <row r="90" spans="1:10" ht="16.05" customHeight="1" x14ac:dyDescent="0.3">
      <c r="A90" s="26" t="s">
        <v>613</v>
      </c>
      <c r="B90" s="26" t="s">
        <v>984</v>
      </c>
      <c r="C90" s="33" t="str">
        <f>IFERROR(INDEX(tbl_requisitos_emb[Tema],MATCH(B90,tbl_requisitos_emb[ID_Req],0)),"")</f>
        <v>Conceção para reciclagem</v>
      </c>
      <c r="D90" s="33" t="str">
        <f>IFERROR(INDEX(tbl_recyclass[Segmento],MATCH(A90,tbl_recyclass[ProductId],0)),"")</f>
        <v>Cosmética e higiene pessoal</v>
      </c>
      <c r="E90" s="26" t="s">
        <v>901</v>
      </c>
      <c r="F90" s="26" t="s">
        <v>1449</v>
      </c>
      <c r="G90" s="26" t="s">
        <v>978</v>
      </c>
      <c r="H90" s="33" t="str">
        <f>IF(E90="Não","Não aplicável",IFERROR(IF(B90="EU-ENV-002",IF(INDEX(tbl_recyclass[Conforme_PPWR_2030],MATCH(A90,tbl_recyclass[ProductId],0))="Sim","Conforme (autoavaliação)",IF(INDEX(tbl_recyclass[Conforme_PPWR_2030],MATCH(A90,tbl_recyclass[ProductId],0))="Não","Não conforme em 2030","Isento até 2035")),IF(B90="EU-ENV-003",IF(INDEX(tbl_recyclass[Conforme_Art7_2030],MATCH(A90,tbl_recyclass[ProductId],0))="Sim","Conforme (meta 2030)",IF(INDEX(tbl_recyclass[Conforme_Art7_2030],MATCH(A90,tbl_recyclass[ProductId],0))="Não","Lacuna face à meta 2030","Isento")),IF(B90="EU-ENV-011",IF(INDEX(tbl_familias_ppwr[Metais_Pesados_Evidencia],MATCH(INDEX(tbl_recyclass[Familia_PPWR],MATCH(A90,tbl_recyclass[ProductId],0)),tbl_familias_ppwr[ID_Familia],0))="Em falta","Lacuna","Conforme"),IF(B90="EU-ENV-013",IF(INDEX(tbl_familias_ppwr[Declaracao_UE],MATCH(INDEX(tbl_recyclass[Familia_PPWR],MATCH(A90,tbl_recyclass[ProductId],0)),tbl_familias_ppwr[ID_Familia],0))="Sim","Conforme","Lacuna"),G90)))),G90))</f>
        <v>Não conforme em 2030</v>
      </c>
      <c r="I90" s="33" t="str">
        <f t="shared" si="1"/>
        <v>Não conforme</v>
      </c>
      <c r="J90" s="26" t="s">
        <v>991</v>
      </c>
    </row>
    <row r="91" spans="1:10" ht="16.05" customHeight="1" x14ac:dyDescent="0.3">
      <c r="A91" s="26" t="s">
        <v>613</v>
      </c>
      <c r="B91" s="26" t="s">
        <v>997</v>
      </c>
      <c r="C91" s="33" t="str">
        <f>IFERROR(INDEX(tbl_requisitos_emb[Tema],MATCH(B91,tbl_requisitos_emb[ID_Req],0)),"")</f>
        <v>Conteúdo reciclado</v>
      </c>
      <c r="D91" s="33" t="str">
        <f>IFERROR(INDEX(tbl_recyclass[Segmento],MATCH(A91,tbl_recyclass[ProductId],0)),"")</f>
        <v>Cosmética e higiene pessoal</v>
      </c>
      <c r="E91" s="26" t="s">
        <v>901</v>
      </c>
      <c r="F91" s="26" t="s">
        <v>1449</v>
      </c>
      <c r="G91" s="26" t="s">
        <v>978</v>
      </c>
      <c r="H91" s="33" t="str">
        <f>IF(E91="Não","Não aplicável",IFERROR(IF(B91="EU-ENV-002",IF(INDEX(tbl_recyclass[Conforme_PPWR_2030],MATCH(A91,tbl_recyclass[ProductId],0))="Sim","Conforme (autoavaliação)",IF(INDEX(tbl_recyclass[Conforme_PPWR_2030],MATCH(A91,tbl_recyclass[ProductId],0))="Não","Não conforme em 2030","Isento até 2035")),IF(B91="EU-ENV-003",IF(INDEX(tbl_recyclass[Conforme_Art7_2030],MATCH(A91,tbl_recyclass[ProductId],0))="Sim","Conforme (meta 2030)",IF(INDEX(tbl_recyclass[Conforme_Art7_2030],MATCH(A91,tbl_recyclass[ProductId],0))="Não","Lacuna face à meta 2030","Isento")),IF(B91="EU-ENV-011",IF(INDEX(tbl_familias_ppwr[Metais_Pesados_Evidencia],MATCH(INDEX(tbl_recyclass[Familia_PPWR],MATCH(A91,tbl_recyclass[ProductId],0)),tbl_familias_ppwr[ID_Familia],0))="Em falta","Lacuna","Conforme"),IF(B91="EU-ENV-013",IF(INDEX(tbl_familias_ppwr[Declaracao_UE],MATCH(INDEX(tbl_recyclass[Familia_PPWR],MATCH(A91,tbl_recyclass[ProductId],0)),tbl_familias_ppwr[ID_Familia],0))="Sim","Conforme","Lacuna"),G91)))),G91))</f>
        <v>Lacuna face à meta 2030</v>
      </c>
      <c r="I91" s="33" t="str">
        <f t="shared" si="1"/>
        <v>Lacuna</v>
      </c>
      <c r="J91" s="26" t="s">
        <v>1001</v>
      </c>
    </row>
    <row r="92" spans="1:10" ht="16.05" customHeight="1" x14ac:dyDescent="0.3">
      <c r="A92" s="26" t="s">
        <v>613</v>
      </c>
      <c r="B92" s="26" t="s">
        <v>1007</v>
      </c>
      <c r="C92" s="33" t="str">
        <f>IFERROR(INDEX(tbl_requisitos_emb[Tema],MATCH(B92,tbl_requisitos_emb[ID_Req],0)),"")</f>
        <v>Minimização</v>
      </c>
      <c r="D92" s="33" t="str">
        <f>IFERROR(INDEX(tbl_recyclass[Segmento],MATCH(A92,tbl_recyclass[ProductId],0)),"")</f>
        <v>Cosmética e higiene pessoal</v>
      </c>
      <c r="E92" s="26" t="s">
        <v>901</v>
      </c>
      <c r="F92" s="26" t="s">
        <v>1449</v>
      </c>
      <c r="G92" s="26" t="s">
        <v>978</v>
      </c>
      <c r="H92" s="33" t="str">
        <f>IF(E92="Não","Não aplicável",IFERROR(IF(B92="EU-ENV-002",IF(INDEX(tbl_recyclass[Conforme_PPWR_2030],MATCH(A92,tbl_recyclass[ProductId],0))="Sim","Conforme (autoavaliação)",IF(INDEX(tbl_recyclass[Conforme_PPWR_2030],MATCH(A92,tbl_recyclass[ProductId],0))="Não","Não conforme em 2030","Isento até 2035")),IF(B92="EU-ENV-003",IF(INDEX(tbl_recyclass[Conforme_Art7_2030],MATCH(A92,tbl_recyclass[ProductId],0))="Sim","Conforme (meta 2030)",IF(INDEX(tbl_recyclass[Conforme_Art7_2030],MATCH(A92,tbl_recyclass[ProductId],0))="Não","Lacuna face à meta 2030","Isento")),IF(B92="EU-ENV-011",IF(INDEX(tbl_familias_ppwr[Metais_Pesados_Evidencia],MATCH(INDEX(tbl_recyclass[Familia_PPWR],MATCH(A92,tbl_recyclass[ProductId],0)),tbl_familias_ppwr[ID_Familia],0))="Em falta","Lacuna","Conforme"),IF(B92="EU-ENV-013",IF(INDEX(tbl_familias_ppwr[Declaracao_UE],MATCH(INDEX(tbl_recyclass[Familia_PPWR],MATCH(A92,tbl_recyclass[ProductId],0)),tbl_familias_ppwr[ID_Familia],0))="Sim","Conforme","Lacuna"),G92)))),G92))</f>
        <v>Parcial</v>
      </c>
      <c r="I92" s="33" t="str">
        <f t="shared" si="1"/>
        <v>Parcial</v>
      </c>
      <c r="J92" s="26" t="s">
        <v>1012</v>
      </c>
    </row>
    <row r="93" spans="1:10" ht="16.05" customHeight="1" x14ac:dyDescent="0.3">
      <c r="A93" s="26" t="s">
        <v>613</v>
      </c>
      <c r="B93" s="26" t="s">
        <v>1016</v>
      </c>
      <c r="C93" s="33" t="str">
        <f>IFERROR(INDEX(tbl_requisitos_emb[Tema],MATCH(B93,tbl_requisitos_emb[ID_Req],0)),"")</f>
        <v>Rotulagem</v>
      </c>
      <c r="D93" s="33" t="str">
        <f>IFERROR(INDEX(tbl_recyclass[Segmento],MATCH(A93,tbl_recyclass[ProductId],0)),"")</f>
        <v>Cosmética e higiene pessoal</v>
      </c>
      <c r="E93" s="26" t="s">
        <v>901</v>
      </c>
      <c r="F93" s="26" t="s">
        <v>1449</v>
      </c>
      <c r="G93" s="26" t="s">
        <v>990</v>
      </c>
      <c r="H93" s="33" t="str">
        <f>IF(E93="Não","Não aplicável",IFERROR(IF(B93="EU-ENV-002",IF(INDEX(tbl_recyclass[Conforme_PPWR_2030],MATCH(A93,tbl_recyclass[ProductId],0))="Sim","Conforme (autoavaliação)",IF(INDEX(tbl_recyclass[Conforme_PPWR_2030],MATCH(A93,tbl_recyclass[ProductId],0))="Não","Não conforme em 2030","Isento até 2035")),IF(B93="EU-ENV-003",IF(INDEX(tbl_recyclass[Conforme_Art7_2030],MATCH(A93,tbl_recyclass[ProductId],0))="Sim","Conforme (meta 2030)",IF(INDEX(tbl_recyclass[Conforme_Art7_2030],MATCH(A93,tbl_recyclass[ProductId],0))="Não","Lacuna face à meta 2030","Isento")),IF(B93="EU-ENV-011",IF(INDEX(tbl_familias_ppwr[Metais_Pesados_Evidencia],MATCH(INDEX(tbl_recyclass[Familia_PPWR],MATCH(A93,tbl_recyclass[ProductId],0)),tbl_familias_ppwr[ID_Familia],0))="Em falta","Lacuna","Conforme"),IF(B93="EU-ENV-013",IF(INDEX(tbl_familias_ppwr[Declaracao_UE],MATCH(INDEX(tbl_recyclass[Familia_PPWR],MATCH(A93,tbl_recyclass[ProductId],0)),tbl_familias_ppwr[ID_Familia],0))="Sim","Conforme","Lacuna"),G93)))),G93))</f>
        <v>Futuro</v>
      </c>
      <c r="I93" s="33" t="str">
        <f t="shared" si="1"/>
        <v>Futuro</v>
      </c>
      <c r="J93" s="26" t="s">
        <v>1021</v>
      </c>
    </row>
    <row r="94" spans="1:10" ht="16.05" customHeight="1" x14ac:dyDescent="0.3">
      <c r="A94" s="26" t="s">
        <v>613</v>
      </c>
      <c r="B94" s="26" t="s">
        <v>1038</v>
      </c>
      <c r="C94" s="33" t="str">
        <f>IFERROR(INDEX(tbl_requisitos_emb[Tema],MATCH(B94,tbl_requisitos_emb[ID_Req],0)),"")</f>
        <v>Plásticos de utilização única</v>
      </c>
      <c r="D94" s="33" t="str">
        <f>IFERROR(INDEX(tbl_recyclass[Segmento],MATCH(A94,tbl_recyclass[ProductId],0)),"")</f>
        <v>Cosmética e higiene pessoal</v>
      </c>
      <c r="E94" s="26" t="s">
        <v>904</v>
      </c>
      <c r="F94" s="26" t="s">
        <v>1450</v>
      </c>
      <c r="G94" s="26" t="s">
        <v>1143</v>
      </c>
      <c r="H94" s="33" t="str">
        <f>IF(E94="Não","Não aplicável",IFERROR(IF(B94="EU-ENV-002",IF(INDEX(tbl_recyclass[Conforme_PPWR_2030],MATCH(A94,tbl_recyclass[ProductId],0))="Sim","Conforme (autoavaliação)",IF(INDEX(tbl_recyclass[Conforme_PPWR_2030],MATCH(A94,tbl_recyclass[ProductId],0))="Não","Não conforme em 2030","Isento até 2035")),IF(B94="EU-ENV-003",IF(INDEX(tbl_recyclass[Conforme_Art7_2030],MATCH(A94,tbl_recyclass[ProductId],0))="Sim","Conforme (meta 2030)",IF(INDEX(tbl_recyclass[Conforme_Art7_2030],MATCH(A94,tbl_recyclass[ProductId],0))="Não","Lacuna face à meta 2030","Isento")),IF(B94="EU-ENV-011",IF(INDEX(tbl_familias_ppwr[Metais_Pesados_Evidencia],MATCH(INDEX(tbl_recyclass[Familia_PPWR],MATCH(A94,tbl_recyclass[ProductId],0)),tbl_familias_ppwr[ID_Familia],0))="Em falta","Lacuna","Conforme"),IF(B94="EU-ENV-013",IF(INDEX(tbl_familias_ppwr[Declaracao_UE],MATCH(INDEX(tbl_recyclass[Familia_PPWR],MATCH(A94,tbl_recyclass[ProductId],0)),tbl_familias_ppwr[ID_Familia],0))="Sim","Conforme","Lacuna"),G94)))),G94))</f>
        <v>Não aplicável</v>
      </c>
      <c r="I94" s="33" t="str">
        <f t="shared" si="1"/>
        <v>Não aplicável</v>
      </c>
      <c r="J94" s="26"/>
    </row>
    <row r="95" spans="1:10" ht="16.05" customHeight="1" x14ac:dyDescent="0.3">
      <c r="A95" s="26" t="s">
        <v>613</v>
      </c>
      <c r="B95" s="26" t="s">
        <v>1078</v>
      </c>
      <c r="C95" s="33" t="str">
        <f>IFERROR(INDEX(tbl_requisitos_emb[Tema],MATCH(B95,tbl_requisitos_emb[ID_Req],0)),"")</f>
        <v>Reciclado à escala</v>
      </c>
      <c r="D95" s="33" t="str">
        <f>IFERROR(INDEX(tbl_recyclass[Segmento],MATCH(A95,tbl_recyclass[ProductId],0)),"")</f>
        <v>Cosmética e higiene pessoal</v>
      </c>
      <c r="E95" s="26" t="s">
        <v>901</v>
      </c>
      <c r="F95" s="26" t="s">
        <v>1449</v>
      </c>
      <c r="G95" s="26" t="s">
        <v>990</v>
      </c>
      <c r="H95" s="33" t="str">
        <f>IF(E95="Não","Não aplicável",IFERROR(IF(B95="EU-ENV-002",IF(INDEX(tbl_recyclass[Conforme_PPWR_2030],MATCH(A95,tbl_recyclass[ProductId],0))="Sim","Conforme (autoavaliação)",IF(INDEX(tbl_recyclass[Conforme_PPWR_2030],MATCH(A95,tbl_recyclass[ProductId],0))="Não","Não conforme em 2030","Isento até 2035")),IF(B95="EU-ENV-003",IF(INDEX(tbl_recyclass[Conforme_Art7_2030],MATCH(A95,tbl_recyclass[ProductId],0))="Sim","Conforme (meta 2030)",IF(INDEX(tbl_recyclass[Conforme_Art7_2030],MATCH(A95,tbl_recyclass[ProductId],0))="Não","Lacuna face à meta 2030","Isento")),IF(B95="EU-ENV-011",IF(INDEX(tbl_familias_ppwr[Metais_Pesados_Evidencia],MATCH(INDEX(tbl_recyclass[Familia_PPWR],MATCH(A95,tbl_recyclass[ProductId],0)),tbl_familias_ppwr[ID_Familia],0))="Em falta","Lacuna","Conforme"),IF(B95="EU-ENV-013",IF(INDEX(tbl_familias_ppwr[Declaracao_UE],MATCH(INDEX(tbl_recyclass[Familia_PPWR],MATCH(A95,tbl_recyclass[ProductId],0)),tbl_familias_ppwr[ID_Familia],0))="Sim","Conforme","Lacuna"),G95)))),G95))</f>
        <v>Futuro</v>
      </c>
      <c r="I95" s="33" t="str">
        <f t="shared" si="1"/>
        <v>Futuro</v>
      </c>
      <c r="J95" s="26" t="s">
        <v>1082</v>
      </c>
    </row>
    <row r="96" spans="1:10" ht="16.05" customHeight="1" x14ac:dyDescent="0.3">
      <c r="A96" s="26" t="s">
        <v>613</v>
      </c>
      <c r="B96" s="26" t="s">
        <v>1086</v>
      </c>
      <c r="C96" s="33" t="str">
        <f>IFERROR(INDEX(tbl_requisitos_emb[Tema],MATCH(B96,tbl_requisitos_emb[ID_Req],0)),"")</f>
        <v>Metais pesados</v>
      </c>
      <c r="D96" s="33" t="str">
        <f>IFERROR(INDEX(tbl_recyclass[Segmento],MATCH(A96,tbl_recyclass[ProductId],0)),"")</f>
        <v>Cosmética e higiene pessoal</v>
      </c>
      <c r="E96" s="26" t="s">
        <v>901</v>
      </c>
      <c r="F96" s="26" t="s">
        <v>1449</v>
      </c>
      <c r="G96" s="26" t="s">
        <v>978</v>
      </c>
      <c r="H96" s="33" t="str">
        <f>IF(E96="Não","Não aplicável",IFERROR(IF(B96="EU-ENV-002",IF(INDEX(tbl_recyclass[Conforme_PPWR_2030],MATCH(A96,tbl_recyclass[ProductId],0))="Sim","Conforme (autoavaliação)",IF(INDEX(tbl_recyclass[Conforme_PPWR_2030],MATCH(A96,tbl_recyclass[ProductId],0))="Não","Não conforme em 2030","Isento até 2035")),IF(B96="EU-ENV-003",IF(INDEX(tbl_recyclass[Conforme_Art7_2030],MATCH(A96,tbl_recyclass[ProductId],0))="Sim","Conforme (meta 2030)",IF(INDEX(tbl_recyclass[Conforme_Art7_2030],MATCH(A96,tbl_recyclass[ProductId],0))="Não","Lacuna face à meta 2030","Isento")),IF(B96="EU-ENV-011",IF(INDEX(tbl_familias_ppwr[Metais_Pesados_Evidencia],MATCH(INDEX(tbl_recyclass[Familia_PPWR],MATCH(A96,tbl_recyclass[ProductId],0)),tbl_familias_ppwr[ID_Familia],0))="Em falta","Lacuna","Conforme"),IF(B96="EU-ENV-013",IF(INDEX(tbl_familias_ppwr[Declaracao_UE],MATCH(INDEX(tbl_recyclass[Familia_PPWR],MATCH(A96,tbl_recyclass[ProductId],0)),tbl_familias_ppwr[ID_Familia],0))="Sim","Conforme","Lacuna"),G96)))),G96))</f>
        <v>Lacuna</v>
      </c>
      <c r="I96" s="33" t="str">
        <f t="shared" si="1"/>
        <v>Lacuna</v>
      </c>
      <c r="J96" s="26" t="s">
        <v>1090</v>
      </c>
    </row>
    <row r="97" spans="1:10" ht="16.05" customHeight="1" x14ac:dyDescent="0.3">
      <c r="A97" s="26" t="s">
        <v>613</v>
      </c>
      <c r="B97" s="26" t="s">
        <v>1094</v>
      </c>
      <c r="C97" s="33" t="str">
        <f>IFERROR(INDEX(tbl_requisitos_emb[Tema],MATCH(B97,tbl_requisitos_emb[ID_Req],0)),"")</f>
        <v>PFAS</v>
      </c>
      <c r="D97" s="33" t="str">
        <f>IFERROR(INDEX(tbl_recyclass[Segmento],MATCH(A97,tbl_recyclass[ProductId],0)),"")</f>
        <v>Cosmética e higiene pessoal</v>
      </c>
      <c r="E97" s="26" t="s">
        <v>904</v>
      </c>
      <c r="F97" s="26" t="s">
        <v>1450</v>
      </c>
      <c r="G97" s="26" t="s">
        <v>1143</v>
      </c>
      <c r="H97" s="33" t="str">
        <f>IF(E97="Não","Não aplicável",IFERROR(IF(B97="EU-ENV-002",IF(INDEX(tbl_recyclass[Conforme_PPWR_2030],MATCH(A97,tbl_recyclass[ProductId],0))="Sim","Conforme (autoavaliação)",IF(INDEX(tbl_recyclass[Conforme_PPWR_2030],MATCH(A97,tbl_recyclass[ProductId],0))="Não","Não conforme em 2030","Isento até 2035")),IF(B97="EU-ENV-003",IF(INDEX(tbl_recyclass[Conforme_Art7_2030],MATCH(A97,tbl_recyclass[ProductId],0))="Sim","Conforme (meta 2030)",IF(INDEX(tbl_recyclass[Conforme_Art7_2030],MATCH(A97,tbl_recyclass[ProductId],0))="Não","Lacuna face à meta 2030","Isento")),IF(B97="EU-ENV-011",IF(INDEX(tbl_familias_ppwr[Metais_Pesados_Evidencia],MATCH(INDEX(tbl_recyclass[Familia_PPWR],MATCH(A97,tbl_recyclass[ProductId],0)),tbl_familias_ppwr[ID_Familia],0))="Em falta","Lacuna","Conforme"),IF(B97="EU-ENV-013",IF(INDEX(tbl_familias_ppwr[Declaracao_UE],MATCH(INDEX(tbl_recyclass[Familia_PPWR],MATCH(A97,tbl_recyclass[ProductId],0)),tbl_familias_ppwr[ID_Familia],0))="Sim","Conforme","Lacuna"),G97)))),G97))</f>
        <v>Não aplicável</v>
      </c>
      <c r="I97" s="33" t="str">
        <f t="shared" si="1"/>
        <v>Não aplicável</v>
      </c>
      <c r="J97" s="26"/>
    </row>
    <row r="98" spans="1:10" ht="16.05" customHeight="1" x14ac:dyDescent="0.3">
      <c r="A98" s="26" t="s">
        <v>613</v>
      </c>
      <c r="B98" s="26" t="s">
        <v>1102</v>
      </c>
      <c r="C98" s="33" t="str">
        <f>IFERROR(INDEX(tbl_requisitos_emb[Tema],MATCH(B98,tbl_requisitos_emb[ID_Req],0)),"")</f>
        <v>Documentação técnica e declaração UE</v>
      </c>
      <c r="D98" s="33" t="str">
        <f>IFERROR(INDEX(tbl_recyclass[Segmento],MATCH(A98,tbl_recyclass[ProductId],0)),"")</f>
        <v>Cosmética e higiene pessoal</v>
      </c>
      <c r="E98" s="26" t="s">
        <v>901</v>
      </c>
      <c r="F98" s="26" t="s">
        <v>1449</v>
      </c>
      <c r="G98" s="26" t="s">
        <v>978</v>
      </c>
      <c r="H98" s="33" t="str">
        <f>IF(E98="Não","Não aplicável",IFERROR(IF(B98="EU-ENV-002",IF(INDEX(tbl_recyclass[Conforme_PPWR_2030],MATCH(A98,tbl_recyclass[ProductId],0))="Sim","Conforme (autoavaliação)",IF(INDEX(tbl_recyclass[Conforme_PPWR_2030],MATCH(A98,tbl_recyclass[ProductId],0))="Não","Não conforme em 2030","Isento até 2035")),IF(B98="EU-ENV-003",IF(INDEX(tbl_recyclass[Conforme_Art7_2030],MATCH(A98,tbl_recyclass[ProductId],0))="Sim","Conforme (meta 2030)",IF(INDEX(tbl_recyclass[Conforme_Art7_2030],MATCH(A98,tbl_recyclass[ProductId],0))="Não","Lacuna face à meta 2030","Isento")),IF(B98="EU-ENV-011",IF(INDEX(tbl_familias_ppwr[Metais_Pesados_Evidencia],MATCH(INDEX(tbl_recyclass[Familia_PPWR],MATCH(A98,tbl_recyclass[ProductId],0)),tbl_familias_ppwr[ID_Familia],0))="Em falta","Lacuna","Conforme"),IF(B98="EU-ENV-013",IF(INDEX(tbl_familias_ppwr[Declaracao_UE],MATCH(INDEX(tbl_recyclass[Familia_PPWR],MATCH(A98,tbl_recyclass[ProductId],0)),tbl_familias_ppwr[ID_Familia],0))="Sim","Conforme","Lacuna"),G98)))),G98))</f>
        <v>Conforme</v>
      </c>
      <c r="I98" s="33" t="str">
        <f t="shared" si="1"/>
        <v>Conforme</v>
      </c>
      <c r="J98" s="26" t="s">
        <v>1106</v>
      </c>
    </row>
    <row r="99" spans="1:10" ht="16.05" customHeight="1" x14ac:dyDescent="0.3">
      <c r="A99" s="26" t="s">
        <v>613</v>
      </c>
      <c r="B99" s="26" t="s">
        <v>1161</v>
      </c>
      <c r="C99" s="33" t="str">
        <f>IFERROR(INDEX(tbl_requisitos_emb[Tema],MATCH(B99,tbl_requisitos_emb[ID_Req],0)),"")</f>
        <v>Materiais em contacto com alimentos</v>
      </c>
      <c r="D99" s="33" t="str">
        <f>IFERROR(INDEX(tbl_recyclass[Segmento],MATCH(A99,tbl_recyclass[ProductId],0)),"")</f>
        <v>Cosmética e higiene pessoal</v>
      </c>
      <c r="E99" s="26" t="s">
        <v>904</v>
      </c>
      <c r="F99" s="26" t="s">
        <v>1450</v>
      </c>
      <c r="G99" s="26" t="s">
        <v>1143</v>
      </c>
      <c r="H99" s="33" t="str">
        <f>IF(E99="Não","Não aplicável",IFERROR(IF(B99="EU-ENV-002",IF(INDEX(tbl_recyclass[Conforme_PPWR_2030],MATCH(A99,tbl_recyclass[ProductId],0))="Sim","Conforme (autoavaliação)",IF(INDEX(tbl_recyclass[Conforme_PPWR_2030],MATCH(A99,tbl_recyclass[ProductId],0))="Não","Não conforme em 2030","Isento até 2035")),IF(B99="EU-ENV-003",IF(INDEX(tbl_recyclass[Conforme_Art7_2030],MATCH(A99,tbl_recyclass[ProductId],0))="Sim","Conforme (meta 2030)",IF(INDEX(tbl_recyclass[Conforme_Art7_2030],MATCH(A99,tbl_recyclass[ProductId],0))="Não","Lacuna face à meta 2030","Isento")),IF(B99="EU-ENV-011",IF(INDEX(tbl_familias_ppwr[Metais_Pesados_Evidencia],MATCH(INDEX(tbl_recyclass[Familia_PPWR],MATCH(A99,tbl_recyclass[ProductId],0)),tbl_familias_ppwr[ID_Familia],0))="Em falta","Lacuna","Conforme"),IF(B99="EU-ENV-013",IF(INDEX(tbl_familias_ppwr[Declaracao_UE],MATCH(INDEX(tbl_recyclass[Familia_PPWR],MATCH(A99,tbl_recyclass[ProductId],0)),tbl_familias_ppwr[ID_Familia],0))="Sim","Conforme","Lacuna"),G99)))),G99))</f>
        <v>Não aplicável</v>
      </c>
      <c r="I99" s="33" t="str">
        <f t="shared" si="1"/>
        <v>Não aplicável</v>
      </c>
      <c r="J99" s="26"/>
    </row>
    <row r="100" spans="1:10" ht="16.05" customHeight="1" x14ac:dyDescent="0.3">
      <c r="A100" s="26" t="s">
        <v>613</v>
      </c>
      <c r="B100" s="26" t="s">
        <v>1170</v>
      </c>
      <c r="C100" s="33" t="str">
        <f>IFERROR(INDEX(tbl_requisitos_emb[Tema],MATCH(B100,tbl_requisitos_emb[ID_Req],0)),"")</f>
        <v>Boas práticas de fabrico FCM</v>
      </c>
      <c r="D100" s="33" t="str">
        <f>IFERROR(INDEX(tbl_recyclass[Segmento],MATCH(A100,tbl_recyclass[ProductId],0)),"")</f>
        <v>Cosmética e higiene pessoal</v>
      </c>
      <c r="E100" s="26" t="s">
        <v>904</v>
      </c>
      <c r="F100" s="26" t="s">
        <v>1450</v>
      </c>
      <c r="G100" s="26" t="s">
        <v>1143</v>
      </c>
      <c r="H100" s="33" t="str">
        <f>IF(E100="Não","Não aplicável",IFERROR(IF(B100="EU-ENV-002",IF(INDEX(tbl_recyclass[Conforme_PPWR_2030],MATCH(A100,tbl_recyclass[ProductId],0))="Sim","Conforme (autoavaliação)",IF(INDEX(tbl_recyclass[Conforme_PPWR_2030],MATCH(A100,tbl_recyclass[ProductId],0))="Não","Não conforme em 2030","Isento até 2035")),IF(B100="EU-ENV-003",IF(INDEX(tbl_recyclass[Conforme_Art7_2030],MATCH(A100,tbl_recyclass[ProductId],0))="Sim","Conforme (meta 2030)",IF(INDEX(tbl_recyclass[Conforme_Art7_2030],MATCH(A100,tbl_recyclass[ProductId],0))="Não","Lacuna face à meta 2030","Isento")),IF(B100="EU-ENV-011",IF(INDEX(tbl_familias_ppwr[Metais_Pesados_Evidencia],MATCH(INDEX(tbl_recyclass[Familia_PPWR],MATCH(A100,tbl_recyclass[ProductId],0)),tbl_familias_ppwr[ID_Familia],0))="Em falta","Lacuna","Conforme"),IF(B100="EU-ENV-013",IF(INDEX(tbl_familias_ppwr[Declaracao_UE],MATCH(INDEX(tbl_recyclass[Familia_PPWR],MATCH(A100,tbl_recyclass[ProductId],0)),tbl_familias_ppwr[ID_Familia],0))="Sim","Conforme","Lacuna"),G100)))),G100))</f>
        <v>Não aplicável</v>
      </c>
      <c r="I100" s="33" t="str">
        <f t="shared" si="1"/>
        <v>Não aplicável</v>
      </c>
      <c r="J100" s="26"/>
    </row>
    <row r="101" spans="1:10" ht="16.05" customHeight="1" x14ac:dyDescent="0.3">
      <c r="A101" s="26" t="s">
        <v>613</v>
      </c>
      <c r="B101" s="26" t="s">
        <v>1179</v>
      </c>
      <c r="C101" s="33" t="str">
        <f>IFERROR(INDEX(tbl_requisitos_emb[Tema],MATCH(B101,tbl_requisitos_emb[ID_Req],0)),"")</f>
        <v>Bisfenol A e bisfenóis perigosos</v>
      </c>
      <c r="D101" s="33" t="str">
        <f>IFERROR(INDEX(tbl_recyclass[Segmento],MATCH(A101,tbl_recyclass[ProductId],0)),"")</f>
        <v>Cosmética e higiene pessoal</v>
      </c>
      <c r="E101" s="26" t="s">
        <v>904</v>
      </c>
      <c r="F101" s="26" t="s">
        <v>1450</v>
      </c>
      <c r="G101" s="26" t="s">
        <v>1143</v>
      </c>
      <c r="H101" s="33" t="str">
        <f>IF(E101="Não","Não aplicável",IFERROR(IF(B101="EU-ENV-002",IF(INDEX(tbl_recyclass[Conforme_PPWR_2030],MATCH(A101,tbl_recyclass[ProductId],0))="Sim","Conforme (autoavaliação)",IF(INDEX(tbl_recyclass[Conforme_PPWR_2030],MATCH(A101,tbl_recyclass[ProductId],0))="Não","Não conforme em 2030","Isento até 2035")),IF(B101="EU-ENV-003",IF(INDEX(tbl_recyclass[Conforme_Art7_2030],MATCH(A101,tbl_recyclass[ProductId],0))="Sim","Conforme (meta 2030)",IF(INDEX(tbl_recyclass[Conforme_Art7_2030],MATCH(A101,tbl_recyclass[ProductId],0))="Não","Lacuna face à meta 2030","Isento")),IF(B101="EU-ENV-011",IF(INDEX(tbl_familias_ppwr[Metais_Pesados_Evidencia],MATCH(INDEX(tbl_recyclass[Familia_PPWR],MATCH(A101,tbl_recyclass[ProductId],0)),tbl_familias_ppwr[ID_Familia],0))="Em falta","Lacuna","Conforme"),IF(B101="EU-ENV-013",IF(INDEX(tbl_familias_ppwr[Declaracao_UE],MATCH(INDEX(tbl_recyclass[Familia_PPWR],MATCH(A101,tbl_recyclass[ProductId],0)),tbl_familias_ppwr[ID_Familia],0))="Sim","Conforme","Lacuna"),G101)))),G101))</f>
        <v>Não aplicável</v>
      </c>
      <c r="I101" s="33" t="str">
        <f t="shared" si="1"/>
        <v>Não aplicável</v>
      </c>
      <c r="J101" s="26"/>
    </row>
    <row r="102" spans="1:10" ht="16.05" customHeight="1" x14ac:dyDescent="0.3">
      <c r="A102" s="26" t="s">
        <v>613</v>
      </c>
      <c r="B102" s="26" t="s">
        <v>1188</v>
      </c>
      <c r="C102" s="33" t="str">
        <f>IFERROR(INDEX(tbl_requisitos_emb[Tema],MATCH(B102,tbl_requisitos_emb[ID_Req],0)),"")</f>
        <v>Plásticos em contacto com alimentos</v>
      </c>
      <c r="D102" s="33" t="str">
        <f>IFERROR(INDEX(tbl_recyclass[Segmento],MATCH(A102,tbl_recyclass[ProductId],0)),"")</f>
        <v>Cosmética e higiene pessoal</v>
      </c>
      <c r="E102" s="26" t="s">
        <v>904</v>
      </c>
      <c r="F102" s="26" t="s">
        <v>1450</v>
      </c>
      <c r="G102" s="26" t="s">
        <v>1143</v>
      </c>
      <c r="H102" s="33" t="str">
        <f>IF(E102="Não","Não aplicável",IFERROR(IF(B102="EU-ENV-002",IF(INDEX(tbl_recyclass[Conforme_PPWR_2030],MATCH(A102,tbl_recyclass[ProductId],0))="Sim","Conforme (autoavaliação)",IF(INDEX(tbl_recyclass[Conforme_PPWR_2030],MATCH(A102,tbl_recyclass[ProductId],0))="Não","Não conforme em 2030","Isento até 2035")),IF(B102="EU-ENV-003",IF(INDEX(tbl_recyclass[Conforme_Art7_2030],MATCH(A102,tbl_recyclass[ProductId],0))="Sim","Conforme (meta 2030)",IF(INDEX(tbl_recyclass[Conforme_Art7_2030],MATCH(A102,tbl_recyclass[ProductId],0))="Não","Lacuna face à meta 2030","Isento")),IF(B102="EU-ENV-011",IF(INDEX(tbl_familias_ppwr[Metais_Pesados_Evidencia],MATCH(INDEX(tbl_recyclass[Familia_PPWR],MATCH(A102,tbl_recyclass[ProductId],0)),tbl_familias_ppwr[ID_Familia],0))="Em falta","Lacuna","Conforme"),IF(B102="EU-ENV-013",IF(INDEX(tbl_familias_ppwr[Declaracao_UE],MATCH(INDEX(tbl_recyclass[Familia_PPWR],MATCH(A102,tbl_recyclass[ProductId],0)),tbl_familias_ppwr[ID_Familia],0))="Sim","Conforme","Lacuna"),G102)))),G102))</f>
        <v>Não aplicável</v>
      </c>
      <c r="I102" s="33" t="str">
        <f t="shared" si="1"/>
        <v>Não aplicável</v>
      </c>
      <c r="J102" s="26"/>
    </row>
    <row r="103" spans="1:10" ht="16.05" customHeight="1" x14ac:dyDescent="0.3">
      <c r="A103" s="26" t="s">
        <v>613</v>
      </c>
      <c r="B103" s="26" t="s">
        <v>1212</v>
      </c>
      <c r="C103" s="33" t="str">
        <f>IFERROR(INDEX(tbl_requisitos_emb[Tema],MATCH(B103,tbl_requisitos_emb[ID_Req],0)),"")</f>
        <v>Segurança do produto cosmético</v>
      </c>
      <c r="D103" s="33" t="str">
        <f>IFERROR(INDEX(tbl_recyclass[Segmento],MATCH(A103,tbl_recyclass[ProductId],0)),"")</f>
        <v>Cosmética e higiene pessoal</v>
      </c>
      <c r="E103" s="26" t="s">
        <v>901</v>
      </c>
      <c r="F103" s="26" t="s">
        <v>1449</v>
      </c>
      <c r="G103" s="26" t="s">
        <v>1033</v>
      </c>
      <c r="H103" s="33" t="str">
        <f>IF(E103="Não","Não aplicável",IFERROR(IF(B103="EU-ENV-002",IF(INDEX(tbl_recyclass[Conforme_PPWR_2030],MATCH(A103,tbl_recyclass[ProductId],0))="Sim","Conforme (autoavaliação)",IF(INDEX(tbl_recyclass[Conforme_PPWR_2030],MATCH(A103,tbl_recyclass[ProductId],0))="Não","Não conforme em 2030","Isento até 2035")),IF(B103="EU-ENV-003",IF(INDEX(tbl_recyclass[Conforme_Art7_2030],MATCH(A103,tbl_recyclass[ProductId],0))="Sim","Conforme (meta 2030)",IF(INDEX(tbl_recyclass[Conforme_Art7_2030],MATCH(A103,tbl_recyclass[ProductId],0))="Não","Lacuna face à meta 2030","Isento")),IF(B103="EU-ENV-011",IF(INDEX(tbl_familias_ppwr[Metais_Pesados_Evidencia],MATCH(INDEX(tbl_recyclass[Familia_PPWR],MATCH(A103,tbl_recyclass[ProductId],0)),tbl_familias_ppwr[ID_Familia],0))="Em falta","Lacuna","Conforme"),IF(B103="EU-ENV-013",IF(INDEX(tbl_familias_ppwr[Declaracao_UE],MATCH(INDEX(tbl_recyclass[Familia_PPWR],MATCH(A103,tbl_recyclass[ProductId],0)),tbl_familias_ppwr[ID_Familia],0))="Sim","Conforme","Lacuna"),G103)))),G103))</f>
        <v>Conforme</v>
      </c>
      <c r="I103" s="33" t="str">
        <f t="shared" si="1"/>
        <v>Conforme</v>
      </c>
      <c r="J103" s="26" t="s">
        <v>1221</v>
      </c>
    </row>
    <row r="104" spans="1:10" ht="16.05" customHeight="1" x14ac:dyDescent="0.3">
      <c r="A104" s="26" t="s">
        <v>613</v>
      </c>
      <c r="B104" s="26" t="s">
        <v>1224</v>
      </c>
      <c r="C104" s="33" t="str">
        <f>IFERROR(INDEX(tbl_requisitos_emb[Tema],MATCH(B104,tbl_requisitos_emb[ID_Req],0)),"")</f>
        <v>Materiais e impurezas</v>
      </c>
      <c r="D104" s="33" t="str">
        <f>IFERROR(INDEX(tbl_recyclass[Segmento],MATCH(A104,tbl_recyclass[ProductId],0)),"")</f>
        <v>Cosmética e higiene pessoal</v>
      </c>
      <c r="E104" s="26" t="s">
        <v>901</v>
      </c>
      <c r="F104" s="26" t="s">
        <v>1449</v>
      </c>
      <c r="G104" s="26" t="s">
        <v>978</v>
      </c>
      <c r="H104" s="33" t="str">
        <f>IF(E104="Não","Não aplicável",IFERROR(IF(B104="EU-ENV-002",IF(INDEX(tbl_recyclass[Conforme_PPWR_2030],MATCH(A104,tbl_recyclass[ProductId],0))="Sim","Conforme (autoavaliação)",IF(INDEX(tbl_recyclass[Conforme_PPWR_2030],MATCH(A104,tbl_recyclass[ProductId],0))="Não","Não conforme em 2030","Isento até 2035")),IF(B104="EU-ENV-003",IF(INDEX(tbl_recyclass[Conforme_Art7_2030],MATCH(A104,tbl_recyclass[ProductId],0))="Sim","Conforme (meta 2030)",IF(INDEX(tbl_recyclass[Conforme_Art7_2030],MATCH(A104,tbl_recyclass[ProductId],0))="Não","Lacuna face à meta 2030","Isento")),IF(B104="EU-ENV-011",IF(INDEX(tbl_familias_ppwr[Metais_Pesados_Evidencia],MATCH(INDEX(tbl_recyclass[Familia_PPWR],MATCH(A104,tbl_recyclass[ProductId],0)),tbl_familias_ppwr[ID_Familia],0))="Em falta","Lacuna","Conforme"),IF(B104="EU-ENV-013",IF(INDEX(tbl_familias_ppwr[Declaracao_UE],MATCH(INDEX(tbl_recyclass[Familia_PPWR],MATCH(A104,tbl_recyclass[ProductId],0)),tbl_familias_ppwr[ID_Familia],0))="Sim","Conforme","Lacuna"),G104)))),G104))</f>
        <v>Parcial</v>
      </c>
      <c r="I104" s="33" t="str">
        <f t="shared" si="1"/>
        <v>Parcial</v>
      </c>
      <c r="J104" s="26" t="s">
        <v>1228</v>
      </c>
    </row>
    <row r="105" spans="1:10" ht="16.05" customHeight="1" x14ac:dyDescent="0.3">
      <c r="A105" s="26" t="s">
        <v>613</v>
      </c>
      <c r="B105" s="26" t="s">
        <v>1240</v>
      </c>
      <c r="C105" s="33" t="str">
        <f>IFERROR(INDEX(tbl_requisitos_emb[Tema],MATCH(B105,tbl_requisitos_emb[ID_Req],0)),"")</f>
        <v>Compatibilidade embalagem–produto</v>
      </c>
      <c r="D105" s="33" t="str">
        <f>IFERROR(INDEX(tbl_recyclass[Segmento],MATCH(A105,tbl_recyclass[ProductId],0)),"")</f>
        <v>Cosmética e higiene pessoal</v>
      </c>
      <c r="E105" s="26" t="s">
        <v>901</v>
      </c>
      <c r="F105" s="26" t="s">
        <v>1449</v>
      </c>
      <c r="G105" s="26" t="s">
        <v>1033</v>
      </c>
      <c r="H105" s="33" t="str">
        <f>IF(E105="Não","Não aplicável",IFERROR(IF(B105="EU-ENV-002",IF(INDEX(tbl_recyclass[Conforme_PPWR_2030],MATCH(A105,tbl_recyclass[ProductId],0))="Sim","Conforme (autoavaliação)",IF(INDEX(tbl_recyclass[Conforme_PPWR_2030],MATCH(A105,tbl_recyclass[ProductId],0))="Não","Não conforme em 2030","Isento até 2035")),IF(B105="EU-ENV-003",IF(INDEX(tbl_recyclass[Conforme_Art7_2030],MATCH(A105,tbl_recyclass[ProductId],0))="Sim","Conforme (meta 2030)",IF(INDEX(tbl_recyclass[Conforme_Art7_2030],MATCH(A105,tbl_recyclass[ProductId],0))="Não","Lacuna face à meta 2030","Isento")),IF(B105="EU-ENV-011",IF(INDEX(tbl_familias_ppwr[Metais_Pesados_Evidencia],MATCH(INDEX(tbl_recyclass[Familia_PPWR],MATCH(A105,tbl_recyclass[ProductId],0)),tbl_familias_ppwr[ID_Familia],0))="Em falta","Lacuna","Conforme"),IF(B105="EU-ENV-013",IF(INDEX(tbl_familias_ppwr[Declaracao_UE],MATCH(INDEX(tbl_recyclass[Familia_PPWR],MATCH(A105,tbl_recyclass[ProductId],0)),tbl_familias_ppwr[ID_Familia],0))="Sim","Conforme","Lacuna"),G105)))),G105))</f>
        <v>Conforme</v>
      </c>
      <c r="I105" s="33" t="str">
        <f t="shared" si="1"/>
        <v>Conforme</v>
      </c>
      <c r="J105" s="26" t="s">
        <v>1244</v>
      </c>
    </row>
    <row r="106" spans="1:10" ht="16.05" customHeight="1" x14ac:dyDescent="0.3">
      <c r="A106" s="26" t="s">
        <v>613</v>
      </c>
      <c r="B106" s="26" t="s">
        <v>1252</v>
      </c>
      <c r="C106" s="33" t="str">
        <f>IFERROR(INDEX(tbl_requisitos_emb[Tema],MATCH(B106,tbl_requisitos_emb[ID_Req],0)),"")</f>
        <v>Medicamentos de uso humano</v>
      </c>
      <c r="D106" s="33" t="str">
        <f>IFERROR(INDEX(tbl_recyclass[Segmento],MATCH(A106,tbl_recyclass[ProductId],0)),"")</f>
        <v>Cosmética e higiene pessoal</v>
      </c>
      <c r="E106" s="26" t="s">
        <v>904</v>
      </c>
      <c r="F106" s="26" t="s">
        <v>1451</v>
      </c>
      <c r="G106" s="26" t="s">
        <v>1143</v>
      </c>
      <c r="H106" s="33" t="str">
        <f>IF(E106="Não","Não aplicável",IFERROR(IF(B106="EU-ENV-002",IF(INDEX(tbl_recyclass[Conforme_PPWR_2030],MATCH(A106,tbl_recyclass[ProductId],0))="Sim","Conforme (autoavaliação)",IF(INDEX(tbl_recyclass[Conforme_PPWR_2030],MATCH(A106,tbl_recyclass[ProductId],0))="Não","Não conforme em 2030","Isento até 2035")),IF(B106="EU-ENV-003",IF(INDEX(tbl_recyclass[Conforme_Art7_2030],MATCH(A106,tbl_recyclass[ProductId],0))="Sim","Conforme (meta 2030)",IF(INDEX(tbl_recyclass[Conforme_Art7_2030],MATCH(A106,tbl_recyclass[ProductId],0))="Não","Lacuna face à meta 2030","Isento")),IF(B106="EU-ENV-011",IF(INDEX(tbl_familias_ppwr[Metais_Pesados_Evidencia],MATCH(INDEX(tbl_recyclass[Familia_PPWR],MATCH(A106,tbl_recyclass[ProductId],0)),tbl_familias_ppwr[ID_Familia],0))="Em falta","Lacuna","Conforme"),IF(B106="EU-ENV-013",IF(INDEX(tbl_familias_ppwr[Declaracao_UE],MATCH(INDEX(tbl_recyclass[Familia_PPWR],MATCH(A106,tbl_recyclass[ProductId],0)),tbl_familias_ppwr[ID_Familia],0))="Sim","Conforme","Lacuna"),G106)))),G106))</f>
        <v>Não aplicável</v>
      </c>
      <c r="I106" s="33" t="str">
        <f t="shared" si="1"/>
        <v>Não aplicável</v>
      </c>
      <c r="J106" s="26"/>
    </row>
    <row r="107" spans="1:10" ht="16.05" customHeight="1" x14ac:dyDescent="0.3">
      <c r="A107" s="26" t="s">
        <v>613</v>
      </c>
      <c r="B107" s="26" t="s">
        <v>1268</v>
      </c>
      <c r="C107" s="33" t="str">
        <f>IFERROR(INDEX(tbl_requisitos_emb[Tema],MATCH(B107,tbl_requisitos_emb[ID_Req],0)),"")</f>
        <v>Dispositivos de segurança</v>
      </c>
      <c r="D107" s="33" t="str">
        <f>IFERROR(INDEX(tbl_recyclass[Segmento],MATCH(A107,tbl_recyclass[ProductId],0)),"")</f>
        <v>Cosmética e higiene pessoal</v>
      </c>
      <c r="E107" s="26" t="s">
        <v>904</v>
      </c>
      <c r="F107" s="26" t="s">
        <v>1451</v>
      </c>
      <c r="G107" s="26" t="s">
        <v>1143</v>
      </c>
      <c r="H107" s="33" t="str">
        <f>IF(E107="Não","Não aplicável",IFERROR(IF(B107="EU-ENV-002",IF(INDEX(tbl_recyclass[Conforme_PPWR_2030],MATCH(A107,tbl_recyclass[ProductId],0))="Sim","Conforme (autoavaliação)",IF(INDEX(tbl_recyclass[Conforme_PPWR_2030],MATCH(A107,tbl_recyclass[ProductId],0))="Não","Não conforme em 2030","Isento até 2035")),IF(B107="EU-ENV-003",IF(INDEX(tbl_recyclass[Conforme_Art7_2030],MATCH(A107,tbl_recyclass[ProductId],0))="Sim","Conforme (meta 2030)",IF(INDEX(tbl_recyclass[Conforme_Art7_2030],MATCH(A107,tbl_recyclass[ProductId],0))="Não","Lacuna face à meta 2030","Isento")),IF(B107="EU-ENV-011",IF(INDEX(tbl_familias_ppwr[Metais_Pesados_Evidencia],MATCH(INDEX(tbl_recyclass[Familia_PPWR],MATCH(A107,tbl_recyclass[ProductId],0)),tbl_familias_ppwr[ID_Familia],0))="Em falta","Lacuna","Conforme"),IF(B107="EU-ENV-013",IF(INDEX(tbl_familias_ppwr[Declaracao_UE],MATCH(INDEX(tbl_recyclass[Familia_PPWR],MATCH(A107,tbl_recyclass[ProductId],0)),tbl_familias_ppwr[ID_Familia],0))="Sim","Conforme","Lacuna"),G107)))),G107))</f>
        <v>Não aplicável</v>
      </c>
      <c r="I107" s="33" t="str">
        <f t="shared" si="1"/>
        <v>Não aplicável</v>
      </c>
      <c r="J107" s="26"/>
    </row>
    <row r="108" spans="1:10" ht="16.05" customHeight="1" x14ac:dyDescent="0.3">
      <c r="A108" s="26" t="s">
        <v>613</v>
      </c>
      <c r="B108" s="26" t="s">
        <v>1285</v>
      </c>
      <c r="C108" s="33" t="str">
        <f>IFERROR(INDEX(tbl_requisitos_emb[Tema],MATCH(B108,tbl_requisitos_emb[ID_Req],0)),"")</f>
        <v>Materiais plásticos de acondicionamento primário</v>
      </c>
      <c r="D108" s="33" t="str">
        <f>IFERROR(INDEX(tbl_recyclass[Segmento],MATCH(A108,tbl_recyclass[ProductId],0)),"")</f>
        <v>Cosmética e higiene pessoal</v>
      </c>
      <c r="E108" s="26" t="s">
        <v>904</v>
      </c>
      <c r="F108" s="26" t="s">
        <v>1451</v>
      </c>
      <c r="G108" s="26" t="s">
        <v>1143</v>
      </c>
      <c r="H108" s="33" t="str">
        <f>IF(E108="Não","Não aplicável",IFERROR(IF(B108="EU-ENV-002",IF(INDEX(tbl_recyclass[Conforme_PPWR_2030],MATCH(A108,tbl_recyclass[ProductId],0))="Sim","Conforme (autoavaliação)",IF(INDEX(tbl_recyclass[Conforme_PPWR_2030],MATCH(A108,tbl_recyclass[ProductId],0))="Não","Não conforme em 2030","Isento até 2035")),IF(B108="EU-ENV-003",IF(INDEX(tbl_recyclass[Conforme_Art7_2030],MATCH(A108,tbl_recyclass[ProductId],0))="Sim","Conforme (meta 2030)",IF(INDEX(tbl_recyclass[Conforme_Art7_2030],MATCH(A108,tbl_recyclass[ProductId],0))="Não","Lacuna face à meta 2030","Isento")),IF(B108="EU-ENV-011",IF(INDEX(tbl_familias_ppwr[Metais_Pesados_Evidencia],MATCH(INDEX(tbl_recyclass[Familia_PPWR],MATCH(A108,tbl_recyclass[ProductId],0)),tbl_familias_ppwr[ID_Familia],0))="Em falta","Lacuna","Conforme"),IF(B108="EU-ENV-013",IF(INDEX(tbl_familias_ppwr[Declaracao_UE],MATCH(INDEX(tbl_recyclass[Familia_PPWR],MATCH(A108,tbl_recyclass[ProductId],0)),tbl_familias_ppwr[ID_Familia],0))="Sim","Conforme","Lacuna"),G108)))),G108))</f>
        <v>Não aplicável</v>
      </c>
      <c r="I108" s="33" t="str">
        <f t="shared" si="1"/>
        <v>Não aplicável</v>
      </c>
      <c r="J108" s="26"/>
    </row>
    <row r="109" spans="1:10" ht="16.05" customHeight="1" x14ac:dyDescent="0.3">
      <c r="A109" s="26" t="s">
        <v>613</v>
      </c>
      <c r="B109" s="26" t="s">
        <v>1293</v>
      </c>
      <c r="C109" s="33" t="str">
        <f>IFERROR(INDEX(tbl_requisitos_emb[Tema],MATCH(B109,tbl_requisitos_emb[ID_Req],0)),"")</f>
        <v>Isenções PPWR</v>
      </c>
      <c r="D109" s="33" t="str">
        <f>IFERROR(INDEX(tbl_recyclass[Segmento],MATCH(A109,tbl_recyclass[ProductId],0)),"")</f>
        <v>Cosmética e higiene pessoal</v>
      </c>
      <c r="E109" s="26" t="s">
        <v>904</v>
      </c>
      <c r="F109" s="26" t="s">
        <v>1451</v>
      </c>
      <c r="G109" s="26" t="s">
        <v>1143</v>
      </c>
      <c r="H109" s="33" t="str">
        <f>IF(E109="Não","Não aplicável",IFERROR(IF(B109="EU-ENV-002",IF(INDEX(tbl_recyclass[Conforme_PPWR_2030],MATCH(A109,tbl_recyclass[ProductId],0))="Sim","Conforme (autoavaliação)",IF(INDEX(tbl_recyclass[Conforme_PPWR_2030],MATCH(A109,tbl_recyclass[ProductId],0))="Não","Não conforme em 2030","Isento até 2035")),IF(B109="EU-ENV-003",IF(INDEX(tbl_recyclass[Conforme_Art7_2030],MATCH(A109,tbl_recyclass[ProductId],0))="Sim","Conforme (meta 2030)",IF(INDEX(tbl_recyclass[Conforme_Art7_2030],MATCH(A109,tbl_recyclass[ProductId],0))="Não","Lacuna face à meta 2030","Isento")),IF(B109="EU-ENV-011",IF(INDEX(tbl_familias_ppwr[Metais_Pesados_Evidencia],MATCH(INDEX(tbl_recyclass[Familia_PPWR],MATCH(A109,tbl_recyclass[ProductId],0)),tbl_familias_ppwr[ID_Familia],0))="Em falta","Lacuna","Conforme"),IF(B109="EU-ENV-013",IF(INDEX(tbl_familias_ppwr[Declaracao_UE],MATCH(INDEX(tbl_recyclass[Familia_PPWR],MATCH(A109,tbl_recyclass[ProductId],0)),tbl_familias_ppwr[ID_Familia],0))="Sim","Conforme","Lacuna"),G109)))),G109))</f>
        <v>Não aplicável</v>
      </c>
      <c r="I109" s="33" t="str">
        <f t="shared" si="1"/>
        <v>Não aplicável</v>
      </c>
      <c r="J109" s="26"/>
    </row>
    <row r="110" spans="1:10" ht="16.05" customHeight="1" x14ac:dyDescent="0.3">
      <c r="A110" s="26" t="s">
        <v>613</v>
      </c>
      <c r="B110" s="26" t="s">
        <v>1357</v>
      </c>
      <c r="C110" s="33" t="str">
        <f>IFERROR(INDEX(tbl_requisitos_emb[Tema],MATCH(B110,tbl_requisitos_emb[ID_Req],0)),"")</f>
        <v>Identificação de plásticos</v>
      </c>
      <c r="D110" s="33" t="str">
        <f>IFERROR(INDEX(tbl_recyclass[Segmento],MATCH(A110,tbl_recyclass[ProductId],0)),"")</f>
        <v>Cosmética e higiene pessoal</v>
      </c>
      <c r="E110" s="26" t="s">
        <v>901</v>
      </c>
      <c r="F110" s="26" t="s">
        <v>1449</v>
      </c>
      <c r="G110" s="26" t="s">
        <v>978</v>
      </c>
      <c r="H110" s="33" t="str">
        <f>IF(E110="Não","Não aplicável",IFERROR(IF(B110="EU-ENV-002",IF(INDEX(tbl_recyclass[Conforme_PPWR_2030],MATCH(A110,tbl_recyclass[ProductId],0))="Sim","Conforme (autoavaliação)",IF(INDEX(tbl_recyclass[Conforme_PPWR_2030],MATCH(A110,tbl_recyclass[ProductId],0))="Não","Não conforme em 2030","Isento até 2035")),IF(B110="EU-ENV-003",IF(INDEX(tbl_recyclass[Conforme_Art7_2030],MATCH(A110,tbl_recyclass[ProductId],0))="Sim","Conforme (meta 2030)",IF(INDEX(tbl_recyclass[Conforme_Art7_2030],MATCH(A110,tbl_recyclass[ProductId],0))="Não","Lacuna face à meta 2030","Isento")),IF(B110="EU-ENV-011",IF(INDEX(tbl_familias_ppwr[Metais_Pesados_Evidencia],MATCH(INDEX(tbl_recyclass[Familia_PPWR],MATCH(A110,tbl_recyclass[ProductId],0)),tbl_familias_ppwr[ID_Familia],0))="Em falta","Lacuna","Conforme"),IF(B110="EU-ENV-013",IF(INDEX(tbl_familias_ppwr[Declaracao_UE],MATCH(INDEX(tbl_recyclass[Familia_PPWR],MATCH(A110,tbl_recyclass[ProductId],0)),tbl_familias_ppwr[ID_Familia],0))="Sim","Conforme","Lacuna"),G110)))),G110))</f>
        <v>Parcial</v>
      </c>
      <c r="I110" s="33" t="str">
        <f t="shared" si="1"/>
        <v>Parcial</v>
      </c>
      <c r="J110" s="26" t="s">
        <v>1362</v>
      </c>
    </row>
    <row r="111" spans="1:10" ht="16.05" customHeight="1" x14ac:dyDescent="0.3">
      <c r="A111" s="26" t="s">
        <v>613</v>
      </c>
      <c r="B111" s="26" t="s">
        <v>1385</v>
      </c>
      <c r="C111" s="33" t="str">
        <f>IFERROR(INDEX(tbl_requisitos_emb[Tema],MATCH(B111,tbl_requisitos_emb[ID_Req],0)),"")</f>
        <v>Reciclabilidade (voluntária)</v>
      </c>
      <c r="D111" s="33" t="str">
        <f>IFERROR(INDEX(tbl_recyclass[Segmento],MATCH(A111,tbl_recyclass[ProductId],0)),"")</f>
        <v>Cosmética e higiene pessoal</v>
      </c>
      <c r="E111" s="26" t="s">
        <v>901</v>
      </c>
      <c r="F111" s="26" t="s">
        <v>1449</v>
      </c>
      <c r="G111" s="26" t="s">
        <v>978</v>
      </c>
      <c r="H111" s="33" t="str">
        <f>IF(E111="Não","Não aplicável",IFERROR(IF(B111="EU-ENV-002",IF(INDEX(tbl_recyclass[Conforme_PPWR_2030],MATCH(A111,tbl_recyclass[ProductId],0))="Sim","Conforme (autoavaliação)",IF(INDEX(tbl_recyclass[Conforme_PPWR_2030],MATCH(A111,tbl_recyclass[ProductId],0))="Não","Não conforme em 2030","Isento até 2035")),IF(B111="EU-ENV-003",IF(INDEX(tbl_recyclass[Conforme_Art7_2030],MATCH(A111,tbl_recyclass[ProductId],0))="Sim","Conforme (meta 2030)",IF(INDEX(tbl_recyclass[Conforme_Art7_2030],MATCH(A111,tbl_recyclass[ProductId],0))="Não","Lacuna face à meta 2030","Isento")),IF(B111="EU-ENV-011",IF(INDEX(tbl_familias_ppwr[Metais_Pesados_Evidencia],MATCH(INDEX(tbl_recyclass[Familia_PPWR],MATCH(A111,tbl_recyclass[ProductId],0)),tbl_familias_ppwr[ID_Familia],0))="Em falta","Lacuna","Conforme"),IF(B111="EU-ENV-013",IF(INDEX(tbl_familias_ppwr[Declaracao_UE],MATCH(INDEX(tbl_recyclass[Familia_PPWR],MATCH(A111,tbl_recyclass[ProductId],0)),tbl_familias_ppwr[ID_Familia],0))="Sim","Conforme","Lacuna"),G111)))),G111))</f>
        <v>Parcial</v>
      </c>
      <c r="I111" s="33" t="str">
        <f t="shared" si="1"/>
        <v>Parcial</v>
      </c>
      <c r="J111" s="26" t="s">
        <v>1389</v>
      </c>
    </row>
    <row r="112" spans="1:10" ht="16.05" customHeight="1" x14ac:dyDescent="0.3">
      <c r="A112" s="26" t="s">
        <v>615</v>
      </c>
      <c r="B112" s="26" t="s">
        <v>984</v>
      </c>
      <c r="C112" s="33" t="str">
        <f>IFERROR(INDEX(tbl_requisitos_emb[Tema],MATCH(B112,tbl_requisitos_emb[ID_Req],0)),"")</f>
        <v>Conceção para reciclagem</v>
      </c>
      <c r="D112" s="33" t="str">
        <f>IFERROR(INDEX(tbl_recyclass[Segmento],MATCH(A112,tbl_recyclass[ProductId],0)),"")</f>
        <v>Cosmética e higiene pessoal</v>
      </c>
      <c r="E112" s="26" t="s">
        <v>901</v>
      </c>
      <c r="F112" s="26" t="s">
        <v>1449</v>
      </c>
      <c r="G112" s="26" t="s">
        <v>978</v>
      </c>
      <c r="H112" s="33" t="str">
        <f>IF(E112="Não","Não aplicável",IFERROR(IF(B112="EU-ENV-002",IF(INDEX(tbl_recyclass[Conforme_PPWR_2030],MATCH(A112,tbl_recyclass[ProductId],0))="Sim","Conforme (autoavaliação)",IF(INDEX(tbl_recyclass[Conforme_PPWR_2030],MATCH(A112,tbl_recyclass[ProductId],0))="Não","Não conforme em 2030","Isento até 2035")),IF(B112="EU-ENV-003",IF(INDEX(tbl_recyclass[Conforme_Art7_2030],MATCH(A112,tbl_recyclass[ProductId],0))="Sim","Conforme (meta 2030)",IF(INDEX(tbl_recyclass[Conforme_Art7_2030],MATCH(A112,tbl_recyclass[ProductId],0))="Não","Lacuna face à meta 2030","Isento")),IF(B112="EU-ENV-011",IF(INDEX(tbl_familias_ppwr[Metais_Pesados_Evidencia],MATCH(INDEX(tbl_recyclass[Familia_PPWR],MATCH(A112,tbl_recyclass[ProductId],0)),tbl_familias_ppwr[ID_Familia],0))="Em falta","Lacuna","Conforme"),IF(B112="EU-ENV-013",IF(INDEX(tbl_familias_ppwr[Declaracao_UE],MATCH(INDEX(tbl_recyclass[Familia_PPWR],MATCH(A112,tbl_recyclass[ProductId],0)),tbl_familias_ppwr[ID_Familia],0))="Sim","Conforme","Lacuna"),G112)))),G112))</f>
        <v>Não conforme em 2030</v>
      </c>
      <c r="I112" s="33" t="str">
        <f t="shared" si="1"/>
        <v>Não conforme</v>
      </c>
      <c r="J112" s="26" t="s">
        <v>991</v>
      </c>
    </row>
    <row r="113" spans="1:10" ht="16.05" customHeight="1" x14ac:dyDescent="0.3">
      <c r="A113" s="26" t="s">
        <v>615</v>
      </c>
      <c r="B113" s="26" t="s">
        <v>997</v>
      </c>
      <c r="C113" s="33" t="str">
        <f>IFERROR(INDEX(tbl_requisitos_emb[Tema],MATCH(B113,tbl_requisitos_emb[ID_Req],0)),"")</f>
        <v>Conteúdo reciclado</v>
      </c>
      <c r="D113" s="33" t="str">
        <f>IFERROR(INDEX(tbl_recyclass[Segmento],MATCH(A113,tbl_recyclass[ProductId],0)),"")</f>
        <v>Cosmética e higiene pessoal</v>
      </c>
      <c r="E113" s="26" t="s">
        <v>901</v>
      </c>
      <c r="F113" s="26" t="s">
        <v>1449</v>
      </c>
      <c r="G113" s="26" t="s">
        <v>978</v>
      </c>
      <c r="H113" s="33" t="str">
        <f>IF(E113="Não","Não aplicável",IFERROR(IF(B113="EU-ENV-002",IF(INDEX(tbl_recyclass[Conforme_PPWR_2030],MATCH(A113,tbl_recyclass[ProductId],0))="Sim","Conforme (autoavaliação)",IF(INDEX(tbl_recyclass[Conforme_PPWR_2030],MATCH(A113,tbl_recyclass[ProductId],0))="Não","Não conforme em 2030","Isento até 2035")),IF(B113="EU-ENV-003",IF(INDEX(tbl_recyclass[Conforme_Art7_2030],MATCH(A113,tbl_recyclass[ProductId],0))="Sim","Conforme (meta 2030)",IF(INDEX(tbl_recyclass[Conforme_Art7_2030],MATCH(A113,tbl_recyclass[ProductId],0))="Não","Lacuna face à meta 2030","Isento")),IF(B113="EU-ENV-011",IF(INDEX(tbl_familias_ppwr[Metais_Pesados_Evidencia],MATCH(INDEX(tbl_recyclass[Familia_PPWR],MATCH(A113,tbl_recyclass[ProductId],0)),tbl_familias_ppwr[ID_Familia],0))="Em falta","Lacuna","Conforme"),IF(B113="EU-ENV-013",IF(INDEX(tbl_familias_ppwr[Declaracao_UE],MATCH(INDEX(tbl_recyclass[Familia_PPWR],MATCH(A113,tbl_recyclass[ProductId],0)),tbl_familias_ppwr[ID_Familia],0))="Sim","Conforme","Lacuna"),G113)))),G113))</f>
        <v>Lacuna face à meta 2030</v>
      </c>
      <c r="I113" s="33" t="str">
        <f t="shared" si="1"/>
        <v>Lacuna</v>
      </c>
      <c r="J113" s="26" t="s">
        <v>1001</v>
      </c>
    </row>
    <row r="114" spans="1:10" ht="16.05" customHeight="1" x14ac:dyDescent="0.3">
      <c r="A114" s="26" t="s">
        <v>615</v>
      </c>
      <c r="B114" s="26" t="s">
        <v>1007</v>
      </c>
      <c r="C114" s="33" t="str">
        <f>IFERROR(INDEX(tbl_requisitos_emb[Tema],MATCH(B114,tbl_requisitos_emb[ID_Req],0)),"")</f>
        <v>Minimização</v>
      </c>
      <c r="D114" s="33" t="str">
        <f>IFERROR(INDEX(tbl_recyclass[Segmento],MATCH(A114,tbl_recyclass[ProductId],0)),"")</f>
        <v>Cosmética e higiene pessoal</v>
      </c>
      <c r="E114" s="26" t="s">
        <v>901</v>
      </c>
      <c r="F114" s="26" t="s">
        <v>1449</v>
      </c>
      <c r="G114" s="26" t="s">
        <v>978</v>
      </c>
      <c r="H114" s="33" t="str">
        <f>IF(E114="Não","Não aplicável",IFERROR(IF(B114="EU-ENV-002",IF(INDEX(tbl_recyclass[Conforme_PPWR_2030],MATCH(A114,tbl_recyclass[ProductId],0))="Sim","Conforme (autoavaliação)",IF(INDEX(tbl_recyclass[Conforme_PPWR_2030],MATCH(A114,tbl_recyclass[ProductId],0))="Não","Não conforme em 2030","Isento até 2035")),IF(B114="EU-ENV-003",IF(INDEX(tbl_recyclass[Conforme_Art7_2030],MATCH(A114,tbl_recyclass[ProductId],0))="Sim","Conforme (meta 2030)",IF(INDEX(tbl_recyclass[Conforme_Art7_2030],MATCH(A114,tbl_recyclass[ProductId],0))="Não","Lacuna face à meta 2030","Isento")),IF(B114="EU-ENV-011",IF(INDEX(tbl_familias_ppwr[Metais_Pesados_Evidencia],MATCH(INDEX(tbl_recyclass[Familia_PPWR],MATCH(A114,tbl_recyclass[ProductId],0)),tbl_familias_ppwr[ID_Familia],0))="Em falta","Lacuna","Conforme"),IF(B114="EU-ENV-013",IF(INDEX(tbl_familias_ppwr[Declaracao_UE],MATCH(INDEX(tbl_recyclass[Familia_PPWR],MATCH(A114,tbl_recyclass[ProductId],0)),tbl_familias_ppwr[ID_Familia],0))="Sim","Conforme","Lacuna"),G114)))),G114))</f>
        <v>Parcial</v>
      </c>
      <c r="I114" s="33" t="str">
        <f t="shared" si="1"/>
        <v>Parcial</v>
      </c>
      <c r="J114" s="26" t="s">
        <v>1012</v>
      </c>
    </row>
    <row r="115" spans="1:10" ht="16.05" customHeight="1" x14ac:dyDescent="0.3">
      <c r="A115" s="26" t="s">
        <v>615</v>
      </c>
      <c r="B115" s="26" t="s">
        <v>1016</v>
      </c>
      <c r="C115" s="33" t="str">
        <f>IFERROR(INDEX(tbl_requisitos_emb[Tema],MATCH(B115,tbl_requisitos_emb[ID_Req],0)),"")</f>
        <v>Rotulagem</v>
      </c>
      <c r="D115" s="33" t="str">
        <f>IFERROR(INDEX(tbl_recyclass[Segmento],MATCH(A115,tbl_recyclass[ProductId],0)),"")</f>
        <v>Cosmética e higiene pessoal</v>
      </c>
      <c r="E115" s="26" t="s">
        <v>901</v>
      </c>
      <c r="F115" s="26" t="s">
        <v>1449</v>
      </c>
      <c r="G115" s="26" t="s">
        <v>990</v>
      </c>
      <c r="H115" s="33" t="str">
        <f>IF(E115="Não","Não aplicável",IFERROR(IF(B115="EU-ENV-002",IF(INDEX(tbl_recyclass[Conforme_PPWR_2030],MATCH(A115,tbl_recyclass[ProductId],0))="Sim","Conforme (autoavaliação)",IF(INDEX(tbl_recyclass[Conforme_PPWR_2030],MATCH(A115,tbl_recyclass[ProductId],0))="Não","Não conforme em 2030","Isento até 2035")),IF(B115="EU-ENV-003",IF(INDEX(tbl_recyclass[Conforme_Art7_2030],MATCH(A115,tbl_recyclass[ProductId],0))="Sim","Conforme (meta 2030)",IF(INDEX(tbl_recyclass[Conforme_Art7_2030],MATCH(A115,tbl_recyclass[ProductId],0))="Não","Lacuna face à meta 2030","Isento")),IF(B115="EU-ENV-011",IF(INDEX(tbl_familias_ppwr[Metais_Pesados_Evidencia],MATCH(INDEX(tbl_recyclass[Familia_PPWR],MATCH(A115,tbl_recyclass[ProductId],0)),tbl_familias_ppwr[ID_Familia],0))="Em falta","Lacuna","Conforme"),IF(B115="EU-ENV-013",IF(INDEX(tbl_familias_ppwr[Declaracao_UE],MATCH(INDEX(tbl_recyclass[Familia_PPWR],MATCH(A115,tbl_recyclass[ProductId],0)),tbl_familias_ppwr[ID_Familia],0))="Sim","Conforme","Lacuna"),G115)))),G115))</f>
        <v>Futuro</v>
      </c>
      <c r="I115" s="33" t="str">
        <f t="shared" si="1"/>
        <v>Futuro</v>
      </c>
      <c r="J115" s="26" t="s">
        <v>1021</v>
      </c>
    </row>
    <row r="116" spans="1:10" ht="16.05" customHeight="1" x14ac:dyDescent="0.3">
      <c r="A116" s="26" t="s">
        <v>615</v>
      </c>
      <c r="B116" s="26" t="s">
        <v>1038</v>
      </c>
      <c r="C116" s="33" t="str">
        <f>IFERROR(INDEX(tbl_requisitos_emb[Tema],MATCH(B116,tbl_requisitos_emb[ID_Req],0)),"")</f>
        <v>Plásticos de utilização única</v>
      </c>
      <c r="D116" s="33" t="str">
        <f>IFERROR(INDEX(tbl_recyclass[Segmento],MATCH(A116,tbl_recyclass[ProductId],0)),"")</f>
        <v>Cosmética e higiene pessoal</v>
      </c>
      <c r="E116" s="26" t="s">
        <v>904</v>
      </c>
      <c r="F116" s="26" t="s">
        <v>1450</v>
      </c>
      <c r="G116" s="26" t="s">
        <v>1143</v>
      </c>
      <c r="H116" s="33" t="str">
        <f>IF(E116="Não","Não aplicável",IFERROR(IF(B116="EU-ENV-002",IF(INDEX(tbl_recyclass[Conforme_PPWR_2030],MATCH(A116,tbl_recyclass[ProductId],0))="Sim","Conforme (autoavaliação)",IF(INDEX(tbl_recyclass[Conforme_PPWR_2030],MATCH(A116,tbl_recyclass[ProductId],0))="Não","Não conforme em 2030","Isento até 2035")),IF(B116="EU-ENV-003",IF(INDEX(tbl_recyclass[Conforme_Art7_2030],MATCH(A116,tbl_recyclass[ProductId],0))="Sim","Conforme (meta 2030)",IF(INDEX(tbl_recyclass[Conforme_Art7_2030],MATCH(A116,tbl_recyclass[ProductId],0))="Não","Lacuna face à meta 2030","Isento")),IF(B116="EU-ENV-011",IF(INDEX(tbl_familias_ppwr[Metais_Pesados_Evidencia],MATCH(INDEX(tbl_recyclass[Familia_PPWR],MATCH(A116,tbl_recyclass[ProductId],0)),tbl_familias_ppwr[ID_Familia],0))="Em falta","Lacuna","Conforme"),IF(B116="EU-ENV-013",IF(INDEX(tbl_familias_ppwr[Declaracao_UE],MATCH(INDEX(tbl_recyclass[Familia_PPWR],MATCH(A116,tbl_recyclass[ProductId],0)),tbl_familias_ppwr[ID_Familia],0))="Sim","Conforme","Lacuna"),G116)))),G116))</f>
        <v>Não aplicável</v>
      </c>
      <c r="I116" s="33" t="str">
        <f t="shared" si="1"/>
        <v>Não aplicável</v>
      </c>
      <c r="J116" s="26"/>
    </row>
    <row r="117" spans="1:10" ht="16.05" customHeight="1" x14ac:dyDescent="0.3">
      <c r="A117" s="26" t="s">
        <v>615</v>
      </c>
      <c r="B117" s="26" t="s">
        <v>1078</v>
      </c>
      <c r="C117" s="33" t="str">
        <f>IFERROR(INDEX(tbl_requisitos_emb[Tema],MATCH(B117,tbl_requisitos_emb[ID_Req],0)),"")</f>
        <v>Reciclado à escala</v>
      </c>
      <c r="D117" s="33" t="str">
        <f>IFERROR(INDEX(tbl_recyclass[Segmento],MATCH(A117,tbl_recyclass[ProductId],0)),"")</f>
        <v>Cosmética e higiene pessoal</v>
      </c>
      <c r="E117" s="26" t="s">
        <v>901</v>
      </c>
      <c r="F117" s="26" t="s">
        <v>1449</v>
      </c>
      <c r="G117" s="26" t="s">
        <v>990</v>
      </c>
      <c r="H117" s="33" t="str">
        <f>IF(E117="Não","Não aplicável",IFERROR(IF(B117="EU-ENV-002",IF(INDEX(tbl_recyclass[Conforme_PPWR_2030],MATCH(A117,tbl_recyclass[ProductId],0))="Sim","Conforme (autoavaliação)",IF(INDEX(tbl_recyclass[Conforme_PPWR_2030],MATCH(A117,tbl_recyclass[ProductId],0))="Não","Não conforme em 2030","Isento até 2035")),IF(B117="EU-ENV-003",IF(INDEX(tbl_recyclass[Conforme_Art7_2030],MATCH(A117,tbl_recyclass[ProductId],0))="Sim","Conforme (meta 2030)",IF(INDEX(tbl_recyclass[Conforme_Art7_2030],MATCH(A117,tbl_recyclass[ProductId],0))="Não","Lacuna face à meta 2030","Isento")),IF(B117="EU-ENV-011",IF(INDEX(tbl_familias_ppwr[Metais_Pesados_Evidencia],MATCH(INDEX(tbl_recyclass[Familia_PPWR],MATCH(A117,tbl_recyclass[ProductId],0)),tbl_familias_ppwr[ID_Familia],0))="Em falta","Lacuna","Conforme"),IF(B117="EU-ENV-013",IF(INDEX(tbl_familias_ppwr[Declaracao_UE],MATCH(INDEX(tbl_recyclass[Familia_PPWR],MATCH(A117,tbl_recyclass[ProductId],0)),tbl_familias_ppwr[ID_Familia],0))="Sim","Conforme","Lacuna"),G117)))),G117))</f>
        <v>Futuro</v>
      </c>
      <c r="I117" s="33" t="str">
        <f t="shared" si="1"/>
        <v>Futuro</v>
      </c>
      <c r="J117" s="26" t="s">
        <v>1082</v>
      </c>
    </row>
    <row r="118" spans="1:10" ht="16.05" customHeight="1" x14ac:dyDescent="0.3">
      <c r="A118" s="26" t="s">
        <v>615</v>
      </c>
      <c r="B118" s="26" t="s">
        <v>1086</v>
      </c>
      <c r="C118" s="33" t="str">
        <f>IFERROR(INDEX(tbl_requisitos_emb[Tema],MATCH(B118,tbl_requisitos_emb[ID_Req],0)),"")</f>
        <v>Metais pesados</v>
      </c>
      <c r="D118" s="33" t="str">
        <f>IFERROR(INDEX(tbl_recyclass[Segmento],MATCH(A118,tbl_recyclass[ProductId],0)),"")</f>
        <v>Cosmética e higiene pessoal</v>
      </c>
      <c r="E118" s="26" t="s">
        <v>901</v>
      </c>
      <c r="F118" s="26" t="s">
        <v>1449</v>
      </c>
      <c r="G118" s="26" t="s">
        <v>978</v>
      </c>
      <c r="H118" s="33" t="str">
        <f>IF(E118="Não","Não aplicável",IFERROR(IF(B118="EU-ENV-002",IF(INDEX(tbl_recyclass[Conforme_PPWR_2030],MATCH(A118,tbl_recyclass[ProductId],0))="Sim","Conforme (autoavaliação)",IF(INDEX(tbl_recyclass[Conforme_PPWR_2030],MATCH(A118,tbl_recyclass[ProductId],0))="Não","Não conforme em 2030","Isento até 2035")),IF(B118="EU-ENV-003",IF(INDEX(tbl_recyclass[Conforme_Art7_2030],MATCH(A118,tbl_recyclass[ProductId],0))="Sim","Conforme (meta 2030)",IF(INDEX(tbl_recyclass[Conforme_Art7_2030],MATCH(A118,tbl_recyclass[ProductId],0))="Não","Lacuna face à meta 2030","Isento")),IF(B118="EU-ENV-011",IF(INDEX(tbl_familias_ppwr[Metais_Pesados_Evidencia],MATCH(INDEX(tbl_recyclass[Familia_PPWR],MATCH(A118,tbl_recyclass[ProductId],0)),tbl_familias_ppwr[ID_Familia],0))="Em falta","Lacuna","Conforme"),IF(B118="EU-ENV-013",IF(INDEX(tbl_familias_ppwr[Declaracao_UE],MATCH(INDEX(tbl_recyclass[Familia_PPWR],MATCH(A118,tbl_recyclass[ProductId],0)),tbl_familias_ppwr[ID_Familia],0))="Sim","Conforme","Lacuna"),G118)))),G118))</f>
        <v>Lacuna</v>
      </c>
      <c r="I118" s="33" t="str">
        <f t="shared" si="1"/>
        <v>Lacuna</v>
      </c>
      <c r="J118" s="26" t="s">
        <v>1090</v>
      </c>
    </row>
    <row r="119" spans="1:10" ht="16.05" customHeight="1" x14ac:dyDescent="0.3">
      <c r="A119" s="26" t="s">
        <v>615</v>
      </c>
      <c r="B119" s="26" t="s">
        <v>1094</v>
      </c>
      <c r="C119" s="33" t="str">
        <f>IFERROR(INDEX(tbl_requisitos_emb[Tema],MATCH(B119,tbl_requisitos_emb[ID_Req],0)),"")</f>
        <v>PFAS</v>
      </c>
      <c r="D119" s="33" t="str">
        <f>IFERROR(INDEX(tbl_recyclass[Segmento],MATCH(A119,tbl_recyclass[ProductId],0)),"")</f>
        <v>Cosmética e higiene pessoal</v>
      </c>
      <c r="E119" s="26" t="s">
        <v>904</v>
      </c>
      <c r="F119" s="26" t="s">
        <v>1450</v>
      </c>
      <c r="G119" s="26" t="s">
        <v>1143</v>
      </c>
      <c r="H119" s="33" t="str">
        <f>IF(E119="Não","Não aplicável",IFERROR(IF(B119="EU-ENV-002",IF(INDEX(tbl_recyclass[Conforme_PPWR_2030],MATCH(A119,tbl_recyclass[ProductId],0))="Sim","Conforme (autoavaliação)",IF(INDEX(tbl_recyclass[Conforme_PPWR_2030],MATCH(A119,tbl_recyclass[ProductId],0))="Não","Não conforme em 2030","Isento até 2035")),IF(B119="EU-ENV-003",IF(INDEX(tbl_recyclass[Conforme_Art7_2030],MATCH(A119,tbl_recyclass[ProductId],0))="Sim","Conforme (meta 2030)",IF(INDEX(tbl_recyclass[Conforme_Art7_2030],MATCH(A119,tbl_recyclass[ProductId],0))="Não","Lacuna face à meta 2030","Isento")),IF(B119="EU-ENV-011",IF(INDEX(tbl_familias_ppwr[Metais_Pesados_Evidencia],MATCH(INDEX(tbl_recyclass[Familia_PPWR],MATCH(A119,tbl_recyclass[ProductId],0)),tbl_familias_ppwr[ID_Familia],0))="Em falta","Lacuna","Conforme"),IF(B119="EU-ENV-013",IF(INDEX(tbl_familias_ppwr[Declaracao_UE],MATCH(INDEX(tbl_recyclass[Familia_PPWR],MATCH(A119,tbl_recyclass[ProductId],0)),tbl_familias_ppwr[ID_Familia],0))="Sim","Conforme","Lacuna"),G119)))),G119))</f>
        <v>Não aplicável</v>
      </c>
      <c r="I119" s="33" t="str">
        <f t="shared" si="1"/>
        <v>Não aplicável</v>
      </c>
      <c r="J119" s="26"/>
    </row>
    <row r="120" spans="1:10" ht="16.05" customHeight="1" x14ac:dyDescent="0.3">
      <c r="A120" s="26" t="s">
        <v>615</v>
      </c>
      <c r="B120" s="26" t="s">
        <v>1102</v>
      </c>
      <c r="C120" s="33" t="str">
        <f>IFERROR(INDEX(tbl_requisitos_emb[Tema],MATCH(B120,tbl_requisitos_emb[ID_Req],0)),"")</f>
        <v>Documentação técnica e declaração UE</v>
      </c>
      <c r="D120" s="33" t="str">
        <f>IFERROR(INDEX(tbl_recyclass[Segmento],MATCH(A120,tbl_recyclass[ProductId],0)),"")</f>
        <v>Cosmética e higiene pessoal</v>
      </c>
      <c r="E120" s="26" t="s">
        <v>901</v>
      </c>
      <c r="F120" s="26" t="s">
        <v>1449</v>
      </c>
      <c r="G120" s="26" t="s">
        <v>978</v>
      </c>
      <c r="H120" s="33" t="str">
        <f>IF(E120="Não","Não aplicável",IFERROR(IF(B120="EU-ENV-002",IF(INDEX(tbl_recyclass[Conforme_PPWR_2030],MATCH(A120,tbl_recyclass[ProductId],0))="Sim","Conforme (autoavaliação)",IF(INDEX(tbl_recyclass[Conforme_PPWR_2030],MATCH(A120,tbl_recyclass[ProductId],0))="Não","Não conforme em 2030","Isento até 2035")),IF(B120="EU-ENV-003",IF(INDEX(tbl_recyclass[Conforme_Art7_2030],MATCH(A120,tbl_recyclass[ProductId],0))="Sim","Conforme (meta 2030)",IF(INDEX(tbl_recyclass[Conforme_Art7_2030],MATCH(A120,tbl_recyclass[ProductId],0))="Não","Lacuna face à meta 2030","Isento")),IF(B120="EU-ENV-011",IF(INDEX(tbl_familias_ppwr[Metais_Pesados_Evidencia],MATCH(INDEX(tbl_recyclass[Familia_PPWR],MATCH(A120,tbl_recyclass[ProductId],0)),tbl_familias_ppwr[ID_Familia],0))="Em falta","Lacuna","Conforme"),IF(B120="EU-ENV-013",IF(INDEX(tbl_familias_ppwr[Declaracao_UE],MATCH(INDEX(tbl_recyclass[Familia_PPWR],MATCH(A120,tbl_recyclass[ProductId],0)),tbl_familias_ppwr[ID_Familia],0))="Sim","Conforme","Lacuna"),G120)))),G120))</f>
        <v>Conforme</v>
      </c>
      <c r="I120" s="33" t="str">
        <f t="shared" si="1"/>
        <v>Conforme</v>
      </c>
      <c r="J120" s="26" t="s">
        <v>1106</v>
      </c>
    </row>
    <row r="121" spans="1:10" ht="16.05" customHeight="1" x14ac:dyDescent="0.3">
      <c r="A121" s="26" t="s">
        <v>615</v>
      </c>
      <c r="B121" s="26" t="s">
        <v>1161</v>
      </c>
      <c r="C121" s="33" t="str">
        <f>IFERROR(INDEX(tbl_requisitos_emb[Tema],MATCH(B121,tbl_requisitos_emb[ID_Req],0)),"")</f>
        <v>Materiais em contacto com alimentos</v>
      </c>
      <c r="D121" s="33" t="str">
        <f>IFERROR(INDEX(tbl_recyclass[Segmento],MATCH(A121,tbl_recyclass[ProductId],0)),"")</f>
        <v>Cosmética e higiene pessoal</v>
      </c>
      <c r="E121" s="26" t="s">
        <v>904</v>
      </c>
      <c r="F121" s="26" t="s">
        <v>1450</v>
      </c>
      <c r="G121" s="26" t="s">
        <v>1143</v>
      </c>
      <c r="H121" s="33" t="str">
        <f>IF(E121="Não","Não aplicável",IFERROR(IF(B121="EU-ENV-002",IF(INDEX(tbl_recyclass[Conforme_PPWR_2030],MATCH(A121,tbl_recyclass[ProductId],0))="Sim","Conforme (autoavaliação)",IF(INDEX(tbl_recyclass[Conforme_PPWR_2030],MATCH(A121,tbl_recyclass[ProductId],0))="Não","Não conforme em 2030","Isento até 2035")),IF(B121="EU-ENV-003",IF(INDEX(tbl_recyclass[Conforme_Art7_2030],MATCH(A121,tbl_recyclass[ProductId],0))="Sim","Conforme (meta 2030)",IF(INDEX(tbl_recyclass[Conforme_Art7_2030],MATCH(A121,tbl_recyclass[ProductId],0))="Não","Lacuna face à meta 2030","Isento")),IF(B121="EU-ENV-011",IF(INDEX(tbl_familias_ppwr[Metais_Pesados_Evidencia],MATCH(INDEX(tbl_recyclass[Familia_PPWR],MATCH(A121,tbl_recyclass[ProductId],0)),tbl_familias_ppwr[ID_Familia],0))="Em falta","Lacuna","Conforme"),IF(B121="EU-ENV-013",IF(INDEX(tbl_familias_ppwr[Declaracao_UE],MATCH(INDEX(tbl_recyclass[Familia_PPWR],MATCH(A121,tbl_recyclass[ProductId],0)),tbl_familias_ppwr[ID_Familia],0))="Sim","Conforme","Lacuna"),G121)))),G121))</f>
        <v>Não aplicável</v>
      </c>
      <c r="I121" s="33" t="str">
        <f t="shared" si="1"/>
        <v>Não aplicável</v>
      </c>
      <c r="J121" s="26"/>
    </row>
    <row r="122" spans="1:10" ht="16.05" customHeight="1" x14ac:dyDescent="0.3">
      <c r="A122" s="26" t="s">
        <v>615</v>
      </c>
      <c r="B122" s="26" t="s">
        <v>1170</v>
      </c>
      <c r="C122" s="33" t="str">
        <f>IFERROR(INDEX(tbl_requisitos_emb[Tema],MATCH(B122,tbl_requisitos_emb[ID_Req],0)),"")</f>
        <v>Boas práticas de fabrico FCM</v>
      </c>
      <c r="D122" s="33" t="str">
        <f>IFERROR(INDEX(tbl_recyclass[Segmento],MATCH(A122,tbl_recyclass[ProductId],0)),"")</f>
        <v>Cosmética e higiene pessoal</v>
      </c>
      <c r="E122" s="26" t="s">
        <v>904</v>
      </c>
      <c r="F122" s="26" t="s">
        <v>1450</v>
      </c>
      <c r="G122" s="26" t="s">
        <v>1143</v>
      </c>
      <c r="H122" s="33" t="str">
        <f>IF(E122="Não","Não aplicável",IFERROR(IF(B122="EU-ENV-002",IF(INDEX(tbl_recyclass[Conforme_PPWR_2030],MATCH(A122,tbl_recyclass[ProductId],0))="Sim","Conforme (autoavaliação)",IF(INDEX(tbl_recyclass[Conforme_PPWR_2030],MATCH(A122,tbl_recyclass[ProductId],0))="Não","Não conforme em 2030","Isento até 2035")),IF(B122="EU-ENV-003",IF(INDEX(tbl_recyclass[Conforme_Art7_2030],MATCH(A122,tbl_recyclass[ProductId],0))="Sim","Conforme (meta 2030)",IF(INDEX(tbl_recyclass[Conforme_Art7_2030],MATCH(A122,tbl_recyclass[ProductId],0))="Não","Lacuna face à meta 2030","Isento")),IF(B122="EU-ENV-011",IF(INDEX(tbl_familias_ppwr[Metais_Pesados_Evidencia],MATCH(INDEX(tbl_recyclass[Familia_PPWR],MATCH(A122,tbl_recyclass[ProductId],0)),tbl_familias_ppwr[ID_Familia],0))="Em falta","Lacuna","Conforme"),IF(B122="EU-ENV-013",IF(INDEX(tbl_familias_ppwr[Declaracao_UE],MATCH(INDEX(tbl_recyclass[Familia_PPWR],MATCH(A122,tbl_recyclass[ProductId],0)),tbl_familias_ppwr[ID_Familia],0))="Sim","Conforme","Lacuna"),G122)))),G122))</f>
        <v>Não aplicável</v>
      </c>
      <c r="I122" s="33" t="str">
        <f t="shared" si="1"/>
        <v>Não aplicável</v>
      </c>
      <c r="J122" s="26"/>
    </row>
    <row r="123" spans="1:10" ht="16.05" customHeight="1" x14ac:dyDescent="0.3">
      <c r="A123" s="26" t="s">
        <v>615</v>
      </c>
      <c r="B123" s="26" t="s">
        <v>1179</v>
      </c>
      <c r="C123" s="33" t="str">
        <f>IFERROR(INDEX(tbl_requisitos_emb[Tema],MATCH(B123,tbl_requisitos_emb[ID_Req],0)),"")</f>
        <v>Bisfenol A e bisfenóis perigosos</v>
      </c>
      <c r="D123" s="33" t="str">
        <f>IFERROR(INDEX(tbl_recyclass[Segmento],MATCH(A123,tbl_recyclass[ProductId],0)),"")</f>
        <v>Cosmética e higiene pessoal</v>
      </c>
      <c r="E123" s="26" t="s">
        <v>904</v>
      </c>
      <c r="F123" s="26" t="s">
        <v>1450</v>
      </c>
      <c r="G123" s="26" t="s">
        <v>1143</v>
      </c>
      <c r="H123" s="33" t="str">
        <f>IF(E123="Não","Não aplicável",IFERROR(IF(B123="EU-ENV-002",IF(INDEX(tbl_recyclass[Conforme_PPWR_2030],MATCH(A123,tbl_recyclass[ProductId],0))="Sim","Conforme (autoavaliação)",IF(INDEX(tbl_recyclass[Conforme_PPWR_2030],MATCH(A123,tbl_recyclass[ProductId],0))="Não","Não conforme em 2030","Isento até 2035")),IF(B123="EU-ENV-003",IF(INDEX(tbl_recyclass[Conforme_Art7_2030],MATCH(A123,tbl_recyclass[ProductId],0))="Sim","Conforme (meta 2030)",IF(INDEX(tbl_recyclass[Conforme_Art7_2030],MATCH(A123,tbl_recyclass[ProductId],0))="Não","Lacuna face à meta 2030","Isento")),IF(B123="EU-ENV-011",IF(INDEX(tbl_familias_ppwr[Metais_Pesados_Evidencia],MATCH(INDEX(tbl_recyclass[Familia_PPWR],MATCH(A123,tbl_recyclass[ProductId],0)),tbl_familias_ppwr[ID_Familia],0))="Em falta","Lacuna","Conforme"),IF(B123="EU-ENV-013",IF(INDEX(tbl_familias_ppwr[Declaracao_UE],MATCH(INDEX(tbl_recyclass[Familia_PPWR],MATCH(A123,tbl_recyclass[ProductId],0)),tbl_familias_ppwr[ID_Familia],0))="Sim","Conforme","Lacuna"),G123)))),G123))</f>
        <v>Não aplicável</v>
      </c>
      <c r="I123" s="33" t="str">
        <f t="shared" si="1"/>
        <v>Não aplicável</v>
      </c>
      <c r="J123" s="26"/>
    </row>
    <row r="124" spans="1:10" ht="16.05" customHeight="1" x14ac:dyDescent="0.3">
      <c r="A124" s="26" t="s">
        <v>615</v>
      </c>
      <c r="B124" s="26" t="s">
        <v>1188</v>
      </c>
      <c r="C124" s="33" t="str">
        <f>IFERROR(INDEX(tbl_requisitos_emb[Tema],MATCH(B124,tbl_requisitos_emb[ID_Req],0)),"")</f>
        <v>Plásticos em contacto com alimentos</v>
      </c>
      <c r="D124" s="33" t="str">
        <f>IFERROR(INDEX(tbl_recyclass[Segmento],MATCH(A124,tbl_recyclass[ProductId],0)),"")</f>
        <v>Cosmética e higiene pessoal</v>
      </c>
      <c r="E124" s="26" t="s">
        <v>904</v>
      </c>
      <c r="F124" s="26" t="s">
        <v>1450</v>
      </c>
      <c r="G124" s="26" t="s">
        <v>1143</v>
      </c>
      <c r="H124" s="33" t="str">
        <f>IF(E124="Não","Não aplicável",IFERROR(IF(B124="EU-ENV-002",IF(INDEX(tbl_recyclass[Conforme_PPWR_2030],MATCH(A124,tbl_recyclass[ProductId],0))="Sim","Conforme (autoavaliação)",IF(INDEX(tbl_recyclass[Conforme_PPWR_2030],MATCH(A124,tbl_recyclass[ProductId],0))="Não","Não conforme em 2030","Isento até 2035")),IF(B124="EU-ENV-003",IF(INDEX(tbl_recyclass[Conforme_Art7_2030],MATCH(A124,tbl_recyclass[ProductId],0))="Sim","Conforme (meta 2030)",IF(INDEX(tbl_recyclass[Conforme_Art7_2030],MATCH(A124,tbl_recyclass[ProductId],0))="Não","Lacuna face à meta 2030","Isento")),IF(B124="EU-ENV-011",IF(INDEX(tbl_familias_ppwr[Metais_Pesados_Evidencia],MATCH(INDEX(tbl_recyclass[Familia_PPWR],MATCH(A124,tbl_recyclass[ProductId],0)),tbl_familias_ppwr[ID_Familia],0))="Em falta","Lacuna","Conforme"),IF(B124="EU-ENV-013",IF(INDEX(tbl_familias_ppwr[Declaracao_UE],MATCH(INDEX(tbl_recyclass[Familia_PPWR],MATCH(A124,tbl_recyclass[ProductId],0)),tbl_familias_ppwr[ID_Familia],0))="Sim","Conforme","Lacuna"),G124)))),G124))</f>
        <v>Não aplicável</v>
      </c>
      <c r="I124" s="33" t="str">
        <f t="shared" si="1"/>
        <v>Não aplicável</v>
      </c>
      <c r="J124" s="26"/>
    </row>
    <row r="125" spans="1:10" ht="16.05" customHeight="1" x14ac:dyDescent="0.3">
      <c r="A125" s="26" t="s">
        <v>615</v>
      </c>
      <c r="B125" s="26" t="s">
        <v>1212</v>
      </c>
      <c r="C125" s="33" t="str">
        <f>IFERROR(INDEX(tbl_requisitos_emb[Tema],MATCH(B125,tbl_requisitos_emb[ID_Req],0)),"")</f>
        <v>Segurança do produto cosmético</v>
      </c>
      <c r="D125" s="33" t="str">
        <f>IFERROR(INDEX(tbl_recyclass[Segmento],MATCH(A125,tbl_recyclass[ProductId],0)),"")</f>
        <v>Cosmética e higiene pessoal</v>
      </c>
      <c r="E125" s="26" t="s">
        <v>901</v>
      </c>
      <c r="F125" s="26" t="s">
        <v>1449</v>
      </c>
      <c r="G125" s="26" t="s">
        <v>1033</v>
      </c>
      <c r="H125" s="33" t="str">
        <f>IF(E125="Não","Não aplicável",IFERROR(IF(B125="EU-ENV-002",IF(INDEX(tbl_recyclass[Conforme_PPWR_2030],MATCH(A125,tbl_recyclass[ProductId],0))="Sim","Conforme (autoavaliação)",IF(INDEX(tbl_recyclass[Conforme_PPWR_2030],MATCH(A125,tbl_recyclass[ProductId],0))="Não","Não conforme em 2030","Isento até 2035")),IF(B125="EU-ENV-003",IF(INDEX(tbl_recyclass[Conforme_Art7_2030],MATCH(A125,tbl_recyclass[ProductId],0))="Sim","Conforme (meta 2030)",IF(INDEX(tbl_recyclass[Conforme_Art7_2030],MATCH(A125,tbl_recyclass[ProductId],0))="Não","Lacuna face à meta 2030","Isento")),IF(B125="EU-ENV-011",IF(INDEX(tbl_familias_ppwr[Metais_Pesados_Evidencia],MATCH(INDEX(tbl_recyclass[Familia_PPWR],MATCH(A125,tbl_recyclass[ProductId],0)),tbl_familias_ppwr[ID_Familia],0))="Em falta","Lacuna","Conforme"),IF(B125="EU-ENV-013",IF(INDEX(tbl_familias_ppwr[Declaracao_UE],MATCH(INDEX(tbl_recyclass[Familia_PPWR],MATCH(A125,tbl_recyclass[ProductId],0)),tbl_familias_ppwr[ID_Familia],0))="Sim","Conforme","Lacuna"),G125)))),G125))</f>
        <v>Conforme</v>
      </c>
      <c r="I125" s="33" t="str">
        <f t="shared" si="1"/>
        <v>Conforme</v>
      </c>
      <c r="J125" s="26" t="s">
        <v>1221</v>
      </c>
    </row>
    <row r="126" spans="1:10" ht="16.05" customHeight="1" x14ac:dyDescent="0.3">
      <c r="A126" s="26" t="s">
        <v>615</v>
      </c>
      <c r="B126" s="26" t="s">
        <v>1224</v>
      </c>
      <c r="C126" s="33" t="str">
        <f>IFERROR(INDEX(tbl_requisitos_emb[Tema],MATCH(B126,tbl_requisitos_emb[ID_Req],0)),"")</f>
        <v>Materiais e impurezas</v>
      </c>
      <c r="D126" s="33" t="str">
        <f>IFERROR(INDEX(tbl_recyclass[Segmento],MATCH(A126,tbl_recyclass[ProductId],0)),"")</f>
        <v>Cosmética e higiene pessoal</v>
      </c>
      <c r="E126" s="26" t="s">
        <v>901</v>
      </c>
      <c r="F126" s="26" t="s">
        <v>1449</v>
      </c>
      <c r="G126" s="26" t="s">
        <v>978</v>
      </c>
      <c r="H126" s="33" t="str">
        <f>IF(E126="Não","Não aplicável",IFERROR(IF(B126="EU-ENV-002",IF(INDEX(tbl_recyclass[Conforme_PPWR_2030],MATCH(A126,tbl_recyclass[ProductId],0))="Sim","Conforme (autoavaliação)",IF(INDEX(tbl_recyclass[Conforme_PPWR_2030],MATCH(A126,tbl_recyclass[ProductId],0))="Não","Não conforme em 2030","Isento até 2035")),IF(B126="EU-ENV-003",IF(INDEX(tbl_recyclass[Conforme_Art7_2030],MATCH(A126,tbl_recyclass[ProductId],0))="Sim","Conforme (meta 2030)",IF(INDEX(tbl_recyclass[Conforme_Art7_2030],MATCH(A126,tbl_recyclass[ProductId],0))="Não","Lacuna face à meta 2030","Isento")),IF(B126="EU-ENV-011",IF(INDEX(tbl_familias_ppwr[Metais_Pesados_Evidencia],MATCH(INDEX(tbl_recyclass[Familia_PPWR],MATCH(A126,tbl_recyclass[ProductId],0)),tbl_familias_ppwr[ID_Familia],0))="Em falta","Lacuna","Conforme"),IF(B126="EU-ENV-013",IF(INDEX(tbl_familias_ppwr[Declaracao_UE],MATCH(INDEX(tbl_recyclass[Familia_PPWR],MATCH(A126,tbl_recyclass[ProductId],0)),tbl_familias_ppwr[ID_Familia],0))="Sim","Conforme","Lacuna"),G126)))),G126))</f>
        <v>Parcial</v>
      </c>
      <c r="I126" s="33" t="str">
        <f t="shared" si="1"/>
        <v>Parcial</v>
      </c>
      <c r="J126" s="26" t="s">
        <v>1228</v>
      </c>
    </row>
    <row r="127" spans="1:10" ht="16.05" customHeight="1" x14ac:dyDescent="0.3">
      <c r="A127" s="26" t="s">
        <v>615</v>
      </c>
      <c r="B127" s="26" t="s">
        <v>1240</v>
      </c>
      <c r="C127" s="33" t="str">
        <f>IFERROR(INDEX(tbl_requisitos_emb[Tema],MATCH(B127,tbl_requisitos_emb[ID_Req],0)),"")</f>
        <v>Compatibilidade embalagem–produto</v>
      </c>
      <c r="D127" s="33" t="str">
        <f>IFERROR(INDEX(tbl_recyclass[Segmento],MATCH(A127,tbl_recyclass[ProductId],0)),"")</f>
        <v>Cosmética e higiene pessoal</v>
      </c>
      <c r="E127" s="26" t="s">
        <v>901</v>
      </c>
      <c r="F127" s="26" t="s">
        <v>1449</v>
      </c>
      <c r="G127" s="26" t="s">
        <v>1033</v>
      </c>
      <c r="H127" s="33" t="str">
        <f>IF(E127="Não","Não aplicável",IFERROR(IF(B127="EU-ENV-002",IF(INDEX(tbl_recyclass[Conforme_PPWR_2030],MATCH(A127,tbl_recyclass[ProductId],0))="Sim","Conforme (autoavaliação)",IF(INDEX(tbl_recyclass[Conforme_PPWR_2030],MATCH(A127,tbl_recyclass[ProductId],0))="Não","Não conforme em 2030","Isento até 2035")),IF(B127="EU-ENV-003",IF(INDEX(tbl_recyclass[Conforme_Art7_2030],MATCH(A127,tbl_recyclass[ProductId],0))="Sim","Conforme (meta 2030)",IF(INDEX(tbl_recyclass[Conforme_Art7_2030],MATCH(A127,tbl_recyclass[ProductId],0))="Não","Lacuna face à meta 2030","Isento")),IF(B127="EU-ENV-011",IF(INDEX(tbl_familias_ppwr[Metais_Pesados_Evidencia],MATCH(INDEX(tbl_recyclass[Familia_PPWR],MATCH(A127,tbl_recyclass[ProductId],0)),tbl_familias_ppwr[ID_Familia],0))="Em falta","Lacuna","Conforme"),IF(B127="EU-ENV-013",IF(INDEX(tbl_familias_ppwr[Declaracao_UE],MATCH(INDEX(tbl_recyclass[Familia_PPWR],MATCH(A127,tbl_recyclass[ProductId],0)),tbl_familias_ppwr[ID_Familia],0))="Sim","Conforme","Lacuna"),G127)))),G127))</f>
        <v>Conforme</v>
      </c>
      <c r="I127" s="33" t="str">
        <f t="shared" si="1"/>
        <v>Conforme</v>
      </c>
      <c r="J127" s="26" t="s">
        <v>1244</v>
      </c>
    </row>
    <row r="128" spans="1:10" ht="16.05" customHeight="1" x14ac:dyDescent="0.3">
      <c r="A128" s="26" t="s">
        <v>615</v>
      </c>
      <c r="B128" s="26" t="s">
        <v>1252</v>
      </c>
      <c r="C128" s="33" t="str">
        <f>IFERROR(INDEX(tbl_requisitos_emb[Tema],MATCH(B128,tbl_requisitos_emb[ID_Req],0)),"")</f>
        <v>Medicamentos de uso humano</v>
      </c>
      <c r="D128" s="33" t="str">
        <f>IFERROR(INDEX(tbl_recyclass[Segmento],MATCH(A128,tbl_recyclass[ProductId],0)),"")</f>
        <v>Cosmética e higiene pessoal</v>
      </c>
      <c r="E128" s="26" t="s">
        <v>904</v>
      </c>
      <c r="F128" s="26" t="s">
        <v>1451</v>
      </c>
      <c r="G128" s="26" t="s">
        <v>1143</v>
      </c>
      <c r="H128" s="33" t="str">
        <f>IF(E128="Não","Não aplicável",IFERROR(IF(B128="EU-ENV-002",IF(INDEX(tbl_recyclass[Conforme_PPWR_2030],MATCH(A128,tbl_recyclass[ProductId],0))="Sim","Conforme (autoavaliação)",IF(INDEX(tbl_recyclass[Conforme_PPWR_2030],MATCH(A128,tbl_recyclass[ProductId],0))="Não","Não conforme em 2030","Isento até 2035")),IF(B128="EU-ENV-003",IF(INDEX(tbl_recyclass[Conforme_Art7_2030],MATCH(A128,tbl_recyclass[ProductId],0))="Sim","Conforme (meta 2030)",IF(INDEX(tbl_recyclass[Conforme_Art7_2030],MATCH(A128,tbl_recyclass[ProductId],0))="Não","Lacuna face à meta 2030","Isento")),IF(B128="EU-ENV-011",IF(INDEX(tbl_familias_ppwr[Metais_Pesados_Evidencia],MATCH(INDEX(tbl_recyclass[Familia_PPWR],MATCH(A128,tbl_recyclass[ProductId],0)),tbl_familias_ppwr[ID_Familia],0))="Em falta","Lacuna","Conforme"),IF(B128="EU-ENV-013",IF(INDEX(tbl_familias_ppwr[Declaracao_UE],MATCH(INDEX(tbl_recyclass[Familia_PPWR],MATCH(A128,tbl_recyclass[ProductId],0)),tbl_familias_ppwr[ID_Familia],0))="Sim","Conforme","Lacuna"),G128)))),G128))</f>
        <v>Não aplicável</v>
      </c>
      <c r="I128" s="33" t="str">
        <f t="shared" si="1"/>
        <v>Não aplicável</v>
      </c>
      <c r="J128" s="26"/>
    </row>
    <row r="129" spans="1:10" ht="16.05" customHeight="1" x14ac:dyDescent="0.3">
      <c r="A129" s="26" t="s">
        <v>615</v>
      </c>
      <c r="B129" s="26" t="s">
        <v>1268</v>
      </c>
      <c r="C129" s="33" t="str">
        <f>IFERROR(INDEX(tbl_requisitos_emb[Tema],MATCH(B129,tbl_requisitos_emb[ID_Req],0)),"")</f>
        <v>Dispositivos de segurança</v>
      </c>
      <c r="D129" s="33" t="str">
        <f>IFERROR(INDEX(tbl_recyclass[Segmento],MATCH(A129,tbl_recyclass[ProductId],0)),"")</f>
        <v>Cosmética e higiene pessoal</v>
      </c>
      <c r="E129" s="26" t="s">
        <v>904</v>
      </c>
      <c r="F129" s="26" t="s">
        <v>1451</v>
      </c>
      <c r="G129" s="26" t="s">
        <v>1143</v>
      </c>
      <c r="H129" s="33" t="str">
        <f>IF(E129="Não","Não aplicável",IFERROR(IF(B129="EU-ENV-002",IF(INDEX(tbl_recyclass[Conforme_PPWR_2030],MATCH(A129,tbl_recyclass[ProductId],0))="Sim","Conforme (autoavaliação)",IF(INDEX(tbl_recyclass[Conforme_PPWR_2030],MATCH(A129,tbl_recyclass[ProductId],0))="Não","Não conforme em 2030","Isento até 2035")),IF(B129="EU-ENV-003",IF(INDEX(tbl_recyclass[Conforme_Art7_2030],MATCH(A129,tbl_recyclass[ProductId],0))="Sim","Conforme (meta 2030)",IF(INDEX(tbl_recyclass[Conforme_Art7_2030],MATCH(A129,tbl_recyclass[ProductId],0))="Não","Lacuna face à meta 2030","Isento")),IF(B129="EU-ENV-011",IF(INDEX(tbl_familias_ppwr[Metais_Pesados_Evidencia],MATCH(INDEX(tbl_recyclass[Familia_PPWR],MATCH(A129,tbl_recyclass[ProductId],0)),tbl_familias_ppwr[ID_Familia],0))="Em falta","Lacuna","Conforme"),IF(B129="EU-ENV-013",IF(INDEX(tbl_familias_ppwr[Declaracao_UE],MATCH(INDEX(tbl_recyclass[Familia_PPWR],MATCH(A129,tbl_recyclass[ProductId],0)),tbl_familias_ppwr[ID_Familia],0))="Sim","Conforme","Lacuna"),G129)))),G129))</f>
        <v>Não aplicável</v>
      </c>
      <c r="I129" s="33" t="str">
        <f t="shared" si="1"/>
        <v>Não aplicável</v>
      </c>
      <c r="J129" s="26"/>
    </row>
    <row r="130" spans="1:10" ht="16.05" customHeight="1" x14ac:dyDescent="0.3">
      <c r="A130" s="26" t="s">
        <v>615</v>
      </c>
      <c r="B130" s="26" t="s">
        <v>1285</v>
      </c>
      <c r="C130" s="33" t="str">
        <f>IFERROR(INDEX(tbl_requisitos_emb[Tema],MATCH(B130,tbl_requisitos_emb[ID_Req],0)),"")</f>
        <v>Materiais plásticos de acondicionamento primário</v>
      </c>
      <c r="D130" s="33" t="str">
        <f>IFERROR(INDEX(tbl_recyclass[Segmento],MATCH(A130,tbl_recyclass[ProductId],0)),"")</f>
        <v>Cosmética e higiene pessoal</v>
      </c>
      <c r="E130" s="26" t="s">
        <v>904</v>
      </c>
      <c r="F130" s="26" t="s">
        <v>1451</v>
      </c>
      <c r="G130" s="26" t="s">
        <v>1143</v>
      </c>
      <c r="H130" s="33" t="str">
        <f>IF(E130="Não","Não aplicável",IFERROR(IF(B130="EU-ENV-002",IF(INDEX(tbl_recyclass[Conforme_PPWR_2030],MATCH(A130,tbl_recyclass[ProductId],0))="Sim","Conforme (autoavaliação)",IF(INDEX(tbl_recyclass[Conforme_PPWR_2030],MATCH(A130,tbl_recyclass[ProductId],0))="Não","Não conforme em 2030","Isento até 2035")),IF(B130="EU-ENV-003",IF(INDEX(tbl_recyclass[Conforme_Art7_2030],MATCH(A130,tbl_recyclass[ProductId],0))="Sim","Conforme (meta 2030)",IF(INDEX(tbl_recyclass[Conforme_Art7_2030],MATCH(A130,tbl_recyclass[ProductId],0))="Não","Lacuna face à meta 2030","Isento")),IF(B130="EU-ENV-011",IF(INDEX(tbl_familias_ppwr[Metais_Pesados_Evidencia],MATCH(INDEX(tbl_recyclass[Familia_PPWR],MATCH(A130,tbl_recyclass[ProductId],0)),tbl_familias_ppwr[ID_Familia],0))="Em falta","Lacuna","Conforme"),IF(B130="EU-ENV-013",IF(INDEX(tbl_familias_ppwr[Declaracao_UE],MATCH(INDEX(tbl_recyclass[Familia_PPWR],MATCH(A130,tbl_recyclass[ProductId],0)),tbl_familias_ppwr[ID_Familia],0))="Sim","Conforme","Lacuna"),G130)))),G130))</f>
        <v>Não aplicável</v>
      </c>
      <c r="I130" s="33" t="str">
        <f t="shared" ref="I130:I193" si="2">IF(ISNUMBER(SEARCH("Não aplicável",H130)),"Não aplicável",IF(ISNUMBER(SEARCH("Isento",H130)),"Isento",IF(ISNUMBER(SEARCH("Não conforme",H130)),"Não conforme",IF(ISNUMBER(SEARCH("Lacuna",H130)),"Lacuna",IF(ISNUMBER(SEARCH("Conforme",H130)),"Conforme",H130)))))</f>
        <v>Não aplicável</v>
      </c>
      <c r="J130" s="26"/>
    </row>
    <row r="131" spans="1:10" ht="16.05" customHeight="1" x14ac:dyDescent="0.3">
      <c r="A131" s="26" t="s">
        <v>615</v>
      </c>
      <c r="B131" s="26" t="s">
        <v>1293</v>
      </c>
      <c r="C131" s="33" t="str">
        <f>IFERROR(INDEX(tbl_requisitos_emb[Tema],MATCH(B131,tbl_requisitos_emb[ID_Req],0)),"")</f>
        <v>Isenções PPWR</v>
      </c>
      <c r="D131" s="33" t="str">
        <f>IFERROR(INDEX(tbl_recyclass[Segmento],MATCH(A131,tbl_recyclass[ProductId],0)),"")</f>
        <v>Cosmética e higiene pessoal</v>
      </c>
      <c r="E131" s="26" t="s">
        <v>904</v>
      </c>
      <c r="F131" s="26" t="s">
        <v>1451</v>
      </c>
      <c r="G131" s="26" t="s">
        <v>1143</v>
      </c>
      <c r="H131" s="33" t="str">
        <f>IF(E131="Não","Não aplicável",IFERROR(IF(B131="EU-ENV-002",IF(INDEX(tbl_recyclass[Conforme_PPWR_2030],MATCH(A131,tbl_recyclass[ProductId],0))="Sim","Conforme (autoavaliação)",IF(INDEX(tbl_recyclass[Conforme_PPWR_2030],MATCH(A131,tbl_recyclass[ProductId],0))="Não","Não conforme em 2030","Isento até 2035")),IF(B131="EU-ENV-003",IF(INDEX(tbl_recyclass[Conforme_Art7_2030],MATCH(A131,tbl_recyclass[ProductId],0))="Sim","Conforme (meta 2030)",IF(INDEX(tbl_recyclass[Conforme_Art7_2030],MATCH(A131,tbl_recyclass[ProductId],0))="Não","Lacuna face à meta 2030","Isento")),IF(B131="EU-ENV-011",IF(INDEX(tbl_familias_ppwr[Metais_Pesados_Evidencia],MATCH(INDEX(tbl_recyclass[Familia_PPWR],MATCH(A131,tbl_recyclass[ProductId],0)),tbl_familias_ppwr[ID_Familia],0))="Em falta","Lacuna","Conforme"),IF(B131="EU-ENV-013",IF(INDEX(tbl_familias_ppwr[Declaracao_UE],MATCH(INDEX(tbl_recyclass[Familia_PPWR],MATCH(A131,tbl_recyclass[ProductId],0)),tbl_familias_ppwr[ID_Familia],0))="Sim","Conforme","Lacuna"),G131)))),G131))</f>
        <v>Não aplicável</v>
      </c>
      <c r="I131" s="33" t="str">
        <f t="shared" si="2"/>
        <v>Não aplicável</v>
      </c>
      <c r="J131" s="26"/>
    </row>
    <row r="132" spans="1:10" ht="16.05" customHeight="1" x14ac:dyDescent="0.3">
      <c r="A132" s="26" t="s">
        <v>615</v>
      </c>
      <c r="B132" s="26" t="s">
        <v>1357</v>
      </c>
      <c r="C132" s="33" t="str">
        <f>IFERROR(INDEX(tbl_requisitos_emb[Tema],MATCH(B132,tbl_requisitos_emb[ID_Req],0)),"")</f>
        <v>Identificação de plásticos</v>
      </c>
      <c r="D132" s="33" t="str">
        <f>IFERROR(INDEX(tbl_recyclass[Segmento],MATCH(A132,tbl_recyclass[ProductId],0)),"")</f>
        <v>Cosmética e higiene pessoal</v>
      </c>
      <c r="E132" s="26" t="s">
        <v>901</v>
      </c>
      <c r="F132" s="26" t="s">
        <v>1449</v>
      </c>
      <c r="G132" s="26" t="s">
        <v>978</v>
      </c>
      <c r="H132" s="33" t="str">
        <f>IF(E132="Não","Não aplicável",IFERROR(IF(B132="EU-ENV-002",IF(INDEX(tbl_recyclass[Conforme_PPWR_2030],MATCH(A132,tbl_recyclass[ProductId],0))="Sim","Conforme (autoavaliação)",IF(INDEX(tbl_recyclass[Conforme_PPWR_2030],MATCH(A132,tbl_recyclass[ProductId],0))="Não","Não conforme em 2030","Isento até 2035")),IF(B132="EU-ENV-003",IF(INDEX(tbl_recyclass[Conforme_Art7_2030],MATCH(A132,tbl_recyclass[ProductId],0))="Sim","Conforme (meta 2030)",IF(INDEX(tbl_recyclass[Conforme_Art7_2030],MATCH(A132,tbl_recyclass[ProductId],0))="Não","Lacuna face à meta 2030","Isento")),IF(B132="EU-ENV-011",IF(INDEX(tbl_familias_ppwr[Metais_Pesados_Evidencia],MATCH(INDEX(tbl_recyclass[Familia_PPWR],MATCH(A132,tbl_recyclass[ProductId],0)),tbl_familias_ppwr[ID_Familia],0))="Em falta","Lacuna","Conforme"),IF(B132="EU-ENV-013",IF(INDEX(tbl_familias_ppwr[Declaracao_UE],MATCH(INDEX(tbl_recyclass[Familia_PPWR],MATCH(A132,tbl_recyclass[ProductId],0)),tbl_familias_ppwr[ID_Familia],0))="Sim","Conforme","Lacuna"),G132)))),G132))</f>
        <v>Parcial</v>
      </c>
      <c r="I132" s="33" t="str">
        <f t="shared" si="2"/>
        <v>Parcial</v>
      </c>
      <c r="J132" s="26" t="s">
        <v>1362</v>
      </c>
    </row>
    <row r="133" spans="1:10" ht="16.05" customHeight="1" x14ac:dyDescent="0.3">
      <c r="A133" s="26" t="s">
        <v>615</v>
      </c>
      <c r="B133" s="26" t="s">
        <v>1385</v>
      </c>
      <c r="C133" s="33" t="str">
        <f>IFERROR(INDEX(tbl_requisitos_emb[Tema],MATCH(B133,tbl_requisitos_emb[ID_Req],0)),"")</f>
        <v>Reciclabilidade (voluntária)</v>
      </c>
      <c r="D133" s="33" t="str">
        <f>IFERROR(INDEX(tbl_recyclass[Segmento],MATCH(A133,tbl_recyclass[ProductId],0)),"")</f>
        <v>Cosmética e higiene pessoal</v>
      </c>
      <c r="E133" s="26" t="s">
        <v>901</v>
      </c>
      <c r="F133" s="26" t="s">
        <v>1449</v>
      </c>
      <c r="G133" s="26" t="s">
        <v>978</v>
      </c>
      <c r="H133" s="33" t="str">
        <f>IF(E133="Não","Não aplicável",IFERROR(IF(B133="EU-ENV-002",IF(INDEX(tbl_recyclass[Conforme_PPWR_2030],MATCH(A133,tbl_recyclass[ProductId],0))="Sim","Conforme (autoavaliação)",IF(INDEX(tbl_recyclass[Conforme_PPWR_2030],MATCH(A133,tbl_recyclass[ProductId],0))="Não","Não conforme em 2030","Isento até 2035")),IF(B133="EU-ENV-003",IF(INDEX(tbl_recyclass[Conforme_Art7_2030],MATCH(A133,tbl_recyclass[ProductId],0))="Sim","Conforme (meta 2030)",IF(INDEX(tbl_recyclass[Conforme_Art7_2030],MATCH(A133,tbl_recyclass[ProductId],0))="Não","Lacuna face à meta 2030","Isento")),IF(B133="EU-ENV-011",IF(INDEX(tbl_familias_ppwr[Metais_Pesados_Evidencia],MATCH(INDEX(tbl_recyclass[Familia_PPWR],MATCH(A133,tbl_recyclass[ProductId],0)),tbl_familias_ppwr[ID_Familia],0))="Em falta","Lacuna","Conforme"),IF(B133="EU-ENV-013",IF(INDEX(tbl_familias_ppwr[Declaracao_UE],MATCH(INDEX(tbl_recyclass[Familia_PPWR],MATCH(A133,tbl_recyclass[ProductId],0)),tbl_familias_ppwr[ID_Familia],0))="Sim","Conforme","Lacuna"),G133)))),G133))</f>
        <v>Parcial</v>
      </c>
      <c r="I133" s="33" t="str">
        <f t="shared" si="2"/>
        <v>Parcial</v>
      </c>
      <c r="J133" s="26" t="s">
        <v>1389</v>
      </c>
    </row>
    <row r="134" spans="1:10" ht="16.05" customHeight="1" x14ac:dyDescent="0.3">
      <c r="A134" s="26" t="s">
        <v>617</v>
      </c>
      <c r="B134" s="26" t="s">
        <v>984</v>
      </c>
      <c r="C134" s="33" t="str">
        <f>IFERROR(INDEX(tbl_requisitos_emb[Tema],MATCH(B134,tbl_requisitos_emb[ID_Req],0)),"")</f>
        <v>Conceção para reciclagem</v>
      </c>
      <c r="D134" s="33" t="str">
        <f>IFERROR(INDEX(tbl_recyclass[Segmento],MATCH(A134,tbl_recyclass[ProductId],0)),"")</f>
        <v>Cosmética e higiene pessoal</v>
      </c>
      <c r="E134" s="26" t="s">
        <v>901</v>
      </c>
      <c r="F134" s="26" t="s">
        <v>1449</v>
      </c>
      <c r="G134" s="26" t="s">
        <v>978</v>
      </c>
      <c r="H134" s="33" t="str">
        <f>IF(E134="Não","Não aplicável",IFERROR(IF(B134="EU-ENV-002",IF(INDEX(tbl_recyclass[Conforme_PPWR_2030],MATCH(A134,tbl_recyclass[ProductId],0))="Sim","Conforme (autoavaliação)",IF(INDEX(tbl_recyclass[Conforme_PPWR_2030],MATCH(A134,tbl_recyclass[ProductId],0))="Não","Não conforme em 2030","Isento até 2035")),IF(B134="EU-ENV-003",IF(INDEX(tbl_recyclass[Conforme_Art7_2030],MATCH(A134,tbl_recyclass[ProductId],0))="Sim","Conforme (meta 2030)",IF(INDEX(tbl_recyclass[Conforme_Art7_2030],MATCH(A134,tbl_recyclass[ProductId],0))="Não","Lacuna face à meta 2030","Isento")),IF(B134="EU-ENV-011",IF(INDEX(tbl_familias_ppwr[Metais_Pesados_Evidencia],MATCH(INDEX(tbl_recyclass[Familia_PPWR],MATCH(A134,tbl_recyclass[ProductId],0)),tbl_familias_ppwr[ID_Familia],0))="Em falta","Lacuna","Conforme"),IF(B134="EU-ENV-013",IF(INDEX(tbl_familias_ppwr[Declaracao_UE],MATCH(INDEX(tbl_recyclass[Familia_PPWR],MATCH(A134,tbl_recyclass[ProductId],0)),tbl_familias_ppwr[ID_Familia],0))="Sim","Conforme","Lacuna"),G134)))),G134))</f>
        <v>Conforme (autoavaliação)</v>
      </c>
      <c r="I134" s="33" t="str">
        <f t="shared" si="2"/>
        <v>Conforme</v>
      </c>
      <c r="J134" s="26" t="s">
        <v>991</v>
      </c>
    </row>
    <row r="135" spans="1:10" ht="16.05" customHeight="1" x14ac:dyDescent="0.3">
      <c r="A135" s="26" t="s">
        <v>617</v>
      </c>
      <c r="B135" s="26" t="s">
        <v>997</v>
      </c>
      <c r="C135" s="33" t="str">
        <f>IFERROR(INDEX(tbl_requisitos_emb[Tema],MATCH(B135,tbl_requisitos_emb[ID_Req],0)),"")</f>
        <v>Conteúdo reciclado</v>
      </c>
      <c r="D135" s="33" t="str">
        <f>IFERROR(INDEX(tbl_recyclass[Segmento],MATCH(A135,tbl_recyclass[ProductId],0)),"")</f>
        <v>Cosmética e higiene pessoal</v>
      </c>
      <c r="E135" s="26" t="s">
        <v>901</v>
      </c>
      <c r="F135" s="26" t="s">
        <v>1449</v>
      </c>
      <c r="G135" s="26" t="s">
        <v>978</v>
      </c>
      <c r="H135" s="33" t="str">
        <f>IF(E135="Não","Não aplicável",IFERROR(IF(B135="EU-ENV-002",IF(INDEX(tbl_recyclass[Conforme_PPWR_2030],MATCH(A135,tbl_recyclass[ProductId],0))="Sim","Conforme (autoavaliação)",IF(INDEX(tbl_recyclass[Conforme_PPWR_2030],MATCH(A135,tbl_recyclass[ProductId],0))="Não","Não conforme em 2030","Isento até 2035")),IF(B135="EU-ENV-003",IF(INDEX(tbl_recyclass[Conforme_Art7_2030],MATCH(A135,tbl_recyclass[ProductId],0))="Sim","Conforme (meta 2030)",IF(INDEX(tbl_recyclass[Conforme_Art7_2030],MATCH(A135,tbl_recyclass[ProductId],0))="Não","Lacuna face à meta 2030","Isento")),IF(B135="EU-ENV-011",IF(INDEX(tbl_familias_ppwr[Metais_Pesados_Evidencia],MATCH(INDEX(tbl_recyclass[Familia_PPWR],MATCH(A135,tbl_recyclass[ProductId],0)),tbl_familias_ppwr[ID_Familia],0))="Em falta","Lacuna","Conforme"),IF(B135="EU-ENV-013",IF(INDEX(tbl_familias_ppwr[Declaracao_UE],MATCH(INDEX(tbl_recyclass[Familia_PPWR],MATCH(A135,tbl_recyclass[ProductId],0)),tbl_familias_ppwr[ID_Familia],0))="Sim","Conforme","Lacuna"),G135)))),G135))</f>
        <v>Lacuna face à meta 2030</v>
      </c>
      <c r="I135" s="33" t="str">
        <f t="shared" si="2"/>
        <v>Lacuna</v>
      </c>
      <c r="J135" s="26" t="s">
        <v>1001</v>
      </c>
    </row>
    <row r="136" spans="1:10" ht="16.05" customHeight="1" x14ac:dyDescent="0.3">
      <c r="A136" s="26" t="s">
        <v>617</v>
      </c>
      <c r="B136" s="26" t="s">
        <v>1007</v>
      </c>
      <c r="C136" s="33" t="str">
        <f>IFERROR(INDEX(tbl_requisitos_emb[Tema],MATCH(B136,tbl_requisitos_emb[ID_Req],0)),"")</f>
        <v>Minimização</v>
      </c>
      <c r="D136" s="33" t="str">
        <f>IFERROR(INDEX(tbl_recyclass[Segmento],MATCH(A136,tbl_recyclass[ProductId],0)),"")</f>
        <v>Cosmética e higiene pessoal</v>
      </c>
      <c r="E136" s="26" t="s">
        <v>901</v>
      </c>
      <c r="F136" s="26" t="s">
        <v>1449</v>
      </c>
      <c r="G136" s="26" t="s">
        <v>978</v>
      </c>
      <c r="H136" s="33" t="str">
        <f>IF(E136="Não","Não aplicável",IFERROR(IF(B136="EU-ENV-002",IF(INDEX(tbl_recyclass[Conforme_PPWR_2030],MATCH(A136,tbl_recyclass[ProductId],0))="Sim","Conforme (autoavaliação)",IF(INDEX(tbl_recyclass[Conforme_PPWR_2030],MATCH(A136,tbl_recyclass[ProductId],0))="Não","Não conforme em 2030","Isento até 2035")),IF(B136="EU-ENV-003",IF(INDEX(tbl_recyclass[Conforme_Art7_2030],MATCH(A136,tbl_recyclass[ProductId],0))="Sim","Conforme (meta 2030)",IF(INDEX(tbl_recyclass[Conforme_Art7_2030],MATCH(A136,tbl_recyclass[ProductId],0))="Não","Lacuna face à meta 2030","Isento")),IF(B136="EU-ENV-011",IF(INDEX(tbl_familias_ppwr[Metais_Pesados_Evidencia],MATCH(INDEX(tbl_recyclass[Familia_PPWR],MATCH(A136,tbl_recyclass[ProductId],0)),tbl_familias_ppwr[ID_Familia],0))="Em falta","Lacuna","Conforme"),IF(B136="EU-ENV-013",IF(INDEX(tbl_familias_ppwr[Declaracao_UE],MATCH(INDEX(tbl_recyclass[Familia_PPWR],MATCH(A136,tbl_recyclass[ProductId],0)),tbl_familias_ppwr[ID_Familia],0))="Sim","Conforme","Lacuna"),G136)))),G136))</f>
        <v>Parcial</v>
      </c>
      <c r="I136" s="33" t="str">
        <f t="shared" si="2"/>
        <v>Parcial</v>
      </c>
      <c r="J136" s="26" t="s">
        <v>1012</v>
      </c>
    </row>
    <row r="137" spans="1:10" ht="16.05" customHeight="1" x14ac:dyDescent="0.3">
      <c r="A137" s="26" t="s">
        <v>617</v>
      </c>
      <c r="B137" s="26" t="s">
        <v>1016</v>
      </c>
      <c r="C137" s="33" t="str">
        <f>IFERROR(INDEX(tbl_requisitos_emb[Tema],MATCH(B137,tbl_requisitos_emb[ID_Req],0)),"")</f>
        <v>Rotulagem</v>
      </c>
      <c r="D137" s="33" t="str">
        <f>IFERROR(INDEX(tbl_recyclass[Segmento],MATCH(A137,tbl_recyclass[ProductId],0)),"")</f>
        <v>Cosmética e higiene pessoal</v>
      </c>
      <c r="E137" s="26" t="s">
        <v>901</v>
      </c>
      <c r="F137" s="26" t="s">
        <v>1449</v>
      </c>
      <c r="G137" s="26" t="s">
        <v>990</v>
      </c>
      <c r="H137" s="33" t="str">
        <f>IF(E137="Não","Não aplicável",IFERROR(IF(B137="EU-ENV-002",IF(INDEX(tbl_recyclass[Conforme_PPWR_2030],MATCH(A137,tbl_recyclass[ProductId],0))="Sim","Conforme (autoavaliação)",IF(INDEX(tbl_recyclass[Conforme_PPWR_2030],MATCH(A137,tbl_recyclass[ProductId],0))="Não","Não conforme em 2030","Isento até 2035")),IF(B137="EU-ENV-003",IF(INDEX(tbl_recyclass[Conforme_Art7_2030],MATCH(A137,tbl_recyclass[ProductId],0))="Sim","Conforme (meta 2030)",IF(INDEX(tbl_recyclass[Conforme_Art7_2030],MATCH(A137,tbl_recyclass[ProductId],0))="Não","Lacuna face à meta 2030","Isento")),IF(B137="EU-ENV-011",IF(INDEX(tbl_familias_ppwr[Metais_Pesados_Evidencia],MATCH(INDEX(tbl_recyclass[Familia_PPWR],MATCH(A137,tbl_recyclass[ProductId],0)),tbl_familias_ppwr[ID_Familia],0))="Em falta","Lacuna","Conforme"),IF(B137="EU-ENV-013",IF(INDEX(tbl_familias_ppwr[Declaracao_UE],MATCH(INDEX(tbl_recyclass[Familia_PPWR],MATCH(A137,tbl_recyclass[ProductId],0)),tbl_familias_ppwr[ID_Familia],0))="Sim","Conforme","Lacuna"),G137)))),G137))</f>
        <v>Futuro</v>
      </c>
      <c r="I137" s="33" t="str">
        <f t="shared" si="2"/>
        <v>Futuro</v>
      </c>
      <c r="J137" s="26" t="s">
        <v>1021</v>
      </c>
    </row>
    <row r="138" spans="1:10" ht="16.05" customHeight="1" x14ac:dyDescent="0.3">
      <c r="A138" s="26" t="s">
        <v>617</v>
      </c>
      <c r="B138" s="26" t="s">
        <v>1038</v>
      </c>
      <c r="C138" s="33" t="str">
        <f>IFERROR(INDEX(tbl_requisitos_emb[Tema],MATCH(B138,tbl_requisitos_emb[ID_Req],0)),"")</f>
        <v>Plásticos de utilização única</v>
      </c>
      <c r="D138" s="33" t="str">
        <f>IFERROR(INDEX(tbl_recyclass[Segmento],MATCH(A138,tbl_recyclass[ProductId],0)),"")</f>
        <v>Cosmética e higiene pessoal</v>
      </c>
      <c r="E138" s="26" t="s">
        <v>904</v>
      </c>
      <c r="F138" s="26" t="s">
        <v>1450</v>
      </c>
      <c r="G138" s="26" t="s">
        <v>1143</v>
      </c>
      <c r="H138" s="33" t="str">
        <f>IF(E138="Não","Não aplicável",IFERROR(IF(B138="EU-ENV-002",IF(INDEX(tbl_recyclass[Conforme_PPWR_2030],MATCH(A138,tbl_recyclass[ProductId],0))="Sim","Conforme (autoavaliação)",IF(INDEX(tbl_recyclass[Conforme_PPWR_2030],MATCH(A138,tbl_recyclass[ProductId],0))="Não","Não conforme em 2030","Isento até 2035")),IF(B138="EU-ENV-003",IF(INDEX(tbl_recyclass[Conforme_Art7_2030],MATCH(A138,tbl_recyclass[ProductId],0))="Sim","Conforme (meta 2030)",IF(INDEX(tbl_recyclass[Conforme_Art7_2030],MATCH(A138,tbl_recyclass[ProductId],0))="Não","Lacuna face à meta 2030","Isento")),IF(B138="EU-ENV-011",IF(INDEX(tbl_familias_ppwr[Metais_Pesados_Evidencia],MATCH(INDEX(tbl_recyclass[Familia_PPWR],MATCH(A138,tbl_recyclass[ProductId],0)),tbl_familias_ppwr[ID_Familia],0))="Em falta","Lacuna","Conforme"),IF(B138="EU-ENV-013",IF(INDEX(tbl_familias_ppwr[Declaracao_UE],MATCH(INDEX(tbl_recyclass[Familia_PPWR],MATCH(A138,tbl_recyclass[ProductId],0)),tbl_familias_ppwr[ID_Familia],0))="Sim","Conforme","Lacuna"),G138)))),G138))</f>
        <v>Não aplicável</v>
      </c>
      <c r="I138" s="33" t="str">
        <f t="shared" si="2"/>
        <v>Não aplicável</v>
      </c>
      <c r="J138" s="26"/>
    </row>
    <row r="139" spans="1:10" ht="16.05" customHeight="1" x14ac:dyDescent="0.3">
      <c r="A139" s="26" t="s">
        <v>617</v>
      </c>
      <c r="B139" s="26" t="s">
        <v>1078</v>
      </c>
      <c r="C139" s="33" t="str">
        <f>IFERROR(INDEX(tbl_requisitos_emb[Tema],MATCH(B139,tbl_requisitos_emb[ID_Req],0)),"")</f>
        <v>Reciclado à escala</v>
      </c>
      <c r="D139" s="33" t="str">
        <f>IFERROR(INDEX(tbl_recyclass[Segmento],MATCH(A139,tbl_recyclass[ProductId],0)),"")</f>
        <v>Cosmética e higiene pessoal</v>
      </c>
      <c r="E139" s="26" t="s">
        <v>901</v>
      </c>
      <c r="F139" s="26" t="s">
        <v>1449</v>
      </c>
      <c r="G139" s="26" t="s">
        <v>990</v>
      </c>
      <c r="H139" s="33" t="str">
        <f>IF(E139="Não","Não aplicável",IFERROR(IF(B139="EU-ENV-002",IF(INDEX(tbl_recyclass[Conforme_PPWR_2030],MATCH(A139,tbl_recyclass[ProductId],0))="Sim","Conforme (autoavaliação)",IF(INDEX(tbl_recyclass[Conforme_PPWR_2030],MATCH(A139,tbl_recyclass[ProductId],0))="Não","Não conforme em 2030","Isento até 2035")),IF(B139="EU-ENV-003",IF(INDEX(tbl_recyclass[Conforme_Art7_2030],MATCH(A139,tbl_recyclass[ProductId],0))="Sim","Conforme (meta 2030)",IF(INDEX(tbl_recyclass[Conforme_Art7_2030],MATCH(A139,tbl_recyclass[ProductId],0))="Não","Lacuna face à meta 2030","Isento")),IF(B139="EU-ENV-011",IF(INDEX(tbl_familias_ppwr[Metais_Pesados_Evidencia],MATCH(INDEX(tbl_recyclass[Familia_PPWR],MATCH(A139,tbl_recyclass[ProductId],0)),tbl_familias_ppwr[ID_Familia],0))="Em falta","Lacuna","Conforme"),IF(B139="EU-ENV-013",IF(INDEX(tbl_familias_ppwr[Declaracao_UE],MATCH(INDEX(tbl_recyclass[Familia_PPWR],MATCH(A139,tbl_recyclass[ProductId],0)),tbl_familias_ppwr[ID_Familia],0))="Sim","Conforme","Lacuna"),G139)))),G139))</f>
        <v>Futuro</v>
      </c>
      <c r="I139" s="33" t="str">
        <f t="shared" si="2"/>
        <v>Futuro</v>
      </c>
      <c r="J139" s="26" t="s">
        <v>1082</v>
      </c>
    </row>
    <row r="140" spans="1:10" ht="16.05" customHeight="1" x14ac:dyDescent="0.3">
      <c r="A140" s="26" t="s">
        <v>617</v>
      </c>
      <c r="B140" s="26" t="s">
        <v>1086</v>
      </c>
      <c r="C140" s="33" t="str">
        <f>IFERROR(INDEX(tbl_requisitos_emb[Tema],MATCH(B140,tbl_requisitos_emb[ID_Req],0)),"")</f>
        <v>Metais pesados</v>
      </c>
      <c r="D140" s="33" t="str">
        <f>IFERROR(INDEX(tbl_recyclass[Segmento],MATCH(A140,tbl_recyclass[ProductId],0)),"")</f>
        <v>Cosmética e higiene pessoal</v>
      </c>
      <c r="E140" s="26" t="s">
        <v>901</v>
      </c>
      <c r="F140" s="26" t="s">
        <v>1449</v>
      </c>
      <c r="G140" s="26" t="s">
        <v>978</v>
      </c>
      <c r="H140" s="33" t="str">
        <f>IF(E140="Não","Não aplicável",IFERROR(IF(B140="EU-ENV-002",IF(INDEX(tbl_recyclass[Conforme_PPWR_2030],MATCH(A140,tbl_recyclass[ProductId],0))="Sim","Conforme (autoavaliação)",IF(INDEX(tbl_recyclass[Conforme_PPWR_2030],MATCH(A140,tbl_recyclass[ProductId],0))="Não","Não conforme em 2030","Isento até 2035")),IF(B140="EU-ENV-003",IF(INDEX(tbl_recyclass[Conforme_Art7_2030],MATCH(A140,tbl_recyclass[ProductId],0))="Sim","Conforme (meta 2030)",IF(INDEX(tbl_recyclass[Conforme_Art7_2030],MATCH(A140,tbl_recyclass[ProductId],0))="Não","Lacuna face à meta 2030","Isento")),IF(B140="EU-ENV-011",IF(INDEX(tbl_familias_ppwr[Metais_Pesados_Evidencia],MATCH(INDEX(tbl_recyclass[Familia_PPWR],MATCH(A140,tbl_recyclass[ProductId],0)),tbl_familias_ppwr[ID_Familia],0))="Em falta","Lacuna","Conforme"),IF(B140="EU-ENV-013",IF(INDEX(tbl_familias_ppwr[Declaracao_UE],MATCH(INDEX(tbl_recyclass[Familia_PPWR],MATCH(A140,tbl_recyclass[ProductId],0)),tbl_familias_ppwr[ID_Familia],0))="Sim","Conforme","Lacuna"),G140)))),G140))</f>
        <v>Conforme</v>
      </c>
      <c r="I140" s="33" t="str">
        <f t="shared" si="2"/>
        <v>Conforme</v>
      </c>
      <c r="J140" s="26" t="s">
        <v>1090</v>
      </c>
    </row>
    <row r="141" spans="1:10" ht="16.05" customHeight="1" x14ac:dyDescent="0.3">
      <c r="A141" s="26" t="s">
        <v>617</v>
      </c>
      <c r="B141" s="26" t="s">
        <v>1094</v>
      </c>
      <c r="C141" s="33" t="str">
        <f>IFERROR(INDEX(tbl_requisitos_emb[Tema],MATCH(B141,tbl_requisitos_emb[ID_Req],0)),"")</f>
        <v>PFAS</v>
      </c>
      <c r="D141" s="33" t="str">
        <f>IFERROR(INDEX(tbl_recyclass[Segmento],MATCH(A141,tbl_recyclass[ProductId],0)),"")</f>
        <v>Cosmética e higiene pessoal</v>
      </c>
      <c r="E141" s="26" t="s">
        <v>904</v>
      </c>
      <c r="F141" s="26" t="s">
        <v>1450</v>
      </c>
      <c r="G141" s="26" t="s">
        <v>1143</v>
      </c>
      <c r="H141" s="33" t="str">
        <f>IF(E141="Não","Não aplicável",IFERROR(IF(B141="EU-ENV-002",IF(INDEX(tbl_recyclass[Conforme_PPWR_2030],MATCH(A141,tbl_recyclass[ProductId],0))="Sim","Conforme (autoavaliação)",IF(INDEX(tbl_recyclass[Conforme_PPWR_2030],MATCH(A141,tbl_recyclass[ProductId],0))="Não","Não conforme em 2030","Isento até 2035")),IF(B141="EU-ENV-003",IF(INDEX(tbl_recyclass[Conforme_Art7_2030],MATCH(A141,tbl_recyclass[ProductId],0))="Sim","Conforme (meta 2030)",IF(INDEX(tbl_recyclass[Conforme_Art7_2030],MATCH(A141,tbl_recyclass[ProductId],0))="Não","Lacuna face à meta 2030","Isento")),IF(B141="EU-ENV-011",IF(INDEX(tbl_familias_ppwr[Metais_Pesados_Evidencia],MATCH(INDEX(tbl_recyclass[Familia_PPWR],MATCH(A141,tbl_recyclass[ProductId],0)),tbl_familias_ppwr[ID_Familia],0))="Em falta","Lacuna","Conforme"),IF(B141="EU-ENV-013",IF(INDEX(tbl_familias_ppwr[Declaracao_UE],MATCH(INDEX(tbl_recyclass[Familia_PPWR],MATCH(A141,tbl_recyclass[ProductId],0)),tbl_familias_ppwr[ID_Familia],0))="Sim","Conforme","Lacuna"),G141)))),G141))</f>
        <v>Não aplicável</v>
      </c>
      <c r="I141" s="33" t="str">
        <f t="shared" si="2"/>
        <v>Não aplicável</v>
      </c>
      <c r="J141" s="26"/>
    </row>
    <row r="142" spans="1:10" ht="16.05" customHeight="1" x14ac:dyDescent="0.3">
      <c r="A142" s="26" t="s">
        <v>617</v>
      </c>
      <c r="B142" s="26" t="s">
        <v>1102</v>
      </c>
      <c r="C142" s="33" t="str">
        <f>IFERROR(INDEX(tbl_requisitos_emb[Tema],MATCH(B142,tbl_requisitos_emb[ID_Req],0)),"")</f>
        <v>Documentação técnica e declaração UE</v>
      </c>
      <c r="D142" s="33" t="str">
        <f>IFERROR(INDEX(tbl_recyclass[Segmento],MATCH(A142,tbl_recyclass[ProductId],0)),"")</f>
        <v>Cosmética e higiene pessoal</v>
      </c>
      <c r="E142" s="26" t="s">
        <v>901</v>
      </c>
      <c r="F142" s="26" t="s">
        <v>1449</v>
      </c>
      <c r="G142" s="26" t="s">
        <v>978</v>
      </c>
      <c r="H142" s="33" t="str">
        <f>IF(E142="Não","Não aplicável",IFERROR(IF(B142="EU-ENV-002",IF(INDEX(tbl_recyclass[Conforme_PPWR_2030],MATCH(A142,tbl_recyclass[ProductId],0))="Sim","Conforme (autoavaliação)",IF(INDEX(tbl_recyclass[Conforme_PPWR_2030],MATCH(A142,tbl_recyclass[ProductId],0))="Não","Não conforme em 2030","Isento até 2035")),IF(B142="EU-ENV-003",IF(INDEX(tbl_recyclass[Conforme_Art7_2030],MATCH(A142,tbl_recyclass[ProductId],0))="Sim","Conforme (meta 2030)",IF(INDEX(tbl_recyclass[Conforme_Art7_2030],MATCH(A142,tbl_recyclass[ProductId],0))="Não","Lacuna face à meta 2030","Isento")),IF(B142="EU-ENV-011",IF(INDEX(tbl_familias_ppwr[Metais_Pesados_Evidencia],MATCH(INDEX(tbl_recyclass[Familia_PPWR],MATCH(A142,tbl_recyclass[ProductId],0)),tbl_familias_ppwr[ID_Familia],0))="Em falta","Lacuna","Conforme"),IF(B142="EU-ENV-013",IF(INDEX(tbl_familias_ppwr[Declaracao_UE],MATCH(INDEX(tbl_recyclass[Familia_PPWR],MATCH(A142,tbl_recyclass[ProductId],0)),tbl_familias_ppwr[ID_Familia],0))="Sim","Conforme","Lacuna"),G142)))),G142))</f>
        <v>Conforme</v>
      </c>
      <c r="I142" s="33" t="str">
        <f t="shared" si="2"/>
        <v>Conforme</v>
      </c>
      <c r="J142" s="26" t="s">
        <v>1106</v>
      </c>
    </row>
    <row r="143" spans="1:10" ht="16.05" customHeight="1" x14ac:dyDescent="0.3">
      <c r="A143" s="26" t="s">
        <v>617</v>
      </c>
      <c r="B143" s="26" t="s">
        <v>1161</v>
      </c>
      <c r="C143" s="33" t="str">
        <f>IFERROR(INDEX(tbl_requisitos_emb[Tema],MATCH(B143,tbl_requisitos_emb[ID_Req],0)),"")</f>
        <v>Materiais em contacto com alimentos</v>
      </c>
      <c r="D143" s="33" t="str">
        <f>IFERROR(INDEX(tbl_recyclass[Segmento],MATCH(A143,tbl_recyclass[ProductId],0)),"")</f>
        <v>Cosmética e higiene pessoal</v>
      </c>
      <c r="E143" s="26" t="s">
        <v>904</v>
      </c>
      <c r="F143" s="26" t="s">
        <v>1450</v>
      </c>
      <c r="G143" s="26" t="s">
        <v>1143</v>
      </c>
      <c r="H143" s="33" t="str">
        <f>IF(E143="Não","Não aplicável",IFERROR(IF(B143="EU-ENV-002",IF(INDEX(tbl_recyclass[Conforme_PPWR_2030],MATCH(A143,tbl_recyclass[ProductId],0))="Sim","Conforme (autoavaliação)",IF(INDEX(tbl_recyclass[Conforme_PPWR_2030],MATCH(A143,tbl_recyclass[ProductId],0))="Não","Não conforme em 2030","Isento até 2035")),IF(B143="EU-ENV-003",IF(INDEX(tbl_recyclass[Conforme_Art7_2030],MATCH(A143,tbl_recyclass[ProductId],0))="Sim","Conforme (meta 2030)",IF(INDEX(tbl_recyclass[Conforme_Art7_2030],MATCH(A143,tbl_recyclass[ProductId],0))="Não","Lacuna face à meta 2030","Isento")),IF(B143="EU-ENV-011",IF(INDEX(tbl_familias_ppwr[Metais_Pesados_Evidencia],MATCH(INDEX(tbl_recyclass[Familia_PPWR],MATCH(A143,tbl_recyclass[ProductId],0)),tbl_familias_ppwr[ID_Familia],0))="Em falta","Lacuna","Conforme"),IF(B143="EU-ENV-013",IF(INDEX(tbl_familias_ppwr[Declaracao_UE],MATCH(INDEX(tbl_recyclass[Familia_PPWR],MATCH(A143,tbl_recyclass[ProductId],0)),tbl_familias_ppwr[ID_Familia],0))="Sim","Conforme","Lacuna"),G143)))),G143))</f>
        <v>Não aplicável</v>
      </c>
      <c r="I143" s="33" t="str">
        <f t="shared" si="2"/>
        <v>Não aplicável</v>
      </c>
      <c r="J143" s="26"/>
    </row>
    <row r="144" spans="1:10" ht="16.05" customHeight="1" x14ac:dyDescent="0.3">
      <c r="A144" s="26" t="s">
        <v>617</v>
      </c>
      <c r="B144" s="26" t="s">
        <v>1170</v>
      </c>
      <c r="C144" s="33" t="str">
        <f>IFERROR(INDEX(tbl_requisitos_emb[Tema],MATCH(B144,tbl_requisitos_emb[ID_Req],0)),"")</f>
        <v>Boas práticas de fabrico FCM</v>
      </c>
      <c r="D144" s="33" t="str">
        <f>IFERROR(INDEX(tbl_recyclass[Segmento],MATCH(A144,tbl_recyclass[ProductId],0)),"")</f>
        <v>Cosmética e higiene pessoal</v>
      </c>
      <c r="E144" s="26" t="s">
        <v>904</v>
      </c>
      <c r="F144" s="26" t="s">
        <v>1450</v>
      </c>
      <c r="G144" s="26" t="s">
        <v>1143</v>
      </c>
      <c r="H144" s="33" t="str">
        <f>IF(E144="Não","Não aplicável",IFERROR(IF(B144="EU-ENV-002",IF(INDEX(tbl_recyclass[Conforme_PPWR_2030],MATCH(A144,tbl_recyclass[ProductId],0))="Sim","Conforme (autoavaliação)",IF(INDEX(tbl_recyclass[Conforme_PPWR_2030],MATCH(A144,tbl_recyclass[ProductId],0))="Não","Não conforme em 2030","Isento até 2035")),IF(B144="EU-ENV-003",IF(INDEX(tbl_recyclass[Conforme_Art7_2030],MATCH(A144,tbl_recyclass[ProductId],0))="Sim","Conforme (meta 2030)",IF(INDEX(tbl_recyclass[Conforme_Art7_2030],MATCH(A144,tbl_recyclass[ProductId],0))="Não","Lacuna face à meta 2030","Isento")),IF(B144="EU-ENV-011",IF(INDEX(tbl_familias_ppwr[Metais_Pesados_Evidencia],MATCH(INDEX(tbl_recyclass[Familia_PPWR],MATCH(A144,tbl_recyclass[ProductId],0)),tbl_familias_ppwr[ID_Familia],0))="Em falta","Lacuna","Conforme"),IF(B144="EU-ENV-013",IF(INDEX(tbl_familias_ppwr[Declaracao_UE],MATCH(INDEX(tbl_recyclass[Familia_PPWR],MATCH(A144,tbl_recyclass[ProductId],0)),tbl_familias_ppwr[ID_Familia],0))="Sim","Conforme","Lacuna"),G144)))),G144))</f>
        <v>Não aplicável</v>
      </c>
      <c r="I144" s="33" t="str">
        <f t="shared" si="2"/>
        <v>Não aplicável</v>
      </c>
      <c r="J144" s="26"/>
    </row>
    <row r="145" spans="1:10" ht="16.05" customHeight="1" x14ac:dyDescent="0.3">
      <c r="A145" s="26" t="s">
        <v>617</v>
      </c>
      <c r="B145" s="26" t="s">
        <v>1179</v>
      </c>
      <c r="C145" s="33" t="str">
        <f>IFERROR(INDEX(tbl_requisitos_emb[Tema],MATCH(B145,tbl_requisitos_emb[ID_Req],0)),"")</f>
        <v>Bisfenol A e bisfenóis perigosos</v>
      </c>
      <c r="D145" s="33" t="str">
        <f>IFERROR(INDEX(tbl_recyclass[Segmento],MATCH(A145,tbl_recyclass[ProductId],0)),"")</f>
        <v>Cosmética e higiene pessoal</v>
      </c>
      <c r="E145" s="26" t="s">
        <v>904</v>
      </c>
      <c r="F145" s="26" t="s">
        <v>1450</v>
      </c>
      <c r="G145" s="26" t="s">
        <v>1143</v>
      </c>
      <c r="H145" s="33" t="str">
        <f>IF(E145="Não","Não aplicável",IFERROR(IF(B145="EU-ENV-002",IF(INDEX(tbl_recyclass[Conforme_PPWR_2030],MATCH(A145,tbl_recyclass[ProductId],0))="Sim","Conforme (autoavaliação)",IF(INDEX(tbl_recyclass[Conforme_PPWR_2030],MATCH(A145,tbl_recyclass[ProductId],0))="Não","Não conforme em 2030","Isento até 2035")),IF(B145="EU-ENV-003",IF(INDEX(tbl_recyclass[Conforme_Art7_2030],MATCH(A145,tbl_recyclass[ProductId],0))="Sim","Conforme (meta 2030)",IF(INDEX(tbl_recyclass[Conforme_Art7_2030],MATCH(A145,tbl_recyclass[ProductId],0))="Não","Lacuna face à meta 2030","Isento")),IF(B145="EU-ENV-011",IF(INDEX(tbl_familias_ppwr[Metais_Pesados_Evidencia],MATCH(INDEX(tbl_recyclass[Familia_PPWR],MATCH(A145,tbl_recyclass[ProductId],0)),tbl_familias_ppwr[ID_Familia],0))="Em falta","Lacuna","Conforme"),IF(B145="EU-ENV-013",IF(INDEX(tbl_familias_ppwr[Declaracao_UE],MATCH(INDEX(tbl_recyclass[Familia_PPWR],MATCH(A145,tbl_recyclass[ProductId],0)),tbl_familias_ppwr[ID_Familia],0))="Sim","Conforme","Lacuna"),G145)))),G145))</f>
        <v>Não aplicável</v>
      </c>
      <c r="I145" s="33" t="str">
        <f t="shared" si="2"/>
        <v>Não aplicável</v>
      </c>
      <c r="J145" s="26"/>
    </row>
    <row r="146" spans="1:10" ht="16.05" customHeight="1" x14ac:dyDescent="0.3">
      <c r="A146" s="26" t="s">
        <v>617</v>
      </c>
      <c r="B146" s="26" t="s">
        <v>1188</v>
      </c>
      <c r="C146" s="33" t="str">
        <f>IFERROR(INDEX(tbl_requisitos_emb[Tema],MATCH(B146,tbl_requisitos_emb[ID_Req],0)),"")</f>
        <v>Plásticos em contacto com alimentos</v>
      </c>
      <c r="D146" s="33" t="str">
        <f>IFERROR(INDEX(tbl_recyclass[Segmento],MATCH(A146,tbl_recyclass[ProductId],0)),"")</f>
        <v>Cosmética e higiene pessoal</v>
      </c>
      <c r="E146" s="26" t="s">
        <v>904</v>
      </c>
      <c r="F146" s="26" t="s">
        <v>1450</v>
      </c>
      <c r="G146" s="26" t="s">
        <v>1143</v>
      </c>
      <c r="H146" s="33" t="str">
        <f>IF(E146="Não","Não aplicável",IFERROR(IF(B146="EU-ENV-002",IF(INDEX(tbl_recyclass[Conforme_PPWR_2030],MATCH(A146,tbl_recyclass[ProductId],0))="Sim","Conforme (autoavaliação)",IF(INDEX(tbl_recyclass[Conforme_PPWR_2030],MATCH(A146,tbl_recyclass[ProductId],0))="Não","Não conforme em 2030","Isento até 2035")),IF(B146="EU-ENV-003",IF(INDEX(tbl_recyclass[Conforme_Art7_2030],MATCH(A146,tbl_recyclass[ProductId],0))="Sim","Conforme (meta 2030)",IF(INDEX(tbl_recyclass[Conforme_Art7_2030],MATCH(A146,tbl_recyclass[ProductId],0))="Não","Lacuna face à meta 2030","Isento")),IF(B146="EU-ENV-011",IF(INDEX(tbl_familias_ppwr[Metais_Pesados_Evidencia],MATCH(INDEX(tbl_recyclass[Familia_PPWR],MATCH(A146,tbl_recyclass[ProductId],0)),tbl_familias_ppwr[ID_Familia],0))="Em falta","Lacuna","Conforme"),IF(B146="EU-ENV-013",IF(INDEX(tbl_familias_ppwr[Declaracao_UE],MATCH(INDEX(tbl_recyclass[Familia_PPWR],MATCH(A146,tbl_recyclass[ProductId],0)),tbl_familias_ppwr[ID_Familia],0))="Sim","Conforme","Lacuna"),G146)))),G146))</f>
        <v>Não aplicável</v>
      </c>
      <c r="I146" s="33" t="str">
        <f t="shared" si="2"/>
        <v>Não aplicável</v>
      </c>
      <c r="J146" s="26"/>
    </row>
    <row r="147" spans="1:10" ht="16.05" customHeight="1" x14ac:dyDescent="0.3">
      <c r="A147" s="26" t="s">
        <v>617</v>
      </c>
      <c r="B147" s="26" t="s">
        <v>1212</v>
      </c>
      <c r="C147" s="33" t="str">
        <f>IFERROR(INDEX(tbl_requisitos_emb[Tema],MATCH(B147,tbl_requisitos_emb[ID_Req],0)),"")</f>
        <v>Segurança do produto cosmético</v>
      </c>
      <c r="D147" s="33" t="str">
        <f>IFERROR(INDEX(tbl_recyclass[Segmento],MATCH(A147,tbl_recyclass[ProductId],0)),"")</f>
        <v>Cosmética e higiene pessoal</v>
      </c>
      <c r="E147" s="26" t="s">
        <v>901</v>
      </c>
      <c r="F147" s="26" t="s">
        <v>1449</v>
      </c>
      <c r="G147" s="26" t="s">
        <v>1033</v>
      </c>
      <c r="H147" s="33" t="str">
        <f>IF(E147="Não","Não aplicável",IFERROR(IF(B147="EU-ENV-002",IF(INDEX(tbl_recyclass[Conforme_PPWR_2030],MATCH(A147,tbl_recyclass[ProductId],0))="Sim","Conforme (autoavaliação)",IF(INDEX(tbl_recyclass[Conforme_PPWR_2030],MATCH(A147,tbl_recyclass[ProductId],0))="Não","Não conforme em 2030","Isento até 2035")),IF(B147="EU-ENV-003",IF(INDEX(tbl_recyclass[Conforme_Art7_2030],MATCH(A147,tbl_recyclass[ProductId],0))="Sim","Conforme (meta 2030)",IF(INDEX(tbl_recyclass[Conforme_Art7_2030],MATCH(A147,tbl_recyclass[ProductId],0))="Não","Lacuna face à meta 2030","Isento")),IF(B147="EU-ENV-011",IF(INDEX(tbl_familias_ppwr[Metais_Pesados_Evidencia],MATCH(INDEX(tbl_recyclass[Familia_PPWR],MATCH(A147,tbl_recyclass[ProductId],0)),tbl_familias_ppwr[ID_Familia],0))="Em falta","Lacuna","Conforme"),IF(B147="EU-ENV-013",IF(INDEX(tbl_familias_ppwr[Declaracao_UE],MATCH(INDEX(tbl_recyclass[Familia_PPWR],MATCH(A147,tbl_recyclass[ProductId],0)),tbl_familias_ppwr[ID_Familia],0))="Sim","Conforme","Lacuna"),G147)))),G147))</f>
        <v>Conforme</v>
      </c>
      <c r="I147" s="33" t="str">
        <f t="shared" si="2"/>
        <v>Conforme</v>
      </c>
      <c r="J147" s="26" t="s">
        <v>1221</v>
      </c>
    </row>
    <row r="148" spans="1:10" ht="16.05" customHeight="1" x14ac:dyDescent="0.3">
      <c r="A148" s="26" t="s">
        <v>617</v>
      </c>
      <c r="B148" s="26" t="s">
        <v>1224</v>
      </c>
      <c r="C148" s="33" t="str">
        <f>IFERROR(INDEX(tbl_requisitos_emb[Tema],MATCH(B148,tbl_requisitos_emb[ID_Req],0)),"")</f>
        <v>Materiais e impurezas</v>
      </c>
      <c r="D148" s="33" t="str">
        <f>IFERROR(INDEX(tbl_recyclass[Segmento],MATCH(A148,tbl_recyclass[ProductId],0)),"")</f>
        <v>Cosmética e higiene pessoal</v>
      </c>
      <c r="E148" s="26" t="s">
        <v>901</v>
      </c>
      <c r="F148" s="26" t="s">
        <v>1449</v>
      </c>
      <c r="G148" s="26" t="s">
        <v>978</v>
      </c>
      <c r="H148" s="33" t="str">
        <f>IF(E148="Não","Não aplicável",IFERROR(IF(B148="EU-ENV-002",IF(INDEX(tbl_recyclass[Conforme_PPWR_2030],MATCH(A148,tbl_recyclass[ProductId],0))="Sim","Conforme (autoavaliação)",IF(INDEX(tbl_recyclass[Conforme_PPWR_2030],MATCH(A148,tbl_recyclass[ProductId],0))="Não","Não conforme em 2030","Isento até 2035")),IF(B148="EU-ENV-003",IF(INDEX(tbl_recyclass[Conforme_Art7_2030],MATCH(A148,tbl_recyclass[ProductId],0))="Sim","Conforme (meta 2030)",IF(INDEX(tbl_recyclass[Conforme_Art7_2030],MATCH(A148,tbl_recyclass[ProductId],0))="Não","Lacuna face à meta 2030","Isento")),IF(B148="EU-ENV-011",IF(INDEX(tbl_familias_ppwr[Metais_Pesados_Evidencia],MATCH(INDEX(tbl_recyclass[Familia_PPWR],MATCH(A148,tbl_recyclass[ProductId],0)),tbl_familias_ppwr[ID_Familia],0))="Em falta","Lacuna","Conforme"),IF(B148="EU-ENV-013",IF(INDEX(tbl_familias_ppwr[Declaracao_UE],MATCH(INDEX(tbl_recyclass[Familia_PPWR],MATCH(A148,tbl_recyclass[ProductId],0)),tbl_familias_ppwr[ID_Familia],0))="Sim","Conforme","Lacuna"),G148)))),G148))</f>
        <v>Parcial</v>
      </c>
      <c r="I148" s="33" t="str">
        <f t="shared" si="2"/>
        <v>Parcial</v>
      </c>
      <c r="J148" s="26" t="s">
        <v>1228</v>
      </c>
    </row>
    <row r="149" spans="1:10" ht="16.05" customHeight="1" x14ac:dyDescent="0.3">
      <c r="A149" s="26" t="s">
        <v>617</v>
      </c>
      <c r="B149" s="26" t="s">
        <v>1240</v>
      </c>
      <c r="C149" s="33" t="str">
        <f>IFERROR(INDEX(tbl_requisitos_emb[Tema],MATCH(B149,tbl_requisitos_emb[ID_Req],0)),"")</f>
        <v>Compatibilidade embalagem–produto</v>
      </c>
      <c r="D149" s="33" t="str">
        <f>IFERROR(INDEX(tbl_recyclass[Segmento],MATCH(A149,tbl_recyclass[ProductId],0)),"")</f>
        <v>Cosmética e higiene pessoal</v>
      </c>
      <c r="E149" s="26" t="s">
        <v>901</v>
      </c>
      <c r="F149" s="26" t="s">
        <v>1449</v>
      </c>
      <c r="G149" s="26" t="s">
        <v>1033</v>
      </c>
      <c r="H149" s="33" t="str">
        <f>IF(E149="Não","Não aplicável",IFERROR(IF(B149="EU-ENV-002",IF(INDEX(tbl_recyclass[Conforme_PPWR_2030],MATCH(A149,tbl_recyclass[ProductId],0))="Sim","Conforme (autoavaliação)",IF(INDEX(tbl_recyclass[Conforme_PPWR_2030],MATCH(A149,tbl_recyclass[ProductId],0))="Não","Não conforme em 2030","Isento até 2035")),IF(B149="EU-ENV-003",IF(INDEX(tbl_recyclass[Conforme_Art7_2030],MATCH(A149,tbl_recyclass[ProductId],0))="Sim","Conforme (meta 2030)",IF(INDEX(tbl_recyclass[Conforme_Art7_2030],MATCH(A149,tbl_recyclass[ProductId],0))="Não","Lacuna face à meta 2030","Isento")),IF(B149="EU-ENV-011",IF(INDEX(tbl_familias_ppwr[Metais_Pesados_Evidencia],MATCH(INDEX(tbl_recyclass[Familia_PPWR],MATCH(A149,tbl_recyclass[ProductId],0)),tbl_familias_ppwr[ID_Familia],0))="Em falta","Lacuna","Conforme"),IF(B149="EU-ENV-013",IF(INDEX(tbl_familias_ppwr[Declaracao_UE],MATCH(INDEX(tbl_recyclass[Familia_PPWR],MATCH(A149,tbl_recyclass[ProductId],0)),tbl_familias_ppwr[ID_Familia],0))="Sim","Conforme","Lacuna"),G149)))),G149))</f>
        <v>Conforme</v>
      </c>
      <c r="I149" s="33" t="str">
        <f t="shared" si="2"/>
        <v>Conforme</v>
      </c>
      <c r="J149" s="26" t="s">
        <v>1244</v>
      </c>
    </row>
    <row r="150" spans="1:10" ht="16.05" customHeight="1" x14ac:dyDescent="0.3">
      <c r="A150" s="26" t="s">
        <v>617</v>
      </c>
      <c r="B150" s="26" t="s">
        <v>1252</v>
      </c>
      <c r="C150" s="33" t="str">
        <f>IFERROR(INDEX(tbl_requisitos_emb[Tema],MATCH(B150,tbl_requisitos_emb[ID_Req],0)),"")</f>
        <v>Medicamentos de uso humano</v>
      </c>
      <c r="D150" s="33" t="str">
        <f>IFERROR(INDEX(tbl_recyclass[Segmento],MATCH(A150,tbl_recyclass[ProductId],0)),"")</f>
        <v>Cosmética e higiene pessoal</v>
      </c>
      <c r="E150" s="26" t="s">
        <v>904</v>
      </c>
      <c r="F150" s="26" t="s">
        <v>1451</v>
      </c>
      <c r="G150" s="26" t="s">
        <v>1143</v>
      </c>
      <c r="H150" s="33" t="str">
        <f>IF(E150="Não","Não aplicável",IFERROR(IF(B150="EU-ENV-002",IF(INDEX(tbl_recyclass[Conforme_PPWR_2030],MATCH(A150,tbl_recyclass[ProductId],0))="Sim","Conforme (autoavaliação)",IF(INDEX(tbl_recyclass[Conforme_PPWR_2030],MATCH(A150,tbl_recyclass[ProductId],0))="Não","Não conforme em 2030","Isento até 2035")),IF(B150="EU-ENV-003",IF(INDEX(tbl_recyclass[Conforme_Art7_2030],MATCH(A150,tbl_recyclass[ProductId],0))="Sim","Conforme (meta 2030)",IF(INDEX(tbl_recyclass[Conforme_Art7_2030],MATCH(A150,tbl_recyclass[ProductId],0))="Não","Lacuna face à meta 2030","Isento")),IF(B150="EU-ENV-011",IF(INDEX(tbl_familias_ppwr[Metais_Pesados_Evidencia],MATCH(INDEX(tbl_recyclass[Familia_PPWR],MATCH(A150,tbl_recyclass[ProductId],0)),tbl_familias_ppwr[ID_Familia],0))="Em falta","Lacuna","Conforme"),IF(B150="EU-ENV-013",IF(INDEX(tbl_familias_ppwr[Declaracao_UE],MATCH(INDEX(tbl_recyclass[Familia_PPWR],MATCH(A150,tbl_recyclass[ProductId],0)),tbl_familias_ppwr[ID_Familia],0))="Sim","Conforme","Lacuna"),G150)))),G150))</f>
        <v>Não aplicável</v>
      </c>
      <c r="I150" s="33" t="str">
        <f t="shared" si="2"/>
        <v>Não aplicável</v>
      </c>
      <c r="J150" s="26"/>
    </row>
    <row r="151" spans="1:10" ht="16.05" customHeight="1" x14ac:dyDescent="0.3">
      <c r="A151" s="26" t="s">
        <v>617</v>
      </c>
      <c r="B151" s="26" t="s">
        <v>1268</v>
      </c>
      <c r="C151" s="33" t="str">
        <f>IFERROR(INDEX(tbl_requisitos_emb[Tema],MATCH(B151,tbl_requisitos_emb[ID_Req],0)),"")</f>
        <v>Dispositivos de segurança</v>
      </c>
      <c r="D151" s="33" t="str">
        <f>IFERROR(INDEX(tbl_recyclass[Segmento],MATCH(A151,tbl_recyclass[ProductId],0)),"")</f>
        <v>Cosmética e higiene pessoal</v>
      </c>
      <c r="E151" s="26" t="s">
        <v>904</v>
      </c>
      <c r="F151" s="26" t="s">
        <v>1451</v>
      </c>
      <c r="G151" s="26" t="s">
        <v>1143</v>
      </c>
      <c r="H151" s="33" t="str">
        <f>IF(E151="Não","Não aplicável",IFERROR(IF(B151="EU-ENV-002",IF(INDEX(tbl_recyclass[Conforme_PPWR_2030],MATCH(A151,tbl_recyclass[ProductId],0))="Sim","Conforme (autoavaliação)",IF(INDEX(tbl_recyclass[Conforme_PPWR_2030],MATCH(A151,tbl_recyclass[ProductId],0))="Não","Não conforme em 2030","Isento até 2035")),IF(B151="EU-ENV-003",IF(INDEX(tbl_recyclass[Conforme_Art7_2030],MATCH(A151,tbl_recyclass[ProductId],0))="Sim","Conforme (meta 2030)",IF(INDEX(tbl_recyclass[Conforme_Art7_2030],MATCH(A151,tbl_recyclass[ProductId],0))="Não","Lacuna face à meta 2030","Isento")),IF(B151="EU-ENV-011",IF(INDEX(tbl_familias_ppwr[Metais_Pesados_Evidencia],MATCH(INDEX(tbl_recyclass[Familia_PPWR],MATCH(A151,tbl_recyclass[ProductId],0)),tbl_familias_ppwr[ID_Familia],0))="Em falta","Lacuna","Conforme"),IF(B151="EU-ENV-013",IF(INDEX(tbl_familias_ppwr[Declaracao_UE],MATCH(INDEX(tbl_recyclass[Familia_PPWR],MATCH(A151,tbl_recyclass[ProductId],0)),tbl_familias_ppwr[ID_Familia],0))="Sim","Conforme","Lacuna"),G151)))),G151))</f>
        <v>Não aplicável</v>
      </c>
      <c r="I151" s="33" t="str">
        <f t="shared" si="2"/>
        <v>Não aplicável</v>
      </c>
      <c r="J151" s="26"/>
    </row>
    <row r="152" spans="1:10" ht="16.05" customHeight="1" x14ac:dyDescent="0.3">
      <c r="A152" s="26" t="s">
        <v>617</v>
      </c>
      <c r="B152" s="26" t="s">
        <v>1285</v>
      </c>
      <c r="C152" s="33" t="str">
        <f>IFERROR(INDEX(tbl_requisitos_emb[Tema],MATCH(B152,tbl_requisitos_emb[ID_Req],0)),"")</f>
        <v>Materiais plásticos de acondicionamento primário</v>
      </c>
      <c r="D152" s="33" t="str">
        <f>IFERROR(INDEX(tbl_recyclass[Segmento],MATCH(A152,tbl_recyclass[ProductId],0)),"")</f>
        <v>Cosmética e higiene pessoal</v>
      </c>
      <c r="E152" s="26" t="s">
        <v>904</v>
      </c>
      <c r="F152" s="26" t="s">
        <v>1451</v>
      </c>
      <c r="G152" s="26" t="s">
        <v>1143</v>
      </c>
      <c r="H152" s="33" t="str">
        <f>IF(E152="Não","Não aplicável",IFERROR(IF(B152="EU-ENV-002",IF(INDEX(tbl_recyclass[Conforme_PPWR_2030],MATCH(A152,tbl_recyclass[ProductId],0))="Sim","Conforme (autoavaliação)",IF(INDEX(tbl_recyclass[Conforme_PPWR_2030],MATCH(A152,tbl_recyclass[ProductId],0))="Não","Não conforme em 2030","Isento até 2035")),IF(B152="EU-ENV-003",IF(INDEX(tbl_recyclass[Conforme_Art7_2030],MATCH(A152,tbl_recyclass[ProductId],0))="Sim","Conforme (meta 2030)",IF(INDEX(tbl_recyclass[Conforme_Art7_2030],MATCH(A152,tbl_recyclass[ProductId],0))="Não","Lacuna face à meta 2030","Isento")),IF(B152="EU-ENV-011",IF(INDEX(tbl_familias_ppwr[Metais_Pesados_Evidencia],MATCH(INDEX(tbl_recyclass[Familia_PPWR],MATCH(A152,tbl_recyclass[ProductId],0)),tbl_familias_ppwr[ID_Familia],0))="Em falta","Lacuna","Conforme"),IF(B152="EU-ENV-013",IF(INDEX(tbl_familias_ppwr[Declaracao_UE],MATCH(INDEX(tbl_recyclass[Familia_PPWR],MATCH(A152,tbl_recyclass[ProductId],0)),tbl_familias_ppwr[ID_Familia],0))="Sim","Conforme","Lacuna"),G152)))),G152))</f>
        <v>Não aplicável</v>
      </c>
      <c r="I152" s="33" t="str">
        <f t="shared" si="2"/>
        <v>Não aplicável</v>
      </c>
      <c r="J152" s="26"/>
    </row>
    <row r="153" spans="1:10" ht="16.05" customHeight="1" x14ac:dyDescent="0.3">
      <c r="A153" s="26" t="s">
        <v>617</v>
      </c>
      <c r="B153" s="26" t="s">
        <v>1293</v>
      </c>
      <c r="C153" s="33" t="str">
        <f>IFERROR(INDEX(tbl_requisitos_emb[Tema],MATCH(B153,tbl_requisitos_emb[ID_Req],0)),"")</f>
        <v>Isenções PPWR</v>
      </c>
      <c r="D153" s="33" t="str">
        <f>IFERROR(INDEX(tbl_recyclass[Segmento],MATCH(A153,tbl_recyclass[ProductId],0)),"")</f>
        <v>Cosmética e higiene pessoal</v>
      </c>
      <c r="E153" s="26" t="s">
        <v>904</v>
      </c>
      <c r="F153" s="26" t="s">
        <v>1451</v>
      </c>
      <c r="G153" s="26" t="s">
        <v>1143</v>
      </c>
      <c r="H153" s="33" t="str">
        <f>IF(E153="Não","Não aplicável",IFERROR(IF(B153="EU-ENV-002",IF(INDEX(tbl_recyclass[Conforme_PPWR_2030],MATCH(A153,tbl_recyclass[ProductId],0))="Sim","Conforme (autoavaliação)",IF(INDEX(tbl_recyclass[Conforme_PPWR_2030],MATCH(A153,tbl_recyclass[ProductId],0))="Não","Não conforme em 2030","Isento até 2035")),IF(B153="EU-ENV-003",IF(INDEX(tbl_recyclass[Conforme_Art7_2030],MATCH(A153,tbl_recyclass[ProductId],0))="Sim","Conforme (meta 2030)",IF(INDEX(tbl_recyclass[Conforme_Art7_2030],MATCH(A153,tbl_recyclass[ProductId],0))="Não","Lacuna face à meta 2030","Isento")),IF(B153="EU-ENV-011",IF(INDEX(tbl_familias_ppwr[Metais_Pesados_Evidencia],MATCH(INDEX(tbl_recyclass[Familia_PPWR],MATCH(A153,tbl_recyclass[ProductId],0)),tbl_familias_ppwr[ID_Familia],0))="Em falta","Lacuna","Conforme"),IF(B153="EU-ENV-013",IF(INDEX(tbl_familias_ppwr[Declaracao_UE],MATCH(INDEX(tbl_recyclass[Familia_PPWR],MATCH(A153,tbl_recyclass[ProductId],0)),tbl_familias_ppwr[ID_Familia],0))="Sim","Conforme","Lacuna"),G153)))),G153))</f>
        <v>Não aplicável</v>
      </c>
      <c r="I153" s="33" t="str">
        <f t="shared" si="2"/>
        <v>Não aplicável</v>
      </c>
      <c r="J153" s="26"/>
    </row>
    <row r="154" spans="1:10" ht="16.05" customHeight="1" x14ac:dyDescent="0.3">
      <c r="A154" s="26" t="s">
        <v>617</v>
      </c>
      <c r="B154" s="26" t="s">
        <v>1357</v>
      </c>
      <c r="C154" s="33" t="str">
        <f>IFERROR(INDEX(tbl_requisitos_emb[Tema],MATCH(B154,tbl_requisitos_emb[ID_Req],0)),"")</f>
        <v>Identificação de plásticos</v>
      </c>
      <c r="D154" s="33" t="str">
        <f>IFERROR(INDEX(tbl_recyclass[Segmento],MATCH(A154,tbl_recyclass[ProductId],0)),"")</f>
        <v>Cosmética e higiene pessoal</v>
      </c>
      <c r="E154" s="26" t="s">
        <v>901</v>
      </c>
      <c r="F154" s="26" t="s">
        <v>1449</v>
      </c>
      <c r="G154" s="26" t="s">
        <v>978</v>
      </c>
      <c r="H154" s="33" t="str">
        <f>IF(E154="Não","Não aplicável",IFERROR(IF(B154="EU-ENV-002",IF(INDEX(tbl_recyclass[Conforme_PPWR_2030],MATCH(A154,tbl_recyclass[ProductId],0))="Sim","Conforme (autoavaliação)",IF(INDEX(tbl_recyclass[Conforme_PPWR_2030],MATCH(A154,tbl_recyclass[ProductId],0))="Não","Não conforme em 2030","Isento até 2035")),IF(B154="EU-ENV-003",IF(INDEX(tbl_recyclass[Conforme_Art7_2030],MATCH(A154,tbl_recyclass[ProductId],0))="Sim","Conforme (meta 2030)",IF(INDEX(tbl_recyclass[Conforme_Art7_2030],MATCH(A154,tbl_recyclass[ProductId],0))="Não","Lacuna face à meta 2030","Isento")),IF(B154="EU-ENV-011",IF(INDEX(tbl_familias_ppwr[Metais_Pesados_Evidencia],MATCH(INDEX(tbl_recyclass[Familia_PPWR],MATCH(A154,tbl_recyclass[ProductId],0)),tbl_familias_ppwr[ID_Familia],0))="Em falta","Lacuna","Conforme"),IF(B154="EU-ENV-013",IF(INDEX(tbl_familias_ppwr[Declaracao_UE],MATCH(INDEX(tbl_recyclass[Familia_PPWR],MATCH(A154,tbl_recyclass[ProductId],0)),tbl_familias_ppwr[ID_Familia],0))="Sim","Conforme","Lacuna"),G154)))),G154))</f>
        <v>Parcial</v>
      </c>
      <c r="I154" s="33" t="str">
        <f t="shared" si="2"/>
        <v>Parcial</v>
      </c>
      <c r="J154" s="26" t="s">
        <v>1362</v>
      </c>
    </row>
    <row r="155" spans="1:10" ht="16.05" customHeight="1" x14ac:dyDescent="0.3">
      <c r="A155" s="26" t="s">
        <v>617</v>
      </c>
      <c r="B155" s="26" t="s">
        <v>1385</v>
      </c>
      <c r="C155" s="33" t="str">
        <f>IFERROR(INDEX(tbl_requisitos_emb[Tema],MATCH(B155,tbl_requisitos_emb[ID_Req],0)),"")</f>
        <v>Reciclabilidade (voluntária)</v>
      </c>
      <c r="D155" s="33" t="str">
        <f>IFERROR(INDEX(tbl_recyclass[Segmento],MATCH(A155,tbl_recyclass[ProductId],0)),"")</f>
        <v>Cosmética e higiene pessoal</v>
      </c>
      <c r="E155" s="26" t="s">
        <v>901</v>
      </c>
      <c r="F155" s="26" t="s">
        <v>1449</v>
      </c>
      <c r="G155" s="26" t="s">
        <v>978</v>
      </c>
      <c r="H155" s="33" t="str">
        <f>IF(E155="Não","Não aplicável",IFERROR(IF(B155="EU-ENV-002",IF(INDEX(tbl_recyclass[Conforme_PPWR_2030],MATCH(A155,tbl_recyclass[ProductId],0))="Sim","Conforme (autoavaliação)",IF(INDEX(tbl_recyclass[Conforme_PPWR_2030],MATCH(A155,tbl_recyclass[ProductId],0))="Não","Não conforme em 2030","Isento até 2035")),IF(B155="EU-ENV-003",IF(INDEX(tbl_recyclass[Conforme_Art7_2030],MATCH(A155,tbl_recyclass[ProductId],0))="Sim","Conforme (meta 2030)",IF(INDEX(tbl_recyclass[Conforme_Art7_2030],MATCH(A155,tbl_recyclass[ProductId],0))="Não","Lacuna face à meta 2030","Isento")),IF(B155="EU-ENV-011",IF(INDEX(tbl_familias_ppwr[Metais_Pesados_Evidencia],MATCH(INDEX(tbl_recyclass[Familia_PPWR],MATCH(A155,tbl_recyclass[ProductId],0)),tbl_familias_ppwr[ID_Familia],0))="Em falta","Lacuna","Conforme"),IF(B155="EU-ENV-013",IF(INDEX(tbl_familias_ppwr[Declaracao_UE],MATCH(INDEX(tbl_recyclass[Familia_PPWR],MATCH(A155,tbl_recyclass[ProductId],0)),tbl_familias_ppwr[ID_Familia],0))="Sim","Conforme","Lacuna"),G155)))),G155))</f>
        <v>Parcial</v>
      </c>
      <c r="I155" s="33" t="str">
        <f t="shared" si="2"/>
        <v>Parcial</v>
      </c>
      <c r="J155" s="26" t="s">
        <v>1389</v>
      </c>
    </row>
    <row r="156" spans="1:10" ht="16.05" customHeight="1" x14ac:dyDescent="0.3">
      <c r="A156" s="26" t="s">
        <v>621</v>
      </c>
      <c r="B156" s="26" t="s">
        <v>984</v>
      </c>
      <c r="C156" s="33" t="str">
        <f>IFERROR(INDEX(tbl_requisitos_emb[Tema],MATCH(B156,tbl_requisitos_emb[ID_Req],0)),"")</f>
        <v>Conceção para reciclagem</v>
      </c>
      <c r="D156" s="33" t="str">
        <f>IFERROR(INDEX(tbl_recyclass[Segmento],MATCH(A156,tbl_recyclass[ProductId],0)),"")</f>
        <v>Cosmética e higiene pessoal</v>
      </c>
      <c r="E156" s="26" t="s">
        <v>901</v>
      </c>
      <c r="F156" s="26" t="s">
        <v>1449</v>
      </c>
      <c r="G156" s="26" t="s">
        <v>978</v>
      </c>
      <c r="H156" s="33" t="str">
        <f>IF(E156="Não","Não aplicável",IFERROR(IF(B156="EU-ENV-002",IF(INDEX(tbl_recyclass[Conforme_PPWR_2030],MATCH(A156,tbl_recyclass[ProductId],0))="Sim","Conforme (autoavaliação)",IF(INDEX(tbl_recyclass[Conforme_PPWR_2030],MATCH(A156,tbl_recyclass[ProductId],0))="Não","Não conforme em 2030","Isento até 2035")),IF(B156="EU-ENV-003",IF(INDEX(tbl_recyclass[Conforme_Art7_2030],MATCH(A156,tbl_recyclass[ProductId],0))="Sim","Conforme (meta 2030)",IF(INDEX(tbl_recyclass[Conforme_Art7_2030],MATCH(A156,tbl_recyclass[ProductId],0))="Não","Lacuna face à meta 2030","Isento")),IF(B156="EU-ENV-011",IF(INDEX(tbl_familias_ppwr[Metais_Pesados_Evidencia],MATCH(INDEX(tbl_recyclass[Familia_PPWR],MATCH(A156,tbl_recyclass[ProductId],0)),tbl_familias_ppwr[ID_Familia],0))="Em falta","Lacuna","Conforme"),IF(B156="EU-ENV-013",IF(INDEX(tbl_familias_ppwr[Declaracao_UE],MATCH(INDEX(tbl_recyclass[Familia_PPWR],MATCH(A156,tbl_recyclass[ProductId],0)),tbl_familias_ppwr[ID_Familia],0))="Sim","Conforme","Lacuna"),G156)))),G156))</f>
        <v>Conforme (autoavaliação)</v>
      </c>
      <c r="I156" s="33" t="str">
        <f t="shared" si="2"/>
        <v>Conforme</v>
      </c>
      <c r="J156" s="26" t="s">
        <v>991</v>
      </c>
    </row>
    <row r="157" spans="1:10" ht="16.05" customHeight="1" x14ac:dyDescent="0.3">
      <c r="A157" s="26" t="s">
        <v>621</v>
      </c>
      <c r="B157" s="26" t="s">
        <v>997</v>
      </c>
      <c r="C157" s="33" t="str">
        <f>IFERROR(INDEX(tbl_requisitos_emb[Tema],MATCH(B157,tbl_requisitos_emb[ID_Req],0)),"")</f>
        <v>Conteúdo reciclado</v>
      </c>
      <c r="D157" s="33" t="str">
        <f>IFERROR(INDEX(tbl_recyclass[Segmento],MATCH(A157,tbl_recyclass[ProductId],0)),"")</f>
        <v>Cosmética e higiene pessoal</v>
      </c>
      <c r="E157" s="26" t="s">
        <v>901</v>
      </c>
      <c r="F157" s="26" t="s">
        <v>1449</v>
      </c>
      <c r="G157" s="26" t="s">
        <v>978</v>
      </c>
      <c r="H157" s="33" t="str">
        <f>IF(E157="Não","Não aplicável",IFERROR(IF(B157="EU-ENV-002",IF(INDEX(tbl_recyclass[Conforme_PPWR_2030],MATCH(A157,tbl_recyclass[ProductId],0))="Sim","Conforme (autoavaliação)",IF(INDEX(tbl_recyclass[Conforme_PPWR_2030],MATCH(A157,tbl_recyclass[ProductId],0))="Não","Não conforme em 2030","Isento até 2035")),IF(B157="EU-ENV-003",IF(INDEX(tbl_recyclass[Conforme_Art7_2030],MATCH(A157,tbl_recyclass[ProductId],0))="Sim","Conforme (meta 2030)",IF(INDEX(tbl_recyclass[Conforme_Art7_2030],MATCH(A157,tbl_recyclass[ProductId],0))="Não","Lacuna face à meta 2030","Isento")),IF(B157="EU-ENV-011",IF(INDEX(tbl_familias_ppwr[Metais_Pesados_Evidencia],MATCH(INDEX(tbl_recyclass[Familia_PPWR],MATCH(A157,tbl_recyclass[ProductId],0)),tbl_familias_ppwr[ID_Familia],0))="Em falta","Lacuna","Conforme"),IF(B157="EU-ENV-013",IF(INDEX(tbl_familias_ppwr[Declaracao_UE],MATCH(INDEX(tbl_recyclass[Familia_PPWR],MATCH(A157,tbl_recyclass[ProductId],0)),tbl_familias_ppwr[ID_Familia],0))="Sim","Conforme","Lacuna"),G157)))),G157))</f>
        <v>Lacuna face à meta 2030</v>
      </c>
      <c r="I157" s="33" t="str">
        <f t="shared" si="2"/>
        <v>Lacuna</v>
      </c>
      <c r="J157" s="26" t="s">
        <v>1001</v>
      </c>
    </row>
    <row r="158" spans="1:10" ht="16.05" customHeight="1" x14ac:dyDescent="0.3">
      <c r="A158" s="26" t="s">
        <v>621</v>
      </c>
      <c r="B158" s="26" t="s">
        <v>1007</v>
      </c>
      <c r="C158" s="33" t="str">
        <f>IFERROR(INDEX(tbl_requisitos_emb[Tema],MATCH(B158,tbl_requisitos_emb[ID_Req],0)),"")</f>
        <v>Minimização</v>
      </c>
      <c r="D158" s="33" t="str">
        <f>IFERROR(INDEX(tbl_recyclass[Segmento],MATCH(A158,tbl_recyclass[ProductId],0)),"")</f>
        <v>Cosmética e higiene pessoal</v>
      </c>
      <c r="E158" s="26" t="s">
        <v>901</v>
      </c>
      <c r="F158" s="26" t="s">
        <v>1449</v>
      </c>
      <c r="G158" s="26" t="s">
        <v>978</v>
      </c>
      <c r="H158" s="33" t="str">
        <f>IF(E158="Não","Não aplicável",IFERROR(IF(B158="EU-ENV-002",IF(INDEX(tbl_recyclass[Conforme_PPWR_2030],MATCH(A158,tbl_recyclass[ProductId],0))="Sim","Conforme (autoavaliação)",IF(INDEX(tbl_recyclass[Conforme_PPWR_2030],MATCH(A158,tbl_recyclass[ProductId],0))="Não","Não conforme em 2030","Isento até 2035")),IF(B158="EU-ENV-003",IF(INDEX(tbl_recyclass[Conforme_Art7_2030],MATCH(A158,tbl_recyclass[ProductId],0))="Sim","Conforme (meta 2030)",IF(INDEX(tbl_recyclass[Conforme_Art7_2030],MATCH(A158,tbl_recyclass[ProductId],0))="Não","Lacuna face à meta 2030","Isento")),IF(B158="EU-ENV-011",IF(INDEX(tbl_familias_ppwr[Metais_Pesados_Evidencia],MATCH(INDEX(tbl_recyclass[Familia_PPWR],MATCH(A158,tbl_recyclass[ProductId],0)),tbl_familias_ppwr[ID_Familia],0))="Em falta","Lacuna","Conforme"),IF(B158="EU-ENV-013",IF(INDEX(tbl_familias_ppwr[Declaracao_UE],MATCH(INDEX(tbl_recyclass[Familia_PPWR],MATCH(A158,tbl_recyclass[ProductId],0)),tbl_familias_ppwr[ID_Familia],0))="Sim","Conforme","Lacuna"),G158)))),G158))</f>
        <v>Parcial</v>
      </c>
      <c r="I158" s="33" t="str">
        <f t="shared" si="2"/>
        <v>Parcial</v>
      </c>
      <c r="J158" s="26" t="s">
        <v>1012</v>
      </c>
    </row>
    <row r="159" spans="1:10" ht="16.05" customHeight="1" x14ac:dyDescent="0.3">
      <c r="A159" s="26" t="s">
        <v>621</v>
      </c>
      <c r="B159" s="26" t="s">
        <v>1016</v>
      </c>
      <c r="C159" s="33" t="str">
        <f>IFERROR(INDEX(tbl_requisitos_emb[Tema],MATCH(B159,tbl_requisitos_emb[ID_Req],0)),"")</f>
        <v>Rotulagem</v>
      </c>
      <c r="D159" s="33" t="str">
        <f>IFERROR(INDEX(tbl_recyclass[Segmento],MATCH(A159,tbl_recyclass[ProductId],0)),"")</f>
        <v>Cosmética e higiene pessoal</v>
      </c>
      <c r="E159" s="26" t="s">
        <v>901</v>
      </c>
      <c r="F159" s="26" t="s">
        <v>1449</v>
      </c>
      <c r="G159" s="26" t="s">
        <v>990</v>
      </c>
      <c r="H159" s="33" t="str">
        <f>IF(E159="Não","Não aplicável",IFERROR(IF(B159="EU-ENV-002",IF(INDEX(tbl_recyclass[Conforme_PPWR_2030],MATCH(A159,tbl_recyclass[ProductId],0))="Sim","Conforme (autoavaliação)",IF(INDEX(tbl_recyclass[Conforme_PPWR_2030],MATCH(A159,tbl_recyclass[ProductId],0))="Não","Não conforme em 2030","Isento até 2035")),IF(B159="EU-ENV-003",IF(INDEX(tbl_recyclass[Conforme_Art7_2030],MATCH(A159,tbl_recyclass[ProductId],0))="Sim","Conforme (meta 2030)",IF(INDEX(tbl_recyclass[Conforme_Art7_2030],MATCH(A159,tbl_recyclass[ProductId],0))="Não","Lacuna face à meta 2030","Isento")),IF(B159="EU-ENV-011",IF(INDEX(tbl_familias_ppwr[Metais_Pesados_Evidencia],MATCH(INDEX(tbl_recyclass[Familia_PPWR],MATCH(A159,tbl_recyclass[ProductId],0)),tbl_familias_ppwr[ID_Familia],0))="Em falta","Lacuna","Conforme"),IF(B159="EU-ENV-013",IF(INDEX(tbl_familias_ppwr[Declaracao_UE],MATCH(INDEX(tbl_recyclass[Familia_PPWR],MATCH(A159,tbl_recyclass[ProductId],0)),tbl_familias_ppwr[ID_Familia],0))="Sim","Conforme","Lacuna"),G159)))),G159))</f>
        <v>Futuro</v>
      </c>
      <c r="I159" s="33" t="str">
        <f t="shared" si="2"/>
        <v>Futuro</v>
      </c>
      <c r="J159" s="26" t="s">
        <v>1021</v>
      </c>
    </row>
    <row r="160" spans="1:10" ht="16.05" customHeight="1" x14ac:dyDescent="0.3">
      <c r="A160" s="26" t="s">
        <v>621</v>
      </c>
      <c r="B160" s="26" t="s">
        <v>1038</v>
      </c>
      <c r="C160" s="33" t="str">
        <f>IFERROR(INDEX(tbl_requisitos_emb[Tema],MATCH(B160,tbl_requisitos_emb[ID_Req],0)),"")</f>
        <v>Plásticos de utilização única</v>
      </c>
      <c r="D160" s="33" t="str">
        <f>IFERROR(INDEX(tbl_recyclass[Segmento],MATCH(A160,tbl_recyclass[ProductId],0)),"")</f>
        <v>Cosmética e higiene pessoal</v>
      </c>
      <c r="E160" s="26" t="s">
        <v>904</v>
      </c>
      <c r="F160" s="26" t="s">
        <v>1450</v>
      </c>
      <c r="G160" s="26" t="s">
        <v>1143</v>
      </c>
      <c r="H160" s="33" t="str">
        <f>IF(E160="Não","Não aplicável",IFERROR(IF(B160="EU-ENV-002",IF(INDEX(tbl_recyclass[Conforme_PPWR_2030],MATCH(A160,tbl_recyclass[ProductId],0))="Sim","Conforme (autoavaliação)",IF(INDEX(tbl_recyclass[Conforme_PPWR_2030],MATCH(A160,tbl_recyclass[ProductId],0))="Não","Não conforme em 2030","Isento até 2035")),IF(B160="EU-ENV-003",IF(INDEX(tbl_recyclass[Conforme_Art7_2030],MATCH(A160,tbl_recyclass[ProductId],0))="Sim","Conforme (meta 2030)",IF(INDEX(tbl_recyclass[Conforme_Art7_2030],MATCH(A160,tbl_recyclass[ProductId],0))="Não","Lacuna face à meta 2030","Isento")),IF(B160="EU-ENV-011",IF(INDEX(tbl_familias_ppwr[Metais_Pesados_Evidencia],MATCH(INDEX(tbl_recyclass[Familia_PPWR],MATCH(A160,tbl_recyclass[ProductId],0)),tbl_familias_ppwr[ID_Familia],0))="Em falta","Lacuna","Conforme"),IF(B160="EU-ENV-013",IF(INDEX(tbl_familias_ppwr[Declaracao_UE],MATCH(INDEX(tbl_recyclass[Familia_PPWR],MATCH(A160,tbl_recyclass[ProductId],0)),tbl_familias_ppwr[ID_Familia],0))="Sim","Conforme","Lacuna"),G160)))),G160))</f>
        <v>Não aplicável</v>
      </c>
      <c r="I160" s="33" t="str">
        <f t="shared" si="2"/>
        <v>Não aplicável</v>
      </c>
      <c r="J160" s="26"/>
    </row>
    <row r="161" spans="1:10" ht="16.05" customHeight="1" x14ac:dyDescent="0.3">
      <c r="A161" s="26" t="s">
        <v>621</v>
      </c>
      <c r="B161" s="26" t="s">
        <v>1078</v>
      </c>
      <c r="C161" s="33" t="str">
        <f>IFERROR(INDEX(tbl_requisitos_emb[Tema],MATCH(B161,tbl_requisitos_emb[ID_Req],0)),"")</f>
        <v>Reciclado à escala</v>
      </c>
      <c r="D161" s="33" t="str">
        <f>IFERROR(INDEX(tbl_recyclass[Segmento],MATCH(A161,tbl_recyclass[ProductId],0)),"")</f>
        <v>Cosmética e higiene pessoal</v>
      </c>
      <c r="E161" s="26" t="s">
        <v>901</v>
      </c>
      <c r="F161" s="26" t="s">
        <v>1449</v>
      </c>
      <c r="G161" s="26" t="s">
        <v>990</v>
      </c>
      <c r="H161" s="33" t="str">
        <f>IF(E161="Não","Não aplicável",IFERROR(IF(B161="EU-ENV-002",IF(INDEX(tbl_recyclass[Conforme_PPWR_2030],MATCH(A161,tbl_recyclass[ProductId],0))="Sim","Conforme (autoavaliação)",IF(INDEX(tbl_recyclass[Conforme_PPWR_2030],MATCH(A161,tbl_recyclass[ProductId],0))="Não","Não conforme em 2030","Isento até 2035")),IF(B161="EU-ENV-003",IF(INDEX(tbl_recyclass[Conforme_Art7_2030],MATCH(A161,tbl_recyclass[ProductId],0))="Sim","Conforme (meta 2030)",IF(INDEX(tbl_recyclass[Conforme_Art7_2030],MATCH(A161,tbl_recyclass[ProductId],0))="Não","Lacuna face à meta 2030","Isento")),IF(B161="EU-ENV-011",IF(INDEX(tbl_familias_ppwr[Metais_Pesados_Evidencia],MATCH(INDEX(tbl_recyclass[Familia_PPWR],MATCH(A161,tbl_recyclass[ProductId],0)),tbl_familias_ppwr[ID_Familia],0))="Em falta","Lacuna","Conforme"),IF(B161="EU-ENV-013",IF(INDEX(tbl_familias_ppwr[Declaracao_UE],MATCH(INDEX(tbl_recyclass[Familia_PPWR],MATCH(A161,tbl_recyclass[ProductId],0)),tbl_familias_ppwr[ID_Familia],0))="Sim","Conforme","Lacuna"),G161)))),G161))</f>
        <v>Futuro</v>
      </c>
      <c r="I161" s="33" t="str">
        <f t="shared" si="2"/>
        <v>Futuro</v>
      </c>
      <c r="J161" s="26" t="s">
        <v>1082</v>
      </c>
    </row>
    <row r="162" spans="1:10" ht="16.05" customHeight="1" x14ac:dyDescent="0.3">
      <c r="A162" s="26" t="s">
        <v>621</v>
      </c>
      <c r="B162" s="26" t="s">
        <v>1086</v>
      </c>
      <c r="C162" s="33" t="str">
        <f>IFERROR(INDEX(tbl_requisitos_emb[Tema],MATCH(B162,tbl_requisitos_emb[ID_Req],0)),"")</f>
        <v>Metais pesados</v>
      </c>
      <c r="D162" s="33" t="str">
        <f>IFERROR(INDEX(tbl_recyclass[Segmento],MATCH(A162,tbl_recyclass[ProductId],0)),"")</f>
        <v>Cosmética e higiene pessoal</v>
      </c>
      <c r="E162" s="26" t="s">
        <v>901</v>
      </c>
      <c r="F162" s="26" t="s">
        <v>1449</v>
      </c>
      <c r="G162" s="26" t="s">
        <v>978</v>
      </c>
      <c r="H162" s="33" t="str">
        <f>IF(E162="Não","Não aplicável",IFERROR(IF(B162="EU-ENV-002",IF(INDEX(tbl_recyclass[Conforme_PPWR_2030],MATCH(A162,tbl_recyclass[ProductId],0))="Sim","Conforme (autoavaliação)",IF(INDEX(tbl_recyclass[Conforme_PPWR_2030],MATCH(A162,tbl_recyclass[ProductId],0))="Não","Não conforme em 2030","Isento até 2035")),IF(B162="EU-ENV-003",IF(INDEX(tbl_recyclass[Conforme_Art7_2030],MATCH(A162,tbl_recyclass[ProductId],0))="Sim","Conforme (meta 2030)",IF(INDEX(tbl_recyclass[Conforme_Art7_2030],MATCH(A162,tbl_recyclass[ProductId],0))="Não","Lacuna face à meta 2030","Isento")),IF(B162="EU-ENV-011",IF(INDEX(tbl_familias_ppwr[Metais_Pesados_Evidencia],MATCH(INDEX(tbl_recyclass[Familia_PPWR],MATCH(A162,tbl_recyclass[ProductId],0)),tbl_familias_ppwr[ID_Familia],0))="Em falta","Lacuna","Conforme"),IF(B162="EU-ENV-013",IF(INDEX(tbl_familias_ppwr[Declaracao_UE],MATCH(INDEX(tbl_recyclass[Familia_PPWR],MATCH(A162,tbl_recyclass[ProductId],0)),tbl_familias_ppwr[ID_Familia],0))="Sim","Conforme","Lacuna"),G162)))),G162))</f>
        <v>Conforme</v>
      </c>
      <c r="I162" s="33" t="str">
        <f t="shared" si="2"/>
        <v>Conforme</v>
      </c>
      <c r="J162" s="26" t="s">
        <v>1090</v>
      </c>
    </row>
    <row r="163" spans="1:10" ht="16.05" customHeight="1" x14ac:dyDescent="0.3">
      <c r="A163" s="26" t="s">
        <v>621</v>
      </c>
      <c r="B163" s="26" t="s">
        <v>1094</v>
      </c>
      <c r="C163" s="33" t="str">
        <f>IFERROR(INDEX(tbl_requisitos_emb[Tema],MATCH(B163,tbl_requisitos_emb[ID_Req],0)),"")</f>
        <v>PFAS</v>
      </c>
      <c r="D163" s="33" t="str">
        <f>IFERROR(INDEX(tbl_recyclass[Segmento],MATCH(A163,tbl_recyclass[ProductId],0)),"")</f>
        <v>Cosmética e higiene pessoal</v>
      </c>
      <c r="E163" s="26" t="s">
        <v>904</v>
      </c>
      <c r="F163" s="26" t="s">
        <v>1450</v>
      </c>
      <c r="G163" s="26" t="s">
        <v>1143</v>
      </c>
      <c r="H163" s="33" t="str">
        <f>IF(E163="Não","Não aplicável",IFERROR(IF(B163="EU-ENV-002",IF(INDEX(tbl_recyclass[Conforme_PPWR_2030],MATCH(A163,tbl_recyclass[ProductId],0))="Sim","Conforme (autoavaliação)",IF(INDEX(tbl_recyclass[Conforme_PPWR_2030],MATCH(A163,tbl_recyclass[ProductId],0))="Não","Não conforme em 2030","Isento até 2035")),IF(B163="EU-ENV-003",IF(INDEX(tbl_recyclass[Conforme_Art7_2030],MATCH(A163,tbl_recyclass[ProductId],0))="Sim","Conforme (meta 2030)",IF(INDEX(tbl_recyclass[Conforme_Art7_2030],MATCH(A163,tbl_recyclass[ProductId],0))="Não","Lacuna face à meta 2030","Isento")),IF(B163="EU-ENV-011",IF(INDEX(tbl_familias_ppwr[Metais_Pesados_Evidencia],MATCH(INDEX(tbl_recyclass[Familia_PPWR],MATCH(A163,tbl_recyclass[ProductId],0)),tbl_familias_ppwr[ID_Familia],0))="Em falta","Lacuna","Conforme"),IF(B163="EU-ENV-013",IF(INDEX(tbl_familias_ppwr[Declaracao_UE],MATCH(INDEX(tbl_recyclass[Familia_PPWR],MATCH(A163,tbl_recyclass[ProductId],0)),tbl_familias_ppwr[ID_Familia],0))="Sim","Conforme","Lacuna"),G163)))),G163))</f>
        <v>Não aplicável</v>
      </c>
      <c r="I163" s="33" t="str">
        <f t="shared" si="2"/>
        <v>Não aplicável</v>
      </c>
      <c r="J163" s="26"/>
    </row>
    <row r="164" spans="1:10" ht="16.05" customHeight="1" x14ac:dyDescent="0.3">
      <c r="A164" s="26" t="s">
        <v>621</v>
      </c>
      <c r="B164" s="26" t="s">
        <v>1102</v>
      </c>
      <c r="C164" s="33" t="str">
        <f>IFERROR(INDEX(tbl_requisitos_emb[Tema],MATCH(B164,tbl_requisitos_emb[ID_Req],0)),"")</f>
        <v>Documentação técnica e declaração UE</v>
      </c>
      <c r="D164" s="33" t="str">
        <f>IFERROR(INDEX(tbl_recyclass[Segmento],MATCH(A164,tbl_recyclass[ProductId],0)),"")</f>
        <v>Cosmética e higiene pessoal</v>
      </c>
      <c r="E164" s="26" t="s">
        <v>901</v>
      </c>
      <c r="F164" s="26" t="s">
        <v>1449</v>
      </c>
      <c r="G164" s="26" t="s">
        <v>978</v>
      </c>
      <c r="H164" s="33" t="str">
        <f>IF(E164="Não","Não aplicável",IFERROR(IF(B164="EU-ENV-002",IF(INDEX(tbl_recyclass[Conforme_PPWR_2030],MATCH(A164,tbl_recyclass[ProductId],0))="Sim","Conforme (autoavaliação)",IF(INDEX(tbl_recyclass[Conforme_PPWR_2030],MATCH(A164,tbl_recyclass[ProductId],0))="Não","Não conforme em 2030","Isento até 2035")),IF(B164="EU-ENV-003",IF(INDEX(tbl_recyclass[Conforme_Art7_2030],MATCH(A164,tbl_recyclass[ProductId],0))="Sim","Conforme (meta 2030)",IF(INDEX(tbl_recyclass[Conforme_Art7_2030],MATCH(A164,tbl_recyclass[ProductId],0))="Não","Lacuna face à meta 2030","Isento")),IF(B164="EU-ENV-011",IF(INDEX(tbl_familias_ppwr[Metais_Pesados_Evidencia],MATCH(INDEX(tbl_recyclass[Familia_PPWR],MATCH(A164,tbl_recyclass[ProductId],0)),tbl_familias_ppwr[ID_Familia],0))="Em falta","Lacuna","Conforme"),IF(B164="EU-ENV-013",IF(INDEX(tbl_familias_ppwr[Declaracao_UE],MATCH(INDEX(tbl_recyclass[Familia_PPWR],MATCH(A164,tbl_recyclass[ProductId],0)),tbl_familias_ppwr[ID_Familia],0))="Sim","Conforme","Lacuna"),G164)))),G164))</f>
        <v>Conforme</v>
      </c>
      <c r="I164" s="33" t="str">
        <f t="shared" si="2"/>
        <v>Conforme</v>
      </c>
      <c r="J164" s="26" t="s">
        <v>1106</v>
      </c>
    </row>
    <row r="165" spans="1:10" ht="16.05" customHeight="1" x14ac:dyDescent="0.3">
      <c r="A165" s="26" t="s">
        <v>621</v>
      </c>
      <c r="B165" s="26" t="s">
        <v>1161</v>
      </c>
      <c r="C165" s="33" t="str">
        <f>IFERROR(INDEX(tbl_requisitos_emb[Tema],MATCH(B165,tbl_requisitos_emb[ID_Req],0)),"")</f>
        <v>Materiais em contacto com alimentos</v>
      </c>
      <c r="D165" s="33" t="str">
        <f>IFERROR(INDEX(tbl_recyclass[Segmento],MATCH(A165,tbl_recyclass[ProductId],0)),"")</f>
        <v>Cosmética e higiene pessoal</v>
      </c>
      <c r="E165" s="26" t="s">
        <v>904</v>
      </c>
      <c r="F165" s="26" t="s">
        <v>1450</v>
      </c>
      <c r="G165" s="26" t="s">
        <v>1143</v>
      </c>
      <c r="H165" s="33" t="str">
        <f>IF(E165="Não","Não aplicável",IFERROR(IF(B165="EU-ENV-002",IF(INDEX(tbl_recyclass[Conforme_PPWR_2030],MATCH(A165,tbl_recyclass[ProductId],0))="Sim","Conforme (autoavaliação)",IF(INDEX(tbl_recyclass[Conforme_PPWR_2030],MATCH(A165,tbl_recyclass[ProductId],0))="Não","Não conforme em 2030","Isento até 2035")),IF(B165="EU-ENV-003",IF(INDEX(tbl_recyclass[Conforme_Art7_2030],MATCH(A165,tbl_recyclass[ProductId],0))="Sim","Conforme (meta 2030)",IF(INDEX(tbl_recyclass[Conforme_Art7_2030],MATCH(A165,tbl_recyclass[ProductId],0))="Não","Lacuna face à meta 2030","Isento")),IF(B165="EU-ENV-011",IF(INDEX(tbl_familias_ppwr[Metais_Pesados_Evidencia],MATCH(INDEX(tbl_recyclass[Familia_PPWR],MATCH(A165,tbl_recyclass[ProductId],0)),tbl_familias_ppwr[ID_Familia],0))="Em falta","Lacuna","Conforme"),IF(B165="EU-ENV-013",IF(INDEX(tbl_familias_ppwr[Declaracao_UE],MATCH(INDEX(tbl_recyclass[Familia_PPWR],MATCH(A165,tbl_recyclass[ProductId],0)),tbl_familias_ppwr[ID_Familia],0))="Sim","Conforme","Lacuna"),G165)))),G165))</f>
        <v>Não aplicável</v>
      </c>
      <c r="I165" s="33" t="str">
        <f t="shared" si="2"/>
        <v>Não aplicável</v>
      </c>
      <c r="J165" s="26"/>
    </row>
    <row r="166" spans="1:10" ht="16.05" customHeight="1" x14ac:dyDescent="0.3">
      <c r="A166" s="26" t="s">
        <v>621</v>
      </c>
      <c r="B166" s="26" t="s">
        <v>1170</v>
      </c>
      <c r="C166" s="33" t="str">
        <f>IFERROR(INDEX(tbl_requisitos_emb[Tema],MATCH(B166,tbl_requisitos_emb[ID_Req],0)),"")</f>
        <v>Boas práticas de fabrico FCM</v>
      </c>
      <c r="D166" s="33" t="str">
        <f>IFERROR(INDEX(tbl_recyclass[Segmento],MATCH(A166,tbl_recyclass[ProductId],0)),"")</f>
        <v>Cosmética e higiene pessoal</v>
      </c>
      <c r="E166" s="26" t="s">
        <v>904</v>
      </c>
      <c r="F166" s="26" t="s">
        <v>1450</v>
      </c>
      <c r="G166" s="26" t="s">
        <v>1143</v>
      </c>
      <c r="H166" s="33" t="str">
        <f>IF(E166="Não","Não aplicável",IFERROR(IF(B166="EU-ENV-002",IF(INDEX(tbl_recyclass[Conforme_PPWR_2030],MATCH(A166,tbl_recyclass[ProductId],0))="Sim","Conforme (autoavaliação)",IF(INDEX(tbl_recyclass[Conforme_PPWR_2030],MATCH(A166,tbl_recyclass[ProductId],0))="Não","Não conforme em 2030","Isento até 2035")),IF(B166="EU-ENV-003",IF(INDEX(tbl_recyclass[Conforme_Art7_2030],MATCH(A166,tbl_recyclass[ProductId],0))="Sim","Conforme (meta 2030)",IF(INDEX(tbl_recyclass[Conforme_Art7_2030],MATCH(A166,tbl_recyclass[ProductId],0))="Não","Lacuna face à meta 2030","Isento")),IF(B166="EU-ENV-011",IF(INDEX(tbl_familias_ppwr[Metais_Pesados_Evidencia],MATCH(INDEX(tbl_recyclass[Familia_PPWR],MATCH(A166,tbl_recyclass[ProductId],0)),tbl_familias_ppwr[ID_Familia],0))="Em falta","Lacuna","Conforme"),IF(B166="EU-ENV-013",IF(INDEX(tbl_familias_ppwr[Declaracao_UE],MATCH(INDEX(tbl_recyclass[Familia_PPWR],MATCH(A166,tbl_recyclass[ProductId],0)),tbl_familias_ppwr[ID_Familia],0))="Sim","Conforme","Lacuna"),G166)))),G166))</f>
        <v>Não aplicável</v>
      </c>
      <c r="I166" s="33" t="str">
        <f t="shared" si="2"/>
        <v>Não aplicável</v>
      </c>
      <c r="J166" s="26"/>
    </row>
    <row r="167" spans="1:10" ht="16.05" customHeight="1" x14ac:dyDescent="0.3">
      <c r="A167" s="26" t="s">
        <v>621</v>
      </c>
      <c r="B167" s="26" t="s">
        <v>1179</v>
      </c>
      <c r="C167" s="33" t="str">
        <f>IFERROR(INDEX(tbl_requisitos_emb[Tema],MATCH(B167,tbl_requisitos_emb[ID_Req],0)),"")</f>
        <v>Bisfenol A e bisfenóis perigosos</v>
      </c>
      <c r="D167" s="33" t="str">
        <f>IFERROR(INDEX(tbl_recyclass[Segmento],MATCH(A167,tbl_recyclass[ProductId],0)),"")</f>
        <v>Cosmética e higiene pessoal</v>
      </c>
      <c r="E167" s="26" t="s">
        <v>904</v>
      </c>
      <c r="F167" s="26" t="s">
        <v>1450</v>
      </c>
      <c r="G167" s="26" t="s">
        <v>1143</v>
      </c>
      <c r="H167" s="33" t="str">
        <f>IF(E167="Não","Não aplicável",IFERROR(IF(B167="EU-ENV-002",IF(INDEX(tbl_recyclass[Conforme_PPWR_2030],MATCH(A167,tbl_recyclass[ProductId],0))="Sim","Conforme (autoavaliação)",IF(INDEX(tbl_recyclass[Conforme_PPWR_2030],MATCH(A167,tbl_recyclass[ProductId],0))="Não","Não conforme em 2030","Isento até 2035")),IF(B167="EU-ENV-003",IF(INDEX(tbl_recyclass[Conforme_Art7_2030],MATCH(A167,tbl_recyclass[ProductId],0))="Sim","Conforme (meta 2030)",IF(INDEX(tbl_recyclass[Conforme_Art7_2030],MATCH(A167,tbl_recyclass[ProductId],0))="Não","Lacuna face à meta 2030","Isento")),IF(B167="EU-ENV-011",IF(INDEX(tbl_familias_ppwr[Metais_Pesados_Evidencia],MATCH(INDEX(tbl_recyclass[Familia_PPWR],MATCH(A167,tbl_recyclass[ProductId],0)),tbl_familias_ppwr[ID_Familia],0))="Em falta","Lacuna","Conforme"),IF(B167="EU-ENV-013",IF(INDEX(tbl_familias_ppwr[Declaracao_UE],MATCH(INDEX(tbl_recyclass[Familia_PPWR],MATCH(A167,tbl_recyclass[ProductId],0)),tbl_familias_ppwr[ID_Familia],0))="Sim","Conforme","Lacuna"),G167)))),G167))</f>
        <v>Não aplicável</v>
      </c>
      <c r="I167" s="33" t="str">
        <f t="shared" si="2"/>
        <v>Não aplicável</v>
      </c>
      <c r="J167" s="26"/>
    </row>
    <row r="168" spans="1:10" ht="16.05" customHeight="1" x14ac:dyDescent="0.3">
      <c r="A168" s="26" t="s">
        <v>621</v>
      </c>
      <c r="B168" s="26" t="s">
        <v>1188</v>
      </c>
      <c r="C168" s="33" t="str">
        <f>IFERROR(INDEX(tbl_requisitos_emb[Tema],MATCH(B168,tbl_requisitos_emb[ID_Req],0)),"")</f>
        <v>Plásticos em contacto com alimentos</v>
      </c>
      <c r="D168" s="33" t="str">
        <f>IFERROR(INDEX(tbl_recyclass[Segmento],MATCH(A168,tbl_recyclass[ProductId],0)),"")</f>
        <v>Cosmética e higiene pessoal</v>
      </c>
      <c r="E168" s="26" t="s">
        <v>904</v>
      </c>
      <c r="F168" s="26" t="s">
        <v>1450</v>
      </c>
      <c r="G168" s="26" t="s">
        <v>1143</v>
      </c>
      <c r="H168" s="33" t="str">
        <f>IF(E168="Não","Não aplicável",IFERROR(IF(B168="EU-ENV-002",IF(INDEX(tbl_recyclass[Conforme_PPWR_2030],MATCH(A168,tbl_recyclass[ProductId],0))="Sim","Conforme (autoavaliação)",IF(INDEX(tbl_recyclass[Conforme_PPWR_2030],MATCH(A168,tbl_recyclass[ProductId],0))="Não","Não conforme em 2030","Isento até 2035")),IF(B168="EU-ENV-003",IF(INDEX(tbl_recyclass[Conforme_Art7_2030],MATCH(A168,tbl_recyclass[ProductId],0))="Sim","Conforme (meta 2030)",IF(INDEX(tbl_recyclass[Conforme_Art7_2030],MATCH(A168,tbl_recyclass[ProductId],0))="Não","Lacuna face à meta 2030","Isento")),IF(B168="EU-ENV-011",IF(INDEX(tbl_familias_ppwr[Metais_Pesados_Evidencia],MATCH(INDEX(tbl_recyclass[Familia_PPWR],MATCH(A168,tbl_recyclass[ProductId],0)),tbl_familias_ppwr[ID_Familia],0))="Em falta","Lacuna","Conforme"),IF(B168="EU-ENV-013",IF(INDEX(tbl_familias_ppwr[Declaracao_UE],MATCH(INDEX(tbl_recyclass[Familia_PPWR],MATCH(A168,tbl_recyclass[ProductId],0)),tbl_familias_ppwr[ID_Familia],0))="Sim","Conforme","Lacuna"),G168)))),G168))</f>
        <v>Não aplicável</v>
      </c>
      <c r="I168" s="33" t="str">
        <f t="shared" si="2"/>
        <v>Não aplicável</v>
      </c>
      <c r="J168" s="26"/>
    </row>
    <row r="169" spans="1:10" ht="16.05" customHeight="1" x14ac:dyDescent="0.3">
      <c r="A169" s="26" t="s">
        <v>621</v>
      </c>
      <c r="B169" s="26" t="s">
        <v>1212</v>
      </c>
      <c r="C169" s="33" t="str">
        <f>IFERROR(INDEX(tbl_requisitos_emb[Tema],MATCH(B169,tbl_requisitos_emb[ID_Req],0)),"")</f>
        <v>Segurança do produto cosmético</v>
      </c>
      <c r="D169" s="33" t="str">
        <f>IFERROR(INDEX(tbl_recyclass[Segmento],MATCH(A169,tbl_recyclass[ProductId],0)),"")</f>
        <v>Cosmética e higiene pessoal</v>
      </c>
      <c r="E169" s="26" t="s">
        <v>901</v>
      </c>
      <c r="F169" s="26" t="s">
        <v>1449</v>
      </c>
      <c r="G169" s="26" t="s">
        <v>1033</v>
      </c>
      <c r="H169" s="33" t="str">
        <f>IF(E169="Não","Não aplicável",IFERROR(IF(B169="EU-ENV-002",IF(INDEX(tbl_recyclass[Conforme_PPWR_2030],MATCH(A169,tbl_recyclass[ProductId],0))="Sim","Conforme (autoavaliação)",IF(INDEX(tbl_recyclass[Conforme_PPWR_2030],MATCH(A169,tbl_recyclass[ProductId],0))="Não","Não conforme em 2030","Isento até 2035")),IF(B169="EU-ENV-003",IF(INDEX(tbl_recyclass[Conforme_Art7_2030],MATCH(A169,tbl_recyclass[ProductId],0))="Sim","Conforme (meta 2030)",IF(INDEX(tbl_recyclass[Conforme_Art7_2030],MATCH(A169,tbl_recyclass[ProductId],0))="Não","Lacuna face à meta 2030","Isento")),IF(B169="EU-ENV-011",IF(INDEX(tbl_familias_ppwr[Metais_Pesados_Evidencia],MATCH(INDEX(tbl_recyclass[Familia_PPWR],MATCH(A169,tbl_recyclass[ProductId],0)),tbl_familias_ppwr[ID_Familia],0))="Em falta","Lacuna","Conforme"),IF(B169="EU-ENV-013",IF(INDEX(tbl_familias_ppwr[Declaracao_UE],MATCH(INDEX(tbl_recyclass[Familia_PPWR],MATCH(A169,tbl_recyclass[ProductId],0)),tbl_familias_ppwr[ID_Familia],0))="Sim","Conforme","Lacuna"),G169)))),G169))</f>
        <v>Conforme</v>
      </c>
      <c r="I169" s="33" t="str">
        <f t="shared" si="2"/>
        <v>Conforme</v>
      </c>
      <c r="J169" s="26" t="s">
        <v>1221</v>
      </c>
    </row>
    <row r="170" spans="1:10" ht="16.05" customHeight="1" x14ac:dyDescent="0.3">
      <c r="A170" s="26" t="s">
        <v>621</v>
      </c>
      <c r="B170" s="26" t="s">
        <v>1224</v>
      </c>
      <c r="C170" s="33" t="str">
        <f>IFERROR(INDEX(tbl_requisitos_emb[Tema],MATCH(B170,tbl_requisitos_emb[ID_Req],0)),"")</f>
        <v>Materiais e impurezas</v>
      </c>
      <c r="D170" s="33" t="str">
        <f>IFERROR(INDEX(tbl_recyclass[Segmento],MATCH(A170,tbl_recyclass[ProductId],0)),"")</f>
        <v>Cosmética e higiene pessoal</v>
      </c>
      <c r="E170" s="26" t="s">
        <v>901</v>
      </c>
      <c r="F170" s="26" t="s">
        <v>1449</v>
      </c>
      <c r="G170" s="26" t="s">
        <v>978</v>
      </c>
      <c r="H170" s="33" t="str">
        <f>IF(E170="Não","Não aplicável",IFERROR(IF(B170="EU-ENV-002",IF(INDEX(tbl_recyclass[Conforme_PPWR_2030],MATCH(A170,tbl_recyclass[ProductId],0))="Sim","Conforme (autoavaliação)",IF(INDEX(tbl_recyclass[Conforme_PPWR_2030],MATCH(A170,tbl_recyclass[ProductId],0))="Não","Não conforme em 2030","Isento até 2035")),IF(B170="EU-ENV-003",IF(INDEX(tbl_recyclass[Conforme_Art7_2030],MATCH(A170,tbl_recyclass[ProductId],0))="Sim","Conforme (meta 2030)",IF(INDEX(tbl_recyclass[Conforme_Art7_2030],MATCH(A170,tbl_recyclass[ProductId],0))="Não","Lacuna face à meta 2030","Isento")),IF(B170="EU-ENV-011",IF(INDEX(tbl_familias_ppwr[Metais_Pesados_Evidencia],MATCH(INDEX(tbl_recyclass[Familia_PPWR],MATCH(A170,tbl_recyclass[ProductId],0)),tbl_familias_ppwr[ID_Familia],0))="Em falta","Lacuna","Conforme"),IF(B170="EU-ENV-013",IF(INDEX(tbl_familias_ppwr[Declaracao_UE],MATCH(INDEX(tbl_recyclass[Familia_PPWR],MATCH(A170,tbl_recyclass[ProductId],0)),tbl_familias_ppwr[ID_Familia],0))="Sim","Conforme","Lacuna"),G170)))),G170))</f>
        <v>Parcial</v>
      </c>
      <c r="I170" s="33" t="str">
        <f t="shared" si="2"/>
        <v>Parcial</v>
      </c>
      <c r="J170" s="26" t="s">
        <v>1228</v>
      </c>
    </row>
    <row r="171" spans="1:10" ht="16.05" customHeight="1" x14ac:dyDescent="0.3">
      <c r="A171" s="26" t="s">
        <v>621</v>
      </c>
      <c r="B171" s="26" t="s">
        <v>1240</v>
      </c>
      <c r="C171" s="33" t="str">
        <f>IFERROR(INDEX(tbl_requisitos_emb[Tema],MATCH(B171,tbl_requisitos_emb[ID_Req],0)),"")</f>
        <v>Compatibilidade embalagem–produto</v>
      </c>
      <c r="D171" s="33" t="str">
        <f>IFERROR(INDEX(tbl_recyclass[Segmento],MATCH(A171,tbl_recyclass[ProductId],0)),"")</f>
        <v>Cosmética e higiene pessoal</v>
      </c>
      <c r="E171" s="26" t="s">
        <v>901</v>
      </c>
      <c r="F171" s="26" t="s">
        <v>1449</v>
      </c>
      <c r="G171" s="26" t="s">
        <v>1033</v>
      </c>
      <c r="H171" s="33" t="str">
        <f>IF(E171="Não","Não aplicável",IFERROR(IF(B171="EU-ENV-002",IF(INDEX(tbl_recyclass[Conforme_PPWR_2030],MATCH(A171,tbl_recyclass[ProductId],0))="Sim","Conforme (autoavaliação)",IF(INDEX(tbl_recyclass[Conforme_PPWR_2030],MATCH(A171,tbl_recyclass[ProductId],0))="Não","Não conforme em 2030","Isento até 2035")),IF(B171="EU-ENV-003",IF(INDEX(tbl_recyclass[Conforme_Art7_2030],MATCH(A171,tbl_recyclass[ProductId],0))="Sim","Conforme (meta 2030)",IF(INDEX(tbl_recyclass[Conforme_Art7_2030],MATCH(A171,tbl_recyclass[ProductId],0))="Não","Lacuna face à meta 2030","Isento")),IF(B171="EU-ENV-011",IF(INDEX(tbl_familias_ppwr[Metais_Pesados_Evidencia],MATCH(INDEX(tbl_recyclass[Familia_PPWR],MATCH(A171,tbl_recyclass[ProductId],0)),tbl_familias_ppwr[ID_Familia],0))="Em falta","Lacuna","Conforme"),IF(B171="EU-ENV-013",IF(INDEX(tbl_familias_ppwr[Declaracao_UE],MATCH(INDEX(tbl_recyclass[Familia_PPWR],MATCH(A171,tbl_recyclass[ProductId],0)),tbl_familias_ppwr[ID_Familia],0))="Sim","Conforme","Lacuna"),G171)))),G171))</f>
        <v>Conforme</v>
      </c>
      <c r="I171" s="33" t="str">
        <f t="shared" si="2"/>
        <v>Conforme</v>
      </c>
      <c r="J171" s="26" t="s">
        <v>1244</v>
      </c>
    </row>
    <row r="172" spans="1:10" ht="16.05" customHeight="1" x14ac:dyDescent="0.3">
      <c r="A172" s="26" t="s">
        <v>621</v>
      </c>
      <c r="B172" s="26" t="s">
        <v>1252</v>
      </c>
      <c r="C172" s="33" t="str">
        <f>IFERROR(INDEX(tbl_requisitos_emb[Tema],MATCH(B172,tbl_requisitos_emb[ID_Req],0)),"")</f>
        <v>Medicamentos de uso humano</v>
      </c>
      <c r="D172" s="33" t="str">
        <f>IFERROR(INDEX(tbl_recyclass[Segmento],MATCH(A172,tbl_recyclass[ProductId],0)),"")</f>
        <v>Cosmética e higiene pessoal</v>
      </c>
      <c r="E172" s="26" t="s">
        <v>904</v>
      </c>
      <c r="F172" s="26" t="s">
        <v>1451</v>
      </c>
      <c r="G172" s="26" t="s">
        <v>1143</v>
      </c>
      <c r="H172" s="33" t="str">
        <f>IF(E172="Não","Não aplicável",IFERROR(IF(B172="EU-ENV-002",IF(INDEX(tbl_recyclass[Conforme_PPWR_2030],MATCH(A172,tbl_recyclass[ProductId],0))="Sim","Conforme (autoavaliação)",IF(INDEX(tbl_recyclass[Conforme_PPWR_2030],MATCH(A172,tbl_recyclass[ProductId],0))="Não","Não conforme em 2030","Isento até 2035")),IF(B172="EU-ENV-003",IF(INDEX(tbl_recyclass[Conforme_Art7_2030],MATCH(A172,tbl_recyclass[ProductId],0))="Sim","Conforme (meta 2030)",IF(INDEX(tbl_recyclass[Conforme_Art7_2030],MATCH(A172,tbl_recyclass[ProductId],0))="Não","Lacuna face à meta 2030","Isento")),IF(B172="EU-ENV-011",IF(INDEX(tbl_familias_ppwr[Metais_Pesados_Evidencia],MATCH(INDEX(tbl_recyclass[Familia_PPWR],MATCH(A172,tbl_recyclass[ProductId],0)),tbl_familias_ppwr[ID_Familia],0))="Em falta","Lacuna","Conforme"),IF(B172="EU-ENV-013",IF(INDEX(tbl_familias_ppwr[Declaracao_UE],MATCH(INDEX(tbl_recyclass[Familia_PPWR],MATCH(A172,tbl_recyclass[ProductId],0)),tbl_familias_ppwr[ID_Familia],0))="Sim","Conforme","Lacuna"),G172)))),G172))</f>
        <v>Não aplicável</v>
      </c>
      <c r="I172" s="33" t="str">
        <f t="shared" si="2"/>
        <v>Não aplicável</v>
      </c>
      <c r="J172" s="26"/>
    </row>
    <row r="173" spans="1:10" ht="16.05" customHeight="1" x14ac:dyDescent="0.3">
      <c r="A173" s="26" t="s">
        <v>621</v>
      </c>
      <c r="B173" s="26" t="s">
        <v>1268</v>
      </c>
      <c r="C173" s="33" t="str">
        <f>IFERROR(INDEX(tbl_requisitos_emb[Tema],MATCH(B173,tbl_requisitos_emb[ID_Req],0)),"")</f>
        <v>Dispositivos de segurança</v>
      </c>
      <c r="D173" s="33" t="str">
        <f>IFERROR(INDEX(tbl_recyclass[Segmento],MATCH(A173,tbl_recyclass[ProductId],0)),"")</f>
        <v>Cosmética e higiene pessoal</v>
      </c>
      <c r="E173" s="26" t="s">
        <v>904</v>
      </c>
      <c r="F173" s="26" t="s">
        <v>1451</v>
      </c>
      <c r="G173" s="26" t="s">
        <v>1143</v>
      </c>
      <c r="H173" s="33" t="str">
        <f>IF(E173="Não","Não aplicável",IFERROR(IF(B173="EU-ENV-002",IF(INDEX(tbl_recyclass[Conforme_PPWR_2030],MATCH(A173,tbl_recyclass[ProductId],0))="Sim","Conforme (autoavaliação)",IF(INDEX(tbl_recyclass[Conforme_PPWR_2030],MATCH(A173,tbl_recyclass[ProductId],0))="Não","Não conforme em 2030","Isento até 2035")),IF(B173="EU-ENV-003",IF(INDEX(tbl_recyclass[Conforme_Art7_2030],MATCH(A173,tbl_recyclass[ProductId],0))="Sim","Conforme (meta 2030)",IF(INDEX(tbl_recyclass[Conforme_Art7_2030],MATCH(A173,tbl_recyclass[ProductId],0))="Não","Lacuna face à meta 2030","Isento")),IF(B173="EU-ENV-011",IF(INDEX(tbl_familias_ppwr[Metais_Pesados_Evidencia],MATCH(INDEX(tbl_recyclass[Familia_PPWR],MATCH(A173,tbl_recyclass[ProductId],0)),tbl_familias_ppwr[ID_Familia],0))="Em falta","Lacuna","Conforme"),IF(B173="EU-ENV-013",IF(INDEX(tbl_familias_ppwr[Declaracao_UE],MATCH(INDEX(tbl_recyclass[Familia_PPWR],MATCH(A173,tbl_recyclass[ProductId],0)),tbl_familias_ppwr[ID_Familia],0))="Sim","Conforme","Lacuna"),G173)))),G173))</f>
        <v>Não aplicável</v>
      </c>
      <c r="I173" s="33" t="str">
        <f t="shared" si="2"/>
        <v>Não aplicável</v>
      </c>
      <c r="J173" s="26"/>
    </row>
    <row r="174" spans="1:10" ht="16.05" customHeight="1" x14ac:dyDescent="0.3">
      <c r="A174" s="26" t="s">
        <v>621</v>
      </c>
      <c r="B174" s="26" t="s">
        <v>1285</v>
      </c>
      <c r="C174" s="33" t="str">
        <f>IFERROR(INDEX(tbl_requisitos_emb[Tema],MATCH(B174,tbl_requisitos_emb[ID_Req],0)),"")</f>
        <v>Materiais plásticos de acondicionamento primário</v>
      </c>
      <c r="D174" s="33" t="str">
        <f>IFERROR(INDEX(tbl_recyclass[Segmento],MATCH(A174,tbl_recyclass[ProductId],0)),"")</f>
        <v>Cosmética e higiene pessoal</v>
      </c>
      <c r="E174" s="26" t="s">
        <v>904</v>
      </c>
      <c r="F174" s="26" t="s">
        <v>1451</v>
      </c>
      <c r="G174" s="26" t="s">
        <v>1143</v>
      </c>
      <c r="H174" s="33" t="str">
        <f>IF(E174="Não","Não aplicável",IFERROR(IF(B174="EU-ENV-002",IF(INDEX(tbl_recyclass[Conforme_PPWR_2030],MATCH(A174,tbl_recyclass[ProductId],0))="Sim","Conforme (autoavaliação)",IF(INDEX(tbl_recyclass[Conforme_PPWR_2030],MATCH(A174,tbl_recyclass[ProductId],0))="Não","Não conforme em 2030","Isento até 2035")),IF(B174="EU-ENV-003",IF(INDEX(tbl_recyclass[Conforme_Art7_2030],MATCH(A174,tbl_recyclass[ProductId],0))="Sim","Conforme (meta 2030)",IF(INDEX(tbl_recyclass[Conforme_Art7_2030],MATCH(A174,tbl_recyclass[ProductId],0))="Não","Lacuna face à meta 2030","Isento")),IF(B174="EU-ENV-011",IF(INDEX(tbl_familias_ppwr[Metais_Pesados_Evidencia],MATCH(INDEX(tbl_recyclass[Familia_PPWR],MATCH(A174,tbl_recyclass[ProductId],0)),tbl_familias_ppwr[ID_Familia],0))="Em falta","Lacuna","Conforme"),IF(B174="EU-ENV-013",IF(INDEX(tbl_familias_ppwr[Declaracao_UE],MATCH(INDEX(tbl_recyclass[Familia_PPWR],MATCH(A174,tbl_recyclass[ProductId],0)),tbl_familias_ppwr[ID_Familia],0))="Sim","Conforme","Lacuna"),G174)))),G174))</f>
        <v>Não aplicável</v>
      </c>
      <c r="I174" s="33" t="str">
        <f t="shared" si="2"/>
        <v>Não aplicável</v>
      </c>
      <c r="J174" s="26"/>
    </row>
    <row r="175" spans="1:10" ht="16.05" customHeight="1" x14ac:dyDescent="0.3">
      <c r="A175" s="26" t="s">
        <v>621</v>
      </c>
      <c r="B175" s="26" t="s">
        <v>1293</v>
      </c>
      <c r="C175" s="33" t="str">
        <f>IFERROR(INDEX(tbl_requisitos_emb[Tema],MATCH(B175,tbl_requisitos_emb[ID_Req],0)),"")</f>
        <v>Isenções PPWR</v>
      </c>
      <c r="D175" s="33" t="str">
        <f>IFERROR(INDEX(tbl_recyclass[Segmento],MATCH(A175,tbl_recyclass[ProductId],0)),"")</f>
        <v>Cosmética e higiene pessoal</v>
      </c>
      <c r="E175" s="26" t="s">
        <v>904</v>
      </c>
      <c r="F175" s="26" t="s">
        <v>1451</v>
      </c>
      <c r="G175" s="26" t="s">
        <v>1143</v>
      </c>
      <c r="H175" s="33" t="str">
        <f>IF(E175="Não","Não aplicável",IFERROR(IF(B175="EU-ENV-002",IF(INDEX(tbl_recyclass[Conforme_PPWR_2030],MATCH(A175,tbl_recyclass[ProductId],0))="Sim","Conforme (autoavaliação)",IF(INDEX(tbl_recyclass[Conforme_PPWR_2030],MATCH(A175,tbl_recyclass[ProductId],0))="Não","Não conforme em 2030","Isento até 2035")),IF(B175="EU-ENV-003",IF(INDEX(tbl_recyclass[Conforme_Art7_2030],MATCH(A175,tbl_recyclass[ProductId],0))="Sim","Conforme (meta 2030)",IF(INDEX(tbl_recyclass[Conforme_Art7_2030],MATCH(A175,tbl_recyclass[ProductId],0))="Não","Lacuna face à meta 2030","Isento")),IF(B175="EU-ENV-011",IF(INDEX(tbl_familias_ppwr[Metais_Pesados_Evidencia],MATCH(INDEX(tbl_recyclass[Familia_PPWR],MATCH(A175,tbl_recyclass[ProductId],0)),tbl_familias_ppwr[ID_Familia],0))="Em falta","Lacuna","Conforme"),IF(B175="EU-ENV-013",IF(INDEX(tbl_familias_ppwr[Declaracao_UE],MATCH(INDEX(tbl_recyclass[Familia_PPWR],MATCH(A175,tbl_recyclass[ProductId],0)),tbl_familias_ppwr[ID_Familia],0))="Sim","Conforme","Lacuna"),G175)))),G175))</f>
        <v>Não aplicável</v>
      </c>
      <c r="I175" s="33" t="str">
        <f t="shared" si="2"/>
        <v>Não aplicável</v>
      </c>
      <c r="J175" s="26"/>
    </row>
    <row r="176" spans="1:10" ht="16.05" customHeight="1" x14ac:dyDescent="0.3">
      <c r="A176" s="26" t="s">
        <v>621</v>
      </c>
      <c r="B176" s="26" t="s">
        <v>1357</v>
      </c>
      <c r="C176" s="33" t="str">
        <f>IFERROR(INDEX(tbl_requisitos_emb[Tema],MATCH(B176,tbl_requisitos_emb[ID_Req],0)),"")</f>
        <v>Identificação de plásticos</v>
      </c>
      <c r="D176" s="33" t="str">
        <f>IFERROR(INDEX(tbl_recyclass[Segmento],MATCH(A176,tbl_recyclass[ProductId],0)),"")</f>
        <v>Cosmética e higiene pessoal</v>
      </c>
      <c r="E176" s="26" t="s">
        <v>901</v>
      </c>
      <c r="F176" s="26" t="s">
        <v>1449</v>
      </c>
      <c r="G176" s="26" t="s">
        <v>978</v>
      </c>
      <c r="H176" s="33" t="str">
        <f>IF(E176="Não","Não aplicável",IFERROR(IF(B176="EU-ENV-002",IF(INDEX(tbl_recyclass[Conforme_PPWR_2030],MATCH(A176,tbl_recyclass[ProductId],0))="Sim","Conforme (autoavaliação)",IF(INDEX(tbl_recyclass[Conforme_PPWR_2030],MATCH(A176,tbl_recyclass[ProductId],0))="Não","Não conforme em 2030","Isento até 2035")),IF(B176="EU-ENV-003",IF(INDEX(tbl_recyclass[Conforme_Art7_2030],MATCH(A176,tbl_recyclass[ProductId],0))="Sim","Conforme (meta 2030)",IF(INDEX(tbl_recyclass[Conforme_Art7_2030],MATCH(A176,tbl_recyclass[ProductId],0))="Não","Lacuna face à meta 2030","Isento")),IF(B176="EU-ENV-011",IF(INDEX(tbl_familias_ppwr[Metais_Pesados_Evidencia],MATCH(INDEX(tbl_recyclass[Familia_PPWR],MATCH(A176,tbl_recyclass[ProductId],0)),tbl_familias_ppwr[ID_Familia],0))="Em falta","Lacuna","Conforme"),IF(B176="EU-ENV-013",IF(INDEX(tbl_familias_ppwr[Declaracao_UE],MATCH(INDEX(tbl_recyclass[Familia_PPWR],MATCH(A176,tbl_recyclass[ProductId],0)),tbl_familias_ppwr[ID_Familia],0))="Sim","Conforme","Lacuna"),G176)))),G176))</f>
        <v>Parcial</v>
      </c>
      <c r="I176" s="33" t="str">
        <f t="shared" si="2"/>
        <v>Parcial</v>
      </c>
      <c r="J176" s="26" t="s">
        <v>1362</v>
      </c>
    </row>
    <row r="177" spans="1:10" ht="16.05" customHeight="1" x14ac:dyDescent="0.3">
      <c r="A177" s="26" t="s">
        <v>621</v>
      </c>
      <c r="B177" s="26" t="s">
        <v>1385</v>
      </c>
      <c r="C177" s="33" t="str">
        <f>IFERROR(INDEX(tbl_requisitos_emb[Tema],MATCH(B177,tbl_requisitos_emb[ID_Req],0)),"")</f>
        <v>Reciclabilidade (voluntária)</v>
      </c>
      <c r="D177" s="33" t="str">
        <f>IFERROR(INDEX(tbl_recyclass[Segmento],MATCH(A177,tbl_recyclass[ProductId],0)),"")</f>
        <v>Cosmética e higiene pessoal</v>
      </c>
      <c r="E177" s="26" t="s">
        <v>901</v>
      </c>
      <c r="F177" s="26" t="s">
        <v>1449</v>
      </c>
      <c r="G177" s="26" t="s">
        <v>978</v>
      </c>
      <c r="H177" s="33" t="str">
        <f>IF(E177="Não","Não aplicável",IFERROR(IF(B177="EU-ENV-002",IF(INDEX(tbl_recyclass[Conforme_PPWR_2030],MATCH(A177,tbl_recyclass[ProductId],0))="Sim","Conforme (autoavaliação)",IF(INDEX(tbl_recyclass[Conforme_PPWR_2030],MATCH(A177,tbl_recyclass[ProductId],0))="Não","Não conforme em 2030","Isento até 2035")),IF(B177="EU-ENV-003",IF(INDEX(tbl_recyclass[Conforme_Art7_2030],MATCH(A177,tbl_recyclass[ProductId],0))="Sim","Conforme (meta 2030)",IF(INDEX(tbl_recyclass[Conforme_Art7_2030],MATCH(A177,tbl_recyclass[ProductId],0))="Não","Lacuna face à meta 2030","Isento")),IF(B177="EU-ENV-011",IF(INDEX(tbl_familias_ppwr[Metais_Pesados_Evidencia],MATCH(INDEX(tbl_recyclass[Familia_PPWR],MATCH(A177,tbl_recyclass[ProductId],0)),tbl_familias_ppwr[ID_Familia],0))="Em falta","Lacuna","Conforme"),IF(B177="EU-ENV-013",IF(INDEX(tbl_familias_ppwr[Declaracao_UE],MATCH(INDEX(tbl_recyclass[Familia_PPWR],MATCH(A177,tbl_recyclass[ProductId],0)),tbl_familias_ppwr[ID_Familia],0))="Sim","Conforme","Lacuna"),G177)))),G177))</f>
        <v>Parcial</v>
      </c>
      <c r="I177" s="33" t="str">
        <f t="shared" si="2"/>
        <v>Parcial</v>
      </c>
      <c r="J177" s="26" t="s">
        <v>1389</v>
      </c>
    </row>
    <row r="178" spans="1:10" ht="16.05" customHeight="1" x14ac:dyDescent="0.3">
      <c r="A178" s="26" t="s">
        <v>625</v>
      </c>
      <c r="B178" s="26" t="s">
        <v>984</v>
      </c>
      <c r="C178" s="33" t="str">
        <f>IFERROR(INDEX(tbl_requisitos_emb[Tema],MATCH(B178,tbl_requisitos_emb[ID_Req],0)),"")</f>
        <v>Conceção para reciclagem</v>
      </c>
      <c r="D178" s="33" t="str">
        <f>IFERROR(INDEX(tbl_recyclass[Segmento],MATCH(A178,tbl_recyclass[ProductId],0)),"")</f>
        <v>Cosmética e higiene pessoal</v>
      </c>
      <c r="E178" s="26" t="s">
        <v>901</v>
      </c>
      <c r="F178" s="26" t="s">
        <v>1449</v>
      </c>
      <c r="G178" s="26" t="s">
        <v>978</v>
      </c>
      <c r="H178" s="33" t="str">
        <f>IF(E178="Não","Não aplicável",IFERROR(IF(B178="EU-ENV-002",IF(INDEX(tbl_recyclass[Conforme_PPWR_2030],MATCH(A178,tbl_recyclass[ProductId],0))="Sim","Conforme (autoavaliação)",IF(INDEX(tbl_recyclass[Conforme_PPWR_2030],MATCH(A178,tbl_recyclass[ProductId],0))="Não","Não conforme em 2030","Isento até 2035")),IF(B178="EU-ENV-003",IF(INDEX(tbl_recyclass[Conforme_Art7_2030],MATCH(A178,tbl_recyclass[ProductId],0))="Sim","Conforme (meta 2030)",IF(INDEX(tbl_recyclass[Conforme_Art7_2030],MATCH(A178,tbl_recyclass[ProductId],0))="Não","Lacuna face à meta 2030","Isento")),IF(B178="EU-ENV-011",IF(INDEX(tbl_familias_ppwr[Metais_Pesados_Evidencia],MATCH(INDEX(tbl_recyclass[Familia_PPWR],MATCH(A178,tbl_recyclass[ProductId],0)),tbl_familias_ppwr[ID_Familia],0))="Em falta","Lacuna","Conforme"),IF(B178="EU-ENV-013",IF(INDEX(tbl_familias_ppwr[Declaracao_UE],MATCH(INDEX(tbl_recyclass[Familia_PPWR],MATCH(A178,tbl_recyclass[ProductId],0)),tbl_familias_ppwr[ID_Familia],0))="Sim","Conforme","Lacuna"),G178)))),G178))</f>
        <v>Conforme (autoavaliação)</v>
      </c>
      <c r="I178" s="33" t="str">
        <f t="shared" si="2"/>
        <v>Conforme</v>
      </c>
      <c r="J178" s="26" t="s">
        <v>991</v>
      </c>
    </row>
    <row r="179" spans="1:10" ht="16.05" customHeight="1" x14ac:dyDescent="0.3">
      <c r="A179" s="26" t="s">
        <v>625</v>
      </c>
      <c r="B179" s="26" t="s">
        <v>997</v>
      </c>
      <c r="C179" s="33" t="str">
        <f>IFERROR(INDEX(tbl_requisitos_emb[Tema],MATCH(B179,tbl_requisitos_emb[ID_Req],0)),"")</f>
        <v>Conteúdo reciclado</v>
      </c>
      <c r="D179" s="33" t="str">
        <f>IFERROR(INDEX(tbl_recyclass[Segmento],MATCH(A179,tbl_recyclass[ProductId],0)),"")</f>
        <v>Cosmética e higiene pessoal</v>
      </c>
      <c r="E179" s="26" t="s">
        <v>901</v>
      </c>
      <c r="F179" s="26" t="s">
        <v>1449</v>
      </c>
      <c r="G179" s="26" t="s">
        <v>978</v>
      </c>
      <c r="H179" s="33" t="str">
        <f>IF(E179="Não","Não aplicável",IFERROR(IF(B179="EU-ENV-002",IF(INDEX(tbl_recyclass[Conforme_PPWR_2030],MATCH(A179,tbl_recyclass[ProductId],0))="Sim","Conforme (autoavaliação)",IF(INDEX(tbl_recyclass[Conforme_PPWR_2030],MATCH(A179,tbl_recyclass[ProductId],0))="Não","Não conforme em 2030","Isento até 2035")),IF(B179="EU-ENV-003",IF(INDEX(tbl_recyclass[Conforme_Art7_2030],MATCH(A179,tbl_recyclass[ProductId],0))="Sim","Conforme (meta 2030)",IF(INDEX(tbl_recyclass[Conforme_Art7_2030],MATCH(A179,tbl_recyclass[ProductId],0))="Não","Lacuna face à meta 2030","Isento")),IF(B179="EU-ENV-011",IF(INDEX(tbl_familias_ppwr[Metais_Pesados_Evidencia],MATCH(INDEX(tbl_recyclass[Familia_PPWR],MATCH(A179,tbl_recyclass[ProductId],0)),tbl_familias_ppwr[ID_Familia],0))="Em falta","Lacuna","Conforme"),IF(B179="EU-ENV-013",IF(INDEX(tbl_familias_ppwr[Declaracao_UE],MATCH(INDEX(tbl_recyclass[Familia_PPWR],MATCH(A179,tbl_recyclass[ProductId],0)),tbl_familias_ppwr[ID_Familia],0))="Sim","Conforme","Lacuna"),G179)))),G179))</f>
        <v>Lacuna face à meta 2030</v>
      </c>
      <c r="I179" s="33" t="str">
        <f t="shared" si="2"/>
        <v>Lacuna</v>
      </c>
      <c r="J179" s="26" t="s">
        <v>1001</v>
      </c>
    </row>
    <row r="180" spans="1:10" ht="16.05" customHeight="1" x14ac:dyDescent="0.3">
      <c r="A180" s="26" t="s">
        <v>625</v>
      </c>
      <c r="B180" s="26" t="s">
        <v>1007</v>
      </c>
      <c r="C180" s="33" t="str">
        <f>IFERROR(INDEX(tbl_requisitos_emb[Tema],MATCH(B180,tbl_requisitos_emb[ID_Req],0)),"")</f>
        <v>Minimização</v>
      </c>
      <c r="D180" s="33" t="str">
        <f>IFERROR(INDEX(tbl_recyclass[Segmento],MATCH(A180,tbl_recyclass[ProductId],0)),"")</f>
        <v>Cosmética e higiene pessoal</v>
      </c>
      <c r="E180" s="26" t="s">
        <v>901</v>
      </c>
      <c r="F180" s="26" t="s">
        <v>1449</v>
      </c>
      <c r="G180" s="26" t="s">
        <v>978</v>
      </c>
      <c r="H180" s="33" t="str">
        <f>IF(E180="Não","Não aplicável",IFERROR(IF(B180="EU-ENV-002",IF(INDEX(tbl_recyclass[Conforme_PPWR_2030],MATCH(A180,tbl_recyclass[ProductId],0))="Sim","Conforme (autoavaliação)",IF(INDEX(tbl_recyclass[Conforme_PPWR_2030],MATCH(A180,tbl_recyclass[ProductId],0))="Não","Não conforme em 2030","Isento até 2035")),IF(B180="EU-ENV-003",IF(INDEX(tbl_recyclass[Conforme_Art7_2030],MATCH(A180,tbl_recyclass[ProductId],0))="Sim","Conforme (meta 2030)",IF(INDEX(tbl_recyclass[Conforme_Art7_2030],MATCH(A180,tbl_recyclass[ProductId],0))="Não","Lacuna face à meta 2030","Isento")),IF(B180="EU-ENV-011",IF(INDEX(tbl_familias_ppwr[Metais_Pesados_Evidencia],MATCH(INDEX(tbl_recyclass[Familia_PPWR],MATCH(A180,tbl_recyclass[ProductId],0)),tbl_familias_ppwr[ID_Familia],0))="Em falta","Lacuna","Conforme"),IF(B180="EU-ENV-013",IF(INDEX(tbl_familias_ppwr[Declaracao_UE],MATCH(INDEX(tbl_recyclass[Familia_PPWR],MATCH(A180,tbl_recyclass[ProductId],0)),tbl_familias_ppwr[ID_Familia],0))="Sim","Conforme","Lacuna"),G180)))),G180))</f>
        <v>Parcial</v>
      </c>
      <c r="I180" s="33" t="str">
        <f t="shared" si="2"/>
        <v>Parcial</v>
      </c>
      <c r="J180" s="26" t="s">
        <v>1012</v>
      </c>
    </row>
    <row r="181" spans="1:10" ht="16.05" customHeight="1" x14ac:dyDescent="0.3">
      <c r="A181" s="26" t="s">
        <v>625</v>
      </c>
      <c r="B181" s="26" t="s">
        <v>1016</v>
      </c>
      <c r="C181" s="33" t="str">
        <f>IFERROR(INDEX(tbl_requisitos_emb[Tema],MATCH(B181,tbl_requisitos_emb[ID_Req],0)),"")</f>
        <v>Rotulagem</v>
      </c>
      <c r="D181" s="33" t="str">
        <f>IFERROR(INDEX(tbl_recyclass[Segmento],MATCH(A181,tbl_recyclass[ProductId],0)),"")</f>
        <v>Cosmética e higiene pessoal</v>
      </c>
      <c r="E181" s="26" t="s">
        <v>901</v>
      </c>
      <c r="F181" s="26" t="s">
        <v>1449</v>
      </c>
      <c r="G181" s="26" t="s">
        <v>990</v>
      </c>
      <c r="H181" s="33" t="str">
        <f>IF(E181="Não","Não aplicável",IFERROR(IF(B181="EU-ENV-002",IF(INDEX(tbl_recyclass[Conforme_PPWR_2030],MATCH(A181,tbl_recyclass[ProductId],0))="Sim","Conforme (autoavaliação)",IF(INDEX(tbl_recyclass[Conforme_PPWR_2030],MATCH(A181,tbl_recyclass[ProductId],0))="Não","Não conforme em 2030","Isento até 2035")),IF(B181="EU-ENV-003",IF(INDEX(tbl_recyclass[Conforme_Art7_2030],MATCH(A181,tbl_recyclass[ProductId],0))="Sim","Conforme (meta 2030)",IF(INDEX(tbl_recyclass[Conforme_Art7_2030],MATCH(A181,tbl_recyclass[ProductId],0))="Não","Lacuna face à meta 2030","Isento")),IF(B181="EU-ENV-011",IF(INDEX(tbl_familias_ppwr[Metais_Pesados_Evidencia],MATCH(INDEX(tbl_recyclass[Familia_PPWR],MATCH(A181,tbl_recyclass[ProductId],0)),tbl_familias_ppwr[ID_Familia],0))="Em falta","Lacuna","Conforme"),IF(B181="EU-ENV-013",IF(INDEX(tbl_familias_ppwr[Declaracao_UE],MATCH(INDEX(tbl_recyclass[Familia_PPWR],MATCH(A181,tbl_recyclass[ProductId],0)),tbl_familias_ppwr[ID_Familia],0))="Sim","Conforme","Lacuna"),G181)))),G181))</f>
        <v>Futuro</v>
      </c>
      <c r="I181" s="33" t="str">
        <f t="shared" si="2"/>
        <v>Futuro</v>
      </c>
      <c r="J181" s="26" t="s">
        <v>1021</v>
      </c>
    </row>
    <row r="182" spans="1:10" ht="16.05" customHeight="1" x14ac:dyDescent="0.3">
      <c r="A182" s="26" t="s">
        <v>625</v>
      </c>
      <c r="B182" s="26" t="s">
        <v>1038</v>
      </c>
      <c r="C182" s="33" t="str">
        <f>IFERROR(INDEX(tbl_requisitos_emb[Tema],MATCH(B182,tbl_requisitos_emb[ID_Req],0)),"")</f>
        <v>Plásticos de utilização única</v>
      </c>
      <c r="D182" s="33" t="str">
        <f>IFERROR(INDEX(tbl_recyclass[Segmento],MATCH(A182,tbl_recyclass[ProductId],0)),"")</f>
        <v>Cosmética e higiene pessoal</v>
      </c>
      <c r="E182" s="26" t="s">
        <v>904</v>
      </c>
      <c r="F182" s="26" t="s">
        <v>1450</v>
      </c>
      <c r="G182" s="26" t="s">
        <v>1143</v>
      </c>
      <c r="H182" s="33" t="str">
        <f>IF(E182="Não","Não aplicável",IFERROR(IF(B182="EU-ENV-002",IF(INDEX(tbl_recyclass[Conforme_PPWR_2030],MATCH(A182,tbl_recyclass[ProductId],0))="Sim","Conforme (autoavaliação)",IF(INDEX(tbl_recyclass[Conforme_PPWR_2030],MATCH(A182,tbl_recyclass[ProductId],0))="Não","Não conforme em 2030","Isento até 2035")),IF(B182="EU-ENV-003",IF(INDEX(tbl_recyclass[Conforme_Art7_2030],MATCH(A182,tbl_recyclass[ProductId],0))="Sim","Conforme (meta 2030)",IF(INDEX(tbl_recyclass[Conforme_Art7_2030],MATCH(A182,tbl_recyclass[ProductId],0))="Não","Lacuna face à meta 2030","Isento")),IF(B182="EU-ENV-011",IF(INDEX(tbl_familias_ppwr[Metais_Pesados_Evidencia],MATCH(INDEX(tbl_recyclass[Familia_PPWR],MATCH(A182,tbl_recyclass[ProductId],0)),tbl_familias_ppwr[ID_Familia],0))="Em falta","Lacuna","Conforme"),IF(B182="EU-ENV-013",IF(INDEX(tbl_familias_ppwr[Declaracao_UE],MATCH(INDEX(tbl_recyclass[Familia_PPWR],MATCH(A182,tbl_recyclass[ProductId],0)),tbl_familias_ppwr[ID_Familia],0))="Sim","Conforme","Lacuna"),G182)))),G182))</f>
        <v>Não aplicável</v>
      </c>
      <c r="I182" s="33" t="str">
        <f t="shared" si="2"/>
        <v>Não aplicável</v>
      </c>
      <c r="J182" s="26"/>
    </row>
    <row r="183" spans="1:10" ht="16.05" customHeight="1" x14ac:dyDescent="0.3">
      <c r="A183" s="26" t="s">
        <v>625</v>
      </c>
      <c r="B183" s="26" t="s">
        <v>1078</v>
      </c>
      <c r="C183" s="33" t="str">
        <f>IFERROR(INDEX(tbl_requisitos_emb[Tema],MATCH(B183,tbl_requisitos_emb[ID_Req],0)),"")</f>
        <v>Reciclado à escala</v>
      </c>
      <c r="D183" s="33" t="str">
        <f>IFERROR(INDEX(tbl_recyclass[Segmento],MATCH(A183,tbl_recyclass[ProductId],0)),"")</f>
        <v>Cosmética e higiene pessoal</v>
      </c>
      <c r="E183" s="26" t="s">
        <v>901</v>
      </c>
      <c r="F183" s="26" t="s">
        <v>1449</v>
      </c>
      <c r="G183" s="26" t="s">
        <v>990</v>
      </c>
      <c r="H183" s="33" t="str">
        <f>IF(E183="Não","Não aplicável",IFERROR(IF(B183="EU-ENV-002",IF(INDEX(tbl_recyclass[Conforme_PPWR_2030],MATCH(A183,tbl_recyclass[ProductId],0))="Sim","Conforme (autoavaliação)",IF(INDEX(tbl_recyclass[Conforme_PPWR_2030],MATCH(A183,tbl_recyclass[ProductId],0))="Não","Não conforme em 2030","Isento até 2035")),IF(B183="EU-ENV-003",IF(INDEX(tbl_recyclass[Conforme_Art7_2030],MATCH(A183,tbl_recyclass[ProductId],0))="Sim","Conforme (meta 2030)",IF(INDEX(tbl_recyclass[Conforme_Art7_2030],MATCH(A183,tbl_recyclass[ProductId],0))="Não","Lacuna face à meta 2030","Isento")),IF(B183="EU-ENV-011",IF(INDEX(tbl_familias_ppwr[Metais_Pesados_Evidencia],MATCH(INDEX(tbl_recyclass[Familia_PPWR],MATCH(A183,tbl_recyclass[ProductId],0)),tbl_familias_ppwr[ID_Familia],0))="Em falta","Lacuna","Conforme"),IF(B183="EU-ENV-013",IF(INDEX(tbl_familias_ppwr[Declaracao_UE],MATCH(INDEX(tbl_recyclass[Familia_PPWR],MATCH(A183,tbl_recyclass[ProductId],0)),tbl_familias_ppwr[ID_Familia],0))="Sim","Conforme","Lacuna"),G183)))),G183))</f>
        <v>Futuro</v>
      </c>
      <c r="I183" s="33" t="str">
        <f t="shared" si="2"/>
        <v>Futuro</v>
      </c>
      <c r="J183" s="26" t="s">
        <v>1082</v>
      </c>
    </row>
    <row r="184" spans="1:10" ht="16.05" customHeight="1" x14ac:dyDescent="0.3">
      <c r="A184" s="26" t="s">
        <v>625</v>
      </c>
      <c r="B184" s="26" t="s">
        <v>1086</v>
      </c>
      <c r="C184" s="33" t="str">
        <f>IFERROR(INDEX(tbl_requisitos_emb[Tema],MATCH(B184,tbl_requisitos_emb[ID_Req],0)),"")</f>
        <v>Metais pesados</v>
      </c>
      <c r="D184" s="33" t="str">
        <f>IFERROR(INDEX(tbl_recyclass[Segmento],MATCH(A184,tbl_recyclass[ProductId],0)),"")</f>
        <v>Cosmética e higiene pessoal</v>
      </c>
      <c r="E184" s="26" t="s">
        <v>901</v>
      </c>
      <c r="F184" s="26" t="s">
        <v>1449</v>
      </c>
      <c r="G184" s="26" t="s">
        <v>978</v>
      </c>
      <c r="H184" s="33" t="str">
        <f>IF(E184="Não","Não aplicável",IFERROR(IF(B184="EU-ENV-002",IF(INDEX(tbl_recyclass[Conforme_PPWR_2030],MATCH(A184,tbl_recyclass[ProductId],0))="Sim","Conforme (autoavaliação)",IF(INDEX(tbl_recyclass[Conforme_PPWR_2030],MATCH(A184,tbl_recyclass[ProductId],0))="Não","Não conforme em 2030","Isento até 2035")),IF(B184="EU-ENV-003",IF(INDEX(tbl_recyclass[Conforme_Art7_2030],MATCH(A184,tbl_recyclass[ProductId],0))="Sim","Conforme (meta 2030)",IF(INDEX(tbl_recyclass[Conforme_Art7_2030],MATCH(A184,tbl_recyclass[ProductId],0))="Não","Lacuna face à meta 2030","Isento")),IF(B184="EU-ENV-011",IF(INDEX(tbl_familias_ppwr[Metais_Pesados_Evidencia],MATCH(INDEX(tbl_recyclass[Familia_PPWR],MATCH(A184,tbl_recyclass[ProductId],0)),tbl_familias_ppwr[ID_Familia],0))="Em falta","Lacuna","Conforme"),IF(B184="EU-ENV-013",IF(INDEX(tbl_familias_ppwr[Declaracao_UE],MATCH(INDEX(tbl_recyclass[Familia_PPWR],MATCH(A184,tbl_recyclass[ProductId],0)),tbl_familias_ppwr[ID_Familia],0))="Sim","Conforme","Lacuna"),G184)))),G184))</f>
        <v>Conforme</v>
      </c>
      <c r="I184" s="33" t="str">
        <f t="shared" si="2"/>
        <v>Conforme</v>
      </c>
      <c r="J184" s="26" t="s">
        <v>1090</v>
      </c>
    </row>
    <row r="185" spans="1:10" ht="16.05" customHeight="1" x14ac:dyDescent="0.3">
      <c r="A185" s="26" t="s">
        <v>625</v>
      </c>
      <c r="B185" s="26" t="s">
        <v>1094</v>
      </c>
      <c r="C185" s="33" t="str">
        <f>IFERROR(INDEX(tbl_requisitos_emb[Tema],MATCH(B185,tbl_requisitos_emb[ID_Req],0)),"")</f>
        <v>PFAS</v>
      </c>
      <c r="D185" s="33" t="str">
        <f>IFERROR(INDEX(tbl_recyclass[Segmento],MATCH(A185,tbl_recyclass[ProductId],0)),"")</f>
        <v>Cosmética e higiene pessoal</v>
      </c>
      <c r="E185" s="26" t="s">
        <v>904</v>
      </c>
      <c r="F185" s="26" t="s">
        <v>1450</v>
      </c>
      <c r="G185" s="26" t="s">
        <v>1143</v>
      </c>
      <c r="H185" s="33" t="str">
        <f>IF(E185="Não","Não aplicável",IFERROR(IF(B185="EU-ENV-002",IF(INDEX(tbl_recyclass[Conforme_PPWR_2030],MATCH(A185,tbl_recyclass[ProductId],0))="Sim","Conforme (autoavaliação)",IF(INDEX(tbl_recyclass[Conforme_PPWR_2030],MATCH(A185,tbl_recyclass[ProductId],0))="Não","Não conforme em 2030","Isento até 2035")),IF(B185="EU-ENV-003",IF(INDEX(tbl_recyclass[Conforme_Art7_2030],MATCH(A185,tbl_recyclass[ProductId],0))="Sim","Conforme (meta 2030)",IF(INDEX(tbl_recyclass[Conforme_Art7_2030],MATCH(A185,tbl_recyclass[ProductId],0))="Não","Lacuna face à meta 2030","Isento")),IF(B185="EU-ENV-011",IF(INDEX(tbl_familias_ppwr[Metais_Pesados_Evidencia],MATCH(INDEX(tbl_recyclass[Familia_PPWR],MATCH(A185,tbl_recyclass[ProductId],0)),tbl_familias_ppwr[ID_Familia],0))="Em falta","Lacuna","Conforme"),IF(B185="EU-ENV-013",IF(INDEX(tbl_familias_ppwr[Declaracao_UE],MATCH(INDEX(tbl_recyclass[Familia_PPWR],MATCH(A185,tbl_recyclass[ProductId],0)),tbl_familias_ppwr[ID_Familia],0))="Sim","Conforme","Lacuna"),G185)))),G185))</f>
        <v>Não aplicável</v>
      </c>
      <c r="I185" s="33" t="str">
        <f t="shared" si="2"/>
        <v>Não aplicável</v>
      </c>
      <c r="J185" s="26"/>
    </row>
    <row r="186" spans="1:10" ht="16.05" customHeight="1" x14ac:dyDescent="0.3">
      <c r="A186" s="26" t="s">
        <v>625</v>
      </c>
      <c r="B186" s="26" t="s">
        <v>1102</v>
      </c>
      <c r="C186" s="33" t="str">
        <f>IFERROR(INDEX(tbl_requisitos_emb[Tema],MATCH(B186,tbl_requisitos_emb[ID_Req],0)),"")</f>
        <v>Documentação técnica e declaração UE</v>
      </c>
      <c r="D186" s="33" t="str">
        <f>IFERROR(INDEX(tbl_recyclass[Segmento],MATCH(A186,tbl_recyclass[ProductId],0)),"")</f>
        <v>Cosmética e higiene pessoal</v>
      </c>
      <c r="E186" s="26" t="s">
        <v>901</v>
      </c>
      <c r="F186" s="26" t="s">
        <v>1449</v>
      </c>
      <c r="G186" s="26" t="s">
        <v>978</v>
      </c>
      <c r="H186" s="33" t="str">
        <f>IF(E186="Não","Não aplicável",IFERROR(IF(B186="EU-ENV-002",IF(INDEX(tbl_recyclass[Conforme_PPWR_2030],MATCH(A186,tbl_recyclass[ProductId],0))="Sim","Conforme (autoavaliação)",IF(INDEX(tbl_recyclass[Conforme_PPWR_2030],MATCH(A186,tbl_recyclass[ProductId],0))="Não","Não conforme em 2030","Isento até 2035")),IF(B186="EU-ENV-003",IF(INDEX(tbl_recyclass[Conforme_Art7_2030],MATCH(A186,tbl_recyclass[ProductId],0))="Sim","Conforme (meta 2030)",IF(INDEX(tbl_recyclass[Conforme_Art7_2030],MATCH(A186,tbl_recyclass[ProductId],0))="Não","Lacuna face à meta 2030","Isento")),IF(B186="EU-ENV-011",IF(INDEX(tbl_familias_ppwr[Metais_Pesados_Evidencia],MATCH(INDEX(tbl_recyclass[Familia_PPWR],MATCH(A186,tbl_recyclass[ProductId],0)),tbl_familias_ppwr[ID_Familia],0))="Em falta","Lacuna","Conforme"),IF(B186="EU-ENV-013",IF(INDEX(tbl_familias_ppwr[Declaracao_UE],MATCH(INDEX(tbl_recyclass[Familia_PPWR],MATCH(A186,tbl_recyclass[ProductId],0)),tbl_familias_ppwr[ID_Familia],0))="Sim","Conforme","Lacuna"),G186)))),G186))</f>
        <v>Conforme</v>
      </c>
      <c r="I186" s="33" t="str">
        <f t="shared" si="2"/>
        <v>Conforme</v>
      </c>
      <c r="J186" s="26" t="s">
        <v>1106</v>
      </c>
    </row>
    <row r="187" spans="1:10" ht="16.05" customHeight="1" x14ac:dyDescent="0.3">
      <c r="A187" s="26" t="s">
        <v>625</v>
      </c>
      <c r="B187" s="26" t="s">
        <v>1161</v>
      </c>
      <c r="C187" s="33" t="str">
        <f>IFERROR(INDEX(tbl_requisitos_emb[Tema],MATCH(B187,tbl_requisitos_emb[ID_Req],0)),"")</f>
        <v>Materiais em contacto com alimentos</v>
      </c>
      <c r="D187" s="33" t="str">
        <f>IFERROR(INDEX(tbl_recyclass[Segmento],MATCH(A187,tbl_recyclass[ProductId],0)),"")</f>
        <v>Cosmética e higiene pessoal</v>
      </c>
      <c r="E187" s="26" t="s">
        <v>904</v>
      </c>
      <c r="F187" s="26" t="s">
        <v>1450</v>
      </c>
      <c r="G187" s="26" t="s">
        <v>1143</v>
      </c>
      <c r="H187" s="33" t="str">
        <f>IF(E187="Não","Não aplicável",IFERROR(IF(B187="EU-ENV-002",IF(INDEX(tbl_recyclass[Conforme_PPWR_2030],MATCH(A187,tbl_recyclass[ProductId],0))="Sim","Conforme (autoavaliação)",IF(INDEX(tbl_recyclass[Conforme_PPWR_2030],MATCH(A187,tbl_recyclass[ProductId],0))="Não","Não conforme em 2030","Isento até 2035")),IF(B187="EU-ENV-003",IF(INDEX(tbl_recyclass[Conforme_Art7_2030],MATCH(A187,tbl_recyclass[ProductId],0))="Sim","Conforme (meta 2030)",IF(INDEX(tbl_recyclass[Conforme_Art7_2030],MATCH(A187,tbl_recyclass[ProductId],0))="Não","Lacuna face à meta 2030","Isento")),IF(B187="EU-ENV-011",IF(INDEX(tbl_familias_ppwr[Metais_Pesados_Evidencia],MATCH(INDEX(tbl_recyclass[Familia_PPWR],MATCH(A187,tbl_recyclass[ProductId],0)),tbl_familias_ppwr[ID_Familia],0))="Em falta","Lacuna","Conforme"),IF(B187="EU-ENV-013",IF(INDEX(tbl_familias_ppwr[Declaracao_UE],MATCH(INDEX(tbl_recyclass[Familia_PPWR],MATCH(A187,tbl_recyclass[ProductId],0)),tbl_familias_ppwr[ID_Familia],0))="Sim","Conforme","Lacuna"),G187)))),G187))</f>
        <v>Não aplicável</v>
      </c>
      <c r="I187" s="33" t="str">
        <f t="shared" si="2"/>
        <v>Não aplicável</v>
      </c>
      <c r="J187" s="26"/>
    </row>
    <row r="188" spans="1:10" ht="16.05" customHeight="1" x14ac:dyDescent="0.3">
      <c r="A188" s="26" t="s">
        <v>625</v>
      </c>
      <c r="B188" s="26" t="s">
        <v>1170</v>
      </c>
      <c r="C188" s="33" t="str">
        <f>IFERROR(INDEX(tbl_requisitos_emb[Tema],MATCH(B188,tbl_requisitos_emb[ID_Req],0)),"")</f>
        <v>Boas práticas de fabrico FCM</v>
      </c>
      <c r="D188" s="33" t="str">
        <f>IFERROR(INDEX(tbl_recyclass[Segmento],MATCH(A188,tbl_recyclass[ProductId],0)),"")</f>
        <v>Cosmética e higiene pessoal</v>
      </c>
      <c r="E188" s="26" t="s">
        <v>904</v>
      </c>
      <c r="F188" s="26" t="s">
        <v>1450</v>
      </c>
      <c r="G188" s="26" t="s">
        <v>1143</v>
      </c>
      <c r="H188" s="33" t="str">
        <f>IF(E188="Não","Não aplicável",IFERROR(IF(B188="EU-ENV-002",IF(INDEX(tbl_recyclass[Conforme_PPWR_2030],MATCH(A188,tbl_recyclass[ProductId],0))="Sim","Conforme (autoavaliação)",IF(INDEX(tbl_recyclass[Conforme_PPWR_2030],MATCH(A188,tbl_recyclass[ProductId],0))="Não","Não conforme em 2030","Isento até 2035")),IF(B188="EU-ENV-003",IF(INDEX(tbl_recyclass[Conforme_Art7_2030],MATCH(A188,tbl_recyclass[ProductId],0))="Sim","Conforme (meta 2030)",IF(INDEX(tbl_recyclass[Conforme_Art7_2030],MATCH(A188,tbl_recyclass[ProductId],0))="Não","Lacuna face à meta 2030","Isento")),IF(B188="EU-ENV-011",IF(INDEX(tbl_familias_ppwr[Metais_Pesados_Evidencia],MATCH(INDEX(tbl_recyclass[Familia_PPWR],MATCH(A188,tbl_recyclass[ProductId],0)),tbl_familias_ppwr[ID_Familia],0))="Em falta","Lacuna","Conforme"),IF(B188="EU-ENV-013",IF(INDEX(tbl_familias_ppwr[Declaracao_UE],MATCH(INDEX(tbl_recyclass[Familia_PPWR],MATCH(A188,tbl_recyclass[ProductId],0)),tbl_familias_ppwr[ID_Familia],0))="Sim","Conforme","Lacuna"),G188)))),G188))</f>
        <v>Não aplicável</v>
      </c>
      <c r="I188" s="33" t="str">
        <f t="shared" si="2"/>
        <v>Não aplicável</v>
      </c>
      <c r="J188" s="26"/>
    </row>
    <row r="189" spans="1:10" ht="16.05" customHeight="1" x14ac:dyDescent="0.3">
      <c r="A189" s="26" t="s">
        <v>625</v>
      </c>
      <c r="B189" s="26" t="s">
        <v>1179</v>
      </c>
      <c r="C189" s="33" t="str">
        <f>IFERROR(INDEX(tbl_requisitos_emb[Tema],MATCH(B189,tbl_requisitos_emb[ID_Req],0)),"")</f>
        <v>Bisfenol A e bisfenóis perigosos</v>
      </c>
      <c r="D189" s="33" t="str">
        <f>IFERROR(INDEX(tbl_recyclass[Segmento],MATCH(A189,tbl_recyclass[ProductId],0)),"")</f>
        <v>Cosmética e higiene pessoal</v>
      </c>
      <c r="E189" s="26" t="s">
        <v>904</v>
      </c>
      <c r="F189" s="26" t="s">
        <v>1450</v>
      </c>
      <c r="G189" s="26" t="s">
        <v>1143</v>
      </c>
      <c r="H189" s="33" t="str">
        <f>IF(E189="Não","Não aplicável",IFERROR(IF(B189="EU-ENV-002",IF(INDEX(tbl_recyclass[Conforme_PPWR_2030],MATCH(A189,tbl_recyclass[ProductId],0))="Sim","Conforme (autoavaliação)",IF(INDEX(tbl_recyclass[Conforme_PPWR_2030],MATCH(A189,tbl_recyclass[ProductId],0))="Não","Não conforme em 2030","Isento até 2035")),IF(B189="EU-ENV-003",IF(INDEX(tbl_recyclass[Conforme_Art7_2030],MATCH(A189,tbl_recyclass[ProductId],0))="Sim","Conforme (meta 2030)",IF(INDEX(tbl_recyclass[Conforme_Art7_2030],MATCH(A189,tbl_recyclass[ProductId],0))="Não","Lacuna face à meta 2030","Isento")),IF(B189="EU-ENV-011",IF(INDEX(tbl_familias_ppwr[Metais_Pesados_Evidencia],MATCH(INDEX(tbl_recyclass[Familia_PPWR],MATCH(A189,tbl_recyclass[ProductId],0)),tbl_familias_ppwr[ID_Familia],0))="Em falta","Lacuna","Conforme"),IF(B189="EU-ENV-013",IF(INDEX(tbl_familias_ppwr[Declaracao_UE],MATCH(INDEX(tbl_recyclass[Familia_PPWR],MATCH(A189,tbl_recyclass[ProductId],0)),tbl_familias_ppwr[ID_Familia],0))="Sim","Conforme","Lacuna"),G189)))),G189))</f>
        <v>Não aplicável</v>
      </c>
      <c r="I189" s="33" t="str">
        <f t="shared" si="2"/>
        <v>Não aplicável</v>
      </c>
      <c r="J189" s="26"/>
    </row>
    <row r="190" spans="1:10" ht="16.05" customHeight="1" x14ac:dyDescent="0.3">
      <c r="A190" s="26" t="s">
        <v>625</v>
      </c>
      <c r="B190" s="26" t="s">
        <v>1188</v>
      </c>
      <c r="C190" s="33" t="str">
        <f>IFERROR(INDEX(tbl_requisitos_emb[Tema],MATCH(B190,tbl_requisitos_emb[ID_Req],0)),"")</f>
        <v>Plásticos em contacto com alimentos</v>
      </c>
      <c r="D190" s="33" t="str">
        <f>IFERROR(INDEX(tbl_recyclass[Segmento],MATCH(A190,tbl_recyclass[ProductId],0)),"")</f>
        <v>Cosmética e higiene pessoal</v>
      </c>
      <c r="E190" s="26" t="s">
        <v>904</v>
      </c>
      <c r="F190" s="26" t="s">
        <v>1450</v>
      </c>
      <c r="G190" s="26" t="s">
        <v>1143</v>
      </c>
      <c r="H190" s="33" t="str">
        <f>IF(E190="Não","Não aplicável",IFERROR(IF(B190="EU-ENV-002",IF(INDEX(tbl_recyclass[Conforme_PPWR_2030],MATCH(A190,tbl_recyclass[ProductId],0))="Sim","Conforme (autoavaliação)",IF(INDEX(tbl_recyclass[Conforme_PPWR_2030],MATCH(A190,tbl_recyclass[ProductId],0))="Não","Não conforme em 2030","Isento até 2035")),IF(B190="EU-ENV-003",IF(INDEX(tbl_recyclass[Conforme_Art7_2030],MATCH(A190,tbl_recyclass[ProductId],0))="Sim","Conforme (meta 2030)",IF(INDEX(tbl_recyclass[Conforme_Art7_2030],MATCH(A190,tbl_recyclass[ProductId],0))="Não","Lacuna face à meta 2030","Isento")),IF(B190="EU-ENV-011",IF(INDEX(tbl_familias_ppwr[Metais_Pesados_Evidencia],MATCH(INDEX(tbl_recyclass[Familia_PPWR],MATCH(A190,tbl_recyclass[ProductId],0)),tbl_familias_ppwr[ID_Familia],0))="Em falta","Lacuna","Conforme"),IF(B190="EU-ENV-013",IF(INDEX(tbl_familias_ppwr[Declaracao_UE],MATCH(INDEX(tbl_recyclass[Familia_PPWR],MATCH(A190,tbl_recyclass[ProductId],0)),tbl_familias_ppwr[ID_Familia],0))="Sim","Conforme","Lacuna"),G190)))),G190))</f>
        <v>Não aplicável</v>
      </c>
      <c r="I190" s="33" t="str">
        <f t="shared" si="2"/>
        <v>Não aplicável</v>
      </c>
      <c r="J190" s="26"/>
    </row>
    <row r="191" spans="1:10" ht="16.05" customHeight="1" x14ac:dyDescent="0.3">
      <c r="A191" s="26" t="s">
        <v>625</v>
      </c>
      <c r="B191" s="26" t="s">
        <v>1212</v>
      </c>
      <c r="C191" s="33" t="str">
        <f>IFERROR(INDEX(tbl_requisitos_emb[Tema],MATCH(B191,tbl_requisitos_emb[ID_Req],0)),"")</f>
        <v>Segurança do produto cosmético</v>
      </c>
      <c r="D191" s="33" t="str">
        <f>IFERROR(INDEX(tbl_recyclass[Segmento],MATCH(A191,tbl_recyclass[ProductId],0)),"")</f>
        <v>Cosmética e higiene pessoal</v>
      </c>
      <c r="E191" s="26" t="s">
        <v>901</v>
      </c>
      <c r="F191" s="26" t="s">
        <v>1449</v>
      </c>
      <c r="G191" s="26" t="s">
        <v>1033</v>
      </c>
      <c r="H191" s="33" t="str">
        <f>IF(E191="Não","Não aplicável",IFERROR(IF(B191="EU-ENV-002",IF(INDEX(tbl_recyclass[Conforme_PPWR_2030],MATCH(A191,tbl_recyclass[ProductId],0))="Sim","Conforme (autoavaliação)",IF(INDEX(tbl_recyclass[Conforme_PPWR_2030],MATCH(A191,tbl_recyclass[ProductId],0))="Não","Não conforme em 2030","Isento até 2035")),IF(B191="EU-ENV-003",IF(INDEX(tbl_recyclass[Conforme_Art7_2030],MATCH(A191,tbl_recyclass[ProductId],0))="Sim","Conforme (meta 2030)",IF(INDEX(tbl_recyclass[Conforme_Art7_2030],MATCH(A191,tbl_recyclass[ProductId],0))="Não","Lacuna face à meta 2030","Isento")),IF(B191="EU-ENV-011",IF(INDEX(tbl_familias_ppwr[Metais_Pesados_Evidencia],MATCH(INDEX(tbl_recyclass[Familia_PPWR],MATCH(A191,tbl_recyclass[ProductId],0)),tbl_familias_ppwr[ID_Familia],0))="Em falta","Lacuna","Conforme"),IF(B191="EU-ENV-013",IF(INDEX(tbl_familias_ppwr[Declaracao_UE],MATCH(INDEX(tbl_recyclass[Familia_PPWR],MATCH(A191,tbl_recyclass[ProductId],0)),tbl_familias_ppwr[ID_Familia],0))="Sim","Conforme","Lacuna"),G191)))),G191))</f>
        <v>Conforme</v>
      </c>
      <c r="I191" s="33" t="str">
        <f t="shared" si="2"/>
        <v>Conforme</v>
      </c>
      <c r="J191" s="26" t="s">
        <v>1221</v>
      </c>
    </row>
    <row r="192" spans="1:10" ht="16.05" customHeight="1" x14ac:dyDescent="0.3">
      <c r="A192" s="26" t="s">
        <v>625</v>
      </c>
      <c r="B192" s="26" t="s">
        <v>1224</v>
      </c>
      <c r="C192" s="33" t="str">
        <f>IFERROR(INDEX(tbl_requisitos_emb[Tema],MATCH(B192,tbl_requisitos_emb[ID_Req],0)),"")</f>
        <v>Materiais e impurezas</v>
      </c>
      <c r="D192" s="33" t="str">
        <f>IFERROR(INDEX(tbl_recyclass[Segmento],MATCH(A192,tbl_recyclass[ProductId],0)),"")</f>
        <v>Cosmética e higiene pessoal</v>
      </c>
      <c r="E192" s="26" t="s">
        <v>901</v>
      </c>
      <c r="F192" s="26" t="s">
        <v>1449</v>
      </c>
      <c r="G192" s="26" t="s">
        <v>978</v>
      </c>
      <c r="H192" s="33" t="str">
        <f>IF(E192="Não","Não aplicável",IFERROR(IF(B192="EU-ENV-002",IF(INDEX(tbl_recyclass[Conforme_PPWR_2030],MATCH(A192,tbl_recyclass[ProductId],0))="Sim","Conforme (autoavaliação)",IF(INDEX(tbl_recyclass[Conforme_PPWR_2030],MATCH(A192,tbl_recyclass[ProductId],0))="Não","Não conforme em 2030","Isento até 2035")),IF(B192="EU-ENV-003",IF(INDEX(tbl_recyclass[Conforme_Art7_2030],MATCH(A192,tbl_recyclass[ProductId],0))="Sim","Conforme (meta 2030)",IF(INDEX(tbl_recyclass[Conforme_Art7_2030],MATCH(A192,tbl_recyclass[ProductId],0))="Não","Lacuna face à meta 2030","Isento")),IF(B192="EU-ENV-011",IF(INDEX(tbl_familias_ppwr[Metais_Pesados_Evidencia],MATCH(INDEX(tbl_recyclass[Familia_PPWR],MATCH(A192,tbl_recyclass[ProductId],0)),tbl_familias_ppwr[ID_Familia],0))="Em falta","Lacuna","Conforme"),IF(B192="EU-ENV-013",IF(INDEX(tbl_familias_ppwr[Declaracao_UE],MATCH(INDEX(tbl_recyclass[Familia_PPWR],MATCH(A192,tbl_recyclass[ProductId],0)),tbl_familias_ppwr[ID_Familia],0))="Sim","Conforme","Lacuna"),G192)))),G192))</f>
        <v>Parcial</v>
      </c>
      <c r="I192" s="33" t="str">
        <f t="shared" si="2"/>
        <v>Parcial</v>
      </c>
      <c r="J192" s="26" t="s">
        <v>1228</v>
      </c>
    </row>
    <row r="193" spans="1:10" ht="16.05" customHeight="1" x14ac:dyDescent="0.3">
      <c r="A193" s="26" t="s">
        <v>625</v>
      </c>
      <c r="B193" s="26" t="s">
        <v>1240</v>
      </c>
      <c r="C193" s="33" t="str">
        <f>IFERROR(INDEX(tbl_requisitos_emb[Tema],MATCH(B193,tbl_requisitos_emb[ID_Req],0)),"")</f>
        <v>Compatibilidade embalagem–produto</v>
      </c>
      <c r="D193" s="33" t="str">
        <f>IFERROR(INDEX(tbl_recyclass[Segmento],MATCH(A193,tbl_recyclass[ProductId],0)),"")</f>
        <v>Cosmética e higiene pessoal</v>
      </c>
      <c r="E193" s="26" t="s">
        <v>901</v>
      </c>
      <c r="F193" s="26" t="s">
        <v>1449</v>
      </c>
      <c r="G193" s="26" t="s">
        <v>1033</v>
      </c>
      <c r="H193" s="33" t="str">
        <f>IF(E193="Não","Não aplicável",IFERROR(IF(B193="EU-ENV-002",IF(INDEX(tbl_recyclass[Conforme_PPWR_2030],MATCH(A193,tbl_recyclass[ProductId],0))="Sim","Conforme (autoavaliação)",IF(INDEX(tbl_recyclass[Conforme_PPWR_2030],MATCH(A193,tbl_recyclass[ProductId],0))="Não","Não conforme em 2030","Isento até 2035")),IF(B193="EU-ENV-003",IF(INDEX(tbl_recyclass[Conforme_Art7_2030],MATCH(A193,tbl_recyclass[ProductId],0))="Sim","Conforme (meta 2030)",IF(INDEX(tbl_recyclass[Conforme_Art7_2030],MATCH(A193,tbl_recyclass[ProductId],0))="Não","Lacuna face à meta 2030","Isento")),IF(B193="EU-ENV-011",IF(INDEX(tbl_familias_ppwr[Metais_Pesados_Evidencia],MATCH(INDEX(tbl_recyclass[Familia_PPWR],MATCH(A193,tbl_recyclass[ProductId],0)),tbl_familias_ppwr[ID_Familia],0))="Em falta","Lacuna","Conforme"),IF(B193="EU-ENV-013",IF(INDEX(tbl_familias_ppwr[Declaracao_UE],MATCH(INDEX(tbl_recyclass[Familia_PPWR],MATCH(A193,tbl_recyclass[ProductId],0)),tbl_familias_ppwr[ID_Familia],0))="Sim","Conforme","Lacuna"),G193)))),G193))</f>
        <v>Conforme</v>
      </c>
      <c r="I193" s="33" t="str">
        <f t="shared" si="2"/>
        <v>Conforme</v>
      </c>
      <c r="J193" s="26" t="s">
        <v>1244</v>
      </c>
    </row>
    <row r="194" spans="1:10" ht="16.05" customHeight="1" x14ac:dyDescent="0.3">
      <c r="A194" s="26" t="s">
        <v>625</v>
      </c>
      <c r="B194" s="26" t="s">
        <v>1252</v>
      </c>
      <c r="C194" s="33" t="str">
        <f>IFERROR(INDEX(tbl_requisitos_emb[Tema],MATCH(B194,tbl_requisitos_emb[ID_Req],0)),"")</f>
        <v>Medicamentos de uso humano</v>
      </c>
      <c r="D194" s="33" t="str">
        <f>IFERROR(INDEX(tbl_recyclass[Segmento],MATCH(A194,tbl_recyclass[ProductId],0)),"")</f>
        <v>Cosmética e higiene pessoal</v>
      </c>
      <c r="E194" s="26" t="s">
        <v>904</v>
      </c>
      <c r="F194" s="26" t="s">
        <v>1451</v>
      </c>
      <c r="G194" s="26" t="s">
        <v>1143</v>
      </c>
      <c r="H194" s="33" t="str">
        <f>IF(E194="Não","Não aplicável",IFERROR(IF(B194="EU-ENV-002",IF(INDEX(tbl_recyclass[Conforme_PPWR_2030],MATCH(A194,tbl_recyclass[ProductId],0))="Sim","Conforme (autoavaliação)",IF(INDEX(tbl_recyclass[Conforme_PPWR_2030],MATCH(A194,tbl_recyclass[ProductId],0))="Não","Não conforme em 2030","Isento até 2035")),IF(B194="EU-ENV-003",IF(INDEX(tbl_recyclass[Conforme_Art7_2030],MATCH(A194,tbl_recyclass[ProductId],0))="Sim","Conforme (meta 2030)",IF(INDEX(tbl_recyclass[Conforme_Art7_2030],MATCH(A194,tbl_recyclass[ProductId],0))="Não","Lacuna face à meta 2030","Isento")),IF(B194="EU-ENV-011",IF(INDEX(tbl_familias_ppwr[Metais_Pesados_Evidencia],MATCH(INDEX(tbl_recyclass[Familia_PPWR],MATCH(A194,tbl_recyclass[ProductId],0)),tbl_familias_ppwr[ID_Familia],0))="Em falta","Lacuna","Conforme"),IF(B194="EU-ENV-013",IF(INDEX(tbl_familias_ppwr[Declaracao_UE],MATCH(INDEX(tbl_recyclass[Familia_PPWR],MATCH(A194,tbl_recyclass[ProductId],0)),tbl_familias_ppwr[ID_Familia],0))="Sim","Conforme","Lacuna"),G194)))),G194))</f>
        <v>Não aplicável</v>
      </c>
      <c r="I194" s="33" t="str">
        <f t="shared" ref="I194:I257" si="3">IF(ISNUMBER(SEARCH("Não aplicável",H194)),"Não aplicável",IF(ISNUMBER(SEARCH("Isento",H194)),"Isento",IF(ISNUMBER(SEARCH("Não conforme",H194)),"Não conforme",IF(ISNUMBER(SEARCH("Lacuna",H194)),"Lacuna",IF(ISNUMBER(SEARCH("Conforme",H194)),"Conforme",H194)))))</f>
        <v>Não aplicável</v>
      </c>
      <c r="J194" s="26"/>
    </row>
    <row r="195" spans="1:10" ht="16.05" customHeight="1" x14ac:dyDescent="0.3">
      <c r="A195" s="26" t="s">
        <v>625</v>
      </c>
      <c r="B195" s="26" t="s">
        <v>1268</v>
      </c>
      <c r="C195" s="33" t="str">
        <f>IFERROR(INDEX(tbl_requisitos_emb[Tema],MATCH(B195,tbl_requisitos_emb[ID_Req],0)),"")</f>
        <v>Dispositivos de segurança</v>
      </c>
      <c r="D195" s="33" t="str">
        <f>IFERROR(INDEX(tbl_recyclass[Segmento],MATCH(A195,tbl_recyclass[ProductId],0)),"")</f>
        <v>Cosmética e higiene pessoal</v>
      </c>
      <c r="E195" s="26" t="s">
        <v>904</v>
      </c>
      <c r="F195" s="26" t="s">
        <v>1451</v>
      </c>
      <c r="G195" s="26" t="s">
        <v>1143</v>
      </c>
      <c r="H195" s="33" t="str">
        <f>IF(E195="Não","Não aplicável",IFERROR(IF(B195="EU-ENV-002",IF(INDEX(tbl_recyclass[Conforme_PPWR_2030],MATCH(A195,tbl_recyclass[ProductId],0))="Sim","Conforme (autoavaliação)",IF(INDEX(tbl_recyclass[Conforme_PPWR_2030],MATCH(A195,tbl_recyclass[ProductId],0))="Não","Não conforme em 2030","Isento até 2035")),IF(B195="EU-ENV-003",IF(INDEX(tbl_recyclass[Conforme_Art7_2030],MATCH(A195,tbl_recyclass[ProductId],0))="Sim","Conforme (meta 2030)",IF(INDEX(tbl_recyclass[Conforme_Art7_2030],MATCH(A195,tbl_recyclass[ProductId],0))="Não","Lacuna face à meta 2030","Isento")),IF(B195="EU-ENV-011",IF(INDEX(tbl_familias_ppwr[Metais_Pesados_Evidencia],MATCH(INDEX(tbl_recyclass[Familia_PPWR],MATCH(A195,tbl_recyclass[ProductId],0)),tbl_familias_ppwr[ID_Familia],0))="Em falta","Lacuna","Conforme"),IF(B195="EU-ENV-013",IF(INDEX(tbl_familias_ppwr[Declaracao_UE],MATCH(INDEX(tbl_recyclass[Familia_PPWR],MATCH(A195,tbl_recyclass[ProductId],0)),tbl_familias_ppwr[ID_Familia],0))="Sim","Conforme","Lacuna"),G195)))),G195))</f>
        <v>Não aplicável</v>
      </c>
      <c r="I195" s="33" t="str">
        <f t="shared" si="3"/>
        <v>Não aplicável</v>
      </c>
      <c r="J195" s="26"/>
    </row>
    <row r="196" spans="1:10" ht="16.05" customHeight="1" x14ac:dyDescent="0.3">
      <c r="A196" s="26" t="s">
        <v>625</v>
      </c>
      <c r="B196" s="26" t="s">
        <v>1285</v>
      </c>
      <c r="C196" s="33" t="str">
        <f>IFERROR(INDEX(tbl_requisitos_emb[Tema],MATCH(B196,tbl_requisitos_emb[ID_Req],0)),"")</f>
        <v>Materiais plásticos de acondicionamento primário</v>
      </c>
      <c r="D196" s="33" t="str">
        <f>IFERROR(INDEX(tbl_recyclass[Segmento],MATCH(A196,tbl_recyclass[ProductId],0)),"")</f>
        <v>Cosmética e higiene pessoal</v>
      </c>
      <c r="E196" s="26" t="s">
        <v>904</v>
      </c>
      <c r="F196" s="26" t="s">
        <v>1451</v>
      </c>
      <c r="G196" s="26" t="s">
        <v>1143</v>
      </c>
      <c r="H196" s="33" t="str">
        <f>IF(E196="Não","Não aplicável",IFERROR(IF(B196="EU-ENV-002",IF(INDEX(tbl_recyclass[Conforme_PPWR_2030],MATCH(A196,tbl_recyclass[ProductId],0))="Sim","Conforme (autoavaliação)",IF(INDEX(tbl_recyclass[Conforme_PPWR_2030],MATCH(A196,tbl_recyclass[ProductId],0))="Não","Não conforme em 2030","Isento até 2035")),IF(B196="EU-ENV-003",IF(INDEX(tbl_recyclass[Conforme_Art7_2030],MATCH(A196,tbl_recyclass[ProductId],0))="Sim","Conforme (meta 2030)",IF(INDEX(tbl_recyclass[Conforme_Art7_2030],MATCH(A196,tbl_recyclass[ProductId],0))="Não","Lacuna face à meta 2030","Isento")),IF(B196="EU-ENV-011",IF(INDEX(tbl_familias_ppwr[Metais_Pesados_Evidencia],MATCH(INDEX(tbl_recyclass[Familia_PPWR],MATCH(A196,tbl_recyclass[ProductId],0)),tbl_familias_ppwr[ID_Familia],0))="Em falta","Lacuna","Conforme"),IF(B196="EU-ENV-013",IF(INDEX(tbl_familias_ppwr[Declaracao_UE],MATCH(INDEX(tbl_recyclass[Familia_PPWR],MATCH(A196,tbl_recyclass[ProductId],0)),tbl_familias_ppwr[ID_Familia],0))="Sim","Conforme","Lacuna"),G196)))),G196))</f>
        <v>Não aplicável</v>
      </c>
      <c r="I196" s="33" t="str">
        <f t="shared" si="3"/>
        <v>Não aplicável</v>
      </c>
      <c r="J196" s="26"/>
    </row>
    <row r="197" spans="1:10" ht="16.05" customHeight="1" x14ac:dyDescent="0.3">
      <c r="A197" s="26" t="s">
        <v>625</v>
      </c>
      <c r="B197" s="26" t="s">
        <v>1293</v>
      </c>
      <c r="C197" s="33" t="str">
        <f>IFERROR(INDEX(tbl_requisitos_emb[Tema],MATCH(B197,tbl_requisitos_emb[ID_Req],0)),"")</f>
        <v>Isenções PPWR</v>
      </c>
      <c r="D197" s="33" t="str">
        <f>IFERROR(INDEX(tbl_recyclass[Segmento],MATCH(A197,tbl_recyclass[ProductId],0)),"")</f>
        <v>Cosmética e higiene pessoal</v>
      </c>
      <c r="E197" s="26" t="s">
        <v>904</v>
      </c>
      <c r="F197" s="26" t="s">
        <v>1451</v>
      </c>
      <c r="G197" s="26" t="s">
        <v>1143</v>
      </c>
      <c r="H197" s="33" t="str">
        <f>IF(E197="Não","Não aplicável",IFERROR(IF(B197="EU-ENV-002",IF(INDEX(tbl_recyclass[Conforme_PPWR_2030],MATCH(A197,tbl_recyclass[ProductId],0))="Sim","Conforme (autoavaliação)",IF(INDEX(tbl_recyclass[Conforme_PPWR_2030],MATCH(A197,tbl_recyclass[ProductId],0))="Não","Não conforme em 2030","Isento até 2035")),IF(B197="EU-ENV-003",IF(INDEX(tbl_recyclass[Conforme_Art7_2030],MATCH(A197,tbl_recyclass[ProductId],0))="Sim","Conforme (meta 2030)",IF(INDEX(tbl_recyclass[Conforme_Art7_2030],MATCH(A197,tbl_recyclass[ProductId],0))="Não","Lacuna face à meta 2030","Isento")),IF(B197="EU-ENV-011",IF(INDEX(tbl_familias_ppwr[Metais_Pesados_Evidencia],MATCH(INDEX(tbl_recyclass[Familia_PPWR],MATCH(A197,tbl_recyclass[ProductId],0)),tbl_familias_ppwr[ID_Familia],0))="Em falta","Lacuna","Conforme"),IF(B197="EU-ENV-013",IF(INDEX(tbl_familias_ppwr[Declaracao_UE],MATCH(INDEX(tbl_recyclass[Familia_PPWR],MATCH(A197,tbl_recyclass[ProductId],0)),tbl_familias_ppwr[ID_Familia],0))="Sim","Conforme","Lacuna"),G197)))),G197))</f>
        <v>Não aplicável</v>
      </c>
      <c r="I197" s="33" t="str">
        <f t="shared" si="3"/>
        <v>Não aplicável</v>
      </c>
      <c r="J197" s="26"/>
    </row>
    <row r="198" spans="1:10" ht="16.05" customHeight="1" x14ac:dyDescent="0.3">
      <c r="A198" s="26" t="s">
        <v>625</v>
      </c>
      <c r="B198" s="26" t="s">
        <v>1357</v>
      </c>
      <c r="C198" s="33" t="str">
        <f>IFERROR(INDEX(tbl_requisitos_emb[Tema],MATCH(B198,tbl_requisitos_emb[ID_Req],0)),"")</f>
        <v>Identificação de plásticos</v>
      </c>
      <c r="D198" s="33" t="str">
        <f>IFERROR(INDEX(tbl_recyclass[Segmento],MATCH(A198,tbl_recyclass[ProductId],0)),"")</f>
        <v>Cosmética e higiene pessoal</v>
      </c>
      <c r="E198" s="26" t="s">
        <v>901</v>
      </c>
      <c r="F198" s="26" t="s">
        <v>1449</v>
      </c>
      <c r="G198" s="26" t="s">
        <v>978</v>
      </c>
      <c r="H198" s="33" t="str">
        <f>IF(E198="Não","Não aplicável",IFERROR(IF(B198="EU-ENV-002",IF(INDEX(tbl_recyclass[Conforme_PPWR_2030],MATCH(A198,tbl_recyclass[ProductId],0))="Sim","Conforme (autoavaliação)",IF(INDEX(tbl_recyclass[Conforme_PPWR_2030],MATCH(A198,tbl_recyclass[ProductId],0))="Não","Não conforme em 2030","Isento até 2035")),IF(B198="EU-ENV-003",IF(INDEX(tbl_recyclass[Conforme_Art7_2030],MATCH(A198,tbl_recyclass[ProductId],0))="Sim","Conforme (meta 2030)",IF(INDEX(tbl_recyclass[Conforme_Art7_2030],MATCH(A198,tbl_recyclass[ProductId],0))="Não","Lacuna face à meta 2030","Isento")),IF(B198="EU-ENV-011",IF(INDEX(tbl_familias_ppwr[Metais_Pesados_Evidencia],MATCH(INDEX(tbl_recyclass[Familia_PPWR],MATCH(A198,tbl_recyclass[ProductId],0)),tbl_familias_ppwr[ID_Familia],0))="Em falta","Lacuna","Conforme"),IF(B198="EU-ENV-013",IF(INDEX(tbl_familias_ppwr[Declaracao_UE],MATCH(INDEX(tbl_recyclass[Familia_PPWR],MATCH(A198,tbl_recyclass[ProductId],0)),tbl_familias_ppwr[ID_Familia],0))="Sim","Conforme","Lacuna"),G198)))),G198))</f>
        <v>Parcial</v>
      </c>
      <c r="I198" s="33" t="str">
        <f t="shared" si="3"/>
        <v>Parcial</v>
      </c>
      <c r="J198" s="26" t="s">
        <v>1362</v>
      </c>
    </row>
    <row r="199" spans="1:10" ht="16.05" customHeight="1" x14ac:dyDescent="0.3">
      <c r="A199" s="26" t="s">
        <v>625</v>
      </c>
      <c r="B199" s="26" t="s">
        <v>1385</v>
      </c>
      <c r="C199" s="33" t="str">
        <f>IFERROR(INDEX(tbl_requisitos_emb[Tema],MATCH(B199,tbl_requisitos_emb[ID_Req],0)),"")</f>
        <v>Reciclabilidade (voluntária)</v>
      </c>
      <c r="D199" s="33" t="str">
        <f>IFERROR(INDEX(tbl_recyclass[Segmento],MATCH(A199,tbl_recyclass[ProductId],0)),"")</f>
        <v>Cosmética e higiene pessoal</v>
      </c>
      <c r="E199" s="26" t="s">
        <v>901</v>
      </c>
      <c r="F199" s="26" t="s">
        <v>1449</v>
      </c>
      <c r="G199" s="26" t="s">
        <v>978</v>
      </c>
      <c r="H199" s="33" t="str">
        <f>IF(E199="Não","Não aplicável",IFERROR(IF(B199="EU-ENV-002",IF(INDEX(tbl_recyclass[Conforme_PPWR_2030],MATCH(A199,tbl_recyclass[ProductId],0))="Sim","Conforme (autoavaliação)",IF(INDEX(tbl_recyclass[Conforme_PPWR_2030],MATCH(A199,tbl_recyclass[ProductId],0))="Não","Não conforme em 2030","Isento até 2035")),IF(B199="EU-ENV-003",IF(INDEX(tbl_recyclass[Conforme_Art7_2030],MATCH(A199,tbl_recyclass[ProductId],0))="Sim","Conforme (meta 2030)",IF(INDEX(tbl_recyclass[Conforme_Art7_2030],MATCH(A199,tbl_recyclass[ProductId],0))="Não","Lacuna face à meta 2030","Isento")),IF(B199="EU-ENV-011",IF(INDEX(tbl_familias_ppwr[Metais_Pesados_Evidencia],MATCH(INDEX(tbl_recyclass[Familia_PPWR],MATCH(A199,tbl_recyclass[ProductId],0)),tbl_familias_ppwr[ID_Familia],0))="Em falta","Lacuna","Conforme"),IF(B199="EU-ENV-013",IF(INDEX(tbl_familias_ppwr[Declaracao_UE],MATCH(INDEX(tbl_recyclass[Familia_PPWR],MATCH(A199,tbl_recyclass[ProductId],0)),tbl_familias_ppwr[ID_Familia],0))="Sim","Conforme","Lacuna"),G199)))),G199))</f>
        <v>Parcial</v>
      </c>
      <c r="I199" s="33" t="str">
        <f t="shared" si="3"/>
        <v>Parcial</v>
      </c>
      <c r="J199" s="26" t="s">
        <v>1389</v>
      </c>
    </row>
    <row r="200" spans="1:10" ht="16.05" customHeight="1" x14ac:dyDescent="0.3">
      <c r="A200" s="26" t="s">
        <v>627</v>
      </c>
      <c r="B200" s="26" t="s">
        <v>984</v>
      </c>
      <c r="C200" s="33" t="str">
        <f>IFERROR(INDEX(tbl_requisitos_emb[Tema],MATCH(B200,tbl_requisitos_emb[ID_Req],0)),"")</f>
        <v>Conceção para reciclagem</v>
      </c>
      <c r="D200" s="33" t="str">
        <f>IFERROR(INDEX(tbl_recyclass[Segmento],MATCH(A200,tbl_recyclass[ProductId],0)),"")</f>
        <v>Cosmética e higiene pessoal</v>
      </c>
      <c r="E200" s="26" t="s">
        <v>901</v>
      </c>
      <c r="F200" s="26" t="s">
        <v>1449</v>
      </c>
      <c r="G200" s="26" t="s">
        <v>978</v>
      </c>
      <c r="H200" s="33" t="str">
        <f>IF(E200="Não","Não aplicável",IFERROR(IF(B200="EU-ENV-002",IF(INDEX(tbl_recyclass[Conforme_PPWR_2030],MATCH(A200,tbl_recyclass[ProductId],0))="Sim","Conforme (autoavaliação)",IF(INDEX(tbl_recyclass[Conforme_PPWR_2030],MATCH(A200,tbl_recyclass[ProductId],0))="Não","Não conforme em 2030","Isento até 2035")),IF(B200="EU-ENV-003",IF(INDEX(tbl_recyclass[Conforme_Art7_2030],MATCH(A200,tbl_recyclass[ProductId],0))="Sim","Conforme (meta 2030)",IF(INDEX(tbl_recyclass[Conforme_Art7_2030],MATCH(A200,tbl_recyclass[ProductId],0))="Não","Lacuna face à meta 2030","Isento")),IF(B200="EU-ENV-011",IF(INDEX(tbl_familias_ppwr[Metais_Pesados_Evidencia],MATCH(INDEX(tbl_recyclass[Familia_PPWR],MATCH(A200,tbl_recyclass[ProductId],0)),tbl_familias_ppwr[ID_Familia],0))="Em falta","Lacuna","Conforme"),IF(B200="EU-ENV-013",IF(INDEX(tbl_familias_ppwr[Declaracao_UE],MATCH(INDEX(tbl_recyclass[Familia_PPWR],MATCH(A200,tbl_recyclass[ProductId],0)),tbl_familias_ppwr[ID_Familia],0))="Sim","Conforme","Lacuna"),G200)))),G200))</f>
        <v>Conforme (autoavaliação)</v>
      </c>
      <c r="I200" s="33" t="str">
        <f t="shared" si="3"/>
        <v>Conforme</v>
      </c>
      <c r="J200" s="26" t="s">
        <v>991</v>
      </c>
    </row>
    <row r="201" spans="1:10" ht="16.05" customHeight="1" x14ac:dyDescent="0.3">
      <c r="A201" s="26" t="s">
        <v>627</v>
      </c>
      <c r="B201" s="26" t="s">
        <v>997</v>
      </c>
      <c r="C201" s="33" t="str">
        <f>IFERROR(INDEX(tbl_requisitos_emb[Tema],MATCH(B201,tbl_requisitos_emb[ID_Req],0)),"")</f>
        <v>Conteúdo reciclado</v>
      </c>
      <c r="D201" s="33" t="str">
        <f>IFERROR(INDEX(tbl_recyclass[Segmento],MATCH(A201,tbl_recyclass[ProductId],0)),"")</f>
        <v>Cosmética e higiene pessoal</v>
      </c>
      <c r="E201" s="26" t="s">
        <v>901</v>
      </c>
      <c r="F201" s="26" t="s">
        <v>1449</v>
      </c>
      <c r="G201" s="26" t="s">
        <v>978</v>
      </c>
      <c r="H201" s="33" t="str">
        <f>IF(E201="Não","Não aplicável",IFERROR(IF(B201="EU-ENV-002",IF(INDEX(tbl_recyclass[Conforme_PPWR_2030],MATCH(A201,tbl_recyclass[ProductId],0))="Sim","Conforme (autoavaliação)",IF(INDEX(tbl_recyclass[Conforme_PPWR_2030],MATCH(A201,tbl_recyclass[ProductId],0))="Não","Não conforme em 2030","Isento até 2035")),IF(B201="EU-ENV-003",IF(INDEX(tbl_recyclass[Conforme_Art7_2030],MATCH(A201,tbl_recyclass[ProductId],0))="Sim","Conforme (meta 2030)",IF(INDEX(tbl_recyclass[Conforme_Art7_2030],MATCH(A201,tbl_recyclass[ProductId],0))="Não","Lacuna face à meta 2030","Isento")),IF(B201="EU-ENV-011",IF(INDEX(tbl_familias_ppwr[Metais_Pesados_Evidencia],MATCH(INDEX(tbl_recyclass[Familia_PPWR],MATCH(A201,tbl_recyclass[ProductId],0)),tbl_familias_ppwr[ID_Familia],0))="Em falta","Lacuna","Conforme"),IF(B201="EU-ENV-013",IF(INDEX(tbl_familias_ppwr[Declaracao_UE],MATCH(INDEX(tbl_recyclass[Familia_PPWR],MATCH(A201,tbl_recyclass[ProductId],0)),tbl_familias_ppwr[ID_Familia],0))="Sim","Conforme","Lacuna"),G201)))),G201))</f>
        <v>Lacuna face à meta 2030</v>
      </c>
      <c r="I201" s="33" t="str">
        <f t="shared" si="3"/>
        <v>Lacuna</v>
      </c>
      <c r="J201" s="26" t="s">
        <v>1001</v>
      </c>
    </row>
    <row r="202" spans="1:10" ht="16.05" customHeight="1" x14ac:dyDescent="0.3">
      <c r="A202" s="26" t="s">
        <v>627</v>
      </c>
      <c r="B202" s="26" t="s">
        <v>1007</v>
      </c>
      <c r="C202" s="33" t="str">
        <f>IFERROR(INDEX(tbl_requisitos_emb[Tema],MATCH(B202,tbl_requisitos_emb[ID_Req],0)),"")</f>
        <v>Minimização</v>
      </c>
      <c r="D202" s="33" t="str">
        <f>IFERROR(INDEX(tbl_recyclass[Segmento],MATCH(A202,tbl_recyclass[ProductId],0)),"")</f>
        <v>Cosmética e higiene pessoal</v>
      </c>
      <c r="E202" s="26" t="s">
        <v>901</v>
      </c>
      <c r="F202" s="26" t="s">
        <v>1449</v>
      </c>
      <c r="G202" s="26" t="s">
        <v>978</v>
      </c>
      <c r="H202" s="33" t="str">
        <f>IF(E202="Não","Não aplicável",IFERROR(IF(B202="EU-ENV-002",IF(INDEX(tbl_recyclass[Conforme_PPWR_2030],MATCH(A202,tbl_recyclass[ProductId],0))="Sim","Conforme (autoavaliação)",IF(INDEX(tbl_recyclass[Conforme_PPWR_2030],MATCH(A202,tbl_recyclass[ProductId],0))="Não","Não conforme em 2030","Isento até 2035")),IF(B202="EU-ENV-003",IF(INDEX(tbl_recyclass[Conforme_Art7_2030],MATCH(A202,tbl_recyclass[ProductId],0))="Sim","Conforme (meta 2030)",IF(INDEX(tbl_recyclass[Conforme_Art7_2030],MATCH(A202,tbl_recyclass[ProductId],0))="Não","Lacuna face à meta 2030","Isento")),IF(B202="EU-ENV-011",IF(INDEX(tbl_familias_ppwr[Metais_Pesados_Evidencia],MATCH(INDEX(tbl_recyclass[Familia_PPWR],MATCH(A202,tbl_recyclass[ProductId],0)),tbl_familias_ppwr[ID_Familia],0))="Em falta","Lacuna","Conforme"),IF(B202="EU-ENV-013",IF(INDEX(tbl_familias_ppwr[Declaracao_UE],MATCH(INDEX(tbl_recyclass[Familia_PPWR],MATCH(A202,tbl_recyclass[ProductId],0)),tbl_familias_ppwr[ID_Familia],0))="Sim","Conforme","Lacuna"),G202)))),G202))</f>
        <v>Parcial</v>
      </c>
      <c r="I202" s="33" t="str">
        <f t="shared" si="3"/>
        <v>Parcial</v>
      </c>
      <c r="J202" s="26" t="s">
        <v>1012</v>
      </c>
    </row>
    <row r="203" spans="1:10" ht="16.05" customHeight="1" x14ac:dyDescent="0.3">
      <c r="A203" s="26" t="s">
        <v>627</v>
      </c>
      <c r="B203" s="26" t="s">
        <v>1016</v>
      </c>
      <c r="C203" s="33" t="str">
        <f>IFERROR(INDEX(tbl_requisitos_emb[Tema],MATCH(B203,tbl_requisitos_emb[ID_Req],0)),"")</f>
        <v>Rotulagem</v>
      </c>
      <c r="D203" s="33" t="str">
        <f>IFERROR(INDEX(tbl_recyclass[Segmento],MATCH(A203,tbl_recyclass[ProductId],0)),"")</f>
        <v>Cosmética e higiene pessoal</v>
      </c>
      <c r="E203" s="26" t="s">
        <v>901</v>
      </c>
      <c r="F203" s="26" t="s">
        <v>1449</v>
      </c>
      <c r="G203" s="26" t="s">
        <v>990</v>
      </c>
      <c r="H203" s="33" t="str">
        <f>IF(E203="Não","Não aplicável",IFERROR(IF(B203="EU-ENV-002",IF(INDEX(tbl_recyclass[Conforme_PPWR_2030],MATCH(A203,tbl_recyclass[ProductId],0))="Sim","Conforme (autoavaliação)",IF(INDEX(tbl_recyclass[Conforme_PPWR_2030],MATCH(A203,tbl_recyclass[ProductId],0))="Não","Não conforme em 2030","Isento até 2035")),IF(B203="EU-ENV-003",IF(INDEX(tbl_recyclass[Conforme_Art7_2030],MATCH(A203,tbl_recyclass[ProductId],0))="Sim","Conforme (meta 2030)",IF(INDEX(tbl_recyclass[Conforme_Art7_2030],MATCH(A203,tbl_recyclass[ProductId],0))="Não","Lacuna face à meta 2030","Isento")),IF(B203="EU-ENV-011",IF(INDEX(tbl_familias_ppwr[Metais_Pesados_Evidencia],MATCH(INDEX(tbl_recyclass[Familia_PPWR],MATCH(A203,tbl_recyclass[ProductId],0)),tbl_familias_ppwr[ID_Familia],0))="Em falta","Lacuna","Conforme"),IF(B203="EU-ENV-013",IF(INDEX(tbl_familias_ppwr[Declaracao_UE],MATCH(INDEX(tbl_recyclass[Familia_PPWR],MATCH(A203,tbl_recyclass[ProductId],0)),tbl_familias_ppwr[ID_Familia],0))="Sim","Conforme","Lacuna"),G203)))),G203))</f>
        <v>Futuro</v>
      </c>
      <c r="I203" s="33" t="str">
        <f t="shared" si="3"/>
        <v>Futuro</v>
      </c>
      <c r="J203" s="26" t="s">
        <v>1021</v>
      </c>
    </row>
    <row r="204" spans="1:10" ht="16.05" customHeight="1" x14ac:dyDescent="0.3">
      <c r="A204" s="26" t="s">
        <v>627</v>
      </c>
      <c r="B204" s="26" t="s">
        <v>1038</v>
      </c>
      <c r="C204" s="33" t="str">
        <f>IFERROR(INDEX(tbl_requisitos_emb[Tema],MATCH(B204,tbl_requisitos_emb[ID_Req],0)),"")</f>
        <v>Plásticos de utilização única</v>
      </c>
      <c r="D204" s="33" t="str">
        <f>IFERROR(INDEX(tbl_recyclass[Segmento],MATCH(A204,tbl_recyclass[ProductId],0)),"")</f>
        <v>Cosmética e higiene pessoal</v>
      </c>
      <c r="E204" s="26" t="s">
        <v>904</v>
      </c>
      <c r="F204" s="26" t="s">
        <v>1450</v>
      </c>
      <c r="G204" s="26" t="s">
        <v>1143</v>
      </c>
      <c r="H204" s="33" t="str">
        <f>IF(E204="Não","Não aplicável",IFERROR(IF(B204="EU-ENV-002",IF(INDEX(tbl_recyclass[Conforme_PPWR_2030],MATCH(A204,tbl_recyclass[ProductId],0))="Sim","Conforme (autoavaliação)",IF(INDEX(tbl_recyclass[Conforme_PPWR_2030],MATCH(A204,tbl_recyclass[ProductId],0))="Não","Não conforme em 2030","Isento até 2035")),IF(B204="EU-ENV-003",IF(INDEX(tbl_recyclass[Conforme_Art7_2030],MATCH(A204,tbl_recyclass[ProductId],0))="Sim","Conforme (meta 2030)",IF(INDEX(tbl_recyclass[Conforme_Art7_2030],MATCH(A204,tbl_recyclass[ProductId],0))="Não","Lacuna face à meta 2030","Isento")),IF(B204="EU-ENV-011",IF(INDEX(tbl_familias_ppwr[Metais_Pesados_Evidencia],MATCH(INDEX(tbl_recyclass[Familia_PPWR],MATCH(A204,tbl_recyclass[ProductId],0)),tbl_familias_ppwr[ID_Familia],0))="Em falta","Lacuna","Conforme"),IF(B204="EU-ENV-013",IF(INDEX(tbl_familias_ppwr[Declaracao_UE],MATCH(INDEX(tbl_recyclass[Familia_PPWR],MATCH(A204,tbl_recyclass[ProductId],0)),tbl_familias_ppwr[ID_Familia],0))="Sim","Conforme","Lacuna"),G204)))),G204))</f>
        <v>Não aplicável</v>
      </c>
      <c r="I204" s="33" t="str">
        <f t="shared" si="3"/>
        <v>Não aplicável</v>
      </c>
      <c r="J204" s="26"/>
    </row>
    <row r="205" spans="1:10" ht="16.05" customHeight="1" x14ac:dyDescent="0.3">
      <c r="A205" s="26" t="s">
        <v>627</v>
      </c>
      <c r="B205" s="26" t="s">
        <v>1078</v>
      </c>
      <c r="C205" s="33" t="str">
        <f>IFERROR(INDEX(tbl_requisitos_emb[Tema],MATCH(B205,tbl_requisitos_emb[ID_Req],0)),"")</f>
        <v>Reciclado à escala</v>
      </c>
      <c r="D205" s="33" t="str">
        <f>IFERROR(INDEX(tbl_recyclass[Segmento],MATCH(A205,tbl_recyclass[ProductId],0)),"")</f>
        <v>Cosmética e higiene pessoal</v>
      </c>
      <c r="E205" s="26" t="s">
        <v>901</v>
      </c>
      <c r="F205" s="26" t="s">
        <v>1449</v>
      </c>
      <c r="G205" s="26" t="s">
        <v>990</v>
      </c>
      <c r="H205" s="33" t="str">
        <f>IF(E205="Não","Não aplicável",IFERROR(IF(B205="EU-ENV-002",IF(INDEX(tbl_recyclass[Conforme_PPWR_2030],MATCH(A205,tbl_recyclass[ProductId],0))="Sim","Conforme (autoavaliação)",IF(INDEX(tbl_recyclass[Conforme_PPWR_2030],MATCH(A205,tbl_recyclass[ProductId],0))="Não","Não conforme em 2030","Isento até 2035")),IF(B205="EU-ENV-003",IF(INDEX(tbl_recyclass[Conforme_Art7_2030],MATCH(A205,tbl_recyclass[ProductId],0))="Sim","Conforme (meta 2030)",IF(INDEX(tbl_recyclass[Conforme_Art7_2030],MATCH(A205,tbl_recyclass[ProductId],0))="Não","Lacuna face à meta 2030","Isento")),IF(B205="EU-ENV-011",IF(INDEX(tbl_familias_ppwr[Metais_Pesados_Evidencia],MATCH(INDEX(tbl_recyclass[Familia_PPWR],MATCH(A205,tbl_recyclass[ProductId],0)),tbl_familias_ppwr[ID_Familia],0))="Em falta","Lacuna","Conforme"),IF(B205="EU-ENV-013",IF(INDEX(tbl_familias_ppwr[Declaracao_UE],MATCH(INDEX(tbl_recyclass[Familia_PPWR],MATCH(A205,tbl_recyclass[ProductId],0)),tbl_familias_ppwr[ID_Familia],0))="Sim","Conforme","Lacuna"),G205)))),G205))</f>
        <v>Futuro</v>
      </c>
      <c r="I205" s="33" t="str">
        <f t="shared" si="3"/>
        <v>Futuro</v>
      </c>
      <c r="J205" s="26" t="s">
        <v>1082</v>
      </c>
    </row>
    <row r="206" spans="1:10" ht="16.05" customHeight="1" x14ac:dyDescent="0.3">
      <c r="A206" s="26" t="s">
        <v>627</v>
      </c>
      <c r="B206" s="26" t="s">
        <v>1086</v>
      </c>
      <c r="C206" s="33" t="str">
        <f>IFERROR(INDEX(tbl_requisitos_emb[Tema],MATCH(B206,tbl_requisitos_emb[ID_Req],0)),"")</f>
        <v>Metais pesados</v>
      </c>
      <c r="D206" s="33" t="str">
        <f>IFERROR(INDEX(tbl_recyclass[Segmento],MATCH(A206,tbl_recyclass[ProductId],0)),"")</f>
        <v>Cosmética e higiene pessoal</v>
      </c>
      <c r="E206" s="26" t="s">
        <v>901</v>
      </c>
      <c r="F206" s="26" t="s">
        <v>1449</v>
      </c>
      <c r="G206" s="26" t="s">
        <v>978</v>
      </c>
      <c r="H206" s="33" t="str">
        <f>IF(E206="Não","Não aplicável",IFERROR(IF(B206="EU-ENV-002",IF(INDEX(tbl_recyclass[Conforme_PPWR_2030],MATCH(A206,tbl_recyclass[ProductId],0))="Sim","Conforme (autoavaliação)",IF(INDEX(tbl_recyclass[Conforme_PPWR_2030],MATCH(A206,tbl_recyclass[ProductId],0))="Não","Não conforme em 2030","Isento até 2035")),IF(B206="EU-ENV-003",IF(INDEX(tbl_recyclass[Conforme_Art7_2030],MATCH(A206,tbl_recyclass[ProductId],0))="Sim","Conforme (meta 2030)",IF(INDEX(tbl_recyclass[Conforme_Art7_2030],MATCH(A206,tbl_recyclass[ProductId],0))="Não","Lacuna face à meta 2030","Isento")),IF(B206="EU-ENV-011",IF(INDEX(tbl_familias_ppwr[Metais_Pesados_Evidencia],MATCH(INDEX(tbl_recyclass[Familia_PPWR],MATCH(A206,tbl_recyclass[ProductId],0)),tbl_familias_ppwr[ID_Familia],0))="Em falta","Lacuna","Conforme"),IF(B206="EU-ENV-013",IF(INDEX(tbl_familias_ppwr[Declaracao_UE],MATCH(INDEX(tbl_recyclass[Familia_PPWR],MATCH(A206,tbl_recyclass[ProductId],0)),tbl_familias_ppwr[ID_Familia],0))="Sim","Conforme","Lacuna"),G206)))),G206))</f>
        <v>Conforme</v>
      </c>
      <c r="I206" s="33" t="str">
        <f t="shared" si="3"/>
        <v>Conforme</v>
      </c>
      <c r="J206" s="26" t="s">
        <v>1090</v>
      </c>
    </row>
    <row r="207" spans="1:10" ht="16.05" customHeight="1" x14ac:dyDescent="0.3">
      <c r="A207" s="26" t="s">
        <v>627</v>
      </c>
      <c r="B207" s="26" t="s">
        <v>1094</v>
      </c>
      <c r="C207" s="33" t="str">
        <f>IFERROR(INDEX(tbl_requisitos_emb[Tema],MATCH(B207,tbl_requisitos_emb[ID_Req],0)),"")</f>
        <v>PFAS</v>
      </c>
      <c r="D207" s="33" t="str">
        <f>IFERROR(INDEX(tbl_recyclass[Segmento],MATCH(A207,tbl_recyclass[ProductId],0)),"")</f>
        <v>Cosmética e higiene pessoal</v>
      </c>
      <c r="E207" s="26" t="s">
        <v>904</v>
      </c>
      <c r="F207" s="26" t="s">
        <v>1450</v>
      </c>
      <c r="G207" s="26" t="s">
        <v>1143</v>
      </c>
      <c r="H207" s="33" t="str">
        <f>IF(E207="Não","Não aplicável",IFERROR(IF(B207="EU-ENV-002",IF(INDEX(tbl_recyclass[Conforme_PPWR_2030],MATCH(A207,tbl_recyclass[ProductId],0))="Sim","Conforme (autoavaliação)",IF(INDEX(tbl_recyclass[Conforme_PPWR_2030],MATCH(A207,tbl_recyclass[ProductId],0))="Não","Não conforme em 2030","Isento até 2035")),IF(B207="EU-ENV-003",IF(INDEX(tbl_recyclass[Conforme_Art7_2030],MATCH(A207,tbl_recyclass[ProductId],0))="Sim","Conforme (meta 2030)",IF(INDEX(tbl_recyclass[Conforme_Art7_2030],MATCH(A207,tbl_recyclass[ProductId],0))="Não","Lacuna face à meta 2030","Isento")),IF(B207="EU-ENV-011",IF(INDEX(tbl_familias_ppwr[Metais_Pesados_Evidencia],MATCH(INDEX(tbl_recyclass[Familia_PPWR],MATCH(A207,tbl_recyclass[ProductId],0)),tbl_familias_ppwr[ID_Familia],0))="Em falta","Lacuna","Conforme"),IF(B207="EU-ENV-013",IF(INDEX(tbl_familias_ppwr[Declaracao_UE],MATCH(INDEX(tbl_recyclass[Familia_PPWR],MATCH(A207,tbl_recyclass[ProductId],0)),tbl_familias_ppwr[ID_Familia],0))="Sim","Conforme","Lacuna"),G207)))),G207))</f>
        <v>Não aplicável</v>
      </c>
      <c r="I207" s="33" t="str">
        <f t="shared" si="3"/>
        <v>Não aplicável</v>
      </c>
      <c r="J207" s="26"/>
    </row>
    <row r="208" spans="1:10" ht="16.05" customHeight="1" x14ac:dyDescent="0.3">
      <c r="A208" s="26" t="s">
        <v>627</v>
      </c>
      <c r="B208" s="26" t="s">
        <v>1102</v>
      </c>
      <c r="C208" s="33" t="str">
        <f>IFERROR(INDEX(tbl_requisitos_emb[Tema],MATCH(B208,tbl_requisitos_emb[ID_Req],0)),"")</f>
        <v>Documentação técnica e declaração UE</v>
      </c>
      <c r="D208" s="33" t="str">
        <f>IFERROR(INDEX(tbl_recyclass[Segmento],MATCH(A208,tbl_recyclass[ProductId],0)),"")</f>
        <v>Cosmética e higiene pessoal</v>
      </c>
      <c r="E208" s="26" t="s">
        <v>901</v>
      </c>
      <c r="F208" s="26" t="s">
        <v>1449</v>
      </c>
      <c r="G208" s="26" t="s">
        <v>978</v>
      </c>
      <c r="H208" s="33" t="str">
        <f>IF(E208="Não","Não aplicável",IFERROR(IF(B208="EU-ENV-002",IF(INDEX(tbl_recyclass[Conforme_PPWR_2030],MATCH(A208,tbl_recyclass[ProductId],0))="Sim","Conforme (autoavaliação)",IF(INDEX(tbl_recyclass[Conforme_PPWR_2030],MATCH(A208,tbl_recyclass[ProductId],0))="Não","Não conforme em 2030","Isento até 2035")),IF(B208="EU-ENV-003",IF(INDEX(tbl_recyclass[Conforme_Art7_2030],MATCH(A208,tbl_recyclass[ProductId],0))="Sim","Conforme (meta 2030)",IF(INDEX(tbl_recyclass[Conforme_Art7_2030],MATCH(A208,tbl_recyclass[ProductId],0))="Não","Lacuna face à meta 2030","Isento")),IF(B208="EU-ENV-011",IF(INDEX(tbl_familias_ppwr[Metais_Pesados_Evidencia],MATCH(INDEX(tbl_recyclass[Familia_PPWR],MATCH(A208,tbl_recyclass[ProductId],0)),tbl_familias_ppwr[ID_Familia],0))="Em falta","Lacuna","Conforme"),IF(B208="EU-ENV-013",IF(INDEX(tbl_familias_ppwr[Declaracao_UE],MATCH(INDEX(tbl_recyclass[Familia_PPWR],MATCH(A208,tbl_recyclass[ProductId],0)),tbl_familias_ppwr[ID_Familia],0))="Sim","Conforme","Lacuna"),G208)))),G208))</f>
        <v>Conforme</v>
      </c>
      <c r="I208" s="33" t="str">
        <f t="shared" si="3"/>
        <v>Conforme</v>
      </c>
      <c r="J208" s="26" t="s">
        <v>1106</v>
      </c>
    </row>
    <row r="209" spans="1:10" ht="16.05" customHeight="1" x14ac:dyDescent="0.3">
      <c r="A209" s="26" t="s">
        <v>627</v>
      </c>
      <c r="B209" s="26" t="s">
        <v>1161</v>
      </c>
      <c r="C209" s="33" t="str">
        <f>IFERROR(INDEX(tbl_requisitos_emb[Tema],MATCH(B209,tbl_requisitos_emb[ID_Req],0)),"")</f>
        <v>Materiais em contacto com alimentos</v>
      </c>
      <c r="D209" s="33" t="str">
        <f>IFERROR(INDEX(tbl_recyclass[Segmento],MATCH(A209,tbl_recyclass[ProductId],0)),"")</f>
        <v>Cosmética e higiene pessoal</v>
      </c>
      <c r="E209" s="26" t="s">
        <v>904</v>
      </c>
      <c r="F209" s="26" t="s">
        <v>1450</v>
      </c>
      <c r="G209" s="26" t="s">
        <v>1143</v>
      </c>
      <c r="H209" s="33" t="str">
        <f>IF(E209="Não","Não aplicável",IFERROR(IF(B209="EU-ENV-002",IF(INDEX(tbl_recyclass[Conforme_PPWR_2030],MATCH(A209,tbl_recyclass[ProductId],0))="Sim","Conforme (autoavaliação)",IF(INDEX(tbl_recyclass[Conforme_PPWR_2030],MATCH(A209,tbl_recyclass[ProductId],0))="Não","Não conforme em 2030","Isento até 2035")),IF(B209="EU-ENV-003",IF(INDEX(tbl_recyclass[Conforme_Art7_2030],MATCH(A209,tbl_recyclass[ProductId],0))="Sim","Conforme (meta 2030)",IF(INDEX(tbl_recyclass[Conforme_Art7_2030],MATCH(A209,tbl_recyclass[ProductId],0))="Não","Lacuna face à meta 2030","Isento")),IF(B209="EU-ENV-011",IF(INDEX(tbl_familias_ppwr[Metais_Pesados_Evidencia],MATCH(INDEX(tbl_recyclass[Familia_PPWR],MATCH(A209,tbl_recyclass[ProductId],0)),tbl_familias_ppwr[ID_Familia],0))="Em falta","Lacuna","Conforme"),IF(B209="EU-ENV-013",IF(INDEX(tbl_familias_ppwr[Declaracao_UE],MATCH(INDEX(tbl_recyclass[Familia_PPWR],MATCH(A209,tbl_recyclass[ProductId],0)),tbl_familias_ppwr[ID_Familia],0))="Sim","Conforme","Lacuna"),G209)))),G209))</f>
        <v>Não aplicável</v>
      </c>
      <c r="I209" s="33" t="str">
        <f t="shared" si="3"/>
        <v>Não aplicável</v>
      </c>
      <c r="J209" s="26"/>
    </row>
    <row r="210" spans="1:10" ht="16.05" customHeight="1" x14ac:dyDescent="0.3">
      <c r="A210" s="26" t="s">
        <v>627</v>
      </c>
      <c r="B210" s="26" t="s">
        <v>1170</v>
      </c>
      <c r="C210" s="33" t="str">
        <f>IFERROR(INDEX(tbl_requisitos_emb[Tema],MATCH(B210,tbl_requisitos_emb[ID_Req],0)),"")</f>
        <v>Boas práticas de fabrico FCM</v>
      </c>
      <c r="D210" s="33" t="str">
        <f>IFERROR(INDEX(tbl_recyclass[Segmento],MATCH(A210,tbl_recyclass[ProductId],0)),"")</f>
        <v>Cosmética e higiene pessoal</v>
      </c>
      <c r="E210" s="26" t="s">
        <v>904</v>
      </c>
      <c r="F210" s="26" t="s">
        <v>1450</v>
      </c>
      <c r="G210" s="26" t="s">
        <v>1143</v>
      </c>
      <c r="H210" s="33" t="str">
        <f>IF(E210="Não","Não aplicável",IFERROR(IF(B210="EU-ENV-002",IF(INDEX(tbl_recyclass[Conforme_PPWR_2030],MATCH(A210,tbl_recyclass[ProductId],0))="Sim","Conforme (autoavaliação)",IF(INDEX(tbl_recyclass[Conforme_PPWR_2030],MATCH(A210,tbl_recyclass[ProductId],0))="Não","Não conforme em 2030","Isento até 2035")),IF(B210="EU-ENV-003",IF(INDEX(tbl_recyclass[Conforme_Art7_2030],MATCH(A210,tbl_recyclass[ProductId],0))="Sim","Conforme (meta 2030)",IF(INDEX(tbl_recyclass[Conforme_Art7_2030],MATCH(A210,tbl_recyclass[ProductId],0))="Não","Lacuna face à meta 2030","Isento")),IF(B210="EU-ENV-011",IF(INDEX(tbl_familias_ppwr[Metais_Pesados_Evidencia],MATCH(INDEX(tbl_recyclass[Familia_PPWR],MATCH(A210,tbl_recyclass[ProductId],0)),tbl_familias_ppwr[ID_Familia],0))="Em falta","Lacuna","Conforme"),IF(B210="EU-ENV-013",IF(INDEX(tbl_familias_ppwr[Declaracao_UE],MATCH(INDEX(tbl_recyclass[Familia_PPWR],MATCH(A210,tbl_recyclass[ProductId],0)),tbl_familias_ppwr[ID_Familia],0))="Sim","Conforme","Lacuna"),G210)))),G210))</f>
        <v>Não aplicável</v>
      </c>
      <c r="I210" s="33" t="str">
        <f t="shared" si="3"/>
        <v>Não aplicável</v>
      </c>
      <c r="J210" s="26"/>
    </row>
    <row r="211" spans="1:10" ht="16.05" customHeight="1" x14ac:dyDescent="0.3">
      <c r="A211" s="26" t="s">
        <v>627</v>
      </c>
      <c r="B211" s="26" t="s">
        <v>1179</v>
      </c>
      <c r="C211" s="33" t="str">
        <f>IFERROR(INDEX(tbl_requisitos_emb[Tema],MATCH(B211,tbl_requisitos_emb[ID_Req],0)),"")</f>
        <v>Bisfenol A e bisfenóis perigosos</v>
      </c>
      <c r="D211" s="33" t="str">
        <f>IFERROR(INDEX(tbl_recyclass[Segmento],MATCH(A211,tbl_recyclass[ProductId],0)),"")</f>
        <v>Cosmética e higiene pessoal</v>
      </c>
      <c r="E211" s="26" t="s">
        <v>904</v>
      </c>
      <c r="F211" s="26" t="s">
        <v>1450</v>
      </c>
      <c r="G211" s="26" t="s">
        <v>1143</v>
      </c>
      <c r="H211" s="33" t="str">
        <f>IF(E211="Não","Não aplicável",IFERROR(IF(B211="EU-ENV-002",IF(INDEX(tbl_recyclass[Conforme_PPWR_2030],MATCH(A211,tbl_recyclass[ProductId],0))="Sim","Conforme (autoavaliação)",IF(INDEX(tbl_recyclass[Conforme_PPWR_2030],MATCH(A211,tbl_recyclass[ProductId],0))="Não","Não conforme em 2030","Isento até 2035")),IF(B211="EU-ENV-003",IF(INDEX(tbl_recyclass[Conforme_Art7_2030],MATCH(A211,tbl_recyclass[ProductId],0))="Sim","Conforme (meta 2030)",IF(INDEX(tbl_recyclass[Conforme_Art7_2030],MATCH(A211,tbl_recyclass[ProductId],0))="Não","Lacuna face à meta 2030","Isento")),IF(B211="EU-ENV-011",IF(INDEX(tbl_familias_ppwr[Metais_Pesados_Evidencia],MATCH(INDEX(tbl_recyclass[Familia_PPWR],MATCH(A211,tbl_recyclass[ProductId],0)),tbl_familias_ppwr[ID_Familia],0))="Em falta","Lacuna","Conforme"),IF(B211="EU-ENV-013",IF(INDEX(tbl_familias_ppwr[Declaracao_UE],MATCH(INDEX(tbl_recyclass[Familia_PPWR],MATCH(A211,tbl_recyclass[ProductId],0)),tbl_familias_ppwr[ID_Familia],0))="Sim","Conforme","Lacuna"),G211)))),G211))</f>
        <v>Não aplicável</v>
      </c>
      <c r="I211" s="33" t="str">
        <f t="shared" si="3"/>
        <v>Não aplicável</v>
      </c>
      <c r="J211" s="26"/>
    </row>
    <row r="212" spans="1:10" ht="16.05" customHeight="1" x14ac:dyDescent="0.3">
      <c r="A212" s="26" t="s">
        <v>627</v>
      </c>
      <c r="B212" s="26" t="s">
        <v>1188</v>
      </c>
      <c r="C212" s="33" t="str">
        <f>IFERROR(INDEX(tbl_requisitos_emb[Tema],MATCH(B212,tbl_requisitos_emb[ID_Req],0)),"")</f>
        <v>Plásticos em contacto com alimentos</v>
      </c>
      <c r="D212" s="33" t="str">
        <f>IFERROR(INDEX(tbl_recyclass[Segmento],MATCH(A212,tbl_recyclass[ProductId],0)),"")</f>
        <v>Cosmética e higiene pessoal</v>
      </c>
      <c r="E212" s="26" t="s">
        <v>904</v>
      </c>
      <c r="F212" s="26" t="s">
        <v>1450</v>
      </c>
      <c r="G212" s="26" t="s">
        <v>1143</v>
      </c>
      <c r="H212" s="33" t="str">
        <f>IF(E212="Não","Não aplicável",IFERROR(IF(B212="EU-ENV-002",IF(INDEX(tbl_recyclass[Conforme_PPWR_2030],MATCH(A212,tbl_recyclass[ProductId],0))="Sim","Conforme (autoavaliação)",IF(INDEX(tbl_recyclass[Conforme_PPWR_2030],MATCH(A212,tbl_recyclass[ProductId],0))="Não","Não conforme em 2030","Isento até 2035")),IF(B212="EU-ENV-003",IF(INDEX(tbl_recyclass[Conforme_Art7_2030],MATCH(A212,tbl_recyclass[ProductId],0))="Sim","Conforme (meta 2030)",IF(INDEX(tbl_recyclass[Conforme_Art7_2030],MATCH(A212,tbl_recyclass[ProductId],0))="Não","Lacuna face à meta 2030","Isento")),IF(B212="EU-ENV-011",IF(INDEX(tbl_familias_ppwr[Metais_Pesados_Evidencia],MATCH(INDEX(tbl_recyclass[Familia_PPWR],MATCH(A212,tbl_recyclass[ProductId],0)),tbl_familias_ppwr[ID_Familia],0))="Em falta","Lacuna","Conforme"),IF(B212="EU-ENV-013",IF(INDEX(tbl_familias_ppwr[Declaracao_UE],MATCH(INDEX(tbl_recyclass[Familia_PPWR],MATCH(A212,tbl_recyclass[ProductId],0)),tbl_familias_ppwr[ID_Familia],0))="Sim","Conforme","Lacuna"),G212)))),G212))</f>
        <v>Não aplicável</v>
      </c>
      <c r="I212" s="33" t="str">
        <f t="shared" si="3"/>
        <v>Não aplicável</v>
      </c>
      <c r="J212" s="26"/>
    </row>
    <row r="213" spans="1:10" ht="16.05" customHeight="1" x14ac:dyDescent="0.3">
      <c r="A213" s="26" t="s">
        <v>627</v>
      </c>
      <c r="B213" s="26" t="s">
        <v>1212</v>
      </c>
      <c r="C213" s="33" t="str">
        <f>IFERROR(INDEX(tbl_requisitos_emb[Tema],MATCH(B213,tbl_requisitos_emb[ID_Req],0)),"")</f>
        <v>Segurança do produto cosmético</v>
      </c>
      <c r="D213" s="33" t="str">
        <f>IFERROR(INDEX(tbl_recyclass[Segmento],MATCH(A213,tbl_recyclass[ProductId],0)),"")</f>
        <v>Cosmética e higiene pessoal</v>
      </c>
      <c r="E213" s="26" t="s">
        <v>901</v>
      </c>
      <c r="F213" s="26" t="s">
        <v>1449</v>
      </c>
      <c r="G213" s="26" t="s">
        <v>1033</v>
      </c>
      <c r="H213" s="33" t="str">
        <f>IF(E213="Não","Não aplicável",IFERROR(IF(B213="EU-ENV-002",IF(INDEX(tbl_recyclass[Conforme_PPWR_2030],MATCH(A213,tbl_recyclass[ProductId],0))="Sim","Conforme (autoavaliação)",IF(INDEX(tbl_recyclass[Conforme_PPWR_2030],MATCH(A213,tbl_recyclass[ProductId],0))="Não","Não conforme em 2030","Isento até 2035")),IF(B213="EU-ENV-003",IF(INDEX(tbl_recyclass[Conforme_Art7_2030],MATCH(A213,tbl_recyclass[ProductId],0))="Sim","Conforme (meta 2030)",IF(INDEX(tbl_recyclass[Conforme_Art7_2030],MATCH(A213,tbl_recyclass[ProductId],0))="Não","Lacuna face à meta 2030","Isento")),IF(B213="EU-ENV-011",IF(INDEX(tbl_familias_ppwr[Metais_Pesados_Evidencia],MATCH(INDEX(tbl_recyclass[Familia_PPWR],MATCH(A213,tbl_recyclass[ProductId],0)),tbl_familias_ppwr[ID_Familia],0))="Em falta","Lacuna","Conforme"),IF(B213="EU-ENV-013",IF(INDEX(tbl_familias_ppwr[Declaracao_UE],MATCH(INDEX(tbl_recyclass[Familia_PPWR],MATCH(A213,tbl_recyclass[ProductId],0)),tbl_familias_ppwr[ID_Familia],0))="Sim","Conforme","Lacuna"),G213)))),G213))</f>
        <v>Conforme</v>
      </c>
      <c r="I213" s="33" t="str">
        <f t="shared" si="3"/>
        <v>Conforme</v>
      </c>
      <c r="J213" s="26" t="s">
        <v>1221</v>
      </c>
    </row>
    <row r="214" spans="1:10" ht="16.05" customHeight="1" x14ac:dyDescent="0.3">
      <c r="A214" s="26" t="s">
        <v>627</v>
      </c>
      <c r="B214" s="26" t="s">
        <v>1224</v>
      </c>
      <c r="C214" s="33" t="str">
        <f>IFERROR(INDEX(tbl_requisitos_emb[Tema],MATCH(B214,tbl_requisitos_emb[ID_Req],0)),"")</f>
        <v>Materiais e impurezas</v>
      </c>
      <c r="D214" s="33" t="str">
        <f>IFERROR(INDEX(tbl_recyclass[Segmento],MATCH(A214,tbl_recyclass[ProductId],0)),"")</f>
        <v>Cosmética e higiene pessoal</v>
      </c>
      <c r="E214" s="26" t="s">
        <v>901</v>
      </c>
      <c r="F214" s="26" t="s">
        <v>1449</v>
      </c>
      <c r="G214" s="26" t="s">
        <v>978</v>
      </c>
      <c r="H214" s="33" t="str">
        <f>IF(E214="Não","Não aplicável",IFERROR(IF(B214="EU-ENV-002",IF(INDEX(tbl_recyclass[Conforme_PPWR_2030],MATCH(A214,tbl_recyclass[ProductId],0))="Sim","Conforme (autoavaliação)",IF(INDEX(tbl_recyclass[Conforme_PPWR_2030],MATCH(A214,tbl_recyclass[ProductId],0))="Não","Não conforme em 2030","Isento até 2035")),IF(B214="EU-ENV-003",IF(INDEX(tbl_recyclass[Conforme_Art7_2030],MATCH(A214,tbl_recyclass[ProductId],0))="Sim","Conforme (meta 2030)",IF(INDEX(tbl_recyclass[Conforme_Art7_2030],MATCH(A214,tbl_recyclass[ProductId],0))="Não","Lacuna face à meta 2030","Isento")),IF(B214="EU-ENV-011",IF(INDEX(tbl_familias_ppwr[Metais_Pesados_Evidencia],MATCH(INDEX(tbl_recyclass[Familia_PPWR],MATCH(A214,tbl_recyclass[ProductId],0)),tbl_familias_ppwr[ID_Familia],0))="Em falta","Lacuna","Conforme"),IF(B214="EU-ENV-013",IF(INDEX(tbl_familias_ppwr[Declaracao_UE],MATCH(INDEX(tbl_recyclass[Familia_PPWR],MATCH(A214,tbl_recyclass[ProductId],0)),tbl_familias_ppwr[ID_Familia],0))="Sim","Conforme","Lacuna"),G214)))),G214))</f>
        <v>Parcial</v>
      </c>
      <c r="I214" s="33" t="str">
        <f t="shared" si="3"/>
        <v>Parcial</v>
      </c>
      <c r="J214" s="26" t="s">
        <v>1228</v>
      </c>
    </row>
    <row r="215" spans="1:10" ht="16.05" customHeight="1" x14ac:dyDescent="0.3">
      <c r="A215" s="26" t="s">
        <v>627</v>
      </c>
      <c r="B215" s="26" t="s">
        <v>1240</v>
      </c>
      <c r="C215" s="33" t="str">
        <f>IFERROR(INDEX(tbl_requisitos_emb[Tema],MATCH(B215,tbl_requisitos_emb[ID_Req],0)),"")</f>
        <v>Compatibilidade embalagem–produto</v>
      </c>
      <c r="D215" s="33" t="str">
        <f>IFERROR(INDEX(tbl_recyclass[Segmento],MATCH(A215,tbl_recyclass[ProductId],0)),"")</f>
        <v>Cosmética e higiene pessoal</v>
      </c>
      <c r="E215" s="26" t="s">
        <v>901</v>
      </c>
      <c r="F215" s="26" t="s">
        <v>1449</v>
      </c>
      <c r="G215" s="26" t="s">
        <v>1033</v>
      </c>
      <c r="H215" s="33" t="str">
        <f>IF(E215="Não","Não aplicável",IFERROR(IF(B215="EU-ENV-002",IF(INDEX(tbl_recyclass[Conforme_PPWR_2030],MATCH(A215,tbl_recyclass[ProductId],0))="Sim","Conforme (autoavaliação)",IF(INDEX(tbl_recyclass[Conforme_PPWR_2030],MATCH(A215,tbl_recyclass[ProductId],0))="Não","Não conforme em 2030","Isento até 2035")),IF(B215="EU-ENV-003",IF(INDEX(tbl_recyclass[Conforme_Art7_2030],MATCH(A215,tbl_recyclass[ProductId],0))="Sim","Conforme (meta 2030)",IF(INDEX(tbl_recyclass[Conforme_Art7_2030],MATCH(A215,tbl_recyclass[ProductId],0))="Não","Lacuna face à meta 2030","Isento")),IF(B215="EU-ENV-011",IF(INDEX(tbl_familias_ppwr[Metais_Pesados_Evidencia],MATCH(INDEX(tbl_recyclass[Familia_PPWR],MATCH(A215,tbl_recyclass[ProductId],0)),tbl_familias_ppwr[ID_Familia],0))="Em falta","Lacuna","Conforme"),IF(B215="EU-ENV-013",IF(INDEX(tbl_familias_ppwr[Declaracao_UE],MATCH(INDEX(tbl_recyclass[Familia_PPWR],MATCH(A215,tbl_recyclass[ProductId],0)),tbl_familias_ppwr[ID_Familia],0))="Sim","Conforme","Lacuna"),G215)))),G215))</f>
        <v>Conforme</v>
      </c>
      <c r="I215" s="33" t="str">
        <f t="shared" si="3"/>
        <v>Conforme</v>
      </c>
      <c r="J215" s="26" t="s">
        <v>1244</v>
      </c>
    </row>
    <row r="216" spans="1:10" ht="16.05" customHeight="1" x14ac:dyDescent="0.3">
      <c r="A216" s="26" t="s">
        <v>627</v>
      </c>
      <c r="B216" s="26" t="s">
        <v>1252</v>
      </c>
      <c r="C216" s="33" t="str">
        <f>IFERROR(INDEX(tbl_requisitos_emb[Tema],MATCH(B216,tbl_requisitos_emb[ID_Req],0)),"")</f>
        <v>Medicamentos de uso humano</v>
      </c>
      <c r="D216" s="33" t="str">
        <f>IFERROR(INDEX(tbl_recyclass[Segmento],MATCH(A216,tbl_recyclass[ProductId],0)),"")</f>
        <v>Cosmética e higiene pessoal</v>
      </c>
      <c r="E216" s="26" t="s">
        <v>904</v>
      </c>
      <c r="F216" s="26" t="s">
        <v>1451</v>
      </c>
      <c r="G216" s="26" t="s">
        <v>1143</v>
      </c>
      <c r="H216" s="33" t="str">
        <f>IF(E216="Não","Não aplicável",IFERROR(IF(B216="EU-ENV-002",IF(INDEX(tbl_recyclass[Conforme_PPWR_2030],MATCH(A216,tbl_recyclass[ProductId],0))="Sim","Conforme (autoavaliação)",IF(INDEX(tbl_recyclass[Conforme_PPWR_2030],MATCH(A216,tbl_recyclass[ProductId],0))="Não","Não conforme em 2030","Isento até 2035")),IF(B216="EU-ENV-003",IF(INDEX(tbl_recyclass[Conforme_Art7_2030],MATCH(A216,tbl_recyclass[ProductId],0))="Sim","Conforme (meta 2030)",IF(INDEX(tbl_recyclass[Conforme_Art7_2030],MATCH(A216,tbl_recyclass[ProductId],0))="Não","Lacuna face à meta 2030","Isento")),IF(B216="EU-ENV-011",IF(INDEX(tbl_familias_ppwr[Metais_Pesados_Evidencia],MATCH(INDEX(tbl_recyclass[Familia_PPWR],MATCH(A216,tbl_recyclass[ProductId],0)),tbl_familias_ppwr[ID_Familia],0))="Em falta","Lacuna","Conforme"),IF(B216="EU-ENV-013",IF(INDEX(tbl_familias_ppwr[Declaracao_UE],MATCH(INDEX(tbl_recyclass[Familia_PPWR],MATCH(A216,tbl_recyclass[ProductId],0)),tbl_familias_ppwr[ID_Familia],0))="Sim","Conforme","Lacuna"),G216)))),G216))</f>
        <v>Não aplicável</v>
      </c>
      <c r="I216" s="33" t="str">
        <f t="shared" si="3"/>
        <v>Não aplicável</v>
      </c>
      <c r="J216" s="26"/>
    </row>
    <row r="217" spans="1:10" ht="16.05" customHeight="1" x14ac:dyDescent="0.3">
      <c r="A217" s="26" t="s">
        <v>627</v>
      </c>
      <c r="B217" s="26" t="s">
        <v>1268</v>
      </c>
      <c r="C217" s="33" t="str">
        <f>IFERROR(INDEX(tbl_requisitos_emb[Tema],MATCH(B217,tbl_requisitos_emb[ID_Req],0)),"")</f>
        <v>Dispositivos de segurança</v>
      </c>
      <c r="D217" s="33" t="str">
        <f>IFERROR(INDEX(tbl_recyclass[Segmento],MATCH(A217,tbl_recyclass[ProductId],0)),"")</f>
        <v>Cosmética e higiene pessoal</v>
      </c>
      <c r="E217" s="26" t="s">
        <v>904</v>
      </c>
      <c r="F217" s="26" t="s">
        <v>1451</v>
      </c>
      <c r="G217" s="26" t="s">
        <v>1143</v>
      </c>
      <c r="H217" s="33" t="str">
        <f>IF(E217="Não","Não aplicável",IFERROR(IF(B217="EU-ENV-002",IF(INDEX(tbl_recyclass[Conforme_PPWR_2030],MATCH(A217,tbl_recyclass[ProductId],0))="Sim","Conforme (autoavaliação)",IF(INDEX(tbl_recyclass[Conforme_PPWR_2030],MATCH(A217,tbl_recyclass[ProductId],0))="Não","Não conforme em 2030","Isento até 2035")),IF(B217="EU-ENV-003",IF(INDEX(tbl_recyclass[Conforme_Art7_2030],MATCH(A217,tbl_recyclass[ProductId],0))="Sim","Conforme (meta 2030)",IF(INDEX(tbl_recyclass[Conforme_Art7_2030],MATCH(A217,tbl_recyclass[ProductId],0))="Não","Lacuna face à meta 2030","Isento")),IF(B217="EU-ENV-011",IF(INDEX(tbl_familias_ppwr[Metais_Pesados_Evidencia],MATCH(INDEX(tbl_recyclass[Familia_PPWR],MATCH(A217,tbl_recyclass[ProductId],0)),tbl_familias_ppwr[ID_Familia],0))="Em falta","Lacuna","Conforme"),IF(B217="EU-ENV-013",IF(INDEX(tbl_familias_ppwr[Declaracao_UE],MATCH(INDEX(tbl_recyclass[Familia_PPWR],MATCH(A217,tbl_recyclass[ProductId],0)),tbl_familias_ppwr[ID_Familia],0))="Sim","Conforme","Lacuna"),G217)))),G217))</f>
        <v>Não aplicável</v>
      </c>
      <c r="I217" s="33" t="str">
        <f t="shared" si="3"/>
        <v>Não aplicável</v>
      </c>
      <c r="J217" s="26"/>
    </row>
    <row r="218" spans="1:10" ht="16.05" customHeight="1" x14ac:dyDescent="0.3">
      <c r="A218" s="26" t="s">
        <v>627</v>
      </c>
      <c r="B218" s="26" t="s">
        <v>1285</v>
      </c>
      <c r="C218" s="33" t="str">
        <f>IFERROR(INDEX(tbl_requisitos_emb[Tema],MATCH(B218,tbl_requisitos_emb[ID_Req],0)),"")</f>
        <v>Materiais plásticos de acondicionamento primário</v>
      </c>
      <c r="D218" s="33" t="str">
        <f>IFERROR(INDEX(tbl_recyclass[Segmento],MATCH(A218,tbl_recyclass[ProductId],0)),"")</f>
        <v>Cosmética e higiene pessoal</v>
      </c>
      <c r="E218" s="26" t="s">
        <v>904</v>
      </c>
      <c r="F218" s="26" t="s">
        <v>1451</v>
      </c>
      <c r="G218" s="26" t="s">
        <v>1143</v>
      </c>
      <c r="H218" s="33" t="str">
        <f>IF(E218="Não","Não aplicável",IFERROR(IF(B218="EU-ENV-002",IF(INDEX(tbl_recyclass[Conforme_PPWR_2030],MATCH(A218,tbl_recyclass[ProductId],0))="Sim","Conforme (autoavaliação)",IF(INDEX(tbl_recyclass[Conforme_PPWR_2030],MATCH(A218,tbl_recyclass[ProductId],0))="Não","Não conforme em 2030","Isento até 2035")),IF(B218="EU-ENV-003",IF(INDEX(tbl_recyclass[Conforme_Art7_2030],MATCH(A218,tbl_recyclass[ProductId],0))="Sim","Conforme (meta 2030)",IF(INDEX(tbl_recyclass[Conforme_Art7_2030],MATCH(A218,tbl_recyclass[ProductId],0))="Não","Lacuna face à meta 2030","Isento")),IF(B218="EU-ENV-011",IF(INDEX(tbl_familias_ppwr[Metais_Pesados_Evidencia],MATCH(INDEX(tbl_recyclass[Familia_PPWR],MATCH(A218,tbl_recyclass[ProductId],0)),tbl_familias_ppwr[ID_Familia],0))="Em falta","Lacuna","Conforme"),IF(B218="EU-ENV-013",IF(INDEX(tbl_familias_ppwr[Declaracao_UE],MATCH(INDEX(tbl_recyclass[Familia_PPWR],MATCH(A218,tbl_recyclass[ProductId],0)),tbl_familias_ppwr[ID_Familia],0))="Sim","Conforme","Lacuna"),G218)))),G218))</f>
        <v>Não aplicável</v>
      </c>
      <c r="I218" s="33" t="str">
        <f t="shared" si="3"/>
        <v>Não aplicável</v>
      </c>
      <c r="J218" s="26"/>
    </row>
    <row r="219" spans="1:10" ht="16.05" customHeight="1" x14ac:dyDescent="0.3">
      <c r="A219" s="26" t="s">
        <v>627</v>
      </c>
      <c r="B219" s="26" t="s">
        <v>1293</v>
      </c>
      <c r="C219" s="33" t="str">
        <f>IFERROR(INDEX(tbl_requisitos_emb[Tema],MATCH(B219,tbl_requisitos_emb[ID_Req],0)),"")</f>
        <v>Isenções PPWR</v>
      </c>
      <c r="D219" s="33" t="str">
        <f>IFERROR(INDEX(tbl_recyclass[Segmento],MATCH(A219,tbl_recyclass[ProductId],0)),"")</f>
        <v>Cosmética e higiene pessoal</v>
      </c>
      <c r="E219" s="26" t="s">
        <v>904</v>
      </c>
      <c r="F219" s="26" t="s">
        <v>1451</v>
      </c>
      <c r="G219" s="26" t="s">
        <v>1143</v>
      </c>
      <c r="H219" s="33" t="str">
        <f>IF(E219="Não","Não aplicável",IFERROR(IF(B219="EU-ENV-002",IF(INDEX(tbl_recyclass[Conforme_PPWR_2030],MATCH(A219,tbl_recyclass[ProductId],0))="Sim","Conforme (autoavaliação)",IF(INDEX(tbl_recyclass[Conforme_PPWR_2030],MATCH(A219,tbl_recyclass[ProductId],0))="Não","Não conforme em 2030","Isento até 2035")),IF(B219="EU-ENV-003",IF(INDEX(tbl_recyclass[Conforme_Art7_2030],MATCH(A219,tbl_recyclass[ProductId],0))="Sim","Conforme (meta 2030)",IF(INDEX(tbl_recyclass[Conforme_Art7_2030],MATCH(A219,tbl_recyclass[ProductId],0))="Não","Lacuna face à meta 2030","Isento")),IF(B219="EU-ENV-011",IF(INDEX(tbl_familias_ppwr[Metais_Pesados_Evidencia],MATCH(INDEX(tbl_recyclass[Familia_PPWR],MATCH(A219,tbl_recyclass[ProductId],0)),tbl_familias_ppwr[ID_Familia],0))="Em falta","Lacuna","Conforme"),IF(B219="EU-ENV-013",IF(INDEX(tbl_familias_ppwr[Declaracao_UE],MATCH(INDEX(tbl_recyclass[Familia_PPWR],MATCH(A219,tbl_recyclass[ProductId],0)),tbl_familias_ppwr[ID_Familia],0))="Sim","Conforme","Lacuna"),G219)))),G219))</f>
        <v>Não aplicável</v>
      </c>
      <c r="I219" s="33" t="str">
        <f t="shared" si="3"/>
        <v>Não aplicável</v>
      </c>
      <c r="J219" s="26"/>
    </row>
    <row r="220" spans="1:10" ht="16.05" customHeight="1" x14ac:dyDescent="0.3">
      <c r="A220" s="26" t="s">
        <v>627</v>
      </c>
      <c r="B220" s="26" t="s">
        <v>1357</v>
      </c>
      <c r="C220" s="33" t="str">
        <f>IFERROR(INDEX(tbl_requisitos_emb[Tema],MATCH(B220,tbl_requisitos_emb[ID_Req],0)),"")</f>
        <v>Identificação de plásticos</v>
      </c>
      <c r="D220" s="33" t="str">
        <f>IFERROR(INDEX(tbl_recyclass[Segmento],MATCH(A220,tbl_recyclass[ProductId],0)),"")</f>
        <v>Cosmética e higiene pessoal</v>
      </c>
      <c r="E220" s="26" t="s">
        <v>901</v>
      </c>
      <c r="F220" s="26" t="s">
        <v>1449</v>
      </c>
      <c r="G220" s="26" t="s">
        <v>978</v>
      </c>
      <c r="H220" s="33" t="str">
        <f>IF(E220="Não","Não aplicável",IFERROR(IF(B220="EU-ENV-002",IF(INDEX(tbl_recyclass[Conforme_PPWR_2030],MATCH(A220,tbl_recyclass[ProductId],0))="Sim","Conforme (autoavaliação)",IF(INDEX(tbl_recyclass[Conforme_PPWR_2030],MATCH(A220,tbl_recyclass[ProductId],0))="Não","Não conforme em 2030","Isento até 2035")),IF(B220="EU-ENV-003",IF(INDEX(tbl_recyclass[Conforme_Art7_2030],MATCH(A220,tbl_recyclass[ProductId],0))="Sim","Conforme (meta 2030)",IF(INDEX(tbl_recyclass[Conforme_Art7_2030],MATCH(A220,tbl_recyclass[ProductId],0))="Não","Lacuna face à meta 2030","Isento")),IF(B220="EU-ENV-011",IF(INDEX(tbl_familias_ppwr[Metais_Pesados_Evidencia],MATCH(INDEX(tbl_recyclass[Familia_PPWR],MATCH(A220,tbl_recyclass[ProductId],0)),tbl_familias_ppwr[ID_Familia],0))="Em falta","Lacuna","Conforme"),IF(B220="EU-ENV-013",IF(INDEX(tbl_familias_ppwr[Declaracao_UE],MATCH(INDEX(tbl_recyclass[Familia_PPWR],MATCH(A220,tbl_recyclass[ProductId],0)),tbl_familias_ppwr[ID_Familia],0))="Sim","Conforme","Lacuna"),G220)))),G220))</f>
        <v>Parcial</v>
      </c>
      <c r="I220" s="33" t="str">
        <f t="shared" si="3"/>
        <v>Parcial</v>
      </c>
      <c r="J220" s="26" t="s">
        <v>1362</v>
      </c>
    </row>
    <row r="221" spans="1:10" ht="16.05" customHeight="1" x14ac:dyDescent="0.3">
      <c r="A221" s="26" t="s">
        <v>627</v>
      </c>
      <c r="B221" s="26" t="s">
        <v>1385</v>
      </c>
      <c r="C221" s="33" t="str">
        <f>IFERROR(INDEX(tbl_requisitos_emb[Tema],MATCH(B221,tbl_requisitos_emb[ID_Req],0)),"")</f>
        <v>Reciclabilidade (voluntária)</v>
      </c>
      <c r="D221" s="33" t="str">
        <f>IFERROR(INDEX(tbl_recyclass[Segmento],MATCH(A221,tbl_recyclass[ProductId],0)),"")</f>
        <v>Cosmética e higiene pessoal</v>
      </c>
      <c r="E221" s="26" t="s">
        <v>901</v>
      </c>
      <c r="F221" s="26" t="s">
        <v>1449</v>
      </c>
      <c r="G221" s="26" t="s">
        <v>978</v>
      </c>
      <c r="H221" s="33" t="str">
        <f>IF(E221="Não","Não aplicável",IFERROR(IF(B221="EU-ENV-002",IF(INDEX(tbl_recyclass[Conforme_PPWR_2030],MATCH(A221,tbl_recyclass[ProductId],0))="Sim","Conforme (autoavaliação)",IF(INDEX(tbl_recyclass[Conforme_PPWR_2030],MATCH(A221,tbl_recyclass[ProductId],0))="Não","Não conforme em 2030","Isento até 2035")),IF(B221="EU-ENV-003",IF(INDEX(tbl_recyclass[Conforme_Art7_2030],MATCH(A221,tbl_recyclass[ProductId],0))="Sim","Conforme (meta 2030)",IF(INDEX(tbl_recyclass[Conforme_Art7_2030],MATCH(A221,tbl_recyclass[ProductId],0))="Não","Lacuna face à meta 2030","Isento")),IF(B221="EU-ENV-011",IF(INDEX(tbl_familias_ppwr[Metais_Pesados_Evidencia],MATCH(INDEX(tbl_recyclass[Familia_PPWR],MATCH(A221,tbl_recyclass[ProductId],0)),tbl_familias_ppwr[ID_Familia],0))="Em falta","Lacuna","Conforme"),IF(B221="EU-ENV-013",IF(INDEX(tbl_familias_ppwr[Declaracao_UE],MATCH(INDEX(tbl_recyclass[Familia_PPWR],MATCH(A221,tbl_recyclass[ProductId],0)),tbl_familias_ppwr[ID_Familia],0))="Sim","Conforme","Lacuna"),G221)))),G221))</f>
        <v>Parcial</v>
      </c>
      <c r="I221" s="33" t="str">
        <f t="shared" si="3"/>
        <v>Parcial</v>
      </c>
      <c r="J221" s="26" t="s">
        <v>1389</v>
      </c>
    </row>
    <row r="222" spans="1:10" ht="16.05" customHeight="1" x14ac:dyDescent="0.3">
      <c r="A222" s="26" t="s">
        <v>630</v>
      </c>
      <c r="B222" s="26" t="s">
        <v>984</v>
      </c>
      <c r="C222" s="33" t="str">
        <f>IFERROR(INDEX(tbl_requisitos_emb[Tema],MATCH(B222,tbl_requisitos_emb[ID_Req],0)),"")</f>
        <v>Conceção para reciclagem</v>
      </c>
      <c r="D222" s="33" t="str">
        <f>IFERROR(INDEX(tbl_recyclass[Segmento],MATCH(A222,tbl_recyclass[ProductId],0)),"")</f>
        <v>Cosmética e higiene pessoal</v>
      </c>
      <c r="E222" s="26" t="s">
        <v>901</v>
      </c>
      <c r="F222" s="26" t="s">
        <v>1449</v>
      </c>
      <c r="G222" s="26" t="s">
        <v>978</v>
      </c>
      <c r="H222" s="33" t="str">
        <f>IF(E222="Não","Não aplicável",IFERROR(IF(B222="EU-ENV-002",IF(INDEX(tbl_recyclass[Conforme_PPWR_2030],MATCH(A222,tbl_recyclass[ProductId],0))="Sim","Conforme (autoavaliação)",IF(INDEX(tbl_recyclass[Conforme_PPWR_2030],MATCH(A222,tbl_recyclass[ProductId],0))="Não","Não conforme em 2030","Isento até 2035")),IF(B222="EU-ENV-003",IF(INDEX(tbl_recyclass[Conforme_Art7_2030],MATCH(A222,tbl_recyclass[ProductId],0))="Sim","Conforme (meta 2030)",IF(INDEX(tbl_recyclass[Conforme_Art7_2030],MATCH(A222,tbl_recyclass[ProductId],0))="Não","Lacuna face à meta 2030","Isento")),IF(B222="EU-ENV-011",IF(INDEX(tbl_familias_ppwr[Metais_Pesados_Evidencia],MATCH(INDEX(tbl_recyclass[Familia_PPWR],MATCH(A222,tbl_recyclass[ProductId],0)),tbl_familias_ppwr[ID_Familia],0))="Em falta","Lacuna","Conforme"),IF(B222="EU-ENV-013",IF(INDEX(tbl_familias_ppwr[Declaracao_UE],MATCH(INDEX(tbl_recyclass[Familia_PPWR],MATCH(A222,tbl_recyclass[ProductId],0)),tbl_familias_ppwr[ID_Familia],0))="Sim","Conforme","Lacuna"),G222)))),G222))</f>
        <v>Conforme (autoavaliação)</v>
      </c>
      <c r="I222" s="33" t="str">
        <f t="shared" si="3"/>
        <v>Conforme</v>
      </c>
      <c r="J222" s="26" t="s">
        <v>991</v>
      </c>
    </row>
    <row r="223" spans="1:10" ht="16.05" customHeight="1" x14ac:dyDescent="0.3">
      <c r="A223" s="26" t="s">
        <v>630</v>
      </c>
      <c r="B223" s="26" t="s">
        <v>997</v>
      </c>
      <c r="C223" s="33" t="str">
        <f>IFERROR(INDEX(tbl_requisitos_emb[Tema],MATCH(B223,tbl_requisitos_emb[ID_Req],0)),"")</f>
        <v>Conteúdo reciclado</v>
      </c>
      <c r="D223" s="33" t="str">
        <f>IFERROR(INDEX(tbl_recyclass[Segmento],MATCH(A223,tbl_recyclass[ProductId],0)),"")</f>
        <v>Cosmética e higiene pessoal</v>
      </c>
      <c r="E223" s="26" t="s">
        <v>901</v>
      </c>
      <c r="F223" s="26" t="s">
        <v>1449</v>
      </c>
      <c r="G223" s="26" t="s">
        <v>978</v>
      </c>
      <c r="H223" s="33" t="str">
        <f>IF(E223="Não","Não aplicável",IFERROR(IF(B223="EU-ENV-002",IF(INDEX(tbl_recyclass[Conforme_PPWR_2030],MATCH(A223,tbl_recyclass[ProductId],0))="Sim","Conforme (autoavaliação)",IF(INDEX(tbl_recyclass[Conforme_PPWR_2030],MATCH(A223,tbl_recyclass[ProductId],0))="Não","Não conforme em 2030","Isento até 2035")),IF(B223="EU-ENV-003",IF(INDEX(tbl_recyclass[Conforme_Art7_2030],MATCH(A223,tbl_recyclass[ProductId],0))="Sim","Conforme (meta 2030)",IF(INDEX(tbl_recyclass[Conforme_Art7_2030],MATCH(A223,tbl_recyclass[ProductId],0))="Não","Lacuna face à meta 2030","Isento")),IF(B223="EU-ENV-011",IF(INDEX(tbl_familias_ppwr[Metais_Pesados_Evidencia],MATCH(INDEX(tbl_recyclass[Familia_PPWR],MATCH(A223,tbl_recyclass[ProductId],0)),tbl_familias_ppwr[ID_Familia],0))="Em falta","Lacuna","Conforme"),IF(B223="EU-ENV-013",IF(INDEX(tbl_familias_ppwr[Declaracao_UE],MATCH(INDEX(tbl_recyclass[Familia_PPWR],MATCH(A223,tbl_recyclass[ProductId],0)),tbl_familias_ppwr[ID_Familia],0))="Sim","Conforme","Lacuna"),G223)))),G223))</f>
        <v>Lacuna face à meta 2030</v>
      </c>
      <c r="I223" s="33" t="str">
        <f t="shared" si="3"/>
        <v>Lacuna</v>
      </c>
      <c r="J223" s="26" t="s">
        <v>1001</v>
      </c>
    </row>
    <row r="224" spans="1:10" ht="16.05" customHeight="1" x14ac:dyDescent="0.3">
      <c r="A224" s="26" t="s">
        <v>630</v>
      </c>
      <c r="B224" s="26" t="s">
        <v>1007</v>
      </c>
      <c r="C224" s="33" t="str">
        <f>IFERROR(INDEX(tbl_requisitos_emb[Tema],MATCH(B224,tbl_requisitos_emb[ID_Req],0)),"")</f>
        <v>Minimização</v>
      </c>
      <c r="D224" s="33" t="str">
        <f>IFERROR(INDEX(tbl_recyclass[Segmento],MATCH(A224,tbl_recyclass[ProductId],0)),"")</f>
        <v>Cosmética e higiene pessoal</v>
      </c>
      <c r="E224" s="26" t="s">
        <v>901</v>
      </c>
      <c r="F224" s="26" t="s">
        <v>1449</v>
      </c>
      <c r="G224" s="26" t="s">
        <v>978</v>
      </c>
      <c r="H224" s="33" t="str">
        <f>IF(E224="Não","Não aplicável",IFERROR(IF(B224="EU-ENV-002",IF(INDEX(tbl_recyclass[Conforme_PPWR_2030],MATCH(A224,tbl_recyclass[ProductId],0))="Sim","Conforme (autoavaliação)",IF(INDEX(tbl_recyclass[Conforme_PPWR_2030],MATCH(A224,tbl_recyclass[ProductId],0))="Não","Não conforme em 2030","Isento até 2035")),IF(B224="EU-ENV-003",IF(INDEX(tbl_recyclass[Conforme_Art7_2030],MATCH(A224,tbl_recyclass[ProductId],0))="Sim","Conforme (meta 2030)",IF(INDEX(tbl_recyclass[Conforme_Art7_2030],MATCH(A224,tbl_recyclass[ProductId],0))="Não","Lacuna face à meta 2030","Isento")),IF(B224="EU-ENV-011",IF(INDEX(tbl_familias_ppwr[Metais_Pesados_Evidencia],MATCH(INDEX(tbl_recyclass[Familia_PPWR],MATCH(A224,tbl_recyclass[ProductId],0)),tbl_familias_ppwr[ID_Familia],0))="Em falta","Lacuna","Conforme"),IF(B224="EU-ENV-013",IF(INDEX(tbl_familias_ppwr[Declaracao_UE],MATCH(INDEX(tbl_recyclass[Familia_PPWR],MATCH(A224,tbl_recyclass[ProductId],0)),tbl_familias_ppwr[ID_Familia],0))="Sim","Conforme","Lacuna"),G224)))),G224))</f>
        <v>Parcial</v>
      </c>
      <c r="I224" s="33" t="str">
        <f t="shared" si="3"/>
        <v>Parcial</v>
      </c>
      <c r="J224" s="26" t="s">
        <v>1012</v>
      </c>
    </row>
    <row r="225" spans="1:10" ht="16.05" customHeight="1" x14ac:dyDescent="0.3">
      <c r="A225" s="26" t="s">
        <v>630</v>
      </c>
      <c r="B225" s="26" t="s">
        <v>1016</v>
      </c>
      <c r="C225" s="33" t="str">
        <f>IFERROR(INDEX(tbl_requisitos_emb[Tema],MATCH(B225,tbl_requisitos_emb[ID_Req],0)),"")</f>
        <v>Rotulagem</v>
      </c>
      <c r="D225" s="33" t="str">
        <f>IFERROR(INDEX(tbl_recyclass[Segmento],MATCH(A225,tbl_recyclass[ProductId],0)),"")</f>
        <v>Cosmética e higiene pessoal</v>
      </c>
      <c r="E225" s="26" t="s">
        <v>901</v>
      </c>
      <c r="F225" s="26" t="s">
        <v>1449</v>
      </c>
      <c r="G225" s="26" t="s">
        <v>990</v>
      </c>
      <c r="H225" s="33" t="str">
        <f>IF(E225="Não","Não aplicável",IFERROR(IF(B225="EU-ENV-002",IF(INDEX(tbl_recyclass[Conforme_PPWR_2030],MATCH(A225,tbl_recyclass[ProductId],0))="Sim","Conforme (autoavaliação)",IF(INDEX(tbl_recyclass[Conforme_PPWR_2030],MATCH(A225,tbl_recyclass[ProductId],0))="Não","Não conforme em 2030","Isento até 2035")),IF(B225="EU-ENV-003",IF(INDEX(tbl_recyclass[Conforme_Art7_2030],MATCH(A225,tbl_recyclass[ProductId],0))="Sim","Conforme (meta 2030)",IF(INDEX(tbl_recyclass[Conforme_Art7_2030],MATCH(A225,tbl_recyclass[ProductId],0))="Não","Lacuna face à meta 2030","Isento")),IF(B225="EU-ENV-011",IF(INDEX(tbl_familias_ppwr[Metais_Pesados_Evidencia],MATCH(INDEX(tbl_recyclass[Familia_PPWR],MATCH(A225,tbl_recyclass[ProductId],0)),tbl_familias_ppwr[ID_Familia],0))="Em falta","Lacuna","Conforme"),IF(B225="EU-ENV-013",IF(INDEX(tbl_familias_ppwr[Declaracao_UE],MATCH(INDEX(tbl_recyclass[Familia_PPWR],MATCH(A225,tbl_recyclass[ProductId],0)),tbl_familias_ppwr[ID_Familia],0))="Sim","Conforme","Lacuna"),G225)))),G225))</f>
        <v>Futuro</v>
      </c>
      <c r="I225" s="33" t="str">
        <f t="shared" si="3"/>
        <v>Futuro</v>
      </c>
      <c r="J225" s="26" t="s">
        <v>1021</v>
      </c>
    </row>
    <row r="226" spans="1:10" ht="16.05" customHeight="1" x14ac:dyDescent="0.3">
      <c r="A226" s="26" t="s">
        <v>630</v>
      </c>
      <c r="B226" s="26" t="s">
        <v>1038</v>
      </c>
      <c r="C226" s="33" t="str">
        <f>IFERROR(INDEX(tbl_requisitos_emb[Tema],MATCH(B226,tbl_requisitos_emb[ID_Req],0)),"")</f>
        <v>Plásticos de utilização única</v>
      </c>
      <c r="D226" s="33" t="str">
        <f>IFERROR(INDEX(tbl_recyclass[Segmento],MATCH(A226,tbl_recyclass[ProductId],0)),"")</f>
        <v>Cosmética e higiene pessoal</v>
      </c>
      <c r="E226" s="26" t="s">
        <v>904</v>
      </c>
      <c r="F226" s="26" t="s">
        <v>1450</v>
      </c>
      <c r="G226" s="26" t="s">
        <v>1143</v>
      </c>
      <c r="H226" s="33" t="str">
        <f>IF(E226="Não","Não aplicável",IFERROR(IF(B226="EU-ENV-002",IF(INDEX(tbl_recyclass[Conforme_PPWR_2030],MATCH(A226,tbl_recyclass[ProductId],0))="Sim","Conforme (autoavaliação)",IF(INDEX(tbl_recyclass[Conforme_PPWR_2030],MATCH(A226,tbl_recyclass[ProductId],0))="Não","Não conforme em 2030","Isento até 2035")),IF(B226="EU-ENV-003",IF(INDEX(tbl_recyclass[Conforme_Art7_2030],MATCH(A226,tbl_recyclass[ProductId],0))="Sim","Conforme (meta 2030)",IF(INDEX(tbl_recyclass[Conforme_Art7_2030],MATCH(A226,tbl_recyclass[ProductId],0))="Não","Lacuna face à meta 2030","Isento")),IF(B226="EU-ENV-011",IF(INDEX(tbl_familias_ppwr[Metais_Pesados_Evidencia],MATCH(INDEX(tbl_recyclass[Familia_PPWR],MATCH(A226,tbl_recyclass[ProductId],0)),tbl_familias_ppwr[ID_Familia],0))="Em falta","Lacuna","Conforme"),IF(B226="EU-ENV-013",IF(INDEX(tbl_familias_ppwr[Declaracao_UE],MATCH(INDEX(tbl_recyclass[Familia_PPWR],MATCH(A226,tbl_recyclass[ProductId],0)),tbl_familias_ppwr[ID_Familia],0))="Sim","Conforme","Lacuna"),G226)))),G226))</f>
        <v>Não aplicável</v>
      </c>
      <c r="I226" s="33" t="str">
        <f t="shared" si="3"/>
        <v>Não aplicável</v>
      </c>
      <c r="J226" s="26"/>
    </row>
    <row r="227" spans="1:10" ht="16.05" customHeight="1" x14ac:dyDescent="0.3">
      <c r="A227" s="26" t="s">
        <v>630</v>
      </c>
      <c r="B227" s="26" t="s">
        <v>1078</v>
      </c>
      <c r="C227" s="33" t="str">
        <f>IFERROR(INDEX(tbl_requisitos_emb[Tema],MATCH(B227,tbl_requisitos_emb[ID_Req],0)),"")</f>
        <v>Reciclado à escala</v>
      </c>
      <c r="D227" s="33" t="str">
        <f>IFERROR(INDEX(tbl_recyclass[Segmento],MATCH(A227,tbl_recyclass[ProductId],0)),"")</f>
        <v>Cosmética e higiene pessoal</v>
      </c>
      <c r="E227" s="26" t="s">
        <v>901</v>
      </c>
      <c r="F227" s="26" t="s">
        <v>1449</v>
      </c>
      <c r="G227" s="26" t="s">
        <v>990</v>
      </c>
      <c r="H227" s="33" t="str">
        <f>IF(E227="Não","Não aplicável",IFERROR(IF(B227="EU-ENV-002",IF(INDEX(tbl_recyclass[Conforme_PPWR_2030],MATCH(A227,tbl_recyclass[ProductId],0))="Sim","Conforme (autoavaliação)",IF(INDEX(tbl_recyclass[Conforme_PPWR_2030],MATCH(A227,tbl_recyclass[ProductId],0))="Não","Não conforme em 2030","Isento até 2035")),IF(B227="EU-ENV-003",IF(INDEX(tbl_recyclass[Conforme_Art7_2030],MATCH(A227,tbl_recyclass[ProductId],0))="Sim","Conforme (meta 2030)",IF(INDEX(tbl_recyclass[Conforme_Art7_2030],MATCH(A227,tbl_recyclass[ProductId],0))="Não","Lacuna face à meta 2030","Isento")),IF(B227="EU-ENV-011",IF(INDEX(tbl_familias_ppwr[Metais_Pesados_Evidencia],MATCH(INDEX(tbl_recyclass[Familia_PPWR],MATCH(A227,tbl_recyclass[ProductId],0)),tbl_familias_ppwr[ID_Familia],0))="Em falta","Lacuna","Conforme"),IF(B227="EU-ENV-013",IF(INDEX(tbl_familias_ppwr[Declaracao_UE],MATCH(INDEX(tbl_recyclass[Familia_PPWR],MATCH(A227,tbl_recyclass[ProductId],0)),tbl_familias_ppwr[ID_Familia],0))="Sim","Conforme","Lacuna"),G227)))),G227))</f>
        <v>Futuro</v>
      </c>
      <c r="I227" s="33" t="str">
        <f t="shared" si="3"/>
        <v>Futuro</v>
      </c>
      <c r="J227" s="26" t="s">
        <v>1082</v>
      </c>
    </row>
    <row r="228" spans="1:10" ht="16.05" customHeight="1" x14ac:dyDescent="0.3">
      <c r="A228" s="26" t="s">
        <v>630</v>
      </c>
      <c r="B228" s="26" t="s">
        <v>1086</v>
      </c>
      <c r="C228" s="33" t="str">
        <f>IFERROR(INDEX(tbl_requisitos_emb[Tema],MATCH(B228,tbl_requisitos_emb[ID_Req],0)),"")</f>
        <v>Metais pesados</v>
      </c>
      <c r="D228" s="33" t="str">
        <f>IFERROR(INDEX(tbl_recyclass[Segmento],MATCH(A228,tbl_recyclass[ProductId],0)),"")</f>
        <v>Cosmética e higiene pessoal</v>
      </c>
      <c r="E228" s="26" t="s">
        <v>901</v>
      </c>
      <c r="F228" s="26" t="s">
        <v>1449</v>
      </c>
      <c r="G228" s="26" t="s">
        <v>978</v>
      </c>
      <c r="H228" s="33" t="str">
        <f>IF(E228="Não","Não aplicável",IFERROR(IF(B228="EU-ENV-002",IF(INDEX(tbl_recyclass[Conforme_PPWR_2030],MATCH(A228,tbl_recyclass[ProductId],0))="Sim","Conforme (autoavaliação)",IF(INDEX(tbl_recyclass[Conforme_PPWR_2030],MATCH(A228,tbl_recyclass[ProductId],0))="Não","Não conforme em 2030","Isento até 2035")),IF(B228="EU-ENV-003",IF(INDEX(tbl_recyclass[Conforme_Art7_2030],MATCH(A228,tbl_recyclass[ProductId],0))="Sim","Conforme (meta 2030)",IF(INDEX(tbl_recyclass[Conforme_Art7_2030],MATCH(A228,tbl_recyclass[ProductId],0))="Não","Lacuna face à meta 2030","Isento")),IF(B228="EU-ENV-011",IF(INDEX(tbl_familias_ppwr[Metais_Pesados_Evidencia],MATCH(INDEX(tbl_recyclass[Familia_PPWR],MATCH(A228,tbl_recyclass[ProductId],0)),tbl_familias_ppwr[ID_Familia],0))="Em falta","Lacuna","Conforme"),IF(B228="EU-ENV-013",IF(INDEX(tbl_familias_ppwr[Declaracao_UE],MATCH(INDEX(tbl_recyclass[Familia_PPWR],MATCH(A228,tbl_recyclass[ProductId],0)),tbl_familias_ppwr[ID_Familia],0))="Sim","Conforme","Lacuna"),G228)))),G228))</f>
        <v>Conforme</v>
      </c>
      <c r="I228" s="33" t="str">
        <f t="shared" si="3"/>
        <v>Conforme</v>
      </c>
      <c r="J228" s="26" t="s">
        <v>1090</v>
      </c>
    </row>
    <row r="229" spans="1:10" ht="16.05" customHeight="1" x14ac:dyDescent="0.3">
      <c r="A229" s="26" t="s">
        <v>630</v>
      </c>
      <c r="B229" s="26" t="s">
        <v>1094</v>
      </c>
      <c r="C229" s="33" t="str">
        <f>IFERROR(INDEX(tbl_requisitos_emb[Tema],MATCH(B229,tbl_requisitos_emb[ID_Req],0)),"")</f>
        <v>PFAS</v>
      </c>
      <c r="D229" s="33" t="str">
        <f>IFERROR(INDEX(tbl_recyclass[Segmento],MATCH(A229,tbl_recyclass[ProductId],0)),"")</f>
        <v>Cosmética e higiene pessoal</v>
      </c>
      <c r="E229" s="26" t="s">
        <v>904</v>
      </c>
      <c r="F229" s="26" t="s">
        <v>1450</v>
      </c>
      <c r="G229" s="26" t="s">
        <v>1143</v>
      </c>
      <c r="H229" s="33" t="str">
        <f>IF(E229="Não","Não aplicável",IFERROR(IF(B229="EU-ENV-002",IF(INDEX(tbl_recyclass[Conforme_PPWR_2030],MATCH(A229,tbl_recyclass[ProductId],0))="Sim","Conforme (autoavaliação)",IF(INDEX(tbl_recyclass[Conforme_PPWR_2030],MATCH(A229,tbl_recyclass[ProductId],0))="Não","Não conforme em 2030","Isento até 2035")),IF(B229="EU-ENV-003",IF(INDEX(tbl_recyclass[Conforme_Art7_2030],MATCH(A229,tbl_recyclass[ProductId],0))="Sim","Conforme (meta 2030)",IF(INDEX(tbl_recyclass[Conforme_Art7_2030],MATCH(A229,tbl_recyclass[ProductId],0))="Não","Lacuna face à meta 2030","Isento")),IF(B229="EU-ENV-011",IF(INDEX(tbl_familias_ppwr[Metais_Pesados_Evidencia],MATCH(INDEX(tbl_recyclass[Familia_PPWR],MATCH(A229,tbl_recyclass[ProductId],0)),tbl_familias_ppwr[ID_Familia],0))="Em falta","Lacuna","Conforme"),IF(B229="EU-ENV-013",IF(INDEX(tbl_familias_ppwr[Declaracao_UE],MATCH(INDEX(tbl_recyclass[Familia_PPWR],MATCH(A229,tbl_recyclass[ProductId],0)),tbl_familias_ppwr[ID_Familia],0))="Sim","Conforme","Lacuna"),G229)))),G229))</f>
        <v>Não aplicável</v>
      </c>
      <c r="I229" s="33" t="str">
        <f t="shared" si="3"/>
        <v>Não aplicável</v>
      </c>
      <c r="J229" s="26"/>
    </row>
    <row r="230" spans="1:10" ht="16.05" customHeight="1" x14ac:dyDescent="0.3">
      <c r="A230" s="26" t="s">
        <v>630</v>
      </c>
      <c r="B230" s="26" t="s">
        <v>1102</v>
      </c>
      <c r="C230" s="33" t="str">
        <f>IFERROR(INDEX(tbl_requisitos_emb[Tema],MATCH(B230,tbl_requisitos_emb[ID_Req],0)),"")</f>
        <v>Documentação técnica e declaração UE</v>
      </c>
      <c r="D230" s="33" t="str">
        <f>IFERROR(INDEX(tbl_recyclass[Segmento],MATCH(A230,tbl_recyclass[ProductId],0)),"")</f>
        <v>Cosmética e higiene pessoal</v>
      </c>
      <c r="E230" s="26" t="s">
        <v>901</v>
      </c>
      <c r="F230" s="26" t="s">
        <v>1449</v>
      </c>
      <c r="G230" s="26" t="s">
        <v>978</v>
      </c>
      <c r="H230" s="33" t="str">
        <f>IF(E230="Não","Não aplicável",IFERROR(IF(B230="EU-ENV-002",IF(INDEX(tbl_recyclass[Conforme_PPWR_2030],MATCH(A230,tbl_recyclass[ProductId],0))="Sim","Conforme (autoavaliação)",IF(INDEX(tbl_recyclass[Conforme_PPWR_2030],MATCH(A230,tbl_recyclass[ProductId],0))="Não","Não conforme em 2030","Isento até 2035")),IF(B230="EU-ENV-003",IF(INDEX(tbl_recyclass[Conforme_Art7_2030],MATCH(A230,tbl_recyclass[ProductId],0))="Sim","Conforme (meta 2030)",IF(INDEX(tbl_recyclass[Conforme_Art7_2030],MATCH(A230,tbl_recyclass[ProductId],0))="Não","Lacuna face à meta 2030","Isento")),IF(B230="EU-ENV-011",IF(INDEX(tbl_familias_ppwr[Metais_Pesados_Evidencia],MATCH(INDEX(tbl_recyclass[Familia_PPWR],MATCH(A230,tbl_recyclass[ProductId],0)),tbl_familias_ppwr[ID_Familia],0))="Em falta","Lacuna","Conforme"),IF(B230="EU-ENV-013",IF(INDEX(tbl_familias_ppwr[Declaracao_UE],MATCH(INDEX(tbl_recyclass[Familia_PPWR],MATCH(A230,tbl_recyclass[ProductId],0)),tbl_familias_ppwr[ID_Familia],0))="Sim","Conforme","Lacuna"),G230)))),G230))</f>
        <v>Conforme</v>
      </c>
      <c r="I230" s="33" t="str">
        <f t="shared" si="3"/>
        <v>Conforme</v>
      </c>
      <c r="J230" s="26" t="s">
        <v>1106</v>
      </c>
    </row>
    <row r="231" spans="1:10" ht="16.05" customHeight="1" x14ac:dyDescent="0.3">
      <c r="A231" s="26" t="s">
        <v>630</v>
      </c>
      <c r="B231" s="26" t="s">
        <v>1161</v>
      </c>
      <c r="C231" s="33" t="str">
        <f>IFERROR(INDEX(tbl_requisitos_emb[Tema],MATCH(B231,tbl_requisitos_emb[ID_Req],0)),"")</f>
        <v>Materiais em contacto com alimentos</v>
      </c>
      <c r="D231" s="33" t="str">
        <f>IFERROR(INDEX(tbl_recyclass[Segmento],MATCH(A231,tbl_recyclass[ProductId],0)),"")</f>
        <v>Cosmética e higiene pessoal</v>
      </c>
      <c r="E231" s="26" t="s">
        <v>904</v>
      </c>
      <c r="F231" s="26" t="s">
        <v>1450</v>
      </c>
      <c r="G231" s="26" t="s">
        <v>1143</v>
      </c>
      <c r="H231" s="33" t="str">
        <f>IF(E231="Não","Não aplicável",IFERROR(IF(B231="EU-ENV-002",IF(INDEX(tbl_recyclass[Conforme_PPWR_2030],MATCH(A231,tbl_recyclass[ProductId],0))="Sim","Conforme (autoavaliação)",IF(INDEX(tbl_recyclass[Conforme_PPWR_2030],MATCH(A231,tbl_recyclass[ProductId],0))="Não","Não conforme em 2030","Isento até 2035")),IF(B231="EU-ENV-003",IF(INDEX(tbl_recyclass[Conforme_Art7_2030],MATCH(A231,tbl_recyclass[ProductId],0))="Sim","Conforme (meta 2030)",IF(INDEX(tbl_recyclass[Conforme_Art7_2030],MATCH(A231,tbl_recyclass[ProductId],0))="Não","Lacuna face à meta 2030","Isento")),IF(B231="EU-ENV-011",IF(INDEX(tbl_familias_ppwr[Metais_Pesados_Evidencia],MATCH(INDEX(tbl_recyclass[Familia_PPWR],MATCH(A231,tbl_recyclass[ProductId],0)),tbl_familias_ppwr[ID_Familia],0))="Em falta","Lacuna","Conforme"),IF(B231="EU-ENV-013",IF(INDEX(tbl_familias_ppwr[Declaracao_UE],MATCH(INDEX(tbl_recyclass[Familia_PPWR],MATCH(A231,tbl_recyclass[ProductId],0)),tbl_familias_ppwr[ID_Familia],0))="Sim","Conforme","Lacuna"),G231)))),G231))</f>
        <v>Não aplicável</v>
      </c>
      <c r="I231" s="33" t="str">
        <f t="shared" si="3"/>
        <v>Não aplicável</v>
      </c>
      <c r="J231" s="26"/>
    </row>
    <row r="232" spans="1:10" ht="16.05" customHeight="1" x14ac:dyDescent="0.3">
      <c r="A232" s="26" t="s">
        <v>630</v>
      </c>
      <c r="B232" s="26" t="s">
        <v>1170</v>
      </c>
      <c r="C232" s="33" t="str">
        <f>IFERROR(INDEX(tbl_requisitos_emb[Tema],MATCH(B232,tbl_requisitos_emb[ID_Req],0)),"")</f>
        <v>Boas práticas de fabrico FCM</v>
      </c>
      <c r="D232" s="33" t="str">
        <f>IFERROR(INDEX(tbl_recyclass[Segmento],MATCH(A232,tbl_recyclass[ProductId],0)),"")</f>
        <v>Cosmética e higiene pessoal</v>
      </c>
      <c r="E232" s="26" t="s">
        <v>904</v>
      </c>
      <c r="F232" s="26" t="s">
        <v>1450</v>
      </c>
      <c r="G232" s="26" t="s">
        <v>1143</v>
      </c>
      <c r="H232" s="33" t="str">
        <f>IF(E232="Não","Não aplicável",IFERROR(IF(B232="EU-ENV-002",IF(INDEX(tbl_recyclass[Conforme_PPWR_2030],MATCH(A232,tbl_recyclass[ProductId],0))="Sim","Conforme (autoavaliação)",IF(INDEX(tbl_recyclass[Conforme_PPWR_2030],MATCH(A232,tbl_recyclass[ProductId],0))="Não","Não conforme em 2030","Isento até 2035")),IF(B232="EU-ENV-003",IF(INDEX(tbl_recyclass[Conforme_Art7_2030],MATCH(A232,tbl_recyclass[ProductId],0))="Sim","Conforme (meta 2030)",IF(INDEX(tbl_recyclass[Conforme_Art7_2030],MATCH(A232,tbl_recyclass[ProductId],0))="Não","Lacuna face à meta 2030","Isento")),IF(B232="EU-ENV-011",IF(INDEX(tbl_familias_ppwr[Metais_Pesados_Evidencia],MATCH(INDEX(tbl_recyclass[Familia_PPWR],MATCH(A232,tbl_recyclass[ProductId],0)),tbl_familias_ppwr[ID_Familia],0))="Em falta","Lacuna","Conforme"),IF(B232="EU-ENV-013",IF(INDEX(tbl_familias_ppwr[Declaracao_UE],MATCH(INDEX(tbl_recyclass[Familia_PPWR],MATCH(A232,tbl_recyclass[ProductId],0)),tbl_familias_ppwr[ID_Familia],0))="Sim","Conforme","Lacuna"),G232)))),G232))</f>
        <v>Não aplicável</v>
      </c>
      <c r="I232" s="33" t="str">
        <f t="shared" si="3"/>
        <v>Não aplicável</v>
      </c>
      <c r="J232" s="26"/>
    </row>
    <row r="233" spans="1:10" ht="16.05" customHeight="1" x14ac:dyDescent="0.3">
      <c r="A233" s="26" t="s">
        <v>630</v>
      </c>
      <c r="B233" s="26" t="s">
        <v>1179</v>
      </c>
      <c r="C233" s="33" t="str">
        <f>IFERROR(INDEX(tbl_requisitos_emb[Tema],MATCH(B233,tbl_requisitos_emb[ID_Req],0)),"")</f>
        <v>Bisfenol A e bisfenóis perigosos</v>
      </c>
      <c r="D233" s="33" t="str">
        <f>IFERROR(INDEX(tbl_recyclass[Segmento],MATCH(A233,tbl_recyclass[ProductId],0)),"")</f>
        <v>Cosmética e higiene pessoal</v>
      </c>
      <c r="E233" s="26" t="s">
        <v>904</v>
      </c>
      <c r="F233" s="26" t="s">
        <v>1450</v>
      </c>
      <c r="G233" s="26" t="s">
        <v>1143</v>
      </c>
      <c r="H233" s="33" t="str">
        <f>IF(E233="Não","Não aplicável",IFERROR(IF(B233="EU-ENV-002",IF(INDEX(tbl_recyclass[Conforme_PPWR_2030],MATCH(A233,tbl_recyclass[ProductId],0))="Sim","Conforme (autoavaliação)",IF(INDEX(tbl_recyclass[Conforme_PPWR_2030],MATCH(A233,tbl_recyclass[ProductId],0))="Não","Não conforme em 2030","Isento até 2035")),IF(B233="EU-ENV-003",IF(INDEX(tbl_recyclass[Conforme_Art7_2030],MATCH(A233,tbl_recyclass[ProductId],0))="Sim","Conforme (meta 2030)",IF(INDEX(tbl_recyclass[Conforme_Art7_2030],MATCH(A233,tbl_recyclass[ProductId],0))="Não","Lacuna face à meta 2030","Isento")),IF(B233="EU-ENV-011",IF(INDEX(tbl_familias_ppwr[Metais_Pesados_Evidencia],MATCH(INDEX(tbl_recyclass[Familia_PPWR],MATCH(A233,tbl_recyclass[ProductId],0)),tbl_familias_ppwr[ID_Familia],0))="Em falta","Lacuna","Conforme"),IF(B233="EU-ENV-013",IF(INDEX(tbl_familias_ppwr[Declaracao_UE],MATCH(INDEX(tbl_recyclass[Familia_PPWR],MATCH(A233,tbl_recyclass[ProductId],0)),tbl_familias_ppwr[ID_Familia],0))="Sim","Conforme","Lacuna"),G233)))),G233))</f>
        <v>Não aplicável</v>
      </c>
      <c r="I233" s="33" t="str">
        <f t="shared" si="3"/>
        <v>Não aplicável</v>
      </c>
      <c r="J233" s="26"/>
    </row>
    <row r="234" spans="1:10" ht="16.05" customHeight="1" x14ac:dyDescent="0.3">
      <c r="A234" s="26" t="s">
        <v>630</v>
      </c>
      <c r="B234" s="26" t="s">
        <v>1188</v>
      </c>
      <c r="C234" s="33" t="str">
        <f>IFERROR(INDEX(tbl_requisitos_emb[Tema],MATCH(B234,tbl_requisitos_emb[ID_Req],0)),"")</f>
        <v>Plásticos em contacto com alimentos</v>
      </c>
      <c r="D234" s="33" t="str">
        <f>IFERROR(INDEX(tbl_recyclass[Segmento],MATCH(A234,tbl_recyclass[ProductId],0)),"")</f>
        <v>Cosmética e higiene pessoal</v>
      </c>
      <c r="E234" s="26" t="s">
        <v>904</v>
      </c>
      <c r="F234" s="26" t="s">
        <v>1450</v>
      </c>
      <c r="G234" s="26" t="s">
        <v>1143</v>
      </c>
      <c r="H234" s="33" t="str">
        <f>IF(E234="Não","Não aplicável",IFERROR(IF(B234="EU-ENV-002",IF(INDEX(tbl_recyclass[Conforme_PPWR_2030],MATCH(A234,tbl_recyclass[ProductId],0))="Sim","Conforme (autoavaliação)",IF(INDEX(tbl_recyclass[Conforme_PPWR_2030],MATCH(A234,tbl_recyclass[ProductId],0))="Não","Não conforme em 2030","Isento até 2035")),IF(B234="EU-ENV-003",IF(INDEX(tbl_recyclass[Conforme_Art7_2030],MATCH(A234,tbl_recyclass[ProductId],0))="Sim","Conforme (meta 2030)",IF(INDEX(tbl_recyclass[Conforme_Art7_2030],MATCH(A234,tbl_recyclass[ProductId],0))="Não","Lacuna face à meta 2030","Isento")),IF(B234="EU-ENV-011",IF(INDEX(tbl_familias_ppwr[Metais_Pesados_Evidencia],MATCH(INDEX(tbl_recyclass[Familia_PPWR],MATCH(A234,tbl_recyclass[ProductId],0)),tbl_familias_ppwr[ID_Familia],0))="Em falta","Lacuna","Conforme"),IF(B234="EU-ENV-013",IF(INDEX(tbl_familias_ppwr[Declaracao_UE],MATCH(INDEX(tbl_recyclass[Familia_PPWR],MATCH(A234,tbl_recyclass[ProductId],0)),tbl_familias_ppwr[ID_Familia],0))="Sim","Conforme","Lacuna"),G234)))),G234))</f>
        <v>Não aplicável</v>
      </c>
      <c r="I234" s="33" t="str">
        <f t="shared" si="3"/>
        <v>Não aplicável</v>
      </c>
      <c r="J234" s="26"/>
    </row>
    <row r="235" spans="1:10" ht="16.05" customHeight="1" x14ac:dyDescent="0.3">
      <c r="A235" s="26" t="s">
        <v>630</v>
      </c>
      <c r="B235" s="26" t="s">
        <v>1212</v>
      </c>
      <c r="C235" s="33" t="str">
        <f>IFERROR(INDEX(tbl_requisitos_emb[Tema],MATCH(B235,tbl_requisitos_emb[ID_Req],0)),"")</f>
        <v>Segurança do produto cosmético</v>
      </c>
      <c r="D235" s="33" t="str">
        <f>IFERROR(INDEX(tbl_recyclass[Segmento],MATCH(A235,tbl_recyclass[ProductId],0)),"")</f>
        <v>Cosmética e higiene pessoal</v>
      </c>
      <c r="E235" s="26" t="s">
        <v>901</v>
      </c>
      <c r="F235" s="26" t="s">
        <v>1449</v>
      </c>
      <c r="G235" s="26" t="s">
        <v>1033</v>
      </c>
      <c r="H235" s="33" t="str">
        <f>IF(E235="Não","Não aplicável",IFERROR(IF(B235="EU-ENV-002",IF(INDEX(tbl_recyclass[Conforme_PPWR_2030],MATCH(A235,tbl_recyclass[ProductId],0))="Sim","Conforme (autoavaliação)",IF(INDEX(tbl_recyclass[Conforme_PPWR_2030],MATCH(A235,tbl_recyclass[ProductId],0))="Não","Não conforme em 2030","Isento até 2035")),IF(B235="EU-ENV-003",IF(INDEX(tbl_recyclass[Conforme_Art7_2030],MATCH(A235,tbl_recyclass[ProductId],0))="Sim","Conforme (meta 2030)",IF(INDEX(tbl_recyclass[Conforme_Art7_2030],MATCH(A235,tbl_recyclass[ProductId],0))="Não","Lacuna face à meta 2030","Isento")),IF(B235="EU-ENV-011",IF(INDEX(tbl_familias_ppwr[Metais_Pesados_Evidencia],MATCH(INDEX(tbl_recyclass[Familia_PPWR],MATCH(A235,tbl_recyclass[ProductId],0)),tbl_familias_ppwr[ID_Familia],0))="Em falta","Lacuna","Conforme"),IF(B235="EU-ENV-013",IF(INDEX(tbl_familias_ppwr[Declaracao_UE],MATCH(INDEX(tbl_recyclass[Familia_PPWR],MATCH(A235,tbl_recyclass[ProductId],0)),tbl_familias_ppwr[ID_Familia],0))="Sim","Conforme","Lacuna"),G235)))),G235))</f>
        <v>Conforme</v>
      </c>
      <c r="I235" s="33" t="str">
        <f t="shared" si="3"/>
        <v>Conforme</v>
      </c>
      <c r="J235" s="26" t="s">
        <v>1221</v>
      </c>
    </row>
    <row r="236" spans="1:10" ht="16.05" customHeight="1" x14ac:dyDescent="0.3">
      <c r="A236" s="26" t="s">
        <v>630</v>
      </c>
      <c r="B236" s="26" t="s">
        <v>1224</v>
      </c>
      <c r="C236" s="33" t="str">
        <f>IFERROR(INDEX(tbl_requisitos_emb[Tema],MATCH(B236,tbl_requisitos_emb[ID_Req],0)),"")</f>
        <v>Materiais e impurezas</v>
      </c>
      <c r="D236" s="33" t="str">
        <f>IFERROR(INDEX(tbl_recyclass[Segmento],MATCH(A236,tbl_recyclass[ProductId],0)),"")</f>
        <v>Cosmética e higiene pessoal</v>
      </c>
      <c r="E236" s="26" t="s">
        <v>901</v>
      </c>
      <c r="F236" s="26" t="s">
        <v>1449</v>
      </c>
      <c r="G236" s="26" t="s">
        <v>978</v>
      </c>
      <c r="H236" s="33" t="str">
        <f>IF(E236="Não","Não aplicável",IFERROR(IF(B236="EU-ENV-002",IF(INDEX(tbl_recyclass[Conforme_PPWR_2030],MATCH(A236,tbl_recyclass[ProductId],0))="Sim","Conforme (autoavaliação)",IF(INDEX(tbl_recyclass[Conforme_PPWR_2030],MATCH(A236,tbl_recyclass[ProductId],0))="Não","Não conforme em 2030","Isento até 2035")),IF(B236="EU-ENV-003",IF(INDEX(tbl_recyclass[Conforme_Art7_2030],MATCH(A236,tbl_recyclass[ProductId],0))="Sim","Conforme (meta 2030)",IF(INDEX(tbl_recyclass[Conforme_Art7_2030],MATCH(A236,tbl_recyclass[ProductId],0))="Não","Lacuna face à meta 2030","Isento")),IF(B236="EU-ENV-011",IF(INDEX(tbl_familias_ppwr[Metais_Pesados_Evidencia],MATCH(INDEX(tbl_recyclass[Familia_PPWR],MATCH(A236,tbl_recyclass[ProductId],0)),tbl_familias_ppwr[ID_Familia],0))="Em falta","Lacuna","Conforme"),IF(B236="EU-ENV-013",IF(INDEX(tbl_familias_ppwr[Declaracao_UE],MATCH(INDEX(tbl_recyclass[Familia_PPWR],MATCH(A236,tbl_recyclass[ProductId],0)),tbl_familias_ppwr[ID_Familia],0))="Sim","Conforme","Lacuna"),G236)))),G236))</f>
        <v>Parcial</v>
      </c>
      <c r="I236" s="33" t="str">
        <f t="shared" si="3"/>
        <v>Parcial</v>
      </c>
      <c r="J236" s="26" t="s">
        <v>1228</v>
      </c>
    </row>
    <row r="237" spans="1:10" ht="16.05" customHeight="1" x14ac:dyDescent="0.3">
      <c r="A237" s="26" t="s">
        <v>630</v>
      </c>
      <c r="B237" s="26" t="s">
        <v>1240</v>
      </c>
      <c r="C237" s="33" t="str">
        <f>IFERROR(INDEX(tbl_requisitos_emb[Tema],MATCH(B237,tbl_requisitos_emb[ID_Req],0)),"")</f>
        <v>Compatibilidade embalagem–produto</v>
      </c>
      <c r="D237" s="33" t="str">
        <f>IFERROR(INDEX(tbl_recyclass[Segmento],MATCH(A237,tbl_recyclass[ProductId],0)),"")</f>
        <v>Cosmética e higiene pessoal</v>
      </c>
      <c r="E237" s="26" t="s">
        <v>901</v>
      </c>
      <c r="F237" s="26" t="s">
        <v>1449</v>
      </c>
      <c r="G237" s="26" t="s">
        <v>1033</v>
      </c>
      <c r="H237" s="33" t="str">
        <f>IF(E237="Não","Não aplicável",IFERROR(IF(B237="EU-ENV-002",IF(INDEX(tbl_recyclass[Conforme_PPWR_2030],MATCH(A237,tbl_recyclass[ProductId],0))="Sim","Conforme (autoavaliação)",IF(INDEX(tbl_recyclass[Conforme_PPWR_2030],MATCH(A237,tbl_recyclass[ProductId],0))="Não","Não conforme em 2030","Isento até 2035")),IF(B237="EU-ENV-003",IF(INDEX(tbl_recyclass[Conforme_Art7_2030],MATCH(A237,tbl_recyclass[ProductId],0))="Sim","Conforme (meta 2030)",IF(INDEX(tbl_recyclass[Conforme_Art7_2030],MATCH(A237,tbl_recyclass[ProductId],0))="Não","Lacuna face à meta 2030","Isento")),IF(B237="EU-ENV-011",IF(INDEX(tbl_familias_ppwr[Metais_Pesados_Evidencia],MATCH(INDEX(tbl_recyclass[Familia_PPWR],MATCH(A237,tbl_recyclass[ProductId],0)),tbl_familias_ppwr[ID_Familia],0))="Em falta","Lacuna","Conforme"),IF(B237="EU-ENV-013",IF(INDEX(tbl_familias_ppwr[Declaracao_UE],MATCH(INDEX(tbl_recyclass[Familia_PPWR],MATCH(A237,tbl_recyclass[ProductId],0)),tbl_familias_ppwr[ID_Familia],0))="Sim","Conforme","Lacuna"),G237)))),G237))</f>
        <v>Conforme</v>
      </c>
      <c r="I237" s="33" t="str">
        <f t="shared" si="3"/>
        <v>Conforme</v>
      </c>
      <c r="J237" s="26" t="s">
        <v>1244</v>
      </c>
    </row>
    <row r="238" spans="1:10" ht="16.05" customHeight="1" x14ac:dyDescent="0.3">
      <c r="A238" s="26" t="s">
        <v>630</v>
      </c>
      <c r="B238" s="26" t="s">
        <v>1252</v>
      </c>
      <c r="C238" s="33" t="str">
        <f>IFERROR(INDEX(tbl_requisitos_emb[Tema],MATCH(B238,tbl_requisitos_emb[ID_Req],0)),"")</f>
        <v>Medicamentos de uso humano</v>
      </c>
      <c r="D238" s="33" t="str">
        <f>IFERROR(INDEX(tbl_recyclass[Segmento],MATCH(A238,tbl_recyclass[ProductId],0)),"")</f>
        <v>Cosmética e higiene pessoal</v>
      </c>
      <c r="E238" s="26" t="s">
        <v>904</v>
      </c>
      <c r="F238" s="26" t="s">
        <v>1451</v>
      </c>
      <c r="G238" s="26" t="s">
        <v>1143</v>
      </c>
      <c r="H238" s="33" t="str">
        <f>IF(E238="Não","Não aplicável",IFERROR(IF(B238="EU-ENV-002",IF(INDEX(tbl_recyclass[Conforme_PPWR_2030],MATCH(A238,tbl_recyclass[ProductId],0))="Sim","Conforme (autoavaliação)",IF(INDEX(tbl_recyclass[Conforme_PPWR_2030],MATCH(A238,tbl_recyclass[ProductId],0))="Não","Não conforme em 2030","Isento até 2035")),IF(B238="EU-ENV-003",IF(INDEX(tbl_recyclass[Conforme_Art7_2030],MATCH(A238,tbl_recyclass[ProductId],0))="Sim","Conforme (meta 2030)",IF(INDEX(tbl_recyclass[Conforme_Art7_2030],MATCH(A238,tbl_recyclass[ProductId],0))="Não","Lacuna face à meta 2030","Isento")),IF(B238="EU-ENV-011",IF(INDEX(tbl_familias_ppwr[Metais_Pesados_Evidencia],MATCH(INDEX(tbl_recyclass[Familia_PPWR],MATCH(A238,tbl_recyclass[ProductId],0)),tbl_familias_ppwr[ID_Familia],0))="Em falta","Lacuna","Conforme"),IF(B238="EU-ENV-013",IF(INDEX(tbl_familias_ppwr[Declaracao_UE],MATCH(INDEX(tbl_recyclass[Familia_PPWR],MATCH(A238,tbl_recyclass[ProductId],0)),tbl_familias_ppwr[ID_Familia],0))="Sim","Conforme","Lacuna"),G238)))),G238))</f>
        <v>Não aplicável</v>
      </c>
      <c r="I238" s="33" t="str">
        <f t="shared" si="3"/>
        <v>Não aplicável</v>
      </c>
      <c r="J238" s="26"/>
    </row>
    <row r="239" spans="1:10" ht="16.05" customHeight="1" x14ac:dyDescent="0.3">
      <c r="A239" s="26" t="s">
        <v>630</v>
      </c>
      <c r="B239" s="26" t="s">
        <v>1268</v>
      </c>
      <c r="C239" s="33" t="str">
        <f>IFERROR(INDEX(tbl_requisitos_emb[Tema],MATCH(B239,tbl_requisitos_emb[ID_Req],0)),"")</f>
        <v>Dispositivos de segurança</v>
      </c>
      <c r="D239" s="33" t="str">
        <f>IFERROR(INDEX(tbl_recyclass[Segmento],MATCH(A239,tbl_recyclass[ProductId],0)),"")</f>
        <v>Cosmética e higiene pessoal</v>
      </c>
      <c r="E239" s="26" t="s">
        <v>904</v>
      </c>
      <c r="F239" s="26" t="s">
        <v>1451</v>
      </c>
      <c r="G239" s="26" t="s">
        <v>1143</v>
      </c>
      <c r="H239" s="33" t="str">
        <f>IF(E239="Não","Não aplicável",IFERROR(IF(B239="EU-ENV-002",IF(INDEX(tbl_recyclass[Conforme_PPWR_2030],MATCH(A239,tbl_recyclass[ProductId],0))="Sim","Conforme (autoavaliação)",IF(INDEX(tbl_recyclass[Conforme_PPWR_2030],MATCH(A239,tbl_recyclass[ProductId],0))="Não","Não conforme em 2030","Isento até 2035")),IF(B239="EU-ENV-003",IF(INDEX(tbl_recyclass[Conforme_Art7_2030],MATCH(A239,tbl_recyclass[ProductId],0))="Sim","Conforme (meta 2030)",IF(INDEX(tbl_recyclass[Conforme_Art7_2030],MATCH(A239,tbl_recyclass[ProductId],0))="Não","Lacuna face à meta 2030","Isento")),IF(B239="EU-ENV-011",IF(INDEX(tbl_familias_ppwr[Metais_Pesados_Evidencia],MATCH(INDEX(tbl_recyclass[Familia_PPWR],MATCH(A239,tbl_recyclass[ProductId],0)),tbl_familias_ppwr[ID_Familia],0))="Em falta","Lacuna","Conforme"),IF(B239="EU-ENV-013",IF(INDEX(tbl_familias_ppwr[Declaracao_UE],MATCH(INDEX(tbl_recyclass[Familia_PPWR],MATCH(A239,tbl_recyclass[ProductId],0)),tbl_familias_ppwr[ID_Familia],0))="Sim","Conforme","Lacuna"),G239)))),G239))</f>
        <v>Não aplicável</v>
      </c>
      <c r="I239" s="33" t="str">
        <f t="shared" si="3"/>
        <v>Não aplicável</v>
      </c>
      <c r="J239" s="26"/>
    </row>
    <row r="240" spans="1:10" ht="16.05" customHeight="1" x14ac:dyDescent="0.3">
      <c r="A240" s="26" t="s">
        <v>630</v>
      </c>
      <c r="B240" s="26" t="s">
        <v>1285</v>
      </c>
      <c r="C240" s="33" t="str">
        <f>IFERROR(INDEX(tbl_requisitos_emb[Tema],MATCH(B240,tbl_requisitos_emb[ID_Req],0)),"")</f>
        <v>Materiais plásticos de acondicionamento primário</v>
      </c>
      <c r="D240" s="33" t="str">
        <f>IFERROR(INDEX(tbl_recyclass[Segmento],MATCH(A240,tbl_recyclass[ProductId],0)),"")</f>
        <v>Cosmética e higiene pessoal</v>
      </c>
      <c r="E240" s="26" t="s">
        <v>904</v>
      </c>
      <c r="F240" s="26" t="s">
        <v>1451</v>
      </c>
      <c r="G240" s="26" t="s">
        <v>1143</v>
      </c>
      <c r="H240" s="33" t="str">
        <f>IF(E240="Não","Não aplicável",IFERROR(IF(B240="EU-ENV-002",IF(INDEX(tbl_recyclass[Conforme_PPWR_2030],MATCH(A240,tbl_recyclass[ProductId],0))="Sim","Conforme (autoavaliação)",IF(INDEX(tbl_recyclass[Conforme_PPWR_2030],MATCH(A240,tbl_recyclass[ProductId],0))="Não","Não conforme em 2030","Isento até 2035")),IF(B240="EU-ENV-003",IF(INDEX(tbl_recyclass[Conforme_Art7_2030],MATCH(A240,tbl_recyclass[ProductId],0))="Sim","Conforme (meta 2030)",IF(INDEX(tbl_recyclass[Conforme_Art7_2030],MATCH(A240,tbl_recyclass[ProductId],0))="Não","Lacuna face à meta 2030","Isento")),IF(B240="EU-ENV-011",IF(INDEX(tbl_familias_ppwr[Metais_Pesados_Evidencia],MATCH(INDEX(tbl_recyclass[Familia_PPWR],MATCH(A240,tbl_recyclass[ProductId],0)),tbl_familias_ppwr[ID_Familia],0))="Em falta","Lacuna","Conforme"),IF(B240="EU-ENV-013",IF(INDEX(tbl_familias_ppwr[Declaracao_UE],MATCH(INDEX(tbl_recyclass[Familia_PPWR],MATCH(A240,tbl_recyclass[ProductId],0)),tbl_familias_ppwr[ID_Familia],0))="Sim","Conforme","Lacuna"),G240)))),G240))</f>
        <v>Não aplicável</v>
      </c>
      <c r="I240" s="33" t="str">
        <f t="shared" si="3"/>
        <v>Não aplicável</v>
      </c>
      <c r="J240" s="26"/>
    </row>
    <row r="241" spans="1:10" ht="16.05" customHeight="1" x14ac:dyDescent="0.3">
      <c r="A241" s="26" t="s">
        <v>630</v>
      </c>
      <c r="B241" s="26" t="s">
        <v>1293</v>
      </c>
      <c r="C241" s="33" t="str">
        <f>IFERROR(INDEX(tbl_requisitos_emb[Tema],MATCH(B241,tbl_requisitos_emb[ID_Req],0)),"")</f>
        <v>Isenções PPWR</v>
      </c>
      <c r="D241" s="33" t="str">
        <f>IFERROR(INDEX(tbl_recyclass[Segmento],MATCH(A241,tbl_recyclass[ProductId],0)),"")</f>
        <v>Cosmética e higiene pessoal</v>
      </c>
      <c r="E241" s="26" t="s">
        <v>904</v>
      </c>
      <c r="F241" s="26" t="s">
        <v>1451</v>
      </c>
      <c r="G241" s="26" t="s">
        <v>1143</v>
      </c>
      <c r="H241" s="33" t="str">
        <f>IF(E241="Não","Não aplicável",IFERROR(IF(B241="EU-ENV-002",IF(INDEX(tbl_recyclass[Conforme_PPWR_2030],MATCH(A241,tbl_recyclass[ProductId],0))="Sim","Conforme (autoavaliação)",IF(INDEX(tbl_recyclass[Conforme_PPWR_2030],MATCH(A241,tbl_recyclass[ProductId],0))="Não","Não conforme em 2030","Isento até 2035")),IF(B241="EU-ENV-003",IF(INDEX(tbl_recyclass[Conforme_Art7_2030],MATCH(A241,tbl_recyclass[ProductId],0))="Sim","Conforme (meta 2030)",IF(INDEX(tbl_recyclass[Conforme_Art7_2030],MATCH(A241,tbl_recyclass[ProductId],0))="Não","Lacuna face à meta 2030","Isento")),IF(B241="EU-ENV-011",IF(INDEX(tbl_familias_ppwr[Metais_Pesados_Evidencia],MATCH(INDEX(tbl_recyclass[Familia_PPWR],MATCH(A241,tbl_recyclass[ProductId],0)),tbl_familias_ppwr[ID_Familia],0))="Em falta","Lacuna","Conforme"),IF(B241="EU-ENV-013",IF(INDEX(tbl_familias_ppwr[Declaracao_UE],MATCH(INDEX(tbl_recyclass[Familia_PPWR],MATCH(A241,tbl_recyclass[ProductId],0)),tbl_familias_ppwr[ID_Familia],0))="Sim","Conforme","Lacuna"),G241)))),G241))</f>
        <v>Não aplicável</v>
      </c>
      <c r="I241" s="33" t="str">
        <f t="shared" si="3"/>
        <v>Não aplicável</v>
      </c>
      <c r="J241" s="26"/>
    </row>
    <row r="242" spans="1:10" ht="16.05" customHeight="1" x14ac:dyDescent="0.3">
      <c r="A242" s="26" t="s">
        <v>630</v>
      </c>
      <c r="B242" s="26" t="s">
        <v>1357</v>
      </c>
      <c r="C242" s="33" t="str">
        <f>IFERROR(INDEX(tbl_requisitos_emb[Tema],MATCH(B242,tbl_requisitos_emb[ID_Req],0)),"")</f>
        <v>Identificação de plásticos</v>
      </c>
      <c r="D242" s="33" t="str">
        <f>IFERROR(INDEX(tbl_recyclass[Segmento],MATCH(A242,tbl_recyclass[ProductId],0)),"")</f>
        <v>Cosmética e higiene pessoal</v>
      </c>
      <c r="E242" s="26" t="s">
        <v>901</v>
      </c>
      <c r="F242" s="26" t="s">
        <v>1449</v>
      </c>
      <c r="G242" s="26" t="s">
        <v>978</v>
      </c>
      <c r="H242" s="33" t="str">
        <f>IF(E242="Não","Não aplicável",IFERROR(IF(B242="EU-ENV-002",IF(INDEX(tbl_recyclass[Conforme_PPWR_2030],MATCH(A242,tbl_recyclass[ProductId],0))="Sim","Conforme (autoavaliação)",IF(INDEX(tbl_recyclass[Conforme_PPWR_2030],MATCH(A242,tbl_recyclass[ProductId],0))="Não","Não conforme em 2030","Isento até 2035")),IF(B242="EU-ENV-003",IF(INDEX(tbl_recyclass[Conforme_Art7_2030],MATCH(A242,tbl_recyclass[ProductId],0))="Sim","Conforme (meta 2030)",IF(INDEX(tbl_recyclass[Conforme_Art7_2030],MATCH(A242,tbl_recyclass[ProductId],0))="Não","Lacuna face à meta 2030","Isento")),IF(B242="EU-ENV-011",IF(INDEX(tbl_familias_ppwr[Metais_Pesados_Evidencia],MATCH(INDEX(tbl_recyclass[Familia_PPWR],MATCH(A242,tbl_recyclass[ProductId],0)),tbl_familias_ppwr[ID_Familia],0))="Em falta","Lacuna","Conforme"),IF(B242="EU-ENV-013",IF(INDEX(tbl_familias_ppwr[Declaracao_UE],MATCH(INDEX(tbl_recyclass[Familia_PPWR],MATCH(A242,tbl_recyclass[ProductId],0)),tbl_familias_ppwr[ID_Familia],0))="Sim","Conforme","Lacuna"),G242)))),G242))</f>
        <v>Parcial</v>
      </c>
      <c r="I242" s="33" t="str">
        <f t="shared" si="3"/>
        <v>Parcial</v>
      </c>
      <c r="J242" s="26" t="s">
        <v>1362</v>
      </c>
    </row>
    <row r="243" spans="1:10" ht="16.05" customHeight="1" x14ac:dyDescent="0.3">
      <c r="A243" s="26" t="s">
        <v>630</v>
      </c>
      <c r="B243" s="26" t="s">
        <v>1385</v>
      </c>
      <c r="C243" s="33" t="str">
        <f>IFERROR(INDEX(tbl_requisitos_emb[Tema],MATCH(B243,tbl_requisitos_emb[ID_Req],0)),"")</f>
        <v>Reciclabilidade (voluntária)</v>
      </c>
      <c r="D243" s="33" t="str">
        <f>IFERROR(INDEX(tbl_recyclass[Segmento],MATCH(A243,tbl_recyclass[ProductId],0)),"")</f>
        <v>Cosmética e higiene pessoal</v>
      </c>
      <c r="E243" s="26" t="s">
        <v>901</v>
      </c>
      <c r="F243" s="26" t="s">
        <v>1449</v>
      </c>
      <c r="G243" s="26" t="s">
        <v>978</v>
      </c>
      <c r="H243" s="33" t="str">
        <f>IF(E243="Não","Não aplicável",IFERROR(IF(B243="EU-ENV-002",IF(INDEX(tbl_recyclass[Conforme_PPWR_2030],MATCH(A243,tbl_recyclass[ProductId],0))="Sim","Conforme (autoavaliação)",IF(INDEX(tbl_recyclass[Conforme_PPWR_2030],MATCH(A243,tbl_recyclass[ProductId],0))="Não","Não conforme em 2030","Isento até 2035")),IF(B243="EU-ENV-003",IF(INDEX(tbl_recyclass[Conforme_Art7_2030],MATCH(A243,tbl_recyclass[ProductId],0))="Sim","Conforme (meta 2030)",IF(INDEX(tbl_recyclass[Conforme_Art7_2030],MATCH(A243,tbl_recyclass[ProductId],0))="Não","Lacuna face à meta 2030","Isento")),IF(B243="EU-ENV-011",IF(INDEX(tbl_familias_ppwr[Metais_Pesados_Evidencia],MATCH(INDEX(tbl_recyclass[Familia_PPWR],MATCH(A243,tbl_recyclass[ProductId],0)),tbl_familias_ppwr[ID_Familia],0))="Em falta","Lacuna","Conforme"),IF(B243="EU-ENV-013",IF(INDEX(tbl_familias_ppwr[Declaracao_UE],MATCH(INDEX(tbl_recyclass[Familia_PPWR],MATCH(A243,tbl_recyclass[ProductId],0)),tbl_familias_ppwr[ID_Familia],0))="Sim","Conforme","Lacuna"),G243)))),G243))</f>
        <v>Parcial</v>
      </c>
      <c r="I243" s="33" t="str">
        <f t="shared" si="3"/>
        <v>Parcial</v>
      </c>
      <c r="J243" s="26" t="s">
        <v>1389</v>
      </c>
    </row>
    <row r="244" spans="1:10" ht="16.05" customHeight="1" x14ac:dyDescent="0.3">
      <c r="A244" s="26" t="s">
        <v>632</v>
      </c>
      <c r="B244" s="26" t="s">
        <v>984</v>
      </c>
      <c r="C244" s="33" t="str">
        <f>IFERROR(INDEX(tbl_requisitos_emb[Tema],MATCH(B244,tbl_requisitos_emb[ID_Req],0)),"")</f>
        <v>Conceção para reciclagem</v>
      </c>
      <c r="D244" s="33" t="str">
        <f>IFERROR(INDEX(tbl_recyclass[Segmento],MATCH(A244,tbl_recyclass[ProductId],0)),"")</f>
        <v>Cosmética e higiene pessoal</v>
      </c>
      <c r="E244" s="26" t="s">
        <v>901</v>
      </c>
      <c r="F244" s="26" t="s">
        <v>1449</v>
      </c>
      <c r="G244" s="26" t="s">
        <v>978</v>
      </c>
      <c r="H244" s="33" t="str">
        <f>IF(E244="Não","Não aplicável",IFERROR(IF(B244="EU-ENV-002",IF(INDEX(tbl_recyclass[Conforme_PPWR_2030],MATCH(A244,tbl_recyclass[ProductId],0))="Sim","Conforme (autoavaliação)",IF(INDEX(tbl_recyclass[Conforme_PPWR_2030],MATCH(A244,tbl_recyclass[ProductId],0))="Não","Não conforme em 2030","Isento até 2035")),IF(B244="EU-ENV-003",IF(INDEX(tbl_recyclass[Conforme_Art7_2030],MATCH(A244,tbl_recyclass[ProductId],0))="Sim","Conforme (meta 2030)",IF(INDEX(tbl_recyclass[Conforme_Art7_2030],MATCH(A244,tbl_recyclass[ProductId],0))="Não","Lacuna face à meta 2030","Isento")),IF(B244="EU-ENV-011",IF(INDEX(tbl_familias_ppwr[Metais_Pesados_Evidencia],MATCH(INDEX(tbl_recyclass[Familia_PPWR],MATCH(A244,tbl_recyclass[ProductId],0)),tbl_familias_ppwr[ID_Familia],0))="Em falta","Lacuna","Conforme"),IF(B244="EU-ENV-013",IF(INDEX(tbl_familias_ppwr[Declaracao_UE],MATCH(INDEX(tbl_recyclass[Familia_PPWR],MATCH(A244,tbl_recyclass[ProductId],0)),tbl_familias_ppwr[ID_Familia],0))="Sim","Conforme","Lacuna"),G244)))),G244))</f>
        <v>Conforme (autoavaliação)</v>
      </c>
      <c r="I244" s="33" t="str">
        <f t="shared" si="3"/>
        <v>Conforme</v>
      </c>
      <c r="J244" s="26" t="s">
        <v>991</v>
      </c>
    </row>
    <row r="245" spans="1:10" ht="16.05" customHeight="1" x14ac:dyDescent="0.3">
      <c r="A245" s="26" t="s">
        <v>632</v>
      </c>
      <c r="B245" s="26" t="s">
        <v>997</v>
      </c>
      <c r="C245" s="33" t="str">
        <f>IFERROR(INDEX(tbl_requisitos_emb[Tema],MATCH(B245,tbl_requisitos_emb[ID_Req],0)),"")</f>
        <v>Conteúdo reciclado</v>
      </c>
      <c r="D245" s="33" t="str">
        <f>IFERROR(INDEX(tbl_recyclass[Segmento],MATCH(A245,tbl_recyclass[ProductId],0)),"")</f>
        <v>Cosmética e higiene pessoal</v>
      </c>
      <c r="E245" s="26" t="s">
        <v>901</v>
      </c>
      <c r="F245" s="26" t="s">
        <v>1449</v>
      </c>
      <c r="G245" s="26" t="s">
        <v>978</v>
      </c>
      <c r="H245" s="33" t="str">
        <f>IF(E245="Não","Não aplicável",IFERROR(IF(B245="EU-ENV-002",IF(INDEX(tbl_recyclass[Conforme_PPWR_2030],MATCH(A245,tbl_recyclass[ProductId],0))="Sim","Conforme (autoavaliação)",IF(INDEX(tbl_recyclass[Conforme_PPWR_2030],MATCH(A245,tbl_recyclass[ProductId],0))="Não","Não conforme em 2030","Isento até 2035")),IF(B245="EU-ENV-003",IF(INDEX(tbl_recyclass[Conforme_Art7_2030],MATCH(A245,tbl_recyclass[ProductId],0))="Sim","Conforme (meta 2030)",IF(INDEX(tbl_recyclass[Conforme_Art7_2030],MATCH(A245,tbl_recyclass[ProductId],0))="Não","Lacuna face à meta 2030","Isento")),IF(B245="EU-ENV-011",IF(INDEX(tbl_familias_ppwr[Metais_Pesados_Evidencia],MATCH(INDEX(tbl_recyclass[Familia_PPWR],MATCH(A245,tbl_recyclass[ProductId],0)),tbl_familias_ppwr[ID_Familia],0))="Em falta","Lacuna","Conforme"),IF(B245="EU-ENV-013",IF(INDEX(tbl_familias_ppwr[Declaracao_UE],MATCH(INDEX(tbl_recyclass[Familia_PPWR],MATCH(A245,tbl_recyclass[ProductId],0)),tbl_familias_ppwr[ID_Familia],0))="Sim","Conforme","Lacuna"),G245)))),G245))</f>
        <v>Lacuna face à meta 2030</v>
      </c>
      <c r="I245" s="33" t="str">
        <f t="shared" si="3"/>
        <v>Lacuna</v>
      </c>
      <c r="J245" s="26" t="s">
        <v>1001</v>
      </c>
    </row>
    <row r="246" spans="1:10" ht="16.05" customHeight="1" x14ac:dyDescent="0.3">
      <c r="A246" s="26" t="s">
        <v>632</v>
      </c>
      <c r="B246" s="26" t="s">
        <v>1007</v>
      </c>
      <c r="C246" s="33" t="str">
        <f>IFERROR(INDEX(tbl_requisitos_emb[Tema],MATCH(B246,tbl_requisitos_emb[ID_Req],0)),"")</f>
        <v>Minimização</v>
      </c>
      <c r="D246" s="33" t="str">
        <f>IFERROR(INDEX(tbl_recyclass[Segmento],MATCH(A246,tbl_recyclass[ProductId],0)),"")</f>
        <v>Cosmética e higiene pessoal</v>
      </c>
      <c r="E246" s="26" t="s">
        <v>901</v>
      </c>
      <c r="F246" s="26" t="s">
        <v>1449</v>
      </c>
      <c r="G246" s="26" t="s">
        <v>978</v>
      </c>
      <c r="H246" s="33" t="str">
        <f>IF(E246="Não","Não aplicável",IFERROR(IF(B246="EU-ENV-002",IF(INDEX(tbl_recyclass[Conforme_PPWR_2030],MATCH(A246,tbl_recyclass[ProductId],0))="Sim","Conforme (autoavaliação)",IF(INDEX(tbl_recyclass[Conforme_PPWR_2030],MATCH(A246,tbl_recyclass[ProductId],0))="Não","Não conforme em 2030","Isento até 2035")),IF(B246="EU-ENV-003",IF(INDEX(tbl_recyclass[Conforme_Art7_2030],MATCH(A246,tbl_recyclass[ProductId],0))="Sim","Conforme (meta 2030)",IF(INDEX(tbl_recyclass[Conforme_Art7_2030],MATCH(A246,tbl_recyclass[ProductId],0))="Não","Lacuna face à meta 2030","Isento")),IF(B246="EU-ENV-011",IF(INDEX(tbl_familias_ppwr[Metais_Pesados_Evidencia],MATCH(INDEX(tbl_recyclass[Familia_PPWR],MATCH(A246,tbl_recyclass[ProductId],0)),tbl_familias_ppwr[ID_Familia],0))="Em falta","Lacuna","Conforme"),IF(B246="EU-ENV-013",IF(INDEX(tbl_familias_ppwr[Declaracao_UE],MATCH(INDEX(tbl_recyclass[Familia_PPWR],MATCH(A246,tbl_recyclass[ProductId],0)),tbl_familias_ppwr[ID_Familia],0))="Sim","Conforme","Lacuna"),G246)))),G246))</f>
        <v>Parcial</v>
      </c>
      <c r="I246" s="33" t="str">
        <f t="shared" si="3"/>
        <v>Parcial</v>
      </c>
      <c r="J246" s="26" t="s">
        <v>1012</v>
      </c>
    </row>
    <row r="247" spans="1:10" ht="16.05" customHeight="1" x14ac:dyDescent="0.3">
      <c r="A247" s="26" t="s">
        <v>632</v>
      </c>
      <c r="B247" s="26" t="s">
        <v>1016</v>
      </c>
      <c r="C247" s="33" t="str">
        <f>IFERROR(INDEX(tbl_requisitos_emb[Tema],MATCH(B247,tbl_requisitos_emb[ID_Req],0)),"")</f>
        <v>Rotulagem</v>
      </c>
      <c r="D247" s="33" t="str">
        <f>IFERROR(INDEX(tbl_recyclass[Segmento],MATCH(A247,tbl_recyclass[ProductId],0)),"")</f>
        <v>Cosmética e higiene pessoal</v>
      </c>
      <c r="E247" s="26" t="s">
        <v>901</v>
      </c>
      <c r="F247" s="26" t="s">
        <v>1449</v>
      </c>
      <c r="G247" s="26" t="s">
        <v>990</v>
      </c>
      <c r="H247" s="33" t="str">
        <f>IF(E247="Não","Não aplicável",IFERROR(IF(B247="EU-ENV-002",IF(INDEX(tbl_recyclass[Conforme_PPWR_2030],MATCH(A247,tbl_recyclass[ProductId],0))="Sim","Conforme (autoavaliação)",IF(INDEX(tbl_recyclass[Conforme_PPWR_2030],MATCH(A247,tbl_recyclass[ProductId],0))="Não","Não conforme em 2030","Isento até 2035")),IF(B247="EU-ENV-003",IF(INDEX(tbl_recyclass[Conforme_Art7_2030],MATCH(A247,tbl_recyclass[ProductId],0))="Sim","Conforme (meta 2030)",IF(INDEX(tbl_recyclass[Conforme_Art7_2030],MATCH(A247,tbl_recyclass[ProductId],0))="Não","Lacuna face à meta 2030","Isento")),IF(B247="EU-ENV-011",IF(INDEX(tbl_familias_ppwr[Metais_Pesados_Evidencia],MATCH(INDEX(tbl_recyclass[Familia_PPWR],MATCH(A247,tbl_recyclass[ProductId],0)),tbl_familias_ppwr[ID_Familia],0))="Em falta","Lacuna","Conforme"),IF(B247="EU-ENV-013",IF(INDEX(tbl_familias_ppwr[Declaracao_UE],MATCH(INDEX(tbl_recyclass[Familia_PPWR],MATCH(A247,tbl_recyclass[ProductId],0)),tbl_familias_ppwr[ID_Familia],0))="Sim","Conforme","Lacuna"),G247)))),G247))</f>
        <v>Futuro</v>
      </c>
      <c r="I247" s="33" t="str">
        <f t="shared" si="3"/>
        <v>Futuro</v>
      </c>
      <c r="J247" s="26" t="s">
        <v>1021</v>
      </c>
    </row>
    <row r="248" spans="1:10" ht="16.05" customHeight="1" x14ac:dyDescent="0.3">
      <c r="A248" s="26" t="s">
        <v>632</v>
      </c>
      <c r="B248" s="26" t="s">
        <v>1038</v>
      </c>
      <c r="C248" s="33" t="str">
        <f>IFERROR(INDEX(tbl_requisitos_emb[Tema],MATCH(B248,tbl_requisitos_emb[ID_Req],0)),"")</f>
        <v>Plásticos de utilização única</v>
      </c>
      <c r="D248" s="33" t="str">
        <f>IFERROR(INDEX(tbl_recyclass[Segmento],MATCH(A248,tbl_recyclass[ProductId],0)),"")</f>
        <v>Cosmética e higiene pessoal</v>
      </c>
      <c r="E248" s="26" t="s">
        <v>904</v>
      </c>
      <c r="F248" s="26" t="s">
        <v>1450</v>
      </c>
      <c r="G248" s="26" t="s">
        <v>1143</v>
      </c>
      <c r="H248" s="33" t="str">
        <f>IF(E248="Não","Não aplicável",IFERROR(IF(B248="EU-ENV-002",IF(INDEX(tbl_recyclass[Conforme_PPWR_2030],MATCH(A248,tbl_recyclass[ProductId],0))="Sim","Conforme (autoavaliação)",IF(INDEX(tbl_recyclass[Conforme_PPWR_2030],MATCH(A248,tbl_recyclass[ProductId],0))="Não","Não conforme em 2030","Isento até 2035")),IF(B248="EU-ENV-003",IF(INDEX(tbl_recyclass[Conforme_Art7_2030],MATCH(A248,tbl_recyclass[ProductId],0))="Sim","Conforme (meta 2030)",IF(INDEX(tbl_recyclass[Conforme_Art7_2030],MATCH(A248,tbl_recyclass[ProductId],0))="Não","Lacuna face à meta 2030","Isento")),IF(B248="EU-ENV-011",IF(INDEX(tbl_familias_ppwr[Metais_Pesados_Evidencia],MATCH(INDEX(tbl_recyclass[Familia_PPWR],MATCH(A248,tbl_recyclass[ProductId],0)),tbl_familias_ppwr[ID_Familia],0))="Em falta","Lacuna","Conforme"),IF(B248="EU-ENV-013",IF(INDEX(tbl_familias_ppwr[Declaracao_UE],MATCH(INDEX(tbl_recyclass[Familia_PPWR],MATCH(A248,tbl_recyclass[ProductId],0)),tbl_familias_ppwr[ID_Familia],0))="Sim","Conforme","Lacuna"),G248)))),G248))</f>
        <v>Não aplicável</v>
      </c>
      <c r="I248" s="33" t="str">
        <f t="shared" si="3"/>
        <v>Não aplicável</v>
      </c>
      <c r="J248" s="26"/>
    </row>
    <row r="249" spans="1:10" ht="16.05" customHeight="1" x14ac:dyDescent="0.3">
      <c r="A249" s="26" t="s">
        <v>632</v>
      </c>
      <c r="B249" s="26" t="s">
        <v>1078</v>
      </c>
      <c r="C249" s="33" t="str">
        <f>IFERROR(INDEX(tbl_requisitos_emb[Tema],MATCH(B249,tbl_requisitos_emb[ID_Req],0)),"")</f>
        <v>Reciclado à escala</v>
      </c>
      <c r="D249" s="33" t="str">
        <f>IFERROR(INDEX(tbl_recyclass[Segmento],MATCH(A249,tbl_recyclass[ProductId],0)),"")</f>
        <v>Cosmética e higiene pessoal</v>
      </c>
      <c r="E249" s="26" t="s">
        <v>901</v>
      </c>
      <c r="F249" s="26" t="s">
        <v>1449</v>
      </c>
      <c r="G249" s="26" t="s">
        <v>990</v>
      </c>
      <c r="H249" s="33" t="str">
        <f>IF(E249="Não","Não aplicável",IFERROR(IF(B249="EU-ENV-002",IF(INDEX(tbl_recyclass[Conforme_PPWR_2030],MATCH(A249,tbl_recyclass[ProductId],0))="Sim","Conforme (autoavaliação)",IF(INDEX(tbl_recyclass[Conforme_PPWR_2030],MATCH(A249,tbl_recyclass[ProductId],0))="Não","Não conforme em 2030","Isento até 2035")),IF(B249="EU-ENV-003",IF(INDEX(tbl_recyclass[Conforme_Art7_2030],MATCH(A249,tbl_recyclass[ProductId],0))="Sim","Conforme (meta 2030)",IF(INDEX(tbl_recyclass[Conforme_Art7_2030],MATCH(A249,tbl_recyclass[ProductId],0))="Não","Lacuna face à meta 2030","Isento")),IF(B249="EU-ENV-011",IF(INDEX(tbl_familias_ppwr[Metais_Pesados_Evidencia],MATCH(INDEX(tbl_recyclass[Familia_PPWR],MATCH(A249,tbl_recyclass[ProductId],0)),tbl_familias_ppwr[ID_Familia],0))="Em falta","Lacuna","Conforme"),IF(B249="EU-ENV-013",IF(INDEX(tbl_familias_ppwr[Declaracao_UE],MATCH(INDEX(tbl_recyclass[Familia_PPWR],MATCH(A249,tbl_recyclass[ProductId],0)),tbl_familias_ppwr[ID_Familia],0))="Sim","Conforme","Lacuna"),G249)))),G249))</f>
        <v>Futuro</v>
      </c>
      <c r="I249" s="33" t="str">
        <f t="shared" si="3"/>
        <v>Futuro</v>
      </c>
      <c r="J249" s="26" t="s">
        <v>1082</v>
      </c>
    </row>
    <row r="250" spans="1:10" ht="16.05" customHeight="1" x14ac:dyDescent="0.3">
      <c r="A250" s="26" t="s">
        <v>632</v>
      </c>
      <c r="B250" s="26" t="s">
        <v>1086</v>
      </c>
      <c r="C250" s="33" t="str">
        <f>IFERROR(INDEX(tbl_requisitos_emb[Tema],MATCH(B250,tbl_requisitos_emb[ID_Req],0)),"")</f>
        <v>Metais pesados</v>
      </c>
      <c r="D250" s="33" t="str">
        <f>IFERROR(INDEX(tbl_recyclass[Segmento],MATCH(A250,tbl_recyclass[ProductId],0)),"")</f>
        <v>Cosmética e higiene pessoal</v>
      </c>
      <c r="E250" s="26" t="s">
        <v>901</v>
      </c>
      <c r="F250" s="26" t="s">
        <v>1449</v>
      </c>
      <c r="G250" s="26" t="s">
        <v>978</v>
      </c>
      <c r="H250" s="33" t="str">
        <f>IF(E250="Não","Não aplicável",IFERROR(IF(B250="EU-ENV-002",IF(INDEX(tbl_recyclass[Conforme_PPWR_2030],MATCH(A250,tbl_recyclass[ProductId],0))="Sim","Conforme (autoavaliação)",IF(INDEX(tbl_recyclass[Conforme_PPWR_2030],MATCH(A250,tbl_recyclass[ProductId],0))="Não","Não conforme em 2030","Isento até 2035")),IF(B250="EU-ENV-003",IF(INDEX(tbl_recyclass[Conforme_Art7_2030],MATCH(A250,tbl_recyclass[ProductId],0))="Sim","Conforme (meta 2030)",IF(INDEX(tbl_recyclass[Conforme_Art7_2030],MATCH(A250,tbl_recyclass[ProductId],0))="Não","Lacuna face à meta 2030","Isento")),IF(B250="EU-ENV-011",IF(INDEX(tbl_familias_ppwr[Metais_Pesados_Evidencia],MATCH(INDEX(tbl_recyclass[Familia_PPWR],MATCH(A250,tbl_recyclass[ProductId],0)),tbl_familias_ppwr[ID_Familia],0))="Em falta","Lacuna","Conforme"),IF(B250="EU-ENV-013",IF(INDEX(tbl_familias_ppwr[Declaracao_UE],MATCH(INDEX(tbl_recyclass[Familia_PPWR],MATCH(A250,tbl_recyclass[ProductId],0)),tbl_familias_ppwr[ID_Familia],0))="Sim","Conforme","Lacuna"),G250)))),G250))</f>
        <v>Conforme</v>
      </c>
      <c r="I250" s="33" t="str">
        <f t="shared" si="3"/>
        <v>Conforme</v>
      </c>
      <c r="J250" s="26" t="s">
        <v>1090</v>
      </c>
    </row>
    <row r="251" spans="1:10" ht="16.05" customHeight="1" x14ac:dyDescent="0.3">
      <c r="A251" s="26" t="s">
        <v>632</v>
      </c>
      <c r="B251" s="26" t="s">
        <v>1094</v>
      </c>
      <c r="C251" s="33" t="str">
        <f>IFERROR(INDEX(tbl_requisitos_emb[Tema],MATCH(B251,tbl_requisitos_emb[ID_Req],0)),"")</f>
        <v>PFAS</v>
      </c>
      <c r="D251" s="33" t="str">
        <f>IFERROR(INDEX(tbl_recyclass[Segmento],MATCH(A251,tbl_recyclass[ProductId],0)),"")</f>
        <v>Cosmética e higiene pessoal</v>
      </c>
      <c r="E251" s="26" t="s">
        <v>904</v>
      </c>
      <c r="F251" s="26" t="s">
        <v>1450</v>
      </c>
      <c r="G251" s="26" t="s">
        <v>1143</v>
      </c>
      <c r="H251" s="33" t="str">
        <f>IF(E251="Não","Não aplicável",IFERROR(IF(B251="EU-ENV-002",IF(INDEX(tbl_recyclass[Conforme_PPWR_2030],MATCH(A251,tbl_recyclass[ProductId],0))="Sim","Conforme (autoavaliação)",IF(INDEX(tbl_recyclass[Conforme_PPWR_2030],MATCH(A251,tbl_recyclass[ProductId],0))="Não","Não conforme em 2030","Isento até 2035")),IF(B251="EU-ENV-003",IF(INDEX(tbl_recyclass[Conforme_Art7_2030],MATCH(A251,tbl_recyclass[ProductId],0))="Sim","Conforme (meta 2030)",IF(INDEX(tbl_recyclass[Conforme_Art7_2030],MATCH(A251,tbl_recyclass[ProductId],0))="Não","Lacuna face à meta 2030","Isento")),IF(B251="EU-ENV-011",IF(INDEX(tbl_familias_ppwr[Metais_Pesados_Evidencia],MATCH(INDEX(tbl_recyclass[Familia_PPWR],MATCH(A251,tbl_recyclass[ProductId],0)),tbl_familias_ppwr[ID_Familia],0))="Em falta","Lacuna","Conforme"),IF(B251="EU-ENV-013",IF(INDEX(tbl_familias_ppwr[Declaracao_UE],MATCH(INDEX(tbl_recyclass[Familia_PPWR],MATCH(A251,tbl_recyclass[ProductId],0)),tbl_familias_ppwr[ID_Familia],0))="Sim","Conforme","Lacuna"),G251)))),G251))</f>
        <v>Não aplicável</v>
      </c>
      <c r="I251" s="33" t="str">
        <f t="shared" si="3"/>
        <v>Não aplicável</v>
      </c>
      <c r="J251" s="26"/>
    </row>
    <row r="252" spans="1:10" ht="16.05" customHeight="1" x14ac:dyDescent="0.3">
      <c r="A252" s="26" t="s">
        <v>632</v>
      </c>
      <c r="B252" s="26" t="s">
        <v>1102</v>
      </c>
      <c r="C252" s="33" t="str">
        <f>IFERROR(INDEX(tbl_requisitos_emb[Tema],MATCH(B252,tbl_requisitos_emb[ID_Req],0)),"")</f>
        <v>Documentação técnica e declaração UE</v>
      </c>
      <c r="D252" s="33" t="str">
        <f>IFERROR(INDEX(tbl_recyclass[Segmento],MATCH(A252,tbl_recyclass[ProductId],0)),"")</f>
        <v>Cosmética e higiene pessoal</v>
      </c>
      <c r="E252" s="26" t="s">
        <v>901</v>
      </c>
      <c r="F252" s="26" t="s">
        <v>1449</v>
      </c>
      <c r="G252" s="26" t="s">
        <v>978</v>
      </c>
      <c r="H252" s="33" t="str">
        <f>IF(E252="Não","Não aplicável",IFERROR(IF(B252="EU-ENV-002",IF(INDEX(tbl_recyclass[Conforme_PPWR_2030],MATCH(A252,tbl_recyclass[ProductId],0))="Sim","Conforme (autoavaliação)",IF(INDEX(tbl_recyclass[Conforme_PPWR_2030],MATCH(A252,tbl_recyclass[ProductId],0))="Não","Não conforme em 2030","Isento até 2035")),IF(B252="EU-ENV-003",IF(INDEX(tbl_recyclass[Conforme_Art7_2030],MATCH(A252,tbl_recyclass[ProductId],0))="Sim","Conforme (meta 2030)",IF(INDEX(tbl_recyclass[Conforme_Art7_2030],MATCH(A252,tbl_recyclass[ProductId],0))="Não","Lacuna face à meta 2030","Isento")),IF(B252="EU-ENV-011",IF(INDEX(tbl_familias_ppwr[Metais_Pesados_Evidencia],MATCH(INDEX(tbl_recyclass[Familia_PPWR],MATCH(A252,tbl_recyclass[ProductId],0)),tbl_familias_ppwr[ID_Familia],0))="Em falta","Lacuna","Conforme"),IF(B252="EU-ENV-013",IF(INDEX(tbl_familias_ppwr[Declaracao_UE],MATCH(INDEX(tbl_recyclass[Familia_PPWR],MATCH(A252,tbl_recyclass[ProductId],0)),tbl_familias_ppwr[ID_Familia],0))="Sim","Conforme","Lacuna"),G252)))),G252))</f>
        <v>Conforme</v>
      </c>
      <c r="I252" s="33" t="str">
        <f t="shared" si="3"/>
        <v>Conforme</v>
      </c>
      <c r="J252" s="26" t="s">
        <v>1106</v>
      </c>
    </row>
    <row r="253" spans="1:10" ht="16.05" customHeight="1" x14ac:dyDescent="0.3">
      <c r="A253" s="26" t="s">
        <v>632</v>
      </c>
      <c r="B253" s="26" t="s">
        <v>1161</v>
      </c>
      <c r="C253" s="33" t="str">
        <f>IFERROR(INDEX(tbl_requisitos_emb[Tema],MATCH(B253,tbl_requisitos_emb[ID_Req],0)),"")</f>
        <v>Materiais em contacto com alimentos</v>
      </c>
      <c r="D253" s="33" t="str">
        <f>IFERROR(INDEX(tbl_recyclass[Segmento],MATCH(A253,tbl_recyclass[ProductId],0)),"")</f>
        <v>Cosmética e higiene pessoal</v>
      </c>
      <c r="E253" s="26" t="s">
        <v>904</v>
      </c>
      <c r="F253" s="26" t="s">
        <v>1450</v>
      </c>
      <c r="G253" s="26" t="s">
        <v>1143</v>
      </c>
      <c r="H253" s="33" t="str">
        <f>IF(E253="Não","Não aplicável",IFERROR(IF(B253="EU-ENV-002",IF(INDEX(tbl_recyclass[Conforme_PPWR_2030],MATCH(A253,tbl_recyclass[ProductId],0))="Sim","Conforme (autoavaliação)",IF(INDEX(tbl_recyclass[Conforme_PPWR_2030],MATCH(A253,tbl_recyclass[ProductId],0))="Não","Não conforme em 2030","Isento até 2035")),IF(B253="EU-ENV-003",IF(INDEX(tbl_recyclass[Conforme_Art7_2030],MATCH(A253,tbl_recyclass[ProductId],0))="Sim","Conforme (meta 2030)",IF(INDEX(tbl_recyclass[Conforme_Art7_2030],MATCH(A253,tbl_recyclass[ProductId],0))="Não","Lacuna face à meta 2030","Isento")),IF(B253="EU-ENV-011",IF(INDEX(tbl_familias_ppwr[Metais_Pesados_Evidencia],MATCH(INDEX(tbl_recyclass[Familia_PPWR],MATCH(A253,tbl_recyclass[ProductId],0)),tbl_familias_ppwr[ID_Familia],0))="Em falta","Lacuna","Conforme"),IF(B253="EU-ENV-013",IF(INDEX(tbl_familias_ppwr[Declaracao_UE],MATCH(INDEX(tbl_recyclass[Familia_PPWR],MATCH(A253,tbl_recyclass[ProductId],0)),tbl_familias_ppwr[ID_Familia],0))="Sim","Conforme","Lacuna"),G253)))),G253))</f>
        <v>Não aplicável</v>
      </c>
      <c r="I253" s="33" t="str">
        <f t="shared" si="3"/>
        <v>Não aplicável</v>
      </c>
      <c r="J253" s="26"/>
    </row>
    <row r="254" spans="1:10" ht="16.05" customHeight="1" x14ac:dyDescent="0.3">
      <c r="A254" s="26" t="s">
        <v>632</v>
      </c>
      <c r="B254" s="26" t="s">
        <v>1170</v>
      </c>
      <c r="C254" s="33" t="str">
        <f>IFERROR(INDEX(tbl_requisitos_emb[Tema],MATCH(B254,tbl_requisitos_emb[ID_Req],0)),"")</f>
        <v>Boas práticas de fabrico FCM</v>
      </c>
      <c r="D254" s="33" t="str">
        <f>IFERROR(INDEX(tbl_recyclass[Segmento],MATCH(A254,tbl_recyclass[ProductId],0)),"")</f>
        <v>Cosmética e higiene pessoal</v>
      </c>
      <c r="E254" s="26" t="s">
        <v>904</v>
      </c>
      <c r="F254" s="26" t="s">
        <v>1450</v>
      </c>
      <c r="G254" s="26" t="s">
        <v>1143</v>
      </c>
      <c r="H254" s="33" t="str">
        <f>IF(E254="Não","Não aplicável",IFERROR(IF(B254="EU-ENV-002",IF(INDEX(tbl_recyclass[Conforme_PPWR_2030],MATCH(A254,tbl_recyclass[ProductId],0))="Sim","Conforme (autoavaliação)",IF(INDEX(tbl_recyclass[Conforme_PPWR_2030],MATCH(A254,tbl_recyclass[ProductId],0))="Não","Não conforme em 2030","Isento até 2035")),IF(B254="EU-ENV-003",IF(INDEX(tbl_recyclass[Conforme_Art7_2030],MATCH(A254,tbl_recyclass[ProductId],0))="Sim","Conforme (meta 2030)",IF(INDEX(tbl_recyclass[Conforme_Art7_2030],MATCH(A254,tbl_recyclass[ProductId],0))="Não","Lacuna face à meta 2030","Isento")),IF(B254="EU-ENV-011",IF(INDEX(tbl_familias_ppwr[Metais_Pesados_Evidencia],MATCH(INDEX(tbl_recyclass[Familia_PPWR],MATCH(A254,tbl_recyclass[ProductId],0)),tbl_familias_ppwr[ID_Familia],0))="Em falta","Lacuna","Conforme"),IF(B254="EU-ENV-013",IF(INDEX(tbl_familias_ppwr[Declaracao_UE],MATCH(INDEX(tbl_recyclass[Familia_PPWR],MATCH(A254,tbl_recyclass[ProductId],0)),tbl_familias_ppwr[ID_Familia],0))="Sim","Conforme","Lacuna"),G254)))),G254))</f>
        <v>Não aplicável</v>
      </c>
      <c r="I254" s="33" t="str">
        <f t="shared" si="3"/>
        <v>Não aplicável</v>
      </c>
      <c r="J254" s="26"/>
    </row>
    <row r="255" spans="1:10" ht="16.05" customHeight="1" x14ac:dyDescent="0.3">
      <c r="A255" s="26" t="s">
        <v>632</v>
      </c>
      <c r="B255" s="26" t="s">
        <v>1179</v>
      </c>
      <c r="C255" s="33" t="str">
        <f>IFERROR(INDEX(tbl_requisitos_emb[Tema],MATCH(B255,tbl_requisitos_emb[ID_Req],0)),"")</f>
        <v>Bisfenol A e bisfenóis perigosos</v>
      </c>
      <c r="D255" s="33" t="str">
        <f>IFERROR(INDEX(tbl_recyclass[Segmento],MATCH(A255,tbl_recyclass[ProductId],0)),"")</f>
        <v>Cosmética e higiene pessoal</v>
      </c>
      <c r="E255" s="26" t="s">
        <v>904</v>
      </c>
      <c r="F255" s="26" t="s">
        <v>1450</v>
      </c>
      <c r="G255" s="26" t="s">
        <v>1143</v>
      </c>
      <c r="H255" s="33" t="str">
        <f>IF(E255="Não","Não aplicável",IFERROR(IF(B255="EU-ENV-002",IF(INDEX(tbl_recyclass[Conforme_PPWR_2030],MATCH(A255,tbl_recyclass[ProductId],0))="Sim","Conforme (autoavaliação)",IF(INDEX(tbl_recyclass[Conforme_PPWR_2030],MATCH(A255,tbl_recyclass[ProductId],0))="Não","Não conforme em 2030","Isento até 2035")),IF(B255="EU-ENV-003",IF(INDEX(tbl_recyclass[Conforme_Art7_2030],MATCH(A255,tbl_recyclass[ProductId],0))="Sim","Conforme (meta 2030)",IF(INDEX(tbl_recyclass[Conforme_Art7_2030],MATCH(A255,tbl_recyclass[ProductId],0))="Não","Lacuna face à meta 2030","Isento")),IF(B255="EU-ENV-011",IF(INDEX(tbl_familias_ppwr[Metais_Pesados_Evidencia],MATCH(INDEX(tbl_recyclass[Familia_PPWR],MATCH(A255,tbl_recyclass[ProductId],0)),tbl_familias_ppwr[ID_Familia],0))="Em falta","Lacuna","Conforme"),IF(B255="EU-ENV-013",IF(INDEX(tbl_familias_ppwr[Declaracao_UE],MATCH(INDEX(tbl_recyclass[Familia_PPWR],MATCH(A255,tbl_recyclass[ProductId],0)),tbl_familias_ppwr[ID_Familia],0))="Sim","Conforme","Lacuna"),G255)))),G255))</f>
        <v>Não aplicável</v>
      </c>
      <c r="I255" s="33" t="str">
        <f t="shared" si="3"/>
        <v>Não aplicável</v>
      </c>
      <c r="J255" s="26"/>
    </row>
    <row r="256" spans="1:10" ht="16.05" customHeight="1" x14ac:dyDescent="0.3">
      <c r="A256" s="26" t="s">
        <v>632</v>
      </c>
      <c r="B256" s="26" t="s">
        <v>1188</v>
      </c>
      <c r="C256" s="33" t="str">
        <f>IFERROR(INDEX(tbl_requisitos_emb[Tema],MATCH(B256,tbl_requisitos_emb[ID_Req],0)),"")</f>
        <v>Plásticos em contacto com alimentos</v>
      </c>
      <c r="D256" s="33" t="str">
        <f>IFERROR(INDEX(tbl_recyclass[Segmento],MATCH(A256,tbl_recyclass[ProductId],0)),"")</f>
        <v>Cosmética e higiene pessoal</v>
      </c>
      <c r="E256" s="26" t="s">
        <v>904</v>
      </c>
      <c r="F256" s="26" t="s">
        <v>1450</v>
      </c>
      <c r="G256" s="26" t="s">
        <v>1143</v>
      </c>
      <c r="H256" s="33" t="str">
        <f>IF(E256="Não","Não aplicável",IFERROR(IF(B256="EU-ENV-002",IF(INDEX(tbl_recyclass[Conforme_PPWR_2030],MATCH(A256,tbl_recyclass[ProductId],0))="Sim","Conforme (autoavaliação)",IF(INDEX(tbl_recyclass[Conforme_PPWR_2030],MATCH(A256,tbl_recyclass[ProductId],0))="Não","Não conforme em 2030","Isento até 2035")),IF(B256="EU-ENV-003",IF(INDEX(tbl_recyclass[Conforme_Art7_2030],MATCH(A256,tbl_recyclass[ProductId],0))="Sim","Conforme (meta 2030)",IF(INDEX(tbl_recyclass[Conforme_Art7_2030],MATCH(A256,tbl_recyclass[ProductId],0))="Não","Lacuna face à meta 2030","Isento")),IF(B256="EU-ENV-011",IF(INDEX(tbl_familias_ppwr[Metais_Pesados_Evidencia],MATCH(INDEX(tbl_recyclass[Familia_PPWR],MATCH(A256,tbl_recyclass[ProductId],0)),tbl_familias_ppwr[ID_Familia],0))="Em falta","Lacuna","Conforme"),IF(B256="EU-ENV-013",IF(INDEX(tbl_familias_ppwr[Declaracao_UE],MATCH(INDEX(tbl_recyclass[Familia_PPWR],MATCH(A256,tbl_recyclass[ProductId],0)),tbl_familias_ppwr[ID_Familia],0))="Sim","Conforme","Lacuna"),G256)))),G256))</f>
        <v>Não aplicável</v>
      </c>
      <c r="I256" s="33" t="str">
        <f t="shared" si="3"/>
        <v>Não aplicável</v>
      </c>
      <c r="J256" s="26"/>
    </row>
    <row r="257" spans="1:10" ht="16.05" customHeight="1" x14ac:dyDescent="0.3">
      <c r="A257" s="26" t="s">
        <v>632</v>
      </c>
      <c r="B257" s="26" t="s">
        <v>1212</v>
      </c>
      <c r="C257" s="33" t="str">
        <f>IFERROR(INDEX(tbl_requisitos_emb[Tema],MATCH(B257,tbl_requisitos_emb[ID_Req],0)),"")</f>
        <v>Segurança do produto cosmético</v>
      </c>
      <c r="D257" s="33" t="str">
        <f>IFERROR(INDEX(tbl_recyclass[Segmento],MATCH(A257,tbl_recyclass[ProductId],0)),"")</f>
        <v>Cosmética e higiene pessoal</v>
      </c>
      <c r="E257" s="26" t="s">
        <v>901</v>
      </c>
      <c r="F257" s="26" t="s">
        <v>1449</v>
      </c>
      <c r="G257" s="26" t="s">
        <v>1033</v>
      </c>
      <c r="H257" s="33" t="str">
        <f>IF(E257="Não","Não aplicável",IFERROR(IF(B257="EU-ENV-002",IF(INDEX(tbl_recyclass[Conforme_PPWR_2030],MATCH(A257,tbl_recyclass[ProductId],0))="Sim","Conforme (autoavaliação)",IF(INDEX(tbl_recyclass[Conforme_PPWR_2030],MATCH(A257,tbl_recyclass[ProductId],0))="Não","Não conforme em 2030","Isento até 2035")),IF(B257="EU-ENV-003",IF(INDEX(tbl_recyclass[Conforme_Art7_2030],MATCH(A257,tbl_recyclass[ProductId],0))="Sim","Conforme (meta 2030)",IF(INDEX(tbl_recyclass[Conforme_Art7_2030],MATCH(A257,tbl_recyclass[ProductId],0))="Não","Lacuna face à meta 2030","Isento")),IF(B257="EU-ENV-011",IF(INDEX(tbl_familias_ppwr[Metais_Pesados_Evidencia],MATCH(INDEX(tbl_recyclass[Familia_PPWR],MATCH(A257,tbl_recyclass[ProductId],0)),tbl_familias_ppwr[ID_Familia],0))="Em falta","Lacuna","Conforme"),IF(B257="EU-ENV-013",IF(INDEX(tbl_familias_ppwr[Declaracao_UE],MATCH(INDEX(tbl_recyclass[Familia_PPWR],MATCH(A257,tbl_recyclass[ProductId],0)),tbl_familias_ppwr[ID_Familia],0))="Sim","Conforme","Lacuna"),G257)))),G257))</f>
        <v>Conforme</v>
      </c>
      <c r="I257" s="33" t="str">
        <f t="shared" si="3"/>
        <v>Conforme</v>
      </c>
      <c r="J257" s="26" t="s">
        <v>1221</v>
      </c>
    </row>
    <row r="258" spans="1:10" ht="16.05" customHeight="1" x14ac:dyDescent="0.3">
      <c r="A258" s="26" t="s">
        <v>632</v>
      </c>
      <c r="B258" s="26" t="s">
        <v>1224</v>
      </c>
      <c r="C258" s="33" t="str">
        <f>IFERROR(INDEX(tbl_requisitos_emb[Tema],MATCH(B258,tbl_requisitos_emb[ID_Req],0)),"")</f>
        <v>Materiais e impurezas</v>
      </c>
      <c r="D258" s="33" t="str">
        <f>IFERROR(INDEX(tbl_recyclass[Segmento],MATCH(A258,tbl_recyclass[ProductId],0)),"")</f>
        <v>Cosmética e higiene pessoal</v>
      </c>
      <c r="E258" s="26" t="s">
        <v>901</v>
      </c>
      <c r="F258" s="26" t="s">
        <v>1449</v>
      </c>
      <c r="G258" s="26" t="s">
        <v>978</v>
      </c>
      <c r="H258" s="33" t="str">
        <f>IF(E258="Não","Não aplicável",IFERROR(IF(B258="EU-ENV-002",IF(INDEX(tbl_recyclass[Conforme_PPWR_2030],MATCH(A258,tbl_recyclass[ProductId],0))="Sim","Conforme (autoavaliação)",IF(INDEX(tbl_recyclass[Conforme_PPWR_2030],MATCH(A258,tbl_recyclass[ProductId],0))="Não","Não conforme em 2030","Isento até 2035")),IF(B258="EU-ENV-003",IF(INDEX(tbl_recyclass[Conforme_Art7_2030],MATCH(A258,tbl_recyclass[ProductId],0))="Sim","Conforme (meta 2030)",IF(INDEX(tbl_recyclass[Conforme_Art7_2030],MATCH(A258,tbl_recyclass[ProductId],0))="Não","Lacuna face à meta 2030","Isento")),IF(B258="EU-ENV-011",IF(INDEX(tbl_familias_ppwr[Metais_Pesados_Evidencia],MATCH(INDEX(tbl_recyclass[Familia_PPWR],MATCH(A258,tbl_recyclass[ProductId],0)),tbl_familias_ppwr[ID_Familia],0))="Em falta","Lacuna","Conforme"),IF(B258="EU-ENV-013",IF(INDEX(tbl_familias_ppwr[Declaracao_UE],MATCH(INDEX(tbl_recyclass[Familia_PPWR],MATCH(A258,tbl_recyclass[ProductId],0)),tbl_familias_ppwr[ID_Familia],0))="Sim","Conforme","Lacuna"),G258)))),G258))</f>
        <v>Parcial</v>
      </c>
      <c r="I258" s="33" t="str">
        <f t="shared" ref="I258:I321" si="4">IF(ISNUMBER(SEARCH("Não aplicável",H258)),"Não aplicável",IF(ISNUMBER(SEARCH("Isento",H258)),"Isento",IF(ISNUMBER(SEARCH("Não conforme",H258)),"Não conforme",IF(ISNUMBER(SEARCH("Lacuna",H258)),"Lacuna",IF(ISNUMBER(SEARCH("Conforme",H258)),"Conforme",H258)))))</f>
        <v>Parcial</v>
      </c>
      <c r="J258" s="26" t="s">
        <v>1228</v>
      </c>
    </row>
    <row r="259" spans="1:10" ht="16.05" customHeight="1" x14ac:dyDescent="0.3">
      <c r="A259" s="26" t="s">
        <v>632</v>
      </c>
      <c r="B259" s="26" t="s">
        <v>1240</v>
      </c>
      <c r="C259" s="33" t="str">
        <f>IFERROR(INDEX(tbl_requisitos_emb[Tema],MATCH(B259,tbl_requisitos_emb[ID_Req],0)),"")</f>
        <v>Compatibilidade embalagem–produto</v>
      </c>
      <c r="D259" s="33" t="str">
        <f>IFERROR(INDEX(tbl_recyclass[Segmento],MATCH(A259,tbl_recyclass[ProductId],0)),"")</f>
        <v>Cosmética e higiene pessoal</v>
      </c>
      <c r="E259" s="26" t="s">
        <v>901</v>
      </c>
      <c r="F259" s="26" t="s">
        <v>1449</v>
      </c>
      <c r="G259" s="26" t="s">
        <v>1033</v>
      </c>
      <c r="H259" s="33" t="str">
        <f>IF(E259="Não","Não aplicável",IFERROR(IF(B259="EU-ENV-002",IF(INDEX(tbl_recyclass[Conforme_PPWR_2030],MATCH(A259,tbl_recyclass[ProductId],0))="Sim","Conforme (autoavaliação)",IF(INDEX(tbl_recyclass[Conforme_PPWR_2030],MATCH(A259,tbl_recyclass[ProductId],0))="Não","Não conforme em 2030","Isento até 2035")),IF(B259="EU-ENV-003",IF(INDEX(tbl_recyclass[Conforme_Art7_2030],MATCH(A259,tbl_recyclass[ProductId],0))="Sim","Conforme (meta 2030)",IF(INDEX(tbl_recyclass[Conforme_Art7_2030],MATCH(A259,tbl_recyclass[ProductId],0))="Não","Lacuna face à meta 2030","Isento")),IF(B259="EU-ENV-011",IF(INDEX(tbl_familias_ppwr[Metais_Pesados_Evidencia],MATCH(INDEX(tbl_recyclass[Familia_PPWR],MATCH(A259,tbl_recyclass[ProductId],0)),tbl_familias_ppwr[ID_Familia],0))="Em falta","Lacuna","Conforme"),IF(B259="EU-ENV-013",IF(INDEX(tbl_familias_ppwr[Declaracao_UE],MATCH(INDEX(tbl_recyclass[Familia_PPWR],MATCH(A259,tbl_recyclass[ProductId],0)),tbl_familias_ppwr[ID_Familia],0))="Sim","Conforme","Lacuna"),G259)))),G259))</f>
        <v>Conforme</v>
      </c>
      <c r="I259" s="33" t="str">
        <f t="shared" si="4"/>
        <v>Conforme</v>
      </c>
      <c r="J259" s="26" t="s">
        <v>1244</v>
      </c>
    </row>
    <row r="260" spans="1:10" ht="16.05" customHeight="1" x14ac:dyDescent="0.3">
      <c r="A260" s="26" t="s">
        <v>632</v>
      </c>
      <c r="B260" s="26" t="s">
        <v>1252</v>
      </c>
      <c r="C260" s="33" t="str">
        <f>IFERROR(INDEX(tbl_requisitos_emb[Tema],MATCH(B260,tbl_requisitos_emb[ID_Req],0)),"")</f>
        <v>Medicamentos de uso humano</v>
      </c>
      <c r="D260" s="33" t="str">
        <f>IFERROR(INDEX(tbl_recyclass[Segmento],MATCH(A260,tbl_recyclass[ProductId],0)),"")</f>
        <v>Cosmética e higiene pessoal</v>
      </c>
      <c r="E260" s="26" t="s">
        <v>904</v>
      </c>
      <c r="F260" s="26" t="s">
        <v>1451</v>
      </c>
      <c r="G260" s="26" t="s">
        <v>1143</v>
      </c>
      <c r="H260" s="33" t="str">
        <f>IF(E260="Não","Não aplicável",IFERROR(IF(B260="EU-ENV-002",IF(INDEX(tbl_recyclass[Conforme_PPWR_2030],MATCH(A260,tbl_recyclass[ProductId],0))="Sim","Conforme (autoavaliação)",IF(INDEX(tbl_recyclass[Conforme_PPWR_2030],MATCH(A260,tbl_recyclass[ProductId],0))="Não","Não conforme em 2030","Isento até 2035")),IF(B260="EU-ENV-003",IF(INDEX(tbl_recyclass[Conforme_Art7_2030],MATCH(A260,tbl_recyclass[ProductId],0))="Sim","Conforme (meta 2030)",IF(INDEX(tbl_recyclass[Conforme_Art7_2030],MATCH(A260,tbl_recyclass[ProductId],0))="Não","Lacuna face à meta 2030","Isento")),IF(B260="EU-ENV-011",IF(INDEX(tbl_familias_ppwr[Metais_Pesados_Evidencia],MATCH(INDEX(tbl_recyclass[Familia_PPWR],MATCH(A260,tbl_recyclass[ProductId],0)),tbl_familias_ppwr[ID_Familia],0))="Em falta","Lacuna","Conforme"),IF(B260="EU-ENV-013",IF(INDEX(tbl_familias_ppwr[Declaracao_UE],MATCH(INDEX(tbl_recyclass[Familia_PPWR],MATCH(A260,tbl_recyclass[ProductId],0)),tbl_familias_ppwr[ID_Familia],0))="Sim","Conforme","Lacuna"),G260)))),G260))</f>
        <v>Não aplicável</v>
      </c>
      <c r="I260" s="33" t="str">
        <f t="shared" si="4"/>
        <v>Não aplicável</v>
      </c>
      <c r="J260" s="26"/>
    </row>
    <row r="261" spans="1:10" ht="16.05" customHeight="1" x14ac:dyDescent="0.3">
      <c r="A261" s="26" t="s">
        <v>632</v>
      </c>
      <c r="B261" s="26" t="s">
        <v>1268</v>
      </c>
      <c r="C261" s="33" t="str">
        <f>IFERROR(INDEX(tbl_requisitos_emb[Tema],MATCH(B261,tbl_requisitos_emb[ID_Req],0)),"")</f>
        <v>Dispositivos de segurança</v>
      </c>
      <c r="D261" s="33" t="str">
        <f>IFERROR(INDEX(tbl_recyclass[Segmento],MATCH(A261,tbl_recyclass[ProductId],0)),"")</f>
        <v>Cosmética e higiene pessoal</v>
      </c>
      <c r="E261" s="26" t="s">
        <v>904</v>
      </c>
      <c r="F261" s="26" t="s">
        <v>1451</v>
      </c>
      <c r="G261" s="26" t="s">
        <v>1143</v>
      </c>
      <c r="H261" s="33" t="str">
        <f>IF(E261="Não","Não aplicável",IFERROR(IF(B261="EU-ENV-002",IF(INDEX(tbl_recyclass[Conforme_PPWR_2030],MATCH(A261,tbl_recyclass[ProductId],0))="Sim","Conforme (autoavaliação)",IF(INDEX(tbl_recyclass[Conforme_PPWR_2030],MATCH(A261,tbl_recyclass[ProductId],0))="Não","Não conforme em 2030","Isento até 2035")),IF(B261="EU-ENV-003",IF(INDEX(tbl_recyclass[Conforme_Art7_2030],MATCH(A261,tbl_recyclass[ProductId],0))="Sim","Conforme (meta 2030)",IF(INDEX(tbl_recyclass[Conforme_Art7_2030],MATCH(A261,tbl_recyclass[ProductId],0))="Não","Lacuna face à meta 2030","Isento")),IF(B261="EU-ENV-011",IF(INDEX(tbl_familias_ppwr[Metais_Pesados_Evidencia],MATCH(INDEX(tbl_recyclass[Familia_PPWR],MATCH(A261,tbl_recyclass[ProductId],0)),tbl_familias_ppwr[ID_Familia],0))="Em falta","Lacuna","Conforme"),IF(B261="EU-ENV-013",IF(INDEX(tbl_familias_ppwr[Declaracao_UE],MATCH(INDEX(tbl_recyclass[Familia_PPWR],MATCH(A261,tbl_recyclass[ProductId],0)),tbl_familias_ppwr[ID_Familia],0))="Sim","Conforme","Lacuna"),G261)))),G261))</f>
        <v>Não aplicável</v>
      </c>
      <c r="I261" s="33" t="str">
        <f t="shared" si="4"/>
        <v>Não aplicável</v>
      </c>
      <c r="J261" s="26"/>
    </row>
    <row r="262" spans="1:10" ht="16.05" customHeight="1" x14ac:dyDescent="0.3">
      <c r="A262" s="26" t="s">
        <v>632</v>
      </c>
      <c r="B262" s="26" t="s">
        <v>1285</v>
      </c>
      <c r="C262" s="33" t="str">
        <f>IFERROR(INDEX(tbl_requisitos_emb[Tema],MATCH(B262,tbl_requisitos_emb[ID_Req],0)),"")</f>
        <v>Materiais plásticos de acondicionamento primário</v>
      </c>
      <c r="D262" s="33" t="str">
        <f>IFERROR(INDEX(tbl_recyclass[Segmento],MATCH(A262,tbl_recyclass[ProductId],0)),"")</f>
        <v>Cosmética e higiene pessoal</v>
      </c>
      <c r="E262" s="26" t="s">
        <v>904</v>
      </c>
      <c r="F262" s="26" t="s">
        <v>1451</v>
      </c>
      <c r="G262" s="26" t="s">
        <v>1143</v>
      </c>
      <c r="H262" s="33" t="str">
        <f>IF(E262="Não","Não aplicável",IFERROR(IF(B262="EU-ENV-002",IF(INDEX(tbl_recyclass[Conforme_PPWR_2030],MATCH(A262,tbl_recyclass[ProductId],0))="Sim","Conforme (autoavaliação)",IF(INDEX(tbl_recyclass[Conforme_PPWR_2030],MATCH(A262,tbl_recyclass[ProductId],0))="Não","Não conforme em 2030","Isento até 2035")),IF(B262="EU-ENV-003",IF(INDEX(tbl_recyclass[Conforme_Art7_2030],MATCH(A262,tbl_recyclass[ProductId],0))="Sim","Conforme (meta 2030)",IF(INDEX(tbl_recyclass[Conforme_Art7_2030],MATCH(A262,tbl_recyclass[ProductId],0))="Não","Lacuna face à meta 2030","Isento")),IF(B262="EU-ENV-011",IF(INDEX(tbl_familias_ppwr[Metais_Pesados_Evidencia],MATCH(INDEX(tbl_recyclass[Familia_PPWR],MATCH(A262,tbl_recyclass[ProductId],0)),tbl_familias_ppwr[ID_Familia],0))="Em falta","Lacuna","Conforme"),IF(B262="EU-ENV-013",IF(INDEX(tbl_familias_ppwr[Declaracao_UE],MATCH(INDEX(tbl_recyclass[Familia_PPWR],MATCH(A262,tbl_recyclass[ProductId],0)),tbl_familias_ppwr[ID_Familia],0))="Sim","Conforme","Lacuna"),G262)))),G262))</f>
        <v>Não aplicável</v>
      </c>
      <c r="I262" s="33" t="str">
        <f t="shared" si="4"/>
        <v>Não aplicável</v>
      </c>
      <c r="J262" s="26"/>
    </row>
    <row r="263" spans="1:10" ht="16.05" customHeight="1" x14ac:dyDescent="0.3">
      <c r="A263" s="26" t="s">
        <v>632</v>
      </c>
      <c r="B263" s="26" t="s">
        <v>1293</v>
      </c>
      <c r="C263" s="33" t="str">
        <f>IFERROR(INDEX(tbl_requisitos_emb[Tema],MATCH(B263,tbl_requisitos_emb[ID_Req],0)),"")</f>
        <v>Isenções PPWR</v>
      </c>
      <c r="D263" s="33" t="str">
        <f>IFERROR(INDEX(tbl_recyclass[Segmento],MATCH(A263,tbl_recyclass[ProductId],0)),"")</f>
        <v>Cosmética e higiene pessoal</v>
      </c>
      <c r="E263" s="26" t="s">
        <v>904</v>
      </c>
      <c r="F263" s="26" t="s">
        <v>1451</v>
      </c>
      <c r="G263" s="26" t="s">
        <v>1143</v>
      </c>
      <c r="H263" s="33" t="str">
        <f>IF(E263="Não","Não aplicável",IFERROR(IF(B263="EU-ENV-002",IF(INDEX(tbl_recyclass[Conforme_PPWR_2030],MATCH(A263,tbl_recyclass[ProductId],0))="Sim","Conforme (autoavaliação)",IF(INDEX(tbl_recyclass[Conforme_PPWR_2030],MATCH(A263,tbl_recyclass[ProductId],0))="Não","Não conforme em 2030","Isento até 2035")),IF(B263="EU-ENV-003",IF(INDEX(tbl_recyclass[Conforme_Art7_2030],MATCH(A263,tbl_recyclass[ProductId],0))="Sim","Conforme (meta 2030)",IF(INDEX(tbl_recyclass[Conforme_Art7_2030],MATCH(A263,tbl_recyclass[ProductId],0))="Não","Lacuna face à meta 2030","Isento")),IF(B263="EU-ENV-011",IF(INDEX(tbl_familias_ppwr[Metais_Pesados_Evidencia],MATCH(INDEX(tbl_recyclass[Familia_PPWR],MATCH(A263,tbl_recyclass[ProductId],0)),tbl_familias_ppwr[ID_Familia],0))="Em falta","Lacuna","Conforme"),IF(B263="EU-ENV-013",IF(INDEX(tbl_familias_ppwr[Declaracao_UE],MATCH(INDEX(tbl_recyclass[Familia_PPWR],MATCH(A263,tbl_recyclass[ProductId],0)),tbl_familias_ppwr[ID_Familia],0))="Sim","Conforme","Lacuna"),G263)))),G263))</f>
        <v>Não aplicável</v>
      </c>
      <c r="I263" s="33" t="str">
        <f t="shared" si="4"/>
        <v>Não aplicável</v>
      </c>
      <c r="J263" s="26"/>
    </row>
    <row r="264" spans="1:10" ht="16.05" customHeight="1" x14ac:dyDescent="0.3">
      <c r="A264" s="26" t="s">
        <v>632</v>
      </c>
      <c r="B264" s="26" t="s">
        <v>1357</v>
      </c>
      <c r="C264" s="33" t="str">
        <f>IFERROR(INDEX(tbl_requisitos_emb[Tema],MATCH(B264,tbl_requisitos_emb[ID_Req],0)),"")</f>
        <v>Identificação de plásticos</v>
      </c>
      <c r="D264" s="33" t="str">
        <f>IFERROR(INDEX(tbl_recyclass[Segmento],MATCH(A264,tbl_recyclass[ProductId],0)),"")</f>
        <v>Cosmética e higiene pessoal</v>
      </c>
      <c r="E264" s="26" t="s">
        <v>901</v>
      </c>
      <c r="F264" s="26" t="s">
        <v>1449</v>
      </c>
      <c r="G264" s="26" t="s">
        <v>978</v>
      </c>
      <c r="H264" s="33" t="str">
        <f>IF(E264="Não","Não aplicável",IFERROR(IF(B264="EU-ENV-002",IF(INDEX(tbl_recyclass[Conforme_PPWR_2030],MATCH(A264,tbl_recyclass[ProductId],0))="Sim","Conforme (autoavaliação)",IF(INDEX(tbl_recyclass[Conforme_PPWR_2030],MATCH(A264,tbl_recyclass[ProductId],0))="Não","Não conforme em 2030","Isento até 2035")),IF(B264="EU-ENV-003",IF(INDEX(tbl_recyclass[Conforme_Art7_2030],MATCH(A264,tbl_recyclass[ProductId],0))="Sim","Conforme (meta 2030)",IF(INDEX(tbl_recyclass[Conforme_Art7_2030],MATCH(A264,tbl_recyclass[ProductId],0))="Não","Lacuna face à meta 2030","Isento")),IF(B264="EU-ENV-011",IF(INDEX(tbl_familias_ppwr[Metais_Pesados_Evidencia],MATCH(INDEX(tbl_recyclass[Familia_PPWR],MATCH(A264,tbl_recyclass[ProductId],0)),tbl_familias_ppwr[ID_Familia],0))="Em falta","Lacuna","Conforme"),IF(B264="EU-ENV-013",IF(INDEX(tbl_familias_ppwr[Declaracao_UE],MATCH(INDEX(tbl_recyclass[Familia_PPWR],MATCH(A264,tbl_recyclass[ProductId],0)),tbl_familias_ppwr[ID_Familia],0))="Sim","Conforme","Lacuna"),G264)))),G264))</f>
        <v>Parcial</v>
      </c>
      <c r="I264" s="33" t="str">
        <f t="shared" si="4"/>
        <v>Parcial</v>
      </c>
      <c r="J264" s="26" t="s">
        <v>1362</v>
      </c>
    </row>
    <row r="265" spans="1:10" ht="16.05" customHeight="1" x14ac:dyDescent="0.3">
      <c r="A265" s="26" t="s">
        <v>632</v>
      </c>
      <c r="B265" s="26" t="s">
        <v>1385</v>
      </c>
      <c r="C265" s="33" t="str">
        <f>IFERROR(INDEX(tbl_requisitos_emb[Tema],MATCH(B265,tbl_requisitos_emb[ID_Req],0)),"")</f>
        <v>Reciclabilidade (voluntária)</v>
      </c>
      <c r="D265" s="33" t="str">
        <f>IFERROR(INDEX(tbl_recyclass[Segmento],MATCH(A265,tbl_recyclass[ProductId],0)),"")</f>
        <v>Cosmética e higiene pessoal</v>
      </c>
      <c r="E265" s="26" t="s">
        <v>901</v>
      </c>
      <c r="F265" s="26" t="s">
        <v>1449</v>
      </c>
      <c r="G265" s="26" t="s">
        <v>978</v>
      </c>
      <c r="H265" s="33" t="str">
        <f>IF(E265="Não","Não aplicável",IFERROR(IF(B265="EU-ENV-002",IF(INDEX(tbl_recyclass[Conforme_PPWR_2030],MATCH(A265,tbl_recyclass[ProductId],0))="Sim","Conforme (autoavaliação)",IF(INDEX(tbl_recyclass[Conforme_PPWR_2030],MATCH(A265,tbl_recyclass[ProductId],0))="Não","Não conforme em 2030","Isento até 2035")),IF(B265="EU-ENV-003",IF(INDEX(tbl_recyclass[Conforme_Art7_2030],MATCH(A265,tbl_recyclass[ProductId],0))="Sim","Conforme (meta 2030)",IF(INDEX(tbl_recyclass[Conforme_Art7_2030],MATCH(A265,tbl_recyclass[ProductId],0))="Não","Lacuna face à meta 2030","Isento")),IF(B265="EU-ENV-011",IF(INDEX(tbl_familias_ppwr[Metais_Pesados_Evidencia],MATCH(INDEX(tbl_recyclass[Familia_PPWR],MATCH(A265,tbl_recyclass[ProductId],0)),tbl_familias_ppwr[ID_Familia],0))="Em falta","Lacuna","Conforme"),IF(B265="EU-ENV-013",IF(INDEX(tbl_familias_ppwr[Declaracao_UE],MATCH(INDEX(tbl_recyclass[Familia_PPWR],MATCH(A265,tbl_recyclass[ProductId],0)),tbl_familias_ppwr[ID_Familia],0))="Sim","Conforme","Lacuna"),G265)))),G265))</f>
        <v>Parcial</v>
      </c>
      <c r="I265" s="33" t="str">
        <f t="shared" si="4"/>
        <v>Parcial</v>
      </c>
      <c r="J265" s="26" t="s">
        <v>1389</v>
      </c>
    </row>
    <row r="266" spans="1:10" ht="16.05" customHeight="1" x14ac:dyDescent="0.3">
      <c r="A266" s="26" t="s">
        <v>635</v>
      </c>
      <c r="B266" s="26" t="s">
        <v>984</v>
      </c>
      <c r="C266" s="33" t="str">
        <f>IFERROR(INDEX(tbl_requisitos_emb[Tema],MATCH(B266,tbl_requisitos_emb[ID_Req],0)),"")</f>
        <v>Conceção para reciclagem</v>
      </c>
      <c r="D266" s="33" t="str">
        <f>IFERROR(INDEX(tbl_recyclass[Segmento],MATCH(A266,tbl_recyclass[ProductId],0)),"")</f>
        <v>Cosmética e higiene pessoal</v>
      </c>
      <c r="E266" s="26" t="s">
        <v>901</v>
      </c>
      <c r="F266" s="26" t="s">
        <v>1449</v>
      </c>
      <c r="G266" s="26" t="s">
        <v>978</v>
      </c>
      <c r="H266" s="33" t="str">
        <f>IF(E266="Não","Não aplicável",IFERROR(IF(B266="EU-ENV-002",IF(INDEX(tbl_recyclass[Conforme_PPWR_2030],MATCH(A266,tbl_recyclass[ProductId],0))="Sim","Conforme (autoavaliação)",IF(INDEX(tbl_recyclass[Conforme_PPWR_2030],MATCH(A266,tbl_recyclass[ProductId],0))="Não","Não conforme em 2030","Isento até 2035")),IF(B266="EU-ENV-003",IF(INDEX(tbl_recyclass[Conforme_Art7_2030],MATCH(A266,tbl_recyclass[ProductId],0))="Sim","Conforme (meta 2030)",IF(INDEX(tbl_recyclass[Conforme_Art7_2030],MATCH(A266,tbl_recyclass[ProductId],0))="Não","Lacuna face à meta 2030","Isento")),IF(B266="EU-ENV-011",IF(INDEX(tbl_familias_ppwr[Metais_Pesados_Evidencia],MATCH(INDEX(tbl_recyclass[Familia_PPWR],MATCH(A266,tbl_recyclass[ProductId],0)),tbl_familias_ppwr[ID_Familia],0))="Em falta","Lacuna","Conforme"),IF(B266="EU-ENV-013",IF(INDEX(tbl_familias_ppwr[Declaracao_UE],MATCH(INDEX(tbl_recyclass[Familia_PPWR],MATCH(A266,tbl_recyclass[ProductId],0)),tbl_familias_ppwr[ID_Familia],0))="Sim","Conforme","Lacuna"),G266)))),G266))</f>
        <v>Conforme (autoavaliação)</v>
      </c>
      <c r="I266" s="33" t="str">
        <f t="shared" si="4"/>
        <v>Conforme</v>
      </c>
      <c r="J266" s="26" t="s">
        <v>991</v>
      </c>
    </row>
    <row r="267" spans="1:10" ht="16.05" customHeight="1" x14ac:dyDescent="0.3">
      <c r="A267" s="26" t="s">
        <v>635</v>
      </c>
      <c r="B267" s="26" t="s">
        <v>997</v>
      </c>
      <c r="C267" s="33" t="str">
        <f>IFERROR(INDEX(tbl_requisitos_emb[Tema],MATCH(B267,tbl_requisitos_emb[ID_Req],0)),"")</f>
        <v>Conteúdo reciclado</v>
      </c>
      <c r="D267" s="33" t="str">
        <f>IFERROR(INDEX(tbl_recyclass[Segmento],MATCH(A267,tbl_recyclass[ProductId],0)),"")</f>
        <v>Cosmética e higiene pessoal</v>
      </c>
      <c r="E267" s="26" t="s">
        <v>901</v>
      </c>
      <c r="F267" s="26" t="s">
        <v>1449</v>
      </c>
      <c r="G267" s="26" t="s">
        <v>978</v>
      </c>
      <c r="H267" s="33" t="str">
        <f>IF(E267="Não","Não aplicável",IFERROR(IF(B267="EU-ENV-002",IF(INDEX(tbl_recyclass[Conforme_PPWR_2030],MATCH(A267,tbl_recyclass[ProductId],0))="Sim","Conforme (autoavaliação)",IF(INDEX(tbl_recyclass[Conforme_PPWR_2030],MATCH(A267,tbl_recyclass[ProductId],0))="Não","Não conforme em 2030","Isento até 2035")),IF(B267="EU-ENV-003",IF(INDEX(tbl_recyclass[Conforme_Art7_2030],MATCH(A267,tbl_recyclass[ProductId],0))="Sim","Conforme (meta 2030)",IF(INDEX(tbl_recyclass[Conforme_Art7_2030],MATCH(A267,tbl_recyclass[ProductId],0))="Não","Lacuna face à meta 2030","Isento")),IF(B267="EU-ENV-011",IF(INDEX(tbl_familias_ppwr[Metais_Pesados_Evidencia],MATCH(INDEX(tbl_recyclass[Familia_PPWR],MATCH(A267,tbl_recyclass[ProductId],0)),tbl_familias_ppwr[ID_Familia],0))="Em falta","Lacuna","Conforme"),IF(B267="EU-ENV-013",IF(INDEX(tbl_familias_ppwr[Declaracao_UE],MATCH(INDEX(tbl_recyclass[Familia_PPWR],MATCH(A267,tbl_recyclass[ProductId],0)),tbl_familias_ppwr[ID_Familia],0))="Sim","Conforme","Lacuna"),G267)))),G267))</f>
        <v>Lacuna face à meta 2030</v>
      </c>
      <c r="I267" s="33" t="str">
        <f t="shared" si="4"/>
        <v>Lacuna</v>
      </c>
      <c r="J267" s="26" t="s">
        <v>1001</v>
      </c>
    </row>
    <row r="268" spans="1:10" ht="16.05" customHeight="1" x14ac:dyDescent="0.3">
      <c r="A268" s="26" t="s">
        <v>635</v>
      </c>
      <c r="B268" s="26" t="s">
        <v>1007</v>
      </c>
      <c r="C268" s="33" t="str">
        <f>IFERROR(INDEX(tbl_requisitos_emb[Tema],MATCH(B268,tbl_requisitos_emb[ID_Req],0)),"")</f>
        <v>Minimização</v>
      </c>
      <c r="D268" s="33" t="str">
        <f>IFERROR(INDEX(tbl_recyclass[Segmento],MATCH(A268,tbl_recyclass[ProductId],0)),"")</f>
        <v>Cosmética e higiene pessoal</v>
      </c>
      <c r="E268" s="26" t="s">
        <v>901</v>
      </c>
      <c r="F268" s="26" t="s">
        <v>1449</v>
      </c>
      <c r="G268" s="26" t="s">
        <v>978</v>
      </c>
      <c r="H268" s="33" t="str">
        <f>IF(E268="Não","Não aplicável",IFERROR(IF(B268="EU-ENV-002",IF(INDEX(tbl_recyclass[Conforme_PPWR_2030],MATCH(A268,tbl_recyclass[ProductId],0))="Sim","Conforme (autoavaliação)",IF(INDEX(tbl_recyclass[Conforme_PPWR_2030],MATCH(A268,tbl_recyclass[ProductId],0))="Não","Não conforme em 2030","Isento até 2035")),IF(B268="EU-ENV-003",IF(INDEX(tbl_recyclass[Conforme_Art7_2030],MATCH(A268,tbl_recyclass[ProductId],0))="Sim","Conforme (meta 2030)",IF(INDEX(tbl_recyclass[Conforme_Art7_2030],MATCH(A268,tbl_recyclass[ProductId],0))="Não","Lacuna face à meta 2030","Isento")),IF(B268="EU-ENV-011",IF(INDEX(tbl_familias_ppwr[Metais_Pesados_Evidencia],MATCH(INDEX(tbl_recyclass[Familia_PPWR],MATCH(A268,tbl_recyclass[ProductId],0)),tbl_familias_ppwr[ID_Familia],0))="Em falta","Lacuna","Conforme"),IF(B268="EU-ENV-013",IF(INDEX(tbl_familias_ppwr[Declaracao_UE],MATCH(INDEX(tbl_recyclass[Familia_PPWR],MATCH(A268,tbl_recyclass[ProductId],0)),tbl_familias_ppwr[ID_Familia],0))="Sim","Conforme","Lacuna"),G268)))),G268))</f>
        <v>Parcial</v>
      </c>
      <c r="I268" s="33" t="str">
        <f t="shared" si="4"/>
        <v>Parcial</v>
      </c>
      <c r="J268" s="26" t="s">
        <v>1012</v>
      </c>
    </row>
    <row r="269" spans="1:10" ht="16.05" customHeight="1" x14ac:dyDescent="0.3">
      <c r="A269" s="26" t="s">
        <v>635</v>
      </c>
      <c r="B269" s="26" t="s">
        <v>1016</v>
      </c>
      <c r="C269" s="33" t="str">
        <f>IFERROR(INDEX(tbl_requisitos_emb[Tema],MATCH(B269,tbl_requisitos_emb[ID_Req],0)),"")</f>
        <v>Rotulagem</v>
      </c>
      <c r="D269" s="33" t="str">
        <f>IFERROR(INDEX(tbl_recyclass[Segmento],MATCH(A269,tbl_recyclass[ProductId],0)),"")</f>
        <v>Cosmética e higiene pessoal</v>
      </c>
      <c r="E269" s="26" t="s">
        <v>901</v>
      </c>
      <c r="F269" s="26" t="s">
        <v>1449</v>
      </c>
      <c r="G269" s="26" t="s">
        <v>990</v>
      </c>
      <c r="H269" s="33" t="str">
        <f>IF(E269="Não","Não aplicável",IFERROR(IF(B269="EU-ENV-002",IF(INDEX(tbl_recyclass[Conforme_PPWR_2030],MATCH(A269,tbl_recyclass[ProductId],0))="Sim","Conforme (autoavaliação)",IF(INDEX(tbl_recyclass[Conforme_PPWR_2030],MATCH(A269,tbl_recyclass[ProductId],0))="Não","Não conforme em 2030","Isento até 2035")),IF(B269="EU-ENV-003",IF(INDEX(tbl_recyclass[Conforme_Art7_2030],MATCH(A269,tbl_recyclass[ProductId],0))="Sim","Conforme (meta 2030)",IF(INDEX(tbl_recyclass[Conforme_Art7_2030],MATCH(A269,tbl_recyclass[ProductId],0))="Não","Lacuna face à meta 2030","Isento")),IF(B269="EU-ENV-011",IF(INDEX(tbl_familias_ppwr[Metais_Pesados_Evidencia],MATCH(INDEX(tbl_recyclass[Familia_PPWR],MATCH(A269,tbl_recyclass[ProductId],0)),tbl_familias_ppwr[ID_Familia],0))="Em falta","Lacuna","Conforme"),IF(B269="EU-ENV-013",IF(INDEX(tbl_familias_ppwr[Declaracao_UE],MATCH(INDEX(tbl_recyclass[Familia_PPWR],MATCH(A269,tbl_recyclass[ProductId],0)),tbl_familias_ppwr[ID_Familia],0))="Sim","Conforme","Lacuna"),G269)))),G269))</f>
        <v>Futuro</v>
      </c>
      <c r="I269" s="33" t="str">
        <f t="shared" si="4"/>
        <v>Futuro</v>
      </c>
      <c r="J269" s="26" t="s">
        <v>1021</v>
      </c>
    </row>
    <row r="270" spans="1:10" ht="16.05" customHeight="1" x14ac:dyDescent="0.3">
      <c r="A270" s="26" t="s">
        <v>635</v>
      </c>
      <c r="B270" s="26" t="s">
        <v>1038</v>
      </c>
      <c r="C270" s="33" t="str">
        <f>IFERROR(INDEX(tbl_requisitos_emb[Tema],MATCH(B270,tbl_requisitos_emb[ID_Req],0)),"")</f>
        <v>Plásticos de utilização única</v>
      </c>
      <c r="D270" s="33" t="str">
        <f>IFERROR(INDEX(tbl_recyclass[Segmento],MATCH(A270,tbl_recyclass[ProductId],0)),"")</f>
        <v>Cosmética e higiene pessoal</v>
      </c>
      <c r="E270" s="26" t="s">
        <v>904</v>
      </c>
      <c r="F270" s="26" t="s">
        <v>1450</v>
      </c>
      <c r="G270" s="26" t="s">
        <v>1143</v>
      </c>
      <c r="H270" s="33" t="str">
        <f>IF(E270="Não","Não aplicável",IFERROR(IF(B270="EU-ENV-002",IF(INDEX(tbl_recyclass[Conforme_PPWR_2030],MATCH(A270,tbl_recyclass[ProductId],0))="Sim","Conforme (autoavaliação)",IF(INDEX(tbl_recyclass[Conforme_PPWR_2030],MATCH(A270,tbl_recyclass[ProductId],0))="Não","Não conforme em 2030","Isento até 2035")),IF(B270="EU-ENV-003",IF(INDEX(tbl_recyclass[Conforme_Art7_2030],MATCH(A270,tbl_recyclass[ProductId],0))="Sim","Conforme (meta 2030)",IF(INDEX(tbl_recyclass[Conforme_Art7_2030],MATCH(A270,tbl_recyclass[ProductId],0))="Não","Lacuna face à meta 2030","Isento")),IF(B270="EU-ENV-011",IF(INDEX(tbl_familias_ppwr[Metais_Pesados_Evidencia],MATCH(INDEX(tbl_recyclass[Familia_PPWR],MATCH(A270,tbl_recyclass[ProductId],0)),tbl_familias_ppwr[ID_Familia],0))="Em falta","Lacuna","Conforme"),IF(B270="EU-ENV-013",IF(INDEX(tbl_familias_ppwr[Declaracao_UE],MATCH(INDEX(tbl_recyclass[Familia_PPWR],MATCH(A270,tbl_recyclass[ProductId],0)),tbl_familias_ppwr[ID_Familia],0))="Sim","Conforme","Lacuna"),G270)))),G270))</f>
        <v>Não aplicável</v>
      </c>
      <c r="I270" s="33" t="str">
        <f t="shared" si="4"/>
        <v>Não aplicável</v>
      </c>
      <c r="J270" s="26"/>
    </row>
    <row r="271" spans="1:10" ht="16.05" customHeight="1" x14ac:dyDescent="0.3">
      <c r="A271" s="26" t="s">
        <v>635</v>
      </c>
      <c r="B271" s="26" t="s">
        <v>1078</v>
      </c>
      <c r="C271" s="33" t="str">
        <f>IFERROR(INDEX(tbl_requisitos_emb[Tema],MATCH(B271,tbl_requisitos_emb[ID_Req],0)),"")</f>
        <v>Reciclado à escala</v>
      </c>
      <c r="D271" s="33" t="str">
        <f>IFERROR(INDEX(tbl_recyclass[Segmento],MATCH(A271,tbl_recyclass[ProductId],0)),"")</f>
        <v>Cosmética e higiene pessoal</v>
      </c>
      <c r="E271" s="26" t="s">
        <v>901</v>
      </c>
      <c r="F271" s="26" t="s">
        <v>1449</v>
      </c>
      <c r="G271" s="26" t="s">
        <v>990</v>
      </c>
      <c r="H271" s="33" t="str">
        <f>IF(E271="Não","Não aplicável",IFERROR(IF(B271="EU-ENV-002",IF(INDEX(tbl_recyclass[Conforme_PPWR_2030],MATCH(A271,tbl_recyclass[ProductId],0))="Sim","Conforme (autoavaliação)",IF(INDEX(tbl_recyclass[Conforme_PPWR_2030],MATCH(A271,tbl_recyclass[ProductId],0))="Não","Não conforme em 2030","Isento até 2035")),IF(B271="EU-ENV-003",IF(INDEX(tbl_recyclass[Conforme_Art7_2030],MATCH(A271,tbl_recyclass[ProductId],0))="Sim","Conforme (meta 2030)",IF(INDEX(tbl_recyclass[Conforme_Art7_2030],MATCH(A271,tbl_recyclass[ProductId],0))="Não","Lacuna face à meta 2030","Isento")),IF(B271="EU-ENV-011",IF(INDEX(tbl_familias_ppwr[Metais_Pesados_Evidencia],MATCH(INDEX(tbl_recyclass[Familia_PPWR],MATCH(A271,tbl_recyclass[ProductId],0)),tbl_familias_ppwr[ID_Familia],0))="Em falta","Lacuna","Conforme"),IF(B271="EU-ENV-013",IF(INDEX(tbl_familias_ppwr[Declaracao_UE],MATCH(INDEX(tbl_recyclass[Familia_PPWR],MATCH(A271,tbl_recyclass[ProductId],0)),tbl_familias_ppwr[ID_Familia],0))="Sim","Conforme","Lacuna"),G271)))),G271))</f>
        <v>Futuro</v>
      </c>
      <c r="I271" s="33" t="str">
        <f t="shared" si="4"/>
        <v>Futuro</v>
      </c>
      <c r="J271" s="26" t="s">
        <v>1082</v>
      </c>
    </row>
    <row r="272" spans="1:10" ht="16.05" customHeight="1" x14ac:dyDescent="0.3">
      <c r="A272" s="26" t="s">
        <v>635</v>
      </c>
      <c r="B272" s="26" t="s">
        <v>1086</v>
      </c>
      <c r="C272" s="33" t="str">
        <f>IFERROR(INDEX(tbl_requisitos_emb[Tema],MATCH(B272,tbl_requisitos_emb[ID_Req],0)),"")</f>
        <v>Metais pesados</v>
      </c>
      <c r="D272" s="33" t="str">
        <f>IFERROR(INDEX(tbl_recyclass[Segmento],MATCH(A272,tbl_recyclass[ProductId],0)),"")</f>
        <v>Cosmética e higiene pessoal</v>
      </c>
      <c r="E272" s="26" t="s">
        <v>901</v>
      </c>
      <c r="F272" s="26" t="s">
        <v>1449</v>
      </c>
      <c r="G272" s="26" t="s">
        <v>978</v>
      </c>
      <c r="H272" s="33" t="str">
        <f>IF(E272="Não","Não aplicável",IFERROR(IF(B272="EU-ENV-002",IF(INDEX(tbl_recyclass[Conforme_PPWR_2030],MATCH(A272,tbl_recyclass[ProductId],0))="Sim","Conforme (autoavaliação)",IF(INDEX(tbl_recyclass[Conforme_PPWR_2030],MATCH(A272,tbl_recyclass[ProductId],0))="Não","Não conforme em 2030","Isento até 2035")),IF(B272="EU-ENV-003",IF(INDEX(tbl_recyclass[Conforme_Art7_2030],MATCH(A272,tbl_recyclass[ProductId],0))="Sim","Conforme (meta 2030)",IF(INDEX(tbl_recyclass[Conforme_Art7_2030],MATCH(A272,tbl_recyclass[ProductId],0))="Não","Lacuna face à meta 2030","Isento")),IF(B272="EU-ENV-011",IF(INDEX(tbl_familias_ppwr[Metais_Pesados_Evidencia],MATCH(INDEX(tbl_recyclass[Familia_PPWR],MATCH(A272,tbl_recyclass[ProductId],0)),tbl_familias_ppwr[ID_Familia],0))="Em falta","Lacuna","Conforme"),IF(B272="EU-ENV-013",IF(INDEX(tbl_familias_ppwr[Declaracao_UE],MATCH(INDEX(tbl_recyclass[Familia_PPWR],MATCH(A272,tbl_recyclass[ProductId],0)),tbl_familias_ppwr[ID_Familia],0))="Sim","Conforme","Lacuna"),G272)))),G272))</f>
        <v>Conforme</v>
      </c>
      <c r="I272" s="33" t="str">
        <f t="shared" si="4"/>
        <v>Conforme</v>
      </c>
      <c r="J272" s="26" t="s">
        <v>1090</v>
      </c>
    </row>
    <row r="273" spans="1:10" ht="16.05" customHeight="1" x14ac:dyDescent="0.3">
      <c r="A273" s="26" t="s">
        <v>635</v>
      </c>
      <c r="B273" s="26" t="s">
        <v>1094</v>
      </c>
      <c r="C273" s="33" t="str">
        <f>IFERROR(INDEX(tbl_requisitos_emb[Tema],MATCH(B273,tbl_requisitos_emb[ID_Req],0)),"")</f>
        <v>PFAS</v>
      </c>
      <c r="D273" s="33" t="str">
        <f>IFERROR(INDEX(tbl_recyclass[Segmento],MATCH(A273,tbl_recyclass[ProductId],0)),"")</f>
        <v>Cosmética e higiene pessoal</v>
      </c>
      <c r="E273" s="26" t="s">
        <v>904</v>
      </c>
      <c r="F273" s="26" t="s">
        <v>1450</v>
      </c>
      <c r="G273" s="26" t="s">
        <v>1143</v>
      </c>
      <c r="H273" s="33" t="str">
        <f>IF(E273="Não","Não aplicável",IFERROR(IF(B273="EU-ENV-002",IF(INDEX(tbl_recyclass[Conforme_PPWR_2030],MATCH(A273,tbl_recyclass[ProductId],0))="Sim","Conforme (autoavaliação)",IF(INDEX(tbl_recyclass[Conforme_PPWR_2030],MATCH(A273,tbl_recyclass[ProductId],0))="Não","Não conforme em 2030","Isento até 2035")),IF(B273="EU-ENV-003",IF(INDEX(tbl_recyclass[Conforme_Art7_2030],MATCH(A273,tbl_recyclass[ProductId],0))="Sim","Conforme (meta 2030)",IF(INDEX(tbl_recyclass[Conforme_Art7_2030],MATCH(A273,tbl_recyclass[ProductId],0))="Não","Lacuna face à meta 2030","Isento")),IF(B273="EU-ENV-011",IF(INDEX(tbl_familias_ppwr[Metais_Pesados_Evidencia],MATCH(INDEX(tbl_recyclass[Familia_PPWR],MATCH(A273,tbl_recyclass[ProductId],0)),tbl_familias_ppwr[ID_Familia],0))="Em falta","Lacuna","Conforme"),IF(B273="EU-ENV-013",IF(INDEX(tbl_familias_ppwr[Declaracao_UE],MATCH(INDEX(tbl_recyclass[Familia_PPWR],MATCH(A273,tbl_recyclass[ProductId],0)),tbl_familias_ppwr[ID_Familia],0))="Sim","Conforme","Lacuna"),G273)))),G273))</f>
        <v>Não aplicável</v>
      </c>
      <c r="I273" s="33" t="str">
        <f t="shared" si="4"/>
        <v>Não aplicável</v>
      </c>
      <c r="J273" s="26"/>
    </row>
    <row r="274" spans="1:10" ht="16.05" customHeight="1" x14ac:dyDescent="0.3">
      <c r="A274" s="26" t="s">
        <v>635</v>
      </c>
      <c r="B274" s="26" t="s">
        <v>1102</v>
      </c>
      <c r="C274" s="33" t="str">
        <f>IFERROR(INDEX(tbl_requisitos_emb[Tema],MATCH(B274,tbl_requisitos_emb[ID_Req],0)),"")</f>
        <v>Documentação técnica e declaração UE</v>
      </c>
      <c r="D274" s="33" t="str">
        <f>IFERROR(INDEX(tbl_recyclass[Segmento],MATCH(A274,tbl_recyclass[ProductId],0)),"")</f>
        <v>Cosmética e higiene pessoal</v>
      </c>
      <c r="E274" s="26" t="s">
        <v>901</v>
      </c>
      <c r="F274" s="26" t="s">
        <v>1449</v>
      </c>
      <c r="G274" s="26" t="s">
        <v>978</v>
      </c>
      <c r="H274" s="33" t="str">
        <f>IF(E274="Não","Não aplicável",IFERROR(IF(B274="EU-ENV-002",IF(INDEX(tbl_recyclass[Conforme_PPWR_2030],MATCH(A274,tbl_recyclass[ProductId],0))="Sim","Conforme (autoavaliação)",IF(INDEX(tbl_recyclass[Conforme_PPWR_2030],MATCH(A274,tbl_recyclass[ProductId],0))="Não","Não conforme em 2030","Isento até 2035")),IF(B274="EU-ENV-003",IF(INDEX(tbl_recyclass[Conforme_Art7_2030],MATCH(A274,tbl_recyclass[ProductId],0))="Sim","Conforme (meta 2030)",IF(INDEX(tbl_recyclass[Conforme_Art7_2030],MATCH(A274,tbl_recyclass[ProductId],0))="Não","Lacuna face à meta 2030","Isento")),IF(B274="EU-ENV-011",IF(INDEX(tbl_familias_ppwr[Metais_Pesados_Evidencia],MATCH(INDEX(tbl_recyclass[Familia_PPWR],MATCH(A274,tbl_recyclass[ProductId],0)),tbl_familias_ppwr[ID_Familia],0))="Em falta","Lacuna","Conforme"),IF(B274="EU-ENV-013",IF(INDEX(tbl_familias_ppwr[Declaracao_UE],MATCH(INDEX(tbl_recyclass[Familia_PPWR],MATCH(A274,tbl_recyclass[ProductId],0)),tbl_familias_ppwr[ID_Familia],0))="Sim","Conforme","Lacuna"),G274)))),G274))</f>
        <v>Conforme</v>
      </c>
      <c r="I274" s="33" t="str">
        <f t="shared" si="4"/>
        <v>Conforme</v>
      </c>
      <c r="J274" s="26" t="s">
        <v>1106</v>
      </c>
    </row>
    <row r="275" spans="1:10" ht="16.05" customHeight="1" x14ac:dyDescent="0.3">
      <c r="A275" s="26" t="s">
        <v>635</v>
      </c>
      <c r="B275" s="26" t="s">
        <v>1161</v>
      </c>
      <c r="C275" s="33" t="str">
        <f>IFERROR(INDEX(tbl_requisitos_emb[Tema],MATCH(B275,tbl_requisitos_emb[ID_Req],0)),"")</f>
        <v>Materiais em contacto com alimentos</v>
      </c>
      <c r="D275" s="33" t="str">
        <f>IFERROR(INDEX(tbl_recyclass[Segmento],MATCH(A275,tbl_recyclass[ProductId],0)),"")</f>
        <v>Cosmética e higiene pessoal</v>
      </c>
      <c r="E275" s="26" t="s">
        <v>904</v>
      </c>
      <c r="F275" s="26" t="s">
        <v>1450</v>
      </c>
      <c r="G275" s="26" t="s">
        <v>1143</v>
      </c>
      <c r="H275" s="33" t="str">
        <f>IF(E275="Não","Não aplicável",IFERROR(IF(B275="EU-ENV-002",IF(INDEX(tbl_recyclass[Conforme_PPWR_2030],MATCH(A275,tbl_recyclass[ProductId],0))="Sim","Conforme (autoavaliação)",IF(INDEX(tbl_recyclass[Conforme_PPWR_2030],MATCH(A275,tbl_recyclass[ProductId],0))="Não","Não conforme em 2030","Isento até 2035")),IF(B275="EU-ENV-003",IF(INDEX(tbl_recyclass[Conforme_Art7_2030],MATCH(A275,tbl_recyclass[ProductId],0))="Sim","Conforme (meta 2030)",IF(INDEX(tbl_recyclass[Conforme_Art7_2030],MATCH(A275,tbl_recyclass[ProductId],0))="Não","Lacuna face à meta 2030","Isento")),IF(B275="EU-ENV-011",IF(INDEX(tbl_familias_ppwr[Metais_Pesados_Evidencia],MATCH(INDEX(tbl_recyclass[Familia_PPWR],MATCH(A275,tbl_recyclass[ProductId],0)),tbl_familias_ppwr[ID_Familia],0))="Em falta","Lacuna","Conforme"),IF(B275="EU-ENV-013",IF(INDEX(tbl_familias_ppwr[Declaracao_UE],MATCH(INDEX(tbl_recyclass[Familia_PPWR],MATCH(A275,tbl_recyclass[ProductId],0)),tbl_familias_ppwr[ID_Familia],0))="Sim","Conforme","Lacuna"),G275)))),G275))</f>
        <v>Não aplicável</v>
      </c>
      <c r="I275" s="33" t="str">
        <f t="shared" si="4"/>
        <v>Não aplicável</v>
      </c>
      <c r="J275" s="26"/>
    </row>
    <row r="276" spans="1:10" ht="16.05" customHeight="1" x14ac:dyDescent="0.3">
      <c r="A276" s="26" t="s">
        <v>635</v>
      </c>
      <c r="B276" s="26" t="s">
        <v>1170</v>
      </c>
      <c r="C276" s="33" t="str">
        <f>IFERROR(INDEX(tbl_requisitos_emb[Tema],MATCH(B276,tbl_requisitos_emb[ID_Req],0)),"")</f>
        <v>Boas práticas de fabrico FCM</v>
      </c>
      <c r="D276" s="33" t="str">
        <f>IFERROR(INDEX(tbl_recyclass[Segmento],MATCH(A276,tbl_recyclass[ProductId],0)),"")</f>
        <v>Cosmética e higiene pessoal</v>
      </c>
      <c r="E276" s="26" t="s">
        <v>904</v>
      </c>
      <c r="F276" s="26" t="s">
        <v>1450</v>
      </c>
      <c r="G276" s="26" t="s">
        <v>1143</v>
      </c>
      <c r="H276" s="33" t="str">
        <f>IF(E276="Não","Não aplicável",IFERROR(IF(B276="EU-ENV-002",IF(INDEX(tbl_recyclass[Conforme_PPWR_2030],MATCH(A276,tbl_recyclass[ProductId],0))="Sim","Conforme (autoavaliação)",IF(INDEX(tbl_recyclass[Conforme_PPWR_2030],MATCH(A276,tbl_recyclass[ProductId],0))="Não","Não conforme em 2030","Isento até 2035")),IF(B276="EU-ENV-003",IF(INDEX(tbl_recyclass[Conforme_Art7_2030],MATCH(A276,tbl_recyclass[ProductId],0))="Sim","Conforme (meta 2030)",IF(INDEX(tbl_recyclass[Conforme_Art7_2030],MATCH(A276,tbl_recyclass[ProductId],0))="Não","Lacuna face à meta 2030","Isento")),IF(B276="EU-ENV-011",IF(INDEX(tbl_familias_ppwr[Metais_Pesados_Evidencia],MATCH(INDEX(tbl_recyclass[Familia_PPWR],MATCH(A276,tbl_recyclass[ProductId],0)),tbl_familias_ppwr[ID_Familia],0))="Em falta","Lacuna","Conforme"),IF(B276="EU-ENV-013",IF(INDEX(tbl_familias_ppwr[Declaracao_UE],MATCH(INDEX(tbl_recyclass[Familia_PPWR],MATCH(A276,tbl_recyclass[ProductId],0)),tbl_familias_ppwr[ID_Familia],0))="Sim","Conforme","Lacuna"),G276)))),G276))</f>
        <v>Não aplicável</v>
      </c>
      <c r="I276" s="33" t="str">
        <f t="shared" si="4"/>
        <v>Não aplicável</v>
      </c>
      <c r="J276" s="26"/>
    </row>
    <row r="277" spans="1:10" ht="16.05" customHeight="1" x14ac:dyDescent="0.3">
      <c r="A277" s="26" t="s">
        <v>635</v>
      </c>
      <c r="B277" s="26" t="s">
        <v>1179</v>
      </c>
      <c r="C277" s="33" t="str">
        <f>IFERROR(INDEX(tbl_requisitos_emb[Tema],MATCH(B277,tbl_requisitos_emb[ID_Req],0)),"")</f>
        <v>Bisfenol A e bisfenóis perigosos</v>
      </c>
      <c r="D277" s="33" t="str">
        <f>IFERROR(INDEX(tbl_recyclass[Segmento],MATCH(A277,tbl_recyclass[ProductId],0)),"")</f>
        <v>Cosmética e higiene pessoal</v>
      </c>
      <c r="E277" s="26" t="s">
        <v>904</v>
      </c>
      <c r="F277" s="26" t="s">
        <v>1450</v>
      </c>
      <c r="G277" s="26" t="s">
        <v>1143</v>
      </c>
      <c r="H277" s="33" t="str">
        <f>IF(E277="Não","Não aplicável",IFERROR(IF(B277="EU-ENV-002",IF(INDEX(tbl_recyclass[Conforme_PPWR_2030],MATCH(A277,tbl_recyclass[ProductId],0))="Sim","Conforme (autoavaliação)",IF(INDEX(tbl_recyclass[Conforme_PPWR_2030],MATCH(A277,tbl_recyclass[ProductId],0))="Não","Não conforme em 2030","Isento até 2035")),IF(B277="EU-ENV-003",IF(INDEX(tbl_recyclass[Conforme_Art7_2030],MATCH(A277,tbl_recyclass[ProductId],0))="Sim","Conforme (meta 2030)",IF(INDEX(tbl_recyclass[Conforme_Art7_2030],MATCH(A277,tbl_recyclass[ProductId],0))="Não","Lacuna face à meta 2030","Isento")),IF(B277="EU-ENV-011",IF(INDEX(tbl_familias_ppwr[Metais_Pesados_Evidencia],MATCH(INDEX(tbl_recyclass[Familia_PPWR],MATCH(A277,tbl_recyclass[ProductId],0)),tbl_familias_ppwr[ID_Familia],0))="Em falta","Lacuna","Conforme"),IF(B277="EU-ENV-013",IF(INDEX(tbl_familias_ppwr[Declaracao_UE],MATCH(INDEX(tbl_recyclass[Familia_PPWR],MATCH(A277,tbl_recyclass[ProductId],0)),tbl_familias_ppwr[ID_Familia],0))="Sim","Conforme","Lacuna"),G277)))),G277))</f>
        <v>Não aplicável</v>
      </c>
      <c r="I277" s="33" t="str">
        <f t="shared" si="4"/>
        <v>Não aplicável</v>
      </c>
      <c r="J277" s="26"/>
    </row>
    <row r="278" spans="1:10" ht="16.05" customHeight="1" x14ac:dyDescent="0.3">
      <c r="A278" s="26" t="s">
        <v>635</v>
      </c>
      <c r="B278" s="26" t="s">
        <v>1188</v>
      </c>
      <c r="C278" s="33" t="str">
        <f>IFERROR(INDEX(tbl_requisitos_emb[Tema],MATCH(B278,tbl_requisitos_emb[ID_Req],0)),"")</f>
        <v>Plásticos em contacto com alimentos</v>
      </c>
      <c r="D278" s="33" t="str">
        <f>IFERROR(INDEX(tbl_recyclass[Segmento],MATCH(A278,tbl_recyclass[ProductId],0)),"")</f>
        <v>Cosmética e higiene pessoal</v>
      </c>
      <c r="E278" s="26" t="s">
        <v>904</v>
      </c>
      <c r="F278" s="26" t="s">
        <v>1450</v>
      </c>
      <c r="G278" s="26" t="s">
        <v>1143</v>
      </c>
      <c r="H278" s="33" t="str">
        <f>IF(E278="Não","Não aplicável",IFERROR(IF(B278="EU-ENV-002",IF(INDEX(tbl_recyclass[Conforme_PPWR_2030],MATCH(A278,tbl_recyclass[ProductId],0))="Sim","Conforme (autoavaliação)",IF(INDEX(tbl_recyclass[Conforme_PPWR_2030],MATCH(A278,tbl_recyclass[ProductId],0))="Não","Não conforme em 2030","Isento até 2035")),IF(B278="EU-ENV-003",IF(INDEX(tbl_recyclass[Conforme_Art7_2030],MATCH(A278,tbl_recyclass[ProductId],0))="Sim","Conforme (meta 2030)",IF(INDEX(tbl_recyclass[Conforme_Art7_2030],MATCH(A278,tbl_recyclass[ProductId],0))="Não","Lacuna face à meta 2030","Isento")),IF(B278="EU-ENV-011",IF(INDEX(tbl_familias_ppwr[Metais_Pesados_Evidencia],MATCH(INDEX(tbl_recyclass[Familia_PPWR],MATCH(A278,tbl_recyclass[ProductId],0)),tbl_familias_ppwr[ID_Familia],0))="Em falta","Lacuna","Conforme"),IF(B278="EU-ENV-013",IF(INDEX(tbl_familias_ppwr[Declaracao_UE],MATCH(INDEX(tbl_recyclass[Familia_PPWR],MATCH(A278,tbl_recyclass[ProductId],0)),tbl_familias_ppwr[ID_Familia],0))="Sim","Conforme","Lacuna"),G278)))),G278))</f>
        <v>Não aplicável</v>
      </c>
      <c r="I278" s="33" t="str">
        <f t="shared" si="4"/>
        <v>Não aplicável</v>
      </c>
      <c r="J278" s="26"/>
    </row>
    <row r="279" spans="1:10" ht="16.05" customHeight="1" x14ac:dyDescent="0.3">
      <c r="A279" s="26" t="s">
        <v>635</v>
      </c>
      <c r="B279" s="26" t="s">
        <v>1212</v>
      </c>
      <c r="C279" s="33" t="str">
        <f>IFERROR(INDEX(tbl_requisitos_emb[Tema],MATCH(B279,tbl_requisitos_emb[ID_Req],0)),"")</f>
        <v>Segurança do produto cosmético</v>
      </c>
      <c r="D279" s="33" t="str">
        <f>IFERROR(INDEX(tbl_recyclass[Segmento],MATCH(A279,tbl_recyclass[ProductId],0)),"")</f>
        <v>Cosmética e higiene pessoal</v>
      </c>
      <c r="E279" s="26" t="s">
        <v>901</v>
      </c>
      <c r="F279" s="26" t="s">
        <v>1449</v>
      </c>
      <c r="G279" s="26" t="s">
        <v>1033</v>
      </c>
      <c r="H279" s="33" t="str">
        <f>IF(E279="Não","Não aplicável",IFERROR(IF(B279="EU-ENV-002",IF(INDEX(tbl_recyclass[Conforme_PPWR_2030],MATCH(A279,tbl_recyclass[ProductId],0))="Sim","Conforme (autoavaliação)",IF(INDEX(tbl_recyclass[Conforme_PPWR_2030],MATCH(A279,tbl_recyclass[ProductId],0))="Não","Não conforme em 2030","Isento até 2035")),IF(B279="EU-ENV-003",IF(INDEX(tbl_recyclass[Conforme_Art7_2030],MATCH(A279,tbl_recyclass[ProductId],0))="Sim","Conforme (meta 2030)",IF(INDEX(tbl_recyclass[Conforme_Art7_2030],MATCH(A279,tbl_recyclass[ProductId],0))="Não","Lacuna face à meta 2030","Isento")),IF(B279="EU-ENV-011",IF(INDEX(tbl_familias_ppwr[Metais_Pesados_Evidencia],MATCH(INDEX(tbl_recyclass[Familia_PPWR],MATCH(A279,tbl_recyclass[ProductId],0)),tbl_familias_ppwr[ID_Familia],0))="Em falta","Lacuna","Conforme"),IF(B279="EU-ENV-013",IF(INDEX(tbl_familias_ppwr[Declaracao_UE],MATCH(INDEX(tbl_recyclass[Familia_PPWR],MATCH(A279,tbl_recyclass[ProductId],0)),tbl_familias_ppwr[ID_Familia],0))="Sim","Conforme","Lacuna"),G279)))),G279))</f>
        <v>Conforme</v>
      </c>
      <c r="I279" s="33" t="str">
        <f t="shared" si="4"/>
        <v>Conforme</v>
      </c>
      <c r="J279" s="26" t="s">
        <v>1221</v>
      </c>
    </row>
    <row r="280" spans="1:10" ht="16.05" customHeight="1" x14ac:dyDescent="0.3">
      <c r="A280" s="26" t="s">
        <v>635</v>
      </c>
      <c r="B280" s="26" t="s">
        <v>1224</v>
      </c>
      <c r="C280" s="33" t="str">
        <f>IFERROR(INDEX(tbl_requisitos_emb[Tema],MATCH(B280,tbl_requisitos_emb[ID_Req],0)),"")</f>
        <v>Materiais e impurezas</v>
      </c>
      <c r="D280" s="33" t="str">
        <f>IFERROR(INDEX(tbl_recyclass[Segmento],MATCH(A280,tbl_recyclass[ProductId],0)),"")</f>
        <v>Cosmética e higiene pessoal</v>
      </c>
      <c r="E280" s="26" t="s">
        <v>901</v>
      </c>
      <c r="F280" s="26" t="s">
        <v>1449</v>
      </c>
      <c r="G280" s="26" t="s">
        <v>978</v>
      </c>
      <c r="H280" s="33" t="str">
        <f>IF(E280="Não","Não aplicável",IFERROR(IF(B280="EU-ENV-002",IF(INDEX(tbl_recyclass[Conforme_PPWR_2030],MATCH(A280,tbl_recyclass[ProductId],0))="Sim","Conforme (autoavaliação)",IF(INDEX(tbl_recyclass[Conforme_PPWR_2030],MATCH(A280,tbl_recyclass[ProductId],0))="Não","Não conforme em 2030","Isento até 2035")),IF(B280="EU-ENV-003",IF(INDEX(tbl_recyclass[Conforme_Art7_2030],MATCH(A280,tbl_recyclass[ProductId],0))="Sim","Conforme (meta 2030)",IF(INDEX(tbl_recyclass[Conforme_Art7_2030],MATCH(A280,tbl_recyclass[ProductId],0))="Não","Lacuna face à meta 2030","Isento")),IF(B280="EU-ENV-011",IF(INDEX(tbl_familias_ppwr[Metais_Pesados_Evidencia],MATCH(INDEX(tbl_recyclass[Familia_PPWR],MATCH(A280,tbl_recyclass[ProductId],0)),tbl_familias_ppwr[ID_Familia],0))="Em falta","Lacuna","Conforme"),IF(B280="EU-ENV-013",IF(INDEX(tbl_familias_ppwr[Declaracao_UE],MATCH(INDEX(tbl_recyclass[Familia_PPWR],MATCH(A280,tbl_recyclass[ProductId],0)),tbl_familias_ppwr[ID_Familia],0))="Sim","Conforme","Lacuna"),G280)))),G280))</f>
        <v>Parcial</v>
      </c>
      <c r="I280" s="33" t="str">
        <f t="shared" si="4"/>
        <v>Parcial</v>
      </c>
      <c r="J280" s="26" t="s">
        <v>1228</v>
      </c>
    </row>
    <row r="281" spans="1:10" ht="16.05" customHeight="1" x14ac:dyDescent="0.3">
      <c r="A281" s="26" t="s">
        <v>635</v>
      </c>
      <c r="B281" s="26" t="s">
        <v>1240</v>
      </c>
      <c r="C281" s="33" t="str">
        <f>IFERROR(INDEX(tbl_requisitos_emb[Tema],MATCH(B281,tbl_requisitos_emb[ID_Req],0)),"")</f>
        <v>Compatibilidade embalagem–produto</v>
      </c>
      <c r="D281" s="33" t="str">
        <f>IFERROR(INDEX(tbl_recyclass[Segmento],MATCH(A281,tbl_recyclass[ProductId],0)),"")</f>
        <v>Cosmética e higiene pessoal</v>
      </c>
      <c r="E281" s="26" t="s">
        <v>901</v>
      </c>
      <c r="F281" s="26" t="s">
        <v>1449</v>
      </c>
      <c r="G281" s="26" t="s">
        <v>1033</v>
      </c>
      <c r="H281" s="33" t="str">
        <f>IF(E281="Não","Não aplicável",IFERROR(IF(B281="EU-ENV-002",IF(INDEX(tbl_recyclass[Conforme_PPWR_2030],MATCH(A281,tbl_recyclass[ProductId],0))="Sim","Conforme (autoavaliação)",IF(INDEX(tbl_recyclass[Conforme_PPWR_2030],MATCH(A281,tbl_recyclass[ProductId],0))="Não","Não conforme em 2030","Isento até 2035")),IF(B281="EU-ENV-003",IF(INDEX(tbl_recyclass[Conforme_Art7_2030],MATCH(A281,tbl_recyclass[ProductId],0))="Sim","Conforme (meta 2030)",IF(INDEX(tbl_recyclass[Conforme_Art7_2030],MATCH(A281,tbl_recyclass[ProductId],0))="Não","Lacuna face à meta 2030","Isento")),IF(B281="EU-ENV-011",IF(INDEX(tbl_familias_ppwr[Metais_Pesados_Evidencia],MATCH(INDEX(tbl_recyclass[Familia_PPWR],MATCH(A281,tbl_recyclass[ProductId],0)),tbl_familias_ppwr[ID_Familia],0))="Em falta","Lacuna","Conforme"),IF(B281="EU-ENV-013",IF(INDEX(tbl_familias_ppwr[Declaracao_UE],MATCH(INDEX(tbl_recyclass[Familia_PPWR],MATCH(A281,tbl_recyclass[ProductId],0)),tbl_familias_ppwr[ID_Familia],0))="Sim","Conforme","Lacuna"),G281)))),G281))</f>
        <v>Conforme</v>
      </c>
      <c r="I281" s="33" t="str">
        <f t="shared" si="4"/>
        <v>Conforme</v>
      </c>
      <c r="J281" s="26" t="s">
        <v>1244</v>
      </c>
    </row>
    <row r="282" spans="1:10" ht="16.05" customHeight="1" x14ac:dyDescent="0.3">
      <c r="A282" s="26" t="s">
        <v>635</v>
      </c>
      <c r="B282" s="26" t="s">
        <v>1252</v>
      </c>
      <c r="C282" s="33" t="str">
        <f>IFERROR(INDEX(tbl_requisitos_emb[Tema],MATCH(B282,tbl_requisitos_emb[ID_Req],0)),"")</f>
        <v>Medicamentos de uso humano</v>
      </c>
      <c r="D282" s="33" t="str">
        <f>IFERROR(INDEX(tbl_recyclass[Segmento],MATCH(A282,tbl_recyclass[ProductId],0)),"")</f>
        <v>Cosmética e higiene pessoal</v>
      </c>
      <c r="E282" s="26" t="s">
        <v>904</v>
      </c>
      <c r="F282" s="26" t="s">
        <v>1451</v>
      </c>
      <c r="G282" s="26" t="s">
        <v>1143</v>
      </c>
      <c r="H282" s="33" t="str">
        <f>IF(E282="Não","Não aplicável",IFERROR(IF(B282="EU-ENV-002",IF(INDEX(tbl_recyclass[Conforme_PPWR_2030],MATCH(A282,tbl_recyclass[ProductId],0))="Sim","Conforme (autoavaliação)",IF(INDEX(tbl_recyclass[Conforme_PPWR_2030],MATCH(A282,tbl_recyclass[ProductId],0))="Não","Não conforme em 2030","Isento até 2035")),IF(B282="EU-ENV-003",IF(INDEX(tbl_recyclass[Conforme_Art7_2030],MATCH(A282,tbl_recyclass[ProductId],0))="Sim","Conforme (meta 2030)",IF(INDEX(tbl_recyclass[Conforme_Art7_2030],MATCH(A282,tbl_recyclass[ProductId],0))="Não","Lacuna face à meta 2030","Isento")),IF(B282="EU-ENV-011",IF(INDEX(tbl_familias_ppwr[Metais_Pesados_Evidencia],MATCH(INDEX(tbl_recyclass[Familia_PPWR],MATCH(A282,tbl_recyclass[ProductId],0)),tbl_familias_ppwr[ID_Familia],0))="Em falta","Lacuna","Conforme"),IF(B282="EU-ENV-013",IF(INDEX(tbl_familias_ppwr[Declaracao_UE],MATCH(INDEX(tbl_recyclass[Familia_PPWR],MATCH(A282,tbl_recyclass[ProductId],0)),tbl_familias_ppwr[ID_Familia],0))="Sim","Conforme","Lacuna"),G282)))),G282))</f>
        <v>Não aplicável</v>
      </c>
      <c r="I282" s="33" t="str">
        <f t="shared" si="4"/>
        <v>Não aplicável</v>
      </c>
      <c r="J282" s="26"/>
    </row>
    <row r="283" spans="1:10" ht="16.05" customHeight="1" x14ac:dyDescent="0.3">
      <c r="A283" s="26" t="s">
        <v>635</v>
      </c>
      <c r="B283" s="26" t="s">
        <v>1268</v>
      </c>
      <c r="C283" s="33" t="str">
        <f>IFERROR(INDEX(tbl_requisitos_emb[Tema],MATCH(B283,tbl_requisitos_emb[ID_Req],0)),"")</f>
        <v>Dispositivos de segurança</v>
      </c>
      <c r="D283" s="33" t="str">
        <f>IFERROR(INDEX(tbl_recyclass[Segmento],MATCH(A283,tbl_recyclass[ProductId],0)),"")</f>
        <v>Cosmética e higiene pessoal</v>
      </c>
      <c r="E283" s="26" t="s">
        <v>904</v>
      </c>
      <c r="F283" s="26" t="s">
        <v>1451</v>
      </c>
      <c r="G283" s="26" t="s">
        <v>1143</v>
      </c>
      <c r="H283" s="33" t="str">
        <f>IF(E283="Não","Não aplicável",IFERROR(IF(B283="EU-ENV-002",IF(INDEX(tbl_recyclass[Conforme_PPWR_2030],MATCH(A283,tbl_recyclass[ProductId],0))="Sim","Conforme (autoavaliação)",IF(INDEX(tbl_recyclass[Conforme_PPWR_2030],MATCH(A283,tbl_recyclass[ProductId],0))="Não","Não conforme em 2030","Isento até 2035")),IF(B283="EU-ENV-003",IF(INDEX(tbl_recyclass[Conforme_Art7_2030],MATCH(A283,tbl_recyclass[ProductId],0))="Sim","Conforme (meta 2030)",IF(INDEX(tbl_recyclass[Conforme_Art7_2030],MATCH(A283,tbl_recyclass[ProductId],0))="Não","Lacuna face à meta 2030","Isento")),IF(B283="EU-ENV-011",IF(INDEX(tbl_familias_ppwr[Metais_Pesados_Evidencia],MATCH(INDEX(tbl_recyclass[Familia_PPWR],MATCH(A283,tbl_recyclass[ProductId],0)),tbl_familias_ppwr[ID_Familia],0))="Em falta","Lacuna","Conforme"),IF(B283="EU-ENV-013",IF(INDEX(tbl_familias_ppwr[Declaracao_UE],MATCH(INDEX(tbl_recyclass[Familia_PPWR],MATCH(A283,tbl_recyclass[ProductId],0)),tbl_familias_ppwr[ID_Familia],0))="Sim","Conforme","Lacuna"),G283)))),G283))</f>
        <v>Não aplicável</v>
      </c>
      <c r="I283" s="33" t="str">
        <f t="shared" si="4"/>
        <v>Não aplicável</v>
      </c>
      <c r="J283" s="26"/>
    </row>
    <row r="284" spans="1:10" ht="16.05" customHeight="1" x14ac:dyDescent="0.3">
      <c r="A284" s="26" t="s">
        <v>635</v>
      </c>
      <c r="B284" s="26" t="s">
        <v>1285</v>
      </c>
      <c r="C284" s="33" t="str">
        <f>IFERROR(INDEX(tbl_requisitos_emb[Tema],MATCH(B284,tbl_requisitos_emb[ID_Req],0)),"")</f>
        <v>Materiais plásticos de acondicionamento primário</v>
      </c>
      <c r="D284" s="33" t="str">
        <f>IFERROR(INDEX(tbl_recyclass[Segmento],MATCH(A284,tbl_recyclass[ProductId],0)),"")</f>
        <v>Cosmética e higiene pessoal</v>
      </c>
      <c r="E284" s="26" t="s">
        <v>904</v>
      </c>
      <c r="F284" s="26" t="s">
        <v>1451</v>
      </c>
      <c r="G284" s="26" t="s">
        <v>1143</v>
      </c>
      <c r="H284" s="33" t="str">
        <f>IF(E284="Não","Não aplicável",IFERROR(IF(B284="EU-ENV-002",IF(INDEX(tbl_recyclass[Conforme_PPWR_2030],MATCH(A284,tbl_recyclass[ProductId],0))="Sim","Conforme (autoavaliação)",IF(INDEX(tbl_recyclass[Conforme_PPWR_2030],MATCH(A284,tbl_recyclass[ProductId],0))="Não","Não conforme em 2030","Isento até 2035")),IF(B284="EU-ENV-003",IF(INDEX(tbl_recyclass[Conforme_Art7_2030],MATCH(A284,tbl_recyclass[ProductId],0))="Sim","Conforme (meta 2030)",IF(INDEX(tbl_recyclass[Conforme_Art7_2030],MATCH(A284,tbl_recyclass[ProductId],0))="Não","Lacuna face à meta 2030","Isento")),IF(B284="EU-ENV-011",IF(INDEX(tbl_familias_ppwr[Metais_Pesados_Evidencia],MATCH(INDEX(tbl_recyclass[Familia_PPWR],MATCH(A284,tbl_recyclass[ProductId],0)),tbl_familias_ppwr[ID_Familia],0))="Em falta","Lacuna","Conforme"),IF(B284="EU-ENV-013",IF(INDEX(tbl_familias_ppwr[Declaracao_UE],MATCH(INDEX(tbl_recyclass[Familia_PPWR],MATCH(A284,tbl_recyclass[ProductId],0)),tbl_familias_ppwr[ID_Familia],0))="Sim","Conforme","Lacuna"),G284)))),G284))</f>
        <v>Não aplicável</v>
      </c>
      <c r="I284" s="33" t="str">
        <f t="shared" si="4"/>
        <v>Não aplicável</v>
      </c>
      <c r="J284" s="26"/>
    </row>
    <row r="285" spans="1:10" ht="16.05" customHeight="1" x14ac:dyDescent="0.3">
      <c r="A285" s="26" t="s">
        <v>635</v>
      </c>
      <c r="B285" s="26" t="s">
        <v>1293</v>
      </c>
      <c r="C285" s="33" t="str">
        <f>IFERROR(INDEX(tbl_requisitos_emb[Tema],MATCH(B285,tbl_requisitos_emb[ID_Req],0)),"")</f>
        <v>Isenções PPWR</v>
      </c>
      <c r="D285" s="33" t="str">
        <f>IFERROR(INDEX(tbl_recyclass[Segmento],MATCH(A285,tbl_recyclass[ProductId],0)),"")</f>
        <v>Cosmética e higiene pessoal</v>
      </c>
      <c r="E285" s="26" t="s">
        <v>904</v>
      </c>
      <c r="F285" s="26" t="s">
        <v>1451</v>
      </c>
      <c r="G285" s="26" t="s">
        <v>1143</v>
      </c>
      <c r="H285" s="33" t="str">
        <f>IF(E285="Não","Não aplicável",IFERROR(IF(B285="EU-ENV-002",IF(INDEX(tbl_recyclass[Conforme_PPWR_2030],MATCH(A285,tbl_recyclass[ProductId],0))="Sim","Conforme (autoavaliação)",IF(INDEX(tbl_recyclass[Conforme_PPWR_2030],MATCH(A285,tbl_recyclass[ProductId],0))="Não","Não conforme em 2030","Isento até 2035")),IF(B285="EU-ENV-003",IF(INDEX(tbl_recyclass[Conforme_Art7_2030],MATCH(A285,tbl_recyclass[ProductId],0))="Sim","Conforme (meta 2030)",IF(INDEX(tbl_recyclass[Conforme_Art7_2030],MATCH(A285,tbl_recyclass[ProductId],0))="Não","Lacuna face à meta 2030","Isento")),IF(B285="EU-ENV-011",IF(INDEX(tbl_familias_ppwr[Metais_Pesados_Evidencia],MATCH(INDEX(tbl_recyclass[Familia_PPWR],MATCH(A285,tbl_recyclass[ProductId],0)),tbl_familias_ppwr[ID_Familia],0))="Em falta","Lacuna","Conforme"),IF(B285="EU-ENV-013",IF(INDEX(tbl_familias_ppwr[Declaracao_UE],MATCH(INDEX(tbl_recyclass[Familia_PPWR],MATCH(A285,tbl_recyclass[ProductId],0)),tbl_familias_ppwr[ID_Familia],0))="Sim","Conforme","Lacuna"),G285)))),G285))</f>
        <v>Não aplicável</v>
      </c>
      <c r="I285" s="33" t="str">
        <f t="shared" si="4"/>
        <v>Não aplicável</v>
      </c>
      <c r="J285" s="26"/>
    </row>
    <row r="286" spans="1:10" ht="16.05" customHeight="1" x14ac:dyDescent="0.3">
      <c r="A286" s="26" t="s">
        <v>635</v>
      </c>
      <c r="B286" s="26" t="s">
        <v>1357</v>
      </c>
      <c r="C286" s="33" t="str">
        <f>IFERROR(INDEX(tbl_requisitos_emb[Tema],MATCH(B286,tbl_requisitos_emb[ID_Req],0)),"")</f>
        <v>Identificação de plásticos</v>
      </c>
      <c r="D286" s="33" t="str">
        <f>IFERROR(INDEX(tbl_recyclass[Segmento],MATCH(A286,tbl_recyclass[ProductId],0)),"")</f>
        <v>Cosmética e higiene pessoal</v>
      </c>
      <c r="E286" s="26" t="s">
        <v>901</v>
      </c>
      <c r="F286" s="26" t="s">
        <v>1449</v>
      </c>
      <c r="G286" s="26" t="s">
        <v>978</v>
      </c>
      <c r="H286" s="33" t="str">
        <f>IF(E286="Não","Não aplicável",IFERROR(IF(B286="EU-ENV-002",IF(INDEX(tbl_recyclass[Conforme_PPWR_2030],MATCH(A286,tbl_recyclass[ProductId],0))="Sim","Conforme (autoavaliação)",IF(INDEX(tbl_recyclass[Conforme_PPWR_2030],MATCH(A286,tbl_recyclass[ProductId],0))="Não","Não conforme em 2030","Isento até 2035")),IF(B286="EU-ENV-003",IF(INDEX(tbl_recyclass[Conforme_Art7_2030],MATCH(A286,tbl_recyclass[ProductId],0))="Sim","Conforme (meta 2030)",IF(INDEX(tbl_recyclass[Conforme_Art7_2030],MATCH(A286,tbl_recyclass[ProductId],0))="Não","Lacuna face à meta 2030","Isento")),IF(B286="EU-ENV-011",IF(INDEX(tbl_familias_ppwr[Metais_Pesados_Evidencia],MATCH(INDEX(tbl_recyclass[Familia_PPWR],MATCH(A286,tbl_recyclass[ProductId],0)),tbl_familias_ppwr[ID_Familia],0))="Em falta","Lacuna","Conforme"),IF(B286="EU-ENV-013",IF(INDEX(tbl_familias_ppwr[Declaracao_UE],MATCH(INDEX(tbl_recyclass[Familia_PPWR],MATCH(A286,tbl_recyclass[ProductId],0)),tbl_familias_ppwr[ID_Familia],0))="Sim","Conforme","Lacuna"),G286)))),G286))</f>
        <v>Parcial</v>
      </c>
      <c r="I286" s="33" t="str">
        <f t="shared" si="4"/>
        <v>Parcial</v>
      </c>
      <c r="J286" s="26" t="s">
        <v>1362</v>
      </c>
    </row>
    <row r="287" spans="1:10" ht="16.05" customHeight="1" x14ac:dyDescent="0.3">
      <c r="A287" s="26" t="s">
        <v>635</v>
      </c>
      <c r="B287" s="26" t="s">
        <v>1385</v>
      </c>
      <c r="C287" s="33" t="str">
        <f>IFERROR(INDEX(tbl_requisitos_emb[Tema],MATCH(B287,tbl_requisitos_emb[ID_Req],0)),"")</f>
        <v>Reciclabilidade (voluntária)</v>
      </c>
      <c r="D287" s="33" t="str">
        <f>IFERROR(INDEX(tbl_recyclass[Segmento],MATCH(A287,tbl_recyclass[ProductId],0)),"")</f>
        <v>Cosmética e higiene pessoal</v>
      </c>
      <c r="E287" s="26" t="s">
        <v>901</v>
      </c>
      <c r="F287" s="26" t="s">
        <v>1449</v>
      </c>
      <c r="G287" s="26" t="s">
        <v>978</v>
      </c>
      <c r="H287" s="33" t="str">
        <f>IF(E287="Não","Não aplicável",IFERROR(IF(B287="EU-ENV-002",IF(INDEX(tbl_recyclass[Conforme_PPWR_2030],MATCH(A287,tbl_recyclass[ProductId],0))="Sim","Conforme (autoavaliação)",IF(INDEX(tbl_recyclass[Conforme_PPWR_2030],MATCH(A287,tbl_recyclass[ProductId],0))="Não","Não conforme em 2030","Isento até 2035")),IF(B287="EU-ENV-003",IF(INDEX(tbl_recyclass[Conforme_Art7_2030],MATCH(A287,tbl_recyclass[ProductId],0))="Sim","Conforme (meta 2030)",IF(INDEX(tbl_recyclass[Conforme_Art7_2030],MATCH(A287,tbl_recyclass[ProductId],0))="Não","Lacuna face à meta 2030","Isento")),IF(B287="EU-ENV-011",IF(INDEX(tbl_familias_ppwr[Metais_Pesados_Evidencia],MATCH(INDEX(tbl_recyclass[Familia_PPWR],MATCH(A287,tbl_recyclass[ProductId],0)),tbl_familias_ppwr[ID_Familia],0))="Em falta","Lacuna","Conforme"),IF(B287="EU-ENV-013",IF(INDEX(tbl_familias_ppwr[Declaracao_UE],MATCH(INDEX(tbl_recyclass[Familia_PPWR],MATCH(A287,tbl_recyclass[ProductId],0)),tbl_familias_ppwr[ID_Familia],0))="Sim","Conforme","Lacuna"),G287)))),G287))</f>
        <v>Parcial</v>
      </c>
      <c r="I287" s="33" t="str">
        <f t="shared" si="4"/>
        <v>Parcial</v>
      </c>
      <c r="J287" s="26" t="s">
        <v>1389</v>
      </c>
    </row>
    <row r="288" spans="1:10" ht="16.05" customHeight="1" x14ac:dyDescent="0.3">
      <c r="A288" s="26" t="s">
        <v>640</v>
      </c>
      <c r="B288" s="26" t="s">
        <v>984</v>
      </c>
      <c r="C288" s="33" t="str">
        <f>IFERROR(INDEX(tbl_requisitos_emb[Tema],MATCH(B288,tbl_requisitos_emb[ID_Req],0)),"")</f>
        <v>Conceção para reciclagem</v>
      </c>
      <c r="D288" s="33" t="str">
        <f>IFERROR(INDEX(tbl_recyclass[Segmento],MATCH(A288,tbl_recyclass[ProductId],0)),"")</f>
        <v>Cosmética e higiene pessoal</v>
      </c>
      <c r="E288" s="26" t="s">
        <v>901</v>
      </c>
      <c r="F288" s="26" t="s">
        <v>1449</v>
      </c>
      <c r="G288" s="26" t="s">
        <v>978</v>
      </c>
      <c r="H288" s="33" t="str">
        <f>IF(E288="Não","Não aplicável",IFERROR(IF(B288="EU-ENV-002",IF(INDEX(tbl_recyclass[Conforme_PPWR_2030],MATCH(A288,tbl_recyclass[ProductId],0))="Sim","Conforme (autoavaliação)",IF(INDEX(tbl_recyclass[Conforme_PPWR_2030],MATCH(A288,tbl_recyclass[ProductId],0))="Não","Não conforme em 2030","Isento até 2035")),IF(B288="EU-ENV-003",IF(INDEX(tbl_recyclass[Conforme_Art7_2030],MATCH(A288,tbl_recyclass[ProductId],0))="Sim","Conforme (meta 2030)",IF(INDEX(tbl_recyclass[Conforme_Art7_2030],MATCH(A288,tbl_recyclass[ProductId],0))="Não","Lacuna face à meta 2030","Isento")),IF(B288="EU-ENV-011",IF(INDEX(tbl_familias_ppwr[Metais_Pesados_Evidencia],MATCH(INDEX(tbl_recyclass[Familia_PPWR],MATCH(A288,tbl_recyclass[ProductId],0)),tbl_familias_ppwr[ID_Familia],0))="Em falta","Lacuna","Conforme"),IF(B288="EU-ENV-013",IF(INDEX(tbl_familias_ppwr[Declaracao_UE],MATCH(INDEX(tbl_recyclass[Familia_PPWR],MATCH(A288,tbl_recyclass[ProductId],0)),tbl_familias_ppwr[ID_Familia],0))="Sim","Conforme","Lacuna"),G288)))),G288))</f>
        <v>Conforme (autoavaliação)</v>
      </c>
      <c r="I288" s="33" t="str">
        <f t="shared" si="4"/>
        <v>Conforme</v>
      </c>
      <c r="J288" s="26" t="s">
        <v>991</v>
      </c>
    </row>
    <row r="289" spans="1:10" ht="16.05" customHeight="1" x14ac:dyDescent="0.3">
      <c r="A289" s="26" t="s">
        <v>640</v>
      </c>
      <c r="B289" s="26" t="s">
        <v>997</v>
      </c>
      <c r="C289" s="33" t="str">
        <f>IFERROR(INDEX(tbl_requisitos_emb[Tema],MATCH(B289,tbl_requisitos_emb[ID_Req],0)),"")</f>
        <v>Conteúdo reciclado</v>
      </c>
      <c r="D289" s="33" t="str">
        <f>IFERROR(INDEX(tbl_recyclass[Segmento],MATCH(A289,tbl_recyclass[ProductId],0)),"")</f>
        <v>Cosmética e higiene pessoal</v>
      </c>
      <c r="E289" s="26" t="s">
        <v>901</v>
      </c>
      <c r="F289" s="26" t="s">
        <v>1449</v>
      </c>
      <c r="G289" s="26" t="s">
        <v>978</v>
      </c>
      <c r="H289" s="33" t="str">
        <f>IF(E289="Não","Não aplicável",IFERROR(IF(B289="EU-ENV-002",IF(INDEX(tbl_recyclass[Conforme_PPWR_2030],MATCH(A289,tbl_recyclass[ProductId],0))="Sim","Conforme (autoavaliação)",IF(INDEX(tbl_recyclass[Conforme_PPWR_2030],MATCH(A289,tbl_recyclass[ProductId],0))="Não","Não conforme em 2030","Isento até 2035")),IF(B289="EU-ENV-003",IF(INDEX(tbl_recyclass[Conforme_Art7_2030],MATCH(A289,tbl_recyclass[ProductId],0))="Sim","Conforme (meta 2030)",IF(INDEX(tbl_recyclass[Conforme_Art7_2030],MATCH(A289,tbl_recyclass[ProductId],0))="Não","Lacuna face à meta 2030","Isento")),IF(B289="EU-ENV-011",IF(INDEX(tbl_familias_ppwr[Metais_Pesados_Evidencia],MATCH(INDEX(tbl_recyclass[Familia_PPWR],MATCH(A289,tbl_recyclass[ProductId],0)),tbl_familias_ppwr[ID_Familia],0))="Em falta","Lacuna","Conforme"),IF(B289="EU-ENV-013",IF(INDEX(tbl_familias_ppwr[Declaracao_UE],MATCH(INDEX(tbl_recyclass[Familia_PPWR],MATCH(A289,tbl_recyclass[ProductId],0)),tbl_familias_ppwr[ID_Familia],0))="Sim","Conforme","Lacuna"),G289)))),G289))</f>
        <v>Lacuna face à meta 2030</v>
      </c>
      <c r="I289" s="33" t="str">
        <f t="shared" si="4"/>
        <v>Lacuna</v>
      </c>
      <c r="J289" s="26" t="s">
        <v>1001</v>
      </c>
    </row>
    <row r="290" spans="1:10" ht="16.05" customHeight="1" x14ac:dyDescent="0.3">
      <c r="A290" s="26" t="s">
        <v>640</v>
      </c>
      <c r="B290" s="26" t="s">
        <v>1007</v>
      </c>
      <c r="C290" s="33" t="str">
        <f>IFERROR(INDEX(tbl_requisitos_emb[Tema],MATCH(B290,tbl_requisitos_emb[ID_Req],0)),"")</f>
        <v>Minimização</v>
      </c>
      <c r="D290" s="33" t="str">
        <f>IFERROR(INDEX(tbl_recyclass[Segmento],MATCH(A290,tbl_recyclass[ProductId],0)),"")</f>
        <v>Cosmética e higiene pessoal</v>
      </c>
      <c r="E290" s="26" t="s">
        <v>901</v>
      </c>
      <c r="F290" s="26" t="s">
        <v>1449</v>
      </c>
      <c r="G290" s="26" t="s">
        <v>978</v>
      </c>
      <c r="H290" s="33" t="str">
        <f>IF(E290="Não","Não aplicável",IFERROR(IF(B290="EU-ENV-002",IF(INDEX(tbl_recyclass[Conforme_PPWR_2030],MATCH(A290,tbl_recyclass[ProductId],0))="Sim","Conforme (autoavaliação)",IF(INDEX(tbl_recyclass[Conforme_PPWR_2030],MATCH(A290,tbl_recyclass[ProductId],0))="Não","Não conforme em 2030","Isento até 2035")),IF(B290="EU-ENV-003",IF(INDEX(tbl_recyclass[Conforme_Art7_2030],MATCH(A290,tbl_recyclass[ProductId],0))="Sim","Conforme (meta 2030)",IF(INDEX(tbl_recyclass[Conforme_Art7_2030],MATCH(A290,tbl_recyclass[ProductId],0))="Não","Lacuna face à meta 2030","Isento")),IF(B290="EU-ENV-011",IF(INDEX(tbl_familias_ppwr[Metais_Pesados_Evidencia],MATCH(INDEX(tbl_recyclass[Familia_PPWR],MATCH(A290,tbl_recyclass[ProductId],0)),tbl_familias_ppwr[ID_Familia],0))="Em falta","Lacuna","Conforme"),IF(B290="EU-ENV-013",IF(INDEX(tbl_familias_ppwr[Declaracao_UE],MATCH(INDEX(tbl_recyclass[Familia_PPWR],MATCH(A290,tbl_recyclass[ProductId],0)),tbl_familias_ppwr[ID_Familia],0))="Sim","Conforme","Lacuna"),G290)))),G290))</f>
        <v>Parcial</v>
      </c>
      <c r="I290" s="33" t="str">
        <f t="shared" si="4"/>
        <v>Parcial</v>
      </c>
      <c r="J290" s="26" t="s">
        <v>1012</v>
      </c>
    </row>
    <row r="291" spans="1:10" ht="16.05" customHeight="1" x14ac:dyDescent="0.3">
      <c r="A291" s="26" t="s">
        <v>640</v>
      </c>
      <c r="B291" s="26" t="s">
        <v>1016</v>
      </c>
      <c r="C291" s="33" t="str">
        <f>IFERROR(INDEX(tbl_requisitos_emb[Tema],MATCH(B291,tbl_requisitos_emb[ID_Req],0)),"")</f>
        <v>Rotulagem</v>
      </c>
      <c r="D291" s="33" t="str">
        <f>IFERROR(INDEX(tbl_recyclass[Segmento],MATCH(A291,tbl_recyclass[ProductId],0)),"")</f>
        <v>Cosmética e higiene pessoal</v>
      </c>
      <c r="E291" s="26" t="s">
        <v>901</v>
      </c>
      <c r="F291" s="26" t="s">
        <v>1449</v>
      </c>
      <c r="G291" s="26" t="s">
        <v>990</v>
      </c>
      <c r="H291" s="33" t="str">
        <f>IF(E291="Não","Não aplicável",IFERROR(IF(B291="EU-ENV-002",IF(INDEX(tbl_recyclass[Conforme_PPWR_2030],MATCH(A291,tbl_recyclass[ProductId],0))="Sim","Conforme (autoavaliação)",IF(INDEX(tbl_recyclass[Conforme_PPWR_2030],MATCH(A291,tbl_recyclass[ProductId],0))="Não","Não conforme em 2030","Isento até 2035")),IF(B291="EU-ENV-003",IF(INDEX(tbl_recyclass[Conforme_Art7_2030],MATCH(A291,tbl_recyclass[ProductId],0))="Sim","Conforme (meta 2030)",IF(INDEX(tbl_recyclass[Conforme_Art7_2030],MATCH(A291,tbl_recyclass[ProductId],0))="Não","Lacuna face à meta 2030","Isento")),IF(B291="EU-ENV-011",IF(INDEX(tbl_familias_ppwr[Metais_Pesados_Evidencia],MATCH(INDEX(tbl_recyclass[Familia_PPWR],MATCH(A291,tbl_recyclass[ProductId],0)),tbl_familias_ppwr[ID_Familia],0))="Em falta","Lacuna","Conforme"),IF(B291="EU-ENV-013",IF(INDEX(tbl_familias_ppwr[Declaracao_UE],MATCH(INDEX(tbl_recyclass[Familia_PPWR],MATCH(A291,tbl_recyclass[ProductId],0)),tbl_familias_ppwr[ID_Familia],0))="Sim","Conforme","Lacuna"),G291)))),G291))</f>
        <v>Futuro</v>
      </c>
      <c r="I291" s="33" t="str">
        <f t="shared" si="4"/>
        <v>Futuro</v>
      </c>
      <c r="J291" s="26" t="s">
        <v>1021</v>
      </c>
    </row>
    <row r="292" spans="1:10" ht="16.05" customHeight="1" x14ac:dyDescent="0.3">
      <c r="A292" s="26" t="s">
        <v>640</v>
      </c>
      <c r="B292" s="26" t="s">
        <v>1038</v>
      </c>
      <c r="C292" s="33" t="str">
        <f>IFERROR(INDEX(tbl_requisitos_emb[Tema],MATCH(B292,tbl_requisitos_emb[ID_Req],0)),"")</f>
        <v>Plásticos de utilização única</v>
      </c>
      <c r="D292" s="33" t="str">
        <f>IFERROR(INDEX(tbl_recyclass[Segmento],MATCH(A292,tbl_recyclass[ProductId],0)),"")</f>
        <v>Cosmética e higiene pessoal</v>
      </c>
      <c r="E292" s="26" t="s">
        <v>904</v>
      </c>
      <c r="F292" s="26" t="s">
        <v>1450</v>
      </c>
      <c r="G292" s="26" t="s">
        <v>1143</v>
      </c>
      <c r="H292" s="33" t="str">
        <f>IF(E292="Não","Não aplicável",IFERROR(IF(B292="EU-ENV-002",IF(INDEX(tbl_recyclass[Conforme_PPWR_2030],MATCH(A292,tbl_recyclass[ProductId],0))="Sim","Conforme (autoavaliação)",IF(INDEX(tbl_recyclass[Conforme_PPWR_2030],MATCH(A292,tbl_recyclass[ProductId],0))="Não","Não conforme em 2030","Isento até 2035")),IF(B292="EU-ENV-003",IF(INDEX(tbl_recyclass[Conforme_Art7_2030],MATCH(A292,tbl_recyclass[ProductId],0))="Sim","Conforme (meta 2030)",IF(INDEX(tbl_recyclass[Conforme_Art7_2030],MATCH(A292,tbl_recyclass[ProductId],0))="Não","Lacuna face à meta 2030","Isento")),IF(B292="EU-ENV-011",IF(INDEX(tbl_familias_ppwr[Metais_Pesados_Evidencia],MATCH(INDEX(tbl_recyclass[Familia_PPWR],MATCH(A292,tbl_recyclass[ProductId],0)),tbl_familias_ppwr[ID_Familia],0))="Em falta","Lacuna","Conforme"),IF(B292="EU-ENV-013",IF(INDEX(tbl_familias_ppwr[Declaracao_UE],MATCH(INDEX(tbl_recyclass[Familia_PPWR],MATCH(A292,tbl_recyclass[ProductId],0)),tbl_familias_ppwr[ID_Familia],0))="Sim","Conforme","Lacuna"),G292)))),G292))</f>
        <v>Não aplicável</v>
      </c>
      <c r="I292" s="33" t="str">
        <f t="shared" si="4"/>
        <v>Não aplicável</v>
      </c>
      <c r="J292" s="26"/>
    </row>
    <row r="293" spans="1:10" ht="16.05" customHeight="1" x14ac:dyDescent="0.3">
      <c r="A293" s="26" t="s">
        <v>640</v>
      </c>
      <c r="B293" s="26" t="s">
        <v>1078</v>
      </c>
      <c r="C293" s="33" t="str">
        <f>IFERROR(INDEX(tbl_requisitos_emb[Tema],MATCH(B293,tbl_requisitos_emb[ID_Req],0)),"")</f>
        <v>Reciclado à escala</v>
      </c>
      <c r="D293" s="33" t="str">
        <f>IFERROR(INDEX(tbl_recyclass[Segmento],MATCH(A293,tbl_recyclass[ProductId],0)),"")</f>
        <v>Cosmética e higiene pessoal</v>
      </c>
      <c r="E293" s="26" t="s">
        <v>901</v>
      </c>
      <c r="F293" s="26" t="s">
        <v>1449</v>
      </c>
      <c r="G293" s="26" t="s">
        <v>990</v>
      </c>
      <c r="H293" s="33" t="str">
        <f>IF(E293="Não","Não aplicável",IFERROR(IF(B293="EU-ENV-002",IF(INDEX(tbl_recyclass[Conforme_PPWR_2030],MATCH(A293,tbl_recyclass[ProductId],0))="Sim","Conforme (autoavaliação)",IF(INDEX(tbl_recyclass[Conforme_PPWR_2030],MATCH(A293,tbl_recyclass[ProductId],0))="Não","Não conforme em 2030","Isento até 2035")),IF(B293="EU-ENV-003",IF(INDEX(tbl_recyclass[Conforme_Art7_2030],MATCH(A293,tbl_recyclass[ProductId],0))="Sim","Conforme (meta 2030)",IF(INDEX(tbl_recyclass[Conforme_Art7_2030],MATCH(A293,tbl_recyclass[ProductId],0))="Não","Lacuna face à meta 2030","Isento")),IF(B293="EU-ENV-011",IF(INDEX(tbl_familias_ppwr[Metais_Pesados_Evidencia],MATCH(INDEX(tbl_recyclass[Familia_PPWR],MATCH(A293,tbl_recyclass[ProductId],0)),tbl_familias_ppwr[ID_Familia],0))="Em falta","Lacuna","Conforme"),IF(B293="EU-ENV-013",IF(INDEX(tbl_familias_ppwr[Declaracao_UE],MATCH(INDEX(tbl_recyclass[Familia_PPWR],MATCH(A293,tbl_recyclass[ProductId],0)),tbl_familias_ppwr[ID_Familia],0))="Sim","Conforme","Lacuna"),G293)))),G293))</f>
        <v>Futuro</v>
      </c>
      <c r="I293" s="33" t="str">
        <f t="shared" si="4"/>
        <v>Futuro</v>
      </c>
      <c r="J293" s="26" t="s">
        <v>1082</v>
      </c>
    </row>
    <row r="294" spans="1:10" ht="16.05" customHeight="1" x14ac:dyDescent="0.3">
      <c r="A294" s="26" t="s">
        <v>640</v>
      </c>
      <c r="B294" s="26" t="s">
        <v>1086</v>
      </c>
      <c r="C294" s="33" t="str">
        <f>IFERROR(INDEX(tbl_requisitos_emb[Tema],MATCH(B294,tbl_requisitos_emb[ID_Req],0)),"")</f>
        <v>Metais pesados</v>
      </c>
      <c r="D294" s="33" t="str">
        <f>IFERROR(INDEX(tbl_recyclass[Segmento],MATCH(A294,tbl_recyclass[ProductId],0)),"")</f>
        <v>Cosmética e higiene pessoal</v>
      </c>
      <c r="E294" s="26" t="s">
        <v>901</v>
      </c>
      <c r="F294" s="26" t="s">
        <v>1449</v>
      </c>
      <c r="G294" s="26" t="s">
        <v>978</v>
      </c>
      <c r="H294" s="33" t="str">
        <f>IF(E294="Não","Não aplicável",IFERROR(IF(B294="EU-ENV-002",IF(INDEX(tbl_recyclass[Conforme_PPWR_2030],MATCH(A294,tbl_recyclass[ProductId],0))="Sim","Conforme (autoavaliação)",IF(INDEX(tbl_recyclass[Conforme_PPWR_2030],MATCH(A294,tbl_recyclass[ProductId],0))="Não","Não conforme em 2030","Isento até 2035")),IF(B294="EU-ENV-003",IF(INDEX(tbl_recyclass[Conforme_Art7_2030],MATCH(A294,tbl_recyclass[ProductId],0))="Sim","Conforme (meta 2030)",IF(INDEX(tbl_recyclass[Conforme_Art7_2030],MATCH(A294,tbl_recyclass[ProductId],0))="Não","Lacuna face à meta 2030","Isento")),IF(B294="EU-ENV-011",IF(INDEX(tbl_familias_ppwr[Metais_Pesados_Evidencia],MATCH(INDEX(tbl_recyclass[Familia_PPWR],MATCH(A294,tbl_recyclass[ProductId],0)),tbl_familias_ppwr[ID_Familia],0))="Em falta","Lacuna","Conforme"),IF(B294="EU-ENV-013",IF(INDEX(tbl_familias_ppwr[Declaracao_UE],MATCH(INDEX(tbl_recyclass[Familia_PPWR],MATCH(A294,tbl_recyclass[ProductId],0)),tbl_familias_ppwr[ID_Familia],0))="Sim","Conforme","Lacuna"),G294)))),G294))</f>
        <v>Conforme</v>
      </c>
      <c r="I294" s="33" t="str">
        <f t="shared" si="4"/>
        <v>Conforme</v>
      </c>
      <c r="J294" s="26" t="s">
        <v>1090</v>
      </c>
    </row>
    <row r="295" spans="1:10" ht="16.05" customHeight="1" x14ac:dyDescent="0.3">
      <c r="A295" s="26" t="s">
        <v>640</v>
      </c>
      <c r="B295" s="26" t="s">
        <v>1094</v>
      </c>
      <c r="C295" s="33" t="str">
        <f>IFERROR(INDEX(tbl_requisitos_emb[Tema],MATCH(B295,tbl_requisitos_emb[ID_Req],0)),"")</f>
        <v>PFAS</v>
      </c>
      <c r="D295" s="33" t="str">
        <f>IFERROR(INDEX(tbl_recyclass[Segmento],MATCH(A295,tbl_recyclass[ProductId],0)),"")</f>
        <v>Cosmética e higiene pessoal</v>
      </c>
      <c r="E295" s="26" t="s">
        <v>904</v>
      </c>
      <c r="F295" s="26" t="s">
        <v>1450</v>
      </c>
      <c r="G295" s="26" t="s">
        <v>1143</v>
      </c>
      <c r="H295" s="33" t="str">
        <f>IF(E295="Não","Não aplicável",IFERROR(IF(B295="EU-ENV-002",IF(INDEX(tbl_recyclass[Conforme_PPWR_2030],MATCH(A295,tbl_recyclass[ProductId],0))="Sim","Conforme (autoavaliação)",IF(INDEX(tbl_recyclass[Conforme_PPWR_2030],MATCH(A295,tbl_recyclass[ProductId],0))="Não","Não conforme em 2030","Isento até 2035")),IF(B295="EU-ENV-003",IF(INDEX(tbl_recyclass[Conforme_Art7_2030],MATCH(A295,tbl_recyclass[ProductId],0))="Sim","Conforme (meta 2030)",IF(INDEX(tbl_recyclass[Conforme_Art7_2030],MATCH(A295,tbl_recyclass[ProductId],0))="Não","Lacuna face à meta 2030","Isento")),IF(B295="EU-ENV-011",IF(INDEX(tbl_familias_ppwr[Metais_Pesados_Evidencia],MATCH(INDEX(tbl_recyclass[Familia_PPWR],MATCH(A295,tbl_recyclass[ProductId],0)),tbl_familias_ppwr[ID_Familia],0))="Em falta","Lacuna","Conforme"),IF(B295="EU-ENV-013",IF(INDEX(tbl_familias_ppwr[Declaracao_UE],MATCH(INDEX(tbl_recyclass[Familia_PPWR],MATCH(A295,tbl_recyclass[ProductId],0)),tbl_familias_ppwr[ID_Familia],0))="Sim","Conforme","Lacuna"),G295)))),G295))</f>
        <v>Não aplicável</v>
      </c>
      <c r="I295" s="33" t="str">
        <f t="shared" si="4"/>
        <v>Não aplicável</v>
      </c>
      <c r="J295" s="26"/>
    </row>
    <row r="296" spans="1:10" ht="16.05" customHeight="1" x14ac:dyDescent="0.3">
      <c r="A296" s="26" t="s">
        <v>640</v>
      </c>
      <c r="B296" s="26" t="s">
        <v>1102</v>
      </c>
      <c r="C296" s="33" t="str">
        <f>IFERROR(INDEX(tbl_requisitos_emb[Tema],MATCH(B296,tbl_requisitos_emb[ID_Req],0)),"")</f>
        <v>Documentação técnica e declaração UE</v>
      </c>
      <c r="D296" s="33" t="str">
        <f>IFERROR(INDEX(tbl_recyclass[Segmento],MATCH(A296,tbl_recyclass[ProductId],0)),"")</f>
        <v>Cosmética e higiene pessoal</v>
      </c>
      <c r="E296" s="26" t="s">
        <v>901</v>
      </c>
      <c r="F296" s="26" t="s">
        <v>1449</v>
      </c>
      <c r="G296" s="26" t="s">
        <v>978</v>
      </c>
      <c r="H296" s="33" t="str">
        <f>IF(E296="Não","Não aplicável",IFERROR(IF(B296="EU-ENV-002",IF(INDEX(tbl_recyclass[Conforme_PPWR_2030],MATCH(A296,tbl_recyclass[ProductId],0))="Sim","Conforme (autoavaliação)",IF(INDEX(tbl_recyclass[Conforme_PPWR_2030],MATCH(A296,tbl_recyclass[ProductId],0))="Não","Não conforme em 2030","Isento até 2035")),IF(B296="EU-ENV-003",IF(INDEX(tbl_recyclass[Conforme_Art7_2030],MATCH(A296,tbl_recyclass[ProductId],0))="Sim","Conforme (meta 2030)",IF(INDEX(tbl_recyclass[Conforme_Art7_2030],MATCH(A296,tbl_recyclass[ProductId],0))="Não","Lacuna face à meta 2030","Isento")),IF(B296="EU-ENV-011",IF(INDEX(tbl_familias_ppwr[Metais_Pesados_Evidencia],MATCH(INDEX(tbl_recyclass[Familia_PPWR],MATCH(A296,tbl_recyclass[ProductId],0)),tbl_familias_ppwr[ID_Familia],0))="Em falta","Lacuna","Conforme"),IF(B296="EU-ENV-013",IF(INDEX(tbl_familias_ppwr[Declaracao_UE],MATCH(INDEX(tbl_recyclass[Familia_PPWR],MATCH(A296,tbl_recyclass[ProductId],0)),tbl_familias_ppwr[ID_Familia],0))="Sim","Conforme","Lacuna"),G296)))),G296))</f>
        <v>Conforme</v>
      </c>
      <c r="I296" s="33" t="str">
        <f t="shared" si="4"/>
        <v>Conforme</v>
      </c>
      <c r="J296" s="26" t="s">
        <v>1106</v>
      </c>
    </row>
    <row r="297" spans="1:10" ht="16.05" customHeight="1" x14ac:dyDescent="0.3">
      <c r="A297" s="26" t="s">
        <v>640</v>
      </c>
      <c r="B297" s="26" t="s">
        <v>1161</v>
      </c>
      <c r="C297" s="33" t="str">
        <f>IFERROR(INDEX(tbl_requisitos_emb[Tema],MATCH(B297,tbl_requisitos_emb[ID_Req],0)),"")</f>
        <v>Materiais em contacto com alimentos</v>
      </c>
      <c r="D297" s="33" t="str">
        <f>IFERROR(INDEX(tbl_recyclass[Segmento],MATCH(A297,tbl_recyclass[ProductId],0)),"")</f>
        <v>Cosmética e higiene pessoal</v>
      </c>
      <c r="E297" s="26" t="s">
        <v>904</v>
      </c>
      <c r="F297" s="26" t="s">
        <v>1450</v>
      </c>
      <c r="G297" s="26" t="s">
        <v>1143</v>
      </c>
      <c r="H297" s="33" t="str">
        <f>IF(E297="Não","Não aplicável",IFERROR(IF(B297="EU-ENV-002",IF(INDEX(tbl_recyclass[Conforme_PPWR_2030],MATCH(A297,tbl_recyclass[ProductId],0))="Sim","Conforme (autoavaliação)",IF(INDEX(tbl_recyclass[Conforme_PPWR_2030],MATCH(A297,tbl_recyclass[ProductId],0))="Não","Não conforme em 2030","Isento até 2035")),IF(B297="EU-ENV-003",IF(INDEX(tbl_recyclass[Conforme_Art7_2030],MATCH(A297,tbl_recyclass[ProductId],0))="Sim","Conforme (meta 2030)",IF(INDEX(tbl_recyclass[Conforme_Art7_2030],MATCH(A297,tbl_recyclass[ProductId],0))="Não","Lacuna face à meta 2030","Isento")),IF(B297="EU-ENV-011",IF(INDEX(tbl_familias_ppwr[Metais_Pesados_Evidencia],MATCH(INDEX(tbl_recyclass[Familia_PPWR],MATCH(A297,tbl_recyclass[ProductId],0)),tbl_familias_ppwr[ID_Familia],0))="Em falta","Lacuna","Conforme"),IF(B297="EU-ENV-013",IF(INDEX(tbl_familias_ppwr[Declaracao_UE],MATCH(INDEX(tbl_recyclass[Familia_PPWR],MATCH(A297,tbl_recyclass[ProductId],0)),tbl_familias_ppwr[ID_Familia],0))="Sim","Conforme","Lacuna"),G297)))),G297))</f>
        <v>Não aplicável</v>
      </c>
      <c r="I297" s="33" t="str">
        <f t="shared" si="4"/>
        <v>Não aplicável</v>
      </c>
      <c r="J297" s="26"/>
    </row>
    <row r="298" spans="1:10" ht="16.05" customHeight="1" x14ac:dyDescent="0.3">
      <c r="A298" s="26" t="s">
        <v>640</v>
      </c>
      <c r="B298" s="26" t="s">
        <v>1170</v>
      </c>
      <c r="C298" s="33" t="str">
        <f>IFERROR(INDEX(tbl_requisitos_emb[Tema],MATCH(B298,tbl_requisitos_emb[ID_Req],0)),"")</f>
        <v>Boas práticas de fabrico FCM</v>
      </c>
      <c r="D298" s="33" t="str">
        <f>IFERROR(INDEX(tbl_recyclass[Segmento],MATCH(A298,tbl_recyclass[ProductId],0)),"")</f>
        <v>Cosmética e higiene pessoal</v>
      </c>
      <c r="E298" s="26" t="s">
        <v>904</v>
      </c>
      <c r="F298" s="26" t="s">
        <v>1450</v>
      </c>
      <c r="G298" s="26" t="s">
        <v>1143</v>
      </c>
      <c r="H298" s="33" t="str">
        <f>IF(E298="Não","Não aplicável",IFERROR(IF(B298="EU-ENV-002",IF(INDEX(tbl_recyclass[Conforme_PPWR_2030],MATCH(A298,tbl_recyclass[ProductId],0))="Sim","Conforme (autoavaliação)",IF(INDEX(tbl_recyclass[Conforme_PPWR_2030],MATCH(A298,tbl_recyclass[ProductId],0))="Não","Não conforme em 2030","Isento até 2035")),IF(B298="EU-ENV-003",IF(INDEX(tbl_recyclass[Conforme_Art7_2030],MATCH(A298,tbl_recyclass[ProductId],0))="Sim","Conforme (meta 2030)",IF(INDEX(tbl_recyclass[Conforme_Art7_2030],MATCH(A298,tbl_recyclass[ProductId],0))="Não","Lacuna face à meta 2030","Isento")),IF(B298="EU-ENV-011",IF(INDEX(tbl_familias_ppwr[Metais_Pesados_Evidencia],MATCH(INDEX(tbl_recyclass[Familia_PPWR],MATCH(A298,tbl_recyclass[ProductId],0)),tbl_familias_ppwr[ID_Familia],0))="Em falta","Lacuna","Conforme"),IF(B298="EU-ENV-013",IF(INDEX(tbl_familias_ppwr[Declaracao_UE],MATCH(INDEX(tbl_recyclass[Familia_PPWR],MATCH(A298,tbl_recyclass[ProductId],0)),tbl_familias_ppwr[ID_Familia],0))="Sim","Conforme","Lacuna"),G298)))),G298))</f>
        <v>Não aplicável</v>
      </c>
      <c r="I298" s="33" t="str">
        <f t="shared" si="4"/>
        <v>Não aplicável</v>
      </c>
      <c r="J298" s="26"/>
    </row>
    <row r="299" spans="1:10" ht="16.05" customHeight="1" x14ac:dyDescent="0.3">
      <c r="A299" s="26" t="s">
        <v>640</v>
      </c>
      <c r="B299" s="26" t="s">
        <v>1179</v>
      </c>
      <c r="C299" s="33" t="str">
        <f>IFERROR(INDEX(tbl_requisitos_emb[Tema],MATCH(B299,tbl_requisitos_emb[ID_Req],0)),"")</f>
        <v>Bisfenol A e bisfenóis perigosos</v>
      </c>
      <c r="D299" s="33" t="str">
        <f>IFERROR(INDEX(tbl_recyclass[Segmento],MATCH(A299,tbl_recyclass[ProductId],0)),"")</f>
        <v>Cosmética e higiene pessoal</v>
      </c>
      <c r="E299" s="26" t="s">
        <v>904</v>
      </c>
      <c r="F299" s="26" t="s">
        <v>1450</v>
      </c>
      <c r="G299" s="26" t="s">
        <v>1143</v>
      </c>
      <c r="H299" s="33" t="str">
        <f>IF(E299="Não","Não aplicável",IFERROR(IF(B299="EU-ENV-002",IF(INDEX(tbl_recyclass[Conforme_PPWR_2030],MATCH(A299,tbl_recyclass[ProductId],0))="Sim","Conforme (autoavaliação)",IF(INDEX(tbl_recyclass[Conforme_PPWR_2030],MATCH(A299,tbl_recyclass[ProductId],0))="Não","Não conforme em 2030","Isento até 2035")),IF(B299="EU-ENV-003",IF(INDEX(tbl_recyclass[Conforme_Art7_2030],MATCH(A299,tbl_recyclass[ProductId],0))="Sim","Conforme (meta 2030)",IF(INDEX(tbl_recyclass[Conforme_Art7_2030],MATCH(A299,tbl_recyclass[ProductId],0))="Não","Lacuna face à meta 2030","Isento")),IF(B299="EU-ENV-011",IF(INDEX(tbl_familias_ppwr[Metais_Pesados_Evidencia],MATCH(INDEX(tbl_recyclass[Familia_PPWR],MATCH(A299,tbl_recyclass[ProductId],0)),tbl_familias_ppwr[ID_Familia],0))="Em falta","Lacuna","Conforme"),IF(B299="EU-ENV-013",IF(INDEX(tbl_familias_ppwr[Declaracao_UE],MATCH(INDEX(tbl_recyclass[Familia_PPWR],MATCH(A299,tbl_recyclass[ProductId],0)),tbl_familias_ppwr[ID_Familia],0))="Sim","Conforme","Lacuna"),G299)))),G299))</f>
        <v>Não aplicável</v>
      </c>
      <c r="I299" s="33" t="str">
        <f t="shared" si="4"/>
        <v>Não aplicável</v>
      </c>
      <c r="J299" s="26"/>
    </row>
    <row r="300" spans="1:10" ht="16.05" customHeight="1" x14ac:dyDescent="0.3">
      <c r="A300" s="26" t="s">
        <v>640</v>
      </c>
      <c r="B300" s="26" t="s">
        <v>1188</v>
      </c>
      <c r="C300" s="33" t="str">
        <f>IFERROR(INDEX(tbl_requisitos_emb[Tema],MATCH(B300,tbl_requisitos_emb[ID_Req],0)),"")</f>
        <v>Plásticos em contacto com alimentos</v>
      </c>
      <c r="D300" s="33" t="str">
        <f>IFERROR(INDEX(tbl_recyclass[Segmento],MATCH(A300,tbl_recyclass[ProductId],0)),"")</f>
        <v>Cosmética e higiene pessoal</v>
      </c>
      <c r="E300" s="26" t="s">
        <v>904</v>
      </c>
      <c r="F300" s="26" t="s">
        <v>1450</v>
      </c>
      <c r="G300" s="26" t="s">
        <v>1143</v>
      </c>
      <c r="H300" s="33" t="str">
        <f>IF(E300="Não","Não aplicável",IFERROR(IF(B300="EU-ENV-002",IF(INDEX(tbl_recyclass[Conforme_PPWR_2030],MATCH(A300,tbl_recyclass[ProductId],0))="Sim","Conforme (autoavaliação)",IF(INDEX(tbl_recyclass[Conforme_PPWR_2030],MATCH(A300,tbl_recyclass[ProductId],0))="Não","Não conforme em 2030","Isento até 2035")),IF(B300="EU-ENV-003",IF(INDEX(tbl_recyclass[Conforme_Art7_2030],MATCH(A300,tbl_recyclass[ProductId],0))="Sim","Conforme (meta 2030)",IF(INDEX(tbl_recyclass[Conforme_Art7_2030],MATCH(A300,tbl_recyclass[ProductId],0))="Não","Lacuna face à meta 2030","Isento")),IF(B300="EU-ENV-011",IF(INDEX(tbl_familias_ppwr[Metais_Pesados_Evidencia],MATCH(INDEX(tbl_recyclass[Familia_PPWR],MATCH(A300,tbl_recyclass[ProductId],0)),tbl_familias_ppwr[ID_Familia],0))="Em falta","Lacuna","Conforme"),IF(B300="EU-ENV-013",IF(INDEX(tbl_familias_ppwr[Declaracao_UE],MATCH(INDEX(tbl_recyclass[Familia_PPWR],MATCH(A300,tbl_recyclass[ProductId],0)),tbl_familias_ppwr[ID_Familia],0))="Sim","Conforme","Lacuna"),G300)))),G300))</f>
        <v>Não aplicável</v>
      </c>
      <c r="I300" s="33" t="str">
        <f t="shared" si="4"/>
        <v>Não aplicável</v>
      </c>
      <c r="J300" s="26"/>
    </row>
    <row r="301" spans="1:10" ht="16.05" customHeight="1" x14ac:dyDescent="0.3">
      <c r="A301" s="26" t="s">
        <v>640</v>
      </c>
      <c r="B301" s="26" t="s">
        <v>1212</v>
      </c>
      <c r="C301" s="33" t="str">
        <f>IFERROR(INDEX(tbl_requisitos_emb[Tema],MATCH(B301,tbl_requisitos_emb[ID_Req],0)),"")</f>
        <v>Segurança do produto cosmético</v>
      </c>
      <c r="D301" s="33" t="str">
        <f>IFERROR(INDEX(tbl_recyclass[Segmento],MATCH(A301,tbl_recyclass[ProductId],0)),"")</f>
        <v>Cosmética e higiene pessoal</v>
      </c>
      <c r="E301" s="26" t="s">
        <v>901</v>
      </c>
      <c r="F301" s="26" t="s">
        <v>1449</v>
      </c>
      <c r="G301" s="26" t="s">
        <v>1033</v>
      </c>
      <c r="H301" s="33" t="str">
        <f>IF(E301="Não","Não aplicável",IFERROR(IF(B301="EU-ENV-002",IF(INDEX(tbl_recyclass[Conforme_PPWR_2030],MATCH(A301,tbl_recyclass[ProductId],0))="Sim","Conforme (autoavaliação)",IF(INDEX(tbl_recyclass[Conforme_PPWR_2030],MATCH(A301,tbl_recyclass[ProductId],0))="Não","Não conforme em 2030","Isento até 2035")),IF(B301="EU-ENV-003",IF(INDEX(tbl_recyclass[Conforme_Art7_2030],MATCH(A301,tbl_recyclass[ProductId],0))="Sim","Conforme (meta 2030)",IF(INDEX(tbl_recyclass[Conforme_Art7_2030],MATCH(A301,tbl_recyclass[ProductId],0))="Não","Lacuna face à meta 2030","Isento")),IF(B301="EU-ENV-011",IF(INDEX(tbl_familias_ppwr[Metais_Pesados_Evidencia],MATCH(INDEX(tbl_recyclass[Familia_PPWR],MATCH(A301,tbl_recyclass[ProductId],0)),tbl_familias_ppwr[ID_Familia],0))="Em falta","Lacuna","Conforme"),IF(B301="EU-ENV-013",IF(INDEX(tbl_familias_ppwr[Declaracao_UE],MATCH(INDEX(tbl_recyclass[Familia_PPWR],MATCH(A301,tbl_recyclass[ProductId],0)),tbl_familias_ppwr[ID_Familia],0))="Sim","Conforme","Lacuna"),G301)))),G301))</f>
        <v>Conforme</v>
      </c>
      <c r="I301" s="33" t="str">
        <f t="shared" si="4"/>
        <v>Conforme</v>
      </c>
      <c r="J301" s="26" t="s">
        <v>1221</v>
      </c>
    </row>
    <row r="302" spans="1:10" ht="16.05" customHeight="1" x14ac:dyDescent="0.3">
      <c r="A302" s="26" t="s">
        <v>640</v>
      </c>
      <c r="B302" s="26" t="s">
        <v>1224</v>
      </c>
      <c r="C302" s="33" t="str">
        <f>IFERROR(INDEX(tbl_requisitos_emb[Tema],MATCH(B302,tbl_requisitos_emb[ID_Req],0)),"")</f>
        <v>Materiais e impurezas</v>
      </c>
      <c r="D302" s="33" t="str">
        <f>IFERROR(INDEX(tbl_recyclass[Segmento],MATCH(A302,tbl_recyclass[ProductId],0)),"")</f>
        <v>Cosmética e higiene pessoal</v>
      </c>
      <c r="E302" s="26" t="s">
        <v>901</v>
      </c>
      <c r="F302" s="26" t="s">
        <v>1449</v>
      </c>
      <c r="G302" s="26" t="s">
        <v>978</v>
      </c>
      <c r="H302" s="33" t="str">
        <f>IF(E302="Não","Não aplicável",IFERROR(IF(B302="EU-ENV-002",IF(INDEX(tbl_recyclass[Conforme_PPWR_2030],MATCH(A302,tbl_recyclass[ProductId],0))="Sim","Conforme (autoavaliação)",IF(INDEX(tbl_recyclass[Conforme_PPWR_2030],MATCH(A302,tbl_recyclass[ProductId],0))="Não","Não conforme em 2030","Isento até 2035")),IF(B302="EU-ENV-003",IF(INDEX(tbl_recyclass[Conforme_Art7_2030],MATCH(A302,tbl_recyclass[ProductId],0))="Sim","Conforme (meta 2030)",IF(INDEX(tbl_recyclass[Conforme_Art7_2030],MATCH(A302,tbl_recyclass[ProductId],0))="Não","Lacuna face à meta 2030","Isento")),IF(B302="EU-ENV-011",IF(INDEX(tbl_familias_ppwr[Metais_Pesados_Evidencia],MATCH(INDEX(tbl_recyclass[Familia_PPWR],MATCH(A302,tbl_recyclass[ProductId],0)),tbl_familias_ppwr[ID_Familia],0))="Em falta","Lacuna","Conforme"),IF(B302="EU-ENV-013",IF(INDEX(tbl_familias_ppwr[Declaracao_UE],MATCH(INDEX(tbl_recyclass[Familia_PPWR],MATCH(A302,tbl_recyclass[ProductId],0)),tbl_familias_ppwr[ID_Familia],0))="Sim","Conforme","Lacuna"),G302)))),G302))</f>
        <v>Parcial</v>
      </c>
      <c r="I302" s="33" t="str">
        <f t="shared" si="4"/>
        <v>Parcial</v>
      </c>
      <c r="J302" s="26" t="s">
        <v>1228</v>
      </c>
    </row>
    <row r="303" spans="1:10" ht="16.05" customHeight="1" x14ac:dyDescent="0.3">
      <c r="A303" s="26" t="s">
        <v>640</v>
      </c>
      <c r="B303" s="26" t="s">
        <v>1240</v>
      </c>
      <c r="C303" s="33" t="str">
        <f>IFERROR(INDEX(tbl_requisitos_emb[Tema],MATCH(B303,tbl_requisitos_emb[ID_Req],0)),"")</f>
        <v>Compatibilidade embalagem–produto</v>
      </c>
      <c r="D303" s="33" t="str">
        <f>IFERROR(INDEX(tbl_recyclass[Segmento],MATCH(A303,tbl_recyclass[ProductId],0)),"")</f>
        <v>Cosmética e higiene pessoal</v>
      </c>
      <c r="E303" s="26" t="s">
        <v>901</v>
      </c>
      <c r="F303" s="26" t="s">
        <v>1449</v>
      </c>
      <c r="G303" s="26" t="s">
        <v>1033</v>
      </c>
      <c r="H303" s="33" t="str">
        <f>IF(E303="Não","Não aplicável",IFERROR(IF(B303="EU-ENV-002",IF(INDEX(tbl_recyclass[Conforme_PPWR_2030],MATCH(A303,tbl_recyclass[ProductId],0))="Sim","Conforme (autoavaliação)",IF(INDEX(tbl_recyclass[Conforme_PPWR_2030],MATCH(A303,tbl_recyclass[ProductId],0))="Não","Não conforme em 2030","Isento até 2035")),IF(B303="EU-ENV-003",IF(INDEX(tbl_recyclass[Conforme_Art7_2030],MATCH(A303,tbl_recyclass[ProductId],0))="Sim","Conforme (meta 2030)",IF(INDEX(tbl_recyclass[Conforme_Art7_2030],MATCH(A303,tbl_recyclass[ProductId],0))="Não","Lacuna face à meta 2030","Isento")),IF(B303="EU-ENV-011",IF(INDEX(tbl_familias_ppwr[Metais_Pesados_Evidencia],MATCH(INDEX(tbl_recyclass[Familia_PPWR],MATCH(A303,tbl_recyclass[ProductId],0)),tbl_familias_ppwr[ID_Familia],0))="Em falta","Lacuna","Conforme"),IF(B303="EU-ENV-013",IF(INDEX(tbl_familias_ppwr[Declaracao_UE],MATCH(INDEX(tbl_recyclass[Familia_PPWR],MATCH(A303,tbl_recyclass[ProductId],0)),tbl_familias_ppwr[ID_Familia],0))="Sim","Conforme","Lacuna"),G303)))),G303))</f>
        <v>Conforme</v>
      </c>
      <c r="I303" s="33" t="str">
        <f t="shared" si="4"/>
        <v>Conforme</v>
      </c>
      <c r="J303" s="26" t="s">
        <v>1244</v>
      </c>
    </row>
    <row r="304" spans="1:10" ht="16.05" customHeight="1" x14ac:dyDescent="0.3">
      <c r="A304" s="26" t="s">
        <v>640</v>
      </c>
      <c r="B304" s="26" t="s">
        <v>1252</v>
      </c>
      <c r="C304" s="33" t="str">
        <f>IFERROR(INDEX(tbl_requisitos_emb[Tema],MATCH(B304,tbl_requisitos_emb[ID_Req],0)),"")</f>
        <v>Medicamentos de uso humano</v>
      </c>
      <c r="D304" s="33" t="str">
        <f>IFERROR(INDEX(tbl_recyclass[Segmento],MATCH(A304,tbl_recyclass[ProductId],0)),"")</f>
        <v>Cosmética e higiene pessoal</v>
      </c>
      <c r="E304" s="26" t="s">
        <v>904</v>
      </c>
      <c r="F304" s="26" t="s">
        <v>1451</v>
      </c>
      <c r="G304" s="26" t="s">
        <v>1143</v>
      </c>
      <c r="H304" s="33" t="str">
        <f>IF(E304="Não","Não aplicável",IFERROR(IF(B304="EU-ENV-002",IF(INDEX(tbl_recyclass[Conforme_PPWR_2030],MATCH(A304,tbl_recyclass[ProductId],0))="Sim","Conforme (autoavaliação)",IF(INDEX(tbl_recyclass[Conforme_PPWR_2030],MATCH(A304,tbl_recyclass[ProductId],0))="Não","Não conforme em 2030","Isento até 2035")),IF(B304="EU-ENV-003",IF(INDEX(tbl_recyclass[Conforme_Art7_2030],MATCH(A304,tbl_recyclass[ProductId],0))="Sim","Conforme (meta 2030)",IF(INDEX(tbl_recyclass[Conforme_Art7_2030],MATCH(A304,tbl_recyclass[ProductId],0))="Não","Lacuna face à meta 2030","Isento")),IF(B304="EU-ENV-011",IF(INDEX(tbl_familias_ppwr[Metais_Pesados_Evidencia],MATCH(INDEX(tbl_recyclass[Familia_PPWR],MATCH(A304,tbl_recyclass[ProductId],0)),tbl_familias_ppwr[ID_Familia],0))="Em falta","Lacuna","Conforme"),IF(B304="EU-ENV-013",IF(INDEX(tbl_familias_ppwr[Declaracao_UE],MATCH(INDEX(tbl_recyclass[Familia_PPWR],MATCH(A304,tbl_recyclass[ProductId],0)),tbl_familias_ppwr[ID_Familia],0))="Sim","Conforme","Lacuna"),G304)))),G304))</f>
        <v>Não aplicável</v>
      </c>
      <c r="I304" s="33" t="str">
        <f t="shared" si="4"/>
        <v>Não aplicável</v>
      </c>
      <c r="J304" s="26"/>
    </row>
    <row r="305" spans="1:10" ht="16.05" customHeight="1" x14ac:dyDescent="0.3">
      <c r="A305" s="26" t="s">
        <v>640</v>
      </c>
      <c r="B305" s="26" t="s">
        <v>1268</v>
      </c>
      <c r="C305" s="33" t="str">
        <f>IFERROR(INDEX(tbl_requisitos_emb[Tema],MATCH(B305,tbl_requisitos_emb[ID_Req],0)),"")</f>
        <v>Dispositivos de segurança</v>
      </c>
      <c r="D305" s="33" t="str">
        <f>IFERROR(INDEX(tbl_recyclass[Segmento],MATCH(A305,tbl_recyclass[ProductId],0)),"")</f>
        <v>Cosmética e higiene pessoal</v>
      </c>
      <c r="E305" s="26" t="s">
        <v>904</v>
      </c>
      <c r="F305" s="26" t="s">
        <v>1451</v>
      </c>
      <c r="G305" s="26" t="s">
        <v>1143</v>
      </c>
      <c r="H305" s="33" t="str">
        <f>IF(E305="Não","Não aplicável",IFERROR(IF(B305="EU-ENV-002",IF(INDEX(tbl_recyclass[Conforme_PPWR_2030],MATCH(A305,tbl_recyclass[ProductId],0))="Sim","Conforme (autoavaliação)",IF(INDEX(tbl_recyclass[Conforme_PPWR_2030],MATCH(A305,tbl_recyclass[ProductId],0))="Não","Não conforme em 2030","Isento até 2035")),IF(B305="EU-ENV-003",IF(INDEX(tbl_recyclass[Conforme_Art7_2030],MATCH(A305,tbl_recyclass[ProductId],0))="Sim","Conforme (meta 2030)",IF(INDEX(tbl_recyclass[Conforme_Art7_2030],MATCH(A305,tbl_recyclass[ProductId],0))="Não","Lacuna face à meta 2030","Isento")),IF(B305="EU-ENV-011",IF(INDEX(tbl_familias_ppwr[Metais_Pesados_Evidencia],MATCH(INDEX(tbl_recyclass[Familia_PPWR],MATCH(A305,tbl_recyclass[ProductId],0)),tbl_familias_ppwr[ID_Familia],0))="Em falta","Lacuna","Conforme"),IF(B305="EU-ENV-013",IF(INDEX(tbl_familias_ppwr[Declaracao_UE],MATCH(INDEX(tbl_recyclass[Familia_PPWR],MATCH(A305,tbl_recyclass[ProductId],0)),tbl_familias_ppwr[ID_Familia],0))="Sim","Conforme","Lacuna"),G305)))),G305))</f>
        <v>Não aplicável</v>
      </c>
      <c r="I305" s="33" t="str">
        <f t="shared" si="4"/>
        <v>Não aplicável</v>
      </c>
      <c r="J305" s="26"/>
    </row>
    <row r="306" spans="1:10" ht="16.05" customHeight="1" x14ac:dyDescent="0.3">
      <c r="A306" s="26" t="s">
        <v>640</v>
      </c>
      <c r="B306" s="26" t="s">
        <v>1285</v>
      </c>
      <c r="C306" s="33" t="str">
        <f>IFERROR(INDEX(tbl_requisitos_emb[Tema],MATCH(B306,tbl_requisitos_emb[ID_Req],0)),"")</f>
        <v>Materiais plásticos de acondicionamento primário</v>
      </c>
      <c r="D306" s="33" t="str">
        <f>IFERROR(INDEX(tbl_recyclass[Segmento],MATCH(A306,tbl_recyclass[ProductId],0)),"")</f>
        <v>Cosmética e higiene pessoal</v>
      </c>
      <c r="E306" s="26" t="s">
        <v>904</v>
      </c>
      <c r="F306" s="26" t="s">
        <v>1451</v>
      </c>
      <c r="G306" s="26" t="s">
        <v>1143</v>
      </c>
      <c r="H306" s="33" t="str">
        <f>IF(E306="Não","Não aplicável",IFERROR(IF(B306="EU-ENV-002",IF(INDEX(tbl_recyclass[Conforme_PPWR_2030],MATCH(A306,tbl_recyclass[ProductId],0))="Sim","Conforme (autoavaliação)",IF(INDEX(tbl_recyclass[Conforme_PPWR_2030],MATCH(A306,tbl_recyclass[ProductId],0))="Não","Não conforme em 2030","Isento até 2035")),IF(B306="EU-ENV-003",IF(INDEX(tbl_recyclass[Conforme_Art7_2030],MATCH(A306,tbl_recyclass[ProductId],0))="Sim","Conforme (meta 2030)",IF(INDEX(tbl_recyclass[Conforme_Art7_2030],MATCH(A306,tbl_recyclass[ProductId],0))="Não","Lacuna face à meta 2030","Isento")),IF(B306="EU-ENV-011",IF(INDEX(tbl_familias_ppwr[Metais_Pesados_Evidencia],MATCH(INDEX(tbl_recyclass[Familia_PPWR],MATCH(A306,tbl_recyclass[ProductId],0)),tbl_familias_ppwr[ID_Familia],0))="Em falta","Lacuna","Conforme"),IF(B306="EU-ENV-013",IF(INDEX(tbl_familias_ppwr[Declaracao_UE],MATCH(INDEX(tbl_recyclass[Familia_PPWR],MATCH(A306,tbl_recyclass[ProductId],0)),tbl_familias_ppwr[ID_Familia],0))="Sim","Conforme","Lacuna"),G306)))),G306))</f>
        <v>Não aplicável</v>
      </c>
      <c r="I306" s="33" t="str">
        <f t="shared" si="4"/>
        <v>Não aplicável</v>
      </c>
      <c r="J306" s="26"/>
    </row>
    <row r="307" spans="1:10" ht="16.05" customHeight="1" x14ac:dyDescent="0.3">
      <c r="A307" s="26" t="s">
        <v>640</v>
      </c>
      <c r="B307" s="26" t="s">
        <v>1293</v>
      </c>
      <c r="C307" s="33" t="str">
        <f>IFERROR(INDEX(tbl_requisitos_emb[Tema],MATCH(B307,tbl_requisitos_emb[ID_Req],0)),"")</f>
        <v>Isenções PPWR</v>
      </c>
      <c r="D307" s="33" t="str">
        <f>IFERROR(INDEX(tbl_recyclass[Segmento],MATCH(A307,tbl_recyclass[ProductId],0)),"")</f>
        <v>Cosmética e higiene pessoal</v>
      </c>
      <c r="E307" s="26" t="s">
        <v>904</v>
      </c>
      <c r="F307" s="26" t="s">
        <v>1451</v>
      </c>
      <c r="G307" s="26" t="s">
        <v>1143</v>
      </c>
      <c r="H307" s="33" t="str">
        <f>IF(E307="Não","Não aplicável",IFERROR(IF(B307="EU-ENV-002",IF(INDEX(tbl_recyclass[Conforme_PPWR_2030],MATCH(A307,tbl_recyclass[ProductId],0))="Sim","Conforme (autoavaliação)",IF(INDEX(tbl_recyclass[Conforme_PPWR_2030],MATCH(A307,tbl_recyclass[ProductId],0))="Não","Não conforme em 2030","Isento até 2035")),IF(B307="EU-ENV-003",IF(INDEX(tbl_recyclass[Conforme_Art7_2030],MATCH(A307,tbl_recyclass[ProductId],0))="Sim","Conforme (meta 2030)",IF(INDEX(tbl_recyclass[Conforme_Art7_2030],MATCH(A307,tbl_recyclass[ProductId],0))="Não","Lacuna face à meta 2030","Isento")),IF(B307="EU-ENV-011",IF(INDEX(tbl_familias_ppwr[Metais_Pesados_Evidencia],MATCH(INDEX(tbl_recyclass[Familia_PPWR],MATCH(A307,tbl_recyclass[ProductId],0)),tbl_familias_ppwr[ID_Familia],0))="Em falta","Lacuna","Conforme"),IF(B307="EU-ENV-013",IF(INDEX(tbl_familias_ppwr[Declaracao_UE],MATCH(INDEX(tbl_recyclass[Familia_PPWR],MATCH(A307,tbl_recyclass[ProductId],0)),tbl_familias_ppwr[ID_Familia],0))="Sim","Conforme","Lacuna"),G307)))),G307))</f>
        <v>Não aplicável</v>
      </c>
      <c r="I307" s="33" t="str">
        <f t="shared" si="4"/>
        <v>Não aplicável</v>
      </c>
      <c r="J307" s="26"/>
    </row>
    <row r="308" spans="1:10" ht="16.05" customHeight="1" x14ac:dyDescent="0.3">
      <c r="A308" s="26" t="s">
        <v>640</v>
      </c>
      <c r="B308" s="26" t="s">
        <v>1357</v>
      </c>
      <c r="C308" s="33" t="str">
        <f>IFERROR(INDEX(tbl_requisitos_emb[Tema],MATCH(B308,tbl_requisitos_emb[ID_Req],0)),"")</f>
        <v>Identificação de plásticos</v>
      </c>
      <c r="D308" s="33" t="str">
        <f>IFERROR(INDEX(tbl_recyclass[Segmento],MATCH(A308,tbl_recyclass[ProductId],0)),"")</f>
        <v>Cosmética e higiene pessoal</v>
      </c>
      <c r="E308" s="26" t="s">
        <v>901</v>
      </c>
      <c r="F308" s="26" t="s">
        <v>1449</v>
      </c>
      <c r="G308" s="26" t="s">
        <v>978</v>
      </c>
      <c r="H308" s="33" t="str">
        <f>IF(E308="Não","Não aplicável",IFERROR(IF(B308="EU-ENV-002",IF(INDEX(tbl_recyclass[Conforme_PPWR_2030],MATCH(A308,tbl_recyclass[ProductId],0))="Sim","Conforme (autoavaliação)",IF(INDEX(tbl_recyclass[Conforme_PPWR_2030],MATCH(A308,tbl_recyclass[ProductId],0))="Não","Não conforme em 2030","Isento até 2035")),IF(B308="EU-ENV-003",IF(INDEX(tbl_recyclass[Conforme_Art7_2030],MATCH(A308,tbl_recyclass[ProductId],0))="Sim","Conforme (meta 2030)",IF(INDEX(tbl_recyclass[Conforme_Art7_2030],MATCH(A308,tbl_recyclass[ProductId],0))="Não","Lacuna face à meta 2030","Isento")),IF(B308="EU-ENV-011",IF(INDEX(tbl_familias_ppwr[Metais_Pesados_Evidencia],MATCH(INDEX(tbl_recyclass[Familia_PPWR],MATCH(A308,tbl_recyclass[ProductId],0)),tbl_familias_ppwr[ID_Familia],0))="Em falta","Lacuna","Conforme"),IF(B308="EU-ENV-013",IF(INDEX(tbl_familias_ppwr[Declaracao_UE],MATCH(INDEX(tbl_recyclass[Familia_PPWR],MATCH(A308,tbl_recyclass[ProductId],0)),tbl_familias_ppwr[ID_Familia],0))="Sim","Conforme","Lacuna"),G308)))),G308))</f>
        <v>Parcial</v>
      </c>
      <c r="I308" s="33" t="str">
        <f t="shared" si="4"/>
        <v>Parcial</v>
      </c>
      <c r="J308" s="26" t="s">
        <v>1362</v>
      </c>
    </row>
    <row r="309" spans="1:10" ht="16.05" customHeight="1" x14ac:dyDescent="0.3">
      <c r="A309" s="26" t="s">
        <v>640</v>
      </c>
      <c r="B309" s="26" t="s">
        <v>1385</v>
      </c>
      <c r="C309" s="33" t="str">
        <f>IFERROR(INDEX(tbl_requisitos_emb[Tema],MATCH(B309,tbl_requisitos_emb[ID_Req],0)),"")</f>
        <v>Reciclabilidade (voluntária)</v>
      </c>
      <c r="D309" s="33" t="str">
        <f>IFERROR(INDEX(tbl_recyclass[Segmento],MATCH(A309,tbl_recyclass[ProductId],0)),"")</f>
        <v>Cosmética e higiene pessoal</v>
      </c>
      <c r="E309" s="26" t="s">
        <v>901</v>
      </c>
      <c r="F309" s="26" t="s">
        <v>1449</v>
      </c>
      <c r="G309" s="26" t="s">
        <v>978</v>
      </c>
      <c r="H309" s="33" t="str">
        <f>IF(E309="Não","Não aplicável",IFERROR(IF(B309="EU-ENV-002",IF(INDEX(tbl_recyclass[Conforme_PPWR_2030],MATCH(A309,tbl_recyclass[ProductId],0))="Sim","Conforme (autoavaliação)",IF(INDEX(tbl_recyclass[Conforme_PPWR_2030],MATCH(A309,tbl_recyclass[ProductId],0))="Não","Não conforme em 2030","Isento até 2035")),IF(B309="EU-ENV-003",IF(INDEX(tbl_recyclass[Conforme_Art7_2030],MATCH(A309,tbl_recyclass[ProductId],0))="Sim","Conforme (meta 2030)",IF(INDEX(tbl_recyclass[Conforme_Art7_2030],MATCH(A309,tbl_recyclass[ProductId],0))="Não","Lacuna face à meta 2030","Isento")),IF(B309="EU-ENV-011",IF(INDEX(tbl_familias_ppwr[Metais_Pesados_Evidencia],MATCH(INDEX(tbl_recyclass[Familia_PPWR],MATCH(A309,tbl_recyclass[ProductId],0)),tbl_familias_ppwr[ID_Familia],0))="Em falta","Lacuna","Conforme"),IF(B309="EU-ENV-013",IF(INDEX(tbl_familias_ppwr[Declaracao_UE],MATCH(INDEX(tbl_recyclass[Familia_PPWR],MATCH(A309,tbl_recyclass[ProductId],0)),tbl_familias_ppwr[ID_Familia],0))="Sim","Conforme","Lacuna"),G309)))),G309))</f>
        <v>Parcial</v>
      </c>
      <c r="I309" s="33" t="str">
        <f t="shared" si="4"/>
        <v>Parcial</v>
      </c>
      <c r="J309" s="26" t="s">
        <v>1389</v>
      </c>
    </row>
    <row r="310" spans="1:10" ht="16.05" customHeight="1" x14ac:dyDescent="0.3">
      <c r="A310" s="26" t="s">
        <v>644</v>
      </c>
      <c r="B310" s="26" t="s">
        <v>984</v>
      </c>
      <c r="C310" s="33" t="str">
        <f>IFERROR(INDEX(tbl_requisitos_emb[Tema],MATCH(B310,tbl_requisitos_emb[ID_Req],0)),"")</f>
        <v>Conceção para reciclagem</v>
      </c>
      <c r="D310" s="33" t="str">
        <f>IFERROR(INDEX(tbl_recyclass[Segmento],MATCH(A310,tbl_recyclass[ProductId],0)),"")</f>
        <v>Cosmética e higiene pessoal</v>
      </c>
      <c r="E310" s="26" t="s">
        <v>901</v>
      </c>
      <c r="F310" s="26" t="s">
        <v>1449</v>
      </c>
      <c r="G310" s="26" t="s">
        <v>978</v>
      </c>
      <c r="H310" s="33" t="str">
        <f>IF(E310="Não","Não aplicável",IFERROR(IF(B310="EU-ENV-002",IF(INDEX(tbl_recyclass[Conforme_PPWR_2030],MATCH(A310,tbl_recyclass[ProductId],0))="Sim","Conforme (autoavaliação)",IF(INDEX(tbl_recyclass[Conforme_PPWR_2030],MATCH(A310,tbl_recyclass[ProductId],0))="Não","Não conforme em 2030","Isento até 2035")),IF(B310="EU-ENV-003",IF(INDEX(tbl_recyclass[Conforme_Art7_2030],MATCH(A310,tbl_recyclass[ProductId],0))="Sim","Conforme (meta 2030)",IF(INDEX(tbl_recyclass[Conforme_Art7_2030],MATCH(A310,tbl_recyclass[ProductId],0))="Não","Lacuna face à meta 2030","Isento")),IF(B310="EU-ENV-011",IF(INDEX(tbl_familias_ppwr[Metais_Pesados_Evidencia],MATCH(INDEX(tbl_recyclass[Familia_PPWR],MATCH(A310,tbl_recyclass[ProductId],0)),tbl_familias_ppwr[ID_Familia],0))="Em falta","Lacuna","Conforme"),IF(B310="EU-ENV-013",IF(INDEX(tbl_familias_ppwr[Declaracao_UE],MATCH(INDEX(tbl_recyclass[Familia_PPWR],MATCH(A310,tbl_recyclass[ProductId],0)),tbl_familias_ppwr[ID_Familia],0))="Sim","Conforme","Lacuna"),G310)))),G310))</f>
        <v>Não conforme em 2030</v>
      </c>
      <c r="I310" s="33" t="str">
        <f t="shared" si="4"/>
        <v>Não conforme</v>
      </c>
      <c r="J310" s="26" t="s">
        <v>991</v>
      </c>
    </row>
    <row r="311" spans="1:10" ht="16.05" customHeight="1" x14ac:dyDescent="0.3">
      <c r="A311" s="26" t="s">
        <v>644</v>
      </c>
      <c r="B311" s="26" t="s">
        <v>997</v>
      </c>
      <c r="C311" s="33" t="str">
        <f>IFERROR(INDEX(tbl_requisitos_emb[Tema],MATCH(B311,tbl_requisitos_emb[ID_Req],0)),"")</f>
        <v>Conteúdo reciclado</v>
      </c>
      <c r="D311" s="33" t="str">
        <f>IFERROR(INDEX(tbl_recyclass[Segmento],MATCH(A311,tbl_recyclass[ProductId],0)),"")</f>
        <v>Cosmética e higiene pessoal</v>
      </c>
      <c r="E311" s="26" t="s">
        <v>901</v>
      </c>
      <c r="F311" s="26" t="s">
        <v>1449</v>
      </c>
      <c r="G311" s="26" t="s">
        <v>978</v>
      </c>
      <c r="H311" s="33" t="str">
        <f>IF(E311="Não","Não aplicável",IFERROR(IF(B311="EU-ENV-002",IF(INDEX(tbl_recyclass[Conforme_PPWR_2030],MATCH(A311,tbl_recyclass[ProductId],0))="Sim","Conforme (autoavaliação)",IF(INDEX(tbl_recyclass[Conforme_PPWR_2030],MATCH(A311,tbl_recyclass[ProductId],0))="Não","Não conforme em 2030","Isento até 2035")),IF(B311="EU-ENV-003",IF(INDEX(tbl_recyclass[Conforme_Art7_2030],MATCH(A311,tbl_recyclass[ProductId],0))="Sim","Conforme (meta 2030)",IF(INDEX(tbl_recyclass[Conforme_Art7_2030],MATCH(A311,tbl_recyclass[ProductId],0))="Não","Lacuna face à meta 2030","Isento")),IF(B311="EU-ENV-011",IF(INDEX(tbl_familias_ppwr[Metais_Pesados_Evidencia],MATCH(INDEX(tbl_recyclass[Familia_PPWR],MATCH(A311,tbl_recyclass[ProductId],0)),tbl_familias_ppwr[ID_Familia],0))="Em falta","Lacuna","Conforme"),IF(B311="EU-ENV-013",IF(INDEX(tbl_familias_ppwr[Declaracao_UE],MATCH(INDEX(tbl_recyclass[Familia_PPWR],MATCH(A311,tbl_recyclass[ProductId],0)),tbl_familias_ppwr[ID_Familia],0))="Sim","Conforme","Lacuna"),G311)))),G311))</f>
        <v>Lacuna face à meta 2030</v>
      </c>
      <c r="I311" s="33" t="str">
        <f t="shared" si="4"/>
        <v>Lacuna</v>
      </c>
      <c r="J311" s="26" t="s">
        <v>1001</v>
      </c>
    </row>
    <row r="312" spans="1:10" ht="16.05" customHeight="1" x14ac:dyDescent="0.3">
      <c r="A312" s="26" t="s">
        <v>644</v>
      </c>
      <c r="B312" s="26" t="s">
        <v>1007</v>
      </c>
      <c r="C312" s="33" t="str">
        <f>IFERROR(INDEX(tbl_requisitos_emb[Tema],MATCH(B312,tbl_requisitos_emb[ID_Req],0)),"")</f>
        <v>Minimização</v>
      </c>
      <c r="D312" s="33" t="str">
        <f>IFERROR(INDEX(tbl_recyclass[Segmento],MATCH(A312,tbl_recyclass[ProductId],0)),"")</f>
        <v>Cosmética e higiene pessoal</v>
      </c>
      <c r="E312" s="26" t="s">
        <v>901</v>
      </c>
      <c r="F312" s="26" t="s">
        <v>1449</v>
      </c>
      <c r="G312" s="26" t="s">
        <v>978</v>
      </c>
      <c r="H312" s="33" t="str">
        <f>IF(E312="Não","Não aplicável",IFERROR(IF(B312="EU-ENV-002",IF(INDEX(tbl_recyclass[Conforme_PPWR_2030],MATCH(A312,tbl_recyclass[ProductId],0))="Sim","Conforme (autoavaliação)",IF(INDEX(tbl_recyclass[Conforme_PPWR_2030],MATCH(A312,tbl_recyclass[ProductId],0))="Não","Não conforme em 2030","Isento até 2035")),IF(B312="EU-ENV-003",IF(INDEX(tbl_recyclass[Conforme_Art7_2030],MATCH(A312,tbl_recyclass[ProductId],0))="Sim","Conforme (meta 2030)",IF(INDEX(tbl_recyclass[Conforme_Art7_2030],MATCH(A312,tbl_recyclass[ProductId],0))="Não","Lacuna face à meta 2030","Isento")),IF(B312="EU-ENV-011",IF(INDEX(tbl_familias_ppwr[Metais_Pesados_Evidencia],MATCH(INDEX(tbl_recyclass[Familia_PPWR],MATCH(A312,tbl_recyclass[ProductId],0)),tbl_familias_ppwr[ID_Familia],0))="Em falta","Lacuna","Conforme"),IF(B312="EU-ENV-013",IF(INDEX(tbl_familias_ppwr[Declaracao_UE],MATCH(INDEX(tbl_recyclass[Familia_PPWR],MATCH(A312,tbl_recyclass[ProductId],0)),tbl_familias_ppwr[ID_Familia],0))="Sim","Conforme","Lacuna"),G312)))),G312))</f>
        <v>Parcial</v>
      </c>
      <c r="I312" s="33" t="str">
        <f t="shared" si="4"/>
        <v>Parcial</v>
      </c>
      <c r="J312" s="26" t="s">
        <v>1012</v>
      </c>
    </row>
    <row r="313" spans="1:10" ht="16.05" customHeight="1" x14ac:dyDescent="0.3">
      <c r="A313" s="26" t="s">
        <v>644</v>
      </c>
      <c r="B313" s="26" t="s">
        <v>1016</v>
      </c>
      <c r="C313" s="33" t="str">
        <f>IFERROR(INDEX(tbl_requisitos_emb[Tema],MATCH(B313,tbl_requisitos_emb[ID_Req],0)),"")</f>
        <v>Rotulagem</v>
      </c>
      <c r="D313" s="33" t="str">
        <f>IFERROR(INDEX(tbl_recyclass[Segmento],MATCH(A313,tbl_recyclass[ProductId],0)),"")</f>
        <v>Cosmética e higiene pessoal</v>
      </c>
      <c r="E313" s="26" t="s">
        <v>901</v>
      </c>
      <c r="F313" s="26" t="s">
        <v>1449</v>
      </c>
      <c r="G313" s="26" t="s">
        <v>990</v>
      </c>
      <c r="H313" s="33" t="str">
        <f>IF(E313="Não","Não aplicável",IFERROR(IF(B313="EU-ENV-002",IF(INDEX(tbl_recyclass[Conforme_PPWR_2030],MATCH(A313,tbl_recyclass[ProductId],0))="Sim","Conforme (autoavaliação)",IF(INDEX(tbl_recyclass[Conforme_PPWR_2030],MATCH(A313,tbl_recyclass[ProductId],0))="Não","Não conforme em 2030","Isento até 2035")),IF(B313="EU-ENV-003",IF(INDEX(tbl_recyclass[Conforme_Art7_2030],MATCH(A313,tbl_recyclass[ProductId],0))="Sim","Conforme (meta 2030)",IF(INDEX(tbl_recyclass[Conforme_Art7_2030],MATCH(A313,tbl_recyclass[ProductId],0))="Não","Lacuna face à meta 2030","Isento")),IF(B313="EU-ENV-011",IF(INDEX(tbl_familias_ppwr[Metais_Pesados_Evidencia],MATCH(INDEX(tbl_recyclass[Familia_PPWR],MATCH(A313,tbl_recyclass[ProductId],0)),tbl_familias_ppwr[ID_Familia],0))="Em falta","Lacuna","Conforme"),IF(B313="EU-ENV-013",IF(INDEX(tbl_familias_ppwr[Declaracao_UE],MATCH(INDEX(tbl_recyclass[Familia_PPWR],MATCH(A313,tbl_recyclass[ProductId],0)),tbl_familias_ppwr[ID_Familia],0))="Sim","Conforme","Lacuna"),G313)))),G313))</f>
        <v>Futuro</v>
      </c>
      <c r="I313" s="33" t="str">
        <f t="shared" si="4"/>
        <v>Futuro</v>
      </c>
      <c r="J313" s="26" t="s">
        <v>1021</v>
      </c>
    </row>
    <row r="314" spans="1:10" ht="16.05" customHeight="1" x14ac:dyDescent="0.3">
      <c r="A314" s="26" t="s">
        <v>644</v>
      </c>
      <c r="B314" s="26" t="s">
        <v>1038</v>
      </c>
      <c r="C314" s="33" t="str">
        <f>IFERROR(INDEX(tbl_requisitos_emb[Tema],MATCH(B314,tbl_requisitos_emb[ID_Req],0)),"")</f>
        <v>Plásticos de utilização única</v>
      </c>
      <c r="D314" s="33" t="str">
        <f>IFERROR(INDEX(tbl_recyclass[Segmento],MATCH(A314,tbl_recyclass[ProductId],0)),"")</f>
        <v>Cosmética e higiene pessoal</v>
      </c>
      <c r="E314" s="26" t="s">
        <v>904</v>
      </c>
      <c r="F314" s="26" t="s">
        <v>1450</v>
      </c>
      <c r="G314" s="26" t="s">
        <v>1143</v>
      </c>
      <c r="H314" s="33" t="str">
        <f>IF(E314="Não","Não aplicável",IFERROR(IF(B314="EU-ENV-002",IF(INDEX(tbl_recyclass[Conforme_PPWR_2030],MATCH(A314,tbl_recyclass[ProductId],0))="Sim","Conforme (autoavaliação)",IF(INDEX(tbl_recyclass[Conforme_PPWR_2030],MATCH(A314,tbl_recyclass[ProductId],0))="Não","Não conforme em 2030","Isento até 2035")),IF(B314="EU-ENV-003",IF(INDEX(tbl_recyclass[Conforme_Art7_2030],MATCH(A314,tbl_recyclass[ProductId],0))="Sim","Conforme (meta 2030)",IF(INDEX(tbl_recyclass[Conforme_Art7_2030],MATCH(A314,tbl_recyclass[ProductId],0))="Não","Lacuna face à meta 2030","Isento")),IF(B314="EU-ENV-011",IF(INDEX(tbl_familias_ppwr[Metais_Pesados_Evidencia],MATCH(INDEX(tbl_recyclass[Familia_PPWR],MATCH(A314,tbl_recyclass[ProductId],0)),tbl_familias_ppwr[ID_Familia],0))="Em falta","Lacuna","Conforme"),IF(B314="EU-ENV-013",IF(INDEX(tbl_familias_ppwr[Declaracao_UE],MATCH(INDEX(tbl_recyclass[Familia_PPWR],MATCH(A314,tbl_recyclass[ProductId],0)),tbl_familias_ppwr[ID_Familia],0))="Sim","Conforme","Lacuna"),G314)))),G314))</f>
        <v>Não aplicável</v>
      </c>
      <c r="I314" s="33" t="str">
        <f t="shared" si="4"/>
        <v>Não aplicável</v>
      </c>
      <c r="J314" s="26"/>
    </row>
    <row r="315" spans="1:10" ht="16.05" customHeight="1" x14ac:dyDescent="0.3">
      <c r="A315" s="26" t="s">
        <v>644</v>
      </c>
      <c r="B315" s="26" t="s">
        <v>1078</v>
      </c>
      <c r="C315" s="33" t="str">
        <f>IFERROR(INDEX(tbl_requisitos_emb[Tema],MATCH(B315,tbl_requisitos_emb[ID_Req],0)),"")</f>
        <v>Reciclado à escala</v>
      </c>
      <c r="D315" s="33" t="str">
        <f>IFERROR(INDEX(tbl_recyclass[Segmento],MATCH(A315,tbl_recyclass[ProductId],0)),"")</f>
        <v>Cosmética e higiene pessoal</v>
      </c>
      <c r="E315" s="26" t="s">
        <v>901</v>
      </c>
      <c r="F315" s="26" t="s">
        <v>1449</v>
      </c>
      <c r="G315" s="26" t="s">
        <v>990</v>
      </c>
      <c r="H315" s="33" t="str">
        <f>IF(E315="Não","Não aplicável",IFERROR(IF(B315="EU-ENV-002",IF(INDEX(tbl_recyclass[Conforme_PPWR_2030],MATCH(A315,tbl_recyclass[ProductId],0))="Sim","Conforme (autoavaliação)",IF(INDEX(tbl_recyclass[Conforme_PPWR_2030],MATCH(A315,tbl_recyclass[ProductId],0))="Não","Não conforme em 2030","Isento até 2035")),IF(B315="EU-ENV-003",IF(INDEX(tbl_recyclass[Conforme_Art7_2030],MATCH(A315,tbl_recyclass[ProductId],0))="Sim","Conforme (meta 2030)",IF(INDEX(tbl_recyclass[Conforme_Art7_2030],MATCH(A315,tbl_recyclass[ProductId],0))="Não","Lacuna face à meta 2030","Isento")),IF(B315="EU-ENV-011",IF(INDEX(tbl_familias_ppwr[Metais_Pesados_Evidencia],MATCH(INDEX(tbl_recyclass[Familia_PPWR],MATCH(A315,tbl_recyclass[ProductId],0)),tbl_familias_ppwr[ID_Familia],0))="Em falta","Lacuna","Conforme"),IF(B315="EU-ENV-013",IF(INDEX(tbl_familias_ppwr[Declaracao_UE],MATCH(INDEX(tbl_recyclass[Familia_PPWR],MATCH(A315,tbl_recyclass[ProductId],0)),tbl_familias_ppwr[ID_Familia],0))="Sim","Conforme","Lacuna"),G315)))),G315))</f>
        <v>Futuro</v>
      </c>
      <c r="I315" s="33" t="str">
        <f t="shared" si="4"/>
        <v>Futuro</v>
      </c>
      <c r="J315" s="26" t="s">
        <v>1082</v>
      </c>
    </row>
    <row r="316" spans="1:10" ht="16.05" customHeight="1" x14ac:dyDescent="0.3">
      <c r="A316" s="26" t="s">
        <v>644</v>
      </c>
      <c r="B316" s="26" t="s">
        <v>1086</v>
      </c>
      <c r="C316" s="33" t="str">
        <f>IFERROR(INDEX(tbl_requisitos_emb[Tema],MATCH(B316,tbl_requisitos_emb[ID_Req],0)),"")</f>
        <v>Metais pesados</v>
      </c>
      <c r="D316" s="33" t="str">
        <f>IFERROR(INDEX(tbl_recyclass[Segmento],MATCH(A316,tbl_recyclass[ProductId],0)),"")</f>
        <v>Cosmética e higiene pessoal</v>
      </c>
      <c r="E316" s="26" t="s">
        <v>901</v>
      </c>
      <c r="F316" s="26" t="s">
        <v>1449</v>
      </c>
      <c r="G316" s="26" t="s">
        <v>978</v>
      </c>
      <c r="H316" s="33" t="str">
        <f>IF(E316="Não","Não aplicável",IFERROR(IF(B316="EU-ENV-002",IF(INDEX(tbl_recyclass[Conforme_PPWR_2030],MATCH(A316,tbl_recyclass[ProductId],0))="Sim","Conforme (autoavaliação)",IF(INDEX(tbl_recyclass[Conforme_PPWR_2030],MATCH(A316,tbl_recyclass[ProductId],0))="Não","Não conforme em 2030","Isento até 2035")),IF(B316="EU-ENV-003",IF(INDEX(tbl_recyclass[Conforme_Art7_2030],MATCH(A316,tbl_recyclass[ProductId],0))="Sim","Conforme (meta 2030)",IF(INDEX(tbl_recyclass[Conforme_Art7_2030],MATCH(A316,tbl_recyclass[ProductId],0))="Não","Lacuna face à meta 2030","Isento")),IF(B316="EU-ENV-011",IF(INDEX(tbl_familias_ppwr[Metais_Pesados_Evidencia],MATCH(INDEX(tbl_recyclass[Familia_PPWR],MATCH(A316,tbl_recyclass[ProductId],0)),tbl_familias_ppwr[ID_Familia],0))="Em falta","Lacuna","Conforme"),IF(B316="EU-ENV-013",IF(INDEX(tbl_familias_ppwr[Declaracao_UE],MATCH(INDEX(tbl_recyclass[Familia_PPWR],MATCH(A316,tbl_recyclass[ProductId],0)),tbl_familias_ppwr[ID_Familia],0))="Sim","Conforme","Lacuna"),G316)))),G316))</f>
        <v>Conforme</v>
      </c>
      <c r="I316" s="33" t="str">
        <f t="shared" si="4"/>
        <v>Conforme</v>
      </c>
      <c r="J316" s="26" t="s">
        <v>1090</v>
      </c>
    </row>
    <row r="317" spans="1:10" ht="16.05" customHeight="1" x14ac:dyDescent="0.3">
      <c r="A317" s="26" t="s">
        <v>644</v>
      </c>
      <c r="B317" s="26" t="s">
        <v>1094</v>
      </c>
      <c r="C317" s="33" t="str">
        <f>IFERROR(INDEX(tbl_requisitos_emb[Tema],MATCH(B317,tbl_requisitos_emb[ID_Req],0)),"")</f>
        <v>PFAS</v>
      </c>
      <c r="D317" s="33" t="str">
        <f>IFERROR(INDEX(tbl_recyclass[Segmento],MATCH(A317,tbl_recyclass[ProductId],0)),"")</f>
        <v>Cosmética e higiene pessoal</v>
      </c>
      <c r="E317" s="26" t="s">
        <v>904</v>
      </c>
      <c r="F317" s="26" t="s">
        <v>1450</v>
      </c>
      <c r="G317" s="26" t="s">
        <v>1143</v>
      </c>
      <c r="H317" s="33" t="str">
        <f>IF(E317="Não","Não aplicável",IFERROR(IF(B317="EU-ENV-002",IF(INDEX(tbl_recyclass[Conforme_PPWR_2030],MATCH(A317,tbl_recyclass[ProductId],0))="Sim","Conforme (autoavaliação)",IF(INDEX(tbl_recyclass[Conforme_PPWR_2030],MATCH(A317,tbl_recyclass[ProductId],0))="Não","Não conforme em 2030","Isento até 2035")),IF(B317="EU-ENV-003",IF(INDEX(tbl_recyclass[Conforme_Art7_2030],MATCH(A317,tbl_recyclass[ProductId],0))="Sim","Conforme (meta 2030)",IF(INDEX(tbl_recyclass[Conforme_Art7_2030],MATCH(A317,tbl_recyclass[ProductId],0))="Não","Lacuna face à meta 2030","Isento")),IF(B317="EU-ENV-011",IF(INDEX(tbl_familias_ppwr[Metais_Pesados_Evidencia],MATCH(INDEX(tbl_recyclass[Familia_PPWR],MATCH(A317,tbl_recyclass[ProductId],0)),tbl_familias_ppwr[ID_Familia],0))="Em falta","Lacuna","Conforme"),IF(B317="EU-ENV-013",IF(INDEX(tbl_familias_ppwr[Declaracao_UE],MATCH(INDEX(tbl_recyclass[Familia_PPWR],MATCH(A317,tbl_recyclass[ProductId],0)),tbl_familias_ppwr[ID_Familia],0))="Sim","Conforme","Lacuna"),G317)))),G317))</f>
        <v>Não aplicável</v>
      </c>
      <c r="I317" s="33" t="str">
        <f t="shared" si="4"/>
        <v>Não aplicável</v>
      </c>
      <c r="J317" s="26"/>
    </row>
    <row r="318" spans="1:10" ht="16.05" customHeight="1" x14ac:dyDescent="0.3">
      <c r="A318" s="26" t="s">
        <v>644</v>
      </c>
      <c r="B318" s="26" t="s">
        <v>1102</v>
      </c>
      <c r="C318" s="33" t="str">
        <f>IFERROR(INDEX(tbl_requisitos_emb[Tema],MATCH(B318,tbl_requisitos_emb[ID_Req],0)),"")</f>
        <v>Documentação técnica e declaração UE</v>
      </c>
      <c r="D318" s="33" t="str">
        <f>IFERROR(INDEX(tbl_recyclass[Segmento],MATCH(A318,tbl_recyclass[ProductId],0)),"")</f>
        <v>Cosmética e higiene pessoal</v>
      </c>
      <c r="E318" s="26" t="s">
        <v>901</v>
      </c>
      <c r="F318" s="26" t="s">
        <v>1449</v>
      </c>
      <c r="G318" s="26" t="s">
        <v>978</v>
      </c>
      <c r="H318" s="33" t="str">
        <f>IF(E318="Não","Não aplicável",IFERROR(IF(B318="EU-ENV-002",IF(INDEX(tbl_recyclass[Conforme_PPWR_2030],MATCH(A318,tbl_recyclass[ProductId],0))="Sim","Conforme (autoavaliação)",IF(INDEX(tbl_recyclass[Conforme_PPWR_2030],MATCH(A318,tbl_recyclass[ProductId],0))="Não","Não conforme em 2030","Isento até 2035")),IF(B318="EU-ENV-003",IF(INDEX(tbl_recyclass[Conforme_Art7_2030],MATCH(A318,tbl_recyclass[ProductId],0))="Sim","Conforme (meta 2030)",IF(INDEX(tbl_recyclass[Conforme_Art7_2030],MATCH(A318,tbl_recyclass[ProductId],0))="Não","Lacuna face à meta 2030","Isento")),IF(B318="EU-ENV-011",IF(INDEX(tbl_familias_ppwr[Metais_Pesados_Evidencia],MATCH(INDEX(tbl_recyclass[Familia_PPWR],MATCH(A318,tbl_recyclass[ProductId],0)),tbl_familias_ppwr[ID_Familia],0))="Em falta","Lacuna","Conforme"),IF(B318="EU-ENV-013",IF(INDEX(tbl_familias_ppwr[Declaracao_UE],MATCH(INDEX(tbl_recyclass[Familia_PPWR],MATCH(A318,tbl_recyclass[ProductId],0)),tbl_familias_ppwr[ID_Familia],0))="Sim","Conforme","Lacuna"),G318)))),G318))</f>
        <v>Conforme</v>
      </c>
      <c r="I318" s="33" t="str">
        <f t="shared" si="4"/>
        <v>Conforme</v>
      </c>
      <c r="J318" s="26" t="s">
        <v>1106</v>
      </c>
    </row>
    <row r="319" spans="1:10" ht="16.05" customHeight="1" x14ac:dyDescent="0.3">
      <c r="A319" s="26" t="s">
        <v>644</v>
      </c>
      <c r="B319" s="26" t="s">
        <v>1161</v>
      </c>
      <c r="C319" s="33" t="str">
        <f>IFERROR(INDEX(tbl_requisitos_emb[Tema],MATCH(B319,tbl_requisitos_emb[ID_Req],0)),"")</f>
        <v>Materiais em contacto com alimentos</v>
      </c>
      <c r="D319" s="33" t="str">
        <f>IFERROR(INDEX(tbl_recyclass[Segmento],MATCH(A319,tbl_recyclass[ProductId],0)),"")</f>
        <v>Cosmética e higiene pessoal</v>
      </c>
      <c r="E319" s="26" t="s">
        <v>904</v>
      </c>
      <c r="F319" s="26" t="s">
        <v>1450</v>
      </c>
      <c r="G319" s="26" t="s">
        <v>1143</v>
      </c>
      <c r="H319" s="33" t="str">
        <f>IF(E319="Não","Não aplicável",IFERROR(IF(B319="EU-ENV-002",IF(INDEX(tbl_recyclass[Conforme_PPWR_2030],MATCH(A319,tbl_recyclass[ProductId],0))="Sim","Conforme (autoavaliação)",IF(INDEX(tbl_recyclass[Conforme_PPWR_2030],MATCH(A319,tbl_recyclass[ProductId],0))="Não","Não conforme em 2030","Isento até 2035")),IF(B319="EU-ENV-003",IF(INDEX(tbl_recyclass[Conforme_Art7_2030],MATCH(A319,tbl_recyclass[ProductId],0))="Sim","Conforme (meta 2030)",IF(INDEX(tbl_recyclass[Conforme_Art7_2030],MATCH(A319,tbl_recyclass[ProductId],0))="Não","Lacuna face à meta 2030","Isento")),IF(B319="EU-ENV-011",IF(INDEX(tbl_familias_ppwr[Metais_Pesados_Evidencia],MATCH(INDEX(tbl_recyclass[Familia_PPWR],MATCH(A319,tbl_recyclass[ProductId],0)),tbl_familias_ppwr[ID_Familia],0))="Em falta","Lacuna","Conforme"),IF(B319="EU-ENV-013",IF(INDEX(tbl_familias_ppwr[Declaracao_UE],MATCH(INDEX(tbl_recyclass[Familia_PPWR],MATCH(A319,tbl_recyclass[ProductId],0)),tbl_familias_ppwr[ID_Familia],0))="Sim","Conforme","Lacuna"),G319)))),G319))</f>
        <v>Não aplicável</v>
      </c>
      <c r="I319" s="33" t="str">
        <f t="shared" si="4"/>
        <v>Não aplicável</v>
      </c>
      <c r="J319" s="26"/>
    </row>
    <row r="320" spans="1:10" ht="16.05" customHeight="1" x14ac:dyDescent="0.3">
      <c r="A320" s="26" t="s">
        <v>644</v>
      </c>
      <c r="B320" s="26" t="s">
        <v>1170</v>
      </c>
      <c r="C320" s="33" t="str">
        <f>IFERROR(INDEX(tbl_requisitos_emb[Tema],MATCH(B320,tbl_requisitos_emb[ID_Req],0)),"")</f>
        <v>Boas práticas de fabrico FCM</v>
      </c>
      <c r="D320" s="33" t="str">
        <f>IFERROR(INDEX(tbl_recyclass[Segmento],MATCH(A320,tbl_recyclass[ProductId],0)),"")</f>
        <v>Cosmética e higiene pessoal</v>
      </c>
      <c r="E320" s="26" t="s">
        <v>904</v>
      </c>
      <c r="F320" s="26" t="s">
        <v>1450</v>
      </c>
      <c r="G320" s="26" t="s">
        <v>1143</v>
      </c>
      <c r="H320" s="33" t="str">
        <f>IF(E320="Não","Não aplicável",IFERROR(IF(B320="EU-ENV-002",IF(INDEX(tbl_recyclass[Conforme_PPWR_2030],MATCH(A320,tbl_recyclass[ProductId],0))="Sim","Conforme (autoavaliação)",IF(INDEX(tbl_recyclass[Conforme_PPWR_2030],MATCH(A320,tbl_recyclass[ProductId],0))="Não","Não conforme em 2030","Isento até 2035")),IF(B320="EU-ENV-003",IF(INDEX(tbl_recyclass[Conforme_Art7_2030],MATCH(A320,tbl_recyclass[ProductId],0))="Sim","Conforme (meta 2030)",IF(INDEX(tbl_recyclass[Conforme_Art7_2030],MATCH(A320,tbl_recyclass[ProductId],0))="Não","Lacuna face à meta 2030","Isento")),IF(B320="EU-ENV-011",IF(INDEX(tbl_familias_ppwr[Metais_Pesados_Evidencia],MATCH(INDEX(tbl_recyclass[Familia_PPWR],MATCH(A320,tbl_recyclass[ProductId],0)),tbl_familias_ppwr[ID_Familia],0))="Em falta","Lacuna","Conforme"),IF(B320="EU-ENV-013",IF(INDEX(tbl_familias_ppwr[Declaracao_UE],MATCH(INDEX(tbl_recyclass[Familia_PPWR],MATCH(A320,tbl_recyclass[ProductId],0)),tbl_familias_ppwr[ID_Familia],0))="Sim","Conforme","Lacuna"),G320)))),G320))</f>
        <v>Não aplicável</v>
      </c>
      <c r="I320" s="33" t="str">
        <f t="shared" si="4"/>
        <v>Não aplicável</v>
      </c>
      <c r="J320" s="26"/>
    </row>
    <row r="321" spans="1:10" ht="16.05" customHeight="1" x14ac:dyDescent="0.3">
      <c r="A321" s="26" t="s">
        <v>644</v>
      </c>
      <c r="B321" s="26" t="s">
        <v>1179</v>
      </c>
      <c r="C321" s="33" t="str">
        <f>IFERROR(INDEX(tbl_requisitos_emb[Tema],MATCH(B321,tbl_requisitos_emb[ID_Req],0)),"")</f>
        <v>Bisfenol A e bisfenóis perigosos</v>
      </c>
      <c r="D321" s="33" t="str">
        <f>IFERROR(INDEX(tbl_recyclass[Segmento],MATCH(A321,tbl_recyclass[ProductId],0)),"")</f>
        <v>Cosmética e higiene pessoal</v>
      </c>
      <c r="E321" s="26" t="s">
        <v>904</v>
      </c>
      <c r="F321" s="26" t="s">
        <v>1450</v>
      </c>
      <c r="G321" s="26" t="s">
        <v>1143</v>
      </c>
      <c r="H321" s="33" t="str">
        <f>IF(E321="Não","Não aplicável",IFERROR(IF(B321="EU-ENV-002",IF(INDEX(tbl_recyclass[Conforme_PPWR_2030],MATCH(A321,tbl_recyclass[ProductId],0))="Sim","Conforme (autoavaliação)",IF(INDEX(tbl_recyclass[Conforme_PPWR_2030],MATCH(A321,tbl_recyclass[ProductId],0))="Não","Não conforme em 2030","Isento até 2035")),IF(B321="EU-ENV-003",IF(INDEX(tbl_recyclass[Conforme_Art7_2030],MATCH(A321,tbl_recyclass[ProductId],0))="Sim","Conforme (meta 2030)",IF(INDEX(tbl_recyclass[Conforme_Art7_2030],MATCH(A321,tbl_recyclass[ProductId],0))="Não","Lacuna face à meta 2030","Isento")),IF(B321="EU-ENV-011",IF(INDEX(tbl_familias_ppwr[Metais_Pesados_Evidencia],MATCH(INDEX(tbl_recyclass[Familia_PPWR],MATCH(A321,tbl_recyclass[ProductId],0)),tbl_familias_ppwr[ID_Familia],0))="Em falta","Lacuna","Conforme"),IF(B321="EU-ENV-013",IF(INDEX(tbl_familias_ppwr[Declaracao_UE],MATCH(INDEX(tbl_recyclass[Familia_PPWR],MATCH(A321,tbl_recyclass[ProductId],0)),tbl_familias_ppwr[ID_Familia],0))="Sim","Conforme","Lacuna"),G321)))),G321))</f>
        <v>Não aplicável</v>
      </c>
      <c r="I321" s="33" t="str">
        <f t="shared" si="4"/>
        <v>Não aplicável</v>
      </c>
      <c r="J321" s="26"/>
    </row>
    <row r="322" spans="1:10" ht="16.05" customHeight="1" x14ac:dyDescent="0.3">
      <c r="A322" s="26" t="s">
        <v>644</v>
      </c>
      <c r="B322" s="26" t="s">
        <v>1188</v>
      </c>
      <c r="C322" s="33" t="str">
        <f>IFERROR(INDEX(tbl_requisitos_emb[Tema],MATCH(B322,tbl_requisitos_emb[ID_Req],0)),"")</f>
        <v>Plásticos em contacto com alimentos</v>
      </c>
      <c r="D322" s="33" t="str">
        <f>IFERROR(INDEX(tbl_recyclass[Segmento],MATCH(A322,tbl_recyclass[ProductId],0)),"")</f>
        <v>Cosmética e higiene pessoal</v>
      </c>
      <c r="E322" s="26" t="s">
        <v>904</v>
      </c>
      <c r="F322" s="26" t="s">
        <v>1450</v>
      </c>
      <c r="G322" s="26" t="s">
        <v>1143</v>
      </c>
      <c r="H322" s="33" t="str">
        <f>IF(E322="Não","Não aplicável",IFERROR(IF(B322="EU-ENV-002",IF(INDEX(tbl_recyclass[Conforme_PPWR_2030],MATCH(A322,tbl_recyclass[ProductId],0))="Sim","Conforme (autoavaliação)",IF(INDEX(tbl_recyclass[Conforme_PPWR_2030],MATCH(A322,tbl_recyclass[ProductId],0))="Não","Não conforme em 2030","Isento até 2035")),IF(B322="EU-ENV-003",IF(INDEX(tbl_recyclass[Conforme_Art7_2030],MATCH(A322,tbl_recyclass[ProductId],0))="Sim","Conforme (meta 2030)",IF(INDEX(tbl_recyclass[Conforme_Art7_2030],MATCH(A322,tbl_recyclass[ProductId],0))="Não","Lacuna face à meta 2030","Isento")),IF(B322="EU-ENV-011",IF(INDEX(tbl_familias_ppwr[Metais_Pesados_Evidencia],MATCH(INDEX(tbl_recyclass[Familia_PPWR],MATCH(A322,tbl_recyclass[ProductId],0)),tbl_familias_ppwr[ID_Familia],0))="Em falta","Lacuna","Conforme"),IF(B322="EU-ENV-013",IF(INDEX(tbl_familias_ppwr[Declaracao_UE],MATCH(INDEX(tbl_recyclass[Familia_PPWR],MATCH(A322,tbl_recyclass[ProductId],0)),tbl_familias_ppwr[ID_Familia],0))="Sim","Conforme","Lacuna"),G322)))),G322))</f>
        <v>Não aplicável</v>
      </c>
      <c r="I322" s="33" t="str">
        <f t="shared" ref="I322:I385" si="5">IF(ISNUMBER(SEARCH("Não aplicável",H322)),"Não aplicável",IF(ISNUMBER(SEARCH("Isento",H322)),"Isento",IF(ISNUMBER(SEARCH("Não conforme",H322)),"Não conforme",IF(ISNUMBER(SEARCH("Lacuna",H322)),"Lacuna",IF(ISNUMBER(SEARCH("Conforme",H322)),"Conforme",H322)))))</f>
        <v>Não aplicável</v>
      </c>
      <c r="J322" s="26"/>
    </row>
    <row r="323" spans="1:10" ht="16.05" customHeight="1" x14ac:dyDescent="0.3">
      <c r="A323" s="26" t="s">
        <v>644</v>
      </c>
      <c r="B323" s="26" t="s">
        <v>1212</v>
      </c>
      <c r="C323" s="33" t="str">
        <f>IFERROR(INDEX(tbl_requisitos_emb[Tema],MATCH(B323,tbl_requisitos_emb[ID_Req],0)),"")</f>
        <v>Segurança do produto cosmético</v>
      </c>
      <c r="D323" s="33" t="str">
        <f>IFERROR(INDEX(tbl_recyclass[Segmento],MATCH(A323,tbl_recyclass[ProductId],0)),"")</f>
        <v>Cosmética e higiene pessoal</v>
      </c>
      <c r="E323" s="26" t="s">
        <v>901</v>
      </c>
      <c r="F323" s="26" t="s">
        <v>1449</v>
      </c>
      <c r="G323" s="26" t="s">
        <v>1033</v>
      </c>
      <c r="H323" s="33" t="str">
        <f>IF(E323="Não","Não aplicável",IFERROR(IF(B323="EU-ENV-002",IF(INDEX(tbl_recyclass[Conforme_PPWR_2030],MATCH(A323,tbl_recyclass[ProductId],0))="Sim","Conforme (autoavaliação)",IF(INDEX(tbl_recyclass[Conforme_PPWR_2030],MATCH(A323,tbl_recyclass[ProductId],0))="Não","Não conforme em 2030","Isento até 2035")),IF(B323="EU-ENV-003",IF(INDEX(tbl_recyclass[Conforme_Art7_2030],MATCH(A323,tbl_recyclass[ProductId],0))="Sim","Conforme (meta 2030)",IF(INDEX(tbl_recyclass[Conforme_Art7_2030],MATCH(A323,tbl_recyclass[ProductId],0))="Não","Lacuna face à meta 2030","Isento")),IF(B323="EU-ENV-011",IF(INDEX(tbl_familias_ppwr[Metais_Pesados_Evidencia],MATCH(INDEX(tbl_recyclass[Familia_PPWR],MATCH(A323,tbl_recyclass[ProductId],0)),tbl_familias_ppwr[ID_Familia],0))="Em falta","Lacuna","Conforme"),IF(B323="EU-ENV-013",IF(INDEX(tbl_familias_ppwr[Declaracao_UE],MATCH(INDEX(tbl_recyclass[Familia_PPWR],MATCH(A323,tbl_recyclass[ProductId],0)),tbl_familias_ppwr[ID_Familia],0))="Sim","Conforme","Lacuna"),G323)))),G323))</f>
        <v>Conforme</v>
      </c>
      <c r="I323" s="33" t="str">
        <f t="shared" si="5"/>
        <v>Conforme</v>
      </c>
      <c r="J323" s="26" t="s">
        <v>1221</v>
      </c>
    </row>
    <row r="324" spans="1:10" ht="16.05" customHeight="1" x14ac:dyDescent="0.3">
      <c r="A324" s="26" t="s">
        <v>644</v>
      </c>
      <c r="B324" s="26" t="s">
        <v>1224</v>
      </c>
      <c r="C324" s="33" t="str">
        <f>IFERROR(INDEX(tbl_requisitos_emb[Tema],MATCH(B324,tbl_requisitos_emb[ID_Req],0)),"")</f>
        <v>Materiais e impurezas</v>
      </c>
      <c r="D324" s="33" t="str">
        <f>IFERROR(INDEX(tbl_recyclass[Segmento],MATCH(A324,tbl_recyclass[ProductId],0)),"")</f>
        <v>Cosmética e higiene pessoal</v>
      </c>
      <c r="E324" s="26" t="s">
        <v>901</v>
      </c>
      <c r="F324" s="26" t="s">
        <v>1449</v>
      </c>
      <c r="G324" s="26" t="s">
        <v>978</v>
      </c>
      <c r="H324" s="33" t="str">
        <f>IF(E324="Não","Não aplicável",IFERROR(IF(B324="EU-ENV-002",IF(INDEX(tbl_recyclass[Conforme_PPWR_2030],MATCH(A324,tbl_recyclass[ProductId],0))="Sim","Conforme (autoavaliação)",IF(INDEX(tbl_recyclass[Conforme_PPWR_2030],MATCH(A324,tbl_recyclass[ProductId],0))="Não","Não conforme em 2030","Isento até 2035")),IF(B324="EU-ENV-003",IF(INDEX(tbl_recyclass[Conforme_Art7_2030],MATCH(A324,tbl_recyclass[ProductId],0))="Sim","Conforme (meta 2030)",IF(INDEX(tbl_recyclass[Conforme_Art7_2030],MATCH(A324,tbl_recyclass[ProductId],0))="Não","Lacuna face à meta 2030","Isento")),IF(B324="EU-ENV-011",IF(INDEX(tbl_familias_ppwr[Metais_Pesados_Evidencia],MATCH(INDEX(tbl_recyclass[Familia_PPWR],MATCH(A324,tbl_recyclass[ProductId],0)),tbl_familias_ppwr[ID_Familia],0))="Em falta","Lacuna","Conforme"),IF(B324="EU-ENV-013",IF(INDEX(tbl_familias_ppwr[Declaracao_UE],MATCH(INDEX(tbl_recyclass[Familia_PPWR],MATCH(A324,tbl_recyclass[ProductId],0)),tbl_familias_ppwr[ID_Familia],0))="Sim","Conforme","Lacuna"),G324)))),G324))</f>
        <v>Parcial</v>
      </c>
      <c r="I324" s="33" t="str">
        <f t="shared" si="5"/>
        <v>Parcial</v>
      </c>
      <c r="J324" s="26" t="s">
        <v>1228</v>
      </c>
    </row>
    <row r="325" spans="1:10" ht="16.05" customHeight="1" x14ac:dyDescent="0.3">
      <c r="A325" s="26" t="s">
        <v>644</v>
      </c>
      <c r="B325" s="26" t="s">
        <v>1240</v>
      </c>
      <c r="C325" s="33" t="str">
        <f>IFERROR(INDEX(tbl_requisitos_emb[Tema],MATCH(B325,tbl_requisitos_emb[ID_Req],0)),"")</f>
        <v>Compatibilidade embalagem–produto</v>
      </c>
      <c r="D325" s="33" t="str">
        <f>IFERROR(INDEX(tbl_recyclass[Segmento],MATCH(A325,tbl_recyclass[ProductId],0)),"")</f>
        <v>Cosmética e higiene pessoal</v>
      </c>
      <c r="E325" s="26" t="s">
        <v>901</v>
      </c>
      <c r="F325" s="26" t="s">
        <v>1449</v>
      </c>
      <c r="G325" s="26" t="s">
        <v>1033</v>
      </c>
      <c r="H325" s="33" t="str">
        <f>IF(E325="Não","Não aplicável",IFERROR(IF(B325="EU-ENV-002",IF(INDEX(tbl_recyclass[Conforme_PPWR_2030],MATCH(A325,tbl_recyclass[ProductId],0))="Sim","Conforme (autoavaliação)",IF(INDEX(tbl_recyclass[Conforme_PPWR_2030],MATCH(A325,tbl_recyclass[ProductId],0))="Não","Não conforme em 2030","Isento até 2035")),IF(B325="EU-ENV-003",IF(INDEX(tbl_recyclass[Conforme_Art7_2030],MATCH(A325,tbl_recyclass[ProductId],0))="Sim","Conforme (meta 2030)",IF(INDEX(tbl_recyclass[Conforme_Art7_2030],MATCH(A325,tbl_recyclass[ProductId],0))="Não","Lacuna face à meta 2030","Isento")),IF(B325="EU-ENV-011",IF(INDEX(tbl_familias_ppwr[Metais_Pesados_Evidencia],MATCH(INDEX(tbl_recyclass[Familia_PPWR],MATCH(A325,tbl_recyclass[ProductId],0)),tbl_familias_ppwr[ID_Familia],0))="Em falta","Lacuna","Conforme"),IF(B325="EU-ENV-013",IF(INDEX(tbl_familias_ppwr[Declaracao_UE],MATCH(INDEX(tbl_recyclass[Familia_PPWR],MATCH(A325,tbl_recyclass[ProductId],0)),tbl_familias_ppwr[ID_Familia],0))="Sim","Conforme","Lacuna"),G325)))),G325))</f>
        <v>Conforme</v>
      </c>
      <c r="I325" s="33" t="str">
        <f t="shared" si="5"/>
        <v>Conforme</v>
      </c>
      <c r="J325" s="26" t="s">
        <v>1244</v>
      </c>
    </row>
    <row r="326" spans="1:10" ht="16.05" customHeight="1" x14ac:dyDescent="0.3">
      <c r="A326" s="26" t="s">
        <v>644</v>
      </c>
      <c r="B326" s="26" t="s">
        <v>1252</v>
      </c>
      <c r="C326" s="33" t="str">
        <f>IFERROR(INDEX(tbl_requisitos_emb[Tema],MATCH(B326,tbl_requisitos_emb[ID_Req],0)),"")</f>
        <v>Medicamentos de uso humano</v>
      </c>
      <c r="D326" s="33" t="str">
        <f>IFERROR(INDEX(tbl_recyclass[Segmento],MATCH(A326,tbl_recyclass[ProductId],0)),"")</f>
        <v>Cosmética e higiene pessoal</v>
      </c>
      <c r="E326" s="26" t="s">
        <v>904</v>
      </c>
      <c r="F326" s="26" t="s">
        <v>1451</v>
      </c>
      <c r="G326" s="26" t="s">
        <v>1143</v>
      </c>
      <c r="H326" s="33" t="str">
        <f>IF(E326="Não","Não aplicável",IFERROR(IF(B326="EU-ENV-002",IF(INDEX(tbl_recyclass[Conforme_PPWR_2030],MATCH(A326,tbl_recyclass[ProductId],0))="Sim","Conforme (autoavaliação)",IF(INDEX(tbl_recyclass[Conforme_PPWR_2030],MATCH(A326,tbl_recyclass[ProductId],0))="Não","Não conforme em 2030","Isento até 2035")),IF(B326="EU-ENV-003",IF(INDEX(tbl_recyclass[Conforme_Art7_2030],MATCH(A326,tbl_recyclass[ProductId],0))="Sim","Conforme (meta 2030)",IF(INDEX(tbl_recyclass[Conforme_Art7_2030],MATCH(A326,tbl_recyclass[ProductId],0))="Não","Lacuna face à meta 2030","Isento")),IF(B326="EU-ENV-011",IF(INDEX(tbl_familias_ppwr[Metais_Pesados_Evidencia],MATCH(INDEX(tbl_recyclass[Familia_PPWR],MATCH(A326,tbl_recyclass[ProductId],0)),tbl_familias_ppwr[ID_Familia],0))="Em falta","Lacuna","Conforme"),IF(B326="EU-ENV-013",IF(INDEX(tbl_familias_ppwr[Declaracao_UE],MATCH(INDEX(tbl_recyclass[Familia_PPWR],MATCH(A326,tbl_recyclass[ProductId],0)),tbl_familias_ppwr[ID_Familia],0))="Sim","Conforme","Lacuna"),G326)))),G326))</f>
        <v>Não aplicável</v>
      </c>
      <c r="I326" s="33" t="str">
        <f t="shared" si="5"/>
        <v>Não aplicável</v>
      </c>
      <c r="J326" s="26"/>
    </row>
    <row r="327" spans="1:10" ht="16.05" customHeight="1" x14ac:dyDescent="0.3">
      <c r="A327" s="26" t="s">
        <v>644</v>
      </c>
      <c r="B327" s="26" t="s">
        <v>1268</v>
      </c>
      <c r="C327" s="33" t="str">
        <f>IFERROR(INDEX(tbl_requisitos_emb[Tema],MATCH(B327,tbl_requisitos_emb[ID_Req],0)),"")</f>
        <v>Dispositivos de segurança</v>
      </c>
      <c r="D327" s="33" t="str">
        <f>IFERROR(INDEX(tbl_recyclass[Segmento],MATCH(A327,tbl_recyclass[ProductId],0)),"")</f>
        <v>Cosmética e higiene pessoal</v>
      </c>
      <c r="E327" s="26" t="s">
        <v>904</v>
      </c>
      <c r="F327" s="26" t="s">
        <v>1451</v>
      </c>
      <c r="G327" s="26" t="s">
        <v>1143</v>
      </c>
      <c r="H327" s="33" t="str">
        <f>IF(E327="Não","Não aplicável",IFERROR(IF(B327="EU-ENV-002",IF(INDEX(tbl_recyclass[Conforme_PPWR_2030],MATCH(A327,tbl_recyclass[ProductId],0))="Sim","Conforme (autoavaliação)",IF(INDEX(tbl_recyclass[Conforme_PPWR_2030],MATCH(A327,tbl_recyclass[ProductId],0))="Não","Não conforme em 2030","Isento até 2035")),IF(B327="EU-ENV-003",IF(INDEX(tbl_recyclass[Conforme_Art7_2030],MATCH(A327,tbl_recyclass[ProductId],0))="Sim","Conforme (meta 2030)",IF(INDEX(tbl_recyclass[Conforme_Art7_2030],MATCH(A327,tbl_recyclass[ProductId],0))="Não","Lacuna face à meta 2030","Isento")),IF(B327="EU-ENV-011",IF(INDEX(tbl_familias_ppwr[Metais_Pesados_Evidencia],MATCH(INDEX(tbl_recyclass[Familia_PPWR],MATCH(A327,tbl_recyclass[ProductId],0)),tbl_familias_ppwr[ID_Familia],0))="Em falta","Lacuna","Conforme"),IF(B327="EU-ENV-013",IF(INDEX(tbl_familias_ppwr[Declaracao_UE],MATCH(INDEX(tbl_recyclass[Familia_PPWR],MATCH(A327,tbl_recyclass[ProductId],0)),tbl_familias_ppwr[ID_Familia],0))="Sim","Conforme","Lacuna"),G327)))),G327))</f>
        <v>Não aplicável</v>
      </c>
      <c r="I327" s="33" t="str">
        <f t="shared" si="5"/>
        <v>Não aplicável</v>
      </c>
      <c r="J327" s="26"/>
    </row>
    <row r="328" spans="1:10" ht="16.05" customHeight="1" x14ac:dyDescent="0.3">
      <c r="A328" s="26" t="s">
        <v>644</v>
      </c>
      <c r="B328" s="26" t="s">
        <v>1285</v>
      </c>
      <c r="C328" s="33" t="str">
        <f>IFERROR(INDEX(tbl_requisitos_emb[Tema],MATCH(B328,tbl_requisitos_emb[ID_Req],0)),"")</f>
        <v>Materiais plásticos de acondicionamento primário</v>
      </c>
      <c r="D328" s="33" t="str">
        <f>IFERROR(INDEX(tbl_recyclass[Segmento],MATCH(A328,tbl_recyclass[ProductId],0)),"")</f>
        <v>Cosmética e higiene pessoal</v>
      </c>
      <c r="E328" s="26" t="s">
        <v>904</v>
      </c>
      <c r="F328" s="26" t="s">
        <v>1451</v>
      </c>
      <c r="G328" s="26" t="s">
        <v>1143</v>
      </c>
      <c r="H328" s="33" t="str">
        <f>IF(E328="Não","Não aplicável",IFERROR(IF(B328="EU-ENV-002",IF(INDEX(tbl_recyclass[Conforme_PPWR_2030],MATCH(A328,tbl_recyclass[ProductId],0))="Sim","Conforme (autoavaliação)",IF(INDEX(tbl_recyclass[Conforme_PPWR_2030],MATCH(A328,tbl_recyclass[ProductId],0))="Não","Não conforme em 2030","Isento até 2035")),IF(B328="EU-ENV-003",IF(INDEX(tbl_recyclass[Conforme_Art7_2030],MATCH(A328,tbl_recyclass[ProductId],0))="Sim","Conforme (meta 2030)",IF(INDEX(tbl_recyclass[Conforme_Art7_2030],MATCH(A328,tbl_recyclass[ProductId],0))="Não","Lacuna face à meta 2030","Isento")),IF(B328="EU-ENV-011",IF(INDEX(tbl_familias_ppwr[Metais_Pesados_Evidencia],MATCH(INDEX(tbl_recyclass[Familia_PPWR],MATCH(A328,tbl_recyclass[ProductId],0)),tbl_familias_ppwr[ID_Familia],0))="Em falta","Lacuna","Conforme"),IF(B328="EU-ENV-013",IF(INDEX(tbl_familias_ppwr[Declaracao_UE],MATCH(INDEX(tbl_recyclass[Familia_PPWR],MATCH(A328,tbl_recyclass[ProductId],0)),tbl_familias_ppwr[ID_Familia],0))="Sim","Conforme","Lacuna"),G328)))),G328))</f>
        <v>Não aplicável</v>
      </c>
      <c r="I328" s="33" t="str">
        <f t="shared" si="5"/>
        <v>Não aplicável</v>
      </c>
      <c r="J328" s="26"/>
    </row>
    <row r="329" spans="1:10" ht="16.05" customHeight="1" x14ac:dyDescent="0.3">
      <c r="A329" s="26" t="s">
        <v>644</v>
      </c>
      <c r="B329" s="26" t="s">
        <v>1293</v>
      </c>
      <c r="C329" s="33" t="str">
        <f>IFERROR(INDEX(tbl_requisitos_emb[Tema],MATCH(B329,tbl_requisitos_emb[ID_Req],0)),"")</f>
        <v>Isenções PPWR</v>
      </c>
      <c r="D329" s="33" t="str">
        <f>IFERROR(INDEX(tbl_recyclass[Segmento],MATCH(A329,tbl_recyclass[ProductId],0)),"")</f>
        <v>Cosmética e higiene pessoal</v>
      </c>
      <c r="E329" s="26" t="s">
        <v>904</v>
      </c>
      <c r="F329" s="26" t="s">
        <v>1451</v>
      </c>
      <c r="G329" s="26" t="s">
        <v>1143</v>
      </c>
      <c r="H329" s="33" t="str">
        <f>IF(E329="Não","Não aplicável",IFERROR(IF(B329="EU-ENV-002",IF(INDEX(tbl_recyclass[Conforme_PPWR_2030],MATCH(A329,tbl_recyclass[ProductId],0))="Sim","Conforme (autoavaliação)",IF(INDEX(tbl_recyclass[Conforme_PPWR_2030],MATCH(A329,tbl_recyclass[ProductId],0))="Não","Não conforme em 2030","Isento até 2035")),IF(B329="EU-ENV-003",IF(INDEX(tbl_recyclass[Conforme_Art7_2030],MATCH(A329,tbl_recyclass[ProductId],0))="Sim","Conforme (meta 2030)",IF(INDEX(tbl_recyclass[Conforme_Art7_2030],MATCH(A329,tbl_recyclass[ProductId],0))="Não","Lacuna face à meta 2030","Isento")),IF(B329="EU-ENV-011",IF(INDEX(tbl_familias_ppwr[Metais_Pesados_Evidencia],MATCH(INDEX(tbl_recyclass[Familia_PPWR],MATCH(A329,tbl_recyclass[ProductId],0)),tbl_familias_ppwr[ID_Familia],0))="Em falta","Lacuna","Conforme"),IF(B329="EU-ENV-013",IF(INDEX(tbl_familias_ppwr[Declaracao_UE],MATCH(INDEX(tbl_recyclass[Familia_PPWR],MATCH(A329,tbl_recyclass[ProductId],0)),tbl_familias_ppwr[ID_Familia],0))="Sim","Conforme","Lacuna"),G329)))),G329))</f>
        <v>Não aplicável</v>
      </c>
      <c r="I329" s="33" t="str">
        <f t="shared" si="5"/>
        <v>Não aplicável</v>
      </c>
      <c r="J329" s="26"/>
    </row>
    <row r="330" spans="1:10" ht="16.05" customHeight="1" x14ac:dyDescent="0.3">
      <c r="A330" s="26" t="s">
        <v>644</v>
      </c>
      <c r="B330" s="26" t="s">
        <v>1357</v>
      </c>
      <c r="C330" s="33" t="str">
        <f>IFERROR(INDEX(tbl_requisitos_emb[Tema],MATCH(B330,tbl_requisitos_emb[ID_Req],0)),"")</f>
        <v>Identificação de plásticos</v>
      </c>
      <c r="D330" s="33" t="str">
        <f>IFERROR(INDEX(tbl_recyclass[Segmento],MATCH(A330,tbl_recyclass[ProductId],0)),"")</f>
        <v>Cosmética e higiene pessoal</v>
      </c>
      <c r="E330" s="26" t="s">
        <v>901</v>
      </c>
      <c r="F330" s="26" t="s">
        <v>1449</v>
      </c>
      <c r="G330" s="26" t="s">
        <v>978</v>
      </c>
      <c r="H330" s="33" t="str">
        <f>IF(E330="Não","Não aplicável",IFERROR(IF(B330="EU-ENV-002",IF(INDEX(tbl_recyclass[Conforme_PPWR_2030],MATCH(A330,tbl_recyclass[ProductId],0))="Sim","Conforme (autoavaliação)",IF(INDEX(tbl_recyclass[Conforme_PPWR_2030],MATCH(A330,tbl_recyclass[ProductId],0))="Não","Não conforme em 2030","Isento até 2035")),IF(B330="EU-ENV-003",IF(INDEX(tbl_recyclass[Conforme_Art7_2030],MATCH(A330,tbl_recyclass[ProductId],0))="Sim","Conforme (meta 2030)",IF(INDEX(tbl_recyclass[Conforme_Art7_2030],MATCH(A330,tbl_recyclass[ProductId],0))="Não","Lacuna face à meta 2030","Isento")),IF(B330="EU-ENV-011",IF(INDEX(tbl_familias_ppwr[Metais_Pesados_Evidencia],MATCH(INDEX(tbl_recyclass[Familia_PPWR],MATCH(A330,tbl_recyclass[ProductId],0)),tbl_familias_ppwr[ID_Familia],0))="Em falta","Lacuna","Conforme"),IF(B330="EU-ENV-013",IF(INDEX(tbl_familias_ppwr[Declaracao_UE],MATCH(INDEX(tbl_recyclass[Familia_PPWR],MATCH(A330,tbl_recyclass[ProductId],0)),tbl_familias_ppwr[ID_Familia],0))="Sim","Conforme","Lacuna"),G330)))),G330))</f>
        <v>Parcial</v>
      </c>
      <c r="I330" s="33" t="str">
        <f t="shared" si="5"/>
        <v>Parcial</v>
      </c>
      <c r="J330" s="26" t="s">
        <v>1362</v>
      </c>
    </row>
    <row r="331" spans="1:10" ht="16.05" customHeight="1" x14ac:dyDescent="0.3">
      <c r="A331" s="26" t="s">
        <v>644</v>
      </c>
      <c r="B331" s="26" t="s">
        <v>1385</v>
      </c>
      <c r="C331" s="33" t="str">
        <f>IFERROR(INDEX(tbl_requisitos_emb[Tema],MATCH(B331,tbl_requisitos_emb[ID_Req],0)),"")</f>
        <v>Reciclabilidade (voluntária)</v>
      </c>
      <c r="D331" s="33" t="str">
        <f>IFERROR(INDEX(tbl_recyclass[Segmento],MATCH(A331,tbl_recyclass[ProductId],0)),"")</f>
        <v>Cosmética e higiene pessoal</v>
      </c>
      <c r="E331" s="26" t="s">
        <v>901</v>
      </c>
      <c r="F331" s="26" t="s">
        <v>1449</v>
      </c>
      <c r="G331" s="26" t="s">
        <v>978</v>
      </c>
      <c r="H331" s="33" t="str">
        <f>IF(E331="Não","Não aplicável",IFERROR(IF(B331="EU-ENV-002",IF(INDEX(tbl_recyclass[Conforme_PPWR_2030],MATCH(A331,tbl_recyclass[ProductId],0))="Sim","Conforme (autoavaliação)",IF(INDEX(tbl_recyclass[Conforme_PPWR_2030],MATCH(A331,tbl_recyclass[ProductId],0))="Não","Não conforme em 2030","Isento até 2035")),IF(B331="EU-ENV-003",IF(INDEX(tbl_recyclass[Conforme_Art7_2030],MATCH(A331,tbl_recyclass[ProductId],0))="Sim","Conforme (meta 2030)",IF(INDEX(tbl_recyclass[Conforme_Art7_2030],MATCH(A331,tbl_recyclass[ProductId],0))="Não","Lacuna face à meta 2030","Isento")),IF(B331="EU-ENV-011",IF(INDEX(tbl_familias_ppwr[Metais_Pesados_Evidencia],MATCH(INDEX(tbl_recyclass[Familia_PPWR],MATCH(A331,tbl_recyclass[ProductId],0)),tbl_familias_ppwr[ID_Familia],0))="Em falta","Lacuna","Conforme"),IF(B331="EU-ENV-013",IF(INDEX(tbl_familias_ppwr[Declaracao_UE],MATCH(INDEX(tbl_recyclass[Familia_PPWR],MATCH(A331,tbl_recyclass[ProductId],0)),tbl_familias_ppwr[ID_Familia],0))="Sim","Conforme","Lacuna"),G331)))),G331))</f>
        <v>Parcial</v>
      </c>
      <c r="I331" s="33" t="str">
        <f t="shared" si="5"/>
        <v>Parcial</v>
      </c>
      <c r="J331" s="26" t="s">
        <v>1389</v>
      </c>
    </row>
    <row r="332" spans="1:10" ht="16.05" customHeight="1" x14ac:dyDescent="0.3">
      <c r="A332" s="26" t="s">
        <v>646</v>
      </c>
      <c r="B332" s="26" t="s">
        <v>984</v>
      </c>
      <c r="C332" s="33" t="str">
        <f>IFERROR(INDEX(tbl_requisitos_emb[Tema],MATCH(B332,tbl_requisitos_emb[ID_Req],0)),"")</f>
        <v>Conceção para reciclagem</v>
      </c>
      <c r="D332" s="33" t="str">
        <f>IFERROR(INDEX(tbl_recyclass[Segmento],MATCH(A332,tbl_recyclass[ProductId],0)),"")</f>
        <v>Cosmética e higiene pessoal</v>
      </c>
      <c r="E332" s="26" t="s">
        <v>901</v>
      </c>
      <c r="F332" s="26" t="s">
        <v>1449</v>
      </c>
      <c r="G332" s="26" t="s">
        <v>978</v>
      </c>
      <c r="H332" s="33" t="str">
        <f>IF(E332="Não","Não aplicável",IFERROR(IF(B332="EU-ENV-002",IF(INDEX(tbl_recyclass[Conforme_PPWR_2030],MATCH(A332,tbl_recyclass[ProductId],0))="Sim","Conforme (autoavaliação)",IF(INDEX(tbl_recyclass[Conforme_PPWR_2030],MATCH(A332,tbl_recyclass[ProductId],0))="Não","Não conforme em 2030","Isento até 2035")),IF(B332="EU-ENV-003",IF(INDEX(tbl_recyclass[Conforme_Art7_2030],MATCH(A332,tbl_recyclass[ProductId],0))="Sim","Conforme (meta 2030)",IF(INDEX(tbl_recyclass[Conforme_Art7_2030],MATCH(A332,tbl_recyclass[ProductId],0))="Não","Lacuna face à meta 2030","Isento")),IF(B332="EU-ENV-011",IF(INDEX(tbl_familias_ppwr[Metais_Pesados_Evidencia],MATCH(INDEX(tbl_recyclass[Familia_PPWR],MATCH(A332,tbl_recyclass[ProductId],0)),tbl_familias_ppwr[ID_Familia],0))="Em falta","Lacuna","Conforme"),IF(B332="EU-ENV-013",IF(INDEX(tbl_familias_ppwr[Declaracao_UE],MATCH(INDEX(tbl_recyclass[Familia_PPWR],MATCH(A332,tbl_recyclass[ProductId],0)),tbl_familias_ppwr[ID_Familia],0))="Sim","Conforme","Lacuna"),G332)))),G332))</f>
        <v>Não conforme em 2030</v>
      </c>
      <c r="I332" s="33" t="str">
        <f t="shared" si="5"/>
        <v>Não conforme</v>
      </c>
      <c r="J332" s="26" t="s">
        <v>991</v>
      </c>
    </row>
    <row r="333" spans="1:10" ht="16.05" customHeight="1" x14ac:dyDescent="0.3">
      <c r="A333" s="26" t="s">
        <v>646</v>
      </c>
      <c r="B333" s="26" t="s">
        <v>997</v>
      </c>
      <c r="C333" s="33" t="str">
        <f>IFERROR(INDEX(tbl_requisitos_emb[Tema],MATCH(B333,tbl_requisitos_emb[ID_Req],0)),"")</f>
        <v>Conteúdo reciclado</v>
      </c>
      <c r="D333" s="33" t="str">
        <f>IFERROR(INDEX(tbl_recyclass[Segmento],MATCH(A333,tbl_recyclass[ProductId],0)),"")</f>
        <v>Cosmética e higiene pessoal</v>
      </c>
      <c r="E333" s="26" t="s">
        <v>901</v>
      </c>
      <c r="F333" s="26" t="s">
        <v>1449</v>
      </c>
      <c r="G333" s="26" t="s">
        <v>978</v>
      </c>
      <c r="H333" s="33" t="str">
        <f>IF(E333="Não","Não aplicável",IFERROR(IF(B333="EU-ENV-002",IF(INDEX(tbl_recyclass[Conforme_PPWR_2030],MATCH(A333,tbl_recyclass[ProductId],0))="Sim","Conforme (autoavaliação)",IF(INDEX(tbl_recyclass[Conforme_PPWR_2030],MATCH(A333,tbl_recyclass[ProductId],0))="Não","Não conforme em 2030","Isento até 2035")),IF(B333="EU-ENV-003",IF(INDEX(tbl_recyclass[Conforme_Art7_2030],MATCH(A333,tbl_recyclass[ProductId],0))="Sim","Conforme (meta 2030)",IF(INDEX(tbl_recyclass[Conforme_Art7_2030],MATCH(A333,tbl_recyclass[ProductId],0))="Não","Lacuna face à meta 2030","Isento")),IF(B333="EU-ENV-011",IF(INDEX(tbl_familias_ppwr[Metais_Pesados_Evidencia],MATCH(INDEX(tbl_recyclass[Familia_PPWR],MATCH(A333,tbl_recyclass[ProductId],0)),tbl_familias_ppwr[ID_Familia],0))="Em falta","Lacuna","Conforme"),IF(B333="EU-ENV-013",IF(INDEX(tbl_familias_ppwr[Declaracao_UE],MATCH(INDEX(tbl_recyclass[Familia_PPWR],MATCH(A333,tbl_recyclass[ProductId],0)),tbl_familias_ppwr[ID_Familia],0))="Sim","Conforme","Lacuna"),G333)))),G333))</f>
        <v>Lacuna face à meta 2030</v>
      </c>
      <c r="I333" s="33" t="str">
        <f t="shared" si="5"/>
        <v>Lacuna</v>
      </c>
      <c r="J333" s="26" t="s">
        <v>1001</v>
      </c>
    </row>
    <row r="334" spans="1:10" ht="16.05" customHeight="1" x14ac:dyDescent="0.3">
      <c r="A334" s="26" t="s">
        <v>646</v>
      </c>
      <c r="B334" s="26" t="s">
        <v>1007</v>
      </c>
      <c r="C334" s="33" t="str">
        <f>IFERROR(INDEX(tbl_requisitos_emb[Tema],MATCH(B334,tbl_requisitos_emb[ID_Req],0)),"")</f>
        <v>Minimização</v>
      </c>
      <c r="D334" s="33" t="str">
        <f>IFERROR(INDEX(tbl_recyclass[Segmento],MATCH(A334,tbl_recyclass[ProductId],0)),"")</f>
        <v>Cosmética e higiene pessoal</v>
      </c>
      <c r="E334" s="26" t="s">
        <v>901</v>
      </c>
      <c r="F334" s="26" t="s">
        <v>1449</v>
      </c>
      <c r="G334" s="26" t="s">
        <v>978</v>
      </c>
      <c r="H334" s="33" t="str">
        <f>IF(E334="Não","Não aplicável",IFERROR(IF(B334="EU-ENV-002",IF(INDEX(tbl_recyclass[Conforme_PPWR_2030],MATCH(A334,tbl_recyclass[ProductId],0))="Sim","Conforme (autoavaliação)",IF(INDEX(tbl_recyclass[Conforme_PPWR_2030],MATCH(A334,tbl_recyclass[ProductId],0))="Não","Não conforme em 2030","Isento até 2035")),IF(B334="EU-ENV-003",IF(INDEX(tbl_recyclass[Conforme_Art7_2030],MATCH(A334,tbl_recyclass[ProductId],0))="Sim","Conforme (meta 2030)",IF(INDEX(tbl_recyclass[Conforme_Art7_2030],MATCH(A334,tbl_recyclass[ProductId],0))="Não","Lacuna face à meta 2030","Isento")),IF(B334="EU-ENV-011",IF(INDEX(tbl_familias_ppwr[Metais_Pesados_Evidencia],MATCH(INDEX(tbl_recyclass[Familia_PPWR],MATCH(A334,tbl_recyclass[ProductId],0)),tbl_familias_ppwr[ID_Familia],0))="Em falta","Lacuna","Conforme"),IF(B334="EU-ENV-013",IF(INDEX(tbl_familias_ppwr[Declaracao_UE],MATCH(INDEX(tbl_recyclass[Familia_PPWR],MATCH(A334,tbl_recyclass[ProductId],0)),tbl_familias_ppwr[ID_Familia],0))="Sim","Conforme","Lacuna"),G334)))),G334))</f>
        <v>Parcial</v>
      </c>
      <c r="I334" s="33" t="str">
        <f t="shared" si="5"/>
        <v>Parcial</v>
      </c>
      <c r="J334" s="26" t="s">
        <v>1012</v>
      </c>
    </row>
    <row r="335" spans="1:10" ht="16.05" customHeight="1" x14ac:dyDescent="0.3">
      <c r="A335" s="26" t="s">
        <v>646</v>
      </c>
      <c r="B335" s="26" t="s">
        <v>1016</v>
      </c>
      <c r="C335" s="33" t="str">
        <f>IFERROR(INDEX(tbl_requisitos_emb[Tema],MATCH(B335,tbl_requisitos_emb[ID_Req],0)),"")</f>
        <v>Rotulagem</v>
      </c>
      <c r="D335" s="33" t="str">
        <f>IFERROR(INDEX(tbl_recyclass[Segmento],MATCH(A335,tbl_recyclass[ProductId],0)),"")</f>
        <v>Cosmética e higiene pessoal</v>
      </c>
      <c r="E335" s="26" t="s">
        <v>901</v>
      </c>
      <c r="F335" s="26" t="s">
        <v>1449</v>
      </c>
      <c r="G335" s="26" t="s">
        <v>990</v>
      </c>
      <c r="H335" s="33" t="str">
        <f>IF(E335="Não","Não aplicável",IFERROR(IF(B335="EU-ENV-002",IF(INDEX(tbl_recyclass[Conforme_PPWR_2030],MATCH(A335,tbl_recyclass[ProductId],0))="Sim","Conforme (autoavaliação)",IF(INDEX(tbl_recyclass[Conforme_PPWR_2030],MATCH(A335,tbl_recyclass[ProductId],0))="Não","Não conforme em 2030","Isento até 2035")),IF(B335="EU-ENV-003",IF(INDEX(tbl_recyclass[Conforme_Art7_2030],MATCH(A335,tbl_recyclass[ProductId],0))="Sim","Conforme (meta 2030)",IF(INDEX(tbl_recyclass[Conforme_Art7_2030],MATCH(A335,tbl_recyclass[ProductId],0))="Não","Lacuna face à meta 2030","Isento")),IF(B335="EU-ENV-011",IF(INDEX(tbl_familias_ppwr[Metais_Pesados_Evidencia],MATCH(INDEX(tbl_recyclass[Familia_PPWR],MATCH(A335,tbl_recyclass[ProductId],0)),tbl_familias_ppwr[ID_Familia],0))="Em falta","Lacuna","Conforme"),IF(B335="EU-ENV-013",IF(INDEX(tbl_familias_ppwr[Declaracao_UE],MATCH(INDEX(tbl_recyclass[Familia_PPWR],MATCH(A335,tbl_recyclass[ProductId],0)),tbl_familias_ppwr[ID_Familia],0))="Sim","Conforme","Lacuna"),G335)))),G335))</f>
        <v>Futuro</v>
      </c>
      <c r="I335" s="33" t="str">
        <f t="shared" si="5"/>
        <v>Futuro</v>
      </c>
      <c r="J335" s="26" t="s">
        <v>1021</v>
      </c>
    </row>
    <row r="336" spans="1:10" ht="16.05" customHeight="1" x14ac:dyDescent="0.3">
      <c r="A336" s="26" t="s">
        <v>646</v>
      </c>
      <c r="B336" s="26" t="s">
        <v>1038</v>
      </c>
      <c r="C336" s="33" t="str">
        <f>IFERROR(INDEX(tbl_requisitos_emb[Tema],MATCH(B336,tbl_requisitos_emb[ID_Req],0)),"")</f>
        <v>Plásticos de utilização única</v>
      </c>
      <c r="D336" s="33" t="str">
        <f>IFERROR(INDEX(tbl_recyclass[Segmento],MATCH(A336,tbl_recyclass[ProductId],0)),"")</f>
        <v>Cosmética e higiene pessoal</v>
      </c>
      <c r="E336" s="26" t="s">
        <v>904</v>
      </c>
      <c r="F336" s="26" t="s">
        <v>1450</v>
      </c>
      <c r="G336" s="26" t="s">
        <v>1143</v>
      </c>
      <c r="H336" s="33" t="str">
        <f>IF(E336="Não","Não aplicável",IFERROR(IF(B336="EU-ENV-002",IF(INDEX(tbl_recyclass[Conforme_PPWR_2030],MATCH(A336,tbl_recyclass[ProductId],0))="Sim","Conforme (autoavaliação)",IF(INDEX(tbl_recyclass[Conforme_PPWR_2030],MATCH(A336,tbl_recyclass[ProductId],0))="Não","Não conforme em 2030","Isento até 2035")),IF(B336="EU-ENV-003",IF(INDEX(tbl_recyclass[Conforme_Art7_2030],MATCH(A336,tbl_recyclass[ProductId],0))="Sim","Conforme (meta 2030)",IF(INDEX(tbl_recyclass[Conforme_Art7_2030],MATCH(A336,tbl_recyclass[ProductId],0))="Não","Lacuna face à meta 2030","Isento")),IF(B336="EU-ENV-011",IF(INDEX(tbl_familias_ppwr[Metais_Pesados_Evidencia],MATCH(INDEX(tbl_recyclass[Familia_PPWR],MATCH(A336,tbl_recyclass[ProductId],0)),tbl_familias_ppwr[ID_Familia],0))="Em falta","Lacuna","Conforme"),IF(B336="EU-ENV-013",IF(INDEX(tbl_familias_ppwr[Declaracao_UE],MATCH(INDEX(tbl_recyclass[Familia_PPWR],MATCH(A336,tbl_recyclass[ProductId],0)),tbl_familias_ppwr[ID_Familia],0))="Sim","Conforme","Lacuna"),G336)))),G336))</f>
        <v>Não aplicável</v>
      </c>
      <c r="I336" s="33" t="str">
        <f t="shared" si="5"/>
        <v>Não aplicável</v>
      </c>
      <c r="J336" s="26"/>
    </row>
    <row r="337" spans="1:10" ht="16.05" customHeight="1" x14ac:dyDescent="0.3">
      <c r="A337" s="26" t="s">
        <v>646</v>
      </c>
      <c r="B337" s="26" t="s">
        <v>1078</v>
      </c>
      <c r="C337" s="33" t="str">
        <f>IFERROR(INDEX(tbl_requisitos_emb[Tema],MATCH(B337,tbl_requisitos_emb[ID_Req],0)),"")</f>
        <v>Reciclado à escala</v>
      </c>
      <c r="D337" s="33" t="str">
        <f>IFERROR(INDEX(tbl_recyclass[Segmento],MATCH(A337,tbl_recyclass[ProductId],0)),"")</f>
        <v>Cosmética e higiene pessoal</v>
      </c>
      <c r="E337" s="26" t="s">
        <v>901</v>
      </c>
      <c r="F337" s="26" t="s">
        <v>1449</v>
      </c>
      <c r="G337" s="26" t="s">
        <v>990</v>
      </c>
      <c r="H337" s="33" t="str">
        <f>IF(E337="Não","Não aplicável",IFERROR(IF(B337="EU-ENV-002",IF(INDEX(tbl_recyclass[Conforme_PPWR_2030],MATCH(A337,tbl_recyclass[ProductId],0))="Sim","Conforme (autoavaliação)",IF(INDEX(tbl_recyclass[Conforme_PPWR_2030],MATCH(A337,tbl_recyclass[ProductId],0))="Não","Não conforme em 2030","Isento até 2035")),IF(B337="EU-ENV-003",IF(INDEX(tbl_recyclass[Conforme_Art7_2030],MATCH(A337,tbl_recyclass[ProductId],0))="Sim","Conforme (meta 2030)",IF(INDEX(tbl_recyclass[Conforme_Art7_2030],MATCH(A337,tbl_recyclass[ProductId],0))="Não","Lacuna face à meta 2030","Isento")),IF(B337="EU-ENV-011",IF(INDEX(tbl_familias_ppwr[Metais_Pesados_Evidencia],MATCH(INDEX(tbl_recyclass[Familia_PPWR],MATCH(A337,tbl_recyclass[ProductId],0)),tbl_familias_ppwr[ID_Familia],0))="Em falta","Lacuna","Conforme"),IF(B337="EU-ENV-013",IF(INDEX(tbl_familias_ppwr[Declaracao_UE],MATCH(INDEX(tbl_recyclass[Familia_PPWR],MATCH(A337,tbl_recyclass[ProductId],0)),tbl_familias_ppwr[ID_Familia],0))="Sim","Conforme","Lacuna"),G337)))),G337))</f>
        <v>Futuro</v>
      </c>
      <c r="I337" s="33" t="str">
        <f t="shared" si="5"/>
        <v>Futuro</v>
      </c>
      <c r="J337" s="26" t="s">
        <v>1082</v>
      </c>
    </row>
    <row r="338" spans="1:10" ht="16.05" customHeight="1" x14ac:dyDescent="0.3">
      <c r="A338" s="26" t="s">
        <v>646</v>
      </c>
      <c r="B338" s="26" t="s">
        <v>1086</v>
      </c>
      <c r="C338" s="33" t="str">
        <f>IFERROR(INDEX(tbl_requisitos_emb[Tema],MATCH(B338,tbl_requisitos_emb[ID_Req],0)),"")</f>
        <v>Metais pesados</v>
      </c>
      <c r="D338" s="33" t="str">
        <f>IFERROR(INDEX(tbl_recyclass[Segmento],MATCH(A338,tbl_recyclass[ProductId],0)),"")</f>
        <v>Cosmética e higiene pessoal</v>
      </c>
      <c r="E338" s="26" t="s">
        <v>901</v>
      </c>
      <c r="F338" s="26" t="s">
        <v>1449</v>
      </c>
      <c r="G338" s="26" t="s">
        <v>978</v>
      </c>
      <c r="H338" s="33" t="str">
        <f>IF(E338="Não","Não aplicável",IFERROR(IF(B338="EU-ENV-002",IF(INDEX(tbl_recyclass[Conforme_PPWR_2030],MATCH(A338,tbl_recyclass[ProductId],0))="Sim","Conforme (autoavaliação)",IF(INDEX(tbl_recyclass[Conforme_PPWR_2030],MATCH(A338,tbl_recyclass[ProductId],0))="Não","Não conforme em 2030","Isento até 2035")),IF(B338="EU-ENV-003",IF(INDEX(tbl_recyclass[Conforme_Art7_2030],MATCH(A338,tbl_recyclass[ProductId],0))="Sim","Conforme (meta 2030)",IF(INDEX(tbl_recyclass[Conforme_Art7_2030],MATCH(A338,tbl_recyclass[ProductId],0))="Não","Lacuna face à meta 2030","Isento")),IF(B338="EU-ENV-011",IF(INDEX(tbl_familias_ppwr[Metais_Pesados_Evidencia],MATCH(INDEX(tbl_recyclass[Familia_PPWR],MATCH(A338,tbl_recyclass[ProductId],0)),tbl_familias_ppwr[ID_Familia],0))="Em falta","Lacuna","Conforme"),IF(B338="EU-ENV-013",IF(INDEX(tbl_familias_ppwr[Declaracao_UE],MATCH(INDEX(tbl_recyclass[Familia_PPWR],MATCH(A338,tbl_recyclass[ProductId],0)),tbl_familias_ppwr[ID_Familia],0))="Sim","Conforme","Lacuna"),G338)))),G338))</f>
        <v>Lacuna</v>
      </c>
      <c r="I338" s="33" t="str">
        <f t="shared" si="5"/>
        <v>Lacuna</v>
      </c>
      <c r="J338" s="26" t="s">
        <v>1090</v>
      </c>
    </row>
    <row r="339" spans="1:10" ht="16.05" customHeight="1" x14ac:dyDescent="0.3">
      <c r="A339" s="26" t="s">
        <v>646</v>
      </c>
      <c r="B339" s="26" t="s">
        <v>1094</v>
      </c>
      <c r="C339" s="33" t="str">
        <f>IFERROR(INDEX(tbl_requisitos_emb[Tema],MATCH(B339,tbl_requisitos_emb[ID_Req],0)),"")</f>
        <v>PFAS</v>
      </c>
      <c r="D339" s="33" t="str">
        <f>IFERROR(INDEX(tbl_recyclass[Segmento],MATCH(A339,tbl_recyclass[ProductId],0)),"")</f>
        <v>Cosmética e higiene pessoal</v>
      </c>
      <c r="E339" s="26" t="s">
        <v>904</v>
      </c>
      <c r="F339" s="26" t="s">
        <v>1450</v>
      </c>
      <c r="G339" s="26" t="s">
        <v>1143</v>
      </c>
      <c r="H339" s="33" t="str">
        <f>IF(E339="Não","Não aplicável",IFERROR(IF(B339="EU-ENV-002",IF(INDEX(tbl_recyclass[Conforme_PPWR_2030],MATCH(A339,tbl_recyclass[ProductId],0))="Sim","Conforme (autoavaliação)",IF(INDEX(tbl_recyclass[Conforme_PPWR_2030],MATCH(A339,tbl_recyclass[ProductId],0))="Não","Não conforme em 2030","Isento até 2035")),IF(B339="EU-ENV-003",IF(INDEX(tbl_recyclass[Conforme_Art7_2030],MATCH(A339,tbl_recyclass[ProductId],0))="Sim","Conforme (meta 2030)",IF(INDEX(tbl_recyclass[Conforme_Art7_2030],MATCH(A339,tbl_recyclass[ProductId],0))="Não","Lacuna face à meta 2030","Isento")),IF(B339="EU-ENV-011",IF(INDEX(tbl_familias_ppwr[Metais_Pesados_Evidencia],MATCH(INDEX(tbl_recyclass[Familia_PPWR],MATCH(A339,tbl_recyclass[ProductId],0)),tbl_familias_ppwr[ID_Familia],0))="Em falta","Lacuna","Conforme"),IF(B339="EU-ENV-013",IF(INDEX(tbl_familias_ppwr[Declaracao_UE],MATCH(INDEX(tbl_recyclass[Familia_PPWR],MATCH(A339,tbl_recyclass[ProductId],0)),tbl_familias_ppwr[ID_Familia],0))="Sim","Conforme","Lacuna"),G339)))),G339))</f>
        <v>Não aplicável</v>
      </c>
      <c r="I339" s="33" t="str">
        <f t="shared" si="5"/>
        <v>Não aplicável</v>
      </c>
      <c r="J339" s="26"/>
    </row>
    <row r="340" spans="1:10" ht="16.05" customHeight="1" x14ac:dyDescent="0.3">
      <c r="A340" s="26" t="s">
        <v>646</v>
      </c>
      <c r="B340" s="26" t="s">
        <v>1102</v>
      </c>
      <c r="C340" s="33" t="str">
        <f>IFERROR(INDEX(tbl_requisitos_emb[Tema],MATCH(B340,tbl_requisitos_emb[ID_Req],0)),"")</f>
        <v>Documentação técnica e declaração UE</v>
      </c>
      <c r="D340" s="33" t="str">
        <f>IFERROR(INDEX(tbl_recyclass[Segmento],MATCH(A340,tbl_recyclass[ProductId],0)),"")</f>
        <v>Cosmética e higiene pessoal</v>
      </c>
      <c r="E340" s="26" t="s">
        <v>901</v>
      </c>
      <c r="F340" s="26" t="s">
        <v>1449</v>
      </c>
      <c r="G340" s="26" t="s">
        <v>978</v>
      </c>
      <c r="H340" s="33" t="str">
        <f>IF(E340="Não","Não aplicável",IFERROR(IF(B340="EU-ENV-002",IF(INDEX(tbl_recyclass[Conforme_PPWR_2030],MATCH(A340,tbl_recyclass[ProductId],0))="Sim","Conforme (autoavaliação)",IF(INDEX(tbl_recyclass[Conforme_PPWR_2030],MATCH(A340,tbl_recyclass[ProductId],0))="Não","Não conforme em 2030","Isento até 2035")),IF(B340="EU-ENV-003",IF(INDEX(tbl_recyclass[Conforme_Art7_2030],MATCH(A340,tbl_recyclass[ProductId],0))="Sim","Conforme (meta 2030)",IF(INDEX(tbl_recyclass[Conforme_Art7_2030],MATCH(A340,tbl_recyclass[ProductId],0))="Não","Lacuna face à meta 2030","Isento")),IF(B340="EU-ENV-011",IF(INDEX(tbl_familias_ppwr[Metais_Pesados_Evidencia],MATCH(INDEX(tbl_recyclass[Familia_PPWR],MATCH(A340,tbl_recyclass[ProductId],0)),tbl_familias_ppwr[ID_Familia],0))="Em falta","Lacuna","Conforme"),IF(B340="EU-ENV-013",IF(INDEX(tbl_familias_ppwr[Declaracao_UE],MATCH(INDEX(tbl_recyclass[Familia_PPWR],MATCH(A340,tbl_recyclass[ProductId],0)),tbl_familias_ppwr[ID_Familia],0))="Sim","Conforme","Lacuna"),G340)))),G340))</f>
        <v>Lacuna</v>
      </c>
      <c r="I340" s="33" t="str">
        <f t="shared" si="5"/>
        <v>Lacuna</v>
      </c>
      <c r="J340" s="26" t="s">
        <v>1106</v>
      </c>
    </row>
    <row r="341" spans="1:10" ht="16.05" customHeight="1" x14ac:dyDescent="0.3">
      <c r="A341" s="26" t="s">
        <v>646</v>
      </c>
      <c r="B341" s="26" t="s">
        <v>1161</v>
      </c>
      <c r="C341" s="33" t="str">
        <f>IFERROR(INDEX(tbl_requisitos_emb[Tema],MATCH(B341,tbl_requisitos_emb[ID_Req],0)),"")</f>
        <v>Materiais em contacto com alimentos</v>
      </c>
      <c r="D341" s="33" t="str">
        <f>IFERROR(INDEX(tbl_recyclass[Segmento],MATCH(A341,tbl_recyclass[ProductId],0)),"")</f>
        <v>Cosmética e higiene pessoal</v>
      </c>
      <c r="E341" s="26" t="s">
        <v>904</v>
      </c>
      <c r="F341" s="26" t="s">
        <v>1450</v>
      </c>
      <c r="G341" s="26" t="s">
        <v>1143</v>
      </c>
      <c r="H341" s="33" t="str">
        <f>IF(E341="Não","Não aplicável",IFERROR(IF(B341="EU-ENV-002",IF(INDEX(tbl_recyclass[Conforme_PPWR_2030],MATCH(A341,tbl_recyclass[ProductId],0))="Sim","Conforme (autoavaliação)",IF(INDEX(tbl_recyclass[Conforme_PPWR_2030],MATCH(A341,tbl_recyclass[ProductId],0))="Não","Não conforme em 2030","Isento até 2035")),IF(B341="EU-ENV-003",IF(INDEX(tbl_recyclass[Conforme_Art7_2030],MATCH(A341,tbl_recyclass[ProductId],0))="Sim","Conforme (meta 2030)",IF(INDEX(tbl_recyclass[Conforme_Art7_2030],MATCH(A341,tbl_recyclass[ProductId],0))="Não","Lacuna face à meta 2030","Isento")),IF(B341="EU-ENV-011",IF(INDEX(tbl_familias_ppwr[Metais_Pesados_Evidencia],MATCH(INDEX(tbl_recyclass[Familia_PPWR],MATCH(A341,tbl_recyclass[ProductId],0)),tbl_familias_ppwr[ID_Familia],0))="Em falta","Lacuna","Conforme"),IF(B341="EU-ENV-013",IF(INDEX(tbl_familias_ppwr[Declaracao_UE],MATCH(INDEX(tbl_recyclass[Familia_PPWR],MATCH(A341,tbl_recyclass[ProductId],0)),tbl_familias_ppwr[ID_Familia],0))="Sim","Conforme","Lacuna"),G341)))),G341))</f>
        <v>Não aplicável</v>
      </c>
      <c r="I341" s="33" t="str">
        <f t="shared" si="5"/>
        <v>Não aplicável</v>
      </c>
      <c r="J341" s="26"/>
    </row>
    <row r="342" spans="1:10" ht="16.05" customHeight="1" x14ac:dyDescent="0.3">
      <c r="A342" s="26" t="s">
        <v>646</v>
      </c>
      <c r="B342" s="26" t="s">
        <v>1170</v>
      </c>
      <c r="C342" s="33" t="str">
        <f>IFERROR(INDEX(tbl_requisitos_emb[Tema],MATCH(B342,tbl_requisitos_emb[ID_Req],0)),"")</f>
        <v>Boas práticas de fabrico FCM</v>
      </c>
      <c r="D342" s="33" t="str">
        <f>IFERROR(INDEX(tbl_recyclass[Segmento],MATCH(A342,tbl_recyclass[ProductId],0)),"")</f>
        <v>Cosmética e higiene pessoal</v>
      </c>
      <c r="E342" s="26" t="s">
        <v>904</v>
      </c>
      <c r="F342" s="26" t="s">
        <v>1450</v>
      </c>
      <c r="G342" s="26" t="s">
        <v>1143</v>
      </c>
      <c r="H342" s="33" t="str">
        <f>IF(E342="Não","Não aplicável",IFERROR(IF(B342="EU-ENV-002",IF(INDEX(tbl_recyclass[Conforme_PPWR_2030],MATCH(A342,tbl_recyclass[ProductId],0))="Sim","Conforme (autoavaliação)",IF(INDEX(tbl_recyclass[Conforme_PPWR_2030],MATCH(A342,tbl_recyclass[ProductId],0))="Não","Não conforme em 2030","Isento até 2035")),IF(B342="EU-ENV-003",IF(INDEX(tbl_recyclass[Conforme_Art7_2030],MATCH(A342,tbl_recyclass[ProductId],0))="Sim","Conforme (meta 2030)",IF(INDEX(tbl_recyclass[Conforme_Art7_2030],MATCH(A342,tbl_recyclass[ProductId],0))="Não","Lacuna face à meta 2030","Isento")),IF(B342="EU-ENV-011",IF(INDEX(tbl_familias_ppwr[Metais_Pesados_Evidencia],MATCH(INDEX(tbl_recyclass[Familia_PPWR],MATCH(A342,tbl_recyclass[ProductId],0)),tbl_familias_ppwr[ID_Familia],0))="Em falta","Lacuna","Conforme"),IF(B342="EU-ENV-013",IF(INDEX(tbl_familias_ppwr[Declaracao_UE],MATCH(INDEX(tbl_recyclass[Familia_PPWR],MATCH(A342,tbl_recyclass[ProductId],0)),tbl_familias_ppwr[ID_Familia],0))="Sim","Conforme","Lacuna"),G342)))),G342))</f>
        <v>Não aplicável</v>
      </c>
      <c r="I342" s="33" t="str">
        <f t="shared" si="5"/>
        <v>Não aplicável</v>
      </c>
      <c r="J342" s="26"/>
    </row>
    <row r="343" spans="1:10" ht="16.05" customHeight="1" x14ac:dyDescent="0.3">
      <c r="A343" s="26" t="s">
        <v>646</v>
      </c>
      <c r="B343" s="26" t="s">
        <v>1179</v>
      </c>
      <c r="C343" s="33" t="str">
        <f>IFERROR(INDEX(tbl_requisitos_emb[Tema],MATCH(B343,tbl_requisitos_emb[ID_Req],0)),"")</f>
        <v>Bisfenol A e bisfenóis perigosos</v>
      </c>
      <c r="D343" s="33" t="str">
        <f>IFERROR(INDEX(tbl_recyclass[Segmento],MATCH(A343,tbl_recyclass[ProductId],0)),"")</f>
        <v>Cosmética e higiene pessoal</v>
      </c>
      <c r="E343" s="26" t="s">
        <v>904</v>
      </c>
      <c r="F343" s="26" t="s">
        <v>1450</v>
      </c>
      <c r="G343" s="26" t="s">
        <v>1143</v>
      </c>
      <c r="H343" s="33" t="str">
        <f>IF(E343="Não","Não aplicável",IFERROR(IF(B343="EU-ENV-002",IF(INDEX(tbl_recyclass[Conforme_PPWR_2030],MATCH(A343,tbl_recyclass[ProductId],0))="Sim","Conforme (autoavaliação)",IF(INDEX(tbl_recyclass[Conforme_PPWR_2030],MATCH(A343,tbl_recyclass[ProductId],0))="Não","Não conforme em 2030","Isento até 2035")),IF(B343="EU-ENV-003",IF(INDEX(tbl_recyclass[Conforme_Art7_2030],MATCH(A343,tbl_recyclass[ProductId],0))="Sim","Conforme (meta 2030)",IF(INDEX(tbl_recyclass[Conforme_Art7_2030],MATCH(A343,tbl_recyclass[ProductId],0))="Não","Lacuna face à meta 2030","Isento")),IF(B343="EU-ENV-011",IF(INDEX(tbl_familias_ppwr[Metais_Pesados_Evidencia],MATCH(INDEX(tbl_recyclass[Familia_PPWR],MATCH(A343,tbl_recyclass[ProductId],0)),tbl_familias_ppwr[ID_Familia],0))="Em falta","Lacuna","Conforme"),IF(B343="EU-ENV-013",IF(INDEX(tbl_familias_ppwr[Declaracao_UE],MATCH(INDEX(tbl_recyclass[Familia_PPWR],MATCH(A343,tbl_recyclass[ProductId],0)),tbl_familias_ppwr[ID_Familia],0))="Sim","Conforme","Lacuna"),G343)))),G343))</f>
        <v>Não aplicável</v>
      </c>
      <c r="I343" s="33" t="str">
        <f t="shared" si="5"/>
        <v>Não aplicável</v>
      </c>
      <c r="J343" s="26"/>
    </row>
    <row r="344" spans="1:10" ht="16.05" customHeight="1" x14ac:dyDescent="0.3">
      <c r="A344" s="26" t="s">
        <v>646</v>
      </c>
      <c r="B344" s="26" t="s">
        <v>1188</v>
      </c>
      <c r="C344" s="33" t="str">
        <f>IFERROR(INDEX(tbl_requisitos_emb[Tema],MATCH(B344,tbl_requisitos_emb[ID_Req],0)),"")</f>
        <v>Plásticos em contacto com alimentos</v>
      </c>
      <c r="D344" s="33" t="str">
        <f>IFERROR(INDEX(tbl_recyclass[Segmento],MATCH(A344,tbl_recyclass[ProductId],0)),"")</f>
        <v>Cosmética e higiene pessoal</v>
      </c>
      <c r="E344" s="26" t="s">
        <v>904</v>
      </c>
      <c r="F344" s="26" t="s">
        <v>1450</v>
      </c>
      <c r="G344" s="26" t="s">
        <v>1143</v>
      </c>
      <c r="H344" s="33" t="str">
        <f>IF(E344="Não","Não aplicável",IFERROR(IF(B344="EU-ENV-002",IF(INDEX(tbl_recyclass[Conforme_PPWR_2030],MATCH(A344,tbl_recyclass[ProductId],0))="Sim","Conforme (autoavaliação)",IF(INDEX(tbl_recyclass[Conforme_PPWR_2030],MATCH(A344,tbl_recyclass[ProductId],0))="Não","Não conforme em 2030","Isento até 2035")),IF(B344="EU-ENV-003",IF(INDEX(tbl_recyclass[Conforme_Art7_2030],MATCH(A344,tbl_recyclass[ProductId],0))="Sim","Conforme (meta 2030)",IF(INDEX(tbl_recyclass[Conforme_Art7_2030],MATCH(A344,tbl_recyclass[ProductId],0))="Não","Lacuna face à meta 2030","Isento")),IF(B344="EU-ENV-011",IF(INDEX(tbl_familias_ppwr[Metais_Pesados_Evidencia],MATCH(INDEX(tbl_recyclass[Familia_PPWR],MATCH(A344,tbl_recyclass[ProductId],0)),tbl_familias_ppwr[ID_Familia],0))="Em falta","Lacuna","Conforme"),IF(B344="EU-ENV-013",IF(INDEX(tbl_familias_ppwr[Declaracao_UE],MATCH(INDEX(tbl_recyclass[Familia_PPWR],MATCH(A344,tbl_recyclass[ProductId],0)),tbl_familias_ppwr[ID_Familia],0))="Sim","Conforme","Lacuna"),G344)))),G344))</f>
        <v>Não aplicável</v>
      </c>
      <c r="I344" s="33" t="str">
        <f t="shared" si="5"/>
        <v>Não aplicável</v>
      </c>
      <c r="J344" s="26"/>
    </row>
    <row r="345" spans="1:10" ht="16.05" customHeight="1" x14ac:dyDescent="0.3">
      <c r="A345" s="26" t="s">
        <v>646</v>
      </c>
      <c r="B345" s="26" t="s">
        <v>1212</v>
      </c>
      <c r="C345" s="33" t="str">
        <f>IFERROR(INDEX(tbl_requisitos_emb[Tema],MATCH(B345,tbl_requisitos_emb[ID_Req],0)),"")</f>
        <v>Segurança do produto cosmético</v>
      </c>
      <c r="D345" s="33" t="str">
        <f>IFERROR(INDEX(tbl_recyclass[Segmento],MATCH(A345,tbl_recyclass[ProductId],0)),"")</f>
        <v>Cosmética e higiene pessoal</v>
      </c>
      <c r="E345" s="26" t="s">
        <v>901</v>
      </c>
      <c r="F345" s="26" t="s">
        <v>1449</v>
      </c>
      <c r="G345" s="26" t="s">
        <v>1033</v>
      </c>
      <c r="H345" s="33" t="str">
        <f>IF(E345="Não","Não aplicável",IFERROR(IF(B345="EU-ENV-002",IF(INDEX(tbl_recyclass[Conforme_PPWR_2030],MATCH(A345,tbl_recyclass[ProductId],0))="Sim","Conforme (autoavaliação)",IF(INDEX(tbl_recyclass[Conforme_PPWR_2030],MATCH(A345,tbl_recyclass[ProductId],0))="Não","Não conforme em 2030","Isento até 2035")),IF(B345="EU-ENV-003",IF(INDEX(tbl_recyclass[Conforme_Art7_2030],MATCH(A345,tbl_recyclass[ProductId],0))="Sim","Conforme (meta 2030)",IF(INDEX(tbl_recyclass[Conforme_Art7_2030],MATCH(A345,tbl_recyclass[ProductId],0))="Não","Lacuna face à meta 2030","Isento")),IF(B345="EU-ENV-011",IF(INDEX(tbl_familias_ppwr[Metais_Pesados_Evidencia],MATCH(INDEX(tbl_recyclass[Familia_PPWR],MATCH(A345,tbl_recyclass[ProductId],0)),tbl_familias_ppwr[ID_Familia],0))="Em falta","Lacuna","Conforme"),IF(B345="EU-ENV-013",IF(INDEX(tbl_familias_ppwr[Declaracao_UE],MATCH(INDEX(tbl_recyclass[Familia_PPWR],MATCH(A345,tbl_recyclass[ProductId],0)),tbl_familias_ppwr[ID_Familia],0))="Sim","Conforme","Lacuna"),G345)))),G345))</f>
        <v>Conforme</v>
      </c>
      <c r="I345" s="33" t="str">
        <f t="shared" si="5"/>
        <v>Conforme</v>
      </c>
      <c r="J345" s="26" t="s">
        <v>1221</v>
      </c>
    </row>
    <row r="346" spans="1:10" ht="16.05" customHeight="1" x14ac:dyDescent="0.3">
      <c r="A346" s="26" t="s">
        <v>646</v>
      </c>
      <c r="B346" s="26" t="s">
        <v>1224</v>
      </c>
      <c r="C346" s="33" t="str">
        <f>IFERROR(INDEX(tbl_requisitos_emb[Tema],MATCH(B346,tbl_requisitos_emb[ID_Req],0)),"")</f>
        <v>Materiais e impurezas</v>
      </c>
      <c r="D346" s="33" t="str">
        <f>IFERROR(INDEX(tbl_recyclass[Segmento],MATCH(A346,tbl_recyclass[ProductId],0)),"")</f>
        <v>Cosmética e higiene pessoal</v>
      </c>
      <c r="E346" s="26" t="s">
        <v>901</v>
      </c>
      <c r="F346" s="26" t="s">
        <v>1449</v>
      </c>
      <c r="G346" s="26" t="s">
        <v>978</v>
      </c>
      <c r="H346" s="33" t="str">
        <f>IF(E346="Não","Não aplicável",IFERROR(IF(B346="EU-ENV-002",IF(INDEX(tbl_recyclass[Conforme_PPWR_2030],MATCH(A346,tbl_recyclass[ProductId],0))="Sim","Conforme (autoavaliação)",IF(INDEX(tbl_recyclass[Conforme_PPWR_2030],MATCH(A346,tbl_recyclass[ProductId],0))="Não","Não conforme em 2030","Isento até 2035")),IF(B346="EU-ENV-003",IF(INDEX(tbl_recyclass[Conforme_Art7_2030],MATCH(A346,tbl_recyclass[ProductId],0))="Sim","Conforme (meta 2030)",IF(INDEX(tbl_recyclass[Conforme_Art7_2030],MATCH(A346,tbl_recyclass[ProductId],0))="Não","Lacuna face à meta 2030","Isento")),IF(B346="EU-ENV-011",IF(INDEX(tbl_familias_ppwr[Metais_Pesados_Evidencia],MATCH(INDEX(tbl_recyclass[Familia_PPWR],MATCH(A346,tbl_recyclass[ProductId],0)),tbl_familias_ppwr[ID_Familia],0))="Em falta","Lacuna","Conforme"),IF(B346="EU-ENV-013",IF(INDEX(tbl_familias_ppwr[Declaracao_UE],MATCH(INDEX(tbl_recyclass[Familia_PPWR],MATCH(A346,tbl_recyclass[ProductId],0)),tbl_familias_ppwr[ID_Familia],0))="Sim","Conforme","Lacuna"),G346)))),G346))</f>
        <v>Parcial</v>
      </c>
      <c r="I346" s="33" t="str">
        <f t="shared" si="5"/>
        <v>Parcial</v>
      </c>
      <c r="J346" s="26" t="s">
        <v>1228</v>
      </c>
    </row>
    <row r="347" spans="1:10" ht="16.05" customHeight="1" x14ac:dyDescent="0.3">
      <c r="A347" s="26" t="s">
        <v>646</v>
      </c>
      <c r="B347" s="26" t="s">
        <v>1240</v>
      </c>
      <c r="C347" s="33" t="str">
        <f>IFERROR(INDEX(tbl_requisitos_emb[Tema],MATCH(B347,tbl_requisitos_emb[ID_Req],0)),"")</f>
        <v>Compatibilidade embalagem–produto</v>
      </c>
      <c r="D347" s="33" t="str">
        <f>IFERROR(INDEX(tbl_recyclass[Segmento],MATCH(A347,tbl_recyclass[ProductId],0)),"")</f>
        <v>Cosmética e higiene pessoal</v>
      </c>
      <c r="E347" s="26" t="s">
        <v>901</v>
      </c>
      <c r="F347" s="26" t="s">
        <v>1449</v>
      </c>
      <c r="G347" s="26" t="s">
        <v>1033</v>
      </c>
      <c r="H347" s="33" t="str">
        <f>IF(E347="Não","Não aplicável",IFERROR(IF(B347="EU-ENV-002",IF(INDEX(tbl_recyclass[Conforme_PPWR_2030],MATCH(A347,tbl_recyclass[ProductId],0))="Sim","Conforme (autoavaliação)",IF(INDEX(tbl_recyclass[Conforme_PPWR_2030],MATCH(A347,tbl_recyclass[ProductId],0))="Não","Não conforme em 2030","Isento até 2035")),IF(B347="EU-ENV-003",IF(INDEX(tbl_recyclass[Conforme_Art7_2030],MATCH(A347,tbl_recyclass[ProductId],0))="Sim","Conforme (meta 2030)",IF(INDEX(tbl_recyclass[Conforme_Art7_2030],MATCH(A347,tbl_recyclass[ProductId],0))="Não","Lacuna face à meta 2030","Isento")),IF(B347="EU-ENV-011",IF(INDEX(tbl_familias_ppwr[Metais_Pesados_Evidencia],MATCH(INDEX(tbl_recyclass[Familia_PPWR],MATCH(A347,tbl_recyclass[ProductId],0)),tbl_familias_ppwr[ID_Familia],0))="Em falta","Lacuna","Conforme"),IF(B347="EU-ENV-013",IF(INDEX(tbl_familias_ppwr[Declaracao_UE],MATCH(INDEX(tbl_recyclass[Familia_PPWR],MATCH(A347,tbl_recyclass[ProductId],0)),tbl_familias_ppwr[ID_Familia],0))="Sim","Conforme","Lacuna"),G347)))),G347))</f>
        <v>Conforme</v>
      </c>
      <c r="I347" s="33" t="str">
        <f t="shared" si="5"/>
        <v>Conforme</v>
      </c>
      <c r="J347" s="26" t="s">
        <v>1244</v>
      </c>
    </row>
    <row r="348" spans="1:10" ht="16.05" customHeight="1" x14ac:dyDescent="0.3">
      <c r="A348" s="26" t="s">
        <v>646</v>
      </c>
      <c r="B348" s="26" t="s">
        <v>1252</v>
      </c>
      <c r="C348" s="33" t="str">
        <f>IFERROR(INDEX(tbl_requisitos_emb[Tema],MATCH(B348,tbl_requisitos_emb[ID_Req],0)),"")</f>
        <v>Medicamentos de uso humano</v>
      </c>
      <c r="D348" s="33" t="str">
        <f>IFERROR(INDEX(tbl_recyclass[Segmento],MATCH(A348,tbl_recyclass[ProductId],0)),"")</f>
        <v>Cosmética e higiene pessoal</v>
      </c>
      <c r="E348" s="26" t="s">
        <v>904</v>
      </c>
      <c r="F348" s="26" t="s">
        <v>1451</v>
      </c>
      <c r="G348" s="26" t="s">
        <v>1143</v>
      </c>
      <c r="H348" s="33" t="str">
        <f>IF(E348="Não","Não aplicável",IFERROR(IF(B348="EU-ENV-002",IF(INDEX(tbl_recyclass[Conforme_PPWR_2030],MATCH(A348,tbl_recyclass[ProductId],0))="Sim","Conforme (autoavaliação)",IF(INDEX(tbl_recyclass[Conforme_PPWR_2030],MATCH(A348,tbl_recyclass[ProductId],0))="Não","Não conforme em 2030","Isento até 2035")),IF(B348="EU-ENV-003",IF(INDEX(tbl_recyclass[Conforme_Art7_2030],MATCH(A348,tbl_recyclass[ProductId],0))="Sim","Conforme (meta 2030)",IF(INDEX(tbl_recyclass[Conforme_Art7_2030],MATCH(A348,tbl_recyclass[ProductId],0))="Não","Lacuna face à meta 2030","Isento")),IF(B348="EU-ENV-011",IF(INDEX(tbl_familias_ppwr[Metais_Pesados_Evidencia],MATCH(INDEX(tbl_recyclass[Familia_PPWR],MATCH(A348,tbl_recyclass[ProductId],0)),tbl_familias_ppwr[ID_Familia],0))="Em falta","Lacuna","Conforme"),IF(B348="EU-ENV-013",IF(INDEX(tbl_familias_ppwr[Declaracao_UE],MATCH(INDEX(tbl_recyclass[Familia_PPWR],MATCH(A348,tbl_recyclass[ProductId],0)),tbl_familias_ppwr[ID_Familia],0))="Sim","Conforme","Lacuna"),G348)))),G348))</f>
        <v>Não aplicável</v>
      </c>
      <c r="I348" s="33" t="str">
        <f t="shared" si="5"/>
        <v>Não aplicável</v>
      </c>
      <c r="J348" s="26"/>
    </row>
    <row r="349" spans="1:10" ht="16.05" customHeight="1" x14ac:dyDescent="0.3">
      <c r="A349" s="26" t="s">
        <v>646</v>
      </c>
      <c r="B349" s="26" t="s">
        <v>1268</v>
      </c>
      <c r="C349" s="33" t="str">
        <f>IFERROR(INDEX(tbl_requisitos_emb[Tema],MATCH(B349,tbl_requisitos_emb[ID_Req],0)),"")</f>
        <v>Dispositivos de segurança</v>
      </c>
      <c r="D349" s="33" t="str">
        <f>IFERROR(INDEX(tbl_recyclass[Segmento],MATCH(A349,tbl_recyclass[ProductId],0)),"")</f>
        <v>Cosmética e higiene pessoal</v>
      </c>
      <c r="E349" s="26" t="s">
        <v>904</v>
      </c>
      <c r="F349" s="26" t="s">
        <v>1451</v>
      </c>
      <c r="G349" s="26" t="s">
        <v>1143</v>
      </c>
      <c r="H349" s="33" t="str">
        <f>IF(E349="Não","Não aplicável",IFERROR(IF(B349="EU-ENV-002",IF(INDEX(tbl_recyclass[Conforme_PPWR_2030],MATCH(A349,tbl_recyclass[ProductId],0))="Sim","Conforme (autoavaliação)",IF(INDEX(tbl_recyclass[Conforme_PPWR_2030],MATCH(A349,tbl_recyclass[ProductId],0))="Não","Não conforme em 2030","Isento até 2035")),IF(B349="EU-ENV-003",IF(INDEX(tbl_recyclass[Conforme_Art7_2030],MATCH(A349,tbl_recyclass[ProductId],0))="Sim","Conforme (meta 2030)",IF(INDEX(tbl_recyclass[Conforme_Art7_2030],MATCH(A349,tbl_recyclass[ProductId],0))="Não","Lacuna face à meta 2030","Isento")),IF(B349="EU-ENV-011",IF(INDEX(tbl_familias_ppwr[Metais_Pesados_Evidencia],MATCH(INDEX(tbl_recyclass[Familia_PPWR],MATCH(A349,tbl_recyclass[ProductId],0)),tbl_familias_ppwr[ID_Familia],0))="Em falta","Lacuna","Conforme"),IF(B349="EU-ENV-013",IF(INDEX(tbl_familias_ppwr[Declaracao_UE],MATCH(INDEX(tbl_recyclass[Familia_PPWR],MATCH(A349,tbl_recyclass[ProductId],0)),tbl_familias_ppwr[ID_Familia],0))="Sim","Conforme","Lacuna"),G349)))),G349))</f>
        <v>Não aplicável</v>
      </c>
      <c r="I349" s="33" t="str">
        <f t="shared" si="5"/>
        <v>Não aplicável</v>
      </c>
      <c r="J349" s="26"/>
    </row>
    <row r="350" spans="1:10" ht="16.05" customHeight="1" x14ac:dyDescent="0.3">
      <c r="A350" s="26" t="s">
        <v>646</v>
      </c>
      <c r="B350" s="26" t="s">
        <v>1285</v>
      </c>
      <c r="C350" s="33" t="str">
        <f>IFERROR(INDEX(tbl_requisitos_emb[Tema],MATCH(B350,tbl_requisitos_emb[ID_Req],0)),"")</f>
        <v>Materiais plásticos de acondicionamento primário</v>
      </c>
      <c r="D350" s="33" t="str">
        <f>IFERROR(INDEX(tbl_recyclass[Segmento],MATCH(A350,tbl_recyclass[ProductId],0)),"")</f>
        <v>Cosmética e higiene pessoal</v>
      </c>
      <c r="E350" s="26" t="s">
        <v>904</v>
      </c>
      <c r="F350" s="26" t="s">
        <v>1451</v>
      </c>
      <c r="G350" s="26" t="s">
        <v>1143</v>
      </c>
      <c r="H350" s="33" t="str">
        <f>IF(E350="Não","Não aplicável",IFERROR(IF(B350="EU-ENV-002",IF(INDEX(tbl_recyclass[Conforme_PPWR_2030],MATCH(A350,tbl_recyclass[ProductId],0))="Sim","Conforme (autoavaliação)",IF(INDEX(tbl_recyclass[Conforme_PPWR_2030],MATCH(A350,tbl_recyclass[ProductId],0))="Não","Não conforme em 2030","Isento até 2035")),IF(B350="EU-ENV-003",IF(INDEX(tbl_recyclass[Conforme_Art7_2030],MATCH(A350,tbl_recyclass[ProductId],0))="Sim","Conforme (meta 2030)",IF(INDEX(tbl_recyclass[Conforme_Art7_2030],MATCH(A350,tbl_recyclass[ProductId],0))="Não","Lacuna face à meta 2030","Isento")),IF(B350="EU-ENV-011",IF(INDEX(tbl_familias_ppwr[Metais_Pesados_Evidencia],MATCH(INDEX(tbl_recyclass[Familia_PPWR],MATCH(A350,tbl_recyclass[ProductId],0)),tbl_familias_ppwr[ID_Familia],0))="Em falta","Lacuna","Conforme"),IF(B350="EU-ENV-013",IF(INDEX(tbl_familias_ppwr[Declaracao_UE],MATCH(INDEX(tbl_recyclass[Familia_PPWR],MATCH(A350,tbl_recyclass[ProductId],0)),tbl_familias_ppwr[ID_Familia],0))="Sim","Conforme","Lacuna"),G350)))),G350))</f>
        <v>Não aplicável</v>
      </c>
      <c r="I350" s="33" t="str">
        <f t="shared" si="5"/>
        <v>Não aplicável</v>
      </c>
      <c r="J350" s="26"/>
    </row>
    <row r="351" spans="1:10" ht="16.05" customHeight="1" x14ac:dyDescent="0.3">
      <c r="A351" s="26" t="s">
        <v>646</v>
      </c>
      <c r="B351" s="26" t="s">
        <v>1293</v>
      </c>
      <c r="C351" s="33" t="str">
        <f>IFERROR(INDEX(tbl_requisitos_emb[Tema],MATCH(B351,tbl_requisitos_emb[ID_Req],0)),"")</f>
        <v>Isenções PPWR</v>
      </c>
      <c r="D351" s="33" t="str">
        <f>IFERROR(INDEX(tbl_recyclass[Segmento],MATCH(A351,tbl_recyclass[ProductId],0)),"")</f>
        <v>Cosmética e higiene pessoal</v>
      </c>
      <c r="E351" s="26" t="s">
        <v>904</v>
      </c>
      <c r="F351" s="26" t="s">
        <v>1451</v>
      </c>
      <c r="G351" s="26" t="s">
        <v>1143</v>
      </c>
      <c r="H351" s="33" t="str">
        <f>IF(E351="Não","Não aplicável",IFERROR(IF(B351="EU-ENV-002",IF(INDEX(tbl_recyclass[Conforme_PPWR_2030],MATCH(A351,tbl_recyclass[ProductId],0))="Sim","Conforme (autoavaliação)",IF(INDEX(tbl_recyclass[Conforme_PPWR_2030],MATCH(A351,tbl_recyclass[ProductId],0))="Não","Não conforme em 2030","Isento até 2035")),IF(B351="EU-ENV-003",IF(INDEX(tbl_recyclass[Conforme_Art7_2030],MATCH(A351,tbl_recyclass[ProductId],0))="Sim","Conforme (meta 2030)",IF(INDEX(tbl_recyclass[Conforme_Art7_2030],MATCH(A351,tbl_recyclass[ProductId],0))="Não","Lacuna face à meta 2030","Isento")),IF(B351="EU-ENV-011",IF(INDEX(tbl_familias_ppwr[Metais_Pesados_Evidencia],MATCH(INDEX(tbl_recyclass[Familia_PPWR],MATCH(A351,tbl_recyclass[ProductId],0)),tbl_familias_ppwr[ID_Familia],0))="Em falta","Lacuna","Conforme"),IF(B351="EU-ENV-013",IF(INDEX(tbl_familias_ppwr[Declaracao_UE],MATCH(INDEX(tbl_recyclass[Familia_PPWR],MATCH(A351,tbl_recyclass[ProductId],0)),tbl_familias_ppwr[ID_Familia],0))="Sim","Conforme","Lacuna"),G351)))),G351))</f>
        <v>Não aplicável</v>
      </c>
      <c r="I351" s="33" t="str">
        <f t="shared" si="5"/>
        <v>Não aplicável</v>
      </c>
      <c r="J351" s="26"/>
    </row>
    <row r="352" spans="1:10" ht="16.05" customHeight="1" x14ac:dyDescent="0.3">
      <c r="A352" s="26" t="s">
        <v>646</v>
      </c>
      <c r="B352" s="26" t="s">
        <v>1357</v>
      </c>
      <c r="C352" s="33" t="str">
        <f>IFERROR(INDEX(tbl_requisitos_emb[Tema],MATCH(B352,tbl_requisitos_emb[ID_Req],0)),"")</f>
        <v>Identificação de plásticos</v>
      </c>
      <c r="D352" s="33" t="str">
        <f>IFERROR(INDEX(tbl_recyclass[Segmento],MATCH(A352,tbl_recyclass[ProductId],0)),"")</f>
        <v>Cosmética e higiene pessoal</v>
      </c>
      <c r="E352" s="26" t="s">
        <v>901</v>
      </c>
      <c r="F352" s="26" t="s">
        <v>1449</v>
      </c>
      <c r="G352" s="26" t="s">
        <v>978</v>
      </c>
      <c r="H352" s="33" t="str">
        <f>IF(E352="Não","Não aplicável",IFERROR(IF(B352="EU-ENV-002",IF(INDEX(tbl_recyclass[Conforme_PPWR_2030],MATCH(A352,tbl_recyclass[ProductId],0))="Sim","Conforme (autoavaliação)",IF(INDEX(tbl_recyclass[Conforme_PPWR_2030],MATCH(A352,tbl_recyclass[ProductId],0))="Não","Não conforme em 2030","Isento até 2035")),IF(B352="EU-ENV-003",IF(INDEX(tbl_recyclass[Conforme_Art7_2030],MATCH(A352,tbl_recyclass[ProductId],0))="Sim","Conforme (meta 2030)",IF(INDEX(tbl_recyclass[Conforme_Art7_2030],MATCH(A352,tbl_recyclass[ProductId],0))="Não","Lacuna face à meta 2030","Isento")),IF(B352="EU-ENV-011",IF(INDEX(tbl_familias_ppwr[Metais_Pesados_Evidencia],MATCH(INDEX(tbl_recyclass[Familia_PPWR],MATCH(A352,tbl_recyclass[ProductId],0)),tbl_familias_ppwr[ID_Familia],0))="Em falta","Lacuna","Conforme"),IF(B352="EU-ENV-013",IF(INDEX(tbl_familias_ppwr[Declaracao_UE],MATCH(INDEX(tbl_recyclass[Familia_PPWR],MATCH(A352,tbl_recyclass[ProductId],0)),tbl_familias_ppwr[ID_Familia],0))="Sim","Conforme","Lacuna"),G352)))),G352))</f>
        <v>Parcial</v>
      </c>
      <c r="I352" s="33" t="str">
        <f t="shared" si="5"/>
        <v>Parcial</v>
      </c>
      <c r="J352" s="26" t="s">
        <v>1362</v>
      </c>
    </row>
    <row r="353" spans="1:10" ht="16.05" customHeight="1" x14ac:dyDescent="0.3">
      <c r="A353" s="26" t="s">
        <v>646</v>
      </c>
      <c r="B353" s="26" t="s">
        <v>1385</v>
      </c>
      <c r="C353" s="33" t="str">
        <f>IFERROR(INDEX(tbl_requisitos_emb[Tema],MATCH(B353,tbl_requisitos_emb[ID_Req],0)),"")</f>
        <v>Reciclabilidade (voluntária)</v>
      </c>
      <c r="D353" s="33" t="str">
        <f>IFERROR(INDEX(tbl_recyclass[Segmento],MATCH(A353,tbl_recyclass[ProductId],0)),"")</f>
        <v>Cosmética e higiene pessoal</v>
      </c>
      <c r="E353" s="26" t="s">
        <v>901</v>
      </c>
      <c r="F353" s="26" t="s">
        <v>1449</v>
      </c>
      <c r="G353" s="26" t="s">
        <v>978</v>
      </c>
      <c r="H353" s="33" t="str">
        <f>IF(E353="Não","Não aplicável",IFERROR(IF(B353="EU-ENV-002",IF(INDEX(tbl_recyclass[Conforme_PPWR_2030],MATCH(A353,tbl_recyclass[ProductId],0))="Sim","Conforme (autoavaliação)",IF(INDEX(tbl_recyclass[Conforme_PPWR_2030],MATCH(A353,tbl_recyclass[ProductId],0))="Não","Não conforme em 2030","Isento até 2035")),IF(B353="EU-ENV-003",IF(INDEX(tbl_recyclass[Conforme_Art7_2030],MATCH(A353,tbl_recyclass[ProductId],0))="Sim","Conforme (meta 2030)",IF(INDEX(tbl_recyclass[Conforme_Art7_2030],MATCH(A353,tbl_recyclass[ProductId],0))="Não","Lacuna face à meta 2030","Isento")),IF(B353="EU-ENV-011",IF(INDEX(tbl_familias_ppwr[Metais_Pesados_Evidencia],MATCH(INDEX(tbl_recyclass[Familia_PPWR],MATCH(A353,tbl_recyclass[ProductId],0)),tbl_familias_ppwr[ID_Familia],0))="Em falta","Lacuna","Conforme"),IF(B353="EU-ENV-013",IF(INDEX(tbl_familias_ppwr[Declaracao_UE],MATCH(INDEX(tbl_recyclass[Familia_PPWR],MATCH(A353,tbl_recyclass[ProductId],0)),tbl_familias_ppwr[ID_Familia],0))="Sim","Conforme","Lacuna"),G353)))),G353))</f>
        <v>Parcial</v>
      </c>
      <c r="I353" s="33" t="str">
        <f t="shared" si="5"/>
        <v>Parcial</v>
      </c>
      <c r="J353" s="26" t="s">
        <v>1389</v>
      </c>
    </row>
    <row r="354" spans="1:10" ht="16.05" customHeight="1" x14ac:dyDescent="0.3">
      <c r="A354" s="26" t="s">
        <v>649</v>
      </c>
      <c r="B354" s="26" t="s">
        <v>984</v>
      </c>
      <c r="C354" s="33" t="str">
        <f>IFERROR(INDEX(tbl_requisitos_emb[Tema],MATCH(B354,tbl_requisitos_emb[ID_Req],0)),"")</f>
        <v>Conceção para reciclagem</v>
      </c>
      <c r="D354" s="33" t="str">
        <f>IFERROR(INDEX(tbl_recyclass[Segmento],MATCH(A354,tbl_recyclass[ProductId],0)),"")</f>
        <v>Cosmética e higiene pessoal</v>
      </c>
      <c r="E354" s="26" t="s">
        <v>901</v>
      </c>
      <c r="F354" s="26" t="s">
        <v>1449</v>
      </c>
      <c r="G354" s="26" t="s">
        <v>978</v>
      </c>
      <c r="H354" s="33" t="str">
        <f>IF(E354="Não","Não aplicável",IFERROR(IF(B354="EU-ENV-002",IF(INDEX(tbl_recyclass[Conforme_PPWR_2030],MATCH(A354,tbl_recyclass[ProductId],0))="Sim","Conforme (autoavaliação)",IF(INDEX(tbl_recyclass[Conforme_PPWR_2030],MATCH(A354,tbl_recyclass[ProductId],0))="Não","Não conforme em 2030","Isento até 2035")),IF(B354="EU-ENV-003",IF(INDEX(tbl_recyclass[Conforme_Art7_2030],MATCH(A354,tbl_recyclass[ProductId],0))="Sim","Conforme (meta 2030)",IF(INDEX(tbl_recyclass[Conforme_Art7_2030],MATCH(A354,tbl_recyclass[ProductId],0))="Não","Lacuna face à meta 2030","Isento")),IF(B354="EU-ENV-011",IF(INDEX(tbl_familias_ppwr[Metais_Pesados_Evidencia],MATCH(INDEX(tbl_recyclass[Familia_PPWR],MATCH(A354,tbl_recyclass[ProductId],0)),tbl_familias_ppwr[ID_Familia],0))="Em falta","Lacuna","Conforme"),IF(B354="EU-ENV-013",IF(INDEX(tbl_familias_ppwr[Declaracao_UE],MATCH(INDEX(tbl_recyclass[Familia_PPWR],MATCH(A354,tbl_recyclass[ProductId],0)),tbl_familias_ppwr[ID_Familia],0))="Sim","Conforme","Lacuna"),G354)))),G354))</f>
        <v>Não conforme em 2030</v>
      </c>
      <c r="I354" s="33" t="str">
        <f t="shared" si="5"/>
        <v>Não conforme</v>
      </c>
      <c r="J354" s="26" t="s">
        <v>991</v>
      </c>
    </row>
    <row r="355" spans="1:10" ht="16.05" customHeight="1" x14ac:dyDescent="0.3">
      <c r="A355" s="26" t="s">
        <v>649</v>
      </c>
      <c r="B355" s="26" t="s">
        <v>997</v>
      </c>
      <c r="C355" s="33" t="str">
        <f>IFERROR(INDEX(tbl_requisitos_emb[Tema],MATCH(B355,tbl_requisitos_emb[ID_Req],0)),"")</f>
        <v>Conteúdo reciclado</v>
      </c>
      <c r="D355" s="33" t="str">
        <f>IFERROR(INDEX(tbl_recyclass[Segmento],MATCH(A355,tbl_recyclass[ProductId],0)),"")</f>
        <v>Cosmética e higiene pessoal</v>
      </c>
      <c r="E355" s="26" t="s">
        <v>901</v>
      </c>
      <c r="F355" s="26" t="s">
        <v>1449</v>
      </c>
      <c r="G355" s="26" t="s">
        <v>978</v>
      </c>
      <c r="H355" s="33" t="str">
        <f>IF(E355="Não","Não aplicável",IFERROR(IF(B355="EU-ENV-002",IF(INDEX(tbl_recyclass[Conforme_PPWR_2030],MATCH(A355,tbl_recyclass[ProductId],0))="Sim","Conforme (autoavaliação)",IF(INDEX(tbl_recyclass[Conforme_PPWR_2030],MATCH(A355,tbl_recyclass[ProductId],0))="Não","Não conforme em 2030","Isento até 2035")),IF(B355="EU-ENV-003",IF(INDEX(tbl_recyclass[Conforme_Art7_2030],MATCH(A355,tbl_recyclass[ProductId],0))="Sim","Conforme (meta 2030)",IF(INDEX(tbl_recyclass[Conforme_Art7_2030],MATCH(A355,tbl_recyclass[ProductId],0))="Não","Lacuna face à meta 2030","Isento")),IF(B355="EU-ENV-011",IF(INDEX(tbl_familias_ppwr[Metais_Pesados_Evidencia],MATCH(INDEX(tbl_recyclass[Familia_PPWR],MATCH(A355,tbl_recyclass[ProductId],0)),tbl_familias_ppwr[ID_Familia],0))="Em falta","Lacuna","Conforme"),IF(B355="EU-ENV-013",IF(INDEX(tbl_familias_ppwr[Declaracao_UE],MATCH(INDEX(tbl_recyclass[Familia_PPWR],MATCH(A355,tbl_recyclass[ProductId],0)),tbl_familias_ppwr[ID_Familia],0))="Sim","Conforme","Lacuna"),G355)))),G355))</f>
        <v>Lacuna face à meta 2030</v>
      </c>
      <c r="I355" s="33" t="str">
        <f t="shared" si="5"/>
        <v>Lacuna</v>
      </c>
      <c r="J355" s="26" t="s">
        <v>1001</v>
      </c>
    </row>
    <row r="356" spans="1:10" ht="16.05" customHeight="1" x14ac:dyDescent="0.3">
      <c r="A356" s="26" t="s">
        <v>649</v>
      </c>
      <c r="B356" s="26" t="s">
        <v>1007</v>
      </c>
      <c r="C356" s="33" t="str">
        <f>IFERROR(INDEX(tbl_requisitos_emb[Tema],MATCH(B356,tbl_requisitos_emb[ID_Req],0)),"")</f>
        <v>Minimização</v>
      </c>
      <c r="D356" s="33" t="str">
        <f>IFERROR(INDEX(tbl_recyclass[Segmento],MATCH(A356,tbl_recyclass[ProductId],0)),"")</f>
        <v>Cosmética e higiene pessoal</v>
      </c>
      <c r="E356" s="26" t="s">
        <v>901</v>
      </c>
      <c r="F356" s="26" t="s">
        <v>1449</v>
      </c>
      <c r="G356" s="26" t="s">
        <v>978</v>
      </c>
      <c r="H356" s="33" t="str">
        <f>IF(E356="Não","Não aplicável",IFERROR(IF(B356="EU-ENV-002",IF(INDEX(tbl_recyclass[Conforme_PPWR_2030],MATCH(A356,tbl_recyclass[ProductId],0))="Sim","Conforme (autoavaliação)",IF(INDEX(tbl_recyclass[Conforme_PPWR_2030],MATCH(A356,tbl_recyclass[ProductId],0))="Não","Não conforme em 2030","Isento até 2035")),IF(B356="EU-ENV-003",IF(INDEX(tbl_recyclass[Conforme_Art7_2030],MATCH(A356,tbl_recyclass[ProductId],0))="Sim","Conforme (meta 2030)",IF(INDEX(tbl_recyclass[Conforme_Art7_2030],MATCH(A356,tbl_recyclass[ProductId],0))="Não","Lacuna face à meta 2030","Isento")),IF(B356="EU-ENV-011",IF(INDEX(tbl_familias_ppwr[Metais_Pesados_Evidencia],MATCH(INDEX(tbl_recyclass[Familia_PPWR],MATCH(A356,tbl_recyclass[ProductId],0)),tbl_familias_ppwr[ID_Familia],0))="Em falta","Lacuna","Conforme"),IF(B356="EU-ENV-013",IF(INDEX(tbl_familias_ppwr[Declaracao_UE],MATCH(INDEX(tbl_recyclass[Familia_PPWR],MATCH(A356,tbl_recyclass[ProductId],0)),tbl_familias_ppwr[ID_Familia],0))="Sim","Conforme","Lacuna"),G356)))),G356))</f>
        <v>Parcial</v>
      </c>
      <c r="I356" s="33" t="str">
        <f t="shared" si="5"/>
        <v>Parcial</v>
      </c>
      <c r="J356" s="26" t="s">
        <v>1012</v>
      </c>
    </row>
    <row r="357" spans="1:10" ht="16.05" customHeight="1" x14ac:dyDescent="0.3">
      <c r="A357" s="26" t="s">
        <v>649</v>
      </c>
      <c r="B357" s="26" t="s">
        <v>1016</v>
      </c>
      <c r="C357" s="33" t="str">
        <f>IFERROR(INDEX(tbl_requisitos_emb[Tema],MATCH(B357,tbl_requisitos_emb[ID_Req],0)),"")</f>
        <v>Rotulagem</v>
      </c>
      <c r="D357" s="33" t="str">
        <f>IFERROR(INDEX(tbl_recyclass[Segmento],MATCH(A357,tbl_recyclass[ProductId],0)),"")</f>
        <v>Cosmética e higiene pessoal</v>
      </c>
      <c r="E357" s="26" t="s">
        <v>901</v>
      </c>
      <c r="F357" s="26" t="s">
        <v>1449</v>
      </c>
      <c r="G357" s="26" t="s">
        <v>990</v>
      </c>
      <c r="H357" s="33" t="str">
        <f>IF(E357="Não","Não aplicável",IFERROR(IF(B357="EU-ENV-002",IF(INDEX(tbl_recyclass[Conforme_PPWR_2030],MATCH(A357,tbl_recyclass[ProductId],0))="Sim","Conforme (autoavaliação)",IF(INDEX(tbl_recyclass[Conforme_PPWR_2030],MATCH(A357,tbl_recyclass[ProductId],0))="Não","Não conforme em 2030","Isento até 2035")),IF(B357="EU-ENV-003",IF(INDEX(tbl_recyclass[Conforme_Art7_2030],MATCH(A357,tbl_recyclass[ProductId],0))="Sim","Conforme (meta 2030)",IF(INDEX(tbl_recyclass[Conforme_Art7_2030],MATCH(A357,tbl_recyclass[ProductId],0))="Não","Lacuna face à meta 2030","Isento")),IF(B357="EU-ENV-011",IF(INDEX(tbl_familias_ppwr[Metais_Pesados_Evidencia],MATCH(INDEX(tbl_recyclass[Familia_PPWR],MATCH(A357,tbl_recyclass[ProductId],0)),tbl_familias_ppwr[ID_Familia],0))="Em falta","Lacuna","Conforme"),IF(B357="EU-ENV-013",IF(INDEX(tbl_familias_ppwr[Declaracao_UE],MATCH(INDEX(tbl_recyclass[Familia_PPWR],MATCH(A357,tbl_recyclass[ProductId],0)),tbl_familias_ppwr[ID_Familia],0))="Sim","Conforme","Lacuna"),G357)))),G357))</f>
        <v>Futuro</v>
      </c>
      <c r="I357" s="33" t="str">
        <f t="shared" si="5"/>
        <v>Futuro</v>
      </c>
      <c r="J357" s="26" t="s">
        <v>1021</v>
      </c>
    </row>
    <row r="358" spans="1:10" ht="16.05" customHeight="1" x14ac:dyDescent="0.3">
      <c r="A358" s="26" t="s">
        <v>649</v>
      </c>
      <c r="B358" s="26" t="s">
        <v>1038</v>
      </c>
      <c r="C358" s="33" t="str">
        <f>IFERROR(INDEX(tbl_requisitos_emb[Tema],MATCH(B358,tbl_requisitos_emb[ID_Req],0)),"")</f>
        <v>Plásticos de utilização única</v>
      </c>
      <c r="D358" s="33" t="str">
        <f>IFERROR(INDEX(tbl_recyclass[Segmento],MATCH(A358,tbl_recyclass[ProductId],0)),"")</f>
        <v>Cosmética e higiene pessoal</v>
      </c>
      <c r="E358" s="26" t="s">
        <v>904</v>
      </c>
      <c r="F358" s="26" t="s">
        <v>1450</v>
      </c>
      <c r="G358" s="26" t="s">
        <v>1143</v>
      </c>
      <c r="H358" s="33" t="str">
        <f>IF(E358="Não","Não aplicável",IFERROR(IF(B358="EU-ENV-002",IF(INDEX(tbl_recyclass[Conforme_PPWR_2030],MATCH(A358,tbl_recyclass[ProductId],0))="Sim","Conforme (autoavaliação)",IF(INDEX(tbl_recyclass[Conforme_PPWR_2030],MATCH(A358,tbl_recyclass[ProductId],0))="Não","Não conforme em 2030","Isento até 2035")),IF(B358="EU-ENV-003",IF(INDEX(tbl_recyclass[Conforme_Art7_2030],MATCH(A358,tbl_recyclass[ProductId],0))="Sim","Conforme (meta 2030)",IF(INDEX(tbl_recyclass[Conforme_Art7_2030],MATCH(A358,tbl_recyclass[ProductId],0))="Não","Lacuna face à meta 2030","Isento")),IF(B358="EU-ENV-011",IF(INDEX(tbl_familias_ppwr[Metais_Pesados_Evidencia],MATCH(INDEX(tbl_recyclass[Familia_PPWR],MATCH(A358,tbl_recyclass[ProductId],0)),tbl_familias_ppwr[ID_Familia],0))="Em falta","Lacuna","Conforme"),IF(B358="EU-ENV-013",IF(INDEX(tbl_familias_ppwr[Declaracao_UE],MATCH(INDEX(tbl_recyclass[Familia_PPWR],MATCH(A358,tbl_recyclass[ProductId],0)),tbl_familias_ppwr[ID_Familia],0))="Sim","Conforme","Lacuna"),G358)))),G358))</f>
        <v>Não aplicável</v>
      </c>
      <c r="I358" s="33" t="str">
        <f t="shared" si="5"/>
        <v>Não aplicável</v>
      </c>
      <c r="J358" s="26"/>
    </row>
    <row r="359" spans="1:10" ht="16.05" customHeight="1" x14ac:dyDescent="0.3">
      <c r="A359" s="26" t="s">
        <v>649</v>
      </c>
      <c r="B359" s="26" t="s">
        <v>1078</v>
      </c>
      <c r="C359" s="33" t="str">
        <f>IFERROR(INDEX(tbl_requisitos_emb[Tema],MATCH(B359,tbl_requisitos_emb[ID_Req],0)),"")</f>
        <v>Reciclado à escala</v>
      </c>
      <c r="D359" s="33" t="str">
        <f>IFERROR(INDEX(tbl_recyclass[Segmento],MATCH(A359,tbl_recyclass[ProductId],0)),"")</f>
        <v>Cosmética e higiene pessoal</v>
      </c>
      <c r="E359" s="26" t="s">
        <v>901</v>
      </c>
      <c r="F359" s="26" t="s">
        <v>1449</v>
      </c>
      <c r="G359" s="26" t="s">
        <v>990</v>
      </c>
      <c r="H359" s="33" t="str">
        <f>IF(E359="Não","Não aplicável",IFERROR(IF(B359="EU-ENV-002",IF(INDEX(tbl_recyclass[Conforme_PPWR_2030],MATCH(A359,tbl_recyclass[ProductId],0))="Sim","Conforme (autoavaliação)",IF(INDEX(tbl_recyclass[Conforme_PPWR_2030],MATCH(A359,tbl_recyclass[ProductId],0))="Não","Não conforme em 2030","Isento até 2035")),IF(B359="EU-ENV-003",IF(INDEX(tbl_recyclass[Conforme_Art7_2030],MATCH(A359,tbl_recyclass[ProductId],0))="Sim","Conforme (meta 2030)",IF(INDEX(tbl_recyclass[Conforme_Art7_2030],MATCH(A359,tbl_recyclass[ProductId],0))="Não","Lacuna face à meta 2030","Isento")),IF(B359="EU-ENV-011",IF(INDEX(tbl_familias_ppwr[Metais_Pesados_Evidencia],MATCH(INDEX(tbl_recyclass[Familia_PPWR],MATCH(A359,tbl_recyclass[ProductId],0)),tbl_familias_ppwr[ID_Familia],0))="Em falta","Lacuna","Conforme"),IF(B359="EU-ENV-013",IF(INDEX(tbl_familias_ppwr[Declaracao_UE],MATCH(INDEX(tbl_recyclass[Familia_PPWR],MATCH(A359,tbl_recyclass[ProductId],0)),tbl_familias_ppwr[ID_Familia],0))="Sim","Conforme","Lacuna"),G359)))),G359))</f>
        <v>Futuro</v>
      </c>
      <c r="I359" s="33" t="str">
        <f t="shared" si="5"/>
        <v>Futuro</v>
      </c>
      <c r="J359" s="26" t="s">
        <v>1082</v>
      </c>
    </row>
    <row r="360" spans="1:10" ht="16.05" customHeight="1" x14ac:dyDescent="0.3">
      <c r="A360" s="26" t="s">
        <v>649</v>
      </c>
      <c r="B360" s="26" t="s">
        <v>1086</v>
      </c>
      <c r="C360" s="33" t="str">
        <f>IFERROR(INDEX(tbl_requisitos_emb[Tema],MATCH(B360,tbl_requisitos_emb[ID_Req],0)),"")</f>
        <v>Metais pesados</v>
      </c>
      <c r="D360" s="33" t="str">
        <f>IFERROR(INDEX(tbl_recyclass[Segmento],MATCH(A360,tbl_recyclass[ProductId],0)),"")</f>
        <v>Cosmética e higiene pessoal</v>
      </c>
      <c r="E360" s="26" t="s">
        <v>901</v>
      </c>
      <c r="F360" s="26" t="s">
        <v>1449</v>
      </c>
      <c r="G360" s="26" t="s">
        <v>978</v>
      </c>
      <c r="H360" s="33" t="str">
        <f>IF(E360="Não","Não aplicável",IFERROR(IF(B360="EU-ENV-002",IF(INDEX(tbl_recyclass[Conforme_PPWR_2030],MATCH(A360,tbl_recyclass[ProductId],0))="Sim","Conforme (autoavaliação)",IF(INDEX(tbl_recyclass[Conforme_PPWR_2030],MATCH(A360,tbl_recyclass[ProductId],0))="Não","Não conforme em 2030","Isento até 2035")),IF(B360="EU-ENV-003",IF(INDEX(tbl_recyclass[Conforme_Art7_2030],MATCH(A360,tbl_recyclass[ProductId],0))="Sim","Conforme (meta 2030)",IF(INDEX(tbl_recyclass[Conforme_Art7_2030],MATCH(A360,tbl_recyclass[ProductId],0))="Não","Lacuna face à meta 2030","Isento")),IF(B360="EU-ENV-011",IF(INDEX(tbl_familias_ppwr[Metais_Pesados_Evidencia],MATCH(INDEX(tbl_recyclass[Familia_PPWR],MATCH(A360,tbl_recyclass[ProductId],0)),tbl_familias_ppwr[ID_Familia],0))="Em falta","Lacuna","Conforme"),IF(B360="EU-ENV-013",IF(INDEX(tbl_familias_ppwr[Declaracao_UE],MATCH(INDEX(tbl_recyclass[Familia_PPWR],MATCH(A360,tbl_recyclass[ProductId],0)),tbl_familias_ppwr[ID_Familia],0))="Sim","Conforme","Lacuna"),G360)))),G360))</f>
        <v>Lacuna</v>
      </c>
      <c r="I360" s="33" t="str">
        <f t="shared" si="5"/>
        <v>Lacuna</v>
      </c>
      <c r="J360" s="26" t="s">
        <v>1090</v>
      </c>
    </row>
    <row r="361" spans="1:10" ht="16.05" customHeight="1" x14ac:dyDescent="0.3">
      <c r="A361" s="26" t="s">
        <v>649</v>
      </c>
      <c r="B361" s="26" t="s">
        <v>1094</v>
      </c>
      <c r="C361" s="33" t="str">
        <f>IFERROR(INDEX(tbl_requisitos_emb[Tema],MATCH(B361,tbl_requisitos_emb[ID_Req],0)),"")</f>
        <v>PFAS</v>
      </c>
      <c r="D361" s="33" t="str">
        <f>IFERROR(INDEX(tbl_recyclass[Segmento],MATCH(A361,tbl_recyclass[ProductId],0)),"")</f>
        <v>Cosmética e higiene pessoal</v>
      </c>
      <c r="E361" s="26" t="s">
        <v>904</v>
      </c>
      <c r="F361" s="26" t="s">
        <v>1450</v>
      </c>
      <c r="G361" s="26" t="s">
        <v>1143</v>
      </c>
      <c r="H361" s="33" t="str">
        <f>IF(E361="Não","Não aplicável",IFERROR(IF(B361="EU-ENV-002",IF(INDEX(tbl_recyclass[Conforme_PPWR_2030],MATCH(A361,tbl_recyclass[ProductId],0))="Sim","Conforme (autoavaliação)",IF(INDEX(tbl_recyclass[Conforme_PPWR_2030],MATCH(A361,tbl_recyclass[ProductId],0))="Não","Não conforme em 2030","Isento até 2035")),IF(B361="EU-ENV-003",IF(INDEX(tbl_recyclass[Conforme_Art7_2030],MATCH(A361,tbl_recyclass[ProductId],0))="Sim","Conforme (meta 2030)",IF(INDEX(tbl_recyclass[Conforme_Art7_2030],MATCH(A361,tbl_recyclass[ProductId],0))="Não","Lacuna face à meta 2030","Isento")),IF(B361="EU-ENV-011",IF(INDEX(tbl_familias_ppwr[Metais_Pesados_Evidencia],MATCH(INDEX(tbl_recyclass[Familia_PPWR],MATCH(A361,tbl_recyclass[ProductId],0)),tbl_familias_ppwr[ID_Familia],0))="Em falta","Lacuna","Conforme"),IF(B361="EU-ENV-013",IF(INDEX(tbl_familias_ppwr[Declaracao_UE],MATCH(INDEX(tbl_recyclass[Familia_PPWR],MATCH(A361,tbl_recyclass[ProductId],0)),tbl_familias_ppwr[ID_Familia],0))="Sim","Conforme","Lacuna"),G361)))),G361))</f>
        <v>Não aplicável</v>
      </c>
      <c r="I361" s="33" t="str">
        <f t="shared" si="5"/>
        <v>Não aplicável</v>
      </c>
      <c r="J361" s="26"/>
    </row>
    <row r="362" spans="1:10" ht="16.05" customHeight="1" x14ac:dyDescent="0.3">
      <c r="A362" s="26" t="s">
        <v>649</v>
      </c>
      <c r="B362" s="26" t="s">
        <v>1102</v>
      </c>
      <c r="C362" s="33" t="str">
        <f>IFERROR(INDEX(tbl_requisitos_emb[Tema],MATCH(B362,tbl_requisitos_emb[ID_Req],0)),"")</f>
        <v>Documentação técnica e declaração UE</v>
      </c>
      <c r="D362" s="33" t="str">
        <f>IFERROR(INDEX(tbl_recyclass[Segmento],MATCH(A362,tbl_recyclass[ProductId],0)),"")</f>
        <v>Cosmética e higiene pessoal</v>
      </c>
      <c r="E362" s="26" t="s">
        <v>901</v>
      </c>
      <c r="F362" s="26" t="s">
        <v>1449</v>
      </c>
      <c r="G362" s="26" t="s">
        <v>978</v>
      </c>
      <c r="H362" s="33" t="str">
        <f>IF(E362="Não","Não aplicável",IFERROR(IF(B362="EU-ENV-002",IF(INDEX(tbl_recyclass[Conforme_PPWR_2030],MATCH(A362,tbl_recyclass[ProductId],0))="Sim","Conforme (autoavaliação)",IF(INDEX(tbl_recyclass[Conforme_PPWR_2030],MATCH(A362,tbl_recyclass[ProductId],0))="Não","Não conforme em 2030","Isento até 2035")),IF(B362="EU-ENV-003",IF(INDEX(tbl_recyclass[Conforme_Art7_2030],MATCH(A362,tbl_recyclass[ProductId],0))="Sim","Conforme (meta 2030)",IF(INDEX(tbl_recyclass[Conforme_Art7_2030],MATCH(A362,tbl_recyclass[ProductId],0))="Não","Lacuna face à meta 2030","Isento")),IF(B362="EU-ENV-011",IF(INDEX(tbl_familias_ppwr[Metais_Pesados_Evidencia],MATCH(INDEX(tbl_recyclass[Familia_PPWR],MATCH(A362,tbl_recyclass[ProductId],0)),tbl_familias_ppwr[ID_Familia],0))="Em falta","Lacuna","Conforme"),IF(B362="EU-ENV-013",IF(INDEX(tbl_familias_ppwr[Declaracao_UE],MATCH(INDEX(tbl_recyclass[Familia_PPWR],MATCH(A362,tbl_recyclass[ProductId],0)),tbl_familias_ppwr[ID_Familia],0))="Sim","Conforme","Lacuna"),G362)))),G362))</f>
        <v>Lacuna</v>
      </c>
      <c r="I362" s="33" t="str">
        <f t="shared" si="5"/>
        <v>Lacuna</v>
      </c>
      <c r="J362" s="26" t="s">
        <v>1106</v>
      </c>
    </row>
    <row r="363" spans="1:10" ht="16.05" customHeight="1" x14ac:dyDescent="0.3">
      <c r="A363" s="26" t="s">
        <v>649</v>
      </c>
      <c r="B363" s="26" t="s">
        <v>1161</v>
      </c>
      <c r="C363" s="33" t="str">
        <f>IFERROR(INDEX(tbl_requisitos_emb[Tema],MATCH(B363,tbl_requisitos_emb[ID_Req],0)),"")</f>
        <v>Materiais em contacto com alimentos</v>
      </c>
      <c r="D363" s="33" t="str">
        <f>IFERROR(INDEX(tbl_recyclass[Segmento],MATCH(A363,tbl_recyclass[ProductId],0)),"")</f>
        <v>Cosmética e higiene pessoal</v>
      </c>
      <c r="E363" s="26" t="s">
        <v>904</v>
      </c>
      <c r="F363" s="26" t="s">
        <v>1450</v>
      </c>
      <c r="G363" s="26" t="s">
        <v>1143</v>
      </c>
      <c r="H363" s="33" t="str">
        <f>IF(E363="Não","Não aplicável",IFERROR(IF(B363="EU-ENV-002",IF(INDEX(tbl_recyclass[Conforme_PPWR_2030],MATCH(A363,tbl_recyclass[ProductId],0))="Sim","Conforme (autoavaliação)",IF(INDEX(tbl_recyclass[Conforme_PPWR_2030],MATCH(A363,tbl_recyclass[ProductId],0))="Não","Não conforme em 2030","Isento até 2035")),IF(B363="EU-ENV-003",IF(INDEX(tbl_recyclass[Conforme_Art7_2030],MATCH(A363,tbl_recyclass[ProductId],0))="Sim","Conforme (meta 2030)",IF(INDEX(tbl_recyclass[Conforme_Art7_2030],MATCH(A363,tbl_recyclass[ProductId],0))="Não","Lacuna face à meta 2030","Isento")),IF(B363="EU-ENV-011",IF(INDEX(tbl_familias_ppwr[Metais_Pesados_Evidencia],MATCH(INDEX(tbl_recyclass[Familia_PPWR],MATCH(A363,tbl_recyclass[ProductId],0)),tbl_familias_ppwr[ID_Familia],0))="Em falta","Lacuna","Conforme"),IF(B363="EU-ENV-013",IF(INDEX(tbl_familias_ppwr[Declaracao_UE],MATCH(INDEX(tbl_recyclass[Familia_PPWR],MATCH(A363,tbl_recyclass[ProductId],0)),tbl_familias_ppwr[ID_Familia],0))="Sim","Conforme","Lacuna"),G363)))),G363))</f>
        <v>Não aplicável</v>
      </c>
      <c r="I363" s="33" t="str">
        <f t="shared" si="5"/>
        <v>Não aplicável</v>
      </c>
      <c r="J363" s="26"/>
    </row>
    <row r="364" spans="1:10" ht="16.05" customHeight="1" x14ac:dyDescent="0.3">
      <c r="A364" s="26" t="s">
        <v>649</v>
      </c>
      <c r="B364" s="26" t="s">
        <v>1170</v>
      </c>
      <c r="C364" s="33" t="str">
        <f>IFERROR(INDEX(tbl_requisitos_emb[Tema],MATCH(B364,tbl_requisitos_emb[ID_Req],0)),"")</f>
        <v>Boas práticas de fabrico FCM</v>
      </c>
      <c r="D364" s="33" t="str">
        <f>IFERROR(INDEX(tbl_recyclass[Segmento],MATCH(A364,tbl_recyclass[ProductId],0)),"")</f>
        <v>Cosmética e higiene pessoal</v>
      </c>
      <c r="E364" s="26" t="s">
        <v>904</v>
      </c>
      <c r="F364" s="26" t="s">
        <v>1450</v>
      </c>
      <c r="G364" s="26" t="s">
        <v>1143</v>
      </c>
      <c r="H364" s="33" t="str">
        <f>IF(E364="Não","Não aplicável",IFERROR(IF(B364="EU-ENV-002",IF(INDEX(tbl_recyclass[Conforme_PPWR_2030],MATCH(A364,tbl_recyclass[ProductId],0))="Sim","Conforme (autoavaliação)",IF(INDEX(tbl_recyclass[Conforme_PPWR_2030],MATCH(A364,tbl_recyclass[ProductId],0))="Não","Não conforme em 2030","Isento até 2035")),IF(B364="EU-ENV-003",IF(INDEX(tbl_recyclass[Conforme_Art7_2030],MATCH(A364,tbl_recyclass[ProductId],0))="Sim","Conforme (meta 2030)",IF(INDEX(tbl_recyclass[Conforme_Art7_2030],MATCH(A364,tbl_recyclass[ProductId],0))="Não","Lacuna face à meta 2030","Isento")),IF(B364="EU-ENV-011",IF(INDEX(tbl_familias_ppwr[Metais_Pesados_Evidencia],MATCH(INDEX(tbl_recyclass[Familia_PPWR],MATCH(A364,tbl_recyclass[ProductId],0)),tbl_familias_ppwr[ID_Familia],0))="Em falta","Lacuna","Conforme"),IF(B364="EU-ENV-013",IF(INDEX(tbl_familias_ppwr[Declaracao_UE],MATCH(INDEX(tbl_recyclass[Familia_PPWR],MATCH(A364,tbl_recyclass[ProductId],0)),tbl_familias_ppwr[ID_Familia],0))="Sim","Conforme","Lacuna"),G364)))),G364))</f>
        <v>Não aplicável</v>
      </c>
      <c r="I364" s="33" t="str">
        <f t="shared" si="5"/>
        <v>Não aplicável</v>
      </c>
      <c r="J364" s="26"/>
    </row>
    <row r="365" spans="1:10" ht="16.05" customHeight="1" x14ac:dyDescent="0.3">
      <c r="A365" s="26" t="s">
        <v>649</v>
      </c>
      <c r="B365" s="26" t="s">
        <v>1179</v>
      </c>
      <c r="C365" s="33" t="str">
        <f>IFERROR(INDEX(tbl_requisitos_emb[Tema],MATCH(B365,tbl_requisitos_emb[ID_Req],0)),"")</f>
        <v>Bisfenol A e bisfenóis perigosos</v>
      </c>
      <c r="D365" s="33" t="str">
        <f>IFERROR(INDEX(tbl_recyclass[Segmento],MATCH(A365,tbl_recyclass[ProductId],0)),"")</f>
        <v>Cosmética e higiene pessoal</v>
      </c>
      <c r="E365" s="26" t="s">
        <v>904</v>
      </c>
      <c r="F365" s="26" t="s">
        <v>1450</v>
      </c>
      <c r="G365" s="26" t="s">
        <v>1143</v>
      </c>
      <c r="H365" s="33" t="str">
        <f>IF(E365="Não","Não aplicável",IFERROR(IF(B365="EU-ENV-002",IF(INDEX(tbl_recyclass[Conforme_PPWR_2030],MATCH(A365,tbl_recyclass[ProductId],0))="Sim","Conforme (autoavaliação)",IF(INDEX(tbl_recyclass[Conforme_PPWR_2030],MATCH(A365,tbl_recyclass[ProductId],0))="Não","Não conforme em 2030","Isento até 2035")),IF(B365="EU-ENV-003",IF(INDEX(tbl_recyclass[Conforme_Art7_2030],MATCH(A365,tbl_recyclass[ProductId],0))="Sim","Conforme (meta 2030)",IF(INDEX(tbl_recyclass[Conforme_Art7_2030],MATCH(A365,tbl_recyclass[ProductId],0))="Não","Lacuna face à meta 2030","Isento")),IF(B365="EU-ENV-011",IF(INDEX(tbl_familias_ppwr[Metais_Pesados_Evidencia],MATCH(INDEX(tbl_recyclass[Familia_PPWR],MATCH(A365,tbl_recyclass[ProductId],0)),tbl_familias_ppwr[ID_Familia],0))="Em falta","Lacuna","Conforme"),IF(B365="EU-ENV-013",IF(INDEX(tbl_familias_ppwr[Declaracao_UE],MATCH(INDEX(tbl_recyclass[Familia_PPWR],MATCH(A365,tbl_recyclass[ProductId],0)),tbl_familias_ppwr[ID_Familia],0))="Sim","Conforme","Lacuna"),G365)))),G365))</f>
        <v>Não aplicável</v>
      </c>
      <c r="I365" s="33" t="str">
        <f t="shared" si="5"/>
        <v>Não aplicável</v>
      </c>
      <c r="J365" s="26"/>
    </row>
    <row r="366" spans="1:10" ht="16.05" customHeight="1" x14ac:dyDescent="0.3">
      <c r="A366" s="26" t="s">
        <v>649</v>
      </c>
      <c r="B366" s="26" t="s">
        <v>1188</v>
      </c>
      <c r="C366" s="33" t="str">
        <f>IFERROR(INDEX(tbl_requisitos_emb[Tema],MATCH(B366,tbl_requisitos_emb[ID_Req],0)),"")</f>
        <v>Plásticos em contacto com alimentos</v>
      </c>
      <c r="D366" s="33" t="str">
        <f>IFERROR(INDEX(tbl_recyclass[Segmento],MATCH(A366,tbl_recyclass[ProductId],0)),"")</f>
        <v>Cosmética e higiene pessoal</v>
      </c>
      <c r="E366" s="26" t="s">
        <v>904</v>
      </c>
      <c r="F366" s="26" t="s">
        <v>1450</v>
      </c>
      <c r="G366" s="26" t="s">
        <v>1143</v>
      </c>
      <c r="H366" s="33" t="str">
        <f>IF(E366="Não","Não aplicável",IFERROR(IF(B366="EU-ENV-002",IF(INDEX(tbl_recyclass[Conforme_PPWR_2030],MATCH(A366,tbl_recyclass[ProductId],0))="Sim","Conforme (autoavaliação)",IF(INDEX(tbl_recyclass[Conforme_PPWR_2030],MATCH(A366,tbl_recyclass[ProductId],0))="Não","Não conforme em 2030","Isento até 2035")),IF(B366="EU-ENV-003",IF(INDEX(tbl_recyclass[Conforme_Art7_2030],MATCH(A366,tbl_recyclass[ProductId],0))="Sim","Conforme (meta 2030)",IF(INDEX(tbl_recyclass[Conforme_Art7_2030],MATCH(A366,tbl_recyclass[ProductId],0))="Não","Lacuna face à meta 2030","Isento")),IF(B366="EU-ENV-011",IF(INDEX(tbl_familias_ppwr[Metais_Pesados_Evidencia],MATCH(INDEX(tbl_recyclass[Familia_PPWR],MATCH(A366,tbl_recyclass[ProductId],0)),tbl_familias_ppwr[ID_Familia],0))="Em falta","Lacuna","Conforme"),IF(B366="EU-ENV-013",IF(INDEX(tbl_familias_ppwr[Declaracao_UE],MATCH(INDEX(tbl_recyclass[Familia_PPWR],MATCH(A366,tbl_recyclass[ProductId],0)),tbl_familias_ppwr[ID_Familia],0))="Sim","Conforme","Lacuna"),G366)))),G366))</f>
        <v>Não aplicável</v>
      </c>
      <c r="I366" s="33" t="str">
        <f t="shared" si="5"/>
        <v>Não aplicável</v>
      </c>
      <c r="J366" s="26"/>
    </row>
    <row r="367" spans="1:10" ht="16.05" customHeight="1" x14ac:dyDescent="0.3">
      <c r="A367" s="26" t="s">
        <v>649</v>
      </c>
      <c r="B367" s="26" t="s">
        <v>1212</v>
      </c>
      <c r="C367" s="33" t="str">
        <f>IFERROR(INDEX(tbl_requisitos_emb[Tema],MATCH(B367,tbl_requisitos_emb[ID_Req],0)),"")</f>
        <v>Segurança do produto cosmético</v>
      </c>
      <c r="D367" s="33" t="str">
        <f>IFERROR(INDEX(tbl_recyclass[Segmento],MATCH(A367,tbl_recyclass[ProductId],0)),"")</f>
        <v>Cosmética e higiene pessoal</v>
      </c>
      <c r="E367" s="26" t="s">
        <v>901</v>
      </c>
      <c r="F367" s="26" t="s">
        <v>1449</v>
      </c>
      <c r="G367" s="26" t="s">
        <v>1033</v>
      </c>
      <c r="H367" s="33" t="str">
        <f>IF(E367="Não","Não aplicável",IFERROR(IF(B367="EU-ENV-002",IF(INDEX(tbl_recyclass[Conforme_PPWR_2030],MATCH(A367,tbl_recyclass[ProductId],0))="Sim","Conforme (autoavaliação)",IF(INDEX(tbl_recyclass[Conforme_PPWR_2030],MATCH(A367,tbl_recyclass[ProductId],0))="Não","Não conforme em 2030","Isento até 2035")),IF(B367="EU-ENV-003",IF(INDEX(tbl_recyclass[Conforme_Art7_2030],MATCH(A367,tbl_recyclass[ProductId],0))="Sim","Conforme (meta 2030)",IF(INDEX(tbl_recyclass[Conforme_Art7_2030],MATCH(A367,tbl_recyclass[ProductId],0))="Não","Lacuna face à meta 2030","Isento")),IF(B367="EU-ENV-011",IF(INDEX(tbl_familias_ppwr[Metais_Pesados_Evidencia],MATCH(INDEX(tbl_recyclass[Familia_PPWR],MATCH(A367,tbl_recyclass[ProductId],0)),tbl_familias_ppwr[ID_Familia],0))="Em falta","Lacuna","Conforme"),IF(B367="EU-ENV-013",IF(INDEX(tbl_familias_ppwr[Declaracao_UE],MATCH(INDEX(tbl_recyclass[Familia_PPWR],MATCH(A367,tbl_recyclass[ProductId],0)),tbl_familias_ppwr[ID_Familia],0))="Sim","Conforme","Lacuna"),G367)))),G367))</f>
        <v>Conforme</v>
      </c>
      <c r="I367" s="33" t="str">
        <f t="shared" si="5"/>
        <v>Conforme</v>
      </c>
      <c r="J367" s="26" t="s">
        <v>1221</v>
      </c>
    </row>
    <row r="368" spans="1:10" ht="16.05" customHeight="1" x14ac:dyDescent="0.3">
      <c r="A368" s="26" t="s">
        <v>649</v>
      </c>
      <c r="B368" s="26" t="s">
        <v>1224</v>
      </c>
      <c r="C368" s="33" t="str">
        <f>IFERROR(INDEX(tbl_requisitos_emb[Tema],MATCH(B368,tbl_requisitos_emb[ID_Req],0)),"")</f>
        <v>Materiais e impurezas</v>
      </c>
      <c r="D368" s="33" t="str">
        <f>IFERROR(INDEX(tbl_recyclass[Segmento],MATCH(A368,tbl_recyclass[ProductId],0)),"")</f>
        <v>Cosmética e higiene pessoal</v>
      </c>
      <c r="E368" s="26" t="s">
        <v>901</v>
      </c>
      <c r="F368" s="26" t="s">
        <v>1449</v>
      </c>
      <c r="G368" s="26" t="s">
        <v>978</v>
      </c>
      <c r="H368" s="33" t="str">
        <f>IF(E368="Não","Não aplicável",IFERROR(IF(B368="EU-ENV-002",IF(INDEX(tbl_recyclass[Conforme_PPWR_2030],MATCH(A368,tbl_recyclass[ProductId],0))="Sim","Conforme (autoavaliação)",IF(INDEX(tbl_recyclass[Conforme_PPWR_2030],MATCH(A368,tbl_recyclass[ProductId],0))="Não","Não conforme em 2030","Isento até 2035")),IF(B368="EU-ENV-003",IF(INDEX(tbl_recyclass[Conforme_Art7_2030],MATCH(A368,tbl_recyclass[ProductId],0))="Sim","Conforme (meta 2030)",IF(INDEX(tbl_recyclass[Conforme_Art7_2030],MATCH(A368,tbl_recyclass[ProductId],0))="Não","Lacuna face à meta 2030","Isento")),IF(B368="EU-ENV-011",IF(INDEX(tbl_familias_ppwr[Metais_Pesados_Evidencia],MATCH(INDEX(tbl_recyclass[Familia_PPWR],MATCH(A368,tbl_recyclass[ProductId],0)),tbl_familias_ppwr[ID_Familia],0))="Em falta","Lacuna","Conforme"),IF(B368="EU-ENV-013",IF(INDEX(tbl_familias_ppwr[Declaracao_UE],MATCH(INDEX(tbl_recyclass[Familia_PPWR],MATCH(A368,tbl_recyclass[ProductId],0)),tbl_familias_ppwr[ID_Familia],0))="Sim","Conforme","Lacuna"),G368)))),G368))</f>
        <v>Parcial</v>
      </c>
      <c r="I368" s="33" t="str">
        <f t="shared" si="5"/>
        <v>Parcial</v>
      </c>
      <c r="J368" s="26" t="s">
        <v>1228</v>
      </c>
    </row>
    <row r="369" spans="1:10" ht="16.05" customHeight="1" x14ac:dyDescent="0.3">
      <c r="A369" s="26" t="s">
        <v>649</v>
      </c>
      <c r="B369" s="26" t="s">
        <v>1240</v>
      </c>
      <c r="C369" s="33" t="str">
        <f>IFERROR(INDEX(tbl_requisitos_emb[Tema],MATCH(B369,tbl_requisitos_emb[ID_Req],0)),"")</f>
        <v>Compatibilidade embalagem–produto</v>
      </c>
      <c r="D369" s="33" t="str">
        <f>IFERROR(INDEX(tbl_recyclass[Segmento],MATCH(A369,tbl_recyclass[ProductId],0)),"")</f>
        <v>Cosmética e higiene pessoal</v>
      </c>
      <c r="E369" s="26" t="s">
        <v>901</v>
      </c>
      <c r="F369" s="26" t="s">
        <v>1449</v>
      </c>
      <c r="G369" s="26" t="s">
        <v>1033</v>
      </c>
      <c r="H369" s="33" t="str">
        <f>IF(E369="Não","Não aplicável",IFERROR(IF(B369="EU-ENV-002",IF(INDEX(tbl_recyclass[Conforme_PPWR_2030],MATCH(A369,tbl_recyclass[ProductId],0))="Sim","Conforme (autoavaliação)",IF(INDEX(tbl_recyclass[Conforme_PPWR_2030],MATCH(A369,tbl_recyclass[ProductId],0))="Não","Não conforme em 2030","Isento até 2035")),IF(B369="EU-ENV-003",IF(INDEX(tbl_recyclass[Conforme_Art7_2030],MATCH(A369,tbl_recyclass[ProductId],0))="Sim","Conforme (meta 2030)",IF(INDEX(tbl_recyclass[Conforme_Art7_2030],MATCH(A369,tbl_recyclass[ProductId],0))="Não","Lacuna face à meta 2030","Isento")),IF(B369="EU-ENV-011",IF(INDEX(tbl_familias_ppwr[Metais_Pesados_Evidencia],MATCH(INDEX(tbl_recyclass[Familia_PPWR],MATCH(A369,tbl_recyclass[ProductId],0)),tbl_familias_ppwr[ID_Familia],0))="Em falta","Lacuna","Conforme"),IF(B369="EU-ENV-013",IF(INDEX(tbl_familias_ppwr[Declaracao_UE],MATCH(INDEX(tbl_recyclass[Familia_PPWR],MATCH(A369,tbl_recyclass[ProductId],0)),tbl_familias_ppwr[ID_Familia],0))="Sim","Conforme","Lacuna"),G369)))),G369))</f>
        <v>Conforme</v>
      </c>
      <c r="I369" s="33" t="str">
        <f t="shared" si="5"/>
        <v>Conforme</v>
      </c>
      <c r="J369" s="26" t="s">
        <v>1244</v>
      </c>
    </row>
    <row r="370" spans="1:10" ht="16.05" customHeight="1" x14ac:dyDescent="0.3">
      <c r="A370" s="26" t="s">
        <v>649</v>
      </c>
      <c r="B370" s="26" t="s">
        <v>1252</v>
      </c>
      <c r="C370" s="33" t="str">
        <f>IFERROR(INDEX(tbl_requisitos_emb[Tema],MATCH(B370,tbl_requisitos_emb[ID_Req],0)),"")</f>
        <v>Medicamentos de uso humano</v>
      </c>
      <c r="D370" s="33" t="str">
        <f>IFERROR(INDEX(tbl_recyclass[Segmento],MATCH(A370,tbl_recyclass[ProductId],0)),"")</f>
        <v>Cosmética e higiene pessoal</v>
      </c>
      <c r="E370" s="26" t="s">
        <v>904</v>
      </c>
      <c r="F370" s="26" t="s">
        <v>1451</v>
      </c>
      <c r="G370" s="26" t="s">
        <v>1143</v>
      </c>
      <c r="H370" s="33" t="str">
        <f>IF(E370="Não","Não aplicável",IFERROR(IF(B370="EU-ENV-002",IF(INDEX(tbl_recyclass[Conforme_PPWR_2030],MATCH(A370,tbl_recyclass[ProductId],0))="Sim","Conforme (autoavaliação)",IF(INDEX(tbl_recyclass[Conforme_PPWR_2030],MATCH(A370,tbl_recyclass[ProductId],0))="Não","Não conforme em 2030","Isento até 2035")),IF(B370="EU-ENV-003",IF(INDEX(tbl_recyclass[Conforme_Art7_2030],MATCH(A370,tbl_recyclass[ProductId],0))="Sim","Conforme (meta 2030)",IF(INDEX(tbl_recyclass[Conforme_Art7_2030],MATCH(A370,tbl_recyclass[ProductId],0))="Não","Lacuna face à meta 2030","Isento")),IF(B370="EU-ENV-011",IF(INDEX(tbl_familias_ppwr[Metais_Pesados_Evidencia],MATCH(INDEX(tbl_recyclass[Familia_PPWR],MATCH(A370,tbl_recyclass[ProductId],0)),tbl_familias_ppwr[ID_Familia],0))="Em falta","Lacuna","Conforme"),IF(B370="EU-ENV-013",IF(INDEX(tbl_familias_ppwr[Declaracao_UE],MATCH(INDEX(tbl_recyclass[Familia_PPWR],MATCH(A370,tbl_recyclass[ProductId],0)),tbl_familias_ppwr[ID_Familia],0))="Sim","Conforme","Lacuna"),G370)))),G370))</f>
        <v>Não aplicável</v>
      </c>
      <c r="I370" s="33" t="str">
        <f t="shared" si="5"/>
        <v>Não aplicável</v>
      </c>
      <c r="J370" s="26"/>
    </row>
    <row r="371" spans="1:10" ht="16.05" customHeight="1" x14ac:dyDescent="0.3">
      <c r="A371" s="26" t="s">
        <v>649</v>
      </c>
      <c r="B371" s="26" t="s">
        <v>1268</v>
      </c>
      <c r="C371" s="33" t="str">
        <f>IFERROR(INDEX(tbl_requisitos_emb[Tema],MATCH(B371,tbl_requisitos_emb[ID_Req],0)),"")</f>
        <v>Dispositivos de segurança</v>
      </c>
      <c r="D371" s="33" t="str">
        <f>IFERROR(INDEX(tbl_recyclass[Segmento],MATCH(A371,tbl_recyclass[ProductId],0)),"")</f>
        <v>Cosmética e higiene pessoal</v>
      </c>
      <c r="E371" s="26" t="s">
        <v>904</v>
      </c>
      <c r="F371" s="26" t="s">
        <v>1451</v>
      </c>
      <c r="G371" s="26" t="s">
        <v>1143</v>
      </c>
      <c r="H371" s="33" t="str">
        <f>IF(E371="Não","Não aplicável",IFERROR(IF(B371="EU-ENV-002",IF(INDEX(tbl_recyclass[Conforme_PPWR_2030],MATCH(A371,tbl_recyclass[ProductId],0))="Sim","Conforme (autoavaliação)",IF(INDEX(tbl_recyclass[Conforme_PPWR_2030],MATCH(A371,tbl_recyclass[ProductId],0))="Não","Não conforme em 2030","Isento até 2035")),IF(B371="EU-ENV-003",IF(INDEX(tbl_recyclass[Conforme_Art7_2030],MATCH(A371,tbl_recyclass[ProductId],0))="Sim","Conforme (meta 2030)",IF(INDEX(tbl_recyclass[Conforme_Art7_2030],MATCH(A371,tbl_recyclass[ProductId],0))="Não","Lacuna face à meta 2030","Isento")),IF(B371="EU-ENV-011",IF(INDEX(tbl_familias_ppwr[Metais_Pesados_Evidencia],MATCH(INDEX(tbl_recyclass[Familia_PPWR],MATCH(A371,tbl_recyclass[ProductId],0)),tbl_familias_ppwr[ID_Familia],0))="Em falta","Lacuna","Conforme"),IF(B371="EU-ENV-013",IF(INDEX(tbl_familias_ppwr[Declaracao_UE],MATCH(INDEX(tbl_recyclass[Familia_PPWR],MATCH(A371,tbl_recyclass[ProductId],0)),tbl_familias_ppwr[ID_Familia],0))="Sim","Conforme","Lacuna"),G371)))),G371))</f>
        <v>Não aplicável</v>
      </c>
      <c r="I371" s="33" t="str">
        <f t="shared" si="5"/>
        <v>Não aplicável</v>
      </c>
      <c r="J371" s="26"/>
    </row>
    <row r="372" spans="1:10" ht="16.05" customHeight="1" x14ac:dyDescent="0.3">
      <c r="A372" s="26" t="s">
        <v>649</v>
      </c>
      <c r="B372" s="26" t="s">
        <v>1285</v>
      </c>
      <c r="C372" s="33" t="str">
        <f>IFERROR(INDEX(tbl_requisitos_emb[Tema],MATCH(B372,tbl_requisitos_emb[ID_Req],0)),"")</f>
        <v>Materiais plásticos de acondicionamento primário</v>
      </c>
      <c r="D372" s="33" t="str">
        <f>IFERROR(INDEX(tbl_recyclass[Segmento],MATCH(A372,tbl_recyclass[ProductId],0)),"")</f>
        <v>Cosmética e higiene pessoal</v>
      </c>
      <c r="E372" s="26" t="s">
        <v>904</v>
      </c>
      <c r="F372" s="26" t="s">
        <v>1451</v>
      </c>
      <c r="G372" s="26" t="s">
        <v>1143</v>
      </c>
      <c r="H372" s="33" t="str">
        <f>IF(E372="Não","Não aplicável",IFERROR(IF(B372="EU-ENV-002",IF(INDEX(tbl_recyclass[Conforme_PPWR_2030],MATCH(A372,tbl_recyclass[ProductId],0))="Sim","Conforme (autoavaliação)",IF(INDEX(tbl_recyclass[Conforme_PPWR_2030],MATCH(A372,tbl_recyclass[ProductId],0))="Não","Não conforme em 2030","Isento até 2035")),IF(B372="EU-ENV-003",IF(INDEX(tbl_recyclass[Conforme_Art7_2030],MATCH(A372,tbl_recyclass[ProductId],0))="Sim","Conforme (meta 2030)",IF(INDEX(tbl_recyclass[Conforme_Art7_2030],MATCH(A372,tbl_recyclass[ProductId],0))="Não","Lacuna face à meta 2030","Isento")),IF(B372="EU-ENV-011",IF(INDEX(tbl_familias_ppwr[Metais_Pesados_Evidencia],MATCH(INDEX(tbl_recyclass[Familia_PPWR],MATCH(A372,tbl_recyclass[ProductId],0)),tbl_familias_ppwr[ID_Familia],0))="Em falta","Lacuna","Conforme"),IF(B372="EU-ENV-013",IF(INDEX(tbl_familias_ppwr[Declaracao_UE],MATCH(INDEX(tbl_recyclass[Familia_PPWR],MATCH(A372,tbl_recyclass[ProductId],0)),tbl_familias_ppwr[ID_Familia],0))="Sim","Conforme","Lacuna"),G372)))),G372))</f>
        <v>Não aplicável</v>
      </c>
      <c r="I372" s="33" t="str">
        <f t="shared" si="5"/>
        <v>Não aplicável</v>
      </c>
      <c r="J372" s="26"/>
    </row>
    <row r="373" spans="1:10" ht="16.05" customHeight="1" x14ac:dyDescent="0.3">
      <c r="A373" s="26" t="s">
        <v>649</v>
      </c>
      <c r="B373" s="26" t="s">
        <v>1293</v>
      </c>
      <c r="C373" s="33" t="str">
        <f>IFERROR(INDEX(tbl_requisitos_emb[Tema],MATCH(B373,tbl_requisitos_emb[ID_Req],0)),"")</f>
        <v>Isenções PPWR</v>
      </c>
      <c r="D373" s="33" t="str">
        <f>IFERROR(INDEX(tbl_recyclass[Segmento],MATCH(A373,tbl_recyclass[ProductId],0)),"")</f>
        <v>Cosmética e higiene pessoal</v>
      </c>
      <c r="E373" s="26" t="s">
        <v>904</v>
      </c>
      <c r="F373" s="26" t="s">
        <v>1451</v>
      </c>
      <c r="G373" s="26" t="s">
        <v>1143</v>
      </c>
      <c r="H373" s="33" t="str">
        <f>IF(E373="Não","Não aplicável",IFERROR(IF(B373="EU-ENV-002",IF(INDEX(tbl_recyclass[Conforme_PPWR_2030],MATCH(A373,tbl_recyclass[ProductId],0))="Sim","Conforme (autoavaliação)",IF(INDEX(tbl_recyclass[Conforme_PPWR_2030],MATCH(A373,tbl_recyclass[ProductId],0))="Não","Não conforme em 2030","Isento até 2035")),IF(B373="EU-ENV-003",IF(INDEX(tbl_recyclass[Conforme_Art7_2030],MATCH(A373,tbl_recyclass[ProductId],0))="Sim","Conforme (meta 2030)",IF(INDEX(tbl_recyclass[Conforme_Art7_2030],MATCH(A373,tbl_recyclass[ProductId],0))="Não","Lacuna face à meta 2030","Isento")),IF(B373="EU-ENV-011",IF(INDEX(tbl_familias_ppwr[Metais_Pesados_Evidencia],MATCH(INDEX(tbl_recyclass[Familia_PPWR],MATCH(A373,tbl_recyclass[ProductId],0)),tbl_familias_ppwr[ID_Familia],0))="Em falta","Lacuna","Conforme"),IF(B373="EU-ENV-013",IF(INDEX(tbl_familias_ppwr[Declaracao_UE],MATCH(INDEX(tbl_recyclass[Familia_PPWR],MATCH(A373,tbl_recyclass[ProductId],0)),tbl_familias_ppwr[ID_Familia],0))="Sim","Conforme","Lacuna"),G373)))),G373))</f>
        <v>Não aplicável</v>
      </c>
      <c r="I373" s="33" t="str">
        <f t="shared" si="5"/>
        <v>Não aplicável</v>
      </c>
      <c r="J373" s="26"/>
    </row>
    <row r="374" spans="1:10" ht="16.05" customHeight="1" x14ac:dyDescent="0.3">
      <c r="A374" s="26" t="s">
        <v>649</v>
      </c>
      <c r="B374" s="26" t="s">
        <v>1357</v>
      </c>
      <c r="C374" s="33" t="str">
        <f>IFERROR(INDEX(tbl_requisitos_emb[Tema],MATCH(B374,tbl_requisitos_emb[ID_Req],0)),"")</f>
        <v>Identificação de plásticos</v>
      </c>
      <c r="D374" s="33" t="str">
        <f>IFERROR(INDEX(tbl_recyclass[Segmento],MATCH(A374,tbl_recyclass[ProductId],0)),"")</f>
        <v>Cosmética e higiene pessoal</v>
      </c>
      <c r="E374" s="26" t="s">
        <v>901</v>
      </c>
      <c r="F374" s="26" t="s">
        <v>1449</v>
      </c>
      <c r="G374" s="26" t="s">
        <v>978</v>
      </c>
      <c r="H374" s="33" t="str">
        <f>IF(E374="Não","Não aplicável",IFERROR(IF(B374="EU-ENV-002",IF(INDEX(tbl_recyclass[Conforme_PPWR_2030],MATCH(A374,tbl_recyclass[ProductId],0))="Sim","Conforme (autoavaliação)",IF(INDEX(tbl_recyclass[Conforme_PPWR_2030],MATCH(A374,tbl_recyclass[ProductId],0))="Não","Não conforme em 2030","Isento até 2035")),IF(B374="EU-ENV-003",IF(INDEX(tbl_recyclass[Conforme_Art7_2030],MATCH(A374,tbl_recyclass[ProductId],0))="Sim","Conforme (meta 2030)",IF(INDEX(tbl_recyclass[Conforme_Art7_2030],MATCH(A374,tbl_recyclass[ProductId],0))="Não","Lacuna face à meta 2030","Isento")),IF(B374="EU-ENV-011",IF(INDEX(tbl_familias_ppwr[Metais_Pesados_Evidencia],MATCH(INDEX(tbl_recyclass[Familia_PPWR],MATCH(A374,tbl_recyclass[ProductId],0)),tbl_familias_ppwr[ID_Familia],0))="Em falta","Lacuna","Conforme"),IF(B374="EU-ENV-013",IF(INDEX(tbl_familias_ppwr[Declaracao_UE],MATCH(INDEX(tbl_recyclass[Familia_PPWR],MATCH(A374,tbl_recyclass[ProductId],0)),tbl_familias_ppwr[ID_Familia],0))="Sim","Conforme","Lacuna"),G374)))),G374))</f>
        <v>Parcial</v>
      </c>
      <c r="I374" s="33" t="str">
        <f t="shared" si="5"/>
        <v>Parcial</v>
      </c>
      <c r="J374" s="26" t="s">
        <v>1362</v>
      </c>
    </row>
    <row r="375" spans="1:10" ht="16.05" customHeight="1" x14ac:dyDescent="0.3">
      <c r="A375" s="26" t="s">
        <v>649</v>
      </c>
      <c r="B375" s="26" t="s">
        <v>1385</v>
      </c>
      <c r="C375" s="33" t="str">
        <f>IFERROR(INDEX(tbl_requisitos_emb[Tema],MATCH(B375,tbl_requisitos_emb[ID_Req],0)),"")</f>
        <v>Reciclabilidade (voluntária)</v>
      </c>
      <c r="D375" s="33" t="str">
        <f>IFERROR(INDEX(tbl_recyclass[Segmento],MATCH(A375,tbl_recyclass[ProductId],0)),"")</f>
        <v>Cosmética e higiene pessoal</v>
      </c>
      <c r="E375" s="26" t="s">
        <v>901</v>
      </c>
      <c r="F375" s="26" t="s">
        <v>1449</v>
      </c>
      <c r="G375" s="26" t="s">
        <v>978</v>
      </c>
      <c r="H375" s="33" t="str">
        <f>IF(E375="Não","Não aplicável",IFERROR(IF(B375="EU-ENV-002",IF(INDEX(tbl_recyclass[Conforme_PPWR_2030],MATCH(A375,tbl_recyclass[ProductId],0))="Sim","Conforme (autoavaliação)",IF(INDEX(tbl_recyclass[Conforme_PPWR_2030],MATCH(A375,tbl_recyclass[ProductId],0))="Não","Não conforme em 2030","Isento até 2035")),IF(B375="EU-ENV-003",IF(INDEX(tbl_recyclass[Conforme_Art7_2030],MATCH(A375,tbl_recyclass[ProductId],0))="Sim","Conforme (meta 2030)",IF(INDEX(tbl_recyclass[Conforme_Art7_2030],MATCH(A375,tbl_recyclass[ProductId],0))="Não","Lacuna face à meta 2030","Isento")),IF(B375="EU-ENV-011",IF(INDEX(tbl_familias_ppwr[Metais_Pesados_Evidencia],MATCH(INDEX(tbl_recyclass[Familia_PPWR],MATCH(A375,tbl_recyclass[ProductId],0)),tbl_familias_ppwr[ID_Familia],0))="Em falta","Lacuna","Conforme"),IF(B375="EU-ENV-013",IF(INDEX(tbl_familias_ppwr[Declaracao_UE],MATCH(INDEX(tbl_recyclass[Familia_PPWR],MATCH(A375,tbl_recyclass[ProductId],0)),tbl_familias_ppwr[ID_Familia],0))="Sim","Conforme","Lacuna"),G375)))),G375))</f>
        <v>Parcial</v>
      </c>
      <c r="I375" s="33" t="str">
        <f t="shared" si="5"/>
        <v>Parcial</v>
      </c>
      <c r="J375" s="26" t="s">
        <v>1389</v>
      </c>
    </row>
    <row r="376" spans="1:10" ht="16.05" customHeight="1" x14ac:dyDescent="0.3">
      <c r="A376" s="26" t="s">
        <v>651</v>
      </c>
      <c r="B376" s="26" t="s">
        <v>984</v>
      </c>
      <c r="C376" s="33" t="str">
        <f>IFERROR(INDEX(tbl_requisitos_emb[Tema],MATCH(B376,tbl_requisitos_emb[ID_Req],0)),"")</f>
        <v>Conceção para reciclagem</v>
      </c>
      <c r="D376" s="33" t="str">
        <f>IFERROR(INDEX(tbl_recyclass[Segmento],MATCH(A376,tbl_recyclass[ProductId],0)),"")</f>
        <v>Cosmética e higiene pessoal</v>
      </c>
      <c r="E376" s="26" t="s">
        <v>901</v>
      </c>
      <c r="F376" s="26" t="s">
        <v>1449</v>
      </c>
      <c r="G376" s="26" t="s">
        <v>978</v>
      </c>
      <c r="H376" s="33" t="str">
        <f>IF(E376="Não","Não aplicável",IFERROR(IF(B376="EU-ENV-002",IF(INDEX(tbl_recyclass[Conforme_PPWR_2030],MATCH(A376,tbl_recyclass[ProductId],0))="Sim","Conforme (autoavaliação)",IF(INDEX(tbl_recyclass[Conforme_PPWR_2030],MATCH(A376,tbl_recyclass[ProductId],0))="Não","Não conforme em 2030","Isento até 2035")),IF(B376="EU-ENV-003",IF(INDEX(tbl_recyclass[Conforme_Art7_2030],MATCH(A376,tbl_recyclass[ProductId],0))="Sim","Conforme (meta 2030)",IF(INDEX(tbl_recyclass[Conforme_Art7_2030],MATCH(A376,tbl_recyclass[ProductId],0))="Não","Lacuna face à meta 2030","Isento")),IF(B376="EU-ENV-011",IF(INDEX(tbl_familias_ppwr[Metais_Pesados_Evidencia],MATCH(INDEX(tbl_recyclass[Familia_PPWR],MATCH(A376,tbl_recyclass[ProductId],0)),tbl_familias_ppwr[ID_Familia],0))="Em falta","Lacuna","Conforme"),IF(B376="EU-ENV-013",IF(INDEX(tbl_familias_ppwr[Declaracao_UE],MATCH(INDEX(tbl_recyclass[Familia_PPWR],MATCH(A376,tbl_recyclass[ProductId],0)),tbl_familias_ppwr[ID_Familia],0))="Sim","Conforme","Lacuna"),G376)))),G376))</f>
        <v>Não conforme em 2030</v>
      </c>
      <c r="I376" s="33" t="str">
        <f t="shared" si="5"/>
        <v>Não conforme</v>
      </c>
      <c r="J376" s="26" t="s">
        <v>991</v>
      </c>
    </row>
    <row r="377" spans="1:10" ht="16.05" customHeight="1" x14ac:dyDescent="0.3">
      <c r="A377" s="26" t="s">
        <v>651</v>
      </c>
      <c r="B377" s="26" t="s">
        <v>997</v>
      </c>
      <c r="C377" s="33" t="str">
        <f>IFERROR(INDEX(tbl_requisitos_emb[Tema],MATCH(B377,tbl_requisitos_emb[ID_Req],0)),"")</f>
        <v>Conteúdo reciclado</v>
      </c>
      <c r="D377" s="33" t="str">
        <f>IFERROR(INDEX(tbl_recyclass[Segmento],MATCH(A377,tbl_recyclass[ProductId],0)),"")</f>
        <v>Cosmética e higiene pessoal</v>
      </c>
      <c r="E377" s="26" t="s">
        <v>901</v>
      </c>
      <c r="F377" s="26" t="s">
        <v>1449</v>
      </c>
      <c r="G377" s="26" t="s">
        <v>978</v>
      </c>
      <c r="H377" s="33" t="str">
        <f>IF(E377="Não","Não aplicável",IFERROR(IF(B377="EU-ENV-002",IF(INDEX(tbl_recyclass[Conforme_PPWR_2030],MATCH(A377,tbl_recyclass[ProductId],0))="Sim","Conforme (autoavaliação)",IF(INDEX(tbl_recyclass[Conforme_PPWR_2030],MATCH(A377,tbl_recyclass[ProductId],0))="Não","Não conforme em 2030","Isento até 2035")),IF(B377="EU-ENV-003",IF(INDEX(tbl_recyclass[Conforme_Art7_2030],MATCH(A377,tbl_recyclass[ProductId],0))="Sim","Conforme (meta 2030)",IF(INDEX(tbl_recyclass[Conforme_Art7_2030],MATCH(A377,tbl_recyclass[ProductId],0))="Não","Lacuna face à meta 2030","Isento")),IF(B377="EU-ENV-011",IF(INDEX(tbl_familias_ppwr[Metais_Pesados_Evidencia],MATCH(INDEX(tbl_recyclass[Familia_PPWR],MATCH(A377,tbl_recyclass[ProductId],0)),tbl_familias_ppwr[ID_Familia],0))="Em falta","Lacuna","Conforme"),IF(B377="EU-ENV-013",IF(INDEX(tbl_familias_ppwr[Declaracao_UE],MATCH(INDEX(tbl_recyclass[Familia_PPWR],MATCH(A377,tbl_recyclass[ProductId],0)),tbl_familias_ppwr[ID_Familia],0))="Sim","Conforme","Lacuna"),G377)))),G377))</f>
        <v>Lacuna face à meta 2030</v>
      </c>
      <c r="I377" s="33" t="str">
        <f t="shared" si="5"/>
        <v>Lacuna</v>
      </c>
      <c r="J377" s="26" t="s">
        <v>1001</v>
      </c>
    </row>
    <row r="378" spans="1:10" ht="16.05" customHeight="1" x14ac:dyDescent="0.3">
      <c r="A378" s="26" t="s">
        <v>651</v>
      </c>
      <c r="B378" s="26" t="s">
        <v>1007</v>
      </c>
      <c r="C378" s="33" t="str">
        <f>IFERROR(INDEX(tbl_requisitos_emb[Tema],MATCH(B378,tbl_requisitos_emb[ID_Req],0)),"")</f>
        <v>Minimização</v>
      </c>
      <c r="D378" s="33" t="str">
        <f>IFERROR(INDEX(tbl_recyclass[Segmento],MATCH(A378,tbl_recyclass[ProductId],0)),"")</f>
        <v>Cosmética e higiene pessoal</v>
      </c>
      <c r="E378" s="26" t="s">
        <v>901</v>
      </c>
      <c r="F378" s="26" t="s">
        <v>1449</v>
      </c>
      <c r="G378" s="26" t="s">
        <v>978</v>
      </c>
      <c r="H378" s="33" t="str">
        <f>IF(E378="Não","Não aplicável",IFERROR(IF(B378="EU-ENV-002",IF(INDEX(tbl_recyclass[Conforme_PPWR_2030],MATCH(A378,tbl_recyclass[ProductId],0))="Sim","Conforme (autoavaliação)",IF(INDEX(tbl_recyclass[Conforme_PPWR_2030],MATCH(A378,tbl_recyclass[ProductId],0))="Não","Não conforme em 2030","Isento até 2035")),IF(B378="EU-ENV-003",IF(INDEX(tbl_recyclass[Conforme_Art7_2030],MATCH(A378,tbl_recyclass[ProductId],0))="Sim","Conforme (meta 2030)",IF(INDEX(tbl_recyclass[Conforme_Art7_2030],MATCH(A378,tbl_recyclass[ProductId],0))="Não","Lacuna face à meta 2030","Isento")),IF(B378="EU-ENV-011",IF(INDEX(tbl_familias_ppwr[Metais_Pesados_Evidencia],MATCH(INDEX(tbl_recyclass[Familia_PPWR],MATCH(A378,tbl_recyclass[ProductId],0)),tbl_familias_ppwr[ID_Familia],0))="Em falta","Lacuna","Conforme"),IF(B378="EU-ENV-013",IF(INDEX(tbl_familias_ppwr[Declaracao_UE],MATCH(INDEX(tbl_recyclass[Familia_PPWR],MATCH(A378,tbl_recyclass[ProductId],0)),tbl_familias_ppwr[ID_Familia],0))="Sim","Conforme","Lacuna"),G378)))),G378))</f>
        <v>Parcial</v>
      </c>
      <c r="I378" s="33" t="str">
        <f t="shared" si="5"/>
        <v>Parcial</v>
      </c>
      <c r="J378" s="26" t="s">
        <v>1012</v>
      </c>
    </row>
    <row r="379" spans="1:10" ht="16.05" customHeight="1" x14ac:dyDescent="0.3">
      <c r="A379" s="26" t="s">
        <v>651</v>
      </c>
      <c r="B379" s="26" t="s">
        <v>1016</v>
      </c>
      <c r="C379" s="33" t="str">
        <f>IFERROR(INDEX(tbl_requisitos_emb[Tema],MATCH(B379,tbl_requisitos_emb[ID_Req],0)),"")</f>
        <v>Rotulagem</v>
      </c>
      <c r="D379" s="33" t="str">
        <f>IFERROR(INDEX(tbl_recyclass[Segmento],MATCH(A379,tbl_recyclass[ProductId],0)),"")</f>
        <v>Cosmética e higiene pessoal</v>
      </c>
      <c r="E379" s="26" t="s">
        <v>901</v>
      </c>
      <c r="F379" s="26" t="s">
        <v>1449</v>
      </c>
      <c r="G379" s="26" t="s">
        <v>990</v>
      </c>
      <c r="H379" s="33" t="str">
        <f>IF(E379="Não","Não aplicável",IFERROR(IF(B379="EU-ENV-002",IF(INDEX(tbl_recyclass[Conforme_PPWR_2030],MATCH(A379,tbl_recyclass[ProductId],0))="Sim","Conforme (autoavaliação)",IF(INDEX(tbl_recyclass[Conforme_PPWR_2030],MATCH(A379,tbl_recyclass[ProductId],0))="Não","Não conforme em 2030","Isento até 2035")),IF(B379="EU-ENV-003",IF(INDEX(tbl_recyclass[Conforme_Art7_2030],MATCH(A379,tbl_recyclass[ProductId],0))="Sim","Conforme (meta 2030)",IF(INDEX(tbl_recyclass[Conforme_Art7_2030],MATCH(A379,tbl_recyclass[ProductId],0))="Não","Lacuna face à meta 2030","Isento")),IF(B379="EU-ENV-011",IF(INDEX(tbl_familias_ppwr[Metais_Pesados_Evidencia],MATCH(INDEX(tbl_recyclass[Familia_PPWR],MATCH(A379,tbl_recyclass[ProductId],0)),tbl_familias_ppwr[ID_Familia],0))="Em falta","Lacuna","Conforme"),IF(B379="EU-ENV-013",IF(INDEX(tbl_familias_ppwr[Declaracao_UE],MATCH(INDEX(tbl_recyclass[Familia_PPWR],MATCH(A379,tbl_recyclass[ProductId],0)),tbl_familias_ppwr[ID_Familia],0))="Sim","Conforme","Lacuna"),G379)))),G379))</f>
        <v>Futuro</v>
      </c>
      <c r="I379" s="33" t="str">
        <f t="shared" si="5"/>
        <v>Futuro</v>
      </c>
      <c r="J379" s="26" t="s">
        <v>1021</v>
      </c>
    </row>
    <row r="380" spans="1:10" ht="16.05" customHeight="1" x14ac:dyDescent="0.3">
      <c r="A380" s="26" t="s">
        <v>651</v>
      </c>
      <c r="B380" s="26" t="s">
        <v>1038</v>
      </c>
      <c r="C380" s="33" t="str">
        <f>IFERROR(INDEX(tbl_requisitos_emb[Tema],MATCH(B380,tbl_requisitos_emb[ID_Req],0)),"")</f>
        <v>Plásticos de utilização única</v>
      </c>
      <c r="D380" s="33" t="str">
        <f>IFERROR(INDEX(tbl_recyclass[Segmento],MATCH(A380,tbl_recyclass[ProductId],0)),"")</f>
        <v>Cosmética e higiene pessoal</v>
      </c>
      <c r="E380" s="26" t="s">
        <v>904</v>
      </c>
      <c r="F380" s="26" t="s">
        <v>1450</v>
      </c>
      <c r="G380" s="26" t="s">
        <v>1143</v>
      </c>
      <c r="H380" s="33" t="str">
        <f>IF(E380="Não","Não aplicável",IFERROR(IF(B380="EU-ENV-002",IF(INDEX(tbl_recyclass[Conforme_PPWR_2030],MATCH(A380,tbl_recyclass[ProductId],0))="Sim","Conforme (autoavaliação)",IF(INDEX(tbl_recyclass[Conforme_PPWR_2030],MATCH(A380,tbl_recyclass[ProductId],0))="Não","Não conforme em 2030","Isento até 2035")),IF(B380="EU-ENV-003",IF(INDEX(tbl_recyclass[Conforme_Art7_2030],MATCH(A380,tbl_recyclass[ProductId],0))="Sim","Conforme (meta 2030)",IF(INDEX(tbl_recyclass[Conforme_Art7_2030],MATCH(A380,tbl_recyclass[ProductId],0))="Não","Lacuna face à meta 2030","Isento")),IF(B380="EU-ENV-011",IF(INDEX(tbl_familias_ppwr[Metais_Pesados_Evidencia],MATCH(INDEX(tbl_recyclass[Familia_PPWR],MATCH(A380,tbl_recyclass[ProductId],0)),tbl_familias_ppwr[ID_Familia],0))="Em falta","Lacuna","Conforme"),IF(B380="EU-ENV-013",IF(INDEX(tbl_familias_ppwr[Declaracao_UE],MATCH(INDEX(tbl_recyclass[Familia_PPWR],MATCH(A380,tbl_recyclass[ProductId],0)),tbl_familias_ppwr[ID_Familia],0))="Sim","Conforme","Lacuna"),G380)))),G380))</f>
        <v>Não aplicável</v>
      </c>
      <c r="I380" s="33" t="str">
        <f t="shared" si="5"/>
        <v>Não aplicável</v>
      </c>
      <c r="J380" s="26"/>
    </row>
    <row r="381" spans="1:10" ht="16.05" customHeight="1" x14ac:dyDescent="0.3">
      <c r="A381" s="26" t="s">
        <v>651</v>
      </c>
      <c r="B381" s="26" t="s">
        <v>1078</v>
      </c>
      <c r="C381" s="33" t="str">
        <f>IFERROR(INDEX(tbl_requisitos_emb[Tema],MATCH(B381,tbl_requisitos_emb[ID_Req],0)),"")</f>
        <v>Reciclado à escala</v>
      </c>
      <c r="D381" s="33" t="str">
        <f>IFERROR(INDEX(tbl_recyclass[Segmento],MATCH(A381,tbl_recyclass[ProductId],0)),"")</f>
        <v>Cosmética e higiene pessoal</v>
      </c>
      <c r="E381" s="26" t="s">
        <v>901</v>
      </c>
      <c r="F381" s="26" t="s">
        <v>1449</v>
      </c>
      <c r="G381" s="26" t="s">
        <v>990</v>
      </c>
      <c r="H381" s="33" t="str">
        <f>IF(E381="Não","Não aplicável",IFERROR(IF(B381="EU-ENV-002",IF(INDEX(tbl_recyclass[Conforme_PPWR_2030],MATCH(A381,tbl_recyclass[ProductId],0))="Sim","Conforme (autoavaliação)",IF(INDEX(tbl_recyclass[Conforme_PPWR_2030],MATCH(A381,tbl_recyclass[ProductId],0))="Não","Não conforme em 2030","Isento até 2035")),IF(B381="EU-ENV-003",IF(INDEX(tbl_recyclass[Conforme_Art7_2030],MATCH(A381,tbl_recyclass[ProductId],0))="Sim","Conforme (meta 2030)",IF(INDEX(tbl_recyclass[Conforme_Art7_2030],MATCH(A381,tbl_recyclass[ProductId],0))="Não","Lacuna face à meta 2030","Isento")),IF(B381="EU-ENV-011",IF(INDEX(tbl_familias_ppwr[Metais_Pesados_Evidencia],MATCH(INDEX(tbl_recyclass[Familia_PPWR],MATCH(A381,tbl_recyclass[ProductId],0)),tbl_familias_ppwr[ID_Familia],0))="Em falta","Lacuna","Conforme"),IF(B381="EU-ENV-013",IF(INDEX(tbl_familias_ppwr[Declaracao_UE],MATCH(INDEX(tbl_recyclass[Familia_PPWR],MATCH(A381,tbl_recyclass[ProductId],0)),tbl_familias_ppwr[ID_Familia],0))="Sim","Conforme","Lacuna"),G381)))),G381))</f>
        <v>Futuro</v>
      </c>
      <c r="I381" s="33" t="str">
        <f t="shared" si="5"/>
        <v>Futuro</v>
      </c>
      <c r="J381" s="26" t="s">
        <v>1082</v>
      </c>
    </row>
    <row r="382" spans="1:10" ht="16.05" customHeight="1" x14ac:dyDescent="0.3">
      <c r="A382" s="26" t="s">
        <v>651</v>
      </c>
      <c r="B382" s="26" t="s">
        <v>1086</v>
      </c>
      <c r="C382" s="33" t="str">
        <f>IFERROR(INDEX(tbl_requisitos_emb[Tema],MATCH(B382,tbl_requisitos_emb[ID_Req],0)),"")</f>
        <v>Metais pesados</v>
      </c>
      <c r="D382" s="33" t="str">
        <f>IFERROR(INDEX(tbl_recyclass[Segmento],MATCH(A382,tbl_recyclass[ProductId],0)),"")</f>
        <v>Cosmética e higiene pessoal</v>
      </c>
      <c r="E382" s="26" t="s">
        <v>901</v>
      </c>
      <c r="F382" s="26" t="s">
        <v>1449</v>
      </c>
      <c r="G382" s="26" t="s">
        <v>978</v>
      </c>
      <c r="H382" s="33" t="str">
        <f>IF(E382="Não","Não aplicável",IFERROR(IF(B382="EU-ENV-002",IF(INDEX(tbl_recyclass[Conforme_PPWR_2030],MATCH(A382,tbl_recyclass[ProductId],0))="Sim","Conforme (autoavaliação)",IF(INDEX(tbl_recyclass[Conforme_PPWR_2030],MATCH(A382,tbl_recyclass[ProductId],0))="Não","Não conforme em 2030","Isento até 2035")),IF(B382="EU-ENV-003",IF(INDEX(tbl_recyclass[Conforme_Art7_2030],MATCH(A382,tbl_recyclass[ProductId],0))="Sim","Conforme (meta 2030)",IF(INDEX(tbl_recyclass[Conforme_Art7_2030],MATCH(A382,tbl_recyclass[ProductId],0))="Não","Lacuna face à meta 2030","Isento")),IF(B382="EU-ENV-011",IF(INDEX(tbl_familias_ppwr[Metais_Pesados_Evidencia],MATCH(INDEX(tbl_recyclass[Familia_PPWR],MATCH(A382,tbl_recyclass[ProductId],0)),tbl_familias_ppwr[ID_Familia],0))="Em falta","Lacuna","Conforme"),IF(B382="EU-ENV-013",IF(INDEX(tbl_familias_ppwr[Declaracao_UE],MATCH(INDEX(tbl_recyclass[Familia_PPWR],MATCH(A382,tbl_recyclass[ProductId],0)),tbl_familias_ppwr[ID_Familia],0))="Sim","Conforme","Lacuna"),G382)))),G382))</f>
        <v>Lacuna</v>
      </c>
      <c r="I382" s="33" t="str">
        <f t="shared" si="5"/>
        <v>Lacuna</v>
      </c>
      <c r="J382" s="26" t="s">
        <v>1090</v>
      </c>
    </row>
    <row r="383" spans="1:10" ht="16.05" customHeight="1" x14ac:dyDescent="0.3">
      <c r="A383" s="26" t="s">
        <v>651</v>
      </c>
      <c r="B383" s="26" t="s">
        <v>1094</v>
      </c>
      <c r="C383" s="33" t="str">
        <f>IFERROR(INDEX(tbl_requisitos_emb[Tema],MATCH(B383,tbl_requisitos_emb[ID_Req],0)),"")</f>
        <v>PFAS</v>
      </c>
      <c r="D383" s="33" t="str">
        <f>IFERROR(INDEX(tbl_recyclass[Segmento],MATCH(A383,tbl_recyclass[ProductId],0)),"")</f>
        <v>Cosmética e higiene pessoal</v>
      </c>
      <c r="E383" s="26" t="s">
        <v>904</v>
      </c>
      <c r="F383" s="26" t="s">
        <v>1450</v>
      </c>
      <c r="G383" s="26" t="s">
        <v>1143</v>
      </c>
      <c r="H383" s="33" t="str">
        <f>IF(E383="Não","Não aplicável",IFERROR(IF(B383="EU-ENV-002",IF(INDEX(tbl_recyclass[Conforme_PPWR_2030],MATCH(A383,tbl_recyclass[ProductId],0))="Sim","Conforme (autoavaliação)",IF(INDEX(tbl_recyclass[Conforme_PPWR_2030],MATCH(A383,tbl_recyclass[ProductId],0))="Não","Não conforme em 2030","Isento até 2035")),IF(B383="EU-ENV-003",IF(INDEX(tbl_recyclass[Conforme_Art7_2030],MATCH(A383,tbl_recyclass[ProductId],0))="Sim","Conforme (meta 2030)",IF(INDEX(tbl_recyclass[Conforme_Art7_2030],MATCH(A383,tbl_recyclass[ProductId],0))="Não","Lacuna face à meta 2030","Isento")),IF(B383="EU-ENV-011",IF(INDEX(tbl_familias_ppwr[Metais_Pesados_Evidencia],MATCH(INDEX(tbl_recyclass[Familia_PPWR],MATCH(A383,tbl_recyclass[ProductId],0)),tbl_familias_ppwr[ID_Familia],0))="Em falta","Lacuna","Conforme"),IF(B383="EU-ENV-013",IF(INDEX(tbl_familias_ppwr[Declaracao_UE],MATCH(INDEX(tbl_recyclass[Familia_PPWR],MATCH(A383,tbl_recyclass[ProductId],0)),tbl_familias_ppwr[ID_Familia],0))="Sim","Conforme","Lacuna"),G383)))),G383))</f>
        <v>Não aplicável</v>
      </c>
      <c r="I383" s="33" t="str">
        <f t="shared" si="5"/>
        <v>Não aplicável</v>
      </c>
      <c r="J383" s="26"/>
    </row>
    <row r="384" spans="1:10" ht="16.05" customHeight="1" x14ac:dyDescent="0.3">
      <c r="A384" s="26" t="s">
        <v>651</v>
      </c>
      <c r="B384" s="26" t="s">
        <v>1102</v>
      </c>
      <c r="C384" s="33" t="str">
        <f>IFERROR(INDEX(tbl_requisitos_emb[Tema],MATCH(B384,tbl_requisitos_emb[ID_Req],0)),"")</f>
        <v>Documentação técnica e declaração UE</v>
      </c>
      <c r="D384" s="33" t="str">
        <f>IFERROR(INDEX(tbl_recyclass[Segmento],MATCH(A384,tbl_recyclass[ProductId],0)),"")</f>
        <v>Cosmética e higiene pessoal</v>
      </c>
      <c r="E384" s="26" t="s">
        <v>901</v>
      </c>
      <c r="F384" s="26" t="s">
        <v>1449</v>
      </c>
      <c r="G384" s="26" t="s">
        <v>978</v>
      </c>
      <c r="H384" s="33" t="str">
        <f>IF(E384="Não","Não aplicável",IFERROR(IF(B384="EU-ENV-002",IF(INDEX(tbl_recyclass[Conforme_PPWR_2030],MATCH(A384,tbl_recyclass[ProductId],0))="Sim","Conforme (autoavaliação)",IF(INDEX(tbl_recyclass[Conforme_PPWR_2030],MATCH(A384,tbl_recyclass[ProductId],0))="Não","Não conforme em 2030","Isento até 2035")),IF(B384="EU-ENV-003",IF(INDEX(tbl_recyclass[Conforme_Art7_2030],MATCH(A384,tbl_recyclass[ProductId],0))="Sim","Conforme (meta 2030)",IF(INDEX(tbl_recyclass[Conforme_Art7_2030],MATCH(A384,tbl_recyclass[ProductId],0))="Não","Lacuna face à meta 2030","Isento")),IF(B384="EU-ENV-011",IF(INDEX(tbl_familias_ppwr[Metais_Pesados_Evidencia],MATCH(INDEX(tbl_recyclass[Familia_PPWR],MATCH(A384,tbl_recyclass[ProductId],0)),tbl_familias_ppwr[ID_Familia],0))="Em falta","Lacuna","Conforme"),IF(B384="EU-ENV-013",IF(INDEX(tbl_familias_ppwr[Declaracao_UE],MATCH(INDEX(tbl_recyclass[Familia_PPWR],MATCH(A384,tbl_recyclass[ProductId],0)),tbl_familias_ppwr[ID_Familia],0))="Sim","Conforme","Lacuna"),G384)))),G384))</f>
        <v>Lacuna</v>
      </c>
      <c r="I384" s="33" t="str">
        <f t="shared" si="5"/>
        <v>Lacuna</v>
      </c>
      <c r="J384" s="26" t="s">
        <v>1106</v>
      </c>
    </row>
    <row r="385" spans="1:10" ht="16.05" customHeight="1" x14ac:dyDescent="0.3">
      <c r="A385" s="26" t="s">
        <v>651</v>
      </c>
      <c r="B385" s="26" t="s">
        <v>1161</v>
      </c>
      <c r="C385" s="33" t="str">
        <f>IFERROR(INDEX(tbl_requisitos_emb[Tema],MATCH(B385,tbl_requisitos_emb[ID_Req],0)),"")</f>
        <v>Materiais em contacto com alimentos</v>
      </c>
      <c r="D385" s="33" t="str">
        <f>IFERROR(INDEX(tbl_recyclass[Segmento],MATCH(A385,tbl_recyclass[ProductId],0)),"")</f>
        <v>Cosmética e higiene pessoal</v>
      </c>
      <c r="E385" s="26" t="s">
        <v>904</v>
      </c>
      <c r="F385" s="26" t="s">
        <v>1450</v>
      </c>
      <c r="G385" s="26" t="s">
        <v>1143</v>
      </c>
      <c r="H385" s="33" t="str">
        <f>IF(E385="Não","Não aplicável",IFERROR(IF(B385="EU-ENV-002",IF(INDEX(tbl_recyclass[Conforme_PPWR_2030],MATCH(A385,tbl_recyclass[ProductId],0))="Sim","Conforme (autoavaliação)",IF(INDEX(tbl_recyclass[Conforme_PPWR_2030],MATCH(A385,tbl_recyclass[ProductId],0))="Não","Não conforme em 2030","Isento até 2035")),IF(B385="EU-ENV-003",IF(INDEX(tbl_recyclass[Conforme_Art7_2030],MATCH(A385,tbl_recyclass[ProductId],0))="Sim","Conforme (meta 2030)",IF(INDEX(tbl_recyclass[Conforme_Art7_2030],MATCH(A385,tbl_recyclass[ProductId],0))="Não","Lacuna face à meta 2030","Isento")),IF(B385="EU-ENV-011",IF(INDEX(tbl_familias_ppwr[Metais_Pesados_Evidencia],MATCH(INDEX(tbl_recyclass[Familia_PPWR],MATCH(A385,tbl_recyclass[ProductId],0)),tbl_familias_ppwr[ID_Familia],0))="Em falta","Lacuna","Conforme"),IF(B385="EU-ENV-013",IF(INDEX(tbl_familias_ppwr[Declaracao_UE],MATCH(INDEX(tbl_recyclass[Familia_PPWR],MATCH(A385,tbl_recyclass[ProductId],0)),tbl_familias_ppwr[ID_Familia],0))="Sim","Conforme","Lacuna"),G385)))),G385))</f>
        <v>Não aplicável</v>
      </c>
      <c r="I385" s="33" t="str">
        <f t="shared" si="5"/>
        <v>Não aplicável</v>
      </c>
      <c r="J385" s="26"/>
    </row>
    <row r="386" spans="1:10" ht="16.05" customHeight="1" x14ac:dyDescent="0.3">
      <c r="A386" s="26" t="s">
        <v>651</v>
      </c>
      <c r="B386" s="26" t="s">
        <v>1170</v>
      </c>
      <c r="C386" s="33" t="str">
        <f>IFERROR(INDEX(tbl_requisitos_emb[Tema],MATCH(B386,tbl_requisitos_emb[ID_Req],0)),"")</f>
        <v>Boas práticas de fabrico FCM</v>
      </c>
      <c r="D386" s="33" t="str">
        <f>IFERROR(INDEX(tbl_recyclass[Segmento],MATCH(A386,tbl_recyclass[ProductId],0)),"")</f>
        <v>Cosmética e higiene pessoal</v>
      </c>
      <c r="E386" s="26" t="s">
        <v>904</v>
      </c>
      <c r="F386" s="26" t="s">
        <v>1450</v>
      </c>
      <c r="G386" s="26" t="s">
        <v>1143</v>
      </c>
      <c r="H386" s="33" t="str">
        <f>IF(E386="Não","Não aplicável",IFERROR(IF(B386="EU-ENV-002",IF(INDEX(tbl_recyclass[Conforme_PPWR_2030],MATCH(A386,tbl_recyclass[ProductId],0))="Sim","Conforme (autoavaliação)",IF(INDEX(tbl_recyclass[Conforme_PPWR_2030],MATCH(A386,tbl_recyclass[ProductId],0))="Não","Não conforme em 2030","Isento até 2035")),IF(B386="EU-ENV-003",IF(INDEX(tbl_recyclass[Conforme_Art7_2030],MATCH(A386,tbl_recyclass[ProductId],0))="Sim","Conforme (meta 2030)",IF(INDEX(tbl_recyclass[Conforme_Art7_2030],MATCH(A386,tbl_recyclass[ProductId],0))="Não","Lacuna face à meta 2030","Isento")),IF(B386="EU-ENV-011",IF(INDEX(tbl_familias_ppwr[Metais_Pesados_Evidencia],MATCH(INDEX(tbl_recyclass[Familia_PPWR],MATCH(A386,tbl_recyclass[ProductId],0)),tbl_familias_ppwr[ID_Familia],0))="Em falta","Lacuna","Conforme"),IF(B386="EU-ENV-013",IF(INDEX(tbl_familias_ppwr[Declaracao_UE],MATCH(INDEX(tbl_recyclass[Familia_PPWR],MATCH(A386,tbl_recyclass[ProductId],0)),tbl_familias_ppwr[ID_Familia],0))="Sim","Conforme","Lacuna"),G386)))),G386))</f>
        <v>Não aplicável</v>
      </c>
      <c r="I386" s="33" t="str">
        <f t="shared" ref="I386:I449" si="6">IF(ISNUMBER(SEARCH("Não aplicável",H386)),"Não aplicável",IF(ISNUMBER(SEARCH("Isento",H386)),"Isento",IF(ISNUMBER(SEARCH("Não conforme",H386)),"Não conforme",IF(ISNUMBER(SEARCH("Lacuna",H386)),"Lacuna",IF(ISNUMBER(SEARCH("Conforme",H386)),"Conforme",H386)))))</f>
        <v>Não aplicável</v>
      </c>
      <c r="J386" s="26"/>
    </row>
    <row r="387" spans="1:10" ht="16.05" customHeight="1" x14ac:dyDescent="0.3">
      <c r="A387" s="26" t="s">
        <v>651</v>
      </c>
      <c r="B387" s="26" t="s">
        <v>1179</v>
      </c>
      <c r="C387" s="33" t="str">
        <f>IFERROR(INDEX(tbl_requisitos_emb[Tema],MATCH(B387,tbl_requisitos_emb[ID_Req],0)),"")</f>
        <v>Bisfenol A e bisfenóis perigosos</v>
      </c>
      <c r="D387" s="33" t="str">
        <f>IFERROR(INDEX(tbl_recyclass[Segmento],MATCH(A387,tbl_recyclass[ProductId],0)),"")</f>
        <v>Cosmética e higiene pessoal</v>
      </c>
      <c r="E387" s="26" t="s">
        <v>904</v>
      </c>
      <c r="F387" s="26" t="s">
        <v>1450</v>
      </c>
      <c r="G387" s="26" t="s">
        <v>1143</v>
      </c>
      <c r="H387" s="33" t="str">
        <f>IF(E387="Não","Não aplicável",IFERROR(IF(B387="EU-ENV-002",IF(INDEX(tbl_recyclass[Conforme_PPWR_2030],MATCH(A387,tbl_recyclass[ProductId],0))="Sim","Conforme (autoavaliação)",IF(INDEX(tbl_recyclass[Conforme_PPWR_2030],MATCH(A387,tbl_recyclass[ProductId],0))="Não","Não conforme em 2030","Isento até 2035")),IF(B387="EU-ENV-003",IF(INDEX(tbl_recyclass[Conforme_Art7_2030],MATCH(A387,tbl_recyclass[ProductId],0))="Sim","Conforme (meta 2030)",IF(INDEX(tbl_recyclass[Conforme_Art7_2030],MATCH(A387,tbl_recyclass[ProductId],0))="Não","Lacuna face à meta 2030","Isento")),IF(B387="EU-ENV-011",IF(INDEX(tbl_familias_ppwr[Metais_Pesados_Evidencia],MATCH(INDEX(tbl_recyclass[Familia_PPWR],MATCH(A387,tbl_recyclass[ProductId],0)),tbl_familias_ppwr[ID_Familia],0))="Em falta","Lacuna","Conforme"),IF(B387="EU-ENV-013",IF(INDEX(tbl_familias_ppwr[Declaracao_UE],MATCH(INDEX(tbl_recyclass[Familia_PPWR],MATCH(A387,tbl_recyclass[ProductId],0)),tbl_familias_ppwr[ID_Familia],0))="Sim","Conforme","Lacuna"),G387)))),G387))</f>
        <v>Não aplicável</v>
      </c>
      <c r="I387" s="33" t="str">
        <f t="shared" si="6"/>
        <v>Não aplicável</v>
      </c>
      <c r="J387" s="26"/>
    </row>
    <row r="388" spans="1:10" ht="16.05" customHeight="1" x14ac:dyDescent="0.3">
      <c r="A388" s="26" t="s">
        <v>651</v>
      </c>
      <c r="B388" s="26" t="s">
        <v>1188</v>
      </c>
      <c r="C388" s="33" t="str">
        <f>IFERROR(INDEX(tbl_requisitos_emb[Tema],MATCH(B388,tbl_requisitos_emb[ID_Req],0)),"")</f>
        <v>Plásticos em contacto com alimentos</v>
      </c>
      <c r="D388" s="33" t="str">
        <f>IFERROR(INDEX(tbl_recyclass[Segmento],MATCH(A388,tbl_recyclass[ProductId],0)),"")</f>
        <v>Cosmética e higiene pessoal</v>
      </c>
      <c r="E388" s="26" t="s">
        <v>904</v>
      </c>
      <c r="F388" s="26" t="s">
        <v>1450</v>
      </c>
      <c r="G388" s="26" t="s">
        <v>1143</v>
      </c>
      <c r="H388" s="33" t="str">
        <f>IF(E388="Não","Não aplicável",IFERROR(IF(B388="EU-ENV-002",IF(INDEX(tbl_recyclass[Conforme_PPWR_2030],MATCH(A388,tbl_recyclass[ProductId],0))="Sim","Conforme (autoavaliação)",IF(INDEX(tbl_recyclass[Conforme_PPWR_2030],MATCH(A388,tbl_recyclass[ProductId],0))="Não","Não conforme em 2030","Isento até 2035")),IF(B388="EU-ENV-003",IF(INDEX(tbl_recyclass[Conforme_Art7_2030],MATCH(A388,tbl_recyclass[ProductId],0))="Sim","Conforme (meta 2030)",IF(INDEX(tbl_recyclass[Conforme_Art7_2030],MATCH(A388,tbl_recyclass[ProductId],0))="Não","Lacuna face à meta 2030","Isento")),IF(B388="EU-ENV-011",IF(INDEX(tbl_familias_ppwr[Metais_Pesados_Evidencia],MATCH(INDEX(tbl_recyclass[Familia_PPWR],MATCH(A388,tbl_recyclass[ProductId],0)),tbl_familias_ppwr[ID_Familia],0))="Em falta","Lacuna","Conforme"),IF(B388="EU-ENV-013",IF(INDEX(tbl_familias_ppwr[Declaracao_UE],MATCH(INDEX(tbl_recyclass[Familia_PPWR],MATCH(A388,tbl_recyclass[ProductId],0)),tbl_familias_ppwr[ID_Familia],0))="Sim","Conforme","Lacuna"),G388)))),G388))</f>
        <v>Não aplicável</v>
      </c>
      <c r="I388" s="33" t="str">
        <f t="shared" si="6"/>
        <v>Não aplicável</v>
      </c>
      <c r="J388" s="26"/>
    </row>
    <row r="389" spans="1:10" ht="16.05" customHeight="1" x14ac:dyDescent="0.3">
      <c r="A389" s="26" t="s">
        <v>651</v>
      </c>
      <c r="B389" s="26" t="s">
        <v>1212</v>
      </c>
      <c r="C389" s="33" t="str">
        <f>IFERROR(INDEX(tbl_requisitos_emb[Tema],MATCH(B389,tbl_requisitos_emb[ID_Req],0)),"")</f>
        <v>Segurança do produto cosmético</v>
      </c>
      <c r="D389" s="33" t="str">
        <f>IFERROR(INDEX(tbl_recyclass[Segmento],MATCH(A389,tbl_recyclass[ProductId],0)),"")</f>
        <v>Cosmética e higiene pessoal</v>
      </c>
      <c r="E389" s="26" t="s">
        <v>901</v>
      </c>
      <c r="F389" s="26" t="s">
        <v>1449</v>
      </c>
      <c r="G389" s="26" t="s">
        <v>1033</v>
      </c>
      <c r="H389" s="33" t="str">
        <f>IF(E389="Não","Não aplicável",IFERROR(IF(B389="EU-ENV-002",IF(INDEX(tbl_recyclass[Conforme_PPWR_2030],MATCH(A389,tbl_recyclass[ProductId],0))="Sim","Conforme (autoavaliação)",IF(INDEX(tbl_recyclass[Conforme_PPWR_2030],MATCH(A389,tbl_recyclass[ProductId],0))="Não","Não conforme em 2030","Isento até 2035")),IF(B389="EU-ENV-003",IF(INDEX(tbl_recyclass[Conforme_Art7_2030],MATCH(A389,tbl_recyclass[ProductId],0))="Sim","Conforme (meta 2030)",IF(INDEX(tbl_recyclass[Conforme_Art7_2030],MATCH(A389,tbl_recyclass[ProductId],0))="Não","Lacuna face à meta 2030","Isento")),IF(B389="EU-ENV-011",IF(INDEX(tbl_familias_ppwr[Metais_Pesados_Evidencia],MATCH(INDEX(tbl_recyclass[Familia_PPWR],MATCH(A389,tbl_recyclass[ProductId],0)),tbl_familias_ppwr[ID_Familia],0))="Em falta","Lacuna","Conforme"),IF(B389="EU-ENV-013",IF(INDEX(tbl_familias_ppwr[Declaracao_UE],MATCH(INDEX(tbl_recyclass[Familia_PPWR],MATCH(A389,tbl_recyclass[ProductId],0)),tbl_familias_ppwr[ID_Familia],0))="Sim","Conforme","Lacuna"),G389)))),G389))</f>
        <v>Conforme</v>
      </c>
      <c r="I389" s="33" t="str">
        <f t="shared" si="6"/>
        <v>Conforme</v>
      </c>
      <c r="J389" s="26" t="s">
        <v>1221</v>
      </c>
    </row>
    <row r="390" spans="1:10" ht="16.05" customHeight="1" x14ac:dyDescent="0.3">
      <c r="A390" s="26" t="s">
        <v>651</v>
      </c>
      <c r="B390" s="26" t="s">
        <v>1224</v>
      </c>
      <c r="C390" s="33" t="str">
        <f>IFERROR(INDEX(tbl_requisitos_emb[Tema],MATCH(B390,tbl_requisitos_emb[ID_Req],0)),"")</f>
        <v>Materiais e impurezas</v>
      </c>
      <c r="D390" s="33" t="str">
        <f>IFERROR(INDEX(tbl_recyclass[Segmento],MATCH(A390,tbl_recyclass[ProductId],0)),"")</f>
        <v>Cosmética e higiene pessoal</v>
      </c>
      <c r="E390" s="26" t="s">
        <v>901</v>
      </c>
      <c r="F390" s="26" t="s">
        <v>1449</v>
      </c>
      <c r="G390" s="26" t="s">
        <v>978</v>
      </c>
      <c r="H390" s="33" t="str">
        <f>IF(E390="Não","Não aplicável",IFERROR(IF(B390="EU-ENV-002",IF(INDEX(tbl_recyclass[Conforme_PPWR_2030],MATCH(A390,tbl_recyclass[ProductId],0))="Sim","Conforme (autoavaliação)",IF(INDEX(tbl_recyclass[Conforme_PPWR_2030],MATCH(A390,tbl_recyclass[ProductId],0))="Não","Não conforme em 2030","Isento até 2035")),IF(B390="EU-ENV-003",IF(INDEX(tbl_recyclass[Conforme_Art7_2030],MATCH(A390,tbl_recyclass[ProductId],0))="Sim","Conforme (meta 2030)",IF(INDEX(tbl_recyclass[Conforme_Art7_2030],MATCH(A390,tbl_recyclass[ProductId],0))="Não","Lacuna face à meta 2030","Isento")),IF(B390="EU-ENV-011",IF(INDEX(tbl_familias_ppwr[Metais_Pesados_Evidencia],MATCH(INDEX(tbl_recyclass[Familia_PPWR],MATCH(A390,tbl_recyclass[ProductId],0)),tbl_familias_ppwr[ID_Familia],0))="Em falta","Lacuna","Conforme"),IF(B390="EU-ENV-013",IF(INDEX(tbl_familias_ppwr[Declaracao_UE],MATCH(INDEX(tbl_recyclass[Familia_PPWR],MATCH(A390,tbl_recyclass[ProductId],0)),tbl_familias_ppwr[ID_Familia],0))="Sim","Conforme","Lacuna"),G390)))),G390))</f>
        <v>Parcial</v>
      </c>
      <c r="I390" s="33" t="str">
        <f t="shared" si="6"/>
        <v>Parcial</v>
      </c>
      <c r="J390" s="26" t="s">
        <v>1228</v>
      </c>
    </row>
    <row r="391" spans="1:10" ht="16.05" customHeight="1" x14ac:dyDescent="0.3">
      <c r="A391" s="26" t="s">
        <v>651</v>
      </c>
      <c r="B391" s="26" t="s">
        <v>1240</v>
      </c>
      <c r="C391" s="33" t="str">
        <f>IFERROR(INDEX(tbl_requisitos_emb[Tema],MATCH(B391,tbl_requisitos_emb[ID_Req],0)),"")</f>
        <v>Compatibilidade embalagem–produto</v>
      </c>
      <c r="D391" s="33" t="str">
        <f>IFERROR(INDEX(tbl_recyclass[Segmento],MATCH(A391,tbl_recyclass[ProductId],0)),"")</f>
        <v>Cosmética e higiene pessoal</v>
      </c>
      <c r="E391" s="26" t="s">
        <v>901</v>
      </c>
      <c r="F391" s="26" t="s">
        <v>1449</v>
      </c>
      <c r="G391" s="26" t="s">
        <v>1033</v>
      </c>
      <c r="H391" s="33" t="str">
        <f>IF(E391="Não","Não aplicável",IFERROR(IF(B391="EU-ENV-002",IF(INDEX(tbl_recyclass[Conforme_PPWR_2030],MATCH(A391,tbl_recyclass[ProductId],0))="Sim","Conforme (autoavaliação)",IF(INDEX(tbl_recyclass[Conforme_PPWR_2030],MATCH(A391,tbl_recyclass[ProductId],0))="Não","Não conforme em 2030","Isento até 2035")),IF(B391="EU-ENV-003",IF(INDEX(tbl_recyclass[Conforme_Art7_2030],MATCH(A391,tbl_recyclass[ProductId],0))="Sim","Conforme (meta 2030)",IF(INDEX(tbl_recyclass[Conforme_Art7_2030],MATCH(A391,tbl_recyclass[ProductId],0))="Não","Lacuna face à meta 2030","Isento")),IF(B391="EU-ENV-011",IF(INDEX(tbl_familias_ppwr[Metais_Pesados_Evidencia],MATCH(INDEX(tbl_recyclass[Familia_PPWR],MATCH(A391,tbl_recyclass[ProductId],0)),tbl_familias_ppwr[ID_Familia],0))="Em falta","Lacuna","Conforme"),IF(B391="EU-ENV-013",IF(INDEX(tbl_familias_ppwr[Declaracao_UE],MATCH(INDEX(tbl_recyclass[Familia_PPWR],MATCH(A391,tbl_recyclass[ProductId],0)),tbl_familias_ppwr[ID_Familia],0))="Sim","Conforme","Lacuna"),G391)))),G391))</f>
        <v>Conforme</v>
      </c>
      <c r="I391" s="33" t="str">
        <f t="shared" si="6"/>
        <v>Conforme</v>
      </c>
      <c r="J391" s="26" t="s">
        <v>1244</v>
      </c>
    </row>
    <row r="392" spans="1:10" ht="16.05" customHeight="1" x14ac:dyDescent="0.3">
      <c r="A392" s="26" t="s">
        <v>651</v>
      </c>
      <c r="B392" s="26" t="s">
        <v>1252</v>
      </c>
      <c r="C392" s="33" t="str">
        <f>IFERROR(INDEX(tbl_requisitos_emb[Tema],MATCH(B392,tbl_requisitos_emb[ID_Req],0)),"")</f>
        <v>Medicamentos de uso humano</v>
      </c>
      <c r="D392" s="33" t="str">
        <f>IFERROR(INDEX(tbl_recyclass[Segmento],MATCH(A392,tbl_recyclass[ProductId],0)),"")</f>
        <v>Cosmética e higiene pessoal</v>
      </c>
      <c r="E392" s="26" t="s">
        <v>904</v>
      </c>
      <c r="F392" s="26" t="s">
        <v>1451</v>
      </c>
      <c r="G392" s="26" t="s">
        <v>1143</v>
      </c>
      <c r="H392" s="33" t="str">
        <f>IF(E392="Não","Não aplicável",IFERROR(IF(B392="EU-ENV-002",IF(INDEX(tbl_recyclass[Conforme_PPWR_2030],MATCH(A392,tbl_recyclass[ProductId],0))="Sim","Conforme (autoavaliação)",IF(INDEX(tbl_recyclass[Conforme_PPWR_2030],MATCH(A392,tbl_recyclass[ProductId],0))="Não","Não conforme em 2030","Isento até 2035")),IF(B392="EU-ENV-003",IF(INDEX(tbl_recyclass[Conforme_Art7_2030],MATCH(A392,tbl_recyclass[ProductId],0))="Sim","Conforme (meta 2030)",IF(INDEX(tbl_recyclass[Conforme_Art7_2030],MATCH(A392,tbl_recyclass[ProductId],0))="Não","Lacuna face à meta 2030","Isento")),IF(B392="EU-ENV-011",IF(INDEX(tbl_familias_ppwr[Metais_Pesados_Evidencia],MATCH(INDEX(tbl_recyclass[Familia_PPWR],MATCH(A392,tbl_recyclass[ProductId],0)),tbl_familias_ppwr[ID_Familia],0))="Em falta","Lacuna","Conforme"),IF(B392="EU-ENV-013",IF(INDEX(tbl_familias_ppwr[Declaracao_UE],MATCH(INDEX(tbl_recyclass[Familia_PPWR],MATCH(A392,tbl_recyclass[ProductId],0)),tbl_familias_ppwr[ID_Familia],0))="Sim","Conforme","Lacuna"),G392)))),G392))</f>
        <v>Não aplicável</v>
      </c>
      <c r="I392" s="33" t="str">
        <f t="shared" si="6"/>
        <v>Não aplicável</v>
      </c>
      <c r="J392" s="26"/>
    </row>
    <row r="393" spans="1:10" ht="16.05" customHeight="1" x14ac:dyDescent="0.3">
      <c r="A393" s="26" t="s">
        <v>651</v>
      </c>
      <c r="B393" s="26" t="s">
        <v>1268</v>
      </c>
      <c r="C393" s="33" t="str">
        <f>IFERROR(INDEX(tbl_requisitos_emb[Tema],MATCH(B393,tbl_requisitos_emb[ID_Req],0)),"")</f>
        <v>Dispositivos de segurança</v>
      </c>
      <c r="D393" s="33" t="str">
        <f>IFERROR(INDEX(tbl_recyclass[Segmento],MATCH(A393,tbl_recyclass[ProductId],0)),"")</f>
        <v>Cosmética e higiene pessoal</v>
      </c>
      <c r="E393" s="26" t="s">
        <v>904</v>
      </c>
      <c r="F393" s="26" t="s">
        <v>1451</v>
      </c>
      <c r="G393" s="26" t="s">
        <v>1143</v>
      </c>
      <c r="H393" s="33" t="str">
        <f>IF(E393="Não","Não aplicável",IFERROR(IF(B393="EU-ENV-002",IF(INDEX(tbl_recyclass[Conforme_PPWR_2030],MATCH(A393,tbl_recyclass[ProductId],0))="Sim","Conforme (autoavaliação)",IF(INDEX(tbl_recyclass[Conforme_PPWR_2030],MATCH(A393,tbl_recyclass[ProductId],0))="Não","Não conforme em 2030","Isento até 2035")),IF(B393="EU-ENV-003",IF(INDEX(tbl_recyclass[Conforme_Art7_2030],MATCH(A393,tbl_recyclass[ProductId],0))="Sim","Conforme (meta 2030)",IF(INDEX(tbl_recyclass[Conforme_Art7_2030],MATCH(A393,tbl_recyclass[ProductId],0))="Não","Lacuna face à meta 2030","Isento")),IF(B393="EU-ENV-011",IF(INDEX(tbl_familias_ppwr[Metais_Pesados_Evidencia],MATCH(INDEX(tbl_recyclass[Familia_PPWR],MATCH(A393,tbl_recyclass[ProductId],0)),tbl_familias_ppwr[ID_Familia],0))="Em falta","Lacuna","Conforme"),IF(B393="EU-ENV-013",IF(INDEX(tbl_familias_ppwr[Declaracao_UE],MATCH(INDEX(tbl_recyclass[Familia_PPWR],MATCH(A393,tbl_recyclass[ProductId],0)),tbl_familias_ppwr[ID_Familia],0))="Sim","Conforme","Lacuna"),G393)))),G393))</f>
        <v>Não aplicável</v>
      </c>
      <c r="I393" s="33" t="str">
        <f t="shared" si="6"/>
        <v>Não aplicável</v>
      </c>
      <c r="J393" s="26"/>
    </row>
    <row r="394" spans="1:10" ht="16.05" customHeight="1" x14ac:dyDescent="0.3">
      <c r="A394" s="26" t="s">
        <v>651</v>
      </c>
      <c r="B394" s="26" t="s">
        <v>1285</v>
      </c>
      <c r="C394" s="33" t="str">
        <f>IFERROR(INDEX(tbl_requisitos_emb[Tema],MATCH(B394,tbl_requisitos_emb[ID_Req],0)),"")</f>
        <v>Materiais plásticos de acondicionamento primário</v>
      </c>
      <c r="D394" s="33" t="str">
        <f>IFERROR(INDEX(tbl_recyclass[Segmento],MATCH(A394,tbl_recyclass[ProductId],0)),"")</f>
        <v>Cosmética e higiene pessoal</v>
      </c>
      <c r="E394" s="26" t="s">
        <v>904</v>
      </c>
      <c r="F394" s="26" t="s">
        <v>1451</v>
      </c>
      <c r="G394" s="26" t="s">
        <v>1143</v>
      </c>
      <c r="H394" s="33" t="str">
        <f>IF(E394="Não","Não aplicável",IFERROR(IF(B394="EU-ENV-002",IF(INDEX(tbl_recyclass[Conforme_PPWR_2030],MATCH(A394,tbl_recyclass[ProductId],0))="Sim","Conforme (autoavaliação)",IF(INDEX(tbl_recyclass[Conforme_PPWR_2030],MATCH(A394,tbl_recyclass[ProductId],0))="Não","Não conforme em 2030","Isento até 2035")),IF(B394="EU-ENV-003",IF(INDEX(tbl_recyclass[Conforme_Art7_2030],MATCH(A394,tbl_recyclass[ProductId],0))="Sim","Conforme (meta 2030)",IF(INDEX(tbl_recyclass[Conforme_Art7_2030],MATCH(A394,tbl_recyclass[ProductId],0))="Não","Lacuna face à meta 2030","Isento")),IF(B394="EU-ENV-011",IF(INDEX(tbl_familias_ppwr[Metais_Pesados_Evidencia],MATCH(INDEX(tbl_recyclass[Familia_PPWR],MATCH(A394,tbl_recyclass[ProductId],0)),tbl_familias_ppwr[ID_Familia],0))="Em falta","Lacuna","Conforme"),IF(B394="EU-ENV-013",IF(INDEX(tbl_familias_ppwr[Declaracao_UE],MATCH(INDEX(tbl_recyclass[Familia_PPWR],MATCH(A394,tbl_recyclass[ProductId],0)),tbl_familias_ppwr[ID_Familia],0))="Sim","Conforme","Lacuna"),G394)))),G394))</f>
        <v>Não aplicável</v>
      </c>
      <c r="I394" s="33" t="str">
        <f t="shared" si="6"/>
        <v>Não aplicável</v>
      </c>
      <c r="J394" s="26"/>
    </row>
    <row r="395" spans="1:10" ht="16.05" customHeight="1" x14ac:dyDescent="0.3">
      <c r="A395" s="26" t="s">
        <v>651</v>
      </c>
      <c r="B395" s="26" t="s">
        <v>1293</v>
      </c>
      <c r="C395" s="33" t="str">
        <f>IFERROR(INDEX(tbl_requisitos_emb[Tema],MATCH(B395,tbl_requisitos_emb[ID_Req],0)),"")</f>
        <v>Isenções PPWR</v>
      </c>
      <c r="D395" s="33" t="str">
        <f>IFERROR(INDEX(tbl_recyclass[Segmento],MATCH(A395,tbl_recyclass[ProductId],0)),"")</f>
        <v>Cosmética e higiene pessoal</v>
      </c>
      <c r="E395" s="26" t="s">
        <v>904</v>
      </c>
      <c r="F395" s="26" t="s">
        <v>1451</v>
      </c>
      <c r="G395" s="26" t="s">
        <v>1143</v>
      </c>
      <c r="H395" s="33" t="str">
        <f>IF(E395="Não","Não aplicável",IFERROR(IF(B395="EU-ENV-002",IF(INDEX(tbl_recyclass[Conforme_PPWR_2030],MATCH(A395,tbl_recyclass[ProductId],0))="Sim","Conforme (autoavaliação)",IF(INDEX(tbl_recyclass[Conforme_PPWR_2030],MATCH(A395,tbl_recyclass[ProductId],0))="Não","Não conforme em 2030","Isento até 2035")),IF(B395="EU-ENV-003",IF(INDEX(tbl_recyclass[Conforme_Art7_2030],MATCH(A395,tbl_recyclass[ProductId],0))="Sim","Conforme (meta 2030)",IF(INDEX(tbl_recyclass[Conforme_Art7_2030],MATCH(A395,tbl_recyclass[ProductId],0))="Não","Lacuna face à meta 2030","Isento")),IF(B395="EU-ENV-011",IF(INDEX(tbl_familias_ppwr[Metais_Pesados_Evidencia],MATCH(INDEX(tbl_recyclass[Familia_PPWR],MATCH(A395,tbl_recyclass[ProductId],0)),tbl_familias_ppwr[ID_Familia],0))="Em falta","Lacuna","Conforme"),IF(B395="EU-ENV-013",IF(INDEX(tbl_familias_ppwr[Declaracao_UE],MATCH(INDEX(tbl_recyclass[Familia_PPWR],MATCH(A395,tbl_recyclass[ProductId],0)),tbl_familias_ppwr[ID_Familia],0))="Sim","Conforme","Lacuna"),G395)))),G395))</f>
        <v>Não aplicável</v>
      </c>
      <c r="I395" s="33" t="str">
        <f t="shared" si="6"/>
        <v>Não aplicável</v>
      </c>
      <c r="J395" s="26"/>
    </row>
    <row r="396" spans="1:10" ht="16.05" customHeight="1" x14ac:dyDescent="0.3">
      <c r="A396" s="26" t="s">
        <v>651</v>
      </c>
      <c r="B396" s="26" t="s">
        <v>1357</v>
      </c>
      <c r="C396" s="33" t="str">
        <f>IFERROR(INDEX(tbl_requisitos_emb[Tema],MATCH(B396,tbl_requisitos_emb[ID_Req],0)),"")</f>
        <v>Identificação de plásticos</v>
      </c>
      <c r="D396" s="33" t="str">
        <f>IFERROR(INDEX(tbl_recyclass[Segmento],MATCH(A396,tbl_recyclass[ProductId],0)),"")</f>
        <v>Cosmética e higiene pessoal</v>
      </c>
      <c r="E396" s="26" t="s">
        <v>901</v>
      </c>
      <c r="F396" s="26" t="s">
        <v>1449</v>
      </c>
      <c r="G396" s="26" t="s">
        <v>978</v>
      </c>
      <c r="H396" s="33" t="str">
        <f>IF(E396="Não","Não aplicável",IFERROR(IF(B396="EU-ENV-002",IF(INDEX(tbl_recyclass[Conforme_PPWR_2030],MATCH(A396,tbl_recyclass[ProductId],0))="Sim","Conforme (autoavaliação)",IF(INDEX(tbl_recyclass[Conforme_PPWR_2030],MATCH(A396,tbl_recyclass[ProductId],0))="Não","Não conforme em 2030","Isento até 2035")),IF(B396="EU-ENV-003",IF(INDEX(tbl_recyclass[Conforme_Art7_2030],MATCH(A396,tbl_recyclass[ProductId],0))="Sim","Conforme (meta 2030)",IF(INDEX(tbl_recyclass[Conforme_Art7_2030],MATCH(A396,tbl_recyclass[ProductId],0))="Não","Lacuna face à meta 2030","Isento")),IF(B396="EU-ENV-011",IF(INDEX(tbl_familias_ppwr[Metais_Pesados_Evidencia],MATCH(INDEX(tbl_recyclass[Familia_PPWR],MATCH(A396,tbl_recyclass[ProductId],0)),tbl_familias_ppwr[ID_Familia],0))="Em falta","Lacuna","Conforme"),IF(B396="EU-ENV-013",IF(INDEX(tbl_familias_ppwr[Declaracao_UE],MATCH(INDEX(tbl_recyclass[Familia_PPWR],MATCH(A396,tbl_recyclass[ProductId],0)),tbl_familias_ppwr[ID_Familia],0))="Sim","Conforme","Lacuna"),G396)))),G396))</f>
        <v>Parcial</v>
      </c>
      <c r="I396" s="33" t="str">
        <f t="shared" si="6"/>
        <v>Parcial</v>
      </c>
      <c r="J396" s="26" t="s">
        <v>1362</v>
      </c>
    </row>
    <row r="397" spans="1:10" ht="16.05" customHeight="1" x14ac:dyDescent="0.3">
      <c r="A397" s="26" t="s">
        <v>651</v>
      </c>
      <c r="B397" s="26" t="s">
        <v>1385</v>
      </c>
      <c r="C397" s="33" t="str">
        <f>IFERROR(INDEX(tbl_requisitos_emb[Tema],MATCH(B397,tbl_requisitos_emb[ID_Req],0)),"")</f>
        <v>Reciclabilidade (voluntária)</v>
      </c>
      <c r="D397" s="33" t="str">
        <f>IFERROR(INDEX(tbl_recyclass[Segmento],MATCH(A397,tbl_recyclass[ProductId],0)),"")</f>
        <v>Cosmética e higiene pessoal</v>
      </c>
      <c r="E397" s="26" t="s">
        <v>901</v>
      </c>
      <c r="F397" s="26" t="s">
        <v>1449</v>
      </c>
      <c r="G397" s="26" t="s">
        <v>978</v>
      </c>
      <c r="H397" s="33" t="str">
        <f>IF(E397="Não","Não aplicável",IFERROR(IF(B397="EU-ENV-002",IF(INDEX(tbl_recyclass[Conforme_PPWR_2030],MATCH(A397,tbl_recyclass[ProductId],0))="Sim","Conforme (autoavaliação)",IF(INDEX(tbl_recyclass[Conforme_PPWR_2030],MATCH(A397,tbl_recyclass[ProductId],0))="Não","Não conforme em 2030","Isento até 2035")),IF(B397="EU-ENV-003",IF(INDEX(tbl_recyclass[Conforme_Art7_2030],MATCH(A397,tbl_recyclass[ProductId],0))="Sim","Conforme (meta 2030)",IF(INDEX(tbl_recyclass[Conforme_Art7_2030],MATCH(A397,tbl_recyclass[ProductId],0))="Não","Lacuna face à meta 2030","Isento")),IF(B397="EU-ENV-011",IF(INDEX(tbl_familias_ppwr[Metais_Pesados_Evidencia],MATCH(INDEX(tbl_recyclass[Familia_PPWR],MATCH(A397,tbl_recyclass[ProductId],0)),tbl_familias_ppwr[ID_Familia],0))="Em falta","Lacuna","Conforme"),IF(B397="EU-ENV-013",IF(INDEX(tbl_familias_ppwr[Declaracao_UE],MATCH(INDEX(tbl_recyclass[Familia_PPWR],MATCH(A397,tbl_recyclass[ProductId],0)),tbl_familias_ppwr[ID_Familia],0))="Sim","Conforme","Lacuna"),G397)))),G397))</f>
        <v>Parcial</v>
      </c>
      <c r="I397" s="33" t="str">
        <f t="shared" si="6"/>
        <v>Parcial</v>
      </c>
      <c r="J397" s="26" t="s">
        <v>1389</v>
      </c>
    </row>
    <row r="398" spans="1:10" ht="16.05" customHeight="1" x14ac:dyDescent="0.3">
      <c r="A398" s="26" t="s">
        <v>654</v>
      </c>
      <c r="B398" s="26" t="s">
        <v>984</v>
      </c>
      <c r="C398" s="33" t="str">
        <f>IFERROR(INDEX(tbl_requisitos_emb[Tema],MATCH(B398,tbl_requisitos_emb[ID_Req],0)),"")</f>
        <v>Conceção para reciclagem</v>
      </c>
      <c r="D398" s="33" t="str">
        <f>IFERROR(INDEX(tbl_recyclass[Segmento],MATCH(A398,tbl_recyclass[ProductId],0)),"")</f>
        <v>Cosmética e higiene pessoal</v>
      </c>
      <c r="E398" s="26" t="s">
        <v>901</v>
      </c>
      <c r="F398" s="26" t="s">
        <v>1449</v>
      </c>
      <c r="G398" s="26" t="s">
        <v>978</v>
      </c>
      <c r="H398" s="33" t="str">
        <f>IF(E398="Não","Não aplicável",IFERROR(IF(B398="EU-ENV-002",IF(INDEX(tbl_recyclass[Conforme_PPWR_2030],MATCH(A398,tbl_recyclass[ProductId],0))="Sim","Conforme (autoavaliação)",IF(INDEX(tbl_recyclass[Conforme_PPWR_2030],MATCH(A398,tbl_recyclass[ProductId],0))="Não","Não conforme em 2030","Isento até 2035")),IF(B398="EU-ENV-003",IF(INDEX(tbl_recyclass[Conforme_Art7_2030],MATCH(A398,tbl_recyclass[ProductId],0))="Sim","Conforme (meta 2030)",IF(INDEX(tbl_recyclass[Conforme_Art7_2030],MATCH(A398,tbl_recyclass[ProductId],0))="Não","Lacuna face à meta 2030","Isento")),IF(B398="EU-ENV-011",IF(INDEX(tbl_familias_ppwr[Metais_Pesados_Evidencia],MATCH(INDEX(tbl_recyclass[Familia_PPWR],MATCH(A398,tbl_recyclass[ProductId],0)),tbl_familias_ppwr[ID_Familia],0))="Em falta","Lacuna","Conforme"),IF(B398="EU-ENV-013",IF(INDEX(tbl_familias_ppwr[Declaracao_UE],MATCH(INDEX(tbl_recyclass[Familia_PPWR],MATCH(A398,tbl_recyclass[ProductId],0)),tbl_familias_ppwr[ID_Familia],0))="Sim","Conforme","Lacuna"),G398)))),G398))</f>
        <v>Conforme (autoavaliação)</v>
      </c>
      <c r="I398" s="33" t="str">
        <f t="shared" si="6"/>
        <v>Conforme</v>
      </c>
      <c r="J398" s="26" t="s">
        <v>991</v>
      </c>
    </row>
    <row r="399" spans="1:10" ht="16.05" customHeight="1" x14ac:dyDescent="0.3">
      <c r="A399" s="26" t="s">
        <v>654</v>
      </c>
      <c r="B399" s="26" t="s">
        <v>997</v>
      </c>
      <c r="C399" s="33" t="str">
        <f>IFERROR(INDEX(tbl_requisitos_emb[Tema],MATCH(B399,tbl_requisitos_emb[ID_Req],0)),"")</f>
        <v>Conteúdo reciclado</v>
      </c>
      <c r="D399" s="33" t="str">
        <f>IFERROR(INDEX(tbl_recyclass[Segmento],MATCH(A399,tbl_recyclass[ProductId],0)),"")</f>
        <v>Cosmética e higiene pessoal</v>
      </c>
      <c r="E399" s="26" t="s">
        <v>901</v>
      </c>
      <c r="F399" s="26" t="s">
        <v>1449</v>
      </c>
      <c r="G399" s="26" t="s">
        <v>978</v>
      </c>
      <c r="H399" s="33" t="str">
        <f>IF(E399="Não","Não aplicável",IFERROR(IF(B399="EU-ENV-002",IF(INDEX(tbl_recyclass[Conforme_PPWR_2030],MATCH(A399,tbl_recyclass[ProductId],0))="Sim","Conforme (autoavaliação)",IF(INDEX(tbl_recyclass[Conforme_PPWR_2030],MATCH(A399,tbl_recyclass[ProductId],0))="Não","Não conforme em 2030","Isento até 2035")),IF(B399="EU-ENV-003",IF(INDEX(tbl_recyclass[Conforme_Art7_2030],MATCH(A399,tbl_recyclass[ProductId],0))="Sim","Conforme (meta 2030)",IF(INDEX(tbl_recyclass[Conforme_Art7_2030],MATCH(A399,tbl_recyclass[ProductId],0))="Não","Lacuna face à meta 2030","Isento")),IF(B399="EU-ENV-011",IF(INDEX(tbl_familias_ppwr[Metais_Pesados_Evidencia],MATCH(INDEX(tbl_recyclass[Familia_PPWR],MATCH(A399,tbl_recyclass[ProductId],0)),tbl_familias_ppwr[ID_Familia],0))="Em falta","Lacuna","Conforme"),IF(B399="EU-ENV-013",IF(INDEX(tbl_familias_ppwr[Declaracao_UE],MATCH(INDEX(tbl_recyclass[Familia_PPWR],MATCH(A399,tbl_recyclass[ProductId],0)),tbl_familias_ppwr[ID_Familia],0))="Sim","Conforme","Lacuna"),G399)))),G399))</f>
        <v>Lacuna face à meta 2030</v>
      </c>
      <c r="I399" s="33" t="str">
        <f t="shared" si="6"/>
        <v>Lacuna</v>
      </c>
      <c r="J399" s="26" t="s">
        <v>1001</v>
      </c>
    </row>
    <row r="400" spans="1:10" ht="16.05" customHeight="1" x14ac:dyDescent="0.3">
      <c r="A400" s="26" t="s">
        <v>654</v>
      </c>
      <c r="B400" s="26" t="s">
        <v>1007</v>
      </c>
      <c r="C400" s="33" t="str">
        <f>IFERROR(INDEX(tbl_requisitos_emb[Tema],MATCH(B400,tbl_requisitos_emb[ID_Req],0)),"")</f>
        <v>Minimização</v>
      </c>
      <c r="D400" s="33" t="str">
        <f>IFERROR(INDEX(tbl_recyclass[Segmento],MATCH(A400,tbl_recyclass[ProductId],0)),"")</f>
        <v>Cosmética e higiene pessoal</v>
      </c>
      <c r="E400" s="26" t="s">
        <v>901</v>
      </c>
      <c r="F400" s="26" t="s">
        <v>1449</v>
      </c>
      <c r="G400" s="26" t="s">
        <v>978</v>
      </c>
      <c r="H400" s="33" t="str">
        <f>IF(E400="Não","Não aplicável",IFERROR(IF(B400="EU-ENV-002",IF(INDEX(tbl_recyclass[Conforme_PPWR_2030],MATCH(A400,tbl_recyclass[ProductId],0))="Sim","Conforme (autoavaliação)",IF(INDEX(tbl_recyclass[Conforme_PPWR_2030],MATCH(A400,tbl_recyclass[ProductId],0))="Não","Não conforme em 2030","Isento até 2035")),IF(B400="EU-ENV-003",IF(INDEX(tbl_recyclass[Conforme_Art7_2030],MATCH(A400,tbl_recyclass[ProductId],0))="Sim","Conforme (meta 2030)",IF(INDEX(tbl_recyclass[Conforme_Art7_2030],MATCH(A400,tbl_recyclass[ProductId],0))="Não","Lacuna face à meta 2030","Isento")),IF(B400="EU-ENV-011",IF(INDEX(tbl_familias_ppwr[Metais_Pesados_Evidencia],MATCH(INDEX(tbl_recyclass[Familia_PPWR],MATCH(A400,tbl_recyclass[ProductId],0)),tbl_familias_ppwr[ID_Familia],0))="Em falta","Lacuna","Conforme"),IF(B400="EU-ENV-013",IF(INDEX(tbl_familias_ppwr[Declaracao_UE],MATCH(INDEX(tbl_recyclass[Familia_PPWR],MATCH(A400,tbl_recyclass[ProductId],0)),tbl_familias_ppwr[ID_Familia],0))="Sim","Conforme","Lacuna"),G400)))),G400))</f>
        <v>Parcial</v>
      </c>
      <c r="I400" s="33" t="str">
        <f t="shared" si="6"/>
        <v>Parcial</v>
      </c>
      <c r="J400" s="26" t="s">
        <v>1012</v>
      </c>
    </row>
    <row r="401" spans="1:10" ht="16.05" customHeight="1" x14ac:dyDescent="0.3">
      <c r="A401" s="26" t="s">
        <v>654</v>
      </c>
      <c r="B401" s="26" t="s">
        <v>1016</v>
      </c>
      <c r="C401" s="33" t="str">
        <f>IFERROR(INDEX(tbl_requisitos_emb[Tema],MATCH(B401,tbl_requisitos_emb[ID_Req],0)),"")</f>
        <v>Rotulagem</v>
      </c>
      <c r="D401" s="33" t="str">
        <f>IFERROR(INDEX(tbl_recyclass[Segmento],MATCH(A401,tbl_recyclass[ProductId],0)),"")</f>
        <v>Cosmética e higiene pessoal</v>
      </c>
      <c r="E401" s="26" t="s">
        <v>901</v>
      </c>
      <c r="F401" s="26" t="s">
        <v>1449</v>
      </c>
      <c r="G401" s="26" t="s">
        <v>990</v>
      </c>
      <c r="H401" s="33" t="str">
        <f>IF(E401="Não","Não aplicável",IFERROR(IF(B401="EU-ENV-002",IF(INDEX(tbl_recyclass[Conforme_PPWR_2030],MATCH(A401,tbl_recyclass[ProductId],0))="Sim","Conforme (autoavaliação)",IF(INDEX(tbl_recyclass[Conforme_PPWR_2030],MATCH(A401,tbl_recyclass[ProductId],0))="Não","Não conforme em 2030","Isento até 2035")),IF(B401="EU-ENV-003",IF(INDEX(tbl_recyclass[Conforme_Art7_2030],MATCH(A401,tbl_recyclass[ProductId],0))="Sim","Conforme (meta 2030)",IF(INDEX(tbl_recyclass[Conforme_Art7_2030],MATCH(A401,tbl_recyclass[ProductId],0))="Não","Lacuna face à meta 2030","Isento")),IF(B401="EU-ENV-011",IF(INDEX(tbl_familias_ppwr[Metais_Pesados_Evidencia],MATCH(INDEX(tbl_recyclass[Familia_PPWR],MATCH(A401,tbl_recyclass[ProductId],0)),tbl_familias_ppwr[ID_Familia],0))="Em falta","Lacuna","Conforme"),IF(B401="EU-ENV-013",IF(INDEX(tbl_familias_ppwr[Declaracao_UE],MATCH(INDEX(tbl_recyclass[Familia_PPWR],MATCH(A401,tbl_recyclass[ProductId],0)),tbl_familias_ppwr[ID_Familia],0))="Sim","Conforme","Lacuna"),G401)))),G401))</f>
        <v>Futuro</v>
      </c>
      <c r="I401" s="33" t="str">
        <f t="shared" si="6"/>
        <v>Futuro</v>
      </c>
      <c r="J401" s="26" t="s">
        <v>1021</v>
      </c>
    </row>
    <row r="402" spans="1:10" ht="16.05" customHeight="1" x14ac:dyDescent="0.3">
      <c r="A402" s="26" t="s">
        <v>654</v>
      </c>
      <c r="B402" s="26" t="s">
        <v>1038</v>
      </c>
      <c r="C402" s="33" t="str">
        <f>IFERROR(INDEX(tbl_requisitos_emb[Tema],MATCH(B402,tbl_requisitos_emb[ID_Req],0)),"")</f>
        <v>Plásticos de utilização única</v>
      </c>
      <c r="D402" s="33" t="str">
        <f>IFERROR(INDEX(tbl_recyclass[Segmento],MATCH(A402,tbl_recyclass[ProductId],0)),"")</f>
        <v>Cosmética e higiene pessoal</v>
      </c>
      <c r="E402" s="26" t="s">
        <v>904</v>
      </c>
      <c r="F402" s="26" t="s">
        <v>1450</v>
      </c>
      <c r="G402" s="26" t="s">
        <v>1143</v>
      </c>
      <c r="H402" s="33" t="str">
        <f>IF(E402="Não","Não aplicável",IFERROR(IF(B402="EU-ENV-002",IF(INDEX(tbl_recyclass[Conforme_PPWR_2030],MATCH(A402,tbl_recyclass[ProductId],0))="Sim","Conforme (autoavaliação)",IF(INDEX(tbl_recyclass[Conforme_PPWR_2030],MATCH(A402,tbl_recyclass[ProductId],0))="Não","Não conforme em 2030","Isento até 2035")),IF(B402="EU-ENV-003",IF(INDEX(tbl_recyclass[Conforme_Art7_2030],MATCH(A402,tbl_recyclass[ProductId],0))="Sim","Conforme (meta 2030)",IF(INDEX(tbl_recyclass[Conforme_Art7_2030],MATCH(A402,tbl_recyclass[ProductId],0))="Não","Lacuna face à meta 2030","Isento")),IF(B402="EU-ENV-011",IF(INDEX(tbl_familias_ppwr[Metais_Pesados_Evidencia],MATCH(INDEX(tbl_recyclass[Familia_PPWR],MATCH(A402,tbl_recyclass[ProductId],0)),tbl_familias_ppwr[ID_Familia],0))="Em falta","Lacuna","Conforme"),IF(B402="EU-ENV-013",IF(INDEX(tbl_familias_ppwr[Declaracao_UE],MATCH(INDEX(tbl_recyclass[Familia_PPWR],MATCH(A402,tbl_recyclass[ProductId],0)),tbl_familias_ppwr[ID_Familia],0))="Sim","Conforme","Lacuna"),G402)))),G402))</f>
        <v>Não aplicável</v>
      </c>
      <c r="I402" s="33" t="str">
        <f t="shared" si="6"/>
        <v>Não aplicável</v>
      </c>
      <c r="J402" s="26"/>
    </row>
    <row r="403" spans="1:10" ht="16.05" customHeight="1" x14ac:dyDescent="0.3">
      <c r="A403" s="26" t="s">
        <v>654</v>
      </c>
      <c r="B403" s="26" t="s">
        <v>1078</v>
      </c>
      <c r="C403" s="33" t="str">
        <f>IFERROR(INDEX(tbl_requisitos_emb[Tema],MATCH(B403,tbl_requisitos_emb[ID_Req],0)),"")</f>
        <v>Reciclado à escala</v>
      </c>
      <c r="D403" s="33" t="str">
        <f>IFERROR(INDEX(tbl_recyclass[Segmento],MATCH(A403,tbl_recyclass[ProductId],0)),"")</f>
        <v>Cosmética e higiene pessoal</v>
      </c>
      <c r="E403" s="26" t="s">
        <v>901</v>
      </c>
      <c r="F403" s="26" t="s">
        <v>1449</v>
      </c>
      <c r="G403" s="26" t="s">
        <v>990</v>
      </c>
      <c r="H403" s="33" t="str">
        <f>IF(E403="Não","Não aplicável",IFERROR(IF(B403="EU-ENV-002",IF(INDEX(tbl_recyclass[Conforme_PPWR_2030],MATCH(A403,tbl_recyclass[ProductId],0))="Sim","Conforme (autoavaliação)",IF(INDEX(tbl_recyclass[Conforme_PPWR_2030],MATCH(A403,tbl_recyclass[ProductId],0))="Não","Não conforme em 2030","Isento até 2035")),IF(B403="EU-ENV-003",IF(INDEX(tbl_recyclass[Conforme_Art7_2030],MATCH(A403,tbl_recyclass[ProductId],0))="Sim","Conforme (meta 2030)",IF(INDEX(tbl_recyclass[Conforme_Art7_2030],MATCH(A403,tbl_recyclass[ProductId],0))="Não","Lacuna face à meta 2030","Isento")),IF(B403="EU-ENV-011",IF(INDEX(tbl_familias_ppwr[Metais_Pesados_Evidencia],MATCH(INDEX(tbl_recyclass[Familia_PPWR],MATCH(A403,tbl_recyclass[ProductId],0)),tbl_familias_ppwr[ID_Familia],0))="Em falta","Lacuna","Conforme"),IF(B403="EU-ENV-013",IF(INDEX(tbl_familias_ppwr[Declaracao_UE],MATCH(INDEX(tbl_recyclass[Familia_PPWR],MATCH(A403,tbl_recyclass[ProductId],0)),tbl_familias_ppwr[ID_Familia],0))="Sim","Conforme","Lacuna"),G403)))),G403))</f>
        <v>Futuro</v>
      </c>
      <c r="I403" s="33" t="str">
        <f t="shared" si="6"/>
        <v>Futuro</v>
      </c>
      <c r="J403" s="26" t="s">
        <v>1082</v>
      </c>
    </row>
    <row r="404" spans="1:10" ht="16.05" customHeight="1" x14ac:dyDescent="0.3">
      <c r="A404" s="26" t="s">
        <v>654</v>
      </c>
      <c r="B404" s="26" t="s">
        <v>1086</v>
      </c>
      <c r="C404" s="33" t="str">
        <f>IFERROR(INDEX(tbl_requisitos_emb[Tema],MATCH(B404,tbl_requisitos_emb[ID_Req],0)),"")</f>
        <v>Metais pesados</v>
      </c>
      <c r="D404" s="33" t="str">
        <f>IFERROR(INDEX(tbl_recyclass[Segmento],MATCH(A404,tbl_recyclass[ProductId],0)),"")</f>
        <v>Cosmética e higiene pessoal</v>
      </c>
      <c r="E404" s="26" t="s">
        <v>901</v>
      </c>
      <c r="F404" s="26" t="s">
        <v>1449</v>
      </c>
      <c r="G404" s="26" t="s">
        <v>978</v>
      </c>
      <c r="H404" s="33" t="str">
        <f>IF(E404="Não","Não aplicável",IFERROR(IF(B404="EU-ENV-002",IF(INDEX(tbl_recyclass[Conforme_PPWR_2030],MATCH(A404,tbl_recyclass[ProductId],0))="Sim","Conforme (autoavaliação)",IF(INDEX(tbl_recyclass[Conforme_PPWR_2030],MATCH(A404,tbl_recyclass[ProductId],0))="Não","Não conforme em 2030","Isento até 2035")),IF(B404="EU-ENV-003",IF(INDEX(tbl_recyclass[Conforme_Art7_2030],MATCH(A404,tbl_recyclass[ProductId],0))="Sim","Conforme (meta 2030)",IF(INDEX(tbl_recyclass[Conforme_Art7_2030],MATCH(A404,tbl_recyclass[ProductId],0))="Não","Lacuna face à meta 2030","Isento")),IF(B404="EU-ENV-011",IF(INDEX(tbl_familias_ppwr[Metais_Pesados_Evidencia],MATCH(INDEX(tbl_recyclass[Familia_PPWR],MATCH(A404,tbl_recyclass[ProductId],0)),tbl_familias_ppwr[ID_Familia],0))="Em falta","Lacuna","Conforme"),IF(B404="EU-ENV-013",IF(INDEX(tbl_familias_ppwr[Declaracao_UE],MATCH(INDEX(tbl_recyclass[Familia_PPWR],MATCH(A404,tbl_recyclass[ProductId],0)),tbl_familias_ppwr[ID_Familia],0))="Sim","Conforme","Lacuna"),G404)))),G404))</f>
        <v>Conforme</v>
      </c>
      <c r="I404" s="33" t="str">
        <f t="shared" si="6"/>
        <v>Conforme</v>
      </c>
      <c r="J404" s="26" t="s">
        <v>1090</v>
      </c>
    </row>
    <row r="405" spans="1:10" ht="16.05" customHeight="1" x14ac:dyDescent="0.3">
      <c r="A405" s="26" t="s">
        <v>654</v>
      </c>
      <c r="B405" s="26" t="s">
        <v>1094</v>
      </c>
      <c r="C405" s="33" t="str">
        <f>IFERROR(INDEX(tbl_requisitos_emb[Tema],MATCH(B405,tbl_requisitos_emb[ID_Req],0)),"")</f>
        <v>PFAS</v>
      </c>
      <c r="D405" s="33" t="str">
        <f>IFERROR(INDEX(tbl_recyclass[Segmento],MATCH(A405,tbl_recyclass[ProductId],0)),"")</f>
        <v>Cosmética e higiene pessoal</v>
      </c>
      <c r="E405" s="26" t="s">
        <v>904</v>
      </c>
      <c r="F405" s="26" t="s">
        <v>1450</v>
      </c>
      <c r="G405" s="26" t="s">
        <v>1143</v>
      </c>
      <c r="H405" s="33" t="str">
        <f>IF(E405="Não","Não aplicável",IFERROR(IF(B405="EU-ENV-002",IF(INDEX(tbl_recyclass[Conforme_PPWR_2030],MATCH(A405,tbl_recyclass[ProductId],0))="Sim","Conforme (autoavaliação)",IF(INDEX(tbl_recyclass[Conforme_PPWR_2030],MATCH(A405,tbl_recyclass[ProductId],0))="Não","Não conforme em 2030","Isento até 2035")),IF(B405="EU-ENV-003",IF(INDEX(tbl_recyclass[Conforme_Art7_2030],MATCH(A405,tbl_recyclass[ProductId],0))="Sim","Conforme (meta 2030)",IF(INDEX(tbl_recyclass[Conforme_Art7_2030],MATCH(A405,tbl_recyclass[ProductId],0))="Não","Lacuna face à meta 2030","Isento")),IF(B405="EU-ENV-011",IF(INDEX(tbl_familias_ppwr[Metais_Pesados_Evidencia],MATCH(INDEX(tbl_recyclass[Familia_PPWR],MATCH(A405,tbl_recyclass[ProductId],0)),tbl_familias_ppwr[ID_Familia],0))="Em falta","Lacuna","Conforme"),IF(B405="EU-ENV-013",IF(INDEX(tbl_familias_ppwr[Declaracao_UE],MATCH(INDEX(tbl_recyclass[Familia_PPWR],MATCH(A405,tbl_recyclass[ProductId],0)),tbl_familias_ppwr[ID_Familia],0))="Sim","Conforme","Lacuna"),G405)))),G405))</f>
        <v>Não aplicável</v>
      </c>
      <c r="I405" s="33" t="str">
        <f t="shared" si="6"/>
        <v>Não aplicável</v>
      </c>
      <c r="J405" s="26"/>
    </row>
    <row r="406" spans="1:10" ht="16.05" customHeight="1" x14ac:dyDescent="0.3">
      <c r="A406" s="26" t="s">
        <v>654</v>
      </c>
      <c r="B406" s="26" t="s">
        <v>1102</v>
      </c>
      <c r="C406" s="33" t="str">
        <f>IFERROR(INDEX(tbl_requisitos_emb[Tema],MATCH(B406,tbl_requisitos_emb[ID_Req],0)),"")</f>
        <v>Documentação técnica e declaração UE</v>
      </c>
      <c r="D406" s="33" t="str">
        <f>IFERROR(INDEX(tbl_recyclass[Segmento],MATCH(A406,tbl_recyclass[ProductId],0)),"")</f>
        <v>Cosmética e higiene pessoal</v>
      </c>
      <c r="E406" s="26" t="s">
        <v>901</v>
      </c>
      <c r="F406" s="26" t="s">
        <v>1449</v>
      </c>
      <c r="G406" s="26" t="s">
        <v>978</v>
      </c>
      <c r="H406" s="33" t="str">
        <f>IF(E406="Não","Não aplicável",IFERROR(IF(B406="EU-ENV-002",IF(INDEX(tbl_recyclass[Conforme_PPWR_2030],MATCH(A406,tbl_recyclass[ProductId],0))="Sim","Conforme (autoavaliação)",IF(INDEX(tbl_recyclass[Conforme_PPWR_2030],MATCH(A406,tbl_recyclass[ProductId],0))="Não","Não conforme em 2030","Isento até 2035")),IF(B406="EU-ENV-003",IF(INDEX(tbl_recyclass[Conforme_Art7_2030],MATCH(A406,tbl_recyclass[ProductId],0))="Sim","Conforme (meta 2030)",IF(INDEX(tbl_recyclass[Conforme_Art7_2030],MATCH(A406,tbl_recyclass[ProductId],0))="Não","Lacuna face à meta 2030","Isento")),IF(B406="EU-ENV-011",IF(INDEX(tbl_familias_ppwr[Metais_Pesados_Evidencia],MATCH(INDEX(tbl_recyclass[Familia_PPWR],MATCH(A406,tbl_recyclass[ProductId],0)),tbl_familias_ppwr[ID_Familia],0))="Em falta","Lacuna","Conforme"),IF(B406="EU-ENV-013",IF(INDEX(tbl_familias_ppwr[Declaracao_UE],MATCH(INDEX(tbl_recyclass[Familia_PPWR],MATCH(A406,tbl_recyclass[ProductId],0)),tbl_familias_ppwr[ID_Familia],0))="Sim","Conforme","Lacuna"),G406)))),G406))</f>
        <v>Conforme</v>
      </c>
      <c r="I406" s="33" t="str">
        <f t="shared" si="6"/>
        <v>Conforme</v>
      </c>
      <c r="J406" s="26" t="s">
        <v>1106</v>
      </c>
    </row>
    <row r="407" spans="1:10" ht="16.05" customHeight="1" x14ac:dyDescent="0.3">
      <c r="A407" s="26" t="s">
        <v>654</v>
      </c>
      <c r="B407" s="26" t="s">
        <v>1161</v>
      </c>
      <c r="C407" s="33" t="str">
        <f>IFERROR(INDEX(tbl_requisitos_emb[Tema],MATCH(B407,tbl_requisitos_emb[ID_Req],0)),"")</f>
        <v>Materiais em contacto com alimentos</v>
      </c>
      <c r="D407" s="33" t="str">
        <f>IFERROR(INDEX(tbl_recyclass[Segmento],MATCH(A407,tbl_recyclass[ProductId],0)),"")</f>
        <v>Cosmética e higiene pessoal</v>
      </c>
      <c r="E407" s="26" t="s">
        <v>904</v>
      </c>
      <c r="F407" s="26" t="s">
        <v>1450</v>
      </c>
      <c r="G407" s="26" t="s">
        <v>1143</v>
      </c>
      <c r="H407" s="33" t="str">
        <f>IF(E407="Não","Não aplicável",IFERROR(IF(B407="EU-ENV-002",IF(INDEX(tbl_recyclass[Conforme_PPWR_2030],MATCH(A407,tbl_recyclass[ProductId],0))="Sim","Conforme (autoavaliação)",IF(INDEX(tbl_recyclass[Conforme_PPWR_2030],MATCH(A407,tbl_recyclass[ProductId],0))="Não","Não conforme em 2030","Isento até 2035")),IF(B407="EU-ENV-003",IF(INDEX(tbl_recyclass[Conforme_Art7_2030],MATCH(A407,tbl_recyclass[ProductId],0))="Sim","Conforme (meta 2030)",IF(INDEX(tbl_recyclass[Conforme_Art7_2030],MATCH(A407,tbl_recyclass[ProductId],0))="Não","Lacuna face à meta 2030","Isento")),IF(B407="EU-ENV-011",IF(INDEX(tbl_familias_ppwr[Metais_Pesados_Evidencia],MATCH(INDEX(tbl_recyclass[Familia_PPWR],MATCH(A407,tbl_recyclass[ProductId],0)),tbl_familias_ppwr[ID_Familia],0))="Em falta","Lacuna","Conforme"),IF(B407="EU-ENV-013",IF(INDEX(tbl_familias_ppwr[Declaracao_UE],MATCH(INDEX(tbl_recyclass[Familia_PPWR],MATCH(A407,tbl_recyclass[ProductId],0)),tbl_familias_ppwr[ID_Familia],0))="Sim","Conforme","Lacuna"),G407)))),G407))</f>
        <v>Não aplicável</v>
      </c>
      <c r="I407" s="33" t="str">
        <f t="shared" si="6"/>
        <v>Não aplicável</v>
      </c>
      <c r="J407" s="26"/>
    </row>
    <row r="408" spans="1:10" ht="16.05" customHeight="1" x14ac:dyDescent="0.3">
      <c r="A408" s="26" t="s">
        <v>654</v>
      </c>
      <c r="B408" s="26" t="s">
        <v>1170</v>
      </c>
      <c r="C408" s="33" t="str">
        <f>IFERROR(INDEX(tbl_requisitos_emb[Tema],MATCH(B408,tbl_requisitos_emb[ID_Req],0)),"")</f>
        <v>Boas práticas de fabrico FCM</v>
      </c>
      <c r="D408" s="33" t="str">
        <f>IFERROR(INDEX(tbl_recyclass[Segmento],MATCH(A408,tbl_recyclass[ProductId],0)),"")</f>
        <v>Cosmética e higiene pessoal</v>
      </c>
      <c r="E408" s="26" t="s">
        <v>904</v>
      </c>
      <c r="F408" s="26" t="s">
        <v>1450</v>
      </c>
      <c r="G408" s="26" t="s">
        <v>1143</v>
      </c>
      <c r="H408" s="33" t="str">
        <f>IF(E408="Não","Não aplicável",IFERROR(IF(B408="EU-ENV-002",IF(INDEX(tbl_recyclass[Conforme_PPWR_2030],MATCH(A408,tbl_recyclass[ProductId],0))="Sim","Conforme (autoavaliação)",IF(INDEX(tbl_recyclass[Conforme_PPWR_2030],MATCH(A408,tbl_recyclass[ProductId],0))="Não","Não conforme em 2030","Isento até 2035")),IF(B408="EU-ENV-003",IF(INDEX(tbl_recyclass[Conforme_Art7_2030],MATCH(A408,tbl_recyclass[ProductId],0))="Sim","Conforme (meta 2030)",IF(INDEX(tbl_recyclass[Conforme_Art7_2030],MATCH(A408,tbl_recyclass[ProductId],0))="Não","Lacuna face à meta 2030","Isento")),IF(B408="EU-ENV-011",IF(INDEX(tbl_familias_ppwr[Metais_Pesados_Evidencia],MATCH(INDEX(tbl_recyclass[Familia_PPWR],MATCH(A408,tbl_recyclass[ProductId],0)),tbl_familias_ppwr[ID_Familia],0))="Em falta","Lacuna","Conforme"),IF(B408="EU-ENV-013",IF(INDEX(tbl_familias_ppwr[Declaracao_UE],MATCH(INDEX(tbl_recyclass[Familia_PPWR],MATCH(A408,tbl_recyclass[ProductId],0)),tbl_familias_ppwr[ID_Familia],0))="Sim","Conforme","Lacuna"),G408)))),G408))</f>
        <v>Não aplicável</v>
      </c>
      <c r="I408" s="33" t="str">
        <f t="shared" si="6"/>
        <v>Não aplicável</v>
      </c>
      <c r="J408" s="26"/>
    </row>
    <row r="409" spans="1:10" ht="16.05" customHeight="1" x14ac:dyDescent="0.3">
      <c r="A409" s="26" t="s">
        <v>654</v>
      </c>
      <c r="B409" s="26" t="s">
        <v>1179</v>
      </c>
      <c r="C409" s="33" t="str">
        <f>IFERROR(INDEX(tbl_requisitos_emb[Tema],MATCH(B409,tbl_requisitos_emb[ID_Req],0)),"")</f>
        <v>Bisfenol A e bisfenóis perigosos</v>
      </c>
      <c r="D409" s="33" t="str">
        <f>IFERROR(INDEX(tbl_recyclass[Segmento],MATCH(A409,tbl_recyclass[ProductId],0)),"")</f>
        <v>Cosmética e higiene pessoal</v>
      </c>
      <c r="E409" s="26" t="s">
        <v>904</v>
      </c>
      <c r="F409" s="26" t="s">
        <v>1450</v>
      </c>
      <c r="G409" s="26" t="s">
        <v>1143</v>
      </c>
      <c r="H409" s="33" t="str">
        <f>IF(E409="Não","Não aplicável",IFERROR(IF(B409="EU-ENV-002",IF(INDEX(tbl_recyclass[Conforme_PPWR_2030],MATCH(A409,tbl_recyclass[ProductId],0))="Sim","Conforme (autoavaliação)",IF(INDEX(tbl_recyclass[Conforme_PPWR_2030],MATCH(A409,tbl_recyclass[ProductId],0))="Não","Não conforme em 2030","Isento até 2035")),IF(B409="EU-ENV-003",IF(INDEX(tbl_recyclass[Conforme_Art7_2030],MATCH(A409,tbl_recyclass[ProductId],0))="Sim","Conforme (meta 2030)",IF(INDEX(tbl_recyclass[Conforme_Art7_2030],MATCH(A409,tbl_recyclass[ProductId],0))="Não","Lacuna face à meta 2030","Isento")),IF(B409="EU-ENV-011",IF(INDEX(tbl_familias_ppwr[Metais_Pesados_Evidencia],MATCH(INDEX(tbl_recyclass[Familia_PPWR],MATCH(A409,tbl_recyclass[ProductId],0)),tbl_familias_ppwr[ID_Familia],0))="Em falta","Lacuna","Conforme"),IF(B409="EU-ENV-013",IF(INDEX(tbl_familias_ppwr[Declaracao_UE],MATCH(INDEX(tbl_recyclass[Familia_PPWR],MATCH(A409,tbl_recyclass[ProductId],0)),tbl_familias_ppwr[ID_Familia],0))="Sim","Conforme","Lacuna"),G409)))),G409))</f>
        <v>Não aplicável</v>
      </c>
      <c r="I409" s="33" t="str">
        <f t="shared" si="6"/>
        <v>Não aplicável</v>
      </c>
      <c r="J409" s="26"/>
    </row>
    <row r="410" spans="1:10" ht="16.05" customHeight="1" x14ac:dyDescent="0.3">
      <c r="A410" s="26" t="s">
        <v>654</v>
      </c>
      <c r="B410" s="26" t="s">
        <v>1188</v>
      </c>
      <c r="C410" s="33" t="str">
        <f>IFERROR(INDEX(tbl_requisitos_emb[Tema],MATCH(B410,tbl_requisitos_emb[ID_Req],0)),"")</f>
        <v>Plásticos em contacto com alimentos</v>
      </c>
      <c r="D410" s="33" t="str">
        <f>IFERROR(INDEX(tbl_recyclass[Segmento],MATCH(A410,tbl_recyclass[ProductId],0)),"")</f>
        <v>Cosmética e higiene pessoal</v>
      </c>
      <c r="E410" s="26" t="s">
        <v>904</v>
      </c>
      <c r="F410" s="26" t="s">
        <v>1450</v>
      </c>
      <c r="G410" s="26" t="s">
        <v>1143</v>
      </c>
      <c r="H410" s="33" t="str">
        <f>IF(E410="Não","Não aplicável",IFERROR(IF(B410="EU-ENV-002",IF(INDEX(tbl_recyclass[Conforme_PPWR_2030],MATCH(A410,tbl_recyclass[ProductId],0))="Sim","Conforme (autoavaliação)",IF(INDEX(tbl_recyclass[Conforme_PPWR_2030],MATCH(A410,tbl_recyclass[ProductId],0))="Não","Não conforme em 2030","Isento até 2035")),IF(B410="EU-ENV-003",IF(INDEX(tbl_recyclass[Conforme_Art7_2030],MATCH(A410,tbl_recyclass[ProductId],0))="Sim","Conforme (meta 2030)",IF(INDEX(tbl_recyclass[Conforme_Art7_2030],MATCH(A410,tbl_recyclass[ProductId],0))="Não","Lacuna face à meta 2030","Isento")),IF(B410="EU-ENV-011",IF(INDEX(tbl_familias_ppwr[Metais_Pesados_Evidencia],MATCH(INDEX(tbl_recyclass[Familia_PPWR],MATCH(A410,tbl_recyclass[ProductId],0)),tbl_familias_ppwr[ID_Familia],0))="Em falta","Lacuna","Conforme"),IF(B410="EU-ENV-013",IF(INDEX(tbl_familias_ppwr[Declaracao_UE],MATCH(INDEX(tbl_recyclass[Familia_PPWR],MATCH(A410,tbl_recyclass[ProductId],0)),tbl_familias_ppwr[ID_Familia],0))="Sim","Conforme","Lacuna"),G410)))),G410))</f>
        <v>Não aplicável</v>
      </c>
      <c r="I410" s="33" t="str">
        <f t="shared" si="6"/>
        <v>Não aplicável</v>
      </c>
      <c r="J410" s="26"/>
    </row>
    <row r="411" spans="1:10" ht="16.05" customHeight="1" x14ac:dyDescent="0.3">
      <c r="A411" s="26" t="s">
        <v>654</v>
      </c>
      <c r="B411" s="26" t="s">
        <v>1212</v>
      </c>
      <c r="C411" s="33" t="str">
        <f>IFERROR(INDEX(tbl_requisitos_emb[Tema],MATCH(B411,tbl_requisitos_emb[ID_Req],0)),"")</f>
        <v>Segurança do produto cosmético</v>
      </c>
      <c r="D411" s="33" t="str">
        <f>IFERROR(INDEX(tbl_recyclass[Segmento],MATCH(A411,tbl_recyclass[ProductId],0)),"")</f>
        <v>Cosmética e higiene pessoal</v>
      </c>
      <c r="E411" s="26" t="s">
        <v>901</v>
      </c>
      <c r="F411" s="26" t="s">
        <v>1449</v>
      </c>
      <c r="G411" s="26" t="s">
        <v>1033</v>
      </c>
      <c r="H411" s="33" t="str">
        <f>IF(E411="Não","Não aplicável",IFERROR(IF(B411="EU-ENV-002",IF(INDEX(tbl_recyclass[Conforme_PPWR_2030],MATCH(A411,tbl_recyclass[ProductId],0))="Sim","Conforme (autoavaliação)",IF(INDEX(tbl_recyclass[Conforme_PPWR_2030],MATCH(A411,tbl_recyclass[ProductId],0))="Não","Não conforme em 2030","Isento até 2035")),IF(B411="EU-ENV-003",IF(INDEX(tbl_recyclass[Conforme_Art7_2030],MATCH(A411,tbl_recyclass[ProductId],0))="Sim","Conforme (meta 2030)",IF(INDEX(tbl_recyclass[Conforme_Art7_2030],MATCH(A411,tbl_recyclass[ProductId],0))="Não","Lacuna face à meta 2030","Isento")),IF(B411="EU-ENV-011",IF(INDEX(tbl_familias_ppwr[Metais_Pesados_Evidencia],MATCH(INDEX(tbl_recyclass[Familia_PPWR],MATCH(A411,tbl_recyclass[ProductId],0)),tbl_familias_ppwr[ID_Familia],0))="Em falta","Lacuna","Conforme"),IF(B411="EU-ENV-013",IF(INDEX(tbl_familias_ppwr[Declaracao_UE],MATCH(INDEX(tbl_recyclass[Familia_PPWR],MATCH(A411,tbl_recyclass[ProductId],0)),tbl_familias_ppwr[ID_Familia],0))="Sim","Conforme","Lacuna"),G411)))),G411))</f>
        <v>Conforme</v>
      </c>
      <c r="I411" s="33" t="str">
        <f t="shared" si="6"/>
        <v>Conforme</v>
      </c>
      <c r="J411" s="26" t="s">
        <v>1221</v>
      </c>
    </row>
    <row r="412" spans="1:10" ht="16.05" customHeight="1" x14ac:dyDescent="0.3">
      <c r="A412" s="26" t="s">
        <v>654</v>
      </c>
      <c r="B412" s="26" t="s">
        <v>1224</v>
      </c>
      <c r="C412" s="33" t="str">
        <f>IFERROR(INDEX(tbl_requisitos_emb[Tema],MATCH(B412,tbl_requisitos_emb[ID_Req],0)),"")</f>
        <v>Materiais e impurezas</v>
      </c>
      <c r="D412" s="33" t="str">
        <f>IFERROR(INDEX(tbl_recyclass[Segmento],MATCH(A412,tbl_recyclass[ProductId],0)),"")</f>
        <v>Cosmética e higiene pessoal</v>
      </c>
      <c r="E412" s="26" t="s">
        <v>901</v>
      </c>
      <c r="F412" s="26" t="s">
        <v>1449</v>
      </c>
      <c r="G412" s="26" t="s">
        <v>978</v>
      </c>
      <c r="H412" s="33" t="str">
        <f>IF(E412="Não","Não aplicável",IFERROR(IF(B412="EU-ENV-002",IF(INDEX(tbl_recyclass[Conforme_PPWR_2030],MATCH(A412,tbl_recyclass[ProductId],0))="Sim","Conforme (autoavaliação)",IF(INDEX(tbl_recyclass[Conforme_PPWR_2030],MATCH(A412,tbl_recyclass[ProductId],0))="Não","Não conforme em 2030","Isento até 2035")),IF(B412="EU-ENV-003",IF(INDEX(tbl_recyclass[Conforme_Art7_2030],MATCH(A412,tbl_recyclass[ProductId],0))="Sim","Conforme (meta 2030)",IF(INDEX(tbl_recyclass[Conforme_Art7_2030],MATCH(A412,tbl_recyclass[ProductId],0))="Não","Lacuna face à meta 2030","Isento")),IF(B412="EU-ENV-011",IF(INDEX(tbl_familias_ppwr[Metais_Pesados_Evidencia],MATCH(INDEX(tbl_recyclass[Familia_PPWR],MATCH(A412,tbl_recyclass[ProductId],0)),tbl_familias_ppwr[ID_Familia],0))="Em falta","Lacuna","Conforme"),IF(B412="EU-ENV-013",IF(INDEX(tbl_familias_ppwr[Declaracao_UE],MATCH(INDEX(tbl_recyclass[Familia_PPWR],MATCH(A412,tbl_recyclass[ProductId],0)),tbl_familias_ppwr[ID_Familia],0))="Sim","Conforme","Lacuna"),G412)))),G412))</f>
        <v>Parcial</v>
      </c>
      <c r="I412" s="33" t="str">
        <f t="shared" si="6"/>
        <v>Parcial</v>
      </c>
      <c r="J412" s="26" t="s">
        <v>1228</v>
      </c>
    </row>
    <row r="413" spans="1:10" ht="16.05" customHeight="1" x14ac:dyDescent="0.3">
      <c r="A413" s="26" t="s">
        <v>654</v>
      </c>
      <c r="B413" s="26" t="s">
        <v>1240</v>
      </c>
      <c r="C413" s="33" t="str">
        <f>IFERROR(INDEX(tbl_requisitos_emb[Tema],MATCH(B413,tbl_requisitos_emb[ID_Req],0)),"")</f>
        <v>Compatibilidade embalagem–produto</v>
      </c>
      <c r="D413" s="33" t="str">
        <f>IFERROR(INDEX(tbl_recyclass[Segmento],MATCH(A413,tbl_recyclass[ProductId],0)),"")</f>
        <v>Cosmética e higiene pessoal</v>
      </c>
      <c r="E413" s="26" t="s">
        <v>901</v>
      </c>
      <c r="F413" s="26" t="s">
        <v>1449</v>
      </c>
      <c r="G413" s="26" t="s">
        <v>1033</v>
      </c>
      <c r="H413" s="33" t="str">
        <f>IF(E413="Não","Não aplicável",IFERROR(IF(B413="EU-ENV-002",IF(INDEX(tbl_recyclass[Conforme_PPWR_2030],MATCH(A413,tbl_recyclass[ProductId],0))="Sim","Conforme (autoavaliação)",IF(INDEX(tbl_recyclass[Conforme_PPWR_2030],MATCH(A413,tbl_recyclass[ProductId],0))="Não","Não conforme em 2030","Isento até 2035")),IF(B413="EU-ENV-003",IF(INDEX(tbl_recyclass[Conforme_Art7_2030],MATCH(A413,tbl_recyclass[ProductId],0))="Sim","Conforme (meta 2030)",IF(INDEX(tbl_recyclass[Conforme_Art7_2030],MATCH(A413,tbl_recyclass[ProductId],0))="Não","Lacuna face à meta 2030","Isento")),IF(B413="EU-ENV-011",IF(INDEX(tbl_familias_ppwr[Metais_Pesados_Evidencia],MATCH(INDEX(tbl_recyclass[Familia_PPWR],MATCH(A413,tbl_recyclass[ProductId],0)),tbl_familias_ppwr[ID_Familia],0))="Em falta","Lacuna","Conforme"),IF(B413="EU-ENV-013",IF(INDEX(tbl_familias_ppwr[Declaracao_UE],MATCH(INDEX(tbl_recyclass[Familia_PPWR],MATCH(A413,tbl_recyclass[ProductId],0)),tbl_familias_ppwr[ID_Familia],0))="Sim","Conforme","Lacuna"),G413)))),G413))</f>
        <v>Conforme</v>
      </c>
      <c r="I413" s="33" t="str">
        <f t="shared" si="6"/>
        <v>Conforme</v>
      </c>
      <c r="J413" s="26" t="s">
        <v>1244</v>
      </c>
    </row>
    <row r="414" spans="1:10" ht="16.05" customHeight="1" x14ac:dyDescent="0.3">
      <c r="A414" s="26" t="s">
        <v>654</v>
      </c>
      <c r="B414" s="26" t="s">
        <v>1252</v>
      </c>
      <c r="C414" s="33" t="str">
        <f>IFERROR(INDEX(tbl_requisitos_emb[Tema],MATCH(B414,tbl_requisitos_emb[ID_Req],0)),"")</f>
        <v>Medicamentos de uso humano</v>
      </c>
      <c r="D414" s="33" t="str">
        <f>IFERROR(INDEX(tbl_recyclass[Segmento],MATCH(A414,tbl_recyclass[ProductId],0)),"")</f>
        <v>Cosmética e higiene pessoal</v>
      </c>
      <c r="E414" s="26" t="s">
        <v>904</v>
      </c>
      <c r="F414" s="26" t="s">
        <v>1451</v>
      </c>
      <c r="G414" s="26" t="s">
        <v>1143</v>
      </c>
      <c r="H414" s="33" t="str">
        <f>IF(E414="Não","Não aplicável",IFERROR(IF(B414="EU-ENV-002",IF(INDEX(tbl_recyclass[Conforme_PPWR_2030],MATCH(A414,tbl_recyclass[ProductId],0))="Sim","Conforme (autoavaliação)",IF(INDEX(tbl_recyclass[Conforme_PPWR_2030],MATCH(A414,tbl_recyclass[ProductId],0))="Não","Não conforme em 2030","Isento até 2035")),IF(B414="EU-ENV-003",IF(INDEX(tbl_recyclass[Conforme_Art7_2030],MATCH(A414,tbl_recyclass[ProductId],0))="Sim","Conforme (meta 2030)",IF(INDEX(tbl_recyclass[Conforme_Art7_2030],MATCH(A414,tbl_recyclass[ProductId],0))="Não","Lacuna face à meta 2030","Isento")),IF(B414="EU-ENV-011",IF(INDEX(tbl_familias_ppwr[Metais_Pesados_Evidencia],MATCH(INDEX(tbl_recyclass[Familia_PPWR],MATCH(A414,tbl_recyclass[ProductId],0)),tbl_familias_ppwr[ID_Familia],0))="Em falta","Lacuna","Conforme"),IF(B414="EU-ENV-013",IF(INDEX(tbl_familias_ppwr[Declaracao_UE],MATCH(INDEX(tbl_recyclass[Familia_PPWR],MATCH(A414,tbl_recyclass[ProductId],0)),tbl_familias_ppwr[ID_Familia],0))="Sim","Conforme","Lacuna"),G414)))),G414))</f>
        <v>Não aplicável</v>
      </c>
      <c r="I414" s="33" t="str">
        <f t="shared" si="6"/>
        <v>Não aplicável</v>
      </c>
      <c r="J414" s="26"/>
    </row>
    <row r="415" spans="1:10" ht="16.05" customHeight="1" x14ac:dyDescent="0.3">
      <c r="A415" s="26" t="s">
        <v>654</v>
      </c>
      <c r="B415" s="26" t="s">
        <v>1268</v>
      </c>
      <c r="C415" s="33" t="str">
        <f>IFERROR(INDEX(tbl_requisitos_emb[Tema],MATCH(B415,tbl_requisitos_emb[ID_Req],0)),"")</f>
        <v>Dispositivos de segurança</v>
      </c>
      <c r="D415" s="33" t="str">
        <f>IFERROR(INDEX(tbl_recyclass[Segmento],MATCH(A415,tbl_recyclass[ProductId],0)),"")</f>
        <v>Cosmética e higiene pessoal</v>
      </c>
      <c r="E415" s="26" t="s">
        <v>904</v>
      </c>
      <c r="F415" s="26" t="s">
        <v>1451</v>
      </c>
      <c r="G415" s="26" t="s">
        <v>1143</v>
      </c>
      <c r="H415" s="33" t="str">
        <f>IF(E415="Não","Não aplicável",IFERROR(IF(B415="EU-ENV-002",IF(INDEX(tbl_recyclass[Conforme_PPWR_2030],MATCH(A415,tbl_recyclass[ProductId],0))="Sim","Conforme (autoavaliação)",IF(INDEX(tbl_recyclass[Conforme_PPWR_2030],MATCH(A415,tbl_recyclass[ProductId],0))="Não","Não conforme em 2030","Isento até 2035")),IF(B415="EU-ENV-003",IF(INDEX(tbl_recyclass[Conforme_Art7_2030],MATCH(A415,tbl_recyclass[ProductId],0))="Sim","Conforme (meta 2030)",IF(INDEX(tbl_recyclass[Conforme_Art7_2030],MATCH(A415,tbl_recyclass[ProductId],0))="Não","Lacuna face à meta 2030","Isento")),IF(B415="EU-ENV-011",IF(INDEX(tbl_familias_ppwr[Metais_Pesados_Evidencia],MATCH(INDEX(tbl_recyclass[Familia_PPWR],MATCH(A415,tbl_recyclass[ProductId],0)),tbl_familias_ppwr[ID_Familia],0))="Em falta","Lacuna","Conforme"),IF(B415="EU-ENV-013",IF(INDEX(tbl_familias_ppwr[Declaracao_UE],MATCH(INDEX(tbl_recyclass[Familia_PPWR],MATCH(A415,tbl_recyclass[ProductId],0)),tbl_familias_ppwr[ID_Familia],0))="Sim","Conforme","Lacuna"),G415)))),G415))</f>
        <v>Não aplicável</v>
      </c>
      <c r="I415" s="33" t="str">
        <f t="shared" si="6"/>
        <v>Não aplicável</v>
      </c>
      <c r="J415" s="26"/>
    </row>
    <row r="416" spans="1:10" ht="16.05" customHeight="1" x14ac:dyDescent="0.3">
      <c r="A416" s="26" t="s">
        <v>654</v>
      </c>
      <c r="B416" s="26" t="s">
        <v>1285</v>
      </c>
      <c r="C416" s="33" t="str">
        <f>IFERROR(INDEX(tbl_requisitos_emb[Tema],MATCH(B416,tbl_requisitos_emb[ID_Req],0)),"")</f>
        <v>Materiais plásticos de acondicionamento primário</v>
      </c>
      <c r="D416" s="33" t="str">
        <f>IFERROR(INDEX(tbl_recyclass[Segmento],MATCH(A416,tbl_recyclass[ProductId],0)),"")</f>
        <v>Cosmética e higiene pessoal</v>
      </c>
      <c r="E416" s="26" t="s">
        <v>904</v>
      </c>
      <c r="F416" s="26" t="s">
        <v>1451</v>
      </c>
      <c r="G416" s="26" t="s">
        <v>1143</v>
      </c>
      <c r="H416" s="33" t="str">
        <f>IF(E416="Não","Não aplicável",IFERROR(IF(B416="EU-ENV-002",IF(INDEX(tbl_recyclass[Conforme_PPWR_2030],MATCH(A416,tbl_recyclass[ProductId],0))="Sim","Conforme (autoavaliação)",IF(INDEX(tbl_recyclass[Conforme_PPWR_2030],MATCH(A416,tbl_recyclass[ProductId],0))="Não","Não conforme em 2030","Isento até 2035")),IF(B416="EU-ENV-003",IF(INDEX(tbl_recyclass[Conforme_Art7_2030],MATCH(A416,tbl_recyclass[ProductId],0))="Sim","Conforme (meta 2030)",IF(INDEX(tbl_recyclass[Conforme_Art7_2030],MATCH(A416,tbl_recyclass[ProductId],0))="Não","Lacuna face à meta 2030","Isento")),IF(B416="EU-ENV-011",IF(INDEX(tbl_familias_ppwr[Metais_Pesados_Evidencia],MATCH(INDEX(tbl_recyclass[Familia_PPWR],MATCH(A416,tbl_recyclass[ProductId],0)),tbl_familias_ppwr[ID_Familia],0))="Em falta","Lacuna","Conforme"),IF(B416="EU-ENV-013",IF(INDEX(tbl_familias_ppwr[Declaracao_UE],MATCH(INDEX(tbl_recyclass[Familia_PPWR],MATCH(A416,tbl_recyclass[ProductId],0)),tbl_familias_ppwr[ID_Familia],0))="Sim","Conforme","Lacuna"),G416)))),G416))</f>
        <v>Não aplicável</v>
      </c>
      <c r="I416" s="33" t="str">
        <f t="shared" si="6"/>
        <v>Não aplicável</v>
      </c>
      <c r="J416" s="26"/>
    </row>
    <row r="417" spans="1:10" ht="16.05" customHeight="1" x14ac:dyDescent="0.3">
      <c r="A417" s="26" t="s">
        <v>654</v>
      </c>
      <c r="B417" s="26" t="s">
        <v>1293</v>
      </c>
      <c r="C417" s="33" t="str">
        <f>IFERROR(INDEX(tbl_requisitos_emb[Tema],MATCH(B417,tbl_requisitos_emb[ID_Req],0)),"")</f>
        <v>Isenções PPWR</v>
      </c>
      <c r="D417" s="33" t="str">
        <f>IFERROR(INDEX(tbl_recyclass[Segmento],MATCH(A417,tbl_recyclass[ProductId],0)),"")</f>
        <v>Cosmética e higiene pessoal</v>
      </c>
      <c r="E417" s="26" t="s">
        <v>904</v>
      </c>
      <c r="F417" s="26" t="s">
        <v>1451</v>
      </c>
      <c r="G417" s="26" t="s">
        <v>1143</v>
      </c>
      <c r="H417" s="33" t="str">
        <f>IF(E417="Não","Não aplicável",IFERROR(IF(B417="EU-ENV-002",IF(INDEX(tbl_recyclass[Conforme_PPWR_2030],MATCH(A417,tbl_recyclass[ProductId],0))="Sim","Conforme (autoavaliação)",IF(INDEX(tbl_recyclass[Conforme_PPWR_2030],MATCH(A417,tbl_recyclass[ProductId],0))="Não","Não conforme em 2030","Isento até 2035")),IF(B417="EU-ENV-003",IF(INDEX(tbl_recyclass[Conforme_Art7_2030],MATCH(A417,tbl_recyclass[ProductId],0))="Sim","Conforme (meta 2030)",IF(INDEX(tbl_recyclass[Conforme_Art7_2030],MATCH(A417,tbl_recyclass[ProductId],0))="Não","Lacuna face à meta 2030","Isento")),IF(B417="EU-ENV-011",IF(INDEX(tbl_familias_ppwr[Metais_Pesados_Evidencia],MATCH(INDEX(tbl_recyclass[Familia_PPWR],MATCH(A417,tbl_recyclass[ProductId],0)),tbl_familias_ppwr[ID_Familia],0))="Em falta","Lacuna","Conforme"),IF(B417="EU-ENV-013",IF(INDEX(tbl_familias_ppwr[Declaracao_UE],MATCH(INDEX(tbl_recyclass[Familia_PPWR],MATCH(A417,tbl_recyclass[ProductId],0)),tbl_familias_ppwr[ID_Familia],0))="Sim","Conforme","Lacuna"),G417)))),G417))</f>
        <v>Não aplicável</v>
      </c>
      <c r="I417" s="33" t="str">
        <f t="shared" si="6"/>
        <v>Não aplicável</v>
      </c>
      <c r="J417" s="26"/>
    </row>
    <row r="418" spans="1:10" ht="16.05" customHeight="1" x14ac:dyDescent="0.3">
      <c r="A418" s="26" t="s">
        <v>654</v>
      </c>
      <c r="B418" s="26" t="s">
        <v>1357</v>
      </c>
      <c r="C418" s="33" t="str">
        <f>IFERROR(INDEX(tbl_requisitos_emb[Tema],MATCH(B418,tbl_requisitos_emb[ID_Req],0)),"")</f>
        <v>Identificação de plásticos</v>
      </c>
      <c r="D418" s="33" t="str">
        <f>IFERROR(INDEX(tbl_recyclass[Segmento],MATCH(A418,tbl_recyclass[ProductId],0)),"")</f>
        <v>Cosmética e higiene pessoal</v>
      </c>
      <c r="E418" s="26" t="s">
        <v>901</v>
      </c>
      <c r="F418" s="26" t="s">
        <v>1449</v>
      </c>
      <c r="G418" s="26" t="s">
        <v>978</v>
      </c>
      <c r="H418" s="33" t="str">
        <f>IF(E418="Não","Não aplicável",IFERROR(IF(B418="EU-ENV-002",IF(INDEX(tbl_recyclass[Conforme_PPWR_2030],MATCH(A418,tbl_recyclass[ProductId],0))="Sim","Conforme (autoavaliação)",IF(INDEX(tbl_recyclass[Conforme_PPWR_2030],MATCH(A418,tbl_recyclass[ProductId],0))="Não","Não conforme em 2030","Isento até 2035")),IF(B418="EU-ENV-003",IF(INDEX(tbl_recyclass[Conforme_Art7_2030],MATCH(A418,tbl_recyclass[ProductId],0))="Sim","Conforme (meta 2030)",IF(INDEX(tbl_recyclass[Conforme_Art7_2030],MATCH(A418,tbl_recyclass[ProductId],0))="Não","Lacuna face à meta 2030","Isento")),IF(B418="EU-ENV-011",IF(INDEX(tbl_familias_ppwr[Metais_Pesados_Evidencia],MATCH(INDEX(tbl_recyclass[Familia_PPWR],MATCH(A418,tbl_recyclass[ProductId],0)),tbl_familias_ppwr[ID_Familia],0))="Em falta","Lacuna","Conforme"),IF(B418="EU-ENV-013",IF(INDEX(tbl_familias_ppwr[Declaracao_UE],MATCH(INDEX(tbl_recyclass[Familia_PPWR],MATCH(A418,tbl_recyclass[ProductId],0)),tbl_familias_ppwr[ID_Familia],0))="Sim","Conforme","Lacuna"),G418)))),G418))</f>
        <v>Parcial</v>
      </c>
      <c r="I418" s="33" t="str">
        <f t="shared" si="6"/>
        <v>Parcial</v>
      </c>
      <c r="J418" s="26" t="s">
        <v>1362</v>
      </c>
    </row>
    <row r="419" spans="1:10" ht="16.05" customHeight="1" x14ac:dyDescent="0.3">
      <c r="A419" s="26" t="s">
        <v>654</v>
      </c>
      <c r="B419" s="26" t="s">
        <v>1385</v>
      </c>
      <c r="C419" s="33" t="str">
        <f>IFERROR(INDEX(tbl_requisitos_emb[Tema],MATCH(B419,tbl_requisitos_emb[ID_Req],0)),"")</f>
        <v>Reciclabilidade (voluntária)</v>
      </c>
      <c r="D419" s="33" t="str">
        <f>IFERROR(INDEX(tbl_recyclass[Segmento],MATCH(A419,tbl_recyclass[ProductId],0)),"")</f>
        <v>Cosmética e higiene pessoal</v>
      </c>
      <c r="E419" s="26" t="s">
        <v>901</v>
      </c>
      <c r="F419" s="26" t="s">
        <v>1449</v>
      </c>
      <c r="G419" s="26" t="s">
        <v>978</v>
      </c>
      <c r="H419" s="33" t="str">
        <f>IF(E419="Não","Não aplicável",IFERROR(IF(B419="EU-ENV-002",IF(INDEX(tbl_recyclass[Conforme_PPWR_2030],MATCH(A419,tbl_recyclass[ProductId],0))="Sim","Conforme (autoavaliação)",IF(INDEX(tbl_recyclass[Conforme_PPWR_2030],MATCH(A419,tbl_recyclass[ProductId],0))="Não","Não conforme em 2030","Isento até 2035")),IF(B419="EU-ENV-003",IF(INDEX(tbl_recyclass[Conforme_Art7_2030],MATCH(A419,tbl_recyclass[ProductId],0))="Sim","Conforme (meta 2030)",IF(INDEX(tbl_recyclass[Conforme_Art7_2030],MATCH(A419,tbl_recyclass[ProductId],0))="Não","Lacuna face à meta 2030","Isento")),IF(B419="EU-ENV-011",IF(INDEX(tbl_familias_ppwr[Metais_Pesados_Evidencia],MATCH(INDEX(tbl_recyclass[Familia_PPWR],MATCH(A419,tbl_recyclass[ProductId],0)),tbl_familias_ppwr[ID_Familia],0))="Em falta","Lacuna","Conforme"),IF(B419="EU-ENV-013",IF(INDEX(tbl_familias_ppwr[Declaracao_UE],MATCH(INDEX(tbl_recyclass[Familia_PPWR],MATCH(A419,tbl_recyclass[ProductId],0)),tbl_familias_ppwr[ID_Familia],0))="Sim","Conforme","Lacuna"),G419)))),G419))</f>
        <v>Parcial</v>
      </c>
      <c r="I419" s="33" t="str">
        <f t="shared" si="6"/>
        <v>Parcial</v>
      </c>
      <c r="J419" s="26" t="s">
        <v>1389</v>
      </c>
    </row>
    <row r="420" spans="1:10" ht="16.05" customHeight="1" x14ac:dyDescent="0.3">
      <c r="A420" s="26" t="s">
        <v>660</v>
      </c>
      <c r="B420" s="26" t="s">
        <v>984</v>
      </c>
      <c r="C420" s="33" t="str">
        <f>IFERROR(INDEX(tbl_requisitos_emb[Tema],MATCH(B420,tbl_requisitos_emb[ID_Req],0)),"")</f>
        <v>Conceção para reciclagem</v>
      </c>
      <c r="D420" s="33" t="str">
        <f>IFERROR(INDEX(tbl_recyclass[Segmento],MATCH(A420,tbl_recyclass[ProductId],0)),"")</f>
        <v>Cosmética e higiene pessoal</v>
      </c>
      <c r="E420" s="26" t="s">
        <v>901</v>
      </c>
      <c r="F420" s="26" t="s">
        <v>1449</v>
      </c>
      <c r="G420" s="26" t="s">
        <v>978</v>
      </c>
      <c r="H420" s="33" t="str">
        <f>IF(E420="Não","Não aplicável",IFERROR(IF(B420="EU-ENV-002",IF(INDEX(tbl_recyclass[Conforme_PPWR_2030],MATCH(A420,tbl_recyclass[ProductId],0))="Sim","Conforme (autoavaliação)",IF(INDEX(tbl_recyclass[Conforme_PPWR_2030],MATCH(A420,tbl_recyclass[ProductId],0))="Não","Não conforme em 2030","Isento até 2035")),IF(B420="EU-ENV-003",IF(INDEX(tbl_recyclass[Conforme_Art7_2030],MATCH(A420,tbl_recyclass[ProductId],0))="Sim","Conforme (meta 2030)",IF(INDEX(tbl_recyclass[Conforme_Art7_2030],MATCH(A420,tbl_recyclass[ProductId],0))="Não","Lacuna face à meta 2030","Isento")),IF(B420="EU-ENV-011",IF(INDEX(tbl_familias_ppwr[Metais_Pesados_Evidencia],MATCH(INDEX(tbl_recyclass[Familia_PPWR],MATCH(A420,tbl_recyclass[ProductId],0)),tbl_familias_ppwr[ID_Familia],0))="Em falta","Lacuna","Conforme"),IF(B420="EU-ENV-013",IF(INDEX(tbl_familias_ppwr[Declaracao_UE],MATCH(INDEX(tbl_recyclass[Familia_PPWR],MATCH(A420,tbl_recyclass[ProductId],0)),tbl_familias_ppwr[ID_Familia],0))="Sim","Conforme","Lacuna"),G420)))),G420))</f>
        <v>Conforme (autoavaliação)</v>
      </c>
      <c r="I420" s="33" t="str">
        <f t="shared" si="6"/>
        <v>Conforme</v>
      </c>
      <c r="J420" s="26" t="s">
        <v>991</v>
      </c>
    </row>
    <row r="421" spans="1:10" ht="16.05" customHeight="1" x14ac:dyDescent="0.3">
      <c r="A421" s="26" t="s">
        <v>660</v>
      </c>
      <c r="B421" s="26" t="s">
        <v>997</v>
      </c>
      <c r="C421" s="33" t="str">
        <f>IFERROR(INDEX(tbl_requisitos_emb[Tema],MATCH(B421,tbl_requisitos_emb[ID_Req],0)),"")</f>
        <v>Conteúdo reciclado</v>
      </c>
      <c r="D421" s="33" t="str">
        <f>IFERROR(INDEX(tbl_recyclass[Segmento],MATCH(A421,tbl_recyclass[ProductId],0)),"")</f>
        <v>Cosmética e higiene pessoal</v>
      </c>
      <c r="E421" s="26" t="s">
        <v>901</v>
      </c>
      <c r="F421" s="26" t="s">
        <v>1449</v>
      </c>
      <c r="G421" s="26" t="s">
        <v>978</v>
      </c>
      <c r="H421" s="33" t="str">
        <f>IF(E421="Não","Não aplicável",IFERROR(IF(B421="EU-ENV-002",IF(INDEX(tbl_recyclass[Conforme_PPWR_2030],MATCH(A421,tbl_recyclass[ProductId],0))="Sim","Conforme (autoavaliação)",IF(INDEX(tbl_recyclass[Conforme_PPWR_2030],MATCH(A421,tbl_recyclass[ProductId],0))="Não","Não conforme em 2030","Isento até 2035")),IF(B421="EU-ENV-003",IF(INDEX(tbl_recyclass[Conforme_Art7_2030],MATCH(A421,tbl_recyclass[ProductId],0))="Sim","Conforme (meta 2030)",IF(INDEX(tbl_recyclass[Conforme_Art7_2030],MATCH(A421,tbl_recyclass[ProductId],0))="Não","Lacuna face à meta 2030","Isento")),IF(B421="EU-ENV-011",IF(INDEX(tbl_familias_ppwr[Metais_Pesados_Evidencia],MATCH(INDEX(tbl_recyclass[Familia_PPWR],MATCH(A421,tbl_recyclass[ProductId],0)),tbl_familias_ppwr[ID_Familia],0))="Em falta","Lacuna","Conforme"),IF(B421="EU-ENV-013",IF(INDEX(tbl_familias_ppwr[Declaracao_UE],MATCH(INDEX(tbl_recyclass[Familia_PPWR],MATCH(A421,tbl_recyclass[ProductId],0)),tbl_familias_ppwr[ID_Familia],0))="Sim","Conforme","Lacuna"),G421)))),G421))</f>
        <v>Lacuna face à meta 2030</v>
      </c>
      <c r="I421" s="33" t="str">
        <f t="shared" si="6"/>
        <v>Lacuna</v>
      </c>
      <c r="J421" s="26" t="s">
        <v>1001</v>
      </c>
    </row>
    <row r="422" spans="1:10" ht="16.05" customHeight="1" x14ac:dyDescent="0.3">
      <c r="A422" s="26" t="s">
        <v>660</v>
      </c>
      <c r="B422" s="26" t="s">
        <v>1007</v>
      </c>
      <c r="C422" s="33" t="str">
        <f>IFERROR(INDEX(tbl_requisitos_emb[Tema],MATCH(B422,tbl_requisitos_emb[ID_Req],0)),"")</f>
        <v>Minimização</v>
      </c>
      <c r="D422" s="33" t="str">
        <f>IFERROR(INDEX(tbl_recyclass[Segmento],MATCH(A422,tbl_recyclass[ProductId],0)),"")</f>
        <v>Cosmética e higiene pessoal</v>
      </c>
      <c r="E422" s="26" t="s">
        <v>901</v>
      </c>
      <c r="F422" s="26" t="s">
        <v>1449</v>
      </c>
      <c r="G422" s="26" t="s">
        <v>978</v>
      </c>
      <c r="H422" s="33" t="str">
        <f>IF(E422="Não","Não aplicável",IFERROR(IF(B422="EU-ENV-002",IF(INDEX(tbl_recyclass[Conforme_PPWR_2030],MATCH(A422,tbl_recyclass[ProductId],0))="Sim","Conforme (autoavaliação)",IF(INDEX(tbl_recyclass[Conforme_PPWR_2030],MATCH(A422,tbl_recyclass[ProductId],0))="Não","Não conforme em 2030","Isento até 2035")),IF(B422="EU-ENV-003",IF(INDEX(tbl_recyclass[Conforme_Art7_2030],MATCH(A422,tbl_recyclass[ProductId],0))="Sim","Conforme (meta 2030)",IF(INDEX(tbl_recyclass[Conforme_Art7_2030],MATCH(A422,tbl_recyclass[ProductId],0))="Não","Lacuna face à meta 2030","Isento")),IF(B422="EU-ENV-011",IF(INDEX(tbl_familias_ppwr[Metais_Pesados_Evidencia],MATCH(INDEX(tbl_recyclass[Familia_PPWR],MATCH(A422,tbl_recyclass[ProductId],0)),tbl_familias_ppwr[ID_Familia],0))="Em falta","Lacuna","Conforme"),IF(B422="EU-ENV-013",IF(INDEX(tbl_familias_ppwr[Declaracao_UE],MATCH(INDEX(tbl_recyclass[Familia_PPWR],MATCH(A422,tbl_recyclass[ProductId],0)),tbl_familias_ppwr[ID_Familia],0))="Sim","Conforme","Lacuna"),G422)))),G422))</f>
        <v>Parcial</v>
      </c>
      <c r="I422" s="33" t="str">
        <f t="shared" si="6"/>
        <v>Parcial</v>
      </c>
      <c r="J422" s="26" t="s">
        <v>1012</v>
      </c>
    </row>
    <row r="423" spans="1:10" ht="16.05" customHeight="1" x14ac:dyDescent="0.3">
      <c r="A423" s="26" t="s">
        <v>660</v>
      </c>
      <c r="B423" s="26" t="s">
        <v>1016</v>
      </c>
      <c r="C423" s="33" t="str">
        <f>IFERROR(INDEX(tbl_requisitos_emb[Tema],MATCH(B423,tbl_requisitos_emb[ID_Req],0)),"")</f>
        <v>Rotulagem</v>
      </c>
      <c r="D423" s="33" t="str">
        <f>IFERROR(INDEX(tbl_recyclass[Segmento],MATCH(A423,tbl_recyclass[ProductId],0)),"")</f>
        <v>Cosmética e higiene pessoal</v>
      </c>
      <c r="E423" s="26" t="s">
        <v>901</v>
      </c>
      <c r="F423" s="26" t="s">
        <v>1449</v>
      </c>
      <c r="G423" s="26" t="s">
        <v>990</v>
      </c>
      <c r="H423" s="33" t="str">
        <f>IF(E423="Não","Não aplicável",IFERROR(IF(B423="EU-ENV-002",IF(INDEX(tbl_recyclass[Conforme_PPWR_2030],MATCH(A423,tbl_recyclass[ProductId],0))="Sim","Conforme (autoavaliação)",IF(INDEX(tbl_recyclass[Conforme_PPWR_2030],MATCH(A423,tbl_recyclass[ProductId],0))="Não","Não conforme em 2030","Isento até 2035")),IF(B423="EU-ENV-003",IF(INDEX(tbl_recyclass[Conforme_Art7_2030],MATCH(A423,tbl_recyclass[ProductId],0))="Sim","Conforme (meta 2030)",IF(INDEX(tbl_recyclass[Conforme_Art7_2030],MATCH(A423,tbl_recyclass[ProductId],0))="Não","Lacuna face à meta 2030","Isento")),IF(B423="EU-ENV-011",IF(INDEX(tbl_familias_ppwr[Metais_Pesados_Evidencia],MATCH(INDEX(tbl_recyclass[Familia_PPWR],MATCH(A423,tbl_recyclass[ProductId],0)),tbl_familias_ppwr[ID_Familia],0))="Em falta","Lacuna","Conforme"),IF(B423="EU-ENV-013",IF(INDEX(tbl_familias_ppwr[Declaracao_UE],MATCH(INDEX(tbl_recyclass[Familia_PPWR],MATCH(A423,tbl_recyclass[ProductId],0)),tbl_familias_ppwr[ID_Familia],0))="Sim","Conforme","Lacuna"),G423)))),G423))</f>
        <v>Futuro</v>
      </c>
      <c r="I423" s="33" t="str">
        <f t="shared" si="6"/>
        <v>Futuro</v>
      </c>
      <c r="J423" s="26" t="s">
        <v>1021</v>
      </c>
    </row>
    <row r="424" spans="1:10" ht="16.05" customHeight="1" x14ac:dyDescent="0.3">
      <c r="A424" s="26" t="s">
        <v>660</v>
      </c>
      <c r="B424" s="26" t="s">
        <v>1038</v>
      </c>
      <c r="C424" s="33" t="str">
        <f>IFERROR(INDEX(tbl_requisitos_emb[Tema],MATCH(B424,tbl_requisitos_emb[ID_Req],0)),"")</f>
        <v>Plásticos de utilização única</v>
      </c>
      <c r="D424" s="33" t="str">
        <f>IFERROR(INDEX(tbl_recyclass[Segmento],MATCH(A424,tbl_recyclass[ProductId],0)),"")</f>
        <v>Cosmética e higiene pessoal</v>
      </c>
      <c r="E424" s="26" t="s">
        <v>904</v>
      </c>
      <c r="F424" s="26" t="s">
        <v>1450</v>
      </c>
      <c r="G424" s="26" t="s">
        <v>1143</v>
      </c>
      <c r="H424" s="33" t="str">
        <f>IF(E424="Não","Não aplicável",IFERROR(IF(B424="EU-ENV-002",IF(INDEX(tbl_recyclass[Conforme_PPWR_2030],MATCH(A424,tbl_recyclass[ProductId],0))="Sim","Conforme (autoavaliação)",IF(INDEX(tbl_recyclass[Conforme_PPWR_2030],MATCH(A424,tbl_recyclass[ProductId],0))="Não","Não conforme em 2030","Isento até 2035")),IF(B424="EU-ENV-003",IF(INDEX(tbl_recyclass[Conforme_Art7_2030],MATCH(A424,tbl_recyclass[ProductId],0))="Sim","Conforme (meta 2030)",IF(INDEX(tbl_recyclass[Conforme_Art7_2030],MATCH(A424,tbl_recyclass[ProductId],0))="Não","Lacuna face à meta 2030","Isento")),IF(B424="EU-ENV-011",IF(INDEX(tbl_familias_ppwr[Metais_Pesados_Evidencia],MATCH(INDEX(tbl_recyclass[Familia_PPWR],MATCH(A424,tbl_recyclass[ProductId],0)),tbl_familias_ppwr[ID_Familia],0))="Em falta","Lacuna","Conforme"),IF(B424="EU-ENV-013",IF(INDEX(tbl_familias_ppwr[Declaracao_UE],MATCH(INDEX(tbl_recyclass[Familia_PPWR],MATCH(A424,tbl_recyclass[ProductId],0)),tbl_familias_ppwr[ID_Familia],0))="Sim","Conforme","Lacuna"),G424)))),G424))</f>
        <v>Não aplicável</v>
      </c>
      <c r="I424" s="33" t="str">
        <f t="shared" si="6"/>
        <v>Não aplicável</v>
      </c>
      <c r="J424" s="26"/>
    </row>
    <row r="425" spans="1:10" ht="16.05" customHeight="1" x14ac:dyDescent="0.3">
      <c r="A425" s="26" t="s">
        <v>660</v>
      </c>
      <c r="B425" s="26" t="s">
        <v>1078</v>
      </c>
      <c r="C425" s="33" t="str">
        <f>IFERROR(INDEX(tbl_requisitos_emb[Tema],MATCH(B425,tbl_requisitos_emb[ID_Req],0)),"")</f>
        <v>Reciclado à escala</v>
      </c>
      <c r="D425" s="33" t="str">
        <f>IFERROR(INDEX(tbl_recyclass[Segmento],MATCH(A425,tbl_recyclass[ProductId],0)),"")</f>
        <v>Cosmética e higiene pessoal</v>
      </c>
      <c r="E425" s="26" t="s">
        <v>901</v>
      </c>
      <c r="F425" s="26" t="s">
        <v>1449</v>
      </c>
      <c r="G425" s="26" t="s">
        <v>990</v>
      </c>
      <c r="H425" s="33" t="str">
        <f>IF(E425="Não","Não aplicável",IFERROR(IF(B425="EU-ENV-002",IF(INDEX(tbl_recyclass[Conforme_PPWR_2030],MATCH(A425,tbl_recyclass[ProductId],0))="Sim","Conforme (autoavaliação)",IF(INDEX(tbl_recyclass[Conforme_PPWR_2030],MATCH(A425,tbl_recyclass[ProductId],0))="Não","Não conforme em 2030","Isento até 2035")),IF(B425="EU-ENV-003",IF(INDEX(tbl_recyclass[Conforme_Art7_2030],MATCH(A425,tbl_recyclass[ProductId],0))="Sim","Conforme (meta 2030)",IF(INDEX(tbl_recyclass[Conforme_Art7_2030],MATCH(A425,tbl_recyclass[ProductId],0))="Não","Lacuna face à meta 2030","Isento")),IF(B425="EU-ENV-011",IF(INDEX(tbl_familias_ppwr[Metais_Pesados_Evidencia],MATCH(INDEX(tbl_recyclass[Familia_PPWR],MATCH(A425,tbl_recyclass[ProductId],0)),tbl_familias_ppwr[ID_Familia],0))="Em falta","Lacuna","Conforme"),IF(B425="EU-ENV-013",IF(INDEX(tbl_familias_ppwr[Declaracao_UE],MATCH(INDEX(tbl_recyclass[Familia_PPWR],MATCH(A425,tbl_recyclass[ProductId],0)),tbl_familias_ppwr[ID_Familia],0))="Sim","Conforme","Lacuna"),G425)))),G425))</f>
        <v>Futuro</v>
      </c>
      <c r="I425" s="33" t="str">
        <f t="shared" si="6"/>
        <v>Futuro</v>
      </c>
      <c r="J425" s="26" t="s">
        <v>1082</v>
      </c>
    </row>
    <row r="426" spans="1:10" ht="16.05" customHeight="1" x14ac:dyDescent="0.3">
      <c r="A426" s="26" t="s">
        <v>660</v>
      </c>
      <c r="B426" s="26" t="s">
        <v>1086</v>
      </c>
      <c r="C426" s="33" t="str">
        <f>IFERROR(INDEX(tbl_requisitos_emb[Tema],MATCH(B426,tbl_requisitos_emb[ID_Req],0)),"")</f>
        <v>Metais pesados</v>
      </c>
      <c r="D426" s="33" t="str">
        <f>IFERROR(INDEX(tbl_recyclass[Segmento],MATCH(A426,tbl_recyclass[ProductId],0)),"")</f>
        <v>Cosmética e higiene pessoal</v>
      </c>
      <c r="E426" s="26" t="s">
        <v>901</v>
      </c>
      <c r="F426" s="26" t="s">
        <v>1449</v>
      </c>
      <c r="G426" s="26" t="s">
        <v>978</v>
      </c>
      <c r="H426" s="33" t="str">
        <f>IF(E426="Não","Não aplicável",IFERROR(IF(B426="EU-ENV-002",IF(INDEX(tbl_recyclass[Conforme_PPWR_2030],MATCH(A426,tbl_recyclass[ProductId],0))="Sim","Conforme (autoavaliação)",IF(INDEX(tbl_recyclass[Conforme_PPWR_2030],MATCH(A426,tbl_recyclass[ProductId],0))="Não","Não conforme em 2030","Isento até 2035")),IF(B426="EU-ENV-003",IF(INDEX(tbl_recyclass[Conforme_Art7_2030],MATCH(A426,tbl_recyclass[ProductId],0))="Sim","Conforme (meta 2030)",IF(INDEX(tbl_recyclass[Conforme_Art7_2030],MATCH(A426,tbl_recyclass[ProductId],0))="Não","Lacuna face à meta 2030","Isento")),IF(B426="EU-ENV-011",IF(INDEX(tbl_familias_ppwr[Metais_Pesados_Evidencia],MATCH(INDEX(tbl_recyclass[Familia_PPWR],MATCH(A426,tbl_recyclass[ProductId],0)),tbl_familias_ppwr[ID_Familia],0))="Em falta","Lacuna","Conforme"),IF(B426="EU-ENV-013",IF(INDEX(tbl_familias_ppwr[Declaracao_UE],MATCH(INDEX(tbl_recyclass[Familia_PPWR],MATCH(A426,tbl_recyclass[ProductId],0)),tbl_familias_ppwr[ID_Familia],0))="Sim","Conforme","Lacuna"),G426)))),G426))</f>
        <v>Conforme</v>
      </c>
      <c r="I426" s="33" t="str">
        <f t="shared" si="6"/>
        <v>Conforme</v>
      </c>
      <c r="J426" s="26" t="s">
        <v>1090</v>
      </c>
    </row>
    <row r="427" spans="1:10" ht="16.05" customHeight="1" x14ac:dyDescent="0.3">
      <c r="A427" s="26" t="s">
        <v>660</v>
      </c>
      <c r="B427" s="26" t="s">
        <v>1094</v>
      </c>
      <c r="C427" s="33" t="str">
        <f>IFERROR(INDEX(tbl_requisitos_emb[Tema],MATCH(B427,tbl_requisitos_emb[ID_Req],0)),"")</f>
        <v>PFAS</v>
      </c>
      <c r="D427" s="33" t="str">
        <f>IFERROR(INDEX(tbl_recyclass[Segmento],MATCH(A427,tbl_recyclass[ProductId],0)),"")</f>
        <v>Cosmética e higiene pessoal</v>
      </c>
      <c r="E427" s="26" t="s">
        <v>904</v>
      </c>
      <c r="F427" s="26" t="s">
        <v>1450</v>
      </c>
      <c r="G427" s="26" t="s">
        <v>1143</v>
      </c>
      <c r="H427" s="33" t="str">
        <f>IF(E427="Não","Não aplicável",IFERROR(IF(B427="EU-ENV-002",IF(INDEX(tbl_recyclass[Conforme_PPWR_2030],MATCH(A427,tbl_recyclass[ProductId],0))="Sim","Conforme (autoavaliação)",IF(INDEX(tbl_recyclass[Conforme_PPWR_2030],MATCH(A427,tbl_recyclass[ProductId],0))="Não","Não conforme em 2030","Isento até 2035")),IF(B427="EU-ENV-003",IF(INDEX(tbl_recyclass[Conforme_Art7_2030],MATCH(A427,tbl_recyclass[ProductId],0))="Sim","Conforme (meta 2030)",IF(INDEX(tbl_recyclass[Conforme_Art7_2030],MATCH(A427,tbl_recyclass[ProductId],0))="Não","Lacuna face à meta 2030","Isento")),IF(B427="EU-ENV-011",IF(INDEX(tbl_familias_ppwr[Metais_Pesados_Evidencia],MATCH(INDEX(tbl_recyclass[Familia_PPWR],MATCH(A427,tbl_recyclass[ProductId],0)),tbl_familias_ppwr[ID_Familia],0))="Em falta","Lacuna","Conforme"),IF(B427="EU-ENV-013",IF(INDEX(tbl_familias_ppwr[Declaracao_UE],MATCH(INDEX(tbl_recyclass[Familia_PPWR],MATCH(A427,tbl_recyclass[ProductId],0)),tbl_familias_ppwr[ID_Familia],0))="Sim","Conforme","Lacuna"),G427)))),G427))</f>
        <v>Não aplicável</v>
      </c>
      <c r="I427" s="33" t="str">
        <f t="shared" si="6"/>
        <v>Não aplicável</v>
      </c>
      <c r="J427" s="26"/>
    </row>
    <row r="428" spans="1:10" ht="16.05" customHeight="1" x14ac:dyDescent="0.3">
      <c r="A428" s="26" t="s">
        <v>660</v>
      </c>
      <c r="B428" s="26" t="s">
        <v>1102</v>
      </c>
      <c r="C428" s="33" t="str">
        <f>IFERROR(INDEX(tbl_requisitos_emb[Tema],MATCH(B428,tbl_requisitos_emb[ID_Req],0)),"")</f>
        <v>Documentação técnica e declaração UE</v>
      </c>
      <c r="D428" s="33" t="str">
        <f>IFERROR(INDEX(tbl_recyclass[Segmento],MATCH(A428,tbl_recyclass[ProductId],0)),"")</f>
        <v>Cosmética e higiene pessoal</v>
      </c>
      <c r="E428" s="26" t="s">
        <v>901</v>
      </c>
      <c r="F428" s="26" t="s">
        <v>1449</v>
      </c>
      <c r="G428" s="26" t="s">
        <v>978</v>
      </c>
      <c r="H428" s="33" t="str">
        <f>IF(E428="Não","Não aplicável",IFERROR(IF(B428="EU-ENV-002",IF(INDEX(tbl_recyclass[Conforme_PPWR_2030],MATCH(A428,tbl_recyclass[ProductId],0))="Sim","Conforme (autoavaliação)",IF(INDEX(tbl_recyclass[Conforme_PPWR_2030],MATCH(A428,tbl_recyclass[ProductId],0))="Não","Não conforme em 2030","Isento até 2035")),IF(B428="EU-ENV-003",IF(INDEX(tbl_recyclass[Conforme_Art7_2030],MATCH(A428,tbl_recyclass[ProductId],0))="Sim","Conforme (meta 2030)",IF(INDEX(tbl_recyclass[Conforme_Art7_2030],MATCH(A428,tbl_recyclass[ProductId],0))="Não","Lacuna face à meta 2030","Isento")),IF(B428="EU-ENV-011",IF(INDEX(tbl_familias_ppwr[Metais_Pesados_Evidencia],MATCH(INDEX(tbl_recyclass[Familia_PPWR],MATCH(A428,tbl_recyclass[ProductId],0)),tbl_familias_ppwr[ID_Familia],0))="Em falta","Lacuna","Conforme"),IF(B428="EU-ENV-013",IF(INDEX(tbl_familias_ppwr[Declaracao_UE],MATCH(INDEX(tbl_recyclass[Familia_PPWR],MATCH(A428,tbl_recyclass[ProductId],0)),tbl_familias_ppwr[ID_Familia],0))="Sim","Conforme","Lacuna"),G428)))),G428))</f>
        <v>Conforme</v>
      </c>
      <c r="I428" s="33" t="str">
        <f t="shared" si="6"/>
        <v>Conforme</v>
      </c>
      <c r="J428" s="26" t="s">
        <v>1106</v>
      </c>
    </row>
    <row r="429" spans="1:10" ht="16.05" customHeight="1" x14ac:dyDescent="0.3">
      <c r="A429" s="26" t="s">
        <v>660</v>
      </c>
      <c r="B429" s="26" t="s">
        <v>1161</v>
      </c>
      <c r="C429" s="33" t="str">
        <f>IFERROR(INDEX(tbl_requisitos_emb[Tema],MATCH(B429,tbl_requisitos_emb[ID_Req],0)),"")</f>
        <v>Materiais em contacto com alimentos</v>
      </c>
      <c r="D429" s="33" t="str">
        <f>IFERROR(INDEX(tbl_recyclass[Segmento],MATCH(A429,tbl_recyclass[ProductId],0)),"")</f>
        <v>Cosmética e higiene pessoal</v>
      </c>
      <c r="E429" s="26" t="s">
        <v>904</v>
      </c>
      <c r="F429" s="26" t="s">
        <v>1450</v>
      </c>
      <c r="G429" s="26" t="s">
        <v>1143</v>
      </c>
      <c r="H429" s="33" t="str">
        <f>IF(E429="Não","Não aplicável",IFERROR(IF(B429="EU-ENV-002",IF(INDEX(tbl_recyclass[Conforme_PPWR_2030],MATCH(A429,tbl_recyclass[ProductId],0))="Sim","Conforme (autoavaliação)",IF(INDEX(tbl_recyclass[Conforme_PPWR_2030],MATCH(A429,tbl_recyclass[ProductId],0))="Não","Não conforme em 2030","Isento até 2035")),IF(B429="EU-ENV-003",IF(INDEX(tbl_recyclass[Conforme_Art7_2030],MATCH(A429,tbl_recyclass[ProductId],0))="Sim","Conforme (meta 2030)",IF(INDEX(tbl_recyclass[Conforme_Art7_2030],MATCH(A429,tbl_recyclass[ProductId],0))="Não","Lacuna face à meta 2030","Isento")),IF(B429="EU-ENV-011",IF(INDEX(tbl_familias_ppwr[Metais_Pesados_Evidencia],MATCH(INDEX(tbl_recyclass[Familia_PPWR],MATCH(A429,tbl_recyclass[ProductId],0)),tbl_familias_ppwr[ID_Familia],0))="Em falta","Lacuna","Conforme"),IF(B429="EU-ENV-013",IF(INDEX(tbl_familias_ppwr[Declaracao_UE],MATCH(INDEX(tbl_recyclass[Familia_PPWR],MATCH(A429,tbl_recyclass[ProductId],0)),tbl_familias_ppwr[ID_Familia],0))="Sim","Conforme","Lacuna"),G429)))),G429))</f>
        <v>Não aplicável</v>
      </c>
      <c r="I429" s="33" t="str">
        <f t="shared" si="6"/>
        <v>Não aplicável</v>
      </c>
      <c r="J429" s="26"/>
    </row>
    <row r="430" spans="1:10" ht="16.05" customHeight="1" x14ac:dyDescent="0.3">
      <c r="A430" s="26" t="s">
        <v>660</v>
      </c>
      <c r="B430" s="26" t="s">
        <v>1170</v>
      </c>
      <c r="C430" s="33" t="str">
        <f>IFERROR(INDEX(tbl_requisitos_emb[Tema],MATCH(B430,tbl_requisitos_emb[ID_Req],0)),"")</f>
        <v>Boas práticas de fabrico FCM</v>
      </c>
      <c r="D430" s="33" t="str">
        <f>IFERROR(INDEX(tbl_recyclass[Segmento],MATCH(A430,tbl_recyclass[ProductId],0)),"")</f>
        <v>Cosmética e higiene pessoal</v>
      </c>
      <c r="E430" s="26" t="s">
        <v>904</v>
      </c>
      <c r="F430" s="26" t="s">
        <v>1450</v>
      </c>
      <c r="G430" s="26" t="s">
        <v>1143</v>
      </c>
      <c r="H430" s="33" t="str">
        <f>IF(E430="Não","Não aplicável",IFERROR(IF(B430="EU-ENV-002",IF(INDEX(tbl_recyclass[Conforme_PPWR_2030],MATCH(A430,tbl_recyclass[ProductId],0))="Sim","Conforme (autoavaliação)",IF(INDEX(tbl_recyclass[Conforme_PPWR_2030],MATCH(A430,tbl_recyclass[ProductId],0))="Não","Não conforme em 2030","Isento até 2035")),IF(B430="EU-ENV-003",IF(INDEX(tbl_recyclass[Conforme_Art7_2030],MATCH(A430,tbl_recyclass[ProductId],0))="Sim","Conforme (meta 2030)",IF(INDEX(tbl_recyclass[Conforme_Art7_2030],MATCH(A430,tbl_recyclass[ProductId],0))="Não","Lacuna face à meta 2030","Isento")),IF(B430="EU-ENV-011",IF(INDEX(tbl_familias_ppwr[Metais_Pesados_Evidencia],MATCH(INDEX(tbl_recyclass[Familia_PPWR],MATCH(A430,tbl_recyclass[ProductId],0)),tbl_familias_ppwr[ID_Familia],0))="Em falta","Lacuna","Conforme"),IF(B430="EU-ENV-013",IF(INDEX(tbl_familias_ppwr[Declaracao_UE],MATCH(INDEX(tbl_recyclass[Familia_PPWR],MATCH(A430,tbl_recyclass[ProductId],0)),tbl_familias_ppwr[ID_Familia],0))="Sim","Conforme","Lacuna"),G430)))),G430))</f>
        <v>Não aplicável</v>
      </c>
      <c r="I430" s="33" t="str">
        <f t="shared" si="6"/>
        <v>Não aplicável</v>
      </c>
      <c r="J430" s="26"/>
    </row>
    <row r="431" spans="1:10" ht="16.05" customHeight="1" x14ac:dyDescent="0.3">
      <c r="A431" s="26" t="s">
        <v>660</v>
      </c>
      <c r="B431" s="26" t="s">
        <v>1179</v>
      </c>
      <c r="C431" s="33" t="str">
        <f>IFERROR(INDEX(tbl_requisitos_emb[Tema],MATCH(B431,tbl_requisitos_emb[ID_Req],0)),"")</f>
        <v>Bisfenol A e bisfenóis perigosos</v>
      </c>
      <c r="D431" s="33" t="str">
        <f>IFERROR(INDEX(tbl_recyclass[Segmento],MATCH(A431,tbl_recyclass[ProductId],0)),"")</f>
        <v>Cosmética e higiene pessoal</v>
      </c>
      <c r="E431" s="26" t="s">
        <v>904</v>
      </c>
      <c r="F431" s="26" t="s">
        <v>1450</v>
      </c>
      <c r="G431" s="26" t="s">
        <v>1143</v>
      </c>
      <c r="H431" s="33" t="str">
        <f>IF(E431="Não","Não aplicável",IFERROR(IF(B431="EU-ENV-002",IF(INDEX(tbl_recyclass[Conforme_PPWR_2030],MATCH(A431,tbl_recyclass[ProductId],0))="Sim","Conforme (autoavaliação)",IF(INDEX(tbl_recyclass[Conforme_PPWR_2030],MATCH(A431,tbl_recyclass[ProductId],0))="Não","Não conforme em 2030","Isento até 2035")),IF(B431="EU-ENV-003",IF(INDEX(tbl_recyclass[Conforme_Art7_2030],MATCH(A431,tbl_recyclass[ProductId],0))="Sim","Conforme (meta 2030)",IF(INDEX(tbl_recyclass[Conforme_Art7_2030],MATCH(A431,tbl_recyclass[ProductId],0))="Não","Lacuna face à meta 2030","Isento")),IF(B431="EU-ENV-011",IF(INDEX(tbl_familias_ppwr[Metais_Pesados_Evidencia],MATCH(INDEX(tbl_recyclass[Familia_PPWR],MATCH(A431,tbl_recyclass[ProductId],0)),tbl_familias_ppwr[ID_Familia],0))="Em falta","Lacuna","Conforme"),IF(B431="EU-ENV-013",IF(INDEX(tbl_familias_ppwr[Declaracao_UE],MATCH(INDEX(tbl_recyclass[Familia_PPWR],MATCH(A431,tbl_recyclass[ProductId],0)),tbl_familias_ppwr[ID_Familia],0))="Sim","Conforme","Lacuna"),G431)))),G431))</f>
        <v>Não aplicável</v>
      </c>
      <c r="I431" s="33" t="str">
        <f t="shared" si="6"/>
        <v>Não aplicável</v>
      </c>
      <c r="J431" s="26"/>
    </row>
    <row r="432" spans="1:10" ht="16.05" customHeight="1" x14ac:dyDescent="0.3">
      <c r="A432" s="26" t="s">
        <v>660</v>
      </c>
      <c r="B432" s="26" t="s">
        <v>1188</v>
      </c>
      <c r="C432" s="33" t="str">
        <f>IFERROR(INDEX(tbl_requisitos_emb[Tema],MATCH(B432,tbl_requisitos_emb[ID_Req],0)),"")</f>
        <v>Plásticos em contacto com alimentos</v>
      </c>
      <c r="D432" s="33" t="str">
        <f>IFERROR(INDEX(tbl_recyclass[Segmento],MATCH(A432,tbl_recyclass[ProductId],0)),"")</f>
        <v>Cosmética e higiene pessoal</v>
      </c>
      <c r="E432" s="26" t="s">
        <v>904</v>
      </c>
      <c r="F432" s="26" t="s">
        <v>1450</v>
      </c>
      <c r="G432" s="26" t="s">
        <v>1143</v>
      </c>
      <c r="H432" s="33" t="str">
        <f>IF(E432="Não","Não aplicável",IFERROR(IF(B432="EU-ENV-002",IF(INDEX(tbl_recyclass[Conforme_PPWR_2030],MATCH(A432,tbl_recyclass[ProductId],0))="Sim","Conforme (autoavaliação)",IF(INDEX(tbl_recyclass[Conforme_PPWR_2030],MATCH(A432,tbl_recyclass[ProductId],0))="Não","Não conforme em 2030","Isento até 2035")),IF(B432="EU-ENV-003",IF(INDEX(tbl_recyclass[Conforme_Art7_2030],MATCH(A432,tbl_recyclass[ProductId],0))="Sim","Conforme (meta 2030)",IF(INDEX(tbl_recyclass[Conforme_Art7_2030],MATCH(A432,tbl_recyclass[ProductId],0))="Não","Lacuna face à meta 2030","Isento")),IF(B432="EU-ENV-011",IF(INDEX(tbl_familias_ppwr[Metais_Pesados_Evidencia],MATCH(INDEX(tbl_recyclass[Familia_PPWR],MATCH(A432,tbl_recyclass[ProductId],0)),tbl_familias_ppwr[ID_Familia],0))="Em falta","Lacuna","Conforme"),IF(B432="EU-ENV-013",IF(INDEX(tbl_familias_ppwr[Declaracao_UE],MATCH(INDEX(tbl_recyclass[Familia_PPWR],MATCH(A432,tbl_recyclass[ProductId],0)),tbl_familias_ppwr[ID_Familia],0))="Sim","Conforme","Lacuna"),G432)))),G432))</f>
        <v>Não aplicável</v>
      </c>
      <c r="I432" s="33" t="str">
        <f t="shared" si="6"/>
        <v>Não aplicável</v>
      </c>
      <c r="J432" s="26"/>
    </row>
    <row r="433" spans="1:10" ht="16.05" customHeight="1" x14ac:dyDescent="0.3">
      <c r="A433" s="26" t="s">
        <v>660</v>
      </c>
      <c r="B433" s="26" t="s">
        <v>1212</v>
      </c>
      <c r="C433" s="33" t="str">
        <f>IFERROR(INDEX(tbl_requisitos_emb[Tema],MATCH(B433,tbl_requisitos_emb[ID_Req],0)),"")</f>
        <v>Segurança do produto cosmético</v>
      </c>
      <c r="D433" s="33" t="str">
        <f>IFERROR(INDEX(tbl_recyclass[Segmento],MATCH(A433,tbl_recyclass[ProductId],0)),"")</f>
        <v>Cosmética e higiene pessoal</v>
      </c>
      <c r="E433" s="26" t="s">
        <v>901</v>
      </c>
      <c r="F433" s="26" t="s">
        <v>1449</v>
      </c>
      <c r="G433" s="26" t="s">
        <v>1033</v>
      </c>
      <c r="H433" s="33" t="str">
        <f>IF(E433="Não","Não aplicável",IFERROR(IF(B433="EU-ENV-002",IF(INDEX(tbl_recyclass[Conforme_PPWR_2030],MATCH(A433,tbl_recyclass[ProductId],0))="Sim","Conforme (autoavaliação)",IF(INDEX(tbl_recyclass[Conforme_PPWR_2030],MATCH(A433,tbl_recyclass[ProductId],0))="Não","Não conforme em 2030","Isento até 2035")),IF(B433="EU-ENV-003",IF(INDEX(tbl_recyclass[Conforme_Art7_2030],MATCH(A433,tbl_recyclass[ProductId],0))="Sim","Conforme (meta 2030)",IF(INDEX(tbl_recyclass[Conforme_Art7_2030],MATCH(A433,tbl_recyclass[ProductId],0))="Não","Lacuna face à meta 2030","Isento")),IF(B433="EU-ENV-011",IF(INDEX(tbl_familias_ppwr[Metais_Pesados_Evidencia],MATCH(INDEX(tbl_recyclass[Familia_PPWR],MATCH(A433,tbl_recyclass[ProductId],0)),tbl_familias_ppwr[ID_Familia],0))="Em falta","Lacuna","Conforme"),IF(B433="EU-ENV-013",IF(INDEX(tbl_familias_ppwr[Declaracao_UE],MATCH(INDEX(tbl_recyclass[Familia_PPWR],MATCH(A433,tbl_recyclass[ProductId],0)),tbl_familias_ppwr[ID_Familia],0))="Sim","Conforme","Lacuna"),G433)))),G433))</f>
        <v>Conforme</v>
      </c>
      <c r="I433" s="33" t="str">
        <f t="shared" si="6"/>
        <v>Conforme</v>
      </c>
      <c r="J433" s="26" t="s">
        <v>1221</v>
      </c>
    </row>
    <row r="434" spans="1:10" ht="16.05" customHeight="1" x14ac:dyDescent="0.3">
      <c r="A434" s="26" t="s">
        <v>660</v>
      </c>
      <c r="B434" s="26" t="s">
        <v>1224</v>
      </c>
      <c r="C434" s="33" t="str">
        <f>IFERROR(INDEX(tbl_requisitos_emb[Tema],MATCH(B434,tbl_requisitos_emb[ID_Req],0)),"")</f>
        <v>Materiais e impurezas</v>
      </c>
      <c r="D434" s="33" t="str">
        <f>IFERROR(INDEX(tbl_recyclass[Segmento],MATCH(A434,tbl_recyclass[ProductId],0)),"")</f>
        <v>Cosmética e higiene pessoal</v>
      </c>
      <c r="E434" s="26" t="s">
        <v>901</v>
      </c>
      <c r="F434" s="26" t="s">
        <v>1449</v>
      </c>
      <c r="G434" s="26" t="s">
        <v>978</v>
      </c>
      <c r="H434" s="33" t="str">
        <f>IF(E434="Não","Não aplicável",IFERROR(IF(B434="EU-ENV-002",IF(INDEX(tbl_recyclass[Conforme_PPWR_2030],MATCH(A434,tbl_recyclass[ProductId],0))="Sim","Conforme (autoavaliação)",IF(INDEX(tbl_recyclass[Conforme_PPWR_2030],MATCH(A434,tbl_recyclass[ProductId],0))="Não","Não conforme em 2030","Isento até 2035")),IF(B434="EU-ENV-003",IF(INDEX(tbl_recyclass[Conforme_Art7_2030],MATCH(A434,tbl_recyclass[ProductId],0))="Sim","Conforme (meta 2030)",IF(INDEX(tbl_recyclass[Conforme_Art7_2030],MATCH(A434,tbl_recyclass[ProductId],0))="Não","Lacuna face à meta 2030","Isento")),IF(B434="EU-ENV-011",IF(INDEX(tbl_familias_ppwr[Metais_Pesados_Evidencia],MATCH(INDEX(tbl_recyclass[Familia_PPWR],MATCH(A434,tbl_recyclass[ProductId],0)),tbl_familias_ppwr[ID_Familia],0))="Em falta","Lacuna","Conforme"),IF(B434="EU-ENV-013",IF(INDEX(tbl_familias_ppwr[Declaracao_UE],MATCH(INDEX(tbl_recyclass[Familia_PPWR],MATCH(A434,tbl_recyclass[ProductId],0)),tbl_familias_ppwr[ID_Familia],0))="Sim","Conforme","Lacuna"),G434)))),G434))</f>
        <v>Parcial</v>
      </c>
      <c r="I434" s="33" t="str">
        <f t="shared" si="6"/>
        <v>Parcial</v>
      </c>
      <c r="J434" s="26" t="s">
        <v>1228</v>
      </c>
    </row>
    <row r="435" spans="1:10" ht="16.05" customHeight="1" x14ac:dyDescent="0.3">
      <c r="A435" s="26" t="s">
        <v>660</v>
      </c>
      <c r="B435" s="26" t="s">
        <v>1240</v>
      </c>
      <c r="C435" s="33" t="str">
        <f>IFERROR(INDEX(tbl_requisitos_emb[Tema],MATCH(B435,tbl_requisitos_emb[ID_Req],0)),"")</f>
        <v>Compatibilidade embalagem–produto</v>
      </c>
      <c r="D435" s="33" t="str">
        <f>IFERROR(INDEX(tbl_recyclass[Segmento],MATCH(A435,tbl_recyclass[ProductId],0)),"")</f>
        <v>Cosmética e higiene pessoal</v>
      </c>
      <c r="E435" s="26" t="s">
        <v>901</v>
      </c>
      <c r="F435" s="26" t="s">
        <v>1449</v>
      </c>
      <c r="G435" s="26" t="s">
        <v>1033</v>
      </c>
      <c r="H435" s="33" t="str">
        <f>IF(E435="Não","Não aplicável",IFERROR(IF(B435="EU-ENV-002",IF(INDEX(tbl_recyclass[Conforme_PPWR_2030],MATCH(A435,tbl_recyclass[ProductId],0))="Sim","Conforme (autoavaliação)",IF(INDEX(tbl_recyclass[Conforme_PPWR_2030],MATCH(A435,tbl_recyclass[ProductId],0))="Não","Não conforme em 2030","Isento até 2035")),IF(B435="EU-ENV-003",IF(INDEX(tbl_recyclass[Conforme_Art7_2030],MATCH(A435,tbl_recyclass[ProductId],0))="Sim","Conforme (meta 2030)",IF(INDEX(tbl_recyclass[Conforme_Art7_2030],MATCH(A435,tbl_recyclass[ProductId],0))="Não","Lacuna face à meta 2030","Isento")),IF(B435="EU-ENV-011",IF(INDEX(tbl_familias_ppwr[Metais_Pesados_Evidencia],MATCH(INDEX(tbl_recyclass[Familia_PPWR],MATCH(A435,tbl_recyclass[ProductId],0)),tbl_familias_ppwr[ID_Familia],0))="Em falta","Lacuna","Conforme"),IF(B435="EU-ENV-013",IF(INDEX(tbl_familias_ppwr[Declaracao_UE],MATCH(INDEX(tbl_recyclass[Familia_PPWR],MATCH(A435,tbl_recyclass[ProductId],0)),tbl_familias_ppwr[ID_Familia],0))="Sim","Conforme","Lacuna"),G435)))),G435))</f>
        <v>Conforme</v>
      </c>
      <c r="I435" s="33" t="str">
        <f t="shared" si="6"/>
        <v>Conforme</v>
      </c>
      <c r="J435" s="26" t="s">
        <v>1244</v>
      </c>
    </row>
    <row r="436" spans="1:10" ht="16.05" customHeight="1" x14ac:dyDescent="0.3">
      <c r="A436" s="26" t="s">
        <v>660</v>
      </c>
      <c r="B436" s="26" t="s">
        <v>1252</v>
      </c>
      <c r="C436" s="33" t="str">
        <f>IFERROR(INDEX(tbl_requisitos_emb[Tema],MATCH(B436,tbl_requisitos_emb[ID_Req],0)),"")</f>
        <v>Medicamentos de uso humano</v>
      </c>
      <c r="D436" s="33" t="str">
        <f>IFERROR(INDEX(tbl_recyclass[Segmento],MATCH(A436,tbl_recyclass[ProductId],0)),"")</f>
        <v>Cosmética e higiene pessoal</v>
      </c>
      <c r="E436" s="26" t="s">
        <v>904</v>
      </c>
      <c r="F436" s="26" t="s">
        <v>1451</v>
      </c>
      <c r="G436" s="26" t="s">
        <v>1143</v>
      </c>
      <c r="H436" s="33" t="str">
        <f>IF(E436="Não","Não aplicável",IFERROR(IF(B436="EU-ENV-002",IF(INDEX(tbl_recyclass[Conforme_PPWR_2030],MATCH(A436,tbl_recyclass[ProductId],0))="Sim","Conforme (autoavaliação)",IF(INDEX(tbl_recyclass[Conforme_PPWR_2030],MATCH(A436,tbl_recyclass[ProductId],0))="Não","Não conforme em 2030","Isento até 2035")),IF(B436="EU-ENV-003",IF(INDEX(tbl_recyclass[Conforme_Art7_2030],MATCH(A436,tbl_recyclass[ProductId],0))="Sim","Conforme (meta 2030)",IF(INDEX(tbl_recyclass[Conforme_Art7_2030],MATCH(A436,tbl_recyclass[ProductId],0))="Não","Lacuna face à meta 2030","Isento")),IF(B436="EU-ENV-011",IF(INDEX(tbl_familias_ppwr[Metais_Pesados_Evidencia],MATCH(INDEX(tbl_recyclass[Familia_PPWR],MATCH(A436,tbl_recyclass[ProductId],0)),tbl_familias_ppwr[ID_Familia],0))="Em falta","Lacuna","Conforme"),IF(B436="EU-ENV-013",IF(INDEX(tbl_familias_ppwr[Declaracao_UE],MATCH(INDEX(tbl_recyclass[Familia_PPWR],MATCH(A436,tbl_recyclass[ProductId],0)),tbl_familias_ppwr[ID_Familia],0))="Sim","Conforme","Lacuna"),G436)))),G436))</f>
        <v>Não aplicável</v>
      </c>
      <c r="I436" s="33" t="str">
        <f t="shared" si="6"/>
        <v>Não aplicável</v>
      </c>
      <c r="J436" s="26"/>
    </row>
    <row r="437" spans="1:10" ht="16.05" customHeight="1" x14ac:dyDescent="0.3">
      <c r="A437" s="26" t="s">
        <v>660</v>
      </c>
      <c r="B437" s="26" t="s">
        <v>1268</v>
      </c>
      <c r="C437" s="33" t="str">
        <f>IFERROR(INDEX(tbl_requisitos_emb[Tema],MATCH(B437,tbl_requisitos_emb[ID_Req],0)),"")</f>
        <v>Dispositivos de segurança</v>
      </c>
      <c r="D437" s="33" t="str">
        <f>IFERROR(INDEX(tbl_recyclass[Segmento],MATCH(A437,tbl_recyclass[ProductId],0)),"")</f>
        <v>Cosmética e higiene pessoal</v>
      </c>
      <c r="E437" s="26" t="s">
        <v>904</v>
      </c>
      <c r="F437" s="26" t="s">
        <v>1451</v>
      </c>
      <c r="G437" s="26" t="s">
        <v>1143</v>
      </c>
      <c r="H437" s="33" t="str">
        <f>IF(E437="Não","Não aplicável",IFERROR(IF(B437="EU-ENV-002",IF(INDEX(tbl_recyclass[Conforme_PPWR_2030],MATCH(A437,tbl_recyclass[ProductId],0))="Sim","Conforme (autoavaliação)",IF(INDEX(tbl_recyclass[Conforme_PPWR_2030],MATCH(A437,tbl_recyclass[ProductId],0))="Não","Não conforme em 2030","Isento até 2035")),IF(B437="EU-ENV-003",IF(INDEX(tbl_recyclass[Conforme_Art7_2030],MATCH(A437,tbl_recyclass[ProductId],0))="Sim","Conforme (meta 2030)",IF(INDEX(tbl_recyclass[Conforme_Art7_2030],MATCH(A437,tbl_recyclass[ProductId],0))="Não","Lacuna face à meta 2030","Isento")),IF(B437="EU-ENV-011",IF(INDEX(tbl_familias_ppwr[Metais_Pesados_Evidencia],MATCH(INDEX(tbl_recyclass[Familia_PPWR],MATCH(A437,tbl_recyclass[ProductId],0)),tbl_familias_ppwr[ID_Familia],0))="Em falta","Lacuna","Conforme"),IF(B437="EU-ENV-013",IF(INDEX(tbl_familias_ppwr[Declaracao_UE],MATCH(INDEX(tbl_recyclass[Familia_PPWR],MATCH(A437,tbl_recyclass[ProductId],0)),tbl_familias_ppwr[ID_Familia],0))="Sim","Conforme","Lacuna"),G437)))),G437))</f>
        <v>Não aplicável</v>
      </c>
      <c r="I437" s="33" t="str">
        <f t="shared" si="6"/>
        <v>Não aplicável</v>
      </c>
      <c r="J437" s="26"/>
    </row>
    <row r="438" spans="1:10" ht="16.05" customHeight="1" x14ac:dyDescent="0.3">
      <c r="A438" s="26" t="s">
        <v>660</v>
      </c>
      <c r="B438" s="26" t="s">
        <v>1285</v>
      </c>
      <c r="C438" s="33" t="str">
        <f>IFERROR(INDEX(tbl_requisitos_emb[Tema],MATCH(B438,tbl_requisitos_emb[ID_Req],0)),"")</f>
        <v>Materiais plásticos de acondicionamento primário</v>
      </c>
      <c r="D438" s="33" t="str">
        <f>IFERROR(INDEX(tbl_recyclass[Segmento],MATCH(A438,tbl_recyclass[ProductId],0)),"")</f>
        <v>Cosmética e higiene pessoal</v>
      </c>
      <c r="E438" s="26" t="s">
        <v>904</v>
      </c>
      <c r="F438" s="26" t="s">
        <v>1451</v>
      </c>
      <c r="G438" s="26" t="s">
        <v>1143</v>
      </c>
      <c r="H438" s="33" t="str">
        <f>IF(E438="Não","Não aplicável",IFERROR(IF(B438="EU-ENV-002",IF(INDEX(tbl_recyclass[Conforme_PPWR_2030],MATCH(A438,tbl_recyclass[ProductId],0))="Sim","Conforme (autoavaliação)",IF(INDEX(tbl_recyclass[Conforme_PPWR_2030],MATCH(A438,tbl_recyclass[ProductId],0))="Não","Não conforme em 2030","Isento até 2035")),IF(B438="EU-ENV-003",IF(INDEX(tbl_recyclass[Conforme_Art7_2030],MATCH(A438,tbl_recyclass[ProductId],0))="Sim","Conforme (meta 2030)",IF(INDEX(tbl_recyclass[Conforme_Art7_2030],MATCH(A438,tbl_recyclass[ProductId],0))="Não","Lacuna face à meta 2030","Isento")),IF(B438="EU-ENV-011",IF(INDEX(tbl_familias_ppwr[Metais_Pesados_Evidencia],MATCH(INDEX(tbl_recyclass[Familia_PPWR],MATCH(A438,tbl_recyclass[ProductId],0)),tbl_familias_ppwr[ID_Familia],0))="Em falta","Lacuna","Conforme"),IF(B438="EU-ENV-013",IF(INDEX(tbl_familias_ppwr[Declaracao_UE],MATCH(INDEX(tbl_recyclass[Familia_PPWR],MATCH(A438,tbl_recyclass[ProductId],0)),tbl_familias_ppwr[ID_Familia],0))="Sim","Conforme","Lacuna"),G438)))),G438))</f>
        <v>Não aplicável</v>
      </c>
      <c r="I438" s="33" t="str">
        <f t="shared" si="6"/>
        <v>Não aplicável</v>
      </c>
      <c r="J438" s="26"/>
    </row>
    <row r="439" spans="1:10" ht="16.05" customHeight="1" x14ac:dyDescent="0.3">
      <c r="A439" s="26" t="s">
        <v>660</v>
      </c>
      <c r="B439" s="26" t="s">
        <v>1293</v>
      </c>
      <c r="C439" s="33" t="str">
        <f>IFERROR(INDEX(tbl_requisitos_emb[Tema],MATCH(B439,tbl_requisitos_emb[ID_Req],0)),"")</f>
        <v>Isenções PPWR</v>
      </c>
      <c r="D439" s="33" t="str">
        <f>IFERROR(INDEX(tbl_recyclass[Segmento],MATCH(A439,tbl_recyclass[ProductId],0)),"")</f>
        <v>Cosmética e higiene pessoal</v>
      </c>
      <c r="E439" s="26" t="s">
        <v>904</v>
      </c>
      <c r="F439" s="26" t="s">
        <v>1451</v>
      </c>
      <c r="G439" s="26" t="s">
        <v>1143</v>
      </c>
      <c r="H439" s="33" t="str">
        <f>IF(E439="Não","Não aplicável",IFERROR(IF(B439="EU-ENV-002",IF(INDEX(tbl_recyclass[Conforme_PPWR_2030],MATCH(A439,tbl_recyclass[ProductId],0))="Sim","Conforme (autoavaliação)",IF(INDEX(tbl_recyclass[Conforme_PPWR_2030],MATCH(A439,tbl_recyclass[ProductId],0))="Não","Não conforme em 2030","Isento até 2035")),IF(B439="EU-ENV-003",IF(INDEX(tbl_recyclass[Conforme_Art7_2030],MATCH(A439,tbl_recyclass[ProductId],0))="Sim","Conforme (meta 2030)",IF(INDEX(tbl_recyclass[Conforme_Art7_2030],MATCH(A439,tbl_recyclass[ProductId],0))="Não","Lacuna face à meta 2030","Isento")),IF(B439="EU-ENV-011",IF(INDEX(tbl_familias_ppwr[Metais_Pesados_Evidencia],MATCH(INDEX(tbl_recyclass[Familia_PPWR],MATCH(A439,tbl_recyclass[ProductId],0)),tbl_familias_ppwr[ID_Familia],0))="Em falta","Lacuna","Conforme"),IF(B439="EU-ENV-013",IF(INDEX(tbl_familias_ppwr[Declaracao_UE],MATCH(INDEX(tbl_recyclass[Familia_PPWR],MATCH(A439,tbl_recyclass[ProductId],0)),tbl_familias_ppwr[ID_Familia],0))="Sim","Conforme","Lacuna"),G439)))),G439))</f>
        <v>Não aplicável</v>
      </c>
      <c r="I439" s="33" t="str">
        <f t="shared" si="6"/>
        <v>Não aplicável</v>
      </c>
      <c r="J439" s="26"/>
    </row>
    <row r="440" spans="1:10" ht="16.05" customHeight="1" x14ac:dyDescent="0.3">
      <c r="A440" s="26" t="s">
        <v>660</v>
      </c>
      <c r="B440" s="26" t="s">
        <v>1357</v>
      </c>
      <c r="C440" s="33" t="str">
        <f>IFERROR(INDEX(tbl_requisitos_emb[Tema],MATCH(B440,tbl_requisitos_emb[ID_Req],0)),"")</f>
        <v>Identificação de plásticos</v>
      </c>
      <c r="D440" s="33" t="str">
        <f>IFERROR(INDEX(tbl_recyclass[Segmento],MATCH(A440,tbl_recyclass[ProductId],0)),"")</f>
        <v>Cosmética e higiene pessoal</v>
      </c>
      <c r="E440" s="26" t="s">
        <v>901</v>
      </c>
      <c r="F440" s="26" t="s">
        <v>1449</v>
      </c>
      <c r="G440" s="26" t="s">
        <v>978</v>
      </c>
      <c r="H440" s="33" t="str">
        <f>IF(E440="Não","Não aplicável",IFERROR(IF(B440="EU-ENV-002",IF(INDEX(tbl_recyclass[Conforme_PPWR_2030],MATCH(A440,tbl_recyclass[ProductId],0))="Sim","Conforme (autoavaliação)",IF(INDEX(tbl_recyclass[Conforme_PPWR_2030],MATCH(A440,tbl_recyclass[ProductId],0))="Não","Não conforme em 2030","Isento até 2035")),IF(B440="EU-ENV-003",IF(INDEX(tbl_recyclass[Conforme_Art7_2030],MATCH(A440,tbl_recyclass[ProductId],0))="Sim","Conforme (meta 2030)",IF(INDEX(tbl_recyclass[Conforme_Art7_2030],MATCH(A440,tbl_recyclass[ProductId],0))="Não","Lacuna face à meta 2030","Isento")),IF(B440="EU-ENV-011",IF(INDEX(tbl_familias_ppwr[Metais_Pesados_Evidencia],MATCH(INDEX(tbl_recyclass[Familia_PPWR],MATCH(A440,tbl_recyclass[ProductId],0)),tbl_familias_ppwr[ID_Familia],0))="Em falta","Lacuna","Conforme"),IF(B440="EU-ENV-013",IF(INDEX(tbl_familias_ppwr[Declaracao_UE],MATCH(INDEX(tbl_recyclass[Familia_PPWR],MATCH(A440,tbl_recyclass[ProductId],0)),tbl_familias_ppwr[ID_Familia],0))="Sim","Conforme","Lacuna"),G440)))),G440))</f>
        <v>Parcial</v>
      </c>
      <c r="I440" s="33" t="str">
        <f t="shared" si="6"/>
        <v>Parcial</v>
      </c>
      <c r="J440" s="26" t="s">
        <v>1362</v>
      </c>
    </row>
    <row r="441" spans="1:10" ht="16.05" customHeight="1" x14ac:dyDescent="0.3">
      <c r="A441" s="26" t="s">
        <v>660</v>
      </c>
      <c r="B441" s="26" t="s">
        <v>1385</v>
      </c>
      <c r="C441" s="33" t="str">
        <f>IFERROR(INDEX(tbl_requisitos_emb[Tema],MATCH(B441,tbl_requisitos_emb[ID_Req],0)),"")</f>
        <v>Reciclabilidade (voluntária)</v>
      </c>
      <c r="D441" s="33" t="str">
        <f>IFERROR(INDEX(tbl_recyclass[Segmento],MATCH(A441,tbl_recyclass[ProductId],0)),"")</f>
        <v>Cosmética e higiene pessoal</v>
      </c>
      <c r="E441" s="26" t="s">
        <v>901</v>
      </c>
      <c r="F441" s="26" t="s">
        <v>1449</v>
      </c>
      <c r="G441" s="26" t="s">
        <v>978</v>
      </c>
      <c r="H441" s="33" t="str">
        <f>IF(E441="Não","Não aplicável",IFERROR(IF(B441="EU-ENV-002",IF(INDEX(tbl_recyclass[Conforme_PPWR_2030],MATCH(A441,tbl_recyclass[ProductId],0))="Sim","Conforme (autoavaliação)",IF(INDEX(tbl_recyclass[Conforme_PPWR_2030],MATCH(A441,tbl_recyclass[ProductId],0))="Não","Não conforme em 2030","Isento até 2035")),IF(B441="EU-ENV-003",IF(INDEX(tbl_recyclass[Conforme_Art7_2030],MATCH(A441,tbl_recyclass[ProductId],0))="Sim","Conforme (meta 2030)",IF(INDEX(tbl_recyclass[Conforme_Art7_2030],MATCH(A441,tbl_recyclass[ProductId],0))="Não","Lacuna face à meta 2030","Isento")),IF(B441="EU-ENV-011",IF(INDEX(tbl_familias_ppwr[Metais_Pesados_Evidencia],MATCH(INDEX(tbl_recyclass[Familia_PPWR],MATCH(A441,tbl_recyclass[ProductId],0)),tbl_familias_ppwr[ID_Familia],0))="Em falta","Lacuna","Conforme"),IF(B441="EU-ENV-013",IF(INDEX(tbl_familias_ppwr[Declaracao_UE],MATCH(INDEX(tbl_recyclass[Familia_PPWR],MATCH(A441,tbl_recyclass[ProductId],0)),tbl_familias_ppwr[ID_Familia],0))="Sim","Conforme","Lacuna"),G441)))),G441))</f>
        <v>Parcial</v>
      </c>
      <c r="I441" s="33" t="str">
        <f t="shared" si="6"/>
        <v>Parcial</v>
      </c>
      <c r="J441" s="26" t="s">
        <v>1389</v>
      </c>
    </row>
    <row r="442" spans="1:10" ht="16.05" customHeight="1" x14ac:dyDescent="0.3">
      <c r="A442" s="26" t="s">
        <v>662</v>
      </c>
      <c r="B442" s="26" t="s">
        <v>984</v>
      </c>
      <c r="C442" s="33" t="str">
        <f>IFERROR(INDEX(tbl_requisitos_emb[Tema],MATCH(B442,tbl_requisitos_emb[ID_Req],0)),"")</f>
        <v>Conceção para reciclagem</v>
      </c>
      <c r="D442" s="33" t="str">
        <f>IFERROR(INDEX(tbl_recyclass[Segmento],MATCH(A442,tbl_recyclass[ProductId],0)),"")</f>
        <v>Cosmética e higiene pessoal</v>
      </c>
      <c r="E442" s="26" t="s">
        <v>901</v>
      </c>
      <c r="F442" s="26" t="s">
        <v>1449</v>
      </c>
      <c r="G442" s="26" t="s">
        <v>978</v>
      </c>
      <c r="H442" s="33" t="str">
        <f>IF(E442="Não","Não aplicável",IFERROR(IF(B442="EU-ENV-002",IF(INDEX(tbl_recyclass[Conforme_PPWR_2030],MATCH(A442,tbl_recyclass[ProductId],0))="Sim","Conforme (autoavaliação)",IF(INDEX(tbl_recyclass[Conforme_PPWR_2030],MATCH(A442,tbl_recyclass[ProductId],0))="Não","Não conforme em 2030","Isento até 2035")),IF(B442="EU-ENV-003",IF(INDEX(tbl_recyclass[Conforme_Art7_2030],MATCH(A442,tbl_recyclass[ProductId],0))="Sim","Conforme (meta 2030)",IF(INDEX(tbl_recyclass[Conforme_Art7_2030],MATCH(A442,tbl_recyclass[ProductId],0))="Não","Lacuna face à meta 2030","Isento")),IF(B442="EU-ENV-011",IF(INDEX(tbl_familias_ppwr[Metais_Pesados_Evidencia],MATCH(INDEX(tbl_recyclass[Familia_PPWR],MATCH(A442,tbl_recyclass[ProductId],0)),tbl_familias_ppwr[ID_Familia],0))="Em falta","Lacuna","Conforme"),IF(B442="EU-ENV-013",IF(INDEX(tbl_familias_ppwr[Declaracao_UE],MATCH(INDEX(tbl_recyclass[Familia_PPWR],MATCH(A442,tbl_recyclass[ProductId],0)),tbl_familias_ppwr[ID_Familia],0))="Sim","Conforme","Lacuna"),G442)))),G442))</f>
        <v>Conforme (autoavaliação)</v>
      </c>
      <c r="I442" s="33" t="str">
        <f t="shared" si="6"/>
        <v>Conforme</v>
      </c>
      <c r="J442" s="26" t="s">
        <v>991</v>
      </c>
    </row>
    <row r="443" spans="1:10" ht="16.05" customHeight="1" x14ac:dyDescent="0.3">
      <c r="A443" s="26" t="s">
        <v>662</v>
      </c>
      <c r="B443" s="26" t="s">
        <v>997</v>
      </c>
      <c r="C443" s="33" t="str">
        <f>IFERROR(INDEX(tbl_requisitos_emb[Tema],MATCH(B443,tbl_requisitos_emb[ID_Req],0)),"")</f>
        <v>Conteúdo reciclado</v>
      </c>
      <c r="D443" s="33" t="str">
        <f>IFERROR(INDEX(tbl_recyclass[Segmento],MATCH(A443,tbl_recyclass[ProductId],0)),"")</f>
        <v>Cosmética e higiene pessoal</v>
      </c>
      <c r="E443" s="26" t="s">
        <v>901</v>
      </c>
      <c r="F443" s="26" t="s">
        <v>1449</v>
      </c>
      <c r="G443" s="26" t="s">
        <v>978</v>
      </c>
      <c r="H443" s="33" t="str">
        <f>IF(E443="Não","Não aplicável",IFERROR(IF(B443="EU-ENV-002",IF(INDEX(tbl_recyclass[Conforme_PPWR_2030],MATCH(A443,tbl_recyclass[ProductId],0))="Sim","Conforme (autoavaliação)",IF(INDEX(tbl_recyclass[Conforme_PPWR_2030],MATCH(A443,tbl_recyclass[ProductId],0))="Não","Não conforme em 2030","Isento até 2035")),IF(B443="EU-ENV-003",IF(INDEX(tbl_recyclass[Conforme_Art7_2030],MATCH(A443,tbl_recyclass[ProductId],0))="Sim","Conforme (meta 2030)",IF(INDEX(tbl_recyclass[Conforme_Art7_2030],MATCH(A443,tbl_recyclass[ProductId],0))="Não","Lacuna face à meta 2030","Isento")),IF(B443="EU-ENV-011",IF(INDEX(tbl_familias_ppwr[Metais_Pesados_Evidencia],MATCH(INDEX(tbl_recyclass[Familia_PPWR],MATCH(A443,tbl_recyclass[ProductId],0)),tbl_familias_ppwr[ID_Familia],0))="Em falta","Lacuna","Conforme"),IF(B443="EU-ENV-013",IF(INDEX(tbl_familias_ppwr[Declaracao_UE],MATCH(INDEX(tbl_recyclass[Familia_PPWR],MATCH(A443,tbl_recyclass[ProductId],0)),tbl_familias_ppwr[ID_Familia],0))="Sim","Conforme","Lacuna"),G443)))),G443))</f>
        <v>Lacuna face à meta 2030</v>
      </c>
      <c r="I443" s="33" t="str">
        <f t="shared" si="6"/>
        <v>Lacuna</v>
      </c>
      <c r="J443" s="26" t="s">
        <v>1001</v>
      </c>
    </row>
    <row r="444" spans="1:10" ht="16.05" customHeight="1" x14ac:dyDescent="0.3">
      <c r="A444" s="26" t="s">
        <v>662</v>
      </c>
      <c r="B444" s="26" t="s">
        <v>1007</v>
      </c>
      <c r="C444" s="33" t="str">
        <f>IFERROR(INDEX(tbl_requisitos_emb[Tema],MATCH(B444,tbl_requisitos_emb[ID_Req],0)),"")</f>
        <v>Minimização</v>
      </c>
      <c r="D444" s="33" t="str">
        <f>IFERROR(INDEX(tbl_recyclass[Segmento],MATCH(A444,tbl_recyclass[ProductId],0)),"")</f>
        <v>Cosmética e higiene pessoal</v>
      </c>
      <c r="E444" s="26" t="s">
        <v>901</v>
      </c>
      <c r="F444" s="26" t="s">
        <v>1449</v>
      </c>
      <c r="G444" s="26" t="s">
        <v>978</v>
      </c>
      <c r="H444" s="33" t="str">
        <f>IF(E444="Não","Não aplicável",IFERROR(IF(B444="EU-ENV-002",IF(INDEX(tbl_recyclass[Conforme_PPWR_2030],MATCH(A444,tbl_recyclass[ProductId],0))="Sim","Conforme (autoavaliação)",IF(INDEX(tbl_recyclass[Conforme_PPWR_2030],MATCH(A444,tbl_recyclass[ProductId],0))="Não","Não conforme em 2030","Isento até 2035")),IF(B444="EU-ENV-003",IF(INDEX(tbl_recyclass[Conforme_Art7_2030],MATCH(A444,tbl_recyclass[ProductId],0))="Sim","Conforme (meta 2030)",IF(INDEX(tbl_recyclass[Conforme_Art7_2030],MATCH(A444,tbl_recyclass[ProductId],0))="Não","Lacuna face à meta 2030","Isento")),IF(B444="EU-ENV-011",IF(INDEX(tbl_familias_ppwr[Metais_Pesados_Evidencia],MATCH(INDEX(tbl_recyclass[Familia_PPWR],MATCH(A444,tbl_recyclass[ProductId],0)),tbl_familias_ppwr[ID_Familia],0))="Em falta","Lacuna","Conforme"),IF(B444="EU-ENV-013",IF(INDEX(tbl_familias_ppwr[Declaracao_UE],MATCH(INDEX(tbl_recyclass[Familia_PPWR],MATCH(A444,tbl_recyclass[ProductId],0)),tbl_familias_ppwr[ID_Familia],0))="Sim","Conforme","Lacuna"),G444)))),G444))</f>
        <v>Parcial</v>
      </c>
      <c r="I444" s="33" t="str">
        <f t="shared" si="6"/>
        <v>Parcial</v>
      </c>
      <c r="J444" s="26" t="s">
        <v>1012</v>
      </c>
    </row>
    <row r="445" spans="1:10" ht="16.05" customHeight="1" x14ac:dyDescent="0.3">
      <c r="A445" s="26" t="s">
        <v>662</v>
      </c>
      <c r="B445" s="26" t="s">
        <v>1016</v>
      </c>
      <c r="C445" s="33" t="str">
        <f>IFERROR(INDEX(tbl_requisitos_emb[Tema],MATCH(B445,tbl_requisitos_emb[ID_Req],0)),"")</f>
        <v>Rotulagem</v>
      </c>
      <c r="D445" s="33" t="str">
        <f>IFERROR(INDEX(tbl_recyclass[Segmento],MATCH(A445,tbl_recyclass[ProductId],0)),"")</f>
        <v>Cosmética e higiene pessoal</v>
      </c>
      <c r="E445" s="26" t="s">
        <v>901</v>
      </c>
      <c r="F445" s="26" t="s">
        <v>1449</v>
      </c>
      <c r="G445" s="26" t="s">
        <v>990</v>
      </c>
      <c r="H445" s="33" t="str">
        <f>IF(E445="Não","Não aplicável",IFERROR(IF(B445="EU-ENV-002",IF(INDEX(tbl_recyclass[Conforme_PPWR_2030],MATCH(A445,tbl_recyclass[ProductId],0))="Sim","Conforme (autoavaliação)",IF(INDEX(tbl_recyclass[Conforme_PPWR_2030],MATCH(A445,tbl_recyclass[ProductId],0))="Não","Não conforme em 2030","Isento até 2035")),IF(B445="EU-ENV-003",IF(INDEX(tbl_recyclass[Conforme_Art7_2030],MATCH(A445,tbl_recyclass[ProductId],0))="Sim","Conforme (meta 2030)",IF(INDEX(tbl_recyclass[Conforme_Art7_2030],MATCH(A445,tbl_recyclass[ProductId],0))="Não","Lacuna face à meta 2030","Isento")),IF(B445="EU-ENV-011",IF(INDEX(tbl_familias_ppwr[Metais_Pesados_Evidencia],MATCH(INDEX(tbl_recyclass[Familia_PPWR],MATCH(A445,tbl_recyclass[ProductId],0)),tbl_familias_ppwr[ID_Familia],0))="Em falta","Lacuna","Conforme"),IF(B445="EU-ENV-013",IF(INDEX(tbl_familias_ppwr[Declaracao_UE],MATCH(INDEX(tbl_recyclass[Familia_PPWR],MATCH(A445,tbl_recyclass[ProductId],0)),tbl_familias_ppwr[ID_Familia],0))="Sim","Conforme","Lacuna"),G445)))),G445))</f>
        <v>Futuro</v>
      </c>
      <c r="I445" s="33" t="str">
        <f t="shared" si="6"/>
        <v>Futuro</v>
      </c>
      <c r="J445" s="26" t="s">
        <v>1021</v>
      </c>
    </row>
    <row r="446" spans="1:10" ht="16.05" customHeight="1" x14ac:dyDescent="0.3">
      <c r="A446" s="26" t="s">
        <v>662</v>
      </c>
      <c r="B446" s="26" t="s">
        <v>1038</v>
      </c>
      <c r="C446" s="33" t="str">
        <f>IFERROR(INDEX(tbl_requisitos_emb[Tema],MATCH(B446,tbl_requisitos_emb[ID_Req],0)),"")</f>
        <v>Plásticos de utilização única</v>
      </c>
      <c r="D446" s="33" t="str">
        <f>IFERROR(INDEX(tbl_recyclass[Segmento],MATCH(A446,tbl_recyclass[ProductId],0)),"")</f>
        <v>Cosmética e higiene pessoal</v>
      </c>
      <c r="E446" s="26" t="s">
        <v>904</v>
      </c>
      <c r="F446" s="26" t="s">
        <v>1450</v>
      </c>
      <c r="G446" s="26" t="s">
        <v>1143</v>
      </c>
      <c r="H446" s="33" t="str">
        <f>IF(E446="Não","Não aplicável",IFERROR(IF(B446="EU-ENV-002",IF(INDEX(tbl_recyclass[Conforme_PPWR_2030],MATCH(A446,tbl_recyclass[ProductId],0))="Sim","Conforme (autoavaliação)",IF(INDEX(tbl_recyclass[Conforme_PPWR_2030],MATCH(A446,tbl_recyclass[ProductId],0))="Não","Não conforme em 2030","Isento até 2035")),IF(B446="EU-ENV-003",IF(INDEX(tbl_recyclass[Conforme_Art7_2030],MATCH(A446,tbl_recyclass[ProductId],0))="Sim","Conforme (meta 2030)",IF(INDEX(tbl_recyclass[Conforme_Art7_2030],MATCH(A446,tbl_recyclass[ProductId],0))="Não","Lacuna face à meta 2030","Isento")),IF(B446="EU-ENV-011",IF(INDEX(tbl_familias_ppwr[Metais_Pesados_Evidencia],MATCH(INDEX(tbl_recyclass[Familia_PPWR],MATCH(A446,tbl_recyclass[ProductId],0)),tbl_familias_ppwr[ID_Familia],0))="Em falta","Lacuna","Conforme"),IF(B446="EU-ENV-013",IF(INDEX(tbl_familias_ppwr[Declaracao_UE],MATCH(INDEX(tbl_recyclass[Familia_PPWR],MATCH(A446,tbl_recyclass[ProductId],0)),tbl_familias_ppwr[ID_Familia],0))="Sim","Conforme","Lacuna"),G446)))),G446))</f>
        <v>Não aplicável</v>
      </c>
      <c r="I446" s="33" t="str">
        <f t="shared" si="6"/>
        <v>Não aplicável</v>
      </c>
      <c r="J446" s="26"/>
    </row>
    <row r="447" spans="1:10" ht="16.05" customHeight="1" x14ac:dyDescent="0.3">
      <c r="A447" s="26" t="s">
        <v>662</v>
      </c>
      <c r="B447" s="26" t="s">
        <v>1078</v>
      </c>
      <c r="C447" s="33" t="str">
        <f>IFERROR(INDEX(tbl_requisitos_emb[Tema],MATCH(B447,tbl_requisitos_emb[ID_Req],0)),"")</f>
        <v>Reciclado à escala</v>
      </c>
      <c r="D447" s="33" t="str">
        <f>IFERROR(INDEX(tbl_recyclass[Segmento],MATCH(A447,tbl_recyclass[ProductId],0)),"")</f>
        <v>Cosmética e higiene pessoal</v>
      </c>
      <c r="E447" s="26" t="s">
        <v>901</v>
      </c>
      <c r="F447" s="26" t="s">
        <v>1449</v>
      </c>
      <c r="G447" s="26" t="s">
        <v>990</v>
      </c>
      <c r="H447" s="33" t="str">
        <f>IF(E447="Não","Não aplicável",IFERROR(IF(B447="EU-ENV-002",IF(INDEX(tbl_recyclass[Conforme_PPWR_2030],MATCH(A447,tbl_recyclass[ProductId],0))="Sim","Conforme (autoavaliação)",IF(INDEX(tbl_recyclass[Conforme_PPWR_2030],MATCH(A447,tbl_recyclass[ProductId],0))="Não","Não conforme em 2030","Isento até 2035")),IF(B447="EU-ENV-003",IF(INDEX(tbl_recyclass[Conforme_Art7_2030],MATCH(A447,tbl_recyclass[ProductId],0))="Sim","Conforme (meta 2030)",IF(INDEX(tbl_recyclass[Conforme_Art7_2030],MATCH(A447,tbl_recyclass[ProductId],0))="Não","Lacuna face à meta 2030","Isento")),IF(B447="EU-ENV-011",IF(INDEX(tbl_familias_ppwr[Metais_Pesados_Evidencia],MATCH(INDEX(tbl_recyclass[Familia_PPWR],MATCH(A447,tbl_recyclass[ProductId],0)),tbl_familias_ppwr[ID_Familia],0))="Em falta","Lacuna","Conforme"),IF(B447="EU-ENV-013",IF(INDEX(tbl_familias_ppwr[Declaracao_UE],MATCH(INDEX(tbl_recyclass[Familia_PPWR],MATCH(A447,tbl_recyclass[ProductId],0)),tbl_familias_ppwr[ID_Familia],0))="Sim","Conforme","Lacuna"),G447)))),G447))</f>
        <v>Futuro</v>
      </c>
      <c r="I447" s="33" t="str">
        <f t="shared" si="6"/>
        <v>Futuro</v>
      </c>
      <c r="J447" s="26" t="s">
        <v>1082</v>
      </c>
    </row>
    <row r="448" spans="1:10" ht="16.05" customHeight="1" x14ac:dyDescent="0.3">
      <c r="A448" s="26" t="s">
        <v>662</v>
      </c>
      <c r="B448" s="26" t="s">
        <v>1086</v>
      </c>
      <c r="C448" s="33" t="str">
        <f>IFERROR(INDEX(tbl_requisitos_emb[Tema],MATCH(B448,tbl_requisitos_emb[ID_Req],0)),"")</f>
        <v>Metais pesados</v>
      </c>
      <c r="D448" s="33" t="str">
        <f>IFERROR(INDEX(tbl_recyclass[Segmento],MATCH(A448,tbl_recyclass[ProductId],0)),"")</f>
        <v>Cosmética e higiene pessoal</v>
      </c>
      <c r="E448" s="26" t="s">
        <v>901</v>
      </c>
      <c r="F448" s="26" t="s">
        <v>1449</v>
      </c>
      <c r="G448" s="26" t="s">
        <v>978</v>
      </c>
      <c r="H448" s="33" t="str">
        <f>IF(E448="Não","Não aplicável",IFERROR(IF(B448="EU-ENV-002",IF(INDEX(tbl_recyclass[Conforme_PPWR_2030],MATCH(A448,tbl_recyclass[ProductId],0))="Sim","Conforme (autoavaliação)",IF(INDEX(tbl_recyclass[Conforme_PPWR_2030],MATCH(A448,tbl_recyclass[ProductId],0))="Não","Não conforme em 2030","Isento até 2035")),IF(B448="EU-ENV-003",IF(INDEX(tbl_recyclass[Conforme_Art7_2030],MATCH(A448,tbl_recyclass[ProductId],0))="Sim","Conforme (meta 2030)",IF(INDEX(tbl_recyclass[Conforme_Art7_2030],MATCH(A448,tbl_recyclass[ProductId],0))="Não","Lacuna face à meta 2030","Isento")),IF(B448="EU-ENV-011",IF(INDEX(tbl_familias_ppwr[Metais_Pesados_Evidencia],MATCH(INDEX(tbl_recyclass[Familia_PPWR],MATCH(A448,tbl_recyclass[ProductId],0)),tbl_familias_ppwr[ID_Familia],0))="Em falta","Lacuna","Conforme"),IF(B448="EU-ENV-013",IF(INDEX(tbl_familias_ppwr[Declaracao_UE],MATCH(INDEX(tbl_recyclass[Familia_PPWR],MATCH(A448,tbl_recyclass[ProductId],0)),tbl_familias_ppwr[ID_Familia],0))="Sim","Conforme","Lacuna"),G448)))),G448))</f>
        <v>Conforme</v>
      </c>
      <c r="I448" s="33" t="str">
        <f t="shared" si="6"/>
        <v>Conforme</v>
      </c>
      <c r="J448" s="26" t="s">
        <v>1090</v>
      </c>
    </row>
    <row r="449" spans="1:10" ht="16.05" customHeight="1" x14ac:dyDescent="0.3">
      <c r="A449" s="26" t="s">
        <v>662</v>
      </c>
      <c r="B449" s="26" t="s">
        <v>1094</v>
      </c>
      <c r="C449" s="33" t="str">
        <f>IFERROR(INDEX(tbl_requisitos_emb[Tema],MATCH(B449,tbl_requisitos_emb[ID_Req],0)),"")</f>
        <v>PFAS</v>
      </c>
      <c r="D449" s="33" t="str">
        <f>IFERROR(INDEX(tbl_recyclass[Segmento],MATCH(A449,tbl_recyclass[ProductId],0)),"")</f>
        <v>Cosmética e higiene pessoal</v>
      </c>
      <c r="E449" s="26" t="s">
        <v>904</v>
      </c>
      <c r="F449" s="26" t="s">
        <v>1450</v>
      </c>
      <c r="G449" s="26" t="s">
        <v>1143</v>
      </c>
      <c r="H449" s="33" t="str">
        <f>IF(E449="Não","Não aplicável",IFERROR(IF(B449="EU-ENV-002",IF(INDEX(tbl_recyclass[Conforme_PPWR_2030],MATCH(A449,tbl_recyclass[ProductId],0))="Sim","Conforme (autoavaliação)",IF(INDEX(tbl_recyclass[Conforme_PPWR_2030],MATCH(A449,tbl_recyclass[ProductId],0))="Não","Não conforme em 2030","Isento até 2035")),IF(B449="EU-ENV-003",IF(INDEX(tbl_recyclass[Conforme_Art7_2030],MATCH(A449,tbl_recyclass[ProductId],0))="Sim","Conforme (meta 2030)",IF(INDEX(tbl_recyclass[Conforme_Art7_2030],MATCH(A449,tbl_recyclass[ProductId],0))="Não","Lacuna face à meta 2030","Isento")),IF(B449="EU-ENV-011",IF(INDEX(tbl_familias_ppwr[Metais_Pesados_Evidencia],MATCH(INDEX(tbl_recyclass[Familia_PPWR],MATCH(A449,tbl_recyclass[ProductId],0)),tbl_familias_ppwr[ID_Familia],0))="Em falta","Lacuna","Conforme"),IF(B449="EU-ENV-013",IF(INDEX(tbl_familias_ppwr[Declaracao_UE],MATCH(INDEX(tbl_recyclass[Familia_PPWR],MATCH(A449,tbl_recyclass[ProductId],0)),tbl_familias_ppwr[ID_Familia],0))="Sim","Conforme","Lacuna"),G449)))),G449))</f>
        <v>Não aplicável</v>
      </c>
      <c r="I449" s="33" t="str">
        <f t="shared" si="6"/>
        <v>Não aplicável</v>
      </c>
      <c r="J449" s="26"/>
    </row>
    <row r="450" spans="1:10" ht="16.05" customHeight="1" x14ac:dyDescent="0.3">
      <c r="A450" s="26" t="s">
        <v>662</v>
      </c>
      <c r="B450" s="26" t="s">
        <v>1102</v>
      </c>
      <c r="C450" s="33" t="str">
        <f>IFERROR(INDEX(tbl_requisitos_emb[Tema],MATCH(B450,tbl_requisitos_emb[ID_Req],0)),"")</f>
        <v>Documentação técnica e declaração UE</v>
      </c>
      <c r="D450" s="33" t="str">
        <f>IFERROR(INDEX(tbl_recyclass[Segmento],MATCH(A450,tbl_recyclass[ProductId],0)),"")</f>
        <v>Cosmética e higiene pessoal</v>
      </c>
      <c r="E450" s="26" t="s">
        <v>901</v>
      </c>
      <c r="F450" s="26" t="s">
        <v>1449</v>
      </c>
      <c r="G450" s="26" t="s">
        <v>978</v>
      </c>
      <c r="H450" s="33" t="str">
        <f>IF(E450="Não","Não aplicável",IFERROR(IF(B450="EU-ENV-002",IF(INDEX(tbl_recyclass[Conforme_PPWR_2030],MATCH(A450,tbl_recyclass[ProductId],0))="Sim","Conforme (autoavaliação)",IF(INDEX(tbl_recyclass[Conforme_PPWR_2030],MATCH(A450,tbl_recyclass[ProductId],0))="Não","Não conforme em 2030","Isento até 2035")),IF(B450="EU-ENV-003",IF(INDEX(tbl_recyclass[Conforme_Art7_2030],MATCH(A450,tbl_recyclass[ProductId],0))="Sim","Conforme (meta 2030)",IF(INDEX(tbl_recyclass[Conforme_Art7_2030],MATCH(A450,tbl_recyclass[ProductId],0))="Não","Lacuna face à meta 2030","Isento")),IF(B450="EU-ENV-011",IF(INDEX(tbl_familias_ppwr[Metais_Pesados_Evidencia],MATCH(INDEX(tbl_recyclass[Familia_PPWR],MATCH(A450,tbl_recyclass[ProductId],0)),tbl_familias_ppwr[ID_Familia],0))="Em falta","Lacuna","Conforme"),IF(B450="EU-ENV-013",IF(INDEX(tbl_familias_ppwr[Declaracao_UE],MATCH(INDEX(tbl_recyclass[Familia_PPWR],MATCH(A450,tbl_recyclass[ProductId],0)),tbl_familias_ppwr[ID_Familia],0))="Sim","Conforme","Lacuna"),G450)))),G450))</f>
        <v>Conforme</v>
      </c>
      <c r="I450" s="33" t="str">
        <f t="shared" ref="I450:I513" si="7">IF(ISNUMBER(SEARCH("Não aplicável",H450)),"Não aplicável",IF(ISNUMBER(SEARCH("Isento",H450)),"Isento",IF(ISNUMBER(SEARCH("Não conforme",H450)),"Não conforme",IF(ISNUMBER(SEARCH("Lacuna",H450)),"Lacuna",IF(ISNUMBER(SEARCH("Conforme",H450)),"Conforme",H450)))))</f>
        <v>Conforme</v>
      </c>
      <c r="J450" s="26" t="s">
        <v>1106</v>
      </c>
    </row>
    <row r="451" spans="1:10" ht="16.05" customHeight="1" x14ac:dyDescent="0.3">
      <c r="A451" s="26" t="s">
        <v>662</v>
      </c>
      <c r="B451" s="26" t="s">
        <v>1161</v>
      </c>
      <c r="C451" s="33" t="str">
        <f>IFERROR(INDEX(tbl_requisitos_emb[Tema],MATCH(B451,tbl_requisitos_emb[ID_Req],0)),"")</f>
        <v>Materiais em contacto com alimentos</v>
      </c>
      <c r="D451" s="33" t="str">
        <f>IFERROR(INDEX(tbl_recyclass[Segmento],MATCH(A451,tbl_recyclass[ProductId],0)),"")</f>
        <v>Cosmética e higiene pessoal</v>
      </c>
      <c r="E451" s="26" t="s">
        <v>904</v>
      </c>
      <c r="F451" s="26" t="s">
        <v>1450</v>
      </c>
      <c r="G451" s="26" t="s">
        <v>1143</v>
      </c>
      <c r="H451" s="33" t="str">
        <f>IF(E451="Não","Não aplicável",IFERROR(IF(B451="EU-ENV-002",IF(INDEX(tbl_recyclass[Conforme_PPWR_2030],MATCH(A451,tbl_recyclass[ProductId],0))="Sim","Conforme (autoavaliação)",IF(INDEX(tbl_recyclass[Conforme_PPWR_2030],MATCH(A451,tbl_recyclass[ProductId],0))="Não","Não conforme em 2030","Isento até 2035")),IF(B451="EU-ENV-003",IF(INDEX(tbl_recyclass[Conforme_Art7_2030],MATCH(A451,tbl_recyclass[ProductId],0))="Sim","Conforme (meta 2030)",IF(INDEX(tbl_recyclass[Conforme_Art7_2030],MATCH(A451,tbl_recyclass[ProductId],0))="Não","Lacuna face à meta 2030","Isento")),IF(B451="EU-ENV-011",IF(INDEX(tbl_familias_ppwr[Metais_Pesados_Evidencia],MATCH(INDEX(tbl_recyclass[Familia_PPWR],MATCH(A451,tbl_recyclass[ProductId],0)),tbl_familias_ppwr[ID_Familia],0))="Em falta","Lacuna","Conforme"),IF(B451="EU-ENV-013",IF(INDEX(tbl_familias_ppwr[Declaracao_UE],MATCH(INDEX(tbl_recyclass[Familia_PPWR],MATCH(A451,tbl_recyclass[ProductId],0)),tbl_familias_ppwr[ID_Familia],0))="Sim","Conforme","Lacuna"),G451)))),G451))</f>
        <v>Não aplicável</v>
      </c>
      <c r="I451" s="33" t="str">
        <f t="shared" si="7"/>
        <v>Não aplicável</v>
      </c>
      <c r="J451" s="26"/>
    </row>
    <row r="452" spans="1:10" ht="16.05" customHeight="1" x14ac:dyDescent="0.3">
      <c r="A452" s="26" t="s">
        <v>662</v>
      </c>
      <c r="B452" s="26" t="s">
        <v>1170</v>
      </c>
      <c r="C452" s="33" t="str">
        <f>IFERROR(INDEX(tbl_requisitos_emb[Tema],MATCH(B452,tbl_requisitos_emb[ID_Req],0)),"")</f>
        <v>Boas práticas de fabrico FCM</v>
      </c>
      <c r="D452" s="33" t="str">
        <f>IFERROR(INDEX(tbl_recyclass[Segmento],MATCH(A452,tbl_recyclass[ProductId],0)),"")</f>
        <v>Cosmética e higiene pessoal</v>
      </c>
      <c r="E452" s="26" t="s">
        <v>904</v>
      </c>
      <c r="F452" s="26" t="s">
        <v>1450</v>
      </c>
      <c r="G452" s="26" t="s">
        <v>1143</v>
      </c>
      <c r="H452" s="33" t="str">
        <f>IF(E452="Não","Não aplicável",IFERROR(IF(B452="EU-ENV-002",IF(INDEX(tbl_recyclass[Conforme_PPWR_2030],MATCH(A452,tbl_recyclass[ProductId],0))="Sim","Conforme (autoavaliação)",IF(INDEX(tbl_recyclass[Conforme_PPWR_2030],MATCH(A452,tbl_recyclass[ProductId],0))="Não","Não conforme em 2030","Isento até 2035")),IF(B452="EU-ENV-003",IF(INDEX(tbl_recyclass[Conforme_Art7_2030],MATCH(A452,tbl_recyclass[ProductId],0))="Sim","Conforme (meta 2030)",IF(INDEX(tbl_recyclass[Conforme_Art7_2030],MATCH(A452,tbl_recyclass[ProductId],0))="Não","Lacuna face à meta 2030","Isento")),IF(B452="EU-ENV-011",IF(INDEX(tbl_familias_ppwr[Metais_Pesados_Evidencia],MATCH(INDEX(tbl_recyclass[Familia_PPWR],MATCH(A452,tbl_recyclass[ProductId],0)),tbl_familias_ppwr[ID_Familia],0))="Em falta","Lacuna","Conforme"),IF(B452="EU-ENV-013",IF(INDEX(tbl_familias_ppwr[Declaracao_UE],MATCH(INDEX(tbl_recyclass[Familia_PPWR],MATCH(A452,tbl_recyclass[ProductId],0)),tbl_familias_ppwr[ID_Familia],0))="Sim","Conforme","Lacuna"),G452)))),G452))</f>
        <v>Não aplicável</v>
      </c>
      <c r="I452" s="33" t="str">
        <f t="shared" si="7"/>
        <v>Não aplicável</v>
      </c>
      <c r="J452" s="26"/>
    </row>
    <row r="453" spans="1:10" ht="16.05" customHeight="1" x14ac:dyDescent="0.3">
      <c r="A453" s="26" t="s">
        <v>662</v>
      </c>
      <c r="B453" s="26" t="s">
        <v>1179</v>
      </c>
      <c r="C453" s="33" t="str">
        <f>IFERROR(INDEX(tbl_requisitos_emb[Tema],MATCH(B453,tbl_requisitos_emb[ID_Req],0)),"")</f>
        <v>Bisfenol A e bisfenóis perigosos</v>
      </c>
      <c r="D453" s="33" t="str">
        <f>IFERROR(INDEX(tbl_recyclass[Segmento],MATCH(A453,tbl_recyclass[ProductId],0)),"")</f>
        <v>Cosmética e higiene pessoal</v>
      </c>
      <c r="E453" s="26" t="s">
        <v>904</v>
      </c>
      <c r="F453" s="26" t="s">
        <v>1450</v>
      </c>
      <c r="G453" s="26" t="s">
        <v>1143</v>
      </c>
      <c r="H453" s="33" t="str">
        <f>IF(E453="Não","Não aplicável",IFERROR(IF(B453="EU-ENV-002",IF(INDEX(tbl_recyclass[Conforme_PPWR_2030],MATCH(A453,tbl_recyclass[ProductId],0))="Sim","Conforme (autoavaliação)",IF(INDEX(tbl_recyclass[Conforme_PPWR_2030],MATCH(A453,tbl_recyclass[ProductId],0))="Não","Não conforme em 2030","Isento até 2035")),IF(B453="EU-ENV-003",IF(INDEX(tbl_recyclass[Conforme_Art7_2030],MATCH(A453,tbl_recyclass[ProductId],0))="Sim","Conforme (meta 2030)",IF(INDEX(tbl_recyclass[Conforme_Art7_2030],MATCH(A453,tbl_recyclass[ProductId],0))="Não","Lacuna face à meta 2030","Isento")),IF(B453="EU-ENV-011",IF(INDEX(tbl_familias_ppwr[Metais_Pesados_Evidencia],MATCH(INDEX(tbl_recyclass[Familia_PPWR],MATCH(A453,tbl_recyclass[ProductId],0)),tbl_familias_ppwr[ID_Familia],0))="Em falta","Lacuna","Conforme"),IF(B453="EU-ENV-013",IF(INDEX(tbl_familias_ppwr[Declaracao_UE],MATCH(INDEX(tbl_recyclass[Familia_PPWR],MATCH(A453,tbl_recyclass[ProductId],0)),tbl_familias_ppwr[ID_Familia],0))="Sim","Conforme","Lacuna"),G453)))),G453))</f>
        <v>Não aplicável</v>
      </c>
      <c r="I453" s="33" t="str">
        <f t="shared" si="7"/>
        <v>Não aplicável</v>
      </c>
      <c r="J453" s="26"/>
    </row>
    <row r="454" spans="1:10" ht="16.05" customHeight="1" x14ac:dyDescent="0.3">
      <c r="A454" s="26" t="s">
        <v>662</v>
      </c>
      <c r="B454" s="26" t="s">
        <v>1188</v>
      </c>
      <c r="C454" s="33" t="str">
        <f>IFERROR(INDEX(tbl_requisitos_emb[Tema],MATCH(B454,tbl_requisitos_emb[ID_Req],0)),"")</f>
        <v>Plásticos em contacto com alimentos</v>
      </c>
      <c r="D454" s="33" t="str">
        <f>IFERROR(INDEX(tbl_recyclass[Segmento],MATCH(A454,tbl_recyclass[ProductId],0)),"")</f>
        <v>Cosmética e higiene pessoal</v>
      </c>
      <c r="E454" s="26" t="s">
        <v>904</v>
      </c>
      <c r="F454" s="26" t="s">
        <v>1450</v>
      </c>
      <c r="G454" s="26" t="s">
        <v>1143</v>
      </c>
      <c r="H454" s="33" t="str">
        <f>IF(E454="Não","Não aplicável",IFERROR(IF(B454="EU-ENV-002",IF(INDEX(tbl_recyclass[Conforme_PPWR_2030],MATCH(A454,tbl_recyclass[ProductId],0))="Sim","Conforme (autoavaliação)",IF(INDEX(tbl_recyclass[Conforme_PPWR_2030],MATCH(A454,tbl_recyclass[ProductId],0))="Não","Não conforme em 2030","Isento até 2035")),IF(B454="EU-ENV-003",IF(INDEX(tbl_recyclass[Conforme_Art7_2030],MATCH(A454,tbl_recyclass[ProductId],0))="Sim","Conforme (meta 2030)",IF(INDEX(tbl_recyclass[Conforme_Art7_2030],MATCH(A454,tbl_recyclass[ProductId],0))="Não","Lacuna face à meta 2030","Isento")),IF(B454="EU-ENV-011",IF(INDEX(tbl_familias_ppwr[Metais_Pesados_Evidencia],MATCH(INDEX(tbl_recyclass[Familia_PPWR],MATCH(A454,tbl_recyclass[ProductId],0)),tbl_familias_ppwr[ID_Familia],0))="Em falta","Lacuna","Conforme"),IF(B454="EU-ENV-013",IF(INDEX(tbl_familias_ppwr[Declaracao_UE],MATCH(INDEX(tbl_recyclass[Familia_PPWR],MATCH(A454,tbl_recyclass[ProductId],0)),tbl_familias_ppwr[ID_Familia],0))="Sim","Conforme","Lacuna"),G454)))),G454))</f>
        <v>Não aplicável</v>
      </c>
      <c r="I454" s="33" t="str">
        <f t="shared" si="7"/>
        <v>Não aplicável</v>
      </c>
      <c r="J454" s="26"/>
    </row>
    <row r="455" spans="1:10" ht="16.05" customHeight="1" x14ac:dyDescent="0.3">
      <c r="A455" s="26" t="s">
        <v>662</v>
      </c>
      <c r="B455" s="26" t="s">
        <v>1212</v>
      </c>
      <c r="C455" s="33" t="str">
        <f>IFERROR(INDEX(tbl_requisitos_emb[Tema],MATCH(B455,tbl_requisitos_emb[ID_Req],0)),"")</f>
        <v>Segurança do produto cosmético</v>
      </c>
      <c r="D455" s="33" t="str">
        <f>IFERROR(INDEX(tbl_recyclass[Segmento],MATCH(A455,tbl_recyclass[ProductId],0)),"")</f>
        <v>Cosmética e higiene pessoal</v>
      </c>
      <c r="E455" s="26" t="s">
        <v>901</v>
      </c>
      <c r="F455" s="26" t="s">
        <v>1449</v>
      </c>
      <c r="G455" s="26" t="s">
        <v>1033</v>
      </c>
      <c r="H455" s="33" t="str">
        <f>IF(E455="Não","Não aplicável",IFERROR(IF(B455="EU-ENV-002",IF(INDEX(tbl_recyclass[Conforme_PPWR_2030],MATCH(A455,tbl_recyclass[ProductId],0))="Sim","Conforme (autoavaliação)",IF(INDEX(tbl_recyclass[Conforme_PPWR_2030],MATCH(A455,tbl_recyclass[ProductId],0))="Não","Não conforme em 2030","Isento até 2035")),IF(B455="EU-ENV-003",IF(INDEX(tbl_recyclass[Conforme_Art7_2030],MATCH(A455,tbl_recyclass[ProductId],0))="Sim","Conforme (meta 2030)",IF(INDEX(tbl_recyclass[Conforme_Art7_2030],MATCH(A455,tbl_recyclass[ProductId],0))="Não","Lacuna face à meta 2030","Isento")),IF(B455="EU-ENV-011",IF(INDEX(tbl_familias_ppwr[Metais_Pesados_Evidencia],MATCH(INDEX(tbl_recyclass[Familia_PPWR],MATCH(A455,tbl_recyclass[ProductId],0)),tbl_familias_ppwr[ID_Familia],0))="Em falta","Lacuna","Conforme"),IF(B455="EU-ENV-013",IF(INDEX(tbl_familias_ppwr[Declaracao_UE],MATCH(INDEX(tbl_recyclass[Familia_PPWR],MATCH(A455,tbl_recyclass[ProductId],0)),tbl_familias_ppwr[ID_Familia],0))="Sim","Conforme","Lacuna"),G455)))),G455))</f>
        <v>Conforme</v>
      </c>
      <c r="I455" s="33" t="str">
        <f t="shared" si="7"/>
        <v>Conforme</v>
      </c>
      <c r="J455" s="26" t="s">
        <v>1221</v>
      </c>
    </row>
    <row r="456" spans="1:10" ht="16.05" customHeight="1" x14ac:dyDescent="0.3">
      <c r="A456" s="26" t="s">
        <v>662</v>
      </c>
      <c r="B456" s="26" t="s">
        <v>1224</v>
      </c>
      <c r="C456" s="33" t="str">
        <f>IFERROR(INDEX(tbl_requisitos_emb[Tema],MATCH(B456,tbl_requisitos_emb[ID_Req],0)),"")</f>
        <v>Materiais e impurezas</v>
      </c>
      <c r="D456" s="33" t="str">
        <f>IFERROR(INDEX(tbl_recyclass[Segmento],MATCH(A456,tbl_recyclass[ProductId],0)),"")</f>
        <v>Cosmética e higiene pessoal</v>
      </c>
      <c r="E456" s="26" t="s">
        <v>901</v>
      </c>
      <c r="F456" s="26" t="s">
        <v>1449</v>
      </c>
      <c r="G456" s="26" t="s">
        <v>978</v>
      </c>
      <c r="H456" s="33" t="str">
        <f>IF(E456="Não","Não aplicável",IFERROR(IF(B456="EU-ENV-002",IF(INDEX(tbl_recyclass[Conforme_PPWR_2030],MATCH(A456,tbl_recyclass[ProductId],0))="Sim","Conforme (autoavaliação)",IF(INDEX(tbl_recyclass[Conforme_PPWR_2030],MATCH(A456,tbl_recyclass[ProductId],0))="Não","Não conforme em 2030","Isento até 2035")),IF(B456="EU-ENV-003",IF(INDEX(tbl_recyclass[Conforme_Art7_2030],MATCH(A456,tbl_recyclass[ProductId],0))="Sim","Conforme (meta 2030)",IF(INDEX(tbl_recyclass[Conforme_Art7_2030],MATCH(A456,tbl_recyclass[ProductId],0))="Não","Lacuna face à meta 2030","Isento")),IF(B456="EU-ENV-011",IF(INDEX(tbl_familias_ppwr[Metais_Pesados_Evidencia],MATCH(INDEX(tbl_recyclass[Familia_PPWR],MATCH(A456,tbl_recyclass[ProductId],0)),tbl_familias_ppwr[ID_Familia],0))="Em falta","Lacuna","Conforme"),IF(B456="EU-ENV-013",IF(INDEX(tbl_familias_ppwr[Declaracao_UE],MATCH(INDEX(tbl_recyclass[Familia_PPWR],MATCH(A456,tbl_recyclass[ProductId],0)),tbl_familias_ppwr[ID_Familia],0))="Sim","Conforme","Lacuna"),G456)))),G456))</f>
        <v>Parcial</v>
      </c>
      <c r="I456" s="33" t="str">
        <f t="shared" si="7"/>
        <v>Parcial</v>
      </c>
      <c r="J456" s="26" t="s">
        <v>1228</v>
      </c>
    </row>
    <row r="457" spans="1:10" ht="16.05" customHeight="1" x14ac:dyDescent="0.3">
      <c r="A457" s="26" t="s">
        <v>662</v>
      </c>
      <c r="B457" s="26" t="s">
        <v>1240</v>
      </c>
      <c r="C457" s="33" t="str">
        <f>IFERROR(INDEX(tbl_requisitos_emb[Tema],MATCH(B457,tbl_requisitos_emb[ID_Req],0)),"")</f>
        <v>Compatibilidade embalagem–produto</v>
      </c>
      <c r="D457" s="33" t="str">
        <f>IFERROR(INDEX(tbl_recyclass[Segmento],MATCH(A457,tbl_recyclass[ProductId],0)),"")</f>
        <v>Cosmética e higiene pessoal</v>
      </c>
      <c r="E457" s="26" t="s">
        <v>901</v>
      </c>
      <c r="F457" s="26" t="s">
        <v>1449</v>
      </c>
      <c r="G457" s="26" t="s">
        <v>1033</v>
      </c>
      <c r="H457" s="33" t="str">
        <f>IF(E457="Não","Não aplicável",IFERROR(IF(B457="EU-ENV-002",IF(INDEX(tbl_recyclass[Conforme_PPWR_2030],MATCH(A457,tbl_recyclass[ProductId],0))="Sim","Conforme (autoavaliação)",IF(INDEX(tbl_recyclass[Conforme_PPWR_2030],MATCH(A457,tbl_recyclass[ProductId],0))="Não","Não conforme em 2030","Isento até 2035")),IF(B457="EU-ENV-003",IF(INDEX(tbl_recyclass[Conforme_Art7_2030],MATCH(A457,tbl_recyclass[ProductId],0))="Sim","Conforme (meta 2030)",IF(INDEX(tbl_recyclass[Conforme_Art7_2030],MATCH(A457,tbl_recyclass[ProductId],0))="Não","Lacuna face à meta 2030","Isento")),IF(B457="EU-ENV-011",IF(INDEX(tbl_familias_ppwr[Metais_Pesados_Evidencia],MATCH(INDEX(tbl_recyclass[Familia_PPWR],MATCH(A457,tbl_recyclass[ProductId],0)),tbl_familias_ppwr[ID_Familia],0))="Em falta","Lacuna","Conforme"),IF(B457="EU-ENV-013",IF(INDEX(tbl_familias_ppwr[Declaracao_UE],MATCH(INDEX(tbl_recyclass[Familia_PPWR],MATCH(A457,tbl_recyclass[ProductId],0)),tbl_familias_ppwr[ID_Familia],0))="Sim","Conforme","Lacuna"),G457)))),G457))</f>
        <v>Conforme</v>
      </c>
      <c r="I457" s="33" t="str">
        <f t="shared" si="7"/>
        <v>Conforme</v>
      </c>
      <c r="J457" s="26" t="s">
        <v>1244</v>
      </c>
    </row>
    <row r="458" spans="1:10" ht="16.05" customHeight="1" x14ac:dyDescent="0.3">
      <c r="A458" s="26" t="s">
        <v>662</v>
      </c>
      <c r="B458" s="26" t="s">
        <v>1252</v>
      </c>
      <c r="C458" s="33" t="str">
        <f>IFERROR(INDEX(tbl_requisitos_emb[Tema],MATCH(B458,tbl_requisitos_emb[ID_Req],0)),"")</f>
        <v>Medicamentos de uso humano</v>
      </c>
      <c r="D458" s="33" t="str">
        <f>IFERROR(INDEX(tbl_recyclass[Segmento],MATCH(A458,tbl_recyclass[ProductId],0)),"")</f>
        <v>Cosmética e higiene pessoal</v>
      </c>
      <c r="E458" s="26" t="s">
        <v>904</v>
      </c>
      <c r="F458" s="26" t="s">
        <v>1451</v>
      </c>
      <c r="G458" s="26" t="s">
        <v>1143</v>
      </c>
      <c r="H458" s="33" t="str">
        <f>IF(E458="Não","Não aplicável",IFERROR(IF(B458="EU-ENV-002",IF(INDEX(tbl_recyclass[Conforme_PPWR_2030],MATCH(A458,tbl_recyclass[ProductId],0))="Sim","Conforme (autoavaliação)",IF(INDEX(tbl_recyclass[Conforme_PPWR_2030],MATCH(A458,tbl_recyclass[ProductId],0))="Não","Não conforme em 2030","Isento até 2035")),IF(B458="EU-ENV-003",IF(INDEX(tbl_recyclass[Conforme_Art7_2030],MATCH(A458,tbl_recyclass[ProductId],0))="Sim","Conforme (meta 2030)",IF(INDEX(tbl_recyclass[Conforme_Art7_2030],MATCH(A458,tbl_recyclass[ProductId],0))="Não","Lacuna face à meta 2030","Isento")),IF(B458="EU-ENV-011",IF(INDEX(tbl_familias_ppwr[Metais_Pesados_Evidencia],MATCH(INDEX(tbl_recyclass[Familia_PPWR],MATCH(A458,tbl_recyclass[ProductId],0)),tbl_familias_ppwr[ID_Familia],0))="Em falta","Lacuna","Conforme"),IF(B458="EU-ENV-013",IF(INDEX(tbl_familias_ppwr[Declaracao_UE],MATCH(INDEX(tbl_recyclass[Familia_PPWR],MATCH(A458,tbl_recyclass[ProductId],0)),tbl_familias_ppwr[ID_Familia],0))="Sim","Conforme","Lacuna"),G458)))),G458))</f>
        <v>Não aplicável</v>
      </c>
      <c r="I458" s="33" t="str">
        <f t="shared" si="7"/>
        <v>Não aplicável</v>
      </c>
      <c r="J458" s="26"/>
    </row>
    <row r="459" spans="1:10" ht="16.05" customHeight="1" x14ac:dyDescent="0.3">
      <c r="A459" s="26" t="s">
        <v>662</v>
      </c>
      <c r="B459" s="26" t="s">
        <v>1268</v>
      </c>
      <c r="C459" s="33" t="str">
        <f>IFERROR(INDEX(tbl_requisitos_emb[Tema],MATCH(B459,tbl_requisitos_emb[ID_Req],0)),"")</f>
        <v>Dispositivos de segurança</v>
      </c>
      <c r="D459" s="33" t="str">
        <f>IFERROR(INDEX(tbl_recyclass[Segmento],MATCH(A459,tbl_recyclass[ProductId],0)),"")</f>
        <v>Cosmética e higiene pessoal</v>
      </c>
      <c r="E459" s="26" t="s">
        <v>904</v>
      </c>
      <c r="F459" s="26" t="s">
        <v>1451</v>
      </c>
      <c r="G459" s="26" t="s">
        <v>1143</v>
      </c>
      <c r="H459" s="33" t="str">
        <f>IF(E459="Não","Não aplicável",IFERROR(IF(B459="EU-ENV-002",IF(INDEX(tbl_recyclass[Conforme_PPWR_2030],MATCH(A459,tbl_recyclass[ProductId],0))="Sim","Conforme (autoavaliação)",IF(INDEX(tbl_recyclass[Conforme_PPWR_2030],MATCH(A459,tbl_recyclass[ProductId],0))="Não","Não conforme em 2030","Isento até 2035")),IF(B459="EU-ENV-003",IF(INDEX(tbl_recyclass[Conforme_Art7_2030],MATCH(A459,tbl_recyclass[ProductId],0))="Sim","Conforme (meta 2030)",IF(INDEX(tbl_recyclass[Conforme_Art7_2030],MATCH(A459,tbl_recyclass[ProductId],0))="Não","Lacuna face à meta 2030","Isento")),IF(B459="EU-ENV-011",IF(INDEX(tbl_familias_ppwr[Metais_Pesados_Evidencia],MATCH(INDEX(tbl_recyclass[Familia_PPWR],MATCH(A459,tbl_recyclass[ProductId],0)),tbl_familias_ppwr[ID_Familia],0))="Em falta","Lacuna","Conforme"),IF(B459="EU-ENV-013",IF(INDEX(tbl_familias_ppwr[Declaracao_UE],MATCH(INDEX(tbl_recyclass[Familia_PPWR],MATCH(A459,tbl_recyclass[ProductId],0)),tbl_familias_ppwr[ID_Familia],0))="Sim","Conforme","Lacuna"),G459)))),G459))</f>
        <v>Não aplicável</v>
      </c>
      <c r="I459" s="33" t="str">
        <f t="shared" si="7"/>
        <v>Não aplicável</v>
      </c>
      <c r="J459" s="26"/>
    </row>
    <row r="460" spans="1:10" ht="16.05" customHeight="1" x14ac:dyDescent="0.3">
      <c r="A460" s="26" t="s">
        <v>662</v>
      </c>
      <c r="B460" s="26" t="s">
        <v>1285</v>
      </c>
      <c r="C460" s="33" t="str">
        <f>IFERROR(INDEX(tbl_requisitos_emb[Tema],MATCH(B460,tbl_requisitos_emb[ID_Req],0)),"")</f>
        <v>Materiais plásticos de acondicionamento primário</v>
      </c>
      <c r="D460" s="33" t="str">
        <f>IFERROR(INDEX(tbl_recyclass[Segmento],MATCH(A460,tbl_recyclass[ProductId],0)),"")</f>
        <v>Cosmética e higiene pessoal</v>
      </c>
      <c r="E460" s="26" t="s">
        <v>904</v>
      </c>
      <c r="F460" s="26" t="s">
        <v>1451</v>
      </c>
      <c r="G460" s="26" t="s">
        <v>1143</v>
      </c>
      <c r="H460" s="33" t="str">
        <f>IF(E460="Não","Não aplicável",IFERROR(IF(B460="EU-ENV-002",IF(INDEX(tbl_recyclass[Conforme_PPWR_2030],MATCH(A460,tbl_recyclass[ProductId],0))="Sim","Conforme (autoavaliação)",IF(INDEX(tbl_recyclass[Conforme_PPWR_2030],MATCH(A460,tbl_recyclass[ProductId],0))="Não","Não conforme em 2030","Isento até 2035")),IF(B460="EU-ENV-003",IF(INDEX(tbl_recyclass[Conforme_Art7_2030],MATCH(A460,tbl_recyclass[ProductId],0))="Sim","Conforme (meta 2030)",IF(INDEX(tbl_recyclass[Conforme_Art7_2030],MATCH(A460,tbl_recyclass[ProductId],0))="Não","Lacuna face à meta 2030","Isento")),IF(B460="EU-ENV-011",IF(INDEX(tbl_familias_ppwr[Metais_Pesados_Evidencia],MATCH(INDEX(tbl_recyclass[Familia_PPWR],MATCH(A460,tbl_recyclass[ProductId],0)),tbl_familias_ppwr[ID_Familia],0))="Em falta","Lacuna","Conforme"),IF(B460="EU-ENV-013",IF(INDEX(tbl_familias_ppwr[Declaracao_UE],MATCH(INDEX(tbl_recyclass[Familia_PPWR],MATCH(A460,tbl_recyclass[ProductId],0)),tbl_familias_ppwr[ID_Familia],0))="Sim","Conforme","Lacuna"),G460)))),G460))</f>
        <v>Não aplicável</v>
      </c>
      <c r="I460" s="33" t="str">
        <f t="shared" si="7"/>
        <v>Não aplicável</v>
      </c>
      <c r="J460" s="26"/>
    </row>
    <row r="461" spans="1:10" ht="16.05" customHeight="1" x14ac:dyDescent="0.3">
      <c r="A461" s="26" t="s">
        <v>662</v>
      </c>
      <c r="B461" s="26" t="s">
        <v>1293</v>
      </c>
      <c r="C461" s="33" t="str">
        <f>IFERROR(INDEX(tbl_requisitos_emb[Tema],MATCH(B461,tbl_requisitos_emb[ID_Req],0)),"")</f>
        <v>Isenções PPWR</v>
      </c>
      <c r="D461" s="33" t="str">
        <f>IFERROR(INDEX(tbl_recyclass[Segmento],MATCH(A461,tbl_recyclass[ProductId],0)),"")</f>
        <v>Cosmética e higiene pessoal</v>
      </c>
      <c r="E461" s="26" t="s">
        <v>904</v>
      </c>
      <c r="F461" s="26" t="s">
        <v>1451</v>
      </c>
      <c r="G461" s="26" t="s">
        <v>1143</v>
      </c>
      <c r="H461" s="33" t="str">
        <f>IF(E461="Não","Não aplicável",IFERROR(IF(B461="EU-ENV-002",IF(INDEX(tbl_recyclass[Conforme_PPWR_2030],MATCH(A461,tbl_recyclass[ProductId],0))="Sim","Conforme (autoavaliação)",IF(INDEX(tbl_recyclass[Conforme_PPWR_2030],MATCH(A461,tbl_recyclass[ProductId],0))="Não","Não conforme em 2030","Isento até 2035")),IF(B461="EU-ENV-003",IF(INDEX(tbl_recyclass[Conforme_Art7_2030],MATCH(A461,tbl_recyclass[ProductId],0))="Sim","Conforme (meta 2030)",IF(INDEX(tbl_recyclass[Conforme_Art7_2030],MATCH(A461,tbl_recyclass[ProductId],0))="Não","Lacuna face à meta 2030","Isento")),IF(B461="EU-ENV-011",IF(INDEX(tbl_familias_ppwr[Metais_Pesados_Evidencia],MATCH(INDEX(tbl_recyclass[Familia_PPWR],MATCH(A461,tbl_recyclass[ProductId],0)),tbl_familias_ppwr[ID_Familia],0))="Em falta","Lacuna","Conforme"),IF(B461="EU-ENV-013",IF(INDEX(tbl_familias_ppwr[Declaracao_UE],MATCH(INDEX(tbl_recyclass[Familia_PPWR],MATCH(A461,tbl_recyclass[ProductId],0)),tbl_familias_ppwr[ID_Familia],0))="Sim","Conforme","Lacuna"),G461)))),G461))</f>
        <v>Não aplicável</v>
      </c>
      <c r="I461" s="33" t="str">
        <f t="shared" si="7"/>
        <v>Não aplicável</v>
      </c>
      <c r="J461" s="26"/>
    </row>
    <row r="462" spans="1:10" ht="16.05" customHeight="1" x14ac:dyDescent="0.3">
      <c r="A462" s="26" t="s">
        <v>662</v>
      </c>
      <c r="B462" s="26" t="s">
        <v>1357</v>
      </c>
      <c r="C462" s="33" t="str">
        <f>IFERROR(INDEX(tbl_requisitos_emb[Tema],MATCH(B462,tbl_requisitos_emb[ID_Req],0)),"")</f>
        <v>Identificação de plásticos</v>
      </c>
      <c r="D462" s="33" t="str">
        <f>IFERROR(INDEX(tbl_recyclass[Segmento],MATCH(A462,tbl_recyclass[ProductId],0)),"")</f>
        <v>Cosmética e higiene pessoal</v>
      </c>
      <c r="E462" s="26" t="s">
        <v>901</v>
      </c>
      <c r="F462" s="26" t="s">
        <v>1449</v>
      </c>
      <c r="G462" s="26" t="s">
        <v>978</v>
      </c>
      <c r="H462" s="33" t="str">
        <f>IF(E462="Não","Não aplicável",IFERROR(IF(B462="EU-ENV-002",IF(INDEX(tbl_recyclass[Conforme_PPWR_2030],MATCH(A462,tbl_recyclass[ProductId],0))="Sim","Conforme (autoavaliação)",IF(INDEX(tbl_recyclass[Conforme_PPWR_2030],MATCH(A462,tbl_recyclass[ProductId],0))="Não","Não conforme em 2030","Isento até 2035")),IF(B462="EU-ENV-003",IF(INDEX(tbl_recyclass[Conforme_Art7_2030],MATCH(A462,tbl_recyclass[ProductId],0))="Sim","Conforme (meta 2030)",IF(INDEX(tbl_recyclass[Conforme_Art7_2030],MATCH(A462,tbl_recyclass[ProductId],0))="Não","Lacuna face à meta 2030","Isento")),IF(B462="EU-ENV-011",IF(INDEX(tbl_familias_ppwr[Metais_Pesados_Evidencia],MATCH(INDEX(tbl_recyclass[Familia_PPWR],MATCH(A462,tbl_recyclass[ProductId],0)),tbl_familias_ppwr[ID_Familia],0))="Em falta","Lacuna","Conforme"),IF(B462="EU-ENV-013",IF(INDEX(tbl_familias_ppwr[Declaracao_UE],MATCH(INDEX(tbl_recyclass[Familia_PPWR],MATCH(A462,tbl_recyclass[ProductId],0)),tbl_familias_ppwr[ID_Familia],0))="Sim","Conforme","Lacuna"),G462)))),G462))</f>
        <v>Parcial</v>
      </c>
      <c r="I462" s="33" t="str">
        <f t="shared" si="7"/>
        <v>Parcial</v>
      </c>
      <c r="J462" s="26" t="s">
        <v>1362</v>
      </c>
    </row>
    <row r="463" spans="1:10" ht="16.05" customHeight="1" x14ac:dyDescent="0.3">
      <c r="A463" s="26" t="s">
        <v>662</v>
      </c>
      <c r="B463" s="26" t="s">
        <v>1385</v>
      </c>
      <c r="C463" s="33" t="str">
        <f>IFERROR(INDEX(tbl_requisitos_emb[Tema],MATCH(B463,tbl_requisitos_emb[ID_Req],0)),"")</f>
        <v>Reciclabilidade (voluntária)</v>
      </c>
      <c r="D463" s="33" t="str">
        <f>IFERROR(INDEX(tbl_recyclass[Segmento],MATCH(A463,tbl_recyclass[ProductId],0)),"")</f>
        <v>Cosmética e higiene pessoal</v>
      </c>
      <c r="E463" s="26" t="s">
        <v>901</v>
      </c>
      <c r="F463" s="26" t="s">
        <v>1449</v>
      </c>
      <c r="G463" s="26" t="s">
        <v>978</v>
      </c>
      <c r="H463" s="33" t="str">
        <f>IF(E463="Não","Não aplicável",IFERROR(IF(B463="EU-ENV-002",IF(INDEX(tbl_recyclass[Conforme_PPWR_2030],MATCH(A463,tbl_recyclass[ProductId],0))="Sim","Conforme (autoavaliação)",IF(INDEX(tbl_recyclass[Conforme_PPWR_2030],MATCH(A463,tbl_recyclass[ProductId],0))="Não","Não conforme em 2030","Isento até 2035")),IF(B463="EU-ENV-003",IF(INDEX(tbl_recyclass[Conforme_Art7_2030],MATCH(A463,tbl_recyclass[ProductId],0))="Sim","Conforme (meta 2030)",IF(INDEX(tbl_recyclass[Conforme_Art7_2030],MATCH(A463,tbl_recyclass[ProductId],0))="Não","Lacuna face à meta 2030","Isento")),IF(B463="EU-ENV-011",IF(INDEX(tbl_familias_ppwr[Metais_Pesados_Evidencia],MATCH(INDEX(tbl_recyclass[Familia_PPWR],MATCH(A463,tbl_recyclass[ProductId],0)),tbl_familias_ppwr[ID_Familia],0))="Em falta","Lacuna","Conforme"),IF(B463="EU-ENV-013",IF(INDEX(tbl_familias_ppwr[Declaracao_UE],MATCH(INDEX(tbl_recyclass[Familia_PPWR],MATCH(A463,tbl_recyclass[ProductId],0)),tbl_familias_ppwr[ID_Familia],0))="Sim","Conforme","Lacuna"),G463)))),G463))</f>
        <v>Parcial</v>
      </c>
      <c r="I463" s="33" t="str">
        <f t="shared" si="7"/>
        <v>Parcial</v>
      </c>
      <c r="J463" s="26" t="s">
        <v>1389</v>
      </c>
    </row>
    <row r="464" spans="1:10" ht="16.05" customHeight="1" x14ac:dyDescent="0.3">
      <c r="A464" s="26" t="s">
        <v>666</v>
      </c>
      <c r="B464" s="26" t="s">
        <v>984</v>
      </c>
      <c r="C464" s="33" t="str">
        <f>IFERROR(INDEX(tbl_requisitos_emb[Tema],MATCH(B464,tbl_requisitos_emb[ID_Req],0)),"")</f>
        <v>Conceção para reciclagem</v>
      </c>
      <c r="D464" s="33" t="str">
        <f>IFERROR(INDEX(tbl_recyclass[Segmento],MATCH(A464,tbl_recyclass[ProductId],0)),"")</f>
        <v>Cosmética e higiene pessoal</v>
      </c>
      <c r="E464" s="26" t="s">
        <v>901</v>
      </c>
      <c r="F464" s="26" t="s">
        <v>1449</v>
      </c>
      <c r="G464" s="26" t="s">
        <v>978</v>
      </c>
      <c r="H464" s="33" t="str">
        <f>IF(E464="Não","Não aplicável",IFERROR(IF(B464="EU-ENV-002",IF(INDEX(tbl_recyclass[Conforme_PPWR_2030],MATCH(A464,tbl_recyclass[ProductId],0))="Sim","Conforme (autoavaliação)",IF(INDEX(tbl_recyclass[Conforme_PPWR_2030],MATCH(A464,tbl_recyclass[ProductId],0))="Não","Não conforme em 2030","Isento até 2035")),IF(B464="EU-ENV-003",IF(INDEX(tbl_recyclass[Conforme_Art7_2030],MATCH(A464,tbl_recyclass[ProductId],0))="Sim","Conforme (meta 2030)",IF(INDEX(tbl_recyclass[Conforme_Art7_2030],MATCH(A464,tbl_recyclass[ProductId],0))="Não","Lacuna face à meta 2030","Isento")),IF(B464="EU-ENV-011",IF(INDEX(tbl_familias_ppwr[Metais_Pesados_Evidencia],MATCH(INDEX(tbl_recyclass[Familia_PPWR],MATCH(A464,tbl_recyclass[ProductId],0)),tbl_familias_ppwr[ID_Familia],0))="Em falta","Lacuna","Conforme"),IF(B464="EU-ENV-013",IF(INDEX(tbl_familias_ppwr[Declaracao_UE],MATCH(INDEX(tbl_recyclass[Familia_PPWR],MATCH(A464,tbl_recyclass[ProductId],0)),tbl_familias_ppwr[ID_Familia],0))="Sim","Conforme","Lacuna"),G464)))),G464))</f>
        <v>Conforme (autoavaliação)</v>
      </c>
      <c r="I464" s="33" t="str">
        <f t="shared" si="7"/>
        <v>Conforme</v>
      </c>
      <c r="J464" s="26" t="s">
        <v>991</v>
      </c>
    </row>
    <row r="465" spans="1:10" ht="16.05" customHeight="1" x14ac:dyDescent="0.3">
      <c r="A465" s="26" t="s">
        <v>666</v>
      </c>
      <c r="B465" s="26" t="s">
        <v>997</v>
      </c>
      <c r="C465" s="33" t="str">
        <f>IFERROR(INDEX(tbl_requisitos_emb[Tema],MATCH(B465,tbl_requisitos_emb[ID_Req],0)),"")</f>
        <v>Conteúdo reciclado</v>
      </c>
      <c r="D465" s="33" t="str">
        <f>IFERROR(INDEX(tbl_recyclass[Segmento],MATCH(A465,tbl_recyclass[ProductId],0)),"")</f>
        <v>Cosmética e higiene pessoal</v>
      </c>
      <c r="E465" s="26" t="s">
        <v>901</v>
      </c>
      <c r="F465" s="26" t="s">
        <v>1449</v>
      </c>
      <c r="G465" s="26" t="s">
        <v>978</v>
      </c>
      <c r="H465" s="33" t="str">
        <f>IF(E465="Não","Não aplicável",IFERROR(IF(B465="EU-ENV-002",IF(INDEX(tbl_recyclass[Conforme_PPWR_2030],MATCH(A465,tbl_recyclass[ProductId],0))="Sim","Conforme (autoavaliação)",IF(INDEX(tbl_recyclass[Conforme_PPWR_2030],MATCH(A465,tbl_recyclass[ProductId],0))="Não","Não conforme em 2030","Isento até 2035")),IF(B465="EU-ENV-003",IF(INDEX(tbl_recyclass[Conforme_Art7_2030],MATCH(A465,tbl_recyclass[ProductId],0))="Sim","Conforme (meta 2030)",IF(INDEX(tbl_recyclass[Conforme_Art7_2030],MATCH(A465,tbl_recyclass[ProductId],0))="Não","Lacuna face à meta 2030","Isento")),IF(B465="EU-ENV-011",IF(INDEX(tbl_familias_ppwr[Metais_Pesados_Evidencia],MATCH(INDEX(tbl_recyclass[Familia_PPWR],MATCH(A465,tbl_recyclass[ProductId],0)),tbl_familias_ppwr[ID_Familia],0))="Em falta","Lacuna","Conforme"),IF(B465="EU-ENV-013",IF(INDEX(tbl_familias_ppwr[Declaracao_UE],MATCH(INDEX(tbl_recyclass[Familia_PPWR],MATCH(A465,tbl_recyclass[ProductId],0)),tbl_familias_ppwr[ID_Familia],0))="Sim","Conforme","Lacuna"),G465)))),G465))</f>
        <v>Lacuna face à meta 2030</v>
      </c>
      <c r="I465" s="33" t="str">
        <f t="shared" si="7"/>
        <v>Lacuna</v>
      </c>
      <c r="J465" s="26" t="s">
        <v>1001</v>
      </c>
    </row>
    <row r="466" spans="1:10" ht="16.05" customHeight="1" x14ac:dyDescent="0.3">
      <c r="A466" s="26" t="s">
        <v>666</v>
      </c>
      <c r="B466" s="26" t="s">
        <v>1007</v>
      </c>
      <c r="C466" s="33" t="str">
        <f>IFERROR(INDEX(tbl_requisitos_emb[Tema],MATCH(B466,tbl_requisitos_emb[ID_Req],0)),"")</f>
        <v>Minimização</v>
      </c>
      <c r="D466" s="33" t="str">
        <f>IFERROR(INDEX(tbl_recyclass[Segmento],MATCH(A466,tbl_recyclass[ProductId],0)),"")</f>
        <v>Cosmética e higiene pessoal</v>
      </c>
      <c r="E466" s="26" t="s">
        <v>901</v>
      </c>
      <c r="F466" s="26" t="s">
        <v>1449</v>
      </c>
      <c r="G466" s="26" t="s">
        <v>978</v>
      </c>
      <c r="H466" s="33" t="str">
        <f>IF(E466="Não","Não aplicável",IFERROR(IF(B466="EU-ENV-002",IF(INDEX(tbl_recyclass[Conforme_PPWR_2030],MATCH(A466,tbl_recyclass[ProductId],0))="Sim","Conforme (autoavaliação)",IF(INDEX(tbl_recyclass[Conforme_PPWR_2030],MATCH(A466,tbl_recyclass[ProductId],0))="Não","Não conforme em 2030","Isento até 2035")),IF(B466="EU-ENV-003",IF(INDEX(tbl_recyclass[Conforme_Art7_2030],MATCH(A466,tbl_recyclass[ProductId],0))="Sim","Conforme (meta 2030)",IF(INDEX(tbl_recyclass[Conforme_Art7_2030],MATCH(A466,tbl_recyclass[ProductId],0))="Não","Lacuna face à meta 2030","Isento")),IF(B466="EU-ENV-011",IF(INDEX(tbl_familias_ppwr[Metais_Pesados_Evidencia],MATCH(INDEX(tbl_recyclass[Familia_PPWR],MATCH(A466,tbl_recyclass[ProductId],0)),tbl_familias_ppwr[ID_Familia],0))="Em falta","Lacuna","Conforme"),IF(B466="EU-ENV-013",IF(INDEX(tbl_familias_ppwr[Declaracao_UE],MATCH(INDEX(tbl_recyclass[Familia_PPWR],MATCH(A466,tbl_recyclass[ProductId],0)),tbl_familias_ppwr[ID_Familia],0))="Sim","Conforme","Lacuna"),G466)))),G466))</f>
        <v>Parcial</v>
      </c>
      <c r="I466" s="33" t="str">
        <f t="shared" si="7"/>
        <v>Parcial</v>
      </c>
      <c r="J466" s="26" t="s">
        <v>1012</v>
      </c>
    </row>
    <row r="467" spans="1:10" ht="16.05" customHeight="1" x14ac:dyDescent="0.3">
      <c r="A467" s="26" t="s">
        <v>666</v>
      </c>
      <c r="B467" s="26" t="s">
        <v>1016</v>
      </c>
      <c r="C467" s="33" t="str">
        <f>IFERROR(INDEX(tbl_requisitos_emb[Tema],MATCH(B467,tbl_requisitos_emb[ID_Req],0)),"")</f>
        <v>Rotulagem</v>
      </c>
      <c r="D467" s="33" t="str">
        <f>IFERROR(INDEX(tbl_recyclass[Segmento],MATCH(A467,tbl_recyclass[ProductId],0)),"")</f>
        <v>Cosmética e higiene pessoal</v>
      </c>
      <c r="E467" s="26" t="s">
        <v>901</v>
      </c>
      <c r="F467" s="26" t="s">
        <v>1449</v>
      </c>
      <c r="G467" s="26" t="s">
        <v>990</v>
      </c>
      <c r="H467" s="33" t="str">
        <f>IF(E467="Não","Não aplicável",IFERROR(IF(B467="EU-ENV-002",IF(INDEX(tbl_recyclass[Conforme_PPWR_2030],MATCH(A467,tbl_recyclass[ProductId],0))="Sim","Conforme (autoavaliação)",IF(INDEX(tbl_recyclass[Conforme_PPWR_2030],MATCH(A467,tbl_recyclass[ProductId],0))="Não","Não conforme em 2030","Isento até 2035")),IF(B467="EU-ENV-003",IF(INDEX(tbl_recyclass[Conforme_Art7_2030],MATCH(A467,tbl_recyclass[ProductId],0))="Sim","Conforme (meta 2030)",IF(INDEX(tbl_recyclass[Conforme_Art7_2030],MATCH(A467,tbl_recyclass[ProductId],0))="Não","Lacuna face à meta 2030","Isento")),IF(B467="EU-ENV-011",IF(INDEX(tbl_familias_ppwr[Metais_Pesados_Evidencia],MATCH(INDEX(tbl_recyclass[Familia_PPWR],MATCH(A467,tbl_recyclass[ProductId],0)),tbl_familias_ppwr[ID_Familia],0))="Em falta","Lacuna","Conforme"),IF(B467="EU-ENV-013",IF(INDEX(tbl_familias_ppwr[Declaracao_UE],MATCH(INDEX(tbl_recyclass[Familia_PPWR],MATCH(A467,tbl_recyclass[ProductId],0)),tbl_familias_ppwr[ID_Familia],0))="Sim","Conforme","Lacuna"),G467)))),G467))</f>
        <v>Futuro</v>
      </c>
      <c r="I467" s="33" t="str">
        <f t="shared" si="7"/>
        <v>Futuro</v>
      </c>
      <c r="J467" s="26" t="s">
        <v>1021</v>
      </c>
    </row>
    <row r="468" spans="1:10" ht="16.05" customHeight="1" x14ac:dyDescent="0.3">
      <c r="A468" s="26" t="s">
        <v>666</v>
      </c>
      <c r="B468" s="26" t="s">
        <v>1038</v>
      </c>
      <c r="C468" s="33" t="str">
        <f>IFERROR(INDEX(tbl_requisitos_emb[Tema],MATCH(B468,tbl_requisitos_emb[ID_Req],0)),"")</f>
        <v>Plásticos de utilização única</v>
      </c>
      <c r="D468" s="33" t="str">
        <f>IFERROR(INDEX(tbl_recyclass[Segmento],MATCH(A468,tbl_recyclass[ProductId],0)),"")</f>
        <v>Cosmética e higiene pessoal</v>
      </c>
      <c r="E468" s="26" t="s">
        <v>904</v>
      </c>
      <c r="F468" s="26" t="s">
        <v>1450</v>
      </c>
      <c r="G468" s="26" t="s">
        <v>1143</v>
      </c>
      <c r="H468" s="33" t="str">
        <f>IF(E468="Não","Não aplicável",IFERROR(IF(B468="EU-ENV-002",IF(INDEX(tbl_recyclass[Conforme_PPWR_2030],MATCH(A468,tbl_recyclass[ProductId],0))="Sim","Conforme (autoavaliação)",IF(INDEX(tbl_recyclass[Conforme_PPWR_2030],MATCH(A468,tbl_recyclass[ProductId],0))="Não","Não conforme em 2030","Isento até 2035")),IF(B468="EU-ENV-003",IF(INDEX(tbl_recyclass[Conforme_Art7_2030],MATCH(A468,tbl_recyclass[ProductId],0))="Sim","Conforme (meta 2030)",IF(INDEX(tbl_recyclass[Conforme_Art7_2030],MATCH(A468,tbl_recyclass[ProductId],0))="Não","Lacuna face à meta 2030","Isento")),IF(B468="EU-ENV-011",IF(INDEX(tbl_familias_ppwr[Metais_Pesados_Evidencia],MATCH(INDEX(tbl_recyclass[Familia_PPWR],MATCH(A468,tbl_recyclass[ProductId],0)),tbl_familias_ppwr[ID_Familia],0))="Em falta","Lacuna","Conforme"),IF(B468="EU-ENV-013",IF(INDEX(tbl_familias_ppwr[Declaracao_UE],MATCH(INDEX(tbl_recyclass[Familia_PPWR],MATCH(A468,tbl_recyclass[ProductId],0)),tbl_familias_ppwr[ID_Familia],0))="Sim","Conforme","Lacuna"),G468)))),G468))</f>
        <v>Não aplicável</v>
      </c>
      <c r="I468" s="33" t="str">
        <f t="shared" si="7"/>
        <v>Não aplicável</v>
      </c>
      <c r="J468" s="26"/>
    </row>
    <row r="469" spans="1:10" ht="16.05" customHeight="1" x14ac:dyDescent="0.3">
      <c r="A469" s="26" t="s">
        <v>666</v>
      </c>
      <c r="B469" s="26" t="s">
        <v>1078</v>
      </c>
      <c r="C469" s="33" t="str">
        <f>IFERROR(INDEX(tbl_requisitos_emb[Tema],MATCH(B469,tbl_requisitos_emb[ID_Req],0)),"")</f>
        <v>Reciclado à escala</v>
      </c>
      <c r="D469" s="33" t="str">
        <f>IFERROR(INDEX(tbl_recyclass[Segmento],MATCH(A469,tbl_recyclass[ProductId],0)),"")</f>
        <v>Cosmética e higiene pessoal</v>
      </c>
      <c r="E469" s="26" t="s">
        <v>901</v>
      </c>
      <c r="F469" s="26" t="s">
        <v>1449</v>
      </c>
      <c r="G469" s="26" t="s">
        <v>990</v>
      </c>
      <c r="H469" s="33" t="str">
        <f>IF(E469="Não","Não aplicável",IFERROR(IF(B469="EU-ENV-002",IF(INDEX(tbl_recyclass[Conforme_PPWR_2030],MATCH(A469,tbl_recyclass[ProductId],0))="Sim","Conforme (autoavaliação)",IF(INDEX(tbl_recyclass[Conforme_PPWR_2030],MATCH(A469,tbl_recyclass[ProductId],0))="Não","Não conforme em 2030","Isento até 2035")),IF(B469="EU-ENV-003",IF(INDEX(tbl_recyclass[Conforme_Art7_2030],MATCH(A469,tbl_recyclass[ProductId],0))="Sim","Conforme (meta 2030)",IF(INDEX(tbl_recyclass[Conforme_Art7_2030],MATCH(A469,tbl_recyclass[ProductId],0))="Não","Lacuna face à meta 2030","Isento")),IF(B469="EU-ENV-011",IF(INDEX(tbl_familias_ppwr[Metais_Pesados_Evidencia],MATCH(INDEX(tbl_recyclass[Familia_PPWR],MATCH(A469,tbl_recyclass[ProductId],0)),tbl_familias_ppwr[ID_Familia],0))="Em falta","Lacuna","Conforme"),IF(B469="EU-ENV-013",IF(INDEX(tbl_familias_ppwr[Declaracao_UE],MATCH(INDEX(tbl_recyclass[Familia_PPWR],MATCH(A469,tbl_recyclass[ProductId],0)),tbl_familias_ppwr[ID_Familia],0))="Sim","Conforme","Lacuna"),G469)))),G469))</f>
        <v>Futuro</v>
      </c>
      <c r="I469" s="33" t="str">
        <f t="shared" si="7"/>
        <v>Futuro</v>
      </c>
      <c r="J469" s="26" t="s">
        <v>1082</v>
      </c>
    </row>
    <row r="470" spans="1:10" ht="16.05" customHeight="1" x14ac:dyDescent="0.3">
      <c r="A470" s="26" t="s">
        <v>666</v>
      </c>
      <c r="B470" s="26" t="s">
        <v>1086</v>
      </c>
      <c r="C470" s="33" t="str">
        <f>IFERROR(INDEX(tbl_requisitos_emb[Tema],MATCH(B470,tbl_requisitos_emb[ID_Req],0)),"")</f>
        <v>Metais pesados</v>
      </c>
      <c r="D470" s="33" t="str">
        <f>IFERROR(INDEX(tbl_recyclass[Segmento],MATCH(A470,tbl_recyclass[ProductId],0)),"")</f>
        <v>Cosmética e higiene pessoal</v>
      </c>
      <c r="E470" s="26" t="s">
        <v>901</v>
      </c>
      <c r="F470" s="26" t="s">
        <v>1449</v>
      </c>
      <c r="G470" s="26" t="s">
        <v>978</v>
      </c>
      <c r="H470" s="33" t="str">
        <f>IF(E470="Não","Não aplicável",IFERROR(IF(B470="EU-ENV-002",IF(INDEX(tbl_recyclass[Conforme_PPWR_2030],MATCH(A470,tbl_recyclass[ProductId],0))="Sim","Conforme (autoavaliação)",IF(INDEX(tbl_recyclass[Conforme_PPWR_2030],MATCH(A470,tbl_recyclass[ProductId],0))="Não","Não conforme em 2030","Isento até 2035")),IF(B470="EU-ENV-003",IF(INDEX(tbl_recyclass[Conforme_Art7_2030],MATCH(A470,tbl_recyclass[ProductId],0))="Sim","Conforme (meta 2030)",IF(INDEX(tbl_recyclass[Conforme_Art7_2030],MATCH(A470,tbl_recyclass[ProductId],0))="Não","Lacuna face à meta 2030","Isento")),IF(B470="EU-ENV-011",IF(INDEX(tbl_familias_ppwr[Metais_Pesados_Evidencia],MATCH(INDEX(tbl_recyclass[Familia_PPWR],MATCH(A470,tbl_recyclass[ProductId],0)),tbl_familias_ppwr[ID_Familia],0))="Em falta","Lacuna","Conforme"),IF(B470="EU-ENV-013",IF(INDEX(tbl_familias_ppwr[Declaracao_UE],MATCH(INDEX(tbl_recyclass[Familia_PPWR],MATCH(A470,tbl_recyclass[ProductId],0)),tbl_familias_ppwr[ID_Familia],0))="Sim","Conforme","Lacuna"),G470)))),G470))</f>
        <v>Conforme</v>
      </c>
      <c r="I470" s="33" t="str">
        <f t="shared" si="7"/>
        <v>Conforme</v>
      </c>
      <c r="J470" s="26" t="s">
        <v>1090</v>
      </c>
    </row>
    <row r="471" spans="1:10" ht="16.05" customHeight="1" x14ac:dyDescent="0.3">
      <c r="A471" s="26" t="s">
        <v>666</v>
      </c>
      <c r="B471" s="26" t="s">
        <v>1094</v>
      </c>
      <c r="C471" s="33" t="str">
        <f>IFERROR(INDEX(tbl_requisitos_emb[Tema],MATCH(B471,tbl_requisitos_emb[ID_Req],0)),"")</f>
        <v>PFAS</v>
      </c>
      <c r="D471" s="33" t="str">
        <f>IFERROR(INDEX(tbl_recyclass[Segmento],MATCH(A471,tbl_recyclass[ProductId],0)),"")</f>
        <v>Cosmética e higiene pessoal</v>
      </c>
      <c r="E471" s="26" t="s">
        <v>904</v>
      </c>
      <c r="F471" s="26" t="s">
        <v>1450</v>
      </c>
      <c r="G471" s="26" t="s">
        <v>1143</v>
      </c>
      <c r="H471" s="33" t="str">
        <f>IF(E471="Não","Não aplicável",IFERROR(IF(B471="EU-ENV-002",IF(INDEX(tbl_recyclass[Conforme_PPWR_2030],MATCH(A471,tbl_recyclass[ProductId],0))="Sim","Conforme (autoavaliação)",IF(INDEX(tbl_recyclass[Conforme_PPWR_2030],MATCH(A471,tbl_recyclass[ProductId],0))="Não","Não conforme em 2030","Isento até 2035")),IF(B471="EU-ENV-003",IF(INDEX(tbl_recyclass[Conforme_Art7_2030],MATCH(A471,tbl_recyclass[ProductId],0))="Sim","Conforme (meta 2030)",IF(INDEX(tbl_recyclass[Conforme_Art7_2030],MATCH(A471,tbl_recyclass[ProductId],0))="Não","Lacuna face à meta 2030","Isento")),IF(B471="EU-ENV-011",IF(INDEX(tbl_familias_ppwr[Metais_Pesados_Evidencia],MATCH(INDEX(tbl_recyclass[Familia_PPWR],MATCH(A471,tbl_recyclass[ProductId],0)),tbl_familias_ppwr[ID_Familia],0))="Em falta","Lacuna","Conforme"),IF(B471="EU-ENV-013",IF(INDEX(tbl_familias_ppwr[Declaracao_UE],MATCH(INDEX(tbl_recyclass[Familia_PPWR],MATCH(A471,tbl_recyclass[ProductId],0)),tbl_familias_ppwr[ID_Familia],0))="Sim","Conforme","Lacuna"),G471)))),G471))</f>
        <v>Não aplicável</v>
      </c>
      <c r="I471" s="33" t="str">
        <f t="shared" si="7"/>
        <v>Não aplicável</v>
      </c>
      <c r="J471" s="26"/>
    </row>
    <row r="472" spans="1:10" ht="16.05" customHeight="1" x14ac:dyDescent="0.3">
      <c r="A472" s="26" t="s">
        <v>666</v>
      </c>
      <c r="B472" s="26" t="s">
        <v>1102</v>
      </c>
      <c r="C472" s="33" t="str">
        <f>IFERROR(INDEX(tbl_requisitos_emb[Tema],MATCH(B472,tbl_requisitos_emb[ID_Req],0)),"")</f>
        <v>Documentação técnica e declaração UE</v>
      </c>
      <c r="D472" s="33" t="str">
        <f>IFERROR(INDEX(tbl_recyclass[Segmento],MATCH(A472,tbl_recyclass[ProductId],0)),"")</f>
        <v>Cosmética e higiene pessoal</v>
      </c>
      <c r="E472" s="26" t="s">
        <v>901</v>
      </c>
      <c r="F472" s="26" t="s">
        <v>1449</v>
      </c>
      <c r="G472" s="26" t="s">
        <v>978</v>
      </c>
      <c r="H472" s="33" t="str">
        <f>IF(E472="Não","Não aplicável",IFERROR(IF(B472="EU-ENV-002",IF(INDEX(tbl_recyclass[Conforme_PPWR_2030],MATCH(A472,tbl_recyclass[ProductId],0))="Sim","Conforme (autoavaliação)",IF(INDEX(tbl_recyclass[Conforme_PPWR_2030],MATCH(A472,tbl_recyclass[ProductId],0))="Não","Não conforme em 2030","Isento até 2035")),IF(B472="EU-ENV-003",IF(INDEX(tbl_recyclass[Conforme_Art7_2030],MATCH(A472,tbl_recyclass[ProductId],0))="Sim","Conforme (meta 2030)",IF(INDEX(tbl_recyclass[Conforme_Art7_2030],MATCH(A472,tbl_recyclass[ProductId],0))="Não","Lacuna face à meta 2030","Isento")),IF(B472="EU-ENV-011",IF(INDEX(tbl_familias_ppwr[Metais_Pesados_Evidencia],MATCH(INDEX(tbl_recyclass[Familia_PPWR],MATCH(A472,tbl_recyclass[ProductId],0)),tbl_familias_ppwr[ID_Familia],0))="Em falta","Lacuna","Conforme"),IF(B472="EU-ENV-013",IF(INDEX(tbl_familias_ppwr[Declaracao_UE],MATCH(INDEX(tbl_recyclass[Familia_PPWR],MATCH(A472,tbl_recyclass[ProductId],0)),tbl_familias_ppwr[ID_Familia],0))="Sim","Conforme","Lacuna"),G472)))),G472))</f>
        <v>Conforme</v>
      </c>
      <c r="I472" s="33" t="str">
        <f t="shared" si="7"/>
        <v>Conforme</v>
      </c>
      <c r="J472" s="26" t="s">
        <v>1106</v>
      </c>
    </row>
    <row r="473" spans="1:10" ht="16.05" customHeight="1" x14ac:dyDescent="0.3">
      <c r="A473" s="26" t="s">
        <v>666</v>
      </c>
      <c r="B473" s="26" t="s">
        <v>1161</v>
      </c>
      <c r="C473" s="33" t="str">
        <f>IFERROR(INDEX(tbl_requisitos_emb[Tema],MATCH(B473,tbl_requisitos_emb[ID_Req],0)),"")</f>
        <v>Materiais em contacto com alimentos</v>
      </c>
      <c r="D473" s="33" t="str">
        <f>IFERROR(INDEX(tbl_recyclass[Segmento],MATCH(A473,tbl_recyclass[ProductId],0)),"")</f>
        <v>Cosmética e higiene pessoal</v>
      </c>
      <c r="E473" s="26" t="s">
        <v>904</v>
      </c>
      <c r="F473" s="26" t="s">
        <v>1450</v>
      </c>
      <c r="G473" s="26" t="s">
        <v>1143</v>
      </c>
      <c r="H473" s="33" t="str">
        <f>IF(E473="Não","Não aplicável",IFERROR(IF(B473="EU-ENV-002",IF(INDEX(tbl_recyclass[Conforme_PPWR_2030],MATCH(A473,tbl_recyclass[ProductId],0))="Sim","Conforme (autoavaliação)",IF(INDEX(tbl_recyclass[Conforme_PPWR_2030],MATCH(A473,tbl_recyclass[ProductId],0))="Não","Não conforme em 2030","Isento até 2035")),IF(B473="EU-ENV-003",IF(INDEX(tbl_recyclass[Conforme_Art7_2030],MATCH(A473,tbl_recyclass[ProductId],0))="Sim","Conforme (meta 2030)",IF(INDEX(tbl_recyclass[Conforme_Art7_2030],MATCH(A473,tbl_recyclass[ProductId],0))="Não","Lacuna face à meta 2030","Isento")),IF(B473="EU-ENV-011",IF(INDEX(tbl_familias_ppwr[Metais_Pesados_Evidencia],MATCH(INDEX(tbl_recyclass[Familia_PPWR],MATCH(A473,tbl_recyclass[ProductId],0)),tbl_familias_ppwr[ID_Familia],0))="Em falta","Lacuna","Conforme"),IF(B473="EU-ENV-013",IF(INDEX(tbl_familias_ppwr[Declaracao_UE],MATCH(INDEX(tbl_recyclass[Familia_PPWR],MATCH(A473,tbl_recyclass[ProductId],0)),tbl_familias_ppwr[ID_Familia],0))="Sim","Conforme","Lacuna"),G473)))),G473))</f>
        <v>Não aplicável</v>
      </c>
      <c r="I473" s="33" t="str">
        <f t="shared" si="7"/>
        <v>Não aplicável</v>
      </c>
      <c r="J473" s="26"/>
    </row>
    <row r="474" spans="1:10" ht="16.05" customHeight="1" x14ac:dyDescent="0.3">
      <c r="A474" s="26" t="s">
        <v>666</v>
      </c>
      <c r="B474" s="26" t="s">
        <v>1170</v>
      </c>
      <c r="C474" s="33" t="str">
        <f>IFERROR(INDEX(tbl_requisitos_emb[Tema],MATCH(B474,tbl_requisitos_emb[ID_Req],0)),"")</f>
        <v>Boas práticas de fabrico FCM</v>
      </c>
      <c r="D474" s="33" t="str">
        <f>IFERROR(INDEX(tbl_recyclass[Segmento],MATCH(A474,tbl_recyclass[ProductId],0)),"")</f>
        <v>Cosmética e higiene pessoal</v>
      </c>
      <c r="E474" s="26" t="s">
        <v>904</v>
      </c>
      <c r="F474" s="26" t="s">
        <v>1450</v>
      </c>
      <c r="G474" s="26" t="s">
        <v>1143</v>
      </c>
      <c r="H474" s="33" t="str">
        <f>IF(E474="Não","Não aplicável",IFERROR(IF(B474="EU-ENV-002",IF(INDEX(tbl_recyclass[Conforme_PPWR_2030],MATCH(A474,tbl_recyclass[ProductId],0))="Sim","Conforme (autoavaliação)",IF(INDEX(tbl_recyclass[Conforme_PPWR_2030],MATCH(A474,tbl_recyclass[ProductId],0))="Não","Não conforme em 2030","Isento até 2035")),IF(B474="EU-ENV-003",IF(INDEX(tbl_recyclass[Conforme_Art7_2030],MATCH(A474,tbl_recyclass[ProductId],0))="Sim","Conforme (meta 2030)",IF(INDEX(tbl_recyclass[Conforme_Art7_2030],MATCH(A474,tbl_recyclass[ProductId],0))="Não","Lacuna face à meta 2030","Isento")),IF(B474="EU-ENV-011",IF(INDEX(tbl_familias_ppwr[Metais_Pesados_Evidencia],MATCH(INDEX(tbl_recyclass[Familia_PPWR],MATCH(A474,tbl_recyclass[ProductId],0)),tbl_familias_ppwr[ID_Familia],0))="Em falta","Lacuna","Conforme"),IF(B474="EU-ENV-013",IF(INDEX(tbl_familias_ppwr[Declaracao_UE],MATCH(INDEX(tbl_recyclass[Familia_PPWR],MATCH(A474,tbl_recyclass[ProductId],0)),tbl_familias_ppwr[ID_Familia],0))="Sim","Conforme","Lacuna"),G474)))),G474))</f>
        <v>Não aplicável</v>
      </c>
      <c r="I474" s="33" t="str">
        <f t="shared" si="7"/>
        <v>Não aplicável</v>
      </c>
      <c r="J474" s="26"/>
    </row>
    <row r="475" spans="1:10" ht="16.05" customHeight="1" x14ac:dyDescent="0.3">
      <c r="A475" s="26" t="s">
        <v>666</v>
      </c>
      <c r="B475" s="26" t="s">
        <v>1179</v>
      </c>
      <c r="C475" s="33" t="str">
        <f>IFERROR(INDEX(tbl_requisitos_emb[Tema],MATCH(B475,tbl_requisitos_emb[ID_Req],0)),"")</f>
        <v>Bisfenol A e bisfenóis perigosos</v>
      </c>
      <c r="D475" s="33" t="str">
        <f>IFERROR(INDEX(tbl_recyclass[Segmento],MATCH(A475,tbl_recyclass[ProductId],0)),"")</f>
        <v>Cosmética e higiene pessoal</v>
      </c>
      <c r="E475" s="26" t="s">
        <v>904</v>
      </c>
      <c r="F475" s="26" t="s">
        <v>1450</v>
      </c>
      <c r="G475" s="26" t="s">
        <v>1143</v>
      </c>
      <c r="H475" s="33" t="str">
        <f>IF(E475="Não","Não aplicável",IFERROR(IF(B475="EU-ENV-002",IF(INDEX(tbl_recyclass[Conforme_PPWR_2030],MATCH(A475,tbl_recyclass[ProductId],0))="Sim","Conforme (autoavaliação)",IF(INDEX(tbl_recyclass[Conforme_PPWR_2030],MATCH(A475,tbl_recyclass[ProductId],0))="Não","Não conforme em 2030","Isento até 2035")),IF(B475="EU-ENV-003",IF(INDEX(tbl_recyclass[Conforme_Art7_2030],MATCH(A475,tbl_recyclass[ProductId],0))="Sim","Conforme (meta 2030)",IF(INDEX(tbl_recyclass[Conforme_Art7_2030],MATCH(A475,tbl_recyclass[ProductId],0))="Não","Lacuna face à meta 2030","Isento")),IF(B475="EU-ENV-011",IF(INDEX(tbl_familias_ppwr[Metais_Pesados_Evidencia],MATCH(INDEX(tbl_recyclass[Familia_PPWR],MATCH(A475,tbl_recyclass[ProductId],0)),tbl_familias_ppwr[ID_Familia],0))="Em falta","Lacuna","Conforme"),IF(B475="EU-ENV-013",IF(INDEX(tbl_familias_ppwr[Declaracao_UE],MATCH(INDEX(tbl_recyclass[Familia_PPWR],MATCH(A475,tbl_recyclass[ProductId],0)),tbl_familias_ppwr[ID_Familia],0))="Sim","Conforme","Lacuna"),G475)))),G475))</f>
        <v>Não aplicável</v>
      </c>
      <c r="I475" s="33" t="str">
        <f t="shared" si="7"/>
        <v>Não aplicável</v>
      </c>
      <c r="J475" s="26"/>
    </row>
    <row r="476" spans="1:10" ht="16.05" customHeight="1" x14ac:dyDescent="0.3">
      <c r="A476" s="26" t="s">
        <v>666</v>
      </c>
      <c r="B476" s="26" t="s">
        <v>1188</v>
      </c>
      <c r="C476" s="33" t="str">
        <f>IFERROR(INDEX(tbl_requisitos_emb[Tema],MATCH(B476,tbl_requisitos_emb[ID_Req],0)),"")</f>
        <v>Plásticos em contacto com alimentos</v>
      </c>
      <c r="D476" s="33" t="str">
        <f>IFERROR(INDEX(tbl_recyclass[Segmento],MATCH(A476,tbl_recyclass[ProductId],0)),"")</f>
        <v>Cosmética e higiene pessoal</v>
      </c>
      <c r="E476" s="26" t="s">
        <v>904</v>
      </c>
      <c r="F476" s="26" t="s">
        <v>1450</v>
      </c>
      <c r="G476" s="26" t="s">
        <v>1143</v>
      </c>
      <c r="H476" s="33" t="str">
        <f>IF(E476="Não","Não aplicável",IFERROR(IF(B476="EU-ENV-002",IF(INDEX(tbl_recyclass[Conforme_PPWR_2030],MATCH(A476,tbl_recyclass[ProductId],0))="Sim","Conforme (autoavaliação)",IF(INDEX(tbl_recyclass[Conforme_PPWR_2030],MATCH(A476,tbl_recyclass[ProductId],0))="Não","Não conforme em 2030","Isento até 2035")),IF(B476="EU-ENV-003",IF(INDEX(tbl_recyclass[Conforme_Art7_2030],MATCH(A476,tbl_recyclass[ProductId],0))="Sim","Conforme (meta 2030)",IF(INDEX(tbl_recyclass[Conforme_Art7_2030],MATCH(A476,tbl_recyclass[ProductId],0))="Não","Lacuna face à meta 2030","Isento")),IF(B476="EU-ENV-011",IF(INDEX(tbl_familias_ppwr[Metais_Pesados_Evidencia],MATCH(INDEX(tbl_recyclass[Familia_PPWR],MATCH(A476,tbl_recyclass[ProductId],0)),tbl_familias_ppwr[ID_Familia],0))="Em falta","Lacuna","Conforme"),IF(B476="EU-ENV-013",IF(INDEX(tbl_familias_ppwr[Declaracao_UE],MATCH(INDEX(tbl_recyclass[Familia_PPWR],MATCH(A476,tbl_recyclass[ProductId],0)),tbl_familias_ppwr[ID_Familia],0))="Sim","Conforme","Lacuna"),G476)))),G476))</f>
        <v>Não aplicável</v>
      </c>
      <c r="I476" s="33" t="str">
        <f t="shared" si="7"/>
        <v>Não aplicável</v>
      </c>
      <c r="J476" s="26"/>
    </row>
    <row r="477" spans="1:10" ht="16.05" customHeight="1" x14ac:dyDescent="0.3">
      <c r="A477" s="26" t="s">
        <v>666</v>
      </c>
      <c r="B477" s="26" t="s">
        <v>1212</v>
      </c>
      <c r="C477" s="33" t="str">
        <f>IFERROR(INDEX(tbl_requisitos_emb[Tema],MATCH(B477,tbl_requisitos_emb[ID_Req],0)),"")</f>
        <v>Segurança do produto cosmético</v>
      </c>
      <c r="D477" s="33" t="str">
        <f>IFERROR(INDEX(tbl_recyclass[Segmento],MATCH(A477,tbl_recyclass[ProductId],0)),"")</f>
        <v>Cosmética e higiene pessoal</v>
      </c>
      <c r="E477" s="26" t="s">
        <v>901</v>
      </c>
      <c r="F477" s="26" t="s">
        <v>1449</v>
      </c>
      <c r="G477" s="26" t="s">
        <v>1033</v>
      </c>
      <c r="H477" s="33" t="str">
        <f>IF(E477="Não","Não aplicável",IFERROR(IF(B477="EU-ENV-002",IF(INDEX(tbl_recyclass[Conforme_PPWR_2030],MATCH(A477,tbl_recyclass[ProductId],0))="Sim","Conforme (autoavaliação)",IF(INDEX(tbl_recyclass[Conforme_PPWR_2030],MATCH(A477,tbl_recyclass[ProductId],0))="Não","Não conforme em 2030","Isento até 2035")),IF(B477="EU-ENV-003",IF(INDEX(tbl_recyclass[Conforme_Art7_2030],MATCH(A477,tbl_recyclass[ProductId],0))="Sim","Conforme (meta 2030)",IF(INDEX(tbl_recyclass[Conforme_Art7_2030],MATCH(A477,tbl_recyclass[ProductId],0))="Não","Lacuna face à meta 2030","Isento")),IF(B477="EU-ENV-011",IF(INDEX(tbl_familias_ppwr[Metais_Pesados_Evidencia],MATCH(INDEX(tbl_recyclass[Familia_PPWR],MATCH(A477,tbl_recyclass[ProductId],0)),tbl_familias_ppwr[ID_Familia],0))="Em falta","Lacuna","Conforme"),IF(B477="EU-ENV-013",IF(INDEX(tbl_familias_ppwr[Declaracao_UE],MATCH(INDEX(tbl_recyclass[Familia_PPWR],MATCH(A477,tbl_recyclass[ProductId],0)),tbl_familias_ppwr[ID_Familia],0))="Sim","Conforme","Lacuna"),G477)))),G477))</f>
        <v>Conforme</v>
      </c>
      <c r="I477" s="33" t="str">
        <f t="shared" si="7"/>
        <v>Conforme</v>
      </c>
      <c r="J477" s="26" t="s">
        <v>1221</v>
      </c>
    </row>
    <row r="478" spans="1:10" ht="16.05" customHeight="1" x14ac:dyDescent="0.3">
      <c r="A478" s="26" t="s">
        <v>666</v>
      </c>
      <c r="B478" s="26" t="s">
        <v>1224</v>
      </c>
      <c r="C478" s="33" t="str">
        <f>IFERROR(INDEX(tbl_requisitos_emb[Tema],MATCH(B478,tbl_requisitos_emb[ID_Req],0)),"")</f>
        <v>Materiais e impurezas</v>
      </c>
      <c r="D478" s="33" t="str">
        <f>IFERROR(INDEX(tbl_recyclass[Segmento],MATCH(A478,tbl_recyclass[ProductId],0)),"")</f>
        <v>Cosmética e higiene pessoal</v>
      </c>
      <c r="E478" s="26" t="s">
        <v>901</v>
      </c>
      <c r="F478" s="26" t="s">
        <v>1449</v>
      </c>
      <c r="G478" s="26" t="s">
        <v>978</v>
      </c>
      <c r="H478" s="33" t="str">
        <f>IF(E478="Não","Não aplicável",IFERROR(IF(B478="EU-ENV-002",IF(INDEX(tbl_recyclass[Conforme_PPWR_2030],MATCH(A478,tbl_recyclass[ProductId],0))="Sim","Conforme (autoavaliação)",IF(INDEX(tbl_recyclass[Conforme_PPWR_2030],MATCH(A478,tbl_recyclass[ProductId],0))="Não","Não conforme em 2030","Isento até 2035")),IF(B478="EU-ENV-003",IF(INDEX(tbl_recyclass[Conforme_Art7_2030],MATCH(A478,tbl_recyclass[ProductId],0))="Sim","Conforme (meta 2030)",IF(INDEX(tbl_recyclass[Conforme_Art7_2030],MATCH(A478,tbl_recyclass[ProductId],0))="Não","Lacuna face à meta 2030","Isento")),IF(B478="EU-ENV-011",IF(INDEX(tbl_familias_ppwr[Metais_Pesados_Evidencia],MATCH(INDEX(tbl_recyclass[Familia_PPWR],MATCH(A478,tbl_recyclass[ProductId],0)),tbl_familias_ppwr[ID_Familia],0))="Em falta","Lacuna","Conforme"),IF(B478="EU-ENV-013",IF(INDEX(tbl_familias_ppwr[Declaracao_UE],MATCH(INDEX(tbl_recyclass[Familia_PPWR],MATCH(A478,tbl_recyclass[ProductId],0)),tbl_familias_ppwr[ID_Familia],0))="Sim","Conforme","Lacuna"),G478)))),G478))</f>
        <v>Parcial</v>
      </c>
      <c r="I478" s="33" t="str">
        <f t="shared" si="7"/>
        <v>Parcial</v>
      </c>
      <c r="J478" s="26" t="s">
        <v>1228</v>
      </c>
    </row>
    <row r="479" spans="1:10" ht="16.05" customHeight="1" x14ac:dyDescent="0.3">
      <c r="A479" s="26" t="s">
        <v>666</v>
      </c>
      <c r="B479" s="26" t="s">
        <v>1240</v>
      </c>
      <c r="C479" s="33" t="str">
        <f>IFERROR(INDEX(tbl_requisitos_emb[Tema],MATCH(B479,tbl_requisitos_emb[ID_Req],0)),"")</f>
        <v>Compatibilidade embalagem–produto</v>
      </c>
      <c r="D479" s="33" t="str">
        <f>IFERROR(INDEX(tbl_recyclass[Segmento],MATCH(A479,tbl_recyclass[ProductId],0)),"")</f>
        <v>Cosmética e higiene pessoal</v>
      </c>
      <c r="E479" s="26" t="s">
        <v>901</v>
      </c>
      <c r="F479" s="26" t="s">
        <v>1449</v>
      </c>
      <c r="G479" s="26" t="s">
        <v>1033</v>
      </c>
      <c r="H479" s="33" t="str">
        <f>IF(E479="Não","Não aplicável",IFERROR(IF(B479="EU-ENV-002",IF(INDEX(tbl_recyclass[Conforme_PPWR_2030],MATCH(A479,tbl_recyclass[ProductId],0))="Sim","Conforme (autoavaliação)",IF(INDEX(tbl_recyclass[Conforme_PPWR_2030],MATCH(A479,tbl_recyclass[ProductId],0))="Não","Não conforme em 2030","Isento até 2035")),IF(B479="EU-ENV-003",IF(INDEX(tbl_recyclass[Conforme_Art7_2030],MATCH(A479,tbl_recyclass[ProductId],0))="Sim","Conforme (meta 2030)",IF(INDEX(tbl_recyclass[Conforme_Art7_2030],MATCH(A479,tbl_recyclass[ProductId],0))="Não","Lacuna face à meta 2030","Isento")),IF(B479="EU-ENV-011",IF(INDEX(tbl_familias_ppwr[Metais_Pesados_Evidencia],MATCH(INDEX(tbl_recyclass[Familia_PPWR],MATCH(A479,tbl_recyclass[ProductId],0)),tbl_familias_ppwr[ID_Familia],0))="Em falta","Lacuna","Conforme"),IF(B479="EU-ENV-013",IF(INDEX(tbl_familias_ppwr[Declaracao_UE],MATCH(INDEX(tbl_recyclass[Familia_PPWR],MATCH(A479,tbl_recyclass[ProductId],0)),tbl_familias_ppwr[ID_Familia],0))="Sim","Conforme","Lacuna"),G479)))),G479))</f>
        <v>Conforme</v>
      </c>
      <c r="I479" s="33" t="str">
        <f t="shared" si="7"/>
        <v>Conforme</v>
      </c>
      <c r="J479" s="26" t="s">
        <v>1244</v>
      </c>
    </row>
    <row r="480" spans="1:10" ht="16.05" customHeight="1" x14ac:dyDescent="0.3">
      <c r="A480" s="26" t="s">
        <v>666</v>
      </c>
      <c r="B480" s="26" t="s">
        <v>1252</v>
      </c>
      <c r="C480" s="33" t="str">
        <f>IFERROR(INDEX(tbl_requisitos_emb[Tema],MATCH(B480,tbl_requisitos_emb[ID_Req],0)),"")</f>
        <v>Medicamentos de uso humano</v>
      </c>
      <c r="D480" s="33" t="str">
        <f>IFERROR(INDEX(tbl_recyclass[Segmento],MATCH(A480,tbl_recyclass[ProductId],0)),"")</f>
        <v>Cosmética e higiene pessoal</v>
      </c>
      <c r="E480" s="26" t="s">
        <v>904</v>
      </c>
      <c r="F480" s="26" t="s">
        <v>1451</v>
      </c>
      <c r="G480" s="26" t="s">
        <v>1143</v>
      </c>
      <c r="H480" s="33" t="str">
        <f>IF(E480="Não","Não aplicável",IFERROR(IF(B480="EU-ENV-002",IF(INDEX(tbl_recyclass[Conforme_PPWR_2030],MATCH(A480,tbl_recyclass[ProductId],0))="Sim","Conforme (autoavaliação)",IF(INDEX(tbl_recyclass[Conforme_PPWR_2030],MATCH(A480,tbl_recyclass[ProductId],0))="Não","Não conforme em 2030","Isento até 2035")),IF(B480="EU-ENV-003",IF(INDEX(tbl_recyclass[Conforme_Art7_2030],MATCH(A480,tbl_recyclass[ProductId],0))="Sim","Conforme (meta 2030)",IF(INDEX(tbl_recyclass[Conforme_Art7_2030],MATCH(A480,tbl_recyclass[ProductId],0))="Não","Lacuna face à meta 2030","Isento")),IF(B480="EU-ENV-011",IF(INDEX(tbl_familias_ppwr[Metais_Pesados_Evidencia],MATCH(INDEX(tbl_recyclass[Familia_PPWR],MATCH(A480,tbl_recyclass[ProductId],0)),tbl_familias_ppwr[ID_Familia],0))="Em falta","Lacuna","Conforme"),IF(B480="EU-ENV-013",IF(INDEX(tbl_familias_ppwr[Declaracao_UE],MATCH(INDEX(tbl_recyclass[Familia_PPWR],MATCH(A480,tbl_recyclass[ProductId],0)),tbl_familias_ppwr[ID_Familia],0))="Sim","Conforme","Lacuna"),G480)))),G480))</f>
        <v>Não aplicável</v>
      </c>
      <c r="I480" s="33" t="str">
        <f t="shared" si="7"/>
        <v>Não aplicável</v>
      </c>
      <c r="J480" s="26"/>
    </row>
    <row r="481" spans="1:10" ht="16.05" customHeight="1" x14ac:dyDescent="0.3">
      <c r="A481" s="26" t="s">
        <v>666</v>
      </c>
      <c r="B481" s="26" t="s">
        <v>1268</v>
      </c>
      <c r="C481" s="33" t="str">
        <f>IFERROR(INDEX(tbl_requisitos_emb[Tema],MATCH(B481,tbl_requisitos_emb[ID_Req],0)),"")</f>
        <v>Dispositivos de segurança</v>
      </c>
      <c r="D481" s="33" t="str">
        <f>IFERROR(INDEX(tbl_recyclass[Segmento],MATCH(A481,tbl_recyclass[ProductId],0)),"")</f>
        <v>Cosmética e higiene pessoal</v>
      </c>
      <c r="E481" s="26" t="s">
        <v>904</v>
      </c>
      <c r="F481" s="26" t="s">
        <v>1451</v>
      </c>
      <c r="G481" s="26" t="s">
        <v>1143</v>
      </c>
      <c r="H481" s="33" t="str">
        <f>IF(E481="Não","Não aplicável",IFERROR(IF(B481="EU-ENV-002",IF(INDEX(tbl_recyclass[Conforme_PPWR_2030],MATCH(A481,tbl_recyclass[ProductId],0))="Sim","Conforme (autoavaliação)",IF(INDEX(tbl_recyclass[Conforme_PPWR_2030],MATCH(A481,tbl_recyclass[ProductId],0))="Não","Não conforme em 2030","Isento até 2035")),IF(B481="EU-ENV-003",IF(INDEX(tbl_recyclass[Conforme_Art7_2030],MATCH(A481,tbl_recyclass[ProductId],0))="Sim","Conforme (meta 2030)",IF(INDEX(tbl_recyclass[Conforme_Art7_2030],MATCH(A481,tbl_recyclass[ProductId],0))="Não","Lacuna face à meta 2030","Isento")),IF(B481="EU-ENV-011",IF(INDEX(tbl_familias_ppwr[Metais_Pesados_Evidencia],MATCH(INDEX(tbl_recyclass[Familia_PPWR],MATCH(A481,tbl_recyclass[ProductId],0)),tbl_familias_ppwr[ID_Familia],0))="Em falta","Lacuna","Conforme"),IF(B481="EU-ENV-013",IF(INDEX(tbl_familias_ppwr[Declaracao_UE],MATCH(INDEX(tbl_recyclass[Familia_PPWR],MATCH(A481,tbl_recyclass[ProductId],0)),tbl_familias_ppwr[ID_Familia],0))="Sim","Conforme","Lacuna"),G481)))),G481))</f>
        <v>Não aplicável</v>
      </c>
      <c r="I481" s="33" t="str">
        <f t="shared" si="7"/>
        <v>Não aplicável</v>
      </c>
      <c r="J481" s="26"/>
    </row>
    <row r="482" spans="1:10" ht="16.05" customHeight="1" x14ac:dyDescent="0.3">
      <c r="A482" s="26" t="s">
        <v>666</v>
      </c>
      <c r="B482" s="26" t="s">
        <v>1285</v>
      </c>
      <c r="C482" s="33" t="str">
        <f>IFERROR(INDEX(tbl_requisitos_emb[Tema],MATCH(B482,tbl_requisitos_emb[ID_Req],0)),"")</f>
        <v>Materiais plásticos de acondicionamento primário</v>
      </c>
      <c r="D482" s="33" t="str">
        <f>IFERROR(INDEX(tbl_recyclass[Segmento],MATCH(A482,tbl_recyclass[ProductId],0)),"")</f>
        <v>Cosmética e higiene pessoal</v>
      </c>
      <c r="E482" s="26" t="s">
        <v>904</v>
      </c>
      <c r="F482" s="26" t="s">
        <v>1451</v>
      </c>
      <c r="G482" s="26" t="s">
        <v>1143</v>
      </c>
      <c r="H482" s="33" t="str">
        <f>IF(E482="Não","Não aplicável",IFERROR(IF(B482="EU-ENV-002",IF(INDEX(tbl_recyclass[Conforme_PPWR_2030],MATCH(A482,tbl_recyclass[ProductId],0))="Sim","Conforme (autoavaliação)",IF(INDEX(tbl_recyclass[Conforme_PPWR_2030],MATCH(A482,tbl_recyclass[ProductId],0))="Não","Não conforme em 2030","Isento até 2035")),IF(B482="EU-ENV-003",IF(INDEX(tbl_recyclass[Conforme_Art7_2030],MATCH(A482,tbl_recyclass[ProductId],0))="Sim","Conforme (meta 2030)",IF(INDEX(tbl_recyclass[Conforme_Art7_2030],MATCH(A482,tbl_recyclass[ProductId],0))="Não","Lacuna face à meta 2030","Isento")),IF(B482="EU-ENV-011",IF(INDEX(tbl_familias_ppwr[Metais_Pesados_Evidencia],MATCH(INDEX(tbl_recyclass[Familia_PPWR],MATCH(A482,tbl_recyclass[ProductId],0)),tbl_familias_ppwr[ID_Familia],0))="Em falta","Lacuna","Conforme"),IF(B482="EU-ENV-013",IF(INDEX(tbl_familias_ppwr[Declaracao_UE],MATCH(INDEX(tbl_recyclass[Familia_PPWR],MATCH(A482,tbl_recyclass[ProductId],0)),tbl_familias_ppwr[ID_Familia],0))="Sim","Conforme","Lacuna"),G482)))),G482))</f>
        <v>Não aplicável</v>
      </c>
      <c r="I482" s="33" t="str">
        <f t="shared" si="7"/>
        <v>Não aplicável</v>
      </c>
      <c r="J482" s="26"/>
    </row>
    <row r="483" spans="1:10" ht="16.05" customHeight="1" x14ac:dyDescent="0.3">
      <c r="A483" s="26" t="s">
        <v>666</v>
      </c>
      <c r="B483" s="26" t="s">
        <v>1293</v>
      </c>
      <c r="C483" s="33" t="str">
        <f>IFERROR(INDEX(tbl_requisitos_emb[Tema],MATCH(B483,tbl_requisitos_emb[ID_Req],0)),"")</f>
        <v>Isenções PPWR</v>
      </c>
      <c r="D483" s="33" t="str">
        <f>IFERROR(INDEX(tbl_recyclass[Segmento],MATCH(A483,tbl_recyclass[ProductId],0)),"")</f>
        <v>Cosmética e higiene pessoal</v>
      </c>
      <c r="E483" s="26" t="s">
        <v>904</v>
      </c>
      <c r="F483" s="26" t="s">
        <v>1451</v>
      </c>
      <c r="G483" s="26" t="s">
        <v>1143</v>
      </c>
      <c r="H483" s="33" t="str">
        <f>IF(E483="Não","Não aplicável",IFERROR(IF(B483="EU-ENV-002",IF(INDEX(tbl_recyclass[Conforme_PPWR_2030],MATCH(A483,tbl_recyclass[ProductId],0))="Sim","Conforme (autoavaliação)",IF(INDEX(tbl_recyclass[Conforme_PPWR_2030],MATCH(A483,tbl_recyclass[ProductId],0))="Não","Não conforme em 2030","Isento até 2035")),IF(B483="EU-ENV-003",IF(INDEX(tbl_recyclass[Conforme_Art7_2030],MATCH(A483,tbl_recyclass[ProductId],0))="Sim","Conforme (meta 2030)",IF(INDEX(tbl_recyclass[Conforme_Art7_2030],MATCH(A483,tbl_recyclass[ProductId],0))="Não","Lacuna face à meta 2030","Isento")),IF(B483="EU-ENV-011",IF(INDEX(tbl_familias_ppwr[Metais_Pesados_Evidencia],MATCH(INDEX(tbl_recyclass[Familia_PPWR],MATCH(A483,tbl_recyclass[ProductId],0)),tbl_familias_ppwr[ID_Familia],0))="Em falta","Lacuna","Conforme"),IF(B483="EU-ENV-013",IF(INDEX(tbl_familias_ppwr[Declaracao_UE],MATCH(INDEX(tbl_recyclass[Familia_PPWR],MATCH(A483,tbl_recyclass[ProductId],0)),tbl_familias_ppwr[ID_Familia],0))="Sim","Conforme","Lacuna"),G483)))),G483))</f>
        <v>Não aplicável</v>
      </c>
      <c r="I483" s="33" t="str">
        <f t="shared" si="7"/>
        <v>Não aplicável</v>
      </c>
      <c r="J483" s="26"/>
    </row>
    <row r="484" spans="1:10" ht="16.05" customHeight="1" x14ac:dyDescent="0.3">
      <c r="A484" s="26" t="s">
        <v>666</v>
      </c>
      <c r="B484" s="26" t="s">
        <v>1357</v>
      </c>
      <c r="C484" s="33" t="str">
        <f>IFERROR(INDEX(tbl_requisitos_emb[Tema],MATCH(B484,tbl_requisitos_emb[ID_Req],0)),"")</f>
        <v>Identificação de plásticos</v>
      </c>
      <c r="D484" s="33" t="str">
        <f>IFERROR(INDEX(tbl_recyclass[Segmento],MATCH(A484,tbl_recyclass[ProductId],0)),"")</f>
        <v>Cosmética e higiene pessoal</v>
      </c>
      <c r="E484" s="26" t="s">
        <v>901</v>
      </c>
      <c r="F484" s="26" t="s">
        <v>1449</v>
      </c>
      <c r="G484" s="26" t="s">
        <v>978</v>
      </c>
      <c r="H484" s="33" t="str">
        <f>IF(E484="Não","Não aplicável",IFERROR(IF(B484="EU-ENV-002",IF(INDEX(tbl_recyclass[Conforme_PPWR_2030],MATCH(A484,tbl_recyclass[ProductId],0))="Sim","Conforme (autoavaliação)",IF(INDEX(tbl_recyclass[Conforme_PPWR_2030],MATCH(A484,tbl_recyclass[ProductId],0))="Não","Não conforme em 2030","Isento até 2035")),IF(B484="EU-ENV-003",IF(INDEX(tbl_recyclass[Conforme_Art7_2030],MATCH(A484,tbl_recyclass[ProductId],0))="Sim","Conforme (meta 2030)",IF(INDEX(tbl_recyclass[Conforme_Art7_2030],MATCH(A484,tbl_recyclass[ProductId],0))="Não","Lacuna face à meta 2030","Isento")),IF(B484="EU-ENV-011",IF(INDEX(tbl_familias_ppwr[Metais_Pesados_Evidencia],MATCH(INDEX(tbl_recyclass[Familia_PPWR],MATCH(A484,tbl_recyclass[ProductId],0)),tbl_familias_ppwr[ID_Familia],0))="Em falta","Lacuna","Conforme"),IF(B484="EU-ENV-013",IF(INDEX(tbl_familias_ppwr[Declaracao_UE],MATCH(INDEX(tbl_recyclass[Familia_PPWR],MATCH(A484,tbl_recyclass[ProductId],0)),tbl_familias_ppwr[ID_Familia],0))="Sim","Conforme","Lacuna"),G484)))),G484))</f>
        <v>Parcial</v>
      </c>
      <c r="I484" s="33" t="str">
        <f t="shared" si="7"/>
        <v>Parcial</v>
      </c>
      <c r="J484" s="26" t="s">
        <v>1362</v>
      </c>
    </row>
    <row r="485" spans="1:10" ht="16.05" customHeight="1" x14ac:dyDescent="0.3">
      <c r="A485" s="26" t="s">
        <v>666</v>
      </c>
      <c r="B485" s="26" t="s">
        <v>1385</v>
      </c>
      <c r="C485" s="33" t="str">
        <f>IFERROR(INDEX(tbl_requisitos_emb[Tema],MATCH(B485,tbl_requisitos_emb[ID_Req],0)),"")</f>
        <v>Reciclabilidade (voluntária)</v>
      </c>
      <c r="D485" s="33" t="str">
        <f>IFERROR(INDEX(tbl_recyclass[Segmento],MATCH(A485,tbl_recyclass[ProductId],0)),"")</f>
        <v>Cosmética e higiene pessoal</v>
      </c>
      <c r="E485" s="26" t="s">
        <v>901</v>
      </c>
      <c r="F485" s="26" t="s">
        <v>1449</v>
      </c>
      <c r="G485" s="26" t="s">
        <v>978</v>
      </c>
      <c r="H485" s="33" t="str">
        <f>IF(E485="Não","Não aplicável",IFERROR(IF(B485="EU-ENV-002",IF(INDEX(tbl_recyclass[Conforme_PPWR_2030],MATCH(A485,tbl_recyclass[ProductId],0))="Sim","Conforme (autoavaliação)",IF(INDEX(tbl_recyclass[Conforme_PPWR_2030],MATCH(A485,tbl_recyclass[ProductId],0))="Não","Não conforme em 2030","Isento até 2035")),IF(B485="EU-ENV-003",IF(INDEX(tbl_recyclass[Conforme_Art7_2030],MATCH(A485,tbl_recyclass[ProductId],0))="Sim","Conforme (meta 2030)",IF(INDEX(tbl_recyclass[Conforme_Art7_2030],MATCH(A485,tbl_recyclass[ProductId],0))="Não","Lacuna face à meta 2030","Isento")),IF(B485="EU-ENV-011",IF(INDEX(tbl_familias_ppwr[Metais_Pesados_Evidencia],MATCH(INDEX(tbl_recyclass[Familia_PPWR],MATCH(A485,tbl_recyclass[ProductId],0)),tbl_familias_ppwr[ID_Familia],0))="Em falta","Lacuna","Conforme"),IF(B485="EU-ENV-013",IF(INDEX(tbl_familias_ppwr[Declaracao_UE],MATCH(INDEX(tbl_recyclass[Familia_PPWR],MATCH(A485,tbl_recyclass[ProductId],0)),tbl_familias_ppwr[ID_Familia],0))="Sim","Conforme","Lacuna"),G485)))),G485))</f>
        <v>Parcial</v>
      </c>
      <c r="I485" s="33" t="str">
        <f t="shared" si="7"/>
        <v>Parcial</v>
      </c>
      <c r="J485" s="26" t="s">
        <v>1389</v>
      </c>
    </row>
    <row r="486" spans="1:10" ht="16.05" customHeight="1" x14ac:dyDescent="0.3">
      <c r="A486" s="26" t="s">
        <v>668</v>
      </c>
      <c r="B486" s="26" t="s">
        <v>984</v>
      </c>
      <c r="C486" s="33" t="str">
        <f>IFERROR(INDEX(tbl_requisitos_emb[Tema],MATCH(B486,tbl_requisitos_emb[ID_Req],0)),"")</f>
        <v>Conceção para reciclagem</v>
      </c>
      <c r="D486" s="33" t="str">
        <f>IFERROR(INDEX(tbl_recyclass[Segmento],MATCH(A486,tbl_recyclass[ProductId],0)),"")</f>
        <v>Cosmética e higiene pessoal</v>
      </c>
      <c r="E486" s="26" t="s">
        <v>901</v>
      </c>
      <c r="F486" s="26" t="s">
        <v>1449</v>
      </c>
      <c r="G486" s="26" t="s">
        <v>978</v>
      </c>
      <c r="H486" s="33" t="str">
        <f>IF(E486="Não","Não aplicável",IFERROR(IF(B486="EU-ENV-002",IF(INDEX(tbl_recyclass[Conforme_PPWR_2030],MATCH(A486,tbl_recyclass[ProductId],0))="Sim","Conforme (autoavaliação)",IF(INDEX(tbl_recyclass[Conforme_PPWR_2030],MATCH(A486,tbl_recyclass[ProductId],0))="Não","Não conforme em 2030","Isento até 2035")),IF(B486="EU-ENV-003",IF(INDEX(tbl_recyclass[Conforme_Art7_2030],MATCH(A486,tbl_recyclass[ProductId],0))="Sim","Conforme (meta 2030)",IF(INDEX(tbl_recyclass[Conforme_Art7_2030],MATCH(A486,tbl_recyclass[ProductId],0))="Não","Lacuna face à meta 2030","Isento")),IF(B486="EU-ENV-011",IF(INDEX(tbl_familias_ppwr[Metais_Pesados_Evidencia],MATCH(INDEX(tbl_recyclass[Familia_PPWR],MATCH(A486,tbl_recyclass[ProductId],0)),tbl_familias_ppwr[ID_Familia],0))="Em falta","Lacuna","Conforme"),IF(B486="EU-ENV-013",IF(INDEX(tbl_familias_ppwr[Declaracao_UE],MATCH(INDEX(tbl_recyclass[Familia_PPWR],MATCH(A486,tbl_recyclass[ProductId],0)),tbl_familias_ppwr[ID_Familia],0))="Sim","Conforme","Lacuna"),G486)))),G486))</f>
        <v>Não conforme em 2030</v>
      </c>
      <c r="I486" s="33" t="str">
        <f t="shared" si="7"/>
        <v>Não conforme</v>
      </c>
      <c r="J486" s="26" t="s">
        <v>991</v>
      </c>
    </row>
    <row r="487" spans="1:10" ht="16.05" customHeight="1" x14ac:dyDescent="0.3">
      <c r="A487" s="26" t="s">
        <v>668</v>
      </c>
      <c r="B487" s="26" t="s">
        <v>997</v>
      </c>
      <c r="C487" s="33" t="str">
        <f>IFERROR(INDEX(tbl_requisitos_emb[Tema],MATCH(B487,tbl_requisitos_emb[ID_Req],0)),"")</f>
        <v>Conteúdo reciclado</v>
      </c>
      <c r="D487" s="33" t="str">
        <f>IFERROR(INDEX(tbl_recyclass[Segmento],MATCH(A487,tbl_recyclass[ProductId],0)),"")</f>
        <v>Cosmética e higiene pessoal</v>
      </c>
      <c r="E487" s="26" t="s">
        <v>901</v>
      </c>
      <c r="F487" s="26" t="s">
        <v>1449</v>
      </c>
      <c r="G487" s="26" t="s">
        <v>978</v>
      </c>
      <c r="H487" s="33" t="str">
        <f>IF(E487="Não","Não aplicável",IFERROR(IF(B487="EU-ENV-002",IF(INDEX(tbl_recyclass[Conforme_PPWR_2030],MATCH(A487,tbl_recyclass[ProductId],0))="Sim","Conforme (autoavaliação)",IF(INDEX(tbl_recyclass[Conforme_PPWR_2030],MATCH(A487,tbl_recyclass[ProductId],0))="Não","Não conforme em 2030","Isento até 2035")),IF(B487="EU-ENV-003",IF(INDEX(tbl_recyclass[Conforme_Art7_2030],MATCH(A487,tbl_recyclass[ProductId],0))="Sim","Conforme (meta 2030)",IF(INDEX(tbl_recyclass[Conforme_Art7_2030],MATCH(A487,tbl_recyclass[ProductId],0))="Não","Lacuna face à meta 2030","Isento")),IF(B487="EU-ENV-011",IF(INDEX(tbl_familias_ppwr[Metais_Pesados_Evidencia],MATCH(INDEX(tbl_recyclass[Familia_PPWR],MATCH(A487,tbl_recyclass[ProductId],0)),tbl_familias_ppwr[ID_Familia],0))="Em falta","Lacuna","Conforme"),IF(B487="EU-ENV-013",IF(INDEX(tbl_familias_ppwr[Declaracao_UE],MATCH(INDEX(tbl_recyclass[Familia_PPWR],MATCH(A487,tbl_recyclass[ProductId],0)),tbl_familias_ppwr[ID_Familia],0))="Sim","Conforme","Lacuna"),G487)))),G487))</f>
        <v>Lacuna face à meta 2030</v>
      </c>
      <c r="I487" s="33" t="str">
        <f t="shared" si="7"/>
        <v>Lacuna</v>
      </c>
      <c r="J487" s="26" t="s">
        <v>1001</v>
      </c>
    </row>
    <row r="488" spans="1:10" ht="16.05" customHeight="1" x14ac:dyDescent="0.3">
      <c r="A488" s="26" t="s">
        <v>668</v>
      </c>
      <c r="B488" s="26" t="s">
        <v>1007</v>
      </c>
      <c r="C488" s="33" t="str">
        <f>IFERROR(INDEX(tbl_requisitos_emb[Tema],MATCH(B488,tbl_requisitos_emb[ID_Req],0)),"")</f>
        <v>Minimização</v>
      </c>
      <c r="D488" s="33" t="str">
        <f>IFERROR(INDEX(tbl_recyclass[Segmento],MATCH(A488,tbl_recyclass[ProductId],0)),"")</f>
        <v>Cosmética e higiene pessoal</v>
      </c>
      <c r="E488" s="26" t="s">
        <v>901</v>
      </c>
      <c r="F488" s="26" t="s">
        <v>1449</v>
      </c>
      <c r="G488" s="26" t="s">
        <v>978</v>
      </c>
      <c r="H488" s="33" t="str">
        <f>IF(E488="Não","Não aplicável",IFERROR(IF(B488="EU-ENV-002",IF(INDEX(tbl_recyclass[Conforme_PPWR_2030],MATCH(A488,tbl_recyclass[ProductId],0))="Sim","Conforme (autoavaliação)",IF(INDEX(tbl_recyclass[Conforme_PPWR_2030],MATCH(A488,tbl_recyclass[ProductId],0))="Não","Não conforme em 2030","Isento até 2035")),IF(B488="EU-ENV-003",IF(INDEX(tbl_recyclass[Conforme_Art7_2030],MATCH(A488,tbl_recyclass[ProductId],0))="Sim","Conforme (meta 2030)",IF(INDEX(tbl_recyclass[Conforme_Art7_2030],MATCH(A488,tbl_recyclass[ProductId],0))="Não","Lacuna face à meta 2030","Isento")),IF(B488="EU-ENV-011",IF(INDEX(tbl_familias_ppwr[Metais_Pesados_Evidencia],MATCH(INDEX(tbl_recyclass[Familia_PPWR],MATCH(A488,tbl_recyclass[ProductId],0)),tbl_familias_ppwr[ID_Familia],0))="Em falta","Lacuna","Conforme"),IF(B488="EU-ENV-013",IF(INDEX(tbl_familias_ppwr[Declaracao_UE],MATCH(INDEX(tbl_recyclass[Familia_PPWR],MATCH(A488,tbl_recyclass[ProductId],0)),tbl_familias_ppwr[ID_Familia],0))="Sim","Conforme","Lacuna"),G488)))),G488))</f>
        <v>Parcial</v>
      </c>
      <c r="I488" s="33" t="str">
        <f t="shared" si="7"/>
        <v>Parcial</v>
      </c>
      <c r="J488" s="26" t="s">
        <v>1012</v>
      </c>
    </row>
    <row r="489" spans="1:10" ht="16.05" customHeight="1" x14ac:dyDescent="0.3">
      <c r="A489" s="26" t="s">
        <v>668</v>
      </c>
      <c r="B489" s="26" t="s">
        <v>1016</v>
      </c>
      <c r="C489" s="33" t="str">
        <f>IFERROR(INDEX(tbl_requisitos_emb[Tema],MATCH(B489,tbl_requisitos_emb[ID_Req],0)),"")</f>
        <v>Rotulagem</v>
      </c>
      <c r="D489" s="33" t="str">
        <f>IFERROR(INDEX(tbl_recyclass[Segmento],MATCH(A489,tbl_recyclass[ProductId],0)),"")</f>
        <v>Cosmética e higiene pessoal</v>
      </c>
      <c r="E489" s="26" t="s">
        <v>901</v>
      </c>
      <c r="F489" s="26" t="s">
        <v>1449</v>
      </c>
      <c r="G489" s="26" t="s">
        <v>990</v>
      </c>
      <c r="H489" s="33" t="str">
        <f>IF(E489="Não","Não aplicável",IFERROR(IF(B489="EU-ENV-002",IF(INDEX(tbl_recyclass[Conforme_PPWR_2030],MATCH(A489,tbl_recyclass[ProductId],0))="Sim","Conforme (autoavaliação)",IF(INDEX(tbl_recyclass[Conforme_PPWR_2030],MATCH(A489,tbl_recyclass[ProductId],0))="Não","Não conforme em 2030","Isento até 2035")),IF(B489="EU-ENV-003",IF(INDEX(tbl_recyclass[Conforme_Art7_2030],MATCH(A489,tbl_recyclass[ProductId],0))="Sim","Conforme (meta 2030)",IF(INDEX(tbl_recyclass[Conforme_Art7_2030],MATCH(A489,tbl_recyclass[ProductId],0))="Não","Lacuna face à meta 2030","Isento")),IF(B489="EU-ENV-011",IF(INDEX(tbl_familias_ppwr[Metais_Pesados_Evidencia],MATCH(INDEX(tbl_recyclass[Familia_PPWR],MATCH(A489,tbl_recyclass[ProductId],0)),tbl_familias_ppwr[ID_Familia],0))="Em falta","Lacuna","Conforme"),IF(B489="EU-ENV-013",IF(INDEX(tbl_familias_ppwr[Declaracao_UE],MATCH(INDEX(tbl_recyclass[Familia_PPWR],MATCH(A489,tbl_recyclass[ProductId],0)),tbl_familias_ppwr[ID_Familia],0))="Sim","Conforme","Lacuna"),G489)))),G489))</f>
        <v>Futuro</v>
      </c>
      <c r="I489" s="33" t="str">
        <f t="shared" si="7"/>
        <v>Futuro</v>
      </c>
      <c r="J489" s="26" t="s">
        <v>1021</v>
      </c>
    </row>
    <row r="490" spans="1:10" ht="16.05" customHeight="1" x14ac:dyDescent="0.3">
      <c r="A490" s="26" t="s">
        <v>668</v>
      </c>
      <c r="B490" s="26" t="s">
        <v>1038</v>
      </c>
      <c r="C490" s="33" t="str">
        <f>IFERROR(INDEX(tbl_requisitos_emb[Tema],MATCH(B490,tbl_requisitos_emb[ID_Req],0)),"")</f>
        <v>Plásticos de utilização única</v>
      </c>
      <c r="D490" s="33" t="str">
        <f>IFERROR(INDEX(tbl_recyclass[Segmento],MATCH(A490,tbl_recyclass[ProductId],0)),"")</f>
        <v>Cosmética e higiene pessoal</v>
      </c>
      <c r="E490" s="26" t="s">
        <v>904</v>
      </c>
      <c r="F490" s="26" t="s">
        <v>1450</v>
      </c>
      <c r="G490" s="26" t="s">
        <v>1143</v>
      </c>
      <c r="H490" s="33" t="str">
        <f>IF(E490="Não","Não aplicável",IFERROR(IF(B490="EU-ENV-002",IF(INDEX(tbl_recyclass[Conforme_PPWR_2030],MATCH(A490,tbl_recyclass[ProductId],0))="Sim","Conforme (autoavaliação)",IF(INDEX(tbl_recyclass[Conforme_PPWR_2030],MATCH(A490,tbl_recyclass[ProductId],0))="Não","Não conforme em 2030","Isento até 2035")),IF(B490="EU-ENV-003",IF(INDEX(tbl_recyclass[Conforme_Art7_2030],MATCH(A490,tbl_recyclass[ProductId],0))="Sim","Conforme (meta 2030)",IF(INDEX(tbl_recyclass[Conforme_Art7_2030],MATCH(A490,tbl_recyclass[ProductId],0))="Não","Lacuna face à meta 2030","Isento")),IF(B490="EU-ENV-011",IF(INDEX(tbl_familias_ppwr[Metais_Pesados_Evidencia],MATCH(INDEX(tbl_recyclass[Familia_PPWR],MATCH(A490,tbl_recyclass[ProductId],0)),tbl_familias_ppwr[ID_Familia],0))="Em falta","Lacuna","Conforme"),IF(B490="EU-ENV-013",IF(INDEX(tbl_familias_ppwr[Declaracao_UE],MATCH(INDEX(tbl_recyclass[Familia_PPWR],MATCH(A490,tbl_recyclass[ProductId],0)),tbl_familias_ppwr[ID_Familia],0))="Sim","Conforme","Lacuna"),G490)))),G490))</f>
        <v>Não aplicável</v>
      </c>
      <c r="I490" s="33" t="str">
        <f t="shared" si="7"/>
        <v>Não aplicável</v>
      </c>
      <c r="J490" s="26"/>
    </row>
    <row r="491" spans="1:10" ht="16.05" customHeight="1" x14ac:dyDescent="0.3">
      <c r="A491" s="26" t="s">
        <v>668</v>
      </c>
      <c r="B491" s="26" t="s">
        <v>1078</v>
      </c>
      <c r="C491" s="33" t="str">
        <f>IFERROR(INDEX(tbl_requisitos_emb[Tema],MATCH(B491,tbl_requisitos_emb[ID_Req],0)),"")</f>
        <v>Reciclado à escala</v>
      </c>
      <c r="D491" s="33" t="str">
        <f>IFERROR(INDEX(tbl_recyclass[Segmento],MATCH(A491,tbl_recyclass[ProductId],0)),"")</f>
        <v>Cosmética e higiene pessoal</v>
      </c>
      <c r="E491" s="26" t="s">
        <v>901</v>
      </c>
      <c r="F491" s="26" t="s">
        <v>1449</v>
      </c>
      <c r="G491" s="26" t="s">
        <v>990</v>
      </c>
      <c r="H491" s="33" t="str">
        <f>IF(E491="Não","Não aplicável",IFERROR(IF(B491="EU-ENV-002",IF(INDEX(tbl_recyclass[Conforme_PPWR_2030],MATCH(A491,tbl_recyclass[ProductId],0))="Sim","Conforme (autoavaliação)",IF(INDEX(tbl_recyclass[Conforme_PPWR_2030],MATCH(A491,tbl_recyclass[ProductId],0))="Não","Não conforme em 2030","Isento até 2035")),IF(B491="EU-ENV-003",IF(INDEX(tbl_recyclass[Conforme_Art7_2030],MATCH(A491,tbl_recyclass[ProductId],0))="Sim","Conforme (meta 2030)",IF(INDEX(tbl_recyclass[Conforme_Art7_2030],MATCH(A491,tbl_recyclass[ProductId],0))="Não","Lacuna face à meta 2030","Isento")),IF(B491="EU-ENV-011",IF(INDEX(tbl_familias_ppwr[Metais_Pesados_Evidencia],MATCH(INDEX(tbl_recyclass[Familia_PPWR],MATCH(A491,tbl_recyclass[ProductId],0)),tbl_familias_ppwr[ID_Familia],0))="Em falta","Lacuna","Conforme"),IF(B491="EU-ENV-013",IF(INDEX(tbl_familias_ppwr[Declaracao_UE],MATCH(INDEX(tbl_recyclass[Familia_PPWR],MATCH(A491,tbl_recyclass[ProductId],0)),tbl_familias_ppwr[ID_Familia],0))="Sim","Conforme","Lacuna"),G491)))),G491))</f>
        <v>Futuro</v>
      </c>
      <c r="I491" s="33" t="str">
        <f t="shared" si="7"/>
        <v>Futuro</v>
      </c>
      <c r="J491" s="26" t="s">
        <v>1082</v>
      </c>
    </row>
    <row r="492" spans="1:10" ht="16.05" customHeight="1" x14ac:dyDescent="0.3">
      <c r="A492" s="26" t="s">
        <v>668</v>
      </c>
      <c r="B492" s="26" t="s">
        <v>1086</v>
      </c>
      <c r="C492" s="33" t="str">
        <f>IFERROR(INDEX(tbl_requisitos_emb[Tema],MATCH(B492,tbl_requisitos_emb[ID_Req],0)),"")</f>
        <v>Metais pesados</v>
      </c>
      <c r="D492" s="33" t="str">
        <f>IFERROR(INDEX(tbl_recyclass[Segmento],MATCH(A492,tbl_recyclass[ProductId],0)),"")</f>
        <v>Cosmética e higiene pessoal</v>
      </c>
      <c r="E492" s="26" t="s">
        <v>901</v>
      </c>
      <c r="F492" s="26" t="s">
        <v>1449</v>
      </c>
      <c r="G492" s="26" t="s">
        <v>978</v>
      </c>
      <c r="H492" s="33" t="str">
        <f>IF(E492="Não","Não aplicável",IFERROR(IF(B492="EU-ENV-002",IF(INDEX(tbl_recyclass[Conforme_PPWR_2030],MATCH(A492,tbl_recyclass[ProductId],0))="Sim","Conforme (autoavaliação)",IF(INDEX(tbl_recyclass[Conforme_PPWR_2030],MATCH(A492,tbl_recyclass[ProductId],0))="Não","Não conforme em 2030","Isento até 2035")),IF(B492="EU-ENV-003",IF(INDEX(tbl_recyclass[Conforme_Art7_2030],MATCH(A492,tbl_recyclass[ProductId],0))="Sim","Conforme (meta 2030)",IF(INDEX(tbl_recyclass[Conforme_Art7_2030],MATCH(A492,tbl_recyclass[ProductId],0))="Não","Lacuna face à meta 2030","Isento")),IF(B492="EU-ENV-011",IF(INDEX(tbl_familias_ppwr[Metais_Pesados_Evidencia],MATCH(INDEX(tbl_recyclass[Familia_PPWR],MATCH(A492,tbl_recyclass[ProductId],0)),tbl_familias_ppwr[ID_Familia],0))="Em falta","Lacuna","Conforme"),IF(B492="EU-ENV-013",IF(INDEX(tbl_familias_ppwr[Declaracao_UE],MATCH(INDEX(tbl_recyclass[Familia_PPWR],MATCH(A492,tbl_recyclass[ProductId],0)),tbl_familias_ppwr[ID_Familia],0))="Sim","Conforme","Lacuna"),G492)))),G492))</f>
        <v>Lacuna</v>
      </c>
      <c r="I492" s="33" t="str">
        <f t="shared" si="7"/>
        <v>Lacuna</v>
      </c>
      <c r="J492" s="26" t="s">
        <v>1090</v>
      </c>
    </row>
    <row r="493" spans="1:10" ht="16.05" customHeight="1" x14ac:dyDescent="0.3">
      <c r="A493" s="26" t="s">
        <v>668</v>
      </c>
      <c r="B493" s="26" t="s">
        <v>1094</v>
      </c>
      <c r="C493" s="33" t="str">
        <f>IFERROR(INDEX(tbl_requisitos_emb[Tema],MATCH(B493,tbl_requisitos_emb[ID_Req],0)),"")</f>
        <v>PFAS</v>
      </c>
      <c r="D493" s="33" t="str">
        <f>IFERROR(INDEX(tbl_recyclass[Segmento],MATCH(A493,tbl_recyclass[ProductId],0)),"")</f>
        <v>Cosmética e higiene pessoal</v>
      </c>
      <c r="E493" s="26" t="s">
        <v>904</v>
      </c>
      <c r="F493" s="26" t="s">
        <v>1450</v>
      </c>
      <c r="G493" s="26" t="s">
        <v>1143</v>
      </c>
      <c r="H493" s="33" t="str">
        <f>IF(E493="Não","Não aplicável",IFERROR(IF(B493="EU-ENV-002",IF(INDEX(tbl_recyclass[Conforme_PPWR_2030],MATCH(A493,tbl_recyclass[ProductId],0))="Sim","Conforme (autoavaliação)",IF(INDEX(tbl_recyclass[Conforme_PPWR_2030],MATCH(A493,tbl_recyclass[ProductId],0))="Não","Não conforme em 2030","Isento até 2035")),IF(B493="EU-ENV-003",IF(INDEX(tbl_recyclass[Conforme_Art7_2030],MATCH(A493,tbl_recyclass[ProductId],0))="Sim","Conforme (meta 2030)",IF(INDEX(tbl_recyclass[Conforme_Art7_2030],MATCH(A493,tbl_recyclass[ProductId],0))="Não","Lacuna face à meta 2030","Isento")),IF(B493="EU-ENV-011",IF(INDEX(tbl_familias_ppwr[Metais_Pesados_Evidencia],MATCH(INDEX(tbl_recyclass[Familia_PPWR],MATCH(A493,tbl_recyclass[ProductId],0)),tbl_familias_ppwr[ID_Familia],0))="Em falta","Lacuna","Conforme"),IF(B493="EU-ENV-013",IF(INDEX(tbl_familias_ppwr[Declaracao_UE],MATCH(INDEX(tbl_recyclass[Familia_PPWR],MATCH(A493,tbl_recyclass[ProductId],0)),tbl_familias_ppwr[ID_Familia],0))="Sim","Conforme","Lacuna"),G493)))),G493))</f>
        <v>Não aplicável</v>
      </c>
      <c r="I493" s="33" t="str">
        <f t="shared" si="7"/>
        <v>Não aplicável</v>
      </c>
      <c r="J493" s="26"/>
    </row>
    <row r="494" spans="1:10" ht="16.05" customHeight="1" x14ac:dyDescent="0.3">
      <c r="A494" s="26" t="s">
        <v>668</v>
      </c>
      <c r="B494" s="26" t="s">
        <v>1102</v>
      </c>
      <c r="C494" s="33" t="str">
        <f>IFERROR(INDEX(tbl_requisitos_emb[Tema],MATCH(B494,tbl_requisitos_emb[ID_Req],0)),"")</f>
        <v>Documentação técnica e declaração UE</v>
      </c>
      <c r="D494" s="33" t="str">
        <f>IFERROR(INDEX(tbl_recyclass[Segmento],MATCH(A494,tbl_recyclass[ProductId],0)),"")</f>
        <v>Cosmética e higiene pessoal</v>
      </c>
      <c r="E494" s="26" t="s">
        <v>901</v>
      </c>
      <c r="F494" s="26" t="s">
        <v>1449</v>
      </c>
      <c r="G494" s="26" t="s">
        <v>978</v>
      </c>
      <c r="H494" s="33" t="str">
        <f>IF(E494="Não","Não aplicável",IFERROR(IF(B494="EU-ENV-002",IF(INDEX(tbl_recyclass[Conforme_PPWR_2030],MATCH(A494,tbl_recyclass[ProductId],0))="Sim","Conforme (autoavaliação)",IF(INDEX(tbl_recyclass[Conforme_PPWR_2030],MATCH(A494,tbl_recyclass[ProductId],0))="Não","Não conforme em 2030","Isento até 2035")),IF(B494="EU-ENV-003",IF(INDEX(tbl_recyclass[Conforme_Art7_2030],MATCH(A494,tbl_recyclass[ProductId],0))="Sim","Conforme (meta 2030)",IF(INDEX(tbl_recyclass[Conforme_Art7_2030],MATCH(A494,tbl_recyclass[ProductId],0))="Não","Lacuna face à meta 2030","Isento")),IF(B494="EU-ENV-011",IF(INDEX(tbl_familias_ppwr[Metais_Pesados_Evidencia],MATCH(INDEX(tbl_recyclass[Familia_PPWR],MATCH(A494,tbl_recyclass[ProductId],0)),tbl_familias_ppwr[ID_Familia],0))="Em falta","Lacuna","Conforme"),IF(B494="EU-ENV-013",IF(INDEX(tbl_familias_ppwr[Declaracao_UE],MATCH(INDEX(tbl_recyclass[Familia_PPWR],MATCH(A494,tbl_recyclass[ProductId],0)),tbl_familias_ppwr[ID_Familia],0))="Sim","Conforme","Lacuna"),G494)))),G494))</f>
        <v>Lacuna</v>
      </c>
      <c r="I494" s="33" t="str">
        <f t="shared" si="7"/>
        <v>Lacuna</v>
      </c>
      <c r="J494" s="26" t="s">
        <v>1106</v>
      </c>
    </row>
    <row r="495" spans="1:10" ht="16.05" customHeight="1" x14ac:dyDescent="0.3">
      <c r="A495" s="26" t="s">
        <v>668</v>
      </c>
      <c r="B495" s="26" t="s">
        <v>1161</v>
      </c>
      <c r="C495" s="33" t="str">
        <f>IFERROR(INDEX(tbl_requisitos_emb[Tema],MATCH(B495,tbl_requisitos_emb[ID_Req],0)),"")</f>
        <v>Materiais em contacto com alimentos</v>
      </c>
      <c r="D495" s="33" t="str">
        <f>IFERROR(INDEX(tbl_recyclass[Segmento],MATCH(A495,tbl_recyclass[ProductId],0)),"")</f>
        <v>Cosmética e higiene pessoal</v>
      </c>
      <c r="E495" s="26" t="s">
        <v>904</v>
      </c>
      <c r="F495" s="26" t="s">
        <v>1450</v>
      </c>
      <c r="G495" s="26" t="s">
        <v>1143</v>
      </c>
      <c r="H495" s="33" t="str">
        <f>IF(E495="Não","Não aplicável",IFERROR(IF(B495="EU-ENV-002",IF(INDEX(tbl_recyclass[Conforme_PPWR_2030],MATCH(A495,tbl_recyclass[ProductId],0))="Sim","Conforme (autoavaliação)",IF(INDEX(tbl_recyclass[Conforme_PPWR_2030],MATCH(A495,tbl_recyclass[ProductId],0))="Não","Não conforme em 2030","Isento até 2035")),IF(B495="EU-ENV-003",IF(INDEX(tbl_recyclass[Conforme_Art7_2030],MATCH(A495,tbl_recyclass[ProductId],0))="Sim","Conforme (meta 2030)",IF(INDEX(tbl_recyclass[Conforme_Art7_2030],MATCH(A495,tbl_recyclass[ProductId],0))="Não","Lacuna face à meta 2030","Isento")),IF(B495="EU-ENV-011",IF(INDEX(tbl_familias_ppwr[Metais_Pesados_Evidencia],MATCH(INDEX(tbl_recyclass[Familia_PPWR],MATCH(A495,tbl_recyclass[ProductId],0)),tbl_familias_ppwr[ID_Familia],0))="Em falta","Lacuna","Conforme"),IF(B495="EU-ENV-013",IF(INDEX(tbl_familias_ppwr[Declaracao_UE],MATCH(INDEX(tbl_recyclass[Familia_PPWR],MATCH(A495,tbl_recyclass[ProductId],0)),tbl_familias_ppwr[ID_Familia],0))="Sim","Conforme","Lacuna"),G495)))),G495))</f>
        <v>Não aplicável</v>
      </c>
      <c r="I495" s="33" t="str">
        <f t="shared" si="7"/>
        <v>Não aplicável</v>
      </c>
      <c r="J495" s="26"/>
    </row>
    <row r="496" spans="1:10" ht="16.05" customHeight="1" x14ac:dyDescent="0.3">
      <c r="A496" s="26" t="s">
        <v>668</v>
      </c>
      <c r="B496" s="26" t="s">
        <v>1170</v>
      </c>
      <c r="C496" s="33" t="str">
        <f>IFERROR(INDEX(tbl_requisitos_emb[Tema],MATCH(B496,tbl_requisitos_emb[ID_Req],0)),"")</f>
        <v>Boas práticas de fabrico FCM</v>
      </c>
      <c r="D496" s="33" t="str">
        <f>IFERROR(INDEX(tbl_recyclass[Segmento],MATCH(A496,tbl_recyclass[ProductId],0)),"")</f>
        <v>Cosmética e higiene pessoal</v>
      </c>
      <c r="E496" s="26" t="s">
        <v>904</v>
      </c>
      <c r="F496" s="26" t="s">
        <v>1450</v>
      </c>
      <c r="G496" s="26" t="s">
        <v>1143</v>
      </c>
      <c r="H496" s="33" t="str">
        <f>IF(E496="Não","Não aplicável",IFERROR(IF(B496="EU-ENV-002",IF(INDEX(tbl_recyclass[Conforme_PPWR_2030],MATCH(A496,tbl_recyclass[ProductId],0))="Sim","Conforme (autoavaliação)",IF(INDEX(tbl_recyclass[Conforme_PPWR_2030],MATCH(A496,tbl_recyclass[ProductId],0))="Não","Não conforme em 2030","Isento até 2035")),IF(B496="EU-ENV-003",IF(INDEX(tbl_recyclass[Conforme_Art7_2030],MATCH(A496,tbl_recyclass[ProductId],0))="Sim","Conforme (meta 2030)",IF(INDEX(tbl_recyclass[Conforme_Art7_2030],MATCH(A496,tbl_recyclass[ProductId],0))="Não","Lacuna face à meta 2030","Isento")),IF(B496="EU-ENV-011",IF(INDEX(tbl_familias_ppwr[Metais_Pesados_Evidencia],MATCH(INDEX(tbl_recyclass[Familia_PPWR],MATCH(A496,tbl_recyclass[ProductId],0)),tbl_familias_ppwr[ID_Familia],0))="Em falta","Lacuna","Conforme"),IF(B496="EU-ENV-013",IF(INDEX(tbl_familias_ppwr[Declaracao_UE],MATCH(INDEX(tbl_recyclass[Familia_PPWR],MATCH(A496,tbl_recyclass[ProductId],0)),tbl_familias_ppwr[ID_Familia],0))="Sim","Conforme","Lacuna"),G496)))),G496))</f>
        <v>Não aplicável</v>
      </c>
      <c r="I496" s="33" t="str">
        <f t="shared" si="7"/>
        <v>Não aplicável</v>
      </c>
      <c r="J496" s="26"/>
    </row>
    <row r="497" spans="1:10" ht="16.05" customHeight="1" x14ac:dyDescent="0.3">
      <c r="A497" s="26" t="s">
        <v>668</v>
      </c>
      <c r="B497" s="26" t="s">
        <v>1179</v>
      </c>
      <c r="C497" s="33" t="str">
        <f>IFERROR(INDEX(tbl_requisitos_emb[Tema],MATCH(B497,tbl_requisitos_emb[ID_Req],0)),"")</f>
        <v>Bisfenol A e bisfenóis perigosos</v>
      </c>
      <c r="D497" s="33" t="str">
        <f>IFERROR(INDEX(tbl_recyclass[Segmento],MATCH(A497,tbl_recyclass[ProductId],0)),"")</f>
        <v>Cosmética e higiene pessoal</v>
      </c>
      <c r="E497" s="26" t="s">
        <v>904</v>
      </c>
      <c r="F497" s="26" t="s">
        <v>1450</v>
      </c>
      <c r="G497" s="26" t="s">
        <v>1143</v>
      </c>
      <c r="H497" s="33" t="str">
        <f>IF(E497="Não","Não aplicável",IFERROR(IF(B497="EU-ENV-002",IF(INDEX(tbl_recyclass[Conforme_PPWR_2030],MATCH(A497,tbl_recyclass[ProductId],0))="Sim","Conforme (autoavaliação)",IF(INDEX(tbl_recyclass[Conforme_PPWR_2030],MATCH(A497,tbl_recyclass[ProductId],0))="Não","Não conforme em 2030","Isento até 2035")),IF(B497="EU-ENV-003",IF(INDEX(tbl_recyclass[Conforme_Art7_2030],MATCH(A497,tbl_recyclass[ProductId],0))="Sim","Conforme (meta 2030)",IF(INDEX(tbl_recyclass[Conforme_Art7_2030],MATCH(A497,tbl_recyclass[ProductId],0))="Não","Lacuna face à meta 2030","Isento")),IF(B497="EU-ENV-011",IF(INDEX(tbl_familias_ppwr[Metais_Pesados_Evidencia],MATCH(INDEX(tbl_recyclass[Familia_PPWR],MATCH(A497,tbl_recyclass[ProductId],0)),tbl_familias_ppwr[ID_Familia],0))="Em falta","Lacuna","Conforme"),IF(B497="EU-ENV-013",IF(INDEX(tbl_familias_ppwr[Declaracao_UE],MATCH(INDEX(tbl_recyclass[Familia_PPWR],MATCH(A497,tbl_recyclass[ProductId],0)),tbl_familias_ppwr[ID_Familia],0))="Sim","Conforme","Lacuna"),G497)))),G497))</f>
        <v>Não aplicável</v>
      </c>
      <c r="I497" s="33" t="str">
        <f t="shared" si="7"/>
        <v>Não aplicável</v>
      </c>
      <c r="J497" s="26"/>
    </row>
    <row r="498" spans="1:10" ht="16.05" customHeight="1" x14ac:dyDescent="0.3">
      <c r="A498" s="26" t="s">
        <v>668</v>
      </c>
      <c r="B498" s="26" t="s">
        <v>1188</v>
      </c>
      <c r="C498" s="33" t="str">
        <f>IFERROR(INDEX(tbl_requisitos_emb[Tema],MATCH(B498,tbl_requisitos_emb[ID_Req],0)),"")</f>
        <v>Plásticos em contacto com alimentos</v>
      </c>
      <c r="D498" s="33" t="str">
        <f>IFERROR(INDEX(tbl_recyclass[Segmento],MATCH(A498,tbl_recyclass[ProductId],0)),"")</f>
        <v>Cosmética e higiene pessoal</v>
      </c>
      <c r="E498" s="26" t="s">
        <v>904</v>
      </c>
      <c r="F498" s="26" t="s">
        <v>1450</v>
      </c>
      <c r="G498" s="26" t="s">
        <v>1143</v>
      </c>
      <c r="H498" s="33" t="str">
        <f>IF(E498="Não","Não aplicável",IFERROR(IF(B498="EU-ENV-002",IF(INDEX(tbl_recyclass[Conforme_PPWR_2030],MATCH(A498,tbl_recyclass[ProductId],0))="Sim","Conforme (autoavaliação)",IF(INDEX(tbl_recyclass[Conforme_PPWR_2030],MATCH(A498,tbl_recyclass[ProductId],0))="Não","Não conforme em 2030","Isento até 2035")),IF(B498="EU-ENV-003",IF(INDEX(tbl_recyclass[Conforme_Art7_2030],MATCH(A498,tbl_recyclass[ProductId],0))="Sim","Conforme (meta 2030)",IF(INDEX(tbl_recyclass[Conforme_Art7_2030],MATCH(A498,tbl_recyclass[ProductId],0))="Não","Lacuna face à meta 2030","Isento")),IF(B498="EU-ENV-011",IF(INDEX(tbl_familias_ppwr[Metais_Pesados_Evidencia],MATCH(INDEX(tbl_recyclass[Familia_PPWR],MATCH(A498,tbl_recyclass[ProductId],0)),tbl_familias_ppwr[ID_Familia],0))="Em falta","Lacuna","Conforme"),IF(B498="EU-ENV-013",IF(INDEX(tbl_familias_ppwr[Declaracao_UE],MATCH(INDEX(tbl_recyclass[Familia_PPWR],MATCH(A498,tbl_recyclass[ProductId],0)),tbl_familias_ppwr[ID_Familia],0))="Sim","Conforme","Lacuna"),G498)))),G498))</f>
        <v>Não aplicável</v>
      </c>
      <c r="I498" s="33" t="str">
        <f t="shared" si="7"/>
        <v>Não aplicável</v>
      </c>
      <c r="J498" s="26"/>
    </row>
    <row r="499" spans="1:10" ht="16.05" customHeight="1" x14ac:dyDescent="0.3">
      <c r="A499" s="26" t="s">
        <v>668</v>
      </c>
      <c r="B499" s="26" t="s">
        <v>1212</v>
      </c>
      <c r="C499" s="33" t="str">
        <f>IFERROR(INDEX(tbl_requisitos_emb[Tema],MATCH(B499,tbl_requisitos_emb[ID_Req],0)),"")</f>
        <v>Segurança do produto cosmético</v>
      </c>
      <c r="D499" s="33" t="str">
        <f>IFERROR(INDEX(tbl_recyclass[Segmento],MATCH(A499,tbl_recyclass[ProductId],0)),"")</f>
        <v>Cosmética e higiene pessoal</v>
      </c>
      <c r="E499" s="26" t="s">
        <v>901</v>
      </c>
      <c r="F499" s="26" t="s">
        <v>1449</v>
      </c>
      <c r="G499" s="26" t="s">
        <v>1033</v>
      </c>
      <c r="H499" s="33" t="str">
        <f>IF(E499="Não","Não aplicável",IFERROR(IF(B499="EU-ENV-002",IF(INDEX(tbl_recyclass[Conforme_PPWR_2030],MATCH(A499,tbl_recyclass[ProductId],0))="Sim","Conforme (autoavaliação)",IF(INDEX(tbl_recyclass[Conforme_PPWR_2030],MATCH(A499,tbl_recyclass[ProductId],0))="Não","Não conforme em 2030","Isento até 2035")),IF(B499="EU-ENV-003",IF(INDEX(tbl_recyclass[Conforme_Art7_2030],MATCH(A499,tbl_recyclass[ProductId],0))="Sim","Conforme (meta 2030)",IF(INDEX(tbl_recyclass[Conforme_Art7_2030],MATCH(A499,tbl_recyclass[ProductId],0))="Não","Lacuna face à meta 2030","Isento")),IF(B499="EU-ENV-011",IF(INDEX(tbl_familias_ppwr[Metais_Pesados_Evidencia],MATCH(INDEX(tbl_recyclass[Familia_PPWR],MATCH(A499,tbl_recyclass[ProductId],0)),tbl_familias_ppwr[ID_Familia],0))="Em falta","Lacuna","Conforme"),IF(B499="EU-ENV-013",IF(INDEX(tbl_familias_ppwr[Declaracao_UE],MATCH(INDEX(tbl_recyclass[Familia_PPWR],MATCH(A499,tbl_recyclass[ProductId],0)),tbl_familias_ppwr[ID_Familia],0))="Sim","Conforme","Lacuna"),G499)))),G499))</f>
        <v>Conforme</v>
      </c>
      <c r="I499" s="33" t="str">
        <f t="shared" si="7"/>
        <v>Conforme</v>
      </c>
      <c r="J499" s="26" t="s">
        <v>1221</v>
      </c>
    </row>
    <row r="500" spans="1:10" ht="16.05" customHeight="1" x14ac:dyDescent="0.3">
      <c r="A500" s="26" t="s">
        <v>668</v>
      </c>
      <c r="B500" s="26" t="s">
        <v>1224</v>
      </c>
      <c r="C500" s="33" t="str">
        <f>IFERROR(INDEX(tbl_requisitos_emb[Tema],MATCH(B500,tbl_requisitos_emb[ID_Req],0)),"")</f>
        <v>Materiais e impurezas</v>
      </c>
      <c r="D500" s="33" t="str">
        <f>IFERROR(INDEX(tbl_recyclass[Segmento],MATCH(A500,tbl_recyclass[ProductId],0)),"")</f>
        <v>Cosmética e higiene pessoal</v>
      </c>
      <c r="E500" s="26" t="s">
        <v>901</v>
      </c>
      <c r="F500" s="26" t="s">
        <v>1449</v>
      </c>
      <c r="G500" s="26" t="s">
        <v>978</v>
      </c>
      <c r="H500" s="33" t="str">
        <f>IF(E500="Não","Não aplicável",IFERROR(IF(B500="EU-ENV-002",IF(INDEX(tbl_recyclass[Conforme_PPWR_2030],MATCH(A500,tbl_recyclass[ProductId],0))="Sim","Conforme (autoavaliação)",IF(INDEX(tbl_recyclass[Conforme_PPWR_2030],MATCH(A500,tbl_recyclass[ProductId],0))="Não","Não conforme em 2030","Isento até 2035")),IF(B500="EU-ENV-003",IF(INDEX(tbl_recyclass[Conforme_Art7_2030],MATCH(A500,tbl_recyclass[ProductId],0))="Sim","Conforme (meta 2030)",IF(INDEX(tbl_recyclass[Conforme_Art7_2030],MATCH(A500,tbl_recyclass[ProductId],0))="Não","Lacuna face à meta 2030","Isento")),IF(B500="EU-ENV-011",IF(INDEX(tbl_familias_ppwr[Metais_Pesados_Evidencia],MATCH(INDEX(tbl_recyclass[Familia_PPWR],MATCH(A500,tbl_recyclass[ProductId],0)),tbl_familias_ppwr[ID_Familia],0))="Em falta","Lacuna","Conforme"),IF(B500="EU-ENV-013",IF(INDEX(tbl_familias_ppwr[Declaracao_UE],MATCH(INDEX(tbl_recyclass[Familia_PPWR],MATCH(A500,tbl_recyclass[ProductId],0)),tbl_familias_ppwr[ID_Familia],0))="Sim","Conforme","Lacuna"),G500)))),G500))</f>
        <v>Parcial</v>
      </c>
      <c r="I500" s="33" t="str">
        <f t="shared" si="7"/>
        <v>Parcial</v>
      </c>
      <c r="J500" s="26" t="s">
        <v>1228</v>
      </c>
    </row>
    <row r="501" spans="1:10" ht="16.05" customHeight="1" x14ac:dyDescent="0.3">
      <c r="A501" s="26" t="s">
        <v>668</v>
      </c>
      <c r="B501" s="26" t="s">
        <v>1240</v>
      </c>
      <c r="C501" s="33" t="str">
        <f>IFERROR(INDEX(tbl_requisitos_emb[Tema],MATCH(B501,tbl_requisitos_emb[ID_Req],0)),"")</f>
        <v>Compatibilidade embalagem–produto</v>
      </c>
      <c r="D501" s="33" t="str">
        <f>IFERROR(INDEX(tbl_recyclass[Segmento],MATCH(A501,tbl_recyclass[ProductId],0)),"")</f>
        <v>Cosmética e higiene pessoal</v>
      </c>
      <c r="E501" s="26" t="s">
        <v>901</v>
      </c>
      <c r="F501" s="26" t="s">
        <v>1449</v>
      </c>
      <c r="G501" s="26" t="s">
        <v>1033</v>
      </c>
      <c r="H501" s="33" t="str">
        <f>IF(E501="Não","Não aplicável",IFERROR(IF(B501="EU-ENV-002",IF(INDEX(tbl_recyclass[Conforme_PPWR_2030],MATCH(A501,tbl_recyclass[ProductId],0))="Sim","Conforme (autoavaliação)",IF(INDEX(tbl_recyclass[Conforme_PPWR_2030],MATCH(A501,tbl_recyclass[ProductId],0))="Não","Não conforme em 2030","Isento até 2035")),IF(B501="EU-ENV-003",IF(INDEX(tbl_recyclass[Conforme_Art7_2030],MATCH(A501,tbl_recyclass[ProductId],0))="Sim","Conforme (meta 2030)",IF(INDEX(tbl_recyclass[Conforme_Art7_2030],MATCH(A501,tbl_recyclass[ProductId],0))="Não","Lacuna face à meta 2030","Isento")),IF(B501="EU-ENV-011",IF(INDEX(tbl_familias_ppwr[Metais_Pesados_Evidencia],MATCH(INDEX(tbl_recyclass[Familia_PPWR],MATCH(A501,tbl_recyclass[ProductId],0)),tbl_familias_ppwr[ID_Familia],0))="Em falta","Lacuna","Conforme"),IF(B501="EU-ENV-013",IF(INDEX(tbl_familias_ppwr[Declaracao_UE],MATCH(INDEX(tbl_recyclass[Familia_PPWR],MATCH(A501,tbl_recyclass[ProductId],0)),tbl_familias_ppwr[ID_Familia],0))="Sim","Conforme","Lacuna"),G501)))),G501))</f>
        <v>Conforme</v>
      </c>
      <c r="I501" s="33" t="str">
        <f t="shared" si="7"/>
        <v>Conforme</v>
      </c>
      <c r="J501" s="26" t="s">
        <v>1244</v>
      </c>
    </row>
    <row r="502" spans="1:10" ht="16.05" customHeight="1" x14ac:dyDescent="0.3">
      <c r="A502" s="26" t="s">
        <v>668</v>
      </c>
      <c r="B502" s="26" t="s">
        <v>1252</v>
      </c>
      <c r="C502" s="33" t="str">
        <f>IFERROR(INDEX(tbl_requisitos_emb[Tema],MATCH(B502,tbl_requisitos_emb[ID_Req],0)),"")</f>
        <v>Medicamentos de uso humano</v>
      </c>
      <c r="D502" s="33" t="str">
        <f>IFERROR(INDEX(tbl_recyclass[Segmento],MATCH(A502,tbl_recyclass[ProductId],0)),"")</f>
        <v>Cosmética e higiene pessoal</v>
      </c>
      <c r="E502" s="26" t="s">
        <v>904</v>
      </c>
      <c r="F502" s="26" t="s">
        <v>1451</v>
      </c>
      <c r="G502" s="26" t="s">
        <v>1143</v>
      </c>
      <c r="H502" s="33" t="str">
        <f>IF(E502="Não","Não aplicável",IFERROR(IF(B502="EU-ENV-002",IF(INDEX(tbl_recyclass[Conforme_PPWR_2030],MATCH(A502,tbl_recyclass[ProductId],0))="Sim","Conforme (autoavaliação)",IF(INDEX(tbl_recyclass[Conforme_PPWR_2030],MATCH(A502,tbl_recyclass[ProductId],0))="Não","Não conforme em 2030","Isento até 2035")),IF(B502="EU-ENV-003",IF(INDEX(tbl_recyclass[Conforme_Art7_2030],MATCH(A502,tbl_recyclass[ProductId],0))="Sim","Conforme (meta 2030)",IF(INDEX(tbl_recyclass[Conforme_Art7_2030],MATCH(A502,tbl_recyclass[ProductId],0))="Não","Lacuna face à meta 2030","Isento")),IF(B502="EU-ENV-011",IF(INDEX(tbl_familias_ppwr[Metais_Pesados_Evidencia],MATCH(INDEX(tbl_recyclass[Familia_PPWR],MATCH(A502,tbl_recyclass[ProductId],0)),tbl_familias_ppwr[ID_Familia],0))="Em falta","Lacuna","Conforme"),IF(B502="EU-ENV-013",IF(INDEX(tbl_familias_ppwr[Declaracao_UE],MATCH(INDEX(tbl_recyclass[Familia_PPWR],MATCH(A502,tbl_recyclass[ProductId],0)),tbl_familias_ppwr[ID_Familia],0))="Sim","Conforme","Lacuna"),G502)))),G502))</f>
        <v>Não aplicável</v>
      </c>
      <c r="I502" s="33" t="str">
        <f t="shared" si="7"/>
        <v>Não aplicável</v>
      </c>
      <c r="J502" s="26"/>
    </row>
    <row r="503" spans="1:10" ht="16.05" customHeight="1" x14ac:dyDescent="0.3">
      <c r="A503" s="26" t="s">
        <v>668</v>
      </c>
      <c r="B503" s="26" t="s">
        <v>1268</v>
      </c>
      <c r="C503" s="33" t="str">
        <f>IFERROR(INDEX(tbl_requisitos_emb[Tema],MATCH(B503,tbl_requisitos_emb[ID_Req],0)),"")</f>
        <v>Dispositivos de segurança</v>
      </c>
      <c r="D503" s="33" t="str">
        <f>IFERROR(INDEX(tbl_recyclass[Segmento],MATCH(A503,tbl_recyclass[ProductId],0)),"")</f>
        <v>Cosmética e higiene pessoal</v>
      </c>
      <c r="E503" s="26" t="s">
        <v>904</v>
      </c>
      <c r="F503" s="26" t="s">
        <v>1451</v>
      </c>
      <c r="G503" s="26" t="s">
        <v>1143</v>
      </c>
      <c r="H503" s="33" t="str">
        <f>IF(E503="Não","Não aplicável",IFERROR(IF(B503="EU-ENV-002",IF(INDEX(tbl_recyclass[Conforme_PPWR_2030],MATCH(A503,tbl_recyclass[ProductId],0))="Sim","Conforme (autoavaliação)",IF(INDEX(tbl_recyclass[Conforme_PPWR_2030],MATCH(A503,tbl_recyclass[ProductId],0))="Não","Não conforme em 2030","Isento até 2035")),IF(B503="EU-ENV-003",IF(INDEX(tbl_recyclass[Conforme_Art7_2030],MATCH(A503,tbl_recyclass[ProductId],0))="Sim","Conforme (meta 2030)",IF(INDEX(tbl_recyclass[Conforme_Art7_2030],MATCH(A503,tbl_recyclass[ProductId],0))="Não","Lacuna face à meta 2030","Isento")),IF(B503="EU-ENV-011",IF(INDEX(tbl_familias_ppwr[Metais_Pesados_Evidencia],MATCH(INDEX(tbl_recyclass[Familia_PPWR],MATCH(A503,tbl_recyclass[ProductId],0)),tbl_familias_ppwr[ID_Familia],0))="Em falta","Lacuna","Conforme"),IF(B503="EU-ENV-013",IF(INDEX(tbl_familias_ppwr[Declaracao_UE],MATCH(INDEX(tbl_recyclass[Familia_PPWR],MATCH(A503,tbl_recyclass[ProductId],0)),tbl_familias_ppwr[ID_Familia],0))="Sim","Conforme","Lacuna"),G503)))),G503))</f>
        <v>Não aplicável</v>
      </c>
      <c r="I503" s="33" t="str">
        <f t="shared" si="7"/>
        <v>Não aplicável</v>
      </c>
      <c r="J503" s="26"/>
    </row>
    <row r="504" spans="1:10" ht="16.05" customHeight="1" x14ac:dyDescent="0.3">
      <c r="A504" s="26" t="s">
        <v>668</v>
      </c>
      <c r="B504" s="26" t="s">
        <v>1285</v>
      </c>
      <c r="C504" s="33" t="str">
        <f>IFERROR(INDEX(tbl_requisitos_emb[Tema],MATCH(B504,tbl_requisitos_emb[ID_Req],0)),"")</f>
        <v>Materiais plásticos de acondicionamento primário</v>
      </c>
      <c r="D504" s="33" t="str">
        <f>IFERROR(INDEX(tbl_recyclass[Segmento],MATCH(A504,tbl_recyclass[ProductId],0)),"")</f>
        <v>Cosmética e higiene pessoal</v>
      </c>
      <c r="E504" s="26" t="s">
        <v>904</v>
      </c>
      <c r="F504" s="26" t="s">
        <v>1451</v>
      </c>
      <c r="G504" s="26" t="s">
        <v>1143</v>
      </c>
      <c r="H504" s="33" t="str">
        <f>IF(E504="Não","Não aplicável",IFERROR(IF(B504="EU-ENV-002",IF(INDEX(tbl_recyclass[Conforme_PPWR_2030],MATCH(A504,tbl_recyclass[ProductId],0))="Sim","Conforme (autoavaliação)",IF(INDEX(tbl_recyclass[Conforme_PPWR_2030],MATCH(A504,tbl_recyclass[ProductId],0))="Não","Não conforme em 2030","Isento até 2035")),IF(B504="EU-ENV-003",IF(INDEX(tbl_recyclass[Conforme_Art7_2030],MATCH(A504,tbl_recyclass[ProductId],0))="Sim","Conforme (meta 2030)",IF(INDEX(tbl_recyclass[Conforme_Art7_2030],MATCH(A504,tbl_recyclass[ProductId],0))="Não","Lacuna face à meta 2030","Isento")),IF(B504="EU-ENV-011",IF(INDEX(tbl_familias_ppwr[Metais_Pesados_Evidencia],MATCH(INDEX(tbl_recyclass[Familia_PPWR],MATCH(A504,tbl_recyclass[ProductId],0)),tbl_familias_ppwr[ID_Familia],0))="Em falta","Lacuna","Conforme"),IF(B504="EU-ENV-013",IF(INDEX(tbl_familias_ppwr[Declaracao_UE],MATCH(INDEX(tbl_recyclass[Familia_PPWR],MATCH(A504,tbl_recyclass[ProductId],0)),tbl_familias_ppwr[ID_Familia],0))="Sim","Conforme","Lacuna"),G504)))),G504))</f>
        <v>Não aplicável</v>
      </c>
      <c r="I504" s="33" t="str">
        <f t="shared" si="7"/>
        <v>Não aplicável</v>
      </c>
      <c r="J504" s="26"/>
    </row>
    <row r="505" spans="1:10" ht="16.05" customHeight="1" x14ac:dyDescent="0.3">
      <c r="A505" s="26" t="s">
        <v>668</v>
      </c>
      <c r="B505" s="26" t="s">
        <v>1293</v>
      </c>
      <c r="C505" s="33" t="str">
        <f>IFERROR(INDEX(tbl_requisitos_emb[Tema],MATCH(B505,tbl_requisitos_emb[ID_Req],0)),"")</f>
        <v>Isenções PPWR</v>
      </c>
      <c r="D505" s="33" t="str">
        <f>IFERROR(INDEX(tbl_recyclass[Segmento],MATCH(A505,tbl_recyclass[ProductId],0)),"")</f>
        <v>Cosmética e higiene pessoal</v>
      </c>
      <c r="E505" s="26" t="s">
        <v>904</v>
      </c>
      <c r="F505" s="26" t="s">
        <v>1451</v>
      </c>
      <c r="G505" s="26" t="s">
        <v>1143</v>
      </c>
      <c r="H505" s="33" t="str">
        <f>IF(E505="Não","Não aplicável",IFERROR(IF(B505="EU-ENV-002",IF(INDEX(tbl_recyclass[Conforme_PPWR_2030],MATCH(A505,tbl_recyclass[ProductId],0))="Sim","Conforme (autoavaliação)",IF(INDEX(tbl_recyclass[Conforme_PPWR_2030],MATCH(A505,tbl_recyclass[ProductId],0))="Não","Não conforme em 2030","Isento até 2035")),IF(B505="EU-ENV-003",IF(INDEX(tbl_recyclass[Conforme_Art7_2030],MATCH(A505,tbl_recyclass[ProductId],0))="Sim","Conforme (meta 2030)",IF(INDEX(tbl_recyclass[Conforme_Art7_2030],MATCH(A505,tbl_recyclass[ProductId],0))="Não","Lacuna face à meta 2030","Isento")),IF(B505="EU-ENV-011",IF(INDEX(tbl_familias_ppwr[Metais_Pesados_Evidencia],MATCH(INDEX(tbl_recyclass[Familia_PPWR],MATCH(A505,tbl_recyclass[ProductId],0)),tbl_familias_ppwr[ID_Familia],0))="Em falta","Lacuna","Conforme"),IF(B505="EU-ENV-013",IF(INDEX(tbl_familias_ppwr[Declaracao_UE],MATCH(INDEX(tbl_recyclass[Familia_PPWR],MATCH(A505,tbl_recyclass[ProductId],0)),tbl_familias_ppwr[ID_Familia],0))="Sim","Conforme","Lacuna"),G505)))),G505))</f>
        <v>Não aplicável</v>
      </c>
      <c r="I505" s="33" t="str">
        <f t="shared" si="7"/>
        <v>Não aplicável</v>
      </c>
      <c r="J505" s="26"/>
    </row>
    <row r="506" spans="1:10" ht="16.05" customHeight="1" x14ac:dyDescent="0.3">
      <c r="A506" s="26" t="s">
        <v>668</v>
      </c>
      <c r="B506" s="26" t="s">
        <v>1357</v>
      </c>
      <c r="C506" s="33" t="str">
        <f>IFERROR(INDEX(tbl_requisitos_emb[Tema],MATCH(B506,tbl_requisitos_emb[ID_Req],0)),"")</f>
        <v>Identificação de plásticos</v>
      </c>
      <c r="D506" s="33" t="str">
        <f>IFERROR(INDEX(tbl_recyclass[Segmento],MATCH(A506,tbl_recyclass[ProductId],0)),"")</f>
        <v>Cosmética e higiene pessoal</v>
      </c>
      <c r="E506" s="26" t="s">
        <v>901</v>
      </c>
      <c r="F506" s="26" t="s">
        <v>1449</v>
      </c>
      <c r="G506" s="26" t="s">
        <v>978</v>
      </c>
      <c r="H506" s="33" t="str">
        <f>IF(E506="Não","Não aplicável",IFERROR(IF(B506="EU-ENV-002",IF(INDEX(tbl_recyclass[Conforme_PPWR_2030],MATCH(A506,tbl_recyclass[ProductId],0))="Sim","Conforme (autoavaliação)",IF(INDEX(tbl_recyclass[Conforme_PPWR_2030],MATCH(A506,tbl_recyclass[ProductId],0))="Não","Não conforme em 2030","Isento até 2035")),IF(B506="EU-ENV-003",IF(INDEX(tbl_recyclass[Conforme_Art7_2030],MATCH(A506,tbl_recyclass[ProductId],0))="Sim","Conforme (meta 2030)",IF(INDEX(tbl_recyclass[Conforme_Art7_2030],MATCH(A506,tbl_recyclass[ProductId],0))="Não","Lacuna face à meta 2030","Isento")),IF(B506="EU-ENV-011",IF(INDEX(tbl_familias_ppwr[Metais_Pesados_Evidencia],MATCH(INDEX(tbl_recyclass[Familia_PPWR],MATCH(A506,tbl_recyclass[ProductId],0)),tbl_familias_ppwr[ID_Familia],0))="Em falta","Lacuna","Conforme"),IF(B506="EU-ENV-013",IF(INDEX(tbl_familias_ppwr[Declaracao_UE],MATCH(INDEX(tbl_recyclass[Familia_PPWR],MATCH(A506,tbl_recyclass[ProductId],0)),tbl_familias_ppwr[ID_Familia],0))="Sim","Conforme","Lacuna"),G506)))),G506))</f>
        <v>Parcial</v>
      </c>
      <c r="I506" s="33" t="str">
        <f t="shared" si="7"/>
        <v>Parcial</v>
      </c>
      <c r="J506" s="26" t="s">
        <v>1362</v>
      </c>
    </row>
    <row r="507" spans="1:10" ht="16.05" customHeight="1" x14ac:dyDescent="0.3">
      <c r="A507" s="26" t="s">
        <v>668</v>
      </c>
      <c r="B507" s="26" t="s">
        <v>1385</v>
      </c>
      <c r="C507" s="33" t="str">
        <f>IFERROR(INDEX(tbl_requisitos_emb[Tema],MATCH(B507,tbl_requisitos_emb[ID_Req],0)),"")</f>
        <v>Reciclabilidade (voluntária)</v>
      </c>
      <c r="D507" s="33" t="str">
        <f>IFERROR(INDEX(tbl_recyclass[Segmento],MATCH(A507,tbl_recyclass[ProductId],0)),"")</f>
        <v>Cosmética e higiene pessoal</v>
      </c>
      <c r="E507" s="26" t="s">
        <v>901</v>
      </c>
      <c r="F507" s="26" t="s">
        <v>1449</v>
      </c>
      <c r="G507" s="26" t="s">
        <v>978</v>
      </c>
      <c r="H507" s="33" t="str">
        <f>IF(E507="Não","Não aplicável",IFERROR(IF(B507="EU-ENV-002",IF(INDEX(tbl_recyclass[Conforme_PPWR_2030],MATCH(A507,tbl_recyclass[ProductId],0))="Sim","Conforme (autoavaliação)",IF(INDEX(tbl_recyclass[Conforme_PPWR_2030],MATCH(A507,tbl_recyclass[ProductId],0))="Não","Não conforme em 2030","Isento até 2035")),IF(B507="EU-ENV-003",IF(INDEX(tbl_recyclass[Conforme_Art7_2030],MATCH(A507,tbl_recyclass[ProductId],0))="Sim","Conforme (meta 2030)",IF(INDEX(tbl_recyclass[Conforme_Art7_2030],MATCH(A507,tbl_recyclass[ProductId],0))="Não","Lacuna face à meta 2030","Isento")),IF(B507="EU-ENV-011",IF(INDEX(tbl_familias_ppwr[Metais_Pesados_Evidencia],MATCH(INDEX(tbl_recyclass[Familia_PPWR],MATCH(A507,tbl_recyclass[ProductId],0)),tbl_familias_ppwr[ID_Familia],0))="Em falta","Lacuna","Conforme"),IF(B507="EU-ENV-013",IF(INDEX(tbl_familias_ppwr[Declaracao_UE],MATCH(INDEX(tbl_recyclass[Familia_PPWR],MATCH(A507,tbl_recyclass[ProductId],0)),tbl_familias_ppwr[ID_Familia],0))="Sim","Conforme","Lacuna"),G507)))),G507))</f>
        <v>Parcial</v>
      </c>
      <c r="I507" s="33" t="str">
        <f t="shared" si="7"/>
        <v>Parcial</v>
      </c>
      <c r="J507" s="26" t="s">
        <v>1389</v>
      </c>
    </row>
    <row r="508" spans="1:10" ht="16.05" customHeight="1" x14ac:dyDescent="0.3">
      <c r="A508" s="26" t="s">
        <v>671</v>
      </c>
      <c r="B508" s="26" t="s">
        <v>984</v>
      </c>
      <c r="C508" s="33" t="str">
        <f>IFERROR(INDEX(tbl_requisitos_emb[Tema],MATCH(B508,tbl_requisitos_emb[ID_Req],0)),"")</f>
        <v>Conceção para reciclagem</v>
      </c>
      <c r="D508" s="33" t="str">
        <f>IFERROR(INDEX(tbl_recyclass[Segmento],MATCH(A508,tbl_recyclass[ProductId],0)),"")</f>
        <v>Cosmética e higiene pessoal</v>
      </c>
      <c r="E508" s="26" t="s">
        <v>901</v>
      </c>
      <c r="F508" s="26" t="s">
        <v>1449</v>
      </c>
      <c r="G508" s="26" t="s">
        <v>978</v>
      </c>
      <c r="H508" s="33" t="str">
        <f>IF(E508="Não","Não aplicável",IFERROR(IF(B508="EU-ENV-002",IF(INDEX(tbl_recyclass[Conforme_PPWR_2030],MATCH(A508,tbl_recyclass[ProductId],0))="Sim","Conforme (autoavaliação)",IF(INDEX(tbl_recyclass[Conforme_PPWR_2030],MATCH(A508,tbl_recyclass[ProductId],0))="Não","Não conforme em 2030","Isento até 2035")),IF(B508="EU-ENV-003",IF(INDEX(tbl_recyclass[Conforme_Art7_2030],MATCH(A508,tbl_recyclass[ProductId],0))="Sim","Conforme (meta 2030)",IF(INDEX(tbl_recyclass[Conforme_Art7_2030],MATCH(A508,tbl_recyclass[ProductId],0))="Não","Lacuna face à meta 2030","Isento")),IF(B508="EU-ENV-011",IF(INDEX(tbl_familias_ppwr[Metais_Pesados_Evidencia],MATCH(INDEX(tbl_recyclass[Familia_PPWR],MATCH(A508,tbl_recyclass[ProductId],0)),tbl_familias_ppwr[ID_Familia],0))="Em falta","Lacuna","Conforme"),IF(B508="EU-ENV-013",IF(INDEX(tbl_familias_ppwr[Declaracao_UE],MATCH(INDEX(tbl_recyclass[Familia_PPWR],MATCH(A508,tbl_recyclass[ProductId],0)),tbl_familias_ppwr[ID_Familia],0))="Sim","Conforme","Lacuna"),G508)))),G508))</f>
        <v>Conforme (autoavaliação)</v>
      </c>
      <c r="I508" s="33" t="str">
        <f t="shared" si="7"/>
        <v>Conforme</v>
      </c>
      <c r="J508" s="26" t="s">
        <v>991</v>
      </c>
    </row>
    <row r="509" spans="1:10" ht="16.05" customHeight="1" x14ac:dyDescent="0.3">
      <c r="A509" s="26" t="s">
        <v>671</v>
      </c>
      <c r="B509" s="26" t="s">
        <v>997</v>
      </c>
      <c r="C509" s="33" t="str">
        <f>IFERROR(INDEX(tbl_requisitos_emb[Tema],MATCH(B509,tbl_requisitos_emb[ID_Req],0)),"")</f>
        <v>Conteúdo reciclado</v>
      </c>
      <c r="D509" s="33" t="str">
        <f>IFERROR(INDEX(tbl_recyclass[Segmento],MATCH(A509,tbl_recyclass[ProductId],0)),"")</f>
        <v>Cosmética e higiene pessoal</v>
      </c>
      <c r="E509" s="26" t="s">
        <v>901</v>
      </c>
      <c r="F509" s="26" t="s">
        <v>1449</v>
      </c>
      <c r="G509" s="26" t="s">
        <v>978</v>
      </c>
      <c r="H509" s="33" t="str">
        <f>IF(E509="Não","Não aplicável",IFERROR(IF(B509="EU-ENV-002",IF(INDEX(tbl_recyclass[Conforme_PPWR_2030],MATCH(A509,tbl_recyclass[ProductId],0))="Sim","Conforme (autoavaliação)",IF(INDEX(tbl_recyclass[Conforme_PPWR_2030],MATCH(A509,tbl_recyclass[ProductId],0))="Não","Não conforme em 2030","Isento até 2035")),IF(B509="EU-ENV-003",IF(INDEX(tbl_recyclass[Conforme_Art7_2030],MATCH(A509,tbl_recyclass[ProductId],0))="Sim","Conforme (meta 2030)",IF(INDEX(tbl_recyclass[Conforme_Art7_2030],MATCH(A509,tbl_recyclass[ProductId],0))="Não","Lacuna face à meta 2030","Isento")),IF(B509="EU-ENV-011",IF(INDEX(tbl_familias_ppwr[Metais_Pesados_Evidencia],MATCH(INDEX(tbl_recyclass[Familia_PPWR],MATCH(A509,tbl_recyclass[ProductId],0)),tbl_familias_ppwr[ID_Familia],0))="Em falta","Lacuna","Conforme"),IF(B509="EU-ENV-013",IF(INDEX(tbl_familias_ppwr[Declaracao_UE],MATCH(INDEX(tbl_recyclass[Familia_PPWR],MATCH(A509,tbl_recyclass[ProductId],0)),tbl_familias_ppwr[ID_Familia],0))="Sim","Conforme","Lacuna"),G509)))),G509))</f>
        <v>Lacuna face à meta 2030</v>
      </c>
      <c r="I509" s="33" t="str">
        <f t="shared" si="7"/>
        <v>Lacuna</v>
      </c>
      <c r="J509" s="26" t="s">
        <v>1001</v>
      </c>
    </row>
    <row r="510" spans="1:10" ht="16.05" customHeight="1" x14ac:dyDescent="0.3">
      <c r="A510" s="26" t="s">
        <v>671</v>
      </c>
      <c r="B510" s="26" t="s">
        <v>1007</v>
      </c>
      <c r="C510" s="33" t="str">
        <f>IFERROR(INDEX(tbl_requisitos_emb[Tema],MATCH(B510,tbl_requisitos_emb[ID_Req],0)),"")</f>
        <v>Minimização</v>
      </c>
      <c r="D510" s="33" t="str">
        <f>IFERROR(INDEX(tbl_recyclass[Segmento],MATCH(A510,tbl_recyclass[ProductId],0)),"")</f>
        <v>Cosmética e higiene pessoal</v>
      </c>
      <c r="E510" s="26" t="s">
        <v>901</v>
      </c>
      <c r="F510" s="26" t="s">
        <v>1449</v>
      </c>
      <c r="G510" s="26" t="s">
        <v>978</v>
      </c>
      <c r="H510" s="33" t="str">
        <f>IF(E510="Não","Não aplicável",IFERROR(IF(B510="EU-ENV-002",IF(INDEX(tbl_recyclass[Conforme_PPWR_2030],MATCH(A510,tbl_recyclass[ProductId],0))="Sim","Conforme (autoavaliação)",IF(INDEX(tbl_recyclass[Conforme_PPWR_2030],MATCH(A510,tbl_recyclass[ProductId],0))="Não","Não conforme em 2030","Isento até 2035")),IF(B510="EU-ENV-003",IF(INDEX(tbl_recyclass[Conforme_Art7_2030],MATCH(A510,tbl_recyclass[ProductId],0))="Sim","Conforme (meta 2030)",IF(INDEX(tbl_recyclass[Conforme_Art7_2030],MATCH(A510,tbl_recyclass[ProductId],0))="Não","Lacuna face à meta 2030","Isento")),IF(B510="EU-ENV-011",IF(INDEX(tbl_familias_ppwr[Metais_Pesados_Evidencia],MATCH(INDEX(tbl_recyclass[Familia_PPWR],MATCH(A510,tbl_recyclass[ProductId],0)),tbl_familias_ppwr[ID_Familia],0))="Em falta","Lacuna","Conforme"),IF(B510="EU-ENV-013",IF(INDEX(tbl_familias_ppwr[Declaracao_UE],MATCH(INDEX(tbl_recyclass[Familia_PPWR],MATCH(A510,tbl_recyclass[ProductId],0)),tbl_familias_ppwr[ID_Familia],0))="Sim","Conforme","Lacuna"),G510)))),G510))</f>
        <v>Parcial</v>
      </c>
      <c r="I510" s="33" t="str">
        <f t="shared" si="7"/>
        <v>Parcial</v>
      </c>
      <c r="J510" s="26" t="s">
        <v>1012</v>
      </c>
    </row>
    <row r="511" spans="1:10" ht="16.05" customHeight="1" x14ac:dyDescent="0.3">
      <c r="A511" s="26" t="s">
        <v>671</v>
      </c>
      <c r="B511" s="26" t="s">
        <v>1016</v>
      </c>
      <c r="C511" s="33" t="str">
        <f>IFERROR(INDEX(tbl_requisitos_emb[Tema],MATCH(B511,tbl_requisitos_emb[ID_Req],0)),"")</f>
        <v>Rotulagem</v>
      </c>
      <c r="D511" s="33" t="str">
        <f>IFERROR(INDEX(tbl_recyclass[Segmento],MATCH(A511,tbl_recyclass[ProductId],0)),"")</f>
        <v>Cosmética e higiene pessoal</v>
      </c>
      <c r="E511" s="26" t="s">
        <v>901</v>
      </c>
      <c r="F511" s="26" t="s">
        <v>1449</v>
      </c>
      <c r="G511" s="26" t="s">
        <v>990</v>
      </c>
      <c r="H511" s="33" t="str">
        <f>IF(E511="Não","Não aplicável",IFERROR(IF(B511="EU-ENV-002",IF(INDEX(tbl_recyclass[Conforme_PPWR_2030],MATCH(A511,tbl_recyclass[ProductId],0))="Sim","Conforme (autoavaliação)",IF(INDEX(tbl_recyclass[Conforme_PPWR_2030],MATCH(A511,tbl_recyclass[ProductId],0))="Não","Não conforme em 2030","Isento até 2035")),IF(B511="EU-ENV-003",IF(INDEX(tbl_recyclass[Conforme_Art7_2030],MATCH(A511,tbl_recyclass[ProductId],0))="Sim","Conforme (meta 2030)",IF(INDEX(tbl_recyclass[Conforme_Art7_2030],MATCH(A511,tbl_recyclass[ProductId],0))="Não","Lacuna face à meta 2030","Isento")),IF(B511="EU-ENV-011",IF(INDEX(tbl_familias_ppwr[Metais_Pesados_Evidencia],MATCH(INDEX(tbl_recyclass[Familia_PPWR],MATCH(A511,tbl_recyclass[ProductId],0)),tbl_familias_ppwr[ID_Familia],0))="Em falta","Lacuna","Conforme"),IF(B511="EU-ENV-013",IF(INDEX(tbl_familias_ppwr[Declaracao_UE],MATCH(INDEX(tbl_recyclass[Familia_PPWR],MATCH(A511,tbl_recyclass[ProductId],0)),tbl_familias_ppwr[ID_Familia],0))="Sim","Conforme","Lacuna"),G511)))),G511))</f>
        <v>Futuro</v>
      </c>
      <c r="I511" s="33" t="str">
        <f t="shared" si="7"/>
        <v>Futuro</v>
      </c>
      <c r="J511" s="26" t="s">
        <v>1021</v>
      </c>
    </row>
    <row r="512" spans="1:10" ht="16.05" customHeight="1" x14ac:dyDescent="0.3">
      <c r="A512" s="26" t="s">
        <v>671</v>
      </c>
      <c r="B512" s="26" t="s">
        <v>1038</v>
      </c>
      <c r="C512" s="33" t="str">
        <f>IFERROR(INDEX(tbl_requisitos_emb[Tema],MATCH(B512,tbl_requisitos_emb[ID_Req],0)),"")</f>
        <v>Plásticos de utilização única</v>
      </c>
      <c r="D512" s="33" t="str">
        <f>IFERROR(INDEX(tbl_recyclass[Segmento],MATCH(A512,tbl_recyclass[ProductId],0)),"")</f>
        <v>Cosmética e higiene pessoal</v>
      </c>
      <c r="E512" s="26" t="s">
        <v>904</v>
      </c>
      <c r="F512" s="26" t="s">
        <v>1450</v>
      </c>
      <c r="G512" s="26" t="s">
        <v>1143</v>
      </c>
      <c r="H512" s="33" t="str">
        <f>IF(E512="Não","Não aplicável",IFERROR(IF(B512="EU-ENV-002",IF(INDEX(tbl_recyclass[Conforme_PPWR_2030],MATCH(A512,tbl_recyclass[ProductId],0))="Sim","Conforme (autoavaliação)",IF(INDEX(tbl_recyclass[Conforme_PPWR_2030],MATCH(A512,tbl_recyclass[ProductId],0))="Não","Não conforme em 2030","Isento até 2035")),IF(B512="EU-ENV-003",IF(INDEX(tbl_recyclass[Conforme_Art7_2030],MATCH(A512,tbl_recyclass[ProductId],0))="Sim","Conforme (meta 2030)",IF(INDEX(tbl_recyclass[Conforme_Art7_2030],MATCH(A512,tbl_recyclass[ProductId],0))="Não","Lacuna face à meta 2030","Isento")),IF(B512="EU-ENV-011",IF(INDEX(tbl_familias_ppwr[Metais_Pesados_Evidencia],MATCH(INDEX(tbl_recyclass[Familia_PPWR],MATCH(A512,tbl_recyclass[ProductId],0)),tbl_familias_ppwr[ID_Familia],0))="Em falta","Lacuna","Conforme"),IF(B512="EU-ENV-013",IF(INDEX(tbl_familias_ppwr[Declaracao_UE],MATCH(INDEX(tbl_recyclass[Familia_PPWR],MATCH(A512,tbl_recyclass[ProductId],0)),tbl_familias_ppwr[ID_Familia],0))="Sim","Conforme","Lacuna"),G512)))),G512))</f>
        <v>Não aplicável</v>
      </c>
      <c r="I512" s="33" t="str">
        <f t="shared" si="7"/>
        <v>Não aplicável</v>
      </c>
      <c r="J512" s="26"/>
    </row>
    <row r="513" spans="1:10" ht="16.05" customHeight="1" x14ac:dyDescent="0.3">
      <c r="A513" s="26" t="s">
        <v>671</v>
      </c>
      <c r="B513" s="26" t="s">
        <v>1078</v>
      </c>
      <c r="C513" s="33" t="str">
        <f>IFERROR(INDEX(tbl_requisitos_emb[Tema],MATCH(B513,tbl_requisitos_emb[ID_Req],0)),"")</f>
        <v>Reciclado à escala</v>
      </c>
      <c r="D513" s="33" t="str">
        <f>IFERROR(INDEX(tbl_recyclass[Segmento],MATCH(A513,tbl_recyclass[ProductId],0)),"")</f>
        <v>Cosmética e higiene pessoal</v>
      </c>
      <c r="E513" s="26" t="s">
        <v>901</v>
      </c>
      <c r="F513" s="26" t="s">
        <v>1449</v>
      </c>
      <c r="G513" s="26" t="s">
        <v>990</v>
      </c>
      <c r="H513" s="33" t="str">
        <f>IF(E513="Não","Não aplicável",IFERROR(IF(B513="EU-ENV-002",IF(INDEX(tbl_recyclass[Conforme_PPWR_2030],MATCH(A513,tbl_recyclass[ProductId],0))="Sim","Conforme (autoavaliação)",IF(INDEX(tbl_recyclass[Conforme_PPWR_2030],MATCH(A513,tbl_recyclass[ProductId],0))="Não","Não conforme em 2030","Isento até 2035")),IF(B513="EU-ENV-003",IF(INDEX(tbl_recyclass[Conforme_Art7_2030],MATCH(A513,tbl_recyclass[ProductId],0))="Sim","Conforme (meta 2030)",IF(INDEX(tbl_recyclass[Conforme_Art7_2030],MATCH(A513,tbl_recyclass[ProductId],0))="Não","Lacuna face à meta 2030","Isento")),IF(B513="EU-ENV-011",IF(INDEX(tbl_familias_ppwr[Metais_Pesados_Evidencia],MATCH(INDEX(tbl_recyclass[Familia_PPWR],MATCH(A513,tbl_recyclass[ProductId],0)),tbl_familias_ppwr[ID_Familia],0))="Em falta","Lacuna","Conforme"),IF(B513="EU-ENV-013",IF(INDEX(tbl_familias_ppwr[Declaracao_UE],MATCH(INDEX(tbl_recyclass[Familia_PPWR],MATCH(A513,tbl_recyclass[ProductId],0)),tbl_familias_ppwr[ID_Familia],0))="Sim","Conforme","Lacuna"),G513)))),G513))</f>
        <v>Futuro</v>
      </c>
      <c r="I513" s="33" t="str">
        <f t="shared" si="7"/>
        <v>Futuro</v>
      </c>
      <c r="J513" s="26" t="s">
        <v>1082</v>
      </c>
    </row>
    <row r="514" spans="1:10" ht="16.05" customHeight="1" x14ac:dyDescent="0.3">
      <c r="A514" s="26" t="s">
        <v>671</v>
      </c>
      <c r="B514" s="26" t="s">
        <v>1086</v>
      </c>
      <c r="C514" s="33" t="str">
        <f>IFERROR(INDEX(tbl_requisitos_emb[Tema],MATCH(B514,tbl_requisitos_emb[ID_Req],0)),"")</f>
        <v>Metais pesados</v>
      </c>
      <c r="D514" s="33" t="str">
        <f>IFERROR(INDEX(tbl_recyclass[Segmento],MATCH(A514,tbl_recyclass[ProductId],0)),"")</f>
        <v>Cosmética e higiene pessoal</v>
      </c>
      <c r="E514" s="26" t="s">
        <v>901</v>
      </c>
      <c r="F514" s="26" t="s">
        <v>1449</v>
      </c>
      <c r="G514" s="26" t="s">
        <v>978</v>
      </c>
      <c r="H514" s="33" t="str">
        <f>IF(E514="Não","Não aplicável",IFERROR(IF(B514="EU-ENV-002",IF(INDEX(tbl_recyclass[Conforme_PPWR_2030],MATCH(A514,tbl_recyclass[ProductId],0))="Sim","Conforme (autoavaliação)",IF(INDEX(tbl_recyclass[Conforme_PPWR_2030],MATCH(A514,tbl_recyclass[ProductId],0))="Não","Não conforme em 2030","Isento até 2035")),IF(B514="EU-ENV-003",IF(INDEX(tbl_recyclass[Conforme_Art7_2030],MATCH(A514,tbl_recyclass[ProductId],0))="Sim","Conforme (meta 2030)",IF(INDEX(tbl_recyclass[Conforme_Art7_2030],MATCH(A514,tbl_recyclass[ProductId],0))="Não","Lacuna face à meta 2030","Isento")),IF(B514="EU-ENV-011",IF(INDEX(tbl_familias_ppwr[Metais_Pesados_Evidencia],MATCH(INDEX(tbl_recyclass[Familia_PPWR],MATCH(A514,tbl_recyclass[ProductId],0)),tbl_familias_ppwr[ID_Familia],0))="Em falta","Lacuna","Conforme"),IF(B514="EU-ENV-013",IF(INDEX(tbl_familias_ppwr[Declaracao_UE],MATCH(INDEX(tbl_recyclass[Familia_PPWR],MATCH(A514,tbl_recyclass[ProductId],0)),tbl_familias_ppwr[ID_Familia],0))="Sim","Conforme","Lacuna"),G514)))),G514))</f>
        <v>Lacuna</v>
      </c>
      <c r="I514" s="33" t="str">
        <f t="shared" ref="I514:I577" si="8">IF(ISNUMBER(SEARCH("Não aplicável",H514)),"Não aplicável",IF(ISNUMBER(SEARCH("Isento",H514)),"Isento",IF(ISNUMBER(SEARCH("Não conforme",H514)),"Não conforme",IF(ISNUMBER(SEARCH("Lacuna",H514)),"Lacuna",IF(ISNUMBER(SEARCH("Conforme",H514)),"Conforme",H514)))))</f>
        <v>Lacuna</v>
      </c>
      <c r="J514" s="26" t="s">
        <v>1090</v>
      </c>
    </row>
    <row r="515" spans="1:10" ht="16.05" customHeight="1" x14ac:dyDescent="0.3">
      <c r="A515" s="26" t="s">
        <v>671</v>
      </c>
      <c r="B515" s="26" t="s">
        <v>1094</v>
      </c>
      <c r="C515" s="33" t="str">
        <f>IFERROR(INDEX(tbl_requisitos_emb[Tema],MATCH(B515,tbl_requisitos_emb[ID_Req],0)),"")</f>
        <v>PFAS</v>
      </c>
      <c r="D515" s="33" t="str">
        <f>IFERROR(INDEX(tbl_recyclass[Segmento],MATCH(A515,tbl_recyclass[ProductId],0)),"")</f>
        <v>Cosmética e higiene pessoal</v>
      </c>
      <c r="E515" s="26" t="s">
        <v>904</v>
      </c>
      <c r="F515" s="26" t="s">
        <v>1450</v>
      </c>
      <c r="G515" s="26" t="s">
        <v>1143</v>
      </c>
      <c r="H515" s="33" t="str">
        <f>IF(E515="Não","Não aplicável",IFERROR(IF(B515="EU-ENV-002",IF(INDEX(tbl_recyclass[Conforme_PPWR_2030],MATCH(A515,tbl_recyclass[ProductId],0))="Sim","Conforme (autoavaliação)",IF(INDEX(tbl_recyclass[Conforme_PPWR_2030],MATCH(A515,tbl_recyclass[ProductId],0))="Não","Não conforme em 2030","Isento até 2035")),IF(B515="EU-ENV-003",IF(INDEX(tbl_recyclass[Conforme_Art7_2030],MATCH(A515,tbl_recyclass[ProductId],0))="Sim","Conforme (meta 2030)",IF(INDEX(tbl_recyclass[Conforme_Art7_2030],MATCH(A515,tbl_recyclass[ProductId],0))="Não","Lacuna face à meta 2030","Isento")),IF(B515="EU-ENV-011",IF(INDEX(tbl_familias_ppwr[Metais_Pesados_Evidencia],MATCH(INDEX(tbl_recyclass[Familia_PPWR],MATCH(A515,tbl_recyclass[ProductId],0)),tbl_familias_ppwr[ID_Familia],0))="Em falta","Lacuna","Conforme"),IF(B515="EU-ENV-013",IF(INDEX(tbl_familias_ppwr[Declaracao_UE],MATCH(INDEX(tbl_recyclass[Familia_PPWR],MATCH(A515,tbl_recyclass[ProductId],0)),tbl_familias_ppwr[ID_Familia],0))="Sim","Conforme","Lacuna"),G515)))),G515))</f>
        <v>Não aplicável</v>
      </c>
      <c r="I515" s="33" t="str">
        <f t="shared" si="8"/>
        <v>Não aplicável</v>
      </c>
      <c r="J515" s="26"/>
    </row>
    <row r="516" spans="1:10" ht="16.05" customHeight="1" x14ac:dyDescent="0.3">
      <c r="A516" s="26" t="s">
        <v>671</v>
      </c>
      <c r="B516" s="26" t="s">
        <v>1102</v>
      </c>
      <c r="C516" s="33" t="str">
        <f>IFERROR(INDEX(tbl_requisitos_emb[Tema],MATCH(B516,tbl_requisitos_emb[ID_Req],0)),"")</f>
        <v>Documentação técnica e declaração UE</v>
      </c>
      <c r="D516" s="33" t="str">
        <f>IFERROR(INDEX(tbl_recyclass[Segmento],MATCH(A516,tbl_recyclass[ProductId],0)),"")</f>
        <v>Cosmética e higiene pessoal</v>
      </c>
      <c r="E516" s="26" t="s">
        <v>901</v>
      </c>
      <c r="F516" s="26" t="s">
        <v>1449</v>
      </c>
      <c r="G516" s="26" t="s">
        <v>978</v>
      </c>
      <c r="H516" s="33" t="str">
        <f>IF(E516="Não","Não aplicável",IFERROR(IF(B516="EU-ENV-002",IF(INDEX(tbl_recyclass[Conforme_PPWR_2030],MATCH(A516,tbl_recyclass[ProductId],0))="Sim","Conforme (autoavaliação)",IF(INDEX(tbl_recyclass[Conforme_PPWR_2030],MATCH(A516,tbl_recyclass[ProductId],0))="Não","Não conforme em 2030","Isento até 2035")),IF(B516="EU-ENV-003",IF(INDEX(tbl_recyclass[Conforme_Art7_2030],MATCH(A516,tbl_recyclass[ProductId],0))="Sim","Conforme (meta 2030)",IF(INDEX(tbl_recyclass[Conforme_Art7_2030],MATCH(A516,tbl_recyclass[ProductId],0))="Não","Lacuna face à meta 2030","Isento")),IF(B516="EU-ENV-011",IF(INDEX(tbl_familias_ppwr[Metais_Pesados_Evidencia],MATCH(INDEX(tbl_recyclass[Familia_PPWR],MATCH(A516,tbl_recyclass[ProductId],0)),tbl_familias_ppwr[ID_Familia],0))="Em falta","Lacuna","Conforme"),IF(B516="EU-ENV-013",IF(INDEX(tbl_familias_ppwr[Declaracao_UE],MATCH(INDEX(tbl_recyclass[Familia_PPWR],MATCH(A516,tbl_recyclass[ProductId],0)),tbl_familias_ppwr[ID_Familia],0))="Sim","Conforme","Lacuna"),G516)))),G516))</f>
        <v>Conforme</v>
      </c>
      <c r="I516" s="33" t="str">
        <f t="shared" si="8"/>
        <v>Conforme</v>
      </c>
      <c r="J516" s="26" t="s">
        <v>1106</v>
      </c>
    </row>
    <row r="517" spans="1:10" ht="16.05" customHeight="1" x14ac:dyDescent="0.3">
      <c r="A517" s="26" t="s">
        <v>671</v>
      </c>
      <c r="B517" s="26" t="s">
        <v>1161</v>
      </c>
      <c r="C517" s="33" t="str">
        <f>IFERROR(INDEX(tbl_requisitos_emb[Tema],MATCH(B517,tbl_requisitos_emb[ID_Req],0)),"")</f>
        <v>Materiais em contacto com alimentos</v>
      </c>
      <c r="D517" s="33" t="str">
        <f>IFERROR(INDEX(tbl_recyclass[Segmento],MATCH(A517,tbl_recyclass[ProductId],0)),"")</f>
        <v>Cosmética e higiene pessoal</v>
      </c>
      <c r="E517" s="26" t="s">
        <v>904</v>
      </c>
      <c r="F517" s="26" t="s">
        <v>1450</v>
      </c>
      <c r="G517" s="26" t="s">
        <v>1143</v>
      </c>
      <c r="H517" s="33" t="str">
        <f>IF(E517="Não","Não aplicável",IFERROR(IF(B517="EU-ENV-002",IF(INDEX(tbl_recyclass[Conforme_PPWR_2030],MATCH(A517,tbl_recyclass[ProductId],0))="Sim","Conforme (autoavaliação)",IF(INDEX(tbl_recyclass[Conforme_PPWR_2030],MATCH(A517,tbl_recyclass[ProductId],0))="Não","Não conforme em 2030","Isento até 2035")),IF(B517="EU-ENV-003",IF(INDEX(tbl_recyclass[Conforme_Art7_2030],MATCH(A517,tbl_recyclass[ProductId],0))="Sim","Conforme (meta 2030)",IF(INDEX(tbl_recyclass[Conforme_Art7_2030],MATCH(A517,tbl_recyclass[ProductId],0))="Não","Lacuna face à meta 2030","Isento")),IF(B517="EU-ENV-011",IF(INDEX(tbl_familias_ppwr[Metais_Pesados_Evidencia],MATCH(INDEX(tbl_recyclass[Familia_PPWR],MATCH(A517,tbl_recyclass[ProductId],0)),tbl_familias_ppwr[ID_Familia],0))="Em falta","Lacuna","Conforme"),IF(B517="EU-ENV-013",IF(INDEX(tbl_familias_ppwr[Declaracao_UE],MATCH(INDEX(tbl_recyclass[Familia_PPWR],MATCH(A517,tbl_recyclass[ProductId],0)),tbl_familias_ppwr[ID_Familia],0))="Sim","Conforme","Lacuna"),G517)))),G517))</f>
        <v>Não aplicável</v>
      </c>
      <c r="I517" s="33" t="str">
        <f t="shared" si="8"/>
        <v>Não aplicável</v>
      </c>
      <c r="J517" s="26"/>
    </row>
    <row r="518" spans="1:10" ht="16.05" customHeight="1" x14ac:dyDescent="0.3">
      <c r="A518" s="26" t="s">
        <v>671</v>
      </c>
      <c r="B518" s="26" t="s">
        <v>1170</v>
      </c>
      <c r="C518" s="33" t="str">
        <f>IFERROR(INDEX(tbl_requisitos_emb[Tema],MATCH(B518,tbl_requisitos_emb[ID_Req],0)),"")</f>
        <v>Boas práticas de fabrico FCM</v>
      </c>
      <c r="D518" s="33" t="str">
        <f>IFERROR(INDEX(tbl_recyclass[Segmento],MATCH(A518,tbl_recyclass[ProductId],0)),"")</f>
        <v>Cosmética e higiene pessoal</v>
      </c>
      <c r="E518" s="26" t="s">
        <v>904</v>
      </c>
      <c r="F518" s="26" t="s">
        <v>1450</v>
      </c>
      <c r="G518" s="26" t="s">
        <v>1143</v>
      </c>
      <c r="H518" s="33" t="str">
        <f>IF(E518="Não","Não aplicável",IFERROR(IF(B518="EU-ENV-002",IF(INDEX(tbl_recyclass[Conforme_PPWR_2030],MATCH(A518,tbl_recyclass[ProductId],0))="Sim","Conforme (autoavaliação)",IF(INDEX(tbl_recyclass[Conforme_PPWR_2030],MATCH(A518,tbl_recyclass[ProductId],0))="Não","Não conforme em 2030","Isento até 2035")),IF(B518="EU-ENV-003",IF(INDEX(tbl_recyclass[Conforme_Art7_2030],MATCH(A518,tbl_recyclass[ProductId],0))="Sim","Conforme (meta 2030)",IF(INDEX(tbl_recyclass[Conforme_Art7_2030],MATCH(A518,tbl_recyclass[ProductId],0))="Não","Lacuna face à meta 2030","Isento")),IF(B518="EU-ENV-011",IF(INDEX(tbl_familias_ppwr[Metais_Pesados_Evidencia],MATCH(INDEX(tbl_recyclass[Familia_PPWR],MATCH(A518,tbl_recyclass[ProductId],0)),tbl_familias_ppwr[ID_Familia],0))="Em falta","Lacuna","Conforme"),IF(B518="EU-ENV-013",IF(INDEX(tbl_familias_ppwr[Declaracao_UE],MATCH(INDEX(tbl_recyclass[Familia_PPWR],MATCH(A518,tbl_recyclass[ProductId],0)),tbl_familias_ppwr[ID_Familia],0))="Sim","Conforme","Lacuna"),G518)))),G518))</f>
        <v>Não aplicável</v>
      </c>
      <c r="I518" s="33" t="str">
        <f t="shared" si="8"/>
        <v>Não aplicável</v>
      </c>
      <c r="J518" s="26"/>
    </row>
    <row r="519" spans="1:10" ht="16.05" customHeight="1" x14ac:dyDescent="0.3">
      <c r="A519" s="26" t="s">
        <v>671</v>
      </c>
      <c r="B519" s="26" t="s">
        <v>1179</v>
      </c>
      <c r="C519" s="33" t="str">
        <f>IFERROR(INDEX(tbl_requisitos_emb[Tema],MATCH(B519,tbl_requisitos_emb[ID_Req],0)),"")</f>
        <v>Bisfenol A e bisfenóis perigosos</v>
      </c>
      <c r="D519" s="33" t="str">
        <f>IFERROR(INDEX(tbl_recyclass[Segmento],MATCH(A519,tbl_recyclass[ProductId],0)),"")</f>
        <v>Cosmética e higiene pessoal</v>
      </c>
      <c r="E519" s="26" t="s">
        <v>904</v>
      </c>
      <c r="F519" s="26" t="s">
        <v>1450</v>
      </c>
      <c r="G519" s="26" t="s">
        <v>1143</v>
      </c>
      <c r="H519" s="33" t="str">
        <f>IF(E519="Não","Não aplicável",IFERROR(IF(B519="EU-ENV-002",IF(INDEX(tbl_recyclass[Conforme_PPWR_2030],MATCH(A519,tbl_recyclass[ProductId],0))="Sim","Conforme (autoavaliação)",IF(INDEX(tbl_recyclass[Conforme_PPWR_2030],MATCH(A519,tbl_recyclass[ProductId],0))="Não","Não conforme em 2030","Isento até 2035")),IF(B519="EU-ENV-003",IF(INDEX(tbl_recyclass[Conforme_Art7_2030],MATCH(A519,tbl_recyclass[ProductId],0))="Sim","Conforme (meta 2030)",IF(INDEX(tbl_recyclass[Conforme_Art7_2030],MATCH(A519,tbl_recyclass[ProductId],0))="Não","Lacuna face à meta 2030","Isento")),IF(B519="EU-ENV-011",IF(INDEX(tbl_familias_ppwr[Metais_Pesados_Evidencia],MATCH(INDEX(tbl_recyclass[Familia_PPWR],MATCH(A519,tbl_recyclass[ProductId],0)),tbl_familias_ppwr[ID_Familia],0))="Em falta","Lacuna","Conforme"),IF(B519="EU-ENV-013",IF(INDEX(tbl_familias_ppwr[Declaracao_UE],MATCH(INDEX(tbl_recyclass[Familia_PPWR],MATCH(A519,tbl_recyclass[ProductId],0)),tbl_familias_ppwr[ID_Familia],0))="Sim","Conforme","Lacuna"),G519)))),G519))</f>
        <v>Não aplicável</v>
      </c>
      <c r="I519" s="33" t="str">
        <f t="shared" si="8"/>
        <v>Não aplicável</v>
      </c>
      <c r="J519" s="26"/>
    </row>
    <row r="520" spans="1:10" ht="16.05" customHeight="1" x14ac:dyDescent="0.3">
      <c r="A520" s="26" t="s">
        <v>671</v>
      </c>
      <c r="B520" s="26" t="s">
        <v>1188</v>
      </c>
      <c r="C520" s="33" t="str">
        <f>IFERROR(INDEX(tbl_requisitos_emb[Tema],MATCH(B520,tbl_requisitos_emb[ID_Req],0)),"")</f>
        <v>Plásticos em contacto com alimentos</v>
      </c>
      <c r="D520" s="33" t="str">
        <f>IFERROR(INDEX(tbl_recyclass[Segmento],MATCH(A520,tbl_recyclass[ProductId],0)),"")</f>
        <v>Cosmética e higiene pessoal</v>
      </c>
      <c r="E520" s="26" t="s">
        <v>904</v>
      </c>
      <c r="F520" s="26" t="s">
        <v>1450</v>
      </c>
      <c r="G520" s="26" t="s">
        <v>1143</v>
      </c>
      <c r="H520" s="33" t="str">
        <f>IF(E520="Não","Não aplicável",IFERROR(IF(B520="EU-ENV-002",IF(INDEX(tbl_recyclass[Conforme_PPWR_2030],MATCH(A520,tbl_recyclass[ProductId],0))="Sim","Conforme (autoavaliação)",IF(INDEX(tbl_recyclass[Conforme_PPWR_2030],MATCH(A520,tbl_recyclass[ProductId],0))="Não","Não conforme em 2030","Isento até 2035")),IF(B520="EU-ENV-003",IF(INDEX(tbl_recyclass[Conforme_Art7_2030],MATCH(A520,tbl_recyclass[ProductId],0))="Sim","Conforme (meta 2030)",IF(INDEX(tbl_recyclass[Conforme_Art7_2030],MATCH(A520,tbl_recyclass[ProductId],0))="Não","Lacuna face à meta 2030","Isento")),IF(B520="EU-ENV-011",IF(INDEX(tbl_familias_ppwr[Metais_Pesados_Evidencia],MATCH(INDEX(tbl_recyclass[Familia_PPWR],MATCH(A520,tbl_recyclass[ProductId],0)),tbl_familias_ppwr[ID_Familia],0))="Em falta","Lacuna","Conforme"),IF(B520="EU-ENV-013",IF(INDEX(tbl_familias_ppwr[Declaracao_UE],MATCH(INDEX(tbl_recyclass[Familia_PPWR],MATCH(A520,tbl_recyclass[ProductId],0)),tbl_familias_ppwr[ID_Familia],0))="Sim","Conforme","Lacuna"),G520)))),G520))</f>
        <v>Não aplicável</v>
      </c>
      <c r="I520" s="33" t="str">
        <f t="shared" si="8"/>
        <v>Não aplicável</v>
      </c>
      <c r="J520" s="26"/>
    </row>
    <row r="521" spans="1:10" ht="16.05" customHeight="1" x14ac:dyDescent="0.3">
      <c r="A521" s="26" t="s">
        <v>671</v>
      </c>
      <c r="B521" s="26" t="s">
        <v>1212</v>
      </c>
      <c r="C521" s="33" t="str">
        <f>IFERROR(INDEX(tbl_requisitos_emb[Tema],MATCH(B521,tbl_requisitos_emb[ID_Req],0)),"")</f>
        <v>Segurança do produto cosmético</v>
      </c>
      <c r="D521" s="33" t="str">
        <f>IFERROR(INDEX(tbl_recyclass[Segmento],MATCH(A521,tbl_recyclass[ProductId],0)),"")</f>
        <v>Cosmética e higiene pessoal</v>
      </c>
      <c r="E521" s="26" t="s">
        <v>901</v>
      </c>
      <c r="F521" s="26" t="s">
        <v>1449</v>
      </c>
      <c r="G521" s="26" t="s">
        <v>1033</v>
      </c>
      <c r="H521" s="33" t="str">
        <f>IF(E521="Não","Não aplicável",IFERROR(IF(B521="EU-ENV-002",IF(INDEX(tbl_recyclass[Conforme_PPWR_2030],MATCH(A521,tbl_recyclass[ProductId],0))="Sim","Conforme (autoavaliação)",IF(INDEX(tbl_recyclass[Conforme_PPWR_2030],MATCH(A521,tbl_recyclass[ProductId],0))="Não","Não conforme em 2030","Isento até 2035")),IF(B521="EU-ENV-003",IF(INDEX(tbl_recyclass[Conforme_Art7_2030],MATCH(A521,tbl_recyclass[ProductId],0))="Sim","Conforme (meta 2030)",IF(INDEX(tbl_recyclass[Conforme_Art7_2030],MATCH(A521,tbl_recyclass[ProductId],0))="Não","Lacuna face à meta 2030","Isento")),IF(B521="EU-ENV-011",IF(INDEX(tbl_familias_ppwr[Metais_Pesados_Evidencia],MATCH(INDEX(tbl_recyclass[Familia_PPWR],MATCH(A521,tbl_recyclass[ProductId],0)),tbl_familias_ppwr[ID_Familia],0))="Em falta","Lacuna","Conforme"),IF(B521="EU-ENV-013",IF(INDEX(tbl_familias_ppwr[Declaracao_UE],MATCH(INDEX(tbl_recyclass[Familia_PPWR],MATCH(A521,tbl_recyclass[ProductId],0)),tbl_familias_ppwr[ID_Familia],0))="Sim","Conforme","Lacuna"),G521)))),G521))</f>
        <v>Conforme</v>
      </c>
      <c r="I521" s="33" t="str">
        <f t="shared" si="8"/>
        <v>Conforme</v>
      </c>
      <c r="J521" s="26" t="s">
        <v>1221</v>
      </c>
    </row>
    <row r="522" spans="1:10" ht="16.05" customHeight="1" x14ac:dyDescent="0.3">
      <c r="A522" s="26" t="s">
        <v>671</v>
      </c>
      <c r="B522" s="26" t="s">
        <v>1224</v>
      </c>
      <c r="C522" s="33" t="str">
        <f>IFERROR(INDEX(tbl_requisitos_emb[Tema],MATCH(B522,tbl_requisitos_emb[ID_Req],0)),"")</f>
        <v>Materiais e impurezas</v>
      </c>
      <c r="D522" s="33" t="str">
        <f>IFERROR(INDEX(tbl_recyclass[Segmento],MATCH(A522,tbl_recyclass[ProductId],0)),"")</f>
        <v>Cosmética e higiene pessoal</v>
      </c>
      <c r="E522" s="26" t="s">
        <v>901</v>
      </c>
      <c r="F522" s="26" t="s">
        <v>1449</v>
      </c>
      <c r="G522" s="26" t="s">
        <v>978</v>
      </c>
      <c r="H522" s="33" t="str">
        <f>IF(E522="Não","Não aplicável",IFERROR(IF(B522="EU-ENV-002",IF(INDEX(tbl_recyclass[Conforme_PPWR_2030],MATCH(A522,tbl_recyclass[ProductId],0))="Sim","Conforme (autoavaliação)",IF(INDEX(tbl_recyclass[Conforme_PPWR_2030],MATCH(A522,tbl_recyclass[ProductId],0))="Não","Não conforme em 2030","Isento até 2035")),IF(B522="EU-ENV-003",IF(INDEX(tbl_recyclass[Conforme_Art7_2030],MATCH(A522,tbl_recyclass[ProductId],0))="Sim","Conforme (meta 2030)",IF(INDEX(tbl_recyclass[Conforme_Art7_2030],MATCH(A522,tbl_recyclass[ProductId],0))="Não","Lacuna face à meta 2030","Isento")),IF(B522="EU-ENV-011",IF(INDEX(tbl_familias_ppwr[Metais_Pesados_Evidencia],MATCH(INDEX(tbl_recyclass[Familia_PPWR],MATCH(A522,tbl_recyclass[ProductId],0)),tbl_familias_ppwr[ID_Familia],0))="Em falta","Lacuna","Conforme"),IF(B522="EU-ENV-013",IF(INDEX(tbl_familias_ppwr[Declaracao_UE],MATCH(INDEX(tbl_recyclass[Familia_PPWR],MATCH(A522,tbl_recyclass[ProductId],0)),tbl_familias_ppwr[ID_Familia],0))="Sim","Conforme","Lacuna"),G522)))),G522))</f>
        <v>Parcial</v>
      </c>
      <c r="I522" s="33" t="str">
        <f t="shared" si="8"/>
        <v>Parcial</v>
      </c>
      <c r="J522" s="26" t="s">
        <v>1228</v>
      </c>
    </row>
    <row r="523" spans="1:10" ht="16.05" customHeight="1" x14ac:dyDescent="0.3">
      <c r="A523" s="26" t="s">
        <v>671</v>
      </c>
      <c r="B523" s="26" t="s">
        <v>1240</v>
      </c>
      <c r="C523" s="33" t="str">
        <f>IFERROR(INDEX(tbl_requisitos_emb[Tema],MATCH(B523,tbl_requisitos_emb[ID_Req],0)),"")</f>
        <v>Compatibilidade embalagem–produto</v>
      </c>
      <c r="D523" s="33" t="str">
        <f>IFERROR(INDEX(tbl_recyclass[Segmento],MATCH(A523,tbl_recyclass[ProductId],0)),"")</f>
        <v>Cosmética e higiene pessoal</v>
      </c>
      <c r="E523" s="26" t="s">
        <v>901</v>
      </c>
      <c r="F523" s="26" t="s">
        <v>1449</v>
      </c>
      <c r="G523" s="26" t="s">
        <v>1033</v>
      </c>
      <c r="H523" s="33" t="str">
        <f>IF(E523="Não","Não aplicável",IFERROR(IF(B523="EU-ENV-002",IF(INDEX(tbl_recyclass[Conforme_PPWR_2030],MATCH(A523,tbl_recyclass[ProductId],0))="Sim","Conforme (autoavaliação)",IF(INDEX(tbl_recyclass[Conforme_PPWR_2030],MATCH(A523,tbl_recyclass[ProductId],0))="Não","Não conforme em 2030","Isento até 2035")),IF(B523="EU-ENV-003",IF(INDEX(tbl_recyclass[Conforme_Art7_2030],MATCH(A523,tbl_recyclass[ProductId],0))="Sim","Conforme (meta 2030)",IF(INDEX(tbl_recyclass[Conforme_Art7_2030],MATCH(A523,tbl_recyclass[ProductId],0))="Não","Lacuna face à meta 2030","Isento")),IF(B523="EU-ENV-011",IF(INDEX(tbl_familias_ppwr[Metais_Pesados_Evidencia],MATCH(INDEX(tbl_recyclass[Familia_PPWR],MATCH(A523,tbl_recyclass[ProductId],0)),tbl_familias_ppwr[ID_Familia],0))="Em falta","Lacuna","Conforme"),IF(B523="EU-ENV-013",IF(INDEX(tbl_familias_ppwr[Declaracao_UE],MATCH(INDEX(tbl_recyclass[Familia_PPWR],MATCH(A523,tbl_recyclass[ProductId],0)),tbl_familias_ppwr[ID_Familia],0))="Sim","Conforme","Lacuna"),G523)))),G523))</f>
        <v>Conforme</v>
      </c>
      <c r="I523" s="33" t="str">
        <f t="shared" si="8"/>
        <v>Conforme</v>
      </c>
      <c r="J523" s="26" t="s">
        <v>1244</v>
      </c>
    </row>
    <row r="524" spans="1:10" ht="16.05" customHeight="1" x14ac:dyDescent="0.3">
      <c r="A524" s="26" t="s">
        <v>671</v>
      </c>
      <c r="B524" s="26" t="s">
        <v>1252</v>
      </c>
      <c r="C524" s="33" t="str">
        <f>IFERROR(INDEX(tbl_requisitos_emb[Tema],MATCH(B524,tbl_requisitos_emb[ID_Req],0)),"")</f>
        <v>Medicamentos de uso humano</v>
      </c>
      <c r="D524" s="33" t="str">
        <f>IFERROR(INDEX(tbl_recyclass[Segmento],MATCH(A524,tbl_recyclass[ProductId],0)),"")</f>
        <v>Cosmética e higiene pessoal</v>
      </c>
      <c r="E524" s="26" t="s">
        <v>904</v>
      </c>
      <c r="F524" s="26" t="s">
        <v>1451</v>
      </c>
      <c r="G524" s="26" t="s">
        <v>1143</v>
      </c>
      <c r="H524" s="33" t="str">
        <f>IF(E524="Não","Não aplicável",IFERROR(IF(B524="EU-ENV-002",IF(INDEX(tbl_recyclass[Conforme_PPWR_2030],MATCH(A524,tbl_recyclass[ProductId],0))="Sim","Conforme (autoavaliação)",IF(INDEX(tbl_recyclass[Conforme_PPWR_2030],MATCH(A524,tbl_recyclass[ProductId],0))="Não","Não conforme em 2030","Isento até 2035")),IF(B524="EU-ENV-003",IF(INDEX(tbl_recyclass[Conforme_Art7_2030],MATCH(A524,tbl_recyclass[ProductId],0))="Sim","Conforme (meta 2030)",IF(INDEX(tbl_recyclass[Conforme_Art7_2030],MATCH(A524,tbl_recyclass[ProductId],0))="Não","Lacuna face à meta 2030","Isento")),IF(B524="EU-ENV-011",IF(INDEX(tbl_familias_ppwr[Metais_Pesados_Evidencia],MATCH(INDEX(tbl_recyclass[Familia_PPWR],MATCH(A524,tbl_recyclass[ProductId],0)),tbl_familias_ppwr[ID_Familia],0))="Em falta","Lacuna","Conforme"),IF(B524="EU-ENV-013",IF(INDEX(tbl_familias_ppwr[Declaracao_UE],MATCH(INDEX(tbl_recyclass[Familia_PPWR],MATCH(A524,tbl_recyclass[ProductId],0)),tbl_familias_ppwr[ID_Familia],0))="Sim","Conforme","Lacuna"),G524)))),G524))</f>
        <v>Não aplicável</v>
      </c>
      <c r="I524" s="33" t="str">
        <f t="shared" si="8"/>
        <v>Não aplicável</v>
      </c>
      <c r="J524" s="26"/>
    </row>
    <row r="525" spans="1:10" ht="16.05" customHeight="1" x14ac:dyDescent="0.3">
      <c r="A525" s="26" t="s">
        <v>671</v>
      </c>
      <c r="B525" s="26" t="s">
        <v>1268</v>
      </c>
      <c r="C525" s="33" t="str">
        <f>IFERROR(INDEX(tbl_requisitos_emb[Tema],MATCH(B525,tbl_requisitos_emb[ID_Req],0)),"")</f>
        <v>Dispositivos de segurança</v>
      </c>
      <c r="D525" s="33" t="str">
        <f>IFERROR(INDEX(tbl_recyclass[Segmento],MATCH(A525,tbl_recyclass[ProductId],0)),"")</f>
        <v>Cosmética e higiene pessoal</v>
      </c>
      <c r="E525" s="26" t="s">
        <v>904</v>
      </c>
      <c r="F525" s="26" t="s">
        <v>1451</v>
      </c>
      <c r="G525" s="26" t="s">
        <v>1143</v>
      </c>
      <c r="H525" s="33" t="str">
        <f>IF(E525="Não","Não aplicável",IFERROR(IF(B525="EU-ENV-002",IF(INDEX(tbl_recyclass[Conforme_PPWR_2030],MATCH(A525,tbl_recyclass[ProductId],0))="Sim","Conforme (autoavaliação)",IF(INDEX(tbl_recyclass[Conforme_PPWR_2030],MATCH(A525,tbl_recyclass[ProductId],0))="Não","Não conforme em 2030","Isento até 2035")),IF(B525="EU-ENV-003",IF(INDEX(tbl_recyclass[Conforme_Art7_2030],MATCH(A525,tbl_recyclass[ProductId],0))="Sim","Conforme (meta 2030)",IF(INDEX(tbl_recyclass[Conforme_Art7_2030],MATCH(A525,tbl_recyclass[ProductId],0))="Não","Lacuna face à meta 2030","Isento")),IF(B525="EU-ENV-011",IF(INDEX(tbl_familias_ppwr[Metais_Pesados_Evidencia],MATCH(INDEX(tbl_recyclass[Familia_PPWR],MATCH(A525,tbl_recyclass[ProductId],0)),tbl_familias_ppwr[ID_Familia],0))="Em falta","Lacuna","Conforme"),IF(B525="EU-ENV-013",IF(INDEX(tbl_familias_ppwr[Declaracao_UE],MATCH(INDEX(tbl_recyclass[Familia_PPWR],MATCH(A525,tbl_recyclass[ProductId],0)),tbl_familias_ppwr[ID_Familia],0))="Sim","Conforme","Lacuna"),G525)))),G525))</f>
        <v>Não aplicável</v>
      </c>
      <c r="I525" s="33" t="str">
        <f t="shared" si="8"/>
        <v>Não aplicável</v>
      </c>
      <c r="J525" s="26"/>
    </row>
    <row r="526" spans="1:10" ht="16.05" customHeight="1" x14ac:dyDescent="0.3">
      <c r="A526" s="26" t="s">
        <v>671</v>
      </c>
      <c r="B526" s="26" t="s">
        <v>1285</v>
      </c>
      <c r="C526" s="33" t="str">
        <f>IFERROR(INDEX(tbl_requisitos_emb[Tema],MATCH(B526,tbl_requisitos_emb[ID_Req],0)),"")</f>
        <v>Materiais plásticos de acondicionamento primário</v>
      </c>
      <c r="D526" s="33" t="str">
        <f>IFERROR(INDEX(tbl_recyclass[Segmento],MATCH(A526,tbl_recyclass[ProductId],0)),"")</f>
        <v>Cosmética e higiene pessoal</v>
      </c>
      <c r="E526" s="26" t="s">
        <v>904</v>
      </c>
      <c r="F526" s="26" t="s">
        <v>1451</v>
      </c>
      <c r="G526" s="26" t="s">
        <v>1143</v>
      </c>
      <c r="H526" s="33" t="str">
        <f>IF(E526="Não","Não aplicável",IFERROR(IF(B526="EU-ENV-002",IF(INDEX(tbl_recyclass[Conforme_PPWR_2030],MATCH(A526,tbl_recyclass[ProductId],0))="Sim","Conforme (autoavaliação)",IF(INDEX(tbl_recyclass[Conforme_PPWR_2030],MATCH(A526,tbl_recyclass[ProductId],0))="Não","Não conforme em 2030","Isento até 2035")),IF(B526="EU-ENV-003",IF(INDEX(tbl_recyclass[Conforme_Art7_2030],MATCH(A526,tbl_recyclass[ProductId],0))="Sim","Conforme (meta 2030)",IF(INDEX(tbl_recyclass[Conforme_Art7_2030],MATCH(A526,tbl_recyclass[ProductId],0))="Não","Lacuna face à meta 2030","Isento")),IF(B526="EU-ENV-011",IF(INDEX(tbl_familias_ppwr[Metais_Pesados_Evidencia],MATCH(INDEX(tbl_recyclass[Familia_PPWR],MATCH(A526,tbl_recyclass[ProductId],0)),tbl_familias_ppwr[ID_Familia],0))="Em falta","Lacuna","Conforme"),IF(B526="EU-ENV-013",IF(INDEX(tbl_familias_ppwr[Declaracao_UE],MATCH(INDEX(tbl_recyclass[Familia_PPWR],MATCH(A526,tbl_recyclass[ProductId],0)),tbl_familias_ppwr[ID_Familia],0))="Sim","Conforme","Lacuna"),G526)))),G526))</f>
        <v>Não aplicável</v>
      </c>
      <c r="I526" s="33" t="str">
        <f t="shared" si="8"/>
        <v>Não aplicável</v>
      </c>
      <c r="J526" s="26"/>
    </row>
    <row r="527" spans="1:10" ht="16.05" customHeight="1" x14ac:dyDescent="0.3">
      <c r="A527" s="26" t="s">
        <v>671</v>
      </c>
      <c r="B527" s="26" t="s">
        <v>1293</v>
      </c>
      <c r="C527" s="33" t="str">
        <f>IFERROR(INDEX(tbl_requisitos_emb[Tema],MATCH(B527,tbl_requisitos_emb[ID_Req],0)),"")</f>
        <v>Isenções PPWR</v>
      </c>
      <c r="D527" s="33" t="str">
        <f>IFERROR(INDEX(tbl_recyclass[Segmento],MATCH(A527,tbl_recyclass[ProductId],0)),"")</f>
        <v>Cosmética e higiene pessoal</v>
      </c>
      <c r="E527" s="26" t="s">
        <v>904</v>
      </c>
      <c r="F527" s="26" t="s">
        <v>1451</v>
      </c>
      <c r="G527" s="26" t="s">
        <v>1143</v>
      </c>
      <c r="H527" s="33" t="str">
        <f>IF(E527="Não","Não aplicável",IFERROR(IF(B527="EU-ENV-002",IF(INDEX(tbl_recyclass[Conforme_PPWR_2030],MATCH(A527,tbl_recyclass[ProductId],0))="Sim","Conforme (autoavaliação)",IF(INDEX(tbl_recyclass[Conforme_PPWR_2030],MATCH(A527,tbl_recyclass[ProductId],0))="Não","Não conforme em 2030","Isento até 2035")),IF(B527="EU-ENV-003",IF(INDEX(tbl_recyclass[Conforme_Art7_2030],MATCH(A527,tbl_recyclass[ProductId],0))="Sim","Conforme (meta 2030)",IF(INDEX(tbl_recyclass[Conforme_Art7_2030],MATCH(A527,tbl_recyclass[ProductId],0))="Não","Lacuna face à meta 2030","Isento")),IF(B527="EU-ENV-011",IF(INDEX(tbl_familias_ppwr[Metais_Pesados_Evidencia],MATCH(INDEX(tbl_recyclass[Familia_PPWR],MATCH(A527,tbl_recyclass[ProductId],0)),tbl_familias_ppwr[ID_Familia],0))="Em falta","Lacuna","Conforme"),IF(B527="EU-ENV-013",IF(INDEX(tbl_familias_ppwr[Declaracao_UE],MATCH(INDEX(tbl_recyclass[Familia_PPWR],MATCH(A527,tbl_recyclass[ProductId],0)),tbl_familias_ppwr[ID_Familia],0))="Sim","Conforme","Lacuna"),G527)))),G527))</f>
        <v>Não aplicável</v>
      </c>
      <c r="I527" s="33" t="str">
        <f t="shared" si="8"/>
        <v>Não aplicável</v>
      </c>
      <c r="J527" s="26"/>
    </row>
    <row r="528" spans="1:10" ht="16.05" customHeight="1" x14ac:dyDescent="0.3">
      <c r="A528" s="26" t="s">
        <v>671</v>
      </c>
      <c r="B528" s="26" t="s">
        <v>1357</v>
      </c>
      <c r="C528" s="33" t="str">
        <f>IFERROR(INDEX(tbl_requisitos_emb[Tema],MATCH(B528,tbl_requisitos_emb[ID_Req],0)),"")</f>
        <v>Identificação de plásticos</v>
      </c>
      <c r="D528" s="33" t="str">
        <f>IFERROR(INDEX(tbl_recyclass[Segmento],MATCH(A528,tbl_recyclass[ProductId],0)),"")</f>
        <v>Cosmética e higiene pessoal</v>
      </c>
      <c r="E528" s="26" t="s">
        <v>901</v>
      </c>
      <c r="F528" s="26" t="s">
        <v>1449</v>
      </c>
      <c r="G528" s="26" t="s">
        <v>978</v>
      </c>
      <c r="H528" s="33" t="str">
        <f>IF(E528="Não","Não aplicável",IFERROR(IF(B528="EU-ENV-002",IF(INDEX(tbl_recyclass[Conforme_PPWR_2030],MATCH(A528,tbl_recyclass[ProductId],0))="Sim","Conforme (autoavaliação)",IF(INDEX(tbl_recyclass[Conforme_PPWR_2030],MATCH(A528,tbl_recyclass[ProductId],0))="Não","Não conforme em 2030","Isento até 2035")),IF(B528="EU-ENV-003",IF(INDEX(tbl_recyclass[Conforme_Art7_2030],MATCH(A528,tbl_recyclass[ProductId],0))="Sim","Conforme (meta 2030)",IF(INDEX(tbl_recyclass[Conforme_Art7_2030],MATCH(A528,tbl_recyclass[ProductId],0))="Não","Lacuna face à meta 2030","Isento")),IF(B528="EU-ENV-011",IF(INDEX(tbl_familias_ppwr[Metais_Pesados_Evidencia],MATCH(INDEX(tbl_recyclass[Familia_PPWR],MATCH(A528,tbl_recyclass[ProductId],0)),tbl_familias_ppwr[ID_Familia],0))="Em falta","Lacuna","Conforme"),IF(B528="EU-ENV-013",IF(INDEX(tbl_familias_ppwr[Declaracao_UE],MATCH(INDEX(tbl_recyclass[Familia_PPWR],MATCH(A528,tbl_recyclass[ProductId],0)),tbl_familias_ppwr[ID_Familia],0))="Sim","Conforme","Lacuna"),G528)))),G528))</f>
        <v>Parcial</v>
      </c>
      <c r="I528" s="33" t="str">
        <f t="shared" si="8"/>
        <v>Parcial</v>
      </c>
      <c r="J528" s="26" t="s">
        <v>1362</v>
      </c>
    </row>
    <row r="529" spans="1:10" ht="16.05" customHeight="1" x14ac:dyDescent="0.3">
      <c r="A529" s="26" t="s">
        <v>671</v>
      </c>
      <c r="B529" s="26" t="s">
        <v>1385</v>
      </c>
      <c r="C529" s="33" t="str">
        <f>IFERROR(INDEX(tbl_requisitos_emb[Tema],MATCH(B529,tbl_requisitos_emb[ID_Req],0)),"")</f>
        <v>Reciclabilidade (voluntária)</v>
      </c>
      <c r="D529" s="33" t="str">
        <f>IFERROR(INDEX(tbl_recyclass[Segmento],MATCH(A529,tbl_recyclass[ProductId],0)),"")</f>
        <v>Cosmética e higiene pessoal</v>
      </c>
      <c r="E529" s="26" t="s">
        <v>901</v>
      </c>
      <c r="F529" s="26" t="s">
        <v>1449</v>
      </c>
      <c r="G529" s="26" t="s">
        <v>978</v>
      </c>
      <c r="H529" s="33" t="str">
        <f>IF(E529="Não","Não aplicável",IFERROR(IF(B529="EU-ENV-002",IF(INDEX(tbl_recyclass[Conforme_PPWR_2030],MATCH(A529,tbl_recyclass[ProductId],0))="Sim","Conforme (autoavaliação)",IF(INDEX(tbl_recyclass[Conforme_PPWR_2030],MATCH(A529,tbl_recyclass[ProductId],0))="Não","Não conforme em 2030","Isento até 2035")),IF(B529="EU-ENV-003",IF(INDEX(tbl_recyclass[Conforme_Art7_2030],MATCH(A529,tbl_recyclass[ProductId],0))="Sim","Conforme (meta 2030)",IF(INDEX(tbl_recyclass[Conforme_Art7_2030],MATCH(A529,tbl_recyclass[ProductId],0))="Não","Lacuna face à meta 2030","Isento")),IF(B529="EU-ENV-011",IF(INDEX(tbl_familias_ppwr[Metais_Pesados_Evidencia],MATCH(INDEX(tbl_recyclass[Familia_PPWR],MATCH(A529,tbl_recyclass[ProductId],0)),tbl_familias_ppwr[ID_Familia],0))="Em falta","Lacuna","Conforme"),IF(B529="EU-ENV-013",IF(INDEX(tbl_familias_ppwr[Declaracao_UE],MATCH(INDEX(tbl_recyclass[Familia_PPWR],MATCH(A529,tbl_recyclass[ProductId],0)),tbl_familias_ppwr[ID_Familia],0))="Sim","Conforme","Lacuna"),G529)))),G529))</f>
        <v>Parcial</v>
      </c>
      <c r="I529" s="33" t="str">
        <f t="shared" si="8"/>
        <v>Parcial</v>
      </c>
      <c r="J529" s="26" t="s">
        <v>1389</v>
      </c>
    </row>
    <row r="530" spans="1:10" ht="16.05" customHeight="1" x14ac:dyDescent="0.3">
      <c r="A530" s="26" t="s">
        <v>673</v>
      </c>
      <c r="B530" s="26" t="s">
        <v>984</v>
      </c>
      <c r="C530" s="33" t="str">
        <f>IFERROR(INDEX(tbl_requisitos_emb[Tema],MATCH(B530,tbl_requisitos_emb[ID_Req],0)),"")</f>
        <v>Conceção para reciclagem</v>
      </c>
      <c r="D530" s="33" t="str">
        <f>IFERROR(INDEX(tbl_recyclass[Segmento],MATCH(A530,tbl_recyclass[ProductId],0)),"")</f>
        <v>Cosmética e higiene pessoal</v>
      </c>
      <c r="E530" s="26" t="s">
        <v>901</v>
      </c>
      <c r="F530" s="26" t="s">
        <v>1449</v>
      </c>
      <c r="G530" s="26" t="s">
        <v>978</v>
      </c>
      <c r="H530" s="33" t="str">
        <f>IF(E530="Não","Não aplicável",IFERROR(IF(B530="EU-ENV-002",IF(INDEX(tbl_recyclass[Conforme_PPWR_2030],MATCH(A530,tbl_recyclass[ProductId],0))="Sim","Conforme (autoavaliação)",IF(INDEX(tbl_recyclass[Conforme_PPWR_2030],MATCH(A530,tbl_recyclass[ProductId],0))="Não","Não conforme em 2030","Isento até 2035")),IF(B530="EU-ENV-003",IF(INDEX(tbl_recyclass[Conforme_Art7_2030],MATCH(A530,tbl_recyclass[ProductId],0))="Sim","Conforme (meta 2030)",IF(INDEX(tbl_recyclass[Conforme_Art7_2030],MATCH(A530,tbl_recyclass[ProductId],0))="Não","Lacuna face à meta 2030","Isento")),IF(B530="EU-ENV-011",IF(INDEX(tbl_familias_ppwr[Metais_Pesados_Evidencia],MATCH(INDEX(tbl_recyclass[Familia_PPWR],MATCH(A530,tbl_recyclass[ProductId],0)),tbl_familias_ppwr[ID_Familia],0))="Em falta","Lacuna","Conforme"),IF(B530="EU-ENV-013",IF(INDEX(tbl_familias_ppwr[Declaracao_UE],MATCH(INDEX(tbl_recyclass[Familia_PPWR],MATCH(A530,tbl_recyclass[ProductId],0)),tbl_familias_ppwr[ID_Familia],0))="Sim","Conforme","Lacuna"),G530)))),G530))</f>
        <v>Não conforme em 2030</v>
      </c>
      <c r="I530" s="33" t="str">
        <f t="shared" si="8"/>
        <v>Não conforme</v>
      </c>
      <c r="J530" s="26" t="s">
        <v>991</v>
      </c>
    </row>
    <row r="531" spans="1:10" ht="16.05" customHeight="1" x14ac:dyDescent="0.3">
      <c r="A531" s="26" t="s">
        <v>673</v>
      </c>
      <c r="B531" s="26" t="s">
        <v>997</v>
      </c>
      <c r="C531" s="33" t="str">
        <f>IFERROR(INDEX(tbl_requisitos_emb[Tema],MATCH(B531,tbl_requisitos_emb[ID_Req],0)),"")</f>
        <v>Conteúdo reciclado</v>
      </c>
      <c r="D531" s="33" t="str">
        <f>IFERROR(INDEX(tbl_recyclass[Segmento],MATCH(A531,tbl_recyclass[ProductId],0)),"")</f>
        <v>Cosmética e higiene pessoal</v>
      </c>
      <c r="E531" s="26" t="s">
        <v>901</v>
      </c>
      <c r="F531" s="26" t="s">
        <v>1449</v>
      </c>
      <c r="G531" s="26" t="s">
        <v>978</v>
      </c>
      <c r="H531" s="33" t="str">
        <f>IF(E531="Não","Não aplicável",IFERROR(IF(B531="EU-ENV-002",IF(INDEX(tbl_recyclass[Conforme_PPWR_2030],MATCH(A531,tbl_recyclass[ProductId],0))="Sim","Conforme (autoavaliação)",IF(INDEX(tbl_recyclass[Conforme_PPWR_2030],MATCH(A531,tbl_recyclass[ProductId],0))="Não","Não conforme em 2030","Isento até 2035")),IF(B531="EU-ENV-003",IF(INDEX(tbl_recyclass[Conforme_Art7_2030],MATCH(A531,tbl_recyclass[ProductId],0))="Sim","Conforme (meta 2030)",IF(INDEX(tbl_recyclass[Conforme_Art7_2030],MATCH(A531,tbl_recyclass[ProductId],0))="Não","Lacuna face à meta 2030","Isento")),IF(B531="EU-ENV-011",IF(INDEX(tbl_familias_ppwr[Metais_Pesados_Evidencia],MATCH(INDEX(tbl_recyclass[Familia_PPWR],MATCH(A531,tbl_recyclass[ProductId],0)),tbl_familias_ppwr[ID_Familia],0))="Em falta","Lacuna","Conforme"),IF(B531="EU-ENV-013",IF(INDEX(tbl_familias_ppwr[Declaracao_UE],MATCH(INDEX(tbl_recyclass[Familia_PPWR],MATCH(A531,tbl_recyclass[ProductId],0)),tbl_familias_ppwr[ID_Familia],0))="Sim","Conforme","Lacuna"),G531)))),G531))</f>
        <v>Conforme (meta 2030)</v>
      </c>
      <c r="I531" s="33" t="str">
        <f t="shared" si="8"/>
        <v>Conforme</v>
      </c>
      <c r="J531" s="26" t="s">
        <v>1001</v>
      </c>
    </row>
    <row r="532" spans="1:10" ht="16.05" customHeight="1" x14ac:dyDescent="0.3">
      <c r="A532" s="26" t="s">
        <v>673</v>
      </c>
      <c r="B532" s="26" t="s">
        <v>1007</v>
      </c>
      <c r="C532" s="33" t="str">
        <f>IFERROR(INDEX(tbl_requisitos_emb[Tema],MATCH(B532,tbl_requisitos_emb[ID_Req],0)),"")</f>
        <v>Minimização</v>
      </c>
      <c r="D532" s="33" t="str">
        <f>IFERROR(INDEX(tbl_recyclass[Segmento],MATCH(A532,tbl_recyclass[ProductId],0)),"")</f>
        <v>Cosmética e higiene pessoal</v>
      </c>
      <c r="E532" s="26" t="s">
        <v>901</v>
      </c>
      <c r="F532" s="26" t="s">
        <v>1449</v>
      </c>
      <c r="G532" s="26" t="s">
        <v>978</v>
      </c>
      <c r="H532" s="33" t="str">
        <f>IF(E532="Não","Não aplicável",IFERROR(IF(B532="EU-ENV-002",IF(INDEX(tbl_recyclass[Conforme_PPWR_2030],MATCH(A532,tbl_recyclass[ProductId],0))="Sim","Conforme (autoavaliação)",IF(INDEX(tbl_recyclass[Conforme_PPWR_2030],MATCH(A532,tbl_recyclass[ProductId],0))="Não","Não conforme em 2030","Isento até 2035")),IF(B532="EU-ENV-003",IF(INDEX(tbl_recyclass[Conforme_Art7_2030],MATCH(A532,tbl_recyclass[ProductId],0))="Sim","Conforme (meta 2030)",IF(INDEX(tbl_recyclass[Conforme_Art7_2030],MATCH(A532,tbl_recyclass[ProductId],0))="Não","Lacuna face à meta 2030","Isento")),IF(B532="EU-ENV-011",IF(INDEX(tbl_familias_ppwr[Metais_Pesados_Evidencia],MATCH(INDEX(tbl_recyclass[Familia_PPWR],MATCH(A532,tbl_recyclass[ProductId],0)),tbl_familias_ppwr[ID_Familia],0))="Em falta","Lacuna","Conforme"),IF(B532="EU-ENV-013",IF(INDEX(tbl_familias_ppwr[Declaracao_UE],MATCH(INDEX(tbl_recyclass[Familia_PPWR],MATCH(A532,tbl_recyclass[ProductId],0)),tbl_familias_ppwr[ID_Familia],0))="Sim","Conforme","Lacuna"),G532)))),G532))</f>
        <v>Parcial</v>
      </c>
      <c r="I532" s="33" t="str">
        <f t="shared" si="8"/>
        <v>Parcial</v>
      </c>
      <c r="J532" s="26" t="s">
        <v>1012</v>
      </c>
    </row>
    <row r="533" spans="1:10" ht="16.05" customHeight="1" x14ac:dyDescent="0.3">
      <c r="A533" s="26" t="s">
        <v>673</v>
      </c>
      <c r="B533" s="26" t="s">
        <v>1016</v>
      </c>
      <c r="C533" s="33" t="str">
        <f>IFERROR(INDEX(tbl_requisitos_emb[Tema],MATCH(B533,tbl_requisitos_emb[ID_Req],0)),"")</f>
        <v>Rotulagem</v>
      </c>
      <c r="D533" s="33" t="str">
        <f>IFERROR(INDEX(tbl_recyclass[Segmento],MATCH(A533,tbl_recyclass[ProductId],0)),"")</f>
        <v>Cosmética e higiene pessoal</v>
      </c>
      <c r="E533" s="26" t="s">
        <v>901</v>
      </c>
      <c r="F533" s="26" t="s">
        <v>1449</v>
      </c>
      <c r="G533" s="26" t="s">
        <v>990</v>
      </c>
      <c r="H533" s="33" t="str">
        <f>IF(E533="Não","Não aplicável",IFERROR(IF(B533="EU-ENV-002",IF(INDEX(tbl_recyclass[Conforme_PPWR_2030],MATCH(A533,tbl_recyclass[ProductId],0))="Sim","Conforme (autoavaliação)",IF(INDEX(tbl_recyclass[Conforme_PPWR_2030],MATCH(A533,tbl_recyclass[ProductId],0))="Não","Não conforme em 2030","Isento até 2035")),IF(B533="EU-ENV-003",IF(INDEX(tbl_recyclass[Conforme_Art7_2030],MATCH(A533,tbl_recyclass[ProductId],0))="Sim","Conforme (meta 2030)",IF(INDEX(tbl_recyclass[Conforme_Art7_2030],MATCH(A533,tbl_recyclass[ProductId],0))="Não","Lacuna face à meta 2030","Isento")),IF(B533="EU-ENV-011",IF(INDEX(tbl_familias_ppwr[Metais_Pesados_Evidencia],MATCH(INDEX(tbl_recyclass[Familia_PPWR],MATCH(A533,tbl_recyclass[ProductId],0)),tbl_familias_ppwr[ID_Familia],0))="Em falta","Lacuna","Conforme"),IF(B533="EU-ENV-013",IF(INDEX(tbl_familias_ppwr[Declaracao_UE],MATCH(INDEX(tbl_recyclass[Familia_PPWR],MATCH(A533,tbl_recyclass[ProductId],0)),tbl_familias_ppwr[ID_Familia],0))="Sim","Conforme","Lacuna"),G533)))),G533))</f>
        <v>Futuro</v>
      </c>
      <c r="I533" s="33" t="str">
        <f t="shared" si="8"/>
        <v>Futuro</v>
      </c>
      <c r="J533" s="26" t="s">
        <v>1021</v>
      </c>
    </row>
    <row r="534" spans="1:10" ht="16.05" customHeight="1" x14ac:dyDescent="0.3">
      <c r="A534" s="26" t="s">
        <v>673</v>
      </c>
      <c r="B534" s="26" t="s">
        <v>1038</v>
      </c>
      <c r="C534" s="33" t="str">
        <f>IFERROR(INDEX(tbl_requisitos_emb[Tema],MATCH(B534,tbl_requisitos_emb[ID_Req],0)),"")</f>
        <v>Plásticos de utilização única</v>
      </c>
      <c r="D534" s="33" t="str">
        <f>IFERROR(INDEX(tbl_recyclass[Segmento],MATCH(A534,tbl_recyclass[ProductId],0)),"")</f>
        <v>Cosmética e higiene pessoal</v>
      </c>
      <c r="E534" s="26" t="s">
        <v>904</v>
      </c>
      <c r="F534" s="26" t="s">
        <v>1450</v>
      </c>
      <c r="G534" s="26" t="s">
        <v>1143</v>
      </c>
      <c r="H534" s="33" t="str">
        <f>IF(E534="Não","Não aplicável",IFERROR(IF(B534="EU-ENV-002",IF(INDEX(tbl_recyclass[Conforme_PPWR_2030],MATCH(A534,tbl_recyclass[ProductId],0))="Sim","Conforme (autoavaliação)",IF(INDEX(tbl_recyclass[Conforme_PPWR_2030],MATCH(A534,tbl_recyclass[ProductId],0))="Não","Não conforme em 2030","Isento até 2035")),IF(B534="EU-ENV-003",IF(INDEX(tbl_recyclass[Conforme_Art7_2030],MATCH(A534,tbl_recyclass[ProductId],0))="Sim","Conforme (meta 2030)",IF(INDEX(tbl_recyclass[Conforme_Art7_2030],MATCH(A534,tbl_recyclass[ProductId],0))="Não","Lacuna face à meta 2030","Isento")),IF(B534="EU-ENV-011",IF(INDEX(tbl_familias_ppwr[Metais_Pesados_Evidencia],MATCH(INDEX(tbl_recyclass[Familia_PPWR],MATCH(A534,tbl_recyclass[ProductId],0)),tbl_familias_ppwr[ID_Familia],0))="Em falta","Lacuna","Conforme"),IF(B534="EU-ENV-013",IF(INDEX(tbl_familias_ppwr[Declaracao_UE],MATCH(INDEX(tbl_recyclass[Familia_PPWR],MATCH(A534,tbl_recyclass[ProductId],0)),tbl_familias_ppwr[ID_Familia],0))="Sim","Conforme","Lacuna"),G534)))),G534))</f>
        <v>Não aplicável</v>
      </c>
      <c r="I534" s="33" t="str">
        <f t="shared" si="8"/>
        <v>Não aplicável</v>
      </c>
      <c r="J534" s="26"/>
    </row>
    <row r="535" spans="1:10" ht="16.05" customHeight="1" x14ac:dyDescent="0.3">
      <c r="A535" s="26" t="s">
        <v>673</v>
      </c>
      <c r="B535" s="26" t="s">
        <v>1078</v>
      </c>
      <c r="C535" s="33" t="str">
        <f>IFERROR(INDEX(tbl_requisitos_emb[Tema],MATCH(B535,tbl_requisitos_emb[ID_Req],0)),"")</f>
        <v>Reciclado à escala</v>
      </c>
      <c r="D535" s="33" t="str">
        <f>IFERROR(INDEX(tbl_recyclass[Segmento],MATCH(A535,tbl_recyclass[ProductId],0)),"")</f>
        <v>Cosmética e higiene pessoal</v>
      </c>
      <c r="E535" s="26" t="s">
        <v>901</v>
      </c>
      <c r="F535" s="26" t="s">
        <v>1449</v>
      </c>
      <c r="G535" s="26" t="s">
        <v>990</v>
      </c>
      <c r="H535" s="33" t="str">
        <f>IF(E535="Não","Não aplicável",IFERROR(IF(B535="EU-ENV-002",IF(INDEX(tbl_recyclass[Conforme_PPWR_2030],MATCH(A535,tbl_recyclass[ProductId],0))="Sim","Conforme (autoavaliação)",IF(INDEX(tbl_recyclass[Conforme_PPWR_2030],MATCH(A535,tbl_recyclass[ProductId],0))="Não","Não conforme em 2030","Isento até 2035")),IF(B535="EU-ENV-003",IF(INDEX(tbl_recyclass[Conforme_Art7_2030],MATCH(A535,tbl_recyclass[ProductId],0))="Sim","Conforme (meta 2030)",IF(INDEX(tbl_recyclass[Conforme_Art7_2030],MATCH(A535,tbl_recyclass[ProductId],0))="Não","Lacuna face à meta 2030","Isento")),IF(B535="EU-ENV-011",IF(INDEX(tbl_familias_ppwr[Metais_Pesados_Evidencia],MATCH(INDEX(tbl_recyclass[Familia_PPWR],MATCH(A535,tbl_recyclass[ProductId],0)),tbl_familias_ppwr[ID_Familia],0))="Em falta","Lacuna","Conforme"),IF(B535="EU-ENV-013",IF(INDEX(tbl_familias_ppwr[Declaracao_UE],MATCH(INDEX(tbl_recyclass[Familia_PPWR],MATCH(A535,tbl_recyclass[ProductId],0)),tbl_familias_ppwr[ID_Familia],0))="Sim","Conforme","Lacuna"),G535)))),G535))</f>
        <v>Futuro</v>
      </c>
      <c r="I535" s="33" t="str">
        <f t="shared" si="8"/>
        <v>Futuro</v>
      </c>
      <c r="J535" s="26" t="s">
        <v>1082</v>
      </c>
    </row>
    <row r="536" spans="1:10" ht="16.05" customHeight="1" x14ac:dyDescent="0.3">
      <c r="A536" s="26" t="s">
        <v>673</v>
      </c>
      <c r="B536" s="26" t="s">
        <v>1086</v>
      </c>
      <c r="C536" s="33" t="str">
        <f>IFERROR(INDEX(tbl_requisitos_emb[Tema],MATCH(B536,tbl_requisitos_emb[ID_Req],0)),"")</f>
        <v>Metais pesados</v>
      </c>
      <c r="D536" s="33" t="str">
        <f>IFERROR(INDEX(tbl_recyclass[Segmento],MATCH(A536,tbl_recyclass[ProductId],0)),"")</f>
        <v>Cosmética e higiene pessoal</v>
      </c>
      <c r="E536" s="26" t="s">
        <v>901</v>
      </c>
      <c r="F536" s="26" t="s">
        <v>1449</v>
      </c>
      <c r="G536" s="26" t="s">
        <v>978</v>
      </c>
      <c r="H536" s="33" t="str">
        <f>IF(E536="Não","Não aplicável",IFERROR(IF(B536="EU-ENV-002",IF(INDEX(tbl_recyclass[Conforme_PPWR_2030],MATCH(A536,tbl_recyclass[ProductId],0))="Sim","Conforme (autoavaliação)",IF(INDEX(tbl_recyclass[Conforme_PPWR_2030],MATCH(A536,tbl_recyclass[ProductId],0))="Não","Não conforme em 2030","Isento até 2035")),IF(B536="EU-ENV-003",IF(INDEX(tbl_recyclass[Conforme_Art7_2030],MATCH(A536,tbl_recyclass[ProductId],0))="Sim","Conforme (meta 2030)",IF(INDEX(tbl_recyclass[Conforme_Art7_2030],MATCH(A536,tbl_recyclass[ProductId],0))="Não","Lacuna face à meta 2030","Isento")),IF(B536="EU-ENV-011",IF(INDEX(tbl_familias_ppwr[Metais_Pesados_Evidencia],MATCH(INDEX(tbl_recyclass[Familia_PPWR],MATCH(A536,tbl_recyclass[ProductId],0)),tbl_familias_ppwr[ID_Familia],0))="Em falta","Lacuna","Conforme"),IF(B536="EU-ENV-013",IF(INDEX(tbl_familias_ppwr[Declaracao_UE],MATCH(INDEX(tbl_recyclass[Familia_PPWR],MATCH(A536,tbl_recyclass[ProductId],0)),tbl_familias_ppwr[ID_Familia],0))="Sim","Conforme","Lacuna"),G536)))),G536))</f>
        <v>Lacuna</v>
      </c>
      <c r="I536" s="33" t="str">
        <f t="shared" si="8"/>
        <v>Lacuna</v>
      </c>
      <c r="J536" s="26" t="s">
        <v>1090</v>
      </c>
    </row>
    <row r="537" spans="1:10" ht="16.05" customHeight="1" x14ac:dyDescent="0.3">
      <c r="A537" s="26" t="s">
        <v>673</v>
      </c>
      <c r="B537" s="26" t="s">
        <v>1094</v>
      </c>
      <c r="C537" s="33" t="str">
        <f>IFERROR(INDEX(tbl_requisitos_emb[Tema],MATCH(B537,tbl_requisitos_emb[ID_Req],0)),"")</f>
        <v>PFAS</v>
      </c>
      <c r="D537" s="33" t="str">
        <f>IFERROR(INDEX(tbl_recyclass[Segmento],MATCH(A537,tbl_recyclass[ProductId],0)),"")</f>
        <v>Cosmética e higiene pessoal</v>
      </c>
      <c r="E537" s="26" t="s">
        <v>904</v>
      </c>
      <c r="F537" s="26" t="s">
        <v>1450</v>
      </c>
      <c r="G537" s="26" t="s">
        <v>1143</v>
      </c>
      <c r="H537" s="33" t="str">
        <f>IF(E537="Não","Não aplicável",IFERROR(IF(B537="EU-ENV-002",IF(INDEX(tbl_recyclass[Conforme_PPWR_2030],MATCH(A537,tbl_recyclass[ProductId],0))="Sim","Conforme (autoavaliação)",IF(INDEX(tbl_recyclass[Conforme_PPWR_2030],MATCH(A537,tbl_recyclass[ProductId],0))="Não","Não conforme em 2030","Isento até 2035")),IF(B537="EU-ENV-003",IF(INDEX(tbl_recyclass[Conforme_Art7_2030],MATCH(A537,tbl_recyclass[ProductId],0))="Sim","Conforme (meta 2030)",IF(INDEX(tbl_recyclass[Conforme_Art7_2030],MATCH(A537,tbl_recyclass[ProductId],0))="Não","Lacuna face à meta 2030","Isento")),IF(B537="EU-ENV-011",IF(INDEX(tbl_familias_ppwr[Metais_Pesados_Evidencia],MATCH(INDEX(tbl_recyclass[Familia_PPWR],MATCH(A537,tbl_recyclass[ProductId],0)),tbl_familias_ppwr[ID_Familia],0))="Em falta","Lacuna","Conforme"),IF(B537="EU-ENV-013",IF(INDEX(tbl_familias_ppwr[Declaracao_UE],MATCH(INDEX(tbl_recyclass[Familia_PPWR],MATCH(A537,tbl_recyclass[ProductId],0)),tbl_familias_ppwr[ID_Familia],0))="Sim","Conforme","Lacuna"),G537)))),G537))</f>
        <v>Não aplicável</v>
      </c>
      <c r="I537" s="33" t="str">
        <f t="shared" si="8"/>
        <v>Não aplicável</v>
      </c>
      <c r="J537" s="26"/>
    </row>
    <row r="538" spans="1:10" ht="16.05" customHeight="1" x14ac:dyDescent="0.3">
      <c r="A538" s="26" t="s">
        <v>673</v>
      </c>
      <c r="B538" s="26" t="s">
        <v>1102</v>
      </c>
      <c r="C538" s="33" t="str">
        <f>IFERROR(INDEX(tbl_requisitos_emb[Tema],MATCH(B538,tbl_requisitos_emb[ID_Req],0)),"")</f>
        <v>Documentação técnica e declaração UE</v>
      </c>
      <c r="D538" s="33" t="str">
        <f>IFERROR(INDEX(tbl_recyclass[Segmento],MATCH(A538,tbl_recyclass[ProductId],0)),"")</f>
        <v>Cosmética e higiene pessoal</v>
      </c>
      <c r="E538" s="26" t="s">
        <v>901</v>
      </c>
      <c r="F538" s="26" t="s">
        <v>1449</v>
      </c>
      <c r="G538" s="26" t="s">
        <v>978</v>
      </c>
      <c r="H538" s="33" t="str">
        <f>IF(E538="Não","Não aplicável",IFERROR(IF(B538="EU-ENV-002",IF(INDEX(tbl_recyclass[Conforme_PPWR_2030],MATCH(A538,tbl_recyclass[ProductId],0))="Sim","Conforme (autoavaliação)",IF(INDEX(tbl_recyclass[Conforme_PPWR_2030],MATCH(A538,tbl_recyclass[ProductId],0))="Não","Não conforme em 2030","Isento até 2035")),IF(B538="EU-ENV-003",IF(INDEX(tbl_recyclass[Conforme_Art7_2030],MATCH(A538,tbl_recyclass[ProductId],0))="Sim","Conforme (meta 2030)",IF(INDEX(tbl_recyclass[Conforme_Art7_2030],MATCH(A538,tbl_recyclass[ProductId],0))="Não","Lacuna face à meta 2030","Isento")),IF(B538="EU-ENV-011",IF(INDEX(tbl_familias_ppwr[Metais_Pesados_Evidencia],MATCH(INDEX(tbl_recyclass[Familia_PPWR],MATCH(A538,tbl_recyclass[ProductId],0)),tbl_familias_ppwr[ID_Familia],0))="Em falta","Lacuna","Conforme"),IF(B538="EU-ENV-013",IF(INDEX(tbl_familias_ppwr[Declaracao_UE],MATCH(INDEX(tbl_recyclass[Familia_PPWR],MATCH(A538,tbl_recyclass[ProductId],0)),tbl_familias_ppwr[ID_Familia],0))="Sim","Conforme","Lacuna"),G538)))),G538))</f>
        <v>Conforme</v>
      </c>
      <c r="I538" s="33" t="str">
        <f t="shared" si="8"/>
        <v>Conforme</v>
      </c>
      <c r="J538" s="26" t="s">
        <v>1106</v>
      </c>
    </row>
    <row r="539" spans="1:10" ht="16.05" customHeight="1" x14ac:dyDescent="0.3">
      <c r="A539" s="26" t="s">
        <v>673</v>
      </c>
      <c r="B539" s="26" t="s">
        <v>1161</v>
      </c>
      <c r="C539" s="33" t="str">
        <f>IFERROR(INDEX(tbl_requisitos_emb[Tema],MATCH(B539,tbl_requisitos_emb[ID_Req],0)),"")</f>
        <v>Materiais em contacto com alimentos</v>
      </c>
      <c r="D539" s="33" t="str">
        <f>IFERROR(INDEX(tbl_recyclass[Segmento],MATCH(A539,tbl_recyclass[ProductId],0)),"")</f>
        <v>Cosmética e higiene pessoal</v>
      </c>
      <c r="E539" s="26" t="s">
        <v>904</v>
      </c>
      <c r="F539" s="26" t="s">
        <v>1450</v>
      </c>
      <c r="G539" s="26" t="s">
        <v>1143</v>
      </c>
      <c r="H539" s="33" t="str">
        <f>IF(E539="Não","Não aplicável",IFERROR(IF(B539="EU-ENV-002",IF(INDEX(tbl_recyclass[Conforme_PPWR_2030],MATCH(A539,tbl_recyclass[ProductId],0))="Sim","Conforme (autoavaliação)",IF(INDEX(tbl_recyclass[Conforme_PPWR_2030],MATCH(A539,tbl_recyclass[ProductId],0))="Não","Não conforme em 2030","Isento até 2035")),IF(B539="EU-ENV-003",IF(INDEX(tbl_recyclass[Conforme_Art7_2030],MATCH(A539,tbl_recyclass[ProductId],0))="Sim","Conforme (meta 2030)",IF(INDEX(tbl_recyclass[Conforme_Art7_2030],MATCH(A539,tbl_recyclass[ProductId],0))="Não","Lacuna face à meta 2030","Isento")),IF(B539="EU-ENV-011",IF(INDEX(tbl_familias_ppwr[Metais_Pesados_Evidencia],MATCH(INDEX(tbl_recyclass[Familia_PPWR],MATCH(A539,tbl_recyclass[ProductId],0)),tbl_familias_ppwr[ID_Familia],0))="Em falta","Lacuna","Conforme"),IF(B539="EU-ENV-013",IF(INDEX(tbl_familias_ppwr[Declaracao_UE],MATCH(INDEX(tbl_recyclass[Familia_PPWR],MATCH(A539,tbl_recyclass[ProductId],0)),tbl_familias_ppwr[ID_Familia],0))="Sim","Conforme","Lacuna"),G539)))),G539))</f>
        <v>Não aplicável</v>
      </c>
      <c r="I539" s="33" t="str">
        <f t="shared" si="8"/>
        <v>Não aplicável</v>
      </c>
      <c r="J539" s="26"/>
    </row>
    <row r="540" spans="1:10" ht="16.05" customHeight="1" x14ac:dyDescent="0.3">
      <c r="A540" s="26" t="s">
        <v>673</v>
      </c>
      <c r="B540" s="26" t="s">
        <v>1170</v>
      </c>
      <c r="C540" s="33" t="str">
        <f>IFERROR(INDEX(tbl_requisitos_emb[Tema],MATCH(B540,tbl_requisitos_emb[ID_Req],0)),"")</f>
        <v>Boas práticas de fabrico FCM</v>
      </c>
      <c r="D540" s="33" t="str">
        <f>IFERROR(INDEX(tbl_recyclass[Segmento],MATCH(A540,tbl_recyclass[ProductId],0)),"")</f>
        <v>Cosmética e higiene pessoal</v>
      </c>
      <c r="E540" s="26" t="s">
        <v>904</v>
      </c>
      <c r="F540" s="26" t="s">
        <v>1450</v>
      </c>
      <c r="G540" s="26" t="s">
        <v>1143</v>
      </c>
      <c r="H540" s="33" t="str">
        <f>IF(E540="Não","Não aplicável",IFERROR(IF(B540="EU-ENV-002",IF(INDEX(tbl_recyclass[Conforme_PPWR_2030],MATCH(A540,tbl_recyclass[ProductId],0))="Sim","Conforme (autoavaliação)",IF(INDEX(tbl_recyclass[Conforme_PPWR_2030],MATCH(A540,tbl_recyclass[ProductId],0))="Não","Não conforme em 2030","Isento até 2035")),IF(B540="EU-ENV-003",IF(INDEX(tbl_recyclass[Conforme_Art7_2030],MATCH(A540,tbl_recyclass[ProductId],0))="Sim","Conforme (meta 2030)",IF(INDEX(tbl_recyclass[Conforme_Art7_2030],MATCH(A540,tbl_recyclass[ProductId],0))="Não","Lacuna face à meta 2030","Isento")),IF(B540="EU-ENV-011",IF(INDEX(tbl_familias_ppwr[Metais_Pesados_Evidencia],MATCH(INDEX(tbl_recyclass[Familia_PPWR],MATCH(A540,tbl_recyclass[ProductId],0)),tbl_familias_ppwr[ID_Familia],0))="Em falta","Lacuna","Conforme"),IF(B540="EU-ENV-013",IF(INDEX(tbl_familias_ppwr[Declaracao_UE],MATCH(INDEX(tbl_recyclass[Familia_PPWR],MATCH(A540,tbl_recyclass[ProductId],0)),tbl_familias_ppwr[ID_Familia],0))="Sim","Conforme","Lacuna"),G540)))),G540))</f>
        <v>Não aplicável</v>
      </c>
      <c r="I540" s="33" t="str">
        <f t="shared" si="8"/>
        <v>Não aplicável</v>
      </c>
      <c r="J540" s="26"/>
    </row>
    <row r="541" spans="1:10" ht="16.05" customHeight="1" x14ac:dyDescent="0.3">
      <c r="A541" s="26" t="s">
        <v>673</v>
      </c>
      <c r="B541" s="26" t="s">
        <v>1179</v>
      </c>
      <c r="C541" s="33" t="str">
        <f>IFERROR(INDEX(tbl_requisitos_emb[Tema],MATCH(B541,tbl_requisitos_emb[ID_Req],0)),"")</f>
        <v>Bisfenol A e bisfenóis perigosos</v>
      </c>
      <c r="D541" s="33" t="str">
        <f>IFERROR(INDEX(tbl_recyclass[Segmento],MATCH(A541,tbl_recyclass[ProductId],0)),"")</f>
        <v>Cosmética e higiene pessoal</v>
      </c>
      <c r="E541" s="26" t="s">
        <v>904</v>
      </c>
      <c r="F541" s="26" t="s">
        <v>1450</v>
      </c>
      <c r="G541" s="26" t="s">
        <v>1143</v>
      </c>
      <c r="H541" s="33" t="str">
        <f>IF(E541="Não","Não aplicável",IFERROR(IF(B541="EU-ENV-002",IF(INDEX(tbl_recyclass[Conforme_PPWR_2030],MATCH(A541,tbl_recyclass[ProductId],0))="Sim","Conforme (autoavaliação)",IF(INDEX(tbl_recyclass[Conforme_PPWR_2030],MATCH(A541,tbl_recyclass[ProductId],0))="Não","Não conforme em 2030","Isento até 2035")),IF(B541="EU-ENV-003",IF(INDEX(tbl_recyclass[Conforme_Art7_2030],MATCH(A541,tbl_recyclass[ProductId],0))="Sim","Conforme (meta 2030)",IF(INDEX(tbl_recyclass[Conforme_Art7_2030],MATCH(A541,tbl_recyclass[ProductId],0))="Não","Lacuna face à meta 2030","Isento")),IF(B541="EU-ENV-011",IF(INDEX(tbl_familias_ppwr[Metais_Pesados_Evidencia],MATCH(INDEX(tbl_recyclass[Familia_PPWR],MATCH(A541,tbl_recyclass[ProductId],0)),tbl_familias_ppwr[ID_Familia],0))="Em falta","Lacuna","Conforme"),IF(B541="EU-ENV-013",IF(INDEX(tbl_familias_ppwr[Declaracao_UE],MATCH(INDEX(tbl_recyclass[Familia_PPWR],MATCH(A541,tbl_recyclass[ProductId],0)),tbl_familias_ppwr[ID_Familia],0))="Sim","Conforme","Lacuna"),G541)))),G541))</f>
        <v>Não aplicável</v>
      </c>
      <c r="I541" s="33" t="str">
        <f t="shared" si="8"/>
        <v>Não aplicável</v>
      </c>
      <c r="J541" s="26"/>
    </row>
    <row r="542" spans="1:10" ht="16.05" customHeight="1" x14ac:dyDescent="0.3">
      <c r="A542" s="26" t="s">
        <v>673</v>
      </c>
      <c r="B542" s="26" t="s">
        <v>1188</v>
      </c>
      <c r="C542" s="33" t="str">
        <f>IFERROR(INDEX(tbl_requisitos_emb[Tema],MATCH(B542,tbl_requisitos_emb[ID_Req],0)),"")</f>
        <v>Plásticos em contacto com alimentos</v>
      </c>
      <c r="D542" s="33" t="str">
        <f>IFERROR(INDEX(tbl_recyclass[Segmento],MATCH(A542,tbl_recyclass[ProductId],0)),"")</f>
        <v>Cosmética e higiene pessoal</v>
      </c>
      <c r="E542" s="26" t="s">
        <v>904</v>
      </c>
      <c r="F542" s="26" t="s">
        <v>1450</v>
      </c>
      <c r="G542" s="26" t="s">
        <v>1143</v>
      </c>
      <c r="H542" s="33" t="str">
        <f>IF(E542="Não","Não aplicável",IFERROR(IF(B542="EU-ENV-002",IF(INDEX(tbl_recyclass[Conforme_PPWR_2030],MATCH(A542,tbl_recyclass[ProductId],0))="Sim","Conforme (autoavaliação)",IF(INDEX(tbl_recyclass[Conforme_PPWR_2030],MATCH(A542,tbl_recyclass[ProductId],0))="Não","Não conforme em 2030","Isento até 2035")),IF(B542="EU-ENV-003",IF(INDEX(tbl_recyclass[Conforme_Art7_2030],MATCH(A542,tbl_recyclass[ProductId],0))="Sim","Conforme (meta 2030)",IF(INDEX(tbl_recyclass[Conforme_Art7_2030],MATCH(A542,tbl_recyclass[ProductId],0))="Não","Lacuna face à meta 2030","Isento")),IF(B542="EU-ENV-011",IF(INDEX(tbl_familias_ppwr[Metais_Pesados_Evidencia],MATCH(INDEX(tbl_recyclass[Familia_PPWR],MATCH(A542,tbl_recyclass[ProductId],0)),tbl_familias_ppwr[ID_Familia],0))="Em falta","Lacuna","Conforme"),IF(B542="EU-ENV-013",IF(INDEX(tbl_familias_ppwr[Declaracao_UE],MATCH(INDEX(tbl_recyclass[Familia_PPWR],MATCH(A542,tbl_recyclass[ProductId],0)),tbl_familias_ppwr[ID_Familia],0))="Sim","Conforme","Lacuna"),G542)))),G542))</f>
        <v>Não aplicável</v>
      </c>
      <c r="I542" s="33" t="str">
        <f t="shared" si="8"/>
        <v>Não aplicável</v>
      </c>
      <c r="J542" s="26"/>
    </row>
    <row r="543" spans="1:10" ht="16.05" customHeight="1" x14ac:dyDescent="0.3">
      <c r="A543" s="26" t="s">
        <v>673</v>
      </c>
      <c r="B543" s="26" t="s">
        <v>1212</v>
      </c>
      <c r="C543" s="33" t="str">
        <f>IFERROR(INDEX(tbl_requisitos_emb[Tema],MATCH(B543,tbl_requisitos_emb[ID_Req],0)),"")</f>
        <v>Segurança do produto cosmético</v>
      </c>
      <c r="D543" s="33" t="str">
        <f>IFERROR(INDEX(tbl_recyclass[Segmento],MATCH(A543,tbl_recyclass[ProductId],0)),"")</f>
        <v>Cosmética e higiene pessoal</v>
      </c>
      <c r="E543" s="26" t="s">
        <v>901</v>
      </c>
      <c r="F543" s="26" t="s">
        <v>1449</v>
      </c>
      <c r="G543" s="26" t="s">
        <v>1033</v>
      </c>
      <c r="H543" s="33" t="str">
        <f>IF(E543="Não","Não aplicável",IFERROR(IF(B543="EU-ENV-002",IF(INDEX(tbl_recyclass[Conforme_PPWR_2030],MATCH(A543,tbl_recyclass[ProductId],0))="Sim","Conforme (autoavaliação)",IF(INDEX(tbl_recyclass[Conforme_PPWR_2030],MATCH(A543,tbl_recyclass[ProductId],0))="Não","Não conforme em 2030","Isento até 2035")),IF(B543="EU-ENV-003",IF(INDEX(tbl_recyclass[Conforme_Art7_2030],MATCH(A543,tbl_recyclass[ProductId],0))="Sim","Conforme (meta 2030)",IF(INDEX(tbl_recyclass[Conforme_Art7_2030],MATCH(A543,tbl_recyclass[ProductId],0))="Não","Lacuna face à meta 2030","Isento")),IF(B543="EU-ENV-011",IF(INDEX(tbl_familias_ppwr[Metais_Pesados_Evidencia],MATCH(INDEX(tbl_recyclass[Familia_PPWR],MATCH(A543,tbl_recyclass[ProductId],0)),tbl_familias_ppwr[ID_Familia],0))="Em falta","Lacuna","Conforme"),IF(B543="EU-ENV-013",IF(INDEX(tbl_familias_ppwr[Declaracao_UE],MATCH(INDEX(tbl_recyclass[Familia_PPWR],MATCH(A543,tbl_recyclass[ProductId],0)),tbl_familias_ppwr[ID_Familia],0))="Sim","Conforme","Lacuna"),G543)))),G543))</f>
        <v>Conforme</v>
      </c>
      <c r="I543" s="33" t="str">
        <f t="shared" si="8"/>
        <v>Conforme</v>
      </c>
      <c r="J543" s="26" t="s">
        <v>1221</v>
      </c>
    </row>
    <row r="544" spans="1:10" ht="16.05" customHeight="1" x14ac:dyDescent="0.3">
      <c r="A544" s="26" t="s">
        <v>673</v>
      </c>
      <c r="B544" s="26" t="s">
        <v>1224</v>
      </c>
      <c r="C544" s="33" t="str">
        <f>IFERROR(INDEX(tbl_requisitos_emb[Tema],MATCH(B544,tbl_requisitos_emb[ID_Req],0)),"")</f>
        <v>Materiais e impurezas</v>
      </c>
      <c r="D544" s="33" t="str">
        <f>IFERROR(INDEX(tbl_recyclass[Segmento],MATCH(A544,tbl_recyclass[ProductId],0)),"")</f>
        <v>Cosmética e higiene pessoal</v>
      </c>
      <c r="E544" s="26" t="s">
        <v>901</v>
      </c>
      <c r="F544" s="26" t="s">
        <v>1449</v>
      </c>
      <c r="G544" s="26" t="s">
        <v>978</v>
      </c>
      <c r="H544" s="33" t="str">
        <f>IF(E544="Não","Não aplicável",IFERROR(IF(B544="EU-ENV-002",IF(INDEX(tbl_recyclass[Conforme_PPWR_2030],MATCH(A544,tbl_recyclass[ProductId],0))="Sim","Conforme (autoavaliação)",IF(INDEX(tbl_recyclass[Conforme_PPWR_2030],MATCH(A544,tbl_recyclass[ProductId],0))="Não","Não conforme em 2030","Isento até 2035")),IF(B544="EU-ENV-003",IF(INDEX(tbl_recyclass[Conforme_Art7_2030],MATCH(A544,tbl_recyclass[ProductId],0))="Sim","Conforme (meta 2030)",IF(INDEX(tbl_recyclass[Conforme_Art7_2030],MATCH(A544,tbl_recyclass[ProductId],0))="Não","Lacuna face à meta 2030","Isento")),IF(B544="EU-ENV-011",IF(INDEX(tbl_familias_ppwr[Metais_Pesados_Evidencia],MATCH(INDEX(tbl_recyclass[Familia_PPWR],MATCH(A544,tbl_recyclass[ProductId],0)),tbl_familias_ppwr[ID_Familia],0))="Em falta","Lacuna","Conforme"),IF(B544="EU-ENV-013",IF(INDEX(tbl_familias_ppwr[Declaracao_UE],MATCH(INDEX(tbl_recyclass[Familia_PPWR],MATCH(A544,tbl_recyclass[ProductId],0)),tbl_familias_ppwr[ID_Familia],0))="Sim","Conforme","Lacuna"),G544)))),G544))</f>
        <v>Parcial</v>
      </c>
      <c r="I544" s="33" t="str">
        <f t="shared" si="8"/>
        <v>Parcial</v>
      </c>
      <c r="J544" s="26" t="s">
        <v>1228</v>
      </c>
    </row>
    <row r="545" spans="1:10" ht="16.05" customHeight="1" x14ac:dyDescent="0.3">
      <c r="A545" s="26" t="s">
        <v>673</v>
      </c>
      <c r="B545" s="26" t="s">
        <v>1240</v>
      </c>
      <c r="C545" s="33" t="str">
        <f>IFERROR(INDEX(tbl_requisitos_emb[Tema],MATCH(B545,tbl_requisitos_emb[ID_Req],0)),"")</f>
        <v>Compatibilidade embalagem–produto</v>
      </c>
      <c r="D545" s="33" t="str">
        <f>IFERROR(INDEX(tbl_recyclass[Segmento],MATCH(A545,tbl_recyclass[ProductId],0)),"")</f>
        <v>Cosmética e higiene pessoal</v>
      </c>
      <c r="E545" s="26" t="s">
        <v>901</v>
      </c>
      <c r="F545" s="26" t="s">
        <v>1449</v>
      </c>
      <c r="G545" s="26" t="s">
        <v>1033</v>
      </c>
      <c r="H545" s="33" t="str">
        <f>IF(E545="Não","Não aplicável",IFERROR(IF(B545="EU-ENV-002",IF(INDEX(tbl_recyclass[Conforme_PPWR_2030],MATCH(A545,tbl_recyclass[ProductId],0))="Sim","Conforme (autoavaliação)",IF(INDEX(tbl_recyclass[Conforme_PPWR_2030],MATCH(A545,tbl_recyclass[ProductId],0))="Não","Não conforme em 2030","Isento até 2035")),IF(B545="EU-ENV-003",IF(INDEX(tbl_recyclass[Conforme_Art7_2030],MATCH(A545,tbl_recyclass[ProductId],0))="Sim","Conforme (meta 2030)",IF(INDEX(tbl_recyclass[Conforme_Art7_2030],MATCH(A545,tbl_recyclass[ProductId],0))="Não","Lacuna face à meta 2030","Isento")),IF(B545="EU-ENV-011",IF(INDEX(tbl_familias_ppwr[Metais_Pesados_Evidencia],MATCH(INDEX(tbl_recyclass[Familia_PPWR],MATCH(A545,tbl_recyclass[ProductId],0)),tbl_familias_ppwr[ID_Familia],0))="Em falta","Lacuna","Conforme"),IF(B545="EU-ENV-013",IF(INDEX(tbl_familias_ppwr[Declaracao_UE],MATCH(INDEX(tbl_recyclass[Familia_PPWR],MATCH(A545,tbl_recyclass[ProductId],0)),tbl_familias_ppwr[ID_Familia],0))="Sim","Conforme","Lacuna"),G545)))),G545))</f>
        <v>Conforme</v>
      </c>
      <c r="I545" s="33" t="str">
        <f t="shared" si="8"/>
        <v>Conforme</v>
      </c>
      <c r="J545" s="26" t="s">
        <v>1244</v>
      </c>
    </row>
    <row r="546" spans="1:10" ht="16.05" customHeight="1" x14ac:dyDescent="0.3">
      <c r="A546" s="26" t="s">
        <v>673</v>
      </c>
      <c r="B546" s="26" t="s">
        <v>1252</v>
      </c>
      <c r="C546" s="33" t="str">
        <f>IFERROR(INDEX(tbl_requisitos_emb[Tema],MATCH(B546,tbl_requisitos_emb[ID_Req],0)),"")</f>
        <v>Medicamentos de uso humano</v>
      </c>
      <c r="D546" s="33" t="str">
        <f>IFERROR(INDEX(tbl_recyclass[Segmento],MATCH(A546,tbl_recyclass[ProductId],0)),"")</f>
        <v>Cosmética e higiene pessoal</v>
      </c>
      <c r="E546" s="26" t="s">
        <v>904</v>
      </c>
      <c r="F546" s="26" t="s">
        <v>1451</v>
      </c>
      <c r="G546" s="26" t="s">
        <v>1143</v>
      </c>
      <c r="H546" s="33" t="str">
        <f>IF(E546="Não","Não aplicável",IFERROR(IF(B546="EU-ENV-002",IF(INDEX(tbl_recyclass[Conforme_PPWR_2030],MATCH(A546,tbl_recyclass[ProductId],0))="Sim","Conforme (autoavaliação)",IF(INDEX(tbl_recyclass[Conforme_PPWR_2030],MATCH(A546,tbl_recyclass[ProductId],0))="Não","Não conforme em 2030","Isento até 2035")),IF(B546="EU-ENV-003",IF(INDEX(tbl_recyclass[Conforme_Art7_2030],MATCH(A546,tbl_recyclass[ProductId],0))="Sim","Conforme (meta 2030)",IF(INDEX(tbl_recyclass[Conforme_Art7_2030],MATCH(A546,tbl_recyclass[ProductId],0))="Não","Lacuna face à meta 2030","Isento")),IF(B546="EU-ENV-011",IF(INDEX(tbl_familias_ppwr[Metais_Pesados_Evidencia],MATCH(INDEX(tbl_recyclass[Familia_PPWR],MATCH(A546,tbl_recyclass[ProductId],0)),tbl_familias_ppwr[ID_Familia],0))="Em falta","Lacuna","Conforme"),IF(B546="EU-ENV-013",IF(INDEX(tbl_familias_ppwr[Declaracao_UE],MATCH(INDEX(tbl_recyclass[Familia_PPWR],MATCH(A546,tbl_recyclass[ProductId],0)),tbl_familias_ppwr[ID_Familia],0))="Sim","Conforme","Lacuna"),G546)))),G546))</f>
        <v>Não aplicável</v>
      </c>
      <c r="I546" s="33" t="str">
        <f t="shared" si="8"/>
        <v>Não aplicável</v>
      </c>
      <c r="J546" s="26"/>
    </row>
    <row r="547" spans="1:10" ht="16.05" customHeight="1" x14ac:dyDescent="0.3">
      <c r="A547" s="26" t="s">
        <v>673</v>
      </c>
      <c r="B547" s="26" t="s">
        <v>1268</v>
      </c>
      <c r="C547" s="33" t="str">
        <f>IFERROR(INDEX(tbl_requisitos_emb[Tema],MATCH(B547,tbl_requisitos_emb[ID_Req],0)),"")</f>
        <v>Dispositivos de segurança</v>
      </c>
      <c r="D547" s="33" t="str">
        <f>IFERROR(INDEX(tbl_recyclass[Segmento],MATCH(A547,tbl_recyclass[ProductId],0)),"")</f>
        <v>Cosmética e higiene pessoal</v>
      </c>
      <c r="E547" s="26" t="s">
        <v>904</v>
      </c>
      <c r="F547" s="26" t="s">
        <v>1451</v>
      </c>
      <c r="G547" s="26" t="s">
        <v>1143</v>
      </c>
      <c r="H547" s="33" t="str">
        <f>IF(E547="Não","Não aplicável",IFERROR(IF(B547="EU-ENV-002",IF(INDEX(tbl_recyclass[Conforme_PPWR_2030],MATCH(A547,tbl_recyclass[ProductId],0))="Sim","Conforme (autoavaliação)",IF(INDEX(tbl_recyclass[Conforme_PPWR_2030],MATCH(A547,tbl_recyclass[ProductId],0))="Não","Não conforme em 2030","Isento até 2035")),IF(B547="EU-ENV-003",IF(INDEX(tbl_recyclass[Conforme_Art7_2030],MATCH(A547,tbl_recyclass[ProductId],0))="Sim","Conforme (meta 2030)",IF(INDEX(tbl_recyclass[Conforme_Art7_2030],MATCH(A547,tbl_recyclass[ProductId],0))="Não","Lacuna face à meta 2030","Isento")),IF(B547="EU-ENV-011",IF(INDEX(tbl_familias_ppwr[Metais_Pesados_Evidencia],MATCH(INDEX(tbl_recyclass[Familia_PPWR],MATCH(A547,tbl_recyclass[ProductId],0)),tbl_familias_ppwr[ID_Familia],0))="Em falta","Lacuna","Conforme"),IF(B547="EU-ENV-013",IF(INDEX(tbl_familias_ppwr[Declaracao_UE],MATCH(INDEX(tbl_recyclass[Familia_PPWR],MATCH(A547,tbl_recyclass[ProductId],0)),tbl_familias_ppwr[ID_Familia],0))="Sim","Conforme","Lacuna"),G547)))),G547))</f>
        <v>Não aplicável</v>
      </c>
      <c r="I547" s="33" t="str">
        <f t="shared" si="8"/>
        <v>Não aplicável</v>
      </c>
      <c r="J547" s="26"/>
    </row>
    <row r="548" spans="1:10" ht="16.05" customHeight="1" x14ac:dyDescent="0.3">
      <c r="A548" s="26" t="s">
        <v>673</v>
      </c>
      <c r="B548" s="26" t="s">
        <v>1285</v>
      </c>
      <c r="C548" s="33" t="str">
        <f>IFERROR(INDEX(tbl_requisitos_emb[Tema],MATCH(B548,tbl_requisitos_emb[ID_Req],0)),"")</f>
        <v>Materiais plásticos de acondicionamento primário</v>
      </c>
      <c r="D548" s="33" t="str">
        <f>IFERROR(INDEX(tbl_recyclass[Segmento],MATCH(A548,tbl_recyclass[ProductId],0)),"")</f>
        <v>Cosmética e higiene pessoal</v>
      </c>
      <c r="E548" s="26" t="s">
        <v>904</v>
      </c>
      <c r="F548" s="26" t="s">
        <v>1451</v>
      </c>
      <c r="G548" s="26" t="s">
        <v>1143</v>
      </c>
      <c r="H548" s="33" t="str">
        <f>IF(E548="Não","Não aplicável",IFERROR(IF(B548="EU-ENV-002",IF(INDEX(tbl_recyclass[Conforme_PPWR_2030],MATCH(A548,tbl_recyclass[ProductId],0))="Sim","Conforme (autoavaliação)",IF(INDEX(tbl_recyclass[Conforme_PPWR_2030],MATCH(A548,tbl_recyclass[ProductId],0))="Não","Não conforme em 2030","Isento até 2035")),IF(B548="EU-ENV-003",IF(INDEX(tbl_recyclass[Conforme_Art7_2030],MATCH(A548,tbl_recyclass[ProductId],0))="Sim","Conforme (meta 2030)",IF(INDEX(tbl_recyclass[Conforme_Art7_2030],MATCH(A548,tbl_recyclass[ProductId],0))="Não","Lacuna face à meta 2030","Isento")),IF(B548="EU-ENV-011",IF(INDEX(tbl_familias_ppwr[Metais_Pesados_Evidencia],MATCH(INDEX(tbl_recyclass[Familia_PPWR],MATCH(A548,tbl_recyclass[ProductId],0)),tbl_familias_ppwr[ID_Familia],0))="Em falta","Lacuna","Conforme"),IF(B548="EU-ENV-013",IF(INDEX(tbl_familias_ppwr[Declaracao_UE],MATCH(INDEX(tbl_recyclass[Familia_PPWR],MATCH(A548,tbl_recyclass[ProductId],0)),tbl_familias_ppwr[ID_Familia],0))="Sim","Conforme","Lacuna"),G548)))),G548))</f>
        <v>Não aplicável</v>
      </c>
      <c r="I548" s="33" t="str">
        <f t="shared" si="8"/>
        <v>Não aplicável</v>
      </c>
      <c r="J548" s="26"/>
    </row>
    <row r="549" spans="1:10" ht="16.05" customHeight="1" x14ac:dyDescent="0.3">
      <c r="A549" s="26" t="s">
        <v>673</v>
      </c>
      <c r="B549" s="26" t="s">
        <v>1293</v>
      </c>
      <c r="C549" s="33" t="str">
        <f>IFERROR(INDEX(tbl_requisitos_emb[Tema],MATCH(B549,tbl_requisitos_emb[ID_Req],0)),"")</f>
        <v>Isenções PPWR</v>
      </c>
      <c r="D549" s="33" t="str">
        <f>IFERROR(INDEX(tbl_recyclass[Segmento],MATCH(A549,tbl_recyclass[ProductId],0)),"")</f>
        <v>Cosmética e higiene pessoal</v>
      </c>
      <c r="E549" s="26" t="s">
        <v>904</v>
      </c>
      <c r="F549" s="26" t="s">
        <v>1451</v>
      </c>
      <c r="G549" s="26" t="s">
        <v>1143</v>
      </c>
      <c r="H549" s="33" t="str">
        <f>IF(E549="Não","Não aplicável",IFERROR(IF(B549="EU-ENV-002",IF(INDEX(tbl_recyclass[Conforme_PPWR_2030],MATCH(A549,tbl_recyclass[ProductId],0))="Sim","Conforme (autoavaliação)",IF(INDEX(tbl_recyclass[Conforme_PPWR_2030],MATCH(A549,tbl_recyclass[ProductId],0))="Não","Não conforme em 2030","Isento até 2035")),IF(B549="EU-ENV-003",IF(INDEX(tbl_recyclass[Conforme_Art7_2030],MATCH(A549,tbl_recyclass[ProductId],0))="Sim","Conforme (meta 2030)",IF(INDEX(tbl_recyclass[Conforme_Art7_2030],MATCH(A549,tbl_recyclass[ProductId],0))="Não","Lacuna face à meta 2030","Isento")),IF(B549="EU-ENV-011",IF(INDEX(tbl_familias_ppwr[Metais_Pesados_Evidencia],MATCH(INDEX(tbl_recyclass[Familia_PPWR],MATCH(A549,tbl_recyclass[ProductId],0)),tbl_familias_ppwr[ID_Familia],0))="Em falta","Lacuna","Conforme"),IF(B549="EU-ENV-013",IF(INDEX(tbl_familias_ppwr[Declaracao_UE],MATCH(INDEX(tbl_recyclass[Familia_PPWR],MATCH(A549,tbl_recyclass[ProductId],0)),tbl_familias_ppwr[ID_Familia],0))="Sim","Conforme","Lacuna"),G549)))),G549))</f>
        <v>Não aplicável</v>
      </c>
      <c r="I549" s="33" t="str">
        <f t="shared" si="8"/>
        <v>Não aplicável</v>
      </c>
      <c r="J549" s="26"/>
    </row>
    <row r="550" spans="1:10" ht="16.05" customHeight="1" x14ac:dyDescent="0.3">
      <c r="A550" s="26" t="s">
        <v>673</v>
      </c>
      <c r="B550" s="26" t="s">
        <v>1357</v>
      </c>
      <c r="C550" s="33" t="str">
        <f>IFERROR(INDEX(tbl_requisitos_emb[Tema],MATCH(B550,tbl_requisitos_emb[ID_Req],0)),"")</f>
        <v>Identificação de plásticos</v>
      </c>
      <c r="D550" s="33" t="str">
        <f>IFERROR(INDEX(tbl_recyclass[Segmento],MATCH(A550,tbl_recyclass[ProductId],0)),"")</f>
        <v>Cosmética e higiene pessoal</v>
      </c>
      <c r="E550" s="26" t="s">
        <v>901</v>
      </c>
      <c r="F550" s="26" t="s">
        <v>1449</v>
      </c>
      <c r="G550" s="26" t="s">
        <v>978</v>
      </c>
      <c r="H550" s="33" t="str">
        <f>IF(E550="Não","Não aplicável",IFERROR(IF(B550="EU-ENV-002",IF(INDEX(tbl_recyclass[Conforme_PPWR_2030],MATCH(A550,tbl_recyclass[ProductId],0))="Sim","Conforme (autoavaliação)",IF(INDEX(tbl_recyclass[Conforme_PPWR_2030],MATCH(A550,tbl_recyclass[ProductId],0))="Não","Não conforme em 2030","Isento até 2035")),IF(B550="EU-ENV-003",IF(INDEX(tbl_recyclass[Conforme_Art7_2030],MATCH(A550,tbl_recyclass[ProductId],0))="Sim","Conforme (meta 2030)",IF(INDEX(tbl_recyclass[Conforme_Art7_2030],MATCH(A550,tbl_recyclass[ProductId],0))="Não","Lacuna face à meta 2030","Isento")),IF(B550="EU-ENV-011",IF(INDEX(tbl_familias_ppwr[Metais_Pesados_Evidencia],MATCH(INDEX(tbl_recyclass[Familia_PPWR],MATCH(A550,tbl_recyclass[ProductId],0)),tbl_familias_ppwr[ID_Familia],0))="Em falta","Lacuna","Conforme"),IF(B550="EU-ENV-013",IF(INDEX(tbl_familias_ppwr[Declaracao_UE],MATCH(INDEX(tbl_recyclass[Familia_PPWR],MATCH(A550,tbl_recyclass[ProductId],0)),tbl_familias_ppwr[ID_Familia],0))="Sim","Conforme","Lacuna"),G550)))),G550))</f>
        <v>Parcial</v>
      </c>
      <c r="I550" s="33" t="str">
        <f t="shared" si="8"/>
        <v>Parcial</v>
      </c>
      <c r="J550" s="26" t="s">
        <v>1362</v>
      </c>
    </row>
    <row r="551" spans="1:10" ht="16.05" customHeight="1" x14ac:dyDescent="0.3">
      <c r="A551" s="26" t="s">
        <v>673</v>
      </c>
      <c r="B551" s="26" t="s">
        <v>1385</v>
      </c>
      <c r="C551" s="33" t="str">
        <f>IFERROR(INDEX(tbl_requisitos_emb[Tema],MATCH(B551,tbl_requisitos_emb[ID_Req],0)),"")</f>
        <v>Reciclabilidade (voluntária)</v>
      </c>
      <c r="D551" s="33" t="str">
        <f>IFERROR(INDEX(tbl_recyclass[Segmento],MATCH(A551,tbl_recyclass[ProductId],0)),"")</f>
        <v>Cosmética e higiene pessoal</v>
      </c>
      <c r="E551" s="26" t="s">
        <v>901</v>
      </c>
      <c r="F551" s="26" t="s">
        <v>1449</v>
      </c>
      <c r="G551" s="26" t="s">
        <v>978</v>
      </c>
      <c r="H551" s="33" t="str">
        <f>IF(E551="Não","Não aplicável",IFERROR(IF(B551="EU-ENV-002",IF(INDEX(tbl_recyclass[Conforme_PPWR_2030],MATCH(A551,tbl_recyclass[ProductId],0))="Sim","Conforme (autoavaliação)",IF(INDEX(tbl_recyclass[Conforme_PPWR_2030],MATCH(A551,tbl_recyclass[ProductId],0))="Não","Não conforme em 2030","Isento até 2035")),IF(B551="EU-ENV-003",IF(INDEX(tbl_recyclass[Conforme_Art7_2030],MATCH(A551,tbl_recyclass[ProductId],0))="Sim","Conforme (meta 2030)",IF(INDEX(tbl_recyclass[Conforme_Art7_2030],MATCH(A551,tbl_recyclass[ProductId],0))="Não","Lacuna face à meta 2030","Isento")),IF(B551="EU-ENV-011",IF(INDEX(tbl_familias_ppwr[Metais_Pesados_Evidencia],MATCH(INDEX(tbl_recyclass[Familia_PPWR],MATCH(A551,tbl_recyclass[ProductId],0)),tbl_familias_ppwr[ID_Familia],0))="Em falta","Lacuna","Conforme"),IF(B551="EU-ENV-013",IF(INDEX(tbl_familias_ppwr[Declaracao_UE],MATCH(INDEX(tbl_recyclass[Familia_PPWR],MATCH(A551,tbl_recyclass[ProductId],0)),tbl_familias_ppwr[ID_Familia],0))="Sim","Conforme","Lacuna"),G551)))),G551))</f>
        <v>Parcial</v>
      </c>
      <c r="I551" s="33" t="str">
        <f t="shared" si="8"/>
        <v>Parcial</v>
      </c>
      <c r="J551" s="26" t="s">
        <v>1389</v>
      </c>
    </row>
    <row r="552" spans="1:10" ht="16.05" customHeight="1" x14ac:dyDescent="0.3">
      <c r="A552" s="26" t="s">
        <v>675</v>
      </c>
      <c r="B552" s="26" t="s">
        <v>984</v>
      </c>
      <c r="C552" s="33" t="str">
        <f>IFERROR(INDEX(tbl_requisitos_emb[Tema],MATCH(B552,tbl_requisitos_emb[ID_Req],0)),"")</f>
        <v>Conceção para reciclagem</v>
      </c>
      <c r="D552" s="33" t="str">
        <f>IFERROR(INDEX(tbl_recyclass[Segmento],MATCH(A552,tbl_recyclass[ProductId],0)),"")</f>
        <v>Cosmética e higiene pessoal</v>
      </c>
      <c r="E552" s="26" t="s">
        <v>901</v>
      </c>
      <c r="F552" s="26" t="s">
        <v>1449</v>
      </c>
      <c r="G552" s="26" t="s">
        <v>978</v>
      </c>
      <c r="H552" s="33" t="str">
        <f>IF(E552="Não","Não aplicável",IFERROR(IF(B552="EU-ENV-002",IF(INDEX(tbl_recyclass[Conforme_PPWR_2030],MATCH(A552,tbl_recyclass[ProductId],0))="Sim","Conforme (autoavaliação)",IF(INDEX(tbl_recyclass[Conforme_PPWR_2030],MATCH(A552,tbl_recyclass[ProductId],0))="Não","Não conforme em 2030","Isento até 2035")),IF(B552="EU-ENV-003",IF(INDEX(tbl_recyclass[Conforme_Art7_2030],MATCH(A552,tbl_recyclass[ProductId],0))="Sim","Conforme (meta 2030)",IF(INDEX(tbl_recyclass[Conforme_Art7_2030],MATCH(A552,tbl_recyclass[ProductId],0))="Não","Lacuna face à meta 2030","Isento")),IF(B552="EU-ENV-011",IF(INDEX(tbl_familias_ppwr[Metais_Pesados_Evidencia],MATCH(INDEX(tbl_recyclass[Familia_PPWR],MATCH(A552,tbl_recyclass[ProductId],0)),tbl_familias_ppwr[ID_Familia],0))="Em falta","Lacuna","Conforme"),IF(B552="EU-ENV-013",IF(INDEX(tbl_familias_ppwr[Declaracao_UE],MATCH(INDEX(tbl_recyclass[Familia_PPWR],MATCH(A552,tbl_recyclass[ProductId],0)),tbl_familias_ppwr[ID_Familia],0))="Sim","Conforme","Lacuna"),G552)))),G552))</f>
        <v>Não conforme em 2030</v>
      </c>
      <c r="I552" s="33" t="str">
        <f t="shared" si="8"/>
        <v>Não conforme</v>
      </c>
      <c r="J552" s="26" t="s">
        <v>991</v>
      </c>
    </row>
    <row r="553" spans="1:10" ht="16.05" customHeight="1" x14ac:dyDescent="0.3">
      <c r="A553" s="26" t="s">
        <v>675</v>
      </c>
      <c r="B553" s="26" t="s">
        <v>997</v>
      </c>
      <c r="C553" s="33" t="str">
        <f>IFERROR(INDEX(tbl_requisitos_emb[Tema],MATCH(B553,tbl_requisitos_emb[ID_Req],0)),"")</f>
        <v>Conteúdo reciclado</v>
      </c>
      <c r="D553" s="33" t="str">
        <f>IFERROR(INDEX(tbl_recyclass[Segmento],MATCH(A553,tbl_recyclass[ProductId],0)),"")</f>
        <v>Cosmética e higiene pessoal</v>
      </c>
      <c r="E553" s="26" t="s">
        <v>901</v>
      </c>
      <c r="F553" s="26" t="s">
        <v>1449</v>
      </c>
      <c r="G553" s="26" t="s">
        <v>978</v>
      </c>
      <c r="H553" s="33" t="str">
        <f>IF(E553="Não","Não aplicável",IFERROR(IF(B553="EU-ENV-002",IF(INDEX(tbl_recyclass[Conforme_PPWR_2030],MATCH(A553,tbl_recyclass[ProductId],0))="Sim","Conforme (autoavaliação)",IF(INDEX(tbl_recyclass[Conforme_PPWR_2030],MATCH(A553,tbl_recyclass[ProductId],0))="Não","Não conforme em 2030","Isento até 2035")),IF(B553="EU-ENV-003",IF(INDEX(tbl_recyclass[Conforme_Art7_2030],MATCH(A553,tbl_recyclass[ProductId],0))="Sim","Conforme (meta 2030)",IF(INDEX(tbl_recyclass[Conforme_Art7_2030],MATCH(A553,tbl_recyclass[ProductId],0))="Não","Lacuna face à meta 2030","Isento")),IF(B553="EU-ENV-011",IF(INDEX(tbl_familias_ppwr[Metais_Pesados_Evidencia],MATCH(INDEX(tbl_recyclass[Familia_PPWR],MATCH(A553,tbl_recyclass[ProductId],0)),tbl_familias_ppwr[ID_Familia],0))="Em falta","Lacuna","Conforme"),IF(B553="EU-ENV-013",IF(INDEX(tbl_familias_ppwr[Declaracao_UE],MATCH(INDEX(tbl_recyclass[Familia_PPWR],MATCH(A553,tbl_recyclass[ProductId],0)),tbl_familias_ppwr[ID_Familia],0))="Sim","Conforme","Lacuna"),G553)))),G553))</f>
        <v>Conforme (meta 2030)</v>
      </c>
      <c r="I553" s="33" t="str">
        <f t="shared" si="8"/>
        <v>Conforme</v>
      </c>
      <c r="J553" s="26" t="s">
        <v>1001</v>
      </c>
    </row>
    <row r="554" spans="1:10" ht="16.05" customHeight="1" x14ac:dyDescent="0.3">
      <c r="A554" s="26" t="s">
        <v>675</v>
      </c>
      <c r="B554" s="26" t="s">
        <v>1007</v>
      </c>
      <c r="C554" s="33" t="str">
        <f>IFERROR(INDEX(tbl_requisitos_emb[Tema],MATCH(B554,tbl_requisitos_emb[ID_Req],0)),"")</f>
        <v>Minimização</v>
      </c>
      <c r="D554" s="33" t="str">
        <f>IFERROR(INDEX(tbl_recyclass[Segmento],MATCH(A554,tbl_recyclass[ProductId],0)),"")</f>
        <v>Cosmética e higiene pessoal</v>
      </c>
      <c r="E554" s="26" t="s">
        <v>901</v>
      </c>
      <c r="F554" s="26" t="s">
        <v>1449</v>
      </c>
      <c r="G554" s="26" t="s">
        <v>978</v>
      </c>
      <c r="H554" s="33" t="str">
        <f>IF(E554="Não","Não aplicável",IFERROR(IF(B554="EU-ENV-002",IF(INDEX(tbl_recyclass[Conforme_PPWR_2030],MATCH(A554,tbl_recyclass[ProductId],0))="Sim","Conforme (autoavaliação)",IF(INDEX(tbl_recyclass[Conforme_PPWR_2030],MATCH(A554,tbl_recyclass[ProductId],0))="Não","Não conforme em 2030","Isento até 2035")),IF(B554="EU-ENV-003",IF(INDEX(tbl_recyclass[Conforme_Art7_2030],MATCH(A554,tbl_recyclass[ProductId],0))="Sim","Conforme (meta 2030)",IF(INDEX(tbl_recyclass[Conforme_Art7_2030],MATCH(A554,tbl_recyclass[ProductId],0))="Não","Lacuna face à meta 2030","Isento")),IF(B554="EU-ENV-011",IF(INDEX(tbl_familias_ppwr[Metais_Pesados_Evidencia],MATCH(INDEX(tbl_recyclass[Familia_PPWR],MATCH(A554,tbl_recyclass[ProductId],0)),tbl_familias_ppwr[ID_Familia],0))="Em falta","Lacuna","Conforme"),IF(B554="EU-ENV-013",IF(INDEX(tbl_familias_ppwr[Declaracao_UE],MATCH(INDEX(tbl_recyclass[Familia_PPWR],MATCH(A554,tbl_recyclass[ProductId],0)),tbl_familias_ppwr[ID_Familia],0))="Sim","Conforme","Lacuna"),G554)))),G554))</f>
        <v>Parcial</v>
      </c>
      <c r="I554" s="33" t="str">
        <f t="shared" si="8"/>
        <v>Parcial</v>
      </c>
      <c r="J554" s="26" t="s">
        <v>1012</v>
      </c>
    </row>
    <row r="555" spans="1:10" ht="16.05" customHeight="1" x14ac:dyDescent="0.3">
      <c r="A555" s="26" t="s">
        <v>675</v>
      </c>
      <c r="B555" s="26" t="s">
        <v>1016</v>
      </c>
      <c r="C555" s="33" t="str">
        <f>IFERROR(INDEX(tbl_requisitos_emb[Tema],MATCH(B555,tbl_requisitos_emb[ID_Req],0)),"")</f>
        <v>Rotulagem</v>
      </c>
      <c r="D555" s="33" t="str">
        <f>IFERROR(INDEX(tbl_recyclass[Segmento],MATCH(A555,tbl_recyclass[ProductId],0)),"")</f>
        <v>Cosmética e higiene pessoal</v>
      </c>
      <c r="E555" s="26" t="s">
        <v>901</v>
      </c>
      <c r="F555" s="26" t="s">
        <v>1449</v>
      </c>
      <c r="G555" s="26" t="s">
        <v>990</v>
      </c>
      <c r="H555" s="33" t="str">
        <f>IF(E555="Não","Não aplicável",IFERROR(IF(B555="EU-ENV-002",IF(INDEX(tbl_recyclass[Conforme_PPWR_2030],MATCH(A555,tbl_recyclass[ProductId],0))="Sim","Conforme (autoavaliação)",IF(INDEX(tbl_recyclass[Conforme_PPWR_2030],MATCH(A555,tbl_recyclass[ProductId],0))="Não","Não conforme em 2030","Isento até 2035")),IF(B555="EU-ENV-003",IF(INDEX(tbl_recyclass[Conforme_Art7_2030],MATCH(A555,tbl_recyclass[ProductId],0))="Sim","Conforme (meta 2030)",IF(INDEX(tbl_recyclass[Conforme_Art7_2030],MATCH(A555,tbl_recyclass[ProductId],0))="Não","Lacuna face à meta 2030","Isento")),IF(B555="EU-ENV-011",IF(INDEX(tbl_familias_ppwr[Metais_Pesados_Evidencia],MATCH(INDEX(tbl_recyclass[Familia_PPWR],MATCH(A555,tbl_recyclass[ProductId],0)),tbl_familias_ppwr[ID_Familia],0))="Em falta","Lacuna","Conforme"),IF(B555="EU-ENV-013",IF(INDEX(tbl_familias_ppwr[Declaracao_UE],MATCH(INDEX(tbl_recyclass[Familia_PPWR],MATCH(A555,tbl_recyclass[ProductId],0)),tbl_familias_ppwr[ID_Familia],0))="Sim","Conforme","Lacuna"),G555)))),G555))</f>
        <v>Futuro</v>
      </c>
      <c r="I555" s="33" t="str">
        <f t="shared" si="8"/>
        <v>Futuro</v>
      </c>
      <c r="J555" s="26" t="s">
        <v>1021</v>
      </c>
    </row>
    <row r="556" spans="1:10" ht="16.05" customHeight="1" x14ac:dyDescent="0.3">
      <c r="A556" s="26" t="s">
        <v>675</v>
      </c>
      <c r="B556" s="26" t="s">
        <v>1038</v>
      </c>
      <c r="C556" s="33" t="str">
        <f>IFERROR(INDEX(tbl_requisitos_emb[Tema],MATCH(B556,tbl_requisitos_emb[ID_Req],0)),"")</f>
        <v>Plásticos de utilização única</v>
      </c>
      <c r="D556" s="33" t="str">
        <f>IFERROR(INDEX(tbl_recyclass[Segmento],MATCH(A556,tbl_recyclass[ProductId],0)),"")</f>
        <v>Cosmética e higiene pessoal</v>
      </c>
      <c r="E556" s="26" t="s">
        <v>904</v>
      </c>
      <c r="F556" s="26" t="s">
        <v>1450</v>
      </c>
      <c r="G556" s="26" t="s">
        <v>1143</v>
      </c>
      <c r="H556" s="33" t="str">
        <f>IF(E556="Não","Não aplicável",IFERROR(IF(B556="EU-ENV-002",IF(INDEX(tbl_recyclass[Conforme_PPWR_2030],MATCH(A556,tbl_recyclass[ProductId],0))="Sim","Conforme (autoavaliação)",IF(INDEX(tbl_recyclass[Conforme_PPWR_2030],MATCH(A556,tbl_recyclass[ProductId],0))="Não","Não conforme em 2030","Isento até 2035")),IF(B556="EU-ENV-003",IF(INDEX(tbl_recyclass[Conforme_Art7_2030],MATCH(A556,tbl_recyclass[ProductId],0))="Sim","Conforme (meta 2030)",IF(INDEX(tbl_recyclass[Conforme_Art7_2030],MATCH(A556,tbl_recyclass[ProductId],0))="Não","Lacuna face à meta 2030","Isento")),IF(B556="EU-ENV-011",IF(INDEX(tbl_familias_ppwr[Metais_Pesados_Evidencia],MATCH(INDEX(tbl_recyclass[Familia_PPWR],MATCH(A556,tbl_recyclass[ProductId],0)),tbl_familias_ppwr[ID_Familia],0))="Em falta","Lacuna","Conforme"),IF(B556="EU-ENV-013",IF(INDEX(tbl_familias_ppwr[Declaracao_UE],MATCH(INDEX(tbl_recyclass[Familia_PPWR],MATCH(A556,tbl_recyclass[ProductId],0)),tbl_familias_ppwr[ID_Familia],0))="Sim","Conforme","Lacuna"),G556)))),G556))</f>
        <v>Não aplicável</v>
      </c>
      <c r="I556" s="33" t="str">
        <f t="shared" si="8"/>
        <v>Não aplicável</v>
      </c>
      <c r="J556" s="26"/>
    </row>
    <row r="557" spans="1:10" ht="16.05" customHeight="1" x14ac:dyDescent="0.3">
      <c r="A557" s="26" t="s">
        <v>675</v>
      </c>
      <c r="B557" s="26" t="s">
        <v>1078</v>
      </c>
      <c r="C557" s="33" t="str">
        <f>IFERROR(INDEX(tbl_requisitos_emb[Tema],MATCH(B557,tbl_requisitos_emb[ID_Req],0)),"")</f>
        <v>Reciclado à escala</v>
      </c>
      <c r="D557" s="33" t="str">
        <f>IFERROR(INDEX(tbl_recyclass[Segmento],MATCH(A557,tbl_recyclass[ProductId],0)),"")</f>
        <v>Cosmética e higiene pessoal</v>
      </c>
      <c r="E557" s="26" t="s">
        <v>901</v>
      </c>
      <c r="F557" s="26" t="s">
        <v>1449</v>
      </c>
      <c r="G557" s="26" t="s">
        <v>990</v>
      </c>
      <c r="H557" s="33" t="str">
        <f>IF(E557="Não","Não aplicável",IFERROR(IF(B557="EU-ENV-002",IF(INDEX(tbl_recyclass[Conforme_PPWR_2030],MATCH(A557,tbl_recyclass[ProductId],0))="Sim","Conforme (autoavaliação)",IF(INDEX(tbl_recyclass[Conforme_PPWR_2030],MATCH(A557,tbl_recyclass[ProductId],0))="Não","Não conforme em 2030","Isento até 2035")),IF(B557="EU-ENV-003",IF(INDEX(tbl_recyclass[Conforme_Art7_2030],MATCH(A557,tbl_recyclass[ProductId],0))="Sim","Conforme (meta 2030)",IF(INDEX(tbl_recyclass[Conforme_Art7_2030],MATCH(A557,tbl_recyclass[ProductId],0))="Não","Lacuna face à meta 2030","Isento")),IF(B557="EU-ENV-011",IF(INDEX(tbl_familias_ppwr[Metais_Pesados_Evidencia],MATCH(INDEX(tbl_recyclass[Familia_PPWR],MATCH(A557,tbl_recyclass[ProductId],0)),tbl_familias_ppwr[ID_Familia],0))="Em falta","Lacuna","Conforme"),IF(B557="EU-ENV-013",IF(INDEX(tbl_familias_ppwr[Declaracao_UE],MATCH(INDEX(tbl_recyclass[Familia_PPWR],MATCH(A557,tbl_recyclass[ProductId],0)),tbl_familias_ppwr[ID_Familia],0))="Sim","Conforme","Lacuna"),G557)))),G557))</f>
        <v>Futuro</v>
      </c>
      <c r="I557" s="33" t="str">
        <f t="shared" si="8"/>
        <v>Futuro</v>
      </c>
      <c r="J557" s="26" t="s">
        <v>1082</v>
      </c>
    </row>
    <row r="558" spans="1:10" ht="16.05" customHeight="1" x14ac:dyDescent="0.3">
      <c r="A558" s="26" t="s">
        <v>675</v>
      </c>
      <c r="B558" s="26" t="s">
        <v>1086</v>
      </c>
      <c r="C558" s="33" t="str">
        <f>IFERROR(INDEX(tbl_requisitos_emb[Tema],MATCH(B558,tbl_requisitos_emb[ID_Req],0)),"")</f>
        <v>Metais pesados</v>
      </c>
      <c r="D558" s="33" t="str">
        <f>IFERROR(INDEX(tbl_recyclass[Segmento],MATCH(A558,tbl_recyclass[ProductId],0)),"")</f>
        <v>Cosmética e higiene pessoal</v>
      </c>
      <c r="E558" s="26" t="s">
        <v>901</v>
      </c>
      <c r="F558" s="26" t="s">
        <v>1449</v>
      </c>
      <c r="G558" s="26" t="s">
        <v>978</v>
      </c>
      <c r="H558" s="33" t="str">
        <f>IF(E558="Não","Não aplicável",IFERROR(IF(B558="EU-ENV-002",IF(INDEX(tbl_recyclass[Conforme_PPWR_2030],MATCH(A558,tbl_recyclass[ProductId],0))="Sim","Conforme (autoavaliação)",IF(INDEX(tbl_recyclass[Conforme_PPWR_2030],MATCH(A558,tbl_recyclass[ProductId],0))="Não","Não conforme em 2030","Isento até 2035")),IF(B558="EU-ENV-003",IF(INDEX(tbl_recyclass[Conforme_Art7_2030],MATCH(A558,tbl_recyclass[ProductId],0))="Sim","Conforme (meta 2030)",IF(INDEX(tbl_recyclass[Conforme_Art7_2030],MATCH(A558,tbl_recyclass[ProductId],0))="Não","Lacuna face à meta 2030","Isento")),IF(B558="EU-ENV-011",IF(INDEX(tbl_familias_ppwr[Metais_Pesados_Evidencia],MATCH(INDEX(tbl_recyclass[Familia_PPWR],MATCH(A558,tbl_recyclass[ProductId],0)),tbl_familias_ppwr[ID_Familia],0))="Em falta","Lacuna","Conforme"),IF(B558="EU-ENV-013",IF(INDEX(tbl_familias_ppwr[Declaracao_UE],MATCH(INDEX(tbl_recyclass[Familia_PPWR],MATCH(A558,tbl_recyclass[ProductId],0)),tbl_familias_ppwr[ID_Familia],0))="Sim","Conforme","Lacuna"),G558)))),G558))</f>
        <v>Lacuna</v>
      </c>
      <c r="I558" s="33" t="str">
        <f t="shared" si="8"/>
        <v>Lacuna</v>
      </c>
      <c r="J558" s="26" t="s">
        <v>1090</v>
      </c>
    </row>
    <row r="559" spans="1:10" ht="16.05" customHeight="1" x14ac:dyDescent="0.3">
      <c r="A559" s="26" t="s">
        <v>675</v>
      </c>
      <c r="B559" s="26" t="s">
        <v>1094</v>
      </c>
      <c r="C559" s="33" t="str">
        <f>IFERROR(INDEX(tbl_requisitos_emb[Tema],MATCH(B559,tbl_requisitos_emb[ID_Req],0)),"")</f>
        <v>PFAS</v>
      </c>
      <c r="D559" s="33" t="str">
        <f>IFERROR(INDEX(tbl_recyclass[Segmento],MATCH(A559,tbl_recyclass[ProductId],0)),"")</f>
        <v>Cosmética e higiene pessoal</v>
      </c>
      <c r="E559" s="26" t="s">
        <v>904</v>
      </c>
      <c r="F559" s="26" t="s">
        <v>1450</v>
      </c>
      <c r="G559" s="26" t="s">
        <v>1143</v>
      </c>
      <c r="H559" s="33" t="str">
        <f>IF(E559="Não","Não aplicável",IFERROR(IF(B559="EU-ENV-002",IF(INDEX(tbl_recyclass[Conforme_PPWR_2030],MATCH(A559,tbl_recyclass[ProductId],0))="Sim","Conforme (autoavaliação)",IF(INDEX(tbl_recyclass[Conforme_PPWR_2030],MATCH(A559,tbl_recyclass[ProductId],0))="Não","Não conforme em 2030","Isento até 2035")),IF(B559="EU-ENV-003",IF(INDEX(tbl_recyclass[Conforme_Art7_2030],MATCH(A559,tbl_recyclass[ProductId],0))="Sim","Conforme (meta 2030)",IF(INDEX(tbl_recyclass[Conforme_Art7_2030],MATCH(A559,tbl_recyclass[ProductId],0))="Não","Lacuna face à meta 2030","Isento")),IF(B559="EU-ENV-011",IF(INDEX(tbl_familias_ppwr[Metais_Pesados_Evidencia],MATCH(INDEX(tbl_recyclass[Familia_PPWR],MATCH(A559,tbl_recyclass[ProductId],0)),tbl_familias_ppwr[ID_Familia],0))="Em falta","Lacuna","Conforme"),IF(B559="EU-ENV-013",IF(INDEX(tbl_familias_ppwr[Declaracao_UE],MATCH(INDEX(tbl_recyclass[Familia_PPWR],MATCH(A559,tbl_recyclass[ProductId],0)),tbl_familias_ppwr[ID_Familia],0))="Sim","Conforme","Lacuna"),G559)))),G559))</f>
        <v>Não aplicável</v>
      </c>
      <c r="I559" s="33" t="str">
        <f t="shared" si="8"/>
        <v>Não aplicável</v>
      </c>
      <c r="J559" s="26"/>
    </row>
    <row r="560" spans="1:10" ht="16.05" customHeight="1" x14ac:dyDescent="0.3">
      <c r="A560" s="26" t="s">
        <v>675</v>
      </c>
      <c r="B560" s="26" t="s">
        <v>1102</v>
      </c>
      <c r="C560" s="33" t="str">
        <f>IFERROR(INDEX(tbl_requisitos_emb[Tema],MATCH(B560,tbl_requisitos_emb[ID_Req],0)),"")</f>
        <v>Documentação técnica e declaração UE</v>
      </c>
      <c r="D560" s="33" t="str">
        <f>IFERROR(INDEX(tbl_recyclass[Segmento],MATCH(A560,tbl_recyclass[ProductId],0)),"")</f>
        <v>Cosmética e higiene pessoal</v>
      </c>
      <c r="E560" s="26" t="s">
        <v>901</v>
      </c>
      <c r="F560" s="26" t="s">
        <v>1449</v>
      </c>
      <c r="G560" s="26" t="s">
        <v>978</v>
      </c>
      <c r="H560" s="33" t="str">
        <f>IF(E560="Não","Não aplicável",IFERROR(IF(B560="EU-ENV-002",IF(INDEX(tbl_recyclass[Conforme_PPWR_2030],MATCH(A560,tbl_recyclass[ProductId],0))="Sim","Conforme (autoavaliação)",IF(INDEX(tbl_recyclass[Conforme_PPWR_2030],MATCH(A560,tbl_recyclass[ProductId],0))="Não","Não conforme em 2030","Isento até 2035")),IF(B560="EU-ENV-003",IF(INDEX(tbl_recyclass[Conforme_Art7_2030],MATCH(A560,tbl_recyclass[ProductId],0))="Sim","Conforme (meta 2030)",IF(INDEX(tbl_recyclass[Conforme_Art7_2030],MATCH(A560,tbl_recyclass[ProductId],0))="Não","Lacuna face à meta 2030","Isento")),IF(B560="EU-ENV-011",IF(INDEX(tbl_familias_ppwr[Metais_Pesados_Evidencia],MATCH(INDEX(tbl_recyclass[Familia_PPWR],MATCH(A560,tbl_recyclass[ProductId],0)),tbl_familias_ppwr[ID_Familia],0))="Em falta","Lacuna","Conforme"),IF(B560="EU-ENV-013",IF(INDEX(tbl_familias_ppwr[Declaracao_UE],MATCH(INDEX(tbl_recyclass[Familia_PPWR],MATCH(A560,tbl_recyclass[ProductId],0)),tbl_familias_ppwr[ID_Familia],0))="Sim","Conforme","Lacuna"),G560)))),G560))</f>
        <v>Conforme</v>
      </c>
      <c r="I560" s="33" t="str">
        <f t="shared" si="8"/>
        <v>Conforme</v>
      </c>
      <c r="J560" s="26" t="s">
        <v>1106</v>
      </c>
    </row>
    <row r="561" spans="1:10" ht="16.05" customHeight="1" x14ac:dyDescent="0.3">
      <c r="A561" s="26" t="s">
        <v>675</v>
      </c>
      <c r="B561" s="26" t="s">
        <v>1161</v>
      </c>
      <c r="C561" s="33" t="str">
        <f>IFERROR(INDEX(tbl_requisitos_emb[Tema],MATCH(B561,tbl_requisitos_emb[ID_Req],0)),"")</f>
        <v>Materiais em contacto com alimentos</v>
      </c>
      <c r="D561" s="33" t="str">
        <f>IFERROR(INDEX(tbl_recyclass[Segmento],MATCH(A561,tbl_recyclass[ProductId],0)),"")</f>
        <v>Cosmética e higiene pessoal</v>
      </c>
      <c r="E561" s="26" t="s">
        <v>904</v>
      </c>
      <c r="F561" s="26" t="s">
        <v>1450</v>
      </c>
      <c r="G561" s="26" t="s">
        <v>1143</v>
      </c>
      <c r="H561" s="33" t="str">
        <f>IF(E561="Não","Não aplicável",IFERROR(IF(B561="EU-ENV-002",IF(INDEX(tbl_recyclass[Conforme_PPWR_2030],MATCH(A561,tbl_recyclass[ProductId],0))="Sim","Conforme (autoavaliação)",IF(INDEX(tbl_recyclass[Conforme_PPWR_2030],MATCH(A561,tbl_recyclass[ProductId],0))="Não","Não conforme em 2030","Isento até 2035")),IF(B561="EU-ENV-003",IF(INDEX(tbl_recyclass[Conforme_Art7_2030],MATCH(A561,tbl_recyclass[ProductId],0))="Sim","Conforme (meta 2030)",IF(INDEX(tbl_recyclass[Conforme_Art7_2030],MATCH(A561,tbl_recyclass[ProductId],0))="Não","Lacuna face à meta 2030","Isento")),IF(B561="EU-ENV-011",IF(INDEX(tbl_familias_ppwr[Metais_Pesados_Evidencia],MATCH(INDEX(tbl_recyclass[Familia_PPWR],MATCH(A561,tbl_recyclass[ProductId],0)),tbl_familias_ppwr[ID_Familia],0))="Em falta","Lacuna","Conforme"),IF(B561="EU-ENV-013",IF(INDEX(tbl_familias_ppwr[Declaracao_UE],MATCH(INDEX(tbl_recyclass[Familia_PPWR],MATCH(A561,tbl_recyclass[ProductId],0)),tbl_familias_ppwr[ID_Familia],0))="Sim","Conforme","Lacuna"),G561)))),G561))</f>
        <v>Não aplicável</v>
      </c>
      <c r="I561" s="33" t="str">
        <f t="shared" si="8"/>
        <v>Não aplicável</v>
      </c>
      <c r="J561" s="26"/>
    </row>
    <row r="562" spans="1:10" ht="16.05" customHeight="1" x14ac:dyDescent="0.3">
      <c r="A562" s="26" t="s">
        <v>675</v>
      </c>
      <c r="B562" s="26" t="s">
        <v>1170</v>
      </c>
      <c r="C562" s="33" t="str">
        <f>IFERROR(INDEX(tbl_requisitos_emb[Tema],MATCH(B562,tbl_requisitos_emb[ID_Req],0)),"")</f>
        <v>Boas práticas de fabrico FCM</v>
      </c>
      <c r="D562" s="33" t="str">
        <f>IFERROR(INDEX(tbl_recyclass[Segmento],MATCH(A562,tbl_recyclass[ProductId],0)),"")</f>
        <v>Cosmética e higiene pessoal</v>
      </c>
      <c r="E562" s="26" t="s">
        <v>904</v>
      </c>
      <c r="F562" s="26" t="s">
        <v>1450</v>
      </c>
      <c r="G562" s="26" t="s">
        <v>1143</v>
      </c>
      <c r="H562" s="33" t="str">
        <f>IF(E562="Não","Não aplicável",IFERROR(IF(B562="EU-ENV-002",IF(INDEX(tbl_recyclass[Conforme_PPWR_2030],MATCH(A562,tbl_recyclass[ProductId],0))="Sim","Conforme (autoavaliação)",IF(INDEX(tbl_recyclass[Conforme_PPWR_2030],MATCH(A562,tbl_recyclass[ProductId],0))="Não","Não conforme em 2030","Isento até 2035")),IF(B562="EU-ENV-003",IF(INDEX(tbl_recyclass[Conforme_Art7_2030],MATCH(A562,tbl_recyclass[ProductId],0))="Sim","Conforme (meta 2030)",IF(INDEX(tbl_recyclass[Conforme_Art7_2030],MATCH(A562,tbl_recyclass[ProductId],0))="Não","Lacuna face à meta 2030","Isento")),IF(B562="EU-ENV-011",IF(INDEX(tbl_familias_ppwr[Metais_Pesados_Evidencia],MATCH(INDEX(tbl_recyclass[Familia_PPWR],MATCH(A562,tbl_recyclass[ProductId],0)),tbl_familias_ppwr[ID_Familia],0))="Em falta","Lacuna","Conforme"),IF(B562="EU-ENV-013",IF(INDEX(tbl_familias_ppwr[Declaracao_UE],MATCH(INDEX(tbl_recyclass[Familia_PPWR],MATCH(A562,tbl_recyclass[ProductId],0)),tbl_familias_ppwr[ID_Familia],0))="Sim","Conforme","Lacuna"),G562)))),G562))</f>
        <v>Não aplicável</v>
      </c>
      <c r="I562" s="33" t="str">
        <f t="shared" si="8"/>
        <v>Não aplicável</v>
      </c>
      <c r="J562" s="26"/>
    </row>
    <row r="563" spans="1:10" ht="16.05" customHeight="1" x14ac:dyDescent="0.3">
      <c r="A563" s="26" t="s">
        <v>675</v>
      </c>
      <c r="B563" s="26" t="s">
        <v>1179</v>
      </c>
      <c r="C563" s="33" t="str">
        <f>IFERROR(INDEX(tbl_requisitos_emb[Tema],MATCH(B563,tbl_requisitos_emb[ID_Req],0)),"")</f>
        <v>Bisfenol A e bisfenóis perigosos</v>
      </c>
      <c r="D563" s="33" t="str">
        <f>IFERROR(INDEX(tbl_recyclass[Segmento],MATCH(A563,tbl_recyclass[ProductId],0)),"")</f>
        <v>Cosmética e higiene pessoal</v>
      </c>
      <c r="E563" s="26" t="s">
        <v>904</v>
      </c>
      <c r="F563" s="26" t="s">
        <v>1450</v>
      </c>
      <c r="G563" s="26" t="s">
        <v>1143</v>
      </c>
      <c r="H563" s="33" t="str">
        <f>IF(E563="Não","Não aplicável",IFERROR(IF(B563="EU-ENV-002",IF(INDEX(tbl_recyclass[Conforme_PPWR_2030],MATCH(A563,tbl_recyclass[ProductId],0))="Sim","Conforme (autoavaliação)",IF(INDEX(tbl_recyclass[Conforme_PPWR_2030],MATCH(A563,tbl_recyclass[ProductId],0))="Não","Não conforme em 2030","Isento até 2035")),IF(B563="EU-ENV-003",IF(INDEX(tbl_recyclass[Conforme_Art7_2030],MATCH(A563,tbl_recyclass[ProductId],0))="Sim","Conforme (meta 2030)",IF(INDEX(tbl_recyclass[Conforme_Art7_2030],MATCH(A563,tbl_recyclass[ProductId],0))="Não","Lacuna face à meta 2030","Isento")),IF(B563="EU-ENV-011",IF(INDEX(tbl_familias_ppwr[Metais_Pesados_Evidencia],MATCH(INDEX(tbl_recyclass[Familia_PPWR],MATCH(A563,tbl_recyclass[ProductId],0)),tbl_familias_ppwr[ID_Familia],0))="Em falta","Lacuna","Conforme"),IF(B563="EU-ENV-013",IF(INDEX(tbl_familias_ppwr[Declaracao_UE],MATCH(INDEX(tbl_recyclass[Familia_PPWR],MATCH(A563,tbl_recyclass[ProductId],0)),tbl_familias_ppwr[ID_Familia],0))="Sim","Conforme","Lacuna"),G563)))),G563))</f>
        <v>Não aplicável</v>
      </c>
      <c r="I563" s="33" t="str">
        <f t="shared" si="8"/>
        <v>Não aplicável</v>
      </c>
      <c r="J563" s="26"/>
    </row>
    <row r="564" spans="1:10" ht="16.05" customHeight="1" x14ac:dyDescent="0.3">
      <c r="A564" s="26" t="s">
        <v>675</v>
      </c>
      <c r="B564" s="26" t="s">
        <v>1188</v>
      </c>
      <c r="C564" s="33" t="str">
        <f>IFERROR(INDEX(tbl_requisitos_emb[Tema],MATCH(B564,tbl_requisitos_emb[ID_Req],0)),"")</f>
        <v>Plásticos em contacto com alimentos</v>
      </c>
      <c r="D564" s="33" t="str">
        <f>IFERROR(INDEX(tbl_recyclass[Segmento],MATCH(A564,tbl_recyclass[ProductId],0)),"")</f>
        <v>Cosmética e higiene pessoal</v>
      </c>
      <c r="E564" s="26" t="s">
        <v>904</v>
      </c>
      <c r="F564" s="26" t="s">
        <v>1450</v>
      </c>
      <c r="G564" s="26" t="s">
        <v>1143</v>
      </c>
      <c r="H564" s="33" t="str">
        <f>IF(E564="Não","Não aplicável",IFERROR(IF(B564="EU-ENV-002",IF(INDEX(tbl_recyclass[Conforme_PPWR_2030],MATCH(A564,tbl_recyclass[ProductId],0))="Sim","Conforme (autoavaliação)",IF(INDEX(tbl_recyclass[Conforme_PPWR_2030],MATCH(A564,tbl_recyclass[ProductId],0))="Não","Não conforme em 2030","Isento até 2035")),IF(B564="EU-ENV-003",IF(INDEX(tbl_recyclass[Conforme_Art7_2030],MATCH(A564,tbl_recyclass[ProductId],0))="Sim","Conforme (meta 2030)",IF(INDEX(tbl_recyclass[Conforme_Art7_2030],MATCH(A564,tbl_recyclass[ProductId],0))="Não","Lacuna face à meta 2030","Isento")),IF(B564="EU-ENV-011",IF(INDEX(tbl_familias_ppwr[Metais_Pesados_Evidencia],MATCH(INDEX(tbl_recyclass[Familia_PPWR],MATCH(A564,tbl_recyclass[ProductId],0)),tbl_familias_ppwr[ID_Familia],0))="Em falta","Lacuna","Conforme"),IF(B564="EU-ENV-013",IF(INDEX(tbl_familias_ppwr[Declaracao_UE],MATCH(INDEX(tbl_recyclass[Familia_PPWR],MATCH(A564,tbl_recyclass[ProductId],0)),tbl_familias_ppwr[ID_Familia],0))="Sim","Conforme","Lacuna"),G564)))),G564))</f>
        <v>Não aplicável</v>
      </c>
      <c r="I564" s="33" t="str">
        <f t="shared" si="8"/>
        <v>Não aplicável</v>
      </c>
      <c r="J564" s="26"/>
    </row>
    <row r="565" spans="1:10" ht="16.05" customHeight="1" x14ac:dyDescent="0.3">
      <c r="A565" s="26" t="s">
        <v>675</v>
      </c>
      <c r="B565" s="26" t="s">
        <v>1212</v>
      </c>
      <c r="C565" s="33" t="str">
        <f>IFERROR(INDEX(tbl_requisitos_emb[Tema],MATCH(B565,tbl_requisitos_emb[ID_Req],0)),"")</f>
        <v>Segurança do produto cosmético</v>
      </c>
      <c r="D565" s="33" t="str">
        <f>IFERROR(INDEX(tbl_recyclass[Segmento],MATCH(A565,tbl_recyclass[ProductId],0)),"")</f>
        <v>Cosmética e higiene pessoal</v>
      </c>
      <c r="E565" s="26" t="s">
        <v>901</v>
      </c>
      <c r="F565" s="26" t="s">
        <v>1449</v>
      </c>
      <c r="G565" s="26" t="s">
        <v>1033</v>
      </c>
      <c r="H565" s="33" t="str">
        <f>IF(E565="Não","Não aplicável",IFERROR(IF(B565="EU-ENV-002",IF(INDEX(tbl_recyclass[Conforme_PPWR_2030],MATCH(A565,tbl_recyclass[ProductId],0))="Sim","Conforme (autoavaliação)",IF(INDEX(tbl_recyclass[Conforme_PPWR_2030],MATCH(A565,tbl_recyclass[ProductId],0))="Não","Não conforme em 2030","Isento até 2035")),IF(B565="EU-ENV-003",IF(INDEX(tbl_recyclass[Conforme_Art7_2030],MATCH(A565,tbl_recyclass[ProductId],0))="Sim","Conforme (meta 2030)",IF(INDEX(tbl_recyclass[Conforme_Art7_2030],MATCH(A565,tbl_recyclass[ProductId],0))="Não","Lacuna face à meta 2030","Isento")),IF(B565="EU-ENV-011",IF(INDEX(tbl_familias_ppwr[Metais_Pesados_Evidencia],MATCH(INDEX(tbl_recyclass[Familia_PPWR],MATCH(A565,tbl_recyclass[ProductId],0)),tbl_familias_ppwr[ID_Familia],0))="Em falta","Lacuna","Conforme"),IF(B565="EU-ENV-013",IF(INDEX(tbl_familias_ppwr[Declaracao_UE],MATCH(INDEX(tbl_recyclass[Familia_PPWR],MATCH(A565,tbl_recyclass[ProductId],0)),tbl_familias_ppwr[ID_Familia],0))="Sim","Conforme","Lacuna"),G565)))),G565))</f>
        <v>Conforme</v>
      </c>
      <c r="I565" s="33" t="str">
        <f t="shared" si="8"/>
        <v>Conforme</v>
      </c>
      <c r="J565" s="26" t="s">
        <v>1221</v>
      </c>
    </row>
    <row r="566" spans="1:10" ht="16.05" customHeight="1" x14ac:dyDescent="0.3">
      <c r="A566" s="26" t="s">
        <v>675</v>
      </c>
      <c r="B566" s="26" t="s">
        <v>1224</v>
      </c>
      <c r="C566" s="33" t="str">
        <f>IFERROR(INDEX(tbl_requisitos_emb[Tema],MATCH(B566,tbl_requisitos_emb[ID_Req],0)),"")</f>
        <v>Materiais e impurezas</v>
      </c>
      <c r="D566" s="33" t="str">
        <f>IFERROR(INDEX(tbl_recyclass[Segmento],MATCH(A566,tbl_recyclass[ProductId],0)),"")</f>
        <v>Cosmética e higiene pessoal</v>
      </c>
      <c r="E566" s="26" t="s">
        <v>901</v>
      </c>
      <c r="F566" s="26" t="s">
        <v>1449</v>
      </c>
      <c r="G566" s="26" t="s">
        <v>978</v>
      </c>
      <c r="H566" s="33" t="str">
        <f>IF(E566="Não","Não aplicável",IFERROR(IF(B566="EU-ENV-002",IF(INDEX(tbl_recyclass[Conforme_PPWR_2030],MATCH(A566,tbl_recyclass[ProductId],0))="Sim","Conforme (autoavaliação)",IF(INDEX(tbl_recyclass[Conforme_PPWR_2030],MATCH(A566,tbl_recyclass[ProductId],0))="Não","Não conforme em 2030","Isento até 2035")),IF(B566="EU-ENV-003",IF(INDEX(tbl_recyclass[Conforme_Art7_2030],MATCH(A566,tbl_recyclass[ProductId],0))="Sim","Conforme (meta 2030)",IF(INDEX(tbl_recyclass[Conforme_Art7_2030],MATCH(A566,tbl_recyclass[ProductId],0))="Não","Lacuna face à meta 2030","Isento")),IF(B566="EU-ENV-011",IF(INDEX(tbl_familias_ppwr[Metais_Pesados_Evidencia],MATCH(INDEX(tbl_recyclass[Familia_PPWR],MATCH(A566,tbl_recyclass[ProductId],0)),tbl_familias_ppwr[ID_Familia],0))="Em falta","Lacuna","Conforme"),IF(B566="EU-ENV-013",IF(INDEX(tbl_familias_ppwr[Declaracao_UE],MATCH(INDEX(tbl_recyclass[Familia_PPWR],MATCH(A566,tbl_recyclass[ProductId],0)),tbl_familias_ppwr[ID_Familia],0))="Sim","Conforme","Lacuna"),G566)))),G566))</f>
        <v>Parcial</v>
      </c>
      <c r="I566" s="33" t="str">
        <f t="shared" si="8"/>
        <v>Parcial</v>
      </c>
      <c r="J566" s="26" t="s">
        <v>1228</v>
      </c>
    </row>
    <row r="567" spans="1:10" ht="16.05" customHeight="1" x14ac:dyDescent="0.3">
      <c r="A567" s="26" t="s">
        <v>675</v>
      </c>
      <c r="B567" s="26" t="s">
        <v>1240</v>
      </c>
      <c r="C567" s="33" t="str">
        <f>IFERROR(INDEX(tbl_requisitos_emb[Tema],MATCH(B567,tbl_requisitos_emb[ID_Req],0)),"")</f>
        <v>Compatibilidade embalagem–produto</v>
      </c>
      <c r="D567" s="33" t="str">
        <f>IFERROR(INDEX(tbl_recyclass[Segmento],MATCH(A567,tbl_recyclass[ProductId],0)),"")</f>
        <v>Cosmética e higiene pessoal</v>
      </c>
      <c r="E567" s="26" t="s">
        <v>901</v>
      </c>
      <c r="F567" s="26" t="s">
        <v>1449</v>
      </c>
      <c r="G567" s="26" t="s">
        <v>1033</v>
      </c>
      <c r="H567" s="33" t="str">
        <f>IF(E567="Não","Não aplicável",IFERROR(IF(B567="EU-ENV-002",IF(INDEX(tbl_recyclass[Conforme_PPWR_2030],MATCH(A567,tbl_recyclass[ProductId],0))="Sim","Conforme (autoavaliação)",IF(INDEX(tbl_recyclass[Conforme_PPWR_2030],MATCH(A567,tbl_recyclass[ProductId],0))="Não","Não conforme em 2030","Isento até 2035")),IF(B567="EU-ENV-003",IF(INDEX(tbl_recyclass[Conforme_Art7_2030],MATCH(A567,tbl_recyclass[ProductId],0))="Sim","Conforme (meta 2030)",IF(INDEX(tbl_recyclass[Conforme_Art7_2030],MATCH(A567,tbl_recyclass[ProductId],0))="Não","Lacuna face à meta 2030","Isento")),IF(B567="EU-ENV-011",IF(INDEX(tbl_familias_ppwr[Metais_Pesados_Evidencia],MATCH(INDEX(tbl_recyclass[Familia_PPWR],MATCH(A567,tbl_recyclass[ProductId],0)),tbl_familias_ppwr[ID_Familia],0))="Em falta","Lacuna","Conforme"),IF(B567="EU-ENV-013",IF(INDEX(tbl_familias_ppwr[Declaracao_UE],MATCH(INDEX(tbl_recyclass[Familia_PPWR],MATCH(A567,tbl_recyclass[ProductId],0)),tbl_familias_ppwr[ID_Familia],0))="Sim","Conforme","Lacuna"),G567)))),G567))</f>
        <v>Conforme</v>
      </c>
      <c r="I567" s="33" t="str">
        <f t="shared" si="8"/>
        <v>Conforme</v>
      </c>
      <c r="J567" s="26" t="s">
        <v>1244</v>
      </c>
    </row>
    <row r="568" spans="1:10" ht="16.05" customHeight="1" x14ac:dyDescent="0.3">
      <c r="A568" s="26" t="s">
        <v>675</v>
      </c>
      <c r="B568" s="26" t="s">
        <v>1252</v>
      </c>
      <c r="C568" s="33" t="str">
        <f>IFERROR(INDEX(tbl_requisitos_emb[Tema],MATCH(B568,tbl_requisitos_emb[ID_Req],0)),"")</f>
        <v>Medicamentos de uso humano</v>
      </c>
      <c r="D568" s="33" t="str">
        <f>IFERROR(INDEX(tbl_recyclass[Segmento],MATCH(A568,tbl_recyclass[ProductId],0)),"")</f>
        <v>Cosmética e higiene pessoal</v>
      </c>
      <c r="E568" s="26" t="s">
        <v>904</v>
      </c>
      <c r="F568" s="26" t="s">
        <v>1451</v>
      </c>
      <c r="G568" s="26" t="s">
        <v>1143</v>
      </c>
      <c r="H568" s="33" t="str">
        <f>IF(E568="Não","Não aplicável",IFERROR(IF(B568="EU-ENV-002",IF(INDEX(tbl_recyclass[Conforme_PPWR_2030],MATCH(A568,tbl_recyclass[ProductId],0))="Sim","Conforme (autoavaliação)",IF(INDEX(tbl_recyclass[Conforme_PPWR_2030],MATCH(A568,tbl_recyclass[ProductId],0))="Não","Não conforme em 2030","Isento até 2035")),IF(B568="EU-ENV-003",IF(INDEX(tbl_recyclass[Conforme_Art7_2030],MATCH(A568,tbl_recyclass[ProductId],0))="Sim","Conforme (meta 2030)",IF(INDEX(tbl_recyclass[Conforme_Art7_2030],MATCH(A568,tbl_recyclass[ProductId],0))="Não","Lacuna face à meta 2030","Isento")),IF(B568="EU-ENV-011",IF(INDEX(tbl_familias_ppwr[Metais_Pesados_Evidencia],MATCH(INDEX(tbl_recyclass[Familia_PPWR],MATCH(A568,tbl_recyclass[ProductId],0)),tbl_familias_ppwr[ID_Familia],0))="Em falta","Lacuna","Conforme"),IF(B568="EU-ENV-013",IF(INDEX(tbl_familias_ppwr[Declaracao_UE],MATCH(INDEX(tbl_recyclass[Familia_PPWR],MATCH(A568,tbl_recyclass[ProductId],0)),tbl_familias_ppwr[ID_Familia],0))="Sim","Conforme","Lacuna"),G568)))),G568))</f>
        <v>Não aplicável</v>
      </c>
      <c r="I568" s="33" t="str">
        <f t="shared" si="8"/>
        <v>Não aplicável</v>
      </c>
      <c r="J568" s="26"/>
    </row>
    <row r="569" spans="1:10" ht="16.05" customHeight="1" x14ac:dyDescent="0.3">
      <c r="A569" s="26" t="s">
        <v>675</v>
      </c>
      <c r="B569" s="26" t="s">
        <v>1268</v>
      </c>
      <c r="C569" s="33" t="str">
        <f>IFERROR(INDEX(tbl_requisitos_emb[Tema],MATCH(B569,tbl_requisitos_emb[ID_Req],0)),"")</f>
        <v>Dispositivos de segurança</v>
      </c>
      <c r="D569" s="33" t="str">
        <f>IFERROR(INDEX(tbl_recyclass[Segmento],MATCH(A569,tbl_recyclass[ProductId],0)),"")</f>
        <v>Cosmética e higiene pessoal</v>
      </c>
      <c r="E569" s="26" t="s">
        <v>904</v>
      </c>
      <c r="F569" s="26" t="s">
        <v>1451</v>
      </c>
      <c r="G569" s="26" t="s">
        <v>1143</v>
      </c>
      <c r="H569" s="33" t="str">
        <f>IF(E569="Não","Não aplicável",IFERROR(IF(B569="EU-ENV-002",IF(INDEX(tbl_recyclass[Conforme_PPWR_2030],MATCH(A569,tbl_recyclass[ProductId],0))="Sim","Conforme (autoavaliação)",IF(INDEX(tbl_recyclass[Conforme_PPWR_2030],MATCH(A569,tbl_recyclass[ProductId],0))="Não","Não conforme em 2030","Isento até 2035")),IF(B569="EU-ENV-003",IF(INDEX(tbl_recyclass[Conforme_Art7_2030],MATCH(A569,tbl_recyclass[ProductId],0))="Sim","Conforme (meta 2030)",IF(INDEX(tbl_recyclass[Conforme_Art7_2030],MATCH(A569,tbl_recyclass[ProductId],0))="Não","Lacuna face à meta 2030","Isento")),IF(B569="EU-ENV-011",IF(INDEX(tbl_familias_ppwr[Metais_Pesados_Evidencia],MATCH(INDEX(tbl_recyclass[Familia_PPWR],MATCH(A569,tbl_recyclass[ProductId],0)),tbl_familias_ppwr[ID_Familia],0))="Em falta","Lacuna","Conforme"),IF(B569="EU-ENV-013",IF(INDEX(tbl_familias_ppwr[Declaracao_UE],MATCH(INDEX(tbl_recyclass[Familia_PPWR],MATCH(A569,tbl_recyclass[ProductId],0)),tbl_familias_ppwr[ID_Familia],0))="Sim","Conforme","Lacuna"),G569)))),G569))</f>
        <v>Não aplicável</v>
      </c>
      <c r="I569" s="33" t="str">
        <f t="shared" si="8"/>
        <v>Não aplicável</v>
      </c>
      <c r="J569" s="26"/>
    </row>
    <row r="570" spans="1:10" ht="16.05" customHeight="1" x14ac:dyDescent="0.3">
      <c r="A570" s="26" t="s">
        <v>675</v>
      </c>
      <c r="B570" s="26" t="s">
        <v>1285</v>
      </c>
      <c r="C570" s="33" t="str">
        <f>IFERROR(INDEX(tbl_requisitos_emb[Tema],MATCH(B570,tbl_requisitos_emb[ID_Req],0)),"")</f>
        <v>Materiais plásticos de acondicionamento primário</v>
      </c>
      <c r="D570" s="33" t="str">
        <f>IFERROR(INDEX(tbl_recyclass[Segmento],MATCH(A570,tbl_recyclass[ProductId],0)),"")</f>
        <v>Cosmética e higiene pessoal</v>
      </c>
      <c r="E570" s="26" t="s">
        <v>904</v>
      </c>
      <c r="F570" s="26" t="s">
        <v>1451</v>
      </c>
      <c r="G570" s="26" t="s">
        <v>1143</v>
      </c>
      <c r="H570" s="33" t="str">
        <f>IF(E570="Não","Não aplicável",IFERROR(IF(B570="EU-ENV-002",IF(INDEX(tbl_recyclass[Conforme_PPWR_2030],MATCH(A570,tbl_recyclass[ProductId],0))="Sim","Conforme (autoavaliação)",IF(INDEX(tbl_recyclass[Conforme_PPWR_2030],MATCH(A570,tbl_recyclass[ProductId],0))="Não","Não conforme em 2030","Isento até 2035")),IF(B570="EU-ENV-003",IF(INDEX(tbl_recyclass[Conforme_Art7_2030],MATCH(A570,tbl_recyclass[ProductId],0))="Sim","Conforme (meta 2030)",IF(INDEX(tbl_recyclass[Conforme_Art7_2030],MATCH(A570,tbl_recyclass[ProductId],0))="Não","Lacuna face à meta 2030","Isento")),IF(B570="EU-ENV-011",IF(INDEX(tbl_familias_ppwr[Metais_Pesados_Evidencia],MATCH(INDEX(tbl_recyclass[Familia_PPWR],MATCH(A570,tbl_recyclass[ProductId],0)),tbl_familias_ppwr[ID_Familia],0))="Em falta","Lacuna","Conforme"),IF(B570="EU-ENV-013",IF(INDEX(tbl_familias_ppwr[Declaracao_UE],MATCH(INDEX(tbl_recyclass[Familia_PPWR],MATCH(A570,tbl_recyclass[ProductId],0)),tbl_familias_ppwr[ID_Familia],0))="Sim","Conforme","Lacuna"),G570)))),G570))</f>
        <v>Não aplicável</v>
      </c>
      <c r="I570" s="33" t="str">
        <f t="shared" si="8"/>
        <v>Não aplicável</v>
      </c>
      <c r="J570" s="26"/>
    </row>
    <row r="571" spans="1:10" ht="16.05" customHeight="1" x14ac:dyDescent="0.3">
      <c r="A571" s="26" t="s">
        <v>675</v>
      </c>
      <c r="B571" s="26" t="s">
        <v>1293</v>
      </c>
      <c r="C571" s="33" t="str">
        <f>IFERROR(INDEX(tbl_requisitos_emb[Tema],MATCH(B571,tbl_requisitos_emb[ID_Req],0)),"")</f>
        <v>Isenções PPWR</v>
      </c>
      <c r="D571" s="33" t="str">
        <f>IFERROR(INDEX(tbl_recyclass[Segmento],MATCH(A571,tbl_recyclass[ProductId],0)),"")</f>
        <v>Cosmética e higiene pessoal</v>
      </c>
      <c r="E571" s="26" t="s">
        <v>904</v>
      </c>
      <c r="F571" s="26" t="s">
        <v>1451</v>
      </c>
      <c r="G571" s="26" t="s">
        <v>1143</v>
      </c>
      <c r="H571" s="33" t="str">
        <f>IF(E571="Não","Não aplicável",IFERROR(IF(B571="EU-ENV-002",IF(INDEX(tbl_recyclass[Conforme_PPWR_2030],MATCH(A571,tbl_recyclass[ProductId],0))="Sim","Conforme (autoavaliação)",IF(INDEX(tbl_recyclass[Conforme_PPWR_2030],MATCH(A571,tbl_recyclass[ProductId],0))="Não","Não conforme em 2030","Isento até 2035")),IF(B571="EU-ENV-003",IF(INDEX(tbl_recyclass[Conforme_Art7_2030],MATCH(A571,tbl_recyclass[ProductId],0))="Sim","Conforme (meta 2030)",IF(INDEX(tbl_recyclass[Conforme_Art7_2030],MATCH(A571,tbl_recyclass[ProductId],0))="Não","Lacuna face à meta 2030","Isento")),IF(B571="EU-ENV-011",IF(INDEX(tbl_familias_ppwr[Metais_Pesados_Evidencia],MATCH(INDEX(tbl_recyclass[Familia_PPWR],MATCH(A571,tbl_recyclass[ProductId],0)),tbl_familias_ppwr[ID_Familia],0))="Em falta","Lacuna","Conforme"),IF(B571="EU-ENV-013",IF(INDEX(tbl_familias_ppwr[Declaracao_UE],MATCH(INDEX(tbl_recyclass[Familia_PPWR],MATCH(A571,tbl_recyclass[ProductId],0)),tbl_familias_ppwr[ID_Familia],0))="Sim","Conforme","Lacuna"),G571)))),G571))</f>
        <v>Não aplicável</v>
      </c>
      <c r="I571" s="33" t="str">
        <f t="shared" si="8"/>
        <v>Não aplicável</v>
      </c>
      <c r="J571" s="26"/>
    </row>
    <row r="572" spans="1:10" ht="16.05" customHeight="1" x14ac:dyDescent="0.3">
      <c r="A572" s="26" t="s">
        <v>675</v>
      </c>
      <c r="B572" s="26" t="s">
        <v>1357</v>
      </c>
      <c r="C572" s="33" t="str">
        <f>IFERROR(INDEX(tbl_requisitos_emb[Tema],MATCH(B572,tbl_requisitos_emb[ID_Req],0)),"")</f>
        <v>Identificação de plásticos</v>
      </c>
      <c r="D572" s="33" t="str">
        <f>IFERROR(INDEX(tbl_recyclass[Segmento],MATCH(A572,tbl_recyclass[ProductId],0)),"")</f>
        <v>Cosmética e higiene pessoal</v>
      </c>
      <c r="E572" s="26" t="s">
        <v>901</v>
      </c>
      <c r="F572" s="26" t="s">
        <v>1449</v>
      </c>
      <c r="G572" s="26" t="s">
        <v>978</v>
      </c>
      <c r="H572" s="33" t="str">
        <f>IF(E572="Não","Não aplicável",IFERROR(IF(B572="EU-ENV-002",IF(INDEX(tbl_recyclass[Conforme_PPWR_2030],MATCH(A572,tbl_recyclass[ProductId],0))="Sim","Conforme (autoavaliação)",IF(INDEX(tbl_recyclass[Conforme_PPWR_2030],MATCH(A572,tbl_recyclass[ProductId],0))="Não","Não conforme em 2030","Isento até 2035")),IF(B572="EU-ENV-003",IF(INDEX(tbl_recyclass[Conforme_Art7_2030],MATCH(A572,tbl_recyclass[ProductId],0))="Sim","Conforme (meta 2030)",IF(INDEX(tbl_recyclass[Conforme_Art7_2030],MATCH(A572,tbl_recyclass[ProductId],0))="Não","Lacuna face à meta 2030","Isento")),IF(B572="EU-ENV-011",IF(INDEX(tbl_familias_ppwr[Metais_Pesados_Evidencia],MATCH(INDEX(tbl_recyclass[Familia_PPWR],MATCH(A572,tbl_recyclass[ProductId],0)),tbl_familias_ppwr[ID_Familia],0))="Em falta","Lacuna","Conforme"),IF(B572="EU-ENV-013",IF(INDEX(tbl_familias_ppwr[Declaracao_UE],MATCH(INDEX(tbl_recyclass[Familia_PPWR],MATCH(A572,tbl_recyclass[ProductId],0)),tbl_familias_ppwr[ID_Familia],0))="Sim","Conforme","Lacuna"),G572)))),G572))</f>
        <v>Parcial</v>
      </c>
      <c r="I572" s="33" t="str">
        <f t="shared" si="8"/>
        <v>Parcial</v>
      </c>
      <c r="J572" s="26" t="s">
        <v>1362</v>
      </c>
    </row>
    <row r="573" spans="1:10" ht="16.05" customHeight="1" x14ac:dyDescent="0.3">
      <c r="A573" s="26" t="s">
        <v>675</v>
      </c>
      <c r="B573" s="26" t="s">
        <v>1385</v>
      </c>
      <c r="C573" s="33" t="str">
        <f>IFERROR(INDEX(tbl_requisitos_emb[Tema],MATCH(B573,tbl_requisitos_emb[ID_Req],0)),"")</f>
        <v>Reciclabilidade (voluntária)</v>
      </c>
      <c r="D573" s="33" t="str">
        <f>IFERROR(INDEX(tbl_recyclass[Segmento],MATCH(A573,tbl_recyclass[ProductId],0)),"")</f>
        <v>Cosmética e higiene pessoal</v>
      </c>
      <c r="E573" s="26" t="s">
        <v>901</v>
      </c>
      <c r="F573" s="26" t="s">
        <v>1449</v>
      </c>
      <c r="G573" s="26" t="s">
        <v>978</v>
      </c>
      <c r="H573" s="33" t="str">
        <f>IF(E573="Não","Não aplicável",IFERROR(IF(B573="EU-ENV-002",IF(INDEX(tbl_recyclass[Conforme_PPWR_2030],MATCH(A573,tbl_recyclass[ProductId],0))="Sim","Conforme (autoavaliação)",IF(INDEX(tbl_recyclass[Conforme_PPWR_2030],MATCH(A573,tbl_recyclass[ProductId],0))="Não","Não conforme em 2030","Isento até 2035")),IF(B573="EU-ENV-003",IF(INDEX(tbl_recyclass[Conforme_Art7_2030],MATCH(A573,tbl_recyclass[ProductId],0))="Sim","Conforme (meta 2030)",IF(INDEX(tbl_recyclass[Conforme_Art7_2030],MATCH(A573,tbl_recyclass[ProductId],0))="Não","Lacuna face à meta 2030","Isento")),IF(B573="EU-ENV-011",IF(INDEX(tbl_familias_ppwr[Metais_Pesados_Evidencia],MATCH(INDEX(tbl_recyclass[Familia_PPWR],MATCH(A573,tbl_recyclass[ProductId],0)),tbl_familias_ppwr[ID_Familia],0))="Em falta","Lacuna","Conforme"),IF(B573="EU-ENV-013",IF(INDEX(tbl_familias_ppwr[Declaracao_UE],MATCH(INDEX(tbl_recyclass[Familia_PPWR],MATCH(A573,tbl_recyclass[ProductId],0)),tbl_familias_ppwr[ID_Familia],0))="Sim","Conforme","Lacuna"),G573)))),G573))</f>
        <v>Parcial</v>
      </c>
      <c r="I573" s="33" t="str">
        <f t="shared" si="8"/>
        <v>Parcial</v>
      </c>
      <c r="J573" s="26" t="s">
        <v>1389</v>
      </c>
    </row>
    <row r="574" spans="1:10" ht="16.05" customHeight="1" x14ac:dyDescent="0.3">
      <c r="A574" s="26" t="s">
        <v>677</v>
      </c>
      <c r="B574" s="26" t="s">
        <v>984</v>
      </c>
      <c r="C574" s="33" t="str">
        <f>IFERROR(INDEX(tbl_requisitos_emb[Tema],MATCH(B574,tbl_requisitos_emb[ID_Req],0)),"")</f>
        <v>Conceção para reciclagem</v>
      </c>
      <c r="D574" s="33" t="str">
        <f>IFERROR(INDEX(tbl_recyclass[Segmento],MATCH(A574,tbl_recyclass[ProductId],0)),"")</f>
        <v>Cosmética e higiene pessoal</v>
      </c>
      <c r="E574" s="26" t="s">
        <v>901</v>
      </c>
      <c r="F574" s="26" t="s">
        <v>1449</v>
      </c>
      <c r="G574" s="26" t="s">
        <v>978</v>
      </c>
      <c r="H574" s="33" t="str">
        <f>IF(E574="Não","Não aplicável",IFERROR(IF(B574="EU-ENV-002",IF(INDEX(tbl_recyclass[Conforme_PPWR_2030],MATCH(A574,tbl_recyclass[ProductId],0))="Sim","Conforme (autoavaliação)",IF(INDEX(tbl_recyclass[Conforme_PPWR_2030],MATCH(A574,tbl_recyclass[ProductId],0))="Não","Não conforme em 2030","Isento até 2035")),IF(B574="EU-ENV-003",IF(INDEX(tbl_recyclass[Conforme_Art7_2030],MATCH(A574,tbl_recyclass[ProductId],0))="Sim","Conforme (meta 2030)",IF(INDEX(tbl_recyclass[Conforme_Art7_2030],MATCH(A574,tbl_recyclass[ProductId],0))="Não","Lacuna face à meta 2030","Isento")),IF(B574="EU-ENV-011",IF(INDEX(tbl_familias_ppwr[Metais_Pesados_Evidencia],MATCH(INDEX(tbl_recyclass[Familia_PPWR],MATCH(A574,tbl_recyclass[ProductId],0)),tbl_familias_ppwr[ID_Familia],0))="Em falta","Lacuna","Conforme"),IF(B574="EU-ENV-013",IF(INDEX(tbl_familias_ppwr[Declaracao_UE],MATCH(INDEX(tbl_recyclass[Familia_PPWR],MATCH(A574,tbl_recyclass[ProductId],0)),tbl_familias_ppwr[ID_Familia],0))="Sim","Conforme","Lacuna"),G574)))),G574))</f>
        <v>Não conforme em 2030</v>
      </c>
      <c r="I574" s="33" t="str">
        <f t="shared" si="8"/>
        <v>Não conforme</v>
      </c>
      <c r="J574" s="26" t="s">
        <v>991</v>
      </c>
    </row>
    <row r="575" spans="1:10" ht="16.05" customHeight="1" x14ac:dyDescent="0.3">
      <c r="A575" s="26" t="s">
        <v>677</v>
      </c>
      <c r="B575" s="26" t="s">
        <v>997</v>
      </c>
      <c r="C575" s="33" t="str">
        <f>IFERROR(INDEX(tbl_requisitos_emb[Tema],MATCH(B575,tbl_requisitos_emb[ID_Req],0)),"")</f>
        <v>Conteúdo reciclado</v>
      </c>
      <c r="D575" s="33" t="str">
        <f>IFERROR(INDEX(tbl_recyclass[Segmento],MATCH(A575,tbl_recyclass[ProductId],0)),"")</f>
        <v>Cosmética e higiene pessoal</v>
      </c>
      <c r="E575" s="26" t="s">
        <v>901</v>
      </c>
      <c r="F575" s="26" t="s">
        <v>1449</v>
      </c>
      <c r="G575" s="26" t="s">
        <v>978</v>
      </c>
      <c r="H575" s="33" t="str">
        <f>IF(E575="Não","Não aplicável",IFERROR(IF(B575="EU-ENV-002",IF(INDEX(tbl_recyclass[Conforme_PPWR_2030],MATCH(A575,tbl_recyclass[ProductId],0))="Sim","Conforme (autoavaliação)",IF(INDEX(tbl_recyclass[Conforme_PPWR_2030],MATCH(A575,tbl_recyclass[ProductId],0))="Não","Não conforme em 2030","Isento até 2035")),IF(B575="EU-ENV-003",IF(INDEX(tbl_recyclass[Conforme_Art7_2030],MATCH(A575,tbl_recyclass[ProductId],0))="Sim","Conforme (meta 2030)",IF(INDEX(tbl_recyclass[Conforme_Art7_2030],MATCH(A575,tbl_recyclass[ProductId],0))="Não","Lacuna face à meta 2030","Isento")),IF(B575="EU-ENV-011",IF(INDEX(tbl_familias_ppwr[Metais_Pesados_Evidencia],MATCH(INDEX(tbl_recyclass[Familia_PPWR],MATCH(A575,tbl_recyclass[ProductId],0)),tbl_familias_ppwr[ID_Familia],0))="Em falta","Lacuna","Conforme"),IF(B575="EU-ENV-013",IF(INDEX(tbl_familias_ppwr[Declaracao_UE],MATCH(INDEX(tbl_recyclass[Familia_PPWR],MATCH(A575,tbl_recyclass[ProductId],0)),tbl_familias_ppwr[ID_Familia],0))="Sim","Conforme","Lacuna"),G575)))),G575))</f>
        <v>Lacuna face à meta 2030</v>
      </c>
      <c r="I575" s="33" t="str">
        <f t="shared" si="8"/>
        <v>Lacuna</v>
      </c>
      <c r="J575" s="26" t="s">
        <v>1001</v>
      </c>
    </row>
    <row r="576" spans="1:10" ht="16.05" customHeight="1" x14ac:dyDescent="0.3">
      <c r="A576" s="26" t="s">
        <v>677</v>
      </c>
      <c r="B576" s="26" t="s">
        <v>1007</v>
      </c>
      <c r="C576" s="33" t="str">
        <f>IFERROR(INDEX(tbl_requisitos_emb[Tema],MATCH(B576,tbl_requisitos_emb[ID_Req],0)),"")</f>
        <v>Minimização</v>
      </c>
      <c r="D576" s="33" t="str">
        <f>IFERROR(INDEX(tbl_recyclass[Segmento],MATCH(A576,tbl_recyclass[ProductId],0)),"")</f>
        <v>Cosmética e higiene pessoal</v>
      </c>
      <c r="E576" s="26" t="s">
        <v>901</v>
      </c>
      <c r="F576" s="26" t="s">
        <v>1449</v>
      </c>
      <c r="G576" s="26" t="s">
        <v>978</v>
      </c>
      <c r="H576" s="33" t="str">
        <f>IF(E576="Não","Não aplicável",IFERROR(IF(B576="EU-ENV-002",IF(INDEX(tbl_recyclass[Conforme_PPWR_2030],MATCH(A576,tbl_recyclass[ProductId],0))="Sim","Conforme (autoavaliação)",IF(INDEX(tbl_recyclass[Conforme_PPWR_2030],MATCH(A576,tbl_recyclass[ProductId],0))="Não","Não conforme em 2030","Isento até 2035")),IF(B576="EU-ENV-003",IF(INDEX(tbl_recyclass[Conforme_Art7_2030],MATCH(A576,tbl_recyclass[ProductId],0))="Sim","Conforme (meta 2030)",IF(INDEX(tbl_recyclass[Conforme_Art7_2030],MATCH(A576,tbl_recyclass[ProductId],0))="Não","Lacuna face à meta 2030","Isento")),IF(B576="EU-ENV-011",IF(INDEX(tbl_familias_ppwr[Metais_Pesados_Evidencia],MATCH(INDEX(tbl_recyclass[Familia_PPWR],MATCH(A576,tbl_recyclass[ProductId],0)),tbl_familias_ppwr[ID_Familia],0))="Em falta","Lacuna","Conforme"),IF(B576="EU-ENV-013",IF(INDEX(tbl_familias_ppwr[Declaracao_UE],MATCH(INDEX(tbl_recyclass[Familia_PPWR],MATCH(A576,tbl_recyclass[ProductId],0)),tbl_familias_ppwr[ID_Familia],0))="Sim","Conforme","Lacuna"),G576)))),G576))</f>
        <v>Parcial</v>
      </c>
      <c r="I576" s="33" t="str">
        <f t="shared" si="8"/>
        <v>Parcial</v>
      </c>
      <c r="J576" s="26" t="s">
        <v>1012</v>
      </c>
    </row>
    <row r="577" spans="1:10" ht="16.05" customHeight="1" x14ac:dyDescent="0.3">
      <c r="A577" s="26" t="s">
        <v>677</v>
      </c>
      <c r="B577" s="26" t="s">
        <v>1016</v>
      </c>
      <c r="C577" s="33" t="str">
        <f>IFERROR(INDEX(tbl_requisitos_emb[Tema],MATCH(B577,tbl_requisitos_emb[ID_Req],0)),"")</f>
        <v>Rotulagem</v>
      </c>
      <c r="D577" s="33" t="str">
        <f>IFERROR(INDEX(tbl_recyclass[Segmento],MATCH(A577,tbl_recyclass[ProductId],0)),"")</f>
        <v>Cosmética e higiene pessoal</v>
      </c>
      <c r="E577" s="26" t="s">
        <v>901</v>
      </c>
      <c r="F577" s="26" t="s">
        <v>1449</v>
      </c>
      <c r="G577" s="26" t="s">
        <v>990</v>
      </c>
      <c r="H577" s="33" t="str">
        <f>IF(E577="Não","Não aplicável",IFERROR(IF(B577="EU-ENV-002",IF(INDEX(tbl_recyclass[Conforme_PPWR_2030],MATCH(A577,tbl_recyclass[ProductId],0))="Sim","Conforme (autoavaliação)",IF(INDEX(tbl_recyclass[Conforme_PPWR_2030],MATCH(A577,tbl_recyclass[ProductId],0))="Não","Não conforme em 2030","Isento até 2035")),IF(B577="EU-ENV-003",IF(INDEX(tbl_recyclass[Conforme_Art7_2030],MATCH(A577,tbl_recyclass[ProductId],0))="Sim","Conforme (meta 2030)",IF(INDEX(tbl_recyclass[Conforme_Art7_2030],MATCH(A577,tbl_recyclass[ProductId],0))="Não","Lacuna face à meta 2030","Isento")),IF(B577="EU-ENV-011",IF(INDEX(tbl_familias_ppwr[Metais_Pesados_Evidencia],MATCH(INDEX(tbl_recyclass[Familia_PPWR],MATCH(A577,tbl_recyclass[ProductId],0)),tbl_familias_ppwr[ID_Familia],0))="Em falta","Lacuna","Conforme"),IF(B577="EU-ENV-013",IF(INDEX(tbl_familias_ppwr[Declaracao_UE],MATCH(INDEX(tbl_recyclass[Familia_PPWR],MATCH(A577,tbl_recyclass[ProductId],0)),tbl_familias_ppwr[ID_Familia],0))="Sim","Conforme","Lacuna"),G577)))),G577))</f>
        <v>Futuro</v>
      </c>
      <c r="I577" s="33" t="str">
        <f t="shared" si="8"/>
        <v>Futuro</v>
      </c>
      <c r="J577" s="26" t="s">
        <v>1021</v>
      </c>
    </row>
    <row r="578" spans="1:10" ht="16.05" customHeight="1" x14ac:dyDescent="0.3">
      <c r="A578" s="26" t="s">
        <v>677</v>
      </c>
      <c r="B578" s="26" t="s">
        <v>1038</v>
      </c>
      <c r="C578" s="33" t="str">
        <f>IFERROR(INDEX(tbl_requisitos_emb[Tema],MATCH(B578,tbl_requisitos_emb[ID_Req],0)),"")</f>
        <v>Plásticos de utilização única</v>
      </c>
      <c r="D578" s="33" t="str">
        <f>IFERROR(INDEX(tbl_recyclass[Segmento],MATCH(A578,tbl_recyclass[ProductId],0)),"")</f>
        <v>Cosmética e higiene pessoal</v>
      </c>
      <c r="E578" s="26" t="s">
        <v>904</v>
      </c>
      <c r="F578" s="26" t="s">
        <v>1450</v>
      </c>
      <c r="G578" s="26" t="s">
        <v>1143</v>
      </c>
      <c r="H578" s="33" t="str">
        <f>IF(E578="Não","Não aplicável",IFERROR(IF(B578="EU-ENV-002",IF(INDEX(tbl_recyclass[Conforme_PPWR_2030],MATCH(A578,tbl_recyclass[ProductId],0))="Sim","Conforme (autoavaliação)",IF(INDEX(tbl_recyclass[Conforme_PPWR_2030],MATCH(A578,tbl_recyclass[ProductId],0))="Não","Não conforme em 2030","Isento até 2035")),IF(B578="EU-ENV-003",IF(INDEX(tbl_recyclass[Conforme_Art7_2030],MATCH(A578,tbl_recyclass[ProductId],0))="Sim","Conforme (meta 2030)",IF(INDEX(tbl_recyclass[Conforme_Art7_2030],MATCH(A578,tbl_recyclass[ProductId],0))="Não","Lacuna face à meta 2030","Isento")),IF(B578="EU-ENV-011",IF(INDEX(tbl_familias_ppwr[Metais_Pesados_Evidencia],MATCH(INDEX(tbl_recyclass[Familia_PPWR],MATCH(A578,tbl_recyclass[ProductId],0)),tbl_familias_ppwr[ID_Familia],0))="Em falta","Lacuna","Conforme"),IF(B578="EU-ENV-013",IF(INDEX(tbl_familias_ppwr[Declaracao_UE],MATCH(INDEX(tbl_recyclass[Familia_PPWR],MATCH(A578,tbl_recyclass[ProductId],0)),tbl_familias_ppwr[ID_Familia],0))="Sim","Conforme","Lacuna"),G578)))),G578))</f>
        <v>Não aplicável</v>
      </c>
      <c r="I578" s="33" t="str">
        <f t="shared" ref="I578:I641" si="9">IF(ISNUMBER(SEARCH("Não aplicável",H578)),"Não aplicável",IF(ISNUMBER(SEARCH("Isento",H578)),"Isento",IF(ISNUMBER(SEARCH("Não conforme",H578)),"Não conforme",IF(ISNUMBER(SEARCH("Lacuna",H578)),"Lacuna",IF(ISNUMBER(SEARCH("Conforme",H578)),"Conforme",H578)))))</f>
        <v>Não aplicável</v>
      </c>
      <c r="J578" s="26"/>
    </row>
    <row r="579" spans="1:10" ht="16.05" customHeight="1" x14ac:dyDescent="0.3">
      <c r="A579" s="26" t="s">
        <v>677</v>
      </c>
      <c r="B579" s="26" t="s">
        <v>1078</v>
      </c>
      <c r="C579" s="33" t="str">
        <f>IFERROR(INDEX(tbl_requisitos_emb[Tema],MATCH(B579,tbl_requisitos_emb[ID_Req],0)),"")</f>
        <v>Reciclado à escala</v>
      </c>
      <c r="D579" s="33" t="str">
        <f>IFERROR(INDEX(tbl_recyclass[Segmento],MATCH(A579,tbl_recyclass[ProductId],0)),"")</f>
        <v>Cosmética e higiene pessoal</v>
      </c>
      <c r="E579" s="26" t="s">
        <v>901</v>
      </c>
      <c r="F579" s="26" t="s">
        <v>1449</v>
      </c>
      <c r="G579" s="26" t="s">
        <v>990</v>
      </c>
      <c r="H579" s="33" t="str">
        <f>IF(E579="Não","Não aplicável",IFERROR(IF(B579="EU-ENV-002",IF(INDEX(tbl_recyclass[Conforme_PPWR_2030],MATCH(A579,tbl_recyclass[ProductId],0))="Sim","Conforme (autoavaliação)",IF(INDEX(tbl_recyclass[Conforme_PPWR_2030],MATCH(A579,tbl_recyclass[ProductId],0))="Não","Não conforme em 2030","Isento até 2035")),IF(B579="EU-ENV-003",IF(INDEX(tbl_recyclass[Conforme_Art7_2030],MATCH(A579,tbl_recyclass[ProductId],0))="Sim","Conforme (meta 2030)",IF(INDEX(tbl_recyclass[Conforme_Art7_2030],MATCH(A579,tbl_recyclass[ProductId],0))="Não","Lacuna face à meta 2030","Isento")),IF(B579="EU-ENV-011",IF(INDEX(tbl_familias_ppwr[Metais_Pesados_Evidencia],MATCH(INDEX(tbl_recyclass[Familia_PPWR],MATCH(A579,tbl_recyclass[ProductId],0)),tbl_familias_ppwr[ID_Familia],0))="Em falta","Lacuna","Conforme"),IF(B579="EU-ENV-013",IF(INDEX(tbl_familias_ppwr[Declaracao_UE],MATCH(INDEX(tbl_recyclass[Familia_PPWR],MATCH(A579,tbl_recyclass[ProductId],0)),tbl_familias_ppwr[ID_Familia],0))="Sim","Conforme","Lacuna"),G579)))),G579))</f>
        <v>Futuro</v>
      </c>
      <c r="I579" s="33" t="str">
        <f t="shared" si="9"/>
        <v>Futuro</v>
      </c>
      <c r="J579" s="26" t="s">
        <v>1082</v>
      </c>
    </row>
    <row r="580" spans="1:10" ht="16.05" customHeight="1" x14ac:dyDescent="0.3">
      <c r="A580" s="26" t="s">
        <v>677</v>
      </c>
      <c r="B580" s="26" t="s">
        <v>1086</v>
      </c>
      <c r="C580" s="33" t="str">
        <f>IFERROR(INDEX(tbl_requisitos_emb[Tema],MATCH(B580,tbl_requisitos_emb[ID_Req],0)),"")</f>
        <v>Metais pesados</v>
      </c>
      <c r="D580" s="33" t="str">
        <f>IFERROR(INDEX(tbl_recyclass[Segmento],MATCH(A580,tbl_recyclass[ProductId],0)),"")</f>
        <v>Cosmética e higiene pessoal</v>
      </c>
      <c r="E580" s="26" t="s">
        <v>901</v>
      </c>
      <c r="F580" s="26" t="s">
        <v>1449</v>
      </c>
      <c r="G580" s="26" t="s">
        <v>978</v>
      </c>
      <c r="H580" s="33" t="str">
        <f>IF(E580="Não","Não aplicável",IFERROR(IF(B580="EU-ENV-002",IF(INDEX(tbl_recyclass[Conforme_PPWR_2030],MATCH(A580,tbl_recyclass[ProductId],0))="Sim","Conforme (autoavaliação)",IF(INDEX(tbl_recyclass[Conforme_PPWR_2030],MATCH(A580,tbl_recyclass[ProductId],0))="Não","Não conforme em 2030","Isento até 2035")),IF(B580="EU-ENV-003",IF(INDEX(tbl_recyclass[Conforme_Art7_2030],MATCH(A580,tbl_recyclass[ProductId],0))="Sim","Conforme (meta 2030)",IF(INDEX(tbl_recyclass[Conforme_Art7_2030],MATCH(A580,tbl_recyclass[ProductId],0))="Não","Lacuna face à meta 2030","Isento")),IF(B580="EU-ENV-011",IF(INDEX(tbl_familias_ppwr[Metais_Pesados_Evidencia],MATCH(INDEX(tbl_recyclass[Familia_PPWR],MATCH(A580,tbl_recyclass[ProductId],0)),tbl_familias_ppwr[ID_Familia],0))="Em falta","Lacuna","Conforme"),IF(B580="EU-ENV-013",IF(INDEX(tbl_familias_ppwr[Declaracao_UE],MATCH(INDEX(tbl_recyclass[Familia_PPWR],MATCH(A580,tbl_recyclass[ProductId],0)),tbl_familias_ppwr[ID_Familia],0))="Sim","Conforme","Lacuna"),G580)))),G580))</f>
        <v>Conforme</v>
      </c>
      <c r="I580" s="33" t="str">
        <f t="shared" si="9"/>
        <v>Conforme</v>
      </c>
      <c r="J580" s="26" t="s">
        <v>1090</v>
      </c>
    </row>
    <row r="581" spans="1:10" ht="16.05" customHeight="1" x14ac:dyDescent="0.3">
      <c r="A581" s="26" t="s">
        <v>677</v>
      </c>
      <c r="B581" s="26" t="s">
        <v>1094</v>
      </c>
      <c r="C581" s="33" t="str">
        <f>IFERROR(INDEX(tbl_requisitos_emb[Tema],MATCH(B581,tbl_requisitos_emb[ID_Req],0)),"")</f>
        <v>PFAS</v>
      </c>
      <c r="D581" s="33" t="str">
        <f>IFERROR(INDEX(tbl_recyclass[Segmento],MATCH(A581,tbl_recyclass[ProductId],0)),"")</f>
        <v>Cosmética e higiene pessoal</v>
      </c>
      <c r="E581" s="26" t="s">
        <v>904</v>
      </c>
      <c r="F581" s="26" t="s">
        <v>1450</v>
      </c>
      <c r="G581" s="26" t="s">
        <v>1143</v>
      </c>
      <c r="H581" s="33" t="str">
        <f>IF(E581="Não","Não aplicável",IFERROR(IF(B581="EU-ENV-002",IF(INDEX(tbl_recyclass[Conforme_PPWR_2030],MATCH(A581,tbl_recyclass[ProductId],0))="Sim","Conforme (autoavaliação)",IF(INDEX(tbl_recyclass[Conforme_PPWR_2030],MATCH(A581,tbl_recyclass[ProductId],0))="Não","Não conforme em 2030","Isento até 2035")),IF(B581="EU-ENV-003",IF(INDEX(tbl_recyclass[Conforme_Art7_2030],MATCH(A581,tbl_recyclass[ProductId],0))="Sim","Conforme (meta 2030)",IF(INDEX(tbl_recyclass[Conforme_Art7_2030],MATCH(A581,tbl_recyclass[ProductId],0))="Não","Lacuna face à meta 2030","Isento")),IF(B581="EU-ENV-011",IF(INDEX(tbl_familias_ppwr[Metais_Pesados_Evidencia],MATCH(INDEX(tbl_recyclass[Familia_PPWR],MATCH(A581,tbl_recyclass[ProductId],0)),tbl_familias_ppwr[ID_Familia],0))="Em falta","Lacuna","Conforme"),IF(B581="EU-ENV-013",IF(INDEX(tbl_familias_ppwr[Declaracao_UE],MATCH(INDEX(tbl_recyclass[Familia_PPWR],MATCH(A581,tbl_recyclass[ProductId],0)),tbl_familias_ppwr[ID_Familia],0))="Sim","Conforme","Lacuna"),G581)))),G581))</f>
        <v>Não aplicável</v>
      </c>
      <c r="I581" s="33" t="str">
        <f t="shared" si="9"/>
        <v>Não aplicável</v>
      </c>
      <c r="J581" s="26"/>
    </row>
    <row r="582" spans="1:10" ht="16.05" customHeight="1" x14ac:dyDescent="0.3">
      <c r="A582" s="26" t="s">
        <v>677</v>
      </c>
      <c r="B582" s="26" t="s">
        <v>1102</v>
      </c>
      <c r="C582" s="33" t="str">
        <f>IFERROR(INDEX(tbl_requisitos_emb[Tema],MATCH(B582,tbl_requisitos_emb[ID_Req],0)),"")</f>
        <v>Documentação técnica e declaração UE</v>
      </c>
      <c r="D582" s="33" t="str">
        <f>IFERROR(INDEX(tbl_recyclass[Segmento],MATCH(A582,tbl_recyclass[ProductId],0)),"")</f>
        <v>Cosmética e higiene pessoal</v>
      </c>
      <c r="E582" s="26" t="s">
        <v>901</v>
      </c>
      <c r="F582" s="26" t="s">
        <v>1449</v>
      </c>
      <c r="G582" s="26" t="s">
        <v>978</v>
      </c>
      <c r="H582" s="33" t="str">
        <f>IF(E582="Não","Não aplicável",IFERROR(IF(B582="EU-ENV-002",IF(INDEX(tbl_recyclass[Conforme_PPWR_2030],MATCH(A582,tbl_recyclass[ProductId],0))="Sim","Conforme (autoavaliação)",IF(INDEX(tbl_recyclass[Conforme_PPWR_2030],MATCH(A582,tbl_recyclass[ProductId],0))="Não","Não conforme em 2030","Isento até 2035")),IF(B582="EU-ENV-003",IF(INDEX(tbl_recyclass[Conforme_Art7_2030],MATCH(A582,tbl_recyclass[ProductId],0))="Sim","Conforme (meta 2030)",IF(INDEX(tbl_recyclass[Conforme_Art7_2030],MATCH(A582,tbl_recyclass[ProductId],0))="Não","Lacuna face à meta 2030","Isento")),IF(B582="EU-ENV-011",IF(INDEX(tbl_familias_ppwr[Metais_Pesados_Evidencia],MATCH(INDEX(tbl_recyclass[Familia_PPWR],MATCH(A582,tbl_recyclass[ProductId],0)),tbl_familias_ppwr[ID_Familia],0))="Em falta","Lacuna","Conforme"),IF(B582="EU-ENV-013",IF(INDEX(tbl_familias_ppwr[Declaracao_UE],MATCH(INDEX(tbl_recyclass[Familia_PPWR],MATCH(A582,tbl_recyclass[ProductId],0)),tbl_familias_ppwr[ID_Familia],0))="Sim","Conforme","Lacuna"),G582)))),G582))</f>
        <v>Conforme</v>
      </c>
      <c r="I582" s="33" t="str">
        <f t="shared" si="9"/>
        <v>Conforme</v>
      </c>
      <c r="J582" s="26" t="s">
        <v>1106</v>
      </c>
    </row>
    <row r="583" spans="1:10" ht="16.05" customHeight="1" x14ac:dyDescent="0.3">
      <c r="A583" s="26" t="s">
        <v>677</v>
      </c>
      <c r="B583" s="26" t="s">
        <v>1161</v>
      </c>
      <c r="C583" s="33" t="str">
        <f>IFERROR(INDEX(tbl_requisitos_emb[Tema],MATCH(B583,tbl_requisitos_emb[ID_Req],0)),"")</f>
        <v>Materiais em contacto com alimentos</v>
      </c>
      <c r="D583" s="33" t="str">
        <f>IFERROR(INDEX(tbl_recyclass[Segmento],MATCH(A583,tbl_recyclass[ProductId],0)),"")</f>
        <v>Cosmética e higiene pessoal</v>
      </c>
      <c r="E583" s="26" t="s">
        <v>904</v>
      </c>
      <c r="F583" s="26" t="s">
        <v>1450</v>
      </c>
      <c r="G583" s="26" t="s">
        <v>1143</v>
      </c>
      <c r="H583" s="33" t="str">
        <f>IF(E583="Não","Não aplicável",IFERROR(IF(B583="EU-ENV-002",IF(INDEX(tbl_recyclass[Conforme_PPWR_2030],MATCH(A583,tbl_recyclass[ProductId],0))="Sim","Conforme (autoavaliação)",IF(INDEX(tbl_recyclass[Conforme_PPWR_2030],MATCH(A583,tbl_recyclass[ProductId],0))="Não","Não conforme em 2030","Isento até 2035")),IF(B583="EU-ENV-003",IF(INDEX(tbl_recyclass[Conforme_Art7_2030],MATCH(A583,tbl_recyclass[ProductId],0))="Sim","Conforme (meta 2030)",IF(INDEX(tbl_recyclass[Conforme_Art7_2030],MATCH(A583,tbl_recyclass[ProductId],0))="Não","Lacuna face à meta 2030","Isento")),IF(B583="EU-ENV-011",IF(INDEX(tbl_familias_ppwr[Metais_Pesados_Evidencia],MATCH(INDEX(tbl_recyclass[Familia_PPWR],MATCH(A583,tbl_recyclass[ProductId],0)),tbl_familias_ppwr[ID_Familia],0))="Em falta","Lacuna","Conforme"),IF(B583="EU-ENV-013",IF(INDEX(tbl_familias_ppwr[Declaracao_UE],MATCH(INDEX(tbl_recyclass[Familia_PPWR],MATCH(A583,tbl_recyclass[ProductId],0)),tbl_familias_ppwr[ID_Familia],0))="Sim","Conforme","Lacuna"),G583)))),G583))</f>
        <v>Não aplicável</v>
      </c>
      <c r="I583" s="33" t="str">
        <f t="shared" si="9"/>
        <v>Não aplicável</v>
      </c>
      <c r="J583" s="26"/>
    </row>
    <row r="584" spans="1:10" ht="16.05" customHeight="1" x14ac:dyDescent="0.3">
      <c r="A584" s="26" t="s">
        <v>677</v>
      </c>
      <c r="B584" s="26" t="s">
        <v>1170</v>
      </c>
      <c r="C584" s="33" t="str">
        <f>IFERROR(INDEX(tbl_requisitos_emb[Tema],MATCH(B584,tbl_requisitos_emb[ID_Req],0)),"")</f>
        <v>Boas práticas de fabrico FCM</v>
      </c>
      <c r="D584" s="33" t="str">
        <f>IFERROR(INDEX(tbl_recyclass[Segmento],MATCH(A584,tbl_recyclass[ProductId],0)),"")</f>
        <v>Cosmética e higiene pessoal</v>
      </c>
      <c r="E584" s="26" t="s">
        <v>904</v>
      </c>
      <c r="F584" s="26" t="s">
        <v>1450</v>
      </c>
      <c r="G584" s="26" t="s">
        <v>1143</v>
      </c>
      <c r="H584" s="33" t="str">
        <f>IF(E584="Não","Não aplicável",IFERROR(IF(B584="EU-ENV-002",IF(INDEX(tbl_recyclass[Conforme_PPWR_2030],MATCH(A584,tbl_recyclass[ProductId],0))="Sim","Conforme (autoavaliação)",IF(INDEX(tbl_recyclass[Conforme_PPWR_2030],MATCH(A584,tbl_recyclass[ProductId],0))="Não","Não conforme em 2030","Isento até 2035")),IF(B584="EU-ENV-003",IF(INDEX(tbl_recyclass[Conforme_Art7_2030],MATCH(A584,tbl_recyclass[ProductId],0))="Sim","Conforme (meta 2030)",IF(INDEX(tbl_recyclass[Conforme_Art7_2030],MATCH(A584,tbl_recyclass[ProductId],0))="Não","Lacuna face à meta 2030","Isento")),IF(B584="EU-ENV-011",IF(INDEX(tbl_familias_ppwr[Metais_Pesados_Evidencia],MATCH(INDEX(tbl_recyclass[Familia_PPWR],MATCH(A584,tbl_recyclass[ProductId],0)),tbl_familias_ppwr[ID_Familia],0))="Em falta","Lacuna","Conforme"),IF(B584="EU-ENV-013",IF(INDEX(tbl_familias_ppwr[Declaracao_UE],MATCH(INDEX(tbl_recyclass[Familia_PPWR],MATCH(A584,tbl_recyclass[ProductId],0)),tbl_familias_ppwr[ID_Familia],0))="Sim","Conforme","Lacuna"),G584)))),G584))</f>
        <v>Não aplicável</v>
      </c>
      <c r="I584" s="33" t="str">
        <f t="shared" si="9"/>
        <v>Não aplicável</v>
      </c>
      <c r="J584" s="26"/>
    </row>
    <row r="585" spans="1:10" ht="16.05" customHeight="1" x14ac:dyDescent="0.3">
      <c r="A585" s="26" t="s">
        <v>677</v>
      </c>
      <c r="B585" s="26" t="s">
        <v>1179</v>
      </c>
      <c r="C585" s="33" t="str">
        <f>IFERROR(INDEX(tbl_requisitos_emb[Tema],MATCH(B585,tbl_requisitos_emb[ID_Req],0)),"")</f>
        <v>Bisfenol A e bisfenóis perigosos</v>
      </c>
      <c r="D585" s="33" t="str">
        <f>IFERROR(INDEX(tbl_recyclass[Segmento],MATCH(A585,tbl_recyclass[ProductId],0)),"")</f>
        <v>Cosmética e higiene pessoal</v>
      </c>
      <c r="E585" s="26" t="s">
        <v>904</v>
      </c>
      <c r="F585" s="26" t="s">
        <v>1450</v>
      </c>
      <c r="G585" s="26" t="s">
        <v>1143</v>
      </c>
      <c r="H585" s="33" t="str">
        <f>IF(E585="Não","Não aplicável",IFERROR(IF(B585="EU-ENV-002",IF(INDEX(tbl_recyclass[Conforme_PPWR_2030],MATCH(A585,tbl_recyclass[ProductId],0))="Sim","Conforme (autoavaliação)",IF(INDEX(tbl_recyclass[Conforme_PPWR_2030],MATCH(A585,tbl_recyclass[ProductId],0))="Não","Não conforme em 2030","Isento até 2035")),IF(B585="EU-ENV-003",IF(INDEX(tbl_recyclass[Conforme_Art7_2030],MATCH(A585,tbl_recyclass[ProductId],0))="Sim","Conforme (meta 2030)",IF(INDEX(tbl_recyclass[Conforme_Art7_2030],MATCH(A585,tbl_recyclass[ProductId],0))="Não","Lacuna face à meta 2030","Isento")),IF(B585="EU-ENV-011",IF(INDEX(tbl_familias_ppwr[Metais_Pesados_Evidencia],MATCH(INDEX(tbl_recyclass[Familia_PPWR],MATCH(A585,tbl_recyclass[ProductId],0)),tbl_familias_ppwr[ID_Familia],0))="Em falta","Lacuna","Conforme"),IF(B585="EU-ENV-013",IF(INDEX(tbl_familias_ppwr[Declaracao_UE],MATCH(INDEX(tbl_recyclass[Familia_PPWR],MATCH(A585,tbl_recyclass[ProductId],0)),tbl_familias_ppwr[ID_Familia],0))="Sim","Conforme","Lacuna"),G585)))),G585))</f>
        <v>Não aplicável</v>
      </c>
      <c r="I585" s="33" t="str">
        <f t="shared" si="9"/>
        <v>Não aplicável</v>
      </c>
      <c r="J585" s="26"/>
    </row>
    <row r="586" spans="1:10" ht="16.05" customHeight="1" x14ac:dyDescent="0.3">
      <c r="A586" s="26" t="s">
        <v>677</v>
      </c>
      <c r="B586" s="26" t="s">
        <v>1188</v>
      </c>
      <c r="C586" s="33" t="str">
        <f>IFERROR(INDEX(tbl_requisitos_emb[Tema],MATCH(B586,tbl_requisitos_emb[ID_Req],0)),"")</f>
        <v>Plásticos em contacto com alimentos</v>
      </c>
      <c r="D586" s="33" t="str">
        <f>IFERROR(INDEX(tbl_recyclass[Segmento],MATCH(A586,tbl_recyclass[ProductId],0)),"")</f>
        <v>Cosmética e higiene pessoal</v>
      </c>
      <c r="E586" s="26" t="s">
        <v>904</v>
      </c>
      <c r="F586" s="26" t="s">
        <v>1450</v>
      </c>
      <c r="G586" s="26" t="s">
        <v>1143</v>
      </c>
      <c r="H586" s="33" t="str">
        <f>IF(E586="Não","Não aplicável",IFERROR(IF(B586="EU-ENV-002",IF(INDEX(tbl_recyclass[Conforme_PPWR_2030],MATCH(A586,tbl_recyclass[ProductId],0))="Sim","Conforme (autoavaliação)",IF(INDEX(tbl_recyclass[Conforme_PPWR_2030],MATCH(A586,tbl_recyclass[ProductId],0))="Não","Não conforme em 2030","Isento até 2035")),IF(B586="EU-ENV-003",IF(INDEX(tbl_recyclass[Conforme_Art7_2030],MATCH(A586,tbl_recyclass[ProductId],0))="Sim","Conforme (meta 2030)",IF(INDEX(tbl_recyclass[Conforme_Art7_2030],MATCH(A586,tbl_recyclass[ProductId],0))="Não","Lacuna face à meta 2030","Isento")),IF(B586="EU-ENV-011",IF(INDEX(tbl_familias_ppwr[Metais_Pesados_Evidencia],MATCH(INDEX(tbl_recyclass[Familia_PPWR],MATCH(A586,tbl_recyclass[ProductId],0)),tbl_familias_ppwr[ID_Familia],0))="Em falta","Lacuna","Conforme"),IF(B586="EU-ENV-013",IF(INDEX(tbl_familias_ppwr[Declaracao_UE],MATCH(INDEX(tbl_recyclass[Familia_PPWR],MATCH(A586,tbl_recyclass[ProductId],0)),tbl_familias_ppwr[ID_Familia],0))="Sim","Conforme","Lacuna"),G586)))),G586))</f>
        <v>Não aplicável</v>
      </c>
      <c r="I586" s="33" t="str">
        <f t="shared" si="9"/>
        <v>Não aplicável</v>
      </c>
      <c r="J586" s="26"/>
    </row>
    <row r="587" spans="1:10" ht="16.05" customHeight="1" x14ac:dyDescent="0.3">
      <c r="A587" s="26" t="s">
        <v>677</v>
      </c>
      <c r="B587" s="26" t="s">
        <v>1212</v>
      </c>
      <c r="C587" s="33" t="str">
        <f>IFERROR(INDEX(tbl_requisitos_emb[Tema],MATCH(B587,tbl_requisitos_emb[ID_Req],0)),"")</f>
        <v>Segurança do produto cosmético</v>
      </c>
      <c r="D587" s="33" t="str">
        <f>IFERROR(INDEX(tbl_recyclass[Segmento],MATCH(A587,tbl_recyclass[ProductId],0)),"")</f>
        <v>Cosmética e higiene pessoal</v>
      </c>
      <c r="E587" s="26" t="s">
        <v>901</v>
      </c>
      <c r="F587" s="26" t="s">
        <v>1449</v>
      </c>
      <c r="G587" s="26" t="s">
        <v>1033</v>
      </c>
      <c r="H587" s="33" t="str">
        <f>IF(E587="Não","Não aplicável",IFERROR(IF(B587="EU-ENV-002",IF(INDEX(tbl_recyclass[Conforme_PPWR_2030],MATCH(A587,tbl_recyclass[ProductId],0))="Sim","Conforme (autoavaliação)",IF(INDEX(tbl_recyclass[Conforme_PPWR_2030],MATCH(A587,tbl_recyclass[ProductId],0))="Não","Não conforme em 2030","Isento até 2035")),IF(B587="EU-ENV-003",IF(INDEX(tbl_recyclass[Conforme_Art7_2030],MATCH(A587,tbl_recyclass[ProductId],0))="Sim","Conforme (meta 2030)",IF(INDEX(tbl_recyclass[Conforme_Art7_2030],MATCH(A587,tbl_recyclass[ProductId],0))="Não","Lacuna face à meta 2030","Isento")),IF(B587="EU-ENV-011",IF(INDEX(tbl_familias_ppwr[Metais_Pesados_Evidencia],MATCH(INDEX(tbl_recyclass[Familia_PPWR],MATCH(A587,tbl_recyclass[ProductId],0)),tbl_familias_ppwr[ID_Familia],0))="Em falta","Lacuna","Conforme"),IF(B587="EU-ENV-013",IF(INDEX(tbl_familias_ppwr[Declaracao_UE],MATCH(INDEX(tbl_recyclass[Familia_PPWR],MATCH(A587,tbl_recyclass[ProductId],0)),tbl_familias_ppwr[ID_Familia],0))="Sim","Conforme","Lacuna"),G587)))),G587))</f>
        <v>Conforme</v>
      </c>
      <c r="I587" s="33" t="str">
        <f t="shared" si="9"/>
        <v>Conforme</v>
      </c>
      <c r="J587" s="26" t="s">
        <v>1221</v>
      </c>
    </row>
    <row r="588" spans="1:10" ht="16.05" customHeight="1" x14ac:dyDescent="0.3">
      <c r="A588" s="26" t="s">
        <v>677</v>
      </c>
      <c r="B588" s="26" t="s">
        <v>1224</v>
      </c>
      <c r="C588" s="33" t="str">
        <f>IFERROR(INDEX(tbl_requisitos_emb[Tema],MATCH(B588,tbl_requisitos_emb[ID_Req],0)),"")</f>
        <v>Materiais e impurezas</v>
      </c>
      <c r="D588" s="33" t="str">
        <f>IFERROR(INDEX(tbl_recyclass[Segmento],MATCH(A588,tbl_recyclass[ProductId],0)),"")</f>
        <v>Cosmética e higiene pessoal</v>
      </c>
      <c r="E588" s="26" t="s">
        <v>901</v>
      </c>
      <c r="F588" s="26" t="s">
        <v>1449</v>
      </c>
      <c r="G588" s="26" t="s">
        <v>978</v>
      </c>
      <c r="H588" s="33" t="str">
        <f>IF(E588="Não","Não aplicável",IFERROR(IF(B588="EU-ENV-002",IF(INDEX(tbl_recyclass[Conforme_PPWR_2030],MATCH(A588,tbl_recyclass[ProductId],0))="Sim","Conforme (autoavaliação)",IF(INDEX(tbl_recyclass[Conforme_PPWR_2030],MATCH(A588,tbl_recyclass[ProductId],0))="Não","Não conforme em 2030","Isento até 2035")),IF(B588="EU-ENV-003",IF(INDEX(tbl_recyclass[Conforme_Art7_2030],MATCH(A588,tbl_recyclass[ProductId],0))="Sim","Conforme (meta 2030)",IF(INDEX(tbl_recyclass[Conforme_Art7_2030],MATCH(A588,tbl_recyclass[ProductId],0))="Não","Lacuna face à meta 2030","Isento")),IF(B588="EU-ENV-011",IF(INDEX(tbl_familias_ppwr[Metais_Pesados_Evidencia],MATCH(INDEX(tbl_recyclass[Familia_PPWR],MATCH(A588,tbl_recyclass[ProductId],0)),tbl_familias_ppwr[ID_Familia],0))="Em falta","Lacuna","Conforme"),IF(B588="EU-ENV-013",IF(INDEX(tbl_familias_ppwr[Declaracao_UE],MATCH(INDEX(tbl_recyclass[Familia_PPWR],MATCH(A588,tbl_recyclass[ProductId],0)),tbl_familias_ppwr[ID_Familia],0))="Sim","Conforme","Lacuna"),G588)))),G588))</f>
        <v>Parcial</v>
      </c>
      <c r="I588" s="33" t="str">
        <f t="shared" si="9"/>
        <v>Parcial</v>
      </c>
      <c r="J588" s="26" t="s">
        <v>1228</v>
      </c>
    </row>
    <row r="589" spans="1:10" ht="16.05" customHeight="1" x14ac:dyDescent="0.3">
      <c r="A589" s="26" t="s">
        <v>677</v>
      </c>
      <c r="B589" s="26" t="s">
        <v>1240</v>
      </c>
      <c r="C589" s="33" t="str">
        <f>IFERROR(INDEX(tbl_requisitos_emb[Tema],MATCH(B589,tbl_requisitos_emb[ID_Req],0)),"")</f>
        <v>Compatibilidade embalagem–produto</v>
      </c>
      <c r="D589" s="33" t="str">
        <f>IFERROR(INDEX(tbl_recyclass[Segmento],MATCH(A589,tbl_recyclass[ProductId],0)),"")</f>
        <v>Cosmética e higiene pessoal</v>
      </c>
      <c r="E589" s="26" t="s">
        <v>901</v>
      </c>
      <c r="F589" s="26" t="s">
        <v>1449</v>
      </c>
      <c r="G589" s="26" t="s">
        <v>1033</v>
      </c>
      <c r="H589" s="33" t="str">
        <f>IF(E589="Não","Não aplicável",IFERROR(IF(B589="EU-ENV-002",IF(INDEX(tbl_recyclass[Conforme_PPWR_2030],MATCH(A589,tbl_recyclass[ProductId],0))="Sim","Conforme (autoavaliação)",IF(INDEX(tbl_recyclass[Conforme_PPWR_2030],MATCH(A589,tbl_recyclass[ProductId],0))="Não","Não conforme em 2030","Isento até 2035")),IF(B589="EU-ENV-003",IF(INDEX(tbl_recyclass[Conforme_Art7_2030],MATCH(A589,tbl_recyclass[ProductId],0))="Sim","Conforme (meta 2030)",IF(INDEX(tbl_recyclass[Conforme_Art7_2030],MATCH(A589,tbl_recyclass[ProductId],0))="Não","Lacuna face à meta 2030","Isento")),IF(B589="EU-ENV-011",IF(INDEX(tbl_familias_ppwr[Metais_Pesados_Evidencia],MATCH(INDEX(tbl_recyclass[Familia_PPWR],MATCH(A589,tbl_recyclass[ProductId],0)),tbl_familias_ppwr[ID_Familia],0))="Em falta","Lacuna","Conforme"),IF(B589="EU-ENV-013",IF(INDEX(tbl_familias_ppwr[Declaracao_UE],MATCH(INDEX(tbl_recyclass[Familia_PPWR],MATCH(A589,tbl_recyclass[ProductId],0)),tbl_familias_ppwr[ID_Familia],0))="Sim","Conforme","Lacuna"),G589)))),G589))</f>
        <v>Conforme</v>
      </c>
      <c r="I589" s="33" t="str">
        <f t="shared" si="9"/>
        <v>Conforme</v>
      </c>
      <c r="J589" s="26" t="s">
        <v>1244</v>
      </c>
    </row>
    <row r="590" spans="1:10" ht="16.05" customHeight="1" x14ac:dyDescent="0.3">
      <c r="A590" s="26" t="s">
        <v>677</v>
      </c>
      <c r="B590" s="26" t="s">
        <v>1252</v>
      </c>
      <c r="C590" s="33" t="str">
        <f>IFERROR(INDEX(tbl_requisitos_emb[Tema],MATCH(B590,tbl_requisitos_emb[ID_Req],0)),"")</f>
        <v>Medicamentos de uso humano</v>
      </c>
      <c r="D590" s="33" t="str">
        <f>IFERROR(INDEX(tbl_recyclass[Segmento],MATCH(A590,tbl_recyclass[ProductId],0)),"")</f>
        <v>Cosmética e higiene pessoal</v>
      </c>
      <c r="E590" s="26" t="s">
        <v>904</v>
      </c>
      <c r="F590" s="26" t="s">
        <v>1451</v>
      </c>
      <c r="G590" s="26" t="s">
        <v>1143</v>
      </c>
      <c r="H590" s="33" t="str">
        <f>IF(E590="Não","Não aplicável",IFERROR(IF(B590="EU-ENV-002",IF(INDEX(tbl_recyclass[Conforme_PPWR_2030],MATCH(A590,tbl_recyclass[ProductId],0))="Sim","Conforme (autoavaliação)",IF(INDEX(tbl_recyclass[Conforme_PPWR_2030],MATCH(A590,tbl_recyclass[ProductId],0))="Não","Não conforme em 2030","Isento até 2035")),IF(B590="EU-ENV-003",IF(INDEX(tbl_recyclass[Conforme_Art7_2030],MATCH(A590,tbl_recyclass[ProductId],0))="Sim","Conforme (meta 2030)",IF(INDEX(tbl_recyclass[Conforme_Art7_2030],MATCH(A590,tbl_recyclass[ProductId],0))="Não","Lacuna face à meta 2030","Isento")),IF(B590="EU-ENV-011",IF(INDEX(tbl_familias_ppwr[Metais_Pesados_Evidencia],MATCH(INDEX(tbl_recyclass[Familia_PPWR],MATCH(A590,tbl_recyclass[ProductId],0)),tbl_familias_ppwr[ID_Familia],0))="Em falta","Lacuna","Conforme"),IF(B590="EU-ENV-013",IF(INDEX(tbl_familias_ppwr[Declaracao_UE],MATCH(INDEX(tbl_recyclass[Familia_PPWR],MATCH(A590,tbl_recyclass[ProductId],0)),tbl_familias_ppwr[ID_Familia],0))="Sim","Conforme","Lacuna"),G590)))),G590))</f>
        <v>Não aplicável</v>
      </c>
      <c r="I590" s="33" t="str">
        <f t="shared" si="9"/>
        <v>Não aplicável</v>
      </c>
      <c r="J590" s="26"/>
    </row>
    <row r="591" spans="1:10" ht="16.05" customHeight="1" x14ac:dyDescent="0.3">
      <c r="A591" s="26" t="s">
        <v>677</v>
      </c>
      <c r="B591" s="26" t="s">
        <v>1268</v>
      </c>
      <c r="C591" s="33" t="str">
        <f>IFERROR(INDEX(tbl_requisitos_emb[Tema],MATCH(B591,tbl_requisitos_emb[ID_Req],0)),"")</f>
        <v>Dispositivos de segurança</v>
      </c>
      <c r="D591" s="33" t="str">
        <f>IFERROR(INDEX(tbl_recyclass[Segmento],MATCH(A591,tbl_recyclass[ProductId],0)),"")</f>
        <v>Cosmética e higiene pessoal</v>
      </c>
      <c r="E591" s="26" t="s">
        <v>904</v>
      </c>
      <c r="F591" s="26" t="s">
        <v>1451</v>
      </c>
      <c r="G591" s="26" t="s">
        <v>1143</v>
      </c>
      <c r="H591" s="33" t="str">
        <f>IF(E591="Não","Não aplicável",IFERROR(IF(B591="EU-ENV-002",IF(INDEX(tbl_recyclass[Conforme_PPWR_2030],MATCH(A591,tbl_recyclass[ProductId],0))="Sim","Conforme (autoavaliação)",IF(INDEX(tbl_recyclass[Conforme_PPWR_2030],MATCH(A591,tbl_recyclass[ProductId],0))="Não","Não conforme em 2030","Isento até 2035")),IF(B591="EU-ENV-003",IF(INDEX(tbl_recyclass[Conforme_Art7_2030],MATCH(A591,tbl_recyclass[ProductId],0))="Sim","Conforme (meta 2030)",IF(INDEX(tbl_recyclass[Conforme_Art7_2030],MATCH(A591,tbl_recyclass[ProductId],0))="Não","Lacuna face à meta 2030","Isento")),IF(B591="EU-ENV-011",IF(INDEX(tbl_familias_ppwr[Metais_Pesados_Evidencia],MATCH(INDEX(tbl_recyclass[Familia_PPWR],MATCH(A591,tbl_recyclass[ProductId],0)),tbl_familias_ppwr[ID_Familia],0))="Em falta","Lacuna","Conforme"),IF(B591="EU-ENV-013",IF(INDEX(tbl_familias_ppwr[Declaracao_UE],MATCH(INDEX(tbl_recyclass[Familia_PPWR],MATCH(A591,tbl_recyclass[ProductId],0)),tbl_familias_ppwr[ID_Familia],0))="Sim","Conforme","Lacuna"),G591)))),G591))</f>
        <v>Não aplicável</v>
      </c>
      <c r="I591" s="33" t="str">
        <f t="shared" si="9"/>
        <v>Não aplicável</v>
      </c>
      <c r="J591" s="26"/>
    </row>
    <row r="592" spans="1:10" ht="16.05" customHeight="1" x14ac:dyDescent="0.3">
      <c r="A592" s="26" t="s">
        <v>677</v>
      </c>
      <c r="B592" s="26" t="s">
        <v>1285</v>
      </c>
      <c r="C592" s="33" t="str">
        <f>IFERROR(INDEX(tbl_requisitos_emb[Tema],MATCH(B592,tbl_requisitos_emb[ID_Req],0)),"")</f>
        <v>Materiais plásticos de acondicionamento primário</v>
      </c>
      <c r="D592" s="33" t="str">
        <f>IFERROR(INDEX(tbl_recyclass[Segmento],MATCH(A592,tbl_recyclass[ProductId],0)),"")</f>
        <v>Cosmética e higiene pessoal</v>
      </c>
      <c r="E592" s="26" t="s">
        <v>904</v>
      </c>
      <c r="F592" s="26" t="s">
        <v>1451</v>
      </c>
      <c r="G592" s="26" t="s">
        <v>1143</v>
      </c>
      <c r="H592" s="33" t="str">
        <f>IF(E592="Não","Não aplicável",IFERROR(IF(B592="EU-ENV-002",IF(INDEX(tbl_recyclass[Conforme_PPWR_2030],MATCH(A592,tbl_recyclass[ProductId],0))="Sim","Conforme (autoavaliação)",IF(INDEX(tbl_recyclass[Conforme_PPWR_2030],MATCH(A592,tbl_recyclass[ProductId],0))="Não","Não conforme em 2030","Isento até 2035")),IF(B592="EU-ENV-003",IF(INDEX(tbl_recyclass[Conforme_Art7_2030],MATCH(A592,tbl_recyclass[ProductId],0))="Sim","Conforme (meta 2030)",IF(INDEX(tbl_recyclass[Conforme_Art7_2030],MATCH(A592,tbl_recyclass[ProductId],0))="Não","Lacuna face à meta 2030","Isento")),IF(B592="EU-ENV-011",IF(INDEX(tbl_familias_ppwr[Metais_Pesados_Evidencia],MATCH(INDEX(tbl_recyclass[Familia_PPWR],MATCH(A592,tbl_recyclass[ProductId],0)),tbl_familias_ppwr[ID_Familia],0))="Em falta","Lacuna","Conforme"),IF(B592="EU-ENV-013",IF(INDEX(tbl_familias_ppwr[Declaracao_UE],MATCH(INDEX(tbl_recyclass[Familia_PPWR],MATCH(A592,tbl_recyclass[ProductId],0)),tbl_familias_ppwr[ID_Familia],0))="Sim","Conforme","Lacuna"),G592)))),G592))</f>
        <v>Não aplicável</v>
      </c>
      <c r="I592" s="33" t="str">
        <f t="shared" si="9"/>
        <v>Não aplicável</v>
      </c>
      <c r="J592" s="26"/>
    </row>
    <row r="593" spans="1:10" ht="16.05" customHeight="1" x14ac:dyDescent="0.3">
      <c r="A593" s="26" t="s">
        <v>677</v>
      </c>
      <c r="B593" s="26" t="s">
        <v>1293</v>
      </c>
      <c r="C593" s="33" t="str">
        <f>IFERROR(INDEX(tbl_requisitos_emb[Tema],MATCH(B593,tbl_requisitos_emb[ID_Req],0)),"")</f>
        <v>Isenções PPWR</v>
      </c>
      <c r="D593" s="33" t="str">
        <f>IFERROR(INDEX(tbl_recyclass[Segmento],MATCH(A593,tbl_recyclass[ProductId],0)),"")</f>
        <v>Cosmética e higiene pessoal</v>
      </c>
      <c r="E593" s="26" t="s">
        <v>904</v>
      </c>
      <c r="F593" s="26" t="s">
        <v>1451</v>
      </c>
      <c r="G593" s="26" t="s">
        <v>1143</v>
      </c>
      <c r="H593" s="33" t="str">
        <f>IF(E593="Não","Não aplicável",IFERROR(IF(B593="EU-ENV-002",IF(INDEX(tbl_recyclass[Conforme_PPWR_2030],MATCH(A593,tbl_recyclass[ProductId],0))="Sim","Conforme (autoavaliação)",IF(INDEX(tbl_recyclass[Conforme_PPWR_2030],MATCH(A593,tbl_recyclass[ProductId],0))="Não","Não conforme em 2030","Isento até 2035")),IF(B593="EU-ENV-003",IF(INDEX(tbl_recyclass[Conforme_Art7_2030],MATCH(A593,tbl_recyclass[ProductId],0))="Sim","Conforme (meta 2030)",IF(INDEX(tbl_recyclass[Conforme_Art7_2030],MATCH(A593,tbl_recyclass[ProductId],0))="Não","Lacuna face à meta 2030","Isento")),IF(B593="EU-ENV-011",IF(INDEX(tbl_familias_ppwr[Metais_Pesados_Evidencia],MATCH(INDEX(tbl_recyclass[Familia_PPWR],MATCH(A593,tbl_recyclass[ProductId],0)),tbl_familias_ppwr[ID_Familia],0))="Em falta","Lacuna","Conforme"),IF(B593="EU-ENV-013",IF(INDEX(tbl_familias_ppwr[Declaracao_UE],MATCH(INDEX(tbl_recyclass[Familia_PPWR],MATCH(A593,tbl_recyclass[ProductId],0)),tbl_familias_ppwr[ID_Familia],0))="Sim","Conforme","Lacuna"),G593)))),G593))</f>
        <v>Não aplicável</v>
      </c>
      <c r="I593" s="33" t="str">
        <f t="shared" si="9"/>
        <v>Não aplicável</v>
      </c>
      <c r="J593" s="26"/>
    </row>
    <row r="594" spans="1:10" ht="16.05" customHeight="1" x14ac:dyDescent="0.3">
      <c r="A594" s="26" t="s">
        <v>677</v>
      </c>
      <c r="B594" s="26" t="s">
        <v>1357</v>
      </c>
      <c r="C594" s="33" t="str">
        <f>IFERROR(INDEX(tbl_requisitos_emb[Tema],MATCH(B594,tbl_requisitos_emb[ID_Req],0)),"")</f>
        <v>Identificação de plásticos</v>
      </c>
      <c r="D594" s="33" t="str">
        <f>IFERROR(INDEX(tbl_recyclass[Segmento],MATCH(A594,tbl_recyclass[ProductId],0)),"")</f>
        <v>Cosmética e higiene pessoal</v>
      </c>
      <c r="E594" s="26" t="s">
        <v>901</v>
      </c>
      <c r="F594" s="26" t="s">
        <v>1449</v>
      </c>
      <c r="G594" s="26" t="s">
        <v>978</v>
      </c>
      <c r="H594" s="33" t="str">
        <f>IF(E594="Não","Não aplicável",IFERROR(IF(B594="EU-ENV-002",IF(INDEX(tbl_recyclass[Conforme_PPWR_2030],MATCH(A594,tbl_recyclass[ProductId],0))="Sim","Conforme (autoavaliação)",IF(INDEX(tbl_recyclass[Conforme_PPWR_2030],MATCH(A594,tbl_recyclass[ProductId],0))="Não","Não conforme em 2030","Isento até 2035")),IF(B594="EU-ENV-003",IF(INDEX(tbl_recyclass[Conforme_Art7_2030],MATCH(A594,tbl_recyclass[ProductId],0))="Sim","Conforme (meta 2030)",IF(INDEX(tbl_recyclass[Conforme_Art7_2030],MATCH(A594,tbl_recyclass[ProductId],0))="Não","Lacuna face à meta 2030","Isento")),IF(B594="EU-ENV-011",IF(INDEX(tbl_familias_ppwr[Metais_Pesados_Evidencia],MATCH(INDEX(tbl_recyclass[Familia_PPWR],MATCH(A594,tbl_recyclass[ProductId],0)),tbl_familias_ppwr[ID_Familia],0))="Em falta","Lacuna","Conforme"),IF(B594="EU-ENV-013",IF(INDEX(tbl_familias_ppwr[Declaracao_UE],MATCH(INDEX(tbl_recyclass[Familia_PPWR],MATCH(A594,tbl_recyclass[ProductId],0)),tbl_familias_ppwr[ID_Familia],0))="Sim","Conforme","Lacuna"),G594)))),G594))</f>
        <v>Parcial</v>
      </c>
      <c r="I594" s="33" t="str">
        <f t="shared" si="9"/>
        <v>Parcial</v>
      </c>
      <c r="J594" s="26" t="s">
        <v>1362</v>
      </c>
    </row>
    <row r="595" spans="1:10" ht="16.05" customHeight="1" x14ac:dyDescent="0.3">
      <c r="A595" s="26" t="s">
        <v>677</v>
      </c>
      <c r="B595" s="26" t="s">
        <v>1385</v>
      </c>
      <c r="C595" s="33" t="str">
        <f>IFERROR(INDEX(tbl_requisitos_emb[Tema],MATCH(B595,tbl_requisitos_emb[ID_Req],0)),"")</f>
        <v>Reciclabilidade (voluntária)</v>
      </c>
      <c r="D595" s="33" t="str">
        <f>IFERROR(INDEX(tbl_recyclass[Segmento],MATCH(A595,tbl_recyclass[ProductId],0)),"")</f>
        <v>Cosmética e higiene pessoal</v>
      </c>
      <c r="E595" s="26" t="s">
        <v>901</v>
      </c>
      <c r="F595" s="26" t="s">
        <v>1449</v>
      </c>
      <c r="G595" s="26" t="s">
        <v>978</v>
      </c>
      <c r="H595" s="33" t="str">
        <f>IF(E595="Não","Não aplicável",IFERROR(IF(B595="EU-ENV-002",IF(INDEX(tbl_recyclass[Conforme_PPWR_2030],MATCH(A595,tbl_recyclass[ProductId],0))="Sim","Conforme (autoavaliação)",IF(INDEX(tbl_recyclass[Conforme_PPWR_2030],MATCH(A595,tbl_recyclass[ProductId],0))="Não","Não conforme em 2030","Isento até 2035")),IF(B595="EU-ENV-003",IF(INDEX(tbl_recyclass[Conforme_Art7_2030],MATCH(A595,tbl_recyclass[ProductId],0))="Sim","Conforme (meta 2030)",IF(INDEX(tbl_recyclass[Conforme_Art7_2030],MATCH(A595,tbl_recyclass[ProductId],0))="Não","Lacuna face à meta 2030","Isento")),IF(B595="EU-ENV-011",IF(INDEX(tbl_familias_ppwr[Metais_Pesados_Evidencia],MATCH(INDEX(tbl_recyclass[Familia_PPWR],MATCH(A595,tbl_recyclass[ProductId],0)),tbl_familias_ppwr[ID_Familia],0))="Em falta","Lacuna","Conforme"),IF(B595="EU-ENV-013",IF(INDEX(tbl_familias_ppwr[Declaracao_UE],MATCH(INDEX(tbl_recyclass[Familia_PPWR],MATCH(A595,tbl_recyclass[ProductId],0)),tbl_familias_ppwr[ID_Familia],0))="Sim","Conforme","Lacuna"),G595)))),G595))</f>
        <v>Parcial</v>
      </c>
      <c r="I595" s="33" t="str">
        <f t="shared" si="9"/>
        <v>Parcial</v>
      </c>
      <c r="J595" s="26" t="s">
        <v>1389</v>
      </c>
    </row>
    <row r="596" spans="1:10" ht="16.05" customHeight="1" x14ac:dyDescent="0.3">
      <c r="A596" s="26" t="s">
        <v>679</v>
      </c>
      <c r="B596" s="26" t="s">
        <v>984</v>
      </c>
      <c r="C596" s="33" t="str">
        <f>IFERROR(INDEX(tbl_requisitos_emb[Tema],MATCH(B596,tbl_requisitos_emb[ID_Req],0)),"")</f>
        <v>Conceção para reciclagem</v>
      </c>
      <c r="D596" s="33" t="str">
        <f>IFERROR(INDEX(tbl_recyclass[Segmento],MATCH(A596,tbl_recyclass[ProductId],0)),"")</f>
        <v>Cosmética e higiene pessoal</v>
      </c>
      <c r="E596" s="26" t="s">
        <v>901</v>
      </c>
      <c r="F596" s="26" t="s">
        <v>1449</v>
      </c>
      <c r="G596" s="26" t="s">
        <v>978</v>
      </c>
      <c r="H596" s="33" t="str">
        <f>IF(E596="Não","Não aplicável",IFERROR(IF(B596="EU-ENV-002",IF(INDEX(tbl_recyclass[Conforme_PPWR_2030],MATCH(A596,tbl_recyclass[ProductId],0))="Sim","Conforme (autoavaliação)",IF(INDEX(tbl_recyclass[Conforme_PPWR_2030],MATCH(A596,tbl_recyclass[ProductId],0))="Não","Não conforme em 2030","Isento até 2035")),IF(B596="EU-ENV-003",IF(INDEX(tbl_recyclass[Conforme_Art7_2030],MATCH(A596,tbl_recyclass[ProductId],0))="Sim","Conforme (meta 2030)",IF(INDEX(tbl_recyclass[Conforme_Art7_2030],MATCH(A596,tbl_recyclass[ProductId],0))="Não","Lacuna face à meta 2030","Isento")),IF(B596="EU-ENV-011",IF(INDEX(tbl_familias_ppwr[Metais_Pesados_Evidencia],MATCH(INDEX(tbl_recyclass[Familia_PPWR],MATCH(A596,tbl_recyclass[ProductId],0)),tbl_familias_ppwr[ID_Familia],0))="Em falta","Lacuna","Conforme"),IF(B596="EU-ENV-013",IF(INDEX(tbl_familias_ppwr[Declaracao_UE],MATCH(INDEX(tbl_recyclass[Familia_PPWR],MATCH(A596,tbl_recyclass[ProductId],0)),tbl_familias_ppwr[ID_Familia],0))="Sim","Conforme","Lacuna"),G596)))),G596))</f>
        <v>Conforme (autoavaliação)</v>
      </c>
      <c r="I596" s="33" t="str">
        <f t="shared" si="9"/>
        <v>Conforme</v>
      </c>
      <c r="J596" s="26" t="s">
        <v>991</v>
      </c>
    </row>
    <row r="597" spans="1:10" ht="16.05" customHeight="1" x14ac:dyDescent="0.3">
      <c r="A597" s="26" t="s">
        <v>679</v>
      </c>
      <c r="B597" s="26" t="s">
        <v>997</v>
      </c>
      <c r="C597" s="33" t="str">
        <f>IFERROR(INDEX(tbl_requisitos_emb[Tema],MATCH(B597,tbl_requisitos_emb[ID_Req],0)),"")</f>
        <v>Conteúdo reciclado</v>
      </c>
      <c r="D597" s="33" t="str">
        <f>IFERROR(INDEX(tbl_recyclass[Segmento],MATCH(A597,tbl_recyclass[ProductId],0)),"")</f>
        <v>Cosmética e higiene pessoal</v>
      </c>
      <c r="E597" s="26" t="s">
        <v>901</v>
      </c>
      <c r="F597" s="26" t="s">
        <v>1449</v>
      </c>
      <c r="G597" s="26" t="s">
        <v>978</v>
      </c>
      <c r="H597" s="33" t="str">
        <f>IF(E597="Não","Não aplicável",IFERROR(IF(B597="EU-ENV-002",IF(INDEX(tbl_recyclass[Conforme_PPWR_2030],MATCH(A597,tbl_recyclass[ProductId],0))="Sim","Conforme (autoavaliação)",IF(INDEX(tbl_recyclass[Conforme_PPWR_2030],MATCH(A597,tbl_recyclass[ProductId],0))="Não","Não conforme em 2030","Isento até 2035")),IF(B597="EU-ENV-003",IF(INDEX(tbl_recyclass[Conforme_Art7_2030],MATCH(A597,tbl_recyclass[ProductId],0))="Sim","Conforme (meta 2030)",IF(INDEX(tbl_recyclass[Conforme_Art7_2030],MATCH(A597,tbl_recyclass[ProductId],0))="Não","Lacuna face à meta 2030","Isento")),IF(B597="EU-ENV-011",IF(INDEX(tbl_familias_ppwr[Metais_Pesados_Evidencia],MATCH(INDEX(tbl_recyclass[Familia_PPWR],MATCH(A597,tbl_recyclass[ProductId],0)),tbl_familias_ppwr[ID_Familia],0))="Em falta","Lacuna","Conforme"),IF(B597="EU-ENV-013",IF(INDEX(tbl_familias_ppwr[Declaracao_UE],MATCH(INDEX(tbl_recyclass[Familia_PPWR],MATCH(A597,tbl_recyclass[ProductId],0)),tbl_familias_ppwr[ID_Familia],0))="Sim","Conforme","Lacuna"),G597)))),G597))</f>
        <v>Lacuna face à meta 2030</v>
      </c>
      <c r="I597" s="33" t="str">
        <f t="shared" si="9"/>
        <v>Lacuna</v>
      </c>
      <c r="J597" s="26" t="s">
        <v>1001</v>
      </c>
    </row>
    <row r="598" spans="1:10" ht="16.05" customHeight="1" x14ac:dyDescent="0.3">
      <c r="A598" s="26" t="s">
        <v>679</v>
      </c>
      <c r="B598" s="26" t="s">
        <v>1007</v>
      </c>
      <c r="C598" s="33" t="str">
        <f>IFERROR(INDEX(tbl_requisitos_emb[Tema],MATCH(B598,tbl_requisitos_emb[ID_Req],0)),"")</f>
        <v>Minimização</v>
      </c>
      <c r="D598" s="33" t="str">
        <f>IFERROR(INDEX(tbl_recyclass[Segmento],MATCH(A598,tbl_recyclass[ProductId],0)),"")</f>
        <v>Cosmética e higiene pessoal</v>
      </c>
      <c r="E598" s="26" t="s">
        <v>901</v>
      </c>
      <c r="F598" s="26" t="s">
        <v>1449</v>
      </c>
      <c r="G598" s="26" t="s">
        <v>978</v>
      </c>
      <c r="H598" s="33" t="str">
        <f>IF(E598="Não","Não aplicável",IFERROR(IF(B598="EU-ENV-002",IF(INDEX(tbl_recyclass[Conforme_PPWR_2030],MATCH(A598,tbl_recyclass[ProductId],0))="Sim","Conforme (autoavaliação)",IF(INDEX(tbl_recyclass[Conforme_PPWR_2030],MATCH(A598,tbl_recyclass[ProductId],0))="Não","Não conforme em 2030","Isento até 2035")),IF(B598="EU-ENV-003",IF(INDEX(tbl_recyclass[Conforme_Art7_2030],MATCH(A598,tbl_recyclass[ProductId],0))="Sim","Conforme (meta 2030)",IF(INDEX(tbl_recyclass[Conforme_Art7_2030],MATCH(A598,tbl_recyclass[ProductId],0))="Não","Lacuna face à meta 2030","Isento")),IF(B598="EU-ENV-011",IF(INDEX(tbl_familias_ppwr[Metais_Pesados_Evidencia],MATCH(INDEX(tbl_recyclass[Familia_PPWR],MATCH(A598,tbl_recyclass[ProductId],0)),tbl_familias_ppwr[ID_Familia],0))="Em falta","Lacuna","Conforme"),IF(B598="EU-ENV-013",IF(INDEX(tbl_familias_ppwr[Declaracao_UE],MATCH(INDEX(tbl_recyclass[Familia_PPWR],MATCH(A598,tbl_recyclass[ProductId],0)),tbl_familias_ppwr[ID_Familia],0))="Sim","Conforme","Lacuna"),G598)))),G598))</f>
        <v>Parcial</v>
      </c>
      <c r="I598" s="33" t="str">
        <f t="shared" si="9"/>
        <v>Parcial</v>
      </c>
      <c r="J598" s="26" t="s">
        <v>1012</v>
      </c>
    </row>
    <row r="599" spans="1:10" ht="16.05" customHeight="1" x14ac:dyDescent="0.3">
      <c r="A599" s="26" t="s">
        <v>679</v>
      </c>
      <c r="B599" s="26" t="s">
        <v>1016</v>
      </c>
      <c r="C599" s="33" t="str">
        <f>IFERROR(INDEX(tbl_requisitos_emb[Tema],MATCH(B599,tbl_requisitos_emb[ID_Req],0)),"")</f>
        <v>Rotulagem</v>
      </c>
      <c r="D599" s="33" t="str">
        <f>IFERROR(INDEX(tbl_recyclass[Segmento],MATCH(A599,tbl_recyclass[ProductId],0)),"")</f>
        <v>Cosmética e higiene pessoal</v>
      </c>
      <c r="E599" s="26" t="s">
        <v>901</v>
      </c>
      <c r="F599" s="26" t="s">
        <v>1449</v>
      </c>
      <c r="G599" s="26" t="s">
        <v>990</v>
      </c>
      <c r="H599" s="33" t="str">
        <f>IF(E599="Não","Não aplicável",IFERROR(IF(B599="EU-ENV-002",IF(INDEX(tbl_recyclass[Conforme_PPWR_2030],MATCH(A599,tbl_recyclass[ProductId],0))="Sim","Conforme (autoavaliação)",IF(INDEX(tbl_recyclass[Conforme_PPWR_2030],MATCH(A599,tbl_recyclass[ProductId],0))="Não","Não conforme em 2030","Isento até 2035")),IF(B599="EU-ENV-003",IF(INDEX(tbl_recyclass[Conforme_Art7_2030],MATCH(A599,tbl_recyclass[ProductId],0))="Sim","Conforme (meta 2030)",IF(INDEX(tbl_recyclass[Conforme_Art7_2030],MATCH(A599,tbl_recyclass[ProductId],0))="Não","Lacuna face à meta 2030","Isento")),IF(B599="EU-ENV-011",IF(INDEX(tbl_familias_ppwr[Metais_Pesados_Evidencia],MATCH(INDEX(tbl_recyclass[Familia_PPWR],MATCH(A599,tbl_recyclass[ProductId],0)),tbl_familias_ppwr[ID_Familia],0))="Em falta","Lacuna","Conforme"),IF(B599="EU-ENV-013",IF(INDEX(tbl_familias_ppwr[Declaracao_UE],MATCH(INDEX(tbl_recyclass[Familia_PPWR],MATCH(A599,tbl_recyclass[ProductId],0)),tbl_familias_ppwr[ID_Familia],0))="Sim","Conforme","Lacuna"),G599)))),G599))</f>
        <v>Futuro</v>
      </c>
      <c r="I599" s="33" t="str">
        <f t="shared" si="9"/>
        <v>Futuro</v>
      </c>
      <c r="J599" s="26" t="s">
        <v>1021</v>
      </c>
    </row>
    <row r="600" spans="1:10" ht="16.05" customHeight="1" x14ac:dyDescent="0.3">
      <c r="A600" s="26" t="s">
        <v>679</v>
      </c>
      <c r="B600" s="26" t="s">
        <v>1038</v>
      </c>
      <c r="C600" s="33" t="str">
        <f>IFERROR(INDEX(tbl_requisitos_emb[Tema],MATCH(B600,tbl_requisitos_emb[ID_Req],0)),"")</f>
        <v>Plásticos de utilização única</v>
      </c>
      <c r="D600" s="33" t="str">
        <f>IFERROR(INDEX(tbl_recyclass[Segmento],MATCH(A600,tbl_recyclass[ProductId],0)),"")</f>
        <v>Cosmética e higiene pessoal</v>
      </c>
      <c r="E600" s="26" t="s">
        <v>904</v>
      </c>
      <c r="F600" s="26" t="s">
        <v>1450</v>
      </c>
      <c r="G600" s="26" t="s">
        <v>1143</v>
      </c>
      <c r="H600" s="33" t="str">
        <f>IF(E600="Não","Não aplicável",IFERROR(IF(B600="EU-ENV-002",IF(INDEX(tbl_recyclass[Conforme_PPWR_2030],MATCH(A600,tbl_recyclass[ProductId],0))="Sim","Conforme (autoavaliação)",IF(INDEX(tbl_recyclass[Conforme_PPWR_2030],MATCH(A600,tbl_recyclass[ProductId],0))="Não","Não conforme em 2030","Isento até 2035")),IF(B600="EU-ENV-003",IF(INDEX(tbl_recyclass[Conforme_Art7_2030],MATCH(A600,tbl_recyclass[ProductId],0))="Sim","Conforme (meta 2030)",IF(INDEX(tbl_recyclass[Conforme_Art7_2030],MATCH(A600,tbl_recyclass[ProductId],0))="Não","Lacuna face à meta 2030","Isento")),IF(B600="EU-ENV-011",IF(INDEX(tbl_familias_ppwr[Metais_Pesados_Evidencia],MATCH(INDEX(tbl_recyclass[Familia_PPWR],MATCH(A600,tbl_recyclass[ProductId],0)),tbl_familias_ppwr[ID_Familia],0))="Em falta","Lacuna","Conforme"),IF(B600="EU-ENV-013",IF(INDEX(tbl_familias_ppwr[Declaracao_UE],MATCH(INDEX(tbl_recyclass[Familia_PPWR],MATCH(A600,tbl_recyclass[ProductId],0)),tbl_familias_ppwr[ID_Familia],0))="Sim","Conforme","Lacuna"),G600)))),G600))</f>
        <v>Não aplicável</v>
      </c>
      <c r="I600" s="33" t="str">
        <f t="shared" si="9"/>
        <v>Não aplicável</v>
      </c>
      <c r="J600" s="26"/>
    </row>
    <row r="601" spans="1:10" ht="16.05" customHeight="1" x14ac:dyDescent="0.3">
      <c r="A601" s="26" t="s">
        <v>679</v>
      </c>
      <c r="B601" s="26" t="s">
        <v>1078</v>
      </c>
      <c r="C601" s="33" t="str">
        <f>IFERROR(INDEX(tbl_requisitos_emb[Tema],MATCH(B601,tbl_requisitos_emb[ID_Req],0)),"")</f>
        <v>Reciclado à escala</v>
      </c>
      <c r="D601" s="33" t="str">
        <f>IFERROR(INDEX(tbl_recyclass[Segmento],MATCH(A601,tbl_recyclass[ProductId],0)),"")</f>
        <v>Cosmética e higiene pessoal</v>
      </c>
      <c r="E601" s="26" t="s">
        <v>901</v>
      </c>
      <c r="F601" s="26" t="s">
        <v>1449</v>
      </c>
      <c r="G601" s="26" t="s">
        <v>990</v>
      </c>
      <c r="H601" s="33" t="str">
        <f>IF(E601="Não","Não aplicável",IFERROR(IF(B601="EU-ENV-002",IF(INDEX(tbl_recyclass[Conforme_PPWR_2030],MATCH(A601,tbl_recyclass[ProductId],0))="Sim","Conforme (autoavaliação)",IF(INDEX(tbl_recyclass[Conforme_PPWR_2030],MATCH(A601,tbl_recyclass[ProductId],0))="Não","Não conforme em 2030","Isento até 2035")),IF(B601="EU-ENV-003",IF(INDEX(tbl_recyclass[Conforme_Art7_2030],MATCH(A601,tbl_recyclass[ProductId],0))="Sim","Conforme (meta 2030)",IF(INDEX(tbl_recyclass[Conforme_Art7_2030],MATCH(A601,tbl_recyclass[ProductId],0))="Não","Lacuna face à meta 2030","Isento")),IF(B601="EU-ENV-011",IF(INDEX(tbl_familias_ppwr[Metais_Pesados_Evidencia],MATCH(INDEX(tbl_recyclass[Familia_PPWR],MATCH(A601,tbl_recyclass[ProductId],0)),tbl_familias_ppwr[ID_Familia],0))="Em falta","Lacuna","Conforme"),IF(B601="EU-ENV-013",IF(INDEX(tbl_familias_ppwr[Declaracao_UE],MATCH(INDEX(tbl_recyclass[Familia_PPWR],MATCH(A601,tbl_recyclass[ProductId],0)),tbl_familias_ppwr[ID_Familia],0))="Sim","Conforme","Lacuna"),G601)))),G601))</f>
        <v>Futuro</v>
      </c>
      <c r="I601" s="33" t="str">
        <f t="shared" si="9"/>
        <v>Futuro</v>
      </c>
      <c r="J601" s="26" t="s">
        <v>1082</v>
      </c>
    </row>
    <row r="602" spans="1:10" ht="16.05" customHeight="1" x14ac:dyDescent="0.3">
      <c r="A602" s="26" t="s">
        <v>679</v>
      </c>
      <c r="B602" s="26" t="s">
        <v>1086</v>
      </c>
      <c r="C602" s="33" t="str">
        <f>IFERROR(INDEX(tbl_requisitos_emb[Tema],MATCH(B602,tbl_requisitos_emb[ID_Req],0)),"")</f>
        <v>Metais pesados</v>
      </c>
      <c r="D602" s="33" t="str">
        <f>IFERROR(INDEX(tbl_recyclass[Segmento],MATCH(A602,tbl_recyclass[ProductId],0)),"")</f>
        <v>Cosmética e higiene pessoal</v>
      </c>
      <c r="E602" s="26" t="s">
        <v>901</v>
      </c>
      <c r="F602" s="26" t="s">
        <v>1449</v>
      </c>
      <c r="G602" s="26" t="s">
        <v>978</v>
      </c>
      <c r="H602" s="33" t="str">
        <f>IF(E602="Não","Não aplicável",IFERROR(IF(B602="EU-ENV-002",IF(INDEX(tbl_recyclass[Conforme_PPWR_2030],MATCH(A602,tbl_recyclass[ProductId],0))="Sim","Conforme (autoavaliação)",IF(INDEX(tbl_recyclass[Conforme_PPWR_2030],MATCH(A602,tbl_recyclass[ProductId],0))="Não","Não conforme em 2030","Isento até 2035")),IF(B602="EU-ENV-003",IF(INDEX(tbl_recyclass[Conforme_Art7_2030],MATCH(A602,tbl_recyclass[ProductId],0))="Sim","Conforme (meta 2030)",IF(INDEX(tbl_recyclass[Conforme_Art7_2030],MATCH(A602,tbl_recyclass[ProductId],0))="Não","Lacuna face à meta 2030","Isento")),IF(B602="EU-ENV-011",IF(INDEX(tbl_familias_ppwr[Metais_Pesados_Evidencia],MATCH(INDEX(tbl_recyclass[Familia_PPWR],MATCH(A602,tbl_recyclass[ProductId],0)),tbl_familias_ppwr[ID_Familia],0))="Em falta","Lacuna","Conforme"),IF(B602="EU-ENV-013",IF(INDEX(tbl_familias_ppwr[Declaracao_UE],MATCH(INDEX(tbl_recyclass[Familia_PPWR],MATCH(A602,tbl_recyclass[ProductId],0)),tbl_familias_ppwr[ID_Familia],0))="Sim","Conforme","Lacuna"),G602)))),G602))</f>
        <v>Conforme</v>
      </c>
      <c r="I602" s="33" t="str">
        <f t="shared" si="9"/>
        <v>Conforme</v>
      </c>
      <c r="J602" s="26" t="s">
        <v>1090</v>
      </c>
    </row>
    <row r="603" spans="1:10" ht="16.05" customHeight="1" x14ac:dyDescent="0.3">
      <c r="A603" s="26" t="s">
        <v>679</v>
      </c>
      <c r="B603" s="26" t="s">
        <v>1094</v>
      </c>
      <c r="C603" s="33" t="str">
        <f>IFERROR(INDEX(tbl_requisitos_emb[Tema],MATCH(B603,tbl_requisitos_emb[ID_Req],0)),"")</f>
        <v>PFAS</v>
      </c>
      <c r="D603" s="33" t="str">
        <f>IFERROR(INDEX(tbl_recyclass[Segmento],MATCH(A603,tbl_recyclass[ProductId],0)),"")</f>
        <v>Cosmética e higiene pessoal</v>
      </c>
      <c r="E603" s="26" t="s">
        <v>904</v>
      </c>
      <c r="F603" s="26" t="s">
        <v>1450</v>
      </c>
      <c r="G603" s="26" t="s">
        <v>1143</v>
      </c>
      <c r="H603" s="33" t="str">
        <f>IF(E603="Não","Não aplicável",IFERROR(IF(B603="EU-ENV-002",IF(INDEX(tbl_recyclass[Conforme_PPWR_2030],MATCH(A603,tbl_recyclass[ProductId],0))="Sim","Conforme (autoavaliação)",IF(INDEX(tbl_recyclass[Conforme_PPWR_2030],MATCH(A603,tbl_recyclass[ProductId],0))="Não","Não conforme em 2030","Isento até 2035")),IF(B603="EU-ENV-003",IF(INDEX(tbl_recyclass[Conforme_Art7_2030],MATCH(A603,tbl_recyclass[ProductId],0))="Sim","Conforme (meta 2030)",IF(INDEX(tbl_recyclass[Conforme_Art7_2030],MATCH(A603,tbl_recyclass[ProductId],0))="Não","Lacuna face à meta 2030","Isento")),IF(B603="EU-ENV-011",IF(INDEX(tbl_familias_ppwr[Metais_Pesados_Evidencia],MATCH(INDEX(tbl_recyclass[Familia_PPWR],MATCH(A603,tbl_recyclass[ProductId],0)),tbl_familias_ppwr[ID_Familia],0))="Em falta","Lacuna","Conforme"),IF(B603="EU-ENV-013",IF(INDEX(tbl_familias_ppwr[Declaracao_UE],MATCH(INDEX(tbl_recyclass[Familia_PPWR],MATCH(A603,tbl_recyclass[ProductId],0)),tbl_familias_ppwr[ID_Familia],0))="Sim","Conforme","Lacuna"),G603)))),G603))</f>
        <v>Não aplicável</v>
      </c>
      <c r="I603" s="33" t="str">
        <f t="shared" si="9"/>
        <v>Não aplicável</v>
      </c>
      <c r="J603" s="26"/>
    </row>
    <row r="604" spans="1:10" ht="16.05" customHeight="1" x14ac:dyDescent="0.3">
      <c r="A604" s="26" t="s">
        <v>679</v>
      </c>
      <c r="B604" s="26" t="s">
        <v>1102</v>
      </c>
      <c r="C604" s="33" t="str">
        <f>IFERROR(INDEX(tbl_requisitos_emb[Tema],MATCH(B604,tbl_requisitos_emb[ID_Req],0)),"")</f>
        <v>Documentação técnica e declaração UE</v>
      </c>
      <c r="D604" s="33" t="str">
        <f>IFERROR(INDEX(tbl_recyclass[Segmento],MATCH(A604,tbl_recyclass[ProductId],0)),"")</f>
        <v>Cosmética e higiene pessoal</v>
      </c>
      <c r="E604" s="26" t="s">
        <v>901</v>
      </c>
      <c r="F604" s="26" t="s">
        <v>1449</v>
      </c>
      <c r="G604" s="26" t="s">
        <v>978</v>
      </c>
      <c r="H604" s="33" t="str">
        <f>IF(E604="Não","Não aplicável",IFERROR(IF(B604="EU-ENV-002",IF(INDEX(tbl_recyclass[Conforme_PPWR_2030],MATCH(A604,tbl_recyclass[ProductId],0))="Sim","Conforme (autoavaliação)",IF(INDEX(tbl_recyclass[Conforme_PPWR_2030],MATCH(A604,tbl_recyclass[ProductId],0))="Não","Não conforme em 2030","Isento até 2035")),IF(B604="EU-ENV-003",IF(INDEX(tbl_recyclass[Conforme_Art7_2030],MATCH(A604,tbl_recyclass[ProductId],0))="Sim","Conforme (meta 2030)",IF(INDEX(tbl_recyclass[Conforme_Art7_2030],MATCH(A604,tbl_recyclass[ProductId],0))="Não","Lacuna face à meta 2030","Isento")),IF(B604="EU-ENV-011",IF(INDEX(tbl_familias_ppwr[Metais_Pesados_Evidencia],MATCH(INDEX(tbl_recyclass[Familia_PPWR],MATCH(A604,tbl_recyclass[ProductId],0)),tbl_familias_ppwr[ID_Familia],0))="Em falta","Lacuna","Conforme"),IF(B604="EU-ENV-013",IF(INDEX(tbl_familias_ppwr[Declaracao_UE],MATCH(INDEX(tbl_recyclass[Familia_PPWR],MATCH(A604,tbl_recyclass[ProductId],0)),tbl_familias_ppwr[ID_Familia],0))="Sim","Conforme","Lacuna"),G604)))),G604))</f>
        <v>Conforme</v>
      </c>
      <c r="I604" s="33" t="str">
        <f t="shared" si="9"/>
        <v>Conforme</v>
      </c>
      <c r="J604" s="26" t="s">
        <v>1106</v>
      </c>
    </row>
    <row r="605" spans="1:10" ht="16.05" customHeight="1" x14ac:dyDescent="0.3">
      <c r="A605" s="26" t="s">
        <v>679</v>
      </c>
      <c r="B605" s="26" t="s">
        <v>1161</v>
      </c>
      <c r="C605" s="33" t="str">
        <f>IFERROR(INDEX(tbl_requisitos_emb[Tema],MATCH(B605,tbl_requisitos_emb[ID_Req],0)),"")</f>
        <v>Materiais em contacto com alimentos</v>
      </c>
      <c r="D605" s="33" t="str">
        <f>IFERROR(INDEX(tbl_recyclass[Segmento],MATCH(A605,tbl_recyclass[ProductId],0)),"")</f>
        <v>Cosmética e higiene pessoal</v>
      </c>
      <c r="E605" s="26" t="s">
        <v>904</v>
      </c>
      <c r="F605" s="26" t="s">
        <v>1450</v>
      </c>
      <c r="G605" s="26" t="s">
        <v>1143</v>
      </c>
      <c r="H605" s="33" t="str">
        <f>IF(E605="Não","Não aplicável",IFERROR(IF(B605="EU-ENV-002",IF(INDEX(tbl_recyclass[Conforme_PPWR_2030],MATCH(A605,tbl_recyclass[ProductId],0))="Sim","Conforme (autoavaliação)",IF(INDEX(tbl_recyclass[Conforme_PPWR_2030],MATCH(A605,tbl_recyclass[ProductId],0))="Não","Não conforme em 2030","Isento até 2035")),IF(B605="EU-ENV-003",IF(INDEX(tbl_recyclass[Conforme_Art7_2030],MATCH(A605,tbl_recyclass[ProductId],0))="Sim","Conforme (meta 2030)",IF(INDEX(tbl_recyclass[Conforme_Art7_2030],MATCH(A605,tbl_recyclass[ProductId],0))="Não","Lacuna face à meta 2030","Isento")),IF(B605="EU-ENV-011",IF(INDEX(tbl_familias_ppwr[Metais_Pesados_Evidencia],MATCH(INDEX(tbl_recyclass[Familia_PPWR],MATCH(A605,tbl_recyclass[ProductId],0)),tbl_familias_ppwr[ID_Familia],0))="Em falta","Lacuna","Conforme"),IF(B605="EU-ENV-013",IF(INDEX(tbl_familias_ppwr[Declaracao_UE],MATCH(INDEX(tbl_recyclass[Familia_PPWR],MATCH(A605,tbl_recyclass[ProductId],0)),tbl_familias_ppwr[ID_Familia],0))="Sim","Conforme","Lacuna"),G605)))),G605))</f>
        <v>Não aplicável</v>
      </c>
      <c r="I605" s="33" t="str">
        <f t="shared" si="9"/>
        <v>Não aplicável</v>
      </c>
      <c r="J605" s="26"/>
    </row>
    <row r="606" spans="1:10" ht="16.05" customHeight="1" x14ac:dyDescent="0.3">
      <c r="A606" s="26" t="s">
        <v>679</v>
      </c>
      <c r="B606" s="26" t="s">
        <v>1170</v>
      </c>
      <c r="C606" s="33" t="str">
        <f>IFERROR(INDEX(tbl_requisitos_emb[Tema],MATCH(B606,tbl_requisitos_emb[ID_Req],0)),"")</f>
        <v>Boas práticas de fabrico FCM</v>
      </c>
      <c r="D606" s="33" t="str">
        <f>IFERROR(INDEX(tbl_recyclass[Segmento],MATCH(A606,tbl_recyclass[ProductId],0)),"")</f>
        <v>Cosmética e higiene pessoal</v>
      </c>
      <c r="E606" s="26" t="s">
        <v>904</v>
      </c>
      <c r="F606" s="26" t="s">
        <v>1450</v>
      </c>
      <c r="G606" s="26" t="s">
        <v>1143</v>
      </c>
      <c r="H606" s="33" t="str">
        <f>IF(E606="Não","Não aplicável",IFERROR(IF(B606="EU-ENV-002",IF(INDEX(tbl_recyclass[Conforme_PPWR_2030],MATCH(A606,tbl_recyclass[ProductId],0))="Sim","Conforme (autoavaliação)",IF(INDEX(tbl_recyclass[Conforme_PPWR_2030],MATCH(A606,tbl_recyclass[ProductId],0))="Não","Não conforme em 2030","Isento até 2035")),IF(B606="EU-ENV-003",IF(INDEX(tbl_recyclass[Conforme_Art7_2030],MATCH(A606,tbl_recyclass[ProductId],0))="Sim","Conforme (meta 2030)",IF(INDEX(tbl_recyclass[Conforme_Art7_2030],MATCH(A606,tbl_recyclass[ProductId],0))="Não","Lacuna face à meta 2030","Isento")),IF(B606="EU-ENV-011",IF(INDEX(tbl_familias_ppwr[Metais_Pesados_Evidencia],MATCH(INDEX(tbl_recyclass[Familia_PPWR],MATCH(A606,tbl_recyclass[ProductId],0)),tbl_familias_ppwr[ID_Familia],0))="Em falta","Lacuna","Conforme"),IF(B606="EU-ENV-013",IF(INDEX(tbl_familias_ppwr[Declaracao_UE],MATCH(INDEX(tbl_recyclass[Familia_PPWR],MATCH(A606,tbl_recyclass[ProductId],0)),tbl_familias_ppwr[ID_Familia],0))="Sim","Conforme","Lacuna"),G606)))),G606))</f>
        <v>Não aplicável</v>
      </c>
      <c r="I606" s="33" t="str">
        <f t="shared" si="9"/>
        <v>Não aplicável</v>
      </c>
      <c r="J606" s="26"/>
    </row>
    <row r="607" spans="1:10" ht="16.05" customHeight="1" x14ac:dyDescent="0.3">
      <c r="A607" s="26" t="s">
        <v>679</v>
      </c>
      <c r="B607" s="26" t="s">
        <v>1179</v>
      </c>
      <c r="C607" s="33" t="str">
        <f>IFERROR(INDEX(tbl_requisitos_emb[Tema],MATCH(B607,tbl_requisitos_emb[ID_Req],0)),"")</f>
        <v>Bisfenol A e bisfenóis perigosos</v>
      </c>
      <c r="D607" s="33" t="str">
        <f>IFERROR(INDEX(tbl_recyclass[Segmento],MATCH(A607,tbl_recyclass[ProductId],0)),"")</f>
        <v>Cosmética e higiene pessoal</v>
      </c>
      <c r="E607" s="26" t="s">
        <v>904</v>
      </c>
      <c r="F607" s="26" t="s">
        <v>1450</v>
      </c>
      <c r="G607" s="26" t="s">
        <v>1143</v>
      </c>
      <c r="H607" s="33" t="str">
        <f>IF(E607="Não","Não aplicável",IFERROR(IF(B607="EU-ENV-002",IF(INDEX(tbl_recyclass[Conforme_PPWR_2030],MATCH(A607,tbl_recyclass[ProductId],0))="Sim","Conforme (autoavaliação)",IF(INDEX(tbl_recyclass[Conforme_PPWR_2030],MATCH(A607,tbl_recyclass[ProductId],0))="Não","Não conforme em 2030","Isento até 2035")),IF(B607="EU-ENV-003",IF(INDEX(tbl_recyclass[Conforme_Art7_2030],MATCH(A607,tbl_recyclass[ProductId],0))="Sim","Conforme (meta 2030)",IF(INDEX(tbl_recyclass[Conforme_Art7_2030],MATCH(A607,tbl_recyclass[ProductId],0))="Não","Lacuna face à meta 2030","Isento")),IF(B607="EU-ENV-011",IF(INDEX(tbl_familias_ppwr[Metais_Pesados_Evidencia],MATCH(INDEX(tbl_recyclass[Familia_PPWR],MATCH(A607,tbl_recyclass[ProductId],0)),tbl_familias_ppwr[ID_Familia],0))="Em falta","Lacuna","Conforme"),IF(B607="EU-ENV-013",IF(INDEX(tbl_familias_ppwr[Declaracao_UE],MATCH(INDEX(tbl_recyclass[Familia_PPWR],MATCH(A607,tbl_recyclass[ProductId],0)),tbl_familias_ppwr[ID_Familia],0))="Sim","Conforme","Lacuna"),G607)))),G607))</f>
        <v>Não aplicável</v>
      </c>
      <c r="I607" s="33" t="str">
        <f t="shared" si="9"/>
        <v>Não aplicável</v>
      </c>
      <c r="J607" s="26"/>
    </row>
    <row r="608" spans="1:10" ht="16.05" customHeight="1" x14ac:dyDescent="0.3">
      <c r="A608" s="26" t="s">
        <v>679</v>
      </c>
      <c r="B608" s="26" t="s">
        <v>1188</v>
      </c>
      <c r="C608" s="33" t="str">
        <f>IFERROR(INDEX(tbl_requisitos_emb[Tema],MATCH(B608,tbl_requisitos_emb[ID_Req],0)),"")</f>
        <v>Plásticos em contacto com alimentos</v>
      </c>
      <c r="D608" s="33" t="str">
        <f>IFERROR(INDEX(tbl_recyclass[Segmento],MATCH(A608,tbl_recyclass[ProductId],0)),"")</f>
        <v>Cosmética e higiene pessoal</v>
      </c>
      <c r="E608" s="26" t="s">
        <v>904</v>
      </c>
      <c r="F608" s="26" t="s">
        <v>1450</v>
      </c>
      <c r="G608" s="26" t="s">
        <v>1143</v>
      </c>
      <c r="H608" s="33" t="str">
        <f>IF(E608="Não","Não aplicável",IFERROR(IF(B608="EU-ENV-002",IF(INDEX(tbl_recyclass[Conforme_PPWR_2030],MATCH(A608,tbl_recyclass[ProductId],0))="Sim","Conforme (autoavaliação)",IF(INDEX(tbl_recyclass[Conforme_PPWR_2030],MATCH(A608,tbl_recyclass[ProductId],0))="Não","Não conforme em 2030","Isento até 2035")),IF(B608="EU-ENV-003",IF(INDEX(tbl_recyclass[Conforme_Art7_2030],MATCH(A608,tbl_recyclass[ProductId],0))="Sim","Conforme (meta 2030)",IF(INDEX(tbl_recyclass[Conforme_Art7_2030],MATCH(A608,tbl_recyclass[ProductId],0))="Não","Lacuna face à meta 2030","Isento")),IF(B608="EU-ENV-011",IF(INDEX(tbl_familias_ppwr[Metais_Pesados_Evidencia],MATCH(INDEX(tbl_recyclass[Familia_PPWR],MATCH(A608,tbl_recyclass[ProductId],0)),tbl_familias_ppwr[ID_Familia],0))="Em falta","Lacuna","Conforme"),IF(B608="EU-ENV-013",IF(INDEX(tbl_familias_ppwr[Declaracao_UE],MATCH(INDEX(tbl_recyclass[Familia_PPWR],MATCH(A608,tbl_recyclass[ProductId],0)),tbl_familias_ppwr[ID_Familia],0))="Sim","Conforme","Lacuna"),G608)))),G608))</f>
        <v>Não aplicável</v>
      </c>
      <c r="I608" s="33" t="str">
        <f t="shared" si="9"/>
        <v>Não aplicável</v>
      </c>
      <c r="J608" s="26"/>
    </row>
    <row r="609" spans="1:10" ht="16.05" customHeight="1" x14ac:dyDescent="0.3">
      <c r="A609" s="26" t="s">
        <v>679</v>
      </c>
      <c r="B609" s="26" t="s">
        <v>1212</v>
      </c>
      <c r="C609" s="33" t="str">
        <f>IFERROR(INDEX(tbl_requisitos_emb[Tema],MATCH(B609,tbl_requisitos_emb[ID_Req],0)),"")</f>
        <v>Segurança do produto cosmético</v>
      </c>
      <c r="D609" s="33" t="str">
        <f>IFERROR(INDEX(tbl_recyclass[Segmento],MATCH(A609,tbl_recyclass[ProductId],0)),"")</f>
        <v>Cosmética e higiene pessoal</v>
      </c>
      <c r="E609" s="26" t="s">
        <v>901</v>
      </c>
      <c r="F609" s="26" t="s">
        <v>1449</v>
      </c>
      <c r="G609" s="26" t="s">
        <v>1033</v>
      </c>
      <c r="H609" s="33" t="str">
        <f>IF(E609="Não","Não aplicável",IFERROR(IF(B609="EU-ENV-002",IF(INDEX(tbl_recyclass[Conforme_PPWR_2030],MATCH(A609,tbl_recyclass[ProductId],0))="Sim","Conforme (autoavaliação)",IF(INDEX(tbl_recyclass[Conforme_PPWR_2030],MATCH(A609,tbl_recyclass[ProductId],0))="Não","Não conforme em 2030","Isento até 2035")),IF(B609="EU-ENV-003",IF(INDEX(tbl_recyclass[Conforme_Art7_2030],MATCH(A609,tbl_recyclass[ProductId],0))="Sim","Conforme (meta 2030)",IF(INDEX(tbl_recyclass[Conforme_Art7_2030],MATCH(A609,tbl_recyclass[ProductId],0))="Não","Lacuna face à meta 2030","Isento")),IF(B609="EU-ENV-011",IF(INDEX(tbl_familias_ppwr[Metais_Pesados_Evidencia],MATCH(INDEX(tbl_recyclass[Familia_PPWR],MATCH(A609,tbl_recyclass[ProductId],0)),tbl_familias_ppwr[ID_Familia],0))="Em falta","Lacuna","Conforme"),IF(B609="EU-ENV-013",IF(INDEX(tbl_familias_ppwr[Declaracao_UE],MATCH(INDEX(tbl_recyclass[Familia_PPWR],MATCH(A609,tbl_recyclass[ProductId],0)),tbl_familias_ppwr[ID_Familia],0))="Sim","Conforme","Lacuna"),G609)))),G609))</f>
        <v>Conforme</v>
      </c>
      <c r="I609" s="33" t="str">
        <f t="shared" si="9"/>
        <v>Conforme</v>
      </c>
      <c r="J609" s="26" t="s">
        <v>1221</v>
      </c>
    </row>
    <row r="610" spans="1:10" ht="16.05" customHeight="1" x14ac:dyDescent="0.3">
      <c r="A610" s="26" t="s">
        <v>679</v>
      </c>
      <c r="B610" s="26" t="s">
        <v>1224</v>
      </c>
      <c r="C610" s="33" t="str">
        <f>IFERROR(INDEX(tbl_requisitos_emb[Tema],MATCH(B610,tbl_requisitos_emb[ID_Req],0)),"")</f>
        <v>Materiais e impurezas</v>
      </c>
      <c r="D610" s="33" t="str">
        <f>IFERROR(INDEX(tbl_recyclass[Segmento],MATCH(A610,tbl_recyclass[ProductId],0)),"")</f>
        <v>Cosmética e higiene pessoal</v>
      </c>
      <c r="E610" s="26" t="s">
        <v>901</v>
      </c>
      <c r="F610" s="26" t="s">
        <v>1449</v>
      </c>
      <c r="G610" s="26" t="s">
        <v>978</v>
      </c>
      <c r="H610" s="33" t="str">
        <f>IF(E610="Não","Não aplicável",IFERROR(IF(B610="EU-ENV-002",IF(INDEX(tbl_recyclass[Conforme_PPWR_2030],MATCH(A610,tbl_recyclass[ProductId],0))="Sim","Conforme (autoavaliação)",IF(INDEX(tbl_recyclass[Conforme_PPWR_2030],MATCH(A610,tbl_recyclass[ProductId],0))="Não","Não conforme em 2030","Isento até 2035")),IF(B610="EU-ENV-003",IF(INDEX(tbl_recyclass[Conforme_Art7_2030],MATCH(A610,tbl_recyclass[ProductId],0))="Sim","Conforme (meta 2030)",IF(INDEX(tbl_recyclass[Conforme_Art7_2030],MATCH(A610,tbl_recyclass[ProductId],0))="Não","Lacuna face à meta 2030","Isento")),IF(B610="EU-ENV-011",IF(INDEX(tbl_familias_ppwr[Metais_Pesados_Evidencia],MATCH(INDEX(tbl_recyclass[Familia_PPWR],MATCH(A610,tbl_recyclass[ProductId],0)),tbl_familias_ppwr[ID_Familia],0))="Em falta","Lacuna","Conforme"),IF(B610="EU-ENV-013",IF(INDEX(tbl_familias_ppwr[Declaracao_UE],MATCH(INDEX(tbl_recyclass[Familia_PPWR],MATCH(A610,tbl_recyclass[ProductId],0)),tbl_familias_ppwr[ID_Familia],0))="Sim","Conforme","Lacuna"),G610)))),G610))</f>
        <v>Parcial</v>
      </c>
      <c r="I610" s="33" t="str">
        <f t="shared" si="9"/>
        <v>Parcial</v>
      </c>
      <c r="J610" s="26" t="s">
        <v>1228</v>
      </c>
    </row>
    <row r="611" spans="1:10" ht="16.05" customHeight="1" x14ac:dyDescent="0.3">
      <c r="A611" s="26" t="s">
        <v>679</v>
      </c>
      <c r="B611" s="26" t="s">
        <v>1240</v>
      </c>
      <c r="C611" s="33" t="str">
        <f>IFERROR(INDEX(tbl_requisitos_emb[Tema],MATCH(B611,tbl_requisitos_emb[ID_Req],0)),"")</f>
        <v>Compatibilidade embalagem–produto</v>
      </c>
      <c r="D611" s="33" t="str">
        <f>IFERROR(INDEX(tbl_recyclass[Segmento],MATCH(A611,tbl_recyclass[ProductId],0)),"")</f>
        <v>Cosmética e higiene pessoal</v>
      </c>
      <c r="E611" s="26" t="s">
        <v>901</v>
      </c>
      <c r="F611" s="26" t="s">
        <v>1449</v>
      </c>
      <c r="G611" s="26" t="s">
        <v>1033</v>
      </c>
      <c r="H611" s="33" t="str">
        <f>IF(E611="Não","Não aplicável",IFERROR(IF(B611="EU-ENV-002",IF(INDEX(tbl_recyclass[Conforme_PPWR_2030],MATCH(A611,tbl_recyclass[ProductId],0))="Sim","Conforme (autoavaliação)",IF(INDEX(tbl_recyclass[Conforme_PPWR_2030],MATCH(A611,tbl_recyclass[ProductId],0))="Não","Não conforme em 2030","Isento até 2035")),IF(B611="EU-ENV-003",IF(INDEX(tbl_recyclass[Conforme_Art7_2030],MATCH(A611,tbl_recyclass[ProductId],0))="Sim","Conforme (meta 2030)",IF(INDEX(tbl_recyclass[Conforme_Art7_2030],MATCH(A611,tbl_recyclass[ProductId],0))="Não","Lacuna face à meta 2030","Isento")),IF(B611="EU-ENV-011",IF(INDEX(tbl_familias_ppwr[Metais_Pesados_Evidencia],MATCH(INDEX(tbl_recyclass[Familia_PPWR],MATCH(A611,tbl_recyclass[ProductId],0)),tbl_familias_ppwr[ID_Familia],0))="Em falta","Lacuna","Conforme"),IF(B611="EU-ENV-013",IF(INDEX(tbl_familias_ppwr[Declaracao_UE],MATCH(INDEX(tbl_recyclass[Familia_PPWR],MATCH(A611,tbl_recyclass[ProductId],0)),tbl_familias_ppwr[ID_Familia],0))="Sim","Conforme","Lacuna"),G611)))),G611))</f>
        <v>Conforme</v>
      </c>
      <c r="I611" s="33" t="str">
        <f t="shared" si="9"/>
        <v>Conforme</v>
      </c>
      <c r="J611" s="26" t="s">
        <v>1244</v>
      </c>
    </row>
    <row r="612" spans="1:10" ht="16.05" customHeight="1" x14ac:dyDescent="0.3">
      <c r="A612" s="26" t="s">
        <v>679</v>
      </c>
      <c r="B612" s="26" t="s">
        <v>1252</v>
      </c>
      <c r="C612" s="33" t="str">
        <f>IFERROR(INDEX(tbl_requisitos_emb[Tema],MATCH(B612,tbl_requisitos_emb[ID_Req],0)),"")</f>
        <v>Medicamentos de uso humano</v>
      </c>
      <c r="D612" s="33" t="str">
        <f>IFERROR(INDEX(tbl_recyclass[Segmento],MATCH(A612,tbl_recyclass[ProductId],0)),"")</f>
        <v>Cosmética e higiene pessoal</v>
      </c>
      <c r="E612" s="26" t="s">
        <v>904</v>
      </c>
      <c r="F612" s="26" t="s">
        <v>1451</v>
      </c>
      <c r="G612" s="26" t="s">
        <v>1143</v>
      </c>
      <c r="H612" s="33" t="str">
        <f>IF(E612="Não","Não aplicável",IFERROR(IF(B612="EU-ENV-002",IF(INDEX(tbl_recyclass[Conforme_PPWR_2030],MATCH(A612,tbl_recyclass[ProductId],0))="Sim","Conforme (autoavaliação)",IF(INDEX(tbl_recyclass[Conforme_PPWR_2030],MATCH(A612,tbl_recyclass[ProductId],0))="Não","Não conforme em 2030","Isento até 2035")),IF(B612="EU-ENV-003",IF(INDEX(tbl_recyclass[Conforme_Art7_2030],MATCH(A612,tbl_recyclass[ProductId],0))="Sim","Conforme (meta 2030)",IF(INDEX(tbl_recyclass[Conforme_Art7_2030],MATCH(A612,tbl_recyclass[ProductId],0))="Não","Lacuna face à meta 2030","Isento")),IF(B612="EU-ENV-011",IF(INDEX(tbl_familias_ppwr[Metais_Pesados_Evidencia],MATCH(INDEX(tbl_recyclass[Familia_PPWR],MATCH(A612,tbl_recyclass[ProductId],0)),tbl_familias_ppwr[ID_Familia],0))="Em falta","Lacuna","Conforme"),IF(B612="EU-ENV-013",IF(INDEX(tbl_familias_ppwr[Declaracao_UE],MATCH(INDEX(tbl_recyclass[Familia_PPWR],MATCH(A612,tbl_recyclass[ProductId],0)),tbl_familias_ppwr[ID_Familia],0))="Sim","Conforme","Lacuna"),G612)))),G612))</f>
        <v>Não aplicável</v>
      </c>
      <c r="I612" s="33" t="str">
        <f t="shared" si="9"/>
        <v>Não aplicável</v>
      </c>
      <c r="J612" s="26"/>
    </row>
    <row r="613" spans="1:10" ht="16.05" customHeight="1" x14ac:dyDescent="0.3">
      <c r="A613" s="26" t="s">
        <v>679</v>
      </c>
      <c r="B613" s="26" t="s">
        <v>1268</v>
      </c>
      <c r="C613" s="33" t="str">
        <f>IFERROR(INDEX(tbl_requisitos_emb[Tema],MATCH(B613,tbl_requisitos_emb[ID_Req],0)),"")</f>
        <v>Dispositivos de segurança</v>
      </c>
      <c r="D613" s="33" t="str">
        <f>IFERROR(INDEX(tbl_recyclass[Segmento],MATCH(A613,tbl_recyclass[ProductId],0)),"")</f>
        <v>Cosmética e higiene pessoal</v>
      </c>
      <c r="E613" s="26" t="s">
        <v>904</v>
      </c>
      <c r="F613" s="26" t="s">
        <v>1451</v>
      </c>
      <c r="G613" s="26" t="s">
        <v>1143</v>
      </c>
      <c r="H613" s="33" t="str">
        <f>IF(E613="Não","Não aplicável",IFERROR(IF(B613="EU-ENV-002",IF(INDEX(tbl_recyclass[Conforme_PPWR_2030],MATCH(A613,tbl_recyclass[ProductId],0))="Sim","Conforme (autoavaliação)",IF(INDEX(tbl_recyclass[Conforme_PPWR_2030],MATCH(A613,tbl_recyclass[ProductId],0))="Não","Não conforme em 2030","Isento até 2035")),IF(B613="EU-ENV-003",IF(INDEX(tbl_recyclass[Conforme_Art7_2030],MATCH(A613,tbl_recyclass[ProductId],0))="Sim","Conforme (meta 2030)",IF(INDEX(tbl_recyclass[Conforme_Art7_2030],MATCH(A613,tbl_recyclass[ProductId],0))="Não","Lacuna face à meta 2030","Isento")),IF(B613="EU-ENV-011",IF(INDEX(tbl_familias_ppwr[Metais_Pesados_Evidencia],MATCH(INDEX(tbl_recyclass[Familia_PPWR],MATCH(A613,tbl_recyclass[ProductId],0)),tbl_familias_ppwr[ID_Familia],0))="Em falta","Lacuna","Conforme"),IF(B613="EU-ENV-013",IF(INDEX(tbl_familias_ppwr[Declaracao_UE],MATCH(INDEX(tbl_recyclass[Familia_PPWR],MATCH(A613,tbl_recyclass[ProductId],0)),tbl_familias_ppwr[ID_Familia],0))="Sim","Conforme","Lacuna"),G613)))),G613))</f>
        <v>Não aplicável</v>
      </c>
      <c r="I613" s="33" t="str">
        <f t="shared" si="9"/>
        <v>Não aplicável</v>
      </c>
      <c r="J613" s="26"/>
    </row>
    <row r="614" spans="1:10" ht="16.05" customHeight="1" x14ac:dyDescent="0.3">
      <c r="A614" s="26" t="s">
        <v>679</v>
      </c>
      <c r="B614" s="26" t="s">
        <v>1285</v>
      </c>
      <c r="C614" s="33" t="str">
        <f>IFERROR(INDEX(tbl_requisitos_emb[Tema],MATCH(B614,tbl_requisitos_emb[ID_Req],0)),"")</f>
        <v>Materiais plásticos de acondicionamento primário</v>
      </c>
      <c r="D614" s="33" t="str">
        <f>IFERROR(INDEX(tbl_recyclass[Segmento],MATCH(A614,tbl_recyclass[ProductId],0)),"")</f>
        <v>Cosmética e higiene pessoal</v>
      </c>
      <c r="E614" s="26" t="s">
        <v>904</v>
      </c>
      <c r="F614" s="26" t="s">
        <v>1451</v>
      </c>
      <c r="G614" s="26" t="s">
        <v>1143</v>
      </c>
      <c r="H614" s="33" t="str">
        <f>IF(E614="Não","Não aplicável",IFERROR(IF(B614="EU-ENV-002",IF(INDEX(tbl_recyclass[Conforme_PPWR_2030],MATCH(A614,tbl_recyclass[ProductId],0))="Sim","Conforme (autoavaliação)",IF(INDEX(tbl_recyclass[Conforme_PPWR_2030],MATCH(A614,tbl_recyclass[ProductId],0))="Não","Não conforme em 2030","Isento até 2035")),IF(B614="EU-ENV-003",IF(INDEX(tbl_recyclass[Conforme_Art7_2030],MATCH(A614,tbl_recyclass[ProductId],0))="Sim","Conforme (meta 2030)",IF(INDEX(tbl_recyclass[Conforme_Art7_2030],MATCH(A614,tbl_recyclass[ProductId],0))="Não","Lacuna face à meta 2030","Isento")),IF(B614="EU-ENV-011",IF(INDEX(tbl_familias_ppwr[Metais_Pesados_Evidencia],MATCH(INDEX(tbl_recyclass[Familia_PPWR],MATCH(A614,tbl_recyclass[ProductId],0)),tbl_familias_ppwr[ID_Familia],0))="Em falta","Lacuna","Conforme"),IF(B614="EU-ENV-013",IF(INDEX(tbl_familias_ppwr[Declaracao_UE],MATCH(INDEX(tbl_recyclass[Familia_PPWR],MATCH(A614,tbl_recyclass[ProductId],0)),tbl_familias_ppwr[ID_Familia],0))="Sim","Conforme","Lacuna"),G614)))),G614))</f>
        <v>Não aplicável</v>
      </c>
      <c r="I614" s="33" t="str">
        <f t="shared" si="9"/>
        <v>Não aplicável</v>
      </c>
      <c r="J614" s="26"/>
    </row>
    <row r="615" spans="1:10" ht="16.05" customHeight="1" x14ac:dyDescent="0.3">
      <c r="A615" s="26" t="s">
        <v>679</v>
      </c>
      <c r="B615" s="26" t="s">
        <v>1293</v>
      </c>
      <c r="C615" s="33" t="str">
        <f>IFERROR(INDEX(tbl_requisitos_emb[Tema],MATCH(B615,tbl_requisitos_emb[ID_Req],0)),"")</f>
        <v>Isenções PPWR</v>
      </c>
      <c r="D615" s="33" t="str">
        <f>IFERROR(INDEX(tbl_recyclass[Segmento],MATCH(A615,tbl_recyclass[ProductId],0)),"")</f>
        <v>Cosmética e higiene pessoal</v>
      </c>
      <c r="E615" s="26" t="s">
        <v>904</v>
      </c>
      <c r="F615" s="26" t="s">
        <v>1451</v>
      </c>
      <c r="G615" s="26" t="s">
        <v>1143</v>
      </c>
      <c r="H615" s="33" t="str">
        <f>IF(E615="Não","Não aplicável",IFERROR(IF(B615="EU-ENV-002",IF(INDEX(tbl_recyclass[Conforme_PPWR_2030],MATCH(A615,tbl_recyclass[ProductId],0))="Sim","Conforme (autoavaliação)",IF(INDEX(tbl_recyclass[Conforme_PPWR_2030],MATCH(A615,tbl_recyclass[ProductId],0))="Não","Não conforme em 2030","Isento até 2035")),IF(B615="EU-ENV-003",IF(INDEX(tbl_recyclass[Conforme_Art7_2030],MATCH(A615,tbl_recyclass[ProductId],0))="Sim","Conforme (meta 2030)",IF(INDEX(tbl_recyclass[Conforme_Art7_2030],MATCH(A615,tbl_recyclass[ProductId],0))="Não","Lacuna face à meta 2030","Isento")),IF(B615="EU-ENV-011",IF(INDEX(tbl_familias_ppwr[Metais_Pesados_Evidencia],MATCH(INDEX(tbl_recyclass[Familia_PPWR],MATCH(A615,tbl_recyclass[ProductId],0)),tbl_familias_ppwr[ID_Familia],0))="Em falta","Lacuna","Conforme"),IF(B615="EU-ENV-013",IF(INDEX(tbl_familias_ppwr[Declaracao_UE],MATCH(INDEX(tbl_recyclass[Familia_PPWR],MATCH(A615,tbl_recyclass[ProductId],0)),tbl_familias_ppwr[ID_Familia],0))="Sim","Conforme","Lacuna"),G615)))),G615))</f>
        <v>Não aplicável</v>
      </c>
      <c r="I615" s="33" t="str">
        <f t="shared" si="9"/>
        <v>Não aplicável</v>
      </c>
      <c r="J615" s="26"/>
    </row>
    <row r="616" spans="1:10" ht="16.05" customHeight="1" x14ac:dyDescent="0.3">
      <c r="A616" s="26" t="s">
        <v>679</v>
      </c>
      <c r="B616" s="26" t="s">
        <v>1357</v>
      </c>
      <c r="C616" s="33" t="str">
        <f>IFERROR(INDEX(tbl_requisitos_emb[Tema],MATCH(B616,tbl_requisitos_emb[ID_Req],0)),"")</f>
        <v>Identificação de plásticos</v>
      </c>
      <c r="D616" s="33" t="str">
        <f>IFERROR(INDEX(tbl_recyclass[Segmento],MATCH(A616,tbl_recyclass[ProductId],0)),"")</f>
        <v>Cosmética e higiene pessoal</v>
      </c>
      <c r="E616" s="26" t="s">
        <v>901</v>
      </c>
      <c r="F616" s="26" t="s">
        <v>1449</v>
      </c>
      <c r="G616" s="26" t="s">
        <v>978</v>
      </c>
      <c r="H616" s="33" t="str">
        <f>IF(E616="Não","Não aplicável",IFERROR(IF(B616="EU-ENV-002",IF(INDEX(tbl_recyclass[Conforme_PPWR_2030],MATCH(A616,tbl_recyclass[ProductId],0))="Sim","Conforme (autoavaliação)",IF(INDEX(tbl_recyclass[Conforme_PPWR_2030],MATCH(A616,tbl_recyclass[ProductId],0))="Não","Não conforme em 2030","Isento até 2035")),IF(B616="EU-ENV-003",IF(INDEX(tbl_recyclass[Conforme_Art7_2030],MATCH(A616,tbl_recyclass[ProductId],0))="Sim","Conforme (meta 2030)",IF(INDEX(tbl_recyclass[Conforme_Art7_2030],MATCH(A616,tbl_recyclass[ProductId],0))="Não","Lacuna face à meta 2030","Isento")),IF(B616="EU-ENV-011",IF(INDEX(tbl_familias_ppwr[Metais_Pesados_Evidencia],MATCH(INDEX(tbl_recyclass[Familia_PPWR],MATCH(A616,tbl_recyclass[ProductId],0)),tbl_familias_ppwr[ID_Familia],0))="Em falta","Lacuna","Conforme"),IF(B616="EU-ENV-013",IF(INDEX(tbl_familias_ppwr[Declaracao_UE],MATCH(INDEX(tbl_recyclass[Familia_PPWR],MATCH(A616,tbl_recyclass[ProductId],0)),tbl_familias_ppwr[ID_Familia],0))="Sim","Conforme","Lacuna"),G616)))),G616))</f>
        <v>Parcial</v>
      </c>
      <c r="I616" s="33" t="str">
        <f t="shared" si="9"/>
        <v>Parcial</v>
      </c>
      <c r="J616" s="26" t="s">
        <v>1362</v>
      </c>
    </row>
    <row r="617" spans="1:10" ht="16.05" customHeight="1" x14ac:dyDescent="0.3">
      <c r="A617" s="26" t="s">
        <v>679</v>
      </c>
      <c r="B617" s="26" t="s">
        <v>1385</v>
      </c>
      <c r="C617" s="33" t="str">
        <f>IFERROR(INDEX(tbl_requisitos_emb[Tema],MATCH(B617,tbl_requisitos_emb[ID_Req],0)),"")</f>
        <v>Reciclabilidade (voluntária)</v>
      </c>
      <c r="D617" s="33" t="str">
        <f>IFERROR(INDEX(tbl_recyclass[Segmento],MATCH(A617,tbl_recyclass[ProductId],0)),"")</f>
        <v>Cosmética e higiene pessoal</v>
      </c>
      <c r="E617" s="26" t="s">
        <v>901</v>
      </c>
      <c r="F617" s="26" t="s">
        <v>1449</v>
      </c>
      <c r="G617" s="26" t="s">
        <v>978</v>
      </c>
      <c r="H617" s="33" t="str">
        <f>IF(E617="Não","Não aplicável",IFERROR(IF(B617="EU-ENV-002",IF(INDEX(tbl_recyclass[Conforme_PPWR_2030],MATCH(A617,tbl_recyclass[ProductId],0))="Sim","Conforme (autoavaliação)",IF(INDEX(tbl_recyclass[Conforme_PPWR_2030],MATCH(A617,tbl_recyclass[ProductId],0))="Não","Não conforme em 2030","Isento até 2035")),IF(B617="EU-ENV-003",IF(INDEX(tbl_recyclass[Conforme_Art7_2030],MATCH(A617,tbl_recyclass[ProductId],0))="Sim","Conforme (meta 2030)",IF(INDEX(tbl_recyclass[Conforme_Art7_2030],MATCH(A617,tbl_recyclass[ProductId],0))="Não","Lacuna face à meta 2030","Isento")),IF(B617="EU-ENV-011",IF(INDEX(tbl_familias_ppwr[Metais_Pesados_Evidencia],MATCH(INDEX(tbl_recyclass[Familia_PPWR],MATCH(A617,tbl_recyclass[ProductId],0)),tbl_familias_ppwr[ID_Familia],0))="Em falta","Lacuna","Conforme"),IF(B617="EU-ENV-013",IF(INDEX(tbl_familias_ppwr[Declaracao_UE],MATCH(INDEX(tbl_recyclass[Familia_PPWR],MATCH(A617,tbl_recyclass[ProductId],0)),tbl_familias_ppwr[ID_Familia],0))="Sim","Conforme","Lacuna"),G617)))),G617))</f>
        <v>Parcial</v>
      </c>
      <c r="I617" s="33" t="str">
        <f t="shared" si="9"/>
        <v>Parcial</v>
      </c>
      <c r="J617" s="26" t="s">
        <v>1389</v>
      </c>
    </row>
    <row r="618" spans="1:10" ht="16.05" customHeight="1" x14ac:dyDescent="0.3">
      <c r="A618" s="26" t="s">
        <v>681</v>
      </c>
      <c r="B618" s="26" t="s">
        <v>984</v>
      </c>
      <c r="C618" s="33" t="str">
        <f>IFERROR(INDEX(tbl_requisitos_emb[Tema],MATCH(B618,tbl_requisitos_emb[ID_Req],0)),"")</f>
        <v>Conceção para reciclagem</v>
      </c>
      <c r="D618" s="33" t="str">
        <f>IFERROR(INDEX(tbl_recyclass[Segmento],MATCH(A618,tbl_recyclass[ProductId],0)),"")</f>
        <v>Cosmética e higiene pessoal</v>
      </c>
      <c r="E618" s="26" t="s">
        <v>901</v>
      </c>
      <c r="F618" s="26" t="s">
        <v>1449</v>
      </c>
      <c r="G618" s="26" t="s">
        <v>978</v>
      </c>
      <c r="H618" s="33" t="str">
        <f>IF(E618="Não","Não aplicável",IFERROR(IF(B618="EU-ENV-002",IF(INDEX(tbl_recyclass[Conforme_PPWR_2030],MATCH(A618,tbl_recyclass[ProductId],0))="Sim","Conforme (autoavaliação)",IF(INDEX(tbl_recyclass[Conforme_PPWR_2030],MATCH(A618,tbl_recyclass[ProductId],0))="Não","Não conforme em 2030","Isento até 2035")),IF(B618="EU-ENV-003",IF(INDEX(tbl_recyclass[Conforme_Art7_2030],MATCH(A618,tbl_recyclass[ProductId],0))="Sim","Conforme (meta 2030)",IF(INDEX(tbl_recyclass[Conforme_Art7_2030],MATCH(A618,tbl_recyclass[ProductId],0))="Não","Lacuna face à meta 2030","Isento")),IF(B618="EU-ENV-011",IF(INDEX(tbl_familias_ppwr[Metais_Pesados_Evidencia],MATCH(INDEX(tbl_recyclass[Familia_PPWR],MATCH(A618,tbl_recyclass[ProductId],0)),tbl_familias_ppwr[ID_Familia],0))="Em falta","Lacuna","Conforme"),IF(B618="EU-ENV-013",IF(INDEX(tbl_familias_ppwr[Declaracao_UE],MATCH(INDEX(tbl_recyclass[Familia_PPWR],MATCH(A618,tbl_recyclass[ProductId],0)),tbl_familias_ppwr[ID_Familia],0))="Sim","Conforme","Lacuna"),G618)))),G618))</f>
        <v>Conforme (autoavaliação)</v>
      </c>
      <c r="I618" s="33" t="str">
        <f t="shared" si="9"/>
        <v>Conforme</v>
      </c>
      <c r="J618" s="26" t="s">
        <v>991</v>
      </c>
    </row>
    <row r="619" spans="1:10" ht="16.05" customHeight="1" x14ac:dyDescent="0.3">
      <c r="A619" s="26" t="s">
        <v>681</v>
      </c>
      <c r="B619" s="26" t="s">
        <v>997</v>
      </c>
      <c r="C619" s="33" t="str">
        <f>IFERROR(INDEX(tbl_requisitos_emb[Tema],MATCH(B619,tbl_requisitos_emb[ID_Req],0)),"")</f>
        <v>Conteúdo reciclado</v>
      </c>
      <c r="D619" s="33" t="str">
        <f>IFERROR(INDEX(tbl_recyclass[Segmento],MATCH(A619,tbl_recyclass[ProductId],0)),"")</f>
        <v>Cosmética e higiene pessoal</v>
      </c>
      <c r="E619" s="26" t="s">
        <v>901</v>
      </c>
      <c r="F619" s="26" t="s">
        <v>1449</v>
      </c>
      <c r="G619" s="26" t="s">
        <v>978</v>
      </c>
      <c r="H619" s="33" t="str">
        <f>IF(E619="Não","Não aplicável",IFERROR(IF(B619="EU-ENV-002",IF(INDEX(tbl_recyclass[Conforme_PPWR_2030],MATCH(A619,tbl_recyclass[ProductId],0))="Sim","Conforme (autoavaliação)",IF(INDEX(tbl_recyclass[Conforme_PPWR_2030],MATCH(A619,tbl_recyclass[ProductId],0))="Não","Não conforme em 2030","Isento até 2035")),IF(B619="EU-ENV-003",IF(INDEX(tbl_recyclass[Conforme_Art7_2030],MATCH(A619,tbl_recyclass[ProductId],0))="Sim","Conforme (meta 2030)",IF(INDEX(tbl_recyclass[Conforme_Art7_2030],MATCH(A619,tbl_recyclass[ProductId],0))="Não","Lacuna face à meta 2030","Isento")),IF(B619="EU-ENV-011",IF(INDEX(tbl_familias_ppwr[Metais_Pesados_Evidencia],MATCH(INDEX(tbl_recyclass[Familia_PPWR],MATCH(A619,tbl_recyclass[ProductId],0)),tbl_familias_ppwr[ID_Familia],0))="Em falta","Lacuna","Conforme"),IF(B619="EU-ENV-013",IF(INDEX(tbl_familias_ppwr[Declaracao_UE],MATCH(INDEX(tbl_recyclass[Familia_PPWR],MATCH(A619,tbl_recyclass[ProductId],0)),tbl_familias_ppwr[ID_Familia],0))="Sim","Conforme","Lacuna"),G619)))),G619))</f>
        <v>Lacuna face à meta 2030</v>
      </c>
      <c r="I619" s="33" t="str">
        <f t="shared" si="9"/>
        <v>Lacuna</v>
      </c>
      <c r="J619" s="26" t="s">
        <v>1001</v>
      </c>
    </row>
    <row r="620" spans="1:10" ht="16.05" customHeight="1" x14ac:dyDescent="0.3">
      <c r="A620" s="26" t="s">
        <v>681</v>
      </c>
      <c r="B620" s="26" t="s">
        <v>1007</v>
      </c>
      <c r="C620" s="33" t="str">
        <f>IFERROR(INDEX(tbl_requisitos_emb[Tema],MATCH(B620,tbl_requisitos_emb[ID_Req],0)),"")</f>
        <v>Minimização</v>
      </c>
      <c r="D620" s="33" t="str">
        <f>IFERROR(INDEX(tbl_recyclass[Segmento],MATCH(A620,tbl_recyclass[ProductId],0)),"")</f>
        <v>Cosmética e higiene pessoal</v>
      </c>
      <c r="E620" s="26" t="s">
        <v>901</v>
      </c>
      <c r="F620" s="26" t="s">
        <v>1449</v>
      </c>
      <c r="G620" s="26" t="s">
        <v>978</v>
      </c>
      <c r="H620" s="33" t="str">
        <f>IF(E620="Não","Não aplicável",IFERROR(IF(B620="EU-ENV-002",IF(INDEX(tbl_recyclass[Conforme_PPWR_2030],MATCH(A620,tbl_recyclass[ProductId],0))="Sim","Conforme (autoavaliação)",IF(INDEX(tbl_recyclass[Conforme_PPWR_2030],MATCH(A620,tbl_recyclass[ProductId],0))="Não","Não conforme em 2030","Isento até 2035")),IF(B620="EU-ENV-003",IF(INDEX(tbl_recyclass[Conforme_Art7_2030],MATCH(A620,tbl_recyclass[ProductId],0))="Sim","Conforme (meta 2030)",IF(INDEX(tbl_recyclass[Conforme_Art7_2030],MATCH(A620,tbl_recyclass[ProductId],0))="Não","Lacuna face à meta 2030","Isento")),IF(B620="EU-ENV-011",IF(INDEX(tbl_familias_ppwr[Metais_Pesados_Evidencia],MATCH(INDEX(tbl_recyclass[Familia_PPWR],MATCH(A620,tbl_recyclass[ProductId],0)),tbl_familias_ppwr[ID_Familia],0))="Em falta","Lacuna","Conforme"),IF(B620="EU-ENV-013",IF(INDEX(tbl_familias_ppwr[Declaracao_UE],MATCH(INDEX(tbl_recyclass[Familia_PPWR],MATCH(A620,tbl_recyclass[ProductId],0)),tbl_familias_ppwr[ID_Familia],0))="Sim","Conforme","Lacuna"),G620)))),G620))</f>
        <v>Parcial</v>
      </c>
      <c r="I620" s="33" t="str">
        <f t="shared" si="9"/>
        <v>Parcial</v>
      </c>
      <c r="J620" s="26" t="s">
        <v>1012</v>
      </c>
    </row>
    <row r="621" spans="1:10" ht="16.05" customHeight="1" x14ac:dyDescent="0.3">
      <c r="A621" s="26" t="s">
        <v>681</v>
      </c>
      <c r="B621" s="26" t="s">
        <v>1016</v>
      </c>
      <c r="C621" s="33" t="str">
        <f>IFERROR(INDEX(tbl_requisitos_emb[Tema],MATCH(B621,tbl_requisitos_emb[ID_Req],0)),"")</f>
        <v>Rotulagem</v>
      </c>
      <c r="D621" s="33" t="str">
        <f>IFERROR(INDEX(tbl_recyclass[Segmento],MATCH(A621,tbl_recyclass[ProductId],0)),"")</f>
        <v>Cosmética e higiene pessoal</v>
      </c>
      <c r="E621" s="26" t="s">
        <v>901</v>
      </c>
      <c r="F621" s="26" t="s">
        <v>1449</v>
      </c>
      <c r="G621" s="26" t="s">
        <v>990</v>
      </c>
      <c r="H621" s="33" t="str">
        <f>IF(E621="Não","Não aplicável",IFERROR(IF(B621="EU-ENV-002",IF(INDEX(tbl_recyclass[Conforme_PPWR_2030],MATCH(A621,tbl_recyclass[ProductId],0))="Sim","Conforme (autoavaliação)",IF(INDEX(tbl_recyclass[Conforme_PPWR_2030],MATCH(A621,tbl_recyclass[ProductId],0))="Não","Não conforme em 2030","Isento até 2035")),IF(B621="EU-ENV-003",IF(INDEX(tbl_recyclass[Conforme_Art7_2030],MATCH(A621,tbl_recyclass[ProductId],0))="Sim","Conforme (meta 2030)",IF(INDEX(tbl_recyclass[Conforme_Art7_2030],MATCH(A621,tbl_recyclass[ProductId],0))="Não","Lacuna face à meta 2030","Isento")),IF(B621="EU-ENV-011",IF(INDEX(tbl_familias_ppwr[Metais_Pesados_Evidencia],MATCH(INDEX(tbl_recyclass[Familia_PPWR],MATCH(A621,tbl_recyclass[ProductId],0)),tbl_familias_ppwr[ID_Familia],0))="Em falta","Lacuna","Conforme"),IF(B621="EU-ENV-013",IF(INDEX(tbl_familias_ppwr[Declaracao_UE],MATCH(INDEX(tbl_recyclass[Familia_PPWR],MATCH(A621,tbl_recyclass[ProductId],0)),tbl_familias_ppwr[ID_Familia],0))="Sim","Conforme","Lacuna"),G621)))),G621))</f>
        <v>Futuro</v>
      </c>
      <c r="I621" s="33" t="str">
        <f t="shared" si="9"/>
        <v>Futuro</v>
      </c>
      <c r="J621" s="26" t="s">
        <v>1021</v>
      </c>
    </row>
    <row r="622" spans="1:10" ht="16.05" customHeight="1" x14ac:dyDescent="0.3">
      <c r="A622" s="26" t="s">
        <v>681</v>
      </c>
      <c r="B622" s="26" t="s">
        <v>1038</v>
      </c>
      <c r="C622" s="33" t="str">
        <f>IFERROR(INDEX(tbl_requisitos_emb[Tema],MATCH(B622,tbl_requisitos_emb[ID_Req],0)),"")</f>
        <v>Plásticos de utilização única</v>
      </c>
      <c r="D622" s="33" t="str">
        <f>IFERROR(INDEX(tbl_recyclass[Segmento],MATCH(A622,tbl_recyclass[ProductId],0)),"")</f>
        <v>Cosmética e higiene pessoal</v>
      </c>
      <c r="E622" s="26" t="s">
        <v>904</v>
      </c>
      <c r="F622" s="26" t="s">
        <v>1450</v>
      </c>
      <c r="G622" s="26" t="s">
        <v>1143</v>
      </c>
      <c r="H622" s="33" t="str">
        <f>IF(E622="Não","Não aplicável",IFERROR(IF(B622="EU-ENV-002",IF(INDEX(tbl_recyclass[Conforme_PPWR_2030],MATCH(A622,tbl_recyclass[ProductId],0))="Sim","Conforme (autoavaliação)",IF(INDEX(tbl_recyclass[Conforme_PPWR_2030],MATCH(A622,tbl_recyclass[ProductId],0))="Não","Não conforme em 2030","Isento até 2035")),IF(B622="EU-ENV-003",IF(INDEX(tbl_recyclass[Conforme_Art7_2030],MATCH(A622,tbl_recyclass[ProductId],0))="Sim","Conforme (meta 2030)",IF(INDEX(tbl_recyclass[Conforme_Art7_2030],MATCH(A622,tbl_recyclass[ProductId],0))="Não","Lacuna face à meta 2030","Isento")),IF(B622="EU-ENV-011",IF(INDEX(tbl_familias_ppwr[Metais_Pesados_Evidencia],MATCH(INDEX(tbl_recyclass[Familia_PPWR],MATCH(A622,tbl_recyclass[ProductId],0)),tbl_familias_ppwr[ID_Familia],0))="Em falta","Lacuna","Conforme"),IF(B622="EU-ENV-013",IF(INDEX(tbl_familias_ppwr[Declaracao_UE],MATCH(INDEX(tbl_recyclass[Familia_PPWR],MATCH(A622,tbl_recyclass[ProductId],0)),tbl_familias_ppwr[ID_Familia],0))="Sim","Conforme","Lacuna"),G622)))),G622))</f>
        <v>Não aplicável</v>
      </c>
      <c r="I622" s="33" t="str">
        <f t="shared" si="9"/>
        <v>Não aplicável</v>
      </c>
      <c r="J622" s="26"/>
    </row>
    <row r="623" spans="1:10" ht="16.05" customHeight="1" x14ac:dyDescent="0.3">
      <c r="A623" s="26" t="s">
        <v>681</v>
      </c>
      <c r="B623" s="26" t="s">
        <v>1078</v>
      </c>
      <c r="C623" s="33" t="str">
        <f>IFERROR(INDEX(tbl_requisitos_emb[Tema],MATCH(B623,tbl_requisitos_emb[ID_Req],0)),"")</f>
        <v>Reciclado à escala</v>
      </c>
      <c r="D623" s="33" t="str">
        <f>IFERROR(INDEX(tbl_recyclass[Segmento],MATCH(A623,tbl_recyclass[ProductId],0)),"")</f>
        <v>Cosmética e higiene pessoal</v>
      </c>
      <c r="E623" s="26" t="s">
        <v>901</v>
      </c>
      <c r="F623" s="26" t="s">
        <v>1449</v>
      </c>
      <c r="G623" s="26" t="s">
        <v>990</v>
      </c>
      <c r="H623" s="33" t="str">
        <f>IF(E623="Não","Não aplicável",IFERROR(IF(B623="EU-ENV-002",IF(INDEX(tbl_recyclass[Conforme_PPWR_2030],MATCH(A623,tbl_recyclass[ProductId],0))="Sim","Conforme (autoavaliação)",IF(INDEX(tbl_recyclass[Conforme_PPWR_2030],MATCH(A623,tbl_recyclass[ProductId],0))="Não","Não conforme em 2030","Isento até 2035")),IF(B623="EU-ENV-003",IF(INDEX(tbl_recyclass[Conforme_Art7_2030],MATCH(A623,tbl_recyclass[ProductId],0))="Sim","Conforme (meta 2030)",IF(INDEX(tbl_recyclass[Conforme_Art7_2030],MATCH(A623,tbl_recyclass[ProductId],0))="Não","Lacuna face à meta 2030","Isento")),IF(B623="EU-ENV-011",IF(INDEX(tbl_familias_ppwr[Metais_Pesados_Evidencia],MATCH(INDEX(tbl_recyclass[Familia_PPWR],MATCH(A623,tbl_recyclass[ProductId],0)),tbl_familias_ppwr[ID_Familia],0))="Em falta","Lacuna","Conforme"),IF(B623="EU-ENV-013",IF(INDEX(tbl_familias_ppwr[Declaracao_UE],MATCH(INDEX(tbl_recyclass[Familia_PPWR],MATCH(A623,tbl_recyclass[ProductId],0)),tbl_familias_ppwr[ID_Familia],0))="Sim","Conforme","Lacuna"),G623)))),G623))</f>
        <v>Futuro</v>
      </c>
      <c r="I623" s="33" t="str">
        <f t="shared" si="9"/>
        <v>Futuro</v>
      </c>
      <c r="J623" s="26" t="s">
        <v>1082</v>
      </c>
    </row>
    <row r="624" spans="1:10" ht="16.05" customHeight="1" x14ac:dyDescent="0.3">
      <c r="A624" s="26" t="s">
        <v>681</v>
      </c>
      <c r="B624" s="26" t="s">
        <v>1086</v>
      </c>
      <c r="C624" s="33" t="str">
        <f>IFERROR(INDEX(tbl_requisitos_emb[Tema],MATCH(B624,tbl_requisitos_emb[ID_Req],0)),"")</f>
        <v>Metais pesados</v>
      </c>
      <c r="D624" s="33" t="str">
        <f>IFERROR(INDEX(tbl_recyclass[Segmento],MATCH(A624,tbl_recyclass[ProductId],0)),"")</f>
        <v>Cosmética e higiene pessoal</v>
      </c>
      <c r="E624" s="26" t="s">
        <v>901</v>
      </c>
      <c r="F624" s="26" t="s">
        <v>1449</v>
      </c>
      <c r="G624" s="26" t="s">
        <v>978</v>
      </c>
      <c r="H624" s="33" t="str">
        <f>IF(E624="Não","Não aplicável",IFERROR(IF(B624="EU-ENV-002",IF(INDEX(tbl_recyclass[Conforme_PPWR_2030],MATCH(A624,tbl_recyclass[ProductId],0))="Sim","Conforme (autoavaliação)",IF(INDEX(tbl_recyclass[Conforme_PPWR_2030],MATCH(A624,tbl_recyclass[ProductId],0))="Não","Não conforme em 2030","Isento até 2035")),IF(B624="EU-ENV-003",IF(INDEX(tbl_recyclass[Conforme_Art7_2030],MATCH(A624,tbl_recyclass[ProductId],0))="Sim","Conforme (meta 2030)",IF(INDEX(tbl_recyclass[Conforme_Art7_2030],MATCH(A624,tbl_recyclass[ProductId],0))="Não","Lacuna face à meta 2030","Isento")),IF(B624="EU-ENV-011",IF(INDEX(tbl_familias_ppwr[Metais_Pesados_Evidencia],MATCH(INDEX(tbl_recyclass[Familia_PPWR],MATCH(A624,tbl_recyclass[ProductId],0)),tbl_familias_ppwr[ID_Familia],0))="Em falta","Lacuna","Conforme"),IF(B624="EU-ENV-013",IF(INDEX(tbl_familias_ppwr[Declaracao_UE],MATCH(INDEX(tbl_recyclass[Familia_PPWR],MATCH(A624,tbl_recyclass[ProductId],0)),tbl_familias_ppwr[ID_Familia],0))="Sim","Conforme","Lacuna"),G624)))),G624))</f>
        <v>Conforme</v>
      </c>
      <c r="I624" s="33" t="str">
        <f t="shared" si="9"/>
        <v>Conforme</v>
      </c>
      <c r="J624" s="26" t="s">
        <v>1090</v>
      </c>
    </row>
    <row r="625" spans="1:10" ht="16.05" customHeight="1" x14ac:dyDescent="0.3">
      <c r="A625" s="26" t="s">
        <v>681</v>
      </c>
      <c r="B625" s="26" t="s">
        <v>1094</v>
      </c>
      <c r="C625" s="33" t="str">
        <f>IFERROR(INDEX(tbl_requisitos_emb[Tema],MATCH(B625,tbl_requisitos_emb[ID_Req],0)),"")</f>
        <v>PFAS</v>
      </c>
      <c r="D625" s="33" t="str">
        <f>IFERROR(INDEX(tbl_recyclass[Segmento],MATCH(A625,tbl_recyclass[ProductId],0)),"")</f>
        <v>Cosmética e higiene pessoal</v>
      </c>
      <c r="E625" s="26" t="s">
        <v>904</v>
      </c>
      <c r="F625" s="26" t="s">
        <v>1450</v>
      </c>
      <c r="G625" s="26" t="s">
        <v>1143</v>
      </c>
      <c r="H625" s="33" t="str">
        <f>IF(E625="Não","Não aplicável",IFERROR(IF(B625="EU-ENV-002",IF(INDEX(tbl_recyclass[Conforme_PPWR_2030],MATCH(A625,tbl_recyclass[ProductId],0))="Sim","Conforme (autoavaliação)",IF(INDEX(tbl_recyclass[Conforme_PPWR_2030],MATCH(A625,tbl_recyclass[ProductId],0))="Não","Não conforme em 2030","Isento até 2035")),IF(B625="EU-ENV-003",IF(INDEX(tbl_recyclass[Conforme_Art7_2030],MATCH(A625,tbl_recyclass[ProductId],0))="Sim","Conforme (meta 2030)",IF(INDEX(tbl_recyclass[Conforme_Art7_2030],MATCH(A625,tbl_recyclass[ProductId],0))="Não","Lacuna face à meta 2030","Isento")),IF(B625="EU-ENV-011",IF(INDEX(tbl_familias_ppwr[Metais_Pesados_Evidencia],MATCH(INDEX(tbl_recyclass[Familia_PPWR],MATCH(A625,tbl_recyclass[ProductId],0)),tbl_familias_ppwr[ID_Familia],0))="Em falta","Lacuna","Conforme"),IF(B625="EU-ENV-013",IF(INDEX(tbl_familias_ppwr[Declaracao_UE],MATCH(INDEX(tbl_recyclass[Familia_PPWR],MATCH(A625,tbl_recyclass[ProductId],0)),tbl_familias_ppwr[ID_Familia],0))="Sim","Conforme","Lacuna"),G625)))),G625))</f>
        <v>Não aplicável</v>
      </c>
      <c r="I625" s="33" t="str">
        <f t="shared" si="9"/>
        <v>Não aplicável</v>
      </c>
      <c r="J625" s="26"/>
    </row>
    <row r="626" spans="1:10" ht="16.05" customHeight="1" x14ac:dyDescent="0.3">
      <c r="A626" s="26" t="s">
        <v>681</v>
      </c>
      <c r="B626" s="26" t="s">
        <v>1102</v>
      </c>
      <c r="C626" s="33" t="str">
        <f>IFERROR(INDEX(tbl_requisitos_emb[Tema],MATCH(B626,tbl_requisitos_emb[ID_Req],0)),"")</f>
        <v>Documentação técnica e declaração UE</v>
      </c>
      <c r="D626" s="33" t="str">
        <f>IFERROR(INDEX(tbl_recyclass[Segmento],MATCH(A626,tbl_recyclass[ProductId],0)),"")</f>
        <v>Cosmética e higiene pessoal</v>
      </c>
      <c r="E626" s="26" t="s">
        <v>901</v>
      </c>
      <c r="F626" s="26" t="s">
        <v>1449</v>
      </c>
      <c r="G626" s="26" t="s">
        <v>978</v>
      </c>
      <c r="H626" s="33" t="str">
        <f>IF(E626="Não","Não aplicável",IFERROR(IF(B626="EU-ENV-002",IF(INDEX(tbl_recyclass[Conforme_PPWR_2030],MATCH(A626,tbl_recyclass[ProductId],0))="Sim","Conforme (autoavaliação)",IF(INDEX(tbl_recyclass[Conforme_PPWR_2030],MATCH(A626,tbl_recyclass[ProductId],0))="Não","Não conforme em 2030","Isento até 2035")),IF(B626="EU-ENV-003",IF(INDEX(tbl_recyclass[Conforme_Art7_2030],MATCH(A626,tbl_recyclass[ProductId],0))="Sim","Conforme (meta 2030)",IF(INDEX(tbl_recyclass[Conforme_Art7_2030],MATCH(A626,tbl_recyclass[ProductId],0))="Não","Lacuna face à meta 2030","Isento")),IF(B626="EU-ENV-011",IF(INDEX(tbl_familias_ppwr[Metais_Pesados_Evidencia],MATCH(INDEX(tbl_recyclass[Familia_PPWR],MATCH(A626,tbl_recyclass[ProductId],0)),tbl_familias_ppwr[ID_Familia],0))="Em falta","Lacuna","Conforme"),IF(B626="EU-ENV-013",IF(INDEX(tbl_familias_ppwr[Declaracao_UE],MATCH(INDEX(tbl_recyclass[Familia_PPWR],MATCH(A626,tbl_recyclass[ProductId],0)),tbl_familias_ppwr[ID_Familia],0))="Sim","Conforme","Lacuna"),G626)))),G626))</f>
        <v>Conforme</v>
      </c>
      <c r="I626" s="33" t="str">
        <f t="shared" si="9"/>
        <v>Conforme</v>
      </c>
      <c r="J626" s="26" t="s">
        <v>1106</v>
      </c>
    </row>
    <row r="627" spans="1:10" ht="16.05" customHeight="1" x14ac:dyDescent="0.3">
      <c r="A627" s="26" t="s">
        <v>681</v>
      </c>
      <c r="B627" s="26" t="s">
        <v>1161</v>
      </c>
      <c r="C627" s="33" t="str">
        <f>IFERROR(INDEX(tbl_requisitos_emb[Tema],MATCH(B627,tbl_requisitos_emb[ID_Req],0)),"")</f>
        <v>Materiais em contacto com alimentos</v>
      </c>
      <c r="D627" s="33" t="str">
        <f>IFERROR(INDEX(tbl_recyclass[Segmento],MATCH(A627,tbl_recyclass[ProductId],0)),"")</f>
        <v>Cosmética e higiene pessoal</v>
      </c>
      <c r="E627" s="26" t="s">
        <v>904</v>
      </c>
      <c r="F627" s="26" t="s">
        <v>1450</v>
      </c>
      <c r="G627" s="26" t="s">
        <v>1143</v>
      </c>
      <c r="H627" s="33" t="str">
        <f>IF(E627="Não","Não aplicável",IFERROR(IF(B627="EU-ENV-002",IF(INDEX(tbl_recyclass[Conforme_PPWR_2030],MATCH(A627,tbl_recyclass[ProductId],0))="Sim","Conforme (autoavaliação)",IF(INDEX(tbl_recyclass[Conforme_PPWR_2030],MATCH(A627,tbl_recyclass[ProductId],0))="Não","Não conforme em 2030","Isento até 2035")),IF(B627="EU-ENV-003",IF(INDEX(tbl_recyclass[Conforme_Art7_2030],MATCH(A627,tbl_recyclass[ProductId],0))="Sim","Conforme (meta 2030)",IF(INDEX(tbl_recyclass[Conforme_Art7_2030],MATCH(A627,tbl_recyclass[ProductId],0))="Não","Lacuna face à meta 2030","Isento")),IF(B627="EU-ENV-011",IF(INDEX(tbl_familias_ppwr[Metais_Pesados_Evidencia],MATCH(INDEX(tbl_recyclass[Familia_PPWR],MATCH(A627,tbl_recyclass[ProductId],0)),tbl_familias_ppwr[ID_Familia],0))="Em falta","Lacuna","Conforme"),IF(B627="EU-ENV-013",IF(INDEX(tbl_familias_ppwr[Declaracao_UE],MATCH(INDEX(tbl_recyclass[Familia_PPWR],MATCH(A627,tbl_recyclass[ProductId],0)),tbl_familias_ppwr[ID_Familia],0))="Sim","Conforme","Lacuna"),G627)))),G627))</f>
        <v>Não aplicável</v>
      </c>
      <c r="I627" s="33" t="str">
        <f t="shared" si="9"/>
        <v>Não aplicável</v>
      </c>
      <c r="J627" s="26"/>
    </row>
    <row r="628" spans="1:10" ht="16.05" customHeight="1" x14ac:dyDescent="0.3">
      <c r="A628" s="26" t="s">
        <v>681</v>
      </c>
      <c r="B628" s="26" t="s">
        <v>1170</v>
      </c>
      <c r="C628" s="33" t="str">
        <f>IFERROR(INDEX(tbl_requisitos_emb[Tema],MATCH(B628,tbl_requisitos_emb[ID_Req],0)),"")</f>
        <v>Boas práticas de fabrico FCM</v>
      </c>
      <c r="D628" s="33" t="str">
        <f>IFERROR(INDEX(tbl_recyclass[Segmento],MATCH(A628,tbl_recyclass[ProductId],0)),"")</f>
        <v>Cosmética e higiene pessoal</v>
      </c>
      <c r="E628" s="26" t="s">
        <v>904</v>
      </c>
      <c r="F628" s="26" t="s">
        <v>1450</v>
      </c>
      <c r="G628" s="26" t="s">
        <v>1143</v>
      </c>
      <c r="H628" s="33" t="str">
        <f>IF(E628="Não","Não aplicável",IFERROR(IF(B628="EU-ENV-002",IF(INDEX(tbl_recyclass[Conforme_PPWR_2030],MATCH(A628,tbl_recyclass[ProductId],0))="Sim","Conforme (autoavaliação)",IF(INDEX(tbl_recyclass[Conforme_PPWR_2030],MATCH(A628,tbl_recyclass[ProductId],0))="Não","Não conforme em 2030","Isento até 2035")),IF(B628="EU-ENV-003",IF(INDEX(tbl_recyclass[Conforme_Art7_2030],MATCH(A628,tbl_recyclass[ProductId],0))="Sim","Conforme (meta 2030)",IF(INDEX(tbl_recyclass[Conforme_Art7_2030],MATCH(A628,tbl_recyclass[ProductId],0))="Não","Lacuna face à meta 2030","Isento")),IF(B628="EU-ENV-011",IF(INDEX(tbl_familias_ppwr[Metais_Pesados_Evidencia],MATCH(INDEX(tbl_recyclass[Familia_PPWR],MATCH(A628,tbl_recyclass[ProductId],0)),tbl_familias_ppwr[ID_Familia],0))="Em falta","Lacuna","Conforme"),IF(B628="EU-ENV-013",IF(INDEX(tbl_familias_ppwr[Declaracao_UE],MATCH(INDEX(tbl_recyclass[Familia_PPWR],MATCH(A628,tbl_recyclass[ProductId],0)),tbl_familias_ppwr[ID_Familia],0))="Sim","Conforme","Lacuna"),G628)))),G628))</f>
        <v>Não aplicável</v>
      </c>
      <c r="I628" s="33" t="str">
        <f t="shared" si="9"/>
        <v>Não aplicável</v>
      </c>
      <c r="J628" s="26"/>
    </row>
    <row r="629" spans="1:10" ht="16.05" customHeight="1" x14ac:dyDescent="0.3">
      <c r="A629" s="26" t="s">
        <v>681</v>
      </c>
      <c r="B629" s="26" t="s">
        <v>1179</v>
      </c>
      <c r="C629" s="33" t="str">
        <f>IFERROR(INDEX(tbl_requisitos_emb[Tema],MATCH(B629,tbl_requisitos_emb[ID_Req],0)),"")</f>
        <v>Bisfenol A e bisfenóis perigosos</v>
      </c>
      <c r="D629" s="33" t="str">
        <f>IFERROR(INDEX(tbl_recyclass[Segmento],MATCH(A629,tbl_recyclass[ProductId],0)),"")</f>
        <v>Cosmética e higiene pessoal</v>
      </c>
      <c r="E629" s="26" t="s">
        <v>904</v>
      </c>
      <c r="F629" s="26" t="s">
        <v>1450</v>
      </c>
      <c r="G629" s="26" t="s">
        <v>1143</v>
      </c>
      <c r="H629" s="33" t="str">
        <f>IF(E629="Não","Não aplicável",IFERROR(IF(B629="EU-ENV-002",IF(INDEX(tbl_recyclass[Conforme_PPWR_2030],MATCH(A629,tbl_recyclass[ProductId],0))="Sim","Conforme (autoavaliação)",IF(INDEX(tbl_recyclass[Conforme_PPWR_2030],MATCH(A629,tbl_recyclass[ProductId],0))="Não","Não conforme em 2030","Isento até 2035")),IF(B629="EU-ENV-003",IF(INDEX(tbl_recyclass[Conforme_Art7_2030],MATCH(A629,tbl_recyclass[ProductId],0))="Sim","Conforme (meta 2030)",IF(INDEX(tbl_recyclass[Conforme_Art7_2030],MATCH(A629,tbl_recyclass[ProductId],0))="Não","Lacuna face à meta 2030","Isento")),IF(B629="EU-ENV-011",IF(INDEX(tbl_familias_ppwr[Metais_Pesados_Evidencia],MATCH(INDEX(tbl_recyclass[Familia_PPWR],MATCH(A629,tbl_recyclass[ProductId],0)),tbl_familias_ppwr[ID_Familia],0))="Em falta","Lacuna","Conforme"),IF(B629="EU-ENV-013",IF(INDEX(tbl_familias_ppwr[Declaracao_UE],MATCH(INDEX(tbl_recyclass[Familia_PPWR],MATCH(A629,tbl_recyclass[ProductId],0)),tbl_familias_ppwr[ID_Familia],0))="Sim","Conforme","Lacuna"),G629)))),G629))</f>
        <v>Não aplicável</v>
      </c>
      <c r="I629" s="33" t="str">
        <f t="shared" si="9"/>
        <v>Não aplicável</v>
      </c>
      <c r="J629" s="26"/>
    </row>
    <row r="630" spans="1:10" ht="16.05" customHeight="1" x14ac:dyDescent="0.3">
      <c r="A630" s="26" t="s">
        <v>681</v>
      </c>
      <c r="B630" s="26" t="s">
        <v>1188</v>
      </c>
      <c r="C630" s="33" t="str">
        <f>IFERROR(INDEX(tbl_requisitos_emb[Tema],MATCH(B630,tbl_requisitos_emb[ID_Req],0)),"")</f>
        <v>Plásticos em contacto com alimentos</v>
      </c>
      <c r="D630" s="33" t="str">
        <f>IFERROR(INDEX(tbl_recyclass[Segmento],MATCH(A630,tbl_recyclass[ProductId],0)),"")</f>
        <v>Cosmética e higiene pessoal</v>
      </c>
      <c r="E630" s="26" t="s">
        <v>904</v>
      </c>
      <c r="F630" s="26" t="s">
        <v>1450</v>
      </c>
      <c r="G630" s="26" t="s">
        <v>1143</v>
      </c>
      <c r="H630" s="33" t="str">
        <f>IF(E630="Não","Não aplicável",IFERROR(IF(B630="EU-ENV-002",IF(INDEX(tbl_recyclass[Conforme_PPWR_2030],MATCH(A630,tbl_recyclass[ProductId],0))="Sim","Conforme (autoavaliação)",IF(INDEX(tbl_recyclass[Conforme_PPWR_2030],MATCH(A630,tbl_recyclass[ProductId],0))="Não","Não conforme em 2030","Isento até 2035")),IF(B630="EU-ENV-003",IF(INDEX(tbl_recyclass[Conforme_Art7_2030],MATCH(A630,tbl_recyclass[ProductId],0))="Sim","Conforme (meta 2030)",IF(INDEX(tbl_recyclass[Conforme_Art7_2030],MATCH(A630,tbl_recyclass[ProductId],0))="Não","Lacuna face à meta 2030","Isento")),IF(B630="EU-ENV-011",IF(INDEX(tbl_familias_ppwr[Metais_Pesados_Evidencia],MATCH(INDEX(tbl_recyclass[Familia_PPWR],MATCH(A630,tbl_recyclass[ProductId],0)),tbl_familias_ppwr[ID_Familia],0))="Em falta","Lacuna","Conforme"),IF(B630="EU-ENV-013",IF(INDEX(tbl_familias_ppwr[Declaracao_UE],MATCH(INDEX(tbl_recyclass[Familia_PPWR],MATCH(A630,tbl_recyclass[ProductId],0)),tbl_familias_ppwr[ID_Familia],0))="Sim","Conforme","Lacuna"),G630)))),G630))</f>
        <v>Não aplicável</v>
      </c>
      <c r="I630" s="33" t="str">
        <f t="shared" si="9"/>
        <v>Não aplicável</v>
      </c>
      <c r="J630" s="26"/>
    </row>
    <row r="631" spans="1:10" ht="16.05" customHeight="1" x14ac:dyDescent="0.3">
      <c r="A631" s="26" t="s">
        <v>681</v>
      </c>
      <c r="B631" s="26" t="s">
        <v>1212</v>
      </c>
      <c r="C631" s="33" t="str">
        <f>IFERROR(INDEX(tbl_requisitos_emb[Tema],MATCH(B631,tbl_requisitos_emb[ID_Req],0)),"")</f>
        <v>Segurança do produto cosmético</v>
      </c>
      <c r="D631" s="33" t="str">
        <f>IFERROR(INDEX(tbl_recyclass[Segmento],MATCH(A631,tbl_recyclass[ProductId],0)),"")</f>
        <v>Cosmética e higiene pessoal</v>
      </c>
      <c r="E631" s="26" t="s">
        <v>901</v>
      </c>
      <c r="F631" s="26" t="s">
        <v>1449</v>
      </c>
      <c r="G631" s="26" t="s">
        <v>1033</v>
      </c>
      <c r="H631" s="33" t="str">
        <f>IF(E631="Não","Não aplicável",IFERROR(IF(B631="EU-ENV-002",IF(INDEX(tbl_recyclass[Conforme_PPWR_2030],MATCH(A631,tbl_recyclass[ProductId],0))="Sim","Conforme (autoavaliação)",IF(INDEX(tbl_recyclass[Conforme_PPWR_2030],MATCH(A631,tbl_recyclass[ProductId],0))="Não","Não conforme em 2030","Isento até 2035")),IF(B631="EU-ENV-003",IF(INDEX(tbl_recyclass[Conforme_Art7_2030],MATCH(A631,tbl_recyclass[ProductId],0))="Sim","Conforme (meta 2030)",IF(INDEX(tbl_recyclass[Conforme_Art7_2030],MATCH(A631,tbl_recyclass[ProductId],0))="Não","Lacuna face à meta 2030","Isento")),IF(B631="EU-ENV-011",IF(INDEX(tbl_familias_ppwr[Metais_Pesados_Evidencia],MATCH(INDEX(tbl_recyclass[Familia_PPWR],MATCH(A631,tbl_recyclass[ProductId],0)),tbl_familias_ppwr[ID_Familia],0))="Em falta","Lacuna","Conforme"),IF(B631="EU-ENV-013",IF(INDEX(tbl_familias_ppwr[Declaracao_UE],MATCH(INDEX(tbl_recyclass[Familia_PPWR],MATCH(A631,tbl_recyclass[ProductId],0)),tbl_familias_ppwr[ID_Familia],0))="Sim","Conforme","Lacuna"),G631)))),G631))</f>
        <v>Conforme</v>
      </c>
      <c r="I631" s="33" t="str">
        <f t="shared" si="9"/>
        <v>Conforme</v>
      </c>
      <c r="J631" s="26" t="s">
        <v>1221</v>
      </c>
    </row>
    <row r="632" spans="1:10" ht="16.05" customHeight="1" x14ac:dyDescent="0.3">
      <c r="A632" s="26" t="s">
        <v>681</v>
      </c>
      <c r="B632" s="26" t="s">
        <v>1224</v>
      </c>
      <c r="C632" s="33" t="str">
        <f>IFERROR(INDEX(tbl_requisitos_emb[Tema],MATCH(B632,tbl_requisitos_emb[ID_Req],0)),"")</f>
        <v>Materiais e impurezas</v>
      </c>
      <c r="D632" s="33" t="str">
        <f>IFERROR(INDEX(tbl_recyclass[Segmento],MATCH(A632,tbl_recyclass[ProductId],0)),"")</f>
        <v>Cosmética e higiene pessoal</v>
      </c>
      <c r="E632" s="26" t="s">
        <v>901</v>
      </c>
      <c r="F632" s="26" t="s">
        <v>1449</v>
      </c>
      <c r="G632" s="26" t="s">
        <v>978</v>
      </c>
      <c r="H632" s="33" t="str">
        <f>IF(E632="Não","Não aplicável",IFERROR(IF(B632="EU-ENV-002",IF(INDEX(tbl_recyclass[Conforme_PPWR_2030],MATCH(A632,tbl_recyclass[ProductId],0))="Sim","Conforme (autoavaliação)",IF(INDEX(tbl_recyclass[Conforme_PPWR_2030],MATCH(A632,tbl_recyclass[ProductId],0))="Não","Não conforme em 2030","Isento até 2035")),IF(B632="EU-ENV-003",IF(INDEX(tbl_recyclass[Conforme_Art7_2030],MATCH(A632,tbl_recyclass[ProductId],0))="Sim","Conforme (meta 2030)",IF(INDEX(tbl_recyclass[Conforme_Art7_2030],MATCH(A632,tbl_recyclass[ProductId],0))="Não","Lacuna face à meta 2030","Isento")),IF(B632="EU-ENV-011",IF(INDEX(tbl_familias_ppwr[Metais_Pesados_Evidencia],MATCH(INDEX(tbl_recyclass[Familia_PPWR],MATCH(A632,tbl_recyclass[ProductId],0)),tbl_familias_ppwr[ID_Familia],0))="Em falta","Lacuna","Conforme"),IF(B632="EU-ENV-013",IF(INDEX(tbl_familias_ppwr[Declaracao_UE],MATCH(INDEX(tbl_recyclass[Familia_PPWR],MATCH(A632,tbl_recyclass[ProductId],0)),tbl_familias_ppwr[ID_Familia],0))="Sim","Conforme","Lacuna"),G632)))),G632))</f>
        <v>Parcial</v>
      </c>
      <c r="I632" s="33" t="str">
        <f t="shared" si="9"/>
        <v>Parcial</v>
      </c>
      <c r="J632" s="26" t="s">
        <v>1228</v>
      </c>
    </row>
    <row r="633" spans="1:10" ht="16.05" customHeight="1" x14ac:dyDescent="0.3">
      <c r="A633" s="26" t="s">
        <v>681</v>
      </c>
      <c r="B633" s="26" t="s">
        <v>1240</v>
      </c>
      <c r="C633" s="33" t="str">
        <f>IFERROR(INDEX(tbl_requisitos_emb[Tema],MATCH(B633,tbl_requisitos_emb[ID_Req],0)),"")</f>
        <v>Compatibilidade embalagem–produto</v>
      </c>
      <c r="D633" s="33" t="str">
        <f>IFERROR(INDEX(tbl_recyclass[Segmento],MATCH(A633,tbl_recyclass[ProductId],0)),"")</f>
        <v>Cosmética e higiene pessoal</v>
      </c>
      <c r="E633" s="26" t="s">
        <v>901</v>
      </c>
      <c r="F633" s="26" t="s">
        <v>1449</v>
      </c>
      <c r="G633" s="26" t="s">
        <v>1033</v>
      </c>
      <c r="H633" s="33" t="str">
        <f>IF(E633="Não","Não aplicável",IFERROR(IF(B633="EU-ENV-002",IF(INDEX(tbl_recyclass[Conforme_PPWR_2030],MATCH(A633,tbl_recyclass[ProductId],0))="Sim","Conforme (autoavaliação)",IF(INDEX(tbl_recyclass[Conforme_PPWR_2030],MATCH(A633,tbl_recyclass[ProductId],0))="Não","Não conforme em 2030","Isento até 2035")),IF(B633="EU-ENV-003",IF(INDEX(tbl_recyclass[Conforme_Art7_2030],MATCH(A633,tbl_recyclass[ProductId],0))="Sim","Conforme (meta 2030)",IF(INDEX(tbl_recyclass[Conforme_Art7_2030],MATCH(A633,tbl_recyclass[ProductId],0))="Não","Lacuna face à meta 2030","Isento")),IF(B633="EU-ENV-011",IF(INDEX(tbl_familias_ppwr[Metais_Pesados_Evidencia],MATCH(INDEX(tbl_recyclass[Familia_PPWR],MATCH(A633,tbl_recyclass[ProductId],0)),tbl_familias_ppwr[ID_Familia],0))="Em falta","Lacuna","Conforme"),IF(B633="EU-ENV-013",IF(INDEX(tbl_familias_ppwr[Declaracao_UE],MATCH(INDEX(tbl_recyclass[Familia_PPWR],MATCH(A633,tbl_recyclass[ProductId],0)),tbl_familias_ppwr[ID_Familia],0))="Sim","Conforme","Lacuna"),G633)))),G633))</f>
        <v>Conforme</v>
      </c>
      <c r="I633" s="33" t="str">
        <f t="shared" si="9"/>
        <v>Conforme</v>
      </c>
      <c r="J633" s="26" t="s">
        <v>1244</v>
      </c>
    </row>
    <row r="634" spans="1:10" ht="16.05" customHeight="1" x14ac:dyDescent="0.3">
      <c r="A634" s="26" t="s">
        <v>681</v>
      </c>
      <c r="B634" s="26" t="s">
        <v>1252</v>
      </c>
      <c r="C634" s="33" t="str">
        <f>IFERROR(INDEX(tbl_requisitos_emb[Tema],MATCH(B634,tbl_requisitos_emb[ID_Req],0)),"")</f>
        <v>Medicamentos de uso humano</v>
      </c>
      <c r="D634" s="33" t="str">
        <f>IFERROR(INDEX(tbl_recyclass[Segmento],MATCH(A634,tbl_recyclass[ProductId],0)),"")</f>
        <v>Cosmética e higiene pessoal</v>
      </c>
      <c r="E634" s="26" t="s">
        <v>904</v>
      </c>
      <c r="F634" s="26" t="s">
        <v>1451</v>
      </c>
      <c r="G634" s="26" t="s">
        <v>1143</v>
      </c>
      <c r="H634" s="33" t="str">
        <f>IF(E634="Não","Não aplicável",IFERROR(IF(B634="EU-ENV-002",IF(INDEX(tbl_recyclass[Conforme_PPWR_2030],MATCH(A634,tbl_recyclass[ProductId],0))="Sim","Conforme (autoavaliação)",IF(INDEX(tbl_recyclass[Conforme_PPWR_2030],MATCH(A634,tbl_recyclass[ProductId],0))="Não","Não conforme em 2030","Isento até 2035")),IF(B634="EU-ENV-003",IF(INDEX(tbl_recyclass[Conforme_Art7_2030],MATCH(A634,tbl_recyclass[ProductId],0))="Sim","Conforme (meta 2030)",IF(INDEX(tbl_recyclass[Conforme_Art7_2030],MATCH(A634,tbl_recyclass[ProductId],0))="Não","Lacuna face à meta 2030","Isento")),IF(B634="EU-ENV-011",IF(INDEX(tbl_familias_ppwr[Metais_Pesados_Evidencia],MATCH(INDEX(tbl_recyclass[Familia_PPWR],MATCH(A634,tbl_recyclass[ProductId],0)),tbl_familias_ppwr[ID_Familia],0))="Em falta","Lacuna","Conforme"),IF(B634="EU-ENV-013",IF(INDEX(tbl_familias_ppwr[Declaracao_UE],MATCH(INDEX(tbl_recyclass[Familia_PPWR],MATCH(A634,tbl_recyclass[ProductId],0)),tbl_familias_ppwr[ID_Familia],0))="Sim","Conforme","Lacuna"),G634)))),G634))</f>
        <v>Não aplicável</v>
      </c>
      <c r="I634" s="33" t="str">
        <f t="shared" si="9"/>
        <v>Não aplicável</v>
      </c>
      <c r="J634" s="26"/>
    </row>
    <row r="635" spans="1:10" ht="16.05" customHeight="1" x14ac:dyDescent="0.3">
      <c r="A635" s="26" t="s">
        <v>681</v>
      </c>
      <c r="B635" s="26" t="s">
        <v>1268</v>
      </c>
      <c r="C635" s="33" t="str">
        <f>IFERROR(INDEX(tbl_requisitos_emb[Tema],MATCH(B635,tbl_requisitos_emb[ID_Req],0)),"")</f>
        <v>Dispositivos de segurança</v>
      </c>
      <c r="D635" s="33" t="str">
        <f>IFERROR(INDEX(tbl_recyclass[Segmento],MATCH(A635,tbl_recyclass[ProductId],0)),"")</f>
        <v>Cosmética e higiene pessoal</v>
      </c>
      <c r="E635" s="26" t="s">
        <v>904</v>
      </c>
      <c r="F635" s="26" t="s">
        <v>1451</v>
      </c>
      <c r="G635" s="26" t="s">
        <v>1143</v>
      </c>
      <c r="H635" s="33" t="str">
        <f>IF(E635="Não","Não aplicável",IFERROR(IF(B635="EU-ENV-002",IF(INDEX(tbl_recyclass[Conforme_PPWR_2030],MATCH(A635,tbl_recyclass[ProductId],0))="Sim","Conforme (autoavaliação)",IF(INDEX(tbl_recyclass[Conforme_PPWR_2030],MATCH(A635,tbl_recyclass[ProductId],0))="Não","Não conforme em 2030","Isento até 2035")),IF(B635="EU-ENV-003",IF(INDEX(tbl_recyclass[Conforme_Art7_2030],MATCH(A635,tbl_recyclass[ProductId],0))="Sim","Conforme (meta 2030)",IF(INDEX(tbl_recyclass[Conforme_Art7_2030],MATCH(A635,tbl_recyclass[ProductId],0))="Não","Lacuna face à meta 2030","Isento")),IF(B635="EU-ENV-011",IF(INDEX(tbl_familias_ppwr[Metais_Pesados_Evidencia],MATCH(INDEX(tbl_recyclass[Familia_PPWR],MATCH(A635,tbl_recyclass[ProductId],0)),tbl_familias_ppwr[ID_Familia],0))="Em falta","Lacuna","Conforme"),IF(B635="EU-ENV-013",IF(INDEX(tbl_familias_ppwr[Declaracao_UE],MATCH(INDEX(tbl_recyclass[Familia_PPWR],MATCH(A635,tbl_recyclass[ProductId],0)),tbl_familias_ppwr[ID_Familia],0))="Sim","Conforme","Lacuna"),G635)))),G635))</f>
        <v>Não aplicável</v>
      </c>
      <c r="I635" s="33" t="str">
        <f t="shared" si="9"/>
        <v>Não aplicável</v>
      </c>
      <c r="J635" s="26"/>
    </row>
    <row r="636" spans="1:10" ht="16.05" customHeight="1" x14ac:dyDescent="0.3">
      <c r="A636" s="26" t="s">
        <v>681</v>
      </c>
      <c r="B636" s="26" t="s">
        <v>1285</v>
      </c>
      <c r="C636" s="33" t="str">
        <f>IFERROR(INDEX(tbl_requisitos_emb[Tema],MATCH(B636,tbl_requisitos_emb[ID_Req],0)),"")</f>
        <v>Materiais plásticos de acondicionamento primário</v>
      </c>
      <c r="D636" s="33" t="str">
        <f>IFERROR(INDEX(tbl_recyclass[Segmento],MATCH(A636,tbl_recyclass[ProductId],0)),"")</f>
        <v>Cosmética e higiene pessoal</v>
      </c>
      <c r="E636" s="26" t="s">
        <v>904</v>
      </c>
      <c r="F636" s="26" t="s">
        <v>1451</v>
      </c>
      <c r="G636" s="26" t="s">
        <v>1143</v>
      </c>
      <c r="H636" s="33" t="str">
        <f>IF(E636="Não","Não aplicável",IFERROR(IF(B636="EU-ENV-002",IF(INDEX(tbl_recyclass[Conforme_PPWR_2030],MATCH(A636,tbl_recyclass[ProductId],0))="Sim","Conforme (autoavaliação)",IF(INDEX(tbl_recyclass[Conforme_PPWR_2030],MATCH(A636,tbl_recyclass[ProductId],0))="Não","Não conforme em 2030","Isento até 2035")),IF(B636="EU-ENV-003",IF(INDEX(tbl_recyclass[Conforme_Art7_2030],MATCH(A636,tbl_recyclass[ProductId],0))="Sim","Conforme (meta 2030)",IF(INDEX(tbl_recyclass[Conforme_Art7_2030],MATCH(A636,tbl_recyclass[ProductId],0))="Não","Lacuna face à meta 2030","Isento")),IF(B636="EU-ENV-011",IF(INDEX(tbl_familias_ppwr[Metais_Pesados_Evidencia],MATCH(INDEX(tbl_recyclass[Familia_PPWR],MATCH(A636,tbl_recyclass[ProductId],0)),tbl_familias_ppwr[ID_Familia],0))="Em falta","Lacuna","Conforme"),IF(B636="EU-ENV-013",IF(INDEX(tbl_familias_ppwr[Declaracao_UE],MATCH(INDEX(tbl_recyclass[Familia_PPWR],MATCH(A636,tbl_recyclass[ProductId],0)),tbl_familias_ppwr[ID_Familia],0))="Sim","Conforme","Lacuna"),G636)))),G636))</f>
        <v>Não aplicável</v>
      </c>
      <c r="I636" s="33" t="str">
        <f t="shared" si="9"/>
        <v>Não aplicável</v>
      </c>
      <c r="J636" s="26"/>
    </row>
    <row r="637" spans="1:10" ht="16.05" customHeight="1" x14ac:dyDescent="0.3">
      <c r="A637" s="26" t="s">
        <v>681</v>
      </c>
      <c r="B637" s="26" t="s">
        <v>1293</v>
      </c>
      <c r="C637" s="33" t="str">
        <f>IFERROR(INDEX(tbl_requisitos_emb[Tema],MATCH(B637,tbl_requisitos_emb[ID_Req],0)),"")</f>
        <v>Isenções PPWR</v>
      </c>
      <c r="D637" s="33" t="str">
        <f>IFERROR(INDEX(tbl_recyclass[Segmento],MATCH(A637,tbl_recyclass[ProductId],0)),"")</f>
        <v>Cosmética e higiene pessoal</v>
      </c>
      <c r="E637" s="26" t="s">
        <v>904</v>
      </c>
      <c r="F637" s="26" t="s">
        <v>1451</v>
      </c>
      <c r="G637" s="26" t="s">
        <v>1143</v>
      </c>
      <c r="H637" s="33" t="str">
        <f>IF(E637="Não","Não aplicável",IFERROR(IF(B637="EU-ENV-002",IF(INDEX(tbl_recyclass[Conforme_PPWR_2030],MATCH(A637,tbl_recyclass[ProductId],0))="Sim","Conforme (autoavaliação)",IF(INDEX(tbl_recyclass[Conforme_PPWR_2030],MATCH(A637,tbl_recyclass[ProductId],0))="Não","Não conforme em 2030","Isento até 2035")),IF(B637="EU-ENV-003",IF(INDEX(tbl_recyclass[Conforme_Art7_2030],MATCH(A637,tbl_recyclass[ProductId],0))="Sim","Conforme (meta 2030)",IF(INDEX(tbl_recyclass[Conforme_Art7_2030],MATCH(A637,tbl_recyclass[ProductId],0))="Não","Lacuna face à meta 2030","Isento")),IF(B637="EU-ENV-011",IF(INDEX(tbl_familias_ppwr[Metais_Pesados_Evidencia],MATCH(INDEX(tbl_recyclass[Familia_PPWR],MATCH(A637,tbl_recyclass[ProductId],0)),tbl_familias_ppwr[ID_Familia],0))="Em falta","Lacuna","Conforme"),IF(B637="EU-ENV-013",IF(INDEX(tbl_familias_ppwr[Declaracao_UE],MATCH(INDEX(tbl_recyclass[Familia_PPWR],MATCH(A637,tbl_recyclass[ProductId],0)),tbl_familias_ppwr[ID_Familia],0))="Sim","Conforme","Lacuna"),G637)))),G637))</f>
        <v>Não aplicável</v>
      </c>
      <c r="I637" s="33" t="str">
        <f t="shared" si="9"/>
        <v>Não aplicável</v>
      </c>
      <c r="J637" s="26"/>
    </row>
    <row r="638" spans="1:10" ht="16.05" customHeight="1" x14ac:dyDescent="0.3">
      <c r="A638" s="26" t="s">
        <v>681</v>
      </c>
      <c r="B638" s="26" t="s">
        <v>1357</v>
      </c>
      <c r="C638" s="33" t="str">
        <f>IFERROR(INDEX(tbl_requisitos_emb[Tema],MATCH(B638,tbl_requisitos_emb[ID_Req],0)),"")</f>
        <v>Identificação de plásticos</v>
      </c>
      <c r="D638" s="33" t="str">
        <f>IFERROR(INDEX(tbl_recyclass[Segmento],MATCH(A638,tbl_recyclass[ProductId],0)),"")</f>
        <v>Cosmética e higiene pessoal</v>
      </c>
      <c r="E638" s="26" t="s">
        <v>901</v>
      </c>
      <c r="F638" s="26" t="s">
        <v>1449</v>
      </c>
      <c r="G638" s="26" t="s">
        <v>978</v>
      </c>
      <c r="H638" s="33" t="str">
        <f>IF(E638="Não","Não aplicável",IFERROR(IF(B638="EU-ENV-002",IF(INDEX(tbl_recyclass[Conforme_PPWR_2030],MATCH(A638,tbl_recyclass[ProductId],0))="Sim","Conforme (autoavaliação)",IF(INDEX(tbl_recyclass[Conforme_PPWR_2030],MATCH(A638,tbl_recyclass[ProductId],0))="Não","Não conforme em 2030","Isento até 2035")),IF(B638="EU-ENV-003",IF(INDEX(tbl_recyclass[Conforme_Art7_2030],MATCH(A638,tbl_recyclass[ProductId],0))="Sim","Conforme (meta 2030)",IF(INDEX(tbl_recyclass[Conforme_Art7_2030],MATCH(A638,tbl_recyclass[ProductId],0))="Não","Lacuna face à meta 2030","Isento")),IF(B638="EU-ENV-011",IF(INDEX(tbl_familias_ppwr[Metais_Pesados_Evidencia],MATCH(INDEX(tbl_recyclass[Familia_PPWR],MATCH(A638,tbl_recyclass[ProductId],0)),tbl_familias_ppwr[ID_Familia],0))="Em falta","Lacuna","Conforme"),IF(B638="EU-ENV-013",IF(INDEX(tbl_familias_ppwr[Declaracao_UE],MATCH(INDEX(tbl_recyclass[Familia_PPWR],MATCH(A638,tbl_recyclass[ProductId],0)),tbl_familias_ppwr[ID_Familia],0))="Sim","Conforme","Lacuna"),G638)))),G638))</f>
        <v>Parcial</v>
      </c>
      <c r="I638" s="33" t="str">
        <f t="shared" si="9"/>
        <v>Parcial</v>
      </c>
      <c r="J638" s="26" t="s">
        <v>1362</v>
      </c>
    </row>
    <row r="639" spans="1:10" ht="16.05" customHeight="1" x14ac:dyDescent="0.3">
      <c r="A639" s="26" t="s">
        <v>681</v>
      </c>
      <c r="B639" s="26" t="s">
        <v>1385</v>
      </c>
      <c r="C639" s="33" t="str">
        <f>IFERROR(INDEX(tbl_requisitos_emb[Tema],MATCH(B639,tbl_requisitos_emb[ID_Req],0)),"")</f>
        <v>Reciclabilidade (voluntária)</v>
      </c>
      <c r="D639" s="33" t="str">
        <f>IFERROR(INDEX(tbl_recyclass[Segmento],MATCH(A639,tbl_recyclass[ProductId],0)),"")</f>
        <v>Cosmética e higiene pessoal</v>
      </c>
      <c r="E639" s="26" t="s">
        <v>901</v>
      </c>
      <c r="F639" s="26" t="s">
        <v>1449</v>
      </c>
      <c r="G639" s="26" t="s">
        <v>978</v>
      </c>
      <c r="H639" s="33" t="str">
        <f>IF(E639="Não","Não aplicável",IFERROR(IF(B639="EU-ENV-002",IF(INDEX(tbl_recyclass[Conforme_PPWR_2030],MATCH(A639,tbl_recyclass[ProductId],0))="Sim","Conforme (autoavaliação)",IF(INDEX(tbl_recyclass[Conforme_PPWR_2030],MATCH(A639,tbl_recyclass[ProductId],0))="Não","Não conforme em 2030","Isento até 2035")),IF(B639="EU-ENV-003",IF(INDEX(tbl_recyclass[Conforme_Art7_2030],MATCH(A639,tbl_recyclass[ProductId],0))="Sim","Conforme (meta 2030)",IF(INDEX(tbl_recyclass[Conforme_Art7_2030],MATCH(A639,tbl_recyclass[ProductId],0))="Não","Lacuna face à meta 2030","Isento")),IF(B639="EU-ENV-011",IF(INDEX(tbl_familias_ppwr[Metais_Pesados_Evidencia],MATCH(INDEX(tbl_recyclass[Familia_PPWR],MATCH(A639,tbl_recyclass[ProductId],0)),tbl_familias_ppwr[ID_Familia],0))="Em falta","Lacuna","Conforme"),IF(B639="EU-ENV-013",IF(INDEX(tbl_familias_ppwr[Declaracao_UE],MATCH(INDEX(tbl_recyclass[Familia_PPWR],MATCH(A639,tbl_recyclass[ProductId],0)),tbl_familias_ppwr[ID_Familia],0))="Sim","Conforme","Lacuna"),G639)))),G639))</f>
        <v>Parcial</v>
      </c>
      <c r="I639" s="33" t="str">
        <f t="shared" si="9"/>
        <v>Parcial</v>
      </c>
      <c r="J639" s="26" t="s">
        <v>1389</v>
      </c>
    </row>
    <row r="640" spans="1:10" ht="16.05" customHeight="1" x14ac:dyDescent="0.3">
      <c r="A640" s="26" t="s">
        <v>683</v>
      </c>
      <c r="B640" s="26" t="s">
        <v>984</v>
      </c>
      <c r="C640" s="33" t="str">
        <f>IFERROR(INDEX(tbl_requisitos_emb[Tema],MATCH(B640,tbl_requisitos_emb[ID_Req],0)),"")</f>
        <v>Conceção para reciclagem</v>
      </c>
      <c r="D640" s="33" t="str">
        <f>IFERROR(INDEX(tbl_recyclass[Segmento],MATCH(A640,tbl_recyclass[ProductId],0)),"")</f>
        <v>Cosmética e higiene pessoal</v>
      </c>
      <c r="E640" s="26" t="s">
        <v>901</v>
      </c>
      <c r="F640" s="26" t="s">
        <v>1449</v>
      </c>
      <c r="G640" s="26" t="s">
        <v>978</v>
      </c>
      <c r="H640" s="33" t="str">
        <f>IF(E640="Não","Não aplicável",IFERROR(IF(B640="EU-ENV-002",IF(INDEX(tbl_recyclass[Conforme_PPWR_2030],MATCH(A640,tbl_recyclass[ProductId],0))="Sim","Conforme (autoavaliação)",IF(INDEX(tbl_recyclass[Conforme_PPWR_2030],MATCH(A640,tbl_recyclass[ProductId],0))="Não","Não conforme em 2030","Isento até 2035")),IF(B640="EU-ENV-003",IF(INDEX(tbl_recyclass[Conforme_Art7_2030],MATCH(A640,tbl_recyclass[ProductId],0))="Sim","Conforme (meta 2030)",IF(INDEX(tbl_recyclass[Conforme_Art7_2030],MATCH(A640,tbl_recyclass[ProductId],0))="Não","Lacuna face à meta 2030","Isento")),IF(B640="EU-ENV-011",IF(INDEX(tbl_familias_ppwr[Metais_Pesados_Evidencia],MATCH(INDEX(tbl_recyclass[Familia_PPWR],MATCH(A640,tbl_recyclass[ProductId],0)),tbl_familias_ppwr[ID_Familia],0))="Em falta","Lacuna","Conforme"),IF(B640="EU-ENV-013",IF(INDEX(tbl_familias_ppwr[Declaracao_UE],MATCH(INDEX(tbl_recyclass[Familia_PPWR],MATCH(A640,tbl_recyclass[ProductId],0)),tbl_familias_ppwr[ID_Familia],0))="Sim","Conforme","Lacuna"),G640)))),G640))</f>
        <v>Conforme (autoavaliação)</v>
      </c>
      <c r="I640" s="33" t="str">
        <f t="shared" si="9"/>
        <v>Conforme</v>
      </c>
      <c r="J640" s="26" t="s">
        <v>991</v>
      </c>
    </row>
    <row r="641" spans="1:10" ht="16.05" customHeight="1" x14ac:dyDescent="0.3">
      <c r="A641" s="26" t="s">
        <v>683</v>
      </c>
      <c r="B641" s="26" t="s">
        <v>997</v>
      </c>
      <c r="C641" s="33" t="str">
        <f>IFERROR(INDEX(tbl_requisitos_emb[Tema],MATCH(B641,tbl_requisitos_emb[ID_Req],0)),"")</f>
        <v>Conteúdo reciclado</v>
      </c>
      <c r="D641" s="33" t="str">
        <f>IFERROR(INDEX(tbl_recyclass[Segmento],MATCH(A641,tbl_recyclass[ProductId],0)),"")</f>
        <v>Cosmética e higiene pessoal</v>
      </c>
      <c r="E641" s="26" t="s">
        <v>901</v>
      </c>
      <c r="F641" s="26" t="s">
        <v>1449</v>
      </c>
      <c r="G641" s="26" t="s">
        <v>978</v>
      </c>
      <c r="H641" s="33" t="str">
        <f>IF(E641="Não","Não aplicável",IFERROR(IF(B641="EU-ENV-002",IF(INDEX(tbl_recyclass[Conforme_PPWR_2030],MATCH(A641,tbl_recyclass[ProductId],0))="Sim","Conforme (autoavaliação)",IF(INDEX(tbl_recyclass[Conforme_PPWR_2030],MATCH(A641,tbl_recyclass[ProductId],0))="Não","Não conforme em 2030","Isento até 2035")),IF(B641="EU-ENV-003",IF(INDEX(tbl_recyclass[Conforme_Art7_2030],MATCH(A641,tbl_recyclass[ProductId],0))="Sim","Conforme (meta 2030)",IF(INDEX(tbl_recyclass[Conforme_Art7_2030],MATCH(A641,tbl_recyclass[ProductId],0))="Não","Lacuna face à meta 2030","Isento")),IF(B641="EU-ENV-011",IF(INDEX(tbl_familias_ppwr[Metais_Pesados_Evidencia],MATCH(INDEX(tbl_recyclass[Familia_PPWR],MATCH(A641,tbl_recyclass[ProductId],0)),tbl_familias_ppwr[ID_Familia],0))="Em falta","Lacuna","Conforme"),IF(B641="EU-ENV-013",IF(INDEX(tbl_familias_ppwr[Declaracao_UE],MATCH(INDEX(tbl_recyclass[Familia_PPWR],MATCH(A641,tbl_recyclass[ProductId],0)),tbl_familias_ppwr[ID_Familia],0))="Sim","Conforme","Lacuna"),G641)))),G641))</f>
        <v>Lacuna face à meta 2030</v>
      </c>
      <c r="I641" s="33" t="str">
        <f t="shared" si="9"/>
        <v>Lacuna</v>
      </c>
      <c r="J641" s="26" t="s">
        <v>1001</v>
      </c>
    </row>
    <row r="642" spans="1:10" ht="16.05" customHeight="1" x14ac:dyDescent="0.3">
      <c r="A642" s="26" t="s">
        <v>683</v>
      </c>
      <c r="B642" s="26" t="s">
        <v>1007</v>
      </c>
      <c r="C642" s="33" t="str">
        <f>IFERROR(INDEX(tbl_requisitos_emb[Tema],MATCH(B642,tbl_requisitos_emb[ID_Req],0)),"")</f>
        <v>Minimização</v>
      </c>
      <c r="D642" s="33" t="str">
        <f>IFERROR(INDEX(tbl_recyclass[Segmento],MATCH(A642,tbl_recyclass[ProductId],0)),"")</f>
        <v>Cosmética e higiene pessoal</v>
      </c>
      <c r="E642" s="26" t="s">
        <v>901</v>
      </c>
      <c r="F642" s="26" t="s">
        <v>1449</v>
      </c>
      <c r="G642" s="26" t="s">
        <v>978</v>
      </c>
      <c r="H642" s="33" t="str">
        <f>IF(E642="Não","Não aplicável",IFERROR(IF(B642="EU-ENV-002",IF(INDEX(tbl_recyclass[Conforme_PPWR_2030],MATCH(A642,tbl_recyclass[ProductId],0))="Sim","Conforme (autoavaliação)",IF(INDEX(tbl_recyclass[Conforme_PPWR_2030],MATCH(A642,tbl_recyclass[ProductId],0))="Não","Não conforme em 2030","Isento até 2035")),IF(B642="EU-ENV-003",IF(INDEX(tbl_recyclass[Conforme_Art7_2030],MATCH(A642,tbl_recyclass[ProductId],0))="Sim","Conforme (meta 2030)",IF(INDEX(tbl_recyclass[Conforme_Art7_2030],MATCH(A642,tbl_recyclass[ProductId],0))="Não","Lacuna face à meta 2030","Isento")),IF(B642="EU-ENV-011",IF(INDEX(tbl_familias_ppwr[Metais_Pesados_Evidencia],MATCH(INDEX(tbl_recyclass[Familia_PPWR],MATCH(A642,tbl_recyclass[ProductId],0)),tbl_familias_ppwr[ID_Familia],0))="Em falta","Lacuna","Conforme"),IF(B642="EU-ENV-013",IF(INDEX(tbl_familias_ppwr[Declaracao_UE],MATCH(INDEX(tbl_recyclass[Familia_PPWR],MATCH(A642,tbl_recyclass[ProductId],0)),tbl_familias_ppwr[ID_Familia],0))="Sim","Conforme","Lacuna"),G642)))),G642))</f>
        <v>Parcial</v>
      </c>
      <c r="I642" s="33" t="str">
        <f t="shared" ref="I642:I705" si="10">IF(ISNUMBER(SEARCH("Não aplicável",H642)),"Não aplicável",IF(ISNUMBER(SEARCH("Isento",H642)),"Isento",IF(ISNUMBER(SEARCH("Não conforme",H642)),"Não conforme",IF(ISNUMBER(SEARCH("Lacuna",H642)),"Lacuna",IF(ISNUMBER(SEARCH("Conforme",H642)),"Conforme",H642)))))</f>
        <v>Parcial</v>
      </c>
      <c r="J642" s="26" t="s">
        <v>1012</v>
      </c>
    </row>
    <row r="643" spans="1:10" ht="16.05" customHeight="1" x14ac:dyDescent="0.3">
      <c r="A643" s="26" t="s">
        <v>683</v>
      </c>
      <c r="B643" s="26" t="s">
        <v>1016</v>
      </c>
      <c r="C643" s="33" t="str">
        <f>IFERROR(INDEX(tbl_requisitos_emb[Tema],MATCH(B643,tbl_requisitos_emb[ID_Req],0)),"")</f>
        <v>Rotulagem</v>
      </c>
      <c r="D643" s="33" t="str">
        <f>IFERROR(INDEX(tbl_recyclass[Segmento],MATCH(A643,tbl_recyclass[ProductId],0)),"")</f>
        <v>Cosmética e higiene pessoal</v>
      </c>
      <c r="E643" s="26" t="s">
        <v>901</v>
      </c>
      <c r="F643" s="26" t="s">
        <v>1449</v>
      </c>
      <c r="G643" s="26" t="s">
        <v>990</v>
      </c>
      <c r="H643" s="33" t="str">
        <f>IF(E643="Não","Não aplicável",IFERROR(IF(B643="EU-ENV-002",IF(INDEX(tbl_recyclass[Conforme_PPWR_2030],MATCH(A643,tbl_recyclass[ProductId],0))="Sim","Conforme (autoavaliação)",IF(INDEX(tbl_recyclass[Conforme_PPWR_2030],MATCH(A643,tbl_recyclass[ProductId],0))="Não","Não conforme em 2030","Isento até 2035")),IF(B643="EU-ENV-003",IF(INDEX(tbl_recyclass[Conforme_Art7_2030],MATCH(A643,tbl_recyclass[ProductId],0))="Sim","Conforme (meta 2030)",IF(INDEX(tbl_recyclass[Conforme_Art7_2030],MATCH(A643,tbl_recyclass[ProductId],0))="Não","Lacuna face à meta 2030","Isento")),IF(B643="EU-ENV-011",IF(INDEX(tbl_familias_ppwr[Metais_Pesados_Evidencia],MATCH(INDEX(tbl_recyclass[Familia_PPWR],MATCH(A643,tbl_recyclass[ProductId],0)),tbl_familias_ppwr[ID_Familia],0))="Em falta","Lacuna","Conforme"),IF(B643="EU-ENV-013",IF(INDEX(tbl_familias_ppwr[Declaracao_UE],MATCH(INDEX(tbl_recyclass[Familia_PPWR],MATCH(A643,tbl_recyclass[ProductId],0)),tbl_familias_ppwr[ID_Familia],0))="Sim","Conforme","Lacuna"),G643)))),G643))</f>
        <v>Futuro</v>
      </c>
      <c r="I643" s="33" t="str">
        <f t="shared" si="10"/>
        <v>Futuro</v>
      </c>
      <c r="J643" s="26" t="s">
        <v>1021</v>
      </c>
    </row>
    <row r="644" spans="1:10" ht="16.05" customHeight="1" x14ac:dyDescent="0.3">
      <c r="A644" s="26" t="s">
        <v>683</v>
      </c>
      <c r="B644" s="26" t="s">
        <v>1038</v>
      </c>
      <c r="C644" s="33" t="str">
        <f>IFERROR(INDEX(tbl_requisitos_emb[Tema],MATCH(B644,tbl_requisitos_emb[ID_Req],0)),"")</f>
        <v>Plásticos de utilização única</v>
      </c>
      <c r="D644" s="33" t="str">
        <f>IFERROR(INDEX(tbl_recyclass[Segmento],MATCH(A644,tbl_recyclass[ProductId],0)),"")</f>
        <v>Cosmética e higiene pessoal</v>
      </c>
      <c r="E644" s="26" t="s">
        <v>904</v>
      </c>
      <c r="F644" s="26" t="s">
        <v>1450</v>
      </c>
      <c r="G644" s="26" t="s">
        <v>1143</v>
      </c>
      <c r="H644" s="33" t="str">
        <f>IF(E644="Não","Não aplicável",IFERROR(IF(B644="EU-ENV-002",IF(INDEX(tbl_recyclass[Conforme_PPWR_2030],MATCH(A644,tbl_recyclass[ProductId],0))="Sim","Conforme (autoavaliação)",IF(INDEX(tbl_recyclass[Conforme_PPWR_2030],MATCH(A644,tbl_recyclass[ProductId],0))="Não","Não conforme em 2030","Isento até 2035")),IF(B644="EU-ENV-003",IF(INDEX(tbl_recyclass[Conforme_Art7_2030],MATCH(A644,tbl_recyclass[ProductId],0))="Sim","Conforme (meta 2030)",IF(INDEX(tbl_recyclass[Conforme_Art7_2030],MATCH(A644,tbl_recyclass[ProductId],0))="Não","Lacuna face à meta 2030","Isento")),IF(B644="EU-ENV-011",IF(INDEX(tbl_familias_ppwr[Metais_Pesados_Evidencia],MATCH(INDEX(tbl_recyclass[Familia_PPWR],MATCH(A644,tbl_recyclass[ProductId],0)),tbl_familias_ppwr[ID_Familia],0))="Em falta","Lacuna","Conforme"),IF(B644="EU-ENV-013",IF(INDEX(tbl_familias_ppwr[Declaracao_UE],MATCH(INDEX(tbl_recyclass[Familia_PPWR],MATCH(A644,tbl_recyclass[ProductId],0)),tbl_familias_ppwr[ID_Familia],0))="Sim","Conforme","Lacuna"),G644)))),G644))</f>
        <v>Não aplicável</v>
      </c>
      <c r="I644" s="33" t="str">
        <f t="shared" si="10"/>
        <v>Não aplicável</v>
      </c>
      <c r="J644" s="26"/>
    </row>
    <row r="645" spans="1:10" ht="16.05" customHeight="1" x14ac:dyDescent="0.3">
      <c r="A645" s="26" t="s">
        <v>683</v>
      </c>
      <c r="B645" s="26" t="s">
        <v>1078</v>
      </c>
      <c r="C645" s="33" t="str">
        <f>IFERROR(INDEX(tbl_requisitos_emb[Tema],MATCH(B645,tbl_requisitos_emb[ID_Req],0)),"")</f>
        <v>Reciclado à escala</v>
      </c>
      <c r="D645" s="33" t="str">
        <f>IFERROR(INDEX(tbl_recyclass[Segmento],MATCH(A645,tbl_recyclass[ProductId],0)),"")</f>
        <v>Cosmética e higiene pessoal</v>
      </c>
      <c r="E645" s="26" t="s">
        <v>901</v>
      </c>
      <c r="F645" s="26" t="s">
        <v>1449</v>
      </c>
      <c r="G645" s="26" t="s">
        <v>990</v>
      </c>
      <c r="H645" s="33" t="str">
        <f>IF(E645="Não","Não aplicável",IFERROR(IF(B645="EU-ENV-002",IF(INDEX(tbl_recyclass[Conforme_PPWR_2030],MATCH(A645,tbl_recyclass[ProductId],0))="Sim","Conforme (autoavaliação)",IF(INDEX(tbl_recyclass[Conforme_PPWR_2030],MATCH(A645,tbl_recyclass[ProductId],0))="Não","Não conforme em 2030","Isento até 2035")),IF(B645="EU-ENV-003",IF(INDEX(tbl_recyclass[Conforme_Art7_2030],MATCH(A645,tbl_recyclass[ProductId],0))="Sim","Conforme (meta 2030)",IF(INDEX(tbl_recyclass[Conforme_Art7_2030],MATCH(A645,tbl_recyclass[ProductId],0))="Não","Lacuna face à meta 2030","Isento")),IF(B645="EU-ENV-011",IF(INDEX(tbl_familias_ppwr[Metais_Pesados_Evidencia],MATCH(INDEX(tbl_recyclass[Familia_PPWR],MATCH(A645,tbl_recyclass[ProductId],0)),tbl_familias_ppwr[ID_Familia],0))="Em falta","Lacuna","Conforme"),IF(B645="EU-ENV-013",IF(INDEX(tbl_familias_ppwr[Declaracao_UE],MATCH(INDEX(tbl_recyclass[Familia_PPWR],MATCH(A645,tbl_recyclass[ProductId],0)),tbl_familias_ppwr[ID_Familia],0))="Sim","Conforme","Lacuna"),G645)))),G645))</f>
        <v>Futuro</v>
      </c>
      <c r="I645" s="33" t="str">
        <f t="shared" si="10"/>
        <v>Futuro</v>
      </c>
      <c r="J645" s="26" t="s">
        <v>1082</v>
      </c>
    </row>
    <row r="646" spans="1:10" ht="16.05" customHeight="1" x14ac:dyDescent="0.3">
      <c r="A646" s="26" t="s">
        <v>683</v>
      </c>
      <c r="B646" s="26" t="s">
        <v>1086</v>
      </c>
      <c r="C646" s="33" t="str">
        <f>IFERROR(INDEX(tbl_requisitos_emb[Tema],MATCH(B646,tbl_requisitos_emb[ID_Req],0)),"")</f>
        <v>Metais pesados</v>
      </c>
      <c r="D646" s="33" t="str">
        <f>IFERROR(INDEX(tbl_recyclass[Segmento],MATCH(A646,tbl_recyclass[ProductId],0)),"")</f>
        <v>Cosmética e higiene pessoal</v>
      </c>
      <c r="E646" s="26" t="s">
        <v>901</v>
      </c>
      <c r="F646" s="26" t="s">
        <v>1449</v>
      </c>
      <c r="G646" s="26" t="s">
        <v>978</v>
      </c>
      <c r="H646" s="33" t="str">
        <f>IF(E646="Não","Não aplicável",IFERROR(IF(B646="EU-ENV-002",IF(INDEX(tbl_recyclass[Conforme_PPWR_2030],MATCH(A646,tbl_recyclass[ProductId],0))="Sim","Conforme (autoavaliação)",IF(INDEX(tbl_recyclass[Conforme_PPWR_2030],MATCH(A646,tbl_recyclass[ProductId],0))="Não","Não conforme em 2030","Isento até 2035")),IF(B646="EU-ENV-003",IF(INDEX(tbl_recyclass[Conforme_Art7_2030],MATCH(A646,tbl_recyclass[ProductId],0))="Sim","Conforme (meta 2030)",IF(INDEX(tbl_recyclass[Conforme_Art7_2030],MATCH(A646,tbl_recyclass[ProductId],0))="Não","Lacuna face à meta 2030","Isento")),IF(B646="EU-ENV-011",IF(INDEX(tbl_familias_ppwr[Metais_Pesados_Evidencia],MATCH(INDEX(tbl_recyclass[Familia_PPWR],MATCH(A646,tbl_recyclass[ProductId],0)),tbl_familias_ppwr[ID_Familia],0))="Em falta","Lacuna","Conforme"),IF(B646="EU-ENV-013",IF(INDEX(tbl_familias_ppwr[Declaracao_UE],MATCH(INDEX(tbl_recyclass[Familia_PPWR],MATCH(A646,tbl_recyclass[ProductId],0)),tbl_familias_ppwr[ID_Familia],0))="Sim","Conforme","Lacuna"),G646)))),G646))</f>
        <v>Conforme</v>
      </c>
      <c r="I646" s="33" t="str">
        <f t="shared" si="10"/>
        <v>Conforme</v>
      </c>
      <c r="J646" s="26" t="s">
        <v>1090</v>
      </c>
    </row>
    <row r="647" spans="1:10" ht="16.05" customHeight="1" x14ac:dyDescent="0.3">
      <c r="A647" s="26" t="s">
        <v>683</v>
      </c>
      <c r="B647" s="26" t="s">
        <v>1094</v>
      </c>
      <c r="C647" s="33" t="str">
        <f>IFERROR(INDEX(tbl_requisitos_emb[Tema],MATCH(B647,tbl_requisitos_emb[ID_Req],0)),"")</f>
        <v>PFAS</v>
      </c>
      <c r="D647" s="33" t="str">
        <f>IFERROR(INDEX(tbl_recyclass[Segmento],MATCH(A647,tbl_recyclass[ProductId],0)),"")</f>
        <v>Cosmética e higiene pessoal</v>
      </c>
      <c r="E647" s="26" t="s">
        <v>904</v>
      </c>
      <c r="F647" s="26" t="s">
        <v>1450</v>
      </c>
      <c r="G647" s="26" t="s">
        <v>1143</v>
      </c>
      <c r="H647" s="33" t="str">
        <f>IF(E647="Não","Não aplicável",IFERROR(IF(B647="EU-ENV-002",IF(INDEX(tbl_recyclass[Conforme_PPWR_2030],MATCH(A647,tbl_recyclass[ProductId],0))="Sim","Conforme (autoavaliação)",IF(INDEX(tbl_recyclass[Conforme_PPWR_2030],MATCH(A647,tbl_recyclass[ProductId],0))="Não","Não conforme em 2030","Isento até 2035")),IF(B647="EU-ENV-003",IF(INDEX(tbl_recyclass[Conforme_Art7_2030],MATCH(A647,tbl_recyclass[ProductId],0))="Sim","Conforme (meta 2030)",IF(INDEX(tbl_recyclass[Conforme_Art7_2030],MATCH(A647,tbl_recyclass[ProductId],0))="Não","Lacuna face à meta 2030","Isento")),IF(B647="EU-ENV-011",IF(INDEX(tbl_familias_ppwr[Metais_Pesados_Evidencia],MATCH(INDEX(tbl_recyclass[Familia_PPWR],MATCH(A647,tbl_recyclass[ProductId],0)),tbl_familias_ppwr[ID_Familia],0))="Em falta","Lacuna","Conforme"),IF(B647="EU-ENV-013",IF(INDEX(tbl_familias_ppwr[Declaracao_UE],MATCH(INDEX(tbl_recyclass[Familia_PPWR],MATCH(A647,tbl_recyclass[ProductId],0)),tbl_familias_ppwr[ID_Familia],0))="Sim","Conforme","Lacuna"),G647)))),G647))</f>
        <v>Não aplicável</v>
      </c>
      <c r="I647" s="33" t="str">
        <f t="shared" si="10"/>
        <v>Não aplicável</v>
      </c>
      <c r="J647" s="26"/>
    </row>
    <row r="648" spans="1:10" ht="16.05" customHeight="1" x14ac:dyDescent="0.3">
      <c r="A648" s="26" t="s">
        <v>683</v>
      </c>
      <c r="B648" s="26" t="s">
        <v>1102</v>
      </c>
      <c r="C648" s="33" t="str">
        <f>IFERROR(INDEX(tbl_requisitos_emb[Tema],MATCH(B648,tbl_requisitos_emb[ID_Req],0)),"")</f>
        <v>Documentação técnica e declaração UE</v>
      </c>
      <c r="D648" s="33" t="str">
        <f>IFERROR(INDEX(tbl_recyclass[Segmento],MATCH(A648,tbl_recyclass[ProductId],0)),"")</f>
        <v>Cosmética e higiene pessoal</v>
      </c>
      <c r="E648" s="26" t="s">
        <v>901</v>
      </c>
      <c r="F648" s="26" t="s">
        <v>1449</v>
      </c>
      <c r="G648" s="26" t="s">
        <v>978</v>
      </c>
      <c r="H648" s="33" t="str">
        <f>IF(E648="Não","Não aplicável",IFERROR(IF(B648="EU-ENV-002",IF(INDEX(tbl_recyclass[Conforme_PPWR_2030],MATCH(A648,tbl_recyclass[ProductId],0))="Sim","Conforme (autoavaliação)",IF(INDEX(tbl_recyclass[Conforme_PPWR_2030],MATCH(A648,tbl_recyclass[ProductId],0))="Não","Não conforme em 2030","Isento até 2035")),IF(B648="EU-ENV-003",IF(INDEX(tbl_recyclass[Conforme_Art7_2030],MATCH(A648,tbl_recyclass[ProductId],0))="Sim","Conforme (meta 2030)",IF(INDEX(tbl_recyclass[Conforme_Art7_2030],MATCH(A648,tbl_recyclass[ProductId],0))="Não","Lacuna face à meta 2030","Isento")),IF(B648="EU-ENV-011",IF(INDEX(tbl_familias_ppwr[Metais_Pesados_Evidencia],MATCH(INDEX(tbl_recyclass[Familia_PPWR],MATCH(A648,tbl_recyclass[ProductId],0)),tbl_familias_ppwr[ID_Familia],0))="Em falta","Lacuna","Conforme"),IF(B648="EU-ENV-013",IF(INDEX(tbl_familias_ppwr[Declaracao_UE],MATCH(INDEX(tbl_recyclass[Familia_PPWR],MATCH(A648,tbl_recyclass[ProductId],0)),tbl_familias_ppwr[ID_Familia],0))="Sim","Conforme","Lacuna"),G648)))),G648))</f>
        <v>Conforme</v>
      </c>
      <c r="I648" s="33" t="str">
        <f t="shared" si="10"/>
        <v>Conforme</v>
      </c>
      <c r="J648" s="26" t="s">
        <v>1106</v>
      </c>
    </row>
    <row r="649" spans="1:10" ht="16.05" customHeight="1" x14ac:dyDescent="0.3">
      <c r="A649" s="26" t="s">
        <v>683</v>
      </c>
      <c r="B649" s="26" t="s">
        <v>1161</v>
      </c>
      <c r="C649" s="33" t="str">
        <f>IFERROR(INDEX(tbl_requisitos_emb[Tema],MATCH(B649,tbl_requisitos_emb[ID_Req],0)),"")</f>
        <v>Materiais em contacto com alimentos</v>
      </c>
      <c r="D649" s="33" t="str">
        <f>IFERROR(INDEX(tbl_recyclass[Segmento],MATCH(A649,tbl_recyclass[ProductId],0)),"")</f>
        <v>Cosmética e higiene pessoal</v>
      </c>
      <c r="E649" s="26" t="s">
        <v>904</v>
      </c>
      <c r="F649" s="26" t="s">
        <v>1450</v>
      </c>
      <c r="G649" s="26" t="s">
        <v>1143</v>
      </c>
      <c r="H649" s="33" t="str">
        <f>IF(E649="Não","Não aplicável",IFERROR(IF(B649="EU-ENV-002",IF(INDEX(tbl_recyclass[Conforme_PPWR_2030],MATCH(A649,tbl_recyclass[ProductId],0))="Sim","Conforme (autoavaliação)",IF(INDEX(tbl_recyclass[Conforme_PPWR_2030],MATCH(A649,tbl_recyclass[ProductId],0))="Não","Não conforme em 2030","Isento até 2035")),IF(B649="EU-ENV-003",IF(INDEX(tbl_recyclass[Conforme_Art7_2030],MATCH(A649,tbl_recyclass[ProductId],0))="Sim","Conforme (meta 2030)",IF(INDEX(tbl_recyclass[Conforme_Art7_2030],MATCH(A649,tbl_recyclass[ProductId],0))="Não","Lacuna face à meta 2030","Isento")),IF(B649="EU-ENV-011",IF(INDEX(tbl_familias_ppwr[Metais_Pesados_Evidencia],MATCH(INDEX(tbl_recyclass[Familia_PPWR],MATCH(A649,tbl_recyclass[ProductId],0)),tbl_familias_ppwr[ID_Familia],0))="Em falta","Lacuna","Conforme"),IF(B649="EU-ENV-013",IF(INDEX(tbl_familias_ppwr[Declaracao_UE],MATCH(INDEX(tbl_recyclass[Familia_PPWR],MATCH(A649,tbl_recyclass[ProductId],0)),tbl_familias_ppwr[ID_Familia],0))="Sim","Conforme","Lacuna"),G649)))),G649))</f>
        <v>Não aplicável</v>
      </c>
      <c r="I649" s="33" t="str">
        <f t="shared" si="10"/>
        <v>Não aplicável</v>
      </c>
      <c r="J649" s="26"/>
    </row>
    <row r="650" spans="1:10" ht="16.05" customHeight="1" x14ac:dyDescent="0.3">
      <c r="A650" s="26" t="s">
        <v>683</v>
      </c>
      <c r="B650" s="26" t="s">
        <v>1170</v>
      </c>
      <c r="C650" s="33" t="str">
        <f>IFERROR(INDEX(tbl_requisitos_emb[Tema],MATCH(B650,tbl_requisitos_emb[ID_Req],0)),"")</f>
        <v>Boas práticas de fabrico FCM</v>
      </c>
      <c r="D650" s="33" t="str">
        <f>IFERROR(INDEX(tbl_recyclass[Segmento],MATCH(A650,tbl_recyclass[ProductId],0)),"")</f>
        <v>Cosmética e higiene pessoal</v>
      </c>
      <c r="E650" s="26" t="s">
        <v>904</v>
      </c>
      <c r="F650" s="26" t="s">
        <v>1450</v>
      </c>
      <c r="G650" s="26" t="s">
        <v>1143</v>
      </c>
      <c r="H650" s="33" t="str">
        <f>IF(E650="Não","Não aplicável",IFERROR(IF(B650="EU-ENV-002",IF(INDEX(tbl_recyclass[Conforme_PPWR_2030],MATCH(A650,tbl_recyclass[ProductId],0))="Sim","Conforme (autoavaliação)",IF(INDEX(tbl_recyclass[Conforme_PPWR_2030],MATCH(A650,tbl_recyclass[ProductId],0))="Não","Não conforme em 2030","Isento até 2035")),IF(B650="EU-ENV-003",IF(INDEX(tbl_recyclass[Conforme_Art7_2030],MATCH(A650,tbl_recyclass[ProductId],0))="Sim","Conforme (meta 2030)",IF(INDEX(tbl_recyclass[Conforme_Art7_2030],MATCH(A650,tbl_recyclass[ProductId],0))="Não","Lacuna face à meta 2030","Isento")),IF(B650="EU-ENV-011",IF(INDEX(tbl_familias_ppwr[Metais_Pesados_Evidencia],MATCH(INDEX(tbl_recyclass[Familia_PPWR],MATCH(A650,tbl_recyclass[ProductId],0)),tbl_familias_ppwr[ID_Familia],0))="Em falta","Lacuna","Conforme"),IF(B650="EU-ENV-013",IF(INDEX(tbl_familias_ppwr[Declaracao_UE],MATCH(INDEX(tbl_recyclass[Familia_PPWR],MATCH(A650,tbl_recyclass[ProductId],0)),tbl_familias_ppwr[ID_Familia],0))="Sim","Conforme","Lacuna"),G650)))),G650))</f>
        <v>Não aplicável</v>
      </c>
      <c r="I650" s="33" t="str">
        <f t="shared" si="10"/>
        <v>Não aplicável</v>
      </c>
      <c r="J650" s="26"/>
    </row>
    <row r="651" spans="1:10" ht="16.05" customHeight="1" x14ac:dyDescent="0.3">
      <c r="A651" s="26" t="s">
        <v>683</v>
      </c>
      <c r="B651" s="26" t="s">
        <v>1179</v>
      </c>
      <c r="C651" s="33" t="str">
        <f>IFERROR(INDEX(tbl_requisitos_emb[Tema],MATCH(B651,tbl_requisitos_emb[ID_Req],0)),"")</f>
        <v>Bisfenol A e bisfenóis perigosos</v>
      </c>
      <c r="D651" s="33" t="str">
        <f>IFERROR(INDEX(tbl_recyclass[Segmento],MATCH(A651,tbl_recyclass[ProductId],0)),"")</f>
        <v>Cosmética e higiene pessoal</v>
      </c>
      <c r="E651" s="26" t="s">
        <v>904</v>
      </c>
      <c r="F651" s="26" t="s">
        <v>1450</v>
      </c>
      <c r="G651" s="26" t="s">
        <v>1143</v>
      </c>
      <c r="H651" s="33" t="str">
        <f>IF(E651="Não","Não aplicável",IFERROR(IF(B651="EU-ENV-002",IF(INDEX(tbl_recyclass[Conforme_PPWR_2030],MATCH(A651,tbl_recyclass[ProductId],0))="Sim","Conforme (autoavaliação)",IF(INDEX(tbl_recyclass[Conforme_PPWR_2030],MATCH(A651,tbl_recyclass[ProductId],0))="Não","Não conforme em 2030","Isento até 2035")),IF(B651="EU-ENV-003",IF(INDEX(tbl_recyclass[Conforme_Art7_2030],MATCH(A651,tbl_recyclass[ProductId],0))="Sim","Conforme (meta 2030)",IF(INDEX(tbl_recyclass[Conforme_Art7_2030],MATCH(A651,tbl_recyclass[ProductId],0))="Não","Lacuna face à meta 2030","Isento")),IF(B651="EU-ENV-011",IF(INDEX(tbl_familias_ppwr[Metais_Pesados_Evidencia],MATCH(INDEX(tbl_recyclass[Familia_PPWR],MATCH(A651,tbl_recyclass[ProductId],0)),tbl_familias_ppwr[ID_Familia],0))="Em falta","Lacuna","Conforme"),IF(B651="EU-ENV-013",IF(INDEX(tbl_familias_ppwr[Declaracao_UE],MATCH(INDEX(tbl_recyclass[Familia_PPWR],MATCH(A651,tbl_recyclass[ProductId],0)),tbl_familias_ppwr[ID_Familia],0))="Sim","Conforme","Lacuna"),G651)))),G651))</f>
        <v>Não aplicável</v>
      </c>
      <c r="I651" s="33" t="str">
        <f t="shared" si="10"/>
        <v>Não aplicável</v>
      </c>
      <c r="J651" s="26"/>
    </row>
    <row r="652" spans="1:10" ht="16.05" customHeight="1" x14ac:dyDescent="0.3">
      <c r="A652" s="26" t="s">
        <v>683</v>
      </c>
      <c r="B652" s="26" t="s">
        <v>1188</v>
      </c>
      <c r="C652" s="33" t="str">
        <f>IFERROR(INDEX(tbl_requisitos_emb[Tema],MATCH(B652,tbl_requisitos_emb[ID_Req],0)),"")</f>
        <v>Plásticos em contacto com alimentos</v>
      </c>
      <c r="D652" s="33" t="str">
        <f>IFERROR(INDEX(tbl_recyclass[Segmento],MATCH(A652,tbl_recyclass[ProductId],0)),"")</f>
        <v>Cosmética e higiene pessoal</v>
      </c>
      <c r="E652" s="26" t="s">
        <v>904</v>
      </c>
      <c r="F652" s="26" t="s">
        <v>1450</v>
      </c>
      <c r="G652" s="26" t="s">
        <v>1143</v>
      </c>
      <c r="H652" s="33" t="str">
        <f>IF(E652="Não","Não aplicável",IFERROR(IF(B652="EU-ENV-002",IF(INDEX(tbl_recyclass[Conforme_PPWR_2030],MATCH(A652,tbl_recyclass[ProductId],0))="Sim","Conforme (autoavaliação)",IF(INDEX(tbl_recyclass[Conforme_PPWR_2030],MATCH(A652,tbl_recyclass[ProductId],0))="Não","Não conforme em 2030","Isento até 2035")),IF(B652="EU-ENV-003",IF(INDEX(tbl_recyclass[Conforme_Art7_2030],MATCH(A652,tbl_recyclass[ProductId],0))="Sim","Conforme (meta 2030)",IF(INDEX(tbl_recyclass[Conforme_Art7_2030],MATCH(A652,tbl_recyclass[ProductId],0))="Não","Lacuna face à meta 2030","Isento")),IF(B652="EU-ENV-011",IF(INDEX(tbl_familias_ppwr[Metais_Pesados_Evidencia],MATCH(INDEX(tbl_recyclass[Familia_PPWR],MATCH(A652,tbl_recyclass[ProductId],0)),tbl_familias_ppwr[ID_Familia],0))="Em falta","Lacuna","Conforme"),IF(B652="EU-ENV-013",IF(INDEX(tbl_familias_ppwr[Declaracao_UE],MATCH(INDEX(tbl_recyclass[Familia_PPWR],MATCH(A652,tbl_recyclass[ProductId],0)),tbl_familias_ppwr[ID_Familia],0))="Sim","Conforme","Lacuna"),G652)))),G652))</f>
        <v>Não aplicável</v>
      </c>
      <c r="I652" s="33" t="str">
        <f t="shared" si="10"/>
        <v>Não aplicável</v>
      </c>
      <c r="J652" s="26"/>
    </row>
    <row r="653" spans="1:10" ht="16.05" customHeight="1" x14ac:dyDescent="0.3">
      <c r="A653" s="26" t="s">
        <v>683</v>
      </c>
      <c r="B653" s="26" t="s">
        <v>1212</v>
      </c>
      <c r="C653" s="33" t="str">
        <f>IFERROR(INDEX(tbl_requisitos_emb[Tema],MATCH(B653,tbl_requisitos_emb[ID_Req],0)),"")</f>
        <v>Segurança do produto cosmético</v>
      </c>
      <c r="D653" s="33" t="str">
        <f>IFERROR(INDEX(tbl_recyclass[Segmento],MATCH(A653,tbl_recyclass[ProductId],0)),"")</f>
        <v>Cosmética e higiene pessoal</v>
      </c>
      <c r="E653" s="26" t="s">
        <v>901</v>
      </c>
      <c r="F653" s="26" t="s">
        <v>1449</v>
      </c>
      <c r="G653" s="26" t="s">
        <v>1033</v>
      </c>
      <c r="H653" s="33" t="str">
        <f>IF(E653="Não","Não aplicável",IFERROR(IF(B653="EU-ENV-002",IF(INDEX(tbl_recyclass[Conforme_PPWR_2030],MATCH(A653,tbl_recyclass[ProductId],0))="Sim","Conforme (autoavaliação)",IF(INDEX(tbl_recyclass[Conforme_PPWR_2030],MATCH(A653,tbl_recyclass[ProductId],0))="Não","Não conforme em 2030","Isento até 2035")),IF(B653="EU-ENV-003",IF(INDEX(tbl_recyclass[Conforme_Art7_2030],MATCH(A653,tbl_recyclass[ProductId],0))="Sim","Conforme (meta 2030)",IF(INDEX(tbl_recyclass[Conforme_Art7_2030],MATCH(A653,tbl_recyclass[ProductId],0))="Não","Lacuna face à meta 2030","Isento")),IF(B653="EU-ENV-011",IF(INDEX(tbl_familias_ppwr[Metais_Pesados_Evidencia],MATCH(INDEX(tbl_recyclass[Familia_PPWR],MATCH(A653,tbl_recyclass[ProductId],0)),tbl_familias_ppwr[ID_Familia],0))="Em falta","Lacuna","Conforme"),IF(B653="EU-ENV-013",IF(INDEX(tbl_familias_ppwr[Declaracao_UE],MATCH(INDEX(tbl_recyclass[Familia_PPWR],MATCH(A653,tbl_recyclass[ProductId],0)),tbl_familias_ppwr[ID_Familia],0))="Sim","Conforme","Lacuna"),G653)))),G653))</f>
        <v>Conforme</v>
      </c>
      <c r="I653" s="33" t="str">
        <f t="shared" si="10"/>
        <v>Conforme</v>
      </c>
      <c r="J653" s="26" t="s">
        <v>1221</v>
      </c>
    </row>
    <row r="654" spans="1:10" ht="16.05" customHeight="1" x14ac:dyDescent="0.3">
      <c r="A654" s="26" t="s">
        <v>683</v>
      </c>
      <c r="B654" s="26" t="s">
        <v>1224</v>
      </c>
      <c r="C654" s="33" t="str">
        <f>IFERROR(INDEX(tbl_requisitos_emb[Tema],MATCH(B654,tbl_requisitos_emb[ID_Req],0)),"")</f>
        <v>Materiais e impurezas</v>
      </c>
      <c r="D654" s="33" t="str">
        <f>IFERROR(INDEX(tbl_recyclass[Segmento],MATCH(A654,tbl_recyclass[ProductId],0)),"")</f>
        <v>Cosmética e higiene pessoal</v>
      </c>
      <c r="E654" s="26" t="s">
        <v>901</v>
      </c>
      <c r="F654" s="26" t="s">
        <v>1449</v>
      </c>
      <c r="G654" s="26" t="s">
        <v>978</v>
      </c>
      <c r="H654" s="33" t="str">
        <f>IF(E654="Não","Não aplicável",IFERROR(IF(B654="EU-ENV-002",IF(INDEX(tbl_recyclass[Conforme_PPWR_2030],MATCH(A654,tbl_recyclass[ProductId],0))="Sim","Conforme (autoavaliação)",IF(INDEX(tbl_recyclass[Conforme_PPWR_2030],MATCH(A654,tbl_recyclass[ProductId],0))="Não","Não conforme em 2030","Isento até 2035")),IF(B654="EU-ENV-003",IF(INDEX(tbl_recyclass[Conforme_Art7_2030],MATCH(A654,tbl_recyclass[ProductId],0))="Sim","Conforme (meta 2030)",IF(INDEX(tbl_recyclass[Conforme_Art7_2030],MATCH(A654,tbl_recyclass[ProductId],0))="Não","Lacuna face à meta 2030","Isento")),IF(B654="EU-ENV-011",IF(INDEX(tbl_familias_ppwr[Metais_Pesados_Evidencia],MATCH(INDEX(tbl_recyclass[Familia_PPWR],MATCH(A654,tbl_recyclass[ProductId],0)),tbl_familias_ppwr[ID_Familia],0))="Em falta","Lacuna","Conforme"),IF(B654="EU-ENV-013",IF(INDEX(tbl_familias_ppwr[Declaracao_UE],MATCH(INDEX(tbl_recyclass[Familia_PPWR],MATCH(A654,tbl_recyclass[ProductId],0)),tbl_familias_ppwr[ID_Familia],0))="Sim","Conforme","Lacuna"),G654)))),G654))</f>
        <v>Parcial</v>
      </c>
      <c r="I654" s="33" t="str">
        <f t="shared" si="10"/>
        <v>Parcial</v>
      </c>
      <c r="J654" s="26" t="s">
        <v>1228</v>
      </c>
    </row>
    <row r="655" spans="1:10" ht="16.05" customHeight="1" x14ac:dyDescent="0.3">
      <c r="A655" s="26" t="s">
        <v>683</v>
      </c>
      <c r="B655" s="26" t="s">
        <v>1240</v>
      </c>
      <c r="C655" s="33" t="str">
        <f>IFERROR(INDEX(tbl_requisitos_emb[Tema],MATCH(B655,tbl_requisitos_emb[ID_Req],0)),"")</f>
        <v>Compatibilidade embalagem–produto</v>
      </c>
      <c r="D655" s="33" t="str">
        <f>IFERROR(INDEX(tbl_recyclass[Segmento],MATCH(A655,tbl_recyclass[ProductId],0)),"")</f>
        <v>Cosmética e higiene pessoal</v>
      </c>
      <c r="E655" s="26" t="s">
        <v>901</v>
      </c>
      <c r="F655" s="26" t="s">
        <v>1449</v>
      </c>
      <c r="G655" s="26" t="s">
        <v>1033</v>
      </c>
      <c r="H655" s="33" t="str">
        <f>IF(E655="Não","Não aplicável",IFERROR(IF(B655="EU-ENV-002",IF(INDEX(tbl_recyclass[Conforme_PPWR_2030],MATCH(A655,tbl_recyclass[ProductId],0))="Sim","Conforme (autoavaliação)",IF(INDEX(tbl_recyclass[Conforme_PPWR_2030],MATCH(A655,tbl_recyclass[ProductId],0))="Não","Não conforme em 2030","Isento até 2035")),IF(B655="EU-ENV-003",IF(INDEX(tbl_recyclass[Conforme_Art7_2030],MATCH(A655,tbl_recyclass[ProductId],0))="Sim","Conforme (meta 2030)",IF(INDEX(tbl_recyclass[Conforme_Art7_2030],MATCH(A655,tbl_recyclass[ProductId],0))="Não","Lacuna face à meta 2030","Isento")),IF(B655="EU-ENV-011",IF(INDEX(tbl_familias_ppwr[Metais_Pesados_Evidencia],MATCH(INDEX(tbl_recyclass[Familia_PPWR],MATCH(A655,tbl_recyclass[ProductId],0)),tbl_familias_ppwr[ID_Familia],0))="Em falta","Lacuna","Conforme"),IF(B655="EU-ENV-013",IF(INDEX(tbl_familias_ppwr[Declaracao_UE],MATCH(INDEX(tbl_recyclass[Familia_PPWR],MATCH(A655,tbl_recyclass[ProductId],0)),tbl_familias_ppwr[ID_Familia],0))="Sim","Conforme","Lacuna"),G655)))),G655))</f>
        <v>Conforme</v>
      </c>
      <c r="I655" s="33" t="str">
        <f t="shared" si="10"/>
        <v>Conforme</v>
      </c>
      <c r="J655" s="26" t="s">
        <v>1244</v>
      </c>
    </row>
    <row r="656" spans="1:10" ht="16.05" customHeight="1" x14ac:dyDescent="0.3">
      <c r="A656" s="26" t="s">
        <v>683</v>
      </c>
      <c r="B656" s="26" t="s">
        <v>1252</v>
      </c>
      <c r="C656" s="33" t="str">
        <f>IFERROR(INDEX(tbl_requisitos_emb[Tema],MATCH(B656,tbl_requisitos_emb[ID_Req],0)),"")</f>
        <v>Medicamentos de uso humano</v>
      </c>
      <c r="D656" s="33" t="str">
        <f>IFERROR(INDEX(tbl_recyclass[Segmento],MATCH(A656,tbl_recyclass[ProductId],0)),"")</f>
        <v>Cosmética e higiene pessoal</v>
      </c>
      <c r="E656" s="26" t="s">
        <v>904</v>
      </c>
      <c r="F656" s="26" t="s">
        <v>1451</v>
      </c>
      <c r="G656" s="26" t="s">
        <v>1143</v>
      </c>
      <c r="H656" s="33" t="str">
        <f>IF(E656="Não","Não aplicável",IFERROR(IF(B656="EU-ENV-002",IF(INDEX(tbl_recyclass[Conforme_PPWR_2030],MATCH(A656,tbl_recyclass[ProductId],0))="Sim","Conforme (autoavaliação)",IF(INDEX(tbl_recyclass[Conforme_PPWR_2030],MATCH(A656,tbl_recyclass[ProductId],0))="Não","Não conforme em 2030","Isento até 2035")),IF(B656="EU-ENV-003",IF(INDEX(tbl_recyclass[Conforme_Art7_2030],MATCH(A656,tbl_recyclass[ProductId],0))="Sim","Conforme (meta 2030)",IF(INDEX(tbl_recyclass[Conforme_Art7_2030],MATCH(A656,tbl_recyclass[ProductId],0))="Não","Lacuna face à meta 2030","Isento")),IF(B656="EU-ENV-011",IF(INDEX(tbl_familias_ppwr[Metais_Pesados_Evidencia],MATCH(INDEX(tbl_recyclass[Familia_PPWR],MATCH(A656,tbl_recyclass[ProductId],0)),tbl_familias_ppwr[ID_Familia],0))="Em falta","Lacuna","Conforme"),IF(B656="EU-ENV-013",IF(INDEX(tbl_familias_ppwr[Declaracao_UE],MATCH(INDEX(tbl_recyclass[Familia_PPWR],MATCH(A656,tbl_recyclass[ProductId],0)),tbl_familias_ppwr[ID_Familia],0))="Sim","Conforme","Lacuna"),G656)))),G656))</f>
        <v>Não aplicável</v>
      </c>
      <c r="I656" s="33" t="str">
        <f t="shared" si="10"/>
        <v>Não aplicável</v>
      </c>
      <c r="J656" s="26"/>
    </row>
    <row r="657" spans="1:10" ht="16.05" customHeight="1" x14ac:dyDescent="0.3">
      <c r="A657" s="26" t="s">
        <v>683</v>
      </c>
      <c r="B657" s="26" t="s">
        <v>1268</v>
      </c>
      <c r="C657" s="33" t="str">
        <f>IFERROR(INDEX(tbl_requisitos_emb[Tema],MATCH(B657,tbl_requisitos_emb[ID_Req],0)),"")</f>
        <v>Dispositivos de segurança</v>
      </c>
      <c r="D657" s="33" t="str">
        <f>IFERROR(INDEX(tbl_recyclass[Segmento],MATCH(A657,tbl_recyclass[ProductId],0)),"")</f>
        <v>Cosmética e higiene pessoal</v>
      </c>
      <c r="E657" s="26" t="s">
        <v>904</v>
      </c>
      <c r="F657" s="26" t="s">
        <v>1451</v>
      </c>
      <c r="G657" s="26" t="s">
        <v>1143</v>
      </c>
      <c r="H657" s="33" t="str">
        <f>IF(E657="Não","Não aplicável",IFERROR(IF(B657="EU-ENV-002",IF(INDEX(tbl_recyclass[Conforme_PPWR_2030],MATCH(A657,tbl_recyclass[ProductId],0))="Sim","Conforme (autoavaliação)",IF(INDEX(tbl_recyclass[Conforme_PPWR_2030],MATCH(A657,tbl_recyclass[ProductId],0))="Não","Não conforme em 2030","Isento até 2035")),IF(B657="EU-ENV-003",IF(INDEX(tbl_recyclass[Conforme_Art7_2030],MATCH(A657,tbl_recyclass[ProductId],0))="Sim","Conforme (meta 2030)",IF(INDEX(tbl_recyclass[Conforme_Art7_2030],MATCH(A657,tbl_recyclass[ProductId],0))="Não","Lacuna face à meta 2030","Isento")),IF(B657="EU-ENV-011",IF(INDEX(tbl_familias_ppwr[Metais_Pesados_Evidencia],MATCH(INDEX(tbl_recyclass[Familia_PPWR],MATCH(A657,tbl_recyclass[ProductId],0)),tbl_familias_ppwr[ID_Familia],0))="Em falta","Lacuna","Conforme"),IF(B657="EU-ENV-013",IF(INDEX(tbl_familias_ppwr[Declaracao_UE],MATCH(INDEX(tbl_recyclass[Familia_PPWR],MATCH(A657,tbl_recyclass[ProductId],0)),tbl_familias_ppwr[ID_Familia],0))="Sim","Conforme","Lacuna"),G657)))),G657))</f>
        <v>Não aplicável</v>
      </c>
      <c r="I657" s="33" t="str">
        <f t="shared" si="10"/>
        <v>Não aplicável</v>
      </c>
      <c r="J657" s="26"/>
    </row>
    <row r="658" spans="1:10" ht="16.05" customHeight="1" x14ac:dyDescent="0.3">
      <c r="A658" s="26" t="s">
        <v>683</v>
      </c>
      <c r="B658" s="26" t="s">
        <v>1285</v>
      </c>
      <c r="C658" s="33" t="str">
        <f>IFERROR(INDEX(tbl_requisitos_emb[Tema],MATCH(B658,tbl_requisitos_emb[ID_Req],0)),"")</f>
        <v>Materiais plásticos de acondicionamento primário</v>
      </c>
      <c r="D658" s="33" t="str">
        <f>IFERROR(INDEX(tbl_recyclass[Segmento],MATCH(A658,tbl_recyclass[ProductId],0)),"")</f>
        <v>Cosmética e higiene pessoal</v>
      </c>
      <c r="E658" s="26" t="s">
        <v>904</v>
      </c>
      <c r="F658" s="26" t="s">
        <v>1451</v>
      </c>
      <c r="G658" s="26" t="s">
        <v>1143</v>
      </c>
      <c r="H658" s="33" t="str">
        <f>IF(E658="Não","Não aplicável",IFERROR(IF(B658="EU-ENV-002",IF(INDEX(tbl_recyclass[Conforme_PPWR_2030],MATCH(A658,tbl_recyclass[ProductId],0))="Sim","Conforme (autoavaliação)",IF(INDEX(tbl_recyclass[Conforme_PPWR_2030],MATCH(A658,tbl_recyclass[ProductId],0))="Não","Não conforme em 2030","Isento até 2035")),IF(B658="EU-ENV-003",IF(INDEX(tbl_recyclass[Conforme_Art7_2030],MATCH(A658,tbl_recyclass[ProductId],0))="Sim","Conforme (meta 2030)",IF(INDEX(tbl_recyclass[Conforme_Art7_2030],MATCH(A658,tbl_recyclass[ProductId],0))="Não","Lacuna face à meta 2030","Isento")),IF(B658="EU-ENV-011",IF(INDEX(tbl_familias_ppwr[Metais_Pesados_Evidencia],MATCH(INDEX(tbl_recyclass[Familia_PPWR],MATCH(A658,tbl_recyclass[ProductId],0)),tbl_familias_ppwr[ID_Familia],0))="Em falta","Lacuna","Conforme"),IF(B658="EU-ENV-013",IF(INDEX(tbl_familias_ppwr[Declaracao_UE],MATCH(INDEX(tbl_recyclass[Familia_PPWR],MATCH(A658,tbl_recyclass[ProductId],0)),tbl_familias_ppwr[ID_Familia],0))="Sim","Conforme","Lacuna"),G658)))),G658))</f>
        <v>Não aplicável</v>
      </c>
      <c r="I658" s="33" t="str">
        <f t="shared" si="10"/>
        <v>Não aplicável</v>
      </c>
      <c r="J658" s="26"/>
    </row>
    <row r="659" spans="1:10" ht="16.05" customHeight="1" x14ac:dyDescent="0.3">
      <c r="A659" s="26" t="s">
        <v>683</v>
      </c>
      <c r="B659" s="26" t="s">
        <v>1293</v>
      </c>
      <c r="C659" s="33" t="str">
        <f>IFERROR(INDEX(tbl_requisitos_emb[Tema],MATCH(B659,tbl_requisitos_emb[ID_Req],0)),"")</f>
        <v>Isenções PPWR</v>
      </c>
      <c r="D659" s="33" t="str">
        <f>IFERROR(INDEX(tbl_recyclass[Segmento],MATCH(A659,tbl_recyclass[ProductId],0)),"")</f>
        <v>Cosmética e higiene pessoal</v>
      </c>
      <c r="E659" s="26" t="s">
        <v>904</v>
      </c>
      <c r="F659" s="26" t="s">
        <v>1451</v>
      </c>
      <c r="G659" s="26" t="s">
        <v>1143</v>
      </c>
      <c r="H659" s="33" t="str">
        <f>IF(E659="Não","Não aplicável",IFERROR(IF(B659="EU-ENV-002",IF(INDEX(tbl_recyclass[Conforme_PPWR_2030],MATCH(A659,tbl_recyclass[ProductId],0))="Sim","Conforme (autoavaliação)",IF(INDEX(tbl_recyclass[Conforme_PPWR_2030],MATCH(A659,tbl_recyclass[ProductId],0))="Não","Não conforme em 2030","Isento até 2035")),IF(B659="EU-ENV-003",IF(INDEX(tbl_recyclass[Conforme_Art7_2030],MATCH(A659,tbl_recyclass[ProductId],0))="Sim","Conforme (meta 2030)",IF(INDEX(tbl_recyclass[Conforme_Art7_2030],MATCH(A659,tbl_recyclass[ProductId],0))="Não","Lacuna face à meta 2030","Isento")),IF(B659="EU-ENV-011",IF(INDEX(tbl_familias_ppwr[Metais_Pesados_Evidencia],MATCH(INDEX(tbl_recyclass[Familia_PPWR],MATCH(A659,tbl_recyclass[ProductId],0)),tbl_familias_ppwr[ID_Familia],0))="Em falta","Lacuna","Conforme"),IF(B659="EU-ENV-013",IF(INDEX(tbl_familias_ppwr[Declaracao_UE],MATCH(INDEX(tbl_recyclass[Familia_PPWR],MATCH(A659,tbl_recyclass[ProductId],0)),tbl_familias_ppwr[ID_Familia],0))="Sim","Conforme","Lacuna"),G659)))),G659))</f>
        <v>Não aplicável</v>
      </c>
      <c r="I659" s="33" t="str">
        <f t="shared" si="10"/>
        <v>Não aplicável</v>
      </c>
      <c r="J659" s="26"/>
    </row>
    <row r="660" spans="1:10" ht="16.05" customHeight="1" x14ac:dyDescent="0.3">
      <c r="A660" s="26" t="s">
        <v>683</v>
      </c>
      <c r="B660" s="26" t="s">
        <v>1357</v>
      </c>
      <c r="C660" s="33" t="str">
        <f>IFERROR(INDEX(tbl_requisitos_emb[Tema],MATCH(B660,tbl_requisitos_emb[ID_Req],0)),"")</f>
        <v>Identificação de plásticos</v>
      </c>
      <c r="D660" s="33" t="str">
        <f>IFERROR(INDEX(tbl_recyclass[Segmento],MATCH(A660,tbl_recyclass[ProductId],0)),"")</f>
        <v>Cosmética e higiene pessoal</v>
      </c>
      <c r="E660" s="26" t="s">
        <v>901</v>
      </c>
      <c r="F660" s="26" t="s">
        <v>1449</v>
      </c>
      <c r="G660" s="26" t="s">
        <v>978</v>
      </c>
      <c r="H660" s="33" t="str">
        <f>IF(E660="Não","Não aplicável",IFERROR(IF(B660="EU-ENV-002",IF(INDEX(tbl_recyclass[Conforme_PPWR_2030],MATCH(A660,tbl_recyclass[ProductId],0))="Sim","Conforme (autoavaliação)",IF(INDEX(tbl_recyclass[Conforme_PPWR_2030],MATCH(A660,tbl_recyclass[ProductId],0))="Não","Não conforme em 2030","Isento até 2035")),IF(B660="EU-ENV-003",IF(INDEX(tbl_recyclass[Conforme_Art7_2030],MATCH(A660,tbl_recyclass[ProductId],0))="Sim","Conforme (meta 2030)",IF(INDEX(tbl_recyclass[Conforme_Art7_2030],MATCH(A660,tbl_recyclass[ProductId],0))="Não","Lacuna face à meta 2030","Isento")),IF(B660="EU-ENV-011",IF(INDEX(tbl_familias_ppwr[Metais_Pesados_Evidencia],MATCH(INDEX(tbl_recyclass[Familia_PPWR],MATCH(A660,tbl_recyclass[ProductId],0)),tbl_familias_ppwr[ID_Familia],0))="Em falta","Lacuna","Conforme"),IF(B660="EU-ENV-013",IF(INDEX(tbl_familias_ppwr[Declaracao_UE],MATCH(INDEX(tbl_recyclass[Familia_PPWR],MATCH(A660,tbl_recyclass[ProductId],0)),tbl_familias_ppwr[ID_Familia],0))="Sim","Conforme","Lacuna"),G660)))),G660))</f>
        <v>Parcial</v>
      </c>
      <c r="I660" s="33" t="str">
        <f t="shared" si="10"/>
        <v>Parcial</v>
      </c>
      <c r="J660" s="26" t="s">
        <v>1362</v>
      </c>
    </row>
    <row r="661" spans="1:10" ht="16.05" customHeight="1" x14ac:dyDescent="0.3">
      <c r="A661" s="26" t="s">
        <v>683</v>
      </c>
      <c r="B661" s="26" t="s">
        <v>1385</v>
      </c>
      <c r="C661" s="33" t="str">
        <f>IFERROR(INDEX(tbl_requisitos_emb[Tema],MATCH(B661,tbl_requisitos_emb[ID_Req],0)),"")</f>
        <v>Reciclabilidade (voluntária)</v>
      </c>
      <c r="D661" s="33" t="str">
        <f>IFERROR(INDEX(tbl_recyclass[Segmento],MATCH(A661,tbl_recyclass[ProductId],0)),"")</f>
        <v>Cosmética e higiene pessoal</v>
      </c>
      <c r="E661" s="26" t="s">
        <v>901</v>
      </c>
      <c r="F661" s="26" t="s">
        <v>1449</v>
      </c>
      <c r="G661" s="26" t="s">
        <v>978</v>
      </c>
      <c r="H661" s="33" t="str">
        <f>IF(E661="Não","Não aplicável",IFERROR(IF(B661="EU-ENV-002",IF(INDEX(tbl_recyclass[Conforme_PPWR_2030],MATCH(A661,tbl_recyclass[ProductId],0))="Sim","Conforme (autoavaliação)",IF(INDEX(tbl_recyclass[Conforme_PPWR_2030],MATCH(A661,tbl_recyclass[ProductId],0))="Não","Não conforme em 2030","Isento até 2035")),IF(B661="EU-ENV-003",IF(INDEX(tbl_recyclass[Conforme_Art7_2030],MATCH(A661,tbl_recyclass[ProductId],0))="Sim","Conforme (meta 2030)",IF(INDEX(tbl_recyclass[Conforme_Art7_2030],MATCH(A661,tbl_recyclass[ProductId],0))="Não","Lacuna face à meta 2030","Isento")),IF(B661="EU-ENV-011",IF(INDEX(tbl_familias_ppwr[Metais_Pesados_Evidencia],MATCH(INDEX(tbl_recyclass[Familia_PPWR],MATCH(A661,tbl_recyclass[ProductId],0)),tbl_familias_ppwr[ID_Familia],0))="Em falta","Lacuna","Conforme"),IF(B661="EU-ENV-013",IF(INDEX(tbl_familias_ppwr[Declaracao_UE],MATCH(INDEX(tbl_recyclass[Familia_PPWR],MATCH(A661,tbl_recyclass[ProductId],0)),tbl_familias_ppwr[ID_Familia],0))="Sim","Conforme","Lacuna"),G661)))),G661))</f>
        <v>Parcial</v>
      </c>
      <c r="I661" s="33" t="str">
        <f t="shared" si="10"/>
        <v>Parcial</v>
      </c>
      <c r="J661" s="26" t="s">
        <v>1389</v>
      </c>
    </row>
    <row r="662" spans="1:10" ht="16.05" customHeight="1" x14ac:dyDescent="0.3">
      <c r="A662" s="26" t="s">
        <v>685</v>
      </c>
      <c r="B662" s="26" t="s">
        <v>984</v>
      </c>
      <c r="C662" s="33" t="str">
        <f>IFERROR(INDEX(tbl_requisitos_emb[Tema],MATCH(B662,tbl_requisitos_emb[ID_Req],0)),"")</f>
        <v>Conceção para reciclagem</v>
      </c>
      <c r="D662" s="33" t="str">
        <f>IFERROR(INDEX(tbl_recyclass[Segmento],MATCH(A662,tbl_recyclass[ProductId],0)),"")</f>
        <v>Cosmética e higiene pessoal</v>
      </c>
      <c r="E662" s="26" t="s">
        <v>901</v>
      </c>
      <c r="F662" s="26" t="s">
        <v>1449</v>
      </c>
      <c r="G662" s="26" t="s">
        <v>978</v>
      </c>
      <c r="H662" s="33" t="str">
        <f>IF(E662="Não","Não aplicável",IFERROR(IF(B662="EU-ENV-002",IF(INDEX(tbl_recyclass[Conforme_PPWR_2030],MATCH(A662,tbl_recyclass[ProductId],0))="Sim","Conforme (autoavaliação)",IF(INDEX(tbl_recyclass[Conforme_PPWR_2030],MATCH(A662,tbl_recyclass[ProductId],0))="Não","Não conforme em 2030","Isento até 2035")),IF(B662="EU-ENV-003",IF(INDEX(tbl_recyclass[Conforme_Art7_2030],MATCH(A662,tbl_recyclass[ProductId],0))="Sim","Conforme (meta 2030)",IF(INDEX(tbl_recyclass[Conforme_Art7_2030],MATCH(A662,tbl_recyclass[ProductId],0))="Não","Lacuna face à meta 2030","Isento")),IF(B662="EU-ENV-011",IF(INDEX(tbl_familias_ppwr[Metais_Pesados_Evidencia],MATCH(INDEX(tbl_recyclass[Familia_PPWR],MATCH(A662,tbl_recyclass[ProductId],0)),tbl_familias_ppwr[ID_Familia],0))="Em falta","Lacuna","Conforme"),IF(B662="EU-ENV-013",IF(INDEX(tbl_familias_ppwr[Declaracao_UE],MATCH(INDEX(tbl_recyclass[Familia_PPWR],MATCH(A662,tbl_recyclass[ProductId],0)),tbl_familias_ppwr[ID_Familia],0))="Sim","Conforme","Lacuna"),G662)))),G662))</f>
        <v>Conforme (autoavaliação)</v>
      </c>
      <c r="I662" s="33" t="str">
        <f t="shared" si="10"/>
        <v>Conforme</v>
      </c>
      <c r="J662" s="26" t="s">
        <v>991</v>
      </c>
    </row>
    <row r="663" spans="1:10" ht="16.05" customHeight="1" x14ac:dyDescent="0.3">
      <c r="A663" s="26" t="s">
        <v>685</v>
      </c>
      <c r="B663" s="26" t="s">
        <v>997</v>
      </c>
      <c r="C663" s="33" t="str">
        <f>IFERROR(INDEX(tbl_requisitos_emb[Tema],MATCH(B663,tbl_requisitos_emb[ID_Req],0)),"")</f>
        <v>Conteúdo reciclado</v>
      </c>
      <c r="D663" s="33" t="str">
        <f>IFERROR(INDEX(tbl_recyclass[Segmento],MATCH(A663,tbl_recyclass[ProductId],0)),"")</f>
        <v>Cosmética e higiene pessoal</v>
      </c>
      <c r="E663" s="26" t="s">
        <v>901</v>
      </c>
      <c r="F663" s="26" t="s">
        <v>1449</v>
      </c>
      <c r="G663" s="26" t="s">
        <v>978</v>
      </c>
      <c r="H663" s="33" t="str">
        <f>IF(E663="Não","Não aplicável",IFERROR(IF(B663="EU-ENV-002",IF(INDEX(tbl_recyclass[Conforme_PPWR_2030],MATCH(A663,tbl_recyclass[ProductId],0))="Sim","Conforme (autoavaliação)",IF(INDEX(tbl_recyclass[Conforme_PPWR_2030],MATCH(A663,tbl_recyclass[ProductId],0))="Não","Não conforme em 2030","Isento até 2035")),IF(B663="EU-ENV-003",IF(INDEX(tbl_recyclass[Conforme_Art7_2030],MATCH(A663,tbl_recyclass[ProductId],0))="Sim","Conforme (meta 2030)",IF(INDEX(tbl_recyclass[Conforme_Art7_2030],MATCH(A663,tbl_recyclass[ProductId],0))="Não","Lacuna face à meta 2030","Isento")),IF(B663="EU-ENV-011",IF(INDEX(tbl_familias_ppwr[Metais_Pesados_Evidencia],MATCH(INDEX(tbl_recyclass[Familia_PPWR],MATCH(A663,tbl_recyclass[ProductId],0)),tbl_familias_ppwr[ID_Familia],0))="Em falta","Lacuna","Conforme"),IF(B663="EU-ENV-013",IF(INDEX(tbl_familias_ppwr[Declaracao_UE],MATCH(INDEX(tbl_recyclass[Familia_PPWR],MATCH(A663,tbl_recyclass[ProductId],0)),tbl_familias_ppwr[ID_Familia],0))="Sim","Conforme","Lacuna"),G663)))),G663))</f>
        <v>Lacuna face à meta 2030</v>
      </c>
      <c r="I663" s="33" t="str">
        <f t="shared" si="10"/>
        <v>Lacuna</v>
      </c>
      <c r="J663" s="26" t="s">
        <v>1001</v>
      </c>
    </row>
    <row r="664" spans="1:10" ht="16.05" customHeight="1" x14ac:dyDescent="0.3">
      <c r="A664" s="26" t="s">
        <v>685</v>
      </c>
      <c r="B664" s="26" t="s">
        <v>1007</v>
      </c>
      <c r="C664" s="33" t="str">
        <f>IFERROR(INDEX(tbl_requisitos_emb[Tema],MATCH(B664,tbl_requisitos_emb[ID_Req],0)),"")</f>
        <v>Minimização</v>
      </c>
      <c r="D664" s="33" t="str">
        <f>IFERROR(INDEX(tbl_recyclass[Segmento],MATCH(A664,tbl_recyclass[ProductId],0)),"")</f>
        <v>Cosmética e higiene pessoal</v>
      </c>
      <c r="E664" s="26" t="s">
        <v>901</v>
      </c>
      <c r="F664" s="26" t="s">
        <v>1449</v>
      </c>
      <c r="G664" s="26" t="s">
        <v>978</v>
      </c>
      <c r="H664" s="33" t="str">
        <f>IF(E664="Não","Não aplicável",IFERROR(IF(B664="EU-ENV-002",IF(INDEX(tbl_recyclass[Conforme_PPWR_2030],MATCH(A664,tbl_recyclass[ProductId],0))="Sim","Conforme (autoavaliação)",IF(INDEX(tbl_recyclass[Conforme_PPWR_2030],MATCH(A664,tbl_recyclass[ProductId],0))="Não","Não conforme em 2030","Isento até 2035")),IF(B664="EU-ENV-003",IF(INDEX(tbl_recyclass[Conforme_Art7_2030],MATCH(A664,tbl_recyclass[ProductId],0))="Sim","Conforme (meta 2030)",IF(INDEX(tbl_recyclass[Conforme_Art7_2030],MATCH(A664,tbl_recyclass[ProductId],0))="Não","Lacuna face à meta 2030","Isento")),IF(B664="EU-ENV-011",IF(INDEX(tbl_familias_ppwr[Metais_Pesados_Evidencia],MATCH(INDEX(tbl_recyclass[Familia_PPWR],MATCH(A664,tbl_recyclass[ProductId],0)),tbl_familias_ppwr[ID_Familia],0))="Em falta","Lacuna","Conforme"),IF(B664="EU-ENV-013",IF(INDEX(tbl_familias_ppwr[Declaracao_UE],MATCH(INDEX(tbl_recyclass[Familia_PPWR],MATCH(A664,tbl_recyclass[ProductId],0)),tbl_familias_ppwr[ID_Familia],0))="Sim","Conforme","Lacuna"),G664)))),G664))</f>
        <v>Parcial</v>
      </c>
      <c r="I664" s="33" t="str">
        <f t="shared" si="10"/>
        <v>Parcial</v>
      </c>
      <c r="J664" s="26" t="s">
        <v>1012</v>
      </c>
    </row>
    <row r="665" spans="1:10" ht="16.05" customHeight="1" x14ac:dyDescent="0.3">
      <c r="A665" s="26" t="s">
        <v>685</v>
      </c>
      <c r="B665" s="26" t="s">
        <v>1016</v>
      </c>
      <c r="C665" s="33" t="str">
        <f>IFERROR(INDEX(tbl_requisitos_emb[Tema],MATCH(B665,tbl_requisitos_emb[ID_Req],0)),"")</f>
        <v>Rotulagem</v>
      </c>
      <c r="D665" s="33" t="str">
        <f>IFERROR(INDEX(tbl_recyclass[Segmento],MATCH(A665,tbl_recyclass[ProductId],0)),"")</f>
        <v>Cosmética e higiene pessoal</v>
      </c>
      <c r="E665" s="26" t="s">
        <v>901</v>
      </c>
      <c r="F665" s="26" t="s">
        <v>1449</v>
      </c>
      <c r="G665" s="26" t="s">
        <v>990</v>
      </c>
      <c r="H665" s="33" t="str">
        <f>IF(E665="Não","Não aplicável",IFERROR(IF(B665="EU-ENV-002",IF(INDEX(tbl_recyclass[Conforme_PPWR_2030],MATCH(A665,tbl_recyclass[ProductId],0))="Sim","Conforme (autoavaliação)",IF(INDEX(tbl_recyclass[Conforme_PPWR_2030],MATCH(A665,tbl_recyclass[ProductId],0))="Não","Não conforme em 2030","Isento até 2035")),IF(B665="EU-ENV-003",IF(INDEX(tbl_recyclass[Conforme_Art7_2030],MATCH(A665,tbl_recyclass[ProductId],0))="Sim","Conforme (meta 2030)",IF(INDEX(tbl_recyclass[Conforme_Art7_2030],MATCH(A665,tbl_recyclass[ProductId],0))="Não","Lacuna face à meta 2030","Isento")),IF(B665="EU-ENV-011",IF(INDEX(tbl_familias_ppwr[Metais_Pesados_Evidencia],MATCH(INDEX(tbl_recyclass[Familia_PPWR],MATCH(A665,tbl_recyclass[ProductId],0)),tbl_familias_ppwr[ID_Familia],0))="Em falta","Lacuna","Conforme"),IF(B665="EU-ENV-013",IF(INDEX(tbl_familias_ppwr[Declaracao_UE],MATCH(INDEX(tbl_recyclass[Familia_PPWR],MATCH(A665,tbl_recyclass[ProductId],0)),tbl_familias_ppwr[ID_Familia],0))="Sim","Conforme","Lacuna"),G665)))),G665))</f>
        <v>Futuro</v>
      </c>
      <c r="I665" s="33" t="str">
        <f t="shared" si="10"/>
        <v>Futuro</v>
      </c>
      <c r="J665" s="26" t="s">
        <v>1021</v>
      </c>
    </row>
    <row r="666" spans="1:10" ht="16.05" customHeight="1" x14ac:dyDescent="0.3">
      <c r="A666" s="26" t="s">
        <v>685</v>
      </c>
      <c r="B666" s="26" t="s">
        <v>1038</v>
      </c>
      <c r="C666" s="33" t="str">
        <f>IFERROR(INDEX(tbl_requisitos_emb[Tema],MATCH(B666,tbl_requisitos_emb[ID_Req],0)),"")</f>
        <v>Plásticos de utilização única</v>
      </c>
      <c r="D666" s="33" t="str">
        <f>IFERROR(INDEX(tbl_recyclass[Segmento],MATCH(A666,tbl_recyclass[ProductId],0)),"")</f>
        <v>Cosmética e higiene pessoal</v>
      </c>
      <c r="E666" s="26" t="s">
        <v>904</v>
      </c>
      <c r="F666" s="26" t="s">
        <v>1450</v>
      </c>
      <c r="G666" s="26" t="s">
        <v>1143</v>
      </c>
      <c r="H666" s="33" t="str">
        <f>IF(E666="Não","Não aplicável",IFERROR(IF(B666="EU-ENV-002",IF(INDEX(tbl_recyclass[Conforme_PPWR_2030],MATCH(A666,tbl_recyclass[ProductId],0))="Sim","Conforme (autoavaliação)",IF(INDEX(tbl_recyclass[Conforme_PPWR_2030],MATCH(A666,tbl_recyclass[ProductId],0))="Não","Não conforme em 2030","Isento até 2035")),IF(B666="EU-ENV-003",IF(INDEX(tbl_recyclass[Conforme_Art7_2030],MATCH(A666,tbl_recyclass[ProductId],0))="Sim","Conforme (meta 2030)",IF(INDEX(tbl_recyclass[Conforme_Art7_2030],MATCH(A666,tbl_recyclass[ProductId],0))="Não","Lacuna face à meta 2030","Isento")),IF(B666="EU-ENV-011",IF(INDEX(tbl_familias_ppwr[Metais_Pesados_Evidencia],MATCH(INDEX(tbl_recyclass[Familia_PPWR],MATCH(A666,tbl_recyclass[ProductId],0)),tbl_familias_ppwr[ID_Familia],0))="Em falta","Lacuna","Conforme"),IF(B666="EU-ENV-013",IF(INDEX(tbl_familias_ppwr[Declaracao_UE],MATCH(INDEX(tbl_recyclass[Familia_PPWR],MATCH(A666,tbl_recyclass[ProductId],0)),tbl_familias_ppwr[ID_Familia],0))="Sim","Conforme","Lacuna"),G666)))),G666))</f>
        <v>Não aplicável</v>
      </c>
      <c r="I666" s="33" t="str">
        <f t="shared" si="10"/>
        <v>Não aplicável</v>
      </c>
      <c r="J666" s="26"/>
    </row>
    <row r="667" spans="1:10" ht="16.05" customHeight="1" x14ac:dyDescent="0.3">
      <c r="A667" s="26" t="s">
        <v>685</v>
      </c>
      <c r="B667" s="26" t="s">
        <v>1078</v>
      </c>
      <c r="C667" s="33" t="str">
        <f>IFERROR(INDEX(tbl_requisitos_emb[Tema],MATCH(B667,tbl_requisitos_emb[ID_Req],0)),"")</f>
        <v>Reciclado à escala</v>
      </c>
      <c r="D667" s="33" t="str">
        <f>IFERROR(INDEX(tbl_recyclass[Segmento],MATCH(A667,tbl_recyclass[ProductId],0)),"")</f>
        <v>Cosmética e higiene pessoal</v>
      </c>
      <c r="E667" s="26" t="s">
        <v>901</v>
      </c>
      <c r="F667" s="26" t="s">
        <v>1449</v>
      </c>
      <c r="G667" s="26" t="s">
        <v>990</v>
      </c>
      <c r="H667" s="33" t="str">
        <f>IF(E667="Não","Não aplicável",IFERROR(IF(B667="EU-ENV-002",IF(INDEX(tbl_recyclass[Conforme_PPWR_2030],MATCH(A667,tbl_recyclass[ProductId],0))="Sim","Conforme (autoavaliação)",IF(INDEX(tbl_recyclass[Conforme_PPWR_2030],MATCH(A667,tbl_recyclass[ProductId],0))="Não","Não conforme em 2030","Isento até 2035")),IF(B667="EU-ENV-003",IF(INDEX(tbl_recyclass[Conforme_Art7_2030],MATCH(A667,tbl_recyclass[ProductId],0))="Sim","Conforme (meta 2030)",IF(INDEX(tbl_recyclass[Conforme_Art7_2030],MATCH(A667,tbl_recyclass[ProductId],0))="Não","Lacuna face à meta 2030","Isento")),IF(B667="EU-ENV-011",IF(INDEX(tbl_familias_ppwr[Metais_Pesados_Evidencia],MATCH(INDEX(tbl_recyclass[Familia_PPWR],MATCH(A667,tbl_recyclass[ProductId],0)),tbl_familias_ppwr[ID_Familia],0))="Em falta","Lacuna","Conforme"),IF(B667="EU-ENV-013",IF(INDEX(tbl_familias_ppwr[Declaracao_UE],MATCH(INDEX(tbl_recyclass[Familia_PPWR],MATCH(A667,tbl_recyclass[ProductId],0)),tbl_familias_ppwr[ID_Familia],0))="Sim","Conforme","Lacuna"),G667)))),G667))</f>
        <v>Futuro</v>
      </c>
      <c r="I667" s="33" t="str">
        <f t="shared" si="10"/>
        <v>Futuro</v>
      </c>
      <c r="J667" s="26" t="s">
        <v>1082</v>
      </c>
    </row>
    <row r="668" spans="1:10" ht="16.05" customHeight="1" x14ac:dyDescent="0.3">
      <c r="A668" s="26" t="s">
        <v>685</v>
      </c>
      <c r="B668" s="26" t="s">
        <v>1086</v>
      </c>
      <c r="C668" s="33" t="str">
        <f>IFERROR(INDEX(tbl_requisitos_emb[Tema],MATCH(B668,tbl_requisitos_emb[ID_Req],0)),"")</f>
        <v>Metais pesados</v>
      </c>
      <c r="D668" s="33" t="str">
        <f>IFERROR(INDEX(tbl_recyclass[Segmento],MATCH(A668,tbl_recyclass[ProductId],0)),"")</f>
        <v>Cosmética e higiene pessoal</v>
      </c>
      <c r="E668" s="26" t="s">
        <v>901</v>
      </c>
      <c r="F668" s="26" t="s">
        <v>1449</v>
      </c>
      <c r="G668" s="26" t="s">
        <v>978</v>
      </c>
      <c r="H668" s="33" t="str">
        <f>IF(E668="Não","Não aplicável",IFERROR(IF(B668="EU-ENV-002",IF(INDEX(tbl_recyclass[Conforme_PPWR_2030],MATCH(A668,tbl_recyclass[ProductId],0))="Sim","Conforme (autoavaliação)",IF(INDEX(tbl_recyclass[Conforme_PPWR_2030],MATCH(A668,tbl_recyclass[ProductId],0))="Não","Não conforme em 2030","Isento até 2035")),IF(B668="EU-ENV-003",IF(INDEX(tbl_recyclass[Conforme_Art7_2030],MATCH(A668,tbl_recyclass[ProductId],0))="Sim","Conforme (meta 2030)",IF(INDEX(tbl_recyclass[Conforme_Art7_2030],MATCH(A668,tbl_recyclass[ProductId],0))="Não","Lacuna face à meta 2030","Isento")),IF(B668="EU-ENV-011",IF(INDEX(tbl_familias_ppwr[Metais_Pesados_Evidencia],MATCH(INDEX(tbl_recyclass[Familia_PPWR],MATCH(A668,tbl_recyclass[ProductId],0)),tbl_familias_ppwr[ID_Familia],0))="Em falta","Lacuna","Conforme"),IF(B668="EU-ENV-013",IF(INDEX(tbl_familias_ppwr[Declaracao_UE],MATCH(INDEX(tbl_recyclass[Familia_PPWR],MATCH(A668,tbl_recyclass[ProductId],0)),tbl_familias_ppwr[ID_Familia],0))="Sim","Conforme","Lacuna"),G668)))),G668))</f>
        <v>Conforme</v>
      </c>
      <c r="I668" s="33" t="str">
        <f t="shared" si="10"/>
        <v>Conforme</v>
      </c>
      <c r="J668" s="26" t="s">
        <v>1090</v>
      </c>
    </row>
    <row r="669" spans="1:10" ht="16.05" customHeight="1" x14ac:dyDescent="0.3">
      <c r="A669" s="26" t="s">
        <v>685</v>
      </c>
      <c r="B669" s="26" t="s">
        <v>1094</v>
      </c>
      <c r="C669" s="33" t="str">
        <f>IFERROR(INDEX(tbl_requisitos_emb[Tema],MATCH(B669,tbl_requisitos_emb[ID_Req],0)),"")</f>
        <v>PFAS</v>
      </c>
      <c r="D669" s="33" t="str">
        <f>IFERROR(INDEX(tbl_recyclass[Segmento],MATCH(A669,tbl_recyclass[ProductId],0)),"")</f>
        <v>Cosmética e higiene pessoal</v>
      </c>
      <c r="E669" s="26" t="s">
        <v>904</v>
      </c>
      <c r="F669" s="26" t="s">
        <v>1450</v>
      </c>
      <c r="G669" s="26" t="s">
        <v>1143</v>
      </c>
      <c r="H669" s="33" t="str">
        <f>IF(E669="Não","Não aplicável",IFERROR(IF(B669="EU-ENV-002",IF(INDEX(tbl_recyclass[Conforme_PPWR_2030],MATCH(A669,tbl_recyclass[ProductId],0))="Sim","Conforme (autoavaliação)",IF(INDEX(tbl_recyclass[Conforme_PPWR_2030],MATCH(A669,tbl_recyclass[ProductId],0))="Não","Não conforme em 2030","Isento até 2035")),IF(B669="EU-ENV-003",IF(INDEX(tbl_recyclass[Conforme_Art7_2030],MATCH(A669,tbl_recyclass[ProductId],0))="Sim","Conforme (meta 2030)",IF(INDEX(tbl_recyclass[Conforme_Art7_2030],MATCH(A669,tbl_recyclass[ProductId],0))="Não","Lacuna face à meta 2030","Isento")),IF(B669="EU-ENV-011",IF(INDEX(tbl_familias_ppwr[Metais_Pesados_Evidencia],MATCH(INDEX(tbl_recyclass[Familia_PPWR],MATCH(A669,tbl_recyclass[ProductId],0)),tbl_familias_ppwr[ID_Familia],0))="Em falta","Lacuna","Conforme"),IF(B669="EU-ENV-013",IF(INDEX(tbl_familias_ppwr[Declaracao_UE],MATCH(INDEX(tbl_recyclass[Familia_PPWR],MATCH(A669,tbl_recyclass[ProductId],0)),tbl_familias_ppwr[ID_Familia],0))="Sim","Conforme","Lacuna"),G669)))),G669))</f>
        <v>Não aplicável</v>
      </c>
      <c r="I669" s="33" t="str">
        <f t="shared" si="10"/>
        <v>Não aplicável</v>
      </c>
      <c r="J669" s="26"/>
    </row>
    <row r="670" spans="1:10" ht="16.05" customHeight="1" x14ac:dyDescent="0.3">
      <c r="A670" s="26" t="s">
        <v>685</v>
      </c>
      <c r="B670" s="26" t="s">
        <v>1102</v>
      </c>
      <c r="C670" s="33" t="str">
        <f>IFERROR(INDEX(tbl_requisitos_emb[Tema],MATCH(B670,tbl_requisitos_emb[ID_Req],0)),"")</f>
        <v>Documentação técnica e declaração UE</v>
      </c>
      <c r="D670" s="33" t="str">
        <f>IFERROR(INDEX(tbl_recyclass[Segmento],MATCH(A670,tbl_recyclass[ProductId],0)),"")</f>
        <v>Cosmética e higiene pessoal</v>
      </c>
      <c r="E670" s="26" t="s">
        <v>901</v>
      </c>
      <c r="F670" s="26" t="s">
        <v>1449</v>
      </c>
      <c r="G670" s="26" t="s">
        <v>978</v>
      </c>
      <c r="H670" s="33" t="str">
        <f>IF(E670="Não","Não aplicável",IFERROR(IF(B670="EU-ENV-002",IF(INDEX(tbl_recyclass[Conforme_PPWR_2030],MATCH(A670,tbl_recyclass[ProductId],0))="Sim","Conforme (autoavaliação)",IF(INDEX(tbl_recyclass[Conforme_PPWR_2030],MATCH(A670,tbl_recyclass[ProductId],0))="Não","Não conforme em 2030","Isento até 2035")),IF(B670="EU-ENV-003",IF(INDEX(tbl_recyclass[Conforme_Art7_2030],MATCH(A670,tbl_recyclass[ProductId],0))="Sim","Conforme (meta 2030)",IF(INDEX(tbl_recyclass[Conforme_Art7_2030],MATCH(A670,tbl_recyclass[ProductId],0))="Não","Lacuna face à meta 2030","Isento")),IF(B670="EU-ENV-011",IF(INDEX(tbl_familias_ppwr[Metais_Pesados_Evidencia],MATCH(INDEX(tbl_recyclass[Familia_PPWR],MATCH(A670,tbl_recyclass[ProductId],0)),tbl_familias_ppwr[ID_Familia],0))="Em falta","Lacuna","Conforme"),IF(B670="EU-ENV-013",IF(INDEX(tbl_familias_ppwr[Declaracao_UE],MATCH(INDEX(tbl_recyclass[Familia_PPWR],MATCH(A670,tbl_recyclass[ProductId],0)),tbl_familias_ppwr[ID_Familia],0))="Sim","Conforme","Lacuna"),G670)))),G670))</f>
        <v>Conforme</v>
      </c>
      <c r="I670" s="33" t="str">
        <f t="shared" si="10"/>
        <v>Conforme</v>
      </c>
      <c r="J670" s="26" t="s">
        <v>1106</v>
      </c>
    </row>
    <row r="671" spans="1:10" ht="16.05" customHeight="1" x14ac:dyDescent="0.3">
      <c r="A671" s="26" t="s">
        <v>685</v>
      </c>
      <c r="B671" s="26" t="s">
        <v>1161</v>
      </c>
      <c r="C671" s="33" t="str">
        <f>IFERROR(INDEX(tbl_requisitos_emb[Tema],MATCH(B671,tbl_requisitos_emb[ID_Req],0)),"")</f>
        <v>Materiais em contacto com alimentos</v>
      </c>
      <c r="D671" s="33" t="str">
        <f>IFERROR(INDEX(tbl_recyclass[Segmento],MATCH(A671,tbl_recyclass[ProductId],0)),"")</f>
        <v>Cosmética e higiene pessoal</v>
      </c>
      <c r="E671" s="26" t="s">
        <v>904</v>
      </c>
      <c r="F671" s="26" t="s">
        <v>1450</v>
      </c>
      <c r="G671" s="26" t="s">
        <v>1143</v>
      </c>
      <c r="H671" s="33" t="str">
        <f>IF(E671="Não","Não aplicável",IFERROR(IF(B671="EU-ENV-002",IF(INDEX(tbl_recyclass[Conforme_PPWR_2030],MATCH(A671,tbl_recyclass[ProductId],0))="Sim","Conforme (autoavaliação)",IF(INDEX(tbl_recyclass[Conforme_PPWR_2030],MATCH(A671,tbl_recyclass[ProductId],0))="Não","Não conforme em 2030","Isento até 2035")),IF(B671="EU-ENV-003",IF(INDEX(tbl_recyclass[Conforme_Art7_2030],MATCH(A671,tbl_recyclass[ProductId],0))="Sim","Conforme (meta 2030)",IF(INDEX(tbl_recyclass[Conforme_Art7_2030],MATCH(A671,tbl_recyclass[ProductId],0))="Não","Lacuna face à meta 2030","Isento")),IF(B671="EU-ENV-011",IF(INDEX(tbl_familias_ppwr[Metais_Pesados_Evidencia],MATCH(INDEX(tbl_recyclass[Familia_PPWR],MATCH(A671,tbl_recyclass[ProductId],0)),tbl_familias_ppwr[ID_Familia],0))="Em falta","Lacuna","Conforme"),IF(B671="EU-ENV-013",IF(INDEX(tbl_familias_ppwr[Declaracao_UE],MATCH(INDEX(tbl_recyclass[Familia_PPWR],MATCH(A671,tbl_recyclass[ProductId],0)),tbl_familias_ppwr[ID_Familia],0))="Sim","Conforme","Lacuna"),G671)))),G671))</f>
        <v>Não aplicável</v>
      </c>
      <c r="I671" s="33" t="str">
        <f t="shared" si="10"/>
        <v>Não aplicável</v>
      </c>
      <c r="J671" s="26"/>
    </row>
    <row r="672" spans="1:10" ht="16.05" customHeight="1" x14ac:dyDescent="0.3">
      <c r="A672" s="26" t="s">
        <v>685</v>
      </c>
      <c r="B672" s="26" t="s">
        <v>1170</v>
      </c>
      <c r="C672" s="33" t="str">
        <f>IFERROR(INDEX(tbl_requisitos_emb[Tema],MATCH(B672,tbl_requisitos_emb[ID_Req],0)),"")</f>
        <v>Boas práticas de fabrico FCM</v>
      </c>
      <c r="D672" s="33" t="str">
        <f>IFERROR(INDEX(tbl_recyclass[Segmento],MATCH(A672,tbl_recyclass[ProductId],0)),"")</f>
        <v>Cosmética e higiene pessoal</v>
      </c>
      <c r="E672" s="26" t="s">
        <v>904</v>
      </c>
      <c r="F672" s="26" t="s">
        <v>1450</v>
      </c>
      <c r="G672" s="26" t="s">
        <v>1143</v>
      </c>
      <c r="H672" s="33" t="str">
        <f>IF(E672="Não","Não aplicável",IFERROR(IF(B672="EU-ENV-002",IF(INDEX(tbl_recyclass[Conforme_PPWR_2030],MATCH(A672,tbl_recyclass[ProductId],0))="Sim","Conforme (autoavaliação)",IF(INDEX(tbl_recyclass[Conforme_PPWR_2030],MATCH(A672,tbl_recyclass[ProductId],0))="Não","Não conforme em 2030","Isento até 2035")),IF(B672="EU-ENV-003",IF(INDEX(tbl_recyclass[Conforme_Art7_2030],MATCH(A672,tbl_recyclass[ProductId],0))="Sim","Conforme (meta 2030)",IF(INDEX(tbl_recyclass[Conforme_Art7_2030],MATCH(A672,tbl_recyclass[ProductId],0))="Não","Lacuna face à meta 2030","Isento")),IF(B672="EU-ENV-011",IF(INDEX(tbl_familias_ppwr[Metais_Pesados_Evidencia],MATCH(INDEX(tbl_recyclass[Familia_PPWR],MATCH(A672,tbl_recyclass[ProductId],0)),tbl_familias_ppwr[ID_Familia],0))="Em falta","Lacuna","Conforme"),IF(B672="EU-ENV-013",IF(INDEX(tbl_familias_ppwr[Declaracao_UE],MATCH(INDEX(tbl_recyclass[Familia_PPWR],MATCH(A672,tbl_recyclass[ProductId],0)),tbl_familias_ppwr[ID_Familia],0))="Sim","Conforme","Lacuna"),G672)))),G672))</f>
        <v>Não aplicável</v>
      </c>
      <c r="I672" s="33" t="str">
        <f t="shared" si="10"/>
        <v>Não aplicável</v>
      </c>
      <c r="J672" s="26"/>
    </row>
    <row r="673" spans="1:10" ht="16.05" customHeight="1" x14ac:dyDescent="0.3">
      <c r="A673" s="26" t="s">
        <v>685</v>
      </c>
      <c r="B673" s="26" t="s">
        <v>1179</v>
      </c>
      <c r="C673" s="33" t="str">
        <f>IFERROR(INDEX(tbl_requisitos_emb[Tema],MATCH(B673,tbl_requisitos_emb[ID_Req],0)),"")</f>
        <v>Bisfenol A e bisfenóis perigosos</v>
      </c>
      <c r="D673" s="33" t="str">
        <f>IFERROR(INDEX(tbl_recyclass[Segmento],MATCH(A673,tbl_recyclass[ProductId],0)),"")</f>
        <v>Cosmética e higiene pessoal</v>
      </c>
      <c r="E673" s="26" t="s">
        <v>904</v>
      </c>
      <c r="F673" s="26" t="s">
        <v>1450</v>
      </c>
      <c r="G673" s="26" t="s">
        <v>1143</v>
      </c>
      <c r="H673" s="33" t="str">
        <f>IF(E673="Não","Não aplicável",IFERROR(IF(B673="EU-ENV-002",IF(INDEX(tbl_recyclass[Conforme_PPWR_2030],MATCH(A673,tbl_recyclass[ProductId],0))="Sim","Conforme (autoavaliação)",IF(INDEX(tbl_recyclass[Conforme_PPWR_2030],MATCH(A673,tbl_recyclass[ProductId],0))="Não","Não conforme em 2030","Isento até 2035")),IF(B673="EU-ENV-003",IF(INDEX(tbl_recyclass[Conforme_Art7_2030],MATCH(A673,tbl_recyclass[ProductId],0))="Sim","Conforme (meta 2030)",IF(INDEX(tbl_recyclass[Conforme_Art7_2030],MATCH(A673,tbl_recyclass[ProductId],0))="Não","Lacuna face à meta 2030","Isento")),IF(B673="EU-ENV-011",IF(INDEX(tbl_familias_ppwr[Metais_Pesados_Evidencia],MATCH(INDEX(tbl_recyclass[Familia_PPWR],MATCH(A673,tbl_recyclass[ProductId],0)),tbl_familias_ppwr[ID_Familia],0))="Em falta","Lacuna","Conforme"),IF(B673="EU-ENV-013",IF(INDEX(tbl_familias_ppwr[Declaracao_UE],MATCH(INDEX(tbl_recyclass[Familia_PPWR],MATCH(A673,tbl_recyclass[ProductId],0)),tbl_familias_ppwr[ID_Familia],0))="Sim","Conforme","Lacuna"),G673)))),G673))</f>
        <v>Não aplicável</v>
      </c>
      <c r="I673" s="33" t="str">
        <f t="shared" si="10"/>
        <v>Não aplicável</v>
      </c>
      <c r="J673" s="26"/>
    </row>
    <row r="674" spans="1:10" ht="16.05" customHeight="1" x14ac:dyDescent="0.3">
      <c r="A674" s="26" t="s">
        <v>685</v>
      </c>
      <c r="B674" s="26" t="s">
        <v>1188</v>
      </c>
      <c r="C674" s="33" t="str">
        <f>IFERROR(INDEX(tbl_requisitos_emb[Tema],MATCH(B674,tbl_requisitos_emb[ID_Req],0)),"")</f>
        <v>Plásticos em contacto com alimentos</v>
      </c>
      <c r="D674" s="33" t="str">
        <f>IFERROR(INDEX(tbl_recyclass[Segmento],MATCH(A674,tbl_recyclass[ProductId],0)),"")</f>
        <v>Cosmética e higiene pessoal</v>
      </c>
      <c r="E674" s="26" t="s">
        <v>904</v>
      </c>
      <c r="F674" s="26" t="s">
        <v>1450</v>
      </c>
      <c r="G674" s="26" t="s">
        <v>1143</v>
      </c>
      <c r="H674" s="33" t="str">
        <f>IF(E674="Não","Não aplicável",IFERROR(IF(B674="EU-ENV-002",IF(INDEX(tbl_recyclass[Conforme_PPWR_2030],MATCH(A674,tbl_recyclass[ProductId],0))="Sim","Conforme (autoavaliação)",IF(INDEX(tbl_recyclass[Conforme_PPWR_2030],MATCH(A674,tbl_recyclass[ProductId],0))="Não","Não conforme em 2030","Isento até 2035")),IF(B674="EU-ENV-003",IF(INDEX(tbl_recyclass[Conforme_Art7_2030],MATCH(A674,tbl_recyclass[ProductId],0))="Sim","Conforme (meta 2030)",IF(INDEX(tbl_recyclass[Conforme_Art7_2030],MATCH(A674,tbl_recyclass[ProductId],0))="Não","Lacuna face à meta 2030","Isento")),IF(B674="EU-ENV-011",IF(INDEX(tbl_familias_ppwr[Metais_Pesados_Evidencia],MATCH(INDEX(tbl_recyclass[Familia_PPWR],MATCH(A674,tbl_recyclass[ProductId],0)),tbl_familias_ppwr[ID_Familia],0))="Em falta","Lacuna","Conforme"),IF(B674="EU-ENV-013",IF(INDEX(tbl_familias_ppwr[Declaracao_UE],MATCH(INDEX(tbl_recyclass[Familia_PPWR],MATCH(A674,tbl_recyclass[ProductId],0)),tbl_familias_ppwr[ID_Familia],0))="Sim","Conforme","Lacuna"),G674)))),G674))</f>
        <v>Não aplicável</v>
      </c>
      <c r="I674" s="33" t="str">
        <f t="shared" si="10"/>
        <v>Não aplicável</v>
      </c>
      <c r="J674" s="26"/>
    </row>
    <row r="675" spans="1:10" ht="16.05" customHeight="1" x14ac:dyDescent="0.3">
      <c r="A675" s="26" t="s">
        <v>685</v>
      </c>
      <c r="B675" s="26" t="s">
        <v>1212</v>
      </c>
      <c r="C675" s="33" t="str">
        <f>IFERROR(INDEX(tbl_requisitos_emb[Tema],MATCH(B675,tbl_requisitos_emb[ID_Req],0)),"")</f>
        <v>Segurança do produto cosmético</v>
      </c>
      <c r="D675" s="33" t="str">
        <f>IFERROR(INDEX(tbl_recyclass[Segmento],MATCH(A675,tbl_recyclass[ProductId],0)),"")</f>
        <v>Cosmética e higiene pessoal</v>
      </c>
      <c r="E675" s="26" t="s">
        <v>901</v>
      </c>
      <c r="F675" s="26" t="s">
        <v>1449</v>
      </c>
      <c r="G675" s="26" t="s">
        <v>1033</v>
      </c>
      <c r="H675" s="33" t="str">
        <f>IF(E675="Não","Não aplicável",IFERROR(IF(B675="EU-ENV-002",IF(INDEX(tbl_recyclass[Conforme_PPWR_2030],MATCH(A675,tbl_recyclass[ProductId],0))="Sim","Conforme (autoavaliação)",IF(INDEX(tbl_recyclass[Conforme_PPWR_2030],MATCH(A675,tbl_recyclass[ProductId],0))="Não","Não conforme em 2030","Isento até 2035")),IF(B675="EU-ENV-003",IF(INDEX(tbl_recyclass[Conforme_Art7_2030],MATCH(A675,tbl_recyclass[ProductId],0))="Sim","Conforme (meta 2030)",IF(INDEX(tbl_recyclass[Conforme_Art7_2030],MATCH(A675,tbl_recyclass[ProductId],0))="Não","Lacuna face à meta 2030","Isento")),IF(B675="EU-ENV-011",IF(INDEX(tbl_familias_ppwr[Metais_Pesados_Evidencia],MATCH(INDEX(tbl_recyclass[Familia_PPWR],MATCH(A675,tbl_recyclass[ProductId],0)),tbl_familias_ppwr[ID_Familia],0))="Em falta","Lacuna","Conforme"),IF(B675="EU-ENV-013",IF(INDEX(tbl_familias_ppwr[Declaracao_UE],MATCH(INDEX(tbl_recyclass[Familia_PPWR],MATCH(A675,tbl_recyclass[ProductId],0)),tbl_familias_ppwr[ID_Familia],0))="Sim","Conforme","Lacuna"),G675)))),G675))</f>
        <v>Conforme</v>
      </c>
      <c r="I675" s="33" t="str">
        <f t="shared" si="10"/>
        <v>Conforme</v>
      </c>
      <c r="J675" s="26" t="s">
        <v>1221</v>
      </c>
    </row>
    <row r="676" spans="1:10" ht="16.05" customHeight="1" x14ac:dyDescent="0.3">
      <c r="A676" s="26" t="s">
        <v>685</v>
      </c>
      <c r="B676" s="26" t="s">
        <v>1224</v>
      </c>
      <c r="C676" s="33" t="str">
        <f>IFERROR(INDEX(tbl_requisitos_emb[Tema],MATCH(B676,tbl_requisitos_emb[ID_Req],0)),"")</f>
        <v>Materiais e impurezas</v>
      </c>
      <c r="D676" s="33" t="str">
        <f>IFERROR(INDEX(tbl_recyclass[Segmento],MATCH(A676,tbl_recyclass[ProductId],0)),"")</f>
        <v>Cosmética e higiene pessoal</v>
      </c>
      <c r="E676" s="26" t="s">
        <v>901</v>
      </c>
      <c r="F676" s="26" t="s">
        <v>1449</v>
      </c>
      <c r="G676" s="26" t="s">
        <v>978</v>
      </c>
      <c r="H676" s="33" t="str">
        <f>IF(E676="Não","Não aplicável",IFERROR(IF(B676="EU-ENV-002",IF(INDEX(tbl_recyclass[Conforme_PPWR_2030],MATCH(A676,tbl_recyclass[ProductId],0))="Sim","Conforme (autoavaliação)",IF(INDEX(tbl_recyclass[Conforme_PPWR_2030],MATCH(A676,tbl_recyclass[ProductId],0))="Não","Não conforme em 2030","Isento até 2035")),IF(B676="EU-ENV-003",IF(INDEX(tbl_recyclass[Conforme_Art7_2030],MATCH(A676,tbl_recyclass[ProductId],0))="Sim","Conforme (meta 2030)",IF(INDEX(tbl_recyclass[Conforme_Art7_2030],MATCH(A676,tbl_recyclass[ProductId],0))="Não","Lacuna face à meta 2030","Isento")),IF(B676="EU-ENV-011",IF(INDEX(tbl_familias_ppwr[Metais_Pesados_Evidencia],MATCH(INDEX(tbl_recyclass[Familia_PPWR],MATCH(A676,tbl_recyclass[ProductId],0)),tbl_familias_ppwr[ID_Familia],0))="Em falta","Lacuna","Conforme"),IF(B676="EU-ENV-013",IF(INDEX(tbl_familias_ppwr[Declaracao_UE],MATCH(INDEX(tbl_recyclass[Familia_PPWR],MATCH(A676,tbl_recyclass[ProductId],0)),tbl_familias_ppwr[ID_Familia],0))="Sim","Conforme","Lacuna"),G676)))),G676))</f>
        <v>Parcial</v>
      </c>
      <c r="I676" s="33" t="str">
        <f t="shared" si="10"/>
        <v>Parcial</v>
      </c>
      <c r="J676" s="26" t="s">
        <v>1228</v>
      </c>
    </row>
    <row r="677" spans="1:10" ht="16.05" customHeight="1" x14ac:dyDescent="0.3">
      <c r="A677" s="26" t="s">
        <v>685</v>
      </c>
      <c r="B677" s="26" t="s">
        <v>1240</v>
      </c>
      <c r="C677" s="33" t="str">
        <f>IFERROR(INDEX(tbl_requisitos_emb[Tema],MATCH(B677,tbl_requisitos_emb[ID_Req],0)),"")</f>
        <v>Compatibilidade embalagem–produto</v>
      </c>
      <c r="D677" s="33" t="str">
        <f>IFERROR(INDEX(tbl_recyclass[Segmento],MATCH(A677,tbl_recyclass[ProductId],0)),"")</f>
        <v>Cosmética e higiene pessoal</v>
      </c>
      <c r="E677" s="26" t="s">
        <v>901</v>
      </c>
      <c r="F677" s="26" t="s">
        <v>1449</v>
      </c>
      <c r="G677" s="26" t="s">
        <v>1033</v>
      </c>
      <c r="H677" s="33" t="str">
        <f>IF(E677="Não","Não aplicável",IFERROR(IF(B677="EU-ENV-002",IF(INDEX(tbl_recyclass[Conforme_PPWR_2030],MATCH(A677,tbl_recyclass[ProductId],0))="Sim","Conforme (autoavaliação)",IF(INDEX(tbl_recyclass[Conforme_PPWR_2030],MATCH(A677,tbl_recyclass[ProductId],0))="Não","Não conforme em 2030","Isento até 2035")),IF(B677="EU-ENV-003",IF(INDEX(tbl_recyclass[Conforme_Art7_2030],MATCH(A677,tbl_recyclass[ProductId],0))="Sim","Conforme (meta 2030)",IF(INDEX(tbl_recyclass[Conforme_Art7_2030],MATCH(A677,tbl_recyclass[ProductId],0))="Não","Lacuna face à meta 2030","Isento")),IF(B677="EU-ENV-011",IF(INDEX(tbl_familias_ppwr[Metais_Pesados_Evidencia],MATCH(INDEX(tbl_recyclass[Familia_PPWR],MATCH(A677,tbl_recyclass[ProductId],0)),tbl_familias_ppwr[ID_Familia],0))="Em falta","Lacuna","Conforme"),IF(B677="EU-ENV-013",IF(INDEX(tbl_familias_ppwr[Declaracao_UE],MATCH(INDEX(tbl_recyclass[Familia_PPWR],MATCH(A677,tbl_recyclass[ProductId],0)),tbl_familias_ppwr[ID_Familia],0))="Sim","Conforme","Lacuna"),G677)))),G677))</f>
        <v>Conforme</v>
      </c>
      <c r="I677" s="33" t="str">
        <f t="shared" si="10"/>
        <v>Conforme</v>
      </c>
      <c r="J677" s="26" t="s">
        <v>1244</v>
      </c>
    </row>
    <row r="678" spans="1:10" ht="16.05" customHeight="1" x14ac:dyDescent="0.3">
      <c r="A678" s="26" t="s">
        <v>685</v>
      </c>
      <c r="B678" s="26" t="s">
        <v>1252</v>
      </c>
      <c r="C678" s="33" t="str">
        <f>IFERROR(INDEX(tbl_requisitos_emb[Tema],MATCH(B678,tbl_requisitos_emb[ID_Req],0)),"")</f>
        <v>Medicamentos de uso humano</v>
      </c>
      <c r="D678" s="33" t="str">
        <f>IFERROR(INDEX(tbl_recyclass[Segmento],MATCH(A678,tbl_recyclass[ProductId],0)),"")</f>
        <v>Cosmética e higiene pessoal</v>
      </c>
      <c r="E678" s="26" t="s">
        <v>904</v>
      </c>
      <c r="F678" s="26" t="s">
        <v>1451</v>
      </c>
      <c r="G678" s="26" t="s">
        <v>1143</v>
      </c>
      <c r="H678" s="33" t="str">
        <f>IF(E678="Não","Não aplicável",IFERROR(IF(B678="EU-ENV-002",IF(INDEX(tbl_recyclass[Conforme_PPWR_2030],MATCH(A678,tbl_recyclass[ProductId],0))="Sim","Conforme (autoavaliação)",IF(INDEX(tbl_recyclass[Conforme_PPWR_2030],MATCH(A678,tbl_recyclass[ProductId],0))="Não","Não conforme em 2030","Isento até 2035")),IF(B678="EU-ENV-003",IF(INDEX(tbl_recyclass[Conforme_Art7_2030],MATCH(A678,tbl_recyclass[ProductId],0))="Sim","Conforme (meta 2030)",IF(INDEX(tbl_recyclass[Conforme_Art7_2030],MATCH(A678,tbl_recyclass[ProductId],0))="Não","Lacuna face à meta 2030","Isento")),IF(B678="EU-ENV-011",IF(INDEX(tbl_familias_ppwr[Metais_Pesados_Evidencia],MATCH(INDEX(tbl_recyclass[Familia_PPWR],MATCH(A678,tbl_recyclass[ProductId],0)),tbl_familias_ppwr[ID_Familia],0))="Em falta","Lacuna","Conforme"),IF(B678="EU-ENV-013",IF(INDEX(tbl_familias_ppwr[Declaracao_UE],MATCH(INDEX(tbl_recyclass[Familia_PPWR],MATCH(A678,tbl_recyclass[ProductId],0)),tbl_familias_ppwr[ID_Familia],0))="Sim","Conforme","Lacuna"),G678)))),G678))</f>
        <v>Não aplicável</v>
      </c>
      <c r="I678" s="33" t="str">
        <f t="shared" si="10"/>
        <v>Não aplicável</v>
      </c>
      <c r="J678" s="26"/>
    </row>
    <row r="679" spans="1:10" ht="16.05" customHeight="1" x14ac:dyDescent="0.3">
      <c r="A679" s="26" t="s">
        <v>685</v>
      </c>
      <c r="B679" s="26" t="s">
        <v>1268</v>
      </c>
      <c r="C679" s="33" t="str">
        <f>IFERROR(INDEX(tbl_requisitos_emb[Tema],MATCH(B679,tbl_requisitos_emb[ID_Req],0)),"")</f>
        <v>Dispositivos de segurança</v>
      </c>
      <c r="D679" s="33" t="str">
        <f>IFERROR(INDEX(tbl_recyclass[Segmento],MATCH(A679,tbl_recyclass[ProductId],0)),"")</f>
        <v>Cosmética e higiene pessoal</v>
      </c>
      <c r="E679" s="26" t="s">
        <v>904</v>
      </c>
      <c r="F679" s="26" t="s">
        <v>1451</v>
      </c>
      <c r="G679" s="26" t="s">
        <v>1143</v>
      </c>
      <c r="H679" s="33" t="str">
        <f>IF(E679="Não","Não aplicável",IFERROR(IF(B679="EU-ENV-002",IF(INDEX(tbl_recyclass[Conforme_PPWR_2030],MATCH(A679,tbl_recyclass[ProductId],0))="Sim","Conforme (autoavaliação)",IF(INDEX(tbl_recyclass[Conforme_PPWR_2030],MATCH(A679,tbl_recyclass[ProductId],0))="Não","Não conforme em 2030","Isento até 2035")),IF(B679="EU-ENV-003",IF(INDEX(tbl_recyclass[Conforme_Art7_2030],MATCH(A679,tbl_recyclass[ProductId],0))="Sim","Conforme (meta 2030)",IF(INDEX(tbl_recyclass[Conforme_Art7_2030],MATCH(A679,tbl_recyclass[ProductId],0))="Não","Lacuna face à meta 2030","Isento")),IF(B679="EU-ENV-011",IF(INDEX(tbl_familias_ppwr[Metais_Pesados_Evidencia],MATCH(INDEX(tbl_recyclass[Familia_PPWR],MATCH(A679,tbl_recyclass[ProductId],0)),tbl_familias_ppwr[ID_Familia],0))="Em falta","Lacuna","Conforme"),IF(B679="EU-ENV-013",IF(INDEX(tbl_familias_ppwr[Declaracao_UE],MATCH(INDEX(tbl_recyclass[Familia_PPWR],MATCH(A679,tbl_recyclass[ProductId],0)),tbl_familias_ppwr[ID_Familia],0))="Sim","Conforme","Lacuna"),G679)))),G679))</f>
        <v>Não aplicável</v>
      </c>
      <c r="I679" s="33" t="str">
        <f t="shared" si="10"/>
        <v>Não aplicável</v>
      </c>
      <c r="J679" s="26"/>
    </row>
    <row r="680" spans="1:10" ht="16.05" customHeight="1" x14ac:dyDescent="0.3">
      <c r="A680" s="26" t="s">
        <v>685</v>
      </c>
      <c r="B680" s="26" t="s">
        <v>1285</v>
      </c>
      <c r="C680" s="33" t="str">
        <f>IFERROR(INDEX(tbl_requisitos_emb[Tema],MATCH(B680,tbl_requisitos_emb[ID_Req],0)),"")</f>
        <v>Materiais plásticos de acondicionamento primário</v>
      </c>
      <c r="D680" s="33" t="str">
        <f>IFERROR(INDEX(tbl_recyclass[Segmento],MATCH(A680,tbl_recyclass[ProductId],0)),"")</f>
        <v>Cosmética e higiene pessoal</v>
      </c>
      <c r="E680" s="26" t="s">
        <v>904</v>
      </c>
      <c r="F680" s="26" t="s">
        <v>1451</v>
      </c>
      <c r="G680" s="26" t="s">
        <v>1143</v>
      </c>
      <c r="H680" s="33" t="str">
        <f>IF(E680="Não","Não aplicável",IFERROR(IF(B680="EU-ENV-002",IF(INDEX(tbl_recyclass[Conforme_PPWR_2030],MATCH(A680,tbl_recyclass[ProductId],0))="Sim","Conforme (autoavaliação)",IF(INDEX(tbl_recyclass[Conforme_PPWR_2030],MATCH(A680,tbl_recyclass[ProductId],0))="Não","Não conforme em 2030","Isento até 2035")),IF(B680="EU-ENV-003",IF(INDEX(tbl_recyclass[Conforme_Art7_2030],MATCH(A680,tbl_recyclass[ProductId],0))="Sim","Conforme (meta 2030)",IF(INDEX(tbl_recyclass[Conforme_Art7_2030],MATCH(A680,tbl_recyclass[ProductId],0))="Não","Lacuna face à meta 2030","Isento")),IF(B680="EU-ENV-011",IF(INDEX(tbl_familias_ppwr[Metais_Pesados_Evidencia],MATCH(INDEX(tbl_recyclass[Familia_PPWR],MATCH(A680,tbl_recyclass[ProductId],0)),tbl_familias_ppwr[ID_Familia],0))="Em falta","Lacuna","Conforme"),IF(B680="EU-ENV-013",IF(INDEX(tbl_familias_ppwr[Declaracao_UE],MATCH(INDEX(tbl_recyclass[Familia_PPWR],MATCH(A680,tbl_recyclass[ProductId],0)),tbl_familias_ppwr[ID_Familia],0))="Sim","Conforme","Lacuna"),G680)))),G680))</f>
        <v>Não aplicável</v>
      </c>
      <c r="I680" s="33" t="str">
        <f t="shared" si="10"/>
        <v>Não aplicável</v>
      </c>
      <c r="J680" s="26"/>
    </row>
    <row r="681" spans="1:10" ht="16.05" customHeight="1" x14ac:dyDescent="0.3">
      <c r="A681" s="26" t="s">
        <v>685</v>
      </c>
      <c r="B681" s="26" t="s">
        <v>1293</v>
      </c>
      <c r="C681" s="33" t="str">
        <f>IFERROR(INDEX(tbl_requisitos_emb[Tema],MATCH(B681,tbl_requisitos_emb[ID_Req],0)),"")</f>
        <v>Isenções PPWR</v>
      </c>
      <c r="D681" s="33" t="str">
        <f>IFERROR(INDEX(tbl_recyclass[Segmento],MATCH(A681,tbl_recyclass[ProductId],0)),"")</f>
        <v>Cosmética e higiene pessoal</v>
      </c>
      <c r="E681" s="26" t="s">
        <v>904</v>
      </c>
      <c r="F681" s="26" t="s">
        <v>1451</v>
      </c>
      <c r="G681" s="26" t="s">
        <v>1143</v>
      </c>
      <c r="H681" s="33" t="str">
        <f>IF(E681="Não","Não aplicável",IFERROR(IF(B681="EU-ENV-002",IF(INDEX(tbl_recyclass[Conforme_PPWR_2030],MATCH(A681,tbl_recyclass[ProductId],0))="Sim","Conforme (autoavaliação)",IF(INDEX(tbl_recyclass[Conforme_PPWR_2030],MATCH(A681,tbl_recyclass[ProductId],0))="Não","Não conforme em 2030","Isento até 2035")),IF(B681="EU-ENV-003",IF(INDEX(tbl_recyclass[Conforme_Art7_2030],MATCH(A681,tbl_recyclass[ProductId],0))="Sim","Conforme (meta 2030)",IF(INDEX(tbl_recyclass[Conforme_Art7_2030],MATCH(A681,tbl_recyclass[ProductId],0))="Não","Lacuna face à meta 2030","Isento")),IF(B681="EU-ENV-011",IF(INDEX(tbl_familias_ppwr[Metais_Pesados_Evidencia],MATCH(INDEX(tbl_recyclass[Familia_PPWR],MATCH(A681,tbl_recyclass[ProductId],0)),tbl_familias_ppwr[ID_Familia],0))="Em falta","Lacuna","Conforme"),IF(B681="EU-ENV-013",IF(INDEX(tbl_familias_ppwr[Declaracao_UE],MATCH(INDEX(tbl_recyclass[Familia_PPWR],MATCH(A681,tbl_recyclass[ProductId],0)),tbl_familias_ppwr[ID_Familia],0))="Sim","Conforme","Lacuna"),G681)))),G681))</f>
        <v>Não aplicável</v>
      </c>
      <c r="I681" s="33" t="str">
        <f t="shared" si="10"/>
        <v>Não aplicável</v>
      </c>
      <c r="J681" s="26"/>
    </row>
    <row r="682" spans="1:10" ht="16.05" customHeight="1" x14ac:dyDescent="0.3">
      <c r="A682" s="26" t="s">
        <v>685</v>
      </c>
      <c r="B682" s="26" t="s">
        <v>1357</v>
      </c>
      <c r="C682" s="33" t="str">
        <f>IFERROR(INDEX(tbl_requisitos_emb[Tema],MATCH(B682,tbl_requisitos_emb[ID_Req],0)),"")</f>
        <v>Identificação de plásticos</v>
      </c>
      <c r="D682" s="33" t="str">
        <f>IFERROR(INDEX(tbl_recyclass[Segmento],MATCH(A682,tbl_recyclass[ProductId],0)),"")</f>
        <v>Cosmética e higiene pessoal</v>
      </c>
      <c r="E682" s="26" t="s">
        <v>901</v>
      </c>
      <c r="F682" s="26" t="s">
        <v>1449</v>
      </c>
      <c r="G682" s="26" t="s">
        <v>978</v>
      </c>
      <c r="H682" s="33" t="str">
        <f>IF(E682="Não","Não aplicável",IFERROR(IF(B682="EU-ENV-002",IF(INDEX(tbl_recyclass[Conforme_PPWR_2030],MATCH(A682,tbl_recyclass[ProductId],0))="Sim","Conforme (autoavaliação)",IF(INDEX(tbl_recyclass[Conforme_PPWR_2030],MATCH(A682,tbl_recyclass[ProductId],0))="Não","Não conforme em 2030","Isento até 2035")),IF(B682="EU-ENV-003",IF(INDEX(tbl_recyclass[Conforme_Art7_2030],MATCH(A682,tbl_recyclass[ProductId],0))="Sim","Conforme (meta 2030)",IF(INDEX(tbl_recyclass[Conforme_Art7_2030],MATCH(A682,tbl_recyclass[ProductId],0))="Não","Lacuna face à meta 2030","Isento")),IF(B682="EU-ENV-011",IF(INDEX(tbl_familias_ppwr[Metais_Pesados_Evidencia],MATCH(INDEX(tbl_recyclass[Familia_PPWR],MATCH(A682,tbl_recyclass[ProductId],0)),tbl_familias_ppwr[ID_Familia],0))="Em falta","Lacuna","Conforme"),IF(B682="EU-ENV-013",IF(INDEX(tbl_familias_ppwr[Declaracao_UE],MATCH(INDEX(tbl_recyclass[Familia_PPWR],MATCH(A682,tbl_recyclass[ProductId],0)),tbl_familias_ppwr[ID_Familia],0))="Sim","Conforme","Lacuna"),G682)))),G682))</f>
        <v>Parcial</v>
      </c>
      <c r="I682" s="33" t="str">
        <f t="shared" si="10"/>
        <v>Parcial</v>
      </c>
      <c r="J682" s="26" t="s">
        <v>1362</v>
      </c>
    </row>
    <row r="683" spans="1:10" ht="16.05" customHeight="1" x14ac:dyDescent="0.3">
      <c r="A683" s="26" t="s">
        <v>685</v>
      </c>
      <c r="B683" s="26" t="s">
        <v>1385</v>
      </c>
      <c r="C683" s="33" t="str">
        <f>IFERROR(INDEX(tbl_requisitos_emb[Tema],MATCH(B683,tbl_requisitos_emb[ID_Req],0)),"")</f>
        <v>Reciclabilidade (voluntária)</v>
      </c>
      <c r="D683" s="33" t="str">
        <f>IFERROR(INDEX(tbl_recyclass[Segmento],MATCH(A683,tbl_recyclass[ProductId],0)),"")</f>
        <v>Cosmética e higiene pessoal</v>
      </c>
      <c r="E683" s="26" t="s">
        <v>901</v>
      </c>
      <c r="F683" s="26" t="s">
        <v>1449</v>
      </c>
      <c r="G683" s="26" t="s">
        <v>978</v>
      </c>
      <c r="H683" s="33" t="str">
        <f>IF(E683="Não","Não aplicável",IFERROR(IF(B683="EU-ENV-002",IF(INDEX(tbl_recyclass[Conforme_PPWR_2030],MATCH(A683,tbl_recyclass[ProductId],0))="Sim","Conforme (autoavaliação)",IF(INDEX(tbl_recyclass[Conforme_PPWR_2030],MATCH(A683,tbl_recyclass[ProductId],0))="Não","Não conforme em 2030","Isento até 2035")),IF(B683="EU-ENV-003",IF(INDEX(tbl_recyclass[Conforme_Art7_2030],MATCH(A683,tbl_recyclass[ProductId],0))="Sim","Conforme (meta 2030)",IF(INDEX(tbl_recyclass[Conforme_Art7_2030],MATCH(A683,tbl_recyclass[ProductId],0))="Não","Lacuna face à meta 2030","Isento")),IF(B683="EU-ENV-011",IF(INDEX(tbl_familias_ppwr[Metais_Pesados_Evidencia],MATCH(INDEX(tbl_recyclass[Familia_PPWR],MATCH(A683,tbl_recyclass[ProductId],0)),tbl_familias_ppwr[ID_Familia],0))="Em falta","Lacuna","Conforme"),IF(B683="EU-ENV-013",IF(INDEX(tbl_familias_ppwr[Declaracao_UE],MATCH(INDEX(tbl_recyclass[Familia_PPWR],MATCH(A683,tbl_recyclass[ProductId],0)),tbl_familias_ppwr[ID_Familia],0))="Sim","Conforme","Lacuna"),G683)))),G683))</f>
        <v>Parcial</v>
      </c>
      <c r="I683" s="33" t="str">
        <f t="shared" si="10"/>
        <v>Parcial</v>
      </c>
      <c r="J683" s="26" t="s">
        <v>1389</v>
      </c>
    </row>
    <row r="684" spans="1:10" ht="16.05" customHeight="1" x14ac:dyDescent="0.3">
      <c r="A684" s="26" t="s">
        <v>688</v>
      </c>
      <c r="B684" s="26" t="s">
        <v>984</v>
      </c>
      <c r="C684" s="33" t="str">
        <f>IFERROR(INDEX(tbl_requisitos_emb[Tema],MATCH(B684,tbl_requisitos_emb[ID_Req],0)),"")</f>
        <v>Conceção para reciclagem</v>
      </c>
      <c r="D684" s="33" t="str">
        <f>IFERROR(INDEX(tbl_recyclass[Segmento],MATCH(A684,tbl_recyclass[ProductId],0)),"")</f>
        <v>Cosmética e higiene pessoal</v>
      </c>
      <c r="E684" s="26" t="s">
        <v>901</v>
      </c>
      <c r="F684" s="26" t="s">
        <v>1449</v>
      </c>
      <c r="G684" s="26" t="s">
        <v>978</v>
      </c>
      <c r="H684" s="33" t="str">
        <f>IF(E684="Não","Não aplicável",IFERROR(IF(B684="EU-ENV-002",IF(INDEX(tbl_recyclass[Conforme_PPWR_2030],MATCH(A684,tbl_recyclass[ProductId],0))="Sim","Conforme (autoavaliação)",IF(INDEX(tbl_recyclass[Conforme_PPWR_2030],MATCH(A684,tbl_recyclass[ProductId],0))="Não","Não conforme em 2030","Isento até 2035")),IF(B684="EU-ENV-003",IF(INDEX(tbl_recyclass[Conforme_Art7_2030],MATCH(A684,tbl_recyclass[ProductId],0))="Sim","Conforme (meta 2030)",IF(INDEX(tbl_recyclass[Conforme_Art7_2030],MATCH(A684,tbl_recyclass[ProductId],0))="Não","Lacuna face à meta 2030","Isento")),IF(B684="EU-ENV-011",IF(INDEX(tbl_familias_ppwr[Metais_Pesados_Evidencia],MATCH(INDEX(tbl_recyclass[Familia_PPWR],MATCH(A684,tbl_recyclass[ProductId],0)),tbl_familias_ppwr[ID_Familia],0))="Em falta","Lacuna","Conforme"),IF(B684="EU-ENV-013",IF(INDEX(tbl_familias_ppwr[Declaracao_UE],MATCH(INDEX(tbl_recyclass[Familia_PPWR],MATCH(A684,tbl_recyclass[ProductId],0)),tbl_familias_ppwr[ID_Familia],0))="Sim","Conforme","Lacuna"),G684)))),G684))</f>
        <v>Conforme (autoavaliação)</v>
      </c>
      <c r="I684" s="33" t="str">
        <f t="shared" si="10"/>
        <v>Conforme</v>
      </c>
      <c r="J684" s="26" t="s">
        <v>991</v>
      </c>
    </row>
    <row r="685" spans="1:10" ht="16.05" customHeight="1" x14ac:dyDescent="0.3">
      <c r="A685" s="26" t="s">
        <v>688</v>
      </c>
      <c r="B685" s="26" t="s">
        <v>997</v>
      </c>
      <c r="C685" s="33" t="str">
        <f>IFERROR(INDEX(tbl_requisitos_emb[Tema],MATCH(B685,tbl_requisitos_emb[ID_Req],0)),"")</f>
        <v>Conteúdo reciclado</v>
      </c>
      <c r="D685" s="33" t="str">
        <f>IFERROR(INDEX(tbl_recyclass[Segmento],MATCH(A685,tbl_recyclass[ProductId],0)),"")</f>
        <v>Cosmética e higiene pessoal</v>
      </c>
      <c r="E685" s="26" t="s">
        <v>901</v>
      </c>
      <c r="F685" s="26" t="s">
        <v>1449</v>
      </c>
      <c r="G685" s="26" t="s">
        <v>978</v>
      </c>
      <c r="H685" s="33" t="str">
        <f>IF(E685="Não","Não aplicável",IFERROR(IF(B685="EU-ENV-002",IF(INDEX(tbl_recyclass[Conforme_PPWR_2030],MATCH(A685,tbl_recyclass[ProductId],0))="Sim","Conforme (autoavaliação)",IF(INDEX(tbl_recyclass[Conforme_PPWR_2030],MATCH(A685,tbl_recyclass[ProductId],0))="Não","Não conforme em 2030","Isento até 2035")),IF(B685="EU-ENV-003",IF(INDEX(tbl_recyclass[Conforme_Art7_2030],MATCH(A685,tbl_recyclass[ProductId],0))="Sim","Conforme (meta 2030)",IF(INDEX(tbl_recyclass[Conforme_Art7_2030],MATCH(A685,tbl_recyclass[ProductId],0))="Não","Lacuna face à meta 2030","Isento")),IF(B685="EU-ENV-011",IF(INDEX(tbl_familias_ppwr[Metais_Pesados_Evidencia],MATCH(INDEX(tbl_recyclass[Familia_PPWR],MATCH(A685,tbl_recyclass[ProductId],0)),tbl_familias_ppwr[ID_Familia],0))="Em falta","Lacuna","Conforme"),IF(B685="EU-ENV-013",IF(INDEX(tbl_familias_ppwr[Declaracao_UE],MATCH(INDEX(tbl_recyclass[Familia_PPWR],MATCH(A685,tbl_recyclass[ProductId],0)),tbl_familias_ppwr[ID_Familia],0))="Sim","Conforme","Lacuna"),G685)))),G685))</f>
        <v>Lacuna face à meta 2030</v>
      </c>
      <c r="I685" s="33" t="str">
        <f t="shared" si="10"/>
        <v>Lacuna</v>
      </c>
      <c r="J685" s="26" t="s">
        <v>1001</v>
      </c>
    </row>
    <row r="686" spans="1:10" ht="16.05" customHeight="1" x14ac:dyDescent="0.3">
      <c r="A686" s="26" t="s">
        <v>688</v>
      </c>
      <c r="B686" s="26" t="s">
        <v>1007</v>
      </c>
      <c r="C686" s="33" t="str">
        <f>IFERROR(INDEX(tbl_requisitos_emb[Tema],MATCH(B686,tbl_requisitos_emb[ID_Req],0)),"")</f>
        <v>Minimização</v>
      </c>
      <c r="D686" s="33" t="str">
        <f>IFERROR(INDEX(tbl_recyclass[Segmento],MATCH(A686,tbl_recyclass[ProductId],0)),"")</f>
        <v>Cosmética e higiene pessoal</v>
      </c>
      <c r="E686" s="26" t="s">
        <v>901</v>
      </c>
      <c r="F686" s="26" t="s">
        <v>1449</v>
      </c>
      <c r="G686" s="26" t="s">
        <v>978</v>
      </c>
      <c r="H686" s="33" t="str">
        <f>IF(E686="Não","Não aplicável",IFERROR(IF(B686="EU-ENV-002",IF(INDEX(tbl_recyclass[Conforme_PPWR_2030],MATCH(A686,tbl_recyclass[ProductId],0))="Sim","Conforme (autoavaliação)",IF(INDEX(tbl_recyclass[Conforme_PPWR_2030],MATCH(A686,tbl_recyclass[ProductId],0))="Não","Não conforme em 2030","Isento até 2035")),IF(B686="EU-ENV-003",IF(INDEX(tbl_recyclass[Conforme_Art7_2030],MATCH(A686,tbl_recyclass[ProductId],0))="Sim","Conforme (meta 2030)",IF(INDEX(tbl_recyclass[Conforme_Art7_2030],MATCH(A686,tbl_recyclass[ProductId],0))="Não","Lacuna face à meta 2030","Isento")),IF(B686="EU-ENV-011",IF(INDEX(tbl_familias_ppwr[Metais_Pesados_Evidencia],MATCH(INDEX(tbl_recyclass[Familia_PPWR],MATCH(A686,tbl_recyclass[ProductId],0)),tbl_familias_ppwr[ID_Familia],0))="Em falta","Lacuna","Conforme"),IF(B686="EU-ENV-013",IF(INDEX(tbl_familias_ppwr[Declaracao_UE],MATCH(INDEX(tbl_recyclass[Familia_PPWR],MATCH(A686,tbl_recyclass[ProductId],0)),tbl_familias_ppwr[ID_Familia],0))="Sim","Conforme","Lacuna"),G686)))),G686))</f>
        <v>Parcial</v>
      </c>
      <c r="I686" s="33" t="str">
        <f t="shared" si="10"/>
        <v>Parcial</v>
      </c>
      <c r="J686" s="26" t="s">
        <v>1012</v>
      </c>
    </row>
    <row r="687" spans="1:10" ht="16.05" customHeight="1" x14ac:dyDescent="0.3">
      <c r="A687" s="26" t="s">
        <v>688</v>
      </c>
      <c r="B687" s="26" t="s">
        <v>1016</v>
      </c>
      <c r="C687" s="33" t="str">
        <f>IFERROR(INDEX(tbl_requisitos_emb[Tema],MATCH(B687,tbl_requisitos_emb[ID_Req],0)),"")</f>
        <v>Rotulagem</v>
      </c>
      <c r="D687" s="33" t="str">
        <f>IFERROR(INDEX(tbl_recyclass[Segmento],MATCH(A687,tbl_recyclass[ProductId],0)),"")</f>
        <v>Cosmética e higiene pessoal</v>
      </c>
      <c r="E687" s="26" t="s">
        <v>901</v>
      </c>
      <c r="F687" s="26" t="s">
        <v>1449</v>
      </c>
      <c r="G687" s="26" t="s">
        <v>990</v>
      </c>
      <c r="H687" s="33" t="str">
        <f>IF(E687="Não","Não aplicável",IFERROR(IF(B687="EU-ENV-002",IF(INDEX(tbl_recyclass[Conforme_PPWR_2030],MATCH(A687,tbl_recyclass[ProductId],0))="Sim","Conforme (autoavaliação)",IF(INDEX(tbl_recyclass[Conforme_PPWR_2030],MATCH(A687,tbl_recyclass[ProductId],0))="Não","Não conforme em 2030","Isento até 2035")),IF(B687="EU-ENV-003",IF(INDEX(tbl_recyclass[Conforme_Art7_2030],MATCH(A687,tbl_recyclass[ProductId],0))="Sim","Conforme (meta 2030)",IF(INDEX(tbl_recyclass[Conforme_Art7_2030],MATCH(A687,tbl_recyclass[ProductId],0))="Não","Lacuna face à meta 2030","Isento")),IF(B687="EU-ENV-011",IF(INDEX(tbl_familias_ppwr[Metais_Pesados_Evidencia],MATCH(INDEX(tbl_recyclass[Familia_PPWR],MATCH(A687,tbl_recyclass[ProductId],0)),tbl_familias_ppwr[ID_Familia],0))="Em falta","Lacuna","Conforme"),IF(B687="EU-ENV-013",IF(INDEX(tbl_familias_ppwr[Declaracao_UE],MATCH(INDEX(tbl_recyclass[Familia_PPWR],MATCH(A687,tbl_recyclass[ProductId],0)),tbl_familias_ppwr[ID_Familia],0))="Sim","Conforme","Lacuna"),G687)))),G687))</f>
        <v>Futuro</v>
      </c>
      <c r="I687" s="33" t="str">
        <f t="shared" si="10"/>
        <v>Futuro</v>
      </c>
      <c r="J687" s="26" t="s">
        <v>1021</v>
      </c>
    </row>
    <row r="688" spans="1:10" ht="16.05" customHeight="1" x14ac:dyDescent="0.3">
      <c r="A688" s="26" t="s">
        <v>688</v>
      </c>
      <c r="B688" s="26" t="s">
        <v>1038</v>
      </c>
      <c r="C688" s="33" t="str">
        <f>IFERROR(INDEX(tbl_requisitos_emb[Tema],MATCH(B688,tbl_requisitos_emb[ID_Req],0)),"")</f>
        <v>Plásticos de utilização única</v>
      </c>
      <c r="D688" s="33" t="str">
        <f>IFERROR(INDEX(tbl_recyclass[Segmento],MATCH(A688,tbl_recyclass[ProductId],0)),"")</f>
        <v>Cosmética e higiene pessoal</v>
      </c>
      <c r="E688" s="26" t="s">
        <v>904</v>
      </c>
      <c r="F688" s="26" t="s">
        <v>1450</v>
      </c>
      <c r="G688" s="26" t="s">
        <v>1143</v>
      </c>
      <c r="H688" s="33" t="str">
        <f>IF(E688="Não","Não aplicável",IFERROR(IF(B688="EU-ENV-002",IF(INDEX(tbl_recyclass[Conforme_PPWR_2030],MATCH(A688,tbl_recyclass[ProductId],0))="Sim","Conforme (autoavaliação)",IF(INDEX(tbl_recyclass[Conforme_PPWR_2030],MATCH(A688,tbl_recyclass[ProductId],0))="Não","Não conforme em 2030","Isento até 2035")),IF(B688="EU-ENV-003",IF(INDEX(tbl_recyclass[Conforme_Art7_2030],MATCH(A688,tbl_recyclass[ProductId],0))="Sim","Conforme (meta 2030)",IF(INDEX(tbl_recyclass[Conforme_Art7_2030],MATCH(A688,tbl_recyclass[ProductId],0))="Não","Lacuna face à meta 2030","Isento")),IF(B688="EU-ENV-011",IF(INDEX(tbl_familias_ppwr[Metais_Pesados_Evidencia],MATCH(INDEX(tbl_recyclass[Familia_PPWR],MATCH(A688,tbl_recyclass[ProductId],0)),tbl_familias_ppwr[ID_Familia],0))="Em falta","Lacuna","Conforme"),IF(B688="EU-ENV-013",IF(INDEX(tbl_familias_ppwr[Declaracao_UE],MATCH(INDEX(tbl_recyclass[Familia_PPWR],MATCH(A688,tbl_recyclass[ProductId],0)),tbl_familias_ppwr[ID_Familia],0))="Sim","Conforme","Lacuna"),G688)))),G688))</f>
        <v>Não aplicável</v>
      </c>
      <c r="I688" s="33" t="str">
        <f t="shared" si="10"/>
        <v>Não aplicável</v>
      </c>
      <c r="J688" s="26"/>
    </row>
    <row r="689" spans="1:10" ht="16.05" customHeight="1" x14ac:dyDescent="0.3">
      <c r="A689" s="26" t="s">
        <v>688</v>
      </c>
      <c r="B689" s="26" t="s">
        <v>1078</v>
      </c>
      <c r="C689" s="33" t="str">
        <f>IFERROR(INDEX(tbl_requisitos_emb[Tema],MATCH(B689,tbl_requisitos_emb[ID_Req],0)),"")</f>
        <v>Reciclado à escala</v>
      </c>
      <c r="D689" s="33" t="str">
        <f>IFERROR(INDEX(tbl_recyclass[Segmento],MATCH(A689,tbl_recyclass[ProductId],0)),"")</f>
        <v>Cosmética e higiene pessoal</v>
      </c>
      <c r="E689" s="26" t="s">
        <v>901</v>
      </c>
      <c r="F689" s="26" t="s">
        <v>1449</v>
      </c>
      <c r="G689" s="26" t="s">
        <v>990</v>
      </c>
      <c r="H689" s="33" t="str">
        <f>IF(E689="Não","Não aplicável",IFERROR(IF(B689="EU-ENV-002",IF(INDEX(tbl_recyclass[Conforme_PPWR_2030],MATCH(A689,tbl_recyclass[ProductId],0))="Sim","Conforme (autoavaliação)",IF(INDEX(tbl_recyclass[Conforme_PPWR_2030],MATCH(A689,tbl_recyclass[ProductId],0))="Não","Não conforme em 2030","Isento até 2035")),IF(B689="EU-ENV-003",IF(INDEX(tbl_recyclass[Conforme_Art7_2030],MATCH(A689,tbl_recyclass[ProductId],0))="Sim","Conforme (meta 2030)",IF(INDEX(tbl_recyclass[Conforme_Art7_2030],MATCH(A689,tbl_recyclass[ProductId],0))="Não","Lacuna face à meta 2030","Isento")),IF(B689="EU-ENV-011",IF(INDEX(tbl_familias_ppwr[Metais_Pesados_Evidencia],MATCH(INDEX(tbl_recyclass[Familia_PPWR],MATCH(A689,tbl_recyclass[ProductId],0)),tbl_familias_ppwr[ID_Familia],0))="Em falta","Lacuna","Conforme"),IF(B689="EU-ENV-013",IF(INDEX(tbl_familias_ppwr[Declaracao_UE],MATCH(INDEX(tbl_recyclass[Familia_PPWR],MATCH(A689,tbl_recyclass[ProductId],0)),tbl_familias_ppwr[ID_Familia],0))="Sim","Conforme","Lacuna"),G689)))),G689))</f>
        <v>Futuro</v>
      </c>
      <c r="I689" s="33" t="str">
        <f t="shared" si="10"/>
        <v>Futuro</v>
      </c>
      <c r="J689" s="26" t="s">
        <v>1082</v>
      </c>
    </row>
    <row r="690" spans="1:10" ht="16.05" customHeight="1" x14ac:dyDescent="0.3">
      <c r="A690" s="26" t="s">
        <v>688</v>
      </c>
      <c r="B690" s="26" t="s">
        <v>1086</v>
      </c>
      <c r="C690" s="33" t="str">
        <f>IFERROR(INDEX(tbl_requisitos_emb[Tema],MATCH(B690,tbl_requisitos_emb[ID_Req],0)),"")</f>
        <v>Metais pesados</v>
      </c>
      <c r="D690" s="33" t="str">
        <f>IFERROR(INDEX(tbl_recyclass[Segmento],MATCH(A690,tbl_recyclass[ProductId],0)),"")</f>
        <v>Cosmética e higiene pessoal</v>
      </c>
      <c r="E690" s="26" t="s">
        <v>901</v>
      </c>
      <c r="F690" s="26" t="s">
        <v>1449</v>
      </c>
      <c r="G690" s="26" t="s">
        <v>978</v>
      </c>
      <c r="H690" s="33" t="str">
        <f>IF(E690="Não","Não aplicável",IFERROR(IF(B690="EU-ENV-002",IF(INDEX(tbl_recyclass[Conforme_PPWR_2030],MATCH(A690,tbl_recyclass[ProductId],0))="Sim","Conforme (autoavaliação)",IF(INDEX(tbl_recyclass[Conforme_PPWR_2030],MATCH(A690,tbl_recyclass[ProductId],0))="Não","Não conforme em 2030","Isento até 2035")),IF(B690="EU-ENV-003",IF(INDEX(tbl_recyclass[Conforme_Art7_2030],MATCH(A690,tbl_recyclass[ProductId],0))="Sim","Conforme (meta 2030)",IF(INDEX(tbl_recyclass[Conforme_Art7_2030],MATCH(A690,tbl_recyclass[ProductId],0))="Não","Lacuna face à meta 2030","Isento")),IF(B690="EU-ENV-011",IF(INDEX(tbl_familias_ppwr[Metais_Pesados_Evidencia],MATCH(INDEX(tbl_recyclass[Familia_PPWR],MATCH(A690,tbl_recyclass[ProductId],0)),tbl_familias_ppwr[ID_Familia],0))="Em falta","Lacuna","Conforme"),IF(B690="EU-ENV-013",IF(INDEX(tbl_familias_ppwr[Declaracao_UE],MATCH(INDEX(tbl_recyclass[Familia_PPWR],MATCH(A690,tbl_recyclass[ProductId],0)),tbl_familias_ppwr[ID_Familia],0))="Sim","Conforme","Lacuna"),G690)))),G690))</f>
        <v>Conforme</v>
      </c>
      <c r="I690" s="33" t="str">
        <f t="shared" si="10"/>
        <v>Conforme</v>
      </c>
      <c r="J690" s="26" t="s">
        <v>1090</v>
      </c>
    </row>
    <row r="691" spans="1:10" ht="16.05" customHeight="1" x14ac:dyDescent="0.3">
      <c r="A691" s="26" t="s">
        <v>688</v>
      </c>
      <c r="B691" s="26" t="s">
        <v>1094</v>
      </c>
      <c r="C691" s="33" t="str">
        <f>IFERROR(INDEX(tbl_requisitos_emb[Tema],MATCH(B691,tbl_requisitos_emb[ID_Req],0)),"")</f>
        <v>PFAS</v>
      </c>
      <c r="D691" s="33" t="str">
        <f>IFERROR(INDEX(tbl_recyclass[Segmento],MATCH(A691,tbl_recyclass[ProductId],0)),"")</f>
        <v>Cosmética e higiene pessoal</v>
      </c>
      <c r="E691" s="26" t="s">
        <v>904</v>
      </c>
      <c r="F691" s="26" t="s">
        <v>1450</v>
      </c>
      <c r="G691" s="26" t="s">
        <v>1143</v>
      </c>
      <c r="H691" s="33" t="str">
        <f>IF(E691="Não","Não aplicável",IFERROR(IF(B691="EU-ENV-002",IF(INDEX(tbl_recyclass[Conforme_PPWR_2030],MATCH(A691,tbl_recyclass[ProductId],0))="Sim","Conforme (autoavaliação)",IF(INDEX(tbl_recyclass[Conforme_PPWR_2030],MATCH(A691,tbl_recyclass[ProductId],0))="Não","Não conforme em 2030","Isento até 2035")),IF(B691="EU-ENV-003",IF(INDEX(tbl_recyclass[Conforme_Art7_2030],MATCH(A691,tbl_recyclass[ProductId],0))="Sim","Conforme (meta 2030)",IF(INDEX(tbl_recyclass[Conforme_Art7_2030],MATCH(A691,tbl_recyclass[ProductId],0))="Não","Lacuna face à meta 2030","Isento")),IF(B691="EU-ENV-011",IF(INDEX(tbl_familias_ppwr[Metais_Pesados_Evidencia],MATCH(INDEX(tbl_recyclass[Familia_PPWR],MATCH(A691,tbl_recyclass[ProductId],0)),tbl_familias_ppwr[ID_Familia],0))="Em falta","Lacuna","Conforme"),IF(B691="EU-ENV-013",IF(INDEX(tbl_familias_ppwr[Declaracao_UE],MATCH(INDEX(tbl_recyclass[Familia_PPWR],MATCH(A691,tbl_recyclass[ProductId],0)),tbl_familias_ppwr[ID_Familia],0))="Sim","Conforme","Lacuna"),G691)))),G691))</f>
        <v>Não aplicável</v>
      </c>
      <c r="I691" s="33" t="str">
        <f t="shared" si="10"/>
        <v>Não aplicável</v>
      </c>
      <c r="J691" s="26"/>
    </row>
    <row r="692" spans="1:10" ht="16.05" customHeight="1" x14ac:dyDescent="0.3">
      <c r="A692" s="26" t="s">
        <v>688</v>
      </c>
      <c r="B692" s="26" t="s">
        <v>1102</v>
      </c>
      <c r="C692" s="33" t="str">
        <f>IFERROR(INDEX(tbl_requisitos_emb[Tema],MATCH(B692,tbl_requisitos_emb[ID_Req],0)),"")</f>
        <v>Documentação técnica e declaração UE</v>
      </c>
      <c r="D692" s="33" t="str">
        <f>IFERROR(INDEX(tbl_recyclass[Segmento],MATCH(A692,tbl_recyclass[ProductId],0)),"")</f>
        <v>Cosmética e higiene pessoal</v>
      </c>
      <c r="E692" s="26" t="s">
        <v>901</v>
      </c>
      <c r="F692" s="26" t="s">
        <v>1449</v>
      </c>
      <c r="G692" s="26" t="s">
        <v>978</v>
      </c>
      <c r="H692" s="33" t="str">
        <f>IF(E692="Não","Não aplicável",IFERROR(IF(B692="EU-ENV-002",IF(INDEX(tbl_recyclass[Conforme_PPWR_2030],MATCH(A692,tbl_recyclass[ProductId],0))="Sim","Conforme (autoavaliação)",IF(INDEX(tbl_recyclass[Conforme_PPWR_2030],MATCH(A692,tbl_recyclass[ProductId],0))="Não","Não conforme em 2030","Isento até 2035")),IF(B692="EU-ENV-003",IF(INDEX(tbl_recyclass[Conforme_Art7_2030],MATCH(A692,tbl_recyclass[ProductId],0))="Sim","Conforme (meta 2030)",IF(INDEX(tbl_recyclass[Conforme_Art7_2030],MATCH(A692,tbl_recyclass[ProductId],0))="Não","Lacuna face à meta 2030","Isento")),IF(B692="EU-ENV-011",IF(INDEX(tbl_familias_ppwr[Metais_Pesados_Evidencia],MATCH(INDEX(tbl_recyclass[Familia_PPWR],MATCH(A692,tbl_recyclass[ProductId],0)),tbl_familias_ppwr[ID_Familia],0))="Em falta","Lacuna","Conforme"),IF(B692="EU-ENV-013",IF(INDEX(tbl_familias_ppwr[Declaracao_UE],MATCH(INDEX(tbl_recyclass[Familia_PPWR],MATCH(A692,tbl_recyclass[ProductId],0)),tbl_familias_ppwr[ID_Familia],0))="Sim","Conforme","Lacuna"),G692)))),G692))</f>
        <v>Conforme</v>
      </c>
      <c r="I692" s="33" t="str">
        <f t="shared" si="10"/>
        <v>Conforme</v>
      </c>
      <c r="J692" s="26" t="s">
        <v>1106</v>
      </c>
    </row>
    <row r="693" spans="1:10" ht="16.05" customHeight="1" x14ac:dyDescent="0.3">
      <c r="A693" s="26" t="s">
        <v>688</v>
      </c>
      <c r="B693" s="26" t="s">
        <v>1161</v>
      </c>
      <c r="C693" s="33" t="str">
        <f>IFERROR(INDEX(tbl_requisitos_emb[Tema],MATCH(B693,tbl_requisitos_emb[ID_Req],0)),"")</f>
        <v>Materiais em contacto com alimentos</v>
      </c>
      <c r="D693" s="33" t="str">
        <f>IFERROR(INDEX(tbl_recyclass[Segmento],MATCH(A693,tbl_recyclass[ProductId],0)),"")</f>
        <v>Cosmética e higiene pessoal</v>
      </c>
      <c r="E693" s="26" t="s">
        <v>904</v>
      </c>
      <c r="F693" s="26" t="s">
        <v>1450</v>
      </c>
      <c r="G693" s="26" t="s">
        <v>1143</v>
      </c>
      <c r="H693" s="33" t="str">
        <f>IF(E693="Não","Não aplicável",IFERROR(IF(B693="EU-ENV-002",IF(INDEX(tbl_recyclass[Conforme_PPWR_2030],MATCH(A693,tbl_recyclass[ProductId],0))="Sim","Conforme (autoavaliação)",IF(INDEX(tbl_recyclass[Conforme_PPWR_2030],MATCH(A693,tbl_recyclass[ProductId],0))="Não","Não conforme em 2030","Isento até 2035")),IF(B693="EU-ENV-003",IF(INDEX(tbl_recyclass[Conforme_Art7_2030],MATCH(A693,tbl_recyclass[ProductId],0))="Sim","Conforme (meta 2030)",IF(INDEX(tbl_recyclass[Conforme_Art7_2030],MATCH(A693,tbl_recyclass[ProductId],0))="Não","Lacuna face à meta 2030","Isento")),IF(B693="EU-ENV-011",IF(INDEX(tbl_familias_ppwr[Metais_Pesados_Evidencia],MATCH(INDEX(tbl_recyclass[Familia_PPWR],MATCH(A693,tbl_recyclass[ProductId],0)),tbl_familias_ppwr[ID_Familia],0))="Em falta","Lacuna","Conforme"),IF(B693="EU-ENV-013",IF(INDEX(tbl_familias_ppwr[Declaracao_UE],MATCH(INDEX(tbl_recyclass[Familia_PPWR],MATCH(A693,tbl_recyclass[ProductId],0)),tbl_familias_ppwr[ID_Familia],0))="Sim","Conforme","Lacuna"),G693)))),G693))</f>
        <v>Não aplicável</v>
      </c>
      <c r="I693" s="33" t="str">
        <f t="shared" si="10"/>
        <v>Não aplicável</v>
      </c>
      <c r="J693" s="26"/>
    </row>
    <row r="694" spans="1:10" ht="16.05" customHeight="1" x14ac:dyDescent="0.3">
      <c r="A694" s="26" t="s">
        <v>688</v>
      </c>
      <c r="B694" s="26" t="s">
        <v>1170</v>
      </c>
      <c r="C694" s="33" t="str">
        <f>IFERROR(INDEX(tbl_requisitos_emb[Tema],MATCH(B694,tbl_requisitos_emb[ID_Req],0)),"")</f>
        <v>Boas práticas de fabrico FCM</v>
      </c>
      <c r="D694" s="33" t="str">
        <f>IFERROR(INDEX(tbl_recyclass[Segmento],MATCH(A694,tbl_recyclass[ProductId],0)),"")</f>
        <v>Cosmética e higiene pessoal</v>
      </c>
      <c r="E694" s="26" t="s">
        <v>904</v>
      </c>
      <c r="F694" s="26" t="s">
        <v>1450</v>
      </c>
      <c r="G694" s="26" t="s">
        <v>1143</v>
      </c>
      <c r="H694" s="33" t="str">
        <f>IF(E694="Não","Não aplicável",IFERROR(IF(B694="EU-ENV-002",IF(INDEX(tbl_recyclass[Conforme_PPWR_2030],MATCH(A694,tbl_recyclass[ProductId],0))="Sim","Conforme (autoavaliação)",IF(INDEX(tbl_recyclass[Conforme_PPWR_2030],MATCH(A694,tbl_recyclass[ProductId],0))="Não","Não conforme em 2030","Isento até 2035")),IF(B694="EU-ENV-003",IF(INDEX(tbl_recyclass[Conforme_Art7_2030],MATCH(A694,tbl_recyclass[ProductId],0))="Sim","Conforme (meta 2030)",IF(INDEX(tbl_recyclass[Conforme_Art7_2030],MATCH(A694,tbl_recyclass[ProductId],0))="Não","Lacuna face à meta 2030","Isento")),IF(B694="EU-ENV-011",IF(INDEX(tbl_familias_ppwr[Metais_Pesados_Evidencia],MATCH(INDEX(tbl_recyclass[Familia_PPWR],MATCH(A694,tbl_recyclass[ProductId],0)),tbl_familias_ppwr[ID_Familia],0))="Em falta","Lacuna","Conforme"),IF(B694="EU-ENV-013",IF(INDEX(tbl_familias_ppwr[Declaracao_UE],MATCH(INDEX(tbl_recyclass[Familia_PPWR],MATCH(A694,tbl_recyclass[ProductId],0)),tbl_familias_ppwr[ID_Familia],0))="Sim","Conforme","Lacuna"),G694)))),G694))</f>
        <v>Não aplicável</v>
      </c>
      <c r="I694" s="33" t="str">
        <f t="shared" si="10"/>
        <v>Não aplicável</v>
      </c>
      <c r="J694" s="26"/>
    </row>
    <row r="695" spans="1:10" ht="16.05" customHeight="1" x14ac:dyDescent="0.3">
      <c r="A695" s="26" t="s">
        <v>688</v>
      </c>
      <c r="B695" s="26" t="s">
        <v>1179</v>
      </c>
      <c r="C695" s="33" t="str">
        <f>IFERROR(INDEX(tbl_requisitos_emb[Tema],MATCH(B695,tbl_requisitos_emb[ID_Req],0)),"")</f>
        <v>Bisfenol A e bisfenóis perigosos</v>
      </c>
      <c r="D695" s="33" t="str">
        <f>IFERROR(INDEX(tbl_recyclass[Segmento],MATCH(A695,tbl_recyclass[ProductId],0)),"")</f>
        <v>Cosmética e higiene pessoal</v>
      </c>
      <c r="E695" s="26" t="s">
        <v>904</v>
      </c>
      <c r="F695" s="26" t="s">
        <v>1450</v>
      </c>
      <c r="G695" s="26" t="s">
        <v>1143</v>
      </c>
      <c r="H695" s="33" t="str">
        <f>IF(E695="Não","Não aplicável",IFERROR(IF(B695="EU-ENV-002",IF(INDEX(tbl_recyclass[Conforme_PPWR_2030],MATCH(A695,tbl_recyclass[ProductId],0))="Sim","Conforme (autoavaliação)",IF(INDEX(tbl_recyclass[Conforme_PPWR_2030],MATCH(A695,tbl_recyclass[ProductId],0))="Não","Não conforme em 2030","Isento até 2035")),IF(B695="EU-ENV-003",IF(INDEX(tbl_recyclass[Conforme_Art7_2030],MATCH(A695,tbl_recyclass[ProductId],0))="Sim","Conforme (meta 2030)",IF(INDEX(tbl_recyclass[Conforme_Art7_2030],MATCH(A695,tbl_recyclass[ProductId],0))="Não","Lacuna face à meta 2030","Isento")),IF(B695="EU-ENV-011",IF(INDEX(tbl_familias_ppwr[Metais_Pesados_Evidencia],MATCH(INDEX(tbl_recyclass[Familia_PPWR],MATCH(A695,tbl_recyclass[ProductId],0)),tbl_familias_ppwr[ID_Familia],0))="Em falta","Lacuna","Conforme"),IF(B695="EU-ENV-013",IF(INDEX(tbl_familias_ppwr[Declaracao_UE],MATCH(INDEX(tbl_recyclass[Familia_PPWR],MATCH(A695,tbl_recyclass[ProductId],0)),tbl_familias_ppwr[ID_Familia],0))="Sim","Conforme","Lacuna"),G695)))),G695))</f>
        <v>Não aplicável</v>
      </c>
      <c r="I695" s="33" t="str">
        <f t="shared" si="10"/>
        <v>Não aplicável</v>
      </c>
      <c r="J695" s="26"/>
    </row>
    <row r="696" spans="1:10" ht="16.05" customHeight="1" x14ac:dyDescent="0.3">
      <c r="A696" s="26" t="s">
        <v>688</v>
      </c>
      <c r="B696" s="26" t="s">
        <v>1188</v>
      </c>
      <c r="C696" s="33" t="str">
        <f>IFERROR(INDEX(tbl_requisitos_emb[Tema],MATCH(B696,tbl_requisitos_emb[ID_Req],0)),"")</f>
        <v>Plásticos em contacto com alimentos</v>
      </c>
      <c r="D696" s="33" t="str">
        <f>IFERROR(INDEX(tbl_recyclass[Segmento],MATCH(A696,tbl_recyclass[ProductId],0)),"")</f>
        <v>Cosmética e higiene pessoal</v>
      </c>
      <c r="E696" s="26" t="s">
        <v>904</v>
      </c>
      <c r="F696" s="26" t="s">
        <v>1450</v>
      </c>
      <c r="G696" s="26" t="s">
        <v>1143</v>
      </c>
      <c r="H696" s="33" t="str">
        <f>IF(E696="Não","Não aplicável",IFERROR(IF(B696="EU-ENV-002",IF(INDEX(tbl_recyclass[Conforme_PPWR_2030],MATCH(A696,tbl_recyclass[ProductId],0))="Sim","Conforme (autoavaliação)",IF(INDEX(tbl_recyclass[Conforme_PPWR_2030],MATCH(A696,tbl_recyclass[ProductId],0))="Não","Não conforme em 2030","Isento até 2035")),IF(B696="EU-ENV-003",IF(INDEX(tbl_recyclass[Conforme_Art7_2030],MATCH(A696,tbl_recyclass[ProductId],0))="Sim","Conforme (meta 2030)",IF(INDEX(tbl_recyclass[Conforme_Art7_2030],MATCH(A696,tbl_recyclass[ProductId],0))="Não","Lacuna face à meta 2030","Isento")),IF(B696="EU-ENV-011",IF(INDEX(tbl_familias_ppwr[Metais_Pesados_Evidencia],MATCH(INDEX(tbl_recyclass[Familia_PPWR],MATCH(A696,tbl_recyclass[ProductId],0)),tbl_familias_ppwr[ID_Familia],0))="Em falta","Lacuna","Conforme"),IF(B696="EU-ENV-013",IF(INDEX(tbl_familias_ppwr[Declaracao_UE],MATCH(INDEX(tbl_recyclass[Familia_PPWR],MATCH(A696,tbl_recyclass[ProductId],0)),tbl_familias_ppwr[ID_Familia],0))="Sim","Conforme","Lacuna"),G696)))),G696))</f>
        <v>Não aplicável</v>
      </c>
      <c r="I696" s="33" t="str">
        <f t="shared" si="10"/>
        <v>Não aplicável</v>
      </c>
      <c r="J696" s="26"/>
    </row>
    <row r="697" spans="1:10" ht="16.05" customHeight="1" x14ac:dyDescent="0.3">
      <c r="A697" s="26" t="s">
        <v>688</v>
      </c>
      <c r="B697" s="26" t="s">
        <v>1212</v>
      </c>
      <c r="C697" s="33" t="str">
        <f>IFERROR(INDEX(tbl_requisitos_emb[Tema],MATCH(B697,tbl_requisitos_emb[ID_Req],0)),"")</f>
        <v>Segurança do produto cosmético</v>
      </c>
      <c r="D697" s="33" t="str">
        <f>IFERROR(INDEX(tbl_recyclass[Segmento],MATCH(A697,tbl_recyclass[ProductId],0)),"")</f>
        <v>Cosmética e higiene pessoal</v>
      </c>
      <c r="E697" s="26" t="s">
        <v>901</v>
      </c>
      <c r="F697" s="26" t="s">
        <v>1449</v>
      </c>
      <c r="G697" s="26" t="s">
        <v>1033</v>
      </c>
      <c r="H697" s="33" t="str">
        <f>IF(E697="Não","Não aplicável",IFERROR(IF(B697="EU-ENV-002",IF(INDEX(tbl_recyclass[Conforme_PPWR_2030],MATCH(A697,tbl_recyclass[ProductId],0))="Sim","Conforme (autoavaliação)",IF(INDEX(tbl_recyclass[Conforme_PPWR_2030],MATCH(A697,tbl_recyclass[ProductId],0))="Não","Não conforme em 2030","Isento até 2035")),IF(B697="EU-ENV-003",IF(INDEX(tbl_recyclass[Conforme_Art7_2030],MATCH(A697,tbl_recyclass[ProductId],0))="Sim","Conforme (meta 2030)",IF(INDEX(tbl_recyclass[Conforme_Art7_2030],MATCH(A697,tbl_recyclass[ProductId],0))="Não","Lacuna face à meta 2030","Isento")),IF(B697="EU-ENV-011",IF(INDEX(tbl_familias_ppwr[Metais_Pesados_Evidencia],MATCH(INDEX(tbl_recyclass[Familia_PPWR],MATCH(A697,tbl_recyclass[ProductId],0)),tbl_familias_ppwr[ID_Familia],0))="Em falta","Lacuna","Conforme"),IF(B697="EU-ENV-013",IF(INDEX(tbl_familias_ppwr[Declaracao_UE],MATCH(INDEX(tbl_recyclass[Familia_PPWR],MATCH(A697,tbl_recyclass[ProductId],0)),tbl_familias_ppwr[ID_Familia],0))="Sim","Conforme","Lacuna"),G697)))),G697))</f>
        <v>Conforme</v>
      </c>
      <c r="I697" s="33" t="str">
        <f t="shared" si="10"/>
        <v>Conforme</v>
      </c>
      <c r="J697" s="26" t="s">
        <v>1221</v>
      </c>
    </row>
    <row r="698" spans="1:10" ht="16.05" customHeight="1" x14ac:dyDescent="0.3">
      <c r="A698" s="26" t="s">
        <v>688</v>
      </c>
      <c r="B698" s="26" t="s">
        <v>1224</v>
      </c>
      <c r="C698" s="33" t="str">
        <f>IFERROR(INDEX(tbl_requisitos_emb[Tema],MATCH(B698,tbl_requisitos_emb[ID_Req],0)),"")</f>
        <v>Materiais e impurezas</v>
      </c>
      <c r="D698" s="33" t="str">
        <f>IFERROR(INDEX(tbl_recyclass[Segmento],MATCH(A698,tbl_recyclass[ProductId],0)),"")</f>
        <v>Cosmética e higiene pessoal</v>
      </c>
      <c r="E698" s="26" t="s">
        <v>901</v>
      </c>
      <c r="F698" s="26" t="s">
        <v>1449</v>
      </c>
      <c r="G698" s="26" t="s">
        <v>978</v>
      </c>
      <c r="H698" s="33" t="str">
        <f>IF(E698="Não","Não aplicável",IFERROR(IF(B698="EU-ENV-002",IF(INDEX(tbl_recyclass[Conforme_PPWR_2030],MATCH(A698,tbl_recyclass[ProductId],0))="Sim","Conforme (autoavaliação)",IF(INDEX(tbl_recyclass[Conforme_PPWR_2030],MATCH(A698,tbl_recyclass[ProductId],0))="Não","Não conforme em 2030","Isento até 2035")),IF(B698="EU-ENV-003",IF(INDEX(tbl_recyclass[Conforme_Art7_2030],MATCH(A698,tbl_recyclass[ProductId],0))="Sim","Conforme (meta 2030)",IF(INDEX(tbl_recyclass[Conforme_Art7_2030],MATCH(A698,tbl_recyclass[ProductId],0))="Não","Lacuna face à meta 2030","Isento")),IF(B698="EU-ENV-011",IF(INDEX(tbl_familias_ppwr[Metais_Pesados_Evidencia],MATCH(INDEX(tbl_recyclass[Familia_PPWR],MATCH(A698,tbl_recyclass[ProductId],0)),tbl_familias_ppwr[ID_Familia],0))="Em falta","Lacuna","Conforme"),IF(B698="EU-ENV-013",IF(INDEX(tbl_familias_ppwr[Declaracao_UE],MATCH(INDEX(tbl_recyclass[Familia_PPWR],MATCH(A698,tbl_recyclass[ProductId],0)),tbl_familias_ppwr[ID_Familia],0))="Sim","Conforme","Lacuna"),G698)))),G698))</f>
        <v>Parcial</v>
      </c>
      <c r="I698" s="33" t="str">
        <f t="shared" si="10"/>
        <v>Parcial</v>
      </c>
      <c r="J698" s="26" t="s">
        <v>1228</v>
      </c>
    </row>
    <row r="699" spans="1:10" ht="16.05" customHeight="1" x14ac:dyDescent="0.3">
      <c r="A699" s="26" t="s">
        <v>688</v>
      </c>
      <c r="B699" s="26" t="s">
        <v>1240</v>
      </c>
      <c r="C699" s="33" t="str">
        <f>IFERROR(INDEX(tbl_requisitos_emb[Tema],MATCH(B699,tbl_requisitos_emb[ID_Req],0)),"")</f>
        <v>Compatibilidade embalagem–produto</v>
      </c>
      <c r="D699" s="33" t="str">
        <f>IFERROR(INDEX(tbl_recyclass[Segmento],MATCH(A699,tbl_recyclass[ProductId],0)),"")</f>
        <v>Cosmética e higiene pessoal</v>
      </c>
      <c r="E699" s="26" t="s">
        <v>901</v>
      </c>
      <c r="F699" s="26" t="s">
        <v>1449</v>
      </c>
      <c r="G699" s="26" t="s">
        <v>1033</v>
      </c>
      <c r="H699" s="33" t="str">
        <f>IF(E699="Não","Não aplicável",IFERROR(IF(B699="EU-ENV-002",IF(INDEX(tbl_recyclass[Conforme_PPWR_2030],MATCH(A699,tbl_recyclass[ProductId],0))="Sim","Conforme (autoavaliação)",IF(INDEX(tbl_recyclass[Conforme_PPWR_2030],MATCH(A699,tbl_recyclass[ProductId],0))="Não","Não conforme em 2030","Isento até 2035")),IF(B699="EU-ENV-003",IF(INDEX(tbl_recyclass[Conforme_Art7_2030],MATCH(A699,tbl_recyclass[ProductId],0))="Sim","Conforme (meta 2030)",IF(INDEX(tbl_recyclass[Conforme_Art7_2030],MATCH(A699,tbl_recyclass[ProductId],0))="Não","Lacuna face à meta 2030","Isento")),IF(B699="EU-ENV-011",IF(INDEX(tbl_familias_ppwr[Metais_Pesados_Evidencia],MATCH(INDEX(tbl_recyclass[Familia_PPWR],MATCH(A699,tbl_recyclass[ProductId],0)),tbl_familias_ppwr[ID_Familia],0))="Em falta","Lacuna","Conforme"),IF(B699="EU-ENV-013",IF(INDEX(tbl_familias_ppwr[Declaracao_UE],MATCH(INDEX(tbl_recyclass[Familia_PPWR],MATCH(A699,tbl_recyclass[ProductId],0)),tbl_familias_ppwr[ID_Familia],0))="Sim","Conforme","Lacuna"),G699)))),G699))</f>
        <v>Conforme</v>
      </c>
      <c r="I699" s="33" t="str">
        <f t="shared" si="10"/>
        <v>Conforme</v>
      </c>
      <c r="J699" s="26" t="s">
        <v>1244</v>
      </c>
    </row>
    <row r="700" spans="1:10" ht="16.05" customHeight="1" x14ac:dyDescent="0.3">
      <c r="A700" s="26" t="s">
        <v>688</v>
      </c>
      <c r="B700" s="26" t="s">
        <v>1252</v>
      </c>
      <c r="C700" s="33" t="str">
        <f>IFERROR(INDEX(tbl_requisitos_emb[Tema],MATCH(B700,tbl_requisitos_emb[ID_Req],0)),"")</f>
        <v>Medicamentos de uso humano</v>
      </c>
      <c r="D700" s="33" t="str">
        <f>IFERROR(INDEX(tbl_recyclass[Segmento],MATCH(A700,tbl_recyclass[ProductId],0)),"")</f>
        <v>Cosmética e higiene pessoal</v>
      </c>
      <c r="E700" s="26" t="s">
        <v>904</v>
      </c>
      <c r="F700" s="26" t="s">
        <v>1451</v>
      </c>
      <c r="G700" s="26" t="s">
        <v>1143</v>
      </c>
      <c r="H700" s="33" t="str">
        <f>IF(E700="Não","Não aplicável",IFERROR(IF(B700="EU-ENV-002",IF(INDEX(tbl_recyclass[Conforme_PPWR_2030],MATCH(A700,tbl_recyclass[ProductId],0))="Sim","Conforme (autoavaliação)",IF(INDEX(tbl_recyclass[Conforme_PPWR_2030],MATCH(A700,tbl_recyclass[ProductId],0))="Não","Não conforme em 2030","Isento até 2035")),IF(B700="EU-ENV-003",IF(INDEX(tbl_recyclass[Conforme_Art7_2030],MATCH(A700,tbl_recyclass[ProductId],0))="Sim","Conforme (meta 2030)",IF(INDEX(tbl_recyclass[Conforme_Art7_2030],MATCH(A700,tbl_recyclass[ProductId],0))="Não","Lacuna face à meta 2030","Isento")),IF(B700="EU-ENV-011",IF(INDEX(tbl_familias_ppwr[Metais_Pesados_Evidencia],MATCH(INDEX(tbl_recyclass[Familia_PPWR],MATCH(A700,tbl_recyclass[ProductId],0)),tbl_familias_ppwr[ID_Familia],0))="Em falta","Lacuna","Conforme"),IF(B700="EU-ENV-013",IF(INDEX(tbl_familias_ppwr[Declaracao_UE],MATCH(INDEX(tbl_recyclass[Familia_PPWR],MATCH(A700,tbl_recyclass[ProductId],0)),tbl_familias_ppwr[ID_Familia],0))="Sim","Conforme","Lacuna"),G700)))),G700))</f>
        <v>Não aplicável</v>
      </c>
      <c r="I700" s="33" t="str">
        <f t="shared" si="10"/>
        <v>Não aplicável</v>
      </c>
      <c r="J700" s="26"/>
    </row>
    <row r="701" spans="1:10" ht="16.05" customHeight="1" x14ac:dyDescent="0.3">
      <c r="A701" s="26" t="s">
        <v>688</v>
      </c>
      <c r="B701" s="26" t="s">
        <v>1268</v>
      </c>
      <c r="C701" s="33" t="str">
        <f>IFERROR(INDEX(tbl_requisitos_emb[Tema],MATCH(B701,tbl_requisitos_emb[ID_Req],0)),"")</f>
        <v>Dispositivos de segurança</v>
      </c>
      <c r="D701" s="33" t="str">
        <f>IFERROR(INDEX(tbl_recyclass[Segmento],MATCH(A701,tbl_recyclass[ProductId],0)),"")</f>
        <v>Cosmética e higiene pessoal</v>
      </c>
      <c r="E701" s="26" t="s">
        <v>904</v>
      </c>
      <c r="F701" s="26" t="s">
        <v>1451</v>
      </c>
      <c r="G701" s="26" t="s">
        <v>1143</v>
      </c>
      <c r="H701" s="33" t="str">
        <f>IF(E701="Não","Não aplicável",IFERROR(IF(B701="EU-ENV-002",IF(INDEX(tbl_recyclass[Conforme_PPWR_2030],MATCH(A701,tbl_recyclass[ProductId],0))="Sim","Conforme (autoavaliação)",IF(INDEX(tbl_recyclass[Conforme_PPWR_2030],MATCH(A701,tbl_recyclass[ProductId],0))="Não","Não conforme em 2030","Isento até 2035")),IF(B701="EU-ENV-003",IF(INDEX(tbl_recyclass[Conforme_Art7_2030],MATCH(A701,tbl_recyclass[ProductId],0))="Sim","Conforme (meta 2030)",IF(INDEX(tbl_recyclass[Conforme_Art7_2030],MATCH(A701,tbl_recyclass[ProductId],0))="Não","Lacuna face à meta 2030","Isento")),IF(B701="EU-ENV-011",IF(INDEX(tbl_familias_ppwr[Metais_Pesados_Evidencia],MATCH(INDEX(tbl_recyclass[Familia_PPWR],MATCH(A701,tbl_recyclass[ProductId],0)),tbl_familias_ppwr[ID_Familia],0))="Em falta","Lacuna","Conforme"),IF(B701="EU-ENV-013",IF(INDEX(tbl_familias_ppwr[Declaracao_UE],MATCH(INDEX(tbl_recyclass[Familia_PPWR],MATCH(A701,tbl_recyclass[ProductId],0)),tbl_familias_ppwr[ID_Familia],0))="Sim","Conforme","Lacuna"),G701)))),G701))</f>
        <v>Não aplicável</v>
      </c>
      <c r="I701" s="33" t="str">
        <f t="shared" si="10"/>
        <v>Não aplicável</v>
      </c>
      <c r="J701" s="26"/>
    </row>
    <row r="702" spans="1:10" ht="16.05" customHeight="1" x14ac:dyDescent="0.3">
      <c r="A702" s="26" t="s">
        <v>688</v>
      </c>
      <c r="B702" s="26" t="s">
        <v>1285</v>
      </c>
      <c r="C702" s="33" t="str">
        <f>IFERROR(INDEX(tbl_requisitos_emb[Tema],MATCH(B702,tbl_requisitos_emb[ID_Req],0)),"")</f>
        <v>Materiais plásticos de acondicionamento primário</v>
      </c>
      <c r="D702" s="33" t="str">
        <f>IFERROR(INDEX(tbl_recyclass[Segmento],MATCH(A702,tbl_recyclass[ProductId],0)),"")</f>
        <v>Cosmética e higiene pessoal</v>
      </c>
      <c r="E702" s="26" t="s">
        <v>904</v>
      </c>
      <c r="F702" s="26" t="s">
        <v>1451</v>
      </c>
      <c r="G702" s="26" t="s">
        <v>1143</v>
      </c>
      <c r="H702" s="33" t="str">
        <f>IF(E702="Não","Não aplicável",IFERROR(IF(B702="EU-ENV-002",IF(INDEX(tbl_recyclass[Conforme_PPWR_2030],MATCH(A702,tbl_recyclass[ProductId],0))="Sim","Conforme (autoavaliação)",IF(INDEX(tbl_recyclass[Conforme_PPWR_2030],MATCH(A702,tbl_recyclass[ProductId],0))="Não","Não conforme em 2030","Isento até 2035")),IF(B702="EU-ENV-003",IF(INDEX(tbl_recyclass[Conforme_Art7_2030],MATCH(A702,tbl_recyclass[ProductId],0))="Sim","Conforme (meta 2030)",IF(INDEX(tbl_recyclass[Conforme_Art7_2030],MATCH(A702,tbl_recyclass[ProductId],0))="Não","Lacuna face à meta 2030","Isento")),IF(B702="EU-ENV-011",IF(INDEX(tbl_familias_ppwr[Metais_Pesados_Evidencia],MATCH(INDEX(tbl_recyclass[Familia_PPWR],MATCH(A702,tbl_recyclass[ProductId],0)),tbl_familias_ppwr[ID_Familia],0))="Em falta","Lacuna","Conforme"),IF(B702="EU-ENV-013",IF(INDEX(tbl_familias_ppwr[Declaracao_UE],MATCH(INDEX(tbl_recyclass[Familia_PPWR],MATCH(A702,tbl_recyclass[ProductId],0)),tbl_familias_ppwr[ID_Familia],0))="Sim","Conforme","Lacuna"),G702)))),G702))</f>
        <v>Não aplicável</v>
      </c>
      <c r="I702" s="33" t="str">
        <f t="shared" si="10"/>
        <v>Não aplicável</v>
      </c>
      <c r="J702" s="26"/>
    </row>
    <row r="703" spans="1:10" ht="16.05" customHeight="1" x14ac:dyDescent="0.3">
      <c r="A703" s="26" t="s">
        <v>688</v>
      </c>
      <c r="B703" s="26" t="s">
        <v>1293</v>
      </c>
      <c r="C703" s="33" t="str">
        <f>IFERROR(INDEX(tbl_requisitos_emb[Tema],MATCH(B703,tbl_requisitos_emb[ID_Req],0)),"")</f>
        <v>Isenções PPWR</v>
      </c>
      <c r="D703" s="33" t="str">
        <f>IFERROR(INDEX(tbl_recyclass[Segmento],MATCH(A703,tbl_recyclass[ProductId],0)),"")</f>
        <v>Cosmética e higiene pessoal</v>
      </c>
      <c r="E703" s="26" t="s">
        <v>904</v>
      </c>
      <c r="F703" s="26" t="s">
        <v>1451</v>
      </c>
      <c r="G703" s="26" t="s">
        <v>1143</v>
      </c>
      <c r="H703" s="33" t="str">
        <f>IF(E703="Não","Não aplicável",IFERROR(IF(B703="EU-ENV-002",IF(INDEX(tbl_recyclass[Conforme_PPWR_2030],MATCH(A703,tbl_recyclass[ProductId],0))="Sim","Conforme (autoavaliação)",IF(INDEX(tbl_recyclass[Conforme_PPWR_2030],MATCH(A703,tbl_recyclass[ProductId],0))="Não","Não conforme em 2030","Isento até 2035")),IF(B703="EU-ENV-003",IF(INDEX(tbl_recyclass[Conforme_Art7_2030],MATCH(A703,tbl_recyclass[ProductId],0))="Sim","Conforme (meta 2030)",IF(INDEX(tbl_recyclass[Conforme_Art7_2030],MATCH(A703,tbl_recyclass[ProductId],0))="Não","Lacuna face à meta 2030","Isento")),IF(B703="EU-ENV-011",IF(INDEX(tbl_familias_ppwr[Metais_Pesados_Evidencia],MATCH(INDEX(tbl_recyclass[Familia_PPWR],MATCH(A703,tbl_recyclass[ProductId],0)),tbl_familias_ppwr[ID_Familia],0))="Em falta","Lacuna","Conforme"),IF(B703="EU-ENV-013",IF(INDEX(tbl_familias_ppwr[Declaracao_UE],MATCH(INDEX(tbl_recyclass[Familia_PPWR],MATCH(A703,tbl_recyclass[ProductId],0)),tbl_familias_ppwr[ID_Familia],0))="Sim","Conforme","Lacuna"),G703)))),G703))</f>
        <v>Não aplicável</v>
      </c>
      <c r="I703" s="33" t="str">
        <f t="shared" si="10"/>
        <v>Não aplicável</v>
      </c>
      <c r="J703" s="26"/>
    </row>
    <row r="704" spans="1:10" ht="16.05" customHeight="1" x14ac:dyDescent="0.3">
      <c r="A704" s="26" t="s">
        <v>688</v>
      </c>
      <c r="B704" s="26" t="s">
        <v>1357</v>
      </c>
      <c r="C704" s="33" t="str">
        <f>IFERROR(INDEX(tbl_requisitos_emb[Tema],MATCH(B704,tbl_requisitos_emb[ID_Req],0)),"")</f>
        <v>Identificação de plásticos</v>
      </c>
      <c r="D704" s="33" t="str">
        <f>IFERROR(INDEX(tbl_recyclass[Segmento],MATCH(A704,tbl_recyclass[ProductId],0)),"")</f>
        <v>Cosmética e higiene pessoal</v>
      </c>
      <c r="E704" s="26" t="s">
        <v>901</v>
      </c>
      <c r="F704" s="26" t="s">
        <v>1449</v>
      </c>
      <c r="G704" s="26" t="s">
        <v>978</v>
      </c>
      <c r="H704" s="33" t="str">
        <f>IF(E704="Não","Não aplicável",IFERROR(IF(B704="EU-ENV-002",IF(INDEX(tbl_recyclass[Conforme_PPWR_2030],MATCH(A704,tbl_recyclass[ProductId],0))="Sim","Conforme (autoavaliação)",IF(INDEX(tbl_recyclass[Conforme_PPWR_2030],MATCH(A704,tbl_recyclass[ProductId],0))="Não","Não conforme em 2030","Isento até 2035")),IF(B704="EU-ENV-003",IF(INDEX(tbl_recyclass[Conforme_Art7_2030],MATCH(A704,tbl_recyclass[ProductId],0))="Sim","Conforme (meta 2030)",IF(INDEX(tbl_recyclass[Conforme_Art7_2030],MATCH(A704,tbl_recyclass[ProductId],0))="Não","Lacuna face à meta 2030","Isento")),IF(B704="EU-ENV-011",IF(INDEX(tbl_familias_ppwr[Metais_Pesados_Evidencia],MATCH(INDEX(tbl_recyclass[Familia_PPWR],MATCH(A704,tbl_recyclass[ProductId],0)),tbl_familias_ppwr[ID_Familia],0))="Em falta","Lacuna","Conforme"),IF(B704="EU-ENV-013",IF(INDEX(tbl_familias_ppwr[Declaracao_UE],MATCH(INDEX(tbl_recyclass[Familia_PPWR],MATCH(A704,tbl_recyclass[ProductId],0)),tbl_familias_ppwr[ID_Familia],0))="Sim","Conforme","Lacuna"),G704)))),G704))</f>
        <v>Parcial</v>
      </c>
      <c r="I704" s="33" t="str">
        <f t="shared" si="10"/>
        <v>Parcial</v>
      </c>
      <c r="J704" s="26" t="s">
        <v>1362</v>
      </c>
    </row>
    <row r="705" spans="1:10" ht="16.05" customHeight="1" x14ac:dyDescent="0.3">
      <c r="A705" s="26" t="s">
        <v>688</v>
      </c>
      <c r="B705" s="26" t="s">
        <v>1385</v>
      </c>
      <c r="C705" s="33" t="str">
        <f>IFERROR(INDEX(tbl_requisitos_emb[Tema],MATCH(B705,tbl_requisitos_emb[ID_Req],0)),"")</f>
        <v>Reciclabilidade (voluntária)</v>
      </c>
      <c r="D705" s="33" t="str">
        <f>IFERROR(INDEX(tbl_recyclass[Segmento],MATCH(A705,tbl_recyclass[ProductId],0)),"")</f>
        <v>Cosmética e higiene pessoal</v>
      </c>
      <c r="E705" s="26" t="s">
        <v>901</v>
      </c>
      <c r="F705" s="26" t="s">
        <v>1449</v>
      </c>
      <c r="G705" s="26" t="s">
        <v>978</v>
      </c>
      <c r="H705" s="33" t="str">
        <f>IF(E705="Não","Não aplicável",IFERROR(IF(B705="EU-ENV-002",IF(INDEX(tbl_recyclass[Conforme_PPWR_2030],MATCH(A705,tbl_recyclass[ProductId],0))="Sim","Conforme (autoavaliação)",IF(INDEX(tbl_recyclass[Conforme_PPWR_2030],MATCH(A705,tbl_recyclass[ProductId],0))="Não","Não conforme em 2030","Isento até 2035")),IF(B705="EU-ENV-003",IF(INDEX(tbl_recyclass[Conforme_Art7_2030],MATCH(A705,tbl_recyclass[ProductId],0))="Sim","Conforme (meta 2030)",IF(INDEX(tbl_recyclass[Conforme_Art7_2030],MATCH(A705,tbl_recyclass[ProductId],0))="Não","Lacuna face à meta 2030","Isento")),IF(B705="EU-ENV-011",IF(INDEX(tbl_familias_ppwr[Metais_Pesados_Evidencia],MATCH(INDEX(tbl_recyclass[Familia_PPWR],MATCH(A705,tbl_recyclass[ProductId],0)),tbl_familias_ppwr[ID_Familia],0))="Em falta","Lacuna","Conforme"),IF(B705="EU-ENV-013",IF(INDEX(tbl_familias_ppwr[Declaracao_UE],MATCH(INDEX(tbl_recyclass[Familia_PPWR],MATCH(A705,tbl_recyclass[ProductId],0)),tbl_familias_ppwr[ID_Familia],0))="Sim","Conforme","Lacuna"),G705)))),G705))</f>
        <v>Parcial</v>
      </c>
      <c r="I705" s="33" t="str">
        <f t="shared" si="10"/>
        <v>Parcial</v>
      </c>
      <c r="J705" s="26" t="s">
        <v>1389</v>
      </c>
    </row>
    <row r="706" spans="1:10" ht="16.05" customHeight="1" x14ac:dyDescent="0.3">
      <c r="A706" s="26" t="s">
        <v>690</v>
      </c>
      <c r="B706" s="26" t="s">
        <v>984</v>
      </c>
      <c r="C706" s="33" t="str">
        <f>IFERROR(INDEX(tbl_requisitos_emb[Tema],MATCH(B706,tbl_requisitos_emb[ID_Req],0)),"")</f>
        <v>Conceção para reciclagem</v>
      </c>
      <c r="D706" s="33" t="str">
        <f>IFERROR(INDEX(tbl_recyclass[Segmento],MATCH(A706,tbl_recyclass[ProductId],0)),"")</f>
        <v>Cosmética e higiene pessoal</v>
      </c>
      <c r="E706" s="26" t="s">
        <v>901</v>
      </c>
      <c r="F706" s="26" t="s">
        <v>1449</v>
      </c>
      <c r="G706" s="26" t="s">
        <v>978</v>
      </c>
      <c r="H706" s="33" t="str">
        <f>IF(E706="Não","Não aplicável",IFERROR(IF(B706="EU-ENV-002",IF(INDEX(tbl_recyclass[Conforme_PPWR_2030],MATCH(A706,tbl_recyclass[ProductId],0))="Sim","Conforme (autoavaliação)",IF(INDEX(tbl_recyclass[Conforme_PPWR_2030],MATCH(A706,tbl_recyclass[ProductId],0))="Não","Não conforme em 2030","Isento até 2035")),IF(B706="EU-ENV-003",IF(INDEX(tbl_recyclass[Conforme_Art7_2030],MATCH(A706,tbl_recyclass[ProductId],0))="Sim","Conforme (meta 2030)",IF(INDEX(tbl_recyclass[Conforme_Art7_2030],MATCH(A706,tbl_recyclass[ProductId],0))="Não","Lacuna face à meta 2030","Isento")),IF(B706="EU-ENV-011",IF(INDEX(tbl_familias_ppwr[Metais_Pesados_Evidencia],MATCH(INDEX(tbl_recyclass[Familia_PPWR],MATCH(A706,tbl_recyclass[ProductId],0)),tbl_familias_ppwr[ID_Familia],0))="Em falta","Lacuna","Conforme"),IF(B706="EU-ENV-013",IF(INDEX(tbl_familias_ppwr[Declaracao_UE],MATCH(INDEX(tbl_recyclass[Familia_PPWR],MATCH(A706,tbl_recyclass[ProductId],0)),tbl_familias_ppwr[ID_Familia],0))="Sim","Conforme","Lacuna"),G706)))),G706))</f>
        <v>Conforme (autoavaliação)</v>
      </c>
      <c r="I706" s="33" t="str">
        <f t="shared" ref="I706:I769" si="11">IF(ISNUMBER(SEARCH("Não aplicável",H706)),"Não aplicável",IF(ISNUMBER(SEARCH("Isento",H706)),"Isento",IF(ISNUMBER(SEARCH("Não conforme",H706)),"Não conforme",IF(ISNUMBER(SEARCH("Lacuna",H706)),"Lacuna",IF(ISNUMBER(SEARCH("Conforme",H706)),"Conforme",H706)))))</f>
        <v>Conforme</v>
      </c>
      <c r="J706" s="26" t="s">
        <v>991</v>
      </c>
    </row>
    <row r="707" spans="1:10" ht="16.05" customHeight="1" x14ac:dyDescent="0.3">
      <c r="A707" s="26" t="s">
        <v>690</v>
      </c>
      <c r="B707" s="26" t="s">
        <v>997</v>
      </c>
      <c r="C707" s="33" t="str">
        <f>IFERROR(INDEX(tbl_requisitos_emb[Tema],MATCH(B707,tbl_requisitos_emb[ID_Req],0)),"")</f>
        <v>Conteúdo reciclado</v>
      </c>
      <c r="D707" s="33" t="str">
        <f>IFERROR(INDEX(tbl_recyclass[Segmento],MATCH(A707,tbl_recyclass[ProductId],0)),"")</f>
        <v>Cosmética e higiene pessoal</v>
      </c>
      <c r="E707" s="26" t="s">
        <v>901</v>
      </c>
      <c r="F707" s="26" t="s">
        <v>1449</v>
      </c>
      <c r="G707" s="26" t="s">
        <v>978</v>
      </c>
      <c r="H707" s="33" t="str">
        <f>IF(E707="Não","Não aplicável",IFERROR(IF(B707="EU-ENV-002",IF(INDEX(tbl_recyclass[Conforme_PPWR_2030],MATCH(A707,tbl_recyclass[ProductId],0))="Sim","Conforme (autoavaliação)",IF(INDEX(tbl_recyclass[Conforme_PPWR_2030],MATCH(A707,tbl_recyclass[ProductId],0))="Não","Não conforme em 2030","Isento até 2035")),IF(B707="EU-ENV-003",IF(INDEX(tbl_recyclass[Conforme_Art7_2030],MATCH(A707,tbl_recyclass[ProductId],0))="Sim","Conforme (meta 2030)",IF(INDEX(tbl_recyclass[Conforme_Art7_2030],MATCH(A707,tbl_recyclass[ProductId],0))="Não","Lacuna face à meta 2030","Isento")),IF(B707="EU-ENV-011",IF(INDEX(tbl_familias_ppwr[Metais_Pesados_Evidencia],MATCH(INDEX(tbl_recyclass[Familia_PPWR],MATCH(A707,tbl_recyclass[ProductId],0)),tbl_familias_ppwr[ID_Familia],0))="Em falta","Lacuna","Conforme"),IF(B707="EU-ENV-013",IF(INDEX(tbl_familias_ppwr[Declaracao_UE],MATCH(INDEX(tbl_recyclass[Familia_PPWR],MATCH(A707,tbl_recyclass[ProductId],0)),tbl_familias_ppwr[ID_Familia],0))="Sim","Conforme","Lacuna"),G707)))),G707))</f>
        <v>Lacuna face à meta 2030</v>
      </c>
      <c r="I707" s="33" t="str">
        <f t="shared" si="11"/>
        <v>Lacuna</v>
      </c>
      <c r="J707" s="26" t="s">
        <v>1001</v>
      </c>
    </row>
    <row r="708" spans="1:10" ht="16.05" customHeight="1" x14ac:dyDescent="0.3">
      <c r="A708" s="26" t="s">
        <v>690</v>
      </c>
      <c r="B708" s="26" t="s">
        <v>1007</v>
      </c>
      <c r="C708" s="33" t="str">
        <f>IFERROR(INDEX(tbl_requisitos_emb[Tema],MATCH(B708,tbl_requisitos_emb[ID_Req],0)),"")</f>
        <v>Minimização</v>
      </c>
      <c r="D708" s="33" t="str">
        <f>IFERROR(INDEX(tbl_recyclass[Segmento],MATCH(A708,tbl_recyclass[ProductId],0)),"")</f>
        <v>Cosmética e higiene pessoal</v>
      </c>
      <c r="E708" s="26" t="s">
        <v>901</v>
      </c>
      <c r="F708" s="26" t="s">
        <v>1449</v>
      </c>
      <c r="G708" s="26" t="s">
        <v>978</v>
      </c>
      <c r="H708" s="33" t="str">
        <f>IF(E708="Não","Não aplicável",IFERROR(IF(B708="EU-ENV-002",IF(INDEX(tbl_recyclass[Conforme_PPWR_2030],MATCH(A708,tbl_recyclass[ProductId],0))="Sim","Conforme (autoavaliação)",IF(INDEX(tbl_recyclass[Conforme_PPWR_2030],MATCH(A708,tbl_recyclass[ProductId],0))="Não","Não conforme em 2030","Isento até 2035")),IF(B708="EU-ENV-003",IF(INDEX(tbl_recyclass[Conforme_Art7_2030],MATCH(A708,tbl_recyclass[ProductId],0))="Sim","Conforme (meta 2030)",IF(INDEX(tbl_recyclass[Conforme_Art7_2030],MATCH(A708,tbl_recyclass[ProductId],0))="Não","Lacuna face à meta 2030","Isento")),IF(B708="EU-ENV-011",IF(INDEX(tbl_familias_ppwr[Metais_Pesados_Evidencia],MATCH(INDEX(tbl_recyclass[Familia_PPWR],MATCH(A708,tbl_recyclass[ProductId],0)),tbl_familias_ppwr[ID_Familia],0))="Em falta","Lacuna","Conforme"),IF(B708="EU-ENV-013",IF(INDEX(tbl_familias_ppwr[Declaracao_UE],MATCH(INDEX(tbl_recyclass[Familia_PPWR],MATCH(A708,tbl_recyclass[ProductId],0)),tbl_familias_ppwr[ID_Familia],0))="Sim","Conforme","Lacuna"),G708)))),G708))</f>
        <v>Parcial</v>
      </c>
      <c r="I708" s="33" t="str">
        <f t="shared" si="11"/>
        <v>Parcial</v>
      </c>
      <c r="J708" s="26" t="s">
        <v>1012</v>
      </c>
    </row>
    <row r="709" spans="1:10" ht="16.05" customHeight="1" x14ac:dyDescent="0.3">
      <c r="A709" s="26" t="s">
        <v>690</v>
      </c>
      <c r="B709" s="26" t="s">
        <v>1016</v>
      </c>
      <c r="C709" s="33" t="str">
        <f>IFERROR(INDEX(tbl_requisitos_emb[Tema],MATCH(B709,tbl_requisitos_emb[ID_Req],0)),"")</f>
        <v>Rotulagem</v>
      </c>
      <c r="D709" s="33" t="str">
        <f>IFERROR(INDEX(tbl_recyclass[Segmento],MATCH(A709,tbl_recyclass[ProductId],0)),"")</f>
        <v>Cosmética e higiene pessoal</v>
      </c>
      <c r="E709" s="26" t="s">
        <v>901</v>
      </c>
      <c r="F709" s="26" t="s">
        <v>1449</v>
      </c>
      <c r="G709" s="26" t="s">
        <v>990</v>
      </c>
      <c r="H709" s="33" t="str">
        <f>IF(E709="Não","Não aplicável",IFERROR(IF(B709="EU-ENV-002",IF(INDEX(tbl_recyclass[Conforme_PPWR_2030],MATCH(A709,tbl_recyclass[ProductId],0))="Sim","Conforme (autoavaliação)",IF(INDEX(tbl_recyclass[Conforme_PPWR_2030],MATCH(A709,tbl_recyclass[ProductId],0))="Não","Não conforme em 2030","Isento até 2035")),IF(B709="EU-ENV-003",IF(INDEX(tbl_recyclass[Conforme_Art7_2030],MATCH(A709,tbl_recyclass[ProductId],0))="Sim","Conforme (meta 2030)",IF(INDEX(tbl_recyclass[Conforme_Art7_2030],MATCH(A709,tbl_recyclass[ProductId],0))="Não","Lacuna face à meta 2030","Isento")),IF(B709="EU-ENV-011",IF(INDEX(tbl_familias_ppwr[Metais_Pesados_Evidencia],MATCH(INDEX(tbl_recyclass[Familia_PPWR],MATCH(A709,tbl_recyclass[ProductId],0)),tbl_familias_ppwr[ID_Familia],0))="Em falta","Lacuna","Conforme"),IF(B709="EU-ENV-013",IF(INDEX(tbl_familias_ppwr[Declaracao_UE],MATCH(INDEX(tbl_recyclass[Familia_PPWR],MATCH(A709,tbl_recyclass[ProductId],0)),tbl_familias_ppwr[ID_Familia],0))="Sim","Conforme","Lacuna"),G709)))),G709))</f>
        <v>Futuro</v>
      </c>
      <c r="I709" s="33" t="str">
        <f t="shared" si="11"/>
        <v>Futuro</v>
      </c>
      <c r="J709" s="26" t="s">
        <v>1021</v>
      </c>
    </row>
    <row r="710" spans="1:10" ht="16.05" customHeight="1" x14ac:dyDescent="0.3">
      <c r="A710" s="26" t="s">
        <v>690</v>
      </c>
      <c r="B710" s="26" t="s">
        <v>1038</v>
      </c>
      <c r="C710" s="33" t="str">
        <f>IFERROR(INDEX(tbl_requisitos_emb[Tema],MATCH(B710,tbl_requisitos_emb[ID_Req],0)),"")</f>
        <v>Plásticos de utilização única</v>
      </c>
      <c r="D710" s="33" t="str">
        <f>IFERROR(INDEX(tbl_recyclass[Segmento],MATCH(A710,tbl_recyclass[ProductId],0)),"")</f>
        <v>Cosmética e higiene pessoal</v>
      </c>
      <c r="E710" s="26" t="s">
        <v>904</v>
      </c>
      <c r="F710" s="26" t="s">
        <v>1450</v>
      </c>
      <c r="G710" s="26" t="s">
        <v>1143</v>
      </c>
      <c r="H710" s="33" t="str">
        <f>IF(E710="Não","Não aplicável",IFERROR(IF(B710="EU-ENV-002",IF(INDEX(tbl_recyclass[Conforme_PPWR_2030],MATCH(A710,tbl_recyclass[ProductId],0))="Sim","Conforme (autoavaliação)",IF(INDEX(tbl_recyclass[Conforme_PPWR_2030],MATCH(A710,tbl_recyclass[ProductId],0))="Não","Não conforme em 2030","Isento até 2035")),IF(B710="EU-ENV-003",IF(INDEX(tbl_recyclass[Conforme_Art7_2030],MATCH(A710,tbl_recyclass[ProductId],0))="Sim","Conforme (meta 2030)",IF(INDEX(tbl_recyclass[Conforme_Art7_2030],MATCH(A710,tbl_recyclass[ProductId],0))="Não","Lacuna face à meta 2030","Isento")),IF(B710="EU-ENV-011",IF(INDEX(tbl_familias_ppwr[Metais_Pesados_Evidencia],MATCH(INDEX(tbl_recyclass[Familia_PPWR],MATCH(A710,tbl_recyclass[ProductId],0)),tbl_familias_ppwr[ID_Familia],0))="Em falta","Lacuna","Conforme"),IF(B710="EU-ENV-013",IF(INDEX(tbl_familias_ppwr[Declaracao_UE],MATCH(INDEX(tbl_recyclass[Familia_PPWR],MATCH(A710,tbl_recyclass[ProductId],0)),tbl_familias_ppwr[ID_Familia],0))="Sim","Conforme","Lacuna"),G710)))),G710))</f>
        <v>Não aplicável</v>
      </c>
      <c r="I710" s="33" t="str">
        <f t="shared" si="11"/>
        <v>Não aplicável</v>
      </c>
      <c r="J710" s="26"/>
    </row>
    <row r="711" spans="1:10" ht="16.05" customHeight="1" x14ac:dyDescent="0.3">
      <c r="A711" s="26" t="s">
        <v>690</v>
      </c>
      <c r="B711" s="26" t="s">
        <v>1078</v>
      </c>
      <c r="C711" s="33" t="str">
        <f>IFERROR(INDEX(tbl_requisitos_emb[Tema],MATCH(B711,tbl_requisitos_emb[ID_Req],0)),"")</f>
        <v>Reciclado à escala</v>
      </c>
      <c r="D711" s="33" t="str">
        <f>IFERROR(INDEX(tbl_recyclass[Segmento],MATCH(A711,tbl_recyclass[ProductId],0)),"")</f>
        <v>Cosmética e higiene pessoal</v>
      </c>
      <c r="E711" s="26" t="s">
        <v>901</v>
      </c>
      <c r="F711" s="26" t="s">
        <v>1449</v>
      </c>
      <c r="G711" s="26" t="s">
        <v>990</v>
      </c>
      <c r="H711" s="33" t="str">
        <f>IF(E711="Não","Não aplicável",IFERROR(IF(B711="EU-ENV-002",IF(INDEX(tbl_recyclass[Conforme_PPWR_2030],MATCH(A711,tbl_recyclass[ProductId],0))="Sim","Conforme (autoavaliação)",IF(INDEX(tbl_recyclass[Conforme_PPWR_2030],MATCH(A711,tbl_recyclass[ProductId],0))="Não","Não conforme em 2030","Isento até 2035")),IF(B711="EU-ENV-003",IF(INDEX(tbl_recyclass[Conforme_Art7_2030],MATCH(A711,tbl_recyclass[ProductId],0))="Sim","Conforme (meta 2030)",IF(INDEX(tbl_recyclass[Conforme_Art7_2030],MATCH(A711,tbl_recyclass[ProductId],0))="Não","Lacuna face à meta 2030","Isento")),IF(B711="EU-ENV-011",IF(INDEX(tbl_familias_ppwr[Metais_Pesados_Evidencia],MATCH(INDEX(tbl_recyclass[Familia_PPWR],MATCH(A711,tbl_recyclass[ProductId],0)),tbl_familias_ppwr[ID_Familia],0))="Em falta","Lacuna","Conforme"),IF(B711="EU-ENV-013",IF(INDEX(tbl_familias_ppwr[Declaracao_UE],MATCH(INDEX(tbl_recyclass[Familia_PPWR],MATCH(A711,tbl_recyclass[ProductId],0)),tbl_familias_ppwr[ID_Familia],0))="Sim","Conforme","Lacuna"),G711)))),G711))</f>
        <v>Futuro</v>
      </c>
      <c r="I711" s="33" t="str">
        <f t="shared" si="11"/>
        <v>Futuro</v>
      </c>
      <c r="J711" s="26" t="s">
        <v>1082</v>
      </c>
    </row>
    <row r="712" spans="1:10" ht="16.05" customHeight="1" x14ac:dyDescent="0.3">
      <c r="A712" s="26" t="s">
        <v>690</v>
      </c>
      <c r="B712" s="26" t="s">
        <v>1086</v>
      </c>
      <c r="C712" s="33" t="str">
        <f>IFERROR(INDEX(tbl_requisitos_emb[Tema],MATCH(B712,tbl_requisitos_emb[ID_Req],0)),"")</f>
        <v>Metais pesados</v>
      </c>
      <c r="D712" s="33" t="str">
        <f>IFERROR(INDEX(tbl_recyclass[Segmento],MATCH(A712,tbl_recyclass[ProductId],0)),"")</f>
        <v>Cosmética e higiene pessoal</v>
      </c>
      <c r="E712" s="26" t="s">
        <v>901</v>
      </c>
      <c r="F712" s="26" t="s">
        <v>1449</v>
      </c>
      <c r="G712" s="26" t="s">
        <v>978</v>
      </c>
      <c r="H712" s="33" t="str">
        <f>IF(E712="Não","Não aplicável",IFERROR(IF(B712="EU-ENV-002",IF(INDEX(tbl_recyclass[Conforme_PPWR_2030],MATCH(A712,tbl_recyclass[ProductId],0))="Sim","Conforme (autoavaliação)",IF(INDEX(tbl_recyclass[Conforme_PPWR_2030],MATCH(A712,tbl_recyclass[ProductId],0))="Não","Não conforme em 2030","Isento até 2035")),IF(B712="EU-ENV-003",IF(INDEX(tbl_recyclass[Conforme_Art7_2030],MATCH(A712,tbl_recyclass[ProductId],0))="Sim","Conforme (meta 2030)",IF(INDEX(tbl_recyclass[Conforme_Art7_2030],MATCH(A712,tbl_recyclass[ProductId],0))="Não","Lacuna face à meta 2030","Isento")),IF(B712="EU-ENV-011",IF(INDEX(tbl_familias_ppwr[Metais_Pesados_Evidencia],MATCH(INDEX(tbl_recyclass[Familia_PPWR],MATCH(A712,tbl_recyclass[ProductId],0)),tbl_familias_ppwr[ID_Familia],0))="Em falta","Lacuna","Conforme"),IF(B712="EU-ENV-013",IF(INDEX(tbl_familias_ppwr[Declaracao_UE],MATCH(INDEX(tbl_recyclass[Familia_PPWR],MATCH(A712,tbl_recyclass[ProductId],0)),tbl_familias_ppwr[ID_Familia],0))="Sim","Conforme","Lacuna"),G712)))),G712))</f>
        <v>Conforme</v>
      </c>
      <c r="I712" s="33" t="str">
        <f t="shared" si="11"/>
        <v>Conforme</v>
      </c>
      <c r="J712" s="26" t="s">
        <v>1090</v>
      </c>
    </row>
    <row r="713" spans="1:10" ht="16.05" customHeight="1" x14ac:dyDescent="0.3">
      <c r="A713" s="26" t="s">
        <v>690</v>
      </c>
      <c r="B713" s="26" t="s">
        <v>1094</v>
      </c>
      <c r="C713" s="33" t="str">
        <f>IFERROR(INDEX(tbl_requisitos_emb[Tema],MATCH(B713,tbl_requisitos_emb[ID_Req],0)),"")</f>
        <v>PFAS</v>
      </c>
      <c r="D713" s="33" t="str">
        <f>IFERROR(INDEX(tbl_recyclass[Segmento],MATCH(A713,tbl_recyclass[ProductId],0)),"")</f>
        <v>Cosmética e higiene pessoal</v>
      </c>
      <c r="E713" s="26" t="s">
        <v>904</v>
      </c>
      <c r="F713" s="26" t="s">
        <v>1450</v>
      </c>
      <c r="G713" s="26" t="s">
        <v>1143</v>
      </c>
      <c r="H713" s="33" t="str">
        <f>IF(E713="Não","Não aplicável",IFERROR(IF(B713="EU-ENV-002",IF(INDEX(tbl_recyclass[Conforme_PPWR_2030],MATCH(A713,tbl_recyclass[ProductId],0))="Sim","Conforme (autoavaliação)",IF(INDEX(tbl_recyclass[Conforme_PPWR_2030],MATCH(A713,tbl_recyclass[ProductId],0))="Não","Não conforme em 2030","Isento até 2035")),IF(B713="EU-ENV-003",IF(INDEX(tbl_recyclass[Conforme_Art7_2030],MATCH(A713,tbl_recyclass[ProductId],0))="Sim","Conforme (meta 2030)",IF(INDEX(tbl_recyclass[Conforme_Art7_2030],MATCH(A713,tbl_recyclass[ProductId],0))="Não","Lacuna face à meta 2030","Isento")),IF(B713="EU-ENV-011",IF(INDEX(tbl_familias_ppwr[Metais_Pesados_Evidencia],MATCH(INDEX(tbl_recyclass[Familia_PPWR],MATCH(A713,tbl_recyclass[ProductId],0)),tbl_familias_ppwr[ID_Familia],0))="Em falta","Lacuna","Conforme"),IF(B713="EU-ENV-013",IF(INDEX(tbl_familias_ppwr[Declaracao_UE],MATCH(INDEX(tbl_recyclass[Familia_PPWR],MATCH(A713,tbl_recyclass[ProductId],0)),tbl_familias_ppwr[ID_Familia],0))="Sim","Conforme","Lacuna"),G713)))),G713))</f>
        <v>Não aplicável</v>
      </c>
      <c r="I713" s="33" t="str">
        <f t="shared" si="11"/>
        <v>Não aplicável</v>
      </c>
      <c r="J713" s="26"/>
    </row>
    <row r="714" spans="1:10" ht="16.05" customHeight="1" x14ac:dyDescent="0.3">
      <c r="A714" s="26" t="s">
        <v>690</v>
      </c>
      <c r="B714" s="26" t="s">
        <v>1102</v>
      </c>
      <c r="C714" s="33" t="str">
        <f>IFERROR(INDEX(tbl_requisitos_emb[Tema],MATCH(B714,tbl_requisitos_emb[ID_Req],0)),"")</f>
        <v>Documentação técnica e declaração UE</v>
      </c>
      <c r="D714" s="33" t="str">
        <f>IFERROR(INDEX(tbl_recyclass[Segmento],MATCH(A714,tbl_recyclass[ProductId],0)),"")</f>
        <v>Cosmética e higiene pessoal</v>
      </c>
      <c r="E714" s="26" t="s">
        <v>901</v>
      </c>
      <c r="F714" s="26" t="s">
        <v>1449</v>
      </c>
      <c r="G714" s="26" t="s">
        <v>978</v>
      </c>
      <c r="H714" s="33" t="str">
        <f>IF(E714="Não","Não aplicável",IFERROR(IF(B714="EU-ENV-002",IF(INDEX(tbl_recyclass[Conforme_PPWR_2030],MATCH(A714,tbl_recyclass[ProductId],0))="Sim","Conforme (autoavaliação)",IF(INDEX(tbl_recyclass[Conforme_PPWR_2030],MATCH(A714,tbl_recyclass[ProductId],0))="Não","Não conforme em 2030","Isento até 2035")),IF(B714="EU-ENV-003",IF(INDEX(tbl_recyclass[Conforme_Art7_2030],MATCH(A714,tbl_recyclass[ProductId],0))="Sim","Conforme (meta 2030)",IF(INDEX(tbl_recyclass[Conforme_Art7_2030],MATCH(A714,tbl_recyclass[ProductId],0))="Não","Lacuna face à meta 2030","Isento")),IF(B714="EU-ENV-011",IF(INDEX(tbl_familias_ppwr[Metais_Pesados_Evidencia],MATCH(INDEX(tbl_recyclass[Familia_PPWR],MATCH(A714,tbl_recyclass[ProductId],0)),tbl_familias_ppwr[ID_Familia],0))="Em falta","Lacuna","Conforme"),IF(B714="EU-ENV-013",IF(INDEX(tbl_familias_ppwr[Declaracao_UE],MATCH(INDEX(tbl_recyclass[Familia_PPWR],MATCH(A714,tbl_recyclass[ProductId],0)),tbl_familias_ppwr[ID_Familia],0))="Sim","Conforme","Lacuna"),G714)))),G714))</f>
        <v>Conforme</v>
      </c>
      <c r="I714" s="33" t="str">
        <f t="shared" si="11"/>
        <v>Conforme</v>
      </c>
      <c r="J714" s="26" t="s">
        <v>1106</v>
      </c>
    </row>
    <row r="715" spans="1:10" ht="16.05" customHeight="1" x14ac:dyDescent="0.3">
      <c r="A715" s="26" t="s">
        <v>690</v>
      </c>
      <c r="B715" s="26" t="s">
        <v>1161</v>
      </c>
      <c r="C715" s="33" t="str">
        <f>IFERROR(INDEX(tbl_requisitos_emb[Tema],MATCH(B715,tbl_requisitos_emb[ID_Req],0)),"")</f>
        <v>Materiais em contacto com alimentos</v>
      </c>
      <c r="D715" s="33" t="str">
        <f>IFERROR(INDEX(tbl_recyclass[Segmento],MATCH(A715,tbl_recyclass[ProductId],0)),"")</f>
        <v>Cosmética e higiene pessoal</v>
      </c>
      <c r="E715" s="26" t="s">
        <v>904</v>
      </c>
      <c r="F715" s="26" t="s">
        <v>1450</v>
      </c>
      <c r="G715" s="26" t="s">
        <v>1143</v>
      </c>
      <c r="H715" s="33" t="str">
        <f>IF(E715="Não","Não aplicável",IFERROR(IF(B715="EU-ENV-002",IF(INDEX(tbl_recyclass[Conforme_PPWR_2030],MATCH(A715,tbl_recyclass[ProductId],0))="Sim","Conforme (autoavaliação)",IF(INDEX(tbl_recyclass[Conforme_PPWR_2030],MATCH(A715,tbl_recyclass[ProductId],0))="Não","Não conforme em 2030","Isento até 2035")),IF(B715="EU-ENV-003",IF(INDEX(tbl_recyclass[Conforme_Art7_2030],MATCH(A715,tbl_recyclass[ProductId],0))="Sim","Conforme (meta 2030)",IF(INDEX(tbl_recyclass[Conforme_Art7_2030],MATCH(A715,tbl_recyclass[ProductId],0))="Não","Lacuna face à meta 2030","Isento")),IF(B715="EU-ENV-011",IF(INDEX(tbl_familias_ppwr[Metais_Pesados_Evidencia],MATCH(INDEX(tbl_recyclass[Familia_PPWR],MATCH(A715,tbl_recyclass[ProductId],0)),tbl_familias_ppwr[ID_Familia],0))="Em falta","Lacuna","Conforme"),IF(B715="EU-ENV-013",IF(INDEX(tbl_familias_ppwr[Declaracao_UE],MATCH(INDEX(tbl_recyclass[Familia_PPWR],MATCH(A715,tbl_recyclass[ProductId],0)),tbl_familias_ppwr[ID_Familia],0))="Sim","Conforme","Lacuna"),G715)))),G715))</f>
        <v>Não aplicável</v>
      </c>
      <c r="I715" s="33" t="str">
        <f t="shared" si="11"/>
        <v>Não aplicável</v>
      </c>
      <c r="J715" s="26"/>
    </row>
    <row r="716" spans="1:10" ht="16.05" customHeight="1" x14ac:dyDescent="0.3">
      <c r="A716" s="26" t="s">
        <v>690</v>
      </c>
      <c r="B716" s="26" t="s">
        <v>1170</v>
      </c>
      <c r="C716" s="33" t="str">
        <f>IFERROR(INDEX(tbl_requisitos_emb[Tema],MATCH(B716,tbl_requisitos_emb[ID_Req],0)),"")</f>
        <v>Boas práticas de fabrico FCM</v>
      </c>
      <c r="D716" s="33" t="str">
        <f>IFERROR(INDEX(tbl_recyclass[Segmento],MATCH(A716,tbl_recyclass[ProductId],0)),"")</f>
        <v>Cosmética e higiene pessoal</v>
      </c>
      <c r="E716" s="26" t="s">
        <v>904</v>
      </c>
      <c r="F716" s="26" t="s">
        <v>1450</v>
      </c>
      <c r="G716" s="26" t="s">
        <v>1143</v>
      </c>
      <c r="H716" s="33" t="str">
        <f>IF(E716="Não","Não aplicável",IFERROR(IF(B716="EU-ENV-002",IF(INDEX(tbl_recyclass[Conforme_PPWR_2030],MATCH(A716,tbl_recyclass[ProductId],0))="Sim","Conforme (autoavaliação)",IF(INDEX(tbl_recyclass[Conforme_PPWR_2030],MATCH(A716,tbl_recyclass[ProductId],0))="Não","Não conforme em 2030","Isento até 2035")),IF(B716="EU-ENV-003",IF(INDEX(tbl_recyclass[Conforme_Art7_2030],MATCH(A716,tbl_recyclass[ProductId],0))="Sim","Conforme (meta 2030)",IF(INDEX(tbl_recyclass[Conforme_Art7_2030],MATCH(A716,tbl_recyclass[ProductId],0))="Não","Lacuna face à meta 2030","Isento")),IF(B716="EU-ENV-011",IF(INDEX(tbl_familias_ppwr[Metais_Pesados_Evidencia],MATCH(INDEX(tbl_recyclass[Familia_PPWR],MATCH(A716,tbl_recyclass[ProductId],0)),tbl_familias_ppwr[ID_Familia],0))="Em falta","Lacuna","Conforme"),IF(B716="EU-ENV-013",IF(INDEX(tbl_familias_ppwr[Declaracao_UE],MATCH(INDEX(tbl_recyclass[Familia_PPWR],MATCH(A716,tbl_recyclass[ProductId],0)),tbl_familias_ppwr[ID_Familia],0))="Sim","Conforme","Lacuna"),G716)))),G716))</f>
        <v>Não aplicável</v>
      </c>
      <c r="I716" s="33" t="str">
        <f t="shared" si="11"/>
        <v>Não aplicável</v>
      </c>
      <c r="J716" s="26"/>
    </row>
    <row r="717" spans="1:10" ht="16.05" customHeight="1" x14ac:dyDescent="0.3">
      <c r="A717" s="26" t="s">
        <v>690</v>
      </c>
      <c r="B717" s="26" t="s">
        <v>1179</v>
      </c>
      <c r="C717" s="33" t="str">
        <f>IFERROR(INDEX(tbl_requisitos_emb[Tema],MATCH(B717,tbl_requisitos_emb[ID_Req],0)),"")</f>
        <v>Bisfenol A e bisfenóis perigosos</v>
      </c>
      <c r="D717" s="33" t="str">
        <f>IFERROR(INDEX(tbl_recyclass[Segmento],MATCH(A717,tbl_recyclass[ProductId],0)),"")</f>
        <v>Cosmética e higiene pessoal</v>
      </c>
      <c r="E717" s="26" t="s">
        <v>904</v>
      </c>
      <c r="F717" s="26" t="s">
        <v>1450</v>
      </c>
      <c r="G717" s="26" t="s">
        <v>1143</v>
      </c>
      <c r="H717" s="33" t="str">
        <f>IF(E717="Não","Não aplicável",IFERROR(IF(B717="EU-ENV-002",IF(INDEX(tbl_recyclass[Conforme_PPWR_2030],MATCH(A717,tbl_recyclass[ProductId],0))="Sim","Conforme (autoavaliação)",IF(INDEX(tbl_recyclass[Conforme_PPWR_2030],MATCH(A717,tbl_recyclass[ProductId],0))="Não","Não conforme em 2030","Isento até 2035")),IF(B717="EU-ENV-003",IF(INDEX(tbl_recyclass[Conforme_Art7_2030],MATCH(A717,tbl_recyclass[ProductId],0))="Sim","Conforme (meta 2030)",IF(INDEX(tbl_recyclass[Conforme_Art7_2030],MATCH(A717,tbl_recyclass[ProductId],0))="Não","Lacuna face à meta 2030","Isento")),IF(B717="EU-ENV-011",IF(INDEX(tbl_familias_ppwr[Metais_Pesados_Evidencia],MATCH(INDEX(tbl_recyclass[Familia_PPWR],MATCH(A717,tbl_recyclass[ProductId],0)),tbl_familias_ppwr[ID_Familia],0))="Em falta","Lacuna","Conforme"),IF(B717="EU-ENV-013",IF(INDEX(tbl_familias_ppwr[Declaracao_UE],MATCH(INDEX(tbl_recyclass[Familia_PPWR],MATCH(A717,tbl_recyclass[ProductId],0)),tbl_familias_ppwr[ID_Familia],0))="Sim","Conforme","Lacuna"),G717)))),G717))</f>
        <v>Não aplicável</v>
      </c>
      <c r="I717" s="33" t="str">
        <f t="shared" si="11"/>
        <v>Não aplicável</v>
      </c>
      <c r="J717" s="26"/>
    </row>
    <row r="718" spans="1:10" ht="16.05" customHeight="1" x14ac:dyDescent="0.3">
      <c r="A718" s="26" t="s">
        <v>690</v>
      </c>
      <c r="B718" s="26" t="s">
        <v>1188</v>
      </c>
      <c r="C718" s="33" t="str">
        <f>IFERROR(INDEX(tbl_requisitos_emb[Tema],MATCH(B718,tbl_requisitos_emb[ID_Req],0)),"")</f>
        <v>Plásticos em contacto com alimentos</v>
      </c>
      <c r="D718" s="33" t="str">
        <f>IFERROR(INDEX(tbl_recyclass[Segmento],MATCH(A718,tbl_recyclass[ProductId],0)),"")</f>
        <v>Cosmética e higiene pessoal</v>
      </c>
      <c r="E718" s="26" t="s">
        <v>904</v>
      </c>
      <c r="F718" s="26" t="s">
        <v>1450</v>
      </c>
      <c r="G718" s="26" t="s">
        <v>1143</v>
      </c>
      <c r="H718" s="33" t="str">
        <f>IF(E718="Não","Não aplicável",IFERROR(IF(B718="EU-ENV-002",IF(INDEX(tbl_recyclass[Conforme_PPWR_2030],MATCH(A718,tbl_recyclass[ProductId],0))="Sim","Conforme (autoavaliação)",IF(INDEX(tbl_recyclass[Conforme_PPWR_2030],MATCH(A718,tbl_recyclass[ProductId],0))="Não","Não conforme em 2030","Isento até 2035")),IF(B718="EU-ENV-003",IF(INDEX(tbl_recyclass[Conforme_Art7_2030],MATCH(A718,tbl_recyclass[ProductId],0))="Sim","Conforme (meta 2030)",IF(INDEX(tbl_recyclass[Conforme_Art7_2030],MATCH(A718,tbl_recyclass[ProductId],0))="Não","Lacuna face à meta 2030","Isento")),IF(B718="EU-ENV-011",IF(INDEX(tbl_familias_ppwr[Metais_Pesados_Evidencia],MATCH(INDEX(tbl_recyclass[Familia_PPWR],MATCH(A718,tbl_recyclass[ProductId],0)),tbl_familias_ppwr[ID_Familia],0))="Em falta","Lacuna","Conforme"),IF(B718="EU-ENV-013",IF(INDEX(tbl_familias_ppwr[Declaracao_UE],MATCH(INDEX(tbl_recyclass[Familia_PPWR],MATCH(A718,tbl_recyclass[ProductId],0)),tbl_familias_ppwr[ID_Familia],0))="Sim","Conforme","Lacuna"),G718)))),G718))</f>
        <v>Não aplicável</v>
      </c>
      <c r="I718" s="33" t="str">
        <f t="shared" si="11"/>
        <v>Não aplicável</v>
      </c>
      <c r="J718" s="26"/>
    </row>
    <row r="719" spans="1:10" ht="16.05" customHeight="1" x14ac:dyDescent="0.3">
      <c r="A719" s="26" t="s">
        <v>690</v>
      </c>
      <c r="B719" s="26" t="s">
        <v>1212</v>
      </c>
      <c r="C719" s="33" t="str">
        <f>IFERROR(INDEX(tbl_requisitos_emb[Tema],MATCH(B719,tbl_requisitos_emb[ID_Req],0)),"")</f>
        <v>Segurança do produto cosmético</v>
      </c>
      <c r="D719" s="33" t="str">
        <f>IFERROR(INDEX(tbl_recyclass[Segmento],MATCH(A719,tbl_recyclass[ProductId],0)),"")</f>
        <v>Cosmética e higiene pessoal</v>
      </c>
      <c r="E719" s="26" t="s">
        <v>901</v>
      </c>
      <c r="F719" s="26" t="s">
        <v>1449</v>
      </c>
      <c r="G719" s="26" t="s">
        <v>1033</v>
      </c>
      <c r="H719" s="33" t="str">
        <f>IF(E719="Não","Não aplicável",IFERROR(IF(B719="EU-ENV-002",IF(INDEX(tbl_recyclass[Conforme_PPWR_2030],MATCH(A719,tbl_recyclass[ProductId],0))="Sim","Conforme (autoavaliação)",IF(INDEX(tbl_recyclass[Conforme_PPWR_2030],MATCH(A719,tbl_recyclass[ProductId],0))="Não","Não conforme em 2030","Isento até 2035")),IF(B719="EU-ENV-003",IF(INDEX(tbl_recyclass[Conforme_Art7_2030],MATCH(A719,tbl_recyclass[ProductId],0))="Sim","Conforme (meta 2030)",IF(INDEX(tbl_recyclass[Conforme_Art7_2030],MATCH(A719,tbl_recyclass[ProductId],0))="Não","Lacuna face à meta 2030","Isento")),IF(B719="EU-ENV-011",IF(INDEX(tbl_familias_ppwr[Metais_Pesados_Evidencia],MATCH(INDEX(tbl_recyclass[Familia_PPWR],MATCH(A719,tbl_recyclass[ProductId],0)),tbl_familias_ppwr[ID_Familia],0))="Em falta","Lacuna","Conforme"),IF(B719="EU-ENV-013",IF(INDEX(tbl_familias_ppwr[Declaracao_UE],MATCH(INDEX(tbl_recyclass[Familia_PPWR],MATCH(A719,tbl_recyclass[ProductId],0)),tbl_familias_ppwr[ID_Familia],0))="Sim","Conforme","Lacuna"),G719)))),G719))</f>
        <v>Conforme</v>
      </c>
      <c r="I719" s="33" t="str">
        <f t="shared" si="11"/>
        <v>Conforme</v>
      </c>
      <c r="J719" s="26" t="s">
        <v>1221</v>
      </c>
    </row>
    <row r="720" spans="1:10" ht="16.05" customHeight="1" x14ac:dyDescent="0.3">
      <c r="A720" s="26" t="s">
        <v>690</v>
      </c>
      <c r="B720" s="26" t="s">
        <v>1224</v>
      </c>
      <c r="C720" s="33" t="str">
        <f>IFERROR(INDEX(tbl_requisitos_emb[Tema],MATCH(B720,tbl_requisitos_emb[ID_Req],0)),"")</f>
        <v>Materiais e impurezas</v>
      </c>
      <c r="D720" s="33" t="str">
        <f>IFERROR(INDEX(tbl_recyclass[Segmento],MATCH(A720,tbl_recyclass[ProductId],0)),"")</f>
        <v>Cosmética e higiene pessoal</v>
      </c>
      <c r="E720" s="26" t="s">
        <v>901</v>
      </c>
      <c r="F720" s="26" t="s">
        <v>1449</v>
      </c>
      <c r="G720" s="26" t="s">
        <v>978</v>
      </c>
      <c r="H720" s="33" t="str">
        <f>IF(E720="Não","Não aplicável",IFERROR(IF(B720="EU-ENV-002",IF(INDEX(tbl_recyclass[Conforme_PPWR_2030],MATCH(A720,tbl_recyclass[ProductId],0))="Sim","Conforme (autoavaliação)",IF(INDEX(tbl_recyclass[Conforme_PPWR_2030],MATCH(A720,tbl_recyclass[ProductId],0))="Não","Não conforme em 2030","Isento até 2035")),IF(B720="EU-ENV-003",IF(INDEX(tbl_recyclass[Conforme_Art7_2030],MATCH(A720,tbl_recyclass[ProductId],0))="Sim","Conforme (meta 2030)",IF(INDEX(tbl_recyclass[Conforme_Art7_2030],MATCH(A720,tbl_recyclass[ProductId],0))="Não","Lacuna face à meta 2030","Isento")),IF(B720="EU-ENV-011",IF(INDEX(tbl_familias_ppwr[Metais_Pesados_Evidencia],MATCH(INDEX(tbl_recyclass[Familia_PPWR],MATCH(A720,tbl_recyclass[ProductId],0)),tbl_familias_ppwr[ID_Familia],0))="Em falta","Lacuna","Conforme"),IF(B720="EU-ENV-013",IF(INDEX(tbl_familias_ppwr[Declaracao_UE],MATCH(INDEX(tbl_recyclass[Familia_PPWR],MATCH(A720,tbl_recyclass[ProductId],0)),tbl_familias_ppwr[ID_Familia],0))="Sim","Conforme","Lacuna"),G720)))),G720))</f>
        <v>Parcial</v>
      </c>
      <c r="I720" s="33" t="str">
        <f t="shared" si="11"/>
        <v>Parcial</v>
      </c>
      <c r="J720" s="26" t="s">
        <v>1228</v>
      </c>
    </row>
    <row r="721" spans="1:10" ht="16.05" customHeight="1" x14ac:dyDescent="0.3">
      <c r="A721" s="26" t="s">
        <v>690</v>
      </c>
      <c r="B721" s="26" t="s">
        <v>1240</v>
      </c>
      <c r="C721" s="33" t="str">
        <f>IFERROR(INDEX(tbl_requisitos_emb[Tema],MATCH(B721,tbl_requisitos_emb[ID_Req],0)),"")</f>
        <v>Compatibilidade embalagem–produto</v>
      </c>
      <c r="D721" s="33" t="str">
        <f>IFERROR(INDEX(tbl_recyclass[Segmento],MATCH(A721,tbl_recyclass[ProductId],0)),"")</f>
        <v>Cosmética e higiene pessoal</v>
      </c>
      <c r="E721" s="26" t="s">
        <v>901</v>
      </c>
      <c r="F721" s="26" t="s">
        <v>1449</v>
      </c>
      <c r="G721" s="26" t="s">
        <v>1033</v>
      </c>
      <c r="H721" s="33" t="str">
        <f>IF(E721="Não","Não aplicável",IFERROR(IF(B721="EU-ENV-002",IF(INDEX(tbl_recyclass[Conforme_PPWR_2030],MATCH(A721,tbl_recyclass[ProductId],0))="Sim","Conforme (autoavaliação)",IF(INDEX(tbl_recyclass[Conforme_PPWR_2030],MATCH(A721,tbl_recyclass[ProductId],0))="Não","Não conforme em 2030","Isento até 2035")),IF(B721="EU-ENV-003",IF(INDEX(tbl_recyclass[Conforme_Art7_2030],MATCH(A721,tbl_recyclass[ProductId],0))="Sim","Conforme (meta 2030)",IF(INDEX(tbl_recyclass[Conforme_Art7_2030],MATCH(A721,tbl_recyclass[ProductId],0))="Não","Lacuna face à meta 2030","Isento")),IF(B721="EU-ENV-011",IF(INDEX(tbl_familias_ppwr[Metais_Pesados_Evidencia],MATCH(INDEX(tbl_recyclass[Familia_PPWR],MATCH(A721,tbl_recyclass[ProductId],0)),tbl_familias_ppwr[ID_Familia],0))="Em falta","Lacuna","Conforme"),IF(B721="EU-ENV-013",IF(INDEX(tbl_familias_ppwr[Declaracao_UE],MATCH(INDEX(tbl_recyclass[Familia_PPWR],MATCH(A721,tbl_recyclass[ProductId],0)),tbl_familias_ppwr[ID_Familia],0))="Sim","Conforme","Lacuna"),G721)))),G721))</f>
        <v>Conforme</v>
      </c>
      <c r="I721" s="33" t="str">
        <f t="shared" si="11"/>
        <v>Conforme</v>
      </c>
      <c r="J721" s="26" t="s">
        <v>1244</v>
      </c>
    </row>
    <row r="722" spans="1:10" ht="16.05" customHeight="1" x14ac:dyDescent="0.3">
      <c r="A722" s="26" t="s">
        <v>690</v>
      </c>
      <c r="B722" s="26" t="s">
        <v>1252</v>
      </c>
      <c r="C722" s="33" t="str">
        <f>IFERROR(INDEX(tbl_requisitos_emb[Tema],MATCH(B722,tbl_requisitos_emb[ID_Req],0)),"")</f>
        <v>Medicamentos de uso humano</v>
      </c>
      <c r="D722" s="33" t="str">
        <f>IFERROR(INDEX(tbl_recyclass[Segmento],MATCH(A722,tbl_recyclass[ProductId],0)),"")</f>
        <v>Cosmética e higiene pessoal</v>
      </c>
      <c r="E722" s="26" t="s">
        <v>904</v>
      </c>
      <c r="F722" s="26" t="s">
        <v>1451</v>
      </c>
      <c r="G722" s="26" t="s">
        <v>1143</v>
      </c>
      <c r="H722" s="33" t="str">
        <f>IF(E722="Não","Não aplicável",IFERROR(IF(B722="EU-ENV-002",IF(INDEX(tbl_recyclass[Conforme_PPWR_2030],MATCH(A722,tbl_recyclass[ProductId],0))="Sim","Conforme (autoavaliação)",IF(INDEX(tbl_recyclass[Conforme_PPWR_2030],MATCH(A722,tbl_recyclass[ProductId],0))="Não","Não conforme em 2030","Isento até 2035")),IF(B722="EU-ENV-003",IF(INDEX(tbl_recyclass[Conforme_Art7_2030],MATCH(A722,tbl_recyclass[ProductId],0))="Sim","Conforme (meta 2030)",IF(INDEX(tbl_recyclass[Conforme_Art7_2030],MATCH(A722,tbl_recyclass[ProductId],0))="Não","Lacuna face à meta 2030","Isento")),IF(B722="EU-ENV-011",IF(INDEX(tbl_familias_ppwr[Metais_Pesados_Evidencia],MATCH(INDEX(tbl_recyclass[Familia_PPWR],MATCH(A722,tbl_recyclass[ProductId],0)),tbl_familias_ppwr[ID_Familia],0))="Em falta","Lacuna","Conforme"),IF(B722="EU-ENV-013",IF(INDEX(tbl_familias_ppwr[Declaracao_UE],MATCH(INDEX(tbl_recyclass[Familia_PPWR],MATCH(A722,tbl_recyclass[ProductId],0)),tbl_familias_ppwr[ID_Familia],0))="Sim","Conforme","Lacuna"),G722)))),G722))</f>
        <v>Não aplicável</v>
      </c>
      <c r="I722" s="33" t="str">
        <f t="shared" si="11"/>
        <v>Não aplicável</v>
      </c>
      <c r="J722" s="26"/>
    </row>
    <row r="723" spans="1:10" ht="16.05" customHeight="1" x14ac:dyDescent="0.3">
      <c r="A723" s="26" t="s">
        <v>690</v>
      </c>
      <c r="B723" s="26" t="s">
        <v>1268</v>
      </c>
      <c r="C723" s="33" t="str">
        <f>IFERROR(INDEX(tbl_requisitos_emb[Tema],MATCH(B723,tbl_requisitos_emb[ID_Req],0)),"")</f>
        <v>Dispositivos de segurança</v>
      </c>
      <c r="D723" s="33" t="str">
        <f>IFERROR(INDEX(tbl_recyclass[Segmento],MATCH(A723,tbl_recyclass[ProductId],0)),"")</f>
        <v>Cosmética e higiene pessoal</v>
      </c>
      <c r="E723" s="26" t="s">
        <v>904</v>
      </c>
      <c r="F723" s="26" t="s">
        <v>1451</v>
      </c>
      <c r="G723" s="26" t="s">
        <v>1143</v>
      </c>
      <c r="H723" s="33" t="str">
        <f>IF(E723="Não","Não aplicável",IFERROR(IF(B723="EU-ENV-002",IF(INDEX(tbl_recyclass[Conforme_PPWR_2030],MATCH(A723,tbl_recyclass[ProductId],0))="Sim","Conforme (autoavaliação)",IF(INDEX(tbl_recyclass[Conforme_PPWR_2030],MATCH(A723,tbl_recyclass[ProductId],0))="Não","Não conforme em 2030","Isento até 2035")),IF(B723="EU-ENV-003",IF(INDEX(tbl_recyclass[Conforme_Art7_2030],MATCH(A723,tbl_recyclass[ProductId],0))="Sim","Conforme (meta 2030)",IF(INDEX(tbl_recyclass[Conforme_Art7_2030],MATCH(A723,tbl_recyclass[ProductId],0))="Não","Lacuna face à meta 2030","Isento")),IF(B723="EU-ENV-011",IF(INDEX(tbl_familias_ppwr[Metais_Pesados_Evidencia],MATCH(INDEX(tbl_recyclass[Familia_PPWR],MATCH(A723,tbl_recyclass[ProductId],0)),tbl_familias_ppwr[ID_Familia],0))="Em falta","Lacuna","Conforme"),IF(B723="EU-ENV-013",IF(INDEX(tbl_familias_ppwr[Declaracao_UE],MATCH(INDEX(tbl_recyclass[Familia_PPWR],MATCH(A723,tbl_recyclass[ProductId],0)),tbl_familias_ppwr[ID_Familia],0))="Sim","Conforme","Lacuna"),G723)))),G723))</f>
        <v>Não aplicável</v>
      </c>
      <c r="I723" s="33" t="str">
        <f t="shared" si="11"/>
        <v>Não aplicável</v>
      </c>
      <c r="J723" s="26"/>
    </row>
    <row r="724" spans="1:10" ht="16.05" customHeight="1" x14ac:dyDescent="0.3">
      <c r="A724" s="26" t="s">
        <v>690</v>
      </c>
      <c r="B724" s="26" t="s">
        <v>1285</v>
      </c>
      <c r="C724" s="33" t="str">
        <f>IFERROR(INDEX(tbl_requisitos_emb[Tema],MATCH(B724,tbl_requisitos_emb[ID_Req],0)),"")</f>
        <v>Materiais plásticos de acondicionamento primário</v>
      </c>
      <c r="D724" s="33" t="str">
        <f>IFERROR(INDEX(tbl_recyclass[Segmento],MATCH(A724,tbl_recyclass[ProductId],0)),"")</f>
        <v>Cosmética e higiene pessoal</v>
      </c>
      <c r="E724" s="26" t="s">
        <v>904</v>
      </c>
      <c r="F724" s="26" t="s">
        <v>1451</v>
      </c>
      <c r="G724" s="26" t="s">
        <v>1143</v>
      </c>
      <c r="H724" s="33" t="str">
        <f>IF(E724="Não","Não aplicável",IFERROR(IF(B724="EU-ENV-002",IF(INDEX(tbl_recyclass[Conforme_PPWR_2030],MATCH(A724,tbl_recyclass[ProductId],0))="Sim","Conforme (autoavaliação)",IF(INDEX(tbl_recyclass[Conforme_PPWR_2030],MATCH(A724,tbl_recyclass[ProductId],0))="Não","Não conforme em 2030","Isento até 2035")),IF(B724="EU-ENV-003",IF(INDEX(tbl_recyclass[Conforme_Art7_2030],MATCH(A724,tbl_recyclass[ProductId],0))="Sim","Conforme (meta 2030)",IF(INDEX(tbl_recyclass[Conforme_Art7_2030],MATCH(A724,tbl_recyclass[ProductId],0))="Não","Lacuna face à meta 2030","Isento")),IF(B724="EU-ENV-011",IF(INDEX(tbl_familias_ppwr[Metais_Pesados_Evidencia],MATCH(INDEX(tbl_recyclass[Familia_PPWR],MATCH(A724,tbl_recyclass[ProductId],0)),tbl_familias_ppwr[ID_Familia],0))="Em falta","Lacuna","Conforme"),IF(B724="EU-ENV-013",IF(INDEX(tbl_familias_ppwr[Declaracao_UE],MATCH(INDEX(tbl_recyclass[Familia_PPWR],MATCH(A724,tbl_recyclass[ProductId],0)),tbl_familias_ppwr[ID_Familia],0))="Sim","Conforme","Lacuna"),G724)))),G724))</f>
        <v>Não aplicável</v>
      </c>
      <c r="I724" s="33" t="str">
        <f t="shared" si="11"/>
        <v>Não aplicável</v>
      </c>
      <c r="J724" s="26"/>
    </row>
    <row r="725" spans="1:10" ht="16.05" customHeight="1" x14ac:dyDescent="0.3">
      <c r="A725" s="26" t="s">
        <v>690</v>
      </c>
      <c r="B725" s="26" t="s">
        <v>1293</v>
      </c>
      <c r="C725" s="33" t="str">
        <f>IFERROR(INDEX(tbl_requisitos_emb[Tema],MATCH(B725,tbl_requisitos_emb[ID_Req],0)),"")</f>
        <v>Isenções PPWR</v>
      </c>
      <c r="D725" s="33" t="str">
        <f>IFERROR(INDEX(tbl_recyclass[Segmento],MATCH(A725,tbl_recyclass[ProductId],0)),"")</f>
        <v>Cosmética e higiene pessoal</v>
      </c>
      <c r="E725" s="26" t="s">
        <v>904</v>
      </c>
      <c r="F725" s="26" t="s">
        <v>1451</v>
      </c>
      <c r="G725" s="26" t="s">
        <v>1143</v>
      </c>
      <c r="H725" s="33" t="str">
        <f>IF(E725="Não","Não aplicável",IFERROR(IF(B725="EU-ENV-002",IF(INDEX(tbl_recyclass[Conforme_PPWR_2030],MATCH(A725,tbl_recyclass[ProductId],0))="Sim","Conforme (autoavaliação)",IF(INDEX(tbl_recyclass[Conforme_PPWR_2030],MATCH(A725,tbl_recyclass[ProductId],0))="Não","Não conforme em 2030","Isento até 2035")),IF(B725="EU-ENV-003",IF(INDEX(tbl_recyclass[Conforme_Art7_2030],MATCH(A725,tbl_recyclass[ProductId],0))="Sim","Conforme (meta 2030)",IF(INDEX(tbl_recyclass[Conforme_Art7_2030],MATCH(A725,tbl_recyclass[ProductId],0))="Não","Lacuna face à meta 2030","Isento")),IF(B725="EU-ENV-011",IF(INDEX(tbl_familias_ppwr[Metais_Pesados_Evidencia],MATCH(INDEX(tbl_recyclass[Familia_PPWR],MATCH(A725,tbl_recyclass[ProductId],0)),tbl_familias_ppwr[ID_Familia],0))="Em falta","Lacuna","Conforme"),IF(B725="EU-ENV-013",IF(INDEX(tbl_familias_ppwr[Declaracao_UE],MATCH(INDEX(tbl_recyclass[Familia_PPWR],MATCH(A725,tbl_recyclass[ProductId],0)),tbl_familias_ppwr[ID_Familia],0))="Sim","Conforme","Lacuna"),G725)))),G725))</f>
        <v>Não aplicável</v>
      </c>
      <c r="I725" s="33" t="str">
        <f t="shared" si="11"/>
        <v>Não aplicável</v>
      </c>
      <c r="J725" s="26"/>
    </row>
    <row r="726" spans="1:10" ht="16.05" customHeight="1" x14ac:dyDescent="0.3">
      <c r="A726" s="26" t="s">
        <v>690</v>
      </c>
      <c r="B726" s="26" t="s">
        <v>1357</v>
      </c>
      <c r="C726" s="33" t="str">
        <f>IFERROR(INDEX(tbl_requisitos_emb[Tema],MATCH(B726,tbl_requisitos_emb[ID_Req],0)),"")</f>
        <v>Identificação de plásticos</v>
      </c>
      <c r="D726" s="33" t="str">
        <f>IFERROR(INDEX(tbl_recyclass[Segmento],MATCH(A726,tbl_recyclass[ProductId],0)),"")</f>
        <v>Cosmética e higiene pessoal</v>
      </c>
      <c r="E726" s="26" t="s">
        <v>901</v>
      </c>
      <c r="F726" s="26" t="s">
        <v>1449</v>
      </c>
      <c r="G726" s="26" t="s">
        <v>978</v>
      </c>
      <c r="H726" s="33" t="str">
        <f>IF(E726="Não","Não aplicável",IFERROR(IF(B726="EU-ENV-002",IF(INDEX(tbl_recyclass[Conforme_PPWR_2030],MATCH(A726,tbl_recyclass[ProductId],0))="Sim","Conforme (autoavaliação)",IF(INDEX(tbl_recyclass[Conforme_PPWR_2030],MATCH(A726,tbl_recyclass[ProductId],0))="Não","Não conforme em 2030","Isento até 2035")),IF(B726="EU-ENV-003",IF(INDEX(tbl_recyclass[Conforme_Art7_2030],MATCH(A726,tbl_recyclass[ProductId],0))="Sim","Conforme (meta 2030)",IF(INDEX(tbl_recyclass[Conforme_Art7_2030],MATCH(A726,tbl_recyclass[ProductId],0))="Não","Lacuna face à meta 2030","Isento")),IF(B726="EU-ENV-011",IF(INDEX(tbl_familias_ppwr[Metais_Pesados_Evidencia],MATCH(INDEX(tbl_recyclass[Familia_PPWR],MATCH(A726,tbl_recyclass[ProductId],0)),tbl_familias_ppwr[ID_Familia],0))="Em falta","Lacuna","Conforme"),IF(B726="EU-ENV-013",IF(INDEX(tbl_familias_ppwr[Declaracao_UE],MATCH(INDEX(tbl_recyclass[Familia_PPWR],MATCH(A726,tbl_recyclass[ProductId],0)),tbl_familias_ppwr[ID_Familia],0))="Sim","Conforme","Lacuna"),G726)))),G726))</f>
        <v>Parcial</v>
      </c>
      <c r="I726" s="33" t="str">
        <f t="shared" si="11"/>
        <v>Parcial</v>
      </c>
      <c r="J726" s="26" t="s">
        <v>1362</v>
      </c>
    </row>
    <row r="727" spans="1:10" ht="16.05" customHeight="1" x14ac:dyDescent="0.3">
      <c r="A727" s="26" t="s">
        <v>690</v>
      </c>
      <c r="B727" s="26" t="s">
        <v>1385</v>
      </c>
      <c r="C727" s="33" t="str">
        <f>IFERROR(INDEX(tbl_requisitos_emb[Tema],MATCH(B727,tbl_requisitos_emb[ID_Req],0)),"")</f>
        <v>Reciclabilidade (voluntária)</v>
      </c>
      <c r="D727" s="33" t="str">
        <f>IFERROR(INDEX(tbl_recyclass[Segmento],MATCH(A727,tbl_recyclass[ProductId],0)),"")</f>
        <v>Cosmética e higiene pessoal</v>
      </c>
      <c r="E727" s="26" t="s">
        <v>901</v>
      </c>
      <c r="F727" s="26" t="s">
        <v>1449</v>
      </c>
      <c r="G727" s="26" t="s">
        <v>978</v>
      </c>
      <c r="H727" s="33" t="str">
        <f>IF(E727="Não","Não aplicável",IFERROR(IF(B727="EU-ENV-002",IF(INDEX(tbl_recyclass[Conforme_PPWR_2030],MATCH(A727,tbl_recyclass[ProductId],0))="Sim","Conforme (autoavaliação)",IF(INDEX(tbl_recyclass[Conforme_PPWR_2030],MATCH(A727,tbl_recyclass[ProductId],0))="Não","Não conforme em 2030","Isento até 2035")),IF(B727="EU-ENV-003",IF(INDEX(tbl_recyclass[Conforme_Art7_2030],MATCH(A727,tbl_recyclass[ProductId],0))="Sim","Conforme (meta 2030)",IF(INDEX(tbl_recyclass[Conforme_Art7_2030],MATCH(A727,tbl_recyclass[ProductId],0))="Não","Lacuna face à meta 2030","Isento")),IF(B727="EU-ENV-011",IF(INDEX(tbl_familias_ppwr[Metais_Pesados_Evidencia],MATCH(INDEX(tbl_recyclass[Familia_PPWR],MATCH(A727,tbl_recyclass[ProductId],0)),tbl_familias_ppwr[ID_Familia],0))="Em falta","Lacuna","Conforme"),IF(B727="EU-ENV-013",IF(INDEX(tbl_familias_ppwr[Declaracao_UE],MATCH(INDEX(tbl_recyclass[Familia_PPWR],MATCH(A727,tbl_recyclass[ProductId],0)),tbl_familias_ppwr[ID_Familia],0))="Sim","Conforme","Lacuna"),G727)))),G727))</f>
        <v>Parcial</v>
      </c>
      <c r="I727" s="33" t="str">
        <f t="shared" si="11"/>
        <v>Parcial</v>
      </c>
      <c r="J727" s="26" t="s">
        <v>1389</v>
      </c>
    </row>
    <row r="728" spans="1:10" ht="16.05" customHeight="1" x14ac:dyDescent="0.3">
      <c r="A728" s="26" t="s">
        <v>692</v>
      </c>
      <c r="B728" s="26" t="s">
        <v>984</v>
      </c>
      <c r="C728" s="33" t="str">
        <f>IFERROR(INDEX(tbl_requisitos_emb[Tema],MATCH(B728,tbl_requisitos_emb[ID_Req],0)),"")</f>
        <v>Conceção para reciclagem</v>
      </c>
      <c r="D728" s="33" t="str">
        <f>IFERROR(INDEX(tbl_recyclass[Segmento],MATCH(A728,tbl_recyclass[ProductId],0)),"")</f>
        <v>Cosmética e higiene pessoal</v>
      </c>
      <c r="E728" s="26" t="s">
        <v>901</v>
      </c>
      <c r="F728" s="26" t="s">
        <v>1449</v>
      </c>
      <c r="G728" s="26" t="s">
        <v>978</v>
      </c>
      <c r="H728" s="33" t="str">
        <f>IF(E728="Não","Não aplicável",IFERROR(IF(B728="EU-ENV-002",IF(INDEX(tbl_recyclass[Conforme_PPWR_2030],MATCH(A728,tbl_recyclass[ProductId],0))="Sim","Conforme (autoavaliação)",IF(INDEX(tbl_recyclass[Conforme_PPWR_2030],MATCH(A728,tbl_recyclass[ProductId],0))="Não","Não conforme em 2030","Isento até 2035")),IF(B728="EU-ENV-003",IF(INDEX(tbl_recyclass[Conforme_Art7_2030],MATCH(A728,tbl_recyclass[ProductId],0))="Sim","Conforme (meta 2030)",IF(INDEX(tbl_recyclass[Conforme_Art7_2030],MATCH(A728,tbl_recyclass[ProductId],0))="Não","Lacuna face à meta 2030","Isento")),IF(B728="EU-ENV-011",IF(INDEX(tbl_familias_ppwr[Metais_Pesados_Evidencia],MATCH(INDEX(tbl_recyclass[Familia_PPWR],MATCH(A728,tbl_recyclass[ProductId],0)),tbl_familias_ppwr[ID_Familia],0))="Em falta","Lacuna","Conforme"),IF(B728="EU-ENV-013",IF(INDEX(tbl_familias_ppwr[Declaracao_UE],MATCH(INDEX(tbl_recyclass[Familia_PPWR],MATCH(A728,tbl_recyclass[ProductId],0)),tbl_familias_ppwr[ID_Familia],0))="Sim","Conforme","Lacuna"),G728)))),G728))</f>
        <v>Conforme (autoavaliação)</v>
      </c>
      <c r="I728" s="33" t="str">
        <f t="shared" si="11"/>
        <v>Conforme</v>
      </c>
      <c r="J728" s="26" t="s">
        <v>991</v>
      </c>
    </row>
    <row r="729" spans="1:10" ht="16.05" customHeight="1" x14ac:dyDescent="0.3">
      <c r="A729" s="26" t="s">
        <v>692</v>
      </c>
      <c r="B729" s="26" t="s">
        <v>997</v>
      </c>
      <c r="C729" s="33" t="str">
        <f>IFERROR(INDEX(tbl_requisitos_emb[Tema],MATCH(B729,tbl_requisitos_emb[ID_Req],0)),"")</f>
        <v>Conteúdo reciclado</v>
      </c>
      <c r="D729" s="33" t="str">
        <f>IFERROR(INDEX(tbl_recyclass[Segmento],MATCH(A729,tbl_recyclass[ProductId],0)),"")</f>
        <v>Cosmética e higiene pessoal</v>
      </c>
      <c r="E729" s="26" t="s">
        <v>901</v>
      </c>
      <c r="F729" s="26" t="s">
        <v>1449</v>
      </c>
      <c r="G729" s="26" t="s">
        <v>978</v>
      </c>
      <c r="H729" s="33" t="str">
        <f>IF(E729="Não","Não aplicável",IFERROR(IF(B729="EU-ENV-002",IF(INDEX(tbl_recyclass[Conforme_PPWR_2030],MATCH(A729,tbl_recyclass[ProductId],0))="Sim","Conforme (autoavaliação)",IF(INDEX(tbl_recyclass[Conforme_PPWR_2030],MATCH(A729,tbl_recyclass[ProductId],0))="Não","Não conforme em 2030","Isento até 2035")),IF(B729="EU-ENV-003",IF(INDEX(tbl_recyclass[Conforme_Art7_2030],MATCH(A729,tbl_recyclass[ProductId],0))="Sim","Conforme (meta 2030)",IF(INDEX(tbl_recyclass[Conforme_Art7_2030],MATCH(A729,tbl_recyclass[ProductId],0))="Não","Lacuna face à meta 2030","Isento")),IF(B729="EU-ENV-011",IF(INDEX(tbl_familias_ppwr[Metais_Pesados_Evidencia],MATCH(INDEX(tbl_recyclass[Familia_PPWR],MATCH(A729,tbl_recyclass[ProductId],0)),tbl_familias_ppwr[ID_Familia],0))="Em falta","Lacuna","Conforme"),IF(B729="EU-ENV-013",IF(INDEX(tbl_familias_ppwr[Declaracao_UE],MATCH(INDEX(tbl_recyclass[Familia_PPWR],MATCH(A729,tbl_recyclass[ProductId],0)),tbl_familias_ppwr[ID_Familia],0))="Sim","Conforme","Lacuna"),G729)))),G729))</f>
        <v>Lacuna face à meta 2030</v>
      </c>
      <c r="I729" s="33" t="str">
        <f t="shared" si="11"/>
        <v>Lacuna</v>
      </c>
      <c r="J729" s="26" t="s">
        <v>1001</v>
      </c>
    </row>
    <row r="730" spans="1:10" ht="16.05" customHeight="1" x14ac:dyDescent="0.3">
      <c r="A730" s="26" t="s">
        <v>692</v>
      </c>
      <c r="B730" s="26" t="s">
        <v>1007</v>
      </c>
      <c r="C730" s="33" t="str">
        <f>IFERROR(INDEX(tbl_requisitos_emb[Tema],MATCH(B730,tbl_requisitos_emb[ID_Req],0)),"")</f>
        <v>Minimização</v>
      </c>
      <c r="D730" s="33" t="str">
        <f>IFERROR(INDEX(tbl_recyclass[Segmento],MATCH(A730,tbl_recyclass[ProductId],0)),"")</f>
        <v>Cosmética e higiene pessoal</v>
      </c>
      <c r="E730" s="26" t="s">
        <v>901</v>
      </c>
      <c r="F730" s="26" t="s">
        <v>1449</v>
      </c>
      <c r="G730" s="26" t="s">
        <v>978</v>
      </c>
      <c r="H730" s="33" t="str">
        <f>IF(E730="Não","Não aplicável",IFERROR(IF(B730="EU-ENV-002",IF(INDEX(tbl_recyclass[Conforme_PPWR_2030],MATCH(A730,tbl_recyclass[ProductId],0))="Sim","Conforme (autoavaliação)",IF(INDEX(tbl_recyclass[Conforme_PPWR_2030],MATCH(A730,tbl_recyclass[ProductId],0))="Não","Não conforme em 2030","Isento até 2035")),IF(B730="EU-ENV-003",IF(INDEX(tbl_recyclass[Conforme_Art7_2030],MATCH(A730,tbl_recyclass[ProductId],0))="Sim","Conforme (meta 2030)",IF(INDEX(tbl_recyclass[Conforme_Art7_2030],MATCH(A730,tbl_recyclass[ProductId],0))="Não","Lacuna face à meta 2030","Isento")),IF(B730="EU-ENV-011",IF(INDEX(tbl_familias_ppwr[Metais_Pesados_Evidencia],MATCH(INDEX(tbl_recyclass[Familia_PPWR],MATCH(A730,tbl_recyclass[ProductId],0)),tbl_familias_ppwr[ID_Familia],0))="Em falta","Lacuna","Conforme"),IF(B730="EU-ENV-013",IF(INDEX(tbl_familias_ppwr[Declaracao_UE],MATCH(INDEX(tbl_recyclass[Familia_PPWR],MATCH(A730,tbl_recyclass[ProductId],0)),tbl_familias_ppwr[ID_Familia],0))="Sim","Conforme","Lacuna"),G730)))),G730))</f>
        <v>Parcial</v>
      </c>
      <c r="I730" s="33" t="str">
        <f t="shared" si="11"/>
        <v>Parcial</v>
      </c>
      <c r="J730" s="26" t="s">
        <v>1012</v>
      </c>
    </row>
    <row r="731" spans="1:10" ht="16.05" customHeight="1" x14ac:dyDescent="0.3">
      <c r="A731" s="26" t="s">
        <v>692</v>
      </c>
      <c r="B731" s="26" t="s">
        <v>1016</v>
      </c>
      <c r="C731" s="33" t="str">
        <f>IFERROR(INDEX(tbl_requisitos_emb[Tema],MATCH(B731,tbl_requisitos_emb[ID_Req],0)),"")</f>
        <v>Rotulagem</v>
      </c>
      <c r="D731" s="33" t="str">
        <f>IFERROR(INDEX(tbl_recyclass[Segmento],MATCH(A731,tbl_recyclass[ProductId],0)),"")</f>
        <v>Cosmética e higiene pessoal</v>
      </c>
      <c r="E731" s="26" t="s">
        <v>901</v>
      </c>
      <c r="F731" s="26" t="s">
        <v>1449</v>
      </c>
      <c r="G731" s="26" t="s">
        <v>990</v>
      </c>
      <c r="H731" s="33" t="str">
        <f>IF(E731="Não","Não aplicável",IFERROR(IF(B731="EU-ENV-002",IF(INDEX(tbl_recyclass[Conforme_PPWR_2030],MATCH(A731,tbl_recyclass[ProductId],0))="Sim","Conforme (autoavaliação)",IF(INDEX(tbl_recyclass[Conforme_PPWR_2030],MATCH(A731,tbl_recyclass[ProductId],0))="Não","Não conforme em 2030","Isento até 2035")),IF(B731="EU-ENV-003",IF(INDEX(tbl_recyclass[Conforme_Art7_2030],MATCH(A731,tbl_recyclass[ProductId],0))="Sim","Conforme (meta 2030)",IF(INDEX(tbl_recyclass[Conforme_Art7_2030],MATCH(A731,tbl_recyclass[ProductId],0))="Não","Lacuna face à meta 2030","Isento")),IF(B731="EU-ENV-011",IF(INDEX(tbl_familias_ppwr[Metais_Pesados_Evidencia],MATCH(INDEX(tbl_recyclass[Familia_PPWR],MATCH(A731,tbl_recyclass[ProductId],0)),tbl_familias_ppwr[ID_Familia],0))="Em falta","Lacuna","Conforme"),IF(B731="EU-ENV-013",IF(INDEX(tbl_familias_ppwr[Declaracao_UE],MATCH(INDEX(tbl_recyclass[Familia_PPWR],MATCH(A731,tbl_recyclass[ProductId],0)),tbl_familias_ppwr[ID_Familia],0))="Sim","Conforme","Lacuna"),G731)))),G731))</f>
        <v>Futuro</v>
      </c>
      <c r="I731" s="33" t="str">
        <f t="shared" si="11"/>
        <v>Futuro</v>
      </c>
      <c r="J731" s="26" t="s">
        <v>1021</v>
      </c>
    </row>
    <row r="732" spans="1:10" ht="16.05" customHeight="1" x14ac:dyDescent="0.3">
      <c r="A732" s="26" t="s">
        <v>692</v>
      </c>
      <c r="B732" s="26" t="s">
        <v>1038</v>
      </c>
      <c r="C732" s="33" t="str">
        <f>IFERROR(INDEX(tbl_requisitos_emb[Tema],MATCH(B732,tbl_requisitos_emb[ID_Req],0)),"")</f>
        <v>Plásticos de utilização única</v>
      </c>
      <c r="D732" s="33" t="str">
        <f>IFERROR(INDEX(tbl_recyclass[Segmento],MATCH(A732,tbl_recyclass[ProductId],0)),"")</f>
        <v>Cosmética e higiene pessoal</v>
      </c>
      <c r="E732" s="26" t="s">
        <v>904</v>
      </c>
      <c r="F732" s="26" t="s">
        <v>1450</v>
      </c>
      <c r="G732" s="26" t="s">
        <v>1143</v>
      </c>
      <c r="H732" s="33" t="str">
        <f>IF(E732="Não","Não aplicável",IFERROR(IF(B732="EU-ENV-002",IF(INDEX(tbl_recyclass[Conforme_PPWR_2030],MATCH(A732,tbl_recyclass[ProductId],0))="Sim","Conforme (autoavaliação)",IF(INDEX(tbl_recyclass[Conforme_PPWR_2030],MATCH(A732,tbl_recyclass[ProductId],0))="Não","Não conforme em 2030","Isento até 2035")),IF(B732="EU-ENV-003",IF(INDEX(tbl_recyclass[Conforme_Art7_2030],MATCH(A732,tbl_recyclass[ProductId],0))="Sim","Conforme (meta 2030)",IF(INDEX(tbl_recyclass[Conforme_Art7_2030],MATCH(A732,tbl_recyclass[ProductId],0))="Não","Lacuna face à meta 2030","Isento")),IF(B732="EU-ENV-011",IF(INDEX(tbl_familias_ppwr[Metais_Pesados_Evidencia],MATCH(INDEX(tbl_recyclass[Familia_PPWR],MATCH(A732,tbl_recyclass[ProductId],0)),tbl_familias_ppwr[ID_Familia],0))="Em falta","Lacuna","Conforme"),IF(B732="EU-ENV-013",IF(INDEX(tbl_familias_ppwr[Declaracao_UE],MATCH(INDEX(tbl_recyclass[Familia_PPWR],MATCH(A732,tbl_recyclass[ProductId],0)),tbl_familias_ppwr[ID_Familia],0))="Sim","Conforme","Lacuna"),G732)))),G732))</f>
        <v>Não aplicável</v>
      </c>
      <c r="I732" s="33" t="str">
        <f t="shared" si="11"/>
        <v>Não aplicável</v>
      </c>
      <c r="J732" s="26"/>
    </row>
    <row r="733" spans="1:10" ht="16.05" customHeight="1" x14ac:dyDescent="0.3">
      <c r="A733" s="26" t="s">
        <v>692</v>
      </c>
      <c r="B733" s="26" t="s">
        <v>1078</v>
      </c>
      <c r="C733" s="33" t="str">
        <f>IFERROR(INDEX(tbl_requisitos_emb[Tema],MATCH(B733,tbl_requisitos_emb[ID_Req],0)),"")</f>
        <v>Reciclado à escala</v>
      </c>
      <c r="D733" s="33" t="str">
        <f>IFERROR(INDEX(tbl_recyclass[Segmento],MATCH(A733,tbl_recyclass[ProductId],0)),"")</f>
        <v>Cosmética e higiene pessoal</v>
      </c>
      <c r="E733" s="26" t="s">
        <v>901</v>
      </c>
      <c r="F733" s="26" t="s">
        <v>1449</v>
      </c>
      <c r="G733" s="26" t="s">
        <v>990</v>
      </c>
      <c r="H733" s="33" t="str">
        <f>IF(E733="Não","Não aplicável",IFERROR(IF(B733="EU-ENV-002",IF(INDEX(tbl_recyclass[Conforme_PPWR_2030],MATCH(A733,tbl_recyclass[ProductId],0))="Sim","Conforme (autoavaliação)",IF(INDEX(tbl_recyclass[Conforme_PPWR_2030],MATCH(A733,tbl_recyclass[ProductId],0))="Não","Não conforme em 2030","Isento até 2035")),IF(B733="EU-ENV-003",IF(INDEX(tbl_recyclass[Conforme_Art7_2030],MATCH(A733,tbl_recyclass[ProductId],0))="Sim","Conforme (meta 2030)",IF(INDEX(tbl_recyclass[Conforme_Art7_2030],MATCH(A733,tbl_recyclass[ProductId],0))="Não","Lacuna face à meta 2030","Isento")),IF(B733="EU-ENV-011",IF(INDEX(tbl_familias_ppwr[Metais_Pesados_Evidencia],MATCH(INDEX(tbl_recyclass[Familia_PPWR],MATCH(A733,tbl_recyclass[ProductId],0)),tbl_familias_ppwr[ID_Familia],0))="Em falta","Lacuna","Conforme"),IF(B733="EU-ENV-013",IF(INDEX(tbl_familias_ppwr[Declaracao_UE],MATCH(INDEX(tbl_recyclass[Familia_PPWR],MATCH(A733,tbl_recyclass[ProductId],0)),tbl_familias_ppwr[ID_Familia],0))="Sim","Conforme","Lacuna"),G733)))),G733))</f>
        <v>Futuro</v>
      </c>
      <c r="I733" s="33" t="str">
        <f t="shared" si="11"/>
        <v>Futuro</v>
      </c>
      <c r="J733" s="26" t="s">
        <v>1082</v>
      </c>
    </row>
    <row r="734" spans="1:10" ht="16.05" customHeight="1" x14ac:dyDescent="0.3">
      <c r="A734" s="26" t="s">
        <v>692</v>
      </c>
      <c r="B734" s="26" t="s">
        <v>1086</v>
      </c>
      <c r="C734" s="33" t="str">
        <f>IFERROR(INDEX(tbl_requisitos_emb[Tema],MATCH(B734,tbl_requisitos_emb[ID_Req],0)),"")</f>
        <v>Metais pesados</v>
      </c>
      <c r="D734" s="33" t="str">
        <f>IFERROR(INDEX(tbl_recyclass[Segmento],MATCH(A734,tbl_recyclass[ProductId],0)),"")</f>
        <v>Cosmética e higiene pessoal</v>
      </c>
      <c r="E734" s="26" t="s">
        <v>901</v>
      </c>
      <c r="F734" s="26" t="s">
        <v>1449</v>
      </c>
      <c r="G734" s="26" t="s">
        <v>978</v>
      </c>
      <c r="H734" s="33" t="str">
        <f>IF(E734="Não","Não aplicável",IFERROR(IF(B734="EU-ENV-002",IF(INDEX(tbl_recyclass[Conforme_PPWR_2030],MATCH(A734,tbl_recyclass[ProductId],0))="Sim","Conforme (autoavaliação)",IF(INDEX(tbl_recyclass[Conforme_PPWR_2030],MATCH(A734,tbl_recyclass[ProductId],0))="Não","Não conforme em 2030","Isento até 2035")),IF(B734="EU-ENV-003",IF(INDEX(tbl_recyclass[Conforme_Art7_2030],MATCH(A734,tbl_recyclass[ProductId],0))="Sim","Conforme (meta 2030)",IF(INDEX(tbl_recyclass[Conforme_Art7_2030],MATCH(A734,tbl_recyclass[ProductId],0))="Não","Lacuna face à meta 2030","Isento")),IF(B734="EU-ENV-011",IF(INDEX(tbl_familias_ppwr[Metais_Pesados_Evidencia],MATCH(INDEX(tbl_recyclass[Familia_PPWR],MATCH(A734,tbl_recyclass[ProductId],0)),tbl_familias_ppwr[ID_Familia],0))="Em falta","Lacuna","Conforme"),IF(B734="EU-ENV-013",IF(INDEX(tbl_familias_ppwr[Declaracao_UE],MATCH(INDEX(tbl_recyclass[Familia_PPWR],MATCH(A734,tbl_recyclass[ProductId],0)),tbl_familias_ppwr[ID_Familia],0))="Sim","Conforme","Lacuna"),G734)))),G734))</f>
        <v>Conforme</v>
      </c>
      <c r="I734" s="33" t="str">
        <f t="shared" si="11"/>
        <v>Conforme</v>
      </c>
      <c r="J734" s="26" t="s">
        <v>1090</v>
      </c>
    </row>
    <row r="735" spans="1:10" ht="16.05" customHeight="1" x14ac:dyDescent="0.3">
      <c r="A735" s="26" t="s">
        <v>692</v>
      </c>
      <c r="B735" s="26" t="s">
        <v>1094</v>
      </c>
      <c r="C735" s="33" t="str">
        <f>IFERROR(INDEX(tbl_requisitos_emb[Tema],MATCH(B735,tbl_requisitos_emb[ID_Req],0)),"")</f>
        <v>PFAS</v>
      </c>
      <c r="D735" s="33" t="str">
        <f>IFERROR(INDEX(tbl_recyclass[Segmento],MATCH(A735,tbl_recyclass[ProductId],0)),"")</f>
        <v>Cosmética e higiene pessoal</v>
      </c>
      <c r="E735" s="26" t="s">
        <v>904</v>
      </c>
      <c r="F735" s="26" t="s">
        <v>1450</v>
      </c>
      <c r="G735" s="26" t="s">
        <v>1143</v>
      </c>
      <c r="H735" s="33" t="str">
        <f>IF(E735="Não","Não aplicável",IFERROR(IF(B735="EU-ENV-002",IF(INDEX(tbl_recyclass[Conforme_PPWR_2030],MATCH(A735,tbl_recyclass[ProductId],0))="Sim","Conforme (autoavaliação)",IF(INDEX(tbl_recyclass[Conforme_PPWR_2030],MATCH(A735,tbl_recyclass[ProductId],0))="Não","Não conforme em 2030","Isento até 2035")),IF(B735="EU-ENV-003",IF(INDEX(tbl_recyclass[Conforme_Art7_2030],MATCH(A735,tbl_recyclass[ProductId],0))="Sim","Conforme (meta 2030)",IF(INDEX(tbl_recyclass[Conforme_Art7_2030],MATCH(A735,tbl_recyclass[ProductId],0))="Não","Lacuna face à meta 2030","Isento")),IF(B735="EU-ENV-011",IF(INDEX(tbl_familias_ppwr[Metais_Pesados_Evidencia],MATCH(INDEX(tbl_recyclass[Familia_PPWR],MATCH(A735,tbl_recyclass[ProductId],0)),tbl_familias_ppwr[ID_Familia],0))="Em falta","Lacuna","Conforme"),IF(B735="EU-ENV-013",IF(INDEX(tbl_familias_ppwr[Declaracao_UE],MATCH(INDEX(tbl_recyclass[Familia_PPWR],MATCH(A735,tbl_recyclass[ProductId],0)),tbl_familias_ppwr[ID_Familia],0))="Sim","Conforme","Lacuna"),G735)))),G735))</f>
        <v>Não aplicável</v>
      </c>
      <c r="I735" s="33" t="str">
        <f t="shared" si="11"/>
        <v>Não aplicável</v>
      </c>
      <c r="J735" s="26"/>
    </row>
    <row r="736" spans="1:10" ht="16.05" customHeight="1" x14ac:dyDescent="0.3">
      <c r="A736" s="26" t="s">
        <v>692</v>
      </c>
      <c r="B736" s="26" t="s">
        <v>1102</v>
      </c>
      <c r="C736" s="33" t="str">
        <f>IFERROR(INDEX(tbl_requisitos_emb[Tema],MATCH(B736,tbl_requisitos_emb[ID_Req],0)),"")</f>
        <v>Documentação técnica e declaração UE</v>
      </c>
      <c r="D736" s="33" t="str">
        <f>IFERROR(INDEX(tbl_recyclass[Segmento],MATCH(A736,tbl_recyclass[ProductId],0)),"")</f>
        <v>Cosmética e higiene pessoal</v>
      </c>
      <c r="E736" s="26" t="s">
        <v>901</v>
      </c>
      <c r="F736" s="26" t="s">
        <v>1449</v>
      </c>
      <c r="G736" s="26" t="s">
        <v>978</v>
      </c>
      <c r="H736" s="33" t="str">
        <f>IF(E736="Não","Não aplicável",IFERROR(IF(B736="EU-ENV-002",IF(INDEX(tbl_recyclass[Conforme_PPWR_2030],MATCH(A736,tbl_recyclass[ProductId],0))="Sim","Conforme (autoavaliação)",IF(INDEX(tbl_recyclass[Conforme_PPWR_2030],MATCH(A736,tbl_recyclass[ProductId],0))="Não","Não conforme em 2030","Isento até 2035")),IF(B736="EU-ENV-003",IF(INDEX(tbl_recyclass[Conforme_Art7_2030],MATCH(A736,tbl_recyclass[ProductId],0))="Sim","Conforme (meta 2030)",IF(INDEX(tbl_recyclass[Conforme_Art7_2030],MATCH(A736,tbl_recyclass[ProductId],0))="Não","Lacuna face à meta 2030","Isento")),IF(B736="EU-ENV-011",IF(INDEX(tbl_familias_ppwr[Metais_Pesados_Evidencia],MATCH(INDEX(tbl_recyclass[Familia_PPWR],MATCH(A736,tbl_recyclass[ProductId],0)),tbl_familias_ppwr[ID_Familia],0))="Em falta","Lacuna","Conforme"),IF(B736="EU-ENV-013",IF(INDEX(tbl_familias_ppwr[Declaracao_UE],MATCH(INDEX(tbl_recyclass[Familia_PPWR],MATCH(A736,tbl_recyclass[ProductId],0)),tbl_familias_ppwr[ID_Familia],0))="Sim","Conforme","Lacuna"),G736)))),G736))</f>
        <v>Conforme</v>
      </c>
      <c r="I736" s="33" t="str">
        <f t="shared" si="11"/>
        <v>Conforme</v>
      </c>
      <c r="J736" s="26" t="s">
        <v>1106</v>
      </c>
    </row>
    <row r="737" spans="1:10" ht="16.05" customHeight="1" x14ac:dyDescent="0.3">
      <c r="A737" s="26" t="s">
        <v>692</v>
      </c>
      <c r="B737" s="26" t="s">
        <v>1161</v>
      </c>
      <c r="C737" s="33" t="str">
        <f>IFERROR(INDEX(tbl_requisitos_emb[Tema],MATCH(B737,tbl_requisitos_emb[ID_Req],0)),"")</f>
        <v>Materiais em contacto com alimentos</v>
      </c>
      <c r="D737" s="33" t="str">
        <f>IFERROR(INDEX(tbl_recyclass[Segmento],MATCH(A737,tbl_recyclass[ProductId],0)),"")</f>
        <v>Cosmética e higiene pessoal</v>
      </c>
      <c r="E737" s="26" t="s">
        <v>904</v>
      </c>
      <c r="F737" s="26" t="s">
        <v>1450</v>
      </c>
      <c r="G737" s="26" t="s">
        <v>1143</v>
      </c>
      <c r="H737" s="33" t="str">
        <f>IF(E737="Não","Não aplicável",IFERROR(IF(B737="EU-ENV-002",IF(INDEX(tbl_recyclass[Conforme_PPWR_2030],MATCH(A737,tbl_recyclass[ProductId],0))="Sim","Conforme (autoavaliação)",IF(INDEX(tbl_recyclass[Conforme_PPWR_2030],MATCH(A737,tbl_recyclass[ProductId],0))="Não","Não conforme em 2030","Isento até 2035")),IF(B737="EU-ENV-003",IF(INDEX(tbl_recyclass[Conforme_Art7_2030],MATCH(A737,tbl_recyclass[ProductId],0))="Sim","Conforme (meta 2030)",IF(INDEX(tbl_recyclass[Conforme_Art7_2030],MATCH(A737,tbl_recyclass[ProductId],0))="Não","Lacuna face à meta 2030","Isento")),IF(B737="EU-ENV-011",IF(INDEX(tbl_familias_ppwr[Metais_Pesados_Evidencia],MATCH(INDEX(tbl_recyclass[Familia_PPWR],MATCH(A737,tbl_recyclass[ProductId],0)),tbl_familias_ppwr[ID_Familia],0))="Em falta","Lacuna","Conforme"),IF(B737="EU-ENV-013",IF(INDEX(tbl_familias_ppwr[Declaracao_UE],MATCH(INDEX(tbl_recyclass[Familia_PPWR],MATCH(A737,tbl_recyclass[ProductId],0)),tbl_familias_ppwr[ID_Familia],0))="Sim","Conforme","Lacuna"),G737)))),G737))</f>
        <v>Não aplicável</v>
      </c>
      <c r="I737" s="33" t="str">
        <f t="shared" si="11"/>
        <v>Não aplicável</v>
      </c>
      <c r="J737" s="26"/>
    </row>
    <row r="738" spans="1:10" ht="16.05" customHeight="1" x14ac:dyDescent="0.3">
      <c r="A738" s="26" t="s">
        <v>692</v>
      </c>
      <c r="B738" s="26" t="s">
        <v>1170</v>
      </c>
      <c r="C738" s="33" t="str">
        <f>IFERROR(INDEX(tbl_requisitos_emb[Tema],MATCH(B738,tbl_requisitos_emb[ID_Req],0)),"")</f>
        <v>Boas práticas de fabrico FCM</v>
      </c>
      <c r="D738" s="33" t="str">
        <f>IFERROR(INDEX(tbl_recyclass[Segmento],MATCH(A738,tbl_recyclass[ProductId],0)),"")</f>
        <v>Cosmética e higiene pessoal</v>
      </c>
      <c r="E738" s="26" t="s">
        <v>904</v>
      </c>
      <c r="F738" s="26" t="s">
        <v>1450</v>
      </c>
      <c r="G738" s="26" t="s">
        <v>1143</v>
      </c>
      <c r="H738" s="33" t="str">
        <f>IF(E738="Não","Não aplicável",IFERROR(IF(B738="EU-ENV-002",IF(INDEX(tbl_recyclass[Conforme_PPWR_2030],MATCH(A738,tbl_recyclass[ProductId],0))="Sim","Conforme (autoavaliação)",IF(INDEX(tbl_recyclass[Conforme_PPWR_2030],MATCH(A738,tbl_recyclass[ProductId],0))="Não","Não conforme em 2030","Isento até 2035")),IF(B738="EU-ENV-003",IF(INDEX(tbl_recyclass[Conforme_Art7_2030],MATCH(A738,tbl_recyclass[ProductId],0))="Sim","Conforme (meta 2030)",IF(INDEX(tbl_recyclass[Conforme_Art7_2030],MATCH(A738,tbl_recyclass[ProductId],0))="Não","Lacuna face à meta 2030","Isento")),IF(B738="EU-ENV-011",IF(INDEX(tbl_familias_ppwr[Metais_Pesados_Evidencia],MATCH(INDEX(tbl_recyclass[Familia_PPWR],MATCH(A738,tbl_recyclass[ProductId],0)),tbl_familias_ppwr[ID_Familia],0))="Em falta","Lacuna","Conforme"),IF(B738="EU-ENV-013",IF(INDEX(tbl_familias_ppwr[Declaracao_UE],MATCH(INDEX(tbl_recyclass[Familia_PPWR],MATCH(A738,tbl_recyclass[ProductId],0)),tbl_familias_ppwr[ID_Familia],0))="Sim","Conforme","Lacuna"),G738)))),G738))</f>
        <v>Não aplicável</v>
      </c>
      <c r="I738" s="33" t="str">
        <f t="shared" si="11"/>
        <v>Não aplicável</v>
      </c>
      <c r="J738" s="26"/>
    </row>
    <row r="739" spans="1:10" ht="16.05" customHeight="1" x14ac:dyDescent="0.3">
      <c r="A739" s="26" t="s">
        <v>692</v>
      </c>
      <c r="B739" s="26" t="s">
        <v>1179</v>
      </c>
      <c r="C739" s="33" t="str">
        <f>IFERROR(INDEX(tbl_requisitos_emb[Tema],MATCH(B739,tbl_requisitos_emb[ID_Req],0)),"")</f>
        <v>Bisfenol A e bisfenóis perigosos</v>
      </c>
      <c r="D739" s="33" t="str">
        <f>IFERROR(INDEX(tbl_recyclass[Segmento],MATCH(A739,tbl_recyclass[ProductId],0)),"")</f>
        <v>Cosmética e higiene pessoal</v>
      </c>
      <c r="E739" s="26" t="s">
        <v>904</v>
      </c>
      <c r="F739" s="26" t="s">
        <v>1450</v>
      </c>
      <c r="G739" s="26" t="s">
        <v>1143</v>
      </c>
      <c r="H739" s="33" t="str">
        <f>IF(E739="Não","Não aplicável",IFERROR(IF(B739="EU-ENV-002",IF(INDEX(tbl_recyclass[Conforme_PPWR_2030],MATCH(A739,tbl_recyclass[ProductId],0))="Sim","Conforme (autoavaliação)",IF(INDEX(tbl_recyclass[Conforme_PPWR_2030],MATCH(A739,tbl_recyclass[ProductId],0))="Não","Não conforme em 2030","Isento até 2035")),IF(B739="EU-ENV-003",IF(INDEX(tbl_recyclass[Conforme_Art7_2030],MATCH(A739,tbl_recyclass[ProductId],0))="Sim","Conforme (meta 2030)",IF(INDEX(tbl_recyclass[Conforme_Art7_2030],MATCH(A739,tbl_recyclass[ProductId],0))="Não","Lacuna face à meta 2030","Isento")),IF(B739="EU-ENV-011",IF(INDEX(tbl_familias_ppwr[Metais_Pesados_Evidencia],MATCH(INDEX(tbl_recyclass[Familia_PPWR],MATCH(A739,tbl_recyclass[ProductId],0)),tbl_familias_ppwr[ID_Familia],0))="Em falta","Lacuna","Conforme"),IF(B739="EU-ENV-013",IF(INDEX(tbl_familias_ppwr[Declaracao_UE],MATCH(INDEX(tbl_recyclass[Familia_PPWR],MATCH(A739,tbl_recyclass[ProductId],0)),tbl_familias_ppwr[ID_Familia],0))="Sim","Conforme","Lacuna"),G739)))),G739))</f>
        <v>Não aplicável</v>
      </c>
      <c r="I739" s="33" t="str">
        <f t="shared" si="11"/>
        <v>Não aplicável</v>
      </c>
      <c r="J739" s="26"/>
    </row>
    <row r="740" spans="1:10" ht="16.05" customHeight="1" x14ac:dyDescent="0.3">
      <c r="A740" s="26" t="s">
        <v>692</v>
      </c>
      <c r="B740" s="26" t="s">
        <v>1188</v>
      </c>
      <c r="C740" s="33" t="str">
        <f>IFERROR(INDEX(tbl_requisitos_emb[Tema],MATCH(B740,tbl_requisitos_emb[ID_Req],0)),"")</f>
        <v>Plásticos em contacto com alimentos</v>
      </c>
      <c r="D740" s="33" t="str">
        <f>IFERROR(INDEX(tbl_recyclass[Segmento],MATCH(A740,tbl_recyclass[ProductId],0)),"")</f>
        <v>Cosmética e higiene pessoal</v>
      </c>
      <c r="E740" s="26" t="s">
        <v>904</v>
      </c>
      <c r="F740" s="26" t="s">
        <v>1450</v>
      </c>
      <c r="G740" s="26" t="s">
        <v>1143</v>
      </c>
      <c r="H740" s="33" t="str">
        <f>IF(E740="Não","Não aplicável",IFERROR(IF(B740="EU-ENV-002",IF(INDEX(tbl_recyclass[Conforme_PPWR_2030],MATCH(A740,tbl_recyclass[ProductId],0))="Sim","Conforme (autoavaliação)",IF(INDEX(tbl_recyclass[Conforme_PPWR_2030],MATCH(A740,tbl_recyclass[ProductId],0))="Não","Não conforme em 2030","Isento até 2035")),IF(B740="EU-ENV-003",IF(INDEX(tbl_recyclass[Conforme_Art7_2030],MATCH(A740,tbl_recyclass[ProductId],0))="Sim","Conforme (meta 2030)",IF(INDEX(tbl_recyclass[Conforme_Art7_2030],MATCH(A740,tbl_recyclass[ProductId],0))="Não","Lacuna face à meta 2030","Isento")),IF(B740="EU-ENV-011",IF(INDEX(tbl_familias_ppwr[Metais_Pesados_Evidencia],MATCH(INDEX(tbl_recyclass[Familia_PPWR],MATCH(A740,tbl_recyclass[ProductId],0)),tbl_familias_ppwr[ID_Familia],0))="Em falta","Lacuna","Conforme"),IF(B740="EU-ENV-013",IF(INDEX(tbl_familias_ppwr[Declaracao_UE],MATCH(INDEX(tbl_recyclass[Familia_PPWR],MATCH(A740,tbl_recyclass[ProductId],0)),tbl_familias_ppwr[ID_Familia],0))="Sim","Conforme","Lacuna"),G740)))),G740))</f>
        <v>Não aplicável</v>
      </c>
      <c r="I740" s="33" t="str">
        <f t="shared" si="11"/>
        <v>Não aplicável</v>
      </c>
      <c r="J740" s="26"/>
    </row>
    <row r="741" spans="1:10" ht="16.05" customHeight="1" x14ac:dyDescent="0.3">
      <c r="A741" s="26" t="s">
        <v>692</v>
      </c>
      <c r="B741" s="26" t="s">
        <v>1212</v>
      </c>
      <c r="C741" s="33" t="str">
        <f>IFERROR(INDEX(tbl_requisitos_emb[Tema],MATCH(B741,tbl_requisitos_emb[ID_Req],0)),"")</f>
        <v>Segurança do produto cosmético</v>
      </c>
      <c r="D741" s="33" t="str">
        <f>IFERROR(INDEX(tbl_recyclass[Segmento],MATCH(A741,tbl_recyclass[ProductId],0)),"")</f>
        <v>Cosmética e higiene pessoal</v>
      </c>
      <c r="E741" s="26" t="s">
        <v>901</v>
      </c>
      <c r="F741" s="26" t="s">
        <v>1449</v>
      </c>
      <c r="G741" s="26" t="s">
        <v>1033</v>
      </c>
      <c r="H741" s="33" t="str">
        <f>IF(E741="Não","Não aplicável",IFERROR(IF(B741="EU-ENV-002",IF(INDEX(tbl_recyclass[Conforme_PPWR_2030],MATCH(A741,tbl_recyclass[ProductId],0))="Sim","Conforme (autoavaliação)",IF(INDEX(tbl_recyclass[Conforme_PPWR_2030],MATCH(A741,tbl_recyclass[ProductId],0))="Não","Não conforme em 2030","Isento até 2035")),IF(B741="EU-ENV-003",IF(INDEX(tbl_recyclass[Conforme_Art7_2030],MATCH(A741,tbl_recyclass[ProductId],0))="Sim","Conforme (meta 2030)",IF(INDEX(tbl_recyclass[Conforme_Art7_2030],MATCH(A741,tbl_recyclass[ProductId],0))="Não","Lacuna face à meta 2030","Isento")),IF(B741="EU-ENV-011",IF(INDEX(tbl_familias_ppwr[Metais_Pesados_Evidencia],MATCH(INDEX(tbl_recyclass[Familia_PPWR],MATCH(A741,tbl_recyclass[ProductId],0)),tbl_familias_ppwr[ID_Familia],0))="Em falta","Lacuna","Conforme"),IF(B741="EU-ENV-013",IF(INDEX(tbl_familias_ppwr[Declaracao_UE],MATCH(INDEX(tbl_recyclass[Familia_PPWR],MATCH(A741,tbl_recyclass[ProductId],0)),tbl_familias_ppwr[ID_Familia],0))="Sim","Conforme","Lacuna"),G741)))),G741))</f>
        <v>Conforme</v>
      </c>
      <c r="I741" s="33" t="str">
        <f t="shared" si="11"/>
        <v>Conforme</v>
      </c>
      <c r="J741" s="26" t="s">
        <v>1221</v>
      </c>
    </row>
    <row r="742" spans="1:10" ht="16.05" customHeight="1" x14ac:dyDescent="0.3">
      <c r="A742" s="26" t="s">
        <v>692</v>
      </c>
      <c r="B742" s="26" t="s">
        <v>1224</v>
      </c>
      <c r="C742" s="33" t="str">
        <f>IFERROR(INDEX(tbl_requisitos_emb[Tema],MATCH(B742,tbl_requisitos_emb[ID_Req],0)),"")</f>
        <v>Materiais e impurezas</v>
      </c>
      <c r="D742" s="33" t="str">
        <f>IFERROR(INDEX(tbl_recyclass[Segmento],MATCH(A742,tbl_recyclass[ProductId],0)),"")</f>
        <v>Cosmética e higiene pessoal</v>
      </c>
      <c r="E742" s="26" t="s">
        <v>901</v>
      </c>
      <c r="F742" s="26" t="s">
        <v>1449</v>
      </c>
      <c r="G742" s="26" t="s">
        <v>978</v>
      </c>
      <c r="H742" s="33" t="str">
        <f>IF(E742="Não","Não aplicável",IFERROR(IF(B742="EU-ENV-002",IF(INDEX(tbl_recyclass[Conforme_PPWR_2030],MATCH(A742,tbl_recyclass[ProductId],0))="Sim","Conforme (autoavaliação)",IF(INDEX(tbl_recyclass[Conforme_PPWR_2030],MATCH(A742,tbl_recyclass[ProductId],0))="Não","Não conforme em 2030","Isento até 2035")),IF(B742="EU-ENV-003",IF(INDEX(tbl_recyclass[Conforme_Art7_2030],MATCH(A742,tbl_recyclass[ProductId],0))="Sim","Conforme (meta 2030)",IF(INDEX(tbl_recyclass[Conforme_Art7_2030],MATCH(A742,tbl_recyclass[ProductId],0))="Não","Lacuna face à meta 2030","Isento")),IF(B742="EU-ENV-011",IF(INDEX(tbl_familias_ppwr[Metais_Pesados_Evidencia],MATCH(INDEX(tbl_recyclass[Familia_PPWR],MATCH(A742,tbl_recyclass[ProductId],0)),tbl_familias_ppwr[ID_Familia],0))="Em falta","Lacuna","Conforme"),IF(B742="EU-ENV-013",IF(INDEX(tbl_familias_ppwr[Declaracao_UE],MATCH(INDEX(tbl_recyclass[Familia_PPWR],MATCH(A742,tbl_recyclass[ProductId],0)),tbl_familias_ppwr[ID_Familia],0))="Sim","Conforme","Lacuna"),G742)))),G742))</f>
        <v>Parcial</v>
      </c>
      <c r="I742" s="33" t="str">
        <f t="shared" si="11"/>
        <v>Parcial</v>
      </c>
      <c r="J742" s="26" t="s">
        <v>1228</v>
      </c>
    </row>
    <row r="743" spans="1:10" ht="16.05" customHeight="1" x14ac:dyDescent="0.3">
      <c r="A743" s="26" t="s">
        <v>692</v>
      </c>
      <c r="B743" s="26" t="s">
        <v>1240</v>
      </c>
      <c r="C743" s="33" t="str">
        <f>IFERROR(INDEX(tbl_requisitos_emb[Tema],MATCH(B743,tbl_requisitos_emb[ID_Req],0)),"")</f>
        <v>Compatibilidade embalagem–produto</v>
      </c>
      <c r="D743" s="33" t="str">
        <f>IFERROR(INDEX(tbl_recyclass[Segmento],MATCH(A743,tbl_recyclass[ProductId],0)),"")</f>
        <v>Cosmética e higiene pessoal</v>
      </c>
      <c r="E743" s="26" t="s">
        <v>901</v>
      </c>
      <c r="F743" s="26" t="s">
        <v>1449</v>
      </c>
      <c r="G743" s="26" t="s">
        <v>1033</v>
      </c>
      <c r="H743" s="33" t="str">
        <f>IF(E743="Não","Não aplicável",IFERROR(IF(B743="EU-ENV-002",IF(INDEX(tbl_recyclass[Conforme_PPWR_2030],MATCH(A743,tbl_recyclass[ProductId],0))="Sim","Conforme (autoavaliação)",IF(INDEX(tbl_recyclass[Conforme_PPWR_2030],MATCH(A743,tbl_recyclass[ProductId],0))="Não","Não conforme em 2030","Isento até 2035")),IF(B743="EU-ENV-003",IF(INDEX(tbl_recyclass[Conforme_Art7_2030],MATCH(A743,tbl_recyclass[ProductId],0))="Sim","Conforme (meta 2030)",IF(INDEX(tbl_recyclass[Conforme_Art7_2030],MATCH(A743,tbl_recyclass[ProductId],0))="Não","Lacuna face à meta 2030","Isento")),IF(B743="EU-ENV-011",IF(INDEX(tbl_familias_ppwr[Metais_Pesados_Evidencia],MATCH(INDEX(tbl_recyclass[Familia_PPWR],MATCH(A743,tbl_recyclass[ProductId],0)),tbl_familias_ppwr[ID_Familia],0))="Em falta","Lacuna","Conforme"),IF(B743="EU-ENV-013",IF(INDEX(tbl_familias_ppwr[Declaracao_UE],MATCH(INDEX(tbl_recyclass[Familia_PPWR],MATCH(A743,tbl_recyclass[ProductId],0)),tbl_familias_ppwr[ID_Familia],0))="Sim","Conforme","Lacuna"),G743)))),G743))</f>
        <v>Conforme</v>
      </c>
      <c r="I743" s="33" t="str">
        <f t="shared" si="11"/>
        <v>Conforme</v>
      </c>
      <c r="J743" s="26" t="s">
        <v>1244</v>
      </c>
    </row>
    <row r="744" spans="1:10" ht="16.05" customHeight="1" x14ac:dyDescent="0.3">
      <c r="A744" s="26" t="s">
        <v>692</v>
      </c>
      <c r="B744" s="26" t="s">
        <v>1252</v>
      </c>
      <c r="C744" s="33" t="str">
        <f>IFERROR(INDEX(tbl_requisitos_emb[Tema],MATCH(B744,tbl_requisitos_emb[ID_Req],0)),"")</f>
        <v>Medicamentos de uso humano</v>
      </c>
      <c r="D744" s="33" t="str">
        <f>IFERROR(INDEX(tbl_recyclass[Segmento],MATCH(A744,tbl_recyclass[ProductId],0)),"")</f>
        <v>Cosmética e higiene pessoal</v>
      </c>
      <c r="E744" s="26" t="s">
        <v>904</v>
      </c>
      <c r="F744" s="26" t="s">
        <v>1451</v>
      </c>
      <c r="G744" s="26" t="s">
        <v>1143</v>
      </c>
      <c r="H744" s="33" t="str">
        <f>IF(E744="Não","Não aplicável",IFERROR(IF(B744="EU-ENV-002",IF(INDEX(tbl_recyclass[Conforme_PPWR_2030],MATCH(A744,tbl_recyclass[ProductId],0))="Sim","Conforme (autoavaliação)",IF(INDEX(tbl_recyclass[Conforme_PPWR_2030],MATCH(A744,tbl_recyclass[ProductId],0))="Não","Não conforme em 2030","Isento até 2035")),IF(B744="EU-ENV-003",IF(INDEX(tbl_recyclass[Conforme_Art7_2030],MATCH(A744,tbl_recyclass[ProductId],0))="Sim","Conforme (meta 2030)",IF(INDEX(tbl_recyclass[Conforme_Art7_2030],MATCH(A744,tbl_recyclass[ProductId],0))="Não","Lacuna face à meta 2030","Isento")),IF(B744="EU-ENV-011",IF(INDEX(tbl_familias_ppwr[Metais_Pesados_Evidencia],MATCH(INDEX(tbl_recyclass[Familia_PPWR],MATCH(A744,tbl_recyclass[ProductId],0)),tbl_familias_ppwr[ID_Familia],0))="Em falta","Lacuna","Conforme"),IF(B744="EU-ENV-013",IF(INDEX(tbl_familias_ppwr[Declaracao_UE],MATCH(INDEX(tbl_recyclass[Familia_PPWR],MATCH(A744,tbl_recyclass[ProductId],0)),tbl_familias_ppwr[ID_Familia],0))="Sim","Conforme","Lacuna"),G744)))),G744))</f>
        <v>Não aplicável</v>
      </c>
      <c r="I744" s="33" t="str">
        <f t="shared" si="11"/>
        <v>Não aplicável</v>
      </c>
      <c r="J744" s="26"/>
    </row>
    <row r="745" spans="1:10" ht="16.05" customHeight="1" x14ac:dyDescent="0.3">
      <c r="A745" s="26" t="s">
        <v>692</v>
      </c>
      <c r="B745" s="26" t="s">
        <v>1268</v>
      </c>
      <c r="C745" s="33" t="str">
        <f>IFERROR(INDEX(tbl_requisitos_emb[Tema],MATCH(B745,tbl_requisitos_emb[ID_Req],0)),"")</f>
        <v>Dispositivos de segurança</v>
      </c>
      <c r="D745" s="33" t="str">
        <f>IFERROR(INDEX(tbl_recyclass[Segmento],MATCH(A745,tbl_recyclass[ProductId],0)),"")</f>
        <v>Cosmética e higiene pessoal</v>
      </c>
      <c r="E745" s="26" t="s">
        <v>904</v>
      </c>
      <c r="F745" s="26" t="s">
        <v>1451</v>
      </c>
      <c r="G745" s="26" t="s">
        <v>1143</v>
      </c>
      <c r="H745" s="33" t="str">
        <f>IF(E745="Não","Não aplicável",IFERROR(IF(B745="EU-ENV-002",IF(INDEX(tbl_recyclass[Conforme_PPWR_2030],MATCH(A745,tbl_recyclass[ProductId],0))="Sim","Conforme (autoavaliação)",IF(INDEX(tbl_recyclass[Conforme_PPWR_2030],MATCH(A745,tbl_recyclass[ProductId],0))="Não","Não conforme em 2030","Isento até 2035")),IF(B745="EU-ENV-003",IF(INDEX(tbl_recyclass[Conforme_Art7_2030],MATCH(A745,tbl_recyclass[ProductId],0))="Sim","Conforme (meta 2030)",IF(INDEX(tbl_recyclass[Conforme_Art7_2030],MATCH(A745,tbl_recyclass[ProductId],0))="Não","Lacuna face à meta 2030","Isento")),IF(B745="EU-ENV-011",IF(INDEX(tbl_familias_ppwr[Metais_Pesados_Evidencia],MATCH(INDEX(tbl_recyclass[Familia_PPWR],MATCH(A745,tbl_recyclass[ProductId],0)),tbl_familias_ppwr[ID_Familia],0))="Em falta","Lacuna","Conforme"),IF(B745="EU-ENV-013",IF(INDEX(tbl_familias_ppwr[Declaracao_UE],MATCH(INDEX(tbl_recyclass[Familia_PPWR],MATCH(A745,tbl_recyclass[ProductId],0)),tbl_familias_ppwr[ID_Familia],0))="Sim","Conforme","Lacuna"),G745)))),G745))</f>
        <v>Não aplicável</v>
      </c>
      <c r="I745" s="33" t="str">
        <f t="shared" si="11"/>
        <v>Não aplicável</v>
      </c>
      <c r="J745" s="26"/>
    </row>
    <row r="746" spans="1:10" ht="16.05" customHeight="1" x14ac:dyDescent="0.3">
      <c r="A746" s="26" t="s">
        <v>692</v>
      </c>
      <c r="B746" s="26" t="s">
        <v>1285</v>
      </c>
      <c r="C746" s="33" t="str">
        <f>IFERROR(INDEX(tbl_requisitos_emb[Tema],MATCH(B746,tbl_requisitos_emb[ID_Req],0)),"")</f>
        <v>Materiais plásticos de acondicionamento primário</v>
      </c>
      <c r="D746" s="33" t="str">
        <f>IFERROR(INDEX(tbl_recyclass[Segmento],MATCH(A746,tbl_recyclass[ProductId],0)),"")</f>
        <v>Cosmética e higiene pessoal</v>
      </c>
      <c r="E746" s="26" t="s">
        <v>904</v>
      </c>
      <c r="F746" s="26" t="s">
        <v>1451</v>
      </c>
      <c r="G746" s="26" t="s">
        <v>1143</v>
      </c>
      <c r="H746" s="33" t="str">
        <f>IF(E746="Não","Não aplicável",IFERROR(IF(B746="EU-ENV-002",IF(INDEX(tbl_recyclass[Conforme_PPWR_2030],MATCH(A746,tbl_recyclass[ProductId],0))="Sim","Conforme (autoavaliação)",IF(INDEX(tbl_recyclass[Conforme_PPWR_2030],MATCH(A746,tbl_recyclass[ProductId],0))="Não","Não conforme em 2030","Isento até 2035")),IF(B746="EU-ENV-003",IF(INDEX(tbl_recyclass[Conforme_Art7_2030],MATCH(A746,tbl_recyclass[ProductId],0))="Sim","Conforme (meta 2030)",IF(INDEX(tbl_recyclass[Conforme_Art7_2030],MATCH(A746,tbl_recyclass[ProductId],0))="Não","Lacuna face à meta 2030","Isento")),IF(B746="EU-ENV-011",IF(INDEX(tbl_familias_ppwr[Metais_Pesados_Evidencia],MATCH(INDEX(tbl_recyclass[Familia_PPWR],MATCH(A746,tbl_recyclass[ProductId],0)),tbl_familias_ppwr[ID_Familia],0))="Em falta","Lacuna","Conforme"),IF(B746="EU-ENV-013",IF(INDEX(tbl_familias_ppwr[Declaracao_UE],MATCH(INDEX(tbl_recyclass[Familia_PPWR],MATCH(A746,tbl_recyclass[ProductId],0)),tbl_familias_ppwr[ID_Familia],0))="Sim","Conforme","Lacuna"),G746)))),G746))</f>
        <v>Não aplicável</v>
      </c>
      <c r="I746" s="33" t="str">
        <f t="shared" si="11"/>
        <v>Não aplicável</v>
      </c>
      <c r="J746" s="26"/>
    </row>
    <row r="747" spans="1:10" ht="16.05" customHeight="1" x14ac:dyDescent="0.3">
      <c r="A747" s="26" t="s">
        <v>692</v>
      </c>
      <c r="B747" s="26" t="s">
        <v>1293</v>
      </c>
      <c r="C747" s="33" t="str">
        <f>IFERROR(INDEX(tbl_requisitos_emb[Tema],MATCH(B747,tbl_requisitos_emb[ID_Req],0)),"")</f>
        <v>Isenções PPWR</v>
      </c>
      <c r="D747" s="33" t="str">
        <f>IFERROR(INDEX(tbl_recyclass[Segmento],MATCH(A747,tbl_recyclass[ProductId],0)),"")</f>
        <v>Cosmética e higiene pessoal</v>
      </c>
      <c r="E747" s="26" t="s">
        <v>904</v>
      </c>
      <c r="F747" s="26" t="s">
        <v>1451</v>
      </c>
      <c r="G747" s="26" t="s">
        <v>1143</v>
      </c>
      <c r="H747" s="33" t="str">
        <f>IF(E747="Não","Não aplicável",IFERROR(IF(B747="EU-ENV-002",IF(INDEX(tbl_recyclass[Conforme_PPWR_2030],MATCH(A747,tbl_recyclass[ProductId],0))="Sim","Conforme (autoavaliação)",IF(INDEX(tbl_recyclass[Conforme_PPWR_2030],MATCH(A747,tbl_recyclass[ProductId],0))="Não","Não conforme em 2030","Isento até 2035")),IF(B747="EU-ENV-003",IF(INDEX(tbl_recyclass[Conforme_Art7_2030],MATCH(A747,tbl_recyclass[ProductId],0))="Sim","Conforme (meta 2030)",IF(INDEX(tbl_recyclass[Conforme_Art7_2030],MATCH(A747,tbl_recyclass[ProductId],0))="Não","Lacuna face à meta 2030","Isento")),IF(B747="EU-ENV-011",IF(INDEX(tbl_familias_ppwr[Metais_Pesados_Evidencia],MATCH(INDEX(tbl_recyclass[Familia_PPWR],MATCH(A747,tbl_recyclass[ProductId],0)),tbl_familias_ppwr[ID_Familia],0))="Em falta","Lacuna","Conforme"),IF(B747="EU-ENV-013",IF(INDEX(tbl_familias_ppwr[Declaracao_UE],MATCH(INDEX(tbl_recyclass[Familia_PPWR],MATCH(A747,tbl_recyclass[ProductId],0)),tbl_familias_ppwr[ID_Familia],0))="Sim","Conforme","Lacuna"),G747)))),G747))</f>
        <v>Não aplicável</v>
      </c>
      <c r="I747" s="33" t="str">
        <f t="shared" si="11"/>
        <v>Não aplicável</v>
      </c>
      <c r="J747" s="26"/>
    </row>
    <row r="748" spans="1:10" ht="16.05" customHeight="1" x14ac:dyDescent="0.3">
      <c r="A748" s="26" t="s">
        <v>692</v>
      </c>
      <c r="B748" s="26" t="s">
        <v>1357</v>
      </c>
      <c r="C748" s="33" t="str">
        <f>IFERROR(INDEX(tbl_requisitos_emb[Tema],MATCH(B748,tbl_requisitos_emb[ID_Req],0)),"")</f>
        <v>Identificação de plásticos</v>
      </c>
      <c r="D748" s="33" t="str">
        <f>IFERROR(INDEX(tbl_recyclass[Segmento],MATCH(A748,tbl_recyclass[ProductId],0)),"")</f>
        <v>Cosmética e higiene pessoal</v>
      </c>
      <c r="E748" s="26" t="s">
        <v>901</v>
      </c>
      <c r="F748" s="26" t="s">
        <v>1449</v>
      </c>
      <c r="G748" s="26" t="s">
        <v>978</v>
      </c>
      <c r="H748" s="33" t="str">
        <f>IF(E748="Não","Não aplicável",IFERROR(IF(B748="EU-ENV-002",IF(INDEX(tbl_recyclass[Conforme_PPWR_2030],MATCH(A748,tbl_recyclass[ProductId],0))="Sim","Conforme (autoavaliação)",IF(INDEX(tbl_recyclass[Conforme_PPWR_2030],MATCH(A748,tbl_recyclass[ProductId],0))="Não","Não conforme em 2030","Isento até 2035")),IF(B748="EU-ENV-003",IF(INDEX(tbl_recyclass[Conforme_Art7_2030],MATCH(A748,tbl_recyclass[ProductId],0))="Sim","Conforme (meta 2030)",IF(INDEX(tbl_recyclass[Conforme_Art7_2030],MATCH(A748,tbl_recyclass[ProductId],0))="Não","Lacuna face à meta 2030","Isento")),IF(B748="EU-ENV-011",IF(INDEX(tbl_familias_ppwr[Metais_Pesados_Evidencia],MATCH(INDEX(tbl_recyclass[Familia_PPWR],MATCH(A748,tbl_recyclass[ProductId],0)),tbl_familias_ppwr[ID_Familia],0))="Em falta","Lacuna","Conforme"),IF(B748="EU-ENV-013",IF(INDEX(tbl_familias_ppwr[Declaracao_UE],MATCH(INDEX(tbl_recyclass[Familia_PPWR],MATCH(A748,tbl_recyclass[ProductId],0)),tbl_familias_ppwr[ID_Familia],0))="Sim","Conforme","Lacuna"),G748)))),G748))</f>
        <v>Parcial</v>
      </c>
      <c r="I748" s="33" t="str">
        <f t="shared" si="11"/>
        <v>Parcial</v>
      </c>
      <c r="J748" s="26" t="s">
        <v>1362</v>
      </c>
    </row>
    <row r="749" spans="1:10" ht="16.05" customHeight="1" x14ac:dyDescent="0.3">
      <c r="A749" s="26" t="s">
        <v>692</v>
      </c>
      <c r="B749" s="26" t="s">
        <v>1385</v>
      </c>
      <c r="C749" s="33" t="str">
        <f>IFERROR(INDEX(tbl_requisitos_emb[Tema],MATCH(B749,tbl_requisitos_emb[ID_Req],0)),"")</f>
        <v>Reciclabilidade (voluntária)</v>
      </c>
      <c r="D749" s="33" t="str">
        <f>IFERROR(INDEX(tbl_recyclass[Segmento],MATCH(A749,tbl_recyclass[ProductId],0)),"")</f>
        <v>Cosmética e higiene pessoal</v>
      </c>
      <c r="E749" s="26" t="s">
        <v>901</v>
      </c>
      <c r="F749" s="26" t="s">
        <v>1449</v>
      </c>
      <c r="G749" s="26" t="s">
        <v>978</v>
      </c>
      <c r="H749" s="33" t="str">
        <f>IF(E749="Não","Não aplicável",IFERROR(IF(B749="EU-ENV-002",IF(INDEX(tbl_recyclass[Conforme_PPWR_2030],MATCH(A749,tbl_recyclass[ProductId],0))="Sim","Conforme (autoavaliação)",IF(INDEX(tbl_recyclass[Conforme_PPWR_2030],MATCH(A749,tbl_recyclass[ProductId],0))="Não","Não conforme em 2030","Isento até 2035")),IF(B749="EU-ENV-003",IF(INDEX(tbl_recyclass[Conforme_Art7_2030],MATCH(A749,tbl_recyclass[ProductId],0))="Sim","Conforme (meta 2030)",IF(INDEX(tbl_recyclass[Conforme_Art7_2030],MATCH(A749,tbl_recyclass[ProductId],0))="Não","Lacuna face à meta 2030","Isento")),IF(B749="EU-ENV-011",IF(INDEX(tbl_familias_ppwr[Metais_Pesados_Evidencia],MATCH(INDEX(tbl_recyclass[Familia_PPWR],MATCH(A749,tbl_recyclass[ProductId],0)),tbl_familias_ppwr[ID_Familia],0))="Em falta","Lacuna","Conforme"),IF(B749="EU-ENV-013",IF(INDEX(tbl_familias_ppwr[Declaracao_UE],MATCH(INDEX(tbl_recyclass[Familia_PPWR],MATCH(A749,tbl_recyclass[ProductId],0)),tbl_familias_ppwr[ID_Familia],0))="Sim","Conforme","Lacuna"),G749)))),G749))</f>
        <v>Parcial</v>
      </c>
      <c r="I749" s="33" t="str">
        <f t="shared" si="11"/>
        <v>Parcial</v>
      </c>
      <c r="J749" s="26" t="s">
        <v>1389</v>
      </c>
    </row>
    <row r="750" spans="1:10" ht="16.05" customHeight="1" x14ac:dyDescent="0.3">
      <c r="A750" s="26" t="s">
        <v>695</v>
      </c>
      <c r="B750" s="26" t="s">
        <v>984</v>
      </c>
      <c r="C750" s="33" t="str">
        <f>IFERROR(INDEX(tbl_requisitos_emb[Tema],MATCH(B750,tbl_requisitos_emb[ID_Req],0)),"")</f>
        <v>Conceção para reciclagem</v>
      </c>
      <c r="D750" s="33" t="str">
        <f>IFERROR(INDEX(tbl_recyclass[Segmento],MATCH(A750,tbl_recyclass[ProductId],0)),"")</f>
        <v>Cosmética e higiene pessoal</v>
      </c>
      <c r="E750" s="26" t="s">
        <v>901</v>
      </c>
      <c r="F750" s="26" t="s">
        <v>1449</v>
      </c>
      <c r="G750" s="26" t="s">
        <v>978</v>
      </c>
      <c r="H750" s="33" t="str">
        <f>IF(E750="Não","Não aplicável",IFERROR(IF(B750="EU-ENV-002",IF(INDEX(tbl_recyclass[Conforme_PPWR_2030],MATCH(A750,tbl_recyclass[ProductId],0))="Sim","Conforme (autoavaliação)",IF(INDEX(tbl_recyclass[Conforme_PPWR_2030],MATCH(A750,tbl_recyclass[ProductId],0))="Não","Não conforme em 2030","Isento até 2035")),IF(B750="EU-ENV-003",IF(INDEX(tbl_recyclass[Conforme_Art7_2030],MATCH(A750,tbl_recyclass[ProductId],0))="Sim","Conforme (meta 2030)",IF(INDEX(tbl_recyclass[Conforme_Art7_2030],MATCH(A750,tbl_recyclass[ProductId],0))="Não","Lacuna face à meta 2030","Isento")),IF(B750="EU-ENV-011",IF(INDEX(tbl_familias_ppwr[Metais_Pesados_Evidencia],MATCH(INDEX(tbl_recyclass[Familia_PPWR],MATCH(A750,tbl_recyclass[ProductId],0)),tbl_familias_ppwr[ID_Familia],0))="Em falta","Lacuna","Conforme"),IF(B750="EU-ENV-013",IF(INDEX(tbl_familias_ppwr[Declaracao_UE],MATCH(INDEX(tbl_recyclass[Familia_PPWR],MATCH(A750,tbl_recyclass[ProductId],0)),tbl_familias_ppwr[ID_Familia],0))="Sim","Conforme","Lacuna"),G750)))),G750))</f>
        <v>Não conforme em 2030</v>
      </c>
      <c r="I750" s="33" t="str">
        <f t="shared" si="11"/>
        <v>Não conforme</v>
      </c>
      <c r="J750" s="26" t="s">
        <v>991</v>
      </c>
    </row>
    <row r="751" spans="1:10" ht="16.05" customHeight="1" x14ac:dyDescent="0.3">
      <c r="A751" s="26" t="s">
        <v>695</v>
      </c>
      <c r="B751" s="26" t="s">
        <v>997</v>
      </c>
      <c r="C751" s="33" t="str">
        <f>IFERROR(INDEX(tbl_requisitos_emb[Tema],MATCH(B751,tbl_requisitos_emb[ID_Req],0)),"")</f>
        <v>Conteúdo reciclado</v>
      </c>
      <c r="D751" s="33" t="str">
        <f>IFERROR(INDEX(tbl_recyclass[Segmento],MATCH(A751,tbl_recyclass[ProductId],0)),"")</f>
        <v>Cosmética e higiene pessoal</v>
      </c>
      <c r="E751" s="26" t="s">
        <v>901</v>
      </c>
      <c r="F751" s="26" t="s">
        <v>1449</v>
      </c>
      <c r="G751" s="26" t="s">
        <v>978</v>
      </c>
      <c r="H751" s="33" t="str">
        <f>IF(E751="Não","Não aplicável",IFERROR(IF(B751="EU-ENV-002",IF(INDEX(tbl_recyclass[Conforme_PPWR_2030],MATCH(A751,tbl_recyclass[ProductId],0))="Sim","Conforme (autoavaliação)",IF(INDEX(tbl_recyclass[Conforme_PPWR_2030],MATCH(A751,tbl_recyclass[ProductId],0))="Não","Não conforme em 2030","Isento até 2035")),IF(B751="EU-ENV-003",IF(INDEX(tbl_recyclass[Conforme_Art7_2030],MATCH(A751,tbl_recyclass[ProductId],0))="Sim","Conforme (meta 2030)",IF(INDEX(tbl_recyclass[Conforme_Art7_2030],MATCH(A751,tbl_recyclass[ProductId],0))="Não","Lacuna face à meta 2030","Isento")),IF(B751="EU-ENV-011",IF(INDEX(tbl_familias_ppwr[Metais_Pesados_Evidencia],MATCH(INDEX(tbl_recyclass[Familia_PPWR],MATCH(A751,tbl_recyclass[ProductId],0)),tbl_familias_ppwr[ID_Familia],0))="Em falta","Lacuna","Conforme"),IF(B751="EU-ENV-013",IF(INDEX(tbl_familias_ppwr[Declaracao_UE],MATCH(INDEX(tbl_recyclass[Familia_PPWR],MATCH(A751,tbl_recyclass[ProductId],0)),tbl_familias_ppwr[ID_Familia],0))="Sim","Conforme","Lacuna"),G751)))),G751))</f>
        <v>Lacuna face à meta 2030</v>
      </c>
      <c r="I751" s="33" t="str">
        <f t="shared" si="11"/>
        <v>Lacuna</v>
      </c>
      <c r="J751" s="26" t="s">
        <v>1001</v>
      </c>
    </row>
    <row r="752" spans="1:10" ht="16.05" customHeight="1" x14ac:dyDescent="0.3">
      <c r="A752" s="26" t="s">
        <v>695</v>
      </c>
      <c r="B752" s="26" t="s">
        <v>1007</v>
      </c>
      <c r="C752" s="33" t="str">
        <f>IFERROR(INDEX(tbl_requisitos_emb[Tema],MATCH(B752,tbl_requisitos_emb[ID_Req],0)),"")</f>
        <v>Minimização</v>
      </c>
      <c r="D752" s="33" t="str">
        <f>IFERROR(INDEX(tbl_recyclass[Segmento],MATCH(A752,tbl_recyclass[ProductId],0)),"")</f>
        <v>Cosmética e higiene pessoal</v>
      </c>
      <c r="E752" s="26" t="s">
        <v>901</v>
      </c>
      <c r="F752" s="26" t="s">
        <v>1449</v>
      </c>
      <c r="G752" s="26" t="s">
        <v>978</v>
      </c>
      <c r="H752" s="33" t="str">
        <f>IF(E752="Não","Não aplicável",IFERROR(IF(B752="EU-ENV-002",IF(INDEX(tbl_recyclass[Conforme_PPWR_2030],MATCH(A752,tbl_recyclass[ProductId],0))="Sim","Conforme (autoavaliação)",IF(INDEX(tbl_recyclass[Conforme_PPWR_2030],MATCH(A752,tbl_recyclass[ProductId],0))="Não","Não conforme em 2030","Isento até 2035")),IF(B752="EU-ENV-003",IF(INDEX(tbl_recyclass[Conforme_Art7_2030],MATCH(A752,tbl_recyclass[ProductId],0))="Sim","Conforme (meta 2030)",IF(INDEX(tbl_recyclass[Conforme_Art7_2030],MATCH(A752,tbl_recyclass[ProductId],0))="Não","Lacuna face à meta 2030","Isento")),IF(B752="EU-ENV-011",IF(INDEX(tbl_familias_ppwr[Metais_Pesados_Evidencia],MATCH(INDEX(tbl_recyclass[Familia_PPWR],MATCH(A752,tbl_recyclass[ProductId],0)),tbl_familias_ppwr[ID_Familia],0))="Em falta","Lacuna","Conforme"),IF(B752="EU-ENV-013",IF(INDEX(tbl_familias_ppwr[Declaracao_UE],MATCH(INDEX(tbl_recyclass[Familia_PPWR],MATCH(A752,tbl_recyclass[ProductId],0)),tbl_familias_ppwr[ID_Familia],0))="Sim","Conforme","Lacuna"),G752)))),G752))</f>
        <v>Parcial</v>
      </c>
      <c r="I752" s="33" t="str">
        <f t="shared" si="11"/>
        <v>Parcial</v>
      </c>
      <c r="J752" s="26" t="s">
        <v>1012</v>
      </c>
    </row>
    <row r="753" spans="1:10" ht="16.05" customHeight="1" x14ac:dyDescent="0.3">
      <c r="A753" s="26" t="s">
        <v>695</v>
      </c>
      <c r="B753" s="26" t="s">
        <v>1016</v>
      </c>
      <c r="C753" s="33" t="str">
        <f>IFERROR(INDEX(tbl_requisitos_emb[Tema],MATCH(B753,tbl_requisitos_emb[ID_Req],0)),"")</f>
        <v>Rotulagem</v>
      </c>
      <c r="D753" s="33" t="str">
        <f>IFERROR(INDEX(tbl_recyclass[Segmento],MATCH(A753,tbl_recyclass[ProductId],0)),"")</f>
        <v>Cosmética e higiene pessoal</v>
      </c>
      <c r="E753" s="26" t="s">
        <v>901</v>
      </c>
      <c r="F753" s="26" t="s">
        <v>1449</v>
      </c>
      <c r="G753" s="26" t="s">
        <v>990</v>
      </c>
      <c r="H753" s="33" t="str">
        <f>IF(E753="Não","Não aplicável",IFERROR(IF(B753="EU-ENV-002",IF(INDEX(tbl_recyclass[Conforme_PPWR_2030],MATCH(A753,tbl_recyclass[ProductId],0))="Sim","Conforme (autoavaliação)",IF(INDEX(tbl_recyclass[Conforme_PPWR_2030],MATCH(A753,tbl_recyclass[ProductId],0))="Não","Não conforme em 2030","Isento até 2035")),IF(B753="EU-ENV-003",IF(INDEX(tbl_recyclass[Conforme_Art7_2030],MATCH(A753,tbl_recyclass[ProductId],0))="Sim","Conforme (meta 2030)",IF(INDEX(tbl_recyclass[Conforme_Art7_2030],MATCH(A753,tbl_recyclass[ProductId],0))="Não","Lacuna face à meta 2030","Isento")),IF(B753="EU-ENV-011",IF(INDEX(tbl_familias_ppwr[Metais_Pesados_Evidencia],MATCH(INDEX(tbl_recyclass[Familia_PPWR],MATCH(A753,tbl_recyclass[ProductId],0)),tbl_familias_ppwr[ID_Familia],0))="Em falta","Lacuna","Conforme"),IF(B753="EU-ENV-013",IF(INDEX(tbl_familias_ppwr[Declaracao_UE],MATCH(INDEX(tbl_recyclass[Familia_PPWR],MATCH(A753,tbl_recyclass[ProductId],0)),tbl_familias_ppwr[ID_Familia],0))="Sim","Conforme","Lacuna"),G753)))),G753))</f>
        <v>Futuro</v>
      </c>
      <c r="I753" s="33" t="str">
        <f t="shared" si="11"/>
        <v>Futuro</v>
      </c>
      <c r="J753" s="26" t="s">
        <v>1021</v>
      </c>
    </row>
    <row r="754" spans="1:10" ht="16.05" customHeight="1" x14ac:dyDescent="0.3">
      <c r="A754" s="26" t="s">
        <v>695</v>
      </c>
      <c r="B754" s="26" t="s">
        <v>1038</v>
      </c>
      <c r="C754" s="33" t="str">
        <f>IFERROR(INDEX(tbl_requisitos_emb[Tema],MATCH(B754,tbl_requisitos_emb[ID_Req],0)),"")</f>
        <v>Plásticos de utilização única</v>
      </c>
      <c r="D754" s="33" t="str">
        <f>IFERROR(INDEX(tbl_recyclass[Segmento],MATCH(A754,tbl_recyclass[ProductId],0)),"")</f>
        <v>Cosmética e higiene pessoal</v>
      </c>
      <c r="E754" s="26" t="s">
        <v>904</v>
      </c>
      <c r="F754" s="26" t="s">
        <v>1450</v>
      </c>
      <c r="G754" s="26" t="s">
        <v>1143</v>
      </c>
      <c r="H754" s="33" t="str">
        <f>IF(E754="Não","Não aplicável",IFERROR(IF(B754="EU-ENV-002",IF(INDEX(tbl_recyclass[Conforme_PPWR_2030],MATCH(A754,tbl_recyclass[ProductId],0))="Sim","Conforme (autoavaliação)",IF(INDEX(tbl_recyclass[Conforme_PPWR_2030],MATCH(A754,tbl_recyclass[ProductId],0))="Não","Não conforme em 2030","Isento até 2035")),IF(B754="EU-ENV-003",IF(INDEX(tbl_recyclass[Conforme_Art7_2030],MATCH(A754,tbl_recyclass[ProductId],0))="Sim","Conforme (meta 2030)",IF(INDEX(tbl_recyclass[Conforme_Art7_2030],MATCH(A754,tbl_recyclass[ProductId],0))="Não","Lacuna face à meta 2030","Isento")),IF(B754="EU-ENV-011",IF(INDEX(tbl_familias_ppwr[Metais_Pesados_Evidencia],MATCH(INDEX(tbl_recyclass[Familia_PPWR],MATCH(A754,tbl_recyclass[ProductId],0)),tbl_familias_ppwr[ID_Familia],0))="Em falta","Lacuna","Conforme"),IF(B754="EU-ENV-013",IF(INDEX(tbl_familias_ppwr[Declaracao_UE],MATCH(INDEX(tbl_recyclass[Familia_PPWR],MATCH(A754,tbl_recyclass[ProductId],0)),tbl_familias_ppwr[ID_Familia],0))="Sim","Conforme","Lacuna"),G754)))),G754))</f>
        <v>Não aplicável</v>
      </c>
      <c r="I754" s="33" t="str">
        <f t="shared" si="11"/>
        <v>Não aplicável</v>
      </c>
      <c r="J754" s="26"/>
    </row>
    <row r="755" spans="1:10" ht="16.05" customHeight="1" x14ac:dyDescent="0.3">
      <c r="A755" s="26" t="s">
        <v>695</v>
      </c>
      <c r="B755" s="26" t="s">
        <v>1078</v>
      </c>
      <c r="C755" s="33" t="str">
        <f>IFERROR(INDEX(tbl_requisitos_emb[Tema],MATCH(B755,tbl_requisitos_emb[ID_Req],0)),"")</f>
        <v>Reciclado à escala</v>
      </c>
      <c r="D755" s="33" t="str">
        <f>IFERROR(INDEX(tbl_recyclass[Segmento],MATCH(A755,tbl_recyclass[ProductId],0)),"")</f>
        <v>Cosmética e higiene pessoal</v>
      </c>
      <c r="E755" s="26" t="s">
        <v>901</v>
      </c>
      <c r="F755" s="26" t="s">
        <v>1449</v>
      </c>
      <c r="G755" s="26" t="s">
        <v>990</v>
      </c>
      <c r="H755" s="33" t="str">
        <f>IF(E755="Não","Não aplicável",IFERROR(IF(B755="EU-ENV-002",IF(INDEX(tbl_recyclass[Conforme_PPWR_2030],MATCH(A755,tbl_recyclass[ProductId],0))="Sim","Conforme (autoavaliação)",IF(INDEX(tbl_recyclass[Conforme_PPWR_2030],MATCH(A755,tbl_recyclass[ProductId],0))="Não","Não conforme em 2030","Isento até 2035")),IF(B755="EU-ENV-003",IF(INDEX(tbl_recyclass[Conforme_Art7_2030],MATCH(A755,tbl_recyclass[ProductId],0))="Sim","Conforme (meta 2030)",IF(INDEX(tbl_recyclass[Conforme_Art7_2030],MATCH(A755,tbl_recyclass[ProductId],0))="Não","Lacuna face à meta 2030","Isento")),IF(B755="EU-ENV-011",IF(INDEX(tbl_familias_ppwr[Metais_Pesados_Evidencia],MATCH(INDEX(tbl_recyclass[Familia_PPWR],MATCH(A755,tbl_recyclass[ProductId],0)),tbl_familias_ppwr[ID_Familia],0))="Em falta","Lacuna","Conforme"),IF(B755="EU-ENV-013",IF(INDEX(tbl_familias_ppwr[Declaracao_UE],MATCH(INDEX(tbl_recyclass[Familia_PPWR],MATCH(A755,tbl_recyclass[ProductId],0)),tbl_familias_ppwr[ID_Familia],0))="Sim","Conforme","Lacuna"),G755)))),G755))</f>
        <v>Futuro</v>
      </c>
      <c r="I755" s="33" t="str">
        <f t="shared" si="11"/>
        <v>Futuro</v>
      </c>
      <c r="J755" s="26" t="s">
        <v>1082</v>
      </c>
    </row>
    <row r="756" spans="1:10" ht="16.05" customHeight="1" x14ac:dyDescent="0.3">
      <c r="A756" s="26" t="s">
        <v>695</v>
      </c>
      <c r="B756" s="26" t="s">
        <v>1086</v>
      </c>
      <c r="C756" s="33" t="str">
        <f>IFERROR(INDEX(tbl_requisitos_emb[Tema],MATCH(B756,tbl_requisitos_emb[ID_Req],0)),"")</f>
        <v>Metais pesados</v>
      </c>
      <c r="D756" s="33" t="str">
        <f>IFERROR(INDEX(tbl_recyclass[Segmento],MATCH(A756,tbl_recyclass[ProductId],0)),"")</f>
        <v>Cosmética e higiene pessoal</v>
      </c>
      <c r="E756" s="26" t="s">
        <v>901</v>
      </c>
      <c r="F756" s="26" t="s">
        <v>1449</v>
      </c>
      <c r="G756" s="26" t="s">
        <v>978</v>
      </c>
      <c r="H756" s="33" t="str">
        <f>IF(E756="Não","Não aplicável",IFERROR(IF(B756="EU-ENV-002",IF(INDEX(tbl_recyclass[Conforme_PPWR_2030],MATCH(A756,tbl_recyclass[ProductId],0))="Sim","Conforme (autoavaliação)",IF(INDEX(tbl_recyclass[Conforme_PPWR_2030],MATCH(A756,tbl_recyclass[ProductId],0))="Não","Não conforme em 2030","Isento até 2035")),IF(B756="EU-ENV-003",IF(INDEX(tbl_recyclass[Conforme_Art7_2030],MATCH(A756,tbl_recyclass[ProductId],0))="Sim","Conforme (meta 2030)",IF(INDEX(tbl_recyclass[Conforme_Art7_2030],MATCH(A756,tbl_recyclass[ProductId],0))="Não","Lacuna face à meta 2030","Isento")),IF(B756="EU-ENV-011",IF(INDEX(tbl_familias_ppwr[Metais_Pesados_Evidencia],MATCH(INDEX(tbl_recyclass[Familia_PPWR],MATCH(A756,tbl_recyclass[ProductId],0)),tbl_familias_ppwr[ID_Familia],0))="Em falta","Lacuna","Conforme"),IF(B756="EU-ENV-013",IF(INDEX(tbl_familias_ppwr[Declaracao_UE],MATCH(INDEX(tbl_recyclass[Familia_PPWR],MATCH(A756,tbl_recyclass[ProductId],0)),tbl_familias_ppwr[ID_Familia],0))="Sim","Conforme","Lacuna"),G756)))),G756))</f>
        <v>Conforme</v>
      </c>
      <c r="I756" s="33" t="str">
        <f t="shared" si="11"/>
        <v>Conforme</v>
      </c>
      <c r="J756" s="26" t="s">
        <v>1090</v>
      </c>
    </row>
    <row r="757" spans="1:10" ht="16.05" customHeight="1" x14ac:dyDescent="0.3">
      <c r="A757" s="26" t="s">
        <v>695</v>
      </c>
      <c r="B757" s="26" t="s">
        <v>1094</v>
      </c>
      <c r="C757" s="33" t="str">
        <f>IFERROR(INDEX(tbl_requisitos_emb[Tema],MATCH(B757,tbl_requisitos_emb[ID_Req],0)),"")</f>
        <v>PFAS</v>
      </c>
      <c r="D757" s="33" t="str">
        <f>IFERROR(INDEX(tbl_recyclass[Segmento],MATCH(A757,tbl_recyclass[ProductId],0)),"")</f>
        <v>Cosmética e higiene pessoal</v>
      </c>
      <c r="E757" s="26" t="s">
        <v>904</v>
      </c>
      <c r="F757" s="26" t="s">
        <v>1450</v>
      </c>
      <c r="G757" s="26" t="s">
        <v>1143</v>
      </c>
      <c r="H757" s="33" t="str">
        <f>IF(E757="Não","Não aplicável",IFERROR(IF(B757="EU-ENV-002",IF(INDEX(tbl_recyclass[Conforme_PPWR_2030],MATCH(A757,tbl_recyclass[ProductId],0))="Sim","Conforme (autoavaliação)",IF(INDEX(tbl_recyclass[Conforme_PPWR_2030],MATCH(A757,tbl_recyclass[ProductId],0))="Não","Não conforme em 2030","Isento até 2035")),IF(B757="EU-ENV-003",IF(INDEX(tbl_recyclass[Conforme_Art7_2030],MATCH(A757,tbl_recyclass[ProductId],0))="Sim","Conforme (meta 2030)",IF(INDEX(tbl_recyclass[Conforme_Art7_2030],MATCH(A757,tbl_recyclass[ProductId],0))="Não","Lacuna face à meta 2030","Isento")),IF(B757="EU-ENV-011",IF(INDEX(tbl_familias_ppwr[Metais_Pesados_Evidencia],MATCH(INDEX(tbl_recyclass[Familia_PPWR],MATCH(A757,tbl_recyclass[ProductId],0)),tbl_familias_ppwr[ID_Familia],0))="Em falta","Lacuna","Conforme"),IF(B757="EU-ENV-013",IF(INDEX(tbl_familias_ppwr[Declaracao_UE],MATCH(INDEX(tbl_recyclass[Familia_PPWR],MATCH(A757,tbl_recyclass[ProductId],0)),tbl_familias_ppwr[ID_Familia],0))="Sim","Conforme","Lacuna"),G757)))),G757))</f>
        <v>Não aplicável</v>
      </c>
      <c r="I757" s="33" t="str">
        <f t="shared" si="11"/>
        <v>Não aplicável</v>
      </c>
      <c r="J757" s="26"/>
    </row>
    <row r="758" spans="1:10" ht="16.05" customHeight="1" x14ac:dyDescent="0.3">
      <c r="A758" s="26" t="s">
        <v>695</v>
      </c>
      <c r="B758" s="26" t="s">
        <v>1102</v>
      </c>
      <c r="C758" s="33" t="str">
        <f>IFERROR(INDEX(tbl_requisitos_emb[Tema],MATCH(B758,tbl_requisitos_emb[ID_Req],0)),"")</f>
        <v>Documentação técnica e declaração UE</v>
      </c>
      <c r="D758" s="33" t="str">
        <f>IFERROR(INDEX(tbl_recyclass[Segmento],MATCH(A758,tbl_recyclass[ProductId],0)),"")</f>
        <v>Cosmética e higiene pessoal</v>
      </c>
      <c r="E758" s="26" t="s">
        <v>901</v>
      </c>
      <c r="F758" s="26" t="s">
        <v>1449</v>
      </c>
      <c r="G758" s="26" t="s">
        <v>978</v>
      </c>
      <c r="H758" s="33" t="str">
        <f>IF(E758="Não","Não aplicável",IFERROR(IF(B758="EU-ENV-002",IF(INDEX(tbl_recyclass[Conforme_PPWR_2030],MATCH(A758,tbl_recyclass[ProductId],0))="Sim","Conforme (autoavaliação)",IF(INDEX(tbl_recyclass[Conforme_PPWR_2030],MATCH(A758,tbl_recyclass[ProductId],0))="Não","Não conforme em 2030","Isento até 2035")),IF(B758="EU-ENV-003",IF(INDEX(tbl_recyclass[Conforme_Art7_2030],MATCH(A758,tbl_recyclass[ProductId],0))="Sim","Conforme (meta 2030)",IF(INDEX(tbl_recyclass[Conforme_Art7_2030],MATCH(A758,tbl_recyclass[ProductId],0))="Não","Lacuna face à meta 2030","Isento")),IF(B758="EU-ENV-011",IF(INDEX(tbl_familias_ppwr[Metais_Pesados_Evidencia],MATCH(INDEX(tbl_recyclass[Familia_PPWR],MATCH(A758,tbl_recyclass[ProductId],0)),tbl_familias_ppwr[ID_Familia],0))="Em falta","Lacuna","Conforme"),IF(B758="EU-ENV-013",IF(INDEX(tbl_familias_ppwr[Declaracao_UE],MATCH(INDEX(tbl_recyclass[Familia_PPWR],MATCH(A758,tbl_recyclass[ProductId],0)),tbl_familias_ppwr[ID_Familia],0))="Sim","Conforme","Lacuna"),G758)))),G758))</f>
        <v>Conforme</v>
      </c>
      <c r="I758" s="33" t="str">
        <f t="shared" si="11"/>
        <v>Conforme</v>
      </c>
      <c r="J758" s="26" t="s">
        <v>1106</v>
      </c>
    </row>
    <row r="759" spans="1:10" ht="16.05" customHeight="1" x14ac:dyDescent="0.3">
      <c r="A759" s="26" t="s">
        <v>695</v>
      </c>
      <c r="B759" s="26" t="s">
        <v>1161</v>
      </c>
      <c r="C759" s="33" t="str">
        <f>IFERROR(INDEX(tbl_requisitos_emb[Tema],MATCH(B759,tbl_requisitos_emb[ID_Req],0)),"")</f>
        <v>Materiais em contacto com alimentos</v>
      </c>
      <c r="D759" s="33" t="str">
        <f>IFERROR(INDEX(tbl_recyclass[Segmento],MATCH(A759,tbl_recyclass[ProductId],0)),"")</f>
        <v>Cosmética e higiene pessoal</v>
      </c>
      <c r="E759" s="26" t="s">
        <v>904</v>
      </c>
      <c r="F759" s="26" t="s">
        <v>1450</v>
      </c>
      <c r="G759" s="26" t="s">
        <v>1143</v>
      </c>
      <c r="H759" s="33" t="str">
        <f>IF(E759="Não","Não aplicável",IFERROR(IF(B759="EU-ENV-002",IF(INDEX(tbl_recyclass[Conforme_PPWR_2030],MATCH(A759,tbl_recyclass[ProductId],0))="Sim","Conforme (autoavaliação)",IF(INDEX(tbl_recyclass[Conforme_PPWR_2030],MATCH(A759,tbl_recyclass[ProductId],0))="Não","Não conforme em 2030","Isento até 2035")),IF(B759="EU-ENV-003",IF(INDEX(tbl_recyclass[Conforme_Art7_2030],MATCH(A759,tbl_recyclass[ProductId],0))="Sim","Conforme (meta 2030)",IF(INDEX(tbl_recyclass[Conforme_Art7_2030],MATCH(A759,tbl_recyclass[ProductId],0))="Não","Lacuna face à meta 2030","Isento")),IF(B759="EU-ENV-011",IF(INDEX(tbl_familias_ppwr[Metais_Pesados_Evidencia],MATCH(INDEX(tbl_recyclass[Familia_PPWR],MATCH(A759,tbl_recyclass[ProductId],0)),tbl_familias_ppwr[ID_Familia],0))="Em falta","Lacuna","Conforme"),IF(B759="EU-ENV-013",IF(INDEX(tbl_familias_ppwr[Declaracao_UE],MATCH(INDEX(tbl_recyclass[Familia_PPWR],MATCH(A759,tbl_recyclass[ProductId],0)),tbl_familias_ppwr[ID_Familia],0))="Sim","Conforme","Lacuna"),G759)))),G759))</f>
        <v>Não aplicável</v>
      </c>
      <c r="I759" s="33" t="str">
        <f t="shared" si="11"/>
        <v>Não aplicável</v>
      </c>
      <c r="J759" s="26"/>
    </row>
    <row r="760" spans="1:10" ht="16.05" customHeight="1" x14ac:dyDescent="0.3">
      <c r="A760" s="26" t="s">
        <v>695</v>
      </c>
      <c r="B760" s="26" t="s">
        <v>1170</v>
      </c>
      <c r="C760" s="33" t="str">
        <f>IFERROR(INDEX(tbl_requisitos_emb[Tema],MATCH(B760,tbl_requisitos_emb[ID_Req],0)),"")</f>
        <v>Boas práticas de fabrico FCM</v>
      </c>
      <c r="D760" s="33" t="str">
        <f>IFERROR(INDEX(tbl_recyclass[Segmento],MATCH(A760,tbl_recyclass[ProductId],0)),"")</f>
        <v>Cosmética e higiene pessoal</v>
      </c>
      <c r="E760" s="26" t="s">
        <v>904</v>
      </c>
      <c r="F760" s="26" t="s">
        <v>1450</v>
      </c>
      <c r="G760" s="26" t="s">
        <v>1143</v>
      </c>
      <c r="H760" s="33" t="str">
        <f>IF(E760="Não","Não aplicável",IFERROR(IF(B760="EU-ENV-002",IF(INDEX(tbl_recyclass[Conforme_PPWR_2030],MATCH(A760,tbl_recyclass[ProductId],0))="Sim","Conforme (autoavaliação)",IF(INDEX(tbl_recyclass[Conforme_PPWR_2030],MATCH(A760,tbl_recyclass[ProductId],0))="Não","Não conforme em 2030","Isento até 2035")),IF(B760="EU-ENV-003",IF(INDEX(tbl_recyclass[Conforme_Art7_2030],MATCH(A760,tbl_recyclass[ProductId],0))="Sim","Conforme (meta 2030)",IF(INDEX(tbl_recyclass[Conforme_Art7_2030],MATCH(A760,tbl_recyclass[ProductId],0))="Não","Lacuna face à meta 2030","Isento")),IF(B760="EU-ENV-011",IF(INDEX(tbl_familias_ppwr[Metais_Pesados_Evidencia],MATCH(INDEX(tbl_recyclass[Familia_PPWR],MATCH(A760,tbl_recyclass[ProductId],0)),tbl_familias_ppwr[ID_Familia],0))="Em falta","Lacuna","Conforme"),IF(B760="EU-ENV-013",IF(INDEX(tbl_familias_ppwr[Declaracao_UE],MATCH(INDEX(tbl_recyclass[Familia_PPWR],MATCH(A760,tbl_recyclass[ProductId],0)),tbl_familias_ppwr[ID_Familia],0))="Sim","Conforme","Lacuna"),G760)))),G760))</f>
        <v>Não aplicável</v>
      </c>
      <c r="I760" s="33" t="str">
        <f t="shared" si="11"/>
        <v>Não aplicável</v>
      </c>
      <c r="J760" s="26"/>
    </row>
    <row r="761" spans="1:10" ht="16.05" customHeight="1" x14ac:dyDescent="0.3">
      <c r="A761" s="26" t="s">
        <v>695</v>
      </c>
      <c r="B761" s="26" t="s">
        <v>1179</v>
      </c>
      <c r="C761" s="33" t="str">
        <f>IFERROR(INDEX(tbl_requisitos_emb[Tema],MATCH(B761,tbl_requisitos_emb[ID_Req],0)),"")</f>
        <v>Bisfenol A e bisfenóis perigosos</v>
      </c>
      <c r="D761" s="33" t="str">
        <f>IFERROR(INDEX(tbl_recyclass[Segmento],MATCH(A761,tbl_recyclass[ProductId],0)),"")</f>
        <v>Cosmética e higiene pessoal</v>
      </c>
      <c r="E761" s="26" t="s">
        <v>904</v>
      </c>
      <c r="F761" s="26" t="s">
        <v>1450</v>
      </c>
      <c r="G761" s="26" t="s">
        <v>1143</v>
      </c>
      <c r="H761" s="33" t="str">
        <f>IF(E761="Não","Não aplicável",IFERROR(IF(B761="EU-ENV-002",IF(INDEX(tbl_recyclass[Conforme_PPWR_2030],MATCH(A761,tbl_recyclass[ProductId],0))="Sim","Conforme (autoavaliação)",IF(INDEX(tbl_recyclass[Conforme_PPWR_2030],MATCH(A761,tbl_recyclass[ProductId],0))="Não","Não conforme em 2030","Isento até 2035")),IF(B761="EU-ENV-003",IF(INDEX(tbl_recyclass[Conforme_Art7_2030],MATCH(A761,tbl_recyclass[ProductId],0))="Sim","Conforme (meta 2030)",IF(INDEX(tbl_recyclass[Conforme_Art7_2030],MATCH(A761,tbl_recyclass[ProductId],0))="Não","Lacuna face à meta 2030","Isento")),IF(B761="EU-ENV-011",IF(INDEX(tbl_familias_ppwr[Metais_Pesados_Evidencia],MATCH(INDEX(tbl_recyclass[Familia_PPWR],MATCH(A761,tbl_recyclass[ProductId],0)),tbl_familias_ppwr[ID_Familia],0))="Em falta","Lacuna","Conforme"),IF(B761="EU-ENV-013",IF(INDEX(tbl_familias_ppwr[Declaracao_UE],MATCH(INDEX(tbl_recyclass[Familia_PPWR],MATCH(A761,tbl_recyclass[ProductId],0)),tbl_familias_ppwr[ID_Familia],0))="Sim","Conforme","Lacuna"),G761)))),G761))</f>
        <v>Não aplicável</v>
      </c>
      <c r="I761" s="33" t="str">
        <f t="shared" si="11"/>
        <v>Não aplicável</v>
      </c>
      <c r="J761" s="26"/>
    </row>
    <row r="762" spans="1:10" ht="16.05" customHeight="1" x14ac:dyDescent="0.3">
      <c r="A762" s="26" t="s">
        <v>695</v>
      </c>
      <c r="B762" s="26" t="s">
        <v>1188</v>
      </c>
      <c r="C762" s="33" t="str">
        <f>IFERROR(INDEX(tbl_requisitos_emb[Tema],MATCH(B762,tbl_requisitos_emb[ID_Req],0)),"")</f>
        <v>Plásticos em contacto com alimentos</v>
      </c>
      <c r="D762" s="33" t="str">
        <f>IFERROR(INDEX(tbl_recyclass[Segmento],MATCH(A762,tbl_recyclass[ProductId],0)),"")</f>
        <v>Cosmética e higiene pessoal</v>
      </c>
      <c r="E762" s="26" t="s">
        <v>904</v>
      </c>
      <c r="F762" s="26" t="s">
        <v>1450</v>
      </c>
      <c r="G762" s="26" t="s">
        <v>1143</v>
      </c>
      <c r="H762" s="33" t="str">
        <f>IF(E762="Não","Não aplicável",IFERROR(IF(B762="EU-ENV-002",IF(INDEX(tbl_recyclass[Conforme_PPWR_2030],MATCH(A762,tbl_recyclass[ProductId],0))="Sim","Conforme (autoavaliação)",IF(INDEX(tbl_recyclass[Conforme_PPWR_2030],MATCH(A762,tbl_recyclass[ProductId],0))="Não","Não conforme em 2030","Isento até 2035")),IF(B762="EU-ENV-003",IF(INDEX(tbl_recyclass[Conforme_Art7_2030],MATCH(A762,tbl_recyclass[ProductId],0))="Sim","Conforme (meta 2030)",IF(INDEX(tbl_recyclass[Conforme_Art7_2030],MATCH(A762,tbl_recyclass[ProductId],0))="Não","Lacuna face à meta 2030","Isento")),IF(B762="EU-ENV-011",IF(INDEX(tbl_familias_ppwr[Metais_Pesados_Evidencia],MATCH(INDEX(tbl_recyclass[Familia_PPWR],MATCH(A762,tbl_recyclass[ProductId],0)),tbl_familias_ppwr[ID_Familia],0))="Em falta","Lacuna","Conforme"),IF(B762="EU-ENV-013",IF(INDEX(tbl_familias_ppwr[Declaracao_UE],MATCH(INDEX(tbl_recyclass[Familia_PPWR],MATCH(A762,tbl_recyclass[ProductId],0)),tbl_familias_ppwr[ID_Familia],0))="Sim","Conforme","Lacuna"),G762)))),G762))</f>
        <v>Não aplicável</v>
      </c>
      <c r="I762" s="33" t="str">
        <f t="shared" si="11"/>
        <v>Não aplicável</v>
      </c>
      <c r="J762" s="26"/>
    </row>
    <row r="763" spans="1:10" ht="16.05" customHeight="1" x14ac:dyDescent="0.3">
      <c r="A763" s="26" t="s">
        <v>695</v>
      </c>
      <c r="B763" s="26" t="s">
        <v>1212</v>
      </c>
      <c r="C763" s="33" t="str">
        <f>IFERROR(INDEX(tbl_requisitos_emb[Tema],MATCH(B763,tbl_requisitos_emb[ID_Req],0)),"")</f>
        <v>Segurança do produto cosmético</v>
      </c>
      <c r="D763" s="33" t="str">
        <f>IFERROR(INDEX(tbl_recyclass[Segmento],MATCH(A763,tbl_recyclass[ProductId],0)),"")</f>
        <v>Cosmética e higiene pessoal</v>
      </c>
      <c r="E763" s="26" t="s">
        <v>901</v>
      </c>
      <c r="F763" s="26" t="s">
        <v>1449</v>
      </c>
      <c r="G763" s="26" t="s">
        <v>1033</v>
      </c>
      <c r="H763" s="33" t="str">
        <f>IF(E763="Não","Não aplicável",IFERROR(IF(B763="EU-ENV-002",IF(INDEX(tbl_recyclass[Conforme_PPWR_2030],MATCH(A763,tbl_recyclass[ProductId],0))="Sim","Conforme (autoavaliação)",IF(INDEX(tbl_recyclass[Conforme_PPWR_2030],MATCH(A763,tbl_recyclass[ProductId],0))="Não","Não conforme em 2030","Isento até 2035")),IF(B763="EU-ENV-003",IF(INDEX(tbl_recyclass[Conforme_Art7_2030],MATCH(A763,tbl_recyclass[ProductId],0))="Sim","Conforme (meta 2030)",IF(INDEX(tbl_recyclass[Conforme_Art7_2030],MATCH(A763,tbl_recyclass[ProductId],0))="Não","Lacuna face à meta 2030","Isento")),IF(B763="EU-ENV-011",IF(INDEX(tbl_familias_ppwr[Metais_Pesados_Evidencia],MATCH(INDEX(tbl_recyclass[Familia_PPWR],MATCH(A763,tbl_recyclass[ProductId],0)),tbl_familias_ppwr[ID_Familia],0))="Em falta","Lacuna","Conforme"),IF(B763="EU-ENV-013",IF(INDEX(tbl_familias_ppwr[Declaracao_UE],MATCH(INDEX(tbl_recyclass[Familia_PPWR],MATCH(A763,tbl_recyclass[ProductId],0)),tbl_familias_ppwr[ID_Familia],0))="Sim","Conforme","Lacuna"),G763)))),G763))</f>
        <v>Conforme</v>
      </c>
      <c r="I763" s="33" t="str">
        <f t="shared" si="11"/>
        <v>Conforme</v>
      </c>
      <c r="J763" s="26" t="s">
        <v>1221</v>
      </c>
    </row>
    <row r="764" spans="1:10" ht="16.05" customHeight="1" x14ac:dyDescent="0.3">
      <c r="A764" s="26" t="s">
        <v>695</v>
      </c>
      <c r="B764" s="26" t="s">
        <v>1224</v>
      </c>
      <c r="C764" s="33" t="str">
        <f>IFERROR(INDEX(tbl_requisitos_emb[Tema],MATCH(B764,tbl_requisitos_emb[ID_Req],0)),"")</f>
        <v>Materiais e impurezas</v>
      </c>
      <c r="D764" s="33" t="str">
        <f>IFERROR(INDEX(tbl_recyclass[Segmento],MATCH(A764,tbl_recyclass[ProductId],0)),"")</f>
        <v>Cosmética e higiene pessoal</v>
      </c>
      <c r="E764" s="26" t="s">
        <v>901</v>
      </c>
      <c r="F764" s="26" t="s">
        <v>1449</v>
      </c>
      <c r="G764" s="26" t="s">
        <v>978</v>
      </c>
      <c r="H764" s="33" t="str">
        <f>IF(E764="Não","Não aplicável",IFERROR(IF(B764="EU-ENV-002",IF(INDEX(tbl_recyclass[Conforme_PPWR_2030],MATCH(A764,tbl_recyclass[ProductId],0))="Sim","Conforme (autoavaliação)",IF(INDEX(tbl_recyclass[Conforme_PPWR_2030],MATCH(A764,tbl_recyclass[ProductId],0))="Não","Não conforme em 2030","Isento até 2035")),IF(B764="EU-ENV-003",IF(INDEX(tbl_recyclass[Conforme_Art7_2030],MATCH(A764,tbl_recyclass[ProductId],0))="Sim","Conforme (meta 2030)",IF(INDEX(tbl_recyclass[Conforme_Art7_2030],MATCH(A764,tbl_recyclass[ProductId],0))="Não","Lacuna face à meta 2030","Isento")),IF(B764="EU-ENV-011",IF(INDEX(tbl_familias_ppwr[Metais_Pesados_Evidencia],MATCH(INDEX(tbl_recyclass[Familia_PPWR],MATCH(A764,tbl_recyclass[ProductId],0)),tbl_familias_ppwr[ID_Familia],0))="Em falta","Lacuna","Conforme"),IF(B764="EU-ENV-013",IF(INDEX(tbl_familias_ppwr[Declaracao_UE],MATCH(INDEX(tbl_recyclass[Familia_PPWR],MATCH(A764,tbl_recyclass[ProductId],0)),tbl_familias_ppwr[ID_Familia],0))="Sim","Conforme","Lacuna"),G764)))),G764))</f>
        <v>Parcial</v>
      </c>
      <c r="I764" s="33" t="str">
        <f t="shared" si="11"/>
        <v>Parcial</v>
      </c>
      <c r="J764" s="26" t="s">
        <v>1228</v>
      </c>
    </row>
    <row r="765" spans="1:10" ht="16.05" customHeight="1" x14ac:dyDescent="0.3">
      <c r="A765" s="26" t="s">
        <v>695</v>
      </c>
      <c r="B765" s="26" t="s">
        <v>1240</v>
      </c>
      <c r="C765" s="33" t="str">
        <f>IFERROR(INDEX(tbl_requisitos_emb[Tema],MATCH(B765,tbl_requisitos_emb[ID_Req],0)),"")</f>
        <v>Compatibilidade embalagem–produto</v>
      </c>
      <c r="D765" s="33" t="str">
        <f>IFERROR(INDEX(tbl_recyclass[Segmento],MATCH(A765,tbl_recyclass[ProductId],0)),"")</f>
        <v>Cosmética e higiene pessoal</v>
      </c>
      <c r="E765" s="26" t="s">
        <v>901</v>
      </c>
      <c r="F765" s="26" t="s">
        <v>1449</v>
      </c>
      <c r="G765" s="26" t="s">
        <v>1033</v>
      </c>
      <c r="H765" s="33" t="str">
        <f>IF(E765="Não","Não aplicável",IFERROR(IF(B765="EU-ENV-002",IF(INDEX(tbl_recyclass[Conforme_PPWR_2030],MATCH(A765,tbl_recyclass[ProductId],0))="Sim","Conforme (autoavaliação)",IF(INDEX(tbl_recyclass[Conforme_PPWR_2030],MATCH(A765,tbl_recyclass[ProductId],0))="Não","Não conforme em 2030","Isento até 2035")),IF(B765="EU-ENV-003",IF(INDEX(tbl_recyclass[Conforme_Art7_2030],MATCH(A765,tbl_recyclass[ProductId],0))="Sim","Conforme (meta 2030)",IF(INDEX(tbl_recyclass[Conforme_Art7_2030],MATCH(A765,tbl_recyclass[ProductId],0))="Não","Lacuna face à meta 2030","Isento")),IF(B765="EU-ENV-011",IF(INDEX(tbl_familias_ppwr[Metais_Pesados_Evidencia],MATCH(INDEX(tbl_recyclass[Familia_PPWR],MATCH(A765,tbl_recyclass[ProductId],0)),tbl_familias_ppwr[ID_Familia],0))="Em falta","Lacuna","Conforme"),IF(B765="EU-ENV-013",IF(INDEX(tbl_familias_ppwr[Declaracao_UE],MATCH(INDEX(tbl_recyclass[Familia_PPWR],MATCH(A765,tbl_recyclass[ProductId],0)),tbl_familias_ppwr[ID_Familia],0))="Sim","Conforme","Lacuna"),G765)))),G765))</f>
        <v>Conforme</v>
      </c>
      <c r="I765" s="33" t="str">
        <f t="shared" si="11"/>
        <v>Conforme</v>
      </c>
      <c r="J765" s="26" t="s">
        <v>1244</v>
      </c>
    </row>
    <row r="766" spans="1:10" ht="16.05" customHeight="1" x14ac:dyDescent="0.3">
      <c r="A766" s="26" t="s">
        <v>695</v>
      </c>
      <c r="B766" s="26" t="s">
        <v>1252</v>
      </c>
      <c r="C766" s="33" t="str">
        <f>IFERROR(INDEX(tbl_requisitos_emb[Tema],MATCH(B766,tbl_requisitos_emb[ID_Req],0)),"")</f>
        <v>Medicamentos de uso humano</v>
      </c>
      <c r="D766" s="33" t="str">
        <f>IFERROR(INDEX(tbl_recyclass[Segmento],MATCH(A766,tbl_recyclass[ProductId],0)),"")</f>
        <v>Cosmética e higiene pessoal</v>
      </c>
      <c r="E766" s="26" t="s">
        <v>904</v>
      </c>
      <c r="F766" s="26" t="s">
        <v>1451</v>
      </c>
      <c r="G766" s="26" t="s">
        <v>1143</v>
      </c>
      <c r="H766" s="33" t="str">
        <f>IF(E766="Não","Não aplicável",IFERROR(IF(B766="EU-ENV-002",IF(INDEX(tbl_recyclass[Conforme_PPWR_2030],MATCH(A766,tbl_recyclass[ProductId],0))="Sim","Conforme (autoavaliação)",IF(INDEX(tbl_recyclass[Conforme_PPWR_2030],MATCH(A766,tbl_recyclass[ProductId],0))="Não","Não conforme em 2030","Isento até 2035")),IF(B766="EU-ENV-003",IF(INDEX(tbl_recyclass[Conforme_Art7_2030],MATCH(A766,tbl_recyclass[ProductId],0))="Sim","Conforme (meta 2030)",IF(INDEX(tbl_recyclass[Conforme_Art7_2030],MATCH(A766,tbl_recyclass[ProductId],0))="Não","Lacuna face à meta 2030","Isento")),IF(B766="EU-ENV-011",IF(INDEX(tbl_familias_ppwr[Metais_Pesados_Evidencia],MATCH(INDEX(tbl_recyclass[Familia_PPWR],MATCH(A766,tbl_recyclass[ProductId],0)),tbl_familias_ppwr[ID_Familia],0))="Em falta","Lacuna","Conforme"),IF(B766="EU-ENV-013",IF(INDEX(tbl_familias_ppwr[Declaracao_UE],MATCH(INDEX(tbl_recyclass[Familia_PPWR],MATCH(A766,tbl_recyclass[ProductId],0)),tbl_familias_ppwr[ID_Familia],0))="Sim","Conforme","Lacuna"),G766)))),G766))</f>
        <v>Não aplicável</v>
      </c>
      <c r="I766" s="33" t="str">
        <f t="shared" si="11"/>
        <v>Não aplicável</v>
      </c>
      <c r="J766" s="26"/>
    </row>
    <row r="767" spans="1:10" ht="16.05" customHeight="1" x14ac:dyDescent="0.3">
      <c r="A767" s="26" t="s">
        <v>695</v>
      </c>
      <c r="B767" s="26" t="s">
        <v>1268</v>
      </c>
      <c r="C767" s="33" t="str">
        <f>IFERROR(INDEX(tbl_requisitos_emb[Tema],MATCH(B767,tbl_requisitos_emb[ID_Req],0)),"")</f>
        <v>Dispositivos de segurança</v>
      </c>
      <c r="D767" s="33" t="str">
        <f>IFERROR(INDEX(tbl_recyclass[Segmento],MATCH(A767,tbl_recyclass[ProductId],0)),"")</f>
        <v>Cosmética e higiene pessoal</v>
      </c>
      <c r="E767" s="26" t="s">
        <v>904</v>
      </c>
      <c r="F767" s="26" t="s">
        <v>1451</v>
      </c>
      <c r="G767" s="26" t="s">
        <v>1143</v>
      </c>
      <c r="H767" s="33" t="str">
        <f>IF(E767="Não","Não aplicável",IFERROR(IF(B767="EU-ENV-002",IF(INDEX(tbl_recyclass[Conforme_PPWR_2030],MATCH(A767,tbl_recyclass[ProductId],0))="Sim","Conforme (autoavaliação)",IF(INDEX(tbl_recyclass[Conforme_PPWR_2030],MATCH(A767,tbl_recyclass[ProductId],0))="Não","Não conforme em 2030","Isento até 2035")),IF(B767="EU-ENV-003",IF(INDEX(tbl_recyclass[Conforme_Art7_2030],MATCH(A767,tbl_recyclass[ProductId],0))="Sim","Conforme (meta 2030)",IF(INDEX(tbl_recyclass[Conforme_Art7_2030],MATCH(A767,tbl_recyclass[ProductId],0))="Não","Lacuna face à meta 2030","Isento")),IF(B767="EU-ENV-011",IF(INDEX(tbl_familias_ppwr[Metais_Pesados_Evidencia],MATCH(INDEX(tbl_recyclass[Familia_PPWR],MATCH(A767,tbl_recyclass[ProductId],0)),tbl_familias_ppwr[ID_Familia],0))="Em falta","Lacuna","Conforme"),IF(B767="EU-ENV-013",IF(INDEX(tbl_familias_ppwr[Declaracao_UE],MATCH(INDEX(tbl_recyclass[Familia_PPWR],MATCH(A767,tbl_recyclass[ProductId],0)),tbl_familias_ppwr[ID_Familia],0))="Sim","Conforme","Lacuna"),G767)))),G767))</f>
        <v>Não aplicável</v>
      </c>
      <c r="I767" s="33" t="str">
        <f t="shared" si="11"/>
        <v>Não aplicável</v>
      </c>
      <c r="J767" s="26"/>
    </row>
    <row r="768" spans="1:10" ht="16.05" customHeight="1" x14ac:dyDescent="0.3">
      <c r="A768" s="26" t="s">
        <v>695</v>
      </c>
      <c r="B768" s="26" t="s">
        <v>1285</v>
      </c>
      <c r="C768" s="33" t="str">
        <f>IFERROR(INDEX(tbl_requisitos_emb[Tema],MATCH(B768,tbl_requisitos_emb[ID_Req],0)),"")</f>
        <v>Materiais plásticos de acondicionamento primário</v>
      </c>
      <c r="D768" s="33" t="str">
        <f>IFERROR(INDEX(tbl_recyclass[Segmento],MATCH(A768,tbl_recyclass[ProductId],0)),"")</f>
        <v>Cosmética e higiene pessoal</v>
      </c>
      <c r="E768" s="26" t="s">
        <v>904</v>
      </c>
      <c r="F768" s="26" t="s">
        <v>1451</v>
      </c>
      <c r="G768" s="26" t="s">
        <v>1143</v>
      </c>
      <c r="H768" s="33" t="str">
        <f>IF(E768="Não","Não aplicável",IFERROR(IF(B768="EU-ENV-002",IF(INDEX(tbl_recyclass[Conforme_PPWR_2030],MATCH(A768,tbl_recyclass[ProductId],0))="Sim","Conforme (autoavaliação)",IF(INDEX(tbl_recyclass[Conforme_PPWR_2030],MATCH(A768,tbl_recyclass[ProductId],0))="Não","Não conforme em 2030","Isento até 2035")),IF(B768="EU-ENV-003",IF(INDEX(tbl_recyclass[Conforme_Art7_2030],MATCH(A768,tbl_recyclass[ProductId],0))="Sim","Conforme (meta 2030)",IF(INDEX(tbl_recyclass[Conforme_Art7_2030],MATCH(A768,tbl_recyclass[ProductId],0))="Não","Lacuna face à meta 2030","Isento")),IF(B768="EU-ENV-011",IF(INDEX(tbl_familias_ppwr[Metais_Pesados_Evidencia],MATCH(INDEX(tbl_recyclass[Familia_PPWR],MATCH(A768,tbl_recyclass[ProductId],0)),tbl_familias_ppwr[ID_Familia],0))="Em falta","Lacuna","Conforme"),IF(B768="EU-ENV-013",IF(INDEX(tbl_familias_ppwr[Declaracao_UE],MATCH(INDEX(tbl_recyclass[Familia_PPWR],MATCH(A768,tbl_recyclass[ProductId],0)),tbl_familias_ppwr[ID_Familia],0))="Sim","Conforme","Lacuna"),G768)))),G768))</f>
        <v>Não aplicável</v>
      </c>
      <c r="I768" s="33" t="str">
        <f t="shared" si="11"/>
        <v>Não aplicável</v>
      </c>
      <c r="J768" s="26"/>
    </row>
    <row r="769" spans="1:10" ht="16.05" customHeight="1" x14ac:dyDescent="0.3">
      <c r="A769" s="26" t="s">
        <v>695</v>
      </c>
      <c r="B769" s="26" t="s">
        <v>1293</v>
      </c>
      <c r="C769" s="33" t="str">
        <f>IFERROR(INDEX(tbl_requisitos_emb[Tema],MATCH(B769,tbl_requisitos_emb[ID_Req],0)),"")</f>
        <v>Isenções PPWR</v>
      </c>
      <c r="D769" s="33" t="str">
        <f>IFERROR(INDEX(tbl_recyclass[Segmento],MATCH(A769,tbl_recyclass[ProductId],0)),"")</f>
        <v>Cosmética e higiene pessoal</v>
      </c>
      <c r="E769" s="26" t="s">
        <v>904</v>
      </c>
      <c r="F769" s="26" t="s">
        <v>1451</v>
      </c>
      <c r="G769" s="26" t="s">
        <v>1143</v>
      </c>
      <c r="H769" s="33" t="str">
        <f>IF(E769="Não","Não aplicável",IFERROR(IF(B769="EU-ENV-002",IF(INDEX(tbl_recyclass[Conforme_PPWR_2030],MATCH(A769,tbl_recyclass[ProductId],0))="Sim","Conforme (autoavaliação)",IF(INDEX(tbl_recyclass[Conforme_PPWR_2030],MATCH(A769,tbl_recyclass[ProductId],0))="Não","Não conforme em 2030","Isento até 2035")),IF(B769="EU-ENV-003",IF(INDEX(tbl_recyclass[Conforme_Art7_2030],MATCH(A769,tbl_recyclass[ProductId],0))="Sim","Conforme (meta 2030)",IF(INDEX(tbl_recyclass[Conforme_Art7_2030],MATCH(A769,tbl_recyclass[ProductId],0))="Não","Lacuna face à meta 2030","Isento")),IF(B769="EU-ENV-011",IF(INDEX(tbl_familias_ppwr[Metais_Pesados_Evidencia],MATCH(INDEX(tbl_recyclass[Familia_PPWR],MATCH(A769,tbl_recyclass[ProductId],0)),tbl_familias_ppwr[ID_Familia],0))="Em falta","Lacuna","Conforme"),IF(B769="EU-ENV-013",IF(INDEX(tbl_familias_ppwr[Declaracao_UE],MATCH(INDEX(tbl_recyclass[Familia_PPWR],MATCH(A769,tbl_recyclass[ProductId],0)),tbl_familias_ppwr[ID_Familia],0))="Sim","Conforme","Lacuna"),G769)))),G769))</f>
        <v>Não aplicável</v>
      </c>
      <c r="I769" s="33" t="str">
        <f t="shared" si="11"/>
        <v>Não aplicável</v>
      </c>
      <c r="J769" s="26"/>
    </row>
    <row r="770" spans="1:10" ht="16.05" customHeight="1" x14ac:dyDescent="0.3">
      <c r="A770" s="26" t="s">
        <v>695</v>
      </c>
      <c r="B770" s="26" t="s">
        <v>1357</v>
      </c>
      <c r="C770" s="33" t="str">
        <f>IFERROR(INDEX(tbl_requisitos_emb[Tema],MATCH(B770,tbl_requisitos_emb[ID_Req],0)),"")</f>
        <v>Identificação de plásticos</v>
      </c>
      <c r="D770" s="33" t="str">
        <f>IFERROR(INDEX(tbl_recyclass[Segmento],MATCH(A770,tbl_recyclass[ProductId],0)),"")</f>
        <v>Cosmética e higiene pessoal</v>
      </c>
      <c r="E770" s="26" t="s">
        <v>901</v>
      </c>
      <c r="F770" s="26" t="s">
        <v>1449</v>
      </c>
      <c r="G770" s="26" t="s">
        <v>978</v>
      </c>
      <c r="H770" s="33" t="str">
        <f>IF(E770="Não","Não aplicável",IFERROR(IF(B770="EU-ENV-002",IF(INDEX(tbl_recyclass[Conforme_PPWR_2030],MATCH(A770,tbl_recyclass[ProductId],0))="Sim","Conforme (autoavaliação)",IF(INDEX(tbl_recyclass[Conforme_PPWR_2030],MATCH(A770,tbl_recyclass[ProductId],0))="Não","Não conforme em 2030","Isento até 2035")),IF(B770="EU-ENV-003",IF(INDEX(tbl_recyclass[Conforme_Art7_2030],MATCH(A770,tbl_recyclass[ProductId],0))="Sim","Conforme (meta 2030)",IF(INDEX(tbl_recyclass[Conforme_Art7_2030],MATCH(A770,tbl_recyclass[ProductId],0))="Não","Lacuna face à meta 2030","Isento")),IF(B770="EU-ENV-011",IF(INDEX(tbl_familias_ppwr[Metais_Pesados_Evidencia],MATCH(INDEX(tbl_recyclass[Familia_PPWR],MATCH(A770,tbl_recyclass[ProductId],0)),tbl_familias_ppwr[ID_Familia],0))="Em falta","Lacuna","Conforme"),IF(B770="EU-ENV-013",IF(INDEX(tbl_familias_ppwr[Declaracao_UE],MATCH(INDEX(tbl_recyclass[Familia_PPWR],MATCH(A770,tbl_recyclass[ProductId],0)),tbl_familias_ppwr[ID_Familia],0))="Sim","Conforme","Lacuna"),G770)))),G770))</f>
        <v>Parcial</v>
      </c>
      <c r="I770" s="33" t="str">
        <f t="shared" ref="I770:I833" si="12">IF(ISNUMBER(SEARCH("Não aplicável",H770)),"Não aplicável",IF(ISNUMBER(SEARCH("Isento",H770)),"Isento",IF(ISNUMBER(SEARCH("Não conforme",H770)),"Não conforme",IF(ISNUMBER(SEARCH("Lacuna",H770)),"Lacuna",IF(ISNUMBER(SEARCH("Conforme",H770)),"Conforme",H770)))))</f>
        <v>Parcial</v>
      </c>
      <c r="J770" s="26" t="s">
        <v>1362</v>
      </c>
    </row>
    <row r="771" spans="1:10" ht="16.05" customHeight="1" x14ac:dyDescent="0.3">
      <c r="A771" s="26" t="s">
        <v>695</v>
      </c>
      <c r="B771" s="26" t="s">
        <v>1385</v>
      </c>
      <c r="C771" s="33" t="str">
        <f>IFERROR(INDEX(tbl_requisitos_emb[Tema],MATCH(B771,tbl_requisitos_emb[ID_Req],0)),"")</f>
        <v>Reciclabilidade (voluntária)</v>
      </c>
      <c r="D771" s="33" t="str">
        <f>IFERROR(INDEX(tbl_recyclass[Segmento],MATCH(A771,tbl_recyclass[ProductId],0)),"")</f>
        <v>Cosmética e higiene pessoal</v>
      </c>
      <c r="E771" s="26" t="s">
        <v>901</v>
      </c>
      <c r="F771" s="26" t="s">
        <v>1449</v>
      </c>
      <c r="G771" s="26" t="s">
        <v>978</v>
      </c>
      <c r="H771" s="33" t="str">
        <f>IF(E771="Não","Não aplicável",IFERROR(IF(B771="EU-ENV-002",IF(INDEX(tbl_recyclass[Conforme_PPWR_2030],MATCH(A771,tbl_recyclass[ProductId],0))="Sim","Conforme (autoavaliação)",IF(INDEX(tbl_recyclass[Conforme_PPWR_2030],MATCH(A771,tbl_recyclass[ProductId],0))="Não","Não conforme em 2030","Isento até 2035")),IF(B771="EU-ENV-003",IF(INDEX(tbl_recyclass[Conforme_Art7_2030],MATCH(A771,tbl_recyclass[ProductId],0))="Sim","Conforme (meta 2030)",IF(INDEX(tbl_recyclass[Conforme_Art7_2030],MATCH(A771,tbl_recyclass[ProductId],0))="Não","Lacuna face à meta 2030","Isento")),IF(B771="EU-ENV-011",IF(INDEX(tbl_familias_ppwr[Metais_Pesados_Evidencia],MATCH(INDEX(tbl_recyclass[Familia_PPWR],MATCH(A771,tbl_recyclass[ProductId],0)),tbl_familias_ppwr[ID_Familia],0))="Em falta","Lacuna","Conforme"),IF(B771="EU-ENV-013",IF(INDEX(tbl_familias_ppwr[Declaracao_UE],MATCH(INDEX(tbl_recyclass[Familia_PPWR],MATCH(A771,tbl_recyclass[ProductId],0)),tbl_familias_ppwr[ID_Familia],0))="Sim","Conforme","Lacuna"),G771)))),G771))</f>
        <v>Parcial</v>
      </c>
      <c r="I771" s="33" t="str">
        <f t="shared" si="12"/>
        <v>Parcial</v>
      </c>
      <c r="J771" s="26" t="s">
        <v>1389</v>
      </c>
    </row>
    <row r="772" spans="1:10" ht="16.05" customHeight="1" x14ac:dyDescent="0.3">
      <c r="A772" s="26" t="s">
        <v>701</v>
      </c>
      <c r="B772" s="26" t="s">
        <v>984</v>
      </c>
      <c r="C772" s="33" t="str">
        <f>IFERROR(INDEX(tbl_requisitos_emb[Tema],MATCH(B772,tbl_requisitos_emb[ID_Req],0)),"")</f>
        <v>Conceção para reciclagem</v>
      </c>
      <c r="D772" s="33" t="str">
        <f>IFERROR(INDEX(tbl_recyclass[Segmento],MATCH(A772,tbl_recyclass[ProductId],0)),"")</f>
        <v>Cosmética e higiene pessoal</v>
      </c>
      <c r="E772" s="26" t="s">
        <v>901</v>
      </c>
      <c r="F772" s="26" t="s">
        <v>1449</v>
      </c>
      <c r="G772" s="26" t="s">
        <v>978</v>
      </c>
      <c r="H772" s="33" t="str">
        <f>IF(E772="Não","Não aplicável",IFERROR(IF(B772="EU-ENV-002",IF(INDEX(tbl_recyclass[Conforme_PPWR_2030],MATCH(A772,tbl_recyclass[ProductId],0))="Sim","Conforme (autoavaliação)",IF(INDEX(tbl_recyclass[Conforme_PPWR_2030],MATCH(A772,tbl_recyclass[ProductId],0))="Não","Não conforme em 2030","Isento até 2035")),IF(B772="EU-ENV-003",IF(INDEX(tbl_recyclass[Conforme_Art7_2030],MATCH(A772,tbl_recyclass[ProductId],0))="Sim","Conforme (meta 2030)",IF(INDEX(tbl_recyclass[Conforme_Art7_2030],MATCH(A772,tbl_recyclass[ProductId],0))="Não","Lacuna face à meta 2030","Isento")),IF(B772="EU-ENV-011",IF(INDEX(tbl_familias_ppwr[Metais_Pesados_Evidencia],MATCH(INDEX(tbl_recyclass[Familia_PPWR],MATCH(A772,tbl_recyclass[ProductId],0)),tbl_familias_ppwr[ID_Familia],0))="Em falta","Lacuna","Conforme"),IF(B772="EU-ENV-013",IF(INDEX(tbl_familias_ppwr[Declaracao_UE],MATCH(INDEX(tbl_recyclass[Familia_PPWR],MATCH(A772,tbl_recyclass[ProductId],0)),tbl_familias_ppwr[ID_Familia],0))="Sim","Conforme","Lacuna"),G772)))),G772))</f>
        <v>Conforme (autoavaliação)</v>
      </c>
      <c r="I772" s="33" t="str">
        <f t="shared" si="12"/>
        <v>Conforme</v>
      </c>
      <c r="J772" s="26" t="s">
        <v>991</v>
      </c>
    </row>
    <row r="773" spans="1:10" ht="16.05" customHeight="1" x14ac:dyDescent="0.3">
      <c r="A773" s="26" t="s">
        <v>701</v>
      </c>
      <c r="B773" s="26" t="s">
        <v>997</v>
      </c>
      <c r="C773" s="33" t="str">
        <f>IFERROR(INDEX(tbl_requisitos_emb[Tema],MATCH(B773,tbl_requisitos_emb[ID_Req],0)),"")</f>
        <v>Conteúdo reciclado</v>
      </c>
      <c r="D773" s="33" t="str">
        <f>IFERROR(INDEX(tbl_recyclass[Segmento],MATCH(A773,tbl_recyclass[ProductId],0)),"")</f>
        <v>Cosmética e higiene pessoal</v>
      </c>
      <c r="E773" s="26" t="s">
        <v>901</v>
      </c>
      <c r="F773" s="26" t="s">
        <v>1449</v>
      </c>
      <c r="G773" s="26" t="s">
        <v>978</v>
      </c>
      <c r="H773" s="33" t="str">
        <f>IF(E773="Não","Não aplicável",IFERROR(IF(B773="EU-ENV-002",IF(INDEX(tbl_recyclass[Conforme_PPWR_2030],MATCH(A773,tbl_recyclass[ProductId],0))="Sim","Conforme (autoavaliação)",IF(INDEX(tbl_recyclass[Conforme_PPWR_2030],MATCH(A773,tbl_recyclass[ProductId],0))="Não","Não conforme em 2030","Isento até 2035")),IF(B773="EU-ENV-003",IF(INDEX(tbl_recyclass[Conforme_Art7_2030],MATCH(A773,tbl_recyclass[ProductId],0))="Sim","Conforme (meta 2030)",IF(INDEX(tbl_recyclass[Conforme_Art7_2030],MATCH(A773,tbl_recyclass[ProductId],0))="Não","Lacuna face à meta 2030","Isento")),IF(B773="EU-ENV-011",IF(INDEX(tbl_familias_ppwr[Metais_Pesados_Evidencia],MATCH(INDEX(tbl_recyclass[Familia_PPWR],MATCH(A773,tbl_recyclass[ProductId],0)),tbl_familias_ppwr[ID_Familia],0))="Em falta","Lacuna","Conforme"),IF(B773="EU-ENV-013",IF(INDEX(tbl_familias_ppwr[Declaracao_UE],MATCH(INDEX(tbl_recyclass[Familia_PPWR],MATCH(A773,tbl_recyclass[ProductId],0)),tbl_familias_ppwr[ID_Familia],0))="Sim","Conforme","Lacuna"),G773)))),G773))</f>
        <v>Lacuna face à meta 2030</v>
      </c>
      <c r="I773" s="33" t="str">
        <f t="shared" si="12"/>
        <v>Lacuna</v>
      </c>
      <c r="J773" s="26" t="s">
        <v>1001</v>
      </c>
    </row>
    <row r="774" spans="1:10" ht="16.05" customHeight="1" x14ac:dyDescent="0.3">
      <c r="A774" s="26" t="s">
        <v>701</v>
      </c>
      <c r="B774" s="26" t="s">
        <v>1007</v>
      </c>
      <c r="C774" s="33" t="str">
        <f>IFERROR(INDEX(tbl_requisitos_emb[Tema],MATCH(B774,tbl_requisitos_emb[ID_Req],0)),"")</f>
        <v>Minimização</v>
      </c>
      <c r="D774" s="33" t="str">
        <f>IFERROR(INDEX(tbl_recyclass[Segmento],MATCH(A774,tbl_recyclass[ProductId],0)),"")</f>
        <v>Cosmética e higiene pessoal</v>
      </c>
      <c r="E774" s="26" t="s">
        <v>901</v>
      </c>
      <c r="F774" s="26" t="s">
        <v>1449</v>
      </c>
      <c r="G774" s="26" t="s">
        <v>978</v>
      </c>
      <c r="H774" s="33" t="str">
        <f>IF(E774="Não","Não aplicável",IFERROR(IF(B774="EU-ENV-002",IF(INDEX(tbl_recyclass[Conforme_PPWR_2030],MATCH(A774,tbl_recyclass[ProductId],0))="Sim","Conforme (autoavaliação)",IF(INDEX(tbl_recyclass[Conforme_PPWR_2030],MATCH(A774,tbl_recyclass[ProductId],0))="Não","Não conforme em 2030","Isento até 2035")),IF(B774="EU-ENV-003",IF(INDEX(tbl_recyclass[Conforme_Art7_2030],MATCH(A774,tbl_recyclass[ProductId],0))="Sim","Conforme (meta 2030)",IF(INDEX(tbl_recyclass[Conforme_Art7_2030],MATCH(A774,tbl_recyclass[ProductId],0))="Não","Lacuna face à meta 2030","Isento")),IF(B774="EU-ENV-011",IF(INDEX(tbl_familias_ppwr[Metais_Pesados_Evidencia],MATCH(INDEX(tbl_recyclass[Familia_PPWR],MATCH(A774,tbl_recyclass[ProductId],0)),tbl_familias_ppwr[ID_Familia],0))="Em falta","Lacuna","Conforme"),IF(B774="EU-ENV-013",IF(INDEX(tbl_familias_ppwr[Declaracao_UE],MATCH(INDEX(tbl_recyclass[Familia_PPWR],MATCH(A774,tbl_recyclass[ProductId],0)),tbl_familias_ppwr[ID_Familia],0))="Sim","Conforme","Lacuna"),G774)))),G774))</f>
        <v>Parcial</v>
      </c>
      <c r="I774" s="33" t="str">
        <f t="shared" si="12"/>
        <v>Parcial</v>
      </c>
      <c r="J774" s="26" t="s">
        <v>1012</v>
      </c>
    </row>
    <row r="775" spans="1:10" ht="16.05" customHeight="1" x14ac:dyDescent="0.3">
      <c r="A775" s="26" t="s">
        <v>701</v>
      </c>
      <c r="B775" s="26" t="s">
        <v>1016</v>
      </c>
      <c r="C775" s="33" t="str">
        <f>IFERROR(INDEX(tbl_requisitos_emb[Tema],MATCH(B775,tbl_requisitos_emb[ID_Req],0)),"")</f>
        <v>Rotulagem</v>
      </c>
      <c r="D775" s="33" t="str">
        <f>IFERROR(INDEX(tbl_recyclass[Segmento],MATCH(A775,tbl_recyclass[ProductId],0)),"")</f>
        <v>Cosmética e higiene pessoal</v>
      </c>
      <c r="E775" s="26" t="s">
        <v>901</v>
      </c>
      <c r="F775" s="26" t="s">
        <v>1449</v>
      </c>
      <c r="G775" s="26" t="s">
        <v>990</v>
      </c>
      <c r="H775" s="33" t="str">
        <f>IF(E775="Não","Não aplicável",IFERROR(IF(B775="EU-ENV-002",IF(INDEX(tbl_recyclass[Conforme_PPWR_2030],MATCH(A775,tbl_recyclass[ProductId],0))="Sim","Conforme (autoavaliação)",IF(INDEX(tbl_recyclass[Conforme_PPWR_2030],MATCH(A775,tbl_recyclass[ProductId],0))="Não","Não conforme em 2030","Isento até 2035")),IF(B775="EU-ENV-003",IF(INDEX(tbl_recyclass[Conforme_Art7_2030],MATCH(A775,tbl_recyclass[ProductId],0))="Sim","Conforme (meta 2030)",IF(INDEX(tbl_recyclass[Conforme_Art7_2030],MATCH(A775,tbl_recyclass[ProductId],0))="Não","Lacuna face à meta 2030","Isento")),IF(B775="EU-ENV-011",IF(INDEX(tbl_familias_ppwr[Metais_Pesados_Evidencia],MATCH(INDEX(tbl_recyclass[Familia_PPWR],MATCH(A775,tbl_recyclass[ProductId],0)),tbl_familias_ppwr[ID_Familia],0))="Em falta","Lacuna","Conforme"),IF(B775="EU-ENV-013",IF(INDEX(tbl_familias_ppwr[Declaracao_UE],MATCH(INDEX(tbl_recyclass[Familia_PPWR],MATCH(A775,tbl_recyclass[ProductId],0)),tbl_familias_ppwr[ID_Familia],0))="Sim","Conforme","Lacuna"),G775)))),G775))</f>
        <v>Futuro</v>
      </c>
      <c r="I775" s="33" t="str">
        <f t="shared" si="12"/>
        <v>Futuro</v>
      </c>
      <c r="J775" s="26" t="s">
        <v>1021</v>
      </c>
    </row>
    <row r="776" spans="1:10" ht="16.05" customHeight="1" x14ac:dyDescent="0.3">
      <c r="A776" s="26" t="s">
        <v>701</v>
      </c>
      <c r="B776" s="26" t="s">
        <v>1038</v>
      </c>
      <c r="C776" s="33" t="str">
        <f>IFERROR(INDEX(tbl_requisitos_emb[Tema],MATCH(B776,tbl_requisitos_emb[ID_Req],0)),"")</f>
        <v>Plásticos de utilização única</v>
      </c>
      <c r="D776" s="33" t="str">
        <f>IFERROR(INDEX(tbl_recyclass[Segmento],MATCH(A776,tbl_recyclass[ProductId],0)),"")</f>
        <v>Cosmética e higiene pessoal</v>
      </c>
      <c r="E776" s="26" t="s">
        <v>904</v>
      </c>
      <c r="F776" s="26" t="s">
        <v>1450</v>
      </c>
      <c r="G776" s="26" t="s">
        <v>1143</v>
      </c>
      <c r="H776" s="33" t="str">
        <f>IF(E776="Não","Não aplicável",IFERROR(IF(B776="EU-ENV-002",IF(INDEX(tbl_recyclass[Conforme_PPWR_2030],MATCH(A776,tbl_recyclass[ProductId],0))="Sim","Conforme (autoavaliação)",IF(INDEX(tbl_recyclass[Conforme_PPWR_2030],MATCH(A776,tbl_recyclass[ProductId],0))="Não","Não conforme em 2030","Isento até 2035")),IF(B776="EU-ENV-003",IF(INDEX(tbl_recyclass[Conforme_Art7_2030],MATCH(A776,tbl_recyclass[ProductId],0))="Sim","Conforme (meta 2030)",IF(INDEX(tbl_recyclass[Conforme_Art7_2030],MATCH(A776,tbl_recyclass[ProductId],0))="Não","Lacuna face à meta 2030","Isento")),IF(B776="EU-ENV-011",IF(INDEX(tbl_familias_ppwr[Metais_Pesados_Evidencia],MATCH(INDEX(tbl_recyclass[Familia_PPWR],MATCH(A776,tbl_recyclass[ProductId],0)),tbl_familias_ppwr[ID_Familia],0))="Em falta","Lacuna","Conforme"),IF(B776="EU-ENV-013",IF(INDEX(tbl_familias_ppwr[Declaracao_UE],MATCH(INDEX(tbl_recyclass[Familia_PPWR],MATCH(A776,tbl_recyclass[ProductId],0)),tbl_familias_ppwr[ID_Familia],0))="Sim","Conforme","Lacuna"),G776)))),G776))</f>
        <v>Não aplicável</v>
      </c>
      <c r="I776" s="33" t="str">
        <f t="shared" si="12"/>
        <v>Não aplicável</v>
      </c>
      <c r="J776" s="26"/>
    </row>
    <row r="777" spans="1:10" ht="16.05" customHeight="1" x14ac:dyDescent="0.3">
      <c r="A777" s="26" t="s">
        <v>701</v>
      </c>
      <c r="B777" s="26" t="s">
        <v>1078</v>
      </c>
      <c r="C777" s="33" t="str">
        <f>IFERROR(INDEX(tbl_requisitos_emb[Tema],MATCH(B777,tbl_requisitos_emb[ID_Req],0)),"")</f>
        <v>Reciclado à escala</v>
      </c>
      <c r="D777" s="33" t="str">
        <f>IFERROR(INDEX(tbl_recyclass[Segmento],MATCH(A777,tbl_recyclass[ProductId],0)),"")</f>
        <v>Cosmética e higiene pessoal</v>
      </c>
      <c r="E777" s="26" t="s">
        <v>901</v>
      </c>
      <c r="F777" s="26" t="s">
        <v>1449</v>
      </c>
      <c r="G777" s="26" t="s">
        <v>990</v>
      </c>
      <c r="H777" s="33" t="str">
        <f>IF(E777="Não","Não aplicável",IFERROR(IF(B777="EU-ENV-002",IF(INDEX(tbl_recyclass[Conforme_PPWR_2030],MATCH(A777,tbl_recyclass[ProductId],0))="Sim","Conforme (autoavaliação)",IF(INDEX(tbl_recyclass[Conforme_PPWR_2030],MATCH(A777,tbl_recyclass[ProductId],0))="Não","Não conforme em 2030","Isento até 2035")),IF(B777="EU-ENV-003",IF(INDEX(tbl_recyclass[Conforme_Art7_2030],MATCH(A777,tbl_recyclass[ProductId],0))="Sim","Conforme (meta 2030)",IF(INDEX(tbl_recyclass[Conforme_Art7_2030],MATCH(A777,tbl_recyclass[ProductId],0))="Não","Lacuna face à meta 2030","Isento")),IF(B777="EU-ENV-011",IF(INDEX(tbl_familias_ppwr[Metais_Pesados_Evidencia],MATCH(INDEX(tbl_recyclass[Familia_PPWR],MATCH(A777,tbl_recyclass[ProductId],0)),tbl_familias_ppwr[ID_Familia],0))="Em falta","Lacuna","Conforme"),IF(B777="EU-ENV-013",IF(INDEX(tbl_familias_ppwr[Declaracao_UE],MATCH(INDEX(tbl_recyclass[Familia_PPWR],MATCH(A777,tbl_recyclass[ProductId],0)),tbl_familias_ppwr[ID_Familia],0))="Sim","Conforme","Lacuna"),G777)))),G777))</f>
        <v>Futuro</v>
      </c>
      <c r="I777" s="33" t="str">
        <f t="shared" si="12"/>
        <v>Futuro</v>
      </c>
      <c r="J777" s="26" t="s">
        <v>1082</v>
      </c>
    </row>
    <row r="778" spans="1:10" ht="16.05" customHeight="1" x14ac:dyDescent="0.3">
      <c r="A778" s="26" t="s">
        <v>701</v>
      </c>
      <c r="B778" s="26" t="s">
        <v>1086</v>
      </c>
      <c r="C778" s="33" t="str">
        <f>IFERROR(INDEX(tbl_requisitos_emb[Tema],MATCH(B778,tbl_requisitos_emb[ID_Req],0)),"")</f>
        <v>Metais pesados</v>
      </c>
      <c r="D778" s="33" t="str">
        <f>IFERROR(INDEX(tbl_recyclass[Segmento],MATCH(A778,tbl_recyclass[ProductId],0)),"")</f>
        <v>Cosmética e higiene pessoal</v>
      </c>
      <c r="E778" s="26" t="s">
        <v>901</v>
      </c>
      <c r="F778" s="26" t="s">
        <v>1449</v>
      </c>
      <c r="G778" s="26" t="s">
        <v>978</v>
      </c>
      <c r="H778" s="33" t="str">
        <f>IF(E778="Não","Não aplicável",IFERROR(IF(B778="EU-ENV-002",IF(INDEX(tbl_recyclass[Conforme_PPWR_2030],MATCH(A778,tbl_recyclass[ProductId],0))="Sim","Conforme (autoavaliação)",IF(INDEX(tbl_recyclass[Conforme_PPWR_2030],MATCH(A778,tbl_recyclass[ProductId],0))="Não","Não conforme em 2030","Isento até 2035")),IF(B778="EU-ENV-003",IF(INDEX(tbl_recyclass[Conforme_Art7_2030],MATCH(A778,tbl_recyclass[ProductId],0))="Sim","Conforme (meta 2030)",IF(INDEX(tbl_recyclass[Conforme_Art7_2030],MATCH(A778,tbl_recyclass[ProductId],0))="Não","Lacuna face à meta 2030","Isento")),IF(B778="EU-ENV-011",IF(INDEX(tbl_familias_ppwr[Metais_Pesados_Evidencia],MATCH(INDEX(tbl_recyclass[Familia_PPWR],MATCH(A778,tbl_recyclass[ProductId],0)),tbl_familias_ppwr[ID_Familia],0))="Em falta","Lacuna","Conforme"),IF(B778="EU-ENV-013",IF(INDEX(tbl_familias_ppwr[Declaracao_UE],MATCH(INDEX(tbl_recyclass[Familia_PPWR],MATCH(A778,tbl_recyclass[ProductId],0)),tbl_familias_ppwr[ID_Familia],0))="Sim","Conforme","Lacuna"),G778)))),G778))</f>
        <v>Conforme</v>
      </c>
      <c r="I778" s="33" t="str">
        <f t="shared" si="12"/>
        <v>Conforme</v>
      </c>
      <c r="J778" s="26" t="s">
        <v>1090</v>
      </c>
    </row>
    <row r="779" spans="1:10" ht="16.05" customHeight="1" x14ac:dyDescent="0.3">
      <c r="A779" s="26" t="s">
        <v>701</v>
      </c>
      <c r="B779" s="26" t="s">
        <v>1094</v>
      </c>
      <c r="C779" s="33" t="str">
        <f>IFERROR(INDEX(tbl_requisitos_emb[Tema],MATCH(B779,tbl_requisitos_emb[ID_Req],0)),"")</f>
        <v>PFAS</v>
      </c>
      <c r="D779" s="33" t="str">
        <f>IFERROR(INDEX(tbl_recyclass[Segmento],MATCH(A779,tbl_recyclass[ProductId],0)),"")</f>
        <v>Cosmética e higiene pessoal</v>
      </c>
      <c r="E779" s="26" t="s">
        <v>904</v>
      </c>
      <c r="F779" s="26" t="s">
        <v>1450</v>
      </c>
      <c r="G779" s="26" t="s">
        <v>1143</v>
      </c>
      <c r="H779" s="33" t="str">
        <f>IF(E779="Não","Não aplicável",IFERROR(IF(B779="EU-ENV-002",IF(INDEX(tbl_recyclass[Conforme_PPWR_2030],MATCH(A779,tbl_recyclass[ProductId],0))="Sim","Conforme (autoavaliação)",IF(INDEX(tbl_recyclass[Conforme_PPWR_2030],MATCH(A779,tbl_recyclass[ProductId],0))="Não","Não conforme em 2030","Isento até 2035")),IF(B779="EU-ENV-003",IF(INDEX(tbl_recyclass[Conforme_Art7_2030],MATCH(A779,tbl_recyclass[ProductId],0))="Sim","Conforme (meta 2030)",IF(INDEX(tbl_recyclass[Conforme_Art7_2030],MATCH(A779,tbl_recyclass[ProductId],0))="Não","Lacuna face à meta 2030","Isento")),IF(B779="EU-ENV-011",IF(INDEX(tbl_familias_ppwr[Metais_Pesados_Evidencia],MATCH(INDEX(tbl_recyclass[Familia_PPWR],MATCH(A779,tbl_recyclass[ProductId],0)),tbl_familias_ppwr[ID_Familia],0))="Em falta","Lacuna","Conforme"),IF(B779="EU-ENV-013",IF(INDEX(tbl_familias_ppwr[Declaracao_UE],MATCH(INDEX(tbl_recyclass[Familia_PPWR],MATCH(A779,tbl_recyclass[ProductId],0)),tbl_familias_ppwr[ID_Familia],0))="Sim","Conforme","Lacuna"),G779)))),G779))</f>
        <v>Não aplicável</v>
      </c>
      <c r="I779" s="33" t="str">
        <f t="shared" si="12"/>
        <v>Não aplicável</v>
      </c>
      <c r="J779" s="26"/>
    </row>
    <row r="780" spans="1:10" ht="16.05" customHeight="1" x14ac:dyDescent="0.3">
      <c r="A780" s="26" t="s">
        <v>701</v>
      </c>
      <c r="B780" s="26" t="s">
        <v>1102</v>
      </c>
      <c r="C780" s="33" t="str">
        <f>IFERROR(INDEX(tbl_requisitos_emb[Tema],MATCH(B780,tbl_requisitos_emb[ID_Req],0)),"")</f>
        <v>Documentação técnica e declaração UE</v>
      </c>
      <c r="D780" s="33" t="str">
        <f>IFERROR(INDEX(tbl_recyclass[Segmento],MATCH(A780,tbl_recyclass[ProductId],0)),"")</f>
        <v>Cosmética e higiene pessoal</v>
      </c>
      <c r="E780" s="26" t="s">
        <v>901</v>
      </c>
      <c r="F780" s="26" t="s">
        <v>1449</v>
      </c>
      <c r="G780" s="26" t="s">
        <v>978</v>
      </c>
      <c r="H780" s="33" t="str">
        <f>IF(E780="Não","Não aplicável",IFERROR(IF(B780="EU-ENV-002",IF(INDEX(tbl_recyclass[Conforme_PPWR_2030],MATCH(A780,tbl_recyclass[ProductId],0))="Sim","Conforme (autoavaliação)",IF(INDEX(tbl_recyclass[Conforme_PPWR_2030],MATCH(A780,tbl_recyclass[ProductId],0))="Não","Não conforme em 2030","Isento até 2035")),IF(B780="EU-ENV-003",IF(INDEX(tbl_recyclass[Conforme_Art7_2030],MATCH(A780,tbl_recyclass[ProductId],0))="Sim","Conforme (meta 2030)",IF(INDEX(tbl_recyclass[Conforme_Art7_2030],MATCH(A780,tbl_recyclass[ProductId],0))="Não","Lacuna face à meta 2030","Isento")),IF(B780="EU-ENV-011",IF(INDEX(tbl_familias_ppwr[Metais_Pesados_Evidencia],MATCH(INDEX(tbl_recyclass[Familia_PPWR],MATCH(A780,tbl_recyclass[ProductId],0)),tbl_familias_ppwr[ID_Familia],0))="Em falta","Lacuna","Conforme"),IF(B780="EU-ENV-013",IF(INDEX(tbl_familias_ppwr[Declaracao_UE],MATCH(INDEX(tbl_recyclass[Familia_PPWR],MATCH(A780,tbl_recyclass[ProductId],0)),tbl_familias_ppwr[ID_Familia],0))="Sim","Conforme","Lacuna"),G780)))),G780))</f>
        <v>Conforme</v>
      </c>
      <c r="I780" s="33" t="str">
        <f t="shared" si="12"/>
        <v>Conforme</v>
      </c>
      <c r="J780" s="26" t="s">
        <v>1106</v>
      </c>
    </row>
    <row r="781" spans="1:10" ht="16.05" customHeight="1" x14ac:dyDescent="0.3">
      <c r="A781" s="26" t="s">
        <v>701</v>
      </c>
      <c r="B781" s="26" t="s">
        <v>1161</v>
      </c>
      <c r="C781" s="33" t="str">
        <f>IFERROR(INDEX(tbl_requisitos_emb[Tema],MATCH(B781,tbl_requisitos_emb[ID_Req],0)),"")</f>
        <v>Materiais em contacto com alimentos</v>
      </c>
      <c r="D781" s="33" t="str">
        <f>IFERROR(INDEX(tbl_recyclass[Segmento],MATCH(A781,tbl_recyclass[ProductId],0)),"")</f>
        <v>Cosmética e higiene pessoal</v>
      </c>
      <c r="E781" s="26" t="s">
        <v>904</v>
      </c>
      <c r="F781" s="26" t="s">
        <v>1450</v>
      </c>
      <c r="G781" s="26" t="s">
        <v>1143</v>
      </c>
      <c r="H781" s="33" t="str">
        <f>IF(E781="Não","Não aplicável",IFERROR(IF(B781="EU-ENV-002",IF(INDEX(tbl_recyclass[Conforme_PPWR_2030],MATCH(A781,tbl_recyclass[ProductId],0))="Sim","Conforme (autoavaliação)",IF(INDEX(tbl_recyclass[Conforme_PPWR_2030],MATCH(A781,tbl_recyclass[ProductId],0))="Não","Não conforme em 2030","Isento até 2035")),IF(B781="EU-ENV-003",IF(INDEX(tbl_recyclass[Conforme_Art7_2030],MATCH(A781,tbl_recyclass[ProductId],0))="Sim","Conforme (meta 2030)",IF(INDEX(tbl_recyclass[Conforme_Art7_2030],MATCH(A781,tbl_recyclass[ProductId],0))="Não","Lacuna face à meta 2030","Isento")),IF(B781="EU-ENV-011",IF(INDEX(tbl_familias_ppwr[Metais_Pesados_Evidencia],MATCH(INDEX(tbl_recyclass[Familia_PPWR],MATCH(A781,tbl_recyclass[ProductId],0)),tbl_familias_ppwr[ID_Familia],0))="Em falta","Lacuna","Conforme"),IF(B781="EU-ENV-013",IF(INDEX(tbl_familias_ppwr[Declaracao_UE],MATCH(INDEX(tbl_recyclass[Familia_PPWR],MATCH(A781,tbl_recyclass[ProductId],0)),tbl_familias_ppwr[ID_Familia],0))="Sim","Conforme","Lacuna"),G781)))),G781))</f>
        <v>Não aplicável</v>
      </c>
      <c r="I781" s="33" t="str">
        <f t="shared" si="12"/>
        <v>Não aplicável</v>
      </c>
      <c r="J781" s="26"/>
    </row>
    <row r="782" spans="1:10" ht="16.05" customHeight="1" x14ac:dyDescent="0.3">
      <c r="A782" s="26" t="s">
        <v>701</v>
      </c>
      <c r="B782" s="26" t="s">
        <v>1170</v>
      </c>
      <c r="C782" s="33" t="str">
        <f>IFERROR(INDEX(tbl_requisitos_emb[Tema],MATCH(B782,tbl_requisitos_emb[ID_Req],0)),"")</f>
        <v>Boas práticas de fabrico FCM</v>
      </c>
      <c r="D782" s="33" t="str">
        <f>IFERROR(INDEX(tbl_recyclass[Segmento],MATCH(A782,tbl_recyclass[ProductId],0)),"")</f>
        <v>Cosmética e higiene pessoal</v>
      </c>
      <c r="E782" s="26" t="s">
        <v>904</v>
      </c>
      <c r="F782" s="26" t="s">
        <v>1450</v>
      </c>
      <c r="G782" s="26" t="s">
        <v>1143</v>
      </c>
      <c r="H782" s="33" t="str">
        <f>IF(E782="Não","Não aplicável",IFERROR(IF(B782="EU-ENV-002",IF(INDEX(tbl_recyclass[Conforme_PPWR_2030],MATCH(A782,tbl_recyclass[ProductId],0))="Sim","Conforme (autoavaliação)",IF(INDEX(tbl_recyclass[Conforme_PPWR_2030],MATCH(A782,tbl_recyclass[ProductId],0))="Não","Não conforme em 2030","Isento até 2035")),IF(B782="EU-ENV-003",IF(INDEX(tbl_recyclass[Conforme_Art7_2030],MATCH(A782,tbl_recyclass[ProductId],0))="Sim","Conforme (meta 2030)",IF(INDEX(tbl_recyclass[Conforme_Art7_2030],MATCH(A782,tbl_recyclass[ProductId],0))="Não","Lacuna face à meta 2030","Isento")),IF(B782="EU-ENV-011",IF(INDEX(tbl_familias_ppwr[Metais_Pesados_Evidencia],MATCH(INDEX(tbl_recyclass[Familia_PPWR],MATCH(A782,tbl_recyclass[ProductId],0)),tbl_familias_ppwr[ID_Familia],0))="Em falta","Lacuna","Conforme"),IF(B782="EU-ENV-013",IF(INDEX(tbl_familias_ppwr[Declaracao_UE],MATCH(INDEX(tbl_recyclass[Familia_PPWR],MATCH(A782,tbl_recyclass[ProductId],0)),tbl_familias_ppwr[ID_Familia],0))="Sim","Conforme","Lacuna"),G782)))),G782))</f>
        <v>Não aplicável</v>
      </c>
      <c r="I782" s="33" t="str">
        <f t="shared" si="12"/>
        <v>Não aplicável</v>
      </c>
      <c r="J782" s="26"/>
    </row>
    <row r="783" spans="1:10" ht="16.05" customHeight="1" x14ac:dyDescent="0.3">
      <c r="A783" s="26" t="s">
        <v>701</v>
      </c>
      <c r="B783" s="26" t="s">
        <v>1179</v>
      </c>
      <c r="C783" s="33" t="str">
        <f>IFERROR(INDEX(tbl_requisitos_emb[Tema],MATCH(B783,tbl_requisitos_emb[ID_Req],0)),"")</f>
        <v>Bisfenol A e bisfenóis perigosos</v>
      </c>
      <c r="D783" s="33" t="str">
        <f>IFERROR(INDEX(tbl_recyclass[Segmento],MATCH(A783,tbl_recyclass[ProductId],0)),"")</f>
        <v>Cosmética e higiene pessoal</v>
      </c>
      <c r="E783" s="26" t="s">
        <v>904</v>
      </c>
      <c r="F783" s="26" t="s">
        <v>1450</v>
      </c>
      <c r="G783" s="26" t="s">
        <v>1143</v>
      </c>
      <c r="H783" s="33" t="str">
        <f>IF(E783="Não","Não aplicável",IFERROR(IF(B783="EU-ENV-002",IF(INDEX(tbl_recyclass[Conforme_PPWR_2030],MATCH(A783,tbl_recyclass[ProductId],0))="Sim","Conforme (autoavaliação)",IF(INDEX(tbl_recyclass[Conforme_PPWR_2030],MATCH(A783,tbl_recyclass[ProductId],0))="Não","Não conforme em 2030","Isento até 2035")),IF(B783="EU-ENV-003",IF(INDEX(tbl_recyclass[Conforme_Art7_2030],MATCH(A783,tbl_recyclass[ProductId],0))="Sim","Conforme (meta 2030)",IF(INDEX(tbl_recyclass[Conforme_Art7_2030],MATCH(A783,tbl_recyclass[ProductId],0))="Não","Lacuna face à meta 2030","Isento")),IF(B783="EU-ENV-011",IF(INDEX(tbl_familias_ppwr[Metais_Pesados_Evidencia],MATCH(INDEX(tbl_recyclass[Familia_PPWR],MATCH(A783,tbl_recyclass[ProductId],0)),tbl_familias_ppwr[ID_Familia],0))="Em falta","Lacuna","Conforme"),IF(B783="EU-ENV-013",IF(INDEX(tbl_familias_ppwr[Declaracao_UE],MATCH(INDEX(tbl_recyclass[Familia_PPWR],MATCH(A783,tbl_recyclass[ProductId],0)),tbl_familias_ppwr[ID_Familia],0))="Sim","Conforme","Lacuna"),G783)))),G783))</f>
        <v>Não aplicável</v>
      </c>
      <c r="I783" s="33" t="str">
        <f t="shared" si="12"/>
        <v>Não aplicável</v>
      </c>
      <c r="J783" s="26"/>
    </row>
    <row r="784" spans="1:10" ht="16.05" customHeight="1" x14ac:dyDescent="0.3">
      <c r="A784" s="26" t="s">
        <v>701</v>
      </c>
      <c r="B784" s="26" t="s">
        <v>1188</v>
      </c>
      <c r="C784" s="33" t="str">
        <f>IFERROR(INDEX(tbl_requisitos_emb[Tema],MATCH(B784,tbl_requisitos_emb[ID_Req],0)),"")</f>
        <v>Plásticos em contacto com alimentos</v>
      </c>
      <c r="D784" s="33" t="str">
        <f>IFERROR(INDEX(tbl_recyclass[Segmento],MATCH(A784,tbl_recyclass[ProductId],0)),"")</f>
        <v>Cosmética e higiene pessoal</v>
      </c>
      <c r="E784" s="26" t="s">
        <v>904</v>
      </c>
      <c r="F784" s="26" t="s">
        <v>1450</v>
      </c>
      <c r="G784" s="26" t="s">
        <v>1143</v>
      </c>
      <c r="H784" s="33" t="str">
        <f>IF(E784="Não","Não aplicável",IFERROR(IF(B784="EU-ENV-002",IF(INDEX(tbl_recyclass[Conforme_PPWR_2030],MATCH(A784,tbl_recyclass[ProductId],0))="Sim","Conforme (autoavaliação)",IF(INDEX(tbl_recyclass[Conforme_PPWR_2030],MATCH(A784,tbl_recyclass[ProductId],0))="Não","Não conforme em 2030","Isento até 2035")),IF(B784="EU-ENV-003",IF(INDEX(tbl_recyclass[Conforme_Art7_2030],MATCH(A784,tbl_recyclass[ProductId],0))="Sim","Conforme (meta 2030)",IF(INDEX(tbl_recyclass[Conforme_Art7_2030],MATCH(A784,tbl_recyclass[ProductId],0))="Não","Lacuna face à meta 2030","Isento")),IF(B784="EU-ENV-011",IF(INDEX(tbl_familias_ppwr[Metais_Pesados_Evidencia],MATCH(INDEX(tbl_recyclass[Familia_PPWR],MATCH(A784,tbl_recyclass[ProductId],0)),tbl_familias_ppwr[ID_Familia],0))="Em falta","Lacuna","Conforme"),IF(B784="EU-ENV-013",IF(INDEX(tbl_familias_ppwr[Declaracao_UE],MATCH(INDEX(tbl_recyclass[Familia_PPWR],MATCH(A784,tbl_recyclass[ProductId],0)),tbl_familias_ppwr[ID_Familia],0))="Sim","Conforme","Lacuna"),G784)))),G784))</f>
        <v>Não aplicável</v>
      </c>
      <c r="I784" s="33" t="str">
        <f t="shared" si="12"/>
        <v>Não aplicável</v>
      </c>
      <c r="J784" s="26"/>
    </row>
    <row r="785" spans="1:10" ht="16.05" customHeight="1" x14ac:dyDescent="0.3">
      <c r="A785" s="26" t="s">
        <v>701</v>
      </c>
      <c r="B785" s="26" t="s">
        <v>1212</v>
      </c>
      <c r="C785" s="33" t="str">
        <f>IFERROR(INDEX(tbl_requisitos_emb[Tema],MATCH(B785,tbl_requisitos_emb[ID_Req],0)),"")</f>
        <v>Segurança do produto cosmético</v>
      </c>
      <c r="D785" s="33" t="str">
        <f>IFERROR(INDEX(tbl_recyclass[Segmento],MATCH(A785,tbl_recyclass[ProductId],0)),"")</f>
        <v>Cosmética e higiene pessoal</v>
      </c>
      <c r="E785" s="26" t="s">
        <v>901</v>
      </c>
      <c r="F785" s="26" t="s">
        <v>1449</v>
      </c>
      <c r="G785" s="26" t="s">
        <v>1033</v>
      </c>
      <c r="H785" s="33" t="str">
        <f>IF(E785="Não","Não aplicável",IFERROR(IF(B785="EU-ENV-002",IF(INDEX(tbl_recyclass[Conforme_PPWR_2030],MATCH(A785,tbl_recyclass[ProductId],0))="Sim","Conforme (autoavaliação)",IF(INDEX(tbl_recyclass[Conforme_PPWR_2030],MATCH(A785,tbl_recyclass[ProductId],0))="Não","Não conforme em 2030","Isento até 2035")),IF(B785="EU-ENV-003",IF(INDEX(tbl_recyclass[Conforme_Art7_2030],MATCH(A785,tbl_recyclass[ProductId],0))="Sim","Conforme (meta 2030)",IF(INDEX(tbl_recyclass[Conforme_Art7_2030],MATCH(A785,tbl_recyclass[ProductId],0))="Não","Lacuna face à meta 2030","Isento")),IF(B785="EU-ENV-011",IF(INDEX(tbl_familias_ppwr[Metais_Pesados_Evidencia],MATCH(INDEX(tbl_recyclass[Familia_PPWR],MATCH(A785,tbl_recyclass[ProductId],0)),tbl_familias_ppwr[ID_Familia],0))="Em falta","Lacuna","Conforme"),IF(B785="EU-ENV-013",IF(INDEX(tbl_familias_ppwr[Declaracao_UE],MATCH(INDEX(tbl_recyclass[Familia_PPWR],MATCH(A785,tbl_recyclass[ProductId],0)),tbl_familias_ppwr[ID_Familia],0))="Sim","Conforme","Lacuna"),G785)))),G785))</f>
        <v>Conforme</v>
      </c>
      <c r="I785" s="33" t="str">
        <f t="shared" si="12"/>
        <v>Conforme</v>
      </c>
      <c r="J785" s="26" t="s">
        <v>1221</v>
      </c>
    </row>
    <row r="786" spans="1:10" ht="16.05" customHeight="1" x14ac:dyDescent="0.3">
      <c r="A786" s="26" t="s">
        <v>701</v>
      </c>
      <c r="B786" s="26" t="s">
        <v>1224</v>
      </c>
      <c r="C786" s="33" t="str">
        <f>IFERROR(INDEX(tbl_requisitos_emb[Tema],MATCH(B786,tbl_requisitos_emb[ID_Req],0)),"")</f>
        <v>Materiais e impurezas</v>
      </c>
      <c r="D786" s="33" t="str">
        <f>IFERROR(INDEX(tbl_recyclass[Segmento],MATCH(A786,tbl_recyclass[ProductId],0)),"")</f>
        <v>Cosmética e higiene pessoal</v>
      </c>
      <c r="E786" s="26" t="s">
        <v>901</v>
      </c>
      <c r="F786" s="26" t="s">
        <v>1449</v>
      </c>
      <c r="G786" s="26" t="s">
        <v>978</v>
      </c>
      <c r="H786" s="33" t="str">
        <f>IF(E786="Não","Não aplicável",IFERROR(IF(B786="EU-ENV-002",IF(INDEX(tbl_recyclass[Conforme_PPWR_2030],MATCH(A786,tbl_recyclass[ProductId],0))="Sim","Conforme (autoavaliação)",IF(INDEX(tbl_recyclass[Conforme_PPWR_2030],MATCH(A786,tbl_recyclass[ProductId],0))="Não","Não conforme em 2030","Isento até 2035")),IF(B786="EU-ENV-003",IF(INDEX(tbl_recyclass[Conforme_Art7_2030],MATCH(A786,tbl_recyclass[ProductId],0))="Sim","Conforme (meta 2030)",IF(INDEX(tbl_recyclass[Conforme_Art7_2030],MATCH(A786,tbl_recyclass[ProductId],0))="Não","Lacuna face à meta 2030","Isento")),IF(B786="EU-ENV-011",IF(INDEX(tbl_familias_ppwr[Metais_Pesados_Evidencia],MATCH(INDEX(tbl_recyclass[Familia_PPWR],MATCH(A786,tbl_recyclass[ProductId],0)),tbl_familias_ppwr[ID_Familia],0))="Em falta","Lacuna","Conforme"),IF(B786="EU-ENV-013",IF(INDEX(tbl_familias_ppwr[Declaracao_UE],MATCH(INDEX(tbl_recyclass[Familia_PPWR],MATCH(A786,tbl_recyclass[ProductId],0)),tbl_familias_ppwr[ID_Familia],0))="Sim","Conforme","Lacuna"),G786)))),G786))</f>
        <v>Parcial</v>
      </c>
      <c r="I786" s="33" t="str">
        <f t="shared" si="12"/>
        <v>Parcial</v>
      </c>
      <c r="J786" s="26" t="s">
        <v>1228</v>
      </c>
    </row>
    <row r="787" spans="1:10" ht="16.05" customHeight="1" x14ac:dyDescent="0.3">
      <c r="A787" s="26" t="s">
        <v>701</v>
      </c>
      <c r="B787" s="26" t="s">
        <v>1240</v>
      </c>
      <c r="C787" s="33" t="str">
        <f>IFERROR(INDEX(tbl_requisitos_emb[Tema],MATCH(B787,tbl_requisitos_emb[ID_Req],0)),"")</f>
        <v>Compatibilidade embalagem–produto</v>
      </c>
      <c r="D787" s="33" t="str">
        <f>IFERROR(INDEX(tbl_recyclass[Segmento],MATCH(A787,tbl_recyclass[ProductId],0)),"")</f>
        <v>Cosmética e higiene pessoal</v>
      </c>
      <c r="E787" s="26" t="s">
        <v>901</v>
      </c>
      <c r="F787" s="26" t="s">
        <v>1449</v>
      </c>
      <c r="G787" s="26" t="s">
        <v>1033</v>
      </c>
      <c r="H787" s="33" t="str">
        <f>IF(E787="Não","Não aplicável",IFERROR(IF(B787="EU-ENV-002",IF(INDEX(tbl_recyclass[Conforme_PPWR_2030],MATCH(A787,tbl_recyclass[ProductId],0))="Sim","Conforme (autoavaliação)",IF(INDEX(tbl_recyclass[Conforme_PPWR_2030],MATCH(A787,tbl_recyclass[ProductId],0))="Não","Não conforme em 2030","Isento até 2035")),IF(B787="EU-ENV-003",IF(INDEX(tbl_recyclass[Conforme_Art7_2030],MATCH(A787,tbl_recyclass[ProductId],0))="Sim","Conforme (meta 2030)",IF(INDEX(tbl_recyclass[Conforme_Art7_2030],MATCH(A787,tbl_recyclass[ProductId],0))="Não","Lacuna face à meta 2030","Isento")),IF(B787="EU-ENV-011",IF(INDEX(tbl_familias_ppwr[Metais_Pesados_Evidencia],MATCH(INDEX(tbl_recyclass[Familia_PPWR],MATCH(A787,tbl_recyclass[ProductId],0)),tbl_familias_ppwr[ID_Familia],0))="Em falta","Lacuna","Conforme"),IF(B787="EU-ENV-013",IF(INDEX(tbl_familias_ppwr[Declaracao_UE],MATCH(INDEX(tbl_recyclass[Familia_PPWR],MATCH(A787,tbl_recyclass[ProductId],0)),tbl_familias_ppwr[ID_Familia],0))="Sim","Conforme","Lacuna"),G787)))),G787))</f>
        <v>Conforme</v>
      </c>
      <c r="I787" s="33" t="str">
        <f t="shared" si="12"/>
        <v>Conforme</v>
      </c>
      <c r="J787" s="26" t="s">
        <v>1244</v>
      </c>
    </row>
    <row r="788" spans="1:10" ht="16.05" customHeight="1" x14ac:dyDescent="0.3">
      <c r="A788" s="26" t="s">
        <v>701</v>
      </c>
      <c r="B788" s="26" t="s">
        <v>1252</v>
      </c>
      <c r="C788" s="33" t="str">
        <f>IFERROR(INDEX(tbl_requisitos_emb[Tema],MATCH(B788,tbl_requisitos_emb[ID_Req],0)),"")</f>
        <v>Medicamentos de uso humano</v>
      </c>
      <c r="D788" s="33" t="str">
        <f>IFERROR(INDEX(tbl_recyclass[Segmento],MATCH(A788,tbl_recyclass[ProductId],0)),"")</f>
        <v>Cosmética e higiene pessoal</v>
      </c>
      <c r="E788" s="26" t="s">
        <v>904</v>
      </c>
      <c r="F788" s="26" t="s">
        <v>1451</v>
      </c>
      <c r="G788" s="26" t="s">
        <v>1143</v>
      </c>
      <c r="H788" s="33" t="str">
        <f>IF(E788="Não","Não aplicável",IFERROR(IF(B788="EU-ENV-002",IF(INDEX(tbl_recyclass[Conforme_PPWR_2030],MATCH(A788,tbl_recyclass[ProductId],0))="Sim","Conforme (autoavaliação)",IF(INDEX(tbl_recyclass[Conforme_PPWR_2030],MATCH(A788,tbl_recyclass[ProductId],0))="Não","Não conforme em 2030","Isento até 2035")),IF(B788="EU-ENV-003",IF(INDEX(tbl_recyclass[Conforme_Art7_2030],MATCH(A788,tbl_recyclass[ProductId],0))="Sim","Conforme (meta 2030)",IF(INDEX(tbl_recyclass[Conforme_Art7_2030],MATCH(A788,tbl_recyclass[ProductId],0))="Não","Lacuna face à meta 2030","Isento")),IF(B788="EU-ENV-011",IF(INDEX(tbl_familias_ppwr[Metais_Pesados_Evidencia],MATCH(INDEX(tbl_recyclass[Familia_PPWR],MATCH(A788,tbl_recyclass[ProductId],0)),tbl_familias_ppwr[ID_Familia],0))="Em falta","Lacuna","Conforme"),IF(B788="EU-ENV-013",IF(INDEX(tbl_familias_ppwr[Declaracao_UE],MATCH(INDEX(tbl_recyclass[Familia_PPWR],MATCH(A788,tbl_recyclass[ProductId],0)),tbl_familias_ppwr[ID_Familia],0))="Sim","Conforme","Lacuna"),G788)))),G788))</f>
        <v>Não aplicável</v>
      </c>
      <c r="I788" s="33" t="str">
        <f t="shared" si="12"/>
        <v>Não aplicável</v>
      </c>
      <c r="J788" s="26"/>
    </row>
    <row r="789" spans="1:10" ht="16.05" customHeight="1" x14ac:dyDescent="0.3">
      <c r="A789" s="26" t="s">
        <v>701</v>
      </c>
      <c r="B789" s="26" t="s">
        <v>1268</v>
      </c>
      <c r="C789" s="33" t="str">
        <f>IFERROR(INDEX(tbl_requisitos_emb[Tema],MATCH(B789,tbl_requisitos_emb[ID_Req],0)),"")</f>
        <v>Dispositivos de segurança</v>
      </c>
      <c r="D789" s="33" t="str">
        <f>IFERROR(INDEX(tbl_recyclass[Segmento],MATCH(A789,tbl_recyclass[ProductId],0)),"")</f>
        <v>Cosmética e higiene pessoal</v>
      </c>
      <c r="E789" s="26" t="s">
        <v>904</v>
      </c>
      <c r="F789" s="26" t="s">
        <v>1451</v>
      </c>
      <c r="G789" s="26" t="s">
        <v>1143</v>
      </c>
      <c r="H789" s="33" t="str">
        <f>IF(E789="Não","Não aplicável",IFERROR(IF(B789="EU-ENV-002",IF(INDEX(tbl_recyclass[Conforme_PPWR_2030],MATCH(A789,tbl_recyclass[ProductId],0))="Sim","Conforme (autoavaliação)",IF(INDEX(tbl_recyclass[Conforme_PPWR_2030],MATCH(A789,tbl_recyclass[ProductId],0))="Não","Não conforme em 2030","Isento até 2035")),IF(B789="EU-ENV-003",IF(INDEX(tbl_recyclass[Conforme_Art7_2030],MATCH(A789,tbl_recyclass[ProductId],0))="Sim","Conforme (meta 2030)",IF(INDEX(tbl_recyclass[Conforme_Art7_2030],MATCH(A789,tbl_recyclass[ProductId],0))="Não","Lacuna face à meta 2030","Isento")),IF(B789="EU-ENV-011",IF(INDEX(tbl_familias_ppwr[Metais_Pesados_Evidencia],MATCH(INDEX(tbl_recyclass[Familia_PPWR],MATCH(A789,tbl_recyclass[ProductId],0)),tbl_familias_ppwr[ID_Familia],0))="Em falta","Lacuna","Conforme"),IF(B789="EU-ENV-013",IF(INDEX(tbl_familias_ppwr[Declaracao_UE],MATCH(INDEX(tbl_recyclass[Familia_PPWR],MATCH(A789,tbl_recyclass[ProductId],0)),tbl_familias_ppwr[ID_Familia],0))="Sim","Conforme","Lacuna"),G789)))),G789))</f>
        <v>Não aplicável</v>
      </c>
      <c r="I789" s="33" t="str">
        <f t="shared" si="12"/>
        <v>Não aplicável</v>
      </c>
      <c r="J789" s="26"/>
    </row>
    <row r="790" spans="1:10" ht="16.05" customHeight="1" x14ac:dyDescent="0.3">
      <c r="A790" s="26" t="s">
        <v>701</v>
      </c>
      <c r="B790" s="26" t="s">
        <v>1285</v>
      </c>
      <c r="C790" s="33" t="str">
        <f>IFERROR(INDEX(tbl_requisitos_emb[Tema],MATCH(B790,tbl_requisitos_emb[ID_Req],0)),"")</f>
        <v>Materiais plásticos de acondicionamento primário</v>
      </c>
      <c r="D790" s="33" t="str">
        <f>IFERROR(INDEX(tbl_recyclass[Segmento],MATCH(A790,tbl_recyclass[ProductId],0)),"")</f>
        <v>Cosmética e higiene pessoal</v>
      </c>
      <c r="E790" s="26" t="s">
        <v>904</v>
      </c>
      <c r="F790" s="26" t="s">
        <v>1451</v>
      </c>
      <c r="G790" s="26" t="s">
        <v>1143</v>
      </c>
      <c r="H790" s="33" t="str">
        <f>IF(E790="Não","Não aplicável",IFERROR(IF(B790="EU-ENV-002",IF(INDEX(tbl_recyclass[Conforme_PPWR_2030],MATCH(A790,tbl_recyclass[ProductId],0))="Sim","Conforme (autoavaliação)",IF(INDEX(tbl_recyclass[Conforme_PPWR_2030],MATCH(A790,tbl_recyclass[ProductId],0))="Não","Não conforme em 2030","Isento até 2035")),IF(B790="EU-ENV-003",IF(INDEX(tbl_recyclass[Conforme_Art7_2030],MATCH(A790,tbl_recyclass[ProductId],0))="Sim","Conforme (meta 2030)",IF(INDEX(tbl_recyclass[Conforme_Art7_2030],MATCH(A790,tbl_recyclass[ProductId],0))="Não","Lacuna face à meta 2030","Isento")),IF(B790="EU-ENV-011",IF(INDEX(tbl_familias_ppwr[Metais_Pesados_Evidencia],MATCH(INDEX(tbl_recyclass[Familia_PPWR],MATCH(A790,tbl_recyclass[ProductId],0)),tbl_familias_ppwr[ID_Familia],0))="Em falta","Lacuna","Conforme"),IF(B790="EU-ENV-013",IF(INDEX(tbl_familias_ppwr[Declaracao_UE],MATCH(INDEX(tbl_recyclass[Familia_PPWR],MATCH(A790,tbl_recyclass[ProductId],0)),tbl_familias_ppwr[ID_Familia],0))="Sim","Conforme","Lacuna"),G790)))),G790))</f>
        <v>Não aplicável</v>
      </c>
      <c r="I790" s="33" t="str">
        <f t="shared" si="12"/>
        <v>Não aplicável</v>
      </c>
      <c r="J790" s="26"/>
    </row>
    <row r="791" spans="1:10" ht="16.05" customHeight="1" x14ac:dyDescent="0.3">
      <c r="A791" s="26" t="s">
        <v>701</v>
      </c>
      <c r="B791" s="26" t="s">
        <v>1293</v>
      </c>
      <c r="C791" s="33" t="str">
        <f>IFERROR(INDEX(tbl_requisitos_emb[Tema],MATCH(B791,tbl_requisitos_emb[ID_Req],0)),"")</f>
        <v>Isenções PPWR</v>
      </c>
      <c r="D791" s="33" t="str">
        <f>IFERROR(INDEX(tbl_recyclass[Segmento],MATCH(A791,tbl_recyclass[ProductId],0)),"")</f>
        <v>Cosmética e higiene pessoal</v>
      </c>
      <c r="E791" s="26" t="s">
        <v>904</v>
      </c>
      <c r="F791" s="26" t="s">
        <v>1451</v>
      </c>
      <c r="G791" s="26" t="s">
        <v>1143</v>
      </c>
      <c r="H791" s="33" t="str">
        <f>IF(E791="Não","Não aplicável",IFERROR(IF(B791="EU-ENV-002",IF(INDEX(tbl_recyclass[Conforme_PPWR_2030],MATCH(A791,tbl_recyclass[ProductId],0))="Sim","Conforme (autoavaliação)",IF(INDEX(tbl_recyclass[Conforme_PPWR_2030],MATCH(A791,tbl_recyclass[ProductId],0))="Não","Não conforme em 2030","Isento até 2035")),IF(B791="EU-ENV-003",IF(INDEX(tbl_recyclass[Conforme_Art7_2030],MATCH(A791,tbl_recyclass[ProductId],0))="Sim","Conforme (meta 2030)",IF(INDEX(tbl_recyclass[Conforme_Art7_2030],MATCH(A791,tbl_recyclass[ProductId],0))="Não","Lacuna face à meta 2030","Isento")),IF(B791="EU-ENV-011",IF(INDEX(tbl_familias_ppwr[Metais_Pesados_Evidencia],MATCH(INDEX(tbl_recyclass[Familia_PPWR],MATCH(A791,tbl_recyclass[ProductId],0)),tbl_familias_ppwr[ID_Familia],0))="Em falta","Lacuna","Conforme"),IF(B791="EU-ENV-013",IF(INDEX(tbl_familias_ppwr[Declaracao_UE],MATCH(INDEX(tbl_recyclass[Familia_PPWR],MATCH(A791,tbl_recyclass[ProductId],0)),tbl_familias_ppwr[ID_Familia],0))="Sim","Conforme","Lacuna"),G791)))),G791))</f>
        <v>Não aplicável</v>
      </c>
      <c r="I791" s="33" t="str">
        <f t="shared" si="12"/>
        <v>Não aplicável</v>
      </c>
      <c r="J791" s="26"/>
    </row>
    <row r="792" spans="1:10" ht="16.05" customHeight="1" x14ac:dyDescent="0.3">
      <c r="A792" s="26" t="s">
        <v>701</v>
      </c>
      <c r="B792" s="26" t="s">
        <v>1357</v>
      </c>
      <c r="C792" s="33" t="str">
        <f>IFERROR(INDEX(tbl_requisitos_emb[Tema],MATCH(B792,tbl_requisitos_emb[ID_Req],0)),"")</f>
        <v>Identificação de plásticos</v>
      </c>
      <c r="D792" s="33" t="str">
        <f>IFERROR(INDEX(tbl_recyclass[Segmento],MATCH(A792,tbl_recyclass[ProductId],0)),"")</f>
        <v>Cosmética e higiene pessoal</v>
      </c>
      <c r="E792" s="26" t="s">
        <v>901</v>
      </c>
      <c r="F792" s="26" t="s">
        <v>1449</v>
      </c>
      <c r="G792" s="26" t="s">
        <v>978</v>
      </c>
      <c r="H792" s="33" t="str">
        <f>IF(E792="Não","Não aplicável",IFERROR(IF(B792="EU-ENV-002",IF(INDEX(tbl_recyclass[Conforme_PPWR_2030],MATCH(A792,tbl_recyclass[ProductId],0))="Sim","Conforme (autoavaliação)",IF(INDEX(tbl_recyclass[Conforme_PPWR_2030],MATCH(A792,tbl_recyclass[ProductId],0))="Não","Não conforme em 2030","Isento até 2035")),IF(B792="EU-ENV-003",IF(INDEX(tbl_recyclass[Conforme_Art7_2030],MATCH(A792,tbl_recyclass[ProductId],0))="Sim","Conforme (meta 2030)",IF(INDEX(tbl_recyclass[Conforme_Art7_2030],MATCH(A792,tbl_recyclass[ProductId],0))="Não","Lacuna face à meta 2030","Isento")),IF(B792="EU-ENV-011",IF(INDEX(tbl_familias_ppwr[Metais_Pesados_Evidencia],MATCH(INDEX(tbl_recyclass[Familia_PPWR],MATCH(A792,tbl_recyclass[ProductId],0)),tbl_familias_ppwr[ID_Familia],0))="Em falta","Lacuna","Conforme"),IF(B792="EU-ENV-013",IF(INDEX(tbl_familias_ppwr[Declaracao_UE],MATCH(INDEX(tbl_recyclass[Familia_PPWR],MATCH(A792,tbl_recyclass[ProductId],0)),tbl_familias_ppwr[ID_Familia],0))="Sim","Conforme","Lacuna"),G792)))),G792))</f>
        <v>Parcial</v>
      </c>
      <c r="I792" s="33" t="str">
        <f t="shared" si="12"/>
        <v>Parcial</v>
      </c>
      <c r="J792" s="26" t="s">
        <v>1362</v>
      </c>
    </row>
    <row r="793" spans="1:10" ht="16.05" customHeight="1" x14ac:dyDescent="0.3">
      <c r="A793" s="26" t="s">
        <v>701</v>
      </c>
      <c r="B793" s="26" t="s">
        <v>1385</v>
      </c>
      <c r="C793" s="33" t="str">
        <f>IFERROR(INDEX(tbl_requisitos_emb[Tema],MATCH(B793,tbl_requisitos_emb[ID_Req],0)),"")</f>
        <v>Reciclabilidade (voluntária)</v>
      </c>
      <c r="D793" s="33" t="str">
        <f>IFERROR(INDEX(tbl_recyclass[Segmento],MATCH(A793,tbl_recyclass[ProductId],0)),"")</f>
        <v>Cosmética e higiene pessoal</v>
      </c>
      <c r="E793" s="26" t="s">
        <v>901</v>
      </c>
      <c r="F793" s="26" t="s">
        <v>1449</v>
      </c>
      <c r="G793" s="26" t="s">
        <v>978</v>
      </c>
      <c r="H793" s="33" t="str">
        <f>IF(E793="Não","Não aplicável",IFERROR(IF(B793="EU-ENV-002",IF(INDEX(tbl_recyclass[Conforme_PPWR_2030],MATCH(A793,tbl_recyclass[ProductId],0))="Sim","Conforme (autoavaliação)",IF(INDEX(tbl_recyclass[Conforme_PPWR_2030],MATCH(A793,tbl_recyclass[ProductId],0))="Não","Não conforme em 2030","Isento até 2035")),IF(B793="EU-ENV-003",IF(INDEX(tbl_recyclass[Conforme_Art7_2030],MATCH(A793,tbl_recyclass[ProductId],0))="Sim","Conforme (meta 2030)",IF(INDEX(tbl_recyclass[Conforme_Art7_2030],MATCH(A793,tbl_recyclass[ProductId],0))="Não","Lacuna face à meta 2030","Isento")),IF(B793="EU-ENV-011",IF(INDEX(tbl_familias_ppwr[Metais_Pesados_Evidencia],MATCH(INDEX(tbl_recyclass[Familia_PPWR],MATCH(A793,tbl_recyclass[ProductId],0)),tbl_familias_ppwr[ID_Familia],0))="Em falta","Lacuna","Conforme"),IF(B793="EU-ENV-013",IF(INDEX(tbl_familias_ppwr[Declaracao_UE],MATCH(INDEX(tbl_recyclass[Familia_PPWR],MATCH(A793,tbl_recyclass[ProductId],0)),tbl_familias_ppwr[ID_Familia],0))="Sim","Conforme","Lacuna"),G793)))),G793))</f>
        <v>Parcial</v>
      </c>
      <c r="I793" s="33" t="str">
        <f t="shared" si="12"/>
        <v>Parcial</v>
      </c>
      <c r="J793" s="26" t="s">
        <v>1389</v>
      </c>
    </row>
    <row r="794" spans="1:10" ht="16.05" customHeight="1" x14ac:dyDescent="0.3">
      <c r="A794" s="26" t="s">
        <v>703</v>
      </c>
      <c r="B794" s="26" t="s">
        <v>984</v>
      </c>
      <c r="C794" s="33" t="str">
        <f>IFERROR(INDEX(tbl_requisitos_emb[Tema],MATCH(B794,tbl_requisitos_emb[ID_Req],0)),"")</f>
        <v>Conceção para reciclagem</v>
      </c>
      <c r="D794" s="33" t="str">
        <f>IFERROR(INDEX(tbl_recyclass[Segmento],MATCH(A794,tbl_recyclass[ProductId],0)),"")</f>
        <v>Cosmética e higiene pessoal</v>
      </c>
      <c r="E794" s="26" t="s">
        <v>901</v>
      </c>
      <c r="F794" s="26" t="s">
        <v>1449</v>
      </c>
      <c r="G794" s="26" t="s">
        <v>978</v>
      </c>
      <c r="H794" s="33" t="str">
        <f>IF(E794="Não","Não aplicável",IFERROR(IF(B794="EU-ENV-002",IF(INDEX(tbl_recyclass[Conforme_PPWR_2030],MATCH(A794,tbl_recyclass[ProductId],0))="Sim","Conforme (autoavaliação)",IF(INDEX(tbl_recyclass[Conforme_PPWR_2030],MATCH(A794,tbl_recyclass[ProductId],0))="Não","Não conforme em 2030","Isento até 2035")),IF(B794="EU-ENV-003",IF(INDEX(tbl_recyclass[Conforme_Art7_2030],MATCH(A794,tbl_recyclass[ProductId],0))="Sim","Conforme (meta 2030)",IF(INDEX(tbl_recyclass[Conforme_Art7_2030],MATCH(A794,tbl_recyclass[ProductId],0))="Não","Lacuna face à meta 2030","Isento")),IF(B794="EU-ENV-011",IF(INDEX(tbl_familias_ppwr[Metais_Pesados_Evidencia],MATCH(INDEX(tbl_recyclass[Familia_PPWR],MATCH(A794,tbl_recyclass[ProductId],0)),tbl_familias_ppwr[ID_Familia],0))="Em falta","Lacuna","Conforme"),IF(B794="EU-ENV-013",IF(INDEX(tbl_familias_ppwr[Declaracao_UE],MATCH(INDEX(tbl_recyclass[Familia_PPWR],MATCH(A794,tbl_recyclass[ProductId],0)),tbl_familias_ppwr[ID_Familia],0))="Sim","Conforme","Lacuna"),G794)))),G794))</f>
        <v>Não conforme em 2030</v>
      </c>
      <c r="I794" s="33" t="str">
        <f t="shared" si="12"/>
        <v>Não conforme</v>
      </c>
      <c r="J794" s="26" t="s">
        <v>991</v>
      </c>
    </row>
    <row r="795" spans="1:10" ht="16.05" customHeight="1" x14ac:dyDescent="0.3">
      <c r="A795" s="26" t="s">
        <v>703</v>
      </c>
      <c r="B795" s="26" t="s">
        <v>997</v>
      </c>
      <c r="C795" s="33" t="str">
        <f>IFERROR(INDEX(tbl_requisitos_emb[Tema],MATCH(B795,tbl_requisitos_emb[ID_Req],0)),"")</f>
        <v>Conteúdo reciclado</v>
      </c>
      <c r="D795" s="33" t="str">
        <f>IFERROR(INDEX(tbl_recyclass[Segmento],MATCH(A795,tbl_recyclass[ProductId],0)),"")</f>
        <v>Cosmética e higiene pessoal</v>
      </c>
      <c r="E795" s="26" t="s">
        <v>901</v>
      </c>
      <c r="F795" s="26" t="s">
        <v>1449</v>
      </c>
      <c r="G795" s="26" t="s">
        <v>978</v>
      </c>
      <c r="H795" s="33" t="str">
        <f>IF(E795="Não","Não aplicável",IFERROR(IF(B795="EU-ENV-002",IF(INDEX(tbl_recyclass[Conforme_PPWR_2030],MATCH(A795,tbl_recyclass[ProductId],0))="Sim","Conforme (autoavaliação)",IF(INDEX(tbl_recyclass[Conforme_PPWR_2030],MATCH(A795,tbl_recyclass[ProductId],0))="Não","Não conforme em 2030","Isento até 2035")),IF(B795="EU-ENV-003",IF(INDEX(tbl_recyclass[Conforme_Art7_2030],MATCH(A795,tbl_recyclass[ProductId],0))="Sim","Conforme (meta 2030)",IF(INDEX(tbl_recyclass[Conforme_Art7_2030],MATCH(A795,tbl_recyclass[ProductId],0))="Não","Lacuna face à meta 2030","Isento")),IF(B795="EU-ENV-011",IF(INDEX(tbl_familias_ppwr[Metais_Pesados_Evidencia],MATCH(INDEX(tbl_recyclass[Familia_PPWR],MATCH(A795,tbl_recyclass[ProductId],0)),tbl_familias_ppwr[ID_Familia],0))="Em falta","Lacuna","Conforme"),IF(B795="EU-ENV-013",IF(INDEX(tbl_familias_ppwr[Declaracao_UE],MATCH(INDEX(tbl_recyclass[Familia_PPWR],MATCH(A795,tbl_recyclass[ProductId],0)),tbl_familias_ppwr[ID_Familia],0))="Sim","Conforme","Lacuna"),G795)))),G795))</f>
        <v>Lacuna face à meta 2030</v>
      </c>
      <c r="I795" s="33" t="str">
        <f t="shared" si="12"/>
        <v>Lacuna</v>
      </c>
      <c r="J795" s="26" t="s">
        <v>1001</v>
      </c>
    </row>
    <row r="796" spans="1:10" ht="16.05" customHeight="1" x14ac:dyDescent="0.3">
      <c r="A796" s="26" t="s">
        <v>703</v>
      </c>
      <c r="B796" s="26" t="s">
        <v>1007</v>
      </c>
      <c r="C796" s="33" t="str">
        <f>IFERROR(INDEX(tbl_requisitos_emb[Tema],MATCH(B796,tbl_requisitos_emb[ID_Req],0)),"")</f>
        <v>Minimização</v>
      </c>
      <c r="D796" s="33" t="str">
        <f>IFERROR(INDEX(tbl_recyclass[Segmento],MATCH(A796,tbl_recyclass[ProductId],0)),"")</f>
        <v>Cosmética e higiene pessoal</v>
      </c>
      <c r="E796" s="26" t="s">
        <v>901</v>
      </c>
      <c r="F796" s="26" t="s">
        <v>1449</v>
      </c>
      <c r="G796" s="26" t="s">
        <v>978</v>
      </c>
      <c r="H796" s="33" t="str">
        <f>IF(E796="Não","Não aplicável",IFERROR(IF(B796="EU-ENV-002",IF(INDEX(tbl_recyclass[Conforme_PPWR_2030],MATCH(A796,tbl_recyclass[ProductId],0))="Sim","Conforme (autoavaliação)",IF(INDEX(tbl_recyclass[Conforme_PPWR_2030],MATCH(A796,tbl_recyclass[ProductId],0))="Não","Não conforme em 2030","Isento até 2035")),IF(B796="EU-ENV-003",IF(INDEX(tbl_recyclass[Conforme_Art7_2030],MATCH(A796,tbl_recyclass[ProductId],0))="Sim","Conforme (meta 2030)",IF(INDEX(tbl_recyclass[Conforme_Art7_2030],MATCH(A796,tbl_recyclass[ProductId],0))="Não","Lacuna face à meta 2030","Isento")),IF(B796="EU-ENV-011",IF(INDEX(tbl_familias_ppwr[Metais_Pesados_Evidencia],MATCH(INDEX(tbl_recyclass[Familia_PPWR],MATCH(A796,tbl_recyclass[ProductId],0)),tbl_familias_ppwr[ID_Familia],0))="Em falta","Lacuna","Conforme"),IF(B796="EU-ENV-013",IF(INDEX(tbl_familias_ppwr[Declaracao_UE],MATCH(INDEX(tbl_recyclass[Familia_PPWR],MATCH(A796,tbl_recyclass[ProductId],0)),tbl_familias_ppwr[ID_Familia],0))="Sim","Conforme","Lacuna"),G796)))),G796))</f>
        <v>Parcial</v>
      </c>
      <c r="I796" s="33" t="str">
        <f t="shared" si="12"/>
        <v>Parcial</v>
      </c>
      <c r="J796" s="26" t="s">
        <v>1012</v>
      </c>
    </row>
    <row r="797" spans="1:10" ht="16.05" customHeight="1" x14ac:dyDescent="0.3">
      <c r="A797" s="26" t="s">
        <v>703</v>
      </c>
      <c r="B797" s="26" t="s">
        <v>1016</v>
      </c>
      <c r="C797" s="33" t="str">
        <f>IFERROR(INDEX(tbl_requisitos_emb[Tema],MATCH(B797,tbl_requisitos_emb[ID_Req],0)),"")</f>
        <v>Rotulagem</v>
      </c>
      <c r="D797" s="33" t="str">
        <f>IFERROR(INDEX(tbl_recyclass[Segmento],MATCH(A797,tbl_recyclass[ProductId],0)),"")</f>
        <v>Cosmética e higiene pessoal</v>
      </c>
      <c r="E797" s="26" t="s">
        <v>901</v>
      </c>
      <c r="F797" s="26" t="s">
        <v>1449</v>
      </c>
      <c r="G797" s="26" t="s">
        <v>990</v>
      </c>
      <c r="H797" s="33" t="str">
        <f>IF(E797="Não","Não aplicável",IFERROR(IF(B797="EU-ENV-002",IF(INDEX(tbl_recyclass[Conforme_PPWR_2030],MATCH(A797,tbl_recyclass[ProductId],0))="Sim","Conforme (autoavaliação)",IF(INDEX(tbl_recyclass[Conforme_PPWR_2030],MATCH(A797,tbl_recyclass[ProductId],0))="Não","Não conforme em 2030","Isento até 2035")),IF(B797="EU-ENV-003",IF(INDEX(tbl_recyclass[Conforme_Art7_2030],MATCH(A797,tbl_recyclass[ProductId],0))="Sim","Conforme (meta 2030)",IF(INDEX(tbl_recyclass[Conforme_Art7_2030],MATCH(A797,tbl_recyclass[ProductId],0))="Não","Lacuna face à meta 2030","Isento")),IF(B797="EU-ENV-011",IF(INDEX(tbl_familias_ppwr[Metais_Pesados_Evidencia],MATCH(INDEX(tbl_recyclass[Familia_PPWR],MATCH(A797,tbl_recyclass[ProductId],0)),tbl_familias_ppwr[ID_Familia],0))="Em falta","Lacuna","Conforme"),IF(B797="EU-ENV-013",IF(INDEX(tbl_familias_ppwr[Declaracao_UE],MATCH(INDEX(tbl_recyclass[Familia_PPWR],MATCH(A797,tbl_recyclass[ProductId],0)),tbl_familias_ppwr[ID_Familia],0))="Sim","Conforme","Lacuna"),G797)))),G797))</f>
        <v>Futuro</v>
      </c>
      <c r="I797" s="33" t="str">
        <f t="shared" si="12"/>
        <v>Futuro</v>
      </c>
      <c r="J797" s="26" t="s">
        <v>1021</v>
      </c>
    </row>
    <row r="798" spans="1:10" ht="16.05" customHeight="1" x14ac:dyDescent="0.3">
      <c r="A798" s="26" t="s">
        <v>703</v>
      </c>
      <c r="B798" s="26" t="s">
        <v>1038</v>
      </c>
      <c r="C798" s="33" t="str">
        <f>IFERROR(INDEX(tbl_requisitos_emb[Tema],MATCH(B798,tbl_requisitos_emb[ID_Req],0)),"")</f>
        <v>Plásticos de utilização única</v>
      </c>
      <c r="D798" s="33" t="str">
        <f>IFERROR(INDEX(tbl_recyclass[Segmento],MATCH(A798,tbl_recyclass[ProductId],0)),"")</f>
        <v>Cosmética e higiene pessoal</v>
      </c>
      <c r="E798" s="26" t="s">
        <v>904</v>
      </c>
      <c r="F798" s="26" t="s">
        <v>1450</v>
      </c>
      <c r="G798" s="26" t="s">
        <v>1143</v>
      </c>
      <c r="H798" s="33" t="str">
        <f>IF(E798="Não","Não aplicável",IFERROR(IF(B798="EU-ENV-002",IF(INDEX(tbl_recyclass[Conforme_PPWR_2030],MATCH(A798,tbl_recyclass[ProductId],0))="Sim","Conforme (autoavaliação)",IF(INDEX(tbl_recyclass[Conforme_PPWR_2030],MATCH(A798,tbl_recyclass[ProductId],0))="Não","Não conforme em 2030","Isento até 2035")),IF(B798="EU-ENV-003",IF(INDEX(tbl_recyclass[Conforme_Art7_2030],MATCH(A798,tbl_recyclass[ProductId],0))="Sim","Conforme (meta 2030)",IF(INDEX(tbl_recyclass[Conforme_Art7_2030],MATCH(A798,tbl_recyclass[ProductId],0))="Não","Lacuna face à meta 2030","Isento")),IF(B798="EU-ENV-011",IF(INDEX(tbl_familias_ppwr[Metais_Pesados_Evidencia],MATCH(INDEX(tbl_recyclass[Familia_PPWR],MATCH(A798,tbl_recyclass[ProductId],0)),tbl_familias_ppwr[ID_Familia],0))="Em falta","Lacuna","Conforme"),IF(B798="EU-ENV-013",IF(INDEX(tbl_familias_ppwr[Declaracao_UE],MATCH(INDEX(tbl_recyclass[Familia_PPWR],MATCH(A798,tbl_recyclass[ProductId],0)),tbl_familias_ppwr[ID_Familia],0))="Sim","Conforme","Lacuna"),G798)))),G798))</f>
        <v>Não aplicável</v>
      </c>
      <c r="I798" s="33" t="str">
        <f t="shared" si="12"/>
        <v>Não aplicável</v>
      </c>
      <c r="J798" s="26"/>
    </row>
    <row r="799" spans="1:10" ht="16.05" customHeight="1" x14ac:dyDescent="0.3">
      <c r="A799" s="26" t="s">
        <v>703</v>
      </c>
      <c r="B799" s="26" t="s">
        <v>1078</v>
      </c>
      <c r="C799" s="33" t="str">
        <f>IFERROR(INDEX(tbl_requisitos_emb[Tema],MATCH(B799,tbl_requisitos_emb[ID_Req],0)),"")</f>
        <v>Reciclado à escala</v>
      </c>
      <c r="D799" s="33" t="str">
        <f>IFERROR(INDEX(tbl_recyclass[Segmento],MATCH(A799,tbl_recyclass[ProductId],0)),"")</f>
        <v>Cosmética e higiene pessoal</v>
      </c>
      <c r="E799" s="26" t="s">
        <v>901</v>
      </c>
      <c r="F799" s="26" t="s">
        <v>1449</v>
      </c>
      <c r="G799" s="26" t="s">
        <v>990</v>
      </c>
      <c r="H799" s="33" t="str">
        <f>IF(E799="Não","Não aplicável",IFERROR(IF(B799="EU-ENV-002",IF(INDEX(tbl_recyclass[Conforme_PPWR_2030],MATCH(A799,tbl_recyclass[ProductId],0))="Sim","Conforme (autoavaliação)",IF(INDEX(tbl_recyclass[Conforme_PPWR_2030],MATCH(A799,tbl_recyclass[ProductId],0))="Não","Não conforme em 2030","Isento até 2035")),IF(B799="EU-ENV-003",IF(INDEX(tbl_recyclass[Conforme_Art7_2030],MATCH(A799,tbl_recyclass[ProductId],0))="Sim","Conforme (meta 2030)",IF(INDEX(tbl_recyclass[Conforme_Art7_2030],MATCH(A799,tbl_recyclass[ProductId],0))="Não","Lacuna face à meta 2030","Isento")),IF(B799="EU-ENV-011",IF(INDEX(tbl_familias_ppwr[Metais_Pesados_Evidencia],MATCH(INDEX(tbl_recyclass[Familia_PPWR],MATCH(A799,tbl_recyclass[ProductId],0)),tbl_familias_ppwr[ID_Familia],0))="Em falta","Lacuna","Conforme"),IF(B799="EU-ENV-013",IF(INDEX(tbl_familias_ppwr[Declaracao_UE],MATCH(INDEX(tbl_recyclass[Familia_PPWR],MATCH(A799,tbl_recyclass[ProductId],0)),tbl_familias_ppwr[ID_Familia],0))="Sim","Conforme","Lacuna"),G799)))),G799))</f>
        <v>Futuro</v>
      </c>
      <c r="I799" s="33" t="str">
        <f t="shared" si="12"/>
        <v>Futuro</v>
      </c>
      <c r="J799" s="26" t="s">
        <v>1082</v>
      </c>
    </row>
    <row r="800" spans="1:10" ht="16.05" customHeight="1" x14ac:dyDescent="0.3">
      <c r="A800" s="26" t="s">
        <v>703</v>
      </c>
      <c r="B800" s="26" t="s">
        <v>1086</v>
      </c>
      <c r="C800" s="33" t="str">
        <f>IFERROR(INDEX(tbl_requisitos_emb[Tema],MATCH(B800,tbl_requisitos_emb[ID_Req],0)),"")</f>
        <v>Metais pesados</v>
      </c>
      <c r="D800" s="33" t="str">
        <f>IFERROR(INDEX(tbl_recyclass[Segmento],MATCH(A800,tbl_recyclass[ProductId],0)),"")</f>
        <v>Cosmética e higiene pessoal</v>
      </c>
      <c r="E800" s="26" t="s">
        <v>901</v>
      </c>
      <c r="F800" s="26" t="s">
        <v>1449</v>
      </c>
      <c r="G800" s="26" t="s">
        <v>978</v>
      </c>
      <c r="H800" s="33" t="str">
        <f>IF(E800="Não","Não aplicável",IFERROR(IF(B800="EU-ENV-002",IF(INDEX(tbl_recyclass[Conforme_PPWR_2030],MATCH(A800,tbl_recyclass[ProductId],0))="Sim","Conforme (autoavaliação)",IF(INDEX(tbl_recyclass[Conforme_PPWR_2030],MATCH(A800,tbl_recyclass[ProductId],0))="Não","Não conforme em 2030","Isento até 2035")),IF(B800="EU-ENV-003",IF(INDEX(tbl_recyclass[Conforme_Art7_2030],MATCH(A800,tbl_recyclass[ProductId],0))="Sim","Conforme (meta 2030)",IF(INDEX(tbl_recyclass[Conforme_Art7_2030],MATCH(A800,tbl_recyclass[ProductId],0))="Não","Lacuna face à meta 2030","Isento")),IF(B800="EU-ENV-011",IF(INDEX(tbl_familias_ppwr[Metais_Pesados_Evidencia],MATCH(INDEX(tbl_recyclass[Familia_PPWR],MATCH(A800,tbl_recyclass[ProductId],0)),tbl_familias_ppwr[ID_Familia],0))="Em falta","Lacuna","Conforme"),IF(B800="EU-ENV-013",IF(INDEX(tbl_familias_ppwr[Declaracao_UE],MATCH(INDEX(tbl_recyclass[Familia_PPWR],MATCH(A800,tbl_recyclass[ProductId],0)),tbl_familias_ppwr[ID_Familia],0))="Sim","Conforme","Lacuna"),G800)))),G800))</f>
        <v>Lacuna</v>
      </c>
      <c r="I800" s="33" t="str">
        <f t="shared" si="12"/>
        <v>Lacuna</v>
      </c>
      <c r="J800" s="26" t="s">
        <v>1090</v>
      </c>
    </row>
    <row r="801" spans="1:10" ht="16.05" customHeight="1" x14ac:dyDescent="0.3">
      <c r="A801" s="26" t="s">
        <v>703</v>
      </c>
      <c r="B801" s="26" t="s">
        <v>1094</v>
      </c>
      <c r="C801" s="33" t="str">
        <f>IFERROR(INDEX(tbl_requisitos_emb[Tema],MATCH(B801,tbl_requisitos_emb[ID_Req],0)),"")</f>
        <v>PFAS</v>
      </c>
      <c r="D801" s="33" t="str">
        <f>IFERROR(INDEX(tbl_recyclass[Segmento],MATCH(A801,tbl_recyclass[ProductId],0)),"")</f>
        <v>Cosmética e higiene pessoal</v>
      </c>
      <c r="E801" s="26" t="s">
        <v>904</v>
      </c>
      <c r="F801" s="26" t="s">
        <v>1450</v>
      </c>
      <c r="G801" s="26" t="s">
        <v>1143</v>
      </c>
      <c r="H801" s="33" t="str">
        <f>IF(E801="Não","Não aplicável",IFERROR(IF(B801="EU-ENV-002",IF(INDEX(tbl_recyclass[Conforme_PPWR_2030],MATCH(A801,tbl_recyclass[ProductId],0))="Sim","Conforme (autoavaliação)",IF(INDEX(tbl_recyclass[Conforme_PPWR_2030],MATCH(A801,tbl_recyclass[ProductId],0))="Não","Não conforme em 2030","Isento até 2035")),IF(B801="EU-ENV-003",IF(INDEX(tbl_recyclass[Conforme_Art7_2030],MATCH(A801,tbl_recyclass[ProductId],0))="Sim","Conforme (meta 2030)",IF(INDEX(tbl_recyclass[Conforme_Art7_2030],MATCH(A801,tbl_recyclass[ProductId],0))="Não","Lacuna face à meta 2030","Isento")),IF(B801="EU-ENV-011",IF(INDEX(tbl_familias_ppwr[Metais_Pesados_Evidencia],MATCH(INDEX(tbl_recyclass[Familia_PPWR],MATCH(A801,tbl_recyclass[ProductId],0)),tbl_familias_ppwr[ID_Familia],0))="Em falta","Lacuna","Conforme"),IF(B801="EU-ENV-013",IF(INDEX(tbl_familias_ppwr[Declaracao_UE],MATCH(INDEX(tbl_recyclass[Familia_PPWR],MATCH(A801,tbl_recyclass[ProductId],0)),tbl_familias_ppwr[ID_Familia],0))="Sim","Conforme","Lacuna"),G801)))),G801))</f>
        <v>Não aplicável</v>
      </c>
      <c r="I801" s="33" t="str">
        <f t="shared" si="12"/>
        <v>Não aplicável</v>
      </c>
      <c r="J801" s="26"/>
    </row>
    <row r="802" spans="1:10" ht="16.05" customHeight="1" x14ac:dyDescent="0.3">
      <c r="A802" s="26" t="s">
        <v>703</v>
      </c>
      <c r="B802" s="26" t="s">
        <v>1102</v>
      </c>
      <c r="C802" s="33" t="str">
        <f>IFERROR(INDEX(tbl_requisitos_emb[Tema],MATCH(B802,tbl_requisitos_emb[ID_Req],0)),"")</f>
        <v>Documentação técnica e declaração UE</v>
      </c>
      <c r="D802" s="33" t="str">
        <f>IFERROR(INDEX(tbl_recyclass[Segmento],MATCH(A802,tbl_recyclass[ProductId],0)),"")</f>
        <v>Cosmética e higiene pessoal</v>
      </c>
      <c r="E802" s="26" t="s">
        <v>901</v>
      </c>
      <c r="F802" s="26" t="s">
        <v>1449</v>
      </c>
      <c r="G802" s="26" t="s">
        <v>978</v>
      </c>
      <c r="H802" s="33" t="str">
        <f>IF(E802="Não","Não aplicável",IFERROR(IF(B802="EU-ENV-002",IF(INDEX(tbl_recyclass[Conforme_PPWR_2030],MATCH(A802,tbl_recyclass[ProductId],0))="Sim","Conforme (autoavaliação)",IF(INDEX(tbl_recyclass[Conforme_PPWR_2030],MATCH(A802,tbl_recyclass[ProductId],0))="Não","Não conforme em 2030","Isento até 2035")),IF(B802="EU-ENV-003",IF(INDEX(tbl_recyclass[Conforme_Art7_2030],MATCH(A802,tbl_recyclass[ProductId],0))="Sim","Conforme (meta 2030)",IF(INDEX(tbl_recyclass[Conforme_Art7_2030],MATCH(A802,tbl_recyclass[ProductId],0))="Não","Lacuna face à meta 2030","Isento")),IF(B802="EU-ENV-011",IF(INDEX(tbl_familias_ppwr[Metais_Pesados_Evidencia],MATCH(INDEX(tbl_recyclass[Familia_PPWR],MATCH(A802,tbl_recyclass[ProductId],0)),tbl_familias_ppwr[ID_Familia],0))="Em falta","Lacuna","Conforme"),IF(B802="EU-ENV-013",IF(INDEX(tbl_familias_ppwr[Declaracao_UE],MATCH(INDEX(tbl_recyclass[Familia_PPWR],MATCH(A802,tbl_recyclass[ProductId],0)),tbl_familias_ppwr[ID_Familia],0))="Sim","Conforme","Lacuna"),G802)))),G802))</f>
        <v>Lacuna</v>
      </c>
      <c r="I802" s="33" t="str">
        <f t="shared" si="12"/>
        <v>Lacuna</v>
      </c>
      <c r="J802" s="26" t="s">
        <v>1106</v>
      </c>
    </row>
    <row r="803" spans="1:10" ht="16.05" customHeight="1" x14ac:dyDescent="0.3">
      <c r="A803" s="26" t="s">
        <v>703</v>
      </c>
      <c r="B803" s="26" t="s">
        <v>1161</v>
      </c>
      <c r="C803" s="33" t="str">
        <f>IFERROR(INDEX(tbl_requisitos_emb[Tema],MATCH(B803,tbl_requisitos_emb[ID_Req],0)),"")</f>
        <v>Materiais em contacto com alimentos</v>
      </c>
      <c r="D803" s="33" t="str">
        <f>IFERROR(INDEX(tbl_recyclass[Segmento],MATCH(A803,tbl_recyclass[ProductId],0)),"")</f>
        <v>Cosmética e higiene pessoal</v>
      </c>
      <c r="E803" s="26" t="s">
        <v>904</v>
      </c>
      <c r="F803" s="26" t="s">
        <v>1450</v>
      </c>
      <c r="G803" s="26" t="s">
        <v>1143</v>
      </c>
      <c r="H803" s="33" t="str">
        <f>IF(E803="Não","Não aplicável",IFERROR(IF(B803="EU-ENV-002",IF(INDEX(tbl_recyclass[Conforme_PPWR_2030],MATCH(A803,tbl_recyclass[ProductId],0))="Sim","Conforme (autoavaliação)",IF(INDEX(tbl_recyclass[Conforme_PPWR_2030],MATCH(A803,tbl_recyclass[ProductId],0))="Não","Não conforme em 2030","Isento até 2035")),IF(B803="EU-ENV-003",IF(INDEX(tbl_recyclass[Conforme_Art7_2030],MATCH(A803,tbl_recyclass[ProductId],0))="Sim","Conforme (meta 2030)",IF(INDEX(tbl_recyclass[Conforme_Art7_2030],MATCH(A803,tbl_recyclass[ProductId],0))="Não","Lacuna face à meta 2030","Isento")),IF(B803="EU-ENV-011",IF(INDEX(tbl_familias_ppwr[Metais_Pesados_Evidencia],MATCH(INDEX(tbl_recyclass[Familia_PPWR],MATCH(A803,tbl_recyclass[ProductId],0)),tbl_familias_ppwr[ID_Familia],0))="Em falta","Lacuna","Conforme"),IF(B803="EU-ENV-013",IF(INDEX(tbl_familias_ppwr[Declaracao_UE],MATCH(INDEX(tbl_recyclass[Familia_PPWR],MATCH(A803,tbl_recyclass[ProductId],0)),tbl_familias_ppwr[ID_Familia],0))="Sim","Conforme","Lacuna"),G803)))),G803))</f>
        <v>Não aplicável</v>
      </c>
      <c r="I803" s="33" t="str">
        <f t="shared" si="12"/>
        <v>Não aplicável</v>
      </c>
      <c r="J803" s="26"/>
    </row>
    <row r="804" spans="1:10" ht="16.05" customHeight="1" x14ac:dyDescent="0.3">
      <c r="A804" s="26" t="s">
        <v>703</v>
      </c>
      <c r="B804" s="26" t="s">
        <v>1170</v>
      </c>
      <c r="C804" s="33" t="str">
        <f>IFERROR(INDEX(tbl_requisitos_emb[Tema],MATCH(B804,tbl_requisitos_emb[ID_Req],0)),"")</f>
        <v>Boas práticas de fabrico FCM</v>
      </c>
      <c r="D804" s="33" t="str">
        <f>IFERROR(INDEX(tbl_recyclass[Segmento],MATCH(A804,tbl_recyclass[ProductId],0)),"")</f>
        <v>Cosmética e higiene pessoal</v>
      </c>
      <c r="E804" s="26" t="s">
        <v>904</v>
      </c>
      <c r="F804" s="26" t="s">
        <v>1450</v>
      </c>
      <c r="G804" s="26" t="s">
        <v>1143</v>
      </c>
      <c r="H804" s="33" t="str">
        <f>IF(E804="Não","Não aplicável",IFERROR(IF(B804="EU-ENV-002",IF(INDEX(tbl_recyclass[Conforme_PPWR_2030],MATCH(A804,tbl_recyclass[ProductId],0))="Sim","Conforme (autoavaliação)",IF(INDEX(tbl_recyclass[Conforme_PPWR_2030],MATCH(A804,tbl_recyclass[ProductId],0))="Não","Não conforme em 2030","Isento até 2035")),IF(B804="EU-ENV-003",IF(INDEX(tbl_recyclass[Conforme_Art7_2030],MATCH(A804,tbl_recyclass[ProductId],0))="Sim","Conforme (meta 2030)",IF(INDEX(tbl_recyclass[Conforme_Art7_2030],MATCH(A804,tbl_recyclass[ProductId],0))="Não","Lacuna face à meta 2030","Isento")),IF(B804="EU-ENV-011",IF(INDEX(tbl_familias_ppwr[Metais_Pesados_Evidencia],MATCH(INDEX(tbl_recyclass[Familia_PPWR],MATCH(A804,tbl_recyclass[ProductId],0)),tbl_familias_ppwr[ID_Familia],0))="Em falta","Lacuna","Conforme"),IF(B804="EU-ENV-013",IF(INDEX(tbl_familias_ppwr[Declaracao_UE],MATCH(INDEX(tbl_recyclass[Familia_PPWR],MATCH(A804,tbl_recyclass[ProductId],0)),tbl_familias_ppwr[ID_Familia],0))="Sim","Conforme","Lacuna"),G804)))),G804))</f>
        <v>Não aplicável</v>
      </c>
      <c r="I804" s="33" t="str">
        <f t="shared" si="12"/>
        <v>Não aplicável</v>
      </c>
      <c r="J804" s="26"/>
    </row>
    <row r="805" spans="1:10" ht="16.05" customHeight="1" x14ac:dyDescent="0.3">
      <c r="A805" s="26" t="s">
        <v>703</v>
      </c>
      <c r="B805" s="26" t="s">
        <v>1179</v>
      </c>
      <c r="C805" s="33" t="str">
        <f>IFERROR(INDEX(tbl_requisitos_emb[Tema],MATCH(B805,tbl_requisitos_emb[ID_Req],0)),"")</f>
        <v>Bisfenol A e bisfenóis perigosos</v>
      </c>
      <c r="D805" s="33" t="str">
        <f>IFERROR(INDEX(tbl_recyclass[Segmento],MATCH(A805,tbl_recyclass[ProductId],0)),"")</f>
        <v>Cosmética e higiene pessoal</v>
      </c>
      <c r="E805" s="26" t="s">
        <v>904</v>
      </c>
      <c r="F805" s="26" t="s">
        <v>1450</v>
      </c>
      <c r="G805" s="26" t="s">
        <v>1143</v>
      </c>
      <c r="H805" s="33" t="str">
        <f>IF(E805="Não","Não aplicável",IFERROR(IF(B805="EU-ENV-002",IF(INDEX(tbl_recyclass[Conforme_PPWR_2030],MATCH(A805,tbl_recyclass[ProductId],0))="Sim","Conforme (autoavaliação)",IF(INDEX(tbl_recyclass[Conforme_PPWR_2030],MATCH(A805,tbl_recyclass[ProductId],0))="Não","Não conforme em 2030","Isento até 2035")),IF(B805="EU-ENV-003",IF(INDEX(tbl_recyclass[Conforme_Art7_2030],MATCH(A805,tbl_recyclass[ProductId],0))="Sim","Conforme (meta 2030)",IF(INDEX(tbl_recyclass[Conforme_Art7_2030],MATCH(A805,tbl_recyclass[ProductId],0))="Não","Lacuna face à meta 2030","Isento")),IF(B805="EU-ENV-011",IF(INDEX(tbl_familias_ppwr[Metais_Pesados_Evidencia],MATCH(INDEX(tbl_recyclass[Familia_PPWR],MATCH(A805,tbl_recyclass[ProductId],0)),tbl_familias_ppwr[ID_Familia],0))="Em falta","Lacuna","Conforme"),IF(B805="EU-ENV-013",IF(INDEX(tbl_familias_ppwr[Declaracao_UE],MATCH(INDEX(tbl_recyclass[Familia_PPWR],MATCH(A805,tbl_recyclass[ProductId],0)),tbl_familias_ppwr[ID_Familia],0))="Sim","Conforme","Lacuna"),G805)))),G805))</f>
        <v>Não aplicável</v>
      </c>
      <c r="I805" s="33" t="str">
        <f t="shared" si="12"/>
        <v>Não aplicável</v>
      </c>
      <c r="J805" s="26"/>
    </row>
    <row r="806" spans="1:10" ht="16.05" customHeight="1" x14ac:dyDescent="0.3">
      <c r="A806" s="26" t="s">
        <v>703</v>
      </c>
      <c r="B806" s="26" t="s">
        <v>1188</v>
      </c>
      <c r="C806" s="33" t="str">
        <f>IFERROR(INDEX(tbl_requisitos_emb[Tema],MATCH(B806,tbl_requisitos_emb[ID_Req],0)),"")</f>
        <v>Plásticos em contacto com alimentos</v>
      </c>
      <c r="D806" s="33" t="str">
        <f>IFERROR(INDEX(tbl_recyclass[Segmento],MATCH(A806,tbl_recyclass[ProductId],0)),"")</f>
        <v>Cosmética e higiene pessoal</v>
      </c>
      <c r="E806" s="26" t="s">
        <v>904</v>
      </c>
      <c r="F806" s="26" t="s">
        <v>1450</v>
      </c>
      <c r="G806" s="26" t="s">
        <v>1143</v>
      </c>
      <c r="H806" s="33" t="str">
        <f>IF(E806="Não","Não aplicável",IFERROR(IF(B806="EU-ENV-002",IF(INDEX(tbl_recyclass[Conforme_PPWR_2030],MATCH(A806,tbl_recyclass[ProductId],0))="Sim","Conforme (autoavaliação)",IF(INDEX(tbl_recyclass[Conforme_PPWR_2030],MATCH(A806,tbl_recyclass[ProductId],0))="Não","Não conforme em 2030","Isento até 2035")),IF(B806="EU-ENV-003",IF(INDEX(tbl_recyclass[Conforme_Art7_2030],MATCH(A806,tbl_recyclass[ProductId],0))="Sim","Conforme (meta 2030)",IF(INDEX(tbl_recyclass[Conforme_Art7_2030],MATCH(A806,tbl_recyclass[ProductId],0))="Não","Lacuna face à meta 2030","Isento")),IF(B806="EU-ENV-011",IF(INDEX(tbl_familias_ppwr[Metais_Pesados_Evidencia],MATCH(INDEX(tbl_recyclass[Familia_PPWR],MATCH(A806,tbl_recyclass[ProductId],0)),tbl_familias_ppwr[ID_Familia],0))="Em falta","Lacuna","Conforme"),IF(B806="EU-ENV-013",IF(INDEX(tbl_familias_ppwr[Declaracao_UE],MATCH(INDEX(tbl_recyclass[Familia_PPWR],MATCH(A806,tbl_recyclass[ProductId],0)),tbl_familias_ppwr[ID_Familia],0))="Sim","Conforme","Lacuna"),G806)))),G806))</f>
        <v>Não aplicável</v>
      </c>
      <c r="I806" s="33" t="str">
        <f t="shared" si="12"/>
        <v>Não aplicável</v>
      </c>
      <c r="J806" s="26"/>
    </row>
    <row r="807" spans="1:10" ht="16.05" customHeight="1" x14ac:dyDescent="0.3">
      <c r="A807" s="26" t="s">
        <v>703</v>
      </c>
      <c r="B807" s="26" t="s">
        <v>1212</v>
      </c>
      <c r="C807" s="33" t="str">
        <f>IFERROR(INDEX(tbl_requisitos_emb[Tema],MATCH(B807,tbl_requisitos_emb[ID_Req],0)),"")</f>
        <v>Segurança do produto cosmético</v>
      </c>
      <c r="D807" s="33" t="str">
        <f>IFERROR(INDEX(tbl_recyclass[Segmento],MATCH(A807,tbl_recyclass[ProductId],0)),"")</f>
        <v>Cosmética e higiene pessoal</v>
      </c>
      <c r="E807" s="26" t="s">
        <v>901</v>
      </c>
      <c r="F807" s="26" t="s">
        <v>1449</v>
      </c>
      <c r="G807" s="26" t="s">
        <v>1033</v>
      </c>
      <c r="H807" s="33" t="str">
        <f>IF(E807="Não","Não aplicável",IFERROR(IF(B807="EU-ENV-002",IF(INDEX(tbl_recyclass[Conforme_PPWR_2030],MATCH(A807,tbl_recyclass[ProductId],0))="Sim","Conforme (autoavaliação)",IF(INDEX(tbl_recyclass[Conforme_PPWR_2030],MATCH(A807,tbl_recyclass[ProductId],0))="Não","Não conforme em 2030","Isento até 2035")),IF(B807="EU-ENV-003",IF(INDEX(tbl_recyclass[Conforme_Art7_2030],MATCH(A807,tbl_recyclass[ProductId],0))="Sim","Conforme (meta 2030)",IF(INDEX(tbl_recyclass[Conforme_Art7_2030],MATCH(A807,tbl_recyclass[ProductId],0))="Não","Lacuna face à meta 2030","Isento")),IF(B807="EU-ENV-011",IF(INDEX(tbl_familias_ppwr[Metais_Pesados_Evidencia],MATCH(INDEX(tbl_recyclass[Familia_PPWR],MATCH(A807,tbl_recyclass[ProductId],0)),tbl_familias_ppwr[ID_Familia],0))="Em falta","Lacuna","Conforme"),IF(B807="EU-ENV-013",IF(INDEX(tbl_familias_ppwr[Declaracao_UE],MATCH(INDEX(tbl_recyclass[Familia_PPWR],MATCH(A807,tbl_recyclass[ProductId],0)),tbl_familias_ppwr[ID_Familia],0))="Sim","Conforme","Lacuna"),G807)))),G807))</f>
        <v>Conforme</v>
      </c>
      <c r="I807" s="33" t="str">
        <f t="shared" si="12"/>
        <v>Conforme</v>
      </c>
      <c r="J807" s="26" t="s">
        <v>1221</v>
      </c>
    </row>
    <row r="808" spans="1:10" ht="16.05" customHeight="1" x14ac:dyDescent="0.3">
      <c r="A808" s="26" t="s">
        <v>703</v>
      </c>
      <c r="B808" s="26" t="s">
        <v>1224</v>
      </c>
      <c r="C808" s="33" t="str">
        <f>IFERROR(INDEX(tbl_requisitos_emb[Tema],MATCH(B808,tbl_requisitos_emb[ID_Req],0)),"")</f>
        <v>Materiais e impurezas</v>
      </c>
      <c r="D808" s="33" t="str">
        <f>IFERROR(INDEX(tbl_recyclass[Segmento],MATCH(A808,tbl_recyclass[ProductId],0)),"")</f>
        <v>Cosmética e higiene pessoal</v>
      </c>
      <c r="E808" s="26" t="s">
        <v>901</v>
      </c>
      <c r="F808" s="26" t="s">
        <v>1449</v>
      </c>
      <c r="G808" s="26" t="s">
        <v>978</v>
      </c>
      <c r="H808" s="33" t="str">
        <f>IF(E808="Não","Não aplicável",IFERROR(IF(B808="EU-ENV-002",IF(INDEX(tbl_recyclass[Conforme_PPWR_2030],MATCH(A808,tbl_recyclass[ProductId],0))="Sim","Conforme (autoavaliação)",IF(INDEX(tbl_recyclass[Conforme_PPWR_2030],MATCH(A808,tbl_recyclass[ProductId],0))="Não","Não conforme em 2030","Isento até 2035")),IF(B808="EU-ENV-003",IF(INDEX(tbl_recyclass[Conforme_Art7_2030],MATCH(A808,tbl_recyclass[ProductId],0))="Sim","Conforme (meta 2030)",IF(INDEX(tbl_recyclass[Conforme_Art7_2030],MATCH(A808,tbl_recyclass[ProductId],0))="Não","Lacuna face à meta 2030","Isento")),IF(B808="EU-ENV-011",IF(INDEX(tbl_familias_ppwr[Metais_Pesados_Evidencia],MATCH(INDEX(tbl_recyclass[Familia_PPWR],MATCH(A808,tbl_recyclass[ProductId],0)),tbl_familias_ppwr[ID_Familia],0))="Em falta","Lacuna","Conforme"),IF(B808="EU-ENV-013",IF(INDEX(tbl_familias_ppwr[Declaracao_UE],MATCH(INDEX(tbl_recyclass[Familia_PPWR],MATCH(A808,tbl_recyclass[ProductId],0)),tbl_familias_ppwr[ID_Familia],0))="Sim","Conforme","Lacuna"),G808)))),G808))</f>
        <v>Parcial</v>
      </c>
      <c r="I808" s="33" t="str">
        <f t="shared" si="12"/>
        <v>Parcial</v>
      </c>
      <c r="J808" s="26" t="s">
        <v>1228</v>
      </c>
    </row>
    <row r="809" spans="1:10" ht="16.05" customHeight="1" x14ac:dyDescent="0.3">
      <c r="A809" s="26" t="s">
        <v>703</v>
      </c>
      <c r="B809" s="26" t="s">
        <v>1240</v>
      </c>
      <c r="C809" s="33" t="str">
        <f>IFERROR(INDEX(tbl_requisitos_emb[Tema],MATCH(B809,tbl_requisitos_emb[ID_Req],0)),"")</f>
        <v>Compatibilidade embalagem–produto</v>
      </c>
      <c r="D809" s="33" t="str">
        <f>IFERROR(INDEX(tbl_recyclass[Segmento],MATCH(A809,tbl_recyclass[ProductId],0)),"")</f>
        <v>Cosmética e higiene pessoal</v>
      </c>
      <c r="E809" s="26" t="s">
        <v>901</v>
      </c>
      <c r="F809" s="26" t="s">
        <v>1449</v>
      </c>
      <c r="G809" s="26" t="s">
        <v>1033</v>
      </c>
      <c r="H809" s="33" t="str">
        <f>IF(E809="Não","Não aplicável",IFERROR(IF(B809="EU-ENV-002",IF(INDEX(tbl_recyclass[Conforme_PPWR_2030],MATCH(A809,tbl_recyclass[ProductId],0))="Sim","Conforme (autoavaliação)",IF(INDEX(tbl_recyclass[Conforme_PPWR_2030],MATCH(A809,tbl_recyclass[ProductId],0))="Não","Não conforme em 2030","Isento até 2035")),IF(B809="EU-ENV-003",IF(INDEX(tbl_recyclass[Conforme_Art7_2030],MATCH(A809,tbl_recyclass[ProductId],0))="Sim","Conforme (meta 2030)",IF(INDEX(tbl_recyclass[Conforme_Art7_2030],MATCH(A809,tbl_recyclass[ProductId],0))="Não","Lacuna face à meta 2030","Isento")),IF(B809="EU-ENV-011",IF(INDEX(tbl_familias_ppwr[Metais_Pesados_Evidencia],MATCH(INDEX(tbl_recyclass[Familia_PPWR],MATCH(A809,tbl_recyclass[ProductId],0)),tbl_familias_ppwr[ID_Familia],0))="Em falta","Lacuna","Conforme"),IF(B809="EU-ENV-013",IF(INDEX(tbl_familias_ppwr[Declaracao_UE],MATCH(INDEX(tbl_recyclass[Familia_PPWR],MATCH(A809,tbl_recyclass[ProductId],0)),tbl_familias_ppwr[ID_Familia],0))="Sim","Conforme","Lacuna"),G809)))),G809))</f>
        <v>Conforme</v>
      </c>
      <c r="I809" s="33" t="str">
        <f t="shared" si="12"/>
        <v>Conforme</v>
      </c>
      <c r="J809" s="26" t="s">
        <v>1244</v>
      </c>
    </row>
    <row r="810" spans="1:10" ht="16.05" customHeight="1" x14ac:dyDescent="0.3">
      <c r="A810" s="26" t="s">
        <v>703</v>
      </c>
      <c r="B810" s="26" t="s">
        <v>1252</v>
      </c>
      <c r="C810" s="33" t="str">
        <f>IFERROR(INDEX(tbl_requisitos_emb[Tema],MATCH(B810,tbl_requisitos_emb[ID_Req],0)),"")</f>
        <v>Medicamentos de uso humano</v>
      </c>
      <c r="D810" s="33" t="str">
        <f>IFERROR(INDEX(tbl_recyclass[Segmento],MATCH(A810,tbl_recyclass[ProductId],0)),"")</f>
        <v>Cosmética e higiene pessoal</v>
      </c>
      <c r="E810" s="26" t="s">
        <v>904</v>
      </c>
      <c r="F810" s="26" t="s">
        <v>1451</v>
      </c>
      <c r="G810" s="26" t="s">
        <v>1143</v>
      </c>
      <c r="H810" s="33" t="str">
        <f>IF(E810="Não","Não aplicável",IFERROR(IF(B810="EU-ENV-002",IF(INDEX(tbl_recyclass[Conforme_PPWR_2030],MATCH(A810,tbl_recyclass[ProductId],0))="Sim","Conforme (autoavaliação)",IF(INDEX(tbl_recyclass[Conforme_PPWR_2030],MATCH(A810,tbl_recyclass[ProductId],0))="Não","Não conforme em 2030","Isento até 2035")),IF(B810="EU-ENV-003",IF(INDEX(tbl_recyclass[Conforme_Art7_2030],MATCH(A810,tbl_recyclass[ProductId],0))="Sim","Conforme (meta 2030)",IF(INDEX(tbl_recyclass[Conforme_Art7_2030],MATCH(A810,tbl_recyclass[ProductId],0))="Não","Lacuna face à meta 2030","Isento")),IF(B810="EU-ENV-011",IF(INDEX(tbl_familias_ppwr[Metais_Pesados_Evidencia],MATCH(INDEX(tbl_recyclass[Familia_PPWR],MATCH(A810,tbl_recyclass[ProductId],0)),tbl_familias_ppwr[ID_Familia],0))="Em falta","Lacuna","Conforme"),IF(B810="EU-ENV-013",IF(INDEX(tbl_familias_ppwr[Declaracao_UE],MATCH(INDEX(tbl_recyclass[Familia_PPWR],MATCH(A810,tbl_recyclass[ProductId],0)),tbl_familias_ppwr[ID_Familia],0))="Sim","Conforme","Lacuna"),G810)))),G810))</f>
        <v>Não aplicável</v>
      </c>
      <c r="I810" s="33" t="str">
        <f t="shared" si="12"/>
        <v>Não aplicável</v>
      </c>
      <c r="J810" s="26"/>
    </row>
    <row r="811" spans="1:10" ht="16.05" customHeight="1" x14ac:dyDescent="0.3">
      <c r="A811" s="26" t="s">
        <v>703</v>
      </c>
      <c r="B811" s="26" t="s">
        <v>1268</v>
      </c>
      <c r="C811" s="33" t="str">
        <f>IFERROR(INDEX(tbl_requisitos_emb[Tema],MATCH(B811,tbl_requisitos_emb[ID_Req],0)),"")</f>
        <v>Dispositivos de segurança</v>
      </c>
      <c r="D811" s="33" t="str">
        <f>IFERROR(INDEX(tbl_recyclass[Segmento],MATCH(A811,tbl_recyclass[ProductId],0)),"")</f>
        <v>Cosmética e higiene pessoal</v>
      </c>
      <c r="E811" s="26" t="s">
        <v>904</v>
      </c>
      <c r="F811" s="26" t="s">
        <v>1451</v>
      </c>
      <c r="G811" s="26" t="s">
        <v>1143</v>
      </c>
      <c r="H811" s="33" t="str">
        <f>IF(E811="Não","Não aplicável",IFERROR(IF(B811="EU-ENV-002",IF(INDEX(tbl_recyclass[Conforme_PPWR_2030],MATCH(A811,tbl_recyclass[ProductId],0))="Sim","Conforme (autoavaliação)",IF(INDEX(tbl_recyclass[Conforme_PPWR_2030],MATCH(A811,tbl_recyclass[ProductId],0))="Não","Não conforme em 2030","Isento até 2035")),IF(B811="EU-ENV-003",IF(INDEX(tbl_recyclass[Conforme_Art7_2030],MATCH(A811,tbl_recyclass[ProductId],0))="Sim","Conforme (meta 2030)",IF(INDEX(tbl_recyclass[Conforme_Art7_2030],MATCH(A811,tbl_recyclass[ProductId],0))="Não","Lacuna face à meta 2030","Isento")),IF(B811="EU-ENV-011",IF(INDEX(tbl_familias_ppwr[Metais_Pesados_Evidencia],MATCH(INDEX(tbl_recyclass[Familia_PPWR],MATCH(A811,tbl_recyclass[ProductId],0)),tbl_familias_ppwr[ID_Familia],0))="Em falta","Lacuna","Conforme"),IF(B811="EU-ENV-013",IF(INDEX(tbl_familias_ppwr[Declaracao_UE],MATCH(INDEX(tbl_recyclass[Familia_PPWR],MATCH(A811,tbl_recyclass[ProductId],0)),tbl_familias_ppwr[ID_Familia],0))="Sim","Conforme","Lacuna"),G811)))),G811))</f>
        <v>Não aplicável</v>
      </c>
      <c r="I811" s="33" t="str">
        <f t="shared" si="12"/>
        <v>Não aplicável</v>
      </c>
      <c r="J811" s="26"/>
    </row>
    <row r="812" spans="1:10" ht="16.05" customHeight="1" x14ac:dyDescent="0.3">
      <c r="A812" s="26" t="s">
        <v>703</v>
      </c>
      <c r="B812" s="26" t="s">
        <v>1285</v>
      </c>
      <c r="C812" s="33" t="str">
        <f>IFERROR(INDEX(tbl_requisitos_emb[Tema],MATCH(B812,tbl_requisitos_emb[ID_Req],0)),"")</f>
        <v>Materiais plásticos de acondicionamento primário</v>
      </c>
      <c r="D812" s="33" t="str">
        <f>IFERROR(INDEX(tbl_recyclass[Segmento],MATCH(A812,tbl_recyclass[ProductId],0)),"")</f>
        <v>Cosmética e higiene pessoal</v>
      </c>
      <c r="E812" s="26" t="s">
        <v>904</v>
      </c>
      <c r="F812" s="26" t="s">
        <v>1451</v>
      </c>
      <c r="G812" s="26" t="s">
        <v>1143</v>
      </c>
      <c r="H812" s="33" t="str">
        <f>IF(E812="Não","Não aplicável",IFERROR(IF(B812="EU-ENV-002",IF(INDEX(tbl_recyclass[Conforme_PPWR_2030],MATCH(A812,tbl_recyclass[ProductId],0))="Sim","Conforme (autoavaliação)",IF(INDEX(tbl_recyclass[Conforme_PPWR_2030],MATCH(A812,tbl_recyclass[ProductId],0))="Não","Não conforme em 2030","Isento até 2035")),IF(B812="EU-ENV-003",IF(INDEX(tbl_recyclass[Conforme_Art7_2030],MATCH(A812,tbl_recyclass[ProductId],0))="Sim","Conforme (meta 2030)",IF(INDEX(tbl_recyclass[Conforme_Art7_2030],MATCH(A812,tbl_recyclass[ProductId],0))="Não","Lacuna face à meta 2030","Isento")),IF(B812="EU-ENV-011",IF(INDEX(tbl_familias_ppwr[Metais_Pesados_Evidencia],MATCH(INDEX(tbl_recyclass[Familia_PPWR],MATCH(A812,tbl_recyclass[ProductId],0)),tbl_familias_ppwr[ID_Familia],0))="Em falta","Lacuna","Conforme"),IF(B812="EU-ENV-013",IF(INDEX(tbl_familias_ppwr[Declaracao_UE],MATCH(INDEX(tbl_recyclass[Familia_PPWR],MATCH(A812,tbl_recyclass[ProductId],0)),tbl_familias_ppwr[ID_Familia],0))="Sim","Conforme","Lacuna"),G812)))),G812))</f>
        <v>Não aplicável</v>
      </c>
      <c r="I812" s="33" t="str">
        <f t="shared" si="12"/>
        <v>Não aplicável</v>
      </c>
      <c r="J812" s="26"/>
    </row>
    <row r="813" spans="1:10" ht="16.05" customHeight="1" x14ac:dyDescent="0.3">
      <c r="A813" s="26" t="s">
        <v>703</v>
      </c>
      <c r="B813" s="26" t="s">
        <v>1293</v>
      </c>
      <c r="C813" s="33" t="str">
        <f>IFERROR(INDEX(tbl_requisitos_emb[Tema],MATCH(B813,tbl_requisitos_emb[ID_Req],0)),"")</f>
        <v>Isenções PPWR</v>
      </c>
      <c r="D813" s="33" t="str">
        <f>IFERROR(INDEX(tbl_recyclass[Segmento],MATCH(A813,tbl_recyclass[ProductId],0)),"")</f>
        <v>Cosmética e higiene pessoal</v>
      </c>
      <c r="E813" s="26" t="s">
        <v>904</v>
      </c>
      <c r="F813" s="26" t="s">
        <v>1451</v>
      </c>
      <c r="G813" s="26" t="s">
        <v>1143</v>
      </c>
      <c r="H813" s="33" t="str">
        <f>IF(E813="Não","Não aplicável",IFERROR(IF(B813="EU-ENV-002",IF(INDEX(tbl_recyclass[Conforme_PPWR_2030],MATCH(A813,tbl_recyclass[ProductId],0))="Sim","Conforme (autoavaliação)",IF(INDEX(tbl_recyclass[Conforme_PPWR_2030],MATCH(A813,tbl_recyclass[ProductId],0))="Não","Não conforme em 2030","Isento até 2035")),IF(B813="EU-ENV-003",IF(INDEX(tbl_recyclass[Conforme_Art7_2030],MATCH(A813,tbl_recyclass[ProductId],0))="Sim","Conforme (meta 2030)",IF(INDEX(tbl_recyclass[Conforme_Art7_2030],MATCH(A813,tbl_recyclass[ProductId],0))="Não","Lacuna face à meta 2030","Isento")),IF(B813="EU-ENV-011",IF(INDEX(tbl_familias_ppwr[Metais_Pesados_Evidencia],MATCH(INDEX(tbl_recyclass[Familia_PPWR],MATCH(A813,tbl_recyclass[ProductId],0)),tbl_familias_ppwr[ID_Familia],0))="Em falta","Lacuna","Conforme"),IF(B813="EU-ENV-013",IF(INDEX(tbl_familias_ppwr[Declaracao_UE],MATCH(INDEX(tbl_recyclass[Familia_PPWR],MATCH(A813,tbl_recyclass[ProductId],0)),tbl_familias_ppwr[ID_Familia],0))="Sim","Conforme","Lacuna"),G813)))),G813))</f>
        <v>Não aplicável</v>
      </c>
      <c r="I813" s="33" t="str">
        <f t="shared" si="12"/>
        <v>Não aplicável</v>
      </c>
      <c r="J813" s="26"/>
    </row>
    <row r="814" spans="1:10" ht="16.05" customHeight="1" x14ac:dyDescent="0.3">
      <c r="A814" s="26" t="s">
        <v>703</v>
      </c>
      <c r="B814" s="26" t="s">
        <v>1357</v>
      </c>
      <c r="C814" s="33" t="str">
        <f>IFERROR(INDEX(tbl_requisitos_emb[Tema],MATCH(B814,tbl_requisitos_emb[ID_Req],0)),"")</f>
        <v>Identificação de plásticos</v>
      </c>
      <c r="D814" s="33" t="str">
        <f>IFERROR(INDEX(tbl_recyclass[Segmento],MATCH(A814,tbl_recyclass[ProductId],0)),"")</f>
        <v>Cosmética e higiene pessoal</v>
      </c>
      <c r="E814" s="26" t="s">
        <v>901</v>
      </c>
      <c r="F814" s="26" t="s">
        <v>1449</v>
      </c>
      <c r="G814" s="26" t="s">
        <v>978</v>
      </c>
      <c r="H814" s="33" t="str">
        <f>IF(E814="Não","Não aplicável",IFERROR(IF(B814="EU-ENV-002",IF(INDEX(tbl_recyclass[Conforme_PPWR_2030],MATCH(A814,tbl_recyclass[ProductId],0))="Sim","Conforme (autoavaliação)",IF(INDEX(tbl_recyclass[Conforme_PPWR_2030],MATCH(A814,tbl_recyclass[ProductId],0))="Não","Não conforme em 2030","Isento até 2035")),IF(B814="EU-ENV-003",IF(INDEX(tbl_recyclass[Conforme_Art7_2030],MATCH(A814,tbl_recyclass[ProductId],0))="Sim","Conforme (meta 2030)",IF(INDEX(tbl_recyclass[Conforme_Art7_2030],MATCH(A814,tbl_recyclass[ProductId],0))="Não","Lacuna face à meta 2030","Isento")),IF(B814="EU-ENV-011",IF(INDEX(tbl_familias_ppwr[Metais_Pesados_Evidencia],MATCH(INDEX(tbl_recyclass[Familia_PPWR],MATCH(A814,tbl_recyclass[ProductId],0)),tbl_familias_ppwr[ID_Familia],0))="Em falta","Lacuna","Conforme"),IF(B814="EU-ENV-013",IF(INDEX(tbl_familias_ppwr[Declaracao_UE],MATCH(INDEX(tbl_recyclass[Familia_PPWR],MATCH(A814,tbl_recyclass[ProductId],0)),tbl_familias_ppwr[ID_Familia],0))="Sim","Conforme","Lacuna"),G814)))),G814))</f>
        <v>Parcial</v>
      </c>
      <c r="I814" s="33" t="str">
        <f t="shared" si="12"/>
        <v>Parcial</v>
      </c>
      <c r="J814" s="26" t="s">
        <v>1362</v>
      </c>
    </row>
    <row r="815" spans="1:10" ht="16.05" customHeight="1" x14ac:dyDescent="0.3">
      <c r="A815" s="26" t="s">
        <v>703</v>
      </c>
      <c r="B815" s="26" t="s">
        <v>1385</v>
      </c>
      <c r="C815" s="33" t="str">
        <f>IFERROR(INDEX(tbl_requisitos_emb[Tema],MATCH(B815,tbl_requisitos_emb[ID_Req],0)),"")</f>
        <v>Reciclabilidade (voluntária)</v>
      </c>
      <c r="D815" s="33" t="str">
        <f>IFERROR(INDEX(tbl_recyclass[Segmento],MATCH(A815,tbl_recyclass[ProductId],0)),"")</f>
        <v>Cosmética e higiene pessoal</v>
      </c>
      <c r="E815" s="26" t="s">
        <v>901</v>
      </c>
      <c r="F815" s="26" t="s">
        <v>1449</v>
      </c>
      <c r="G815" s="26" t="s">
        <v>978</v>
      </c>
      <c r="H815" s="33" t="str">
        <f>IF(E815="Não","Não aplicável",IFERROR(IF(B815="EU-ENV-002",IF(INDEX(tbl_recyclass[Conforme_PPWR_2030],MATCH(A815,tbl_recyclass[ProductId],0))="Sim","Conforme (autoavaliação)",IF(INDEX(tbl_recyclass[Conforme_PPWR_2030],MATCH(A815,tbl_recyclass[ProductId],0))="Não","Não conforme em 2030","Isento até 2035")),IF(B815="EU-ENV-003",IF(INDEX(tbl_recyclass[Conforme_Art7_2030],MATCH(A815,tbl_recyclass[ProductId],0))="Sim","Conforme (meta 2030)",IF(INDEX(tbl_recyclass[Conforme_Art7_2030],MATCH(A815,tbl_recyclass[ProductId],0))="Não","Lacuna face à meta 2030","Isento")),IF(B815="EU-ENV-011",IF(INDEX(tbl_familias_ppwr[Metais_Pesados_Evidencia],MATCH(INDEX(tbl_recyclass[Familia_PPWR],MATCH(A815,tbl_recyclass[ProductId],0)),tbl_familias_ppwr[ID_Familia],0))="Em falta","Lacuna","Conforme"),IF(B815="EU-ENV-013",IF(INDEX(tbl_familias_ppwr[Declaracao_UE],MATCH(INDEX(tbl_recyclass[Familia_PPWR],MATCH(A815,tbl_recyclass[ProductId],0)),tbl_familias_ppwr[ID_Familia],0))="Sim","Conforme","Lacuna"),G815)))),G815))</f>
        <v>Parcial</v>
      </c>
      <c r="I815" s="33" t="str">
        <f t="shared" si="12"/>
        <v>Parcial</v>
      </c>
      <c r="J815" s="26" t="s">
        <v>1389</v>
      </c>
    </row>
    <row r="816" spans="1:10" ht="16.05" customHeight="1" x14ac:dyDescent="0.3">
      <c r="A816" s="26" t="s">
        <v>705</v>
      </c>
      <c r="B816" s="26" t="s">
        <v>984</v>
      </c>
      <c r="C816" s="33" t="str">
        <f>IFERROR(INDEX(tbl_requisitos_emb[Tema],MATCH(B816,tbl_requisitos_emb[ID_Req],0)),"")</f>
        <v>Conceção para reciclagem</v>
      </c>
      <c r="D816" s="33" t="str">
        <f>IFERROR(INDEX(tbl_recyclass[Segmento],MATCH(A816,tbl_recyclass[ProductId],0)),"")</f>
        <v>Cosmética e higiene pessoal</v>
      </c>
      <c r="E816" s="26" t="s">
        <v>901</v>
      </c>
      <c r="F816" s="26" t="s">
        <v>1449</v>
      </c>
      <c r="G816" s="26" t="s">
        <v>978</v>
      </c>
      <c r="H816" s="33" t="str">
        <f>IF(E816="Não","Não aplicável",IFERROR(IF(B816="EU-ENV-002",IF(INDEX(tbl_recyclass[Conforme_PPWR_2030],MATCH(A816,tbl_recyclass[ProductId],0))="Sim","Conforme (autoavaliação)",IF(INDEX(tbl_recyclass[Conforme_PPWR_2030],MATCH(A816,tbl_recyclass[ProductId],0))="Não","Não conforme em 2030","Isento até 2035")),IF(B816="EU-ENV-003",IF(INDEX(tbl_recyclass[Conforme_Art7_2030],MATCH(A816,tbl_recyclass[ProductId],0))="Sim","Conforme (meta 2030)",IF(INDEX(tbl_recyclass[Conforme_Art7_2030],MATCH(A816,tbl_recyclass[ProductId],0))="Não","Lacuna face à meta 2030","Isento")),IF(B816="EU-ENV-011",IF(INDEX(tbl_familias_ppwr[Metais_Pesados_Evidencia],MATCH(INDEX(tbl_recyclass[Familia_PPWR],MATCH(A816,tbl_recyclass[ProductId],0)),tbl_familias_ppwr[ID_Familia],0))="Em falta","Lacuna","Conforme"),IF(B816="EU-ENV-013",IF(INDEX(tbl_familias_ppwr[Declaracao_UE],MATCH(INDEX(tbl_recyclass[Familia_PPWR],MATCH(A816,tbl_recyclass[ProductId],0)),tbl_familias_ppwr[ID_Familia],0))="Sim","Conforme","Lacuna"),G816)))),G816))</f>
        <v>Não conforme em 2030</v>
      </c>
      <c r="I816" s="33" t="str">
        <f t="shared" si="12"/>
        <v>Não conforme</v>
      </c>
      <c r="J816" s="26" t="s">
        <v>991</v>
      </c>
    </row>
    <row r="817" spans="1:10" ht="16.05" customHeight="1" x14ac:dyDescent="0.3">
      <c r="A817" s="26" t="s">
        <v>705</v>
      </c>
      <c r="B817" s="26" t="s">
        <v>997</v>
      </c>
      <c r="C817" s="33" t="str">
        <f>IFERROR(INDEX(tbl_requisitos_emb[Tema],MATCH(B817,tbl_requisitos_emb[ID_Req],0)),"")</f>
        <v>Conteúdo reciclado</v>
      </c>
      <c r="D817" s="33" t="str">
        <f>IFERROR(INDEX(tbl_recyclass[Segmento],MATCH(A817,tbl_recyclass[ProductId],0)),"")</f>
        <v>Cosmética e higiene pessoal</v>
      </c>
      <c r="E817" s="26" t="s">
        <v>901</v>
      </c>
      <c r="F817" s="26" t="s">
        <v>1449</v>
      </c>
      <c r="G817" s="26" t="s">
        <v>978</v>
      </c>
      <c r="H817" s="33" t="str">
        <f>IF(E817="Não","Não aplicável",IFERROR(IF(B817="EU-ENV-002",IF(INDEX(tbl_recyclass[Conforme_PPWR_2030],MATCH(A817,tbl_recyclass[ProductId],0))="Sim","Conforme (autoavaliação)",IF(INDEX(tbl_recyclass[Conforme_PPWR_2030],MATCH(A817,tbl_recyclass[ProductId],0))="Não","Não conforme em 2030","Isento até 2035")),IF(B817="EU-ENV-003",IF(INDEX(tbl_recyclass[Conforme_Art7_2030],MATCH(A817,tbl_recyclass[ProductId],0))="Sim","Conforme (meta 2030)",IF(INDEX(tbl_recyclass[Conforme_Art7_2030],MATCH(A817,tbl_recyclass[ProductId],0))="Não","Lacuna face à meta 2030","Isento")),IF(B817="EU-ENV-011",IF(INDEX(tbl_familias_ppwr[Metais_Pesados_Evidencia],MATCH(INDEX(tbl_recyclass[Familia_PPWR],MATCH(A817,tbl_recyclass[ProductId],0)),tbl_familias_ppwr[ID_Familia],0))="Em falta","Lacuna","Conforme"),IF(B817="EU-ENV-013",IF(INDEX(tbl_familias_ppwr[Declaracao_UE],MATCH(INDEX(tbl_recyclass[Familia_PPWR],MATCH(A817,tbl_recyclass[ProductId],0)),tbl_familias_ppwr[ID_Familia],0))="Sim","Conforme","Lacuna"),G817)))),G817))</f>
        <v>Lacuna face à meta 2030</v>
      </c>
      <c r="I817" s="33" t="str">
        <f t="shared" si="12"/>
        <v>Lacuna</v>
      </c>
      <c r="J817" s="26" t="s">
        <v>1001</v>
      </c>
    </row>
    <row r="818" spans="1:10" ht="16.05" customHeight="1" x14ac:dyDescent="0.3">
      <c r="A818" s="26" t="s">
        <v>705</v>
      </c>
      <c r="B818" s="26" t="s">
        <v>1007</v>
      </c>
      <c r="C818" s="33" t="str">
        <f>IFERROR(INDEX(tbl_requisitos_emb[Tema],MATCH(B818,tbl_requisitos_emb[ID_Req],0)),"")</f>
        <v>Minimização</v>
      </c>
      <c r="D818" s="33" t="str">
        <f>IFERROR(INDEX(tbl_recyclass[Segmento],MATCH(A818,tbl_recyclass[ProductId],0)),"")</f>
        <v>Cosmética e higiene pessoal</v>
      </c>
      <c r="E818" s="26" t="s">
        <v>901</v>
      </c>
      <c r="F818" s="26" t="s">
        <v>1449</v>
      </c>
      <c r="G818" s="26" t="s">
        <v>978</v>
      </c>
      <c r="H818" s="33" t="str">
        <f>IF(E818="Não","Não aplicável",IFERROR(IF(B818="EU-ENV-002",IF(INDEX(tbl_recyclass[Conforme_PPWR_2030],MATCH(A818,tbl_recyclass[ProductId],0))="Sim","Conforme (autoavaliação)",IF(INDEX(tbl_recyclass[Conforme_PPWR_2030],MATCH(A818,tbl_recyclass[ProductId],0))="Não","Não conforme em 2030","Isento até 2035")),IF(B818="EU-ENV-003",IF(INDEX(tbl_recyclass[Conforme_Art7_2030],MATCH(A818,tbl_recyclass[ProductId],0))="Sim","Conforme (meta 2030)",IF(INDEX(tbl_recyclass[Conforme_Art7_2030],MATCH(A818,tbl_recyclass[ProductId],0))="Não","Lacuna face à meta 2030","Isento")),IF(B818="EU-ENV-011",IF(INDEX(tbl_familias_ppwr[Metais_Pesados_Evidencia],MATCH(INDEX(tbl_recyclass[Familia_PPWR],MATCH(A818,tbl_recyclass[ProductId],0)),tbl_familias_ppwr[ID_Familia],0))="Em falta","Lacuna","Conforme"),IF(B818="EU-ENV-013",IF(INDEX(tbl_familias_ppwr[Declaracao_UE],MATCH(INDEX(tbl_recyclass[Familia_PPWR],MATCH(A818,tbl_recyclass[ProductId],0)),tbl_familias_ppwr[ID_Familia],0))="Sim","Conforme","Lacuna"),G818)))),G818))</f>
        <v>Parcial</v>
      </c>
      <c r="I818" s="33" t="str">
        <f t="shared" si="12"/>
        <v>Parcial</v>
      </c>
      <c r="J818" s="26" t="s">
        <v>1012</v>
      </c>
    </row>
    <row r="819" spans="1:10" ht="16.05" customHeight="1" x14ac:dyDescent="0.3">
      <c r="A819" s="26" t="s">
        <v>705</v>
      </c>
      <c r="B819" s="26" t="s">
        <v>1016</v>
      </c>
      <c r="C819" s="33" t="str">
        <f>IFERROR(INDEX(tbl_requisitos_emb[Tema],MATCH(B819,tbl_requisitos_emb[ID_Req],0)),"")</f>
        <v>Rotulagem</v>
      </c>
      <c r="D819" s="33" t="str">
        <f>IFERROR(INDEX(tbl_recyclass[Segmento],MATCH(A819,tbl_recyclass[ProductId],0)),"")</f>
        <v>Cosmética e higiene pessoal</v>
      </c>
      <c r="E819" s="26" t="s">
        <v>901</v>
      </c>
      <c r="F819" s="26" t="s">
        <v>1449</v>
      </c>
      <c r="G819" s="26" t="s">
        <v>990</v>
      </c>
      <c r="H819" s="33" t="str">
        <f>IF(E819="Não","Não aplicável",IFERROR(IF(B819="EU-ENV-002",IF(INDEX(tbl_recyclass[Conforme_PPWR_2030],MATCH(A819,tbl_recyclass[ProductId],0))="Sim","Conforme (autoavaliação)",IF(INDEX(tbl_recyclass[Conforme_PPWR_2030],MATCH(A819,tbl_recyclass[ProductId],0))="Não","Não conforme em 2030","Isento até 2035")),IF(B819="EU-ENV-003",IF(INDEX(tbl_recyclass[Conforme_Art7_2030],MATCH(A819,tbl_recyclass[ProductId],0))="Sim","Conforme (meta 2030)",IF(INDEX(tbl_recyclass[Conforme_Art7_2030],MATCH(A819,tbl_recyclass[ProductId],0))="Não","Lacuna face à meta 2030","Isento")),IF(B819="EU-ENV-011",IF(INDEX(tbl_familias_ppwr[Metais_Pesados_Evidencia],MATCH(INDEX(tbl_recyclass[Familia_PPWR],MATCH(A819,tbl_recyclass[ProductId],0)),tbl_familias_ppwr[ID_Familia],0))="Em falta","Lacuna","Conforme"),IF(B819="EU-ENV-013",IF(INDEX(tbl_familias_ppwr[Declaracao_UE],MATCH(INDEX(tbl_recyclass[Familia_PPWR],MATCH(A819,tbl_recyclass[ProductId],0)),tbl_familias_ppwr[ID_Familia],0))="Sim","Conforme","Lacuna"),G819)))),G819))</f>
        <v>Futuro</v>
      </c>
      <c r="I819" s="33" t="str">
        <f t="shared" si="12"/>
        <v>Futuro</v>
      </c>
      <c r="J819" s="26" t="s">
        <v>1021</v>
      </c>
    </row>
    <row r="820" spans="1:10" ht="16.05" customHeight="1" x14ac:dyDescent="0.3">
      <c r="A820" s="26" t="s">
        <v>705</v>
      </c>
      <c r="B820" s="26" t="s">
        <v>1038</v>
      </c>
      <c r="C820" s="33" t="str">
        <f>IFERROR(INDEX(tbl_requisitos_emb[Tema],MATCH(B820,tbl_requisitos_emb[ID_Req],0)),"")</f>
        <v>Plásticos de utilização única</v>
      </c>
      <c r="D820" s="33" t="str">
        <f>IFERROR(INDEX(tbl_recyclass[Segmento],MATCH(A820,tbl_recyclass[ProductId],0)),"")</f>
        <v>Cosmética e higiene pessoal</v>
      </c>
      <c r="E820" s="26" t="s">
        <v>904</v>
      </c>
      <c r="F820" s="26" t="s">
        <v>1450</v>
      </c>
      <c r="G820" s="26" t="s">
        <v>1143</v>
      </c>
      <c r="H820" s="33" t="str">
        <f>IF(E820="Não","Não aplicável",IFERROR(IF(B820="EU-ENV-002",IF(INDEX(tbl_recyclass[Conforme_PPWR_2030],MATCH(A820,tbl_recyclass[ProductId],0))="Sim","Conforme (autoavaliação)",IF(INDEX(tbl_recyclass[Conforme_PPWR_2030],MATCH(A820,tbl_recyclass[ProductId],0))="Não","Não conforme em 2030","Isento até 2035")),IF(B820="EU-ENV-003",IF(INDEX(tbl_recyclass[Conforme_Art7_2030],MATCH(A820,tbl_recyclass[ProductId],0))="Sim","Conforme (meta 2030)",IF(INDEX(tbl_recyclass[Conforme_Art7_2030],MATCH(A820,tbl_recyclass[ProductId],0))="Não","Lacuna face à meta 2030","Isento")),IF(B820="EU-ENV-011",IF(INDEX(tbl_familias_ppwr[Metais_Pesados_Evidencia],MATCH(INDEX(tbl_recyclass[Familia_PPWR],MATCH(A820,tbl_recyclass[ProductId],0)),tbl_familias_ppwr[ID_Familia],0))="Em falta","Lacuna","Conforme"),IF(B820="EU-ENV-013",IF(INDEX(tbl_familias_ppwr[Declaracao_UE],MATCH(INDEX(tbl_recyclass[Familia_PPWR],MATCH(A820,tbl_recyclass[ProductId],0)),tbl_familias_ppwr[ID_Familia],0))="Sim","Conforme","Lacuna"),G820)))),G820))</f>
        <v>Não aplicável</v>
      </c>
      <c r="I820" s="33" t="str">
        <f t="shared" si="12"/>
        <v>Não aplicável</v>
      </c>
      <c r="J820" s="26"/>
    </row>
    <row r="821" spans="1:10" ht="16.05" customHeight="1" x14ac:dyDescent="0.3">
      <c r="A821" s="26" t="s">
        <v>705</v>
      </c>
      <c r="B821" s="26" t="s">
        <v>1078</v>
      </c>
      <c r="C821" s="33" t="str">
        <f>IFERROR(INDEX(tbl_requisitos_emb[Tema],MATCH(B821,tbl_requisitos_emb[ID_Req],0)),"")</f>
        <v>Reciclado à escala</v>
      </c>
      <c r="D821" s="33" t="str">
        <f>IFERROR(INDEX(tbl_recyclass[Segmento],MATCH(A821,tbl_recyclass[ProductId],0)),"")</f>
        <v>Cosmética e higiene pessoal</v>
      </c>
      <c r="E821" s="26" t="s">
        <v>901</v>
      </c>
      <c r="F821" s="26" t="s">
        <v>1449</v>
      </c>
      <c r="G821" s="26" t="s">
        <v>990</v>
      </c>
      <c r="H821" s="33" t="str">
        <f>IF(E821="Não","Não aplicável",IFERROR(IF(B821="EU-ENV-002",IF(INDEX(tbl_recyclass[Conforme_PPWR_2030],MATCH(A821,tbl_recyclass[ProductId],0))="Sim","Conforme (autoavaliação)",IF(INDEX(tbl_recyclass[Conforme_PPWR_2030],MATCH(A821,tbl_recyclass[ProductId],0))="Não","Não conforme em 2030","Isento até 2035")),IF(B821="EU-ENV-003",IF(INDEX(tbl_recyclass[Conforme_Art7_2030],MATCH(A821,tbl_recyclass[ProductId],0))="Sim","Conforme (meta 2030)",IF(INDEX(tbl_recyclass[Conforme_Art7_2030],MATCH(A821,tbl_recyclass[ProductId],0))="Não","Lacuna face à meta 2030","Isento")),IF(B821="EU-ENV-011",IF(INDEX(tbl_familias_ppwr[Metais_Pesados_Evidencia],MATCH(INDEX(tbl_recyclass[Familia_PPWR],MATCH(A821,tbl_recyclass[ProductId],0)),tbl_familias_ppwr[ID_Familia],0))="Em falta","Lacuna","Conforme"),IF(B821="EU-ENV-013",IF(INDEX(tbl_familias_ppwr[Declaracao_UE],MATCH(INDEX(tbl_recyclass[Familia_PPWR],MATCH(A821,tbl_recyclass[ProductId],0)),tbl_familias_ppwr[ID_Familia],0))="Sim","Conforme","Lacuna"),G821)))),G821))</f>
        <v>Futuro</v>
      </c>
      <c r="I821" s="33" t="str">
        <f t="shared" si="12"/>
        <v>Futuro</v>
      </c>
      <c r="J821" s="26" t="s">
        <v>1082</v>
      </c>
    </row>
    <row r="822" spans="1:10" ht="16.05" customHeight="1" x14ac:dyDescent="0.3">
      <c r="A822" s="26" t="s">
        <v>705</v>
      </c>
      <c r="B822" s="26" t="s">
        <v>1086</v>
      </c>
      <c r="C822" s="33" t="str">
        <f>IFERROR(INDEX(tbl_requisitos_emb[Tema],MATCH(B822,tbl_requisitos_emb[ID_Req],0)),"")</f>
        <v>Metais pesados</v>
      </c>
      <c r="D822" s="33" t="str">
        <f>IFERROR(INDEX(tbl_recyclass[Segmento],MATCH(A822,tbl_recyclass[ProductId],0)),"")</f>
        <v>Cosmética e higiene pessoal</v>
      </c>
      <c r="E822" s="26" t="s">
        <v>901</v>
      </c>
      <c r="F822" s="26" t="s">
        <v>1449</v>
      </c>
      <c r="G822" s="26" t="s">
        <v>978</v>
      </c>
      <c r="H822" s="33" t="str">
        <f>IF(E822="Não","Não aplicável",IFERROR(IF(B822="EU-ENV-002",IF(INDEX(tbl_recyclass[Conforme_PPWR_2030],MATCH(A822,tbl_recyclass[ProductId],0))="Sim","Conforme (autoavaliação)",IF(INDEX(tbl_recyclass[Conforme_PPWR_2030],MATCH(A822,tbl_recyclass[ProductId],0))="Não","Não conforme em 2030","Isento até 2035")),IF(B822="EU-ENV-003",IF(INDEX(tbl_recyclass[Conforme_Art7_2030],MATCH(A822,tbl_recyclass[ProductId],0))="Sim","Conforme (meta 2030)",IF(INDEX(tbl_recyclass[Conforme_Art7_2030],MATCH(A822,tbl_recyclass[ProductId],0))="Não","Lacuna face à meta 2030","Isento")),IF(B822="EU-ENV-011",IF(INDEX(tbl_familias_ppwr[Metais_Pesados_Evidencia],MATCH(INDEX(tbl_recyclass[Familia_PPWR],MATCH(A822,tbl_recyclass[ProductId],0)),tbl_familias_ppwr[ID_Familia],0))="Em falta","Lacuna","Conforme"),IF(B822="EU-ENV-013",IF(INDEX(tbl_familias_ppwr[Declaracao_UE],MATCH(INDEX(tbl_recyclass[Familia_PPWR],MATCH(A822,tbl_recyclass[ProductId],0)),tbl_familias_ppwr[ID_Familia],0))="Sim","Conforme","Lacuna"),G822)))),G822))</f>
        <v>Lacuna</v>
      </c>
      <c r="I822" s="33" t="str">
        <f t="shared" si="12"/>
        <v>Lacuna</v>
      </c>
      <c r="J822" s="26" t="s">
        <v>1090</v>
      </c>
    </row>
    <row r="823" spans="1:10" ht="16.05" customHeight="1" x14ac:dyDescent="0.3">
      <c r="A823" s="26" t="s">
        <v>705</v>
      </c>
      <c r="B823" s="26" t="s">
        <v>1094</v>
      </c>
      <c r="C823" s="33" t="str">
        <f>IFERROR(INDEX(tbl_requisitos_emb[Tema],MATCH(B823,tbl_requisitos_emb[ID_Req],0)),"")</f>
        <v>PFAS</v>
      </c>
      <c r="D823" s="33" t="str">
        <f>IFERROR(INDEX(tbl_recyclass[Segmento],MATCH(A823,tbl_recyclass[ProductId],0)),"")</f>
        <v>Cosmética e higiene pessoal</v>
      </c>
      <c r="E823" s="26" t="s">
        <v>904</v>
      </c>
      <c r="F823" s="26" t="s">
        <v>1450</v>
      </c>
      <c r="G823" s="26" t="s">
        <v>1143</v>
      </c>
      <c r="H823" s="33" t="str">
        <f>IF(E823="Não","Não aplicável",IFERROR(IF(B823="EU-ENV-002",IF(INDEX(tbl_recyclass[Conforme_PPWR_2030],MATCH(A823,tbl_recyclass[ProductId],0))="Sim","Conforme (autoavaliação)",IF(INDEX(tbl_recyclass[Conforme_PPWR_2030],MATCH(A823,tbl_recyclass[ProductId],0))="Não","Não conforme em 2030","Isento até 2035")),IF(B823="EU-ENV-003",IF(INDEX(tbl_recyclass[Conforme_Art7_2030],MATCH(A823,tbl_recyclass[ProductId],0))="Sim","Conforme (meta 2030)",IF(INDEX(tbl_recyclass[Conforme_Art7_2030],MATCH(A823,tbl_recyclass[ProductId],0))="Não","Lacuna face à meta 2030","Isento")),IF(B823="EU-ENV-011",IF(INDEX(tbl_familias_ppwr[Metais_Pesados_Evidencia],MATCH(INDEX(tbl_recyclass[Familia_PPWR],MATCH(A823,tbl_recyclass[ProductId],0)),tbl_familias_ppwr[ID_Familia],0))="Em falta","Lacuna","Conforme"),IF(B823="EU-ENV-013",IF(INDEX(tbl_familias_ppwr[Declaracao_UE],MATCH(INDEX(tbl_recyclass[Familia_PPWR],MATCH(A823,tbl_recyclass[ProductId],0)),tbl_familias_ppwr[ID_Familia],0))="Sim","Conforme","Lacuna"),G823)))),G823))</f>
        <v>Não aplicável</v>
      </c>
      <c r="I823" s="33" t="str">
        <f t="shared" si="12"/>
        <v>Não aplicável</v>
      </c>
      <c r="J823" s="26"/>
    </row>
    <row r="824" spans="1:10" ht="16.05" customHeight="1" x14ac:dyDescent="0.3">
      <c r="A824" s="26" t="s">
        <v>705</v>
      </c>
      <c r="B824" s="26" t="s">
        <v>1102</v>
      </c>
      <c r="C824" s="33" t="str">
        <f>IFERROR(INDEX(tbl_requisitos_emb[Tema],MATCH(B824,tbl_requisitos_emb[ID_Req],0)),"")</f>
        <v>Documentação técnica e declaração UE</v>
      </c>
      <c r="D824" s="33" t="str">
        <f>IFERROR(INDEX(tbl_recyclass[Segmento],MATCH(A824,tbl_recyclass[ProductId],0)),"")</f>
        <v>Cosmética e higiene pessoal</v>
      </c>
      <c r="E824" s="26" t="s">
        <v>901</v>
      </c>
      <c r="F824" s="26" t="s">
        <v>1449</v>
      </c>
      <c r="G824" s="26" t="s">
        <v>978</v>
      </c>
      <c r="H824" s="33" t="str">
        <f>IF(E824="Não","Não aplicável",IFERROR(IF(B824="EU-ENV-002",IF(INDEX(tbl_recyclass[Conforme_PPWR_2030],MATCH(A824,tbl_recyclass[ProductId],0))="Sim","Conforme (autoavaliação)",IF(INDEX(tbl_recyclass[Conforme_PPWR_2030],MATCH(A824,tbl_recyclass[ProductId],0))="Não","Não conforme em 2030","Isento até 2035")),IF(B824="EU-ENV-003",IF(INDEX(tbl_recyclass[Conforme_Art7_2030],MATCH(A824,tbl_recyclass[ProductId],0))="Sim","Conforme (meta 2030)",IF(INDEX(tbl_recyclass[Conforme_Art7_2030],MATCH(A824,tbl_recyclass[ProductId],0))="Não","Lacuna face à meta 2030","Isento")),IF(B824="EU-ENV-011",IF(INDEX(tbl_familias_ppwr[Metais_Pesados_Evidencia],MATCH(INDEX(tbl_recyclass[Familia_PPWR],MATCH(A824,tbl_recyclass[ProductId],0)),tbl_familias_ppwr[ID_Familia],0))="Em falta","Lacuna","Conforme"),IF(B824="EU-ENV-013",IF(INDEX(tbl_familias_ppwr[Declaracao_UE],MATCH(INDEX(tbl_recyclass[Familia_PPWR],MATCH(A824,tbl_recyclass[ProductId],0)),tbl_familias_ppwr[ID_Familia],0))="Sim","Conforme","Lacuna"),G824)))),G824))</f>
        <v>Lacuna</v>
      </c>
      <c r="I824" s="33" t="str">
        <f t="shared" si="12"/>
        <v>Lacuna</v>
      </c>
      <c r="J824" s="26" t="s">
        <v>1106</v>
      </c>
    </row>
    <row r="825" spans="1:10" ht="16.05" customHeight="1" x14ac:dyDescent="0.3">
      <c r="A825" s="26" t="s">
        <v>705</v>
      </c>
      <c r="B825" s="26" t="s">
        <v>1161</v>
      </c>
      <c r="C825" s="33" t="str">
        <f>IFERROR(INDEX(tbl_requisitos_emb[Tema],MATCH(B825,tbl_requisitos_emb[ID_Req],0)),"")</f>
        <v>Materiais em contacto com alimentos</v>
      </c>
      <c r="D825" s="33" t="str">
        <f>IFERROR(INDEX(tbl_recyclass[Segmento],MATCH(A825,tbl_recyclass[ProductId],0)),"")</f>
        <v>Cosmética e higiene pessoal</v>
      </c>
      <c r="E825" s="26" t="s">
        <v>904</v>
      </c>
      <c r="F825" s="26" t="s">
        <v>1450</v>
      </c>
      <c r="G825" s="26" t="s">
        <v>1143</v>
      </c>
      <c r="H825" s="33" t="str">
        <f>IF(E825="Não","Não aplicável",IFERROR(IF(B825="EU-ENV-002",IF(INDEX(tbl_recyclass[Conforme_PPWR_2030],MATCH(A825,tbl_recyclass[ProductId],0))="Sim","Conforme (autoavaliação)",IF(INDEX(tbl_recyclass[Conforme_PPWR_2030],MATCH(A825,tbl_recyclass[ProductId],0))="Não","Não conforme em 2030","Isento até 2035")),IF(B825="EU-ENV-003",IF(INDEX(tbl_recyclass[Conforme_Art7_2030],MATCH(A825,tbl_recyclass[ProductId],0))="Sim","Conforme (meta 2030)",IF(INDEX(tbl_recyclass[Conforme_Art7_2030],MATCH(A825,tbl_recyclass[ProductId],0))="Não","Lacuna face à meta 2030","Isento")),IF(B825="EU-ENV-011",IF(INDEX(tbl_familias_ppwr[Metais_Pesados_Evidencia],MATCH(INDEX(tbl_recyclass[Familia_PPWR],MATCH(A825,tbl_recyclass[ProductId],0)),tbl_familias_ppwr[ID_Familia],0))="Em falta","Lacuna","Conforme"),IF(B825="EU-ENV-013",IF(INDEX(tbl_familias_ppwr[Declaracao_UE],MATCH(INDEX(tbl_recyclass[Familia_PPWR],MATCH(A825,tbl_recyclass[ProductId],0)),tbl_familias_ppwr[ID_Familia],0))="Sim","Conforme","Lacuna"),G825)))),G825))</f>
        <v>Não aplicável</v>
      </c>
      <c r="I825" s="33" t="str">
        <f t="shared" si="12"/>
        <v>Não aplicável</v>
      </c>
      <c r="J825" s="26"/>
    </row>
    <row r="826" spans="1:10" ht="16.05" customHeight="1" x14ac:dyDescent="0.3">
      <c r="A826" s="26" t="s">
        <v>705</v>
      </c>
      <c r="B826" s="26" t="s">
        <v>1170</v>
      </c>
      <c r="C826" s="33" t="str">
        <f>IFERROR(INDEX(tbl_requisitos_emb[Tema],MATCH(B826,tbl_requisitos_emb[ID_Req],0)),"")</f>
        <v>Boas práticas de fabrico FCM</v>
      </c>
      <c r="D826" s="33" t="str">
        <f>IFERROR(INDEX(tbl_recyclass[Segmento],MATCH(A826,tbl_recyclass[ProductId],0)),"")</f>
        <v>Cosmética e higiene pessoal</v>
      </c>
      <c r="E826" s="26" t="s">
        <v>904</v>
      </c>
      <c r="F826" s="26" t="s">
        <v>1450</v>
      </c>
      <c r="G826" s="26" t="s">
        <v>1143</v>
      </c>
      <c r="H826" s="33" t="str">
        <f>IF(E826="Não","Não aplicável",IFERROR(IF(B826="EU-ENV-002",IF(INDEX(tbl_recyclass[Conforme_PPWR_2030],MATCH(A826,tbl_recyclass[ProductId],0))="Sim","Conforme (autoavaliação)",IF(INDEX(tbl_recyclass[Conforme_PPWR_2030],MATCH(A826,tbl_recyclass[ProductId],0))="Não","Não conforme em 2030","Isento até 2035")),IF(B826="EU-ENV-003",IF(INDEX(tbl_recyclass[Conforme_Art7_2030],MATCH(A826,tbl_recyclass[ProductId],0))="Sim","Conforme (meta 2030)",IF(INDEX(tbl_recyclass[Conforme_Art7_2030],MATCH(A826,tbl_recyclass[ProductId],0))="Não","Lacuna face à meta 2030","Isento")),IF(B826="EU-ENV-011",IF(INDEX(tbl_familias_ppwr[Metais_Pesados_Evidencia],MATCH(INDEX(tbl_recyclass[Familia_PPWR],MATCH(A826,tbl_recyclass[ProductId],0)),tbl_familias_ppwr[ID_Familia],0))="Em falta","Lacuna","Conforme"),IF(B826="EU-ENV-013",IF(INDEX(tbl_familias_ppwr[Declaracao_UE],MATCH(INDEX(tbl_recyclass[Familia_PPWR],MATCH(A826,tbl_recyclass[ProductId],0)),tbl_familias_ppwr[ID_Familia],0))="Sim","Conforme","Lacuna"),G826)))),G826))</f>
        <v>Não aplicável</v>
      </c>
      <c r="I826" s="33" t="str">
        <f t="shared" si="12"/>
        <v>Não aplicável</v>
      </c>
      <c r="J826" s="26"/>
    </row>
    <row r="827" spans="1:10" ht="16.05" customHeight="1" x14ac:dyDescent="0.3">
      <c r="A827" s="26" t="s">
        <v>705</v>
      </c>
      <c r="B827" s="26" t="s">
        <v>1179</v>
      </c>
      <c r="C827" s="33" t="str">
        <f>IFERROR(INDEX(tbl_requisitos_emb[Tema],MATCH(B827,tbl_requisitos_emb[ID_Req],0)),"")</f>
        <v>Bisfenol A e bisfenóis perigosos</v>
      </c>
      <c r="D827" s="33" t="str">
        <f>IFERROR(INDEX(tbl_recyclass[Segmento],MATCH(A827,tbl_recyclass[ProductId],0)),"")</f>
        <v>Cosmética e higiene pessoal</v>
      </c>
      <c r="E827" s="26" t="s">
        <v>904</v>
      </c>
      <c r="F827" s="26" t="s">
        <v>1450</v>
      </c>
      <c r="G827" s="26" t="s">
        <v>1143</v>
      </c>
      <c r="H827" s="33" t="str">
        <f>IF(E827="Não","Não aplicável",IFERROR(IF(B827="EU-ENV-002",IF(INDEX(tbl_recyclass[Conforme_PPWR_2030],MATCH(A827,tbl_recyclass[ProductId],0))="Sim","Conforme (autoavaliação)",IF(INDEX(tbl_recyclass[Conforme_PPWR_2030],MATCH(A827,tbl_recyclass[ProductId],0))="Não","Não conforme em 2030","Isento até 2035")),IF(B827="EU-ENV-003",IF(INDEX(tbl_recyclass[Conforme_Art7_2030],MATCH(A827,tbl_recyclass[ProductId],0))="Sim","Conforme (meta 2030)",IF(INDEX(tbl_recyclass[Conforme_Art7_2030],MATCH(A827,tbl_recyclass[ProductId],0))="Não","Lacuna face à meta 2030","Isento")),IF(B827="EU-ENV-011",IF(INDEX(tbl_familias_ppwr[Metais_Pesados_Evidencia],MATCH(INDEX(tbl_recyclass[Familia_PPWR],MATCH(A827,tbl_recyclass[ProductId],0)),tbl_familias_ppwr[ID_Familia],0))="Em falta","Lacuna","Conforme"),IF(B827="EU-ENV-013",IF(INDEX(tbl_familias_ppwr[Declaracao_UE],MATCH(INDEX(tbl_recyclass[Familia_PPWR],MATCH(A827,tbl_recyclass[ProductId],0)),tbl_familias_ppwr[ID_Familia],0))="Sim","Conforme","Lacuna"),G827)))),G827))</f>
        <v>Não aplicável</v>
      </c>
      <c r="I827" s="33" t="str">
        <f t="shared" si="12"/>
        <v>Não aplicável</v>
      </c>
      <c r="J827" s="26"/>
    </row>
    <row r="828" spans="1:10" ht="16.05" customHeight="1" x14ac:dyDescent="0.3">
      <c r="A828" s="26" t="s">
        <v>705</v>
      </c>
      <c r="B828" s="26" t="s">
        <v>1188</v>
      </c>
      <c r="C828" s="33" t="str">
        <f>IFERROR(INDEX(tbl_requisitos_emb[Tema],MATCH(B828,tbl_requisitos_emb[ID_Req],0)),"")</f>
        <v>Plásticos em contacto com alimentos</v>
      </c>
      <c r="D828" s="33" t="str">
        <f>IFERROR(INDEX(tbl_recyclass[Segmento],MATCH(A828,tbl_recyclass[ProductId],0)),"")</f>
        <v>Cosmética e higiene pessoal</v>
      </c>
      <c r="E828" s="26" t="s">
        <v>904</v>
      </c>
      <c r="F828" s="26" t="s">
        <v>1450</v>
      </c>
      <c r="G828" s="26" t="s">
        <v>1143</v>
      </c>
      <c r="H828" s="33" t="str">
        <f>IF(E828="Não","Não aplicável",IFERROR(IF(B828="EU-ENV-002",IF(INDEX(tbl_recyclass[Conforme_PPWR_2030],MATCH(A828,tbl_recyclass[ProductId],0))="Sim","Conforme (autoavaliação)",IF(INDEX(tbl_recyclass[Conforme_PPWR_2030],MATCH(A828,tbl_recyclass[ProductId],0))="Não","Não conforme em 2030","Isento até 2035")),IF(B828="EU-ENV-003",IF(INDEX(tbl_recyclass[Conforme_Art7_2030],MATCH(A828,tbl_recyclass[ProductId],0))="Sim","Conforme (meta 2030)",IF(INDEX(tbl_recyclass[Conforme_Art7_2030],MATCH(A828,tbl_recyclass[ProductId],0))="Não","Lacuna face à meta 2030","Isento")),IF(B828="EU-ENV-011",IF(INDEX(tbl_familias_ppwr[Metais_Pesados_Evidencia],MATCH(INDEX(tbl_recyclass[Familia_PPWR],MATCH(A828,tbl_recyclass[ProductId],0)),tbl_familias_ppwr[ID_Familia],0))="Em falta","Lacuna","Conforme"),IF(B828="EU-ENV-013",IF(INDEX(tbl_familias_ppwr[Declaracao_UE],MATCH(INDEX(tbl_recyclass[Familia_PPWR],MATCH(A828,tbl_recyclass[ProductId],0)),tbl_familias_ppwr[ID_Familia],0))="Sim","Conforme","Lacuna"),G828)))),G828))</f>
        <v>Não aplicável</v>
      </c>
      <c r="I828" s="33" t="str">
        <f t="shared" si="12"/>
        <v>Não aplicável</v>
      </c>
      <c r="J828" s="26"/>
    </row>
    <row r="829" spans="1:10" ht="16.05" customHeight="1" x14ac:dyDescent="0.3">
      <c r="A829" s="26" t="s">
        <v>705</v>
      </c>
      <c r="B829" s="26" t="s">
        <v>1212</v>
      </c>
      <c r="C829" s="33" t="str">
        <f>IFERROR(INDEX(tbl_requisitos_emb[Tema],MATCH(B829,tbl_requisitos_emb[ID_Req],0)),"")</f>
        <v>Segurança do produto cosmético</v>
      </c>
      <c r="D829" s="33" t="str">
        <f>IFERROR(INDEX(tbl_recyclass[Segmento],MATCH(A829,tbl_recyclass[ProductId],0)),"")</f>
        <v>Cosmética e higiene pessoal</v>
      </c>
      <c r="E829" s="26" t="s">
        <v>901</v>
      </c>
      <c r="F829" s="26" t="s">
        <v>1449</v>
      </c>
      <c r="G829" s="26" t="s">
        <v>1033</v>
      </c>
      <c r="H829" s="33" t="str">
        <f>IF(E829="Não","Não aplicável",IFERROR(IF(B829="EU-ENV-002",IF(INDEX(tbl_recyclass[Conforme_PPWR_2030],MATCH(A829,tbl_recyclass[ProductId],0))="Sim","Conforme (autoavaliação)",IF(INDEX(tbl_recyclass[Conforme_PPWR_2030],MATCH(A829,tbl_recyclass[ProductId],0))="Não","Não conforme em 2030","Isento até 2035")),IF(B829="EU-ENV-003",IF(INDEX(tbl_recyclass[Conforme_Art7_2030],MATCH(A829,tbl_recyclass[ProductId],0))="Sim","Conforme (meta 2030)",IF(INDEX(tbl_recyclass[Conforme_Art7_2030],MATCH(A829,tbl_recyclass[ProductId],0))="Não","Lacuna face à meta 2030","Isento")),IF(B829="EU-ENV-011",IF(INDEX(tbl_familias_ppwr[Metais_Pesados_Evidencia],MATCH(INDEX(tbl_recyclass[Familia_PPWR],MATCH(A829,tbl_recyclass[ProductId],0)),tbl_familias_ppwr[ID_Familia],0))="Em falta","Lacuna","Conforme"),IF(B829="EU-ENV-013",IF(INDEX(tbl_familias_ppwr[Declaracao_UE],MATCH(INDEX(tbl_recyclass[Familia_PPWR],MATCH(A829,tbl_recyclass[ProductId],0)),tbl_familias_ppwr[ID_Familia],0))="Sim","Conforme","Lacuna"),G829)))),G829))</f>
        <v>Conforme</v>
      </c>
      <c r="I829" s="33" t="str">
        <f t="shared" si="12"/>
        <v>Conforme</v>
      </c>
      <c r="J829" s="26" t="s">
        <v>1221</v>
      </c>
    </row>
    <row r="830" spans="1:10" ht="16.05" customHeight="1" x14ac:dyDescent="0.3">
      <c r="A830" s="26" t="s">
        <v>705</v>
      </c>
      <c r="B830" s="26" t="s">
        <v>1224</v>
      </c>
      <c r="C830" s="33" t="str">
        <f>IFERROR(INDEX(tbl_requisitos_emb[Tema],MATCH(B830,tbl_requisitos_emb[ID_Req],0)),"")</f>
        <v>Materiais e impurezas</v>
      </c>
      <c r="D830" s="33" t="str">
        <f>IFERROR(INDEX(tbl_recyclass[Segmento],MATCH(A830,tbl_recyclass[ProductId],0)),"")</f>
        <v>Cosmética e higiene pessoal</v>
      </c>
      <c r="E830" s="26" t="s">
        <v>901</v>
      </c>
      <c r="F830" s="26" t="s">
        <v>1449</v>
      </c>
      <c r="G830" s="26" t="s">
        <v>978</v>
      </c>
      <c r="H830" s="33" t="str">
        <f>IF(E830="Não","Não aplicável",IFERROR(IF(B830="EU-ENV-002",IF(INDEX(tbl_recyclass[Conforme_PPWR_2030],MATCH(A830,tbl_recyclass[ProductId],0))="Sim","Conforme (autoavaliação)",IF(INDEX(tbl_recyclass[Conforme_PPWR_2030],MATCH(A830,tbl_recyclass[ProductId],0))="Não","Não conforme em 2030","Isento até 2035")),IF(B830="EU-ENV-003",IF(INDEX(tbl_recyclass[Conforme_Art7_2030],MATCH(A830,tbl_recyclass[ProductId],0))="Sim","Conforme (meta 2030)",IF(INDEX(tbl_recyclass[Conforme_Art7_2030],MATCH(A830,tbl_recyclass[ProductId],0))="Não","Lacuna face à meta 2030","Isento")),IF(B830="EU-ENV-011",IF(INDEX(tbl_familias_ppwr[Metais_Pesados_Evidencia],MATCH(INDEX(tbl_recyclass[Familia_PPWR],MATCH(A830,tbl_recyclass[ProductId],0)),tbl_familias_ppwr[ID_Familia],0))="Em falta","Lacuna","Conforme"),IF(B830="EU-ENV-013",IF(INDEX(tbl_familias_ppwr[Declaracao_UE],MATCH(INDEX(tbl_recyclass[Familia_PPWR],MATCH(A830,tbl_recyclass[ProductId],0)),tbl_familias_ppwr[ID_Familia],0))="Sim","Conforme","Lacuna"),G830)))),G830))</f>
        <v>Parcial</v>
      </c>
      <c r="I830" s="33" t="str">
        <f t="shared" si="12"/>
        <v>Parcial</v>
      </c>
      <c r="J830" s="26" t="s">
        <v>1228</v>
      </c>
    </row>
    <row r="831" spans="1:10" ht="16.05" customHeight="1" x14ac:dyDescent="0.3">
      <c r="A831" s="26" t="s">
        <v>705</v>
      </c>
      <c r="B831" s="26" t="s">
        <v>1240</v>
      </c>
      <c r="C831" s="33" t="str">
        <f>IFERROR(INDEX(tbl_requisitos_emb[Tema],MATCH(B831,tbl_requisitos_emb[ID_Req],0)),"")</f>
        <v>Compatibilidade embalagem–produto</v>
      </c>
      <c r="D831" s="33" t="str">
        <f>IFERROR(INDEX(tbl_recyclass[Segmento],MATCH(A831,tbl_recyclass[ProductId],0)),"")</f>
        <v>Cosmética e higiene pessoal</v>
      </c>
      <c r="E831" s="26" t="s">
        <v>901</v>
      </c>
      <c r="F831" s="26" t="s">
        <v>1449</v>
      </c>
      <c r="G831" s="26" t="s">
        <v>1033</v>
      </c>
      <c r="H831" s="33" t="str">
        <f>IF(E831="Não","Não aplicável",IFERROR(IF(B831="EU-ENV-002",IF(INDEX(tbl_recyclass[Conforme_PPWR_2030],MATCH(A831,tbl_recyclass[ProductId],0))="Sim","Conforme (autoavaliação)",IF(INDEX(tbl_recyclass[Conforme_PPWR_2030],MATCH(A831,tbl_recyclass[ProductId],0))="Não","Não conforme em 2030","Isento até 2035")),IF(B831="EU-ENV-003",IF(INDEX(tbl_recyclass[Conforme_Art7_2030],MATCH(A831,tbl_recyclass[ProductId],0))="Sim","Conforme (meta 2030)",IF(INDEX(tbl_recyclass[Conforme_Art7_2030],MATCH(A831,tbl_recyclass[ProductId],0))="Não","Lacuna face à meta 2030","Isento")),IF(B831="EU-ENV-011",IF(INDEX(tbl_familias_ppwr[Metais_Pesados_Evidencia],MATCH(INDEX(tbl_recyclass[Familia_PPWR],MATCH(A831,tbl_recyclass[ProductId],0)),tbl_familias_ppwr[ID_Familia],0))="Em falta","Lacuna","Conforme"),IF(B831="EU-ENV-013",IF(INDEX(tbl_familias_ppwr[Declaracao_UE],MATCH(INDEX(tbl_recyclass[Familia_PPWR],MATCH(A831,tbl_recyclass[ProductId],0)),tbl_familias_ppwr[ID_Familia],0))="Sim","Conforme","Lacuna"),G831)))),G831))</f>
        <v>Conforme</v>
      </c>
      <c r="I831" s="33" t="str">
        <f t="shared" si="12"/>
        <v>Conforme</v>
      </c>
      <c r="J831" s="26" t="s">
        <v>1244</v>
      </c>
    </row>
    <row r="832" spans="1:10" ht="16.05" customHeight="1" x14ac:dyDescent="0.3">
      <c r="A832" s="26" t="s">
        <v>705</v>
      </c>
      <c r="B832" s="26" t="s">
        <v>1252</v>
      </c>
      <c r="C832" s="33" t="str">
        <f>IFERROR(INDEX(tbl_requisitos_emb[Tema],MATCH(B832,tbl_requisitos_emb[ID_Req],0)),"")</f>
        <v>Medicamentos de uso humano</v>
      </c>
      <c r="D832" s="33" t="str">
        <f>IFERROR(INDEX(tbl_recyclass[Segmento],MATCH(A832,tbl_recyclass[ProductId],0)),"")</f>
        <v>Cosmética e higiene pessoal</v>
      </c>
      <c r="E832" s="26" t="s">
        <v>904</v>
      </c>
      <c r="F832" s="26" t="s">
        <v>1451</v>
      </c>
      <c r="G832" s="26" t="s">
        <v>1143</v>
      </c>
      <c r="H832" s="33" t="str">
        <f>IF(E832="Não","Não aplicável",IFERROR(IF(B832="EU-ENV-002",IF(INDEX(tbl_recyclass[Conforme_PPWR_2030],MATCH(A832,tbl_recyclass[ProductId],0))="Sim","Conforme (autoavaliação)",IF(INDEX(tbl_recyclass[Conforme_PPWR_2030],MATCH(A832,tbl_recyclass[ProductId],0))="Não","Não conforme em 2030","Isento até 2035")),IF(B832="EU-ENV-003",IF(INDEX(tbl_recyclass[Conforme_Art7_2030],MATCH(A832,tbl_recyclass[ProductId],0))="Sim","Conforme (meta 2030)",IF(INDEX(tbl_recyclass[Conforme_Art7_2030],MATCH(A832,tbl_recyclass[ProductId],0))="Não","Lacuna face à meta 2030","Isento")),IF(B832="EU-ENV-011",IF(INDEX(tbl_familias_ppwr[Metais_Pesados_Evidencia],MATCH(INDEX(tbl_recyclass[Familia_PPWR],MATCH(A832,tbl_recyclass[ProductId],0)),tbl_familias_ppwr[ID_Familia],0))="Em falta","Lacuna","Conforme"),IF(B832="EU-ENV-013",IF(INDEX(tbl_familias_ppwr[Declaracao_UE],MATCH(INDEX(tbl_recyclass[Familia_PPWR],MATCH(A832,tbl_recyclass[ProductId],0)),tbl_familias_ppwr[ID_Familia],0))="Sim","Conforme","Lacuna"),G832)))),G832))</f>
        <v>Não aplicável</v>
      </c>
      <c r="I832" s="33" t="str">
        <f t="shared" si="12"/>
        <v>Não aplicável</v>
      </c>
      <c r="J832" s="26"/>
    </row>
    <row r="833" spans="1:10" ht="16.05" customHeight="1" x14ac:dyDescent="0.3">
      <c r="A833" s="26" t="s">
        <v>705</v>
      </c>
      <c r="B833" s="26" t="s">
        <v>1268</v>
      </c>
      <c r="C833" s="33" t="str">
        <f>IFERROR(INDEX(tbl_requisitos_emb[Tema],MATCH(B833,tbl_requisitos_emb[ID_Req],0)),"")</f>
        <v>Dispositivos de segurança</v>
      </c>
      <c r="D833" s="33" t="str">
        <f>IFERROR(INDEX(tbl_recyclass[Segmento],MATCH(A833,tbl_recyclass[ProductId],0)),"")</f>
        <v>Cosmética e higiene pessoal</v>
      </c>
      <c r="E833" s="26" t="s">
        <v>904</v>
      </c>
      <c r="F833" s="26" t="s">
        <v>1451</v>
      </c>
      <c r="G833" s="26" t="s">
        <v>1143</v>
      </c>
      <c r="H833" s="33" t="str">
        <f>IF(E833="Não","Não aplicável",IFERROR(IF(B833="EU-ENV-002",IF(INDEX(tbl_recyclass[Conforme_PPWR_2030],MATCH(A833,tbl_recyclass[ProductId],0))="Sim","Conforme (autoavaliação)",IF(INDEX(tbl_recyclass[Conforme_PPWR_2030],MATCH(A833,tbl_recyclass[ProductId],0))="Não","Não conforme em 2030","Isento até 2035")),IF(B833="EU-ENV-003",IF(INDEX(tbl_recyclass[Conforme_Art7_2030],MATCH(A833,tbl_recyclass[ProductId],0))="Sim","Conforme (meta 2030)",IF(INDEX(tbl_recyclass[Conforme_Art7_2030],MATCH(A833,tbl_recyclass[ProductId],0))="Não","Lacuna face à meta 2030","Isento")),IF(B833="EU-ENV-011",IF(INDEX(tbl_familias_ppwr[Metais_Pesados_Evidencia],MATCH(INDEX(tbl_recyclass[Familia_PPWR],MATCH(A833,tbl_recyclass[ProductId],0)),tbl_familias_ppwr[ID_Familia],0))="Em falta","Lacuna","Conforme"),IF(B833="EU-ENV-013",IF(INDEX(tbl_familias_ppwr[Declaracao_UE],MATCH(INDEX(tbl_recyclass[Familia_PPWR],MATCH(A833,tbl_recyclass[ProductId],0)),tbl_familias_ppwr[ID_Familia],0))="Sim","Conforme","Lacuna"),G833)))),G833))</f>
        <v>Não aplicável</v>
      </c>
      <c r="I833" s="33" t="str">
        <f t="shared" si="12"/>
        <v>Não aplicável</v>
      </c>
      <c r="J833" s="26"/>
    </row>
    <row r="834" spans="1:10" ht="16.05" customHeight="1" x14ac:dyDescent="0.3">
      <c r="A834" s="26" t="s">
        <v>705</v>
      </c>
      <c r="B834" s="26" t="s">
        <v>1285</v>
      </c>
      <c r="C834" s="33" t="str">
        <f>IFERROR(INDEX(tbl_requisitos_emb[Tema],MATCH(B834,tbl_requisitos_emb[ID_Req],0)),"")</f>
        <v>Materiais plásticos de acondicionamento primário</v>
      </c>
      <c r="D834" s="33" t="str">
        <f>IFERROR(INDEX(tbl_recyclass[Segmento],MATCH(A834,tbl_recyclass[ProductId],0)),"")</f>
        <v>Cosmética e higiene pessoal</v>
      </c>
      <c r="E834" s="26" t="s">
        <v>904</v>
      </c>
      <c r="F834" s="26" t="s">
        <v>1451</v>
      </c>
      <c r="G834" s="26" t="s">
        <v>1143</v>
      </c>
      <c r="H834" s="33" t="str">
        <f>IF(E834="Não","Não aplicável",IFERROR(IF(B834="EU-ENV-002",IF(INDEX(tbl_recyclass[Conforme_PPWR_2030],MATCH(A834,tbl_recyclass[ProductId],0))="Sim","Conforme (autoavaliação)",IF(INDEX(tbl_recyclass[Conforme_PPWR_2030],MATCH(A834,tbl_recyclass[ProductId],0))="Não","Não conforme em 2030","Isento até 2035")),IF(B834="EU-ENV-003",IF(INDEX(tbl_recyclass[Conforme_Art7_2030],MATCH(A834,tbl_recyclass[ProductId],0))="Sim","Conforme (meta 2030)",IF(INDEX(tbl_recyclass[Conforme_Art7_2030],MATCH(A834,tbl_recyclass[ProductId],0))="Não","Lacuna face à meta 2030","Isento")),IF(B834="EU-ENV-011",IF(INDEX(tbl_familias_ppwr[Metais_Pesados_Evidencia],MATCH(INDEX(tbl_recyclass[Familia_PPWR],MATCH(A834,tbl_recyclass[ProductId],0)),tbl_familias_ppwr[ID_Familia],0))="Em falta","Lacuna","Conforme"),IF(B834="EU-ENV-013",IF(INDEX(tbl_familias_ppwr[Declaracao_UE],MATCH(INDEX(tbl_recyclass[Familia_PPWR],MATCH(A834,tbl_recyclass[ProductId],0)),tbl_familias_ppwr[ID_Familia],0))="Sim","Conforme","Lacuna"),G834)))),G834))</f>
        <v>Não aplicável</v>
      </c>
      <c r="I834" s="33" t="str">
        <f t="shared" ref="I834:I897" si="13">IF(ISNUMBER(SEARCH("Não aplicável",H834)),"Não aplicável",IF(ISNUMBER(SEARCH("Isento",H834)),"Isento",IF(ISNUMBER(SEARCH("Não conforme",H834)),"Não conforme",IF(ISNUMBER(SEARCH("Lacuna",H834)),"Lacuna",IF(ISNUMBER(SEARCH("Conforme",H834)),"Conforme",H834)))))</f>
        <v>Não aplicável</v>
      </c>
      <c r="J834" s="26"/>
    </row>
    <row r="835" spans="1:10" ht="16.05" customHeight="1" x14ac:dyDescent="0.3">
      <c r="A835" s="26" t="s">
        <v>705</v>
      </c>
      <c r="B835" s="26" t="s">
        <v>1293</v>
      </c>
      <c r="C835" s="33" t="str">
        <f>IFERROR(INDEX(tbl_requisitos_emb[Tema],MATCH(B835,tbl_requisitos_emb[ID_Req],0)),"")</f>
        <v>Isenções PPWR</v>
      </c>
      <c r="D835" s="33" t="str">
        <f>IFERROR(INDEX(tbl_recyclass[Segmento],MATCH(A835,tbl_recyclass[ProductId],0)),"")</f>
        <v>Cosmética e higiene pessoal</v>
      </c>
      <c r="E835" s="26" t="s">
        <v>904</v>
      </c>
      <c r="F835" s="26" t="s">
        <v>1451</v>
      </c>
      <c r="G835" s="26" t="s">
        <v>1143</v>
      </c>
      <c r="H835" s="33" t="str">
        <f>IF(E835="Não","Não aplicável",IFERROR(IF(B835="EU-ENV-002",IF(INDEX(tbl_recyclass[Conforme_PPWR_2030],MATCH(A835,tbl_recyclass[ProductId],0))="Sim","Conforme (autoavaliação)",IF(INDEX(tbl_recyclass[Conforme_PPWR_2030],MATCH(A835,tbl_recyclass[ProductId],0))="Não","Não conforme em 2030","Isento até 2035")),IF(B835="EU-ENV-003",IF(INDEX(tbl_recyclass[Conforme_Art7_2030],MATCH(A835,tbl_recyclass[ProductId],0))="Sim","Conforme (meta 2030)",IF(INDEX(tbl_recyclass[Conforme_Art7_2030],MATCH(A835,tbl_recyclass[ProductId],0))="Não","Lacuna face à meta 2030","Isento")),IF(B835="EU-ENV-011",IF(INDEX(tbl_familias_ppwr[Metais_Pesados_Evidencia],MATCH(INDEX(tbl_recyclass[Familia_PPWR],MATCH(A835,tbl_recyclass[ProductId],0)),tbl_familias_ppwr[ID_Familia],0))="Em falta","Lacuna","Conforme"),IF(B835="EU-ENV-013",IF(INDEX(tbl_familias_ppwr[Declaracao_UE],MATCH(INDEX(tbl_recyclass[Familia_PPWR],MATCH(A835,tbl_recyclass[ProductId],0)),tbl_familias_ppwr[ID_Familia],0))="Sim","Conforme","Lacuna"),G835)))),G835))</f>
        <v>Não aplicável</v>
      </c>
      <c r="I835" s="33" t="str">
        <f t="shared" si="13"/>
        <v>Não aplicável</v>
      </c>
      <c r="J835" s="26"/>
    </row>
    <row r="836" spans="1:10" ht="16.05" customHeight="1" x14ac:dyDescent="0.3">
      <c r="A836" s="26" t="s">
        <v>705</v>
      </c>
      <c r="B836" s="26" t="s">
        <v>1357</v>
      </c>
      <c r="C836" s="33" t="str">
        <f>IFERROR(INDEX(tbl_requisitos_emb[Tema],MATCH(B836,tbl_requisitos_emb[ID_Req],0)),"")</f>
        <v>Identificação de plásticos</v>
      </c>
      <c r="D836" s="33" t="str">
        <f>IFERROR(INDEX(tbl_recyclass[Segmento],MATCH(A836,tbl_recyclass[ProductId],0)),"")</f>
        <v>Cosmética e higiene pessoal</v>
      </c>
      <c r="E836" s="26" t="s">
        <v>901</v>
      </c>
      <c r="F836" s="26" t="s">
        <v>1449</v>
      </c>
      <c r="G836" s="26" t="s">
        <v>978</v>
      </c>
      <c r="H836" s="33" t="str">
        <f>IF(E836="Não","Não aplicável",IFERROR(IF(B836="EU-ENV-002",IF(INDEX(tbl_recyclass[Conforme_PPWR_2030],MATCH(A836,tbl_recyclass[ProductId],0))="Sim","Conforme (autoavaliação)",IF(INDEX(tbl_recyclass[Conforme_PPWR_2030],MATCH(A836,tbl_recyclass[ProductId],0))="Não","Não conforme em 2030","Isento até 2035")),IF(B836="EU-ENV-003",IF(INDEX(tbl_recyclass[Conforme_Art7_2030],MATCH(A836,tbl_recyclass[ProductId],0))="Sim","Conforme (meta 2030)",IF(INDEX(tbl_recyclass[Conforme_Art7_2030],MATCH(A836,tbl_recyclass[ProductId],0))="Não","Lacuna face à meta 2030","Isento")),IF(B836="EU-ENV-011",IF(INDEX(tbl_familias_ppwr[Metais_Pesados_Evidencia],MATCH(INDEX(tbl_recyclass[Familia_PPWR],MATCH(A836,tbl_recyclass[ProductId],0)),tbl_familias_ppwr[ID_Familia],0))="Em falta","Lacuna","Conforme"),IF(B836="EU-ENV-013",IF(INDEX(tbl_familias_ppwr[Declaracao_UE],MATCH(INDEX(tbl_recyclass[Familia_PPWR],MATCH(A836,tbl_recyclass[ProductId],0)),tbl_familias_ppwr[ID_Familia],0))="Sim","Conforme","Lacuna"),G836)))),G836))</f>
        <v>Parcial</v>
      </c>
      <c r="I836" s="33" t="str">
        <f t="shared" si="13"/>
        <v>Parcial</v>
      </c>
      <c r="J836" s="26" t="s">
        <v>1362</v>
      </c>
    </row>
    <row r="837" spans="1:10" ht="16.05" customHeight="1" x14ac:dyDescent="0.3">
      <c r="A837" s="26" t="s">
        <v>705</v>
      </c>
      <c r="B837" s="26" t="s">
        <v>1385</v>
      </c>
      <c r="C837" s="33" t="str">
        <f>IFERROR(INDEX(tbl_requisitos_emb[Tema],MATCH(B837,tbl_requisitos_emb[ID_Req],0)),"")</f>
        <v>Reciclabilidade (voluntária)</v>
      </c>
      <c r="D837" s="33" t="str">
        <f>IFERROR(INDEX(tbl_recyclass[Segmento],MATCH(A837,tbl_recyclass[ProductId],0)),"")</f>
        <v>Cosmética e higiene pessoal</v>
      </c>
      <c r="E837" s="26" t="s">
        <v>901</v>
      </c>
      <c r="F837" s="26" t="s">
        <v>1449</v>
      </c>
      <c r="G837" s="26" t="s">
        <v>978</v>
      </c>
      <c r="H837" s="33" t="str">
        <f>IF(E837="Não","Não aplicável",IFERROR(IF(B837="EU-ENV-002",IF(INDEX(tbl_recyclass[Conforme_PPWR_2030],MATCH(A837,tbl_recyclass[ProductId],0))="Sim","Conforme (autoavaliação)",IF(INDEX(tbl_recyclass[Conforme_PPWR_2030],MATCH(A837,tbl_recyclass[ProductId],0))="Não","Não conforme em 2030","Isento até 2035")),IF(B837="EU-ENV-003",IF(INDEX(tbl_recyclass[Conforme_Art7_2030],MATCH(A837,tbl_recyclass[ProductId],0))="Sim","Conforme (meta 2030)",IF(INDEX(tbl_recyclass[Conforme_Art7_2030],MATCH(A837,tbl_recyclass[ProductId],0))="Não","Lacuna face à meta 2030","Isento")),IF(B837="EU-ENV-011",IF(INDEX(tbl_familias_ppwr[Metais_Pesados_Evidencia],MATCH(INDEX(tbl_recyclass[Familia_PPWR],MATCH(A837,tbl_recyclass[ProductId],0)),tbl_familias_ppwr[ID_Familia],0))="Em falta","Lacuna","Conforme"),IF(B837="EU-ENV-013",IF(INDEX(tbl_familias_ppwr[Declaracao_UE],MATCH(INDEX(tbl_recyclass[Familia_PPWR],MATCH(A837,tbl_recyclass[ProductId],0)),tbl_familias_ppwr[ID_Familia],0))="Sim","Conforme","Lacuna"),G837)))),G837))</f>
        <v>Parcial</v>
      </c>
      <c r="I837" s="33" t="str">
        <f t="shared" si="13"/>
        <v>Parcial</v>
      </c>
      <c r="J837" s="26" t="s">
        <v>1389</v>
      </c>
    </row>
    <row r="838" spans="1:10" ht="16.05" customHeight="1" x14ac:dyDescent="0.3">
      <c r="A838" s="26" t="s">
        <v>707</v>
      </c>
      <c r="B838" s="26" t="s">
        <v>984</v>
      </c>
      <c r="C838" s="33" t="str">
        <f>IFERROR(INDEX(tbl_requisitos_emb[Tema],MATCH(B838,tbl_requisitos_emb[ID_Req],0)),"")</f>
        <v>Conceção para reciclagem</v>
      </c>
      <c r="D838" s="33" t="str">
        <f>IFERROR(INDEX(tbl_recyclass[Segmento],MATCH(A838,tbl_recyclass[ProductId],0)),"")</f>
        <v>Cosmética e higiene pessoal</v>
      </c>
      <c r="E838" s="26" t="s">
        <v>901</v>
      </c>
      <c r="F838" s="26" t="s">
        <v>1449</v>
      </c>
      <c r="G838" s="26" t="s">
        <v>978</v>
      </c>
      <c r="H838" s="33" t="str">
        <f>IF(E838="Não","Não aplicável",IFERROR(IF(B838="EU-ENV-002",IF(INDEX(tbl_recyclass[Conforme_PPWR_2030],MATCH(A838,tbl_recyclass[ProductId],0))="Sim","Conforme (autoavaliação)",IF(INDEX(tbl_recyclass[Conforme_PPWR_2030],MATCH(A838,tbl_recyclass[ProductId],0))="Não","Não conforme em 2030","Isento até 2035")),IF(B838="EU-ENV-003",IF(INDEX(tbl_recyclass[Conforme_Art7_2030],MATCH(A838,tbl_recyclass[ProductId],0))="Sim","Conforme (meta 2030)",IF(INDEX(tbl_recyclass[Conforme_Art7_2030],MATCH(A838,tbl_recyclass[ProductId],0))="Não","Lacuna face à meta 2030","Isento")),IF(B838="EU-ENV-011",IF(INDEX(tbl_familias_ppwr[Metais_Pesados_Evidencia],MATCH(INDEX(tbl_recyclass[Familia_PPWR],MATCH(A838,tbl_recyclass[ProductId],0)),tbl_familias_ppwr[ID_Familia],0))="Em falta","Lacuna","Conforme"),IF(B838="EU-ENV-013",IF(INDEX(tbl_familias_ppwr[Declaracao_UE],MATCH(INDEX(tbl_recyclass[Familia_PPWR],MATCH(A838,tbl_recyclass[ProductId],0)),tbl_familias_ppwr[ID_Familia],0))="Sim","Conforme","Lacuna"),G838)))),G838))</f>
        <v>Conforme (autoavaliação)</v>
      </c>
      <c r="I838" s="33" t="str">
        <f t="shared" si="13"/>
        <v>Conforme</v>
      </c>
      <c r="J838" s="26" t="s">
        <v>991</v>
      </c>
    </row>
    <row r="839" spans="1:10" ht="16.05" customHeight="1" x14ac:dyDescent="0.3">
      <c r="A839" s="26" t="s">
        <v>707</v>
      </c>
      <c r="B839" s="26" t="s">
        <v>997</v>
      </c>
      <c r="C839" s="33" t="str">
        <f>IFERROR(INDEX(tbl_requisitos_emb[Tema],MATCH(B839,tbl_requisitos_emb[ID_Req],0)),"")</f>
        <v>Conteúdo reciclado</v>
      </c>
      <c r="D839" s="33" t="str">
        <f>IFERROR(INDEX(tbl_recyclass[Segmento],MATCH(A839,tbl_recyclass[ProductId],0)),"")</f>
        <v>Cosmética e higiene pessoal</v>
      </c>
      <c r="E839" s="26" t="s">
        <v>901</v>
      </c>
      <c r="F839" s="26" t="s">
        <v>1449</v>
      </c>
      <c r="G839" s="26" t="s">
        <v>978</v>
      </c>
      <c r="H839" s="33" t="str">
        <f>IF(E839="Não","Não aplicável",IFERROR(IF(B839="EU-ENV-002",IF(INDEX(tbl_recyclass[Conforme_PPWR_2030],MATCH(A839,tbl_recyclass[ProductId],0))="Sim","Conforme (autoavaliação)",IF(INDEX(tbl_recyclass[Conforme_PPWR_2030],MATCH(A839,tbl_recyclass[ProductId],0))="Não","Não conforme em 2030","Isento até 2035")),IF(B839="EU-ENV-003",IF(INDEX(tbl_recyclass[Conforme_Art7_2030],MATCH(A839,tbl_recyclass[ProductId],0))="Sim","Conforme (meta 2030)",IF(INDEX(tbl_recyclass[Conforme_Art7_2030],MATCH(A839,tbl_recyclass[ProductId],0))="Não","Lacuna face à meta 2030","Isento")),IF(B839="EU-ENV-011",IF(INDEX(tbl_familias_ppwr[Metais_Pesados_Evidencia],MATCH(INDEX(tbl_recyclass[Familia_PPWR],MATCH(A839,tbl_recyclass[ProductId],0)),tbl_familias_ppwr[ID_Familia],0))="Em falta","Lacuna","Conforme"),IF(B839="EU-ENV-013",IF(INDEX(tbl_familias_ppwr[Declaracao_UE],MATCH(INDEX(tbl_recyclass[Familia_PPWR],MATCH(A839,tbl_recyclass[ProductId],0)),tbl_familias_ppwr[ID_Familia],0))="Sim","Conforme","Lacuna"),G839)))),G839))</f>
        <v>Lacuna face à meta 2030</v>
      </c>
      <c r="I839" s="33" t="str">
        <f t="shared" si="13"/>
        <v>Lacuna</v>
      </c>
      <c r="J839" s="26" t="s">
        <v>1001</v>
      </c>
    </row>
    <row r="840" spans="1:10" ht="16.05" customHeight="1" x14ac:dyDescent="0.3">
      <c r="A840" s="26" t="s">
        <v>707</v>
      </c>
      <c r="B840" s="26" t="s">
        <v>1007</v>
      </c>
      <c r="C840" s="33" t="str">
        <f>IFERROR(INDEX(tbl_requisitos_emb[Tema],MATCH(B840,tbl_requisitos_emb[ID_Req],0)),"")</f>
        <v>Minimização</v>
      </c>
      <c r="D840" s="33" t="str">
        <f>IFERROR(INDEX(tbl_recyclass[Segmento],MATCH(A840,tbl_recyclass[ProductId],0)),"")</f>
        <v>Cosmética e higiene pessoal</v>
      </c>
      <c r="E840" s="26" t="s">
        <v>901</v>
      </c>
      <c r="F840" s="26" t="s">
        <v>1449</v>
      </c>
      <c r="G840" s="26" t="s">
        <v>978</v>
      </c>
      <c r="H840" s="33" t="str">
        <f>IF(E840="Não","Não aplicável",IFERROR(IF(B840="EU-ENV-002",IF(INDEX(tbl_recyclass[Conforme_PPWR_2030],MATCH(A840,tbl_recyclass[ProductId],0))="Sim","Conforme (autoavaliação)",IF(INDEX(tbl_recyclass[Conforme_PPWR_2030],MATCH(A840,tbl_recyclass[ProductId],0))="Não","Não conforme em 2030","Isento até 2035")),IF(B840="EU-ENV-003",IF(INDEX(tbl_recyclass[Conforme_Art7_2030],MATCH(A840,tbl_recyclass[ProductId],0))="Sim","Conforme (meta 2030)",IF(INDEX(tbl_recyclass[Conforme_Art7_2030],MATCH(A840,tbl_recyclass[ProductId],0))="Não","Lacuna face à meta 2030","Isento")),IF(B840="EU-ENV-011",IF(INDEX(tbl_familias_ppwr[Metais_Pesados_Evidencia],MATCH(INDEX(tbl_recyclass[Familia_PPWR],MATCH(A840,tbl_recyclass[ProductId],0)),tbl_familias_ppwr[ID_Familia],0))="Em falta","Lacuna","Conforme"),IF(B840="EU-ENV-013",IF(INDEX(tbl_familias_ppwr[Declaracao_UE],MATCH(INDEX(tbl_recyclass[Familia_PPWR],MATCH(A840,tbl_recyclass[ProductId],0)),tbl_familias_ppwr[ID_Familia],0))="Sim","Conforme","Lacuna"),G840)))),G840))</f>
        <v>Parcial</v>
      </c>
      <c r="I840" s="33" t="str">
        <f t="shared" si="13"/>
        <v>Parcial</v>
      </c>
      <c r="J840" s="26" t="s">
        <v>1012</v>
      </c>
    </row>
    <row r="841" spans="1:10" ht="16.05" customHeight="1" x14ac:dyDescent="0.3">
      <c r="A841" s="26" t="s">
        <v>707</v>
      </c>
      <c r="B841" s="26" t="s">
        <v>1016</v>
      </c>
      <c r="C841" s="33" t="str">
        <f>IFERROR(INDEX(tbl_requisitos_emb[Tema],MATCH(B841,tbl_requisitos_emb[ID_Req],0)),"")</f>
        <v>Rotulagem</v>
      </c>
      <c r="D841" s="33" t="str">
        <f>IFERROR(INDEX(tbl_recyclass[Segmento],MATCH(A841,tbl_recyclass[ProductId],0)),"")</f>
        <v>Cosmética e higiene pessoal</v>
      </c>
      <c r="E841" s="26" t="s">
        <v>901</v>
      </c>
      <c r="F841" s="26" t="s">
        <v>1449</v>
      </c>
      <c r="G841" s="26" t="s">
        <v>990</v>
      </c>
      <c r="H841" s="33" t="str">
        <f>IF(E841="Não","Não aplicável",IFERROR(IF(B841="EU-ENV-002",IF(INDEX(tbl_recyclass[Conforme_PPWR_2030],MATCH(A841,tbl_recyclass[ProductId],0))="Sim","Conforme (autoavaliação)",IF(INDEX(tbl_recyclass[Conforme_PPWR_2030],MATCH(A841,tbl_recyclass[ProductId],0))="Não","Não conforme em 2030","Isento até 2035")),IF(B841="EU-ENV-003",IF(INDEX(tbl_recyclass[Conforme_Art7_2030],MATCH(A841,tbl_recyclass[ProductId],0))="Sim","Conforme (meta 2030)",IF(INDEX(tbl_recyclass[Conforme_Art7_2030],MATCH(A841,tbl_recyclass[ProductId],0))="Não","Lacuna face à meta 2030","Isento")),IF(B841="EU-ENV-011",IF(INDEX(tbl_familias_ppwr[Metais_Pesados_Evidencia],MATCH(INDEX(tbl_recyclass[Familia_PPWR],MATCH(A841,tbl_recyclass[ProductId],0)),tbl_familias_ppwr[ID_Familia],0))="Em falta","Lacuna","Conforme"),IF(B841="EU-ENV-013",IF(INDEX(tbl_familias_ppwr[Declaracao_UE],MATCH(INDEX(tbl_recyclass[Familia_PPWR],MATCH(A841,tbl_recyclass[ProductId],0)),tbl_familias_ppwr[ID_Familia],0))="Sim","Conforme","Lacuna"),G841)))),G841))</f>
        <v>Futuro</v>
      </c>
      <c r="I841" s="33" t="str">
        <f t="shared" si="13"/>
        <v>Futuro</v>
      </c>
      <c r="J841" s="26" t="s">
        <v>1021</v>
      </c>
    </row>
    <row r="842" spans="1:10" ht="16.05" customHeight="1" x14ac:dyDescent="0.3">
      <c r="A842" s="26" t="s">
        <v>707</v>
      </c>
      <c r="B842" s="26" t="s">
        <v>1038</v>
      </c>
      <c r="C842" s="33" t="str">
        <f>IFERROR(INDEX(tbl_requisitos_emb[Tema],MATCH(B842,tbl_requisitos_emb[ID_Req],0)),"")</f>
        <v>Plásticos de utilização única</v>
      </c>
      <c r="D842" s="33" t="str">
        <f>IFERROR(INDEX(tbl_recyclass[Segmento],MATCH(A842,tbl_recyclass[ProductId],0)),"")</f>
        <v>Cosmética e higiene pessoal</v>
      </c>
      <c r="E842" s="26" t="s">
        <v>904</v>
      </c>
      <c r="F842" s="26" t="s">
        <v>1450</v>
      </c>
      <c r="G842" s="26" t="s">
        <v>1143</v>
      </c>
      <c r="H842" s="33" t="str">
        <f>IF(E842="Não","Não aplicável",IFERROR(IF(B842="EU-ENV-002",IF(INDEX(tbl_recyclass[Conforme_PPWR_2030],MATCH(A842,tbl_recyclass[ProductId],0))="Sim","Conforme (autoavaliação)",IF(INDEX(tbl_recyclass[Conforme_PPWR_2030],MATCH(A842,tbl_recyclass[ProductId],0))="Não","Não conforme em 2030","Isento até 2035")),IF(B842="EU-ENV-003",IF(INDEX(tbl_recyclass[Conforme_Art7_2030],MATCH(A842,tbl_recyclass[ProductId],0))="Sim","Conforme (meta 2030)",IF(INDEX(tbl_recyclass[Conforme_Art7_2030],MATCH(A842,tbl_recyclass[ProductId],0))="Não","Lacuna face à meta 2030","Isento")),IF(B842="EU-ENV-011",IF(INDEX(tbl_familias_ppwr[Metais_Pesados_Evidencia],MATCH(INDEX(tbl_recyclass[Familia_PPWR],MATCH(A842,tbl_recyclass[ProductId],0)),tbl_familias_ppwr[ID_Familia],0))="Em falta","Lacuna","Conforme"),IF(B842="EU-ENV-013",IF(INDEX(tbl_familias_ppwr[Declaracao_UE],MATCH(INDEX(tbl_recyclass[Familia_PPWR],MATCH(A842,tbl_recyclass[ProductId],0)),tbl_familias_ppwr[ID_Familia],0))="Sim","Conforme","Lacuna"),G842)))),G842))</f>
        <v>Não aplicável</v>
      </c>
      <c r="I842" s="33" t="str">
        <f t="shared" si="13"/>
        <v>Não aplicável</v>
      </c>
      <c r="J842" s="26"/>
    </row>
    <row r="843" spans="1:10" ht="16.05" customHeight="1" x14ac:dyDescent="0.3">
      <c r="A843" s="26" t="s">
        <v>707</v>
      </c>
      <c r="B843" s="26" t="s">
        <v>1078</v>
      </c>
      <c r="C843" s="33" t="str">
        <f>IFERROR(INDEX(tbl_requisitos_emb[Tema],MATCH(B843,tbl_requisitos_emb[ID_Req],0)),"")</f>
        <v>Reciclado à escala</v>
      </c>
      <c r="D843" s="33" t="str">
        <f>IFERROR(INDEX(tbl_recyclass[Segmento],MATCH(A843,tbl_recyclass[ProductId],0)),"")</f>
        <v>Cosmética e higiene pessoal</v>
      </c>
      <c r="E843" s="26" t="s">
        <v>901</v>
      </c>
      <c r="F843" s="26" t="s">
        <v>1449</v>
      </c>
      <c r="G843" s="26" t="s">
        <v>990</v>
      </c>
      <c r="H843" s="33" t="str">
        <f>IF(E843="Não","Não aplicável",IFERROR(IF(B843="EU-ENV-002",IF(INDEX(tbl_recyclass[Conforme_PPWR_2030],MATCH(A843,tbl_recyclass[ProductId],0))="Sim","Conforme (autoavaliação)",IF(INDEX(tbl_recyclass[Conforme_PPWR_2030],MATCH(A843,tbl_recyclass[ProductId],0))="Não","Não conforme em 2030","Isento até 2035")),IF(B843="EU-ENV-003",IF(INDEX(tbl_recyclass[Conforme_Art7_2030],MATCH(A843,tbl_recyclass[ProductId],0))="Sim","Conforme (meta 2030)",IF(INDEX(tbl_recyclass[Conforme_Art7_2030],MATCH(A843,tbl_recyclass[ProductId],0))="Não","Lacuna face à meta 2030","Isento")),IF(B843="EU-ENV-011",IF(INDEX(tbl_familias_ppwr[Metais_Pesados_Evidencia],MATCH(INDEX(tbl_recyclass[Familia_PPWR],MATCH(A843,tbl_recyclass[ProductId],0)),tbl_familias_ppwr[ID_Familia],0))="Em falta","Lacuna","Conforme"),IF(B843="EU-ENV-013",IF(INDEX(tbl_familias_ppwr[Declaracao_UE],MATCH(INDEX(tbl_recyclass[Familia_PPWR],MATCH(A843,tbl_recyclass[ProductId],0)),tbl_familias_ppwr[ID_Familia],0))="Sim","Conforme","Lacuna"),G843)))),G843))</f>
        <v>Futuro</v>
      </c>
      <c r="I843" s="33" t="str">
        <f t="shared" si="13"/>
        <v>Futuro</v>
      </c>
      <c r="J843" s="26" t="s">
        <v>1082</v>
      </c>
    </row>
    <row r="844" spans="1:10" ht="16.05" customHeight="1" x14ac:dyDescent="0.3">
      <c r="A844" s="26" t="s">
        <v>707</v>
      </c>
      <c r="B844" s="26" t="s">
        <v>1086</v>
      </c>
      <c r="C844" s="33" t="str">
        <f>IFERROR(INDEX(tbl_requisitos_emb[Tema],MATCH(B844,tbl_requisitos_emb[ID_Req],0)),"")</f>
        <v>Metais pesados</v>
      </c>
      <c r="D844" s="33" t="str">
        <f>IFERROR(INDEX(tbl_recyclass[Segmento],MATCH(A844,tbl_recyclass[ProductId],0)),"")</f>
        <v>Cosmética e higiene pessoal</v>
      </c>
      <c r="E844" s="26" t="s">
        <v>901</v>
      </c>
      <c r="F844" s="26" t="s">
        <v>1449</v>
      </c>
      <c r="G844" s="26" t="s">
        <v>978</v>
      </c>
      <c r="H844" s="33" t="str">
        <f>IF(E844="Não","Não aplicável",IFERROR(IF(B844="EU-ENV-002",IF(INDEX(tbl_recyclass[Conforme_PPWR_2030],MATCH(A844,tbl_recyclass[ProductId],0))="Sim","Conforme (autoavaliação)",IF(INDEX(tbl_recyclass[Conforme_PPWR_2030],MATCH(A844,tbl_recyclass[ProductId],0))="Não","Não conforme em 2030","Isento até 2035")),IF(B844="EU-ENV-003",IF(INDEX(tbl_recyclass[Conforme_Art7_2030],MATCH(A844,tbl_recyclass[ProductId],0))="Sim","Conforme (meta 2030)",IF(INDEX(tbl_recyclass[Conforme_Art7_2030],MATCH(A844,tbl_recyclass[ProductId],0))="Não","Lacuna face à meta 2030","Isento")),IF(B844="EU-ENV-011",IF(INDEX(tbl_familias_ppwr[Metais_Pesados_Evidencia],MATCH(INDEX(tbl_recyclass[Familia_PPWR],MATCH(A844,tbl_recyclass[ProductId],0)),tbl_familias_ppwr[ID_Familia],0))="Em falta","Lacuna","Conforme"),IF(B844="EU-ENV-013",IF(INDEX(tbl_familias_ppwr[Declaracao_UE],MATCH(INDEX(tbl_recyclass[Familia_PPWR],MATCH(A844,tbl_recyclass[ProductId],0)),tbl_familias_ppwr[ID_Familia],0))="Sim","Conforme","Lacuna"),G844)))),G844))</f>
        <v>Conforme</v>
      </c>
      <c r="I844" s="33" t="str">
        <f t="shared" si="13"/>
        <v>Conforme</v>
      </c>
      <c r="J844" s="26" t="s">
        <v>1090</v>
      </c>
    </row>
    <row r="845" spans="1:10" ht="16.05" customHeight="1" x14ac:dyDescent="0.3">
      <c r="A845" s="26" t="s">
        <v>707</v>
      </c>
      <c r="B845" s="26" t="s">
        <v>1094</v>
      </c>
      <c r="C845" s="33" t="str">
        <f>IFERROR(INDEX(tbl_requisitos_emb[Tema],MATCH(B845,tbl_requisitos_emb[ID_Req],0)),"")</f>
        <v>PFAS</v>
      </c>
      <c r="D845" s="33" t="str">
        <f>IFERROR(INDEX(tbl_recyclass[Segmento],MATCH(A845,tbl_recyclass[ProductId],0)),"")</f>
        <v>Cosmética e higiene pessoal</v>
      </c>
      <c r="E845" s="26" t="s">
        <v>904</v>
      </c>
      <c r="F845" s="26" t="s">
        <v>1450</v>
      </c>
      <c r="G845" s="26" t="s">
        <v>1143</v>
      </c>
      <c r="H845" s="33" t="str">
        <f>IF(E845="Não","Não aplicável",IFERROR(IF(B845="EU-ENV-002",IF(INDEX(tbl_recyclass[Conforme_PPWR_2030],MATCH(A845,tbl_recyclass[ProductId],0))="Sim","Conforme (autoavaliação)",IF(INDEX(tbl_recyclass[Conforme_PPWR_2030],MATCH(A845,tbl_recyclass[ProductId],0))="Não","Não conforme em 2030","Isento até 2035")),IF(B845="EU-ENV-003",IF(INDEX(tbl_recyclass[Conforme_Art7_2030],MATCH(A845,tbl_recyclass[ProductId],0))="Sim","Conforme (meta 2030)",IF(INDEX(tbl_recyclass[Conforme_Art7_2030],MATCH(A845,tbl_recyclass[ProductId],0))="Não","Lacuna face à meta 2030","Isento")),IF(B845="EU-ENV-011",IF(INDEX(tbl_familias_ppwr[Metais_Pesados_Evidencia],MATCH(INDEX(tbl_recyclass[Familia_PPWR],MATCH(A845,tbl_recyclass[ProductId],0)),tbl_familias_ppwr[ID_Familia],0))="Em falta","Lacuna","Conforme"),IF(B845="EU-ENV-013",IF(INDEX(tbl_familias_ppwr[Declaracao_UE],MATCH(INDEX(tbl_recyclass[Familia_PPWR],MATCH(A845,tbl_recyclass[ProductId],0)),tbl_familias_ppwr[ID_Familia],0))="Sim","Conforme","Lacuna"),G845)))),G845))</f>
        <v>Não aplicável</v>
      </c>
      <c r="I845" s="33" t="str">
        <f t="shared" si="13"/>
        <v>Não aplicável</v>
      </c>
      <c r="J845" s="26"/>
    </row>
    <row r="846" spans="1:10" ht="16.05" customHeight="1" x14ac:dyDescent="0.3">
      <c r="A846" s="26" t="s">
        <v>707</v>
      </c>
      <c r="B846" s="26" t="s">
        <v>1102</v>
      </c>
      <c r="C846" s="33" t="str">
        <f>IFERROR(INDEX(tbl_requisitos_emb[Tema],MATCH(B846,tbl_requisitos_emb[ID_Req],0)),"")</f>
        <v>Documentação técnica e declaração UE</v>
      </c>
      <c r="D846" s="33" t="str">
        <f>IFERROR(INDEX(tbl_recyclass[Segmento],MATCH(A846,tbl_recyclass[ProductId],0)),"")</f>
        <v>Cosmética e higiene pessoal</v>
      </c>
      <c r="E846" s="26" t="s">
        <v>901</v>
      </c>
      <c r="F846" s="26" t="s">
        <v>1449</v>
      </c>
      <c r="G846" s="26" t="s">
        <v>978</v>
      </c>
      <c r="H846" s="33" t="str">
        <f>IF(E846="Não","Não aplicável",IFERROR(IF(B846="EU-ENV-002",IF(INDEX(tbl_recyclass[Conforme_PPWR_2030],MATCH(A846,tbl_recyclass[ProductId],0))="Sim","Conforme (autoavaliação)",IF(INDEX(tbl_recyclass[Conforme_PPWR_2030],MATCH(A846,tbl_recyclass[ProductId],0))="Não","Não conforme em 2030","Isento até 2035")),IF(B846="EU-ENV-003",IF(INDEX(tbl_recyclass[Conforme_Art7_2030],MATCH(A846,tbl_recyclass[ProductId],0))="Sim","Conforme (meta 2030)",IF(INDEX(tbl_recyclass[Conforme_Art7_2030],MATCH(A846,tbl_recyclass[ProductId],0))="Não","Lacuna face à meta 2030","Isento")),IF(B846="EU-ENV-011",IF(INDEX(tbl_familias_ppwr[Metais_Pesados_Evidencia],MATCH(INDEX(tbl_recyclass[Familia_PPWR],MATCH(A846,tbl_recyclass[ProductId],0)),tbl_familias_ppwr[ID_Familia],0))="Em falta","Lacuna","Conforme"),IF(B846="EU-ENV-013",IF(INDEX(tbl_familias_ppwr[Declaracao_UE],MATCH(INDEX(tbl_recyclass[Familia_PPWR],MATCH(A846,tbl_recyclass[ProductId],0)),tbl_familias_ppwr[ID_Familia],0))="Sim","Conforme","Lacuna"),G846)))),G846))</f>
        <v>Conforme</v>
      </c>
      <c r="I846" s="33" t="str">
        <f t="shared" si="13"/>
        <v>Conforme</v>
      </c>
      <c r="J846" s="26" t="s">
        <v>1106</v>
      </c>
    </row>
    <row r="847" spans="1:10" ht="16.05" customHeight="1" x14ac:dyDescent="0.3">
      <c r="A847" s="26" t="s">
        <v>707</v>
      </c>
      <c r="B847" s="26" t="s">
        <v>1161</v>
      </c>
      <c r="C847" s="33" t="str">
        <f>IFERROR(INDEX(tbl_requisitos_emb[Tema],MATCH(B847,tbl_requisitos_emb[ID_Req],0)),"")</f>
        <v>Materiais em contacto com alimentos</v>
      </c>
      <c r="D847" s="33" t="str">
        <f>IFERROR(INDEX(tbl_recyclass[Segmento],MATCH(A847,tbl_recyclass[ProductId],0)),"")</f>
        <v>Cosmética e higiene pessoal</v>
      </c>
      <c r="E847" s="26" t="s">
        <v>904</v>
      </c>
      <c r="F847" s="26" t="s">
        <v>1450</v>
      </c>
      <c r="G847" s="26" t="s">
        <v>1143</v>
      </c>
      <c r="H847" s="33" t="str">
        <f>IF(E847="Não","Não aplicável",IFERROR(IF(B847="EU-ENV-002",IF(INDEX(tbl_recyclass[Conforme_PPWR_2030],MATCH(A847,tbl_recyclass[ProductId],0))="Sim","Conforme (autoavaliação)",IF(INDEX(tbl_recyclass[Conforme_PPWR_2030],MATCH(A847,tbl_recyclass[ProductId],0))="Não","Não conforme em 2030","Isento até 2035")),IF(B847="EU-ENV-003",IF(INDEX(tbl_recyclass[Conforme_Art7_2030],MATCH(A847,tbl_recyclass[ProductId],0))="Sim","Conforme (meta 2030)",IF(INDEX(tbl_recyclass[Conforme_Art7_2030],MATCH(A847,tbl_recyclass[ProductId],0))="Não","Lacuna face à meta 2030","Isento")),IF(B847="EU-ENV-011",IF(INDEX(tbl_familias_ppwr[Metais_Pesados_Evidencia],MATCH(INDEX(tbl_recyclass[Familia_PPWR],MATCH(A847,tbl_recyclass[ProductId],0)),tbl_familias_ppwr[ID_Familia],0))="Em falta","Lacuna","Conforme"),IF(B847="EU-ENV-013",IF(INDEX(tbl_familias_ppwr[Declaracao_UE],MATCH(INDEX(tbl_recyclass[Familia_PPWR],MATCH(A847,tbl_recyclass[ProductId],0)),tbl_familias_ppwr[ID_Familia],0))="Sim","Conforme","Lacuna"),G847)))),G847))</f>
        <v>Não aplicável</v>
      </c>
      <c r="I847" s="33" t="str">
        <f t="shared" si="13"/>
        <v>Não aplicável</v>
      </c>
      <c r="J847" s="26"/>
    </row>
    <row r="848" spans="1:10" ht="16.05" customHeight="1" x14ac:dyDescent="0.3">
      <c r="A848" s="26" t="s">
        <v>707</v>
      </c>
      <c r="B848" s="26" t="s">
        <v>1170</v>
      </c>
      <c r="C848" s="33" t="str">
        <f>IFERROR(INDEX(tbl_requisitos_emb[Tema],MATCH(B848,tbl_requisitos_emb[ID_Req],0)),"")</f>
        <v>Boas práticas de fabrico FCM</v>
      </c>
      <c r="D848" s="33" t="str">
        <f>IFERROR(INDEX(tbl_recyclass[Segmento],MATCH(A848,tbl_recyclass[ProductId],0)),"")</f>
        <v>Cosmética e higiene pessoal</v>
      </c>
      <c r="E848" s="26" t="s">
        <v>904</v>
      </c>
      <c r="F848" s="26" t="s">
        <v>1450</v>
      </c>
      <c r="G848" s="26" t="s">
        <v>1143</v>
      </c>
      <c r="H848" s="33" t="str">
        <f>IF(E848="Não","Não aplicável",IFERROR(IF(B848="EU-ENV-002",IF(INDEX(tbl_recyclass[Conforme_PPWR_2030],MATCH(A848,tbl_recyclass[ProductId],0))="Sim","Conforme (autoavaliação)",IF(INDEX(tbl_recyclass[Conforme_PPWR_2030],MATCH(A848,tbl_recyclass[ProductId],0))="Não","Não conforme em 2030","Isento até 2035")),IF(B848="EU-ENV-003",IF(INDEX(tbl_recyclass[Conforme_Art7_2030],MATCH(A848,tbl_recyclass[ProductId],0))="Sim","Conforme (meta 2030)",IF(INDEX(tbl_recyclass[Conforme_Art7_2030],MATCH(A848,tbl_recyclass[ProductId],0))="Não","Lacuna face à meta 2030","Isento")),IF(B848="EU-ENV-011",IF(INDEX(tbl_familias_ppwr[Metais_Pesados_Evidencia],MATCH(INDEX(tbl_recyclass[Familia_PPWR],MATCH(A848,tbl_recyclass[ProductId],0)),tbl_familias_ppwr[ID_Familia],0))="Em falta","Lacuna","Conforme"),IF(B848="EU-ENV-013",IF(INDEX(tbl_familias_ppwr[Declaracao_UE],MATCH(INDEX(tbl_recyclass[Familia_PPWR],MATCH(A848,tbl_recyclass[ProductId],0)),tbl_familias_ppwr[ID_Familia],0))="Sim","Conforme","Lacuna"),G848)))),G848))</f>
        <v>Não aplicável</v>
      </c>
      <c r="I848" s="33" t="str">
        <f t="shared" si="13"/>
        <v>Não aplicável</v>
      </c>
      <c r="J848" s="26"/>
    </row>
    <row r="849" spans="1:10" ht="16.05" customHeight="1" x14ac:dyDescent="0.3">
      <c r="A849" s="26" t="s">
        <v>707</v>
      </c>
      <c r="B849" s="26" t="s">
        <v>1179</v>
      </c>
      <c r="C849" s="33" t="str">
        <f>IFERROR(INDEX(tbl_requisitos_emb[Tema],MATCH(B849,tbl_requisitos_emb[ID_Req],0)),"")</f>
        <v>Bisfenol A e bisfenóis perigosos</v>
      </c>
      <c r="D849" s="33" t="str">
        <f>IFERROR(INDEX(tbl_recyclass[Segmento],MATCH(A849,tbl_recyclass[ProductId],0)),"")</f>
        <v>Cosmética e higiene pessoal</v>
      </c>
      <c r="E849" s="26" t="s">
        <v>904</v>
      </c>
      <c r="F849" s="26" t="s">
        <v>1450</v>
      </c>
      <c r="G849" s="26" t="s">
        <v>1143</v>
      </c>
      <c r="H849" s="33" t="str">
        <f>IF(E849="Não","Não aplicável",IFERROR(IF(B849="EU-ENV-002",IF(INDEX(tbl_recyclass[Conforme_PPWR_2030],MATCH(A849,tbl_recyclass[ProductId],0))="Sim","Conforme (autoavaliação)",IF(INDEX(tbl_recyclass[Conforme_PPWR_2030],MATCH(A849,tbl_recyclass[ProductId],0))="Não","Não conforme em 2030","Isento até 2035")),IF(B849="EU-ENV-003",IF(INDEX(tbl_recyclass[Conforme_Art7_2030],MATCH(A849,tbl_recyclass[ProductId],0))="Sim","Conforme (meta 2030)",IF(INDEX(tbl_recyclass[Conforme_Art7_2030],MATCH(A849,tbl_recyclass[ProductId],0))="Não","Lacuna face à meta 2030","Isento")),IF(B849="EU-ENV-011",IF(INDEX(tbl_familias_ppwr[Metais_Pesados_Evidencia],MATCH(INDEX(tbl_recyclass[Familia_PPWR],MATCH(A849,tbl_recyclass[ProductId],0)),tbl_familias_ppwr[ID_Familia],0))="Em falta","Lacuna","Conforme"),IF(B849="EU-ENV-013",IF(INDEX(tbl_familias_ppwr[Declaracao_UE],MATCH(INDEX(tbl_recyclass[Familia_PPWR],MATCH(A849,tbl_recyclass[ProductId],0)),tbl_familias_ppwr[ID_Familia],0))="Sim","Conforme","Lacuna"),G849)))),G849))</f>
        <v>Não aplicável</v>
      </c>
      <c r="I849" s="33" t="str">
        <f t="shared" si="13"/>
        <v>Não aplicável</v>
      </c>
      <c r="J849" s="26"/>
    </row>
    <row r="850" spans="1:10" ht="16.05" customHeight="1" x14ac:dyDescent="0.3">
      <c r="A850" s="26" t="s">
        <v>707</v>
      </c>
      <c r="B850" s="26" t="s">
        <v>1188</v>
      </c>
      <c r="C850" s="33" t="str">
        <f>IFERROR(INDEX(tbl_requisitos_emb[Tema],MATCH(B850,tbl_requisitos_emb[ID_Req],0)),"")</f>
        <v>Plásticos em contacto com alimentos</v>
      </c>
      <c r="D850" s="33" t="str">
        <f>IFERROR(INDEX(tbl_recyclass[Segmento],MATCH(A850,tbl_recyclass[ProductId],0)),"")</f>
        <v>Cosmética e higiene pessoal</v>
      </c>
      <c r="E850" s="26" t="s">
        <v>904</v>
      </c>
      <c r="F850" s="26" t="s">
        <v>1450</v>
      </c>
      <c r="G850" s="26" t="s">
        <v>1143</v>
      </c>
      <c r="H850" s="33" t="str">
        <f>IF(E850="Não","Não aplicável",IFERROR(IF(B850="EU-ENV-002",IF(INDEX(tbl_recyclass[Conforme_PPWR_2030],MATCH(A850,tbl_recyclass[ProductId],0))="Sim","Conforme (autoavaliação)",IF(INDEX(tbl_recyclass[Conforme_PPWR_2030],MATCH(A850,tbl_recyclass[ProductId],0))="Não","Não conforme em 2030","Isento até 2035")),IF(B850="EU-ENV-003",IF(INDEX(tbl_recyclass[Conforme_Art7_2030],MATCH(A850,tbl_recyclass[ProductId],0))="Sim","Conforme (meta 2030)",IF(INDEX(tbl_recyclass[Conforme_Art7_2030],MATCH(A850,tbl_recyclass[ProductId],0))="Não","Lacuna face à meta 2030","Isento")),IF(B850="EU-ENV-011",IF(INDEX(tbl_familias_ppwr[Metais_Pesados_Evidencia],MATCH(INDEX(tbl_recyclass[Familia_PPWR],MATCH(A850,tbl_recyclass[ProductId],0)),tbl_familias_ppwr[ID_Familia],0))="Em falta","Lacuna","Conforme"),IF(B850="EU-ENV-013",IF(INDEX(tbl_familias_ppwr[Declaracao_UE],MATCH(INDEX(tbl_recyclass[Familia_PPWR],MATCH(A850,tbl_recyclass[ProductId],0)),tbl_familias_ppwr[ID_Familia],0))="Sim","Conforme","Lacuna"),G850)))),G850))</f>
        <v>Não aplicável</v>
      </c>
      <c r="I850" s="33" t="str">
        <f t="shared" si="13"/>
        <v>Não aplicável</v>
      </c>
      <c r="J850" s="26"/>
    </row>
    <row r="851" spans="1:10" ht="16.05" customHeight="1" x14ac:dyDescent="0.3">
      <c r="A851" s="26" t="s">
        <v>707</v>
      </c>
      <c r="B851" s="26" t="s">
        <v>1212</v>
      </c>
      <c r="C851" s="33" t="str">
        <f>IFERROR(INDEX(tbl_requisitos_emb[Tema],MATCH(B851,tbl_requisitos_emb[ID_Req],0)),"")</f>
        <v>Segurança do produto cosmético</v>
      </c>
      <c r="D851" s="33" t="str">
        <f>IFERROR(INDEX(tbl_recyclass[Segmento],MATCH(A851,tbl_recyclass[ProductId],0)),"")</f>
        <v>Cosmética e higiene pessoal</v>
      </c>
      <c r="E851" s="26" t="s">
        <v>901</v>
      </c>
      <c r="F851" s="26" t="s">
        <v>1449</v>
      </c>
      <c r="G851" s="26" t="s">
        <v>1033</v>
      </c>
      <c r="H851" s="33" t="str">
        <f>IF(E851="Não","Não aplicável",IFERROR(IF(B851="EU-ENV-002",IF(INDEX(tbl_recyclass[Conforme_PPWR_2030],MATCH(A851,tbl_recyclass[ProductId],0))="Sim","Conforme (autoavaliação)",IF(INDEX(tbl_recyclass[Conforme_PPWR_2030],MATCH(A851,tbl_recyclass[ProductId],0))="Não","Não conforme em 2030","Isento até 2035")),IF(B851="EU-ENV-003",IF(INDEX(tbl_recyclass[Conforme_Art7_2030],MATCH(A851,tbl_recyclass[ProductId],0))="Sim","Conforme (meta 2030)",IF(INDEX(tbl_recyclass[Conforme_Art7_2030],MATCH(A851,tbl_recyclass[ProductId],0))="Não","Lacuna face à meta 2030","Isento")),IF(B851="EU-ENV-011",IF(INDEX(tbl_familias_ppwr[Metais_Pesados_Evidencia],MATCH(INDEX(tbl_recyclass[Familia_PPWR],MATCH(A851,tbl_recyclass[ProductId],0)),tbl_familias_ppwr[ID_Familia],0))="Em falta","Lacuna","Conforme"),IF(B851="EU-ENV-013",IF(INDEX(tbl_familias_ppwr[Declaracao_UE],MATCH(INDEX(tbl_recyclass[Familia_PPWR],MATCH(A851,tbl_recyclass[ProductId],0)),tbl_familias_ppwr[ID_Familia],0))="Sim","Conforme","Lacuna"),G851)))),G851))</f>
        <v>Conforme</v>
      </c>
      <c r="I851" s="33" t="str">
        <f t="shared" si="13"/>
        <v>Conforme</v>
      </c>
      <c r="J851" s="26" t="s">
        <v>1221</v>
      </c>
    </row>
    <row r="852" spans="1:10" ht="16.05" customHeight="1" x14ac:dyDescent="0.3">
      <c r="A852" s="26" t="s">
        <v>707</v>
      </c>
      <c r="B852" s="26" t="s">
        <v>1224</v>
      </c>
      <c r="C852" s="33" t="str">
        <f>IFERROR(INDEX(tbl_requisitos_emb[Tema],MATCH(B852,tbl_requisitos_emb[ID_Req],0)),"")</f>
        <v>Materiais e impurezas</v>
      </c>
      <c r="D852" s="33" t="str">
        <f>IFERROR(INDEX(tbl_recyclass[Segmento],MATCH(A852,tbl_recyclass[ProductId],0)),"")</f>
        <v>Cosmética e higiene pessoal</v>
      </c>
      <c r="E852" s="26" t="s">
        <v>901</v>
      </c>
      <c r="F852" s="26" t="s">
        <v>1449</v>
      </c>
      <c r="G852" s="26" t="s">
        <v>978</v>
      </c>
      <c r="H852" s="33" t="str">
        <f>IF(E852="Não","Não aplicável",IFERROR(IF(B852="EU-ENV-002",IF(INDEX(tbl_recyclass[Conforme_PPWR_2030],MATCH(A852,tbl_recyclass[ProductId],0))="Sim","Conforme (autoavaliação)",IF(INDEX(tbl_recyclass[Conforme_PPWR_2030],MATCH(A852,tbl_recyclass[ProductId],0))="Não","Não conforme em 2030","Isento até 2035")),IF(B852="EU-ENV-003",IF(INDEX(tbl_recyclass[Conforme_Art7_2030],MATCH(A852,tbl_recyclass[ProductId],0))="Sim","Conforme (meta 2030)",IF(INDEX(tbl_recyclass[Conforme_Art7_2030],MATCH(A852,tbl_recyclass[ProductId],0))="Não","Lacuna face à meta 2030","Isento")),IF(B852="EU-ENV-011",IF(INDEX(tbl_familias_ppwr[Metais_Pesados_Evidencia],MATCH(INDEX(tbl_recyclass[Familia_PPWR],MATCH(A852,tbl_recyclass[ProductId],0)),tbl_familias_ppwr[ID_Familia],0))="Em falta","Lacuna","Conforme"),IF(B852="EU-ENV-013",IF(INDEX(tbl_familias_ppwr[Declaracao_UE],MATCH(INDEX(tbl_recyclass[Familia_PPWR],MATCH(A852,tbl_recyclass[ProductId],0)),tbl_familias_ppwr[ID_Familia],0))="Sim","Conforme","Lacuna"),G852)))),G852))</f>
        <v>Parcial</v>
      </c>
      <c r="I852" s="33" t="str">
        <f t="shared" si="13"/>
        <v>Parcial</v>
      </c>
      <c r="J852" s="26" t="s">
        <v>1228</v>
      </c>
    </row>
    <row r="853" spans="1:10" ht="16.05" customHeight="1" x14ac:dyDescent="0.3">
      <c r="A853" s="26" t="s">
        <v>707</v>
      </c>
      <c r="B853" s="26" t="s">
        <v>1240</v>
      </c>
      <c r="C853" s="33" t="str">
        <f>IFERROR(INDEX(tbl_requisitos_emb[Tema],MATCH(B853,tbl_requisitos_emb[ID_Req],0)),"")</f>
        <v>Compatibilidade embalagem–produto</v>
      </c>
      <c r="D853" s="33" t="str">
        <f>IFERROR(INDEX(tbl_recyclass[Segmento],MATCH(A853,tbl_recyclass[ProductId],0)),"")</f>
        <v>Cosmética e higiene pessoal</v>
      </c>
      <c r="E853" s="26" t="s">
        <v>901</v>
      </c>
      <c r="F853" s="26" t="s">
        <v>1449</v>
      </c>
      <c r="G853" s="26" t="s">
        <v>1033</v>
      </c>
      <c r="H853" s="33" t="str">
        <f>IF(E853="Não","Não aplicável",IFERROR(IF(B853="EU-ENV-002",IF(INDEX(tbl_recyclass[Conforme_PPWR_2030],MATCH(A853,tbl_recyclass[ProductId],0))="Sim","Conforme (autoavaliação)",IF(INDEX(tbl_recyclass[Conforme_PPWR_2030],MATCH(A853,tbl_recyclass[ProductId],0))="Não","Não conforme em 2030","Isento até 2035")),IF(B853="EU-ENV-003",IF(INDEX(tbl_recyclass[Conforme_Art7_2030],MATCH(A853,tbl_recyclass[ProductId],0))="Sim","Conforme (meta 2030)",IF(INDEX(tbl_recyclass[Conforme_Art7_2030],MATCH(A853,tbl_recyclass[ProductId],0))="Não","Lacuna face à meta 2030","Isento")),IF(B853="EU-ENV-011",IF(INDEX(tbl_familias_ppwr[Metais_Pesados_Evidencia],MATCH(INDEX(tbl_recyclass[Familia_PPWR],MATCH(A853,tbl_recyclass[ProductId],0)),tbl_familias_ppwr[ID_Familia],0))="Em falta","Lacuna","Conforme"),IF(B853="EU-ENV-013",IF(INDEX(tbl_familias_ppwr[Declaracao_UE],MATCH(INDEX(tbl_recyclass[Familia_PPWR],MATCH(A853,tbl_recyclass[ProductId],0)),tbl_familias_ppwr[ID_Familia],0))="Sim","Conforme","Lacuna"),G853)))),G853))</f>
        <v>Conforme</v>
      </c>
      <c r="I853" s="33" t="str">
        <f t="shared" si="13"/>
        <v>Conforme</v>
      </c>
      <c r="J853" s="26" t="s">
        <v>1244</v>
      </c>
    </row>
    <row r="854" spans="1:10" ht="16.05" customHeight="1" x14ac:dyDescent="0.3">
      <c r="A854" s="26" t="s">
        <v>707</v>
      </c>
      <c r="B854" s="26" t="s">
        <v>1252</v>
      </c>
      <c r="C854" s="33" t="str">
        <f>IFERROR(INDEX(tbl_requisitos_emb[Tema],MATCH(B854,tbl_requisitos_emb[ID_Req],0)),"")</f>
        <v>Medicamentos de uso humano</v>
      </c>
      <c r="D854" s="33" t="str">
        <f>IFERROR(INDEX(tbl_recyclass[Segmento],MATCH(A854,tbl_recyclass[ProductId],0)),"")</f>
        <v>Cosmética e higiene pessoal</v>
      </c>
      <c r="E854" s="26" t="s">
        <v>904</v>
      </c>
      <c r="F854" s="26" t="s">
        <v>1451</v>
      </c>
      <c r="G854" s="26" t="s">
        <v>1143</v>
      </c>
      <c r="H854" s="33" t="str">
        <f>IF(E854="Não","Não aplicável",IFERROR(IF(B854="EU-ENV-002",IF(INDEX(tbl_recyclass[Conforme_PPWR_2030],MATCH(A854,tbl_recyclass[ProductId],0))="Sim","Conforme (autoavaliação)",IF(INDEX(tbl_recyclass[Conforme_PPWR_2030],MATCH(A854,tbl_recyclass[ProductId],0))="Não","Não conforme em 2030","Isento até 2035")),IF(B854="EU-ENV-003",IF(INDEX(tbl_recyclass[Conforme_Art7_2030],MATCH(A854,tbl_recyclass[ProductId],0))="Sim","Conforme (meta 2030)",IF(INDEX(tbl_recyclass[Conforme_Art7_2030],MATCH(A854,tbl_recyclass[ProductId],0))="Não","Lacuna face à meta 2030","Isento")),IF(B854="EU-ENV-011",IF(INDEX(tbl_familias_ppwr[Metais_Pesados_Evidencia],MATCH(INDEX(tbl_recyclass[Familia_PPWR],MATCH(A854,tbl_recyclass[ProductId],0)),tbl_familias_ppwr[ID_Familia],0))="Em falta","Lacuna","Conforme"),IF(B854="EU-ENV-013",IF(INDEX(tbl_familias_ppwr[Declaracao_UE],MATCH(INDEX(tbl_recyclass[Familia_PPWR],MATCH(A854,tbl_recyclass[ProductId],0)),tbl_familias_ppwr[ID_Familia],0))="Sim","Conforme","Lacuna"),G854)))),G854))</f>
        <v>Não aplicável</v>
      </c>
      <c r="I854" s="33" t="str">
        <f t="shared" si="13"/>
        <v>Não aplicável</v>
      </c>
      <c r="J854" s="26"/>
    </row>
    <row r="855" spans="1:10" ht="16.05" customHeight="1" x14ac:dyDescent="0.3">
      <c r="A855" s="26" t="s">
        <v>707</v>
      </c>
      <c r="B855" s="26" t="s">
        <v>1268</v>
      </c>
      <c r="C855" s="33" t="str">
        <f>IFERROR(INDEX(tbl_requisitos_emb[Tema],MATCH(B855,tbl_requisitos_emb[ID_Req],0)),"")</f>
        <v>Dispositivos de segurança</v>
      </c>
      <c r="D855" s="33" t="str">
        <f>IFERROR(INDEX(tbl_recyclass[Segmento],MATCH(A855,tbl_recyclass[ProductId],0)),"")</f>
        <v>Cosmética e higiene pessoal</v>
      </c>
      <c r="E855" s="26" t="s">
        <v>904</v>
      </c>
      <c r="F855" s="26" t="s">
        <v>1451</v>
      </c>
      <c r="G855" s="26" t="s">
        <v>1143</v>
      </c>
      <c r="H855" s="33" t="str">
        <f>IF(E855="Não","Não aplicável",IFERROR(IF(B855="EU-ENV-002",IF(INDEX(tbl_recyclass[Conforme_PPWR_2030],MATCH(A855,tbl_recyclass[ProductId],0))="Sim","Conforme (autoavaliação)",IF(INDEX(tbl_recyclass[Conforme_PPWR_2030],MATCH(A855,tbl_recyclass[ProductId],0))="Não","Não conforme em 2030","Isento até 2035")),IF(B855="EU-ENV-003",IF(INDEX(tbl_recyclass[Conforme_Art7_2030],MATCH(A855,tbl_recyclass[ProductId],0))="Sim","Conforme (meta 2030)",IF(INDEX(tbl_recyclass[Conforme_Art7_2030],MATCH(A855,tbl_recyclass[ProductId],0))="Não","Lacuna face à meta 2030","Isento")),IF(B855="EU-ENV-011",IF(INDEX(tbl_familias_ppwr[Metais_Pesados_Evidencia],MATCH(INDEX(tbl_recyclass[Familia_PPWR],MATCH(A855,tbl_recyclass[ProductId],0)),tbl_familias_ppwr[ID_Familia],0))="Em falta","Lacuna","Conforme"),IF(B855="EU-ENV-013",IF(INDEX(tbl_familias_ppwr[Declaracao_UE],MATCH(INDEX(tbl_recyclass[Familia_PPWR],MATCH(A855,tbl_recyclass[ProductId],0)),tbl_familias_ppwr[ID_Familia],0))="Sim","Conforme","Lacuna"),G855)))),G855))</f>
        <v>Não aplicável</v>
      </c>
      <c r="I855" s="33" t="str">
        <f t="shared" si="13"/>
        <v>Não aplicável</v>
      </c>
      <c r="J855" s="26"/>
    </row>
    <row r="856" spans="1:10" ht="16.05" customHeight="1" x14ac:dyDescent="0.3">
      <c r="A856" s="26" t="s">
        <v>707</v>
      </c>
      <c r="B856" s="26" t="s">
        <v>1285</v>
      </c>
      <c r="C856" s="33" t="str">
        <f>IFERROR(INDEX(tbl_requisitos_emb[Tema],MATCH(B856,tbl_requisitos_emb[ID_Req],0)),"")</f>
        <v>Materiais plásticos de acondicionamento primário</v>
      </c>
      <c r="D856" s="33" t="str">
        <f>IFERROR(INDEX(tbl_recyclass[Segmento],MATCH(A856,tbl_recyclass[ProductId],0)),"")</f>
        <v>Cosmética e higiene pessoal</v>
      </c>
      <c r="E856" s="26" t="s">
        <v>904</v>
      </c>
      <c r="F856" s="26" t="s">
        <v>1451</v>
      </c>
      <c r="G856" s="26" t="s">
        <v>1143</v>
      </c>
      <c r="H856" s="33" t="str">
        <f>IF(E856="Não","Não aplicável",IFERROR(IF(B856="EU-ENV-002",IF(INDEX(tbl_recyclass[Conforme_PPWR_2030],MATCH(A856,tbl_recyclass[ProductId],0))="Sim","Conforme (autoavaliação)",IF(INDEX(tbl_recyclass[Conforme_PPWR_2030],MATCH(A856,tbl_recyclass[ProductId],0))="Não","Não conforme em 2030","Isento até 2035")),IF(B856="EU-ENV-003",IF(INDEX(tbl_recyclass[Conforme_Art7_2030],MATCH(A856,tbl_recyclass[ProductId],0))="Sim","Conforme (meta 2030)",IF(INDEX(tbl_recyclass[Conforme_Art7_2030],MATCH(A856,tbl_recyclass[ProductId],0))="Não","Lacuna face à meta 2030","Isento")),IF(B856="EU-ENV-011",IF(INDEX(tbl_familias_ppwr[Metais_Pesados_Evidencia],MATCH(INDEX(tbl_recyclass[Familia_PPWR],MATCH(A856,tbl_recyclass[ProductId],0)),tbl_familias_ppwr[ID_Familia],0))="Em falta","Lacuna","Conforme"),IF(B856="EU-ENV-013",IF(INDEX(tbl_familias_ppwr[Declaracao_UE],MATCH(INDEX(tbl_recyclass[Familia_PPWR],MATCH(A856,tbl_recyclass[ProductId],0)),tbl_familias_ppwr[ID_Familia],0))="Sim","Conforme","Lacuna"),G856)))),G856))</f>
        <v>Não aplicável</v>
      </c>
      <c r="I856" s="33" t="str">
        <f t="shared" si="13"/>
        <v>Não aplicável</v>
      </c>
      <c r="J856" s="26"/>
    </row>
    <row r="857" spans="1:10" ht="16.05" customHeight="1" x14ac:dyDescent="0.3">
      <c r="A857" s="26" t="s">
        <v>707</v>
      </c>
      <c r="B857" s="26" t="s">
        <v>1293</v>
      </c>
      <c r="C857" s="33" t="str">
        <f>IFERROR(INDEX(tbl_requisitos_emb[Tema],MATCH(B857,tbl_requisitos_emb[ID_Req],0)),"")</f>
        <v>Isenções PPWR</v>
      </c>
      <c r="D857" s="33" t="str">
        <f>IFERROR(INDEX(tbl_recyclass[Segmento],MATCH(A857,tbl_recyclass[ProductId],0)),"")</f>
        <v>Cosmética e higiene pessoal</v>
      </c>
      <c r="E857" s="26" t="s">
        <v>904</v>
      </c>
      <c r="F857" s="26" t="s">
        <v>1451</v>
      </c>
      <c r="G857" s="26" t="s">
        <v>1143</v>
      </c>
      <c r="H857" s="33" t="str">
        <f>IF(E857="Não","Não aplicável",IFERROR(IF(B857="EU-ENV-002",IF(INDEX(tbl_recyclass[Conforme_PPWR_2030],MATCH(A857,tbl_recyclass[ProductId],0))="Sim","Conforme (autoavaliação)",IF(INDEX(tbl_recyclass[Conforme_PPWR_2030],MATCH(A857,tbl_recyclass[ProductId],0))="Não","Não conforme em 2030","Isento até 2035")),IF(B857="EU-ENV-003",IF(INDEX(tbl_recyclass[Conforme_Art7_2030],MATCH(A857,tbl_recyclass[ProductId],0))="Sim","Conforme (meta 2030)",IF(INDEX(tbl_recyclass[Conforme_Art7_2030],MATCH(A857,tbl_recyclass[ProductId],0))="Não","Lacuna face à meta 2030","Isento")),IF(B857="EU-ENV-011",IF(INDEX(tbl_familias_ppwr[Metais_Pesados_Evidencia],MATCH(INDEX(tbl_recyclass[Familia_PPWR],MATCH(A857,tbl_recyclass[ProductId],0)),tbl_familias_ppwr[ID_Familia],0))="Em falta","Lacuna","Conforme"),IF(B857="EU-ENV-013",IF(INDEX(tbl_familias_ppwr[Declaracao_UE],MATCH(INDEX(tbl_recyclass[Familia_PPWR],MATCH(A857,tbl_recyclass[ProductId],0)),tbl_familias_ppwr[ID_Familia],0))="Sim","Conforme","Lacuna"),G857)))),G857))</f>
        <v>Não aplicável</v>
      </c>
      <c r="I857" s="33" t="str">
        <f t="shared" si="13"/>
        <v>Não aplicável</v>
      </c>
      <c r="J857" s="26"/>
    </row>
    <row r="858" spans="1:10" ht="16.05" customHeight="1" x14ac:dyDescent="0.3">
      <c r="A858" s="26" t="s">
        <v>707</v>
      </c>
      <c r="B858" s="26" t="s">
        <v>1357</v>
      </c>
      <c r="C858" s="33" t="str">
        <f>IFERROR(INDEX(tbl_requisitos_emb[Tema],MATCH(B858,tbl_requisitos_emb[ID_Req],0)),"")</f>
        <v>Identificação de plásticos</v>
      </c>
      <c r="D858" s="33" t="str">
        <f>IFERROR(INDEX(tbl_recyclass[Segmento],MATCH(A858,tbl_recyclass[ProductId],0)),"")</f>
        <v>Cosmética e higiene pessoal</v>
      </c>
      <c r="E858" s="26" t="s">
        <v>901</v>
      </c>
      <c r="F858" s="26" t="s">
        <v>1449</v>
      </c>
      <c r="G858" s="26" t="s">
        <v>978</v>
      </c>
      <c r="H858" s="33" t="str">
        <f>IF(E858="Não","Não aplicável",IFERROR(IF(B858="EU-ENV-002",IF(INDEX(tbl_recyclass[Conforme_PPWR_2030],MATCH(A858,tbl_recyclass[ProductId],0))="Sim","Conforme (autoavaliação)",IF(INDEX(tbl_recyclass[Conforme_PPWR_2030],MATCH(A858,tbl_recyclass[ProductId],0))="Não","Não conforme em 2030","Isento até 2035")),IF(B858="EU-ENV-003",IF(INDEX(tbl_recyclass[Conforme_Art7_2030],MATCH(A858,tbl_recyclass[ProductId],0))="Sim","Conforme (meta 2030)",IF(INDEX(tbl_recyclass[Conforme_Art7_2030],MATCH(A858,tbl_recyclass[ProductId],0))="Não","Lacuna face à meta 2030","Isento")),IF(B858="EU-ENV-011",IF(INDEX(tbl_familias_ppwr[Metais_Pesados_Evidencia],MATCH(INDEX(tbl_recyclass[Familia_PPWR],MATCH(A858,tbl_recyclass[ProductId],0)),tbl_familias_ppwr[ID_Familia],0))="Em falta","Lacuna","Conforme"),IF(B858="EU-ENV-013",IF(INDEX(tbl_familias_ppwr[Declaracao_UE],MATCH(INDEX(tbl_recyclass[Familia_PPWR],MATCH(A858,tbl_recyclass[ProductId],0)),tbl_familias_ppwr[ID_Familia],0))="Sim","Conforme","Lacuna"),G858)))),G858))</f>
        <v>Parcial</v>
      </c>
      <c r="I858" s="33" t="str">
        <f t="shared" si="13"/>
        <v>Parcial</v>
      </c>
      <c r="J858" s="26" t="s">
        <v>1362</v>
      </c>
    </row>
    <row r="859" spans="1:10" ht="16.05" customHeight="1" x14ac:dyDescent="0.3">
      <c r="A859" s="26" t="s">
        <v>707</v>
      </c>
      <c r="B859" s="26" t="s">
        <v>1385</v>
      </c>
      <c r="C859" s="33" t="str">
        <f>IFERROR(INDEX(tbl_requisitos_emb[Tema],MATCH(B859,tbl_requisitos_emb[ID_Req],0)),"")</f>
        <v>Reciclabilidade (voluntária)</v>
      </c>
      <c r="D859" s="33" t="str">
        <f>IFERROR(INDEX(tbl_recyclass[Segmento],MATCH(A859,tbl_recyclass[ProductId],0)),"")</f>
        <v>Cosmética e higiene pessoal</v>
      </c>
      <c r="E859" s="26" t="s">
        <v>901</v>
      </c>
      <c r="F859" s="26" t="s">
        <v>1449</v>
      </c>
      <c r="G859" s="26" t="s">
        <v>978</v>
      </c>
      <c r="H859" s="33" t="str">
        <f>IF(E859="Não","Não aplicável",IFERROR(IF(B859="EU-ENV-002",IF(INDEX(tbl_recyclass[Conforme_PPWR_2030],MATCH(A859,tbl_recyclass[ProductId],0))="Sim","Conforme (autoavaliação)",IF(INDEX(tbl_recyclass[Conforme_PPWR_2030],MATCH(A859,tbl_recyclass[ProductId],0))="Não","Não conforme em 2030","Isento até 2035")),IF(B859="EU-ENV-003",IF(INDEX(tbl_recyclass[Conforme_Art7_2030],MATCH(A859,tbl_recyclass[ProductId],0))="Sim","Conforme (meta 2030)",IF(INDEX(tbl_recyclass[Conforme_Art7_2030],MATCH(A859,tbl_recyclass[ProductId],0))="Não","Lacuna face à meta 2030","Isento")),IF(B859="EU-ENV-011",IF(INDEX(tbl_familias_ppwr[Metais_Pesados_Evidencia],MATCH(INDEX(tbl_recyclass[Familia_PPWR],MATCH(A859,tbl_recyclass[ProductId],0)),tbl_familias_ppwr[ID_Familia],0))="Em falta","Lacuna","Conforme"),IF(B859="EU-ENV-013",IF(INDEX(tbl_familias_ppwr[Declaracao_UE],MATCH(INDEX(tbl_recyclass[Familia_PPWR],MATCH(A859,tbl_recyclass[ProductId],0)),tbl_familias_ppwr[ID_Familia],0))="Sim","Conforme","Lacuna"),G859)))),G859))</f>
        <v>Parcial</v>
      </c>
      <c r="I859" s="33" t="str">
        <f t="shared" si="13"/>
        <v>Parcial</v>
      </c>
      <c r="J859" s="26" t="s">
        <v>1389</v>
      </c>
    </row>
    <row r="860" spans="1:10" ht="16.05" customHeight="1" x14ac:dyDescent="0.3">
      <c r="A860" s="26" t="s">
        <v>709</v>
      </c>
      <c r="B860" s="26" t="s">
        <v>984</v>
      </c>
      <c r="C860" s="33" t="str">
        <f>IFERROR(INDEX(tbl_requisitos_emb[Tema],MATCH(B860,tbl_requisitos_emb[ID_Req],0)),"")</f>
        <v>Conceção para reciclagem</v>
      </c>
      <c r="D860" s="33" t="str">
        <f>IFERROR(INDEX(tbl_recyclass[Segmento],MATCH(A860,tbl_recyclass[ProductId],0)),"")</f>
        <v>Cosmética e higiene pessoal</v>
      </c>
      <c r="E860" s="26" t="s">
        <v>901</v>
      </c>
      <c r="F860" s="26" t="s">
        <v>1449</v>
      </c>
      <c r="G860" s="26" t="s">
        <v>978</v>
      </c>
      <c r="H860" s="33" t="str">
        <f>IF(E860="Não","Não aplicável",IFERROR(IF(B860="EU-ENV-002",IF(INDEX(tbl_recyclass[Conforme_PPWR_2030],MATCH(A860,tbl_recyclass[ProductId],0))="Sim","Conforme (autoavaliação)",IF(INDEX(tbl_recyclass[Conforme_PPWR_2030],MATCH(A860,tbl_recyclass[ProductId],0))="Não","Não conforme em 2030","Isento até 2035")),IF(B860="EU-ENV-003",IF(INDEX(tbl_recyclass[Conforme_Art7_2030],MATCH(A860,tbl_recyclass[ProductId],0))="Sim","Conforme (meta 2030)",IF(INDEX(tbl_recyclass[Conforme_Art7_2030],MATCH(A860,tbl_recyclass[ProductId],0))="Não","Lacuna face à meta 2030","Isento")),IF(B860="EU-ENV-011",IF(INDEX(tbl_familias_ppwr[Metais_Pesados_Evidencia],MATCH(INDEX(tbl_recyclass[Familia_PPWR],MATCH(A860,tbl_recyclass[ProductId],0)),tbl_familias_ppwr[ID_Familia],0))="Em falta","Lacuna","Conforme"),IF(B860="EU-ENV-013",IF(INDEX(tbl_familias_ppwr[Declaracao_UE],MATCH(INDEX(tbl_recyclass[Familia_PPWR],MATCH(A860,tbl_recyclass[ProductId],0)),tbl_familias_ppwr[ID_Familia],0))="Sim","Conforme","Lacuna"),G860)))),G860))</f>
        <v>Não conforme em 2030</v>
      </c>
      <c r="I860" s="33" t="str">
        <f t="shared" si="13"/>
        <v>Não conforme</v>
      </c>
      <c r="J860" s="26" t="s">
        <v>991</v>
      </c>
    </row>
    <row r="861" spans="1:10" ht="16.05" customHeight="1" x14ac:dyDescent="0.3">
      <c r="A861" s="26" t="s">
        <v>709</v>
      </c>
      <c r="B861" s="26" t="s">
        <v>997</v>
      </c>
      <c r="C861" s="33" t="str">
        <f>IFERROR(INDEX(tbl_requisitos_emb[Tema],MATCH(B861,tbl_requisitos_emb[ID_Req],0)),"")</f>
        <v>Conteúdo reciclado</v>
      </c>
      <c r="D861" s="33" t="str">
        <f>IFERROR(INDEX(tbl_recyclass[Segmento],MATCH(A861,tbl_recyclass[ProductId],0)),"")</f>
        <v>Cosmética e higiene pessoal</v>
      </c>
      <c r="E861" s="26" t="s">
        <v>901</v>
      </c>
      <c r="F861" s="26" t="s">
        <v>1449</v>
      </c>
      <c r="G861" s="26" t="s">
        <v>978</v>
      </c>
      <c r="H861" s="33" t="str">
        <f>IF(E861="Não","Não aplicável",IFERROR(IF(B861="EU-ENV-002",IF(INDEX(tbl_recyclass[Conforme_PPWR_2030],MATCH(A861,tbl_recyclass[ProductId],0))="Sim","Conforme (autoavaliação)",IF(INDEX(tbl_recyclass[Conforme_PPWR_2030],MATCH(A861,tbl_recyclass[ProductId],0))="Não","Não conforme em 2030","Isento até 2035")),IF(B861="EU-ENV-003",IF(INDEX(tbl_recyclass[Conforme_Art7_2030],MATCH(A861,tbl_recyclass[ProductId],0))="Sim","Conforme (meta 2030)",IF(INDEX(tbl_recyclass[Conforme_Art7_2030],MATCH(A861,tbl_recyclass[ProductId],0))="Não","Lacuna face à meta 2030","Isento")),IF(B861="EU-ENV-011",IF(INDEX(tbl_familias_ppwr[Metais_Pesados_Evidencia],MATCH(INDEX(tbl_recyclass[Familia_PPWR],MATCH(A861,tbl_recyclass[ProductId],0)),tbl_familias_ppwr[ID_Familia],0))="Em falta","Lacuna","Conforme"),IF(B861="EU-ENV-013",IF(INDEX(tbl_familias_ppwr[Declaracao_UE],MATCH(INDEX(tbl_recyclass[Familia_PPWR],MATCH(A861,tbl_recyclass[ProductId],0)),tbl_familias_ppwr[ID_Familia],0))="Sim","Conforme","Lacuna"),G861)))),G861))</f>
        <v>Lacuna face à meta 2030</v>
      </c>
      <c r="I861" s="33" t="str">
        <f t="shared" si="13"/>
        <v>Lacuna</v>
      </c>
      <c r="J861" s="26" t="s">
        <v>1001</v>
      </c>
    </row>
    <row r="862" spans="1:10" ht="16.05" customHeight="1" x14ac:dyDescent="0.3">
      <c r="A862" s="26" t="s">
        <v>709</v>
      </c>
      <c r="B862" s="26" t="s">
        <v>1007</v>
      </c>
      <c r="C862" s="33" t="str">
        <f>IFERROR(INDEX(tbl_requisitos_emb[Tema],MATCH(B862,tbl_requisitos_emb[ID_Req],0)),"")</f>
        <v>Minimização</v>
      </c>
      <c r="D862" s="33" t="str">
        <f>IFERROR(INDEX(tbl_recyclass[Segmento],MATCH(A862,tbl_recyclass[ProductId],0)),"")</f>
        <v>Cosmética e higiene pessoal</v>
      </c>
      <c r="E862" s="26" t="s">
        <v>901</v>
      </c>
      <c r="F862" s="26" t="s">
        <v>1449</v>
      </c>
      <c r="G862" s="26" t="s">
        <v>978</v>
      </c>
      <c r="H862" s="33" t="str">
        <f>IF(E862="Não","Não aplicável",IFERROR(IF(B862="EU-ENV-002",IF(INDEX(tbl_recyclass[Conforme_PPWR_2030],MATCH(A862,tbl_recyclass[ProductId],0))="Sim","Conforme (autoavaliação)",IF(INDEX(tbl_recyclass[Conforme_PPWR_2030],MATCH(A862,tbl_recyclass[ProductId],0))="Não","Não conforme em 2030","Isento até 2035")),IF(B862="EU-ENV-003",IF(INDEX(tbl_recyclass[Conforme_Art7_2030],MATCH(A862,tbl_recyclass[ProductId],0))="Sim","Conforme (meta 2030)",IF(INDEX(tbl_recyclass[Conforme_Art7_2030],MATCH(A862,tbl_recyclass[ProductId],0))="Não","Lacuna face à meta 2030","Isento")),IF(B862="EU-ENV-011",IF(INDEX(tbl_familias_ppwr[Metais_Pesados_Evidencia],MATCH(INDEX(tbl_recyclass[Familia_PPWR],MATCH(A862,tbl_recyclass[ProductId],0)),tbl_familias_ppwr[ID_Familia],0))="Em falta","Lacuna","Conforme"),IF(B862="EU-ENV-013",IF(INDEX(tbl_familias_ppwr[Declaracao_UE],MATCH(INDEX(tbl_recyclass[Familia_PPWR],MATCH(A862,tbl_recyclass[ProductId],0)),tbl_familias_ppwr[ID_Familia],0))="Sim","Conforme","Lacuna"),G862)))),G862))</f>
        <v>Parcial</v>
      </c>
      <c r="I862" s="33" t="str">
        <f t="shared" si="13"/>
        <v>Parcial</v>
      </c>
      <c r="J862" s="26" t="s">
        <v>1012</v>
      </c>
    </row>
    <row r="863" spans="1:10" ht="16.05" customHeight="1" x14ac:dyDescent="0.3">
      <c r="A863" s="26" t="s">
        <v>709</v>
      </c>
      <c r="B863" s="26" t="s">
        <v>1016</v>
      </c>
      <c r="C863" s="33" t="str">
        <f>IFERROR(INDEX(tbl_requisitos_emb[Tema],MATCH(B863,tbl_requisitos_emb[ID_Req],0)),"")</f>
        <v>Rotulagem</v>
      </c>
      <c r="D863" s="33" t="str">
        <f>IFERROR(INDEX(tbl_recyclass[Segmento],MATCH(A863,tbl_recyclass[ProductId],0)),"")</f>
        <v>Cosmética e higiene pessoal</v>
      </c>
      <c r="E863" s="26" t="s">
        <v>901</v>
      </c>
      <c r="F863" s="26" t="s">
        <v>1449</v>
      </c>
      <c r="G863" s="26" t="s">
        <v>990</v>
      </c>
      <c r="H863" s="33" t="str">
        <f>IF(E863="Não","Não aplicável",IFERROR(IF(B863="EU-ENV-002",IF(INDEX(tbl_recyclass[Conforme_PPWR_2030],MATCH(A863,tbl_recyclass[ProductId],0))="Sim","Conforme (autoavaliação)",IF(INDEX(tbl_recyclass[Conforme_PPWR_2030],MATCH(A863,tbl_recyclass[ProductId],0))="Não","Não conforme em 2030","Isento até 2035")),IF(B863="EU-ENV-003",IF(INDEX(tbl_recyclass[Conforme_Art7_2030],MATCH(A863,tbl_recyclass[ProductId],0))="Sim","Conforme (meta 2030)",IF(INDEX(tbl_recyclass[Conforme_Art7_2030],MATCH(A863,tbl_recyclass[ProductId],0))="Não","Lacuna face à meta 2030","Isento")),IF(B863="EU-ENV-011",IF(INDEX(tbl_familias_ppwr[Metais_Pesados_Evidencia],MATCH(INDEX(tbl_recyclass[Familia_PPWR],MATCH(A863,tbl_recyclass[ProductId],0)),tbl_familias_ppwr[ID_Familia],0))="Em falta","Lacuna","Conforme"),IF(B863="EU-ENV-013",IF(INDEX(tbl_familias_ppwr[Declaracao_UE],MATCH(INDEX(tbl_recyclass[Familia_PPWR],MATCH(A863,tbl_recyclass[ProductId],0)),tbl_familias_ppwr[ID_Familia],0))="Sim","Conforme","Lacuna"),G863)))),G863))</f>
        <v>Futuro</v>
      </c>
      <c r="I863" s="33" t="str">
        <f t="shared" si="13"/>
        <v>Futuro</v>
      </c>
      <c r="J863" s="26" t="s">
        <v>1021</v>
      </c>
    </row>
    <row r="864" spans="1:10" ht="16.05" customHeight="1" x14ac:dyDescent="0.3">
      <c r="A864" s="26" t="s">
        <v>709</v>
      </c>
      <c r="B864" s="26" t="s">
        <v>1038</v>
      </c>
      <c r="C864" s="33" t="str">
        <f>IFERROR(INDEX(tbl_requisitos_emb[Tema],MATCH(B864,tbl_requisitos_emb[ID_Req],0)),"")</f>
        <v>Plásticos de utilização única</v>
      </c>
      <c r="D864" s="33" t="str">
        <f>IFERROR(INDEX(tbl_recyclass[Segmento],MATCH(A864,tbl_recyclass[ProductId],0)),"")</f>
        <v>Cosmética e higiene pessoal</v>
      </c>
      <c r="E864" s="26" t="s">
        <v>904</v>
      </c>
      <c r="F864" s="26" t="s">
        <v>1450</v>
      </c>
      <c r="G864" s="26" t="s">
        <v>1143</v>
      </c>
      <c r="H864" s="33" t="str">
        <f>IF(E864="Não","Não aplicável",IFERROR(IF(B864="EU-ENV-002",IF(INDEX(tbl_recyclass[Conforme_PPWR_2030],MATCH(A864,tbl_recyclass[ProductId],0))="Sim","Conforme (autoavaliação)",IF(INDEX(tbl_recyclass[Conforme_PPWR_2030],MATCH(A864,tbl_recyclass[ProductId],0))="Não","Não conforme em 2030","Isento até 2035")),IF(B864="EU-ENV-003",IF(INDEX(tbl_recyclass[Conforme_Art7_2030],MATCH(A864,tbl_recyclass[ProductId],0))="Sim","Conforme (meta 2030)",IF(INDEX(tbl_recyclass[Conforme_Art7_2030],MATCH(A864,tbl_recyclass[ProductId],0))="Não","Lacuna face à meta 2030","Isento")),IF(B864="EU-ENV-011",IF(INDEX(tbl_familias_ppwr[Metais_Pesados_Evidencia],MATCH(INDEX(tbl_recyclass[Familia_PPWR],MATCH(A864,tbl_recyclass[ProductId],0)),tbl_familias_ppwr[ID_Familia],0))="Em falta","Lacuna","Conforme"),IF(B864="EU-ENV-013",IF(INDEX(tbl_familias_ppwr[Declaracao_UE],MATCH(INDEX(tbl_recyclass[Familia_PPWR],MATCH(A864,tbl_recyclass[ProductId],0)),tbl_familias_ppwr[ID_Familia],0))="Sim","Conforme","Lacuna"),G864)))),G864))</f>
        <v>Não aplicável</v>
      </c>
      <c r="I864" s="33" t="str">
        <f t="shared" si="13"/>
        <v>Não aplicável</v>
      </c>
      <c r="J864" s="26"/>
    </row>
    <row r="865" spans="1:10" ht="16.05" customHeight="1" x14ac:dyDescent="0.3">
      <c r="A865" s="26" t="s">
        <v>709</v>
      </c>
      <c r="B865" s="26" t="s">
        <v>1078</v>
      </c>
      <c r="C865" s="33" t="str">
        <f>IFERROR(INDEX(tbl_requisitos_emb[Tema],MATCH(B865,tbl_requisitos_emb[ID_Req],0)),"")</f>
        <v>Reciclado à escala</v>
      </c>
      <c r="D865" s="33" t="str">
        <f>IFERROR(INDEX(tbl_recyclass[Segmento],MATCH(A865,tbl_recyclass[ProductId],0)),"")</f>
        <v>Cosmética e higiene pessoal</v>
      </c>
      <c r="E865" s="26" t="s">
        <v>901</v>
      </c>
      <c r="F865" s="26" t="s">
        <v>1449</v>
      </c>
      <c r="G865" s="26" t="s">
        <v>990</v>
      </c>
      <c r="H865" s="33" t="str">
        <f>IF(E865="Não","Não aplicável",IFERROR(IF(B865="EU-ENV-002",IF(INDEX(tbl_recyclass[Conforme_PPWR_2030],MATCH(A865,tbl_recyclass[ProductId],0))="Sim","Conforme (autoavaliação)",IF(INDEX(tbl_recyclass[Conforme_PPWR_2030],MATCH(A865,tbl_recyclass[ProductId],0))="Não","Não conforme em 2030","Isento até 2035")),IF(B865="EU-ENV-003",IF(INDEX(tbl_recyclass[Conforme_Art7_2030],MATCH(A865,tbl_recyclass[ProductId],0))="Sim","Conforme (meta 2030)",IF(INDEX(tbl_recyclass[Conforme_Art7_2030],MATCH(A865,tbl_recyclass[ProductId],0))="Não","Lacuna face à meta 2030","Isento")),IF(B865="EU-ENV-011",IF(INDEX(tbl_familias_ppwr[Metais_Pesados_Evidencia],MATCH(INDEX(tbl_recyclass[Familia_PPWR],MATCH(A865,tbl_recyclass[ProductId],0)),tbl_familias_ppwr[ID_Familia],0))="Em falta","Lacuna","Conforme"),IF(B865="EU-ENV-013",IF(INDEX(tbl_familias_ppwr[Declaracao_UE],MATCH(INDEX(tbl_recyclass[Familia_PPWR],MATCH(A865,tbl_recyclass[ProductId],0)),tbl_familias_ppwr[ID_Familia],0))="Sim","Conforme","Lacuna"),G865)))),G865))</f>
        <v>Futuro</v>
      </c>
      <c r="I865" s="33" t="str">
        <f t="shared" si="13"/>
        <v>Futuro</v>
      </c>
      <c r="J865" s="26" t="s">
        <v>1082</v>
      </c>
    </row>
    <row r="866" spans="1:10" ht="16.05" customHeight="1" x14ac:dyDescent="0.3">
      <c r="A866" s="26" t="s">
        <v>709</v>
      </c>
      <c r="B866" s="26" t="s">
        <v>1086</v>
      </c>
      <c r="C866" s="33" t="str">
        <f>IFERROR(INDEX(tbl_requisitos_emb[Tema],MATCH(B866,tbl_requisitos_emb[ID_Req],0)),"")</f>
        <v>Metais pesados</v>
      </c>
      <c r="D866" s="33" t="str">
        <f>IFERROR(INDEX(tbl_recyclass[Segmento],MATCH(A866,tbl_recyclass[ProductId],0)),"")</f>
        <v>Cosmética e higiene pessoal</v>
      </c>
      <c r="E866" s="26" t="s">
        <v>901</v>
      </c>
      <c r="F866" s="26" t="s">
        <v>1449</v>
      </c>
      <c r="G866" s="26" t="s">
        <v>978</v>
      </c>
      <c r="H866" s="33" t="str">
        <f>IF(E866="Não","Não aplicável",IFERROR(IF(B866="EU-ENV-002",IF(INDEX(tbl_recyclass[Conforme_PPWR_2030],MATCH(A866,tbl_recyclass[ProductId],0))="Sim","Conforme (autoavaliação)",IF(INDEX(tbl_recyclass[Conforme_PPWR_2030],MATCH(A866,tbl_recyclass[ProductId],0))="Não","Não conforme em 2030","Isento até 2035")),IF(B866="EU-ENV-003",IF(INDEX(tbl_recyclass[Conforme_Art7_2030],MATCH(A866,tbl_recyclass[ProductId],0))="Sim","Conforme (meta 2030)",IF(INDEX(tbl_recyclass[Conforme_Art7_2030],MATCH(A866,tbl_recyclass[ProductId],0))="Não","Lacuna face à meta 2030","Isento")),IF(B866="EU-ENV-011",IF(INDEX(tbl_familias_ppwr[Metais_Pesados_Evidencia],MATCH(INDEX(tbl_recyclass[Familia_PPWR],MATCH(A866,tbl_recyclass[ProductId],0)),tbl_familias_ppwr[ID_Familia],0))="Em falta","Lacuna","Conforme"),IF(B866="EU-ENV-013",IF(INDEX(tbl_familias_ppwr[Declaracao_UE],MATCH(INDEX(tbl_recyclass[Familia_PPWR],MATCH(A866,tbl_recyclass[ProductId],0)),tbl_familias_ppwr[ID_Familia],0))="Sim","Conforme","Lacuna"),G866)))),G866))</f>
        <v>Conforme</v>
      </c>
      <c r="I866" s="33" t="str">
        <f t="shared" si="13"/>
        <v>Conforme</v>
      </c>
      <c r="J866" s="26" t="s">
        <v>1090</v>
      </c>
    </row>
    <row r="867" spans="1:10" ht="16.05" customHeight="1" x14ac:dyDescent="0.3">
      <c r="A867" s="26" t="s">
        <v>709</v>
      </c>
      <c r="B867" s="26" t="s">
        <v>1094</v>
      </c>
      <c r="C867" s="33" t="str">
        <f>IFERROR(INDEX(tbl_requisitos_emb[Tema],MATCH(B867,tbl_requisitos_emb[ID_Req],0)),"")</f>
        <v>PFAS</v>
      </c>
      <c r="D867" s="33" t="str">
        <f>IFERROR(INDEX(tbl_recyclass[Segmento],MATCH(A867,tbl_recyclass[ProductId],0)),"")</f>
        <v>Cosmética e higiene pessoal</v>
      </c>
      <c r="E867" s="26" t="s">
        <v>904</v>
      </c>
      <c r="F867" s="26" t="s">
        <v>1450</v>
      </c>
      <c r="G867" s="26" t="s">
        <v>1143</v>
      </c>
      <c r="H867" s="33" t="str">
        <f>IF(E867="Não","Não aplicável",IFERROR(IF(B867="EU-ENV-002",IF(INDEX(tbl_recyclass[Conforme_PPWR_2030],MATCH(A867,tbl_recyclass[ProductId],0))="Sim","Conforme (autoavaliação)",IF(INDEX(tbl_recyclass[Conforme_PPWR_2030],MATCH(A867,tbl_recyclass[ProductId],0))="Não","Não conforme em 2030","Isento até 2035")),IF(B867="EU-ENV-003",IF(INDEX(tbl_recyclass[Conforme_Art7_2030],MATCH(A867,tbl_recyclass[ProductId],0))="Sim","Conforme (meta 2030)",IF(INDEX(tbl_recyclass[Conforme_Art7_2030],MATCH(A867,tbl_recyclass[ProductId],0))="Não","Lacuna face à meta 2030","Isento")),IF(B867="EU-ENV-011",IF(INDEX(tbl_familias_ppwr[Metais_Pesados_Evidencia],MATCH(INDEX(tbl_recyclass[Familia_PPWR],MATCH(A867,tbl_recyclass[ProductId],0)),tbl_familias_ppwr[ID_Familia],0))="Em falta","Lacuna","Conforme"),IF(B867="EU-ENV-013",IF(INDEX(tbl_familias_ppwr[Declaracao_UE],MATCH(INDEX(tbl_recyclass[Familia_PPWR],MATCH(A867,tbl_recyclass[ProductId],0)),tbl_familias_ppwr[ID_Familia],0))="Sim","Conforme","Lacuna"),G867)))),G867))</f>
        <v>Não aplicável</v>
      </c>
      <c r="I867" s="33" t="str">
        <f t="shared" si="13"/>
        <v>Não aplicável</v>
      </c>
      <c r="J867" s="26"/>
    </row>
    <row r="868" spans="1:10" ht="16.05" customHeight="1" x14ac:dyDescent="0.3">
      <c r="A868" s="26" t="s">
        <v>709</v>
      </c>
      <c r="B868" s="26" t="s">
        <v>1102</v>
      </c>
      <c r="C868" s="33" t="str">
        <f>IFERROR(INDEX(tbl_requisitos_emb[Tema],MATCH(B868,tbl_requisitos_emb[ID_Req],0)),"")</f>
        <v>Documentação técnica e declaração UE</v>
      </c>
      <c r="D868" s="33" t="str">
        <f>IFERROR(INDEX(tbl_recyclass[Segmento],MATCH(A868,tbl_recyclass[ProductId],0)),"")</f>
        <v>Cosmética e higiene pessoal</v>
      </c>
      <c r="E868" s="26" t="s">
        <v>901</v>
      </c>
      <c r="F868" s="26" t="s">
        <v>1449</v>
      </c>
      <c r="G868" s="26" t="s">
        <v>978</v>
      </c>
      <c r="H868" s="33" t="str">
        <f>IF(E868="Não","Não aplicável",IFERROR(IF(B868="EU-ENV-002",IF(INDEX(tbl_recyclass[Conforme_PPWR_2030],MATCH(A868,tbl_recyclass[ProductId],0))="Sim","Conforme (autoavaliação)",IF(INDEX(tbl_recyclass[Conforme_PPWR_2030],MATCH(A868,tbl_recyclass[ProductId],0))="Não","Não conforme em 2030","Isento até 2035")),IF(B868="EU-ENV-003",IF(INDEX(tbl_recyclass[Conforme_Art7_2030],MATCH(A868,tbl_recyclass[ProductId],0))="Sim","Conforme (meta 2030)",IF(INDEX(tbl_recyclass[Conforme_Art7_2030],MATCH(A868,tbl_recyclass[ProductId],0))="Não","Lacuna face à meta 2030","Isento")),IF(B868="EU-ENV-011",IF(INDEX(tbl_familias_ppwr[Metais_Pesados_Evidencia],MATCH(INDEX(tbl_recyclass[Familia_PPWR],MATCH(A868,tbl_recyclass[ProductId],0)),tbl_familias_ppwr[ID_Familia],0))="Em falta","Lacuna","Conforme"),IF(B868="EU-ENV-013",IF(INDEX(tbl_familias_ppwr[Declaracao_UE],MATCH(INDEX(tbl_recyclass[Familia_PPWR],MATCH(A868,tbl_recyclass[ProductId],0)),tbl_familias_ppwr[ID_Familia],0))="Sim","Conforme","Lacuna"),G868)))),G868))</f>
        <v>Conforme</v>
      </c>
      <c r="I868" s="33" t="str">
        <f t="shared" si="13"/>
        <v>Conforme</v>
      </c>
      <c r="J868" s="26" t="s">
        <v>1106</v>
      </c>
    </row>
    <row r="869" spans="1:10" ht="16.05" customHeight="1" x14ac:dyDescent="0.3">
      <c r="A869" s="26" t="s">
        <v>709</v>
      </c>
      <c r="B869" s="26" t="s">
        <v>1161</v>
      </c>
      <c r="C869" s="33" t="str">
        <f>IFERROR(INDEX(tbl_requisitos_emb[Tema],MATCH(B869,tbl_requisitos_emb[ID_Req],0)),"")</f>
        <v>Materiais em contacto com alimentos</v>
      </c>
      <c r="D869" s="33" t="str">
        <f>IFERROR(INDEX(tbl_recyclass[Segmento],MATCH(A869,tbl_recyclass[ProductId],0)),"")</f>
        <v>Cosmética e higiene pessoal</v>
      </c>
      <c r="E869" s="26" t="s">
        <v>904</v>
      </c>
      <c r="F869" s="26" t="s">
        <v>1450</v>
      </c>
      <c r="G869" s="26" t="s">
        <v>1143</v>
      </c>
      <c r="H869" s="33" t="str">
        <f>IF(E869="Não","Não aplicável",IFERROR(IF(B869="EU-ENV-002",IF(INDEX(tbl_recyclass[Conforme_PPWR_2030],MATCH(A869,tbl_recyclass[ProductId],0))="Sim","Conforme (autoavaliação)",IF(INDEX(tbl_recyclass[Conforme_PPWR_2030],MATCH(A869,tbl_recyclass[ProductId],0))="Não","Não conforme em 2030","Isento até 2035")),IF(B869="EU-ENV-003",IF(INDEX(tbl_recyclass[Conforme_Art7_2030],MATCH(A869,tbl_recyclass[ProductId],0))="Sim","Conforme (meta 2030)",IF(INDEX(tbl_recyclass[Conforme_Art7_2030],MATCH(A869,tbl_recyclass[ProductId],0))="Não","Lacuna face à meta 2030","Isento")),IF(B869="EU-ENV-011",IF(INDEX(tbl_familias_ppwr[Metais_Pesados_Evidencia],MATCH(INDEX(tbl_recyclass[Familia_PPWR],MATCH(A869,tbl_recyclass[ProductId],0)),tbl_familias_ppwr[ID_Familia],0))="Em falta","Lacuna","Conforme"),IF(B869="EU-ENV-013",IF(INDEX(tbl_familias_ppwr[Declaracao_UE],MATCH(INDEX(tbl_recyclass[Familia_PPWR],MATCH(A869,tbl_recyclass[ProductId],0)),tbl_familias_ppwr[ID_Familia],0))="Sim","Conforme","Lacuna"),G869)))),G869))</f>
        <v>Não aplicável</v>
      </c>
      <c r="I869" s="33" t="str">
        <f t="shared" si="13"/>
        <v>Não aplicável</v>
      </c>
      <c r="J869" s="26"/>
    </row>
    <row r="870" spans="1:10" ht="16.05" customHeight="1" x14ac:dyDescent="0.3">
      <c r="A870" s="26" t="s">
        <v>709</v>
      </c>
      <c r="B870" s="26" t="s">
        <v>1170</v>
      </c>
      <c r="C870" s="33" t="str">
        <f>IFERROR(INDEX(tbl_requisitos_emb[Tema],MATCH(B870,tbl_requisitos_emb[ID_Req],0)),"")</f>
        <v>Boas práticas de fabrico FCM</v>
      </c>
      <c r="D870" s="33" t="str">
        <f>IFERROR(INDEX(tbl_recyclass[Segmento],MATCH(A870,tbl_recyclass[ProductId],0)),"")</f>
        <v>Cosmética e higiene pessoal</v>
      </c>
      <c r="E870" s="26" t="s">
        <v>904</v>
      </c>
      <c r="F870" s="26" t="s">
        <v>1450</v>
      </c>
      <c r="G870" s="26" t="s">
        <v>1143</v>
      </c>
      <c r="H870" s="33" t="str">
        <f>IF(E870="Não","Não aplicável",IFERROR(IF(B870="EU-ENV-002",IF(INDEX(tbl_recyclass[Conforme_PPWR_2030],MATCH(A870,tbl_recyclass[ProductId],0))="Sim","Conforme (autoavaliação)",IF(INDEX(tbl_recyclass[Conforme_PPWR_2030],MATCH(A870,tbl_recyclass[ProductId],0))="Não","Não conforme em 2030","Isento até 2035")),IF(B870="EU-ENV-003",IF(INDEX(tbl_recyclass[Conforme_Art7_2030],MATCH(A870,tbl_recyclass[ProductId],0))="Sim","Conforme (meta 2030)",IF(INDEX(tbl_recyclass[Conforme_Art7_2030],MATCH(A870,tbl_recyclass[ProductId],0))="Não","Lacuna face à meta 2030","Isento")),IF(B870="EU-ENV-011",IF(INDEX(tbl_familias_ppwr[Metais_Pesados_Evidencia],MATCH(INDEX(tbl_recyclass[Familia_PPWR],MATCH(A870,tbl_recyclass[ProductId],0)),tbl_familias_ppwr[ID_Familia],0))="Em falta","Lacuna","Conforme"),IF(B870="EU-ENV-013",IF(INDEX(tbl_familias_ppwr[Declaracao_UE],MATCH(INDEX(tbl_recyclass[Familia_PPWR],MATCH(A870,tbl_recyclass[ProductId],0)),tbl_familias_ppwr[ID_Familia],0))="Sim","Conforme","Lacuna"),G870)))),G870))</f>
        <v>Não aplicável</v>
      </c>
      <c r="I870" s="33" t="str">
        <f t="shared" si="13"/>
        <v>Não aplicável</v>
      </c>
      <c r="J870" s="26"/>
    </row>
    <row r="871" spans="1:10" ht="16.05" customHeight="1" x14ac:dyDescent="0.3">
      <c r="A871" s="26" t="s">
        <v>709</v>
      </c>
      <c r="B871" s="26" t="s">
        <v>1179</v>
      </c>
      <c r="C871" s="33" t="str">
        <f>IFERROR(INDEX(tbl_requisitos_emb[Tema],MATCH(B871,tbl_requisitos_emb[ID_Req],0)),"")</f>
        <v>Bisfenol A e bisfenóis perigosos</v>
      </c>
      <c r="D871" s="33" t="str">
        <f>IFERROR(INDEX(tbl_recyclass[Segmento],MATCH(A871,tbl_recyclass[ProductId],0)),"")</f>
        <v>Cosmética e higiene pessoal</v>
      </c>
      <c r="E871" s="26" t="s">
        <v>904</v>
      </c>
      <c r="F871" s="26" t="s">
        <v>1450</v>
      </c>
      <c r="G871" s="26" t="s">
        <v>1143</v>
      </c>
      <c r="H871" s="33" t="str">
        <f>IF(E871="Não","Não aplicável",IFERROR(IF(B871="EU-ENV-002",IF(INDEX(tbl_recyclass[Conforme_PPWR_2030],MATCH(A871,tbl_recyclass[ProductId],0))="Sim","Conforme (autoavaliação)",IF(INDEX(tbl_recyclass[Conforme_PPWR_2030],MATCH(A871,tbl_recyclass[ProductId],0))="Não","Não conforme em 2030","Isento até 2035")),IF(B871="EU-ENV-003",IF(INDEX(tbl_recyclass[Conforme_Art7_2030],MATCH(A871,tbl_recyclass[ProductId],0))="Sim","Conforme (meta 2030)",IF(INDEX(tbl_recyclass[Conforme_Art7_2030],MATCH(A871,tbl_recyclass[ProductId],0))="Não","Lacuna face à meta 2030","Isento")),IF(B871="EU-ENV-011",IF(INDEX(tbl_familias_ppwr[Metais_Pesados_Evidencia],MATCH(INDEX(tbl_recyclass[Familia_PPWR],MATCH(A871,tbl_recyclass[ProductId],0)),tbl_familias_ppwr[ID_Familia],0))="Em falta","Lacuna","Conforme"),IF(B871="EU-ENV-013",IF(INDEX(tbl_familias_ppwr[Declaracao_UE],MATCH(INDEX(tbl_recyclass[Familia_PPWR],MATCH(A871,tbl_recyclass[ProductId],0)),tbl_familias_ppwr[ID_Familia],0))="Sim","Conforme","Lacuna"),G871)))),G871))</f>
        <v>Não aplicável</v>
      </c>
      <c r="I871" s="33" t="str">
        <f t="shared" si="13"/>
        <v>Não aplicável</v>
      </c>
      <c r="J871" s="26"/>
    </row>
    <row r="872" spans="1:10" ht="16.05" customHeight="1" x14ac:dyDescent="0.3">
      <c r="A872" s="26" t="s">
        <v>709</v>
      </c>
      <c r="B872" s="26" t="s">
        <v>1188</v>
      </c>
      <c r="C872" s="33" t="str">
        <f>IFERROR(INDEX(tbl_requisitos_emb[Tema],MATCH(B872,tbl_requisitos_emb[ID_Req],0)),"")</f>
        <v>Plásticos em contacto com alimentos</v>
      </c>
      <c r="D872" s="33" t="str">
        <f>IFERROR(INDEX(tbl_recyclass[Segmento],MATCH(A872,tbl_recyclass[ProductId],0)),"")</f>
        <v>Cosmética e higiene pessoal</v>
      </c>
      <c r="E872" s="26" t="s">
        <v>904</v>
      </c>
      <c r="F872" s="26" t="s">
        <v>1450</v>
      </c>
      <c r="G872" s="26" t="s">
        <v>1143</v>
      </c>
      <c r="H872" s="33" t="str">
        <f>IF(E872="Não","Não aplicável",IFERROR(IF(B872="EU-ENV-002",IF(INDEX(tbl_recyclass[Conforme_PPWR_2030],MATCH(A872,tbl_recyclass[ProductId],0))="Sim","Conforme (autoavaliação)",IF(INDEX(tbl_recyclass[Conforme_PPWR_2030],MATCH(A872,tbl_recyclass[ProductId],0))="Não","Não conforme em 2030","Isento até 2035")),IF(B872="EU-ENV-003",IF(INDEX(tbl_recyclass[Conforme_Art7_2030],MATCH(A872,tbl_recyclass[ProductId],0))="Sim","Conforme (meta 2030)",IF(INDEX(tbl_recyclass[Conforme_Art7_2030],MATCH(A872,tbl_recyclass[ProductId],0))="Não","Lacuna face à meta 2030","Isento")),IF(B872="EU-ENV-011",IF(INDEX(tbl_familias_ppwr[Metais_Pesados_Evidencia],MATCH(INDEX(tbl_recyclass[Familia_PPWR],MATCH(A872,tbl_recyclass[ProductId],0)),tbl_familias_ppwr[ID_Familia],0))="Em falta","Lacuna","Conforme"),IF(B872="EU-ENV-013",IF(INDEX(tbl_familias_ppwr[Declaracao_UE],MATCH(INDEX(tbl_recyclass[Familia_PPWR],MATCH(A872,tbl_recyclass[ProductId],0)),tbl_familias_ppwr[ID_Familia],0))="Sim","Conforme","Lacuna"),G872)))),G872))</f>
        <v>Não aplicável</v>
      </c>
      <c r="I872" s="33" t="str">
        <f t="shared" si="13"/>
        <v>Não aplicável</v>
      </c>
      <c r="J872" s="26"/>
    </row>
    <row r="873" spans="1:10" ht="16.05" customHeight="1" x14ac:dyDescent="0.3">
      <c r="A873" s="26" t="s">
        <v>709</v>
      </c>
      <c r="B873" s="26" t="s">
        <v>1212</v>
      </c>
      <c r="C873" s="33" t="str">
        <f>IFERROR(INDEX(tbl_requisitos_emb[Tema],MATCH(B873,tbl_requisitos_emb[ID_Req],0)),"")</f>
        <v>Segurança do produto cosmético</v>
      </c>
      <c r="D873" s="33" t="str">
        <f>IFERROR(INDEX(tbl_recyclass[Segmento],MATCH(A873,tbl_recyclass[ProductId],0)),"")</f>
        <v>Cosmética e higiene pessoal</v>
      </c>
      <c r="E873" s="26" t="s">
        <v>901</v>
      </c>
      <c r="F873" s="26" t="s">
        <v>1449</v>
      </c>
      <c r="G873" s="26" t="s">
        <v>1033</v>
      </c>
      <c r="H873" s="33" t="str">
        <f>IF(E873="Não","Não aplicável",IFERROR(IF(B873="EU-ENV-002",IF(INDEX(tbl_recyclass[Conforme_PPWR_2030],MATCH(A873,tbl_recyclass[ProductId],0))="Sim","Conforme (autoavaliação)",IF(INDEX(tbl_recyclass[Conforme_PPWR_2030],MATCH(A873,tbl_recyclass[ProductId],0))="Não","Não conforme em 2030","Isento até 2035")),IF(B873="EU-ENV-003",IF(INDEX(tbl_recyclass[Conforme_Art7_2030],MATCH(A873,tbl_recyclass[ProductId],0))="Sim","Conforme (meta 2030)",IF(INDEX(tbl_recyclass[Conforme_Art7_2030],MATCH(A873,tbl_recyclass[ProductId],0))="Não","Lacuna face à meta 2030","Isento")),IF(B873="EU-ENV-011",IF(INDEX(tbl_familias_ppwr[Metais_Pesados_Evidencia],MATCH(INDEX(tbl_recyclass[Familia_PPWR],MATCH(A873,tbl_recyclass[ProductId],0)),tbl_familias_ppwr[ID_Familia],0))="Em falta","Lacuna","Conforme"),IF(B873="EU-ENV-013",IF(INDEX(tbl_familias_ppwr[Declaracao_UE],MATCH(INDEX(tbl_recyclass[Familia_PPWR],MATCH(A873,tbl_recyclass[ProductId],0)),tbl_familias_ppwr[ID_Familia],0))="Sim","Conforme","Lacuna"),G873)))),G873))</f>
        <v>Conforme</v>
      </c>
      <c r="I873" s="33" t="str">
        <f t="shared" si="13"/>
        <v>Conforme</v>
      </c>
      <c r="J873" s="26" t="s">
        <v>1221</v>
      </c>
    </row>
    <row r="874" spans="1:10" ht="16.05" customHeight="1" x14ac:dyDescent="0.3">
      <c r="A874" s="26" t="s">
        <v>709</v>
      </c>
      <c r="B874" s="26" t="s">
        <v>1224</v>
      </c>
      <c r="C874" s="33" t="str">
        <f>IFERROR(INDEX(tbl_requisitos_emb[Tema],MATCH(B874,tbl_requisitos_emb[ID_Req],0)),"")</f>
        <v>Materiais e impurezas</v>
      </c>
      <c r="D874" s="33" t="str">
        <f>IFERROR(INDEX(tbl_recyclass[Segmento],MATCH(A874,tbl_recyclass[ProductId],0)),"")</f>
        <v>Cosmética e higiene pessoal</v>
      </c>
      <c r="E874" s="26" t="s">
        <v>901</v>
      </c>
      <c r="F874" s="26" t="s">
        <v>1449</v>
      </c>
      <c r="G874" s="26" t="s">
        <v>978</v>
      </c>
      <c r="H874" s="33" t="str">
        <f>IF(E874="Não","Não aplicável",IFERROR(IF(B874="EU-ENV-002",IF(INDEX(tbl_recyclass[Conforme_PPWR_2030],MATCH(A874,tbl_recyclass[ProductId],0))="Sim","Conforme (autoavaliação)",IF(INDEX(tbl_recyclass[Conforme_PPWR_2030],MATCH(A874,tbl_recyclass[ProductId],0))="Não","Não conforme em 2030","Isento até 2035")),IF(B874="EU-ENV-003",IF(INDEX(tbl_recyclass[Conforme_Art7_2030],MATCH(A874,tbl_recyclass[ProductId],0))="Sim","Conforme (meta 2030)",IF(INDEX(tbl_recyclass[Conforme_Art7_2030],MATCH(A874,tbl_recyclass[ProductId],0))="Não","Lacuna face à meta 2030","Isento")),IF(B874="EU-ENV-011",IF(INDEX(tbl_familias_ppwr[Metais_Pesados_Evidencia],MATCH(INDEX(tbl_recyclass[Familia_PPWR],MATCH(A874,tbl_recyclass[ProductId],0)),tbl_familias_ppwr[ID_Familia],0))="Em falta","Lacuna","Conforme"),IF(B874="EU-ENV-013",IF(INDEX(tbl_familias_ppwr[Declaracao_UE],MATCH(INDEX(tbl_recyclass[Familia_PPWR],MATCH(A874,tbl_recyclass[ProductId],0)),tbl_familias_ppwr[ID_Familia],0))="Sim","Conforme","Lacuna"),G874)))),G874))</f>
        <v>Parcial</v>
      </c>
      <c r="I874" s="33" t="str">
        <f t="shared" si="13"/>
        <v>Parcial</v>
      </c>
      <c r="J874" s="26" t="s">
        <v>1228</v>
      </c>
    </row>
    <row r="875" spans="1:10" ht="16.05" customHeight="1" x14ac:dyDescent="0.3">
      <c r="A875" s="26" t="s">
        <v>709</v>
      </c>
      <c r="B875" s="26" t="s">
        <v>1240</v>
      </c>
      <c r="C875" s="33" t="str">
        <f>IFERROR(INDEX(tbl_requisitos_emb[Tema],MATCH(B875,tbl_requisitos_emb[ID_Req],0)),"")</f>
        <v>Compatibilidade embalagem–produto</v>
      </c>
      <c r="D875" s="33" t="str">
        <f>IFERROR(INDEX(tbl_recyclass[Segmento],MATCH(A875,tbl_recyclass[ProductId],0)),"")</f>
        <v>Cosmética e higiene pessoal</v>
      </c>
      <c r="E875" s="26" t="s">
        <v>901</v>
      </c>
      <c r="F875" s="26" t="s">
        <v>1449</v>
      </c>
      <c r="G875" s="26" t="s">
        <v>1033</v>
      </c>
      <c r="H875" s="33" t="str">
        <f>IF(E875="Não","Não aplicável",IFERROR(IF(B875="EU-ENV-002",IF(INDEX(tbl_recyclass[Conforme_PPWR_2030],MATCH(A875,tbl_recyclass[ProductId],0))="Sim","Conforme (autoavaliação)",IF(INDEX(tbl_recyclass[Conforme_PPWR_2030],MATCH(A875,tbl_recyclass[ProductId],0))="Não","Não conforme em 2030","Isento até 2035")),IF(B875="EU-ENV-003",IF(INDEX(tbl_recyclass[Conforme_Art7_2030],MATCH(A875,tbl_recyclass[ProductId],0))="Sim","Conforme (meta 2030)",IF(INDEX(tbl_recyclass[Conforme_Art7_2030],MATCH(A875,tbl_recyclass[ProductId],0))="Não","Lacuna face à meta 2030","Isento")),IF(B875="EU-ENV-011",IF(INDEX(tbl_familias_ppwr[Metais_Pesados_Evidencia],MATCH(INDEX(tbl_recyclass[Familia_PPWR],MATCH(A875,tbl_recyclass[ProductId],0)),tbl_familias_ppwr[ID_Familia],0))="Em falta","Lacuna","Conforme"),IF(B875="EU-ENV-013",IF(INDEX(tbl_familias_ppwr[Declaracao_UE],MATCH(INDEX(tbl_recyclass[Familia_PPWR],MATCH(A875,tbl_recyclass[ProductId],0)),tbl_familias_ppwr[ID_Familia],0))="Sim","Conforme","Lacuna"),G875)))),G875))</f>
        <v>Conforme</v>
      </c>
      <c r="I875" s="33" t="str">
        <f t="shared" si="13"/>
        <v>Conforme</v>
      </c>
      <c r="J875" s="26" t="s">
        <v>1244</v>
      </c>
    </row>
    <row r="876" spans="1:10" ht="16.05" customHeight="1" x14ac:dyDescent="0.3">
      <c r="A876" s="26" t="s">
        <v>709</v>
      </c>
      <c r="B876" s="26" t="s">
        <v>1252</v>
      </c>
      <c r="C876" s="33" t="str">
        <f>IFERROR(INDEX(tbl_requisitos_emb[Tema],MATCH(B876,tbl_requisitos_emb[ID_Req],0)),"")</f>
        <v>Medicamentos de uso humano</v>
      </c>
      <c r="D876" s="33" t="str">
        <f>IFERROR(INDEX(tbl_recyclass[Segmento],MATCH(A876,tbl_recyclass[ProductId],0)),"")</f>
        <v>Cosmética e higiene pessoal</v>
      </c>
      <c r="E876" s="26" t="s">
        <v>904</v>
      </c>
      <c r="F876" s="26" t="s">
        <v>1451</v>
      </c>
      <c r="G876" s="26" t="s">
        <v>1143</v>
      </c>
      <c r="H876" s="33" t="str">
        <f>IF(E876="Não","Não aplicável",IFERROR(IF(B876="EU-ENV-002",IF(INDEX(tbl_recyclass[Conforme_PPWR_2030],MATCH(A876,tbl_recyclass[ProductId],0))="Sim","Conforme (autoavaliação)",IF(INDEX(tbl_recyclass[Conforme_PPWR_2030],MATCH(A876,tbl_recyclass[ProductId],0))="Não","Não conforme em 2030","Isento até 2035")),IF(B876="EU-ENV-003",IF(INDEX(tbl_recyclass[Conforme_Art7_2030],MATCH(A876,tbl_recyclass[ProductId],0))="Sim","Conforme (meta 2030)",IF(INDEX(tbl_recyclass[Conforme_Art7_2030],MATCH(A876,tbl_recyclass[ProductId],0))="Não","Lacuna face à meta 2030","Isento")),IF(B876="EU-ENV-011",IF(INDEX(tbl_familias_ppwr[Metais_Pesados_Evidencia],MATCH(INDEX(tbl_recyclass[Familia_PPWR],MATCH(A876,tbl_recyclass[ProductId],0)),tbl_familias_ppwr[ID_Familia],0))="Em falta","Lacuna","Conforme"),IF(B876="EU-ENV-013",IF(INDEX(tbl_familias_ppwr[Declaracao_UE],MATCH(INDEX(tbl_recyclass[Familia_PPWR],MATCH(A876,tbl_recyclass[ProductId],0)),tbl_familias_ppwr[ID_Familia],0))="Sim","Conforme","Lacuna"),G876)))),G876))</f>
        <v>Não aplicável</v>
      </c>
      <c r="I876" s="33" t="str">
        <f t="shared" si="13"/>
        <v>Não aplicável</v>
      </c>
      <c r="J876" s="26"/>
    </row>
    <row r="877" spans="1:10" ht="16.05" customHeight="1" x14ac:dyDescent="0.3">
      <c r="A877" s="26" t="s">
        <v>709</v>
      </c>
      <c r="B877" s="26" t="s">
        <v>1268</v>
      </c>
      <c r="C877" s="33" t="str">
        <f>IFERROR(INDEX(tbl_requisitos_emb[Tema],MATCH(B877,tbl_requisitos_emb[ID_Req],0)),"")</f>
        <v>Dispositivos de segurança</v>
      </c>
      <c r="D877" s="33" t="str">
        <f>IFERROR(INDEX(tbl_recyclass[Segmento],MATCH(A877,tbl_recyclass[ProductId],0)),"")</f>
        <v>Cosmética e higiene pessoal</v>
      </c>
      <c r="E877" s="26" t="s">
        <v>904</v>
      </c>
      <c r="F877" s="26" t="s">
        <v>1451</v>
      </c>
      <c r="G877" s="26" t="s">
        <v>1143</v>
      </c>
      <c r="H877" s="33" t="str">
        <f>IF(E877="Não","Não aplicável",IFERROR(IF(B877="EU-ENV-002",IF(INDEX(tbl_recyclass[Conforme_PPWR_2030],MATCH(A877,tbl_recyclass[ProductId],0))="Sim","Conforme (autoavaliação)",IF(INDEX(tbl_recyclass[Conforme_PPWR_2030],MATCH(A877,tbl_recyclass[ProductId],0))="Não","Não conforme em 2030","Isento até 2035")),IF(B877="EU-ENV-003",IF(INDEX(tbl_recyclass[Conforme_Art7_2030],MATCH(A877,tbl_recyclass[ProductId],0))="Sim","Conforme (meta 2030)",IF(INDEX(tbl_recyclass[Conforme_Art7_2030],MATCH(A877,tbl_recyclass[ProductId],0))="Não","Lacuna face à meta 2030","Isento")),IF(B877="EU-ENV-011",IF(INDEX(tbl_familias_ppwr[Metais_Pesados_Evidencia],MATCH(INDEX(tbl_recyclass[Familia_PPWR],MATCH(A877,tbl_recyclass[ProductId],0)),tbl_familias_ppwr[ID_Familia],0))="Em falta","Lacuna","Conforme"),IF(B877="EU-ENV-013",IF(INDEX(tbl_familias_ppwr[Declaracao_UE],MATCH(INDEX(tbl_recyclass[Familia_PPWR],MATCH(A877,tbl_recyclass[ProductId],0)),tbl_familias_ppwr[ID_Familia],0))="Sim","Conforme","Lacuna"),G877)))),G877))</f>
        <v>Não aplicável</v>
      </c>
      <c r="I877" s="33" t="str">
        <f t="shared" si="13"/>
        <v>Não aplicável</v>
      </c>
      <c r="J877" s="26"/>
    </row>
    <row r="878" spans="1:10" ht="16.05" customHeight="1" x14ac:dyDescent="0.3">
      <c r="A878" s="26" t="s">
        <v>709</v>
      </c>
      <c r="B878" s="26" t="s">
        <v>1285</v>
      </c>
      <c r="C878" s="33" t="str">
        <f>IFERROR(INDEX(tbl_requisitos_emb[Tema],MATCH(B878,tbl_requisitos_emb[ID_Req],0)),"")</f>
        <v>Materiais plásticos de acondicionamento primário</v>
      </c>
      <c r="D878" s="33" t="str">
        <f>IFERROR(INDEX(tbl_recyclass[Segmento],MATCH(A878,tbl_recyclass[ProductId],0)),"")</f>
        <v>Cosmética e higiene pessoal</v>
      </c>
      <c r="E878" s="26" t="s">
        <v>904</v>
      </c>
      <c r="F878" s="26" t="s">
        <v>1451</v>
      </c>
      <c r="G878" s="26" t="s">
        <v>1143</v>
      </c>
      <c r="H878" s="33" t="str">
        <f>IF(E878="Não","Não aplicável",IFERROR(IF(B878="EU-ENV-002",IF(INDEX(tbl_recyclass[Conforme_PPWR_2030],MATCH(A878,tbl_recyclass[ProductId],0))="Sim","Conforme (autoavaliação)",IF(INDEX(tbl_recyclass[Conforme_PPWR_2030],MATCH(A878,tbl_recyclass[ProductId],0))="Não","Não conforme em 2030","Isento até 2035")),IF(B878="EU-ENV-003",IF(INDEX(tbl_recyclass[Conforme_Art7_2030],MATCH(A878,tbl_recyclass[ProductId],0))="Sim","Conforme (meta 2030)",IF(INDEX(tbl_recyclass[Conforme_Art7_2030],MATCH(A878,tbl_recyclass[ProductId],0))="Não","Lacuna face à meta 2030","Isento")),IF(B878="EU-ENV-011",IF(INDEX(tbl_familias_ppwr[Metais_Pesados_Evidencia],MATCH(INDEX(tbl_recyclass[Familia_PPWR],MATCH(A878,tbl_recyclass[ProductId],0)),tbl_familias_ppwr[ID_Familia],0))="Em falta","Lacuna","Conforme"),IF(B878="EU-ENV-013",IF(INDEX(tbl_familias_ppwr[Declaracao_UE],MATCH(INDEX(tbl_recyclass[Familia_PPWR],MATCH(A878,tbl_recyclass[ProductId],0)),tbl_familias_ppwr[ID_Familia],0))="Sim","Conforme","Lacuna"),G878)))),G878))</f>
        <v>Não aplicável</v>
      </c>
      <c r="I878" s="33" t="str">
        <f t="shared" si="13"/>
        <v>Não aplicável</v>
      </c>
      <c r="J878" s="26"/>
    </row>
    <row r="879" spans="1:10" ht="16.05" customHeight="1" x14ac:dyDescent="0.3">
      <c r="A879" s="26" t="s">
        <v>709</v>
      </c>
      <c r="B879" s="26" t="s">
        <v>1293</v>
      </c>
      <c r="C879" s="33" t="str">
        <f>IFERROR(INDEX(tbl_requisitos_emb[Tema],MATCH(B879,tbl_requisitos_emb[ID_Req],0)),"")</f>
        <v>Isenções PPWR</v>
      </c>
      <c r="D879" s="33" t="str">
        <f>IFERROR(INDEX(tbl_recyclass[Segmento],MATCH(A879,tbl_recyclass[ProductId],0)),"")</f>
        <v>Cosmética e higiene pessoal</v>
      </c>
      <c r="E879" s="26" t="s">
        <v>904</v>
      </c>
      <c r="F879" s="26" t="s">
        <v>1451</v>
      </c>
      <c r="G879" s="26" t="s">
        <v>1143</v>
      </c>
      <c r="H879" s="33" t="str">
        <f>IF(E879="Não","Não aplicável",IFERROR(IF(B879="EU-ENV-002",IF(INDEX(tbl_recyclass[Conforme_PPWR_2030],MATCH(A879,tbl_recyclass[ProductId],0))="Sim","Conforme (autoavaliação)",IF(INDEX(tbl_recyclass[Conforme_PPWR_2030],MATCH(A879,tbl_recyclass[ProductId],0))="Não","Não conforme em 2030","Isento até 2035")),IF(B879="EU-ENV-003",IF(INDEX(tbl_recyclass[Conforme_Art7_2030],MATCH(A879,tbl_recyclass[ProductId],0))="Sim","Conforme (meta 2030)",IF(INDEX(tbl_recyclass[Conforme_Art7_2030],MATCH(A879,tbl_recyclass[ProductId],0))="Não","Lacuna face à meta 2030","Isento")),IF(B879="EU-ENV-011",IF(INDEX(tbl_familias_ppwr[Metais_Pesados_Evidencia],MATCH(INDEX(tbl_recyclass[Familia_PPWR],MATCH(A879,tbl_recyclass[ProductId],0)),tbl_familias_ppwr[ID_Familia],0))="Em falta","Lacuna","Conforme"),IF(B879="EU-ENV-013",IF(INDEX(tbl_familias_ppwr[Declaracao_UE],MATCH(INDEX(tbl_recyclass[Familia_PPWR],MATCH(A879,tbl_recyclass[ProductId],0)),tbl_familias_ppwr[ID_Familia],0))="Sim","Conforme","Lacuna"),G879)))),G879))</f>
        <v>Não aplicável</v>
      </c>
      <c r="I879" s="33" t="str">
        <f t="shared" si="13"/>
        <v>Não aplicável</v>
      </c>
      <c r="J879" s="26"/>
    </row>
    <row r="880" spans="1:10" ht="16.05" customHeight="1" x14ac:dyDescent="0.3">
      <c r="A880" s="26" t="s">
        <v>709</v>
      </c>
      <c r="B880" s="26" t="s">
        <v>1357</v>
      </c>
      <c r="C880" s="33" t="str">
        <f>IFERROR(INDEX(tbl_requisitos_emb[Tema],MATCH(B880,tbl_requisitos_emb[ID_Req],0)),"")</f>
        <v>Identificação de plásticos</v>
      </c>
      <c r="D880" s="33" t="str">
        <f>IFERROR(INDEX(tbl_recyclass[Segmento],MATCH(A880,tbl_recyclass[ProductId],0)),"")</f>
        <v>Cosmética e higiene pessoal</v>
      </c>
      <c r="E880" s="26" t="s">
        <v>901</v>
      </c>
      <c r="F880" s="26" t="s">
        <v>1449</v>
      </c>
      <c r="G880" s="26" t="s">
        <v>978</v>
      </c>
      <c r="H880" s="33" t="str">
        <f>IF(E880="Não","Não aplicável",IFERROR(IF(B880="EU-ENV-002",IF(INDEX(tbl_recyclass[Conforme_PPWR_2030],MATCH(A880,tbl_recyclass[ProductId],0))="Sim","Conforme (autoavaliação)",IF(INDEX(tbl_recyclass[Conforme_PPWR_2030],MATCH(A880,tbl_recyclass[ProductId],0))="Não","Não conforme em 2030","Isento até 2035")),IF(B880="EU-ENV-003",IF(INDEX(tbl_recyclass[Conforme_Art7_2030],MATCH(A880,tbl_recyclass[ProductId],0))="Sim","Conforme (meta 2030)",IF(INDEX(tbl_recyclass[Conforme_Art7_2030],MATCH(A880,tbl_recyclass[ProductId],0))="Não","Lacuna face à meta 2030","Isento")),IF(B880="EU-ENV-011",IF(INDEX(tbl_familias_ppwr[Metais_Pesados_Evidencia],MATCH(INDEX(tbl_recyclass[Familia_PPWR],MATCH(A880,tbl_recyclass[ProductId],0)),tbl_familias_ppwr[ID_Familia],0))="Em falta","Lacuna","Conforme"),IF(B880="EU-ENV-013",IF(INDEX(tbl_familias_ppwr[Declaracao_UE],MATCH(INDEX(tbl_recyclass[Familia_PPWR],MATCH(A880,tbl_recyclass[ProductId],0)),tbl_familias_ppwr[ID_Familia],0))="Sim","Conforme","Lacuna"),G880)))),G880))</f>
        <v>Parcial</v>
      </c>
      <c r="I880" s="33" t="str">
        <f t="shared" si="13"/>
        <v>Parcial</v>
      </c>
      <c r="J880" s="26" t="s">
        <v>1362</v>
      </c>
    </row>
    <row r="881" spans="1:10" ht="16.05" customHeight="1" x14ac:dyDescent="0.3">
      <c r="A881" s="26" t="s">
        <v>709</v>
      </c>
      <c r="B881" s="26" t="s">
        <v>1385</v>
      </c>
      <c r="C881" s="33" t="str">
        <f>IFERROR(INDEX(tbl_requisitos_emb[Tema],MATCH(B881,tbl_requisitos_emb[ID_Req],0)),"")</f>
        <v>Reciclabilidade (voluntária)</v>
      </c>
      <c r="D881" s="33" t="str">
        <f>IFERROR(INDEX(tbl_recyclass[Segmento],MATCH(A881,tbl_recyclass[ProductId],0)),"")</f>
        <v>Cosmética e higiene pessoal</v>
      </c>
      <c r="E881" s="26" t="s">
        <v>901</v>
      </c>
      <c r="F881" s="26" t="s">
        <v>1449</v>
      </c>
      <c r="G881" s="26" t="s">
        <v>978</v>
      </c>
      <c r="H881" s="33" t="str">
        <f>IF(E881="Não","Não aplicável",IFERROR(IF(B881="EU-ENV-002",IF(INDEX(tbl_recyclass[Conforme_PPWR_2030],MATCH(A881,tbl_recyclass[ProductId],0))="Sim","Conforme (autoavaliação)",IF(INDEX(tbl_recyclass[Conforme_PPWR_2030],MATCH(A881,tbl_recyclass[ProductId],0))="Não","Não conforme em 2030","Isento até 2035")),IF(B881="EU-ENV-003",IF(INDEX(tbl_recyclass[Conforme_Art7_2030],MATCH(A881,tbl_recyclass[ProductId],0))="Sim","Conforme (meta 2030)",IF(INDEX(tbl_recyclass[Conforme_Art7_2030],MATCH(A881,tbl_recyclass[ProductId],0))="Não","Lacuna face à meta 2030","Isento")),IF(B881="EU-ENV-011",IF(INDEX(tbl_familias_ppwr[Metais_Pesados_Evidencia],MATCH(INDEX(tbl_recyclass[Familia_PPWR],MATCH(A881,tbl_recyclass[ProductId],0)),tbl_familias_ppwr[ID_Familia],0))="Em falta","Lacuna","Conforme"),IF(B881="EU-ENV-013",IF(INDEX(tbl_familias_ppwr[Declaracao_UE],MATCH(INDEX(tbl_recyclass[Familia_PPWR],MATCH(A881,tbl_recyclass[ProductId],0)),tbl_familias_ppwr[ID_Familia],0))="Sim","Conforme","Lacuna"),G881)))),G881))</f>
        <v>Parcial</v>
      </c>
      <c r="I881" s="33" t="str">
        <f t="shared" si="13"/>
        <v>Parcial</v>
      </c>
      <c r="J881" s="26" t="s">
        <v>1389</v>
      </c>
    </row>
    <row r="882" spans="1:10" ht="16.05" customHeight="1" x14ac:dyDescent="0.3">
      <c r="A882" s="26" t="s">
        <v>711</v>
      </c>
      <c r="B882" s="26" t="s">
        <v>984</v>
      </c>
      <c r="C882" s="33" t="str">
        <f>IFERROR(INDEX(tbl_requisitos_emb[Tema],MATCH(B882,tbl_requisitos_emb[ID_Req],0)),"")</f>
        <v>Conceção para reciclagem</v>
      </c>
      <c r="D882" s="33" t="str">
        <f>IFERROR(INDEX(tbl_recyclass[Segmento],MATCH(A882,tbl_recyclass[ProductId],0)),"")</f>
        <v>Cosmética e higiene pessoal</v>
      </c>
      <c r="E882" s="26" t="s">
        <v>901</v>
      </c>
      <c r="F882" s="26" t="s">
        <v>1449</v>
      </c>
      <c r="G882" s="26" t="s">
        <v>978</v>
      </c>
      <c r="H882" s="33" t="str">
        <f>IF(E882="Não","Não aplicável",IFERROR(IF(B882="EU-ENV-002",IF(INDEX(tbl_recyclass[Conforme_PPWR_2030],MATCH(A882,tbl_recyclass[ProductId],0))="Sim","Conforme (autoavaliação)",IF(INDEX(tbl_recyclass[Conforme_PPWR_2030],MATCH(A882,tbl_recyclass[ProductId],0))="Não","Não conforme em 2030","Isento até 2035")),IF(B882="EU-ENV-003",IF(INDEX(tbl_recyclass[Conforme_Art7_2030],MATCH(A882,tbl_recyclass[ProductId],0))="Sim","Conforme (meta 2030)",IF(INDEX(tbl_recyclass[Conforme_Art7_2030],MATCH(A882,tbl_recyclass[ProductId],0))="Não","Lacuna face à meta 2030","Isento")),IF(B882="EU-ENV-011",IF(INDEX(tbl_familias_ppwr[Metais_Pesados_Evidencia],MATCH(INDEX(tbl_recyclass[Familia_PPWR],MATCH(A882,tbl_recyclass[ProductId],0)),tbl_familias_ppwr[ID_Familia],0))="Em falta","Lacuna","Conforme"),IF(B882="EU-ENV-013",IF(INDEX(tbl_familias_ppwr[Declaracao_UE],MATCH(INDEX(tbl_recyclass[Familia_PPWR],MATCH(A882,tbl_recyclass[ProductId],0)),tbl_familias_ppwr[ID_Familia],0))="Sim","Conforme","Lacuna"),G882)))),G882))</f>
        <v>Conforme (autoavaliação)</v>
      </c>
      <c r="I882" s="33" t="str">
        <f t="shared" si="13"/>
        <v>Conforme</v>
      </c>
      <c r="J882" s="26" t="s">
        <v>991</v>
      </c>
    </row>
    <row r="883" spans="1:10" ht="16.05" customHeight="1" x14ac:dyDescent="0.3">
      <c r="A883" s="26" t="s">
        <v>711</v>
      </c>
      <c r="B883" s="26" t="s">
        <v>997</v>
      </c>
      <c r="C883" s="33" t="str">
        <f>IFERROR(INDEX(tbl_requisitos_emb[Tema],MATCH(B883,tbl_requisitos_emb[ID_Req],0)),"")</f>
        <v>Conteúdo reciclado</v>
      </c>
      <c r="D883" s="33" t="str">
        <f>IFERROR(INDEX(tbl_recyclass[Segmento],MATCH(A883,tbl_recyclass[ProductId],0)),"")</f>
        <v>Cosmética e higiene pessoal</v>
      </c>
      <c r="E883" s="26" t="s">
        <v>901</v>
      </c>
      <c r="F883" s="26" t="s">
        <v>1449</v>
      </c>
      <c r="G883" s="26" t="s">
        <v>978</v>
      </c>
      <c r="H883" s="33" t="str">
        <f>IF(E883="Não","Não aplicável",IFERROR(IF(B883="EU-ENV-002",IF(INDEX(tbl_recyclass[Conforme_PPWR_2030],MATCH(A883,tbl_recyclass[ProductId],0))="Sim","Conforme (autoavaliação)",IF(INDEX(tbl_recyclass[Conforme_PPWR_2030],MATCH(A883,tbl_recyclass[ProductId],0))="Não","Não conforme em 2030","Isento até 2035")),IF(B883="EU-ENV-003",IF(INDEX(tbl_recyclass[Conforme_Art7_2030],MATCH(A883,tbl_recyclass[ProductId],0))="Sim","Conforme (meta 2030)",IF(INDEX(tbl_recyclass[Conforme_Art7_2030],MATCH(A883,tbl_recyclass[ProductId],0))="Não","Lacuna face à meta 2030","Isento")),IF(B883="EU-ENV-011",IF(INDEX(tbl_familias_ppwr[Metais_Pesados_Evidencia],MATCH(INDEX(tbl_recyclass[Familia_PPWR],MATCH(A883,tbl_recyclass[ProductId],0)),tbl_familias_ppwr[ID_Familia],0))="Em falta","Lacuna","Conforme"),IF(B883="EU-ENV-013",IF(INDEX(tbl_familias_ppwr[Declaracao_UE],MATCH(INDEX(tbl_recyclass[Familia_PPWR],MATCH(A883,tbl_recyclass[ProductId],0)),tbl_familias_ppwr[ID_Familia],0))="Sim","Conforme","Lacuna"),G883)))),G883))</f>
        <v>Lacuna face à meta 2030</v>
      </c>
      <c r="I883" s="33" t="str">
        <f t="shared" si="13"/>
        <v>Lacuna</v>
      </c>
      <c r="J883" s="26" t="s">
        <v>1001</v>
      </c>
    </row>
    <row r="884" spans="1:10" ht="16.05" customHeight="1" x14ac:dyDescent="0.3">
      <c r="A884" s="26" t="s">
        <v>711</v>
      </c>
      <c r="B884" s="26" t="s">
        <v>1007</v>
      </c>
      <c r="C884" s="33" t="str">
        <f>IFERROR(INDEX(tbl_requisitos_emb[Tema],MATCH(B884,tbl_requisitos_emb[ID_Req],0)),"")</f>
        <v>Minimização</v>
      </c>
      <c r="D884" s="33" t="str">
        <f>IFERROR(INDEX(tbl_recyclass[Segmento],MATCH(A884,tbl_recyclass[ProductId],0)),"")</f>
        <v>Cosmética e higiene pessoal</v>
      </c>
      <c r="E884" s="26" t="s">
        <v>901</v>
      </c>
      <c r="F884" s="26" t="s">
        <v>1449</v>
      </c>
      <c r="G884" s="26" t="s">
        <v>978</v>
      </c>
      <c r="H884" s="33" t="str">
        <f>IF(E884="Não","Não aplicável",IFERROR(IF(B884="EU-ENV-002",IF(INDEX(tbl_recyclass[Conforme_PPWR_2030],MATCH(A884,tbl_recyclass[ProductId],0))="Sim","Conforme (autoavaliação)",IF(INDEX(tbl_recyclass[Conforme_PPWR_2030],MATCH(A884,tbl_recyclass[ProductId],0))="Não","Não conforme em 2030","Isento até 2035")),IF(B884="EU-ENV-003",IF(INDEX(tbl_recyclass[Conforme_Art7_2030],MATCH(A884,tbl_recyclass[ProductId],0))="Sim","Conforme (meta 2030)",IF(INDEX(tbl_recyclass[Conforme_Art7_2030],MATCH(A884,tbl_recyclass[ProductId],0))="Não","Lacuna face à meta 2030","Isento")),IF(B884="EU-ENV-011",IF(INDEX(tbl_familias_ppwr[Metais_Pesados_Evidencia],MATCH(INDEX(tbl_recyclass[Familia_PPWR],MATCH(A884,tbl_recyclass[ProductId],0)),tbl_familias_ppwr[ID_Familia],0))="Em falta","Lacuna","Conforme"),IF(B884="EU-ENV-013",IF(INDEX(tbl_familias_ppwr[Declaracao_UE],MATCH(INDEX(tbl_recyclass[Familia_PPWR],MATCH(A884,tbl_recyclass[ProductId],0)),tbl_familias_ppwr[ID_Familia],0))="Sim","Conforme","Lacuna"),G884)))),G884))</f>
        <v>Parcial</v>
      </c>
      <c r="I884" s="33" t="str">
        <f t="shared" si="13"/>
        <v>Parcial</v>
      </c>
      <c r="J884" s="26" t="s">
        <v>1012</v>
      </c>
    </row>
    <row r="885" spans="1:10" ht="16.05" customHeight="1" x14ac:dyDescent="0.3">
      <c r="A885" s="26" t="s">
        <v>711</v>
      </c>
      <c r="B885" s="26" t="s">
        <v>1016</v>
      </c>
      <c r="C885" s="33" t="str">
        <f>IFERROR(INDEX(tbl_requisitos_emb[Tema],MATCH(B885,tbl_requisitos_emb[ID_Req],0)),"")</f>
        <v>Rotulagem</v>
      </c>
      <c r="D885" s="33" t="str">
        <f>IFERROR(INDEX(tbl_recyclass[Segmento],MATCH(A885,tbl_recyclass[ProductId],0)),"")</f>
        <v>Cosmética e higiene pessoal</v>
      </c>
      <c r="E885" s="26" t="s">
        <v>901</v>
      </c>
      <c r="F885" s="26" t="s">
        <v>1449</v>
      </c>
      <c r="G885" s="26" t="s">
        <v>990</v>
      </c>
      <c r="H885" s="33" t="str">
        <f>IF(E885="Não","Não aplicável",IFERROR(IF(B885="EU-ENV-002",IF(INDEX(tbl_recyclass[Conforme_PPWR_2030],MATCH(A885,tbl_recyclass[ProductId],0))="Sim","Conforme (autoavaliação)",IF(INDEX(tbl_recyclass[Conforme_PPWR_2030],MATCH(A885,tbl_recyclass[ProductId],0))="Não","Não conforme em 2030","Isento até 2035")),IF(B885="EU-ENV-003",IF(INDEX(tbl_recyclass[Conforme_Art7_2030],MATCH(A885,tbl_recyclass[ProductId],0))="Sim","Conforme (meta 2030)",IF(INDEX(tbl_recyclass[Conforme_Art7_2030],MATCH(A885,tbl_recyclass[ProductId],0))="Não","Lacuna face à meta 2030","Isento")),IF(B885="EU-ENV-011",IF(INDEX(tbl_familias_ppwr[Metais_Pesados_Evidencia],MATCH(INDEX(tbl_recyclass[Familia_PPWR],MATCH(A885,tbl_recyclass[ProductId],0)),tbl_familias_ppwr[ID_Familia],0))="Em falta","Lacuna","Conforme"),IF(B885="EU-ENV-013",IF(INDEX(tbl_familias_ppwr[Declaracao_UE],MATCH(INDEX(tbl_recyclass[Familia_PPWR],MATCH(A885,tbl_recyclass[ProductId],0)),tbl_familias_ppwr[ID_Familia],0))="Sim","Conforme","Lacuna"),G885)))),G885))</f>
        <v>Futuro</v>
      </c>
      <c r="I885" s="33" t="str">
        <f t="shared" si="13"/>
        <v>Futuro</v>
      </c>
      <c r="J885" s="26" t="s">
        <v>1021</v>
      </c>
    </row>
    <row r="886" spans="1:10" ht="16.05" customHeight="1" x14ac:dyDescent="0.3">
      <c r="A886" s="26" t="s">
        <v>711</v>
      </c>
      <c r="B886" s="26" t="s">
        <v>1038</v>
      </c>
      <c r="C886" s="33" t="str">
        <f>IFERROR(INDEX(tbl_requisitos_emb[Tema],MATCH(B886,tbl_requisitos_emb[ID_Req],0)),"")</f>
        <v>Plásticos de utilização única</v>
      </c>
      <c r="D886" s="33" t="str">
        <f>IFERROR(INDEX(tbl_recyclass[Segmento],MATCH(A886,tbl_recyclass[ProductId],0)),"")</f>
        <v>Cosmética e higiene pessoal</v>
      </c>
      <c r="E886" s="26" t="s">
        <v>904</v>
      </c>
      <c r="F886" s="26" t="s">
        <v>1450</v>
      </c>
      <c r="G886" s="26" t="s">
        <v>1143</v>
      </c>
      <c r="H886" s="33" t="str">
        <f>IF(E886="Não","Não aplicável",IFERROR(IF(B886="EU-ENV-002",IF(INDEX(tbl_recyclass[Conforme_PPWR_2030],MATCH(A886,tbl_recyclass[ProductId],0))="Sim","Conforme (autoavaliação)",IF(INDEX(tbl_recyclass[Conforme_PPWR_2030],MATCH(A886,tbl_recyclass[ProductId],0))="Não","Não conforme em 2030","Isento até 2035")),IF(B886="EU-ENV-003",IF(INDEX(tbl_recyclass[Conforme_Art7_2030],MATCH(A886,tbl_recyclass[ProductId],0))="Sim","Conforme (meta 2030)",IF(INDEX(tbl_recyclass[Conforme_Art7_2030],MATCH(A886,tbl_recyclass[ProductId],0))="Não","Lacuna face à meta 2030","Isento")),IF(B886="EU-ENV-011",IF(INDEX(tbl_familias_ppwr[Metais_Pesados_Evidencia],MATCH(INDEX(tbl_recyclass[Familia_PPWR],MATCH(A886,tbl_recyclass[ProductId],0)),tbl_familias_ppwr[ID_Familia],0))="Em falta","Lacuna","Conforme"),IF(B886="EU-ENV-013",IF(INDEX(tbl_familias_ppwr[Declaracao_UE],MATCH(INDEX(tbl_recyclass[Familia_PPWR],MATCH(A886,tbl_recyclass[ProductId],0)),tbl_familias_ppwr[ID_Familia],0))="Sim","Conforme","Lacuna"),G886)))),G886))</f>
        <v>Não aplicável</v>
      </c>
      <c r="I886" s="33" t="str">
        <f t="shared" si="13"/>
        <v>Não aplicável</v>
      </c>
      <c r="J886" s="26"/>
    </row>
    <row r="887" spans="1:10" ht="16.05" customHeight="1" x14ac:dyDescent="0.3">
      <c r="A887" s="26" t="s">
        <v>711</v>
      </c>
      <c r="B887" s="26" t="s">
        <v>1078</v>
      </c>
      <c r="C887" s="33" t="str">
        <f>IFERROR(INDEX(tbl_requisitos_emb[Tema],MATCH(B887,tbl_requisitos_emb[ID_Req],0)),"")</f>
        <v>Reciclado à escala</v>
      </c>
      <c r="D887" s="33" t="str">
        <f>IFERROR(INDEX(tbl_recyclass[Segmento],MATCH(A887,tbl_recyclass[ProductId],0)),"")</f>
        <v>Cosmética e higiene pessoal</v>
      </c>
      <c r="E887" s="26" t="s">
        <v>901</v>
      </c>
      <c r="F887" s="26" t="s">
        <v>1449</v>
      </c>
      <c r="G887" s="26" t="s">
        <v>990</v>
      </c>
      <c r="H887" s="33" t="str">
        <f>IF(E887="Não","Não aplicável",IFERROR(IF(B887="EU-ENV-002",IF(INDEX(tbl_recyclass[Conforme_PPWR_2030],MATCH(A887,tbl_recyclass[ProductId],0))="Sim","Conforme (autoavaliação)",IF(INDEX(tbl_recyclass[Conforme_PPWR_2030],MATCH(A887,tbl_recyclass[ProductId],0))="Não","Não conforme em 2030","Isento até 2035")),IF(B887="EU-ENV-003",IF(INDEX(tbl_recyclass[Conforme_Art7_2030],MATCH(A887,tbl_recyclass[ProductId],0))="Sim","Conforme (meta 2030)",IF(INDEX(tbl_recyclass[Conforme_Art7_2030],MATCH(A887,tbl_recyclass[ProductId],0))="Não","Lacuna face à meta 2030","Isento")),IF(B887="EU-ENV-011",IF(INDEX(tbl_familias_ppwr[Metais_Pesados_Evidencia],MATCH(INDEX(tbl_recyclass[Familia_PPWR],MATCH(A887,tbl_recyclass[ProductId],0)),tbl_familias_ppwr[ID_Familia],0))="Em falta","Lacuna","Conforme"),IF(B887="EU-ENV-013",IF(INDEX(tbl_familias_ppwr[Declaracao_UE],MATCH(INDEX(tbl_recyclass[Familia_PPWR],MATCH(A887,tbl_recyclass[ProductId],0)),tbl_familias_ppwr[ID_Familia],0))="Sim","Conforme","Lacuna"),G887)))),G887))</f>
        <v>Futuro</v>
      </c>
      <c r="I887" s="33" t="str">
        <f t="shared" si="13"/>
        <v>Futuro</v>
      </c>
      <c r="J887" s="26" t="s">
        <v>1082</v>
      </c>
    </row>
    <row r="888" spans="1:10" ht="16.05" customHeight="1" x14ac:dyDescent="0.3">
      <c r="A888" s="26" t="s">
        <v>711</v>
      </c>
      <c r="B888" s="26" t="s">
        <v>1086</v>
      </c>
      <c r="C888" s="33" t="str">
        <f>IFERROR(INDEX(tbl_requisitos_emb[Tema],MATCH(B888,tbl_requisitos_emb[ID_Req],0)),"")</f>
        <v>Metais pesados</v>
      </c>
      <c r="D888" s="33" t="str">
        <f>IFERROR(INDEX(tbl_recyclass[Segmento],MATCH(A888,tbl_recyclass[ProductId],0)),"")</f>
        <v>Cosmética e higiene pessoal</v>
      </c>
      <c r="E888" s="26" t="s">
        <v>901</v>
      </c>
      <c r="F888" s="26" t="s">
        <v>1449</v>
      </c>
      <c r="G888" s="26" t="s">
        <v>978</v>
      </c>
      <c r="H888" s="33" t="str">
        <f>IF(E888="Não","Não aplicável",IFERROR(IF(B888="EU-ENV-002",IF(INDEX(tbl_recyclass[Conforme_PPWR_2030],MATCH(A888,tbl_recyclass[ProductId],0))="Sim","Conforme (autoavaliação)",IF(INDEX(tbl_recyclass[Conforme_PPWR_2030],MATCH(A888,tbl_recyclass[ProductId],0))="Não","Não conforme em 2030","Isento até 2035")),IF(B888="EU-ENV-003",IF(INDEX(tbl_recyclass[Conforme_Art7_2030],MATCH(A888,tbl_recyclass[ProductId],0))="Sim","Conforme (meta 2030)",IF(INDEX(tbl_recyclass[Conforme_Art7_2030],MATCH(A888,tbl_recyclass[ProductId],0))="Não","Lacuna face à meta 2030","Isento")),IF(B888="EU-ENV-011",IF(INDEX(tbl_familias_ppwr[Metais_Pesados_Evidencia],MATCH(INDEX(tbl_recyclass[Familia_PPWR],MATCH(A888,tbl_recyclass[ProductId],0)),tbl_familias_ppwr[ID_Familia],0))="Em falta","Lacuna","Conforme"),IF(B888="EU-ENV-013",IF(INDEX(tbl_familias_ppwr[Declaracao_UE],MATCH(INDEX(tbl_recyclass[Familia_PPWR],MATCH(A888,tbl_recyclass[ProductId],0)),tbl_familias_ppwr[ID_Familia],0))="Sim","Conforme","Lacuna"),G888)))),G888))</f>
        <v>Conforme</v>
      </c>
      <c r="I888" s="33" t="str">
        <f t="shared" si="13"/>
        <v>Conforme</v>
      </c>
      <c r="J888" s="26" t="s">
        <v>1090</v>
      </c>
    </row>
    <row r="889" spans="1:10" ht="16.05" customHeight="1" x14ac:dyDescent="0.3">
      <c r="A889" s="26" t="s">
        <v>711</v>
      </c>
      <c r="B889" s="26" t="s">
        <v>1094</v>
      </c>
      <c r="C889" s="33" t="str">
        <f>IFERROR(INDEX(tbl_requisitos_emb[Tema],MATCH(B889,tbl_requisitos_emb[ID_Req],0)),"")</f>
        <v>PFAS</v>
      </c>
      <c r="D889" s="33" t="str">
        <f>IFERROR(INDEX(tbl_recyclass[Segmento],MATCH(A889,tbl_recyclass[ProductId],0)),"")</f>
        <v>Cosmética e higiene pessoal</v>
      </c>
      <c r="E889" s="26" t="s">
        <v>904</v>
      </c>
      <c r="F889" s="26" t="s">
        <v>1450</v>
      </c>
      <c r="G889" s="26" t="s">
        <v>1143</v>
      </c>
      <c r="H889" s="33" t="str">
        <f>IF(E889="Não","Não aplicável",IFERROR(IF(B889="EU-ENV-002",IF(INDEX(tbl_recyclass[Conforme_PPWR_2030],MATCH(A889,tbl_recyclass[ProductId],0))="Sim","Conforme (autoavaliação)",IF(INDEX(tbl_recyclass[Conforme_PPWR_2030],MATCH(A889,tbl_recyclass[ProductId],0))="Não","Não conforme em 2030","Isento até 2035")),IF(B889="EU-ENV-003",IF(INDEX(tbl_recyclass[Conforme_Art7_2030],MATCH(A889,tbl_recyclass[ProductId],0))="Sim","Conforme (meta 2030)",IF(INDEX(tbl_recyclass[Conforme_Art7_2030],MATCH(A889,tbl_recyclass[ProductId],0))="Não","Lacuna face à meta 2030","Isento")),IF(B889="EU-ENV-011",IF(INDEX(tbl_familias_ppwr[Metais_Pesados_Evidencia],MATCH(INDEX(tbl_recyclass[Familia_PPWR],MATCH(A889,tbl_recyclass[ProductId],0)),tbl_familias_ppwr[ID_Familia],0))="Em falta","Lacuna","Conforme"),IF(B889="EU-ENV-013",IF(INDEX(tbl_familias_ppwr[Declaracao_UE],MATCH(INDEX(tbl_recyclass[Familia_PPWR],MATCH(A889,tbl_recyclass[ProductId],0)),tbl_familias_ppwr[ID_Familia],0))="Sim","Conforme","Lacuna"),G889)))),G889))</f>
        <v>Não aplicável</v>
      </c>
      <c r="I889" s="33" t="str">
        <f t="shared" si="13"/>
        <v>Não aplicável</v>
      </c>
      <c r="J889" s="26"/>
    </row>
    <row r="890" spans="1:10" ht="16.05" customHeight="1" x14ac:dyDescent="0.3">
      <c r="A890" s="26" t="s">
        <v>711</v>
      </c>
      <c r="B890" s="26" t="s">
        <v>1102</v>
      </c>
      <c r="C890" s="33" t="str">
        <f>IFERROR(INDEX(tbl_requisitos_emb[Tema],MATCH(B890,tbl_requisitos_emb[ID_Req],0)),"")</f>
        <v>Documentação técnica e declaração UE</v>
      </c>
      <c r="D890" s="33" t="str">
        <f>IFERROR(INDEX(tbl_recyclass[Segmento],MATCH(A890,tbl_recyclass[ProductId],0)),"")</f>
        <v>Cosmética e higiene pessoal</v>
      </c>
      <c r="E890" s="26" t="s">
        <v>901</v>
      </c>
      <c r="F890" s="26" t="s">
        <v>1449</v>
      </c>
      <c r="G890" s="26" t="s">
        <v>978</v>
      </c>
      <c r="H890" s="33" t="str">
        <f>IF(E890="Não","Não aplicável",IFERROR(IF(B890="EU-ENV-002",IF(INDEX(tbl_recyclass[Conforme_PPWR_2030],MATCH(A890,tbl_recyclass[ProductId],0))="Sim","Conforme (autoavaliação)",IF(INDEX(tbl_recyclass[Conforme_PPWR_2030],MATCH(A890,tbl_recyclass[ProductId],0))="Não","Não conforme em 2030","Isento até 2035")),IF(B890="EU-ENV-003",IF(INDEX(tbl_recyclass[Conforme_Art7_2030],MATCH(A890,tbl_recyclass[ProductId],0))="Sim","Conforme (meta 2030)",IF(INDEX(tbl_recyclass[Conforme_Art7_2030],MATCH(A890,tbl_recyclass[ProductId],0))="Não","Lacuna face à meta 2030","Isento")),IF(B890="EU-ENV-011",IF(INDEX(tbl_familias_ppwr[Metais_Pesados_Evidencia],MATCH(INDEX(tbl_recyclass[Familia_PPWR],MATCH(A890,tbl_recyclass[ProductId],0)),tbl_familias_ppwr[ID_Familia],0))="Em falta","Lacuna","Conforme"),IF(B890="EU-ENV-013",IF(INDEX(tbl_familias_ppwr[Declaracao_UE],MATCH(INDEX(tbl_recyclass[Familia_PPWR],MATCH(A890,tbl_recyclass[ProductId],0)),tbl_familias_ppwr[ID_Familia],0))="Sim","Conforme","Lacuna"),G890)))),G890))</f>
        <v>Conforme</v>
      </c>
      <c r="I890" s="33" t="str">
        <f t="shared" si="13"/>
        <v>Conforme</v>
      </c>
      <c r="J890" s="26" t="s">
        <v>1106</v>
      </c>
    </row>
    <row r="891" spans="1:10" ht="16.05" customHeight="1" x14ac:dyDescent="0.3">
      <c r="A891" s="26" t="s">
        <v>711</v>
      </c>
      <c r="B891" s="26" t="s">
        <v>1161</v>
      </c>
      <c r="C891" s="33" t="str">
        <f>IFERROR(INDEX(tbl_requisitos_emb[Tema],MATCH(B891,tbl_requisitos_emb[ID_Req],0)),"")</f>
        <v>Materiais em contacto com alimentos</v>
      </c>
      <c r="D891" s="33" t="str">
        <f>IFERROR(INDEX(tbl_recyclass[Segmento],MATCH(A891,tbl_recyclass[ProductId],0)),"")</f>
        <v>Cosmética e higiene pessoal</v>
      </c>
      <c r="E891" s="26" t="s">
        <v>904</v>
      </c>
      <c r="F891" s="26" t="s">
        <v>1450</v>
      </c>
      <c r="G891" s="26" t="s">
        <v>1143</v>
      </c>
      <c r="H891" s="33" t="str">
        <f>IF(E891="Não","Não aplicável",IFERROR(IF(B891="EU-ENV-002",IF(INDEX(tbl_recyclass[Conforme_PPWR_2030],MATCH(A891,tbl_recyclass[ProductId],0))="Sim","Conforme (autoavaliação)",IF(INDEX(tbl_recyclass[Conforme_PPWR_2030],MATCH(A891,tbl_recyclass[ProductId],0))="Não","Não conforme em 2030","Isento até 2035")),IF(B891="EU-ENV-003",IF(INDEX(tbl_recyclass[Conforme_Art7_2030],MATCH(A891,tbl_recyclass[ProductId],0))="Sim","Conforme (meta 2030)",IF(INDEX(tbl_recyclass[Conforme_Art7_2030],MATCH(A891,tbl_recyclass[ProductId],0))="Não","Lacuna face à meta 2030","Isento")),IF(B891="EU-ENV-011",IF(INDEX(tbl_familias_ppwr[Metais_Pesados_Evidencia],MATCH(INDEX(tbl_recyclass[Familia_PPWR],MATCH(A891,tbl_recyclass[ProductId],0)),tbl_familias_ppwr[ID_Familia],0))="Em falta","Lacuna","Conforme"),IF(B891="EU-ENV-013",IF(INDEX(tbl_familias_ppwr[Declaracao_UE],MATCH(INDEX(tbl_recyclass[Familia_PPWR],MATCH(A891,tbl_recyclass[ProductId],0)),tbl_familias_ppwr[ID_Familia],0))="Sim","Conforme","Lacuna"),G891)))),G891))</f>
        <v>Não aplicável</v>
      </c>
      <c r="I891" s="33" t="str">
        <f t="shared" si="13"/>
        <v>Não aplicável</v>
      </c>
      <c r="J891" s="26"/>
    </row>
    <row r="892" spans="1:10" ht="16.05" customHeight="1" x14ac:dyDescent="0.3">
      <c r="A892" s="26" t="s">
        <v>711</v>
      </c>
      <c r="B892" s="26" t="s">
        <v>1170</v>
      </c>
      <c r="C892" s="33" t="str">
        <f>IFERROR(INDEX(tbl_requisitos_emb[Tema],MATCH(B892,tbl_requisitos_emb[ID_Req],0)),"")</f>
        <v>Boas práticas de fabrico FCM</v>
      </c>
      <c r="D892" s="33" t="str">
        <f>IFERROR(INDEX(tbl_recyclass[Segmento],MATCH(A892,tbl_recyclass[ProductId],0)),"")</f>
        <v>Cosmética e higiene pessoal</v>
      </c>
      <c r="E892" s="26" t="s">
        <v>904</v>
      </c>
      <c r="F892" s="26" t="s">
        <v>1450</v>
      </c>
      <c r="G892" s="26" t="s">
        <v>1143</v>
      </c>
      <c r="H892" s="33" t="str">
        <f>IF(E892="Não","Não aplicável",IFERROR(IF(B892="EU-ENV-002",IF(INDEX(tbl_recyclass[Conforme_PPWR_2030],MATCH(A892,tbl_recyclass[ProductId],0))="Sim","Conforme (autoavaliação)",IF(INDEX(tbl_recyclass[Conforme_PPWR_2030],MATCH(A892,tbl_recyclass[ProductId],0))="Não","Não conforme em 2030","Isento até 2035")),IF(B892="EU-ENV-003",IF(INDEX(tbl_recyclass[Conforme_Art7_2030],MATCH(A892,tbl_recyclass[ProductId],0))="Sim","Conforme (meta 2030)",IF(INDEX(tbl_recyclass[Conforme_Art7_2030],MATCH(A892,tbl_recyclass[ProductId],0))="Não","Lacuna face à meta 2030","Isento")),IF(B892="EU-ENV-011",IF(INDEX(tbl_familias_ppwr[Metais_Pesados_Evidencia],MATCH(INDEX(tbl_recyclass[Familia_PPWR],MATCH(A892,tbl_recyclass[ProductId],0)),tbl_familias_ppwr[ID_Familia],0))="Em falta","Lacuna","Conforme"),IF(B892="EU-ENV-013",IF(INDEX(tbl_familias_ppwr[Declaracao_UE],MATCH(INDEX(tbl_recyclass[Familia_PPWR],MATCH(A892,tbl_recyclass[ProductId],0)),tbl_familias_ppwr[ID_Familia],0))="Sim","Conforme","Lacuna"),G892)))),G892))</f>
        <v>Não aplicável</v>
      </c>
      <c r="I892" s="33" t="str">
        <f t="shared" si="13"/>
        <v>Não aplicável</v>
      </c>
      <c r="J892" s="26"/>
    </row>
    <row r="893" spans="1:10" ht="16.05" customHeight="1" x14ac:dyDescent="0.3">
      <c r="A893" s="26" t="s">
        <v>711</v>
      </c>
      <c r="B893" s="26" t="s">
        <v>1179</v>
      </c>
      <c r="C893" s="33" t="str">
        <f>IFERROR(INDEX(tbl_requisitos_emb[Tema],MATCH(B893,tbl_requisitos_emb[ID_Req],0)),"")</f>
        <v>Bisfenol A e bisfenóis perigosos</v>
      </c>
      <c r="D893" s="33" t="str">
        <f>IFERROR(INDEX(tbl_recyclass[Segmento],MATCH(A893,tbl_recyclass[ProductId],0)),"")</f>
        <v>Cosmética e higiene pessoal</v>
      </c>
      <c r="E893" s="26" t="s">
        <v>904</v>
      </c>
      <c r="F893" s="26" t="s">
        <v>1450</v>
      </c>
      <c r="G893" s="26" t="s">
        <v>1143</v>
      </c>
      <c r="H893" s="33" t="str">
        <f>IF(E893="Não","Não aplicável",IFERROR(IF(B893="EU-ENV-002",IF(INDEX(tbl_recyclass[Conforme_PPWR_2030],MATCH(A893,tbl_recyclass[ProductId],0))="Sim","Conforme (autoavaliação)",IF(INDEX(tbl_recyclass[Conforme_PPWR_2030],MATCH(A893,tbl_recyclass[ProductId],0))="Não","Não conforme em 2030","Isento até 2035")),IF(B893="EU-ENV-003",IF(INDEX(tbl_recyclass[Conforme_Art7_2030],MATCH(A893,tbl_recyclass[ProductId],0))="Sim","Conforme (meta 2030)",IF(INDEX(tbl_recyclass[Conforme_Art7_2030],MATCH(A893,tbl_recyclass[ProductId],0))="Não","Lacuna face à meta 2030","Isento")),IF(B893="EU-ENV-011",IF(INDEX(tbl_familias_ppwr[Metais_Pesados_Evidencia],MATCH(INDEX(tbl_recyclass[Familia_PPWR],MATCH(A893,tbl_recyclass[ProductId],0)),tbl_familias_ppwr[ID_Familia],0))="Em falta","Lacuna","Conforme"),IF(B893="EU-ENV-013",IF(INDEX(tbl_familias_ppwr[Declaracao_UE],MATCH(INDEX(tbl_recyclass[Familia_PPWR],MATCH(A893,tbl_recyclass[ProductId],0)),tbl_familias_ppwr[ID_Familia],0))="Sim","Conforme","Lacuna"),G893)))),G893))</f>
        <v>Não aplicável</v>
      </c>
      <c r="I893" s="33" t="str">
        <f t="shared" si="13"/>
        <v>Não aplicável</v>
      </c>
      <c r="J893" s="26"/>
    </row>
    <row r="894" spans="1:10" ht="16.05" customHeight="1" x14ac:dyDescent="0.3">
      <c r="A894" s="26" t="s">
        <v>711</v>
      </c>
      <c r="B894" s="26" t="s">
        <v>1188</v>
      </c>
      <c r="C894" s="33" t="str">
        <f>IFERROR(INDEX(tbl_requisitos_emb[Tema],MATCH(B894,tbl_requisitos_emb[ID_Req],0)),"")</f>
        <v>Plásticos em contacto com alimentos</v>
      </c>
      <c r="D894" s="33" t="str">
        <f>IFERROR(INDEX(tbl_recyclass[Segmento],MATCH(A894,tbl_recyclass[ProductId],0)),"")</f>
        <v>Cosmética e higiene pessoal</v>
      </c>
      <c r="E894" s="26" t="s">
        <v>904</v>
      </c>
      <c r="F894" s="26" t="s">
        <v>1450</v>
      </c>
      <c r="G894" s="26" t="s">
        <v>1143</v>
      </c>
      <c r="H894" s="33" t="str">
        <f>IF(E894="Não","Não aplicável",IFERROR(IF(B894="EU-ENV-002",IF(INDEX(tbl_recyclass[Conforme_PPWR_2030],MATCH(A894,tbl_recyclass[ProductId],0))="Sim","Conforme (autoavaliação)",IF(INDEX(tbl_recyclass[Conforme_PPWR_2030],MATCH(A894,tbl_recyclass[ProductId],0))="Não","Não conforme em 2030","Isento até 2035")),IF(B894="EU-ENV-003",IF(INDEX(tbl_recyclass[Conforme_Art7_2030],MATCH(A894,tbl_recyclass[ProductId],0))="Sim","Conforme (meta 2030)",IF(INDEX(tbl_recyclass[Conforme_Art7_2030],MATCH(A894,tbl_recyclass[ProductId],0))="Não","Lacuna face à meta 2030","Isento")),IF(B894="EU-ENV-011",IF(INDEX(tbl_familias_ppwr[Metais_Pesados_Evidencia],MATCH(INDEX(tbl_recyclass[Familia_PPWR],MATCH(A894,tbl_recyclass[ProductId],0)),tbl_familias_ppwr[ID_Familia],0))="Em falta","Lacuna","Conforme"),IF(B894="EU-ENV-013",IF(INDEX(tbl_familias_ppwr[Declaracao_UE],MATCH(INDEX(tbl_recyclass[Familia_PPWR],MATCH(A894,tbl_recyclass[ProductId],0)),tbl_familias_ppwr[ID_Familia],0))="Sim","Conforme","Lacuna"),G894)))),G894))</f>
        <v>Não aplicável</v>
      </c>
      <c r="I894" s="33" t="str">
        <f t="shared" si="13"/>
        <v>Não aplicável</v>
      </c>
      <c r="J894" s="26"/>
    </row>
    <row r="895" spans="1:10" ht="16.05" customHeight="1" x14ac:dyDescent="0.3">
      <c r="A895" s="26" t="s">
        <v>711</v>
      </c>
      <c r="B895" s="26" t="s">
        <v>1212</v>
      </c>
      <c r="C895" s="33" t="str">
        <f>IFERROR(INDEX(tbl_requisitos_emb[Tema],MATCH(B895,tbl_requisitos_emb[ID_Req],0)),"")</f>
        <v>Segurança do produto cosmético</v>
      </c>
      <c r="D895" s="33" t="str">
        <f>IFERROR(INDEX(tbl_recyclass[Segmento],MATCH(A895,tbl_recyclass[ProductId],0)),"")</f>
        <v>Cosmética e higiene pessoal</v>
      </c>
      <c r="E895" s="26" t="s">
        <v>901</v>
      </c>
      <c r="F895" s="26" t="s">
        <v>1449</v>
      </c>
      <c r="G895" s="26" t="s">
        <v>1033</v>
      </c>
      <c r="H895" s="33" t="str">
        <f>IF(E895="Não","Não aplicável",IFERROR(IF(B895="EU-ENV-002",IF(INDEX(tbl_recyclass[Conforme_PPWR_2030],MATCH(A895,tbl_recyclass[ProductId],0))="Sim","Conforme (autoavaliação)",IF(INDEX(tbl_recyclass[Conforme_PPWR_2030],MATCH(A895,tbl_recyclass[ProductId],0))="Não","Não conforme em 2030","Isento até 2035")),IF(B895="EU-ENV-003",IF(INDEX(tbl_recyclass[Conforme_Art7_2030],MATCH(A895,tbl_recyclass[ProductId],0))="Sim","Conforme (meta 2030)",IF(INDEX(tbl_recyclass[Conforme_Art7_2030],MATCH(A895,tbl_recyclass[ProductId],0))="Não","Lacuna face à meta 2030","Isento")),IF(B895="EU-ENV-011",IF(INDEX(tbl_familias_ppwr[Metais_Pesados_Evidencia],MATCH(INDEX(tbl_recyclass[Familia_PPWR],MATCH(A895,tbl_recyclass[ProductId],0)),tbl_familias_ppwr[ID_Familia],0))="Em falta","Lacuna","Conforme"),IF(B895="EU-ENV-013",IF(INDEX(tbl_familias_ppwr[Declaracao_UE],MATCH(INDEX(tbl_recyclass[Familia_PPWR],MATCH(A895,tbl_recyclass[ProductId],0)),tbl_familias_ppwr[ID_Familia],0))="Sim","Conforme","Lacuna"),G895)))),G895))</f>
        <v>Conforme</v>
      </c>
      <c r="I895" s="33" t="str">
        <f t="shared" si="13"/>
        <v>Conforme</v>
      </c>
      <c r="J895" s="26" t="s">
        <v>1221</v>
      </c>
    </row>
    <row r="896" spans="1:10" ht="16.05" customHeight="1" x14ac:dyDescent="0.3">
      <c r="A896" s="26" t="s">
        <v>711</v>
      </c>
      <c r="B896" s="26" t="s">
        <v>1224</v>
      </c>
      <c r="C896" s="33" t="str">
        <f>IFERROR(INDEX(tbl_requisitos_emb[Tema],MATCH(B896,tbl_requisitos_emb[ID_Req],0)),"")</f>
        <v>Materiais e impurezas</v>
      </c>
      <c r="D896" s="33" t="str">
        <f>IFERROR(INDEX(tbl_recyclass[Segmento],MATCH(A896,tbl_recyclass[ProductId],0)),"")</f>
        <v>Cosmética e higiene pessoal</v>
      </c>
      <c r="E896" s="26" t="s">
        <v>901</v>
      </c>
      <c r="F896" s="26" t="s">
        <v>1449</v>
      </c>
      <c r="G896" s="26" t="s">
        <v>978</v>
      </c>
      <c r="H896" s="33" t="str">
        <f>IF(E896="Não","Não aplicável",IFERROR(IF(B896="EU-ENV-002",IF(INDEX(tbl_recyclass[Conforme_PPWR_2030],MATCH(A896,tbl_recyclass[ProductId],0))="Sim","Conforme (autoavaliação)",IF(INDEX(tbl_recyclass[Conforme_PPWR_2030],MATCH(A896,tbl_recyclass[ProductId],0))="Não","Não conforme em 2030","Isento até 2035")),IF(B896="EU-ENV-003",IF(INDEX(tbl_recyclass[Conforme_Art7_2030],MATCH(A896,tbl_recyclass[ProductId],0))="Sim","Conforme (meta 2030)",IF(INDEX(tbl_recyclass[Conforme_Art7_2030],MATCH(A896,tbl_recyclass[ProductId],0))="Não","Lacuna face à meta 2030","Isento")),IF(B896="EU-ENV-011",IF(INDEX(tbl_familias_ppwr[Metais_Pesados_Evidencia],MATCH(INDEX(tbl_recyclass[Familia_PPWR],MATCH(A896,tbl_recyclass[ProductId],0)),tbl_familias_ppwr[ID_Familia],0))="Em falta","Lacuna","Conforme"),IF(B896="EU-ENV-013",IF(INDEX(tbl_familias_ppwr[Declaracao_UE],MATCH(INDEX(tbl_recyclass[Familia_PPWR],MATCH(A896,tbl_recyclass[ProductId],0)),tbl_familias_ppwr[ID_Familia],0))="Sim","Conforme","Lacuna"),G896)))),G896))</f>
        <v>Parcial</v>
      </c>
      <c r="I896" s="33" t="str">
        <f t="shared" si="13"/>
        <v>Parcial</v>
      </c>
      <c r="J896" s="26" t="s">
        <v>1228</v>
      </c>
    </row>
    <row r="897" spans="1:10" ht="16.05" customHeight="1" x14ac:dyDescent="0.3">
      <c r="A897" s="26" t="s">
        <v>711</v>
      </c>
      <c r="B897" s="26" t="s">
        <v>1240</v>
      </c>
      <c r="C897" s="33" t="str">
        <f>IFERROR(INDEX(tbl_requisitos_emb[Tema],MATCH(B897,tbl_requisitos_emb[ID_Req],0)),"")</f>
        <v>Compatibilidade embalagem–produto</v>
      </c>
      <c r="D897" s="33" t="str">
        <f>IFERROR(INDEX(tbl_recyclass[Segmento],MATCH(A897,tbl_recyclass[ProductId],0)),"")</f>
        <v>Cosmética e higiene pessoal</v>
      </c>
      <c r="E897" s="26" t="s">
        <v>901</v>
      </c>
      <c r="F897" s="26" t="s">
        <v>1449</v>
      </c>
      <c r="G897" s="26" t="s">
        <v>1033</v>
      </c>
      <c r="H897" s="33" t="str">
        <f>IF(E897="Não","Não aplicável",IFERROR(IF(B897="EU-ENV-002",IF(INDEX(tbl_recyclass[Conforme_PPWR_2030],MATCH(A897,tbl_recyclass[ProductId],0))="Sim","Conforme (autoavaliação)",IF(INDEX(tbl_recyclass[Conforme_PPWR_2030],MATCH(A897,tbl_recyclass[ProductId],0))="Não","Não conforme em 2030","Isento até 2035")),IF(B897="EU-ENV-003",IF(INDEX(tbl_recyclass[Conforme_Art7_2030],MATCH(A897,tbl_recyclass[ProductId],0))="Sim","Conforme (meta 2030)",IF(INDEX(tbl_recyclass[Conforme_Art7_2030],MATCH(A897,tbl_recyclass[ProductId],0))="Não","Lacuna face à meta 2030","Isento")),IF(B897="EU-ENV-011",IF(INDEX(tbl_familias_ppwr[Metais_Pesados_Evidencia],MATCH(INDEX(tbl_recyclass[Familia_PPWR],MATCH(A897,tbl_recyclass[ProductId],0)),tbl_familias_ppwr[ID_Familia],0))="Em falta","Lacuna","Conforme"),IF(B897="EU-ENV-013",IF(INDEX(tbl_familias_ppwr[Declaracao_UE],MATCH(INDEX(tbl_recyclass[Familia_PPWR],MATCH(A897,tbl_recyclass[ProductId],0)),tbl_familias_ppwr[ID_Familia],0))="Sim","Conforme","Lacuna"),G897)))),G897))</f>
        <v>Conforme</v>
      </c>
      <c r="I897" s="33" t="str">
        <f t="shared" si="13"/>
        <v>Conforme</v>
      </c>
      <c r="J897" s="26" t="s">
        <v>1244</v>
      </c>
    </row>
    <row r="898" spans="1:10" ht="16.05" customHeight="1" x14ac:dyDescent="0.3">
      <c r="A898" s="26" t="s">
        <v>711</v>
      </c>
      <c r="B898" s="26" t="s">
        <v>1252</v>
      </c>
      <c r="C898" s="33" t="str">
        <f>IFERROR(INDEX(tbl_requisitos_emb[Tema],MATCH(B898,tbl_requisitos_emb[ID_Req],0)),"")</f>
        <v>Medicamentos de uso humano</v>
      </c>
      <c r="D898" s="33" t="str">
        <f>IFERROR(INDEX(tbl_recyclass[Segmento],MATCH(A898,tbl_recyclass[ProductId],0)),"")</f>
        <v>Cosmética e higiene pessoal</v>
      </c>
      <c r="E898" s="26" t="s">
        <v>904</v>
      </c>
      <c r="F898" s="26" t="s">
        <v>1451</v>
      </c>
      <c r="G898" s="26" t="s">
        <v>1143</v>
      </c>
      <c r="H898" s="33" t="str">
        <f>IF(E898="Não","Não aplicável",IFERROR(IF(B898="EU-ENV-002",IF(INDEX(tbl_recyclass[Conforme_PPWR_2030],MATCH(A898,tbl_recyclass[ProductId],0))="Sim","Conforme (autoavaliação)",IF(INDEX(tbl_recyclass[Conforme_PPWR_2030],MATCH(A898,tbl_recyclass[ProductId],0))="Não","Não conforme em 2030","Isento até 2035")),IF(B898="EU-ENV-003",IF(INDEX(tbl_recyclass[Conforme_Art7_2030],MATCH(A898,tbl_recyclass[ProductId],0))="Sim","Conforme (meta 2030)",IF(INDEX(tbl_recyclass[Conforme_Art7_2030],MATCH(A898,tbl_recyclass[ProductId],0))="Não","Lacuna face à meta 2030","Isento")),IF(B898="EU-ENV-011",IF(INDEX(tbl_familias_ppwr[Metais_Pesados_Evidencia],MATCH(INDEX(tbl_recyclass[Familia_PPWR],MATCH(A898,tbl_recyclass[ProductId],0)),tbl_familias_ppwr[ID_Familia],0))="Em falta","Lacuna","Conforme"),IF(B898="EU-ENV-013",IF(INDEX(tbl_familias_ppwr[Declaracao_UE],MATCH(INDEX(tbl_recyclass[Familia_PPWR],MATCH(A898,tbl_recyclass[ProductId],0)),tbl_familias_ppwr[ID_Familia],0))="Sim","Conforme","Lacuna"),G898)))),G898))</f>
        <v>Não aplicável</v>
      </c>
      <c r="I898" s="33" t="str">
        <f t="shared" ref="I898:I961" si="14">IF(ISNUMBER(SEARCH("Não aplicável",H898)),"Não aplicável",IF(ISNUMBER(SEARCH("Isento",H898)),"Isento",IF(ISNUMBER(SEARCH("Não conforme",H898)),"Não conforme",IF(ISNUMBER(SEARCH("Lacuna",H898)),"Lacuna",IF(ISNUMBER(SEARCH("Conforme",H898)),"Conforme",H898)))))</f>
        <v>Não aplicável</v>
      </c>
      <c r="J898" s="26"/>
    </row>
    <row r="899" spans="1:10" ht="16.05" customHeight="1" x14ac:dyDescent="0.3">
      <c r="A899" s="26" t="s">
        <v>711</v>
      </c>
      <c r="B899" s="26" t="s">
        <v>1268</v>
      </c>
      <c r="C899" s="33" t="str">
        <f>IFERROR(INDEX(tbl_requisitos_emb[Tema],MATCH(B899,tbl_requisitos_emb[ID_Req],0)),"")</f>
        <v>Dispositivos de segurança</v>
      </c>
      <c r="D899" s="33" t="str">
        <f>IFERROR(INDEX(tbl_recyclass[Segmento],MATCH(A899,tbl_recyclass[ProductId],0)),"")</f>
        <v>Cosmética e higiene pessoal</v>
      </c>
      <c r="E899" s="26" t="s">
        <v>904</v>
      </c>
      <c r="F899" s="26" t="s">
        <v>1451</v>
      </c>
      <c r="G899" s="26" t="s">
        <v>1143</v>
      </c>
      <c r="H899" s="33" t="str">
        <f>IF(E899="Não","Não aplicável",IFERROR(IF(B899="EU-ENV-002",IF(INDEX(tbl_recyclass[Conforme_PPWR_2030],MATCH(A899,tbl_recyclass[ProductId],0))="Sim","Conforme (autoavaliação)",IF(INDEX(tbl_recyclass[Conforme_PPWR_2030],MATCH(A899,tbl_recyclass[ProductId],0))="Não","Não conforme em 2030","Isento até 2035")),IF(B899="EU-ENV-003",IF(INDEX(tbl_recyclass[Conforme_Art7_2030],MATCH(A899,tbl_recyclass[ProductId],0))="Sim","Conforme (meta 2030)",IF(INDEX(tbl_recyclass[Conforme_Art7_2030],MATCH(A899,tbl_recyclass[ProductId],0))="Não","Lacuna face à meta 2030","Isento")),IF(B899="EU-ENV-011",IF(INDEX(tbl_familias_ppwr[Metais_Pesados_Evidencia],MATCH(INDEX(tbl_recyclass[Familia_PPWR],MATCH(A899,tbl_recyclass[ProductId],0)),tbl_familias_ppwr[ID_Familia],0))="Em falta","Lacuna","Conforme"),IF(B899="EU-ENV-013",IF(INDEX(tbl_familias_ppwr[Declaracao_UE],MATCH(INDEX(tbl_recyclass[Familia_PPWR],MATCH(A899,tbl_recyclass[ProductId],0)),tbl_familias_ppwr[ID_Familia],0))="Sim","Conforme","Lacuna"),G899)))),G899))</f>
        <v>Não aplicável</v>
      </c>
      <c r="I899" s="33" t="str">
        <f t="shared" si="14"/>
        <v>Não aplicável</v>
      </c>
      <c r="J899" s="26"/>
    </row>
    <row r="900" spans="1:10" ht="16.05" customHeight="1" x14ac:dyDescent="0.3">
      <c r="A900" s="26" t="s">
        <v>711</v>
      </c>
      <c r="B900" s="26" t="s">
        <v>1285</v>
      </c>
      <c r="C900" s="33" t="str">
        <f>IFERROR(INDEX(tbl_requisitos_emb[Tema],MATCH(B900,tbl_requisitos_emb[ID_Req],0)),"")</f>
        <v>Materiais plásticos de acondicionamento primário</v>
      </c>
      <c r="D900" s="33" t="str">
        <f>IFERROR(INDEX(tbl_recyclass[Segmento],MATCH(A900,tbl_recyclass[ProductId],0)),"")</f>
        <v>Cosmética e higiene pessoal</v>
      </c>
      <c r="E900" s="26" t="s">
        <v>904</v>
      </c>
      <c r="F900" s="26" t="s">
        <v>1451</v>
      </c>
      <c r="G900" s="26" t="s">
        <v>1143</v>
      </c>
      <c r="H900" s="33" t="str">
        <f>IF(E900="Não","Não aplicável",IFERROR(IF(B900="EU-ENV-002",IF(INDEX(tbl_recyclass[Conforme_PPWR_2030],MATCH(A900,tbl_recyclass[ProductId],0))="Sim","Conforme (autoavaliação)",IF(INDEX(tbl_recyclass[Conforme_PPWR_2030],MATCH(A900,tbl_recyclass[ProductId],0))="Não","Não conforme em 2030","Isento até 2035")),IF(B900="EU-ENV-003",IF(INDEX(tbl_recyclass[Conforme_Art7_2030],MATCH(A900,tbl_recyclass[ProductId],0))="Sim","Conforme (meta 2030)",IF(INDEX(tbl_recyclass[Conforme_Art7_2030],MATCH(A900,tbl_recyclass[ProductId],0))="Não","Lacuna face à meta 2030","Isento")),IF(B900="EU-ENV-011",IF(INDEX(tbl_familias_ppwr[Metais_Pesados_Evidencia],MATCH(INDEX(tbl_recyclass[Familia_PPWR],MATCH(A900,tbl_recyclass[ProductId],0)),tbl_familias_ppwr[ID_Familia],0))="Em falta","Lacuna","Conforme"),IF(B900="EU-ENV-013",IF(INDEX(tbl_familias_ppwr[Declaracao_UE],MATCH(INDEX(tbl_recyclass[Familia_PPWR],MATCH(A900,tbl_recyclass[ProductId],0)),tbl_familias_ppwr[ID_Familia],0))="Sim","Conforme","Lacuna"),G900)))),G900))</f>
        <v>Não aplicável</v>
      </c>
      <c r="I900" s="33" t="str">
        <f t="shared" si="14"/>
        <v>Não aplicável</v>
      </c>
      <c r="J900" s="26"/>
    </row>
    <row r="901" spans="1:10" ht="16.05" customHeight="1" x14ac:dyDescent="0.3">
      <c r="A901" s="26" t="s">
        <v>711</v>
      </c>
      <c r="B901" s="26" t="s">
        <v>1293</v>
      </c>
      <c r="C901" s="33" t="str">
        <f>IFERROR(INDEX(tbl_requisitos_emb[Tema],MATCH(B901,tbl_requisitos_emb[ID_Req],0)),"")</f>
        <v>Isenções PPWR</v>
      </c>
      <c r="D901" s="33" t="str">
        <f>IFERROR(INDEX(tbl_recyclass[Segmento],MATCH(A901,tbl_recyclass[ProductId],0)),"")</f>
        <v>Cosmética e higiene pessoal</v>
      </c>
      <c r="E901" s="26" t="s">
        <v>904</v>
      </c>
      <c r="F901" s="26" t="s">
        <v>1451</v>
      </c>
      <c r="G901" s="26" t="s">
        <v>1143</v>
      </c>
      <c r="H901" s="33" t="str">
        <f>IF(E901="Não","Não aplicável",IFERROR(IF(B901="EU-ENV-002",IF(INDEX(tbl_recyclass[Conforme_PPWR_2030],MATCH(A901,tbl_recyclass[ProductId],0))="Sim","Conforme (autoavaliação)",IF(INDEX(tbl_recyclass[Conforme_PPWR_2030],MATCH(A901,tbl_recyclass[ProductId],0))="Não","Não conforme em 2030","Isento até 2035")),IF(B901="EU-ENV-003",IF(INDEX(tbl_recyclass[Conforme_Art7_2030],MATCH(A901,tbl_recyclass[ProductId],0))="Sim","Conforme (meta 2030)",IF(INDEX(tbl_recyclass[Conforme_Art7_2030],MATCH(A901,tbl_recyclass[ProductId],0))="Não","Lacuna face à meta 2030","Isento")),IF(B901="EU-ENV-011",IF(INDEX(tbl_familias_ppwr[Metais_Pesados_Evidencia],MATCH(INDEX(tbl_recyclass[Familia_PPWR],MATCH(A901,tbl_recyclass[ProductId],0)),tbl_familias_ppwr[ID_Familia],0))="Em falta","Lacuna","Conforme"),IF(B901="EU-ENV-013",IF(INDEX(tbl_familias_ppwr[Declaracao_UE],MATCH(INDEX(tbl_recyclass[Familia_PPWR],MATCH(A901,tbl_recyclass[ProductId],0)),tbl_familias_ppwr[ID_Familia],0))="Sim","Conforme","Lacuna"),G901)))),G901))</f>
        <v>Não aplicável</v>
      </c>
      <c r="I901" s="33" t="str">
        <f t="shared" si="14"/>
        <v>Não aplicável</v>
      </c>
      <c r="J901" s="26"/>
    </row>
    <row r="902" spans="1:10" ht="16.05" customHeight="1" x14ac:dyDescent="0.3">
      <c r="A902" s="26" t="s">
        <v>711</v>
      </c>
      <c r="B902" s="26" t="s">
        <v>1357</v>
      </c>
      <c r="C902" s="33" t="str">
        <f>IFERROR(INDEX(tbl_requisitos_emb[Tema],MATCH(B902,tbl_requisitos_emb[ID_Req],0)),"")</f>
        <v>Identificação de plásticos</v>
      </c>
      <c r="D902" s="33" t="str">
        <f>IFERROR(INDEX(tbl_recyclass[Segmento],MATCH(A902,tbl_recyclass[ProductId],0)),"")</f>
        <v>Cosmética e higiene pessoal</v>
      </c>
      <c r="E902" s="26" t="s">
        <v>901</v>
      </c>
      <c r="F902" s="26" t="s">
        <v>1449</v>
      </c>
      <c r="G902" s="26" t="s">
        <v>978</v>
      </c>
      <c r="H902" s="33" t="str">
        <f>IF(E902="Não","Não aplicável",IFERROR(IF(B902="EU-ENV-002",IF(INDEX(tbl_recyclass[Conforme_PPWR_2030],MATCH(A902,tbl_recyclass[ProductId],0))="Sim","Conforme (autoavaliação)",IF(INDEX(tbl_recyclass[Conforme_PPWR_2030],MATCH(A902,tbl_recyclass[ProductId],0))="Não","Não conforme em 2030","Isento até 2035")),IF(B902="EU-ENV-003",IF(INDEX(tbl_recyclass[Conforme_Art7_2030],MATCH(A902,tbl_recyclass[ProductId],0))="Sim","Conforme (meta 2030)",IF(INDEX(tbl_recyclass[Conforme_Art7_2030],MATCH(A902,tbl_recyclass[ProductId],0))="Não","Lacuna face à meta 2030","Isento")),IF(B902="EU-ENV-011",IF(INDEX(tbl_familias_ppwr[Metais_Pesados_Evidencia],MATCH(INDEX(tbl_recyclass[Familia_PPWR],MATCH(A902,tbl_recyclass[ProductId],0)),tbl_familias_ppwr[ID_Familia],0))="Em falta","Lacuna","Conforme"),IF(B902="EU-ENV-013",IF(INDEX(tbl_familias_ppwr[Declaracao_UE],MATCH(INDEX(tbl_recyclass[Familia_PPWR],MATCH(A902,tbl_recyclass[ProductId],0)),tbl_familias_ppwr[ID_Familia],0))="Sim","Conforme","Lacuna"),G902)))),G902))</f>
        <v>Parcial</v>
      </c>
      <c r="I902" s="33" t="str">
        <f t="shared" si="14"/>
        <v>Parcial</v>
      </c>
      <c r="J902" s="26" t="s">
        <v>1362</v>
      </c>
    </row>
    <row r="903" spans="1:10" ht="16.05" customHeight="1" x14ac:dyDescent="0.3">
      <c r="A903" s="26" t="s">
        <v>711</v>
      </c>
      <c r="B903" s="26" t="s">
        <v>1385</v>
      </c>
      <c r="C903" s="33" t="str">
        <f>IFERROR(INDEX(tbl_requisitos_emb[Tema],MATCH(B903,tbl_requisitos_emb[ID_Req],0)),"")</f>
        <v>Reciclabilidade (voluntária)</v>
      </c>
      <c r="D903" s="33" t="str">
        <f>IFERROR(INDEX(tbl_recyclass[Segmento],MATCH(A903,tbl_recyclass[ProductId],0)),"")</f>
        <v>Cosmética e higiene pessoal</v>
      </c>
      <c r="E903" s="26" t="s">
        <v>901</v>
      </c>
      <c r="F903" s="26" t="s">
        <v>1449</v>
      </c>
      <c r="G903" s="26" t="s">
        <v>978</v>
      </c>
      <c r="H903" s="33" t="str">
        <f>IF(E903="Não","Não aplicável",IFERROR(IF(B903="EU-ENV-002",IF(INDEX(tbl_recyclass[Conforme_PPWR_2030],MATCH(A903,tbl_recyclass[ProductId],0))="Sim","Conforme (autoavaliação)",IF(INDEX(tbl_recyclass[Conforme_PPWR_2030],MATCH(A903,tbl_recyclass[ProductId],0))="Não","Não conforme em 2030","Isento até 2035")),IF(B903="EU-ENV-003",IF(INDEX(tbl_recyclass[Conforme_Art7_2030],MATCH(A903,tbl_recyclass[ProductId],0))="Sim","Conforme (meta 2030)",IF(INDEX(tbl_recyclass[Conforme_Art7_2030],MATCH(A903,tbl_recyclass[ProductId],0))="Não","Lacuna face à meta 2030","Isento")),IF(B903="EU-ENV-011",IF(INDEX(tbl_familias_ppwr[Metais_Pesados_Evidencia],MATCH(INDEX(tbl_recyclass[Familia_PPWR],MATCH(A903,tbl_recyclass[ProductId],0)),tbl_familias_ppwr[ID_Familia],0))="Em falta","Lacuna","Conforme"),IF(B903="EU-ENV-013",IF(INDEX(tbl_familias_ppwr[Declaracao_UE],MATCH(INDEX(tbl_recyclass[Familia_PPWR],MATCH(A903,tbl_recyclass[ProductId],0)),tbl_familias_ppwr[ID_Familia],0))="Sim","Conforme","Lacuna"),G903)))),G903))</f>
        <v>Parcial</v>
      </c>
      <c r="I903" s="33" t="str">
        <f t="shared" si="14"/>
        <v>Parcial</v>
      </c>
      <c r="J903" s="26" t="s">
        <v>1389</v>
      </c>
    </row>
    <row r="904" spans="1:10" ht="16.05" customHeight="1" x14ac:dyDescent="0.3">
      <c r="A904" s="26" t="s">
        <v>713</v>
      </c>
      <c r="B904" s="26" t="s">
        <v>984</v>
      </c>
      <c r="C904" s="33" t="str">
        <f>IFERROR(INDEX(tbl_requisitos_emb[Tema],MATCH(B904,tbl_requisitos_emb[ID_Req],0)),"")</f>
        <v>Conceção para reciclagem</v>
      </c>
      <c r="D904" s="33" t="str">
        <f>IFERROR(INDEX(tbl_recyclass[Segmento],MATCH(A904,tbl_recyclass[ProductId],0)),"")</f>
        <v>Cosmética e higiene pessoal</v>
      </c>
      <c r="E904" s="26" t="s">
        <v>901</v>
      </c>
      <c r="F904" s="26" t="s">
        <v>1449</v>
      </c>
      <c r="G904" s="26" t="s">
        <v>978</v>
      </c>
      <c r="H904" s="33" t="str">
        <f>IF(E904="Não","Não aplicável",IFERROR(IF(B904="EU-ENV-002",IF(INDEX(tbl_recyclass[Conforme_PPWR_2030],MATCH(A904,tbl_recyclass[ProductId],0))="Sim","Conforme (autoavaliação)",IF(INDEX(tbl_recyclass[Conforme_PPWR_2030],MATCH(A904,tbl_recyclass[ProductId],0))="Não","Não conforme em 2030","Isento até 2035")),IF(B904="EU-ENV-003",IF(INDEX(tbl_recyclass[Conforme_Art7_2030],MATCH(A904,tbl_recyclass[ProductId],0))="Sim","Conforme (meta 2030)",IF(INDEX(tbl_recyclass[Conforme_Art7_2030],MATCH(A904,tbl_recyclass[ProductId],0))="Não","Lacuna face à meta 2030","Isento")),IF(B904="EU-ENV-011",IF(INDEX(tbl_familias_ppwr[Metais_Pesados_Evidencia],MATCH(INDEX(tbl_recyclass[Familia_PPWR],MATCH(A904,tbl_recyclass[ProductId],0)),tbl_familias_ppwr[ID_Familia],0))="Em falta","Lacuna","Conforme"),IF(B904="EU-ENV-013",IF(INDEX(tbl_familias_ppwr[Declaracao_UE],MATCH(INDEX(tbl_recyclass[Familia_PPWR],MATCH(A904,tbl_recyclass[ProductId],0)),tbl_familias_ppwr[ID_Familia],0))="Sim","Conforme","Lacuna"),G904)))),G904))</f>
        <v>Conforme (autoavaliação)</v>
      </c>
      <c r="I904" s="33" t="str">
        <f t="shared" si="14"/>
        <v>Conforme</v>
      </c>
      <c r="J904" s="26" t="s">
        <v>991</v>
      </c>
    </row>
    <row r="905" spans="1:10" ht="16.05" customHeight="1" x14ac:dyDescent="0.3">
      <c r="A905" s="26" t="s">
        <v>713</v>
      </c>
      <c r="B905" s="26" t="s">
        <v>997</v>
      </c>
      <c r="C905" s="33" t="str">
        <f>IFERROR(INDEX(tbl_requisitos_emb[Tema],MATCH(B905,tbl_requisitos_emb[ID_Req],0)),"")</f>
        <v>Conteúdo reciclado</v>
      </c>
      <c r="D905" s="33" t="str">
        <f>IFERROR(INDEX(tbl_recyclass[Segmento],MATCH(A905,tbl_recyclass[ProductId],0)),"")</f>
        <v>Cosmética e higiene pessoal</v>
      </c>
      <c r="E905" s="26" t="s">
        <v>901</v>
      </c>
      <c r="F905" s="26" t="s">
        <v>1449</v>
      </c>
      <c r="G905" s="26" t="s">
        <v>978</v>
      </c>
      <c r="H905" s="33" t="str">
        <f>IF(E905="Não","Não aplicável",IFERROR(IF(B905="EU-ENV-002",IF(INDEX(tbl_recyclass[Conforme_PPWR_2030],MATCH(A905,tbl_recyclass[ProductId],0))="Sim","Conforme (autoavaliação)",IF(INDEX(tbl_recyclass[Conforme_PPWR_2030],MATCH(A905,tbl_recyclass[ProductId],0))="Não","Não conforme em 2030","Isento até 2035")),IF(B905="EU-ENV-003",IF(INDEX(tbl_recyclass[Conforme_Art7_2030],MATCH(A905,tbl_recyclass[ProductId],0))="Sim","Conforme (meta 2030)",IF(INDEX(tbl_recyclass[Conforme_Art7_2030],MATCH(A905,tbl_recyclass[ProductId],0))="Não","Lacuna face à meta 2030","Isento")),IF(B905="EU-ENV-011",IF(INDEX(tbl_familias_ppwr[Metais_Pesados_Evidencia],MATCH(INDEX(tbl_recyclass[Familia_PPWR],MATCH(A905,tbl_recyclass[ProductId],0)),tbl_familias_ppwr[ID_Familia],0))="Em falta","Lacuna","Conforme"),IF(B905="EU-ENV-013",IF(INDEX(tbl_familias_ppwr[Declaracao_UE],MATCH(INDEX(tbl_recyclass[Familia_PPWR],MATCH(A905,tbl_recyclass[ProductId],0)),tbl_familias_ppwr[ID_Familia],0))="Sim","Conforme","Lacuna"),G905)))),G905))</f>
        <v>Lacuna face à meta 2030</v>
      </c>
      <c r="I905" s="33" t="str">
        <f t="shared" si="14"/>
        <v>Lacuna</v>
      </c>
      <c r="J905" s="26" t="s">
        <v>1001</v>
      </c>
    </row>
    <row r="906" spans="1:10" ht="16.05" customHeight="1" x14ac:dyDescent="0.3">
      <c r="A906" s="26" t="s">
        <v>713</v>
      </c>
      <c r="B906" s="26" t="s">
        <v>1007</v>
      </c>
      <c r="C906" s="33" t="str">
        <f>IFERROR(INDEX(tbl_requisitos_emb[Tema],MATCH(B906,tbl_requisitos_emb[ID_Req],0)),"")</f>
        <v>Minimização</v>
      </c>
      <c r="D906" s="33" t="str">
        <f>IFERROR(INDEX(tbl_recyclass[Segmento],MATCH(A906,tbl_recyclass[ProductId],0)),"")</f>
        <v>Cosmética e higiene pessoal</v>
      </c>
      <c r="E906" s="26" t="s">
        <v>901</v>
      </c>
      <c r="F906" s="26" t="s">
        <v>1449</v>
      </c>
      <c r="G906" s="26" t="s">
        <v>978</v>
      </c>
      <c r="H906" s="33" t="str">
        <f>IF(E906="Não","Não aplicável",IFERROR(IF(B906="EU-ENV-002",IF(INDEX(tbl_recyclass[Conforme_PPWR_2030],MATCH(A906,tbl_recyclass[ProductId],0))="Sim","Conforme (autoavaliação)",IF(INDEX(tbl_recyclass[Conforme_PPWR_2030],MATCH(A906,tbl_recyclass[ProductId],0))="Não","Não conforme em 2030","Isento até 2035")),IF(B906="EU-ENV-003",IF(INDEX(tbl_recyclass[Conforme_Art7_2030],MATCH(A906,tbl_recyclass[ProductId],0))="Sim","Conforme (meta 2030)",IF(INDEX(tbl_recyclass[Conforme_Art7_2030],MATCH(A906,tbl_recyclass[ProductId],0))="Não","Lacuna face à meta 2030","Isento")),IF(B906="EU-ENV-011",IF(INDEX(tbl_familias_ppwr[Metais_Pesados_Evidencia],MATCH(INDEX(tbl_recyclass[Familia_PPWR],MATCH(A906,tbl_recyclass[ProductId],0)),tbl_familias_ppwr[ID_Familia],0))="Em falta","Lacuna","Conforme"),IF(B906="EU-ENV-013",IF(INDEX(tbl_familias_ppwr[Declaracao_UE],MATCH(INDEX(tbl_recyclass[Familia_PPWR],MATCH(A906,tbl_recyclass[ProductId],0)),tbl_familias_ppwr[ID_Familia],0))="Sim","Conforme","Lacuna"),G906)))),G906))</f>
        <v>Parcial</v>
      </c>
      <c r="I906" s="33" t="str">
        <f t="shared" si="14"/>
        <v>Parcial</v>
      </c>
      <c r="J906" s="26" t="s">
        <v>1012</v>
      </c>
    </row>
    <row r="907" spans="1:10" ht="16.05" customHeight="1" x14ac:dyDescent="0.3">
      <c r="A907" s="26" t="s">
        <v>713</v>
      </c>
      <c r="B907" s="26" t="s">
        <v>1016</v>
      </c>
      <c r="C907" s="33" t="str">
        <f>IFERROR(INDEX(tbl_requisitos_emb[Tema],MATCH(B907,tbl_requisitos_emb[ID_Req],0)),"")</f>
        <v>Rotulagem</v>
      </c>
      <c r="D907" s="33" t="str">
        <f>IFERROR(INDEX(tbl_recyclass[Segmento],MATCH(A907,tbl_recyclass[ProductId],0)),"")</f>
        <v>Cosmética e higiene pessoal</v>
      </c>
      <c r="E907" s="26" t="s">
        <v>901</v>
      </c>
      <c r="F907" s="26" t="s">
        <v>1449</v>
      </c>
      <c r="G907" s="26" t="s">
        <v>990</v>
      </c>
      <c r="H907" s="33" t="str">
        <f>IF(E907="Não","Não aplicável",IFERROR(IF(B907="EU-ENV-002",IF(INDEX(tbl_recyclass[Conforme_PPWR_2030],MATCH(A907,tbl_recyclass[ProductId],0))="Sim","Conforme (autoavaliação)",IF(INDEX(tbl_recyclass[Conforme_PPWR_2030],MATCH(A907,tbl_recyclass[ProductId],0))="Não","Não conforme em 2030","Isento até 2035")),IF(B907="EU-ENV-003",IF(INDEX(tbl_recyclass[Conforme_Art7_2030],MATCH(A907,tbl_recyclass[ProductId],0))="Sim","Conforme (meta 2030)",IF(INDEX(tbl_recyclass[Conforme_Art7_2030],MATCH(A907,tbl_recyclass[ProductId],0))="Não","Lacuna face à meta 2030","Isento")),IF(B907="EU-ENV-011",IF(INDEX(tbl_familias_ppwr[Metais_Pesados_Evidencia],MATCH(INDEX(tbl_recyclass[Familia_PPWR],MATCH(A907,tbl_recyclass[ProductId],0)),tbl_familias_ppwr[ID_Familia],0))="Em falta","Lacuna","Conforme"),IF(B907="EU-ENV-013",IF(INDEX(tbl_familias_ppwr[Declaracao_UE],MATCH(INDEX(tbl_recyclass[Familia_PPWR],MATCH(A907,tbl_recyclass[ProductId],0)),tbl_familias_ppwr[ID_Familia],0))="Sim","Conforme","Lacuna"),G907)))),G907))</f>
        <v>Futuro</v>
      </c>
      <c r="I907" s="33" t="str">
        <f t="shared" si="14"/>
        <v>Futuro</v>
      </c>
      <c r="J907" s="26" t="s">
        <v>1021</v>
      </c>
    </row>
    <row r="908" spans="1:10" ht="16.05" customHeight="1" x14ac:dyDescent="0.3">
      <c r="A908" s="26" t="s">
        <v>713</v>
      </c>
      <c r="B908" s="26" t="s">
        <v>1038</v>
      </c>
      <c r="C908" s="33" t="str">
        <f>IFERROR(INDEX(tbl_requisitos_emb[Tema],MATCH(B908,tbl_requisitos_emb[ID_Req],0)),"")</f>
        <v>Plásticos de utilização única</v>
      </c>
      <c r="D908" s="33" t="str">
        <f>IFERROR(INDEX(tbl_recyclass[Segmento],MATCH(A908,tbl_recyclass[ProductId],0)),"")</f>
        <v>Cosmética e higiene pessoal</v>
      </c>
      <c r="E908" s="26" t="s">
        <v>904</v>
      </c>
      <c r="F908" s="26" t="s">
        <v>1450</v>
      </c>
      <c r="G908" s="26" t="s">
        <v>1143</v>
      </c>
      <c r="H908" s="33" t="str">
        <f>IF(E908="Não","Não aplicável",IFERROR(IF(B908="EU-ENV-002",IF(INDEX(tbl_recyclass[Conforme_PPWR_2030],MATCH(A908,tbl_recyclass[ProductId],0))="Sim","Conforme (autoavaliação)",IF(INDEX(tbl_recyclass[Conforme_PPWR_2030],MATCH(A908,tbl_recyclass[ProductId],0))="Não","Não conforme em 2030","Isento até 2035")),IF(B908="EU-ENV-003",IF(INDEX(tbl_recyclass[Conforme_Art7_2030],MATCH(A908,tbl_recyclass[ProductId],0))="Sim","Conforme (meta 2030)",IF(INDEX(tbl_recyclass[Conforme_Art7_2030],MATCH(A908,tbl_recyclass[ProductId],0))="Não","Lacuna face à meta 2030","Isento")),IF(B908="EU-ENV-011",IF(INDEX(tbl_familias_ppwr[Metais_Pesados_Evidencia],MATCH(INDEX(tbl_recyclass[Familia_PPWR],MATCH(A908,tbl_recyclass[ProductId],0)),tbl_familias_ppwr[ID_Familia],0))="Em falta","Lacuna","Conforme"),IF(B908="EU-ENV-013",IF(INDEX(tbl_familias_ppwr[Declaracao_UE],MATCH(INDEX(tbl_recyclass[Familia_PPWR],MATCH(A908,tbl_recyclass[ProductId],0)),tbl_familias_ppwr[ID_Familia],0))="Sim","Conforme","Lacuna"),G908)))),G908))</f>
        <v>Não aplicável</v>
      </c>
      <c r="I908" s="33" t="str">
        <f t="shared" si="14"/>
        <v>Não aplicável</v>
      </c>
      <c r="J908" s="26"/>
    </row>
    <row r="909" spans="1:10" ht="16.05" customHeight="1" x14ac:dyDescent="0.3">
      <c r="A909" s="26" t="s">
        <v>713</v>
      </c>
      <c r="B909" s="26" t="s">
        <v>1078</v>
      </c>
      <c r="C909" s="33" t="str">
        <f>IFERROR(INDEX(tbl_requisitos_emb[Tema],MATCH(B909,tbl_requisitos_emb[ID_Req],0)),"")</f>
        <v>Reciclado à escala</v>
      </c>
      <c r="D909" s="33" t="str">
        <f>IFERROR(INDEX(tbl_recyclass[Segmento],MATCH(A909,tbl_recyclass[ProductId],0)),"")</f>
        <v>Cosmética e higiene pessoal</v>
      </c>
      <c r="E909" s="26" t="s">
        <v>901</v>
      </c>
      <c r="F909" s="26" t="s">
        <v>1449</v>
      </c>
      <c r="G909" s="26" t="s">
        <v>990</v>
      </c>
      <c r="H909" s="33" t="str">
        <f>IF(E909="Não","Não aplicável",IFERROR(IF(B909="EU-ENV-002",IF(INDEX(tbl_recyclass[Conforme_PPWR_2030],MATCH(A909,tbl_recyclass[ProductId],0))="Sim","Conforme (autoavaliação)",IF(INDEX(tbl_recyclass[Conforme_PPWR_2030],MATCH(A909,tbl_recyclass[ProductId],0))="Não","Não conforme em 2030","Isento até 2035")),IF(B909="EU-ENV-003",IF(INDEX(tbl_recyclass[Conforme_Art7_2030],MATCH(A909,tbl_recyclass[ProductId],0))="Sim","Conforme (meta 2030)",IF(INDEX(tbl_recyclass[Conforme_Art7_2030],MATCH(A909,tbl_recyclass[ProductId],0))="Não","Lacuna face à meta 2030","Isento")),IF(B909="EU-ENV-011",IF(INDEX(tbl_familias_ppwr[Metais_Pesados_Evidencia],MATCH(INDEX(tbl_recyclass[Familia_PPWR],MATCH(A909,tbl_recyclass[ProductId],0)),tbl_familias_ppwr[ID_Familia],0))="Em falta","Lacuna","Conforme"),IF(B909="EU-ENV-013",IF(INDEX(tbl_familias_ppwr[Declaracao_UE],MATCH(INDEX(tbl_recyclass[Familia_PPWR],MATCH(A909,tbl_recyclass[ProductId],0)),tbl_familias_ppwr[ID_Familia],0))="Sim","Conforme","Lacuna"),G909)))),G909))</f>
        <v>Futuro</v>
      </c>
      <c r="I909" s="33" t="str">
        <f t="shared" si="14"/>
        <v>Futuro</v>
      </c>
      <c r="J909" s="26" t="s">
        <v>1082</v>
      </c>
    </row>
    <row r="910" spans="1:10" ht="16.05" customHeight="1" x14ac:dyDescent="0.3">
      <c r="A910" s="26" t="s">
        <v>713</v>
      </c>
      <c r="B910" s="26" t="s">
        <v>1086</v>
      </c>
      <c r="C910" s="33" t="str">
        <f>IFERROR(INDEX(tbl_requisitos_emb[Tema],MATCH(B910,tbl_requisitos_emb[ID_Req],0)),"")</f>
        <v>Metais pesados</v>
      </c>
      <c r="D910" s="33" t="str">
        <f>IFERROR(INDEX(tbl_recyclass[Segmento],MATCH(A910,tbl_recyclass[ProductId],0)),"")</f>
        <v>Cosmética e higiene pessoal</v>
      </c>
      <c r="E910" s="26" t="s">
        <v>901</v>
      </c>
      <c r="F910" s="26" t="s">
        <v>1449</v>
      </c>
      <c r="G910" s="26" t="s">
        <v>978</v>
      </c>
      <c r="H910" s="33" t="str">
        <f>IF(E910="Não","Não aplicável",IFERROR(IF(B910="EU-ENV-002",IF(INDEX(tbl_recyclass[Conforme_PPWR_2030],MATCH(A910,tbl_recyclass[ProductId],0))="Sim","Conforme (autoavaliação)",IF(INDEX(tbl_recyclass[Conforme_PPWR_2030],MATCH(A910,tbl_recyclass[ProductId],0))="Não","Não conforme em 2030","Isento até 2035")),IF(B910="EU-ENV-003",IF(INDEX(tbl_recyclass[Conforme_Art7_2030],MATCH(A910,tbl_recyclass[ProductId],0))="Sim","Conforme (meta 2030)",IF(INDEX(tbl_recyclass[Conforme_Art7_2030],MATCH(A910,tbl_recyclass[ProductId],0))="Não","Lacuna face à meta 2030","Isento")),IF(B910="EU-ENV-011",IF(INDEX(tbl_familias_ppwr[Metais_Pesados_Evidencia],MATCH(INDEX(tbl_recyclass[Familia_PPWR],MATCH(A910,tbl_recyclass[ProductId],0)),tbl_familias_ppwr[ID_Familia],0))="Em falta","Lacuna","Conforme"),IF(B910="EU-ENV-013",IF(INDEX(tbl_familias_ppwr[Declaracao_UE],MATCH(INDEX(tbl_recyclass[Familia_PPWR],MATCH(A910,tbl_recyclass[ProductId],0)),tbl_familias_ppwr[ID_Familia],0))="Sim","Conforme","Lacuna"),G910)))),G910))</f>
        <v>Conforme</v>
      </c>
      <c r="I910" s="33" t="str">
        <f t="shared" si="14"/>
        <v>Conforme</v>
      </c>
      <c r="J910" s="26" t="s">
        <v>1090</v>
      </c>
    </row>
    <row r="911" spans="1:10" ht="16.05" customHeight="1" x14ac:dyDescent="0.3">
      <c r="A911" s="26" t="s">
        <v>713</v>
      </c>
      <c r="B911" s="26" t="s">
        <v>1094</v>
      </c>
      <c r="C911" s="33" t="str">
        <f>IFERROR(INDEX(tbl_requisitos_emb[Tema],MATCH(B911,tbl_requisitos_emb[ID_Req],0)),"")</f>
        <v>PFAS</v>
      </c>
      <c r="D911" s="33" t="str">
        <f>IFERROR(INDEX(tbl_recyclass[Segmento],MATCH(A911,tbl_recyclass[ProductId],0)),"")</f>
        <v>Cosmética e higiene pessoal</v>
      </c>
      <c r="E911" s="26" t="s">
        <v>904</v>
      </c>
      <c r="F911" s="26" t="s">
        <v>1450</v>
      </c>
      <c r="G911" s="26" t="s">
        <v>1143</v>
      </c>
      <c r="H911" s="33" t="str">
        <f>IF(E911="Não","Não aplicável",IFERROR(IF(B911="EU-ENV-002",IF(INDEX(tbl_recyclass[Conforme_PPWR_2030],MATCH(A911,tbl_recyclass[ProductId],0))="Sim","Conforme (autoavaliação)",IF(INDEX(tbl_recyclass[Conforme_PPWR_2030],MATCH(A911,tbl_recyclass[ProductId],0))="Não","Não conforme em 2030","Isento até 2035")),IF(B911="EU-ENV-003",IF(INDEX(tbl_recyclass[Conforme_Art7_2030],MATCH(A911,tbl_recyclass[ProductId],0))="Sim","Conforme (meta 2030)",IF(INDEX(tbl_recyclass[Conforme_Art7_2030],MATCH(A911,tbl_recyclass[ProductId],0))="Não","Lacuna face à meta 2030","Isento")),IF(B911="EU-ENV-011",IF(INDEX(tbl_familias_ppwr[Metais_Pesados_Evidencia],MATCH(INDEX(tbl_recyclass[Familia_PPWR],MATCH(A911,tbl_recyclass[ProductId],0)),tbl_familias_ppwr[ID_Familia],0))="Em falta","Lacuna","Conforme"),IF(B911="EU-ENV-013",IF(INDEX(tbl_familias_ppwr[Declaracao_UE],MATCH(INDEX(tbl_recyclass[Familia_PPWR],MATCH(A911,tbl_recyclass[ProductId],0)),tbl_familias_ppwr[ID_Familia],0))="Sim","Conforme","Lacuna"),G911)))),G911))</f>
        <v>Não aplicável</v>
      </c>
      <c r="I911" s="33" t="str">
        <f t="shared" si="14"/>
        <v>Não aplicável</v>
      </c>
      <c r="J911" s="26"/>
    </row>
    <row r="912" spans="1:10" ht="16.05" customHeight="1" x14ac:dyDescent="0.3">
      <c r="A912" s="26" t="s">
        <v>713</v>
      </c>
      <c r="B912" s="26" t="s">
        <v>1102</v>
      </c>
      <c r="C912" s="33" t="str">
        <f>IFERROR(INDEX(tbl_requisitos_emb[Tema],MATCH(B912,tbl_requisitos_emb[ID_Req],0)),"")</f>
        <v>Documentação técnica e declaração UE</v>
      </c>
      <c r="D912" s="33" t="str">
        <f>IFERROR(INDEX(tbl_recyclass[Segmento],MATCH(A912,tbl_recyclass[ProductId],0)),"")</f>
        <v>Cosmética e higiene pessoal</v>
      </c>
      <c r="E912" s="26" t="s">
        <v>901</v>
      </c>
      <c r="F912" s="26" t="s">
        <v>1449</v>
      </c>
      <c r="G912" s="26" t="s">
        <v>978</v>
      </c>
      <c r="H912" s="33" t="str">
        <f>IF(E912="Não","Não aplicável",IFERROR(IF(B912="EU-ENV-002",IF(INDEX(tbl_recyclass[Conforme_PPWR_2030],MATCH(A912,tbl_recyclass[ProductId],0))="Sim","Conforme (autoavaliação)",IF(INDEX(tbl_recyclass[Conforme_PPWR_2030],MATCH(A912,tbl_recyclass[ProductId],0))="Não","Não conforme em 2030","Isento até 2035")),IF(B912="EU-ENV-003",IF(INDEX(tbl_recyclass[Conforme_Art7_2030],MATCH(A912,tbl_recyclass[ProductId],0))="Sim","Conforme (meta 2030)",IF(INDEX(tbl_recyclass[Conforme_Art7_2030],MATCH(A912,tbl_recyclass[ProductId],0))="Não","Lacuna face à meta 2030","Isento")),IF(B912="EU-ENV-011",IF(INDEX(tbl_familias_ppwr[Metais_Pesados_Evidencia],MATCH(INDEX(tbl_recyclass[Familia_PPWR],MATCH(A912,tbl_recyclass[ProductId],0)),tbl_familias_ppwr[ID_Familia],0))="Em falta","Lacuna","Conforme"),IF(B912="EU-ENV-013",IF(INDEX(tbl_familias_ppwr[Declaracao_UE],MATCH(INDEX(tbl_recyclass[Familia_PPWR],MATCH(A912,tbl_recyclass[ProductId],0)),tbl_familias_ppwr[ID_Familia],0))="Sim","Conforme","Lacuna"),G912)))),G912))</f>
        <v>Conforme</v>
      </c>
      <c r="I912" s="33" t="str">
        <f t="shared" si="14"/>
        <v>Conforme</v>
      </c>
      <c r="J912" s="26" t="s">
        <v>1106</v>
      </c>
    </row>
    <row r="913" spans="1:10" ht="16.05" customHeight="1" x14ac:dyDescent="0.3">
      <c r="A913" s="26" t="s">
        <v>713</v>
      </c>
      <c r="B913" s="26" t="s">
        <v>1161</v>
      </c>
      <c r="C913" s="33" t="str">
        <f>IFERROR(INDEX(tbl_requisitos_emb[Tema],MATCH(B913,tbl_requisitos_emb[ID_Req],0)),"")</f>
        <v>Materiais em contacto com alimentos</v>
      </c>
      <c r="D913" s="33" t="str">
        <f>IFERROR(INDEX(tbl_recyclass[Segmento],MATCH(A913,tbl_recyclass[ProductId],0)),"")</f>
        <v>Cosmética e higiene pessoal</v>
      </c>
      <c r="E913" s="26" t="s">
        <v>904</v>
      </c>
      <c r="F913" s="26" t="s">
        <v>1450</v>
      </c>
      <c r="G913" s="26" t="s">
        <v>1143</v>
      </c>
      <c r="H913" s="33" t="str">
        <f>IF(E913="Não","Não aplicável",IFERROR(IF(B913="EU-ENV-002",IF(INDEX(tbl_recyclass[Conforme_PPWR_2030],MATCH(A913,tbl_recyclass[ProductId],0))="Sim","Conforme (autoavaliação)",IF(INDEX(tbl_recyclass[Conforme_PPWR_2030],MATCH(A913,tbl_recyclass[ProductId],0))="Não","Não conforme em 2030","Isento até 2035")),IF(B913="EU-ENV-003",IF(INDEX(tbl_recyclass[Conforme_Art7_2030],MATCH(A913,tbl_recyclass[ProductId],0))="Sim","Conforme (meta 2030)",IF(INDEX(tbl_recyclass[Conforme_Art7_2030],MATCH(A913,tbl_recyclass[ProductId],0))="Não","Lacuna face à meta 2030","Isento")),IF(B913="EU-ENV-011",IF(INDEX(tbl_familias_ppwr[Metais_Pesados_Evidencia],MATCH(INDEX(tbl_recyclass[Familia_PPWR],MATCH(A913,tbl_recyclass[ProductId],0)),tbl_familias_ppwr[ID_Familia],0))="Em falta","Lacuna","Conforme"),IF(B913="EU-ENV-013",IF(INDEX(tbl_familias_ppwr[Declaracao_UE],MATCH(INDEX(tbl_recyclass[Familia_PPWR],MATCH(A913,tbl_recyclass[ProductId],0)),tbl_familias_ppwr[ID_Familia],0))="Sim","Conforme","Lacuna"),G913)))),G913))</f>
        <v>Não aplicável</v>
      </c>
      <c r="I913" s="33" t="str">
        <f t="shared" si="14"/>
        <v>Não aplicável</v>
      </c>
      <c r="J913" s="26"/>
    </row>
    <row r="914" spans="1:10" ht="16.05" customHeight="1" x14ac:dyDescent="0.3">
      <c r="A914" s="26" t="s">
        <v>713</v>
      </c>
      <c r="B914" s="26" t="s">
        <v>1170</v>
      </c>
      <c r="C914" s="33" t="str">
        <f>IFERROR(INDEX(tbl_requisitos_emb[Tema],MATCH(B914,tbl_requisitos_emb[ID_Req],0)),"")</f>
        <v>Boas práticas de fabrico FCM</v>
      </c>
      <c r="D914" s="33" t="str">
        <f>IFERROR(INDEX(tbl_recyclass[Segmento],MATCH(A914,tbl_recyclass[ProductId],0)),"")</f>
        <v>Cosmética e higiene pessoal</v>
      </c>
      <c r="E914" s="26" t="s">
        <v>904</v>
      </c>
      <c r="F914" s="26" t="s">
        <v>1450</v>
      </c>
      <c r="G914" s="26" t="s">
        <v>1143</v>
      </c>
      <c r="H914" s="33" t="str">
        <f>IF(E914="Não","Não aplicável",IFERROR(IF(B914="EU-ENV-002",IF(INDEX(tbl_recyclass[Conforme_PPWR_2030],MATCH(A914,tbl_recyclass[ProductId],0))="Sim","Conforme (autoavaliação)",IF(INDEX(tbl_recyclass[Conforme_PPWR_2030],MATCH(A914,tbl_recyclass[ProductId],0))="Não","Não conforme em 2030","Isento até 2035")),IF(B914="EU-ENV-003",IF(INDEX(tbl_recyclass[Conforme_Art7_2030],MATCH(A914,tbl_recyclass[ProductId],0))="Sim","Conforme (meta 2030)",IF(INDEX(tbl_recyclass[Conforme_Art7_2030],MATCH(A914,tbl_recyclass[ProductId],0))="Não","Lacuna face à meta 2030","Isento")),IF(B914="EU-ENV-011",IF(INDEX(tbl_familias_ppwr[Metais_Pesados_Evidencia],MATCH(INDEX(tbl_recyclass[Familia_PPWR],MATCH(A914,tbl_recyclass[ProductId],0)),tbl_familias_ppwr[ID_Familia],0))="Em falta","Lacuna","Conforme"),IF(B914="EU-ENV-013",IF(INDEX(tbl_familias_ppwr[Declaracao_UE],MATCH(INDEX(tbl_recyclass[Familia_PPWR],MATCH(A914,tbl_recyclass[ProductId],0)),tbl_familias_ppwr[ID_Familia],0))="Sim","Conforme","Lacuna"),G914)))),G914))</f>
        <v>Não aplicável</v>
      </c>
      <c r="I914" s="33" t="str">
        <f t="shared" si="14"/>
        <v>Não aplicável</v>
      </c>
      <c r="J914" s="26"/>
    </row>
    <row r="915" spans="1:10" ht="16.05" customHeight="1" x14ac:dyDescent="0.3">
      <c r="A915" s="26" t="s">
        <v>713</v>
      </c>
      <c r="B915" s="26" t="s">
        <v>1179</v>
      </c>
      <c r="C915" s="33" t="str">
        <f>IFERROR(INDEX(tbl_requisitos_emb[Tema],MATCH(B915,tbl_requisitos_emb[ID_Req],0)),"")</f>
        <v>Bisfenol A e bisfenóis perigosos</v>
      </c>
      <c r="D915" s="33" t="str">
        <f>IFERROR(INDEX(tbl_recyclass[Segmento],MATCH(A915,tbl_recyclass[ProductId],0)),"")</f>
        <v>Cosmética e higiene pessoal</v>
      </c>
      <c r="E915" s="26" t="s">
        <v>904</v>
      </c>
      <c r="F915" s="26" t="s">
        <v>1450</v>
      </c>
      <c r="G915" s="26" t="s">
        <v>1143</v>
      </c>
      <c r="H915" s="33" t="str">
        <f>IF(E915="Não","Não aplicável",IFERROR(IF(B915="EU-ENV-002",IF(INDEX(tbl_recyclass[Conforme_PPWR_2030],MATCH(A915,tbl_recyclass[ProductId],0))="Sim","Conforme (autoavaliação)",IF(INDEX(tbl_recyclass[Conforme_PPWR_2030],MATCH(A915,tbl_recyclass[ProductId],0))="Não","Não conforme em 2030","Isento até 2035")),IF(B915="EU-ENV-003",IF(INDEX(tbl_recyclass[Conforme_Art7_2030],MATCH(A915,tbl_recyclass[ProductId],0))="Sim","Conforme (meta 2030)",IF(INDEX(tbl_recyclass[Conforme_Art7_2030],MATCH(A915,tbl_recyclass[ProductId],0))="Não","Lacuna face à meta 2030","Isento")),IF(B915="EU-ENV-011",IF(INDEX(tbl_familias_ppwr[Metais_Pesados_Evidencia],MATCH(INDEX(tbl_recyclass[Familia_PPWR],MATCH(A915,tbl_recyclass[ProductId],0)),tbl_familias_ppwr[ID_Familia],0))="Em falta","Lacuna","Conforme"),IF(B915="EU-ENV-013",IF(INDEX(tbl_familias_ppwr[Declaracao_UE],MATCH(INDEX(tbl_recyclass[Familia_PPWR],MATCH(A915,tbl_recyclass[ProductId],0)),tbl_familias_ppwr[ID_Familia],0))="Sim","Conforme","Lacuna"),G915)))),G915))</f>
        <v>Não aplicável</v>
      </c>
      <c r="I915" s="33" t="str">
        <f t="shared" si="14"/>
        <v>Não aplicável</v>
      </c>
      <c r="J915" s="26"/>
    </row>
    <row r="916" spans="1:10" ht="16.05" customHeight="1" x14ac:dyDescent="0.3">
      <c r="A916" s="26" t="s">
        <v>713</v>
      </c>
      <c r="B916" s="26" t="s">
        <v>1188</v>
      </c>
      <c r="C916" s="33" t="str">
        <f>IFERROR(INDEX(tbl_requisitos_emb[Tema],MATCH(B916,tbl_requisitos_emb[ID_Req],0)),"")</f>
        <v>Plásticos em contacto com alimentos</v>
      </c>
      <c r="D916" s="33" t="str">
        <f>IFERROR(INDEX(tbl_recyclass[Segmento],MATCH(A916,tbl_recyclass[ProductId],0)),"")</f>
        <v>Cosmética e higiene pessoal</v>
      </c>
      <c r="E916" s="26" t="s">
        <v>904</v>
      </c>
      <c r="F916" s="26" t="s">
        <v>1450</v>
      </c>
      <c r="G916" s="26" t="s">
        <v>1143</v>
      </c>
      <c r="H916" s="33" t="str">
        <f>IF(E916="Não","Não aplicável",IFERROR(IF(B916="EU-ENV-002",IF(INDEX(tbl_recyclass[Conforme_PPWR_2030],MATCH(A916,tbl_recyclass[ProductId],0))="Sim","Conforme (autoavaliação)",IF(INDEX(tbl_recyclass[Conforme_PPWR_2030],MATCH(A916,tbl_recyclass[ProductId],0))="Não","Não conforme em 2030","Isento até 2035")),IF(B916="EU-ENV-003",IF(INDEX(tbl_recyclass[Conforme_Art7_2030],MATCH(A916,tbl_recyclass[ProductId],0))="Sim","Conforme (meta 2030)",IF(INDEX(tbl_recyclass[Conforme_Art7_2030],MATCH(A916,tbl_recyclass[ProductId],0))="Não","Lacuna face à meta 2030","Isento")),IF(B916="EU-ENV-011",IF(INDEX(tbl_familias_ppwr[Metais_Pesados_Evidencia],MATCH(INDEX(tbl_recyclass[Familia_PPWR],MATCH(A916,tbl_recyclass[ProductId],0)),tbl_familias_ppwr[ID_Familia],0))="Em falta","Lacuna","Conforme"),IF(B916="EU-ENV-013",IF(INDEX(tbl_familias_ppwr[Declaracao_UE],MATCH(INDEX(tbl_recyclass[Familia_PPWR],MATCH(A916,tbl_recyclass[ProductId],0)),tbl_familias_ppwr[ID_Familia],0))="Sim","Conforme","Lacuna"),G916)))),G916))</f>
        <v>Não aplicável</v>
      </c>
      <c r="I916" s="33" t="str">
        <f t="shared" si="14"/>
        <v>Não aplicável</v>
      </c>
      <c r="J916" s="26"/>
    </row>
    <row r="917" spans="1:10" ht="16.05" customHeight="1" x14ac:dyDescent="0.3">
      <c r="A917" s="26" t="s">
        <v>713</v>
      </c>
      <c r="B917" s="26" t="s">
        <v>1212</v>
      </c>
      <c r="C917" s="33" t="str">
        <f>IFERROR(INDEX(tbl_requisitos_emb[Tema],MATCH(B917,tbl_requisitos_emb[ID_Req],0)),"")</f>
        <v>Segurança do produto cosmético</v>
      </c>
      <c r="D917" s="33" t="str">
        <f>IFERROR(INDEX(tbl_recyclass[Segmento],MATCH(A917,tbl_recyclass[ProductId],0)),"")</f>
        <v>Cosmética e higiene pessoal</v>
      </c>
      <c r="E917" s="26" t="s">
        <v>901</v>
      </c>
      <c r="F917" s="26" t="s">
        <v>1449</v>
      </c>
      <c r="G917" s="26" t="s">
        <v>1033</v>
      </c>
      <c r="H917" s="33" t="str">
        <f>IF(E917="Não","Não aplicável",IFERROR(IF(B917="EU-ENV-002",IF(INDEX(tbl_recyclass[Conforme_PPWR_2030],MATCH(A917,tbl_recyclass[ProductId],0))="Sim","Conforme (autoavaliação)",IF(INDEX(tbl_recyclass[Conforme_PPWR_2030],MATCH(A917,tbl_recyclass[ProductId],0))="Não","Não conforme em 2030","Isento até 2035")),IF(B917="EU-ENV-003",IF(INDEX(tbl_recyclass[Conforme_Art7_2030],MATCH(A917,tbl_recyclass[ProductId],0))="Sim","Conforme (meta 2030)",IF(INDEX(tbl_recyclass[Conforme_Art7_2030],MATCH(A917,tbl_recyclass[ProductId],0))="Não","Lacuna face à meta 2030","Isento")),IF(B917="EU-ENV-011",IF(INDEX(tbl_familias_ppwr[Metais_Pesados_Evidencia],MATCH(INDEX(tbl_recyclass[Familia_PPWR],MATCH(A917,tbl_recyclass[ProductId],0)),tbl_familias_ppwr[ID_Familia],0))="Em falta","Lacuna","Conforme"),IF(B917="EU-ENV-013",IF(INDEX(tbl_familias_ppwr[Declaracao_UE],MATCH(INDEX(tbl_recyclass[Familia_PPWR],MATCH(A917,tbl_recyclass[ProductId],0)),tbl_familias_ppwr[ID_Familia],0))="Sim","Conforme","Lacuna"),G917)))),G917))</f>
        <v>Conforme</v>
      </c>
      <c r="I917" s="33" t="str">
        <f t="shared" si="14"/>
        <v>Conforme</v>
      </c>
      <c r="J917" s="26" t="s">
        <v>1221</v>
      </c>
    </row>
    <row r="918" spans="1:10" ht="16.05" customHeight="1" x14ac:dyDescent="0.3">
      <c r="A918" s="26" t="s">
        <v>713</v>
      </c>
      <c r="B918" s="26" t="s">
        <v>1224</v>
      </c>
      <c r="C918" s="33" t="str">
        <f>IFERROR(INDEX(tbl_requisitos_emb[Tema],MATCH(B918,tbl_requisitos_emb[ID_Req],0)),"")</f>
        <v>Materiais e impurezas</v>
      </c>
      <c r="D918" s="33" t="str">
        <f>IFERROR(INDEX(tbl_recyclass[Segmento],MATCH(A918,tbl_recyclass[ProductId],0)),"")</f>
        <v>Cosmética e higiene pessoal</v>
      </c>
      <c r="E918" s="26" t="s">
        <v>901</v>
      </c>
      <c r="F918" s="26" t="s">
        <v>1449</v>
      </c>
      <c r="G918" s="26" t="s">
        <v>978</v>
      </c>
      <c r="H918" s="33" t="str">
        <f>IF(E918="Não","Não aplicável",IFERROR(IF(B918="EU-ENV-002",IF(INDEX(tbl_recyclass[Conforme_PPWR_2030],MATCH(A918,tbl_recyclass[ProductId],0))="Sim","Conforme (autoavaliação)",IF(INDEX(tbl_recyclass[Conforme_PPWR_2030],MATCH(A918,tbl_recyclass[ProductId],0))="Não","Não conforme em 2030","Isento até 2035")),IF(B918="EU-ENV-003",IF(INDEX(tbl_recyclass[Conforme_Art7_2030],MATCH(A918,tbl_recyclass[ProductId],0))="Sim","Conforme (meta 2030)",IF(INDEX(tbl_recyclass[Conforme_Art7_2030],MATCH(A918,tbl_recyclass[ProductId],0))="Não","Lacuna face à meta 2030","Isento")),IF(B918="EU-ENV-011",IF(INDEX(tbl_familias_ppwr[Metais_Pesados_Evidencia],MATCH(INDEX(tbl_recyclass[Familia_PPWR],MATCH(A918,tbl_recyclass[ProductId],0)),tbl_familias_ppwr[ID_Familia],0))="Em falta","Lacuna","Conforme"),IF(B918="EU-ENV-013",IF(INDEX(tbl_familias_ppwr[Declaracao_UE],MATCH(INDEX(tbl_recyclass[Familia_PPWR],MATCH(A918,tbl_recyclass[ProductId],0)),tbl_familias_ppwr[ID_Familia],0))="Sim","Conforme","Lacuna"),G918)))),G918))</f>
        <v>Parcial</v>
      </c>
      <c r="I918" s="33" t="str">
        <f t="shared" si="14"/>
        <v>Parcial</v>
      </c>
      <c r="J918" s="26" t="s">
        <v>1228</v>
      </c>
    </row>
    <row r="919" spans="1:10" ht="16.05" customHeight="1" x14ac:dyDescent="0.3">
      <c r="A919" s="26" t="s">
        <v>713</v>
      </c>
      <c r="B919" s="26" t="s">
        <v>1240</v>
      </c>
      <c r="C919" s="33" t="str">
        <f>IFERROR(INDEX(tbl_requisitos_emb[Tema],MATCH(B919,tbl_requisitos_emb[ID_Req],0)),"")</f>
        <v>Compatibilidade embalagem–produto</v>
      </c>
      <c r="D919" s="33" t="str">
        <f>IFERROR(INDEX(tbl_recyclass[Segmento],MATCH(A919,tbl_recyclass[ProductId],0)),"")</f>
        <v>Cosmética e higiene pessoal</v>
      </c>
      <c r="E919" s="26" t="s">
        <v>901</v>
      </c>
      <c r="F919" s="26" t="s">
        <v>1449</v>
      </c>
      <c r="G919" s="26" t="s">
        <v>1033</v>
      </c>
      <c r="H919" s="33" t="str">
        <f>IF(E919="Não","Não aplicável",IFERROR(IF(B919="EU-ENV-002",IF(INDEX(tbl_recyclass[Conforme_PPWR_2030],MATCH(A919,tbl_recyclass[ProductId],0))="Sim","Conforme (autoavaliação)",IF(INDEX(tbl_recyclass[Conforme_PPWR_2030],MATCH(A919,tbl_recyclass[ProductId],0))="Não","Não conforme em 2030","Isento até 2035")),IF(B919="EU-ENV-003",IF(INDEX(tbl_recyclass[Conforme_Art7_2030],MATCH(A919,tbl_recyclass[ProductId],0))="Sim","Conforme (meta 2030)",IF(INDEX(tbl_recyclass[Conforme_Art7_2030],MATCH(A919,tbl_recyclass[ProductId],0))="Não","Lacuna face à meta 2030","Isento")),IF(B919="EU-ENV-011",IF(INDEX(tbl_familias_ppwr[Metais_Pesados_Evidencia],MATCH(INDEX(tbl_recyclass[Familia_PPWR],MATCH(A919,tbl_recyclass[ProductId],0)),tbl_familias_ppwr[ID_Familia],0))="Em falta","Lacuna","Conforme"),IF(B919="EU-ENV-013",IF(INDEX(tbl_familias_ppwr[Declaracao_UE],MATCH(INDEX(tbl_recyclass[Familia_PPWR],MATCH(A919,tbl_recyclass[ProductId],0)),tbl_familias_ppwr[ID_Familia],0))="Sim","Conforme","Lacuna"),G919)))),G919))</f>
        <v>Conforme</v>
      </c>
      <c r="I919" s="33" t="str">
        <f t="shared" si="14"/>
        <v>Conforme</v>
      </c>
      <c r="J919" s="26" t="s">
        <v>1244</v>
      </c>
    </row>
    <row r="920" spans="1:10" ht="16.05" customHeight="1" x14ac:dyDescent="0.3">
      <c r="A920" s="26" t="s">
        <v>713</v>
      </c>
      <c r="B920" s="26" t="s">
        <v>1252</v>
      </c>
      <c r="C920" s="33" t="str">
        <f>IFERROR(INDEX(tbl_requisitos_emb[Tema],MATCH(B920,tbl_requisitos_emb[ID_Req],0)),"")</f>
        <v>Medicamentos de uso humano</v>
      </c>
      <c r="D920" s="33" t="str">
        <f>IFERROR(INDEX(tbl_recyclass[Segmento],MATCH(A920,tbl_recyclass[ProductId],0)),"")</f>
        <v>Cosmética e higiene pessoal</v>
      </c>
      <c r="E920" s="26" t="s">
        <v>904</v>
      </c>
      <c r="F920" s="26" t="s">
        <v>1451</v>
      </c>
      <c r="G920" s="26" t="s">
        <v>1143</v>
      </c>
      <c r="H920" s="33" t="str">
        <f>IF(E920="Não","Não aplicável",IFERROR(IF(B920="EU-ENV-002",IF(INDEX(tbl_recyclass[Conforme_PPWR_2030],MATCH(A920,tbl_recyclass[ProductId],0))="Sim","Conforme (autoavaliação)",IF(INDEX(tbl_recyclass[Conforme_PPWR_2030],MATCH(A920,tbl_recyclass[ProductId],0))="Não","Não conforme em 2030","Isento até 2035")),IF(B920="EU-ENV-003",IF(INDEX(tbl_recyclass[Conforme_Art7_2030],MATCH(A920,tbl_recyclass[ProductId],0))="Sim","Conforme (meta 2030)",IF(INDEX(tbl_recyclass[Conforme_Art7_2030],MATCH(A920,tbl_recyclass[ProductId],0))="Não","Lacuna face à meta 2030","Isento")),IF(B920="EU-ENV-011",IF(INDEX(tbl_familias_ppwr[Metais_Pesados_Evidencia],MATCH(INDEX(tbl_recyclass[Familia_PPWR],MATCH(A920,tbl_recyclass[ProductId],0)),tbl_familias_ppwr[ID_Familia],0))="Em falta","Lacuna","Conforme"),IF(B920="EU-ENV-013",IF(INDEX(tbl_familias_ppwr[Declaracao_UE],MATCH(INDEX(tbl_recyclass[Familia_PPWR],MATCH(A920,tbl_recyclass[ProductId],0)),tbl_familias_ppwr[ID_Familia],0))="Sim","Conforme","Lacuna"),G920)))),G920))</f>
        <v>Não aplicável</v>
      </c>
      <c r="I920" s="33" t="str">
        <f t="shared" si="14"/>
        <v>Não aplicável</v>
      </c>
      <c r="J920" s="26"/>
    </row>
    <row r="921" spans="1:10" ht="16.05" customHeight="1" x14ac:dyDescent="0.3">
      <c r="A921" s="26" t="s">
        <v>713</v>
      </c>
      <c r="B921" s="26" t="s">
        <v>1268</v>
      </c>
      <c r="C921" s="33" t="str">
        <f>IFERROR(INDEX(tbl_requisitos_emb[Tema],MATCH(B921,tbl_requisitos_emb[ID_Req],0)),"")</f>
        <v>Dispositivos de segurança</v>
      </c>
      <c r="D921" s="33" t="str">
        <f>IFERROR(INDEX(tbl_recyclass[Segmento],MATCH(A921,tbl_recyclass[ProductId],0)),"")</f>
        <v>Cosmética e higiene pessoal</v>
      </c>
      <c r="E921" s="26" t="s">
        <v>904</v>
      </c>
      <c r="F921" s="26" t="s">
        <v>1451</v>
      </c>
      <c r="G921" s="26" t="s">
        <v>1143</v>
      </c>
      <c r="H921" s="33" t="str">
        <f>IF(E921="Não","Não aplicável",IFERROR(IF(B921="EU-ENV-002",IF(INDEX(tbl_recyclass[Conforme_PPWR_2030],MATCH(A921,tbl_recyclass[ProductId],0))="Sim","Conforme (autoavaliação)",IF(INDEX(tbl_recyclass[Conforme_PPWR_2030],MATCH(A921,tbl_recyclass[ProductId],0))="Não","Não conforme em 2030","Isento até 2035")),IF(B921="EU-ENV-003",IF(INDEX(tbl_recyclass[Conforme_Art7_2030],MATCH(A921,tbl_recyclass[ProductId],0))="Sim","Conforme (meta 2030)",IF(INDEX(tbl_recyclass[Conforme_Art7_2030],MATCH(A921,tbl_recyclass[ProductId],0))="Não","Lacuna face à meta 2030","Isento")),IF(B921="EU-ENV-011",IF(INDEX(tbl_familias_ppwr[Metais_Pesados_Evidencia],MATCH(INDEX(tbl_recyclass[Familia_PPWR],MATCH(A921,tbl_recyclass[ProductId],0)),tbl_familias_ppwr[ID_Familia],0))="Em falta","Lacuna","Conforme"),IF(B921="EU-ENV-013",IF(INDEX(tbl_familias_ppwr[Declaracao_UE],MATCH(INDEX(tbl_recyclass[Familia_PPWR],MATCH(A921,tbl_recyclass[ProductId],0)),tbl_familias_ppwr[ID_Familia],0))="Sim","Conforme","Lacuna"),G921)))),G921))</f>
        <v>Não aplicável</v>
      </c>
      <c r="I921" s="33" t="str">
        <f t="shared" si="14"/>
        <v>Não aplicável</v>
      </c>
      <c r="J921" s="26"/>
    </row>
    <row r="922" spans="1:10" ht="16.05" customHeight="1" x14ac:dyDescent="0.3">
      <c r="A922" s="26" t="s">
        <v>713</v>
      </c>
      <c r="B922" s="26" t="s">
        <v>1285</v>
      </c>
      <c r="C922" s="33" t="str">
        <f>IFERROR(INDEX(tbl_requisitos_emb[Tema],MATCH(B922,tbl_requisitos_emb[ID_Req],0)),"")</f>
        <v>Materiais plásticos de acondicionamento primário</v>
      </c>
      <c r="D922" s="33" t="str">
        <f>IFERROR(INDEX(tbl_recyclass[Segmento],MATCH(A922,tbl_recyclass[ProductId],0)),"")</f>
        <v>Cosmética e higiene pessoal</v>
      </c>
      <c r="E922" s="26" t="s">
        <v>904</v>
      </c>
      <c r="F922" s="26" t="s">
        <v>1451</v>
      </c>
      <c r="G922" s="26" t="s">
        <v>1143</v>
      </c>
      <c r="H922" s="33" t="str">
        <f>IF(E922="Não","Não aplicável",IFERROR(IF(B922="EU-ENV-002",IF(INDEX(tbl_recyclass[Conforme_PPWR_2030],MATCH(A922,tbl_recyclass[ProductId],0))="Sim","Conforme (autoavaliação)",IF(INDEX(tbl_recyclass[Conforme_PPWR_2030],MATCH(A922,tbl_recyclass[ProductId],0))="Não","Não conforme em 2030","Isento até 2035")),IF(B922="EU-ENV-003",IF(INDEX(tbl_recyclass[Conforme_Art7_2030],MATCH(A922,tbl_recyclass[ProductId],0))="Sim","Conforme (meta 2030)",IF(INDEX(tbl_recyclass[Conforme_Art7_2030],MATCH(A922,tbl_recyclass[ProductId],0))="Não","Lacuna face à meta 2030","Isento")),IF(B922="EU-ENV-011",IF(INDEX(tbl_familias_ppwr[Metais_Pesados_Evidencia],MATCH(INDEX(tbl_recyclass[Familia_PPWR],MATCH(A922,tbl_recyclass[ProductId],0)),tbl_familias_ppwr[ID_Familia],0))="Em falta","Lacuna","Conforme"),IF(B922="EU-ENV-013",IF(INDEX(tbl_familias_ppwr[Declaracao_UE],MATCH(INDEX(tbl_recyclass[Familia_PPWR],MATCH(A922,tbl_recyclass[ProductId],0)),tbl_familias_ppwr[ID_Familia],0))="Sim","Conforme","Lacuna"),G922)))),G922))</f>
        <v>Não aplicável</v>
      </c>
      <c r="I922" s="33" t="str">
        <f t="shared" si="14"/>
        <v>Não aplicável</v>
      </c>
      <c r="J922" s="26"/>
    </row>
    <row r="923" spans="1:10" ht="16.05" customHeight="1" x14ac:dyDescent="0.3">
      <c r="A923" s="26" t="s">
        <v>713</v>
      </c>
      <c r="B923" s="26" t="s">
        <v>1293</v>
      </c>
      <c r="C923" s="33" t="str">
        <f>IFERROR(INDEX(tbl_requisitos_emb[Tema],MATCH(B923,tbl_requisitos_emb[ID_Req],0)),"")</f>
        <v>Isenções PPWR</v>
      </c>
      <c r="D923" s="33" t="str">
        <f>IFERROR(INDEX(tbl_recyclass[Segmento],MATCH(A923,tbl_recyclass[ProductId],0)),"")</f>
        <v>Cosmética e higiene pessoal</v>
      </c>
      <c r="E923" s="26" t="s">
        <v>904</v>
      </c>
      <c r="F923" s="26" t="s">
        <v>1451</v>
      </c>
      <c r="G923" s="26" t="s">
        <v>1143</v>
      </c>
      <c r="H923" s="33" t="str">
        <f>IF(E923="Não","Não aplicável",IFERROR(IF(B923="EU-ENV-002",IF(INDEX(tbl_recyclass[Conforme_PPWR_2030],MATCH(A923,tbl_recyclass[ProductId],0))="Sim","Conforme (autoavaliação)",IF(INDEX(tbl_recyclass[Conforme_PPWR_2030],MATCH(A923,tbl_recyclass[ProductId],0))="Não","Não conforme em 2030","Isento até 2035")),IF(B923="EU-ENV-003",IF(INDEX(tbl_recyclass[Conforme_Art7_2030],MATCH(A923,tbl_recyclass[ProductId],0))="Sim","Conforme (meta 2030)",IF(INDEX(tbl_recyclass[Conforme_Art7_2030],MATCH(A923,tbl_recyclass[ProductId],0))="Não","Lacuna face à meta 2030","Isento")),IF(B923="EU-ENV-011",IF(INDEX(tbl_familias_ppwr[Metais_Pesados_Evidencia],MATCH(INDEX(tbl_recyclass[Familia_PPWR],MATCH(A923,tbl_recyclass[ProductId],0)),tbl_familias_ppwr[ID_Familia],0))="Em falta","Lacuna","Conforme"),IF(B923="EU-ENV-013",IF(INDEX(tbl_familias_ppwr[Declaracao_UE],MATCH(INDEX(tbl_recyclass[Familia_PPWR],MATCH(A923,tbl_recyclass[ProductId],0)),tbl_familias_ppwr[ID_Familia],0))="Sim","Conforme","Lacuna"),G923)))),G923))</f>
        <v>Não aplicável</v>
      </c>
      <c r="I923" s="33" t="str">
        <f t="shared" si="14"/>
        <v>Não aplicável</v>
      </c>
      <c r="J923" s="26"/>
    </row>
    <row r="924" spans="1:10" ht="16.05" customHeight="1" x14ac:dyDescent="0.3">
      <c r="A924" s="26" t="s">
        <v>713</v>
      </c>
      <c r="B924" s="26" t="s">
        <v>1357</v>
      </c>
      <c r="C924" s="33" t="str">
        <f>IFERROR(INDEX(tbl_requisitos_emb[Tema],MATCH(B924,tbl_requisitos_emb[ID_Req],0)),"")</f>
        <v>Identificação de plásticos</v>
      </c>
      <c r="D924" s="33" t="str">
        <f>IFERROR(INDEX(tbl_recyclass[Segmento],MATCH(A924,tbl_recyclass[ProductId],0)),"")</f>
        <v>Cosmética e higiene pessoal</v>
      </c>
      <c r="E924" s="26" t="s">
        <v>901</v>
      </c>
      <c r="F924" s="26" t="s">
        <v>1449</v>
      </c>
      <c r="G924" s="26" t="s">
        <v>978</v>
      </c>
      <c r="H924" s="33" t="str">
        <f>IF(E924="Não","Não aplicável",IFERROR(IF(B924="EU-ENV-002",IF(INDEX(tbl_recyclass[Conforme_PPWR_2030],MATCH(A924,tbl_recyclass[ProductId],0))="Sim","Conforme (autoavaliação)",IF(INDEX(tbl_recyclass[Conforme_PPWR_2030],MATCH(A924,tbl_recyclass[ProductId],0))="Não","Não conforme em 2030","Isento até 2035")),IF(B924="EU-ENV-003",IF(INDEX(tbl_recyclass[Conforme_Art7_2030],MATCH(A924,tbl_recyclass[ProductId],0))="Sim","Conforme (meta 2030)",IF(INDEX(tbl_recyclass[Conforme_Art7_2030],MATCH(A924,tbl_recyclass[ProductId],0))="Não","Lacuna face à meta 2030","Isento")),IF(B924="EU-ENV-011",IF(INDEX(tbl_familias_ppwr[Metais_Pesados_Evidencia],MATCH(INDEX(tbl_recyclass[Familia_PPWR],MATCH(A924,tbl_recyclass[ProductId],0)),tbl_familias_ppwr[ID_Familia],0))="Em falta","Lacuna","Conforme"),IF(B924="EU-ENV-013",IF(INDEX(tbl_familias_ppwr[Declaracao_UE],MATCH(INDEX(tbl_recyclass[Familia_PPWR],MATCH(A924,tbl_recyclass[ProductId],0)),tbl_familias_ppwr[ID_Familia],0))="Sim","Conforme","Lacuna"),G924)))),G924))</f>
        <v>Parcial</v>
      </c>
      <c r="I924" s="33" t="str">
        <f t="shared" si="14"/>
        <v>Parcial</v>
      </c>
      <c r="J924" s="26" t="s">
        <v>1362</v>
      </c>
    </row>
    <row r="925" spans="1:10" ht="16.05" customHeight="1" x14ac:dyDescent="0.3">
      <c r="A925" s="26" t="s">
        <v>713</v>
      </c>
      <c r="B925" s="26" t="s">
        <v>1385</v>
      </c>
      <c r="C925" s="33" t="str">
        <f>IFERROR(INDEX(tbl_requisitos_emb[Tema],MATCH(B925,tbl_requisitos_emb[ID_Req],0)),"")</f>
        <v>Reciclabilidade (voluntária)</v>
      </c>
      <c r="D925" s="33" t="str">
        <f>IFERROR(INDEX(tbl_recyclass[Segmento],MATCH(A925,tbl_recyclass[ProductId],0)),"")</f>
        <v>Cosmética e higiene pessoal</v>
      </c>
      <c r="E925" s="26" t="s">
        <v>901</v>
      </c>
      <c r="F925" s="26" t="s">
        <v>1449</v>
      </c>
      <c r="G925" s="26" t="s">
        <v>978</v>
      </c>
      <c r="H925" s="33" t="str">
        <f>IF(E925="Não","Não aplicável",IFERROR(IF(B925="EU-ENV-002",IF(INDEX(tbl_recyclass[Conforme_PPWR_2030],MATCH(A925,tbl_recyclass[ProductId],0))="Sim","Conforme (autoavaliação)",IF(INDEX(tbl_recyclass[Conforme_PPWR_2030],MATCH(A925,tbl_recyclass[ProductId],0))="Não","Não conforme em 2030","Isento até 2035")),IF(B925="EU-ENV-003",IF(INDEX(tbl_recyclass[Conforme_Art7_2030],MATCH(A925,tbl_recyclass[ProductId],0))="Sim","Conforme (meta 2030)",IF(INDEX(tbl_recyclass[Conforme_Art7_2030],MATCH(A925,tbl_recyclass[ProductId],0))="Não","Lacuna face à meta 2030","Isento")),IF(B925="EU-ENV-011",IF(INDEX(tbl_familias_ppwr[Metais_Pesados_Evidencia],MATCH(INDEX(tbl_recyclass[Familia_PPWR],MATCH(A925,tbl_recyclass[ProductId],0)),tbl_familias_ppwr[ID_Familia],0))="Em falta","Lacuna","Conforme"),IF(B925="EU-ENV-013",IF(INDEX(tbl_familias_ppwr[Declaracao_UE],MATCH(INDEX(tbl_recyclass[Familia_PPWR],MATCH(A925,tbl_recyclass[ProductId],0)),tbl_familias_ppwr[ID_Familia],0))="Sim","Conforme","Lacuna"),G925)))),G925))</f>
        <v>Parcial</v>
      </c>
      <c r="I925" s="33" t="str">
        <f t="shared" si="14"/>
        <v>Parcial</v>
      </c>
      <c r="J925" s="26" t="s">
        <v>1389</v>
      </c>
    </row>
    <row r="926" spans="1:10" ht="16.05" customHeight="1" x14ac:dyDescent="0.3">
      <c r="A926" s="26" t="s">
        <v>715</v>
      </c>
      <c r="B926" s="26" t="s">
        <v>984</v>
      </c>
      <c r="C926" s="33" t="str">
        <f>IFERROR(INDEX(tbl_requisitos_emb[Tema],MATCH(B926,tbl_requisitos_emb[ID_Req],0)),"")</f>
        <v>Conceção para reciclagem</v>
      </c>
      <c r="D926" s="33" t="str">
        <f>IFERROR(INDEX(tbl_recyclass[Segmento],MATCH(A926,tbl_recyclass[ProductId],0)),"")</f>
        <v>Cosmética e higiene pessoal</v>
      </c>
      <c r="E926" s="26" t="s">
        <v>901</v>
      </c>
      <c r="F926" s="26" t="s">
        <v>1449</v>
      </c>
      <c r="G926" s="26" t="s">
        <v>978</v>
      </c>
      <c r="H926" s="33" t="str">
        <f>IF(E926="Não","Não aplicável",IFERROR(IF(B926="EU-ENV-002",IF(INDEX(tbl_recyclass[Conforme_PPWR_2030],MATCH(A926,tbl_recyclass[ProductId],0))="Sim","Conforme (autoavaliação)",IF(INDEX(tbl_recyclass[Conforme_PPWR_2030],MATCH(A926,tbl_recyclass[ProductId],0))="Não","Não conforme em 2030","Isento até 2035")),IF(B926="EU-ENV-003",IF(INDEX(tbl_recyclass[Conforme_Art7_2030],MATCH(A926,tbl_recyclass[ProductId],0))="Sim","Conforme (meta 2030)",IF(INDEX(tbl_recyclass[Conforme_Art7_2030],MATCH(A926,tbl_recyclass[ProductId],0))="Não","Lacuna face à meta 2030","Isento")),IF(B926="EU-ENV-011",IF(INDEX(tbl_familias_ppwr[Metais_Pesados_Evidencia],MATCH(INDEX(tbl_recyclass[Familia_PPWR],MATCH(A926,tbl_recyclass[ProductId],0)),tbl_familias_ppwr[ID_Familia],0))="Em falta","Lacuna","Conforme"),IF(B926="EU-ENV-013",IF(INDEX(tbl_familias_ppwr[Declaracao_UE],MATCH(INDEX(tbl_recyclass[Familia_PPWR],MATCH(A926,tbl_recyclass[ProductId],0)),tbl_familias_ppwr[ID_Familia],0))="Sim","Conforme","Lacuna"),G926)))),G926))</f>
        <v>Não conforme em 2030</v>
      </c>
      <c r="I926" s="33" t="str">
        <f t="shared" si="14"/>
        <v>Não conforme</v>
      </c>
      <c r="J926" s="26" t="s">
        <v>991</v>
      </c>
    </row>
    <row r="927" spans="1:10" ht="16.05" customHeight="1" x14ac:dyDescent="0.3">
      <c r="A927" s="26" t="s">
        <v>715</v>
      </c>
      <c r="B927" s="26" t="s">
        <v>997</v>
      </c>
      <c r="C927" s="33" t="str">
        <f>IFERROR(INDEX(tbl_requisitos_emb[Tema],MATCH(B927,tbl_requisitos_emb[ID_Req],0)),"")</f>
        <v>Conteúdo reciclado</v>
      </c>
      <c r="D927" s="33" t="str">
        <f>IFERROR(INDEX(tbl_recyclass[Segmento],MATCH(A927,tbl_recyclass[ProductId],0)),"")</f>
        <v>Cosmética e higiene pessoal</v>
      </c>
      <c r="E927" s="26" t="s">
        <v>901</v>
      </c>
      <c r="F927" s="26" t="s">
        <v>1449</v>
      </c>
      <c r="G927" s="26" t="s">
        <v>978</v>
      </c>
      <c r="H927" s="33" t="str">
        <f>IF(E927="Não","Não aplicável",IFERROR(IF(B927="EU-ENV-002",IF(INDEX(tbl_recyclass[Conforme_PPWR_2030],MATCH(A927,tbl_recyclass[ProductId],0))="Sim","Conforme (autoavaliação)",IF(INDEX(tbl_recyclass[Conforme_PPWR_2030],MATCH(A927,tbl_recyclass[ProductId],0))="Não","Não conforme em 2030","Isento até 2035")),IF(B927="EU-ENV-003",IF(INDEX(tbl_recyclass[Conforme_Art7_2030],MATCH(A927,tbl_recyclass[ProductId],0))="Sim","Conforme (meta 2030)",IF(INDEX(tbl_recyclass[Conforme_Art7_2030],MATCH(A927,tbl_recyclass[ProductId],0))="Não","Lacuna face à meta 2030","Isento")),IF(B927="EU-ENV-011",IF(INDEX(tbl_familias_ppwr[Metais_Pesados_Evidencia],MATCH(INDEX(tbl_recyclass[Familia_PPWR],MATCH(A927,tbl_recyclass[ProductId],0)),tbl_familias_ppwr[ID_Familia],0))="Em falta","Lacuna","Conforme"),IF(B927="EU-ENV-013",IF(INDEX(tbl_familias_ppwr[Declaracao_UE],MATCH(INDEX(tbl_recyclass[Familia_PPWR],MATCH(A927,tbl_recyclass[ProductId],0)),tbl_familias_ppwr[ID_Familia],0))="Sim","Conforme","Lacuna"),G927)))),G927))</f>
        <v>Lacuna face à meta 2030</v>
      </c>
      <c r="I927" s="33" t="str">
        <f t="shared" si="14"/>
        <v>Lacuna</v>
      </c>
      <c r="J927" s="26" t="s">
        <v>1001</v>
      </c>
    </row>
    <row r="928" spans="1:10" ht="16.05" customHeight="1" x14ac:dyDescent="0.3">
      <c r="A928" s="26" t="s">
        <v>715</v>
      </c>
      <c r="B928" s="26" t="s">
        <v>1007</v>
      </c>
      <c r="C928" s="33" t="str">
        <f>IFERROR(INDEX(tbl_requisitos_emb[Tema],MATCH(B928,tbl_requisitos_emb[ID_Req],0)),"")</f>
        <v>Minimização</v>
      </c>
      <c r="D928" s="33" t="str">
        <f>IFERROR(INDEX(tbl_recyclass[Segmento],MATCH(A928,tbl_recyclass[ProductId],0)),"")</f>
        <v>Cosmética e higiene pessoal</v>
      </c>
      <c r="E928" s="26" t="s">
        <v>901</v>
      </c>
      <c r="F928" s="26" t="s">
        <v>1449</v>
      </c>
      <c r="G928" s="26" t="s">
        <v>978</v>
      </c>
      <c r="H928" s="33" t="str">
        <f>IF(E928="Não","Não aplicável",IFERROR(IF(B928="EU-ENV-002",IF(INDEX(tbl_recyclass[Conforme_PPWR_2030],MATCH(A928,tbl_recyclass[ProductId],0))="Sim","Conforme (autoavaliação)",IF(INDEX(tbl_recyclass[Conforme_PPWR_2030],MATCH(A928,tbl_recyclass[ProductId],0))="Não","Não conforme em 2030","Isento até 2035")),IF(B928="EU-ENV-003",IF(INDEX(tbl_recyclass[Conforme_Art7_2030],MATCH(A928,tbl_recyclass[ProductId],0))="Sim","Conforme (meta 2030)",IF(INDEX(tbl_recyclass[Conforme_Art7_2030],MATCH(A928,tbl_recyclass[ProductId],0))="Não","Lacuna face à meta 2030","Isento")),IF(B928="EU-ENV-011",IF(INDEX(tbl_familias_ppwr[Metais_Pesados_Evidencia],MATCH(INDEX(tbl_recyclass[Familia_PPWR],MATCH(A928,tbl_recyclass[ProductId],0)),tbl_familias_ppwr[ID_Familia],0))="Em falta","Lacuna","Conforme"),IF(B928="EU-ENV-013",IF(INDEX(tbl_familias_ppwr[Declaracao_UE],MATCH(INDEX(tbl_recyclass[Familia_PPWR],MATCH(A928,tbl_recyclass[ProductId],0)),tbl_familias_ppwr[ID_Familia],0))="Sim","Conforme","Lacuna"),G928)))),G928))</f>
        <v>Parcial</v>
      </c>
      <c r="I928" s="33" t="str">
        <f t="shared" si="14"/>
        <v>Parcial</v>
      </c>
      <c r="J928" s="26" t="s">
        <v>1012</v>
      </c>
    </row>
    <row r="929" spans="1:10" ht="16.05" customHeight="1" x14ac:dyDescent="0.3">
      <c r="A929" s="26" t="s">
        <v>715</v>
      </c>
      <c r="B929" s="26" t="s">
        <v>1016</v>
      </c>
      <c r="C929" s="33" t="str">
        <f>IFERROR(INDEX(tbl_requisitos_emb[Tema],MATCH(B929,tbl_requisitos_emb[ID_Req],0)),"")</f>
        <v>Rotulagem</v>
      </c>
      <c r="D929" s="33" t="str">
        <f>IFERROR(INDEX(tbl_recyclass[Segmento],MATCH(A929,tbl_recyclass[ProductId],0)),"")</f>
        <v>Cosmética e higiene pessoal</v>
      </c>
      <c r="E929" s="26" t="s">
        <v>901</v>
      </c>
      <c r="F929" s="26" t="s">
        <v>1449</v>
      </c>
      <c r="G929" s="26" t="s">
        <v>990</v>
      </c>
      <c r="H929" s="33" t="str">
        <f>IF(E929="Não","Não aplicável",IFERROR(IF(B929="EU-ENV-002",IF(INDEX(tbl_recyclass[Conforme_PPWR_2030],MATCH(A929,tbl_recyclass[ProductId],0))="Sim","Conforme (autoavaliação)",IF(INDEX(tbl_recyclass[Conforme_PPWR_2030],MATCH(A929,tbl_recyclass[ProductId],0))="Não","Não conforme em 2030","Isento até 2035")),IF(B929="EU-ENV-003",IF(INDEX(tbl_recyclass[Conforme_Art7_2030],MATCH(A929,tbl_recyclass[ProductId],0))="Sim","Conforme (meta 2030)",IF(INDEX(tbl_recyclass[Conforme_Art7_2030],MATCH(A929,tbl_recyclass[ProductId],0))="Não","Lacuna face à meta 2030","Isento")),IF(B929="EU-ENV-011",IF(INDEX(tbl_familias_ppwr[Metais_Pesados_Evidencia],MATCH(INDEX(tbl_recyclass[Familia_PPWR],MATCH(A929,tbl_recyclass[ProductId],0)),tbl_familias_ppwr[ID_Familia],0))="Em falta","Lacuna","Conforme"),IF(B929="EU-ENV-013",IF(INDEX(tbl_familias_ppwr[Declaracao_UE],MATCH(INDEX(tbl_recyclass[Familia_PPWR],MATCH(A929,tbl_recyclass[ProductId],0)),tbl_familias_ppwr[ID_Familia],0))="Sim","Conforme","Lacuna"),G929)))),G929))</f>
        <v>Futuro</v>
      </c>
      <c r="I929" s="33" t="str">
        <f t="shared" si="14"/>
        <v>Futuro</v>
      </c>
      <c r="J929" s="26" t="s">
        <v>1021</v>
      </c>
    </row>
    <row r="930" spans="1:10" ht="16.05" customHeight="1" x14ac:dyDescent="0.3">
      <c r="A930" s="26" t="s">
        <v>715</v>
      </c>
      <c r="B930" s="26" t="s">
        <v>1038</v>
      </c>
      <c r="C930" s="33" t="str">
        <f>IFERROR(INDEX(tbl_requisitos_emb[Tema],MATCH(B930,tbl_requisitos_emb[ID_Req],0)),"")</f>
        <v>Plásticos de utilização única</v>
      </c>
      <c r="D930" s="33" t="str">
        <f>IFERROR(INDEX(tbl_recyclass[Segmento],MATCH(A930,tbl_recyclass[ProductId],0)),"")</f>
        <v>Cosmética e higiene pessoal</v>
      </c>
      <c r="E930" s="26" t="s">
        <v>904</v>
      </c>
      <c r="F930" s="26" t="s">
        <v>1450</v>
      </c>
      <c r="G930" s="26" t="s">
        <v>1143</v>
      </c>
      <c r="H930" s="33" t="str">
        <f>IF(E930="Não","Não aplicável",IFERROR(IF(B930="EU-ENV-002",IF(INDEX(tbl_recyclass[Conforme_PPWR_2030],MATCH(A930,tbl_recyclass[ProductId],0))="Sim","Conforme (autoavaliação)",IF(INDEX(tbl_recyclass[Conforme_PPWR_2030],MATCH(A930,tbl_recyclass[ProductId],0))="Não","Não conforme em 2030","Isento até 2035")),IF(B930="EU-ENV-003",IF(INDEX(tbl_recyclass[Conforme_Art7_2030],MATCH(A930,tbl_recyclass[ProductId],0))="Sim","Conforme (meta 2030)",IF(INDEX(tbl_recyclass[Conforme_Art7_2030],MATCH(A930,tbl_recyclass[ProductId],0))="Não","Lacuna face à meta 2030","Isento")),IF(B930="EU-ENV-011",IF(INDEX(tbl_familias_ppwr[Metais_Pesados_Evidencia],MATCH(INDEX(tbl_recyclass[Familia_PPWR],MATCH(A930,tbl_recyclass[ProductId],0)),tbl_familias_ppwr[ID_Familia],0))="Em falta","Lacuna","Conforme"),IF(B930="EU-ENV-013",IF(INDEX(tbl_familias_ppwr[Declaracao_UE],MATCH(INDEX(tbl_recyclass[Familia_PPWR],MATCH(A930,tbl_recyclass[ProductId],0)),tbl_familias_ppwr[ID_Familia],0))="Sim","Conforme","Lacuna"),G930)))),G930))</f>
        <v>Não aplicável</v>
      </c>
      <c r="I930" s="33" t="str">
        <f t="shared" si="14"/>
        <v>Não aplicável</v>
      </c>
      <c r="J930" s="26"/>
    </row>
    <row r="931" spans="1:10" ht="16.05" customHeight="1" x14ac:dyDescent="0.3">
      <c r="A931" s="26" t="s">
        <v>715</v>
      </c>
      <c r="B931" s="26" t="s">
        <v>1078</v>
      </c>
      <c r="C931" s="33" t="str">
        <f>IFERROR(INDEX(tbl_requisitos_emb[Tema],MATCH(B931,tbl_requisitos_emb[ID_Req],0)),"")</f>
        <v>Reciclado à escala</v>
      </c>
      <c r="D931" s="33" t="str">
        <f>IFERROR(INDEX(tbl_recyclass[Segmento],MATCH(A931,tbl_recyclass[ProductId],0)),"")</f>
        <v>Cosmética e higiene pessoal</v>
      </c>
      <c r="E931" s="26" t="s">
        <v>901</v>
      </c>
      <c r="F931" s="26" t="s">
        <v>1449</v>
      </c>
      <c r="G931" s="26" t="s">
        <v>990</v>
      </c>
      <c r="H931" s="33" t="str">
        <f>IF(E931="Não","Não aplicável",IFERROR(IF(B931="EU-ENV-002",IF(INDEX(tbl_recyclass[Conforme_PPWR_2030],MATCH(A931,tbl_recyclass[ProductId],0))="Sim","Conforme (autoavaliação)",IF(INDEX(tbl_recyclass[Conforme_PPWR_2030],MATCH(A931,tbl_recyclass[ProductId],0))="Não","Não conforme em 2030","Isento até 2035")),IF(B931="EU-ENV-003",IF(INDEX(tbl_recyclass[Conforme_Art7_2030],MATCH(A931,tbl_recyclass[ProductId],0))="Sim","Conforme (meta 2030)",IF(INDEX(tbl_recyclass[Conforme_Art7_2030],MATCH(A931,tbl_recyclass[ProductId],0))="Não","Lacuna face à meta 2030","Isento")),IF(B931="EU-ENV-011",IF(INDEX(tbl_familias_ppwr[Metais_Pesados_Evidencia],MATCH(INDEX(tbl_recyclass[Familia_PPWR],MATCH(A931,tbl_recyclass[ProductId],0)),tbl_familias_ppwr[ID_Familia],0))="Em falta","Lacuna","Conforme"),IF(B931="EU-ENV-013",IF(INDEX(tbl_familias_ppwr[Declaracao_UE],MATCH(INDEX(tbl_recyclass[Familia_PPWR],MATCH(A931,tbl_recyclass[ProductId],0)),tbl_familias_ppwr[ID_Familia],0))="Sim","Conforme","Lacuna"),G931)))),G931))</f>
        <v>Futuro</v>
      </c>
      <c r="I931" s="33" t="str">
        <f t="shared" si="14"/>
        <v>Futuro</v>
      </c>
      <c r="J931" s="26" t="s">
        <v>1082</v>
      </c>
    </row>
    <row r="932" spans="1:10" ht="16.05" customHeight="1" x14ac:dyDescent="0.3">
      <c r="A932" s="26" t="s">
        <v>715</v>
      </c>
      <c r="B932" s="26" t="s">
        <v>1086</v>
      </c>
      <c r="C932" s="33" t="str">
        <f>IFERROR(INDEX(tbl_requisitos_emb[Tema],MATCH(B932,tbl_requisitos_emb[ID_Req],0)),"")</f>
        <v>Metais pesados</v>
      </c>
      <c r="D932" s="33" t="str">
        <f>IFERROR(INDEX(tbl_recyclass[Segmento],MATCH(A932,tbl_recyclass[ProductId],0)),"")</f>
        <v>Cosmética e higiene pessoal</v>
      </c>
      <c r="E932" s="26" t="s">
        <v>901</v>
      </c>
      <c r="F932" s="26" t="s">
        <v>1449</v>
      </c>
      <c r="G932" s="26" t="s">
        <v>978</v>
      </c>
      <c r="H932" s="33" t="str">
        <f>IF(E932="Não","Não aplicável",IFERROR(IF(B932="EU-ENV-002",IF(INDEX(tbl_recyclass[Conforme_PPWR_2030],MATCH(A932,tbl_recyclass[ProductId],0))="Sim","Conforme (autoavaliação)",IF(INDEX(tbl_recyclass[Conforme_PPWR_2030],MATCH(A932,tbl_recyclass[ProductId],0))="Não","Não conforme em 2030","Isento até 2035")),IF(B932="EU-ENV-003",IF(INDEX(tbl_recyclass[Conforme_Art7_2030],MATCH(A932,tbl_recyclass[ProductId],0))="Sim","Conforme (meta 2030)",IF(INDEX(tbl_recyclass[Conforme_Art7_2030],MATCH(A932,tbl_recyclass[ProductId],0))="Não","Lacuna face à meta 2030","Isento")),IF(B932="EU-ENV-011",IF(INDEX(tbl_familias_ppwr[Metais_Pesados_Evidencia],MATCH(INDEX(tbl_recyclass[Familia_PPWR],MATCH(A932,tbl_recyclass[ProductId],0)),tbl_familias_ppwr[ID_Familia],0))="Em falta","Lacuna","Conforme"),IF(B932="EU-ENV-013",IF(INDEX(tbl_familias_ppwr[Declaracao_UE],MATCH(INDEX(tbl_recyclass[Familia_PPWR],MATCH(A932,tbl_recyclass[ProductId],0)),tbl_familias_ppwr[ID_Familia],0))="Sim","Conforme","Lacuna"),G932)))),G932))</f>
        <v>Lacuna</v>
      </c>
      <c r="I932" s="33" t="str">
        <f t="shared" si="14"/>
        <v>Lacuna</v>
      </c>
      <c r="J932" s="26" t="s">
        <v>1090</v>
      </c>
    </row>
    <row r="933" spans="1:10" ht="16.05" customHeight="1" x14ac:dyDescent="0.3">
      <c r="A933" s="26" t="s">
        <v>715</v>
      </c>
      <c r="B933" s="26" t="s">
        <v>1094</v>
      </c>
      <c r="C933" s="33" t="str">
        <f>IFERROR(INDEX(tbl_requisitos_emb[Tema],MATCH(B933,tbl_requisitos_emb[ID_Req],0)),"")</f>
        <v>PFAS</v>
      </c>
      <c r="D933" s="33" t="str">
        <f>IFERROR(INDEX(tbl_recyclass[Segmento],MATCH(A933,tbl_recyclass[ProductId],0)),"")</f>
        <v>Cosmética e higiene pessoal</v>
      </c>
      <c r="E933" s="26" t="s">
        <v>904</v>
      </c>
      <c r="F933" s="26" t="s">
        <v>1450</v>
      </c>
      <c r="G933" s="26" t="s">
        <v>1143</v>
      </c>
      <c r="H933" s="33" t="str">
        <f>IF(E933="Não","Não aplicável",IFERROR(IF(B933="EU-ENV-002",IF(INDEX(tbl_recyclass[Conforme_PPWR_2030],MATCH(A933,tbl_recyclass[ProductId],0))="Sim","Conforme (autoavaliação)",IF(INDEX(tbl_recyclass[Conforme_PPWR_2030],MATCH(A933,tbl_recyclass[ProductId],0))="Não","Não conforme em 2030","Isento até 2035")),IF(B933="EU-ENV-003",IF(INDEX(tbl_recyclass[Conforme_Art7_2030],MATCH(A933,tbl_recyclass[ProductId],0))="Sim","Conforme (meta 2030)",IF(INDEX(tbl_recyclass[Conforme_Art7_2030],MATCH(A933,tbl_recyclass[ProductId],0))="Não","Lacuna face à meta 2030","Isento")),IF(B933="EU-ENV-011",IF(INDEX(tbl_familias_ppwr[Metais_Pesados_Evidencia],MATCH(INDEX(tbl_recyclass[Familia_PPWR],MATCH(A933,tbl_recyclass[ProductId],0)),tbl_familias_ppwr[ID_Familia],0))="Em falta","Lacuna","Conforme"),IF(B933="EU-ENV-013",IF(INDEX(tbl_familias_ppwr[Declaracao_UE],MATCH(INDEX(tbl_recyclass[Familia_PPWR],MATCH(A933,tbl_recyclass[ProductId],0)),tbl_familias_ppwr[ID_Familia],0))="Sim","Conforme","Lacuna"),G933)))),G933))</f>
        <v>Não aplicável</v>
      </c>
      <c r="I933" s="33" t="str">
        <f t="shared" si="14"/>
        <v>Não aplicável</v>
      </c>
      <c r="J933" s="26"/>
    </row>
    <row r="934" spans="1:10" ht="16.05" customHeight="1" x14ac:dyDescent="0.3">
      <c r="A934" s="26" t="s">
        <v>715</v>
      </c>
      <c r="B934" s="26" t="s">
        <v>1102</v>
      </c>
      <c r="C934" s="33" t="str">
        <f>IFERROR(INDEX(tbl_requisitos_emb[Tema],MATCH(B934,tbl_requisitos_emb[ID_Req],0)),"")</f>
        <v>Documentação técnica e declaração UE</v>
      </c>
      <c r="D934" s="33" t="str">
        <f>IFERROR(INDEX(tbl_recyclass[Segmento],MATCH(A934,tbl_recyclass[ProductId],0)),"")</f>
        <v>Cosmética e higiene pessoal</v>
      </c>
      <c r="E934" s="26" t="s">
        <v>901</v>
      </c>
      <c r="F934" s="26" t="s">
        <v>1449</v>
      </c>
      <c r="G934" s="26" t="s">
        <v>978</v>
      </c>
      <c r="H934" s="33" t="str">
        <f>IF(E934="Não","Não aplicável",IFERROR(IF(B934="EU-ENV-002",IF(INDEX(tbl_recyclass[Conforme_PPWR_2030],MATCH(A934,tbl_recyclass[ProductId],0))="Sim","Conforme (autoavaliação)",IF(INDEX(tbl_recyclass[Conforme_PPWR_2030],MATCH(A934,tbl_recyclass[ProductId],0))="Não","Não conforme em 2030","Isento até 2035")),IF(B934="EU-ENV-003",IF(INDEX(tbl_recyclass[Conforme_Art7_2030],MATCH(A934,tbl_recyclass[ProductId],0))="Sim","Conforme (meta 2030)",IF(INDEX(tbl_recyclass[Conforme_Art7_2030],MATCH(A934,tbl_recyclass[ProductId],0))="Não","Lacuna face à meta 2030","Isento")),IF(B934="EU-ENV-011",IF(INDEX(tbl_familias_ppwr[Metais_Pesados_Evidencia],MATCH(INDEX(tbl_recyclass[Familia_PPWR],MATCH(A934,tbl_recyclass[ProductId],0)),tbl_familias_ppwr[ID_Familia],0))="Em falta","Lacuna","Conforme"),IF(B934="EU-ENV-013",IF(INDEX(tbl_familias_ppwr[Declaracao_UE],MATCH(INDEX(tbl_recyclass[Familia_PPWR],MATCH(A934,tbl_recyclass[ProductId],0)),tbl_familias_ppwr[ID_Familia],0))="Sim","Conforme","Lacuna"),G934)))),G934))</f>
        <v>Lacuna</v>
      </c>
      <c r="I934" s="33" t="str">
        <f t="shared" si="14"/>
        <v>Lacuna</v>
      </c>
      <c r="J934" s="26" t="s">
        <v>1106</v>
      </c>
    </row>
    <row r="935" spans="1:10" ht="16.05" customHeight="1" x14ac:dyDescent="0.3">
      <c r="A935" s="26" t="s">
        <v>715</v>
      </c>
      <c r="B935" s="26" t="s">
        <v>1161</v>
      </c>
      <c r="C935" s="33" t="str">
        <f>IFERROR(INDEX(tbl_requisitos_emb[Tema],MATCH(B935,tbl_requisitos_emb[ID_Req],0)),"")</f>
        <v>Materiais em contacto com alimentos</v>
      </c>
      <c r="D935" s="33" t="str">
        <f>IFERROR(INDEX(tbl_recyclass[Segmento],MATCH(A935,tbl_recyclass[ProductId],0)),"")</f>
        <v>Cosmética e higiene pessoal</v>
      </c>
      <c r="E935" s="26" t="s">
        <v>904</v>
      </c>
      <c r="F935" s="26" t="s">
        <v>1450</v>
      </c>
      <c r="G935" s="26" t="s">
        <v>1143</v>
      </c>
      <c r="H935" s="33" t="str">
        <f>IF(E935="Não","Não aplicável",IFERROR(IF(B935="EU-ENV-002",IF(INDEX(tbl_recyclass[Conforme_PPWR_2030],MATCH(A935,tbl_recyclass[ProductId],0))="Sim","Conforme (autoavaliação)",IF(INDEX(tbl_recyclass[Conforme_PPWR_2030],MATCH(A935,tbl_recyclass[ProductId],0))="Não","Não conforme em 2030","Isento até 2035")),IF(B935="EU-ENV-003",IF(INDEX(tbl_recyclass[Conforme_Art7_2030],MATCH(A935,tbl_recyclass[ProductId],0))="Sim","Conforme (meta 2030)",IF(INDEX(tbl_recyclass[Conforme_Art7_2030],MATCH(A935,tbl_recyclass[ProductId],0))="Não","Lacuna face à meta 2030","Isento")),IF(B935="EU-ENV-011",IF(INDEX(tbl_familias_ppwr[Metais_Pesados_Evidencia],MATCH(INDEX(tbl_recyclass[Familia_PPWR],MATCH(A935,tbl_recyclass[ProductId],0)),tbl_familias_ppwr[ID_Familia],0))="Em falta","Lacuna","Conforme"),IF(B935="EU-ENV-013",IF(INDEX(tbl_familias_ppwr[Declaracao_UE],MATCH(INDEX(tbl_recyclass[Familia_PPWR],MATCH(A935,tbl_recyclass[ProductId],0)),tbl_familias_ppwr[ID_Familia],0))="Sim","Conforme","Lacuna"),G935)))),G935))</f>
        <v>Não aplicável</v>
      </c>
      <c r="I935" s="33" t="str">
        <f t="shared" si="14"/>
        <v>Não aplicável</v>
      </c>
      <c r="J935" s="26"/>
    </row>
    <row r="936" spans="1:10" ht="16.05" customHeight="1" x14ac:dyDescent="0.3">
      <c r="A936" s="26" t="s">
        <v>715</v>
      </c>
      <c r="B936" s="26" t="s">
        <v>1170</v>
      </c>
      <c r="C936" s="33" t="str">
        <f>IFERROR(INDEX(tbl_requisitos_emb[Tema],MATCH(B936,tbl_requisitos_emb[ID_Req],0)),"")</f>
        <v>Boas práticas de fabrico FCM</v>
      </c>
      <c r="D936" s="33" t="str">
        <f>IFERROR(INDEX(tbl_recyclass[Segmento],MATCH(A936,tbl_recyclass[ProductId],0)),"")</f>
        <v>Cosmética e higiene pessoal</v>
      </c>
      <c r="E936" s="26" t="s">
        <v>904</v>
      </c>
      <c r="F936" s="26" t="s">
        <v>1450</v>
      </c>
      <c r="G936" s="26" t="s">
        <v>1143</v>
      </c>
      <c r="H936" s="33" t="str">
        <f>IF(E936="Não","Não aplicável",IFERROR(IF(B936="EU-ENV-002",IF(INDEX(tbl_recyclass[Conforme_PPWR_2030],MATCH(A936,tbl_recyclass[ProductId],0))="Sim","Conforme (autoavaliação)",IF(INDEX(tbl_recyclass[Conforme_PPWR_2030],MATCH(A936,tbl_recyclass[ProductId],0))="Não","Não conforme em 2030","Isento até 2035")),IF(B936="EU-ENV-003",IF(INDEX(tbl_recyclass[Conforme_Art7_2030],MATCH(A936,tbl_recyclass[ProductId],0))="Sim","Conforme (meta 2030)",IF(INDEX(tbl_recyclass[Conforme_Art7_2030],MATCH(A936,tbl_recyclass[ProductId],0))="Não","Lacuna face à meta 2030","Isento")),IF(B936="EU-ENV-011",IF(INDEX(tbl_familias_ppwr[Metais_Pesados_Evidencia],MATCH(INDEX(tbl_recyclass[Familia_PPWR],MATCH(A936,tbl_recyclass[ProductId],0)),tbl_familias_ppwr[ID_Familia],0))="Em falta","Lacuna","Conforme"),IF(B936="EU-ENV-013",IF(INDEX(tbl_familias_ppwr[Declaracao_UE],MATCH(INDEX(tbl_recyclass[Familia_PPWR],MATCH(A936,tbl_recyclass[ProductId],0)),tbl_familias_ppwr[ID_Familia],0))="Sim","Conforme","Lacuna"),G936)))),G936))</f>
        <v>Não aplicável</v>
      </c>
      <c r="I936" s="33" t="str">
        <f t="shared" si="14"/>
        <v>Não aplicável</v>
      </c>
      <c r="J936" s="26"/>
    </row>
    <row r="937" spans="1:10" ht="16.05" customHeight="1" x14ac:dyDescent="0.3">
      <c r="A937" s="26" t="s">
        <v>715</v>
      </c>
      <c r="B937" s="26" t="s">
        <v>1179</v>
      </c>
      <c r="C937" s="33" t="str">
        <f>IFERROR(INDEX(tbl_requisitos_emb[Tema],MATCH(B937,tbl_requisitos_emb[ID_Req],0)),"")</f>
        <v>Bisfenol A e bisfenóis perigosos</v>
      </c>
      <c r="D937" s="33" t="str">
        <f>IFERROR(INDEX(tbl_recyclass[Segmento],MATCH(A937,tbl_recyclass[ProductId],0)),"")</f>
        <v>Cosmética e higiene pessoal</v>
      </c>
      <c r="E937" s="26" t="s">
        <v>904</v>
      </c>
      <c r="F937" s="26" t="s">
        <v>1450</v>
      </c>
      <c r="G937" s="26" t="s">
        <v>1143</v>
      </c>
      <c r="H937" s="33" t="str">
        <f>IF(E937="Não","Não aplicável",IFERROR(IF(B937="EU-ENV-002",IF(INDEX(tbl_recyclass[Conforme_PPWR_2030],MATCH(A937,tbl_recyclass[ProductId],0))="Sim","Conforme (autoavaliação)",IF(INDEX(tbl_recyclass[Conforme_PPWR_2030],MATCH(A937,tbl_recyclass[ProductId],0))="Não","Não conforme em 2030","Isento até 2035")),IF(B937="EU-ENV-003",IF(INDEX(tbl_recyclass[Conforme_Art7_2030],MATCH(A937,tbl_recyclass[ProductId],0))="Sim","Conforme (meta 2030)",IF(INDEX(tbl_recyclass[Conforme_Art7_2030],MATCH(A937,tbl_recyclass[ProductId],0))="Não","Lacuna face à meta 2030","Isento")),IF(B937="EU-ENV-011",IF(INDEX(tbl_familias_ppwr[Metais_Pesados_Evidencia],MATCH(INDEX(tbl_recyclass[Familia_PPWR],MATCH(A937,tbl_recyclass[ProductId],0)),tbl_familias_ppwr[ID_Familia],0))="Em falta","Lacuna","Conforme"),IF(B937="EU-ENV-013",IF(INDEX(tbl_familias_ppwr[Declaracao_UE],MATCH(INDEX(tbl_recyclass[Familia_PPWR],MATCH(A937,tbl_recyclass[ProductId],0)),tbl_familias_ppwr[ID_Familia],0))="Sim","Conforme","Lacuna"),G937)))),G937))</f>
        <v>Não aplicável</v>
      </c>
      <c r="I937" s="33" t="str">
        <f t="shared" si="14"/>
        <v>Não aplicável</v>
      </c>
      <c r="J937" s="26"/>
    </row>
    <row r="938" spans="1:10" ht="16.05" customHeight="1" x14ac:dyDescent="0.3">
      <c r="A938" s="26" t="s">
        <v>715</v>
      </c>
      <c r="B938" s="26" t="s">
        <v>1188</v>
      </c>
      <c r="C938" s="33" t="str">
        <f>IFERROR(INDEX(tbl_requisitos_emb[Tema],MATCH(B938,tbl_requisitos_emb[ID_Req],0)),"")</f>
        <v>Plásticos em contacto com alimentos</v>
      </c>
      <c r="D938" s="33" t="str">
        <f>IFERROR(INDEX(tbl_recyclass[Segmento],MATCH(A938,tbl_recyclass[ProductId],0)),"")</f>
        <v>Cosmética e higiene pessoal</v>
      </c>
      <c r="E938" s="26" t="s">
        <v>904</v>
      </c>
      <c r="F938" s="26" t="s">
        <v>1450</v>
      </c>
      <c r="G938" s="26" t="s">
        <v>1143</v>
      </c>
      <c r="H938" s="33" t="str">
        <f>IF(E938="Não","Não aplicável",IFERROR(IF(B938="EU-ENV-002",IF(INDEX(tbl_recyclass[Conforme_PPWR_2030],MATCH(A938,tbl_recyclass[ProductId],0))="Sim","Conforme (autoavaliação)",IF(INDEX(tbl_recyclass[Conforme_PPWR_2030],MATCH(A938,tbl_recyclass[ProductId],0))="Não","Não conforme em 2030","Isento até 2035")),IF(B938="EU-ENV-003",IF(INDEX(tbl_recyclass[Conforme_Art7_2030],MATCH(A938,tbl_recyclass[ProductId],0))="Sim","Conforme (meta 2030)",IF(INDEX(tbl_recyclass[Conforme_Art7_2030],MATCH(A938,tbl_recyclass[ProductId],0))="Não","Lacuna face à meta 2030","Isento")),IF(B938="EU-ENV-011",IF(INDEX(tbl_familias_ppwr[Metais_Pesados_Evidencia],MATCH(INDEX(tbl_recyclass[Familia_PPWR],MATCH(A938,tbl_recyclass[ProductId],0)),tbl_familias_ppwr[ID_Familia],0))="Em falta","Lacuna","Conforme"),IF(B938="EU-ENV-013",IF(INDEX(tbl_familias_ppwr[Declaracao_UE],MATCH(INDEX(tbl_recyclass[Familia_PPWR],MATCH(A938,tbl_recyclass[ProductId],0)),tbl_familias_ppwr[ID_Familia],0))="Sim","Conforme","Lacuna"),G938)))),G938))</f>
        <v>Não aplicável</v>
      </c>
      <c r="I938" s="33" t="str">
        <f t="shared" si="14"/>
        <v>Não aplicável</v>
      </c>
      <c r="J938" s="26"/>
    </row>
    <row r="939" spans="1:10" ht="16.05" customHeight="1" x14ac:dyDescent="0.3">
      <c r="A939" s="26" t="s">
        <v>715</v>
      </c>
      <c r="B939" s="26" t="s">
        <v>1212</v>
      </c>
      <c r="C939" s="33" t="str">
        <f>IFERROR(INDEX(tbl_requisitos_emb[Tema],MATCH(B939,tbl_requisitos_emb[ID_Req],0)),"")</f>
        <v>Segurança do produto cosmético</v>
      </c>
      <c r="D939" s="33" t="str">
        <f>IFERROR(INDEX(tbl_recyclass[Segmento],MATCH(A939,tbl_recyclass[ProductId],0)),"")</f>
        <v>Cosmética e higiene pessoal</v>
      </c>
      <c r="E939" s="26" t="s">
        <v>901</v>
      </c>
      <c r="F939" s="26" t="s">
        <v>1449</v>
      </c>
      <c r="G939" s="26" t="s">
        <v>1033</v>
      </c>
      <c r="H939" s="33" t="str">
        <f>IF(E939="Não","Não aplicável",IFERROR(IF(B939="EU-ENV-002",IF(INDEX(tbl_recyclass[Conforme_PPWR_2030],MATCH(A939,tbl_recyclass[ProductId],0))="Sim","Conforme (autoavaliação)",IF(INDEX(tbl_recyclass[Conforme_PPWR_2030],MATCH(A939,tbl_recyclass[ProductId],0))="Não","Não conforme em 2030","Isento até 2035")),IF(B939="EU-ENV-003",IF(INDEX(tbl_recyclass[Conforme_Art7_2030],MATCH(A939,tbl_recyclass[ProductId],0))="Sim","Conforme (meta 2030)",IF(INDEX(tbl_recyclass[Conforme_Art7_2030],MATCH(A939,tbl_recyclass[ProductId],0))="Não","Lacuna face à meta 2030","Isento")),IF(B939="EU-ENV-011",IF(INDEX(tbl_familias_ppwr[Metais_Pesados_Evidencia],MATCH(INDEX(tbl_recyclass[Familia_PPWR],MATCH(A939,tbl_recyclass[ProductId],0)),tbl_familias_ppwr[ID_Familia],0))="Em falta","Lacuna","Conforme"),IF(B939="EU-ENV-013",IF(INDEX(tbl_familias_ppwr[Declaracao_UE],MATCH(INDEX(tbl_recyclass[Familia_PPWR],MATCH(A939,tbl_recyclass[ProductId],0)),tbl_familias_ppwr[ID_Familia],0))="Sim","Conforme","Lacuna"),G939)))),G939))</f>
        <v>Conforme</v>
      </c>
      <c r="I939" s="33" t="str">
        <f t="shared" si="14"/>
        <v>Conforme</v>
      </c>
      <c r="J939" s="26" t="s">
        <v>1221</v>
      </c>
    </row>
    <row r="940" spans="1:10" ht="16.05" customHeight="1" x14ac:dyDescent="0.3">
      <c r="A940" s="26" t="s">
        <v>715</v>
      </c>
      <c r="B940" s="26" t="s">
        <v>1224</v>
      </c>
      <c r="C940" s="33" t="str">
        <f>IFERROR(INDEX(tbl_requisitos_emb[Tema],MATCH(B940,tbl_requisitos_emb[ID_Req],0)),"")</f>
        <v>Materiais e impurezas</v>
      </c>
      <c r="D940" s="33" t="str">
        <f>IFERROR(INDEX(tbl_recyclass[Segmento],MATCH(A940,tbl_recyclass[ProductId],0)),"")</f>
        <v>Cosmética e higiene pessoal</v>
      </c>
      <c r="E940" s="26" t="s">
        <v>901</v>
      </c>
      <c r="F940" s="26" t="s">
        <v>1449</v>
      </c>
      <c r="G940" s="26" t="s">
        <v>978</v>
      </c>
      <c r="H940" s="33" t="str">
        <f>IF(E940="Não","Não aplicável",IFERROR(IF(B940="EU-ENV-002",IF(INDEX(tbl_recyclass[Conforme_PPWR_2030],MATCH(A940,tbl_recyclass[ProductId],0))="Sim","Conforme (autoavaliação)",IF(INDEX(tbl_recyclass[Conforme_PPWR_2030],MATCH(A940,tbl_recyclass[ProductId],0))="Não","Não conforme em 2030","Isento até 2035")),IF(B940="EU-ENV-003",IF(INDEX(tbl_recyclass[Conforme_Art7_2030],MATCH(A940,tbl_recyclass[ProductId],0))="Sim","Conforme (meta 2030)",IF(INDEX(tbl_recyclass[Conforme_Art7_2030],MATCH(A940,tbl_recyclass[ProductId],0))="Não","Lacuna face à meta 2030","Isento")),IF(B940="EU-ENV-011",IF(INDEX(tbl_familias_ppwr[Metais_Pesados_Evidencia],MATCH(INDEX(tbl_recyclass[Familia_PPWR],MATCH(A940,tbl_recyclass[ProductId],0)),tbl_familias_ppwr[ID_Familia],0))="Em falta","Lacuna","Conforme"),IF(B940="EU-ENV-013",IF(INDEX(tbl_familias_ppwr[Declaracao_UE],MATCH(INDEX(tbl_recyclass[Familia_PPWR],MATCH(A940,tbl_recyclass[ProductId],0)),tbl_familias_ppwr[ID_Familia],0))="Sim","Conforme","Lacuna"),G940)))),G940))</f>
        <v>Parcial</v>
      </c>
      <c r="I940" s="33" t="str">
        <f t="shared" si="14"/>
        <v>Parcial</v>
      </c>
      <c r="J940" s="26" t="s">
        <v>1228</v>
      </c>
    </row>
    <row r="941" spans="1:10" ht="16.05" customHeight="1" x14ac:dyDescent="0.3">
      <c r="A941" s="26" t="s">
        <v>715</v>
      </c>
      <c r="B941" s="26" t="s">
        <v>1240</v>
      </c>
      <c r="C941" s="33" t="str">
        <f>IFERROR(INDEX(tbl_requisitos_emb[Tema],MATCH(B941,tbl_requisitos_emb[ID_Req],0)),"")</f>
        <v>Compatibilidade embalagem–produto</v>
      </c>
      <c r="D941" s="33" t="str">
        <f>IFERROR(INDEX(tbl_recyclass[Segmento],MATCH(A941,tbl_recyclass[ProductId],0)),"")</f>
        <v>Cosmética e higiene pessoal</v>
      </c>
      <c r="E941" s="26" t="s">
        <v>901</v>
      </c>
      <c r="F941" s="26" t="s">
        <v>1449</v>
      </c>
      <c r="G941" s="26" t="s">
        <v>1033</v>
      </c>
      <c r="H941" s="33" t="str">
        <f>IF(E941="Não","Não aplicável",IFERROR(IF(B941="EU-ENV-002",IF(INDEX(tbl_recyclass[Conforme_PPWR_2030],MATCH(A941,tbl_recyclass[ProductId],0))="Sim","Conforme (autoavaliação)",IF(INDEX(tbl_recyclass[Conforme_PPWR_2030],MATCH(A941,tbl_recyclass[ProductId],0))="Não","Não conforme em 2030","Isento até 2035")),IF(B941="EU-ENV-003",IF(INDEX(tbl_recyclass[Conforme_Art7_2030],MATCH(A941,tbl_recyclass[ProductId],0))="Sim","Conforme (meta 2030)",IF(INDEX(tbl_recyclass[Conforme_Art7_2030],MATCH(A941,tbl_recyclass[ProductId],0))="Não","Lacuna face à meta 2030","Isento")),IF(B941="EU-ENV-011",IF(INDEX(tbl_familias_ppwr[Metais_Pesados_Evidencia],MATCH(INDEX(tbl_recyclass[Familia_PPWR],MATCH(A941,tbl_recyclass[ProductId],0)),tbl_familias_ppwr[ID_Familia],0))="Em falta","Lacuna","Conforme"),IF(B941="EU-ENV-013",IF(INDEX(tbl_familias_ppwr[Declaracao_UE],MATCH(INDEX(tbl_recyclass[Familia_PPWR],MATCH(A941,tbl_recyclass[ProductId],0)),tbl_familias_ppwr[ID_Familia],0))="Sim","Conforme","Lacuna"),G941)))),G941))</f>
        <v>Conforme</v>
      </c>
      <c r="I941" s="33" t="str">
        <f t="shared" si="14"/>
        <v>Conforme</v>
      </c>
      <c r="J941" s="26" t="s">
        <v>1244</v>
      </c>
    </row>
    <row r="942" spans="1:10" ht="16.05" customHeight="1" x14ac:dyDescent="0.3">
      <c r="A942" s="26" t="s">
        <v>715</v>
      </c>
      <c r="B942" s="26" t="s">
        <v>1252</v>
      </c>
      <c r="C942" s="33" t="str">
        <f>IFERROR(INDEX(tbl_requisitos_emb[Tema],MATCH(B942,tbl_requisitos_emb[ID_Req],0)),"")</f>
        <v>Medicamentos de uso humano</v>
      </c>
      <c r="D942" s="33" t="str">
        <f>IFERROR(INDEX(tbl_recyclass[Segmento],MATCH(A942,tbl_recyclass[ProductId],0)),"")</f>
        <v>Cosmética e higiene pessoal</v>
      </c>
      <c r="E942" s="26" t="s">
        <v>904</v>
      </c>
      <c r="F942" s="26" t="s">
        <v>1451</v>
      </c>
      <c r="G942" s="26" t="s">
        <v>1143</v>
      </c>
      <c r="H942" s="33" t="str">
        <f>IF(E942="Não","Não aplicável",IFERROR(IF(B942="EU-ENV-002",IF(INDEX(tbl_recyclass[Conforme_PPWR_2030],MATCH(A942,tbl_recyclass[ProductId],0))="Sim","Conforme (autoavaliação)",IF(INDEX(tbl_recyclass[Conforme_PPWR_2030],MATCH(A942,tbl_recyclass[ProductId],0))="Não","Não conforme em 2030","Isento até 2035")),IF(B942="EU-ENV-003",IF(INDEX(tbl_recyclass[Conforme_Art7_2030],MATCH(A942,tbl_recyclass[ProductId],0))="Sim","Conforme (meta 2030)",IF(INDEX(tbl_recyclass[Conforme_Art7_2030],MATCH(A942,tbl_recyclass[ProductId],0))="Não","Lacuna face à meta 2030","Isento")),IF(B942="EU-ENV-011",IF(INDEX(tbl_familias_ppwr[Metais_Pesados_Evidencia],MATCH(INDEX(tbl_recyclass[Familia_PPWR],MATCH(A942,tbl_recyclass[ProductId],0)),tbl_familias_ppwr[ID_Familia],0))="Em falta","Lacuna","Conforme"),IF(B942="EU-ENV-013",IF(INDEX(tbl_familias_ppwr[Declaracao_UE],MATCH(INDEX(tbl_recyclass[Familia_PPWR],MATCH(A942,tbl_recyclass[ProductId],0)),tbl_familias_ppwr[ID_Familia],0))="Sim","Conforme","Lacuna"),G942)))),G942))</f>
        <v>Não aplicável</v>
      </c>
      <c r="I942" s="33" t="str">
        <f t="shared" si="14"/>
        <v>Não aplicável</v>
      </c>
      <c r="J942" s="26"/>
    </row>
    <row r="943" spans="1:10" ht="16.05" customHeight="1" x14ac:dyDescent="0.3">
      <c r="A943" s="26" t="s">
        <v>715</v>
      </c>
      <c r="B943" s="26" t="s">
        <v>1268</v>
      </c>
      <c r="C943" s="33" t="str">
        <f>IFERROR(INDEX(tbl_requisitos_emb[Tema],MATCH(B943,tbl_requisitos_emb[ID_Req],0)),"")</f>
        <v>Dispositivos de segurança</v>
      </c>
      <c r="D943" s="33" t="str">
        <f>IFERROR(INDEX(tbl_recyclass[Segmento],MATCH(A943,tbl_recyclass[ProductId],0)),"")</f>
        <v>Cosmética e higiene pessoal</v>
      </c>
      <c r="E943" s="26" t="s">
        <v>904</v>
      </c>
      <c r="F943" s="26" t="s">
        <v>1451</v>
      </c>
      <c r="G943" s="26" t="s">
        <v>1143</v>
      </c>
      <c r="H943" s="33" t="str">
        <f>IF(E943="Não","Não aplicável",IFERROR(IF(B943="EU-ENV-002",IF(INDEX(tbl_recyclass[Conforme_PPWR_2030],MATCH(A943,tbl_recyclass[ProductId],0))="Sim","Conforme (autoavaliação)",IF(INDEX(tbl_recyclass[Conforme_PPWR_2030],MATCH(A943,tbl_recyclass[ProductId],0))="Não","Não conforme em 2030","Isento até 2035")),IF(B943="EU-ENV-003",IF(INDEX(tbl_recyclass[Conforme_Art7_2030],MATCH(A943,tbl_recyclass[ProductId],0))="Sim","Conforme (meta 2030)",IF(INDEX(tbl_recyclass[Conforme_Art7_2030],MATCH(A943,tbl_recyclass[ProductId],0))="Não","Lacuna face à meta 2030","Isento")),IF(B943="EU-ENV-011",IF(INDEX(tbl_familias_ppwr[Metais_Pesados_Evidencia],MATCH(INDEX(tbl_recyclass[Familia_PPWR],MATCH(A943,tbl_recyclass[ProductId],0)),tbl_familias_ppwr[ID_Familia],0))="Em falta","Lacuna","Conforme"),IF(B943="EU-ENV-013",IF(INDEX(tbl_familias_ppwr[Declaracao_UE],MATCH(INDEX(tbl_recyclass[Familia_PPWR],MATCH(A943,tbl_recyclass[ProductId],0)),tbl_familias_ppwr[ID_Familia],0))="Sim","Conforme","Lacuna"),G943)))),G943))</f>
        <v>Não aplicável</v>
      </c>
      <c r="I943" s="33" t="str">
        <f t="shared" si="14"/>
        <v>Não aplicável</v>
      </c>
      <c r="J943" s="26"/>
    </row>
    <row r="944" spans="1:10" ht="16.05" customHeight="1" x14ac:dyDescent="0.3">
      <c r="A944" s="26" t="s">
        <v>715</v>
      </c>
      <c r="B944" s="26" t="s">
        <v>1285</v>
      </c>
      <c r="C944" s="33" t="str">
        <f>IFERROR(INDEX(tbl_requisitos_emb[Tema],MATCH(B944,tbl_requisitos_emb[ID_Req],0)),"")</f>
        <v>Materiais plásticos de acondicionamento primário</v>
      </c>
      <c r="D944" s="33" t="str">
        <f>IFERROR(INDEX(tbl_recyclass[Segmento],MATCH(A944,tbl_recyclass[ProductId],0)),"")</f>
        <v>Cosmética e higiene pessoal</v>
      </c>
      <c r="E944" s="26" t="s">
        <v>904</v>
      </c>
      <c r="F944" s="26" t="s">
        <v>1451</v>
      </c>
      <c r="G944" s="26" t="s">
        <v>1143</v>
      </c>
      <c r="H944" s="33" t="str">
        <f>IF(E944="Não","Não aplicável",IFERROR(IF(B944="EU-ENV-002",IF(INDEX(tbl_recyclass[Conforme_PPWR_2030],MATCH(A944,tbl_recyclass[ProductId],0))="Sim","Conforme (autoavaliação)",IF(INDEX(tbl_recyclass[Conforme_PPWR_2030],MATCH(A944,tbl_recyclass[ProductId],0))="Não","Não conforme em 2030","Isento até 2035")),IF(B944="EU-ENV-003",IF(INDEX(tbl_recyclass[Conforme_Art7_2030],MATCH(A944,tbl_recyclass[ProductId],0))="Sim","Conforme (meta 2030)",IF(INDEX(tbl_recyclass[Conforme_Art7_2030],MATCH(A944,tbl_recyclass[ProductId],0))="Não","Lacuna face à meta 2030","Isento")),IF(B944="EU-ENV-011",IF(INDEX(tbl_familias_ppwr[Metais_Pesados_Evidencia],MATCH(INDEX(tbl_recyclass[Familia_PPWR],MATCH(A944,tbl_recyclass[ProductId],0)),tbl_familias_ppwr[ID_Familia],0))="Em falta","Lacuna","Conforme"),IF(B944="EU-ENV-013",IF(INDEX(tbl_familias_ppwr[Declaracao_UE],MATCH(INDEX(tbl_recyclass[Familia_PPWR],MATCH(A944,tbl_recyclass[ProductId],0)),tbl_familias_ppwr[ID_Familia],0))="Sim","Conforme","Lacuna"),G944)))),G944))</f>
        <v>Não aplicável</v>
      </c>
      <c r="I944" s="33" t="str">
        <f t="shared" si="14"/>
        <v>Não aplicável</v>
      </c>
      <c r="J944" s="26"/>
    </row>
    <row r="945" spans="1:10" ht="16.05" customHeight="1" x14ac:dyDescent="0.3">
      <c r="A945" s="26" t="s">
        <v>715</v>
      </c>
      <c r="B945" s="26" t="s">
        <v>1293</v>
      </c>
      <c r="C945" s="33" t="str">
        <f>IFERROR(INDEX(tbl_requisitos_emb[Tema],MATCH(B945,tbl_requisitos_emb[ID_Req],0)),"")</f>
        <v>Isenções PPWR</v>
      </c>
      <c r="D945" s="33" t="str">
        <f>IFERROR(INDEX(tbl_recyclass[Segmento],MATCH(A945,tbl_recyclass[ProductId],0)),"")</f>
        <v>Cosmética e higiene pessoal</v>
      </c>
      <c r="E945" s="26" t="s">
        <v>904</v>
      </c>
      <c r="F945" s="26" t="s">
        <v>1451</v>
      </c>
      <c r="G945" s="26" t="s">
        <v>1143</v>
      </c>
      <c r="H945" s="33" t="str">
        <f>IF(E945="Não","Não aplicável",IFERROR(IF(B945="EU-ENV-002",IF(INDEX(tbl_recyclass[Conforme_PPWR_2030],MATCH(A945,tbl_recyclass[ProductId],0))="Sim","Conforme (autoavaliação)",IF(INDEX(tbl_recyclass[Conforme_PPWR_2030],MATCH(A945,tbl_recyclass[ProductId],0))="Não","Não conforme em 2030","Isento até 2035")),IF(B945="EU-ENV-003",IF(INDEX(tbl_recyclass[Conforme_Art7_2030],MATCH(A945,tbl_recyclass[ProductId],0))="Sim","Conforme (meta 2030)",IF(INDEX(tbl_recyclass[Conforme_Art7_2030],MATCH(A945,tbl_recyclass[ProductId],0))="Não","Lacuna face à meta 2030","Isento")),IF(B945="EU-ENV-011",IF(INDEX(tbl_familias_ppwr[Metais_Pesados_Evidencia],MATCH(INDEX(tbl_recyclass[Familia_PPWR],MATCH(A945,tbl_recyclass[ProductId],0)),tbl_familias_ppwr[ID_Familia],0))="Em falta","Lacuna","Conforme"),IF(B945="EU-ENV-013",IF(INDEX(tbl_familias_ppwr[Declaracao_UE],MATCH(INDEX(tbl_recyclass[Familia_PPWR],MATCH(A945,tbl_recyclass[ProductId],0)),tbl_familias_ppwr[ID_Familia],0))="Sim","Conforme","Lacuna"),G945)))),G945))</f>
        <v>Não aplicável</v>
      </c>
      <c r="I945" s="33" t="str">
        <f t="shared" si="14"/>
        <v>Não aplicável</v>
      </c>
      <c r="J945" s="26"/>
    </row>
    <row r="946" spans="1:10" ht="16.05" customHeight="1" x14ac:dyDescent="0.3">
      <c r="A946" s="26" t="s">
        <v>715</v>
      </c>
      <c r="B946" s="26" t="s">
        <v>1357</v>
      </c>
      <c r="C946" s="33" t="str">
        <f>IFERROR(INDEX(tbl_requisitos_emb[Tema],MATCH(B946,tbl_requisitos_emb[ID_Req],0)),"")</f>
        <v>Identificação de plásticos</v>
      </c>
      <c r="D946" s="33" t="str">
        <f>IFERROR(INDEX(tbl_recyclass[Segmento],MATCH(A946,tbl_recyclass[ProductId],0)),"")</f>
        <v>Cosmética e higiene pessoal</v>
      </c>
      <c r="E946" s="26" t="s">
        <v>901</v>
      </c>
      <c r="F946" s="26" t="s">
        <v>1449</v>
      </c>
      <c r="G946" s="26" t="s">
        <v>978</v>
      </c>
      <c r="H946" s="33" t="str">
        <f>IF(E946="Não","Não aplicável",IFERROR(IF(B946="EU-ENV-002",IF(INDEX(tbl_recyclass[Conforme_PPWR_2030],MATCH(A946,tbl_recyclass[ProductId],0))="Sim","Conforme (autoavaliação)",IF(INDEX(tbl_recyclass[Conforme_PPWR_2030],MATCH(A946,tbl_recyclass[ProductId],0))="Não","Não conforme em 2030","Isento até 2035")),IF(B946="EU-ENV-003",IF(INDEX(tbl_recyclass[Conforme_Art7_2030],MATCH(A946,tbl_recyclass[ProductId],0))="Sim","Conforme (meta 2030)",IF(INDEX(tbl_recyclass[Conforme_Art7_2030],MATCH(A946,tbl_recyclass[ProductId],0))="Não","Lacuna face à meta 2030","Isento")),IF(B946="EU-ENV-011",IF(INDEX(tbl_familias_ppwr[Metais_Pesados_Evidencia],MATCH(INDEX(tbl_recyclass[Familia_PPWR],MATCH(A946,tbl_recyclass[ProductId],0)),tbl_familias_ppwr[ID_Familia],0))="Em falta","Lacuna","Conforme"),IF(B946="EU-ENV-013",IF(INDEX(tbl_familias_ppwr[Declaracao_UE],MATCH(INDEX(tbl_recyclass[Familia_PPWR],MATCH(A946,tbl_recyclass[ProductId],0)),tbl_familias_ppwr[ID_Familia],0))="Sim","Conforme","Lacuna"),G946)))),G946))</f>
        <v>Parcial</v>
      </c>
      <c r="I946" s="33" t="str">
        <f t="shared" si="14"/>
        <v>Parcial</v>
      </c>
      <c r="J946" s="26" t="s">
        <v>1362</v>
      </c>
    </row>
    <row r="947" spans="1:10" ht="16.05" customHeight="1" x14ac:dyDescent="0.3">
      <c r="A947" s="26" t="s">
        <v>715</v>
      </c>
      <c r="B947" s="26" t="s">
        <v>1385</v>
      </c>
      <c r="C947" s="33" t="str">
        <f>IFERROR(INDEX(tbl_requisitos_emb[Tema],MATCH(B947,tbl_requisitos_emb[ID_Req],0)),"")</f>
        <v>Reciclabilidade (voluntária)</v>
      </c>
      <c r="D947" s="33" t="str">
        <f>IFERROR(INDEX(tbl_recyclass[Segmento],MATCH(A947,tbl_recyclass[ProductId],0)),"")</f>
        <v>Cosmética e higiene pessoal</v>
      </c>
      <c r="E947" s="26" t="s">
        <v>901</v>
      </c>
      <c r="F947" s="26" t="s">
        <v>1449</v>
      </c>
      <c r="G947" s="26" t="s">
        <v>978</v>
      </c>
      <c r="H947" s="33" t="str">
        <f>IF(E947="Não","Não aplicável",IFERROR(IF(B947="EU-ENV-002",IF(INDEX(tbl_recyclass[Conforme_PPWR_2030],MATCH(A947,tbl_recyclass[ProductId],0))="Sim","Conforme (autoavaliação)",IF(INDEX(tbl_recyclass[Conforme_PPWR_2030],MATCH(A947,tbl_recyclass[ProductId],0))="Não","Não conforme em 2030","Isento até 2035")),IF(B947="EU-ENV-003",IF(INDEX(tbl_recyclass[Conforme_Art7_2030],MATCH(A947,tbl_recyclass[ProductId],0))="Sim","Conforme (meta 2030)",IF(INDEX(tbl_recyclass[Conforme_Art7_2030],MATCH(A947,tbl_recyclass[ProductId],0))="Não","Lacuna face à meta 2030","Isento")),IF(B947="EU-ENV-011",IF(INDEX(tbl_familias_ppwr[Metais_Pesados_Evidencia],MATCH(INDEX(tbl_recyclass[Familia_PPWR],MATCH(A947,tbl_recyclass[ProductId],0)),tbl_familias_ppwr[ID_Familia],0))="Em falta","Lacuna","Conforme"),IF(B947="EU-ENV-013",IF(INDEX(tbl_familias_ppwr[Declaracao_UE],MATCH(INDEX(tbl_recyclass[Familia_PPWR],MATCH(A947,tbl_recyclass[ProductId],0)),tbl_familias_ppwr[ID_Familia],0))="Sim","Conforme","Lacuna"),G947)))),G947))</f>
        <v>Parcial</v>
      </c>
      <c r="I947" s="33" t="str">
        <f t="shared" si="14"/>
        <v>Parcial</v>
      </c>
      <c r="J947" s="26" t="s">
        <v>1389</v>
      </c>
    </row>
    <row r="948" spans="1:10" ht="16.05" customHeight="1" x14ac:dyDescent="0.3">
      <c r="A948" s="26" t="s">
        <v>717</v>
      </c>
      <c r="B948" s="26" t="s">
        <v>984</v>
      </c>
      <c r="C948" s="33" t="str">
        <f>IFERROR(INDEX(tbl_requisitos_emb[Tema],MATCH(B948,tbl_requisitos_emb[ID_Req],0)),"")</f>
        <v>Conceção para reciclagem</v>
      </c>
      <c r="D948" s="33" t="str">
        <f>IFERROR(INDEX(tbl_recyclass[Segmento],MATCH(A948,tbl_recyclass[ProductId],0)),"")</f>
        <v>Cosmética e higiene pessoal</v>
      </c>
      <c r="E948" s="26" t="s">
        <v>901</v>
      </c>
      <c r="F948" s="26" t="s">
        <v>1449</v>
      </c>
      <c r="G948" s="26" t="s">
        <v>978</v>
      </c>
      <c r="H948" s="33" t="str">
        <f>IF(E948="Não","Não aplicável",IFERROR(IF(B948="EU-ENV-002",IF(INDEX(tbl_recyclass[Conforme_PPWR_2030],MATCH(A948,tbl_recyclass[ProductId],0))="Sim","Conforme (autoavaliação)",IF(INDEX(tbl_recyclass[Conforme_PPWR_2030],MATCH(A948,tbl_recyclass[ProductId],0))="Não","Não conforme em 2030","Isento até 2035")),IF(B948="EU-ENV-003",IF(INDEX(tbl_recyclass[Conforme_Art7_2030],MATCH(A948,tbl_recyclass[ProductId],0))="Sim","Conforme (meta 2030)",IF(INDEX(tbl_recyclass[Conforme_Art7_2030],MATCH(A948,tbl_recyclass[ProductId],0))="Não","Lacuna face à meta 2030","Isento")),IF(B948="EU-ENV-011",IF(INDEX(tbl_familias_ppwr[Metais_Pesados_Evidencia],MATCH(INDEX(tbl_recyclass[Familia_PPWR],MATCH(A948,tbl_recyclass[ProductId],0)),tbl_familias_ppwr[ID_Familia],0))="Em falta","Lacuna","Conforme"),IF(B948="EU-ENV-013",IF(INDEX(tbl_familias_ppwr[Declaracao_UE],MATCH(INDEX(tbl_recyclass[Familia_PPWR],MATCH(A948,tbl_recyclass[ProductId],0)),tbl_familias_ppwr[ID_Familia],0))="Sim","Conforme","Lacuna"),G948)))),G948))</f>
        <v>Não conforme em 2030</v>
      </c>
      <c r="I948" s="33" t="str">
        <f t="shared" si="14"/>
        <v>Não conforme</v>
      </c>
      <c r="J948" s="26" t="s">
        <v>991</v>
      </c>
    </row>
    <row r="949" spans="1:10" ht="16.05" customHeight="1" x14ac:dyDescent="0.3">
      <c r="A949" s="26" t="s">
        <v>717</v>
      </c>
      <c r="B949" s="26" t="s">
        <v>997</v>
      </c>
      <c r="C949" s="33" t="str">
        <f>IFERROR(INDEX(tbl_requisitos_emb[Tema],MATCH(B949,tbl_requisitos_emb[ID_Req],0)),"")</f>
        <v>Conteúdo reciclado</v>
      </c>
      <c r="D949" s="33" t="str">
        <f>IFERROR(INDEX(tbl_recyclass[Segmento],MATCH(A949,tbl_recyclass[ProductId],0)),"")</f>
        <v>Cosmética e higiene pessoal</v>
      </c>
      <c r="E949" s="26" t="s">
        <v>901</v>
      </c>
      <c r="F949" s="26" t="s">
        <v>1449</v>
      </c>
      <c r="G949" s="26" t="s">
        <v>978</v>
      </c>
      <c r="H949" s="33" t="str">
        <f>IF(E949="Não","Não aplicável",IFERROR(IF(B949="EU-ENV-002",IF(INDEX(tbl_recyclass[Conforme_PPWR_2030],MATCH(A949,tbl_recyclass[ProductId],0))="Sim","Conforme (autoavaliação)",IF(INDEX(tbl_recyclass[Conforme_PPWR_2030],MATCH(A949,tbl_recyclass[ProductId],0))="Não","Não conforme em 2030","Isento até 2035")),IF(B949="EU-ENV-003",IF(INDEX(tbl_recyclass[Conforme_Art7_2030],MATCH(A949,tbl_recyclass[ProductId],0))="Sim","Conforme (meta 2030)",IF(INDEX(tbl_recyclass[Conforme_Art7_2030],MATCH(A949,tbl_recyclass[ProductId],0))="Não","Lacuna face à meta 2030","Isento")),IF(B949="EU-ENV-011",IF(INDEX(tbl_familias_ppwr[Metais_Pesados_Evidencia],MATCH(INDEX(tbl_recyclass[Familia_PPWR],MATCH(A949,tbl_recyclass[ProductId],0)),tbl_familias_ppwr[ID_Familia],0))="Em falta","Lacuna","Conforme"),IF(B949="EU-ENV-013",IF(INDEX(tbl_familias_ppwr[Declaracao_UE],MATCH(INDEX(tbl_recyclass[Familia_PPWR],MATCH(A949,tbl_recyclass[ProductId],0)),tbl_familias_ppwr[ID_Familia],0))="Sim","Conforme","Lacuna"),G949)))),G949))</f>
        <v>Lacuna face à meta 2030</v>
      </c>
      <c r="I949" s="33" t="str">
        <f t="shared" si="14"/>
        <v>Lacuna</v>
      </c>
      <c r="J949" s="26" t="s">
        <v>1001</v>
      </c>
    </row>
    <row r="950" spans="1:10" ht="16.05" customHeight="1" x14ac:dyDescent="0.3">
      <c r="A950" s="26" t="s">
        <v>717</v>
      </c>
      <c r="B950" s="26" t="s">
        <v>1007</v>
      </c>
      <c r="C950" s="33" t="str">
        <f>IFERROR(INDEX(tbl_requisitos_emb[Tema],MATCH(B950,tbl_requisitos_emb[ID_Req],0)),"")</f>
        <v>Minimização</v>
      </c>
      <c r="D950" s="33" t="str">
        <f>IFERROR(INDEX(tbl_recyclass[Segmento],MATCH(A950,tbl_recyclass[ProductId],0)),"")</f>
        <v>Cosmética e higiene pessoal</v>
      </c>
      <c r="E950" s="26" t="s">
        <v>901</v>
      </c>
      <c r="F950" s="26" t="s">
        <v>1449</v>
      </c>
      <c r="G950" s="26" t="s">
        <v>978</v>
      </c>
      <c r="H950" s="33" t="str">
        <f>IF(E950="Não","Não aplicável",IFERROR(IF(B950="EU-ENV-002",IF(INDEX(tbl_recyclass[Conforme_PPWR_2030],MATCH(A950,tbl_recyclass[ProductId],0))="Sim","Conforme (autoavaliação)",IF(INDEX(tbl_recyclass[Conforme_PPWR_2030],MATCH(A950,tbl_recyclass[ProductId],0))="Não","Não conforme em 2030","Isento até 2035")),IF(B950="EU-ENV-003",IF(INDEX(tbl_recyclass[Conforme_Art7_2030],MATCH(A950,tbl_recyclass[ProductId],0))="Sim","Conforme (meta 2030)",IF(INDEX(tbl_recyclass[Conforme_Art7_2030],MATCH(A950,tbl_recyclass[ProductId],0))="Não","Lacuna face à meta 2030","Isento")),IF(B950="EU-ENV-011",IF(INDEX(tbl_familias_ppwr[Metais_Pesados_Evidencia],MATCH(INDEX(tbl_recyclass[Familia_PPWR],MATCH(A950,tbl_recyclass[ProductId],0)),tbl_familias_ppwr[ID_Familia],0))="Em falta","Lacuna","Conforme"),IF(B950="EU-ENV-013",IF(INDEX(tbl_familias_ppwr[Declaracao_UE],MATCH(INDEX(tbl_recyclass[Familia_PPWR],MATCH(A950,tbl_recyclass[ProductId],0)),tbl_familias_ppwr[ID_Familia],0))="Sim","Conforme","Lacuna"),G950)))),G950))</f>
        <v>Parcial</v>
      </c>
      <c r="I950" s="33" t="str">
        <f t="shared" si="14"/>
        <v>Parcial</v>
      </c>
      <c r="J950" s="26" t="s">
        <v>1012</v>
      </c>
    </row>
    <row r="951" spans="1:10" ht="16.05" customHeight="1" x14ac:dyDescent="0.3">
      <c r="A951" s="26" t="s">
        <v>717</v>
      </c>
      <c r="B951" s="26" t="s">
        <v>1016</v>
      </c>
      <c r="C951" s="33" t="str">
        <f>IFERROR(INDEX(tbl_requisitos_emb[Tema],MATCH(B951,tbl_requisitos_emb[ID_Req],0)),"")</f>
        <v>Rotulagem</v>
      </c>
      <c r="D951" s="33" t="str">
        <f>IFERROR(INDEX(tbl_recyclass[Segmento],MATCH(A951,tbl_recyclass[ProductId],0)),"")</f>
        <v>Cosmética e higiene pessoal</v>
      </c>
      <c r="E951" s="26" t="s">
        <v>901</v>
      </c>
      <c r="F951" s="26" t="s">
        <v>1449</v>
      </c>
      <c r="G951" s="26" t="s">
        <v>990</v>
      </c>
      <c r="H951" s="33" t="str">
        <f>IF(E951="Não","Não aplicável",IFERROR(IF(B951="EU-ENV-002",IF(INDEX(tbl_recyclass[Conforme_PPWR_2030],MATCH(A951,tbl_recyclass[ProductId],0))="Sim","Conforme (autoavaliação)",IF(INDEX(tbl_recyclass[Conforme_PPWR_2030],MATCH(A951,tbl_recyclass[ProductId],0))="Não","Não conforme em 2030","Isento até 2035")),IF(B951="EU-ENV-003",IF(INDEX(tbl_recyclass[Conforme_Art7_2030],MATCH(A951,tbl_recyclass[ProductId],0))="Sim","Conforme (meta 2030)",IF(INDEX(tbl_recyclass[Conforme_Art7_2030],MATCH(A951,tbl_recyclass[ProductId],0))="Não","Lacuna face à meta 2030","Isento")),IF(B951="EU-ENV-011",IF(INDEX(tbl_familias_ppwr[Metais_Pesados_Evidencia],MATCH(INDEX(tbl_recyclass[Familia_PPWR],MATCH(A951,tbl_recyclass[ProductId],0)),tbl_familias_ppwr[ID_Familia],0))="Em falta","Lacuna","Conforme"),IF(B951="EU-ENV-013",IF(INDEX(tbl_familias_ppwr[Declaracao_UE],MATCH(INDEX(tbl_recyclass[Familia_PPWR],MATCH(A951,tbl_recyclass[ProductId],0)),tbl_familias_ppwr[ID_Familia],0))="Sim","Conforme","Lacuna"),G951)))),G951))</f>
        <v>Futuro</v>
      </c>
      <c r="I951" s="33" t="str">
        <f t="shared" si="14"/>
        <v>Futuro</v>
      </c>
      <c r="J951" s="26" t="s">
        <v>1021</v>
      </c>
    </row>
    <row r="952" spans="1:10" ht="16.05" customHeight="1" x14ac:dyDescent="0.3">
      <c r="A952" s="26" t="s">
        <v>717</v>
      </c>
      <c r="B952" s="26" t="s">
        <v>1038</v>
      </c>
      <c r="C952" s="33" t="str">
        <f>IFERROR(INDEX(tbl_requisitos_emb[Tema],MATCH(B952,tbl_requisitos_emb[ID_Req],0)),"")</f>
        <v>Plásticos de utilização única</v>
      </c>
      <c r="D952" s="33" t="str">
        <f>IFERROR(INDEX(tbl_recyclass[Segmento],MATCH(A952,tbl_recyclass[ProductId],0)),"")</f>
        <v>Cosmética e higiene pessoal</v>
      </c>
      <c r="E952" s="26" t="s">
        <v>904</v>
      </c>
      <c r="F952" s="26" t="s">
        <v>1450</v>
      </c>
      <c r="G952" s="26" t="s">
        <v>1143</v>
      </c>
      <c r="H952" s="33" t="str">
        <f>IF(E952="Não","Não aplicável",IFERROR(IF(B952="EU-ENV-002",IF(INDEX(tbl_recyclass[Conforme_PPWR_2030],MATCH(A952,tbl_recyclass[ProductId],0))="Sim","Conforme (autoavaliação)",IF(INDEX(tbl_recyclass[Conforme_PPWR_2030],MATCH(A952,tbl_recyclass[ProductId],0))="Não","Não conforme em 2030","Isento até 2035")),IF(B952="EU-ENV-003",IF(INDEX(tbl_recyclass[Conforme_Art7_2030],MATCH(A952,tbl_recyclass[ProductId],0))="Sim","Conforme (meta 2030)",IF(INDEX(tbl_recyclass[Conforme_Art7_2030],MATCH(A952,tbl_recyclass[ProductId],0))="Não","Lacuna face à meta 2030","Isento")),IF(B952="EU-ENV-011",IF(INDEX(tbl_familias_ppwr[Metais_Pesados_Evidencia],MATCH(INDEX(tbl_recyclass[Familia_PPWR],MATCH(A952,tbl_recyclass[ProductId],0)),tbl_familias_ppwr[ID_Familia],0))="Em falta","Lacuna","Conforme"),IF(B952="EU-ENV-013",IF(INDEX(tbl_familias_ppwr[Declaracao_UE],MATCH(INDEX(tbl_recyclass[Familia_PPWR],MATCH(A952,tbl_recyclass[ProductId],0)),tbl_familias_ppwr[ID_Familia],0))="Sim","Conforme","Lacuna"),G952)))),G952))</f>
        <v>Não aplicável</v>
      </c>
      <c r="I952" s="33" t="str">
        <f t="shared" si="14"/>
        <v>Não aplicável</v>
      </c>
      <c r="J952" s="26"/>
    </row>
    <row r="953" spans="1:10" ht="16.05" customHeight="1" x14ac:dyDescent="0.3">
      <c r="A953" s="26" t="s">
        <v>717</v>
      </c>
      <c r="B953" s="26" t="s">
        <v>1078</v>
      </c>
      <c r="C953" s="33" t="str">
        <f>IFERROR(INDEX(tbl_requisitos_emb[Tema],MATCH(B953,tbl_requisitos_emb[ID_Req],0)),"")</f>
        <v>Reciclado à escala</v>
      </c>
      <c r="D953" s="33" t="str">
        <f>IFERROR(INDEX(tbl_recyclass[Segmento],MATCH(A953,tbl_recyclass[ProductId],0)),"")</f>
        <v>Cosmética e higiene pessoal</v>
      </c>
      <c r="E953" s="26" t="s">
        <v>901</v>
      </c>
      <c r="F953" s="26" t="s">
        <v>1449</v>
      </c>
      <c r="G953" s="26" t="s">
        <v>990</v>
      </c>
      <c r="H953" s="33" t="str">
        <f>IF(E953="Não","Não aplicável",IFERROR(IF(B953="EU-ENV-002",IF(INDEX(tbl_recyclass[Conforme_PPWR_2030],MATCH(A953,tbl_recyclass[ProductId],0))="Sim","Conforme (autoavaliação)",IF(INDEX(tbl_recyclass[Conforme_PPWR_2030],MATCH(A953,tbl_recyclass[ProductId],0))="Não","Não conforme em 2030","Isento até 2035")),IF(B953="EU-ENV-003",IF(INDEX(tbl_recyclass[Conforme_Art7_2030],MATCH(A953,tbl_recyclass[ProductId],0))="Sim","Conforme (meta 2030)",IF(INDEX(tbl_recyclass[Conforme_Art7_2030],MATCH(A953,tbl_recyclass[ProductId],0))="Não","Lacuna face à meta 2030","Isento")),IF(B953="EU-ENV-011",IF(INDEX(tbl_familias_ppwr[Metais_Pesados_Evidencia],MATCH(INDEX(tbl_recyclass[Familia_PPWR],MATCH(A953,tbl_recyclass[ProductId],0)),tbl_familias_ppwr[ID_Familia],0))="Em falta","Lacuna","Conforme"),IF(B953="EU-ENV-013",IF(INDEX(tbl_familias_ppwr[Declaracao_UE],MATCH(INDEX(tbl_recyclass[Familia_PPWR],MATCH(A953,tbl_recyclass[ProductId],0)),tbl_familias_ppwr[ID_Familia],0))="Sim","Conforme","Lacuna"),G953)))),G953))</f>
        <v>Futuro</v>
      </c>
      <c r="I953" s="33" t="str">
        <f t="shared" si="14"/>
        <v>Futuro</v>
      </c>
      <c r="J953" s="26" t="s">
        <v>1082</v>
      </c>
    </row>
    <row r="954" spans="1:10" ht="16.05" customHeight="1" x14ac:dyDescent="0.3">
      <c r="A954" s="26" t="s">
        <v>717</v>
      </c>
      <c r="B954" s="26" t="s">
        <v>1086</v>
      </c>
      <c r="C954" s="33" t="str">
        <f>IFERROR(INDEX(tbl_requisitos_emb[Tema],MATCH(B954,tbl_requisitos_emb[ID_Req],0)),"")</f>
        <v>Metais pesados</v>
      </c>
      <c r="D954" s="33" t="str">
        <f>IFERROR(INDEX(tbl_recyclass[Segmento],MATCH(A954,tbl_recyclass[ProductId],0)),"")</f>
        <v>Cosmética e higiene pessoal</v>
      </c>
      <c r="E954" s="26" t="s">
        <v>901</v>
      </c>
      <c r="F954" s="26" t="s">
        <v>1449</v>
      </c>
      <c r="G954" s="26" t="s">
        <v>978</v>
      </c>
      <c r="H954" s="33" t="str">
        <f>IF(E954="Não","Não aplicável",IFERROR(IF(B954="EU-ENV-002",IF(INDEX(tbl_recyclass[Conforme_PPWR_2030],MATCH(A954,tbl_recyclass[ProductId],0))="Sim","Conforme (autoavaliação)",IF(INDEX(tbl_recyclass[Conforme_PPWR_2030],MATCH(A954,tbl_recyclass[ProductId],0))="Não","Não conforme em 2030","Isento até 2035")),IF(B954="EU-ENV-003",IF(INDEX(tbl_recyclass[Conforme_Art7_2030],MATCH(A954,tbl_recyclass[ProductId],0))="Sim","Conforme (meta 2030)",IF(INDEX(tbl_recyclass[Conforme_Art7_2030],MATCH(A954,tbl_recyclass[ProductId],0))="Não","Lacuna face à meta 2030","Isento")),IF(B954="EU-ENV-011",IF(INDEX(tbl_familias_ppwr[Metais_Pesados_Evidencia],MATCH(INDEX(tbl_recyclass[Familia_PPWR],MATCH(A954,tbl_recyclass[ProductId],0)),tbl_familias_ppwr[ID_Familia],0))="Em falta","Lacuna","Conforme"),IF(B954="EU-ENV-013",IF(INDEX(tbl_familias_ppwr[Declaracao_UE],MATCH(INDEX(tbl_recyclass[Familia_PPWR],MATCH(A954,tbl_recyclass[ProductId],0)),tbl_familias_ppwr[ID_Familia],0))="Sim","Conforme","Lacuna"),G954)))),G954))</f>
        <v>Lacuna</v>
      </c>
      <c r="I954" s="33" t="str">
        <f t="shared" si="14"/>
        <v>Lacuna</v>
      </c>
      <c r="J954" s="26" t="s">
        <v>1090</v>
      </c>
    </row>
    <row r="955" spans="1:10" ht="16.05" customHeight="1" x14ac:dyDescent="0.3">
      <c r="A955" s="26" t="s">
        <v>717</v>
      </c>
      <c r="B955" s="26" t="s">
        <v>1094</v>
      </c>
      <c r="C955" s="33" t="str">
        <f>IFERROR(INDEX(tbl_requisitos_emb[Tema],MATCH(B955,tbl_requisitos_emb[ID_Req],0)),"")</f>
        <v>PFAS</v>
      </c>
      <c r="D955" s="33" t="str">
        <f>IFERROR(INDEX(tbl_recyclass[Segmento],MATCH(A955,tbl_recyclass[ProductId],0)),"")</f>
        <v>Cosmética e higiene pessoal</v>
      </c>
      <c r="E955" s="26" t="s">
        <v>904</v>
      </c>
      <c r="F955" s="26" t="s">
        <v>1450</v>
      </c>
      <c r="G955" s="26" t="s">
        <v>1143</v>
      </c>
      <c r="H955" s="33" t="str">
        <f>IF(E955="Não","Não aplicável",IFERROR(IF(B955="EU-ENV-002",IF(INDEX(tbl_recyclass[Conforme_PPWR_2030],MATCH(A955,tbl_recyclass[ProductId],0))="Sim","Conforme (autoavaliação)",IF(INDEX(tbl_recyclass[Conforme_PPWR_2030],MATCH(A955,tbl_recyclass[ProductId],0))="Não","Não conforme em 2030","Isento até 2035")),IF(B955="EU-ENV-003",IF(INDEX(tbl_recyclass[Conforme_Art7_2030],MATCH(A955,tbl_recyclass[ProductId],0))="Sim","Conforme (meta 2030)",IF(INDEX(tbl_recyclass[Conforme_Art7_2030],MATCH(A955,tbl_recyclass[ProductId],0))="Não","Lacuna face à meta 2030","Isento")),IF(B955="EU-ENV-011",IF(INDEX(tbl_familias_ppwr[Metais_Pesados_Evidencia],MATCH(INDEX(tbl_recyclass[Familia_PPWR],MATCH(A955,tbl_recyclass[ProductId],0)),tbl_familias_ppwr[ID_Familia],0))="Em falta","Lacuna","Conforme"),IF(B955="EU-ENV-013",IF(INDEX(tbl_familias_ppwr[Declaracao_UE],MATCH(INDEX(tbl_recyclass[Familia_PPWR],MATCH(A955,tbl_recyclass[ProductId],0)),tbl_familias_ppwr[ID_Familia],0))="Sim","Conforme","Lacuna"),G955)))),G955))</f>
        <v>Não aplicável</v>
      </c>
      <c r="I955" s="33" t="str">
        <f t="shared" si="14"/>
        <v>Não aplicável</v>
      </c>
      <c r="J955" s="26"/>
    </row>
    <row r="956" spans="1:10" ht="16.05" customHeight="1" x14ac:dyDescent="0.3">
      <c r="A956" s="26" t="s">
        <v>717</v>
      </c>
      <c r="B956" s="26" t="s">
        <v>1102</v>
      </c>
      <c r="C956" s="33" t="str">
        <f>IFERROR(INDEX(tbl_requisitos_emb[Tema],MATCH(B956,tbl_requisitos_emb[ID_Req],0)),"")</f>
        <v>Documentação técnica e declaração UE</v>
      </c>
      <c r="D956" s="33" t="str">
        <f>IFERROR(INDEX(tbl_recyclass[Segmento],MATCH(A956,tbl_recyclass[ProductId],0)),"")</f>
        <v>Cosmética e higiene pessoal</v>
      </c>
      <c r="E956" s="26" t="s">
        <v>901</v>
      </c>
      <c r="F956" s="26" t="s">
        <v>1449</v>
      </c>
      <c r="G956" s="26" t="s">
        <v>978</v>
      </c>
      <c r="H956" s="33" t="str">
        <f>IF(E956="Não","Não aplicável",IFERROR(IF(B956="EU-ENV-002",IF(INDEX(tbl_recyclass[Conforme_PPWR_2030],MATCH(A956,tbl_recyclass[ProductId],0))="Sim","Conforme (autoavaliação)",IF(INDEX(tbl_recyclass[Conforme_PPWR_2030],MATCH(A956,tbl_recyclass[ProductId],0))="Não","Não conforme em 2030","Isento até 2035")),IF(B956="EU-ENV-003",IF(INDEX(tbl_recyclass[Conforme_Art7_2030],MATCH(A956,tbl_recyclass[ProductId],0))="Sim","Conforme (meta 2030)",IF(INDEX(tbl_recyclass[Conforme_Art7_2030],MATCH(A956,tbl_recyclass[ProductId],0))="Não","Lacuna face à meta 2030","Isento")),IF(B956="EU-ENV-011",IF(INDEX(tbl_familias_ppwr[Metais_Pesados_Evidencia],MATCH(INDEX(tbl_recyclass[Familia_PPWR],MATCH(A956,tbl_recyclass[ProductId],0)),tbl_familias_ppwr[ID_Familia],0))="Em falta","Lacuna","Conforme"),IF(B956="EU-ENV-013",IF(INDEX(tbl_familias_ppwr[Declaracao_UE],MATCH(INDEX(tbl_recyclass[Familia_PPWR],MATCH(A956,tbl_recyclass[ProductId],0)),tbl_familias_ppwr[ID_Familia],0))="Sim","Conforme","Lacuna"),G956)))),G956))</f>
        <v>Conforme</v>
      </c>
      <c r="I956" s="33" t="str">
        <f t="shared" si="14"/>
        <v>Conforme</v>
      </c>
      <c r="J956" s="26" t="s">
        <v>1106</v>
      </c>
    </row>
    <row r="957" spans="1:10" ht="16.05" customHeight="1" x14ac:dyDescent="0.3">
      <c r="A957" s="26" t="s">
        <v>717</v>
      </c>
      <c r="B957" s="26" t="s">
        <v>1161</v>
      </c>
      <c r="C957" s="33" t="str">
        <f>IFERROR(INDEX(tbl_requisitos_emb[Tema],MATCH(B957,tbl_requisitos_emb[ID_Req],0)),"")</f>
        <v>Materiais em contacto com alimentos</v>
      </c>
      <c r="D957" s="33" t="str">
        <f>IFERROR(INDEX(tbl_recyclass[Segmento],MATCH(A957,tbl_recyclass[ProductId],0)),"")</f>
        <v>Cosmética e higiene pessoal</v>
      </c>
      <c r="E957" s="26" t="s">
        <v>904</v>
      </c>
      <c r="F957" s="26" t="s">
        <v>1450</v>
      </c>
      <c r="G957" s="26" t="s">
        <v>1143</v>
      </c>
      <c r="H957" s="33" t="str">
        <f>IF(E957="Não","Não aplicável",IFERROR(IF(B957="EU-ENV-002",IF(INDEX(tbl_recyclass[Conforme_PPWR_2030],MATCH(A957,tbl_recyclass[ProductId],0))="Sim","Conforme (autoavaliação)",IF(INDEX(tbl_recyclass[Conforme_PPWR_2030],MATCH(A957,tbl_recyclass[ProductId],0))="Não","Não conforme em 2030","Isento até 2035")),IF(B957="EU-ENV-003",IF(INDEX(tbl_recyclass[Conforme_Art7_2030],MATCH(A957,tbl_recyclass[ProductId],0))="Sim","Conforme (meta 2030)",IF(INDEX(tbl_recyclass[Conforme_Art7_2030],MATCH(A957,tbl_recyclass[ProductId],0))="Não","Lacuna face à meta 2030","Isento")),IF(B957="EU-ENV-011",IF(INDEX(tbl_familias_ppwr[Metais_Pesados_Evidencia],MATCH(INDEX(tbl_recyclass[Familia_PPWR],MATCH(A957,tbl_recyclass[ProductId],0)),tbl_familias_ppwr[ID_Familia],0))="Em falta","Lacuna","Conforme"),IF(B957="EU-ENV-013",IF(INDEX(tbl_familias_ppwr[Declaracao_UE],MATCH(INDEX(tbl_recyclass[Familia_PPWR],MATCH(A957,tbl_recyclass[ProductId],0)),tbl_familias_ppwr[ID_Familia],0))="Sim","Conforme","Lacuna"),G957)))),G957))</f>
        <v>Não aplicável</v>
      </c>
      <c r="I957" s="33" t="str">
        <f t="shared" si="14"/>
        <v>Não aplicável</v>
      </c>
      <c r="J957" s="26"/>
    </row>
    <row r="958" spans="1:10" ht="16.05" customHeight="1" x14ac:dyDescent="0.3">
      <c r="A958" s="26" t="s">
        <v>717</v>
      </c>
      <c r="B958" s="26" t="s">
        <v>1170</v>
      </c>
      <c r="C958" s="33" t="str">
        <f>IFERROR(INDEX(tbl_requisitos_emb[Tema],MATCH(B958,tbl_requisitos_emb[ID_Req],0)),"")</f>
        <v>Boas práticas de fabrico FCM</v>
      </c>
      <c r="D958" s="33" t="str">
        <f>IFERROR(INDEX(tbl_recyclass[Segmento],MATCH(A958,tbl_recyclass[ProductId],0)),"")</f>
        <v>Cosmética e higiene pessoal</v>
      </c>
      <c r="E958" s="26" t="s">
        <v>904</v>
      </c>
      <c r="F958" s="26" t="s">
        <v>1450</v>
      </c>
      <c r="G958" s="26" t="s">
        <v>1143</v>
      </c>
      <c r="H958" s="33" t="str">
        <f>IF(E958="Não","Não aplicável",IFERROR(IF(B958="EU-ENV-002",IF(INDEX(tbl_recyclass[Conforme_PPWR_2030],MATCH(A958,tbl_recyclass[ProductId],0))="Sim","Conforme (autoavaliação)",IF(INDEX(tbl_recyclass[Conforme_PPWR_2030],MATCH(A958,tbl_recyclass[ProductId],0))="Não","Não conforme em 2030","Isento até 2035")),IF(B958="EU-ENV-003",IF(INDEX(tbl_recyclass[Conforme_Art7_2030],MATCH(A958,tbl_recyclass[ProductId],0))="Sim","Conforme (meta 2030)",IF(INDEX(tbl_recyclass[Conforme_Art7_2030],MATCH(A958,tbl_recyclass[ProductId],0))="Não","Lacuna face à meta 2030","Isento")),IF(B958="EU-ENV-011",IF(INDEX(tbl_familias_ppwr[Metais_Pesados_Evidencia],MATCH(INDEX(tbl_recyclass[Familia_PPWR],MATCH(A958,tbl_recyclass[ProductId],0)),tbl_familias_ppwr[ID_Familia],0))="Em falta","Lacuna","Conforme"),IF(B958="EU-ENV-013",IF(INDEX(tbl_familias_ppwr[Declaracao_UE],MATCH(INDEX(tbl_recyclass[Familia_PPWR],MATCH(A958,tbl_recyclass[ProductId],0)),tbl_familias_ppwr[ID_Familia],0))="Sim","Conforme","Lacuna"),G958)))),G958))</f>
        <v>Não aplicável</v>
      </c>
      <c r="I958" s="33" t="str">
        <f t="shared" si="14"/>
        <v>Não aplicável</v>
      </c>
      <c r="J958" s="26"/>
    </row>
    <row r="959" spans="1:10" ht="16.05" customHeight="1" x14ac:dyDescent="0.3">
      <c r="A959" s="26" t="s">
        <v>717</v>
      </c>
      <c r="B959" s="26" t="s">
        <v>1179</v>
      </c>
      <c r="C959" s="33" t="str">
        <f>IFERROR(INDEX(tbl_requisitos_emb[Tema],MATCH(B959,tbl_requisitos_emb[ID_Req],0)),"")</f>
        <v>Bisfenol A e bisfenóis perigosos</v>
      </c>
      <c r="D959" s="33" t="str">
        <f>IFERROR(INDEX(tbl_recyclass[Segmento],MATCH(A959,tbl_recyclass[ProductId],0)),"")</f>
        <v>Cosmética e higiene pessoal</v>
      </c>
      <c r="E959" s="26" t="s">
        <v>904</v>
      </c>
      <c r="F959" s="26" t="s">
        <v>1450</v>
      </c>
      <c r="G959" s="26" t="s">
        <v>1143</v>
      </c>
      <c r="H959" s="33" t="str">
        <f>IF(E959="Não","Não aplicável",IFERROR(IF(B959="EU-ENV-002",IF(INDEX(tbl_recyclass[Conforme_PPWR_2030],MATCH(A959,tbl_recyclass[ProductId],0))="Sim","Conforme (autoavaliação)",IF(INDEX(tbl_recyclass[Conforme_PPWR_2030],MATCH(A959,tbl_recyclass[ProductId],0))="Não","Não conforme em 2030","Isento até 2035")),IF(B959="EU-ENV-003",IF(INDEX(tbl_recyclass[Conforme_Art7_2030],MATCH(A959,tbl_recyclass[ProductId],0))="Sim","Conforme (meta 2030)",IF(INDEX(tbl_recyclass[Conforme_Art7_2030],MATCH(A959,tbl_recyclass[ProductId],0))="Não","Lacuna face à meta 2030","Isento")),IF(B959="EU-ENV-011",IF(INDEX(tbl_familias_ppwr[Metais_Pesados_Evidencia],MATCH(INDEX(tbl_recyclass[Familia_PPWR],MATCH(A959,tbl_recyclass[ProductId],0)),tbl_familias_ppwr[ID_Familia],0))="Em falta","Lacuna","Conforme"),IF(B959="EU-ENV-013",IF(INDEX(tbl_familias_ppwr[Declaracao_UE],MATCH(INDEX(tbl_recyclass[Familia_PPWR],MATCH(A959,tbl_recyclass[ProductId],0)),tbl_familias_ppwr[ID_Familia],0))="Sim","Conforme","Lacuna"),G959)))),G959))</f>
        <v>Não aplicável</v>
      </c>
      <c r="I959" s="33" t="str">
        <f t="shared" si="14"/>
        <v>Não aplicável</v>
      </c>
      <c r="J959" s="26"/>
    </row>
    <row r="960" spans="1:10" ht="16.05" customHeight="1" x14ac:dyDescent="0.3">
      <c r="A960" s="26" t="s">
        <v>717</v>
      </c>
      <c r="B960" s="26" t="s">
        <v>1188</v>
      </c>
      <c r="C960" s="33" t="str">
        <f>IFERROR(INDEX(tbl_requisitos_emb[Tema],MATCH(B960,tbl_requisitos_emb[ID_Req],0)),"")</f>
        <v>Plásticos em contacto com alimentos</v>
      </c>
      <c r="D960" s="33" t="str">
        <f>IFERROR(INDEX(tbl_recyclass[Segmento],MATCH(A960,tbl_recyclass[ProductId],0)),"")</f>
        <v>Cosmética e higiene pessoal</v>
      </c>
      <c r="E960" s="26" t="s">
        <v>904</v>
      </c>
      <c r="F960" s="26" t="s">
        <v>1450</v>
      </c>
      <c r="G960" s="26" t="s">
        <v>1143</v>
      </c>
      <c r="H960" s="33" t="str">
        <f>IF(E960="Não","Não aplicável",IFERROR(IF(B960="EU-ENV-002",IF(INDEX(tbl_recyclass[Conforme_PPWR_2030],MATCH(A960,tbl_recyclass[ProductId],0))="Sim","Conforme (autoavaliação)",IF(INDEX(tbl_recyclass[Conforme_PPWR_2030],MATCH(A960,tbl_recyclass[ProductId],0))="Não","Não conforme em 2030","Isento até 2035")),IF(B960="EU-ENV-003",IF(INDEX(tbl_recyclass[Conforme_Art7_2030],MATCH(A960,tbl_recyclass[ProductId],0))="Sim","Conforme (meta 2030)",IF(INDEX(tbl_recyclass[Conforme_Art7_2030],MATCH(A960,tbl_recyclass[ProductId],0))="Não","Lacuna face à meta 2030","Isento")),IF(B960="EU-ENV-011",IF(INDEX(tbl_familias_ppwr[Metais_Pesados_Evidencia],MATCH(INDEX(tbl_recyclass[Familia_PPWR],MATCH(A960,tbl_recyclass[ProductId],0)),tbl_familias_ppwr[ID_Familia],0))="Em falta","Lacuna","Conforme"),IF(B960="EU-ENV-013",IF(INDEX(tbl_familias_ppwr[Declaracao_UE],MATCH(INDEX(tbl_recyclass[Familia_PPWR],MATCH(A960,tbl_recyclass[ProductId],0)),tbl_familias_ppwr[ID_Familia],0))="Sim","Conforme","Lacuna"),G960)))),G960))</f>
        <v>Não aplicável</v>
      </c>
      <c r="I960" s="33" t="str">
        <f t="shared" si="14"/>
        <v>Não aplicável</v>
      </c>
      <c r="J960" s="26"/>
    </row>
    <row r="961" spans="1:10" ht="16.05" customHeight="1" x14ac:dyDescent="0.3">
      <c r="A961" s="26" t="s">
        <v>717</v>
      </c>
      <c r="B961" s="26" t="s">
        <v>1212</v>
      </c>
      <c r="C961" s="33" t="str">
        <f>IFERROR(INDEX(tbl_requisitos_emb[Tema],MATCH(B961,tbl_requisitos_emb[ID_Req],0)),"")</f>
        <v>Segurança do produto cosmético</v>
      </c>
      <c r="D961" s="33" t="str">
        <f>IFERROR(INDEX(tbl_recyclass[Segmento],MATCH(A961,tbl_recyclass[ProductId],0)),"")</f>
        <v>Cosmética e higiene pessoal</v>
      </c>
      <c r="E961" s="26" t="s">
        <v>901</v>
      </c>
      <c r="F961" s="26" t="s">
        <v>1449</v>
      </c>
      <c r="G961" s="26" t="s">
        <v>1033</v>
      </c>
      <c r="H961" s="33" t="str">
        <f>IF(E961="Não","Não aplicável",IFERROR(IF(B961="EU-ENV-002",IF(INDEX(tbl_recyclass[Conforme_PPWR_2030],MATCH(A961,tbl_recyclass[ProductId],0))="Sim","Conforme (autoavaliação)",IF(INDEX(tbl_recyclass[Conforme_PPWR_2030],MATCH(A961,tbl_recyclass[ProductId],0))="Não","Não conforme em 2030","Isento até 2035")),IF(B961="EU-ENV-003",IF(INDEX(tbl_recyclass[Conforme_Art7_2030],MATCH(A961,tbl_recyclass[ProductId],0))="Sim","Conforme (meta 2030)",IF(INDEX(tbl_recyclass[Conforme_Art7_2030],MATCH(A961,tbl_recyclass[ProductId],0))="Não","Lacuna face à meta 2030","Isento")),IF(B961="EU-ENV-011",IF(INDEX(tbl_familias_ppwr[Metais_Pesados_Evidencia],MATCH(INDEX(tbl_recyclass[Familia_PPWR],MATCH(A961,tbl_recyclass[ProductId],0)),tbl_familias_ppwr[ID_Familia],0))="Em falta","Lacuna","Conforme"),IF(B961="EU-ENV-013",IF(INDEX(tbl_familias_ppwr[Declaracao_UE],MATCH(INDEX(tbl_recyclass[Familia_PPWR],MATCH(A961,tbl_recyclass[ProductId],0)),tbl_familias_ppwr[ID_Familia],0))="Sim","Conforme","Lacuna"),G961)))),G961))</f>
        <v>Conforme</v>
      </c>
      <c r="I961" s="33" t="str">
        <f t="shared" si="14"/>
        <v>Conforme</v>
      </c>
      <c r="J961" s="26" t="s">
        <v>1221</v>
      </c>
    </row>
    <row r="962" spans="1:10" ht="16.05" customHeight="1" x14ac:dyDescent="0.3">
      <c r="A962" s="26" t="s">
        <v>717</v>
      </c>
      <c r="B962" s="26" t="s">
        <v>1224</v>
      </c>
      <c r="C962" s="33" t="str">
        <f>IFERROR(INDEX(tbl_requisitos_emb[Tema],MATCH(B962,tbl_requisitos_emb[ID_Req],0)),"")</f>
        <v>Materiais e impurezas</v>
      </c>
      <c r="D962" s="33" t="str">
        <f>IFERROR(INDEX(tbl_recyclass[Segmento],MATCH(A962,tbl_recyclass[ProductId],0)),"")</f>
        <v>Cosmética e higiene pessoal</v>
      </c>
      <c r="E962" s="26" t="s">
        <v>901</v>
      </c>
      <c r="F962" s="26" t="s">
        <v>1449</v>
      </c>
      <c r="G962" s="26" t="s">
        <v>978</v>
      </c>
      <c r="H962" s="33" t="str">
        <f>IF(E962="Não","Não aplicável",IFERROR(IF(B962="EU-ENV-002",IF(INDEX(tbl_recyclass[Conforme_PPWR_2030],MATCH(A962,tbl_recyclass[ProductId],0))="Sim","Conforme (autoavaliação)",IF(INDEX(tbl_recyclass[Conforme_PPWR_2030],MATCH(A962,tbl_recyclass[ProductId],0))="Não","Não conforme em 2030","Isento até 2035")),IF(B962="EU-ENV-003",IF(INDEX(tbl_recyclass[Conforme_Art7_2030],MATCH(A962,tbl_recyclass[ProductId],0))="Sim","Conforme (meta 2030)",IF(INDEX(tbl_recyclass[Conforme_Art7_2030],MATCH(A962,tbl_recyclass[ProductId],0))="Não","Lacuna face à meta 2030","Isento")),IF(B962="EU-ENV-011",IF(INDEX(tbl_familias_ppwr[Metais_Pesados_Evidencia],MATCH(INDEX(tbl_recyclass[Familia_PPWR],MATCH(A962,tbl_recyclass[ProductId],0)),tbl_familias_ppwr[ID_Familia],0))="Em falta","Lacuna","Conforme"),IF(B962="EU-ENV-013",IF(INDEX(tbl_familias_ppwr[Declaracao_UE],MATCH(INDEX(tbl_recyclass[Familia_PPWR],MATCH(A962,tbl_recyclass[ProductId],0)),tbl_familias_ppwr[ID_Familia],0))="Sim","Conforme","Lacuna"),G962)))),G962))</f>
        <v>Parcial</v>
      </c>
      <c r="I962" s="33" t="str">
        <f t="shared" ref="I962:I1025" si="15">IF(ISNUMBER(SEARCH("Não aplicável",H962)),"Não aplicável",IF(ISNUMBER(SEARCH("Isento",H962)),"Isento",IF(ISNUMBER(SEARCH("Não conforme",H962)),"Não conforme",IF(ISNUMBER(SEARCH("Lacuna",H962)),"Lacuna",IF(ISNUMBER(SEARCH("Conforme",H962)),"Conforme",H962)))))</f>
        <v>Parcial</v>
      </c>
      <c r="J962" s="26" t="s">
        <v>1228</v>
      </c>
    </row>
    <row r="963" spans="1:10" ht="16.05" customHeight="1" x14ac:dyDescent="0.3">
      <c r="A963" s="26" t="s">
        <v>717</v>
      </c>
      <c r="B963" s="26" t="s">
        <v>1240</v>
      </c>
      <c r="C963" s="33" t="str">
        <f>IFERROR(INDEX(tbl_requisitos_emb[Tema],MATCH(B963,tbl_requisitos_emb[ID_Req],0)),"")</f>
        <v>Compatibilidade embalagem–produto</v>
      </c>
      <c r="D963" s="33" t="str">
        <f>IFERROR(INDEX(tbl_recyclass[Segmento],MATCH(A963,tbl_recyclass[ProductId],0)),"")</f>
        <v>Cosmética e higiene pessoal</v>
      </c>
      <c r="E963" s="26" t="s">
        <v>901</v>
      </c>
      <c r="F963" s="26" t="s">
        <v>1449</v>
      </c>
      <c r="G963" s="26" t="s">
        <v>1033</v>
      </c>
      <c r="H963" s="33" t="str">
        <f>IF(E963="Não","Não aplicável",IFERROR(IF(B963="EU-ENV-002",IF(INDEX(tbl_recyclass[Conforme_PPWR_2030],MATCH(A963,tbl_recyclass[ProductId],0))="Sim","Conforme (autoavaliação)",IF(INDEX(tbl_recyclass[Conforme_PPWR_2030],MATCH(A963,tbl_recyclass[ProductId],0))="Não","Não conforme em 2030","Isento até 2035")),IF(B963="EU-ENV-003",IF(INDEX(tbl_recyclass[Conforme_Art7_2030],MATCH(A963,tbl_recyclass[ProductId],0))="Sim","Conforme (meta 2030)",IF(INDEX(tbl_recyclass[Conforme_Art7_2030],MATCH(A963,tbl_recyclass[ProductId],0))="Não","Lacuna face à meta 2030","Isento")),IF(B963="EU-ENV-011",IF(INDEX(tbl_familias_ppwr[Metais_Pesados_Evidencia],MATCH(INDEX(tbl_recyclass[Familia_PPWR],MATCH(A963,tbl_recyclass[ProductId],0)),tbl_familias_ppwr[ID_Familia],0))="Em falta","Lacuna","Conforme"),IF(B963="EU-ENV-013",IF(INDEX(tbl_familias_ppwr[Declaracao_UE],MATCH(INDEX(tbl_recyclass[Familia_PPWR],MATCH(A963,tbl_recyclass[ProductId],0)),tbl_familias_ppwr[ID_Familia],0))="Sim","Conforme","Lacuna"),G963)))),G963))</f>
        <v>Conforme</v>
      </c>
      <c r="I963" s="33" t="str">
        <f t="shared" si="15"/>
        <v>Conforme</v>
      </c>
      <c r="J963" s="26" t="s">
        <v>1244</v>
      </c>
    </row>
    <row r="964" spans="1:10" ht="16.05" customHeight="1" x14ac:dyDescent="0.3">
      <c r="A964" s="26" t="s">
        <v>717</v>
      </c>
      <c r="B964" s="26" t="s">
        <v>1252</v>
      </c>
      <c r="C964" s="33" t="str">
        <f>IFERROR(INDEX(tbl_requisitos_emb[Tema],MATCH(B964,tbl_requisitos_emb[ID_Req],0)),"")</f>
        <v>Medicamentos de uso humano</v>
      </c>
      <c r="D964" s="33" t="str">
        <f>IFERROR(INDEX(tbl_recyclass[Segmento],MATCH(A964,tbl_recyclass[ProductId],0)),"")</f>
        <v>Cosmética e higiene pessoal</v>
      </c>
      <c r="E964" s="26" t="s">
        <v>904</v>
      </c>
      <c r="F964" s="26" t="s">
        <v>1451</v>
      </c>
      <c r="G964" s="26" t="s">
        <v>1143</v>
      </c>
      <c r="H964" s="33" t="str">
        <f>IF(E964="Não","Não aplicável",IFERROR(IF(B964="EU-ENV-002",IF(INDEX(tbl_recyclass[Conforme_PPWR_2030],MATCH(A964,tbl_recyclass[ProductId],0))="Sim","Conforme (autoavaliação)",IF(INDEX(tbl_recyclass[Conforme_PPWR_2030],MATCH(A964,tbl_recyclass[ProductId],0))="Não","Não conforme em 2030","Isento até 2035")),IF(B964="EU-ENV-003",IF(INDEX(tbl_recyclass[Conforme_Art7_2030],MATCH(A964,tbl_recyclass[ProductId],0))="Sim","Conforme (meta 2030)",IF(INDEX(tbl_recyclass[Conforme_Art7_2030],MATCH(A964,tbl_recyclass[ProductId],0))="Não","Lacuna face à meta 2030","Isento")),IF(B964="EU-ENV-011",IF(INDEX(tbl_familias_ppwr[Metais_Pesados_Evidencia],MATCH(INDEX(tbl_recyclass[Familia_PPWR],MATCH(A964,tbl_recyclass[ProductId],0)),tbl_familias_ppwr[ID_Familia],0))="Em falta","Lacuna","Conforme"),IF(B964="EU-ENV-013",IF(INDEX(tbl_familias_ppwr[Declaracao_UE],MATCH(INDEX(tbl_recyclass[Familia_PPWR],MATCH(A964,tbl_recyclass[ProductId],0)),tbl_familias_ppwr[ID_Familia],0))="Sim","Conforme","Lacuna"),G964)))),G964))</f>
        <v>Não aplicável</v>
      </c>
      <c r="I964" s="33" t="str">
        <f t="shared" si="15"/>
        <v>Não aplicável</v>
      </c>
      <c r="J964" s="26"/>
    </row>
    <row r="965" spans="1:10" ht="16.05" customHeight="1" x14ac:dyDescent="0.3">
      <c r="A965" s="26" t="s">
        <v>717</v>
      </c>
      <c r="B965" s="26" t="s">
        <v>1268</v>
      </c>
      <c r="C965" s="33" t="str">
        <f>IFERROR(INDEX(tbl_requisitos_emb[Tema],MATCH(B965,tbl_requisitos_emb[ID_Req],0)),"")</f>
        <v>Dispositivos de segurança</v>
      </c>
      <c r="D965" s="33" t="str">
        <f>IFERROR(INDEX(tbl_recyclass[Segmento],MATCH(A965,tbl_recyclass[ProductId],0)),"")</f>
        <v>Cosmética e higiene pessoal</v>
      </c>
      <c r="E965" s="26" t="s">
        <v>904</v>
      </c>
      <c r="F965" s="26" t="s">
        <v>1451</v>
      </c>
      <c r="G965" s="26" t="s">
        <v>1143</v>
      </c>
      <c r="H965" s="33" t="str">
        <f>IF(E965="Não","Não aplicável",IFERROR(IF(B965="EU-ENV-002",IF(INDEX(tbl_recyclass[Conforme_PPWR_2030],MATCH(A965,tbl_recyclass[ProductId],0))="Sim","Conforme (autoavaliação)",IF(INDEX(tbl_recyclass[Conforme_PPWR_2030],MATCH(A965,tbl_recyclass[ProductId],0))="Não","Não conforme em 2030","Isento até 2035")),IF(B965="EU-ENV-003",IF(INDEX(tbl_recyclass[Conforme_Art7_2030],MATCH(A965,tbl_recyclass[ProductId],0))="Sim","Conforme (meta 2030)",IF(INDEX(tbl_recyclass[Conforme_Art7_2030],MATCH(A965,tbl_recyclass[ProductId],0))="Não","Lacuna face à meta 2030","Isento")),IF(B965="EU-ENV-011",IF(INDEX(tbl_familias_ppwr[Metais_Pesados_Evidencia],MATCH(INDEX(tbl_recyclass[Familia_PPWR],MATCH(A965,tbl_recyclass[ProductId],0)),tbl_familias_ppwr[ID_Familia],0))="Em falta","Lacuna","Conforme"),IF(B965="EU-ENV-013",IF(INDEX(tbl_familias_ppwr[Declaracao_UE],MATCH(INDEX(tbl_recyclass[Familia_PPWR],MATCH(A965,tbl_recyclass[ProductId],0)),tbl_familias_ppwr[ID_Familia],0))="Sim","Conforme","Lacuna"),G965)))),G965))</f>
        <v>Não aplicável</v>
      </c>
      <c r="I965" s="33" t="str">
        <f t="shared" si="15"/>
        <v>Não aplicável</v>
      </c>
      <c r="J965" s="26"/>
    </row>
    <row r="966" spans="1:10" ht="16.05" customHeight="1" x14ac:dyDescent="0.3">
      <c r="A966" s="26" t="s">
        <v>717</v>
      </c>
      <c r="B966" s="26" t="s">
        <v>1285</v>
      </c>
      <c r="C966" s="33" t="str">
        <f>IFERROR(INDEX(tbl_requisitos_emb[Tema],MATCH(B966,tbl_requisitos_emb[ID_Req],0)),"")</f>
        <v>Materiais plásticos de acondicionamento primário</v>
      </c>
      <c r="D966" s="33" t="str">
        <f>IFERROR(INDEX(tbl_recyclass[Segmento],MATCH(A966,tbl_recyclass[ProductId],0)),"")</f>
        <v>Cosmética e higiene pessoal</v>
      </c>
      <c r="E966" s="26" t="s">
        <v>904</v>
      </c>
      <c r="F966" s="26" t="s">
        <v>1451</v>
      </c>
      <c r="G966" s="26" t="s">
        <v>1143</v>
      </c>
      <c r="H966" s="33" t="str">
        <f>IF(E966="Não","Não aplicável",IFERROR(IF(B966="EU-ENV-002",IF(INDEX(tbl_recyclass[Conforme_PPWR_2030],MATCH(A966,tbl_recyclass[ProductId],0))="Sim","Conforme (autoavaliação)",IF(INDEX(tbl_recyclass[Conforme_PPWR_2030],MATCH(A966,tbl_recyclass[ProductId],0))="Não","Não conforme em 2030","Isento até 2035")),IF(B966="EU-ENV-003",IF(INDEX(tbl_recyclass[Conforme_Art7_2030],MATCH(A966,tbl_recyclass[ProductId],0))="Sim","Conforme (meta 2030)",IF(INDEX(tbl_recyclass[Conforme_Art7_2030],MATCH(A966,tbl_recyclass[ProductId],0))="Não","Lacuna face à meta 2030","Isento")),IF(B966="EU-ENV-011",IF(INDEX(tbl_familias_ppwr[Metais_Pesados_Evidencia],MATCH(INDEX(tbl_recyclass[Familia_PPWR],MATCH(A966,tbl_recyclass[ProductId],0)),tbl_familias_ppwr[ID_Familia],0))="Em falta","Lacuna","Conforme"),IF(B966="EU-ENV-013",IF(INDEX(tbl_familias_ppwr[Declaracao_UE],MATCH(INDEX(tbl_recyclass[Familia_PPWR],MATCH(A966,tbl_recyclass[ProductId],0)),tbl_familias_ppwr[ID_Familia],0))="Sim","Conforme","Lacuna"),G966)))),G966))</f>
        <v>Não aplicável</v>
      </c>
      <c r="I966" s="33" t="str">
        <f t="shared" si="15"/>
        <v>Não aplicável</v>
      </c>
      <c r="J966" s="26"/>
    </row>
    <row r="967" spans="1:10" ht="16.05" customHeight="1" x14ac:dyDescent="0.3">
      <c r="A967" s="26" t="s">
        <v>717</v>
      </c>
      <c r="B967" s="26" t="s">
        <v>1293</v>
      </c>
      <c r="C967" s="33" t="str">
        <f>IFERROR(INDEX(tbl_requisitos_emb[Tema],MATCH(B967,tbl_requisitos_emb[ID_Req],0)),"")</f>
        <v>Isenções PPWR</v>
      </c>
      <c r="D967" s="33" t="str">
        <f>IFERROR(INDEX(tbl_recyclass[Segmento],MATCH(A967,tbl_recyclass[ProductId],0)),"")</f>
        <v>Cosmética e higiene pessoal</v>
      </c>
      <c r="E967" s="26" t="s">
        <v>904</v>
      </c>
      <c r="F967" s="26" t="s">
        <v>1451</v>
      </c>
      <c r="G967" s="26" t="s">
        <v>1143</v>
      </c>
      <c r="H967" s="33" t="str">
        <f>IF(E967="Não","Não aplicável",IFERROR(IF(B967="EU-ENV-002",IF(INDEX(tbl_recyclass[Conforme_PPWR_2030],MATCH(A967,tbl_recyclass[ProductId],0))="Sim","Conforme (autoavaliação)",IF(INDEX(tbl_recyclass[Conforme_PPWR_2030],MATCH(A967,tbl_recyclass[ProductId],0))="Não","Não conforme em 2030","Isento até 2035")),IF(B967="EU-ENV-003",IF(INDEX(tbl_recyclass[Conforme_Art7_2030],MATCH(A967,tbl_recyclass[ProductId],0))="Sim","Conforme (meta 2030)",IF(INDEX(tbl_recyclass[Conforme_Art7_2030],MATCH(A967,tbl_recyclass[ProductId],0))="Não","Lacuna face à meta 2030","Isento")),IF(B967="EU-ENV-011",IF(INDEX(tbl_familias_ppwr[Metais_Pesados_Evidencia],MATCH(INDEX(tbl_recyclass[Familia_PPWR],MATCH(A967,tbl_recyclass[ProductId],0)),tbl_familias_ppwr[ID_Familia],0))="Em falta","Lacuna","Conforme"),IF(B967="EU-ENV-013",IF(INDEX(tbl_familias_ppwr[Declaracao_UE],MATCH(INDEX(tbl_recyclass[Familia_PPWR],MATCH(A967,tbl_recyclass[ProductId],0)),tbl_familias_ppwr[ID_Familia],0))="Sim","Conforme","Lacuna"),G967)))),G967))</f>
        <v>Não aplicável</v>
      </c>
      <c r="I967" s="33" t="str">
        <f t="shared" si="15"/>
        <v>Não aplicável</v>
      </c>
      <c r="J967" s="26"/>
    </row>
    <row r="968" spans="1:10" ht="16.05" customHeight="1" x14ac:dyDescent="0.3">
      <c r="A968" s="26" t="s">
        <v>717</v>
      </c>
      <c r="B968" s="26" t="s">
        <v>1357</v>
      </c>
      <c r="C968" s="33" t="str">
        <f>IFERROR(INDEX(tbl_requisitos_emb[Tema],MATCH(B968,tbl_requisitos_emb[ID_Req],0)),"")</f>
        <v>Identificação de plásticos</v>
      </c>
      <c r="D968" s="33" t="str">
        <f>IFERROR(INDEX(tbl_recyclass[Segmento],MATCH(A968,tbl_recyclass[ProductId],0)),"")</f>
        <v>Cosmética e higiene pessoal</v>
      </c>
      <c r="E968" s="26" t="s">
        <v>901</v>
      </c>
      <c r="F968" s="26" t="s">
        <v>1449</v>
      </c>
      <c r="G968" s="26" t="s">
        <v>978</v>
      </c>
      <c r="H968" s="33" t="str">
        <f>IF(E968="Não","Não aplicável",IFERROR(IF(B968="EU-ENV-002",IF(INDEX(tbl_recyclass[Conforme_PPWR_2030],MATCH(A968,tbl_recyclass[ProductId],0))="Sim","Conforme (autoavaliação)",IF(INDEX(tbl_recyclass[Conforme_PPWR_2030],MATCH(A968,tbl_recyclass[ProductId],0))="Não","Não conforme em 2030","Isento até 2035")),IF(B968="EU-ENV-003",IF(INDEX(tbl_recyclass[Conforme_Art7_2030],MATCH(A968,tbl_recyclass[ProductId],0))="Sim","Conforme (meta 2030)",IF(INDEX(tbl_recyclass[Conforme_Art7_2030],MATCH(A968,tbl_recyclass[ProductId],0))="Não","Lacuna face à meta 2030","Isento")),IF(B968="EU-ENV-011",IF(INDEX(tbl_familias_ppwr[Metais_Pesados_Evidencia],MATCH(INDEX(tbl_recyclass[Familia_PPWR],MATCH(A968,tbl_recyclass[ProductId],0)),tbl_familias_ppwr[ID_Familia],0))="Em falta","Lacuna","Conforme"),IF(B968="EU-ENV-013",IF(INDEX(tbl_familias_ppwr[Declaracao_UE],MATCH(INDEX(tbl_recyclass[Familia_PPWR],MATCH(A968,tbl_recyclass[ProductId],0)),tbl_familias_ppwr[ID_Familia],0))="Sim","Conforme","Lacuna"),G968)))),G968))</f>
        <v>Parcial</v>
      </c>
      <c r="I968" s="33" t="str">
        <f t="shared" si="15"/>
        <v>Parcial</v>
      </c>
      <c r="J968" s="26" t="s">
        <v>1362</v>
      </c>
    </row>
    <row r="969" spans="1:10" ht="16.05" customHeight="1" x14ac:dyDescent="0.3">
      <c r="A969" s="26" t="s">
        <v>717</v>
      </c>
      <c r="B969" s="26" t="s">
        <v>1385</v>
      </c>
      <c r="C969" s="33" t="str">
        <f>IFERROR(INDEX(tbl_requisitos_emb[Tema],MATCH(B969,tbl_requisitos_emb[ID_Req],0)),"")</f>
        <v>Reciclabilidade (voluntária)</v>
      </c>
      <c r="D969" s="33" t="str">
        <f>IFERROR(INDEX(tbl_recyclass[Segmento],MATCH(A969,tbl_recyclass[ProductId],0)),"")</f>
        <v>Cosmética e higiene pessoal</v>
      </c>
      <c r="E969" s="26" t="s">
        <v>901</v>
      </c>
      <c r="F969" s="26" t="s">
        <v>1449</v>
      </c>
      <c r="G969" s="26" t="s">
        <v>978</v>
      </c>
      <c r="H969" s="33" t="str">
        <f>IF(E969="Não","Não aplicável",IFERROR(IF(B969="EU-ENV-002",IF(INDEX(tbl_recyclass[Conforme_PPWR_2030],MATCH(A969,tbl_recyclass[ProductId],0))="Sim","Conforme (autoavaliação)",IF(INDEX(tbl_recyclass[Conforme_PPWR_2030],MATCH(A969,tbl_recyclass[ProductId],0))="Não","Não conforme em 2030","Isento até 2035")),IF(B969="EU-ENV-003",IF(INDEX(tbl_recyclass[Conforme_Art7_2030],MATCH(A969,tbl_recyclass[ProductId],0))="Sim","Conforme (meta 2030)",IF(INDEX(tbl_recyclass[Conforme_Art7_2030],MATCH(A969,tbl_recyclass[ProductId],0))="Não","Lacuna face à meta 2030","Isento")),IF(B969="EU-ENV-011",IF(INDEX(tbl_familias_ppwr[Metais_Pesados_Evidencia],MATCH(INDEX(tbl_recyclass[Familia_PPWR],MATCH(A969,tbl_recyclass[ProductId],0)),tbl_familias_ppwr[ID_Familia],0))="Em falta","Lacuna","Conforme"),IF(B969="EU-ENV-013",IF(INDEX(tbl_familias_ppwr[Declaracao_UE],MATCH(INDEX(tbl_recyclass[Familia_PPWR],MATCH(A969,tbl_recyclass[ProductId],0)),tbl_familias_ppwr[ID_Familia],0))="Sim","Conforme","Lacuna"),G969)))),G969))</f>
        <v>Parcial</v>
      </c>
      <c r="I969" s="33" t="str">
        <f t="shared" si="15"/>
        <v>Parcial</v>
      </c>
      <c r="J969" s="26" t="s">
        <v>1389</v>
      </c>
    </row>
    <row r="970" spans="1:10" ht="16.05" customHeight="1" x14ac:dyDescent="0.3">
      <c r="A970" s="26" t="s">
        <v>719</v>
      </c>
      <c r="B970" s="26" t="s">
        <v>984</v>
      </c>
      <c r="C970" s="33" t="str">
        <f>IFERROR(INDEX(tbl_requisitos_emb[Tema],MATCH(B970,tbl_requisitos_emb[ID_Req],0)),"")</f>
        <v>Conceção para reciclagem</v>
      </c>
      <c r="D970" s="33" t="str">
        <f>IFERROR(INDEX(tbl_recyclass[Segmento],MATCH(A970,tbl_recyclass[ProductId],0)),"")</f>
        <v>Cosmética e higiene pessoal</v>
      </c>
      <c r="E970" s="26" t="s">
        <v>901</v>
      </c>
      <c r="F970" s="26" t="s">
        <v>1449</v>
      </c>
      <c r="G970" s="26" t="s">
        <v>978</v>
      </c>
      <c r="H970" s="33" t="str">
        <f>IF(E970="Não","Não aplicável",IFERROR(IF(B970="EU-ENV-002",IF(INDEX(tbl_recyclass[Conforme_PPWR_2030],MATCH(A970,tbl_recyclass[ProductId],0))="Sim","Conforme (autoavaliação)",IF(INDEX(tbl_recyclass[Conforme_PPWR_2030],MATCH(A970,tbl_recyclass[ProductId],0))="Não","Não conforme em 2030","Isento até 2035")),IF(B970="EU-ENV-003",IF(INDEX(tbl_recyclass[Conforme_Art7_2030],MATCH(A970,tbl_recyclass[ProductId],0))="Sim","Conforme (meta 2030)",IF(INDEX(tbl_recyclass[Conforme_Art7_2030],MATCH(A970,tbl_recyclass[ProductId],0))="Não","Lacuna face à meta 2030","Isento")),IF(B970="EU-ENV-011",IF(INDEX(tbl_familias_ppwr[Metais_Pesados_Evidencia],MATCH(INDEX(tbl_recyclass[Familia_PPWR],MATCH(A970,tbl_recyclass[ProductId],0)),tbl_familias_ppwr[ID_Familia],0))="Em falta","Lacuna","Conforme"),IF(B970="EU-ENV-013",IF(INDEX(tbl_familias_ppwr[Declaracao_UE],MATCH(INDEX(tbl_recyclass[Familia_PPWR],MATCH(A970,tbl_recyclass[ProductId],0)),tbl_familias_ppwr[ID_Familia],0))="Sim","Conforme","Lacuna"),G970)))),G970))</f>
        <v>Conforme (autoavaliação)</v>
      </c>
      <c r="I970" s="33" t="str">
        <f t="shared" si="15"/>
        <v>Conforme</v>
      </c>
      <c r="J970" s="26" t="s">
        <v>991</v>
      </c>
    </row>
    <row r="971" spans="1:10" ht="16.05" customHeight="1" x14ac:dyDescent="0.3">
      <c r="A971" s="26" t="s">
        <v>719</v>
      </c>
      <c r="B971" s="26" t="s">
        <v>997</v>
      </c>
      <c r="C971" s="33" t="str">
        <f>IFERROR(INDEX(tbl_requisitos_emb[Tema],MATCH(B971,tbl_requisitos_emb[ID_Req],0)),"")</f>
        <v>Conteúdo reciclado</v>
      </c>
      <c r="D971" s="33" t="str">
        <f>IFERROR(INDEX(tbl_recyclass[Segmento],MATCH(A971,tbl_recyclass[ProductId],0)),"")</f>
        <v>Cosmética e higiene pessoal</v>
      </c>
      <c r="E971" s="26" t="s">
        <v>901</v>
      </c>
      <c r="F971" s="26" t="s">
        <v>1449</v>
      </c>
      <c r="G971" s="26" t="s">
        <v>978</v>
      </c>
      <c r="H971" s="33" t="str">
        <f>IF(E971="Não","Não aplicável",IFERROR(IF(B971="EU-ENV-002",IF(INDEX(tbl_recyclass[Conforme_PPWR_2030],MATCH(A971,tbl_recyclass[ProductId],0))="Sim","Conforme (autoavaliação)",IF(INDEX(tbl_recyclass[Conforme_PPWR_2030],MATCH(A971,tbl_recyclass[ProductId],0))="Não","Não conforme em 2030","Isento até 2035")),IF(B971="EU-ENV-003",IF(INDEX(tbl_recyclass[Conforme_Art7_2030],MATCH(A971,tbl_recyclass[ProductId],0))="Sim","Conforme (meta 2030)",IF(INDEX(tbl_recyclass[Conforme_Art7_2030],MATCH(A971,tbl_recyclass[ProductId],0))="Não","Lacuna face à meta 2030","Isento")),IF(B971="EU-ENV-011",IF(INDEX(tbl_familias_ppwr[Metais_Pesados_Evidencia],MATCH(INDEX(tbl_recyclass[Familia_PPWR],MATCH(A971,tbl_recyclass[ProductId],0)),tbl_familias_ppwr[ID_Familia],0))="Em falta","Lacuna","Conforme"),IF(B971="EU-ENV-013",IF(INDEX(tbl_familias_ppwr[Declaracao_UE],MATCH(INDEX(tbl_recyclass[Familia_PPWR],MATCH(A971,tbl_recyclass[ProductId],0)),tbl_familias_ppwr[ID_Familia],0))="Sim","Conforme","Lacuna"),G971)))),G971))</f>
        <v>Lacuna face à meta 2030</v>
      </c>
      <c r="I971" s="33" t="str">
        <f t="shared" si="15"/>
        <v>Lacuna</v>
      </c>
      <c r="J971" s="26" t="s">
        <v>1001</v>
      </c>
    </row>
    <row r="972" spans="1:10" ht="16.05" customHeight="1" x14ac:dyDescent="0.3">
      <c r="A972" s="26" t="s">
        <v>719</v>
      </c>
      <c r="B972" s="26" t="s">
        <v>1007</v>
      </c>
      <c r="C972" s="33" t="str">
        <f>IFERROR(INDEX(tbl_requisitos_emb[Tema],MATCH(B972,tbl_requisitos_emb[ID_Req],0)),"")</f>
        <v>Minimização</v>
      </c>
      <c r="D972" s="33" t="str">
        <f>IFERROR(INDEX(tbl_recyclass[Segmento],MATCH(A972,tbl_recyclass[ProductId],0)),"")</f>
        <v>Cosmética e higiene pessoal</v>
      </c>
      <c r="E972" s="26" t="s">
        <v>901</v>
      </c>
      <c r="F972" s="26" t="s">
        <v>1449</v>
      </c>
      <c r="G972" s="26" t="s">
        <v>978</v>
      </c>
      <c r="H972" s="33" t="str">
        <f>IF(E972="Não","Não aplicável",IFERROR(IF(B972="EU-ENV-002",IF(INDEX(tbl_recyclass[Conforme_PPWR_2030],MATCH(A972,tbl_recyclass[ProductId],0))="Sim","Conforme (autoavaliação)",IF(INDEX(tbl_recyclass[Conforme_PPWR_2030],MATCH(A972,tbl_recyclass[ProductId],0))="Não","Não conforme em 2030","Isento até 2035")),IF(B972="EU-ENV-003",IF(INDEX(tbl_recyclass[Conforme_Art7_2030],MATCH(A972,tbl_recyclass[ProductId],0))="Sim","Conforme (meta 2030)",IF(INDEX(tbl_recyclass[Conforme_Art7_2030],MATCH(A972,tbl_recyclass[ProductId],0))="Não","Lacuna face à meta 2030","Isento")),IF(B972="EU-ENV-011",IF(INDEX(tbl_familias_ppwr[Metais_Pesados_Evidencia],MATCH(INDEX(tbl_recyclass[Familia_PPWR],MATCH(A972,tbl_recyclass[ProductId],0)),tbl_familias_ppwr[ID_Familia],0))="Em falta","Lacuna","Conforme"),IF(B972="EU-ENV-013",IF(INDEX(tbl_familias_ppwr[Declaracao_UE],MATCH(INDEX(tbl_recyclass[Familia_PPWR],MATCH(A972,tbl_recyclass[ProductId],0)),tbl_familias_ppwr[ID_Familia],0))="Sim","Conforme","Lacuna"),G972)))),G972))</f>
        <v>Parcial</v>
      </c>
      <c r="I972" s="33" t="str">
        <f t="shared" si="15"/>
        <v>Parcial</v>
      </c>
      <c r="J972" s="26" t="s">
        <v>1012</v>
      </c>
    </row>
    <row r="973" spans="1:10" ht="16.05" customHeight="1" x14ac:dyDescent="0.3">
      <c r="A973" s="26" t="s">
        <v>719</v>
      </c>
      <c r="B973" s="26" t="s">
        <v>1016</v>
      </c>
      <c r="C973" s="33" t="str">
        <f>IFERROR(INDEX(tbl_requisitos_emb[Tema],MATCH(B973,tbl_requisitos_emb[ID_Req],0)),"")</f>
        <v>Rotulagem</v>
      </c>
      <c r="D973" s="33" t="str">
        <f>IFERROR(INDEX(tbl_recyclass[Segmento],MATCH(A973,tbl_recyclass[ProductId],0)),"")</f>
        <v>Cosmética e higiene pessoal</v>
      </c>
      <c r="E973" s="26" t="s">
        <v>901</v>
      </c>
      <c r="F973" s="26" t="s">
        <v>1449</v>
      </c>
      <c r="G973" s="26" t="s">
        <v>990</v>
      </c>
      <c r="H973" s="33" t="str">
        <f>IF(E973="Não","Não aplicável",IFERROR(IF(B973="EU-ENV-002",IF(INDEX(tbl_recyclass[Conforme_PPWR_2030],MATCH(A973,tbl_recyclass[ProductId],0))="Sim","Conforme (autoavaliação)",IF(INDEX(tbl_recyclass[Conforme_PPWR_2030],MATCH(A973,tbl_recyclass[ProductId],0))="Não","Não conforme em 2030","Isento até 2035")),IF(B973="EU-ENV-003",IF(INDEX(tbl_recyclass[Conforme_Art7_2030],MATCH(A973,tbl_recyclass[ProductId],0))="Sim","Conforme (meta 2030)",IF(INDEX(tbl_recyclass[Conforme_Art7_2030],MATCH(A973,tbl_recyclass[ProductId],0))="Não","Lacuna face à meta 2030","Isento")),IF(B973="EU-ENV-011",IF(INDEX(tbl_familias_ppwr[Metais_Pesados_Evidencia],MATCH(INDEX(tbl_recyclass[Familia_PPWR],MATCH(A973,tbl_recyclass[ProductId],0)),tbl_familias_ppwr[ID_Familia],0))="Em falta","Lacuna","Conforme"),IF(B973="EU-ENV-013",IF(INDEX(tbl_familias_ppwr[Declaracao_UE],MATCH(INDEX(tbl_recyclass[Familia_PPWR],MATCH(A973,tbl_recyclass[ProductId],0)),tbl_familias_ppwr[ID_Familia],0))="Sim","Conforme","Lacuna"),G973)))),G973))</f>
        <v>Futuro</v>
      </c>
      <c r="I973" s="33" t="str">
        <f t="shared" si="15"/>
        <v>Futuro</v>
      </c>
      <c r="J973" s="26" t="s">
        <v>1021</v>
      </c>
    </row>
    <row r="974" spans="1:10" ht="16.05" customHeight="1" x14ac:dyDescent="0.3">
      <c r="A974" s="26" t="s">
        <v>719</v>
      </c>
      <c r="B974" s="26" t="s">
        <v>1038</v>
      </c>
      <c r="C974" s="33" t="str">
        <f>IFERROR(INDEX(tbl_requisitos_emb[Tema],MATCH(B974,tbl_requisitos_emb[ID_Req],0)),"")</f>
        <v>Plásticos de utilização única</v>
      </c>
      <c r="D974" s="33" t="str">
        <f>IFERROR(INDEX(tbl_recyclass[Segmento],MATCH(A974,tbl_recyclass[ProductId],0)),"")</f>
        <v>Cosmética e higiene pessoal</v>
      </c>
      <c r="E974" s="26" t="s">
        <v>904</v>
      </c>
      <c r="F974" s="26" t="s">
        <v>1450</v>
      </c>
      <c r="G974" s="26" t="s">
        <v>1143</v>
      </c>
      <c r="H974" s="33" t="str">
        <f>IF(E974="Não","Não aplicável",IFERROR(IF(B974="EU-ENV-002",IF(INDEX(tbl_recyclass[Conforme_PPWR_2030],MATCH(A974,tbl_recyclass[ProductId],0))="Sim","Conforme (autoavaliação)",IF(INDEX(tbl_recyclass[Conforme_PPWR_2030],MATCH(A974,tbl_recyclass[ProductId],0))="Não","Não conforme em 2030","Isento até 2035")),IF(B974="EU-ENV-003",IF(INDEX(tbl_recyclass[Conforme_Art7_2030],MATCH(A974,tbl_recyclass[ProductId],0))="Sim","Conforme (meta 2030)",IF(INDEX(tbl_recyclass[Conforme_Art7_2030],MATCH(A974,tbl_recyclass[ProductId],0))="Não","Lacuna face à meta 2030","Isento")),IF(B974="EU-ENV-011",IF(INDEX(tbl_familias_ppwr[Metais_Pesados_Evidencia],MATCH(INDEX(tbl_recyclass[Familia_PPWR],MATCH(A974,tbl_recyclass[ProductId],0)),tbl_familias_ppwr[ID_Familia],0))="Em falta","Lacuna","Conforme"),IF(B974="EU-ENV-013",IF(INDEX(tbl_familias_ppwr[Declaracao_UE],MATCH(INDEX(tbl_recyclass[Familia_PPWR],MATCH(A974,tbl_recyclass[ProductId],0)),tbl_familias_ppwr[ID_Familia],0))="Sim","Conforme","Lacuna"),G974)))),G974))</f>
        <v>Não aplicável</v>
      </c>
      <c r="I974" s="33" t="str">
        <f t="shared" si="15"/>
        <v>Não aplicável</v>
      </c>
      <c r="J974" s="26"/>
    </row>
    <row r="975" spans="1:10" ht="16.05" customHeight="1" x14ac:dyDescent="0.3">
      <c r="A975" s="26" t="s">
        <v>719</v>
      </c>
      <c r="B975" s="26" t="s">
        <v>1078</v>
      </c>
      <c r="C975" s="33" t="str">
        <f>IFERROR(INDEX(tbl_requisitos_emb[Tema],MATCH(B975,tbl_requisitos_emb[ID_Req],0)),"")</f>
        <v>Reciclado à escala</v>
      </c>
      <c r="D975" s="33" t="str">
        <f>IFERROR(INDEX(tbl_recyclass[Segmento],MATCH(A975,tbl_recyclass[ProductId],0)),"")</f>
        <v>Cosmética e higiene pessoal</v>
      </c>
      <c r="E975" s="26" t="s">
        <v>901</v>
      </c>
      <c r="F975" s="26" t="s">
        <v>1449</v>
      </c>
      <c r="G975" s="26" t="s">
        <v>990</v>
      </c>
      <c r="H975" s="33" t="str">
        <f>IF(E975="Não","Não aplicável",IFERROR(IF(B975="EU-ENV-002",IF(INDEX(tbl_recyclass[Conforme_PPWR_2030],MATCH(A975,tbl_recyclass[ProductId],0))="Sim","Conforme (autoavaliação)",IF(INDEX(tbl_recyclass[Conforme_PPWR_2030],MATCH(A975,tbl_recyclass[ProductId],0))="Não","Não conforme em 2030","Isento até 2035")),IF(B975="EU-ENV-003",IF(INDEX(tbl_recyclass[Conforme_Art7_2030],MATCH(A975,tbl_recyclass[ProductId],0))="Sim","Conforme (meta 2030)",IF(INDEX(tbl_recyclass[Conforme_Art7_2030],MATCH(A975,tbl_recyclass[ProductId],0))="Não","Lacuna face à meta 2030","Isento")),IF(B975="EU-ENV-011",IF(INDEX(tbl_familias_ppwr[Metais_Pesados_Evidencia],MATCH(INDEX(tbl_recyclass[Familia_PPWR],MATCH(A975,tbl_recyclass[ProductId],0)),tbl_familias_ppwr[ID_Familia],0))="Em falta","Lacuna","Conforme"),IF(B975="EU-ENV-013",IF(INDEX(tbl_familias_ppwr[Declaracao_UE],MATCH(INDEX(tbl_recyclass[Familia_PPWR],MATCH(A975,tbl_recyclass[ProductId],0)),tbl_familias_ppwr[ID_Familia],0))="Sim","Conforme","Lacuna"),G975)))),G975))</f>
        <v>Futuro</v>
      </c>
      <c r="I975" s="33" t="str">
        <f t="shared" si="15"/>
        <v>Futuro</v>
      </c>
      <c r="J975" s="26" t="s">
        <v>1082</v>
      </c>
    </row>
    <row r="976" spans="1:10" ht="16.05" customHeight="1" x14ac:dyDescent="0.3">
      <c r="A976" s="26" t="s">
        <v>719</v>
      </c>
      <c r="B976" s="26" t="s">
        <v>1086</v>
      </c>
      <c r="C976" s="33" t="str">
        <f>IFERROR(INDEX(tbl_requisitos_emb[Tema],MATCH(B976,tbl_requisitos_emb[ID_Req],0)),"")</f>
        <v>Metais pesados</v>
      </c>
      <c r="D976" s="33" t="str">
        <f>IFERROR(INDEX(tbl_recyclass[Segmento],MATCH(A976,tbl_recyclass[ProductId],0)),"")</f>
        <v>Cosmética e higiene pessoal</v>
      </c>
      <c r="E976" s="26" t="s">
        <v>901</v>
      </c>
      <c r="F976" s="26" t="s">
        <v>1449</v>
      </c>
      <c r="G976" s="26" t="s">
        <v>978</v>
      </c>
      <c r="H976" s="33" t="str">
        <f>IF(E976="Não","Não aplicável",IFERROR(IF(B976="EU-ENV-002",IF(INDEX(tbl_recyclass[Conforme_PPWR_2030],MATCH(A976,tbl_recyclass[ProductId],0))="Sim","Conforme (autoavaliação)",IF(INDEX(tbl_recyclass[Conforme_PPWR_2030],MATCH(A976,tbl_recyclass[ProductId],0))="Não","Não conforme em 2030","Isento até 2035")),IF(B976="EU-ENV-003",IF(INDEX(tbl_recyclass[Conforme_Art7_2030],MATCH(A976,tbl_recyclass[ProductId],0))="Sim","Conforme (meta 2030)",IF(INDEX(tbl_recyclass[Conforme_Art7_2030],MATCH(A976,tbl_recyclass[ProductId],0))="Não","Lacuna face à meta 2030","Isento")),IF(B976="EU-ENV-011",IF(INDEX(tbl_familias_ppwr[Metais_Pesados_Evidencia],MATCH(INDEX(tbl_recyclass[Familia_PPWR],MATCH(A976,tbl_recyclass[ProductId],0)),tbl_familias_ppwr[ID_Familia],0))="Em falta","Lacuna","Conforme"),IF(B976="EU-ENV-013",IF(INDEX(tbl_familias_ppwr[Declaracao_UE],MATCH(INDEX(tbl_recyclass[Familia_PPWR],MATCH(A976,tbl_recyclass[ProductId],0)),tbl_familias_ppwr[ID_Familia],0))="Sim","Conforme","Lacuna"),G976)))),G976))</f>
        <v>Lacuna</v>
      </c>
      <c r="I976" s="33" t="str">
        <f t="shared" si="15"/>
        <v>Lacuna</v>
      </c>
      <c r="J976" s="26" t="s">
        <v>1090</v>
      </c>
    </row>
    <row r="977" spans="1:10" ht="16.05" customHeight="1" x14ac:dyDescent="0.3">
      <c r="A977" s="26" t="s">
        <v>719</v>
      </c>
      <c r="B977" s="26" t="s">
        <v>1094</v>
      </c>
      <c r="C977" s="33" t="str">
        <f>IFERROR(INDEX(tbl_requisitos_emb[Tema],MATCH(B977,tbl_requisitos_emb[ID_Req],0)),"")</f>
        <v>PFAS</v>
      </c>
      <c r="D977" s="33" t="str">
        <f>IFERROR(INDEX(tbl_recyclass[Segmento],MATCH(A977,tbl_recyclass[ProductId],0)),"")</f>
        <v>Cosmética e higiene pessoal</v>
      </c>
      <c r="E977" s="26" t="s">
        <v>904</v>
      </c>
      <c r="F977" s="26" t="s">
        <v>1450</v>
      </c>
      <c r="G977" s="26" t="s">
        <v>1143</v>
      </c>
      <c r="H977" s="33" t="str">
        <f>IF(E977="Não","Não aplicável",IFERROR(IF(B977="EU-ENV-002",IF(INDEX(tbl_recyclass[Conforme_PPWR_2030],MATCH(A977,tbl_recyclass[ProductId],0))="Sim","Conforme (autoavaliação)",IF(INDEX(tbl_recyclass[Conforme_PPWR_2030],MATCH(A977,tbl_recyclass[ProductId],0))="Não","Não conforme em 2030","Isento até 2035")),IF(B977="EU-ENV-003",IF(INDEX(tbl_recyclass[Conforme_Art7_2030],MATCH(A977,tbl_recyclass[ProductId],0))="Sim","Conforme (meta 2030)",IF(INDEX(tbl_recyclass[Conforme_Art7_2030],MATCH(A977,tbl_recyclass[ProductId],0))="Não","Lacuna face à meta 2030","Isento")),IF(B977="EU-ENV-011",IF(INDEX(tbl_familias_ppwr[Metais_Pesados_Evidencia],MATCH(INDEX(tbl_recyclass[Familia_PPWR],MATCH(A977,tbl_recyclass[ProductId],0)),tbl_familias_ppwr[ID_Familia],0))="Em falta","Lacuna","Conforme"),IF(B977="EU-ENV-013",IF(INDEX(tbl_familias_ppwr[Declaracao_UE],MATCH(INDEX(tbl_recyclass[Familia_PPWR],MATCH(A977,tbl_recyclass[ProductId],0)),tbl_familias_ppwr[ID_Familia],0))="Sim","Conforme","Lacuna"),G977)))),G977))</f>
        <v>Não aplicável</v>
      </c>
      <c r="I977" s="33" t="str">
        <f t="shared" si="15"/>
        <v>Não aplicável</v>
      </c>
      <c r="J977" s="26"/>
    </row>
    <row r="978" spans="1:10" ht="16.05" customHeight="1" x14ac:dyDescent="0.3">
      <c r="A978" s="26" t="s">
        <v>719</v>
      </c>
      <c r="B978" s="26" t="s">
        <v>1102</v>
      </c>
      <c r="C978" s="33" t="str">
        <f>IFERROR(INDEX(tbl_requisitos_emb[Tema],MATCH(B978,tbl_requisitos_emb[ID_Req],0)),"")</f>
        <v>Documentação técnica e declaração UE</v>
      </c>
      <c r="D978" s="33" t="str">
        <f>IFERROR(INDEX(tbl_recyclass[Segmento],MATCH(A978,tbl_recyclass[ProductId],0)),"")</f>
        <v>Cosmética e higiene pessoal</v>
      </c>
      <c r="E978" s="26" t="s">
        <v>901</v>
      </c>
      <c r="F978" s="26" t="s">
        <v>1449</v>
      </c>
      <c r="G978" s="26" t="s">
        <v>978</v>
      </c>
      <c r="H978" s="33" t="str">
        <f>IF(E978="Não","Não aplicável",IFERROR(IF(B978="EU-ENV-002",IF(INDEX(tbl_recyclass[Conforme_PPWR_2030],MATCH(A978,tbl_recyclass[ProductId],0))="Sim","Conforme (autoavaliação)",IF(INDEX(tbl_recyclass[Conforme_PPWR_2030],MATCH(A978,tbl_recyclass[ProductId],0))="Não","Não conforme em 2030","Isento até 2035")),IF(B978="EU-ENV-003",IF(INDEX(tbl_recyclass[Conforme_Art7_2030],MATCH(A978,tbl_recyclass[ProductId],0))="Sim","Conforme (meta 2030)",IF(INDEX(tbl_recyclass[Conforme_Art7_2030],MATCH(A978,tbl_recyclass[ProductId],0))="Não","Lacuna face à meta 2030","Isento")),IF(B978="EU-ENV-011",IF(INDEX(tbl_familias_ppwr[Metais_Pesados_Evidencia],MATCH(INDEX(tbl_recyclass[Familia_PPWR],MATCH(A978,tbl_recyclass[ProductId],0)),tbl_familias_ppwr[ID_Familia],0))="Em falta","Lacuna","Conforme"),IF(B978="EU-ENV-013",IF(INDEX(tbl_familias_ppwr[Declaracao_UE],MATCH(INDEX(tbl_recyclass[Familia_PPWR],MATCH(A978,tbl_recyclass[ProductId],0)),tbl_familias_ppwr[ID_Familia],0))="Sim","Conforme","Lacuna"),G978)))),G978))</f>
        <v>Conforme</v>
      </c>
      <c r="I978" s="33" t="str">
        <f t="shared" si="15"/>
        <v>Conforme</v>
      </c>
      <c r="J978" s="26" t="s">
        <v>1106</v>
      </c>
    </row>
    <row r="979" spans="1:10" ht="16.05" customHeight="1" x14ac:dyDescent="0.3">
      <c r="A979" s="26" t="s">
        <v>719</v>
      </c>
      <c r="B979" s="26" t="s">
        <v>1161</v>
      </c>
      <c r="C979" s="33" t="str">
        <f>IFERROR(INDEX(tbl_requisitos_emb[Tema],MATCH(B979,tbl_requisitos_emb[ID_Req],0)),"")</f>
        <v>Materiais em contacto com alimentos</v>
      </c>
      <c r="D979" s="33" t="str">
        <f>IFERROR(INDEX(tbl_recyclass[Segmento],MATCH(A979,tbl_recyclass[ProductId],0)),"")</f>
        <v>Cosmética e higiene pessoal</v>
      </c>
      <c r="E979" s="26" t="s">
        <v>904</v>
      </c>
      <c r="F979" s="26" t="s">
        <v>1450</v>
      </c>
      <c r="G979" s="26" t="s">
        <v>1143</v>
      </c>
      <c r="H979" s="33" t="str">
        <f>IF(E979="Não","Não aplicável",IFERROR(IF(B979="EU-ENV-002",IF(INDEX(tbl_recyclass[Conforme_PPWR_2030],MATCH(A979,tbl_recyclass[ProductId],0))="Sim","Conforme (autoavaliação)",IF(INDEX(tbl_recyclass[Conforme_PPWR_2030],MATCH(A979,tbl_recyclass[ProductId],0))="Não","Não conforme em 2030","Isento até 2035")),IF(B979="EU-ENV-003",IF(INDEX(tbl_recyclass[Conforme_Art7_2030],MATCH(A979,tbl_recyclass[ProductId],0))="Sim","Conforme (meta 2030)",IF(INDEX(tbl_recyclass[Conforme_Art7_2030],MATCH(A979,tbl_recyclass[ProductId],0))="Não","Lacuna face à meta 2030","Isento")),IF(B979="EU-ENV-011",IF(INDEX(tbl_familias_ppwr[Metais_Pesados_Evidencia],MATCH(INDEX(tbl_recyclass[Familia_PPWR],MATCH(A979,tbl_recyclass[ProductId],0)),tbl_familias_ppwr[ID_Familia],0))="Em falta","Lacuna","Conforme"),IF(B979="EU-ENV-013",IF(INDEX(tbl_familias_ppwr[Declaracao_UE],MATCH(INDEX(tbl_recyclass[Familia_PPWR],MATCH(A979,tbl_recyclass[ProductId],0)),tbl_familias_ppwr[ID_Familia],0))="Sim","Conforme","Lacuna"),G979)))),G979))</f>
        <v>Não aplicável</v>
      </c>
      <c r="I979" s="33" t="str">
        <f t="shared" si="15"/>
        <v>Não aplicável</v>
      </c>
      <c r="J979" s="26"/>
    </row>
    <row r="980" spans="1:10" ht="16.05" customHeight="1" x14ac:dyDescent="0.3">
      <c r="A980" s="26" t="s">
        <v>719</v>
      </c>
      <c r="B980" s="26" t="s">
        <v>1170</v>
      </c>
      <c r="C980" s="33" t="str">
        <f>IFERROR(INDEX(tbl_requisitos_emb[Tema],MATCH(B980,tbl_requisitos_emb[ID_Req],0)),"")</f>
        <v>Boas práticas de fabrico FCM</v>
      </c>
      <c r="D980" s="33" t="str">
        <f>IFERROR(INDEX(tbl_recyclass[Segmento],MATCH(A980,tbl_recyclass[ProductId],0)),"")</f>
        <v>Cosmética e higiene pessoal</v>
      </c>
      <c r="E980" s="26" t="s">
        <v>904</v>
      </c>
      <c r="F980" s="26" t="s">
        <v>1450</v>
      </c>
      <c r="G980" s="26" t="s">
        <v>1143</v>
      </c>
      <c r="H980" s="33" t="str">
        <f>IF(E980="Não","Não aplicável",IFERROR(IF(B980="EU-ENV-002",IF(INDEX(tbl_recyclass[Conforme_PPWR_2030],MATCH(A980,tbl_recyclass[ProductId],0))="Sim","Conforme (autoavaliação)",IF(INDEX(tbl_recyclass[Conforme_PPWR_2030],MATCH(A980,tbl_recyclass[ProductId],0))="Não","Não conforme em 2030","Isento até 2035")),IF(B980="EU-ENV-003",IF(INDEX(tbl_recyclass[Conforme_Art7_2030],MATCH(A980,tbl_recyclass[ProductId],0))="Sim","Conforme (meta 2030)",IF(INDEX(tbl_recyclass[Conforme_Art7_2030],MATCH(A980,tbl_recyclass[ProductId],0))="Não","Lacuna face à meta 2030","Isento")),IF(B980="EU-ENV-011",IF(INDEX(tbl_familias_ppwr[Metais_Pesados_Evidencia],MATCH(INDEX(tbl_recyclass[Familia_PPWR],MATCH(A980,tbl_recyclass[ProductId],0)),tbl_familias_ppwr[ID_Familia],0))="Em falta","Lacuna","Conforme"),IF(B980="EU-ENV-013",IF(INDEX(tbl_familias_ppwr[Declaracao_UE],MATCH(INDEX(tbl_recyclass[Familia_PPWR],MATCH(A980,tbl_recyclass[ProductId],0)),tbl_familias_ppwr[ID_Familia],0))="Sim","Conforme","Lacuna"),G980)))),G980))</f>
        <v>Não aplicável</v>
      </c>
      <c r="I980" s="33" t="str">
        <f t="shared" si="15"/>
        <v>Não aplicável</v>
      </c>
      <c r="J980" s="26"/>
    </row>
    <row r="981" spans="1:10" ht="16.05" customHeight="1" x14ac:dyDescent="0.3">
      <c r="A981" s="26" t="s">
        <v>719</v>
      </c>
      <c r="B981" s="26" t="s">
        <v>1179</v>
      </c>
      <c r="C981" s="33" t="str">
        <f>IFERROR(INDEX(tbl_requisitos_emb[Tema],MATCH(B981,tbl_requisitos_emb[ID_Req],0)),"")</f>
        <v>Bisfenol A e bisfenóis perigosos</v>
      </c>
      <c r="D981" s="33" t="str">
        <f>IFERROR(INDEX(tbl_recyclass[Segmento],MATCH(A981,tbl_recyclass[ProductId],0)),"")</f>
        <v>Cosmética e higiene pessoal</v>
      </c>
      <c r="E981" s="26" t="s">
        <v>904</v>
      </c>
      <c r="F981" s="26" t="s">
        <v>1450</v>
      </c>
      <c r="G981" s="26" t="s">
        <v>1143</v>
      </c>
      <c r="H981" s="33" t="str">
        <f>IF(E981="Não","Não aplicável",IFERROR(IF(B981="EU-ENV-002",IF(INDEX(tbl_recyclass[Conforme_PPWR_2030],MATCH(A981,tbl_recyclass[ProductId],0))="Sim","Conforme (autoavaliação)",IF(INDEX(tbl_recyclass[Conforme_PPWR_2030],MATCH(A981,tbl_recyclass[ProductId],0))="Não","Não conforme em 2030","Isento até 2035")),IF(B981="EU-ENV-003",IF(INDEX(tbl_recyclass[Conforme_Art7_2030],MATCH(A981,tbl_recyclass[ProductId],0))="Sim","Conforme (meta 2030)",IF(INDEX(tbl_recyclass[Conforme_Art7_2030],MATCH(A981,tbl_recyclass[ProductId],0))="Não","Lacuna face à meta 2030","Isento")),IF(B981="EU-ENV-011",IF(INDEX(tbl_familias_ppwr[Metais_Pesados_Evidencia],MATCH(INDEX(tbl_recyclass[Familia_PPWR],MATCH(A981,tbl_recyclass[ProductId],0)),tbl_familias_ppwr[ID_Familia],0))="Em falta","Lacuna","Conforme"),IF(B981="EU-ENV-013",IF(INDEX(tbl_familias_ppwr[Declaracao_UE],MATCH(INDEX(tbl_recyclass[Familia_PPWR],MATCH(A981,tbl_recyclass[ProductId],0)),tbl_familias_ppwr[ID_Familia],0))="Sim","Conforme","Lacuna"),G981)))),G981))</f>
        <v>Não aplicável</v>
      </c>
      <c r="I981" s="33" t="str">
        <f t="shared" si="15"/>
        <v>Não aplicável</v>
      </c>
      <c r="J981" s="26"/>
    </row>
    <row r="982" spans="1:10" ht="16.05" customHeight="1" x14ac:dyDescent="0.3">
      <c r="A982" s="26" t="s">
        <v>719</v>
      </c>
      <c r="B982" s="26" t="s">
        <v>1188</v>
      </c>
      <c r="C982" s="33" t="str">
        <f>IFERROR(INDEX(tbl_requisitos_emb[Tema],MATCH(B982,tbl_requisitos_emb[ID_Req],0)),"")</f>
        <v>Plásticos em contacto com alimentos</v>
      </c>
      <c r="D982" s="33" t="str">
        <f>IFERROR(INDEX(tbl_recyclass[Segmento],MATCH(A982,tbl_recyclass[ProductId],0)),"")</f>
        <v>Cosmética e higiene pessoal</v>
      </c>
      <c r="E982" s="26" t="s">
        <v>904</v>
      </c>
      <c r="F982" s="26" t="s">
        <v>1450</v>
      </c>
      <c r="G982" s="26" t="s">
        <v>1143</v>
      </c>
      <c r="H982" s="33" t="str">
        <f>IF(E982="Não","Não aplicável",IFERROR(IF(B982="EU-ENV-002",IF(INDEX(tbl_recyclass[Conforme_PPWR_2030],MATCH(A982,tbl_recyclass[ProductId],0))="Sim","Conforme (autoavaliação)",IF(INDEX(tbl_recyclass[Conforme_PPWR_2030],MATCH(A982,tbl_recyclass[ProductId],0))="Não","Não conforme em 2030","Isento até 2035")),IF(B982="EU-ENV-003",IF(INDEX(tbl_recyclass[Conforme_Art7_2030],MATCH(A982,tbl_recyclass[ProductId],0))="Sim","Conforme (meta 2030)",IF(INDEX(tbl_recyclass[Conforme_Art7_2030],MATCH(A982,tbl_recyclass[ProductId],0))="Não","Lacuna face à meta 2030","Isento")),IF(B982="EU-ENV-011",IF(INDEX(tbl_familias_ppwr[Metais_Pesados_Evidencia],MATCH(INDEX(tbl_recyclass[Familia_PPWR],MATCH(A982,tbl_recyclass[ProductId],0)),tbl_familias_ppwr[ID_Familia],0))="Em falta","Lacuna","Conforme"),IF(B982="EU-ENV-013",IF(INDEX(tbl_familias_ppwr[Declaracao_UE],MATCH(INDEX(tbl_recyclass[Familia_PPWR],MATCH(A982,tbl_recyclass[ProductId],0)),tbl_familias_ppwr[ID_Familia],0))="Sim","Conforme","Lacuna"),G982)))),G982))</f>
        <v>Não aplicável</v>
      </c>
      <c r="I982" s="33" t="str">
        <f t="shared" si="15"/>
        <v>Não aplicável</v>
      </c>
      <c r="J982" s="26"/>
    </row>
    <row r="983" spans="1:10" ht="16.05" customHeight="1" x14ac:dyDescent="0.3">
      <c r="A983" s="26" t="s">
        <v>719</v>
      </c>
      <c r="B983" s="26" t="s">
        <v>1212</v>
      </c>
      <c r="C983" s="33" t="str">
        <f>IFERROR(INDEX(tbl_requisitos_emb[Tema],MATCH(B983,tbl_requisitos_emb[ID_Req],0)),"")</f>
        <v>Segurança do produto cosmético</v>
      </c>
      <c r="D983" s="33" t="str">
        <f>IFERROR(INDEX(tbl_recyclass[Segmento],MATCH(A983,tbl_recyclass[ProductId],0)),"")</f>
        <v>Cosmética e higiene pessoal</v>
      </c>
      <c r="E983" s="26" t="s">
        <v>901</v>
      </c>
      <c r="F983" s="26" t="s">
        <v>1449</v>
      </c>
      <c r="G983" s="26" t="s">
        <v>1033</v>
      </c>
      <c r="H983" s="33" t="str">
        <f>IF(E983="Não","Não aplicável",IFERROR(IF(B983="EU-ENV-002",IF(INDEX(tbl_recyclass[Conforme_PPWR_2030],MATCH(A983,tbl_recyclass[ProductId],0))="Sim","Conforme (autoavaliação)",IF(INDEX(tbl_recyclass[Conforme_PPWR_2030],MATCH(A983,tbl_recyclass[ProductId],0))="Não","Não conforme em 2030","Isento até 2035")),IF(B983="EU-ENV-003",IF(INDEX(tbl_recyclass[Conforme_Art7_2030],MATCH(A983,tbl_recyclass[ProductId],0))="Sim","Conforme (meta 2030)",IF(INDEX(tbl_recyclass[Conforme_Art7_2030],MATCH(A983,tbl_recyclass[ProductId],0))="Não","Lacuna face à meta 2030","Isento")),IF(B983="EU-ENV-011",IF(INDEX(tbl_familias_ppwr[Metais_Pesados_Evidencia],MATCH(INDEX(tbl_recyclass[Familia_PPWR],MATCH(A983,tbl_recyclass[ProductId],0)),tbl_familias_ppwr[ID_Familia],0))="Em falta","Lacuna","Conforme"),IF(B983="EU-ENV-013",IF(INDEX(tbl_familias_ppwr[Declaracao_UE],MATCH(INDEX(tbl_recyclass[Familia_PPWR],MATCH(A983,tbl_recyclass[ProductId],0)),tbl_familias_ppwr[ID_Familia],0))="Sim","Conforme","Lacuna"),G983)))),G983))</f>
        <v>Conforme</v>
      </c>
      <c r="I983" s="33" t="str">
        <f t="shared" si="15"/>
        <v>Conforme</v>
      </c>
      <c r="J983" s="26" t="s">
        <v>1221</v>
      </c>
    </row>
    <row r="984" spans="1:10" ht="16.05" customHeight="1" x14ac:dyDescent="0.3">
      <c r="A984" s="26" t="s">
        <v>719</v>
      </c>
      <c r="B984" s="26" t="s">
        <v>1224</v>
      </c>
      <c r="C984" s="33" t="str">
        <f>IFERROR(INDEX(tbl_requisitos_emb[Tema],MATCH(B984,tbl_requisitos_emb[ID_Req],0)),"")</f>
        <v>Materiais e impurezas</v>
      </c>
      <c r="D984" s="33" t="str">
        <f>IFERROR(INDEX(tbl_recyclass[Segmento],MATCH(A984,tbl_recyclass[ProductId],0)),"")</f>
        <v>Cosmética e higiene pessoal</v>
      </c>
      <c r="E984" s="26" t="s">
        <v>901</v>
      </c>
      <c r="F984" s="26" t="s">
        <v>1449</v>
      </c>
      <c r="G984" s="26" t="s">
        <v>978</v>
      </c>
      <c r="H984" s="33" t="str">
        <f>IF(E984="Não","Não aplicável",IFERROR(IF(B984="EU-ENV-002",IF(INDEX(tbl_recyclass[Conforme_PPWR_2030],MATCH(A984,tbl_recyclass[ProductId],0))="Sim","Conforme (autoavaliação)",IF(INDEX(tbl_recyclass[Conforme_PPWR_2030],MATCH(A984,tbl_recyclass[ProductId],0))="Não","Não conforme em 2030","Isento até 2035")),IF(B984="EU-ENV-003",IF(INDEX(tbl_recyclass[Conforme_Art7_2030],MATCH(A984,tbl_recyclass[ProductId],0))="Sim","Conforme (meta 2030)",IF(INDEX(tbl_recyclass[Conforme_Art7_2030],MATCH(A984,tbl_recyclass[ProductId],0))="Não","Lacuna face à meta 2030","Isento")),IF(B984="EU-ENV-011",IF(INDEX(tbl_familias_ppwr[Metais_Pesados_Evidencia],MATCH(INDEX(tbl_recyclass[Familia_PPWR],MATCH(A984,tbl_recyclass[ProductId],0)),tbl_familias_ppwr[ID_Familia],0))="Em falta","Lacuna","Conforme"),IF(B984="EU-ENV-013",IF(INDEX(tbl_familias_ppwr[Declaracao_UE],MATCH(INDEX(tbl_recyclass[Familia_PPWR],MATCH(A984,tbl_recyclass[ProductId],0)),tbl_familias_ppwr[ID_Familia],0))="Sim","Conforme","Lacuna"),G984)))),G984))</f>
        <v>Parcial</v>
      </c>
      <c r="I984" s="33" t="str">
        <f t="shared" si="15"/>
        <v>Parcial</v>
      </c>
      <c r="J984" s="26" t="s">
        <v>1228</v>
      </c>
    </row>
    <row r="985" spans="1:10" ht="16.05" customHeight="1" x14ac:dyDescent="0.3">
      <c r="A985" s="26" t="s">
        <v>719</v>
      </c>
      <c r="B985" s="26" t="s">
        <v>1240</v>
      </c>
      <c r="C985" s="33" t="str">
        <f>IFERROR(INDEX(tbl_requisitos_emb[Tema],MATCH(B985,tbl_requisitos_emb[ID_Req],0)),"")</f>
        <v>Compatibilidade embalagem–produto</v>
      </c>
      <c r="D985" s="33" t="str">
        <f>IFERROR(INDEX(tbl_recyclass[Segmento],MATCH(A985,tbl_recyclass[ProductId],0)),"")</f>
        <v>Cosmética e higiene pessoal</v>
      </c>
      <c r="E985" s="26" t="s">
        <v>901</v>
      </c>
      <c r="F985" s="26" t="s">
        <v>1449</v>
      </c>
      <c r="G985" s="26" t="s">
        <v>1033</v>
      </c>
      <c r="H985" s="33" t="str">
        <f>IF(E985="Não","Não aplicável",IFERROR(IF(B985="EU-ENV-002",IF(INDEX(tbl_recyclass[Conforme_PPWR_2030],MATCH(A985,tbl_recyclass[ProductId],0))="Sim","Conforme (autoavaliação)",IF(INDEX(tbl_recyclass[Conforme_PPWR_2030],MATCH(A985,tbl_recyclass[ProductId],0))="Não","Não conforme em 2030","Isento até 2035")),IF(B985="EU-ENV-003",IF(INDEX(tbl_recyclass[Conforme_Art7_2030],MATCH(A985,tbl_recyclass[ProductId],0))="Sim","Conforme (meta 2030)",IF(INDEX(tbl_recyclass[Conforme_Art7_2030],MATCH(A985,tbl_recyclass[ProductId],0))="Não","Lacuna face à meta 2030","Isento")),IF(B985="EU-ENV-011",IF(INDEX(tbl_familias_ppwr[Metais_Pesados_Evidencia],MATCH(INDEX(tbl_recyclass[Familia_PPWR],MATCH(A985,tbl_recyclass[ProductId],0)),tbl_familias_ppwr[ID_Familia],0))="Em falta","Lacuna","Conforme"),IF(B985="EU-ENV-013",IF(INDEX(tbl_familias_ppwr[Declaracao_UE],MATCH(INDEX(tbl_recyclass[Familia_PPWR],MATCH(A985,tbl_recyclass[ProductId],0)),tbl_familias_ppwr[ID_Familia],0))="Sim","Conforme","Lacuna"),G985)))),G985))</f>
        <v>Conforme</v>
      </c>
      <c r="I985" s="33" t="str">
        <f t="shared" si="15"/>
        <v>Conforme</v>
      </c>
      <c r="J985" s="26" t="s">
        <v>1244</v>
      </c>
    </row>
    <row r="986" spans="1:10" ht="16.05" customHeight="1" x14ac:dyDescent="0.3">
      <c r="A986" s="26" t="s">
        <v>719</v>
      </c>
      <c r="B986" s="26" t="s">
        <v>1252</v>
      </c>
      <c r="C986" s="33" t="str">
        <f>IFERROR(INDEX(tbl_requisitos_emb[Tema],MATCH(B986,tbl_requisitos_emb[ID_Req],0)),"")</f>
        <v>Medicamentos de uso humano</v>
      </c>
      <c r="D986" s="33" t="str">
        <f>IFERROR(INDEX(tbl_recyclass[Segmento],MATCH(A986,tbl_recyclass[ProductId],0)),"")</f>
        <v>Cosmética e higiene pessoal</v>
      </c>
      <c r="E986" s="26" t="s">
        <v>904</v>
      </c>
      <c r="F986" s="26" t="s">
        <v>1451</v>
      </c>
      <c r="G986" s="26" t="s">
        <v>1143</v>
      </c>
      <c r="H986" s="33" t="str">
        <f>IF(E986="Não","Não aplicável",IFERROR(IF(B986="EU-ENV-002",IF(INDEX(tbl_recyclass[Conforme_PPWR_2030],MATCH(A986,tbl_recyclass[ProductId],0))="Sim","Conforme (autoavaliação)",IF(INDEX(tbl_recyclass[Conforme_PPWR_2030],MATCH(A986,tbl_recyclass[ProductId],0))="Não","Não conforme em 2030","Isento até 2035")),IF(B986="EU-ENV-003",IF(INDEX(tbl_recyclass[Conforme_Art7_2030],MATCH(A986,tbl_recyclass[ProductId],0))="Sim","Conforme (meta 2030)",IF(INDEX(tbl_recyclass[Conforme_Art7_2030],MATCH(A986,tbl_recyclass[ProductId],0))="Não","Lacuna face à meta 2030","Isento")),IF(B986="EU-ENV-011",IF(INDEX(tbl_familias_ppwr[Metais_Pesados_Evidencia],MATCH(INDEX(tbl_recyclass[Familia_PPWR],MATCH(A986,tbl_recyclass[ProductId],0)),tbl_familias_ppwr[ID_Familia],0))="Em falta","Lacuna","Conforme"),IF(B986="EU-ENV-013",IF(INDEX(tbl_familias_ppwr[Declaracao_UE],MATCH(INDEX(tbl_recyclass[Familia_PPWR],MATCH(A986,tbl_recyclass[ProductId],0)),tbl_familias_ppwr[ID_Familia],0))="Sim","Conforme","Lacuna"),G986)))),G986))</f>
        <v>Não aplicável</v>
      </c>
      <c r="I986" s="33" t="str">
        <f t="shared" si="15"/>
        <v>Não aplicável</v>
      </c>
      <c r="J986" s="26"/>
    </row>
    <row r="987" spans="1:10" ht="16.05" customHeight="1" x14ac:dyDescent="0.3">
      <c r="A987" s="26" t="s">
        <v>719</v>
      </c>
      <c r="B987" s="26" t="s">
        <v>1268</v>
      </c>
      <c r="C987" s="33" t="str">
        <f>IFERROR(INDEX(tbl_requisitos_emb[Tema],MATCH(B987,tbl_requisitos_emb[ID_Req],0)),"")</f>
        <v>Dispositivos de segurança</v>
      </c>
      <c r="D987" s="33" t="str">
        <f>IFERROR(INDEX(tbl_recyclass[Segmento],MATCH(A987,tbl_recyclass[ProductId],0)),"")</f>
        <v>Cosmética e higiene pessoal</v>
      </c>
      <c r="E987" s="26" t="s">
        <v>904</v>
      </c>
      <c r="F987" s="26" t="s">
        <v>1451</v>
      </c>
      <c r="G987" s="26" t="s">
        <v>1143</v>
      </c>
      <c r="H987" s="33" t="str">
        <f>IF(E987="Não","Não aplicável",IFERROR(IF(B987="EU-ENV-002",IF(INDEX(tbl_recyclass[Conforme_PPWR_2030],MATCH(A987,tbl_recyclass[ProductId],0))="Sim","Conforme (autoavaliação)",IF(INDEX(tbl_recyclass[Conforme_PPWR_2030],MATCH(A987,tbl_recyclass[ProductId],0))="Não","Não conforme em 2030","Isento até 2035")),IF(B987="EU-ENV-003",IF(INDEX(tbl_recyclass[Conforme_Art7_2030],MATCH(A987,tbl_recyclass[ProductId],0))="Sim","Conforme (meta 2030)",IF(INDEX(tbl_recyclass[Conforme_Art7_2030],MATCH(A987,tbl_recyclass[ProductId],0))="Não","Lacuna face à meta 2030","Isento")),IF(B987="EU-ENV-011",IF(INDEX(tbl_familias_ppwr[Metais_Pesados_Evidencia],MATCH(INDEX(tbl_recyclass[Familia_PPWR],MATCH(A987,tbl_recyclass[ProductId],0)),tbl_familias_ppwr[ID_Familia],0))="Em falta","Lacuna","Conforme"),IF(B987="EU-ENV-013",IF(INDEX(tbl_familias_ppwr[Declaracao_UE],MATCH(INDEX(tbl_recyclass[Familia_PPWR],MATCH(A987,tbl_recyclass[ProductId],0)),tbl_familias_ppwr[ID_Familia],0))="Sim","Conforme","Lacuna"),G987)))),G987))</f>
        <v>Não aplicável</v>
      </c>
      <c r="I987" s="33" t="str">
        <f t="shared" si="15"/>
        <v>Não aplicável</v>
      </c>
      <c r="J987" s="26"/>
    </row>
    <row r="988" spans="1:10" ht="16.05" customHeight="1" x14ac:dyDescent="0.3">
      <c r="A988" s="26" t="s">
        <v>719</v>
      </c>
      <c r="B988" s="26" t="s">
        <v>1285</v>
      </c>
      <c r="C988" s="33" t="str">
        <f>IFERROR(INDEX(tbl_requisitos_emb[Tema],MATCH(B988,tbl_requisitos_emb[ID_Req],0)),"")</f>
        <v>Materiais plásticos de acondicionamento primário</v>
      </c>
      <c r="D988" s="33" t="str">
        <f>IFERROR(INDEX(tbl_recyclass[Segmento],MATCH(A988,tbl_recyclass[ProductId],0)),"")</f>
        <v>Cosmética e higiene pessoal</v>
      </c>
      <c r="E988" s="26" t="s">
        <v>904</v>
      </c>
      <c r="F988" s="26" t="s">
        <v>1451</v>
      </c>
      <c r="G988" s="26" t="s">
        <v>1143</v>
      </c>
      <c r="H988" s="33" t="str">
        <f>IF(E988="Não","Não aplicável",IFERROR(IF(B988="EU-ENV-002",IF(INDEX(tbl_recyclass[Conforme_PPWR_2030],MATCH(A988,tbl_recyclass[ProductId],0))="Sim","Conforme (autoavaliação)",IF(INDEX(tbl_recyclass[Conforme_PPWR_2030],MATCH(A988,tbl_recyclass[ProductId],0))="Não","Não conforme em 2030","Isento até 2035")),IF(B988="EU-ENV-003",IF(INDEX(tbl_recyclass[Conforme_Art7_2030],MATCH(A988,tbl_recyclass[ProductId],0))="Sim","Conforme (meta 2030)",IF(INDEX(tbl_recyclass[Conforme_Art7_2030],MATCH(A988,tbl_recyclass[ProductId],0))="Não","Lacuna face à meta 2030","Isento")),IF(B988="EU-ENV-011",IF(INDEX(tbl_familias_ppwr[Metais_Pesados_Evidencia],MATCH(INDEX(tbl_recyclass[Familia_PPWR],MATCH(A988,tbl_recyclass[ProductId],0)),tbl_familias_ppwr[ID_Familia],0))="Em falta","Lacuna","Conforme"),IF(B988="EU-ENV-013",IF(INDEX(tbl_familias_ppwr[Declaracao_UE],MATCH(INDEX(tbl_recyclass[Familia_PPWR],MATCH(A988,tbl_recyclass[ProductId],0)),tbl_familias_ppwr[ID_Familia],0))="Sim","Conforme","Lacuna"),G988)))),G988))</f>
        <v>Não aplicável</v>
      </c>
      <c r="I988" s="33" t="str">
        <f t="shared" si="15"/>
        <v>Não aplicável</v>
      </c>
      <c r="J988" s="26"/>
    </row>
    <row r="989" spans="1:10" ht="16.05" customHeight="1" x14ac:dyDescent="0.3">
      <c r="A989" s="26" t="s">
        <v>719</v>
      </c>
      <c r="B989" s="26" t="s">
        <v>1293</v>
      </c>
      <c r="C989" s="33" t="str">
        <f>IFERROR(INDEX(tbl_requisitos_emb[Tema],MATCH(B989,tbl_requisitos_emb[ID_Req],0)),"")</f>
        <v>Isenções PPWR</v>
      </c>
      <c r="D989" s="33" t="str">
        <f>IFERROR(INDEX(tbl_recyclass[Segmento],MATCH(A989,tbl_recyclass[ProductId],0)),"")</f>
        <v>Cosmética e higiene pessoal</v>
      </c>
      <c r="E989" s="26" t="s">
        <v>904</v>
      </c>
      <c r="F989" s="26" t="s">
        <v>1451</v>
      </c>
      <c r="G989" s="26" t="s">
        <v>1143</v>
      </c>
      <c r="H989" s="33" t="str">
        <f>IF(E989="Não","Não aplicável",IFERROR(IF(B989="EU-ENV-002",IF(INDEX(tbl_recyclass[Conforme_PPWR_2030],MATCH(A989,tbl_recyclass[ProductId],0))="Sim","Conforme (autoavaliação)",IF(INDEX(tbl_recyclass[Conforme_PPWR_2030],MATCH(A989,tbl_recyclass[ProductId],0))="Não","Não conforme em 2030","Isento até 2035")),IF(B989="EU-ENV-003",IF(INDEX(tbl_recyclass[Conforme_Art7_2030],MATCH(A989,tbl_recyclass[ProductId],0))="Sim","Conforme (meta 2030)",IF(INDEX(tbl_recyclass[Conforme_Art7_2030],MATCH(A989,tbl_recyclass[ProductId],0))="Não","Lacuna face à meta 2030","Isento")),IF(B989="EU-ENV-011",IF(INDEX(tbl_familias_ppwr[Metais_Pesados_Evidencia],MATCH(INDEX(tbl_recyclass[Familia_PPWR],MATCH(A989,tbl_recyclass[ProductId],0)),tbl_familias_ppwr[ID_Familia],0))="Em falta","Lacuna","Conforme"),IF(B989="EU-ENV-013",IF(INDEX(tbl_familias_ppwr[Declaracao_UE],MATCH(INDEX(tbl_recyclass[Familia_PPWR],MATCH(A989,tbl_recyclass[ProductId],0)),tbl_familias_ppwr[ID_Familia],0))="Sim","Conforme","Lacuna"),G989)))),G989))</f>
        <v>Não aplicável</v>
      </c>
      <c r="I989" s="33" t="str">
        <f t="shared" si="15"/>
        <v>Não aplicável</v>
      </c>
      <c r="J989" s="26"/>
    </row>
    <row r="990" spans="1:10" ht="16.05" customHeight="1" x14ac:dyDescent="0.3">
      <c r="A990" s="26" t="s">
        <v>719</v>
      </c>
      <c r="B990" s="26" t="s">
        <v>1357</v>
      </c>
      <c r="C990" s="33" t="str">
        <f>IFERROR(INDEX(tbl_requisitos_emb[Tema],MATCH(B990,tbl_requisitos_emb[ID_Req],0)),"")</f>
        <v>Identificação de plásticos</v>
      </c>
      <c r="D990" s="33" t="str">
        <f>IFERROR(INDEX(tbl_recyclass[Segmento],MATCH(A990,tbl_recyclass[ProductId],0)),"")</f>
        <v>Cosmética e higiene pessoal</v>
      </c>
      <c r="E990" s="26" t="s">
        <v>901</v>
      </c>
      <c r="F990" s="26" t="s">
        <v>1449</v>
      </c>
      <c r="G990" s="26" t="s">
        <v>978</v>
      </c>
      <c r="H990" s="33" t="str">
        <f>IF(E990="Não","Não aplicável",IFERROR(IF(B990="EU-ENV-002",IF(INDEX(tbl_recyclass[Conforme_PPWR_2030],MATCH(A990,tbl_recyclass[ProductId],0))="Sim","Conforme (autoavaliação)",IF(INDEX(tbl_recyclass[Conforme_PPWR_2030],MATCH(A990,tbl_recyclass[ProductId],0))="Não","Não conforme em 2030","Isento até 2035")),IF(B990="EU-ENV-003",IF(INDEX(tbl_recyclass[Conforme_Art7_2030],MATCH(A990,tbl_recyclass[ProductId],0))="Sim","Conforme (meta 2030)",IF(INDEX(tbl_recyclass[Conforme_Art7_2030],MATCH(A990,tbl_recyclass[ProductId],0))="Não","Lacuna face à meta 2030","Isento")),IF(B990="EU-ENV-011",IF(INDEX(tbl_familias_ppwr[Metais_Pesados_Evidencia],MATCH(INDEX(tbl_recyclass[Familia_PPWR],MATCH(A990,tbl_recyclass[ProductId],0)),tbl_familias_ppwr[ID_Familia],0))="Em falta","Lacuna","Conforme"),IF(B990="EU-ENV-013",IF(INDEX(tbl_familias_ppwr[Declaracao_UE],MATCH(INDEX(tbl_recyclass[Familia_PPWR],MATCH(A990,tbl_recyclass[ProductId],0)),tbl_familias_ppwr[ID_Familia],0))="Sim","Conforme","Lacuna"),G990)))),G990))</f>
        <v>Parcial</v>
      </c>
      <c r="I990" s="33" t="str">
        <f t="shared" si="15"/>
        <v>Parcial</v>
      </c>
      <c r="J990" s="26" t="s">
        <v>1362</v>
      </c>
    </row>
    <row r="991" spans="1:10" ht="16.05" customHeight="1" x14ac:dyDescent="0.3">
      <c r="A991" s="26" t="s">
        <v>719</v>
      </c>
      <c r="B991" s="26" t="s">
        <v>1385</v>
      </c>
      <c r="C991" s="33" t="str">
        <f>IFERROR(INDEX(tbl_requisitos_emb[Tema],MATCH(B991,tbl_requisitos_emb[ID_Req],0)),"")</f>
        <v>Reciclabilidade (voluntária)</v>
      </c>
      <c r="D991" s="33" t="str">
        <f>IFERROR(INDEX(tbl_recyclass[Segmento],MATCH(A991,tbl_recyclass[ProductId],0)),"")</f>
        <v>Cosmética e higiene pessoal</v>
      </c>
      <c r="E991" s="26" t="s">
        <v>901</v>
      </c>
      <c r="F991" s="26" t="s">
        <v>1449</v>
      </c>
      <c r="G991" s="26" t="s">
        <v>978</v>
      </c>
      <c r="H991" s="33" t="str">
        <f>IF(E991="Não","Não aplicável",IFERROR(IF(B991="EU-ENV-002",IF(INDEX(tbl_recyclass[Conforme_PPWR_2030],MATCH(A991,tbl_recyclass[ProductId],0))="Sim","Conforme (autoavaliação)",IF(INDEX(tbl_recyclass[Conforme_PPWR_2030],MATCH(A991,tbl_recyclass[ProductId],0))="Não","Não conforme em 2030","Isento até 2035")),IF(B991="EU-ENV-003",IF(INDEX(tbl_recyclass[Conforme_Art7_2030],MATCH(A991,tbl_recyclass[ProductId],0))="Sim","Conforme (meta 2030)",IF(INDEX(tbl_recyclass[Conforme_Art7_2030],MATCH(A991,tbl_recyclass[ProductId],0))="Não","Lacuna face à meta 2030","Isento")),IF(B991="EU-ENV-011",IF(INDEX(tbl_familias_ppwr[Metais_Pesados_Evidencia],MATCH(INDEX(tbl_recyclass[Familia_PPWR],MATCH(A991,tbl_recyclass[ProductId],0)),tbl_familias_ppwr[ID_Familia],0))="Em falta","Lacuna","Conforme"),IF(B991="EU-ENV-013",IF(INDEX(tbl_familias_ppwr[Declaracao_UE],MATCH(INDEX(tbl_recyclass[Familia_PPWR],MATCH(A991,tbl_recyclass[ProductId],0)),tbl_familias_ppwr[ID_Familia],0))="Sim","Conforme","Lacuna"),G991)))),G991))</f>
        <v>Parcial</v>
      </c>
      <c r="I991" s="33" t="str">
        <f t="shared" si="15"/>
        <v>Parcial</v>
      </c>
      <c r="J991" s="26" t="s">
        <v>1389</v>
      </c>
    </row>
    <row r="992" spans="1:10" ht="16.05" customHeight="1" x14ac:dyDescent="0.3">
      <c r="A992" s="26" t="s">
        <v>721</v>
      </c>
      <c r="B992" s="26" t="s">
        <v>984</v>
      </c>
      <c r="C992" s="33" t="str">
        <f>IFERROR(INDEX(tbl_requisitos_emb[Tema],MATCH(B992,tbl_requisitos_emb[ID_Req],0)),"")</f>
        <v>Conceção para reciclagem</v>
      </c>
      <c r="D992" s="33" t="str">
        <f>IFERROR(INDEX(tbl_recyclass[Segmento],MATCH(A992,tbl_recyclass[ProductId],0)),"")</f>
        <v>Cosmética e higiene pessoal</v>
      </c>
      <c r="E992" s="26" t="s">
        <v>901</v>
      </c>
      <c r="F992" s="26" t="s">
        <v>1449</v>
      </c>
      <c r="G992" s="26" t="s">
        <v>978</v>
      </c>
      <c r="H992" s="33" t="str">
        <f>IF(E992="Não","Não aplicável",IFERROR(IF(B992="EU-ENV-002",IF(INDEX(tbl_recyclass[Conforme_PPWR_2030],MATCH(A992,tbl_recyclass[ProductId],0))="Sim","Conforme (autoavaliação)",IF(INDEX(tbl_recyclass[Conforme_PPWR_2030],MATCH(A992,tbl_recyclass[ProductId],0))="Não","Não conforme em 2030","Isento até 2035")),IF(B992="EU-ENV-003",IF(INDEX(tbl_recyclass[Conforme_Art7_2030],MATCH(A992,tbl_recyclass[ProductId],0))="Sim","Conforme (meta 2030)",IF(INDEX(tbl_recyclass[Conforme_Art7_2030],MATCH(A992,tbl_recyclass[ProductId],0))="Não","Lacuna face à meta 2030","Isento")),IF(B992="EU-ENV-011",IF(INDEX(tbl_familias_ppwr[Metais_Pesados_Evidencia],MATCH(INDEX(tbl_recyclass[Familia_PPWR],MATCH(A992,tbl_recyclass[ProductId],0)),tbl_familias_ppwr[ID_Familia],0))="Em falta","Lacuna","Conforme"),IF(B992="EU-ENV-013",IF(INDEX(tbl_familias_ppwr[Declaracao_UE],MATCH(INDEX(tbl_recyclass[Familia_PPWR],MATCH(A992,tbl_recyclass[ProductId],0)),tbl_familias_ppwr[ID_Familia],0))="Sim","Conforme","Lacuna"),G992)))),G992))</f>
        <v>Não conforme em 2030</v>
      </c>
      <c r="I992" s="33" t="str">
        <f t="shared" si="15"/>
        <v>Não conforme</v>
      </c>
      <c r="J992" s="26" t="s">
        <v>991</v>
      </c>
    </row>
    <row r="993" spans="1:10" ht="16.05" customHeight="1" x14ac:dyDescent="0.3">
      <c r="A993" s="26" t="s">
        <v>721</v>
      </c>
      <c r="B993" s="26" t="s">
        <v>997</v>
      </c>
      <c r="C993" s="33" t="str">
        <f>IFERROR(INDEX(tbl_requisitos_emb[Tema],MATCH(B993,tbl_requisitos_emb[ID_Req],0)),"")</f>
        <v>Conteúdo reciclado</v>
      </c>
      <c r="D993" s="33" t="str">
        <f>IFERROR(INDEX(tbl_recyclass[Segmento],MATCH(A993,tbl_recyclass[ProductId],0)),"")</f>
        <v>Cosmética e higiene pessoal</v>
      </c>
      <c r="E993" s="26" t="s">
        <v>901</v>
      </c>
      <c r="F993" s="26" t="s">
        <v>1449</v>
      </c>
      <c r="G993" s="26" t="s">
        <v>978</v>
      </c>
      <c r="H993" s="33" t="str">
        <f>IF(E993="Não","Não aplicável",IFERROR(IF(B993="EU-ENV-002",IF(INDEX(tbl_recyclass[Conforme_PPWR_2030],MATCH(A993,tbl_recyclass[ProductId],0))="Sim","Conforme (autoavaliação)",IF(INDEX(tbl_recyclass[Conforme_PPWR_2030],MATCH(A993,tbl_recyclass[ProductId],0))="Não","Não conforme em 2030","Isento até 2035")),IF(B993="EU-ENV-003",IF(INDEX(tbl_recyclass[Conforme_Art7_2030],MATCH(A993,tbl_recyclass[ProductId],0))="Sim","Conforme (meta 2030)",IF(INDEX(tbl_recyclass[Conforme_Art7_2030],MATCH(A993,tbl_recyclass[ProductId],0))="Não","Lacuna face à meta 2030","Isento")),IF(B993="EU-ENV-011",IF(INDEX(tbl_familias_ppwr[Metais_Pesados_Evidencia],MATCH(INDEX(tbl_recyclass[Familia_PPWR],MATCH(A993,tbl_recyclass[ProductId],0)),tbl_familias_ppwr[ID_Familia],0))="Em falta","Lacuna","Conforme"),IF(B993="EU-ENV-013",IF(INDEX(tbl_familias_ppwr[Declaracao_UE],MATCH(INDEX(tbl_recyclass[Familia_PPWR],MATCH(A993,tbl_recyclass[ProductId],0)),tbl_familias_ppwr[ID_Familia],0))="Sim","Conforme","Lacuna"),G993)))),G993))</f>
        <v>Lacuna face à meta 2030</v>
      </c>
      <c r="I993" s="33" t="str">
        <f t="shared" si="15"/>
        <v>Lacuna</v>
      </c>
      <c r="J993" s="26" t="s">
        <v>1001</v>
      </c>
    </row>
    <row r="994" spans="1:10" ht="16.05" customHeight="1" x14ac:dyDescent="0.3">
      <c r="A994" s="26" t="s">
        <v>721</v>
      </c>
      <c r="B994" s="26" t="s">
        <v>1007</v>
      </c>
      <c r="C994" s="33" t="str">
        <f>IFERROR(INDEX(tbl_requisitos_emb[Tema],MATCH(B994,tbl_requisitos_emb[ID_Req],0)),"")</f>
        <v>Minimização</v>
      </c>
      <c r="D994" s="33" t="str">
        <f>IFERROR(INDEX(tbl_recyclass[Segmento],MATCH(A994,tbl_recyclass[ProductId],0)),"")</f>
        <v>Cosmética e higiene pessoal</v>
      </c>
      <c r="E994" s="26" t="s">
        <v>901</v>
      </c>
      <c r="F994" s="26" t="s">
        <v>1449</v>
      </c>
      <c r="G994" s="26" t="s">
        <v>978</v>
      </c>
      <c r="H994" s="33" t="str">
        <f>IF(E994="Não","Não aplicável",IFERROR(IF(B994="EU-ENV-002",IF(INDEX(tbl_recyclass[Conforme_PPWR_2030],MATCH(A994,tbl_recyclass[ProductId],0))="Sim","Conforme (autoavaliação)",IF(INDEX(tbl_recyclass[Conforme_PPWR_2030],MATCH(A994,tbl_recyclass[ProductId],0))="Não","Não conforme em 2030","Isento até 2035")),IF(B994="EU-ENV-003",IF(INDEX(tbl_recyclass[Conforme_Art7_2030],MATCH(A994,tbl_recyclass[ProductId],0))="Sim","Conforme (meta 2030)",IF(INDEX(tbl_recyclass[Conforme_Art7_2030],MATCH(A994,tbl_recyclass[ProductId],0))="Não","Lacuna face à meta 2030","Isento")),IF(B994="EU-ENV-011",IF(INDEX(tbl_familias_ppwr[Metais_Pesados_Evidencia],MATCH(INDEX(tbl_recyclass[Familia_PPWR],MATCH(A994,tbl_recyclass[ProductId],0)),tbl_familias_ppwr[ID_Familia],0))="Em falta","Lacuna","Conforme"),IF(B994="EU-ENV-013",IF(INDEX(tbl_familias_ppwr[Declaracao_UE],MATCH(INDEX(tbl_recyclass[Familia_PPWR],MATCH(A994,tbl_recyclass[ProductId],0)),tbl_familias_ppwr[ID_Familia],0))="Sim","Conforme","Lacuna"),G994)))),G994))</f>
        <v>Parcial</v>
      </c>
      <c r="I994" s="33" t="str">
        <f t="shared" si="15"/>
        <v>Parcial</v>
      </c>
      <c r="J994" s="26" t="s">
        <v>1012</v>
      </c>
    </row>
    <row r="995" spans="1:10" ht="16.05" customHeight="1" x14ac:dyDescent="0.3">
      <c r="A995" s="26" t="s">
        <v>721</v>
      </c>
      <c r="B995" s="26" t="s">
        <v>1016</v>
      </c>
      <c r="C995" s="33" t="str">
        <f>IFERROR(INDEX(tbl_requisitos_emb[Tema],MATCH(B995,tbl_requisitos_emb[ID_Req],0)),"")</f>
        <v>Rotulagem</v>
      </c>
      <c r="D995" s="33" t="str">
        <f>IFERROR(INDEX(tbl_recyclass[Segmento],MATCH(A995,tbl_recyclass[ProductId],0)),"")</f>
        <v>Cosmética e higiene pessoal</v>
      </c>
      <c r="E995" s="26" t="s">
        <v>901</v>
      </c>
      <c r="F995" s="26" t="s">
        <v>1449</v>
      </c>
      <c r="G995" s="26" t="s">
        <v>990</v>
      </c>
      <c r="H995" s="33" t="str">
        <f>IF(E995="Não","Não aplicável",IFERROR(IF(B995="EU-ENV-002",IF(INDEX(tbl_recyclass[Conforme_PPWR_2030],MATCH(A995,tbl_recyclass[ProductId],0))="Sim","Conforme (autoavaliação)",IF(INDEX(tbl_recyclass[Conforme_PPWR_2030],MATCH(A995,tbl_recyclass[ProductId],0))="Não","Não conforme em 2030","Isento até 2035")),IF(B995="EU-ENV-003",IF(INDEX(tbl_recyclass[Conforme_Art7_2030],MATCH(A995,tbl_recyclass[ProductId],0))="Sim","Conforme (meta 2030)",IF(INDEX(tbl_recyclass[Conforme_Art7_2030],MATCH(A995,tbl_recyclass[ProductId],0))="Não","Lacuna face à meta 2030","Isento")),IF(B995="EU-ENV-011",IF(INDEX(tbl_familias_ppwr[Metais_Pesados_Evidencia],MATCH(INDEX(tbl_recyclass[Familia_PPWR],MATCH(A995,tbl_recyclass[ProductId],0)),tbl_familias_ppwr[ID_Familia],0))="Em falta","Lacuna","Conforme"),IF(B995="EU-ENV-013",IF(INDEX(tbl_familias_ppwr[Declaracao_UE],MATCH(INDEX(tbl_recyclass[Familia_PPWR],MATCH(A995,tbl_recyclass[ProductId],0)),tbl_familias_ppwr[ID_Familia],0))="Sim","Conforme","Lacuna"),G995)))),G995))</f>
        <v>Futuro</v>
      </c>
      <c r="I995" s="33" t="str">
        <f t="shared" si="15"/>
        <v>Futuro</v>
      </c>
      <c r="J995" s="26" t="s">
        <v>1021</v>
      </c>
    </row>
    <row r="996" spans="1:10" ht="16.05" customHeight="1" x14ac:dyDescent="0.3">
      <c r="A996" s="26" t="s">
        <v>721</v>
      </c>
      <c r="B996" s="26" t="s">
        <v>1038</v>
      </c>
      <c r="C996" s="33" t="str">
        <f>IFERROR(INDEX(tbl_requisitos_emb[Tema],MATCH(B996,tbl_requisitos_emb[ID_Req],0)),"")</f>
        <v>Plásticos de utilização única</v>
      </c>
      <c r="D996" s="33" t="str">
        <f>IFERROR(INDEX(tbl_recyclass[Segmento],MATCH(A996,tbl_recyclass[ProductId],0)),"")</f>
        <v>Cosmética e higiene pessoal</v>
      </c>
      <c r="E996" s="26" t="s">
        <v>904</v>
      </c>
      <c r="F996" s="26" t="s">
        <v>1450</v>
      </c>
      <c r="G996" s="26" t="s">
        <v>1143</v>
      </c>
      <c r="H996" s="33" t="str">
        <f>IF(E996="Não","Não aplicável",IFERROR(IF(B996="EU-ENV-002",IF(INDEX(tbl_recyclass[Conforme_PPWR_2030],MATCH(A996,tbl_recyclass[ProductId],0))="Sim","Conforme (autoavaliação)",IF(INDEX(tbl_recyclass[Conforme_PPWR_2030],MATCH(A996,tbl_recyclass[ProductId],0))="Não","Não conforme em 2030","Isento até 2035")),IF(B996="EU-ENV-003",IF(INDEX(tbl_recyclass[Conforme_Art7_2030],MATCH(A996,tbl_recyclass[ProductId],0))="Sim","Conforme (meta 2030)",IF(INDEX(tbl_recyclass[Conforme_Art7_2030],MATCH(A996,tbl_recyclass[ProductId],0))="Não","Lacuna face à meta 2030","Isento")),IF(B996="EU-ENV-011",IF(INDEX(tbl_familias_ppwr[Metais_Pesados_Evidencia],MATCH(INDEX(tbl_recyclass[Familia_PPWR],MATCH(A996,tbl_recyclass[ProductId],0)),tbl_familias_ppwr[ID_Familia],0))="Em falta","Lacuna","Conforme"),IF(B996="EU-ENV-013",IF(INDEX(tbl_familias_ppwr[Declaracao_UE],MATCH(INDEX(tbl_recyclass[Familia_PPWR],MATCH(A996,tbl_recyclass[ProductId],0)),tbl_familias_ppwr[ID_Familia],0))="Sim","Conforme","Lacuna"),G996)))),G996))</f>
        <v>Não aplicável</v>
      </c>
      <c r="I996" s="33" t="str">
        <f t="shared" si="15"/>
        <v>Não aplicável</v>
      </c>
      <c r="J996" s="26"/>
    </row>
    <row r="997" spans="1:10" ht="16.05" customHeight="1" x14ac:dyDescent="0.3">
      <c r="A997" s="26" t="s">
        <v>721</v>
      </c>
      <c r="B997" s="26" t="s">
        <v>1078</v>
      </c>
      <c r="C997" s="33" t="str">
        <f>IFERROR(INDEX(tbl_requisitos_emb[Tema],MATCH(B997,tbl_requisitos_emb[ID_Req],0)),"")</f>
        <v>Reciclado à escala</v>
      </c>
      <c r="D997" s="33" t="str">
        <f>IFERROR(INDEX(tbl_recyclass[Segmento],MATCH(A997,tbl_recyclass[ProductId],0)),"")</f>
        <v>Cosmética e higiene pessoal</v>
      </c>
      <c r="E997" s="26" t="s">
        <v>901</v>
      </c>
      <c r="F997" s="26" t="s">
        <v>1449</v>
      </c>
      <c r="G997" s="26" t="s">
        <v>990</v>
      </c>
      <c r="H997" s="33" t="str">
        <f>IF(E997="Não","Não aplicável",IFERROR(IF(B997="EU-ENV-002",IF(INDEX(tbl_recyclass[Conforme_PPWR_2030],MATCH(A997,tbl_recyclass[ProductId],0))="Sim","Conforme (autoavaliação)",IF(INDEX(tbl_recyclass[Conforme_PPWR_2030],MATCH(A997,tbl_recyclass[ProductId],0))="Não","Não conforme em 2030","Isento até 2035")),IF(B997="EU-ENV-003",IF(INDEX(tbl_recyclass[Conforme_Art7_2030],MATCH(A997,tbl_recyclass[ProductId],0))="Sim","Conforme (meta 2030)",IF(INDEX(tbl_recyclass[Conforme_Art7_2030],MATCH(A997,tbl_recyclass[ProductId],0))="Não","Lacuna face à meta 2030","Isento")),IF(B997="EU-ENV-011",IF(INDEX(tbl_familias_ppwr[Metais_Pesados_Evidencia],MATCH(INDEX(tbl_recyclass[Familia_PPWR],MATCH(A997,tbl_recyclass[ProductId],0)),tbl_familias_ppwr[ID_Familia],0))="Em falta","Lacuna","Conforme"),IF(B997="EU-ENV-013",IF(INDEX(tbl_familias_ppwr[Declaracao_UE],MATCH(INDEX(tbl_recyclass[Familia_PPWR],MATCH(A997,tbl_recyclass[ProductId],0)),tbl_familias_ppwr[ID_Familia],0))="Sim","Conforme","Lacuna"),G997)))),G997))</f>
        <v>Futuro</v>
      </c>
      <c r="I997" s="33" t="str">
        <f t="shared" si="15"/>
        <v>Futuro</v>
      </c>
      <c r="J997" s="26" t="s">
        <v>1082</v>
      </c>
    </row>
    <row r="998" spans="1:10" ht="16.05" customHeight="1" x14ac:dyDescent="0.3">
      <c r="A998" s="26" t="s">
        <v>721</v>
      </c>
      <c r="B998" s="26" t="s">
        <v>1086</v>
      </c>
      <c r="C998" s="33" t="str">
        <f>IFERROR(INDEX(tbl_requisitos_emb[Tema],MATCH(B998,tbl_requisitos_emb[ID_Req],0)),"")</f>
        <v>Metais pesados</v>
      </c>
      <c r="D998" s="33" t="str">
        <f>IFERROR(INDEX(tbl_recyclass[Segmento],MATCH(A998,tbl_recyclass[ProductId],0)),"")</f>
        <v>Cosmética e higiene pessoal</v>
      </c>
      <c r="E998" s="26" t="s">
        <v>901</v>
      </c>
      <c r="F998" s="26" t="s">
        <v>1449</v>
      </c>
      <c r="G998" s="26" t="s">
        <v>978</v>
      </c>
      <c r="H998" s="33" t="str">
        <f>IF(E998="Não","Não aplicável",IFERROR(IF(B998="EU-ENV-002",IF(INDEX(tbl_recyclass[Conforme_PPWR_2030],MATCH(A998,tbl_recyclass[ProductId],0))="Sim","Conforme (autoavaliação)",IF(INDEX(tbl_recyclass[Conforme_PPWR_2030],MATCH(A998,tbl_recyclass[ProductId],0))="Não","Não conforme em 2030","Isento até 2035")),IF(B998="EU-ENV-003",IF(INDEX(tbl_recyclass[Conforme_Art7_2030],MATCH(A998,tbl_recyclass[ProductId],0))="Sim","Conforme (meta 2030)",IF(INDEX(tbl_recyclass[Conforme_Art7_2030],MATCH(A998,tbl_recyclass[ProductId],0))="Não","Lacuna face à meta 2030","Isento")),IF(B998="EU-ENV-011",IF(INDEX(tbl_familias_ppwr[Metais_Pesados_Evidencia],MATCH(INDEX(tbl_recyclass[Familia_PPWR],MATCH(A998,tbl_recyclass[ProductId],0)),tbl_familias_ppwr[ID_Familia],0))="Em falta","Lacuna","Conforme"),IF(B998="EU-ENV-013",IF(INDEX(tbl_familias_ppwr[Declaracao_UE],MATCH(INDEX(tbl_recyclass[Familia_PPWR],MATCH(A998,tbl_recyclass[ProductId],0)),tbl_familias_ppwr[ID_Familia],0))="Sim","Conforme","Lacuna"),G998)))),G998))</f>
        <v>Lacuna</v>
      </c>
      <c r="I998" s="33" t="str">
        <f t="shared" si="15"/>
        <v>Lacuna</v>
      </c>
      <c r="J998" s="26" t="s">
        <v>1090</v>
      </c>
    </row>
    <row r="999" spans="1:10" ht="16.05" customHeight="1" x14ac:dyDescent="0.3">
      <c r="A999" s="26" t="s">
        <v>721</v>
      </c>
      <c r="B999" s="26" t="s">
        <v>1094</v>
      </c>
      <c r="C999" s="33" t="str">
        <f>IFERROR(INDEX(tbl_requisitos_emb[Tema],MATCH(B999,tbl_requisitos_emb[ID_Req],0)),"")</f>
        <v>PFAS</v>
      </c>
      <c r="D999" s="33" t="str">
        <f>IFERROR(INDEX(tbl_recyclass[Segmento],MATCH(A999,tbl_recyclass[ProductId],0)),"")</f>
        <v>Cosmética e higiene pessoal</v>
      </c>
      <c r="E999" s="26" t="s">
        <v>904</v>
      </c>
      <c r="F999" s="26" t="s">
        <v>1450</v>
      </c>
      <c r="G999" s="26" t="s">
        <v>1143</v>
      </c>
      <c r="H999" s="33" t="str">
        <f>IF(E999="Não","Não aplicável",IFERROR(IF(B999="EU-ENV-002",IF(INDEX(tbl_recyclass[Conforme_PPWR_2030],MATCH(A999,tbl_recyclass[ProductId],0))="Sim","Conforme (autoavaliação)",IF(INDEX(tbl_recyclass[Conforme_PPWR_2030],MATCH(A999,tbl_recyclass[ProductId],0))="Não","Não conforme em 2030","Isento até 2035")),IF(B999="EU-ENV-003",IF(INDEX(tbl_recyclass[Conforme_Art7_2030],MATCH(A999,tbl_recyclass[ProductId],0))="Sim","Conforme (meta 2030)",IF(INDEX(tbl_recyclass[Conforme_Art7_2030],MATCH(A999,tbl_recyclass[ProductId],0))="Não","Lacuna face à meta 2030","Isento")),IF(B999="EU-ENV-011",IF(INDEX(tbl_familias_ppwr[Metais_Pesados_Evidencia],MATCH(INDEX(tbl_recyclass[Familia_PPWR],MATCH(A999,tbl_recyclass[ProductId],0)),tbl_familias_ppwr[ID_Familia],0))="Em falta","Lacuna","Conforme"),IF(B999="EU-ENV-013",IF(INDEX(tbl_familias_ppwr[Declaracao_UE],MATCH(INDEX(tbl_recyclass[Familia_PPWR],MATCH(A999,tbl_recyclass[ProductId],0)),tbl_familias_ppwr[ID_Familia],0))="Sim","Conforme","Lacuna"),G999)))),G999))</f>
        <v>Não aplicável</v>
      </c>
      <c r="I999" s="33" t="str">
        <f t="shared" si="15"/>
        <v>Não aplicável</v>
      </c>
      <c r="J999" s="26"/>
    </row>
    <row r="1000" spans="1:10" ht="16.05" customHeight="1" x14ac:dyDescent="0.3">
      <c r="A1000" s="26" t="s">
        <v>721</v>
      </c>
      <c r="B1000" s="26" t="s">
        <v>1102</v>
      </c>
      <c r="C1000" s="33" t="str">
        <f>IFERROR(INDEX(tbl_requisitos_emb[Tema],MATCH(B1000,tbl_requisitos_emb[ID_Req],0)),"")</f>
        <v>Documentação técnica e declaração UE</v>
      </c>
      <c r="D1000" s="33" t="str">
        <f>IFERROR(INDEX(tbl_recyclass[Segmento],MATCH(A1000,tbl_recyclass[ProductId],0)),"")</f>
        <v>Cosmética e higiene pessoal</v>
      </c>
      <c r="E1000" s="26" t="s">
        <v>901</v>
      </c>
      <c r="F1000" s="26" t="s">
        <v>1449</v>
      </c>
      <c r="G1000" s="26" t="s">
        <v>978</v>
      </c>
      <c r="H1000" s="33" t="str">
        <f>IF(E1000="Não","Não aplicável",IFERROR(IF(B1000="EU-ENV-002",IF(INDEX(tbl_recyclass[Conforme_PPWR_2030],MATCH(A1000,tbl_recyclass[ProductId],0))="Sim","Conforme (autoavaliação)",IF(INDEX(tbl_recyclass[Conforme_PPWR_2030],MATCH(A1000,tbl_recyclass[ProductId],0))="Não","Não conforme em 2030","Isento até 2035")),IF(B1000="EU-ENV-003",IF(INDEX(tbl_recyclass[Conforme_Art7_2030],MATCH(A1000,tbl_recyclass[ProductId],0))="Sim","Conforme (meta 2030)",IF(INDEX(tbl_recyclass[Conforme_Art7_2030],MATCH(A1000,tbl_recyclass[ProductId],0))="Não","Lacuna face à meta 2030","Isento")),IF(B1000="EU-ENV-011",IF(INDEX(tbl_familias_ppwr[Metais_Pesados_Evidencia],MATCH(INDEX(tbl_recyclass[Familia_PPWR],MATCH(A1000,tbl_recyclass[ProductId],0)),tbl_familias_ppwr[ID_Familia],0))="Em falta","Lacuna","Conforme"),IF(B1000="EU-ENV-013",IF(INDEX(tbl_familias_ppwr[Declaracao_UE],MATCH(INDEX(tbl_recyclass[Familia_PPWR],MATCH(A1000,tbl_recyclass[ProductId],0)),tbl_familias_ppwr[ID_Familia],0))="Sim","Conforme","Lacuna"),G1000)))),G1000))</f>
        <v>Conforme</v>
      </c>
      <c r="I1000" s="33" t="str">
        <f t="shared" si="15"/>
        <v>Conforme</v>
      </c>
      <c r="J1000" s="26" t="s">
        <v>1106</v>
      </c>
    </row>
    <row r="1001" spans="1:10" ht="16.05" customHeight="1" x14ac:dyDescent="0.3">
      <c r="A1001" s="26" t="s">
        <v>721</v>
      </c>
      <c r="B1001" s="26" t="s">
        <v>1161</v>
      </c>
      <c r="C1001" s="33" t="str">
        <f>IFERROR(INDEX(tbl_requisitos_emb[Tema],MATCH(B1001,tbl_requisitos_emb[ID_Req],0)),"")</f>
        <v>Materiais em contacto com alimentos</v>
      </c>
      <c r="D1001" s="33" t="str">
        <f>IFERROR(INDEX(tbl_recyclass[Segmento],MATCH(A1001,tbl_recyclass[ProductId],0)),"")</f>
        <v>Cosmética e higiene pessoal</v>
      </c>
      <c r="E1001" s="26" t="s">
        <v>904</v>
      </c>
      <c r="F1001" s="26" t="s">
        <v>1450</v>
      </c>
      <c r="G1001" s="26" t="s">
        <v>1143</v>
      </c>
      <c r="H1001" s="33" t="str">
        <f>IF(E1001="Não","Não aplicável",IFERROR(IF(B1001="EU-ENV-002",IF(INDEX(tbl_recyclass[Conforme_PPWR_2030],MATCH(A1001,tbl_recyclass[ProductId],0))="Sim","Conforme (autoavaliação)",IF(INDEX(tbl_recyclass[Conforme_PPWR_2030],MATCH(A1001,tbl_recyclass[ProductId],0))="Não","Não conforme em 2030","Isento até 2035")),IF(B1001="EU-ENV-003",IF(INDEX(tbl_recyclass[Conforme_Art7_2030],MATCH(A1001,tbl_recyclass[ProductId],0))="Sim","Conforme (meta 2030)",IF(INDEX(tbl_recyclass[Conforme_Art7_2030],MATCH(A1001,tbl_recyclass[ProductId],0))="Não","Lacuna face à meta 2030","Isento")),IF(B1001="EU-ENV-011",IF(INDEX(tbl_familias_ppwr[Metais_Pesados_Evidencia],MATCH(INDEX(tbl_recyclass[Familia_PPWR],MATCH(A1001,tbl_recyclass[ProductId],0)),tbl_familias_ppwr[ID_Familia],0))="Em falta","Lacuna","Conforme"),IF(B1001="EU-ENV-013",IF(INDEX(tbl_familias_ppwr[Declaracao_UE],MATCH(INDEX(tbl_recyclass[Familia_PPWR],MATCH(A1001,tbl_recyclass[ProductId],0)),tbl_familias_ppwr[ID_Familia],0))="Sim","Conforme","Lacuna"),G1001)))),G1001))</f>
        <v>Não aplicável</v>
      </c>
      <c r="I1001" s="33" t="str">
        <f t="shared" si="15"/>
        <v>Não aplicável</v>
      </c>
      <c r="J1001" s="26"/>
    </row>
    <row r="1002" spans="1:10" ht="16.05" customHeight="1" x14ac:dyDescent="0.3">
      <c r="A1002" s="26" t="s">
        <v>721</v>
      </c>
      <c r="B1002" s="26" t="s">
        <v>1170</v>
      </c>
      <c r="C1002" s="33" t="str">
        <f>IFERROR(INDEX(tbl_requisitos_emb[Tema],MATCH(B1002,tbl_requisitos_emb[ID_Req],0)),"")</f>
        <v>Boas práticas de fabrico FCM</v>
      </c>
      <c r="D1002" s="33" t="str">
        <f>IFERROR(INDEX(tbl_recyclass[Segmento],MATCH(A1002,tbl_recyclass[ProductId],0)),"")</f>
        <v>Cosmética e higiene pessoal</v>
      </c>
      <c r="E1002" s="26" t="s">
        <v>904</v>
      </c>
      <c r="F1002" s="26" t="s">
        <v>1450</v>
      </c>
      <c r="G1002" s="26" t="s">
        <v>1143</v>
      </c>
      <c r="H1002" s="33" t="str">
        <f>IF(E1002="Não","Não aplicável",IFERROR(IF(B1002="EU-ENV-002",IF(INDEX(tbl_recyclass[Conforme_PPWR_2030],MATCH(A1002,tbl_recyclass[ProductId],0))="Sim","Conforme (autoavaliação)",IF(INDEX(tbl_recyclass[Conforme_PPWR_2030],MATCH(A1002,tbl_recyclass[ProductId],0))="Não","Não conforme em 2030","Isento até 2035")),IF(B1002="EU-ENV-003",IF(INDEX(tbl_recyclass[Conforme_Art7_2030],MATCH(A1002,tbl_recyclass[ProductId],0))="Sim","Conforme (meta 2030)",IF(INDEX(tbl_recyclass[Conforme_Art7_2030],MATCH(A1002,tbl_recyclass[ProductId],0))="Não","Lacuna face à meta 2030","Isento")),IF(B1002="EU-ENV-011",IF(INDEX(tbl_familias_ppwr[Metais_Pesados_Evidencia],MATCH(INDEX(tbl_recyclass[Familia_PPWR],MATCH(A1002,tbl_recyclass[ProductId],0)),tbl_familias_ppwr[ID_Familia],0))="Em falta","Lacuna","Conforme"),IF(B1002="EU-ENV-013",IF(INDEX(tbl_familias_ppwr[Declaracao_UE],MATCH(INDEX(tbl_recyclass[Familia_PPWR],MATCH(A1002,tbl_recyclass[ProductId],0)),tbl_familias_ppwr[ID_Familia],0))="Sim","Conforme","Lacuna"),G1002)))),G1002))</f>
        <v>Não aplicável</v>
      </c>
      <c r="I1002" s="33" t="str">
        <f t="shared" si="15"/>
        <v>Não aplicável</v>
      </c>
      <c r="J1002" s="26"/>
    </row>
    <row r="1003" spans="1:10" ht="16.05" customHeight="1" x14ac:dyDescent="0.3">
      <c r="A1003" s="26" t="s">
        <v>721</v>
      </c>
      <c r="B1003" s="26" t="s">
        <v>1179</v>
      </c>
      <c r="C1003" s="33" t="str">
        <f>IFERROR(INDEX(tbl_requisitos_emb[Tema],MATCH(B1003,tbl_requisitos_emb[ID_Req],0)),"")</f>
        <v>Bisfenol A e bisfenóis perigosos</v>
      </c>
      <c r="D1003" s="33" t="str">
        <f>IFERROR(INDEX(tbl_recyclass[Segmento],MATCH(A1003,tbl_recyclass[ProductId],0)),"")</f>
        <v>Cosmética e higiene pessoal</v>
      </c>
      <c r="E1003" s="26" t="s">
        <v>904</v>
      </c>
      <c r="F1003" s="26" t="s">
        <v>1450</v>
      </c>
      <c r="G1003" s="26" t="s">
        <v>1143</v>
      </c>
      <c r="H1003" s="33" t="str">
        <f>IF(E1003="Não","Não aplicável",IFERROR(IF(B1003="EU-ENV-002",IF(INDEX(tbl_recyclass[Conforme_PPWR_2030],MATCH(A1003,tbl_recyclass[ProductId],0))="Sim","Conforme (autoavaliação)",IF(INDEX(tbl_recyclass[Conforme_PPWR_2030],MATCH(A1003,tbl_recyclass[ProductId],0))="Não","Não conforme em 2030","Isento até 2035")),IF(B1003="EU-ENV-003",IF(INDEX(tbl_recyclass[Conforme_Art7_2030],MATCH(A1003,tbl_recyclass[ProductId],0))="Sim","Conforme (meta 2030)",IF(INDEX(tbl_recyclass[Conforme_Art7_2030],MATCH(A1003,tbl_recyclass[ProductId],0))="Não","Lacuna face à meta 2030","Isento")),IF(B1003="EU-ENV-011",IF(INDEX(tbl_familias_ppwr[Metais_Pesados_Evidencia],MATCH(INDEX(tbl_recyclass[Familia_PPWR],MATCH(A1003,tbl_recyclass[ProductId],0)),tbl_familias_ppwr[ID_Familia],0))="Em falta","Lacuna","Conforme"),IF(B1003="EU-ENV-013",IF(INDEX(tbl_familias_ppwr[Declaracao_UE],MATCH(INDEX(tbl_recyclass[Familia_PPWR],MATCH(A1003,tbl_recyclass[ProductId],0)),tbl_familias_ppwr[ID_Familia],0))="Sim","Conforme","Lacuna"),G1003)))),G1003))</f>
        <v>Não aplicável</v>
      </c>
      <c r="I1003" s="33" t="str">
        <f t="shared" si="15"/>
        <v>Não aplicável</v>
      </c>
      <c r="J1003" s="26"/>
    </row>
    <row r="1004" spans="1:10" ht="16.05" customHeight="1" x14ac:dyDescent="0.3">
      <c r="A1004" s="26" t="s">
        <v>721</v>
      </c>
      <c r="B1004" s="26" t="s">
        <v>1188</v>
      </c>
      <c r="C1004" s="33" t="str">
        <f>IFERROR(INDEX(tbl_requisitos_emb[Tema],MATCH(B1004,tbl_requisitos_emb[ID_Req],0)),"")</f>
        <v>Plásticos em contacto com alimentos</v>
      </c>
      <c r="D1004" s="33" t="str">
        <f>IFERROR(INDEX(tbl_recyclass[Segmento],MATCH(A1004,tbl_recyclass[ProductId],0)),"")</f>
        <v>Cosmética e higiene pessoal</v>
      </c>
      <c r="E1004" s="26" t="s">
        <v>904</v>
      </c>
      <c r="F1004" s="26" t="s">
        <v>1450</v>
      </c>
      <c r="G1004" s="26" t="s">
        <v>1143</v>
      </c>
      <c r="H1004" s="33" t="str">
        <f>IF(E1004="Não","Não aplicável",IFERROR(IF(B1004="EU-ENV-002",IF(INDEX(tbl_recyclass[Conforme_PPWR_2030],MATCH(A1004,tbl_recyclass[ProductId],0))="Sim","Conforme (autoavaliação)",IF(INDEX(tbl_recyclass[Conforme_PPWR_2030],MATCH(A1004,tbl_recyclass[ProductId],0))="Não","Não conforme em 2030","Isento até 2035")),IF(B1004="EU-ENV-003",IF(INDEX(tbl_recyclass[Conforme_Art7_2030],MATCH(A1004,tbl_recyclass[ProductId],0))="Sim","Conforme (meta 2030)",IF(INDEX(tbl_recyclass[Conforme_Art7_2030],MATCH(A1004,tbl_recyclass[ProductId],0))="Não","Lacuna face à meta 2030","Isento")),IF(B1004="EU-ENV-011",IF(INDEX(tbl_familias_ppwr[Metais_Pesados_Evidencia],MATCH(INDEX(tbl_recyclass[Familia_PPWR],MATCH(A1004,tbl_recyclass[ProductId],0)),tbl_familias_ppwr[ID_Familia],0))="Em falta","Lacuna","Conforme"),IF(B1004="EU-ENV-013",IF(INDEX(tbl_familias_ppwr[Declaracao_UE],MATCH(INDEX(tbl_recyclass[Familia_PPWR],MATCH(A1004,tbl_recyclass[ProductId],0)),tbl_familias_ppwr[ID_Familia],0))="Sim","Conforme","Lacuna"),G1004)))),G1004))</f>
        <v>Não aplicável</v>
      </c>
      <c r="I1004" s="33" t="str">
        <f t="shared" si="15"/>
        <v>Não aplicável</v>
      </c>
      <c r="J1004" s="26"/>
    </row>
    <row r="1005" spans="1:10" ht="16.05" customHeight="1" x14ac:dyDescent="0.3">
      <c r="A1005" s="26" t="s">
        <v>721</v>
      </c>
      <c r="B1005" s="26" t="s">
        <v>1212</v>
      </c>
      <c r="C1005" s="33" t="str">
        <f>IFERROR(INDEX(tbl_requisitos_emb[Tema],MATCH(B1005,tbl_requisitos_emb[ID_Req],0)),"")</f>
        <v>Segurança do produto cosmético</v>
      </c>
      <c r="D1005" s="33" t="str">
        <f>IFERROR(INDEX(tbl_recyclass[Segmento],MATCH(A1005,tbl_recyclass[ProductId],0)),"")</f>
        <v>Cosmética e higiene pessoal</v>
      </c>
      <c r="E1005" s="26" t="s">
        <v>901</v>
      </c>
      <c r="F1005" s="26" t="s">
        <v>1449</v>
      </c>
      <c r="G1005" s="26" t="s">
        <v>1033</v>
      </c>
      <c r="H1005" s="33" t="str">
        <f>IF(E1005="Não","Não aplicável",IFERROR(IF(B1005="EU-ENV-002",IF(INDEX(tbl_recyclass[Conforme_PPWR_2030],MATCH(A1005,tbl_recyclass[ProductId],0))="Sim","Conforme (autoavaliação)",IF(INDEX(tbl_recyclass[Conforme_PPWR_2030],MATCH(A1005,tbl_recyclass[ProductId],0))="Não","Não conforme em 2030","Isento até 2035")),IF(B1005="EU-ENV-003",IF(INDEX(tbl_recyclass[Conforme_Art7_2030],MATCH(A1005,tbl_recyclass[ProductId],0))="Sim","Conforme (meta 2030)",IF(INDEX(tbl_recyclass[Conforme_Art7_2030],MATCH(A1005,tbl_recyclass[ProductId],0))="Não","Lacuna face à meta 2030","Isento")),IF(B1005="EU-ENV-011",IF(INDEX(tbl_familias_ppwr[Metais_Pesados_Evidencia],MATCH(INDEX(tbl_recyclass[Familia_PPWR],MATCH(A1005,tbl_recyclass[ProductId],0)),tbl_familias_ppwr[ID_Familia],0))="Em falta","Lacuna","Conforme"),IF(B1005="EU-ENV-013",IF(INDEX(tbl_familias_ppwr[Declaracao_UE],MATCH(INDEX(tbl_recyclass[Familia_PPWR],MATCH(A1005,tbl_recyclass[ProductId],0)),tbl_familias_ppwr[ID_Familia],0))="Sim","Conforme","Lacuna"),G1005)))),G1005))</f>
        <v>Conforme</v>
      </c>
      <c r="I1005" s="33" t="str">
        <f t="shared" si="15"/>
        <v>Conforme</v>
      </c>
      <c r="J1005" s="26" t="s">
        <v>1221</v>
      </c>
    </row>
    <row r="1006" spans="1:10" ht="16.05" customHeight="1" x14ac:dyDescent="0.3">
      <c r="A1006" s="26" t="s">
        <v>721</v>
      </c>
      <c r="B1006" s="26" t="s">
        <v>1224</v>
      </c>
      <c r="C1006" s="33" t="str">
        <f>IFERROR(INDEX(tbl_requisitos_emb[Tema],MATCH(B1006,tbl_requisitos_emb[ID_Req],0)),"")</f>
        <v>Materiais e impurezas</v>
      </c>
      <c r="D1006" s="33" t="str">
        <f>IFERROR(INDEX(tbl_recyclass[Segmento],MATCH(A1006,tbl_recyclass[ProductId],0)),"")</f>
        <v>Cosmética e higiene pessoal</v>
      </c>
      <c r="E1006" s="26" t="s">
        <v>901</v>
      </c>
      <c r="F1006" s="26" t="s">
        <v>1449</v>
      </c>
      <c r="G1006" s="26" t="s">
        <v>978</v>
      </c>
      <c r="H1006" s="33" t="str">
        <f>IF(E1006="Não","Não aplicável",IFERROR(IF(B1006="EU-ENV-002",IF(INDEX(tbl_recyclass[Conforme_PPWR_2030],MATCH(A1006,tbl_recyclass[ProductId],0))="Sim","Conforme (autoavaliação)",IF(INDEX(tbl_recyclass[Conforme_PPWR_2030],MATCH(A1006,tbl_recyclass[ProductId],0))="Não","Não conforme em 2030","Isento até 2035")),IF(B1006="EU-ENV-003",IF(INDEX(tbl_recyclass[Conforme_Art7_2030],MATCH(A1006,tbl_recyclass[ProductId],0))="Sim","Conforme (meta 2030)",IF(INDEX(tbl_recyclass[Conforme_Art7_2030],MATCH(A1006,tbl_recyclass[ProductId],0))="Não","Lacuna face à meta 2030","Isento")),IF(B1006="EU-ENV-011",IF(INDEX(tbl_familias_ppwr[Metais_Pesados_Evidencia],MATCH(INDEX(tbl_recyclass[Familia_PPWR],MATCH(A1006,tbl_recyclass[ProductId],0)),tbl_familias_ppwr[ID_Familia],0))="Em falta","Lacuna","Conforme"),IF(B1006="EU-ENV-013",IF(INDEX(tbl_familias_ppwr[Declaracao_UE],MATCH(INDEX(tbl_recyclass[Familia_PPWR],MATCH(A1006,tbl_recyclass[ProductId],0)),tbl_familias_ppwr[ID_Familia],0))="Sim","Conforme","Lacuna"),G1006)))),G1006))</f>
        <v>Parcial</v>
      </c>
      <c r="I1006" s="33" t="str">
        <f t="shared" si="15"/>
        <v>Parcial</v>
      </c>
      <c r="J1006" s="26" t="s">
        <v>1228</v>
      </c>
    </row>
    <row r="1007" spans="1:10" ht="16.05" customHeight="1" x14ac:dyDescent="0.3">
      <c r="A1007" s="26" t="s">
        <v>721</v>
      </c>
      <c r="B1007" s="26" t="s">
        <v>1240</v>
      </c>
      <c r="C1007" s="33" t="str">
        <f>IFERROR(INDEX(tbl_requisitos_emb[Tema],MATCH(B1007,tbl_requisitos_emb[ID_Req],0)),"")</f>
        <v>Compatibilidade embalagem–produto</v>
      </c>
      <c r="D1007" s="33" t="str">
        <f>IFERROR(INDEX(tbl_recyclass[Segmento],MATCH(A1007,tbl_recyclass[ProductId],0)),"")</f>
        <v>Cosmética e higiene pessoal</v>
      </c>
      <c r="E1007" s="26" t="s">
        <v>901</v>
      </c>
      <c r="F1007" s="26" t="s">
        <v>1449</v>
      </c>
      <c r="G1007" s="26" t="s">
        <v>1033</v>
      </c>
      <c r="H1007" s="33" t="str">
        <f>IF(E1007="Não","Não aplicável",IFERROR(IF(B1007="EU-ENV-002",IF(INDEX(tbl_recyclass[Conforme_PPWR_2030],MATCH(A1007,tbl_recyclass[ProductId],0))="Sim","Conforme (autoavaliação)",IF(INDEX(tbl_recyclass[Conforme_PPWR_2030],MATCH(A1007,tbl_recyclass[ProductId],0))="Não","Não conforme em 2030","Isento até 2035")),IF(B1007="EU-ENV-003",IF(INDEX(tbl_recyclass[Conforme_Art7_2030],MATCH(A1007,tbl_recyclass[ProductId],0))="Sim","Conforme (meta 2030)",IF(INDEX(tbl_recyclass[Conforme_Art7_2030],MATCH(A1007,tbl_recyclass[ProductId],0))="Não","Lacuna face à meta 2030","Isento")),IF(B1007="EU-ENV-011",IF(INDEX(tbl_familias_ppwr[Metais_Pesados_Evidencia],MATCH(INDEX(tbl_recyclass[Familia_PPWR],MATCH(A1007,tbl_recyclass[ProductId],0)),tbl_familias_ppwr[ID_Familia],0))="Em falta","Lacuna","Conforme"),IF(B1007="EU-ENV-013",IF(INDEX(tbl_familias_ppwr[Declaracao_UE],MATCH(INDEX(tbl_recyclass[Familia_PPWR],MATCH(A1007,tbl_recyclass[ProductId],0)),tbl_familias_ppwr[ID_Familia],0))="Sim","Conforme","Lacuna"),G1007)))),G1007))</f>
        <v>Conforme</v>
      </c>
      <c r="I1007" s="33" t="str">
        <f t="shared" si="15"/>
        <v>Conforme</v>
      </c>
      <c r="J1007" s="26" t="s">
        <v>1244</v>
      </c>
    </row>
    <row r="1008" spans="1:10" ht="16.05" customHeight="1" x14ac:dyDescent="0.3">
      <c r="A1008" s="26" t="s">
        <v>721</v>
      </c>
      <c r="B1008" s="26" t="s">
        <v>1252</v>
      </c>
      <c r="C1008" s="33" t="str">
        <f>IFERROR(INDEX(tbl_requisitos_emb[Tema],MATCH(B1008,tbl_requisitos_emb[ID_Req],0)),"")</f>
        <v>Medicamentos de uso humano</v>
      </c>
      <c r="D1008" s="33" t="str">
        <f>IFERROR(INDEX(tbl_recyclass[Segmento],MATCH(A1008,tbl_recyclass[ProductId],0)),"")</f>
        <v>Cosmética e higiene pessoal</v>
      </c>
      <c r="E1008" s="26" t="s">
        <v>904</v>
      </c>
      <c r="F1008" s="26" t="s">
        <v>1451</v>
      </c>
      <c r="G1008" s="26" t="s">
        <v>1143</v>
      </c>
      <c r="H1008" s="33" t="str">
        <f>IF(E1008="Não","Não aplicável",IFERROR(IF(B1008="EU-ENV-002",IF(INDEX(tbl_recyclass[Conforme_PPWR_2030],MATCH(A1008,tbl_recyclass[ProductId],0))="Sim","Conforme (autoavaliação)",IF(INDEX(tbl_recyclass[Conforme_PPWR_2030],MATCH(A1008,tbl_recyclass[ProductId],0))="Não","Não conforme em 2030","Isento até 2035")),IF(B1008="EU-ENV-003",IF(INDEX(tbl_recyclass[Conforme_Art7_2030],MATCH(A1008,tbl_recyclass[ProductId],0))="Sim","Conforme (meta 2030)",IF(INDEX(tbl_recyclass[Conforme_Art7_2030],MATCH(A1008,tbl_recyclass[ProductId],0))="Não","Lacuna face à meta 2030","Isento")),IF(B1008="EU-ENV-011",IF(INDEX(tbl_familias_ppwr[Metais_Pesados_Evidencia],MATCH(INDEX(tbl_recyclass[Familia_PPWR],MATCH(A1008,tbl_recyclass[ProductId],0)),tbl_familias_ppwr[ID_Familia],0))="Em falta","Lacuna","Conforme"),IF(B1008="EU-ENV-013",IF(INDEX(tbl_familias_ppwr[Declaracao_UE],MATCH(INDEX(tbl_recyclass[Familia_PPWR],MATCH(A1008,tbl_recyclass[ProductId],0)),tbl_familias_ppwr[ID_Familia],0))="Sim","Conforme","Lacuna"),G1008)))),G1008))</f>
        <v>Não aplicável</v>
      </c>
      <c r="I1008" s="33" t="str">
        <f t="shared" si="15"/>
        <v>Não aplicável</v>
      </c>
      <c r="J1008" s="26"/>
    </row>
    <row r="1009" spans="1:10" ht="16.05" customHeight="1" x14ac:dyDescent="0.3">
      <c r="A1009" s="26" t="s">
        <v>721</v>
      </c>
      <c r="B1009" s="26" t="s">
        <v>1268</v>
      </c>
      <c r="C1009" s="33" t="str">
        <f>IFERROR(INDEX(tbl_requisitos_emb[Tema],MATCH(B1009,tbl_requisitos_emb[ID_Req],0)),"")</f>
        <v>Dispositivos de segurança</v>
      </c>
      <c r="D1009" s="33" t="str">
        <f>IFERROR(INDEX(tbl_recyclass[Segmento],MATCH(A1009,tbl_recyclass[ProductId],0)),"")</f>
        <v>Cosmética e higiene pessoal</v>
      </c>
      <c r="E1009" s="26" t="s">
        <v>904</v>
      </c>
      <c r="F1009" s="26" t="s">
        <v>1451</v>
      </c>
      <c r="G1009" s="26" t="s">
        <v>1143</v>
      </c>
      <c r="H1009" s="33" t="str">
        <f>IF(E1009="Não","Não aplicável",IFERROR(IF(B1009="EU-ENV-002",IF(INDEX(tbl_recyclass[Conforme_PPWR_2030],MATCH(A1009,tbl_recyclass[ProductId],0))="Sim","Conforme (autoavaliação)",IF(INDEX(tbl_recyclass[Conforme_PPWR_2030],MATCH(A1009,tbl_recyclass[ProductId],0))="Não","Não conforme em 2030","Isento até 2035")),IF(B1009="EU-ENV-003",IF(INDEX(tbl_recyclass[Conforme_Art7_2030],MATCH(A1009,tbl_recyclass[ProductId],0))="Sim","Conforme (meta 2030)",IF(INDEX(tbl_recyclass[Conforme_Art7_2030],MATCH(A1009,tbl_recyclass[ProductId],0))="Não","Lacuna face à meta 2030","Isento")),IF(B1009="EU-ENV-011",IF(INDEX(tbl_familias_ppwr[Metais_Pesados_Evidencia],MATCH(INDEX(tbl_recyclass[Familia_PPWR],MATCH(A1009,tbl_recyclass[ProductId],0)),tbl_familias_ppwr[ID_Familia],0))="Em falta","Lacuna","Conforme"),IF(B1009="EU-ENV-013",IF(INDEX(tbl_familias_ppwr[Declaracao_UE],MATCH(INDEX(tbl_recyclass[Familia_PPWR],MATCH(A1009,tbl_recyclass[ProductId],0)),tbl_familias_ppwr[ID_Familia],0))="Sim","Conforme","Lacuna"),G1009)))),G1009))</f>
        <v>Não aplicável</v>
      </c>
      <c r="I1009" s="33" t="str">
        <f t="shared" si="15"/>
        <v>Não aplicável</v>
      </c>
      <c r="J1009" s="26"/>
    </row>
    <row r="1010" spans="1:10" ht="16.05" customHeight="1" x14ac:dyDescent="0.3">
      <c r="A1010" s="26" t="s">
        <v>721</v>
      </c>
      <c r="B1010" s="26" t="s">
        <v>1285</v>
      </c>
      <c r="C1010" s="33" t="str">
        <f>IFERROR(INDEX(tbl_requisitos_emb[Tema],MATCH(B1010,tbl_requisitos_emb[ID_Req],0)),"")</f>
        <v>Materiais plásticos de acondicionamento primário</v>
      </c>
      <c r="D1010" s="33" t="str">
        <f>IFERROR(INDEX(tbl_recyclass[Segmento],MATCH(A1010,tbl_recyclass[ProductId],0)),"")</f>
        <v>Cosmética e higiene pessoal</v>
      </c>
      <c r="E1010" s="26" t="s">
        <v>904</v>
      </c>
      <c r="F1010" s="26" t="s">
        <v>1451</v>
      </c>
      <c r="G1010" s="26" t="s">
        <v>1143</v>
      </c>
      <c r="H1010" s="33" t="str">
        <f>IF(E1010="Não","Não aplicável",IFERROR(IF(B1010="EU-ENV-002",IF(INDEX(tbl_recyclass[Conforme_PPWR_2030],MATCH(A1010,tbl_recyclass[ProductId],0))="Sim","Conforme (autoavaliação)",IF(INDEX(tbl_recyclass[Conforme_PPWR_2030],MATCH(A1010,tbl_recyclass[ProductId],0))="Não","Não conforme em 2030","Isento até 2035")),IF(B1010="EU-ENV-003",IF(INDEX(tbl_recyclass[Conforme_Art7_2030],MATCH(A1010,tbl_recyclass[ProductId],0))="Sim","Conforme (meta 2030)",IF(INDEX(tbl_recyclass[Conforme_Art7_2030],MATCH(A1010,tbl_recyclass[ProductId],0))="Não","Lacuna face à meta 2030","Isento")),IF(B1010="EU-ENV-011",IF(INDEX(tbl_familias_ppwr[Metais_Pesados_Evidencia],MATCH(INDEX(tbl_recyclass[Familia_PPWR],MATCH(A1010,tbl_recyclass[ProductId],0)),tbl_familias_ppwr[ID_Familia],0))="Em falta","Lacuna","Conforme"),IF(B1010="EU-ENV-013",IF(INDEX(tbl_familias_ppwr[Declaracao_UE],MATCH(INDEX(tbl_recyclass[Familia_PPWR],MATCH(A1010,tbl_recyclass[ProductId],0)),tbl_familias_ppwr[ID_Familia],0))="Sim","Conforme","Lacuna"),G1010)))),G1010))</f>
        <v>Não aplicável</v>
      </c>
      <c r="I1010" s="33" t="str">
        <f t="shared" si="15"/>
        <v>Não aplicável</v>
      </c>
      <c r="J1010" s="26"/>
    </row>
    <row r="1011" spans="1:10" ht="16.05" customHeight="1" x14ac:dyDescent="0.3">
      <c r="A1011" s="26" t="s">
        <v>721</v>
      </c>
      <c r="B1011" s="26" t="s">
        <v>1293</v>
      </c>
      <c r="C1011" s="33" t="str">
        <f>IFERROR(INDEX(tbl_requisitos_emb[Tema],MATCH(B1011,tbl_requisitos_emb[ID_Req],0)),"")</f>
        <v>Isenções PPWR</v>
      </c>
      <c r="D1011" s="33" t="str">
        <f>IFERROR(INDEX(tbl_recyclass[Segmento],MATCH(A1011,tbl_recyclass[ProductId],0)),"")</f>
        <v>Cosmética e higiene pessoal</v>
      </c>
      <c r="E1011" s="26" t="s">
        <v>904</v>
      </c>
      <c r="F1011" s="26" t="s">
        <v>1451</v>
      </c>
      <c r="G1011" s="26" t="s">
        <v>1143</v>
      </c>
      <c r="H1011" s="33" t="str">
        <f>IF(E1011="Não","Não aplicável",IFERROR(IF(B1011="EU-ENV-002",IF(INDEX(tbl_recyclass[Conforme_PPWR_2030],MATCH(A1011,tbl_recyclass[ProductId],0))="Sim","Conforme (autoavaliação)",IF(INDEX(tbl_recyclass[Conforme_PPWR_2030],MATCH(A1011,tbl_recyclass[ProductId],0))="Não","Não conforme em 2030","Isento até 2035")),IF(B1011="EU-ENV-003",IF(INDEX(tbl_recyclass[Conforme_Art7_2030],MATCH(A1011,tbl_recyclass[ProductId],0))="Sim","Conforme (meta 2030)",IF(INDEX(tbl_recyclass[Conforme_Art7_2030],MATCH(A1011,tbl_recyclass[ProductId],0))="Não","Lacuna face à meta 2030","Isento")),IF(B1011="EU-ENV-011",IF(INDEX(tbl_familias_ppwr[Metais_Pesados_Evidencia],MATCH(INDEX(tbl_recyclass[Familia_PPWR],MATCH(A1011,tbl_recyclass[ProductId],0)),tbl_familias_ppwr[ID_Familia],0))="Em falta","Lacuna","Conforme"),IF(B1011="EU-ENV-013",IF(INDEX(tbl_familias_ppwr[Declaracao_UE],MATCH(INDEX(tbl_recyclass[Familia_PPWR],MATCH(A1011,tbl_recyclass[ProductId],0)),tbl_familias_ppwr[ID_Familia],0))="Sim","Conforme","Lacuna"),G1011)))),G1011))</f>
        <v>Não aplicável</v>
      </c>
      <c r="I1011" s="33" t="str">
        <f t="shared" si="15"/>
        <v>Não aplicável</v>
      </c>
      <c r="J1011" s="26"/>
    </row>
    <row r="1012" spans="1:10" ht="16.05" customHeight="1" x14ac:dyDescent="0.3">
      <c r="A1012" s="26" t="s">
        <v>721</v>
      </c>
      <c r="B1012" s="26" t="s">
        <v>1357</v>
      </c>
      <c r="C1012" s="33" t="str">
        <f>IFERROR(INDEX(tbl_requisitos_emb[Tema],MATCH(B1012,tbl_requisitos_emb[ID_Req],0)),"")</f>
        <v>Identificação de plásticos</v>
      </c>
      <c r="D1012" s="33" t="str">
        <f>IFERROR(INDEX(tbl_recyclass[Segmento],MATCH(A1012,tbl_recyclass[ProductId],0)),"")</f>
        <v>Cosmética e higiene pessoal</v>
      </c>
      <c r="E1012" s="26" t="s">
        <v>901</v>
      </c>
      <c r="F1012" s="26" t="s">
        <v>1449</v>
      </c>
      <c r="G1012" s="26" t="s">
        <v>978</v>
      </c>
      <c r="H1012" s="33" t="str">
        <f>IF(E1012="Não","Não aplicável",IFERROR(IF(B1012="EU-ENV-002",IF(INDEX(tbl_recyclass[Conforme_PPWR_2030],MATCH(A1012,tbl_recyclass[ProductId],0))="Sim","Conforme (autoavaliação)",IF(INDEX(tbl_recyclass[Conforme_PPWR_2030],MATCH(A1012,tbl_recyclass[ProductId],0))="Não","Não conforme em 2030","Isento até 2035")),IF(B1012="EU-ENV-003",IF(INDEX(tbl_recyclass[Conforme_Art7_2030],MATCH(A1012,tbl_recyclass[ProductId],0))="Sim","Conforme (meta 2030)",IF(INDEX(tbl_recyclass[Conforme_Art7_2030],MATCH(A1012,tbl_recyclass[ProductId],0))="Não","Lacuna face à meta 2030","Isento")),IF(B1012="EU-ENV-011",IF(INDEX(tbl_familias_ppwr[Metais_Pesados_Evidencia],MATCH(INDEX(tbl_recyclass[Familia_PPWR],MATCH(A1012,tbl_recyclass[ProductId],0)),tbl_familias_ppwr[ID_Familia],0))="Em falta","Lacuna","Conforme"),IF(B1012="EU-ENV-013",IF(INDEX(tbl_familias_ppwr[Declaracao_UE],MATCH(INDEX(tbl_recyclass[Familia_PPWR],MATCH(A1012,tbl_recyclass[ProductId],0)),tbl_familias_ppwr[ID_Familia],0))="Sim","Conforme","Lacuna"),G1012)))),G1012))</f>
        <v>Parcial</v>
      </c>
      <c r="I1012" s="33" t="str">
        <f t="shared" si="15"/>
        <v>Parcial</v>
      </c>
      <c r="J1012" s="26" t="s">
        <v>1362</v>
      </c>
    </row>
    <row r="1013" spans="1:10" ht="16.05" customHeight="1" x14ac:dyDescent="0.3">
      <c r="A1013" s="26" t="s">
        <v>721</v>
      </c>
      <c r="B1013" s="26" t="s">
        <v>1385</v>
      </c>
      <c r="C1013" s="33" t="str">
        <f>IFERROR(INDEX(tbl_requisitos_emb[Tema],MATCH(B1013,tbl_requisitos_emb[ID_Req],0)),"")</f>
        <v>Reciclabilidade (voluntária)</v>
      </c>
      <c r="D1013" s="33" t="str">
        <f>IFERROR(INDEX(tbl_recyclass[Segmento],MATCH(A1013,tbl_recyclass[ProductId],0)),"")</f>
        <v>Cosmética e higiene pessoal</v>
      </c>
      <c r="E1013" s="26" t="s">
        <v>901</v>
      </c>
      <c r="F1013" s="26" t="s">
        <v>1449</v>
      </c>
      <c r="G1013" s="26" t="s">
        <v>978</v>
      </c>
      <c r="H1013" s="33" t="str">
        <f>IF(E1013="Não","Não aplicável",IFERROR(IF(B1013="EU-ENV-002",IF(INDEX(tbl_recyclass[Conforme_PPWR_2030],MATCH(A1013,tbl_recyclass[ProductId],0))="Sim","Conforme (autoavaliação)",IF(INDEX(tbl_recyclass[Conforme_PPWR_2030],MATCH(A1013,tbl_recyclass[ProductId],0))="Não","Não conforme em 2030","Isento até 2035")),IF(B1013="EU-ENV-003",IF(INDEX(tbl_recyclass[Conforme_Art7_2030],MATCH(A1013,tbl_recyclass[ProductId],0))="Sim","Conforme (meta 2030)",IF(INDEX(tbl_recyclass[Conforme_Art7_2030],MATCH(A1013,tbl_recyclass[ProductId],0))="Não","Lacuna face à meta 2030","Isento")),IF(B1013="EU-ENV-011",IF(INDEX(tbl_familias_ppwr[Metais_Pesados_Evidencia],MATCH(INDEX(tbl_recyclass[Familia_PPWR],MATCH(A1013,tbl_recyclass[ProductId],0)),tbl_familias_ppwr[ID_Familia],0))="Em falta","Lacuna","Conforme"),IF(B1013="EU-ENV-013",IF(INDEX(tbl_familias_ppwr[Declaracao_UE],MATCH(INDEX(tbl_recyclass[Familia_PPWR],MATCH(A1013,tbl_recyclass[ProductId],0)),tbl_familias_ppwr[ID_Familia],0))="Sim","Conforme","Lacuna"),G1013)))),G1013))</f>
        <v>Parcial</v>
      </c>
      <c r="I1013" s="33" t="str">
        <f t="shared" si="15"/>
        <v>Parcial</v>
      </c>
      <c r="J1013" s="26" t="s">
        <v>1389</v>
      </c>
    </row>
    <row r="1014" spans="1:10" ht="16.05" customHeight="1" x14ac:dyDescent="0.3">
      <c r="A1014" s="26" t="s">
        <v>723</v>
      </c>
      <c r="B1014" s="26" t="s">
        <v>984</v>
      </c>
      <c r="C1014" s="33" t="str">
        <f>IFERROR(INDEX(tbl_requisitos_emb[Tema],MATCH(B1014,tbl_requisitos_emb[ID_Req],0)),"")</f>
        <v>Conceção para reciclagem</v>
      </c>
      <c r="D1014" s="33" t="str">
        <f>IFERROR(INDEX(tbl_recyclass[Segmento],MATCH(A1014,tbl_recyclass[ProductId],0)),"")</f>
        <v>Cosmética e higiene pessoal</v>
      </c>
      <c r="E1014" s="26" t="s">
        <v>901</v>
      </c>
      <c r="F1014" s="26" t="s">
        <v>1449</v>
      </c>
      <c r="G1014" s="26" t="s">
        <v>978</v>
      </c>
      <c r="H1014" s="33" t="str">
        <f>IF(E1014="Não","Não aplicável",IFERROR(IF(B1014="EU-ENV-002",IF(INDEX(tbl_recyclass[Conforme_PPWR_2030],MATCH(A1014,tbl_recyclass[ProductId],0))="Sim","Conforme (autoavaliação)",IF(INDEX(tbl_recyclass[Conforme_PPWR_2030],MATCH(A1014,tbl_recyclass[ProductId],0))="Não","Não conforme em 2030","Isento até 2035")),IF(B1014="EU-ENV-003",IF(INDEX(tbl_recyclass[Conforme_Art7_2030],MATCH(A1014,tbl_recyclass[ProductId],0))="Sim","Conforme (meta 2030)",IF(INDEX(tbl_recyclass[Conforme_Art7_2030],MATCH(A1014,tbl_recyclass[ProductId],0))="Não","Lacuna face à meta 2030","Isento")),IF(B1014="EU-ENV-011",IF(INDEX(tbl_familias_ppwr[Metais_Pesados_Evidencia],MATCH(INDEX(tbl_recyclass[Familia_PPWR],MATCH(A1014,tbl_recyclass[ProductId],0)),tbl_familias_ppwr[ID_Familia],0))="Em falta","Lacuna","Conforme"),IF(B1014="EU-ENV-013",IF(INDEX(tbl_familias_ppwr[Declaracao_UE],MATCH(INDEX(tbl_recyclass[Familia_PPWR],MATCH(A1014,tbl_recyclass[ProductId],0)),tbl_familias_ppwr[ID_Familia],0))="Sim","Conforme","Lacuna"),G1014)))),G1014))</f>
        <v>Conforme (autoavaliação)</v>
      </c>
      <c r="I1014" s="33" t="str">
        <f t="shared" si="15"/>
        <v>Conforme</v>
      </c>
      <c r="J1014" s="26" t="s">
        <v>991</v>
      </c>
    </row>
    <row r="1015" spans="1:10" ht="16.05" customHeight="1" x14ac:dyDescent="0.3">
      <c r="A1015" s="26" t="s">
        <v>723</v>
      </c>
      <c r="B1015" s="26" t="s">
        <v>997</v>
      </c>
      <c r="C1015" s="33" t="str">
        <f>IFERROR(INDEX(tbl_requisitos_emb[Tema],MATCH(B1015,tbl_requisitos_emb[ID_Req],0)),"")</f>
        <v>Conteúdo reciclado</v>
      </c>
      <c r="D1015" s="33" t="str">
        <f>IFERROR(INDEX(tbl_recyclass[Segmento],MATCH(A1015,tbl_recyclass[ProductId],0)),"")</f>
        <v>Cosmética e higiene pessoal</v>
      </c>
      <c r="E1015" s="26" t="s">
        <v>901</v>
      </c>
      <c r="F1015" s="26" t="s">
        <v>1449</v>
      </c>
      <c r="G1015" s="26" t="s">
        <v>978</v>
      </c>
      <c r="H1015" s="33" t="str">
        <f>IF(E1015="Não","Não aplicável",IFERROR(IF(B1015="EU-ENV-002",IF(INDEX(tbl_recyclass[Conforme_PPWR_2030],MATCH(A1015,tbl_recyclass[ProductId],0))="Sim","Conforme (autoavaliação)",IF(INDEX(tbl_recyclass[Conforme_PPWR_2030],MATCH(A1015,tbl_recyclass[ProductId],0))="Não","Não conforme em 2030","Isento até 2035")),IF(B1015="EU-ENV-003",IF(INDEX(tbl_recyclass[Conforme_Art7_2030],MATCH(A1015,tbl_recyclass[ProductId],0))="Sim","Conforme (meta 2030)",IF(INDEX(tbl_recyclass[Conforme_Art7_2030],MATCH(A1015,tbl_recyclass[ProductId],0))="Não","Lacuna face à meta 2030","Isento")),IF(B1015="EU-ENV-011",IF(INDEX(tbl_familias_ppwr[Metais_Pesados_Evidencia],MATCH(INDEX(tbl_recyclass[Familia_PPWR],MATCH(A1015,tbl_recyclass[ProductId],0)),tbl_familias_ppwr[ID_Familia],0))="Em falta","Lacuna","Conforme"),IF(B1015="EU-ENV-013",IF(INDEX(tbl_familias_ppwr[Declaracao_UE],MATCH(INDEX(tbl_recyclass[Familia_PPWR],MATCH(A1015,tbl_recyclass[ProductId],0)),tbl_familias_ppwr[ID_Familia],0))="Sim","Conforme","Lacuna"),G1015)))),G1015))</f>
        <v>Lacuna face à meta 2030</v>
      </c>
      <c r="I1015" s="33" t="str">
        <f t="shared" si="15"/>
        <v>Lacuna</v>
      </c>
      <c r="J1015" s="26" t="s">
        <v>1001</v>
      </c>
    </row>
    <row r="1016" spans="1:10" ht="16.05" customHeight="1" x14ac:dyDescent="0.3">
      <c r="A1016" s="26" t="s">
        <v>723</v>
      </c>
      <c r="B1016" s="26" t="s">
        <v>1007</v>
      </c>
      <c r="C1016" s="33" t="str">
        <f>IFERROR(INDEX(tbl_requisitos_emb[Tema],MATCH(B1016,tbl_requisitos_emb[ID_Req],0)),"")</f>
        <v>Minimização</v>
      </c>
      <c r="D1016" s="33" t="str">
        <f>IFERROR(INDEX(tbl_recyclass[Segmento],MATCH(A1016,tbl_recyclass[ProductId],0)),"")</f>
        <v>Cosmética e higiene pessoal</v>
      </c>
      <c r="E1016" s="26" t="s">
        <v>901</v>
      </c>
      <c r="F1016" s="26" t="s">
        <v>1449</v>
      </c>
      <c r="G1016" s="26" t="s">
        <v>978</v>
      </c>
      <c r="H1016" s="33" t="str">
        <f>IF(E1016="Não","Não aplicável",IFERROR(IF(B1016="EU-ENV-002",IF(INDEX(tbl_recyclass[Conforme_PPWR_2030],MATCH(A1016,tbl_recyclass[ProductId],0))="Sim","Conforme (autoavaliação)",IF(INDEX(tbl_recyclass[Conforme_PPWR_2030],MATCH(A1016,tbl_recyclass[ProductId],0))="Não","Não conforme em 2030","Isento até 2035")),IF(B1016="EU-ENV-003",IF(INDEX(tbl_recyclass[Conforme_Art7_2030],MATCH(A1016,tbl_recyclass[ProductId],0))="Sim","Conforme (meta 2030)",IF(INDEX(tbl_recyclass[Conforme_Art7_2030],MATCH(A1016,tbl_recyclass[ProductId],0))="Não","Lacuna face à meta 2030","Isento")),IF(B1016="EU-ENV-011",IF(INDEX(tbl_familias_ppwr[Metais_Pesados_Evidencia],MATCH(INDEX(tbl_recyclass[Familia_PPWR],MATCH(A1016,tbl_recyclass[ProductId],0)),tbl_familias_ppwr[ID_Familia],0))="Em falta","Lacuna","Conforme"),IF(B1016="EU-ENV-013",IF(INDEX(tbl_familias_ppwr[Declaracao_UE],MATCH(INDEX(tbl_recyclass[Familia_PPWR],MATCH(A1016,tbl_recyclass[ProductId],0)),tbl_familias_ppwr[ID_Familia],0))="Sim","Conforme","Lacuna"),G1016)))),G1016))</f>
        <v>Parcial</v>
      </c>
      <c r="I1016" s="33" t="str">
        <f t="shared" si="15"/>
        <v>Parcial</v>
      </c>
      <c r="J1016" s="26" t="s">
        <v>1012</v>
      </c>
    </row>
    <row r="1017" spans="1:10" ht="16.05" customHeight="1" x14ac:dyDescent="0.3">
      <c r="A1017" s="26" t="s">
        <v>723</v>
      </c>
      <c r="B1017" s="26" t="s">
        <v>1016</v>
      </c>
      <c r="C1017" s="33" t="str">
        <f>IFERROR(INDEX(tbl_requisitos_emb[Tema],MATCH(B1017,tbl_requisitos_emb[ID_Req],0)),"")</f>
        <v>Rotulagem</v>
      </c>
      <c r="D1017" s="33" t="str">
        <f>IFERROR(INDEX(tbl_recyclass[Segmento],MATCH(A1017,tbl_recyclass[ProductId],0)),"")</f>
        <v>Cosmética e higiene pessoal</v>
      </c>
      <c r="E1017" s="26" t="s">
        <v>901</v>
      </c>
      <c r="F1017" s="26" t="s">
        <v>1449</v>
      </c>
      <c r="G1017" s="26" t="s">
        <v>990</v>
      </c>
      <c r="H1017" s="33" t="str">
        <f>IF(E1017="Não","Não aplicável",IFERROR(IF(B1017="EU-ENV-002",IF(INDEX(tbl_recyclass[Conforme_PPWR_2030],MATCH(A1017,tbl_recyclass[ProductId],0))="Sim","Conforme (autoavaliação)",IF(INDEX(tbl_recyclass[Conforme_PPWR_2030],MATCH(A1017,tbl_recyclass[ProductId],0))="Não","Não conforme em 2030","Isento até 2035")),IF(B1017="EU-ENV-003",IF(INDEX(tbl_recyclass[Conforme_Art7_2030],MATCH(A1017,tbl_recyclass[ProductId],0))="Sim","Conforme (meta 2030)",IF(INDEX(tbl_recyclass[Conforme_Art7_2030],MATCH(A1017,tbl_recyclass[ProductId],0))="Não","Lacuna face à meta 2030","Isento")),IF(B1017="EU-ENV-011",IF(INDEX(tbl_familias_ppwr[Metais_Pesados_Evidencia],MATCH(INDEX(tbl_recyclass[Familia_PPWR],MATCH(A1017,tbl_recyclass[ProductId],0)),tbl_familias_ppwr[ID_Familia],0))="Em falta","Lacuna","Conforme"),IF(B1017="EU-ENV-013",IF(INDEX(tbl_familias_ppwr[Declaracao_UE],MATCH(INDEX(tbl_recyclass[Familia_PPWR],MATCH(A1017,tbl_recyclass[ProductId],0)),tbl_familias_ppwr[ID_Familia],0))="Sim","Conforme","Lacuna"),G1017)))),G1017))</f>
        <v>Futuro</v>
      </c>
      <c r="I1017" s="33" t="str">
        <f t="shared" si="15"/>
        <v>Futuro</v>
      </c>
      <c r="J1017" s="26" t="s">
        <v>1021</v>
      </c>
    </row>
    <row r="1018" spans="1:10" ht="16.05" customHeight="1" x14ac:dyDescent="0.3">
      <c r="A1018" s="26" t="s">
        <v>723</v>
      </c>
      <c r="B1018" s="26" t="s">
        <v>1038</v>
      </c>
      <c r="C1018" s="33" t="str">
        <f>IFERROR(INDEX(tbl_requisitos_emb[Tema],MATCH(B1018,tbl_requisitos_emb[ID_Req],0)),"")</f>
        <v>Plásticos de utilização única</v>
      </c>
      <c r="D1018" s="33" t="str">
        <f>IFERROR(INDEX(tbl_recyclass[Segmento],MATCH(A1018,tbl_recyclass[ProductId],0)),"")</f>
        <v>Cosmética e higiene pessoal</v>
      </c>
      <c r="E1018" s="26" t="s">
        <v>904</v>
      </c>
      <c r="F1018" s="26" t="s">
        <v>1450</v>
      </c>
      <c r="G1018" s="26" t="s">
        <v>1143</v>
      </c>
      <c r="H1018" s="33" t="str">
        <f>IF(E1018="Não","Não aplicável",IFERROR(IF(B1018="EU-ENV-002",IF(INDEX(tbl_recyclass[Conforme_PPWR_2030],MATCH(A1018,tbl_recyclass[ProductId],0))="Sim","Conforme (autoavaliação)",IF(INDEX(tbl_recyclass[Conforme_PPWR_2030],MATCH(A1018,tbl_recyclass[ProductId],0))="Não","Não conforme em 2030","Isento até 2035")),IF(B1018="EU-ENV-003",IF(INDEX(tbl_recyclass[Conforme_Art7_2030],MATCH(A1018,tbl_recyclass[ProductId],0))="Sim","Conforme (meta 2030)",IF(INDEX(tbl_recyclass[Conforme_Art7_2030],MATCH(A1018,tbl_recyclass[ProductId],0))="Não","Lacuna face à meta 2030","Isento")),IF(B1018="EU-ENV-011",IF(INDEX(tbl_familias_ppwr[Metais_Pesados_Evidencia],MATCH(INDEX(tbl_recyclass[Familia_PPWR],MATCH(A1018,tbl_recyclass[ProductId],0)),tbl_familias_ppwr[ID_Familia],0))="Em falta","Lacuna","Conforme"),IF(B1018="EU-ENV-013",IF(INDEX(tbl_familias_ppwr[Declaracao_UE],MATCH(INDEX(tbl_recyclass[Familia_PPWR],MATCH(A1018,tbl_recyclass[ProductId],0)),tbl_familias_ppwr[ID_Familia],0))="Sim","Conforme","Lacuna"),G1018)))),G1018))</f>
        <v>Não aplicável</v>
      </c>
      <c r="I1018" s="33" t="str">
        <f t="shared" si="15"/>
        <v>Não aplicável</v>
      </c>
      <c r="J1018" s="26"/>
    </row>
    <row r="1019" spans="1:10" ht="16.05" customHeight="1" x14ac:dyDescent="0.3">
      <c r="A1019" s="26" t="s">
        <v>723</v>
      </c>
      <c r="B1019" s="26" t="s">
        <v>1078</v>
      </c>
      <c r="C1019" s="33" t="str">
        <f>IFERROR(INDEX(tbl_requisitos_emb[Tema],MATCH(B1019,tbl_requisitos_emb[ID_Req],0)),"")</f>
        <v>Reciclado à escala</v>
      </c>
      <c r="D1019" s="33" t="str">
        <f>IFERROR(INDEX(tbl_recyclass[Segmento],MATCH(A1019,tbl_recyclass[ProductId],0)),"")</f>
        <v>Cosmética e higiene pessoal</v>
      </c>
      <c r="E1019" s="26" t="s">
        <v>901</v>
      </c>
      <c r="F1019" s="26" t="s">
        <v>1449</v>
      </c>
      <c r="G1019" s="26" t="s">
        <v>990</v>
      </c>
      <c r="H1019" s="33" t="str">
        <f>IF(E1019="Não","Não aplicável",IFERROR(IF(B1019="EU-ENV-002",IF(INDEX(tbl_recyclass[Conforme_PPWR_2030],MATCH(A1019,tbl_recyclass[ProductId],0))="Sim","Conforme (autoavaliação)",IF(INDEX(tbl_recyclass[Conforme_PPWR_2030],MATCH(A1019,tbl_recyclass[ProductId],0))="Não","Não conforme em 2030","Isento até 2035")),IF(B1019="EU-ENV-003",IF(INDEX(tbl_recyclass[Conforme_Art7_2030],MATCH(A1019,tbl_recyclass[ProductId],0))="Sim","Conforme (meta 2030)",IF(INDEX(tbl_recyclass[Conforme_Art7_2030],MATCH(A1019,tbl_recyclass[ProductId],0))="Não","Lacuna face à meta 2030","Isento")),IF(B1019="EU-ENV-011",IF(INDEX(tbl_familias_ppwr[Metais_Pesados_Evidencia],MATCH(INDEX(tbl_recyclass[Familia_PPWR],MATCH(A1019,tbl_recyclass[ProductId],0)),tbl_familias_ppwr[ID_Familia],0))="Em falta","Lacuna","Conforme"),IF(B1019="EU-ENV-013",IF(INDEX(tbl_familias_ppwr[Declaracao_UE],MATCH(INDEX(tbl_recyclass[Familia_PPWR],MATCH(A1019,tbl_recyclass[ProductId],0)),tbl_familias_ppwr[ID_Familia],0))="Sim","Conforme","Lacuna"),G1019)))),G1019))</f>
        <v>Futuro</v>
      </c>
      <c r="I1019" s="33" t="str">
        <f t="shared" si="15"/>
        <v>Futuro</v>
      </c>
      <c r="J1019" s="26" t="s">
        <v>1082</v>
      </c>
    </row>
    <row r="1020" spans="1:10" ht="16.05" customHeight="1" x14ac:dyDescent="0.3">
      <c r="A1020" s="26" t="s">
        <v>723</v>
      </c>
      <c r="B1020" s="26" t="s">
        <v>1086</v>
      </c>
      <c r="C1020" s="33" t="str">
        <f>IFERROR(INDEX(tbl_requisitos_emb[Tema],MATCH(B1020,tbl_requisitos_emb[ID_Req],0)),"")</f>
        <v>Metais pesados</v>
      </c>
      <c r="D1020" s="33" t="str">
        <f>IFERROR(INDEX(tbl_recyclass[Segmento],MATCH(A1020,tbl_recyclass[ProductId],0)),"")</f>
        <v>Cosmética e higiene pessoal</v>
      </c>
      <c r="E1020" s="26" t="s">
        <v>901</v>
      </c>
      <c r="F1020" s="26" t="s">
        <v>1449</v>
      </c>
      <c r="G1020" s="26" t="s">
        <v>978</v>
      </c>
      <c r="H1020" s="33" t="str">
        <f>IF(E1020="Não","Não aplicável",IFERROR(IF(B1020="EU-ENV-002",IF(INDEX(tbl_recyclass[Conforme_PPWR_2030],MATCH(A1020,tbl_recyclass[ProductId],0))="Sim","Conforme (autoavaliação)",IF(INDEX(tbl_recyclass[Conforme_PPWR_2030],MATCH(A1020,tbl_recyclass[ProductId],0))="Não","Não conforme em 2030","Isento até 2035")),IF(B1020="EU-ENV-003",IF(INDEX(tbl_recyclass[Conforme_Art7_2030],MATCH(A1020,tbl_recyclass[ProductId],0))="Sim","Conforme (meta 2030)",IF(INDEX(tbl_recyclass[Conforme_Art7_2030],MATCH(A1020,tbl_recyclass[ProductId],0))="Não","Lacuna face à meta 2030","Isento")),IF(B1020="EU-ENV-011",IF(INDEX(tbl_familias_ppwr[Metais_Pesados_Evidencia],MATCH(INDEX(tbl_recyclass[Familia_PPWR],MATCH(A1020,tbl_recyclass[ProductId],0)),tbl_familias_ppwr[ID_Familia],0))="Em falta","Lacuna","Conforme"),IF(B1020="EU-ENV-013",IF(INDEX(tbl_familias_ppwr[Declaracao_UE],MATCH(INDEX(tbl_recyclass[Familia_PPWR],MATCH(A1020,tbl_recyclass[ProductId],0)),tbl_familias_ppwr[ID_Familia],0))="Sim","Conforme","Lacuna"),G1020)))),G1020))</f>
        <v>Conforme</v>
      </c>
      <c r="I1020" s="33" t="str">
        <f t="shared" si="15"/>
        <v>Conforme</v>
      </c>
      <c r="J1020" s="26" t="s">
        <v>1090</v>
      </c>
    </row>
    <row r="1021" spans="1:10" ht="16.05" customHeight="1" x14ac:dyDescent="0.3">
      <c r="A1021" s="26" t="s">
        <v>723</v>
      </c>
      <c r="B1021" s="26" t="s">
        <v>1094</v>
      </c>
      <c r="C1021" s="33" t="str">
        <f>IFERROR(INDEX(tbl_requisitos_emb[Tema],MATCH(B1021,tbl_requisitos_emb[ID_Req],0)),"")</f>
        <v>PFAS</v>
      </c>
      <c r="D1021" s="33" t="str">
        <f>IFERROR(INDEX(tbl_recyclass[Segmento],MATCH(A1021,tbl_recyclass[ProductId],0)),"")</f>
        <v>Cosmética e higiene pessoal</v>
      </c>
      <c r="E1021" s="26" t="s">
        <v>904</v>
      </c>
      <c r="F1021" s="26" t="s">
        <v>1450</v>
      </c>
      <c r="G1021" s="26" t="s">
        <v>1143</v>
      </c>
      <c r="H1021" s="33" t="str">
        <f>IF(E1021="Não","Não aplicável",IFERROR(IF(B1021="EU-ENV-002",IF(INDEX(tbl_recyclass[Conforme_PPWR_2030],MATCH(A1021,tbl_recyclass[ProductId],0))="Sim","Conforme (autoavaliação)",IF(INDEX(tbl_recyclass[Conforme_PPWR_2030],MATCH(A1021,tbl_recyclass[ProductId],0))="Não","Não conforme em 2030","Isento até 2035")),IF(B1021="EU-ENV-003",IF(INDEX(tbl_recyclass[Conforme_Art7_2030],MATCH(A1021,tbl_recyclass[ProductId],0))="Sim","Conforme (meta 2030)",IF(INDEX(tbl_recyclass[Conforme_Art7_2030],MATCH(A1021,tbl_recyclass[ProductId],0))="Não","Lacuna face à meta 2030","Isento")),IF(B1021="EU-ENV-011",IF(INDEX(tbl_familias_ppwr[Metais_Pesados_Evidencia],MATCH(INDEX(tbl_recyclass[Familia_PPWR],MATCH(A1021,tbl_recyclass[ProductId],0)),tbl_familias_ppwr[ID_Familia],0))="Em falta","Lacuna","Conforme"),IF(B1021="EU-ENV-013",IF(INDEX(tbl_familias_ppwr[Declaracao_UE],MATCH(INDEX(tbl_recyclass[Familia_PPWR],MATCH(A1021,tbl_recyclass[ProductId],0)),tbl_familias_ppwr[ID_Familia],0))="Sim","Conforme","Lacuna"),G1021)))),G1021))</f>
        <v>Não aplicável</v>
      </c>
      <c r="I1021" s="33" t="str">
        <f t="shared" si="15"/>
        <v>Não aplicável</v>
      </c>
      <c r="J1021" s="26"/>
    </row>
    <row r="1022" spans="1:10" ht="16.05" customHeight="1" x14ac:dyDescent="0.3">
      <c r="A1022" s="26" t="s">
        <v>723</v>
      </c>
      <c r="B1022" s="26" t="s">
        <v>1102</v>
      </c>
      <c r="C1022" s="33" t="str">
        <f>IFERROR(INDEX(tbl_requisitos_emb[Tema],MATCH(B1022,tbl_requisitos_emb[ID_Req],0)),"")</f>
        <v>Documentação técnica e declaração UE</v>
      </c>
      <c r="D1022" s="33" t="str">
        <f>IFERROR(INDEX(tbl_recyclass[Segmento],MATCH(A1022,tbl_recyclass[ProductId],0)),"")</f>
        <v>Cosmética e higiene pessoal</v>
      </c>
      <c r="E1022" s="26" t="s">
        <v>901</v>
      </c>
      <c r="F1022" s="26" t="s">
        <v>1449</v>
      </c>
      <c r="G1022" s="26" t="s">
        <v>978</v>
      </c>
      <c r="H1022" s="33" t="str">
        <f>IF(E1022="Não","Não aplicável",IFERROR(IF(B1022="EU-ENV-002",IF(INDEX(tbl_recyclass[Conforme_PPWR_2030],MATCH(A1022,tbl_recyclass[ProductId],0))="Sim","Conforme (autoavaliação)",IF(INDEX(tbl_recyclass[Conforme_PPWR_2030],MATCH(A1022,tbl_recyclass[ProductId],0))="Não","Não conforme em 2030","Isento até 2035")),IF(B1022="EU-ENV-003",IF(INDEX(tbl_recyclass[Conforme_Art7_2030],MATCH(A1022,tbl_recyclass[ProductId],0))="Sim","Conforme (meta 2030)",IF(INDEX(tbl_recyclass[Conforme_Art7_2030],MATCH(A1022,tbl_recyclass[ProductId],0))="Não","Lacuna face à meta 2030","Isento")),IF(B1022="EU-ENV-011",IF(INDEX(tbl_familias_ppwr[Metais_Pesados_Evidencia],MATCH(INDEX(tbl_recyclass[Familia_PPWR],MATCH(A1022,tbl_recyclass[ProductId],0)),tbl_familias_ppwr[ID_Familia],0))="Em falta","Lacuna","Conforme"),IF(B1022="EU-ENV-013",IF(INDEX(tbl_familias_ppwr[Declaracao_UE],MATCH(INDEX(tbl_recyclass[Familia_PPWR],MATCH(A1022,tbl_recyclass[ProductId],0)),tbl_familias_ppwr[ID_Familia],0))="Sim","Conforme","Lacuna"),G1022)))),G1022))</f>
        <v>Conforme</v>
      </c>
      <c r="I1022" s="33" t="str">
        <f t="shared" si="15"/>
        <v>Conforme</v>
      </c>
      <c r="J1022" s="26" t="s">
        <v>1106</v>
      </c>
    </row>
    <row r="1023" spans="1:10" ht="16.05" customHeight="1" x14ac:dyDescent="0.3">
      <c r="A1023" s="26" t="s">
        <v>723</v>
      </c>
      <c r="B1023" s="26" t="s">
        <v>1161</v>
      </c>
      <c r="C1023" s="33" t="str">
        <f>IFERROR(INDEX(tbl_requisitos_emb[Tema],MATCH(B1023,tbl_requisitos_emb[ID_Req],0)),"")</f>
        <v>Materiais em contacto com alimentos</v>
      </c>
      <c r="D1023" s="33" t="str">
        <f>IFERROR(INDEX(tbl_recyclass[Segmento],MATCH(A1023,tbl_recyclass[ProductId],0)),"")</f>
        <v>Cosmética e higiene pessoal</v>
      </c>
      <c r="E1023" s="26" t="s">
        <v>904</v>
      </c>
      <c r="F1023" s="26" t="s">
        <v>1450</v>
      </c>
      <c r="G1023" s="26" t="s">
        <v>1143</v>
      </c>
      <c r="H1023" s="33" t="str">
        <f>IF(E1023="Não","Não aplicável",IFERROR(IF(B1023="EU-ENV-002",IF(INDEX(tbl_recyclass[Conforme_PPWR_2030],MATCH(A1023,tbl_recyclass[ProductId],0))="Sim","Conforme (autoavaliação)",IF(INDEX(tbl_recyclass[Conforme_PPWR_2030],MATCH(A1023,tbl_recyclass[ProductId],0))="Não","Não conforme em 2030","Isento até 2035")),IF(B1023="EU-ENV-003",IF(INDEX(tbl_recyclass[Conforme_Art7_2030],MATCH(A1023,tbl_recyclass[ProductId],0))="Sim","Conforme (meta 2030)",IF(INDEX(tbl_recyclass[Conforme_Art7_2030],MATCH(A1023,tbl_recyclass[ProductId],0))="Não","Lacuna face à meta 2030","Isento")),IF(B1023="EU-ENV-011",IF(INDEX(tbl_familias_ppwr[Metais_Pesados_Evidencia],MATCH(INDEX(tbl_recyclass[Familia_PPWR],MATCH(A1023,tbl_recyclass[ProductId],0)),tbl_familias_ppwr[ID_Familia],0))="Em falta","Lacuna","Conforme"),IF(B1023="EU-ENV-013",IF(INDEX(tbl_familias_ppwr[Declaracao_UE],MATCH(INDEX(tbl_recyclass[Familia_PPWR],MATCH(A1023,tbl_recyclass[ProductId],0)),tbl_familias_ppwr[ID_Familia],0))="Sim","Conforme","Lacuna"),G1023)))),G1023))</f>
        <v>Não aplicável</v>
      </c>
      <c r="I1023" s="33" t="str">
        <f t="shared" si="15"/>
        <v>Não aplicável</v>
      </c>
      <c r="J1023" s="26"/>
    </row>
    <row r="1024" spans="1:10" ht="16.05" customHeight="1" x14ac:dyDescent="0.3">
      <c r="A1024" s="26" t="s">
        <v>723</v>
      </c>
      <c r="B1024" s="26" t="s">
        <v>1170</v>
      </c>
      <c r="C1024" s="33" t="str">
        <f>IFERROR(INDEX(tbl_requisitos_emb[Tema],MATCH(B1024,tbl_requisitos_emb[ID_Req],0)),"")</f>
        <v>Boas práticas de fabrico FCM</v>
      </c>
      <c r="D1024" s="33" t="str">
        <f>IFERROR(INDEX(tbl_recyclass[Segmento],MATCH(A1024,tbl_recyclass[ProductId],0)),"")</f>
        <v>Cosmética e higiene pessoal</v>
      </c>
      <c r="E1024" s="26" t="s">
        <v>904</v>
      </c>
      <c r="F1024" s="26" t="s">
        <v>1450</v>
      </c>
      <c r="G1024" s="26" t="s">
        <v>1143</v>
      </c>
      <c r="H1024" s="33" t="str">
        <f>IF(E1024="Não","Não aplicável",IFERROR(IF(B1024="EU-ENV-002",IF(INDEX(tbl_recyclass[Conforme_PPWR_2030],MATCH(A1024,tbl_recyclass[ProductId],0))="Sim","Conforme (autoavaliação)",IF(INDEX(tbl_recyclass[Conforme_PPWR_2030],MATCH(A1024,tbl_recyclass[ProductId],0))="Não","Não conforme em 2030","Isento até 2035")),IF(B1024="EU-ENV-003",IF(INDEX(tbl_recyclass[Conforme_Art7_2030],MATCH(A1024,tbl_recyclass[ProductId],0))="Sim","Conforme (meta 2030)",IF(INDEX(tbl_recyclass[Conforme_Art7_2030],MATCH(A1024,tbl_recyclass[ProductId],0))="Não","Lacuna face à meta 2030","Isento")),IF(B1024="EU-ENV-011",IF(INDEX(tbl_familias_ppwr[Metais_Pesados_Evidencia],MATCH(INDEX(tbl_recyclass[Familia_PPWR],MATCH(A1024,tbl_recyclass[ProductId],0)),tbl_familias_ppwr[ID_Familia],0))="Em falta","Lacuna","Conforme"),IF(B1024="EU-ENV-013",IF(INDEX(tbl_familias_ppwr[Declaracao_UE],MATCH(INDEX(tbl_recyclass[Familia_PPWR],MATCH(A1024,tbl_recyclass[ProductId],0)),tbl_familias_ppwr[ID_Familia],0))="Sim","Conforme","Lacuna"),G1024)))),G1024))</f>
        <v>Não aplicável</v>
      </c>
      <c r="I1024" s="33" t="str">
        <f t="shared" si="15"/>
        <v>Não aplicável</v>
      </c>
      <c r="J1024" s="26"/>
    </row>
    <row r="1025" spans="1:10" ht="16.05" customHeight="1" x14ac:dyDescent="0.3">
      <c r="A1025" s="26" t="s">
        <v>723</v>
      </c>
      <c r="B1025" s="26" t="s">
        <v>1179</v>
      </c>
      <c r="C1025" s="33" t="str">
        <f>IFERROR(INDEX(tbl_requisitos_emb[Tema],MATCH(B1025,tbl_requisitos_emb[ID_Req],0)),"")</f>
        <v>Bisfenol A e bisfenóis perigosos</v>
      </c>
      <c r="D1025" s="33" t="str">
        <f>IFERROR(INDEX(tbl_recyclass[Segmento],MATCH(A1025,tbl_recyclass[ProductId],0)),"")</f>
        <v>Cosmética e higiene pessoal</v>
      </c>
      <c r="E1025" s="26" t="s">
        <v>904</v>
      </c>
      <c r="F1025" s="26" t="s">
        <v>1450</v>
      </c>
      <c r="G1025" s="26" t="s">
        <v>1143</v>
      </c>
      <c r="H1025" s="33" t="str">
        <f>IF(E1025="Não","Não aplicável",IFERROR(IF(B1025="EU-ENV-002",IF(INDEX(tbl_recyclass[Conforme_PPWR_2030],MATCH(A1025,tbl_recyclass[ProductId],0))="Sim","Conforme (autoavaliação)",IF(INDEX(tbl_recyclass[Conforme_PPWR_2030],MATCH(A1025,tbl_recyclass[ProductId],0))="Não","Não conforme em 2030","Isento até 2035")),IF(B1025="EU-ENV-003",IF(INDEX(tbl_recyclass[Conforme_Art7_2030],MATCH(A1025,tbl_recyclass[ProductId],0))="Sim","Conforme (meta 2030)",IF(INDEX(tbl_recyclass[Conforme_Art7_2030],MATCH(A1025,tbl_recyclass[ProductId],0))="Não","Lacuna face à meta 2030","Isento")),IF(B1025="EU-ENV-011",IF(INDEX(tbl_familias_ppwr[Metais_Pesados_Evidencia],MATCH(INDEX(tbl_recyclass[Familia_PPWR],MATCH(A1025,tbl_recyclass[ProductId],0)),tbl_familias_ppwr[ID_Familia],0))="Em falta","Lacuna","Conforme"),IF(B1025="EU-ENV-013",IF(INDEX(tbl_familias_ppwr[Declaracao_UE],MATCH(INDEX(tbl_recyclass[Familia_PPWR],MATCH(A1025,tbl_recyclass[ProductId],0)),tbl_familias_ppwr[ID_Familia],0))="Sim","Conforme","Lacuna"),G1025)))),G1025))</f>
        <v>Não aplicável</v>
      </c>
      <c r="I1025" s="33" t="str">
        <f t="shared" si="15"/>
        <v>Não aplicável</v>
      </c>
      <c r="J1025" s="26"/>
    </row>
    <row r="1026" spans="1:10" ht="16.05" customHeight="1" x14ac:dyDescent="0.3">
      <c r="A1026" s="26" t="s">
        <v>723</v>
      </c>
      <c r="B1026" s="26" t="s">
        <v>1188</v>
      </c>
      <c r="C1026" s="33" t="str">
        <f>IFERROR(INDEX(tbl_requisitos_emb[Tema],MATCH(B1026,tbl_requisitos_emb[ID_Req],0)),"")</f>
        <v>Plásticos em contacto com alimentos</v>
      </c>
      <c r="D1026" s="33" t="str">
        <f>IFERROR(INDEX(tbl_recyclass[Segmento],MATCH(A1026,tbl_recyclass[ProductId],0)),"")</f>
        <v>Cosmética e higiene pessoal</v>
      </c>
      <c r="E1026" s="26" t="s">
        <v>904</v>
      </c>
      <c r="F1026" s="26" t="s">
        <v>1450</v>
      </c>
      <c r="G1026" s="26" t="s">
        <v>1143</v>
      </c>
      <c r="H1026" s="33" t="str">
        <f>IF(E1026="Não","Não aplicável",IFERROR(IF(B1026="EU-ENV-002",IF(INDEX(tbl_recyclass[Conforme_PPWR_2030],MATCH(A1026,tbl_recyclass[ProductId],0))="Sim","Conforme (autoavaliação)",IF(INDEX(tbl_recyclass[Conforme_PPWR_2030],MATCH(A1026,tbl_recyclass[ProductId],0))="Não","Não conforme em 2030","Isento até 2035")),IF(B1026="EU-ENV-003",IF(INDEX(tbl_recyclass[Conforme_Art7_2030],MATCH(A1026,tbl_recyclass[ProductId],0))="Sim","Conforme (meta 2030)",IF(INDEX(tbl_recyclass[Conforme_Art7_2030],MATCH(A1026,tbl_recyclass[ProductId],0))="Não","Lacuna face à meta 2030","Isento")),IF(B1026="EU-ENV-011",IF(INDEX(tbl_familias_ppwr[Metais_Pesados_Evidencia],MATCH(INDEX(tbl_recyclass[Familia_PPWR],MATCH(A1026,tbl_recyclass[ProductId],0)),tbl_familias_ppwr[ID_Familia],0))="Em falta","Lacuna","Conforme"),IF(B1026="EU-ENV-013",IF(INDEX(tbl_familias_ppwr[Declaracao_UE],MATCH(INDEX(tbl_recyclass[Familia_PPWR],MATCH(A1026,tbl_recyclass[ProductId],0)),tbl_familias_ppwr[ID_Familia],0))="Sim","Conforme","Lacuna"),G1026)))),G1026))</f>
        <v>Não aplicável</v>
      </c>
      <c r="I1026" s="33" t="str">
        <f t="shared" ref="I1026:I1089" si="16">IF(ISNUMBER(SEARCH("Não aplicável",H1026)),"Não aplicável",IF(ISNUMBER(SEARCH("Isento",H1026)),"Isento",IF(ISNUMBER(SEARCH("Não conforme",H1026)),"Não conforme",IF(ISNUMBER(SEARCH("Lacuna",H1026)),"Lacuna",IF(ISNUMBER(SEARCH("Conforme",H1026)),"Conforme",H1026)))))</f>
        <v>Não aplicável</v>
      </c>
      <c r="J1026" s="26"/>
    </row>
    <row r="1027" spans="1:10" ht="16.05" customHeight="1" x14ac:dyDescent="0.3">
      <c r="A1027" s="26" t="s">
        <v>723</v>
      </c>
      <c r="B1027" s="26" t="s">
        <v>1212</v>
      </c>
      <c r="C1027" s="33" t="str">
        <f>IFERROR(INDEX(tbl_requisitos_emb[Tema],MATCH(B1027,tbl_requisitos_emb[ID_Req],0)),"")</f>
        <v>Segurança do produto cosmético</v>
      </c>
      <c r="D1027" s="33" t="str">
        <f>IFERROR(INDEX(tbl_recyclass[Segmento],MATCH(A1027,tbl_recyclass[ProductId],0)),"")</f>
        <v>Cosmética e higiene pessoal</v>
      </c>
      <c r="E1027" s="26" t="s">
        <v>901</v>
      </c>
      <c r="F1027" s="26" t="s">
        <v>1449</v>
      </c>
      <c r="G1027" s="26" t="s">
        <v>1033</v>
      </c>
      <c r="H1027" s="33" t="str">
        <f>IF(E1027="Não","Não aplicável",IFERROR(IF(B1027="EU-ENV-002",IF(INDEX(tbl_recyclass[Conforme_PPWR_2030],MATCH(A1027,tbl_recyclass[ProductId],0))="Sim","Conforme (autoavaliação)",IF(INDEX(tbl_recyclass[Conforme_PPWR_2030],MATCH(A1027,tbl_recyclass[ProductId],0))="Não","Não conforme em 2030","Isento até 2035")),IF(B1027="EU-ENV-003",IF(INDEX(tbl_recyclass[Conforme_Art7_2030],MATCH(A1027,tbl_recyclass[ProductId],0))="Sim","Conforme (meta 2030)",IF(INDEX(tbl_recyclass[Conforme_Art7_2030],MATCH(A1027,tbl_recyclass[ProductId],0))="Não","Lacuna face à meta 2030","Isento")),IF(B1027="EU-ENV-011",IF(INDEX(tbl_familias_ppwr[Metais_Pesados_Evidencia],MATCH(INDEX(tbl_recyclass[Familia_PPWR],MATCH(A1027,tbl_recyclass[ProductId],0)),tbl_familias_ppwr[ID_Familia],0))="Em falta","Lacuna","Conforme"),IF(B1027="EU-ENV-013",IF(INDEX(tbl_familias_ppwr[Declaracao_UE],MATCH(INDEX(tbl_recyclass[Familia_PPWR],MATCH(A1027,tbl_recyclass[ProductId],0)),tbl_familias_ppwr[ID_Familia],0))="Sim","Conforme","Lacuna"),G1027)))),G1027))</f>
        <v>Conforme</v>
      </c>
      <c r="I1027" s="33" t="str">
        <f t="shared" si="16"/>
        <v>Conforme</v>
      </c>
      <c r="J1027" s="26" t="s">
        <v>1221</v>
      </c>
    </row>
    <row r="1028" spans="1:10" ht="16.05" customHeight="1" x14ac:dyDescent="0.3">
      <c r="A1028" s="26" t="s">
        <v>723</v>
      </c>
      <c r="B1028" s="26" t="s">
        <v>1224</v>
      </c>
      <c r="C1028" s="33" t="str">
        <f>IFERROR(INDEX(tbl_requisitos_emb[Tema],MATCH(B1028,tbl_requisitos_emb[ID_Req],0)),"")</f>
        <v>Materiais e impurezas</v>
      </c>
      <c r="D1028" s="33" t="str">
        <f>IFERROR(INDEX(tbl_recyclass[Segmento],MATCH(A1028,tbl_recyclass[ProductId],0)),"")</f>
        <v>Cosmética e higiene pessoal</v>
      </c>
      <c r="E1028" s="26" t="s">
        <v>901</v>
      </c>
      <c r="F1028" s="26" t="s">
        <v>1449</v>
      </c>
      <c r="G1028" s="26" t="s">
        <v>978</v>
      </c>
      <c r="H1028" s="33" t="str">
        <f>IF(E1028="Não","Não aplicável",IFERROR(IF(B1028="EU-ENV-002",IF(INDEX(tbl_recyclass[Conforme_PPWR_2030],MATCH(A1028,tbl_recyclass[ProductId],0))="Sim","Conforme (autoavaliação)",IF(INDEX(tbl_recyclass[Conforme_PPWR_2030],MATCH(A1028,tbl_recyclass[ProductId],0))="Não","Não conforme em 2030","Isento até 2035")),IF(B1028="EU-ENV-003",IF(INDEX(tbl_recyclass[Conforme_Art7_2030],MATCH(A1028,tbl_recyclass[ProductId],0))="Sim","Conforme (meta 2030)",IF(INDEX(tbl_recyclass[Conforme_Art7_2030],MATCH(A1028,tbl_recyclass[ProductId],0))="Não","Lacuna face à meta 2030","Isento")),IF(B1028="EU-ENV-011",IF(INDEX(tbl_familias_ppwr[Metais_Pesados_Evidencia],MATCH(INDEX(tbl_recyclass[Familia_PPWR],MATCH(A1028,tbl_recyclass[ProductId],0)),tbl_familias_ppwr[ID_Familia],0))="Em falta","Lacuna","Conforme"),IF(B1028="EU-ENV-013",IF(INDEX(tbl_familias_ppwr[Declaracao_UE],MATCH(INDEX(tbl_recyclass[Familia_PPWR],MATCH(A1028,tbl_recyclass[ProductId],0)),tbl_familias_ppwr[ID_Familia],0))="Sim","Conforme","Lacuna"),G1028)))),G1028))</f>
        <v>Parcial</v>
      </c>
      <c r="I1028" s="33" t="str">
        <f t="shared" si="16"/>
        <v>Parcial</v>
      </c>
      <c r="J1028" s="26" t="s">
        <v>1228</v>
      </c>
    </row>
    <row r="1029" spans="1:10" ht="16.05" customHeight="1" x14ac:dyDescent="0.3">
      <c r="A1029" s="26" t="s">
        <v>723</v>
      </c>
      <c r="B1029" s="26" t="s">
        <v>1240</v>
      </c>
      <c r="C1029" s="33" t="str">
        <f>IFERROR(INDEX(tbl_requisitos_emb[Tema],MATCH(B1029,tbl_requisitos_emb[ID_Req],0)),"")</f>
        <v>Compatibilidade embalagem–produto</v>
      </c>
      <c r="D1029" s="33" t="str">
        <f>IFERROR(INDEX(tbl_recyclass[Segmento],MATCH(A1029,tbl_recyclass[ProductId],0)),"")</f>
        <v>Cosmética e higiene pessoal</v>
      </c>
      <c r="E1029" s="26" t="s">
        <v>901</v>
      </c>
      <c r="F1029" s="26" t="s">
        <v>1449</v>
      </c>
      <c r="G1029" s="26" t="s">
        <v>1033</v>
      </c>
      <c r="H1029" s="33" t="str">
        <f>IF(E1029="Não","Não aplicável",IFERROR(IF(B1029="EU-ENV-002",IF(INDEX(tbl_recyclass[Conforme_PPWR_2030],MATCH(A1029,tbl_recyclass[ProductId],0))="Sim","Conforme (autoavaliação)",IF(INDEX(tbl_recyclass[Conforme_PPWR_2030],MATCH(A1029,tbl_recyclass[ProductId],0))="Não","Não conforme em 2030","Isento até 2035")),IF(B1029="EU-ENV-003",IF(INDEX(tbl_recyclass[Conforme_Art7_2030],MATCH(A1029,tbl_recyclass[ProductId],0))="Sim","Conforme (meta 2030)",IF(INDEX(tbl_recyclass[Conforme_Art7_2030],MATCH(A1029,tbl_recyclass[ProductId],0))="Não","Lacuna face à meta 2030","Isento")),IF(B1029="EU-ENV-011",IF(INDEX(tbl_familias_ppwr[Metais_Pesados_Evidencia],MATCH(INDEX(tbl_recyclass[Familia_PPWR],MATCH(A1029,tbl_recyclass[ProductId],0)),tbl_familias_ppwr[ID_Familia],0))="Em falta","Lacuna","Conforme"),IF(B1029="EU-ENV-013",IF(INDEX(tbl_familias_ppwr[Declaracao_UE],MATCH(INDEX(tbl_recyclass[Familia_PPWR],MATCH(A1029,tbl_recyclass[ProductId],0)),tbl_familias_ppwr[ID_Familia],0))="Sim","Conforme","Lacuna"),G1029)))),G1029))</f>
        <v>Conforme</v>
      </c>
      <c r="I1029" s="33" t="str">
        <f t="shared" si="16"/>
        <v>Conforme</v>
      </c>
      <c r="J1029" s="26" t="s">
        <v>1244</v>
      </c>
    </row>
    <row r="1030" spans="1:10" ht="16.05" customHeight="1" x14ac:dyDescent="0.3">
      <c r="A1030" s="26" t="s">
        <v>723</v>
      </c>
      <c r="B1030" s="26" t="s">
        <v>1252</v>
      </c>
      <c r="C1030" s="33" t="str">
        <f>IFERROR(INDEX(tbl_requisitos_emb[Tema],MATCH(B1030,tbl_requisitos_emb[ID_Req],0)),"")</f>
        <v>Medicamentos de uso humano</v>
      </c>
      <c r="D1030" s="33" t="str">
        <f>IFERROR(INDEX(tbl_recyclass[Segmento],MATCH(A1030,tbl_recyclass[ProductId],0)),"")</f>
        <v>Cosmética e higiene pessoal</v>
      </c>
      <c r="E1030" s="26" t="s">
        <v>904</v>
      </c>
      <c r="F1030" s="26" t="s">
        <v>1451</v>
      </c>
      <c r="G1030" s="26" t="s">
        <v>1143</v>
      </c>
      <c r="H1030" s="33" t="str">
        <f>IF(E1030="Não","Não aplicável",IFERROR(IF(B1030="EU-ENV-002",IF(INDEX(tbl_recyclass[Conforme_PPWR_2030],MATCH(A1030,tbl_recyclass[ProductId],0))="Sim","Conforme (autoavaliação)",IF(INDEX(tbl_recyclass[Conforme_PPWR_2030],MATCH(A1030,tbl_recyclass[ProductId],0))="Não","Não conforme em 2030","Isento até 2035")),IF(B1030="EU-ENV-003",IF(INDEX(tbl_recyclass[Conforme_Art7_2030],MATCH(A1030,tbl_recyclass[ProductId],0))="Sim","Conforme (meta 2030)",IF(INDEX(tbl_recyclass[Conforme_Art7_2030],MATCH(A1030,tbl_recyclass[ProductId],0))="Não","Lacuna face à meta 2030","Isento")),IF(B1030="EU-ENV-011",IF(INDEX(tbl_familias_ppwr[Metais_Pesados_Evidencia],MATCH(INDEX(tbl_recyclass[Familia_PPWR],MATCH(A1030,tbl_recyclass[ProductId],0)),tbl_familias_ppwr[ID_Familia],0))="Em falta","Lacuna","Conforme"),IF(B1030="EU-ENV-013",IF(INDEX(tbl_familias_ppwr[Declaracao_UE],MATCH(INDEX(tbl_recyclass[Familia_PPWR],MATCH(A1030,tbl_recyclass[ProductId],0)),tbl_familias_ppwr[ID_Familia],0))="Sim","Conforme","Lacuna"),G1030)))),G1030))</f>
        <v>Não aplicável</v>
      </c>
      <c r="I1030" s="33" t="str">
        <f t="shared" si="16"/>
        <v>Não aplicável</v>
      </c>
      <c r="J1030" s="26"/>
    </row>
    <row r="1031" spans="1:10" ht="16.05" customHeight="1" x14ac:dyDescent="0.3">
      <c r="A1031" s="26" t="s">
        <v>723</v>
      </c>
      <c r="B1031" s="26" t="s">
        <v>1268</v>
      </c>
      <c r="C1031" s="33" t="str">
        <f>IFERROR(INDEX(tbl_requisitos_emb[Tema],MATCH(B1031,tbl_requisitos_emb[ID_Req],0)),"")</f>
        <v>Dispositivos de segurança</v>
      </c>
      <c r="D1031" s="33" t="str">
        <f>IFERROR(INDEX(tbl_recyclass[Segmento],MATCH(A1031,tbl_recyclass[ProductId],0)),"")</f>
        <v>Cosmética e higiene pessoal</v>
      </c>
      <c r="E1031" s="26" t="s">
        <v>904</v>
      </c>
      <c r="F1031" s="26" t="s">
        <v>1451</v>
      </c>
      <c r="G1031" s="26" t="s">
        <v>1143</v>
      </c>
      <c r="H1031" s="33" t="str">
        <f>IF(E1031="Não","Não aplicável",IFERROR(IF(B1031="EU-ENV-002",IF(INDEX(tbl_recyclass[Conforme_PPWR_2030],MATCH(A1031,tbl_recyclass[ProductId],0))="Sim","Conforme (autoavaliação)",IF(INDEX(tbl_recyclass[Conforme_PPWR_2030],MATCH(A1031,tbl_recyclass[ProductId],0))="Não","Não conforme em 2030","Isento até 2035")),IF(B1031="EU-ENV-003",IF(INDEX(tbl_recyclass[Conforme_Art7_2030],MATCH(A1031,tbl_recyclass[ProductId],0))="Sim","Conforme (meta 2030)",IF(INDEX(tbl_recyclass[Conforme_Art7_2030],MATCH(A1031,tbl_recyclass[ProductId],0))="Não","Lacuna face à meta 2030","Isento")),IF(B1031="EU-ENV-011",IF(INDEX(tbl_familias_ppwr[Metais_Pesados_Evidencia],MATCH(INDEX(tbl_recyclass[Familia_PPWR],MATCH(A1031,tbl_recyclass[ProductId],0)),tbl_familias_ppwr[ID_Familia],0))="Em falta","Lacuna","Conforme"),IF(B1031="EU-ENV-013",IF(INDEX(tbl_familias_ppwr[Declaracao_UE],MATCH(INDEX(tbl_recyclass[Familia_PPWR],MATCH(A1031,tbl_recyclass[ProductId],0)),tbl_familias_ppwr[ID_Familia],0))="Sim","Conforme","Lacuna"),G1031)))),G1031))</f>
        <v>Não aplicável</v>
      </c>
      <c r="I1031" s="33" t="str">
        <f t="shared" si="16"/>
        <v>Não aplicável</v>
      </c>
      <c r="J1031" s="26"/>
    </row>
    <row r="1032" spans="1:10" ht="16.05" customHeight="1" x14ac:dyDescent="0.3">
      <c r="A1032" s="26" t="s">
        <v>723</v>
      </c>
      <c r="B1032" s="26" t="s">
        <v>1285</v>
      </c>
      <c r="C1032" s="33" t="str">
        <f>IFERROR(INDEX(tbl_requisitos_emb[Tema],MATCH(B1032,tbl_requisitos_emb[ID_Req],0)),"")</f>
        <v>Materiais plásticos de acondicionamento primário</v>
      </c>
      <c r="D1032" s="33" t="str">
        <f>IFERROR(INDEX(tbl_recyclass[Segmento],MATCH(A1032,tbl_recyclass[ProductId],0)),"")</f>
        <v>Cosmética e higiene pessoal</v>
      </c>
      <c r="E1032" s="26" t="s">
        <v>904</v>
      </c>
      <c r="F1032" s="26" t="s">
        <v>1451</v>
      </c>
      <c r="G1032" s="26" t="s">
        <v>1143</v>
      </c>
      <c r="H1032" s="33" t="str">
        <f>IF(E1032="Não","Não aplicável",IFERROR(IF(B1032="EU-ENV-002",IF(INDEX(tbl_recyclass[Conforme_PPWR_2030],MATCH(A1032,tbl_recyclass[ProductId],0))="Sim","Conforme (autoavaliação)",IF(INDEX(tbl_recyclass[Conforme_PPWR_2030],MATCH(A1032,tbl_recyclass[ProductId],0))="Não","Não conforme em 2030","Isento até 2035")),IF(B1032="EU-ENV-003",IF(INDEX(tbl_recyclass[Conforme_Art7_2030],MATCH(A1032,tbl_recyclass[ProductId],0))="Sim","Conforme (meta 2030)",IF(INDEX(tbl_recyclass[Conforme_Art7_2030],MATCH(A1032,tbl_recyclass[ProductId],0))="Não","Lacuna face à meta 2030","Isento")),IF(B1032="EU-ENV-011",IF(INDEX(tbl_familias_ppwr[Metais_Pesados_Evidencia],MATCH(INDEX(tbl_recyclass[Familia_PPWR],MATCH(A1032,tbl_recyclass[ProductId],0)),tbl_familias_ppwr[ID_Familia],0))="Em falta","Lacuna","Conforme"),IF(B1032="EU-ENV-013",IF(INDEX(tbl_familias_ppwr[Declaracao_UE],MATCH(INDEX(tbl_recyclass[Familia_PPWR],MATCH(A1032,tbl_recyclass[ProductId],0)),tbl_familias_ppwr[ID_Familia],0))="Sim","Conforme","Lacuna"),G1032)))),G1032))</f>
        <v>Não aplicável</v>
      </c>
      <c r="I1032" s="33" t="str">
        <f t="shared" si="16"/>
        <v>Não aplicável</v>
      </c>
      <c r="J1032" s="26"/>
    </row>
    <row r="1033" spans="1:10" ht="16.05" customHeight="1" x14ac:dyDescent="0.3">
      <c r="A1033" s="26" t="s">
        <v>723</v>
      </c>
      <c r="B1033" s="26" t="s">
        <v>1293</v>
      </c>
      <c r="C1033" s="33" t="str">
        <f>IFERROR(INDEX(tbl_requisitos_emb[Tema],MATCH(B1033,tbl_requisitos_emb[ID_Req],0)),"")</f>
        <v>Isenções PPWR</v>
      </c>
      <c r="D1033" s="33" t="str">
        <f>IFERROR(INDEX(tbl_recyclass[Segmento],MATCH(A1033,tbl_recyclass[ProductId],0)),"")</f>
        <v>Cosmética e higiene pessoal</v>
      </c>
      <c r="E1033" s="26" t="s">
        <v>904</v>
      </c>
      <c r="F1033" s="26" t="s">
        <v>1451</v>
      </c>
      <c r="G1033" s="26" t="s">
        <v>1143</v>
      </c>
      <c r="H1033" s="33" t="str">
        <f>IF(E1033="Não","Não aplicável",IFERROR(IF(B1033="EU-ENV-002",IF(INDEX(tbl_recyclass[Conforme_PPWR_2030],MATCH(A1033,tbl_recyclass[ProductId],0))="Sim","Conforme (autoavaliação)",IF(INDEX(tbl_recyclass[Conforme_PPWR_2030],MATCH(A1033,tbl_recyclass[ProductId],0))="Não","Não conforme em 2030","Isento até 2035")),IF(B1033="EU-ENV-003",IF(INDEX(tbl_recyclass[Conforme_Art7_2030],MATCH(A1033,tbl_recyclass[ProductId],0))="Sim","Conforme (meta 2030)",IF(INDEX(tbl_recyclass[Conforme_Art7_2030],MATCH(A1033,tbl_recyclass[ProductId],0))="Não","Lacuna face à meta 2030","Isento")),IF(B1033="EU-ENV-011",IF(INDEX(tbl_familias_ppwr[Metais_Pesados_Evidencia],MATCH(INDEX(tbl_recyclass[Familia_PPWR],MATCH(A1033,tbl_recyclass[ProductId],0)),tbl_familias_ppwr[ID_Familia],0))="Em falta","Lacuna","Conforme"),IF(B1033="EU-ENV-013",IF(INDEX(tbl_familias_ppwr[Declaracao_UE],MATCH(INDEX(tbl_recyclass[Familia_PPWR],MATCH(A1033,tbl_recyclass[ProductId],0)),tbl_familias_ppwr[ID_Familia],0))="Sim","Conforme","Lacuna"),G1033)))),G1033))</f>
        <v>Não aplicável</v>
      </c>
      <c r="I1033" s="33" t="str">
        <f t="shared" si="16"/>
        <v>Não aplicável</v>
      </c>
      <c r="J1033" s="26"/>
    </row>
    <row r="1034" spans="1:10" ht="16.05" customHeight="1" x14ac:dyDescent="0.3">
      <c r="A1034" s="26" t="s">
        <v>723</v>
      </c>
      <c r="B1034" s="26" t="s">
        <v>1357</v>
      </c>
      <c r="C1034" s="33" t="str">
        <f>IFERROR(INDEX(tbl_requisitos_emb[Tema],MATCH(B1034,tbl_requisitos_emb[ID_Req],0)),"")</f>
        <v>Identificação de plásticos</v>
      </c>
      <c r="D1034" s="33" t="str">
        <f>IFERROR(INDEX(tbl_recyclass[Segmento],MATCH(A1034,tbl_recyclass[ProductId],0)),"")</f>
        <v>Cosmética e higiene pessoal</v>
      </c>
      <c r="E1034" s="26" t="s">
        <v>901</v>
      </c>
      <c r="F1034" s="26" t="s">
        <v>1449</v>
      </c>
      <c r="G1034" s="26" t="s">
        <v>978</v>
      </c>
      <c r="H1034" s="33" t="str">
        <f>IF(E1034="Não","Não aplicável",IFERROR(IF(B1034="EU-ENV-002",IF(INDEX(tbl_recyclass[Conforme_PPWR_2030],MATCH(A1034,tbl_recyclass[ProductId],0))="Sim","Conforme (autoavaliação)",IF(INDEX(tbl_recyclass[Conforme_PPWR_2030],MATCH(A1034,tbl_recyclass[ProductId],0))="Não","Não conforme em 2030","Isento até 2035")),IF(B1034="EU-ENV-003",IF(INDEX(tbl_recyclass[Conforme_Art7_2030],MATCH(A1034,tbl_recyclass[ProductId],0))="Sim","Conforme (meta 2030)",IF(INDEX(tbl_recyclass[Conforme_Art7_2030],MATCH(A1034,tbl_recyclass[ProductId],0))="Não","Lacuna face à meta 2030","Isento")),IF(B1034="EU-ENV-011",IF(INDEX(tbl_familias_ppwr[Metais_Pesados_Evidencia],MATCH(INDEX(tbl_recyclass[Familia_PPWR],MATCH(A1034,tbl_recyclass[ProductId],0)),tbl_familias_ppwr[ID_Familia],0))="Em falta","Lacuna","Conforme"),IF(B1034="EU-ENV-013",IF(INDEX(tbl_familias_ppwr[Declaracao_UE],MATCH(INDEX(tbl_recyclass[Familia_PPWR],MATCH(A1034,tbl_recyclass[ProductId],0)),tbl_familias_ppwr[ID_Familia],0))="Sim","Conforme","Lacuna"),G1034)))),G1034))</f>
        <v>Parcial</v>
      </c>
      <c r="I1034" s="33" t="str">
        <f t="shared" si="16"/>
        <v>Parcial</v>
      </c>
      <c r="J1034" s="26" t="s">
        <v>1362</v>
      </c>
    </row>
    <row r="1035" spans="1:10" ht="16.05" customHeight="1" x14ac:dyDescent="0.3">
      <c r="A1035" s="26" t="s">
        <v>723</v>
      </c>
      <c r="B1035" s="26" t="s">
        <v>1385</v>
      </c>
      <c r="C1035" s="33" t="str">
        <f>IFERROR(INDEX(tbl_requisitos_emb[Tema],MATCH(B1035,tbl_requisitos_emb[ID_Req],0)),"")</f>
        <v>Reciclabilidade (voluntária)</v>
      </c>
      <c r="D1035" s="33" t="str">
        <f>IFERROR(INDEX(tbl_recyclass[Segmento],MATCH(A1035,tbl_recyclass[ProductId],0)),"")</f>
        <v>Cosmética e higiene pessoal</v>
      </c>
      <c r="E1035" s="26" t="s">
        <v>901</v>
      </c>
      <c r="F1035" s="26" t="s">
        <v>1449</v>
      </c>
      <c r="G1035" s="26" t="s">
        <v>978</v>
      </c>
      <c r="H1035" s="33" t="str">
        <f>IF(E1035="Não","Não aplicável",IFERROR(IF(B1035="EU-ENV-002",IF(INDEX(tbl_recyclass[Conforme_PPWR_2030],MATCH(A1035,tbl_recyclass[ProductId],0))="Sim","Conforme (autoavaliação)",IF(INDEX(tbl_recyclass[Conforme_PPWR_2030],MATCH(A1035,tbl_recyclass[ProductId],0))="Não","Não conforme em 2030","Isento até 2035")),IF(B1035="EU-ENV-003",IF(INDEX(tbl_recyclass[Conforme_Art7_2030],MATCH(A1035,tbl_recyclass[ProductId],0))="Sim","Conforme (meta 2030)",IF(INDEX(tbl_recyclass[Conforme_Art7_2030],MATCH(A1035,tbl_recyclass[ProductId],0))="Não","Lacuna face à meta 2030","Isento")),IF(B1035="EU-ENV-011",IF(INDEX(tbl_familias_ppwr[Metais_Pesados_Evidencia],MATCH(INDEX(tbl_recyclass[Familia_PPWR],MATCH(A1035,tbl_recyclass[ProductId],0)),tbl_familias_ppwr[ID_Familia],0))="Em falta","Lacuna","Conforme"),IF(B1035="EU-ENV-013",IF(INDEX(tbl_familias_ppwr[Declaracao_UE],MATCH(INDEX(tbl_recyclass[Familia_PPWR],MATCH(A1035,tbl_recyclass[ProductId],0)),tbl_familias_ppwr[ID_Familia],0))="Sim","Conforme","Lacuna"),G1035)))),G1035))</f>
        <v>Parcial</v>
      </c>
      <c r="I1035" s="33" t="str">
        <f t="shared" si="16"/>
        <v>Parcial</v>
      </c>
      <c r="J1035" s="26" t="s">
        <v>1389</v>
      </c>
    </row>
    <row r="1036" spans="1:10" ht="16.05" customHeight="1" x14ac:dyDescent="0.3">
      <c r="A1036" s="26" t="s">
        <v>725</v>
      </c>
      <c r="B1036" s="26" t="s">
        <v>984</v>
      </c>
      <c r="C1036" s="33" t="str">
        <f>IFERROR(INDEX(tbl_requisitos_emb[Tema],MATCH(B1036,tbl_requisitos_emb[ID_Req],0)),"")</f>
        <v>Conceção para reciclagem</v>
      </c>
      <c r="D1036" s="33" t="str">
        <f>IFERROR(INDEX(tbl_recyclass[Segmento],MATCH(A1036,tbl_recyclass[ProductId],0)),"")</f>
        <v>Cosmética e higiene pessoal</v>
      </c>
      <c r="E1036" s="26" t="s">
        <v>901</v>
      </c>
      <c r="F1036" s="26" t="s">
        <v>1449</v>
      </c>
      <c r="G1036" s="26" t="s">
        <v>978</v>
      </c>
      <c r="H1036" s="33" t="str">
        <f>IF(E1036="Não","Não aplicável",IFERROR(IF(B1036="EU-ENV-002",IF(INDEX(tbl_recyclass[Conforme_PPWR_2030],MATCH(A1036,tbl_recyclass[ProductId],0))="Sim","Conforme (autoavaliação)",IF(INDEX(tbl_recyclass[Conforme_PPWR_2030],MATCH(A1036,tbl_recyclass[ProductId],0))="Não","Não conforme em 2030","Isento até 2035")),IF(B1036="EU-ENV-003",IF(INDEX(tbl_recyclass[Conforme_Art7_2030],MATCH(A1036,tbl_recyclass[ProductId],0))="Sim","Conforme (meta 2030)",IF(INDEX(tbl_recyclass[Conforme_Art7_2030],MATCH(A1036,tbl_recyclass[ProductId],0))="Não","Lacuna face à meta 2030","Isento")),IF(B1036="EU-ENV-011",IF(INDEX(tbl_familias_ppwr[Metais_Pesados_Evidencia],MATCH(INDEX(tbl_recyclass[Familia_PPWR],MATCH(A1036,tbl_recyclass[ProductId],0)),tbl_familias_ppwr[ID_Familia],0))="Em falta","Lacuna","Conforme"),IF(B1036="EU-ENV-013",IF(INDEX(tbl_familias_ppwr[Declaracao_UE],MATCH(INDEX(tbl_recyclass[Familia_PPWR],MATCH(A1036,tbl_recyclass[ProductId],0)),tbl_familias_ppwr[ID_Familia],0))="Sim","Conforme","Lacuna"),G1036)))),G1036))</f>
        <v>Conforme (autoavaliação)</v>
      </c>
      <c r="I1036" s="33" t="str">
        <f t="shared" si="16"/>
        <v>Conforme</v>
      </c>
      <c r="J1036" s="26" t="s">
        <v>991</v>
      </c>
    </row>
    <row r="1037" spans="1:10" ht="16.05" customHeight="1" x14ac:dyDescent="0.3">
      <c r="A1037" s="26" t="s">
        <v>725</v>
      </c>
      <c r="B1037" s="26" t="s">
        <v>997</v>
      </c>
      <c r="C1037" s="33" t="str">
        <f>IFERROR(INDEX(tbl_requisitos_emb[Tema],MATCH(B1037,tbl_requisitos_emb[ID_Req],0)),"")</f>
        <v>Conteúdo reciclado</v>
      </c>
      <c r="D1037" s="33" t="str">
        <f>IFERROR(INDEX(tbl_recyclass[Segmento],MATCH(A1037,tbl_recyclass[ProductId],0)),"")</f>
        <v>Cosmética e higiene pessoal</v>
      </c>
      <c r="E1037" s="26" t="s">
        <v>901</v>
      </c>
      <c r="F1037" s="26" t="s">
        <v>1449</v>
      </c>
      <c r="G1037" s="26" t="s">
        <v>978</v>
      </c>
      <c r="H1037" s="33" t="str">
        <f>IF(E1037="Não","Não aplicável",IFERROR(IF(B1037="EU-ENV-002",IF(INDEX(tbl_recyclass[Conforme_PPWR_2030],MATCH(A1037,tbl_recyclass[ProductId],0))="Sim","Conforme (autoavaliação)",IF(INDEX(tbl_recyclass[Conforme_PPWR_2030],MATCH(A1037,tbl_recyclass[ProductId],0))="Não","Não conforme em 2030","Isento até 2035")),IF(B1037="EU-ENV-003",IF(INDEX(tbl_recyclass[Conforme_Art7_2030],MATCH(A1037,tbl_recyclass[ProductId],0))="Sim","Conforme (meta 2030)",IF(INDEX(tbl_recyclass[Conforme_Art7_2030],MATCH(A1037,tbl_recyclass[ProductId],0))="Não","Lacuna face à meta 2030","Isento")),IF(B1037="EU-ENV-011",IF(INDEX(tbl_familias_ppwr[Metais_Pesados_Evidencia],MATCH(INDEX(tbl_recyclass[Familia_PPWR],MATCH(A1037,tbl_recyclass[ProductId],0)),tbl_familias_ppwr[ID_Familia],0))="Em falta","Lacuna","Conforme"),IF(B1037="EU-ENV-013",IF(INDEX(tbl_familias_ppwr[Declaracao_UE],MATCH(INDEX(tbl_recyclass[Familia_PPWR],MATCH(A1037,tbl_recyclass[ProductId],0)),tbl_familias_ppwr[ID_Familia],0))="Sim","Conforme","Lacuna"),G1037)))),G1037))</f>
        <v>Lacuna face à meta 2030</v>
      </c>
      <c r="I1037" s="33" t="str">
        <f t="shared" si="16"/>
        <v>Lacuna</v>
      </c>
      <c r="J1037" s="26" t="s">
        <v>1001</v>
      </c>
    </row>
    <row r="1038" spans="1:10" ht="16.05" customHeight="1" x14ac:dyDescent="0.3">
      <c r="A1038" s="26" t="s">
        <v>725</v>
      </c>
      <c r="B1038" s="26" t="s">
        <v>1007</v>
      </c>
      <c r="C1038" s="33" t="str">
        <f>IFERROR(INDEX(tbl_requisitos_emb[Tema],MATCH(B1038,tbl_requisitos_emb[ID_Req],0)),"")</f>
        <v>Minimização</v>
      </c>
      <c r="D1038" s="33" t="str">
        <f>IFERROR(INDEX(tbl_recyclass[Segmento],MATCH(A1038,tbl_recyclass[ProductId],0)),"")</f>
        <v>Cosmética e higiene pessoal</v>
      </c>
      <c r="E1038" s="26" t="s">
        <v>901</v>
      </c>
      <c r="F1038" s="26" t="s">
        <v>1449</v>
      </c>
      <c r="G1038" s="26" t="s">
        <v>978</v>
      </c>
      <c r="H1038" s="33" t="str">
        <f>IF(E1038="Não","Não aplicável",IFERROR(IF(B1038="EU-ENV-002",IF(INDEX(tbl_recyclass[Conforme_PPWR_2030],MATCH(A1038,tbl_recyclass[ProductId],0))="Sim","Conforme (autoavaliação)",IF(INDEX(tbl_recyclass[Conforme_PPWR_2030],MATCH(A1038,tbl_recyclass[ProductId],0))="Não","Não conforme em 2030","Isento até 2035")),IF(B1038="EU-ENV-003",IF(INDEX(tbl_recyclass[Conforme_Art7_2030],MATCH(A1038,tbl_recyclass[ProductId],0))="Sim","Conforme (meta 2030)",IF(INDEX(tbl_recyclass[Conforme_Art7_2030],MATCH(A1038,tbl_recyclass[ProductId],0))="Não","Lacuna face à meta 2030","Isento")),IF(B1038="EU-ENV-011",IF(INDEX(tbl_familias_ppwr[Metais_Pesados_Evidencia],MATCH(INDEX(tbl_recyclass[Familia_PPWR],MATCH(A1038,tbl_recyclass[ProductId],0)),tbl_familias_ppwr[ID_Familia],0))="Em falta","Lacuna","Conforme"),IF(B1038="EU-ENV-013",IF(INDEX(tbl_familias_ppwr[Declaracao_UE],MATCH(INDEX(tbl_recyclass[Familia_PPWR],MATCH(A1038,tbl_recyclass[ProductId],0)),tbl_familias_ppwr[ID_Familia],0))="Sim","Conforme","Lacuna"),G1038)))),G1038))</f>
        <v>Parcial</v>
      </c>
      <c r="I1038" s="33" t="str">
        <f t="shared" si="16"/>
        <v>Parcial</v>
      </c>
      <c r="J1038" s="26" t="s">
        <v>1012</v>
      </c>
    </row>
    <row r="1039" spans="1:10" ht="16.05" customHeight="1" x14ac:dyDescent="0.3">
      <c r="A1039" s="26" t="s">
        <v>725</v>
      </c>
      <c r="B1039" s="26" t="s">
        <v>1016</v>
      </c>
      <c r="C1039" s="33" t="str">
        <f>IFERROR(INDEX(tbl_requisitos_emb[Tema],MATCH(B1039,tbl_requisitos_emb[ID_Req],0)),"")</f>
        <v>Rotulagem</v>
      </c>
      <c r="D1039" s="33" t="str">
        <f>IFERROR(INDEX(tbl_recyclass[Segmento],MATCH(A1039,tbl_recyclass[ProductId],0)),"")</f>
        <v>Cosmética e higiene pessoal</v>
      </c>
      <c r="E1039" s="26" t="s">
        <v>901</v>
      </c>
      <c r="F1039" s="26" t="s">
        <v>1449</v>
      </c>
      <c r="G1039" s="26" t="s">
        <v>990</v>
      </c>
      <c r="H1039" s="33" t="str">
        <f>IF(E1039="Não","Não aplicável",IFERROR(IF(B1039="EU-ENV-002",IF(INDEX(tbl_recyclass[Conforme_PPWR_2030],MATCH(A1039,tbl_recyclass[ProductId],0))="Sim","Conforme (autoavaliação)",IF(INDEX(tbl_recyclass[Conforme_PPWR_2030],MATCH(A1039,tbl_recyclass[ProductId],0))="Não","Não conforme em 2030","Isento até 2035")),IF(B1039="EU-ENV-003",IF(INDEX(tbl_recyclass[Conforme_Art7_2030],MATCH(A1039,tbl_recyclass[ProductId],0))="Sim","Conforme (meta 2030)",IF(INDEX(tbl_recyclass[Conforme_Art7_2030],MATCH(A1039,tbl_recyclass[ProductId],0))="Não","Lacuna face à meta 2030","Isento")),IF(B1039="EU-ENV-011",IF(INDEX(tbl_familias_ppwr[Metais_Pesados_Evidencia],MATCH(INDEX(tbl_recyclass[Familia_PPWR],MATCH(A1039,tbl_recyclass[ProductId],0)),tbl_familias_ppwr[ID_Familia],0))="Em falta","Lacuna","Conforme"),IF(B1039="EU-ENV-013",IF(INDEX(tbl_familias_ppwr[Declaracao_UE],MATCH(INDEX(tbl_recyclass[Familia_PPWR],MATCH(A1039,tbl_recyclass[ProductId],0)),tbl_familias_ppwr[ID_Familia],0))="Sim","Conforme","Lacuna"),G1039)))),G1039))</f>
        <v>Futuro</v>
      </c>
      <c r="I1039" s="33" t="str">
        <f t="shared" si="16"/>
        <v>Futuro</v>
      </c>
      <c r="J1039" s="26" t="s">
        <v>1021</v>
      </c>
    </row>
    <row r="1040" spans="1:10" ht="16.05" customHeight="1" x14ac:dyDescent="0.3">
      <c r="A1040" s="26" t="s">
        <v>725</v>
      </c>
      <c r="B1040" s="26" t="s">
        <v>1038</v>
      </c>
      <c r="C1040" s="33" t="str">
        <f>IFERROR(INDEX(tbl_requisitos_emb[Tema],MATCH(B1040,tbl_requisitos_emb[ID_Req],0)),"")</f>
        <v>Plásticos de utilização única</v>
      </c>
      <c r="D1040" s="33" t="str">
        <f>IFERROR(INDEX(tbl_recyclass[Segmento],MATCH(A1040,tbl_recyclass[ProductId],0)),"")</f>
        <v>Cosmética e higiene pessoal</v>
      </c>
      <c r="E1040" s="26" t="s">
        <v>904</v>
      </c>
      <c r="F1040" s="26" t="s">
        <v>1450</v>
      </c>
      <c r="G1040" s="26" t="s">
        <v>1143</v>
      </c>
      <c r="H1040" s="33" t="str">
        <f>IF(E1040="Não","Não aplicável",IFERROR(IF(B1040="EU-ENV-002",IF(INDEX(tbl_recyclass[Conforme_PPWR_2030],MATCH(A1040,tbl_recyclass[ProductId],0))="Sim","Conforme (autoavaliação)",IF(INDEX(tbl_recyclass[Conforme_PPWR_2030],MATCH(A1040,tbl_recyclass[ProductId],0))="Não","Não conforme em 2030","Isento até 2035")),IF(B1040="EU-ENV-003",IF(INDEX(tbl_recyclass[Conforme_Art7_2030],MATCH(A1040,tbl_recyclass[ProductId],0))="Sim","Conforme (meta 2030)",IF(INDEX(tbl_recyclass[Conforme_Art7_2030],MATCH(A1040,tbl_recyclass[ProductId],0))="Não","Lacuna face à meta 2030","Isento")),IF(B1040="EU-ENV-011",IF(INDEX(tbl_familias_ppwr[Metais_Pesados_Evidencia],MATCH(INDEX(tbl_recyclass[Familia_PPWR],MATCH(A1040,tbl_recyclass[ProductId],0)),tbl_familias_ppwr[ID_Familia],0))="Em falta","Lacuna","Conforme"),IF(B1040="EU-ENV-013",IF(INDEX(tbl_familias_ppwr[Declaracao_UE],MATCH(INDEX(tbl_recyclass[Familia_PPWR],MATCH(A1040,tbl_recyclass[ProductId],0)),tbl_familias_ppwr[ID_Familia],0))="Sim","Conforme","Lacuna"),G1040)))),G1040))</f>
        <v>Não aplicável</v>
      </c>
      <c r="I1040" s="33" t="str">
        <f t="shared" si="16"/>
        <v>Não aplicável</v>
      </c>
      <c r="J1040" s="26"/>
    </row>
    <row r="1041" spans="1:10" ht="16.05" customHeight="1" x14ac:dyDescent="0.3">
      <c r="A1041" s="26" t="s">
        <v>725</v>
      </c>
      <c r="B1041" s="26" t="s">
        <v>1078</v>
      </c>
      <c r="C1041" s="33" t="str">
        <f>IFERROR(INDEX(tbl_requisitos_emb[Tema],MATCH(B1041,tbl_requisitos_emb[ID_Req],0)),"")</f>
        <v>Reciclado à escala</v>
      </c>
      <c r="D1041" s="33" t="str">
        <f>IFERROR(INDEX(tbl_recyclass[Segmento],MATCH(A1041,tbl_recyclass[ProductId],0)),"")</f>
        <v>Cosmética e higiene pessoal</v>
      </c>
      <c r="E1041" s="26" t="s">
        <v>901</v>
      </c>
      <c r="F1041" s="26" t="s">
        <v>1449</v>
      </c>
      <c r="G1041" s="26" t="s">
        <v>990</v>
      </c>
      <c r="H1041" s="33" t="str">
        <f>IF(E1041="Não","Não aplicável",IFERROR(IF(B1041="EU-ENV-002",IF(INDEX(tbl_recyclass[Conforme_PPWR_2030],MATCH(A1041,tbl_recyclass[ProductId],0))="Sim","Conforme (autoavaliação)",IF(INDEX(tbl_recyclass[Conforme_PPWR_2030],MATCH(A1041,tbl_recyclass[ProductId],0))="Não","Não conforme em 2030","Isento até 2035")),IF(B1041="EU-ENV-003",IF(INDEX(tbl_recyclass[Conforme_Art7_2030],MATCH(A1041,tbl_recyclass[ProductId],0))="Sim","Conforme (meta 2030)",IF(INDEX(tbl_recyclass[Conforme_Art7_2030],MATCH(A1041,tbl_recyclass[ProductId],0))="Não","Lacuna face à meta 2030","Isento")),IF(B1041="EU-ENV-011",IF(INDEX(tbl_familias_ppwr[Metais_Pesados_Evidencia],MATCH(INDEX(tbl_recyclass[Familia_PPWR],MATCH(A1041,tbl_recyclass[ProductId],0)),tbl_familias_ppwr[ID_Familia],0))="Em falta","Lacuna","Conforme"),IF(B1041="EU-ENV-013",IF(INDEX(tbl_familias_ppwr[Declaracao_UE],MATCH(INDEX(tbl_recyclass[Familia_PPWR],MATCH(A1041,tbl_recyclass[ProductId],0)),tbl_familias_ppwr[ID_Familia],0))="Sim","Conforme","Lacuna"),G1041)))),G1041))</f>
        <v>Futuro</v>
      </c>
      <c r="I1041" s="33" t="str">
        <f t="shared" si="16"/>
        <v>Futuro</v>
      </c>
      <c r="J1041" s="26" t="s">
        <v>1082</v>
      </c>
    </row>
    <row r="1042" spans="1:10" ht="16.05" customHeight="1" x14ac:dyDescent="0.3">
      <c r="A1042" s="26" t="s">
        <v>725</v>
      </c>
      <c r="B1042" s="26" t="s">
        <v>1086</v>
      </c>
      <c r="C1042" s="33" t="str">
        <f>IFERROR(INDEX(tbl_requisitos_emb[Tema],MATCH(B1042,tbl_requisitos_emb[ID_Req],0)),"")</f>
        <v>Metais pesados</v>
      </c>
      <c r="D1042" s="33" t="str">
        <f>IFERROR(INDEX(tbl_recyclass[Segmento],MATCH(A1042,tbl_recyclass[ProductId],0)),"")</f>
        <v>Cosmética e higiene pessoal</v>
      </c>
      <c r="E1042" s="26" t="s">
        <v>901</v>
      </c>
      <c r="F1042" s="26" t="s">
        <v>1449</v>
      </c>
      <c r="G1042" s="26" t="s">
        <v>978</v>
      </c>
      <c r="H1042" s="33" t="str">
        <f>IF(E1042="Não","Não aplicável",IFERROR(IF(B1042="EU-ENV-002",IF(INDEX(tbl_recyclass[Conforme_PPWR_2030],MATCH(A1042,tbl_recyclass[ProductId],0))="Sim","Conforme (autoavaliação)",IF(INDEX(tbl_recyclass[Conforme_PPWR_2030],MATCH(A1042,tbl_recyclass[ProductId],0))="Não","Não conforme em 2030","Isento até 2035")),IF(B1042="EU-ENV-003",IF(INDEX(tbl_recyclass[Conforme_Art7_2030],MATCH(A1042,tbl_recyclass[ProductId],0))="Sim","Conforme (meta 2030)",IF(INDEX(tbl_recyclass[Conforme_Art7_2030],MATCH(A1042,tbl_recyclass[ProductId],0))="Não","Lacuna face à meta 2030","Isento")),IF(B1042="EU-ENV-011",IF(INDEX(tbl_familias_ppwr[Metais_Pesados_Evidencia],MATCH(INDEX(tbl_recyclass[Familia_PPWR],MATCH(A1042,tbl_recyclass[ProductId],0)),tbl_familias_ppwr[ID_Familia],0))="Em falta","Lacuna","Conforme"),IF(B1042="EU-ENV-013",IF(INDEX(tbl_familias_ppwr[Declaracao_UE],MATCH(INDEX(tbl_recyclass[Familia_PPWR],MATCH(A1042,tbl_recyclass[ProductId],0)),tbl_familias_ppwr[ID_Familia],0))="Sim","Conforme","Lacuna"),G1042)))),G1042))</f>
        <v>Conforme</v>
      </c>
      <c r="I1042" s="33" t="str">
        <f t="shared" si="16"/>
        <v>Conforme</v>
      </c>
      <c r="J1042" s="26" t="s">
        <v>1090</v>
      </c>
    </row>
    <row r="1043" spans="1:10" ht="16.05" customHeight="1" x14ac:dyDescent="0.3">
      <c r="A1043" s="26" t="s">
        <v>725</v>
      </c>
      <c r="B1043" s="26" t="s">
        <v>1094</v>
      </c>
      <c r="C1043" s="33" t="str">
        <f>IFERROR(INDEX(tbl_requisitos_emb[Tema],MATCH(B1043,tbl_requisitos_emb[ID_Req],0)),"")</f>
        <v>PFAS</v>
      </c>
      <c r="D1043" s="33" t="str">
        <f>IFERROR(INDEX(tbl_recyclass[Segmento],MATCH(A1043,tbl_recyclass[ProductId],0)),"")</f>
        <v>Cosmética e higiene pessoal</v>
      </c>
      <c r="E1043" s="26" t="s">
        <v>904</v>
      </c>
      <c r="F1043" s="26" t="s">
        <v>1450</v>
      </c>
      <c r="G1043" s="26" t="s">
        <v>1143</v>
      </c>
      <c r="H1043" s="33" t="str">
        <f>IF(E1043="Não","Não aplicável",IFERROR(IF(B1043="EU-ENV-002",IF(INDEX(tbl_recyclass[Conforme_PPWR_2030],MATCH(A1043,tbl_recyclass[ProductId],0))="Sim","Conforme (autoavaliação)",IF(INDEX(tbl_recyclass[Conforme_PPWR_2030],MATCH(A1043,tbl_recyclass[ProductId],0))="Não","Não conforme em 2030","Isento até 2035")),IF(B1043="EU-ENV-003",IF(INDEX(tbl_recyclass[Conforme_Art7_2030],MATCH(A1043,tbl_recyclass[ProductId],0))="Sim","Conforme (meta 2030)",IF(INDEX(tbl_recyclass[Conforme_Art7_2030],MATCH(A1043,tbl_recyclass[ProductId],0))="Não","Lacuna face à meta 2030","Isento")),IF(B1043="EU-ENV-011",IF(INDEX(tbl_familias_ppwr[Metais_Pesados_Evidencia],MATCH(INDEX(tbl_recyclass[Familia_PPWR],MATCH(A1043,tbl_recyclass[ProductId],0)),tbl_familias_ppwr[ID_Familia],0))="Em falta","Lacuna","Conforme"),IF(B1043="EU-ENV-013",IF(INDEX(tbl_familias_ppwr[Declaracao_UE],MATCH(INDEX(tbl_recyclass[Familia_PPWR],MATCH(A1043,tbl_recyclass[ProductId],0)),tbl_familias_ppwr[ID_Familia],0))="Sim","Conforme","Lacuna"),G1043)))),G1043))</f>
        <v>Não aplicável</v>
      </c>
      <c r="I1043" s="33" t="str">
        <f t="shared" si="16"/>
        <v>Não aplicável</v>
      </c>
      <c r="J1043" s="26"/>
    </row>
    <row r="1044" spans="1:10" ht="16.05" customHeight="1" x14ac:dyDescent="0.3">
      <c r="A1044" s="26" t="s">
        <v>725</v>
      </c>
      <c r="B1044" s="26" t="s">
        <v>1102</v>
      </c>
      <c r="C1044" s="33" t="str">
        <f>IFERROR(INDEX(tbl_requisitos_emb[Tema],MATCH(B1044,tbl_requisitos_emb[ID_Req],0)),"")</f>
        <v>Documentação técnica e declaração UE</v>
      </c>
      <c r="D1044" s="33" t="str">
        <f>IFERROR(INDEX(tbl_recyclass[Segmento],MATCH(A1044,tbl_recyclass[ProductId],0)),"")</f>
        <v>Cosmética e higiene pessoal</v>
      </c>
      <c r="E1044" s="26" t="s">
        <v>901</v>
      </c>
      <c r="F1044" s="26" t="s">
        <v>1449</v>
      </c>
      <c r="G1044" s="26" t="s">
        <v>978</v>
      </c>
      <c r="H1044" s="33" t="str">
        <f>IF(E1044="Não","Não aplicável",IFERROR(IF(B1044="EU-ENV-002",IF(INDEX(tbl_recyclass[Conforme_PPWR_2030],MATCH(A1044,tbl_recyclass[ProductId],0))="Sim","Conforme (autoavaliação)",IF(INDEX(tbl_recyclass[Conforme_PPWR_2030],MATCH(A1044,tbl_recyclass[ProductId],0))="Não","Não conforme em 2030","Isento até 2035")),IF(B1044="EU-ENV-003",IF(INDEX(tbl_recyclass[Conforme_Art7_2030],MATCH(A1044,tbl_recyclass[ProductId],0))="Sim","Conforme (meta 2030)",IF(INDEX(tbl_recyclass[Conforme_Art7_2030],MATCH(A1044,tbl_recyclass[ProductId],0))="Não","Lacuna face à meta 2030","Isento")),IF(B1044="EU-ENV-011",IF(INDEX(tbl_familias_ppwr[Metais_Pesados_Evidencia],MATCH(INDEX(tbl_recyclass[Familia_PPWR],MATCH(A1044,tbl_recyclass[ProductId],0)),tbl_familias_ppwr[ID_Familia],0))="Em falta","Lacuna","Conforme"),IF(B1044="EU-ENV-013",IF(INDEX(tbl_familias_ppwr[Declaracao_UE],MATCH(INDEX(tbl_recyclass[Familia_PPWR],MATCH(A1044,tbl_recyclass[ProductId],0)),tbl_familias_ppwr[ID_Familia],0))="Sim","Conforme","Lacuna"),G1044)))),G1044))</f>
        <v>Conforme</v>
      </c>
      <c r="I1044" s="33" t="str">
        <f t="shared" si="16"/>
        <v>Conforme</v>
      </c>
      <c r="J1044" s="26" t="s">
        <v>1106</v>
      </c>
    </row>
    <row r="1045" spans="1:10" ht="16.05" customHeight="1" x14ac:dyDescent="0.3">
      <c r="A1045" s="26" t="s">
        <v>725</v>
      </c>
      <c r="B1045" s="26" t="s">
        <v>1161</v>
      </c>
      <c r="C1045" s="33" t="str">
        <f>IFERROR(INDEX(tbl_requisitos_emb[Tema],MATCH(B1045,tbl_requisitos_emb[ID_Req],0)),"")</f>
        <v>Materiais em contacto com alimentos</v>
      </c>
      <c r="D1045" s="33" t="str">
        <f>IFERROR(INDEX(tbl_recyclass[Segmento],MATCH(A1045,tbl_recyclass[ProductId],0)),"")</f>
        <v>Cosmética e higiene pessoal</v>
      </c>
      <c r="E1045" s="26" t="s">
        <v>904</v>
      </c>
      <c r="F1045" s="26" t="s">
        <v>1450</v>
      </c>
      <c r="G1045" s="26" t="s">
        <v>1143</v>
      </c>
      <c r="H1045" s="33" t="str">
        <f>IF(E1045="Não","Não aplicável",IFERROR(IF(B1045="EU-ENV-002",IF(INDEX(tbl_recyclass[Conforme_PPWR_2030],MATCH(A1045,tbl_recyclass[ProductId],0))="Sim","Conforme (autoavaliação)",IF(INDEX(tbl_recyclass[Conforme_PPWR_2030],MATCH(A1045,tbl_recyclass[ProductId],0))="Não","Não conforme em 2030","Isento até 2035")),IF(B1045="EU-ENV-003",IF(INDEX(tbl_recyclass[Conforme_Art7_2030],MATCH(A1045,tbl_recyclass[ProductId],0))="Sim","Conforme (meta 2030)",IF(INDEX(tbl_recyclass[Conforme_Art7_2030],MATCH(A1045,tbl_recyclass[ProductId],0))="Não","Lacuna face à meta 2030","Isento")),IF(B1045="EU-ENV-011",IF(INDEX(tbl_familias_ppwr[Metais_Pesados_Evidencia],MATCH(INDEX(tbl_recyclass[Familia_PPWR],MATCH(A1045,tbl_recyclass[ProductId],0)),tbl_familias_ppwr[ID_Familia],0))="Em falta","Lacuna","Conforme"),IF(B1045="EU-ENV-013",IF(INDEX(tbl_familias_ppwr[Declaracao_UE],MATCH(INDEX(tbl_recyclass[Familia_PPWR],MATCH(A1045,tbl_recyclass[ProductId],0)),tbl_familias_ppwr[ID_Familia],0))="Sim","Conforme","Lacuna"),G1045)))),G1045))</f>
        <v>Não aplicável</v>
      </c>
      <c r="I1045" s="33" t="str">
        <f t="shared" si="16"/>
        <v>Não aplicável</v>
      </c>
      <c r="J1045" s="26"/>
    </row>
    <row r="1046" spans="1:10" ht="16.05" customHeight="1" x14ac:dyDescent="0.3">
      <c r="A1046" s="26" t="s">
        <v>725</v>
      </c>
      <c r="B1046" s="26" t="s">
        <v>1170</v>
      </c>
      <c r="C1046" s="33" t="str">
        <f>IFERROR(INDEX(tbl_requisitos_emb[Tema],MATCH(B1046,tbl_requisitos_emb[ID_Req],0)),"")</f>
        <v>Boas práticas de fabrico FCM</v>
      </c>
      <c r="D1046" s="33" t="str">
        <f>IFERROR(INDEX(tbl_recyclass[Segmento],MATCH(A1046,tbl_recyclass[ProductId],0)),"")</f>
        <v>Cosmética e higiene pessoal</v>
      </c>
      <c r="E1046" s="26" t="s">
        <v>904</v>
      </c>
      <c r="F1046" s="26" t="s">
        <v>1450</v>
      </c>
      <c r="G1046" s="26" t="s">
        <v>1143</v>
      </c>
      <c r="H1046" s="33" t="str">
        <f>IF(E1046="Não","Não aplicável",IFERROR(IF(B1046="EU-ENV-002",IF(INDEX(tbl_recyclass[Conforme_PPWR_2030],MATCH(A1046,tbl_recyclass[ProductId],0))="Sim","Conforme (autoavaliação)",IF(INDEX(tbl_recyclass[Conforme_PPWR_2030],MATCH(A1046,tbl_recyclass[ProductId],0))="Não","Não conforme em 2030","Isento até 2035")),IF(B1046="EU-ENV-003",IF(INDEX(tbl_recyclass[Conforme_Art7_2030],MATCH(A1046,tbl_recyclass[ProductId],0))="Sim","Conforme (meta 2030)",IF(INDEX(tbl_recyclass[Conforme_Art7_2030],MATCH(A1046,tbl_recyclass[ProductId],0))="Não","Lacuna face à meta 2030","Isento")),IF(B1046="EU-ENV-011",IF(INDEX(tbl_familias_ppwr[Metais_Pesados_Evidencia],MATCH(INDEX(tbl_recyclass[Familia_PPWR],MATCH(A1046,tbl_recyclass[ProductId],0)),tbl_familias_ppwr[ID_Familia],0))="Em falta","Lacuna","Conforme"),IF(B1046="EU-ENV-013",IF(INDEX(tbl_familias_ppwr[Declaracao_UE],MATCH(INDEX(tbl_recyclass[Familia_PPWR],MATCH(A1046,tbl_recyclass[ProductId],0)),tbl_familias_ppwr[ID_Familia],0))="Sim","Conforme","Lacuna"),G1046)))),G1046))</f>
        <v>Não aplicável</v>
      </c>
      <c r="I1046" s="33" t="str">
        <f t="shared" si="16"/>
        <v>Não aplicável</v>
      </c>
      <c r="J1046" s="26"/>
    </row>
    <row r="1047" spans="1:10" ht="16.05" customHeight="1" x14ac:dyDescent="0.3">
      <c r="A1047" s="26" t="s">
        <v>725</v>
      </c>
      <c r="B1047" s="26" t="s">
        <v>1179</v>
      </c>
      <c r="C1047" s="33" t="str">
        <f>IFERROR(INDEX(tbl_requisitos_emb[Tema],MATCH(B1047,tbl_requisitos_emb[ID_Req],0)),"")</f>
        <v>Bisfenol A e bisfenóis perigosos</v>
      </c>
      <c r="D1047" s="33" t="str">
        <f>IFERROR(INDEX(tbl_recyclass[Segmento],MATCH(A1047,tbl_recyclass[ProductId],0)),"")</f>
        <v>Cosmética e higiene pessoal</v>
      </c>
      <c r="E1047" s="26" t="s">
        <v>904</v>
      </c>
      <c r="F1047" s="26" t="s">
        <v>1450</v>
      </c>
      <c r="G1047" s="26" t="s">
        <v>1143</v>
      </c>
      <c r="H1047" s="33" t="str">
        <f>IF(E1047="Não","Não aplicável",IFERROR(IF(B1047="EU-ENV-002",IF(INDEX(tbl_recyclass[Conforme_PPWR_2030],MATCH(A1047,tbl_recyclass[ProductId],0))="Sim","Conforme (autoavaliação)",IF(INDEX(tbl_recyclass[Conforme_PPWR_2030],MATCH(A1047,tbl_recyclass[ProductId],0))="Não","Não conforme em 2030","Isento até 2035")),IF(B1047="EU-ENV-003",IF(INDEX(tbl_recyclass[Conforme_Art7_2030],MATCH(A1047,tbl_recyclass[ProductId],0))="Sim","Conforme (meta 2030)",IF(INDEX(tbl_recyclass[Conforme_Art7_2030],MATCH(A1047,tbl_recyclass[ProductId],0))="Não","Lacuna face à meta 2030","Isento")),IF(B1047="EU-ENV-011",IF(INDEX(tbl_familias_ppwr[Metais_Pesados_Evidencia],MATCH(INDEX(tbl_recyclass[Familia_PPWR],MATCH(A1047,tbl_recyclass[ProductId],0)),tbl_familias_ppwr[ID_Familia],0))="Em falta","Lacuna","Conforme"),IF(B1047="EU-ENV-013",IF(INDEX(tbl_familias_ppwr[Declaracao_UE],MATCH(INDEX(tbl_recyclass[Familia_PPWR],MATCH(A1047,tbl_recyclass[ProductId],0)),tbl_familias_ppwr[ID_Familia],0))="Sim","Conforme","Lacuna"),G1047)))),G1047))</f>
        <v>Não aplicável</v>
      </c>
      <c r="I1047" s="33" t="str">
        <f t="shared" si="16"/>
        <v>Não aplicável</v>
      </c>
      <c r="J1047" s="26"/>
    </row>
    <row r="1048" spans="1:10" ht="16.05" customHeight="1" x14ac:dyDescent="0.3">
      <c r="A1048" s="26" t="s">
        <v>725</v>
      </c>
      <c r="B1048" s="26" t="s">
        <v>1188</v>
      </c>
      <c r="C1048" s="33" t="str">
        <f>IFERROR(INDEX(tbl_requisitos_emb[Tema],MATCH(B1048,tbl_requisitos_emb[ID_Req],0)),"")</f>
        <v>Plásticos em contacto com alimentos</v>
      </c>
      <c r="D1048" s="33" t="str">
        <f>IFERROR(INDEX(tbl_recyclass[Segmento],MATCH(A1048,tbl_recyclass[ProductId],0)),"")</f>
        <v>Cosmética e higiene pessoal</v>
      </c>
      <c r="E1048" s="26" t="s">
        <v>904</v>
      </c>
      <c r="F1048" s="26" t="s">
        <v>1450</v>
      </c>
      <c r="G1048" s="26" t="s">
        <v>1143</v>
      </c>
      <c r="H1048" s="33" t="str">
        <f>IF(E1048="Não","Não aplicável",IFERROR(IF(B1048="EU-ENV-002",IF(INDEX(tbl_recyclass[Conforme_PPWR_2030],MATCH(A1048,tbl_recyclass[ProductId],0))="Sim","Conforme (autoavaliação)",IF(INDEX(tbl_recyclass[Conforme_PPWR_2030],MATCH(A1048,tbl_recyclass[ProductId],0))="Não","Não conforme em 2030","Isento até 2035")),IF(B1048="EU-ENV-003",IF(INDEX(tbl_recyclass[Conforme_Art7_2030],MATCH(A1048,tbl_recyclass[ProductId],0))="Sim","Conforme (meta 2030)",IF(INDEX(tbl_recyclass[Conforme_Art7_2030],MATCH(A1048,tbl_recyclass[ProductId],0))="Não","Lacuna face à meta 2030","Isento")),IF(B1048="EU-ENV-011",IF(INDEX(tbl_familias_ppwr[Metais_Pesados_Evidencia],MATCH(INDEX(tbl_recyclass[Familia_PPWR],MATCH(A1048,tbl_recyclass[ProductId],0)),tbl_familias_ppwr[ID_Familia],0))="Em falta","Lacuna","Conforme"),IF(B1048="EU-ENV-013",IF(INDEX(tbl_familias_ppwr[Declaracao_UE],MATCH(INDEX(tbl_recyclass[Familia_PPWR],MATCH(A1048,tbl_recyclass[ProductId],0)),tbl_familias_ppwr[ID_Familia],0))="Sim","Conforme","Lacuna"),G1048)))),G1048))</f>
        <v>Não aplicável</v>
      </c>
      <c r="I1048" s="33" t="str">
        <f t="shared" si="16"/>
        <v>Não aplicável</v>
      </c>
      <c r="J1048" s="26"/>
    </row>
    <row r="1049" spans="1:10" ht="16.05" customHeight="1" x14ac:dyDescent="0.3">
      <c r="A1049" s="26" t="s">
        <v>725</v>
      </c>
      <c r="B1049" s="26" t="s">
        <v>1212</v>
      </c>
      <c r="C1049" s="33" t="str">
        <f>IFERROR(INDEX(tbl_requisitos_emb[Tema],MATCH(B1049,tbl_requisitos_emb[ID_Req],0)),"")</f>
        <v>Segurança do produto cosmético</v>
      </c>
      <c r="D1049" s="33" t="str">
        <f>IFERROR(INDEX(tbl_recyclass[Segmento],MATCH(A1049,tbl_recyclass[ProductId],0)),"")</f>
        <v>Cosmética e higiene pessoal</v>
      </c>
      <c r="E1049" s="26" t="s">
        <v>901</v>
      </c>
      <c r="F1049" s="26" t="s">
        <v>1449</v>
      </c>
      <c r="G1049" s="26" t="s">
        <v>1033</v>
      </c>
      <c r="H1049" s="33" t="str">
        <f>IF(E1049="Não","Não aplicável",IFERROR(IF(B1049="EU-ENV-002",IF(INDEX(tbl_recyclass[Conforme_PPWR_2030],MATCH(A1049,tbl_recyclass[ProductId],0))="Sim","Conforme (autoavaliação)",IF(INDEX(tbl_recyclass[Conforme_PPWR_2030],MATCH(A1049,tbl_recyclass[ProductId],0))="Não","Não conforme em 2030","Isento até 2035")),IF(B1049="EU-ENV-003",IF(INDEX(tbl_recyclass[Conforme_Art7_2030],MATCH(A1049,tbl_recyclass[ProductId],0))="Sim","Conforme (meta 2030)",IF(INDEX(tbl_recyclass[Conforme_Art7_2030],MATCH(A1049,tbl_recyclass[ProductId],0))="Não","Lacuna face à meta 2030","Isento")),IF(B1049="EU-ENV-011",IF(INDEX(tbl_familias_ppwr[Metais_Pesados_Evidencia],MATCH(INDEX(tbl_recyclass[Familia_PPWR],MATCH(A1049,tbl_recyclass[ProductId],0)),tbl_familias_ppwr[ID_Familia],0))="Em falta","Lacuna","Conforme"),IF(B1049="EU-ENV-013",IF(INDEX(tbl_familias_ppwr[Declaracao_UE],MATCH(INDEX(tbl_recyclass[Familia_PPWR],MATCH(A1049,tbl_recyclass[ProductId],0)),tbl_familias_ppwr[ID_Familia],0))="Sim","Conforme","Lacuna"),G1049)))),G1049))</f>
        <v>Conforme</v>
      </c>
      <c r="I1049" s="33" t="str">
        <f t="shared" si="16"/>
        <v>Conforme</v>
      </c>
      <c r="J1049" s="26" t="s">
        <v>1221</v>
      </c>
    </row>
    <row r="1050" spans="1:10" ht="16.05" customHeight="1" x14ac:dyDescent="0.3">
      <c r="A1050" s="26" t="s">
        <v>725</v>
      </c>
      <c r="B1050" s="26" t="s">
        <v>1224</v>
      </c>
      <c r="C1050" s="33" t="str">
        <f>IFERROR(INDEX(tbl_requisitos_emb[Tema],MATCH(B1050,tbl_requisitos_emb[ID_Req],0)),"")</f>
        <v>Materiais e impurezas</v>
      </c>
      <c r="D1050" s="33" t="str">
        <f>IFERROR(INDEX(tbl_recyclass[Segmento],MATCH(A1050,tbl_recyclass[ProductId],0)),"")</f>
        <v>Cosmética e higiene pessoal</v>
      </c>
      <c r="E1050" s="26" t="s">
        <v>901</v>
      </c>
      <c r="F1050" s="26" t="s">
        <v>1449</v>
      </c>
      <c r="G1050" s="26" t="s">
        <v>978</v>
      </c>
      <c r="H1050" s="33" t="str">
        <f>IF(E1050="Não","Não aplicável",IFERROR(IF(B1050="EU-ENV-002",IF(INDEX(tbl_recyclass[Conforme_PPWR_2030],MATCH(A1050,tbl_recyclass[ProductId],0))="Sim","Conforme (autoavaliação)",IF(INDEX(tbl_recyclass[Conforme_PPWR_2030],MATCH(A1050,tbl_recyclass[ProductId],0))="Não","Não conforme em 2030","Isento até 2035")),IF(B1050="EU-ENV-003",IF(INDEX(tbl_recyclass[Conforme_Art7_2030],MATCH(A1050,tbl_recyclass[ProductId],0))="Sim","Conforme (meta 2030)",IF(INDEX(tbl_recyclass[Conforme_Art7_2030],MATCH(A1050,tbl_recyclass[ProductId],0))="Não","Lacuna face à meta 2030","Isento")),IF(B1050="EU-ENV-011",IF(INDEX(tbl_familias_ppwr[Metais_Pesados_Evidencia],MATCH(INDEX(tbl_recyclass[Familia_PPWR],MATCH(A1050,tbl_recyclass[ProductId],0)),tbl_familias_ppwr[ID_Familia],0))="Em falta","Lacuna","Conforme"),IF(B1050="EU-ENV-013",IF(INDEX(tbl_familias_ppwr[Declaracao_UE],MATCH(INDEX(tbl_recyclass[Familia_PPWR],MATCH(A1050,tbl_recyclass[ProductId],0)),tbl_familias_ppwr[ID_Familia],0))="Sim","Conforme","Lacuna"),G1050)))),G1050))</f>
        <v>Parcial</v>
      </c>
      <c r="I1050" s="33" t="str">
        <f t="shared" si="16"/>
        <v>Parcial</v>
      </c>
      <c r="J1050" s="26" t="s">
        <v>1228</v>
      </c>
    </row>
    <row r="1051" spans="1:10" ht="16.05" customHeight="1" x14ac:dyDescent="0.3">
      <c r="A1051" s="26" t="s">
        <v>725</v>
      </c>
      <c r="B1051" s="26" t="s">
        <v>1240</v>
      </c>
      <c r="C1051" s="33" t="str">
        <f>IFERROR(INDEX(tbl_requisitos_emb[Tema],MATCH(B1051,tbl_requisitos_emb[ID_Req],0)),"")</f>
        <v>Compatibilidade embalagem–produto</v>
      </c>
      <c r="D1051" s="33" t="str">
        <f>IFERROR(INDEX(tbl_recyclass[Segmento],MATCH(A1051,tbl_recyclass[ProductId],0)),"")</f>
        <v>Cosmética e higiene pessoal</v>
      </c>
      <c r="E1051" s="26" t="s">
        <v>901</v>
      </c>
      <c r="F1051" s="26" t="s">
        <v>1449</v>
      </c>
      <c r="G1051" s="26" t="s">
        <v>1033</v>
      </c>
      <c r="H1051" s="33" t="str">
        <f>IF(E1051="Não","Não aplicável",IFERROR(IF(B1051="EU-ENV-002",IF(INDEX(tbl_recyclass[Conforme_PPWR_2030],MATCH(A1051,tbl_recyclass[ProductId],0))="Sim","Conforme (autoavaliação)",IF(INDEX(tbl_recyclass[Conforme_PPWR_2030],MATCH(A1051,tbl_recyclass[ProductId],0))="Não","Não conforme em 2030","Isento até 2035")),IF(B1051="EU-ENV-003",IF(INDEX(tbl_recyclass[Conforme_Art7_2030],MATCH(A1051,tbl_recyclass[ProductId],0))="Sim","Conforme (meta 2030)",IF(INDEX(tbl_recyclass[Conforme_Art7_2030],MATCH(A1051,tbl_recyclass[ProductId],0))="Não","Lacuna face à meta 2030","Isento")),IF(B1051="EU-ENV-011",IF(INDEX(tbl_familias_ppwr[Metais_Pesados_Evidencia],MATCH(INDEX(tbl_recyclass[Familia_PPWR],MATCH(A1051,tbl_recyclass[ProductId],0)),tbl_familias_ppwr[ID_Familia],0))="Em falta","Lacuna","Conforme"),IF(B1051="EU-ENV-013",IF(INDEX(tbl_familias_ppwr[Declaracao_UE],MATCH(INDEX(tbl_recyclass[Familia_PPWR],MATCH(A1051,tbl_recyclass[ProductId],0)),tbl_familias_ppwr[ID_Familia],0))="Sim","Conforme","Lacuna"),G1051)))),G1051))</f>
        <v>Conforme</v>
      </c>
      <c r="I1051" s="33" t="str">
        <f t="shared" si="16"/>
        <v>Conforme</v>
      </c>
      <c r="J1051" s="26" t="s">
        <v>1244</v>
      </c>
    </row>
    <row r="1052" spans="1:10" ht="16.05" customHeight="1" x14ac:dyDescent="0.3">
      <c r="A1052" s="26" t="s">
        <v>725</v>
      </c>
      <c r="B1052" s="26" t="s">
        <v>1252</v>
      </c>
      <c r="C1052" s="33" t="str">
        <f>IFERROR(INDEX(tbl_requisitos_emb[Tema],MATCH(B1052,tbl_requisitos_emb[ID_Req],0)),"")</f>
        <v>Medicamentos de uso humano</v>
      </c>
      <c r="D1052" s="33" t="str">
        <f>IFERROR(INDEX(tbl_recyclass[Segmento],MATCH(A1052,tbl_recyclass[ProductId],0)),"")</f>
        <v>Cosmética e higiene pessoal</v>
      </c>
      <c r="E1052" s="26" t="s">
        <v>904</v>
      </c>
      <c r="F1052" s="26" t="s">
        <v>1451</v>
      </c>
      <c r="G1052" s="26" t="s">
        <v>1143</v>
      </c>
      <c r="H1052" s="33" t="str">
        <f>IF(E1052="Não","Não aplicável",IFERROR(IF(B1052="EU-ENV-002",IF(INDEX(tbl_recyclass[Conforme_PPWR_2030],MATCH(A1052,tbl_recyclass[ProductId],0))="Sim","Conforme (autoavaliação)",IF(INDEX(tbl_recyclass[Conforme_PPWR_2030],MATCH(A1052,tbl_recyclass[ProductId],0))="Não","Não conforme em 2030","Isento até 2035")),IF(B1052="EU-ENV-003",IF(INDEX(tbl_recyclass[Conforme_Art7_2030],MATCH(A1052,tbl_recyclass[ProductId],0))="Sim","Conforme (meta 2030)",IF(INDEX(tbl_recyclass[Conforme_Art7_2030],MATCH(A1052,tbl_recyclass[ProductId],0))="Não","Lacuna face à meta 2030","Isento")),IF(B1052="EU-ENV-011",IF(INDEX(tbl_familias_ppwr[Metais_Pesados_Evidencia],MATCH(INDEX(tbl_recyclass[Familia_PPWR],MATCH(A1052,tbl_recyclass[ProductId],0)),tbl_familias_ppwr[ID_Familia],0))="Em falta","Lacuna","Conforme"),IF(B1052="EU-ENV-013",IF(INDEX(tbl_familias_ppwr[Declaracao_UE],MATCH(INDEX(tbl_recyclass[Familia_PPWR],MATCH(A1052,tbl_recyclass[ProductId],0)),tbl_familias_ppwr[ID_Familia],0))="Sim","Conforme","Lacuna"),G1052)))),G1052))</f>
        <v>Não aplicável</v>
      </c>
      <c r="I1052" s="33" t="str">
        <f t="shared" si="16"/>
        <v>Não aplicável</v>
      </c>
      <c r="J1052" s="26"/>
    </row>
    <row r="1053" spans="1:10" ht="16.05" customHeight="1" x14ac:dyDescent="0.3">
      <c r="A1053" s="26" t="s">
        <v>725</v>
      </c>
      <c r="B1053" s="26" t="s">
        <v>1268</v>
      </c>
      <c r="C1053" s="33" t="str">
        <f>IFERROR(INDEX(tbl_requisitos_emb[Tema],MATCH(B1053,tbl_requisitos_emb[ID_Req],0)),"")</f>
        <v>Dispositivos de segurança</v>
      </c>
      <c r="D1053" s="33" t="str">
        <f>IFERROR(INDEX(tbl_recyclass[Segmento],MATCH(A1053,tbl_recyclass[ProductId],0)),"")</f>
        <v>Cosmética e higiene pessoal</v>
      </c>
      <c r="E1053" s="26" t="s">
        <v>904</v>
      </c>
      <c r="F1053" s="26" t="s">
        <v>1451</v>
      </c>
      <c r="G1053" s="26" t="s">
        <v>1143</v>
      </c>
      <c r="H1053" s="33" t="str">
        <f>IF(E1053="Não","Não aplicável",IFERROR(IF(B1053="EU-ENV-002",IF(INDEX(tbl_recyclass[Conforme_PPWR_2030],MATCH(A1053,tbl_recyclass[ProductId],0))="Sim","Conforme (autoavaliação)",IF(INDEX(tbl_recyclass[Conforme_PPWR_2030],MATCH(A1053,tbl_recyclass[ProductId],0))="Não","Não conforme em 2030","Isento até 2035")),IF(B1053="EU-ENV-003",IF(INDEX(tbl_recyclass[Conforme_Art7_2030],MATCH(A1053,tbl_recyclass[ProductId],0))="Sim","Conforme (meta 2030)",IF(INDEX(tbl_recyclass[Conforme_Art7_2030],MATCH(A1053,tbl_recyclass[ProductId],0))="Não","Lacuna face à meta 2030","Isento")),IF(B1053="EU-ENV-011",IF(INDEX(tbl_familias_ppwr[Metais_Pesados_Evidencia],MATCH(INDEX(tbl_recyclass[Familia_PPWR],MATCH(A1053,tbl_recyclass[ProductId],0)),tbl_familias_ppwr[ID_Familia],0))="Em falta","Lacuna","Conforme"),IF(B1053="EU-ENV-013",IF(INDEX(tbl_familias_ppwr[Declaracao_UE],MATCH(INDEX(tbl_recyclass[Familia_PPWR],MATCH(A1053,tbl_recyclass[ProductId],0)),tbl_familias_ppwr[ID_Familia],0))="Sim","Conforme","Lacuna"),G1053)))),G1053))</f>
        <v>Não aplicável</v>
      </c>
      <c r="I1053" s="33" t="str">
        <f t="shared" si="16"/>
        <v>Não aplicável</v>
      </c>
      <c r="J1053" s="26"/>
    </row>
    <row r="1054" spans="1:10" ht="16.05" customHeight="1" x14ac:dyDescent="0.3">
      <c r="A1054" s="26" t="s">
        <v>725</v>
      </c>
      <c r="B1054" s="26" t="s">
        <v>1285</v>
      </c>
      <c r="C1054" s="33" t="str">
        <f>IFERROR(INDEX(tbl_requisitos_emb[Tema],MATCH(B1054,tbl_requisitos_emb[ID_Req],0)),"")</f>
        <v>Materiais plásticos de acondicionamento primário</v>
      </c>
      <c r="D1054" s="33" t="str">
        <f>IFERROR(INDEX(tbl_recyclass[Segmento],MATCH(A1054,tbl_recyclass[ProductId],0)),"")</f>
        <v>Cosmética e higiene pessoal</v>
      </c>
      <c r="E1054" s="26" t="s">
        <v>904</v>
      </c>
      <c r="F1054" s="26" t="s">
        <v>1451</v>
      </c>
      <c r="G1054" s="26" t="s">
        <v>1143</v>
      </c>
      <c r="H1054" s="33" t="str">
        <f>IF(E1054="Não","Não aplicável",IFERROR(IF(B1054="EU-ENV-002",IF(INDEX(tbl_recyclass[Conforme_PPWR_2030],MATCH(A1054,tbl_recyclass[ProductId],0))="Sim","Conforme (autoavaliação)",IF(INDEX(tbl_recyclass[Conforme_PPWR_2030],MATCH(A1054,tbl_recyclass[ProductId],0))="Não","Não conforme em 2030","Isento até 2035")),IF(B1054="EU-ENV-003",IF(INDEX(tbl_recyclass[Conforme_Art7_2030],MATCH(A1054,tbl_recyclass[ProductId],0))="Sim","Conforme (meta 2030)",IF(INDEX(tbl_recyclass[Conforme_Art7_2030],MATCH(A1054,tbl_recyclass[ProductId],0))="Não","Lacuna face à meta 2030","Isento")),IF(B1054="EU-ENV-011",IF(INDEX(tbl_familias_ppwr[Metais_Pesados_Evidencia],MATCH(INDEX(tbl_recyclass[Familia_PPWR],MATCH(A1054,tbl_recyclass[ProductId],0)),tbl_familias_ppwr[ID_Familia],0))="Em falta","Lacuna","Conforme"),IF(B1054="EU-ENV-013",IF(INDEX(tbl_familias_ppwr[Declaracao_UE],MATCH(INDEX(tbl_recyclass[Familia_PPWR],MATCH(A1054,tbl_recyclass[ProductId],0)),tbl_familias_ppwr[ID_Familia],0))="Sim","Conforme","Lacuna"),G1054)))),G1054))</f>
        <v>Não aplicável</v>
      </c>
      <c r="I1054" s="33" t="str">
        <f t="shared" si="16"/>
        <v>Não aplicável</v>
      </c>
      <c r="J1054" s="26"/>
    </row>
    <row r="1055" spans="1:10" ht="16.05" customHeight="1" x14ac:dyDescent="0.3">
      <c r="A1055" s="26" t="s">
        <v>725</v>
      </c>
      <c r="B1055" s="26" t="s">
        <v>1293</v>
      </c>
      <c r="C1055" s="33" t="str">
        <f>IFERROR(INDEX(tbl_requisitos_emb[Tema],MATCH(B1055,tbl_requisitos_emb[ID_Req],0)),"")</f>
        <v>Isenções PPWR</v>
      </c>
      <c r="D1055" s="33" t="str">
        <f>IFERROR(INDEX(tbl_recyclass[Segmento],MATCH(A1055,tbl_recyclass[ProductId],0)),"")</f>
        <v>Cosmética e higiene pessoal</v>
      </c>
      <c r="E1055" s="26" t="s">
        <v>904</v>
      </c>
      <c r="F1055" s="26" t="s">
        <v>1451</v>
      </c>
      <c r="G1055" s="26" t="s">
        <v>1143</v>
      </c>
      <c r="H1055" s="33" t="str">
        <f>IF(E1055="Não","Não aplicável",IFERROR(IF(B1055="EU-ENV-002",IF(INDEX(tbl_recyclass[Conforme_PPWR_2030],MATCH(A1055,tbl_recyclass[ProductId],0))="Sim","Conforme (autoavaliação)",IF(INDEX(tbl_recyclass[Conforme_PPWR_2030],MATCH(A1055,tbl_recyclass[ProductId],0))="Não","Não conforme em 2030","Isento até 2035")),IF(B1055="EU-ENV-003",IF(INDEX(tbl_recyclass[Conforme_Art7_2030],MATCH(A1055,tbl_recyclass[ProductId],0))="Sim","Conforme (meta 2030)",IF(INDEX(tbl_recyclass[Conforme_Art7_2030],MATCH(A1055,tbl_recyclass[ProductId],0))="Não","Lacuna face à meta 2030","Isento")),IF(B1055="EU-ENV-011",IF(INDEX(tbl_familias_ppwr[Metais_Pesados_Evidencia],MATCH(INDEX(tbl_recyclass[Familia_PPWR],MATCH(A1055,tbl_recyclass[ProductId],0)),tbl_familias_ppwr[ID_Familia],0))="Em falta","Lacuna","Conforme"),IF(B1055="EU-ENV-013",IF(INDEX(tbl_familias_ppwr[Declaracao_UE],MATCH(INDEX(tbl_recyclass[Familia_PPWR],MATCH(A1055,tbl_recyclass[ProductId],0)),tbl_familias_ppwr[ID_Familia],0))="Sim","Conforme","Lacuna"),G1055)))),G1055))</f>
        <v>Não aplicável</v>
      </c>
      <c r="I1055" s="33" t="str">
        <f t="shared" si="16"/>
        <v>Não aplicável</v>
      </c>
      <c r="J1055" s="26"/>
    </row>
    <row r="1056" spans="1:10" ht="16.05" customHeight="1" x14ac:dyDescent="0.3">
      <c r="A1056" s="26" t="s">
        <v>725</v>
      </c>
      <c r="B1056" s="26" t="s">
        <v>1357</v>
      </c>
      <c r="C1056" s="33" t="str">
        <f>IFERROR(INDEX(tbl_requisitos_emb[Tema],MATCH(B1056,tbl_requisitos_emb[ID_Req],0)),"")</f>
        <v>Identificação de plásticos</v>
      </c>
      <c r="D1056" s="33" t="str">
        <f>IFERROR(INDEX(tbl_recyclass[Segmento],MATCH(A1056,tbl_recyclass[ProductId],0)),"")</f>
        <v>Cosmética e higiene pessoal</v>
      </c>
      <c r="E1056" s="26" t="s">
        <v>901</v>
      </c>
      <c r="F1056" s="26" t="s">
        <v>1449</v>
      </c>
      <c r="G1056" s="26" t="s">
        <v>978</v>
      </c>
      <c r="H1056" s="33" t="str">
        <f>IF(E1056="Não","Não aplicável",IFERROR(IF(B1056="EU-ENV-002",IF(INDEX(tbl_recyclass[Conforme_PPWR_2030],MATCH(A1056,tbl_recyclass[ProductId],0))="Sim","Conforme (autoavaliação)",IF(INDEX(tbl_recyclass[Conforme_PPWR_2030],MATCH(A1056,tbl_recyclass[ProductId],0))="Não","Não conforme em 2030","Isento até 2035")),IF(B1056="EU-ENV-003",IF(INDEX(tbl_recyclass[Conforme_Art7_2030],MATCH(A1056,tbl_recyclass[ProductId],0))="Sim","Conforme (meta 2030)",IF(INDEX(tbl_recyclass[Conforme_Art7_2030],MATCH(A1056,tbl_recyclass[ProductId],0))="Não","Lacuna face à meta 2030","Isento")),IF(B1056="EU-ENV-011",IF(INDEX(tbl_familias_ppwr[Metais_Pesados_Evidencia],MATCH(INDEX(tbl_recyclass[Familia_PPWR],MATCH(A1056,tbl_recyclass[ProductId],0)),tbl_familias_ppwr[ID_Familia],0))="Em falta","Lacuna","Conforme"),IF(B1056="EU-ENV-013",IF(INDEX(tbl_familias_ppwr[Declaracao_UE],MATCH(INDEX(tbl_recyclass[Familia_PPWR],MATCH(A1056,tbl_recyclass[ProductId],0)),tbl_familias_ppwr[ID_Familia],0))="Sim","Conforme","Lacuna"),G1056)))),G1056))</f>
        <v>Parcial</v>
      </c>
      <c r="I1056" s="33" t="str">
        <f t="shared" si="16"/>
        <v>Parcial</v>
      </c>
      <c r="J1056" s="26" t="s">
        <v>1362</v>
      </c>
    </row>
    <row r="1057" spans="1:10" ht="16.05" customHeight="1" x14ac:dyDescent="0.3">
      <c r="A1057" s="26" t="s">
        <v>725</v>
      </c>
      <c r="B1057" s="26" t="s">
        <v>1385</v>
      </c>
      <c r="C1057" s="33" t="str">
        <f>IFERROR(INDEX(tbl_requisitos_emb[Tema],MATCH(B1057,tbl_requisitos_emb[ID_Req],0)),"")</f>
        <v>Reciclabilidade (voluntária)</v>
      </c>
      <c r="D1057" s="33" t="str">
        <f>IFERROR(INDEX(tbl_recyclass[Segmento],MATCH(A1057,tbl_recyclass[ProductId],0)),"")</f>
        <v>Cosmética e higiene pessoal</v>
      </c>
      <c r="E1057" s="26" t="s">
        <v>901</v>
      </c>
      <c r="F1057" s="26" t="s">
        <v>1449</v>
      </c>
      <c r="G1057" s="26" t="s">
        <v>978</v>
      </c>
      <c r="H1057" s="33" t="str">
        <f>IF(E1057="Não","Não aplicável",IFERROR(IF(B1057="EU-ENV-002",IF(INDEX(tbl_recyclass[Conforme_PPWR_2030],MATCH(A1057,tbl_recyclass[ProductId],0))="Sim","Conforme (autoavaliação)",IF(INDEX(tbl_recyclass[Conforme_PPWR_2030],MATCH(A1057,tbl_recyclass[ProductId],0))="Não","Não conforme em 2030","Isento até 2035")),IF(B1057="EU-ENV-003",IF(INDEX(tbl_recyclass[Conforme_Art7_2030],MATCH(A1057,tbl_recyclass[ProductId],0))="Sim","Conforme (meta 2030)",IF(INDEX(tbl_recyclass[Conforme_Art7_2030],MATCH(A1057,tbl_recyclass[ProductId],0))="Não","Lacuna face à meta 2030","Isento")),IF(B1057="EU-ENV-011",IF(INDEX(tbl_familias_ppwr[Metais_Pesados_Evidencia],MATCH(INDEX(tbl_recyclass[Familia_PPWR],MATCH(A1057,tbl_recyclass[ProductId],0)),tbl_familias_ppwr[ID_Familia],0))="Em falta","Lacuna","Conforme"),IF(B1057="EU-ENV-013",IF(INDEX(tbl_familias_ppwr[Declaracao_UE],MATCH(INDEX(tbl_recyclass[Familia_PPWR],MATCH(A1057,tbl_recyclass[ProductId],0)),tbl_familias_ppwr[ID_Familia],0))="Sim","Conforme","Lacuna"),G1057)))),G1057))</f>
        <v>Parcial</v>
      </c>
      <c r="I1057" s="33" t="str">
        <f t="shared" si="16"/>
        <v>Parcial</v>
      </c>
      <c r="J1057" s="26" t="s">
        <v>1389</v>
      </c>
    </row>
    <row r="1058" spans="1:10" ht="16.05" customHeight="1" x14ac:dyDescent="0.3">
      <c r="A1058" s="26" t="s">
        <v>727</v>
      </c>
      <c r="B1058" s="26" t="s">
        <v>984</v>
      </c>
      <c r="C1058" s="33" t="str">
        <f>IFERROR(INDEX(tbl_requisitos_emb[Tema],MATCH(B1058,tbl_requisitos_emb[ID_Req],0)),"")</f>
        <v>Conceção para reciclagem</v>
      </c>
      <c r="D1058" s="33" t="str">
        <f>IFERROR(INDEX(tbl_recyclass[Segmento],MATCH(A1058,tbl_recyclass[ProductId],0)),"")</f>
        <v>Cosmética e higiene pessoal</v>
      </c>
      <c r="E1058" s="26" t="s">
        <v>901</v>
      </c>
      <c r="F1058" s="26" t="s">
        <v>1449</v>
      </c>
      <c r="G1058" s="26" t="s">
        <v>978</v>
      </c>
      <c r="H1058" s="33" t="str">
        <f>IF(E1058="Não","Não aplicável",IFERROR(IF(B1058="EU-ENV-002",IF(INDEX(tbl_recyclass[Conforme_PPWR_2030],MATCH(A1058,tbl_recyclass[ProductId],0))="Sim","Conforme (autoavaliação)",IF(INDEX(tbl_recyclass[Conforme_PPWR_2030],MATCH(A1058,tbl_recyclass[ProductId],0))="Não","Não conforme em 2030","Isento até 2035")),IF(B1058="EU-ENV-003",IF(INDEX(tbl_recyclass[Conforme_Art7_2030],MATCH(A1058,tbl_recyclass[ProductId],0))="Sim","Conforme (meta 2030)",IF(INDEX(tbl_recyclass[Conforme_Art7_2030],MATCH(A1058,tbl_recyclass[ProductId],0))="Não","Lacuna face à meta 2030","Isento")),IF(B1058="EU-ENV-011",IF(INDEX(tbl_familias_ppwr[Metais_Pesados_Evidencia],MATCH(INDEX(tbl_recyclass[Familia_PPWR],MATCH(A1058,tbl_recyclass[ProductId],0)),tbl_familias_ppwr[ID_Familia],0))="Em falta","Lacuna","Conforme"),IF(B1058="EU-ENV-013",IF(INDEX(tbl_familias_ppwr[Declaracao_UE],MATCH(INDEX(tbl_recyclass[Familia_PPWR],MATCH(A1058,tbl_recyclass[ProductId],0)),tbl_familias_ppwr[ID_Familia],0))="Sim","Conforme","Lacuna"),G1058)))),G1058))</f>
        <v>Conforme (autoavaliação)</v>
      </c>
      <c r="I1058" s="33" t="str">
        <f t="shared" si="16"/>
        <v>Conforme</v>
      </c>
      <c r="J1058" s="26" t="s">
        <v>991</v>
      </c>
    </row>
    <row r="1059" spans="1:10" ht="16.05" customHeight="1" x14ac:dyDescent="0.3">
      <c r="A1059" s="26" t="s">
        <v>727</v>
      </c>
      <c r="B1059" s="26" t="s">
        <v>997</v>
      </c>
      <c r="C1059" s="33" t="str">
        <f>IFERROR(INDEX(tbl_requisitos_emb[Tema],MATCH(B1059,tbl_requisitos_emb[ID_Req],0)),"")</f>
        <v>Conteúdo reciclado</v>
      </c>
      <c r="D1059" s="33" t="str">
        <f>IFERROR(INDEX(tbl_recyclass[Segmento],MATCH(A1059,tbl_recyclass[ProductId],0)),"")</f>
        <v>Cosmética e higiene pessoal</v>
      </c>
      <c r="E1059" s="26" t="s">
        <v>901</v>
      </c>
      <c r="F1059" s="26" t="s">
        <v>1449</v>
      </c>
      <c r="G1059" s="26" t="s">
        <v>978</v>
      </c>
      <c r="H1059" s="33" t="str">
        <f>IF(E1059="Não","Não aplicável",IFERROR(IF(B1059="EU-ENV-002",IF(INDEX(tbl_recyclass[Conforme_PPWR_2030],MATCH(A1059,tbl_recyclass[ProductId],0))="Sim","Conforme (autoavaliação)",IF(INDEX(tbl_recyclass[Conforme_PPWR_2030],MATCH(A1059,tbl_recyclass[ProductId],0))="Não","Não conforme em 2030","Isento até 2035")),IF(B1059="EU-ENV-003",IF(INDEX(tbl_recyclass[Conforme_Art7_2030],MATCH(A1059,tbl_recyclass[ProductId],0))="Sim","Conforme (meta 2030)",IF(INDEX(tbl_recyclass[Conforme_Art7_2030],MATCH(A1059,tbl_recyclass[ProductId],0))="Não","Lacuna face à meta 2030","Isento")),IF(B1059="EU-ENV-011",IF(INDEX(tbl_familias_ppwr[Metais_Pesados_Evidencia],MATCH(INDEX(tbl_recyclass[Familia_PPWR],MATCH(A1059,tbl_recyclass[ProductId],0)),tbl_familias_ppwr[ID_Familia],0))="Em falta","Lacuna","Conforme"),IF(B1059="EU-ENV-013",IF(INDEX(tbl_familias_ppwr[Declaracao_UE],MATCH(INDEX(tbl_recyclass[Familia_PPWR],MATCH(A1059,tbl_recyclass[ProductId],0)),tbl_familias_ppwr[ID_Familia],0))="Sim","Conforme","Lacuna"),G1059)))),G1059))</f>
        <v>Lacuna face à meta 2030</v>
      </c>
      <c r="I1059" s="33" t="str">
        <f t="shared" si="16"/>
        <v>Lacuna</v>
      </c>
      <c r="J1059" s="26" t="s">
        <v>1001</v>
      </c>
    </row>
    <row r="1060" spans="1:10" ht="16.05" customHeight="1" x14ac:dyDescent="0.3">
      <c r="A1060" s="26" t="s">
        <v>727</v>
      </c>
      <c r="B1060" s="26" t="s">
        <v>1007</v>
      </c>
      <c r="C1060" s="33" t="str">
        <f>IFERROR(INDEX(tbl_requisitos_emb[Tema],MATCH(B1060,tbl_requisitos_emb[ID_Req],0)),"")</f>
        <v>Minimização</v>
      </c>
      <c r="D1060" s="33" t="str">
        <f>IFERROR(INDEX(tbl_recyclass[Segmento],MATCH(A1060,tbl_recyclass[ProductId],0)),"")</f>
        <v>Cosmética e higiene pessoal</v>
      </c>
      <c r="E1060" s="26" t="s">
        <v>901</v>
      </c>
      <c r="F1060" s="26" t="s">
        <v>1449</v>
      </c>
      <c r="G1060" s="26" t="s">
        <v>978</v>
      </c>
      <c r="H1060" s="33" t="str">
        <f>IF(E1060="Não","Não aplicável",IFERROR(IF(B1060="EU-ENV-002",IF(INDEX(tbl_recyclass[Conforme_PPWR_2030],MATCH(A1060,tbl_recyclass[ProductId],0))="Sim","Conforme (autoavaliação)",IF(INDEX(tbl_recyclass[Conforme_PPWR_2030],MATCH(A1060,tbl_recyclass[ProductId],0))="Não","Não conforme em 2030","Isento até 2035")),IF(B1060="EU-ENV-003",IF(INDEX(tbl_recyclass[Conforme_Art7_2030],MATCH(A1060,tbl_recyclass[ProductId],0))="Sim","Conforme (meta 2030)",IF(INDEX(tbl_recyclass[Conforme_Art7_2030],MATCH(A1060,tbl_recyclass[ProductId],0))="Não","Lacuna face à meta 2030","Isento")),IF(B1060="EU-ENV-011",IF(INDEX(tbl_familias_ppwr[Metais_Pesados_Evidencia],MATCH(INDEX(tbl_recyclass[Familia_PPWR],MATCH(A1060,tbl_recyclass[ProductId],0)),tbl_familias_ppwr[ID_Familia],0))="Em falta","Lacuna","Conforme"),IF(B1060="EU-ENV-013",IF(INDEX(tbl_familias_ppwr[Declaracao_UE],MATCH(INDEX(tbl_recyclass[Familia_PPWR],MATCH(A1060,tbl_recyclass[ProductId],0)),tbl_familias_ppwr[ID_Familia],0))="Sim","Conforme","Lacuna"),G1060)))),G1060))</f>
        <v>Parcial</v>
      </c>
      <c r="I1060" s="33" t="str">
        <f t="shared" si="16"/>
        <v>Parcial</v>
      </c>
      <c r="J1060" s="26" t="s">
        <v>1012</v>
      </c>
    </row>
    <row r="1061" spans="1:10" ht="16.05" customHeight="1" x14ac:dyDescent="0.3">
      <c r="A1061" s="26" t="s">
        <v>727</v>
      </c>
      <c r="B1061" s="26" t="s">
        <v>1016</v>
      </c>
      <c r="C1061" s="33" t="str">
        <f>IFERROR(INDEX(tbl_requisitos_emb[Tema],MATCH(B1061,tbl_requisitos_emb[ID_Req],0)),"")</f>
        <v>Rotulagem</v>
      </c>
      <c r="D1061" s="33" t="str">
        <f>IFERROR(INDEX(tbl_recyclass[Segmento],MATCH(A1061,tbl_recyclass[ProductId],0)),"")</f>
        <v>Cosmética e higiene pessoal</v>
      </c>
      <c r="E1061" s="26" t="s">
        <v>901</v>
      </c>
      <c r="F1061" s="26" t="s">
        <v>1449</v>
      </c>
      <c r="G1061" s="26" t="s">
        <v>990</v>
      </c>
      <c r="H1061" s="33" t="str">
        <f>IF(E1061="Não","Não aplicável",IFERROR(IF(B1061="EU-ENV-002",IF(INDEX(tbl_recyclass[Conforme_PPWR_2030],MATCH(A1061,tbl_recyclass[ProductId],0))="Sim","Conforme (autoavaliação)",IF(INDEX(tbl_recyclass[Conforme_PPWR_2030],MATCH(A1061,tbl_recyclass[ProductId],0))="Não","Não conforme em 2030","Isento até 2035")),IF(B1061="EU-ENV-003",IF(INDEX(tbl_recyclass[Conforme_Art7_2030],MATCH(A1061,tbl_recyclass[ProductId],0))="Sim","Conforme (meta 2030)",IF(INDEX(tbl_recyclass[Conforme_Art7_2030],MATCH(A1061,tbl_recyclass[ProductId],0))="Não","Lacuna face à meta 2030","Isento")),IF(B1061="EU-ENV-011",IF(INDEX(tbl_familias_ppwr[Metais_Pesados_Evidencia],MATCH(INDEX(tbl_recyclass[Familia_PPWR],MATCH(A1061,tbl_recyclass[ProductId],0)),tbl_familias_ppwr[ID_Familia],0))="Em falta","Lacuna","Conforme"),IF(B1061="EU-ENV-013",IF(INDEX(tbl_familias_ppwr[Declaracao_UE],MATCH(INDEX(tbl_recyclass[Familia_PPWR],MATCH(A1061,tbl_recyclass[ProductId],0)),tbl_familias_ppwr[ID_Familia],0))="Sim","Conforme","Lacuna"),G1061)))),G1061))</f>
        <v>Futuro</v>
      </c>
      <c r="I1061" s="33" t="str">
        <f t="shared" si="16"/>
        <v>Futuro</v>
      </c>
      <c r="J1061" s="26" t="s">
        <v>1021</v>
      </c>
    </row>
    <row r="1062" spans="1:10" ht="16.05" customHeight="1" x14ac:dyDescent="0.3">
      <c r="A1062" s="26" t="s">
        <v>727</v>
      </c>
      <c r="B1062" s="26" t="s">
        <v>1038</v>
      </c>
      <c r="C1062" s="33" t="str">
        <f>IFERROR(INDEX(tbl_requisitos_emb[Tema],MATCH(B1062,tbl_requisitos_emb[ID_Req],0)),"")</f>
        <v>Plásticos de utilização única</v>
      </c>
      <c r="D1062" s="33" t="str">
        <f>IFERROR(INDEX(tbl_recyclass[Segmento],MATCH(A1062,tbl_recyclass[ProductId],0)),"")</f>
        <v>Cosmética e higiene pessoal</v>
      </c>
      <c r="E1062" s="26" t="s">
        <v>904</v>
      </c>
      <c r="F1062" s="26" t="s">
        <v>1450</v>
      </c>
      <c r="G1062" s="26" t="s">
        <v>1143</v>
      </c>
      <c r="H1062" s="33" t="str">
        <f>IF(E1062="Não","Não aplicável",IFERROR(IF(B1062="EU-ENV-002",IF(INDEX(tbl_recyclass[Conforme_PPWR_2030],MATCH(A1062,tbl_recyclass[ProductId],0))="Sim","Conforme (autoavaliação)",IF(INDEX(tbl_recyclass[Conforme_PPWR_2030],MATCH(A1062,tbl_recyclass[ProductId],0))="Não","Não conforme em 2030","Isento até 2035")),IF(B1062="EU-ENV-003",IF(INDEX(tbl_recyclass[Conforme_Art7_2030],MATCH(A1062,tbl_recyclass[ProductId],0))="Sim","Conforme (meta 2030)",IF(INDEX(tbl_recyclass[Conforme_Art7_2030],MATCH(A1062,tbl_recyclass[ProductId],0))="Não","Lacuna face à meta 2030","Isento")),IF(B1062="EU-ENV-011",IF(INDEX(tbl_familias_ppwr[Metais_Pesados_Evidencia],MATCH(INDEX(tbl_recyclass[Familia_PPWR],MATCH(A1062,tbl_recyclass[ProductId],0)),tbl_familias_ppwr[ID_Familia],0))="Em falta","Lacuna","Conforme"),IF(B1062="EU-ENV-013",IF(INDEX(tbl_familias_ppwr[Declaracao_UE],MATCH(INDEX(tbl_recyclass[Familia_PPWR],MATCH(A1062,tbl_recyclass[ProductId],0)),tbl_familias_ppwr[ID_Familia],0))="Sim","Conforme","Lacuna"),G1062)))),G1062))</f>
        <v>Não aplicável</v>
      </c>
      <c r="I1062" s="33" t="str">
        <f t="shared" si="16"/>
        <v>Não aplicável</v>
      </c>
      <c r="J1062" s="26"/>
    </row>
    <row r="1063" spans="1:10" ht="16.05" customHeight="1" x14ac:dyDescent="0.3">
      <c r="A1063" s="26" t="s">
        <v>727</v>
      </c>
      <c r="B1063" s="26" t="s">
        <v>1078</v>
      </c>
      <c r="C1063" s="33" t="str">
        <f>IFERROR(INDEX(tbl_requisitos_emb[Tema],MATCH(B1063,tbl_requisitos_emb[ID_Req],0)),"")</f>
        <v>Reciclado à escala</v>
      </c>
      <c r="D1063" s="33" t="str">
        <f>IFERROR(INDEX(tbl_recyclass[Segmento],MATCH(A1063,tbl_recyclass[ProductId],0)),"")</f>
        <v>Cosmética e higiene pessoal</v>
      </c>
      <c r="E1063" s="26" t="s">
        <v>901</v>
      </c>
      <c r="F1063" s="26" t="s">
        <v>1449</v>
      </c>
      <c r="G1063" s="26" t="s">
        <v>990</v>
      </c>
      <c r="H1063" s="33" t="str">
        <f>IF(E1063="Não","Não aplicável",IFERROR(IF(B1063="EU-ENV-002",IF(INDEX(tbl_recyclass[Conforme_PPWR_2030],MATCH(A1063,tbl_recyclass[ProductId],0))="Sim","Conforme (autoavaliação)",IF(INDEX(tbl_recyclass[Conforme_PPWR_2030],MATCH(A1063,tbl_recyclass[ProductId],0))="Não","Não conforme em 2030","Isento até 2035")),IF(B1063="EU-ENV-003",IF(INDEX(tbl_recyclass[Conforme_Art7_2030],MATCH(A1063,tbl_recyclass[ProductId],0))="Sim","Conforme (meta 2030)",IF(INDEX(tbl_recyclass[Conforme_Art7_2030],MATCH(A1063,tbl_recyclass[ProductId],0))="Não","Lacuna face à meta 2030","Isento")),IF(B1063="EU-ENV-011",IF(INDEX(tbl_familias_ppwr[Metais_Pesados_Evidencia],MATCH(INDEX(tbl_recyclass[Familia_PPWR],MATCH(A1063,tbl_recyclass[ProductId],0)),tbl_familias_ppwr[ID_Familia],0))="Em falta","Lacuna","Conforme"),IF(B1063="EU-ENV-013",IF(INDEX(tbl_familias_ppwr[Declaracao_UE],MATCH(INDEX(tbl_recyclass[Familia_PPWR],MATCH(A1063,tbl_recyclass[ProductId],0)),tbl_familias_ppwr[ID_Familia],0))="Sim","Conforme","Lacuna"),G1063)))),G1063))</f>
        <v>Futuro</v>
      </c>
      <c r="I1063" s="33" t="str">
        <f t="shared" si="16"/>
        <v>Futuro</v>
      </c>
      <c r="J1063" s="26" t="s">
        <v>1082</v>
      </c>
    </row>
    <row r="1064" spans="1:10" ht="16.05" customHeight="1" x14ac:dyDescent="0.3">
      <c r="A1064" s="26" t="s">
        <v>727</v>
      </c>
      <c r="B1064" s="26" t="s">
        <v>1086</v>
      </c>
      <c r="C1064" s="33" t="str">
        <f>IFERROR(INDEX(tbl_requisitos_emb[Tema],MATCH(B1064,tbl_requisitos_emb[ID_Req],0)),"")</f>
        <v>Metais pesados</v>
      </c>
      <c r="D1064" s="33" t="str">
        <f>IFERROR(INDEX(tbl_recyclass[Segmento],MATCH(A1064,tbl_recyclass[ProductId],0)),"")</f>
        <v>Cosmética e higiene pessoal</v>
      </c>
      <c r="E1064" s="26" t="s">
        <v>901</v>
      </c>
      <c r="F1064" s="26" t="s">
        <v>1449</v>
      </c>
      <c r="G1064" s="26" t="s">
        <v>978</v>
      </c>
      <c r="H1064" s="33" t="str">
        <f>IF(E1064="Não","Não aplicável",IFERROR(IF(B1064="EU-ENV-002",IF(INDEX(tbl_recyclass[Conforme_PPWR_2030],MATCH(A1064,tbl_recyclass[ProductId],0))="Sim","Conforme (autoavaliação)",IF(INDEX(tbl_recyclass[Conforme_PPWR_2030],MATCH(A1064,tbl_recyclass[ProductId],0))="Não","Não conforme em 2030","Isento até 2035")),IF(B1064="EU-ENV-003",IF(INDEX(tbl_recyclass[Conforme_Art7_2030],MATCH(A1064,tbl_recyclass[ProductId],0))="Sim","Conforme (meta 2030)",IF(INDEX(tbl_recyclass[Conforme_Art7_2030],MATCH(A1064,tbl_recyclass[ProductId],0))="Não","Lacuna face à meta 2030","Isento")),IF(B1064="EU-ENV-011",IF(INDEX(tbl_familias_ppwr[Metais_Pesados_Evidencia],MATCH(INDEX(tbl_recyclass[Familia_PPWR],MATCH(A1064,tbl_recyclass[ProductId],0)),tbl_familias_ppwr[ID_Familia],0))="Em falta","Lacuna","Conforme"),IF(B1064="EU-ENV-013",IF(INDEX(tbl_familias_ppwr[Declaracao_UE],MATCH(INDEX(tbl_recyclass[Familia_PPWR],MATCH(A1064,tbl_recyclass[ProductId],0)),tbl_familias_ppwr[ID_Familia],0))="Sim","Conforme","Lacuna"),G1064)))),G1064))</f>
        <v>Conforme</v>
      </c>
      <c r="I1064" s="33" t="str">
        <f t="shared" si="16"/>
        <v>Conforme</v>
      </c>
      <c r="J1064" s="26" t="s">
        <v>1090</v>
      </c>
    </row>
    <row r="1065" spans="1:10" ht="16.05" customHeight="1" x14ac:dyDescent="0.3">
      <c r="A1065" s="26" t="s">
        <v>727</v>
      </c>
      <c r="B1065" s="26" t="s">
        <v>1094</v>
      </c>
      <c r="C1065" s="33" t="str">
        <f>IFERROR(INDEX(tbl_requisitos_emb[Tema],MATCH(B1065,tbl_requisitos_emb[ID_Req],0)),"")</f>
        <v>PFAS</v>
      </c>
      <c r="D1065" s="33" t="str">
        <f>IFERROR(INDEX(tbl_recyclass[Segmento],MATCH(A1065,tbl_recyclass[ProductId],0)),"")</f>
        <v>Cosmética e higiene pessoal</v>
      </c>
      <c r="E1065" s="26" t="s">
        <v>904</v>
      </c>
      <c r="F1065" s="26" t="s">
        <v>1450</v>
      </c>
      <c r="G1065" s="26" t="s">
        <v>1143</v>
      </c>
      <c r="H1065" s="33" t="str">
        <f>IF(E1065="Não","Não aplicável",IFERROR(IF(B1065="EU-ENV-002",IF(INDEX(tbl_recyclass[Conforme_PPWR_2030],MATCH(A1065,tbl_recyclass[ProductId],0))="Sim","Conforme (autoavaliação)",IF(INDEX(tbl_recyclass[Conforme_PPWR_2030],MATCH(A1065,tbl_recyclass[ProductId],0))="Não","Não conforme em 2030","Isento até 2035")),IF(B1065="EU-ENV-003",IF(INDEX(tbl_recyclass[Conforme_Art7_2030],MATCH(A1065,tbl_recyclass[ProductId],0))="Sim","Conforme (meta 2030)",IF(INDEX(tbl_recyclass[Conforme_Art7_2030],MATCH(A1065,tbl_recyclass[ProductId],0))="Não","Lacuna face à meta 2030","Isento")),IF(B1065="EU-ENV-011",IF(INDEX(tbl_familias_ppwr[Metais_Pesados_Evidencia],MATCH(INDEX(tbl_recyclass[Familia_PPWR],MATCH(A1065,tbl_recyclass[ProductId],0)),tbl_familias_ppwr[ID_Familia],0))="Em falta","Lacuna","Conforme"),IF(B1065="EU-ENV-013",IF(INDEX(tbl_familias_ppwr[Declaracao_UE],MATCH(INDEX(tbl_recyclass[Familia_PPWR],MATCH(A1065,tbl_recyclass[ProductId],0)),tbl_familias_ppwr[ID_Familia],0))="Sim","Conforme","Lacuna"),G1065)))),G1065))</f>
        <v>Não aplicável</v>
      </c>
      <c r="I1065" s="33" t="str">
        <f t="shared" si="16"/>
        <v>Não aplicável</v>
      </c>
      <c r="J1065" s="26"/>
    </row>
    <row r="1066" spans="1:10" ht="16.05" customHeight="1" x14ac:dyDescent="0.3">
      <c r="A1066" s="26" t="s">
        <v>727</v>
      </c>
      <c r="B1066" s="26" t="s">
        <v>1102</v>
      </c>
      <c r="C1066" s="33" t="str">
        <f>IFERROR(INDEX(tbl_requisitos_emb[Tema],MATCH(B1066,tbl_requisitos_emb[ID_Req],0)),"")</f>
        <v>Documentação técnica e declaração UE</v>
      </c>
      <c r="D1066" s="33" t="str">
        <f>IFERROR(INDEX(tbl_recyclass[Segmento],MATCH(A1066,tbl_recyclass[ProductId],0)),"")</f>
        <v>Cosmética e higiene pessoal</v>
      </c>
      <c r="E1066" s="26" t="s">
        <v>901</v>
      </c>
      <c r="F1066" s="26" t="s">
        <v>1449</v>
      </c>
      <c r="G1066" s="26" t="s">
        <v>978</v>
      </c>
      <c r="H1066" s="33" t="str">
        <f>IF(E1066="Não","Não aplicável",IFERROR(IF(B1066="EU-ENV-002",IF(INDEX(tbl_recyclass[Conforme_PPWR_2030],MATCH(A1066,tbl_recyclass[ProductId],0))="Sim","Conforme (autoavaliação)",IF(INDEX(tbl_recyclass[Conforme_PPWR_2030],MATCH(A1066,tbl_recyclass[ProductId],0))="Não","Não conforme em 2030","Isento até 2035")),IF(B1066="EU-ENV-003",IF(INDEX(tbl_recyclass[Conforme_Art7_2030],MATCH(A1066,tbl_recyclass[ProductId],0))="Sim","Conforme (meta 2030)",IF(INDEX(tbl_recyclass[Conforme_Art7_2030],MATCH(A1066,tbl_recyclass[ProductId],0))="Não","Lacuna face à meta 2030","Isento")),IF(B1066="EU-ENV-011",IF(INDEX(tbl_familias_ppwr[Metais_Pesados_Evidencia],MATCH(INDEX(tbl_recyclass[Familia_PPWR],MATCH(A1066,tbl_recyclass[ProductId],0)),tbl_familias_ppwr[ID_Familia],0))="Em falta","Lacuna","Conforme"),IF(B1066="EU-ENV-013",IF(INDEX(tbl_familias_ppwr[Declaracao_UE],MATCH(INDEX(tbl_recyclass[Familia_PPWR],MATCH(A1066,tbl_recyclass[ProductId],0)),tbl_familias_ppwr[ID_Familia],0))="Sim","Conforme","Lacuna"),G1066)))),G1066))</f>
        <v>Conforme</v>
      </c>
      <c r="I1066" s="33" t="str">
        <f t="shared" si="16"/>
        <v>Conforme</v>
      </c>
      <c r="J1066" s="26" t="s">
        <v>1106</v>
      </c>
    </row>
    <row r="1067" spans="1:10" ht="16.05" customHeight="1" x14ac:dyDescent="0.3">
      <c r="A1067" s="26" t="s">
        <v>727</v>
      </c>
      <c r="B1067" s="26" t="s">
        <v>1161</v>
      </c>
      <c r="C1067" s="33" t="str">
        <f>IFERROR(INDEX(tbl_requisitos_emb[Tema],MATCH(B1067,tbl_requisitos_emb[ID_Req],0)),"")</f>
        <v>Materiais em contacto com alimentos</v>
      </c>
      <c r="D1067" s="33" t="str">
        <f>IFERROR(INDEX(tbl_recyclass[Segmento],MATCH(A1067,tbl_recyclass[ProductId],0)),"")</f>
        <v>Cosmética e higiene pessoal</v>
      </c>
      <c r="E1067" s="26" t="s">
        <v>904</v>
      </c>
      <c r="F1067" s="26" t="s">
        <v>1450</v>
      </c>
      <c r="G1067" s="26" t="s">
        <v>1143</v>
      </c>
      <c r="H1067" s="33" t="str">
        <f>IF(E1067="Não","Não aplicável",IFERROR(IF(B1067="EU-ENV-002",IF(INDEX(tbl_recyclass[Conforme_PPWR_2030],MATCH(A1067,tbl_recyclass[ProductId],0))="Sim","Conforme (autoavaliação)",IF(INDEX(tbl_recyclass[Conforme_PPWR_2030],MATCH(A1067,tbl_recyclass[ProductId],0))="Não","Não conforme em 2030","Isento até 2035")),IF(B1067="EU-ENV-003",IF(INDEX(tbl_recyclass[Conforme_Art7_2030],MATCH(A1067,tbl_recyclass[ProductId],0))="Sim","Conforme (meta 2030)",IF(INDEX(tbl_recyclass[Conforme_Art7_2030],MATCH(A1067,tbl_recyclass[ProductId],0))="Não","Lacuna face à meta 2030","Isento")),IF(B1067="EU-ENV-011",IF(INDEX(tbl_familias_ppwr[Metais_Pesados_Evidencia],MATCH(INDEX(tbl_recyclass[Familia_PPWR],MATCH(A1067,tbl_recyclass[ProductId],0)),tbl_familias_ppwr[ID_Familia],0))="Em falta","Lacuna","Conforme"),IF(B1067="EU-ENV-013",IF(INDEX(tbl_familias_ppwr[Declaracao_UE],MATCH(INDEX(tbl_recyclass[Familia_PPWR],MATCH(A1067,tbl_recyclass[ProductId],0)),tbl_familias_ppwr[ID_Familia],0))="Sim","Conforme","Lacuna"),G1067)))),G1067))</f>
        <v>Não aplicável</v>
      </c>
      <c r="I1067" s="33" t="str">
        <f t="shared" si="16"/>
        <v>Não aplicável</v>
      </c>
      <c r="J1067" s="26"/>
    </row>
    <row r="1068" spans="1:10" ht="16.05" customHeight="1" x14ac:dyDescent="0.3">
      <c r="A1068" s="26" t="s">
        <v>727</v>
      </c>
      <c r="B1068" s="26" t="s">
        <v>1170</v>
      </c>
      <c r="C1068" s="33" t="str">
        <f>IFERROR(INDEX(tbl_requisitos_emb[Tema],MATCH(B1068,tbl_requisitos_emb[ID_Req],0)),"")</f>
        <v>Boas práticas de fabrico FCM</v>
      </c>
      <c r="D1068" s="33" t="str">
        <f>IFERROR(INDEX(tbl_recyclass[Segmento],MATCH(A1068,tbl_recyclass[ProductId],0)),"")</f>
        <v>Cosmética e higiene pessoal</v>
      </c>
      <c r="E1068" s="26" t="s">
        <v>904</v>
      </c>
      <c r="F1068" s="26" t="s">
        <v>1450</v>
      </c>
      <c r="G1068" s="26" t="s">
        <v>1143</v>
      </c>
      <c r="H1068" s="33" t="str">
        <f>IF(E1068="Não","Não aplicável",IFERROR(IF(B1068="EU-ENV-002",IF(INDEX(tbl_recyclass[Conforme_PPWR_2030],MATCH(A1068,tbl_recyclass[ProductId],0))="Sim","Conforme (autoavaliação)",IF(INDEX(tbl_recyclass[Conforme_PPWR_2030],MATCH(A1068,tbl_recyclass[ProductId],0))="Não","Não conforme em 2030","Isento até 2035")),IF(B1068="EU-ENV-003",IF(INDEX(tbl_recyclass[Conforme_Art7_2030],MATCH(A1068,tbl_recyclass[ProductId],0))="Sim","Conforme (meta 2030)",IF(INDEX(tbl_recyclass[Conforme_Art7_2030],MATCH(A1068,tbl_recyclass[ProductId],0))="Não","Lacuna face à meta 2030","Isento")),IF(B1068="EU-ENV-011",IF(INDEX(tbl_familias_ppwr[Metais_Pesados_Evidencia],MATCH(INDEX(tbl_recyclass[Familia_PPWR],MATCH(A1068,tbl_recyclass[ProductId],0)),tbl_familias_ppwr[ID_Familia],0))="Em falta","Lacuna","Conforme"),IF(B1068="EU-ENV-013",IF(INDEX(tbl_familias_ppwr[Declaracao_UE],MATCH(INDEX(tbl_recyclass[Familia_PPWR],MATCH(A1068,tbl_recyclass[ProductId],0)),tbl_familias_ppwr[ID_Familia],0))="Sim","Conforme","Lacuna"),G1068)))),G1068))</f>
        <v>Não aplicável</v>
      </c>
      <c r="I1068" s="33" t="str">
        <f t="shared" si="16"/>
        <v>Não aplicável</v>
      </c>
      <c r="J1068" s="26"/>
    </row>
    <row r="1069" spans="1:10" ht="16.05" customHeight="1" x14ac:dyDescent="0.3">
      <c r="A1069" s="26" t="s">
        <v>727</v>
      </c>
      <c r="B1069" s="26" t="s">
        <v>1179</v>
      </c>
      <c r="C1069" s="33" t="str">
        <f>IFERROR(INDEX(tbl_requisitos_emb[Tema],MATCH(B1069,tbl_requisitos_emb[ID_Req],0)),"")</f>
        <v>Bisfenol A e bisfenóis perigosos</v>
      </c>
      <c r="D1069" s="33" t="str">
        <f>IFERROR(INDEX(tbl_recyclass[Segmento],MATCH(A1069,tbl_recyclass[ProductId],0)),"")</f>
        <v>Cosmética e higiene pessoal</v>
      </c>
      <c r="E1069" s="26" t="s">
        <v>904</v>
      </c>
      <c r="F1069" s="26" t="s">
        <v>1450</v>
      </c>
      <c r="G1069" s="26" t="s">
        <v>1143</v>
      </c>
      <c r="H1069" s="33" t="str">
        <f>IF(E1069="Não","Não aplicável",IFERROR(IF(B1069="EU-ENV-002",IF(INDEX(tbl_recyclass[Conforme_PPWR_2030],MATCH(A1069,tbl_recyclass[ProductId],0))="Sim","Conforme (autoavaliação)",IF(INDEX(tbl_recyclass[Conforme_PPWR_2030],MATCH(A1069,tbl_recyclass[ProductId],0))="Não","Não conforme em 2030","Isento até 2035")),IF(B1069="EU-ENV-003",IF(INDEX(tbl_recyclass[Conforme_Art7_2030],MATCH(A1069,tbl_recyclass[ProductId],0))="Sim","Conforme (meta 2030)",IF(INDEX(tbl_recyclass[Conforme_Art7_2030],MATCH(A1069,tbl_recyclass[ProductId],0))="Não","Lacuna face à meta 2030","Isento")),IF(B1069="EU-ENV-011",IF(INDEX(tbl_familias_ppwr[Metais_Pesados_Evidencia],MATCH(INDEX(tbl_recyclass[Familia_PPWR],MATCH(A1069,tbl_recyclass[ProductId],0)),tbl_familias_ppwr[ID_Familia],0))="Em falta","Lacuna","Conforme"),IF(B1069="EU-ENV-013",IF(INDEX(tbl_familias_ppwr[Declaracao_UE],MATCH(INDEX(tbl_recyclass[Familia_PPWR],MATCH(A1069,tbl_recyclass[ProductId],0)),tbl_familias_ppwr[ID_Familia],0))="Sim","Conforme","Lacuna"),G1069)))),G1069))</f>
        <v>Não aplicável</v>
      </c>
      <c r="I1069" s="33" t="str">
        <f t="shared" si="16"/>
        <v>Não aplicável</v>
      </c>
      <c r="J1069" s="26"/>
    </row>
    <row r="1070" spans="1:10" ht="16.05" customHeight="1" x14ac:dyDescent="0.3">
      <c r="A1070" s="26" t="s">
        <v>727</v>
      </c>
      <c r="B1070" s="26" t="s">
        <v>1188</v>
      </c>
      <c r="C1070" s="33" t="str">
        <f>IFERROR(INDEX(tbl_requisitos_emb[Tema],MATCH(B1070,tbl_requisitos_emb[ID_Req],0)),"")</f>
        <v>Plásticos em contacto com alimentos</v>
      </c>
      <c r="D1070" s="33" t="str">
        <f>IFERROR(INDEX(tbl_recyclass[Segmento],MATCH(A1070,tbl_recyclass[ProductId],0)),"")</f>
        <v>Cosmética e higiene pessoal</v>
      </c>
      <c r="E1070" s="26" t="s">
        <v>904</v>
      </c>
      <c r="F1070" s="26" t="s">
        <v>1450</v>
      </c>
      <c r="G1070" s="26" t="s">
        <v>1143</v>
      </c>
      <c r="H1070" s="33" t="str">
        <f>IF(E1070="Não","Não aplicável",IFERROR(IF(B1070="EU-ENV-002",IF(INDEX(tbl_recyclass[Conforme_PPWR_2030],MATCH(A1070,tbl_recyclass[ProductId],0))="Sim","Conforme (autoavaliação)",IF(INDEX(tbl_recyclass[Conforme_PPWR_2030],MATCH(A1070,tbl_recyclass[ProductId],0))="Não","Não conforme em 2030","Isento até 2035")),IF(B1070="EU-ENV-003",IF(INDEX(tbl_recyclass[Conforme_Art7_2030],MATCH(A1070,tbl_recyclass[ProductId],0))="Sim","Conforme (meta 2030)",IF(INDEX(tbl_recyclass[Conforme_Art7_2030],MATCH(A1070,tbl_recyclass[ProductId],0))="Não","Lacuna face à meta 2030","Isento")),IF(B1070="EU-ENV-011",IF(INDEX(tbl_familias_ppwr[Metais_Pesados_Evidencia],MATCH(INDEX(tbl_recyclass[Familia_PPWR],MATCH(A1070,tbl_recyclass[ProductId],0)),tbl_familias_ppwr[ID_Familia],0))="Em falta","Lacuna","Conforme"),IF(B1070="EU-ENV-013",IF(INDEX(tbl_familias_ppwr[Declaracao_UE],MATCH(INDEX(tbl_recyclass[Familia_PPWR],MATCH(A1070,tbl_recyclass[ProductId],0)),tbl_familias_ppwr[ID_Familia],0))="Sim","Conforme","Lacuna"),G1070)))),G1070))</f>
        <v>Não aplicável</v>
      </c>
      <c r="I1070" s="33" t="str">
        <f t="shared" si="16"/>
        <v>Não aplicável</v>
      </c>
      <c r="J1070" s="26"/>
    </row>
    <row r="1071" spans="1:10" ht="16.05" customHeight="1" x14ac:dyDescent="0.3">
      <c r="A1071" s="26" t="s">
        <v>727</v>
      </c>
      <c r="B1071" s="26" t="s">
        <v>1212</v>
      </c>
      <c r="C1071" s="33" t="str">
        <f>IFERROR(INDEX(tbl_requisitos_emb[Tema],MATCH(B1071,tbl_requisitos_emb[ID_Req],0)),"")</f>
        <v>Segurança do produto cosmético</v>
      </c>
      <c r="D1071" s="33" t="str">
        <f>IFERROR(INDEX(tbl_recyclass[Segmento],MATCH(A1071,tbl_recyclass[ProductId],0)),"")</f>
        <v>Cosmética e higiene pessoal</v>
      </c>
      <c r="E1071" s="26" t="s">
        <v>901</v>
      </c>
      <c r="F1071" s="26" t="s">
        <v>1449</v>
      </c>
      <c r="G1071" s="26" t="s">
        <v>1033</v>
      </c>
      <c r="H1071" s="33" t="str">
        <f>IF(E1071="Não","Não aplicável",IFERROR(IF(B1071="EU-ENV-002",IF(INDEX(tbl_recyclass[Conforme_PPWR_2030],MATCH(A1071,tbl_recyclass[ProductId],0))="Sim","Conforme (autoavaliação)",IF(INDEX(tbl_recyclass[Conforme_PPWR_2030],MATCH(A1071,tbl_recyclass[ProductId],0))="Não","Não conforme em 2030","Isento até 2035")),IF(B1071="EU-ENV-003",IF(INDEX(tbl_recyclass[Conforme_Art7_2030],MATCH(A1071,tbl_recyclass[ProductId],0))="Sim","Conforme (meta 2030)",IF(INDEX(tbl_recyclass[Conforme_Art7_2030],MATCH(A1071,tbl_recyclass[ProductId],0))="Não","Lacuna face à meta 2030","Isento")),IF(B1071="EU-ENV-011",IF(INDEX(tbl_familias_ppwr[Metais_Pesados_Evidencia],MATCH(INDEX(tbl_recyclass[Familia_PPWR],MATCH(A1071,tbl_recyclass[ProductId],0)),tbl_familias_ppwr[ID_Familia],0))="Em falta","Lacuna","Conforme"),IF(B1071="EU-ENV-013",IF(INDEX(tbl_familias_ppwr[Declaracao_UE],MATCH(INDEX(tbl_recyclass[Familia_PPWR],MATCH(A1071,tbl_recyclass[ProductId],0)),tbl_familias_ppwr[ID_Familia],0))="Sim","Conforme","Lacuna"),G1071)))),G1071))</f>
        <v>Conforme</v>
      </c>
      <c r="I1071" s="33" t="str">
        <f t="shared" si="16"/>
        <v>Conforme</v>
      </c>
      <c r="J1071" s="26" t="s">
        <v>1221</v>
      </c>
    </row>
    <row r="1072" spans="1:10" ht="16.05" customHeight="1" x14ac:dyDescent="0.3">
      <c r="A1072" s="26" t="s">
        <v>727</v>
      </c>
      <c r="B1072" s="26" t="s">
        <v>1224</v>
      </c>
      <c r="C1072" s="33" t="str">
        <f>IFERROR(INDEX(tbl_requisitos_emb[Tema],MATCH(B1072,tbl_requisitos_emb[ID_Req],0)),"")</f>
        <v>Materiais e impurezas</v>
      </c>
      <c r="D1072" s="33" t="str">
        <f>IFERROR(INDEX(tbl_recyclass[Segmento],MATCH(A1072,tbl_recyclass[ProductId],0)),"")</f>
        <v>Cosmética e higiene pessoal</v>
      </c>
      <c r="E1072" s="26" t="s">
        <v>901</v>
      </c>
      <c r="F1072" s="26" t="s">
        <v>1449</v>
      </c>
      <c r="G1072" s="26" t="s">
        <v>978</v>
      </c>
      <c r="H1072" s="33" t="str">
        <f>IF(E1072="Não","Não aplicável",IFERROR(IF(B1072="EU-ENV-002",IF(INDEX(tbl_recyclass[Conforme_PPWR_2030],MATCH(A1072,tbl_recyclass[ProductId],0))="Sim","Conforme (autoavaliação)",IF(INDEX(tbl_recyclass[Conforme_PPWR_2030],MATCH(A1072,tbl_recyclass[ProductId],0))="Não","Não conforme em 2030","Isento até 2035")),IF(B1072="EU-ENV-003",IF(INDEX(tbl_recyclass[Conforme_Art7_2030],MATCH(A1072,tbl_recyclass[ProductId],0))="Sim","Conforme (meta 2030)",IF(INDEX(tbl_recyclass[Conforme_Art7_2030],MATCH(A1072,tbl_recyclass[ProductId],0))="Não","Lacuna face à meta 2030","Isento")),IF(B1072="EU-ENV-011",IF(INDEX(tbl_familias_ppwr[Metais_Pesados_Evidencia],MATCH(INDEX(tbl_recyclass[Familia_PPWR],MATCH(A1072,tbl_recyclass[ProductId],0)),tbl_familias_ppwr[ID_Familia],0))="Em falta","Lacuna","Conforme"),IF(B1072="EU-ENV-013",IF(INDEX(tbl_familias_ppwr[Declaracao_UE],MATCH(INDEX(tbl_recyclass[Familia_PPWR],MATCH(A1072,tbl_recyclass[ProductId],0)),tbl_familias_ppwr[ID_Familia],0))="Sim","Conforme","Lacuna"),G1072)))),G1072))</f>
        <v>Parcial</v>
      </c>
      <c r="I1072" s="33" t="str">
        <f t="shared" si="16"/>
        <v>Parcial</v>
      </c>
      <c r="J1072" s="26" t="s">
        <v>1228</v>
      </c>
    </row>
    <row r="1073" spans="1:10" ht="16.05" customHeight="1" x14ac:dyDescent="0.3">
      <c r="A1073" s="26" t="s">
        <v>727</v>
      </c>
      <c r="B1073" s="26" t="s">
        <v>1240</v>
      </c>
      <c r="C1073" s="33" t="str">
        <f>IFERROR(INDEX(tbl_requisitos_emb[Tema],MATCH(B1073,tbl_requisitos_emb[ID_Req],0)),"")</f>
        <v>Compatibilidade embalagem–produto</v>
      </c>
      <c r="D1073" s="33" t="str">
        <f>IFERROR(INDEX(tbl_recyclass[Segmento],MATCH(A1073,tbl_recyclass[ProductId],0)),"")</f>
        <v>Cosmética e higiene pessoal</v>
      </c>
      <c r="E1073" s="26" t="s">
        <v>901</v>
      </c>
      <c r="F1073" s="26" t="s">
        <v>1449</v>
      </c>
      <c r="G1073" s="26" t="s">
        <v>1033</v>
      </c>
      <c r="H1073" s="33" t="str">
        <f>IF(E1073="Não","Não aplicável",IFERROR(IF(B1073="EU-ENV-002",IF(INDEX(tbl_recyclass[Conforme_PPWR_2030],MATCH(A1073,tbl_recyclass[ProductId],0))="Sim","Conforme (autoavaliação)",IF(INDEX(tbl_recyclass[Conforme_PPWR_2030],MATCH(A1073,tbl_recyclass[ProductId],0))="Não","Não conforme em 2030","Isento até 2035")),IF(B1073="EU-ENV-003",IF(INDEX(tbl_recyclass[Conforme_Art7_2030],MATCH(A1073,tbl_recyclass[ProductId],0))="Sim","Conforme (meta 2030)",IF(INDEX(tbl_recyclass[Conforme_Art7_2030],MATCH(A1073,tbl_recyclass[ProductId],0))="Não","Lacuna face à meta 2030","Isento")),IF(B1073="EU-ENV-011",IF(INDEX(tbl_familias_ppwr[Metais_Pesados_Evidencia],MATCH(INDEX(tbl_recyclass[Familia_PPWR],MATCH(A1073,tbl_recyclass[ProductId],0)),tbl_familias_ppwr[ID_Familia],0))="Em falta","Lacuna","Conforme"),IF(B1073="EU-ENV-013",IF(INDEX(tbl_familias_ppwr[Declaracao_UE],MATCH(INDEX(tbl_recyclass[Familia_PPWR],MATCH(A1073,tbl_recyclass[ProductId],0)),tbl_familias_ppwr[ID_Familia],0))="Sim","Conforme","Lacuna"),G1073)))),G1073))</f>
        <v>Conforme</v>
      </c>
      <c r="I1073" s="33" t="str">
        <f t="shared" si="16"/>
        <v>Conforme</v>
      </c>
      <c r="J1073" s="26" t="s">
        <v>1244</v>
      </c>
    </row>
    <row r="1074" spans="1:10" ht="16.05" customHeight="1" x14ac:dyDescent="0.3">
      <c r="A1074" s="26" t="s">
        <v>727</v>
      </c>
      <c r="B1074" s="26" t="s">
        <v>1252</v>
      </c>
      <c r="C1074" s="33" t="str">
        <f>IFERROR(INDEX(tbl_requisitos_emb[Tema],MATCH(B1074,tbl_requisitos_emb[ID_Req],0)),"")</f>
        <v>Medicamentos de uso humano</v>
      </c>
      <c r="D1074" s="33" t="str">
        <f>IFERROR(INDEX(tbl_recyclass[Segmento],MATCH(A1074,tbl_recyclass[ProductId],0)),"")</f>
        <v>Cosmética e higiene pessoal</v>
      </c>
      <c r="E1074" s="26" t="s">
        <v>904</v>
      </c>
      <c r="F1074" s="26" t="s">
        <v>1451</v>
      </c>
      <c r="G1074" s="26" t="s">
        <v>1143</v>
      </c>
      <c r="H1074" s="33" t="str">
        <f>IF(E1074="Não","Não aplicável",IFERROR(IF(B1074="EU-ENV-002",IF(INDEX(tbl_recyclass[Conforme_PPWR_2030],MATCH(A1074,tbl_recyclass[ProductId],0))="Sim","Conforme (autoavaliação)",IF(INDEX(tbl_recyclass[Conforme_PPWR_2030],MATCH(A1074,tbl_recyclass[ProductId],0))="Não","Não conforme em 2030","Isento até 2035")),IF(B1074="EU-ENV-003",IF(INDEX(tbl_recyclass[Conforme_Art7_2030],MATCH(A1074,tbl_recyclass[ProductId],0))="Sim","Conforme (meta 2030)",IF(INDEX(tbl_recyclass[Conforme_Art7_2030],MATCH(A1074,tbl_recyclass[ProductId],0))="Não","Lacuna face à meta 2030","Isento")),IF(B1074="EU-ENV-011",IF(INDEX(tbl_familias_ppwr[Metais_Pesados_Evidencia],MATCH(INDEX(tbl_recyclass[Familia_PPWR],MATCH(A1074,tbl_recyclass[ProductId],0)),tbl_familias_ppwr[ID_Familia],0))="Em falta","Lacuna","Conforme"),IF(B1074="EU-ENV-013",IF(INDEX(tbl_familias_ppwr[Declaracao_UE],MATCH(INDEX(tbl_recyclass[Familia_PPWR],MATCH(A1074,tbl_recyclass[ProductId],0)),tbl_familias_ppwr[ID_Familia],0))="Sim","Conforme","Lacuna"),G1074)))),G1074))</f>
        <v>Não aplicável</v>
      </c>
      <c r="I1074" s="33" t="str">
        <f t="shared" si="16"/>
        <v>Não aplicável</v>
      </c>
      <c r="J1074" s="26"/>
    </row>
    <row r="1075" spans="1:10" ht="16.05" customHeight="1" x14ac:dyDescent="0.3">
      <c r="A1075" s="26" t="s">
        <v>727</v>
      </c>
      <c r="B1075" s="26" t="s">
        <v>1268</v>
      </c>
      <c r="C1075" s="33" t="str">
        <f>IFERROR(INDEX(tbl_requisitos_emb[Tema],MATCH(B1075,tbl_requisitos_emb[ID_Req],0)),"")</f>
        <v>Dispositivos de segurança</v>
      </c>
      <c r="D1075" s="33" t="str">
        <f>IFERROR(INDEX(tbl_recyclass[Segmento],MATCH(A1075,tbl_recyclass[ProductId],0)),"")</f>
        <v>Cosmética e higiene pessoal</v>
      </c>
      <c r="E1075" s="26" t="s">
        <v>904</v>
      </c>
      <c r="F1075" s="26" t="s">
        <v>1451</v>
      </c>
      <c r="G1075" s="26" t="s">
        <v>1143</v>
      </c>
      <c r="H1075" s="33" t="str">
        <f>IF(E1075="Não","Não aplicável",IFERROR(IF(B1075="EU-ENV-002",IF(INDEX(tbl_recyclass[Conforme_PPWR_2030],MATCH(A1075,tbl_recyclass[ProductId],0))="Sim","Conforme (autoavaliação)",IF(INDEX(tbl_recyclass[Conforme_PPWR_2030],MATCH(A1075,tbl_recyclass[ProductId],0))="Não","Não conforme em 2030","Isento até 2035")),IF(B1075="EU-ENV-003",IF(INDEX(tbl_recyclass[Conforme_Art7_2030],MATCH(A1075,tbl_recyclass[ProductId],0))="Sim","Conforme (meta 2030)",IF(INDEX(tbl_recyclass[Conforme_Art7_2030],MATCH(A1075,tbl_recyclass[ProductId],0))="Não","Lacuna face à meta 2030","Isento")),IF(B1075="EU-ENV-011",IF(INDEX(tbl_familias_ppwr[Metais_Pesados_Evidencia],MATCH(INDEX(tbl_recyclass[Familia_PPWR],MATCH(A1075,tbl_recyclass[ProductId],0)),tbl_familias_ppwr[ID_Familia],0))="Em falta","Lacuna","Conforme"),IF(B1075="EU-ENV-013",IF(INDEX(tbl_familias_ppwr[Declaracao_UE],MATCH(INDEX(tbl_recyclass[Familia_PPWR],MATCH(A1075,tbl_recyclass[ProductId],0)),tbl_familias_ppwr[ID_Familia],0))="Sim","Conforme","Lacuna"),G1075)))),G1075))</f>
        <v>Não aplicável</v>
      </c>
      <c r="I1075" s="33" t="str">
        <f t="shared" si="16"/>
        <v>Não aplicável</v>
      </c>
      <c r="J1075" s="26"/>
    </row>
    <row r="1076" spans="1:10" ht="16.05" customHeight="1" x14ac:dyDescent="0.3">
      <c r="A1076" s="26" t="s">
        <v>727</v>
      </c>
      <c r="B1076" s="26" t="s">
        <v>1285</v>
      </c>
      <c r="C1076" s="33" t="str">
        <f>IFERROR(INDEX(tbl_requisitos_emb[Tema],MATCH(B1076,tbl_requisitos_emb[ID_Req],0)),"")</f>
        <v>Materiais plásticos de acondicionamento primário</v>
      </c>
      <c r="D1076" s="33" t="str">
        <f>IFERROR(INDEX(tbl_recyclass[Segmento],MATCH(A1076,tbl_recyclass[ProductId],0)),"")</f>
        <v>Cosmética e higiene pessoal</v>
      </c>
      <c r="E1076" s="26" t="s">
        <v>904</v>
      </c>
      <c r="F1076" s="26" t="s">
        <v>1451</v>
      </c>
      <c r="G1076" s="26" t="s">
        <v>1143</v>
      </c>
      <c r="H1076" s="33" t="str">
        <f>IF(E1076="Não","Não aplicável",IFERROR(IF(B1076="EU-ENV-002",IF(INDEX(tbl_recyclass[Conforme_PPWR_2030],MATCH(A1076,tbl_recyclass[ProductId],0))="Sim","Conforme (autoavaliação)",IF(INDEX(tbl_recyclass[Conforme_PPWR_2030],MATCH(A1076,tbl_recyclass[ProductId],0))="Não","Não conforme em 2030","Isento até 2035")),IF(B1076="EU-ENV-003",IF(INDEX(tbl_recyclass[Conforme_Art7_2030],MATCH(A1076,tbl_recyclass[ProductId],0))="Sim","Conforme (meta 2030)",IF(INDEX(tbl_recyclass[Conforme_Art7_2030],MATCH(A1076,tbl_recyclass[ProductId],0))="Não","Lacuna face à meta 2030","Isento")),IF(B1076="EU-ENV-011",IF(INDEX(tbl_familias_ppwr[Metais_Pesados_Evidencia],MATCH(INDEX(tbl_recyclass[Familia_PPWR],MATCH(A1076,tbl_recyclass[ProductId],0)),tbl_familias_ppwr[ID_Familia],0))="Em falta","Lacuna","Conforme"),IF(B1076="EU-ENV-013",IF(INDEX(tbl_familias_ppwr[Declaracao_UE],MATCH(INDEX(tbl_recyclass[Familia_PPWR],MATCH(A1076,tbl_recyclass[ProductId],0)),tbl_familias_ppwr[ID_Familia],0))="Sim","Conforme","Lacuna"),G1076)))),G1076))</f>
        <v>Não aplicável</v>
      </c>
      <c r="I1076" s="33" t="str">
        <f t="shared" si="16"/>
        <v>Não aplicável</v>
      </c>
      <c r="J1076" s="26"/>
    </row>
    <row r="1077" spans="1:10" ht="16.05" customHeight="1" x14ac:dyDescent="0.3">
      <c r="A1077" s="26" t="s">
        <v>727</v>
      </c>
      <c r="B1077" s="26" t="s">
        <v>1293</v>
      </c>
      <c r="C1077" s="33" t="str">
        <f>IFERROR(INDEX(tbl_requisitos_emb[Tema],MATCH(B1077,tbl_requisitos_emb[ID_Req],0)),"")</f>
        <v>Isenções PPWR</v>
      </c>
      <c r="D1077" s="33" t="str">
        <f>IFERROR(INDEX(tbl_recyclass[Segmento],MATCH(A1077,tbl_recyclass[ProductId],0)),"")</f>
        <v>Cosmética e higiene pessoal</v>
      </c>
      <c r="E1077" s="26" t="s">
        <v>904</v>
      </c>
      <c r="F1077" s="26" t="s">
        <v>1451</v>
      </c>
      <c r="G1077" s="26" t="s">
        <v>1143</v>
      </c>
      <c r="H1077" s="33" t="str">
        <f>IF(E1077="Não","Não aplicável",IFERROR(IF(B1077="EU-ENV-002",IF(INDEX(tbl_recyclass[Conforme_PPWR_2030],MATCH(A1077,tbl_recyclass[ProductId],0))="Sim","Conforme (autoavaliação)",IF(INDEX(tbl_recyclass[Conforme_PPWR_2030],MATCH(A1077,tbl_recyclass[ProductId],0))="Não","Não conforme em 2030","Isento até 2035")),IF(B1077="EU-ENV-003",IF(INDEX(tbl_recyclass[Conforme_Art7_2030],MATCH(A1077,tbl_recyclass[ProductId],0))="Sim","Conforme (meta 2030)",IF(INDEX(tbl_recyclass[Conforme_Art7_2030],MATCH(A1077,tbl_recyclass[ProductId],0))="Não","Lacuna face à meta 2030","Isento")),IF(B1077="EU-ENV-011",IF(INDEX(tbl_familias_ppwr[Metais_Pesados_Evidencia],MATCH(INDEX(tbl_recyclass[Familia_PPWR],MATCH(A1077,tbl_recyclass[ProductId],0)),tbl_familias_ppwr[ID_Familia],0))="Em falta","Lacuna","Conforme"),IF(B1077="EU-ENV-013",IF(INDEX(tbl_familias_ppwr[Declaracao_UE],MATCH(INDEX(tbl_recyclass[Familia_PPWR],MATCH(A1077,tbl_recyclass[ProductId],0)),tbl_familias_ppwr[ID_Familia],0))="Sim","Conforme","Lacuna"),G1077)))),G1077))</f>
        <v>Não aplicável</v>
      </c>
      <c r="I1077" s="33" t="str">
        <f t="shared" si="16"/>
        <v>Não aplicável</v>
      </c>
      <c r="J1077" s="26"/>
    </row>
    <row r="1078" spans="1:10" ht="16.05" customHeight="1" x14ac:dyDescent="0.3">
      <c r="A1078" s="26" t="s">
        <v>727</v>
      </c>
      <c r="B1078" s="26" t="s">
        <v>1357</v>
      </c>
      <c r="C1078" s="33" t="str">
        <f>IFERROR(INDEX(tbl_requisitos_emb[Tema],MATCH(B1078,tbl_requisitos_emb[ID_Req],0)),"")</f>
        <v>Identificação de plásticos</v>
      </c>
      <c r="D1078" s="33" t="str">
        <f>IFERROR(INDEX(tbl_recyclass[Segmento],MATCH(A1078,tbl_recyclass[ProductId],0)),"")</f>
        <v>Cosmética e higiene pessoal</v>
      </c>
      <c r="E1078" s="26" t="s">
        <v>901</v>
      </c>
      <c r="F1078" s="26" t="s">
        <v>1449</v>
      </c>
      <c r="G1078" s="26" t="s">
        <v>978</v>
      </c>
      <c r="H1078" s="33" t="str">
        <f>IF(E1078="Não","Não aplicável",IFERROR(IF(B1078="EU-ENV-002",IF(INDEX(tbl_recyclass[Conforme_PPWR_2030],MATCH(A1078,tbl_recyclass[ProductId],0))="Sim","Conforme (autoavaliação)",IF(INDEX(tbl_recyclass[Conforme_PPWR_2030],MATCH(A1078,tbl_recyclass[ProductId],0))="Não","Não conforme em 2030","Isento até 2035")),IF(B1078="EU-ENV-003",IF(INDEX(tbl_recyclass[Conforme_Art7_2030],MATCH(A1078,tbl_recyclass[ProductId],0))="Sim","Conforme (meta 2030)",IF(INDEX(tbl_recyclass[Conforme_Art7_2030],MATCH(A1078,tbl_recyclass[ProductId],0))="Não","Lacuna face à meta 2030","Isento")),IF(B1078="EU-ENV-011",IF(INDEX(tbl_familias_ppwr[Metais_Pesados_Evidencia],MATCH(INDEX(tbl_recyclass[Familia_PPWR],MATCH(A1078,tbl_recyclass[ProductId],0)),tbl_familias_ppwr[ID_Familia],0))="Em falta","Lacuna","Conforme"),IF(B1078="EU-ENV-013",IF(INDEX(tbl_familias_ppwr[Declaracao_UE],MATCH(INDEX(tbl_recyclass[Familia_PPWR],MATCH(A1078,tbl_recyclass[ProductId],0)),tbl_familias_ppwr[ID_Familia],0))="Sim","Conforme","Lacuna"),G1078)))),G1078))</f>
        <v>Parcial</v>
      </c>
      <c r="I1078" s="33" t="str">
        <f t="shared" si="16"/>
        <v>Parcial</v>
      </c>
      <c r="J1078" s="26" t="s">
        <v>1362</v>
      </c>
    </row>
    <row r="1079" spans="1:10" ht="16.05" customHeight="1" x14ac:dyDescent="0.3">
      <c r="A1079" s="26" t="s">
        <v>727</v>
      </c>
      <c r="B1079" s="26" t="s">
        <v>1385</v>
      </c>
      <c r="C1079" s="33" t="str">
        <f>IFERROR(INDEX(tbl_requisitos_emb[Tema],MATCH(B1079,tbl_requisitos_emb[ID_Req],0)),"")</f>
        <v>Reciclabilidade (voluntária)</v>
      </c>
      <c r="D1079" s="33" t="str">
        <f>IFERROR(INDEX(tbl_recyclass[Segmento],MATCH(A1079,tbl_recyclass[ProductId],0)),"")</f>
        <v>Cosmética e higiene pessoal</v>
      </c>
      <c r="E1079" s="26" t="s">
        <v>901</v>
      </c>
      <c r="F1079" s="26" t="s">
        <v>1449</v>
      </c>
      <c r="G1079" s="26" t="s">
        <v>978</v>
      </c>
      <c r="H1079" s="33" t="str">
        <f>IF(E1079="Não","Não aplicável",IFERROR(IF(B1079="EU-ENV-002",IF(INDEX(tbl_recyclass[Conforme_PPWR_2030],MATCH(A1079,tbl_recyclass[ProductId],0))="Sim","Conforme (autoavaliação)",IF(INDEX(tbl_recyclass[Conforme_PPWR_2030],MATCH(A1079,tbl_recyclass[ProductId],0))="Não","Não conforme em 2030","Isento até 2035")),IF(B1079="EU-ENV-003",IF(INDEX(tbl_recyclass[Conforme_Art7_2030],MATCH(A1079,tbl_recyclass[ProductId],0))="Sim","Conforme (meta 2030)",IF(INDEX(tbl_recyclass[Conforme_Art7_2030],MATCH(A1079,tbl_recyclass[ProductId],0))="Não","Lacuna face à meta 2030","Isento")),IF(B1079="EU-ENV-011",IF(INDEX(tbl_familias_ppwr[Metais_Pesados_Evidencia],MATCH(INDEX(tbl_recyclass[Familia_PPWR],MATCH(A1079,tbl_recyclass[ProductId],0)),tbl_familias_ppwr[ID_Familia],0))="Em falta","Lacuna","Conforme"),IF(B1079="EU-ENV-013",IF(INDEX(tbl_familias_ppwr[Declaracao_UE],MATCH(INDEX(tbl_recyclass[Familia_PPWR],MATCH(A1079,tbl_recyclass[ProductId],0)),tbl_familias_ppwr[ID_Familia],0))="Sim","Conforme","Lacuna"),G1079)))),G1079))</f>
        <v>Parcial</v>
      </c>
      <c r="I1079" s="33" t="str">
        <f t="shared" si="16"/>
        <v>Parcial</v>
      </c>
      <c r="J1079" s="26" t="s">
        <v>1389</v>
      </c>
    </row>
    <row r="1080" spans="1:10" ht="16.05" customHeight="1" x14ac:dyDescent="0.3">
      <c r="A1080" s="26" t="s">
        <v>730</v>
      </c>
      <c r="B1080" s="26" t="s">
        <v>984</v>
      </c>
      <c r="C1080" s="33" t="str">
        <f>IFERROR(INDEX(tbl_requisitos_emb[Tema],MATCH(B1080,tbl_requisitos_emb[ID_Req],0)),"")</f>
        <v>Conceção para reciclagem</v>
      </c>
      <c r="D1080" s="33" t="str">
        <f>IFERROR(INDEX(tbl_recyclass[Segmento],MATCH(A1080,tbl_recyclass[ProductId],0)),"")</f>
        <v>Cosmética e higiene pessoal</v>
      </c>
      <c r="E1080" s="26" t="s">
        <v>901</v>
      </c>
      <c r="F1080" s="26" t="s">
        <v>1449</v>
      </c>
      <c r="G1080" s="26" t="s">
        <v>978</v>
      </c>
      <c r="H1080" s="33" t="str">
        <f>IF(E1080="Não","Não aplicável",IFERROR(IF(B1080="EU-ENV-002",IF(INDEX(tbl_recyclass[Conforme_PPWR_2030],MATCH(A1080,tbl_recyclass[ProductId],0))="Sim","Conforme (autoavaliação)",IF(INDEX(tbl_recyclass[Conforme_PPWR_2030],MATCH(A1080,tbl_recyclass[ProductId],0))="Não","Não conforme em 2030","Isento até 2035")),IF(B1080="EU-ENV-003",IF(INDEX(tbl_recyclass[Conforme_Art7_2030],MATCH(A1080,tbl_recyclass[ProductId],0))="Sim","Conforme (meta 2030)",IF(INDEX(tbl_recyclass[Conforme_Art7_2030],MATCH(A1080,tbl_recyclass[ProductId],0))="Não","Lacuna face à meta 2030","Isento")),IF(B1080="EU-ENV-011",IF(INDEX(tbl_familias_ppwr[Metais_Pesados_Evidencia],MATCH(INDEX(tbl_recyclass[Familia_PPWR],MATCH(A1080,tbl_recyclass[ProductId],0)),tbl_familias_ppwr[ID_Familia],0))="Em falta","Lacuna","Conforme"),IF(B1080="EU-ENV-013",IF(INDEX(tbl_familias_ppwr[Declaracao_UE],MATCH(INDEX(tbl_recyclass[Familia_PPWR],MATCH(A1080,tbl_recyclass[ProductId],0)),tbl_familias_ppwr[ID_Familia],0))="Sim","Conforme","Lacuna"),G1080)))),G1080))</f>
        <v>Conforme (autoavaliação)</v>
      </c>
      <c r="I1080" s="33" t="str">
        <f t="shared" si="16"/>
        <v>Conforme</v>
      </c>
      <c r="J1080" s="26" t="s">
        <v>991</v>
      </c>
    </row>
    <row r="1081" spans="1:10" ht="16.05" customHeight="1" x14ac:dyDescent="0.3">
      <c r="A1081" s="26" t="s">
        <v>730</v>
      </c>
      <c r="B1081" s="26" t="s">
        <v>997</v>
      </c>
      <c r="C1081" s="33" t="str">
        <f>IFERROR(INDEX(tbl_requisitos_emb[Tema],MATCH(B1081,tbl_requisitos_emb[ID_Req],0)),"")</f>
        <v>Conteúdo reciclado</v>
      </c>
      <c r="D1081" s="33" t="str">
        <f>IFERROR(INDEX(tbl_recyclass[Segmento],MATCH(A1081,tbl_recyclass[ProductId],0)),"")</f>
        <v>Cosmética e higiene pessoal</v>
      </c>
      <c r="E1081" s="26" t="s">
        <v>901</v>
      </c>
      <c r="F1081" s="26" t="s">
        <v>1449</v>
      </c>
      <c r="G1081" s="26" t="s">
        <v>978</v>
      </c>
      <c r="H1081" s="33" t="str">
        <f>IF(E1081="Não","Não aplicável",IFERROR(IF(B1081="EU-ENV-002",IF(INDEX(tbl_recyclass[Conforme_PPWR_2030],MATCH(A1081,tbl_recyclass[ProductId],0))="Sim","Conforme (autoavaliação)",IF(INDEX(tbl_recyclass[Conforme_PPWR_2030],MATCH(A1081,tbl_recyclass[ProductId],0))="Não","Não conforme em 2030","Isento até 2035")),IF(B1081="EU-ENV-003",IF(INDEX(tbl_recyclass[Conforme_Art7_2030],MATCH(A1081,tbl_recyclass[ProductId],0))="Sim","Conforme (meta 2030)",IF(INDEX(tbl_recyclass[Conforme_Art7_2030],MATCH(A1081,tbl_recyclass[ProductId],0))="Não","Lacuna face à meta 2030","Isento")),IF(B1081="EU-ENV-011",IF(INDEX(tbl_familias_ppwr[Metais_Pesados_Evidencia],MATCH(INDEX(tbl_recyclass[Familia_PPWR],MATCH(A1081,tbl_recyclass[ProductId],0)),tbl_familias_ppwr[ID_Familia],0))="Em falta","Lacuna","Conforme"),IF(B1081="EU-ENV-013",IF(INDEX(tbl_familias_ppwr[Declaracao_UE],MATCH(INDEX(tbl_recyclass[Familia_PPWR],MATCH(A1081,tbl_recyclass[ProductId],0)),tbl_familias_ppwr[ID_Familia],0))="Sim","Conforme","Lacuna"),G1081)))),G1081))</f>
        <v>Lacuna face à meta 2030</v>
      </c>
      <c r="I1081" s="33" t="str">
        <f t="shared" si="16"/>
        <v>Lacuna</v>
      </c>
      <c r="J1081" s="26" t="s">
        <v>1001</v>
      </c>
    </row>
    <row r="1082" spans="1:10" ht="16.05" customHeight="1" x14ac:dyDescent="0.3">
      <c r="A1082" s="26" t="s">
        <v>730</v>
      </c>
      <c r="B1082" s="26" t="s">
        <v>1007</v>
      </c>
      <c r="C1082" s="33" t="str">
        <f>IFERROR(INDEX(tbl_requisitos_emb[Tema],MATCH(B1082,tbl_requisitos_emb[ID_Req],0)),"")</f>
        <v>Minimização</v>
      </c>
      <c r="D1082" s="33" t="str">
        <f>IFERROR(INDEX(tbl_recyclass[Segmento],MATCH(A1082,tbl_recyclass[ProductId],0)),"")</f>
        <v>Cosmética e higiene pessoal</v>
      </c>
      <c r="E1082" s="26" t="s">
        <v>901</v>
      </c>
      <c r="F1082" s="26" t="s">
        <v>1449</v>
      </c>
      <c r="G1082" s="26" t="s">
        <v>978</v>
      </c>
      <c r="H1082" s="33" t="str">
        <f>IF(E1082="Não","Não aplicável",IFERROR(IF(B1082="EU-ENV-002",IF(INDEX(tbl_recyclass[Conforme_PPWR_2030],MATCH(A1082,tbl_recyclass[ProductId],0))="Sim","Conforme (autoavaliação)",IF(INDEX(tbl_recyclass[Conforme_PPWR_2030],MATCH(A1082,tbl_recyclass[ProductId],0))="Não","Não conforme em 2030","Isento até 2035")),IF(B1082="EU-ENV-003",IF(INDEX(tbl_recyclass[Conforme_Art7_2030],MATCH(A1082,tbl_recyclass[ProductId],0))="Sim","Conforme (meta 2030)",IF(INDEX(tbl_recyclass[Conforme_Art7_2030],MATCH(A1082,tbl_recyclass[ProductId],0))="Não","Lacuna face à meta 2030","Isento")),IF(B1082="EU-ENV-011",IF(INDEX(tbl_familias_ppwr[Metais_Pesados_Evidencia],MATCH(INDEX(tbl_recyclass[Familia_PPWR],MATCH(A1082,tbl_recyclass[ProductId],0)),tbl_familias_ppwr[ID_Familia],0))="Em falta","Lacuna","Conforme"),IF(B1082="EU-ENV-013",IF(INDEX(tbl_familias_ppwr[Declaracao_UE],MATCH(INDEX(tbl_recyclass[Familia_PPWR],MATCH(A1082,tbl_recyclass[ProductId],0)),tbl_familias_ppwr[ID_Familia],0))="Sim","Conforme","Lacuna"),G1082)))),G1082))</f>
        <v>Parcial</v>
      </c>
      <c r="I1082" s="33" t="str">
        <f t="shared" si="16"/>
        <v>Parcial</v>
      </c>
      <c r="J1082" s="26" t="s">
        <v>1012</v>
      </c>
    </row>
    <row r="1083" spans="1:10" ht="16.05" customHeight="1" x14ac:dyDescent="0.3">
      <c r="A1083" s="26" t="s">
        <v>730</v>
      </c>
      <c r="B1083" s="26" t="s">
        <v>1016</v>
      </c>
      <c r="C1083" s="33" t="str">
        <f>IFERROR(INDEX(tbl_requisitos_emb[Tema],MATCH(B1083,tbl_requisitos_emb[ID_Req],0)),"")</f>
        <v>Rotulagem</v>
      </c>
      <c r="D1083" s="33" t="str">
        <f>IFERROR(INDEX(tbl_recyclass[Segmento],MATCH(A1083,tbl_recyclass[ProductId],0)),"")</f>
        <v>Cosmética e higiene pessoal</v>
      </c>
      <c r="E1083" s="26" t="s">
        <v>901</v>
      </c>
      <c r="F1083" s="26" t="s">
        <v>1449</v>
      </c>
      <c r="G1083" s="26" t="s">
        <v>990</v>
      </c>
      <c r="H1083" s="33" t="str">
        <f>IF(E1083="Não","Não aplicável",IFERROR(IF(B1083="EU-ENV-002",IF(INDEX(tbl_recyclass[Conforme_PPWR_2030],MATCH(A1083,tbl_recyclass[ProductId],0))="Sim","Conforme (autoavaliação)",IF(INDEX(tbl_recyclass[Conforme_PPWR_2030],MATCH(A1083,tbl_recyclass[ProductId],0))="Não","Não conforme em 2030","Isento até 2035")),IF(B1083="EU-ENV-003",IF(INDEX(tbl_recyclass[Conforme_Art7_2030],MATCH(A1083,tbl_recyclass[ProductId],0))="Sim","Conforme (meta 2030)",IF(INDEX(tbl_recyclass[Conforme_Art7_2030],MATCH(A1083,tbl_recyclass[ProductId],0))="Não","Lacuna face à meta 2030","Isento")),IF(B1083="EU-ENV-011",IF(INDEX(tbl_familias_ppwr[Metais_Pesados_Evidencia],MATCH(INDEX(tbl_recyclass[Familia_PPWR],MATCH(A1083,tbl_recyclass[ProductId],0)),tbl_familias_ppwr[ID_Familia],0))="Em falta","Lacuna","Conforme"),IF(B1083="EU-ENV-013",IF(INDEX(tbl_familias_ppwr[Declaracao_UE],MATCH(INDEX(tbl_recyclass[Familia_PPWR],MATCH(A1083,tbl_recyclass[ProductId],0)),tbl_familias_ppwr[ID_Familia],0))="Sim","Conforme","Lacuna"),G1083)))),G1083))</f>
        <v>Futuro</v>
      </c>
      <c r="I1083" s="33" t="str">
        <f t="shared" si="16"/>
        <v>Futuro</v>
      </c>
      <c r="J1083" s="26" t="s">
        <v>1021</v>
      </c>
    </row>
    <row r="1084" spans="1:10" ht="16.05" customHeight="1" x14ac:dyDescent="0.3">
      <c r="A1084" s="26" t="s">
        <v>730</v>
      </c>
      <c r="B1084" s="26" t="s">
        <v>1038</v>
      </c>
      <c r="C1084" s="33" t="str">
        <f>IFERROR(INDEX(tbl_requisitos_emb[Tema],MATCH(B1084,tbl_requisitos_emb[ID_Req],0)),"")</f>
        <v>Plásticos de utilização única</v>
      </c>
      <c r="D1084" s="33" t="str">
        <f>IFERROR(INDEX(tbl_recyclass[Segmento],MATCH(A1084,tbl_recyclass[ProductId],0)),"")</f>
        <v>Cosmética e higiene pessoal</v>
      </c>
      <c r="E1084" s="26" t="s">
        <v>904</v>
      </c>
      <c r="F1084" s="26" t="s">
        <v>1450</v>
      </c>
      <c r="G1084" s="26" t="s">
        <v>1143</v>
      </c>
      <c r="H1084" s="33" t="str">
        <f>IF(E1084="Não","Não aplicável",IFERROR(IF(B1084="EU-ENV-002",IF(INDEX(tbl_recyclass[Conforme_PPWR_2030],MATCH(A1084,tbl_recyclass[ProductId],0))="Sim","Conforme (autoavaliação)",IF(INDEX(tbl_recyclass[Conforme_PPWR_2030],MATCH(A1084,tbl_recyclass[ProductId],0))="Não","Não conforme em 2030","Isento até 2035")),IF(B1084="EU-ENV-003",IF(INDEX(tbl_recyclass[Conforme_Art7_2030],MATCH(A1084,tbl_recyclass[ProductId],0))="Sim","Conforme (meta 2030)",IF(INDEX(tbl_recyclass[Conforme_Art7_2030],MATCH(A1084,tbl_recyclass[ProductId],0))="Não","Lacuna face à meta 2030","Isento")),IF(B1084="EU-ENV-011",IF(INDEX(tbl_familias_ppwr[Metais_Pesados_Evidencia],MATCH(INDEX(tbl_recyclass[Familia_PPWR],MATCH(A1084,tbl_recyclass[ProductId],0)),tbl_familias_ppwr[ID_Familia],0))="Em falta","Lacuna","Conforme"),IF(B1084="EU-ENV-013",IF(INDEX(tbl_familias_ppwr[Declaracao_UE],MATCH(INDEX(tbl_recyclass[Familia_PPWR],MATCH(A1084,tbl_recyclass[ProductId],0)),tbl_familias_ppwr[ID_Familia],0))="Sim","Conforme","Lacuna"),G1084)))),G1084))</f>
        <v>Não aplicável</v>
      </c>
      <c r="I1084" s="33" t="str">
        <f t="shared" si="16"/>
        <v>Não aplicável</v>
      </c>
      <c r="J1084" s="26"/>
    </row>
    <row r="1085" spans="1:10" ht="16.05" customHeight="1" x14ac:dyDescent="0.3">
      <c r="A1085" s="26" t="s">
        <v>730</v>
      </c>
      <c r="B1085" s="26" t="s">
        <v>1078</v>
      </c>
      <c r="C1085" s="33" t="str">
        <f>IFERROR(INDEX(tbl_requisitos_emb[Tema],MATCH(B1085,tbl_requisitos_emb[ID_Req],0)),"")</f>
        <v>Reciclado à escala</v>
      </c>
      <c r="D1085" s="33" t="str">
        <f>IFERROR(INDEX(tbl_recyclass[Segmento],MATCH(A1085,tbl_recyclass[ProductId],0)),"")</f>
        <v>Cosmética e higiene pessoal</v>
      </c>
      <c r="E1085" s="26" t="s">
        <v>901</v>
      </c>
      <c r="F1085" s="26" t="s">
        <v>1449</v>
      </c>
      <c r="G1085" s="26" t="s">
        <v>990</v>
      </c>
      <c r="H1085" s="33" t="str">
        <f>IF(E1085="Não","Não aplicável",IFERROR(IF(B1085="EU-ENV-002",IF(INDEX(tbl_recyclass[Conforme_PPWR_2030],MATCH(A1085,tbl_recyclass[ProductId],0))="Sim","Conforme (autoavaliação)",IF(INDEX(tbl_recyclass[Conforme_PPWR_2030],MATCH(A1085,tbl_recyclass[ProductId],0))="Não","Não conforme em 2030","Isento até 2035")),IF(B1085="EU-ENV-003",IF(INDEX(tbl_recyclass[Conforme_Art7_2030],MATCH(A1085,tbl_recyclass[ProductId],0))="Sim","Conforme (meta 2030)",IF(INDEX(tbl_recyclass[Conforme_Art7_2030],MATCH(A1085,tbl_recyclass[ProductId],0))="Não","Lacuna face à meta 2030","Isento")),IF(B1085="EU-ENV-011",IF(INDEX(tbl_familias_ppwr[Metais_Pesados_Evidencia],MATCH(INDEX(tbl_recyclass[Familia_PPWR],MATCH(A1085,tbl_recyclass[ProductId],0)),tbl_familias_ppwr[ID_Familia],0))="Em falta","Lacuna","Conforme"),IF(B1085="EU-ENV-013",IF(INDEX(tbl_familias_ppwr[Declaracao_UE],MATCH(INDEX(tbl_recyclass[Familia_PPWR],MATCH(A1085,tbl_recyclass[ProductId],0)),tbl_familias_ppwr[ID_Familia],0))="Sim","Conforme","Lacuna"),G1085)))),G1085))</f>
        <v>Futuro</v>
      </c>
      <c r="I1085" s="33" t="str">
        <f t="shared" si="16"/>
        <v>Futuro</v>
      </c>
      <c r="J1085" s="26" t="s">
        <v>1082</v>
      </c>
    </row>
    <row r="1086" spans="1:10" ht="16.05" customHeight="1" x14ac:dyDescent="0.3">
      <c r="A1086" s="26" t="s">
        <v>730</v>
      </c>
      <c r="B1086" s="26" t="s">
        <v>1086</v>
      </c>
      <c r="C1086" s="33" t="str">
        <f>IFERROR(INDEX(tbl_requisitos_emb[Tema],MATCH(B1086,tbl_requisitos_emb[ID_Req],0)),"")</f>
        <v>Metais pesados</v>
      </c>
      <c r="D1086" s="33" t="str">
        <f>IFERROR(INDEX(tbl_recyclass[Segmento],MATCH(A1086,tbl_recyclass[ProductId],0)),"")</f>
        <v>Cosmética e higiene pessoal</v>
      </c>
      <c r="E1086" s="26" t="s">
        <v>901</v>
      </c>
      <c r="F1086" s="26" t="s">
        <v>1449</v>
      </c>
      <c r="G1086" s="26" t="s">
        <v>978</v>
      </c>
      <c r="H1086" s="33" t="str">
        <f>IF(E1086="Não","Não aplicável",IFERROR(IF(B1086="EU-ENV-002",IF(INDEX(tbl_recyclass[Conforme_PPWR_2030],MATCH(A1086,tbl_recyclass[ProductId],0))="Sim","Conforme (autoavaliação)",IF(INDEX(tbl_recyclass[Conforme_PPWR_2030],MATCH(A1086,tbl_recyclass[ProductId],0))="Não","Não conforme em 2030","Isento até 2035")),IF(B1086="EU-ENV-003",IF(INDEX(tbl_recyclass[Conforme_Art7_2030],MATCH(A1086,tbl_recyclass[ProductId],0))="Sim","Conforme (meta 2030)",IF(INDEX(tbl_recyclass[Conforme_Art7_2030],MATCH(A1086,tbl_recyclass[ProductId],0))="Não","Lacuna face à meta 2030","Isento")),IF(B1086="EU-ENV-011",IF(INDEX(tbl_familias_ppwr[Metais_Pesados_Evidencia],MATCH(INDEX(tbl_recyclass[Familia_PPWR],MATCH(A1086,tbl_recyclass[ProductId],0)),tbl_familias_ppwr[ID_Familia],0))="Em falta","Lacuna","Conforme"),IF(B1086="EU-ENV-013",IF(INDEX(tbl_familias_ppwr[Declaracao_UE],MATCH(INDEX(tbl_recyclass[Familia_PPWR],MATCH(A1086,tbl_recyclass[ProductId],0)),tbl_familias_ppwr[ID_Familia],0))="Sim","Conforme","Lacuna"),G1086)))),G1086))</f>
        <v>Conforme</v>
      </c>
      <c r="I1086" s="33" t="str">
        <f t="shared" si="16"/>
        <v>Conforme</v>
      </c>
      <c r="J1086" s="26" t="s">
        <v>1090</v>
      </c>
    </row>
    <row r="1087" spans="1:10" ht="16.05" customHeight="1" x14ac:dyDescent="0.3">
      <c r="A1087" s="26" t="s">
        <v>730</v>
      </c>
      <c r="B1087" s="26" t="s">
        <v>1094</v>
      </c>
      <c r="C1087" s="33" t="str">
        <f>IFERROR(INDEX(tbl_requisitos_emb[Tema],MATCH(B1087,tbl_requisitos_emb[ID_Req],0)),"")</f>
        <v>PFAS</v>
      </c>
      <c r="D1087" s="33" t="str">
        <f>IFERROR(INDEX(tbl_recyclass[Segmento],MATCH(A1087,tbl_recyclass[ProductId],0)),"")</f>
        <v>Cosmética e higiene pessoal</v>
      </c>
      <c r="E1087" s="26" t="s">
        <v>904</v>
      </c>
      <c r="F1087" s="26" t="s">
        <v>1450</v>
      </c>
      <c r="G1087" s="26" t="s">
        <v>1143</v>
      </c>
      <c r="H1087" s="33" t="str">
        <f>IF(E1087="Não","Não aplicável",IFERROR(IF(B1087="EU-ENV-002",IF(INDEX(tbl_recyclass[Conforme_PPWR_2030],MATCH(A1087,tbl_recyclass[ProductId],0))="Sim","Conforme (autoavaliação)",IF(INDEX(tbl_recyclass[Conforme_PPWR_2030],MATCH(A1087,tbl_recyclass[ProductId],0))="Não","Não conforme em 2030","Isento até 2035")),IF(B1087="EU-ENV-003",IF(INDEX(tbl_recyclass[Conforme_Art7_2030],MATCH(A1087,tbl_recyclass[ProductId],0))="Sim","Conforme (meta 2030)",IF(INDEX(tbl_recyclass[Conforme_Art7_2030],MATCH(A1087,tbl_recyclass[ProductId],0))="Não","Lacuna face à meta 2030","Isento")),IF(B1087="EU-ENV-011",IF(INDEX(tbl_familias_ppwr[Metais_Pesados_Evidencia],MATCH(INDEX(tbl_recyclass[Familia_PPWR],MATCH(A1087,tbl_recyclass[ProductId],0)),tbl_familias_ppwr[ID_Familia],0))="Em falta","Lacuna","Conforme"),IF(B1087="EU-ENV-013",IF(INDEX(tbl_familias_ppwr[Declaracao_UE],MATCH(INDEX(tbl_recyclass[Familia_PPWR],MATCH(A1087,tbl_recyclass[ProductId],0)),tbl_familias_ppwr[ID_Familia],0))="Sim","Conforme","Lacuna"),G1087)))),G1087))</f>
        <v>Não aplicável</v>
      </c>
      <c r="I1087" s="33" t="str">
        <f t="shared" si="16"/>
        <v>Não aplicável</v>
      </c>
      <c r="J1087" s="26"/>
    </row>
    <row r="1088" spans="1:10" ht="16.05" customHeight="1" x14ac:dyDescent="0.3">
      <c r="A1088" s="26" t="s">
        <v>730</v>
      </c>
      <c r="B1088" s="26" t="s">
        <v>1102</v>
      </c>
      <c r="C1088" s="33" t="str">
        <f>IFERROR(INDEX(tbl_requisitos_emb[Tema],MATCH(B1088,tbl_requisitos_emb[ID_Req],0)),"")</f>
        <v>Documentação técnica e declaração UE</v>
      </c>
      <c r="D1088" s="33" t="str">
        <f>IFERROR(INDEX(tbl_recyclass[Segmento],MATCH(A1088,tbl_recyclass[ProductId],0)),"")</f>
        <v>Cosmética e higiene pessoal</v>
      </c>
      <c r="E1088" s="26" t="s">
        <v>901</v>
      </c>
      <c r="F1088" s="26" t="s">
        <v>1449</v>
      </c>
      <c r="G1088" s="26" t="s">
        <v>978</v>
      </c>
      <c r="H1088" s="33" t="str">
        <f>IF(E1088="Não","Não aplicável",IFERROR(IF(B1088="EU-ENV-002",IF(INDEX(tbl_recyclass[Conforme_PPWR_2030],MATCH(A1088,tbl_recyclass[ProductId],0))="Sim","Conforme (autoavaliação)",IF(INDEX(tbl_recyclass[Conforme_PPWR_2030],MATCH(A1088,tbl_recyclass[ProductId],0))="Não","Não conforme em 2030","Isento até 2035")),IF(B1088="EU-ENV-003",IF(INDEX(tbl_recyclass[Conforme_Art7_2030],MATCH(A1088,tbl_recyclass[ProductId],0))="Sim","Conforme (meta 2030)",IF(INDEX(tbl_recyclass[Conforme_Art7_2030],MATCH(A1088,tbl_recyclass[ProductId],0))="Não","Lacuna face à meta 2030","Isento")),IF(B1088="EU-ENV-011",IF(INDEX(tbl_familias_ppwr[Metais_Pesados_Evidencia],MATCH(INDEX(tbl_recyclass[Familia_PPWR],MATCH(A1088,tbl_recyclass[ProductId],0)),tbl_familias_ppwr[ID_Familia],0))="Em falta","Lacuna","Conforme"),IF(B1088="EU-ENV-013",IF(INDEX(tbl_familias_ppwr[Declaracao_UE],MATCH(INDEX(tbl_recyclass[Familia_PPWR],MATCH(A1088,tbl_recyclass[ProductId],0)),tbl_familias_ppwr[ID_Familia],0))="Sim","Conforme","Lacuna"),G1088)))),G1088))</f>
        <v>Conforme</v>
      </c>
      <c r="I1088" s="33" t="str">
        <f t="shared" si="16"/>
        <v>Conforme</v>
      </c>
      <c r="J1088" s="26" t="s">
        <v>1106</v>
      </c>
    </row>
    <row r="1089" spans="1:10" ht="16.05" customHeight="1" x14ac:dyDescent="0.3">
      <c r="A1089" s="26" t="s">
        <v>730</v>
      </c>
      <c r="B1089" s="26" t="s">
        <v>1161</v>
      </c>
      <c r="C1089" s="33" t="str">
        <f>IFERROR(INDEX(tbl_requisitos_emb[Tema],MATCH(B1089,tbl_requisitos_emb[ID_Req],0)),"")</f>
        <v>Materiais em contacto com alimentos</v>
      </c>
      <c r="D1089" s="33" t="str">
        <f>IFERROR(INDEX(tbl_recyclass[Segmento],MATCH(A1089,tbl_recyclass[ProductId],0)),"")</f>
        <v>Cosmética e higiene pessoal</v>
      </c>
      <c r="E1089" s="26" t="s">
        <v>904</v>
      </c>
      <c r="F1089" s="26" t="s">
        <v>1450</v>
      </c>
      <c r="G1089" s="26" t="s">
        <v>1143</v>
      </c>
      <c r="H1089" s="33" t="str">
        <f>IF(E1089="Não","Não aplicável",IFERROR(IF(B1089="EU-ENV-002",IF(INDEX(tbl_recyclass[Conforme_PPWR_2030],MATCH(A1089,tbl_recyclass[ProductId],0))="Sim","Conforme (autoavaliação)",IF(INDEX(tbl_recyclass[Conforme_PPWR_2030],MATCH(A1089,tbl_recyclass[ProductId],0))="Não","Não conforme em 2030","Isento até 2035")),IF(B1089="EU-ENV-003",IF(INDEX(tbl_recyclass[Conforme_Art7_2030],MATCH(A1089,tbl_recyclass[ProductId],0))="Sim","Conforme (meta 2030)",IF(INDEX(tbl_recyclass[Conforme_Art7_2030],MATCH(A1089,tbl_recyclass[ProductId],0))="Não","Lacuna face à meta 2030","Isento")),IF(B1089="EU-ENV-011",IF(INDEX(tbl_familias_ppwr[Metais_Pesados_Evidencia],MATCH(INDEX(tbl_recyclass[Familia_PPWR],MATCH(A1089,tbl_recyclass[ProductId],0)),tbl_familias_ppwr[ID_Familia],0))="Em falta","Lacuna","Conforme"),IF(B1089="EU-ENV-013",IF(INDEX(tbl_familias_ppwr[Declaracao_UE],MATCH(INDEX(tbl_recyclass[Familia_PPWR],MATCH(A1089,tbl_recyclass[ProductId],0)),tbl_familias_ppwr[ID_Familia],0))="Sim","Conforme","Lacuna"),G1089)))),G1089))</f>
        <v>Não aplicável</v>
      </c>
      <c r="I1089" s="33" t="str">
        <f t="shared" si="16"/>
        <v>Não aplicável</v>
      </c>
      <c r="J1089" s="26"/>
    </row>
    <row r="1090" spans="1:10" ht="16.05" customHeight="1" x14ac:dyDescent="0.3">
      <c r="A1090" s="26" t="s">
        <v>730</v>
      </c>
      <c r="B1090" s="26" t="s">
        <v>1170</v>
      </c>
      <c r="C1090" s="33" t="str">
        <f>IFERROR(INDEX(tbl_requisitos_emb[Tema],MATCH(B1090,tbl_requisitos_emb[ID_Req],0)),"")</f>
        <v>Boas práticas de fabrico FCM</v>
      </c>
      <c r="D1090" s="33" t="str">
        <f>IFERROR(INDEX(tbl_recyclass[Segmento],MATCH(A1090,tbl_recyclass[ProductId],0)),"")</f>
        <v>Cosmética e higiene pessoal</v>
      </c>
      <c r="E1090" s="26" t="s">
        <v>904</v>
      </c>
      <c r="F1090" s="26" t="s">
        <v>1450</v>
      </c>
      <c r="G1090" s="26" t="s">
        <v>1143</v>
      </c>
      <c r="H1090" s="33" t="str">
        <f>IF(E1090="Não","Não aplicável",IFERROR(IF(B1090="EU-ENV-002",IF(INDEX(tbl_recyclass[Conforme_PPWR_2030],MATCH(A1090,tbl_recyclass[ProductId],0))="Sim","Conforme (autoavaliação)",IF(INDEX(tbl_recyclass[Conforme_PPWR_2030],MATCH(A1090,tbl_recyclass[ProductId],0))="Não","Não conforme em 2030","Isento até 2035")),IF(B1090="EU-ENV-003",IF(INDEX(tbl_recyclass[Conforme_Art7_2030],MATCH(A1090,tbl_recyclass[ProductId],0))="Sim","Conforme (meta 2030)",IF(INDEX(tbl_recyclass[Conforme_Art7_2030],MATCH(A1090,tbl_recyclass[ProductId],0))="Não","Lacuna face à meta 2030","Isento")),IF(B1090="EU-ENV-011",IF(INDEX(tbl_familias_ppwr[Metais_Pesados_Evidencia],MATCH(INDEX(tbl_recyclass[Familia_PPWR],MATCH(A1090,tbl_recyclass[ProductId],0)),tbl_familias_ppwr[ID_Familia],0))="Em falta","Lacuna","Conforme"),IF(B1090="EU-ENV-013",IF(INDEX(tbl_familias_ppwr[Declaracao_UE],MATCH(INDEX(tbl_recyclass[Familia_PPWR],MATCH(A1090,tbl_recyclass[ProductId],0)),tbl_familias_ppwr[ID_Familia],0))="Sim","Conforme","Lacuna"),G1090)))),G1090))</f>
        <v>Não aplicável</v>
      </c>
      <c r="I1090" s="33" t="str">
        <f t="shared" ref="I1090:I1153" si="17">IF(ISNUMBER(SEARCH("Não aplicável",H1090)),"Não aplicável",IF(ISNUMBER(SEARCH("Isento",H1090)),"Isento",IF(ISNUMBER(SEARCH("Não conforme",H1090)),"Não conforme",IF(ISNUMBER(SEARCH("Lacuna",H1090)),"Lacuna",IF(ISNUMBER(SEARCH("Conforme",H1090)),"Conforme",H1090)))))</f>
        <v>Não aplicável</v>
      </c>
      <c r="J1090" s="26"/>
    </row>
    <row r="1091" spans="1:10" ht="16.05" customHeight="1" x14ac:dyDescent="0.3">
      <c r="A1091" s="26" t="s">
        <v>730</v>
      </c>
      <c r="B1091" s="26" t="s">
        <v>1179</v>
      </c>
      <c r="C1091" s="33" t="str">
        <f>IFERROR(INDEX(tbl_requisitos_emb[Tema],MATCH(B1091,tbl_requisitos_emb[ID_Req],0)),"")</f>
        <v>Bisfenol A e bisfenóis perigosos</v>
      </c>
      <c r="D1091" s="33" t="str">
        <f>IFERROR(INDEX(tbl_recyclass[Segmento],MATCH(A1091,tbl_recyclass[ProductId],0)),"")</f>
        <v>Cosmética e higiene pessoal</v>
      </c>
      <c r="E1091" s="26" t="s">
        <v>904</v>
      </c>
      <c r="F1091" s="26" t="s">
        <v>1450</v>
      </c>
      <c r="G1091" s="26" t="s">
        <v>1143</v>
      </c>
      <c r="H1091" s="33" t="str">
        <f>IF(E1091="Não","Não aplicável",IFERROR(IF(B1091="EU-ENV-002",IF(INDEX(tbl_recyclass[Conforme_PPWR_2030],MATCH(A1091,tbl_recyclass[ProductId],0))="Sim","Conforme (autoavaliação)",IF(INDEX(tbl_recyclass[Conforme_PPWR_2030],MATCH(A1091,tbl_recyclass[ProductId],0))="Não","Não conforme em 2030","Isento até 2035")),IF(B1091="EU-ENV-003",IF(INDEX(tbl_recyclass[Conforme_Art7_2030],MATCH(A1091,tbl_recyclass[ProductId],0))="Sim","Conforme (meta 2030)",IF(INDEX(tbl_recyclass[Conforme_Art7_2030],MATCH(A1091,tbl_recyclass[ProductId],0))="Não","Lacuna face à meta 2030","Isento")),IF(B1091="EU-ENV-011",IF(INDEX(tbl_familias_ppwr[Metais_Pesados_Evidencia],MATCH(INDEX(tbl_recyclass[Familia_PPWR],MATCH(A1091,tbl_recyclass[ProductId],0)),tbl_familias_ppwr[ID_Familia],0))="Em falta","Lacuna","Conforme"),IF(B1091="EU-ENV-013",IF(INDEX(tbl_familias_ppwr[Declaracao_UE],MATCH(INDEX(tbl_recyclass[Familia_PPWR],MATCH(A1091,tbl_recyclass[ProductId],0)),tbl_familias_ppwr[ID_Familia],0))="Sim","Conforme","Lacuna"),G1091)))),G1091))</f>
        <v>Não aplicável</v>
      </c>
      <c r="I1091" s="33" t="str">
        <f t="shared" si="17"/>
        <v>Não aplicável</v>
      </c>
      <c r="J1091" s="26"/>
    </row>
    <row r="1092" spans="1:10" ht="16.05" customHeight="1" x14ac:dyDescent="0.3">
      <c r="A1092" s="26" t="s">
        <v>730</v>
      </c>
      <c r="B1092" s="26" t="s">
        <v>1188</v>
      </c>
      <c r="C1092" s="33" t="str">
        <f>IFERROR(INDEX(tbl_requisitos_emb[Tema],MATCH(B1092,tbl_requisitos_emb[ID_Req],0)),"")</f>
        <v>Plásticos em contacto com alimentos</v>
      </c>
      <c r="D1092" s="33" t="str">
        <f>IFERROR(INDEX(tbl_recyclass[Segmento],MATCH(A1092,tbl_recyclass[ProductId],0)),"")</f>
        <v>Cosmética e higiene pessoal</v>
      </c>
      <c r="E1092" s="26" t="s">
        <v>904</v>
      </c>
      <c r="F1092" s="26" t="s">
        <v>1450</v>
      </c>
      <c r="G1092" s="26" t="s">
        <v>1143</v>
      </c>
      <c r="H1092" s="33" t="str">
        <f>IF(E1092="Não","Não aplicável",IFERROR(IF(B1092="EU-ENV-002",IF(INDEX(tbl_recyclass[Conforme_PPWR_2030],MATCH(A1092,tbl_recyclass[ProductId],0))="Sim","Conforme (autoavaliação)",IF(INDEX(tbl_recyclass[Conforme_PPWR_2030],MATCH(A1092,tbl_recyclass[ProductId],0))="Não","Não conforme em 2030","Isento até 2035")),IF(B1092="EU-ENV-003",IF(INDEX(tbl_recyclass[Conforme_Art7_2030],MATCH(A1092,tbl_recyclass[ProductId],0))="Sim","Conforme (meta 2030)",IF(INDEX(tbl_recyclass[Conforme_Art7_2030],MATCH(A1092,tbl_recyclass[ProductId],0))="Não","Lacuna face à meta 2030","Isento")),IF(B1092="EU-ENV-011",IF(INDEX(tbl_familias_ppwr[Metais_Pesados_Evidencia],MATCH(INDEX(tbl_recyclass[Familia_PPWR],MATCH(A1092,tbl_recyclass[ProductId],0)),tbl_familias_ppwr[ID_Familia],0))="Em falta","Lacuna","Conforme"),IF(B1092="EU-ENV-013",IF(INDEX(tbl_familias_ppwr[Declaracao_UE],MATCH(INDEX(tbl_recyclass[Familia_PPWR],MATCH(A1092,tbl_recyclass[ProductId],0)),tbl_familias_ppwr[ID_Familia],0))="Sim","Conforme","Lacuna"),G1092)))),G1092))</f>
        <v>Não aplicável</v>
      </c>
      <c r="I1092" s="33" t="str">
        <f t="shared" si="17"/>
        <v>Não aplicável</v>
      </c>
      <c r="J1092" s="26"/>
    </row>
    <row r="1093" spans="1:10" ht="16.05" customHeight="1" x14ac:dyDescent="0.3">
      <c r="A1093" s="26" t="s">
        <v>730</v>
      </c>
      <c r="B1093" s="26" t="s">
        <v>1212</v>
      </c>
      <c r="C1093" s="33" t="str">
        <f>IFERROR(INDEX(tbl_requisitos_emb[Tema],MATCH(B1093,tbl_requisitos_emb[ID_Req],0)),"")</f>
        <v>Segurança do produto cosmético</v>
      </c>
      <c r="D1093" s="33" t="str">
        <f>IFERROR(INDEX(tbl_recyclass[Segmento],MATCH(A1093,tbl_recyclass[ProductId],0)),"")</f>
        <v>Cosmética e higiene pessoal</v>
      </c>
      <c r="E1093" s="26" t="s">
        <v>901</v>
      </c>
      <c r="F1093" s="26" t="s">
        <v>1449</v>
      </c>
      <c r="G1093" s="26" t="s">
        <v>1033</v>
      </c>
      <c r="H1093" s="33" t="str">
        <f>IF(E1093="Não","Não aplicável",IFERROR(IF(B1093="EU-ENV-002",IF(INDEX(tbl_recyclass[Conforme_PPWR_2030],MATCH(A1093,tbl_recyclass[ProductId],0))="Sim","Conforme (autoavaliação)",IF(INDEX(tbl_recyclass[Conforme_PPWR_2030],MATCH(A1093,tbl_recyclass[ProductId],0))="Não","Não conforme em 2030","Isento até 2035")),IF(B1093="EU-ENV-003",IF(INDEX(tbl_recyclass[Conforme_Art7_2030],MATCH(A1093,tbl_recyclass[ProductId],0))="Sim","Conforme (meta 2030)",IF(INDEX(tbl_recyclass[Conforme_Art7_2030],MATCH(A1093,tbl_recyclass[ProductId],0))="Não","Lacuna face à meta 2030","Isento")),IF(B1093="EU-ENV-011",IF(INDEX(tbl_familias_ppwr[Metais_Pesados_Evidencia],MATCH(INDEX(tbl_recyclass[Familia_PPWR],MATCH(A1093,tbl_recyclass[ProductId],0)),tbl_familias_ppwr[ID_Familia],0))="Em falta","Lacuna","Conforme"),IF(B1093="EU-ENV-013",IF(INDEX(tbl_familias_ppwr[Declaracao_UE],MATCH(INDEX(tbl_recyclass[Familia_PPWR],MATCH(A1093,tbl_recyclass[ProductId],0)),tbl_familias_ppwr[ID_Familia],0))="Sim","Conforme","Lacuna"),G1093)))),G1093))</f>
        <v>Conforme</v>
      </c>
      <c r="I1093" s="33" t="str">
        <f t="shared" si="17"/>
        <v>Conforme</v>
      </c>
      <c r="J1093" s="26" t="s">
        <v>1221</v>
      </c>
    </row>
    <row r="1094" spans="1:10" ht="16.05" customHeight="1" x14ac:dyDescent="0.3">
      <c r="A1094" s="26" t="s">
        <v>730</v>
      </c>
      <c r="B1094" s="26" t="s">
        <v>1224</v>
      </c>
      <c r="C1094" s="33" t="str">
        <f>IFERROR(INDEX(tbl_requisitos_emb[Tema],MATCH(B1094,tbl_requisitos_emb[ID_Req],0)),"")</f>
        <v>Materiais e impurezas</v>
      </c>
      <c r="D1094" s="33" t="str">
        <f>IFERROR(INDEX(tbl_recyclass[Segmento],MATCH(A1094,tbl_recyclass[ProductId],0)),"")</f>
        <v>Cosmética e higiene pessoal</v>
      </c>
      <c r="E1094" s="26" t="s">
        <v>901</v>
      </c>
      <c r="F1094" s="26" t="s">
        <v>1449</v>
      </c>
      <c r="G1094" s="26" t="s">
        <v>978</v>
      </c>
      <c r="H1094" s="33" t="str">
        <f>IF(E1094="Não","Não aplicável",IFERROR(IF(B1094="EU-ENV-002",IF(INDEX(tbl_recyclass[Conforme_PPWR_2030],MATCH(A1094,tbl_recyclass[ProductId],0))="Sim","Conforme (autoavaliação)",IF(INDEX(tbl_recyclass[Conforme_PPWR_2030],MATCH(A1094,tbl_recyclass[ProductId],0))="Não","Não conforme em 2030","Isento até 2035")),IF(B1094="EU-ENV-003",IF(INDEX(tbl_recyclass[Conforme_Art7_2030],MATCH(A1094,tbl_recyclass[ProductId],0))="Sim","Conforme (meta 2030)",IF(INDEX(tbl_recyclass[Conforme_Art7_2030],MATCH(A1094,tbl_recyclass[ProductId],0))="Não","Lacuna face à meta 2030","Isento")),IF(B1094="EU-ENV-011",IF(INDEX(tbl_familias_ppwr[Metais_Pesados_Evidencia],MATCH(INDEX(tbl_recyclass[Familia_PPWR],MATCH(A1094,tbl_recyclass[ProductId],0)),tbl_familias_ppwr[ID_Familia],0))="Em falta","Lacuna","Conforme"),IF(B1094="EU-ENV-013",IF(INDEX(tbl_familias_ppwr[Declaracao_UE],MATCH(INDEX(tbl_recyclass[Familia_PPWR],MATCH(A1094,tbl_recyclass[ProductId],0)),tbl_familias_ppwr[ID_Familia],0))="Sim","Conforme","Lacuna"),G1094)))),G1094))</f>
        <v>Parcial</v>
      </c>
      <c r="I1094" s="33" t="str">
        <f t="shared" si="17"/>
        <v>Parcial</v>
      </c>
      <c r="J1094" s="26" t="s">
        <v>1228</v>
      </c>
    </row>
    <row r="1095" spans="1:10" ht="16.05" customHeight="1" x14ac:dyDescent="0.3">
      <c r="A1095" s="26" t="s">
        <v>730</v>
      </c>
      <c r="B1095" s="26" t="s">
        <v>1240</v>
      </c>
      <c r="C1095" s="33" t="str">
        <f>IFERROR(INDEX(tbl_requisitos_emb[Tema],MATCH(B1095,tbl_requisitos_emb[ID_Req],0)),"")</f>
        <v>Compatibilidade embalagem–produto</v>
      </c>
      <c r="D1095" s="33" t="str">
        <f>IFERROR(INDEX(tbl_recyclass[Segmento],MATCH(A1095,tbl_recyclass[ProductId],0)),"")</f>
        <v>Cosmética e higiene pessoal</v>
      </c>
      <c r="E1095" s="26" t="s">
        <v>901</v>
      </c>
      <c r="F1095" s="26" t="s">
        <v>1449</v>
      </c>
      <c r="G1095" s="26" t="s">
        <v>1033</v>
      </c>
      <c r="H1095" s="33" t="str">
        <f>IF(E1095="Não","Não aplicável",IFERROR(IF(B1095="EU-ENV-002",IF(INDEX(tbl_recyclass[Conforme_PPWR_2030],MATCH(A1095,tbl_recyclass[ProductId],0))="Sim","Conforme (autoavaliação)",IF(INDEX(tbl_recyclass[Conforme_PPWR_2030],MATCH(A1095,tbl_recyclass[ProductId],0))="Não","Não conforme em 2030","Isento até 2035")),IF(B1095="EU-ENV-003",IF(INDEX(tbl_recyclass[Conforme_Art7_2030],MATCH(A1095,tbl_recyclass[ProductId],0))="Sim","Conforme (meta 2030)",IF(INDEX(tbl_recyclass[Conforme_Art7_2030],MATCH(A1095,tbl_recyclass[ProductId],0))="Não","Lacuna face à meta 2030","Isento")),IF(B1095="EU-ENV-011",IF(INDEX(tbl_familias_ppwr[Metais_Pesados_Evidencia],MATCH(INDEX(tbl_recyclass[Familia_PPWR],MATCH(A1095,tbl_recyclass[ProductId],0)),tbl_familias_ppwr[ID_Familia],0))="Em falta","Lacuna","Conforme"),IF(B1095="EU-ENV-013",IF(INDEX(tbl_familias_ppwr[Declaracao_UE],MATCH(INDEX(tbl_recyclass[Familia_PPWR],MATCH(A1095,tbl_recyclass[ProductId],0)),tbl_familias_ppwr[ID_Familia],0))="Sim","Conforme","Lacuna"),G1095)))),G1095))</f>
        <v>Conforme</v>
      </c>
      <c r="I1095" s="33" t="str">
        <f t="shared" si="17"/>
        <v>Conforme</v>
      </c>
      <c r="J1095" s="26" t="s">
        <v>1244</v>
      </c>
    </row>
    <row r="1096" spans="1:10" ht="16.05" customHeight="1" x14ac:dyDescent="0.3">
      <c r="A1096" s="26" t="s">
        <v>730</v>
      </c>
      <c r="B1096" s="26" t="s">
        <v>1252</v>
      </c>
      <c r="C1096" s="33" t="str">
        <f>IFERROR(INDEX(tbl_requisitos_emb[Tema],MATCH(B1096,tbl_requisitos_emb[ID_Req],0)),"")</f>
        <v>Medicamentos de uso humano</v>
      </c>
      <c r="D1096" s="33" t="str">
        <f>IFERROR(INDEX(tbl_recyclass[Segmento],MATCH(A1096,tbl_recyclass[ProductId],0)),"")</f>
        <v>Cosmética e higiene pessoal</v>
      </c>
      <c r="E1096" s="26" t="s">
        <v>904</v>
      </c>
      <c r="F1096" s="26" t="s">
        <v>1451</v>
      </c>
      <c r="G1096" s="26" t="s">
        <v>1143</v>
      </c>
      <c r="H1096" s="33" t="str">
        <f>IF(E1096="Não","Não aplicável",IFERROR(IF(B1096="EU-ENV-002",IF(INDEX(tbl_recyclass[Conforme_PPWR_2030],MATCH(A1096,tbl_recyclass[ProductId],0))="Sim","Conforme (autoavaliação)",IF(INDEX(tbl_recyclass[Conforme_PPWR_2030],MATCH(A1096,tbl_recyclass[ProductId],0))="Não","Não conforme em 2030","Isento até 2035")),IF(B1096="EU-ENV-003",IF(INDEX(tbl_recyclass[Conforme_Art7_2030],MATCH(A1096,tbl_recyclass[ProductId],0))="Sim","Conforme (meta 2030)",IF(INDEX(tbl_recyclass[Conforme_Art7_2030],MATCH(A1096,tbl_recyclass[ProductId],0))="Não","Lacuna face à meta 2030","Isento")),IF(B1096="EU-ENV-011",IF(INDEX(tbl_familias_ppwr[Metais_Pesados_Evidencia],MATCH(INDEX(tbl_recyclass[Familia_PPWR],MATCH(A1096,tbl_recyclass[ProductId],0)),tbl_familias_ppwr[ID_Familia],0))="Em falta","Lacuna","Conforme"),IF(B1096="EU-ENV-013",IF(INDEX(tbl_familias_ppwr[Declaracao_UE],MATCH(INDEX(tbl_recyclass[Familia_PPWR],MATCH(A1096,tbl_recyclass[ProductId],0)),tbl_familias_ppwr[ID_Familia],0))="Sim","Conforme","Lacuna"),G1096)))),G1096))</f>
        <v>Não aplicável</v>
      </c>
      <c r="I1096" s="33" t="str">
        <f t="shared" si="17"/>
        <v>Não aplicável</v>
      </c>
      <c r="J1096" s="26"/>
    </row>
    <row r="1097" spans="1:10" ht="16.05" customHeight="1" x14ac:dyDescent="0.3">
      <c r="A1097" s="26" t="s">
        <v>730</v>
      </c>
      <c r="B1097" s="26" t="s">
        <v>1268</v>
      </c>
      <c r="C1097" s="33" t="str">
        <f>IFERROR(INDEX(tbl_requisitos_emb[Tema],MATCH(B1097,tbl_requisitos_emb[ID_Req],0)),"")</f>
        <v>Dispositivos de segurança</v>
      </c>
      <c r="D1097" s="33" t="str">
        <f>IFERROR(INDEX(tbl_recyclass[Segmento],MATCH(A1097,tbl_recyclass[ProductId],0)),"")</f>
        <v>Cosmética e higiene pessoal</v>
      </c>
      <c r="E1097" s="26" t="s">
        <v>904</v>
      </c>
      <c r="F1097" s="26" t="s">
        <v>1451</v>
      </c>
      <c r="G1097" s="26" t="s">
        <v>1143</v>
      </c>
      <c r="H1097" s="33" t="str">
        <f>IF(E1097="Não","Não aplicável",IFERROR(IF(B1097="EU-ENV-002",IF(INDEX(tbl_recyclass[Conforme_PPWR_2030],MATCH(A1097,tbl_recyclass[ProductId],0))="Sim","Conforme (autoavaliação)",IF(INDEX(tbl_recyclass[Conforme_PPWR_2030],MATCH(A1097,tbl_recyclass[ProductId],0))="Não","Não conforme em 2030","Isento até 2035")),IF(B1097="EU-ENV-003",IF(INDEX(tbl_recyclass[Conforme_Art7_2030],MATCH(A1097,tbl_recyclass[ProductId],0))="Sim","Conforme (meta 2030)",IF(INDEX(tbl_recyclass[Conforme_Art7_2030],MATCH(A1097,tbl_recyclass[ProductId],0))="Não","Lacuna face à meta 2030","Isento")),IF(B1097="EU-ENV-011",IF(INDEX(tbl_familias_ppwr[Metais_Pesados_Evidencia],MATCH(INDEX(tbl_recyclass[Familia_PPWR],MATCH(A1097,tbl_recyclass[ProductId],0)),tbl_familias_ppwr[ID_Familia],0))="Em falta","Lacuna","Conforme"),IF(B1097="EU-ENV-013",IF(INDEX(tbl_familias_ppwr[Declaracao_UE],MATCH(INDEX(tbl_recyclass[Familia_PPWR],MATCH(A1097,tbl_recyclass[ProductId],0)),tbl_familias_ppwr[ID_Familia],0))="Sim","Conforme","Lacuna"),G1097)))),G1097))</f>
        <v>Não aplicável</v>
      </c>
      <c r="I1097" s="33" t="str">
        <f t="shared" si="17"/>
        <v>Não aplicável</v>
      </c>
      <c r="J1097" s="26"/>
    </row>
    <row r="1098" spans="1:10" ht="16.05" customHeight="1" x14ac:dyDescent="0.3">
      <c r="A1098" s="26" t="s">
        <v>730</v>
      </c>
      <c r="B1098" s="26" t="s">
        <v>1285</v>
      </c>
      <c r="C1098" s="33" t="str">
        <f>IFERROR(INDEX(tbl_requisitos_emb[Tema],MATCH(B1098,tbl_requisitos_emb[ID_Req],0)),"")</f>
        <v>Materiais plásticos de acondicionamento primário</v>
      </c>
      <c r="D1098" s="33" t="str">
        <f>IFERROR(INDEX(tbl_recyclass[Segmento],MATCH(A1098,tbl_recyclass[ProductId],0)),"")</f>
        <v>Cosmética e higiene pessoal</v>
      </c>
      <c r="E1098" s="26" t="s">
        <v>904</v>
      </c>
      <c r="F1098" s="26" t="s">
        <v>1451</v>
      </c>
      <c r="G1098" s="26" t="s">
        <v>1143</v>
      </c>
      <c r="H1098" s="33" t="str">
        <f>IF(E1098="Não","Não aplicável",IFERROR(IF(B1098="EU-ENV-002",IF(INDEX(tbl_recyclass[Conforme_PPWR_2030],MATCH(A1098,tbl_recyclass[ProductId],0))="Sim","Conforme (autoavaliação)",IF(INDEX(tbl_recyclass[Conforme_PPWR_2030],MATCH(A1098,tbl_recyclass[ProductId],0))="Não","Não conforme em 2030","Isento até 2035")),IF(B1098="EU-ENV-003",IF(INDEX(tbl_recyclass[Conforme_Art7_2030],MATCH(A1098,tbl_recyclass[ProductId],0))="Sim","Conforme (meta 2030)",IF(INDEX(tbl_recyclass[Conforme_Art7_2030],MATCH(A1098,tbl_recyclass[ProductId],0))="Não","Lacuna face à meta 2030","Isento")),IF(B1098="EU-ENV-011",IF(INDEX(tbl_familias_ppwr[Metais_Pesados_Evidencia],MATCH(INDEX(tbl_recyclass[Familia_PPWR],MATCH(A1098,tbl_recyclass[ProductId],0)),tbl_familias_ppwr[ID_Familia],0))="Em falta","Lacuna","Conforme"),IF(B1098="EU-ENV-013",IF(INDEX(tbl_familias_ppwr[Declaracao_UE],MATCH(INDEX(tbl_recyclass[Familia_PPWR],MATCH(A1098,tbl_recyclass[ProductId],0)),tbl_familias_ppwr[ID_Familia],0))="Sim","Conforme","Lacuna"),G1098)))),G1098))</f>
        <v>Não aplicável</v>
      </c>
      <c r="I1098" s="33" t="str">
        <f t="shared" si="17"/>
        <v>Não aplicável</v>
      </c>
      <c r="J1098" s="26"/>
    </row>
    <row r="1099" spans="1:10" ht="16.05" customHeight="1" x14ac:dyDescent="0.3">
      <c r="A1099" s="26" t="s">
        <v>730</v>
      </c>
      <c r="B1099" s="26" t="s">
        <v>1293</v>
      </c>
      <c r="C1099" s="33" t="str">
        <f>IFERROR(INDEX(tbl_requisitos_emb[Tema],MATCH(B1099,tbl_requisitos_emb[ID_Req],0)),"")</f>
        <v>Isenções PPWR</v>
      </c>
      <c r="D1099" s="33" t="str">
        <f>IFERROR(INDEX(tbl_recyclass[Segmento],MATCH(A1099,tbl_recyclass[ProductId],0)),"")</f>
        <v>Cosmética e higiene pessoal</v>
      </c>
      <c r="E1099" s="26" t="s">
        <v>904</v>
      </c>
      <c r="F1099" s="26" t="s">
        <v>1451</v>
      </c>
      <c r="G1099" s="26" t="s">
        <v>1143</v>
      </c>
      <c r="H1099" s="33" t="str">
        <f>IF(E1099="Não","Não aplicável",IFERROR(IF(B1099="EU-ENV-002",IF(INDEX(tbl_recyclass[Conforme_PPWR_2030],MATCH(A1099,tbl_recyclass[ProductId],0))="Sim","Conforme (autoavaliação)",IF(INDEX(tbl_recyclass[Conforme_PPWR_2030],MATCH(A1099,tbl_recyclass[ProductId],0))="Não","Não conforme em 2030","Isento até 2035")),IF(B1099="EU-ENV-003",IF(INDEX(tbl_recyclass[Conforme_Art7_2030],MATCH(A1099,tbl_recyclass[ProductId],0))="Sim","Conforme (meta 2030)",IF(INDEX(tbl_recyclass[Conforme_Art7_2030],MATCH(A1099,tbl_recyclass[ProductId],0))="Não","Lacuna face à meta 2030","Isento")),IF(B1099="EU-ENV-011",IF(INDEX(tbl_familias_ppwr[Metais_Pesados_Evidencia],MATCH(INDEX(tbl_recyclass[Familia_PPWR],MATCH(A1099,tbl_recyclass[ProductId],0)),tbl_familias_ppwr[ID_Familia],0))="Em falta","Lacuna","Conforme"),IF(B1099="EU-ENV-013",IF(INDEX(tbl_familias_ppwr[Declaracao_UE],MATCH(INDEX(tbl_recyclass[Familia_PPWR],MATCH(A1099,tbl_recyclass[ProductId],0)),tbl_familias_ppwr[ID_Familia],0))="Sim","Conforme","Lacuna"),G1099)))),G1099))</f>
        <v>Não aplicável</v>
      </c>
      <c r="I1099" s="33" t="str">
        <f t="shared" si="17"/>
        <v>Não aplicável</v>
      </c>
      <c r="J1099" s="26"/>
    </row>
    <row r="1100" spans="1:10" ht="16.05" customHeight="1" x14ac:dyDescent="0.3">
      <c r="A1100" s="26" t="s">
        <v>730</v>
      </c>
      <c r="B1100" s="26" t="s">
        <v>1357</v>
      </c>
      <c r="C1100" s="33" t="str">
        <f>IFERROR(INDEX(tbl_requisitos_emb[Tema],MATCH(B1100,tbl_requisitos_emb[ID_Req],0)),"")</f>
        <v>Identificação de plásticos</v>
      </c>
      <c r="D1100" s="33" t="str">
        <f>IFERROR(INDEX(tbl_recyclass[Segmento],MATCH(A1100,tbl_recyclass[ProductId],0)),"")</f>
        <v>Cosmética e higiene pessoal</v>
      </c>
      <c r="E1100" s="26" t="s">
        <v>901</v>
      </c>
      <c r="F1100" s="26" t="s">
        <v>1449</v>
      </c>
      <c r="G1100" s="26" t="s">
        <v>978</v>
      </c>
      <c r="H1100" s="33" t="str">
        <f>IF(E1100="Não","Não aplicável",IFERROR(IF(B1100="EU-ENV-002",IF(INDEX(tbl_recyclass[Conforme_PPWR_2030],MATCH(A1100,tbl_recyclass[ProductId],0))="Sim","Conforme (autoavaliação)",IF(INDEX(tbl_recyclass[Conforme_PPWR_2030],MATCH(A1100,tbl_recyclass[ProductId],0))="Não","Não conforme em 2030","Isento até 2035")),IF(B1100="EU-ENV-003",IF(INDEX(tbl_recyclass[Conforme_Art7_2030],MATCH(A1100,tbl_recyclass[ProductId],0))="Sim","Conforme (meta 2030)",IF(INDEX(tbl_recyclass[Conforme_Art7_2030],MATCH(A1100,tbl_recyclass[ProductId],0))="Não","Lacuna face à meta 2030","Isento")),IF(B1100="EU-ENV-011",IF(INDEX(tbl_familias_ppwr[Metais_Pesados_Evidencia],MATCH(INDEX(tbl_recyclass[Familia_PPWR],MATCH(A1100,tbl_recyclass[ProductId],0)),tbl_familias_ppwr[ID_Familia],0))="Em falta","Lacuna","Conforme"),IF(B1100="EU-ENV-013",IF(INDEX(tbl_familias_ppwr[Declaracao_UE],MATCH(INDEX(tbl_recyclass[Familia_PPWR],MATCH(A1100,tbl_recyclass[ProductId],0)),tbl_familias_ppwr[ID_Familia],0))="Sim","Conforme","Lacuna"),G1100)))),G1100))</f>
        <v>Parcial</v>
      </c>
      <c r="I1100" s="33" t="str">
        <f t="shared" si="17"/>
        <v>Parcial</v>
      </c>
      <c r="J1100" s="26" t="s">
        <v>1362</v>
      </c>
    </row>
    <row r="1101" spans="1:10" ht="16.05" customHeight="1" x14ac:dyDescent="0.3">
      <c r="A1101" s="26" t="s">
        <v>730</v>
      </c>
      <c r="B1101" s="26" t="s">
        <v>1385</v>
      </c>
      <c r="C1101" s="33" t="str">
        <f>IFERROR(INDEX(tbl_requisitos_emb[Tema],MATCH(B1101,tbl_requisitos_emb[ID_Req],0)),"")</f>
        <v>Reciclabilidade (voluntária)</v>
      </c>
      <c r="D1101" s="33" t="str">
        <f>IFERROR(INDEX(tbl_recyclass[Segmento],MATCH(A1101,tbl_recyclass[ProductId],0)),"")</f>
        <v>Cosmética e higiene pessoal</v>
      </c>
      <c r="E1101" s="26" t="s">
        <v>901</v>
      </c>
      <c r="F1101" s="26" t="s">
        <v>1449</v>
      </c>
      <c r="G1101" s="26" t="s">
        <v>978</v>
      </c>
      <c r="H1101" s="33" t="str">
        <f>IF(E1101="Não","Não aplicável",IFERROR(IF(B1101="EU-ENV-002",IF(INDEX(tbl_recyclass[Conforme_PPWR_2030],MATCH(A1101,tbl_recyclass[ProductId],0))="Sim","Conforme (autoavaliação)",IF(INDEX(tbl_recyclass[Conforme_PPWR_2030],MATCH(A1101,tbl_recyclass[ProductId],0))="Não","Não conforme em 2030","Isento até 2035")),IF(B1101="EU-ENV-003",IF(INDEX(tbl_recyclass[Conforme_Art7_2030],MATCH(A1101,tbl_recyclass[ProductId],0))="Sim","Conforme (meta 2030)",IF(INDEX(tbl_recyclass[Conforme_Art7_2030],MATCH(A1101,tbl_recyclass[ProductId],0))="Não","Lacuna face à meta 2030","Isento")),IF(B1101="EU-ENV-011",IF(INDEX(tbl_familias_ppwr[Metais_Pesados_Evidencia],MATCH(INDEX(tbl_recyclass[Familia_PPWR],MATCH(A1101,tbl_recyclass[ProductId],0)),tbl_familias_ppwr[ID_Familia],0))="Em falta","Lacuna","Conforme"),IF(B1101="EU-ENV-013",IF(INDEX(tbl_familias_ppwr[Declaracao_UE],MATCH(INDEX(tbl_recyclass[Familia_PPWR],MATCH(A1101,tbl_recyclass[ProductId],0)),tbl_familias_ppwr[ID_Familia],0))="Sim","Conforme","Lacuna"),G1101)))),G1101))</f>
        <v>Parcial</v>
      </c>
      <c r="I1101" s="33" t="str">
        <f t="shared" si="17"/>
        <v>Parcial</v>
      </c>
      <c r="J1101" s="26" t="s">
        <v>1389</v>
      </c>
    </row>
    <row r="1102" spans="1:10" ht="16.05" customHeight="1" x14ac:dyDescent="0.3">
      <c r="A1102" s="26" t="s">
        <v>732</v>
      </c>
      <c r="B1102" s="26" t="s">
        <v>984</v>
      </c>
      <c r="C1102" s="33" t="str">
        <f>IFERROR(INDEX(tbl_requisitos_emb[Tema],MATCH(B1102,tbl_requisitos_emb[ID_Req],0)),"")</f>
        <v>Conceção para reciclagem</v>
      </c>
      <c r="D1102" s="33" t="str">
        <f>IFERROR(INDEX(tbl_recyclass[Segmento],MATCH(A1102,tbl_recyclass[ProductId],0)),"")</f>
        <v>Cosmética e higiene pessoal</v>
      </c>
      <c r="E1102" s="26" t="s">
        <v>901</v>
      </c>
      <c r="F1102" s="26" t="s">
        <v>1449</v>
      </c>
      <c r="G1102" s="26" t="s">
        <v>978</v>
      </c>
      <c r="H1102" s="33" t="str">
        <f>IF(E1102="Não","Não aplicável",IFERROR(IF(B1102="EU-ENV-002",IF(INDEX(tbl_recyclass[Conforme_PPWR_2030],MATCH(A1102,tbl_recyclass[ProductId],0))="Sim","Conforme (autoavaliação)",IF(INDEX(tbl_recyclass[Conforme_PPWR_2030],MATCH(A1102,tbl_recyclass[ProductId],0))="Não","Não conforme em 2030","Isento até 2035")),IF(B1102="EU-ENV-003",IF(INDEX(tbl_recyclass[Conforme_Art7_2030],MATCH(A1102,tbl_recyclass[ProductId],0))="Sim","Conforme (meta 2030)",IF(INDEX(tbl_recyclass[Conforme_Art7_2030],MATCH(A1102,tbl_recyclass[ProductId],0))="Não","Lacuna face à meta 2030","Isento")),IF(B1102="EU-ENV-011",IF(INDEX(tbl_familias_ppwr[Metais_Pesados_Evidencia],MATCH(INDEX(tbl_recyclass[Familia_PPWR],MATCH(A1102,tbl_recyclass[ProductId],0)),tbl_familias_ppwr[ID_Familia],0))="Em falta","Lacuna","Conforme"),IF(B1102="EU-ENV-013",IF(INDEX(tbl_familias_ppwr[Declaracao_UE],MATCH(INDEX(tbl_recyclass[Familia_PPWR],MATCH(A1102,tbl_recyclass[ProductId],0)),tbl_familias_ppwr[ID_Familia],0))="Sim","Conforme","Lacuna"),G1102)))),G1102))</f>
        <v>Conforme (autoavaliação)</v>
      </c>
      <c r="I1102" s="33" t="str">
        <f t="shared" si="17"/>
        <v>Conforme</v>
      </c>
      <c r="J1102" s="26" t="s">
        <v>991</v>
      </c>
    </row>
    <row r="1103" spans="1:10" ht="16.05" customHeight="1" x14ac:dyDescent="0.3">
      <c r="A1103" s="26" t="s">
        <v>732</v>
      </c>
      <c r="B1103" s="26" t="s">
        <v>997</v>
      </c>
      <c r="C1103" s="33" t="str">
        <f>IFERROR(INDEX(tbl_requisitos_emb[Tema],MATCH(B1103,tbl_requisitos_emb[ID_Req],0)),"")</f>
        <v>Conteúdo reciclado</v>
      </c>
      <c r="D1103" s="33" t="str">
        <f>IFERROR(INDEX(tbl_recyclass[Segmento],MATCH(A1103,tbl_recyclass[ProductId],0)),"")</f>
        <v>Cosmética e higiene pessoal</v>
      </c>
      <c r="E1103" s="26" t="s">
        <v>901</v>
      </c>
      <c r="F1103" s="26" t="s">
        <v>1449</v>
      </c>
      <c r="G1103" s="26" t="s">
        <v>978</v>
      </c>
      <c r="H1103" s="33" t="str">
        <f>IF(E1103="Não","Não aplicável",IFERROR(IF(B1103="EU-ENV-002",IF(INDEX(tbl_recyclass[Conforme_PPWR_2030],MATCH(A1103,tbl_recyclass[ProductId],0))="Sim","Conforme (autoavaliação)",IF(INDEX(tbl_recyclass[Conforme_PPWR_2030],MATCH(A1103,tbl_recyclass[ProductId],0))="Não","Não conforme em 2030","Isento até 2035")),IF(B1103="EU-ENV-003",IF(INDEX(tbl_recyclass[Conforme_Art7_2030],MATCH(A1103,tbl_recyclass[ProductId],0))="Sim","Conforme (meta 2030)",IF(INDEX(tbl_recyclass[Conforme_Art7_2030],MATCH(A1103,tbl_recyclass[ProductId],0))="Não","Lacuna face à meta 2030","Isento")),IF(B1103="EU-ENV-011",IF(INDEX(tbl_familias_ppwr[Metais_Pesados_Evidencia],MATCH(INDEX(tbl_recyclass[Familia_PPWR],MATCH(A1103,tbl_recyclass[ProductId],0)),tbl_familias_ppwr[ID_Familia],0))="Em falta","Lacuna","Conforme"),IF(B1103="EU-ENV-013",IF(INDEX(tbl_familias_ppwr[Declaracao_UE],MATCH(INDEX(tbl_recyclass[Familia_PPWR],MATCH(A1103,tbl_recyclass[ProductId],0)),tbl_familias_ppwr[ID_Familia],0))="Sim","Conforme","Lacuna"),G1103)))),G1103))</f>
        <v>Lacuna face à meta 2030</v>
      </c>
      <c r="I1103" s="33" t="str">
        <f t="shared" si="17"/>
        <v>Lacuna</v>
      </c>
      <c r="J1103" s="26" t="s">
        <v>1001</v>
      </c>
    </row>
    <row r="1104" spans="1:10" ht="16.05" customHeight="1" x14ac:dyDescent="0.3">
      <c r="A1104" s="26" t="s">
        <v>732</v>
      </c>
      <c r="B1104" s="26" t="s">
        <v>1007</v>
      </c>
      <c r="C1104" s="33" t="str">
        <f>IFERROR(INDEX(tbl_requisitos_emb[Tema],MATCH(B1104,tbl_requisitos_emb[ID_Req],0)),"")</f>
        <v>Minimização</v>
      </c>
      <c r="D1104" s="33" t="str">
        <f>IFERROR(INDEX(tbl_recyclass[Segmento],MATCH(A1104,tbl_recyclass[ProductId],0)),"")</f>
        <v>Cosmética e higiene pessoal</v>
      </c>
      <c r="E1104" s="26" t="s">
        <v>901</v>
      </c>
      <c r="F1104" s="26" t="s">
        <v>1449</v>
      </c>
      <c r="G1104" s="26" t="s">
        <v>978</v>
      </c>
      <c r="H1104" s="33" t="str">
        <f>IF(E1104="Não","Não aplicável",IFERROR(IF(B1104="EU-ENV-002",IF(INDEX(tbl_recyclass[Conforme_PPWR_2030],MATCH(A1104,tbl_recyclass[ProductId],0))="Sim","Conforme (autoavaliação)",IF(INDEX(tbl_recyclass[Conforme_PPWR_2030],MATCH(A1104,tbl_recyclass[ProductId],0))="Não","Não conforme em 2030","Isento até 2035")),IF(B1104="EU-ENV-003",IF(INDEX(tbl_recyclass[Conforme_Art7_2030],MATCH(A1104,tbl_recyclass[ProductId],0))="Sim","Conforme (meta 2030)",IF(INDEX(tbl_recyclass[Conforme_Art7_2030],MATCH(A1104,tbl_recyclass[ProductId],0))="Não","Lacuna face à meta 2030","Isento")),IF(B1104="EU-ENV-011",IF(INDEX(tbl_familias_ppwr[Metais_Pesados_Evidencia],MATCH(INDEX(tbl_recyclass[Familia_PPWR],MATCH(A1104,tbl_recyclass[ProductId],0)),tbl_familias_ppwr[ID_Familia],0))="Em falta","Lacuna","Conforme"),IF(B1104="EU-ENV-013",IF(INDEX(tbl_familias_ppwr[Declaracao_UE],MATCH(INDEX(tbl_recyclass[Familia_PPWR],MATCH(A1104,tbl_recyclass[ProductId],0)),tbl_familias_ppwr[ID_Familia],0))="Sim","Conforme","Lacuna"),G1104)))),G1104))</f>
        <v>Parcial</v>
      </c>
      <c r="I1104" s="33" t="str">
        <f t="shared" si="17"/>
        <v>Parcial</v>
      </c>
      <c r="J1104" s="26" t="s">
        <v>1012</v>
      </c>
    </row>
    <row r="1105" spans="1:10" ht="16.05" customHeight="1" x14ac:dyDescent="0.3">
      <c r="A1105" s="26" t="s">
        <v>732</v>
      </c>
      <c r="B1105" s="26" t="s">
        <v>1016</v>
      </c>
      <c r="C1105" s="33" t="str">
        <f>IFERROR(INDEX(tbl_requisitos_emb[Tema],MATCH(B1105,tbl_requisitos_emb[ID_Req],0)),"")</f>
        <v>Rotulagem</v>
      </c>
      <c r="D1105" s="33" t="str">
        <f>IFERROR(INDEX(tbl_recyclass[Segmento],MATCH(A1105,tbl_recyclass[ProductId],0)),"")</f>
        <v>Cosmética e higiene pessoal</v>
      </c>
      <c r="E1105" s="26" t="s">
        <v>901</v>
      </c>
      <c r="F1105" s="26" t="s">
        <v>1449</v>
      </c>
      <c r="G1105" s="26" t="s">
        <v>990</v>
      </c>
      <c r="H1105" s="33" t="str">
        <f>IF(E1105="Não","Não aplicável",IFERROR(IF(B1105="EU-ENV-002",IF(INDEX(tbl_recyclass[Conforme_PPWR_2030],MATCH(A1105,tbl_recyclass[ProductId],0))="Sim","Conforme (autoavaliação)",IF(INDEX(tbl_recyclass[Conforme_PPWR_2030],MATCH(A1105,tbl_recyclass[ProductId],0))="Não","Não conforme em 2030","Isento até 2035")),IF(B1105="EU-ENV-003",IF(INDEX(tbl_recyclass[Conforme_Art7_2030],MATCH(A1105,tbl_recyclass[ProductId],0))="Sim","Conforme (meta 2030)",IF(INDEX(tbl_recyclass[Conforme_Art7_2030],MATCH(A1105,tbl_recyclass[ProductId],0))="Não","Lacuna face à meta 2030","Isento")),IF(B1105="EU-ENV-011",IF(INDEX(tbl_familias_ppwr[Metais_Pesados_Evidencia],MATCH(INDEX(tbl_recyclass[Familia_PPWR],MATCH(A1105,tbl_recyclass[ProductId],0)),tbl_familias_ppwr[ID_Familia],0))="Em falta","Lacuna","Conforme"),IF(B1105="EU-ENV-013",IF(INDEX(tbl_familias_ppwr[Declaracao_UE],MATCH(INDEX(tbl_recyclass[Familia_PPWR],MATCH(A1105,tbl_recyclass[ProductId],0)),tbl_familias_ppwr[ID_Familia],0))="Sim","Conforme","Lacuna"),G1105)))),G1105))</f>
        <v>Futuro</v>
      </c>
      <c r="I1105" s="33" t="str">
        <f t="shared" si="17"/>
        <v>Futuro</v>
      </c>
      <c r="J1105" s="26" t="s">
        <v>1021</v>
      </c>
    </row>
    <row r="1106" spans="1:10" ht="16.05" customHeight="1" x14ac:dyDescent="0.3">
      <c r="A1106" s="26" t="s">
        <v>732</v>
      </c>
      <c r="B1106" s="26" t="s">
        <v>1038</v>
      </c>
      <c r="C1106" s="33" t="str">
        <f>IFERROR(INDEX(tbl_requisitos_emb[Tema],MATCH(B1106,tbl_requisitos_emb[ID_Req],0)),"")</f>
        <v>Plásticos de utilização única</v>
      </c>
      <c r="D1106" s="33" t="str">
        <f>IFERROR(INDEX(tbl_recyclass[Segmento],MATCH(A1106,tbl_recyclass[ProductId],0)),"")</f>
        <v>Cosmética e higiene pessoal</v>
      </c>
      <c r="E1106" s="26" t="s">
        <v>904</v>
      </c>
      <c r="F1106" s="26" t="s">
        <v>1450</v>
      </c>
      <c r="G1106" s="26" t="s">
        <v>1143</v>
      </c>
      <c r="H1106" s="33" t="str">
        <f>IF(E1106="Não","Não aplicável",IFERROR(IF(B1106="EU-ENV-002",IF(INDEX(tbl_recyclass[Conforme_PPWR_2030],MATCH(A1106,tbl_recyclass[ProductId],0))="Sim","Conforme (autoavaliação)",IF(INDEX(tbl_recyclass[Conforme_PPWR_2030],MATCH(A1106,tbl_recyclass[ProductId],0))="Não","Não conforme em 2030","Isento até 2035")),IF(B1106="EU-ENV-003",IF(INDEX(tbl_recyclass[Conforme_Art7_2030],MATCH(A1106,tbl_recyclass[ProductId],0))="Sim","Conforme (meta 2030)",IF(INDEX(tbl_recyclass[Conforme_Art7_2030],MATCH(A1106,tbl_recyclass[ProductId],0))="Não","Lacuna face à meta 2030","Isento")),IF(B1106="EU-ENV-011",IF(INDEX(tbl_familias_ppwr[Metais_Pesados_Evidencia],MATCH(INDEX(tbl_recyclass[Familia_PPWR],MATCH(A1106,tbl_recyclass[ProductId],0)),tbl_familias_ppwr[ID_Familia],0))="Em falta","Lacuna","Conforme"),IF(B1106="EU-ENV-013",IF(INDEX(tbl_familias_ppwr[Declaracao_UE],MATCH(INDEX(tbl_recyclass[Familia_PPWR],MATCH(A1106,tbl_recyclass[ProductId],0)),tbl_familias_ppwr[ID_Familia],0))="Sim","Conforme","Lacuna"),G1106)))),G1106))</f>
        <v>Não aplicável</v>
      </c>
      <c r="I1106" s="33" t="str">
        <f t="shared" si="17"/>
        <v>Não aplicável</v>
      </c>
      <c r="J1106" s="26"/>
    </row>
    <row r="1107" spans="1:10" ht="16.05" customHeight="1" x14ac:dyDescent="0.3">
      <c r="A1107" s="26" t="s">
        <v>732</v>
      </c>
      <c r="B1107" s="26" t="s">
        <v>1078</v>
      </c>
      <c r="C1107" s="33" t="str">
        <f>IFERROR(INDEX(tbl_requisitos_emb[Tema],MATCH(B1107,tbl_requisitos_emb[ID_Req],0)),"")</f>
        <v>Reciclado à escala</v>
      </c>
      <c r="D1107" s="33" t="str">
        <f>IFERROR(INDEX(tbl_recyclass[Segmento],MATCH(A1107,tbl_recyclass[ProductId],0)),"")</f>
        <v>Cosmética e higiene pessoal</v>
      </c>
      <c r="E1107" s="26" t="s">
        <v>901</v>
      </c>
      <c r="F1107" s="26" t="s">
        <v>1449</v>
      </c>
      <c r="G1107" s="26" t="s">
        <v>990</v>
      </c>
      <c r="H1107" s="33" t="str">
        <f>IF(E1107="Não","Não aplicável",IFERROR(IF(B1107="EU-ENV-002",IF(INDEX(tbl_recyclass[Conforme_PPWR_2030],MATCH(A1107,tbl_recyclass[ProductId],0))="Sim","Conforme (autoavaliação)",IF(INDEX(tbl_recyclass[Conforme_PPWR_2030],MATCH(A1107,tbl_recyclass[ProductId],0))="Não","Não conforme em 2030","Isento até 2035")),IF(B1107="EU-ENV-003",IF(INDEX(tbl_recyclass[Conforme_Art7_2030],MATCH(A1107,tbl_recyclass[ProductId],0))="Sim","Conforme (meta 2030)",IF(INDEX(tbl_recyclass[Conforme_Art7_2030],MATCH(A1107,tbl_recyclass[ProductId],0))="Não","Lacuna face à meta 2030","Isento")),IF(B1107="EU-ENV-011",IF(INDEX(tbl_familias_ppwr[Metais_Pesados_Evidencia],MATCH(INDEX(tbl_recyclass[Familia_PPWR],MATCH(A1107,tbl_recyclass[ProductId],0)),tbl_familias_ppwr[ID_Familia],0))="Em falta","Lacuna","Conforme"),IF(B1107="EU-ENV-013",IF(INDEX(tbl_familias_ppwr[Declaracao_UE],MATCH(INDEX(tbl_recyclass[Familia_PPWR],MATCH(A1107,tbl_recyclass[ProductId],0)),tbl_familias_ppwr[ID_Familia],0))="Sim","Conforme","Lacuna"),G1107)))),G1107))</f>
        <v>Futuro</v>
      </c>
      <c r="I1107" s="33" t="str">
        <f t="shared" si="17"/>
        <v>Futuro</v>
      </c>
      <c r="J1107" s="26" t="s">
        <v>1082</v>
      </c>
    </row>
    <row r="1108" spans="1:10" ht="16.05" customHeight="1" x14ac:dyDescent="0.3">
      <c r="A1108" s="26" t="s">
        <v>732</v>
      </c>
      <c r="B1108" s="26" t="s">
        <v>1086</v>
      </c>
      <c r="C1108" s="33" t="str">
        <f>IFERROR(INDEX(tbl_requisitos_emb[Tema],MATCH(B1108,tbl_requisitos_emb[ID_Req],0)),"")</f>
        <v>Metais pesados</v>
      </c>
      <c r="D1108" s="33" t="str">
        <f>IFERROR(INDEX(tbl_recyclass[Segmento],MATCH(A1108,tbl_recyclass[ProductId],0)),"")</f>
        <v>Cosmética e higiene pessoal</v>
      </c>
      <c r="E1108" s="26" t="s">
        <v>901</v>
      </c>
      <c r="F1108" s="26" t="s">
        <v>1449</v>
      </c>
      <c r="G1108" s="26" t="s">
        <v>978</v>
      </c>
      <c r="H1108" s="33" t="str">
        <f>IF(E1108="Não","Não aplicável",IFERROR(IF(B1108="EU-ENV-002",IF(INDEX(tbl_recyclass[Conforme_PPWR_2030],MATCH(A1108,tbl_recyclass[ProductId],0))="Sim","Conforme (autoavaliação)",IF(INDEX(tbl_recyclass[Conforme_PPWR_2030],MATCH(A1108,tbl_recyclass[ProductId],0))="Não","Não conforme em 2030","Isento até 2035")),IF(B1108="EU-ENV-003",IF(INDEX(tbl_recyclass[Conforme_Art7_2030],MATCH(A1108,tbl_recyclass[ProductId],0))="Sim","Conforme (meta 2030)",IF(INDEX(tbl_recyclass[Conforme_Art7_2030],MATCH(A1108,tbl_recyclass[ProductId],0))="Não","Lacuna face à meta 2030","Isento")),IF(B1108="EU-ENV-011",IF(INDEX(tbl_familias_ppwr[Metais_Pesados_Evidencia],MATCH(INDEX(tbl_recyclass[Familia_PPWR],MATCH(A1108,tbl_recyclass[ProductId],0)),tbl_familias_ppwr[ID_Familia],0))="Em falta","Lacuna","Conforme"),IF(B1108="EU-ENV-013",IF(INDEX(tbl_familias_ppwr[Declaracao_UE],MATCH(INDEX(tbl_recyclass[Familia_PPWR],MATCH(A1108,tbl_recyclass[ProductId],0)),tbl_familias_ppwr[ID_Familia],0))="Sim","Conforme","Lacuna"),G1108)))),G1108))</f>
        <v>Conforme</v>
      </c>
      <c r="I1108" s="33" t="str">
        <f t="shared" si="17"/>
        <v>Conforme</v>
      </c>
      <c r="J1108" s="26" t="s">
        <v>1090</v>
      </c>
    </row>
    <row r="1109" spans="1:10" ht="16.05" customHeight="1" x14ac:dyDescent="0.3">
      <c r="A1109" s="26" t="s">
        <v>732</v>
      </c>
      <c r="B1109" s="26" t="s">
        <v>1094</v>
      </c>
      <c r="C1109" s="33" t="str">
        <f>IFERROR(INDEX(tbl_requisitos_emb[Tema],MATCH(B1109,tbl_requisitos_emb[ID_Req],0)),"")</f>
        <v>PFAS</v>
      </c>
      <c r="D1109" s="33" t="str">
        <f>IFERROR(INDEX(tbl_recyclass[Segmento],MATCH(A1109,tbl_recyclass[ProductId],0)),"")</f>
        <v>Cosmética e higiene pessoal</v>
      </c>
      <c r="E1109" s="26" t="s">
        <v>904</v>
      </c>
      <c r="F1109" s="26" t="s">
        <v>1450</v>
      </c>
      <c r="G1109" s="26" t="s">
        <v>1143</v>
      </c>
      <c r="H1109" s="33" t="str">
        <f>IF(E1109="Não","Não aplicável",IFERROR(IF(B1109="EU-ENV-002",IF(INDEX(tbl_recyclass[Conforme_PPWR_2030],MATCH(A1109,tbl_recyclass[ProductId],0))="Sim","Conforme (autoavaliação)",IF(INDEX(tbl_recyclass[Conforme_PPWR_2030],MATCH(A1109,tbl_recyclass[ProductId],0))="Não","Não conforme em 2030","Isento até 2035")),IF(B1109="EU-ENV-003",IF(INDEX(tbl_recyclass[Conforme_Art7_2030],MATCH(A1109,tbl_recyclass[ProductId],0))="Sim","Conforme (meta 2030)",IF(INDEX(tbl_recyclass[Conforme_Art7_2030],MATCH(A1109,tbl_recyclass[ProductId],0))="Não","Lacuna face à meta 2030","Isento")),IF(B1109="EU-ENV-011",IF(INDEX(tbl_familias_ppwr[Metais_Pesados_Evidencia],MATCH(INDEX(tbl_recyclass[Familia_PPWR],MATCH(A1109,tbl_recyclass[ProductId],0)),tbl_familias_ppwr[ID_Familia],0))="Em falta","Lacuna","Conforme"),IF(B1109="EU-ENV-013",IF(INDEX(tbl_familias_ppwr[Declaracao_UE],MATCH(INDEX(tbl_recyclass[Familia_PPWR],MATCH(A1109,tbl_recyclass[ProductId],0)),tbl_familias_ppwr[ID_Familia],0))="Sim","Conforme","Lacuna"),G1109)))),G1109))</f>
        <v>Não aplicável</v>
      </c>
      <c r="I1109" s="33" t="str">
        <f t="shared" si="17"/>
        <v>Não aplicável</v>
      </c>
      <c r="J1109" s="26"/>
    </row>
    <row r="1110" spans="1:10" ht="16.05" customHeight="1" x14ac:dyDescent="0.3">
      <c r="A1110" s="26" t="s">
        <v>732</v>
      </c>
      <c r="B1110" s="26" t="s">
        <v>1102</v>
      </c>
      <c r="C1110" s="33" t="str">
        <f>IFERROR(INDEX(tbl_requisitos_emb[Tema],MATCH(B1110,tbl_requisitos_emb[ID_Req],0)),"")</f>
        <v>Documentação técnica e declaração UE</v>
      </c>
      <c r="D1110" s="33" t="str">
        <f>IFERROR(INDEX(tbl_recyclass[Segmento],MATCH(A1110,tbl_recyclass[ProductId],0)),"")</f>
        <v>Cosmética e higiene pessoal</v>
      </c>
      <c r="E1110" s="26" t="s">
        <v>901</v>
      </c>
      <c r="F1110" s="26" t="s">
        <v>1449</v>
      </c>
      <c r="G1110" s="26" t="s">
        <v>978</v>
      </c>
      <c r="H1110" s="33" t="str">
        <f>IF(E1110="Não","Não aplicável",IFERROR(IF(B1110="EU-ENV-002",IF(INDEX(tbl_recyclass[Conforme_PPWR_2030],MATCH(A1110,tbl_recyclass[ProductId],0))="Sim","Conforme (autoavaliação)",IF(INDEX(tbl_recyclass[Conforme_PPWR_2030],MATCH(A1110,tbl_recyclass[ProductId],0))="Não","Não conforme em 2030","Isento até 2035")),IF(B1110="EU-ENV-003",IF(INDEX(tbl_recyclass[Conforme_Art7_2030],MATCH(A1110,tbl_recyclass[ProductId],0))="Sim","Conforme (meta 2030)",IF(INDEX(tbl_recyclass[Conforme_Art7_2030],MATCH(A1110,tbl_recyclass[ProductId],0))="Não","Lacuna face à meta 2030","Isento")),IF(B1110="EU-ENV-011",IF(INDEX(tbl_familias_ppwr[Metais_Pesados_Evidencia],MATCH(INDEX(tbl_recyclass[Familia_PPWR],MATCH(A1110,tbl_recyclass[ProductId],0)),tbl_familias_ppwr[ID_Familia],0))="Em falta","Lacuna","Conforme"),IF(B1110="EU-ENV-013",IF(INDEX(tbl_familias_ppwr[Declaracao_UE],MATCH(INDEX(tbl_recyclass[Familia_PPWR],MATCH(A1110,tbl_recyclass[ProductId],0)),tbl_familias_ppwr[ID_Familia],0))="Sim","Conforme","Lacuna"),G1110)))),G1110))</f>
        <v>Conforme</v>
      </c>
      <c r="I1110" s="33" t="str">
        <f t="shared" si="17"/>
        <v>Conforme</v>
      </c>
      <c r="J1110" s="26" t="s">
        <v>1106</v>
      </c>
    </row>
    <row r="1111" spans="1:10" ht="16.05" customHeight="1" x14ac:dyDescent="0.3">
      <c r="A1111" s="26" t="s">
        <v>732</v>
      </c>
      <c r="B1111" s="26" t="s">
        <v>1161</v>
      </c>
      <c r="C1111" s="33" t="str">
        <f>IFERROR(INDEX(tbl_requisitos_emb[Tema],MATCH(B1111,tbl_requisitos_emb[ID_Req],0)),"")</f>
        <v>Materiais em contacto com alimentos</v>
      </c>
      <c r="D1111" s="33" t="str">
        <f>IFERROR(INDEX(tbl_recyclass[Segmento],MATCH(A1111,tbl_recyclass[ProductId],0)),"")</f>
        <v>Cosmética e higiene pessoal</v>
      </c>
      <c r="E1111" s="26" t="s">
        <v>904</v>
      </c>
      <c r="F1111" s="26" t="s">
        <v>1450</v>
      </c>
      <c r="G1111" s="26" t="s">
        <v>1143</v>
      </c>
      <c r="H1111" s="33" t="str">
        <f>IF(E1111="Não","Não aplicável",IFERROR(IF(B1111="EU-ENV-002",IF(INDEX(tbl_recyclass[Conforme_PPWR_2030],MATCH(A1111,tbl_recyclass[ProductId],0))="Sim","Conforme (autoavaliação)",IF(INDEX(tbl_recyclass[Conforme_PPWR_2030],MATCH(A1111,tbl_recyclass[ProductId],0))="Não","Não conforme em 2030","Isento até 2035")),IF(B1111="EU-ENV-003",IF(INDEX(tbl_recyclass[Conforme_Art7_2030],MATCH(A1111,tbl_recyclass[ProductId],0))="Sim","Conforme (meta 2030)",IF(INDEX(tbl_recyclass[Conforme_Art7_2030],MATCH(A1111,tbl_recyclass[ProductId],0))="Não","Lacuna face à meta 2030","Isento")),IF(B1111="EU-ENV-011",IF(INDEX(tbl_familias_ppwr[Metais_Pesados_Evidencia],MATCH(INDEX(tbl_recyclass[Familia_PPWR],MATCH(A1111,tbl_recyclass[ProductId],0)),tbl_familias_ppwr[ID_Familia],0))="Em falta","Lacuna","Conforme"),IF(B1111="EU-ENV-013",IF(INDEX(tbl_familias_ppwr[Declaracao_UE],MATCH(INDEX(tbl_recyclass[Familia_PPWR],MATCH(A1111,tbl_recyclass[ProductId],0)),tbl_familias_ppwr[ID_Familia],0))="Sim","Conforme","Lacuna"),G1111)))),G1111))</f>
        <v>Não aplicável</v>
      </c>
      <c r="I1111" s="33" t="str">
        <f t="shared" si="17"/>
        <v>Não aplicável</v>
      </c>
      <c r="J1111" s="26"/>
    </row>
    <row r="1112" spans="1:10" ht="16.05" customHeight="1" x14ac:dyDescent="0.3">
      <c r="A1112" s="26" t="s">
        <v>732</v>
      </c>
      <c r="B1112" s="26" t="s">
        <v>1170</v>
      </c>
      <c r="C1112" s="33" t="str">
        <f>IFERROR(INDEX(tbl_requisitos_emb[Tema],MATCH(B1112,tbl_requisitos_emb[ID_Req],0)),"")</f>
        <v>Boas práticas de fabrico FCM</v>
      </c>
      <c r="D1112" s="33" t="str">
        <f>IFERROR(INDEX(tbl_recyclass[Segmento],MATCH(A1112,tbl_recyclass[ProductId],0)),"")</f>
        <v>Cosmética e higiene pessoal</v>
      </c>
      <c r="E1112" s="26" t="s">
        <v>904</v>
      </c>
      <c r="F1112" s="26" t="s">
        <v>1450</v>
      </c>
      <c r="G1112" s="26" t="s">
        <v>1143</v>
      </c>
      <c r="H1112" s="33" t="str">
        <f>IF(E1112="Não","Não aplicável",IFERROR(IF(B1112="EU-ENV-002",IF(INDEX(tbl_recyclass[Conforme_PPWR_2030],MATCH(A1112,tbl_recyclass[ProductId],0))="Sim","Conforme (autoavaliação)",IF(INDEX(tbl_recyclass[Conforme_PPWR_2030],MATCH(A1112,tbl_recyclass[ProductId],0))="Não","Não conforme em 2030","Isento até 2035")),IF(B1112="EU-ENV-003",IF(INDEX(tbl_recyclass[Conforme_Art7_2030],MATCH(A1112,tbl_recyclass[ProductId],0))="Sim","Conforme (meta 2030)",IF(INDEX(tbl_recyclass[Conforme_Art7_2030],MATCH(A1112,tbl_recyclass[ProductId],0))="Não","Lacuna face à meta 2030","Isento")),IF(B1112="EU-ENV-011",IF(INDEX(tbl_familias_ppwr[Metais_Pesados_Evidencia],MATCH(INDEX(tbl_recyclass[Familia_PPWR],MATCH(A1112,tbl_recyclass[ProductId],0)),tbl_familias_ppwr[ID_Familia],0))="Em falta","Lacuna","Conforme"),IF(B1112="EU-ENV-013",IF(INDEX(tbl_familias_ppwr[Declaracao_UE],MATCH(INDEX(tbl_recyclass[Familia_PPWR],MATCH(A1112,tbl_recyclass[ProductId],0)),tbl_familias_ppwr[ID_Familia],0))="Sim","Conforme","Lacuna"),G1112)))),G1112))</f>
        <v>Não aplicável</v>
      </c>
      <c r="I1112" s="33" t="str">
        <f t="shared" si="17"/>
        <v>Não aplicável</v>
      </c>
      <c r="J1112" s="26"/>
    </row>
    <row r="1113" spans="1:10" ht="16.05" customHeight="1" x14ac:dyDescent="0.3">
      <c r="A1113" s="26" t="s">
        <v>732</v>
      </c>
      <c r="B1113" s="26" t="s">
        <v>1179</v>
      </c>
      <c r="C1113" s="33" t="str">
        <f>IFERROR(INDEX(tbl_requisitos_emb[Tema],MATCH(B1113,tbl_requisitos_emb[ID_Req],0)),"")</f>
        <v>Bisfenol A e bisfenóis perigosos</v>
      </c>
      <c r="D1113" s="33" t="str">
        <f>IFERROR(INDEX(tbl_recyclass[Segmento],MATCH(A1113,tbl_recyclass[ProductId],0)),"")</f>
        <v>Cosmética e higiene pessoal</v>
      </c>
      <c r="E1113" s="26" t="s">
        <v>904</v>
      </c>
      <c r="F1113" s="26" t="s">
        <v>1450</v>
      </c>
      <c r="G1113" s="26" t="s">
        <v>1143</v>
      </c>
      <c r="H1113" s="33" t="str">
        <f>IF(E1113="Não","Não aplicável",IFERROR(IF(B1113="EU-ENV-002",IF(INDEX(tbl_recyclass[Conforme_PPWR_2030],MATCH(A1113,tbl_recyclass[ProductId],0))="Sim","Conforme (autoavaliação)",IF(INDEX(tbl_recyclass[Conforme_PPWR_2030],MATCH(A1113,tbl_recyclass[ProductId],0))="Não","Não conforme em 2030","Isento até 2035")),IF(B1113="EU-ENV-003",IF(INDEX(tbl_recyclass[Conforme_Art7_2030],MATCH(A1113,tbl_recyclass[ProductId],0))="Sim","Conforme (meta 2030)",IF(INDEX(tbl_recyclass[Conforme_Art7_2030],MATCH(A1113,tbl_recyclass[ProductId],0))="Não","Lacuna face à meta 2030","Isento")),IF(B1113="EU-ENV-011",IF(INDEX(tbl_familias_ppwr[Metais_Pesados_Evidencia],MATCH(INDEX(tbl_recyclass[Familia_PPWR],MATCH(A1113,tbl_recyclass[ProductId],0)),tbl_familias_ppwr[ID_Familia],0))="Em falta","Lacuna","Conforme"),IF(B1113="EU-ENV-013",IF(INDEX(tbl_familias_ppwr[Declaracao_UE],MATCH(INDEX(tbl_recyclass[Familia_PPWR],MATCH(A1113,tbl_recyclass[ProductId],0)),tbl_familias_ppwr[ID_Familia],0))="Sim","Conforme","Lacuna"),G1113)))),G1113))</f>
        <v>Não aplicável</v>
      </c>
      <c r="I1113" s="33" t="str">
        <f t="shared" si="17"/>
        <v>Não aplicável</v>
      </c>
      <c r="J1113" s="26"/>
    </row>
    <row r="1114" spans="1:10" ht="16.05" customHeight="1" x14ac:dyDescent="0.3">
      <c r="A1114" s="26" t="s">
        <v>732</v>
      </c>
      <c r="B1114" s="26" t="s">
        <v>1188</v>
      </c>
      <c r="C1114" s="33" t="str">
        <f>IFERROR(INDEX(tbl_requisitos_emb[Tema],MATCH(B1114,tbl_requisitos_emb[ID_Req],0)),"")</f>
        <v>Plásticos em contacto com alimentos</v>
      </c>
      <c r="D1114" s="33" t="str">
        <f>IFERROR(INDEX(tbl_recyclass[Segmento],MATCH(A1114,tbl_recyclass[ProductId],0)),"")</f>
        <v>Cosmética e higiene pessoal</v>
      </c>
      <c r="E1114" s="26" t="s">
        <v>904</v>
      </c>
      <c r="F1114" s="26" t="s">
        <v>1450</v>
      </c>
      <c r="G1114" s="26" t="s">
        <v>1143</v>
      </c>
      <c r="H1114" s="33" t="str">
        <f>IF(E1114="Não","Não aplicável",IFERROR(IF(B1114="EU-ENV-002",IF(INDEX(tbl_recyclass[Conforme_PPWR_2030],MATCH(A1114,tbl_recyclass[ProductId],0))="Sim","Conforme (autoavaliação)",IF(INDEX(tbl_recyclass[Conforme_PPWR_2030],MATCH(A1114,tbl_recyclass[ProductId],0))="Não","Não conforme em 2030","Isento até 2035")),IF(B1114="EU-ENV-003",IF(INDEX(tbl_recyclass[Conforme_Art7_2030],MATCH(A1114,tbl_recyclass[ProductId],0))="Sim","Conforme (meta 2030)",IF(INDEX(tbl_recyclass[Conforme_Art7_2030],MATCH(A1114,tbl_recyclass[ProductId],0))="Não","Lacuna face à meta 2030","Isento")),IF(B1114="EU-ENV-011",IF(INDEX(tbl_familias_ppwr[Metais_Pesados_Evidencia],MATCH(INDEX(tbl_recyclass[Familia_PPWR],MATCH(A1114,tbl_recyclass[ProductId],0)),tbl_familias_ppwr[ID_Familia],0))="Em falta","Lacuna","Conforme"),IF(B1114="EU-ENV-013",IF(INDEX(tbl_familias_ppwr[Declaracao_UE],MATCH(INDEX(tbl_recyclass[Familia_PPWR],MATCH(A1114,tbl_recyclass[ProductId],0)),tbl_familias_ppwr[ID_Familia],0))="Sim","Conforme","Lacuna"),G1114)))),G1114))</f>
        <v>Não aplicável</v>
      </c>
      <c r="I1114" s="33" t="str">
        <f t="shared" si="17"/>
        <v>Não aplicável</v>
      </c>
      <c r="J1114" s="26"/>
    </row>
    <row r="1115" spans="1:10" ht="16.05" customHeight="1" x14ac:dyDescent="0.3">
      <c r="A1115" s="26" t="s">
        <v>732</v>
      </c>
      <c r="B1115" s="26" t="s">
        <v>1212</v>
      </c>
      <c r="C1115" s="33" t="str">
        <f>IFERROR(INDEX(tbl_requisitos_emb[Tema],MATCH(B1115,tbl_requisitos_emb[ID_Req],0)),"")</f>
        <v>Segurança do produto cosmético</v>
      </c>
      <c r="D1115" s="33" t="str">
        <f>IFERROR(INDEX(tbl_recyclass[Segmento],MATCH(A1115,tbl_recyclass[ProductId],0)),"")</f>
        <v>Cosmética e higiene pessoal</v>
      </c>
      <c r="E1115" s="26" t="s">
        <v>901</v>
      </c>
      <c r="F1115" s="26" t="s">
        <v>1449</v>
      </c>
      <c r="G1115" s="26" t="s">
        <v>1033</v>
      </c>
      <c r="H1115" s="33" t="str">
        <f>IF(E1115="Não","Não aplicável",IFERROR(IF(B1115="EU-ENV-002",IF(INDEX(tbl_recyclass[Conforme_PPWR_2030],MATCH(A1115,tbl_recyclass[ProductId],0))="Sim","Conforme (autoavaliação)",IF(INDEX(tbl_recyclass[Conforme_PPWR_2030],MATCH(A1115,tbl_recyclass[ProductId],0))="Não","Não conforme em 2030","Isento até 2035")),IF(B1115="EU-ENV-003",IF(INDEX(tbl_recyclass[Conforme_Art7_2030],MATCH(A1115,tbl_recyclass[ProductId],0))="Sim","Conforme (meta 2030)",IF(INDEX(tbl_recyclass[Conforme_Art7_2030],MATCH(A1115,tbl_recyclass[ProductId],0))="Não","Lacuna face à meta 2030","Isento")),IF(B1115="EU-ENV-011",IF(INDEX(tbl_familias_ppwr[Metais_Pesados_Evidencia],MATCH(INDEX(tbl_recyclass[Familia_PPWR],MATCH(A1115,tbl_recyclass[ProductId],0)),tbl_familias_ppwr[ID_Familia],0))="Em falta","Lacuna","Conforme"),IF(B1115="EU-ENV-013",IF(INDEX(tbl_familias_ppwr[Declaracao_UE],MATCH(INDEX(tbl_recyclass[Familia_PPWR],MATCH(A1115,tbl_recyclass[ProductId],0)),tbl_familias_ppwr[ID_Familia],0))="Sim","Conforme","Lacuna"),G1115)))),G1115))</f>
        <v>Conforme</v>
      </c>
      <c r="I1115" s="33" t="str">
        <f t="shared" si="17"/>
        <v>Conforme</v>
      </c>
      <c r="J1115" s="26" t="s">
        <v>1221</v>
      </c>
    </row>
    <row r="1116" spans="1:10" ht="16.05" customHeight="1" x14ac:dyDescent="0.3">
      <c r="A1116" s="26" t="s">
        <v>732</v>
      </c>
      <c r="B1116" s="26" t="s">
        <v>1224</v>
      </c>
      <c r="C1116" s="33" t="str">
        <f>IFERROR(INDEX(tbl_requisitos_emb[Tema],MATCH(B1116,tbl_requisitos_emb[ID_Req],0)),"")</f>
        <v>Materiais e impurezas</v>
      </c>
      <c r="D1116" s="33" t="str">
        <f>IFERROR(INDEX(tbl_recyclass[Segmento],MATCH(A1116,tbl_recyclass[ProductId],0)),"")</f>
        <v>Cosmética e higiene pessoal</v>
      </c>
      <c r="E1116" s="26" t="s">
        <v>901</v>
      </c>
      <c r="F1116" s="26" t="s">
        <v>1449</v>
      </c>
      <c r="G1116" s="26" t="s">
        <v>978</v>
      </c>
      <c r="H1116" s="33" t="str">
        <f>IF(E1116="Não","Não aplicável",IFERROR(IF(B1116="EU-ENV-002",IF(INDEX(tbl_recyclass[Conforme_PPWR_2030],MATCH(A1116,tbl_recyclass[ProductId],0))="Sim","Conforme (autoavaliação)",IF(INDEX(tbl_recyclass[Conforme_PPWR_2030],MATCH(A1116,tbl_recyclass[ProductId],0))="Não","Não conforme em 2030","Isento até 2035")),IF(B1116="EU-ENV-003",IF(INDEX(tbl_recyclass[Conforme_Art7_2030],MATCH(A1116,tbl_recyclass[ProductId],0))="Sim","Conforme (meta 2030)",IF(INDEX(tbl_recyclass[Conforme_Art7_2030],MATCH(A1116,tbl_recyclass[ProductId],0))="Não","Lacuna face à meta 2030","Isento")),IF(B1116="EU-ENV-011",IF(INDEX(tbl_familias_ppwr[Metais_Pesados_Evidencia],MATCH(INDEX(tbl_recyclass[Familia_PPWR],MATCH(A1116,tbl_recyclass[ProductId],0)),tbl_familias_ppwr[ID_Familia],0))="Em falta","Lacuna","Conforme"),IF(B1116="EU-ENV-013",IF(INDEX(tbl_familias_ppwr[Declaracao_UE],MATCH(INDEX(tbl_recyclass[Familia_PPWR],MATCH(A1116,tbl_recyclass[ProductId],0)),tbl_familias_ppwr[ID_Familia],0))="Sim","Conforme","Lacuna"),G1116)))),G1116))</f>
        <v>Parcial</v>
      </c>
      <c r="I1116" s="33" t="str">
        <f t="shared" si="17"/>
        <v>Parcial</v>
      </c>
      <c r="J1116" s="26" t="s">
        <v>1228</v>
      </c>
    </row>
    <row r="1117" spans="1:10" ht="16.05" customHeight="1" x14ac:dyDescent="0.3">
      <c r="A1117" s="26" t="s">
        <v>732</v>
      </c>
      <c r="B1117" s="26" t="s">
        <v>1240</v>
      </c>
      <c r="C1117" s="33" t="str">
        <f>IFERROR(INDEX(tbl_requisitos_emb[Tema],MATCH(B1117,tbl_requisitos_emb[ID_Req],0)),"")</f>
        <v>Compatibilidade embalagem–produto</v>
      </c>
      <c r="D1117" s="33" t="str">
        <f>IFERROR(INDEX(tbl_recyclass[Segmento],MATCH(A1117,tbl_recyclass[ProductId],0)),"")</f>
        <v>Cosmética e higiene pessoal</v>
      </c>
      <c r="E1117" s="26" t="s">
        <v>901</v>
      </c>
      <c r="F1117" s="26" t="s">
        <v>1449</v>
      </c>
      <c r="G1117" s="26" t="s">
        <v>1033</v>
      </c>
      <c r="H1117" s="33" t="str">
        <f>IF(E1117="Não","Não aplicável",IFERROR(IF(B1117="EU-ENV-002",IF(INDEX(tbl_recyclass[Conforme_PPWR_2030],MATCH(A1117,tbl_recyclass[ProductId],0))="Sim","Conforme (autoavaliação)",IF(INDEX(tbl_recyclass[Conforme_PPWR_2030],MATCH(A1117,tbl_recyclass[ProductId],0))="Não","Não conforme em 2030","Isento até 2035")),IF(B1117="EU-ENV-003",IF(INDEX(tbl_recyclass[Conforme_Art7_2030],MATCH(A1117,tbl_recyclass[ProductId],0))="Sim","Conforme (meta 2030)",IF(INDEX(tbl_recyclass[Conforme_Art7_2030],MATCH(A1117,tbl_recyclass[ProductId],0))="Não","Lacuna face à meta 2030","Isento")),IF(B1117="EU-ENV-011",IF(INDEX(tbl_familias_ppwr[Metais_Pesados_Evidencia],MATCH(INDEX(tbl_recyclass[Familia_PPWR],MATCH(A1117,tbl_recyclass[ProductId],0)),tbl_familias_ppwr[ID_Familia],0))="Em falta","Lacuna","Conforme"),IF(B1117="EU-ENV-013",IF(INDEX(tbl_familias_ppwr[Declaracao_UE],MATCH(INDEX(tbl_recyclass[Familia_PPWR],MATCH(A1117,tbl_recyclass[ProductId],0)),tbl_familias_ppwr[ID_Familia],0))="Sim","Conforme","Lacuna"),G1117)))),G1117))</f>
        <v>Conforme</v>
      </c>
      <c r="I1117" s="33" t="str">
        <f t="shared" si="17"/>
        <v>Conforme</v>
      </c>
      <c r="J1117" s="26" t="s">
        <v>1244</v>
      </c>
    </row>
    <row r="1118" spans="1:10" ht="16.05" customHeight="1" x14ac:dyDescent="0.3">
      <c r="A1118" s="26" t="s">
        <v>732</v>
      </c>
      <c r="B1118" s="26" t="s">
        <v>1252</v>
      </c>
      <c r="C1118" s="33" t="str">
        <f>IFERROR(INDEX(tbl_requisitos_emb[Tema],MATCH(B1118,tbl_requisitos_emb[ID_Req],0)),"")</f>
        <v>Medicamentos de uso humano</v>
      </c>
      <c r="D1118" s="33" t="str">
        <f>IFERROR(INDEX(tbl_recyclass[Segmento],MATCH(A1118,tbl_recyclass[ProductId],0)),"")</f>
        <v>Cosmética e higiene pessoal</v>
      </c>
      <c r="E1118" s="26" t="s">
        <v>904</v>
      </c>
      <c r="F1118" s="26" t="s">
        <v>1451</v>
      </c>
      <c r="G1118" s="26" t="s">
        <v>1143</v>
      </c>
      <c r="H1118" s="33" t="str">
        <f>IF(E1118="Não","Não aplicável",IFERROR(IF(B1118="EU-ENV-002",IF(INDEX(tbl_recyclass[Conforme_PPWR_2030],MATCH(A1118,tbl_recyclass[ProductId],0))="Sim","Conforme (autoavaliação)",IF(INDEX(tbl_recyclass[Conforme_PPWR_2030],MATCH(A1118,tbl_recyclass[ProductId],0))="Não","Não conforme em 2030","Isento até 2035")),IF(B1118="EU-ENV-003",IF(INDEX(tbl_recyclass[Conforme_Art7_2030],MATCH(A1118,tbl_recyclass[ProductId],0))="Sim","Conforme (meta 2030)",IF(INDEX(tbl_recyclass[Conforme_Art7_2030],MATCH(A1118,tbl_recyclass[ProductId],0))="Não","Lacuna face à meta 2030","Isento")),IF(B1118="EU-ENV-011",IF(INDEX(tbl_familias_ppwr[Metais_Pesados_Evidencia],MATCH(INDEX(tbl_recyclass[Familia_PPWR],MATCH(A1118,tbl_recyclass[ProductId],0)),tbl_familias_ppwr[ID_Familia],0))="Em falta","Lacuna","Conforme"),IF(B1118="EU-ENV-013",IF(INDEX(tbl_familias_ppwr[Declaracao_UE],MATCH(INDEX(tbl_recyclass[Familia_PPWR],MATCH(A1118,tbl_recyclass[ProductId],0)),tbl_familias_ppwr[ID_Familia],0))="Sim","Conforme","Lacuna"),G1118)))),G1118))</f>
        <v>Não aplicável</v>
      </c>
      <c r="I1118" s="33" t="str">
        <f t="shared" si="17"/>
        <v>Não aplicável</v>
      </c>
      <c r="J1118" s="26"/>
    </row>
    <row r="1119" spans="1:10" ht="16.05" customHeight="1" x14ac:dyDescent="0.3">
      <c r="A1119" s="26" t="s">
        <v>732</v>
      </c>
      <c r="B1119" s="26" t="s">
        <v>1268</v>
      </c>
      <c r="C1119" s="33" t="str">
        <f>IFERROR(INDEX(tbl_requisitos_emb[Tema],MATCH(B1119,tbl_requisitos_emb[ID_Req],0)),"")</f>
        <v>Dispositivos de segurança</v>
      </c>
      <c r="D1119" s="33" t="str">
        <f>IFERROR(INDEX(tbl_recyclass[Segmento],MATCH(A1119,tbl_recyclass[ProductId],0)),"")</f>
        <v>Cosmética e higiene pessoal</v>
      </c>
      <c r="E1119" s="26" t="s">
        <v>904</v>
      </c>
      <c r="F1119" s="26" t="s">
        <v>1451</v>
      </c>
      <c r="G1119" s="26" t="s">
        <v>1143</v>
      </c>
      <c r="H1119" s="33" t="str">
        <f>IF(E1119="Não","Não aplicável",IFERROR(IF(B1119="EU-ENV-002",IF(INDEX(tbl_recyclass[Conforme_PPWR_2030],MATCH(A1119,tbl_recyclass[ProductId],0))="Sim","Conforme (autoavaliação)",IF(INDEX(tbl_recyclass[Conforme_PPWR_2030],MATCH(A1119,tbl_recyclass[ProductId],0))="Não","Não conforme em 2030","Isento até 2035")),IF(B1119="EU-ENV-003",IF(INDEX(tbl_recyclass[Conforme_Art7_2030],MATCH(A1119,tbl_recyclass[ProductId],0))="Sim","Conforme (meta 2030)",IF(INDEX(tbl_recyclass[Conforme_Art7_2030],MATCH(A1119,tbl_recyclass[ProductId],0))="Não","Lacuna face à meta 2030","Isento")),IF(B1119="EU-ENV-011",IF(INDEX(tbl_familias_ppwr[Metais_Pesados_Evidencia],MATCH(INDEX(tbl_recyclass[Familia_PPWR],MATCH(A1119,tbl_recyclass[ProductId],0)),tbl_familias_ppwr[ID_Familia],0))="Em falta","Lacuna","Conforme"),IF(B1119="EU-ENV-013",IF(INDEX(tbl_familias_ppwr[Declaracao_UE],MATCH(INDEX(tbl_recyclass[Familia_PPWR],MATCH(A1119,tbl_recyclass[ProductId],0)),tbl_familias_ppwr[ID_Familia],0))="Sim","Conforme","Lacuna"),G1119)))),G1119))</f>
        <v>Não aplicável</v>
      </c>
      <c r="I1119" s="33" t="str">
        <f t="shared" si="17"/>
        <v>Não aplicável</v>
      </c>
      <c r="J1119" s="26"/>
    </row>
    <row r="1120" spans="1:10" ht="16.05" customHeight="1" x14ac:dyDescent="0.3">
      <c r="A1120" s="26" t="s">
        <v>732</v>
      </c>
      <c r="B1120" s="26" t="s">
        <v>1285</v>
      </c>
      <c r="C1120" s="33" t="str">
        <f>IFERROR(INDEX(tbl_requisitos_emb[Tema],MATCH(B1120,tbl_requisitos_emb[ID_Req],0)),"")</f>
        <v>Materiais plásticos de acondicionamento primário</v>
      </c>
      <c r="D1120" s="33" t="str">
        <f>IFERROR(INDEX(tbl_recyclass[Segmento],MATCH(A1120,tbl_recyclass[ProductId],0)),"")</f>
        <v>Cosmética e higiene pessoal</v>
      </c>
      <c r="E1120" s="26" t="s">
        <v>904</v>
      </c>
      <c r="F1120" s="26" t="s">
        <v>1451</v>
      </c>
      <c r="G1120" s="26" t="s">
        <v>1143</v>
      </c>
      <c r="H1120" s="33" t="str">
        <f>IF(E1120="Não","Não aplicável",IFERROR(IF(B1120="EU-ENV-002",IF(INDEX(tbl_recyclass[Conforme_PPWR_2030],MATCH(A1120,tbl_recyclass[ProductId],0))="Sim","Conforme (autoavaliação)",IF(INDEX(tbl_recyclass[Conforme_PPWR_2030],MATCH(A1120,tbl_recyclass[ProductId],0))="Não","Não conforme em 2030","Isento até 2035")),IF(B1120="EU-ENV-003",IF(INDEX(tbl_recyclass[Conforme_Art7_2030],MATCH(A1120,tbl_recyclass[ProductId],0))="Sim","Conforme (meta 2030)",IF(INDEX(tbl_recyclass[Conforme_Art7_2030],MATCH(A1120,tbl_recyclass[ProductId],0))="Não","Lacuna face à meta 2030","Isento")),IF(B1120="EU-ENV-011",IF(INDEX(tbl_familias_ppwr[Metais_Pesados_Evidencia],MATCH(INDEX(tbl_recyclass[Familia_PPWR],MATCH(A1120,tbl_recyclass[ProductId],0)),tbl_familias_ppwr[ID_Familia],0))="Em falta","Lacuna","Conforme"),IF(B1120="EU-ENV-013",IF(INDEX(tbl_familias_ppwr[Declaracao_UE],MATCH(INDEX(tbl_recyclass[Familia_PPWR],MATCH(A1120,tbl_recyclass[ProductId],0)),tbl_familias_ppwr[ID_Familia],0))="Sim","Conforme","Lacuna"),G1120)))),G1120))</f>
        <v>Não aplicável</v>
      </c>
      <c r="I1120" s="33" t="str">
        <f t="shared" si="17"/>
        <v>Não aplicável</v>
      </c>
      <c r="J1120" s="26"/>
    </row>
    <row r="1121" spans="1:10" ht="16.05" customHeight="1" x14ac:dyDescent="0.3">
      <c r="A1121" s="26" t="s">
        <v>732</v>
      </c>
      <c r="B1121" s="26" t="s">
        <v>1293</v>
      </c>
      <c r="C1121" s="33" t="str">
        <f>IFERROR(INDEX(tbl_requisitos_emb[Tema],MATCH(B1121,tbl_requisitos_emb[ID_Req],0)),"")</f>
        <v>Isenções PPWR</v>
      </c>
      <c r="D1121" s="33" t="str">
        <f>IFERROR(INDEX(tbl_recyclass[Segmento],MATCH(A1121,tbl_recyclass[ProductId],0)),"")</f>
        <v>Cosmética e higiene pessoal</v>
      </c>
      <c r="E1121" s="26" t="s">
        <v>904</v>
      </c>
      <c r="F1121" s="26" t="s">
        <v>1451</v>
      </c>
      <c r="G1121" s="26" t="s">
        <v>1143</v>
      </c>
      <c r="H1121" s="33" t="str">
        <f>IF(E1121="Não","Não aplicável",IFERROR(IF(B1121="EU-ENV-002",IF(INDEX(tbl_recyclass[Conforme_PPWR_2030],MATCH(A1121,tbl_recyclass[ProductId],0))="Sim","Conforme (autoavaliação)",IF(INDEX(tbl_recyclass[Conforme_PPWR_2030],MATCH(A1121,tbl_recyclass[ProductId],0))="Não","Não conforme em 2030","Isento até 2035")),IF(B1121="EU-ENV-003",IF(INDEX(tbl_recyclass[Conforme_Art7_2030],MATCH(A1121,tbl_recyclass[ProductId],0))="Sim","Conforme (meta 2030)",IF(INDEX(tbl_recyclass[Conforme_Art7_2030],MATCH(A1121,tbl_recyclass[ProductId],0))="Não","Lacuna face à meta 2030","Isento")),IF(B1121="EU-ENV-011",IF(INDEX(tbl_familias_ppwr[Metais_Pesados_Evidencia],MATCH(INDEX(tbl_recyclass[Familia_PPWR],MATCH(A1121,tbl_recyclass[ProductId],0)),tbl_familias_ppwr[ID_Familia],0))="Em falta","Lacuna","Conforme"),IF(B1121="EU-ENV-013",IF(INDEX(tbl_familias_ppwr[Declaracao_UE],MATCH(INDEX(tbl_recyclass[Familia_PPWR],MATCH(A1121,tbl_recyclass[ProductId],0)),tbl_familias_ppwr[ID_Familia],0))="Sim","Conforme","Lacuna"),G1121)))),G1121))</f>
        <v>Não aplicável</v>
      </c>
      <c r="I1121" s="33" t="str">
        <f t="shared" si="17"/>
        <v>Não aplicável</v>
      </c>
      <c r="J1121" s="26"/>
    </row>
    <row r="1122" spans="1:10" ht="16.05" customHeight="1" x14ac:dyDescent="0.3">
      <c r="A1122" s="26" t="s">
        <v>732</v>
      </c>
      <c r="B1122" s="26" t="s">
        <v>1357</v>
      </c>
      <c r="C1122" s="33" t="str">
        <f>IFERROR(INDEX(tbl_requisitos_emb[Tema],MATCH(B1122,tbl_requisitos_emb[ID_Req],0)),"")</f>
        <v>Identificação de plásticos</v>
      </c>
      <c r="D1122" s="33" t="str">
        <f>IFERROR(INDEX(tbl_recyclass[Segmento],MATCH(A1122,tbl_recyclass[ProductId],0)),"")</f>
        <v>Cosmética e higiene pessoal</v>
      </c>
      <c r="E1122" s="26" t="s">
        <v>901</v>
      </c>
      <c r="F1122" s="26" t="s">
        <v>1449</v>
      </c>
      <c r="G1122" s="26" t="s">
        <v>978</v>
      </c>
      <c r="H1122" s="33" t="str">
        <f>IF(E1122="Não","Não aplicável",IFERROR(IF(B1122="EU-ENV-002",IF(INDEX(tbl_recyclass[Conforme_PPWR_2030],MATCH(A1122,tbl_recyclass[ProductId],0))="Sim","Conforme (autoavaliação)",IF(INDEX(tbl_recyclass[Conforme_PPWR_2030],MATCH(A1122,tbl_recyclass[ProductId],0))="Não","Não conforme em 2030","Isento até 2035")),IF(B1122="EU-ENV-003",IF(INDEX(tbl_recyclass[Conforme_Art7_2030],MATCH(A1122,tbl_recyclass[ProductId],0))="Sim","Conforme (meta 2030)",IF(INDEX(tbl_recyclass[Conforme_Art7_2030],MATCH(A1122,tbl_recyclass[ProductId],0))="Não","Lacuna face à meta 2030","Isento")),IF(B1122="EU-ENV-011",IF(INDEX(tbl_familias_ppwr[Metais_Pesados_Evidencia],MATCH(INDEX(tbl_recyclass[Familia_PPWR],MATCH(A1122,tbl_recyclass[ProductId],0)),tbl_familias_ppwr[ID_Familia],0))="Em falta","Lacuna","Conforme"),IF(B1122="EU-ENV-013",IF(INDEX(tbl_familias_ppwr[Declaracao_UE],MATCH(INDEX(tbl_recyclass[Familia_PPWR],MATCH(A1122,tbl_recyclass[ProductId],0)),tbl_familias_ppwr[ID_Familia],0))="Sim","Conforme","Lacuna"),G1122)))),G1122))</f>
        <v>Parcial</v>
      </c>
      <c r="I1122" s="33" t="str">
        <f t="shared" si="17"/>
        <v>Parcial</v>
      </c>
      <c r="J1122" s="26" t="s">
        <v>1362</v>
      </c>
    </row>
    <row r="1123" spans="1:10" ht="16.05" customHeight="1" x14ac:dyDescent="0.3">
      <c r="A1123" s="26" t="s">
        <v>732</v>
      </c>
      <c r="B1123" s="26" t="s">
        <v>1385</v>
      </c>
      <c r="C1123" s="33" t="str">
        <f>IFERROR(INDEX(tbl_requisitos_emb[Tema],MATCH(B1123,tbl_requisitos_emb[ID_Req],0)),"")</f>
        <v>Reciclabilidade (voluntária)</v>
      </c>
      <c r="D1123" s="33" t="str">
        <f>IFERROR(INDEX(tbl_recyclass[Segmento],MATCH(A1123,tbl_recyclass[ProductId],0)),"")</f>
        <v>Cosmética e higiene pessoal</v>
      </c>
      <c r="E1123" s="26" t="s">
        <v>901</v>
      </c>
      <c r="F1123" s="26" t="s">
        <v>1449</v>
      </c>
      <c r="G1123" s="26" t="s">
        <v>978</v>
      </c>
      <c r="H1123" s="33" t="str">
        <f>IF(E1123="Não","Não aplicável",IFERROR(IF(B1123="EU-ENV-002",IF(INDEX(tbl_recyclass[Conforme_PPWR_2030],MATCH(A1123,tbl_recyclass[ProductId],0))="Sim","Conforme (autoavaliação)",IF(INDEX(tbl_recyclass[Conforme_PPWR_2030],MATCH(A1123,tbl_recyclass[ProductId],0))="Não","Não conforme em 2030","Isento até 2035")),IF(B1123="EU-ENV-003",IF(INDEX(tbl_recyclass[Conforme_Art7_2030],MATCH(A1123,tbl_recyclass[ProductId],0))="Sim","Conforme (meta 2030)",IF(INDEX(tbl_recyclass[Conforme_Art7_2030],MATCH(A1123,tbl_recyclass[ProductId],0))="Não","Lacuna face à meta 2030","Isento")),IF(B1123="EU-ENV-011",IF(INDEX(tbl_familias_ppwr[Metais_Pesados_Evidencia],MATCH(INDEX(tbl_recyclass[Familia_PPWR],MATCH(A1123,tbl_recyclass[ProductId],0)),tbl_familias_ppwr[ID_Familia],0))="Em falta","Lacuna","Conforme"),IF(B1123="EU-ENV-013",IF(INDEX(tbl_familias_ppwr[Declaracao_UE],MATCH(INDEX(tbl_recyclass[Familia_PPWR],MATCH(A1123,tbl_recyclass[ProductId],0)),tbl_familias_ppwr[ID_Familia],0))="Sim","Conforme","Lacuna"),G1123)))),G1123))</f>
        <v>Parcial</v>
      </c>
      <c r="I1123" s="33" t="str">
        <f t="shared" si="17"/>
        <v>Parcial</v>
      </c>
      <c r="J1123" s="26" t="s">
        <v>1389</v>
      </c>
    </row>
    <row r="1124" spans="1:10" ht="16.05" customHeight="1" x14ac:dyDescent="0.3">
      <c r="A1124" s="26" t="s">
        <v>734</v>
      </c>
      <c r="B1124" s="26" t="s">
        <v>984</v>
      </c>
      <c r="C1124" s="33" t="str">
        <f>IFERROR(INDEX(tbl_requisitos_emb[Tema],MATCH(B1124,tbl_requisitos_emb[ID_Req],0)),"")</f>
        <v>Conceção para reciclagem</v>
      </c>
      <c r="D1124" s="33" t="str">
        <f>IFERROR(INDEX(tbl_recyclass[Segmento],MATCH(A1124,tbl_recyclass[ProductId],0)),"")</f>
        <v>Cosmética e higiene pessoal</v>
      </c>
      <c r="E1124" s="26" t="s">
        <v>901</v>
      </c>
      <c r="F1124" s="26" t="s">
        <v>1449</v>
      </c>
      <c r="G1124" s="26" t="s">
        <v>978</v>
      </c>
      <c r="H1124" s="33" t="str">
        <f>IF(E1124="Não","Não aplicável",IFERROR(IF(B1124="EU-ENV-002",IF(INDEX(tbl_recyclass[Conforme_PPWR_2030],MATCH(A1124,tbl_recyclass[ProductId],0))="Sim","Conforme (autoavaliação)",IF(INDEX(tbl_recyclass[Conforme_PPWR_2030],MATCH(A1124,tbl_recyclass[ProductId],0))="Não","Não conforme em 2030","Isento até 2035")),IF(B1124="EU-ENV-003",IF(INDEX(tbl_recyclass[Conforme_Art7_2030],MATCH(A1124,tbl_recyclass[ProductId],0))="Sim","Conforme (meta 2030)",IF(INDEX(tbl_recyclass[Conforme_Art7_2030],MATCH(A1124,tbl_recyclass[ProductId],0))="Não","Lacuna face à meta 2030","Isento")),IF(B1124="EU-ENV-011",IF(INDEX(tbl_familias_ppwr[Metais_Pesados_Evidencia],MATCH(INDEX(tbl_recyclass[Familia_PPWR],MATCH(A1124,tbl_recyclass[ProductId],0)),tbl_familias_ppwr[ID_Familia],0))="Em falta","Lacuna","Conforme"),IF(B1124="EU-ENV-013",IF(INDEX(tbl_familias_ppwr[Declaracao_UE],MATCH(INDEX(tbl_recyclass[Familia_PPWR],MATCH(A1124,tbl_recyclass[ProductId],0)),tbl_familias_ppwr[ID_Familia],0))="Sim","Conforme","Lacuna"),G1124)))),G1124))</f>
        <v>Conforme (autoavaliação)</v>
      </c>
      <c r="I1124" s="33" t="str">
        <f t="shared" si="17"/>
        <v>Conforme</v>
      </c>
      <c r="J1124" s="26" t="s">
        <v>991</v>
      </c>
    </row>
    <row r="1125" spans="1:10" ht="16.05" customHeight="1" x14ac:dyDescent="0.3">
      <c r="A1125" s="26" t="s">
        <v>734</v>
      </c>
      <c r="B1125" s="26" t="s">
        <v>997</v>
      </c>
      <c r="C1125" s="33" t="str">
        <f>IFERROR(INDEX(tbl_requisitos_emb[Tema],MATCH(B1125,tbl_requisitos_emb[ID_Req],0)),"")</f>
        <v>Conteúdo reciclado</v>
      </c>
      <c r="D1125" s="33" t="str">
        <f>IFERROR(INDEX(tbl_recyclass[Segmento],MATCH(A1125,tbl_recyclass[ProductId],0)),"")</f>
        <v>Cosmética e higiene pessoal</v>
      </c>
      <c r="E1125" s="26" t="s">
        <v>901</v>
      </c>
      <c r="F1125" s="26" t="s">
        <v>1449</v>
      </c>
      <c r="G1125" s="26" t="s">
        <v>978</v>
      </c>
      <c r="H1125" s="33" t="str">
        <f>IF(E1125="Não","Não aplicável",IFERROR(IF(B1125="EU-ENV-002",IF(INDEX(tbl_recyclass[Conforme_PPWR_2030],MATCH(A1125,tbl_recyclass[ProductId],0))="Sim","Conforme (autoavaliação)",IF(INDEX(tbl_recyclass[Conforme_PPWR_2030],MATCH(A1125,tbl_recyclass[ProductId],0))="Não","Não conforme em 2030","Isento até 2035")),IF(B1125="EU-ENV-003",IF(INDEX(tbl_recyclass[Conforme_Art7_2030],MATCH(A1125,tbl_recyclass[ProductId],0))="Sim","Conforme (meta 2030)",IF(INDEX(tbl_recyclass[Conforme_Art7_2030],MATCH(A1125,tbl_recyclass[ProductId],0))="Não","Lacuna face à meta 2030","Isento")),IF(B1125="EU-ENV-011",IF(INDEX(tbl_familias_ppwr[Metais_Pesados_Evidencia],MATCH(INDEX(tbl_recyclass[Familia_PPWR],MATCH(A1125,tbl_recyclass[ProductId],0)),tbl_familias_ppwr[ID_Familia],0))="Em falta","Lacuna","Conforme"),IF(B1125="EU-ENV-013",IF(INDEX(tbl_familias_ppwr[Declaracao_UE],MATCH(INDEX(tbl_recyclass[Familia_PPWR],MATCH(A1125,tbl_recyclass[ProductId],0)),tbl_familias_ppwr[ID_Familia],0))="Sim","Conforme","Lacuna"),G1125)))),G1125))</f>
        <v>Lacuna face à meta 2030</v>
      </c>
      <c r="I1125" s="33" t="str">
        <f t="shared" si="17"/>
        <v>Lacuna</v>
      </c>
      <c r="J1125" s="26" t="s">
        <v>1001</v>
      </c>
    </row>
    <row r="1126" spans="1:10" ht="16.05" customHeight="1" x14ac:dyDescent="0.3">
      <c r="A1126" s="26" t="s">
        <v>734</v>
      </c>
      <c r="B1126" s="26" t="s">
        <v>1007</v>
      </c>
      <c r="C1126" s="33" t="str">
        <f>IFERROR(INDEX(tbl_requisitos_emb[Tema],MATCH(B1126,tbl_requisitos_emb[ID_Req],0)),"")</f>
        <v>Minimização</v>
      </c>
      <c r="D1126" s="33" t="str">
        <f>IFERROR(INDEX(tbl_recyclass[Segmento],MATCH(A1126,tbl_recyclass[ProductId],0)),"")</f>
        <v>Cosmética e higiene pessoal</v>
      </c>
      <c r="E1126" s="26" t="s">
        <v>901</v>
      </c>
      <c r="F1126" s="26" t="s">
        <v>1449</v>
      </c>
      <c r="G1126" s="26" t="s">
        <v>978</v>
      </c>
      <c r="H1126" s="33" t="str">
        <f>IF(E1126="Não","Não aplicável",IFERROR(IF(B1126="EU-ENV-002",IF(INDEX(tbl_recyclass[Conforme_PPWR_2030],MATCH(A1126,tbl_recyclass[ProductId],0))="Sim","Conforme (autoavaliação)",IF(INDEX(tbl_recyclass[Conforme_PPWR_2030],MATCH(A1126,tbl_recyclass[ProductId],0))="Não","Não conforme em 2030","Isento até 2035")),IF(B1126="EU-ENV-003",IF(INDEX(tbl_recyclass[Conforme_Art7_2030],MATCH(A1126,tbl_recyclass[ProductId],0))="Sim","Conforme (meta 2030)",IF(INDEX(tbl_recyclass[Conforme_Art7_2030],MATCH(A1126,tbl_recyclass[ProductId],0))="Não","Lacuna face à meta 2030","Isento")),IF(B1126="EU-ENV-011",IF(INDEX(tbl_familias_ppwr[Metais_Pesados_Evidencia],MATCH(INDEX(tbl_recyclass[Familia_PPWR],MATCH(A1126,tbl_recyclass[ProductId],0)),tbl_familias_ppwr[ID_Familia],0))="Em falta","Lacuna","Conforme"),IF(B1126="EU-ENV-013",IF(INDEX(tbl_familias_ppwr[Declaracao_UE],MATCH(INDEX(tbl_recyclass[Familia_PPWR],MATCH(A1126,tbl_recyclass[ProductId],0)),tbl_familias_ppwr[ID_Familia],0))="Sim","Conforme","Lacuna"),G1126)))),G1126))</f>
        <v>Parcial</v>
      </c>
      <c r="I1126" s="33" t="str">
        <f t="shared" si="17"/>
        <v>Parcial</v>
      </c>
      <c r="J1126" s="26" t="s">
        <v>1012</v>
      </c>
    </row>
    <row r="1127" spans="1:10" ht="16.05" customHeight="1" x14ac:dyDescent="0.3">
      <c r="A1127" s="26" t="s">
        <v>734</v>
      </c>
      <c r="B1127" s="26" t="s">
        <v>1016</v>
      </c>
      <c r="C1127" s="33" t="str">
        <f>IFERROR(INDEX(tbl_requisitos_emb[Tema],MATCH(B1127,tbl_requisitos_emb[ID_Req],0)),"")</f>
        <v>Rotulagem</v>
      </c>
      <c r="D1127" s="33" t="str">
        <f>IFERROR(INDEX(tbl_recyclass[Segmento],MATCH(A1127,tbl_recyclass[ProductId],0)),"")</f>
        <v>Cosmética e higiene pessoal</v>
      </c>
      <c r="E1127" s="26" t="s">
        <v>901</v>
      </c>
      <c r="F1127" s="26" t="s">
        <v>1449</v>
      </c>
      <c r="G1127" s="26" t="s">
        <v>990</v>
      </c>
      <c r="H1127" s="33" t="str">
        <f>IF(E1127="Não","Não aplicável",IFERROR(IF(B1127="EU-ENV-002",IF(INDEX(tbl_recyclass[Conforme_PPWR_2030],MATCH(A1127,tbl_recyclass[ProductId],0))="Sim","Conforme (autoavaliação)",IF(INDEX(tbl_recyclass[Conforme_PPWR_2030],MATCH(A1127,tbl_recyclass[ProductId],0))="Não","Não conforme em 2030","Isento até 2035")),IF(B1127="EU-ENV-003",IF(INDEX(tbl_recyclass[Conforme_Art7_2030],MATCH(A1127,tbl_recyclass[ProductId],0))="Sim","Conforme (meta 2030)",IF(INDEX(tbl_recyclass[Conforme_Art7_2030],MATCH(A1127,tbl_recyclass[ProductId],0))="Não","Lacuna face à meta 2030","Isento")),IF(B1127="EU-ENV-011",IF(INDEX(tbl_familias_ppwr[Metais_Pesados_Evidencia],MATCH(INDEX(tbl_recyclass[Familia_PPWR],MATCH(A1127,tbl_recyclass[ProductId],0)),tbl_familias_ppwr[ID_Familia],0))="Em falta","Lacuna","Conforme"),IF(B1127="EU-ENV-013",IF(INDEX(tbl_familias_ppwr[Declaracao_UE],MATCH(INDEX(tbl_recyclass[Familia_PPWR],MATCH(A1127,tbl_recyclass[ProductId],0)),tbl_familias_ppwr[ID_Familia],0))="Sim","Conforme","Lacuna"),G1127)))),G1127))</f>
        <v>Futuro</v>
      </c>
      <c r="I1127" s="33" t="str">
        <f t="shared" si="17"/>
        <v>Futuro</v>
      </c>
      <c r="J1127" s="26" t="s">
        <v>1021</v>
      </c>
    </row>
    <row r="1128" spans="1:10" ht="16.05" customHeight="1" x14ac:dyDescent="0.3">
      <c r="A1128" s="26" t="s">
        <v>734</v>
      </c>
      <c r="B1128" s="26" t="s">
        <v>1038</v>
      </c>
      <c r="C1128" s="33" t="str">
        <f>IFERROR(INDEX(tbl_requisitos_emb[Tema],MATCH(B1128,tbl_requisitos_emb[ID_Req],0)),"")</f>
        <v>Plásticos de utilização única</v>
      </c>
      <c r="D1128" s="33" t="str">
        <f>IFERROR(INDEX(tbl_recyclass[Segmento],MATCH(A1128,tbl_recyclass[ProductId],0)),"")</f>
        <v>Cosmética e higiene pessoal</v>
      </c>
      <c r="E1128" s="26" t="s">
        <v>904</v>
      </c>
      <c r="F1128" s="26" t="s">
        <v>1450</v>
      </c>
      <c r="G1128" s="26" t="s">
        <v>1143</v>
      </c>
      <c r="H1128" s="33" t="str">
        <f>IF(E1128="Não","Não aplicável",IFERROR(IF(B1128="EU-ENV-002",IF(INDEX(tbl_recyclass[Conforme_PPWR_2030],MATCH(A1128,tbl_recyclass[ProductId],0))="Sim","Conforme (autoavaliação)",IF(INDEX(tbl_recyclass[Conforme_PPWR_2030],MATCH(A1128,tbl_recyclass[ProductId],0))="Não","Não conforme em 2030","Isento até 2035")),IF(B1128="EU-ENV-003",IF(INDEX(tbl_recyclass[Conforme_Art7_2030],MATCH(A1128,tbl_recyclass[ProductId],0))="Sim","Conforme (meta 2030)",IF(INDEX(tbl_recyclass[Conforme_Art7_2030],MATCH(A1128,tbl_recyclass[ProductId],0))="Não","Lacuna face à meta 2030","Isento")),IF(B1128="EU-ENV-011",IF(INDEX(tbl_familias_ppwr[Metais_Pesados_Evidencia],MATCH(INDEX(tbl_recyclass[Familia_PPWR],MATCH(A1128,tbl_recyclass[ProductId],0)),tbl_familias_ppwr[ID_Familia],0))="Em falta","Lacuna","Conforme"),IF(B1128="EU-ENV-013",IF(INDEX(tbl_familias_ppwr[Declaracao_UE],MATCH(INDEX(tbl_recyclass[Familia_PPWR],MATCH(A1128,tbl_recyclass[ProductId],0)),tbl_familias_ppwr[ID_Familia],0))="Sim","Conforme","Lacuna"),G1128)))),G1128))</f>
        <v>Não aplicável</v>
      </c>
      <c r="I1128" s="33" t="str">
        <f t="shared" si="17"/>
        <v>Não aplicável</v>
      </c>
      <c r="J1128" s="26"/>
    </row>
    <row r="1129" spans="1:10" ht="16.05" customHeight="1" x14ac:dyDescent="0.3">
      <c r="A1129" s="26" t="s">
        <v>734</v>
      </c>
      <c r="B1129" s="26" t="s">
        <v>1078</v>
      </c>
      <c r="C1129" s="33" t="str">
        <f>IFERROR(INDEX(tbl_requisitos_emb[Tema],MATCH(B1129,tbl_requisitos_emb[ID_Req],0)),"")</f>
        <v>Reciclado à escala</v>
      </c>
      <c r="D1129" s="33" t="str">
        <f>IFERROR(INDEX(tbl_recyclass[Segmento],MATCH(A1129,tbl_recyclass[ProductId],0)),"")</f>
        <v>Cosmética e higiene pessoal</v>
      </c>
      <c r="E1129" s="26" t="s">
        <v>901</v>
      </c>
      <c r="F1129" s="26" t="s">
        <v>1449</v>
      </c>
      <c r="G1129" s="26" t="s">
        <v>990</v>
      </c>
      <c r="H1129" s="33" t="str">
        <f>IF(E1129="Não","Não aplicável",IFERROR(IF(B1129="EU-ENV-002",IF(INDEX(tbl_recyclass[Conforme_PPWR_2030],MATCH(A1129,tbl_recyclass[ProductId],0))="Sim","Conforme (autoavaliação)",IF(INDEX(tbl_recyclass[Conforme_PPWR_2030],MATCH(A1129,tbl_recyclass[ProductId],0))="Não","Não conforme em 2030","Isento até 2035")),IF(B1129="EU-ENV-003",IF(INDEX(tbl_recyclass[Conforme_Art7_2030],MATCH(A1129,tbl_recyclass[ProductId],0))="Sim","Conforme (meta 2030)",IF(INDEX(tbl_recyclass[Conforme_Art7_2030],MATCH(A1129,tbl_recyclass[ProductId],0))="Não","Lacuna face à meta 2030","Isento")),IF(B1129="EU-ENV-011",IF(INDEX(tbl_familias_ppwr[Metais_Pesados_Evidencia],MATCH(INDEX(tbl_recyclass[Familia_PPWR],MATCH(A1129,tbl_recyclass[ProductId],0)),tbl_familias_ppwr[ID_Familia],0))="Em falta","Lacuna","Conforme"),IF(B1129="EU-ENV-013",IF(INDEX(tbl_familias_ppwr[Declaracao_UE],MATCH(INDEX(tbl_recyclass[Familia_PPWR],MATCH(A1129,tbl_recyclass[ProductId],0)),tbl_familias_ppwr[ID_Familia],0))="Sim","Conforme","Lacuna"),G1129)))),G1129))</f>
        <v>Futuro</v>
      </c>
      <c r="I1129" s="33" t="str">
        <f t="shared" si="17"/>
        <v>Futuro</v>
      </c>
      <c r="J1129" s="26" t="s">
        <v>1082</v>
      </c>
    </row>
    <row r="1130" spans="1:10" ht="16.05" customHeight="1" x14ac:dyDescent="0.3">
      <c r="A1130" s="26" t="s">
        <v>734</v>
      </c>
      <c r="B1130" s="26" t="s">
        <v>1086</v>
      </c>
      <c r="C1130" s="33" t="str">
        <f>IFERROR(INDEX(tbl_requisitos_emb[Tema],MATCH(B1130,tbl_requisitos_emb[ID_Req],0)),"")</f>
        <v>Metais pesados</v>
      </c>
      <c r="D1130" s="33" t="str">
        <f>IFERROR(INDEX(tbl_recyclass[Segmento],MATCH(A1130,tbl_recyclass[ProductId],0)),"")</f>
        <v>Cosmética e higiene pessoal</v>
      </c>
      <c r="E1130" s="26" t="s">
        <v>901</v>
      </c>
      <c r="F1130" s="26" t="s">
        <v>1449</v>
      </c>
      <c r="G1130" s="26" t="s">
        <v>978</v>
      </c>
      <c r="H1130" s="33" t="str">
        <f>IF(E1130="Não","Não aplicável",IFERROR(IF(B1130="EU-ENV-002",IF(INDEX(tbl_recyclass[Conforme_PPWR_2030],MATCH(A1130,tbl_recyclass[ProductId],0))="Sim","Conforme (autoavaliação)",IF(INDEX(tbl_recyclass[Conforme_PPWR_2030],MATCH(A1130,tbl_recyclass[ProductId],0))="Não","Não conforme em 2030","Isento até 2035")),IF(B1130="EU-ENV-003",IF(INDEX(tbl_recyclass[Conforme_Art7_2030],MATCH(A1130,tbl_recyclass[ProductId],0))="Sim","Conforme (meta 2030)",IF(INDEX(tbl_recyclass[Conforme_Art7_2030],MATCH(A1130,tbl_recyclass[ProductId],0))="Não","Lacuna face à meta 2030","Isento")),IF(B1130="EU-ENV-011",IF(INDEX(tbl_familias_ppwr[Metais_Pesados_Evidencia],MATCH(INDEX(tbl_recyclass[Familia_PPWR],MATCH(A1130,tbl_recyclass[ProductId],0)),tbl_familias_ppwr[ID_Familia],0))="Em falta","Lacuna","Conforme"),IF(B1130="EU-ENV-013",IF(INDEX(tbl_familias_ppwr[Declaracao_UE],MATCH(INDEX(tbl_recyclass[Familia_PPWR],MATCH(A1130,tbl_recyclass[ProductId],0)),tbl_familias_ppwr[ID_Familia],0))="Sim","Conforme","Lacuna"),G1130)))),G1130))</f>
        <v>Conforme</v>
      </c>
      <c r="I1130" s="33" t="str">
        <f t="shared" si="17"/>
        <v>Conforme</v>
      </c>
      <c r="J1130" s="26" t="s">
        <v>1090</v>
      </c>
    </row>
    <row r="1131" spans="1:10" ht="16.05" customHeight="1" x14ac:dyDescent="0.3">
      <c r="A1131" s="26" t="s">
        <v>734</v>
      </c>
      <c r="B1131" s="26" t="s">
        <v>1094</v>
      </c>
      <c r="C1131" s="33" t="str">
        <f>IFERROR(INDEX(tbl_requisitos_emb[Tema],MATCH(B1131,tbl_requisitos_emb[ID_Req],0)),"")</f>
        <v>PFAS</v>
      </c>
      <c r="D1131" s="33" t="str">
        <f>IFERROR(INDEX(tbl_recyclass[Segmento],MATCH(A1131,tbl_recyclass[ProductId],0)),"")</f>
        <v>Cosmética e higiene pessoal</v>
      </c>
      <c r="E1131" s="26" t="s">
        <v>904</v>
      </c>
      <c r="F1131" s="26" t="s">
        <v>1450</v>
      </c>
      <c r="G1131" s="26" t="s">
        <v>1143</v>
      </c>
      <c r="H1131" s="33" t="str">
        <f>IF(E1131="Não","Não aplicável",IFERROR(IF(B1131="EU-ENV-002",IF(INDEX(tbl_recyclass[Conforme_PPWR_2030],MATCH(A1131,tbl_recyclass[ProductId],0))="Sim","Conforme (autoavaliação)",IF(INDEX(tbl_recyclass[Conforme_PPWR_2030],MATCH(A1131,tbl_recyclass[ProductId],0))="Não","Não conforme em 2030","Isento até 2035")),IF(B1131="EU-ENV-003",IF(INDEX(tbl_recyclass[Conforme_Art7_2030],MATCH(A1131,tbl_recyclass[ProductId],0))="Sim","Conforme (meta 2030)",IF(INDEX(tbl_recyclass[Conforme_Art7_2030],MATCH(A1131,tbl_recyclass[ProductId],0))="Não","Lacuna face à meta 2030","Isento")),IF(B1131="EU-ENV-011",IF(INDEX(tbl_familias_ppwr[Metais_Pesados_Evidencia],MATCH(INDEX(tbl_recyclass[Familia_PPWR],MATCH(A1131,tbl_recyclass[ProductId],0)),tbl_familias_ppwr[ID_Familia],0))="Em falta","Lacuna","Conforme"),IF(B1131="EU-ENV-013",IF(INDEX(tbl_familias_ppwr[Declaracao_UE],MATCH(INDEX(tbl_recyclass[Familia_PPWR],MATCH(A1131,tbl_recyclass[ProductId],0)),tbl_familias_ppwr[ID_Familia],0))="Sim","Conforme","Lacuna"),G1131)))),G1131))</f>
        <v>Não aplicável</v>
      </c>
      <c r="I1131" s="33" t="str">
        <f t="shared" si="17"/>
        <v>Não aplicável</v>
      </c>
      <c r="J1131" s="26"/>
    </row>
    <row r="1132" spans="1:10" ht="16.05" customHeight="1" x14ac:dyDescent="0.3">
      <c r="A1132" s="26" t="s">
        <v>734</v>
      </c>
      <c r="B1132" s="26" t="s">
        <v>1102</v>
      </c>
      <c r="C1132" s="33" t="str">
        <f>IFERROR(INDEX(tbl_requisitos_emb[Tema],MATCH(B1132,tbl_requisitos_emb[ID_Req],0)),"")</f>
        <v>Documentação técnica e declaração UE</v>
      </c>
      <c r="D1132" s="33" t="str">
        <f>IFERROR(INDEX(tbl_recyclass[Segmento],MATCH(A1132,tbl_recyclass[ProductId],0)),"")</f>
        <v>Cosmética e higiene pessoal</v>
      </c>
      <c r="E1132" s="26" t="s">
        <v>901</v>
      </c>
      <c r="F1132" s="26" t="s">
        <v>1449</v>
      </c>
      <c r="G1132" s="26" t="s">
        <v>978</v>
      </c>
      <c r="H1132" s="33" t="str">
        <f>IF(E1132="Não","Não aplicável",IFERROR(IF(B1132="EU-ENV-002",IF(INDEX(tbl_recyclass[Conforme_PPWR_2030],MATCH(A1132,tbl_recyclass[ProductId],0))="Sim","Conforme (autoavaliação)",IF(INDEX(tbl_recyclass[Conforme_PPWR_2030],MATCH(A1132,tbl_recyclass[ProductId],0))="Não","Não conforme em 2030","Isento até 2035")),IF(B1132="EU-ENV-003",IF(INDEX(tbl_recyclass[Conforme_Art7_2030],MATCH(A1132,tbl_recyclass[ProductId],0))="Sim","Conforme (meta 2030)",IF(INDEX(tbl_recyclass[Conforme_Art7_2030],MATCH(A1132,tbl_recyclass[ProductId],0))="Não","Lacuna face à meta 2030","Isento")),IF(B1132="EU-ENV-011",IF(INDEX(tbl_familias_ppwr[Metais_Pesados_Evidencia],MATCH(INDEX(tbl_recyclass[Familia_PPWR],MATCH(A1132,tbl_recyclass[ProductId],0)),tbl_familias_ppwr[ID_Familia],0))="Em falta","Lacuna","Conforme"),IF(B1132="EU-ENV-013",IF(INDEX(tbl_familias_ppwr[Declaracao_UE],MATCH(INDEX(tbl_recyclass[Familia_PPWR],MATCH(A1132,tbl_recyclass[ProductId],0)),tbl_familias_ppwr[ID_Familia],0))="Sim","Conforme","Lacuna"),G1132)))),G1132))</f>
        <v>Conforme</v>
      </c>
      <c r="I1132" s="33" t="str">
        <f t="shared" si="17"/>
        <v>Conforme</v>
      </c>
      <c r="J1132" s="26" t="s">
        <v>1106</v>
      </c>
    </row>
    <row r="1133" spans="1:10" ht="16.05" customHeight="1" x14ac:dyDescent="0.3">
      <c r="A1133" s="26" t="s">
        <v>734</v>
      </c>
      <c r="B1133" s="26" t="s">
        <v>1161</v>
      </c>
      <c r="C1133" s="33" t="str">
        <f>IFERROR(INDEX(tbl_requisitos_emb[Tema],MATCH(B1133,tbl_requisitos_emb[ID_Req],0)),"")</f>
        <v>Materiais em contacto com alimentos</v>
      </c>
      <c r="D1133" s="33" t="str">
        <f>IFERROR(INDEX(tbl_recyclass[Segmento],MATCH(A1133,tbl_recyclass[ProductId],0)),"")</f>
        <v>Cosmética e higiene pessoal</v>
      </c>
      <c r="E1133" s="26" t="s">
        <v>904</v>
      </c>
      <c r="F1133" s="26" t="s">
        <v>1450</v>
      </c>
      <c r="G1133" s="26" t="s">
        <v>1143</v>
      </c>
      <c r="H1133" s="33" t="str">
        <f>IF(E1133="Não","Não aplicável",IFERROR(IF(B1133="EU-ENV-002",IF(INDEX(tbl_recyclass[Conforme_PPWR_2030],MATCH(A1133,tbl_recyclass[ProductId],0))="Sim","Conforme (autoavaliação)",IF(INDEX(tbl_recyclass[Conforme_PPWR_2030],MATCH(A1133,tbl_recyclass[ProductId],0))="Não","Não conforme em 2030","Isento até 2035")),IF(B1133="EU-ENV-003",IF(INDEX(tbl_recyclass[Conforme_Art7_2030],MATCH(A1133,tbl_recyclass[ProductId],0))="Sim","Conforme (meta 2030)",IF(INDEX(tbl_recyclass[Conforme_Art7_2030],MATCH(A1133,tbl_recyclass[ProductId],0))="Não","Lacuna face à meta 2030","Isento")),IF(B1133="EU-ENV-011",IF(INDEX(tbl_familias_ppwr[Metais_Pesados_Evidencia],MATCH(INDEX(tbl_recyclass[Familia_PPWR],MATCH(A1133,tbl_recyclass[ProductId],0)),tbl_familias_ppwr[ID_Familia],0))="Em falta","Lacuna","Conforme"),IF(B1133="EU-ENV-013",IF(INDEX(tbl_familias_ppwr[Declaracao_UE],MATCH(INDEX(tbl_recyclass[Familia_PPWR],MATCH(A1133,tbl_recyclass[ProductId],0)),tbl_familias_ppwr[ID_Familia],0))="Sim","Conforme","Lacuna"),G1133)))),G1133))</f>
        <v>Não aplicável</v>
      </c>
      <c r="I1133" s="33" t="str">
        <f t="shared" si="17"/>
        <v>Não aplicável</v>
      </c>
      <c r="J1133" s="26"/>
    </row>
    <row r="1134" spans="1:10" ht="16.05" customHeight="1" x14ac:dyDescent="0.3">
      <c r="A1134" s="26" t="s">
        <v>734</v>
      </c>
      <c r="B1134" s="26" t="s">
        <v>1170</v>
      </c>
      <c r="C1134" s="33" t="str">
        <f>IFERROR(INDEX(tbl_requisitos_emb[Tema],MATCH(B1134,tbl_requisitos_emb[ID_Req],0)),"")</f>
        <v>Boas práticas de fabrico FCM</v>
      </c>
      <c r="D1134" s="33" t="str">
        <f>IFERROR(INDEX(tbl_recyclass[Segmento],MATCH(A1134,tbl_recyclass[ProductId],0)),"")</f>
        <v>Cosmética e higiene pessoal</v>
      </c>
      <c r="E1134" s="26" t="s">
        <v>904</v>
      </c>
      <c r="F1134" s="26" t="s">
        <v>1450</v>
      </c>
      <c r="G1134" s="26" t="s">
        <v>1143</v>
      </c>
      <c r="H1134" s="33" t="str">
        <f>IF(E1134="Não","Não aplicável",IFERROR(IF(B1134="EU-ENV-002",IF(INDEX(tbl_recyclass[Conforme_PPWR_2030],MATCH(A1134,tbl_recyclass[ProductId],0))="Sim","Conforme (autoavaliação)",IF(INDEX(tbl_recyclass[Conforme_PPWR_2030],MATCH(A1134,tbl_recyclass[ProductId],0))="Não","Não conforme em 2030","Isento até 2035")),IF(B1134="EU-ENV-003",IF(INDEX(tbl_recyclass[Conforme_Art7_2030],MATCH(A1134,tbl_recyclass[ProductId],0))="Sim","Conforme (meta 2030)",IF(INDEX(tbl_recyclass[Conforme_Art7_2030],MATCH(A1134,tbl_recyclass[ProductId],0))="Não","Lacuna face à meta 2030","Isento")),IF(B1134="EU-ENV-011",IF(INDEX(tbl_familias_ppwr[Metais_Pesados_Evidencia],MATCH(INDEX(tbl_recyclass[Familia_PPWR],MATCH(A1134,tbl_recyclass[ProductId],0)),tbl_familias_ppwr[ID_Familia],0))="Em falta","Lacuna","Conforme"),IF(B1134="EU-ENV-013",IF(INDEX(tbl_familias_ppwr[Declaracao_UE],MATCH(INDEX(tbl_recyclass[Familia_PPWR],MATCH(A1134,tbl_recyclass[ProductId],0)),tbl_familias_ppwr[ID_Familia],0))="Sim","Conforme","Lacuna"),G1134)))),G1134))</f>
        <v>Não aplicável</v>
      </c>
      <c r="I1134" s="33" t="str">
        <f t="shared" si="17"/>
        <v>Não aplicável</v>
      </c>
      <c r="J1134" s="26"/>
    </row>
    <row r="1135" spans="1:10" ht="16.05" customHeight="1" x14ac:dyDescent="0.3">
      <c r="A1135" s="26" t="s">
        <v>734</v>
      </c>
      <c r="B1135" s="26" t="s">
        <v>1179</v>
      </c>
      <c r="C1135" s="33" t="str">
        <f>IFERROR(INDEX(tbl_requisitos_emb[Tema],MATCH(B1135,tbl_requisitos_emb[ID_Req],0)),"")</f>
        <v>Bisfenol A e bisfenóis perigosos</v>
      </c>
      <c r="D1135" s="33" t="str">
        <f>IFERROR(INDEX(tbl_recyclass[Segmento],MATCH(A1135,tbl_recyclass[ProductId],0)),"")</f>
        <v>Cosmética e higiene pessoal</v>
      </c>
      <c r="E1135" s="26" t="s">
        <v>904</v>
      </c>
      <c r="F1135" s="26" t="s">
        <v>1450</v>
      </c>
      <c r="G1135" s="26" t="s">
        <v>1143</v>
      </c>
      <c r="H1135" s="33" t="str">
        <f>IF(E1135="Não","Não aplicável",IFERROR(IF(B1135="EU-ENV-002",IF(INDEX(tbl_recyclass[Conforme_PPWR_2030],MATCH(A1135,tbl_recyclass[ProductId],0))="Sim","Conforme (autoavaliação)",IF(INDEX(tbl_recyclass[Conforme_PPWR_2030],MATCH(A1135,tbl_recyclass[ProductId],0))="Não","Não conforme em 2030","Isento até 2035")),IF(B1135="EU-ENV-003",IF(INDEX(tbl_recyclass[Conforme_Art7_2030],MATCH(A1135,tbl_recyclass[ProductId],0))="Sim","Conforme (meta 2030)",IF(INDEX(tbl_recyclass[Conforme_Art7_2030],MATCH(A1135,tbl_recyclass[ProductId],0))="Não","Lacuna face à meta 2030","Isento")),IF(B1135="EU-ENV-011",IF(INDEX(tbl_familias_ppwr[Metais_Pesados_Evidencia],MATCH(INDEX(tbl_recyclass[Familia_PPWR],MATCH(A1135,tbl_recyclass[ProductId],0)),tbl_familias_ppwr[ID_Familia],0))="Em falta","Lacuna","Conforme"),IF(B1135="EU-ENV-013",IF(INDEX(tbl_familias_ppwr[Declaracao_UE],MATCH(INDEX(tbl_recyclass[Familia_PPWR],MATCH(A1135,tbl_recyclass[ProductId],0)),tbl_familias_ppwr[ID_Familia],0))="Sim","Conforme","Lacuna"),G1135)))),G1135))</f>
        <v>Não aplicável</v>
      </c>
      <c r="I1135" s="33" t="str">
        <f t="shared" si="17"/>
        <v>Não aplicável</v>
      </c>
      <c r="J1135" s="26"/>
    </row>
    <row r="1136" spans="1:10" ht="16.05" customHeight="1" x14ac:dyDescent="0.3">
      <c r="A1136" s="26" t="s">
        <v>734</v>
      </c>
      <c r="B1136" s="26" t="s">
        <v>1188</v>
      </c>
      <c r="C1136" s="33" t="str">
        <f>IFERROR(INDEX(tbl_requisitos_emb[Tema],MATCH(B1136,tbl_requisitos_emb[ID_Req],0)),"")</f>
        <v>Plásticos em contacto com alimentos</v>
      </c>
      <c r="D1136" s="33" t="str">
        <f>IFERROR(INDEX(tbl_recyclass[Segmento],MATCH(A1136,tbl_recyclass[ProductId],0)),"")</f>
        <v>Cosmética e higiene pessoal</v>
      </c>
      <c r="E1136" s="26" t="s">
        <v>904</v>
      </c>
      <c r="F1136" s="26" t="s">
        <v>1450</v>
      </c>
      <c r="G1136" s="26" t="s">
        <v>1143</v>
      </c>
      <c r="H1136" s="33" t="str">
        <f>IF(E1136="Não","Não aplicável",IFERROR(IF(B1136="EU-ENV-002",IF(INDEX(tbl_recyclass[Conforme_PPWR_2030],MATCH(A1136,tbl_recyclass[ProductId],0))="Sim","Conforme (autoavaliação)",IF(INDEX(tbl_recyclass[Conforme_PPWR_2030],MATCH(A1136,tbl_recyclass[ProductId],0))="Não","Não conforme em 2030","Isento até 2035")),IF(B1136="EU-ENV-003",IF(INDEX(tbl_recyclass[Conforme_Art7_2030],MATCH(A1136,tbl_recyclass[ProductId],0))="Sim","Conforme (meta 2030)",IF(INDEX(tbl_recyclass[Conforme_Art7_2030],MATCH(A1136,tbl_recyclass[ProductId],0))="Não","Lacuna face à meta 2030","Isento")),IF(B1136="EU-ENV-011",IF(INDEX(tbl_familias_ppwr[Metais_Pesados_Evidencia],MATCH(INDEX(tbl_recyclass[Familia_PPWR],MATCH(A1136,tbl_recyclass[ProductId],0)),tbl_familias_ppwr[ID_Familia],0))="Em falta","Lacuna","Conforme"),IF(B1136="EU-ENV-013",IF(INDEX(tbl_familias_ppwr[Declaracao_UE],MATCH(INDEX(tbl_recyclass[Familia_PPWR],MATCH(A1136,tbl_recyclass[ProductId],0)),tbl_familias_ppwr[ID_Familia],0))="Sim","Conforme","Lacuna"),G1136)))),G1136))</f>
        <v>Não aplicável</v>
      </c>
      <c r="I1136" s="33" t="str">
        <f t="shared" si="17"/>
        <v>Não aplicável</v>
      </c>
      <c r="J1136" s="26"/>
    </row>
    <row r="1137" spans="1:10" ht="16.05" customHeight="1" x14ac:dyDescent="0.3">
      <c r="A1137" s="26" t="s">
        <v>734</v>
      </c>
      <c r="B1137" s="26" t="s">
        <v>1212</v>
      </c>
      <c r="C1137" s="33" t="str">
        <f>IFERROR(INDEX(tbl_requisitos_emb[Tema],MATCH(B1137,tbl_requisitos_emb[ID_Req],0)),"")</f>
        <v>Segurança do produto cosmético</v>
      </c>
      <c r="D1137" s="33" t="str">
        <f>IFERROR(INDEX(tbl_recyclass[Segmento],MATCH(A1137,tbl_recyclass[ProductId],0)),"")</f>
        <v>Cosmética e higiene pessoal</v>
      </c>
      <c r="E1137" s="26" t="s">
        <v>901</v>
      </c>
      <c r="F1137" s="26" t="s">
        <v>1449</v>
      </c>
      <c r="G1137" s="26" t="s">
        <v>1033</v>
      </c>
      <c r="H1137" s="33" t="str">
        <f>IF(E1137="Não","Não aplicável",IFERROR(IF(B1137="EU-ENV-002",IF(INDEX(tbl_recyclass[Conforme_PPWR_2030],MATCH(A1137,tbl_recyclass[ProductId],0))="Sim","Conforme (autoavaliação)",IF(INDEX(tbl_recyclass[Conforme_PPWR_2030],MATCH(A1137,tbl_recyclass[ProductId],0))="Não","Não conforme em 2030","Isento até 2035")),IF(B1137="EU-ENV-003",IF(INDEX(tbl_recyclass[Conforme_Art7_2030],MATCH(A1137,tbl_recyclass[ProductId],0))="Sim","Conforme (meta 2030)",IF(INDEX(tbl_recyclass[Conforme_Art7_2030],MATCH(A1137,tbl_recyclass[ProductId],0))="Não","Lacuna face à meta 2030","Isento")),IF(B1137="EU-ENV-011",IF(INDEX(tbl_familias_ppwr[Metais_Pesados_Evidencia],MATCH(INDEX(tbl_recyclass[Familia_PPWR],MATCH(A1137,tbl_recyclass[ProductId],0)),tbl_familias_ppwr[ID_Familia],0))="Em falta","Lacuna","Conforme"),IF(B1137="EU-ENV-013",IF(INDEX(tbl_familias_ppwr[Declaracao_UE],MATCH(INDEX(tbl_recyclass[Familia_PPWR],MATCH(A1137,tbl_recyclass[ProductId],0)),tbl_familias_ppwr[ID_Familia],0))="Sim","Conforme","Lacuna"),G1137)))),G1137))</f>
        <v>Conforme</v>
      </c>
      <c r="I1137" s="33" t="str">
        <f t="shared" si="17"/>
        <v>Conforme</v>
      </c>
      <c r="J1137" s="26" t="s">
        <v>1221</v>
      </c>
    </row>
    <row r="1138" spans="1:10" ht="16.05" customHeight="1" x14ac:dyDescent="0.3">
      <c r="A1138" s="26" t="s">
        <v>734</v>
      </c>
      <c r="B1138" s="26" t="s">
        <v>1224</v>
      </c>
      <c r="C1138" s="33" t="str">
        <f>IFERROR(INDEX(tbl_requisitos_emb[Tema],MATCH(B1138,tbl_requisitos_emb[ID_Req],0)),"")</f>
        <v>Materiais e impurezas</v>
      </c>
      <c r="D1138" s="33" t="str">
        <f>IFERROR(INDEX(tbl_recyclass[Segmento],MATCH(A1138,tbl_recyclass[ProductId],0)),"")</f>
        <v>Cosmética e higiene pessoal</v>
      </c>
      <c r="E1138" s="26" t="s">
        <v>901</v>
      </c>
      <c r="F1138" s="26" t="s">
        <v>1449</v>
      </c>
      <c r="G1138" s="26" t="s">
        <v>978</v>
      </c>
      <c r="H1138" s="33" t="str">
        <f>IF(E1138="Não","Não aplicável",IFERROR(IF(B1138="EU-ENV-002",IF(INDEX(tbl_recyclass[Conforme_PPWR_2030],MATCH(A1138,tbl_recyclass[ProductId],0))="Sim","Conforme (autoavaliação)",IF(INDEX(tbl_recyclass[Conforme_PPWR_2030],MATCH(A1138,tbl_recyclass[ProductId],0))="Não","Não conforme em 2030","Isento até 2035")),IF(B1138="EU-ENV-003",IF(INDEX(tbl_recyclass[Conforme_Art7_2030],MATCH(A1138,tbl_recyclass[ProductId],0))="Sim","Conforme (meta 2030)",IF(INDEX(tbl_recyclass[Conforme_Art7_2030],MATCH(A1138,tbl_recyclass[ProductId],0))="Não","Lacuna face à meta 2030","Isento")),IF(B1138="EU-ENV-011",IF(INDEX(tbl_familias_ppwr[Metais_Pesados_Evidencia],MATCH(INDEX(tbl_recyclass[Familia_PPWR],MATCH(A1138,tbl_recyclass[ProductId],0)),tbl_familias_ppwr[ID_Familia],0))="Em falta","Lacuna","Conforme"),IF(B1138="EU-ENV-013",IF(INDEX(tbl_familias_ppwr[Declaracao_UE],MATCH(INDEX(tbl_recyclass[Familia_PPWR],MATCH(A1138,tbl_recyclass[ProductId],0)),tbl_familias_ppwr[ID_Familia],0))="Sim","Conforme","Lacuna"),G1138)))),G1138))</f>
        <v>Parcial</v>
      </c>
      <c r="I1138" s="33" t="str">
        <f t="shared" si="17"/>
        <v>Parcial</v>
      </c>
      <c r="J1138" s="26" t="s">
        <v>1228</v>
      </c>
    </row>
    <row r="1139" spans="1:10" ht="16.05" customHeight="1" x14ac:dyDescent="0.3">
      <c r="A1139" s="26" t="s">
        <v>734</v>
      </c>
      <c r="B1139" s="26" t="s">
        <v>1240</v>
      </c>
      <c r="C1139" s="33" t="str">
        <f>IFERROR(INDEX(tbl_requisitos_emb[Tema],MATCH(B1139,tbl_requisitos_emb[ID_Req],0)),"")</f>
        <v>Compatibilidade embalagem–produto</v>
      </c>
      <c r="D1139" s="33" t="str">
        <f>IFERROR(INDEX(tbl_recyclass[Segmento],MATCH(A1139,tbl_recyclass[ProductId],0)),"")</f>
        <v>Cosmética e higiene pessoal</v>
      </c>
      <c r="E1139" s="26" t="s">
        <v>901</v>
      </c>
      <c r="F1139" s="26" t="s">
        <v>1449</v>
      </c>
      <c r="G1139" s="26" t="s">
        <v>1033</v>
      </c>
      <c r="H1139" s="33" t="str">
        <f>IF(E1139="Não","Não aplicável",IFERROR(IF(B1139="EU-ENV-002",IF(INDEX(tbl_recyclass[Conforme_PPWR_2030],MATCH(A1139,tbl_recyclass[ProductId],0))="Sim","Conforme (autoavaliação)",IF(INDEX(tbl_recyclass[Conforme_PPWR_2030],MATCH(A1139,tbl_recyclass[ProductId],0))="Não","Não conforme em 2030","Isento até 2035")),IF(B1139="EU-ENV-003",IF(INDEX(tbl_recyclass[Conforme_Art7_2030],MATCH(A1139,tbl_recyclass[ProductId],0))="Sim","Conforme (meta 2030)",IF(INDEX(tbl_recyclass[Conforme_Art7_2030],MATCH(A1139,tbl_recyclass[ProductId],0))="Não","Lacuna face à meta 2030","Isento")),IF(B1139="EU-ENV-011",IF(INDEX(tbl_familias_ppwr[Metais_Pesados_Evidencia],MATCH(INDEX(tbl_recyclass[Familia_PPWR],MATCH(A1139,tbl_recyclass[ProductId],0)),tbl_familias_ppwr[ID_Familia],0))="Em falta","Lacuna","Conforme"),IF(B1139="EU-ENV-013",IF(INDEX(tbl_familias_ppwr[Declaracao_UE],MATCH(INDEX(tbl_recyclass[Familia_PPWR],MATCH(A1139,tbl_recyclass[ProductId],0)),tbl_familias_ppwr[ID_Familia],0))="Sim","Conforme","Lacuna"),G1139)))),G1139))</f>
        <v>Conforme</v>
      </c>
      <c r="I1139" s="33" t="str">
        <f t="shared" si="17"/>
        <v>Conforme</v>
      </c>
      <c r="J1139" s="26" t="s">
        <v>1244</v>
      </c>
    </row>
    <row r="1140" spans="1:10" ht="16.05" customHeight="1" x14ac:dyDescent="0.3">
      <c r="A1140" s="26" t="s">
        <v>734</v>
      </c>
      <c r="B1140" s="26" t="s">
        <v>1252</v>
      </c>
      <c r="C1140" s="33" t="str">
        <f>IFERROR(INDEX(tbl_requisitos_emb[Tema],MATCH(B1140,tbl_requisitos_emb[ID_Req],0)),"")</f>
        <v>Medicamentos de uso humano</v>
      </c>
      <c r="D1140" s="33" t="str">
        <f>IFERROR(INDEX(tbl_recyclass[Segmento],MATCH(A1140,tbl_recyclass[ProductId],0)),"")</f>
        <v>Cosmética e higiene pessoal</v>
      </c>
      <c r="E1140" s="26" t="s">
        <v>904</v>
      </c>
      <c r="F1140" s="26" t="s">
        <v>1451</v>
      </c>
      <c r="G1140" s="26" t="s">
        <v>1143</v>
      </c>
      <c r="H1140" s="33" t="str">
        <f>IF(E1140="Não","Não aplicável",IFERROR(IF(B1140="EU-ENV-002",IF(INDEX(tbl_recyclass[Conforme_PPWR_2030],MATCH(A1140,tbl_recyclass[ProductId],0))="Sim","Conforme (autoavaliação)",IF(INDEX(tbl_recyclass[Conforme_PPWR_2030],MATCH(A1140,tbl_recyclass[ProductId],0))="Não","Não conforme em 2030","Isento até 2035")),IF(B1140="EU-ENV-003",IF(INDEX(tbl_recyclass[Conforme_Art7_2030],MATCH(A1140,tbl_recyclass[ProductId],0))="Sim","Conforme (meta 2030)",IF(INDEX(tbl_recyclass[Conforme_Art7_2030],MATCH(A1140,tbl_recyclass[ProductId],0))="Não","Lacuna face à meta 2030","Isento")),IF(B1140="EU-ENV-011",IF(INDEX(tbl_familias_ppwr[Metais_Pesados_Evidencia],MATCH(INDEX(tbl_recyclass[Familia_PPWR],MATCH(A1140,tbl_recyclass[ProductId],0)),tbl_familias_ppwr[ID_Familia],0))="Em falta","Lacuna","Conforme"),IF(B1140="EU-ENV-013",IF(INDEX(tbl_familias_ppwr[Declaracao_UE],MATCH(INDEX(tbl_recyclass[Familia_PPWR],MATCH(A1140,tbl_recyclass[ProductId],0)),tbl_familias_ppwr[ID_Familia],0))="Sim","Conforme","Lacuna"),G1140)))),G1140))</f>
        <v>Não aplicável</v>
      </c>
      <c r="I1140" s="33" t="str">
        <f t="shared" si="17"/>
        <v>Não aplicável</v>
      </c>
      <c r="J1140" s="26"/>
    </row>
    <row r="1141" spans="1:10" ht="16.05" customHeight="1" x14ac:dyDescent="0.3">
      <c r="A1141" s="26" t="s">
        <v>734</v>
      </c>
      <c r="B1141" s="26" t="s">
        <v>1268</v>
      </c>
      <c r="C1141" s="33" t="str">
        <f>IFERROR(INDEX(tbl_requisitos_emb[Tema],MATCH(B1141,tbl_requisitos_emb[ID_Req],0)),"")</f>
        <v>Dispositivos de segurança</v>
      </c>
      <c r="D1141" s="33" t="str">
        <f>IFERROR(INDEX(tbl_recyclass[Segmento],MATCH(A1141,tbl_recyclass[ProductId],0)),"")</f>
        <v>Cosmética e higiene pessoal</v>
      </c>
      <c r="E1141" s="26" t="s">
        <v>904</v>
      </c>
      <c r="F1141" s="26" t="s">
        <v>1451</v>
      </c>
      <c r="G1141" s="26" t="s">
        <v>1143</v>
      </c>
      <c r="H1141" s="33" t="str">
        <f>IF(E1141="Não","Não aplicável",IFERROR(IF(B1141="EU-ENV-002",IF(INDEX(tbl_recyclass[Conforme_PPWR_2030],MATCH(A1141,tbl_recyclass[ProductId],0))="Sim","Conforme (autoavaliação)",IF(INDEX(tbl_recyclass[Conforme_PPWR_2030],MATCH(A1141,tbl_recyclass[ProductId],0))="Não","Não conforme em 2030","Isento até 2035")),IF(B1141="EU-ENV-003",IF(INDEX(tbl_recyclass[Conforme_Art7_2030],MATCH(A1141,tbl_recyclass[ProductId],0))="Sim","Conforme (meta 2030)",IF(INDEX(tbl_recyclass[Conforme_Art7_2030],MATCH(A1141,tbl_recyclass[ProductId],0))="Não","Lacuna face à meta 2030","Isento")),IF(B1141="EU-ENV-011",IF(INDEX(tbl_familias_ppwr[Metais_Pesados_Evidencia],MATCH(INDEX(tbl_recyclass[Familia_PPWR],MATCH(A1141,tbl_recyclass[ProductId],0)),tbl_familias_ppwr[ID_Familia],0))="Em falta","Lacuna","Conforme"),IF(B1141="EU-ENV-013",IF(INDEX(tbl_familias_ppwr[Declaracao_UE],MATCH(INDEX(tbl_recyclass[Familia_PPWR],MATCH(A1141,tbl_recyclass[ProductId],0)),tbl_familias_ppwr[ID_Familia],0))="Sim","Conforme","Lacuna"),G1141)))),G1141))</f>
        <v>Não aplicável</v>
      </c>
      <c r="I1141" s="33" t="str">
        <f t="shared" si="17"/>
        <v>Não aplicável</v>
      </c>
      <c r="J1141" s="26"/>
    </row>
    <row r="1142" spans="1:10" ht="16.05" customHeight="1" x14ac:dyDescent="0.3">
      <c r="A1142" s="26" t="s">
        <v>734</v>
      </c>
      <c r="B1142" s="26" t="s">
        <v>1285</v>
      </c>
      <c r="C1142" s="33" t="str">
        <f>IFERROR(INDEX(tbl_requisitos_emb[Tema],MATCH(B1142,tbl_requisitos_emb[ID_Req],0)),"")</f>
        <v>Materiais plásticos de acondicionamento primário</v>
      </c>
      <c r="D1142" s="33" t="str">
        <f>IFERROR(INDEX(tbl_recyclass[Segmento],MATCH(A1142,tbl_recyclass[ProductId],0)),"")</f>
        <v>Cosmética e higiene pessoal</v>
      </c>
      <c r="E1142" s="26" t="s">
        <v>904</v>
      </c>
      <c r="F1142" s="26" t="s">
        <v>1451</v>
      </c>
      <c r="G1142" s="26" t="s">
        <v>1143</v>
      </c>
      <c r="H1142" s="33" t="str">
        <f>IF(E1142="Não","Não aplicável",IFERROR(IF(B1142="EU-ENV-002",IF(INDEX(tbl_recyclass[Conforme_PPWR_2030],MATCH(A1142,tbl_recyclass[ProductId],0))="Sim","Conforme (autoavaliação)",IF(INDEX(tbl_recyclass[Conforme_PPWR_2030],MATCH(A1142,tbl_recyclass[ProductId],0))="Não","Não conforme em 2030","Isento até 2035")),IF(B1142="EU-ENV-003",IF(INDEX(tbl_recyclass[Conforme_Art7_2030],MATCH(A1142,tbl_recyclass[ProductId],0))="Sim","Conforme (meta 2030)",IF(INDEX(tbl_recyclass[Conforme_Art7_2030],MATCH(A1142,tbl_recyclass[ProductId],0))="Não","Lacuna face à meta 2030","Isento")),IF(B1142="EU-ENV-011",IF(INDEX(tbl_familias_ppwr[Metais_Pesados_Evidencia],MATCH(INDEX(tbl_recyclass[Familia_PPWR],MATCH(A1142,tbl_recyclass[ProductId],0)),tbl_familias_ppwr[ID_Familia],0))="Em falta","Lacuna","Conforme"),IF(B1142="EU-ENV-013",IF(INDEX(tbl_familias_ppwr[Declaracao_UE],MATCH(INDEX(tbl_recyclass[Familia_PPWR],MATCH(A1142,tbl_recyclass[ProductId],0)),tbl_familias_ppwr[ID_Familia],0))="Sim","Conforme","Lacuna"),G1142)))),G1142))</f>
        <v>Não aplicável</v>
      </c>
      <c r="I1142" s="33" t="str">
        <f t="shared" si="17"/>
        <v>Não aplicável</v>
      </c>
      <c r="J1142" s="26"/>
    </row>
    <row r="1143" spans="1:10" ht="16.05" customHeight="1" x14ac:dyDescent="0.3">
      <c r="A1143" s="26" t="s">
        <v>734</v>
      </c>
      <c r="B1143" s="26" t="s">
        <v>1293</v>
      </c>
      <c r="C1143" s="33" t="str">
        <f>IFERROR(INDEX(tbl_requisitos_emb[Tema],MATCH(B1143,tbl_requisitos_emb[ID_Req],0)),"")</f>
        <v>Isenções PPWR</v>
      </c>
      <c r="D1143" s="33" t="str">
        <f>IFERROR(INDEX(tbl_recyclass[Segmento],MATCH(A1143,tbl_recyclass[ProductId],0)),"")</f>
        <v>Cosmética e higiene pessoal</v>
      </c>
      <c r="E1143" s="26" t="s">
        <v>904</v>
      </c>
      <c r="F1143" s="26" t="s">
        <v>1451</v>
      </c>
      <c r="G1143" s="26" t="s">
        <v>1143</v>
      </c>
      <c r="H1143" s="33" t="str">
        <f>IF(E1143="Não","Não aplicável",IFERROR(IF(B1143="EU-ENV-002",IF(INDEX(tbl_recyclass[Conforme_PPWR_2030],MATCH(A1143,tbl_recyclass[ProductId],0))="Sim","Conforme (autoavaliação)",IF(INDEX(tbl_recyclass[Conforme_PPWR_2030],MATCH(A1143,tbl_recyclass[ProductId],0))="Não","Não conforme em 2030","Isento até 2035")),IF(B1143="EU-ENV-003",IF(INDEX(tbl_recyclass[Conforme_Art7_2030],MATCH(A1143,tbl_recyclass[ProductId],0))="Sim","Conforme (meta 2030)",IF(INDEX(tbl_recyclass[Conforme_Art7_2030],MATCH(A1143,tbl_recyclass[ProductId],0))="Não","Lacuna face à meta 2030","Isento")),IF(B1143="EU-ENV-011",IF(INDEX(tbl_familias_ppwr[Metais_Pesados_Evidencia],MATCH(INDEX(tbl_recyclass[Familia_PPWR],MATCH(A1143,tbl_recyclass[ProductId],0)),tbl_familias_ppwr[ID_Familia],0))="Em falta","Lacuna","Conforme"),IF(B1143="EU-ENV-013",IF(INDEX(tbl_familias_ppwr[Declaracao_UE],MATCH(INDEX(tbl_recyclass[Familia_PPWR],MATCH(A1143,tbl_recyclass[ProductId],0)),tbl_familias_ppwr[ID_Familia],0))="Sim","Conforme","Lacuna"),G1143)))),G1143))</f>
        <v>Não aplicável</v>
      </c>
      <c r="I1143" s="33" t="str">
        <f t="shared" si="17"/>
        <v>Não aplicável</v>
      </c>
      <c r="J1143" s="26"/>
    </row>
    <row r="1144" spans="1:10" ht="16.05" customHeight="1" x14ac:dyDescent="0.3">
      <c r="A1144" s="26" t="s">
        <v>734</v>
      </c>
      <c r="B1144" s="26" t="s">
        <v>1357</v>
      </c>
      <c r="C1144" s="33" t="str">
        <f>IFERROR(INDEX(tbl_requisitos_emb[Tema],MATCH(B1144,tbl_requisitos_emb[ID_Req],0)),"")</f>
        <v>Identificação de plásticos</v>
      </c>
      <c r="D1144" s="33" t="str">
        <f>IFERROR(INDEX(tbl_recyclass[Segmento],MATCH(A1144,tbl_recyclass[ProductId],0)),"")</f>
        <v>Cosmética e higiene pessoal</v>
      </c>
      <c r="E1144" s="26" t="s">
        <v>901</v>
      </c>
      <c r="F1144" s="26" t="s">
        <v>1449</v>
      </c>
      <c r="G1144" s="26" t="s">
        <v>978</v>
      </c>
      <c r="H1144" s="33" t="str">
        <f>IF(E1144="Não","Não aplicável",IFERROR(IF(B1144="EU-ENV-002",IF(INDEX(tbl_recyclass[Conforme_PPWR_2030],MATCH(A1144,tbl_recyclass[ProductId],0))="Sim","Conforme (autoavaliação)",IF(INDEX(tbl_recyclass[Conforme_PPWR_2030],MATCH(A1144,tbl_recyclass[ProductId],0))="Não","Não conforme em 2030","Isento até 2035")),IF(B1144="EU-ENV-003",IF(INDEX(tbl_recyclass[Conforme_Art7_2030],MATCH(A1144,tbl_recyclass[ProductId],0))="Sim","Conforme (meta 2030)",IF(INDEX(tbl_recyclass[Conforme_Art7_2030],MATCH(A1144,tbl_recyclass[ProductId],0))="Não","Lacuna face à meta 2030","Isento")),IF(B1144="EU-ENV-011",IF(INDEX(tbl_familias_ppwr[Metais_Pesados_Evidencia],MATCH(INDEX(tbl_recyclass[Familia_PPWR],MATCH(A1144,tbl_recyclass[ProductId],0)),tbl_familias_ppwr[ID_Familia],0))="Em falta","Lacuna","Conforme"),IF(B1144="EU-ENV-013",IF(INDEX(tbl_familias_ppwr[Declaracao_UE],MATCH(INDEX(tbl_recyclass[Familia_PPWR],MATCH(A1144,tbl_recyclass[ProductId],0)),tbl_familias_ppwr[ID_Familia],0))="Sim","Conforme","Lacuna"),G1144)))),G1144))</f>
        <v>Parcial</v>
      </c>
      <c r="I1144" s="33" t="str">
        <f t="shared" si="17"/>
        <v>Parcial</v>
      </c>
      <c r="J1144" s="26" t="s">
        <v>1362</v>
      </c>
    </row>
    <row r="1145" spans="1:10" ht="16.05" customHeight="1" x14ac:dyDescent="0.3">
      <c r="A1145" s="26" t="s">
        <v>734</v>
      </c>
      <c r="B1145" s="26" t="s">
        <v>1385</v>
      </c>
      <c r="C1145" s="33" t="str">
        <f>IFERROR(INDEX(tbl_requisitos_emb[Tema],MATCH(B1145,tbl_requisitos_emb[ID_Req],0)),"")</f>
        <v>Reciclabilidade (voluntária)</v>
      </c>
      <c r="D1145" s="33" t="str">
        <f>IFERROR(INDEX(tbl_recyclass[Segmento],MATCH(A1145,tbl_recyclass[ProductId],0)),"")</f>
        <v>Cosmética e higiene pessoal</v>
      </c>
      <c r="E1145" s="26" t="s">
        <v>901</v>
      </c>
      <c r="F1145" s="26" t="s">
        <v>1449</v>
      </c>
      <c r="G1145" s="26" t="s">
        <v>978</v>
      </c>
      <c r="H1145" s="33" t="str">
        <f>IF(E1145="Não","Não aplicável",IFERROR(IF(B1145="EU-ENV-002",IF(INDEX(tbl_recyclass[Conforme_PPWR_2030],MATCH(A1145,tbl_recyclass[ProductId],0))="Sim","Conforme (autoavaliação)",IF(INDEX(tbl_recyclass[Conforme_PPWR_2030],MATCH(A1145,tbl_recyclass[ProductId],0))="Não","Não conforme em 2030","Isento até 2035")),IF(B1145="EU-ENV-003",IF(INDEX(tbl_recyclass[Conforme_Art7_2030],MATCH(A1145,tbl_recyclass[ProductId],0))="Sim","Conforme (meta 2030)",IF(INDEX(tbl_recyclass[Conforme_Art7_2030],MATCH(A1145,tbl_recyclass[ProductId],0))="Não","Lacuna face à meta 2030","Isento")),IF(B1145="EU-ENV-011",IF(INDEX(tbl_familias_ppwr[Metais_Pesados_Evidencia],MATCH(INDEX(tbl_recyclass[Familia_PPWR],MATCH(A1145,tbl_recyclass[ProductId],0)),tbl_familias_ppwr[ID_Familia],0))="Em falta","Lacuna","Conforme"),IF(B1145="EU-ENV-013",IF(INDEX(tbl_familias_ppwr[Declaracao_UE],MATCH(INDEX(tbl_recyclass[Familia_PPWR],MATCH(A1145,tbl_recyclass[ProductId],0)),tbl_familias_ppwr[ID_Familia],0))="Sim","Conforme","Lacuna"),G1145)))),G1145))</f>
        <v>Parcial</v>
      </c>
      <c r="I1145" s="33" t="str">
        <f t="shared" si="17"/>
        <v>Parcial</v>
      </c>
      <c r="J1145" s="26" t="s">
        <v>1389</v>
      </c>
    </row>
    <row r="1146" spans="1:10" ht="16.05" customHeight="1" x14ac:dyDescent="0.3">
      <c r="A1146" s="26" t="s">
        <v>736</v>
      </c>
      <c r="B1146" s="26" t="s">
        <v>984</v>
      </c>
      <c r="C1146" s="33" t="str">
        <f>IFERROR(INDEX(tbl_requisitos_emb[Tema],MATCH(B1146,tbl_requisitos_emb[ID_Req],0)),"")</f>
        <v>Conceção para reciclagem</v>
      </c>
      <c r="D1146" s="33" t="str">
        <f>IFERROR(INDEX(tbl_recyclass[Segmento],MATCH(A1146,tbl_recyclass[ProductId],0)),"")</f>
        <v>Cosmética e higiene pessoal</v>
      </c>
      <c r="E1146" s="26" t="s">
        <v>901</v>
      </c>
      <c r="F1146" s="26" t="s">
        <v>1449</v>
      </c>
      <c r="G1146" s="26" t="s">
        <v>978</v>
      </c>
      <c r="H1146" s="33" t="str">
        <f>IF(E1146="Não","Não aplicável",IFERROR(IF(B1146="EU-ENV-002",IF(INDEX(tbl_recyclass[Conforme_PPWR_2030],MATCH(A1146,tbl_recyclass[ProductId],0))="Sim","Conforme (autoavaliação)",IF(INDEX(tbl_recyclass[Conforme_PPWR_2030],MATCH(A1146,tbl_recyclass[ProductId],0))="Não","Não conforme em 2030","Isento até 2035")),IF(B1146="EU-ENV-003",IF(INDEX(tbl_recyclass[Conforme_Art7_2030],MATCH(A1146,tbl_recyclass[ProductId],0))="Sim","Conforme (meta 2030)",IF(INDEX(tbl_recyclass[Conforme_Art7_2030],MATCH(A1146,tbl_recyclass[ProductId],0))="Não","Lacuna face à meta 2030","Isento")),IF(B1146="EU-ENV-011",IF(INDEX(tbl_familias_ppwr[Metais_Pesados_Evidencia],MATCH(INDEX(tbl_recyclass[Familia_PPWR],MATCH(A1146,tbl_recyclass[ProductId],0)),tbl_familias_ppwr[ID_Familia],0))="Em falta","Lacuna","Conforme"),IF(B1146="EU-ENV-013",IF(INDEX(tbl_familias_ppwr[Declaracao_UE],MATCH(INDEX(tbl_recyclass[Familia_PPWR],MATCH(A1146,tbl_recyclass[ProductId],0)),tbl_familias_ppwr[ID_Familia],0))="Sim","Conforme","Lacuna"),G1146)))),G1146))</f>
        <v>Conforme (autoavaliação)</v>
      </c>
      <c r="I1146" s="33" t="str">
        <f t="shared" si="17"/>
        <v>Conforme</v>
      </c>
      <c r="J1146" s="26" t="s">
        <v>991</v>
      </c>
    </row>
    <row r="1147" spans="1:10" ht="16.05" customHeight="1" x14ac:dyDescent="0.3">
      <c r="A1147" s="26" t="s">
        <v>736</v>
      </c>
      <c r="B1147" s="26" t="s">
        <v>997</v>
      </c>
      <c r="C1147" s="33" t="str">
        <f>IFERROR(INDEX(tbl_requisitos_emb[Tema],MATCH(B1147,tbl_requisitos_emb[ID_Req],0)),"")</f>
        <v>Conteúdo reciclado</v>
      </c>
      <c r="D1147" s="33" t="str">
        <f>IFERROR(INDEX(tbl_recyclass[Segmento],MATCH(A1147,tbl_recyclass[ProductId],0)),"")</f>
        <v>Cosmética e higiene pessoal</v>
      </c>
      <c r="E1147" s="26" t="s">
        <v>901</v>
      </c>
      <c r="F1147" s="26" t="s">
        <v>1449</v>
      </c>
      <c r="G1147" s="26" t="s">
        <v>978</v>
      </c>
      <c r="H1147" s="33" t="str">
        <f>IF(E1147="Não","Não aplicável",IFERROR(IF(B1147="EU-ENV-002",IF(INDEX(tbl_recyclass[Conforme_PPWR_2030],MATCH(A1147,tbl_recyclass[ProductId],0))="Sim","Conforme (autoavaliação)",IF(INDEX(tbl_recyclass[Conforme_PPWR_2030],MATCH(A1147,tbl_recyclass[ProductId],0))="Não","Não conforme em 2030","Isento até 2035")),IF(B1147="EU-ENV-003",IF(INDEX(tbl_recyclass[Conforme_Art7_2030],MATCH(A1147,tbl_recyclass[ProductId],0))="Sim","Conforme (meta 2030)",IF(INDEX(tbl_recyclass[Conforme_Art7_2030],MATCH(A1147,tbl_recyclass[ProductId],0))="Não","Lacuna face à meta 2030","Isento")),IF(B1147="EU-ENV-011",IF(INDEX(tbl_familias_ppwr[Metais_Pesados_Evidencia],MATCH(INDEX(tbl_recyclass[Familia_PPWR],MATCH(A1147,tbl_recyclass[ProductId],0)),tbl_familias_ppwr[ID_Familia],0))="Em falta","Lacuna","Conforme"),IF(B1147="EU-ENV-013",IF(INDEX(tbl_familias_ppwr[Declaracao_UE],MATCH(INDEX(tbl_recyclass[Familia_PPWR],MATCH(A1147,tbl_recyclass[ProductId],0)),tbl_familias_ppwr[ID_Familia],0))="Sim","Conforme","Lacuna"),G1147)))),G1147))</f>
        <v>Lacuna face à meta 2030</v>
      </c>
      <c r="I1147" s="33" t="str">
        <f t="shared" si="17"/>
        <v>Lacuna</v>
      </c>
      <c r="J1147" s="26" t="s">
        <v>1001</v>
      </c>
    </row>
    <row r="1148" spans="1:10" ht="16.05" customHeight="1" x14ac:dyDescent="0.3">
      <c r="A1148" s="26" t="s">
        <v>736</v>
      </c>
      <c r="B1148" s="26" t="s">
        <v>1007</v>
      </c>
      <c r="C1148" s="33" t="str">
        <f>IFERROR(INDEX(tbl_requisitos_emb[Tema],MATCH(B1148,tbl_requisitos_emb[ID_Req],0)),"")</f>
        <v>Minimização</v>
      </c>
      <c r="D1148" s="33" t="str">
        <f>IFERROR(INDEX(tbl_recyclass[Segmento],MATCH(A1148,tbl_recyclass[ProductId],0)),"")</f>
        <v>Cosmética e higiene pessoal</v>
      </c>
      <c r="E1148" s="26" t="s">
        <v>901</v>
      </c>
      <c r="F1148" s="26" t="s">
        <v>1449</v>
      </c>
      <c r="G1148" s="26" t="s">
        <v>978</v>
      </c>
      <c r="H1148" s="33" t="str">
        <f>IF(E1148="Não","Não aplicável",IFERROR(IF(B1148="EU-ENV-002",IF(INDEX(tbl_recyclass[Conforme_PPWR_2030],MATCH(A1148,tbl_recyclass[ProductId],0))="Sim","Conforme (autoavaliação)",IF(INDEX(tbl_recyclass[Conforme_PPWR_2030],MATCH(A1148,tbl_recyclass[ProductId],0))="Não","Não conforme em 2030","Isento até 2035")),IF(B1148="EU-ENV-003",IF(INDEX(tbl_recyclass[Conforme_Art7_2030],MATCH(A1148,tbl_recyclass[ProductId],0))="Sim","Conforme (meta 2030)",IF(INDEX(tbl_recyclass[Conforme_Art7_2030],MATCH(A1148,tbl_recyclass[ProductId],0))="Não","Lacuna face à meta 2030","Isento")),IF(B1148="EU-ENV-011",IF(INDEX(tbl_familias_ppwr[Metais_Pesados_Evidencia],MATCH(INDEX(tbl_recyclass[Familia_PPWR],MATCH(A1148,tbl_recyclass[ProductId],0)),tbl_familias_ppwr[ID_Familia],0))="Em falta","Lacuna","Conforme"),IF(B1148="EU-ENV-013",IF(INDEX(tbl_familias_ppwr[Declaracao_UE],MATCH(INDEX(tbl_recyclass[Familia_PPWR],MATCH(A1148,tbl_recyclass[ProductId],0)),tbl_familias_ppwr[ID_Familia],0))="Sim","Conforme","Lacuna"),G1148)))),G1148))</f>
        <v>Parcial</v>
      </c>
      <c r="I1148" s="33" t="str">
        <f t="shared" si="17"/>
        <v>Parcial</v>
      </c>
      <c r="J1148" s="26" t="s">
        <v>1012</v>
      </c>
    </row>
    <row r="1149" spans="1:10" ht="16.05" customHeight="1" x14ac:dyDescent="0.3">
      <c r="A1149" s="26" t="s">
        <v>736</v>
      </c>
      <c r="B1149" s="26" t="s">
        <v>1016</v>
      </c>
      <c r="C1149" s="33" t="str">
        <f>IFERROR(INDEX(tbl_requisitos_emb[Tema],MATCH(B1149,tbl_requisitos_emb[ID_Req],0)),"")</f>
        <v>Rotulagem</v>
      </c>
      <c r="D1149" s="33" t="str">
        <f>IFERROR(INDEX(tbl_recyclass[Segmento],MATCH(A1149,tbl_recyclass[ProductId],0)),"")</f>
        <v>Cosmética e higiene pessoal</v>
      </c>
      <c r="E1149" s="26" t="s">
        <v>901</v>
      </c>
      <c r="F1149" s="26" t="s">
        <v>1449</v>
      </c>
      <c r="G1149" s="26" t="s">
        <v>990</v>
      </c>
      <c r="H1149" s="33" t="str">
        <f>IF(E1149="Não","Não aplicável",IFERROR(IF(B1149="EU-ENV-002",IF(INDEX(tbl_recyclass[Conforme_PPWR_2030],MATCH(A1149,tbl_recyclass[ProductId],0))="Sim","Conforme (autoavaliação)",IF(INDEX(tbl_recyclass[Conforme_PPWR_2030],MATCH(A1149,tbl_recyclass[ProductId],0))="Não","Não conforme em 2030","Isento até 2035")),IF(B1149="EU-ENV-003",IF(INDEX(tbl_recyclass[Conforme_Art7_2030],MATCH(A1149,tbl_recyclass[ProductId],0))="Sim","Conforme (meta 2030)",IF(INDEX(tbl_recyclass[Conforme_Art7_2030],MATCH(A1149,tbl_recyclass[ProductId],0))="Não","Lacuna face à meta 2030","Isento")),IF(B1149="EU-ENV-011",IF(INDEX(tbl_familias_ppwr[Metais_Pesados_Evidencia],MATCH(INDEX(tbl_recyclass[Familia_PPWR],MATCH(A1149,tbl_recyclass[ProductId],0)),tbl_familias_ppwr[ID_Familia],0))="Em falta","Lacuna","Conforme"),IF(B1149="EU-ENV-013",IF(INDEX(tbl_familias_ppwr[Declaracao_UE],MATCH(INDEX(tbl_recyclass[Familia_PPWR],MATCH(A1149,tbl_recyclass[ProductId],0)),tbl_familias_ppwr[ID_Familia],0))="Sim","Conforme","Lacuna"),G1149)))),G1149))</f>
        <v>Futuro</v>
      </c>
      <c r="I1149" s="33" t="str">
        <f t="shared" si="17"/>
        <v>Futuro</v>
      </c>
      <c r="J1149" s="26" t="s">
        <v>1021</v>
      </c>
    </row>
    <row r="1150" spans="1:10" ht="16.05" customHeight="1" x14ac:dyDescent="0.3">
      <c r="A1150" s="26" t="s">
        <v>736</v>
      </c>
      <c r="B1150" s="26" t="s">
        <v>1038</v>
      </c>
      <c r="C1150" s="33" t="str">
        <f>IFERROR(INDEX(tbl_requisitos_emb[Tema],MATCH(B1150,tbl_requisitos_emb[ID_Req],0)),"")</f>
        <v>Plásticos de utilização única</v>
      </c>
      <c r="D1150" s="33" t="str">
        <f>IFERROR(INDEX(tbl_recyclass[Segmento],MATCH(A1150,tbl_recyclass[ProductId],0)),"")</f>
        <v>Cosmética e higiene pessoal</v>
      </c>
      <c r="E1150" s="26" t="s">
        <v>904</v>
      </c>
      <c r="F1150" s="26" t="s">
        <v>1450</v>
      </c>
      <c r="G1150" s="26" t="s">
        <v>1143</v>
      </c>
      <c r="H1150" s="33" t="str">
        <f>IF(E1150="Não","Não aplicável",IFERROR(IF(B1150="EU-ENV-002",IF(INDEX(tbl_recyclass[Conforme_PPWR_2030],MATCH(A1150,tbl_recyclass[ProductId],0))="Sim","Conforme (autoavaliação)",IF(INDEX(tbl_recyclass[Conforme_PPWR_2030],MATCH(A1150,tbl_recyclass[ProductId],0))="Não","Não conforme em 2030","Isento até 2035")),IF(B1150="EU-ENV-003",IF(INDEX(tbl_recyclass[Conforme_Art7_2030],MATCH(A1150,tbl_recyclass[ProductId],0))="Sim","Conforme (meta 2030)",IF(INDEX(tbl_recyclass[Conforme_Art7_2030],MATCH(A1150,tbl_recyclass[ProductId],0))="Não","Lacuna face à meta 2030","Isento")),IF(B1150="EU-ENV-011",IF(INDEX(tbl_familias_ppwr[Metais_Pesados_Evidencia],MATCH(INDEX(tbl_recyclass[Familia_PPWR],MATCH(A1150,tbl_recyclass[ProductId],0)),tbl_familias_ppwr[ID_Familia],0))="Em falta","Lacuna","Conforme"),IF(B1150="EU-ENV-013",IF(INDEX(tbl_familias_ppwr[Declaracao_UE],MATCH(INDEX(tbl_recyclass[Familia_PPWR],MATCH(A1150,tbl_recyclass[ProductId],0)),tbl_familias_ppwr[ID_Familia],0))="Sim","Conforme","Lacuna"),G1150)))),G1150))</f>
        <v>Não aplicável</v>
      </c>
      <c r="I1150" s="33" t="str">
        <f t="shared" si="17"/>
        <v>Não aplicável</v>
      </c>
      <c r="J1150" s="26"/>
    </row>
    <row r="1151" spans="1:10" ht="16.05" customHeight="1" x14ac:dyDescent="0.3">
      <c r="A1151" s="26" t="s">
        <v>736</v>
      </c>
      <c r="B1151" s="26" t="s">
        <v>1078</v>
      </c>
      <c r="C1151" s="33" t="str">
        <f>IFERROR(INDEX(tbl_requisitos_emb[Tema],MATCH(B1151,tbl_requisitos_emb[ID_Req],0)),"")</f>
        <v>Reciclado à escala</v>
      </c>
      <c r="D1151" s="33" t="str">
        <f>IFERROR(INDEX(tbl_recyclass[Segmento],MATCH(A1151,tbl_recyclass[ProductId],0)),"")</f>
        <v>Cosmética e higiene pessoal</v>
      </c>
      <c r="E1151" s="26" t="s">
        <v>901</v>
      </c>
      <c r="F1151" s="26" t="s">
        <v>1449</v>
      </c>
      <c r="G1151" s="26" t="s">
        <v>990</v>
      </c>
      <c r="H1151" s="33" t="str">
        <f>IF(E1151="Não","Não aplicável",IFERROR(IF(B1151="EU-ENV-002",IF(INDEX(tbl_recyclass[Conforme_PPWR_2030],MATCH(A1151,tbl_recyclass[ProductId],0))="Sim","Conforme (autoavaliação)",IF(INDEX(tbl_recyclass[Conforme_PPWR_2030],MATCH(A1151,tbl_recyclass[ProductId],0))="Não","Não conforme em 2030","Isento até 2035")),IF(B1151="EU-ENV-003",IF(INDEX(tbl_recyclass[Conforme_Art7_2030],MATCH(A1151,tbl_recyclass[ProductId],0))="Sim","Conforme (meta 2030)",IF(INDEX(tbl_recyclass[Conforme_Art7_2030],MATCH(A1151,tbl_recyclass[ProductId],0))="Não","Lacuna face à meta 2030","Isento")),IF(B1151="EU-ENV-011",IF(INDEX(tbl_familias_ppwr[Metais_Pesados_Evidencia],MATCH(INDEX(tbl_recyclass[Familia_PPWR],MATCH(A1151,tbl_recyclass[ProductId],0)),tbl_familias_ppwr[ID_Familia],0))="Em falta","Lacuna","Conforme"),IF(B1151="EU-ENV-013",IF(INDEX(tbl_familias_ppwr[Declaracao_UE],MATCH(INDEX(tbl_recyclass[Familia_PPWR],MATCH(A1151,tbl_recyclass[ProductId],0)),tbl_familias_ppwr[ID_Familia],0))="Sim","Conforme","Lacuna"),G1151)))),G1151))</f>
        <v>Futuro</v>
      </c>
      <c r="I1151" s="33" t="str">
        <f t="shared" si="17"/>
        <v>Futuro</v>
      </c>
      <c r="J1151" s="26" t="s">
        <v>1082</v>
      </c>
    </row>
    <row r="1152" spans="1:10" ht="16.05" customHeight="1" x14ac:dyDescent="0.3">
      <c r="A1152" s="26" t="s">
        <v>736</v>
      </c>
      <c r="B1152" s="26" t="s">
        <v>1086</v>
      </c>
      <c r="C1152" s="33" t="str">
        <f>IFERROR(INDEX(tbl_requisitos_emb[Tema],MATCH(B1152,tbl_requisitos_emb[ID_Req],0)),"")</f>
        <v>Metais pesados</v>
      </c>
      <c r="D1152" s="33" t="str">
        <f>IFERROR(INDEX(tbl_recyclass[Segmento],MATCH(A1152,tbl_recyclass[ProductId],0)),"")</f>
        <v>Cosmética e higiene pessoal</v>
      </c>
      <c r="E1152" s="26" t="s">
        <v>901</v>
      </c>
      <c r="F1152" s="26" t="s">
        <v>1449</v>
      </c>
      <c r="G1152" s="26" t="s">
        <v>978</v>
      </c>
      <c r="H1152" s="33" t="str">
        <f>IF(E1152="Não","Não aplicável",IFERROR(IF(B1152="EU-ENV-002",IF(INDEX(tbl_recyclass[Conforme_PPWR_2030],MATCH(A1152,tbl_recyclass[ProductId],0))="Sim","Conforme (autoavaliação)",IF(INDEX(tbl_recyclass[Conforme_PPWR_2030],MATCH(A1152,tbl_recyclass[ProductId],0))="Não","Não conforme em 2030","Isento até 2035")),IF(B1152="EU-ENV-003",IF(INDEX(tbl_recyclass[Conforme_Art7_2030],MATCH(A1152,tbl_recyclass[ProductId],0))="Sim","Conforme (meta 2030)",IF(INDEX(tbl_recyclass[Conforme_Art7_2030],MATCH(A1152,tbl_recyclass[ProductId],0))="Não","Lacuna face à meta 2030","Isento")),IF(B1152="EU-ENV-011",IF(INDEX(tbl_familias_ppwr[Metais_Pesados_Evidencia],MATCH(INDEX(tbl_recyclass[Familia_PPWR],MATCH(A1152,tbl_recyclass[ProductId],0)),tbl_familias_ppwr[ID_Familia],0))="Em falta","Lacuna","Conforme"),IF(B1152="EU-ENV-013",IF(INDEX(tbl_familias_ppwr[Declaracao_UE],MATCH(INDEX(tbl_recyclass[Familia_PPWR],MATCH(A1152,tbl_recyclass[ProductId],0)),tbl_familias_ppwr[ID_Familia],0))="Sim","Conforme","Lacuna"),G1152)))),G1152))</f>
        <v>Conforme</v>
      </c>
      <c r="I1152" s="33" t="str">
        <f t="shared" si="17"/>
        <v>Conforme</v>
      </c>
      <c r="J1152" s="26" t="s">
        <v>1090</v>
      </c>
    </row>
    <row r="1153" spans="1:10" ht="16.05" customHeight="1" x14ac:dyDescent="0.3">
      <c r="A1153" s="26" t="s">
        <v>736</v>
      </c>
      <c r="B1153" s="26" t="s">
        <v>1094</v>
      </c>
      <c r="C1153" s="33" t="str">
        <f>IFERROR(INDEX(tbl_requisitos_emb[Tema],MATCH(B1153,tbl_requisitos_emb[ID_Req],0)),"")</f>
        <v>PFAS</v>
      </c>
      <c r="D1153" s="33" t="str">
        <f>IFERROR(INDEX(tbl_recyclass[Segmento],MATCH(A1153,tbl_recyclass[ProductId],0)),"")</f>
        <v>Cosmética e higiene pessoal</v>
      </c>
      <c r="E1153" s="26" t="s">
        <v>904</v>
      </c>
      <c r="F1153" s="26" t="s">
        <v>1450</v>
      </c>
      <c r="G1153" s="26" t="s">
        <v>1143</v>
      </c>
      <c r="H1153" s="33" t="str">
        <f>IF(E1153="Não","Não aplicável",IFERROR(IF(B1153="EU-ENV-002",IF(INDEX(tbl_recyclass[Conforme_PPWR_2030],MATCH(A1153,tbl_recyclass[ProductId],0))="Sim","Conforme (autoavaliação)",IF(INDEX(tbl_recyclass[Conforme_PPWR_2030],MATCH(A1153,tbl_recyclass[ProductId],0))="Não","Não conforme em 2030","Isento até 2035")),IF(B1153="EU-ENV-003",IF(INDEX(tbl_recyclass[Conforme_Art7_2030],MATCH(A1153,tbl_recyclass[ProductId],0))="Sim","Conforme (meta 2030)",IF(INDEX(tbl_recyclass[Conforme_Art7_2030],MATCH(A1153,tbl_recyclass[ProductId],0))="Não","Lacuna face à meta 2030","Isento")),IF(B1153="EU-ENV-011",IF(INDEX(tbl_familias_ppwr[Metais_Pesados_Evidencia],MATCH(INDEX(tbl_recyclass[Familia_PPWR],MATCH(A1153,tbl_recyclass[ProductId],0)),tbl_familias_ppwr[ID_Familia],0))="Em falta","Lacuna","Conforme"),IF(B1153="EU-ENV-013",IF(INDEX(tbl_familias_ppwr[Declaracao_UE],MATCH(INDEX(tbl_recyclass[Familia_PPWR],MATCH(A1153,tbl_recyclass[ProductId],0)),tbl_familias_ppwr[ID_Familia],0))="Sim","Conforme","Lacuna"),G1153)))),G1153))</f>
        <v>Não aplicável</v>
      </c>
      <c r="I1153" s="33" t="str">
        <f t="shared" si="17"/>
        <v>Não aplicável</v>
      </c>
      <c r="J1153" s="26"/>
    </row>
    <row r="1154" spans="1:10" ht="16.05" customHeight="1" x14ac:dyDescent="0.3">
      <c r="A1154" s="26" t="s">
        <v>736</v>
      </c>
      <c r="B1154" s="26" t="s">
        <v>1102</v>
      </c>
      <c r="C1154" s="33" t="str">
        <f>IFERROR(INDEX(tbl_requisitos_emb[Tema],MATCH(B1154,tbl_requisitos_emb[ID_Req],0)),"")</f>
        <v>Documentação técnica e declaração UE</v>
      </c>
      <c r="D1154" s="33" t="str">
        <f>IFERROR(INDEX(tbl_recyclass[Segmento],MATCH(A1154,tbl_recyclass[ProductId],0)),"")</f>
        <v>Cosmética e higiene pessoal</v>
      </c>
      <c r="E1154" s="26" t="s">
        <v>901</v>
      </c>
      <c r="F1154" s="26" t="s">
        <v>1449</v>
      </c>
      <c r="G1154" s="26" t="s">
        <v>978</v>
      </c>
      <c r="H1154" s="33" t="str">
        <f>IF(E1154="Não","Não aplicável",IFERROR(IF(B1154="EU-ENV-002",IF(INDEX(tbl_recyclass[Conforme_PPWR_2030],MATCH(A1154,tbl_recyclass[ProductId],0))="Sim","Conforme (autoavaliação)",IF(INDEX(tbl_recyclass[Conforme_PPWR_2030],MATCH(A1154,tbl_recyclass[ProductId],0))="Não","Não conforme em 2030","Isento até 2035")),IF(B1154="EU-ENV-003",IF(INDEX(tbl_recyclass[Conforme_Art7_2030],MATCH(A1154,tbl_recyclass[ProductId],0))="Sim","Conforme (meta 2030)",IF(INDEX(tbl_recyclass[Conforme_Art7_2030],MATCH(A1154,tbl_recyclass[ProductId],0))="Não","Lacuna face à meta 2030","Isento")),IF(B1154="EU-ENV-011",IF(INDEX(tbl_familias_ppwr[Metais_Pesados_Evidencia],MATCH(INDEX(tbl_recyclass[Familia_PPWR],MATCH(A1154,tbl_recyclass[ProductId],0)),tbl_familias_ppwr[ID_Familia],0))="Em falta","Lacuna","Conforme"),IF(B1154="EU-ENV-013",IF(INDEX(tbl_familias_ppwr[Declaracao_UE],MATCH(INDEX(tbl_recyclass[Familia_PPWR],MATCH(A1154,tbl_recyclass[ProductId],0)),tbl_familias_ppwr[ID_Familia],0))="Sim","Conforme","Lacuna"),G1154)))),G1154))</f>
        <v>Conforme</v>
      </c>
      <c r="I1154" s="33" t="str">
        <f t="shared" ref="I1154:I1217" si="18">IF(ISNUMBER(SEARCH("Não aplicável",H1154)),"Não aplicável",IF(ISNUMBER(SEARCH("Isento",H1154)),"Isento",IF(ISNUMBER(SEARCH("Não conforme",H1154)),"Não conforme",IF(ISNUMBER(SEARCH("Lacuna",H1154)),"Lacuna",IF(ISNUMBER(SEARCH("Conforme",H1154)),"Conforme",H1154)))))</f>
        <v>Conforme</v>
      </c>
      <c r="J1154" s="26" t="s">
        <v>1106</v>
      </c>
    </row>
    <row r="1155" spans="1:10" ht="16.05" customHeight="1" x14ac:dyDescent="0.3">
      <c r="A1155" s="26" t="s">
        <v>736</v>
      </c>
      <c r="B1155" s="26" t="s">
        <v>1161</v>
      </c>
      <c r="C1155" s="33" t="str">
        <f>IFERROR(INDEX(tbl_requisitos_emb[Tema],MATCH(B1155,tbl_requisitos_emb[ID_Req],0)),"")</f>
        <v>Materiais em contacto com alimentos</v>
      </c>
      <c r="D1155" s="33" t="str">
        <f>IFERROR(INDEX(tbl_recyclass[Segmento],MATCH(A1155,tbl_recyclass[ProductId],0)),"")</f>
        <v>Cosmética e higiene pessoal</v>
      </c>
      <c r="E1155" s="26" t="s">
        <v>904</v>
      </c>
      <c r="F1155" s="26" t="s">
        <v>1450</v>
      </c>
      <c r="G1155" s="26" t="s">
        <v>1143</v>
      </c>
      <c r="H1155" s="33" t="str">
        <f>IF(E1155="Não","Não aplicável",IFERROR(IF(B1155="EU-ENV-002",IF(INDEX(tbl_recyclass[Conforme_PPWR_2030],MATCH(A1155,tbl_recyclass[ProductId],0))="Sim","Conforme (autoavaliação)",IF(INDEX(tbl_recyclass[Conforme_PPWR_2030],MATCH(A1155,tbl_recyclass[ProductId],0))="Não","Não conforme em 2030","Isento até 2035")),IF(B1155="EU-ENV-003",IF(INDEX(tbl_recyclass[Conforme_Art7_2030],MATCH(A1155,tbl_recyclass[ProductId],0))="Sim","Conforme (meta 2030)",IF(INDEX(tbl_recyclass[Conforme_Art7_2030],MATCH(A1155,tbl_recyclass[ProductId],0))="Não","Lacuna face à meta 2030","Isento")),IF(B1155="EU-ENV-011",IF(INDEX(tbl_familias_ppwr[Metais_Pesados_Evidencia],MATCH(INDEX(tbl_recyclass[Familia_PPWR],MATCH(A1155,tbl_recyclass[ProductId],0)),tbl_familias_ppwr[ID_Familia],0))="Em falta","Lacuna","Conforme"),IF(B1155="EU-ENV-013",IF(INDEX(tbl_familias_ppwr[Declaracao_UE],MATCH(INDEX(tbl_recyclass[Familia_PPWR],MATCH(A1155,tbl_recyclass[ProductId],0)),tbl_familias_ppwr[ID_Familia],0))="Sim","Conforme","Lacuna"),G1155)))),G1155))</f>
        <v>Não aplicável</v>
      </c>
      <c r="I1155" s="33" t="str">
        <f t="shared" si="18"/>
        <v>Não aplicável</v>
      </c>
      <c r="J1155" s="26"/>
    </row>
    <row r="1156" spans="1:10" ht="16.05" customHeight="1" x14ac:dyDescent="0.3">
      <c r="A1156" s="26" t="s">
        <v>736</v>
      </c>
      <c r="B1156" s="26" t="s">
        <v>1170</v>
      </c>
      <c r="C1156" s="33" t="str">
        <f>IFERROR(INDEX(tbl_requisitos_emb[Tema],MATCH(B1156,tbl_requisitos_emb[ID_Req],0)),"")</f>
        <v>Boas práticas de fabrico FCM</v>
      </c>
      <c r="D1156" s="33" t="str">
        <f>IFERROR(INDEX(tbl_recyclass[Segmento],MATCH(A1156,tbl_recyclass[ProductId],0)),"")</f>
        <v>Cosmética e higiene pessoal</v>
      </c>
      <c r="E1156" s="26" t="s">
        <v>904</v>
      </c>
      <c r="F1156" s="26" t="s">
        <v>1450</v>
      </c>
      <c r="G1156" s="26" t="s">
        <v>1143</v>
      </c>
      <c r="H1156" s="33" t="str">
        <f>IF(E1156="Não","Não aplicável",IFERROR(IF(B1156="EU-ENV-002",IF(INDEX(tbl_recyclass[Conforme_PPWR_2030],MATCH(A1156,tbl_recyclass[ProductId],0))="Sim","Conforme (autoavaliação)",IF(INDEX(tbl_recyclass[Conforme_PPWR_2030],MATCH(A1156,tbl_recyclass[ProductId],0))="Não","Não conforme em 2030","Isento até 2035")),IF(B1156="EU-ENV-003",IF(INDEX(tbl_recyclass[Conforme_Art7_2030],MATCH(A1156,tbl_recyclass[ProductId],0))="Sim","Conforme (meta 2030)",IF(INDEX(tbl_recyclass[Conforme_Art7_2030],MATCH(A1156,tbl_recyclass[ProductId],0))="Não","Lacuna face à meta 2030","Isento")),IF(B1156="EU-ENV-011",IF(INDEX(tbl_familias_ppwr[Metais_Pesados_Evidencia],MATCH(INDEX(tbl_recyclass[Familia_PPWR],MATCH(A1156,tbl_recyclass[ProductId],0)),tbl_familias_ppwr[ID_Familia],0))="Em falta","Lacuna","Conforme"),IF(B1156="EU-ENV-013",IF(INDEX(tbl_familias_ppwr[Declaracao_UE],MATCH(INDEX(tbl_recyclass[Familia_PPWR],MATCH(A1156,tbl_recyclass[ProductId],0)),tbl_familias_ppwr[ID_Familia],0))="Sim","Conforme","Lacuna"),G1156)))),G1156))</f>
        <v>Não aplicável</v>
      </c>
      <c r="I1156" s="33" t="str">
        <f t="shared" si="18"/>
        <v>Não aplicável</v>
      </c>
      <c r="J1156" s="26"/>
    </row>
    <row r="1157" spans="1:10" ht="16.05" customHeight="1" x14ac:dyDescent="0.3">
      <c r="A1157" s="26" t="s">
        <v>736</v>
      </c>
      <c r="B1157" s="26" t="s">
        <v>1179</v>
      </c>
      <c r="C1157" s="33" t="str">
        <f>IFERROR(INDEX(tbl_requisitos_emb[Tema],MATCH(B1157,tbl_requisitos_emb[ID_Req],0)),"")</f>
        <v>Bisfenol A e bisfenóis perigosos</v>
      </c>
      <c r="D1157" s="33" t="str">
        <f>IFERROR(INDEX(tbl_recyclass[Segmento],MATCH(A1157,tbl_recyclass[ProductId],0)),"")</f>
        <v>Cosmética e higiene pessoal</v>
      </c>
      <c r="E1157" s="26" t="s">
        <v>904</v>
      </c>
      <c r="F1157" s="26" t="s">
        <v>1450</v>
      </c>
      <c r="G1157" s="26" t="s">
        <v>1143</v>
      </c>
      <c r="H1157" s="33" t="str">
        <f>IF(E1157="Não","Não aplicável",IFERROR(IF(B1157="EU-ENV-002",IF(INDEX(tbl_recyclass[Conforme_PPWR_2030],MATCH(A1157,tbl_recyclass[ProductId],0))="Sim","Conforme (autoavaliação)",IF(INDEX(tbl_recyclass[Conforme_PPWR_2030],MATCH(A1157,tbl_recyclass[ProductId],0))="Não","Não conforme em 2030","Isento até 2035")),IF(B1157="EU-ENV-003",IF(INDEX(tbl_recyclass[Conforme_Art7_2030],MATCH(A1157,tbl_recyclass[ProductId],0))="Sim","Conforme (meta 2030)",IF(INDEX(tbl_recyclass[Conforme_Art7_2030],MATCH(A1157,tbl_recyclass[ProductId],0))="Não","Lacuna face à meta 2030","Isento")),IF(B1157="EU-ENV-011",IF(INDEX(tbl_familias_ppwr[Metais_Pesados_Evidencia],MATCH(INDEX(tbl_recyclass[Familia_PPWR],MATCH(A1157,tbl_recyclass[ProductId],0)),tbl_familias_ppwr[ID_Familia],0))="Em falta","Lacuna","Conforme"),IF(B1157="EU-ENV-013",IF(INDEX(tbl_familias_ppwr[Declaracao_UE],MATCH(INDEX(tbl_recyclass[Familia_PPWR],MATCH(A1157,tbl_recyclass[ProductId],0)),tbl_familias_ppwr[ID_Familia],0))="Sim","Conforme","Lacuna"),G1157)))),G1157))</f>
        <v>Não aplicável</v>
      </c>
      <c r="I1157" s="33" t="str">
        <f t="shared" si="18"/>
        <v>Não aplicável</v>
      </c>
      <c r="J1157" s="26"/>
    </row>
    <row r="1158" spans="1:10" ht="16.05" customHeight="1" x14ac:dyDescent="0.3">
      <c r="A1158" s="26" t="s">
        <v>736</v>
      </c>
      <c r="B1158" s="26" t="s">
        <v>1188</v>
      </c>
      <c r="C1158" s="33" t="str">
        <f>IFERROR(INDEX(tbl_requisitos_emb[Tema],MATCH(B1158,tbl_requisitos_emb[ID_Req],0)),"")</f>
        <v>Plásticos em contacto com alimentos</v>
      </c>
      <c r="D1158" s="33" t="str">
        <f>IFERROR(INDEX(tbl_recyclass[Segmento],MATCH(A1158,tbl_recyclass[ProductId],0)),"")</f>
        <v>Cosmética e higiene pessoal</v>
      </c>
      <c r="E1158" s="26" t="s">
        <v>904</v>
      </c>
      <c r="F1158" s="26" t="s">
        <v>1450</v>
      </c>
      <c r="G1158" s="26" t="s">
        <v>1143</v>
      </c>
      <c r="H1158" s="33" t="str">
        <f>IF(E1158="Não","Não aplicável",IFERROR(IF(B1158="EU-ENV-002",IF(INDEX(tbl_recyclass[Conforme_PPWR_2030],MATCH(A1158,tbl_recyclass[ProductId],0))="Sim","Conforme (autoavaliação)",IF(INDEX(tbl_recyclass[Conforme_PPWR_2030],MATCH(A1158,tbl_recyclass[ProductId],0))="Não","Não conforme em 2030","Isento até 2035")),IF(B1158="EU-ENV-003",IF(INDEX(tbl_recyclass[Conforme_Art7_2030],MATCH(A1158,tbl_recyclass[ProductId],0))="Sim","Conforme (meta 2030)",IF(INDEX(tbl_recyclass[Conforme_Art7_2030],MATCH(A1158,tbl_recyclass[ProductId],0))="Não","Lacuna face à meta 2030","Isento")),IF(B1158="EU-ENV-011",IF(INDEX(tbl_familias_ppwr[Metais_Pesados_Evidencia],MATCH(INDEX(tbl_recyclass[Familia_PPWR],MATCH(A1158,tbl_recyclass[ProductId],0)),tbl_familias_ppwr[ID_Familia],0))="Em falta","Lacuna","Conforme"),IF(B1158="EU-ENV-013",IF(INDEX(tbl_familias_ppwr[Declaracao_UE],MATCH(INDEX(tbl_recyclass[Familia_PPWR],MATCH(A1158,tbl_recyclass[ProductId],0)),tbl_familias_ppwr[ID_Familia],0))="Sim","Conforme","Lacuna"),G1158)))),G1158))</f>
        <v>Não aplicável</v>
      </c>
      <c r="I1158" s="33" t="str">
        <f t="shared" si="18"/>
        <v>Não aplicável</v>
      </c>
      <c r="J1158" s="26"/>
    </row>
    <row r="1159" spans="1:10" ht="16.05" customHeight="1" x14ac:dyDescent="0.3">
      <c r="A1159" s="26" t="s">
        <v>736</v>
      </c>
      <c r="B1159" s="26" t="s">
        <v>1212</v>
      </c>
      <c r="C1159" s="33" t="str">
        <f>IFERROR(INDEX(tbl_requisitos_emb[Tema],MATCH(B1159,tbl_requisitos_emb[ID_Req],0)),"")</f>
        <v>Segurança do produto cosmético</v>
      </c>
      <c r="D1159" s="33" t="str">
        <f>IFERROR(INDEX(tbl_recyclass[Segmento],MATCH(A1159,tbl_recyclass[ProductId],0)),"")</f>
        <v>Cosmética e higiene pessoal</v>
      </c>
      <c r="E1159" s="26" t="s">
        <v>901</v>
      </c>
      <c r="F1159" s="26" t="s">
        <v>1449</v>
      </c>
      <c r="G1159" s="26" t="s">
        <v>1033</v>
      </c>
      <c r="H1159" s="33" t="str">
        <f>IF(E1159="Não","Não aplicável",IFERROR(IF(B1159="EU-ENV-002",IF(INDEX(tbl_recyclass[Conforme_PPWR_2030],MATCH(A1159,tbl_recyclass[ProductId],0))="Sim","Conforme (autoavaliação)",IF(INDEX(tbl_recyclass[Conforme_PPWR_2030],MATCH(A1159,tbl_recyclass[ProductId],0))="Não","Não conforme em 2030","Isento até 2035")),IF(B1159="EU-ENV-003",IF(INDEX(tbl_recyclass[Conforme_Art7_2030],MATCH(A1159,tbl_recyclass[ProductId],0))="Sim","Conforme (meta 2030)",IF(INDEX(tbl_recyclass[Conforme_Art7_2030],MATCH(A1159,tbl_recyclass[ProductId],0))="Não","Lacuna face à meta 2030","Isento")),IF(B1159="EU-ENV-011",IF(INDEX(tbl_familias_ppwr[Metais_Pesados_Evidencia],MATCH(INDEX(tbl_recyclass[Familia_PPWR],MATCH(A1159,tbl_recyclass[ProductId],0)),tbl_familias_ppwr[ID_Familia],0))="Em falta","Lacuna","Conforme"),IF(B1159="EU-ENV-013",IF(INDEX(tbl_familias_ppwr[Declaracao_UE],MATCH(INDEX(tbl_recyclass[Familia_PPWR],MATCH(A1159,tbl_recyclass[ProductId],0)),tbl_familias_ppwr[ID_Familia],0))="Sim","Conforme","Lacuna"),G1159)))),G1159))</f>
        <v>Conforme</v>
      </c>
      <c r="I1159" s="33" t="str">
        <f t="shared" si="18"/>
        <v>Conforme</v>
      </c>
      <c r="J1159" s="26" t="s">
        <v>1221</v>
      </c>
    </row>
    <row r="1160" spans="1:10" ht="16.05" customHeight="1" x14ac:dyDescent="0.3">
      <c r="A1160" s="26" t="s">
        <v>736</v>
      </c>
      <c r="B1160" s="26" t="s">
        <v>1224</v>
      </c>
      <c r="C1160" s="33" t="str">
        <f>IFERROR(INDEX(tbl_requisitos_emb[Tema],MATCH(B1160,tbl_requisitos_emb[ID_Req],0)),"")</f>
        <v>Materiais e impurezas</v>
      </c>
      <c r="D1160" s="33" t="str">
        <f>IFERROR(INDEX(tbl_recyclass[Segmento],MATCH(A1160,tbl_recyclass[ProductId],0)),"")</f>
        <v>Cosmética e higiene pessoal</v>
      </c>
      <c r="E1160" s="26" t="s">
        <v>901</v>
      </c>
      <c r="F1160" s="26" t="s">
        <v>1449</v>
      </c>
      <c r="G1160" s="26" t="s">
        <v>978</v>
      </c>
      <c r="H1160" s="33" t="str">
        <f>IF(E1160="Não","Não aplicável",IFERROR(IF(B1160="EU-ENV-002",IF(INDEX(tbl_recyclass[Conforme_PPWR_2030],MATCH(A1160,tbl_recyclass[ProductId],0))="Sim","Conforme (autoavaliação)",IF(INDEX(tbl_recyclass[Conforme_PPWR_2030],MATCH(A1160,tbl_recyclass[ProductId],0))="Não","Não conforme em 2030","Isento até 2035")),IF(B1160="EU-ENV-003",IF(INDEX(tbl_recyclass[Conforme_Art7_2030],MATCH(A1160,tbl_recyclass[ProductId],0))="Sim","Conforme (meta 2030)",IF(INDEX(tbl_recyclass[Conforme_Art7_2030],MATCH(A1160,tbl_recyclass[ProductId],0))="Não","Lacuna face à meta 2030","Isento")),IF(B1160="EU-ENV-011",IF(INDEX(tbl_familias_ppwr[Metais_Pesados_Evidencia],MATCH(INDEX(tbl_recyclass[Familia_PPWR],MATCH(A1160,tbl_recyclass[ProductId],0)),tbl_familias_ppwr[ID_Familia],0))="Em falta","Lacuna","Conforme"),IF(B1160="EU-ENV-013",IF(INDEX(tbl_familias_ppwr[Declaracao_UE],MATCH(INDEX(tbl_recyclass[Familia_PPWR],MATCH(A1160,tbl_recyclass[ProductId],0)),tbl_familias_ppwr[ID_Familia],0))="Sim","Conforme","Lacuna"),G1160)))),G1160))</f>
        <v>Parcial</v>
      </c>
      <c r="I1160" s="33" t="str">
        <f t="shared" si="18"/>
        <v>Parcial</v>
      </c>
      <c r="J1160" s="26" t="s">
        <v>1228</v>
      </c>
    </row>
    <row r="1161" spans="1:10" ht="16.05" customHeight="1" x14ac:dyDescent="0.3">
      <c r="A1161" s="26" t="s">
        <v>736</v>
      </c>
      <c r="B1161" s="26" t="s">
        <v>1240</v>
      </c>
      <c r="C1161" s="33" t="str">
        <f>IFERROR(INDEX(tbl_requisitos_emb[Tema],MATCH(B1161,tbl_requisitos_emb[ID_Req],0)),"")</f>
        <v>Compatibilidade embalagem–produto</v>
      </c>
      <c r="D1161" s="33" t="str">
        <f>IFERROR(INDEX(tbl_recyclass[Segmento],MATCH(A1161,tbl_recyclass[ProductId],0)),"")</f>
        <v>Cosmética e higiene pessoal</v>
      </c>
      <c r="E1161" s="26" t="s">
        <v>901</v>
      </c>
      <c r="F1161" s="26" t="s">
        <v>1449</v>
      </c>
      <c r="G1161" s="26" t="s">
        <v>1033</v>
      </c>
      <c r="H1161" s="33" t="str">
        <f>IF(E1161="Não","Não aplicável",IFERROR(IF(B1161="EU-ENV-002",IF(INDEX(tbl_recyclass[Conforme_PPWR_2030],MATCH(A1161,tbl_recyclass[ProductId],0))="Sim","Conforme (autoavaliação)",IF(INDEX(tbl_recyclass[Conforme_PPWR_2030],MATCH(A1161,tbl_recyclass[ProductId],0))="Não","Não conforme em 2030","Isento até 2035")),IF(B1161="EU-ENV-003",IF(INDEX(tbl_recyclass[Conforme_Art7_2030],MATCH(A1161,tbl_recyclass[ProductId],0))="Sim","Conforme (meta 2030)",IF(INDEX(tbl_recyclass[Conforme_Art7_2030],MATCH(A1161,tbl_recyclass[ProductId],0))="Não","Lacuna face à meta 2030","Isento")),IF(B1161="EU-ENV-011",IF(INDEX(tbl_familias_ppwr[Metais_Pesados_Evidencia],MATCH(INDEX(tbl_recyclass[Familia_PPWR],MATCH(A1161,tbl_recyclass[ProductId],0)),tbl_familias_ppwr[ID_Familia],0))="Em falta","Lacuna","Conforme"),IF(B1161="EU-ENV-013",IF(INDEX(tbl_familias_ppwr[Declaracao_UE],MATCH(INDEX(tbl_recyclass[Familia_PPWR],MATCH(A1161,tbl_recyclass[ProductId],0)),tbl_familias_ppwr[ID_Familia],0))="Sim","Conforme","Lacuna"),G1161)))),G1161))</f>
        <v>Conforme</v>
      </c>
      <c r="I1161" s="33" t="str">
        <f t="shared" si="18"/>
        <v>Conforme</v>
      </c>
      <c r="J1161" s="26" t="s">
        <v>1244</v>
      </c>
    </row>
    <row r="1162" spans="1:10" ht="16.05" customHeight="1" x14ac:dyDescent="0.3">
      <c r="A1162" s="26" t="s">
        <v>736</v>
      </c>
      <c r="B1162" s="26" t="s">
        <v>1252</v>
      </c>
      <c r="C1162" s="33" t="str">
        <f>IFERROR(INDEX(tbl_requisitos_emb[Tema],MATCH(B1162,tbl_requisitos_emb[ID_Req],0)),"")</f>
        <v>Medicamentos de uso humano</v>
      </c>
      <c r="D1162" s="33" t="str">
        <f>IFERROR(INDEX(tbl_recyclass[Segmento],MATCH(A1162,tbl_recyclass[ProductId],0)),"")</f>
        <v>Cosmética e higiene pessoal</v>
      </c>
      <c r="E1162" s="26" t="s">
        <v>904</v>
      </c>
      <c r="F1162" s="26" t="s">
        <v>1451</v>
      </c>
      <c r="G1162" s="26" t="s">
        <v>1143</v>
      </c>
      <c r="H1162" s="33" t="str">
        <f>IF(E1162="Não","Não aplicável",IFERROR(IF(B1162="EU-ENV-002",IF(INDEX(tbl_recyclass[Conforme_PPWR_2030],MATCH(A1162,tbl_recyclass[ProductId],0))="Sim","Conforme (autoavaliação)",IF(INDEX(tbl_recyclass[Conforme_PPWR_2030],MATCH(A1162,tbl_recyclass[ProductId],0))="Não","Não conforme em 2030","Isento até 2035")),IF(B1162="EU-ENV-003",IF(INDEX(tbl_recyclass[Conforme_Art7_2030],MATCH(A1162,tbl_recyclass[ProductId],0))="Sim","Conforme (meta 2030)",IF(INDEX(tbl_recyclass[Conforme_Art7_2030],MATCH(A1162,tbl_recyclass[ProductId],0))="Não","Lacuna face à meta 2030","Isento")),IF(B1162="EU-ENV-011",IF(INDEX(tbl_familias_ppwr[Metais_Pesados_Evidencia],MATCH(INDEX(tbl_recyclass[Familia_PPWR],MATCH(A1162,tbl_recyclass[ProductId],0)),tbl_familias_ppwr[ID_Familia],0))="Em falta","Lacuna","Conforme"),IF(B1162="EU-ENV-013",IF(INDEX(tbl_familias_ppwr[Declaracao_UE],MATCH(INDEX(tbl_recyclass[Familia_PPWR],MATCH(A1162,tbl_recyclass[ProductId],0)),tbl_familias_ppwr[ID_Familia],0))="Sim","Conforme","Lacuna"),G1162)))),G1162))</f>
        <v>Não aplicável</v>
      </c>
      <c r="I1162" s="33" t="str">
        <f t="shared" si="18"/>
        <v>Não aplicável</v>
      </c>
      <c r="J1162" s="26"/>
    </row>
    <row r="1163" spans="1:10" ht="16.05" customHeight="1" x14ac:dyDescent="0.3">
      <c r="A1163" s="26" t="s">
        <v>736</v>
      </c>
      <c r="B1163" s="26" t="s">
        <v>1268</v>
      </c>
      <c r="C1163" s="33" t="str">
        <f>IFERROR(INDEX(tbl_requisitos_emb[Tema],MATCH(B1163,tbl_requisitos_emb[ID_Req],0)),"")</f>
        <v>Dispositivos de segurança</v>
      </c>
      <c r="D1163" s="33" t="str">
        <f>IFERROR(INDEX(tbl_recyclass[Segmento],MATCH(A1163,tbl_recyclass[ProductId],0)),"")</f>
        <v>Cosmética e higiene pessoal</v>
      </c>
      <c r="E1163" s="26" t="s">
        <v>904</v>
      </c>
      <c r="F1163" s="26" t="s">
        <v>1451</v>
      </c>
      <c r="G1163" s="26" t="s">
        <v>1143</v>
      </c>
      <c r="H1163" s="33" t="str">
        <f>IF(E1163="Não","Não aplicável",IFERROR(IF(B1163="EU-ENV-002",IF(INDEX(tbl_recyclass[Conforme_PPWR_2030],MATCH(A1163,tbl_recyclass[ProductId],0))="Sim","Conforme (autoavaliação)",IF(INDEX(tbl_recyclass[Conforme_PPWR_2030],MATCH(A1163,tbl_recyclass[ProductId],0))="Não","Não conforme em 2030","Isento até 2035")),IF(B1163="EU-ENV-003",IF(INDEX(tbl_recyclass[Conforme_Art7_2030],MATCH(A1163,tbl_recyclass[ProductId],0))="Sim","Conforme (meta 2030)",IF(INDEX(tbl_recyclass[Conforme_Art7_2030],MATCH(A1163,tbl_recyclass[ProductId],0))="Não","Lacuna face à meta 2030","Isento")),IF(B1163="EU-ENV-011",IF(INDEX(tbl_familias_ppwr[Metais_Pesados_Evidencia],MATCH(INDEX(tbl_recyclass[Familia_PPWR],MATCH(A1163,tbl_recyclass[ProductId],0)),tbl_familias_ppwr[ID_Familia],0))="Em falta","Lacuna","Conforme"),IF(B1163="EU-ENV-013",IF(INDEX(tbl_familias_ppwr[Declaracao_UE],MATCH(INDEX(tbl_recyclass[Familia_PPWR],MATCH(A1163,tbl_recyclass[ProductId],0)),tbl_familias_ppwr[ID_Familia],0))="Sim","Conforme","Lacuna"),G1163)))),G1163))</f>
        <v>Não aplicável</v>
      </c>
      <c r="I1163" s="33" t="str">
        <f t="shared" si="18"/>
        <v>Não aplicável</v>
      </c>
      <c r="J1163" s="26"/>
    </row>
    <row r="1164" spans="1:10" ht="16.05" customHeight="1" x14ac:dyDescent="0.3">
      <c r="A1164" s="26" t="s">
        <v>736</v>
      </c>
      <c r="B1164" s="26" t="s">
        <v>1285</v>
      </c>
      <c r="C1164" s="33" t="str">
        <f>IFERROR(INDEX(tbl_requisitos_emb[Tema],MATCH(B1164,tbl_requisitos_emb[ID_Req],0)),"")</f>
        <v>Materiais plásticos de acondicionamento primário</v>
      </c>
      <c r="D1164" s="33" t="str">
        <f>IFERROR(INDEX(tbl_recyclass[Segmento],MATCH(A1164,tbl_recyclass[ProductId],0)),"")</f>
        <v>Cosmética e higiene pessoal</v>
      </c>
      <c r="E1164" s="26" t="s">
        <v>904</v>
      </c>
      <c r="F1164" s="26" t="s">
        <v>1451</v>
      </c>
      <c r="G1164" s="26" t="s">
        <v>1143</v>
      </c>
      <c r="H1164" s="33" t="str">
        <f>IF(E1164="Não","Não aplicável",IFERROR(IF(B1164="EU-ENV-002",IF(INDEX(tbl_recyclass[Conforme_PPWR_2030],MATCH(A1164,tbl_recyclass[ProductId],0))="Sim","Conforme (autoavaliação)",IF(INDEX(tbl_recyclass[Conforme_PPWR_2030],MATCH(A1164,tbl_recyclass[ProductId],0))="Não","Não conforme em 2030","Isento até 2035")),IF(B1164="EU-ENV-003",IF(INDEX(tbl_recyclass[Conforme_Art7_2030],MATCH(A1164,tbl_recyclass[ProductId],0))="Sim","Conforme (meta 2030)",IF(INDEX(tbl_recyclass[Conforme_Art7_2030],MATCH(A1164,tbl_recyclass[ProductId],0))="Não","Lacuna face à meta 2030","Isento")),IF(B1164="EU-ENV-011",IF(INDEX(tbl_familias_ppwr[Metais_Pesados_Evidencia],MATCH(INDEX(tbl_recyclass[Familia_PPWR],MATCH(A1164,tbl_recyclass[ProductId],0)),tbl_familias_ppwr[ID_Familia],0))="Em falta","Lacuna","Conforme"),IF(B1164="EU-ENV-013",IF(INDEX(tbl_familias_ppwr[Declaracao_UE],MATCH(INDEX(tbl_recyclass[Familia_PPWR],MATCH(A1164,tbl_recyclass[ProductId],0)),tbl_familias_ppwr[ID_Familia],0))="Sim","Conforme","Lacuna"),G1164)))),G1164))</f>
        <v>Não aplicável</v>
      </c>
      <c r="I1164" s="33" t="str">
        <f t="shared" si="18"/>
        <v>Não aplicável</v>
      </c>
      <c r="J1164" s="26"/>
    </row>
    <row r="1165" spans="1:10" ht="16.05" customHeight="1" x14ac:dyDescent="0.3">
      <c r="A1165" s="26" t="s">
        <v>736</v>
      </c>
      <c r="B1165" s="26" t="s">
        <v>1293</v>
      </c>
      <c r="C1165" s="33" t="str">
        <f>IFERROR(INDEX(tbl_requisitos_emb[Tema],MATCH(B1165,tbl_requisitos_emb[ID_Req],0)),"")</f>
        <v>Isenções PPWR</v>
      </c>
      <c r="D1165" s="33" t="str">
        <f>IFERROR(INDEX(tbl_recyclass[Segmento],MATCH(A1165,tbl_recyclass[ProductId],0)),"")</f>
        <v>Cosmética e higiene pessoal</v>
      </c>
      <c r="E1165" s="26" t="s">
        <v>904</v>
      </c>
      <c r="F1165" s="26" t="s">
        <v>1451</v>
      </c>
      <c r="G1165" s="26" t="s">
        <v>1143</v>
      </c>
      <c r="H1165" s="33" t="str">
        <f>IF(E1165="Não","Não aplicável",IFERROR(IF(B1165="EU-ENV-002",IF(INDEX(tbl_recyclass[Conforme_PPWR_2030],MATCH(A1165,tbl_recyclass[ProductId],0))="Sim","Conforme (autoavaliação)",IF(INDEX(tbl_recyclass[Conforme_PPWR_2030],MATCH(A1165,tbl_recyclass[ProductId],0))="Não","Não conforme em 2030","Isento até 2035")),IF(B1165="EU-ENV-003",IF(INDEX(tbl_recyclass[Conforme_Art7_2030],MATCH(A1165,tbl_recyclass[ProductId],0))="Sim","Conforme (meta 2030)",IF(INDEX(tbl_recyclass[Conforme_Art7_2030],MATCH(A1165,tbl_recyclass[ProductId],0))="Não","Lacuna face à meta 2030","Isento")),IF(B1165="EU-ENV-011",IF(INDEX(tbl_familias_ppwr[Metais_Pesados_Evidencia],MATCH(INDEX(tbl_recyclass[Familia_PPWR],MATCH(A1165,tbl_recyclass[ProductId],0)),tbl_familias_ppwr[ID_Familia],0))="Em falta","Lacuna","Conforme"),IF(B1165="EU-ENV-013",IF(INDEX(tbl_familias_ppwr[Declaracao_UE],MATCH(INDEX(tbl_recyclass[Familia_PPWR],MATCH(A1165,tbl_recyclass[ProductId],0)),tbl_familias_ppwr[ID_Familia],0))="Sim","Conforme","Lacuna"),G1165)))),G1165))</f>
        <v>Não aplicável</v>
      </c>
      <c r="I1165" s="33" t="str">
        <f t="shared" si="18"/>
        <v>Não aplicável</v>
      </c>
      <c r="J1165" s="26"/>
    </row>
    <row r="1166" spans="1:10" ht="16.05" customHeight="1" x14ac:dyDescent="0.3">
      <c r="A1166" s="26" t="s">
        <v>736</v>
      </c>
      <c r="B1166" s="26" t="s">
        <v>1357</v>
      </c>
      <c r="C1166" s="33" t="str">
        <f>IFERROR(INDEX(tbl_requisitos_emb[Tema],MATCH(B1166,tbl_requisitos_emb[ID_Req],0)),"")</f>
        <v>Identificação de plásticos</v>
      </c>
      <c r="D1166" s="33" t="str">
        <f>IFERROR(INDEX(tbl_recyclass[Segmento],MATCH(A1166,tbl_recyclass[ProductId],0)),"")</f>
        <v>Cosmética e higiene pessoal</v>
      </c>
      <c r="E1166" s="26" t="s">
        <v>901</v>
      </c>
      <c r="F1166" s="26" t="s">
        <v>1449</v>
      </c>
      <c r="G1166" s="26" t="s">
        <v>978</v>
      </c>
      <c r="H1166" s="33" t="str">
        <f>IF(E1166="Não","Não aplicável",IFERROR(IF(B1166="EU-ENV-002",IF(INDEX(tbl_recyclass[Conforme_PPWR_2030],MATCH(A1166,tbl_recyclass[ProductId],0))="Sim","Conforme (autoavaliação)",IF(INDEX(tbl_recyclass[Conforme_PPWR_2030],MATCH(A1166,tbl_recyclass[ProductId],0))="Não","Não conforme em 2030","Isento até 2035")),IF(B1166="EU-ENV-003",IF(INDEX(tbl_recyclass[Conforme_Art7_2030],MATCH(A1166,tbl_recyclass[ProductId],0))="Sim","Conforme (meta 2030)",IF(INDEX(tbl_recyclass[Conforme_Art7_2030],MATCH(A1166,tbl_recyclass[ProductId],0))="Não","Lacuna face à meta 2030","Isento")),IF(B1166="EU-ENV-011",IF(INDEX(tbl_familias_ppwr[Metais_Pesados_Evidencia],MATCH(INDEX(tbl_recyclass[Familia_PPWR],MATCH(A1166,tbl_recyclass[ProductId],0)),tbl_familias_ppwr[ID_Familia],0))="Em falta","Lacuna","Conforme"),IF(B1166="EU-ENV-013",IF(INDEX(tbl_familias_ppwr[Declaracao_UE],MATCH(INDEX(tbl_recyclass[Familia_PPWR],MATCH(A1166,tbl_recyclass[ProductId],0)),tbl_familias_ppwr[ID_Familia],0))="Sim","Conforme","Lacuna"),G1166)))),G1166))</f>
        <v>Parcial</v>
      </c>
      <c r="I1166" s="33" t="str">
        <f t="shared" si="18"/>
        <v>Parcial</v>
      </c>
      <c r="J1166" s="26" t="s">
        <v>1362</v>
      </c>
    </row>
    <row r="1167" spans="1:10" ht="16.05" customHeight="1" x14ac:dyDescent="0.3">
      <c r="A1167" s="26" t="s">
        <v>736</v>
      </c>
      <c r="B1167" s="26" t="s">
        <v>1385</v>
      </c>
      <c r="C1167" s="33" t="str">
        <f>IFERROR(INDEX(tbl_requisitos_emb[Tema],MATCH(B1167,tbl_requisitos_emb[ID_Req],0)),"")</f>
        <v>Reciclabilidade (voluntária)</v>
      </c>
      <c r="D1167" s="33" t="str">
        <f>IFERROR(INDEX(tbl_recyclass[Segmento],MATCH(A1167,tbl_recyclass[ProductId],0)),"")</f>
        <v>Cosmética e higiene pessoal</v>
      </c>
      <c r="E1167" s="26" t="s">
        <v>901</v>
      </c>
      <c r="F1167" s="26" t="s">
        <v>1449</v>
      </c>
      <c r="G1167" s="26" t="s">
        <v>978</v>
      </c>
      <c r="H1167" s="33" t="str">
        <f>IF(E1167="Não","Não aplicável",IFERROR(IF(B1167="EU-ENV-002",IF(INDEX(tbl_recyclass[Conforme_PPWR_2030],MATCH(A1167,tbl_recyclass[ProductId],0))="Sim","Conforme (autoavaliação)",IF(INDEX(tbl_recyclass[Conforme_PPWR_2030],MATCH(A1167,tbl_recyclass[ProductId],0))="Não","Não conforme em 2030","Isento até 2035")),IF(B1167="EU-ENV-003",IF(INDEX(tbl_recyclass[Conforme_Art7_2030],MATCH(A1167,tbl_recyclass[ProductId],0))="Sim","Conforme (meta 2030)",IF(INDEX(tbl_recyclass[Conforme_Art7_2030],MATCH(A1167,tbl_recyclass[ProductId],0))="Não","Lacuna face à meta 2030","Isento")),IF(B1167="EU-ENV-011",IF(INDEX(tbl_familias_ppwr[Metais_Pesados_Evidencia],MATCH(INDEX(tbl_recyclass[Familia_PPWR],MATCH(A1167,tbl_recyclass[ProductId],0)),tbl_familias_ppwr[ID_Familia],0))="Em falta","Lacuna","Conforme"),IF(B1167="EU-ENV-013",IF(INDEX(tbl_familias_ppwr[Declaracao_UE],MATCH(INDEX(tbl_recyclass[Familia_PPWR],MATCH(A1167,tbl_recyclass[ProductId],0)),tbl_familias_ppwr[ID_Familia],0))="Sim","Conforme","Lacuna"),G1167)))),G1167))</f>
        <v>Parcial</v>
      </c>
      <c r="I1167" s="33" t="str">
        <f t="shared" si="18"/>
        <v>Parcial</v>
      </c>
      <c r="J1167" s="26" t="s">
        <v>1389</v>
      </c>
    </row>
    <row r="1168" spans="1:10" ht="16.05" customHeight="1" x14ac:dyDescent="0.3">
      <c r="A1168" s="26" t="s">
        <v>739</v>
      </c>
      <c r="B1168" s="26" t="s">
        <v>984</v>
      </c>
      <c r="C1168" s="33" t="str">
        <f>IFERROR(INDEX(tbl_requisitos_emb[Tema],MATCH(B1168,tbl_requisitos_emb[ID_Req],0)),"")</f>
        <v>Conceção para reciclagem</v>
      </c>
      <c r="D1168" s="33" t="str">
        <f>IFERROR(INDEX(tbl_recyclass[Segmento],MATCH(A1168,tbl_recyclass[ProductId],0)),"")</f>
        <v>Cosmética e higiene pessoal</v>
      </c>
      <c r="E1168" s="26" t="s">
        <v>901</v>
      </c>
      <c r="F1168" s="26" t="s">
        <v>1449</v>
      </c>
      <c r="G1168" s="26" t="s">
        <v>978</v>
      </c>
      <c r="H1168" s="33" t="str">
        <f>IF(E1168="Não","Não aplicável",IFERROR(IF(B1168="EU-ENV-002",IF(INDEX(tbl_recyclass[Conforme_PPWR_2030],MATCH(A1168,tbl_recyclass[ProductId],0))="Sim","Conforme (autoavaliação)",IF(INDEX(tbl_recyclass[Conforme_PPWR_2030],MATCH(A1168,tbl_recyclass[ProductId],0))="Não","Não conforme em 2030","Isento até 2035")),IF(B1168="EU-ENV-003",IF(INDEX(tbl_recyclass[Conforme_Art7_2030],MATCH(A1168,tbl_recyclass[ProductId],0))="Sim","Conforme (meta 2030)",IF(INDEX(tbl_recyclass[Conforme_Art7_2030],MATCH(A1168,tbl_recyclass[ProductId],0))="Não","Lacuna face à meta 2030","Isento")),IF(B1168="EU-ENV-011",IF(INDEX(tbl_familias_ppwr[Metais_Pesados_Evidencia],MATCH(INDEX(tbl_recyclass[Familia_PPWR],MATCH(A1168,tbl_recyclass[ProductId],0)),tbl_familias_ppwr[ID_Familia],0))="Em falta","Lacuna","Conforme"),IF(B1168="EU-ENV-013",IF(INDEX(tbl_familias_ppwr[Declaracao_UE],MATCH(INDEX(tbl_recyclass[Familia_PPWR],MATCH(A1168,tbl_recyclass[ProductId],0)),tbl_familias_ppwr[ID_Familia],0))="Sim","Conforme","Lacuna"),G1168)))),G1168))</f>
        <v>Conforme (autoavaliação)</v>
      </c>
      <c r="I1168" s="33" t="str">
        <f t="shared" si="18"/>
        <v>Conforme</v>
      </c>
      <c r="J1168" s="26" t="s">
        <v>991</v>
      </c>
    </row>
    <row r="1169" spans="1:10" ht="16.05" customHeight="1" x14ac:dyDescent="0.3">
      <c r="A1169" s="26" t="s">
        <v>739</v>
      </c>
      <c r="B1169" s="26" t="s">
        <v>997</v>
      </c>
      <c r="C1169" s="33" t="str">
        <f>IFERROR(INDEX(tbl_requisitos_emb[Tema],MATCH(B1169,tbl_requisitos_emb[ID_Req],0)),"")</f>
        <v>Conteúdo reciclado</v>
      </c>
      <c r="D1169" s="33" t="str">
        <f>IFERROR(INDEX(tbl_recyclass[Segmento],MATCH(A1169,tbl_recyclass[ProductId],0)),"")</f>
        <v>Cosmética e higiene pessoal</v>
      </c>
      <c r="E1169" s="26" t="s">
        <v>901</v>
      </c>
      <c r="F1169" s="26" t="s">
        <v>1449</v>
      </c>
      <c r="G1169" s="26" t="s">
        <v>978</v>
      </c>
      <c r="H1169" s="33" t="str">
        <f>IF(E1169="Não","Não aplicável",IFERROR(IF(B1169="EU-ENV-002",IF(INDEX(tbl_recyclass[Conforme_PPWR_2030],MATCH(A1169,tbl_recyclass[ProductId],0))="Sim","Conforme (autoavaliação)",IF(INDEX(tbl_recyclass[Conforme_PPWR_2030],MATCH(A1169,tbl_recyclass[ProductId],0))="Não","Não conforme em 2030","Isento até 2035")),IF(B1169="EU-ENV-003",IF(INDEX(tbl_recyclass[Conforme_Art7_2030],MATCH(A1169,tbl_recyclass[ProductId],0))="Sim","Conforme (meta 2030)",IF(INDEX(tbl_recyclass[Conforme_Art7_2030],MATCH(A1169,tbl_recyclass[ProductId],0))="Não","Lacuna face à meta 2030","Isento")),IF(B1169="EU-ENV-011",IF(INDEX(tbl_familias_ppwr[Metais_Pesados_Evidencia],MATCH(INDEX(tbl_recyclass[Familia_PPWR],MATCH(A1169,tbl_recyclass[ProductId],0)),tbl_familias_ppwr[ID_Familia],0))="Em falta","Lacuna","Conforme"),IF(B1169="EU-ENV-013",IF(INDEX(tbl_familias_ppwr[Declaracao_UE],MATCH(INDEX(tbl_recyclass[Familia_PPWR],MATCH(A1169,tbl_recyclass[ProductId],0)),tbl_familias_ppwr[ID_Familia],0))="Sim","Conforme","Lacuna"),G1169)))),G1169))</f>
        <v>Lacuna face à meta 2030</v>
      </c>
      <c r="I1169" s="33" t="str">
        <f t="shared" si="18"/>
        <v>Lacuna</v>
      </c>
      <c r="J1169" s="26" t="s">
        <v>1001</v>
      </c>
    </row>
    <row r="1170" spans="1:10" ht="16.05" customHeight="1" x14ac:dyDescent="0.3">
      <c r="A1170" s="26" t="s">
        <v>739</v>
      </c>
      <c r="B1170" s="26" t="s">
        <v>1007</v>
      </c>
      <c r="C1170" s="33" t="str">
        <f>IFERROR(INDEX(tbl_requisitos_emb[Tema],MATCH(B1170,tbl_requisitos_emb[ID_Req],0)),"")</f>
        <v>Minimização</v>
      </c>
      <c r="D1170" s="33" t="str">
        <f>IFERROR(INDEX(tbl_recyclass[Segmento],MATCH(A1170,tbl_recyclass[ProductId],0)),"")</f>
        <v>Cosmética e higiene pessoal</v>
      </c>
      <c r="E1170" s="26" t="s">
        <v>901</v>
      </c>
      <c r="F1170" s="26" t="s">
        <v>1449</v>
      </c>
      <c r="G1170" s="26" t="s">
        <v>978</v>
      </c>
      <c r="H1170" s="33" t="str">
        <f>IF(E1170="Não","Não aplicável",IFERROR(IF(B1170="EU-ENV-002",IF(INDEX(tbl_recyclass[Conforme_PPWR_2030],MATCH(A1170,tbl_recyclass[ProductId],0))="Sim","Conforme (autoavaliação)",IF(INDEX(tbl_recyclass[Conforme_PPWR_2030],MATCH(A1170,tbl_recyclass[ProductId],0))="Não","Não conforme em 2030","Isento até 2035")),IF(B1170="EU-ENV-003",IF(INDEX(tbl_recyclass[Conforme_Art7_2030],MATCH(A1170,tbl_recyclass[ProductId],0))="Sim","Conforme (meta 2030)",IF(INDEX(tbl_recyclass[Conforme_Art7_2030],MATCH(A1170,tbl_recyclass[ProductId],0))="Não","Lacuna face à meta 2030","Isento")),IF(B1170="EU-ENV-011",IF(INDEX(tbl_familias_ppwr[Metais_Pesados_Evidencia],MATCH(INDEX(tbl_recyclass[Familia_PPWR],MATCH(A1170,tbl_recyclass[ProductId],0)),tbl_familias_ppwr[ID_Familia],0))="Em falta","Lacuna","Conforme"),IF(B1170="EU-ENV-013",IF(INDEX(tbl_familias_ppwr[Declaracao_UE],MATCH(INDEX(tbl_recyclass[Familia_PPWR],MATCH(A1170,tbl_recyclass[ProductId],0)),tbl_familias_ppwr[ID_Familia],0))="Sim","Conforme","Lacuna"),G1170)))),G1170))</f>
        <v>Parcial</v>
      </c>
      <c r="I1170" s="33" t="str">
        <f t="shared" si="18"/>
        <v>Parcial</v>
      </c>
      <c r="J1170" s="26" t="s">
        <v>1012</v>
      </c>
    </row>
    <row r="1171" spans="1:10" ht="16.05" customHeight="1" x14ac:dyDescent="0.3">
      <c r="A1171" s="26" t="s">
        <v>739</v>
      </c>
      <c r="B1171" s="26" t="s">
        <v>1016</v>
      </c>
      <c r="C1171" s="33" t="str">
        <f>IFERROR(INDEX(tbl_requisitos_emb[Tema],MATCH(B1171,tbl_requisitos_emb[ID_Req],0)),"")</f>
        <v>Rotulagem</v>
      </c>
      <c r="D1171" s="33" t="str">
        <f>IFERROR(INDEX(tbl_recyclass[Segmento],MATCH(A1171,tbl_recyclass[ProductId],0)),"")</f>
        <v>Cosmética e higiene pessoal</v>
      </c>
      <c r="E1171" s="26" t="s">
        <v>901</v>
      </c>
      <c r="F1171" s="26" t="s">
        <v>1449</v>
      </c>
      <c r="G1171" s="26" t="s">
        <v>990</v>
      </c>
      <c r="H1171" s="33" t="str">
        <f>IF(E1171="Não","Não aplicável",IFERROR(IF(B1171="EU-ENV-002",IF(INDEX(tbl_recyclass[Conforme_PPWR_2030],MATCH(A1171,tbl_recyclass[ProductId],0))="Sim","Conforme (autoavaliação)",IF(INDEX(tbl_recyclass[Conforme_PPWR_2030],MATCH(A1171,tbl_recyclass[ProductId],0))="Não","Não conforme em 2030","Isento até 2035")),IF(B1171="EU-ENV-003",IF(INDEX(tbl_recyclass[Conforme_Art7_2030],MATCH(A1171,tbl_recyclass[ProductId],0))="Sim","Conforme (meta 2030)",IF(INDEX(tbl_recyclass[Conforme_Art7_2030],MATCH(A1171,tbl_recyclass[ProductId],0))="Não","Lacuna face à meta 2030","Isento")),IF(B1171="EU-ENV-011",IF(INDEX(tbl_familias_ppwr[Metais_Pesados_Evidencia],MATCH(INDEX(tbl_recyclass[Familia_PPWR],MATCH(A1171,tbl_recyclass[ProductId],0)),tbl_familias_ppwr[ID_Familia],0))="Em falta","Lacuna","Conforme"),IF(B1171="EU-ENV-013",IF(INDEX(tbl_familias_ppwr[Declaracao_UE],MATCH(INDEX(tbl_recyclass[Familia_PPWR],MATCH(A1171,tbl_recyclass[ProductId],0)),tbl_familias_ppwr[ID_Familia],0))="Sim","Conforme","Lacuna"),G1171)))),G1171))</f>
        <v>Futuro</v>
      </c>
      <c r="I1171" s="33" t="str">
        <f t="shared" si="18"/>
        <v>Futuro</v>
      </c>
      <c r="J1171" s="26" t="s">
        <v>1021</v>
      </c>
    </row>
    <row r="1172" spans="1:10" ht="16.05" customHeight="1" x14ac:dyDescent="0.3">
      <c r="A1172" s="26" t="s">
        <v>739</v>
      </c>
      <c r="B1172" s="26" t="s">
        <v>1038</v>
      </c>
      <c r="C1172" s="33" t="str">
        <f>IFERROR(INDEX(tbl_requisitos_emb[Tema],MATCH(B1172,tbl_requisitos_emb[ID_Req],0)),"")</f>
        <v>Plásticos de utilização única</v>
      </c>
      <c r="D1172" s="33" t="str">
        <f>IFERROR(INDEX(tbl_recyclass[Segmento],MATCH(A1172,tbl_recyclass[ProductId],0)),"")</f>
        <v>Cosmética e higiene pessoal</v>
      </c>
      <c r="E1172" s="26" t="s">
        <v>904</v>
      </c>
      <c r="F1172" s="26" t="s">
        <v>1450</v>
      </c>
      <c r="G1172" s="26" t="s">
        <v>1143</v>
      </c>
      <c r="H1172" s="33" t="str">
        <f>IF(E1172="Não","Não aplicável",IFERROR(IF(B1172="EU-ENV-002",IF(INDEX(tbl_recyclass[Conforme_PPWR_2030],MATCH(A1172,tbl_recyclass[ProductId],0))="Sim","Conforme (autoavaliação)",IF(INDEX(tbl_recyclass[Conforme_PPWR_2030],MATCH(A1172,tbl_recyclass[ProductId],0))="Não","Não conforme em 2030","Isento até 2035")),IF(B1172="EU-ENV-003",IF(INDEX(tbl_recyclass[Conforme_Art7_2030],MATCH(A1172,tbl_recyclass[ProductId],0))="Sim","Conforme (meta 2030)",IF(INDEX(tbl_recyclass[Conforme_Art7_2030],MATCH(A1172,tbl_recyclass[ProductId],0))="Não","Lacuna face à meta 2030","Isento")),IF(B1172="EU-ENV-011",IF(INDEX(tbl_familias_ppwr[Metais_Pesados_Evidencia],MATCH(INDEX(tbl_recyclass[Familia_PPWR],MATCH(A1172,tbl_recyclass[ProductId],0)),tbl_familias_ppwr[ID_Familia],0))="Em falta","Lacuna","Conforme"),IF(B1172="EU-ENV-013",IF(INDEX(tbl_familias_ppwr[Declaracao_UE],MATCH(INDEX(tbl_recyclass[Familia_PPWR],MATCH(A1172,tbl_recyclass[ProductId],0)),tbl_familias_ppwr[ID_Familia],0))="Sim","Conforme","Lacuna"),G1172)))),G1172))</f>
        <v>Não aplicável</v>
      </c>
      <c r="I1172" s="33" t="str">
        <f t="shared" si="18"/>
        <v>Não aplicável</v>
      </c>
      <c r="J1172" s="26"/>
    </row>
    <row r="1173" spans="1:10" ht="16.05" customHeight="1" x14ac:dyDescent="0.3">
      <c r="A1173" s="26" t="s">
        <v>739</v>
      </c>
      <c r="B1173" s="26" t="s">
        <v>1078</v>
      </c>
      <c r="C1173" s="33" t="str">
        <f>IFERROR(INDEX(tbl_requisitos_emb[Tema],MATCH(B1173,tbl_requisitos_emb[ID_Req],0)),"")</f>
        <v>Reciclado à escala</v>
      </c>
      <c r="D1173" s="33" t="str">
        <f>IFERROR(INDEX(tbl_recyclass[Segmento],MATCH(A1173,tbl_recyclass[ProductId],0)),"")</f>
        <v>Cosmética e higiene pessoal</v>
      </c>
      <c r="E1173" s="26" t="s">
        <v>901</v>
      </c>
      <c r="F1173" s="26" t="s">
        <v>1449</v>
      </c>
      <c r="G1173" s="26" t="s">
        <v>990</v>
      </c>
      <c r="H1173" s="33" t="str">
        <f>IF(E1173="Não","Não aplicável",IFERROR(IF(B1173="EU-ENV-002",IF(INDEX(tbl_recyclass[Conforme_PPWR_2030],MATCH(A1173,tbl_recyclass[ProductId],0))="Sim","Conforme (autoavaliação)",IF(INDEX(tbl_recyclass[Conforme_PPWR_2030],MATCH(A1173,tbl_recyclass[ProductId],0))="Não","Não conforme em 2030","Isento até 2035")),IF(B1173="EU-ENV-003",IF(INDEX(tbl_recyclass[Conforme_Art7_2030],MATCH(A1173,tbl_recyclass[ProductId],0))="Sim","Conforme (meta 2030)",IF(INDEX(tbl_recyclass[Conforme_Art7_2030],MATCH(A1173,tbl_recyclass[ProductId],0))="Não","Lacuna face à meta 2030","Isento")),IF(B1173="EU-ENV-011",IF(INDEX(tbl_familias_ppwr[Metais_Pesados_Evidencia],MATCH(INDEX(tbl_recyclass[Familia_PPWR],MATCH(A1173,tbl_recyclass[ProductId],0)),tbl_familias_ppwr[ID_Familia],0))="Em falta","Lacuna","Conforme"),IF(B1173="EU-ENV-013",IF(INDEX(tbl_familias_ppwr[Declaracao_UE],MATCH(INDEX(tbl_recyclass[Familia_PPWR],MATCH(A1173,tbl_recyclass[ProductId],0)),tbl_familias_ppwr[ID_Familia],0))="Sim","Conforme","Lacuna"),G1173)))),G1173))</f>
        <v>Futuro</v>
      </c>
      <c r="I1173" s="33" t="str">
        <f t="shared" si="18"/>
        <v>Futuro</v>
      </c>
      <c r="J1173" s="26" t="s">
        <v>1082</v>
      </c>
    </row>
    <row r="1174" spans="1:10" ht="16.05" customHeight="1" x14ac:dyDescent="0.3">
      <c r="A1174" s="26" t="s">
        <v>739</v>
      </c>
      <c r="B1174" s="26" t="s">
        <v>1086</v>
      </c>
      <c r="C1174" s="33" t="str">
        <f>IFERROR(INDEX(tbl_requisitos_emb[Tema],MATCH(B1174,tbl_requisitos_emb[ID_Req],0)),"")</f>
        <v>Metais pesados</v>
      </c>
      <c r="D1174" s="33" t="str">
        <f>IFERROR(INDEX(tbl_recyclass[Segmento],MATCH(A1174,tbl_recyclass[ProductId],0)),"")</f>
        <v>Cosmética e higiene pessoal</v>
      </c>
      <c r="E1174" s="26" t="s">
        <v>901</v>
      </c>
      <c r="F1174" s="26" t="s">
        <v>1449</v>
      </c>
      <c r="G1174" s="26" t="s">
        <v>978</v>
      </c>
      <c r="H1174" s="33" t="str">
        <f>IF(E1174="Não","Não aplicável",IFERROR(IF(B1174="EU-ENV-002",IF(INDEX(tbl_recyclass[Conforme_PPWR_2030],MATCH(A1174,tbl_recyclass[ProductId],0))="Sim","Conforme (autoavaliação)",IF(INDEX(tbl_recyclass[Conforme_PPWR_2030],MATCH(A1174,tbl_recyclass[ProductId],0))="Não","Não conforme em 2030","Isento até 2035")),IF(B1174="EU-ENV-003",IF(INDEX(tbl_recyclass[Conforme_Art7_2030],MATCH(A1174,tbl_recyclass[ProductId],0))="Sim","Conforme (meta 2030)",IF(INDEX(tbl_recyclass[Conforme_Art7_2030],MATCH(A1174,tbl_recyclass[ProductId],0))="Não","Lacuna face à meta 2030","Isento")),IF(B1174="EU-ENV-011",IF(INDEX(tbl_familias_ppwr[Metais_Pesados_Evidencia],MATCH(INDEX(tbl_recyclass[Familia_PPWR],MATCH(A1174,tbl_recyclass[ProductId],0)),tbl_familias_ppwr[ID_Familia],0))="Em falta","Lacuna","Conforme"),IF(B1174="EU-ENV-013",IF(INDEX(tbl_familias_ppwr[Declaracao_UE],MATCH(INDEX(tbl_recyclass[Familia_PPWR],MATCH(A1174,tbl_recyclass[ProductId],0)),tbl_familias_ppwr[ID_Familia],0))="Sim","Conforme","Lacuna"),G1174)))),G1174))</f>
        <v>Conforme</v>
      </c>
      <c r="I1174" s="33" t="str">
        <f t="shared" si="18"/>
        <v>Conforme</v>
      </c>
      <c r="J1174" s="26" t="s">
        <v>1090</v>
      </c>
    </row>
    <row r="1175" spans="1:10" ht="16.05" customHeight="1" x14ac:dyDescent="0.3">
      <c r="A1175" s="26" t="s">
        <v>739</v>
      </c>
      <c r="B1175" s="26" t="s">
        <v>1094</v>
      </c>
      <c r="C1175" s="33" t="str">
        <f>IFERROR(INDEX(tbl_requisitos_emb[Tema],MATCH(B1175,tbl_requisitos_emb[ID_Req],0)),"")</f>
        <v>PFAS</v>
      </c>
      <c r="D1175" s="33" t="str">
        <f>IFERROR(INDEX(tbl_recyclass[Segmento],MATCH(A1175,tbl_recyclass[ProductId],0)),"")</f>
        <v>Cosmética e higiene pessoal</v>
      </c>
      <c r="E1175" s="26" t="s">
        <v>904</v>
      </c>
      <c r="F1175" s="26" t="s">
        <v>1450</v>
      </c>
      <c r="G1175" s="26" t="s">
        <v>1143</v>
      </c>
      <c r="H1175" s="33" t="str">
        <f>IF(E1175="Não","Não aplicável",IFERROR(IF(B1175="EU-ENV-002",IF(INDEX(tbl_recyclass[Conforme_PPWR_2030],MATCH(A1175,tbl_recyclass[ProductId],0))="Sim","Conforme (autoavaliação)",IF(INDEX(tbl_recyclass[Conforme_PPWR_2030],MATCH(A1175,tbl_recyclass[ProductId],0))="Não","Não conforme em 2030","Isento até 2035")),IF(B1175="EU-ENV-003",IF(INDEX(tbl_recyclass[Conforme_Art7_2030],MATCH(A1175,tbl_recyclass[ProductId],0))="Sim","Conforme (meta 2030)",IF(INDEX(tbl_recyclass[Conforme_Art7_2030],MATCH(A1175,tbl_recyclass[ProductId],0))="Não","Lacuna face à meta 2030","Isento")),IF(B1175="EU-ENV-011",IF(INDEX(tbl_familias_ppwr[Metais_Pesados_Evidencia],MATCH(INDEX(tbl_recyclass[Familia_PPWR],MATCH(A1175,tbl_recyclass[ProductId],0)),tbl_familias_ppwr[ID_Familia],0))="Em falta","Lacuna","Conforme"),IF(B1175="EU-ENV-013",IF(INDEX(tbl_familias_ppwr[Declaracao_UE],MATCH(INDEX(tbl_recyclass[Familia_PPWR],MATCH(A1175,tbl_recyclass[ProductId],0)),tbl_familias_ppwr[ID_Familia],0))="Sim","Conforme","Lacuna"),G1175)))),G1175))</f>
        <v>Não aplicável</v>
      </c>
      <c r="I1175" s="33" t="str">
        <f t="shared" si="18"/>
        <v>Não aplicável</v>
      </c>
      <c r="J1175" s="26"/>
    </row>
    <row r="1176" spans="1:10" ht="16.05" customHeight="1" x14ac:dyDescent="0.3">
      <c r="A1176" s="26" t="s">
        <v>739</v>
      </c>
      <c r="B1176" s="26" t="s">
        <v>1102</v>
      </c>
      <c r="C1176" s="33" t="str">
        <f>IFERROR(INDEX(tbl_requisitos_emb[Tema],MATCH(B1176,tbl_requisitos_emb[ID_Req],0)),"")</f>
        <v>Documentação técnica e declaração UE</v>
      </c>
      <c r="D1176" s="33" t="str">
        <f>IFERROR(INDEX(tbl_recyclass[Segmento],MATCH(A1176,tbl_recyclass[ProductId],0)),"")</f>
        <v>Cosmética e higiene pessoal</v>
      </c>
      <c r="E1176" s="26" t="s">
        <v>901</v>
      </c>
      <c r="F1176" s="26" t="s">
        <v>1449</v>
      </c>
      <c r="G1176" s="26" t="s">
        <v>978</v>
      </c>
      <c r="H1176" s="33" t="str">
        <f>IF(E1176="Não","Não aplicável",IFERROR(IF(B1176="EU-ENV-002",IF(INDEX(tbl_recyclass[Conforme_PPWR_2030],MATCH(A1176,tbl_recyclass[ProductId],0))="Sim","Conforme (autoavaliação)",IF(INDEX(tbl_recyclass[Conforme_PPWR_2030],MATCH(A1176,tbl_recyclass[ProductId],0))="Não","Não conforme em 2030","Isento até 2035")),IF(B1176="EU-ENV-003",IF(INDEX(tbl_recyclass[Conforme_Art7_2030],MATCH(A1176,tbl_recyclass[ProductId],0))="Sim","Conforme (meta 2030)",IF(INDEX(tbl_recyclass[Conforme_Art7_2030],MATCH(A1176,tbl_recyclass[ProductId],0))="Não","Lacuna face à meta 2030","Isento")),IF(B1176="EU-ENV-011",IF(INDEX(tbl_familias_ppwr[Metais_Pesados_Evidencia],MATCH(INDEX(tbl_recyclass[Familia_PPWR],MATCH(A1176,tbl_recyclass[ProductId],0)),tbl_familias_ppwr[ID_Familia],0))="Em falta","Lacuna","Conforme"),IF(B1176="EU-ENV-013",IF(INDEX(tbl_familias_ppwr[Declaracao_UE],MATCH(INDEX(tbl_recyclass[Familia_PPWR],MATCH(A1176,tbl_recyclass[ProductId],0)),tbl_familias_ppwr[ID_Familia],0))="Sim","Conforme","Lacuna"),G1176)))),G1176))</f>
        <v>Conforme</v>
      </c>
      <c r="I1176" s="33" t="str">
        <f t="shared" si="18"/>
        <v>Conforme</v>
      </c>
      <c r="J1176" s="26" t="s">
        <v>1106</v>
      </c>
    </row>
    <row r="1177" spans="1:10" ht="16.05" customHeight="1" x14ac:dyDescent="0.3">
      <c r="A1177" s="26" t="s">
        <v>739</v>
      </c>
      <c r="B1177" s="26" t="s">
        <v>1161</v>
      </c>
      <c r="C1177" s="33" t="str">
        <f>IFERROR(INDEX(tbl_requisitos_emb[Tema],MATCH(B1177,tbl_requisitos_emb[ID_Req],0)),"")</f>
        <v>Materiais em contacto com alimentos</v>
      </c>
      <c r="D1177" s="33" t="str">
        <f>IFERROR(INDEX(tbl_recyclass[Segmento],MATCH(A1177,tbl_recyclass[ProductId],0)),"")</f>
        <v>Cosmética e higiene pessoal</v>
      </c>
      <c r="E1177" s="26" t="s">
        <v>904</v>
      </c>
      <c r="F1177" s="26" t="s">
        <v>1450</v>
      </c>
      <c r="G1177" s="26" t="s">
        <v>1143</v>
      </c>
      <c r="H1177" s="33" t="str">
        <f>IF(E1177="Não","Não aplicável",IFERROR(IF(B1177="EU-ENV-002",IF(INDEX(tbl_recyclass[Conforme_PPWR_2030],MATCH(A1177,tbl_recyclass[ProductId],0))="Sim","Conforme (autoavaliação)",IF(INDEX(tbl_recyclass[Conforme_PPWR_2030],MATCH(A1177,tbl_recyclass[ProductId],0))="Não","Não conforme em 2030","Isento até 2035")),IF(B1177="EU-ENV-003",IF(INDEX(tbl_recyclass[Conforme_Art7_2030],MATCH(A1177,tbl_recyclass[ProductId],0))="Sim","Conforme (meta 2030)",IF(INDEX(tbl_recyclass[Conforme_Art7_2030],MATCH(A1177,tbl_recyclass[ProductId],0))="Não","Lacuna face à meta 2030","Isento")),IF(B1177="EU-ENV-011",IF(INDEX(tbl_familias_ppwr[Metais_Pesados_Evidencia],MATCH(INDEX(tbl_recyclass[Familia_PPWR],MATCH(A1177,tbl_recyclass[ProductId],0)),tbl_familias_ppwr[ID_Familia],0))="Em falta","Lacuna","Conforme"),IF(B1177="EU-ENV-013",IF(INDEX(tbl_familias_ppwr[Declaracao_UE],MATCH(INDEX(tbl_recyclass[Familia_PPWR],MATCH(A1177,tbl_recyclass[ProductId],0)),tbl_familias_ppwr[ID_Familia],0))="Sim","Conforme","Lacuna"),G1177)))),G1177))</f>
        <v>Não aplicável</v>
      </c>
      <c r="I1177" s="33" t="str">
        <f t="shared" si="18"/>
        <v>Não aplicável</v>
      </c>
      <c r="J1177" s="26"/>
    </row>
    <row r="1178" spans="1:10" ht="16.05" customHeight="1" x14ac:dyDescent="0.3">
      <c r="A1178" s="26" t="s">
        <v>739</v>
      </c>
      <c r="B1178" s="26" t="s">
        <v>1170</v>
      </c>
      <c r="C1178" s="33" t="str">
        <f>IFERROR(INDEX(tbl_requisitos_emb[Tema],MATCH(B1178,tbl_requisitos_emb[ID_Req],0)),"")</f>
        <v>Boas práticas de fabrico FCM</v>
      </c>
      <c r="D1178" s="33" t="str">
        <f>IFERROR(INDEX(tbl_recyclass[Segmento],MATCH(A1178,tbl_recyclass[ProductId],0)),"")</f>
        <v>Cosmética e higiene pessoal</v>
      </c>
      <c r="E1178" s="26" t="s">
        <v>904</v>
      </c>
      <c r="F1178" s="26" t="s">
        <v>1450</v>
      </c>
      <c r="G1178" s="26" t="s">
        <v>1143</v>
      </c>
      <c r="H1178" s="33" t="str">
        <f>IF(E1178="Não","Não aplicável",IFERROR(IF(B1178="EU-ENV-002",IF(INDEX(tbl_recyclass[Conforme_PPWR_2030],MATCH(A1178,tbl_recyclass[ProductId],0))="Sim","Conforme (autoavaliação)",IF(INDEX(tbl_recyclass[Conforme_PPWR_2030],MATCH(A1178,tbl_recyclass[ProductId],0))="Não","Não conforme em 2030","Isento até 2035")),IF(B1178="EU-ENV-003",IF(INDEX(tbl_recyclass[Conforme_Art7_2030],MATCH(A1178,tbl_recyclass[ProductId],0))="Sim","Conforme (meta 2030)",IF(INDEX(tbl_recyclass[Conforme_Art7_2030],MATCH(A1178,tbl_recyclass[ProductId],0))="Não","Lacuna face à meta 2030","Isento")),IF(B1178="EU-ENV-011",IF(INDEX(tbl_familias_ppwr[Metais_Pesados_Evidencia],MATCH(INDEX(tbl_recyclass[Familia_PPWR],MATCH(A1178,tbl_recyclass[ProductId],0)),tbl_familias_ppwr[ID_Familia],0))="Em falta","Lacuna","Conforme"),IF(B1178="EU-ENV-013",IF(INDEX(tbl_familias_ppwr[Declaracao_UE],MATCH(INDEX(tbl_recyclass[Familia_PPWR],MATCH(A1178,tbl_recyclass[ProductId],0)),tbl_familias_ppwr[ID_Familia],0))="Sim","Conforme","Lacuna"),G1178)))),G1178))</f>
        <v>Não aplicável</v>
      </c>
      <c r="I1178" s="33" t="str">
        <f t="shared" si="18"/>
        <v>Não aplicável</v>
      </c>
      <c r="J1178" s="26"/>
    </row>
    <row r="1179" spans="1:10" ht="16.05" customHeight="1" x14ac:dyDescent="0.3">
      <c r="A1179" s="26" t="s">
        <v>739</v>
      </c>
      <c r="B1179" s="26" t="s">
        <v>1179</v>
      </c>
      <c r="C1179" s="33" t="str">
        <f>IFERROR(INDEX(tbl_requisitos_emb[Tema],MATCH(B1179,tbl_requisitos_emb[ID_Req],0)),"")</f>
        <v>Bisfenol A e bisfenóis perigosos</v>
      </c>
      <c r="D1179" s="33" t="str">
        <f>IFERROR(INDEX(tbl_recyclass[Segmento],MATCH(A1179,tbl_recyclass[ProductId],0)),"")</f>
        <v>Cosmética e higiene pessoal</v>
      </c>
      <c r="E1179" s="26" t="s">
        <v>904</v>
      </c>
      <c r="F1179" s="26" t="s">
        <v>1450</v>
      </c>
      <c r="G1179" s="26" t="s">
        <v>1143</v>
      </c>
      <c r="H1179" s="33" t="str">
        <f>IF(E1179="Não","Não aplicável",IFERROR(IF(B1179="EU-ENV-002",IF(INDEX(tbl_recyclass[Conforme_PPWR_2030],MATCH(A1179,tbl_recyclass[ProductId],0))="Sim","Conforme (autoavaliação)",IF(INDEX(tbl_recyclass[Conforme_PPWR_2030],MATCH(A1179,tbl_recyclass[ProductId],0))="Não","Não conforme em 2030","Isento até 2035")),IF(B1179="EU-ENV-003",IF(INDEX(tbl_recyclass[Conforme_Art7_2030],MATCH(A1179,tbl_recyclass[ProductId],0))="Sim","Conforme (meta 2030)",IF(INDEX(tbl_recyclass[Conforme_Art7_2030],MATCH(A1179,tbl_recyclass[ProductId],0))="Não","Lacuna face à meta 2030","Isento")),IF(B1179="EU-ENV-011",IF(INDEX(tbl_familias_ppwr[Metais_Pesados_Evidencia],MATCH(INDEX(tbl_recyclass[Familia_PPWR],MATCH(A1179,tbl_recyclass[ProductId],0)),tbl_familias_ppwr[ID_Familia],0))="Em falta","Lacuna","Conforme"),IF(B1179="EU-ENV-013",IF(INDEX(tbl_familias_ppwr[Declaracao_UE],MATCH(INDEX(tbl_recyclass[Familia_PPWR],MATCH(A1179,tbl_recyclass[ProductId],0)),tbl_familias_ppwr[ID_Familia],0))="Sim","Conforme","Lacuna"),G1179)))),G1179))</f>
        <v>Não aplicável</v>
      </c>
      <c r="I1179" s="33" t="str">
        <f t="shared" si="18"/>
        <v>Não aplicável</v>
      </c>
      <c r="J1179" s="26"/>
    </row>
    <row r="1180" spans="1:10" ht="16.05" customHeight="1" x14ac:dyDescent="0.3">
      <c r="A1180" s="26" t="s">
        <v>739</v>
      </c>
      <c r="B1180" s="26" t="s">
        <v>1188</v>
      </c>
      <c r="C1180" s="33" t="str">
        <f>IFERROR(INDEX(tbl_requisitos_emb[Tema],MATCH(B1180,tbl_requisitos_emb[ID_Req],0)),"")</f>
        <v>Plásticos em contacto com alimentos</v>
      </c>
      <c r="D1180" s="33" t="str">
        <f>IFERROR(INDEX(tbl_recyclass[Segmento],MATCH(A1180,tbl_recyclass[ProductId],0)),"")</f>
        <v>Cosmética e higiene pessoal</v>
      </c>
      <c r="E1180" s="26" t="s">
        <v>904</v>
      </c>
      <c r="F1180" s="26" t="s">
        <v>1450</v>
      </c>
      <c r="G1180" s="26" t="s">
        <v>1143</v>
      </c>
      <c r="H1180" s="33" t="str">
        <f>IF(E1180="Não","Não aplicável",IFERROR(IF(B1180="EU-ENV-002",IF(INDEX(tbl_recyclass[Conforme_PPWR_2030],MATCH(A1180,tbl_recyclass[ProductId],0))="Sim","Conforme (autoavaliação)",IF(INDEX(tbl_recyclass[Conforme_PPWR_2030],MATCH(A1180,tbl_recyclass[ProductId],0))="Não","Não conforme em 2030","Isento até 2035")),IF(B1180="EU-ENV-003",IF(INDEX(tbl_recyclass[Conforme_Art7_2030],MATCH(A1180,tbl_recyclass[ProductId],0))="Sim","Conforme (meta 2030)",IF(INDEX(tbl_recyclass[Conforme_Art7_2030],MATCH(A1180,tbl_recyclass[ProductId],0))="Não","Lacuna face à meta 2030","Isento")),IF(B1180="EU-ENV-011",IF(INDEX(tbl_familias_ppwr[Metais_Pesados_Evidencia],MATCH(INDEX(tbl_recyclass[Familia_PPWR],MATCH(A1180,tbl_recyclass[ProductId],0)),tbl_familias_ppwr[ID_Familia],0))="Em falta","Lacuna","Conforme"),IF(B1180="EU-ENV-013",IF(INDEX(tbl_familias_ppwr[Declaracao_UE],MATCH(INDEX(tbl_recyclass[Familia_PPWR],MATCH(A1180,tbl_recyclass[ProductId],0)),tbl_familias_ppwr[ID_Familia],0))="Sim","Conforme","Lacuna"),G1180)))),G1180))</f>
        <v>Não aplicável</v>
      </c>
      <c r="I1180" s="33" t="str">
        <f t="shared" si="18"/>
        <v>Não aplicável</v>
      </c>
      <c r="J1180" s="26"/>
    </row>
    <row r="1181" spans="1:10" ht="16.05" customHeight="1" x14ac:dyDescent="0.3">
      <c r="A1181" s="26" t="s">
        <v>739</v>
      </c>
      <c r="B1181" s="26" t="s">
        <v>1212</v>
      </c>
      <c r="C1181" s="33" t="str">
        <f>IFERROR(INDEX(tbl_requisitos_emb[Tema],MATCH(B1181,tbl_requisitos_emb[ID_Req],0)),"")</f>
        <v>Segurança do produto cosmético</v>
      </c>
      <c r="D1181" s="33" t="str">
        <f>IFERROR(INDEX(tbl_recyclass[Segmento],MATCH(A1181,tbl_recyclass[ProductId],0)),"")</f>
        <v>Cosmética e higiene pessoal</v>
      </c>
      <c r="E1181" s="26" t="s">
        <v>901</v>
      </c>
      <c r="F1181" s="26" t="s">
        <v>1449</v>
      </c>
      <c r="G1181" s="26" t="s">
        <v>1033</v>
      </c>
      <c r="H1181" s="33" t="str">
        <f>IF(E1181="Não","Não aplicável",IFERROR(IF(B1181="EU-ENV-002",IF(INDEX(tbl_recyclass[Conforme_PPWR_2030],MATCH(A1181,tbl_recyclass[ProductId],0))="Sim","Conforme (autoavaliação)",IF(INDEX(tbl_recyclass[Conforme_PPWR_2030],MATCH(A1181,tbl_recyclass[ProductId],0))="Não","Não conforme em 2030","Isento até 2035")),IF(B1181="EU-ENV-003",IF(INDEX(tbl_recyclass[Conforme_Art7_2030],MATCH(A1181,tbl_recyclass[ProductId],0))="Sim","Conforme (meta 2030)",IF(INDEX(tbl_recyclass[Conforme_Art7_2030],MATCH(A1181,tbl_recyclass[ProductId],0))="Não","Lacuna face à meta 2030","Isento")),IF(B1181="EU-ENV-011",IF(INDEX(tbl_familias_ppwr[Metais_Pesados_Evidencia],MATCH(INDEX(tbl_recyclass[Familia_PPWR],MATCH(A1181,tbl_recyclass[ProductId],0)),tbl_familias_ppwr[ID_Familia],0))="Em falta","Lacuna","Conforme"),IF(B1181="EU-ENV-013",IF(INDEX(tbl_familias_ppwr[Declaracao_UE],MATCH(INDEX(tbl_recyclass[Familia_PPWR],MATCH(A1181,tbl_recyclass[ProductId],0)),tbl_familias_ppwr[ID_Familia],0))="Sim","Conforme","Lacuna"),G1181)))),G1181))</f>
        <v>Conforme</v>
      </c>
      <c r="I1181" s="33" t="str">
        <f t="shared" si="18"/>
        <v>Conforme</v>
      </c>
      <c r="J1181" s="26" t="s">
        <v>1221</v>
      </c>
    </row>
    <row r="1182" spans="1:10" ht="16.05" customHeight="1" x14ac:dyDescent="0.3">
      <c r="A1182" s="26" t="s">
        <v>739</v>
      </c>
      <c r="B1182" s="26" t="s">
        <v>1224</v>
      </c>
      <c r="C1182" s="33" t="str">
        <f>IFERROR(INDEX(tbl_requisitos_emb[Tema],MATCH(B1182,tbl_requisitos_emb[ID_Req],0)),"")</f>
        <v>Materiais e impurezas</v>
      </c>
      <c r="D1182" s="33" t="str">
        <f>IFERROR(INDEX(tbl_recyclass[Segmento],MATCH(A1182,tbl_recyclass[ProductId],0)),"")</f>
        <v>Cosmética e higiene pessoal</v>
      </c>
      <c r="E1182" s="26" t="s">
        <v>901</v>
      </c>
      <c r="F1182" s="26" t="s">
        <v>1449</v>
      </c>
      <c r="G1182" s="26" t="s">
        <v>978</v>
      </c>
      <c r="H1182" s="33" t="str">
        <f>IF(E1182="Não","Não aplicável",IFERROR(IF(B1182="EU-ENV-002",IF(INDEX(tbl_recyclass[Conforme_PPWR_2030],MATCH(A1182,tbl_recyclass[ProductId],0))="Sim","Conforme (autoavaliação)",IF(INDEX(tbl_recyclass[Conforme_PPWR_2030],MATCH(A1182,tbl_recyclass[ProductId],0))="Não","Não conforme em 2030","Isento até 2035")),IF(B1182="EU-ENV-003",IF(INDEX(tbl_recyclass[Conforme_Art7_2030],MATCH(A1182,tbl_recyclass[ProductId],0))="Sim","Conforme (meta 2030)",IF(INDEX(tbl_recyclass[Conforme_Art7_2030],MATCH(A1182,tbl_recyclass[ProductId],0))="Não","Lacuna face à meta 2030","Isento")),IF(B1182="EU-ENV-011",IF(INDEX(tbl_familias_ppwr[Metais_Pesados_Evidencia],MATCH(INDEX(tbl_recyclass[Familia_PPWR],MATCH(A1182,tbl_recyclass[ProductId],0)),tbl_familias_ppwr[ID_Familia],0))="Em falta","Lacuna","Conforme"),IF(B1182="EU-ENV-013",IF(INDEX(tbl_familias_ppwr[Declaracao_UE],MATCH(INDEX(tbl_recyclass[Familia_PPWR],MATCH(A1182,tbl_recyclass[ProductId],0)),tbl_familias_ppwr[ID_Familia],0))="Sim","Conforme","Lacuna"),G1182)))),G1182))</f>
        <v>Parcial</v>
      </c>
      <c r="I1182" s="33" t="str">
        <f t="shared" si="18"/>
        <v>Parcial</v>
      </c>
      <c r="J1182" s="26" t="s">
        <v>1228</v>
      </c>
    </row>
    <row r="1183" spans="1:10" ht="16.05" customHeight="1" x14ac:dyDescent="0.3">
      <c r="A1183" s="26" t="s">
        <v>739</v>
      </c>
      <c r="B1183" s="26" t="s">
        <v>1240</v>
      </c>
      <c r="C1183" s="33" t="str">
        <f>IFERROR(INDEX(tbl_requisitos_emb[Tema],MATCH(B1183,tbl_requisitos_emb[ID_Req],0)),"")</f>
        <v>Compatibilidade embalagem–produto</v>
      </c>
      <c r="D1183" s="33" t="str">
        <f>IFERROR(INDEX(tbl_recyclass[Segmento],MATCH(A1183,tbl_recyclass[ProductId],0)),"")</f>
        <v>Cosmética e higiene pessoal</v>
      </c>
      <c r="E1183" s="26" t="s">
        <v>901</v>
      </c>
      <c r="F1183" s="26" t="s">
        <v>1449</v>
      </c>
      <c r="G1183" s="26" t="s">
        <v>1033</v>
      </c>
      <c r="H1183" s="33" t="str">
        <f>IF(E1183="Não","Não aplicável",IFERROR(IF(B1183="EU-ENV-002",IF(INDEX(tbl_recyclass[Conforme_PPWR_2030],MATCH(A1183,tbl_recyclass[ProductId],0))="Sim","Conforme (autoavaliação)",IF(INDEX(tbl_recyclass[Conforme_PPWR_2030],MATCH(A1183,tbl_recyclass[ProductId],0))="Não","Não conforme em 2030","Isento até 2035")),IF(B1183="EU-ENV-003",IF(INDEX(tbl_recyclass[Conforme_Art7_2030],MATCH(A1183,tbl_recyclass[ProductId],0))="Sim","Conforme (meta 2030)",IF(INDEX(tbl_recyclass[Conforme_Art7_2030],MATCH(A1183,tbl_recyclass[ProductId],0))="Não","Lacuna face à meta 2030","Isento")),IF(B1183="EU-ENV-011",IF(INDEX(tbl_familias_ppwr[Metais_Pesados_Evidencia],MATCH(INDEX(tbl_recyclass[Familia_PPWR],MATCH(A1183,tbl_recyclass[ProductId],0)),tbl_familias_ppwr[ID_Familia],0))="Em falta","Lacuna","Conforme"),IF(B1183="EU-ENV-013",IF(INDEX(tbl_familias_ppwr[Declaracao_UE],MATCH(INDEX(tbl_recyclass[Familia_PPWR],MATCH(A1183,tbl_recyclass[ProductId],0)),tbl_familias_ppwr[ID_Familia],0))="Sim","Conforme","Lacuna"),G1183)))),G1183))</f>
        <v>Conforme</v>
      </c>
      <c r="I1183" s="33" t="str">
        <f t="shared" si="18"/>
        <v>Conforme</v>
      </c>
      <c r="J1183" s="26" t="s">
        <v>1244</v>
      </c>
    </row>
    <row r="1184" spans="1:10" ht="16.05" customHeight="1" x14ac:dyDescent="0.3">
      <c r="A1184" s="26" t="s">
        <v>739</v>
      </c>
      <c r="B1184" s="26" t="s">
        <v>1252</v>
      </c>
      <c r="C1184" s="33" t="str">
        <f>IFERROR(INDEX(tbl_requisitos_emb[Tema],MATCH(B1184,tbl_requisitos_emb[ID_Req],0)),"")</f>
        <v>Medicamentos de uso humano</v>
      </c>
      <c r="D1184" s="33" t="str">
        <f>IFERROR(INDEX(tbl_recyclass[Segmento],MATCH(A1184,tbl_recyclass[ProductId],0)),"")</f>
        <v>Cosmética e higiene pessoal</v>
      </c>
      <c r="E1184" s="26" t="s">
        <v>904</v>
      </c>
      <c r="F1184" s="26" t="s">
        <v>1451</v>
      </c>
      <c r="G1184" s="26" t="s">
        <v>1143</v>
      </c>
      <c r="H1184" s="33" t="str">
        <f>IF(E1184="Não","Não aplicável",IFERROR(IF(B1184="EU-ENV-002",IF(INDEX(tbl_recyclass[Conforme_PPWR_2030],MATCH(A1184,tbl_recyclass[ProductId],0))="Sim","Conforme (autoavaliação)",IF(INDEX(tbl_recyclass[Conforme_PPWR_2030],MATCH(A1184,tbl_recyclass[ProductId],0))="Não","Não conforme em 2030","Isento até 2035")),IF(B1184="EU-ENV-003",IF(INDEX(tbl_recyclass[Conforme_Art7_2030],MATCH(A1184,tbl_recyclass[ProductId],0))="Sim","Conforme (meta 2030)",IF(INDEX(tbl_recyclass[Conforme_Art7_2030],MATCH(A1184,tbl_recyclass[ProductId],0))="Não","Lacuna face à meta 2030","Isento")),IF(B1184="EU-ENV-011",IF(INDEX(tbl_familias_ppwr[Metais_Pesados_Evidencia],MATCH(INDEX(tbl_recyclass[Familia_PPWR],MATCH(A1184,tbl_recyclass[ProductId],0)),tbl_familias_ppwr[ID_Familia],0))="Em falta","Lacuna","Conforme"),IF(B1184="EU-ENV-013",IF(INDEX(tbl_familias_ppwr[Declaracao_UE],MATCH(INDEX(tbl_recyclass[Familia_PPWR],MATCH(A1184,tbl_recyclass[ProductId],0)),tbl_familias_ppwr[ID_Familia],0))="Sim","Conforme","Lacuna"),G1184)))),G1184))</f>
        <v>Não aplicável</v>
      </c>
      <c r="I1184" s="33" t="str">
        <f t="shared" si="18"/>
        <v>Não aplicável</v>
      </c>
      <c r="J1184" s="26"/>
    </row>
    <row r="1185" spans="1:10" ht="16.05" customHeight="1" x14ac:dyDescent="0.3">
      <c r="A1185" s="26" t="s">
        <v>739</v>
      </c>
      <c r="B1185" s="26" t="s">
        <v>1268</v>
      </c>
      <c r="C1185" s="33" t="str">
        <f>IFERROR(INDEX(tbl_requisitos_emb[Tema],MATCH(B1185,tbl_requisitos_emb[ID_Req],0)),"")</f>
        <v>Dispositivos de segurança</v>
      </c>
      <c r="D1185" s="33" t="str">
        <f>IFERROR(INDEX(tbl_recyclass[Segmento],MATCH(A1185,tbl_recyclass[ProductId],0)),"")</f>
        <v>Cosmética e higiene pessoal</v>
      </c>
      <c r="E1185" s="26" t="s">
        <v>904</v>
      </c>
      <c r="F1185" s="26" t="s">
        <v>1451</v>
      </c>
      <c r="G1185" s="26" t="s">
        <v>1143</v>
      </c>
      <c r="H1185" s="33" t="str">
        <f>IF(E1185="Não","Não aplicável",IFERROR(IF(B1185="EU-ENV-002",IF(INDEX(tbl_recyclass[Conforme_PPWR_2030],MATCH(A1185,tbl_recyclass[ProductId],0))="Sim","Conforme (autoavaliação)",IF(INDEX(tbl_recyclass[Conforme_PPWR_2030],MATCH(A1185,tbl_recyclass[ProductId],0))="Não","Não conforme em 2030","Isento até 2035")),IF(B1185="EU-ENV-003",IF(INDEX(tbl_recyclass[Conforme_Art7_2030],MATCH(A1185,tbl_recyclass[ProductId],0))="Sim","Conforme (meta 2030)",IF(INDEX(tbl_recyclass[Conforme_Art7_2030],MATCH(A1185,tbl_recyclass[ProductId],0))="Não","Lacuna face à meta 2030","Isento")),IF(B1185="EU-ENV-011",IF(INDEX(tbl_familias_ppwr[Metais_Pesados_Evidencia],MATCH(INDEX(tbl_recyclass[Familia_PPWR],MATCH(A1185,tbl_recyclass[ProductId],0)),tbl_familias_ppwr[ID_Familia],0))="Em falta","Lacuna","Conforme"),IF(B1185="EU-ENV-013",IF(INDEX(tbl_familias_ppwr[Declaracao_UE],MATCH(INDEX(tbl_recyclass[Familia_PPWR],MATCH(A1185,tbl_recyclass[ProductId],0)),tbl_familias_ppwr[ID_Familia],0))="Sim","Conforme","Lacuna"),G1185)))),G1185))</f>
        <v>Não aplicável</v>
      </c>
      <c r="I1185" s="33" t="str">
        <f t="shared" si="18"/>
        <v>Não aplicável</v>
      </c>
      <c r="J1185" s="26"/>
    </row>
    <row r="1186" spans="1:10" ht="16.05" customHeight="1" x14ac:dyDescent="0.3">
      <c r="A1186" s="26" t="s">
        <v>739</v>
      </c>
      <c r="B1186" s="26" t="s">
        <v>1285</v>
      </c>
      <c r="C1186" s="33" t="str">
        <f>IFERROR(INDEX(tbl_requisitos_emb[Tema],MATCH(B1186,tbl_requisitos_emb[ID_Req],0)),"")</f>
        <v>Materiais plásticos de acondicionamento primário</v>
      </c>
      <c r="D1186" s="33" t="str">
        <f>IFERROR(INDEX(tbl_recyclass[Segmento],MATCH(A1186,tbl_recyclass[ProductId],0)),"")</f>
        <v>Cosmética e higiene pessoal</v>
      </c>
      <c r="E1186" s="26" t="s">
        <v>904</v>
      </c>
      <c r="F1186" s="26" t="s">
        <v>1451</v>
      </c>
      <c r="G1186" s="26" t="s">
        <v>1143</v>
      </c>
      <c r="H1186" s="33" t="str">
        <f>IF(E1186="Não","Não aplicável",IFERROR(IF(B1186="EU-ENV-002",IF(INDEX(tbl_recyclass[Conforme_PPWR_2030],MATCH(A1186,tbl_recyclass[ProductId],0))="Sim","Conforme (autoavaliação)",IF(INDEX(tbl_recyclass[Conforme_PPWR_2030],MATCH(A1186,tbl_recyclass[ProductId],0))="Não","Não conforme em 2030","Isento até 2035")),IF(B1186="EU-ENV-003",IF(INDEX(tbl_recyclass[Conforme_Art7_2030],MATCH(A1186,tbl_recyclass[ProductId],0))="Sim","Conforme (meta 2030)",IF(INDEX(tbl_recyclass[Conforme_Art7_2030],MATCH(A1186,tbl_recyclass[ProductId],0))="Não","Lacuna face à meta 2030","Isento")),IF(B1186="EU-ENV-011",IF(INDEX(tbl_familias_ppwr[Metais_Pesados_Evidencia],MATCH(INDEX(tbl_recyclass[Familia_PPWR],MATCH(A1186,tbl_recyclass[ProductId],0)),tbl_familias_ppwr[ID_Familia],0))="Em falta","Lacuna","Conforme"),IF(B1186="EU-ENV-013",IF(INDEX(tbl_familias_ppwr[Declaracao_UE],MATCH(INDEX(tbl_recyclass[Familia_PPWR],MATCH(A1186,tbl_recyclass[ProductId],0)),tbl_familias_ppwr[ID_Familia],0))="Sim","Conforme","Lacuna"),G1186)))),G1186))</f>
        <v>Não aplicável</v>
      </c>
      <c r="I1186" s="33" t="str">
        <f t="shared" si="18"/>
        <v>Não aplicável</v>
      </c>
      <c r="J1186" s="26"/>
    </row>
    <row r="1187" spans="1:10" ht="16.05" customHeight="1" x14ac:dyDescent="0.3">
      <c r="A1187" s="26" t="s">
        <v>739</v>
      </c>
      <c r="B1187" s="26" t="s">
        <v>1293</v>
      </c>
      <c r="C1187" s="33" t="str">
        <f>IFERROR(INDEX(tbl_requisitos_emb[Tema],MATCH(B1187,tbl_requisitos_emb[ID_Req],0)),"")</f>
        <v>Isenções PPWR</v>
      </c>
      <c r="D1187" s="33" t="str">
        <f>IFERROR(INDEX(tbl_recyclass[Segmento],MATCH(A1187,tbl_recyclass[ProductId],0)),"")</f>
        <v>Cosmética e higiene pessoal</v>
      </c>
      <c r="E1187" s="26" t="s">
        <v>904</v>
      </c>
      <c r="F1187" s="26" t="s">
        <v>1451</v>
      </c>
      <c r="G1187" s="26" t="s">
        <v>1143</v>
      </c>
      <c r="H1187" s="33" t="str">
        <f>IF(E1187="Não","Não aplicável",IFERROR(IF(B1187="EU-ENV-002",IF(INDEX(tbl_recyclass[Conforme_PPWR_2030],MATCH(A1187,tbl_recyclass[ProductId],0))="Sim","Conforme (autoavaliação)",IF(INDEX(tbl_recyclass[Conforme_PPWR_2030],MATCH(A1187,tbl_recyclass[ProductId],0))="Não","Não conforme em 2030","Isento até 2035")),IF(B1187="EU-ENV-003",IF(INDEX(tbl_recyclass[Conforme_Art7_2030],MATCH(A1187,tbl_recyclass[ProductId],0))="Sim","Conforme (meta 2030)",IF(INDEX(tbl_recyclass[Conforme_Art7_2030],MATCH(A1187,tbl_recyclass[ProductId],0))="Não","Lacuna face à meta 2030","Isento")),IF(B1187="EU-ENV-011",IF(INDEX(tbl_familias_ppwr[Metais_Pesados_Evidencia],MATCH(INDEX(tbl_recyclass[Familia_PPWR],MATCH(A1187,tbl_recyclass[ProductId],0)),tbl_familias_ppwr[ID_Familia],0))="Em falta","Lacuna","Conforme"),IF(B1187="EU-ENV-013",IF(INDEX(tbl_familias_ppwr[Declaracao_UE],MATCH(INDEX(tbl_recyclass[Familia_PPWR],MATCH(A1187,tbl_recyclass[ProductId],0)),tbl_familias_ppwr[ID_Familia],0))="Sim","Conforme","Lacuna"),G1187)))),G1187))</f>
        <v>Não aplicável</v>
      </c>
      <c r="I1187" s="33" t="str">
        <f t="shared" si="18"/>
        <v>Não aplicável</v>
      </c>
      <c r="J1187" s="26"/>
    </row>
    <row r="1188" spans="1:10" ht="16.05" customHeight="1" x14ac:dyDescent="0.3">
      <c r="A1188" s="26" t="s">
        <v>739</v>
      </c>
      <c r="B1188" s="26" t="s">
        <v>1357</v>
      </c>
      <c r="C1188" s="33" t="str">
        <f>IFERROR(INDEX(tbl_requisitos_emb[Tema],MATCH(B1188,tbl_requisitos_emb[ID_Req],0)),"")</f>
        <v>Identificação de plásticos</v>
      </c>
      <c r="D1188" s="33" t="str">
        <f>IFERROR(INDEX(tbl_recyclass[Segmento],MATCH(A1188,tbl_recyclass[ProductId],0)),"")</f>
        <v>Cosmética e higiene pessoal</v>
      </c>
      <c r="E1188" s="26" t="s">
        <v>901</v>
      </c>
      <c r="F1188" s="26" t="s">
        <v>1449</v>
      </c>
      <c r="G1188" s="26" t="s">
        <v>978</v>
      </c>
      <c r="H1188" s="33" t="str">
        <f>IF(E1188="Não","Não aplicável",IFERROR(IF(B1188="EU-ENV-002",IF(INDEX(tbl_recyclass[Conforme_PPWR_2030],MATCH(A1188,tbl_recyclass[ProductId],0))="Sim","Conforme (autoavaliação)",IF(INDEX(tbl_recyclass[Conforme_PPWR_2030],MATCH(A1188,tbl_recyclass[ProductId],0))="Não","Não conforme em 2030","Isento até 2035")),IF(B1188="EU-ENV-003",IF(INDEX(tbl_recyclass[Conforme_Art7_2030],MATCH(A1188,tbl_recyclass[ProductId],0))="Sim","Conforme (meta 2030)",IF(INDEX(tbl_recyclass[Conforme_Art7_2030],MATCH(A1188,tbl_recyclass[ProductId],0))="Não","Lacuna face à meta 2030","Isento")),IF(B1188="EU-ENV-011",IF(INDEX(tbl_familias_ppwr[Metais_Pesados_Evidencia],MATCH(INDEX(tbl_recyclass[Familia_PPWR],MATCH(A1188,tbl_recyclass[ProductId],0)),tbl_familias_ppwr[ID_Familia],0))="Em falta","Lacuna","Conforme"),IF(B1188="EU-ENV-013",IF(INDEX(tbl_familias_ppwr[Declaracao_UE],MATCH(INDEX(tbl_recyclass[Familia_PPWR],MATCH(A1188,tbl_recyclass[ProductId],0)),tbl_familias_ppwr[ID_Familia],0))="Sim","Conforme","Lacuna"),G1188)))),G1188))</f>
        <v>Parcial</v>
      </c>
      <c r="I1188" s="33" t="str">
        <f t="shared" si="18"/>
        <v>Parcial</v>
      </c>
      <c r="J1188" s="26" t="s">
        <v>1362</v>
      </c>
    </row>
    <row r="1189" spans="1:10" ht="16.05" customHeight="1" x14ac:dyDescent="0.3">
      <c r="A1189" s="26" t="s">
        <v>739</v>
      </c>
      <c r="B1189" s="26" t="s">
        <v>1385</v>
      </c>
      <c r="C1189" s="33" t="str">
        <f>IFERROR(INDEX(tbl_requisitos_emb[Tema],MATCH(B1189,tbl_requisitos_emb[ID_Req],0)),"")</f>
        <v>Reciclabilidade (voluntária)</v>
      </c>
      <c r="D1189" s="33" t="str">
        <f>IFERROR(INDEX(tbl_recyclass[Segmento],MATCH(A1189,tbl_recyclass[ProductId],0)),"")</f>
        <v>Cosmética e higiene pessoal</v>
      </c>
      <c r="E1189" s="26" t="s">
        <v>901</v>
      </c>
      <c r="F1189" s="26" t="s">
        <v>1449</v>
      </c>
      <c r="G1189" s="26" t="s">
        <v>978</v>
      </c>
      <c r="H1189" s="33" t="str">
        <f>IF(E1189="Não","Não aplicável",IFERROR(IF(B1189="EU-ENV-002",IF(INDEX(tbl_recyclass[Conforme_PPWR_2030],MATCH(A1189,tbl_recyclass[ProductId],0))="Sim","Conforme (autoavaliação)",IF(INDEX(tbl_recyclass[Conforme_PPWR_2030],MATCH(A1189,tbl_recyclass[ProductId],0))="Não","Não conforme em 2030","Isento até 2035")),IF(B1189="EU-ENV-003",IF(INDEX(tbl_recyclass[Conforme_Art7_2030],MATCH(A1189,tbl_recyclass[ProductId],0))="Sim","Conforme (meta 2030)",IF(INDEX(tbl_recyclass[Conforme_Art7_2030],MATCH(A1189,tbl_recyclass[ProductId],0))="Não","Lacuna face à meta 2030","Isento")),IF(B1189="EU-ENV-011",IF(INDEX(tbl_familias_ppwr[Metais_Pesados_Evidencia],MATCH(INDEX(tbl_recyclass[Familia_PPWR],MATCH(A1189,tbl_recyclass[ProductId],0)),tbl_familias_ppwr[ID_Familia],0))="Em falta","Lacuna","Conforme"),IF(B1189="EU-ENV-013",IF(INDEX(tbl_familias_ppwr[Declaracao_UE],MATCH(INDEX(tbl_recyclass[Familia_PPWR],MATCH(A1189,tbl_recyclass[ProductId],0)),tbl_familias_ppwr[ID_Familia],0))="Sim","Conforme","Lacuna"),G1189)))),G1189))</f>
        <v>Parcial</v>
      </c>
      <c r="I1189" s="33" t="str">
        <f t="shared" si="18"/>
        <v>Parcial</v>
      </c>
      <c r="J1189" s="26" t="s">
        <v>1389</v>
      </c>
    </row>
    <row r="1190" spans="1:10" ht="16.05" customHeight="1" x14ac:dyDescent="0.3">
      <c r="A1190" s="26" t="s">
        <v>741</v>
      </c>
      <c r="B1190" s="26" t="s">
        <v>984</v>
      </c>
      <c r="C1190" s="33" t="str">
        <f>IFERROR(INDEX(tbl_requisitos_emb[Tema],MATCH(B1190,tbl_requisitos_emb[ID_Req],0)),"")</f>
        <v>Conceção para reciclagem</v>
      </c>
      <c r="D1190" s="33" t="str">
        <f>IFERROR(INDEX(tbl_recyclass[Segmento],MATCH(A1190,tbl_recyclass[ProductId],0)),"")</f>
        <v>Cosmética e higiene pessoal</v>
      </c>
      <c r="E1190" s="26" t="s">
        <v>901</v>
      </c>
      <c r="F1190" s="26" t="s">
        <v>1449</v>
      </c>
      <c r="G1190" s="26" t="s">
        <v>978</v>
      </c>
      <c r="H1190" s="33" t="str">
        <f>IF(E1190="Não","Não aplicável",IFERROR(IF(B1190="EU-ENV-002",IF(INDEX(tbl_recyclass[Conforme_PPWR_2030],MATCH(A1190,tbl_recyclass[ProductId],0))="Sim","Conforme (autoavaliação)",IF(INDEX(tbl_recyclass[Conforme_PPWR_2030],MATCH(A1190,tbl_recyclass[ProductId],0))="Não","Não conforme em 2030","Isento até 2035")),IF(B1190="EU-ENV-003",IF(INDEX(tbl_recyclass[Conforme_Art7_2030],MATCH(A1190,tbl_recyclass[ProductId],0))="Sim","Conforme (meta 2030)",IF(INDEX(tbl_recyclass[Conforme_Art7_2030],MATCH(A1190,tbl_recyclass[ProductId],0))="Não","Lacuna face à meta 2030","Isento")),IF(B1190="EU-ENV-011",IF(INDEX(tbl_familias_ppwr[Metais_Pesados_Evidencia],MATCH(INDEX(tbl_recyclass[Familia_PPWR],MATCH(A1190,tbl_recyclass[ProductId],0)),tbl_familias_ppwr[ID_Familia],0))="Em falta","Lacuna","Conforme"),IF(B1190="EU-ENV-013",IF(INDEX(tbl_familias_ppwr[Declaracao_UE],MATCH(INDEX(tbl_recyclass[Familia_PPWR],MATCH(A1190,tbl_recyclass[ProductId],0)),tbl_familias_ppwr[ID_Familia],0))="Sim","Conforme","Lacuna"),G1190)))),G1190))</f>
        <v>Conforme (autoavaliação)</v>
      </c>
      <c r="I1190" s="33" t="str">
        <f t="shared" si="18"/>
        <v>Conforme</v>
      </c>
      <c r="J1190" s="26" t="s">
        <v>991</v>
      </c>
    </row>
    <row r="1191" spans="1:10" ht="16.05" customHeight="1" x14ac:dyDescent="0.3">
      <c r="A1191" s="26" t="s">
        <v>741</v>
      </c>
      <c r="B1191" s="26" t="s">
        <v>997</v>
      </c>
      <c r="C1191" s="33" t="str">
        <f>IFERROR(INDEX(tbl_requisitos_emb[Tema],MATCH(B1191,tbl_requisitos_emb[ID_Req],0)),"")</f>
        <v>Conteúdo reciclado</v>
      </c>
      <c r="D1191" s="33" t="str">
        <f>IFERROR(INDEX(tbl_recyclass[Segmento],MATCH(A1191,tbl_recyclass[ProductId],0)),"")</f>
        <v>Cosmética e higiene pessoal</v>
      </c>
      <c r="E1191" s="26" t="s">
        <v>901</v>
      </c>
      <c r="F1191" s="26" t="s">
        <v>1449</v>
      </c>
      <c r="G1191" s="26" t="s">
        <v>978</v>
      </c>
      <c r="H1191" s="33" t="str">
        <f>IF(E1191="Não","Não aplicável",IFERROR(IF(B1191="EU-ENV-002",IF(INDEX(tbl_recyclass[Conforme_PPWR_2030],MATCH(A1191,tbl_recyclass[ProductId],0))="Sim","Conforme (autoavaliação)",IF(INDEX(tbl_recyclass[Conforme_PPWR_2030],MATCH(A1191,tbl_recyclass[ProductId],0))="Não","Não conforme em 2030","Isento até 2035")),IF(B1191="EU-ENV-003",IF(INDEX(tbl_recyclass[Conforme_Art7_2030],MATCH(A1191,tbl_recyclass[ProductId],0))="Sim","Conforme (meta 2030)",IF(INDEX(tbl_recyclass[Conforme_Art7_2030],MATCH(A1191,tbl_recyclass[ProductId],0))="Não","Lacuna face à meta 2030","Isento")),IF(B1191="EU-ENV-011",IF(INDEX(tbl_familias_ppwr[Metais_Pesados_Evidencia],MATCH(INDEX(tbl_recyclass[Familia_PPWR],MATCH(A1191,tbl_recyclass[ProductId],0)),tbl_familias_ppwr[ID_Familia],0))="Em falta","Lacuna","Conforme"),IF(B1191="EU-ENV-013",IF(INDEX(tbl_familias_ppwr[Declaracao_UE],MATCH(INDEX(tbl_recyclass[Familia_PPWR],MATCH(A1191,tbl_recyclass[ProductId],0)),tbl_familias_ppwr[ID_Familia],0))="Sim","Conforme","Lacuna"),G1191)))),G1191))</f>
        <v>Lacuna face à meta 2030</v>
      </c>
      <c r="I1191" s="33" t="str">
        <f t="shared" si="18"/>
        <v>Lacuna</v>
      </c>
      <c r="J1191" s="26" t="s">
        <v>1001</v>
      </c>
    </row>
    <row r="1192" spans="1:10" ht="16.05" customHeight="1" x14ac:dyDescent="0.3">
      <c r="A1192" s="26" t="s">
        <v>741</v>
      </c>
      <c r="B1192" s="26" t="s">
        <v>1007</v>
      </c>
      <c r="C1192" s="33" t="str">
        <f>IFERROR(INDEX(tbl_requisitos_emb[Tema],MATCH(B1192,tbl_requisitos_emb[ID_Req],0)),"")</f>
        <v>Minimização</v>
      </c>
      <c r="D1192" s="33" t="str">
        <f>IFERROR(INDEX(tbl_recyclass[Segmento],MATCH(A1192,tbl_recyclass[ProductId],0)),"")</f>
        <v>Cosmética e higiene pessoal</v>
      </c>
      <c r="E1192" s="26" t="s">
        <v>901</v>
      </c>
      <c r="F1192" s="26" t="s">
        <v>1449</v>
      </c>
      <c r="G1192" s="26" t="s">
        <v>978</v>
      </c>
      <c r="H1192" s="33" t="str">
        <f>IF(E1192="Não","Não aplicável",IFERROR(IF(B1192="EU-ENV-002",IF(INDEX(tbl_recyclass[Conforme_PPWR_2030],MATCH(A1192,tbl_recyclass[ProductId],0))="Sim","Conforme (autoavaliação)",IF(INDEX(tbl_recyclass[Conforme_PPWR_2030],MATCH(A1192,tbl_recyclass[ProductId],0))="Não","Não conforme em 2030","Isento até 2035")),IF(B1192="EU-ENV-003",IF(INDEX(tbl_recyclass[Conforme_Art7_2030],MATCH(A1192,tbl_recyclass[ProductId],0))="Sim","Conforme (meta 2030)",IF(INDEX(tbl_recyclass[Conforme_Art7_2030],MATCH(A1192,tbl_recyclass[ProductId],0))="Não","Lacuna face à meta 2030","Isento")),IF(B1192="EU-ENV-011",IF(INDEX(tbl_familias_ppwr[Metais_Pesados_Evidencia],MATCH(INDEX(tbl_recyclass[Familia_PPWR],MATCH(A1192,tbl_recyclass[ProductId],0)),tbl_familias_ppwr[ID_Familia],0))="Em falta","Lacuna","Conforme"),IF(B1192="EU-ENV-013",IF(INDEX(tbl_familias_ppwr[Declaracao_UE],MATCH(INDEX(tbl_recyclass[Familia_PPWR],MATCH(A1192,tbl_recyclass[ProductId],0)),tbl_familias_ppwr[ID_Familia],0))="Sim","Conforme","Lacuna"),G1192)))),G1192))</f>
        <v>Parcial</v>
      </c>
      <c r="I1192" s="33" t="str">
        <f t="shared" si="18"/>
        <v>Parcial</v>
      </c>
      <c r="J1192" s="26" t="s">
        <v>1012</v>
      </c>
    </row>
    <row r="1193" spans="1:10" ht="16.05" customHeight="1" x14ac:dyDescent="0.3">
      <c r="A1193" s="26" t="s">
        <v>741</v>
      </c>
      <c r="B1193" s="26" t="s">
        <v>1016</v>
      </c>
      <c r="C1193" s="33" t="str">
        <f>IFERROR(INDEX(tbl_requisitos_emb[Tema],MATCH(B1193,tbl_requisitos_emb[ID_Req],0)),"")</f>
        <v>Rotulagem</v>
      </c>
      <c r="D1193" s="33" t="str">
        <f>IFERROR(INDEX(tbl_recyclass[Segmento],MATCH(A1193,tbl_recyclass[ProductId],0)),"")</f>
        <v>Cosmética e higiene pessoal</v>
      </c>
      <c r="E1193" s="26" t="s">
        <v>901</v>
      </c>
      <c r="F1193" s="26" t="s">
        <v>1449</v>
      </c>
      <c r="G1193" s="26" t="s">
        <v>990</v>
      </c>
      <c r="H1193" s="33" t="str">
        <f>IF(E1193="Não","Não aplicável",IFERROR(IF(B1193="EU-ENV-002",IF(INDEX(tbl_recyclass[Conforme_PPWR_2030],MATCH(A1193,tbl_recyclass[ProductId],0))="Sim","Conforme (autoavaliação)",IF(INDEX(tbl_recyclass[Conforme_PPWR_2030],MATCH(A1193,tbl_recyclass[ProductId],0))="Não","Não conforme em 2030","Isento até 2035")),IF(B1193="EU-ENV-003",IF(INDEX(tbl_recyclass[Conforme_Art7_2030],MATCH(A1193,tbl_recyclass[ProductId],0))="Sim","Conforme (meta 2030)",IF(INDEX(tbl_recyclass[Conforme_Art7_2030],MATCH(A1193,tbl_recyclass[ProductId],0))="Não","Lacuna face à meta 2030","Isento")),IF(B1193="EU-ENV-011",IF(INDEX(tbl_familias_ppwr[Metais_Pesados_Evidencia],MATCH(INDEX(tbl_recyclass[Familia_PPWR],MATCH(A1193,tbl_recyclass[ProductId],0)),tbl_familias_ppwr[ID_Familia],0))="Em falta","Lacuna","Conforme"),IF(B1193="EU-ENV-013",IF(INDEX(tbl_familias_ppwr[Declaracao_UE],MATCH(INDEX(tbl_recyclass[Familia_PPWR],MATCH(A1193,tbl_recyclass[ProductId],0)),tbl_familias_ppwr[ID_Familia],0))="Sim","Conforme","Lacuna"),G1193)))),G1193))</f>
        <v>Futuro</v>
      </c>
      <c r="I1193" s="33" t="str">
        <f t="shared" si="18"/>
        <v>Futuro</v>
      </c>
      <c r="J1193" s="26" t="s">
        <v>1021</v>
      </c>
    </row>
    <row r="1194" spans="1:10" ht="16.05" customHeight="1" x14ac:dyDescent="0.3">
      <c r="A1194" s="26" t="s">
        <v>741</v>
      </c>
      <c r="B1194" s="26" t="s">
        <v>1038</v>
      </c>
      <c r="C1194" s="33" t="str">
        <f>IFERROR(INDEX(tbl_requisitos_emb[Tema],MATCH(B1194,tbl_requisitos_emb[ID_Req],0)),"")</f>
        <v>Plásticos de utilização única</v>
      </c>
      <c r="D1194" s="33" t="str">
        <f>IFERROR(INDEX(tbl_recyclass[Segmento],MATCH(A1194,tbl_recyclass[ProductId],0)),"")</f>
        <v>Cosmética e higiene pessoal</v>
      </c>
      <c r="E1194" s="26" t="s">
        <v>904</v>
      </c>
      <c r="F1194" s="26" t="s">
        <v>1450</v>
      </c>
      <c r="G1194" s="26" t="s">
        <v>1143</v>
      </c>
      <c r="H1194" s="33" t="str">
        <f>IF(E1194="Não","Não aplicável",IFERROR(IF(B1194="EU-ENV-002",IF(INDEX(tbl_recyclass[Conforme_PPWR_2030],MATCH(A1194,tbl_recyclass[ProductId],0))="Sim","Conforme (autoavaliação)",IF(INDEX(tbl_recyclass[Conforme_PPWR_2030],MATCH(A1194,tbl_recyclass[ProductId],0))="Não","Não conforme em 2030","Isento até 2035")),IF(B1194="EU-ENV-003",IF(INDEX(tbl_recyclass[Conforme_Art7_2030],MATCH(A1194,tbl_recyclass[ProductId],0))="Sim","Conforme (meta 2030)",IF(INDEX(tbl_recyclass[Conforme_Art7_2030],MATCH(A1194,tbl_recyclass[ProductId],0))="Não","Lacuna face à meta 2030","Isento")),IF(B1194="EU-ENV-011",IF(INDEX(tbl_familias_ppwr[Metais_Pesados_Evidencia],MATCH(INDEX(tbl_recyclass[Familia_PPWR],MATCH(A1194,tbl_recyclass[ProductId],0)),tbl_familias_ppwr[ID_Familia],0))="Em falta","Lacuna","Conforme"),IF(B1194="EU-ENV-013",IF(INDEX(tbl_familias_ppwr[Declaracao_UE],MATCH(INDEX(tbl_recyclass[Familia_PPWR],MATCH(A1194,tbl_recyclass[ProductId],0)),tbl_familias_ppwr[ID_Familia],0))="Sim","Conforme","Lacuna"),G1194)))),G1194))</f>
        <v>Não aplicável</v>
      </c>
      <c r="I1194" s="33" t="str">
        <f t="shared" si="18"/>
        <v>Não aplicável</v>
      </c>
      <c r="J1194" s="26"/>
    </row>
    <row r="1195" spans="1:10" ht="16.05" customHeight="1" x14ac:dyDescent="0.3">
      <c r="A1195" s="26" t="s">
        <v>741</v>
      </c>
      <c r="B1195" s="26" t="s">
        <v>1078</v>
      </c>
      <c r="C1195" s="33" t="str">
        <f>IFERROR(INDEX(tbl_requisitos_emb[Tema],MATCH(B1195,tbl_requisitos_emb[ID_Req],0)),"")</f>
        <v>Reciclado à escala</v>
      </c>
      <c r="D1195" s="33" t="str">
        <f>IFERROR(INDEX(tbl_recyclass[Segmento],MATCH(A1195,tbl_recyclass[ProductId],0)),"")</f>
        <v>Cosmética e higiene pessoal</v>
      </c>
      <c r="E1195" s="26" t="s">
        <v>901</v>
      </c>
      <c r="F1195" s="26" t="s">
        <v>1449</v>
      </c>
      <c r="G1195" s="26" t="s">
        <v>990</v>
      </c>
      <c r="H1195" s="33" t="str">
        <f>IF(E1195="Não","Não aplicável",IFERROR(IF(B1195="EU-ENV-002",IF(INDEX(tbl_recyclass[Conforme_PPWR_2030],MATCH(A1195,tbl_recyclass[ProductId],0))="Sim","Conforme (autoavaliação)",IF(INDEX(tbl_recyclass[Conforme_PPWR_2030],MATCH(A1195,tbl_recyclass[ProductId],0))="Não","Não conforme em 2030","Isento até 2035")),IF(B1195="EU-ENV-003",IF(INDEX(tbl_recyclass[Conforme_Art7_2030],MATCH(A1195,tbl_recyclass[ProductId],0))="Sim","Conforme (meta 2030)",IF(INDEX(tbl_recyclass[Conforme_Art7_2030],MATCH(A1195,tbl_recyclass[ProductId],0))="Não","Lacuna face à meta 2030","Isento")),IF(B1195="EU-ENV-011",IF(INDEX(tbl_familias_ppwr[Metais_Pesados_Evidencia],MATCH(INDEX(tbl_recyclass[Familia_PPWR],MATCH(A1195,tbl_recyclass[ProductId],0)),tbl_familias_ppwr[ID_Familia],0))="Em falta","Lacuna","Conforme"),IF(B1195="EU-ENV-013",IF(INDEX(tbl_familias_ppwr[Declaracao_UE],MATCH(INDEX(tbl_recyclass[Familia_PPWR],MATCH(A1195,tbl_recyclass[ProductId],0)),tbl_familias_ppwr[ID_Familia],0))="Sim","Conforme","Lacuna"),G1195)))),G1195))</f>
        <v>Futuro</v>
      </c>
      <c r="I1195" s="33" t="str">
        <f t="shared" si="18"/>
        <v>Futuro</v>
      </c>
      <c r="J1195" s="26" t="s">
        <v>1082</v>
      </c>
    </row>
    <row r="1196" spans="1:10" ht="16.05" customHeight="1" x14ac:dyDescent="0.3">
      <c r="A1196" s="26" t="s">
        <v>741</v>
      </c>
      <c r="B1196" s="26" t="s">
        <v>1086</v>
      </c>
      <c r="C1196" s="33" t="str">
        <f>IFERROR(INDEX(tbl_requisitos_emb[Tema],MATCH(B1196,tbl_requisitos_emb[ID_Req],0)),"")</f>
        <v>Metais pesados</v>
      </c>
      <c r="D1196" s="33" t="str">
        <f>IFERROR(INDEX(tbl_recyclass[Segmento],MATCH(A1196,tbl_recyclass[ProductId],0)),"")</f>
        <v>Cosmética e higiene pessoal</v>
      </c>
      <c r="E1196" s="26" t="s">
        <v>901</v>
      </c>
      <c r="F1196" s="26" t="s">
        <v>1449</v>
      </c>
      <c r="G1196" s="26" t="s">
        <v>978</v>
      </c>
      <c r="H1196" s="33" t="str">
        <f>IF(E1196="Não","Não aplicável",IFERROR(IF(B1196="EU-ENV-002",IF(INDEX(tbl_recyclass[Conforme_PPWR_2030],MATCH(A1196,tbl_recyclass[ProductId],0))="Sim","Conforme (autoavaliação)",IF(INDEX(tbl_recyclass[Conforme_PPWR_2030],MATCH(A1196,tbl_recyclass[ProductId],0))="Não","Não conforme em 2030","Isento até 2035")),IF(B1196="EU-ENV-003",IF(INDEX(tbl_recyclass[Conforme_Art7_2030],MATCH(A1196,tbl_recyclass[ProductId],0))="Sim","Conforme (meta 2030)",IF(INDEX(tbl_recyclass[Conforme_Art7_2030],MATCH(A1196,tbl_recyclass[ProductId],0))="Não","Lacuna face à meta 2030","Isento")),IF(B1196="EU-ENV-011",IF(INDEX(tbl_familias_ppwr[Metais_Pesados_Evidencia],MATCH(INDEX(tbl_recyclass[Familia_PPWR],MATCH(A1196,tbl_recyclass[ProductId],0)),tbl_familias_ppwr[ID_Familia],0))="Em falta","Lacuna","Conforme"),IF(B1196="EU-ENV-013",IF(INDEX(tbl_familias_ppwr[Declaracao_UE],MATCH(INDEX(tbl_recyclass[Familia_PPWR],MATCH(A1196,tbl_recyclass[ProductId],0)),tbl_familias_ppwr[ID_Familia],0))="Sim","Conforme","Lacuna"),G1196)))),G1196))</f>
        <v>Conforme</v>
      </c>
      <c r="I1196" s="33" t="str">
        <f t="shared" si="18"/>
        <v>Conforme</v>
      </c>
      <c r="J1196" s="26" t="s">
        <v>1090</v>
      </c>
    </row>
    <row r="1197" spans="1:10" ht="16.05" customHeight="1" x14ac:dyDescent="0.3">
      <c r="A1197" s="26" t="s">
        <v>741</v>
      </c>
      <c r="B1197" s="26" t="s">
        <v>1094</v>
      </c>
      <c r="C1197" s="33" t="str">
        <f>IFERROR(INDEX(tbl_requisitos_emb[Tema],MATCH(B1197,tbl_requisitos_emb[ID_Req],0)),"")</f>
        <v>PFAS</v>
      </c>
      <c r="D1197" s="33" t="str">
        <f>IFERROR(INDEX(tbl_recyclass[Segmento],MATCH(A1197,tbl_recyclass[ProductId],0)),"")</f>
        <v>Cosmética e higiene pessoal</v>
      </c>
      <c r="E1197" s="26" t="s">
        <v>904</v>
      </c>
      <c r="F1197" s="26" t="s">
        <v>1450</v>
      </c>
      <c r="G1197" s="26" t="s">
        <v>1143</v>
      </c>
      <c r="H1197" s="33" t="str">
        <f>IF(E1197="Não","Não aplicável",IFERROR(IF(B1197="EU-ENV-002",IF(INDEX(tbl_recyclass[Conforme_PPWR_2030],MATCH(A1197,tbl_recyclass[ProductId],0))="Sim","Conforme (autoavaliação)",IF(INDEX(tbl_recyclass[Conforme_PPWR_2030],MATCH(A1197,tbl_recyclass[ProductId],0))="Não","Não conforme em 2030","Isento até 2035")),IF(B1197="EU-ENV-003",IF(INDEX(tbl_recyclass[Conforme_Art7_2030],MATCH(A1197,tbl_recyclass[ProductId],0))="Sim","Conforme (meta 2030)",IF(INDEX(tbl_recyclass[Conforme_Art7_2030],MATCH(A1197,tbl_recyclass[ProductId],0))="Não","Lacuna face à meta 2030","Isento")),IF(B1197="EU-ENV-011",IF(INDEX(tbl_familias_ppwr[Metais_Pesados_Evidencia],MATCH(INDEX(tbl_recyclass[Familia_PPWR],MATCH(A1197,tbl_recyclass[ProductId],0)),tbl_familias_ppwr[ID_Familia],0))="Em falta","Lacuna","Conforme"),IF(B1197="EU-ENV-013",IF(INDEX(tbl_familias_ppwr[Declaracao_UE],MATCH(INDEX(tbl_recyclass[Familia_PPWR],MATCH(A1197,tbl_recyclass[ProductId],0)),tbl_familias_ppwr[ID_Familia],0))="Sim","Conforme","Lacuna"),G1197)))),G1197))</f>
        <v>Não aplicável</v>
      </c>
      <c r="I1197" s="33" t="str">
        <f t="shared" si="18"/>
        <v>Não aplicável</v>
      </c>
      <c r="J1197" s="26"/>
    </row>
    <row r="1198" spans="1:10" ht="16.05" customHeight="1" x14ac:dyDescent="0.3">
      <c r="A1198" s="26" t="s">
        <v>741</v>
      </c>
      <c r="B1198" s="26" t="s">
        <v>1102</v>
      </c>
      <c r="C1198" s="33" t="str">
        <f>IFERROR(INDEX(tbl_requisitos_emb[Tema],MATCH(B1198,tbl_requisitos_emb[ID_Req],0)),"")</f>
        <v>Documentação técnica e declaração UE</v>
      </c>
      <c r="D1198" s="33" t="str">
        <f>IFERROR(INDEX(tbl_recyclass[Segmento],MATCH(A1198,tbl_recyclass[ProductId],0)),"")</f>
        <v>Cosmética e higiene pessoal</v>
      </c>
      <c r="E1198" s="26" t="s">
        <v>901</v>
      </c>
      <c r="F1198" s="26" t="s">
        <v>1449</v>
      </c>
      <c r="G1198" s="26" t="s">
        <v>978</v>
      </c>
      <c r="H1198" s="33" t="str">
        <f>IF(E1198="Não","Não aplicável",IFERROR(IF(B1198="EU-ENV-002",IF(INDEX(tbl_recyclass[Conforme_PPWR_2030],MATCH(A1198,tbl_recyclass[ProductId],0))="Sim","Conforme (autoavaliação)",IF(INDEX(tbl_recyclass[Conforme_PPWR_2030],MATCH(A1198,tbl_recyclass[ProductId],0))="Não","Não conforme em 2030","Isento até 2035")),IF(B1198="EU-ENV-003",IF(INDEX(tbl_recyclass[Conforme_Art7_2030],MATCH(A1198,tbl_recyclass[ProductId],0))="Sim","Conforme (meta 2030)",IF(INDEX(tbl_recyclass[Conforme_Art7_2030],MATCH(A1198,tbl_recyclass[ProductId],0))="Não","Lacuna face à meta 2030","Isento")),IF(B1198="EU-ENV-011",IF(INDEX(tbl_familias_ppwr[Metais_Pesados_Evidencia],MATCH(INDEX(tbl_recyclass[Familia_PPWR],MATCH(A1198,tbl_recyclass[ProductId],0)),tbl_familias_ppwr[ID_Familia],0))="Em falta","Lacuna","Conforme"),IF(B1198="EU-ENV-013",IF(INDEX(tbl_familias_ppwr[Declaracao_UE],MATCH(INDEX(tbl_recyclass[Familia_PPWR],MATCH(A1198,tbl_recyclass[ProductId],0)),tbl_familias_ppwr[ID_Familia],0))="Sim","Conforme","Lacuna"),G1198)))),G1198))</f>
        <v>Conforme</v>
      </c>
      <c r="I1198" s="33" t="str">
        <f t="shared" si="18"/>
        <v>Conforme</v>
      </c>
      <c r="J1198" s="26" t="s">
        <v>1106</v>
      </c>
    </row>
    <row r="1199" spans="1:10" ht="16.05" customHeight="1" x14ac:dyDescent="0.3">
      <c r="A1199" s="26" t="s">
        <v>741</v>
      </c>
      <c r="B1199" s="26" t="s">
        <v>1161</v>
      </c>
      <c r="C1199" s="33" t="str">
        <f>IFERROR(INDEX(tbl_requisitos_emb[Tema],MATCH(B1199,tbl_requisitos_emb[ID_Req],0)),"")</f>
        <v>Materiais em contacto com alimentos</v>
      </c>
      <c r="D1199" s="33" t="str">
        <f>IFERROR(INDEX(tbl_recyclass[Segmento],MATCH(A1199,tbl_recyclass[ProductId],0)),"")</f>
        <v>Cosmética e higiene pessoal</v>
      </c>
      <c r="E1199" s="26" t="s">
        <v>904</v>
      </c>
      <c r="F1199" s="26" t="s">
        <v>1450</v>
      </c>
      <c r="G1199" s="26" t="s">
        <v>1143</v>
      </c>
      <c r="H1199" s="33" t="str">
        <f>IF(E1199="Não","Não aplicável",IFERROR(IF(B1199="EU-ENV-002",IF(INDEX(tbl_recyclass[Conforme_PPWR_2030],MATCH(A1199,tbl_recyclass[ProductId],0))="Sim","Conforme (autoavaliação)",IF(INDEX(tbl_recyclass[Conforme_PPWR_2030],MATCH(A1199,tbl_recyclass[ProductId],0))="Não","Não conforme em 2030","Isento até 2035")),IF(B1199="EU-ENV-003",IF(INDEX(tbl_recyclass[Conforme_Art7_2030],MATCH(A1199,tbl_recyclass[ProductId],0))="Sim","Conforme (meta 2030)",IF(INDEX(tbl_recyclass[Conforme_Art7_2030],MATCH(A1199,tbl_recyclass[ProductId],0))="Não","Lacuna face à meta 2030","Isento")),IF(B1199="EU-ENV-011",IF(INDEX(tbl_familias_ppwr[Metais_Pesados_Evidencia],MATCH(INDEX(tbl_recyclass[Familia_PPWR],MATCH(A1199,tbl_recyclass[ProductId],0)),tbl_familias_ppwr[ID_Familia],0))="Em falta","Lacuna","Conforme"),IF(B1199="EU-ENV-013",IF(INDEX(tbl_familias_ppwr[Declaracao_UE],MATCH(INDEX(tbl_recyclass[Familia_PPWR],MATCH(A1199,tbl_recyclass[ProductId],0)),tbl_familias_ppwr[ID_Familia],0))="Sim","Conforme","Lacuna"),G1199)))),G1199))</f>
        <v>Não aplicável</v>
      </c>
      <c r="I1199" s="33" t="str">
        <f t="shared" si="18"/>
        <v>Não aplicável</v>
      </c>
      <c r="J1199" s="26"/>
    </row>
    <row r="1200" spans="1:10" ht="16.05" customHeight="1" x14ac:dyDescent="0.3">
      <c r="A1200" s="26" t="s">
        <v>741</v>
      </c>
      <c r="B1200" s="26" t="s">
        <v>1170</v>
      </c>
      <c r="C1200" s="33" t="str">
        <f>IFERROR(INDEX(tbl_requisitos_emb[Tema],MATCH(B1200,tbl_requisitos_emb[ID_Req],0)),"")</f>
        <v>Boas práticas de fabrico FCM</v>
      </c>
      <c r="D1200" s="33" t="str">
        <f>IFERROR(INDEX(tbl_recyclass[Segmento],MATCH(A1200,tbl_recyclass[ProductId],0)),"")</f>
        <v>Cosmética e higiene pessoal</v>
      </c>
      <c r="E1200" s="26" t="s">
        <v>904</v>
      </c>
      <c r="F1200" s="26" t="s">
        <v>1450</v>
      </c>
      <c r="G1200" s="26" t="s">
        <v>1143</v>
      </c>
      <c r="H1200" s="33" t="str">
        <f>IF(E1200="Não","Não aplicável",IFERROR(IF(B1200="EU-ENV-002",IF(INDEX(tbl_recyclass[Conforme_PPWR_2030],MATCH(A1200,tbl_recyclass[ProductId],0))="Sim","Conforme (autoavaliação)",IF(INDEX(tbl_recyclass[Conforme_PPWR_2030],MATCH(A1200,tbl_recyclass[ProductId],0))="Não","Não conforme em 2030","Isento até 2035")),IF(B1200="EU-ENV-003",IF(INDEX(tbl_recyclass[Conforme_Art7_2030],MATCH(A1200,tbl_recyclass[ProductId],0))="Sim","Conforme (meta 2030)",IF(INDEX(tbl_recyclass[Conforme_Art7_2030],MATCH(A1200,tbl_recyclass[ProductId],0))="Não","Lacuna face à meta 2030","Isento")),IF(B1200="EU-ENV-011",IF(INDEX(tbl_familias_ppwr[Metais_Pesados_Evidencia],MATCH(INDEX(tbl_recyclass[Familia_PPWR],MATCH(A1200,tbl_recyclass[ProductId],0)),tbl_familias_ppwr[ID_Familia],0))="Em falta","Lacuna","Conforme"),IF(B1200="EU-ENV-013",IF(INDEX(tbl_familias_ppwr[Declaracao_UE],MATCH(INDEX(tbl_recyclass[Familia_PPWR],MATCH(A1200,tbl_recyclass[ProductId],0)),tbl_familias_ppwr[ID_Familia],0))="Sim","Conforme","Lacuna"),G1200)))),G1200))</f>
        <v>Não aplicável</v>
      </c>
      <c r="I1200" s="33" t="str">
        <f t="shared" si="18"/>
        <v>Não aplicável</v>
      </c>
      <c r="J1200" s="26"/>
    </row>
    <row r="1201" spans="1:10" ht="16.05" customHeight="1" x14ac:dyDescent="0.3">
      <c r="A1201" s="26" t="s">
        <v>741</v>
      </c>
      <c r="B1201" s="26" t="s">
        <v>1179</v>
      </c>
      <c r="C1201" s="33" t="str">
        <f>IFERROR(INDEX(tbl_requisitos_emb[Tema],MATCH(B1201,tbl_requisitos_emb[ID_Req],0)),"")</f>
        <v>Bisfenol A e bisfenóis perigosos</v>
      </c>
      <c r="D1201" s="33" t="str">
        <f>IFERROR(INDEX(tbl_recyclass[Segmento],MATCH(A1201,tbl_recyclass[ProductId],0)),"")</f>
        <v>Cosmética e higiene pessoal</v>
      </c>
      <c r="E1201" s="26" t="s">
        <v>904</v>
      </c>
      <c r="F1201" s="26" t="s">
        <v>1450</v>
      </c>
      <c r="G1201" s="26" t="s">
        <v>1143</v>
      </c>
      <c r="H1201" s="33" t="str">
        <f>IF(E1201="Não","Não aplicável",IFERROR(IF(B1201="EU-ENV-002",IF(INDEX(tbl_recyclass[Conforme_PPWR_2030],MATCH(A1201,tbl_recyclass[ProductId],0))="Sim","Conforme (autoavaliação)",IF(INDEX(tbl_recyclass[Conforme_PPWR_2030],MATCH(A1201,tbl_recyclass[ProductId],0))="Não","Não conforme em 2030","Isento até 2035")),IF(B1201="EU-ENV-003",IF(INDEX(tbl_recyclass[Conforme_Art7_2030],MATCH(A1201,tbl_recyclass[ProductId],0))="Sim","Conforme (meta 2030)",IF(INDEX(tbl_recyclass[Conforme_Art7_2030],MATCH(A1201,tbl_recyclass[ProductId],0))="Não","Lacuna face à meta 2030","Isento")),IF(B1201="EU-ENV-011",IF(INDEX(tbl_familias_ppwr[Metais_Pesados_Evidencia],MATCH(INDEX(tbl_recyclass[Familia_PPWR],MATCH(A1201,tbl_recyclass[ProductId],0)),tbl_familias_ppwr[ID_Familia],0))="Em falta","Lacuna","Conforme"),IF(B1201="EU-ENV-013",IF(INDEX(tbl_familias_ppwr[Declaracao_UE],MATCH(INDEX(tbl_recyclass[Familia_PPWR],MATCH(A1201,tbl_recyclass[ProductId],0)),tbl_familias_ppwr[ID_Familia],0))="Sim","Conforme","Lacuna"),G1201)))),G1201))</f>
        <v>Não aplicável</v>
      </c>
      <c r="I1201" s="33" t="str">
        <f t="shared" si="18"/>
        <v>Não aplicável</v>
      </c>
      <c r="J1201" s="26"/>
    </row>
    <row r="1202" spans="1:10" ht="16.05" customHeight="1" x14ac:dyDescent="0.3">
      <c r="A1202" s="26" t="s">
        <v>741</v>
      </c>
      <c r="B1202" s="26" t="s">
        <v>1188</v>
      </c>
      <c r="C1202" s="33" t="str">
        <f>IFERROR(INDEX(tbl_requisitos_emb[Tema],MATCH(B1202,tbl_requisitos_emb[ID_Req],0)),"")</f>
        <v>Plásticos em contacto com alimentos</v>
      </c>
      <c r="D1202" s="33" t="str">
        <f>IFERROR(INDEX(tbl_recyclass[Segmento],MATCH(A1202,tbl_recyclass[ProductId],0)),"")</f>
        <v>Cosmética e higiene pessoal</v>
      </c>
      <c r="E1202" s="26" t="s">
        <v>904</v>
      </c>
      <c r="F1202" s="26" t="s">
        <v>1450</v>
      </c>
      <c r="G1202" s="26" t="s">
        <v>1143</v>
      </c>
      <c r="H1202" s="33" t="str">
        <f>IF(E1202="Não","Não aplicável",IFERROR(IF(B1202="EU-ENV-002",IF(INDEX(tbl_recyclass[Conforme_PPWR_2030],MATCH(A1202,tbl_recyclass[ProductId],0))="Sim","Conforme (autoavaliação)",IF(INDEX(tbl_recyclass[Conforme_PPWR_2030],MATCH(A1202,tbl_recyclass[ProductId],0))="Não","Não conforme em 2030","Isento até 2035")),IF(B1202="EU-ENV-003",IF(INDEX(tbl_recyclass[Conforme_Art7_2030],MATCH(A1202,tbl_recyclass[ProductId],0))="Sim","Conforme (meta 2030)",IF(INDEX(tbl_recyclass[Conforme_Art7_2030],MATCH(A1202,tbl_recyclass[ProductId],0))="Não","Lacuna face à meta 2030","Isento")),IF(B1202="EU-ENV-011",IF(INDEX(tbl_familias_ppwr[Metais_Pesados_Evidencia],MATCH(INDEX(tbl_recyclass[Familia_PPWR],MATCH(A1202,tbl_recyclass[ProductId],0)),tbl_familias_ppwr[ID_Familia],0))="Em falta","Lacuna","Conforme"),IF(B1202="EU-ENV-013",IF(INDEX(tbl_familias_ppwr[Declaracao_UE],MATCH(INDEX(tbl_recyclass[Familia_PPWR],MATCH(A1202,tbl_recyclass[ProductId],0)),tbl_familias_ppwr[ID_Familia],0))="Sim","Conforme","Lacuna"),G1202)))),G1202))</f>
        <v>Não aplicável</v>
      </c>
      <c r="I1202" s="33" t="str">
        <f t="shared" si="18"/>
        <v>Não aplicável</v>
      </c>
      <c r="J1202" s="26"/>
    </row>
    <row r="1203" spans="1:10" ht="16.05" customHeight="1" x14ac:dyDescent="0.3">
      <c r="A1203" s="26" t="s">
        <v>741</v>
      </c>
      <c r="B1203" s="26" t="s">
        <v>1212</v>
      </c>
      <c r="C1203" s="33" t="str">
        <f>IFERROR(INDEX(tbl_requisitos_emb[Tema],MATCH(B1203,tbl_requisitos_emb[ID_Req],0)),"")</f>
        <v>Segurança do produto cosmético</v>
      </c>
      <c r="D1203" s="33" t="str">
        <f>IFERROR(INDEX(tbl_recyclass[Segmento],MATCH(A1203,tbl_recyclass[ProductId],0)),"")</f>
        <v>Cosmética e higiene pessoal</v>
      </c>
      <c r="E1203" s="26" t="s">
        <v>901</v>
      </c>
      <c r="F1203" s="26" t="s">
        <v>1449</v>
      </c>
      <c r="G1203" s="26" t="s">
        <v>1033</v>
      </c>
      <c r="H1203" s="33" t="str">
        <f>IF(E1203="Não","Não aplicável",IFERROR(IF(B1203="EU-ENV-002",IF(INDEX(tbl_recyclass[Conforme_PPWR_2030],MATCH(A1203,tbl_recyclass[ProductId],0))="Sim","Conforme (autoavaliação)",IF(INDEX(tbl_recyclass[Conforme_PPWR_2030],MATCH(A1203,tbl_recyclass[ProductId],0))="Não","Não conforme em 2030","Isento até 2035")),IF(B1203="EU-ENV-003",IF(INDEX(tbl_recyclass[Conforme_Art7_2030],MATCH(A1203,tbl_recyclass[ProductId],0))="Sim","Conforme (meta 2030)",IF(INDEX(tbl_recyclass[Conforme_Art7_2030],MATCH(A1203,tbl_recyclass[ProductId],0))="Não","Lacuna face à meta 2030","Isento")),IF(B1203="EU-ENV-011",IF(INDEX(tbl_familias_ppwr[Metais_Pesados_Evidencia],MATCH(INDEX(tbl_recyclass[Familia_PPWR],MATCH(A1203,tbl_recyclass[ProductId],0)),tbl_familias_ppwr[ID_Familia],0))="Em falta","Lacuna","Conforme"),IF(B1203="EU-ENV-013",IF(INDEX(tbl_familias_ppwr[Declaracao_UE],MATCH(INDEX(tbl_recyclass[Familia_PPWR],MATCH(A1203,tbl_recyclass[ProductId],0)),tbl_familias_ppwr[ID_Familia],0))="Sim","Conforme","Lacuna"),G1203)))),G1203))</f>
        <v>Conforme</v>
      </c>
      <c r="I1203" s="33" t="str">
        <f t="shared" si="18"/>
        <v>Conforme</v>
      </c>
      <c r="J1203" s="26" t="s">
        <v>1221</v>
      </c>
    </row>
    <row r="1204" spans="1:10" ht="16.05" customHeight="1" x14ac:dyDescent="0.3">
      <c r="A1204" s="26" t="s">
        <v>741</v>
      </c>
      <c r="B1204" s="26" t="s">
        <v>1224</v>
      </c>
      <c r="C1204" s="33" t="str">
        <f>IFERROR(INDEX(tbl_requisitos_emb[Tema],MATCH(B1204,tbl_requisitos_emb[ID_Req],0)),"")</f>
        <v>Materiais e impurezas</v>
      </c>
      <c r="D1204" s="33" t="str">
        <f>IFERROR(INDEX(tbl_recyclass[Segmento],MATCH(A1204,tbl_recyclass[ProductId],0)),"")</f>
        <v>Cosmética e higiene pessoal</v>
      </c>
      <c r="E1204" s="26" t="s">
        <v>901</v>
      </c>
      <c r="F1204" s="26" t="s">
        <v>1449</v>
      </c>
      <c r="G1204" s="26" t="s">
        <v>978</v>
      </c>
      <c r="H1204" s="33" t="str">
        <f>IF(E1204="Não","Não aplicável",IFERROR(IF(B1204="EU-ENV-002",IF(INDEX(tbl_recyclass[Conforme_PPWR_2030],MATCH(A1204,tbl_recyclass[ProductId],0))="Sim","Conforme (autoavaliação)",IF(INDEX(tbl_recyclass[Conforme_PPWR_2030],MATCH(A1204,tbl_recyclass[ProductId],0))="Não","Não conforme em 2030","Isento até 2035")),IF(B1204="EU-ENV-003",IF(INDEX(tbl_recyclass[Conforme_Art7_2030],MATCH(A1204,tbl_recyclass[ProductId],0))="Sim","Conforme (meta 2030)",IF(INDEX(tbl_recyclass[Conforme_Art7_2030],MATCH(A1204,tbl_recyclass[ProductId],0))="Não","Lacuna face à meta 2030","Isento")),IF(B1204="EU-ENV-011",IF(INDEX(tbl_familias_ppwr[Metais_Pesados_Evidencia],MATCH(INDEX(tbl_recyclass[Familia_PPWR],MATCH(A1204,tbl_recyclass[ProductId],0)),tbl_familias_ppwr[ID_Familia],0))="Em falta","Lacuna","Conforme"),IF(B1204="EU-ENV-013",IF(INDEX(tbl_familias_ppwr[Declaracao_UE],MATCH(INDEX(tbl_recyclass[Familia_PPWR],MATCH(A1204,tbl_recyclass[ProductId],0)),tbl_familias_ppwr[ID_Familia],0))="Sim","Conforme","Lacuna"),G1204)))),G1204))</f>
        <v>Parcial</v>
      </c>
      <c r="I1204" s="33" t="str">
        <f t="shared" si="18"/>
        <v>Parcial</v>
      </c>
      <c r="J1204" s="26" t="s">
        <v>1228</v>
      </c>
    </row>
    <row r="1205" spans="1:10" ht="16.05" customHeight="1" x14ac:dyDescent="0.3">
      <c r="A1205" s="26" t="s">
        <v>741</v>
      </c>
      <c r="B1205" s="26" t="s">
        <v>1240</v>
      </c>
      <c r="C1205" s="33" t="str">
        <f>IFERROR(INDEX(tbl_requisitos_emb[Tema],MATCH(B1205,tbl_requisitos_emb[ID_Req],0)),"")</f>
        <v>Compatibilidade embalagem–produto</v>
      </c>
      <c r="D1205" s="33" t="str">
        <f>IFERROR(INDEX(tbl_recyclass[Segmento],MATCH(A1205,tbl_recyclass[ProductId],0)),"")</f>
        <v>Cosmética e higiene pessoal</v>
      </c>
      <c r="E1205" s="26" t="s">
        <v>901</v>
      </c>
      <c r="F1205" s="26" t="s">
        <v>1449</v>
      </c>
      <c r="G1205" s="26" t="s">
        <v>1033</v>
      </c>
      <c r="H1205" s="33" t="str">
        <f>IF(E1205="Não","Não aplicável",IFERROR(IF(B1205="EU-ENV-002",IF(INDEX(tbl_recyclass[Conforme_PPWR_2030],MATCH(A1205,tbl_recyclass[ProductId],0))="Sim","Conforme (autoavaliação)",IF(INDEX(tbl_recyclass[Conforme_PPWR_2030],MATCH(A1205,tbl_recyclass[ProductId],0))="Não","Não conforme em 2030","Isento até 2035")),IF(B1205="EU-ENV-003",IF(INDEX(tbl_recyclass[Conforme_Art7_2030],MATCH(A1205,tbl_recyclass[ProductId],0))="Sim","Conforme (meta 2030)",IF(INDEX(tbl_recyclass[Conforme_Art7_2030],MATCH(A1205,tbl_recyclass[ProductId],0))="Não","Lacuna face à meta 2030","Isento")),IF(B1205="EU-ENV-011",IF(INDEX(tbl_familias_ppwr[Metais_Pesados_Evidencia],MATCH(INDEX(tbl_recyclass[Familia_PPWR],MATCH(A1205,tbl_recyclass[ProductId],0)),tbl_familias_ppwr[ID_Familia],0))="Em falta","Lacuna","Conforme"),IF(B1205="EU-ENV-013",IF(INDEX(tbl_familias_ppwr[Declaracao_UE],MATCH(INDEX(tbl_recyclass[Familia_PPWR],MATCH(A1205,tbl_recyclass[ProductId],0)),tbl_familias_ppwr[ID_Familia],0))="Sim","Conforme","Lacuna"),G1205)))),G1205))</f>
        <v>Conforme</v>
      </c>
      <c r="I1205" s="33" t="str">
        <f t="shared" si="18"/>
        <v>Conforme</v>
      </c>
      <c r="J1205" s="26" t="s">
        <v>1244</v>
      </c>
    </row>
    <row r="1206" spans="1:10" ht="16.05" customHeight="1" x14ac:dyDescent="0.3">
      <c r="A1206" s="26" t="s">
        <v>741</v>
      </c>
      <c r="B1206" s="26" t="s">
        <v>1252</v>
      </c>
      <c r="C1206" s="33" t="str">
        <f>IFERROR(INDEX(tbl_requisitos_emb[Tema],MATCH(B1206,tbl_requisitos_emb[ID_Req],0)),"")</f>
        <v>Medicamentos de uso humano</v>
      </c>
      <c r="D1206" s="33" t="str">
        <f>IFERROR(INDEX(tbl_recyclass[Segmento],MATCH(A1206,tbl_recyclass[ProductId],0)),"")</f>
        <v>Cosmética e higiene pessoal</v>
      </c>
      <c r="E1206" s="26" t="s">
        <v>904</v>
      </c>
      <c r="F1206" s="26" t="s">
        <v>1451</v>
      </c>
      <c r="G1206" s="26" t="s">
        <v>1143</v>
      </c>
      <c r="H1206" s="33" t="str">
        <f>IF(E1206="Não","Não aplicável",IFERROR(IF(B1206="EU-ENV-002",IF(INDEX(tbl_recyclass[Conforme_PPWR_2030],MATCH(A1206,tbl_recyclass[ProductId],0))="Sim","Conforme (autoavaliação)",IF(INDEX(tbl_recyclass[Conforme_PPWR_2030],MATCH(A1206,tbl_recyclass[ProductId],0))="Não","Não conforme em 2030","Isento até 2035")),IF(B1206="EU-ENV-003",IF(INDEX(tbl_recyclass[Conforme_Art7_2030],MATCH(A1206,tbl_recyclass[ProductId],0))="Sim","Conforme (meta 2030)",IF(INDEX(tbl_recyclass[Conforme_Art7_2030],MATCH(A1206,tbl_recyclass[ProductId],0))="Não","Lacuna face à meta 2030","Isento")),IF(B1206="EU-ENV-011",IF(INDEX(tbl_familias_ppwr[Metais_Pesados_Evidencia],MATCH(INDEX(tbl_recyclass[Familia_PPWR],MATCH(A1206,tbl_recyclass[ProductId],0)),tbl_familias_ppwr[ID_Familia],0))="Em falta","Lacuna","Conforme"),IF(B1206="EU-ENV-013",IF(INDEX(tbl_familias_ppwr[Declaracao_UE],MATCH(INDEX(tbl_recyclass[Familia_PPWR],MATCH(A1206,tbl_recyclass[ProductId],0)),tbl_familias_ppwr[ID_Familia],0))="Sim","Conforme","Lacuna"),G1206)))),G1206))</f>
        <v>Não aplicável</v>
      </c>
      <c r="I1206" s="33" t="str">
        <f t="shared" si="18"/>
        <v>Não aplicável</v>
      </c>
      <c r="J1206" s="26"/>
    </row>
    <row r="1207" spans="1:10" ht="16.05" customHeight="1" x14ac:dyDescent="0.3">
      <c r="A1207" s="26" t="s">
        <v>741</v>
      </c>
      <c r="B1207" s="26" t="s">
        <v>1268</v>
      </c>
      <c r="C1207" s="33" t="str">
        <f>IFERROR(INDEX(tbl_requisitos_emb[Tema],MATCH(B1207,tbl_requisitos_emb[ID_Req],0)),"")</f>
        <v>Dispositivos de segurança</v>
      </c>
      <c r="D1207" s="33" t="str">
        <f>IFERROR(INDEX(tbl_recyclass[Segmento],MATCH(A1207,tbl_recyclass[ProductId],0)),"")</f>
        <v>Cosmética e higiene pessoal</v>
      </c>
      <c r="E1207" s="26" t="s">
        <v>904</v>
      </c>
      <c r="F1207" s="26" t="s">
        <v>1451</v>
      </c>
      <c r="G1207" s="26" t="s">
        <v>1143</v>
      </c>
      <c r="H1207" s="33" t="str">
        <f>IF(E1207="Não","Não aplicável",IFERROR(IF(B1207="EU-ENV-002",IF(INDEX(tbl_recyclass[Conforme_PPWR_2030],MATCH(A1207,tbl_recyclass[ProductId],0))="Sim","Conforme (autoavaliação)",IF(INDEX(tbl_recyclass[Conforme_PPWR_2030],MATCH(A1207,tbl_recyclass[ProductId],0))="Não","Não conforme em 2030","Isento até 2035")),IF(B1207="EU-ENV-003",IF(INDEX(tbl_recyclass[Conforme_Art7_2030],MATCH(A1207,tbl_recyclass[ProductId],0))="Sim","Conforme (meta 2030)",IF(INDEX(tbl_recyclass[Conforme_Art7_2030],MATCH(A1207,tbl_recyclass[ProductId],0))="Não","Lacuna face à meta 2030","Isento")),IF(B1207="EU-ENV-011",IF(INDEX(tbl_familias_ppwr[Metais_Pesados_Evidencia],MATCH(INDEX(tbl_recyclass[Familia_PPWR],MATCH(A1207,tbl_recyclass[ProductId],0)),tbl_familias_ppwr[ID_Familia],0))="Em falta","Lacuna","Conforme"),IF(B1207="EU-ENV-013",IF(INDEX(tbl_familias_ppwr[Declaracao_UE],MATCH(INDEX(tbl_recyclass[Familia_PPWR],MATCH(A1207,tbl_recyclass[ProductId],0)),tbl_familias_ppwr[ID_Familia],0))="Sim","Conforme","Lacuna"),G1207)))),G1207))</f>
        <v>Não aplicável</v>
      </c>
      <c r="I1207" s="33" t="str">
        <f t="shared" si="18"/>
        <v>Não aplicável</v>
      </c>
      <c r="J1207" s="26"/>
    </row>
    <row r="1208" spans="1:10" ht="16.05" customHeight="1" x14ac:dyDescent="0.3">
      <c r="A1208" s="26" t="s">
        <v>741</v>
      </c>
      <c r="B1208" s="26" t="s">
        <v>1285</v>
      </c>
      <c r="C1208" s="33" t="str">
        <f>IFERROR(INDEX(tbl_requisitos_emb[Tema],MATCH(B1208,tbl_requisitos_emb[ID_Req],0)),"")</f>
        <v>Materiais plásticos de acondicionamento primário</v>
      </c>
      <c r="D1208" s="33" t="str">
        <f>IFERROR(INDEX(tbl_recyclass[Segmento],MATCH(A1208,tbl_recyclass[ProductId],0)),"")</f>
        <v>Cosmética e higiene pessoal</v>
      </c>
      <c r="E1208" s="26" t="s">
        <v>904</v>
      </c>
      <c r="F1208" s="26" t="s">
        <v>1451</v>
      </c>
      <c r="G1208" s="26" t="s">
        <v>1143</v>
      </c>
      <c r="H1208" s="33" t="str">
        <f>IF(E1208="Não","Não aplicável",IFERROR(IF(B1208="EU-ENV-002",IF(INDEX(tbl_recyclass[Conforme_PPWR_2030],MATCH(A1208,tbl_recyclass[ProductId],0))="Sim","Conforme (autoavaliação)",IF(INDEX(tbl_recyclass[Conforme_PPWR_2030],MATCH(A1208,tbl_recyclass[ProductId],0))="Não","Não conforme em 2030","Isento até 2035")),IF(B1208="EU-ENV-003",IF(INDEX(tbl_recyclass[Conforme_Art7_2030],MATCH(A1208,tbl_recyclass[ProductId],0))="Sim","Conforme (meta 2030)",IF(INDEX(tbl_recyclass[Conforme_Art7_2030],MATCH(A1208,tbl_recyclass[ProductId],0))="Não","Lacuna face à meta 2030","Isento")),IF(B1208="EU-ENV-011",IF(INDEX(tbl_familias_ppwr[Metais_Pesados_Evidencia],MATCH(INDEX(tbl_recyclass[Familia_PPWR],MATCH(A1208,tbl_recyclass[ProductId],0)),tbl_familias_ppwr[ID_Familia],0))="Em falta","Lacuna","Conforme"),IF(B1208="EU-ENV-013",IF(INDEX(tbl_familias_ppwr[Declaracao_UE],MATCH(INDEX(tbl_recyclass[Familia_PPWR],MATCH(A1208,tbl_recyclass[ProductId],0)),tbl_familias_ppwr[ID_Familia],0))="Sim","Conforme","Lacuna"),G1208)))),G1208))</f>
        <v>Não aplicável</v>
      </c>
      <c r="I1208" s="33" t="str">
        <f t="shared" si="18"/>
        <v>Não aplicável</v>
      </c>
      <c r="J1208" s="26"/>
    </row>
    <row r="1209" spans="1:10" ht="16.05" customHeight="1" x14ac:dyDescent="0.3">
      <c r="A1209" s="26" t="s">
        <v>741</v>
      </c>
      <c r="B1209" s="26" t="s">
        <v>1293</v>
      </c>
      <c r="C1209" s="33" t="str">
        <f>IFERROR(INDEX(tbl_requisitos_emb[Tema],MATCH(B1209,tbl_requisitos_emb[ID_Req],0)),"")</f>
        <v>Isenções PPWR</v>
      </c>
      <c r="D1209" s="33" t="str">
        <f>IFERROR(INDEX(tbl_recyclass[Segmento],MATCH(A1209,tbl_recyclass[ProductId],0)),"")</f>
        <v>Cosmética e higiene pessoal</v>
      </c>
      <c r="E1209" s="26" t="s">
        <v>904</v>
      </c>
      <c r="F1209" s="26" t="s">
        <v>1451</v>
      </c>
      <c r="G1209" s="26" t="s">
        <v>1143</v>
      </c>
      <c r="H1209" s="33" t="str">
        <f>IF(E1209="Não","Não aplicável",IFERROR(IF(B1209="EU-ENV-002",IF(INDEX(tbl_recyclass[Conforme_PPWR_2030],MATCH(A1209,tbl_recyclass[ProductId],0))="Sim","Conforme (autoavaliação)",IF(INDEX(tbl_recyclass[Conforme_PPWR_2030],MATCH(A1209,tbl_recyclass[ProductId],0))="Não","Não conforme em 2030","Isento até 2035")),IF(B1209="EU-ENV-003",IF(INDEX(tbl_recyclass[Conforme_Art7_2030],MATCH(A1209,tbl_recyclass[ProductId],0))="Sim","Conforme (meta 2030)",IF(INDEX(tbl_recyclass[Conforme_Art7_2030],MATCH(A1209,tbl_recyclass[ProductId],0))="Não","Lacuna face à meta 2030","Isento")),IF(B1209="EU-ENV-011",IF(INDEX(tbl_familias_ppwr[Metais_Pesados_Evidencia],MATCH(INDEX(tbl_recyclass[Familia_PPWR],MATCH(A1209,tbl_recyclass[ProductId],0)),tbl_familias_ppwr[ID_Familia],0))="Em falta","Lacuna","Conforme"),IF(B1209="EU-ENV-013",IF(INDEX(tbl_familias_ppwr[Declaracao_UE],MATCH(INDEX(tbl_recyclass[Familia_PPWR],MATCH(A1209,tbl_recyclass[ProductId],0)),tbl_familias_ppwr[ID_Familia],0))="Sim","Conforme","Lacuna"),G1209)))),G1209))</f>
        <v>Não aplicável</v>
      </c>
      <c r="I1209" s="33" t="str">
        <f t="shared" si="18"/>
        <v>Não aplicável</v>
      </c>
      <c r="J1209" s="26"/>
    </row>
    <row r="1210" spans="1:10" ht="16.05" customHeight="1" x14ac:dyDescent="0.3">
      <c r="A1210" s="26" t="s">
        <v>741</v>
      </c>
      <c r="B1210" s="26" t="s">
        <v>1357</v>
      </c>
      <c r="C1210" s="33" t="str">
        <f>IFERROR(INDEX(tbl_requisitos_emb[Tema],MATCH(B1210,tbl_requisitos_emb[ID_Req],0)),"")</f>
        <v>Identificação de plásticos</v>
      </c>
      <c r="D1210" s="33" t="str">
        <f>IFERROR(INDEX(tbl_recyclass[Segmento],MATCH(A1210,tbl_recyclass[ProductId],0)),"")</f>
        <v>Cosmética e higiene pessoal</v>
      </c>
      <c r="E1210" s="26" t="s">
        <v>901</v>
      </c>
      <c r="F1210" s="26" t="s">
        <v>1449</v>
      </c>
      <c r="G1210" s="26" t="s">
        <v>978</v>
      </c>
      <c r="H1210" s="33" t="str">
        <f>IF(E1210="Não","Não aplicável",IFERROR(IF(B1210="EU-ENV-002",IF(INDEX(tbl_recyclass[Conforme_PPWR_2030],MATCH(A1210,tbl_recyclass[ProductId],0))="Sim","Conforme (autoavaliação)",IF(INDEX(tbl_recyclass[Conforme_PPWR_2030],MATCH(A1210,tbl_recyclass[ProductId],0))="Não","Não conforme em 2030","Isento até 2035")),IF(B1210="EU-ENV-003",IF(INDEX(tbl_recyclass[Conforme_Art7_2030],MATCH(A1210,tbl_recyclass[ProductId],0))="Sim","Conforme (meta 2030)",IF(INDEX(tbl_recyclass[Conforme_Art7_2030],MATCH(A1210,tbl_recyclass[ProductId],0))="Não","Lacuna face à meta 2030","Isento")),IF(B1210="EU-ENV-011",IF(INDEX(tbl_familias_ppwr[Metais_Pesados_Evidencia],MATCH(INDEX(tbl_recyclass[Familia_PPWR],MATCH(A1210,tbl_recyclass[ProductId],0)),tbl_familias_ppwr[ID_Familia],0))="Em falta","Lacuna","Conforme"),IF(B1210="EU-ENV-013",IF(INDEX(tbl_familias_ppwr[Declaracao_UE],MATCH(INDEX(tbl_recyclass[Familia_PPWR],MATCH(A1210,tbl_recyclass[ProductId],0)),tbl_familias_ppwr[ID_Familia],0))="Sim","Conforme","Lacuna"),G1210)))),G1210))</f>
        <v>Parcial</v>
      </c>
      <c r="I1210" s="33" t="str">
        <f t="shared" si="18"/>
        <v>Parcial</v>
      </c>
      <c r="J1210" s="26" t="s">
        <v>1362</v>
      </c>
    </row>
    <row r="1211" spans="1:10" ht="16.05" customHeight="1" x14ac:dyDescent="0.3">
      <c r="A1211" s="26" t="s">
        <v>741</v>
      </c>
      <c r="B1211" s="26" t="s">
        <v>1385</v>
      </c>
      <c r="C1211" s="33" t="str">
        <f>IFERROR(INDEX(tbl_requisitos_emb[Tema],MATCH(B1211,tbl_requisitos_emb[ID_Req],0)),"")</f>
        <v>Reciclabilidade (voluntária)</v>
      </c>
      <c r="D1211" s="33" t="str">
        <f>IFERROR(INDEX(tbl_recyclass[Segmento],MATCH(A1211,tbl_recyclass[ProductId],0)),"")</f>
        <v>Cosmética e higiene pessoal</v>
      </c>
      <c r="E1211" s="26" t="s">
        <v>901</v>
      </c>
      <c r="F1211" s="26" t="s">
        <v>1449</v>
      </c>
      <c r="G1211" s="26" t="s">
        <v>978</v>
      </c>
      <c r="H1211" s="33" t="str">
        <f>IF(E1211="Não","Não aplicável",IFERROR(IF(B1211="EU-ENV-002",IF(INDEX(tbl_recyclass[Conforme_PPWR_2030],MATCH(A1211,tbl_recyclass[ProductId],0))="Sim","Conforme (autoavaliação)",IF(INDEX(tbl_recyclass[Conforme_PPWR_2030],MATCH(A1211,tbl_recyclass[ProductId],0))="Não","Não conforme em 2030","Isento até 2035")),IF(B1211="EU-ENV-003",IF(INDEX(tbl_recyclass[Conforme_Art7_2030],MATCH(A1211,tbl_recyclass[ProductId],0))="Sim","Conforme (meta 2030)",IF(INDEX(tbl_recyclass[Conforme_Art7_2030],MATCH(A1211,tbl_recyclass[ProductId],0))="Não","Lacuna face à meta 2030","Isento")),IF(B1211="EU-ENV-011",IF(INDEX(tbl_familias_ppwr[Metais_Pesados_Evidencia],MATCH(INDEX(tbl_recyclass[Familia_PPWR],MATCH(A1211,tbl_recyclass[ProductId],0)),tbl_familias_ppwr[ID_Familia],0))="Em falta","Lacuna","Conforme"),IF(B1211="EU-ENV-013",IF(INDEX(tbl_familias_ppwr[Declaracao_UE],MATCH(INDEX(tbl_recyclass[Familia_PPWR],MATCH(A1211,tbl_recyclass[ProductId],0)),tbl_familias_ppwr[ID_Familia],0))="Sim","Conforme","Lacuna"),G1211)))),G1211))</f>
        <v>Parcial</v>
      </c>
      <c r="I1211" s="33" t="str">
        <f t="shared" si="18"/>
        <v>Parcial</v>
      </c>
      <c r="J1211" s="26" t="s">
        <v>1389</v>
      </c>
    </row>
    <row r="1212" spans="1:10" ht="16.05" customHeight="1" x14ac:dyDescent="0.3">
      <c r="A1212" s="26" t="s">
        <v>743</v>
      </c>
      <c r="B1212" s="26" t="s">
        <v>984</v>
      </c>
      <c r="C1212" s="33" t="str">
        <f>IFERROR(INDEX(tbl_requisitos_emb[Tema],MATCH(B1212,tbl_requisitos_emb[ID_Req],0)),"")</f>
        <v>Conceção para reciclagem</v>
      </c>
      <c r="D1212" s="33" t="str">
        <f>IFERROR(INDEX(tbl_recyclass[Segmento],MATCH(A1212,tbl_recyclass[ProductId],0)),"")</f>
        <v>Cosmética e higiene pessoal</v>
      </c>
      <c r="E1212" s="26" t="s">
        <v>901</v>
      </c>
      <c r="F1212" s="26" t="s">
        <v>1449</v>
      </c>
      <c r="G1212" s="26" t="s">
        <v>978</v>
      </c>
      <c r="H1212" s="33" t="str">
        <f>IF(E1212="Não","Não aplicável",IFERROR(IF(B1212="EU-ENV-002",IF(INDEX(tbl_recyclass[Conforme_PPWR_2030],MATCH(A1212,tbl_recyclass[ProductId],0))="Sim","Conforme (autoavaliação)",IF(INDEX(tbl_recyclass[Conforme_PPWR_2030],MATCH(A1212,tbl_recyclass[ProductId],0))="Não","Não conforme em 2030","Isento até 2035")),IF(B1212="EU-ENV-003",IF(INDEX(tbl_recyclass[Conforme_Art7_2030],MATCH(A1212,tbl_recyclass[ProductId],0))="Sim","Conforme (meta 2030)",IF(INDEX(tbl_recyclass[Conforme_Art7_2030],MATCH(A1212,tbl_recyclass[ProductId],0))="Não","Lacuna face à meta 2030","Isento")),IF(B1212="EU-ENV-011",IF(INDEX(tbl_familias_ppwr[Metais_Pesados_Evidencia],MATCH(INDEX(tbl_recyclass[Familia_PPWR],MATCH(A1212,tbl_recyclass[ProductId],0)),tbl_familias_ppwr[ID_Familia],0))="Em falta","Lacuna","Conforme"),IF(B1212="EU-ENV-013",IF(INDEX(tbl_familias_ppwr[Declaracao_UE],MATCH(INDEX(tbl_recyclass[Familia_PPWR],MATCH(A1212,tbl_recyclass[ProductId],0)),tbl_familias_ppwr[ID_Familia],0))="Sim","Conforme","Lacuna"),G1212)))),G1212))</f>
        <v>Não conforme em 2030</v>
      </c>
      <c r="I1212" s="33" t="str">
        <f t="shared" si="18"/>
        <v>Não conforme</v>
      </c>
      <c r="J1212" s="26" t="s">
        <v>991</v>
      </c>
    </row>
    <row r="1213" spans="1:10" ht="16.05" customHeight="1" x14ac:dyDescent="0.3">
      <c r="A1213" s="26" t="s">
        <v>743</v>
      </c>
      <c r="B1213" s="26" t="s">
        <v>997</v>
      </c>
      <c r="C1213" s="33" t="str">
        <f>IFERROR(INDEX(tbl_requisitos_emb[Tema],MATCH(B1213,tbl_requisitos_emb[ID_Req],0)),"")</f>
        <v>Conteúdo reciclado</v>
      </c>
      <c r="D1213" s="33" t="str">
        <f>IFERROR(INDEX(tbl_recyclass[Segmento],MATCH(A1213,tbl_recyclass[ProductId],0)),"")</f>
        <v>Cosmética e higiene pessoal</v>
      </c>
      <c r="E1213" s="26" t="s">
        <v>901</v>
      </c>
      <c r="F1213" s="26" t="s">
        <v>1449</v>
      </c>
      <c r="G1213" s="26" t="s">
        <v>978</v>
      </c>
      <c r="H1213" s="33" t="str">
        <f>IF(E1213="Não","Não aplicável",IFERROR(IF(B1213="EU-ENV-002",IF(INDEX(tbl_recyclass[Conforme_PPWR_2030],MATCH(A1213,tbl_recyclass[ProductId],0))="Sim","Conforme (autoavaliação)",IF(INDEX(tbl_recyclass[Conforme_PPWR_2030],MATCH(A1213,tbl_recyclass[ProductId],0))="Não","Não conforme em 2030","Isento até 2035")),IF(B1213="EU-ENV-003",IF(INDEX(tbl_recyclass[Conforme_Art7_2030],MATCH(A1213,tbl_recyclass[ProductId],0))="Sim","Conforme (meta 2030)",IF(INDEX(tbl_recyclass[Conforme_Art7_2030],MATCH(A1213,tbl_recyclass[ProductId],0))="Não","Lacuna face à meta 2030","Isento")),IF(B1213="EU-ENV-011",IF(INDEX(tbl_familias_ppwr[Metais_Pesados_Evidencia],MATCH(INDEX(tbl_recyclass[Familia_PPWR],MATCH(A1213,tbl_recyclass[ProductId],0)),tbl_familias_ppwr[ID_Familia],0))="Em falta","Lacuna","Conforme"),IF(B1213="EU-ENV-013",IF(INDEX(tbl_familias_ppwr[Declaracao_UE],MATCH(INDEX(tbl_recyclass[Familia_PPWR],MATCH(A1213,tbl_recyclass[ProductId],0)),tbl_familias_ppwr[ID_Familia],0))="Sim","Conforme","Lacuna"),G1213)))),G1213))</f>
        <v>Lacuna face à meta 2030</v>
      </c>
      <c r="I1213" s="33" t="str">
        <f t="shared" si="18"/>
        <v>Lacuna</v>
      </c>
      <c r="J1213" s="26" t="s">
        <v>1001</v>
      </c>
    </row>
    <row r="1214" spans="1:10" ht="16.05" customHeight="1" x14ac:dyDescent="0.3">
      <c r="A1214" s="26" t="s">
        <v>743</v>
      </c>
      <c r="B1214" s="26" t="s">
        <v>1007</v>
      </c>
      <c r="C1214" s="33" t="str">
        <f>IFERROR(INDEX(tbl_requisitos_emb[Tema],MATCH(B1214,tbl_requisitos_emb[ID_Req],0)),"")</f>
        <v>Minimização</v>
      </c>
      <c r="D1214" s="33" t="str">
        <f>IFERROR(INDEX(tbl_recyclass[Segmento],MATCH(A1214,tbl_recyclass[ProductId],0)),"")</f>
        <v>Cosmética e higiene pessoal</v>
      </c>
      <c r="E1214" s="26" t="s">
        <v>901</v>
      </c>
      <c r="F1214" s="26" t="s">
        <v>1449</v>
      </c>
      <c r="G1214" s="26" t="s">
        <v>978</v>
      </c>
      <c r="H1214" s="33" t="str">
        <f>IF(E1214="Não","Não aplicável",IFERROR(IF(B1214="EU-ENV-002",IF(INDEX(tbl_recyclass[Conforme_PPWR_2030],MATCH(A1214,tbl_recyclass[ProductId],0))="Sim","Conforme (autoavaliação)",IF(INDEX(tbl_recyclass[Conforme_PPWR_2030],MATCH(A1214,tbl_recyclass[ProductId],0))="Não","Não conforme em 2030","Isento até 2035")),IF(B1214="EU-ENV-003",IF(INDEX(tbl_recyclass[Conforme_Art7_2030],MATCH(A1214,tbl_recyclass[ProductId],0))="Sim","Conforme (meta 2030)",IF(INDEX(tbl_recyclass[Conforme_Art7_2030],MATCH(A1214,tbl_recyclass[ProductId],0))="Não","Lacuna face à meta 2030","Isento")),IF(B1214="EU-ENV-011",IF(INDEX(tbl_familias_ppwr[Metais_Pesados_Evidencia],MATCH(INDEX(tbl_recyclass[Familia_PPWR],MATCH(A1214,tbl_recyclass[ProductId],0)),tbl_familias_ppwr[ID_Familia],0))="Em falta","Lacuna","Conforme"),IF(B1214="EU-ENV-013",IF(INDEX(tbl_familias_ppwr[Declaracao_UE],MATCH(INDEX(tbl_recyclass[Familia_PPWR],MATCH(A1214,tbl_recyclass[ProductId],0)),tbl_familias_ppwr[ID_Familia],0))="Sim","Conforme","Lacuna"),G1214)))),G1214))</f>
        <v>Parcial</v>
      </c>
      <c r="I1214" s="33" t="str">
        <f t="shared" si="18"/>
        <v>Parcial</v>
      </c>
      <c r="J1214" s="26" t="s">
        <v>1012</v>
      </c>
    </row>
    <row r="1215" spans="1:10" ht="16.05" customHeight="1" x14ac:dyDescent="0.3">
      <c r="A1215" s="26" t="s">
        <v>743</v>
      </c>
      <c r="B1215" s="26" t="s">
        <v>1016</v>
      </c>
      <c r="C1215" s="33" t="str">
        <f>IFERROR(INDEX(tbl_requisitos_emb[Tema],MATCH(B1215,tbl_requisitos_emb[ID_Req],0)),"")</f>
        <v>Rotulagem</v>
      </c>
      <c r="D1215" s="33" t="str">
        <f>IFERROR(INDEX(tbl_recyclass[Segmento],MATCH(A1215,tbl_recyclass[ProductId],0)),"")</f>
        <v>Cosmética e higiene pessoal</v>
      </c>
      <c r="E1215" s="26" t="s">
        <v>901</v>
      </c>
      <c r="F1215" s="26" t="s">
        <v>1449</v>
      </c>
      <c r="G1215" s="26" t="s">
        <v>990</v>
      </c>
      <c r="H1215" s="33" t="str">
        <f>IF(E1215="Não","Não aplicável",IFERROR(IF(B1215="EU-ENV-002",IF(INDEX(tbl_recyclass[Conforme_PPWR_2030],MATCH(A1215,tbl_recyclass[ProductId],0))="Sim","Conforme (autoavaliação)",IF(INDEX(tbl_recyclass[Conforme_PPWR_2030],MATCH(A1215,tbl_recyclass[ProductId],0))="Não","Não conforme em 2030","Isento até 2035")),IF(B1215="EU-ENV-003",IF(INDEX(tbl_recyclass[Conforme_Art7_2030],MATCH(A1215,tbl_recyclass[ProductId],0))="Sim","Conforme (meta 2030)",IF(INDEX(tbl_recyclass[Conforme_Art7_2030],MATCH(A1215,tbl_recyclass[ProductId],0))="Não","Lacuna face à meta 2030","Isento")),IF(B1215="EU-ENV-011",IF(INDEX(tbl_familias_ppwr[Metais_Pesados_Evidencia],MATCH(INDEX(tbl_recyclass[Familia_PPWR],MATCH(A1215,tbl_recyclass[ProductId],0)),tbl_familias_ppwr[ID_Familia],0))="Em falta","Lacuna","Conforme"),IF(B1215="EU-ENV-013",IF(INDEX(tbl_familias_ppwr[Declaracao_UE],MATCH(INDEX(tbl_recyclass[Familia_PPWR],MATCH(A1215,tbl_recyclass[ProductId],0)),tbl_familias_ppwr[ID_Familia],0))="Sim","Conforme","Lacuna"),G1215)))),G1215))</f>
        <v>Futuro</v>
      </c>
      <c r="I1215" s="33" t="str">
        <f t="shared" si="18"/>
        <v>Futuro</v>
      </c>
      <c r="J1215" s="26" t="s">
        <v>1021</v>
      </c>
    </row>
    <row r="1216" spans="1:10" ht="16.05" customHeight="1" x14ac:dyDescent="0.3">
      <c r="A1216" s="26" t="s">
        <v>743</v>
      </c>
      <c r="B1216" s="26" t="s">
        <v>1038</v>
      </c>
      <c r="C1216" s="33" t="str">
        <f>IFERROR(INDEX(tbl_requisitos_emb[Tema],MATCH(B1216,tbl_requisitos_emb[ID_Req],0)),"")</f>
        <v>Plásticos de utilização única</v>
      </c>
      <c r="D1216" s="33" t="str">
        <f>IFERROR(INDEX(tbl_recyclass[Segmento],MATCH(A1216,tbl_recyclass[ProductId],0)),"")</f>
        <v>Cosmética e higiene pessoal</v>
      </c>
      <c r="E1216" s="26" t="s">
        <v>904</v>
      </c>
      <c r="F1216" s="26" t="s">
        <v>1450</v>
      </c>
      <c r="G1216" s="26" t="s">
        <v>1143</v>
      </c>
      <c r="H1216" s="33" t="str">
        <f>IF(E1216="Não","Não aplicável",IFERROR(IF(B1216="EU-ENV-002",IF(INDEX(tbl_recyclass[Conforme_PPWR_2030],MATCH(A1216,tbl_recyclass[ProductId],0))="Sim","Conforme (autoavaliação)",IF(INDEX(tbl_recyclass[Conforme_PPWR_2030],MATCH(A1216,tbl_recyclass[ProductId],0))="Não","Não conforme em 2030","Isento até 2035")),IF(B1216="EU-ENV-003",IF(INDEX(tbl_recyclass[Conforme_Art7_2030],MATCH(A1216,tbl_recyclass[ProductId],0))="Sim","Conforme (meta 2030)",IF(INDEX(tbl_recyclass[Conforme_Art7_2030],MATCH(A1216,tbl_recyclass[ProductId],0))="Não","Lacuna face à meta 2030","Isento")),IF(B1216="EU-ENV-011",IF(INDEX(tbl_familias_ppwr[Metais_Pesados_Evidencia],MATCH(INDEX(tbl_recyclass[Familia_PPWR],MATCH(A1216,tbl_recyclass[ProductId],0)),tbl_familias_ppwr[ID_Familia],0))="Em falta","Lacuna","Conforme"),IF(B1216="EU-ENV-013",IF(INDEX(tbl_familias_ppwr[Declaracao_UE],MATCH(INDEX(tbl_recyclass[Familia_PPWR],MATCH(A1216,tbl_recyclass[ProductId],0)),tbl_familias_ppwr[ID_Familia],0))="Sim","Conforme","Lacuna"),G1216)))),G1216))</f>
        <v>Não aplicável</v>
      </c>
      <c r="I1216" s="33" t="str">
        <f t="shared" si="18"/>
        <v>Não aplicável</v>
      </c>
      <c r="J1216" s="26"/>
    </row>
    <row r="1217" spans="1:10" ht="16.05" customHeight="1" x14ac:dyDescent="0.3">
      <c r="A1217" s="26" t="s">
        <v>743</v>
      </c>
      <c r="B1217" s="26" t="s">
        <v>1078</v>
      </c>
      <c r="C1217" s="33" t="str">
        <f>IFERROR(INDEX(tbl_requisitos_emb[Tema],MATCH(B1217,tbl_requisitos_emb[ID_Req],0)),"")</f>
        <v>Reciclado à escala</v>
      </c>
      <c r="D1217" s="33" t="str">
        <f>IFERROR(INDEX(tbl_recyclass[Segmento],MATCH(A1217,tbl_recyclass[ProductId],0)),"")</f>
        <v>Cosmética e higiene pessoal</v>
      </c>
      <c r="E1217" s="26" t="s">
        <v>901</v>
      </c>
      <c r="F1217" s="26" t="s">
        <v>1449</v>
      </c>
      <c r="G1217" s="26" t="s">
        <v>990</v>
      </c>
      <c r="H1217" s="33" t="str">
        <f>IF(E1217="Não","Não aplicável",IFERROR(IF(B1217="EU-ENV-002",IF(INDEX(tbl_recyclass[Conforme_PPWR_2030],MATCH(A1217,tbl_recyclass[ProductId],0))="Sim","Conforme (autoavaliação)",IF(INDEX(tbl_recyclass[Conforme_PPWR_2030],MATCH(A1217,tbl_recyclass[ProductId],0))="Não","Não conforme em 2030","Isento até 2035")),IF(B1217="EU-ENV-003",IF(INDEX(tbl_recyclass[Conforme_Art7_2030],MATCH(A1217,tbl_recyclass[ProductId],0))="Sim","Conforme (meta 2030)",IF(INDEX(tbl_recyclass[Conforme_Art7_2030],MATCH(A1217,tbl_recyclass[ProductId],0))="Não","Lacuna face à meta 2030","Isento")),IF(B1217="EU-ENV-011",IF(INDEX(tbl_familias_ppwr[Metais_Pesados_Evidencia],MATCH(INDEX(tbl_recyclass[Familia_PPWR],MATCH(A1217,tbl_recyclass[ProductId],0)),tbl_familias_ppwr[ID_Familia],0))="Em falta","Lacuna","Conforme"),IF(B1217="EU-ENV-013",IF(INDEX(tbl_familias_ppwr[Declaracao_UE],MATCH(INDEX(tbl_recyclass[Familia_PPWR],MATCH(A1217,tbl_recyclass[ProductId],0)),tbl_familias_ppwr[ID_Familia],0))="Sim","Conforme","Lacuna"),G1217)))),G1217))</f>
        <v>Futuro</v>
      </c>
      <c r="I1217" s="33" t="str">
        <f t="shared" si="18"/>
        <v>Futuro</v>
      </c>
      <c r="J1217" s="26" t="s">
        <v>1082</v>
      </c>
    </row>
    <row r="1218" spans="1:10" ht="16.05" customHeight="1" x14ac:dyDescent="0.3">
      <c r="A1218" s="26" t="s">
        <v>743</v>
      </c>
      <c r="B1218" s="26" t="s">
        <v>1086</v>
      </c>
      <c r="C1218" s="33" t="str">
        <f>IFERROR(INDEX(tbl_requisitos_emb[Tema],MATCH(B1218,tbl_requisitos_emb[ID_Req],0)),"")</f>
        <v>Metais pesados</v>
      </c>
      <c r="D1218" s="33" t="str">
        <f>IFERROR(INDEX(tbl_recyclass[Segmento],MATCH(A1218,tbl_recyclass[ProductId],0)),"")</f>
        <v>Cosmética e higiene pessoal</v>
      </c>
      <c r="E1218" s="26" t="s">
        <v>901</v>
      </c>
      <c r="F1218" s="26" t="s">
        <v>1449</v>
      </c>
      <c r="G1218" s="26" t="s">
        <v>978</v>
      </c>
      <c r="H1218" s="33" t="str">
        <f>IF(E1218="Não","Não aplicável",IFERROR(IF(B1218="EU-ENV-002",IF(INDEX(tbl_recyclass[Conforme_PPWR_2030],MATCH(A1218,tbl_recyclass[ProductId],0))="Sim","Conforme (autoavaliação)",IF(INDEX(tbl_recyclass[Conforme_PPWR_2030],MATCH(A1218,tbl_recyclass[ProductId],0))="Não","Não conforme em 2030","Isento até 2035")),IF(B1218="EU-ENV-003",IF(INDEX(tbl_recyclass[Conforme_Art7_2030],MATCH(A1218,tbl_recyclass[ProductId],0))="Sim","Conforme (meta 2030)",IF(INDEX(tbl_recyclass[Conforme_Art7_2030],MATCH(A1218,tbl_recyclass[ProductId],0))="Não","Lacuna face à meta 2030","Isento")),IF(B1218="EU-ENV-011",IF(INDEX(tbl_familias_ppwr[Metais_Pesados_Evidencia],MATCH(INDEX(tbl_recyclass[Familia_PPWR],MATCH(A1218,tbl_recyclass[ProductId],0)),tbl_familias_ppwr[ID_Familia],0))="Em falta","Lacuna","Conforme"),IF(B1218="EU-ENV-013",IF(INDEX(tbl_familias_ppwr[Declaracao_UE],MATCH(INDEX(tbl_recyclass[Familia_PPWR],MATCH(A1218,tbl_recyclass[ProductId],0)),tbl_familias_ppwr[ID_Familia],0))="Sim","Conforme","Lacuna"),G1218)))),G1218))</f>
        <v>Lacuna</v>
      </c>
      <c r="I1218" s="33" t="str">
        <f t="shared" ref="I1218:I1281" si="19">IF(ISNUMBER(SEARCH("Não aplicável",H1218)),"Não aplicável",IF(ISNUMBER(SEARCH("Isento",H1218)),"Isento",IF(ISNUMBER(SEARCH("Não conforme",H1218)),"Não conforme",IF(ISNUMBER(SEARCH("Lacuna",H1218)),"Lacuna",IF(ISNUMBER(SEARCH("Conforme",H1218)),"Conforme",H1218)))))</f>
        <v>Lacuna</v>
      </c>
      <c r="J1218" s="26" t="s">
        <v>1090</v>
      </c>
    </row>
    <row r="1219" spans="1:10" ht="16.05" customHeight="1" x14ac:dyDescent="0.3">
      <c r="A1219" s="26" t="s">
        <v>743</v>
      </c>
      <c r="B1219" s="26" t="s">
        <v>1094</v>
      </c>
      <c r="C1219" s="33" t="str">
        <f>IFERROR(INDEX(tbl_requisitos_emb[Tema],MATCH(B1219,tbl_requisitos_emb[ID_Req],0)),"")</f>
        <v>PFAS</v>
      </c>
      <c r="D1219" s="33" t="str">
        <f>IFERROR(INDEX(tbl_recyclass[Segmento],MATCH(A1219,tbl_recyclass[ProductId],0)),"")</f>
        <v>Cosmética e higiene pessoal</v>
      </c>
      <c r="E1219" s="26" t="s">
        <v>904</v>
      </c>
      <c r="F1219" s="26" t="s">
        <v>1450</v>
      </c>
      <c r="G1219" s="26" t="s">
        <v>1143</v>
      </c>
      <c r="H1219" s="33" t="str">
        <f>IF(E1219="Não","Não aplicável",IFERROR(IF(B1219="EU-ENV-002",IF(INDEX(tbl_recyclass[Conforme_PPWR_2030],MATCH(A1219,tbl_recyclass[ProductId],0))="Sim","Conforme (autoavaliação)",IF(INDEX(tbl_recyclass[Conforme_PPWR_2030],MATCH(A1219,tbl_recyclass[ProductId],0))="Não","Não conforme em 2030","Isento até 2035")),IF(B1219="EU-ENV-003",IF(INDEX(tbl_recyclass[Conforme_Art7_2030],MATCH(A1219,tbl_recyclass[ProductId],0))="Sim","Conforme (meta 2030)",IF(INDEX(tbl_recyclass[Conforme_Art7_2030],MATCH(A1219,tbl_recyclass[ProductId],0))="Não","Lacuna face à meta 2030","Isento")),IF(B1219="EU-ENV-011",IF(INDEX(tbl_familias_ppwr[Metais_Pesados_Evidencia],MATCH(INDEX(tbl_recyclass[Familia_PPWR],MATCH(A1219,tbl_recyclass[ProductId],0)),tbl_familias_ppwr[ID_Familia],0))="Em falta","Lacuna","Conforme"),IF(B1219="EU-ENV-013",IF(INDEX(tbl_familias_ppwr[Declaracao_UE],MATCH(INDEX(tbl_recyclass[Familia_PPWR],MATCH(A1219,tbl_recyclass[ProductId],0)),tbl_familias_ppwr[ID_Familia],0))="Sim","Conforme","Lacuna"),G1219)))),G1219))</f>
        <v>Não aplicável</v>
      </c>
      <c r="I1219" s="33" t="str">
        <f t="shared" si="19"/>
        <v>Não aplicável</v>
      </c>
      <c r="J1219" s="26"/>
    </row>
    <row r="1220" spans="1:10" ht="16.05" customHeight="1" x14ac:dyDescent="0.3">
      <c r="A1220" s="26" t="s">
        <v>743</v>
      </c>
      <c r="B1220" s="26" t="s">
        <v>1102</v>
      </c>
      <c r="C1220" s="33" t="str">
        <f>IFERROR(INDEX(tbl_requisitos_emb[Tema],MATCH(B1220,tbl_requisitos_emb[ID_Req],0)),"")</f>
        <v>Documentação técnica e declaração UE</v>
      </c>
      <c r="D1220" s="33" t="str">
        <f>IFERROR(INDEX(tbl_recyclass[Segmento],MATCH(A1220,tbl_recyclass[ProductId],0)),"")</f>
        <v>Cosmética e higiene pessoal</v>
      </c>
      <c r="E1220" s="26" t="s">
        <v>901</v>
      </c>
      <c r="F1220" s="26" t="s">
        <v>1449</v>
      </c>
      <c r="G1220" s="26" t="s">
        <v>978</v>
      </c>
      <c r="H1220" s="33" t="str">
        <f>IF(E1220="Não","Não aplicável",IFERROR(IF(B1220="EU-ENV-002",IF(INDEX(tbl_recyclass[Conforme_PPWR_2030],MATCH(A1220,tbl_recyclass[ProductId],0))="Sim","Conforme (autoavaliação)",IF(INDEX(tbl_recyclass[Conforme_PPWR_2030],MATCH(A1220,tbl_recyclass[ProductId],0))="Não","Não conforme em 2030","Isento até 2035")),IF(B1220="EU-ENV-003",IF(INDEX(tbl_recyclass[Conforme_Art7_2030],MATCH(A1220,tbl_recyclass[ProductId],0))="Sim","Conforme (meta 2030)",IF(INDEX(tbl_recyclass[Conforme_Art7_2030],MATCH(A1220,tbl_recyclass[ProductId],0))="Não","Lacuna face à meta 2030","Isento")),IF(B1220="EU-ENV-011",IF(INDEX(tbl_familias_ppwr[Metais_Pesados_Evidencia],MATCH(INDEX(tbl_recyclass[Familia_PPWR],MATCH(A1220,tbl_recyclass[ProductId],0)),tbl_familias_ppwr[ID_Familia],0))="Em falta","Lacuna","Conforme"),IF(B1220="EU-ENV-013",IF(INDEX(tbl_familias_ppwr[Declaracao_UE],MATCH(INDEX(tbl_recyclass[Familia_PPWR],MATCH(A1220,tbl_recyclass[ProductId],0)),tbl_familias_ppwr[ID_Familia],0))="Sim","Conforme","Lacuna"),G1220)))),G1220))</f>
        <v>Lacuna</v>
      </c>
      <c r="I1220" s="33" t="str">
        <f t="shared" si="19"/>
        <v>Lacuna</v>
      </c>
      <c r="J1220" s="26" t="s">
        <v>1106</v>
      </c>
    </row>
    <row r="1221" spans="1:10" ht="16.05" customHeight="1" x14ac:dyDescent="0.3">
      <c r="A1221" s="26" t="s">
        <v>743</v>
      </c>
      <c r="B1221" s="26" t="s">
        <v>1161</v>
      </c>
      <c r="C1221" s="33" t="str">
        <f>IFERROR(INDEX(tbl_requisitos_emb[Tema],MATCH(B1221,tbl_requisitos_emb[ID_Req],0)),"")</f>
        <v>Materiais em contacto com alimentos</v>
      </c>
      <c r="D1221" s="33" t="str">
        <f>IFERROR(INDEX(tbl_recyclass[Segmento],MATCH(A1221,tbl_recyclass[ProductId],0)),"")</f>
        <v>Cosmética e higiene pessoal</v>
      </c>
      <c r="E1221" s="26" t="s">
        <v>904</v>
      </c>
      <c r="F1221" s="26" t="s">
        <v>1450</v>
      </c>
      <c r="G1221" s="26" t="s">
        <v>1143</v>
      </c>
      <c r="H1221" s="33" t="str">
        <f>IF(E1221="Não","Não aplicável",IFERROR(IF(B1221="EU-ENV-002",IF(INDEX(tbl_recyclass[Conforme_PPWR_2030],MATCH(A1221,tbl_recyclass[ProductId],0))="Sim","Conforme (autoavaliação)",IF(INDEX(tbl_recyclass[Conforme_PPWR_2030],MATCH(A1221,tbl_recyclass[ProductId],0))="Não","Não conforme em 2030","Isento até 2035")),IF(B1221="EU-ENV-003",IF(INDEX(tbl_recyclass[Conforme_Art7_2030],MATCH(A1221,tbl_recyclass[ProductId],0))="Sim","Conforme (meta 2030)",IF(INDEX(tbl_recyclass[Conforme_Art7_2030],MATCH(A1221,tbl_recyclass[ProductId],0))="Não","Lacuna face à meta 2030","Isento")),IF(B1221="EU-ENV-011",IF(INDEX(tbl_familias_ppwr[Metais_Pesados_Evidencia],MATCH(INDEX(tbl_recyclass[Familia_PPWR],MATCH(A1221,tbl_recyclass[ProductId],0)),tbl_familias_ppwr[ID_Familia],0))="Em falta","Lacuna","Conforme"),IF(B1221="EU-ENV-013",IF(INDEX(tbl_familias_ppwr[Declaracao_UE],MATCH(INDEX(tbl_recyclass[Familia_PPWR],MATCH(A1221,tbl_recyclass[ProductId],0)),tbl_familias_ppwr[ID_Familia],0))="Sim","Conforme","Lacuna"),G1221)))),G1221))</f>
        <v>Não aplicável</v>
      </c>
      <c r="I1221" s="33" t="str">
        <f t="shared" si="19"/>
        <v>Não aplicável</v>
      </c>
      <c r="J1221" s="26"/>
    </row>
    <row r="1222" spans="1:10" ht="16.05" customHeight="1" x14ac:dyDescent="0.3">
      <c r="A1222" s="26" t="s">
        <v>743</v>
      </c>
      <c r="B1222" s="26" t="s">
        <v>1170</v>
      </c>
      <c r="C1222" s="33" t="str">
        <f>IFERROR(INDEX(tbl_requisitos_emb[Tema],MATCH(B1222,tbl_requisitos_emb[ID_Req],0)),"")</f>
        <v>Boas práticas de fabrico FCM</v>
      </c>
      <c r="D1222" s="33" t="str">
        <f>IFERROR(INDEX(tbl_recyclass[Segmento],MATCH(A1222,tbl_recyclass[ProductId],0)),"")</f>
        <v>Cosmética e higiene pessoal</v>
      </c>
      <c r="E1222" s="26" t="s">
        <v>904</v>
      </c>
      <c r="F1222" s="26" t="s">
        <v>1450</v>
      </c>
      <c r="G1222" s="26" t="s">
        <v>1143</v>
      </c>
      <c r="H1222" s="33" t="str">
        <f>IF(E1222="Não","Não aplicável",IFERROR(IF(B1222="EU-ENV-002",IF(INDEX(tbl_recyclass[Conforme_PPWR_2030],MATCH(A1222,tbl_recyclass[ProductId],0))="Sim","Conforme (autoavaliação)",IF(INDEX(tbl_recyclass[Conforme_PPWR_2030],MATCH(A1222,tbl_recyclass[ProductId],0))="Não","Não conforme em 2030","Isento até 2035")),IF(B1222="EU-ENV-003",IF(INDEX(tbl_recyclass[Conforme_Art7_2030],MATCH(A1222,tbl_recyclass[ProductId],0))="Sim","Conforme (meta 2030)",IF(INDEX(tbl_recyclass[Conforme_Art7_2030],MATCH(A1222,tbl_recyclass[ProductId],0))="Não","Lacuna face à meta 2030","Isento")),IF(B1222="EU-ENV-011",IF(INDEX(tbl_familias_ppwr[Metais_Pesados_Evidencia],MATCH(INDEX(tbl_recyclass[Familia_PPWR],MATCH(A1222,tbl_recyclass[ProductId],0)),tbl_familias_ppwr[ID_Familia],0))="Em falta","Lacuna","Conforme"),IF(B1222="EU-ENV-013",IF(INDEX(tbl_familias_ppwr[Declaracao_UE],MATCH(INDEX(tbl_recyclass[Familia_PPWR],MATCH(A1222,tbl_recyclass[ProductId],0)),tbl_familias_ppwr[ID_Familia],0))="Sim","Conforme","Lacuna"),G1222)))),G1222))</f>
        <v>Não aplicável</v>
      </c>
      <c r="I1222" s="33" t="str">
        <f t="shared" si="19"/>
        <v>Não aplicável</v>
      </c>
      <c r="J1222" s="26"/>
    </row>
    <row r="1223" spans="1:10" ht="16.05" customHeight="1" x14ac:dyDescent="0.3">
      <c r="A1223" s="26" t="s">
        <v>743</v>
      </c>
      <c r="B1223" s="26" t="s">
        <v>1179</v>
      </c>
      <c r="C1223" s="33" t="str">
        <f>IFERROR(INDEX(tbl_requisitos_emb[Tema],MATCH(B1223,tbl_requisitos_emb[ID_Req],0)),"")</f>
        <v>Bisfenol A e bisfenóis perigosos</v>
      </c>
      <c r="D1223" s="33" t="str">
        <f>IFERROR(INDEX(tbl_recyclass[Segmento],MATCH(A1223,tbl_recyclass[ProductId],0)),"")</f>
        <v>Cosmética e higiene pessoal</v>
      </c>
      <c r="E1223" s="26" t="s">
        <v>904</v>
      </c>
      <c r="F1223" s="26" t="s">
        <v>1450</v>
      </c>
      <c r="G1223" s="26" t="s">
        <v>1143</v>
      </c>
      <c r="H1223" s="33" t="str">
        <f>IF(E1223="Não","Não aplicável",IFERROR(IF(B1223="EU-ENV-002",IF(INDEX(tbl_recyclass[Conforme_PPWR_2030],MATCH(A1223,tbl_recyclass[ProductId],0))="Sim","Conforme (autoavaliação)",IF(INDEX(tbl_recyclass[Conforme_PPWR_2030],MATCH(A1223,tbl_recyclass[ProductId],0))="Não","Não conforme em 2030","Isento até 2035")),IF(B1223="EU-ENV-003",IF(INDEX(tbl_recyclass[Conforme_Art7_2030],MATCH(A1223,tbl_recyclass[ProductId],0))="Sim","Conforme (meta 2030)",IF(INDEX(tbl_recyclass[Conforme_Art7_2030],MATCH(A1223,tbl_recyclass[ProductId],0))="Não","Lacuna face à meta 2030","Isento")),IF(B1223="EU-ENV-011",IF(INDEX(tbl_familias_ppwr[Metais_Pesados_Evidencia],MATCH(INDEX(tbl_recyclass[Familia_PPWR],MATCH(A1223,tbl_recyclass[ProductId],0)),tbl_familias_ppwr[ID_Familia],0))="Em falta","Lacuna","Conforme"),IF(B1223="EU-ENV-013",IF(INDEX(tbl_familias_ppwr[Declaracao_UE],MATCH(INDEX(tbl_recyclass[Familia_PPWR],MATCH(A1223,tbl_recyclass[ProductId],0)),tbl_familias_ppwr[ID_Familia],0))="Sim","Conforme","Lacuna"),G1223)))),G1223))</f>
        <v>Não aplicável</v>
      </c>
      <c r="I1223" s="33" t="str">
        <f t="shared" si="19"/>
        <v>Não aplicável</v>
      </c>
      <c r="J1223" s="26"/>
    </row>
    <row r="1224" spans="1:10" ht="16.05" customHeight="1" x14ac:dyDescent="0.3">
      <c r="A1224" s="26" t="s">
        <v>743</v>
      </c>
      <c r="B1224" s="26" t="s">
        <v>1188</v>
      </c>
      <c r="C1224" s="33" t="str">
        <f>IFERROR(INDEX(tbl_requisitos_emb[Tema],MATCH(B1224,tbl_requisitos_emb[ID_Req],0)),"")</f>
        <v>Plásticos em contacto com alimentos</v>
      </c>
      <c r="D1224" s="33" t="str">
        <f>IFERROR(INDEX(tbl_recyclass[Segmento],MATCH(A1224,tbl_recyclass[ProductId],0)),"")</f>
        <v>Cosmética e higiene pessoal</v>
      </c>
      <c r="E1224" s="26" t="s">
        <v>904</v>
      </c>
      <c r="F1224" s="26" t="s">
        <v>1450</v>
      </c>
      <c r="G1224" s="26" t="s">
        <v>1143</v>
      </c>
      <c r="H1224" s="33" t="str">
        <f>IF(E1224="Não","Não aplicável",IFERROR(IF(B1224="EU-ENV-002",IF(INDEX(tbl_recyclass[Conforme_PPWR_2030],MATCH(A1224,tbl_recyclass[ProductId],0))="Sim","Conforme (autoavaliação)",IF(INDEX(tbl_recyclass[Conforme_PPWR_2030],MATCH(A1224,tbl_recyclass[ProductId],0))="Não","Não conforme em 2030","Isento até 2035")),IF(B1224="EU-ENV-003",IF(INDEX(tbl_recyclass[Conforme_Art7_2030],MATCH(A1224,tbl_recyclass[ProductId],0))="Sim","Conforme (meta 2030)",IF(INDEX(tbl_recyclass[Conforme_Art7_2030],MATCH(A1224,tbl_recyclass[ProductId],0))="Não","Lacuna face à meta 2030","Isento")),IF(B1224="EU-ENV-011",IF(INDEX(tbl_familias_ppwr[Metais_Pesados_Evidencia],MATCH(INDEX(tbl_recyclass[Familia_PPWR],MATCH(A1224,tbl_recyclass[ProductId],0)),tbl_familias_ppwr[ID_Familia],0))="Em falta","Lacuna","Conforme"),IF(B1224="EU-ENV-013",IF(INDEX(tbl_familias_ppwr[Declaracao_UE],MATCH(INDEX(tbl_recyclass[Familia_PPWR],MATCH(A1224,tbl_recyclass[ProductId],0)),tbl_familias_ppwr[ID_Familia],0))="Sim","Conforme","Lacuna"),G1224)))),G1224))</f>
        <v>Não aplicável</v>
      </c>
      <c r="I1224" s="33" t="str">
        <f t="shared" si="19"/>
        <v>Não aplicável</v>
      </c>
      <c r="J1224" s="26"/>
    </row>
    <row r="1225" spans="1:10" ht="16.05" customHeight="1" x14ac:dyDescent="0.3">
      <c r="A1225" s="26" t="s">
        <v>743</v>
      </c>
      <c r="B1225" s="26" t="s">
        <v>1212</v>
      </c>
      <c r="C1225" s="33" t="str">
        <f>IFERROR(INDEX(tbl_requisitos_emb[Tema],MATCH(B1225,tbl_requisitos_emb[ID_Req],0)),"")</f>
        <v>Segurança do produto cosmético</v>
      </c>
      <c r="D1225" s="33" t="str">
        <f>IFERROR(INDEX(tbl_recyclass[Segmento],MATCH(A1225,tbl_recyclass[ProductId],0)),"")</f>
        <v>Cosmética e higiene pessoal</v>
      </c>
      <c r="E1225" s="26" t="s">
        <v>901</v>
      </c>
      <c r="F1225" s="26" t="s">
        <v>1449</v>
      </c>
      <c r="G1225" s="26" t="s">
        <v>1033</v>
      </c>
      <c r="H1225" s="33" t="str">
        <f>IF(E1225="Não","Não aplicável",IFERROR(IF(B1225="EU-ENV-002",IF(INDEX(tbl_recyclass[Conforme_PPWR_2030],MATCH(A1225,tbl_recyclass[ProductId],0))="Sim","Conforme (autoavaliação)",IF(INDEX(tbl_recyclass[Conforme_PPWR_2030],MATCH(A1225,tbl_recyclass[ProductId],0))="Não","Não conforme em 2030","Isento até 2035")),IF(B1225="EU-ENV-003",IF(INDEX(tbl_recyclass[Conforme_Art7_2030],MATCH(A1225,tbl_recyclass[ProductId],0))="Sim","Conforme (meta 2030)",IF(INDEX(tbl_recyclass[Conforme_Art7_2030],MATCH(A1225,tbl_recyclass[ProductId],0))="Não","Lacuna face à meta 2030","Isento")),IF(B1225="EU-ENV-011",IF(INDEX(tbl_familias_ppwr[Metais_Pesados_Evidencia],MATCH(INDEX(tbl_recyclass[Familia_PPWR],MATCH(A1225,tbl_recyclass[ProductId],0)),tbl_familias_ppwr[ID_Familia],0))="Em falta","Lacuna","Conforme"),IF(B1225="EU-ENV-013",IF(INDEX(tbl_familias_ppwr[Declaracao_UE],MATCH(INDEX(tbl_recyclass[Familia_PPWR],MATCH(A1225,tbl_recyclass[ProductId],0)),tbl_familias_ppwr[ID_Familia],0))="Sim","Conforme","Lacuna"),G1225)))),G1225))</f>
        <v>Conforme</v>
      </c>
      <c r="I1225" s="33" t="str">
        <f t="shared" si="19"/>
        <v>Conforme</v>
      </c>
      <c r="J1225" s="26" t="s">
        <v>1221</v>
      </c>
    </row>
    <row r="1226" spans="1:10" ht="16.05" customHeight="1" x14ac:dyDescent="0.3">
      <c r="A1226" s="26" t="s">
        <v>743</v>
      </c>
      <c r="B1226" s="26" t="s">
        <v>1224</v>
      </c>
      <c r="C1226" s="33" t="str">
        <f>IFERROR(INDEX(tbl_requisitos_emb[Tema],MATCH(B1226,tbl_requisitos_emb[ID_Req],0)),"")</f>
        <v>Materiais e impurezas</v>
      </c>
      <c r="D1226" s="33" t="str">
        <f>IFERROR(INDEX(tbl_recyclass[Segmento],MATCH(A1226,tbl_recyclass[ProductId],0)),"")</f>
        <v>Cosmética e higiene pessoal</v>
      </c>
      <c r="E1226" s="26" t="s">
        <v>901</v>
      </c>
      <c r="F1226" s="26" t="s">
        <v>1449</v>
      </c>
      <c r="G1226" s="26" t="s">
        <v>978</v>
      </c>
      <c r="H1226" s="33" t="str">
        <f>IF(E1226="Não","Não aplicável",IFERROR(IF(B1226="EU-ENV-002",IF(INDEX(tbl_recyclass[Conforme_PPWR_2030],MATCH(A1226,tbl_recyclass[ProductId],0))="Sim","Conforme (autoavaliação)",IF(INDEX(tbl_recyclass[Conforme_PPWR_2030],MATCH(A1226,tbl_recyclass[ProductId],0))="Não","Não conforme em 2030","Isento até 2035")),IF(B1226="EU-ENV-003",IF(INDEX(tbl_recyclass[Conforme_Art7_2030],MATCH(A1226,tbl_recyclass[ProductId],0))="Sim","Conforme (meta 2030)",IF(INDEX(tbl_recyclass[Conforme_Art7_2030],MATCH(A1226,tbl_recyclass[ProductId],0))="Não","Lacuna face à meta 2030","Isento")),IF(B1226="EU-ENV-011",IF(INDEX(tbl_familias_ppwr[Metais_Pesados_Evidencia],MATCH(INDEX(tbl_recyclass[Familia_PPWR],MATCH(A1226,tbl_recyclass[ProductId],0)),tbl_familias_ppwr[ID_Familia],0))="Em falta","Lacuna","Conforme"),IF(B1226="EU-ENV-013",IF(INDEX(tbl_familias_ppwr[Declaracao_UE],MATCH(INDEX(tbl_recyclass[Familia_PPWR],MATCH(A1226,tbl_recyclass[ProductId],0)),tbl_familias_ppwr[ID_Familia],0))="Sim","Conforme","Lacuna"),G1226)))),G1226))</f>
        <v>Parcial</v>
      </c>
      <c r="I1226" s="33" t="str">
        <f t="shared" si="19"/>
        <v>Parcial</v>
      </c>
      <c r="J1226" s="26" t="s">
        <v>1228</v>
      </c>
    </row>
    <row r="1227" spans="1:10" ht="16.05" customHeight="1" x14ac:dyDescent="0.3">
      <c r="A1227" s="26" t="s">
        <v>743</v>
      </c>
      <c r="B1227" s="26" t="s">
        <v>1240</v>
      </c>
      <c r="C1227" s="33" t="str">
        <f>IFERROR(INDEX(tbl_requisitos_emb[Tema],MATCH(B1227,tbl_requisitos_emb[ID_Req],0)),"")</f>
        <v>Compatibilidade embalagem–produto</v>
      </c>
      <c r="D1227" s="33" t="str">
        <f>IFERROR(INDEX(tbl_recyclass[Segmento],MATCH(A1227,tbl_recyclass[ProductId],0)),"")</f>
        <v>Cosmética e higiene pessoal</v>
      </c>
      <c r="E1227" s="26" t="s">
        <v>901</v>
      </c>
      <c r="F1227" s="26" t="s">
        <v>1449</v>
      </c>
      <c r="G1227" s="26" t="s">
        <v>1033</v>
      </c>
      <c r="H1227" s="33" t="str">
        <f>IF(E1227="Não","Não aplicável",IFERROR(IF(B1227="EU-ENV-002",IF(INDEX(tbl_recyclass[Conforme_PPWR_2030],MATCH(A1227,tbl_recyclass[ProductId],0))="Sim","Conforme (autoavaliação)",IF(INDEX(tbl_recyclass[Conforme_PPWR_2030],MATCH(A1227,tbl_recyclass[ProductId],0))="Não","Não conforme em 2030","Isento até 2035")),IF(B1227="EU-ENV-003",IF(INDEX(tbl_recyclass[Conforme_Art7_2030],MATCH(A1227,tbl_recyclass[ProductId],0))="Sim","Conforme (meta 2030)",IF(INDEX(tbl_recyclass[Conforme_Art7_2030],MATCH(A1227,tbl_recyclass[ProductId],0))="Não","Lacuna face à meta 2030","Isento")),IF(B1227="EU-ENV-011",IF(INDEX(tbl_familias_ppwr[Metais_Pesados_Evidencia],MATCH(INDEX(tbl_recyclass[Familia_PPWR],MATCH(A1227,tbl_recyclass[ProductId],0)),tbl_familias_ppwr[ID_Familia],0))="Em falta","Lacuna","Conforme"),IF(B1227="EU-ENV-013",IF(INDEX(tbl_familias_ppwr[Declaracao_UE],MATCH(INDEX(tbl_recyclass[Familia_PPWR],MATCH(A1227,tbl_recyclass[ProductId],0)),tbl_familias_ppwr[ID_Familia],0))="Sim","Conforme","Lacuna"),G1227)))),G1227))</f>
        <v>Conforme</v>
      </c>
      <c r="I1227" s="33" t="str">
        <f t="shared" si="19"/>
        <v>Conforme</v>
      </c>
      <c r="J1227" s="26" t="s">
        <v>1244</v>
      </c>
    </row>
    <row r="1228" spans="1:10" ht="16.05" customHeight="1" x14ac:dyDescent="0.3">
      <c r="A1228" s="26" t="s">
        <v>743</v>
      </c>
      <c r="B1228" s="26" t="s">
        <v>1252</v>
      </c>
      <c r="C1228" s="33" t="str">
        <f>IFERROR(INDEX(tbl_requisitos_emb[Tema],MATCH(B1228,tbl_requisitos_emb[ID_Req],0)),"")</f>
        <v>Medicamentos de uso humano</v>
      </c>
      <c r="D1228" s="33" t="str">
        <f>IFERROR(INDEX(tbl_recyclass[Segmento],MATCH(A1228,tbl_recyclass[ProductId],0)),"")</f>
        <v>Cosmética e higiene pessoal</v>
      </c>
      <c r="E1228" s="26" t="s">
        <v>904</v>
      </c>
      <c r="F1228" s="26" t="s">
        <v>1451</v>
      </c>
      <c r="G1228" s="26" t="s">
        <v>1143</v>
      </c>
      <c r="H1228" s="33" t="str">
        <f>IF(E1228="Não","Não aplicável",IFERROR(IF(B1228="EU-ENV-002",IF(INDEX(tbl_recyclass[Conforme_PPWR_2030],MATCH(A1228,tbl_recyclass[ProductId],0))="Sim","Conforme (autoavaliação)",IF(INDEX(tbl_recyclass[Conforme_PPWR_2030],MATCH(A1228,tbl_recyclass[ProductId],0))="Não","Não conforme em 2030","Isento até 2035")),IF(B1228="EU-ENV-003",IF(INDEX(tbl_recyclass[Conforme_Art7_2030],MATCH(A1228,tbl_recyclass[ProductId],0))="Sim","Conforme (meta 2030)",IF(INDEX(tbl_recyclass[Conforme_Art7_2030],MATCH(A1228,tbl_recyclass[ProductId],0))="Não","Lacuna face à meta 2030","Isento")),IF(B1228="EU-ENV-011",IF(INDEX(tbl_familias_ppwr[Metais_Pesados_Evidencia],MATCH(INDEX(tbl_recyclass[Familia_PPWR],MATCH(A1228,tbl_recyclass[ProductId],0)),tbl_familias_ppwr[ID_Familia],0))="Em falta","Lacuna","Conforme"),IF(B1228="EU-ENV-013",IF(INDEX(tbl_familias_ppwr[Declaracao_UE],MATCH(INDEX(tbl_recyclass[Familia_PPWR],MATCH(A1228,tbl_recyclass[ProductId],0)),tbl_familias_ppwr[ID_Familia],0))="Sim","Conforme","Lacuna"),G1228)))),G1228))</f>
        <v>Não aplicável</v>
      </c>
      <c r="I1228" s="33" t="str">
        <f t="shared" si="19"/>
        <v>Não aplicável</v>
      </c>
      <c r="J1228" s="26"/>
    </row>
    <row r="1229" spans="1:10" ht="16.05" customHeight="1" x14ac:dyDescent="0.3">
      <c r="A1229" s="26" t="s">
        <v>743</v>
      </c>
      <c r="B1229" s="26" t="s">
        <v>1268</v>
      </c>
      <c r="C1229" s="33" t="str">
        <f>IFERROR(INDEX(tbl_requisitos_emb[Tema],MATCH(B1229,tbl_requisitos_emb[ID_Req],0)),"")</f>
        <v>Dispositivos de segurança</v>
      </c>
      <c r="D1229" s="33" t="str">
        <f>IFERROR(INDEX(tbl_recyclass[Segmento],MATCH(A1229,tbl_recyclass[ProductId],0)),"")</f>
        <v>Cosmética e higiene pessoal</v>
      </c>
      <c r="E1229" s="26" t="s">
        <v>904</v>
      </c>
      <c r="F1229" s="26" t="s">
        <v>1451</v>
      </c>
      <c r="G1229" s="26" t="s">
        <v>1143</v>
      </c>
      <c r="H1229" s="33" t="str">
        <f>IF(E1229="Não","Não aplicável",IFERROR(IF(B1229="EU-ENV-002",IF(INDEX(tbl_recyclass[Conforme_PPWR_2030],MATCH(A1229,tbl_recyclass[ProductId],0))="Sim","Conforme (autoavaliação)",IF(INDEX(tbl_recyclass[Conforme_PPWR_2030],MATCH(A1229,tbl_recyclass[ProductId],0))="Não","Não conforme em 2030","Isento até 2035")),IF(B1229="EU-ENV-003",IF(INDEX(tbl_recyclass[Conforme_Art7_2030],MATCH(A1229,tbl_recyclass[ProductId],0))="Sim","Conforme (meta 2030)",IF(INDEX(tbl_recyclass[Conforme_Art7_2030],MATCH(A1229,tbl_recyclass[ProductId],0))="Não","Lacuna face à meta 2030","Isento")),IF(B1229="EU-ENV-011",IF(INDEX(tbl_familias_ppwr[Metais_Pesados_Evidencia],MATCH(INDEX(tbl_recyclass[Familia_PPWR],MATCH(A1229,tbl_recyclass[ProductId],0)),tbl_familias_ppwr[ID_Familia],0))="Em falta","Lacuna","Conforme"),IF(B1229="EU-ENV-013",IF(INDEX(tbl_familias_ppwr[Declaracao_UE],MATCH(INDEX(tbl_recyclass[Familia_PPWR],MATCH(A1229,tbl_recyclass[ProductId],0)),tbl_familias_ppwr[ID_Familia],0))="Sim","Conforme","Lacuna"),G1229)))),G1229))</f>
        <v>Não aplicável</v>
      </c>
      <c r="I1229" s="33" t="str">
        <f t="shared" si="19"/>
        <v>Não aplicável</v>
      </c>
      <c r="J1229" s="26"/>
    </row>
    <row r="1230" spans="1:10" ht="16.05" customHeight="1" x14ac:dyDescent="0.3">
      <c r="A1230" s="26" t="s">
        <v>743</v>
      </c>
      <c r="B1230" s="26" t="s">
        <v>1285</v>
      </c>
      <c r="C1230" s="33" t="str">
        <f>IFERROR(INDEX(tbl_requisitos_emb[Tema],MATCH(B1230,tbl_requisitos_emb[ID_Req],0)),"")</f>
        <v>Materiais plásticos de acondicionamento primário</v>
      </c>
      <c r="D1230" s="33" t="str">
        <f>IFERROR(INDEX(tbl_recyclass[Segmento],MATCH(A1230,tbl_recyclass[ProductId],0)),"")</f>
        <v>Cosmética e higiene pessoal</v>
      </c>
      <c r="E1230" s="26" t="s">
        <v>904</v>
      </c>
      <c r="F1230" s="26" t="s">
        <v>1451</v>
      </c>
      <c r="G1230" s="26" t="s">
        <v>1143</v>
      </c>
      <c r="H1230" s="33" t="str">
        <f>IF(E1230="Não","Não aplicável",IFERROR(IF(B1230="EU-ENV-002",IF(INDEX(tbl_recyclass[Conforme_PPWR_2030],MATCH(A1230,tbl_recyclass[ProductId],0))="Sim","Conforme (autoavaliação)",IF(INDEX(tbl_recyclass[Conforme_PPWR_2030],MATCH(A1230,tbl_recyclass[ProductId],0))="Não","Não conforme em 2030","Isento até 2035")),IF(B1230="EU-ENV-003",IF(INDEX(tbl_recyclass[Conforme_Art7_2030],MATCH(A1230,tbl_recyclass[ProductId],0))="Sim","Conforme (meta 2030)",IF(INDEX(tbl_recyclass[Conforme_Art7_2030],MATCH(A1230,tbl_recyclass[ProductId],0))="Não","Lacuna face à meta 2030","Isento")),IF(B1230="EU-ENV-011",IF(INDEX(tbl_familias_ppwr[Metais_Pesados_Evidencia],MATCH(INDEX(tbl_recyclass[Familia_PPWR],MATCH(A1230,tbl_recyclass[ProductId],0)),tbl_familias_ppwr[ID_Familia],0))="Em falta","Lacuna","Conforme"),IF(B1230="EU-ENV-013",IF(INDEX(tbl_familias_ppwr[Declaracao_UE],MATCH(INDEX(tbl_recyclass[Familia_PPWR],MATCH(A1230,tbl_recyclass[ProductId],0)),tbl_familias_ppwr[ID_Familia],0))="Sim","Conforme","Lacuna"),G1230)))),G1230))</f>
        <v>Não aplicável</v>
      </c>
      <c r="I1230" s="33" t="str">
        <f t="shared" si="19"/>
        <v>Não aplicável</v>
      </c>
      <c r="J1230" s="26"/>
    </row>
    <row r="1231" spans="1:10" ht="16.05" customHeight="1" x14ac:dyDescent="0.3">
      <c r="A1231" s="26" t="s">
        <v>743</v>
      </c>
      <c r="B1231" s="26" t="s">
        <v>1293</v>
      </c>
      <c r="C1231" s="33" t="str">
        <f>IFERROR(INDEX(tbl_requisitos_emb[Tema],MATCH(B1231,tbl_requisitos_emb[ID_Req],0)),"")</f>
        <v>Isenções PPWR</v>
      </c>
      <c r="D1231" s="33" t="str">
        <f>IFERROR(INDEX(tbl_recyclass[Segmento],MATCH(A1231,tbl_recyclass[ProductId],0)),"")</f>
        <v>Cosmética e higiene pessoal</v>
      </c>
      <c r="E1231" s="26" t="s">
        <v>904</v>
      </c>
      <c r="F1231" s="26" t="s">
        <v>1451</v>
      </c>
      <c r="G1231" s="26" t="s">
        <v>1143</v>
      </c>
      <c r="H1231" s="33" t="str">
        <f>IF(E1231="Não","Não aplicável",IFERROR(IF(B1231="EU-ENV-002",IF(INDEX(tbl_recyclass[Conforme_PPWR_2030],MATCH(A1231,tbl_recyclass[ProductId],0))="Sim","Conforme (autoavaliação)",IF(INDEX(tbl_recyclass[Conforme_PPWR_2030],MATCH(A1231,tbl_recyclass[ProductId],0))="Não","Não conforme em 2030","Isento até 2035")),IF(B1231="EU-ENV-003",IF(INDEX(tbl_recyclass[Conforme_Art7_2030],MATCH(A1231,tbl_recyclass[ProductId],0))="Sim","Conforme (meta 2030)",IF(INDEX(tbl_recyclass[Conforme_Art7_2030],MATCH(A1231,tbl_recyclass[ProductId],0))="Não","Lacuna face à meta 2030","Isento")),IF(B1231="EU-ENV-011",IF(INDEX(tbl_familias_ppwr[Metais_Pesados_Evidencia],MATCH(INDEX(tbl_recyclass[Familia_PPWR],MATCH(A1231,tbl_recyclass[ProductId],0)),tbl_familias_ppwr[ID_Familia],0))="Em falta","Lacuna","Conforme"),IF(B1231="EU-ENV-013",IF(INDEX(tbl_familias_ppwr[Declaracao_UE],MATCH(INDEX(tbl_recyclass[Familia_PPWR],MATCH(A1231,tbl_recyclass[ProductId],0)),tbl_familias_ppwr[ID_Familia],0))="Sim","Conforme","Lacuna"),G1231)))),G1231))</f>
        <v>Não aplicável</v>
      </c>
      <c r="I1231" s="33" t="str">
        <f t="shared" si="19"/>
        <v>Não aplicável</v>
      </c>
      <c r="J1231" s="26"/>
    </row>
    <row r="1232" spans="1:10" ht="16.05" customHeight="1" x14ac:dyDescent="0.3">
      <c r="A1232" s="26" t="s">
        <v>743</v>
      </c>
      <c r="B1232" s="26" t="s">
        <v>1357</v>
      </c>
      <c r="C1232" s="33" t="str">
        <f>IFERROR(INDEX(tbl_requisitos_emb[Tema],MATCH(B1232,tbl_requisitos_emb[ID_Req],0)),"")</f>
        <v>Identificação de plásticos</v>
      </c>
      <c r="D1232" s="33" t="str">
        <f>IFERROR(INDEX(tbl_recyclass[Segmento],MATCH(A1232,tbl_recyclass[ProductId],0)),"")</f>
        <v>Cosmética e higiene pessoal</v>
      </c>
      <c r="E1232" s="26" t="s">
        <v>901</v>
      </c>
      <c r="F1232" s="26" t="s">
        <v>1449</v>
      </c>
      <c r="G1232" s="26" t="s">
        <v>978</v>
      </c>
      <c r="H1232" s="33" t="str">
        <f>IF(E1232="Não","Não aplicável",IFERROR(IF(B1232="EU-ENV-002",IF(INDEX(tbl_recyclass[Conforme_PPWR_2030],MATCH(A1232,tbl_recyclass[ProductId],0))="Sim","Conforme (autoavaliação)",IF(INDEX(tbl_recyclass[Conforme_PPWR_2030],MATCH(A1232,tbl_recyclass[ProductId],0))="Não","Não conforme em 2030","Isento até 2035")),IF(B1232="EU-ENV-003",IF(INDEX(tbl_recyclass[Conforme_Art7_2030],MATCH(A1232,tbl_recyclass[ProductId],0))="Sim","Conforme (meta 2030)",IF(INDEX(tbl_recyclass[Conforme_Art7_2030],MATCH(A1232,tbl_recyclass[ProductId],0))="Não","Lacuna face à meta 2030","Isento")),IF(B1232="EU-ENV-011",IF(INDEX(tbl_familias_ppwr[Metais_Pesados_Evidencia],MATCH(INDEX(tbl_recyclass[Familia_PPWR],MATCH(A1232,tbl_recyclass[ProductId],0)),tbl_familias_ppwr[ID_Familia],0))="Em falta","Lacuna","Conforme"),IF(B1232="EU-ENV-013",IF(INDEX(tbl_familias_ppwr[Declaracao_UE],MATCH(INDEX(tbl_recyclass[Familia_PPWR],MATCH(A1232,tbl_recyclass[ProductId],0)),tbl_familias_ppwr[ID_Familia],0))="Sim","Conforme","Lacuna"),G1232)))),G1232))</f>
        <v>Parcial</v>
      </c>
      <c r="I1232" s="33" t="str">
        <f t="shared" si="19"/>
        <v>Parcial</v>
      </c>
      <c r="J1232" s="26" t="s">
        <v>1362</v>
      </c>
    </row>
    <row r="1233" spans="1:10" ht="16.05" customHeight="1" x14ac:dyDescent="0.3">
      <c r="A1233" s="26" t="s">
        <v>743</v>
      </c>
      <c r="B1233" s="26" t="s">
        <v>1385</v>
      </c>
      <c r="C1233" s="33" t="str">
        <f>IFERROR(INDEX(tbl_requisitos_emb[Tema],MATCH(B1233,tbl_requisitos_emb[ID_Req],0)),"")</f>
        <v>Reciclabilidade (voluntária)</v>
      </c>
      <c r="D1233" s="33" t="str">
        <f>IFERROR(INDEX(tbl_recyclass[Segmento],MATCH(A1233,tbl_recyclass[ProductId],0)),"")</f>
        <v>Cosmética e higiene pessoal</v>
      </c>
      <c r="E1233" s="26" t="s">
        <v>901</v>
      </c>
      <c r="F1233" s="26" t="s">
        <v>1449</v>
      </c>
      <c r="G1233" s="26" t="s">
        <v>978</v>
      </c>
      <c r="H1233" s="33" t="str">
        <f>IF(E1233="Não","Não aplicável",IFERROR(IF(B1233="EU-ENV-002",IF(INDEX(tbl_recyclass[Conforme_PPWR_2030],MATCH(A1233,tbl_recyclass[ProductId],0))="Sim","Conforme (autoavaliação)",IF(INDEX(tbl_recyclass[Conforme_PPWR_2030],MATCH(A1233,tbl_recyclass[ProductId],0))="Não","Não conforme em 2030","Isento até 2035")),IF(B1233="EU-ENV-003",IF(INDEX(tbl_recyclass[Conforme_Art7_2030],MATCH(A1233,tbl_recyclass[ProductId],0))="Sim","Conforme (meta 2030)",IF(INDEX(tbl_recyclass[Conforme_Art7_2030],MATCH(A1233,tbl_recyclass[ProductId],0))="Não","Lacuna face à meta 2030","Isento")),IF(B1233="EU-ENV-011",IF(INDEX(tbl_familias_ppwr[Metais_Pesados_Evidencia],MATCH(INDEX(tbl_recyclass[Familia_PPWR],MATCH(A1233,tbl_recyclass[ProductId],0)),tbl_familias_ppwr[ID_Familia],0))="Em falta","Lacuna","Conforme"),IF(B1233="EU-ENV-013",IF(INDEX(tbl_familias_ppwr[Declaracao_UE],MATCH(INDEX(tbl_recyclass[Familia_PPWR],MATCH(A1233,tbl_recyclass[ProductId],0)),tbl_familias_ppwr[ID_Familia],0))="Sim","Conforme","Lacuna"),G1233)))),G1233))</f>
        <v>Parcial</v>
      </c>
      <c r="I1233" s="33" t="str">
        <f t="shared" si="19"/>
        <v>Parcial</v>
      </c>
      <c r="J1233" s="26" t="s">
        <v>1389</v>
      </c>
    </row>
    <row r="1234" spans="1:10" ht="16.05" customHeight="1" x14ac:dyDescent="0.3">
      <c r="A1234" s="26" t="s">
        <v>745</v>
      </c>
      <c r="B1234" s="26" t="s">
        <v>984</v>
      </c>
      <c r="C1234" s="33" t="str">
        <f>IFERROR(INDEX(tbl_requisitos_emb[Tema],MATCH(B1234,tbl_requisitos_emb[ID_Req],0)),"")</f>
        <v>Conceção para reciclagem</v>
      </c>
      <c r="D1234" s="33" t="str">
        <f>IFERROR(INDEX(tbl_recyclass[Segmento],MATCH(A1234,tbl_recyclass[ProductId],0)),"")</f>
        <v>Cosmética e higiene pessoal</v>
      </c>
      <c r="E1234" s="26" t="s">
        <v>901</v>
      </c>
      <c r="F1234" s="26" t="s">
        <v>1449</v>
      </c>
      <c r="G1234" s="26" t="s">
        <v>978</v>
      </c>
      <c r="H1234" s="33" t="str">
        <f>IF(E1234="Não","Não aplicável",IFERROR(IF(B1234="EU-ENV-002",IF(INDEX(tbl_recyclass[Conforme_PPWR_2030],MATCH(A1234,tbl_recyclass[ProductId],0))="Sim","Conforme (autoavaliação)",IF(INDEX(tbl_recyclass[Conforme_PPWR_2030],MATCH(A1234,tbl_recyclass[ProductId],0))="Não","Não conforme em 2030","Isento até 2035")),IF(B1234="EU-ENV-003",IF(INDEX(tbl_recyclass[Conforme_Art7_2030],MATCH(A1234,tbl_recyclass[ProductId],0))="Sim","Conforme (meta 2030)",IF(INDEX(tbl_recyclass[Conforme_Art7_2030],MATCH(A1234,tbl_recyclass[ProductId],0))="Não","Lacuna face à meta 2030","Isento")),IF(B1234="EU-ENV-011",IF(INDEX(tbl_familias_ppwr[Metais_Pesados_Evidencia],MATCH(INDEX(tbl_recyclass[Familia_PPWR],MATCH(A1234,tbl_recyclass[ProductId],0)),tbl_familias_ppwr[ID_Familia],0))="Em falta","Lacuna","Conforme"),IF(B1234="EU-ENV-013",IF(INDEX(tbl_familias_ppwr[Declaracao_UE],MATCH(INDEX(tbl_recyclass[Familia_PPWR],MATCH(A1234,tbl_recyclass[ProductId],0)),tbl_familias_ppwr[ID_Familia],0))="Sim","Conforme","Lacuna"),G1234)))),G1234))</f>
        <v>Conforme (autoavaliação)</v>
      </c>
      <c r="I1234" s="33" t="str">
        <f t="shared" si="19"/>
        <v>Conforme</v>
      </c>
      <c r="J1234" s="26" t="s">
        <v>991</v>
      </c>
    </row>
    <row r="1235" spans="1:10" ht="16.05" customHeight="1" x14ac:dyDescent="0.3">
      <c r="A1235" s="26" t="s">
        <v>745</v>
      </c>
      <c r="B1235" s="26" t="s">
        <v>997</v>
      </c>
      <c r="C1235" s="33" t="str">
        <f>IFERROR(INDEX(tbl_requisitos_emb[Tema],MATCH(B1235,tbl_requisitos_emb[ID_Req],0)),"")</f>
        <v>Conteúdo reciclado</v>
      </c>
      <c r="D1235" s="33" t="str">
        <f>IFERROR(INDEX(tbl_recyclass[Segmento],MATCH(A1235,tbl_recyclass[ProductId],0)),"")</f>
        <v>Cosmética e higiene pessoal</v>
      </c>
      <c r="E1235" s="26" t="s">
        <v>901</v>
      </c>
      <c r="F1235" s="26" t="s">
        <v>1449</v>
      </c>
      <c r="G1235" s="26" t="s">
        <v>978</v>
      </c>
      <c r="H1235" s="33" t="str">
        <f>IF(E1235="Não","Não aplicável",IFERROR(IF(B1235="EU-ENV-002",IF(INDEX(tbl_recyclass[Conforme_PPWR_2030],MATCH(A1235,tbl_recyclass[ProductId],0))="Sim","Conforme (autoavaliação)",IF(INDEX(tbl_recyclass[Conforme_PPWR_2030],MATCH(A1235,tbl_recyclass[ProductId],0))="Não","Não conforme em 2030","Isento até 2035")),IF(B1235="EU-ENV-003",IF(INDEX(tbl_recyclass[Conforme_Art7_2030],MATCH(A1235,tbl_recyclass[ProductId],0))="Sim","Conforme (meta 2030)",IF(INDEX(tbl_recyclass[Conforme_Art7_2030],MATCH(A1235,tbl_recyclass[ProductId],0))="Não","Lacuna face à meta 2030","Isento")),IF(B1235="EU-ENV-011",IF(INDEX(tbl_familias_ppwr[Metais_Pesados_Evidencia],MATCH(INDEX(tbl_recyclass[Familia_PPWR],MATCH(A1235,tbl_recyclass[ProductId],0)),tbl_familias_ppwr[ID_Familia],0))="Em falta","Lacuna","Conforme"),IF(B1235="EU-ENV-013",IF(INDEX(tbl_familias_ppwr[Declaracao_UE],MATCH(INDEX(tbl_recyclass[Familia_PPWR],MATCH(A1235,tbl_recyclass[ProductId],0)),tbl_familias_ppwr[ID_Familia],0))="Sim","Conforme","Lacuna"),G1235)))),G1235))</f>
        <v>Lacuna face à meta 2030</v>
      </c>
      <c r="I1235" s="33" t="str">
        <f t="shared" si="19"/>
        <v>Lacuna</v>
      </c>
      <c r="J1235" s="26" t="s">
        <v>1001</v>
      </c>
    </row>
    <row r="1236" spans="1:10" ht="16.05" customHeight="1" x14ac:dyDescent="0.3">
      <c r="A1236" s="26" t="s">
        <v>745</v>
      </c>
      <c r="B1236" s="26" t="s">
        <v>1007</v>
      </c>
      <c r="C1236" s="33" t="str">
        <f>IFERROR(INDEX(tbl_requisitos_emb[Tema],MATCH(B1236,tbl_requisitos_emb[ID_Req],0)),"")</f>
        <v>Minimização</v>
      </c>
      <c r="D1236" s="33" t="str">
        <f>IFERROR(INDEX(tbl_recyclass[Segmento],MATCH(A1236,tbl_recyclass[ProductId],0)),"")</f>
        <v>Cosmética e higiene pessoal</v>
      </c>
      <c r="E1236" s="26" t="s">
        <v>901</v>
      </c>
      <c r="F1236" s="26" t="s">
        <v>1449</v>
      </c>
      <c r="G1236" s="26" t="s">
        <v>978</v>
      </c>
      <c r="H1236" s="33" t="str">
        <f>IF(E1236="Não","Não aplicável",IFERROR(IF(B1236="EU-ENV-002",IF(INDEX(tbl_recyclass[Conforme_PPWR_2030],MATCH(A1236,tbl_recyclass[ProductId],0))="Sim","Conforme (autoavaliação)",IF(INDEX(tbl_recyclass[Conforme_PPWR_2030],MATCH(A1236,tbl_recyclass[ProductId],0))="Não","Não conforme em 2030","Isento até 2035")),IF(B1236="EU-ENV-003",IF(INDEX(tbl_recyclass[Conforme_Art7_2030],MATCH(A1236,tbl_recyclass[ProductId],0))="Sim","Conforme (meta 2030)",IF(INDEX(tbl_recyclass[Conforme_Art7_2030],MATCH(A1236,tbl_recyclass[ProductId],0))="Não","Lacuna face à meta 2030","Isento")),IF(B1236="EU-ENV-011",IF(INDEX(tbl_familias_ppwr[Metais_Pesados_Evidencia],MATCH(INDEX(tbl_recyclass[Familia_PPWR],MATCH(A1236,tbl_recyclass[ProductId],0)),tbl_familias_ppwr[ID_Familia],0))="Em falta","Lacuna","Conforme"),IF(B1236="EU-ENV-013",IF(INDEX(tbl_familias_ppwr[Declaracao_UE],MATCH(INDEX(tbl_recyclass[Familia_PPWR],MATCH(A1236,tbl_recyclass[ProductId],0)),tbl_familias_ppwr[ID_Familia],0))="Sim","Conforme","Lacuna"),G1236)))),G1236))</f>
        <v>Parcial</v>
      </c>
      <c r="I1236" s="33" t="str">
        <f t="shared" si="19"/>
        <v>Parcial</v>
      </c>
      <c r="J1236" s="26" t="s">
        <v>1012</v>
      </c>
    </row>
    <row r="1237" spans="1:10" ht="16.05" customHeight="1" x14ac:dyDescent="0.3">
      <c r="A1237" s="26" t="s">
        <v>745</v>
      </c>
      <c r="B1237" s="26" t="s">
        <v>1016</v>
      </c>
      <c r="C1237" s="33" t="str">
        <f>IFERROR(INDEX(tbl_requisitos_emb[Tema],MATCH(B1237,tbl_requisitos_emb[ID_Req],0)),"")</f>
        <v>Rotulagem</v>
      </c>
      <c r="D1237" s="33" t="str">
        <f>IFERROR(INDEX(tbl_recyclass[Segmento],MATCH(A1237,tbl_recyclass[ProductId],0)),"")</f>
        <v>Cosmética e higiene pessoal</v>
      </c>
      <c r="E1237" s="26" t="s">
        <v>901</v>
      </c>
      <c r="F1237" s="26" t="s">
        <v>1449</v>
      </c>
      <c r="G1237" s="26" t="s">
        <v>990</v>
      </c>
      <c r="H1237" s="33" t="str">
        <f>IF(E1237="Não","Não aplicável",IFERROR(IF(B1237="EU-ENV-002",IF(INDEX(tbl_recyclass[Conforme_PPWR_2030],MATCH(A1237,tbl_recyclass[ProductId],0))="Sim","Conforme (autoavaliação)",IF(INDEX(tbl_recyclass[Conforme_PPWR_2030],MATCH(A1237,tbl_recyclass[ProductId],0))="Não","Não conforme em 2030","Isento até 2035")),IF(B1237="EU-ENV-003",IF(INDEX(tbl_recyclass[Conforme_Art7_2030],MATCH(A1237,tbl_recyclass[ProductId],0))="Sim","Conforme (meta 2030)",IF(INDEX(tbl_recyclass[Conforme_Art7_2030],MATCH(A1237,tbl_recyclass[ProductId],0))="Não","Lacuna face à meta 2030","Isento")),IF(B1237="EU-ENV-011",IF(INDEX(tbl_familias_ppwr[Metais_Pesados_Evidencia],MATCH(INDEX(tbl_recyclass[Familia_PPWR],MATCH(A1237,tbl_recyclass[ProductId],0)),tbl_familias_ppwr[ID_Familia],0))="Em falta","Lacuna","Conforme"),IF(B1237="EU-ENV-013",IF(INDEX(tbl_familias_ppwr[Declaracao_UE],MATCH(INDEX(tbl_recyclass[Familia_PPWR],MATCH(A1237,tbl_recyclass[ProductId],0)),tbl_familias_ppwr[ID_Familia],0))="Sim","Conforme","Lacuna"),G1237)))),G1237))</f>
        <v>Futuro</v>
      </c>
      <c r="I1237" s="33" t="str">
        <f t="shared" si="19"/>
        <v>Futuro</v>
      </c>
      <c r="J1237" s="26" t="s">
        <v>1021</v>
      </c>
    </row>
    <row r="1238" spans="1:10" ht="16.05" customHeight="1" x14ac:dyDescent="0.3">
      <c r="A1238" s="26" t="s">
        <v>745</v>
      </c>
      <c r="B1238" s="26" t="s">
        <v>1038</v>
      </c>
      <c r="C1238" s="33" t="str">
        <f>IFERROR(INDEX(tbl_requisitos_emb[Tema],MATCH(B1238,tbl_requisitos_emb[ID_Req],0)),"")</f>
        <v>Plásticos de utilização única</v>
      </c>
      <c r="D1238" s="33" t="str">
        <f>IFERROR(INDEX(tbl_recyclass[Segmento],MATCH(A1238,tbl_recyclass[ProductId],0)),"")</f>
        <v>Cosmética e higiene pessoal</v>
      </c>
      <c r="E1238" s="26" t="s">
        <v>904</v>
      </c>
      <c r="F1238" s="26" t="s">
        <v>1450</v>
      </c>
      <c r="G1238" s="26" t="s">
        <v>1143</v>
      </c>
      <c r="H1238" s="33" t="str">
        <f>IF(E1238="Não","Não aplicável",IFERROR(IF(B1238="EU-ENV-002",IF(INDEX(tbl_recyclass[Conforme_PPWR_2030],MATCH(A1238,tbl_recyclass[ProductId],0))="Sim","Conforme (autoavaliação)",IF(INDEX(tbl_recyclass[Conforme_PPWR_2030],MATCH(A1238,tbl_recyclass[ProductId],0))="Não","Não conforme em 2030","Isento até 2035")),IF(B1238="EU-ENV-003",IF(INDEX(tbl_recyclass[Conforme_Art7_2030],MATCH(A1238,tbl_recyclass[ProductId],0))="Sim","Conforme (meta 2030)",IF(INDEX(tbl_recyclass[Conforme_Art7_2030],MATCH(A1238,tbl_recyclass[ProductId],0))="Não","Lacuna face à meta 2030","Isento")),IF(B1238="EU-ENV-011",IF(INDEX(tbl_familias_ppwr[Metais_Pesados_Evidencia],MATCH(INDEX(tbl_recyclass[Familia_PPWR],MATCH(A1238,tbl_recyclass[ProductId],0)),tbl_familias_ppwr[ID_Familia],0))="Em falta","Lacuna","Conforme"),IF(B1238="EU-ENV-013",IF(INDEX(tbl_familias_ppwr[Declaracao_UE],MATCH(INDEX(tbl_recyclass[Familia_PPWR],MATCH(A1238,tbl_recyclass[ProductId],0)),tbl_familias_ppwr[ID_Familia],0))="Sim","Conforme","Lacuna"),G1238)))),G1238))</f>
        <v>Não aplicável</v>
      </c>
      <c r="I1238" s="33" t="str">
        <f t="shared" si="19"/>
        <v>Não aplicável</v>
      </c>
      <c r="J1238" s="26"/>
    </row>
    <row r="1239" spans="1:10" ht="16.05" customHeight="1" x14ac:dyDescent="0.3">
      <c r="A1239" s="26" t="s">
        <v>745</v>
      </c>
      <c r="B1239" s="26" t="s">
        <v>1078</v>
      </c>
      <c r="C1239" s="33" t="str">
        <f>IFERROR(INDEX(tbl_requisitos_emb[Tema],MATCH(B1239,tbl_requisitos_emb[ID_Req],0)),"")</f>
        <v>Reciclado à escala</v>
      </c>
      <c r="D1239" s="33" t="str">
        <f>IFERROR(INDEX(tbl_recyclass[Segmento],MATCH(A1239,tbl_recyclass[ProductId],0)),"")</f>
        <v>Cosmética e higiene pessoal</v>
      </c>
      <c r="E1239" s="26" t="s">
        <v>901</v>
      </c>
      <c r="F1239" s="26" t="s">
        <v>1449</v>
      </c>
      <c r="G1239" s="26" t="s">
        <v>990</v>
      </c>
      <c r="H1239" s="33" t="str">
        <f>IF(E1239="Não","Não aplicável",IFERROR(IF(B1239="EU-ENV-002",IF(INDEX(tbl_recyclass[Conforme_PPWR_2030],MATCH(A1239,tbl_recyclass[ProductId],0))="Sim","Conforme (autoavaliação)",IF(INDEX(tbl_recyclass[Conforme_PPWR_2030],MATCH(A1239,tbl_recyclass[ProductId],0))="Não","Não conforme em 2030","Isento até 2035")),IF(B1239="EU-ENV-003",IF(INDEX(tbl_recyclass[Conforme_Art7_2030],MATCH(A1239,tbl_recyclass[ProductId],0))="Sim","Conforme (meta 2030)",IF(INDEX(tbl_recyclass[Conforme_Art7_2030],MATCH(A1239,tbl_recyclass[ProductId],0))="Não","Lacuna face à meta 2030","Isento")),IF(B1239="EU-ENV-011",IF(INDEX(tbl_familias_ppwr[Metais_Pesados_Evidencia],MATCH(INDEX(tbl_recyclass[Familia_PPWR],MATCH(A1239,tbl_recyclass[ProductId],0)),tbl_familias_ppwr[ID_Familia],0))="Em falta","Lacuna","Conforme"),IF(B1239="EU-ENV-013",IF(INDEX(tbl_familias_ppwr[Declaracao_UE],MATCH(INDEX(tbl_recyclass[Familia_PPWR],MATCH(A1239,tbl_recyclass[ProductId],0)),tbl_familias_ppwr[ID_Familia],0))="Sim","Conforme","Lacuna"),G1239)))),G1239))</f>
        <v>Futuro</v>
      </c>
      <c r="I1239" s="33" t="str">
        <f t="shared" si="19"/>
        <v>Futuro</v>
      </c>
      <c r="J1239" s="26" t="s">
        <v>1082</v>
      </c>
    </row>
    <row r="1240" spans="1:10" ht="16.05" customHeight="1" x14ac:dyDescent="0.3">
      <c r="A1240" s="26" t="s">
        <v>745</v>
      </c>
      <c r="B1240" s="26" t="s">
        <v>1086</v>
      </c>
      <c r="C1240" s="33" t="str">
        <f>IFERROR(INDEX(tbl_requisitos_emb[Tema],MATCH(B1240,tbl_requisitos_emb[ID_Req],0)),"")</f>
        <v>Metais pesados</v>
      </c>
      <c r="D1240" s="33" t="str">
        <f>IFERROR(INDEX(tbl_recyclass[Segmento],MATCH(A1240,tbl_recyclass[ProductId],0)),"")</f>
        <v>Cosmética e higiene pessoal</v>
      </c>
      <c r="E1240" s="26" t="s">
        <v>901</v>
      </c>
      <c r="F1240" s="26" t="s">
        <v>1449</v>
      </c>
      <c r="G1240" s="26" t="s">
        <v>978</v>
      </c>
      <c r="H1240" s="33" t="str">
        <f>IF(E1240="Não","Não aplicável",IFERROR(IF(B1240="EU-ENV-002",IF(INDEX(tbl_recyclass[Conforme_PPWR_2030],MATCH(A1240,tbl_recyclass[ProductId],0))="Sim","Conforme (autoavaliação)",IF(INDEX(tbl_recyclass[Conforme_PPWR_2030],MATCH(A1240,tbl_recyclass[ProductId],0))="Não","Não conforme em 2030","Isento até 2035")),IF(B1240="EU-ENV-003",IF(INDEX(tbl_recyclass[Conforme_Art7_2030],MATCH(A1240,tbl_recyclass[ProductId],0))="Sim","Conforme (meta 2030)",IF(INDEX(tbl_recyclass[Conforme_Art7_2030],MATCH(A1240,tbl_recyclass[ProductId],0))="Não","Lacuna face à meta 2030","Isento")),IF(B1240="EU-ENV-011",IF(INDEX(tbl_familias_ppwr[Metais_Pesados_Evidencia],MATCH(INDEX(tbl_recyclass[Familia_PPWR],MATCH(A1240,tbl_recyclass[ProductId],0)),tbl_familias_ppwr[ID_Familia],0))="Em falta","Lacuna","Conforme"),IF(B1240="EU-ENV-013",IF(INDEX(tbl_familias_ppwr[Declaracao_UE],MATCH(INDEX(tbl_recyclass[Familia_PPWR],MATCH(A1240,tbl_recyclass[ProductId],0)),tbl_familias_ppwr[ID_Familia],0))="Sim","Conforme","Lacuna"),G1240)))),G1240))</f>
        <v>Conforme</v>
      </c>
      <c r="I1240" s="33" t="str">
        <f t="shared" si="19"/>
        <v>Conforme</v>
      </c>
      <c r="J1240" s="26" t="s">
        <v>1090</v>
      </c>
    </row>
    <row r="1241" spans="1:10" ht="16.05" customHeight="1" x14ac:dyDescent="0.3">
      <c r="A1241" s="26" t="s">
        <v>745</v>
      </c>
      <c r="B1241" s="26" t="s">
        <v>1094</v>
      </c>
      <c r="C1241" s="33" t="str">
        <f>IFERROR(INDEX(tbl_requisitos_emb[Tema],MATCH(B1241,tbl_requisitos_emb[ID_Req],0)),"")</f>
        <v>PFAS</v>
      </c>
      <c r="D1241" s="33" t="str">
        <f>IFERROR(INDEX(tbl_recyclass[Segmento],MATCH(A1241,tbl_recyclass[ProductId],0)),"")</f>
        <v>Cosmética e higiene pessoal</v>
      </c>
      <c r="E1241" s="26" t="s">
        <v>904</v>
      </c>
      <c r="F1241" s="26" t="s">
        <v>1450</v>
      </c>
      <c r="G1241" s="26" t="s">
        <v>1143</v>
      </c>
      <c r="H1241" s="33" t="str">
        <f>IF(E1241="Não","Não aplicável",IFERROR(IF(B1241="EU-ENV-002",IF(INDEX(tbl_recyclass[Conforme_PPWR_2030],MATCH(A1241,tbl_recyclass[ProductId],0))="Sim","Conforme (autoavaliação)",IF(INDEX(tbl_recyclass[Conforme_PPWR_2030],MATCH(A1241,tbl_recyclass[ProductId],0))="Não","Não conforme em 2030","Isento até 2035")),IF(B1241="EU-ENV-003",IF(INDEX(tbl_recyclass[Conforme_Art7_2030],MATCH(A1241,tbl_recyclass[ProductId],0))="Sim","Conforme (meta 2030)",IF(INDEX(tbl_recyclass[Conforme_Art7_2030],MATCH(A1241,tbl_recyclass[ProductId],0))="Não","Lacuna face à meta 2030","Isento")),IF(B1241="EU-ENV-011",IF(INDEX(tbl_familias_ppwr[Metais_Pesados_Evidencia],MATCH(INDEX(tbl_recyclass[Familia_PPWR],MATCH(A1241,tbl_recyclass[ProductId],0)),tbl_familias_ppwr[ID_Familia],0))="Em falta","Lacuna","Conforme"),IF(B1241="EU-ENV-013",IF(INDEX(tbl_familias_ppwr[Declaracao_UE],MATCH(INDEX(tbl_recyclass[Familia_PPWR],MATCH(A1241,tbl_recyclass[ProductId],0)),tbl_familias_ppwr[ID_Familia],0))="Sim","Conforme","Lacuna"),G1241)))),G1241))</f>
        <v>Não aplicável</v>
      </c>
      <c r="I1241" s="33" t="str">
        <f t="shared" si="19"/>
        <v>Não aplicável</v>
      </c>
      <c r="J1241" s="26"/>
    </row>
    <row r="1242" spans="1:10" ht="16.05" customHeight="1" x14ac:dyDescent="0.3">
      <c r="A1242" s="26" t="s">
        <v>745</v>
      </c>
      <c r="B1242" s="26" t="s">
        <v>1102</v>
      </c>
      <c r="C1242" s="33" t="str">
        <f>IFERROR(INDEX(tbl_requisitos_emb[Tema],MATCH(B1242,tbl_requisitos_emb[ID_Req],0)),"")</f>
        <v>Documentação técnica e declaração UE</v>
      </c>
      <c r="D1242" s="33" t="str">
        <f>IFERROR(INDEX(tbl_recyclass[Segmento],MATCH(A1242,tbl_recyclass[ProductId],0)),"")</f>
        <v>Cosmética e higiene pessoal</v>
      </c>
      <c r="E1242" s="26" t="s">
        <v>901</v>
      </c>
      <c r="F1242" s="26" t="s">
        <v>1449</v>
      </c>
      <c r="G1242" s="26" t="s">
        <v>978</v>
      </c>
      <c r="H1242" s="33" t="str">
        <f>IF(E1242="Não","Não aplicável",IFERROR(IF(B1242="EU-ENV-002",IF(INDEX(tbl_recyclass[Conforme_PPWR_2030],MATCH(A1242,tbl_recyclass[ProductId],0))="Sim","Conforme (autoavaliação)",IF(INDEX(tbl_recyclass[Conforme_PPWR_2030],MATCH(A1242,tbl_recyclass[ProductId],0))="Não","Não conforme em 2030","Isento até 2035")),IF(B1242="EU-ENV-003",IF(INDEX(tbl_recyclass[Conforme_Art7_2030],MATCH(A1242,tbl_recyclass[ProductId],0))="Sim","Conforme (meta 2030)",IF(INDEX(tbl_recyclass[Conforme_Art7_2030],MATCH(A1242,tbl_recyclass[ProductId],0))="Não","Lacuna face à meta 2030","Isento")),IF(B1242="EU-ENV-011",IF(INDEX(tbl_familias_ppwr[Metais_Pesados_Evidencia],MATCH(INDEX(tbl_recyclass[Familia_PPWR],MATCH(A1242,tbl_recyclass[ProductId],0)),tbl_familias_ppwr[ID_Familia],0))="Em falta","Lacuna","Conforme"),IF(B1242="EU-ENV-013",IF(INDEX(tbl_familias_ppwr[Declaracao_UE],MATCH(INDEX(tbl_recyclass[Familia_PPWR],MATCH(A1242,tbl_recyclass[ProductId],0)),tbl_familias_ppwr[ID_Familia],0))="Sim","Conforme","Lacuna"),G1242)))),G1242))</f>
        <v>Conforme</v>
      </c>
      <c r="I1242" s="33" t="str">
        <f t="shared" si="19"/>
        <v>Conforme</v>
      </c>
      <c r="J1242" s="26" t="s">
        <v>1106</v>
      </c>
    </row>
    <row r="1243" spans="1:10" ht="16.05" customHeight="1" x14ac:dyDescent="0.3">
      <c r="A1243" s="26" t="s">
        <v>745</v>
      </c>
      <c r="B1243" s="26" t="s">
        <v>1161</v>
      </c>
      <c r="C1243" s="33" t="str">
        <f>IFERROR(INDEX(tbl_requisitos_emb[Tema],MATCH(B1243,tbl_requisitos_emb[ID_Req],0)),"")</f>
        <v>Materiais em contacto com alimentos</v>
      </c>
      <c r="D1243" s="33" t="str">
        <f>IFERROR(INDEX(tbl_recyclass[Segmento],MATCH(A1243,tbl_recyclass[ProductId],0)),"")</f>
        <v>Cosmética e higiene pessoal</v>
      </c>
      <c r="E1243" s="26" t="s">
        <v>904</v>
      </c>
      <c r="F1243" s="26" t="s">
        <v>1450</v>
      </c>
      <c r="G1243" s="26" t="s">
        <v>1143</v>
      </c>
      <c r="H1243" s="33" t="str">
        <f>IF(E1243="Não","Não aplicável",IFERROR(IF(B1243="EU-ENV-002",IF(INDEX(tbl_recyclass[Conforme_PPWR_2030],MATCH(A1243,tbl_recyclass[ProductId],0))="Sim","Conforme (autoavaliação)",IF(INDEX(tbl_recyclass[Conforme_PPWR_2030],MATCH(A1243,tbl_recyclass[ProductId],0))="Não","Não conforme em 2030","Isento até 2035")),IF(B1243="EU-ENV-003",IF(INDEX(tbl_recyclass[Conforme_Art7_2030],MATCH(A1243,tbl_recyclass[ProductId],0))="Sim","Conforme (meta 2030)",IF(INDEX(tbl_recyclass[Conforme_Art7_2030],MATCH(A1243,tbl_recyclass[ProductId],0))="Não","Lacuna face à meta 2030","Isento")),IF(B1243="EU-ENV-011",IF(INDEX(tbl_familias_ppwr[Metais_Pesados_Evidencia],MATCH(INDEX(tbl_recyclass[Familia_PPWR],MATCH(A1243,tbl_recyclass[ProductId],0)),tbl_familias_ppwr[ID_Familia],0))="Em falta","Lacuna","Conforme"),IF(B1243="EU-ENV-013",IF(INDEX(tbl_familias_ppwr[Declaracao_UE],MATCH(INDEX(tbl_recyclass[Familia_PPWR],MATCH(A1243,tbl_recyclass[ProductId],0)),tbl_familias_ppwr[ID_Familia],0))="Sim","Conforme","Lacuna"),G1243)))),G1243))</f>
        <v>Não aplicável</v>
      </c>
      <c r="I1243" s="33" t="str">
        <f t="shared" si="19"/>
        <v>Não aplicável</v>
      </c>
      <c r="J1243" s="26"/>
    </row>
    <row r="1244" spans="1:10" ht="16.05" customHeight="1" x14ac:dyDescent="0.3">
      <c r="A1244" s="26" t="s">
        <v>745</v>
      </c>
      <c r="B1244" s="26" t="s">
        <v>1170</v>
      </c>
      <c r="C1244" s="33" t="str">
        <f>IFERROR(INDEX(tbl_requisitos_emb[Tema],MATCH(B1244,tbl_requisitos_emb[ID_Req],0)),"")</f>
        <v>Boas práticas de fabrico FCM</v>
      </c>
      <c r="D1244" s="33" t="str">
        <f>IFERROR(INDEX(tbl_recyclass[Segmento],MATCH(A1244,tbl_recyclass[ProductId],0)),"")</f>
        <v>Cosmética e higiene pessoal</v>
      </c>
      <c r="E1244" s="26" t="s">
        <v>904</v>
      </c>
      <c r="F1244" s="26" t="s">
        <v>1450</v>
      </c>
      <c r="G1244" s="26" t="s">
        <v>1143</v>
      </c>
      <c r="H1244" s="33" t="str">
        <f>IF(E1244="Não","Não aplicável",IFERROR(IF(B1244="EU-ENV-002",IF(INDEX(tbl_recyclass[Conforme_PPWR_2030],MATCH(A1244,tbl_recyclass[ProductId],0))="Sim","Conforme (autoavaliação)",IF(INDEX(tbl_recyclass[Conforme_PPWR_2030],MATCH(A1244,tbl_recyclass[ProductId],0))="Não","Não conforme em 2030","Isento até 2035")),IF(B1244="EU-ENV-003",IF(INDEX(tbl_recyclass[Conforme_Art7_2030],MATCH(A1244,tbl_recyclass[ProductId],0))="Sim","Conforme (meta 2030)",IF(INDEX(tbl_recyclass[Conforme_Art7_2030],MATCH(A1244,tbl_recyclass[ProductId],0))="Não","Lacuna face à meta 2030","Isento")),IF(B1244="EU-ENV-011",IF(INDEX(tbl_familias_ppwr[Metais_Pesados_Evidencia],MATCH(INDEX(tbl_recyclass[Familia_PPWR],MATCH(A1244,tbl_recyclass[ProductId],0)),tbl_familias_ppwr[ID_Familia],0))="Em falta","Lacuna","Conforme"),IF(B1244="EU-ENV-013",IF(INDEX(tbl_familias_ppwr[Declaracao_UE],MATCH(INDEX(tbl_recyclass[Familia_PPWR],MATCH(A1244,tbl_recyclass[ProductId],0)),tbl_familias_ppwr[ID_Familia],0))="Sim","Conforme","Lacuna"),G1244)))),G1244))</f>
        <v>Não aplicável</v>
      </c>
      <c r="I1244" s="33" t="str">
        <f t="shared" si="19"/>
        <v>Não aplicável</v>
      </c>
      <c r="J1244" s="26"/>
    </row>
    <row r="1245" spans="1:10" ht="16.05" customHeight="1" x14ac:dyDescent="0.3">
      <c r="A1245" s="26" t="s">
        <v>745</v>
      </c>
      <c r="B1245" s="26" t="s">
        <v>1179</v>
      </c>
      <c r="C1245" s="33" t="str">
        <f>IFERROR(INDEX(tbl_requisitos_emb[Tema],MATCH(B1245,tbl_requisitos_emb[ID_Req],0)),"")</f>
        <v>Bisfenol A e bisfenóis perigosos</v>
      </c>
      <c r="D1245" s="33" t="str">
        <f>IFERROR(INDEX(tbl_recyclass[Segmento],MATCH(A1245,tbl_recyclass[ProductId],0)),"")</f>
        <v>Cosmética e higiene pessoal</v>
      </c>
      <c r="E1245" s="26" t="s">
        <v>904</v>
      </c>
      <c r="F1245" s="26" t="s">
        <v>1450</v>
      </c>
      <c r="G1245" s="26" t="s">
        <v>1143</v>
      </c>
      <c r="H1245" s="33" t="str">
        <f>IF(E1245="Não","Não aplicável",IFERROR(IF(B1245="EU-ENV-002",IF(INDEX(tbl_recyclass[Conforme_PPWR_2030],MATCH(A1245,tbl_recyclass[ProductId],0))="Sim","Conforme (autoavaliação)",IF(INDEX(tbl_recyclass[Conforme_PPWR_2030],MATCH(A1245,tbl_recyclass[ProductId],0))="Não","Não conforme em 2030","Isento até 2035")),IF(B1245="EU-ENV-003",IF(INDEX(tbl_recyclass[Conforme_Art7_2030],MATCH(A1245,tbl_recyclass[ProductId],0))="Sim","Conforme (meta 2030)",IF(INDEX(tbl_recyclass[Conforme_Art7_2030],MATCH(A1245,tbl_recyclass[ProductId],0))="Não","Lacuna face à meta 2030","Isento")),IF(B1245="EU-ENV-011",IF(INDEX(tbl_familias_ppwr[Metais_Pesados_Evidencia],MATCH(INDEX(tbl_recyclass[Familia_PPWR],MATCH(A1245,tbl_recyclass[ProductId],0)),tbl_familias_ppwr[ID_Familia],0))="Em falta","Lacuna","Conforme"),IF(B1245="EU-ENV-013",IF(INDEX(tbl_familias_ppwr[Declaracao_UE],MATCH(INDEX(tbl_recyclass[Familia_PPWR],MATCH(A1245,tbl_recyclass[ProductId],0)),tbl_familias_ppwr[ID_Familia],0))="Sim","Conforme","Lacuna"),G1245)))),G1245))</f>
        <v>Não aplicável</v>
      </c>
      <c r="I1245" s="33" t="str">
        <f t="shared" si="19"/>
        <v>Não aplicável</v>
      </c>
      <c r="J1245" s="26"/>
    </row>
    <row r="1246" spans="1:10" ht="16.05" customHeight="1" x14ac:dyDescent="0.3">
      <c r="A1246" s="26" t="s">
        <v>745</v>
      </c>
      <c r="B1246" s="26" t="s">
        <v>1188</v>
      </c>
      <c r="C1246" s="33" t="str">
        <f>IFERROR(INDEX(tbl_requisitos_emb[Tema],MATCH(B1246,tbl_requisitos_emb[ID_Req],0)),"")</f>
        <v>Plásticos em contacto com alimentos</v>
      </c>
      <c r="D1246" s="33" t="str">
        <f>IFERROR(INDEX(tbl_recyclass[Segmento],MATCH(A1246,tbl_recyclass[ProductId],0)),"")</f>
        <v>Cosmética e higiene pessoal</v>
      </c>
      <c r="E1246" s="26" t="s">
        <v>904</v>
      </c>
      <c r="F1246" s="26" t="s">
        <v>1450</v>
      </c>
      <c r="G1246" s="26" t="s">
        <v>1143</v>
      </c>
      <c r="H1246" s="33" t="str">
        <f>IF(E1246="Não","Não aplicável",IFERROR(IF(B1246="EU-ENV-002",IF(INDEX(tbl_recyclass[Conforme_PPWR_2030],MATCH(A1246,tbl_recyclass[ProductId],0))="Sim","Conforme (autoavaliação)",IF(INDEX(tbl_recyclass[Conforme_PPWR_2030],MATCH(A1246,tbl_recyclass[ProductId],0))="Não","Não conforme em 2030","Isento até 2035")),IF(B1246="EU-ENV-003",IF(INDEX(tbl_recyclass[Conforme_Art7_2030],MATCH(A1246,tbl_recyclass[ProductId],0))="Sim","Conforme (meta 2030)",IF(INDEX(tbl_recyclass[Conforme_Art7_2030],MATCH(A1246,tbl_recyclass[ProductId],0))="Não","Lacuna face à meta 2030","Isento")),IF(B1246="EU-ENV-011",IF(INDEX(tbl_familias_ppwr[Metais_Pesados_Evidencia],MATCH(INDEX(tbl_recyclass[Familia_PPWR],MATCH(A1246,tbl_recyclass[ProductId],0)),tbl_familias_ppwr[ID_Familia],0))="Em falta","Lacuna","Conforme"),IF(B1246="EU-ENV-013",IF(INDEX(tbl_familias_ppwr[Declaracao_UE],MATCH(INDEX(tbl_recyclass[Familia_PPWR],MATCH(A1246,tbl_recyclass[ProductId],0)),tbl_familias_ppwr[ID_Familia],0))="Sim","Conforme","Lacuna"),G1246)))),G1246))</f>
        <v>Não aplicável</v>
      </c>
      <c r="I1246" s="33" t="str">
        <f t="shared" si="19"/>
        <v>Não aplicável</v>
      </c>
      <c r="J1246" s="26"/>
    </row>
    <row r="1247" spans="1:10" ht="16.05" customHeight="1" x14ac:dyDescent="0.3">
      <c r="A1247" s="26" t="s">
        <v>745</v>
      </c>
      <c r="B1247" s="26" t="s">
        <v>1212</v>
      </c>
      <c r="C1247" s="33" t="str">
        <f>IFERROR(INDEX(tbl_requisitos_emb[Tema],MATCH(B1247,tbl_requisitos_emb[ID_Req],0)),"")</f>
        <v>Segurança do produto cosmético</v>
      </c>
      <c r="D1247" s="33" t="str">
        <f>IFERROR(INDEX(tbl_recyclass[Segmento],MATCH(A1247,tbl_recyclass[ProductId],0)),"")</f>
        <v>Cosmética e higiene pessoal</v>
      </c>
      <c r="E1247" s="26" t="s">
        <v>901</v>
      </c>
      <c r="F1247" s="26" t="s">
        <v>1449</v>
      </c>
      <c r="G1247" s="26" t="s">
        <v>1033</v>
      </c>
      <c r="H1247" s="33" t="str">
        <f>IF(E1247="Não","Não aplicável",IFERROR(IF(B1247="EU-ENV-002",IF(INDEX(tbl_recyclass[Conforme_PPWR_2030],MATCH(A1247,tbl_recyclass[ProductId],0))="Sim","Conforme (autoavaliação)",IF(INDEX(tbl_recyclass[Conforme_PPWR_2030],MATCH(A1247,tbl_recyclass[ProductId],0))="Não","Não conforme em 2030","Isento até 2035")),IF(B1247="EU-ENV-003",IF(INDEX(tbl_recyclass[Conforme_Art7_2030],MATCH(A1247,tbl_recyclass[ProductId],0))="Sim","Conforme (meta 2030)",IF(INDEX(tbl_recyclass[Conforme_Art7_2030],MATCH(A1247,tbl_recyclass[ProductId],0))="Não","Lacuna face à meta 2030","Isento")),IF(B1247="EU-ENV-011",IF(INDEX(tbl_familias_ppwr[Metais_Pesados_Evidencia],MATCH(INDEX(tbl_recyclass[Familia_PPWR],MATCH(A1247,tbl_recyclass[ProductId],0)),tbl_familias_ppwr[ID_Familia],0))="Em falta","Lacuna","Conforme"),IF(B1247="EU-ENV-013",IF(INDEX(tbl_familias_ppwr[Declaracao_UE],MATCH(INDEX(tbl_recyclass[Familia_PPWR],MATCH(A1247,tbl_recyclass[ProductId],0)),tbl_familias_ppwr[ID_Familia],0))="Sim","Conforme","Lacuna"),G1247)))),G1247))</f>
        <v>Conforme</v>
      </c>
      <c r="I1247" s="33" t="str">
        <f t="shared" si="19"/>
        <v>Conforme</v>
      </c>
      <c r="J1247" s="26" t="s">
        <v>1221</v>
      </c>
    </row>
    <row r="1248" spans="1:10" ht="16.05" customHeight="1" x14ac:dyDescent="0.3">
      <c r="A1248" s="26" t="s">
        <v>745</v>
      </c>
      <c r="B1248" s="26" t="s">
        <v>1224</v>
      </c>
      <c r="C1248" s="33" t="str">
        <f>IFERROR(INDEX(tbl_requisitos_emb[Tema],MATCH(B1248,tbl_requisitos_emb[ID_Req],0)),"")</f>
        <v>Materiais e impurezas</v>
      </c>
      <c r="D1248" s="33" t="str">
        <f>IFERROR(INDEX(tbl_recyclass[Segmento],MATCH(A1248,tbl_recyclass[ProductId],0)),"")</f>
        <v>Cosmética e higiene pessoal</v>
      </c>
      <c r="E1248" s="26" t="s">
        <v>901</v>
      </c>
      <c r="F1248" s="26" t="s">
        <v>1449</v>
      </c>
      <c r="G1248" s="26" t="s">
        <v>978</v>
      </c>
      <c r="H1248" s="33" t="str">
        <f>IF(E1248="Não","Não aplicável",IFERROR(IF(B1248="EU-ENV-002",IF(INDEX(tbl_recyclass[Conforme_PPWR_2030],MATCH(A1248,tbl_recyclass[ProductId],0))="Sim","Conforme (autoavaliação)",IF(INDEX(tbl_recyclass[Conforme_PPWR_2030],MATCH(A1248,tbl_recyclass[ProductId],0))="Não","Não conforme em 2030","Isento até 2035")),IF(B1248="EU-ENV-003",IF(INDEX(tbl_recyclass[Conforme_Art7_2030],MATCH(A1248,tbl_recyclass[ProductId],0))="Sim","Conforme (meta 2030)",IF(INDEX(tbl_recyclass[Conforme_Art7_2030],MATCH(A1248,tbl_recyclass[ProductId],0))="Não","Lacuna face à meta 2030","Isento")),IF(B1248="EU-ENV-011",IF(INDEX(tbl_familias_ppwr[Metais_Pesados_Evidencia],MATCH(INDEX(tbl_recyclass[Familia_PPWR],MATCH(A1248,tbl_recyclass[ProductId],0)),tbl_familias_ppwr[ID_Familia],0))="Em falta","Lacuna","Conforme"),IF(B1248="EU-ENV-013",IF(INDEX(tbl_familias_ppwr[Declaracao_UE],MATCH(INDEX(tbl_recyclass[Familia_PPWR],MATCH(A1248,tbl_recyclass[ProductId],0)),tbl_familias_ppwr[ID_Familia],0))="Sim","Conforme","Lacuna"),G1248)))),G1248))</f>
        <v>Parcial</v>
      </c>
      <c r="I1248" s="33" t="str">
        <f t="shared" si="19"/>
        <v>Parcial</v>
      </c>
      <c r="J1248" s="26" t="s">
        <v>1228</v>
      </c>
    </row>
    <row r="1249" spans="1:10" ht="16.05" customHeight="1" x14ac:dyDescent="0.3">
      <c r="A1249" s="26" t="s">
        <v>745</v>
      </c>
      <c r="B1249" s="26" t="s">
        <v>1240</v>
      </c>
      <c r="C1249" s="33" t="str">
        <f>IFERROR(INDEX(tbl_requisitos_emb[Tema],MATCH(B1249,tbl_requisitos_emb[ID_Req],0)),"")</f>
        <v>Compatibilidade embalagem–produto</v>
      </c>
      <c r="D1249" s="33" t="str">
        <f>IFERROR(INDEX(tbl_recyclass[Segmento],MATCH(A1249,tbl_recyclass[ProductId],0)),"")</f>
        <v>Cosmética e higiene pessoal</v>
      </c>
      <c r="E1249" s="26" t="s">
        <v>901</v>
      </c>
      <c r="F1249" s="26" t="s">
        <v>1449</v>
      </c>
      <c r="G1249" s="26" t="s">
        <v>1033</v>
      </c>
      <c r="H1249" s="33" t="str">
        <f>IF(E1249="Não","Não aplicável",IFERROR(IF(B1249="EU-ENV-002",IF(INDEX(tbl_recyclass[Conforme_PPWR_2030],MATCH(A1249,tbl_recyclass[ProductId],0))="Sim","Conforme (autoavaliação)",IF(INDEX(tbl_recyclass[Conforme_PPWR_2030],MATCH(A1249,tbl_recyclass[ProductId],0))="Não","Não conforme em 2030","Isento até 2035")),IF(B1249="EU-ENV-003",IF(INDEX(tbl_recyclass[Conforme_Art7_2030],MATCH(A1249,tbl_recyclass[ProductId],0))="Sim","Conforme (meta 2030)",IF(INDEX(tbl_recyclass[Conforme_Art7_2030],MATCH(A1249,tbl_recyclass[ProductId],0))="Não","Lacuna face à meta 2030","Isento")),IF(B1249="EU-ENV-011",IF(INDEX(tbl_familias_ppwr[Metais_Pesados_Evidencia],MATCH(INDEX(tbl_recyclass[Familia_PPWR],MATCH(A1249,tbl_recyclass[ProductId],0)),tbl_familias_ppwr[ID_Familia],0))="Em falta","Lacuna","Conforme"),IF(B1249="EU-ENV-013",IF(INDEX(tbl_familias_ppwr[Declaracao_UE],MATCH(INDEX(tbl_recyclass[Familia_PPWR],MATCH(A1249,tbl_recyclass[ProductId],0)),tbl_familias_ppwr[ID_Familia],0))="Sim","Conforme","Lacuna"),G1249)))),G1249))</f>
        <v>Conforme</v>
      </c>
      <c r="I1249" s="33" t="str">
        <f t="shared" si="19"/>
        <v>Conforme</v>
      </c>
      <c r="J1249" s="26" t="s">
        <v>1244</v>
      </c>
    </row>
    <row r="1250" spans="1:10" ht="16.05" customHeight="1" x14ac:dyDescent="0.3">
      <c r="A1250" s="26" t="s">
        <v>745</v>
      </c>
      <c r="B1250" s="26" t="s">
        <v>1252</v>
      </c>
      <c r="C1250" s="33" t="str">
        <f>IFERROR(INDEX(tbl_requisitos_emb[Tema],MATCH(B1250,tbl_requisitos_emb[ID_Req],0)),"")</f>
        <v>Medicamentos de uso humano</v>
      </c>
      <c r="D1250" s="33" t="str">
        <f>IFERROR(INDEX(tbl_recyclass[Segmento],MATCH(A1250,tbl_recyclass[ProductId],0)),"")</f>
        <v>Cosmética e higiene pessoal</v>
      </c>
      <c r="E1250" s="26" t="s">
        <v>904</v>
      </c>
      <c r="F1250" s="26" t="s">
        <v>1451</v>
      </c>
      <c r="G1250" s="26" t="s">
        <v>1143</v>
      </c>
      <c r="H1250" s="33" t="str">
        <f>IF(E1250="Não","Não aplicável",IFERROR(IF(B1250="EU-ENV-002",IF(INDEX(tbl_recyclass[Conforme_PPWR_2030],MATCH(A1250,tbl_recyclass[ProductId],0))="Sim","Conforme (autoavaliação)",IF(INDEX(tbl_recyclass[Conforme_PPWR_2030],MATCH(A1250,tbl_recyclass[ProductId],0))="Não","Não conforme em 2030","Isento até 2035")),IF(B1250="EU-ENV-003",IF(INDEX(tbl_recyclass[Conforme_Art7_2030],MATCH(A1250,tbl_recyclass[ProductId],0))="Sim","Conforme (meta 2030)",IF(INDEX(tbl_recyclass[Conforme_Art7_2030],MATCH(A1250,tbl_recyclass[ProductId],0))="Não","Lacuna face à meta 2030","Isento")),IF(B1250="EU-ENV-011",IF(INDEX(tbl_familias_ppwr[Metais_Pesados_Evidencia],MATCH(INDEX(tbl_recyclass[Familia_PPWR],MATCH(A1250,tbl_recyclass[ProductId],0)),tbl_familias_ppwr[ID_Familia],0))="Em falta","Lacuna","Conforme"),IF(B1250="EU-ENV-013",IF(INDEX(tbl_familias_ppwr[Declaracao_UE],MATCH(INDEX(tbl_recyclass[Familia_PPWR],MATCH(A1250,tbl_recyclass[ProductId],0)),tbl_familias_ppwr[ID_Familia],0))="Sim","Conforme","Lacuna"),G1250)))),G1250))</f>
        <v>Não aplicável</v>
      </c>
      <c r="I1250" s="33" t="str">
        <f t="shared" si="19"/>
        <v>Não aplicável</v>
      </c>
      <c r="J1250" s="26"/>
    </row>
    <row r="1251" spans="1:10" ht="16.05" customHeight="1" x14ac:dyDescent="0.3">
      <c r="A1251" s="26" t="s">
        <v>745</v>
      </c>
      <c r="B1251" s="26" t="s">
        <v>1268</v>
      </c>
      <c r="C1251" s="33" t="str">
        <f>IFERROR(INDEX(tbl_requisitos_emb[Tema],MATCH(B1251,tbl_requisitos_emb[ID_Req],0)),"")</f>
        <v>Dispositivos de segurança</v>
      </c>
      <c r="D1251" s="33" t="str">
        <f>IFERROR(INDEX(tbl_recyclass[Segmento],MATCH(A1251,tbl_recyclass[ProductId],0)),"")</f>
        <v>Cosmética e higiene pessoal</v>
      </c>
      <c r="E1251" s="26" t="s">
        <v>904</v>
      </c>
      <c r="F1251" s="26" t="s">
        <v>1451</v>
      </c>
      <c r="G1251" s="26" t="s">
        <v>1143</v>
      </c>
      <c r="H1251" s="33" t="str">
        <f>IF(E1251="Não","Não aplicável",IFERROR(IF(B1251="EU-ENV-002",IF(INDEX(tbl_recyclass[Conforme_PPWR_2030],MATCH(A1251,tbl_recyclass[ProductId],0))="Sim","Conforme (autoavaliação)",IF(INDEX(tbl_recyclass[Conforme_PPWR_2030],MATCH(A1251,tbl_recyclass[ProductId],0))="Não","Não conforme em 2030","Isento até 2035")),IF(B1251="EU-ENV-003",IF(INDEX(tbl_recyclass[Conforme_Art7_2030],MATCH(A1251,tbl_recyclass[ProductId],0))="Sim","Conforme (meta 2030)",IF(INDEX(tbl_recyclass[Conforme_Art7_2030],MATCH(A1251,tbl_recyclass[ProductId],0))="Não","Lacuna face à meta 2030","Isento")),IF(B1251="EU-ENV-011",IF(INDEX(tbl_familias_ppwr[Metais_Pesados_Evidencia],MATCH(INDEX(tbl_recyclass[Familia_PPWR],MATCH(A1251,tbl_recyclass[ProductId],0)),tbl_familias_ppwr[ID_Familia],0))="Em falta","Lacuna","Conforme"),IF(B1251="EU-ENV-013",IF(INDEX(tbl_familias_ppwr[Declaracao_UE],MATCH(INDEX(tbl_recyclass[Familia_PPWR],MATCH(A1251,tbl_recyclass[ProductId],0)),tbl_familias_ppwr[ID_Familia],0))="Sim","Conforme","Lacuna"),G1251)))),G1251))</f>
        <v>Não aplicável</v>
      </c>
      <c r="I1251" s="33" t="str">
        <f t="shared" si="19"/>
        <v>Não aplicável</v>
      </c>
      <c r="J1251" s="26"/>
    </row>
    <row r="1252" spans="1:10" ht="16.05" customHeight="1" x14ac:dyDescent="0.3">
      <c r="A1252" s="26" t="s">
        <v>745</v>
      </c>
      <c r="B1252" s="26" t="s">
        <v>1285</v>
      </c>
      <c r="C1252" s="33" t="str">
        <f>IFERROR(INDEX(tbl_requisitos_emb[Tema],MATCH(B1252,tbl_requisitos_emb[ID_Req],0)),"")</f>
        <v>Materiais plásticos de acondicionamento primário</v>
      </c>
      <c r="D1252" s="33" t="str">
        <f>IFERROR(INDEX(tbl_recyclass[Segmento],MATCH(A1252,tbl_recyclass[ProductId],0)),"")</f>
        <v>Cosmética e higiene pessoal</v>
      </c>
      <c r="E1252" s="26" t="s">
        <v>904</v>
      </c>
      <c r="F1252" s="26" t="s">
        <v>1451</v>
      </c>
      <c r="G1252" s="26" t="s">
        <v>1143</v>
      </c>
      <c r="H1252" s="33" t="str">
        <f>IF(E1252="Não","Não aplicável",IFERROR(IF(B1252="EU-ENV-002",IF(INDEX(tbl_recyclass[Conforme_PPWR_2030],MATCH(A1252,tbl_recyclass[ProductId],0))="Sim","Conforme (autoavaliação)",IF(INDEX(tbl_recyclass[Conforme_PPWR_2030],MATCH(A1252,tbl_recyclass[ProductId],0))="Não","Não conforme em 2030","Isento até 2035")),IF(B1252="EU-ENV-003",IF(INDEX(tbl_recyclass[Conforme_Art7_2030],MATCH(A1252,tbl_recyclass[ProductId],0))="Sim","Conforme (meta 2030)",IF(INDEX(tbl_recyclass[Conforme_Art7_2030],MATCH(A1252,tbl_recyclass[ProductId],0))="Não","Lacuna face à meta 2030","Isento")),IF(B1252="EU-ENV-011",IF(INDEX(tbl_familias_ppwr[Metais_Pesados_Evidencia],MATCH(INDEX(tbl_recyclass[Familia_PPWR],MATCH(A1252,tbl_recyclass[ProductId],0)),tbl_familias_ppwr[ID_Familia],0))="Em falta","Lacuna","Conforme"),IF(B1252="EU-ENV-013",IF(INDEX(tbl_familias_ppwr[Declaracao_UE],MATCH(INDEX(tbl_recyclass[Familia_PPWR],MATCH(A1252,tbl_recyclass[ProductId],0)),tbl_familias_ppwr[ID_Familia],0))="Sim","Conforme","Lacuna"),G1252)))),G1252))</f>
        <v>Não aplicável</v>
      </c>
      <c r="I1252" s="33" t="str">
        <f t="shared" si="19"/>
        <v>Não aplicável</v>
      </c>
      <c r="J1252" s="26"/>
    </row>
    <row r="1253" spans="1:10" ht="16.05" customHeight="1" x14ac:dyDescent="0.3">
      <c r="A1253" s="26" t="s">
        <v>745</v>
      </c>
      <c r="B1253" s="26" t="s">
        <v>1293</v>
      </c>
      <c r="C1253" s="33" t="str">
        <f>IFERROR(INDEX(tbl_requisitos_emb[Tema],MATCH(B1253,tbl_requisitos_emb[ID_Req],0)),"")</f>
        <v>Isenções PPWR</v>
      </c>
      <c r="D1253" s="33" t="str">
        <f>IFERROR(INDEX(tbl_recyclass[Segmento],MATCH(A1253,tbl_recyclass[ProductId],0)),"")</f>
        <v>Cosmética e higiene pessoal</v>
      </c>
      <c r="E1253" s="26" t="s">
        <v>904</v>
      </c>
      <c r="F1253" s="26" t="s">
        <v>1451</v>
      </c>
      <c r="G1253" s="26" t="s">
        <v>1143</v>
      </c>
      <c r="H1253" s="33" t="str">
        <f>IF(E1253="Não","Não aplicável",IFERROR(IF(B1253="EU-ENV-002",IF(INDEX(tbl_recyclass[Conforme_PPWR_2030],MATCH(A1253,tbl_recyclass[ProductId],0))="Sim","Conforme (autoavaliação)",IF(INDEX(tbl_recyclass[Conforme_PPWR_2030],MATCH(A1253,tbl_recyclass[ProductId],0))="Não","Não conforme em 2030","Isento até 2035")),IF(B1253="EU-ENV-003",IF(INDEX(tbl_recyclass[Conforme_Art7_2030],MATCH(A1253,tbl_recyclass[ProductId],0))="Sim","Conforme (meta 2030)",IF(INDEX(tbl_recyclass[Conforme_Art7_2030],MATCH(A1253,tbl_recyclass[ProductId],0))="Não","Lacuna face à meta 2030","Isento")),IF(B1253="EU-ENV-011",IF(INDEX(tbl_familias_ppwr[Metais_Pesados_Evidencia],MATCH(INDEX(tbl_recyclass[Familia_PPWR],MATCH(A1253,tbl_recyclass[ProductId],0)),tbl_familias_ppwr[ID_Familia],0))="Em falta","Lacuna","Conforme"),IF(B1253="EU-ENV-013",IF(INDEX(tbl_familias_ppwr[Declaracao_UE],MATCH(INDEX(tbl_recyclass[Familia_PPWR],MATCH(A1253,tbl_recyclass[ProductId],0)),tbl_familias_ppwr[ID_Familia],0))="Sim","Conforme","Lacuna"),G1253)))),G1253))</f>
        <v>Não aplicável</v>
      </c>
      <c r="I1253" s="33" t="str">
        <f t="shared" si="19"/>
        <v>Não aplicável</v>
      </c>
      <c r="J1253" s="26"/>
    </row>
    <row r="1254" spans="1:10" ht="16.05" customHeight="1" x14ac:dyDescent="0.3">
      <c r="A1254" s="26" t="s">
        <v>745</v>
      </c>
      <c r="B1254" s="26" t="s">
        <v>1357</v>
      </c>
      <c r="C1254" s="33" t="str">
        <f>IFERROR(INDEX(tbl_requisitos_emb[Tema],MATCH(B1254,tbl_requisitos_emb[ID_Req],0)),"")</f>
        <v>Identificação de plásticos</v>
      </c>
      <c r="D1254" s="33" t="str">
        <f>IFERROR(INDEX(tbl_recyclass[Segmento],MATCH(A1254,tbl_recyclass[ProductId],0)),"")</f>
        <v>Cosmética e higiene pessoal</v>
      </c>
      <c r="E1254" s="26" t="s">
        <v>901</v>
      </c>
      <c r="F1254" s="26" t="s">
        <v>1449</v>
      </c>
      <c r="G1254" s="26" t="s">
        <v>978</v>
      </c>
      <c r="H1254" s="33" t="str">
        <f>IF(E1254="Não","Não aplicável",IFERROR(IF(B1254="EU-ENV-002",IF(INDEX(tbl_recyclass[Conforme_PPWR_2030],MATCH(A1254,tbl_recyclass[ProductId],0))="Sim","Conforme (autoavaliação)",IF(INDEX(tbl_recyclass[Conforme_PPWR_2030],MATCH(A1254,tbl_recyclass[ProductId],0))="Não","Não conforme em 2030","Isento até 2035")),IF(B1254="EU-ENV-003",IF(INDEX(tbl_recyclass[Conforme_Art7_2030],MATCH(A1254,tbl_recyclass[ProductId],0))="Sim","Conforme (meta 2030)",IF(INDEX(tbl_recyclass[Conforme_Art7_2030],MATCH(A1254,tbl_recyclass[ProductId],0))="Não","Lacuna face à meta 2030","Isento")),IF(B1254="EU-ENV-011",IF(INDEX(tbl_familias_ppwr[Metais_Pesados_Evidencia],MATCH(INDEX(tbl_recyclass[Familia_PPWR],MATCH(A1254,tbl_recyclass[ProductId],0)),tbl_familias_ppwr[ID_Familia],0))="Em falta","Lacuna","Conforme"),IF(B1254="EU-ENV-013",IF(INDEX(tbl_familias_ppwr[Declaracao_UE],MATCH(INDEX(tbl_recyclass[Familia_PPWR],MATCH(A1254,tbl_recyclass[ProductId],0)),tbl_familias_ppwr[ID_Familia],0))="Sim","Conforme","Lacuna"),G1254)))),G1254))</f>
        <v>Parcial</v>
      </c>
      <c r="I1254" s="33" t="str">
        <f t="shared" si="19"/>
        <v>Parcial</v>
      </c>
      <c r="J1254" s="26" t="s">
        <v>1362</v>
      </c>
    </row>
    <row r="1255" spans="1:10" ht="16.05" customHeight="1" x14ac:dyDescent="0.3">
      <c r="A1255" s="26" t="s">
        <v>745</v>
      </c>
      <c r="B1255" s="26" t="s">
        <v>1385</v>
      </c>
      <c r="C1255" s="33" t="str">
        <f>IFERROR(INDEX(tbl_requisitos_emb[Tema],MATCH(B1255,tbl_requisitos_emb[ID_Req],0)),"")</f>
        <v>Reciclabilidade (voluntária)</v>
      </c>
      <c r="D1255" s="33" t="str">
        <f>IFERROR(INDEX(tbl_recyclass[Segmento],MATCH(A1255,tbl_recyclass[ProductId],0)),"")</f>
        <v>Cosmética e higiene pessoal</v>
      </c>
      <c r="E1255" s="26" t="s">
        <v>901</v>
      </c>
      <c r="F1255" s="26" t="s">
        <v>1449</v>
      </c>
      <c r="G1255" s="26" t="s">
        <v>978</v>
      </c>
      <c r="H1255" s="33" t="str">
        <f>IF(E1255="Não","Não aplicável",IFERROR(IF(B1255="EU-ENV-002",IF(INDEX(tbl_recyclass[Conforme_PPWR_2030],MATCH(A1255,tbl_recyclass[ProductId],0))="Sim","Conforme (autoavaliação)",IF(INDEX(tbl_recyclass[Conforme_PPWR_2030],MATCH(A1255,tbl_recyclass[ProductId],0))="Não","Não conforme em 2030","Isento até 2035")),IF(B1255="EU-ENV-003",IF(INDEX(tbl_recyclass[Conforme_Art7_2030],MATCH(A1255,tbl_recyclass[ProductId],0))="Sim","Conforme (meta 2030)",IF(INDEX(tbl_recyclass[Conforme_Art7_2030],MATCH(A1255,tbl_recyclass[ProductId],0))="Não","Lacuna face à meta 2030","Isento")),IF(B1255="EU-ENV-011",IF(INDEX(tbl_familias_ppwr[Metais_Pesados_Evidencia],MATCH(INDEX(tbl_recyclass[Familia_PPWR],MATCH(A1255,tbl_recyclass[ProductId],0)),tbl_familias_ppwr[ID_Familia],0))="Em falta","Lacuna","Conforme"),IF(B1255="EU-ENV-013",IF(INDEX(tbl_familias_ppwr[Declaracao_UE],MATCH(INDEX(tbl_recyclass[Familia_PPWR],MATCH(A1255,tbl_recyclass[ProductId],0)),tbl_familias_ppwr[ID_Familia],0))="Sim","Conforme","Lacuna"),G1255)))),G1255))</f>
        <v>Parcial</v>
      </c>
      <c r="I1255" s="33" t="str">
        <f t="shared" si="19"/>
        <v>Parcial</v>
      </c>
      <c r="J1255" s="26" t="s">
        <v>1389</v>
      </c>
    </row>
    <row r="1256" spans="1:10" ht="16.05" customHeight="1" x14ac:dyDescent="0.3">
      <c r="A1256" s="26" t="s">
        <v>747</v>
      </c>
      <c r="B1256" s="26" t="s">
        <v>984</v>
      </c>
      <c r="C1256" s="33" t="str">
        <f>IFERROR(INDEX(tbl_requisitos_emb[Tema],MATCH(B1256,tbl_requisitos_emb[ID_Req],0)),"")</f>
        <v>Conceção para reciclagem</v>
      </c>
      <c r="D1256" s="33" t="str">
        <f>IFERROR(INDEX(tbl_recyclass[Segmento],MATCH(A1256,tbl_recyclass[ProductId],0)),"")</f>
        <v>Cosmética e higiene pessoal</v>
      </c>
      <c r="E1256" s="26" t="s">
        <v>901</v>
      </c>
      <c r="F1256" s="26" t="s">
        <v>1449</v>
      </c>
      <c r="G1256" s="26" t="s">
        <v>978</v>
      </c>
      <c r="H1256" s="33" t="str">
        <f>IF(E1256="Não","Não aplicável",IFERROR(IF(B1256="EU-ENV-002",IF(INDEX(tbl_recyclass[Conforme_PPWR_2030],MATCH(A1256,tbl_recyclass[ProductId],0))="Sim","Conforme (autoavaliação)",IF(INDEX(tbl_recyclass[Conforme_PPWR_2030],MATCH(A1256,tbl_recyclass[ProductId],0))="Não","Não conforme em 2030","Isento até 2035")),IF(B1256="EU-ENV-003",IF(INDEX(tbl_recyclass[Conforme_Art7_2030],MATCH(A1256,tbl_recyclass[ProductId],0))="Sim","Conforme (meta 2030)",IF(INDEX(tbl_recyclass[Conforme_Art7_2030],MATCH(A1256,tbl_recyclass[ProductId],0))="Não","Lacuna face à meta 2030","Isento")),IF(B1256="EU-ENV-011",IF(INDEX(tbl_familias_ppwr[Metais_Pesados_Evidencia],MATCH(INDEX(tbl_recyclass[Familia_PPWR],MATCH(A1256,tbl_recyclass[ProductId],0)),tbl_familias_ppwr[ID_Familia],0))="Em falta","Lacuna","Conforme"),IF(B1256="EU-ENV-013",IF(INDEX(tbl_familias_ppwr[Declaracao_UE],MATCH(INDEX(tbl_recyclass[Familia_PPWR],MATCH(A1256,tbl_recyclass[ProductId],0)),tbl_familias_ppwr[ID_Familia],0))="Sim","Conforme","Lacuna"),G1256)))),G1256))</f>
        <v>Conforme (autoavaliação)</v>
      </c>
      <c r="I1256" s="33" t="str">
        <f t="shared" si="19"/>
        <v>Conforme</v>
      </c>
      <c r="J1256" s="26" t="s">
        <v>991</v>
      </c>
    </row>
    <row r="1257" spans="1:10" ht="16.05" customHeight="1" x14ac:dyDescent="0.3">
      <c r="A1257" s="26" t="s">
        <v>747</v>
      </c>
      <c r="B1257" s="26" t="s">
        <v>997</v>
      </c>
      <c r="C1257" s="33" t="str">
        <f>IFERROR(INDEX(tbl_requisitos_emb[Tema],MATCH(B1257,tbl_requisitos_emb[ID_Req],0)),"")</f>
        <v>Conteúdo reciclado</v>
      </c>
      <c r="D1257" s="33" t="str">
        <f>IFERROR(INDEX(tbl_recyclass[Segmento],MATCH(A1257,tbl_recyclass[ProductId],0)),"")</f>
        <v>Cosmética e higiene pessoal</v>
      </c>
      <c r="E1257" s="26" t="s">
        <v>901</v>
      </c>
      <c r="F1257" s="26" t="s">
        <v>1449</v>
      </c>
      <c r="G1257" s="26" t="s">
        <v>978</v>
      </c>
      <c r="H1257" s="33" t="str">
        <f>IF(E1257="Não","Não aplicável",IFERROR(IF(B1257="EU-ENV-002",IF(INDEX(tbl_recyclass[Conforme_PPWR_2030],MATCH(A1257,tbl_recyclass[ProductId],0))="Sim","Conforme (autoavaliação)",IF(INDEX(tbl_recyclass[Conforme_PPWR_2030],MATCH(A1257,tbl_recyclass[ProductId],0))="Não","Não conforme em 2030","Isento até 2035")),IF(B1257="EU-ENV-003",IF(INDEX(tbl_recyclass[Conforme_Art7_2030],MATCH(A1257,tbl_recyclass[ProductId],0))="Sim","Conforme (meta 2030)",IF(INDEX(tbl_recyclass[Conforme_Art7_2030],MATCH(A1257,tbl_recyclass[ProductId],0))="Não","Lacuna face à meta 2030","Isento")),IF(B1257="EU-ENV-011",IF(INDEX(tbl_familias_ppwr[Metais_Pesados_Evidencia],MATCH(INDEX(tbl_recyclass[Familia_PPWR],MATCH(A1257,tbl_recyclass[ProductId],0)),tbl_familias_ppwr[ID_Familia],0))="Em falta","Lacuna","Conforme"),IF(B1257="EU-ENV-013",IF(INDEX(tbl_familias_ppwr[Declaracao_UE],MATCH(INDEX(tbl_recyclass[Familia_PPWR],MATCH(A1257,tbl_recyclass[ProductId],0)),tbl_familias_ppwr[ID_Familia],0))="Sim","Conforme","Lacuna"),G1257)))),G1257))</f>
        <v>Lacuna face à meta 2030</v>
      </c>
      <c r="I1257" s="33" t="str">
        <f t="shared" si="19"/>
        <v>Lacuna</v>
      </c>
      <c r="J1257" s="26" t="s">
        <v>1001</v>
      </c>
    </row>
    <row r="1258" spans="1:10" ht="16.05" customHeight="1" x14ac:dyDescent="0.3">
      <c r="A1258" s="26" t="s">
        <v>747</v>
      </c>
      <c r="B1258" s="26" t="s">
        <v>1007</v>
      </c>
      <c r="C1258" s="33" t="str">
        <f>IFERROR(INDEX(tbl_requisitos_emb[Tema],MATCH(B1258,tbl_requisitos_emb[ID_Req],0)),"")</f>
        <v>Minimização</v>
      </c>
      <c r="D1258" s="33" t="str">
        <f>IFERROR(INDEX(tbl_recyclass[Segmento],MATCH(A1258,tbl_recyclass[ProductId],0)),"")</f>
        <v>Cosmética e higiene pessoal</v>
      </c>
      <c r="E1258" s="26" t="s">
        <v>901</v>
      </c>
      <c r="F1258" s="26" t="s">
        <v>1449</v>
      </c>
      <c r="G1258" s="26" t="s">
        <v>978</v>
      </c>
      <c r="H1258" s="33" t="str">
        <f>IF(E1258="Não","Não aplicável",IFERROR(IF(B1258="EU-ENV-002",IF(INDEX(tbl_recyclass[Conforme_PPWR_2030],MATCH(A1258,tbl_recyclass[ProductId],0))="Sim","Conforme (autoavaliação)",IF(INDEX(tbl_recyclass[Conforme_PPWR_2030],MATCH(A1258,tbl_recyclass[ProductId],0))="Não","Não conforme em 2030","Isento até 2035")),IF(B1258="EU-ENV-003",IF(INDEX(tbl_recyclass[Conforme_Art7_2030],MATCH(A1258,tbl_recyclass[ProductId],0))="Sim","Conforme (meta 2030)",IF(INDEX(tbl_recyclass[Conforme_Art7_2030],MATCH(A1258,tbl_recyclass[ProductId],0))="Não","Lacuna face à meta 2030","Isento")),IF(B1258="EU-ENV-011",IF(INDEX(tbl_familias_ppwr[Metais_Pesados_Evidencia],MATCH(INDEX(tbl_recyclass[Familia_PPWR],MATCH(A1258,tbl_recyclass[ProductId],0)),tbl_familias_ppwr[ID_Familia],0))="Em falta","Lacuna","Conforme"),IF(B1258="EU-ENV-013",IF(INDEX(tbl_familias_ppwr[Declaracao_UE],MATCH(INDEX(tbl_recyclass[Familia_PPWR],MATCH(A1258,tbl_recyclass[ProductId],0)),tbl_familias_ppwr[ID_Familia],0))="Sim","Conforme","Lacuna"),G1258)))),G1258))</f>
        <v>Parcial</v>
      </c>
      <c r="I1258" s="33" t="str">
        <f t="shared" si="19"/>
        <v>Parcial</v>
      </c>
      <c r="J1258" s="26" t="s">
        <v>1012</v>
      </c>
    </row>
    <row r="1259" spans="1:10" ht="16.05" customHeight="1" x14ac:dyDescent="0.3">
      <c r="A1259" s="26" t="s">
        <v>747</v>
      </c>
      <c r="B1259" s="26" t="s">
        <v>1016</v>
      </c>
      <c r="C1259" s="33" t="str">
        <f>IFERROR(INDEX(tbl_requisitos_emb[Tema],MATCH(B1259,tbl_requisitos_emb[ID_Req],0)),"")</f>
        <v>Rotulagem</v>
      </c>
      <c r="D1259" s="33" t="str">
        <f>IFERROR(INDEX(tbl_recyclass[Segmento],MATCH(A1259,tbl_recyclass[ProductId],0)),"")</f>
        <v>Cosmética e higiene pessoal</v>
      </c>
      <c r="E1259" s="26" t="s">
        <v>901</v>
      </c>
      <c r="F1259" s="26" t="s">
        <v>1449</v>
      </c>
      <c r="G1259" s="26" t="s">
        <v>990</v>
      </c>
      <c r="H1259" s="33" t="str">
        <f>IF(E1259="Não","Não aplicável",IFERROR(IF(B1259="EU-ENV-002",IF(INDEX(tbl_recyclass[Conforme_PPWR_2030],MATCH(A1259,tbl_recyclass[ProductId],0))="Sim","Conforme (autoavaliação)",IF(INDEX(tbl_recyclass[Conforme_PPWR_2030],MATCH(A1259,tbl_recyclass[ProductId],0))="Não","Não conforme em 2030","Isento até 2035")),IF(B1259="EU-ENV-003",IF(INDEX(tbl_recyclass[Conforme_Art7_2030],MATCH(A1259,tbl_recyclass[ProductId],0))="Sim","Conforme (meta 2030)",IF(INDEX(tbl_recyclass[Conforme_Art7_2030],MATCH(A1259,tbl_recyclass[ProductId],0))="Não","Lacuna face à meta 2030","Isento")),IF(B1259="EU-ENV-011",IF(INDEX(tbl_familias_ppwr[Metais_Pesados_Evidencia],MATCH(INDEX(tbl_recyclass[Familia_PPWR],MATCH(A1259,tbl_recyclass[ProductId],0)),tbl_familias_ppwr[ID_Familia],0))="Em falta","Lacuna","Conforme"),IF(B1259="EU-ENV-013",IF(INDEX(tbl_familias_ppwr[Declaracao_UE],MATCH(INDEX(tbl_recyclass[Familia_PPWR],MATCH(A1259,tbl_recyclass[ProductId],0)),tbl_familias_ppwr[ID_Familia],0))="Sim","Conforme","Lacuna"),G1259)))),G1259))</f>
        <v>Futuro</v>
      </c>
      <c r="I1259" s="33" t="str">
        <f t="shared" si="19"/>
        <v>Futuro</v>
      </c>
      <c r="J1259" s="26" t="s">
        <v>1021</v>
      </c>
    </row>
    <row r="1260" spans="1:10" ht="16.05" customHeight="1" x14ac:dyDescent="0.3">
      <c r="A1260" s="26" t="s">
        <v>747</v>
      </c>
      <c r="B1260" s="26" t="s">
        <v>1038</v>
      </c>
      <c r="C1260" s="33" t="str">
        <f>IFERROR(INDEX(tbl_requisitos_emb[Tema],MATCH(B1260,tbl_requisitos_emb[ID_Req],0)),"")</f>
        <v>Plásticos de utilização única</v>
      </c>
      <c r="D1260" s="33" t="str">
        <f>IFERROR(INDEX(tbl_recyclass[Segmento],MATCH(A1260,tbl_recyclass[ProductId],0)),"")</f>
        <v>Cosmética e higiene pessoal</v>
      </c>
      <c r="E1260" s="26" t="s">
        <v>904</v>
      </c>
      <c r="F1260" s="26" t="s">
        <v>1450</v>
      </c>
      <c r="G1260" s="26" t="s">
        <v>1143</v>
      </c>
      <c r="H1260" s="33" t="str">
        <f>IF(E1260="Não","Não aplicável",IFERROR(IF(B1260="EU-ENV-002",IF(INDEX(tbl_recyclass[Conforme_PPWR_2030],MATCH(A1260,tbl_recyclass[ProductId],0))="Sim","Conforme (autoavaliação)",IF(INDEX(tbl_recyclass[Conforme_PPWR_2030],MATCH(A1260,tbl_recyclass[ProductId],0))="Não","Não conforme em 2030","Isento até 2035")),IF(B1260="EU-ENV-003",IF(INDEX(tbl_recyclass[Conforme_Art7_2030],MATCH(A1260,tbl_recyclass[ProductId],0))="Sim","Conforme (meta 2030)",IF(INDEX(tbl_recyclass[Conforme_Art7_2030],MATCH(A1260,tbl_recyclass[ProductId],0))="Não","Lacuna face à meta 2030","Isento")),IF(B1260="EU-ENV-011",IF(INDEX(tbl_familias_ppwr[Metais_Pesados_Evidencia],MATCH(INDEX(tbl_recyclass[Familia_PPWR],MATCH(A1260,tbl_recyclass[ProductId],0)),tbl_familias_ppwr[ID_Familia],0))="Em falta","Lacuna","Conforme"),IF(B1260="EU-ENV-013",IF(INDEX(tbl_familias_ppwr[Declaracao_UE],MATCH(INDEX(tbl_recyclass[Familia_PPWR],MATCH(A1260,tbl_recyclass[ProductId],0)),tbl_familias_ppwr[ID_Familia],0))="Sim","Conforme","Lacuna"),G1260)))),G1260))</f>
        <v>Não aplicável</v>
      </c>
      <c r="I1260" s="33" t="str">
        <f t="shared" si="19"/>
        <v>Não aplicável</v>
      </c>
      <c r="J1260" s="26"/>
    </row>
    <row r="1261" spans="1:10" ht="16.05" customHeight="1" x14ac:dyDescent="0.3">
      <c r="A1261" s="26" t="s">
        <v>747</v>
      </c>
      <c r="B1261" s="26" t="s">
        <v>1078</v>
      </c>
      <c r="C1261" s="33" t="str">
        <f>IFERROR(INDEX(tbl_requisitos_emb[Tema],MATCH(B1261,tbl_requisitos_emb[ID_Req],0)),"")</f>
        <v>Reciclado à escala</v>
      </c>
      <c r="D1261" s="33" t="str">
        <f>IFERROR(INDEX(tbl_recyclass[Segmento],MATCH(A1261,tbl_recyclass[ProductId],0)),"")</f>
        <v>Cosmética e higiene pessoal</v>
      </c>
      <c r="E1261" s="26" t="s">
        <v>901</v>
      </c>
      <c r="F1261" s="26" t="s">
        <v>1449</v>
      </c>
      <c r="G1261" s="26" t="s">
        <v>990</v>
      </c>
      <c r="H1261" s="33" t="str">
        <f>IF(E1261="Não","Não aplicável",IFERROR(IF(B1261="EU-ENV-002",IF(INDEX(tbl_recyclass[Conforme_PPWR_2030],MATCH(A1261,tbl_recyclass[ProductId],0))="Sim","Conforme (autoavaliação)",IF(INDEX(tbl_recyclass[Conforme_PPWR_2030],MATCH(A1261,tbl_recyclass[ProductId],0))="Não","Não conforme em 2030","Isento até 2035")),IF(B1261="EU-ENV-003",IF(INDEX(tbl_recyclass[Conforme_Art7_2030],MATCH(A1261,tbl_recyclass[ProductId],0))="Sim","Conforme (meta 2030)",IF(INDEX(tbl_recyclass[Conforme_Art7_2030],MATCH(A1261,tbl_recyclass[ProductId],0))="Não","Lacuna face à meta 2030","Isento")),IF(B1261="EU-ENV-011",IF(INDEX(tbl_familias_ppwr[Metais_Pesados_Evidencia],MATCH(INDEX(tbl_recyclass[Familia_PPWR],MATCH(A1261,tbl_recyclass[ProductId],0)),tbl_familias_ppwr[ID_Familia],0))="Em falta","Lacuna","Conforme"),IF(B1261="EU-ENV-013",IF(INDEX(tbl_familias_ppwr[Declaracao_UE],MATCH(INDEX(tbl_recyclass[Familia_PPWR],MATCH(A1261,tbl_recyclass[ProductId],0)),tbl_familias_ppwr[ID_Familia],0))="Sim","Conforme","Lacuna"),G1261)))),G1261))</f>
        <v>Futuro</v>
      </c>
      <c r="I1261" s="33" t="str">
        <f t="shared" si="19"/>
        <v>Futuro</v>
      </c>
      <c r="J1261" s="26" t="s">
        <v>1082</v>
      </c>
    </row>
    <row r="1262" spans="1:10" ht="16.05" customHeight="1" x14ac:dyDescent="0.3">
      <c r="A1262" s="26" t="s">
        <v>747</v>
      </c>
      <c r="B1262" s="26" t="s">
        <v>1086</v>
      </c>
      <c r="C1262" s="33" t="str">
        <f>IFERROR(INDEX(tbl_requisitos_emb[Tema],MATCH(B1262,tbl_requisitos_emb[ID_Req],0)),"")</f>
        <v>Metais pesados</v>
      </c>
      <c r="D1262" s="33" t="str">
        <f>IFERROR(INDEX(tbl_recyclass[Segmento],MATCH(A1262,tbl_recyclass[ProductId],0)),"")</f>
        <v>Cosmética e higiene pessoal</v>
      </c>
      <c r="E1262" s="26" t="s">
        <v>901</v>
      </c>
      <c r="F1262" s="26" t="s">
        <v>1449</v>
      </c>
      <c r="G1262" s="26" t="s">
        <v>978</v>
      </c>
      <c r="H1262" s="33" t="str">
        <f>IF(E1262="Não","Não aplicável",IFERROR(IF(B1262="EU-ENV-002",IF(INDEX(tbl_recyclass[Conforme_PPWR_2030],MATCH(A1262,tbl_recyclass[ProductId],0))="Sim","Conforme (autoavaliação)",IF(INDEX(tbl_recyclass[Conforme_PPWR_2030],MATCH(A1262,tbl_recyclass[ProductId],0))="Não","Não conforme em 2030","Isento até 2035")),IF(B1262="EU-ENV-003",IF(INDEX(tbl_recyclass[Conforme_Art7_2030],MATCH(A1262,tbl_recyclass[ProductId],0))="Sim","Conforme (meta 2030)",IF(INDEX(tbl_recyclass[Conforme_Art7_2030],MATCH(A1262,tbl_recyclass[ProductId],0))="Não","Lacuna face à meta 2030","Isento")),IF(B1262="EU-ENV-011",IF(INDEX(tbl_familias_ppwr[Metais_Pesados_Evidencia],MATCH(INDEX(tbl_recyclass[Familia_PPWR],MATCH(A1262,tbl_recyclass[ProductId],0)),tbl_familias_ppwr[ID_Familia],0))="Em falta","Lacuna","Conforme"),IF(B1262="EU-ENV-013",IF(INDEX(tbl_familias_ppwr[Declaracao_UE],MATCH(INDEX(tbl_recyclass[Familia_PPWR],MATCH(A1262,tbl_recyclass[ProductId],0)),tbl_familias_ppwr[ID_Familia],0))="Sim","Conforme","Lacuna"),G1262)))),G1262))</f>
        <v>Conforme</v>
      </c>
      <c r="I1262" s="33" t="str">
        <f t="shared" si="19"/>
        <v>Conforme</v>
      </c>
      <c r="J1262" s="26" t="s">
        <v>1090</v>
      </c>
    </row>
    <row r="1263" spans="1:10" ht="16.05" customHeight="1" x14ac:dyDescent="0.3">
      <c r="A1263" s="26" t="s">
        <v>747</v>
      </c>
      <c r="B1263" s="26" t="s">
        <v>1094</v>
      </c>
      <c r="C1263" s="33" t="str">
        <f>IFERROR(INDEX(tbl_requisitos_emb[Tema],MATCH(B1263,tbl_requisitos_emb[ID_Req],0)),"")</f>
        <v>PFAS</v>
      </c>
      <c r="D1263" s="33" t="str">
        <f>IFERROR(INDEX(tbl_recyclass[Segmento],MATCH(A1263,tbl_recyclass[ProductId],0)),"")</f>
        <v>Cosmética e higiene pessoal</v>
      </c>
      <c r="E1263" s="26" t="s">
        <v>904</v>
      </c>
      <c r="F1263" s="26" t="s">
        <v>1450</v>
      </c>
      <c r="G1263" s="26" t="s">
        <v>1143</v>
      </c>
      <c r="H1263" s="33" t="str">
        <f>IF(E1263="Não","Não aplicável",IFERROR(IF(B1263="EU-ENV-002",IF(INDEX(tbl_recyclass[Conforme_PPWR_2030],MATCH(A1263,tbl_recyclass[ProductId],0))="Sim","Conforme (autoavaliação)",IF(INDEX(tbl_recyclass[Conforme_PPWR_2030],MATCH(A1263,tbl_recyclass[ProductId],0))="Não","Não conforme em 2030","Isento até 2035")),IF(B1263="EU-ENV-003",IF(INDEX(tbl_recyclass[Conforme_Art7_2030],MATCH(A1263,tbl_recyclass[ProductId],0))="Sim","Conforme (meta 2030)",IF(INDEX(tbl_recyclass[Conforme_Art7_2030],MATCH(A1263,tbl_recyclass[ProductId],0))="Não","Lacuna face à meta 2030","Isento")),IF(B1263="EU-ENV-011",IF(INDEX(tbl_familias_ppwr[Metais_Pesados_Evidencia],MATCH(INDEX(tbl_recyclass[Familia_PPWR],MATCH(A1263,tbl_recyclass[ProductId],0)),tbl_familias_ppwr[ID_Familia],0))="Em falta","Lacuna","Conforme"),IF(B1263="EU-ENV-013",IF(INDEX(tbl_familias_ppwr[Declaracao_UE],MATCH(INDEX(tbl_recyclass[Familia_PPWR],MATCH(A1263,tbl_recyclass[ProductId],0)),tbl_familias_ppwr[ID_Familia],0))="Sim","Conforme","Lacuna"),G1263)))),G1263))</f>
        <v>Não aplicável</v>
      </c>
      <c r="I1263" s="33" t="str">
        <f t="shared" si="19"/>
        <v>Não aplicável</v>
      </c>
      <c r="J1263" s="26"/>
    </row>
    <row r="1264" spans="1:10" ht="16.05" customHeight="1" x14ac:dyDescent="0.3">
      <c r="A1264" s="26" t="s">
        <v>747</v>
      </c>
      <c r="B1264" s="26" t="s">
        <v>1102</v>
      </c>
      <c r="C1264" s="33" t="str">
        <f>IFERROR(INDEX(tbl_requisitos_emb[Tema],MATCH(B1264,tbl_requisitos_emb[ID_Req],0)),"")</f>
        <v>Documentação técnica e declaração UE</v>
      </c>
      <c r="D1264" s="33" t="str">
        <f>IFERROR(INDEX(tbl_recyclass[Segmento],MATCH(A1264,tbl_recyclass[ProductId],0)),"")</f>
        <v>Cosmética e higiene pessoal</v>
      </c>
      <c r="E1264" s="26" t="s">
        <v>901</v>
      </c>
      <c r="F1264" s="26" t="s">
        <v>1449</v>
      </c>
      <c r="G1264" s="26" t="s">
        <v>978</v>
      </c>
      <c r="H1264" s="33" t="str">
        <f>IF(E1264="Não","Não aplicável",IFERROR(IF(B1264="EU-ENV-002",IF(INDEX(tbl_recyclass[Conforme_PPWR_2030],MATCH(A1264,tbl_recyclass[ProductId],0))="Sim","Conforme (autoavaliação)",IF(INDEX(tbl_recyclass[Conforme_PPWR_2030],MATCH(A1264,tbl_recyclass[ProductId],0))="Não","Não conforme em 2030","Isento até 2035")),IF(B1264="EU-ENV-003",IF(INDEX(tbl_recyclass[Conforme_Art7_2030],MATCH(A1264,tbl_recyclass[ProductId],0))="Sim","Conforme (meta 2030)",IF(INDEX(tbl_recyclass[Conforme_Art7_2030],MATCH(A1264,tbl_recyclass[ProductId],0))="Não","Lacuna face à meta 2030","Isento")),IF(B1264="EU-ENV-011",IF(INDEX(tbl_familias_ppwr[Metais_Pesados_Evidencia],MATCH(INDEX(tbl_recyclass[Familia_PPWR],MATCH(A1264,tbl_recyclass[ProductId],0)),tbl_familias_ppwr[ID_Familia],0))="Em falta","Lacuna","Conforme"),IF(B1264="EU-ENV-013",IF(INDEX(tbl_familias_ppwr[Declaracao_UE],MATCH(INDEX(tbl_recyclass[Familia_PPWR],MATCH(A1264,tbl_recyclass[ProductId],0)),tbl_familias_ppwr[ID_Familia],0))="Sim","Conforme","Lacuna"),G1264)))),G1264))</f>
        <v>Conforme</v>
      </c>
      <c r="I1264" s="33" t="str">
        <f t="shared" si="19"/>
        <v>Conforme</v>
      </c>
      <c r="J1264" s="26" t="s">
        <v>1106</v>
      </c>
    </row>
    <row r="1265" spans="1:10" ht="16.05" customHeight="1" x14ac:dyDescent="0.3">
      <c r="A1265" s="26" t="s">
        <v>747</v>
      </c>
      <c r="B1265" s="26" t="s">
        <v>1161</v>
      </c>
      <c r="C1265" s="33" t="str">
        <f>IFERROR(INDEX(tbl_requisitos_emb[Tema],MATCH(B1265,tbl_requisitos_emb[ID_Req],0)),"")</f>
        <v>Materiais em contacto com alimentos</v>
      </c>
      <c r="D1265" s="33" t="str">
        <f>IFERROR(INDEX(tbl_recyclass[Segmento],MATCH(A1265,tbl_recyclass[ProductId],0)),"")</f>
        <v>Cosmética e higiene pessoal</v>
      </c>
      <c r="E1265" s="26" t="s">
        <v>904</v>
      </c>
      <c r="F1265" s="26" t="s">
        <v>1450</v>
      </c>
      <c r="G1265" s="26" t="s">
        <v>1143</v>
      </c>
      <c r="H1265" s="33" t="str">
        <f>IF(E1265="Não","Não aplicável",IFERROR(IF(B1265="EU-ENV-002",IF(INDEX(tbl_recyclass[Conforme_PPWR_2030],MATCH(A1265,tbl_recyclass[ProductId],0))="Sim","Conforme (autoavaliação)",IF(INDEX(tbl_recyclass[Conforme_PPWR_2030],MATCH(A1265,tbl_recyclass[ProductId],0))="Não","Não conforme em 2030","Isento até 2035")),IF(B1265="EU-ENV-003",IF(INDEX(tbl_recyclass[Conforme_Art7_2030],MATCH(A1265,tbl_recyclass[ProductId],0))="Sim","Conforme (meta 2030)",IF(INDEX(tbl_recyclass[Conforme_Art7_2030],MATCH(A1265,tbl_recyclass[ProductId],0))="Não","Lacuna face à meta 2030","Isento")),IF(B1265="EU-ENV-011",IF(INDEX(tbl_familias_ppwr[Metais_Pesados_Evidencia],MATCH(INDEX(tbl_recyclass[Familia_PPWR],MATCH(A1265,tbl_recyclass[ProductId],0)),tbl_familias_ppwr[ID_Familia],0))="Em falta","Lacuna","Conforme"),IF(B1265="EU-ENV-013",IF(INDEX(tbl_familias_ppwr[Declaracao_UE],MATCH(INDEX(tbl_recyclass[Familia_PPWR],MATCH(A1265,tbl_recyclass[ProductId],0)),tbl_familias_ppwr[ID_Familia],0))="Sim","Conforme","Lacuna"),G1265)))),G1265))</f>
        <v>Não aplicável</v>
      </c>
      <c r="I1265" s="33" t="str">
        <f t="shared" si="19"/>
        <v>Não aplicável</v>
      </c>
      <c r="J1265" s="26"/>
    </row>
    <row r="1266" spans="1:10" ht="16.05" customHeight="1" x14ac:dyDescent="0.3">
      <c r="A1266" s="26" t="s">
        <v>747</v>
      </c>
      <c r="B1266" s="26" t="s">
        <v>1170</v>
      </c>
      <c r="C1266" s="33" t="str">
        <f>IFERROR(INDEX(tbl_requisitos_emb[Tema],MATCH(B1266,tbl_requisitos_emb[ID_Req],0)),"")</f>
        <v>Boas práticas de fabrico FCM</v>
      </c>
      <c r="D1266" s="33" t="str">
        <f>IFERROR(INDEX(tbl_recyclass[Segmento],MATCH(A1266,tbl_recyclass[ProductId],0)),"")</f>
        <v>Cosmética e higiene pessoal</v>
      </c>
      <c r="E1266" s="26" t="s">
        <v>904</v>
      </c>
      <c r="F1266" s="26" t="s">
        <v>1450</v>
      </c>
      <c r="G1266" s="26" t="s">
        <v>1143</v>
      </c>
      <c r="H1266" s="33" t="str">
        <f>IF(E1266="Não","Não aplicável",IFERROR(IF(B1266="EU-ENV-002",IF(INDEX(tbl_recyclass[Conforme_PPWR_2030],MATCH(A1266,tbl_recyclass[ProductId],0))="Sim","Conforme (autoavaliação)",IF(INDEX(tbl_recyclass[Conforme_PPWR_2030],MATCH(A1266,tbl_recyclass[ProductId],0))="Não","Não conforme em 2030","Isento até 2035")),IF(B1266="EU-ENV-003",IF(INDEX(tbl_recyclass[Conforme_Art7_2030],MATCH(A1266,tbl_recyclass[ProductId],0))="Sim","Conforme (meta 2030)",IF(INDEX(tbl_recyclass[Conforme_Art7_2030],MATCH(A1266,tbl_recyclass[ProductId],0))="Não","Lacuna face à meta 2030","Isento")),IF(B1266="EU-ENV-011",IF(INDEX(tbl_familias_ppwr[Metais_Pesados_Evidencia],MATCH(INDEX(tbl_recyclass[Familia_PPWR],MATCH(A1266,tbl_recyclass[ProductId],0)),tbl_familias_ppwr[ID_Familia],0))="Em falta","Lacuna","Conforme"),IF(B1266="EU-ENV-013",IF(INDEX(tbl_familias_ppwr[Declaracao_UE],MATCH(INDEX(tbl_recyclass[Familia_PPWR],MATCH(A1266,tbl_recyclass[ProductId],0)),tbl_familias_ppwr[ID_Familia],0))="Sim","Conforme","Lacuna"),G1266)))),G1266))</f>
        <v>Não aplicável</v>
      </c>
      <c r="I1266" s="33" t="str">
        <f t="shared" si="19"/>
        <v>Não aplicável</v>
      </c>
      <c r="J1266" s="26"/>
    </row>
    <row r="1267" spans="1:10" ht="16.05" customHeight="1" x14ac:dyDescent="0.3">
      <c r="A1267" s="26" t="s">
        <v>747</v>
      </c>
      <c r="B1267" s="26" t="s">
        <v>1179</v>
      </c>
      <c r="C1267" s="33" t="str">
        <f>IFERROR(INDEX(tbl_requisitos_emb[Tema],MATCH(B1267,tbl_requisitos_emb[ID_Req],0)),"")</f>
        <v>Bisfenol A e bisfenóis perigosos</v>
      </c>
      <c r="D1267" s="33" t="str">
        <f>IFERROR(INDEX(tbl_recyclass[Segmento],MATCH(A1267,tbl_recyclass[ProductId],0)),"")</f>
        <v>Cosmética e higiene pessoal</v>
      </c>
      <c r="E1267" s="26" t="s">
        <v>904</v>
      </c>
      <c r="F1267" s="26" t="s">
        <v>1450</v>
      </c>
      <c r="G1267" s="26" t="s">
        <v>1143</v>
      </c>
      <c r="H1267" s="33" t="str">
        <f>IF(E1267="Não","Não aplicável",IFERROR(IF(B1267="EU-ENV-002",IF(INDEX(tbl_recyclass[Conforme_PPWR_2030],MATCH(A1267,tbl_recyclass[ProductId],0))="Sim","Conforme (autoavaliação)",IF(INDEX(tbl_recyclass[Conforme_PPWR_2030],MATCH(A1267,tbl_recyclass[ProductId],0))="Não","Não conforme em 2030","Isento até 2035")),IF(B1267="EU-ENV-003",IF(INDEX(tbl_recyclass[Conforme_Art7_2030],MATCH(A1267,tbl_recyclass[ProductId],0))="Sim","Conforme (meta 2030)",IF(INDEX(tbl_recyclass[Conforme_Art7_2030],MATCH(A1267,tbl_recyclass[ProductId],0))="Não","Lacuna face à meta 2030","Isento")),IF(B1267="EU-ENV-011",IF(INDEX(tbl_familias_ppwr[Metais_Pesados_Evidencia],MATCH(INDEX(tbl_recyclass[Familia_PPWR],MATCH(A1267,tbl_recyclass[ProductId],0)),tbl_familias_ppwr[ID_Familia],0))="Em falta","Lacuna","Conforme"),IF(B1267="EU-ENV-013",IF(INDEX(tbl_familias_ppwr[Declaracao_UE],MATCH(INDEX(tbl_recyclass[Familia_PPWR],MATCH(A1267,tbl_recyclass[ProductId],0)),tbl_familias_ppwr[ID_Familia],0))="Sim","Conforme","Lacuna"),G1267)))),G1267))</f>
        <v>Não aplicável</v>
      </c>
      <c r="I1267" s="33" t="str">
        <f t="shared" si="19"/>
        <v>Não aplicável</v>
      </c>
      <c r="J1267" s="26"/>
    </row>
    <row r="1268" spans="1:10" ht="16.05" customHeight="1" x14ac:dyDescent="0.3">
      <c r="A1268" s="26" t="s">
        <v>747</v>
      </c>
      <c r="B1268" s="26" t="s">
        <v>1188</v>
      </c>
      <c r="C1268" s="33" t="str">
        <f>IFERROR(INDEX(tbl_requisitos_emb[Tema],MATCH(B1268,tbl_requisitos_emb[ID_Req],0)),"")</f>
        <v>Plásticos em contacto com alimentos</v>
      </c>
      <c r="D1268" s="33" t="str">
        <f>IFERROR(INDEX(tbl_recyclass[Segmento],MATCH(A1268,tbl_recyclass[ProductId],0)),"")</f>
        <v>Cosmética e higiene pessoal</v>
      </c>
      <c r="E1268" s="26" t="s">
        <v>904</v>
      </c>
      <c r="F1268" s="26" t="s">
        <v>1450</v>
      </c>
      <c r="G1268" s="26" t="s">
        <v>1143</v>
      </c>
      <c r="H1268" s="33" t="str">
        <f>IF(E1268="Não","Não aplicável",IFERROR(IF(B1268="EU-ENV-002",IF(INDEX(tbl_recyclass[Conforme_PPWR_2030],MATCH(A1268,tbl_recyclass[ProductId],0))="Sim","Conforme (autoavaliação)",IF(INDEX(tbl_recyclass[Conforme_PPWR_2030],MATCH(A1268,tbl_recyclass[ProductId],0))="Não","Não conforme em 2030","Isento até 2035")),IF(B1268="EU-ENV-003",IF(INDEX(tbl_recyclass[Conforme_Art7_2030],MATCH(A1268,tbl_recyclass[ProductId],0))="Sim","Conforme (meta 2030)",IF(INDEX(tbl_recyclass[Conforme_Art7_2030],MATCH(A1268,tbl_recyclass[ProductId],0))="Não","Lacuna face à meta 2030","Isento")),IF(B1268="EU-ENV-011",IF(INDEX(tbl_familias_ppwr[Metais_Pesados_Evidencia],MATCH(INDEX(tbl_recyclass[Familia_PPWR],MATCH(A1268,tbl_recyclass[ProductId],0)),tbl_familias_ppwr[ID_Familia],0))="Em falta","Lacuna","Conforme"),IF(B1268="EU-ENV-013",IF(INDEX(tbl_familias_ppwr[Declaracao_UE],MATCH(INDEX(tbl_recyclass[Familia_PPWR],MATCH(A1268,tbl_recyclass[ProductId],0)),tbl_familias_ppwr[ID_Familia],0))="Sim","Conforme","Lacuna"),G1268)))),G1268))</f>
        <v>Não aplicável</v>
      </c>
      <c r="I1268" s="33" t="str">
        <f t="shared" si="19"/>
        <v>Não aplicável</v>
      </c>
      <c r="J1268" s="26"/>
    </row>
    <row r="1269" spans="1:10" ht="16.05" customHeight="1" x14ac:dyDescent="0.3">
      <c r="A1269" s="26" t="s">
        <v>747</v>
      </c>
      <c r="B1269" s="26" t="s">
        <v>1212</v>
      </c>
      <c r="C1269" s="33" t="str">
        <f>IFERROR(INDEX(tbl_requisitos_emb[Tema],MATCH(B1269,tbl_requisitos_emb[ID_Req],0)),"")</f>
        <v>Segurança do produto cosmético</v>
      </c>
      <c r="D1269" s="33" t="str">
        <f>IFERROR(INDEX(tbl_recyclass[Segmento],MATCH(A1269,tbl_recyclass[ProductId],0)),"")</f>
        <v>Cosmética e higiene pessoal</v>
      </c>
      <c r="E1269" s="26" t="s">
        <v>901</v>
      </c>
      <c r="F1269" s="26" t="s">
        <v>1449</v>
      </c>
      <c r="G1269" s="26" t="s">
        <v>1033</v>
      </c>
      <c r="H1269" s="33" t="str">
        <f>IF(E1269="Não","Não aplicável",IFERROR(IF(B1269="EU-ENV-002",IF(INDEX(tbl_recyclass[Conforme_PPWR_2030],MATCH(A1269,tbl_recyclass[ProductId],0))="Sim","Conforme (autoavaliação)",IF(INDEX(tbl_recyclass[Conforme_PPWR_2030],MATCH(A1269,tbl_recyclass[ProductId],0))="Não","Não conforme em 2030","Isento até 2035")),IF(B1269="EU-ENV-003",IF(INDEX(tbl_recyclass[Conforme_Art7_2030],MATCH(A1269,tbl_recyclass[ProductId],0))="Sim","Conforme (meta 2030)",IF(INDEX(tbl_recyclass[Conforme_Art7_2030],MATCH(A1269,tbl_recyclass[ProductId],0))="Não","Lacuna face à meta 2030","Isento")),IF(B1269="EU-ENV-011",IF(INDEX(tbl_familias_ppwr[Metais_Pesados_Evidencia],MATCH(INDEX(tbl_recyclass[Familia_PPWR],MATCH(A1269,tbl_recyclass[ProductId],0)),tbl_familias_ppwr[ID_Familia],0))="Em falta","Lacuna","Conforme"),IF(B1269="EU-ENV-013",IF(INDEX(tbl_familias_ppwr[Declaracao_UE],MATCH(INDEX(tbl_recyclass[Familia_PPWR],MATCH(A1269,tbl_recyclass[ProductId],0)),tbl_familias_ppwr[ID_Familia],0))="Sim","Conforme","Lacuna"),G1269)))),G1269))</f>
        <v>Conforme</v>
      </c>
      <c r="I1269" s="33" t="str">
        <f t="shared" si="19"/>
        <v>Conforme</v>
      </c>
      <c r="J1269" s="26" t="s">
        <v>1221</v>
      </c>
    </row>
    <row r="1270" spans="1:10" ht="16.05" customHeight="1" x14ac:dyDescent="0.3">
      <c r="A1270" s="26" t="s">
        <v>747</v>
      </c>
      <c r="B1270" s="26" t="s">
        <v>1224</v>
      </c>
      <c r="C1270" s="33" t="str">
        <f>IFERROR(INDEX(tbl_requisitos_emb[Tema],MATCH(B1270,tbl_requisitos_emb[ID_Req],0)),"")</f>
        <v>Materiais e impurezas</v>
      </c>
      <c r="D1270" s="33" t="str">
        <f>IFERROR(INDEX(tbl_recyclass[Segmento],MATCH(A1270,tbl_recyclass[ProductId],0)),"")</f>
        <v>Cosmética e higiene pessoal</v>
      </c>
      <c r="E1270" s="26" t="s">
        <v>901</v>
      </c>
      <c r="F1270" s="26" t="s">
        <v>1449</v>
      </c>
      <c r="G1270" s="26" t="s">
        <v>978</v>
      </c>
      <c r="H1270" s="33" t="str">
        <f>IF(E1270="Não","Não aplicável",IFERROR(IF(B1270="EU-ENV-002",IF(INDEX(tbl_recyclass[Conforme_PPWR_2030],MATCH(A1270,tbl_recyclass[ProductId],0))="Sim","Conforme (autoavaliação)",IF(INDEX(tbl_recyclass[Conforme_PPWR_2030],MATCH(A1270,tbl_recyclass[ProductId],0))="Não","Não conforme em 2030","Isento até 2035")),IF(B1270="EU-ENV-003",IF(INDEX(tbl_recyclass[Conforme_Art7_2030],MATCH(A1270,tbl_recyclass[ProductId],0))="Sim","Conforme (meta 2030)",IF(INDEX(tbl_recyclass[Conforme_Art7_2030],MATCH(A1270,tbl_recyclass[ProductId],0))="Não","Lacuna face à meta 2030","Isento")),IF(B1270="EU-ENV-011",IF(INDEX(tbl_familias_ppwr[Metais_Pesados_Evidencia],MATCH(INDEX(tbl_recyclass[Familia_PPWR],MATCH(A1270,tbl_recyclass[ProductId],0)),tbl_familias_ppwr[ID_Familia],0))="Em falta","Lacuna","Conforme"),IF(B1270="EU-ENV-013",IF(INDEX(tbl_familias_ppwr[Declaracao_UE],MATCH(INDEX(tbl_recyclass[Familia_PPWR],MATCH(A1270,tbl_recyclass[ProductId],0)),tbl_familias_ppwr[ID_Familia],0))="Sim","Conforme","Lacuna"),G1270)))),G1270))</f>
        <v>Parcial</v>
      </c>
      <c r="I1270" s="33" t="str">
        <f t="shared" si="19"/>
        <v>Parcial</v>
      </c>
      <c r="J1270" s="26" t="s">
        <v>1228</v>
      </c>
    </row>
    <row r="1271" spans="1:10" ht="16.05" customHeight="1" x14ac:dyDescent="0.3">
      <c r="A1271" s="26" t="s">
        <v>747</v>
      </c>
      <c r="B1271" s="26" t="s">
        <v>1240</v>
      </c>
      <c r="C1271" s="33" t="str">
        <f>IFERROR(INDEX(tbl_requisitos_emb[Tema],MATCH(B1271,tbl_requisitos_emb[ID_Req],0)),"")</f>
        <v>Compatibilidade embalagem–produto</v>
      </c>
      <c r="D1271" s="33" t="str">
        <f>IFERROR(INDEX(tbl_recyclass[Segmento],MATCH(A1271,tbl_recyclass[ProductId],0)),"")</f>
        <v>Cosmética e higiene pessoal</v>
      </c>
      <c r="E1271" s="26" t="s">
        <v>901</v>
      </c>
      <c r="F1271" s="26" t="s">
        <v>1449</v>
      </c>
      <c r="G1271" s="26" t="s">
        <v>1033</v>
      </c>
      <c r="H1271" s="33" t="str">
        <f>IF(E1271="Não","Não aplicável",IFERROR(IF(B1271="EU-ENV-002",IF(INDEX(tbl_recyclass[Conforme_PPWR_2030],MATCH(A1271,tbl_recyclass[ProductId],0))="Sim","Conforme (autoavaliação)",IF(INDEX(tbl_recyclass[Conforme_PPWR_2030],MATCH(A1271,tbl_recyclass[ProductId],0))="Não","Não conforme em 2030","Isento até 2035")),IF(B1271="EU-ENV-003",IF(INDEX(tbl_recyclass[Conforme_Art7_2030],MATCH(A1271,tbl_recyclass[ProductId],0))="Sim","Conforme (meta 2030)",IF(INDEX(tbl_recyclass[Conforme_Art7_2030],MATCH(A1271,tbl_recyclass[ProductId],0))="Não","Lacuna face à meta 2030","Isento")),IF(B1271="EU-ENV-011",IF(INDEX(tbl_familias_ppwr[Metais_Pesados_Evidencia],MATCH(INDEX(tbl_recyclass[Familia_PPWR],MATCH(A1271,tbl_recyclass[ProductId],0)),tbl_familias_ppwr[ID_Familia],0))="Em falta","Lacuna","Conforme"),IF(B1271="EU-ENV-013",IF(INDEX(tbl_familias_ppwr[Declaracao_UE],MATCH(INDEX(tbl_recyclass[Familia_PPWR],MATCH(A1271,tbl_recyclass[ProductId],0)),tbl_familias_ppwr[ID_Familia],0))="Sim","Conforme","Lacuna"),G1271)))),G1271))</f>
        <v>Conforme</v>
      </c>
      <c r="I1271" s="33" t="str">
        <f t="shared" si="19"/>
        <v>Conforme</v>
      </c>
      <c r="J1271" s="26" t="s">
        <v>1244</v>
      </c>
    </row>
    <row r="1272" spans="1:10" ht="16.05" customHeight="1" x14ac:dyDescent="0.3">
      <c r="A1272" s="26" t="s">
        <v>747</v>
      </c>
      <c r="B1272" s="26" t="s">
        <v>1252</v>
      </c>
      <c r="C1272" s="33" t="str">
        <f>IFERROR(INDEX(tbl_requisitos_emb[Tema],MATCH(B1272,tbl_requisitos_emb[ID_Req],0)),"")</f>
        <v>Medicamentos de uso humano</v>
      </c>
      <c r="D1272" s="33" t="str">
        <f>IFERROR(INDEX(tbl_recyclass[Segmento],MATCH(A1272,tbl_recyclass[ProductId],0)),"")</f>
        <v>Cosmética e higiene pessoal</v>
      </c>
      <c r="E1272" s="26" t="s">
        <v>904</v>
      </c>
      <c r="F1272" s="26" t="s">
        <v>1451</v>
      </c>
      <c r="G1272" s="26" t="s">
        <v>1143</v>
      </c>
      <c r="H1272" s="33" t="str">
        <f>IF(E1272="Não","Não aplicável",IFERROR(IF(B1272="EU-ENV-002",IF(INDEX(tbl_recyclass[Conforme_PPWR_2030],MATCH(A1272,tbl_recyclass[ProductId],0))="Sim","Conforme (autoavaliação)",IF(INDEX(tbl_recyclass[Conforme_PPWR_2030],MATCH(A1272,tbl_recyclass[ProductId],0))="Não","Não conforme em 2030","Isento até 2035")),IF(B1272="EU-ENV-003",IF(INDEX(tbl_recyclass[Conforme_Art7_2030],MATCH(A1272,tbl_recyclass[ProductId],0))="Sim","Conforme (meta 2030)",IF(INDEX(tbl_recyclass[Conforme_Art7_2030],MATCH(A1272,tbl_recyclass[ProductId],0))="Não","Lacuna face à meta 2030","Isento")),IF(B1272="EU-ENV-011",IF(INDEX(tbl_familias_ppwr[Metais_Pesados_Evidencia],MATCH(INDEX(tbl_recyclass[Familia_PPWR],MATCH(A1272,tbl_recyclass[ProductId],0)),tbl_familias_ppwr[ID_Familia],0))="Em falta","Lacuna","Conforme"),IF(B1272="EU-ENV-013",IF(INDEX(tbl_familias_ppwr[Declaracao_UE],MATCH(INDEX(tbl_recyclass[Familia_PPWR],MATCH(A1272,tbl_recyclass[ProductId],0)),tbl_familias_ppwr[ID_Familia],0))="Sim","Conforme","Lacuna"),G1272)))),G1272))</f>
        <v>Não aplicável</v>
      </c>
      <c r="I1272" s="33" t="str">
        <f t="shared" si="19"/>
        <v>Não aplicável</v>
      </c>
      <c r="J1272" s="26"/>
    </row>
    <row r="1273" spans="1:10" ht="16.05" customHeight="1" x14ac:dyDescent="0.3">
      <c r="A1273" s="26" t="s">
        <v>747</v>
      </c>
      <c r="B1273" s="26" t="s">
        <v>1268</v>
      </c>
      <c r="C1273" s="33" t="str">
        <f>IFERROR(INDEX(tbl_requisitos_emb[Tema],MATCH(B1273,tbl_requisitos_emb[ID_Req],0)),"")</f>
        <v>Dispositivos de segurança</v>
      </c>
      <c r="D1273" s="33" t="str">
        <f>IFERROR(INDEX(tbl_recyclass[Segmento],MATCH(A1273,tbl_recyclass[ProductId],0)),"")</f>
        <v>Cosmética e higiene pessoal</v>
      </c>
      <c r="E1273" s="26" t="s">
        <v>904</v>
      </c>
      <c r="F1273" s="26" t="s">
        <v>1451</v>
      </c>
      <c r="G1273" s="26" t="s">
        <v>1143</v>
      </c>
      <c r="H1273" s="33" t="str">
        <f>IF(E1273="Não","Não aplicável",IFERROR(IF(B1273="EU-ENV-002",IF(INDEX(tbl_recyclass[Conforme_PPWR_2030],MATCH(A1273,tbl_recyclass[ProductId],0))="Sim","Conforme (autoavaliação)",IF(INDEX(tbl_recyclass[Conforme_PPWR_2030],MATCH(A1273,tbl_recyclass[ProductId],0))="Não","Não conforme em 2030","Isento até 2035")),IF(B1273="EU-ENV-003",IF(INDEX(tbl_recyclass[Conforme_Art7_2030],MATCH(A1273,tbl_recyclass[ProductId],0))="Sim","Conforme (meta 2030)",IF(INDEX(tbl_recyclass[Conforme_Art7_2030],MATCH(A1273,tbl_recyclass[ProductId],0))="Não","Lacuna face à meta 2030","Isento")),IF(B1273="EU-ENV-011",IF(INDEX(tbl_familias_ppwr[Metais_Pesados_Evidencia],MATCH(INDEX(tbl_recyclass[Familia_PPWR],MATCH(A1273,tbl_recyclass[ProductId],0)),tbl_familias_ppwr[ID_Familia],0))="Em falta","Lacuna","Conforme"),IF(B1273="EU-ENV-013",IF(INDEX(tbl_familias_ppwr[Declaracao_UE],MATCH(INDEX(tbl_recyclass[Familia_PPWR],MATCH(A1273,tbl_recyclass[ProductId],0)),tbl_familias_ppwr[ID_Familia],0))="Sim","Conforme","Lacuna"),G1273)))),G1273))</f>
        <v>Não aplicável</v>
      </c>
      <c r="I1273" s="33" t="str">
        <f t="shared" si="19"/>
        <v>Não aplicável</v>
      </c>
      <c r="J1273" s="26"/>
    </row>
    <row r="1274" spans="1:10" ht="16.05" customHeight="1" x14ac:dyDescent="0.3">
      <c r="A1274" s="26" t="s">
        <v>747</v>
      </c>
      <c r="B1274" s="26" t="s">
        <v>1285</v>
      </c>
      <c r="C1274" s="33" t="str">
        <f>IFERROR(INDEX(tbl_requisitos_emb[Tema],MATCH(B1274,tbl_requisitos_emb[ID_Req],0)),"")</f>
        <v>Materiais plásticos de acondicionamento primário</v>
      </c>
      <c r="D1274" s="33" t="str">
        <f>IFERROR(INDEX(tbl_recyclass[Segmento],MATCH(A1274,tbl_recyclass[ProductId],0)),"")</f>
        <v>Cosmética e higiene pessoal</v>
      </c>
      <c r="E1274" s="26" t="s">
        <v>904</v>
      </c>
      <c r="F1274" s="26" t="s">
        <v>1451</v>
      </c>
      <c r="G1274" s="26" t="s">
        <v>1143</v>
      </c>
      <c r="H1274" s="33" t="str">
        <f>IF(E1274="Não","Não aplicável",IFERROR(IF(B1274="EU-ENV-002",IF(INDEX(tbl_recyclass[Conforme_PPWR_2030],MATCH(A1274,tbl_recyclass[ProductId],0))="Sim","Conforme (autoavaliação)",IF(INDEX(tbl_recyclass[Conforme_PPWR_2030],MATCH(A1274,tbl_recyclass[ProductId],0))="Não","Não conforme em 2030","Isento até 2035")),IF(B1274="EU-ENV-003",IF(INDEX(tbl_recyclass[Conforme_Art7_2030],MATCH(A1274,tbl_recyclass[ProductId],0))="Sim","Conforme (meta 2030)",IF(INDEX(tbl_recyclass[Conforme_Art7_2030],MATCH(A1274,tbl_recyclass[ProductId],0))="Não","Lacuna face à meta 2030","Isento")),IF(B1274="EU-ENV-011",IF(INDEX(tbl_familias_ppwr[Metais_Pesados_Evidencia],MATCH(INDEX(tbl_recyclass[Familia_PPWR],MATCH(A1274,tbl_recyclass[ProductId],0)),tbl_familias_ppwr[ID_Familia],0))="Em falta","Lacuna","Conforme"),IF(B1274="EU-ENV-013",IF(INDEX(tbl_familias_ppwr[Declaracao_UE],MATCH(INDEX(tbl_recyclass[Familia_PPWR],MATCH(A1274,tbl_recyclass[ProductId],0)),tbl_familias_ppwr[ID_Familia],0))="Sim","Conforme","Lacuna"),G1274)))),G1274))</f>
        <v>Não aplicável</v>
      </c>
      <c r="I1274" s="33" t="str">
        <f t="shared" si="19"/>
        <v>Não aplicável</v>
      </c>
      <c r="J1274" s="26"/>
    </row>
    <row r="1275" spans="1:10" ht="16.05" customHeight="1" x14ac:dyDescent="0.3">
      <c r="A1275" s="26" t="s">
        <v>747</v>
      </c>
      <c r="B1275" s="26" t="s">
        <v>1293</v>
      </c>
      <c r="C1275" s="33" t="str">
        <f>IFERROR(INDEX(tbl_requisitos_emb[Tema],MATCH(B1275,tbl_requisitos_emb[ID_Req],0)),"")</f>
        <v>Isenções PPWR</v>
      </c>
      <c r="D1275" s="33" t="str">
        <f>IFERROR(INDEX(tbl_recyclass[Segmento],MATCH(A1275,tbl_recyclass[ProductId],0)),"")</f>
        <v>Cosmética e higiene pessoal</v>
      </c>
      <c r="E1275" s="26" t="s">
        <v>904</v>
      </c>
      <c r="F1275" s="26" t="s">
        <v>1451</v>
      </c>
      <c r="G1275" s="26" t="s">
        <v>1143</v>
      </c>
      <c r="H1275" s="33" t="str">
        <f>IF(E1275="Não","Não aplicável",IFERROR(IF(B1275="EU-ENV-002",IF(INDEX(tbl_recyclass[Conforme_PPWR_2030],MATCH(A1275,tbl_recyclass[ProductId],0))="Sim","Conforme (autoavaliação)",IF(INDEX(tbl_recyclass[Conforme_PPWR_2030],MATCH(A1275,tbl_recyclass[ProductId],0))="Não","Não conforme em 2030","Isento até 2035")),IF(B1275="EU-ENV-003",IF(INDEX(tbl_recyclass[Conforme_Art7_2030],MATCH(A1275,tbl_recyclass[ProductId],0))="Sim","Conforme (meta 2030)",IF(INDEX(tbl_recyclass[Conforme_Art7_2030],MATCH(A1275,tbl_recyclass[ProductId],0))="Não","Lacuna face à meta 2030","Isento")),IF(B1275="EU-ENV-011",IF(INDEX(tbl_familias_ppwr[Metais_Pesados_Evidencia],MATCH(INDEX(tbl_recyclass[Familia_PPWR],MATCH(A1275,tbl_recyclass[ProductId],0)),tbl_familias_ppwr[ID_Familia],0))="Em falta","Lacuna","Conforme"),IF(B1275="EU-ENV-013",IF(INDEX(tbl_familias_ppwr[Declaracao_UE],MATCH(INDEX(tbl_recyclass[Familia_PPWR],MATCH(A1275,tbl_recyclass[ProductId],0)),tbl_familias_ppwr[ID_Familia],0))="Sim","Conforme","Lacuna"),G1275)))),G1275))</f>
        <v>Não aplicável</v>
      </c>
      <c r="I1275" s="33" t="str">
        <f t="shared" si="19"/>
        <v>Não aplicável</v>
      </c>
      <c r="J1275" s="26"/>
    </row>
    <row r="1276" spans="1:10" ht="16.05" customHeight="1" x14ac:dyDescent="0.3">
      <c r="A1276" s="26" t="s">
        <v>747</v>
      </c>
      <c r="B1276" s="26" t="s">
        <v>1357</v>
      </c>
      <c r="C1276" s="33" t="str">
        <f>IFERROR(INDEX(tbl_requisitos_emb[Tema],MATCH(B1276,tbl_requisitos_emb[ID_Req],0)),"")</f>
        <v>Identificação de plásticos</v>
      </c>
      <c r="D1276" s="33" t="str">
        <f>IFERROR(INDEX(tbl_recyclass[Segmento],MATCH(A1276,tbl_recyclass[ProductId],0)),"")</f>
        <v>Cosmética e higiene pessoal</v>
      </c>
      <c r="E1276" s="26" t="s">
        <v>901</v>
      </c>
      <c r="F1276" s="26" t="s">
        <v>1449</v>
      </c>
      <c r="G1276" s="26" t="s">
        <v>978</v>
      </c>
      <c r="H1276" s="33" t="str">
        <f>IF(E1276="Não","Não aplicável",IFERROR(IF(B1276="EU-ENV-002",IF(INDEX(tbl_recyclass[Conforme_PPWR_2030],MATCH(A1276,tbl_recyclass[ProductId],0))="Sim","Conforme (autoavaliação)",IF(INDEX(tbl_recyclass[Conforme_PPWR_2030],MATCH(A1276,tbl_recyclass[ProductId],0))="Não","Não conforme em 2030","Isento até 2035")),IF(B1276="EU-ENV-003",IF(INDEX(tbl_recyclass[Conforme_Art7_2030],MATCH(A1276,tbl_recyclass[ProductId],0))="Sim","Conforme (meta 2030)",IF(INDEX(tbl_recyclass[Conforme_Art7_2030],MATCH(A1276,tbl_recyclass[ProductId],0))="Não","Lacuna face à meta 2030","Isento")),IF(B1276="EU-ENV-011",IF(INDEX(tbl_familias_ppwr[Metais_Pesados_Evidencia],MATCH(INDEX(tbl_recyclass[Familia_PPWR],MATCH(A1276,tbl_recyclass[ProductId],0)),tbl_familias_ppwr[ID_Familia],0))="Em falta","Lacuna","Conforme"),IF(B1276="EU-ENV-013",IF(INDEX(tbl_familias_ppwr[Declaracao_UE],MATCH(INDEX(tbl_recyclass[Familia_PPWR],MATCH(A1276,tbl_recyclass[ProductId],0)),tbl_familias_ppwr[ID_Familia],0))="Sim","Conforme","Lacuna"),G1276)))),G1276))</f>
        <v>Parcial</v>
      </c>
      <c r="I1276" s="33" t="str">
        <f t="shared" si="19"/>
        <v>Parcial</v>
      </c>
      <c r="J1276" s="26" t="s">
        <v>1362</v>
      </c>
    </row>
    <row r="1277" spans="1:10" ht="16.05" customHeight="1" x14ac:dyDescent="0.3">
      <c r="A1277" s="26" t="s">
        <v>747</v>
      </c>
      <c r="B1277" s="26" t="s">
        <v>1385</v>
      </c>
      <c r="C1277" s="33" t="str">
        <f>IFERROR(INDEX(tbl_requisitos_emb[Tema],MATCH(B1277,tbl_requisitos_emb[ID_Req],0)),"")</f>
        <v>Reciclabilidade (voluntária)</v>
      </c>
      <c r="D1277" s="33" t="str">
        <f>IFERROR(INDEX(tbl_recyclass[Segmento],MATCH(A1277,tbl_recyclass[ProductId],0)),"")</f>
        <v>Cosmética e higiene pessoal</v>
      </c>
      <c r="E1277" s="26" t="s">
        <v>901</v>
      </c>
      <c r="F1277" s="26" t="s">
        <v>1449</v>
      </c>
      <c r="G1277" s="26" t="s">
        <v>978</v>
      </c>
      <c r="H1277" s="33" t="str">
        <f>IF(E1277="Não","Não aplicável",IFERROR(IF(B1277="EU-ENV-002",IF(INDEX(tbl_recyclass[Conforme_PPWR_2030],MATCH(A1277,tbl_recyclass[ProductId],0))="Sim","Conforme (autoavaliação)",IF(INDEX(tbl_recyclass[Conforme_PPWR_2030],MATCH(A1277,tbl_recyclass[ProductId],0))="Não","Não conforme em 2030","Isento até 2035")),IF(B1277="EU-ENV-003",IF(INDEX(tbl_recyclass[Conforme_Art7_2030],MATCH(A1277,tbl_recyclass[ProductId],0))="Sim","Conforme (meta 2030)",IF(INDEX(tbl_recyclass[Conforme_Art7_2030],MATCH(A1277,tbl_recyclass[ProductId],0))="Não","Lacuna face à meta 2030","Isento")),IF(B1277="EU-ENV-011",IF(INDEX(tbl_familias_ppwr[Metais_Pesados_Evidencia],MATCH(INDEX(tbl_recyclass[Familia_PPWR],MATCH(A1277,tbl_recyclass[ProductId],0)),tbl_familias_ppwr[ID_Familia],0))="Em falta","Lacuna","Conforme"),IF(B1277="EU-ENV-013",IF(INDEX(tbl_familias_ppwr[Declaracao_UE],MATCH(INDEX(tbl_recyclass[Familia_PPWR],MATCH(A1277,tbl_recyclass[ProductId],0)),tbl_familias_ppwr[ID_Familia],0))="Sim","Conforme","Lacuna"),G1277)))),G1277))</f>
        <v>Parcial</v>
      </c>
      <c r="I1277" s="33" t="str">
        <f t="shared" si="19"/>
        <v>Parcial</v>
      </c>
      <c r="J1277" s="26" t="s">
        <v>1389</v>
      </c>
    </row>
    <row r="1278" spans="1:10" ht="16.05" customHeight="1" x14ac:dyDescent="0.3">
      <c r="A1278" s="26" t="s">
        <v>749</v>
      </c>
      <c r="B1278" s="26" t="s">
        <v>984</v>
      </c>
      <c r="C1278" s="33" t="str">
        <f>IFERROR(INDEX(tbl_requisitos_emb[Tema],MATCH(B1278,tbl_requisitos_emb[ID_Req],0)),"")</f>
        <v>Conceção para reciclagem</v>
      </c>
      <c r="D1278" s="33" t="str">
        <f>IFERROR(INDEX(tbl_recyclass[Segmento],MATCH(A1278,tbl_recyclass[ProductId],0)),"")</f>
        <v>Cosmética e higiene pessoal</v>
      </c>
      <c r="E1278" s="26" t="s">
        <v>901</v>
      </c>
      <c r="F1278" s="26" t="s">
        <v>1449</v>
      </c>
      <c r="G1278" s="26" t="s">
        <v>978</v>
      </c>
      <c r="H1278" s="33" t="str">
        <f>IF(E1278="Não","Não aplicável",IFERROR(IF(B1278="EU-ENV-002",IF(INDEX(tbl_recyclass[Conforme_PPWR_2030],MATCH(A1278,tbl_recyclass[ProductId],0))="Sim","Conforme (autoavaliação)",IF(INDEX(tbl_recyclass[Conforme_PPWR_2030],MATCH(A1278,tbl_recyclass[ProductId],0))="Não","Não conforme em 2030","Isento até 2035")),IF(B1278="EU-ENV-003",IF(INDEX(tbl_recyclass[Conforme_Art7_2030],MATCH(A1278,tbl_recyclass[ProductId],0))="Sim","Conforme (meta 2030)",IF(INDEX(tbl_recyclass[Conforme_Art7_2030],MATCH(A1278,tbl_recyclass[ProductId],0))="Não","Lacuna face à meta 2030","Isento")),IF(B1278="EU-ENV-011",IF(INDEX(tbl_familias_ppwr[Metais_Pesados_Evidencia],MATCH(INDEX(tbl_recyclass[Familia_PPWR],MATCH(A1278,tbl_recyclass[ProductId],0)),tbl_familias_ppwr[ID_Familia],0))="Em falta","Lacuna","Conforme"),IF(B1278="EU-ENV-013",IF(INDEX(tbl_familias_ppwr[Declaracao_UE],MATCH(INDEX(tbl_recyclass[Familia_PPWR],MATCH(A1278,tbl_recyclass[ProductId],0)),tbl_familias_ppwr[ID_Familia],0))="Sim","Conforme","Lacuna"),G1278)))),G1278))</f>
        <v>Conforme (autoavaliação)</v>
      </c>
      <c r="I1278" s="33" t="str">
        <f t="shared" si="19"/>
        <v>Conforme</v>
      </c>
      <c r="J1278" s="26" t="s">
        <v>991</v>
      </c>
    </row>
    <row r="1279" spans="1:10" ht="16.05" customHeight="1" x14ac:dyDescent="0.3">
      <c r="A1279" s="26" t="s">
        <v>749</v>
      </c>
      <c r="B1279" s="26" t="s">
        <v>997</v>
      </c>
      <c r="C1279" s="33" t="str">
        <f>IFERROR(INDEX(tbl_requisitos_emb[Tema],MATCH(B1279,tbl_requisitos_emb[ID_Req],0)),"")</f>
        <v>Conteúdo reciclado</v>
      </c>
      <c r="D1279" s="33" t="str">
        <f>IFERROR(INDEX(tbl_recyclass[Segmento],MATCH(A1279,tbl_recyclass[ProductId],0)),"")</f>
        <v>Cosmética e higiene pessoal</v>
      </c>
      <c r="E1279" s="26" t="s">
        <v>901</v>
      </c>
      <c r="F1279" s="26" t="s">
        <v>1449</v>
      </c>
      <c r="G1279" s="26" t="s">
        <v>978</v>
      </c>
      <c r="H1279" s="33" t="str">
        <f>IF(E1279="Não","Não aplicável",IFERROR(IF(B1279="EU-ENV-002",IF(INDEX(tbl_recyclass[Conforme_PPWR_2030],MATCH(A1279,tbl_recyclass[ProductId],0))="Sim","Conforme (autoavaliação)",IF(INDEX(tbl_recyclass[Conforme_PPWR_2030],MATCH(A1279,tbl_recyclass[ProductId],0))="Não","Não conforme em 2030","Isento até 2035")),IF(B1279="EU-ENV-003",IF(INDEX(tbl_recyclass[Conforme_Art7_2030],MATCH(A1279,tbl_recyclass[ProductId],0))="Sim","Conforme (meta 2030)",IF(INDEX(tbl_recyclass[Conforme_Art7_2030],MATCH(A1279,tbl_recyclass[ProductId],0))="Não","Lacuna face à meta 2030","Isento")),IF(B1279="EU-ENV-011",IF(INDEX(tbl_familias_ppwr[Metais_Pesados_Evidencia],MATCH(INDEX(tbl_recyclass[Familia_PPWR],MATCH(A1279,tbl_recyclass[ProductId],0)),tbl_familias_ppwr[ID_Familia],0))="Em falta","Lacuna","Conforme"),IF(B1279="EU-ENV-013",IF(INDEX(tbl_familias_ppwr[Declaracao_UE],MATCH(INDEX(tbl_recyclass[Familia_PPWR],MATCH(A1279,tbl_recyclass[ProductId],0)),tbl_familias_ppwr[ID_Familia],0))="Sim","Conforme","Lacuna"),G1279)))),G1279))</f>
        <v>Lacuna face à meta 2030</v>
      </c>
      <c r="I1279" s="33" t="str">
        <f t="shared" si="19"/>
        <v>Lacuna</v>
      </c>
      <c r="J1279" s="26" t="s">
        <v>1001</v>
      </c>
    </row>
    <row r="1280" spans="1:10" ht="16.05" customHeight="1" x14ac:dyDescent="0.3">
      <c r="A1280" s="26" t="s">
        <v>749</v>
      </c>
      <c r="B1280" s="26" t="s">
        <v>1007</v>
      </c>
      <c r="C1280" s="33" t="str">
        <f>IFERROR(INDEX(tbl_requisitos_emb[Tema],MATCH(B1280,tbl_requisitos_emb[ID_Req],0)),"")</f>
        <v>Minimização</v>
      </c>
      <c r="D1280" s="33" t="str">
        <f>IFERROR(INDEX(tbl_recyclass[Segmento],MATCH(A1280,tbl_recyclass[ProductId],0)),"")</f>
        <v>Cosmética e higiene pessoal</v>
      </c>
      <c r="E1280" s="26" t="s">
        <v>901</v>
      </c>
      <c r="F1280" s="26" t="s">
        <v>1449</v>
      </c>
      <c r="G1280" s="26" t="s">
        <v>978</v>
      </c>
      <c r="H1280" s="33" t="str">
        <f>IF(E1280="Não","Não aplicável",IFERROR(IF(B1280="EU-ENV-002",IF(INDEX(tbl_recyclass[Conforme_PPWR_2030],MATCH(A1280,tbl_recyclass[ProductId],0))="Sim","Conforme (autoavaliação)",IF(INDEX(tbl_recyclass[Conforme_PPWR_2030],MATCH(A1280,tbl_recyclass[ProductId],0))="Não","Não conforme em 2030","Isento até 2035")),IF(B1280="EU-ENV-003",IF(INDEX(tbl_recyclass[Conforme_Art7_2030],MATCH(A1280,tbl_recyclass[ProductId],0))="Sim","Conforme (meta 2030)",IF(INDEX(tbl_recyclass[Conforme_Art7_2030],MATCH(A1280,tbl_recyclass[ProductId],0))="Não","Lacuna face à meta 2030","Isento")),IF(B1280="EU-ENV-011",IF(INDEX(tbl_familias_ppwr[Metais_Pesados_Evidencia],MATCH(INDEX(tbl_recyclass[Familia_PPWR],MATCH(A1280,tbl_recyclass[ProductId],0)),tbl_familias_ppwr[ID_Familia],0))="Em falta","Lacuna","Conforme"),IF(B1280="EU-ENV-013",IF(INDEX(tbl_familias_ppwr[Declaracao_UE],MATCH(INDEX(tbl_recyclass[Familia_PPWR],MATCH(A1280,tbl_recyclass[ProductId],0)),tbl_familias_ppwr[ID_Familia],0))="Sim","Conforme","Lacuna"),G1280)))),G1280))</f>
        <v>Parcial</v>
      </c>
      <c r="I1280" s="33" t="str">
        <f t="shared" si="19"/>
        <v>Parcial</v>
      </c>
      <c r="J1280" s="26" t="s">
        <v>1012</v>
      </c>
    </row>
    <row r="1281" spans="1:10" ht="16.05" customHeight="1" x14ac:dyDescent="0.3">
      <c r="A1281" s="26" t="s">
        <v>749</v>
      </c>
      <c r="B1281" s="26" t="s">
        <v>1016</v>
      </c>
      <c r="C1281" s="33" t="str">
        <f>IFERROR(INDEX(tbl_requisitos_emb[Tema],MATCH(B1281,tbl_requisitos_emb[ID_Req],0)),"")</f>
        <v>Rotulagem</v>
      </c>
      <c r="D1281" s="33" t="str">
        <f>IFERROR(INDEX(tbl_recyclass[Segmento],MATCH(A1281,tbl_recyclass[ProductId],0)),"")</f>
        <v>Cosmética e higiene pessoal</v>
      </c>
      <c r="E1281" s="26" t="s">
        <v>901</v>
      </c>
      <c r="F1281" s="26" t="s">
        <v>1449</v>
      </c>
      <c r="G1281" s="26" t="s">
        <v>990</v>
      </c>
      <c r="H1281" s="33" t="str">
        <f>IF(E1281="Não","Não aplicável",IFERROR(IF(B1281="EU-ENV-002",IF(INDEX(tbl_recyclass[Conforme_PPWR_2030],MATCH(A1281,tbl_recyclass[ProductId],0))="Sim","Conforme (autoavaliação)",IF(INDEX(tbl_recyclass[Conforme_PPWR_2030],MATCH(A1281,tbl_recyclass[ProductId],0))="Não","Não conforme em 2030","Isento até 2035")),IF(B1281="EU-ENV-003",IF(INDEX(tbl_recyclass[Conforme_Art7_2030],MATCH(A1281,tbl_recyclass[ProductId],0))="Sim","Conforme (meta 2030)",IF(INDEX(tbl_recyclass[Conforme_Art7_2030],MATCH(A1281,tbl_recyclass[ProductId],0))="Não","Lacuna face à meta 2030","Isento")),IF(B1281="EU-ENV-011",IF(INDEX(tbl_familias_ppwr[Metais_Pesados_Evidencia],MATCH(INDEX(tbl_recyclass[Familia_PPWR],MATCH(A1281,tbl_recyclass[ProductId],0)),tbl_familias_ppwr[ID_Familia],0))="Em falta","Lacuna","Conforme"),IF(B1281="EU-ENV-013",IF(INDEX(tbl_familias_ppwr[Declaracao_UE],MATCH(INDEX(tbl_recyclass[Familia_PPWR],MATCH(A1281,tbl_recyclass[ProductId],0)),tbl_familias_ppwr[ID_Familia],0))="Sim","Conforme","Lacuna"),G1281)))),G1281))</f>
        <v>Futuro</v>
      </c>
      <c r="I1281" s="33" t="str">
        <f t="shared" si="19"/>
        <v>Futuro</v>
      </c>
      <c r="J1281" s="26" t="s">
        <v>1021</v>
      </c>
    </row>
    <row r="1282" spans="1:10" ht="16.05" customHeight="1" x14ac:dyDescent="0.3">
      <c r="A1282" s="26" t="s">
        <v>749</v>
      </c>
      <c r="B1282" s="26" t="s">
        <v>1038</v>
      </c>
      <c r="C1282" s="33" t="str">
        <f>IFERROR(INDEX(tbl_requisitos_emb[Tema],MATCH(B1282,tbl_requisitos_emb[ID_Req],0)),"")</f>
        <v>Plásticos de utilização única</v>
      </c>
      <c r="D1282" s="33" t="str">
        <f>IFERROR(INDEX(tbl_recyclass[Segmento],MATCH(A1282,tbl_recyclass[ProductId],0)),"")</f>
        <v>Cosmética e higiene pessoal</v>
      </c>
      <c r="E1282" s="26" t="s">
        <v>904</v>
      </c>
      <c r="F1282" s="26" t="s">
        <v>1450</v>
      </c>
      <c r="G1282" s="26" t="s">
        <v>1143</v>
      </c>
      <c r="H1282" s="33" t="str">
        <f>IF(E1282="Não","Não aplicável",IFERROR(IF(B1282="EU-ENV-002",IF(INDEX(tbl_recyclass[Conforme_PPWR_2030],MATCH(A1282,tbl_recyclass[ProductId],0))="Sim","Conforme (autoavaliação)",IF(INDEX(tbl_recyclass[Conforme_PPWR_2030],MATCH(A1282,tbl_recyclass[ProductId],0))="Não","Não conforme em 2030","Isento até 2035")),IF(B1282="EU-ENV-003",IF(INDEX(tbl_recyclass[Conforme_Art7_2030],MATCH(A1282,tbl_recyclass[ProductId],0))="Sim","Conforme (meta 2030)",IF(INDEX(tbl_recyclass[Conforme_Art7_2030],MATCH(A1282,tbl_recyclass[ProductId],0))="Não","Lacuna face à meta 2030","Isento")),IF(B1282="EU-ENV-011",IF(INDEX(tbl_familias_ppwr[Metais_Pesados_Evidencia],MATCH(INDEX(tbl_recyclass[Familia_PPWR],MATCH(A1282,tbl_recyclass[ProductId],0)),tbl_familias_ppwr[ID_Familia],0))="Em falta","Lacuna","Conforme"),IF(B1282="EU-ENV-013",IF(INDEX(tbl_familias_ppwr[Declaracao_UE],MATCH(INDEX(tbl_recyclass[Familia_PPWR],MATCH(A1282,tbl_recyclass[ProductId],0)),tbl_familias_ppwr[ID_Familia],0))="Sim","Conforme","Lacuna"),G1282)))),G1282))</f>
        <v>Não aplicável</v>
      </c>
      <c r="I1282" s="33" t="str">
        <f t="shared" ref="I1282:I1345" si="20">IF(ISNUMBER(SEARCH("Não aplicável",H1282)),"Não aplicável",IF(ISNUMBER(SEARCH("Isento",H1282)),"Isento",IF(ISNUMBER(SEARCH("Não conforme",H1282)),"Não conforme",IF(ISNUMBER(SEARCH("Lacuna",H1282)),"Lacuna",IF(ISNUMBER(SEARCH("Conforme",H1282)),"Conforme",H1282)))))</f>
        <v>Não aplicável</v>
      </c>
      <c r="J1282" s="26"/>
    </row>
    <row r="1283" spans="1:10" ht="16.05" customHeight="1" x14ac:dyDescent="0.3">
      <c r="A1283" s="26" t="s">
        <v>749</v>
      </c>
      <c r="B1283" s="26" t="s">
        <v>1078</v>
      </c>
      <c r="C1283" s="33" t="str">
        <f>IFERROR(INDEX(tbl_requisitos_emb[Tema],MATCH(B1283,tbl_requisitos_emb[ID_Req],0)),"")</f>
        <v>Reciclado à escala</v>
      </c>
      <c r="D1283" s="33" t="str">
        <f>IFERROR(INDEX(tbl_recyclass[Segmento],MATCH(A1283,tbl_recyclass[ProductId],0)),"")</f>
        <v>Cosmética e higiene pessoal</v>
      </c>
      <c r="E1283" s="26" t="s">
        <v>901</v>
      </c>
      <c r="F1283" s="26" t="s">
        <v>1449</v>
      </c>
      <c r="G1283" s="26" t="s">
        <v>990</v>
      </c>
      <c r="H1283" s="33" t="str">
        <f>IF(E1283="Não","Não aplicável",IFERROR(IF(B1283="EU-ENV-002",IF(INDEX(tbl_recyclass[Conforme_PPWR_2030],MATCH(A1283,tbl_recyclass[ProductId],0))="Sim","Conforme (autoavaliação)",IF(INDEX(tbl_recyclass[Conforme_PPWR_2030],MATCH(A1283,tbl_recyclass[ProductId],0))="Não","Não conforme em 2030","Isento até 2035")),IF(B1283="EU-ENV-003",IF(INDEX(tbl_recyclass[Conforme_Art7_2030],MATCH(A1283,tbl_recyclass[ProductId],0))="Sim","Conforme (meta 2030)",IF(INDEX(tbl_recyclass[Conforme_Art7_2030],MATCH(A1283,tbl_recyclass[ProductId],0))="Não","Lacuna face à meta 2030","Isento")),IF(B1283="EU-ENV-011",IF(INDEX(tbl_familias_ppwr[Metais_Pesados_Evidencia],MATCH(INDEX(tbl_recyclass[Familia_PPWR],MATCH(A1283,tbl_recyclass[ProductId],0)),tbl_familias_ppwr[ID_Familia],0))="Em falta","Lacuna","Conforme"),IF(B1283="EU-ENV-013",IF(INDEX(tbl_familias_ppwr[Declaracao_UE],MATCH(INDEX(tbl_recyclass[Familia_PPWR],MATCH(A1283,tbl_recyclass[ProductId],0)),tbl_familias_ppwr[ID_Familia],0))="Sim","Conforme","Lacuna"),G1283)))),G1283))</f>
        <v>Futuro</v>
      </c>
      <c r="I1283" s="33" t="str">
        <f t="shared" si="20"/>
        <v>Futuro</v>
      </c>
      <c r="J1283" s="26" t="s">
        <v>1082</v>
      </c>
    </row>
    <row r="1284" spans="1:10" ht="16.05" customHeight="1" x14ac:dyDescent="0.3">
      <c r="A1284" s="26" t="s">
        <v>749</v>
      </c>
      <c r="B1284" s="26" t="s">
        <v>1086</v>
      </c>
      <c r="C1284" s="33" t="str">
        <f>IFERROR(INDEX(tbl_requisitos_emb[Tema],MATCH(B1284,tbl_requisitos_emb[ID_Req],0)),"")</f>
        <v>Metais pesados</v>
      </c>
      <c r="D1284" s="33" t="str">
        <f>IFERROR(INDEX(tbl_recyclass[Segmento],MATCH(A1284,tbl_recyclass[ProductId],0)),"")</f>
        <v>Cosmética e higiene pessoal</v>
      </c>
      <c r="E1284" s="26" t="s">
        <v>901</v>
      </c>
      <c r="F1284" s="26" t="s">
        <v>1449</v>
      </c>
      <c r="G1284" s="26" t="s">
        <v>978</v>
      </c>
      <c r="H1284" s="33" t="str">
        <f>IF(E1284="Não","Não aplicável",IFERROR(IF(B1284="EU-ENV-002",IF(INDEX(tbl_recyclass[Conforme_PPWR_2030],MATCH(A1284,tbl_recyclass[ProductId],0))="Sim","Conforme (autoavaliação)",IF(INDEX(tbl_recyclass[Conforme_PPWR_2030],MATCH(A1284,tbl_recyclass[ProductId],0))="Não","Não conforme em 2030","Isento até 2035")),IF(B1284="EU-ENV-003",IF(INDEX(tbl_recyclass[Conforme_Art7_2030],MATCH(A1284,tbl_recyclass[ProductId],0))="Sim","Conforme (meta 2030)",IF(INDEX(tbl_recyclass[Conforme_Art7_2030],MATCH(A1284,tbl_recyclass[ProductId],0))="Não","Lacuna face à meta 2030","Isento")),IF(B1284="EU-ENV-011",IF(INDEX(tbl_familias_ppwr[Metais_Pesados_Evidencia],MATCH(INDEX(tbl_recyclass[Familia_PPWR],MATCH(A1284,tbl_recyclass[ProductId],0)),tbl_familias_ppwr[ID_Familia],0))="Em falta","Lacuna","Conforme"),IF(B1284="EU-ENV-013",IF(INDEX(tbl_familias_ppwr[Declaracao_UE],MATCH(INDEX(tbl_recyclass[Familia_PPWR],MATCH(A1284,tbl_recyclass[ProductId],0)),tbl_familias_ppwr[ID_Familia],0))="Sim","Conforme","Lacuna"),G1284)))),G1284))</f>
        <v>Conforme</v>
      </c>
      <c r="I1284" s="33" t="str">
        <f t="shared" si="20"/>
        <v>Conforme</v>
      </c>
      <c r="J1284" s="26" t="s">
        <v>1090</v>
      </c>
    </row>
    <row r="1285" spans="1:10" ht="16.05" customHeight="1" x14ac:dyDescent="0.3">
      <c r="A1285" s="26" t="s">
        <v>749</v>
      </c>
      <c r="B1285" s="26" t="s">
        <v>1094</v>
      </c>
      <c r="C1285" s="33" t="str">
        <f>IFERROR(INDEX(tbl_requisitos_emb[Tema],MATCH(B1285,tbl_requisitos_emb[ID_Req],0)),"")</f>
        <v>PFAS</v>
      </c>
      <c r="D1285" s="33" t="str">
        <f>IFERROR(INDEX(tbl_recyclass[Segmento],MATCH(A1285,tbl_recyclass[ProductId],0)),"")</f>
        <v>Cosmética e higiene pessoal</v>
      </c>
      <c r="E1285" s="26" t="s">
        <v>904</v>
      </c>
      <c r="F1285" s="26" t="s">
        <v>1450</v>
      </c>
      <c r="G1285" s="26" t="s">
        <v>1143</v>
      </c>
      <c r="H1285" s="33" t="str">
        <f>IF(E1285="Não","Não aplicável",IFERROR(IF(B1285="EU-ENV-002",IF(INDEX(tbl_recyclass[Conforme_PPWR_2030],MATCH(A1285,tbl_recyclass[ProductId],0))="Sim","Conforme (autoavaliação)",IF(INDEX(tbl_recyclass[Conforme_PPWR_2030],MATCH(A1285,tbl_recyclass[ProductId],0))="Não","Não conforme em 2030","Isento até 2035")),IF(B1285="EU-ENV-003",IF(INDEX(tbl_recyclass[Conforme_Art7_2030],MATCH(A1285,tbl_recyclass[ProductId],0))="Sim","Conforme (meta 2030)",IF(INDEX(tbl_recyclass[Conforme_Art7_2030],MATCH(A1285,tbl_recyclass[ProductId],0))="Não","Lacuna face à meta 2030","Isento")),IF(B1285="EU-ENV-011",IF(INDEX(tbl_familias_ppwr[Metais_Pesados_Evidencia],MATCH(INDEX(tbl_recyclass[Familia_PPWR],MATCH(A1285,tbl_recyclass[ProductId],0)),tbl_familias_ppwr[ID_Familia],0))="Em falta","Lacuna","Conforme"),IF(B1285="EU-ENV-013",IF(INDEX(tbl_familias_ppwr[Declaracao_UE],MATCH(INDEX(tbl_recyclass[Familia_PPWR],MATCH(A1285,tbl_recyclass[ProductId],0)),tbl_familias_ppwr[ID_Familia],0))="Sim","Conforme","Lacuna"),G1285)))),G1285))</f>
        <v>Não aplicável</v>
      </c>
      <c r="I1285" s="33" t="str">
        <f t="shared" si="20"/>
        <v>Não aplicável</v>
      </c>
      <c r="J1285" s="26"/>
    </row>
    <row r="1286" spans="1:10" ht="16.05" customHeight="1" x14ac:dyDescent="0.3">
      <c r="A1286" s="26" t="s">
        <v>749</v>
      </c>
      <c r="B1286" s="26" t="s">
        <v>1102</v>
      </c>
      <c r="C1286" s="33" t="str">
        <f>IFERROR(INDEX(tbl_requisitos_emb[Tema],MATCH(B1286,tbl_requisitos_emb[ID_Req],0)),"")</f>
        <v>Documentação técnica e declaração UE</v>
      </c>
      <c r="D1286" s="33" t="str">
        <f>IFERROR(INDEX(tbl_recyclass[Segmento],MATCH(A1286,tbl_recyclass[ProductId],0)),"")</f>
        <v>Cosmética e higiene pessoal</v>
      </c>
      <c r="E1286" s="26" t="s">
        <v>901</v>
      </c>
      <c r="F1286" s="26" t="s">
        <v>1449</v>
      </c>
      <c r="G1286" s="26" t="s">
        <v>978</v>
      </c>
      <c r="H1286" s="33" t="str">
        <f>IF(E1286="Não","Não aplicável",IFERROR(IF(B1286="EU-ENV-002",IF(INDEX(tbl_recyclass[Conforme_PPWR_2030],MATCH(A1286,tbl_recyclass[ProductId],0))="Sim","Conforme (autoavaliação)",IF(INDEX(tbl_recyclass[Conforme_PPWR_2030],MATCH(A1286,tbl_recyclass[ProductId],0))="Não","Não conforme em 2030","Isento até 2035")),IF(B1286="EU-ENV-003",IF(INDEX(tbl_recyclass[Conforme_Art7_2030],MATCH(A1286,tbl_recyclass[ProductId],0))="Sim","Conforme (meta 2030)",IF(INDEX(tbl_recyclass[Conforme_Art7_2030],MATCH(A1286,tbl_recyclass[ProductId],0))="Não","Lacuna face à meta 2030","Isento")),IF(B1286="EU-ENV-011",IF(INDEX(tbl_familias_ppwr[Metais_Pesados_Evidencia],MATCH(INDEX(tbl_recyclass[Familia_PPWR],MATCH(A1286,tbl_recyclass[ProductId],0)),tbl_familias_ppwr[ID_Familia],0))="Em falta","Lacuna","Conforme"),IF(B1286="EU-ENV-013",IF(INDEX(tbl_familias_ppwr[Declaracao_UE],MATCH(INDEX(tbl_recyclass[Familia_PPWR],MATCH(A1286,tbl_recyclass[ProductId],0)),tbl_familias_ppwr[ID_Familia],0))="Sim","Conforme","Lacuna"),G1286)))),G1286))</f>
        <v>Conforme</v>
      </c>
      <c r="I1286" s="33" t="str">
        <f t="shared" si="20"/>
        <v>Conforme</v>
      </c>
      <c r="J1286" s="26" t="s">
        <v>1106</v>
      </c>
    </row>
    <row r="1287" spans="1:10" ht="16.05" customHeight="1" x14ac:dyDescent="0.3">
      <c r="A1287" s="26" t="s">
        <v>749</v>
      </c>
      <c r="B1287" s="26" t="s">
        <v>1161</v>
      </c>
      <c r="C1287" s="33" t="str">
        <f>IFERROR(INDEX(tbl_requisitos_emb[Tema],MATCH(B1287,tbl_requisitos_emb[ID_Req],0)),"")</f>
        <v>Materiais em contacto com alimentos</v>
      </c>
      <c r="D1287" s="33" t="str">
        <f>IFERROR(INDEX(tbl_recyclass[Segmento],MATCH(A1287,tbl_recyclass[ProductId],0)),"")</f>
        <v>Cosmética e higiene pessoal</v>
      </c>
      <c r="E1287" s="26" t="s">
        <v>904</v>
      </c>
      <c r="F1287" s="26" t="s">
        <v>1450</v>
      </c>
      <c r="G1287" s="26" t="s">
        <v>1143</v>
      </c>
      <c r="H1287" s="33" t="str">
        <f>IF(E1287="Não","Não aplicável",IFERROR(IF(B1287="EU-ENV-002",IF(INDEX(tbl_recyclass[Conforme_PPWR_2030],MATCH(A1287,tbl_recyclass[ProductId],0))="Sim","Conforme (autoavaliação)",IF(INDEX(tbl_recyclass[Conforme_PPWR_2030],MATCH(A1287,tbl_recyclass[ProductId],0))="Não","Não conforme em 2030","Isento até 2035")),IF(B1287="EU-ENV-003",IF(INDEX(tbl_recyclass[Conforme_Art7_2030],MATCH(A1287,tbl_recyclass[ProductId],0))="Sim","Conforme (meta 2030)",IF(INDEX(tbl_recyclass[Conforme_Art7_2030],MATCH(A1287,tbl_recyclass[ProductId],0))="Não","Lacuna face à meta 2030","Isento")),IF(B1287="EU-ENV-011",IF(INDEX(tbl_familias_ppwr[Metais_Pesados_Evidencia],MATCH(INDEX(tbl_recyclass[Familia_PPWR],MATCH(A1287,tbl_recyclass[ProductId],0)),tbl_familias_ppwr[ID_Familia],0))="Em falta","Lacuna","Conforme"),IF(B1287="EU-ENV-013",IF(INDEX(tbl_familias_ppwr[Declaracao_UE],MATCH(INDEX(tbl_recyclass[Familia_PPWR],MATCH(A1287,tbl_recyclass[ProductId],0)),tbl_familias_ppwr[ID_Familia],0))="Sim","Conforme","Lacuna"),G1287)))),G1287))</f>
        <v>Não aplicável</v>
      </c>
      <c r="I1287" s="33" t="str">
        <f t="shared" si="20"/>
        <v>Não aplicável</v>
      </c>
      <c r="J1287" s="26"/>
    </row>
    <row r="1288" spans="1:10" ht="16.05" customHeight="1" x14ac:dyDescent="0.3">
      <c r="A1288" s="26" t="s">
        <v>749</v>
      </c>
      <c r="B1288" s="26" t="s">
        <v>1170</v>
      </c>
      <c r="C1288" s="33" t="str">
        <f>IFERROR(INDEX(tbl_requisitos_emb[Tema],MATCH(B1288,tbl_requisitos_emb[ID_Req],0)),"")</f>
        <v>Boas práticas de fabrico FCM</v>
      </c>
      <c r="D1288" s="33" t="str">
        <f>IFERROR(INDEX(tbl_recyclass[Segmento],MATCH(A1288,tbl_recyclass[ProductId],0)),"")</f>
        <v>Cosmética e higiene pessoal</v>
      </c>
      <c r="E1288" s="26" t="s">
        <v>904</v>
      </c>
      <c r="F1288" s="26" t="s">
        <v>1450</v>
      </c>
      <c r="G1288" s="26" t="s">
        <v>1143</v>
      </c>
      <c r="H1288" s="33" t="str">
        <f>IF(E1288="Não","Não aplicável",IFERROR(IF(B1288="EU-ENV-002",IF(INDEX(tbl_recyclass[Conforme_PPWR_2030],MATCH(A1288,tbl_recyclass[ProductId],0))="Sim","Conforme (autoavaliação)",IF(INDEX(tbl_recyclass[Conforme_PPWR_2030],MATCH(A1288,tbl_recyclass[ProductId],0))="Não","Não conforme em 2030","Isento até 2035")),IF(B1288="EU-ENV-003",IF(INDEX(tbl_recyclass[Conforme_Art7_2030],MATCH(A1288,tbl_recyclass[ProductId],0))="Sim","Conforme (meta 2030)",IF(INDEX(tbl_recyclass[Conforme_Art7_2030],MATCH(A1288,tbl_recyclass[ProductId],0))="Não","Lacuna face à meta 2030","Isento")),IF(B1288="EU-ENV-011",IF(INDEX(tbl_familias_ppwr[Metais_Pesados_Evidencia],MATCH(INDEX(tbl_recyclass[Familia_PPWR],MATCH(A1288,tbl_recyclass[ProductId],0)),tbl_familias_ppwr[ID_Familia],0))="Em falta","Lacuna","Conforme"),IF(B1288="EU-ENV-013",IF(INDEX(tbl_familias_ppwr[Declaracao_UE],MATCH(INDEX(tbl_recyclass[Familia_PPWR],MATCH(A1288,tbl_recyclass[ProductId],0)),tbl_familias_ppwr[ID_Familia],0))="Sim","Conforme","Lacuna"),G1288)))),G1288))</f>
        <v>Não aplicável</v>
      </c>
      <c r="I1288" s="33" t="str">
        <f t="shared" si="20"/>
        <v>Não aplicável</v>
      </c>
      <c r="J1288" s="26"/>
    </row>
    <row r="1289" spans="1:10" ht="16.05" customHeight="1" x14ac:dyDescent="0.3">
      <c r="A1289" s="26" t="s">
        <v>749</v>
      </c>
      <c r="B1289" s="26" t="s">
        <v>1179</v>
      </c>
      <c r="C1289" s="33" t="str">
        <f>IFERROR(INDEX(tbl_requisitos_emb[Tema],MATCH(B1289,tbl_requisitos_emb[ID_Req],0)),"")</f>
        <v>Bisfenol A e bisfenóis perigosos</v>
      </c>
      <c r="D1289" s="33" t="str">
        <f>IFERROR(INDEX(tbl_recyclass[Segmento],MATCH(A1289,tbl_recyclass[ProductId],0)),"")</f>
        <v>Cosmética e higiene pessoal</v>
      </c>
      <c r="E1289" s="26" t="s">
        <v>904</v>
      </c>
      <c r="F1289" s="26" t="s">
        <v>1450</v>
      </c>
      <c r="G1289" s="26" t="s">
        <v>1143</v>
      </c>
      <c r="H1289" s="33" t="str">
        <f>IF(E1289="Não","Não aplicável",IFERROR(IF(B1289="EU-ENV-002",IF(INDEX(tbl_recyclass[Conforme_PPWR_2030],MATCH(A1289,tbl_recyclass[ProductId],0))="Sim","Conforme (autoavaliação)",IF(INDEX(tbl_recyclass[Conforme_PPWR_2030],MATCH(A1289,tbl_recyclass[ProductId],0))="Não","Não conforme em 2030","Isento até 2035")),IF(B1289="EU-ENV-003",IF(INDEX(tbl_recyclass[Conforme_Art7_2030],MATCH(A1289,tbl_recyclass[ProductId],0))="Sim","Conforme (meta 2030)",IF(INDEX(tbl_recyclass[Conforme_Art7_2030],MATCH(A1289,tbl_recyclass[ProductId],0))="Não","Lacuna face à meta 2030","Isento")),IF(B1289="EU-ENV-011",IF(INDEX(tbl_familias_ppwr[Metais_Pesados_Evidencia],MATCH(INDEX(tbl_recyclass[Familia_PPWR],MATCH(A1289,tbl_recyclass[ProductId],0)),tbl_familias_ppwr[ID_Familia],0))="Em falta","Lacuna","Conforme"),IF(B1289="EU-ENV-013",IF(INDEX(tbl_familias_ppwr[Declaracao_UE],MATCH(INDEX(tbl_recyclass[Familia_PPWR],MATCH(A1289,tbl_recyclass[ProductId],0)),tbl_familias_ppwr[ID_Familia],0))="Sim","Conforme","Lacuna"),G1289)))),G1289))</f>
        <v>Não aplicável</v>
      </c>
      <c r="I1289" s="33" t="str">
        <f t="shared" si="20"/>
        <v>Não aplicável</v>
      </c>
      <c r="J1289" s="26"/>
    </row>
    <row r="1290" spans="1:10" ht="16.05" customHeight="1" x14ac:dyDescent="0.3">
      <c r="A1290" s="26" t="s">
        <v>749</v>
      </c>
      <c r="B1290" s="26" t="s">
        <v>1188</v>
      </c>
      <c r="C1290" s="33" t="str">
        <f>IFERROR(INDEX(tbl_requisitos_emb[Tema],MATCH(B1290,tbl_requisitos_emb[ID_Req],0)),"")</f>
        <v>Plásticos em contacto com alimentos</v>
      </c>
      <c r="D1290" s="33" t="str">
        <f>IFERROR(INDEX(tbl_recyclass[Segmento],MATCH(A1290,tbl_recyclass[ProductId],0)),"")</f>
        <v>Cosmética e higiene pessoal</v>
      </c>
      <c r="E1290" s="26" t="s">
        <v>904</v>
      </c>
      <c r="F1290" s="26" t="s">
        <v>1450</v>
      </c>
      <c r="G1290" s="26" t="s">
        <v>1143</v>
      </c>
      <c r="H1290" s="33" t="str">
        <f>IF(E1290="Não","Não aplicável",IFERROR(IF(B1290="EU-ENV-002",IF(INDEX(tbl_recyclass[Conforme_PPWR_2030],MATCH(A1290,tbl_recyclass[ProductId],0))="Sim","Conforme (autoavaliação)",IF(INDEX(tbl_recyclass[Conforme_PPWR_2030],MATCH(A1290,tbl_recyclass[ProductId],0))="Não","Não conforme em 2030","Isento até 2035")),IF(B1290="EU-ENV-003",IF(INDEX(tbl_recyclass[Conforme_Art7_2030],MATCH(A1290,tbl_recyclass[ProductId],0))="Sim","Conforme (meta 2030)",IF(INDEX(tbl_recyclass[Conforme_Art7_2030],MATCH(A1290,tbl_recyclass[ProductId],0))="Não","Lacuna face à meta 2030","Isento")),IF(B1290="EU-ENV-011",IF(INDEX(tbl_familias_ppwr[Metais_Pesados_Evidencia],MATCH(INDEX(tbl_recyclass[Familia_PPWR],MATCH(A1290,tbl_recyclass[ProductId],0)),tbl_familias_ppwr[ID_Familia],0))="Em falta","Lacuna","Conforme"),IF(B1290="EU-ENV-013",IF(INDEX(tbl_familias_ppwr[Declaracao_UE],MATCH(INDEX(tbl_recyclass[Familia_PPWR],MATCH(A1290,tbl_recyclass[ProductId],0)),tbl_familias_ppwr[ID_Familia],0))="Sim","Conforme","Lacuna"),G1290)))),G1290))</f>
        <v>Não aplicável</v>
      </c>
      <c r="I1290" s="33" t="str">
        <f t="shared" si="20"/>
        <v>Não aplicável</v>
      </c>
      <c r="J1290" s="26"/>
    </row>
    <row r="1291" spans="1:10" ht="16.05" customHeight="1" x14ac:dyDescent="0.3">
      <c r="A1291" s="26" t="s">
        <v>749</v>
      </c>
      <c r="B1291" s="26" t="s">
        <v>1212</v>
      </c>
      <c r="C1291" s="33" t="str">
        <f>IFERROR(INDEX(tbl_requisitos_emb[Tema],MATCH(B1291,tbl_requisitos_emb[ID_Req],0)),"")</f>
        <v>Segurança do produto cosmético</v>
      </c>
      <c r="D1291" s="33" t="str">
        <f>IFERROR(INDEX(tbl_recyclass[Segmento],MATCH(A1291,tbl_recyclass[ProductId],0)),"")</f>
        <v>Cosmética e higiene pessoal</v>
      </c>
      <c r="E1291" s="26" t="s">
        <v>901</v>
      </c>
      <c r="F1291" s="26" t="s">
        <v>1449</v>
      </c>
      <c r="G1291" s="26" t="s">
        <v>1033</v>
      </c>
      <c r="H1291" s="33" t="str">
        <f>IF(E1291="Não","Não aplicável",IFERROR(IF(B1291="EU-ENV-002",IF(INDEX(tbl_recyclass[Conforme_PPWR_2030],MATCH(A1291,tbl_recyclass[ProductId],0))="Sim","Conforme (autoavaliação)",IF(INDEX(tbl_recyclass[Conforme_PPWR_2030],MATCH(A1291,tbl_recyclass[ProductId],0))="Não","Não conforme em 2030","Isento até 2035")),IF(B1291="EU-ENV-003",IF(INDEX(tbl_recyclass[Conforme_Art7_2030],MATCH(A1291,tbl_recyclass[ProductId],0))="Sim","Conforme (meta 2030)",IF(INDEX(tbl_recyclass[Conforme_Art7_2030],MATCH(A1291,tbl_recyclass[ProductId],0))="Não","Lacuna face à meta 2030","Isento")),IF(B1291="EU-ENV-011",IF(INDEX(tbl_familias_ppwr[Metais_Pesados_Evidencia],MATCH(INDEX(tbl_recyclass[Familia_PPWR],MATCH(A1291,tbl_recyclass[ProductId],0)),tbl_familias_ppwr[ID_Familia],0))="Em falta","Lacuna","Conforme"),IF(B1291="EU-ENV-013",IF(INDEX(tbl_familias_ppwr[Declaracao_UE],MATCH(INDEX(tbl_recyclass[Familia_PPWR],MATCH(A1291,tbl_recyclass[ProductId],0)),tbl_familias_ppwr[ID_Familia],0))="Sim","Conforme","Lacuna"),G1291)))),G1291))</f>
        <v>Conforme</v>
      </c>
      <c r="I1291" s="33" t="str">
        <f t="shared" si="20"/>
        <v>Conforme</v>
      </c>
      <c r="J1291" s="26" t="s">
        <v>1221</v>
      </c>
    </row>
    <row r="1292" spans="1:10" ht="16.05" customHeight="1" x14ac:dyDescent="0.3">
      <c r="A1292" s="26" t="s">
        <v>749</v>
      </c>
      <c r="B1292" s="26" t="s">
        <v>1224</v>
      </c>
      <c r="C1292" s="33" t="str">
        <f>IFERROR(INDEX(tbl_requisitos_emb[Tema],MATCH(B1292,tbl_requisitos_emb[ID_Req],0)),"")</f>
        <v>Materiais e impurezas</v>
      </c>
      <c r="D1292" s="33" t="str">
        <f>IFERROR(INDEX(tbl_recyclass[Segmento],MATCH(A1292,tbl_recyclass[ProductId],0)),"")</f>
        <v>Cosmética e higiene pessoal</v>
      </c>
      <c r="E1292" s="26" t="s">
        <v>901</v>
      </c>
      <c r="F1292" s="26" t="s">
        <v>1449</v>
      </c>
      <c r="G1292" s="26" t="s">
        <v>978</v>
      </c>
      <c r="H1292" s="33" t="str">
        <f>IF(E1292="Não","Não aplicável",IFERROR(IF(B1292="EU-ENV-002",IF(INDEX(tbl_recyclass[Conforme_PPWR_2030],MATCH(A1292,tbl_recyclass[ProductId],0))="Sim","Conforme (autoavaliação)",IF(INDEX(tbl_recyclass[Conforme_PPWR_2030],MATCH(A1292,tbl_recyclass[ProductId],0))="Não","Não conforme em 2030","Isento até 2035")),IF(B1292="EU-ENV-003",IF(INDEX(tbl_recyclass[Conforme_Art7_2030],MATCH(A1292,tbl_recyclass[ProductId],0))="Sim","Conforme (meta 2030)",IF(INDEX(tbl_recyclass[Conforme_Art7_2030],MATCH(A1292,tbl_recyclass[ProductId],0))="Não","Lacuna face à meta 2030","Isento")),IF(B1292="EU-ENV-011",IF(INDEX(tbl_familias_ppwr[Metais_Pesados_Evidencia],MATCH(INDEX(tbl_recyclass[Familia_PPWR],MATCH(A1292,tbl_recyclass[ProductId],0)),tbl_familias_ppwr[ID_Familia],0))="Em falta","Lacuna","Conforme"),IF(B1292="EU-ENV-013",IF(INDEX(tbl_familias_ppwr[Declaracao_UE],MATCH(INDEX(tbl_recyclass[Familia_PPWR],MATCH(A1292,tbl_recyclass[ProductId],0)),tbl_familias_ppwr[ID_Familia],0))="Sim","Conforme","Lacuna"),G1292)))),G1292))</f>
        <v>Parcial</v>
      </c>
      <c r="I1292" s="33" t="str">
        <f t="shared" si="20"/>
        <v>Parcial</v>
      </c>
      <c r="J1292" s="26" t="s">
        <v>1228</v>
      </c>
    </row>
    <row r="1293" spans="1:10" ht="16.05" customHeight="1" x14ac:dyDescent="0.3">
      <c r="A1293" s="26" t="s">
        <v>749</v>
      </c>
      <c r="B1293" s="26" t="s">
        <v>1240</v>
      </c>
      <c r="C1293" s="33" t="str">
        <f>IFERROR(INDEX(tbl_requisitos_emb[Tema],MATCH(B1293,tbl_requisitos_emb[ID_Req],0)),"")</f>
        <v>Compatibilidade embalagem–produto</v>
      </c>
      <c r="D1293" s="33" t="str">
        <f>IFERROR(INDEX(tbl_recyclass[Segmento],MATCH(A1293,tbl_recyclass[ProductId],0)),"")</f>
        <v>Cosmética e higiene pessoal</v>
      </c>
      <c r="E1293" s="26" t="s">
        <v>901</v>
      </c>
      <c r="F1293" s="26" t="s">
        <v>1449</v>
      </c>
      <c r="G1293" s="26" t="s">
        <v>1033</v>
      </c>
      <c r="H1293" s="33" t="str">
        <f>IF(E1293="Não","Não aplicável",IFERROR(IF(B1293="EU-ENV-002",IF(INDEX(tbl_recyclass[Conforme_PPWR_2030],MATCH(A1293,tbl_recyclass[ProductId],0))="Sim","Conforme (autoavaliação)",IF(INDEX(tbl_recyclass[Conforme_PPWR_2030],MATCH(A1293,tbl_recyclass[ProductId],0))="Não","Não conforme em 2030","Isento até 2035")),IF(B1293="EU-ENV-003",IF(INDEX(tbl_recyclass[Conforme_Art7_2030],MATCH(A1293,tbl_recyclass[ProductId],0))="Sim","Conforme (meta 2030)",IF(INDEX(tbl_recyclass[Conforme_Art7_2030],MATCH(A1293,tbl_recyclass[ProductId],0))="Não","Lacuna face à meta 2030","Isento")),IF(B1293="EU-ENV-011",IF(INDEX(tbl_familias_ppwr[Metais_Pesados_Evidencia],MATCH(INDEX(tbl_recyclass[Familia_PPWR],MATCH(A1293,tbl_recyclass[ProductId],0)),tbl_familias_ppwr[ID_Familia],0))="Em falta","Lacuna","Conforme"),IF(B1293="EU-ENV-013",IF(INDEX(tbl_familias_ppwr[Declaracao_UE],MATCH(INDEX(tbl_recyclass[Familia_PPWR],MATCH(A1293,tbl_recyclass[ProductId],0)),tbl_familias_ppwr[ID_Familia],0))="Sim","Conforme","Lacuna"),G1293)))),G1293))</f>
        <v>Conforme</v>
      </c>
      <c r="I1293" s="33" t="str">
        <f t="shared" si="20"/>
        <v>Conforme</v>
      </c>
      <c r="J1293" s="26" t="s">
        <v>1244</v>
      </c>
    </row>
    <row r="1294" spans="1:10" ht="16.05" customHeight="1" x14ac:dyDescent="0.3">
      <c r="A1294" s="26" t="s">
        <v>749</v>
      </c>
      <c r="B1294" s="26" t="s">
        <v>1252</v>
      </c>
      <c r="C1294" s="33" t="str">
        <f>IFERROR(INDEX(tbl_requisitos_emb[Tema],MATCH(B1294,tbl_requisitos_emb[ID_Req],0)),"")</f>
        <v>Medicamentos de uso humano</v>
      </c>
      <c r="D1294" s="33" t="str">
        <f>IFERROR(INDEX(tbl_recyclass[Segmento],MATCH(A1294,tbl_recyclass[ProductId],0)),"")</f>
        <v>Cosmética e higiene pessoal</v>
      </c>
      <c r="E1294" s="26" t="s">
        <v>904</v>
      </c>
      <c r="F1294" s="26" t="s">
        <v>1451</v>
      </c>
      <c r="G1294" s="26" t="s">
        <v>1143</v>
      </c>
      <c r="H1294" s="33" t="str">
        <f>IF(E1294="Não","Não aplicável",IFERROR(IF(B1294="EU-ENV-002",IF(INDEX(tbl_recyclass[Conforme_PPWR_2030],MATCH(A1294,tbl_recyclass[ProductId],0))="Sim","Conforme (autoavaliação)",IF(INDEX(tbl_recyclass[Conforme_PPWR_2030],MATCH(A1294,tbl_recyclass[ProductId],0))="Não","Não conforme em 2030","Isento até 2035")),IF(B1294="EU-ENV-003",IF(INDEX(tbl_recyclass[Conforme_Art7_2030],MATCH(A1294,tbl_recyclass[ProductId],0))="Sim","Conforme (meta 2030)",IF(INDEX(tbl_recyclass[Conforme_Art7_2030],MATCH(A1294,tbl_recyclass[ProductId],0))="Não","Lacuna face à meta 2030","Isento")),IF(B1294="EU-ENV-011",IF(INDEX(tbl_familias_ppwr[Metais_Pesados_Evidencia],MATCH(INDEX(tbl_recyclass[Familia_PPWR],MATCH(A1294,tbl_recyclass[ProductId],0)),tbl_familias_ppwr[ID_Familia],0))="Em falta","Lacuna","Conforme"),IF(B1294="EU-ENV-013",IF(INDEX(tbl_familias_ppwr[Declaracao_UE],MATCH(INDEX(tbl_recyclass[Familia_PPWR],MATCH(A1294,tbl_recyclass[ProductId],0)),tbl_familias_ppwr[ID_Familia],0))="Sim","Conforme","Lacuna"),G1294)))),G1294))</f>
        <v>Não aplicável</v>
      </c>
      <c r="I1294" s="33" t="str">
        <f t="shared" si="20"/>
        <v>Não aplicável</v>
      </c>
      <c r="J1294" s="26"/>
    </row>
    <row r="1295" spans="1:10" ht="16.05" customHeight="1" x14ac:dyDescent="0.3">
      <c r="A1295" s="26" t="s">
        <v>749</v>
      </c>
      <c r="B1295" s="26" t="s">
        <v>1268</v>
      </c>
      <c r="C1295" s="33" t="str">
        <f>IFERROR(INDEX(tbl_requisitos_emb[Tema],MATCH(B1295,tbl_requisitos_emb[ID_Req],0)),"")</f>
        <v>Dispositivos de segurança</v>
      </c>
      <c r="D1295" s="33" t="str">
        <f>IFERROR(INDEX(tbl_recyclass[Segmento],MATCH(A1295,tbl_recyclass[ProductId],0)),"")</f>
        <v>Cosmética e higiene pessoal</v>
      </c>
      <c r="E1295" s="26" t="s">
        <v>904</v>
      </c>
      <c r="F1295" s="26" t="s">
        <v>1451</v>
      </c>
      <c r="G1295" s="26" t="s">
        <v>1143</v>
      </c>
      <c r="H1295" s="33" t="str">
        <f>IF(E1295="Não","Não aplicável",IFERROR(IF(B1295="EU-ENV-002",IF(INDEX(tbl_recyclass[Conforme_PPWR_2030],MATCH(A1295,tbl_recyclass[ProductId],0))="Sim","Conforme (autoavaliação)",IF(INDEX(tbl_recyclass[Conforme_PPWR_2030],MATCH(A1295,tbl_recyclass[ProductId],0))="Não","Não conforme em 2030","Isento até 2035")),IF(B1295="EU-ENV-003",IF(INDEX(tbl_recyclass[Conforme_Art7_2030],MATCH(A1295,tbl_recyclass[ProductId],0))="Sim","Conforme (meta 2030)",IF(INDEX(tbl_recyclass[Conforme_Art7_2030],MATCH(A1295,tbl_recyclass[ProductId],0))="Não","Lacuna face à meta 2030","Isento")),IF(B1295="EU-ENV-011",IF(INDEX(tbl_familias_ppwr[Metais_Pesados_Evidencia],MATCH(INDEX(tbl_recyclass[Familia_PPWR],MATCH(A1295,tbl_recyclass[ProductId],0)),tbl_familias_ppwr[ID_Familia],0))="Em falta","Lacuna","Conforme"),IF(B1295="EU-ENV-013",IF(INDEX(tbl_familias_ppwr[Declaracao_UE],MATCH(INDEX(tbl_recyclass[Familia_PPWR],MATCH(A1295,tbl_recyclass[ProductId],0)),tbl_familias_ppwr[ID_Familia],0))="Sim","Conforme","Lacuna"),G1295)))),G1295))</f>
        <v>Não aplicável</v>
      </c>
      <c r="I1295" s="33" t="str">
        <f t="shared" si="20"/>
        <v>Não aplicável</v>
      </c>
      <c r="J1295" s="26"/>
    </row>
    <row r="1296" spans="1:10" ht="16.05" customHeight="1" x14ac:dyDescent="0.3">
      <c r="A1296" s="26" t="s">
        <v>749</v>
      </c>
      <c r="B1296" s="26" t="s">
        <v>1285</v>
      </c>
      <c r="C1296" s="33" t="str">
        <f>IFERROR(INDEX(tbl_requisitos_emb[Tema],MATCH(B1296,tbl_requisitos_emb[ID_Req],0)),"")</f>
        <v>Materiais plásticos de acondicionamento primário</v>
      </c>
      <c r="D1296" s="33" t="str">
        <f>IFERROR(INDEX(tbl_recyclass[Segmento],MATCH(A1296,tbl_recyclass[ProductId],0)),"")</f>
        <v>Cosmética e higiene pessoal</v>
      </c>
      <c r="E1296" s="26" t="s">
        <v>904</v>
      </c>
      <c r="F1296" s="26" t="s">
        <v>1451</v>
      </c>
      <c r="G1296" s="26" t="s">
        <v>1143</v>
      </c>
      <c r="H1296" s="33" t="str">
        <f>IF(E1296="Não","Não aplicável",IFERROR(IF(B1296="EU-ENV-002",IF(INDEX(tbl_recyclass[Conforme_PPWR_2030],MATCH(A1296,tbl_recyclass[ProductId],0))="Sim","Conforme (autoavaliação)",IF(INDEX(tbl_recyclass[Conforme_PPWR_2030],MATCH(A1296,tbl_recyclass[ProductId],0))="Não","Não conforme em 2030","Isento até 2035")),IF(B1296="EU-ENV-003",IF(INDEX(tbl_recyclass[Conforme_Art7_2030],MATCH(A1296,tbl_recyclass[ProductId],0))="Sim","Conforme (meta 2030)",IF(INDEX(tbl_recyclass[Conforme_Art7_2030],MATCH(A1296,tbl_recyclass[ProductId],0))="Não","Lacuna face à meta 2030","Isento")),IF(B1296="EU-ENV-011",IF(INDEX(tbl_familias_ppwr[Metais_Pesados_Evidencia],MATCH(INDEX(tbl_recyclass[Familia_PPWR],MATCH(A1296,tbl_recyclass[ProductId],0)),tbl_familias_ppwr[ID_Familia],0))="Em falta","Lacuna","Conforme"),IF(B1296="EU-ENV-013",IF(INDEX(tbl_familias_ppwr[Declaracao_UE],MATCH(INDEX(tbl_recyclass[Familia_PPWR],MATCH(A1296,tbl_recyclass[ProductId],0)),tbl_familias_ppwr[ID_Familia],0))="Sim","Conforme","Lacuna"),G1296)))),G1296))</f>
        <v>Não aplicável</v>
      </c>
      <c r="I1296" s="33" t="str">
        <f t="shared" si="20"/>
        <v>Não aplicável</v>
      </c>
      <c r="J1296" s="26"/>
    </row>
    <row r="1297" spans="1:10" ht="16.05" customHeight="1" x14ac:dyDescent="0.3">
      <c r="A1297" s="26" t="s">
        <v>749</v>
      </c>
      <c r="B1297" s="26" t="s">
        <v>1293</v>
      </c>
      <c r="C1297" s="33" t="str">
        <f>IFERROR(INDEX(tbl_requisitos_emb[Tema],MATCH(B1297,tbl_requisitos_emb[ID_Req],0)),"")</f>
        <v>Isenções PPWR</v>
      </c>
      <c r="D1297" s="33" t="str">
        <f>IFERROR(INDEX(tbl_recyclass[Segmento],MATCH(A1297,tbl_recyclass[ProductId],0)),"")</f>
        <v>Cosmética e higiene pessoal</v>
      </c>
      <c r="E1297" s="26" t="s">
        <v>904</v>
      </c>
      <c r="F1297" s="26" t="s">
        <v>1451</v>
      </c>
      <c r="G1297" s="26" t="s">
        <v>1143</v>
      </c>
      <c r="H1297" s="33" t="str">
        <f>IF(E1297="Não","Não aplicável",IFERROR(IF(B1297="EU-ENV-002",IF(INDEX(tbl_recyclass[Conforme_PPWR_2030],MATCH(A1297,tbl_recyclass[ProductId],0))="Sim","Conforme (autoavaliação)",IF(INDEX(tbl_recyclass[Conforme_PPWR_2030],MATCH(A1297,tbl_recyclass[ProductId],0))="Não","Não conforme em 2030","Isento até 2035")),IF(B1297="EU-ENV-003",IF(INDEX(tbl_recyclass[Conforme_Art7_2030],MATCH(A1297,tbl_recyclass[ProductId],0))="Sim","Conforme (meta 2030)",IF(INDEX(tbl_recyclass[Conforme_Art7_2030],MATCH(A1297,tbl_recyclass[ProductId],0))="Não","Lacuna face à meta 2030","Isento")),IF(B1297="EU-ENV-011",IF(INDEX(tbl_familias_ppwr[Metais_Pesados_Evidencia],MATCH(INDEX(tbl_recyclass[Familia_PPWR],MATCH(A1297,tbl_recyclass[ProductId],0)),tbl_familias_ppwr[ID_Familia],0))="Em falta","Lacuna","Conforme"),IF(B1297="EU-ENV-013",IF(INDEX(tbl_familias_ppwr[Declaracao_UE],MATCH(INDEX(tbl_recyclass[Familia_PPWR],MATCH(A1297,tbl_recyclass[ProductId],0)),tbl_familias_ppwr[ID_Familia],0))="Sim","Conforme","Lacuna"),G1297)))),G1297))</f>
        <v>Não aplicável</v>
      </c>
      <c r="I1297" s="33" t="str">
        <f t="shared" si="20"/>
        <v>Não aplicável</v>
      </c>
      <c r="J1297" s="26"/>
    </row>
    <row r="1298" spans="1:10" ht="16.05" customHeight="1" x14ac:dyDescent="0.3">
      <c r="A1298" s="26" t="s">
        <v>749</v>
      </c>
      <c r="B1298" s="26" t="s">
        <v>1357</v>
      </c>
      <c r="C1298" s="33" t="str">
        <f>IFERROR(INDEX(tbl_requisitos_emb[Tema],MATCH(B1298,tbl_requisitos_emb[ID_Req],0)),"")</f>
        <v>Identificação de plásticos</v>
      </c>
      <c r="D1298" s="33" t="str">
        <f>IFERROR(INDEX(tbl_recyclass[Segmento],MATCH(A1298,tbl_recyclass[ProductId],0)),"")</f>
        <v>Cosmética e higiene pessoal</v>
      </c>
      <c r="E1298" s="26" t="s">
        <v>901</v>
      </c>
      <c r="F1298" s="26" t="s">
        <v>1449</v>
      </c>
      <c r="G1298" s="26" t="s">
        <v>978</v>
      </c>
      <c r="H1298" s="33" t="str">
        <f>IF(E1298="Não","Não aplicável",IFERROR(IF(B1298="EU-ENV-002",IF(INDEX(tbl_recyclass[Conforme_PPWR_2030],MATCH(A1298,tbl_recyclass[ProductId],0))="Sim","Conforme (autoavaliação)",IF(INDEX(tbl_recyclass[Conforme_PPWR_2030],MATCH(A1298,tbl_recyclass[ProductId],0))="Não","Não conforme em 2030","Isento até 2035")),IF(B1298="EU-ENV-003",IF(INDEX(tbl_recyclass[Conforme_Art7_2030],MATCH(A1298,tbl_recyclass[ProductId],0))="Sim","Conforme (meta 2030)",IF(INDEX(tbl_recyclass[Conforme_Art7_2030],MATCH(A1298,tbl_recyclass[ProductId],0))="Não","Lacuna face à meta 2030","Isento")),IF(B1298="EU-ENV-011",IF(INDEX(tbl_familias_ppwr[Metais_Pesados_Evidencia],MATCH(INDEX(tbl_recyclass[Familia_PPWR],MATCH(A1298,tbl_recyclass[ProductId],0)),tbl_familias_ppwr[ID_Familia],0))="Em falta","Lacuna","Conforme"),IF(B1298="EU-ENV-013",IF(INDEX(tbl_familias_ppwr[Declaracao_UE],MATCH(INDEX(tbl_recyclass[Familia_PPWR],MATCH(A1298,tbl_recyclass[ProductId],0)),tbl_familias_ppwr[ID_Familia],0))="Sim","Conforme","Lacuna"),G1298)))),G1298))</f>
        <v>Parcial</v>
      </c>
      <c r="I1298" s="33" t="str">
        <f t="shared" si="20"/>
        <v>Parcial</v>
      </c>
      <c r="J1298" s="26" t="s">
        <v>1362</v>
      </c>
    </row>
    <row r="1299" spans="1:10" ht="16.05" customHeight="1" x14ac:dyDescent="0.3">
      <c r="A1299" s="26" t="s">
        <v>749</v>
      </c>
      <c r="B1299" s="26" t="s">
        <v>1385</v>
      </c>
      <c r="C1299" s="33" t="str">
        <f>IFERROR(INDEX(tbl_requisitos_emb[Tema],MATCH(B1299,tbl_requisitos_emb[ID_Req],0)),"")</f>
        <v>Reciclabilidade (voluntária)</v>
      </c>
      <c r="D1299" s="33" t="str">
        <f>IFERROR(INDEX(tbl_recyclass[Segmento],MATCH(A1299,tbl_recyclass[ProductId],0)),"")</f>
        <v>Cosmética e higiene pessoal</v>
      </c>
      <c r="E1299" s="26" t="s">
        <v>901</v>
      </c>
      <c r="F1299" s="26" t="s">
        <v>1449</v>
      </c>
      <c r="G1299" s="26" t="s">
        <v>978</v>
      </c>
      <c r="H1299" s="33" t="str">
        <f>IF(E1299="Não","Não aplicável",IFERROR(IF(B1299="EU-ENV-002",IF(INDEX(tbl_recyclass[Conforme_PPWR_2030],MATCH(A1299,tbl_recyclass[ProductId],0))="Sim","Conforme (autoavaliação)",IF(INDEX(tbl_recyclass[Conforme_PPWR_2030],MATCH(A1299,tbl_recyclass[ProductId],0))="Não","Não conforme em 2030","Isento até 2035")),IF(B1299="EU-ENV-003",IF(INDEX(tbl_recyclass[Conforme_Art7_2030],MATCH(A1299,tbl_recyclass[ProductId],0))="Sim","Conforme (meta 2030)",IF(INDEX(tbl_recyclass[Conforme_Art7_2030],MATCH(A1299,tbl_recyclass[ProductId],0))="Não","Lacuna face à meta 2030","Isento")),IF(B1299="EU-ENV-011",IF(INDEX(tbl_familias_ppwr[Metais_Pesados_Evidencia],MATCH(INDEX(tbl_recyclass[Familia_PPWR],MATCH(A1299,tbl_recyclass[ProductId],0)),tbl_familias_ppwr[ID_Familia],0))="Em falta","Lacuna","Conforme"),IF(B1299="EU-ENV-013",IF(INDEX(tbl_familias_ppwr[Declaracao_UE],MATCH(INDEX(tbl_recyclass[Familia_PPWR],MATCH(A1299,tbl_recyclass[ProductId],0)),tbl_familias_ppwr[ID_Familia],0))="Sim","Conforme","Lacuna"),G1299)))),G1299))</f>
        <v>Parcial</v>
      </c>
      <c r="I1299" s="33" t="str">
        <f t="shared" si="20"/>
        <v>Parcial</v>
      </c>
      <c r="J1299" s="26" t="s">
        <v>1389</v>
      </c>
    </row>
    <row r="1300" spans="1:10" ht="16.05" customHeight="1" x14ac:dyDescent="0.3">
      <c r="A1300" s="26" t="s">
        <v>752</v>
      </c>
      <c r="B1300" s="26" t="s">
        <v>984</v>
      </c>
      <c r="C1300" s="33" t="str">
        <f>IFERROR(INDEX(tbl_requisitos_emb[Tema],MATCH(B1300,tbl_requisitos_emb[ID_Req],0)),"")</f>
        <v>Conceção para reciclagem</v>
      </c>
      <c r="D1300" s="33" t="str">
        <f>IFERROR(INDEX(tbl_recyclass[Segmento],MATCH(A1300,tbl_recyclass[ProductId],0)),"")</f>
        <v>Cosmética e higiene pessoal</v>
      </c>
      <c r="E1300" s="26" t="s">
        <v>901</v>
      </c>
      <c r="F1300" s="26" t="s">
        <v>1449</v>
      </c>
      <c r="G1300" s="26" t="s">
        <v>978</v>
      </c>
      <c r="H1300" s="33" t="str">
        <f>IF(E1300="Não","Não aplicável",IFERROR(IF(B1300="EU-ENV-002",IF(INDEX(tbl_recyclass[Conforme_PPWR_2030],MATCH(A1300,tbl_recyclass[ProductId],0))="Sim","Conforme (autoavaliação)",IF(INDEX(tbl_recyclass[Conforme_PPWR_2030],MATCH(A1300,tbl_recyclass[ProductId],0))="Não","Não conforme em 2030","Isento até 2035")),IF(B1300="EU-ENV-003",IF(INDEX(tbl_recyclass[Conforme_Art7_2030],MATCH(A1300,tbl_recyclass[ProductId],0))="Sim","Conforme (meta 2030)",IF(INDEX(tbl_recyclass[Conforme_Art7_2030],MATCH(A1300,tbl_recyclass[ProductId],0))="Não","Lacuna face à meta 2030","Isento")),IF(B1300="EU-ENV-011",IF(INDEX(tbl_familias_ppwr[Metais_Pesados_Evidencia],MATCH(INDEX(tbl_recyclass[Familia_PPWR],MATCH(A1300,tbl_recyclass[ProductId],0)),tbl_familias_ppwr[ID_Familia],0))="Em falta","Lacuna","Conforme"),IF(B1300="EU-ENV-013",IF(INDEX(tbl_familias_ppwr[Declaracao_UE],MATCH(INDEX(tbl_recyclass[Familia_PPWR],MATCH(A1300,tbl_recyclass[ProductId],0)),tbl_familias_ppwr[ID_Familia],0))="Sim","Conforme","Lacuna"),G1300)))),G1300))</f>
        <v>Não conforme em 2030</v>
      </c>
      <c r="I1300" s="33" t="str">
        <f t="shared" si="20"/>
        <v>Não conforme</v>
      </c>
      <c r="J1300" s="26" t="s">
        <v>991</v>
      </c>
    </row>
    <row r="1301" spans="1:10" ht="16.05" customHeight="1" x14ac:dyDescent="0.3">
      <c r="A1301" s="26" t="s">
        <v>752</v>
      </c>
      <c r="B1301" s="26" t="s">
        <v>997</v>
      </c>
      <c r="C1301" s="33" t="str">
        <f>IFERROR(INDEX(tbl_requisitos_emb[Tema],MATCH(B1301,tbl_requisitos_emb[ID_Req],0)),"")</f>
        <v>Conteúdo reciclado</v>
      </c>
      <c r="D1301" s="33" t="str">
        <f>IFERROR(INDEX(tbl_recyclass[Segmento],MATCH(A1301,tbl_recyclass[ProductId],0)),"")</f>
        <v>Cosmética e higiene pessoal</v>
      </c>
      <c r="E1301" s="26" t="s">
        <v>901</v>
      </c>
      <c r="F1301" s="26" t="s">
        <v>1449</v>
      </c>
      <c r="G1301" s="26" t="s">
        <v>978</v>
      </c>
      <c r="H1301" s="33" t="str">
        <f>IF(E1301="Não","Não aplicável",IFERROR(IF(B1301="EU-ENV-002",IF(INDEX(tbl_recyclass[Conforme_PPWR_2030],MATCH(A1301,tbl_recyclass[ProductId],0))="Sim","Conforme (autoavaliação)",IF(INDEX(tbl_recyclass[Conforme_PPWR_2030],MATCH(A1301,tbl_recyclass[ProductId],0))="Não","Não conforme em 2030","Isento até 2035")),IF(B1301="EU-ENV-003",IF(INDEX(tbl_recyclass[Conforme_Art7_2030],MATCH(A1301,tbl_recyclass[ProductId],0))="Sim","Conforme (meta 2030)",IF(INDEX(tbl_recyclass[Conforme_Art7_2030],MATCH(A1301,tbl_recyclass[ProductId],0))="Não","Lacuna face à meta 2030","Isento")),IF(B1301="EU-ENV-011",IF(INDEX(tbl_familias_ppwr[Metais_Pesados_Evidencia],MATCH(INDEX(tbl_recyclass[Familia_PPWR],MATCH(A1301,tbl_recyclass[ProductId],0)),tbl_familias_ppwr[ID_Familia],0))="Em falta","Lacuna","Conforme"),IF(B1301="EU-ENV-013",IF(INDEX(tbl_familias_ppwr[Declaracao_UE],MATCH(INDEX(tbl_recyclass[Familia_PPWR],MATCH(A1301,tbl_recyclass[ProductId],0)),tbl_familias_ppwr[ID_Familia],0))="Sim","Conforme","Lacuna"),G1301)))),G1301))</f>
        <v>Lacuna face à meta 2030</v>
      </c>
      <c r="I1301" s="33" t="str">
        <f t="shared" si="20"/>
        <v>Lacuna</v>
      </c>
      <c r="J1301" s="26" t="s">
        <v>1001</v>
      </c>
    </row>
    <row r="1302" spans="1:10" ht="16.05" customHeight="1" x14ac:dyDescent="0.3">
      <c r="A1302" s="26" t="s">
        <v>752</v>
      </c>
      <c r="B1302" s="26" t="s">
        <v>1007</v>
      </c>
      <c r="C1302" s="33" t="str">
        <f>IFERROR(INDEX(tbl_requisitos_emb[Tema],MATCH(B1302,tbl_requisitos_emb[ID_Req],0)),"")</f>
        <v>Minimização</v>
      </c>
      <c r="D1302" s="33" t="str">
        <f>IFERROR(INDEX(tbl_recyclass[Segmento],MATCH(A1302,tbl_recyclass[ProductId],0)),"")</f>
        <v>Cosmética e higiene pessoal</v>
      </c>
      <c r="E1302" s="26" t="s">
        <v>901</v>
      </c>
      <c r="F1302" s="26" t="s">
        <v>1449</v>
      </c>
      <c r="G1302" s="26" t="s">
        <v>978</v>
      </c>
      <c r="H1302" s="33" t="str">
        <f>IF(E1302="Não","Não aplicável",IFERROR(IF(B1302="EU-ENV-002",IF(INDEX(tbl_recyclass[Conforme_PPWR_2030],MATCH(A1302,tbl_recyclass[ProductId],0))="Sim","Conforme (autoavaliação)",IF(INDEX(tbl_recyclass[Conforme_PPWR_2030],MATCH(A1302,tbl_recyclass[ProductId],0))="Não","Não conforme em 2030","Isento até 2035")),IF(B1302="EU-ENV-003",IF(INDEX(tbl_recyclass[Conforme_Art7_2030],MATCH(A1302,tbl_recyclass[ProductId],0))="Sim","Conforme (meta 2030)",IF(INDEX(tbl_recyclass[Conforme_Art7_2030],MATCH(A1302,tbl_recyclass[ProductId],0))="Não","Lacuna face à meta 2030","Isento")),IF(B1302="EU-ENV-011",IF(INDEX(tbl_familias_ppwr[Metais_Pesados_Evidencia],MATCH(INDEX(tbl_recyclass[Familia_PPWR],MATCH(A1302,tbl_recyclass[ProductId],0)),tbl_familias_ppwr[ID_Familia],0))="Em falta","Lacuna","Conforme"),IF(B1302="EU-ENV-013",IF(INDEX(tbl_familias_ppwr[Declaracao_UE],MATCH(INDEX(tbl_recyclass[Familia_PPWR],MATCH(A1302,tbl_recyclass[ProductId],0)),tbl_familias_ppwr[ID_Familia],0))="Sim","Conforme","Lacuna"),G1302)))),G1302))</f>
        <v>Parcial</v>
      </c>
      <c r="I1302" s="33" t="str">
        <f t="shared" si="20"/>
        <v>Parcial</v>
      </c>
      <c r="J1302" s="26" t="s">
        <v>1012</v>
      </c>
    </row>
    <row r="1303" spans="1:10" ht="16.05" customHeight="1" x14ac:dyDescent="0.3">
      <c r="A1303" s="26" t="s">
        <v>752</v>
      </c>
      <c r="B1303" s="26" t="s">
        <v>1016</v>
      </c>
      <c r="C1303" s="33" t="str">
        <f>IFERROR(INDEX(tbl_requisitos_emb[Tema],MATCH(B1303,tbl_requisitos_emb[ID_Req],0)),"")</f>
        <v>Rotulagem</v>
      </c>
      <c r="D1303" s="33" t="str">
        <f>IFERROR(INDEX(tbl_recyclass[Segmento],MATCH(A1303,tbl_recyclass[ProductId],0)),"")</f>
        <v>Cosmética e higiene pessoal</v>
      </c>
      <c r="E1303" s="26" t="s">
        <v>901</v>
      </c>
      <c r="F1303" s="26" t="s">
        <v>1449</v>
      </c>
      <c r="G1303" s="26" t="s">
        <v>990</v>
      </c>
      <c r="H1303" s="33" t="str">
        <f>IF(E1303="Não","Não aplicável",IFERROR(IF(B1303="EU-ENV-002",IF(INDEX(tbl_recyclass[Conforme_PPWR_2030],MATCH(A1303,tbl_recyclass[ProductId],0))="Sim","Conforme (autoavaliação)",IF(INDEX(tbl_recyclass[Conforme_PPWR_2030],MATCH(A1303,tbl_recyclass[ProductId],0))="Não","Não conforme em 2030","Isento até 2035")),IF(B1303="EU-ENV-003",IF(INDEX(tbl_recyclass[Conforme_Art7_2030],MATCH(A1303,tbl_recyclass[ProductId],0))="Sim","Conforme (meta 2030)",IF(INDEX(tbl_recyclass[Conforme_Art7_2030],MATCH(A1303,tbl_recyclass[ProductId],0))="Não","Lacuna face à meta 2030","Isento")),IF(B1303="EU-ENV-011",IF(INDEX(tbl_familias_ppwr[Metais_Pesados_Evidencia],MATCH(INDEX(tbl_recyclass[Familia_PPWR],MATCH(A1303,tbl_recyclass[ProductId],0)),tbl_familias_ppwr[ID_Familia],0))="Em falta","Lacuna","Conforme"),IF(B1303="EU-ENV-013",IF(INDEX(tbl_familias_ppwr[Declaracao_UE],MATCH(INDEX(tbl_recyclass[Familia_PPWR],MATCH(A1303,tbl_recyclass[ProductId],0)),tbl_familias_ppwr[ID_Familia],0))="Sim","Conforme","Lacuna"),G1303)))),G1303))</f>
        <v>Futuro</v>
      </c>
      <c r="I1303" s="33" t="str">
        <f t="shared" si="20"/>
        <v>Futuro</v>
      </c>
      <c r="J1303" s="26" t="s">
        <v>1021</v>
      </c>
    </row>
    <row r="1304" spans="1:10" ht="16.05" customHeight="1" x14ac:dyDescent="0.3">
      <c r="A1304" s="26" t="s">
        <v>752</v>
      </c>
      <c r="B1304" s="26" t="s">
        <v>1038</v>
      </c>
      <c r="C1304" s="33" t="str">
        <f>IFERROR(INDEX(tbl_requisitos_emb[Tema],MATCH(B1304,tbl_requisitos_emb[ID_Req],0)),"")</f>
        <v>Plásticos de utilização única</v>
      </c>
      <c r="D1304" s="33" t="str">
        <f>IFERROR(INDEX(tbl_recyclass[Segmento],MATCH(A1304,tbl_recyclass[ProductId],0)),"")</f>
        <v>Cosmética e higiene pessoal</v>
      </c>
      <c r="E1304" s="26" t="s">
        <v>904</v>
      </c>
      <c r="F1304" s="26" t="s">
        <v>1450</v>
      </c>
      <c r="G1304" s="26" t="s">
        <v>1143</v>
      </c>
      <c r="H1304" s="33" t="str">
        <f>IF(E1304="Não","Não aplicável",IFERROR(IF(B1304="EU-ENV-002",IF(INDEX(tbl_recyclass[Conforme_PPWR_2030],MATCH(A1304,tbl_recyclass[ProductId],0))="Sim","Conforme (autoavaliação)",IF(INDEX(tbl_recyclass[Conforme_PPWR_2030],MATCH(A1304,tbl_recyclass[ProductId],0))="Não","Não conforme em 2030","Isento até 2035")),IF(B1304="EU-ENV-003",IF(INDEX(tbl_recyclass[Conforme_Art7_2030],MATCH(A1304,tbl_recyclass[ProductId],0))="Sim","Conforme (meta 2030)",IF(INDEX(tbl_recyclass[Conforme_Art7_2030],MATCH(A1304,tbl_recyclass[ProductId],0))="Não","Lacuna face à meta 2030","Isento")),IF(B1304="EU-ENV-011",IF(INDEX(tbl_familias_ppwr[Metais_Pesados_Evidencia],MATCH(INDEX(tbl_recyclass[Familia_PPWR],MATCH(A1304,tbl_recyclass[ProductId],0)),tbl_familias_ppwr[ID_Familia],0))="Em falta","Lacuna","Conforme"),IF(B1304="EU-ENV-013",IF(INDEX(tbl_familias_ppwr[Declaracao_UE],MATCH(INDEX(tbl_recyclass[Familia_PPWR],MATCH(A1304,tbl_recyclass[ProductId],0)),tbl_familias_ppwr[ID_Familia],0))="Sim","Conforme","Lacuna"),G1304)))),G1304))</f>
        <v>Não aplicável</v>
      </c>
      <c r="I1304" s="33" t="str">
        <f t="shared" si="20"/>
        <v>Não aplicável</v>
      </c>
      <c r="J1304" s="26"/>
    </row>
    <row r="1305" spans="1:10" ht="16.05" customHeight="1" x14ac:dyDescent="0.3">
      <c r="A1305" s="26" t="s">
        <v>752</v>
      </c>
      <c r="B1305" s="26" t="s">
        <v>1078</v>
      </c>
      <c r="C1305" s="33" t="str">
        <f>IFERROR(INDEX(tbl_requisitos_emb[Tema],MATCH(B1305,tbl_requisitos_emb[ID_Req],0)),"")</f>
        <v>Reciclado à escala</v>
      </c>
      <c r="D1305" s="33" t="str">
        <f>IFERROR(INDEX(tbl_recyclass[Segmento],MATCH(A1305,tbl_recyclass[ProductId],0)),"")</f>
        <v>Cosmética e higiene pessoal</v>
      </c>
      <c r="E1305" s="26" t="s">
        <v>901</v>
      </c>
      <c r="F1305" s="26" t="s">
        <v>1449</v>
      </c>
      <c r="G1305" s="26" t="s">
        <v>990</v>
      </c>
      <c r="H1305" s="33" t="str">
        <f>IF(E1305="Não","Não aplicável",IFERROR(IF(B1305="EU-ENV-002",IF(INDEX(tbl_recyclass[Conforme_PPWR_2030],MATCH(A1305,tbl_recyclass[ProductId],0))="Sim","Conforme (autoavaliação)",IF(INDEX(tbl_recyclass[Conforme_PPWR_2030],MATCH(A1305,tbl_recyclass[ProductId],0))="Não","Não conforme em 2030","Isento até 2035")),IF(B1305="EU-ENV-003",IF(INDEX(tbl_recyclass[Conforme_Art7_2030],MATCH(A1305,tbl_recyclass[ProductId],0))="Sim","Conforme (meta 2030)",IF(INDEX(tbl_recyclass[Conforme_Art7_2030],MATCH(A1305,tbl_recyclass[ProductId],0))="Não","Lacuna face à meta 2030","Isento")),IF(B1305="EU-ENV-011",IF(INDEX(tbl_familias_ppwr[Metais_Pesados_Evidencia],MATCH(INDEX(tbl_recyclass[Familia_PPWR],MATCH(A1305,tbl_recyclass[ProductId],0)),tbl_familias_ppwr[ID_Familia],0))="Em falta","Lacuna","Conforme"),IF(B1305="EU-ENV-013",IF(INDEX(tbl_familias_ppwr[Declaracao_UE],MATCH(INDEX(tbl_recyclass[Familia_PPWR],MATCH(A1305,tbl_recyclass[ProductId],0)),tbl_familias_ppwr[ID_Familia],0))="Sim","Conforme","Lacuna"),G1305)))),G1305))</f>
        <v>Futuro</v>
      </c>
      <c r="I1305" s="33" t="str">
        <f t="shared" si="20"/>
        <v>Futuro</v>
      </c>
      <c r="J1305" s="26" t="s">
        <v>1082</v>
      </c>
    </row>
    <row r="1306" spans="1:10" ht="16.05" customHeight="1" x14ac:dyDescent="0.3">
      <c r="A1306" s="26" t="s">
        <v>752</v>
      </c>
      <c r="B1306" s="26" t="s">
        <v>1086</v>
      </c>
      <c r="C1306" s="33" t="str">
        <f>IFERROR(INDEX(tbl_requisitos_emb[Tema],MATCH(B1306,tbl_requisitos_emb[ID_Req],0)),"")</f>
        <v>Metais pesados</v>
      </c>
      <c r="D1306" s="33" t="str">
        <f>IFERROR(INDEX(tbl_recyclass[Segmento],MATCH(A1306,tbl_recyclass[ProductId],0)),"")</f>
        <v>Cosmética e higiene pessoal</v>
      </c>
      <c r="E1306" s="26" t="s">
        <v>901</v>
      </c>
      <c r="F1306" s="26" t="s">
        <v>1449</v>
      </c>
      <c r="G1306" s="26" t="s">
        <v>978</v>
      </c>
      <c r="H1306" s="33" t="str">
        <f>IF(E1306="Não","Não aplicável",IFERROR(IF(B1306="EU-ENV-002",IF(INDEX(tbl_recyclass[Conforme_PPWR_2030],MATCH(A1306,tbl_recyclass[ProductId],0))="Sim","Conforme (autoavaliação)",IF(INDEX(tbl_recyclass[Conforme_PPWR_2030],MATCH(A1306,tbl_recyclass[ProductId],0))="Não","Não conforme em 2030","Isento até 2035")),IF(B1306="EU-ENV-003",IF(INDEX(tbl_recyclass[Conforme_Art7_2030],MATCH(A1306,tbl_recyclass[ProductId],0))="Sim","Conforme (meta 2030)",IF(INDEX(tbl_recyclass[Conforme_Art7_2030],MATCH(A1306,tbl_recyclass[ProductId],0))="Não","Lacuna face à meta 2030","Isento")),IF(B1306="EU-ENV-011",IF(INDEX(tbl_familias_ppwr[Metais_Pesados_Evidencia],MATCH(INDEX(tbl_recyclass[Familia_PPWR],MATCH(A1306,tbl_recyclass[ProductId],0)),tbl_familias_ppwr[ID_Familia],0))="Em falta","Lacuna","Conforme"),IF(B1306="EU-ENV-013",IF(INDEX(tbl_familias_ppwr[Declaracao_UE],MATCH(INDEX(tbl_recyclass[Familia_PPWR],MATCH(A1306,tbl_recyclass[ProductId],0)),tbl_familias_ppwr[ID_Familia],0))="Sim","Conforme","Lacuna"),G1306)))),G1306))</f>
        <v>Conforme</v>
      </c>
      <c r="I1306" s="33" t="str">
        <f t="shared" si="20"/>
        <v>Conforme</v>
      </c>
      <c r="J1306" s="26" t="s">
        <v>1090</v>
      </c>
    </row>
    <row r="1307" spans="1:10" ht="16.05" customHeight="1" x14ac:dyDescent="0.3">
      <c r="A1307" s="26" t="s">
        <v>752</v>
      </c>
      <c r="B1307" s="26" t="s">
        <v>1094</v>
      </c>
      <c r="C1307" s="33" t="str">
        <f>IFERROR(INDEX(tbl_requisitos_emb[Tema],MATCH(B1307,tbl_requisitos_emb[ID_Req],0)),"")</f>
        <v>PFAS</v>
      </c>
      <c r="D1307" s="33" t="str">
        <f>IFERROR(INDEX(tbl_recyclass[Segmento],MATCH(A1307,tbl_recyclass[ProductId],0)),"")</f>
        <v>Cosmética e higiene pessoal</v>
      </c>
      <c r="E1307" s="26" t="s">
        <v>904</v>
      </c>
      <c r="F1307" s="26" t="s">
        <v>1450</v>
      </c>
      <c r="G1307" s="26" t="s">
        <v>1143</v>
      </c>
      <c r="H1307" s="33" t="str">
        <f>IF(E1307="Não","Não aplicável",IFERROR(IF(B1307="EU-ENV-002",IF(INDEX(tbl_recyclass[Conforme_PPWR_2030],MATCH(A1307,tbl_recyclass[ProductId],0))="Sim","Conforme (autoavaliação)",IF(INDEX(tbl_recyclass[Conforme_PPWR_2030],MATCH(A1307,tbl_recyclass[ProductId],0))="Não","Não conforme em 2030","Isento até 2035")),IF(B1307="EU-ENV-003",IF(INDEX(tbl_recyclass[Conforme_Art7_2030],MATCH(A1307,tbl_recyclass[ProductId],0))="Sim","Conforme (meta 2030)",IF(INDEX(tbl_recyclass[Conforme_Art7_2030],MATCH(A1307,tbl_recyclass[ProductId],0))="Não","Lacuna face à meta 2030","Isento")),IF(B1307="EU-ENV-011",IF(INDEX(tbl_familias_ppwr[Metais_Pesados_Evidencia],MATCH(INDEX(tbl_recyclass[Familia_PPWR],MATCH(A1307,tbl_recyclass[ProductId],0)),tbl_familias_ppwr[ID_Familia],0))="Em falta","Lacuna","Conforme"),IF(B1307="EU-ENV-013",IF(INDEX(tbl_familias_ppwr[Declaracao_UE],MATCH(INDEX(tbl_recyclass[Familia_PPWR],MATCH(A1307,tbl_recyclass[ProductId],0)),tbl_familias_ppwr[ID_Familia],0))="Sim","Conforme","Lacuna"),G1307)))),G1307))</f>
        <v>Não aplicável</v>
      </c>
      <c r="I1307" s="33" t="str">
        <f t="shared" si="20"/>
        <v>Não aplicável</v>
      </c>
      <c r="J1307" s="26"/>
    </row>
    <row r="1308" spans="1:10" ht="16.05" customHeight="1" x14ac:dyDescent="0.3">
      <c r="A1308" s="26" t="s">
        <v>752</v>
      </c>
      <c r="B1308" s="26" t="s">
        <v>1102</v>
      </c>
      <c r="C1308" s="33" t="str">
        <f>IFERROR(INDEX(tbl_requisitos_emb[Tema],MATCH(B1308,tbl_requisitos_emb[ID_Req],0)),"")</f>
        <v>Documentação técnica e declaração UE</v>
      </c>
      <c r="D1308" s="33" t="str">
        <f>IFERROR(INDEX(tbl_recyclass[Segmento],MATCH(A1308,tbl_recyclass[ProductId],0)),"")</f>
        <v>Cosmética e higiene pessoal</v>
      </c>
      <c r="E1308" s="26" t="s">
        <v>901</v>
      </c>
      <c r="F1308" s="26" t="s">
        <v>1449</v>
      </c>
      <c r="G1308" s="26" t="s">
        <v>978</v>
      </c>
      <c r="H1308" s="33" t="str">
        <f>IF(E1308="Não","Não aplicável",IFERROR(IF(B1308="EU-ENV-002",IF(INDEX(tbl_recyclass[Conforme_PPWR_2030],MATCH(A1308,tbl_recyclass[ProductId],0))="Sim","Conforme (autoavaliação)",IF(INDEX(tbl_recyclass[Conforme_PPWR_2030],MATCH(A1308,tbl_recyclass[ProductId],0))="Não","Não conforme em 2030","Isento até 2035")),IF(B1308="EU-ENV-003",IF(INDEX(tbl_recyclass[Conforme_Art7_2030],MATCH(A1308,tbl_recyclass[ProductId],0))="Sim","Conforme (meta 2030)",IF(INDEX(tbl_recyclass[Conforme_Art7_2030],MATCH(A1308,tbl_recyclass[ProductId],0))="Não","Lacuna face à meta 2030","Isento")),IF(B1308="EU-ENV-011",IF(INDEX(tbl_familias_ppwr[Metais_Pesados_Evidencia],MATCH(INDEX(tbl_recyclass[Familia_PPWR],MATCH(A1308,tbl_recyclass[ProductId],0)),tbl_familias_ppwr[ID_Familia],0))="Em falta","Lacuna","Conforme"),IF(B1308="EU-ENV-013",IF(INDEX(tbl_familias_ppwr[Declaracao_UE],MATCH(INDEX(tbl_recyclass[Familia_PPWR],MATCH(A1308,tbl_recyclass[ProductId],0)),tbl_familias_ppwr[ID_Familia],0))="Sim","Conforme","Lacuna"),G1308)))),G1308))</f>
        <v>Conforme</v>
      </c>
      <c r="I1308" s="33" t="str">
        <f t="shared" si="20"/>
        <v>Conforme</v>
      </c>
      <c r="J1308" s="26" t="s">
        <v>1106</v>
      </c>
    </row>
    <row r="1309" spans="1:10" ht="16.05" customHeight="1" x14ac:dyDescent="0.3">
      <c r="A1309" s="26" t="s">
        <v>752</v>
      </c>
      <c r="B1309" s="26" t="s">
        <v>1161</v>
      </c>
      <c r="C1309" s="33" t="str">
        <f>IFERROR(INDEX(tbl_requisitos_emb[Tema],MATCH(B1309,tbl_requisitos_emb[ID_Req],0)),"")</f>
        <v>Materiais em contacto com alimentos</v>
      </c>
      <c r="D1309" s="33" t="str">
        <f>IFERROR(INDEX(tbl_recyclass[Segmento],MATCH(A1309,tbl_recyclass[ProductId],0)),"")</f>
        <v>Cosmética e higiene pessoal</v>
      </c>
      <c r="E1309" s="26" t="s">
        <v>904</v>
      </c>
      <c r="F1309" s="26" t="s">
        <v>1450</v>
      </c>
      <c r="G1309" s="26" t="s">
        <v>1143</v>
      </c>
      <c r="H1309" s="33" t="str">
        <f>IF(E1309="Não","Não aplicável",IFERROR(IF(B1309="EU-ENV-002",IF(INDEX(tbl_recyclass[Conforme_PPWR_2030],MATCH(A1309,tbl_recyclass[ProductId],0))="Sim","Conforme (autoavaliação)",IF(INDEX(tbl_recyclass[Conforme_PPWR_2030],MATCH(A1309,tbl_recyclass[ProductId],0))="Não","Não conforme em 2030","Isento até 2035")),IF(B1309="EU-ENV-003",IF(INDEX(tbl_recyclass[Conforme_Art7_2030],MATCH(A1309,tbl_recyclass[ProductId],0))="Sim","Conforme (meta 2030)",IF(INDEX(tbl_recyclass[Conforme_Art7_2030],MATCH(A1309,tbl_recyclass[ProductId],0))="Não","Lacuna face à meta 2030","Isento")),IF(B1309="EU-ENV-011",IF(INDEX(tbl_familias_ppwr[Metais_Pesados_Evidencia],MATCH(INDEX(tbl_recyclass[Familia_PPWR],MATCH(A1309,tbl_recyclass[ProductId],0)),tbl_familias_ppwr[ID_Familia],0))="Em falta","Lacuna","Conforme"),IF(B1309="EU-ENV-013",IF(INDEX(tbl_familias_ppwr[Declaracao_UE],MATCH(INDEX(tbl_recyclass[Familia_PPWR],MATCH(A1309,tbl_recyclass[ProductId],0)),tbl_familias_ppwr[ID_Familia],0))="Sim","Conforme","Lacuna"),G1309)))),G1309))</f>
        <v>Não aplicável</v>
      </c>
      <c r="I1309" s="33" t="str">
        <f t="shared" si="20"/>
        <v>Não aplicável</v>
      </c>
      <c r="J1309" s="26"/>
    </row>
    <row r="1310" spans="1:10" ht="16.05" customHeight="1" x14ac:dyDescent="0.3">
      <c r="A1310" s="26" t="s">
        <v>752</v>
      </c>
      <c r="B1310" s="26" t="s">
        <v>1170</v>
      </c>
      <c r="C1310" s="33" t="str">
        <f>IFERROR(INDEX(tbl_requisitos_emb[Tema],MATCH(B1310,tbl_requisitos_emb[ID_Req],0)),"")</f>
        <v>Boas práticas de fabrico FCM</v>
      </c>
      <c r="D1310" s="33" t="str">
        <f>IFERROR(INDEX(tbl_recyclass[Segmento],MATCH(A1310,tbl_recyclass[ProductId],0)),"")</f>
        <v>Cosmética e higiene pessoal</v>
      </c>
      <c r="E1310" s="26" t="s">
        <v>904</v>
      </c>
      <c r="F1310" s="26" t="s">
        <v>1450</v>
      </c>
      <c r="G1310" s="26" t="s">
        <v>1143</v>
      </c>
      <c r="H1310" s="33" t="str">
        <f>IF(E1310="Não","Não aplicável",IFERROR(IF(B1310="EU-ENV-002",IF(INDEX(tbl_recyclass[Conforme_PPWR_2030],MATCH(A1310,tbl_recyclass[ProductId],0))="Sim","Conforme (autoavaliação)",IF(INDEX(tbl_recyclass[Conforme_PPWR_2030],MATCH(A1310,tbl_recyclass[ProductId],0))="Não","Não conforme em 2030","Isento até 2035")),IF(B1310="EU-ENV-003",IF(INDEX(tbl_recyclass[Conforme_Art7_2030],MATCH(A1310,tbl_recyclass[ProductId],0))="Sim","Conforme (meta 2030)",IF(INDEX(tbl_recyclass[Conforme_Art7_2030],MATCH(A1310,tbl_recyclass[ProductId],0))="Não","Lacuna face à meta 2030","Isento")),IF(B1310="EU-ENV-011",IF(INDEX(tbl_familias_ppwr[Metais_Pesados_Evidencia],MATCH(INDEX(tbl_recyclass[Familia_PPWR],MATCH(A1310,tbl_recyclass[ProductId],0)),tbl_familias_ppwr[ID_Familia],0))="Em falta","Lacuna","Conforme"),IF(B1310="EU-ENV-013",IF(INDEX(tbl_familias_ppwr[Declaracao_UE],MATCH(INDEX(tbl_recyclass[Familia_PPWR],MATCH(A1310,tbl_recyclass[ProductId],0)),tbl_familias_ppwr[ID_Familia],0))="Sim","Conforme","Lacuna"),G1310)))),G1310))</f>
        <v>Não aplicável</v>
      </c>
      <c r="I1310" s="33" t="str">
        <f t="shared" si="20"/>
        <v>Não aplicável</v>
      </c>
      <c r="J1310" s="26"/>
    </row>
    <row r="1311" spans="1:10" ht="16.05" customHeight="1" x14ac:dyDescent="0.3">
      <c r="A1311" s="26" t="s">
        <v>752</v>
      </c>
      <c r="B1311" s="26" t="s">
        <v>1179</v>
      </c>
      <c r="C1311" s="33" t="str">
        <f>IFERROR(INDEX(tbl_requisitos_emb[Tema],MATCH(B1311,tbl_requisitos_emb[ID_Req],0)),"")</f>
        <v>Bisfenol A e bisfenóis perigosos</v>
      </c>
      <c r="D1311" s="33" t="str">
        <f>IFERROR(INDEX(tbl_recyclass[Segmento],MATCH(A1311,tbl_recyclass[ProductId],0)),"")</f>
        <v>Cosmética e higiene pessoal</v>
      </c>
      <c r="E1311" s="26" t="s">
        <v>904</v>
      </c>
      <c r="F1311" s="26" t="s">
        <v>1450</v>
      </c>
      <c r="G1311" s="26" t="s">
        <v>1143</v>
      </c>
      <c r="H1311" s="33" t="str">
        <f>IF(E1311="Não","Não aplicável",IFERROR(IF(B1311="EU-ENV-002",IF(INDEX(tbl_recyclass[Conforme_PPWR_2030],MATCH(A1311,tbl_recyclass[ProductId],0))="Sim","Conforme (autoavaliação)",IF(INDEX(tbl_recyclass[Conforme_PPWR_2030],MATCH(A1311,tbl_recyclass[ProductId],0))="Não","Não conforme em 2030","Isento até 2035")),IF(B1311="EU-ENV-003",IF(INDEX(tbl_recyclass[Conforme_Art7_2030],MATCH(A1311,tbl_recyclass[ProductId],0))="Sim","Conforme (meta 2030)",IF(INDEX(tbl_recyclass[Conforme_Art7_2030],MATCH(A1311,tbl_recyclass[ProductId],0))="Não","Lacuna face à meta 2030","Isento")),IF(B1311="EU-ENV-011",IF(INDEX(tbl_familias_ppwr[Metais_Pesados_Evidencia],MATCH(INDEX(tbl_recyclass[Familia_PPWR],MATCH(A1311,tbl_recyclass[ProductId],0)),tbl_familias_ppwr[ID_Familia],0))="Em falta","Lacuna","Conforme"),IF(B1311="EU-ENV-013",IF(INDEX(tbl_familias_ppwr[Declaracao_UE],MATCH(INDEX(tbl_recyclass[Familia_PPWR],MATCH(A1311,tbl_recyclass[ProductId],0)),tbl_familias_ppwr[ID_Familia],0))="Sim","Conforme","Lacuna"),G1311)))),G1311))</f>
        <v>Não aplicável</v>
      </c>
      <c r="I1311" s="33" t="str">
        <f t="shared" si="20"/>
        <v>Não aplicável</v>
      </c>
      <c r="J1311" s="26"/>
    </row>
    <row r="1312" spans="1:10" ht="16.05" customHeight="1" x14ac:dyDescent="0.3">
      <c r="A1312" s="26" t="s">
        <v>752</v>
      </c>
      <c r="B1312" s="26" t="s">
        <v>1188</v>
      </c>
      <c r="C1312" s="33" t="str">
        <f>IFERROR(INDEX(tbl_requisitos_emb[Tema],MATCH(B1312,tbl_requisitos_emb[ID_Req],0)),"")</f>
        <v>Plásticos em contacto com alimentos</v>
      </c>
      <c r="D1312" s="33" t="str">
        <f>IFERROR(INDEX(tbl_recyclass[Segmento],MATCH(A1312,tbl_recyclass[ProductId],0)),"")</f>
        <v>Cosmética e higiene pessoal</v>
      </c>
      <c r="E1312" s="26" t="s">
        <v>904</v>
      </c>
      <c r="F1312" s="26" t="s">
        <v>1450</v>
      </c>
      <c r="G1312" s="26" t="s">
        <v>1143</v>
      </c>
      <c r="H1312" s="33" t="str">
        <f>IF(E1312="Não","Não aplicável",IFERROR(IF(B1312="EU-ENV-002",IF(INDEX(tbl_recyclass[Conforme_PPWR_2030],MATCH(A1312,tbl_recyclass[ProductId],0))="Sim","Conforme (autoavaliação)",IF(INDEX(tbl_recyclass[Conforme_PPWR_2030],MATCH(A1312,tbl_recyclass[ProductId],0))="Não","Não conforme em 2030","Isento até 2035")),IF(B1312="EU-ENV-003",IF(INDEX(tbl_recyclass[Conforme_Art7_2030],MATCH(A1312,tbl_recyclass[ProductId],0))="Sim","Conforme (meta 2030)",IF(INDEX(tbl_recyclass[Conforme_Art7_2030],MATCH(A1312,tbl_recyclass[ProductId],0))="Não","Lacuna face à meta 2030","Isento")),IF(B1312="EU-ENV-011",IF(INDEX(tbl_familias_ppwr[Metais_Pesados_Evidencia],MATCH(INDEX(tbl_recyclass[Familia_PPWR],MATCH(A1312,tbl_recyclass[ProductId],0)),tbl_familias_ppwr[ID_Familia],0))="Em falta","Lacuna","Conforme"),IF(B1312="EU-ENV-013",IF(INDEX(tbl_familias_ppwr[Declaracao_UE],MATCH(INDEX(tbl_recyclass[Familia_PPWR],MATCH(A1312,tbl_recyclass[ProductId],0)),tbl_familias_ppwr[ID_Familia],0))="Sim","Conforme","Lacuna"),G1312)))),G1312))</f>
        <v>Não aplicável</v>
      </c>
      <c r="I1312" s="33" t="str">
        <f t="shared" si="20"/>
        <v>Não aplicável</v>
      </c>
      <c r="J1312" s="26"/>
    </row>
    <row r="1313" spans="1:10" ht="16.05" customHeight="1" x14ac:dyDescent="0.3">
      <c r="A1313" s="26" t="s">
        <v>752</v>
      </c>
      <c r="B1313" s="26" t="s">
        <v>1212</v>
      </c>
      <c r="C1313" s="33" t="str">
        <f>IFERROR(INDEX(tbl_requisitos_emb[Tema],MATCH(B1313,tbl_requisitos_emb[ID_Req],0)),"")</f>
        <v>Segurança do produto cosmético</v>
      </c>
      <c r="D1313" s="33" t="str">
        <f>IFERROR(INDEX(tbl_recyclass[Segmento],MATCH(A1313,tbl_recyclass[ProductId],0)),"")</f>
        <v>Cosmética e higiene pessoal</v>
      </c>
      <c r="E1313" s="26" t="s">
        <v>901</v>
      </c>
      <c r="F1313" s="26" t="s">
        <v>1449</v>
      </c>
      <c r="G1313" s="26" t="s">
        <v>1033</v>
      </c>
      <c r="H1313" s="33" t="str">
        <f>IF(E1313="Não","Não aplicável",IFERROR(IF(B1313="EU-ENV-002",IF(INDEX(tbl_recyclass[Conforme_PPWR_2030],MATCH(A1313,tbl_recyclass[ProductId],0))="Sim","Conforme (autoavaliação)",IF(INDEX(tbl_recyclass[Conforme_PPWR_2030],MATCH(A1313,tbl_recyclass[ProductId],0))="Não","Não conforme em 2030","Isento até 2035")),IF(B1313="EU-ENV-003",IF(INDEX(tbl_recyclass[Conforme_Art7_2030],MATCH(A1313,tbl_recyclass[ProductId],0))="Sim","Conforme (meta 2030)",IF(INDEX(tbl_recyclass[Conforme_Art7_2030],MATCH(A1313,tbl_recyclass[ProductId],0))="Não","Lacuna face à meta 2030","Isento")),IF(B1313="EU-ENV-011",IF(INDEX(tbl_familias_ppwr[Metais_Pesados_Evidencia],MATCH(INDEX(tbl_recyclass[Familia_PPWR],MATCH(A1313,tbl_recyclass[ProductId],0)),tbl_familias_ppwr[ID_Familia],0))="Em falta","Lacuna","Conforme"),IF(B1313="EU-ENV-013",IF(INDEX(tbl_familias_ppwr[Declaracao_UE],MATCH(INDEX(tbl_recyclass[Familia_PPWR],MATCH(A1313,tbl_recyclass[ProductId],0)),tbl_familias_ppwr[ID_Familia],0))="Sim","Conforme","Lacuna"),G1313)))),G1313))</f>
        <v>Conforme</v>
      </c>
      <c r="I1313" s="33" t="str">
        <f t="shared" si="20"/>
        <v>Conforme</v>
      </c>
      <c r="J1313" s="26" t="s">
        <v>1221</v>
      </c>
    </row>
    <row r="1314" spans="1:10" ht="16.05" customHeight="1" x14ac:dyDescent="0.3">
      <c r="A1314" s="26" t="s">
        <v>752</v>
      </c>
      <c r="B1314" s="26" t="s">
        <v>1224</v>
      </c>
      <c r="C1314" s="33" t="str">
        <f>IFERROR(INDEX(tbl_requisitos_emb[Tema],MATCH(B1314,tbl_requisitos_emb[ID_Req],0)),"")</f>
        <v>Materiais e impurezas</v>
      </c>
      <c r="D1314" s="33" t="str">
        <f>IFERROR(INDEX(tbl_recyclass[Segmento],MATCH(A1314,tbl_recyclass[ProductId],0)),"")</f>
        <v>Cosmética e higiene pessoal</v>
      </c>
      <c r="E1314" s="26" t="s">
        <v>901</v>
      </c>
      <c r="F1314" s="26" t="s">
        <v>1449</v>
      </c>
      <c r="G1314" s="26" t="s">
        <v>978</v>
      </c>
      <c r="H1314" s="33" t="str">
        <f>IF(E1314="Não","Não aplicável",IFERROR(IF(B1314="EU-ENV-002",IF(INDEX(tbl_recyclass[Conforme_PPWR_2030],MATCH(A1314,tbl_recyclass[ProductId],0))="Sim","Conforme (autoavaliação)",IF(INDEX(tbl_recyclass[Conforme_PPWR_2030],MATCH(A1314,tbl_recyclass[ProductId],0))="Não","Não conforme em 2030","Isento até 2035")),IF(B1314="EU-ENV-003",IF(INDEX(tbl_recyclass[Conforme_Art7_2030],MATCH(A1314,tbl_recyclass[ProductId],0))="Sim","Conforme (meta 2030)",IF(INDEX(tbl_recyclass[Conforme_Art7_2030],MATCH(A1314,tbl_recyclass[ProductId],0))="Não","Lacuna face à meta 2030","Isento")),IF(B1314="EU-ENV-011",IF(INDEX(tbl_familias_ppwr[Metais_Pesados_Evidencia],MATCH(INDEX(tbl_recyclass[Familia_PPWR],MATCH(A1314,tbl_recyclass[ProductId],0)),tbl_familias_ppwr[ID_Familia],0))="Em falta","Lacuna","Conforme"),IF(B1314="EU-ENV-013",IF(INDEX(tbl_familias_ppwr[Declaracao_UE],MATCH(INDEX(tbl_recyclass[Familia_PPWR],MATCH(A1314,tbl_recyclass[ProductId],0)),tbl_familias_ppwr[ID_Familia],0))="Sim","Conforme","Lacuna"),G1314)))),G1314))</f>
        <v>Parcial</v>
      </c>
      <c r="I1314" s="33" t="str">
        <f t="shared" si="20"/>
        <v>Parcial</v>
      </c>
      <c r="J1314" s="26" t="s">
        <v>1228</v>
      </c>
    </row>
    <row r="1315" spans="1:10" ht="16.05" customHeight="1" x14ac:dyDescent="0.3">
      <c r="A1315" s="26" t="s">
        <v>752</v>
      </c>
      <c r="B1315" s="26" t="s">
        <v>1240</v>
      </c>
      <c r="C1315" s="33" t="str">
        <f>IFERROR(INDEX(tbl_requisitos_emb[Tema],MATCH(B1315,tbl_requisitos_emb[ID_Req],0)),"")</f>
        <v>Compatibilidade embalagem–produto</v>
      </c>
      <c r="D1315" s="33" t="str">
        <f>IFERROR(INDEX(tbl_recyclass[Segmento],MATCH(A1315,tbl_recyclass[ProductId],0)),"")</f>
        <v>Cosmética e higiene pessoal</v>
      </c>
      <c r="E1315" s="26" t="s">
        <v>901</v>
      </c>
      <c r="F1315" s="26" t="s">
        <v>1449</v>
      </c>
      <c r="G1315" s="26" t="s">
        <v>1033</v>
      </c>
      <c r="H1315" s="33" t="str">
        <f>IF(E1315="Não","Não aplicável",IFERROR(IF(B1315="EU-ENV-002",IF(INDEX(tbl_recyclass[Conforme_PPWR_2030],MATCH(A1315,tbl_recyclass[ProductId],0))="Sim","Conforme (autoavaliação)",IF(INDEX(tbl_recyclass[Conforme_PPWR_2030],MATCH(A1315,tbl_recyclass[ProductId],0))="Não","Não conforme em 2030","Isento até 2035")),IF(B1315="EU-ENV-003",IF(INDEX(tbl_recyclass[Conforme_Art7_2030],MATCH(A1315,tbl_recyclass[ProductId],0))="Sim","Conforme (meta 2030)",IF(INDEX(tbl_recyclass[Conforme_Art7_2030],MATCH(A1315,tbl_recyclass[ProductId],0))="Não","Lacuna face à meta 2030","Isento")),IF(B1315="EU-ENV-011",IF(INDEX(tbl_familias_ppwr[Metais_Pesados_Evidencia],MATCH(INDEX(tbl_recyclass[Familia_PPWR],MATCH(A1315,tbl_recyclass[ProductId],0)),tbl_familias_ppwr[ID_Familia],0))="Em falta","Lacuna","Conforme"),IF(B1315="EU-ENV-013",IF(INDEX(tbl_familias_ppwr[Declaracao_UE],MATCH(INDEX(tbl_recyclass[Familia_PPWR],MATCH(A1315,tbl_recyclass[ProductId],0)),tbl_familias_ppwr[ID_Familia],0))="Sim","Conforme","Lacuna"),G1315)))),G1315))</f>
        <v>Conforme</v>
      </c>
      <c r="I1315" s="33" t="str">
        <f t="shared" si="20"/>
        <v>Conforme</v>
      </c>
      <c r="J1315" s="26" t="s">
        <v>1244</v>
      </c>
    </row>
    <row r="1316" spans="1:10" ht="16.05" customHeight="1" x14ac:dyDescent="0.3">
      <c r="A1316" s="26" t="s">
        <v>752</v>
      </c>
      <c r="B1316" s="26" t="s">
        <v>1252</v>
      </c>
      <c r="C1316" s="33" t="str">
        <f>IFERROR(INDEX(tbl_requisitos_emb[Tema],MATCH(B1316,tbl_requisitos_emb[ID_Req],0)),"")</f>
        <v>Medicamentos de uso humano</v>
      </c>
      <c r="D1316" s="33" t="str">
        <f>IFERROR(INDEX(tbl_recyclass[Segmento],MATCH(A1316,tbl_recyclass[ProductId],0)),"")</f>
        <v>Cosmética e higiene pessoal</v>
      </c>
      <c r="E1316" s="26" t="s">
        <v>904</v>
      </c>
      <c r="F1316" s="26" t="s">
        <v>1451</v>
      </c>
      <c r="G1316" s="26" t="s">
        <v>1143</v>
      </c>
      <c r="H1316" s="33" t="str">
        <f>IF(E1316="Não","Não aplicável",IFERROR(IF(B1316="EU-ENV-002",IF(INDEX(tbl_recyclass[Conforme_PPWR_2030],MATCH(A1316,tbl_recyclass[ProductId],0))="Sim","Conforme (autoavaliação)",IF(INDEX(tbl_recyclass[Conforme_PPWR_2030],MATCH(A1316,tbl_recyclass[ProductId],0))="Não","Não conforme em 2030","Isento até 2035")),IF(B1316="EU-ENV-003",IF(INDEX(tbl_recyclass[Conforme_Art7_2030],MATCH(A1316,tbl_recyclass[ProductId],0))="Sim","Conforme (meta 2030)",IF(INDEX(tbl_recyclass[Conforme_Art7_2030],MATCH(A1316,tbl_recyclass[ProductId],0))="Não","Lacuna face à meta 2030","Isento")),IF(B1316="EU-ENV-011",IF(INDEX(tbl_familias_ppwr[Metais_Pesados_Evidencia],MATCH(INDEX(tbl_recyclass[Familia_PPWR],MATCH(A1316,tbl_recyclass[ProductId],0)),tbl_familias_ppwr[ID_Familia],0))="Em falta","Lacuna","Conforme"),IF(B1316="EU-ENV-013",IF(INDEX(tbl_familias_ppwr[Declaracao_UE],MATCH(INDEX(tbl_recyclass[Familia_PPWR],MATCH(A1316,tbl_recyclass[ProductId],0)),tbl_familias_ppwr[ID_Familia],0))="Sim","Conforme","Lacuna"),G1316)))),G1316))</f>
        <v>Não aplicável</v>
      </c>
      <c r="I1316" s="33" t="str">
        <f t="shared" si="20"/>
        <v>Não aplicável</v>
      </c>
      <c r="J1316" s="26"/>
    </row>
    <row r="1317" spans="1:10" ht="16.05" customHeight="1" x14ac:dyDescent="0.3">
      <c r="A1317" s="26" t="s">
        <v>752</v>
      </c>
      <c r="B1317" s="26" t="s">
        <v>1268</v>
      </c>
      <c r="C1317" s="33" t="str">
        <f>IFERROR(INDEX(tbl_requisitos_emb[Tema],MATCH(B1317,tbl_requisitos_emb[ID_Req],0)),"")</f>
        <v>Dispositivos de segurança</v>
      </c>
      <c r="D1317" s="33" t="str">
        <f>IFERROR(INDEX(tbl_recyclass[Segmento],MATCH(A1317,tbl_recyclass[ProductId],0)),"")</f>
        <v>Cosmética e higiene pessoal</v>
      </c>
      <c r="E1317" s="26" t="s">
        <v>904</v>
      </c>
      <c r="F1317" s="26" t="s">
        <v>1451</v>
      </c>
      <c r="G1317" s="26" t="s">
        <v>1143</v>
      </c>
      <c r="H1317" s="33" t="str">
        <f>IF(E1317="Não","Não aplicável",IFERROR(IF(B1317="EU-ENV-002",IF(INDEX(tbl_recyclass[Conforme_PPWR_2030],MATCH(A1317,tbl_recyclass[ProductId],0))="Sim","Conforme (autoavaliação)",IF(INDEX(tbl_recyclass[Conforme_PPWR_2030],MATCH(A1317,tbl_recyclass[ProductId],0))="Não","Não conforme em 2030","Isento até 2035")),IF(B1317="EU-ENV-003",IF(INDEX(tbl_recyclass[Conforme_Art7_2030],MATCH(A1317,tbl_recyclass[ProductId],0))="Sim","Conforme (meta 2030)",IF(INDEX(tbl_recyclass[Conforme_Art7_2030],MATCH(A1317,tbl_recyclass[ProductId],0))="Não","Lacuna face à meta 2030","Isento")),IF(B1317="EU-ENV-011",IF(INDEX(tbl_familias_ppwr[Metais_Pesados_Evidencia],MATCH(INDEX(tbl_recyclass[Familia_PPWR],MATCH(A1317,tbl_recyclass[ProductId],0)),tbl_familias_ppwr[ID_Familia],0))="Em falta","Lacuna","Conforme"),IF(B1317="EU-ENV-013",IF(INDEX(tbl_familias_ppwr[Declaracao_UE],MATCH(INDEX(tbl_recyclass[Familia_PPWR],MATCH(A1317,tbl_recyclass[ProductId],0)),tbl_familias_ppwr[ID_Familia],0))="Sim","Conforme","Lacuna"),G1317)))),G1317))</f>
        <v>Não aplicável</v>
      </c>
      <c r="I1317" s="33" t="str">
        <f t="shared" si="20"/>
        <v>Não aplicável</v>
      </c>
      <c r="J1317" s="26"/>
    </row>
    <row r="1318" spans="1:10" ht="16.05" customHeight="1" x14ac:dyDescent="0.3">
      <c r="A1318" s="26" t="s">
        <v>752</v>
      </c>
      <c r="B1318" s="26" t="s">
        <v>1285</v>
      </c>
      <c r="C1318" s="33" t="str">
        <f>IFERROR(INDEX(tbl_requisitos_emb[Tema],MATCH(B1318,tbl_requisitos_emb[ID_Req],0)),"")</f>
        <v>Materiais plásticos de acondicionamento primário</v>
      </c>
      <c r="D1318" s="33" t="str">
        <f>IFERROR(INDEX(tbl_recyclass[Segmento],MATCH(A1318,tbl_recyclass[ProductId],0)),"")</f>
        <v>Cosmética e higiene pessoal</v>
      </c>
      <c r="E1318" s="26" t="s">
        <v>904</v>
      </c>
      <c r="F1318" s="26" t="s">
        <v>1451</v>
      </c>
      <c r="G1318" s="26" t="s">
        <v>1143</v>
      </c>
      <c r="H1318" s="33" t="str">
        <f>IF(E1318="Não","Não aplicável",IFERROR(IF(B1318="EU-ENV-002",IF(INDEX(tbl_recyclass[Conforme_PPWR_2030],MATCH(A1318,tbl_recyclass[ProductId],0))="Sim","Conforme (autoavaliação)",IF(INDEX(tbl_recyclass[Conforme_PPWR_2030],MATCH(A1318,tbl_recyclass[ProductId],0))="Não","Não conforme em 2030","Isento até 2035")),IF(B1318="EU-ENV-003",IF(INDEX(tbl_recyclass[Conforme_Art7_2030],MATCH(A1318,tbl_recyclass[ProductId],0))="Sim","Conforme (meta 2030)",IF(INDEX(tbl_recyclass[Conforme_Art7_2030],MATCH(A1318,tbl_recyclass[ProductId],0))="Não","Lacuna face à meta 2030","Isento")),IF(B1318="EU-ENV-011",IF(INDEX(tbl_familias_ppwr[Metais_Pesados_Evidencia],MATCH(INDEX(tbl_recyclass[Familia_PPWR],MATCH(A1318,tbl_recyclass[ProductId],0)),tbl_familias_ppwr[ID_Familia],0))="Em falta","Lacuna","Conforme"),IF(B1318="EU-ENV-013",IF(INDEX(tbl_familias_ppwr[Declaracao_UE],MATCH(INDEX(tbl_recyclass[Familia_PPWR],MATCH(A1318,tbl_recyclass[ProductId],0)),tbl_familias_ppwr[ID_Familia],0))="Sim","Conforme","Lacuna"),G1318)))),G1318))</f>
        <v>Não aplicável</v>
      </c>
      <c r="I1318" s="33" t="str">
        <f t="shared" si="20"/>
        <v>Não aplicável</v>
      </c>
      <c r="J1318" s="26"/>
    </row>
    <row r="1319" spans="1:10" ht="16.05" customHeight="1" x14ac:dyDescent="0.3">
      <c r="A1319" s="26" t="s">
        <v>752</v>
      </c>
      <c r="B1319" s="26" t="s">
        <v>1293</v>
      </c>
      <c r="C1319" s="33" t="str">
        <f>IFERROR(INDEX(tbl_requisitos_emb[Tema],MATCH(B1319,tbl_requisitos_emb[ID_Req],0)),"")</f>
        <v>Isenções PPWR</v>
      </c>
      <c r="D1319" s="33" t="str">
        <f>IFERROR(INDEX(tbl_recyclass[Segmento],MATCH(A1319,tbl_recyclass[ProductId],0)),"")</f>
        <v>Cosmética e higiene pessoal</v>
      </c>
      <c r="E1319" s="26" t="s">
        <v>904</v>
      </c>
      <c r="F1319" s="26" t="s">
        <v>1451</v>
      </c>
      <c r="G1319" s="26" t="s">
        <v>1143</v>
      </c>
      <c r="H1319" s="33" t="str">
        <f>IF(E1319="Não","Não aplicável",IFERROR(IF(B1319="EU-ENV-002",IF(INDEX(tbl_recyclass[Conforme_PPWR_2030],MATCH(A1319,tbl_recyclass[ProductId],0))="Sim","Conforme (autoavaliação)",IF(INDEX(tbl_recyclass[Conforme_PPWR_2030],MATCH(A1319,tbl_recyclass[ProductId],0))="Não","Não conforme em 2030","Isento até 2035")),IF(B1319="EU-ENV-003",IF(INDEX(tbl_recyclass[Conforme_Art7_2030],MATCH(A1319,tbl_recyclass[ProductId],0))="Sim","Conforme (meta 2030)",IF(INDEX(tbl_recyclass[Conforme_Art7_2030],MATCH(A1319,tbl_recyclass[ProductId],0))="Não","Lacuna face à meta 2030","Isento")),IF(B1319="EU-ENV-011",IF(INDEX(tbl_familias_ppwr[Metais_Pesados_Evidencia],MATCH(INDEX(tbl_recyclass[Familia_PPWR],MATCH(A1319,tbl_recyclass[ProductId],0)),tbl_familias_ppwr[ID_Familia],0))="Em falta","Lacuna","Conforme"),IF(B1319="EU-ENV-013",IF(INDEX(tbl_familias_ppwr[Declaracao_UE],MATCH(INDEX(tbl_recyclass[Familia_PPWR],MATCH(A1319,tbl_recyclass[ProductId],0)),tbl_familias_ppwr[ID_Familia],0))="Sim","Conforme","Lacuna"),G1319)))),G1319))</f>
        <v>Não aplicável</v>
      </c>
      <c r="I1319" s="33" t="str">
        <f t="shared" si="20"/>
        <v>Não aplicável</v>
      </c>
      <c r="J1319" s="26"/>
    </row>
    <row r="1320" spans="1:10" ht="16.05" customHeight="1" x14ac:dyDescent="0.3">
      <c r="A1320" s="26" t="s">
        <v>752</v>
      </c>
      <c r="B1320" s="26" t="s">
        <v>1357</v>
      </c>
      <c r="C1320" s="33" t="str">
        <f>IFERROR(INDEX(tbl_requisitos_emb[Tema],MATCH(B1320,tbl_requisitos_emb[ID_Req],0)),"")</f>
        <v>Identificação de plásticos</v>
      </c>
      <c r="D1320" s="33" t="str">
        <f>IFERROR(INDEX(tbl_recyclass[Segmento],MATCH(A1320,tbl_recyclass[ProductId],0)),"")</f>
        <v>Cosmética e higiene pessoal</v>
      </c>
      <c r="E1320" s="26" t="s">
        <v>901</v>
      </c>
      <c r="F1320" s="26" t="s">
        <v>1449</v>
      </c>
      <c r="G1320" s="26" t="s">
        <v>978</v>
      </c>
      <c r="H1320" s="33" t="str">
        <f>IF(E1320="Não","Não aplicável",IFERROR(IF(B1320="EU-ENV-002",IF(INDEX(tbl_recyclass[Conforme_PPWR_2030],MATCH(A1320,tbl_recyclass[ProductId],0))="Sim","Conforme (autoavaliação)",IF(INDEX(tbl_recyclass[Conforme_PPWR_2030],MATCH(A1320,tbl_recyclass[ProductId],0))="Não","Não conforme em 2030","Isento até 2035")),IF(B1320="EU-ENV-003",IF(INDEX(tbl_recyclass[Conforme_Art7_2030],MATCH(A1320,tbl_recyclass[ProductId],0))="Sim","Conforme (meta 2030)",IF(INDEX(tbl_recyclass[Conforme_Art7_2030],MATCH(A1320,tbl_recyclass[ProductId],0))="Não","Lacuna face à meta 2030","Isento")),IF(B1320="EU-ENV-011",IF(INDEX(tbl_familias_ppwr[Metais_Pesados_Evidencia],MATCH(INDEX(tbl_recyclass[Familia_PPWR],MATCH(A1320,tbl_recyclass[ProductId],0)),tbl_familias_ppwr[ID_Familia],0))="Em falta","Lacuna","Conforme"),IF(B1320="EU-ENV-013",IF(INDEX(tbl_familias_ppwr[Declaracao_UE],MATCH(INDEX(tbl_recyclass[Familia_PPWR],MATCH(A1320,tbl_recyclass[ProductId],0)),tbl_familias_ppwr[ID_Familia],0))="Sim","Conforme","Lacuna"),G1320)))),G1320))</f>
        <v>Parcial</v>
      </c>
      <c r="I1320" s="33" t="str">
        <f t="shared" si="20"/>
        <v>Parcial</v>
      </c>
      <c r="J1320" s="26" t="s">
        <v>1362</v>
      </c>
    </row>
    <row r="1321" spans="1:10" ht="16.05" customHeight="1" x14ac:dyDescent="0.3">
      <c r="A1321" s="26" t="s">
        <v>752</v>
      </c>
      <c r="B1321" s="26" t="s">
        <v>1385</v>
      </c>
      <c r="C1321" s="33" t="str">
        <f>IFERROR(INDEX(tbl_requisitos_emb[Tema],MATCH(B1321,tbl_requisitos_emb[ID_Req],0)),"")</f>
        <v>Reciclabilidade (voluntária)</v>
      </c>
      <c r="D1321" s="33" t="str">
        <f>IFERROR(INDEX(tbl_recyclass[Segmento],MATCH(A1321,tbl_recyclass[ProductId],0)),"")</f>
        <v>Cosmética e higiene pessoal</v>
      </c>
      <c r="E1321" s="26" t="s">
        <v>901</v>
      </c>
      <c r="F1321" s="26" t="s">
        <v>1449</v>
      </c>
      <c r="G1321" s="26" t="s">
        <v>978</v>
      </c>
      <c r="H1321" s="33" t="str">
        <f>IF(E1321="Não","Não aplicável",IFERROR(IF(B1321="EU-ENV-002",IF(INDEX(tbl_recyclass[Conforme_PPWR_2030],MATCH(A1321,tbl_recyclass[ProductId],0))="Sim","Conforme (autoavaliação)",IF(INDEX(tbl_recyclass[Conforme_PPWR_2030],MATCH(A1321,tbl_recyclass[ProductId],0))="Não","Não conforme em 2030","Isento até 2035")),IF(B1321="EU-ENV-003",IF(INDEX(tbl_recyclass[Conforme_Art7_2030],MATCH(A1321,tbl_recyclass[ProductId],0))="Sim","Conforme (meta 2030)",IF(INDEX(tbl_recyclass[Conforme_Art7_2030],MATCH(A1321,tbl_recyclass[ProductId],0))="Não","Lacuna face à meta 2030","Isento")),IF(B1321="EU-ENV-011",IF(INDEX(tbl_familias_ppwr[Metais_Pesados_Evidencia],MATCH(INDEX(tbl_recyclass[Familia_PPWR],MATCH(A1321,tbl_recyclass[ProductId],0)),tbl_familias_ppwr[ID_Familia],0))="Em falta","Lacuna","Conforme"),IF(B1321="EU-ENV-013",IF(INDEX(tbl_familias_ppwr[Declaracao_UE],MATCH(INDEX(tbl_recyclass[Familia_PPWR],MATCH(A1321,tbl_recyclass[ProductId],0)),tbl_familias_ppwr[ID_Familia],0))="Sim","Conforme","Lacuna"),G1321)))),G1321))</f>
        <v>Parcial</v>
      </c>
      <c r="I1321" s="33" t="str">
        <f t="shared" si="20"/>
        <v>Parcial</v>
      </c>
      <c r="J1321" s="26" t="s">
        <v>1389</v>
      </c>
    </row>
    <row r="1322" spans="1:10" ht="16.05" customHeight="1" x14ac:dyDescent="0.3">
      <c r="A1322" s="26" t="s">
        <v>754</v>
      </c>
      <c r="B1322" s="26" t="s">
        <v>984</v>
      </c>
      <c r="C1322" s="33" t="str">
        <f>IFERROR(INDEX(tbl_requisitos_emb[Tema],MATCH(B1322,tbl_requisitos_emb[ID_Req],0)),"")</f>
        <v>Conceção para reciclagem</v>
      </c>
      <c r="D1322" s="33" t="str">
        <f>IFERROR(INDEX(tbl_recyclass[Segmento],MATCH(A1322,tbl_recyclass[ProductId],0)),"")</f>
        <v>Cosmética e higiene pessoal</v>
      </c>
      <c r="E1322" s="26" t="s">
        <v>901</v>
      </c>
      <c r="F1322" s="26" t="s">
        <v>1449</v>
      </c>
      <c r="G1322" s="26" t="s">
        <v>978</v>
      </c>
      <c r="H1322" s="33" t="str">
        <f>IF(E1322="Não","Não aplicável",IFERROR(IF(B1322="EU-ENV-002",IF(INDEX(tbl_recyclass[Conforme_PPWR_2030],MATCH(A1322,tbl_recyclass[ProductId],0))="Sim","Conforme (autoavaliação)",IF(INDEX(tbl_recyclass[Conforme_PPWR_2030],MATCH(A1322,tbl_recyclass[ProductId],0))="Não","Não conforme em 2030","Isento até 2035")),IF(B1322="EU-ENV-003",IF(INDEX(tbl_recyclass[Conforme_Art7_2030],MATCH(A1322,tbl_recyclass[ProductId],0))="Sim","Conforme (meta 2030)",IF(INDEX(tbl_recyclass[Conforme_Art7_2030],MATCH(A1322,tbl_recyclass[ProductId],0))="Não","Lacuna face à meta 2030","Isento")),IF(B1322="EU-ENV-011",IF(INDEX(tbl_familias_ppwr[Metais_Pesados_Evidencia],MATCH(INDEX(tbl_recyclass[Familia_PPWR],MATCH(A1322,tbl_recyclass[ProductId],0)),tbl_familias_ppwr[ID_Familia],0))="Em falta","Lacuna","Conforme"),IF(B1322="EU-ENV-013",IF(INDEX(tbl_familias_ppwr[Declaracao_UE],MATCH(INDEX(tbl_recyclass[Familia_PPWR],MATCH(A1322,tbl_recyclass[ProductId],0)),tbl_familias_ppwr[ID_Familia],0))="Sim","Conforme","Lacuna"),G1322)))),G1322))</f>
        <v>Conforme (autoavaliação)</v>
      </c>
      <c r="I1322" s="33" t="str">
        <f t="shared" si="20"/>
        <v>Conforme</v>
      </c>
      <c r="J1322" s="26" t="s">
        <v>991</v>
      </c>
    </row>
    <row r="1323" spans="1:10" ht="16.05" customHeight="1" x14ac:dyDescent="0.3">
      <c r="A1323" s="26" t="s">
        <v>754</v>
      </c>
      <c r="B1323" s="26" t="s">
        <v>997</v>
      </c>
      <c r="C1323" s="33" t="str">
        <f>IFERROR(INDEX(tbl_requisitos_emb[Tema],MATCH(B1323,tbl_requisitos_emb[ID_Req],0)),"")</f>
        <v>Conteúdo reciclado</v>
      </c>
      <c r="D1323" s="33" t="str">
        <f>IFERROR(INDEX(tbl_recyclass[Segmento],MATCH(A1323,tbl_recyclass[ProductId],0)),"")</f>
        <v>Cosmética e higiene pessoal</v>
      </c>
      <c r="E1323" s="26" t="s">
        <v>901</v>
      </c>
      <c r="F1323" s="26" t="s">
        <v>1449</v>
      </c>
      <c r="G1323" s="26" t="s">
        <v>978</v>
      </c>
      <c r="H1323" s="33" t="str">
        <f>IF(E1323="Não","Não aplicável",IFERROR(IF(B1323="EU-ENV-002",IF(INDEX(tbl_recyclass[Conforme_PPWR_2030],MATCH(A1323,tbl_recyclass[ProductId],0))="Sim","Conforme (autoavaliação)",IF(INDEX(tbl_recyclass[Conforme_PPWR_2030],MATCH(A1323,tbl_recyclass[ProductId],0))="Não","Não conforme em 2030","Isento até 2035")),IF(B1323="EU-ENV-003",IF(INDEX(tbl_recyclass[Conforme_Art7_2030],MATCH(A1323,tbl_recyclass[ProductId],0))="Sim","Conforme (meta 2030)",IF(INDEX(tbl_recyclass[Conforme_Art7_2030],MATCH(A1323,tbl_recyclass[ProductId],0))="Não","Lacuna face à meta 2030","Isento")),IF(B1323="EU-ENV-011",IF(INDEX(tbl_familias_ppwr[Metais_Pesados_Evidencia],MATCH(INDEX(tbl_recyclass[Familia_PPWR],MATCH(A1323,tbl_recyclass[ProductId],0)),tbl_familias_ppwr[ID_Familia],0))="Em falta","Lacuna","Conforme"),IF(B1323="EU-ENV-013",IF(INDEX(tbl_familias_ppwr[Declaracao_UE],MATCH(INDEX(tbl_recyclass[Familia_PPWR],MATCH(A1323,tbl_recyclass[ProductId],0)),tbl_familias_ppwr[ID_Familia],0))="Sim","Conforme","Lacuna"),G1323)))),G1323))</f>
        <v>Lacuna face à meta 2030</v>
      </c>
      <c r="I1323" s="33" t="str">
        <f t="shared" si="20"/>
        <v>Lacuna</v>
      </c>
      <c r="J1323" s="26" t="s">
        <v>1001</v>
      </c>
    </row>
    <row r="1324" spans="1:10" ht="16.05" customHeight="1" x14ac:dyDescent="0.3">
      <c r="A1324" s="26" t="s">
        <v>754</v>
      </c>
      <c r="B1324" s="26" t="s">
        <v>1007</v>
      </c>
      <c r="C1324" s="33" t="str">
        <f>IFERROR(INDEX(tbl_requisitos_emb[Tema],MATCH(B1324,tbl_requisitos_emb[ID_Req],0)),"")</f>
        <v>Minimização</v>
      </c>
      <c r="D1324" s="33" t="str">
        <f>IFERROR(INDEX(tbl_recyclass[Segmento],MATCH(A1324,tbl_recyclass[ProductId],0)),"")</f>
        <v>Cosmética e higiene pessoal</v>
      </c>
      <c r="E1324" s="26" t="s">
        <v>901</v>
      </c>
      <c r="F1324" s="26" t="s">
        <v>1449</v>
      </c>
      <c r="G1324" s="26" t="s">
        <v>978</v>
      </c>
      <c r="H1324" s="33" t="str">
        <f>IF(E1324="Não","Não aplicável",IFERROR(IF(B1324="EU-ENV-002",IF(INDEX(tbl_recyclass[Conforme_PPWR_2030],MATCH(A1324,tbl_recyclass[ProductId],0))="Sim","Conforme (autoavaliação)",IF(INDEX(tbl_recyclass[Conforme_PPWR_2030],MATCH(A1324,tbl_recyclass[ProductId],0))="Não","Não conforme em 2030","Isento até 2035")),IF(B1324="EU-ENV-003",IF(INDEX(tbl_recyclass[Conforme_Art7_2030],MATCH(A1324,tbl_recyclass[ProductId],0))="Sim","Conforme (meta 2030)",IF(INDEX(tbl_recyclass[Conforme_Art7_2030],MATCH(A1324,tbl_recyclass[ProductId],0))="Não","Lacuna face à meta 2030","Isento")),IF(B1324="EU-ENV-011",IF(INDEX(tbl_familias_ppwr[Metais_Pesados_Evidencia],MATCH(INDEX(tbl_recyclass[Familia_PPWR],MATCH(A1324,tbl_recyclass[ProductId],0)),tbl_familias_ppwr[ID_Familia],0))="Em falta","Lacuna","Conforme"),IF(B1324="EU-ENV-013",IF(INDEX(tbl_familias_ppwr[Declaracao_UE],MATCH(INDEX(tbl_recyclass[Familia_PPWR],MATCH(A1324,tbl_recyclass[ProductId],0)),tbl_familias_ppwr[ID_Familia],0))="Sim","Conforme","Lacuna"),G1324)))),G1324))</f>
        <v>Parcial</v>
      </c>
      <c r="I1324" s="33" t="str">
        <f t="shared" si="20"/>
        <v>Parcial</v>
      </c>
      <c r="J1324" s="26" t="s">
        <v>1012</v>
      </c>
    </row>
    <row r="1325" spans="1:10" ht="16.05" customHeight="1" x14ac:dyDescent="0.3">
      <c r="A1325" s="26" t="s">
        <v>754</v>
      </c>
      <c r="B1325" s="26" t="s">
        <v>1016</v>
      </c>
      <c r="C1325" s="33" t="str">
        <f>IFERROR(INDEX(tbl_requisitos_emb[Tema],MATCH(B1325,tbl_requisitos_emb[ID_Req],0)),"")</f>
        <v>Rotulagem</v>
      </c>
      <c r="D1325" s="33" t="str">
        <f>IFERROR(INDEX(tbl_recyclass[Segmento],MATCH(A1325,tbl_recyclass[ProductId],0)),"")</f>
        <v>Cosmética e higiene pessoal</v>
      </c>
      <c r="E1325" s="26" t="s">
        <v>901</v>
      </c>
      <c r="F1325" s="26" t="s">
        <v>1449</v>
      </c>
      <c r="G1325" s="26" t="s">
        <v>990</v>
      </c>
      <c r="H1325" s="33" t="str">
        <f>IF(E1325="Não","Não aplicável",IFERROR(IF(B1325="EU-ENV-002",IF(INDEX(tbl_recyclass[Conforme_PPWR_2030],MATCH(A1325,tbl_recyclass[ProductId],0))="Sim","Conforme (autoavaliação)",IF(INDEX(tbl_recyclass[Conforme_PPWR_2030],MATCH(A1325,tbl_recyclass[ProductId],0))="Não","Não conforme em 2030","Isento até 2035")),IF(B1325="EU-ENV-003",IF(INDEX(tbl_recyclass[Conforme_Art7_2030],MATCH(A1325,tbl_recyclass[ProductId],0))="Sim","Conforme (meta 2030)",IF(INDEX(tbl_recyclass[Conforme_Art7_2030],MATCH(A1325,tbl_recyclass[ProductId],0))="Não","Lacuna face à meta 2030","Isento")),IF(B1325="EU-ENV-011",IF(INDEX(tbl_familias_ppwr[Metais_Pesados_Evidencia],MATCH(INDEX(tbl_recyclass[Familia_PPWR],MATCH(A1325,tbl_recyclass[ProductId],0)),tbl_familias_ppwr[ID_Familia],0))="Em falta","Lacuna","Conforme"),IF(B1325="EU-ENV-013",IF(INDEX(tbl_familias_ppwr[Declaracao_UE],MATCH(INDEX(tbl_recyclass[Familia_PPWR],MATCH(A1325,tbl_recyclass[ProductId],0)),tbl_familias_ppwr[ID_Familia],0))="Sim","Conforme","Lacuna"),G1325)))),G1325))</f>
        <v>Futuro</v>
      </c>
      <c r="I1325" s="33" t="str">
        <f t="shared" si="20"/>
        <v>Futuro</v>
      </c>
      <c r="J1325" s="26" t="s">
        <v>1021</v>
      </c>
    </row>
    <row r="1326" spans="1:10" ht="16.05" customHeight="1" x14ac:dyDescent="0.3">
      <c r="A1326" s="26" t="s">
        <v>754</v>
      </c>
      <c r="B1326" s="26" t="s">
        <v>1038</v>
      </c>
      <c r="C1326" s="33" t="str">
        <f>IFERROR(INDEX(tbl_requisitos_emb[Tema],MATCH(B1326,tbl_requisitos_emb[ID_Req],0)),"")</f>
        <v>Plásticos de utilização única</v>
      </c>
      <c r="D1326" s="33" t="str">
        <f>IFERROR(INDEX(tbl_recyclass[Segmento],MATCH(A1326,tbl_recyclass[ProductId],0)),"")</f>
        <v>Cosmética e higiene pessoal</v>
      </c>
      <c r="E1326" s="26" t="s">
        <v>904</v>
      </c>
      <c r="F1326" s="26" t="s">
        <v>1450</v>
      </c>
      <c r="G1326" s="26" t="s">
        <v>1143</v>
      </c>
      <c r="H1326" s="33" t="str">
        <f>IF(E1326="Não","Não aplicável",IFERROR(IF(B1326="EU-ENV-002",IF(INDEX(tbl_recyclass[Conforme_PPWR_2030],MATCH(A1326,tbl_recyclass[ProductId],0))="Sim","Conforme (autoavaliação)",IF(INDEX(tbl_recyclass[Conforme_PPWR_2030],MATCH(A1326,tbl_recyclass[ProductId],0))="Não","Não conforme em 2030","Isento até 2035")),IF(B1326="EU-ENV-003",IF(INDEX(tbl_recyclass[Conforme_Art7_2030],MATCH(A1326,tbl_recyclass[ProductId],0))="Sim","Conforme (meta 2030)",IF(INDEX(tbl_recyclass[Conforme_Art7_2030],MATCH(A1326,tbl_recyclass[ProductId],0))="Não","Lacuna face à meta 2030","Isento")),IF(B1326="EU-ENV-011",IF(INDEX(tbl_familias_ppwr[Metais_Pesados_Evidencia],MATCH(INDEX(tbl_recyclass[Familia_PPWR],MATCH(A1326,tbl_recyclass[ProductId],0)),tbl_familias_ppwr[ID_Familia],0))="Em falta","Lacuna","Conforme"),IF(B1326="EU-ENV-013",IF(INDEX(tbl_familias_ppwr[Declaracao_UE],MATCH(INDEX(tbl_recyclass[Familia_PPWR],MATCH(A1326,tbl_recyclass[ProductId],0)),tbl_familias_ppwr[ID_Familia],0))="Sim","Conforme","Lacuna"),G1326)))),G1326))</f>
        <v>Não aplicável</v>
      </c>
      <c r="I1326" s="33" t="str">
        <f t="shared" si="20"/>
        <v>Não aplicável</v>
      </c>
      <c r="J1326" s="26"/>
    </row>
    <row r="1327" spans="1:10" ht="16.05" customHeight="1" x14ac:dyDescent="0.3">
      <c r="A1327" s="26" t="s">
        <v>754</v>
      </c>
      <c r="B1327" s="26" t="s">
        <v>1078</v>
      </c>
      <c r="C1327" s="33" t="str">
        <f>IFERROR(INDEX(tbl_requisitos_emb[Tema],MATCH(B1327,tbl_requisitos_emb[ID_Req],0)),"")</f>
        <v>Reciclado à escala</v>
      </c>
      <c r="D1327" s="33" t="str">
        <f>IFERROR(INDEX(tbl_recyclass[Segmento],MATCH(A1327,tbl_recyclass[ProductId],0)),"")</f>
        <v>Cosmética e higiene pessoal</v>
      </c>
      <c r="E1327" s="26" t="s">
        <v>901</v>
      </c>
      <c r="F1327" s="26" t="s">
        <v>1449</v>
      </c>
      <c r="G1327" s="26" t="s">
        <v>990</v>
      </c>
      <c r="H1327" s="33" t="str">
        <f>IF(E1327="Não","Não aplicável",IFERROR(IF(B1327="EU-ENV-002",IF(INDEX(tbl_recyclass[Conforme_PPWR_2030],MATCH(A1327,tbl_recyclass[ProductId],0))="Sim","Conforme (autoavaliação)",IF(INDEX(tbl_recyclass[Conforme_PPWR_2030],MATCH(A1327,tbl_recyclass[ProductId],0))="Não","Não conforme em 2030","Isento até 2035")),IF(B1327="EU-ENV-003",IF(INDEX(tbl_recyclass[Conforme_Art7_2030],MATCH(A1327,tbl_recyclass[ProductId],0))="Sim","Conforme (meta 2030)",IF(INDEX(tbl_recyclass[Conforme_Art7_2030],MATCH(A1327,tbl_recyclass[ProductId],0))="Não","Lacuna face à meta 2030","Isento")),IF(B1327="EU-ENV-011",IF(INDEX(tbl_familias_ppwr[Metais_Pesados_Evidencia],MATCH(INDEX(tbl_recyclass[Familia_PPWR],MATCH(A1327,tbl_recyclass[ProductId],0)),tbl_familias_ppwr[ID_Familia],0))="Em falta","Lacuna","Conforme"),IF(B1327="EU-ENV-013",IF(INDEX(tbl_familias_ppwr[Declaracao_UE],MATCH(INDEX(tbl_recyclass[Familia_PPWR],MATCH(A1327,tbl_recyclass[ProductId],0)),tbl_familias_ppwr[ID_Familia],0))="Sim","Conforme","Lacuna"),G1327)))),G1327))</f>
        <v>Futuro</v>
      </c>
      <c r="I1327" s="33" t="str">
        <f t="shared" si="20"/>
        <v>Futuro</v>
      </c>
      <c r="J1327" s="26" t="s">
        <v>1082</v>
      </c>
    </row>
    <row r="1328" spans="1:10" ht="16.05" customHeight="1" x14ac:dyDescent="0.3">
      <c r="A1328" s="26" t="s">
        <v>754</v>
      </c>
      <c r="B1328" s="26" t="s">
        <v>1086</v>
      </c>
      <c r="C1328" s="33" t="str">
        <f>IFERROR(INDEX(tbl_requisitos_emb[Tema],MATCH(B1328,tbl_requisitos_emb[ID_Req],0)),"")</f>
        <v>Metais pesados</v>
      </c>
      <c r="D1328" s="33" t="str">
        <f>IFERROR(INDEX(tbl_recyclass[Segmento],MATCH(A1328,tbl_recyclass[ProductId],0)),"")</f>
        <v>Cosmética e higiene pessoal</v>
      </c>
      <c r="E1328" s="26" t="s">
        <v>901</v>
      </c>
      <c r="F1328" s="26" t="s">
        <v>1449</v>
      </c>
      <c r="G1328" s="26" t="s">
        <v>978</v>
      </c>
      <c r="H1328" s="33" t="str">
        <f>IF(E1328="Não","Não aplicável",IFERROR(IF(B1328="EU-ENV-002",IF(INDEX(tbl_recyclass[Conforme_PPWR_2030],MATCH(A1328,tbl_recyclass[ProductId],0))="Sim","Conforme (autoavaliação)",IF(INDEX(tbl_recyclass[Conforme_PPWR_2030],MATCH(A1328,tbl_recyclass[ProductId],0))="Não","Não conforme em 2030","Isento até 2035")),IF(B1328="EU-ENV-003",IF(INDEX(tbl_recyclass[Conforme_Art7_2030],MATCH(A1328,tbl_recyclass[ProductId],0))="Sim","Conforme (meta 2030)",IF(INDEX(tbl_recyclass[Conforme_Art7_2030],MATCH(A1328,tbl_recyclass[ProductId],0))="Não","Lacuna face à meta 2030","Isento")),IF(B1328="EU-ENV-011",IF(INDEX(tbl_familias_ppwr[Metais_Pesados_Evidencia],MATCH(INDEX(tbl_recyclass[Familia_PPWR],MATCH(A1328,tbl_recyclass[ProductId],0)),tbl_familias_ppwr[ID_Familia],0))="Em falta","Lacuna","Conforme"),IF(B1328="EU-ENV-013",IF(INDEX(tbl_familias_ppwr[Declaracao_UE],MATCH(INDEX(tbl_recyclass[Familia_PPWR],MATCH(A1328,tbl_recyclass[ProductId],0)),tbl_familias_ppwr[ID_Familia],0))="Sim","Conforme","Lacuna"),G1328)))),G1328))</f>
        <v>Lacuna</v>
      </c>
      <c r="I1328" s="33" t="str">
        <f t="shared" si="20"/>
        <v>Lacuna</v>
      </c>
      <c r="J1328" s="26" t="s">
        <v>1090</v>
      </c>
    </row>
    <row r="1329" spans="1:10" ht="16.05" customHeight="1" x14ac:dyDescent="0.3">
      <c r="A1329" s="26" t="s">
        <v>754</v>
      </c>
      <c r="B1329" s="26" t="s">
        <v>1094</v>
      </c>
      <c r="C1329" s="33" t="str">
        <f>IFERROR(INDEX(tbl_requisitos_emb[Tema],MATCH(B1329,tbl_requisitos_emb[ID_Req],0)),"")</f>
        <v>PFAS</v>
      </c>
      <c r="D1329" s="33" t="str">
        <f>IFERROR(INDEX(tbl_recyclass[Segmento],MATCH(A1329,tbl_recyclass[ProductId],0)),"")</f>
        <v>Cosmética e higiene pessoal</v>
      </c>
      <c r="E1329" s="26" t="s">
        <v>904</v>
      </c>
      <c r="F1329" s="26" t="s">
        <v>1450</v>
      </c>
      <c r="G1329" s="26" t="s">
        <v>1143</v>
      </c>
      <c r="H1329" s="33" t="str">
        <f>IF(E1329="Não","Não aplicável",IFERROR(IF(B1329="EU-ENV-002",IF(INDEX(tbl_recyclass[Conforme_PPWR_2030],MATCH(A1329,tbl_recyclass[ProductId],0))="Sim","Conforme (autoavaliação)",IF(INDEX(tbl_recyclass[Conforme_PPWR_2030],MATCH(A1329,tbl_recyclass[ProductId],0))="Não","Não conforme em 2030","Isento até 2035")),IF(B1329="EU-ENV-003",IF(INDEX(tbl_recyclass[Conforme_Art7_2030],MATCH(A1329,tbl_recyclass[ProductId],0))="Sim","Conforme (meta 2030)",IF(INDEX(tbl_recyclass[Conforme_Art7_2030],MATCH(A1329,tbl_recyclass[ProductId],0))="Não","Lacuna face à meta 2030","Isento")),IF(B1329="EU-ENV-011",IF(INDEX(tbl_familias_ppwr[Metais_Pesados_Evidencia],MATCH(INDEX(tbl_recyclass[Familia_PPWR],MATCH(A1329,tbl_recyclass[ProductId],0)),tbl_familias_ppwr[ID_Familia],0))="Em falta","Lacuna","Conforme"),IF(B1329="EU-ENV-013",IF(INDEX(tbl_familias_ppwr[Declaracao_UE],MATCH(INDEX(tbl_recyclass[Familia_PPWR],MATCH(A1329,tbl_recyclass[ProductId],0)),tbl_familias_ppwr[ID_Familia],0))="Sim","Conforme","Lacuna"),G1329)))),G1329))</f>
        <v>Não aplicável</v>
      </c>
      <c r="I1329" s="33" t="str">
        <f t="shared" si="20"/>
        <v>Não aplicável</v>
      </c>
      <c r="J1329" s="26"/>
    </row>
    <row r="1330" spans="1:10" ht="16.05" customHeight="1" x14ac:dyDescent="0.3">
      <c r="A1330" s="26" t="s">
        <v>754</v>
      </c>
      <c r="B1330" s="26" t="s">
        <v>1102</v>
      </c>
      <c r="C1330" s="33" t="str">
        <f>IFERROR(INDEX(tbl_requisitos_emb[Tema],MATCH(B1330,tbl_requisitos_emb[ID_Req],0)),"")</f>
        <v>Documentação técnica e declaração UE</v>
      </c>
      <c r="D1330" s="33" t="str">
        <f>IFERROR(INDEX(tbl_recyclass[Segmento],MATCH(A1330,tbl_recyclass[ProductId],0)),"")</f>
        <v>Cosmética e higiene pessoal</v>
      </c>
      <c r="E1330" s="26" t="s">
        <v>901</v>
      </c>
      <c r="F1330" s="26" t="s">
        <v>1449</v>
      </c>
      <c r="G1330" s="26" t="s">
        <v>978</v>
      </c>
      <c r="H1330" s="33" t="str">
        <f>IF(E1330="Não","Não aplicável",IFERROR(IF(B1330="EU-ENV-002",IF(INDEX(tbl_recyclass[Conforme_PPWR_2030],MATCH(A1330,tbl_recyclass[ProductId],0))="Sim","Conforme (autoavaliação)",IF(INDEX(tbl_recyclass[Conforme_PPWR_2030],MATCH(A1330,tbl_recyclass[ProductId],0))="Não","Não conforme em 2030","Isento até 2035")),IF(B1330="EU-ENV-003",IF(INDEX(tbl_recyclass[Conforme_Art7_2030],MATCH(A1330,tbl_recyclass[ProductId],0))="Sim","Conforme (meta 2030)",IF(INDEX(tbl_recyclass[Conforme_Art7_2030],MATCH(A1330,tbl_recyclass[ProductId],0))="Não","Lacuna face à meta 2030","Isento")),IF(B1330="EU-ENV-011",IF(INDEX(tbl_familias_ppwr[Metais_Pesados_Evidencia],MATCH(INDEX(tbl_recyclass[Familia_PPWR],MATCH(A1330,tbl_recyclass[ProductId],0)),tbl_familias_ppwr[ID_Familia],0))="Em falta","Lacuna","Conforme"),IF(B1330="EU-ENV-013",IF(INDEX(tbl_familias_ppwr[Declaracao_UE],MATCH(INDEX(tbl_recyclass[Familia_PPWR],MATCH(A1330,tbl_recyclass[ProductId],0)),tbl_familias_ppwr[ID_Familia],0))="Sim","Conforme","Lacuna"),G1330)))),G1330))</f>
        <v>Conforme</v>
      </c>
      <c r="I1330" s="33" t="str">
        <f t="shared" si="20"/>
        <v>Conforme</v>
      </c>
      <c r="J1330" s="26" t="s">
        <v>1106</v>
      </c>
    </row>
    <row r="1331" spans="1:10" ht="16.05" customHeight="1" x14ac:dyDescent="0.3">
      <c r="A1331" s="26" t="s">
        <v>754</v>
      </c>
      <c r="B1331" s="26" t="s">
        <v>1161</v>
      </c>
      <c r="C1331" s="33" t="str">
        <f>IFERROR(INDEX(tbl_requisitos_emb[Tema],MATCH(B1331,tbl_requisitos_emb[ID_Req],0)),"")</f>
        <v>Materiais em contacto com alimentos</v>
      </c>
      <c r="D1331" s="33" t="str">
        <f>IFERROR(INDEX(tbl_recyclass[Segmento],MATCH(A1331,tbl_recyclass[ProductId],0)),"")</f>
        <v>Cosmética e higiene pessoal</v>
      </c>
      <c r="E1331" s="26" t="s">
        <v>904</v>
      </c>
      <c r="F1331" s="26" t="s">
        <v>1450</v>
      </c>
      <c r="G1331" s="26" t="s">
        <v>1143</v>
      </c>
      <c r="H1331" s="33" t="str">
        <f>IF(E1331="Não","Não aplicável",IFERROR(IF(B1331="EU-ENV-002",IF(INDEX(tbl_recyclass[Conforme_PPWR_2030],MATCH(A1331,tbl_recyclass[ProductId],0))="Sim","Conforme (autoavaliação)",IF(INDEX(tbl_recyclass[Conforme_PPWR_2030],MATCH(A1331,tbl_recyclass[ProductId],0))="Não","Não conforme em 2030","Isento até 2035")),IF(B1331="EU-ENV-003",IF(INDEX(tbl_recyclass[Conforme_Art7_2030],MATCH(A1331,tbl_recyclass[ProductId],0))="Sim","Conforme (meta 2030)",IF(INDEX(tbl_recyclass[Conforme_Art7_2030],MATCH(A1331,tbl_recyclass[ProductId],0))="Não","Lacuna face à meta 2030","Isento")),IF(B1331="EU-ENV-011",IF(INDEX(tbl_familias_ppwr[Metais_Pesados_Evidencia],MATCH(INDEX(tbl_recyclass[Familia_PPWR],MATCH(A1331,tbl_recyclass[ProductId],0)),tbl_familias_ppwr[ID_Familia],0))="Em falta","Lacuna","Conforme"),IF(B1331="EU-ENV-013",IF(INDEX(tbl_familias_ppwr[Declaracao_UE],MATCH(INDEX(tbl_recyclass[Familia_PPWR],MATCH(A1331,tbl_recyclass[ProductId],0)),tbl_familias_ppwr[ID_Familia],0))="Sim","Conforme","Lacuna"),G1331)))),G1331))</f>
        <v>Não aplicável</v>
      </c>
      <c r="I1331" s="33" t="str">
        <f t="shared" si="20"/>
        <v>Não aplicável</v>
      </c>
      <c r="J1331" s="26"/>
    </row>
    <row r="1332" spans="1:10" ht="16.05" customHeight="1" x14ac:dyDescent="0.3">
      <c r="A1332" s="26" t="s">
        <v>754</v>
      </c>
      <c r="B1332" s="26" t="s">
        <v>1170</v>
      </c>
      <c r="C1332" s="33" t="str">
        <f>IFERROR(INDEX(tbl_requisitos_emb[Tema],MATCH(B1332,tbl_requisitos_emb[ID_Req],0)),"")</f>
        <v>Boas práticas de fabrico FCM</v>
      </c>
      <c r="D1332" s="33" t="str">
        <f>IFERROR(INDEX(tbl_recyclass[Segmento],MATCH(A1332,tbl_recyclass[ProductId],0)),"")</f>
        <v>Cosmética e higiene pessoal</v>
      </c>
      <c r="E1332" s="26" t="s">
        <v>904</v>
      </c>
      <c r="F1332" s="26" t="s">
        <v>1450</v>
      </c>
      <c r="G1332" s="26" t="s">
        <v>1143</v>
      </c>
      <c r="H1332" s="33" t="str">
        <f>IF(E1332="Não","Não aplicável",IFERROR(IF(B1332="EU-ENV-002",IF(INDEX(tbl_recyclass[Conforme_PPWR_2030],MATCH(A1332,tbl_recyclass[ProductId],0))="Sim","Conforme (autoavaliação)",IF(INDEX(tbl_recyclass[Conforme_PPWR_2030],MATCH(A1332,tbl_recyclass[ProductId],0))="Não","Não conforme em 2030","Isento até 2035")),IF(B1332="EU-ENV-003",IF(INDEX(tbl_recyclass[Conforme_Art7_2030],MATCH(A1332,tbl_recyclass[ProductId],0))="Sim","Conforme (meta 2030)",IF(INDEX(tbl_recyclass[Conforme_Art7_2030],MATCH(A1332,tbl_recyclass[ProductId],0))="Não","Lacuna face à meta 2030","Isento")),IF(B1332="EU-ENV-011",IF(INDEX(tbl_familias_ppwr[Metais_Pesados_Evidencia],MATCH(INDEX(tbl_recyclass[Familia_PPWR],MATCH(A1332,tbl_recyclass[ProductId],0)),tbl_familias_ppwr[ID_Familia],0))="Em falta","Lacuna","Conforme"),IF(B1332="EU-ENV-013",IF(INDEX(tbl_familias_ppwr[Declaracao_UE],MATCH(INDEX(tbl_recyclass[Familia_PPWR],MATCH(A1332,tbl_recyclass[ProductId],0)),tbl_familias_ppwr[ID_Familia],0))="Sim","Conforme","Lacuna"),G1332)))),G1332))</f>
        <v>Não aplicável</v>
      </c>
      <c r="I1332" s="33" t="str">
        <f t="shared" si="20"/>
        <v>Não aplicável</v>
      </c>
      <c r="J1332" s="26"/>
    </row>
    <row r="1333" spans="1:10" ht="16.05" customHeight="1" x14ac:dyDescent="0.3">
      <c r="A1333" s="26" t="s">
        <v>754</v>
      </c>
      <c r="B1333" s="26" t="s">
        <v>1179</v>
      </c>
      <c r="C1333" s="33" t="str">
        <f>IFERROR(INDEX(tbl_requisitos_emb[Tema],MATCH(B1333,tbl_requisitos_emb[ID_Req],0)),"")</f>
        <v>Bisfenol A e bisfenóis perigosos</v>
      </c>
      <c r="D1333" s="33" t="str">
        <f>IFERROR(INDEX(tbl_recyclass[Segmento],MATCH(A1333,tbl_recyclass[ProductId],0)),"")</f>
        <v>Cosmética e higiene pessoal</v>
      </c>
      <c r="E1333" s="26" t="s">
        <v>904</v>
      </c>
      <c r="F1333" s="26" t="s">
        <v>1450</v>
      </c>
      <c r="G1333" s="26" t="s">
        <v>1143</v>
      </c>
      <c r="H1333" s="33" t="str">
        <f>IF(E1333="Não","Não aplicável",IFERROR(IF(B1333="EU-ENV-002",IF(INDEX(tbl_recyclass[Conforme_PPWR_2030],MATCH(A1333,tbl_recyclass[ProductId],0))="Sim","Conforme (autoavaliação)",IF(INDEX(tbl_recyclass[Conforme_PPWR_2030],MATCH(A1333,tbl_recyclass[ProductId],0))="Não","Não conforme em 2030","Isento até 2035")),IF(B1333="EU-ENV-003",IF(INDEX(tbl_recyclass[Conforme_Art7_2030],MATCH(A1333,tbl_recyclass[ProductId],0))="Sim","Conforme (meta 2030)",IF(INDEX(tbl_recyclass[Conforme_Art7_2030],MATCH(A1333,tbl_recyclass[ProductId],0))="Não","Lacuna face à meta 2030","Isento")),IF(B1333="EU-ENV-011",IF(INDEX(tbl_familias_ppwr[Metais_Pesados_Evidencia],MATCH(INDEX(tbl_recyclass[Familia_PPWR],MATCH(A1333,tbl_recyclass[ProductId],0)),tbl_familias_ppwr[ID_Familia],0))="Em falta","Lacuna","Conforme"),IF(B1333="EU-ENV-013",IF(INDEX(tbl_familias_ppwr[Declaracao_UE],MATCH(INDEX(tbl_recyclass[Familia_PPWR],MATCH(A1333,tbl_recyclass[ProductId],0)),tbl_familias_ppwr[ID_Familia],0))="Sim","Conforme","Lacuna"),G1333)))),G1333))</f>
        <v>Não aplicável</v>
      </c>
      <c r="I1333" s="33" t="str">
        <f t="shared" si="20"/>
        <v>Não aplicável</v>
      </c>
      <c r="J1333" s="26"/>
    </row>
    <row r="1334" spans="1:10" ht="16.05" customHeight="1" x14ac:dyDescent="0.3">
      <c r="A1334" s="26" t="s">
        <v>754</v>
      </c>
      <c r="B1334" s="26" t="s">
        <v>1188</v>
      </c>
      <c r="C1334" s="33" t="str">
        <f>IFERROR(INDEX(tbl_requisitos_emb[Tema],MATCH(B1334,tbl_requisitos_emb[ID_Req],0)),"")</f>
        <v>Plásticos em contacto com alimentos</v>
      </c>
      <c r="D1334" s="33" t="str">
        <f>IFERROR(INDEX(tbl_recyclass[Segmento],MATCH(A1334,tbl_recyclass[ProductId],0)),"")</f>
        <v>Cosmética e higiene pessoal</v>
      </c>
      <c r="E1334" s="26" t="s">
        <v>904</v>
      </c>
      <c r="F1334" s="26" t="s">
        <v>1450</v>
      </c>
      <c r="G1334" s="26" t="s">
        <v>1143</v>
      </c>
      <c r="H1334" s="33" t="str">
        <f>IF(E1334="Não","Não aplicável",IFERROR(IF(B1334="EU-ENV-002",IF(INDEX(tbl_recyclass[Conforme_PPWR_2030],MATCH(A1334,tbl_recyclass[ProductId],0))="Sim","Conforme (autoavaliação)",IF(INDEX(tbl_recyclass[Conforme_PPWR_2030],MATCH(A1334,tbl_recyclass[ProductId],0))="Não","Não conforme em 2030","Isento até 2035")),IF(B1334="EU-ENV-003",IF(INDEX(tbl_recyclass[Conforme_Art7_2030],MATCH(A1334,tbl_recyclass[ProductId],0))="Sim","Conforme (meta 2030)",IF(INDEX(tbl_recyclass[Conforme_Art7_2030],MATCH(A1334,tbl_recyclass[ProductId],0))="Não","Lacuna face à meta 2030","Isento")),IF(B1334="EU-ENV-011",IF(INDEX(tbl_familias_ppwr[Metais_Pesados_Evidencia],MATCH(INDEX(tbl_recyclass[Familia_PPWR],MATCH(A1334,tbl_recyclass[ProductId],0)),tbl_familias_ppwr[ID_Familia],0))="Em falta","Lacuna","Conforme"),IF(B1334="EU-ENV-013",IF(INDEX(tbl_familias_ppwr[Declaracao_UE],MATCH(INDEX(tbl_recyclass[Familia_PPWR],MATCH(A1334,tbl_recyclass[ProductId],0)),tbl_familias_ppwr[ID_Familia],0))="Sim","Conforme","Lacuna"),G1334)))),G1334))</f>
        <v>Não aplicável</v>
      </c>
      <c r="I1334" s="33" t="str">
        <f t="shared" si="20"/>
        <v>Não aplicável</v>
      </c>
      <c r="J1334" s="26"/>
    </row>
    <row r="1335" spans="1:10" ht="16.05" customHeight="1" x14ac:dyDescent="0.3">
      <c r="A1335" s="26" t="s">
        <v>754</v>
      </c>
      <c r="B1335" s="26" t="s">
        <v>1212</v>
      </c>
      <c r="C1335" s="33" t="str">
        <f>IFERROR(INDEX(tbl_requisitos_emb[Tema],MATCH(B1335,tbl_requisitos_emb[ID_Req],0)),"")</f>
        <v>Segurança do produto cosmético</v>
      </c>
      <c r="D1335" s="33" t="str">
        <f>IFERROR(INDEX(tbl_recyclass[Segmento],MATCH(A1335,tbl_recyclass[ProductId],0)),"")</f>
        <v>Cosmética e higiene pessoal</v>
      </c>
      <c r="E1335" s="26" t="s">
        <v>901</v>
      </c>
      <c r="F1335" s="26" t="s">
        <v>1449</v>
      </c>
      <c r="G1335" s="26" t="s">
        <v>1033</v>
      </c>
      <c r="H1335" s="33" t="str">
        <f>IF(E1335="Não","Não aplicável",IFERROR(IF(B1335="EU-ENV-002",IF(INDEX(tbl_recyclass[Conforme_PPWR_2030],MATCH(A1335,tbl_recyclass[ProductId],0))="Sim","Conforme (autoavaliação)",IF(INDEX(tbl_recyclass[Conforme_PPWR_2030],MATCH(A1335,tbl_recyclass[ProductId],0))="Não","Não conforme em 2030","Isento até 2035")),IF(B1335="EU-ENV-003",IF(INDEX(tbl_recyclass[Conforme_Art7_2030],MATCH(A1335,tbl_recyclass[ProductId],0))="Sim","Conforme (meta 2030)",IF(INDEX(tbl_recyclass[Conforme_Art7_2030],MATCH(A1335,tbl_recyclass[ProductId],0))="Não","Lacuna face à meta 2030","Isento")),IF(B1335="EU-ENV-011",IF(INDEX(tbl_familias_ppwr[Metais_Pesados_Evidencia],MATCH(INDEX(tbl_recyclass[Familia_PPWR],MATCH(A1335,tbl_recyclass[ProductId],0)),tbl_familias_ppwr[ID_Familia],0))="Em falta","Lacuna","Conforme"),IF(B1335="EU-ENV-013",IF(INDEX(tbl_familias_ppwr[Declaracao_UE],MATCH(INDEX(tbl_recyclass[Familia_PPWR],MATCH(A1335,tbl_recyclass[ProductId],0)),tbl_familias_ppwr[ID_Familia],0))="Sim","Conforme","Lacuna"),G1335)))),G1335))</f>
        <v>Conforme</v>
      </c>
      <c r="I1335" s="33" t="str">
        <f t="shared" si="20"/>
        <v>Conforme</v>
      </c>
      <c r="J1335" s="26" t="s">
        <v>1221</v>
      </c>
    </row>
    <row r="1336" spans="1:10" ht="16.05" customHeight="1" x14ac:dyDescent="0.3">
      <c r="A1336" s="26" t="s">
        <v>754</v>
      </c>
      <c r="B1336" s="26" t="s">
        <v>1224</v>
      </c>
      <c r="C1336" s="33" t="str">
        <f>IFERROR(INDEX(tbl_requisitos_emb[Tema],MATCH(B1336,tbl_requisitos_emb[ID_Req],0)),"")</f>
        <v>Materiais e impurezas</v>
      </c>
      <c r="D1336" s="33" t="str">
        <f>IFERROR(INDEX(tbl_recyclass[Segmento],MATCH(A1336,tbl_recyclass[ProductId],0)),"")</f>
        <v>Cosmética e higiene pessoal</v>
      </c>
      <c r="E1336" s="26" t="s">
        <v>901</v>
      </c>
      <c r="F1336" s="26" t="s">
        <v>1449</v>
      </c>
      <c r="G1336" s="26" t="s">
        <v>978</v>
      </c>
      <c r="H1336" s="33" t="str">
        <f>IF(E1336="Não","Não aplicável",IFERROR(IF(B1336="EU-ENV-002",IF(INDEX(tbl_recyclass[Conforme_PPWR_2030],MATCH(A1336,tbl_recyclass[ProductId],0))="Sim","Conforme (autoavaliação)",IF(INDEX(tbl_recyclass[Conforme_PPWR_2030],MATCH(A1336,tbl_recyclass[ProductId],0))="Não","Não conforme em 2030","Isento até 2035")),IF(B1336="EU-ENV-003",IF(INDEX(tbl_recyclass[Conforme_Art7_2030],MATCH(A1336,tbl_recyclass[ProductId],0))="Sim","Conforme (meta 2030)",IF(INDEX(tbl_recyclass[Conforme_Art7_2030],MATCH(A1336,tbl_recyclass[ProductId],0))="Não","Lacuna face à meta 2030","Isento")),IF(B1336="EU-ENV-011",IF(INDEX(tbl_familias_ppwr[Metais_Pesados_Evidencia],MATCH(INDEX(tbl_recyclass[Familia_PPWR],MATCH(A1336,tbl_recyclass[ProductId],0)),tbl_familias_ppwr[ID_Familia],0))="Em falta","Lacuna","Conforme"),IF(B1336="EU-ENV-013",IF(INDEX(tbl_familias_ppwr[Declaracao_UE],MATCH(INDEX(tbl_recyclass[Familia_PPWR],MATCH(A1336,tbl_recyclass[ProductId],0)),tbl_familias_ppwr[ID_Familia],0))="Sim","Conforme","Lacuna"),G1336)))),G1336))</f>
        <v>Parcial</v>
      </c>
      <c r="I1336" s="33" t="str">
        <f t="shared" si="20"/>
        <v>Parcial</v>
      </c>
      <c r="J1336" s="26" t="s">
        <v>1228</v>
      </c>
    </row>
    <row r="1337" spans="1:10" ht="16.05" customHeight="1" x14ac:dyDescent="0.3">
      <c r="A1337" s="26" t="s">
        <v>754</v>
      </c>
      <c r="B1337" s="26" t="s">
        <v>1240</v>
      </c>
      <c r="C1337" s="33" t="str">
        <f>IFERROR(INDEX(tbl_requisitos_emb[Tema],MATCH(B1337,tbl_requisitos_emb[ID_Req],0)),"")</f>
        <v>Compatibilidade embalagem–produto</v>
      </c>
      <c r="D1337" s="33" t="str">
        <f>IFERROR(INDEX(tbl_recyclass[Segmento],MATCH(A1337,tbl_recyclass[ProductId],0)),"")</f>
        <v>Cosmética e higiene pessoal</v>
      </c>
      <c r="E1337" s="26" t="s">
        <v>901</v>
      </c>
      <c r="F1337" s="26" t="s">
        <v>1449</v>
      </c>
      <c r="G1337" s="26" t="s">
        <v>1033</v>
      </c>
      <c r="H1337" s="33" t="str">
        <f>IF(E1337="Não","Não aplicável",IFERROR(IF(B1337="EU-ENV-002",IF(INDEX(tbl_recyclass[Conforme_PPWR_2030],MATCH(A1337,tbl_recyclass[ProductId],0))="Sim","Conforme (autoavaliação)",IF(INDEX(tbl_recyclass[Conforme_PPWR_2030],MATCH(A1337,tbl_recyclass[ProductId],0))="Não","Não conforme em 2030","Isento até 2035")),IF(B1337="EU-ENV-003",IF(INDEX(tbl_recyclass[Conforme_Art7_2030],MATCH(A1337,tbl_recyclass[ProductId],0))="Sim","Conforme (meta 2030)",IF(INDEX(tbl_recyclass[Conforme_Art7_2030],MATCH(A1337,tbl_recyclass[ProductId],0))="Não","Lacuna face à meta 2030","Isento")),IF(B1337="EU-ENV-011",IF(INDEX(tbl_familias_ppwr[Metais_Pesados_Evidencia],MATCH(INDEX(tbl_recyclass[Familia_PPWR],MATCH(A1337,tbl_recyclass[ProductId],0)),tbl_familias_ppwr[ID_Familia],0))="Em falta","Lacuna","Conforme"),IF(B1337="EU-ENV-013",IF(INDEX(tbl_familias_ppwr[Declaracao_UE],MATCH(INDEX(tbl_recyclass[Familia_PPWR],MATCH(A1337,tbl_recyclass[ProductId],0)),tbl_familias_ppwr[ID_Familia],0))="Sim","Conforme","Lacuna"),G1337)))),G1337))</f>
        <v>Conforme</v>
      </c>
      <c r="I1337" s="33" t="str">
        <f t="shared" si="20"/>
        <v>Conforme</v>
      </c>
      <c r="J1337" s="26" t="s">
        <v>1244</v>
      </c>
    </row>
    <row r="1338" spans="1:10" ht="16.05" customHeight="1" x14ac:dyDescent="0.3">
      <c r="A1338" s="26" t="s">
        <v>754</v>
      </c>
      <c r="B1338" s="26" t="s">
        <v>1252</v>
      </c>
      <c r="C1338" s="33" t="str">
        <f>IFERROR(INDEX(tbl_requisitos_emb[Tema],MATCH(B1338,tbl_requisitos_emb[ID_Req],0)),"")</f>
        <v>Medicamentos de uso humano</v>
      </c>
      <c r="D1338" s="33" t="str">
        <f>IFERROR(INDEX(tbl_recyclass[Segmento],MATCH(A1338,tbl_recyclass[ProductId],0)),"")</f>
        <v>Cosmética e higiene pessoal</v>
      </c>
      <c r="E1338" s="26" t="s">
        <v>904</v>
      </c>
      <c r="F1338" s="26" t="s">
        <v>1451</v>
      </c>
      <c r="G1338" s="26" t="s">
        <v>1143</v>
      </c>
      <c r="H1338" s="33" t="str">
        <f>IF(E1338="Não","Não aplicável",IFERROR(IF(B1338="EU-ENV-002",IF(INDEX(tbl_recyclass[Conforme_PPWR_2030],MATCH(A1338,tbl_recyclass[ProductId],0))="Sim","Conforme (autoavaliação)",IF(INDEX(tbl_recyclass[Conforme_PPWR_2030],MATCH(A1338,tbl_recyclass[ProductId],0))="Não","Não conforme em 2030","Isento até 2035")),IF(B1338="EU-ENV-003",IF(INDEX(tbl_recyclass[Conforme_Art7_2030],MATCH(A1338,tbl_recyclass[ProductId],0))="Sim","Conforme (meta 2030)",IF(INDEX(tbl_recyclass[Conforme_Art7_2030],MATCH(A1338,tbl_recyclass[ProductId],0))="Não","Lacuna face à meta 2030","Isento")),IF(B1338="EU-ENV-011",IF(INDEX(tbl_familias_ppwr[Metais_Pesados_Evidencia],MATCH(INDEX(tbl_recyclass[Familia_PPWR],MATCH(A1338,tbl_recyclass[ProductId],0)),tbl_familias_ppwr[ID_Familia],0))="Em falta","Lacuna","Conforme"),IF(B1338="EU-ENV-013",IF(INDEX(tbl_familias_ppwr[Declaracao_UE],MATCH(INDEX(tbl_recyclass[Familia_PPWR],MATCH(A1338,tbl_recyclass[ProductId],0)),tbl_familias_ppwr[ID_Familia],0))="Sim","Conforme","Lacuna"),G1338)))),G1338))</f>
        <v>Não aplicável</v>
      </c>
      <c r="I1338" s="33" t="str">
        <f t="shared" si="20"/>
        <v>Não aplicável</v>
      </c>
      <c r="J1338" s="26"/>
    </row>
    <row r="1339" spans="1:10" ht="16.05" customHeight="1" x14ac:dyDescent="0.3">
      <c r="A1339" s="26" t="s">
        <v>754</v>
      </c>
      <c r="B1339" s="26" t="s">
        <v>1268</v>
      </c>
      <c r="C1339" s="33" t="str">
        <f>IFERROR(INDEX(tbl_requisitos_emb[Tema],MATCH(B1339,tbl_requisitos_emb[ID_Req],0)),"")</f>
        <v>Dispositivos de segurança</v>
      </c>
      <c r="D1339" s="33" t="str">
        <f>IFERROR(INDEX(tbl_recyclass[Segmento],MATCH(A1339,tbl_recyclass[ProductId],0)),"")</f>
        <v>Cosmética e higiene pessoal</v>
      </c>
      <c r="E1339" s="26" t="s">
        <v>904</v>
      </c>
      <c r="F1339" s="26" t="s">
        <v>1451</v>
      </c>
      <c r="G1339" s="26" t="s">
        <v>1143</v>
      </c>
      <c r="H1339" s="33" t="str">
        <f>IF(E1339="Não","Não aplicável",IFERROR(IF(B1339="EU-ENV-002",IF(INDEX(tbl_recyclass[Conforme_PPWR_2030],MATCH(A1339,tbl_recyclass[ProductId],0))="Sim","Conforme (autoavaliação)",IF(INDEX(tbl_recyclass[Conforme_PPWR_2030],MATCH(A1339,tbl_recyclass[ProductId],0))="Não","Não conforme em 2030","Isento até 2035")),IF(B1339="EU-ENV-003",IF(INDEX(tbl_recyclass[Conforme_Art7_2030],MATCH(A1339,tbl_recyclass[ProductId],0))="Sim","Conforme (meta 2030)",IF(INDEX(tbl_recyclass[Conforme_Art7_2030],MATCH(A1339,tbl_recyclass[ProductId],0))="Não","Lacuna face à meta 2030","Isento")),IF(B1339="EU-ENV-011",IF(INDEX(tbl_familias_ppwr[Metais_Pesados_Evidencia],MATCH(INDEX(tbl_recyclass[Familia_PPWR],MATCH(A1339,tbl_recyclass[ProductId],0)),tbl_familias_ppwr[ID_Familia],0))="Em falta","Lacuna","Conforme"),IF(B1339="EU-ENV-013",IF(INDEX(tbl_familias_ppwr[Declaracao_UE],MATCH(INDEX(tbl_recyclass[Familia_PPWR],MATCH(A1339,tbl_recyclass[ProductId],0)),tbl_familias_ppwr[ID_Familia],0))="Sim","Conforme","Lacuna"),G1339)))),G1339))</f>
        <v>Não aplicável</v>
      </c>
      <c r="I1339" s="33" t="str">
        <f t="shared" si="20"/>
        <v>Não aplicável</v>
      </c>
      <c r="J1339" s="26"/>
    </row>
    <row r="1340" spans="1:10" ht="16.05" customHeight="1" x14ac:dyDescent="0.3">
      <c r="A1340" s="26" t="s">
        <v>754</v>
      </c>
      <c r="B1340" s="26" t="s">
        <v>1285</v>
      </c>
      <c r="C1340" s="33" t="str">
        <f>IFERROR(INDEX(tbl_requisitos_emb[Tema],MATCH(B1340,tbl_requisitos_emb[ID_Req],0)),"")</f>
        <v>Materiais plásticos de acondicionamento primário</v>
      </c>
      <c r="D1340" s="33" t="str">
        <f>IFERROR(INDEX(tbl_recyclass[Segmento],MATCH(A1340,tbl_recyclass[ProductId],0)),"")</f>
        <v>Cosmética e higiene pessoal</v>
      </c>
      <c r="E1340" s="26" t="s">
        <v>904</v>
      </c>
      <c r="F1340" s="26" t="s">
        <v>1451</v>
      </c>
      <c r="G1340" s="26" t="s">
        <v>1143</v>
      </c>
      <c r="H1340" s="33" t="str">
        <f>IF(E1340="Não","Não aplicável",IFERROR(IF(B1340="EU-ENV-002",IF(INDEX(tbl_recyclass[Conforme_PPWR_2030],MATCH(A1340,tbl_recyclass[ProductId],0))="Sim","Conforme (autoavaliação)",IF(INDEX(tbl_recyclass[Conforme_PPWR_2030],MATCH(A1340,tbl_recyclass[ProductId],0))="Não","Não conforme em 2030","Isento até 2035")),IF(B1340="EU-ENV-003",IF(INDEX(tbl_recyclass[Conforme_Art7_2030],MATCH(A1340,tbl_recyclass[ProductId],0))="Sim","Conforme (meta 2030)",IF(INDEX(tbl_recyclass[Conforme_Art7_2030],MATCH(A1340,tbl_recyclass[ProductId],0))="Não","Lacuna face à meta 2030","Isento")),IF(B1340="EU-ENV-011",IF(INDEX(tbl_familias_ppwr[Metais_Pesados_Evidencia],MATCH(INDEX(tbl_recyclass[Familia_PPWR],MATCH(A1340,tbl_recyclass[ProductId],0)),tbl_familias_ppwr[ID_Familia],0))="Em falta","Lacuna","Conforme"),IF(B1340="EU-ENV-013",IF(INDEX(tbl_familias_ppwr[Declaracao_UE],MATCH(INDEX(tbl_recyclass[Familia_PPWR],MATCH(A1340,tbl_recyclass[ProductId],0)),tbl_familias_ppwr[ID_Familia],0))="Sim","Conforme","Lacuna"),G1340)))),G1340))</f>
        <v>Não aplicável</v>
      </c>
      <c r="I1340" s="33" t="str">
        <f t="shared" si="20"/>
        <v>Não aplicável</v>
      </c>
      <c r="J1340" s="26"/>
    </row>
    <row r="1341" spans="1:10" ht="16.05" customHeight="1" x14ac:dyDescent="0.3">
      <c r="A1341" s="26" t="s">
        <v>754</v>
      </c>
      <c r="B1341" s="26" t="s">
        <v>1293</v>
      </c>
      <c r="C1341" s="33" t="str">
        <f>IFERROR(INDEX(tbl_requisitos_emb[Tema],MATCH(B1341,tbl_requisitos_emb[ID_Req],0)),"")</f>
        <v>Isenções PPWR</v>
      </c>
      <c r="D1341" s="33" t="str">
        <f>IFERROR(INDEX(tbl_recyclass[Segmento],MATCH(A1341,tbl_recyclass[ProductId],0)),"")</f>
        <v>Cosmética e higiene pessoal</v>
      </c>
      <c r="E1341" s="26" t="s">
        <v>904</v>
      </c>
      <c r="F1341" s="26" t="s">
        <v>1451</v>
      </c>
      <c r="G1341" s="26" t="s">
        <v>1143</v>
      </c>
      <c r="H1341" s="33" t="str">
        <f>IF(E1341="Não","Não aplicável",IFERROR(IF(B1341="EU-ENV-002",IF(INDEX(tbl_recyclass[Conforme_PPWR_2030],MATCH(A1341,tbl_recyclass[ProductId],0))="Sim","Conforme (autoavaliação)",IF(INDEX(tbl_recyclass[Conforme_PPWR_2030],MATCH(A1341,tbl_recyclass[ProductId],0))="Não","Não conforme em 2030","Isento até 2035")),IF(B1341="EU-ENV-003",IF(INDEX(tbl_recyclass[Conforme_Art7_2030],MATCH(A1341,tbl_recyclass[ProductId],0))="Sim","Conforme (meta 2030)",IF(INDEX(tbl_recyclass[Conforme_Art7_2030],MATCH(A1341,tbl_recyclass[ProductId],0))="Não","Lacuna face à meta 2030","Isento")),IF(B1341="EU-ENV-011",IF(INDEX(tbl_familias_ppwr[Metais_Pesados_Evidencia],MATCH(INDEX(tbl_recyclass[Familia_PPWR],MATCH(A1341,tbl_recyclass[ProductId],0)),tbl_familias_ppwr[ID_Familia],0))="Em falta","Lacuna","Conforme"),IF(B1341="EU-ENV-013",IF(INDEX(tbl_familias_ppwr[Declaracao_UE],MATCH(INDEX(tbl_recyclass[Familia_PPWR],MATCH(A1341,tbl_recyclass[ProductId],0)),tbl_familias_ppwr[ID_Familia],0))="Sim","Conforme","Lacuna"),G1341)))),G1341))</f>
        <v>Não aplicável</v>
      </c>
      <c r="I1341" s="33" t="str">
        <f t="shared" si="20"/>
        <v>Não aplicável</v>
      </c>
      <c r="J1341" s="26"/>
    </row>
    <row r="1342" spans="1:10" ht="16.05" customHeight="1" x14ac:dyDescent="0.3">
      <c r="A1342" s="26" t="s">
        <v>754</v>
      </c>
      <c r="B1342" s="26" t="s">
        <v>1357</v>
      </c>
      <c r="C1342" s="33" t="str">
        <f>IFERROR(INDEX(tbl_requisitos_emb[Tema],MATCH(B1342,tbl_requisitos_emb[ID_Req],0)),"")</f>
        <v>Identificação de plásticos</v>
      </c>
      <c r="D1342" s="33" t="str">
        <f>IFERROR(INDEX(tbl_recyclass[Segmento],MATCH(A1342,tbl_recyclass[ProductId],0)),"")</f>
        <v>Cosmética e higiene pessoal</v>
      </c>
      <c r="E1342" s="26" t="s">
        <v>901</v>
      </c>
      <c r="F1342" s="26" t="s">
        <v>1449</v>
      </c>
      <c r="G1342" s="26" t="s">
        <v>978</v>
      </c>
      <c r="H1342" s="33" t="str">
        <f>IF(E1342="Não","Não aplicável",IFERROR(IF(B1342="EU-ENV-002",IF(INDEX(tbl_recyclass[Conforme_PPWR_2030],MATCH(A1342,tbl_recyclass[ProductId],0))="Sim","Conforme (autoavaliação)",IF(INDEX(tbl_recyclass[Conforme_PPWR_2030],MATCH(A1342,tbl_recyclass[ProductId],0))="Não","Não conforme em 2030","Isento até 2035")),IF(B1342="EU-ENV-003",IF(INDEX(tbl_recyclass[Conforme_Art7_2030],MATCH(A1342,tbl_recyclass[ProductId],0))="Sim","Conforme (meta 2030)",IF(INDEX(tbl_recyclass[Conforme_Art7_2030],MATCH(A1342,tbl_recyclass[ProductId],0))="Não","Lacuna face à meta 2030","Isento")),IF(B1342="EU-ENV-011",IF(INDEX(tbl_familias_ppwr[Metais_Pesados_Evidencia],MATCH(INDEX(tbl_recyclass[Familia_PPWR],MATCH(A1342,tbl_recyclass[ProductId],0)),tbl_familias_ppwr[ID_Familia],0))="Em falta","Lacuna","Conforme"),IF(B1342="EU-ENV-013",IF(INDEX(tbl_familias_ppwr[Declaracao_UE],MATCH(INDEX(tbl_recyclass[Familia_PPWR],MATCH(A1342,tbl_recyclass[ProductId],0)),tbl_familias_ppwr[ID_Familia],0))="Sim","Conforme","Lacuna"),G1342)))),G1342))</f>
        <v>Parcial</v>
      </c>
      <c r="I1342" s="33" t="str">
        <f t="shared" si="20"/>
        <v>Parcial</v>
      </c>
      <c r="J1342" s="26" t="s">
        <v>1362</v>
      </c>
    </row>
    <row r="1343" spans="1:10" ht="16.05" customHeight="1" x14ac:dyDescent="0.3">
      <c r="A1343" s="26" t="s">
        <v>754</v>
      </c>
      <c r="B1343" s="26" t="s">
        <v>1385</v>
      </c>
      <c r="C1343" s="33" t="str">
        <f>IFERROR(INDEX(tbl_requisitos_emb[Tema],MATCH(B1343,tbl_requisitos_emb[ID_Req],0)),"")</f>
        <v>Reciclabilidade (voluntária)</v>
      </c>
      <c r="D1343" s="33" t="str">
        <f>IFERROR(INDEX(tbl_recyclass[Segmento],MATCH(A1343,tbl_recyclass[ProductId],0)),"")</f>
        <v>Cosmética e higiene pessoal</v>
      </c>
      <c r="E1343" s="26" t="s">
        <v>901</v>
      </c>
      <c r="F1343" s="26" t="s">
        <v>1449</v>
      </c>
      <c r="G1343" s="26" t="s">
        <v>978</v>
      </c>
      <c r="H1343" s="33" t="str">
        <f>IF(E1343="Não","Não aplicável",IFERROR(IF(B1343="EU-ENV-002",IF(INDEX(tbl_recyclass[Conforme_PPWR_2030],MATCH(A1343,tbl_recyclass[ProductId],0))="Sim","Conforme (autoavaliação)",IF(INDEX(tbl_recyclass[Conforme_PPWR_2030],MATCH(A1343,tbl_recyclass[ProductId],0))="Não","Não conforme em 2030","Isento até 2035")),IF(B1343="EU-ENV-003",IF(INDEX(tbl_recyclass[Conforme_Art7_2030],MATCH(A1343,tbl_recyclass[ProductId],0))="Sim","Conforme (meta 2030)",IF(INDEX(tbl_recyclass[Conforme_Art7_2030],MATCH(A1343,tbl_recyclass[ProductId],0))="Não","Lacuna face à meta 2030","Isento")),IF(B1343="EU-ENV-011",IF(INDEX(tbl_familias_ppwr[Metais_Pesados_Evidencia],MATCH(INDEX(tbl_recyclass[Familia_PPWR],MATCH(A1343,tbl_recyclass[ProductId],0)),tbl_familias_ppwr[ID_Familia],0))="Em falta","Lacuna","Conforme"),IF(B1343="EU-ENV-013",IF(INDEX(tbl_familias_ppwr[Declaracao_UE],MATCH(INDEX(tbl_recyclass[Familia_PPWR],MATCH(A1343,tbl_recyclass[ProductId],0)),tbl_familias_ppwr[ID_Familia],0))="Sim","Conforme","Lacuna"),G1343)))),G1343))</f>
        <v>Parcial</v>
      </c>
      <c r="I1343" s="33" t="str">
        <f t="shared" si="20"/>
        <v>Parcial</v>
      </c>
      <c r="J1343" s="26" t="s">
        <v>1389</v>
      </c>
    </row>
    <row r="1344" spans="1:10" ht="16.05" customHeight="1" x14ac:dyDescent="0.3">
      <c r="A1344" s="26" t="s">
        <v>756</v>
      </c>
      <c r="B1344" s="26" t="s">
        <v>984</v>
      </c>
      <c r="C1344" s="33" t="str">
        <f>IFERROR(INDEX(tbl_requisitos_emb[Tema],MATCH(B1344,tbl_requisitos_emb[ID_Req],0)),"")</f>
        <v>Conceção para reciclagem</v>
      </c>
      <c r="D1344" s="33" t="str">
        <f>IFERROR(INDEX(tbl_recyclass[Segmento],MATCH(A1344,tbl_recyclass[ProductId],0)),"")</f>
        <v>Cosmética e higiene pessoal</v>
      </c>
      <c r="E1344" s="26" t="s">
        <v>901</v>
      </c>
      <c r="F1344" s="26" t="s">
        <v>1449</v>
      </c>
      <c r="G1344" s="26" t="s">
        <v>978</v>
      </c>
      <c r="H1344" s="33" t="str">
        <f>IF(E1344="Não","Não aplicável",IFERROR(IF(B1344="EU-ENV-002",IF(INDEX(tbl_recyclass[Conforme_PPWR_2030],MATCH(A1344,tbl_recyclass[ProductId],0))="Sim","Conforme (autoavaliação)",IF(INDEX(tbl_recyclass[Conforme_PPWR_2030],MATCH(A1344,tbl_recyclass[ProductId],0))="Não","Não conforme em 2030","Isento até 2035")),IF(B1344="EU-ENV-003",IF(INDEX(tbl_recyclass[Conforme_Art7_2030],MATCH(A1344,tbl_recyclass[ProductId],0))="Sim","Conforme (meta 2030)",IF(INDEX(tbl_recyclass[Conforme_Art7_2030],MATCH(A1344,tbl_recyclass[ProductId],0))="Não","Lacuna face à meta 2030","Isento")),IF(B1344="EU-ENV-011",IF(INDEX(tbl_familias_ppwr[Metais_Pesados_Evidencia],MATCH(INDEX(tbl_recyclass[Familia_PPWR],MATCH(A1344,tbl_recyclass[ProductId],0)),tbl_familias_ppwr[ID_Familia],0))="Em falta","Lacuna","Conforme"),IF(B1344="EU-ENV-013",IF(INDEX(tbl_familias_ppwr[Declaracao_UE],MATCH(INDEX(tbl_recyclass[Familia_PPWR],MATCH(A1344,tbl_recyclass[ProductId],0)),tbl_familias_ppwr[ID_Familia],0))="Sim","Conforme","Lacuna"),G1344)))),G1344))</f>
        <v>Não conforme em 2030</v>
      </c>
      <c r="I1344" s="33" t="str">
        <f t="shared" si="20"/>
        <v>Não conforme</v>
      </c>
      <c r="J1344" s="26" t="s">
        <v>991</v>
      </c>
    </row>
    <row r="1345" spans="1:10" ht="16.05" customHeight="1" x14ac:dyDescent="0.3">
      <c r="A1345" s="26" t="s">
        <v>756</v>
      </c>
      <c r="B1345" s="26" t="s">
        <v>997</v>
      </c>
      <c r="C1345" s="33" t="str">
        <f>IFERROR(INDEX(tbl_requisitos_emb[Tema],MATCH(B1345,tbl_requisitos_emb[ID_Req],0)),"")</f>
        <v>Conteúdo reciclado</v>
      </c>
      <c r="D1345" s="33" t="str">
        <f>IFERROR(INDEX(tbl_recyclass[Segmento],MATCH(A1345,tbl_recyclass[ProductId],0)),"")</f>
        <v>Cosmética e higiene pessoal</v>
      </c>
      <c r="E1345" s="26" t="s">
        <v>901</v>
      </c>
      <c r="F1345" s="26" t="s">
        <v>1449</v>
      </c>
      <c r="G1345" s="26" t="s">
        <v>978</v>
      </c>
      <c r="H1345" s="33" t="str">
        <f>IF(E1345="Não","Não aplicável",IFERROR(IF(B1345="EU-ENV-002",IF(INDEX(tbl_recyclass[Conforme_PPWR_2030],MATCH(A1345,tbl_recyclass[ProductId],0))="Sim","Conforme (autoavaliação)",IF(INDEX(tbl_recyclass[Conforme_PPWR_2030],MATCH(A1345,tbl_recyclass[ProductId],0))="Não","Não conforme em 2030","Isento até 2035")),IF(B1345="EU-ENV-003",IF(INDEX(tbl_recyclass[Conforme_Art7_2030],MATCH(A1345,tbl_recyclass[ProductId],0))="Sim","Conforme (meta 2030)",IF(INDEX(tbl_recyclass[Conforme_Art7_2030],MATCH(A1345,tbl_recyclass[ProductId],0))="Não","Lacuna face à meta 2030","Isento")),IF(B1345="EU-ENV-011",IF(INDEX(tbl_familias_ppwr[Metais_Pesados_Evidencia],MATCH(INDEX(tbl_recyclass[Familia_PPWR],MATCH(A1345,tbl_recyclass[ProductId],0)),tbl_familias_ppwr[ID_Familia],0))="Em falta","Lacuna","Conforme"),IF(B1345="EU-ENV-013",IF(INDEX(tbl_familias_ppwr[Declaracao_UE],MATCH(INDEX(tbl_recyclass[Familia_PPWR],MATCH(A1345,tbl_recyclass[ProductId],0)),tbl_familias_ppwr[ID_Familia],0))="Sim","Conforme","Lacuna"),G1345)))),G1345))</f>
        <v>Conforme (meta 2030)</v>
      </c>
      <c r="I1345" s="33" t="str">
        <f t="shared" si="20"/>
        <v>Conforme</v>
      </c>
      <c r="J1345" s="26" t="s">
        <v>1001</v>
      </c>
    </row>
    <row r="1346" spans="1:10" ht="16.05" customHeight="1" x14ac:dyDescent="0.3">
      <c r="A1346" s="26" t="s">
        <v>756</v>
      </c>
      <c r="B1346" s="26" t="s">
        <v>1007</v>
      </c>
      <c r="C1346" s="33" t="str">
        <f>IFERROR(INDEX(tbl_requisitos_emb[Tema],MATCH(B1346,tbl_requisitos_emb[ID_Req],0)),"")</f>
        <v>Minimização</v>
      </c>
      <c r="D1346" s="33" t="str">
        <f>IFERROR(INDEX(tbl_recyclass[Segmento],MATCH(A1346,tbl_recyclass[ProductId],0)),"")</f>
        <v>Cosmética e higiene pessoal</v>
      </c>
      <c r="E1346" s="26" t="s">
        <v>901</v>
      </c>
      <c r="F1346" s="26" t="s">
        <v>1449</v>
      </c>
      <c r="G1346" s="26" t="s">
        <v>978</v>
      </c>
      <c r="H1346" s="33" t="str">
        <f>IF(E1346="Não","Não aplicável",IFERROR(IF(B1346="EU-ENV-002",IF(INDEX(tbl_recyclass[Conforme_PPWR_2030],MATCH(A1346,tbl_recyclass[ProductId],0))="Sim","Conforme (autoavaliação)",IF(INDEX(tbl_recyclass[Conforme_PPWR_2030],MATCH(A1346,tbl_recyclass[ProductId],0))="Não","Não conforme em 2030","Isento até 2035")),IF(B1346="EU-ENV-003",IF(INDEX(tbl_recyclass[Conforme_Art7_2030],MATCH(A1346,tbl_recyclass[ProductId],0))="Sim","Conforme (meta 2030)",IF(INDEX(tbl_recyclass[Conforme_Art7_2030],MATCH(A1346,tbl_recyclass[ProductId],0))="Não","Lacuna face à meta 2030","Isento")),IF(B1346="EU-ENV-011",IF(INDEX(tbl_familias_ppwr[Metais_Pesados_Evidencia],MATCH(INDEX(tbl_recyclass[Familia_PPWR],MATCH(A1346,tbl_recyclass[ProductId],0)),tbl_familias_ppwr[ID_Familia],0))="Em falta","Lacuna","Conforme"),IF(B1346="EU-ENV-013",IF(INDEX(tbl_familias_ppwr[Declaracao_UE],MATCH(INDEX(tbl_recyclass[Familia_PPWR],MATCH(A1346,tbl_recyclass[ProductId],0)),tbl_familias_ppwr[ID_Familia],0))="Sim","Conforme","Lacuna"),G1346)))),G1346))</f>
        <v>Parcial</v>
      </c>
      <c r="I1346" s="33" t="str">
        <f t="shared" ref="I1346:I1409" si="21">IF(ISNUMBER(SEARCH("Não aplicável",H1346)),"Não aplicável",IF(ISNUMBER(SEARCH("Isento",H1346)),"Isento",IF(ISNUMBER(SEARCH("Não conforme",H1346)),"Não conforme",IF(ISNUMBER(SEARCH("Lacuna",H1346)),"Lacuna",IF(ISNUMBER(SEARCH("Conforme",H1346)),"Conforme",H1346)))))</f>
        <v>Parcial</v>
      </c>
      <c r="J1346" s="26" t="s">
        <v>1012</v>
      </c>
    </row>
    <row r="1347" spans="1:10" ht="16.05" customHeight="1" x14ac:dyDescent="0.3">
      <c r="A1347" s="26" t="s">
        <v>756</v>
      </c>
      <c r="B1347" s="26" t="s">
        <v>1016</v>
      </c>
      <c r="C1347" s="33" t="str">
        <f>IFERROR(INDEX(tbl_requisitos_emb[Tema],MATCH(B1347,tbl_requisitos_emb[ID_Req],0)),"")</f>
        <v>Rotulagem</v>
      </c>
      <c r="D1347" s="33" t="str">
        <f>IFERROR(INDEX(tbl_recyclass[Segmento],MATCH(A1347,tbl_recyclass[ProductId],0)),"")</f>
        <v>Cosmética e higiene pessoal</v>
      </c>
      <c r="E1347" s="26" t="s">
        <v>901</v>
      </c>
      <c r="F1347" s="26" t="s">
        <v>1449</v>
      </c>
      <c r="G1347" s="26" t="s">
        <v>990</v>
      </c>
      <c r="H1347" s="33" t="str">
        <f>IF(E1347="Não","Não aplicável",IFERROR(IF(B1347="EU-ENV-002",IF(INDEX(tbl_recyclass[Conforme_PPWR_2030],MATCH(A1347,tbl_recyclass[ProductId],0))="Sim","Conforme (autoavaliação)",IF(INDEX(tbl_recyclass[Conforme_PPWR_2030],MATCH(A1347,tbl_recyclass[ProductId],0))="Não","Não conforme em 2030","Isento até 2035")),IF(B1347="EU-ENV-003",IF(INDEX(tbl_recyclass[Conforme_Art7_2030],MATCH(A1347,tbl_recyclass[ProductId],0))="Sim","Conforme (meta 2030)",IF(INDEX(tbl_recyclass[Conforme_Art7_2030],MATCH(A1347,tbl_recyclass[ProductId],0))="Não","Lacuna face à meta 2030","Isento")),IF(B1347="EU-ENV-011",IF(INDEX(tbl_familias_ppwr[Metais_Pesados_Evidencia],MATCH(INDEX(tbl_recyclass[Familia_PPWR],MATCH(A1347,tbl_recyclass[ProductId],0)),tbl_familias_ppwr[ID_Familia],0))="Em falta","Lacuna","Conforme"),IF(B1347="EU-ENV-013",IF(INDEX(tbl_familias_ppwr[Declaracao_UE],MATCH(INDEX(tbl_recyclass[Familia_PPWR],MATCH(A1347,tbl_recyclass[ProductId],0)),tbl_familias_ppwr[ID_Familia],0))="Sim","Conforme","Lacuna"),G1347)))),G1347))</f>
        <v>Futuro</v>
      </c>
      <c r="I1347" s="33" t="str">
        <f t="shared" si="21"/>
        <v>Futuro</v>
      </c>
      <c r="J1347" s="26" t="s">
        <v>1021</v>
      </c>
    </row>
    <row r="1348" spans="1:10" ht="16.05" customHeight="1" x14ac:dyDescent="0.3">
      <c r="A1348" s="26" t="s">
        <v>756</v>
      </c>
      <c r="B1348" s="26" t="s">
        <v>1038</v>
      </c>
      <c r="C1348" s="33" t="str">
        <f>IFERROR(INDEX(tbl_requisitos_emb[Tema],MATCH(B1348,tbl_requisitos_emb[ID_Req],0)),"")</f>
        <v>Plásticos de utilização única</v>
      </c>
      <c r="D1348" s="33" t="str">
        <f>IFERROR(INDEX(tbl_recyclass[Segmento],MATCH(A1348,tbl_recyclass[ProductId],0)),"")</f>
        <v>Cosmética e higiene pessoal</v>
      </c>
      <c r="E1348" s="26" t="s">
        <v>904</v>
      </c>
      <c r="F1348" s="26" t="s">
        <v>1450</v>
      </c>
      <c r="G1348" s="26" t="s">
        <v>1143</v>
      </c>
      <c r="H1348" s="33" t="str">
        <f>IF(E1348="Não","Não aplicável",IFERROR(IF(B1348="EU-ENV-002",IF(INDEX(tbl_recyclass[Conforme_PPWR_2030],MATCH(A1348,tbl_recyclass[ProductId],0))="Sim","Conforme (autoavaliação)",IF(INDEX(tbl_recyclass[Conforme_PPWR_2030],MATCH(A1348,tbl_recyclass[ProductId],0))="Não","Não conforme em 2030","Isento até 2035")),IF(B1348="EU-ENV-003",IF(INDEX(tbl_recyclass[Conforme_Art7_2030],MATCH(A1348,tbl_recyclass[ProductId],0))="Sim","Conforme (meta 2030)",IF(INDEX(tbl_recyclass[Conforme_Art7_2030],MATCH(A1348,tbl_recyclass[ProductId],0))="Não","Lacuna face à meta 2030","Isento")),IF(B1348="EU-ENV-011",IF(INDEX(tbl_familias_ppwr[Metais_Pesados_Evidencia],MATCH(INDEX(tbl_recyclass[Familia_PPWR],MATCH(A1348,tbl_recyclass[ProductId],0)),tbl_familias_ppwr[ID_Familia],0))="Em falta","Lacuna","Conforme"),IF(B1348="EU-ENV-013",IF(INDEX(tbl_familias_ppwr[Declaracao_UE],MATCH(INDEX(tbl_recyclass[Familia_PPWR],MATCH(A1348,tbl_recyclass[ProductId],0)),tbl_familias_ppwr[ID_Familia],0))="Sim","Conforme","Lacuna"),G1348)))),G1348))</f>
        <v>Não aplicável</v>
      </c>
      <c r="I1348" s="33" t="str">
        <f t="shared" si="21"/>
        <v>Não aplicável</v>
      </c>
      <c r="J1348" s="26"/>
    </row>
    <row r="1349" spans="1:10" ht="16.05" customHeight="1" x14ac:dyDescent="0.3">
      <c r="A1349" s="26" t="s">
        <v>756</v>
      </c>
      <c r="B1349" s="26" t="s">
        <v>1078</v>
      </c>
      <c r="C1349" s="33" t="str">
        <f>IFERROR(INDEX(tbl_requisitos_emb[Tema],MATCH(B1349,tbl_requisitos_emb[ID_Req],0)),"")</f>
        <v>Reciclado à escala</v>
      </c>
      <c r="D1349" s="33" t="str">
        <f>IFERROR(INDEX(tbl_recyclass[Segmento],MATCH(A1349,tbl_recyclass[ProductId],0)),"")</f>
        <v>Cosmética e higiene pessoal</v>
      </c>
      <c r="E1349" s="26" t="s">
        <v>901</v>
      </c>
      <c r="F1349" s="26" t="s">
        <v>1449</v>
      </c>
      <c r="G1349" s="26" t="s">
        <v>990</v>
      </c>
      <c r="H1349" s="33" t="str">
        <f>IF(E1349="Não","Não aplicável",IFERROR(IF(B1349="EU-ENV-002",IF(INDEX(tbl_recyclass[Conforme_PPWR_2030],MATCH(A1349,tbl_recyclass[ProductId],0))="Sim","Conforme (autoavaliação)",IF(INDEX(tbl_recyclass[Conforme_PPWR_2030],MATCH(A1349,tbl_recyclass[ProductId],0))="Não","Não conforme em 2030","Isento até 2035")),IF(B1349="EU-ENV-003",IF(INDEX(tbl_recyclass[Conforme_Art7_2030],MATCH(A1349,tbl_recyclass[ProductId],0))="Sim","Conforme (meta 2030)",IF(INDEX(tbl_recyclass[Conforme_Art7_2030],MATCH(A1349,tbl_recyclass[ProductId],0))="Não","Lacuna face à meta 2030","Isento")),IF(B1349="EU-ENV-011",IF(INDEX(tbl_familias_ppwr[Metais_Pesados_Evidencia],MATCH(INDEX(tbl_recyclass[Familia_PPWR],MATCH(A1349,tbl_recyclass[ProductId],0)),tbl_familias_ppwr[ID_Familia],0))="Em falta","Lacuna","Conforme"),IF(B1349="EU-ENV-013",IF(INDEX(tbl_familias_ppwr[Declaracao_UE],MATCH(INDEX(tbl_recyclass[Familia_PPWR],MATCH(A1349,tbl_recyclass[ProductId],0)),tbl_familias_ppwr[ID_Familia],0))="Sim","Conforme","Lacuna"),G1349)))),G1349))</f>
        <v>Futuro</v>
      </c>
      <c r="I1349" s="33" t="str">
        <f t="shared" si="21"/>
        <v>Futuro</v>
      </c>
      <c r="J1349" s="26" t="s">
        <v>1082</v>
      </c>
    </row>
    <row r="1350" spans="1:10" ht="16.05" customHeight="1" x14ac:dyDescent="0.3">
      <c r="A1350" s="26" t="s">
        <v>756</v>
      </c>
      <c r="B1350" s="26" t="s">
        <v>1086</v>
      </c>
      <c r="C1350" s="33" t="str">
        <f>IFERROR(INDEX(tbl_requisitos_emb[Tema],MATCH(B1350,tbl_requisitos_emb[ID_Req],0)),"")</f>
        <v>Metais pesados</v>
      </c>
      <c r="D1350" s="33" t="str">
        <f>IFERROR(INDEX(tbl_recyclass[Segmento],MATCH(A1350,tbl_recyclass[ProductId],0)),"")</f>
        <v>Cosmética e higiene pessoal</v>
      </c>
      <c r="E1350" s="26" t="s">
        <v>901</v>
      </c>
      <c r="F1350" s="26" t="s">
        <v>1449</v>
      </c>
      <c r="G1350" s="26" t="s">
        <v>978</v>
      </c>
      <c r="H1350" s="33" t="str">
        <f>IF(E1350="Não","Não aplicável",IFERROR(IF(B1350="EU-ENV-002",IF(INDEX(tbl_recyclass[Conforme_PPWR_2030],MATCH(A1350,tbl_recyclass[ProductId],0))="Sim","Conforme (autoavaliação)",IF(INDEX(tbl_recyclass[Conforme_PPWR_2030],MATCH(A1350,tbl_recyclass[ProductId],0))="Não","Não conforme em 2030","Isento até 2035")),IF(B1350="EU-ENV-003",IF(INDEX(tbl_recyclass[Conforme_Art7_2030],MATCH(A1350,tbl_recyclass[ProductId],0))="Sim","Conforme (meta 2030)",IF(INDEX(tbl_recyclass[Conforme_Art7_2030],MATCH(A1350,tbl_recyclass[ProductId],0))="Não","Lacuna face à meta 2030","Isento")),IF(B1350="EU-ENV-011",IF(INDEX(tbl_familias_ppwr[Metais_Pesados_Evidencia],MATCH(INDEX(tbl_recyclass[Familia_PPWR],MATCH(A1350,tbl_recyclass[ProductId],0)),tbl_familias_ppwr[ID_Familia],0))="Em falta","Lacuna","Conforme"),IF(B1350="EU-ENV-013",IF(INDEX(tbl_familias_ppwr[Declaracao_UE],MATCH(INDEX(tbl_recyclass[Familia_PPWR],MATCH(A1350,tbl_recyclass[ProductId],0)),tbl_familias_ppwr[ID_Familia],0))="Sim","Conforme","Lacuna"),G1350)))),G1350))</f>
        <v>Lacuna</v>
      </c>
      <c r="I1350" s="33" t="str">
        <f t="shared" si="21"/>
        <v>Lacuna</v>
      </c>
      <c r="J1350" s="26" t="s">
        <v>1090</v>
      </c>
    </row>
    <row r="1351" spans="1:10" ht="16.05" customHeight="1" x14ac:dyDescent="0.3">
      <c r="A1351" s="26" t="s">
        <v>756</v>
      </c>
      <c r="B1351" s="26" t="s">
        <v>1094</v>
      </c>
      <c r="C1351" s="33" t="str">
        <f>IFERROR(INDEX(tbl_requisitos_emb[Tema],MATCH(B1351,tbl_requisitos_emb[ID_Req],0)),"")</f>
        <v>PFAS</v>
      </c>
      <c r="D1351" s="33" t="str">
        <f>IFERROR(INDEX(tbl_recyclass[Segmento],MATCH(A1351,tbl_recyclass[ProductId],0)),"")</f>
        <v>Cosmética e higiene pessoal</v>
      </c>
      <c r="E1351" s="26" t="s">
        <v>904</v>
      </c>
      <c r="F1351" s="26" t="s">
        <v>1450</v>
      </c>
      <c r="G1351" s="26" t="s">
        <v>1143</v>
      </c>
      <c r="H1351" s="33" t="str">
        <f>IF(E1351="Não","Não aplicável",IFERROR(IF(B1351="EU-ENV-002",IF(INDEX(tbl_recyclass[Conforme_PPWR_2030],MATCH(A1351,tbl_recyclass[ProductId],0))="Sim","Conforme (autoavaliação)",IF(INDEX(tbl_recyclass[Conforme_PPWR_2030],MATCH(A1351,tbl_recyclass[ProductId],0))="Não","Não conforme em 2030","Isento até 2035")),IF(B1351="EU-ENV-003",IF(INDEX(tbl_recyclass[Conforme_Art7_2030],MATCH(A1351,tbl_recyclass[ProductId],0))="Sim","Conforme (meta 2030)",IF(INDEX(tbl_recyclass[Conforme_Art7_2030],MATCH(A1351,tbl_recyclass[ProductId],0))="Não","Lacuna face à meta 2030","Isento")),IF(B1351="EU-ENV-011",IF(INDEX(tbl_familias_ppwr[Metais_Pesados_Evidencia],MATCH(INDEX(tbl_recyclass[Familia_PPWR],MATCH(A1351,tbl_recyclass[ProductId],0)),tbl_familias_ppwr[ID_Familia],0))="Em falta","Lacuna","Conforme"),IF(B1351="EU-ENV-013",IF(INDEX(tbl_familias_ppwr[Declaracao_UE],MATCH(INDEX(tbl_recyclass[Familia_PPWR],MATCH(A1351,tbl_recyclass[ProductId],0)),tbl_familias_ppwr[ID_Familia],0))="Sim","Conforme","Lacuna"),G1351)))),G1351))</f>
        <v>Não aplicável</v>
      </c>
      <c r="I1351" s="33" t="str">
        <f t="shared" si="21"/>
        <v>Não aplicável</v>
      </c>
      <c r="J1351" s="26"/>
    </row>
    <row r="1352" spans="1:10" ht="16.05" customHeight="1" x14ac:dyDescent="0.3">
      <c r="A1352" s="26" t="s">
        <v>756</v>
      </c>
      <c r="B1352" s="26" t="s">
        <v>1102</v>
      </c>
      <c r="C1352" s="33" t="str">
        <f>IFERROR(INDEX(tbl_requisitos_emb[Tema],MATCH(B1352,tbl_requisitos_emb[ID_Req],0)),"")</f>
        <v>Documentação técnica e declaração UE</v>
      </c>
      <c r="D1352" s="33" t="str">
        <f>IFERROR(INDEX(tbl_recyclass[Segmento],MATCH(A1352,tbl_recyclass[ProductId],0)),"")</f>
        <v>Cosmética e higiene pessoal</v>
      </c>
      <c r="E1352" s="26" t="s">
        <v>901</v>
      </c>
      <c r="F1352" s="26" t="s">
        <v>1449</v>
      </c>
      <c r="G1352" s="26" t="s">
        <v>978</v>
      </c>
      <c r="H1352" s="33" t="str">
        <f>IF(E1352="Não","Não aplicável",IFERROR(IF(B1352="EU-ENV-002",IF(INDEX(tbl_recyclass[Conforme_PPWR_2030],MATCH(A1352,tbl_recyclass[ProductId],0))="Sim","Conforme (autoavaliação)",IF(INDEX(tbl_recyclass[Conforme_PPWR_2030],MATCH(A1352,tbl_recyclass[ProductId],0))="Não","Não conforme em 2030","Isento até 2035")),IF(B1352="EU-ENV-003",IF(INDEX(tbl_recyclass[Conforme_Art7_2030],MATCH(A1352,tbl_recyclass[ProductId],0))="Sim","Conforme (meta 2030)",IF(INDEX(tbl_recyclass[Conforme_Art7_2030],MATCH(A1352,tbl_recyclass[ProductId],0))="Não","Lacuna face à meta 2030","Isento")),IF(B1352="EU-ENV-011",IF(INDEX(tbl_familias_ppwr[Metais_Pesados_Evidencia],MATCH(INDEX(tbl_recyclass[Familia_PPWR],MATCH(A1352,tbl_recyclass[ProductId],0)),tbl_familias_ppwr[ID_Familia],0))="Em falta","Lacuna","Conforme"),IF(B1352="EU-ENV-013",IF(INDEX(tbl_familias_ppwr[Declaracao_UE],MATCH(INDEX(tbl_recyclass[Familia_PPWR],MATCH(A1352,tbl_recyclass[ProductId],0)),tbl_familias_ppwr[ID_Familia],0))="Sim","Conforme","Lacuna"),G1352)))),G1352))</f>
        <v>Conforme</v>
      </c>
      <c r="I1352" s="33" t="str">
        <f t="shared" si="21"/>
        <v>Conforme</v>
      </c>
      <c r="J1352" s="26" t="s">
        <v>1106</v>
      </c>
    </row>
    <row r="1353" spans="1:10" ht="16.05" customHeight="1" x14ac:dyDescent="0.3">
      <c r="A1353" s="26" t="s">
        <v>756</v>
      </c>
      <c r="B1353" s="26" t="s">
        <v>1161</v>
      </c>
      <c r="C1353" s="33" t="str">
        <f>IFERROR(INDEX(tbl_requisitos_emb[Tema],MATCH(B1353,tbl_requisitos_emb[ID_Req],0)),"")</f>
        <v>Materiais em contacto com alimentos</v>
      </c>
      <c r="D1353" s="33" t="str">
        <f>IFERROR(INDEX(tbl_recyclass[Segmento],MATCH(A1353,tbl_recyclass[ProductId],0)),"")</f>
        <v>Cosmética e higiene pessoal</v>
      </c>
      <c r="E1353" s="26" t="s">
        <v>904</v>
      </c>
      <c r="F1353" s="26" t="s">
        <v>1450</v>
      </c>
      <c r="G1353" s="26" t="s">
        <v>1143</v>
      </c>
      <c r="H1353" s="33" t="str">
        <f>IF(E1353="Não","Não aplicável",IFERROR(IF(B1353="EU-ENV-002",IF(INDEX(tbl_recyclass[Conforme_PPWR_2030],MATCH(A1353,tbl_recyclass[ProductId],0))="Sim","Conforme (autoavaliação)",IF(INDEX(tbl_recyclass[Conforme_PPWR_2030],MATCH(A1353,tbl_recyclass[ProductId],0))="Não","Não conforme em 2030","Isento até 2035")),IF(B1353="EU-ENV-003",IF(INDEX(tbl_recyclass[Conforme_Art7_2030],MATCH(A1353,tbl_recyclass[ProductId],0))="Sim","Conforme (meta 2030)",IF(INDEX(tbl_recyclass[Conforme_Art7_2030],MATCH(A1353,tbl_recyclass[ProductId],0))="Não","Lacuna face à meta 2030","Isento")),IF(B1353="EU-ENV-011",IF(INDEX(tbl_familias_ppwr[Metais_Pesados_Evidencia],MATCH(INDEX(tbl_recyclass[Familia_PPWR],MATCH(A1353,tbl_recyclass[ProductId],0)),tbl_familias_ppwr[ID_Familia],0))="Em falta","Lacuna","Conforme"),IF(B1353="EU-ENV-013",IF(INDEX(tbl_familias_ppwr[Declaracao_UE],MATCH(INDEX(tbl_recyclass[Familia_PPWR],MATCH(A1353,tbl_recyclass[ProductId],0)),tbl_familias_ppwr[ID_Familia],0))="Sim","Conforme","Lacuna"),G1353)))),G1353))</f>
        <v>Não aplicável</v>
      </c>
      <c r="I1353" s="33" t="str">
        <f t="shared" si="21"/>
        <v>Não aplicável</v>
      </c>
      <c r="J1353" s="26"/>
    </row>
    <row r="1354" spans="1:10" ht="16.05" customHeight="1" x14ac:dyDescent="0.3">
      <c r="A1354" s="26" t="s">
        <v>756</v>
      </c>
      <c r="B1354" s="26" t="s">
        <v>1170</v>
      </c>
      <c r="C1354" s="33" t="str">
        <f>IFERROR(INDEX(tbl_requisitos_emb[Tema],MATCH(B1354,tbl_requisitos_emb[ID_Req],0)),"")</f>
        <v>Boas práticas de fabrico FCM</v>
      </c>
      <c r="D1354" s="33" t="str">
        <f>IFERROR(INDEX(tbl_recyclass[Segmento],MATCH(A1354,tbl_recyclass[ProductId],0)),"")</f>
        <v>Cosmética e higiene pessoal</v>
      </c>
      <c r="E1354" s="26" t="s">
        <v>904</v>
      </c>
      <c r="F1354" s="26" t="s">
        <v>1450</v>
      </c>
      <c r="G1354" s="26" t="s">
        <v>1143</v>
      </c>
      <c r="H1354" s="33" t="str">
        <f>IF(E1354="Não","Não aplicável",IFERROR(IF(B1354="EU-ENV-002",IF(INDEX(tbl_recyclass[Conforme_PPWR_2030],MATCH(A1354,tbl_recyclass[ProductId],0))="Sim","Conforme (autoavaliação)",IF(INDEX(tbl_recyclass[Conforme_PPWR_2030],MATCH(A1354,tbl_recyclass[ProductId],0))="Não","Não conforme em 2030","Isento até 2035")),IF(B1354="EU-ENV-003",IF(INDEX(tbl_recyclass[Conforme_Art7_2030],MATCH(A1354,tbl_recyclass[ProductId],0))="Sim","Conforme (meta 2030)",IF(INDEX(tbl_recyclass[Conforme_Art7_2030],MATCH(A1354,tbl_recyclass[ProductId],0))="Não","Lacuna face à meta 2030","Isento")),IF(B1354="EU-ENV-011",IF(INDEX(tbl_familias_ppwr[Metais_Pesados_Evidencia],MATCH(INDEX(tbl_recyclass[Familia_PPWR],MATCH(A1354,tbl_recyclass[ProductId],0)),tbl_familias_ppwr[ID_Familia],0))="Em falta","Lacuna","Conforme"),IF(B1354="EU-ENV-013",IF(INDEX(tbl_familias_ppwr[Declaracao_UE],MATCH(INDEX(tbl_recyclass[Familia_PPWR],MATCH(A1354,tbl_recyclass[ProductId],0)),tbl_familias_ppwr[ID_Familia],0))="Sim","Conforme","Lacuna"),G1354)))),G1354))</f>
        <v>Não aplicável</v>
      </c>
      <c r="I1354" s="33" t="str">
        <f t="shared" si="21"/>
        <v>Não aplicável</v>
      </c>
      <c r="J1354" s="26"/>
    </row>
    <row r="1355" spans="1:10" ht="16.05" customHeight="1" x14ac:dyDescent="0.3">
      <c r="A1355" s="26" t="s">
        <v>756</v>
      </c>
      <c r="B1355" s="26" t="s">
        <v>1179</v>
      </c>
      <c r="C1355" s="33" t="str">
        <f>IFERROR(INDEX(tbl_requisitos_emb[Tema],MATCH(B1355,tbl_requisitos_emb[ID_Req],0)),"")</f>
        <v>Bisfenol A e bisfenóis perigosos</v>
      </c>
      <c r="D1355" s="33" t="str">
        <f>IFERROR(INDEX(tbl_recyclass[Segmento],MATCH(A1355,tbl_recyclass[ProductId],0)),"")</f>
        <v>Cosmética e higiene pessoal</v>
      </c>
      <c r="E1355" s="26" t="s">
        <v>904</v>
      </c>
      <c r="F1355" s="26" t="s">
        <v>1450</v>
      </c>
      <c r="G1355" s="26" t="s">
        <v>1143</v>
      </c>
      <c r="H1355" s="33" t="str">
        <f>IF(E1355="Não","Não aplicável",IFERROR(IF(B1355="EU-ENV-002",IF(INDEX(tbl_recyclass[Conforme_PPWR_2030],MATCH(A1355,tbl_recyclass[ProductId],0))="Sim","Conforme (autoavaliação)",IF(INDEX(tbl_recyclass[Conforme_PPWR_2030],MATCH(A1355,tbl_recyclass[ProductId],0))="Não","Não conforme em 2030","Isento até 2035")),IF(B1355="EU-ENV-003",IF(INDEX(tbl_recyclass[Conforme_Art7_2030],MATCH(A1355,tbl_recyclass[ProductId],0))="Sim","Conforme (meta 2030)",IF(INDEX(tbl_recyclass[Conforme_Art7_2030],MATCH(A1355,tbl_recyclass[ProductId],0))="Não","Lacuna face à meta 2030","Isento")),IF(B1355="EU-ENV-011",IF(INDEX(tbl_familias_ppwr[Metais_Pesados_Evidencia],MATCH(INDEX(tbl_recyclass[Familia_PPWR],MATCH(A1355,tbl_recyclass[ProductId],0)),tbl_familias_ppwr[ID_Familia],0))="Em falta","Lacuna","Conforme"),IF(B1355="EU-ENV-013",IF(INDEX(tbl_familias_ppwr[Declaracao_UE],MATCH(INDEX(tbl_recyclass[Familia_PPWR],MATCH(A1355,tbl_recyclass[ProductId],0)),tbl_familias_ppwr[ID_Familia],0))="Sim","Conforme","Lacuna"),G1355)))),G1355))</f>
        <v>Não aplicável</v>
      </c>
      <c r="I1355" s="33" t="str">
        <f t="shared" si="21"/>
        <v>Não aplicável</v>
      </c>
      <c r="J1355" s="26"/>
    </row>
    <row r="1356" spans="1:10" ht="16.05" customHeight="1" x14ac:dyDescent="0.3">
      <c r="A1356" s="26" t="s">
        <v>756</v>
      </c>
      <c r="B1356" s="26" t="s">
        <v>1188</v>
      </c>
      <c r="C1356" s="33" t="str">
        <f>IFERROR(INDEX(tbl_requisitos_emb[Tema],MATCH(B1356,tbl_requisitos_emb[ID_Req],0)),"")</f>
        <v>Plásticos em contacto com alimentos</v>
      </c>
      <c r="D1356" s="33" t="str">
        <f>IFERROR(INDEX(tbl_recyclass[Segmento],MATCH(A1356,tbl_recyclass[ProductId],0)),"")</f>
        <v>Cosmética e higiene pessoal</v>
      </c>
      <c r="E1356" s="26" t="s">
        <v>904</v>
      </c>
      <c r="F1356" s="26" t="s">
        <v>1450</v>
      </c>
      <c r="G1356" s="26" t="s">
        <v>1143</v>
      </c>
      <c r="H1356" s="33" t="str">
        <f>IF(E1356="Não","Não aplicável",IFERROR(IF(B1356="EU-ENV-002",IF(INDEX(tbl_recyclass[Conforme_PPWR_2030],MATCH(A1356,tbl_recyclass[ProductId],0))="Sim","Conforme (autoavaliação)",IF(INDEX(tbl_recyclass[Conforme_PPWR_2030],MATCH(A1356,tbl_recyclass[ProductId],0))="Não","Não conforme em 2030","Isento até 2035")),IF(B1356="EU-ENV-003",IF(INDEX(tbl_recyclass[Conforme_Art7_2030],MATCH(A1356,tbl_recyclass[ProductId],0))="Sim","Conforme (meta 2030)",IF(INDEX(tbl_recyclass[Conforme_Art7_2030],MATCH(A1356,tbl_recyclass[ProductId],0))="Não","Lacuna face à meta 2030","Isento")),IF(B1356="EU-ENV-011",IF(INDEX(tbl_familias_ppwr[Metais_Pesados_Evidencia],MATCH(INDEX(tbl_recyclass[Familia_PPWR],MATCH(A1356,tbl_recyclass[ProductId],0)),tbl_familias_ppwr[ID_Familia],0))="Em falta","Lacuna","Conforme"),IF(B1356="EU-ENV-013",IF(INDEX(tbl_familias_ppwr[Declaracao_UE],MATCH(INDEX(tbl_recyclass[Familia_PPWR],MATCH(A1356,tbl_recyclass[ProductId],0)),tbl_familias_ppwr[ID_Familia],0))="Sim","Conforme","Lacuna"),G1356)))),G1356))</f>
        <v>Não aplicável</v>
      </c>
      <c r="I1356" s="33" t="str">
        <f t="shared" si="21"/>
        <v>Não aplicável</v>
      </c>
      <c r="J1356" s="26"/>
    </row>
    <row r="1357" spans="1:10" ht="16.05" customHeight="1" x14ac:dyDescent="0.3">
      <c r="A1357" s="26" t="s">
        <v>756</v>
      </c>
      <c r="B1357" s="26" t="s">
        <v>1212</v>
      </c>
      <c r="C1357" s="33" t="str">
        <f>IFERROR(INDEX(tbl_requisitos_emb[Tema],MATCH(B1357,tbl_requisitos_emb[ID_Req],0)),"")</f>
        <v>Segurança do produto cosmético</v>
      </c>
      <c r="D1357" s="33" t="str">
        <f>IFERROR(INDEX(tbl_recyclass[Segmento],MATCH(A1357,tbl_recyclass[ProductId],0)),"")</f>
        <v>Cosmética e higiene pessoal</v>
      </c>
      <c r="E1357" s="26" t="s">
        <v>901</v>
      </c>
      <c r="F1357" s="26" t="s">
        <v>1449</v>
      </c>
      <c r="G1357" s="26" t="s">
        <v>1033</v>
      </c>
      <c r="H1357" s="33" t="str">
        <f>IF(E1357="Não","Não aplicável",IFERROR(IF(B1357="EU-ENV-002",IF(INDEX(tbl_recyclass[Conforme_PPWR_2030],MATCH(A1357,tbl_recyclass[ProductId],0))="Sim","Conforme (autoavaliação)",IF(INDEX(tbl_recyclass[Conforme_PPWR_2030],MATCH(A1357,tbl_recyclass[ProductId],0))="Não","Não conforme em 2030","Isento até 2035")),IF(B1357="EU-ENV-003",IF(INDEX(tbl_recyclass[Conforme_Art7_2030],MATCH(A1357,tbl_recyclass[ProductId],0))="Sim","Conforme (meta 2030)",IF(INDEX(tbl_recyclass[Conforme_Art7_2030],MATCH(A1357,tbl_recyclass[ProductId],0))="Não","Lacuna face à meta 2030","Isento")),IF(B1357="EU-ENV-011",IF(INDEX(tbl_familias_ppwr[Metais_Pesados_Evidencia],MATCH(INDEX(tbl_recyclass[Familia_PPWR],MATCH(A1357,tbl_recyclass[ProductId],0)),tbl_familias_ppwr[ID_Familia],0))="Em falta","Lacuna","Conforme"),IF(B1357="EU-ENV-013",IF(INDEX(tbl_familias_ppwr[Declaracao_UE],MATCH(INDEX(tbl_recyclass[Familia_PPWR],MATCH(A1357,tbl_recyclass[ProductId],0)),tbl_familias_ppwr[ID_Familia],0))="Sim","Conforme","Lacuna"),G1357)))),G1357))</f>
        <v>Conforme</v>
      </c>
      <c r="I1357" s="33" t="str">
        <f t="shared" si="21"/>
        <v>Conforme</v>
      </c>
      <c r="J1357" s="26" t="s">
        <v>1221</v>
      </c>
    </row>
    <row r="1358" spans="1:10" ht="16.05" customHeight="1" x14ac:dyDescent="0.3">
      <c r="A1358" s="26" t="s">
        <v>756</v>
      </c>
      <c r="B1358" s="26" t="s">
        <v>1224</v>
      </c>
      <c r="C1358" s="33" t="str">
        <f>IFERROR(INDEX(tbl_requisitos_emb[Tema],MATCH(B1358,tbl_requisitos_emb[ID_Req],0)),"")</f>
        <v>Materiais e impurezas</v>
      </c>
      <c r="D1358" s="33" t="str">
        <f>IFERROR(INDEX(tbl_recyclass[Segmento],MATCH(A1358,tbl_recyclass[ProductId],0)),"")</f>
        <v>Cosmética e higiene pessoal</v>
      </c>
      <c r="E1358" s="26" t="s">
        <v>901</v>
      </c>
      <c r="F1358" s="26" t="s">
        <v>1449</v>
      </c>
      <c r="G1358" s="26" t="s">
        <v>978</v>
      </c>
      <c r="H1358" s="33" t="str">
        <f>IF(E1358="Não","Não aplicável",IFERROR(IF(B1358="EU-ENV-002",IF(INDEX(tbl_recyclass[Conforme_PPWR_2030],MATCH(A1358,tbl_recyclass[ProductId],0))="Sim","Conforme (autoavaliação)",IF(INDEX(tbl_recyclass[Conforme_PPWR_2030],MATCH(A1358,tbl_recyclass[ProductId],0))="Não","Não conforme em 2030","Isento até 2035")),IF(B1358="EU-ENV-003",IF(INDEX(tbl_recyclass[Conforme_Art7_2030],MATCH(A1358,tbl_recyclass[ProductId],0))="Sim","Conforme (meta 2030)",IF(INDEX(tbl_recyclass[Conforme_Art7_2030],MATCH(A1358,tbl_recyclass[ProductId],0))="Não","Lacuna face à meta 2030","Isento")),IF(B1358="EU-ENV-011",IF(INDEX(tbl_familias_ppwr[Metais_Pesados_Evidencia],MATCH(INDEX(tbl_recyclass[Familia_PPWR],MATCH(A1358,tbl_recyclass[ProductId],0)),tbl_familias_ppwr[ID_Familia],0))="Em falta","Lacuna","Conforme"),IF(B1358="EU-ENV-013",IF(INDEX(tbl_familias_ppwr[Declaracao_UE],MATCH(INDEX(tbl_recyclass[Familia_PPWR],MATCH(A1358,tbl_recyclass[ProductId],0)),tbl_familias_ppwr[ID_Familia],0))="Sim","Conforme","Lacuna"),G1358)))),G1358))</f>
        <v>Parcial</v>
      </c>
      <c r="I1358" s="33" t="str">
        <f t="shared" si="21"/>
        <v>Parcial</v>
      </c>
      <c r="J1358" s="26" t="s">
        <v>1228</v>
      </c>
    </row>
    <row r="1359" spans="1:10" ht="16.05" customHeight="1" x14ac:dyDescent="0.3">
      <c r="A1359" s="26" t="s">
        <v>756</v>
      </c>
      <c r="B1359" s="26" t="s">
        <v>1240</v>
      </c>
      <c r="C1359" s="33" t="str">
        <f>IFERROR(INDEX(tbl_requisitos_emb[Tema],MATCH(B1359,tbl_requisitos_emb[ID_Req],0)),"")</f>
        <v>Compatibilidade embalagem–produto</v>
      </c>
      <c r="D1359" s="33" t="str">
        <f>IFERROR(INDEX(tbl_recyclass[Segmento],MATCH(A1359,tbl_recyclass[ProductId],0)),"")</f>
        <v>Cosmética e higiene pessoal</v>
      </c>
      <c r="E1359" s="26" t="s">
        <v>901</v>
      </c>
      <c r="F1359" s="26" t="s">
        <v>1449</v>
      </c>
      <c r="G1359" s="26" t="s">
        <v>1033</v>
      </c>
      <c r="H1359" s="33" t="str">
        <f>IF(E1359="Não","Não aplicável",IFERROR(IF(B1359="EU-ENV-002",IF(INDEX(tbl_recyclass[Conforme_PPWR_2030],MATCH(A1359,tbl_recyclass[ProductId],0))="Sim","Conforme (autoavaliação)",IF(INDEX(tbl_recyclass[Conforme_PPWR_2030],MATCH(A1359,tbl_recyclass[ProductId],0))="Não","Não conforme em 2030","Isento até 2035")),IF(B1359="EU-ENV-003",IF(INDEX(tbl_recyclass[Conforme_Art7_2030],MATCH(A1359,tbl_recyclass[ProductId],0))="Sim","Conforme (meta 2030)",IF(INDEX(tbl_recyclass[Conforme_Art7_2030],MATCH(A1359,tbl_recyclass[ProductId],0))="Não","Lacuna face à meta 2030","Isento")),IF(B1359="EU-ENV-011",IF(INDEX(tbl_familias_ppwr[Metais_Pesados_Evidencia],MATCH(INDEX(tbl_recyclass[Familia_PPWR],MATCH(A1359,tbl_recyclass[ProductId],0)),tbl_familias_ppwr[ID_Familia],0))="Em falta","Lacuna","Conforme"),IF(B1359="EU-ENV-013",IF(INDEX(tbl_familias_ppwr[Declaracao_UE],MATCH(INDEX(tbl_recyclass[Familia_PPWR],MATCH(A1359,tbl_recyclass[ProductId],0)),tbl_familias_ppwr[ID_Familia],0))="Sim","Conforme","Lacuna"),G1359)))),G1359))</f>
        <v>Conforme</v>
      </c>
      <c r="I1359" s="33" t="str">
        <f t="shared" si="21"/>
        <v>Conforme</v>
      </c>
      <c r="J1359" s="26" t="s">
        <v>1244</v>
      </c>
    </row>
    <row r="1360" spans="1:10" ht="16.05" customHeight="1" x14ac:dyDescent="0.3">
      <c r="A1360" s="26" t="s">
        <v>756</v>
      </c>
      <c r="B1360" s="26" t="s">
        <v>1252</v>
      </c>
      <c r="C1360" s="33" t="str">
        <f>IFERROR(INDEX(tbl_requisitos_emb[Tema],MATCH(B1360,tbl_requisitos_emb[ID_Req],0)),"")</f>
        <v>Medicamentos de uso humano</v>
      </c>
      <c r="D1360" s="33" t="str">
        <f>IFERROR(INDEX(tbl_recyclass[Segmento],MATCH(A1360,tbl_recyclass[ProductId],0)),"")</f>
        <v>Cosmética e higiene pessoal</v>
      </c>
      <c r="E1360" s="26" t="s">
        <v>904</v>
      </c>
      <c r="F1360" s="26" t="s">
        <v>1451</v>
      </c>
      <c r="G1360" s="26" t="s">
        <v>1143</v>
      </c>
      <c r="H1360" s="33" t="str">
        <f>IF(E1360="Não","Não aplicável",IFERROR(IF(B1360="EU-ENV-002",IF(INDEX(tbl_recyclass[Conforme_PPWR_2030],MATCH(A1360,tbl_recyclass[ProductId],0))="Sim","Conforme (autoavaliação)",IF(INDEX(tbl_recyclass[Conforme_PPWR_2030],MATCH(A1360,tbl_recyclass[ProductId],0))="Não","Não conforme em 2030","Isento até 2035")),IF(B1360="EU-ENV-003",IF(INDEX(tbl_recyclass[Conforme_Art7_2030],MATCH(A1360,tbl_recyclass[ProductId],0))="Sim","Conforme (meta 2030)",IF(INDEX(tbl_recyclass[Conforme_Art7_2030],MATCH(A1360,tbl_recyclass[ProductId],0))="Não","Lacuna face à meta 2030","Isento")),IF(B1360="EU-ENV-011",IF(INDEX(tbl_familias_ppwr[Metais_Pesados_Evidencia],MATCH(INDEX(tbl_recyclass[Familia_PPWR],MATCH(A1360,tbl_recyclass[ProductId],0)),tbl_familias_ppwr[ID_Familia],0))="Em falta","Lacuna","Conforme"),IF(B1360="EU-ENV-013",IF(INDEX(tbl_familias_ppwr[Declaracao_UE],MATCH(INDEX(tbl_recyclass[Familia_PPWR],MATCH(A1360,tbl_recyclass[ProductId],0)),tbl_familias_ppwr[ID_Familia],0))="Sim","Conforme","Lacuna"),G1360)))),G1360))</f>
        <v>Não aplicável</v>
      </c>
      <c r="I1360" s="33" t="str">
        <f t="shared" si="21"/>
        <v>Não aplicável</v>
      </c>
      <c r="J1360" s="26"/>
    </row>
    <row r="1361" spans="1:10" ht="16.05" customHeight="1" x14ac:dyDescent="0.3">
      <c r="A1361" s="26" t="s">
        <v>756</v>
      </c>
      <c r="B1361" s="26" t="s">
        <v>1268</v>
      </c>
      <c r="C1361" s="33" t="str">
        <f>IFERROR(INDEX(tbl_requisitos_emb[Tema],MATCH(B1361,tbl_requisitos_emb[ID_Req],0)),"")</f>
        <v>Dispositivos de segurança</v>
      </c>
      <c r="D1361" s="33" t="str">
        <f>IFERROR(INDEX(tbl_recyclass[Segmento],MATCH(A1361,tbl_recyclass[ProductId],0)),"")</f>
        <v>Cosmética e higiene pessoal</v>
      </c>
      <c r="E1361" s="26" t="s">
        <v>904</v>
      </c>
      <c r="F1361" s="26" t="s">
        <v>1451</v>
      </c>
      <c r="G1361" s="26" t="s">
        <v>1143</v>
      </c>
      <c r="H1361" s="33" t="str">
        <f>IF(E1361="Não","Não aplicável",IFERROR(IF(B1361="EU-ENV-002",IF(INDEX(tbl_recyclass[Conforme_PPWR_2030],MATCH(A1361,tbl_recyclass[ProductId],0))="Sim","Conforme (autoavaliação)",IF(INDEX(tbl_recyclass[Conforme_PPWR_2030],MATCH(A1361,tbl_recyclass[ProductId],0))="Não","Não conforme em 2030","Isento até 2035")),IF(B1361="EU-ENV-003",IF(INDEX(tbl_recyclass[Conforme_Art7_2030],MATCH(A1361,tbl_recyclass[ProductId],0))="Sim","Conforme (meta 2030)",IF(INDEX(tbl_recyclass[Conforme_Art7_2030],MATCH(A1361,tbl_recyclass[ProductId],0))="Não","Lacuna face à meta 2030","Isento")),IF(B1361="EU-ENV-011",IF(INDEX(tbl_familias_ppwr[Metais_Pesados_Evidencia],MATCH(INDEX(tbl_recyclass[Familia_PPWR],MATCH(A1361,tbl_recyclass[ProductId],0)),tbl_familias_ppwr[ID_Familia],0))="Em falta","Lacuna","Conforme"),IF(B1361="EU-ENV-013",IF(INDEX(tbl_familias_ppwr[Declaracao_UE],MATCH(INDEX(tbl_recyclass[Familia_PPWR],MATCH(A1361,tbl_recyclass[ProductId],0)),tbl_familias_ppwr[ID_Familia],0))="Sim","Conforme","Lacuna"),G1361)))),G1361))</f>
        <v>Não aplicável</v>
      </c>
      <c r="I1361" s="33" t="str">
        <f t="shared" si="21"/>
        <v>Não aplicável</v>
      </c>
      <c r="J1361" s="26"/>
    </row>
    <row r="1362" spans="1:10" ht="16.05" customHeight="1" x14ac:dyDescent="0.3">
      <c r="A1362" s="26" t="s">
        <v>756</v>
      </c>
      <c r="B1362" s="26" t="s">
        <v>1285</v>
      </c>
      <c r="C1362" s="33" t="str">
        <f>IFERROR(INDEX(tbl_requisitos_emb[Tema],MATCH(B1362,tbl_requisitos_emb[ID_Req],0)),"")</f>
        <v>Materiais plásticos de acondicionamento primário</v>
      </c>
      <c r="D1362" s="33" t="str">
        <f>IFERROR(INDEX(tbl_recyclass[Segmento],MATCH(A1362,tbl_recyclass[ProductId],0)),"")</f>
        <v>Cosmética e higiene pessoal</v>
      </c>
      <c r="E1362" s="26" t="s">
        <v>904</v>
      </c>
      <c r="F1362" s="26" t="s">
        <v>1451</v>
      </c>
      <c r="G1362" s="26" t="s">
        <v>1143</v>
      </c>
      <c r="H1362" s="33" t="str">
        <f>IF(E1362="Não","Não aplicável",IFERROR(IF(B1362="EU-ENV-002",IF(INDEX(tbl_recyclass[Conforme_PPWR_2030],MATCH(A1362,tbl_recyclass[ProductId],0))="Sim","Conforme (autoavaliação)",IF(INDEX(tbl_recyclass[Conforme_PPWR_2030],MATCH(A1362,tbl_recyclass[ProductId],0))="Não","Não conforme em 2030","Isento até 2035")),IF(B1362="EU-ENV-003",IF(INDEX(tbl_recyclass[Conforme_Art7_2030],MATCH(A1362,tbl_recyclass[ProductId],0))="Sim","Conforme (meta 2030)",IF(INDEX(tbl_recyclass[Conforme_Art7_2030],MATCH(A1362,tbl_recyclass[ProductId],0))="Não","Lacuna face à meta 2030","Isento")),IF(B1362="EU-ENV-011",IF(INDEX(tbl_familias_ppwr[Metais_Pesados_Evidencia],MATCH(INDEX(tbl_recyclass[Familia_PPWR],MATCH(A1362,tbl_recyclass[ProductId],0)),tbl_familias_ppwr[ID_Familia],0))="Em falta","Lacuna","Conforme"),IF(B1362="EU-ENV-013",IF(INDEX(tbl_familias_ppwr[Declaracao_UE],MATCH(INDEX(tbl_recyclass[Familia_PPWR],MATCH(A1362,tbl_recyclass[ProductId],0)),tbl_familias_ppwr[ID_Familia],0))="Sim","Conforme","Lacuna"),G1362)))),G1362))</f>
        <v>Não aplicável</v>
      </c>
      <c r="I1362" s="33" t="str">
        <f t="shared" si="21"/>
        <v>Não aplicável</v>
      </c>
      <c r="J1362" s="26"/>
    </row>
    <row r="1363" spans="1:10" ht="16.05" customHeight="1" x14ac:dyDescent="0.3">
      <c r="A1363" s="26" t="s">
        <v>756</v>
      </c>
      <c r="B1363" s="26" t="s">
        <v>1293</v>
      </c>
      <c r="C1363" s="33" t="str">
        <f>IFERROR(INDEX(tbl_requisitos_emb[Tema],MATCH(B1363,tbl_requisitos_emb[ID_Req],0)),"")</f>
        <v>Isenções PPWR</v>
      </c>
      <c r="D1363" s="33" t="str">
        <f>IFERROR(INDEX(tbl_recyclass[Segmento],MATCH(A1363,tbl_recyclass[ProductId],0)),"")</f>
        <v>Cosmética e higiene pessoal</v>
      </c>
      <c r="E1363" s="26" t="s">
        <v>904</v>
      </c>
      <c r="F1363" s="26" t="s">
        <v>1451</v>
      </c>
      <c r="G1363" s="26" t="s">
        <v>1143</v>
      </c>
      <c r="H1363" s="33" t="str">
        <f>IF(E1363="Não","Não aplicável",IFERROR(IF(B1363="EU-ENV-002",IF(INDEX(tbl_recyclass[Conforme_PPWR_2030],MATCH(A1363,tbl_recyclass[ProductId],0))="Sim","Conforme (autoavaliação)",IF(INDEX(tbl_recyclass[Conforme_PPWR_2030],MATCH(A1363,tbl_recyclass[ProductId],0))="Não","Não conforme em 2030","Isento até 2035")),IF(B1363="EU-ENV-003",IF(INDEX(tbl_recyclass[Conforme_Art7_2030],MATCH(A1363,tbl_recyclass[ProductId],0))="Sim","Conforme (meta 2030)",IF(INDEX(tbl_recyclass[Conforme_Art7_2030],MATCH(A1363,tbl_recyclass[ProductId],0))="Não","Lacuna face à meta 2030","Isento")),IF(B1363="EU-ENV-011",IF(INDEX(tbl_familias_ppwr[Metais_Pesados_Evidencia],MATCH(INDEX(tbl_recyclass[Familia_PPWR],MATCH(A1363,tbl_recyclass[ProductId],0)),tbl_familias_ppwr[ID_Familia],0))="Em falta","Lacuna","Conforme"),IF(B1363="EU-ENV-013",IF(INDEX(tbl_familias_ppwr[Declaracao_UE],MATCH(INDEX(tbl_recyclass[Familia_PPWR],MATCH(A1363,tbl_recyclass[ProductId],0)),tbl_familias_ppwr[ID_Familia],0))="Sim","Conforme","Lacuna"),G1363)))),G1363))</f>
        <v>Não aplicável</v>
      </c>
      <c r="I1363" s="33" t="str">
        <f t="shared" si="21"/>
        <v>Não aplicável</v>
      </c>
      <c r="J1363" s="26"/>
    </row>
    <row r="1364" spans="1:10" ht="16.05" customHeight="1" x14ac:dyDescent="0.3">
      <c r="A1364" s="26" t="s">
        <v>756</v>
      </c>
      <c r="B1364" s="26" t="s">
        <v>1357</v>
      </c>
      <c r="C1364" s="33" t="str">
        <f>IFERROR(INDEX(tbl_requisitos_emb[Tema],MATCH(B1364,tbl_requisitos_emb[ID_Req],0)),"")</f>
        <v>Identificação de plásticos</v>
      </c>
      <c r="D1364" s="33" t="str">
        <f>IFERROR(INDEX(tbl_recyclass[Segmento],MATCH(A1364,tbl_recyclass[ProductId],0)),"")</f>
        <v>Cosmética e higiene pessoal</v>
      </c>
      <c r="E1364" s="26" t="s">
        <v>901</v>
      </c>
      <c r="F1364" s="26" t="s">
        <v>1449</v>
      </c>
      <c r="G1364" s="26" t="s">
        <v>978</v>
      </c>
      <c r="H1364" s="33" t="str">
        <f>IF(E1364="Não","Não aplicável",IFERROR(IF(B1364="EU-ENV-002",IF(INDEX(tbl_recyclass[Conforme_PPWR_2030],MATCH(A1364,tbl_recyclass[ProductId],0))="Sim","Conforme (autoavaliação)",IF(INDEX(tbl_recyclass[Conforme_PPWR_2030],MATCH(A1364,tbl_recyclass[ProductId],0))="Não","Não conforme em 2030","Isento até 2035")),IF(B1364="EU-ENV-003",IF(INDEX(tbl_recyclass[Conforme_Art7_2030],MATCH(A1364,tbl_recyclass[ProductId],0))="Sim","Conforme (meta 2030)",IF(INDEX(tbl_recyclass[Conforme_Art7_2030],MATCH(A1364,tbl_recyclass[ProductId],0))="Não","Lacuna face à meta 2030","Isento")),IF(B1364="EU-ENV-011",IF(INDEX(tbl_familias_ppwr[Metais_Pesados_Evidencia],MATCH(INDEX(tbl_recyclass[Familia_PPWR],MATCH(A1364,tbl_recyclass[ProductId],0)),tbl_familias_ppwr[ID_Familia],0))="Em falta","Lacuna","Conforme"),IF(B1364="EU-ENV-013",IF(INDEX(tbl_familias_ppwr[Declaracao_UE],MATCH(INDEX(tbl_recyclass[Familia_PPWR],MATCH(A1364,tbl_recyclass[ProductId],0)),tbl_familias_ppwr[ID_Familia],0))="Sim","Conforme","Lacuna"),G1364)))),G1364))</f>
        <v>Parcial</v>
      </c>
      <c r="I1364" s="33" t="str">
        <f t="shared" si="21"/>
        <v>Parcial</v>
      </c>
      <c r="J1364" s="26" t="s">
        <v>1362</v>
      </c>
    </row>
    <row r="1365" spans="1:10" ht="16.05" customHeight="1" x14ac:dyDescent="0.3">
      <c r="A1365" s="26" t="s">
        <v>756</v>
      </c>
      <c r="B1365" s="26" t="s">
        <v>1385</v>
      </c>
      <c r="C1365" s="33" t="str">
        <f>IFERROR(INDEX(tbl_requisitos_emb[Tema],MATCH(B1365,tbl_requisitos_emb[ID_Req],0)),"")</f>
        <v>Reciclabilidade (voluntária)</v>
      </c>
      <c r="D1365" s="33" t="str">
        <f>IFERROR(INDEX(tbl_recyclass[Segmento],MATCH(A1365,tbl_recyclass[ProductId],0)),"")</f>
        <v>Cosmética e higiene pessoal</v>
      </c>
      <c r="E1365" s="26" t="s">
        <v>901</v>
      </c>
      <c r="F1365" s="26" t="s">
        <v>1449</v>
      </c>
      <c r="G1365" s="26" t="s">
        <v>978</v>
      </c>
      <c r="H1365" s="33" t="str">
        <f>IF(E1365="Não","Não aplicável",IFERROR(IF(B1365="EU-ENV-002",IF(INDEX(tbl_recyclass[Conforme_PPWR_2030],MATCH(A1365,tbl_recyclass[ProductId],0))="Sim","Conforme (autoavaliação)",IF(INDEX(tbl_recyclass[Conforme_PPWR_2030],MATCH(A1365,tbl_recyclass[ProductId],0))="Não","Não conforme em 2030","Isento até 2035")),IF(B1365="EU-ENV-003",IF(INDEX(tbl_recyclass[Conforme_Art7_2030],MATCH(A1365,tbl_recyclass[ProductId],0))="Sim","Conforme (meta 2030)",IF(INDEX(tbl_recyclass[Conforme_Art7_2030],MATCH(A1365,tbl_recyclass[ProductId],0))="Não","Lacuna face à meta 2030","Isento")),IF(B1365="EU-ENV-011",IF(INDEX(tbl_familias_ppwr[Metais_Pesados_Evidencia],MATCH(INDEX(tbl_recyclass[Familia_PPWR],MATCH(A1365,tbl_recyclass[ProductId],0)),tbl_familias_ppwr[ID_Familia],0))="Em falta","Lacuna","Conforme"),IF(B1365="EU-ENV-013",IF(INDEX(tbl_familias_ppwr[Declaracao_UE],MATCH(INDEX(tbl_recyclass[Familia_PPWR],MATCH(A1365,tbl_recyclass[ProductId],0)),tbl_familias_ppwr[ID_Familia],0))="Sim","Conforme","Lacuna"),G1365)))),G1365))</f>
        <v>Parcial</v>
      </c>
      <c r="I1365" s="33" t="str">
        <f t="shared" si="21"/>
        <v>Parcial</v>
      </c>
      <c r="J1365" s="26" t="s">
        <v>1389</v>
      </c>
    </row>
    <row r="1366" spans="1:10" ht="16.05" customHeight="1" x14ac:dyDescent="0.3">
      <c r="A1366" s="26" t="s">
        <v>758</v>
      </c>
      <c r="B1366" s="26" t="s">
        <v>984</v>
      </c>
      <c r="C1366" s="33" t="str">
        <f>IFERROR(INDEX(tbl_requisitos_emb[Tema],MATCH(B1366,tbl_requisitos_emb[ID_Req],0)),"")</f>
        <v>Conceção para reciclagem</v>
      </c>
      <c r="D1366" s="33" t="str">
        <f>IFERROR(INDEX(tbl_recyclass[Segmento],MATCH(A1366,tbl_recyclass[ProductId],0)),"")</f>
        <v>Cosmética e higiene pessoal</v>
      </c>
      <c r="E1366" s="26" t="s">
        <v>901</v>
      </c>
      <c r="F1366" s="26" t="s">
        <v>1449</v>
      </c>
      <c r="G1366" s="26" t="s">
        <v>978</v>
      </c>
      <c r="H1366" s="33" t="str">
        <f>IF(E1366="Não","Não aplicável",IFERROR(IF(B1366="EU-ENV-002",IF(INDEX(tbl_recyclass[Conforme_PPWR_2030],MATCH(A1366,tbl_recyclass[ProductId],0))="Sim","Conforme (autoavaliação)",IF(INDEX(tbl_recyclass[Conforme_PPWR_2030],MATCH(A1366,tbl_recyclass[ProductId],0))="Não","Não conforme em 2030","Isento até 2035")),IF(B1366="EU-ENV-003",IF(INDEX(tbl_recyclass[Conforme_Art7_2030],MATCH(A1366,tbl_recyclass[ProductId],0))="Sim","Conforme (meta 2030)",IF(INDEX(tbl_recyclass[Conforme_Art7_2030],MATCH(A1366,tbl_recyclass[ProductId],0))="Não","Lacuna face à meta 2030","Isento")),IF(B1366="EU-ENV-011",IF(INDEX(tbl_familias_ppwr[Metais_Pesados_Evidencia],MATCH(INDEX(tbl_recyclass[Familia_PPWR],MATCH(A1366,tbl_recyclass[ProductId],0)),tbl_familias_ppwr[ID_Familia],0))="Em falta","Lacuna","Conforme"),IF(B1366="EU-ENV-013",IF(INDEX(tbl_familias_ppwr[Declaracao_UE],MATCH(INDEX(tbl_recyclass[Familia_PPWR],MATCH(A1366,tbl_recyclass[ProductId],0)),tbl_familias_ppwr[ID_Familia],0))="Sim","Conforme","Lacuna"),G1366)))),G1366))</f>
        <v>Conforme (autoavaliação)</v>
      </c>
      <c r="I1366" s="33" t="str">
        <f t="shared" si="21"/>
        <v>Conforme</v>
      </c>
      <c r="J1366" s="26" t="s">
        <v>991</v>
      </c>
    </row>
    <row r="1367" spans="1:10" ht="16.05" customHeight="1" x14ac:dyDescent="0.3">
      <c r="A1367" s="26" t="s">
        <v>758</v>
      </c>
      <c r="B1367" s="26" t="s">
        <v>997</v>
      </c>
      <c r="C1367" s="33" t="str">
        <f>IFERROR(INDEX(tbl_requisitos_emb[Tema],MATCH(B1367,tbl_requisitos_emb[ID_Req],0)),"")</f>
        <v>Conteúdo reciclado</v>
      </c>
      <c r="D1367" s="33" t="str">
        <f>IFERROR(INDEX(tbl_recyclass[Segmento],MATCH(A1367,tbl_recyclass[ProductId],0)),"")</f>
        <v>Cosmética e higiene pessoal</v>
      </c>
      <c r="E1367" s="26" t="s">
        <v>901</v>
      </c>
      <c r="F1367" s="26" t="s">
        <v>1449</v>
      </c>
      <c r="G1367" s="26" t="s">
        <v>978</v>
      </c>
      <c r="H1367" s="33" t="str">
        <f>IF(E1367="Não","Não aplicável",IFERROR(IF(B1367="EU-ENV-002",IF(INDEX(tbl_recyclass[Conforme_PPWR_2030],MATCH(A1367,tbl_recyclass[ProductId],0))="Sim","Conforme (autoavaliação)",IF(INDEX(tbl_recyclass[Conforme_PPWR_2030],MATCH(A1367,tbl_recyclass[ProductId],0))="Não","Não conforme em 2030","Isento até 2035")),IF(B1367="EU-ENV-003",IF(INDEX(tbl_recyclass[Conforme_Art7_2030],MATCH(A1367,tbl_recyclass[ProductId],0))="Sim","Conforme (meta 2030)",IF(INDEX(tbl_recyclass[Conforme_Art7_2030],MATCH(A1367,tbl_recyclass[ProductId],0))="Não","Lacuna face à meta 2030","Isento")),IF(B1367="EU-ENV-011",IF(INDEX(tbl_familias_ppwr[Metais_Pesados_Evidencia],MATCH(INDEX(tbl_recyclass[Familia_PPWR],MATCH(A1367,tbl_recyclass[ProductId],0)),tbl_familias_ppwr[ID_Familia],0))="Em falta","Lacuna","Conforme"),IF(B1367="EU-ENV-013",IF(INDEX(tbl_familias_ppwr[Declaracao_UE],MATCH(INDEX(tbl_recyclass[Familia_PPWR],MATCH(A1367,tbl_recyclass[ProductId],0)),tbl_familias_ppwr[ID_Familia],0))="Sim","Conforme","Lacuna"),G1367)))),G1367))</f>
        <v>Conforme (meta 2030)</v>
      </c>
      <c r="I1367" s="33" t="str">
        <f t="shared" si="21"/>
        <v>Conforme</v>
      </c>
      <c r="J1367" s="26" t="s">
        <v>1001</v>
      </c>
    </row>
    <row r="1368" spans="1:10" ht="16.05" customHeight="1" x14ac:dyDescent="0.3">
      <c r="A1368" s="26" t="s">
        <v>758</v>
      </c>
      <c r="B1368" s="26" t="s">
        <v>1007</v>
      </c>
      <c r="C1368" s="33" t="str">
        <f>IFERROR(INDEX(tbl_requisitos_emb[Tema],MATCH(B1368,tbl_requisitos_emb[ID_Req],0)),"")</f>
        <v>Minimização</v>
      </c>
      <c r="D1368" s="33" t="str">
        <f>IFERROR(INDEX(tbl_recyclass[Segmento],MATCH(A1368,tbl_recyclass[ProductId],0)),"")</f>
        <v>Cosmética e higiene pessoal</v>
      </c>
      <c r="E1368" s="26" t="s">
        <v>901</v>
      </c>
      <c r="F1368" s="26" t="s">
        <v>1449</v>
      </c>
      <c r="G1368" s="26" t="s">
        <v>978</v>
      </c>
      <c r="H1368" s="33" t="str">
        <f>IF(E1368="Não","Não aplicável",IFERROR(IF(B1368="EU-ENV-002",IF(INDEX(tbl_recyclass[Conforme_PPWR_2030],MATCH(A1368,tbl_recyclass[ProductId],0))="Sim","Conforme (autoavaliação)",IF(INDEX(tbl_recyclass[Conforme_PPWR_2030],MATCH(A1368,tbl_recyclass[ProductId],0))="Não","Não conforme em 2030","Isento até 2035")),IF(B1368="EU-ENV-003",IF(INDEX(tbl_recyclass[Conforme_Art7_2030],MATCH(A1368,tbl_recyclass[ProductId],0))="Sim","Conforme (meta 2030)",IF(INDEX(tbl_recyclass[Conforme_Art7_2030],MATCH(A1368,tbl_recyclass[ProductId],0))="Não","Lacuna face à meta 2030","Isento")),IF(B1368="EU-ENV-011",IF(INDEX(tbl_familias_ppwr[Metais_Pesados_Evidencia],MATCH(INDEX(tbl_recyclass[Familia_PPWR],MATCH(A1368,tbl_recyclass[ProductId],0)),tbl_familias_ppwr[ID_Familia],0))="Em falta","Lacuna","Conforme"),IF(B1368="EU-ENV-013",IF(INDEX(tbl_familias_ppwr[Declaracao_UE],MATCH(INDEX(tbl_recyclass[Familia_PPWR],MATCH(A1368,tbl_recyclass[ProductId],0)),tbl_familias_ppwr[ID_Familia],0))="Sim","Conforme","Lacuna"),G1368)))),G1368))</f>
        <v>Parcial</v>
      </c>
      <c r="I1368" s="33" t="str">
        <f t="shared" si="21"/>
        <v>Parcial</v>
      </c>
      <c r="J1368" s="26" t="s">
        <v>1012</v>
      </c>
    </row>
    <row r="1369" spans="1:10" ht="16.05" customHeight="1" x14ac:dyDescent="0.3">
      <c r="A1369" s="26" t="s">
        <v>758</v>
      </c>
      <c r="B1369" s="26" t="s">
        <v>1016</v>
      </c>
      <c r="C1369" s="33" t="str">
        <f>IFERROR(INDEX(tbl_requisitos_emb[Tema],MATCH(B1369,tbl_requisitos_emb[ID_Req],0)),"")</f>
        <v>Rotulagem</v>
      </c>
      <c r="D1369" s="33" t="str">
        <f>IFERROR(INDEX(tbl_recyclass[Segmento],MATCH(A1369,tbl_recyclass[ProductId],0)),"")</f>
        <v>Cosmética e higiene pessoal</v>
      </c>
      <c r="E1369" s="26" t="s">
        <v>901</v>
      </c>
      <c r="F1369" s="26" t="s">
        <v>1449</v>
      </c>
      <c r="G1369" s="26" t="s">
        <v>990</v>
      </c>
      <c r="H1369" s="33" t="str">
        <f>IF(E1369="Não","Não aplicável",IFERROR(IF(B1369="EU-ENV-002",IF(INDEX(tbl_recyclass[Conforme_PPWR_2030],MATCH(A1369,tbl_recyclass[ProductId],0))="Sim","Conforme (autoavaliação)",IF(INDEX(tbl_recyclass[Conforme_PPWR_2030],MATCH(A1369,tbl_recyclass[ProductId],0))="Não","Não conforme em 2030","Isento até 2035")),IF(B1369="EU-ENV-003",IF(INDEX(tbl_recyclass[Conforme_Art7_2030],MATCH(A1369,tbl_recyclass[ProductId],0))="Sim","Conforme (meta 2030)",IF(INDEX(tbl_recyclass[Conforme_Art7_2030],MATCH(A1369,tbl_recyclass[ProductId],0))="Não","Lacuna face à meta 2030","Isento")),IF(B1369="EU-ENV-011",IF(INDEX(tbl_familias_ppwr[Metais_Pesados_Evidencia],MATCH(INDEX(tbl_recyclass[Familia_PPWR],MATCH(A1369,tbl_recyclass[ProductId],0)),tbl_familias_ppwr[ID_Familia],0))="Em falta","Lacuna","Conforme"),IF(B1369="EU-ENV-013",IF(INDEX(tbl_familias_ppwr[Declaracao_UE],MATCH(INDEX(tbl_recyclass[Familia_PPWR],MATCH(A1369,tbl_recyclass[ProductId],0)),tbl_familias_ppwr[ID_Familia],0))="Sim","Conforme","Lacuna"),G1369)))),G1369))</f>
        <v>Futuro</v>
      </c>
      <c r="I1369" s="33" t="str">
        <f t="shared" si="21"/>
        <v>Futuro</v>
      </c>
      <c r="J1369" s="26" t="s">
        <v>1021</v>
      </c>
    </row>
    <row r="1370" spans="1:10" ht="16.05" customHeight="1" x14ac:dyDescent="0.3">
      <c r="A1370" s="26" t="s">
        <v>758</v>
      </c>
      <c r="B1370" s="26" t="s">
        <v>1038</v>
      </c>
      <c r="C1370" s="33" t="str">
        <f>IFERROR(INDEX(tbl_requisitos_emb[Tema],MATCH(B1370,tbl_requisitos_emb[ID_Req],0)),"")</f>
        <v>Plásticos de utilização única</v>
      </c>
      <c r="D1370" s="33" t="str">
        <f>IFERROR(INDEX(tbl_recyclass[Segmento],MATCH(A1370,tbl_recyclass[ProductId],0)),"")</f>
        <v>Cosmética e higiene pessoal</v>
      </c>
      <c r="E1370" s="26" t="s">
        <v>904</v>
      </c>
      <c r="F1370" s="26" t="s">
        <v>1450</v>
      </c>
      <c r="G1370" s="26" t="s">
        <v>1143</v>
      </c>
      <c r="H1370" s="33" t="str">
        <f>IF(E1370="Não","Não aplicável",IFERROR(IF(B1370="EU-ENV-002",IF(INDEX(tbl_recyclass[Conforme_PPWR_2030],MATCH(A1370,tbl_recyclass[ProductId],0))="Sim","Conforme (autoavaliação)",IF(INDEX(tbl_recyclass[Conforme_PPWR_2030],MATCH(A1370,tbl_recyclass[ProductId],0))="Não","Não conforme em 2030","Isento até 2035")),IF(B1370="EU-ENV-003",IF(INDEX(tbl_recyclass[Conforme_Art7_2030],MATCH(A1370,tbl_recyclass[ProductId],0))="Sim","Conforme (meta 2030)",IF(INDEX(tbl_recyclass[Conforme_Art7_2030],MATCH(A1370,tbl_recyclass[ProductId],0))="Não","Lacuna face à meta 2030","Isento")),IF(B1370="EU-ENV-011",IF(INDEX(tbl_familias_ppwr[Metais_Pesados_Evidencia],MATCH(INDEX(tbl_recyclass[Familia_PPWR],MATCH(A1370,tbl_recyclass[ProductId],0)),tbl_familias_ppwr[ID_Familia],0))="Em falta","Lacuna","Conforme"),IF(B1370="EU-ENV-013",IF(INDEX(tbl_familias_ppwr[Declaracao_UE],MATCH(INDEX(tbl_recyclass[Familia_PPWR],MATCH(A1370,tbl_recyclass[ProductId],0)),tbl_familias_ppwr[ID_Familia],0))="Sim","Conforme","Lacuna"),G1370)))),G1370))</f>
        <v>Não aplicável</v>
      </c>
      <c r="I1370" s="33" t="str">
        <f t="shared" si="21"/>
        <v>Não aplicável</v>
      </c>
      <c r="J1370" s="26"/>
    </row>
    <row r="1371" spans="1:10" ht="16.05" customHeight="1" x14ac:dyDescent="0.3">
      <c r="A1371" s="26" t="s">
        <v>758</v>
      </c>
      <c r="B1371" s="26" t="s">
        <v>1078</v>
      </c>
      <c r="C1371" s="33" t="str">
        <f>IFERROR(INDEX(tbl_requisitos_emb[Tema],MATCH(B1371,tbl_requisitos_emb[ID_Req],0)),"")</f>
        <v>Reciclado à escala</v>
      </c>
      <c r="D1371" s="33" t="str">
        <f>IFERROR(INDEX(tbl_recyclass[Segmento],MATCH(A1371,tbl_recyclass[ProductId],0)),"")</f>
        <v>Cosmética e higiene pessoal</v>
      </c>
      <c r="E1371" s="26" t="s">
        <v>901</v>
      </c>
      <c r="F1371" s="26" t="s">
        <v>1449</v>
      </c>
      <c r="G1371" s="26" t="s">
        <v>990</v>
      </c>
      <c r="H1371" s="33" t="str">
        <f>IF(E1371="Não","Não aplicável",IFERROR(IF(B1371="EU-ENV-002",IF(INDEX(tbl_recyclass[Conforme_PPWR_2030],MATCH(A1371,tbl_recyclass[ProductId],0))="Sim","Conforme (autoavaliação)",IF(INDEX(tbl_recyclass[Conforme_PPWR_2030],MATCH(A1371,tbl_recyclass[ProductId],0))="Não","Não conforme em 2030","Isento até 2035")),IF(B1371="EU-ENV-003",IF(INDEX(tbl_recyclass[Conforme_Art7_2030],MATCH(A1371,tbl_recyclass[ProductId],0))="Sim","Conforme (meta 2030)",IF(INDEX(tbl_recyclass[Conforme_Art7_2030],MATCH(A1371,tbl_recyclass[ProductId],0))="Não","Lacuna face à meta 2030","Isento")),IF(B1371="EU-ENV-011",IF(INDEX(tbl_familias_ppwr[Metais_Pesados_Evidencia],MATCH(INDEX(tbl_recyclass[Familia_PPWR],MATCH(A1371,tbl_recyclass[ProductId],0)),tbl_familias_ppwr[ID_Familia],0))="Em falta","Lacuna","Conforme"),IF(B1371="EU-ENV-013",IF(INDEX(tbl_familias_ppwr[Declaracao_UE],MATCH(INDEX(tbl_recyclass[Familia_PPWR],MATCH(A1371,tbl_recyclass[ProductId],0)),tbl_familias_ppwr[ID_Familia],0))="Sim","Conforme","Lacuna"),G1371)))),G1371))</f>
        <v>Futuro</v>
      </c>
      <c r="I1371" s="33" t="str">
        <f t="shared" si="21"/>
        <v>Futuro</v>
      </c>
      <c r="J1371" s="26" t="s">
        <v>1082</v>
      </c>
    </row>
    <row r="1372" spans="1:10" ht="16.05" customHeight="1" x14ac:dyDescent="0.3">
      <c r="A1372" s="26" t="s">
        <v>758</v>
      </c>
      <c r="B1372" s="26" t="s">
        <v>1086</v>
      </c>
      <c r="C1372" s="33" t="str">
        <f>IFERROR(INDEX(tbl_requisitos_emb[Tema],MATCH(B1372,tbl_requisitos_emb[ID_Req],0)),"")</f>
        <v>Metais pesados</v>
      </c>
      <c r="D1372" s="33" t="str">
        <f>IFERROR(INDEX(tbl_recyclass[Segmento],MATCH(A1372,tbl_recyclass[ProductId],0)),"")</f>
        <v>Cosmética e higiene pessoal</v>
      </c>
      <c r="E1372" s="26" t="s">
        <v>901</v>
      </c>
      <c r="F1372" s="26" t="s">
        <v>1449</v>
      </c>
      <c r="G1372" s="26" t="s">
        <v>978</v>
      </c>
      <c r="H1372" s="33" t="str">
        <f>IF(E1372="Não","Não aplicável",IFERROR(IF(B1372="EU-ENV-002",IF(INDEX(tbl_recyclass[Conforme_PPWR_2030],MATCH(A1372,tbl_recyclass[ProductId],0))="Sim","Conforme (autoavaliação)",IF(INDEX(tbl_recyclass[Conforme_PPWR_2030],MATCH(A1372,tbl_recyclass[ProductId],0))="Não","Não conforme em 2030","Isento até 2035")),IF(B1372="EU-ENV-003",IF(INDEX(tbl_recyclass[Conforme_Art7_2030],MATCH(A1372,tbl_recyclass[ProductId],0))="Sim","Conforme (meta 2030)",IF(INDEX(tbl_recyclass[Conforme_Art7_2030],MATCH(A1372,tbl_recyclass[ProductId],0))="Não","Lacuna face à meta 2030","Isento")),IF(B1372="EU-ENV-011",IF(INDEX(tbl_familias_ppwr[Metais_Pesados_Evidencia],MATCH(INDEX(tbl_recyclass[Familia_PPWR],MATCH(A1372,tbl_recyclass[ProductId],0)),tbl_familias_ppwr[ID_Familia],0))="Em falta","Lacuna","Conforme"),IF(B1372="EU-ENV-013",IF(INDEX(tbl_familias_ppwr[Declaracao_UE],MATCH(INDEX(tbl_recyclass[Familia_PPWR],MATCH(A1372,tbl_recyclass[ProductId],0)),tbl_familias_ppwr[ID_Familia],0))="Sim","Conforme","Lacuna"),G1372)))),G1372))</f>
        <v>Lacuna</v>
      </c>
      <c r="I1372" s="33" t="str">
        <f t="shared" si="21"/>
        <v>Lacuna</v>
      </c>
      <c r="J1372" s="26" t="s">
        <v>1090</v>
      </c>
    </row>
    <row r="1373" spans="1:10" ht="16.05" customHeight="1" x14ac:dyDescent="0.3">
      <c r="A1373" s="26" t="s">
        <v>758</v>
      </c>
      <c r="B1373" s="26" t="s">
        <v>1094</v>
      </c>
      <c r="C1373" s="33" t="str">
        <f>IFERROR(INDEX(tbl_requisitos_emb[Tema],MATCH(B1373,tbl_requisitos_emb[ID_Req],0)),"")</f>
        <v>PFAS</v>
      </c>
      <c r="D1373" s="33" t="str">
        <f>IFERROR(INDEX(tbl_recyclass[Segmento],MATCH(A1373,tbl_recyclass[ProductId],0)),"")</f>
        <v>Cosmética e higiene pessoal</v>
      </c>
      <c r="E1373" s="26" t="s">
        <v>904</v>
      </c>
      <c r="F1373" s="26" t="s">
        <v>1450</v>
      </c>
      <c r="G1373" s="26" t="s">
        <v>1143</v>
      </c>
      <c r="H1373" s="33" t="str">
        <f>IF(E1373="Não","Não aplicável",IFERROR(IF(B1373="EU-ENV-002",IF(INDEX(tbl_recyclass[Conforme_PPWR_2030],MATCH(A1373,tbl_recyclass[ProductId],0))="Sim","Conforme (autoavaliação)",IF(INDEX(tbl_recyclass[Conforme_PPWR_2030],MATCH(A1373,tbl_recyclass[ProductId],0))="Não","Não conforme em 2030","Isento até 2035")),IF(B1373="EU-ENV-003",IF(INDEX(tbl_recyclass[Conforme_Art7_2030],MATCH(A1373,tbl_recyclass[ProductId],0))="Sim","Conforme (meta 2030)",IF(INDEX(tbl_recyclass[Conforme_Art7_2030],MATCH(A1373,tbl_recyclass[ProductId],0))="Não","Lacuna face à meta 2030","Isento")),IF(B1373="EU-ENV-011",IF(INDEX(tbl_familias_ppwr[Metais_Pesados_Evidencia],MATCH(INDEX(tbl_recyclass[Familia_PPWR],MATCH(A1373,tbl_recyclass[ProductId],0)),tbl_familias_ppwr[ID_Familia],0))="Em falta","Lacuna","Conforme"),IF(B1373="EU-ENV-013",IF(INDEX(tbl_familias_ppwr[Declaracao_UE],MATCH(INDEX(tbl_recyclass[Familia_PPWR],MATCH(A1373,tbl_recyclass[ProductId],0)),tbl_familias_ppwr[ID_Familia],0))="Sim","Conforme","Lacuna"),G1373)))),G1373))</f>
        <v>Não aplicável</v>
      </c>
      <c r="I1373" s="33" t="str">
        <f t="shared" si="21"/>
        <v>Não aplicável</v>
      </c>
      <c r="J1373" s="26"/>
    </row>
    <row r="1374" spans="1:10" ht="16.05" customHeight="1" x14ac:dyDescent="0.3">
      <c r="A1374" s="26" t="s">
        <v>758</v>
      </c>
      <c r="B1374" s="26" t="s">
        <v>1102</v>
      </c>
      <c r="C1374" s="33" t="str">
        <f>IFERROR(INDEX(tbl_requisitos_emb[Tema],MATCH(B1374,tbl_requisitos_emb[ID_Req],0)),"")</f>
        <v>Documentação técnica e declaração UE</v>
      </c>
      <c r="D1374" s="33" t="str">
        <f>IFERROR(INDEX(tbl_recyclass[Segmento],MATCH(A1374,tbl_recyclass[ProductId],0)),"")</f>
        <v>Cosmética e higiene pessoal</v>
      </c>
      <c r="E1374" s="26" t="s">
        <v>901</v>
      </c>
      <c r="F1374" s="26" t="s">
        <v>1449</v>
      </c>
      <c r="G1374" s="26" t="s">
        <v>978</v>
      </c>
      <c r="H1374" s="33" t="str">
        <f>IF(E1374="Não","Não aplicável",IFERROR(IF(B1374="EU-ENV-002",IF(INDEX(tbl_recyclass[Conforme_PPWR_2030],MATCH(A1374,tbl_recyclass[ProductId],0))="Sim","Conforme (autoavaliação)",IF(INDEX(tbl_recyclass[Conforme_PPWR_2030],MATCH(A1374,tbl_recyclass[ProductId],0))="Não","Não conforme em 2030","Isento até 2035")),IF(B1374="EU-ENV-003",IF(INDEX(tbl_recyclass[Conforme_Art7_2030],MATCH(A1374,tbl_recyclass[ProductId],0))="Sim","Conforme (meta 2030)",IF(INDEX(tbl_recyclass[Conforme_Art7_2030],MATCH(A1374,tbl_recyclass[ProductId],0))="Não","Lacuna face à meta 2030","Isento")),IF(B1374="EU-ENV-011",IF(INDEX(tbl_familias_ppwr[Metais_Pesados_Evidencia],MATCH(INDEX(tbl_recyclass[Familia_PPWR],MATCH(A1374,tbl_recyclass[ProductId],0)),tbl_familias_ppwr[ID_Familia],0))="Em falta","Lacuna","Conforme"),IF(B1374="EU-ENV-013",IF(INDEX(tbl_familias_ppwr[Declaracao_UE],MATCH(INDEX(tbl_recyclass[Familia_PPWR],MATCH(A1374,tbl_recyclass[ProductId],0)),tbl_familias_ppwr[ID_Familia],0))="Sim","Conforme","Lacuna"),G1374)))),G1374))</f>
        <v>Conforme</v>
      </c>
      <c r="I1374" s="33" t="str">
        <f t="shared" si="21"/>
        <v>Conforme</v>
      </c>
      <c r="J1374" s="26" t="s">
        <v>1106</v>
      </c>
    </row>
    <row r="1375" spans="1:10" ht="16.05" customHeight="1" x14ac:dyDescent="0.3">
      <c r="A1375" s="26" t="s">
        <v>758</v>
      </c>
      <c r="B1375" s="26" t="s">
        <v>1161</v>
      </c>
      <c r="C1375" s="33" t="str">
        <f>IFERROR(INDEX(tbl_requisitos_emb[Tema],MATCH(B1375,tbl_requisitos_emb[ID_Req],0)),"")</f>
        <v>Materiais em contacto com alimentos</v>
      </c>
      <c r="D1375" s="33" t="str">
        <f>IFERROR(INDEX(tbl_recyclass[Segmento],MATCH(A1375,tbl_recyclass[ProductId],0)),"")</f>
        <v>Cosmética e higiene pessoal</v>
      </c>
      <c r="E1375" s="26" t="s">
        <v>904</v>
      </c>
      <c r="F1375" s="26" t="s">
        <v>1450</v>
      </c>
      <c r="G1375" s="26" t="s">
        <v>1143</v>
      </c>
      <c r="H1375" s="33" t="str">
        <f>IF(E1375="Não","Não aplicável",IFERROR(IF(B1375="EU-ENV-002",IF(INDEX(tbl_recyclass[Conforme_PPWR_2030],MATCH(A1375,tbl_recyclass[ProductId],0))="Sim","Conforme (autoavaliação)",IF(INDEX(tbl_recyclass[Conforme_PPWR_2030],MATCH(A1375,tbl_recyclass[ProductId],0))="Não","Não conforme em 2030","Isento até 2035")),IF(B1375="EU-ENV-003",IF(INDEX(tbl_recyclass[Conforme_Art7_2030],MATCH(A1375,tbl_recyclass[ProductId],0))="Sim","Conforme (meta 2030)",IF(INDEX(tbl_recyclass[Conforme_Art7_2030],MATCH(A1375,tbl_recyclass[ProductId],0))="Não","Lacuna face à meta 2030","Isento")),IF(B1375="EU-ENV-011",IF(INDEX(tbl_familias_ppwr[Metais_Pesados_Evidencia],MATCH(INDEX(tbl_recyclass[Familia_PPWR],MATCH(A1375,tbl_recyclass[ProductId],0)),tbl_familias_ppwr[ID_Familia],0))="Em falta","Lacuna","Conforme"),IF(B1375="EU-ENV-013",IF(INDEX(tbl_familias_ppwr[Declaracao_UE],MATCH(INDEX(tbl_recyclass[Familia_PPWR],MATCH(A1375,tbl_recyclass[ProductId],0)),tbl_familias_ppwr[ID_Familia],0))="Sim","Conforme","Lacuna"),G1375)))),G1375))</f>
        <v>Não aplicável</v>
      </c>
      <c r="I1375" s="33" t="str">
        <f t="shared" si="21"/>
        <v>Não aplicável</v>
      </c>
      <c r="J1375" s="26"/>
    </row>
    <row r="1376" spans="1:10" ht="16.05" customHeight="1" x14ac:dyDescent="0.3">
      <c r="A1376" s="26" t="s">
        <v>758</v>
      </c>
      <c r="B1376" s="26" t="s">
        <v>1170</v>
      </c>
      <c r="C1376" s="33" t="str">
        <f>IFERROR(INDEX(tbl_requisitos_emb[Tema],MATCH(B1376,tbl_requisitos_emb[ID_Req],0)),"")</f>
        <v>Boas práticas de fabrico FCM</v>
      </c>
      <c r="D1376" s="33" t="str">
        <f>IFERROR(INDEX(tbl_recyclass[Segmento],MATCH(A1376,tbl_recyclass[ProductId],0)),"")</f>
        <v>Cosmética e higiene pessoal</v>
      </c>
      <c r="E1376" s="26" t="s">
        <v>904</v>
      </c>
      <c r="F1376" s="26" t="s">
        <v>1450</v>
      </c>
      <c r="G1376" s="26" t="s">
        <v>1143</v>
      </c>
      <c r="H1376" s="33" t="str">
        <f>IF(E1376="Não","Não aplicável",IFERROR(IF(B1376="EU-ENV-002",IF(INDEX(tbl_recyclass[Conforme_PPWR_2030],MATCH(A1376,tbl_recyclass[ProductId],0))="Sim","Conforme (autoavaliação)",IF(INDEX(tbl_recyclass[Conforme_PPWR_2030],MATCH(A1376,tbl_recyclass[ProductId],0))="Não","Não conforme em 2030","Isento até 2035")),IF(B1376="EU-ENV-003",IF(INDEX(tbl_recyclass[Conforme_Art7_2030],MATCH(A1376,tbl_recyclass[ProductId],0))="Sim","Conforme (meta 2030)",IF(INDEX(tbl_recyclass[Conforme_Art7_2030],MATCH(A1376,tbl_recyclass[ProductId],0))="Não","Lacuna face à meta 2030","Isento")),IF(B1376="EU-ENV-011",IF(INDEX(tbl_familias_ppwr[Metais_Pesados_Evidencia],MATCH(INDEX(tbl_recyclass[Familia_PPWR],MATCH(A1376,tbl_recyclass[ProductId],0)),tbl_familias_ppwr[ID_Familia],0))="Em falta","Lacuna","Conforme"),IF(B1376="EU-ENV-013",IF(INDEX(tbl_familias_ppwr[Declaracao_UE],MATCH(INDEX(tbl_recyclass[Familia_PPWR],MATCH(A1376,tbl_recyclass[ProductId],0)),tbl_familias_ppwr[ID_Familia],0))="Sim","Conforme","Lacuna"),G1376)))),G1376))</f>
        <v>Não aplicável</v>
      </c>
      <c r="I1376" s="33" t="str">
        <f t="shared" si="21"/>
        <v>Não aplicável</v>
      </c>
      <c r="J1376" s="26"/>
    </row>
    <row r="1377" spans="1:10" ht="16.05" customHeight="1" x14ac:dyDescent="0.3">
      <c r="A1377" s="26" t="s">
        <v>758</v>
      </c>
      <c r="B1377" s="26" t="s">
        <v>1179</v>
      </c>
      <c r="C1377" s="33" t="str">
        <f>IFERROR(INDEX(tbl_requisitos_emb[Tema],MATCH(B1377,tbl_requisitos_emb[ID_Req],0)),"")</f>
        <v>Bisfenol A e bisfenóis perigosos</v>
      </c>
      <c r="D1377" s="33" t="str">
        <f>IFERROR(INDEX(tbl_recyclass[Segmento],MATCH(A1377,tbl_recyclass[ProductId],0)),"")</f>
        <v>Cosmética e higiene pessoal</v>
      </c>
      <c r="E1377" s="26" t="s">
        <v>904</v>
      </c>
      <c r="F1377" s="26" t="s">
        <v>1450</v>
      </c>
      <c r="G1377" s="26" t="s">
        <v>1143</v>
      </c>
      <c r="H1377" s="33" t="str">
        <f>IF(E1377="Não","Não aplicável",IFERROR(IF(B1377="EU-ENV-002",IF(INDEX(tbl_recyclass[Conforme_PPWR_2030],MATCH(A1377,tbl_recyclass[ProductId],0))="Sim","Conforme (autoavaliação)",IF(INDEX(tbl_recyclass[Conforme_PPWR_2030],MATCH(A1377,tbl_recyclass[ProductId],0))="Não","Não conforme em 2030","Isento até 2035")),IF(B1377="EU-ENV-003",IF(INDEX(tbl_recyclass[Conforme_Art7_2030],MATCH(A1377,tbl_recyclass[ProductId],0))="Sim","Conforme (meta 2030)",IF(INDEX(tbl_recyclass[Conforme_Art7_2030],MATCH(A1377,tbl_recyclass[ProductId],0))="Não","Lacuna face à meta 2030","Isento")),IF(B1377="EU-ENV-011",IF(INDEX(tbl_familias_ppwr[Metais_Pesados_Evidencia],MATCH(INDEX(tbl_recyclass[Familia_PPWR],MATCH(A1377,tbl_recyclass[ProductId],0)),tbl_familias_ppwr[ID_Familia],0))="Em falta","Lacuna","Conforme"),IF(B1377="EU-ENV-013",IF(INDEX(tbl_familias_ppwr[Declaracao_UE],MATCH(INDEX(tbl_recyclass[Familia_PPWR],MATCH(A1377,tbl_recyclass[ProductId],0)),tbl_familias_ppwr[ID_Familia],0))="Sim","Conforme","Lacuna"),G1377)))),G1377))</f>
        <v>Não aplicável</v>
      </c>
      <c r="I1377" s="33" t="str">
        <f t="shared" si="21"/>
        <v>Não aplicável</v>
      </c>
      <c r="J1377" s="26"/>
    </row>
    <row r="1378" spans="1:10" ht="16.05" customHeight="1" x14ac:dyDescent="0.3">
      <c r="A1378" s="26" t="s">
        <v>758</v>
      </c>
      <c r="B1378" s="26" t="s">
        <v>1188</v>
      </c>
      <c r="C1378" s="33" t="str">
        <f>IFERROR(INDEX(tbl_requisitos_emb[Tema],MATCH(B1378,tbl_requisitos_emb[ID_Req],0)),"")</f>
        <v>Plásticos em contacto com alimentos</v>
      </c>
      <c r="D1378" s="33" t="str">
        <f>IFERROR(INDEX(tbl_recyclass[Segmento],MATCH(A1378,tbl_recyclass[ProductId],0)),"")</f>
        <v>Cosmética e higiene pessoal</v>
      </c>
      <c r="E1378" s="26" t="s">
        <v>904</v>
      </c>
      <c r="F1378" s="26" t="s">
        <v>1450</v>
      </c>
      <c r="G1378" s="26" t="s">
        <v>1143</v>
      </c>
      <c r="H1378" s="33" t="str">
        <f>IF(E1378="Não","Não aplicável",IFERROR(IF(B1378="EU-ENV-002",IF(INDEX(tbl_recyclass[Conforme_PPWR_2030],MATCH(A1378,tbl_recyclass[ProductId],0))="Sim","Conforme (autoavaliação)",IF(INDEX(tbl_recyclass[Conforme_PPWR_2030],MATCH(A1378,tbl_recyclass[ProductId],0))="Não","Não conforme em 2030","Isento até 2035")),IF(B1378="EU-ENV-003",IF(INDEX(tbl_recyclass[Conforme_Art7_2030],MATCH(A1378,tbl_recyclass[ProductId],0))="Sim","Conforme (meta 2030)",IF(INDEX(tbl_recyclass[Conforme_Art7_2030],MATCH(A1378,tbl_recyclass[ProductId],0))="Não","Lacuna face à meta 2030","Isento")),IF(B1378="EU-ENV-011",IF(INDEX(tbl_familias_ppwr[Metais_Pesados_Evidencia],MATCH(INDEX(tbl_recyclass[Familia_PPWR],MATCH(A1378,tbl_recyclass[ProductId],0)),tbl_familias_ppwr[ID_Familia],0))="Em falta","Lacuna","Conforme"),IF(B1378="EU-ENV-013",IF(INDEX(tbl_familias_ppwr[Declaracao_UE],MATCH(INDEX(tbl_recyclass[Familia_PPWR],MATCH(A1378,tbl_recyclass[ProductId],0)),tbl_familias_ppwr[ID_Familia],0))="Sim","Conforme","Lacuna"),G1378)))),G1378))</f>
        <v>Não aplicável</v>
      </c>
      <c r="I1378" s="33" t="str">
        <f t="shared" si="21"/>
        <v>Não aplicável</v>
      </c>
      <c r="J1378" s="26"/>
    </row>
    <row r="1379" spans="1:10" ht="16.05" customHeight="1" x14ac:dyDescent="0.3">
      <c r="A1379" s="26" t="s">
        <v>758</v>
      </c>
      <c r="B1379" s="26" t="s">
        <v>1212</v>
      </c>
      <c r="C1379" s="33" t="str">
        <f>IFERROR(INDEX(tbl_requisitos_emb[Tema],MATCH(B1379,tbl_requisitos_emb[ID_Req],0)),"")</f>
        <v>Segurança do produto cosmético</v>
      </c>
      <c r="D1379" s="33" t="str">
        <f>IFERROR(INDEX(tbl_recyclass[Segmento],MATCH(A1379,tbl_recyclass[ProductId],0)),"")</f>
        <v>Cosmética e higiene pessoal</v>
      </c>
      <c r="E1379" s="26" t="s">
        <v>901</v>
      </c>
      <c r="F1379" s="26" t="s">
        <v>1449</v>
      </c>
      <c r="G1379" s="26" t="s">
        <v>1033</v>
      </c>
      <c r="H1379" s="33" t="str">
        <f>IF(E1379="Não","Não aplicável",IFERROR(IF(B1379="EU-ENV-002",IF(INDEX(tbl_recyclass[Conforme_PPWR_2030],MATCH(A1379,tbl_recyclass[ProductId],0))="Sim","Conforme (autoavaliação)",IF(INDEX(tbl_recyclass[Conforme_PPWR_2030],MATCH(A1379,tbl_recyclass[ProductId],0))="Não","Não conforme em 2030","Isento até 2035")),IF(B1379="EU-ENV-003",IF(INDEX(tbl_recyclass[Conforme_Art7_2030],MATCH(A1379,tbl_recyclass[ProductId],0))="Sim","Conforme (meta 2030)",IF(INDEX(tbl_recyclass[Conforme_Art7_2030],MATCH(A1379,tbl_recyclass[ProductId],0))="Não","Lacuna face à meta 2030","Isento")),IF(B1379="EU-ENV-011",IF(INDEX(tbl_familias_ppwr[Metais_Pesados_Evidencia],MATCH(INDEX(tbl_recyclass[Familia_PPWR],MATCH(A1379,tbl_recyclass[ProductId],0)),tbl_familias_ppwr[ID_Familia],0))="Em falta","Lacuna","Conforme"),IF(B1379="EU-ENV-013",IF(INDEX(tbl_familias_ppwr[Declaracao_UE],MATCH(INDEX(tbl_recyclass[Familia_PPWR],MATCH(A1379,tbl_recyclass[ProductId],0)),tbl_familias_ppwr[ID_Familia],0))="Sim","Conforme","Lacuna"),G1379)))),G1379))</f>
        <v>Conforme</v>
      </c>
      <c r="I1379" s="33" t="str">
        <f t="shared" si="21"/>
        <v>Conforme</v>
      </c>
      <c r="J1379" s="26" t="s">
        <v>1221</v>
      </c>
    </row>
    <row r="1380" spans="1:10" ht="16.05" customHeight="1" x14ac:dyDescent="0.3">
      <c r="A1380" s="26" t="s">
        <v>758</v>
      </c>
      <c r="B1380" s="26" t="s">
        <v>1224</v>
      </c>
      <c r="C1380" s="33" t="str">
        <f>IFERROR(INDEX(tbl_requisitos_emb[Tema],MATCH(B1380,tbl_requisitos_emb[ID_Req],0)),"")</f>
        <v>Materiais e impurezas</v>
      </c>
      <c r="D1380" s="33" t="str">
        <f>IFERROR(INDEX(tbl_recyclass[Segmento],MATCH(A1380,tbl_recyclass[ProductId],0)),"")</f>
        <v>Cosmética e higiene pessoal</v>
      </c>
      <c r="E1380" s="26" t="s">
        <v>901</v>
      </c>
      <c r="F1380" s="26" t="s">
        <v>1449</v>
      </c>
      <c r="G1380" s="26" t="s">
        <v>978</v>
      </c>
      <c r="H1380" s="33" t="str">
        <f>IF(E1380="Não","Não aplicável",IFERROR(IF(B1380="EU-ENV-002",IF(INDEX(tbl_recyclass[Conforme_PPWR_2030],MATCH(A1380,tbl_recyclass[ProductId],0))="Sim","Conforme (autoavaliação)",IF(INDEX(tbl_recyclass[Conforme_PPWR_2030],MATCH(A1380,tbl_recyclass[ProductId],0))="Não","Não conforme em 2030","Isento até 2035")),IF(B1380="EU-ENV-003",IF(INDEX(tbl_recyclass[Conforme_Art7_2030],MATCH(A1380,tbl_recyclass[ProductId],0))="Sim","Conforme (meta 2030)",IF(INDEX(tbl_recyclass[Conforme_Art7_2030],MATCH(A1380,tbl_recyclass[ProductId],0))="Não","Lacuna face à meta 2030","Isento")),IF(B1380="EU-ENV-011",IF(INDEX(tbl_familias_ppwr[Metais_Pesados_Evidencia],MATCH(INDEX(tbl_recyclass[Familia_PPWR],MATCH(A1380,tbl_recyclass[ProductId],0)),tbl_familias_ppwr[ID_Familia],0))="Em falta","Lacuna","Conforme"),IF(B1380="EU-ENV-013",IF(INDEX(tbl_familias_ppwr[Declaracao_UE],MATCH(INDEX(tbl_recyclass[Familia_PPWR],MATCH(A1380,tbl_recyclass[ProductId],0)),tbl_familias_ppwr[ID_Familia],0))="Sim","Conforme","Lacuna"),G1380)))),G1380))</f>
        <v>Parcial</v>
      </c>
      <c r="I1380" s="33" t="str">
        <f t="shared" si="21"/>
        <v>Parcial</v>
      </c>
      <c r="J1380" s="26" t="s">
        <v>1228</v>
      </c>
    </row>
    <row r="1381" spans="1:10" ht="16.05" customHeight="1" x14ac:dyDescent="0.3">
      <c r="A1381" s="26" t="s">
        <v>758</v>
      </c>
      <c r="B1381" s="26" t="s">
        <v>1240</v>
      </c>
      <c r="C1381" s="33" t="str">
        <f>IFERROR(INDEX(tbl_requisitos_emb[Tema],MATCH(B1381,tbl_requisitos_emb[ID_Req],0)),"")</f>
        <v>Compatibilidade embalagem–produto</v>
      </c>
      <c r="D1381" s="33" t="str">
        <f>IFERROR(INDEX(tbl_recyclass[Segmento],MATCH(A1381,tbl_recyclass[ProductId],0)),"")</f>
        <v>Cosmética e higiene pessoal</v>
      </c>
      <c r="E1381" s="26" t="s">
        <v>901</v>
      </c>
      <c r="F1381" s="26" t="s">
        <v>1449</v>
      </c>
      <c r="G1381" s="26" t="s">
        <v>1033</v>
      </c>
      <c r="H1381" s="33" t="str">
        <f>IF(E1381="Não","Não aplicável",IFERROR(IF(B1381="EU-ENV-002",IF(INDEX(tbl_recyclass[Conforme_PPWR_2030],MATCH(A1381,tbl_recyclass[ProductId],0))="Sim","Conforme (autoavaliação)",IF(INDEX(tbl_recyclass[Conforme_PPWR_2030],MATCH(A1381,tbl_recyclass[ProductId],0))="Não","Não conforme em 2030","Isento até 2035")),IF(B1381="EU-ENV-003",IF(INDEX(tbl_recyclass[Conforme_Art7_2030],MATCH(A1381,tbl_recyclass[ProductId],0))="Sim","Conforme (meta 2030)",IF(INDEX(tbl_recyclass[Conforme_Art7_2030],MATCH(A1381,tbl_recyclass[ProductId],0))="Não","Lacuna face à meta 2030","Isento")),IF(B1381="EU-ENV-011",IF(INDEX(tbl_familias_ppwr[Metais_Pesados_Evidencia],MATCH(INDEX(tbl_recyclass[Familia_PPWR],MATCH(A1381,tbl_recyclass[ProductId],0)),tbl_familias_ppwr[ID_Familia],0))="Em falta","Lacuna","Conforme"),IF(B1381="EU-ENV-013",IF(INDEX(tbl_familias_ppwr[Declaracao_UE],MATCH(INDEX(tbl_recyclass[Familia_PPWR],MATCH(A1381,tbl_recyclass[ProductId],0)),tbl_familias_ppwr[ID_Familia],0))="Sim","Conforme","Lacuna"),G1381)))),G1381))</f>
        <v>Conforme</v>
      </c>
      <c r="I1381" s="33" t="str">
        <f t="shared" si="21"/>
        <v>Conforme</v>
      </c>
      <c r="J1381" s="26" t="s">
        <v>1244</v>
      </c>
    </row>
    <row r="1382" spans="1:10" ht="16.05" customHeight="1" x14ac:dyDescent="0.3">
      <c r="A1382" s="26" t="s">
        <v>758</v>
      </c>
      <c r="B1382" s="26" t="s">
        <v>1252</v>
      </c>
      <c r="C1382" s="33" t="str">
        <f>IFERROR(INDEX(tbl_requisitos_emb[Tema],MATCH(B1382,tbl_requisitos_emb[ID_Req],0)),"")</f>
        <v>Medicamentos de uso humano</v>
      </c>
      <c r="D1382" s="33" t="str">
        <f>IFERROR(INDEX(tbl_recyclass[Segmento],MATCH(A1382,tbl_recyclass[ProductId],0)),"")</f>
        <v>Cosmética e higiene pessoal</v>
      </c>
      <c r="E1382" s="26" t="s">
        <v>904</v>
      </c>
      <c r="F1382" s="26" t="s">
        <v>1451</v>
      </c>
      <c r="G1382" s="26" t="s">
        <v>1143</v>
      </c>
      <c r="H1382" s="33" t="str">
        <f>IF(E1382="Não","Não aplicável",IFERROR(IF(B1382="EU-ENV-002",IF(INDEX(tbl_recyclass[Conforme_PPWR_2030],MATCH(A1382,tbl_recyclass[ProductId],0))="Sim","Conforme (autoavaliação)",IF(INDEX(tbl_recyclass[Conforme_PPWR_2030],MATCH(A1382,tbl_recyclass[ProductId],0))="Não","Não conforme em 2030","Isento até 2035")),IF(B1382="EU-ENV-003",IF(INDEX(tbl_recyclass[Conforme_Art7_2030],MATCH(A1382,tbl_recyclass[ProductId],0))="Sim","Conforme (meta 2030)",IF(INDEX(tbl_recyclass[Conforme_Art7_2030],MATCH(A1382,tbl_recyclass[ProductId],0))="Não","Lacuna face à meta 2030","Isento")),IF(B1382="EU-ENV-011",IF(INDEX(tbl_familias_ppwr[Metais_Pesados_Evidencia],MATCH(INDEX(tbl_recyclass[Familia_PPWR],MATCH(A1382,tbl_recyclass[ProductId],0)),tbl_familias_ppwr[ID_Familia],0))="Em falta","Lacuna","Conforme"),IF(B1382="EU-ENV-013",IF(INDEX(tbl_familias_ppwr[Declaracao_UE],MATCH(INDEX(tbl_recyclass[Familia_PPWR],MATCH(A1382,tbl_recyclass[ProductId],0)),tbl_familias_ppwr[ID_Familia],0))="Sim","Conforme","Lacuna"),G1382)))),G1382))</f>
        <v>Não aplicável</v>
      </c>
      <c r="I1382" s="33" t="str">
        <f t="shared" si="21"/>
        <v>Não aplicável</v>
      </c>
      <c r="J1382" s="26"/>
    </row>
    <row r="1383" spans="1:10" ht="16.05" customHeight="1" x14ac:dyDescent="0.3">
      <c r="A1383" s="26" t="s">
        <v>758</v>
      </c>
      <c r="B1383" s="26" t="s">
        <v>1268</v>
      </c>
      <c r="C1383" s="33" t="str">
        <f>IFERROR(INDEX(tbl_requisitos_emb[Tema],MATCH(B1383,tbl_requisitos_emb[ID_Req],0)),"")</f>
        <v>Dispositivos de segurança</v>
      </c>
      <c r="D1383" s="33" t="str">
        <f>IFERROR(INDEX(tbl_recyclass[Segmento],MATCH(A1383,tbl_recyclass[ProductId],0)),"")</f>
        <v>Cosmética e higiene pessoal</v>
      </c>
      <c r="E1383" s="26" t="s">
        <v>904</v>
      </c>
      <c r="F1383" s="26" t="s">
        <v>1451</v>
      </c>
      <c r="G1383" s="26" t="s">
        <v>1143</v>
      </c>
      <c r="H1383" s="33" t="str">
        <f>IF(E1383="Não","Não aplicável",IFERROR(IF(B1383="EU-ENV-002",IF(INDEX(tbl_recyclass[Conforme_PPWR_2030],MATCH(A1383,tbl_recyclass[ProductId],0))="Sim","Conforme (autoavaliação)",IF(INDEX(tbl_recyclass[Conforme_PPWR_2030],MATCH(A1383,tbl_recyclass[ProductId],0))="Não","Não conforme em 2030","Isento até 2035")),IF(B1383="EU-ENV-003",IF(INDEX(tbl_recyclass[Conforme_Art7_2030],MATCH(A1383,tbl_recyclass[ProductId],0))="Sim","Conforme (meta 2030)",IF(INDEX(tbl_recyclass[Conforme_Art7_2030],MATCH(A1383,tbl_recyclass[ProductId],0))="Não","Lacuna face à meta 2030","Isento")),IF(B1383="EU-ENV-011",IF(INDEX(tbl_familias_ppwr[Metais_Pesados_Evidencia],MATCH(INDEX(tbl_recyclass[Familia_PPWR],MATCH(A1383,tbl_recyclass[ProductId],0)),tbl_familias_ppwr[ID_Familia],0))="Em falta","Lacuna","Conforme"),IF(B1383="EU-ENV-013",IF(INDEX(tbl_familias_ppwr[Declaracao_UE],MATCH(INDEX(tbl_recyclass[Familia_PPWR],MATCH(A1383,tbl_recyclass[ProductId],0)),tbl_familias_ppwr[ID_Familia],0))="Sim","Conforme","Lacuna"),G1383)))),G1383))</f>
        <v>Não aplicável</v>
      </c>
      <c r="I1383" s="33" t="str">
        <f t="shared" si="21"/>
        <v>Não aplicável</v>
      </c>
      <c r="J1383" s="26"/>
    </row>
    <row r="1384" spans="1:10" ht="16.05" customHeight="1" x14ac:dyDescent="0.3">
      <c r="A1384" s="26" t="s">
        <v>758</v>
      </c>
      <c r="B1384" s="26" t="s">
        <v>1285</v>
      </c>
      <c r="C1384" s="33" t="str">
        <f>IFERROR(INDEX(tbl_requisitos_emb[Tema],MATCH(B1384,tbl_requisitos_emb[ID_Req],0)),"")</f>
        <v>Materiais plásticos de acondicionamento primário</v>
      </c>
      <c r="D1384" s="33" t="str">
        <f>IFERROR(INDEX(tbl_recyclass[Segmento],MATCH(A1384,tbl_recyclass[ProductId],0)),"")</f>
        <v>Cosmética e higiene pessoal</v>
      </c>
      <c r="E1384" s="26" t="s">
        <v>904</v>
      </c>
      <c r="F1384" s="26" t="s">
        <v>1451</v>
      </c>
      <c r="G1384" s="26" t="s">
        <v>1143</v>
      </c>
      <c r="H1384" s="33" t="str">
        <f>IF(E1384="Não","Não aplicável",IFERROR(IF(B1384="EU-ENV-002",IF(INDEX(tbl_recyclass[Conforme_PPWR_2030],MATCH(A1384,tbl_recyclass[ProductId],0))="Sim","Conforme (autoavaliação)",IF(INDEX(tbl_recyclass[Conforme_PPWR_2030],MATCH(A1384,tbl_recyclass[ProductId],0))="Não","Não conforme em 2030","Isento até 2035")),IF(B1384="EU-ENV-003",IF(INDEX(tbl_recyclass[Conforme_Art7_2030],MATCH(A1384,tbl_recyclass[ProductId],0))="Sim","Conforme (meta 2030)",IF(INDEX(tbl_recyclass[Conforme_Art7_2030],MATCH(A1384,tbl_recyclass[ProductId],0))="Não","Lacuna face à meta 2030","Isento")),IF(B1384="EU-ENV-011",IF(INDEX(tbl_familias_ppwr[Metais_Pesados_Evidencia],MATCH(INDEX(tbl_recyclass[Familia_PPWR],MATCH(A1384,tbl_recyclass[ProductId],0)),tbl_familias_ppwr[ID_Familia],0))="Em falta","Lacuna","Conforme"),IF(B1384="EU-ENV-013",IF(INDEX(tbl_familias_ppwr[Declaracao_UE],MATCH(INDEX(tbl_recyclass[Familia_PPWR],MATCH(A1384,tbl_recyclass[ProductId],0)),tbl_familias_ppwr[ID_Familia],0))="Sim","Conforme","Lacuna"),G1384)))),G1384))</f>
        <v>Não aplicável</v>
      </c>
      <c r="I1384" s="33" t="str">
        <f t="shared" si="21"/>
        <v>Não aplicável</v>
      </c>
      <c r="J1384" s="26"/>
    </row>
    <row r="1385" spans="1:10" ht="16.05" customHeight="1" x14ac:dyDescent="0.3">
      <c r="A1385" s="26" t="s">
        <v>758</v>
      </c>
      <c r="B1385" s="26" t="s">
        <v>1293</v>
      </c>
      <c r="C1385" s="33" t="str">
        <f>IFERROR(INDEX(tbl_requisitos_emb[Tema],MATCH(B1385,tbl_requisitos_emb[ID_Req],0)),"")</f>
        <v>Isenções PPWR</v>
      </c>
      <c r="D1385" s="33" t="str">
        <f>IFERROR(INDEX(tbl_recyclass[Segmento],MATCH(A1385,tbl_recyclass[ProductId],0)),"")</f>
        <v>Cosmética e higiene pessoal</v>
      </c>
      <c r="E1385" s="26" t="s">
        <v>904</v>
      </c>
      <c r="F1385" s="26" t="s">
        <v>1451</v>
      </c>
      <c r="G1385" s="26" t="s">
        <v>1143</v>
      </c>
      <c r="H1385" s="33" t="str">
        <f>IF(E1385="Não","Não aplicável",IFERROR(IF(B1385="EU-ENV-002",IF(INDEX(tbl_recyclass[Conforme_PPWR_2030],MATCH(A1385,tbl_recyclass[ProductId],0))="Sim","Conforme (autoavaliação)",IF(INDEX(tbl_recyclass[Conforme_PPWR_2030],MATCH(A1385,tbl_recyclass[ProductId],0))="Não","Não conforme em 2030","Isento até 2035")),IF(B1385="EU-ENV-003",IF(INDEX(tbl_recyclass[Conforme_Art7_2030],MATCH(A1385,tbl_recyclass[ProductId],0))="Sim","Conforme (meta 2030)",IF(INDEX(tbl_recyclass[Conforme_Art7_2030],MATCH(A1385,tbl_recyclass[ProductId],0))="Não","Lacuna face à meta 2030","Isento")),IF(B1385="EU-ENV-011",IF(INDEX(tbl_familias_ppwr[Metais_Pesados_Evidencia],MATCH(INDEX(tbl_recyclass[Familia_PPWR],MATCH(A1385,tbl_recyclass[ProductId],0)),tbl_familias_ppwr[ID_Familia],0))="Em falta","Lacuna","Conforme"),IF(B1385="EU-ENV-013",IF(INDEX(tbl_familias_ppwr[Declaracao_UE],MATCH(INDEX(tbl_recyclass[Familia_PPWR],MATCH(A1385,tbl_recyclass[ProductId],0)),tbl_familias_ppwr[ID_Familia],0))="Sim","Conforme","Lacuna"),G1385)))),G1385))</f>
        <v>Não aplicável</v>
      </c>
      <c r="I1385" s="33" t="str">
        <f t="shared" si="21"/>
        <v>Não aplicável</v>
      </c>
      <c r="J1385" s="26"/>
    </row>
    <row r="1386" spans="1:10" ht="16.05" customHeight="1" x14ac:dyDescent="0.3">
      <c r="A1386" s="26" t="s">
        <v>758</v>
      </c>
      <c r="B1386" s="26" t="s">
        <v>1357</v>
      </c>
      <c r="C1386" s="33" t="str">
        <f>IFERROR(INDEX(tbl_requisitos_emb[Tema],MATCH(B1386,tbl_requisitos_emb[ID_Req],0)),"")</f>
        <v>Identificação de plásticos</v>
      </c>
      <c r="D1386" s="33" t="str">
        <f>IFERROR(INDEX(tbl_recyclass[Segmento],MATCH(A1386,tbl_recyclass[ProductId],0)),"")</f>
        <v>Cosmética e higiene pessoal</v>
      </c>
      <c r="E1386" s="26" t="s">
        <v>901</v>
      </c>
      <c r="F1386" s="26" t="s">
        <v>1449</v>
      </c>
      <c r="G1386" s="26" t="s">
        <v>978</v>
      </c>
      <c r="H1386" s="33" t="str">
        <f>IF(E1386="Não","Não aplicável",IFERROR(IF(B1386="EU-ENV-002",IF(INDEX(tbl_recyclass[Conforme_PPWR_2030],MATCH(A1386,tbl_recyclass[ProductId],0))="Sim","Conforme (autoavaliação)",IF(INDEX(tbl_recyclass[Conforme_PPWR_2030],MATCH(A1386,tbl_recyclass[ProductId],0))="Não","Não conforme em 2030","Isento até 2035")),IF(B1386="EU-ENV-003",IF(INDEX(tbl_recyclass[Conforme_Art7_2030],MATCH(A1386,tbl_recyclass[ProductId],0))="Sim","Conforme (meta 2030)",IF(INDEX(tbl_recyclass[Conforme_Art7_2030],MATCH(A1386,tbl_recyclass[ProductId],0))="Não","Lacuna face à meta 2030","Isento")),IF(B1386="EU-ENV-011",IF(INDEX(tbl_familias_ppwr[Metais_Pesados_Evidencia],MATCH(INDEX(tbl_recyclass[Familia_PPWR],MATCH(A1386,tbl_recyclass[ProductId],0)),tbl_familias_ppwr[ID_Familia],0))="Em falta","Lacuna","Conforme"),IF(B1386="EU-ENV-013",IF(INDEX(tbl_familias_ppwr[Declaracao_UE],MATCH(INDEX(tbl_recyclass[Familia_PPWR],MATCH(A1386,tbl_recyclass[ProductId],0)),tbl_familias_ppwr[ID_Familia],0))="Sim","Conforme","Lacuna"),G1386)))),G1386))</f>
        <v>Parcial</v>
      </c>
      <c r="I1386" s="33" t="str">
        <f t="shared" si="21"/>
        <v>Parcial</v>
      </c>
      <c r="J1386" s="26" t="s">
        <v>1362</v>
      </c>
    </row>
    <row r="1387" spans="1:10" ht="16.05" customHeight="1" x14ac:dyDescent="0.3">
      <c r="A1387" s="26" t="s">
        <v>758</v>
      </c>
      <c r="B1387" s="26" t="s">
        <v>1385</v>
      </c>
      <c r="C1387" s="33" t="str">
        <f>IFERROR(INDEX(tbl_requisitos_emb[Tema],MATCH(B1387,tbl_requisitos_emb[ID_Req],0)),"")</f>
        <v>Reciclabilidade (voluntária)</v>
      </c>
      <c r="D1387" s="33" t="str">
        <f>IFERROR(INDEX(tbl_recyclass[Segmento],MATCH(A1387,tbl_recyclass[ProductId],0)),"")</f>
        <v>Cosmética e higiene pessoal</v>
      </c>
      <c r="E1387" s="26" t="s">
        <v>901</v>
      </c>
      <c r="F1387" s="26" t="s">
        <v>1449</v>
      </c>
      <c r="G1387" s="26" t="s">
        <v>978</v>
      </c>
      <c r="H1387" s="33" t="str">
        <f>IF(E1387="Não","Não aplicável",IFERROR(IF(B1387="EU-ENV-002",IF(INDEX(tbl_recyclass[Conforme_PPWR_2030],MATCH(A1387,tbl_recyclass[ProductId],0))="Sim","Conforme (autoavaliação)",IF(INDEX(tbl_recyclass[Conforme_PPWR_2030],MATCH(A1387,tbl_recyclass[ProductId],0))="Não","Não conforme em 2030","Isento até 2035")),IF(B1387="EU-ENV-003",IF(INDEX(tbl_recyclass[Conforme_Art7_2030],MATCH(A1387,tbl_recyclass[ProductId],0))="Sim","Conforme (meta 2030)",IF(INDEX(tbl_recyclass[Conforme_Art7_2030],MATCH(A1387,tbl_recyclass[ProductId],0))="Não","Lacuna face à meta 2030","Isento")),IF(B1387="EU-ENV-011",IF(INDEX(tbl_familias_ppwr[Metais_Pesados_Evidencia],MATCH(INDEX(tbl_recyclass[Familia_PPWR],MATCH(A1387,tbl_recyclass[ProductId],0)),tbl_familias_ppwr[ID_Familia],0))="Em falta","Lacuna","Conforme"),IF(B1387="EU-ENV-013",IF(INDEX(tbl_familias_ppwr[Declaracao_UE],MATCH(INDEX(tbl_recyclass[Familia_PPWR],MATCH(A1387,tbl_recyclass[ProductId],0)),tbl_familias_ppwr[ID_Familia],0))="Sim","Conforme","Lacuna"),G1387)))),G1387))</f>
        <v>Parcial</v>
      </c>
      <c r="I1387" s="33" t="str">
        <f t="shared" si="21"/>
        <v>Parcial</v>
      </c>
      <c r="J1387" s="26" t="s">
        <v>1389</v>
      </c>
    </row>
    <row r="1388" spans="1:10" ht="16.05" customHeight="1" x14ac:dyDescent="0.3">
      <c r="A1388" s="26" t="s">
        <v>760</v>
      </c>
      <c r="B1388" s="26" t="s">
        <v>984</v>
      </c>
      <c r="C1388" s="33" t="str">
        <f>IFERROR(INDEX(tbl_requisitos_emb[Tema],MATCH(B1388,tbl_requisitos_emb[ID_Req],0)),"")</f>
        <v>Conceção para reciclagem</v>
      </c>
      <c r="D1388" s="33" t="str">
        <f>IFERROR(INDEX(tbl_recyclass[Segmento],MATCH(A1388,tbl_recyclass[ProductId],0)),"")</f>
        <v>Cosmética e higiene pessoal</v>
      </c>
      <c r="E1388" s="26" t="s">
        <v>901</v>
      </c>
      <c r="F1388" s="26" t="s">
        <v>1449</v>
      </c>
      <c r="G1388" s="26" t="s">
        <v>978</v>
      </c>
      <c r="H1388" s="33" t="str">
        <f>IF(E1388="Não","Não aplicável",IFERROR(IF(B1388="EU-ENV-002",IF(INDEX(tbl_recyclass[Conforme_PPWR_2030],MATCH(A1388,tbl_recyclass[ProductId],0))="Sim","Conforme (autoavaliação)",IF(INDEX(tbl_recyclass[Conforme_PPWR_2030],MATCH(A1388,tbl_recyclass[ProductId],0))="Não","Não conforme em 2030","Isento até 2035")),IF(B1388="EU-ENV-003",IF(INDEX(tbl_recyclass[Conforme_Art7_2030],MATCH(A1388,tbl_recyclass[ProductId],0))="Sim","Conforme (meta 2030)",IF(INDEX(tbl_recyclass[Conforme_Art7_2030],MATCH(A1388,tbl_recyclass[ProductId],0))="Não","Lacuna face à meta 2030","Isento")),IF(B1388="EU-ENV-011",IF(INDEX(tbl_familias_ppwr[Metais_Pesados_Evidencia],MATCH(INDEX(tbl_recyclass[Familia_PPWR],MATCH(A1388,tbl_recyclass[ProductId],0)),tbl_familias_ppwr[ID_Familia],0))="Em falta","Lacuna","Conforme"),IF(B1388="EU-ENV-013",IF(INDEX(tbl_familias_ppwr[Declaracao_UE],MATCH(INDEX(tbl_recyclass[Familia_PPWR],MATCH(A1388,tbl_recyclass[ProductId],0)),tbl_familias_ppwr[ID_Familia],0))="Sim","Conforme","Lacuna"),G1388)))),G1388))</f>
        <v>Conforme (autoavaliação)</v>
      </c>
      <c r="I1388" s="33" t="str">
        <f t="shared" si="21"/>
        <v>Conforme</v>
      </c>
      <c r="J1388" s="26" t="s">
        <v>991</v>
      </c>
    </row>
    <row r="1389" spans="1:10" ht="16.05" customHeight="1" x14ac:dyDescent="0.3">
      <c r="A1389" s="26" t="s">
        <v>760</v>
      </c>
      <c r="B1389" s="26" t="s">
        <v>997</v>
      </c>
      <c r="C1389" s="33" t="str">
        <f>IFERROR(INDEX(tbl_requisitos_emb[Tema],MATCH(B1389,tbl_requisitos_emb[ID_Req],0)),"")</f>
        <v>Conteúdo reciclado</v>
      </c>
      <c r="D1389" s="33" t="str">
        <f>IFERROR(INDEX(tbl_recyclass[Segmento],MATCH(A1389,tbl_recyclass[ProductId],0)),"")</f>
        <v>Cosmética e higiene pessoal</v>
      </c>
      <c r="E1389" s="26" t="s">
        <v>901</v>
      </c>
      <c r="F1389" s="26" t="s">
        <v>1449</v>
      </c>
      <c r="G1389" s="26" t="s">
        <v>978</v>
      </c>
      <c r="H1389" s="33" t="str">
        <f>IF(E1389="Não","Não aplicável",IFERROR(IF(B1389="EU-ENV-002",IF(INDEX(tbl_recyclass[Conforme_PPWR_2030],MATCH(A1389,tbl_recyclass[ProductId],0))="Sim","Conforme (autoavaliação)",IF(INDEX(tbl_recyclass[Conforme_PPWR_2030],MATCH(A1389,tbl_recyclass[ProductId],0))="Não","Não conforme em 2030","Isento até 2035")),IF(B1389="EU-ENV-003",IF(INDEX(tbl_recyclass[Conforme_Art7_2030],MATCH(A1389,tbl_recyclass[ProductId],0))="Sim","Conforme (meta 2030)",IF(INDEX(tbl_recyclass[Conforme_Art7_2030],MATCH(A1389,tbl_recyclass[ProductId],0))="Não","Lacuna face à meta 2030","Isento")),IF(B1389="EU-ENV-011",IF(INDEX(tbl_familias_ppwr[Metais_Pesados_Evidencia],MATCH(INDEX(tbl_recyclass[Familia_PPWR],MATCH(A1389,tbl_recyclass[ProductId],0)),tbl_familias_ppwr[ID_Familia],0))="Em falta","Lacuna","Conforme"),IF(B1389="EU-ENV-013",IF(INDEX(tbl_familias_ppwr[Declaracao_UE],MATCH(INDEX(tbl_recyclass[Familia_PPWR],MATCH(A1389,tbl_recyclass[ProductId],0)),tbl_familias_ppwr[ID_Familia],0))="Sim","Conforme","Lacuna"),G1389)))),G1389))</f>
        <v>Lacuna face à meta 2030</v>
      </c>
      <c r="I1389" s="33" t="str">
        <f t="shared" si="21"/>
        <v>Lacuna</v>
      </c>
      <c r="J1389" s="26" t="s">
        <v>1001</v>
      </c>
    </row>
    <row r="1390" spans="1:10" ht="16.05" customHeight="1" x14ac:dyDescent="0.3">
      <c r="A1390" s="26" t="s">
        <v>760</v>
      </c>
      <c r="B1390" s="26" t="s">
        <v>1007</v>
      </c>
      <c r="C1390" s="33" t="str">
        <f>IFERROR(INDEX(tbl_requisitos_emb[Tema],MATCH(B1390,tbl_requisitos_emb[ID_Req],0)),"")</f>
        <v>Minimização</v>
      </c>
      <c r="D1390" s="33" t="str">
        <f>IFERROR(INDEX(tbl_recyclass[Segmento],MATCH(A1390,tbl_recyclass[ProductId],0)),"")</f>
        <v>Cosmética e higiene pessoal</v>
      </c>
      <c r="E1390" s="26" t="s">
        <v>901</v>
      </c>
      <c r="F1390" s="26" t="s">
        <v>1449</v>
      </c>
      <c r="G1390" s="26" t="s">
        <v>978</v>
      </c>
      <c r="H1390" s="33" t="str">
        <f>IF(E1390="Não","Não aplicável",IFERROR(IF(B1390="EU-ENV-002",IF(INDEX(tbl_recyclass[Conforme_PPWR_2030],MATCH(A1390,tbl_recyclass[ProductId],0))="Sim","Conforme (autoavaliação)",IF(INDEX(tbl_recyclass[Conforme_PPWR_2030],MATCH(A1390,tbl_recyclass[ProductId],0))="Não","Não conforme em 2030","Isento até 2035")),IF(B1390="EU-ENV-003",IF(INDEX(tbl_recyclass[Conforme_Art7_2030],MATCH(A1390,tbl_recyclass[ProductId],0))="Sim","Conforme (meta 2030)",IF(INDEX(tbl_recyclass[Conforme_Art7_2030],MATCH(A1390,tbl_recyclass[ProductId],0))="Não","Lacuna face à meta 2030","Isento")),IF(B1390="EU-ENV-011",IF(INDEX(tbl_familias_ppwr[Metais_Pesados_Evidencia],MATCH(INDEX(tbl_recyclass[Familia_PPWR],MATCH(A1390,tbl_recyclass[ProductId],0)),tbl_familias_ppwr[ID_Familia],0))="Em falta","Lacuna","Conforme"),IF(B1390="EU-ENV-013",IF(INDEX(tbl_familias_ppwr[Declaracao_UE],MATCH(INDEX(tbl_recyclass[Familia_PPWR],MATCH(A1390,tbl_recyclass[ProductId],0)),tbl_familias_ppwr[ID_Familia],0))="Sim","Conforme","Lacuna"),G1390)))),G1390))</f>
        <v>Parcial</v>
      </c>
      <c r="I1390" s="33" t="str">
        <f t="shared" si="21"/>
        <v>Parcial</v>
      </c>
      <c r="J1390" s="26" t="s">
        <v>1012</v>
      </c>
    </row>
    <row r="1391" spans="1:10" ht="16.05" customHeight="1" x14ac:dyDescent="0.3">
      <c r="A1391" s="26" t="s">
        <v>760</v>
      </c>
      <c r="B1391" s="26" t="s">
        <v>1016</v>
      </c>
      <c r="C1391" s="33" t="str">
        <f>IFERROR(INDEX(tbl_requisitos_emb[Tema],MATCH(B1391,tbl_requisitos_emb[ID_Req],0)),"")</f>
        <v>Rotulagem</v>
      </c>
      <c r="D1391" s="33" t="str">
        <f>IFERROR(INDEX(tbl_recyclass[Segmento],MATCH(A1391,tbl_recyclass[ProductId],0)),"")</f>
        <v>Cosmética e higiene pessoal</v>
      </c>
      <c r="E1391" s="26" t="s">
        <v>901</v>
      </c>
      <c r="F1391" s="26" t="s">
        <v>1449</v>
      </c>
      <c r="G1391" s="26" t="s">
        <v>990</v>
      </c>
      <c r="H1391" s="33" t="str">
        <f>IF(E1391="Não","Não aplicável",IFERROR(IF(B1391="EU-ENV-002",IF(INDEX(tbl_recyclass[Conforme_PPWR_2030],MATCH(A1391,tbl_recyclass[ProductId],0))="Sim","Conforme (autoavaliação)",IF(INDEX(tbl_recyclass[Conforme_PPWR_2030],MATCH(A1391,tbl_recyclass[ProductId],0))="Não","Não conforme em 2030","Isento até 2035")),IF(B1391="EU-ENV-003",IF(INDEX(tbl_recyclass[Conforme_Art7_2030],MATCH(A1391,tbl_recyclass[ProductId],0))="Sim","Conforme (meta 2030)",IF(INDEX(tbl_recyclass[Conforme_Art7_2030],MATCH(A1391,tbl_recyclass[ProductId],0))="Não","Lacuna face à meta 2030","Isento")),IF(B1391="EU-ENV-011",IF(INDEX(tbl_familias_ppwr[Metais_Pesados_Evidencia],MATCH(INDEX(tbl_recyclass[Familia_PPWR],MATCH(A1391,tbl_recyclass[ProductId],0)),tbl_familias_ppwr[ID_Familia],0))="Em falta","Lacuna","Conforme"),IF(B1391="EU-ENV-013",IF(INDEX(tbl_familias_ppwr[Declaracao_UE],MATCH(INDEX(tbl_recyclass[Familia_PPWR],MATCH(A1391,tbl_recyclass[ProductId],0)),tbl_familias_ppwr[ID_Familia],0))="Sim","Conforme","Lacuna"),G1391)))),G1391))</f>
        <v>Futuro</v>
      </c>
      <c r="I1391" s="33" t="str">
        <f t="shared" si="21"/>
        <v>Futuro</v>
      </c>
      <c r="J1391" s="26" t="s">
        <v>1021</v>
      </c>
    </row>
    <row r="1392" spans="1:10" ht="16.05" customHeight="1" x14ac:dyDescent="0.3">
      <c r="A1392" s="26" t="s">
        <v>760</v>
      </c>
      <c r="B1392" s="26" t="s">
        <v>1038</v>
      </c>
      <c r="C1392" s="33" t="str">
        <f>IFERROR(INDEX(tbl_requisitos_emb[Tema],MATCH(B1392,tbl_requisitos_emb[ID_Req],0)),"")</f>
        <v>Plásticos de utilização única</v>
      </c>
      <c r="D1392" s="33" t="str">
        <f>IFERROR(INDEX(tbl_recyclass[Segmento],MATCH(A1392,tbl_recyclass[ProductId],0)),"")</f>
        <v>Cosmética e higiene pessoal</v>
      </c>
      <c r="E1392" s="26" t="s">
        <v>904</v>
      </c>
      <c r="F1392" s="26" t="s">
        <v>1450</v>
      </c>
      <c r="G1392" s="26" t="s">
        <v>1143</v>
      </c>
      <c r="H1392" s="33" t="str">
        <f>IF(E1392="Não","Não aplicável",IFERROR(IF(B1392="EU-ENV-002",IF(INDEX(tbl_recyclass[Conforme_PPWR_2030],MATCH(A1392,tbl_recyclass[ProductId],0))="Sim","Conforme (autoavaliação)",IF(INDEX(tbl_recyclass[Conforme_PPWR_2030],MATCH(A1392,tbl_recyclass[ProductId],0))="Não","Não conforme em 2030","Isento até 2035")),IF(B1392="EU-ENV-003",IF(INDEX(tbl_recyclass[Conforme_Art7_2030],MATCH(A1392,tbl_recyclass[ProductId],0))="Sim","Conforme (meta 2030)",IF(INDEX(tbl_recyclass[Conforme_Art7_2030],MATCH(A1392,tbl_recyclass[ProductId],0))="Não","Lacuna face à meta 2030","Isento")),IF(B1392="EU-ENV-011",IF(INDEX(tbl_familias_ppwr[Metais_Pesados_Evidencia],MATCH(INDEX(tbl_recyclass[Familia_PPWR],MATCH(A1392,tbl_recyclass[ProductId],0)),tbl_familias_ppwr[ID_Familia],0))="Em falta","Lacuna","Conforme"),IF(B1392="EU-ENV-013",IF(INDEX(tbl_familias_ppwr[Declaracao_UE],MATCH(INDEX(tbl_recyclass[Familia_PPWR],MATCH(A1392,tbl_recyclass[ProductId],0)),tbl_familias_ppwr[ID_Familia],0))="Sim","Conforme","Lacuna"),G1392)))),G1392))</f>
        <v>Não aplicável</v>
      </c>
      <c r="I1392" s="33" t="str">
        <f t="shared" si="21"/>
        <v>Não aplicável</v>
      </c>
      <c r="J1392" s="26"/>
    </row>
    <row r="1393" spans="1:10" ht="16.05" customHeight="1" x14ac:dyDescent="0.3">
      <c r="A1393" s="26" t="s">
        <v>760</v>
      </c>
      <c r="B1393" s="26" t="s">
        <v>1078</v>
      </c>
      <c r="C1393" s="33" t="str">
        <f>IFERROR(INDEX(tbl_requisitos_emb[Tema],MATCH(B1393,tbl_requisitos_emb[ID_Req],0)),"")</f>
        <v>Reciclado à escala</v>
      </c>
      <c r="D1393" s="33" t="str">
        <f>IFERROR(INDEX(tbl_recyclass[Segmento],MATCH(A1393,tbl_recyclass[ProductId],0)),"")</f>
        <v>Cosmética e higiene pessoal</v>
      </c>
      <c r="E1393" s="26" t="s">
        <v>901</v>
      </c>
      <c r="F1393" s="26" t="s">
        <v>1449</v>
      </c>
      <c r="G1393" s="26" t="s">
        <v>990</v>
      </c>
      <c r="H1393" s="33" t="str">
        <f>IF(E1393="Não","Não aplicável",IFERROR(IF(B1393="EU-ENV-002",IF(INDEX(tbl_recyclass[Conforme_PPWR_2030],MATCH(A1393,tbl_recyclass[ProductId],0))="Sim","Conforme (autoavaliação)",IF(INDEX(tbl_recyclass[Conforme_PPWR_2030],MATCH(A1393,tbl_recyclass[ProductId],0))="Não","Não conforme em 2030","Isento até 2035")),IF(B1393="EU-ENV-003",IF(INDEX(tbl_recyclass[Conforme_Art7_2030],MATCH(A1393,tbl_recyclass[ProductId],0))="Sim","Conforme (meta 2030)",IF(INDEX(tbl_recyclass[Conforme_Art7_2030],MATCH(A1393,tbl_recyclass[ProductId],0))="Não","Lacuna face à meta 2030","Isento")),IF(B1393="EU-ENV-011",IF(INDEX(tbl_familias_ppwr[Metais_Pesados_Evidencia],MATCH(INDEX(tbl_recyclass[Familia_PPWR],MATCH(A1393,tbl_recyclass[ProductId],0)),tbl_familias_ppwr[ID_Familia],0))="Em falta","Lacuna","Conforme"),IF(B1393="EU-ENV-013",IF(INDEX(tbl_familias_ppwr[Declaracao_UE],MATCH(INDEX(tbl_recyclass[Familia_PPWR],MATCH(A1393,tbl_recyclass[ProductId],0)),tbl_familias_ppwr[ID_Familia],0))="Sim","Conforme","Lacuna"),G1393)))),G1393))</f>
        <v>Futuro</v>
      </c>
      <c r="I1393" s="33" t="str">
        <f t="shared" si="21"/>
        <v>Futuro</v>
      </c>
      <c r="J1393" s="26" t="s">
        <v>1082</v>
      </c>
    </row>
    <row r="1394" spans="1:10" ht="16.05" customHeight="1" x14ac:dyDescent="0.3">
      <c r="A1394" s="26" t="s">
        <v>760</v>
      </c>
      <c r="B1394" s="26" t="s">
        <v>1086</v>
      </c>
      <c r="C1394" s="33" t="str">
        <f>IFERROR(INDEX(tbl_requisitos_emb[Tema],MATCH(B1394,tbl_requisitos_emb[ID_Req],0)),"")</f>
        <v>Metais pesados</v>
      </c>
      <c r="D1394" s="33" t="str">
        <f>IFERROR(INDEX(tbl_recyclass[Segmento],MATCH(A1394,tbl_recyclass[ProductId],0)),"")</f>
        <v>Cosmética e higiene pessoal</v>
      </c>
      <c r="E1394" s="26" t="s">
        <v>901</v>
      </c>
      <c r="F1394" s="26" t="s">
        <v>1449</v>
      </c>
      <c r="G1394" s="26" t="s">
        <v>978</v>
      </c>
      <c r="H1394" s="33" t="str">
        <f>IF(E1394="Não","Não aplicável",IFERROR(IF(B1394="EU-ENV-002",IF(INDEX(tbl_recyclass[Conforme_PPWR_2030],MATCH(A1394,tbl_recyclass[ProductId],0))="Sim","Conforme (autoavaliação)",IF(INDEX(tbl_recyclass[Conforme_PPWR_2030],MATCH(A1394,tbl_recyclass[ProductId],0))="Não","Não conforme em 2030","Isento até 2035")),IF(B1394="EU-ENV-003",IF(INDEX(tbl_recyclass[Conforme_Art7_2030],MATCH(A1394,tbl_recyclass[ProductId],0))="Sim","Conforme (meta 2030)",IF(INDEX(tbl_recyclass[Conforme_Art7_2030],MATCH(A1394,tbl_recyclass[ProductId],0))="Não","Lacuna face à meta 2030","Isento")),IF(B1394="EU-ENV-011",IF(INDEX(tbl_familias_ppwr[Metais_Pesados_Evidencia],MATCH(INDEX(tbl_recyclass[Familia_PPWR],MATCH(A1394,tbl_recyclass[ProductId],0)),tbl_familias_ppwr[ID_Familia],0))="Em falta","Lacuna","Conforme"),IF(B1394="EU-ENV-013",IF(INDEX(tbl_familias_ppwr[Declaracao_UE],MATCH(INDEX(tbl_recyclass[Familia_PPWR],MATCH(A1394,tbl_recyclass[ProductId],0)),tbl_familias_ppwr[ID_Familia],0))="Sim","Conforme","Lacuna"),G1394)))),G1394))</f>
        <v>Conforme</v>
      </c>
      <c r="I1394" s="33" t="str">
        <f t="shared" si="21"/>
        <v>Conforme</v>
      </c>
      <c r="J1394" s="26" t="s">
        <v>1090</v>
      </c>
    </row>
    <row r="1395" spans="1:10" ht="16.05" customHeight="1" x14ac:dyDescent="0.3">
      <c r="A1395" s="26" t="s">
        <v>760</v>
      </c>
      <c r="B1395" s="26" t="s">
        <v>1094</v>
      </c>
      <c r="C1395" s="33" t="str">
        <f>IFERROR(INDEX(tbl_requisitos_emb[Tema],MATCH(B1395,tbl_requisitos_emb[ID_Req],0)),"")</f>
        <v>PFAS</v>
      </c>
      <c r="D1395" s="33" t="str">
        <f>IFERROR(INDEX(tbl_recyclass[Segmento],MATCH(A1395,tbl_recyclass[ProductId],0)),"")</f>
        <v>Cosmética e higiene pessoal</v>
      </c>
      <c r="E1395" s="26" t="s">
        <v>904</v>
      </c>
      <c r="F1395" s="26" t="s">
        <v>1450</v>
      </c>
      <c r="G1395" s="26" t="s">
        <v>1143</v>
      </c>
      <c r="H1395" s="33" t="str">
        <f>IF(E1395="Não","Não aplicável",IFERROR(IF(B1395="EU-ENV-002",IF(INDEX(tbl_recyclass[Conforme_PPWR_2030],MATCH(A1395,tbl_recyclass[ProductId],0))="Sim","Conforme (autoavaliação)",IF(INDEX(tbl_recyclass[Conforme_PPWR_2030],MATCH(A1395,tbl_recyclass[ProductId],0))="Não","Não conforme em 2030","Isento até 2035")),IF(B1395="EU-ENV-003",IF(INDEX(tbl_recyclass[Conforme_Art7_2030],MATCH(A1395,tbl_recyclass[ProductId],0))="Sim","Conforme (meta 2030)",IF(INDEX(tbl_recyclass[Conforme_Art7_2030],MATCH(A1395,tbl_recyclass[ProductId],0))="Não","Lacuna face à meta 2030","Isento")),IF(B1395="EU-ENV-011",IF(INDEX(tbl_familias_ppwr[Metais_Pesados_Evidencia],MATCH(INDEX(tbl_recyclass[Familia_PPWR],MATCH(A1395,tbl_recyclass[ProductId],0)),tbl_familias_ppwr[ID_Familia],0))="Em falta","Lacuna","Conforme"),IF(B1395="EU-ENV-013",IF(INDEX(tbl_familias_ppwr[Declaracao_UE],MATCH(INDEX(tbl_recyclass[Familia_PPWR],MATCH(A1395,tbl_recyclass[ProductId],0)),tbl_familias_ppwr[ID_Familia],0))="Sim","Conforme","Lacuna"),G1395)))),G1395))</f>
        <v>Não aplicável</v>
      </c>
      <c r="I1395" s="33" t="str">
        <f t="shared" si="21"/>
        <v>Não aplicável</v>
      </c>
      <c r="J1395" s="26"/>
    </row>
    <row r="1396" spans="1:10" ht="16.05" customHeight="1" x14ac:dyDescent="0.3">
      <c r="A1396" s="26" t="s">
        <v>760</v>
      </c>
      <c r="B1396" s="26" t="s">
        <v>1102</v>
      </c>
      <c r="C1396" s="33" t="str">
        <f>IFERROR(INDEX(tbl_requisitos_emb[Tema],MATCH(B1396,tbl_requisitos_emb[ID_Req],0)),"")</f>
        <v>Documentação técnica e declaração UE</v>
      </c>
      <c r="D1396" s="33" t="str">
        <f>IFERROR(INDEX(tbl_recyclass[Segmento],MATCH(A1396,tbl_recyclass[ProductId],0)),"")</f>
        <v>Cosmética e higiene pessoal</v>
      </c>
      <c r="E1396" s="26" t="s">
        <v>901</v>
      </c>
      <c r="F1396" s="26" t="s">
        <v>1449</v>
      </c>
      <c r="G1396" s="26" t="s">
        <v>978</v>
      </c>
      <c r="H1396" s="33" t="str">
        <f>IF(E1396="Não","Não aplicável",IFERROR(IF(B1396="EU-ENV-002",IF(INDEX(tbl_recyclass[Conforme_PPWR_2030],MATCH(A1396,tbl_recyclass[ProductId],0))="Sim","Conforme (autoavaliação)",IF(INDEX(tbl_recyclass[Conforme_PPWR_2030],MATCH(A1396,tbl_recyclass[ProductId],0))="Não","Não conforme em 2030","Isento até 2035")),IF(B1396="EU-ENV-003",IF(INDEX(tbl_recyclass[Conforme_Art7_2030],MATCH(A1396,tbl_recyclass[ProductId],0))="Sim","Conforme (meta 2030)",IF(INDEX(tbl_recyclass[Conforme_Art7_2030],MATCH(A1396,tbl_recyclass[ProductId],0))="Não","Lacuna face à meta 2030","Isento")),IF(B1396="EU-ENV-011",IF(INDEX(tbl_familias_ppwr[Metais_Pesados_Evidencia],MATCH(INDEX(tbl_recyclass[Familia_PPWR],MATCH(A1396,tbl_recyclass[ProductId],0)),tbl_familias_ppwr[ID_Familia],0))="Em falta","Lacuna","Conforme"),IF(B1396="EU-ENV-013",IF(INDEX(tbl_familias_ppwr[Declaracao_UE],MATCH(INDEX(tbl_recyclass[Familia_PPWR],MATCH(A1396,tbl_recyclass[ProductId],0)),tbl_familias_ppwr[ID_Familia],0))="Sim","Conforme","Lacuna"),G1396)))),G1396))</f>
        <v>Conforme</v>
      </c>
      <c r="I1396" s="33" t="str">
        <f t="shared" si="21"/>
        <v>Conforme</v>
      </c>
      <c r="J1396" s="26" t="s">
        <v>1106</v>
      </c>
    </row>
    <row r="1397" spans="1:10" ht="16.05" customHeight="1" x14ac:dyDescent="0.3">
      <c r="A1397" s="26" t="s">
        <v>760</v>
      </c>
      <c r="B1397" s="26" t="s">
        <v>1161</v>
      </c>
      <c r="C1397" s="33" t="str">
        <f>IFERROR(INDEX(tbl_requisitos_emb[Tema],MATCH(B1397,tbl_requisitos_emb[ID_Req],0)),"")</f>
        <v>Materiais em contacto com alimentos</v>
      </c>
      <c r="D1397" s="33" t="str">
        <f>IFERROR(INDEX(tbl_recyclass[Segmento],MATCH(A1397,tbl_recyclass[ProductId],0)),"")</f>
        <v>Cosmética e higiene pessoal</v>
      </c>
      <c r="E1397" s="26" t="s">
        <v>904</v>
      </c>
      <c r="F1397" s="26" t="s">
        <v>1450</v>
      </c>
      <c r="G1397" s="26" t="s">
        <v>1143</v>
      </c>
      <c r="H1397" s="33" t="str">
        <f>IF(E1397="Não","Não aplicável",IFERROR(IF(B1397="EU-ENV-002",IF(INDEX(tbl_recyclass[Conforme_PPWR_2030],MATCH(A1397,tbl_recyclass[ProductId],0))="Sim","Conforme (autoavaliação)",IF(INDEX(tbl_recyclass[Conforme_PPWR_2030],MATCH(A1397,tbl_recyclass[ProductId],0))="Não","Não conforme em 2030","Isento até 2035")),IF(B1397="EU-ENV-003",IF(INDEX(tbl_recyclass[Conforme_Art7_2030],MATCH(A1397,tbl_recyclass[ProductId],0))="Sim","Conforme (meta 2030)",IF(INDEX(tbl_recyclass[Conforme_Art7_2030],MATCH(A1397,tbl_recyclass[ProductId],0))="Não","Lacuna face à meta 2030","Isento")),IF(B1397="EU-ENV-011",IF(INDEX(tbl_familias_ppwr[Metais_Pesados_Evidencia],MATCH(INDEX(tbl_recyclass[Familia_PPWR],MATCH(A1397,tbl_recyclass[ProductId],0)),tbl_familias_ppwr[ID_Familia],0))="Em falta","Lacuna","Conforme"),IF(B1397="EU-ENV-013",IF(INDEX(tbl_familias_ppwr[Declaracao_UE],MATCH(INDEX(tbl_recyclass[Familia_PPWR],MATCH(A1397,tbl_recyclass[ProductId],0)),tbl_familias_ppwr[ID_Familia],0))="Sim","Conforme","Lacuna"),G1397)))),G1397))</f>
        <v>Não aplicável</v>
      </c>
      <c r="I1397" s="33" t="str">
        <f t="shared" si="21"/>
        <v>Não aplicável</v>
      </c>
      <c r="J1397" s="26"/>
    </row>
    <row r="1398" spans="1:10" ht="16.05" customHeight="1" x14ac:dyDescent="0.3">
      <c r="A1398" s="26" t="s">
        <v>760</v>
      </c>
      <c r="B1398" s="26" t="s">
        <v>1170</v>
      </c>
      <c r="C1398" s="33" t="str">
        <f>IFERROR(INDEX(tbl_requisitos_emb[Tema],MATCH(B1398,tbl_requisitos_emb[ID_Req],0)),"")</f>
        <v>Boas práticas de fabrico FCM</v>
      </c>
      <c r="D1398" s="33" t="str">
        <f>IFERROR(INDEX(tbl_recyclass[Segmento],MATCH(A1398,tbl_recyclass[ProductId],0)),"")</f>
        <v>Cosmética e higiene pessoal</v>
      </c>
      <c r="E1398" s="26" t="s">
        <v>904</v>
      </c>
      <c r="F1398" s="26" t="s">
        <v>1450</v>
      </c>
      <c r="G1398" s="26" t="s">
        <v>1143</v>
      </c>
      <c r="H1398" s="33" t="str">
        <f>IF(E1398="Não","Não aplicável",IFERROR(IF(B1398="EU-ENV-002",IF(INDEX(tbl_recyclass[Conforme_PPWR_2030],MATCH(A1398,tbl_recyclass[ProductId],0))="Sim","Conforme (autoavaliação)",IF(INDEX(tbl_recyclass[Conforme_PPWR_2030],MATCH(A1398,tbl_recyclass[ProductId],0))="Não","Não conforme em 2030","Isento até 2035")),IF(B1398="EU-ENV-003",IF(INDEX(tbl_recyclass[Conforme_Art7_2030],MATCH(A1398,tbl_recyclass[ProductId],0))="Sim","Conforme (meta 2030)",IF(INDEX(tbl_recyclass[Conforme_Art7_2030],MATCH(A1398,tbl_recyclass[ProductId],0))="Não","Lacuna face à meta 2030","Isento")),IF(B1398="EU-ENV-011",IF(INDEX(tbl_familias_ppwr[Metais_Pesados_Evidencia],MATCH(INDEX(tbl_recyclass[Familia_PPWR],MATCH(A1398,tbl_recyclass[ProductId],0)),tbl_familias_ppwr[ID_Familia],0))="Em falta","Lacuna","Conforme"),IF(B1398="EU-ENV-013",IF(INDEX(tbl_familias_ppwr[Declaracao_UE],MATCH(INDEX(tbl_recyclass[Familia_PPWR],MATCH(A1398,tbl_recyclass[ProductId],0)),tbl_familias_ppwr[ID_Familia],0))="Sim","Conforme","Lacuna"),G1398)))),G1398))</f>
        <v>Não aplicável</v>
      </c>
      <c r="I1398" s="33" t="str">
        <f t="shared" si="21"/>
        <v>Não aplicável</v>
      </c>
      <c r="J1398" s="26"/>
    </row>
    <row r="1399" spans="1:10" ht="16.05" customHeight="1" x14ac:dyDescent="0.3">
      <c r="A1399" s="26" t="s">
        <v>760</v>
      </c>
      <c r="B1399" s="26" t="s">
        <v>1179</v>
      </c>
      <c r="C1399" s="33" t="str">
        <f>IFERROR(INDEX(tbl_requisitos_emb[Tema],MATCH(B1399,tbl_requisitos_emb[ID_Req],0)),"")</f>
        <v>Bisfenol A e bisfenóis perigosos</v>
      </c>
      <c r="D1399" s="33" t="str">
        <f>IFERROR(INDEX(tbl_recyclass[Segmento],MATCH(A1399,tbl_recyclass[ProductId],0)),"")</f>
        <v>Cosmética e higiene pessoal</v>
      </c>
      <c r="E1399" s="26" t="s">
        <v>904</v>
      </c>
      <c r="F1399" s="26" t="s">
        <v>1450</v>
      </c>
      <c r="G1399" s="26" t="s">
        <v>1143</v>
      </c>
      <c r="H1399" s="33" t="str">
        <f>IF(E1399="Não","Não aplicável",IFERROR(IF(B1399="EU-ENV-002",IF(INDEX(tbl_recyclass[Conforme_PPWR_2030],MATCH(A1399,tbl_recyclass[ProductId],0))="Sim","Conforme (autoavaliação)",IF(INDEX(tbl_recyclass[Conforme_PPWR_2030],MATCH(A1399,tbl_recyclass[ProductId],0))="Não","Não conforme em 2030","Isento até 2035")),IF(B1399="EU-ENV-003",IF(INDEX(tbl_recyclass[Conforme_Art7_2030],MATCH(A1399,tbl_recyclass[ProductId],0))="Sim","Conforme (meta 2030)",IF(INDEX(tbl_recyclass[Conforme_Art7_2030],MATCH(A1399,tbl_recyclass[ProductId],0))="Não","Lacuna face à meta 2030","Isento")),IF(B1399="EU-ENV-011",IF(INDEX(tbl_familias_ppwr[Metais_Pesados_Evidencia],MATCH(INDEX(tbl_recyclass[Familia_PPWR],MATCH(A1399,tbl_recyclass[ProductId],0)),tbl_familias_ppwr[ID_Familia],0))="Em falta","Lacuna","Conforme"),IF(B1399="EU-ENV-013",IF(INDEX(tbl_familias_ppwr[Declaracao_UE],MATCH(INDEX(tbl_recyclass[Familia_PPWR],MATCH(A1399,tbl_recyclass[ProductId],0)),tbl_familias_ppwr[ID_Familia],0))="Sim","Conforme","Lacuna"),G1399)))),G1399))</f>
        <v>Não aplicável</v>
      </c>
      <c r="I1399" s="33" t="str">
        <f t="shared" si="21"/>
        <v>Não aplicável</v>
      </c>
      <c r="J1399" s="26"/>
    </row>
    <row r="1400" spans="1:10" ht="16.05" customHeight="1" x14ac:dyDescent="0.3">
      <c r="A1400" s="26" t="s">
        <v>760</v>
      </c>
      <c r="B1400" s="26" t="s">
        <v>1188</v>
      </c>
      <c r="C1400" s="33" t="str">
        <f>IFERROR(INDEX(tbl_requisitos_emb[Tema],MATCH(B1400,tbl_requisitos_emb[ID_Req],0)),"")</f>
        <v>Plásticos em contacto com alimentos</v>
      </c>
      <c r="D1400" s="33" t="str">
        <f>IFERROR(INDEX(tbl_recyclass[Segmento],MATCH(A1400,tbl_recyclass[ProductId],0)),"")</f>
        <v>Cosmética e higiene pessoal</v>
      </c>
      <c r="E1400" s="26" t="s">
        <v>904</v>
      </c>
      <c r="F1400" s="26" t="s">
        <v>1450</v>
      </c>
      <c r="G1400" s="26" t="s">
        <v>1143</v>
      </c>
      <c r="H1400" s="33" t="str">
        <f>IF(E1400="Não","Não aplicável",IFERROR(IF(B1400="EU-ENV-002",IF(INDEX(tbl_recyclass[Conforme_PPWR_2030],MATCH(A1400,tbl_recyclass[ProductId],0))="Sim","Conforme (autoavaliação)",IF(INDEX(tbl_recyclass[Conforme_PPWR_2030],MATCH(A1400,tbl_recyclass[ProductId],0))="Não","Não conforme em 2030","Isento até 2035")),IF(B1400="EU-ENV-003",IF(INDEX(tbl_recyclass[Conforme_Art7_2030],MATCH(A1400,tbl_recyclass[ProductId],0))="Sim","Conforme (meta 2030)",IF(INDEX(tbl_recyclass[Conforme_Art7_2030],MATCH(A1400,tbl_recyclass[ProductId],0))="Não","Lacuna face à meta 2030","Isento")),IF(B1400="EU-ENV-011",IF(INDEX(tbl_familias_ppwr[Metais_Pesados_Evidencia],MATCH(INDEX(tbl_recyclass[Familia_PPWR],MATCH(A1400,tbl_recyclass[ProductId],0)),tbl_familias_ppwr[ID_Familia],0))="Em falta","Lacuna","Conforme"),IF(B1400="EU-ENV-013",IF(INDEX(tbl_familias_ppwr[Declaracao_UE],MATCH(INDEX(tbl_recyclass[Familia_PPWR],MATCH(A1400,tbl_recyclass[ProductId],0)),tbl_familias_ppwr[ID_Familia],0))="Sim","Conforme","Lacuna"),G1400)))),G1400))</f>
        <v>Não aplicável</v>
      </c>
      <c r="I1400" s="33" t="str">
        <f t="shared" si="21"/>
        <v>Não aplicável</v>
      </c>
      <c r="J1400" s="26"/>
    </row>
    <row r="1401" spans="1:10" ht="16.05" customHeight="1" x14ac:dyDescent="0.3">
      <c r="A1401" s="26" t="s">
        <v>760</v>
      </c>
      <c r="B1401" s="26" t="s">
        <v>1212</v>
      </c>
      <c r="C1401" s="33" t="str">
        <f>IFERROR(INDEX(tbl_requisitos_emb[Tema],MATCH(B1401,tbl_requisitos_emb[ID_Req],0)),"")</f>
        <v>Segurança do produto cosmético</v>
      </c>
      <c r="D1401" s="33" t="str">
        <f>IFERROR(INDEX(tbl_recyclass[Segmento],MATCH(A1401,tbl_recyclass[ProductId],0)),"")</f>
        <v>Cosmética e higiene pessoal</v>
      </c>
      <c r="E1401" s="26" t="s">
        <v>901</v>
      </c>
      <c r="F1401" s="26" t="s">
        <v>1449</v>
      </c>
      <c r="G1401" s="26" t="s">
        <v>1033</v>
      </c>
      <c r="H1401" s="33" t="str">
        <f>IF(E1401="Não","Não aplicável",IFERROR(IF(B1401="EU-ENV-002",IF(INDEX(tbl_recyclass[Conforme_PPWR_2030],MATCH(A1401,tbl_recyclass[ProductId],0))="Sim","Conforme (autoavaliação)",IF(INDEX(tbl_recyclass[Conforme_PPWR_2030],MATCH(A1401,tbl_recyclass[ProductId],0))="Não","Não conforme em 2030","Isento até 2035")),IF(B1401="EU-ENV-003",IF(INDEX(tbl_recyclass[Conforme_Art7_2030],MATCH(A1401,tbl_recyclass[ProductId],0))="Sim","Conforme (meta 2030)",IF(INDEX(tbl_recyclass[Conforme_Art7_2030],MATCH(A1401,tbl_recyclass[ProductId],0))="Não","Lacuna face à meta 2030","Isento")),IF(B1401="EU-ENV-011",IF(INDEX(tbl_familias_ppwr[Metais_Pesados_Evidencia],MATCH(INDEX(tbl_recyclass[Familia_PPWR],MATCH(A1401,tbl_recyclass[ProductId],0)),tbl_familias_ppwr[ID_Familia],0))="Em falta","Lacuna","Conforme"),IF(B1401="EU-ENV-013",IF(INDEX(tbl_familias_ppwr[Declaracao_UE],MATCH(INDEX(tbl_recyclass[Familia_PPWR],MATCH(A1401,tbl_recyclass[ProductId],0)),tbl_familias_ppwr[ID_Familia],0))="Sim","Conforme","Lacuna"),G1401)))),G1401))</f>
        <v>Conforme</v>
      </c>
      <c r="I1401" s="33" t="str">
        <f t="shared" si="21"/>
        <v>Conforme</v>
      </c>
      <c r="J1401" s="26" t="s">
        <v>1221</v>
      </c>
    </row>
    <row r="1402" spans="1:10" ht="16.05" customHeight="1" x14ac:dyDescent="0.3">
      <c r="A1402" s="26" t="s">
        <v>760</v>
      </c>
      <c r="B1402" s="26" t="s">
        <v>1224</v>
      </c>
      <c r="C1402" s="33" t="str">
        <f>IFERROR(INDEX(tbl_requisitos_emb[Tema],MATCH(B1402,tbl_requisitos_emb[ID_Req],0)),"")</f>
        <v>Materiais e impurezas</v>
      </c>
      <c r="D1402" s="33" t="str">
        <f>IFERROR(INDEX(tbl_recyclass[Segmento],MATCH(A1402,tbl_recyclass[ProductId],0)),"")</f>
        <v>Cosmética e higiene pessoal</v>
      </c>
      <c r="E1402" s="26" t="s">
        <v>901</v>
      </c>
      <c r="F1402" s="26" t="s">
        <v>1449</v>
      </c>
      <c r="G1402" s="26" t="s">
        <v>978</v>
      </c>
      <c r="H1402" s="33" t="str">
        <f>IF(E1402="Não","Não aplicável",IFERROR(IF(B1402="EU-ENV-002",IF(INDEX(tbl_recyclass[Conforme_PPWR_2030],MATCH(A1402,tbl_recyclass[ProductId],0))="Sim","Conforme (autoavaliação)",IF(INDEX(tbl_recyclass[Conforme_PPWR_2030],MATCH(A1402,tbl_recyclass[ProductId],0))="Não","Não conforme em 2030","Isento até 2035")),IF(B1402="EU-ENV-003",IF(INDEX(tbl_recyclass[Conforme_Art7_2030],MATCH(A1402,tbl_recyclass[ProductId],0))="Sim","Conforme (meta 2030)",IF(INDEX(tbl_recyclass[Conforme_Art7_2030],MATCH(A1402,tbl_recyclass[ProductId],0))="Não","Lacuna face à meta 2030","Isento")),IF(B1402="EU-ENV-011",IF(INDEX(tbl_familias_ppwr[Metais_Pesados_Evidencia],MATCH(INDEX(tbl_recyclass[Familia_PPWR],MATCH(A1402,tbl_recyclass[ProductId],0)),tbl_familias_ppwr[ID_Familia],0))="Em falta","Lacuna","Conforme"),IF(B1402="EU-ENV-013",IF(INDEX(tbl_familias_ppwr[Declaracao_UE],MATCH(INDEX(tbl_recyclass[Familia_PPWR],MATCH(A1402,tbl_recyclass[ProductId],0)),tbl_familias_ppwr[ID_Familia],0))="Sim","Conforme","Lacuna"),G1402)))),G1402))</f>
        <v>Parcial</v>
      </c>
      <c r="I1402" s="33" t="str">
        <f t="shared" si="21"/>
        <v>Parcial</v>
      </c>
      <c r="J1402" s="26" t="s">
        <v>1228</v>
      </c>
    </row>
    <row r="1403" spans="1:10" ht="16.05" customHeight="1" x14ac:dyDescent="0.3">
      <c r="A1403" s="26" t="s">
        <v>760</v>
      </c>
      <c r="B1403" s="26" t="s">
        <v>1240</v>
      </c>
      <c r="C1403" s="33" t="str">
        <f>IFERROR(INDEX(tbl_requisitos_emb[Tema],MATCH(B1403,tbl_requisitos_emb[ID_Req],0)),"")</f>
        <v>Compatibilidade embalagem–produto</v>
      </c>
      <c r="D1403" s="33" t="str">
        <f>IFERROR(INDEX(tbl_recyclass[Segmento],MATCH(A1403,tbl_recyclass[ProductId],0)),"")</f>
        <v>Cosmética e higiene pessoal</v>
      </c>
      <c r="E1403" s="26" t="s">
        <v>901</v>
      </c>
      <c r="F1403" s="26" t="s">
        <v>1449</v>
      </c>
      <c r="G1403" s="26" t="s">
        <v>1033</v>
      </c>
      <c r="H1403" s="33" t="str">
        <f>IF(E1403="Não","Não aplicável",IFERROR(IF(B1403="EU-ENV-002",IF(INDEX(tbl_recyclass[Conforme_PPWR_2030],MATCH(A1403,tbl_recyclass[ProductId],0))="Sim","Conforme (autoavaliação)",IF(INDEX(tbl_recyclass[Conforme_PPWR_2030],MATCH(A1403,tbl_recyclass[ProductId],0))="Não","Não conforme em 2030","Isento até 2035")),IF(B1403="EU-ENV-003",IF(INDEX(tbl_recyclass[Conforme_Art7_2030],MATCH(A1403,tbl_recyclass[ProductId],0))="Sim","Conforme (meta 2030)",IF(INDEX(tbl_recyclass[Conforme_Art7_2030],MATCH(A1403,tbl_recyclass[ProductId],0))="Não","Lacuna face à meta 2030","Isento")),IF(B1403="EU-ENV-011",IF(INDEX(tbl_familias_ppwr[Metais_Pesados_Evidencia],MATCH(INDEX(tbl_recyclass[Familia_PPWR],MATCH(A1403,tbl_recyclass[ProductId],0)),tbl_familias_ppwr[ID_Familia],0))="Em falta","Lacuna","Conforme"),IF(B1403="EU-ENV-013",IF(INDEX(tbl_familias_ppwr[Declaracao_UE],MATCH(INDEX(tbl_recyclass[Familia_PPWR],MATCH(A1403,tbl_recyclass[ProductId],0)),tbl_familias_ppwr[ID_Familia],0))="Sim","Conforme","Lacuna"),G1403)))),G1403))</f>
        <v>Conforme</v>
      </c>
      <c r="I1403" s="33" t="str">
        <f t="shared" si="21"/>
        <v>Conforme</v>
      </c>
      <c r="J1403" s="26" t="s">
        <v>1244</v>
      </c>
    </row>
    <row r="1404" spans="1:10" ht="16.05" customHeight="1" x14ac:dyDescent="0.3">
      <c r="A1404" s="26" t="s">
        <v>760</v>
      </c>
      <c r="B1404" s="26" t="s">
        <v>1252</v>
      </c>
      <c r="C1404" s="33" t="str">
        <f>IFERROR(INDEX(tbl_requisitos_emb[Tema],MATCH(B1404,tbl_requisitos_emb[ID_Req],0)),"")</f>
        <v>Medicamentos de uso humano</v>
      </c>
      <c r="D1404" s="33" t="str">
        <f>IFERROR(INDEX(tbl_recyclass[Segmento],MATCH(A1404,tbl_recyclass[ProductId],0)),"")</f>
        <v>Cosmética e higiene pessoal</v>
      </c>
      <c r="E1404" s="26" t="s">
        <v>904</v>
      </c>
      <c r="F1404" s="26" t="s">
        <v>1451</v>
      </c>
      <c r="G1404" s="26" t="s">
        <v>1143</v>
      </c>
      <c r="H1404" s="33" t="str">
        <f>IF(E1404="Não","Não aplicável",IFERROR(IF(B1404="EU-ENV-002",IF(INDEX(tbl_recyclass[Conforme_PPWR_2030],MATCH(A1404,tbl_recyclass[ProductId],0))="Sim","Conforme (autoavaliação)",IF(INDEX(tbl_recyclass[Conforme_PPWR_2030],MATCH(A1404,tbl_recyclass[ProductId],0))="Não","Não conforme em 2030","Isento até 2035")),IF(B1404="EU-ENV-003",IF(INDEX(tbl_recyclass[Conforme_Art7_2030],MATCH(A1404,tbl_recyclass[ProductId],0))="Sim","Conforme (meta 2030)",IF(INDEX(tbl_recyclass[Conforme_Art7_2030],MATCH(A1404,tbl_recyclass[ProductId],0))="Não","Lacuna face à meta 2030","Isento")),IF(B1404="EU-ENV-011",IF(INDEX(tbl_familias_ppwr[Metais_Pesados_Evidencia],MATCH(INDEX(tbl_recyclass[Familia_PPWR],MATCH(A1404,tbl_recyclass[ProductId],0)),tbl_familias_ppwr[ID_Familia],0))="Em falta","Lacuna","Conforme"),IF(B1404="EU-ENV-013",IF(INDEX(tbl_familias_ppwr[Declaracao_UE],MATCH(INDEX(tbl_recyclass[Familia_PPWR],MATCH(A1404,tbl_recyclass[ProductId],0)),tbl_familias_ppwr[ID_Familia],0))="Sim","Conforme","Lacuna"),G1404)))),G1404))</f>
        <v>Não aplicável</v>
      </c>
      <c r="I1404" s="33" t="str">
        <f t="shared" si="21"/>
        <v>Não aplicável</v>
      </c>
      <c r="J1404" s="26"/>
    </row>
    <row r="1405" spans="1:10" ht="16.05" customHeight="1" x14ac:dyDescent="0.3">
      <c r="A1405" s="26" t="s">
        <v>760</v>
      </c>
      <c r="B1405" s="26" t="s">
        <v>1268</v>
      </c>
      <c r="C1405" s="33" t="str">
        <f>IFERROR(INDEX(tbl_requisitos_emb[Tema],MATCH(B1405,tbl_requisitos_emb[ID_Req],0)),"")</f>
        <v>Dispositivos de segurança</v>
      </c>
      <c r="D1405" s="33" t="str">
        <f>IFERROR(INDEX(tbl_recyclass[Segmento],MATCH(A1405,tbl_recyclass[ProductId],0)),"")</f>
        <v>Cosmética e higiene pessoal</v>
      </c>
      <c r="E1405" s="26" t="s">
        <v>904</v>
      </c>
      <c r="F1405" s="26" t="s">
        <v>1451</v>
      </c>
      <c r="G1405" s="26" t="s">
        <v>1143</v>
      </c>
      <c r="H1405" s="33" t="str">
        <f>IF(E1405="Não","Não aplicável",IFERROR(IF(B1405="EU-ENV-002",IF(INDEX(tbl_recyclass[Conforme_PPWR_2030],MATCH(A1405,tbl_recyclass[ProductId],0))="Sim","Conforme (autoavaliação)",IF(INDEX(tbl_recyclass[Conforme_PPWR_2030],MATCH(A1405,tbl_recyclass[ProductId],0))="Não","Não conforme em 2030","Isento até 2035")),IF(B1405="EU-ENV-003",IF(INDEX(tbl_recyclass[Conforme_Art7_2030],MATCH(A1405,tbl_recyclass[ProductId],0))="Sim","Conforme (meta 2030)",IF(INDEX(tbl_recyclass[Conforme_Art7_2030],MATCH(A1405,tbl_recyclass[ProductId],0))="Não","Lacuna face à meta 2030","Isento")),IF(B1405="EU-ENV-011",IF(INDEX(tbl_familias_ppwr[Metais_Pesados_Evidencia],MATCH(INDEX(tbl_recyclass[Familia_PPWR],MATCH(A1405,tbl_recyclass[ProductId],0)),tbl_familias_ppwr[ID_Familia],0))="Em falta","Lacuna","Conforme"),IF(B1405="EU-ENV-013",IF(INDEX(tbl_familias_ppwr[Declaracao_UE],MATCH(INDEX(tbl_recyclass[Familia_PPWR],MATCH(A1405,tbl_recyclass[ProductId],0)),tbl_familias_ppwr[ID_Familia],0))="Sim","Conforme","Lacuna"),G1405)))),G1405))</f>
        <v>Não aplicável</v>
      </c>
      <c r="I1405" s="33" t="str">
        <f t="shared" si="21"/>
        <v>Não aplicável</v>
      </c>
      <c r="J1405" s="26"/>
    </row>
    <row r="1406" spans="1:10" ht="16.05" customHeight="1" x14ac:dyDescent="0.3">
      <c r="A1406" s="26" t="s">
        <v>760</v>
      </c>
      <c r="B1406" s="26" t="s">
        <v>1285</v>
      </c>
      <c r="C1406" s="33" t="str">
        <f>IFERROR(INDEX(tbl_requisitos_emb[Tema],MATCH(B1406,tbl_requisitos_emb[ID_Req],0)),"")</f>
        <v>Materiais plásticos de acondicionamento primário</v>
      </c>
      <c r="D1406" s="33" t="str">
        <f>IFERROR(INDEX(tbl_recyclass[Segmento],MATCH(A1406,tbl_recyclass[ProductId],0)),"")</f>
        <v>Cosmética e higiene pessoal</v>
      </c>
      <c r="E1406" s="26" t="s">
        <v>904</v>
      </c>
      <c r="F1406" s="26" t="s">
        <v>1451</v>
      </c>
      <c r="G1406" s="26" t="s">
        <v>1143</v>
      </c>
      <c r="H1406" s="33" t="str">
        <f>IF(E1406="Não","Não aplicável",IFERROR(IF(B1406="EU-ENV-002",IF(INDEX(tbl_recyclass[Conforme_PPWR_2030],MATCH(A1406,tbl_recyclass[ProductId],0))="Sim","Conforme (autoavaliação)",IF(INDEX(tbl_recyclass[Conforme_PPWR_2030],MATCH(A1406,tbl_recyclass[ProductId],0))="Não","Não conforme em 2030","Isento até 2035")),IF(B1406="EU-ENV-003",IF(INDEX(tbl_recyclass[Conforme_Art7_2030],MATCH(A1406,tbl_recyclass[ProductId],0))="Sim","Conforme (meta 2030)",IF(INDEX(tbl_recyclass[Conforme_Art7_2030],MATCH(A1406,tbl_recyclass[ProductId],0))="Não","Lacuna face à meta 2030","Isento")),IF(B1406="EU-ENV-011",IF(INDEX(tbl_familias_ppwr[Metais_Pesados_Evidencia],MATCH(INDEX(tbl_recyclass[Familia_PPWR],MATCH(A1406,tbl_recyclass[ProductId],0)),tbl_familias_ppwr[ID_Familia],0))="Em falta","Lacuna","Conforme"),IF(B1406="EU-ENV-013",IF(INDEX(tbl_familias_ppwr[Declaracao_UE],MATCH(INDEX(tbl_recyclass[Familia_PPWR],MATCH(A1406,tbl_recyclass[ProductId],0)),tbl_familias_ppwr[ID_Familia],0))="Sim","Conforme","Lacuna"),G1406)))),G1406))</f>
        <v>Não aplicável</v>
      </c>
      <c r="I1406" s="33" t="str">
        <f t="shared" si="21"/>
        <v>Não aplicável</v>
      </c>
      <c r="J1406" s="26"/>
    </row>
    <row r="1407" spans="1:10" ht="16.05" customHeight="1" x14ac:dyDescent="0.3">
      <c r="A1407" s="26" t="s">
        <v>760</v>
      </c>
      <c r="B1407" s="26" t="s">
        <v>1293</v>
      </c>
      <c r="C1407" s="33" t="str">
        <f>IFERROR(INDEX(tbl_requisitos_emb[Tema],MATCH(B1407,tbl_requisitos_emb[ID_Req],0)),"")</f>
        <v>Isenções PPWR</v>
      </c>
      <c r="D1407" s="33" t="str">
        <f>IFERROR(INDEX(tbl_recyclass[Segmento],MATCH(A1407,tbl_recyclass[ProductId],0)),"")</f>
        <v>Cosmética e higiene pessoal</v>
      </c>
      <c r="E1407" s="26" t="s">
        <v>904</v>
      </c>
      <c r="F1407" s="26" t="s">
        <v>1451</v>
      </c>
      <c r="G1407" s="26" t="s">
        <v>1143</v>
      </c>
      <c r="H1407" s="33" t="str">
        <f>IF(E1407="Não","Não aplicável",IFERROR(IF(B1407="EU-ENV-002",IF(INDEX(tbl_recyclass[Conforme_PPWR_2030],MATCH(A1407,tbl_recyclass[ProductId],0))="Sim","Conforme (autoavaliação)",IF(INDEX(tbl_recyclass[Conforme_PPWR_2030],MATCH(A1407,tbl_recyclass[ProductId],0))="Não","Não conforme em 2030","Isento até 2035")),IF(B1407="EU-ENV-003",IF(INDEX(tbl_recyclass[Conforme_Art7_2030],MATCH(A1407,tbl_recyclass[ProductId],0))="Sim","Conforme (meta 2030)",IF(INDEX(tbl_recyclass[Conforme_Art7_2030],MATCH(A1407,tbl_recyclass[ProductId],0))="Não","Lacuna face à meta 2030","Isento")),IF(B1407="EU-ENV-011",IF(INDEX(tbl_familias_ppwr[Metais_Pesados_Evidencia],MATCH(INDEX(tbl_recyclass[Familia_PPWR],MATCH(A1407,tbl_recyclass[ProductId],0)),tbl_familias_ppwr[ID_Familia],0))="Em falta","Lacuna","Conforme"),IF(B1407="EU-ENV-013",IF(INDEX(tbl_familias_ppwr[Declaracao_UE],MATCH(INDEX(tbl_recyclass[Familia_PPWR],MATCH(A1407,tbl_recyclass[ProductId],0)),tbl_familias_ppwr[ID_Familia],0))="Sim","Conforme","Lacuna"),G1407)))),G1407))</f>
        <v>Não aplicável</v>
      </c>
      <c r="I1407" s="33" t="str">
        <f t="shared" si="21"/>
        <v>Não aplicável</v>
      </c>
      <c r="J1407" s="26"/>
    </row>
    <row r="1408" spans="1:10" ht="16.05" customHeight="1" x14ac:dyDescent="0.3">
      <c r="A1408" s="26" t="s">
        <v>760</v>
      </c>
      <c r="B1408" s="26" t="s">
        <v>1357</v>
      </c>
      <c r="C1408" s="33" t="str">
        <f>IFERROR(INDEX(tbl_requisitos_emb[Tema],MATCH(B1408,tbl_requisitos_emb[ID_Req],0)),"")</f>
        <v>Identificação de plásticos</v>
      </c>
      <c r="D1408" s="33" t="str">
        <f>IFERROR(INDEX(tbl_recyclass[Segmento],MATCH(A1408,tbl_recyclass[ProductId],0)),"")</f>
        <v>Cosmética e higiene pessoal</v>
      </c>
      <c r="E1408" s="26" t="s">
        <v>901</v>
      </c>
      <c r="F1408" s="26" t="s">
        <v>1449</v>
      </c>
      <c r="G1408" s="26" t="s">
        <v>978</v>
      </c>
      <c r="H1408" s="33" t="str">
        <f>IF(E1408="Não","Não aplicável",IFERROR(IF(B1408="EU-ENV-002",IF(INDEX(tbl_recyclass[Conforme_PPWR_2030],MATCH(A1408,tbl_recyclass[ProductId],0))="Sim","Conforme (autoavaliação)",IF(INDEX(tbl_recyclass[Conforme_PPWR_2030],MATCH(A1408,tbl_recyclass[ProductId],0))="Não","Não conforme em 2030","Isento até 2035")),IF(B1408="EU-ENV-003",IF(INDEX(tbl_recyclass[Conforme_Art7_2030],MATCH(A1408,tbl_recyclass[ProductId],0))="Sim","Conforme (meta 2030)",IF(INDEX(tbl_recyclass[Conforme_Art7_2030],MATCH(A1408,tbl_recyclass[ProductId],0))="Não","Lacuna face à meta 2030","Isento")),IF(B1408="EU-ENV-011",IF(INDEX(tbl_familias_ppwr[Metais_Pesados_Evidencia],MATCH(INDEX(tbl_recyclass[Familia_PPWR],MATCH(A1408,tbl_recyclass[ProductId],0)),tbl_familias_ppwr[ID_Familia],0))="Em falta","Lacuna","Conforme"),IF(B1408="EU-ENV-013",IF(INDEX(tbl_familias_ppwr[Declaracao_UE],MATCH(INDEX(tbl_recyclass[Familia_PPWR],MATCH(A1408,tbl_recyclass[ProductId],0)),tbl_familias_ppwr[ID_Familia],0))="Sim","Conforme","Lacuna"),G1408)))),G1408))</f>
        <v>Parcial</v>
      </c>
      <c r="I1408" s="33" t="str">
        <f t="shared" si="21"/>
        <v>Parcial</v>
      </c>
      <c r="J1408" s="26" t="s">
        <v>1362</v>
      </c>
    </row>
    <row r="1409" spans="1:10" ht="16.05" customHeight="1" x14ac:dyDescent="0.3">
      <c r="A1409" s="26" t="s">
        <v>760</v>
      </c>
      <c r="B1409" s="26" t="s">
        <v>1385</v>
      </c>
      <c r="C1409" s="33" t="str">
        <f>IFERROR(INDEX(tbl_requisitos_emb[Tema],MATCH(B1409,tbl_requisitos_emb[ID_Req],0)),"")</f>
        <v>Reciclabilidade (voluntária)</v>
      </c>
      <c r="D1409" s="33" t="str">
        <f>IFERROR(INDEX(tbl_recyclass[Segmento],MATCH(A1409,tbl_recyclass[ProductId],0)),"")</f>
        <v>Cosmética e higiene pessoal</v>
      </c>
      <c r="E1409" s="26" t="s">
        <v>901</v>
      </c>
      <c r="F1409" s="26" t="s">
        <v>1449</v>
      </c>
      <c r="G1409" s="26" t="s">
        <v>978</v>
      </c>
      <c r="H1409" s="33" t="str">
        <f>IF(E1409="Não","Não aplicável",IFERROR(IF(B1409="EU-ENV-002",IF(INDEX(tbl_recyclass[Conforme_PPWR_2030],MATCH(A1409,tbl_recyclass[ProductId],0))="Sim","Conforme (autoavaliação)",IF(INDEX(tbl_recyclass[Conforme_PPWR_2030],MATCH(A1409,tbl_recyclass[ProductId],0))="Não","Não conforme em 2030","Isento até 2035")),IF(B1409="EU-ENV-003",IF(INDEX(tbl_recyclass[Conforme_Art7_2030],MATCH(A1409,tbl_recyclass[ProductId],0))="Sim","Conforme (meta 2030)",IF(INDEX(tbl_recyclass[Conforme_Art7_2030],MATCH(A1409,tbl_recyclass[ProductId],0))="Não","Lacuna face à meta 2030","Isento")),IF(B1409="EU-ENV-011",IF(INDEX(tbl_familias_ppwr[Metais_Pesados_Evidencia],MATCH(INDEX(tbl_recyclass[Familia_PPWR],MATCH(A1409,tbl_recyclass[ProductId],0)),tbl_familias_ppwr[ID_Familia],0))="Em falta","Lacuna","Conforme"),IF(B1409="EU-ENV-013",IF(INDEX(tbl_familias_ppwr[Declaracao_UE],MATCH(INDEX(tbl_recyclass[Familia_PPWR],MATCH(A1409,tbl_recyclass[ProductId],0)),tbl_familias_ppwr[ID_Familia],0))="Sim","Conforme","Lacuna"),G1409)))),G1409))</f>
        <v>Parcial</v>
      </c>
      <c r="I1409" s="33" t="str">
        <f t="shared" si="21"/>
        <v>Parcial</v>
      </c>
      <c r="J1409" s="26" t="s">
        <v>1389</v>
      </c>
    </row>
    <row r="1410" spans="1:10" ht="16.05" customHeight="1" x14ac:dyDescent="0.3">
      <c r="A1410" s="26" t="s">
        <v>762</v>
      </c>
      <c r="B1410" s="26" t="s">
        <v>984</v>
      </c>
      <c r="C1410" s="33" t="str">
        <f>IFERROR(INDEX(tbl_requisitos_emb[Tema],MATCH(B1410,tbl_requisitos_emb[ID_Req],0)),"")</f>
        <v>Conceção para reciclagem</v>
      </c>
      <c r="D1410" s="33" t="str">
        <f>IFERROR(INDEX(tbl_recyclass[Segmento],MATCH(A1410,tbl_recyclass[ProductId],0)),"")</f>
        <v>Cosmética e higiene pessoal</v>
      </c>
      <c r="E1410" s="26" t="s">
        <v>901</v>
      </c>
      <c r="F1410" s="26" t="s">
        <v>1449</v>
      </c>
      <c r="G1410" s="26" t="s">
        <v>978</v>
      </c>
      <c r="H1410" s="33" t="str">
        <f>IF(E1410="Não","Não aplicável",IFERROR(IF(B1410="EU-ENV-002",IF(INDEX(tbl_recyclass[Conforme_PPWR_2030],MATCH(A1410,tbl_recyclass[ProductId],0))="Sim","Conforme (autoavaliação)",IF(INDEX(tbl_recyclass[Conforme_PPWR_2030],MATCH(A1410,tbl_recyclass[ProductId],0))="Não","Não conforme em 2030","Isento até 2035")),IF(B1410="EU-ENV-003",IF(INDEX(tbl_recyclass[Conforme_Art7_2030],MATCH(A1410,tbl_recyclass[ProductId],0))="Sim","Conforme (meta 2030)",IF(INDEX(tbl_recyclass[Conforme_Art7_2030],MATCH(A1410,tbl_recyclass[ProductId],0))="Não","Lacuna face à meta 2030","Isento")),IF(B1410="EU-ENV-011",IF(INDEX(tbl_familias_ppwr[Metais_Pesados_Evidencia],MATCH(INDEX(tbl_recyclass[Familia_PPWR],MATCH(A1410,tbl_recyclass[ProductId],0)),tbl_familias_ppwr[ID_Familia],0))="Em falta","Lacuna","Conforme"),IF(B1410="EU-ENV-013",IF(INDEX(tbl_familias_ppwr[Declaracao_UE],MATCH(INDEX(tbl_recyclass[Familia_PPWR],MATCH(A1410,tbl_recyclass[ProductId],0)),tbl_familias_ppwr[ID_Familia],0))="Sim","Conforme","Lacuna"),G1410)))),G1410))</f>
        <v>Conforme (autoavaliação)</v>
      </c>
      <c r="I1410" s="33" t="str">
        <f t="shared" ref="I1410:I1473" si="22">IF(ISNUMBER(SEARCH("Não aplicável",H1410)),"Não aplicável",IF(ISNUMBER(SEARCH("Isento",H1410)),"Isento",IF(ISNUMBER(SEARCH("Não conforme",H1410)),"Não conforme",IF(ISNUMBER(SEARCH("Lacuna",H1410)),"Lacuna",IF(ISNUMBER(SEARCH("Conforme",H1410)),"Conforme",H1410)))))</f>
        <v>Conforme</v>
      </c>
      <c r="J1410" s="26" t="s">
        <v>991</v>
      </c>
    </row>
    <row r="1411" spans="1:10" ht="16.05" customHeight="1" x14ac:dyDescent="0.3">
      <c r="A1411" s="26" t="s">
        <v>762</v>
      </c>
      <c r="B1411" s="26" t="s">
        <v>997</v>
      </c>
      <c r="C1411" s="33" t="str">
        <f>IFERROR(INDEX(tbl_requisitos_emb[Tema],MATCH(B1411,tbl_requisitos_emb[ID_Req],0)),"")</f>
        <v>Conteúdo reciclado</v>
      </c>
      <c r="D1411" s="33" t="str">
        <f>IFERROR(INDEX(tbl_recyclass[Segmento],MATCH(A1411,tbl_recyclass[ProductId],0)),"")</f>
        <v>Cosmética e higiene pessoal</v>
      </c>
      <c r="E1411" s="26" t="s">
        <v>901</v>
      </c>
      <c r="F1411" s="26" t="s">
        <v>1449</v>
      </c>
      <c r="G1411" s="26" t="s">
        <v>978</v>
      </c>
      <c r="H1411" s="33" t="str">
        <f>IF(E1411="Não","Não aplicável",IFERROR(IF(B1411="EU-ENV-002",IF(INDEX(tbl_recyclass[Conforme_PPWR_2030],MATCH(A1411,tbl_recyclass[ProductId],0))="Sim","Conforme (autoavaliação)",IF(INDEX(tbl_recyclass[Conforme_PPWR_2030],MATCH(A1411,tbl_recyclass[ProductId],0))="Não","Não conforme em 2030","Isento até 2035")),IF(B1411="EU-ENV-003",IF(INDEX(tbl_recyclass[Conforme_Art7_2030],MATCH(A1411,tbl_recyclass[ProductId],0))="Sim","Conforme (meta 2030)",IF(INDEX(tbl_recyclass[Conforme_Art7_2030],MATCH(A1411,tbl_recyclass[ProductId],0))="Não","Lacuna face à meta 2030","Isento")),IF(B1411="EU-ENV-011",IF(INDEX(tbl_familias_ppwr[Metais_Pesados_Evidencia],MATCH(INDEX(tbl_recyclass[Familia_PPWR],MATCH(A1411,tbl_recyclass[ProductId],0)),tbl_familias_ppwr[ID_Familia],0))="Em falta","Lacuna","Conforme"),IF(B1411="EU-ENV-013",IF(INDEX(tbl_familias_ppwr[Declaracao_UE],MATCH(INDEX(tbl_recyclass[Familia_PPWR],MATCH(A1411,tbl_recyclass[ProductId],0)),tbl_familias_ppwr[ID_Familia],0))="Sim","Conforme","Lacuna"),G1411)))),G1411))</f>
        <v>Lacuna face à meta 2030</v>
      </c>
      <c r="I1411" s="33" t="str">
        <f t="shared" si="22"/>
        <v>Lacuna</v>
      </c>
      <c r="J1411" s="26" t="s">
        <v>1001</v>
      </c>
    </row>
    <row r="1412" spans="1:10" ht="16.05" customHeight="1" x14ac:dyDescent="0.3">
      <c r="A1412" s="26" t="s">
        <v>762</v>
      </c>
      <c r="B1412" s="26" t="s">
        <v>1007</v>
      </c>
      <c r="C1412" s="33" t="str">
        <f>IFERROR(INDEX(tbl_requisitos_emb[Tema],MATCH(B1412,tbl_requisitos_emb[ID_Req],0)),"")</f>
        <v>Minimização</v>
      </c>
      <c r="D1412" s="33" t="str">
        <f>IFERROR(INDEX(tbl_recyclass[Segmento],MATCH(A1412,tbl_recyclass[ProductId],0)),"")</f>
        <v>Cosmética e higiene pessoal</v>
      </c>
      <c r="E1412" s="26" t="s">
        <v>901</v>
      </c>
      <c r="F1412" s="26" t="s">
        <v>1449</v>
      </c>
      <c r="G1412" s="26" t="s">
        <v>978</v>
      </c>
      <c r="H1412" s="33" t="str">
        <f>IF(E1412="Não","Não aplicável",IFERROR(IF(B1412="EU-ENV-002",IF(INDEX(tbl_recyclass[Conforme_PPWR_2030],MATCH(A1412,tbl_recyclass[ProductId],0))="Sim","Conforme (autoavaliação)",IF(INDEX(tbl_recyclass[Conforme_PPWR_2030],MATCH(A1412,tbl_recyclass[ProductId],0))="Não","Não conforme em 2030","Isento até 2035")),IF(B1412="EU-ENV-003",IF(INDEX(tbl_recyclass[Conforme_Art7_2030],MATCH(A1412,tbl_recyclass[ProductId],0))="Sim","Conforme (meta 2030)",IF(INDEX(tbl_recyclass[Conforme_Art7_2030],MATCH(A1412,tbl_recyclass[ProductId],0))="Não","Lacuna face à meta 2030","Isento")),IF(B1412="EU-ENV-011",IF(INDEX(tbl_familias_ppwr[Metais_Pesados_Evidencia],MATCH(INDEX(tbl_recyclass[Familia_PPWR],MATCH(A1412,tbl_recyclass[ProductId],0)),tbl_familias_ppwr[ID_Familia],0))="Em falta","Lacuna","Conforme"),IF(B1412="EU-ENV-013",IF(INDEX(tbl_familias_ppwr[Declaracao_UE],MATCH(INDEX(tbl_recyclass[Familia_PPWR],MATCH(A1412,tbl_recyclass[ProductId],0)),tbl_familias_ppwr[ID_Familia],0))="Sim","Conforme","Lacuna"),G1412)))),G1412))</f>
        <v>Parcial</v>
      </c>
      <c r="I1412" s="33" t="str">
        <f t="shared" si="22"/>
        <v>Parcial</v>
      </c>
      <c r="J1412" s="26" t="s">
        <v>1012</v>
      </c>
    </row>
    <row r="1413" spans="1:10" ht="16.05" customHeight="1" x14ac:dyDescent="0.3">
      <c r="A1413" s="26" t="s">
        <v>762</v>
      </c>
      <c r="B1413" s="26" t="s">
        <v>1016</v>
      </c>
      <c r="C1413" s="33" t="str">
        <f>IFERROR(INDEX(tbl_requisitos_emb[Tema],MATCH(B1413,tbl_requisitos_emb[ID_Req],0)),"")</f>
        <v>Rotulagem</v>
      </c>
      <c r="D1413" s="33" t="str">
        <f>IFERROR(INDEX(tbl_recyclass[Segmento],MATCH(A1413,tbl_recyclass[ProductId],0)),"")</f>
        <v>Cosmética e higiene pessoal</v>
      </c>
      <c r="E1413" s="26" t="s">
        <v>901</v>
      </c>
      <c r="F1413" s="26" t="s">
        <v>1449</v>
      </c>
      <c r="G1413" s="26" t="s">
        <v>990</v>
      </c>
      <c r="H1413" s="33" t="str">
        <f>IF(E1413="Não","Não aplicável",IFERROR(IF(B1413="EU-ENV-002",IF(INDEX(tbl_recyclass[Conforme_PPWR_2030],MATCH(A1413,tbl_recyclass[ProductId],0))="Sim","Conforme (autoavaliação)",IF(INDEX(tbl_recyclass[Conforme_PPWR_2030],MATCH(A1413,tbl_recyclass[ProductId],0))="Não","Não conforme em 2030","Isento até 2035")),IF(B1413="EU-ENV-003",IF(INDEX(tbl_recyclass[Conforme_Art7_2030],MATCH(A1413,tbl_recyclass[ProductId],0))="Sim","Conforme (meta 2030)",IF(INDEX(tbl_recyclass[Conforme_Art7_2030],MATCH(A1413,tbl_recyclass[ProductId],0))="Não","Lacuna face à meta 2030","Isento")),IF(B1413="EU-ENV-011",IF(INDEX(tbl_familias_ppwr[Metais_Pesados_Evidencia],MATCH(INDEX(tbl_recyclass[Familia_PPWR],MATCH(A1413,tbl_recyclass[ProductId],0)),tbl_familias_ppwr[ID_Familia],0))="Em falta","Lacuna","Conforme"),IF(B1413="EU-ENV-013",IF(INDEX(tbl_familias_ppwr[Declaracao_UE],MATCH(INDEX(tbl_recyclass[Familia_PPWR],MATCH(A1413,tbl_recyclass[ProductId],0)),tbl_familias_ppwr[ID_Familia],0))="Sim","Conforme","Lacuna"),G1413)))),G1413))</f>
        <v>Futuro</v>
      </c>
      <c r="I1413" s="33" t="str">
        <f t="shared" si="22"/>
        <v>Futuro</v>
      </c>
      <c r="J1413" s="26" t="s">
        <v>1021</v>
      </c>
    </row>
    <row r="1414" spans="1:10" ht="16.05" customHeight="1" x14ac:dyDescent="0.3">
      <c r="A1414" s="26" t="s">
        <v>762</v>
      </c>
      <c r="B1414" s="26" t="s">
        <v>1038</v>
      </c>
      <c r="C1414" s="33" t="str">
        <f>IFERROR(INDEX(tbl_requisitos_emb[Tema],MATCH(B1414,tbl_requisitos_emb[ID_Req],0)),"")</f>
        <v>Plásticos de utilização única</v>
      </c>
      <c r="D1414" s="33" t="str">
        <f>IFERROR(INDEX(tbl_recyclass[Segmento],MATCH(A1414,tbl_recyclass[ProductId],0)),"")</f>
        <v>Cosmética e higiene pessoal</v>
      </c>
      <c r="E1414" s="26" t="s">
        <v>904</v>
      </c>
      <c r="F1414" s="26" t="s">
        <v>1450</v>
      </c>
      <c r="G1414" s="26" t="s">
        <v>1143</v>
      </c>
      <c r="H1414" s="33" t="str">
        <f>IF(E1414="Não","Não aplicável",IFERROR(IF(B1414="EU-ENV-002",IF(INDEX(tbl_recyclass[Conforme_PPWR_2030],MATCH(A1414,tbl_recyclass[ProductId],0))="Sim","Conforme (autoavaliação)",IF(INDEX(tbl_recyclass[Conforme_PPWR_2030],MATCH(A1414,tbl_recyclass[ProductId],0))="Não","Não conforme em 2030","Isento até 2035")),IF(B1414="EU-ENV-003",IF(INDEX(tbl_recyclass[Conforme_Art7_2030],MATCH(A1414,tbl_recyclass[ProductId],0))="Sim","Conforme (meta 2030)",IF(INDEX(tbl_recyclass[Conforme_Art7_2030],MATCH(A1414,tbl_recyclass[ProductId],0))="Não","Lacuna face à meta 2030","Isento")),IF(B1414="EU-ENV-011",IF(INDEX(tbl_familias_ppwr[Metais_Pesados_Evidencia],MATCH(INDEX(tbl_recyclass[Familia_PPWR],MATCH(A1414,tbl_recyclass[ProductId],0)),tbl_familias_ppwr[ID_Familia],0))="Em falta","Lacuna","Conforme"),IF(B1414="EU-ENV-013",IF(INDEX(tbl_familias_ppwr[Declaracao_UE],MATCH(INDEX(tbl_recyclass[Familia_PPWR],MATCH(A1414,tbl_recyclass[ProductId],0)),tbl_familias_ppwr[ID_Familia],0))="Sim","Conforme","Lacuna"),G1414)))),G1414))</f>
        <v>Não aplicável</v>
      </c>
      <c r="I1414" s="33" t="str">
        <f t="shared" si="22"/>
        <v>Não aplicável</v>
      </c>
      <c r="J1414" s="26"/>
    </row>
    <row r="1415" spans="1:10" ht="16.05" customHeight="1" x14ac:dyDescent="0.3">
      <c r="A1415" s="26" t="s">
        <v>762</v>
      </c>
      <c r="B1415" s="26" t="s">
        <v>1078</v>
      </c>
      <c r="C1415" s="33" t="str">
        <f>IFERROR(INDEX(tbl_requisitos_emb[Tema],MATCH(B1415,tbl_requisitos_emb[ID_Req],0)),"")</f>
        <v>Reciclado à escala</v>
      </c>
      <c r="D1415" s="33" t="str">
        <f>IFERROR(INDEX(tbl_recyclass[Segmento],MATCH(A1415,tbl_recyclass[ProductId],0)),"")</f>
        <v>Cosmética e higiene pessoal</v>
      </c>
      <c r="E1415" s="26" t="s">
        <v>901</v>
      </c>
      <c r="F1415" s="26" t="s">
        <v>1449</v>
      </c>
      <c r="G1415" s="26" t="s">
        <v>990</v>
      </c>
      <c r="H1415" s="33" t="str">
        <f>IF(E1415="Não","Não aplicável",IFERROR(IF(B1415="EU-ENV-002",IF(INDEX(tbl_recyclass[Conforme_PPWR_2030],MATCH(A1415,tbl_recyclass[ProductId],0))="Sim","Conforme (autoavaliação)",IF(INDEX(tbl_recyclass[Conforme_PPWR_2030],MATCH(A1415,tbl_recyclass[ProductId],0))="Não","Não conforme em 2030","Isento até 2035")),IF(B1415="EU-ENV-003",IF(INDEX(tbl_recyclass[Conforme_Art7_2030],MATCH(A1415,tbl_recyclass[ProductId],0))="Sim","Conforme (meta 2030)",IF(INDEX(tbl_recyclass[Conforme_Art7_2030],MATCH(A1415,tbl_recyclass[ProductId],0))="Não","Lacuna face à meta 2030","Isento")),IF(B1415="EU-ENV-011",IF(INDEX(tbl_familias_ppwr[Metais_Pesados_Evidencia],MATCH(INDEX(tbl_recyclass[Familia_PPWR],MATCH(A1415,tbl_recyclass[ProductId],0)),tbl_familias_ppwr[ID_Familia],0))="Em falta","Lacuna","Conforme"),IF(B1415="EU-ENV-013",IF(INDEX(tbl_familias_ppwr[Declaracao_UE],MATCH(INDEX(tbl_recyclass[Familia_PPWR],MATCH(A1415,tbl_recyclass[ProductId],0)),tbl_familias_ppwr[ID_Familia],0))="Sim","Conforme","Lacuna"),G1415)))),G1415))</f>
        <v>Futuro</v>
      </c>
      <c r="I1415" s="33" t="str">
        <f t="shared" si="22"/>
        <v>Futuro</v>
      </c>
      <c r="J1415" s="26" t="s">
        <v>1082</v>
      </c>
    </row>
    <row r="1416" spans="1:10" ht="16.05" customHeight="1" x14ac:dyDescent="0.3">
      <c r="A1416" s="26" t="s">
        <v>762</v>
      </c>
      <c r="B1416" s="26" t="s">
        <v>1086</v>
      </c>
      <c r="C1416" s="33" t="str">
        <f>IFERROR(INDEX(tbl_requisitos_emb[Tema],MATCH(B1416,tbl_requisitos_emb[ID_Req],0)),"")</f>
        <v>Metais pesados</v>
      </c>
      <c r="D1416" s="33" t="str">
        <f>IFERROR(INDEX(tbl_recyclass[Segmento],MATCH(A1416,tbl_recyclass[ProductId],0)),"")</f>
        <v>Cosmética e higiene pessoal</v>
      </c>
      <c r="E1416" s="26" t="s">
        <v>901</v>
      </c>
      <c r="F1416" s="26" t="s">
        <v>1449</v>
      </c>
      <c r="G1416" s="26" t="s">
        <v>978</v>
      </c>
      <c r="H1416" s="33" t="str">
        <f>IF(E1416="Não","Não aplicável",IFERROR(IF(B1416="EU-ENV-002",IF(INDEX(tbl_recyclass[Conforme_PPWR_2030],MATCH(A1416,tbl_recyclass[ProductId],0))="Sim","Conforme (autoavaliação)",IF(INDEX(tbl_recyclass[Conforme_PPWR_2030],MATCH(A1416,tbl_recyclass[ProductId],0))="Não","Não conforme em 2030","Isento até 2035")),IF(B1416="EU-ENV-003",IF(INDEX(tbl_recyclass[Conforme_Art7_2030],MATCH(A1416,tbl_recyclass[ProductId],0))="Sim","Conforme (meta 2030)",IF(INDEX(tbl_recyclass[Conforme_Art7_2030],MATCH(A1416,tbl_recyclass[ProductId],0))="Não","Lacuna face à meta 2030","Isento")),IF(B1416="EU-ENV-011",IF(INDEX(tbl_familias_ppwr[Metais_Pesados_Evidencia],MATCH(INDEX(tbl_recyclass[Familia_PPWR],MATCH(A1416,tbl_recyclass[ProductId],0)),tbl_familias_ppwr[ID_Familia],0))="Em falta","Lacuna","Conforme"),IF(B1416="EU-ENV-013",IF(INDEX(tbl_familias_ppwr[Declaracao_UE],MATCH(INDEX(tbl_recyclass[Familia_PPWR],MATCH(A1416,tbl_recyclass[ProductId],0)),tbl_familias_ppwr[ID_Familia],0))="Sim","Conforme","Lacuna"),G1416)))),G1416))</f>
        <v>Conforme</v>
      </c>
      <c r="I1416" s="33" t="str">
        <f t="shared" si="22"/>
        <v>Conforme</v>
      </c>
      <c r="J1416" s="26" t="s">
        <v>1090</v>
      </c>
    </row>
    <row r="1417" spans="1:10" ht="16.05" customHeight="1" x14ac:dyDescent="0.3">
      <c r="A1417" s="26" t="s">
        <v>762</v>
      </c>
      <c r="B1417" s="26" t="s">
        <v>1094</v>
      </c>
      <c r="C1417" s="33" t="str">
        <f>IFERROR(INDEX(tbl_requisitos_emb[Tema],MATCH(B1417,tbl_requisitos_emb[ID_Req],0)),"")</f>
        <v>PFAS</v>
      </c>
      <c r="D1417" s="33" t="str">
        <f>IFERROR(INDEX(tbl_recyclass[Segmento],MATCH(A1417,tbl_recyclass[ProductId],0)),"")</f>
        <v>Cosmética e higiene pessoal</v>
      </c>
      <c r="E1417" s="26" t="s">
        <v>904</v>
      </c>
      <c r="F1417" s="26" t="s">
        <v>1450</v>
      </c>
      <c r="G1417" s="26" t="s">
        <v>1143</v>
      </c>
      <c r="H1417" s="33" t="str">
        <f>IF(E1417="Não","Não aplicável",IFERROR(IF(B1417="EU-ENV-002",IF(INDEX(tbl_recyclass[Conforme_PPWR_2030],MATCH(A1417,tbl_recyclass[ProductId],0))="Sim","Conforme (autoavaliação)",IF(INDEX(tbl_recyclass[Conforme_PPWR_2030],MATCH(A1417,tbl_recyclass[ProductId],0))="Não","Não conforme em 2030","Isento até 2035")),IF(B1417="EU-ENV-003",IF(INDEX(tbl_recyclass[Conforme_Art7_2030],MATCH(A1417,tbl_recyclass[ProductId],0))="Sim","Conforme (meta 2030)",IF(INDEX(tbl_recyclass[Conforme_Art7_2030],MATCH(A1417,tbl_recyclass[ProductId],0))="Não","Lacuna face à meta 2030","Isento")),IF(B1417="EU-ENV-011",IF(INDEX(tbl_familias_ppwr[Metais_Pesados_Evidencia],MATCH(INDEX(tbl_recyclass[Familia_PPWR],MATCH(A1417,tbl_recyclass[ProductId],0)),tbl_familias_ppwr[ID_Familia],0))="Em falta","Lacuna","Conforme"),IF(B1417="EU-ENV-013",IF(INDEX(tbl_familias_ppwr[Declaracao_UE],MATCH(INDEX(tbl_recyclass[Familia_PPWR],MATCH(A1417,tbl_recyclass[ProductId],0)),tbl_familias_ppwr[ID_Familia],0))="Sim","Conforme","Lacuna"),G1417)))),G1417))</f>
        <v>Não aplicável</v>
      </c>
      <c r="I1417" s="33" t="str">
        <f t="shared" si="22"/>
        <v>Não aplicável</v>
      </c>
      <c r="J1417" s="26"/>
    </row>
    <row r="1418" spans="1:10" ht="16.05" customHeight="1" x14ac:dyDescent="0.3">
      <c r="A1418" s="26" t="s">
        <v>762</v>
      </c>
      <c r="B1418" s="26" t="s">
        <v>1102</v>
      </c>
      <c r="C1418" s="33" t="str">
        <f>IFERROR(INDEX(tbl_requisitos_emb[Tema],MATCH(B1418,tbl_requisitos_emb[ID_Req],0)),"")</f>
        <v>Documentação técnica e declaração UE</v>
      </c>
      <c r="D1418" s="33" t="str">
        <f>IFERROR(INDEX(tbl_recyclass[Segmento],MATCH(A1418,tbl_recyclass[ProductId],0)),"")</f>
        <v>Cosmética e higiene pessoal</v>
      </c>
      <c r="E1418" s="26" t="s">
        <v>901</v>
      </c>
      <c r="F1418" s="26" t="s">
        <v>1449</v>
      </c>
      <c r="G1418" s="26" t="s">
        <v>978</v>
      </c>
      <c r="H1418" s="33" t="str">
        <f>IF(E1418="Não","Não aplicável",IFERROR(IF(B1418="EU-ENV-002",IF(INDEX(tbl_recyclass[Conforme_PPWR_2030],MATCH(A1418,tbl_recyclass[ProductId],0))="Sim","Conforme (autoavaliação)",IF(INDEX(tbl_recyclass[Conforme_PPWR_2030],MATCH(A1418,tbl_recyclass[ProductId],0))="Não","Não conforme em 2030","Isento até 2035")),IF(B1418="EU-ENV-003",IF(INDEX(tbl_recyclass[Conforme_Art7_2030],MATCH(A1418,tbl_recyclass[ProductId],0))="Sim","Conforme (meta 2030)",IF(INDEX(tbl_recyclass[Conforme_Art7_2030],MATCH(A1418,tbl_recyclass[ProductId],0))="Não","Lacuna face à meta 2030","Isento")),IF(B1418="EU-ENV-011",IF(INDEX(tbl_familias_ppwr[Metais_Pesados_Evidencia],MATCH(INDEX(tbl_recyclass[Familia_PPWR],MATCH(A1418,tbl_recyclass[ProductId],0)),tbl_familias_ppwr[ID_Familia],0))="Em falta","Lacuna","Conforme"),IF(B1418="EU-ENV-013",IF(INDEX(tbl_familias_ppwr[Declaracao_UE],MATCH(INDEX(tbl_recyclass[Familia_PPWR],MATCH(A1418,tbl_recyclass[ProductId],0)),tbl_familias_ppwr[ID_Familia],0))="Sim","Conforme","Lacuna"),G1418)))),G1418))</f>
        <v>Conforme</v>
      </c>
      <c r="I1418" s="33" t="str">
        <f t="shared" si="22"/>
        <v>Conforme</v>
      </c>
      <c r="J1418" s="26" t="s">
        <v>1106</v>
      </c>
    </row>
    <row r="1419" spans="1:10" ht="16.05" customHeight="1" x14ac:dyDescent="0.3">
      <c r="A1419" s="26" t="s">
        <v>762</v>
      </c>
      <c r="B1419" s="26" t="s">
        <v>1161</v>
      </c>
      <c r="C1419" s="33" t="str">
        <f>IFERROR(INDEX(tbl_requisitos_emb[Tema],MATCH(B1419,tbl_requisitos_emb[ID_Req],0)),"")</f>
        <v>Materiais em contacto com alimentos</v>
      </c>
      <c r="D1419" s="33" t="str">
        <f>IFERROR(INDEX(tbl_recyclass[Segmento],MATCH(A1419,tbl_recyclass[ProductId],0)),"")</f>
        <v>Cosmética e higiene pessoal</v>
      </c>
      <c r="E1419" s="26" t="s">
        <v>904</v>
      </c>
      <c r="F1419" s="26" t="s">
        <v>1450</v>
      </c>
      <c r="G1419" s="26" t="s">
        <v>1143</v>
      </c>
      <c r="H1419" s="33" t="str">
        <f>IF(E1419="Não","Não aplicável",IFERROR(IF(B1419="EU-ENV-002",IF(INDEX(tbl_recyclass[Conforme_PPWR_2030],MATCH(A1419,tbl_recyclass[ProductId],0))="Sim","Conforme (autoavaliação)",IF(INDEX(tbl_recyclass[Conforme_PPWR_2030],MATCH(A1419,tbl_recyclass[ProductId],0))="Não","Não conforme em 2030","Isento até 2035")),IF(B1419="EU-ENV-003",IF(INDEX(tbl_recyclass[Conforme_Art7_2030],MATCH(A1419,tbl_recyclass[ProductId],0))="Sim","Conforme (meta 2030)",IF(INDEX(tbl_recyclass[Conforme_Art7_2030],MATCH(A1419,tbl_recyclass[ProductId],0))="Não","Lacuna face à meta 2030","Isento")),IF(B1419="EU-ENV-011",IF(INDEX(tbl_familias_ppwr[Metais_Pesados_Evidencia],MATCH(INDEX(tbl_recyclass[Familia_PPWR],MATCH(A1419,tbl_recyclass[ProductId],0)),tbl_familias_ppwr[ID_Familia],0))="Em falta","Lacuna","Conforme"),IF(B1419="EU-ENV-013",IF(INDEX(tbl_familias_ppwr[Declaracao_UE],MATCH(INDEX(tbl_recyclass[Familia_PPWR],MATCH(A1419,tbl_recyclass[ProductId],0)),tbl_familias_ppwr[ID_Familia],0))="Sim","Conforme","Lacuna"),G1419)))),G1419))</f>
        <v>Não aplicável</v>
      </c>
      <c r="I1419" s="33" t="str">
        <f t="shared" si="22"/>
        <v>Não aplicável</v>
      </c>
      <c r="J1419" s="26"/>
    </row>
    <row r="1420" spans="1:10" ht="16.05" customHeight="1" x14ac:dyDescent="0.3">
      <c r="A1420" s="26" t="s">
        <v>762</v>
      </c>
      <c r="B1420" s="26" t="s">
        <v>1170</v>
      </c>
      <c r="C1420" s="33" t="str">
        <f>IFERROR(INDEX(tbl_requisitos_emb[Tema],MATCH(B1420,tbl_requisitos_emb[ID_Req],0)),"")</f>
        <v>Boas práticas de fabrico FCM</v>
      </c>
      <c r="D1420" s="33" t="str">
        <f>IFERROR(INDEX(tbl_recyclass[Segmento],MATCH(A1420,tbl_recyclass[ProductId],0)),"")</f>
        <v>Cosmética e higiene pessoal</v>
      </c>
      <c r="E1420" s="26" t="s">
        <v>904</v>
      </c>
      <c r="F1420" s="26" t="s">
        <v>1450</v>
      </c>
      <c r="G1420" s="26" t="s">
        <v>1143</v>
      </c>
      <c r="H1420" s="33" t="str">
        <f>IF(E1420="Não","Não aplicável",IFERROR(IF(B1420="EU-ENV-002",IF(INDEX(tbl_recyclass[Conforme_PPWR_2030],MATCH(A1420,tbl_recyclass[ProductId],0))="Sim","Conforme (autoavaliação)",IF(INDEX(tbl_recyclass[Conforme_PPWR_2030],MATCH(A1420,tbl_recyclass[ProductId],0))="Não","Não conforme em 2030","Isento até 2035")),IF(B1420="EU-ENV-003",IF(INDEX(tbl_recyclass[Conforme_Art7_2030],MATCH(A1420,tbl_recyclass[ProductId],0))="Sim","Conforme (meta 2030)",IF(INDEX(tbl_recyclass[Conforme_Art7_2030],MATCH(A1420,tbl_recyclass[ProductId],0))="Não","Lacuna face à meta 2030","Isento")),IF(B1420="EU-ENV-011",IF(INDEX(tbl_familias_ppwr[Metais_Pesados_Evidencia],MATCH(INDEX(tbl_recyclass[Familia_PPWR],MATCH(A1420,tbl_recyclass[ProductId],0)),tbl_familias_ppwr[ID_Familia],0))="Em falta","Lacuna","Conforme"),IF(B1420="EU-ENV-013",IF(INDEX(tbl_familias_ppwr[Declaracao_UE],MATCH(INDEX(tbl_recyclass[Familia_PPWR],MATCH(A1420,tbl_recyclass[ProductId],0)),tbl_familias_ppwr[ID_Familia],0))="Sim","Conforme","Lacuna"),G1420)))),G1420))</f>
        <v>Não aplicável</v>
      </c>
      <c r="I1420" s="33" t="str">
        <f t="shared" si="22"/>
        <v>Não aplicável</v>
      </c>
      <c r="J1420" s="26"/>
    </row>
    <row r="1421" spans="1:10" ht="16.05" customHeight="1" x14ac:dyDescent="0.3">
      <c r="A1421" s="26" t="s">
        <v>762</v>
      </c>
      <c r="B1421" s="26" t="s">
        <v>1179</v>
      </c>
      <c r="C1421" s="33" t="str">
        <f>IFERROR(INDEX(tbl_requisitos_emb[Tema],MATCH(B1421,tbl_requisitos_emb[ID_Req],0)),"")</f>
        <v>Bisfenol A e bisfenóis perigosos</v>
      </c>
      <c r="D1421" s="33" t="str">
        <f>IFERROR(INDEX(tbl_recyclass[Segmento],MATCH(A1421,tbl_recyclass[ProductId],0)),"")</f>
        <v>Cosmética e higiene pessoal</v>
      </c>
      <c r="E1421" s="26" t="s">
        <v>904</v>
      </c>
      <c r="F1421" s="26" t="s">
        <v>1450</v>
      </c>
      <c r="G1421" s="26" t="s">
        <v>1143</v>
      </c>
      <c r="H1421" s="33" t="str">
        <f>IF(E1421="Não","Não aplicável",IFERROR(IF(B1421="EU-ENV-002",IF(INDEX(tbl_recyclass[Conforme_PPWR_2030],MATCH(A1421,tbl_recyclass[ProductId],0))="Sim","Conforme (autoavaliação)",IF(INDEX(tbl_recyclass[Conforme_PPWR_2030],MATCH(A1421,tbl_recyclass[ProductId],0))="Não","Não conforme em 2030","Isento até 2035")),IF(B1421="EU-ENV-003",IF(INDEX(tbl_recyclass[Conforme_Art7_2030],MATCH(A1421,tbl_recyclass[ProductId],0))="Sim","Conforme (meta 2030)",IF(INDEX(tbl_recyclass[Conforme_Art7_2030],MATCH(A1421,tbl_recyclass[ProductId],0))="Não","Lacuna face à meta 2030","Isento")),IF(B1421="EU-ENV-011",IF(INDEX(tbl_familias_ppwr[Metais_Pesados_Evidencia],MATCH(INDEX(tbl_recyclass[Familia_PPWR],MATCH(A1421,tbl_recyclass[ProductId],0)),tbl_familias_ppwr[ID_Familia],0))="Em falta","Lacuna","Conforme"),IF(B1421="EU-ENV-013",IF(INDEX(tbl_familias_ppwr[Declaracao_UE],MATCH(INDEX(tbl_recyclass[Familia_PPWR],MATCH(A1421,tbl_recyclass[ProductId],0)),tbl_familias_ppwr[ID_Familia],0))="Sim","Conforme","Lacuna"),G1421)))),G1421))</f>
        <v>Não aplicável</v>
      </c>
      <c r="I1421" s="33" t="str">
        <f t="shared" si="22"/>
        <v>Não aplicável</v>
      </c>
      <c r="J1421" s="26"/>
    </row>
    <row r="1422" spans="1:10" ht="16.05" customHeight="1" x14ac:dyDescent="0.3">
      <c r="A1422" s="26" t="s">
        <v>762</v>
      </c>
      <c r="B1422" s="26" t="s">
        <v>1188</v>
      </c>
      <c r="C1422" s="33" t="str">
        <f>IFERROR(INDEX(tbl_requisitos_emb[Tema],MATCH(B1422,tbl_requisitos_emb[ID_Req],0)),"")</f>
        <v>Plásticos em contacto com alimentos</v>
      </c>
      <c r="D1422" s="33" t="str">
        <f>IFERROR(INDEX(tbl_recyclass[Segmento],MATCH(A1422,tbl_recyclass[ProductId],0)),"")</f>
        <v>Cosmética e higiene pessoal</v>
      </c>
      <c r="E1422" s="26" t="s">
        <v>904</v>
      </c>
      <c r="F1422" s="26" t="s">
        <v>1450</v>
      </c>
      <c r="G1422" s="26" t="s">
        <v>1143</v>
      </c>
      <c r="H1422" s="33" t="str">
        <f>IF(E1422="Não","Não aplicável",IFERROR(IF(B1422="EU-ENV-002",IF(INDEX(tbl_recyclass[Conforme_PPWR_2030],MATCH(A1422,tbl_recyclass[ProductId],0))="Sim","Conforme (autoavaliação)",IF(INDEX(tbl_recyclass[Conforme_PPWR_2030],MATCH(A1422,tbl_recyclass[ProductId],0))="Não","Não conforme em 2030","Isento até 2035")),IF(B1422="EU-ENV-003",IF(INDEX(tbl_recyclass[Conforme_Art7_2030],MATCH(A1422,tbl_recyclass[ProductId],0))="Sim","Conforme (meta 2030)",IF(INDEX(tbl_recyclass[Conforme_Art7_2030],MATCH(A1422,tbl_recyclass[ProductId],0))="Não","Lacuna face à meta 2030","Isento")),IF(B1422="EU-ENV-011",IF(INDEX(tbl_familias_ppwr[Metais_Pesados_Evidencia],MATCH(INDEX(tbl_recyclass[Familia_PPWR],MATCH(A1422,tbl_recyclass[ProductId],0)),tbl_familias_ppwr[ID_Familia],0))="Em falta","Lacuna","Conforme"),IF(B1422="EU-ENV-013",IF(INDEX(tbl_familias_ppwr[Declaracao_UE],MATCH(INDEX(tbl_recyclass[Familia_PPWR],MATCH(A1422,tbl_recyclass[ProductId],0)),tbl_familias_ppwr[ID_Familia],0))="Sim","Conforme","Lacuna"),G1422)))),G1422))</f>
        <v>Não aplicável</v>
      </c>
      <c r="I1422" s="33" t="str">
        <f t="shared" si="22"/>
        <v>Não aplicável</v>
      </c>
      <c r="J1422" s="26"/>
    </row>
    <row r="1423" spans="1:10" ht="16.05" customHeight="1" x14ac:dyDescent="0.3">
      <c r="A1423" s="26" t="s">
        <v>762</v>
      </c>
      <c r="B1423" s="26" t="s">
        <v>1212</v>
      </c>
      <c r="C1423" s="33" t="str">
        <f>IFERROR(INDEX(tbl_requisitos_emb[Tema],MATCH(B1423,tbl_requisitos_emb[ID_Req],0)),"")</f>
        <v>Segurança do produto cosmético</v>
      </c>
      <c r="D1423" s="33" t="str">
        <f>IFERROR(INDEX(tbl_recyclass[Segmento],MATCH(A1423,tbl_recyclass[ProductId],0)),"")</f>
        <v>Cosmética e higiene pessoal</v>
      </c>
      <c r="E1423" s="26" t="s">
        <v>901</v>
      </c>
      <c r="F1423" s="26" t="s">
        <v>1449</v>
      </c>
      <c r="G1423" s="26" t="s">
        <v>1033</v>
      </c>
      <c r="H1423" s="33" t="str">
        <f>IF(E1423="Não","Não aplicável",IFERROR(IF(B1423="EU-ENV-002",IF(INDEX(tbl_recyclass[Conforme_PPWR_2030],MATCH(A1423,tbl_recyclass[ProductId],0))="Sim","Conforme (autoavaliação)",IF(INDEX(tbl_recyclass[Conforme_PPWR_2030],MATCH(A1423,tbl_recyclass[ProductId],0))="Não","Não conforme em 2030","Isento até 2035")),IF(B1423="EU-ENV-003",IF(INDEX(tbl_recyclass[Conforme_Art7_2030],MATCH(A1423,tbl_recyclass[ProductId],0))="Sim","Conforme (meta 2030)",IF(INDEX(tbl_recyclass[Conforme_Art7_2030],MATCH(A1423,tbl_recyclass[ProductId],0))="Não","Lacuna face à meta 2030","Isento")),IF(B1423="EU-ENV-011",IF(INDEX(tbl_familias_ppwr[Metais_Pesados_Evidencia],MATCH(INDEX(tbl_recyclass[Familia_PPWR],MATCH(A1423,tbl_recyclass[ProductId],0)),tbl_familias_ppwr[ID_Familia],0))="Em falta","Lacuna","Conforme"),IF(B1423="EU-ENV-013",IF(INDEX(tbl_familias_ppwr[Declaracao_UE],MATCH(INDEX(tbl_recyclass[Familia_PPWR],MATCH(A1423,tbl_recyclass[ProductId],0)),tbl_familias_ppwr[ID_Familia],0))="Sim","Conforme","Lacuna"),G1423)))),G1423))</f>
        <v>Conforme</v>
      </c>
      <c r="I1423" s="33" t="str">
        <f t="shared" si="22"/>
        <v>Conforme</v>
      </c>
      <c r="J1423" s="26" t="s">
        <v>1221</v>
      </c>
    </row>
    <row r="1424" spans="1:10" ht="16.05" customHeight="1" x14ac:dyDescent="0.3">
      <c r="A1424" s="26" t="s">
        <v>762</v>
      </c>
      <c r="B1424" s="26" t="s">
        <v>1224</v>
      </c>
      <c r="C1424" s="33" t="str">
        <f>IFERROR(INDEX(tbl_requisitos_emb[Tema],MATCH(B1424,tbl_requisitos_emb[ID_Req],0)),"")</f>
        <v>Materiais e impurezas</v>
      </c>
      <c r="D1424" s="33" t="str">
        <f>IFERROR(INDEX(tbl_recyclass[Segmento],MATCH(A1424,tbl_recyclass[ProductId],0)),"")</f>
        <v>Cosmética e higiene pessoal</v>
      </c>
      <c r="E1424" s="26" t="s">
        <v>901</v>
      </c>
      <c r="F1424" s="26" t="s">
        <v>1449</v>
      </c>
      <c r="G1424" s="26" t="s">
        <v>978</v>
      </c>
      <c r="H1424" s="33" t="str">
        <f>IF(E1424="Não","Não aplicável",IFERROR(IF(B1424="EU-ENV-002",IF(INDEX(tbl_recyclass[Conforme_PPWR_2030],MATCH(A1424,tbl_recyclass[ProductId],0))="Sim","Conforme (autoavaliação)",IF(INDEX(tbl_recyclass[Conforme_PPWR_2030],MATCH(A1424,tbl_recyclass[ProductId],0))="Não","Não conforme em 2030","Isento até 2035")),IF(B1424="EU-ENV-003",IF(INDEX(tbl_recyclass[Conforme_Art7_2030],MATCH(A1424,tbl_recyclass[ProductId],0))="Sim","Conforme (meta 2030)",IF(INDEX(tbl_recyclass[Conforme_Art7_2030],MATCH(A1424,tbl_recyclass[ProductId],0))="Não","Lacuna face à meta 2030","Isento")),IF(B1424="EU-ENV-011",IF(INDEX(tbl_familias_ppwr[Metais_Pesados_Evidencia],MATCH(INDEX(tbl_recyclass[Familia_PPWR],MATCH(A1424,tbl_recyclass[ProductId],0)),tbl_familias_ppwr[ID_Familia],0))="Em falta","Lacuna","Conforme"),IF(B1424="EU-ENV-013",IF(INDEX(tbl_familias_ppwr[Declaracao_UE],MATCH(INDEX(tbl_recyclass[Familia_PPWR],MATCH(A1424,tbl_recyclass[ProductId],0)),tbl_familias_ppwr[ID_Familia],0))="Sim","Conforme","Lacuna"),G1424)))),G1424))</f>
        <v>Parcial</v>
      </c>
      <c r="I1424" s="33" t="str">
        <f t="shared" si="22"/>
        <v>Parcial</v>
      </c>
      <c r="J1424" s="26" t="s">
        <v>1228</v>
      </c>
    </row>
    <row r="1425" spans="1:10" ht="16.05" customHeight="1" x14ac:dyDescent="0.3">
      <c r="A1425" s="26" t="s">
        <v>762</v>
      </c>
      <c r="B1425" s="26" t="s">
        <v>1240</v>
      </c>
      <c r="C1425" s="33" t="str">
        <f>IFERROR(INDEX(tbl_requisitos_emb[Tema],MATCH(B1425,tbl_requisitos_emb[ID_Req],0)),"")</f>
        <v>Compatibilidade embalagem–produto</v>
      </c>
      <c r="D1425" s="33" t="str">
        <f>IFERROR(INDEX(tbl_recyclass[Segmento],MATCH(A1425,tbl_recyclass[ProductId],0)),"")</f>
        <v>Cosmética e higiene pessoal</v>
      </c>
      <c r="E1425" s="26" t="s">
        <v>901</v>
      </c>
      <c r="F1425" s="26" t="s">
        <v>1449</v>
      </c>
      <c r="G1425" s="26" t="s">
        <v>1033</v>
      </c>
      <c r="H1425" s="33" t="str">
        <f>IF(E1425="Não","Não aplicável",IFERROR(IF(B1425="EU-ENV-002",IF(INDEX(tbl_recyclass[Conforme_PPWR_2030],MATCH(A1425,tbl_recyclass[ProductId],0))="Sim","Conforme (autoavaliação)",IF(INDEX(tbl_recyclass[Conforme_PPWR_2030],MATCH(A1425,tbl_recyclass[ProductId],0))="Não","Não conforme em 2030","Isento até 2035")),IF(B1425="EU-ENV-003",IF(INDEX(tbl_recyclass[Conforme_Art7_2030],MATCH(A1425,tbl_recyclass[ProductId],0))="Sim","Conforme (meta 2030)",IF(INDEX(tbl_recyclass[Conforme_Art7_2030],MATCH(A1425,tbl_recyclass[ProductId],0))="Não","Lacuna face à meta 2030","Isento")),IF(B1425="EU-ENV-011",IF(INDEX(tbl_familias_ppwr[Metais_Pesados_Evidencia],MATCH(INDEX(tbl_recyclass[Familia_PPWR],MATCH(A1425,tbl_recyclass[ProductId],0)),tbl_familias_ppwr[ID_Familia],0))="Em falta","Lacuna","Conforme"),IF(B1425="EU-ENV-013",IF(INDEX(tbl_familias_ppwr[Declaracao_UE],MATCH(INDEX(tbl_recyclass[Familia_PPWR],MATCH(A1425,tbl_recyclass[ProductId],0)),tbl_familias_ppwr[ID_Familia],0))="Sim","Conforme","Lacuna"),G1425)))),G1425))</f>
        <v>Conforme</v>
      </c>
      <c r="I1425" s="33" t="str">
        <f t="shared" si="22"/>
        <v>Conforme</v>
      </c>
      <c r="J1425" s="26" t="s">
        <v>1244</v>
      </c>
    </row>
    <row r="1426" spans="1:10" ht="16.05" customHeight="1" x14ac:dyDescent="0.3">
      <c r="A1426" s="26" t="s">
        <v>762</v>
      </c>
      <c r="B1426" s="26" t="s">
        <v>1252</v>
      </c>
      <c r="C1426" s="33" t="str">
        <f>IFERROR(INDEX(tbl_requisitos_emb[Tema],MATCH(B1426,tbl_requisitos_emb[ID_Req],0)),"")</f>
        <v>Medicamentos de uso humano</v>
      </c>
      <c r="D1426" s="33" t="str">
        <f>IFERROR(INDEX(tbl_recyclass[Segmento],MATCH(A1426,tbl_recyclass[ProductId],0)),"")</f>
        <v>Cosmética e higiene pessoal</v>
      </c>
      <c r="E1426" s="26" t="s">
        <v>904</v>
      </c>
      <c r="F1426" s="26" t="s">
        <v>1451</v>
      </c>
      <c r="G1426" s="26" t="s">
        <v>1143</v>
      </c>
      <c r="H1426" s="33" t="str">
        <f>IF(E1426="Não","Não aplicável",IFERROR(IF(B1426="EU-ENV-002",IF(INDEX(tbl_recyclass[Conforme_PPWR_2030],MATCH(A1426,tbl_recyclass[ProductId],0))="Sim","Conforme (autoavaliação)",IF(INDEX(tbl_recyclass[Conforme_PPWR_2030],MATCH(A1426,tbl_recyclass[ProductId],0))="Não","Não conforme em 2030","Isento até 2035")),IF(B1426="EU-ENV-003",IF(INDEX(tbl_recyclass[Conforme_Art7_2030],MATCH(A1426,tbl_recyclass[ProductId],0))="Sim","Conforme (meta 2030)",IF(INDEX(tbl_recyclass[Conforme_Art7_2030],MATCH(A1426,tbl_recyclass[ProductId],0))="Não","Lacuna face à meta 2030","Isento")),IF(B1426="EU-ENV-011",IF(INDEX(tbl_familias_ppwr[Metais_Pesados_Evidencia],MATCH(INDEX(tbl_recyclass[Familia_PPWR],MATCH(A1426,tbl_recyclass[ProductId],0)),tbl_familias_ppwr[ID_Familia],0))="Em falta","Lacuna","Conforme"),IF(B1426="EU-ENV-013",IF(INDEX(tbl_familias_ppwr[Declaracao_UE],MATCH(INDEX(tbl_recyclass[Familia_PPWR],MATCH(A1426,tbl_recyclass[ProductId],0)),tbl_familias_ppwr[ID_Familia],0))="Sim","Conforme","Lacuna"),G1426)))),G1426))</f>
        <v>Não aplicável</v>
      </c>
      <c r="I1426" s="33" t="str">
        <f t="shared" si="22"/>
        <v>Não aplicável</v>
      </c>
      <c r="J1426" s="26"/>
    </row>
    <row r="1427" spans="1:10" ht="16.05" customHeight="1" x14ac:dyDescent="0.3">
      <c r="A1427" s="26" t="s">
        <v>762</v>
      </c>
      <c r="B1427" s="26" t="s">
        <v>1268</v>
      </c>
      <c r="C1427" s="33" t="str">
        <f>IFERROR(INDEX(tbl_requisitos_emb[Tema],MATCH(B1427,tbl_requisitos_emb[ID_Req],0)),"")</f>
        <v>Dispositivos de segurança</v>
      </c>
      <c r="D1427" s="33" t="str">
        <f>IFERROR(INDEX(tbl_recyclass[Segmento],MATCH(A1427,tbl_recyclass[ProductId],0)),"")</f>
        <v>Cosmética e higiene pessoal</v>
      </c>
      <c r="E1427" s="26" t="s">
        <v>904</v>
      </c>
      <c r="F1427" s="26" t="s">
        <v>1451</v>
      </c>
      <c r="G1427" s="26" t="s">
        <v>1143</v>
      </c>
      <c r="H1427" s="33" t="str">
        <f>IF(E1427="Não","Não aplicável",IFERROR(IF(B1427="EU-ENV-002",IF(INDEX(tbl_recyclass[Conforme_PPWR_2030],MATCH(A1427,tbl_recyclass[ProductId],0))="Sim","Conforme (autoavaliação)",IF(INDEX(tbl_recyclass[Conforme_PPWR_2030],MATCH(A1427,tbl_recyclass[ProductId],0))="Não","Não conforme em 2030","Isento até 2035")),IF(B1427="EU-ENV-003",IF(INDEX(tbl_recyclass[Conforme_Art7_2030],MATCH(A1427,tbl_recyclass[ProductId],0))="Sim","Conforme (meta 2030)",IF(INDEX(tbl_recyclass[Conforme_Art7_2030],MATCH(A1427,tbl_recyclass[ProductId],0))="Não","Lacuna face à meta 2030","Isento")),IF(B1427="EU-ENV-011",IF(INDEX(tbl_familias_ppwr[Metais_Pesados_Evidencia],MATCH(INDEX(tbl_recyclass[Familia_PPWR],MATCH(A1427,tbl_recyclass[ProductId],0)),tbl_familias_ppwr[ID_Familia],0))="Em falta","Lacuna","Conforme"),IF(B1427="EU-ENV-013",IF(INDEX(tbl_familias_ppwr[Declaracao_UE],MATCH(INDEX(tbl_recyclass[Familia_PPWR],MATCH(A1427,tbl_recyclass[ProductId],0)),tbl_familias_ppwr[ID_Familia],0))="Sim","Conforme","Lacuna"),G1427)))),G1427))</f>
        <v>Não aplicável</v>
      </c>
      <c r="I1427" s="33" t="str">
        <f t="shared" si="22"/>
        <v>Não aplicável</v>
      </c>
      <c r="J1427" s="26"/>
    </row>
    <row r="1428" spans="1:10" ht="16.05" customHeight="1" x14ac:dyDescent="0.3">
      <c r="A1428" s="26" t="s">
        <v>762</v>
      </c>
      <c r="B1428" s="26" t="s">
        <v>1285</v>
      </c>
      <c r="C1428" s="33" t="str">
        <f>IFERROR(INDEX(tbl_requisitos_emb[Tema],MATCH(B1428,tbl_requisitos_emb[ID_Req],0)),"")</f>
        <v>Materiais plásticos de acondicionamento primário</v>
      </c>
      <c r="D1428" s="33" t="str">
        <f>IFERROR(INDEX(tbl_recyclass[Segmento],MATCH(A1428,tbl_recyclass[ProductId],0)),"")</f>
        <v>Cosmética e higiene pessoal</v>
      </c>
      <c r="E1428" s="26" t="s">
        <v>904</v>
      </c>
      <c r="F1428" s="26" t="s">
        <v>1451</v>
      </c>
      <c r="G1428" s="26" t="s">
        <v>1143</v>
      </c>
      <c r="H1428" s="33" t="str">
        <f>IF(E1428="Não","Não aplicável",IFERROR(IF(B1428="EU-ENV-002",IF(INDEX(tbl_recyclass[Conforme_PPWR_2030],MATCH(A1428,tbl_recyclass[ProductId],0))="Sim","Conforme (autoavaliação)",IF(INDEX(tbl_recyclass[Conforme_PPWR_2030],MATCH(A1428,tbl_recyclass[ProductId],0))="Não","Não conforme em 2030","Isento até 2035")),IF(B1428="EU-ENV-003",IF(INDEX(tbl_recyclass[Conforme_Art7_2030],MATCH(A1428,tbl_recyclass[ProductId],0))="Sim","Conforme (meta 2030)",IF(INDEX(tbl_recyclass[Conforme_Art7_2030],MATCH(A1428,tbl_recyclass[ProductId],0))="Não","Lacuna face à meta 2030","Isento")),IF(B1428="EU-ENV-011",IF(INDEX(tbl_familias_ppwr[Metais_Pesados_Evidencia],MATCH(INDEX(tbl_recyclass[Familia_PPWR],MATCH(A1428,tbl_recyclass[ProductId],0)),tbl_familias_ppwr[ID_Familia],0))="Em falta","Lacuna","Conforme"),IF(B1428="EU-ENV-013",IF(INDEX(tbl_familias_ppwr[Declaracao_UE],MATCH(INDEX(tbl_recyclass[Familia_PPWR],MATCH(A1428,tbl_recyclass[ProductId],0)),tbl_familias_ppwr[ID_Familia],0))="Sim","Conforme","Lacuna"),G1428)))),G1428))</f>
        <v>Não aplicável</v>
      </c>
      <c r="I1428" s="33" t="str">
        <f t="shared" si="22"/>
        <v>Não aplicável</v>
      </c>
      <c r="J1428" s="26"/>
    </row>
    <row r="1429" spans="1:10" ht="16.05" customHeight="1" x14ac:dyDescent="0.3">
      <c r="A1429" s="26" t="s">
        <v>762</v>
      </c>
      <c r="B1429" s="26" t="s">
        <v>1293</v>
      </c>
      <c r="C1429" s="33" t="str">
        <f>IFERROR(INDEX(tbl_requisitos_emb[Tema],MATCH(B1429,tbl_requisitos_emb[ID_Req],0)),"")</f>
        <v>Isenções PPWR</v>
      </c>
      <c r="D1429" s="33" t="str">
        <f>IFERROR(INDEX(tbl_recyclass[Segmento],MATCH(A1429,tbl_recyclass[ProductId],0)),"")</f>
        <v>Cosmética e higiene pessoal</v>
      </c>
      <c r="E1429" s="26" t="s">
        <v>904</v>
      </c>
      <c r="F1429" s="26" t="s">
        <v>1451</v>
      </c>
      <c r="G1429" s="26" t="s">
        <v>1143</v>
      </c>
      <c r="H1429" s="33" t="str">
        <f>IF(E1429="Não","Não aplicável",IFERROR(IF(B1429="EU-ENV-002",IF(INDEX(tbl_recyclass[Conforme_PPWR_2030],MATCH(A1429,tbl_recyclass[ProductId],0))="Sim","Conforme (autoavaliação)",IF(INDEX(tbl_recyclass[Conforme_PPWR_2030],MATCH(A1429,tbl_recyclass[ProductId],0))="Não","Não conforme em 2030","Isento até 2035")),IF(B1429="EU-ENV-003",IF(INDEX(tbl_recyclass[Conforme_Art7_2030],MATCH(A1429,tbl_recyclass[ProductId],0))="Sim","Conforme (meta 2030)",IF(INDEX(tbl_recyclass[Conforme_Art7_2030],MATCH(A1429,tbl_recyclass[ProductId],0))="Não","Lacuna face à meta 2030","Isento")),IF(B1429="EU-ENV-011",IF(INDEX(tbl_familias_ppwr[Metais_Pesados_Evidencia],MATCH(INDEX(tbl_recyclass[Familia_PPWR],MATCH(A1429,tbl_recyclass[ProductId],0)),tbl_familias_ppwr[ID_Familia],0))="Em falta","Lacuna","Conforme"),IF(B1429="EU-ENV-013",IF(INDEX(tbl_familias_ppwr[Declaracao_UE],MATCH(INDEX(tbl_recyclass[Familia_PPWR],MATCH(A1429,tbl_recyclass[ProductId],0)),tbl_familias_ppwr[ID_Familia],0))="Sim","Conforme","Lacuna"),G1429)))),G1429))</f>
        <v>Não aplicável</v>
      </c>
      <c r="I1429" s="33" t="str">
        <f t="shared" si="22"/>
        <v>Não aplicável</v>
      </c>
      <c r="J1429" s="26"/>
    </row>
    <row r="1430" spans="1:10" ht="16.05" customHeight="1" x14ac:dyDescent="0.3">
      <c r="A1430" s="26" t="s">
        <v>762</v>
      </c>
      <c r="B1430" s="26" t="s">
        <v>1357</v>
      </c>
      <c r="C1430" s="33" t="str">
        <f>IFERROR(INDEX(tbl_requisitos_emb[Tema],MATCH(B1430,tbl_requisitos_emb[ID_Req],0)),"")</f>
        <v>Identificação de plásticos</v>
      </c>
      <c r="D1430" s="33" t="str">
        <f>IFERROR(INDEX(tbl_recyclass[Segmento],MATCH(A1430,tbl_recyclass[ProductId],0)),"")</f>
        <v>Cosmética e higiene pessoal</v>
      </c>
      <c r="E1430" s="26" t="s">
        <v>901</v>
      </c>
      <c r="F1430" s="26" t="s">
        <v>1449</v>
      </c>
      <c r="G1430" s="26" t="s">
        <v>978</v>
      </c>
      <c r="H1430" s="33" t="str">
        <f>IF(E1430="Não","Não aplicável",IFERROR(IF(B1430="EU-ENV-002",IF(INDEX(tbl_recyclass[Conforme_PPWR_2030],MATCH(A1430,tbl_recyclass[ProductId],0))="Sim","Conforme (autoavaliação)",IF(INDEX(tbl_recyclass[Conforme_PPWR_2030],MATCH(A1430,tbl_recyclass[ProductId],0))="Não","Não conforme em 2030","Isento até 2035")),IF(B1430="EU-ENV-003",IF(INDEX(tbl_recyclass[Conforme_Art7_2030],MATCH(A1430,tbl_recyclass[ProductId],0))="Sim","Conforme (meta 2030)",IF(INDEX(tbl_recyclass[Conforme_Art7_2030],MATCH(A1430,tbl_recyclass[ProductId],0))="Não","Lacuna face à meta 2030","Isento")),IF(B1430="EU-ENV-011",IF(INDEX(tbl_familias_ppwr[Metais_Pesados_Evidencia],MATCH(INDEX(tbl_recyclass[Familia_PPWR],MATCH(A1430,tbl_recyclass[ProductId],0)),tbl_familias_ppwr[ID_Familia],0))="Em falta","Lacuna","Conforme"),IF(B1430="EU-ENV-013",IF(INDEX(tbl_familias_ppwr[Declaracao_UE],MATCH(INDEX(tbl_recyclass[Familia_PPWR],MATCH(A1430,tbl_recyclass[ProductId],0)),tbl_familias_ppwr[ID_Familia],0))="Sim","Conforme","Lacuna"),G1430)))),G1430))</f>
        <v>Parcial</v>
      </c>
      <c r="I1430" s="33" t="str">
        <f t="shared" si="22"/>
        <v>Parcial</v>
      </c>
      <c r="J1430" s="26" t="s">
        <v>1362</v>
      </c>
    </row>
    <row r="1431" spans="1:10" ht="16.05" customHeight="1" x14ac:dyDescent="0.3">
      <c r="A1431" s="26" t="s">
        <v>762</v>
      </c>
      <c r="B1431" s="26" t="s">
        <v>1385</v>
      </c>
      <c r="C1431" s="33" t="str">
        <f>IFERROR(INDEX(tbl_requisitos_emb[Tema],MATCH(B1431,tbl_requisitos_emb[ID_Req],0)),"")</f>
        <v>Reciclabilidade (voluntária)</v>
      </c>
      <c r="D1431" s="33" t="str">
        <f>IFERROR(INDEX(tbl_recyclass[Segmento],MATCH(A1431,tbl_recyclass[ProductId],0)),"")</f>
        <v>Cosmética e higiene pessoal</v>
      </c>
      <c r="E1431" s="26" t="s">
        <v>901</v>
      </c>
      <c r="F1431" s="26" t="s">
        <v>1449</v>
      </c>
      <c r="G1431" s="26" t="s">
        <v>978</v>
      </c>
      <c r="H1431" s="33" t="str">
        <f>IF(E1431="Não","Não aplicável",IFERROR(IF(B1431="EU-ENV-002",IF(INDEX(tbl_recyclass[Conforme_PPWR_2030],MATCH(A1431,tbl_recyclass[ProductId],0))="Sim","Conforme (autoavaliação)",IF(INDEX(tbl_recyclass[Conforme_PPWR_2030],MATCH(A1431,tbl_recyclass[ProductId],0))="Não","Não conforme em 2030","Isento até 2035")),IF(B1431="EU-ENV-003",IF(INDEX(tbl_recyclass[Conforme_Art7_2030],MATCH(A1431,tbl_recyclass[ProductId],0))="Sim","Conforme (meta 2030)",IF(INDEX(tbl_recyclass[Conforme_Art7_2030],MATCH(A1431,tbl_recyclass[ProductId],0))="Não","Lacuna face à meta 2030","Isento")),IF(B1431="EU-ENV-011",IF(INDEX(tbl_familias_ppwr[Metais_Pesados_Evidencia],MATCH(INDEX(tbl_recyclass[Familia_PPWR],MATCH(A1431,tbl_recyclass[ProductId],0)),tbl_familias_ppwr[ID_Familia],0))="Em falta","Lacuna","Conforme"),IF(B1431="EU-ENV-013",IF(INDEX(tbl_familias_ppwr[Declaracao_UE],MATCH(INDEX(tbl_recyclass[Familia_PPWR],MATCH(A1431,tbl_recyclass[ProductId],0)),tbl_familias_ppwr[ID_Familia],0))="Sim","Conforme","Lacuna"),G1431)))),G1431))</f>
        <v>Parcial</v>
      </c>
      <c r="I1431" s="33" t="str">
        <f t="shared" si="22"/>
        <v>Parcial</v>
      </c>
      <c r="J1431" s="26" t="s">
        <v>1389</v>
      </c>
    </row>
    <row r="1432" spans="1:10" ht="16.05" customHeight="1" x14ac:dyDescent="0.3">
      <c r="A1432" s="26" t="s">
        <v>765</v>
      </c>
      <c r="B1432" s="26" t="s">
        <v>984</v>
      </c>
      <c r="C1432" s="33" t="str">
        <f>IFERROR(INDEX(tbl_requisitos_emb[Tema],MATCH(B1432,tbl_requisitos_emb[ID_Req],0)),"")</f>
        <v>Conceção para reciclagem</v>
      </c>
      <c r="D1432" s="33" t="str">
        <f>IFERROR(INDEX(tbl_recyclass[Segmento],MATCH(A1432,tbl_recyclass[ProductId],0)),"")</f>
        <v>Cosmética e higiene pessoal</v>
      </c>
      <c r="E1432" s="26" t="s">
        <v>901</v>
      </c>
      <c r="F1432" s="26" t="s">
        <v>1449</v>
      </c>
      <c r="G1432" s="26" t="s">
        <v>978</v>
      </c>
      <c r="H1432" s="33" t="str">
        <f>IF(E1432="Não","Não aplicável",IFERROR(IF(B1432="EU-ENV-002",IF(INDEX(tbl_recyclass[Conforme_PPWR_2030],MATCH(A1432,tbl_recyclass[ProductId],0))="Sim","Conforme (autoavaliação)",IF(INDEX(tbl_recyclass[Conforme_PPWR_2030],MATCH(A1432,tbl_recyclass[ProductId],0))="Não","Não conforme em 2030","Isento até 2035")),IF(B1432="EU-ENV-003",IF(INDEX(tbl_recyclass[Conforme_Art7_2030],MATCH(A1432,tbl_recyclass[ProductId],0))="Sim","Conforme (meta 2030)",IF(INDEX(tbl_recyclass[Conforme_Art7_2030],MATCH(A1432,tbl_recyclass[ProductId],0))="Não","Lacuna face à meta 2030","Isento")),IF(B1432="EU-ENV-011",IF(INDEX(tbl_familias_ppwr[Metais_Pesados_Evidencia],MATCH(INDEX(tbl_recyclass[Familia_PPWR],MATCH(A1432,tbl_recyclass[ProductId],0)),tbl_familias_ppwr[ID_Familia],0))="Em falta","Lacuna","Conforme"),IF(B1432="EU-ENV-013",IF(INDEX(tbl_familias_ppwr[Declaracao_UE],MATCH(INDEX(tbl_recyclass[Familia_PPWR],MATCH(A1432,tbl_recyclass[ProductId],0)),tbl_familias_ppwr[ID_Familia],0))="Sim","Conforme","Lacuna"),G1432)))),G1432))</f>
        <v>Conforme (autoavaliação)</v>
      </c>
      <c r="I1432" s="33" t="str">
        <f t="shared" si="22"/>
        <v>Conforme</v>
      </c>
      <c r="J1432" s="26" t="s">
        <v>991</v>
      </c>
    </row>
    <row r="1433" spans="1:10" ht="16.05" customHeight="1" x14ac:dyDescent="0.3">
      <c r="A1433" s="26" t="s">
        <v>765</v>
      </c>
      <c r="B1433" s="26" t="s">
        <v>997</v>
      </c>
      <c r="C1433" s="33" t="str">
        <f>IFERROR(INDEX(tbl_requisitos_emb[Tema],MATCH(B1433,tbl_requisitos_emb[ID_Req],0)),"")</f>
        <v>Conteúdo reciclado</v>
      </c>
      <c r="D1433" s="33" t="str">
        <f>IFERROR(INDEX(tbl_recyclass[Segmento],MATCH(A1433,tbl_recyclass[ProductId],0)),"")</f>
        <v>Cosmética e higiene pessoal</v>
      </c>
      <c r="E1433" s="26" t="s">
        <v>901</v>
      </c>
      <c r="F1433" s="26" t="s">
        <v>1449</v>
      </c>
      <c r="G1433" s="26" t="s">
        <v>978</v>
      </c>
      <c r="H1433" s="33" t="str">
        <f>IF(E1433="Não","Não aplicável",IFERROR(IF(B1433="EU-ENV-002",IF(INDEX(tbl_recyclass[Conforme_PPWR_2030],MATCH(A1433,tbl_recyclass[ProductId],0))="Sim","Conforme (autoavaliação)",IF(INDEX(tbl_recyclass[Conforme_PPWR_2030],MATCH(A1433,tbl_recyclass[ProductId],0))="Não","Não conforme em 2030","Isento até 2035")),IF(B1433="EU-ENV-003",IF(INDEX(tbl_recyclass[Conforme_Art7_2030],MATCH(A1433,tbl_recyclass[ProductId],0))="Sim","Conforme (meta 2030)",IF(INDEX(tbl_recyclass[Conforme_Art7_2030],MATCH(A1433,tbl_recyclass[ProductId],0))="Não","Lacuna face à meta 2030","Isento")),IF(B1433="EU-ENV-011",IF(INDEX(tbl_familias_ppwr[Metais_Pesados_Evidencia],MATCH(INDEX(tbl_recyclass[Familia_PPWR],MATCH(A1433,tbl_recyclass[ProductId],0)),tbl_familias_ppwr[ID_Familia],0))="Em falta","Lacuna","Conforme"),IF(B1433="EU-ENV-013",IF(INDEX(tbl_familias_ppwr[Declaracao_UE],MATCH(INDEX(tbl_recyclass[Familia_PPWR],MATCH(A1433,tbl_recyclass[ProductId],0)),tbl_familias_ppwr[ID_Familia],0))="Sim","Conforme","Lacuna"),G1433)))),G1433))</f>
        <v>Lacuna face à meta 2030</v>
      </c>
      <c r="I1433" s="33" t="str">
        <f t="shared" si="22"/>
        <v>Lacuna</v>
      </c>
      <c r="J1433" s="26" t="s">
        <v>1001</v>
      </c>
    </row>
    <row r="1434" spans="1:10" ht="16.05" customHeight="1" x14ac:dyDescent="0.3">
      <c r="A1434" s="26" t="s">
        <v>765</v>
      </c>
      <c r="B1434" s="26" t="s">
        <v>1007</v>
      </c>
      <c r="C1434" s="33" t="str">
        <f>IFERROR(INDEX(tbl_requisitos_emb[Tema],MATCH(B1434,tbl_requisitos_emb[ID_Req],0)),"")</f>
        <v>Minimização</v>
      </c>
      <c r="D1434" s="33" t="str">
        <f>IFERROR(INDEX(tbl_recyclass[Segmento],MATCH(A1434,tbl_recyclass[ProductId],0)),"")</f>
        <v>Cosmética e higiene pessoal</v>
      </c>
      <c r="E1434" s="26" t="s">
        <v>901</v>
      </c>
      <c r="F1434" s="26" t="s">
        <v>1449</v>
      </c>
      <c r="G1434" s="26" t="s">
        <v>978</v>
      </c>
      <c r="H1434" s="33" t="str">
        <f>IF(E1434="Não","Não aplicável",IFERROR(IF(B1434="EU-ENV-002",IF(INDEX(tbl_recyclass[Conforme_PPWR_2030],MATCH(A1434,tbl_recyclass[ProductId],0))="Sim","Conforme (autoavaliação)",IF(INDEX(tbl_recyclass[Conforme_PPWR_2030],MATCH(A1434,tbl_recyclass[ProductId],0))="Não","Não conforme em 2030","Isento até 2035")),IF(B1434="EU-ENV-003",IF(INDEX(tbl_recyclass[Conforme_Art7_2030],MATCH(A1434,tbl_recyclass[ProductId],0))="Sim","Conforme (meta 2030)",IF(INDEX(tbl_recyclass[Conforme_Art7_2030],MATCH(A1434,tbl_recyclass[ProductId],0))="Não","Lacuna face à meta 2030","Isento")),IF(B1434="EU-ENV-011",IF(INDEX(tbl_familias_ppwr[Metais_Pesados_Evidencia],MATCH(INDEX(tbl_recyclass[Familia_PPWR],MATCH(A1434,tbl_recyclass[ProductId],0)),tbl_familias_ppwr[ID_Familia],0))="Em falta","Lacuna","Conforme"),IF(B1434="EU-ENV-013",IF(INDEX(tbl_familias_ppwr[Declaracao_UE],MATCH(INDEX(tbl_recyclass[Familia_PPWR],MATCH(A1434,tbl_recyclass[ProductId],0)),tbl_familias_ppwr[ID_Familia],0))="Sim","Conforme","Lacuna"),G1434)))),G1434))</f>
        <v>Parcial</v>
      </c>
      <c r="I1434" s="33" t="str">
        <f t="shared" si="22"/>
        <v>Parcial</v>
      </c>
      <c r="J1434" s="26" t="s">
        <v>1012</v>
      </c>
    </row>
    <row r="1435" spans="1:10" ht="16.05" customHeight="1" x14ac:dyDescent="0.3">
      <c r="A1435" s="26" t="s">
        <v>765</v>
      </c>
      <c r="B1435" s="26" t="s">
        <v>1016</v>
      </c>
      <c r="C1435" s="33" t="str">
        <f>IFERROR(INDEX(tbl_requisitos_emb[Tema],MATCH(B1435,tbl_requisitos_emb[ID_Req],0)),"")</f>
        <v>Rotulagem</v>
      </c>
      <c r="D1435" s="33" t="str">
        <f>IFERROR(INDEX(tbl_recyclass[Segmento],MATCH(A1435,tbl_recyclass[ProductId],0)),"")</f>
        <v>Cosmética e higiene pessoal</v>
      </c>
      <c r="E1435" s="26" t="s">
        <v>901</v>
      </c>
      <c r="F1435" s="26" t="s">
        <v>1449</v>
      </c>
      <c r="G1435" s="26" t="s">
        <v>990</v>
      </c>
      <c r="H1435" s="33" t="str">
        <f>IF(E1435="Não","Não aplicável",IFERROR(IF(B1435="EU-ENV-002",IF(INDEX(tbl_recyclass[Conforme_PPWR_2030],MATCH(A1435,tbl_recyclass[ProductId],0))="Sim","Conforme (autoavaliação)",IF(INDEX(tbl_recyclass[Conforme_PPWR_2030],MATCH(A1435,tbl_recyclass[ProductId],0))="Não","Não conforme em 2030","Isento até 2035")),IF(B1435="EU-ENV-003",IF(INDEX(tbl_recyclass[Conforme_Art7_2030],MATCH(A1435,tbl_recyclass[ProductId],0))="Sim","Conforme (meta 2030)",IF(INDEX(tbl_recyclass[Conforme_Art7_2030],MATCH(A1435,tbl_recyclass[ProductId],0))="Não","Lacuna face à meta 2030","Isento")),IF(B1435="EU-ENV-011",IF(INDEX(tbl_familias_ppwr[Metais_Pesados_Evidencia],MATCH(INDEX(tbl_recyclass[Familia_PPWR],MATCH(A1435,tbl_recyclass[ProductId],0)),tbl_familias_ppwr[ID_Familia],0))="Em falta","Lacuna","Conforme"),IF(B1435="EU-ENV-013",IF(INDEX(tbl_familias_ppwr[Declaracao_UE],MATCH(INDEX(tbl_recyclass[Familia_PPWR],MATCH(A1435,tbl_recyclass[ProductId],0)),tbl_familias_ppwr[ID_Familia],0))="Sim","Conforme","Lacuna"),G1435)))),G1435))</f>
        <v>Futuro</v>
      </c>
      <c r="I1435" s="33" t="str">
        <f t="shared" si="22"/>
        <v>Futuro</v>
      </c>
      <c r="J1435" s="26" t="s">
        <v>1021</v>
      </c>
    </row>
    <row r="1436" spans="1:10" ht="16.05" customHeight="1" x14ac:dyDescent="0.3">
      <c r="A1436" s="26" t="s">
        <v>765</v>
      </c>
      <c r="B1436" s="26" t="s">
        <v>1038</v>
      </c>
      <c r="C1436" s="33" t="str">
        <f>IFERROR(INDEX(tbl_requisitos_emb[Tema],MATCH(B1436,tbl_requisitos_emb[ID_Req],0)),"")</f>
        <v>Plásticos de utilização única</v>
      </c>
      <c r="D1436" s="33" t="str">
        <f>IFERROR(INDEX(tbl_recyclass[Segmento],MATCH(A1436,tbl_recyclass[ProductId],0)),"")</f>
        <v>Cosmética e higiene pessoal</v>
      </c>
      <c r="E1436" s="26" t="s">
        <v>904</v>
      </c>
      <c r="F1436" s="26" t="s">
        <v>1450</v>
      </c>
      <c r="G1436" s="26" t="s">
        <v>1143</v>
      </c>
      <c r="H1436" s="33" t="str">
        <f>IF(E1436="Não","Não aplicável",IFERROR(IF(B1436="EU-ENV-002",IF(INDEX(tbl_recyclass[Conforme_PPWR_2030],MATCH(A1436,tbl_recyclass[ProductId],0))="Sim","Conforme (autoavaliação)",IF(INDEX(tbl_recyclass[Conforme_PPWR_2030],MATCH(A1436,tbl_recyclass[ProductId],0))="Não","Não conforme em 2030","Isento até 2035")),IF(B1436="EU-ENV-003",IF(INDEX(tbl_recyclass[Conforme_Art7_2030],MATCH(A1436,tbl_recyclass[ProductId],0))="Sim","Conforme (meta 2030)",IF(INDEX(tbl_recyclass[Conforme_Art7_2030],MATCH(A1436,tbl_recyclass[ProductId],0))="Não","Lacuna face à meta 2030","Isento")),IF(B1436="EU-ENV-011",IF(INDEX(tbl_familias_ppwr[Metais_Pesados_Evidencia],MATCH(INDEX(tbl_recyclass[Familia_PPWR],MATCH(A1436,tbl_recyclass[ProductId],0)),tbl_familias_ppwr[ID_Familia],0))="Em falta","Lacuna","Conforme"),IF(B1436="EU-ENV-013",IF(INDEX(tbl_familias_ppwr[Declaracao_UE],MATCH(INDEX(tbl_recyclass[Familia_PPWR],MATCH(A1436,tbl_recyclass[ProductId],0)),tbl_familias_ppwr[ID_Familia],0))="Sim","Conforme","Lacuna"),G1436)))),G1436))</f>
        <v>Não aplicável</v>
      </c>
      <c r="I1436" s="33" t="str">
        <f t="shared" si="22"/>
        <v>Não aplicável</v>
      </c>
      <c r="J1436" s="26"/>
    </row>
    <row r="1437" spans="1:10" ht="16.05" customHeight="1" x14ac:dyDescent="0.3">
      <c r="A1437" s="26" t="s">
        <v>765</v>
      </c>
      <c r="B1437" s="26" t="s">
        <v>1078</v>
      </c>
      <c r="C1437" s="33" t="str">
        <f>IFERROR(INDEX(tbl_requisitos_emb[Tema],MATCH(B1437,tbl_requisitos_emb[ID_Req],0)),"")</f>
        <v>Reciclado à escala</v>
      </c>
      <c r="D1437" s="33" t="str">
        <f>IFERROR(INDEX(tbl_recyclass[Segmento],MATCH(A1437,tbl_recyclass[ProductId],0)),"")</f>
        <v>Cosmética e higiene pessoal</v>
      </c>
      <c r="E1437" s="26" t="s">
        <v>901</v>
      </c>
      <c r="F1437" s="26" t="s">
        <v>1449</v>
      </c>
      <c r="G1437" s="26" t="s">
        <v>990</v>
      </c>
      <c r="H1437" s="33" t="str">
        <f>IF(E1437="Não","Não aplicável",IFERROR(IF(B1437="EU-ENV-002",IF(INDEX(tbl_recyclass[Conforme_PPWR_2030],MATCH(A1437,tbl_recyclass[ProductId],0))="Sim","Conforme (autoavaliação)",IF(INDEX(tbl_recyclass[Conforme_PPWR_2030],MATCH(A1437,tbl_recyclass[ProductId],0))="Não","Não conforme em 2030","Isento até 2035")),IF(B1437="EU-ENV-003",IF(INDEX(tbl_recyclass[Conforme_Art7_2030],MATCH(A1437,tbl_recyclass[ProductId],0))="Sim","Conforme (meta 2030)",IF(INDEX(tbl_recyclass[Conforme_Art7_2030],MATCH(A1437,tbl_recyclass[ProductId],0))="Não","Lacuna face à meta 2030","Isento")),IF(B1437="EU-ENV-011",IF(INDEX(tbl_familias_ppwr[Metais_Pesados_Evidencia],MATCH(INDEX(tbl_recyclass[Familia_PPWR],MATCH(A1437,tbl_recyclass[ProductId],0)),tbl_familias_ppwr[ID_Familia],0))="Em falta","Lacuna","Conforme"),IF(B1437="EU-ENV-013",IF(INDEX(tbl_familias_ppwr[Declaracao_UE],MATCH(INDEX(tbl_recyclass[Familia_PPWR],MATCH(A1437,tbl_recyclass[ProductId],0)),tbl_familias_ppwr[ID_Familia],0))="Sim","Conforme","Lacuna"),G1437)))),G1437))</f>
        <v>Futuro</v>
      </c>
      <c r="I1437" s="33" t="str">
        <f t="shared" si="22"/>
        <v>Futuro</v>
      </c>
      <c r="J1437" s="26" t="s">
        <v>1082</v>
      </c>
    </row>
    <row r="1438" spans="1:10" ht="16.05" customHeight="1" x14ac:dyDescent="0.3">
      <c r="A1438" s="26" t="s">
        <v>765</v>
      </c>
      <c r="B1438" s="26" t="s">
        <v>1086</v>
      </c>
      <c r="C1438" s="33" t="str">
        <f>IFERROR(INDEX(tbl_requisitos_emb[Tema],MATCH(B1438,tbl_requisitos_emb[ID_Req],0)),"")</f>
        <v>Metais pesados</v>
      </c>
      <c r="D1438" s="33" t="str">
        <f>IFERROR(INDEX(tbl_recyclass[Segmento],MATCH(A1438,tbl_recyclass[ProductId],0)),"")</f>
        <v>Cosmética e higiene pessoal</v>
      </c>
      <c r="E1438" s="26" t="s">
        <v>901</v>
      </c>
      <c r="F1438" s="26" t="s">
        <v>1449</v>
      </c>
      <c r="G1438" s="26" t="s">
        <v>978</v>
      </c>
      <c r="H1438" s="33" t="str">
        <f>IF(E1438="Não","Não aplicável",IFERROR(IF(B1438="EU-ENV-002",IF(INDEX(tbl_recyclass[Conforme_PPWR_2030],MATCH(A1438,tbl_recyclass[ProductId],0))="Sim","Conforme (autoavaliação)",IF(INDEX(tbl_recyclass[Conforme_PPWR_2030],MATCH(A1438,tbl_recyclass[ProductId],0))="Não","Não conforme em 2030","Isento até 2035")),IF(B1438="EU-ENV-003",IF(INDEX(tbl_recyclass[Conforme_Art7_2030],MATCH(A1438,tbl_recyclass[ProductId],0))="Sim","Conforme (meta 2030)",IF(INDEX(tbl_recyclass[Conforme_Art7_2030],MATCH(A1438,tbl_recyclass[ProductId],0))="Não","Lacuna face à meta 2030","Isento")),IF(B1438="EU-ENV-011",IF(INDEX(tbl_familias_ppwr[Metais_Pesados_Evidencia],MATCH(INDEX(tbl_recyclass[Familia_PPWR],MATCH(A1438,tbl_recyclass[ProductId],0)),tbl_familias_ppwr[ID_Familia],0))="Em falta","Lacuna","Conforme"),IF(B1438="EU-ENV-013",IF(INDEX(tbl_familias_ppwr[Declaracao_UE],MATCH(INDEX(tbl_recyclass[Familia_PPWR],MATCH(A1438,tbl_recyclass[ProductId],0)),tbl_familias_ppwr[ID_Familia],0))="Sim","Conforme","Lacuna"),G1438)))),G1438))</f>
        <v>Conforme</v>
      </c>
      <c r="I1438" s="33" t="str">
        <f t="shared" si="22"/>
        <v>Conforme</v>
      </c>
      <c r="J1438" s="26" t="s">
        <v>1090</v>
      </c>
    </row>
    <row r="1439" spans="1:10" ht="16.05" customHeight="1" x14ac:dyDescent="0.3">
      <c r="A1439" s="26" t="s">
        <v>765</v>
      </c>
      <c r="B1439" s="26" t="s">
        <v>1094</v>
      </c>
      <c r="C1439" s="33" t="str">
        <f>IFERROR(INDEX(tbl_requisitos_emb[Tema],MATCH(B1439,tbl_requisitos_emb[ID_Req],0)),"")</f>
        <v>PFAS</v>
      </c>
      <c r="D1439" s="33" t="str">
        <f>IFERROR(INDEX(tbl_recyclass[Segmento],MATCH(A1439,tbl_recyclass[ProductId],0)),"")</f>
        <v>Cosmética e higiene pessoal</v>
      </c>
      <c r="E1439" s="26" t="s">
        <v>904</v>
      </c>
      <c r="F1439" s="26" t="s">
        <v>1450</v>
      </c>
      <c r="G1439" s="26" t="s">
        <v>1143</v>
      </c>
      <c r="H1439" s="33" t="str">
        <f>IF(E1439="Não","Não aplicável",IFERROR(IF(B1439="EU-ENV-002",IF(INDEX(tbl_recyclass[Conforme_PPWR_2030],MATCH(A1439,tbl_recyclass[ProductId],0))="Sim","Conforme (autoavaliação)",IF(INDEX(tbl_recyclass[Conforme_PPWR_2030],MATCH(A1439,tbl_recyclass[ProductId],0))="Não","Não conforme em 2030","Isento até 2035")),IF(B1439="EU-ENV-003",IF(INDEX(tbl_recyclass[Conforme_Art7_2030],MATCH(A1439,tbl_recyclass[ProductId],0))="Sim","Conforme (meta 2030)",IF(INDEX(tbl_recyclass[Conforme_Art7_2030],MATCH(A1439,tbl_recyclass[ProductId],0))="Não","Lacuna face à meta 2030","Isento")),IF(B1439="EU-ENV-011",IF(INDEX(tbl_familias_ppwr[Metais_Pesados_Evidencia],MATCH(INDEX(tbl_recyclass[Familia_PPWR],MATCH(A1439,tbl_recyclass[ProductId],0)),tbl_familias_ppwr[ID_Familia],0))="Em falta","Lacuna","Conforme"),IF(B1439="EU-ENV-013",IF(INDEX(tbl_familias_ppwr[Declaracao_UE],MATCH(INDEX(tbl_recyclass[Familia_PPWR],MATCH(A1439,tbl_recyclass[ProductId],0)),tbl_familias_ppwr[ID_Familia],0))="Sim","Conforme","Lacuna"),G1439)))),G1439))</f>
        <v>Não aplicável</v>
      </c>
      <c r="I1439" s="33" t="str">
        <f t="shared" si="22"/>
        <v>Não aplicável</v>
      </c>
      <c r="J1439" s="26"/>
    </row>
    <row r="1440" spans="1:10" ht="16.05" customHeight="1" x14ac:dyDescent="0.3">
      <c r="A1440" s="26" t="s">
        <v>765</v>
      </c>
      <c r="B1440" s="26" t="s">
        <v>1102</v>
      </c>
      <c r="C1440" s="33" t="str">
        <f>IFERROR(INDEX(tbl_requisitos_emb[Tema],MATCH(B1440,tbl_requisitos_emb[ID_Req],0)),"")</f>
        <v>Documentação técnica e declaração UE</v>
      </c>
      <c r="D1440" s="33" t="str">
        <f>IFERROR(INDEX(tbl_recyclass[Segmento],MATCH(A1440,tbl_recyclass[ProductId],0)),"")</f>
        <v>Cosmética e higiene pessoal</v>
      </c>
      <c r="E1440" s="26" t="s">
        <v>901</v>
      </c>
      <c r="F1440" s="26" t="s">
        <v>1449</v>
      </c>
      <c r="G1440" s="26" t="s">
        <v>978</v>
      </c>
      <c r="H1440" s="33" t="str">
        <f>IF(E1440="Não","Não aplicável",IFERROR(IF(B1440="EU-ENV-002",IF(INDEX(tbl_recyclass[Conforme_PPWR_2030],MATCH(A1440,tbl_recyclass[ProductId],0))="Sim","Conforme (autoavaliação)",IF(INDEX(tbl_recyclass[Conforme_PPWR_2030],MATCH(A1440,tbl_recyclass[ProductId],0))="Não","Não conforme em 2030","Isento até 2035")),IF(B1440="EU-ENV-003",IF(INDEX(tbl_recyclass[Conforme_Art7_2030],MATCH(A1440,tbl_recyclass[ProductId],0))="Sim","Conforme (meta 2030)",IF(INDEX(tbl_recyclass[Conforme_Art7_2030],MATCH(A1440,tbl_recyclass[ProductId],0))="Não","Lacuna face à meta 2030","Isento")),IF(B1440="EU-ENV-011",IF(INDEX(tbl_familias_ppwr[Metais_Pesados_Evidencia],MATCH(INDEX(tbl_recyclass[Familia_PPWR],MATCH(A1440,tbl_recyclass[ProductId],0)),tbl_familias_ppwr[ID_Familia],0))="Em falta","Lacuna","Conforme"),IF(B1440="EU-ENV-013",IF(INDEX(tbl_familias_ppwr[Declaracao_UE],MATCH(INDEX(tbl_recyclass[Familia_PPWR],MATCH(A1440,tbl_recyclass[ProductId],0)),tbl_familias_ppwr[ID_Familia],0))="Sim","Conforme","Lacuna"),G1440)))),G1440))</f>
        <v>Conforme</v>
      </c>
      <c r="I1440" s="33" t="str">
        <f t="shared" si="22"/>
        <v>Conforme</v>
      </c>
      <c r="J1440" s="26" t="s">
        <v>1106</v>
      </c>
    </row>
    <row r="1441" spans="1:10" ht="16.05" customHeight="1" x14ac:dyDescent="0.3">
      <c r="A1441" s="26" t="s">
        <v>765</v>
      </c>
      <c r="B1441" s="26" t="s">
        <v>1161</v>
      </c>
      <c r="C1441" s="33" t="str">
        <f>IFERROR(INDEX(tbl_requisitos_emb[Tema],MATCH(B1441,tbl_requisitos_emb[ID_Req],0)),"")</f>
        <v>Materiais em contacto com alimentos</v>
      </c>
      <c r="D1441" s="33" t="str">
        <f>IFERROR(INDEX(tbl_recyclass[Segmento],MATCH(A1441,tbl_recyclass[ProductId],0)),"")</f>
        <v>Cosmética e higiene pessoal</v>
      </c>
      <c r="E1441" s="26" t="s">
        <v>904</v>
      </c>
      <c r="F1441" s="26" t="s">
        <v>1450</v>
      </c>
      <c r="G1441" s="26" t="s">
        <v>1143</v>
      </c>
      <c r="H1441" s="33" t="str">
        <f>IF(E1441="Não","Não aplicável",IFERROR(IF(B1441="EU-ENV-002",IF(INDEX(tbl_recyclass[Conforme_PPWR_2030],MATCH(A1441,tbl_recyclass[ProductId],0))="Sim","Conforme (autoavaliação)",IF(INDEX(tbl_recyclass[Conforme_PPWR_2030],MATCH(A1441,tbl_recyclass[ProductId],0))="Não","Não conforme em 2030","Isento até 2035")),IF(B1441="EU-ENV-003",IF(INDEX(tbl_recyclass[Conforme_Art7_2030],MATCH(A1441,tbl_recyclass[ProductId],0))="Sim","Conforme (meta 2030)",IF(INDEX(tbl_recyclass[Conforme_Art7_2030],MATCH(A1441,tbl_recyclass[ProductId],0))="Não","Lacuna face à meta 2030","Isento")),IF(B1441="EU-ENV-011",IF(INDEX(tbl_familias_ppwr[Metais_Pesados_Evidencia],MATCH(INDEX(tbl_recyclass[Familia_PPWR],MATCH(A1441,tbl_recyclass[ProductId],0)),tbl_familias_ppwr[ID_Familia],0))="Em falta","Lacuna","Conforme"),IF(B1441="EU-ENV-013",IF(INDEX(tbl_familias_ppwr[Declaracao_UE],MATCH(INDEX(tbl_recyclass[Familia_PPWR],MATCH(A1441,tbl_recyclass[ProductId],0)),tbl_familias_ppwr[ID_Familia],0))="Sim","Conforme","Lacuna"),G1441)))),G1441))</f>
        <v>Não aplicável</v>
      </c>
      <c r="I1441" s="33" t="str">
        <f t="shared" si="22"/>
        <v>Não aplicável</v>
      </c>
      <c r="J1441" s="26"/>
    </row>
    <row r="1442" spans="1:10" ht="16.05" customHeight="1" x14ac:dyDescent="0.3">
      <c r="A1442" s="26" t="s">
        <v>765</v>
      </c>
      <c r="B1442" s="26" t="s">
        <v>1170</v>
      </c>
      <c r="C1442" s="33" t="str">
        <f>IFERROR(INDEX(tbl_requisitos_emb[Tema],MATCH(B1442,tbl_requisitos_emb[ID_Req],0)),"")</f>
        <v>Boas práticas de fabrico FCM</v>
      </c>
      <c r="D1442" s="33" t="str">
        <f>IFERROR(INDEX(tbl_recyclass[Segmento],MATCH(A1442,tbl_recyclass[ProductId],0)),"")</f>
        <v>Cosmética e higiene pessoal</v>
      </c>
      <c r="E1442" s="26" t="s">
        <v>904</v>
      </c>
      <c r="F1442" s="26" t="s">
        <v>1450</v>
      </c>
      <c r="G1442" s="26" t="s">
        <v>1143</v>
      </c>
      <c r="H1442" s="33" t="str">
        <f>IF(E1442="Não","Não aplicável",IFERROR(IF(B1442="EU-ENV-002",IF(INDEX(tbl_recyclass[Conforme_PPWR_2030],MATCH(A1442,tbl_recyclass[ProductId],0))="Sim","Conforme (autoavaliação)",IF(INDEX(tbl_recyclass[Conforme_PPWR_2030],MATCH(A1442,tbl_recyclass[ProductId],0))="Não","Não conforme em 2030","Isento até 2035")),IF(B1442="EU-ENV-003",IF(INDEX(tbl_recyclass[Conforme_Art7_2030],MATCH(A1442,tbl_recyclass[ProductId],0))="Sim","Conforme (meta 2030)",IF(INDEX(tbl_recyclass[Conforme_Art7_2030],MATCH(A1442,tbl_recyclass[ProductId],0))="Não","Lacuna face à meta 2030","Isento")),IF(B1442="EU-ENV-011",IF(INDEX(tbl_familias_ppwr[Metais_Pesados_Evidencia],MATCH(INDEX(tbl_recyclass[Familia_PPWR],MATCH(A1442,tbl_recyclass[ProductId],0)),tbl_familias_ppwr[ID_Familia],0))="Em falta","Lacuna","Conforme"),IF(B1442="EU-ENV-013",IF(INDEX(tbl_familias_ppwr[Declaracao_UE],MATCH(INDEX(tbl_recyclass[Familia_PPWR],MATCH(A1442,tbl_recyclass[ProductId],0)),tbl_familias_ppwr[ID_Familia],0))="Sim","Conforme","Lacuna"),G1442)))),G1442))</f>
        <v>Não aplicável</v>
      </c>
      <c r="I1442" s="33" t="str">
        <f t="shared" si="22"/>
        <v>Não aplicável</v>
      </c>
      <c r="J1442" s="26"/>
    </row>
    <row r="1443" spans="1:10" ht="16.05" customHeight="1" x14ac:dyDescent="0.3">
      <c r="A1443" s="26" t="s">
        <v>765</v>
      </c>
      <c r="B1443" s="26" t="s">
        <v>1179</v>
      </c>
      <c r="C1443" s="33" t="str">
        <f>IFERROR(INDEX(tbl_requisitos_emb[Tema],MATCH(B1443,tbl_requisitos_emb[ID_Req],0)),"")</f>
        <v>Bisfenol A e bisfenóis perigosos</v>
      </c>
      <c r="D1443" s="33" t="str">
        <f>IFERROR(INDEX(tbl_recyclass[Segmento],MATCH(A1443,tbl_recyclass[ProductId],0)),"")</f>
        <v>Cosmética e higiene pessoal</v>
      </c>
      <c r="E1443" s="26" t="s">
        <v>904</v>
      </c>
      <c r="F1443" s="26" t="s">
        <v>1450</v>
      </c>
      <c r="G1443" s="26" t="s">
        <v>1143</v>
      </c>
      <c r="H1443" s="33" t="str">
        <f>IF(E1443="Não","Não aplicável",IFERROR(IF(B1443="EU-ENV-002",IF(INDEX(tbl_recyclass[Conforme_PPWR_2030],MATCH(A1443,tbl_recyclass[ProductId],0))="Sim","Conforme (autoavaliação)",IF(INDEX(tbl_recyclass[Conforme_PPWR_2030],MATCH(A1443,tbl_recyclass[ProductId],0))="Não","Não conforme em 2030","Isento até 2035")),IF(B1443="EU-ENV-003",IF(INDEX(tbl_recyclass[Conforme_Art7_2030],MATCH(A1443,tbl_recyclass[ProductId],0))="Sim","Conforme (meta 2030)",IF(INDEX(tbl_recyclass[Conforme_Art7_2030],MATCH(A1443,tbl_recyclass[ProductId],0))="Não","Lacuna face à meta 2030","Isento")),IF(B1443="EU-ENV-011",IF(INDEX(tbl_familias_ppwr[Metais_Pesados_Evidencia],MATCH(INDEX(tbl_recyclass[Familia_PPWR],MATCH(A1443,tbl_recyclass[ProductId],0)),tbl_familias_ppwr[ID_Familia],0))="Em falta","Lacuna","Conforme"),IF(B1443="EU-ENV-013",IF(INDEX(tbl_familias_ppwr[Declaracao_UE],MATCH(INDEX(tbl_recyclass[Familia_PPWR],MATCH(A1443,tbl_recyclass[ProductId],0)),tbl_familias_ppwr[ID_Familia],0))="Sim","Conforme","Lacuna"),G1443)))),G1443))</f>
        <v>Não aplicável</v>
      </c>
      <c r="I1443" s="33" t="str">
        <f t="shared" si="22"/>
        <v>Não aplicável</v>
      </c>
      <c r="J1443" s="26"/>
    </row>
    <row r="1444" spans="1:10" ht="16.05" customHeight="1" x14ac:dyDescent="0.3">
      <c r="A1444" s="26" t="s">
        <v>765</v>
      </c>
      <c r="B1444" s="26" t="s">
        <v>1188</v>
      </c>
      <c r="C1444" s="33" t="str">
        <f>IFERROR(INDEX(tbl_requisitos_emb[Tema],MATCH(B1444,tbl_requisitos_emb[ID_Req],0)),"")</f>
        <v>Plásticos em contacto com alimentos</v>
      </c>
      <c r="D1444" s="33" t="str">
        <f>IFERROR(INDEX(tbl_recyclass[Segmento],MATCH(A1444,tbl_recyclass[ProductId],0)),"")</f>
        <v>Cosmética e higiene pessoal</v>
      </c>
      <c r="E1444" s="26" t="s">
        <v>904</v>
      </c>
      <c r="F1444" s="26" t="s">
        <v>1450</v>
      </c>
      <c r="G1444" s="26" t="s">
        <v>1143</v>
      </c>
      <c r="H1444" s="33" t="str">
        <f>IF(E1444="Não","Não aplicável",IFERROR(IF(B1444="EU-ENV-002",IF(INDEX(tbl_recyclass[Conforme_PPWR_2030],MATCH(A1444,tbl_recyclass[ProductId],0))="Sim","Conforme (autoavaliação)",IF(INDEX(tbl_recyclass[Conforme_PPWR_2030],MATCH(A1444,tbl_recyclass[ProductId],0))="Não","Não conforme em 2030","Isento até 2035")),IF(B1444="EU-ENV-003",IF(INDEX(tbl_recyclass[Conforme_Art7_2030],MATCH(A1444,tbl_recyclass[ProductId],0))="Sim","Conforme (meta 2030)",IF(INDEX(tbl_recyclass[Conforme_Art7_2030],MATCH(A1444,tbl_recyclass[ProductId],0))="Não","Lacuna face à meta 2030","Isento")),IF(B1444="EU-ENV-011",IF(INDEX(tbl_familias_ppwr[Metais_Pesados_Evidencia],MATCH(INDEX(tbl_recyclass[Familia_PPWR],MATCH(A1444,tbl_recyclass[ProductId],0)),tbl_familias_ppwr[ID_Familia],0))="Em falta","Lacuna","Conforme"),IF(B1444="EU-ENV-013",IF(INDEX(tbl_familias_ppwr[Declaracao_UE],MATCH(INDEX(tbl_recyclass[Familia_PPWR],MATCH(A1444,tbl_recyclass[ProductId],0)),tbl_familias_ppwr[ID_Familia],0))="Sim","Conforme","Lacuna"),G1444)))),G1444))</f>
        <v>Não aplicável</v>
      </c>
      <c r="I1444" s="33" t="str">
        <f t="shared" si="22"/>
        <v>Não aplicável</v>
      </c>
      <c r="J1444" s="26"/>
    </row>
    <row r="1445" spans="1:10" ht="16.05" customHeight="1" x14ac:dyDescent="0.3">
      <c r="A1445" s="26" t="s">
        <v>765</v>
      </c>
      <c r="B1445" s="26" t="s">
        <v>1212</v>
      </c>
      <c r="C1445" s="33" t="str">
        <f>IFERROR(INDEX(tbl_requisitos_emb[Tema],MATCH(B1445,tbl_requisitos_emb[ID_Req],0)),"")</f>
        <v>Segurança do produto cosmético</v>
      </c>
      <c r="D1445" s="33" t="str">
        <f>IFERROR(INDEX(tbl_recyclass[Segmento],MATCH(A1445,tbl_recyclass[ProductId],0)),"")</f>
        <v>Cosmética e higiene pessoal</v>
      </c>
      <c r="E1445" s="26" t="s">
        <v>901</v>
      </c>
      <c r="F1445" s="26" t="s">
        <v>1449</v>
      </c>
      <c r="G1445" s="26" t="s">
        <v>1033</v>
      </c>
      <c r="H1445" s="33" t="str">
        <f>IF(E1445="Não","Não aplicável",IFERROR(IF(B1445="EU-ENV-002",IF(INDEX(tbl_recyclass[Conforme_PPWR_2030],MATCH(A1445,tbl_recyclass[ProductId],0))="Sim","Conforme (autoavaliação)",IF(INDEX(tbl_recyclass[Conforme_PPWR_2030],MATCH(A1445,tbl_recyclass[ProductId],0))="Não","Não conforme em 2030","Isento até 2035")),IF(B1445="EU-ENV-003",IF(INDEX(tbl_recyclass[Conforme_Art7_2030],MATCH(A1445,tbl_recyclass[ProductId],0))="Sim","Conforme (meta 2030)",IF(INDEX(tbl_recyclass[Conforme_Art7_2030],MATCH(A1445,tbl_recyclass[ProductId],0))="Não","Lacuna face à meta 2030","Isento")),IF(B1445="EU-ENV-011",IF(INDEX(tbl_familias_ppwr[Metais_Pesados_Evidencia],MATCH(INDEX(tbl_recyclass[Familia_PPWR],MATCH(A1445,tbl_recyclass[ProductId],0)),tbl_familias_ppwr[ID_Familia],0))="Em falta","Lacuna","Conforme"),IF(B1445="EU-ENV-013",IF(INDEX(tbl_familias_ppwr[Declaracao_UE],MATCH(INDEX(tbl_recyclass[Familia_PPWR],MATCH(A1445,tbl_recyclass[ProductId],0)),tbl_familias_ppwr[ID_Familia],0))="Sim","Conforme","Lacuna"),G1445)))),G1445))</f>
        <v>Conforme</v>
      </c>
      <c r="I1445" s="33" t="str">
        <f t="shared" si="22"/>
        <v>Conforme</v>
      </c>
      <c r="J1445" s="26" t="s">
        <v>1221</v>
      </c>
    </row>
    <row r="1446" spans="1:10" ht="16.05" customHeight="1" x14ac:dyDescent="0.3">
      <c r="A1446" s="26" t="s">
        <v>765</v>
      </c>
      <c r="B1446" s="26" t="s">
        <v>1224</v>
      </c>
      <c r="C1446" s="33" t="str">
        <f>IFERROR(INDEX(tbl_requisitos_emb[Tema],MATCH(B1446,tbl_requisitos_emb[ID_Req],0)),"")</f>
        <v>Materiais e impurezas</v>
      </c>
      <c r="D1446" s="33" t="str">
        <f>IFERROR(INDEX(tbl_recyclass[Segmento],MATCH(A1446,tbl_recyclass[ProductId],0)),"")</f>
        <v>Cosmética e higiene pessoal</v>
      </c>
      <c r="E1446" s="26" t="s">
        <v>901</v>
      </c>
      <c r="F1446" s="26" t="s">
        <v>1449</v>
      </c>
      <c r="G1446" s="26" t="s">
        <v>978</v>
      </c>
      <c r="H1446" s="33" t="str">
        <f>IF(E1446="Não","Não aplicável",IFERROR(IF(B1446="EU-ENV-002",IF(INDEX(tbl_recyclass[Conforme_PPWR_2030],MATCH(A1446,tbl_recyclass[ProductId],0))="Sim","Conforme (autoavaliação)",IF(INDEX(tbl_recyclass[Conforme_PPWR_2030],MATCH(A1446,tbl_recyclass[ProductId],0))="Não","Não conforme em 2030","Isento até 2035")),IF(B1446="EU-ENV-003",IF(INDEX(tbl_recyclass[Conforme_Art7_2030],MATCH(A1446,tbl_recyclass[ProductId],0))="Sim","Conforme (meta 2030)",IF(INDEX(tbl_recyclass[Conforme_Art7_2030],MATCH(A1446,tbl_recyclass[ProductId],0))="Não","Lacuna face à meta 2030","Isento")),IF(B1446="EU-ENV-011",IF(INDEX(tbl_familias_ppwr[Metais_Pesados_Evidencia],MATCH(INDEX(tbl_recyclass[Familia_PPWR],MATCH(A1446,tbl_recyclass[ProductId],0)),tbl_familias_ppwr[ID_Familia],0))="Em falta","Lacuna","Conforme"),IF(B1446="EU-ENV-013",IF(INDEX(tbl_familias_ppwr[Declaracao_UE],MATCH(INDEX(tbl_recyclass[Familia_PPWR],MATCH(A1446,tbl_recyclass[ProductId],0)),tbl_familias_ppwr[ID_Familia],0))="Sim","Conforme","Lacuna"),G1446)))),G1446))</f>
        <v>Parcial</v>
      </c>
      <c r="I1446" s="33" t="str">
        <f t="shared" si="22"/>
        <v>Parcial</v>
      </c>
      <c r="J1446" s="26" t="s">
        <v>1228</v>
      </c>
    </row>
    <row r="1447" spans="1:10" ht="16.05" customHeight="1" x14ac:dyDescent="0.3">
      <c r="A1447" s="26" t="s">
        <v>765</v>
      </c>
      <c r="B1447" s="26" t="s">
        <v>1240</v>
      </c>
      <c r="C1447" s="33" t="str">
        <f>IFERROR(INDEX(tbl_requisitos_emb[Tema],MATCH(B1447,tbl_requisitos_emb[ID_Req],0)),"")</f>
        <v>Compatibilidade embalagem–produto</v>
      </c>
      <c r="D1447" s="33" t="str">
        <f>IFERROR(INDEX(tbl_recyclass[Segmento],MATCH(A1447,tbl_recyclass[ProductId],0)),"")</f>
        <v>Cosmética e higiene pessoal</v>
      </c>
      <c r="E1447" s="26" t="s">
        <v>901</v>
      </c>
      <c r="F1447" s="26" t="s">
        <v>1449</v>
      </c>
      <c r="G1447" s="26" t="s">
        <v>1033</v>
      </c>
      <c r="H1447" s="33" t="str">
        <f>IF(E1447="Não","Não aplicável",IFERROR(IF(B1447="EU-ENV-002",IF(INDEX(tbl_recyclass[Conforme_PPWR_2030],MATCH(A1447,tbl_recyclass[ProductId],0))="Sim","Conforme (autoavaliação)",IF(INDEX(tbl_recyclass[Conforme_PPWR_2030],MATCH(A1447,tbl_recyclass[ProductId],0))="Não","Não conforme em 2030","Isento até 2035")),IF(B1447="EU-ENV-003",IF(INDEX(tbl_recyclass[Conforme_Art7_2030],MATCH(A1447,tbl_recyclass[ProductId],0))="Sim","Conforme (meta 2030)",IF(INDEX(tbl_recyclass[Conforme_Art7_2030],MATCH(A1447,tbl_recyclass[ProductId],0))="Não","Lacuna face à meta 2030","Isento")),IF(B1447="EU-ENV-011",IF(INDEX(tbl_familias_ppwr[Metais_Pesados_Evidencia],MATCH(INDEX(tbl_recyclass[Familia_PPWR],MATCH(A1447,tbl_recyclass[ProductId],0)),tbl_familias_ppwr[ID_Familia],0))="Em falta","Lacuna","Conforme"),IF(B1447="EU-ENV-013",IF(INDEX(tbl_familias_ppwr[Declaracao_UE],MATCH(INDEX(tbl_recyclass[Familia_PPWR],MATCH(A1447,tbl_recyclass[ProductId],0)),tbl_familias_ppwr[ID_Familia],0))="Sim","Conforme","Lacuna"),G1447)))),G1447))</f>
        <v>Conforme</v>
      </c>
      <c r="I1447" s="33" t="str">
        <f t="shared" si="22"/>
        <v>Conforme</v>
      </c>
      <c r="J1447" s="26" t="s">
        <v>1244</v>
      </c>
    </row>
    <row r="1448" spans="1:10" ht="16.05" customHeight="1" x14ac:dyDescent="0.3">
      <c r="A1448" s="26" t="s">
        <v>765</v>
      </c>
      <c r="B1448" s="26" t="s">
        <v>1252</v>
      </c>
      <c r="C1448" s="33" t="str">
        <f>IFERROR(INDEX(tbl_requisitos_emb[Tema],MATCH(B1448,tbl_requisitos_emb[ID_Req],0)),"")</f>
        <v>Medicamentos de uso humano</v>
      </c>
      <c r="D1448" s="33" t="str">
        <f>IFERROR(INDEX(tbl_recyclass[Segmento],MATCH(A1448,tbl_recyclass[ProductId],0)),"")</f>
        <v>Cosmética e higiene pessoal</v>
      </c>
      <c r="E1448" s="26" t="s">
        <v>904</v>
      </c>
      <c r="F1448" s="26" t="s">
        <v>1451</v>
      </c>
      <c r="G1448" s="26" t="s">
        <v>1143</v>
      </c>
      <c r="H1448" s="33" t="str">
        <f>IF(E1448="Não","Não aplicável",IFERROR(IF(B1448="EU-ENV-002",IF(INDEX(tbl_recyclass[Conforme_PPWR_2030],MATCH(A1448,tbl_recyclass[ProductId],0))="Sim","Conforme (autoavaliação)",IF(INDEX(tbl_recyclass[Conforme_PPWR_2030],MATCH(A1448,tbl_recyclass[ProductId],0))="Não","Não conforme em 2030","Isento até 2035")),IF(B1448="EU-ENV-003",IF(INDEX(tbl_recyclass[Conforme_Art7_2030],MATCH(A1448,tbl_recyclass[ProductId],0))="Sim","Conforme (meta 2030)",IF(INDEX(tbl_recyclass[Conforme_Art7_2030],MATCH(A1448,tbl_recyclass[ProductId],0))="Não","Lacuna face à meta 2030","Isento")),IF(B1448="EU-ENV-011",IF(INDEX(tbl_familias_ppwr[Metais_Pesados_Evidencia],MATCH(INDEX(tbl_recyclass[Familia_PPWR],MATCH(A1448,tbl_recyclass[ProductId],0)),tbl_familias_ppwr[ID_Familia],0))="Em falta","Lacuna","Conforme"),IF(B1448="EU-ENV-013",IF(INDEX(tbl_familias_ppwr[Declaracao_UE],MATCH(INDEX(tbl_recyclass[Familia_PPWR],MATCH(A1448,tbl_recyclass[ProductId],0)),tbl_familias_ppwr[ID_Familia],0))="Sim","Conforme","Lacuna"),G1448)))),G1448))</f>
        <v>Não aplicável</v>
      </c>
      <c r="I1448" s="33" t="str">
        <f t="shared" si="22"/>
        <v>Não aplicável</v>
      </c>
      <c r="J1448" s="26"/>
    </row>
    <row r="1449" spans="1:10" ht="16.05" customHeight="1" x14ac:dyDescent="0.3">
      <c r="A1449" s="26" t="s">
        <v>765</v>
      </c>
      <c r="B1449" s="26" t="s">
        <v>1268</v>
      </c>
      <c r="C1449" s="33" t="str">
        <f>IFERROR(INDEX(tbl_requisitos_emb[Tema],MATCH(B1449,tbl_requisitos_emb[ID_Req],0)),"")</f>
        <v>Dispositivos de segurança</v>
      </c>
      <c r="D1449" s="33" t="str">
        <f>IFERROR(INDEX(tbl_recyclass[Segmento],MATCH(A1449,tbl_recyclass[ProductId],0)),"")</f>
        <v>Cosmética e higiene pessoal</v>
      </c>
      <c r="E1449" s="26" t="s">
        <v>904</v>
      </c>
      <c r="F1449" s="26" t="s">
        <v>1451</v>
      </c>
      <c r="G1449" s="26" t="s">
        <v>1143</v>
      </c>
      <c r="H1449" s="33" t="str">
        <f>IF(E1449="Não","Não aplicável",IFERROR(IF(B1449="EU-ENV-002",IF(INDEX(tbl_recyclass[Conforme_PPWR_2030],MATCH(A1449,tbl_recyclass[ProductId],0))="Sim","Conforme (autoavaliação)",IF(INDEX(tbl_recyclass[Conforme_PPWR_2030],MATCH(A1449,tbl_recyclass[ProductId],0))="Não","Não conforme em 2030","Isento até 2035")),IF(B1449="EU-ENV-003",IF(INDEX(tbl_recyclass[Conforme_Art7_2030],MATCH(A1449,tbl_recyclass[ProductId],0))="Sim","Conforme (meta 2030)",IF(INDEX(tbl_recyclass[Conforme_Art7_2030],MATCH(A1449,tbl_recyclass[ProductId],0))="Não","Lacuna face à meta 2030","Isento")),IF(B1449="EU-ENV-011",IF(INDEX(tbl_familias_ppwr[Metais_Pesados_Evidencia],MATCH(INDEX(tbl_recyclass[Familia_PPWR],MATCH(A1449,tbl_recyclass[ProductId],0)),tbl_familias_ppwr[ID_Familia],0))="Em falta","Lacuna","Conforme"),IF(B1449="EU-ENV-013",IF(INDEX(tbl_familias_ppwr[Declaracao_UE],MATCH(INDEX(tbl_recyclass[Familia_PPWR],MATCH(A1449,tbl_recyclass[ProductId],0)),tbl_familias_ppwr[ID_Familia],0))="Sim","Conforme","Lacuna"),G1449)))),G1449))</f>
        <v>Não aplicável</v>
      </c>
      <c r="I1449" s="33" t="str">
        <f t="shared" si="22"/>
        <v>Não aplicável</v>
      </c>
      <c r="J1449" s="26"/>
    </row>
    <row r="1450" spans="1:10" ht="16.05" customHeight="1" x14ac:dyDescent="0.3">
      <c r="A1450" s="26" t="s">
        <v>765</v>
      </c>
      <c r="B1450" s="26" t="s">
        <v>1285</v>
      </c>
      <c r="C1450" s="33" t="str">
        <f>IFERROR(INDEX(tbl_requisitos_emb[Tema],MATCH(B1450,tbl_requisitos_emb[ID_Req],0)),"")</f>
        <v>Materiais plásticos de acondicionamento primário</v>
      </c>
      <c r="D1450" s="33" t="str">
        <f>IFERROR(INDEX(tbl_recyclass[Segmento],MATCH(A1450,tbl_recyclass[ProductId],0)),"")</f>
        <v>Cosmética e higiene pessoal</v>
      </c>
      <c r="E1450" s="26" t="s">
        <v>904</v>
      </c>
      <c r="F1450" s="26" t="s">
        <v>1451</v>
      </c>
      <c r="G1450" s="26" t="s">
        <v>1143</v>
      </c>
      <c r="H1450" s="33" t="str">
        <f>IF(E1450="Não","Não aplicável",IFERROR(IF(B1450="EU-ENV-002",IF(INDEX(tbl_recyclass[Conforme_PPWR_2030],MATCH(A1450,tbl_recyclass[ProductId],0))="Sim","Conforme (autoavaliação)",IF(INDEX(tbl_recyclass[Conforme_PPWR_2030],MATCH(A1450,tbl_recyclass[ProductId],0))="Não","Não conforme em 2030","Isento até 2035")),IF(B1450="EU-ENV-003",IF(INDEX(tbl_recyclass[Conforme_Art7_2030],MATCH(A1450,tbl_recyclass[ProductId],0))="Sim","Conforme (meta 2030)",IF(INDEX(tbl_recyclass[Conforme_Art7_2030],MATCH(A1450,tbl_recyclass[ProductId],0))="Não","Lacuna face à meta 2030","Isento")),IF(B1450="EU-ENV-011",IF(INDEX(tbl_familias_ppwr[Metais_Pesados_Evidencia],MATCH(INDEX(tbl_recyclass[Familia_PPWR],MATCH(A1450,tbl_recyclass[ProductId],0)),tbl_familias_ppwr[ID_Familia],0))="Em falta","Lacuna","Conforme"),IF(B1450="EU-ENV-013",IF(INDEX(tbl_familias_ppwr[Declaracao_UE],MATCH(INDEX(tbl_recyclass[Familia_PPWR],MATCH(A1450,tbl_recyclass[ProductId],0)),tbl_familias_ppwr[ID_Familia],0))="Sim","Conforme","Lacuna"),G1450)))),G1450))</f>
        <v>Não aplicável</v>
      </c>
      <c r="I1450" s="33" t="str">
        <f t="shared" si="22"/>
        <v>Não aplicável</v>
      </c>
      <c r="J1450" s="26"/>
    </row>
    <row r="1451" spans="1:10" ht="16.05" customHeight="1" x14ac:dyDescent="0.3">
      <c r="A1451" s="26" t="s">
        <v>765</v>
      </c>
      <c r="B1451" s="26" t="s">
        <v>1293</v>
      </c>
      <c r="C1451" s="33" t="str">
        <f>IFERROR(INDEX(tbl_requisitos_emb[Tema],MATCH(B1451,tbl_requisitos_emb[ID_Req],0)),"")</f>
        <v>Isenções PPWR</v>
      </c>
      <c r="D1451" s="33" t="str">
        <f>IFERROR(INDEX(tbl_recyclass[Segmento],MATCH(A1451,tbl_recyclass[ProductId],0)),"")</f>
        <v>Cosmética e higiene pessoal</v>
      </c>
      <c r="E1451" s="26" t="s">
        <v>904</v>
      </c>
      <c r="F1451" s="26" t="s">
        <v>1451</v>
      </c>
      <c r="G1451" s="26" t="s">
        <v>1143</v>
      </c>
      <c r="H1451" s="33" t="str">
        <f>IF(E1451="Não","Não aplicável",IFERROR(IF(B1451="EU-ENV-002",IF(INDEX(tbl_recyclass[Conforme_PPWR_2030],MATCH(A1451,tbl_recyclass[ProductId],0))="Sim","Conforme (autoavaliação)",IF(INDEX(tbl_recyclass[Conforme_PPWR_2030],MATCH(A1451,tbl_recyclass[ProductId],0))="Não","Não conforme em 2030","Isento até 2035")),IF(B1451="EU-ENV-003",IF(INDEX(tbl_recyclass[Conforme_Art7_2030],MATCH(A1451,tbl_recyclass[ProductId],0))="Sim","Conforme (meta 2030)",IF(INDEX(tbl_recyclass[Conforme_Art7_2030],MATCH(A1451,tbl_recyclass[ProductId],0))="Não","Lacuna face à meta 2030","Isento")),IF(B1451="EU-ENV-011",IF(INDEX(tbl_familias_ppwr[Metais_Pesados_Evidencia],MATCH(INDEX(tbl_recyclass[Familia_PPWR],MATCH(A1451,tbl_recyclass[ProductId],0)),tbl_familias_ppwr[ID_Familia],0))="Em falta","Lacuna","Conforme"),IF(B1451="EU-ENV-013",IF(INDEX(tbl_familias_ppwr[Declaracao_UE],MATCH(INDEX(tbl_recyclass[Familia_PPWR],MATCH(A1451,tbl_recyclass[ProductId],0)),tbl_familias_ppwr[ID_Familia],0))="Sim","Conforme","Lacuna"),G1451)))),G1451))</f>
        <v>Não aplicável</v>
      </c>
      <c r="I1451" s="33" t="str">
        <f t="shared" si="22"/>
        <v>Não aplicável</v>
      </c>
      <c r="J1451" s="26"/>
    </row>
    <row r="1452" spans="1:10" ht="16.05" customHeight="1" x14ac:dyDescent="0.3">
      <c r="A1452" s="26" t="s">
        <v>765</v>
      </c>
      <c r="B1452" s="26" t="s">
        <v>1357</v>
      </c>
      <c r="C1452" s="33" t="str">
        <f>IFERROR(INDEX(tbl_requisitos_emb[Tema],MATCH(B1452,tbl_requisitos_emb[ID_Req],0)),"")</f>
        <v>Identificação de plásticos</v>
      </c>
      <c r="D1452" s="33" t="str">
        <f>IFERROR(INDEX(tbl_recyclass[Segmento],MATCH(A1452,tbl_recyclass[ProductId],0)),"")</f>
        <v>Cosmética e higiene pessoal</v>
      </c>
      <c r="E1452" s="26" t="s">
        <v>901</v>
      </c>
      <c r="F1452" s="26" t="s">
        <v>1449</v>
      </c>
      <c r="G1452" s="26" t="s">
        <v>978</v>
      </c>
      <c r="H1452" s="33" t="str">
        <f>IF(E1452="Não","Não aplicável",IFERROR(IF(B1452="EU-ENV-002",IF(INDEX(tbl_recyclass[Conforme_PPWR_2030],MATCH(A1452,tbl_recyclass[ProductId],0))="Sim","Conforme (autoavaliação)",IF(INDEX(tbl_recyclass[Conforme_PPWR_2030],MATCH(A1452,tbl_recyclass[ProductId],0))="Não","Não conforme em 2030","Isento até 2035")),IF(B1452="EU-ENV-003",IF(INDEX(tbl_recyclass[Conforme_Art7_2030],MATCH(A1452,tbl_recyclass[ProductId],0))="Sim","Conforme (meta 2030)",IF(INDEX(tbl_recyclass[Conforme_Art7_2030],MATCH(A1452,tbl_recyclass[ProductId],0))="Não","Lacuna face à meta 2030","Isento")),IF(B1452="EU-ENV-011",IF(INDEX(tbl_familias_ppwr[Metais_Pesados_Evidencia],MATCH(INDEX(tbl_recyclass[Familia_PPWR],MATCH(A1452,tbl_recyclass[ProductId],0)),tbl_familias_ppwr[ID_Familia],0))="Em falta","Lacuna","Conforme"),IF(B1452="EU-ENV-013",IF(INDEX(tbl_familias_ppwr[Declaracao_UE],MATCH(INDEX(tbl_recyclass[Familia_PPWR],MATCH(A1452,tbl_recyclass[ProductId],0)),tbl_familias_ppwr[ID_Familia],0))="Sim","Conforme","Lacuna"),G1452)))),G1452))</f>
        <v>Parcial</v>
      </c>
      <c r="I1452" s="33" t="str">
        <f t="shared" si="22"/>
        <v>Parcial</v>
      </c>
      <c r="J1452" s="26" t="s">
        <v>1362</v>
      </c>
    </row>
    <row r="1453" spans="1:10" ht="16.05" customHeight="1" x14ac:dyDescent="0.3">
      <c r="A1453" s="26" t="s">
        <v>765</v>
      </c>
      <c r="B1453" s="26" t="s">
        <v>1385</v>
      </c>
      <c r="C1453" s="33" t="str">
        <f>IFERROR(INDEX(tbl_requisitos_emb[Tema],MATCH(B1453,tbl_requisitos_emb[ID_Req],0)),"")</f>
        <v>Reciclabilidade (voluntária)</v>
      </c>
      <c r="D1453" s="33" t="str">
        <f>IFERROR(INDEX(tbl_recyclass[Segmento],MATCH(A1453,tbl_recyclass[ProductId],0)),"")</f>
        <v>Cosmética e higiene pessoal</v>
      </c>
      <c r="E1453" s="26" t="s">
        <v>901</v>
      </c>
      <c r="F1453" s="26" t="s">
        <v>1449</v>
      </c>
      <c r="G1453" s="26" t="s">
        <v>978</v>
      </c>
      <c r="H1453" s="33" t="str">
        <f>IF(E1453="Não","Não aplicável",IFERROR(IF(B1453="EU-ENV-002",IF(INDEX(tbl_recyclass[Conforme_PPWR_2030],MATCH(A1453,tbl_recyclass[ProductId],0))="Sim","Conforme (autoavaliação)",IF(INDEX(tbl_recyclass[Conforme_PPWR_2030],MATCH(A1453,tbl_recyclass[ProductId],0))="Não","Não conforme em 2030","Isento até 2035")),IF(B1453="EU-ENV-003",IF(INDEX(tbl_recyclass[Conforme_Art7_2030],MATCH(A1453,tbl_recyclass[ProductId],0))="Sim","Conforme (meta 2030)",IF(INDEX(tbl_recyclass[Conforme_Art7_2030],MATCH(A1453,tbl_recyclass[ProductId],0))="Não","Lacuna face à meta 2030","Isento")),IF(B1453="EU-ENV-011",IF(INDEX(tbl_familias_ppwr[Metais_Pesados_Evidencia],MATCH(INDEX(tbl_recyclass[Familia_PPWR],MATCH(A1453,tbl_recyclass[ProductId],0)),tbl_familias_ppwr[ID_Familia],0))="Em falta","Lacuna","Conforme"),IF(B1453="EU-ENV-013",IF(INDEX(tbl_familias_ppwr[Declaracao_UE],MATCH(INDEX(tbl_recyclass[Familia_PPWR],MATCH(A1453,tbl_recyclass[ProductId],0)),tbl_familias_ppwr[ID_Familia],0))="Sim","Conforme","Lacuna"),G1453)))),G1453))</f>
        <v>Parcial</v>
      </c>
      <c r="I1453" s="33" t="str">
        <f t="shared" si="22"/>
        <v>Parcial</v>
      </c>
      <c r="J1453" s="26" t="s">
        <v>1389</v>
      </c>
    </row>
    <row r="1454" spans="1:10" ht="16.05" customHeight="1" x14ac:dyDescent="0.3">
      <c r="A1454" s="26" t="s">
        <v>767</v>
      </c>
      <c r="B1454" s="26" t="s">
        <v>984</v>
      </c>
      <c r="C1454" s="33" t="str">
        <f>IFERROR(INDEX(tbl_requisitos_emb[Tema],MATCH(B1454,tbl_requisitos_emb[ID_Req],0)),"")</f>
        <v>Conceção para reciclagem</v>
      </c>
      <c r="D1454" s="33" t="str">
        <f>IFERROR(INDEX(tbl_recyclass[Segmento],MATCH(A1454,tbl_recyclass[ProductId],0)),"")</f>
        <v>Cosmética e higiene pessoal</v>
      </c>
      <c r="E1454" s="26" t="s">
        <v>901</v>
      </c>
      <c r="F1454" s="26" t="s">
        <v>1449</v>
      </c>
      <c r="G1454" s="26" t="s">
        <v>978</v>
      </c>
      <c r="H1454" s="33" t="str">
        <f>IF(E1454="Não","Não aplicável",IFERROR(IF(B1454="EU-ENV-002",IF(INDEX(tbl_recyclass[Conforme_PPWR_2030],MATCH(A1454,tbl_recyclass[ProductId],0))="Sim","Conforme (autoavaliação)",IF(INDEX(tbl_recyclass[Conforme_PPWR_2030],MATCH(A1454,tbl_recyclass[ProductId],0))="Não","Não conforme em 2030","Isento até 2035")),IF(B1454="EU-ENV-003",IF(INDEX(tbl_recyclass[Conforme_Art7_2030],MATCH(A1454,tbl_recyclass[ProductId],0))="Sim","Conforme (meta 2030)",IF(INDEX(tbl_recyclass[Conforme_Art7_2030],MATCH(A1454,tbl_recyclass[ProductId],0))="Não","Lacuna face à meta 2030","Isento")),IF(B1454="EU-ENV-011",IF(INDEX(tbl_familias_ppwr[Metais_Pesados_Evidencia],MATCH(INDEX(tbl_recyclass[Familia_PPWR],MATCH(A1454,tbl_recyclass[ProductId],0)),tbl_familias_ppwr[ID_Familia],0))="Em falta","Lacuna","Conforme"),IF(B1454="EU-ENV-013",IF(INDEX(tbl_familias_ppwr[Declaracao_UE],MATCH(INDEX(tbl_recyclass[Familia_PPWR],MATCH(A1454,tbl_recyclass[ProductId],0)),tbl_familias_ppwr[ID_Familia],0))="Sim","Conforme","Lacuna"),G1454)))),G1454))</f>
        <v>Conforme (autoavaliação)</v>
      </c>
      <c r="I1454" s="33" t="str">
        <f t="shared" si="22"/>
        <v>Conforme</v>
      </c>
      <c r="J1454" s="26" t="s">
        <v>991</v>
      </c>
    </row>
    <row r="1455" spans="1:10" ht="16.05" customHeight="1" x14ac:dyDescent="0.3">
      <c r="A1455" s="26" t="s">
        <v>767</v>
      </c>
      <c r="B1455" s="26" t="s">
        <v>997</v>
      </c>
      <c r="C1455" s="33" t="str">
        <f>IFERROR(INDEX(tbl_requisitos_emb[Tema],MATCH(B1455,tbl_requisitos_emb[ID_Req],0)),"")</f>
        <v>Conteúdo reciclado</v>
      </c>
      <c r="D1455" s="33" t="str">
        <f>IFERROR(INDEX(tbl_recyclass[Segmento],MATCH(A1455,tbl_recyclass[ProductId],0)),"")</f>
        <v>Cosmética e higiene pessoal</v>
      </c>
      <c r="E1455" s="26" t="s">
        <v>901</v>
      </c>
      <c r="F1455" s="26" t="s">
        <v>1449</v>
      </c>
      <c r="G1455" s="26" t="s">
        <v>978</v>
      </c>
      <c r="H1455" s="33" t="str">
        <f>IF(E1455="Não","Não aplicável",IFERROR(IF(B1455="EU-ENV-002",IF(INDEX(tbl_recyclass[Conforme_PPWR_2030],MATCH(A1455,tbl_recyclass[ProductId],0))="Sim","Conforme (autoavaliação)",IF(INDEX(tbl_recyclass[Conforme_PPWR_2030],MATCH(A1455,tbl_recyclass[ProductId],0))="Não","Não conforme em 2030","Isento até 2035")),IF(B1455="EU-ENV-003",IF(INDEX(tbl_recyclass[Conforme_Art7_2030],MATCH(A1455,tbl_recyclass[ProductId],0))="Sim","Conforme (meta 2030)",IF(INDEX(tbl_recyclass[Conforme_Art7_2030],MATCH(A1455,tbl_recyclass[ProductId],0))="Não","Lacuna face à meta 2030","Isento")),IF(B1455="EU-ENV-011",IF(INDEX(tbl_familias_ppwr[Metais_Pesados_Evidencia],MATCH(INDEX(tbl_recyclass[Familia_PPWR],MATCH(A1455,tbl_recyclass[ProductId],0)),tbl_familias_ppwr[ID_Familia],0))="Em falta","Lacuna","Conforme"),IF(B1455="EU-ENV-013",IF(INDEX(tbl_familias_ppwr[Declaracao_UE],MATCH(INDEX(tbl_recyclass[Familia_PPWR],MATCH(A1455,tbl_recyclass[ProductId],0)),tbl_familias_ppwr[ID_Familia],0))="Sim","Conforme","Lacuna"),G1455)))),G1455))</f>
        <v>Lacuna face à meta 2030</v>
      </c>
      <c r="I1455" s="33" t="str">
        <f t="shared" si="22"/>
        <v>Lacuna</v>
      </c>
      <c r="J1455" s="26" t="s">
        <v>1001</v>
      </c>
    </row>
    <row r="1456" spans="1:10" ht="16.05" customHeight="1" x14ac:dyDescent="0.3">
      <c r="A1456" s="26" t="s">
        <v>767</v>
      </c>
      <c r="B1456" s="26" t="s">
        <v>1007</v>
      </c>
      <c r="C1456" s="33" t="str">
        <f>IFERROR(INDEX(tbl_requisitos_emb[Tema],MATCH(B1456,tbl_requisitos_emb[ID_Req],0)),"")</f>
        <v>Minimização</v>
      </c>
      <c r="D1456" s="33" t="str">
        <f>IFERROR(INDEX(tbl_recyclass[Segmento],MATCH(A1456,tbl_recyclass[ProductId],0)),"")</f>
        <v>Cosmética e higiene pessoal</v>
      </c>
      <c r="E1456" s="26" t="s">
        <v>901</v>
      </c>
      <c r="F1456" s="26" t="s">
        <v>1449</v>
      </c>
      <c r="G1456" s="26" t="s">
        <v>978</v>
      </c>
      <c r="H1456" s="33" t="str">
        <f>IF(E1456="Não","Não aplicável",IFERROR(IF(B1456="EU-ENV-002",IF(INDEX(tbl_recyclass[Conforme_PPWR_2030],MATCH(A1456,tbl_recyclass[ProductId],0))="Sim","Conforme (autoavaliação)",IF(INDEX(tbl_recyclass[Conforme_PPWR_2030],MATCH(A1456,tbl_recyclass[ProductId],0))="Não","Não conforme em 2030","Isento até 2035")),IF(B1456="EU-ENV-003",IF(INDEX(tbl_recyclass[Conforme_Art7_2030],MATCH(A1456,tbl_recyclass[ProductId],0))="Sim","Conforme (meta 2030)",IF(INDEX(tbl_recyclass[Conforme_Art7_2030],MATCH(A1456,tbl_recyclass[ProductId],0))="Não","Lacuna face à meta 2030","Isento")),IF(B1456="EU-ENV-011",IF(INDEX(tbl_familias_ppwr[Metais_Pesados_Evidencia],MATCH(INDEX(tbl_recyclass[Familia_PPWR],MATCH(A1456,tbl_recyclass[ProductId],0)),tbl_familias_ppwr[ID_Familia],0))="Em falta","Lacuna","Conforme"),IF(B1456="EU-ENV-013",IF(INDEX(tbl_familias_ppwr[Declaracao_UE],MATCH(INDEX(tbl_recyclass[Familia_PPWR],MATCH(A1456,tbl_recyclass[ProductId],0)),tbl_familias_ppwr[ID_Familia],0))="Sim","Conforme","Lacuna"),G1456)))),G1456))</f>
        <v>Parcial</v>
      </c>
      <c r="I1456" s="33" t="str">
        <f t="shared" si="22"/>
        <v>Parcial</v>
      </c>
      <c r="J1456" s="26" t="s">
        <v>1012</v>
      </c>
    </row>
    <row r="1457" spans="1:10" ht="16.05" customHeight="1" x14ac:dyDescent="0.3">
      <c r="A1457" s="26" t="s">
        <v>767</v>
      </c>
      <c r="B1457" s="26" t="s">
        <v>1016</v>
      </c>
      <c r="C1457" s="33" t="str">
        <f>IFERROR(INDEX(tbl_requisitos_emb[Tema],MATCH(B1457,tbl_requisitos_emb[ID_Req],0)),"")</f>
        <v>Rotulagem</v>
      </c>
      <c r="D1457" s="33" t="str">
        <f>IFERROR(INDEX(tbl_recyclass[Segmento],MATCH(A1457,tbl_recyclass[ProductId],0)),"")</f>
        <v>Cosmética e higiene pessoal</v>
      </c>
      <c r="E1457" s="26" t="s">
        <v>901</v>
      </c>
      <c r="F1457" s="26" t="s">
        <v>1449</v>
      </c>
      <c r="G1457" s="26" t="s">
        <v>990</v>
      </c>
      <c r="H1457" s="33" t="str">
        <f>IF(E1457="Não","Não aplicável",IFERROR(IF(B1457="EU-ENV-002",IF(INDEX(tbl_recyclass[Conforme_PPWR_2030],MATCH(A1457,tbl_recyclass[ProductId],0))="Sim","Conforme (autoavaliação)",IF(INDEX(tbl_recyclass[Conforme_PPWR_2030],MATCH(A1457,tbl_recyclass[ProductId],0))="Não","Não conforme em 2030","Isento até 2035")),IF(B1457="EU-ENV-003",IF(INDEX(tbl_recyclass[Conforme_Art7_2030],MATCH(A1457,tbl_recyclass[ProductId],0))="Sim","Conforme (meta 2030)",IF(INDEX(tbl_recyclass[Conforme_Art7_2030],MATCH(A1457,tbl_recyclass[ProductId],0))="Não","Lacuna face à meta 2030","Isento")),IF(B1457="EU-ENV-011",IF(INDEX(tbl_familias_ppwr[Metais_Pesados_Evidencia],MATCH(INDEX(tbl_recyclass[Familia_PPWR],MATCH(A1457,tbl_recyclass[ProductId],0)),tbl_familias_ppwr[ID_Familia],0))="Em falta","Lacuna","Conforme"),IF(B1457="EU-ENV-013",IF(INDEX(tbl_familias_ppwr[Declaracao_UE],MATCH(INDEX(tbl_recyclass[Familia_PPWR],MATCH(A1457,tbl_recyclass[ProductId],0)),tbl_familias_ppwr[ID_Familia],0))="Sim","Conforme","Lacuna"),G1457)))),G1457))</f>
        <v>Futuro</v>
      </c>
      <c r="I1457" s="33" t="str">
        <f t="shared" si="22"/>
        <v>Futuro</v>
      </c>
      <c r="J1457" s="26" t="s">
        <v>1021</v>
      </c>
    </row>
    <row r="1458" spans="1:10" ht="16.05" customHeight="1" x14ac:dyDescent="0.3">
      <c r="A1458" s="26" t="s">
        <v>767</v>
      </c>
      <c r="B1458" s="26" t="s">
        <v>1038</v>
      </c>
      <c r="C1458" s="33" t="str">
        <f>IFERROR(INDEX(tbl_requisitos_emb[Tema],MATCH(B1458,tbl_requisitos_emb[ID_Req],0)),"")</f>
        <v>Plásticos de utilização única</v>
      </c>
      <c r="D1458" s="33" t="str">
        <f>IFERROR(INDEX(tbl_recyclass[Segmento],MATCH(A1458,tbl_recyclass[ProductId],0)),"")</f>
        <v>Cosmética e higiene pessoal</v>
      </c>
      <c r="E1458" s="26" t="s">
        <v>904</v>
      </c>
      <c r="F1458" s="26" t="s">
        <v>1450</v>
      </c>
      <c r="G1458" s="26" t="s">
        <v>1143</v>
      </c>
      <c r="H1458" s="33" t="str">
        <f>IF(E1458="Não","Não aplicável",IFERROR(IF(B1458="EU-ENV-002",IF(INDEX(tbl_recyclass[Conforme_PPWR_2030],MATCH(A1458,tbl_recyclass[ProductId],0))="Sim","Conforme (autoavaliação)",IF(INDEX(tbl_recyclass[Conforme_PPWR_2030],MATCH(A1458,tbl_recyclass[ProductId],0))="Não","Não conforme em 2030","Isento até 2035")),IF(B1458="EU-ENV-003",IF(INDEX(tbl_recyclass[Conforme_Art7_2030],MATCH(A1458,tbl_recyclass[ProductId],0))="Sim","Conforme (meta 2030)",IF(INDEX(tbl_recyclass[Conforme_Art7_2030],MATCH(A1458,tbl_recyclass[ProductId],0))="Não","Lacuna face à meta 2030","Isento")),IF(B1458="EU-ENV-011",IF(INDEX(tbl_familias_ppwr[Metais_Pesados_Evidencia],MATCH(INDEX(tbl_recyclass[Familia_PPWR],MATCH(A1458,tbl_recyclass[ProductId],0)),tbl_familias_ppwr[ID_Familia],0))="Em falta","Lacuna","Conforme"),IF(B1458="EU-ENV-013",IF(INDEX(tbl_familias_ppwr[Declaracao_UE],MATCH(INDEX(tbl_recyclass[Familia_PPWR],MATCH(A1458,tbl_recyclass[ProductId],0)),tbl_familias_ppwr[ID_Familia],0))="Sim","Conforme","Lacuna"),G1458)))),G1458))</f>
        <v>Não aplicável</v>
      </c>
      <c r="I1458" s="33" t="str">
        <f t="shared" si="22"/>
        <v>Não aplicável</v>
      </c>
      <c r="J1458" s="26"/>
    </row>
    <row r="1459" spans="1:10" ht="16.05" customHeight="1" x14ac:dyDescent="0.3">
      <c r="A1459" s="26" t="s">
        <v>767</v>
      </c>
      <c r="B1459" s="26" t="s">
        <v>1078</v>
      </c>
      <c r="C1459" s="33" t="str">
        <f>IFERROR(INDEX(tbl_requisitos_emb[Tema],MATCH(B1459,tbl_requisitos_emb[ID_Req],0)),"")</f>
        <v>Reciclado à escala</v>
      </c>
      <c r="D1459" s="33" t="str">
        <f>IFERROR(INDEX(tbl_recyclass[Segmento],MATCH(A1459,tbl_recyclass[ProductId],0)),"")</f>
        <v>Cosmética e higiene pessoal</v>
      </c>
      <c r="E1459" s="26" t="s">
        <v>901</v>
      </c>
      <c r="F1459" s="26" t="s">
        <v>1449</v>
      </c>
      <c r="G1459" s="26" t="s">
        <v>990</v>
      </c>
      <c r="H1459" s="33" t="str">
        <f>IF(E1459="Não","Não aplicável",IFERROR(IF(B1459="EU-ENV-002",IF(INDEX(tbl_recyclass[Conforme_PPWR_2030],MATCH(A1459,tbl_recyclass[ProductId],0))="Sim","Conforme (autoavaliação)",IF(INDEX(tbl_recyclass[Conforme_PPWR_2030],MATCH(A1459,tbl_recyclass[ProductId],0))="Não","Não conforme em 2030","Isento até 2035")),IF(B1459="EU-ENV-003",IF(INDEX(tbl_recyclass[Conforme_Art7_2030],MATCH(A1459,tbl_recyclass[ProductId],0))="Sim","Conforme (meta 2030)",IF(INDEX(tbl_recyclass[Conforme_Art7_2030],MATCH(A1459,tbl_recyclass[ProductId],0))="Não","Lacuna face à meta 2030","Isento")),IF(B1459="EU-ENV-011",IF(INDEX(tbl_familias_ppwr[Metais_Pesados_Evidencia],MATCH(INDEX(tbl_recyclass[Familia_PPWR],MATCH(A1459,tbl_recyclass[ProductId],0)),tbl_familias_ppwr[ID_Familia],0))="Em falta","Lacuna","Conforme"),IF(B1459="EU-ENV-013",IF(INDEX(tbl_familias_ppwr[Declaracao_UE],MATCH(INDEX(tbl_recyclass[Familia_PPWR],MATCH(A1459,tbl_recyclass[ProductId],0)),tbl_familias_ppwr[ID_Familia],0))="Sim","Conforme","Lacuna"),G1459)))),G1459))</f>
        <v>Futuro</v>
      </c>
      <c r="I1459" s="33" t="str">
        <f t="shared" si="22"/>
        <v>Futuro</v>
      </c>
      <c r="J1459" s="26" t="s">
        <v>1082</v>
      </c>
    </row>
    <row r="1460" spans="1:10" ht="16.05" customHeight="1" x14ac:dyDescent="0.3">
      <c r="A1460" s="26" t="s">
        <v>767</v>
      </c>
      <c r="B1460" s="26" t="s">
        <v>1086</v>
      </c>
      <c r="C1460" s="33" t="str">
        <f>IFERROR(INDEX(tbl_requisitos_emb[Tema],MATCH(B1460,tbl_requisitos_emb[ID_Req],0)),"")</f>
        <v>Metais pesados</v>
      </c>
      <c r="D1460" s="33" t="str">
        <f>IFERROR(INDEX(tbl_recyclass[Segmento],MATCH(A1460,tbl_recyclass[ProductId],0)),"")</f>
        <v>Cosmética e higiene pessoal</v>
      </c>
      <c r="E1460" s="26" t="s">
        <v>901</v>
      </c>
      <c r="F1460" s="26" t="s">
        <v>1449</v>
      </c>
      <c r="G1460" s="26" t="s">
        <v>978</v>
      </c>
      <c r="H1460" s="33" t="str">
        <f>IF(E1460="Não","Não aplicável",IFERROR(IF(B1460="EU-ENV-002",IF(INDEX(tbl_recyclass[Conforme_PPWR_2030],MATCH(A1460,tbl_recyclass[ProductId],0))="Sim","Conforme (autoavaliação)",IF(INDEX(tbl_recyclass[Conforme_PPWR_2030],MATCH(A1460,tbl_recyclass[ProductId],0))="Não","Não conforme em 2030","Isento até 2035")),IF(B1460="EU-ENV-003",IF(INDEX(tbl_recyclass[Conforme_Art7_2030],MATCH(A1460,tbl_recyclass[ProductId],0))="Sim","Conforme (meta 2030)",IF(INDEX(tbl_recyclass[Conforme_Art7_2030],MATCH(A1460,tbl_recyclass[ProductId],0))="Não","Lacuna face à meta 2030","Isento")),IF(B1460="EU-ENV-011",IF(INDEX(tbl_familias_ppwr[Metais_Pesados_Evidencia],MATCH(INDEX(tbl_recyclass[Familia_PPWR],MATCH(A1460,tbl_recyclass[ProductId],0)),tbl_familias_ppwr[ID_Familia],0))="Em falta","Lacuna","Conforme"),IF(B1460="EU-ENV-013",IF(INDEX(tbl_familias_ppwr[Declaracao_UE],MATCH(INDEX(tbl_recyclass[Familia_PPWR],MATCH(A1460,tbl_recyclass[ProductId],0)),tbl_familias_ppwr[ID_Familia],0))="Sim","Conforme","Lacuna"),G1460)))),G1460))</f>
        <v>Conforme</v>
      </c>
      <c r="I1460" s="33" t="str">
        <f t="shared" si="22"/>
        <v>Conforme</v>
      </c>
      <c r="J1460" s="26" t="s">
        <v>1090</v>
      </c>
    </row>
    <row r="1461" spans="1:10" ht="16.05" customHeight="1" x14ac:dyDescent="0.3">
      <c r="A1461" s="26" t="s">
        <v>767</v>
      </c>
      <c r="B1461" s="26" t="s">
        <v>1094</v>
      </c>
      <c r="C1461" s="33" t="str">
        <f>IFERROR(INDEX(tbl_requisitos_emb[Tema],MATCH(B1461,tbl_requisitos_emb[ID_Req],0)),"")</f>
        <v>PFAS</v>
      </c>
      <c r="D1461" s="33" t="str">
        <f>IFERROR(INDEX(tbl_recyclass[Segmento],MATCH(A1461,tbl_recyclass[ProductId],0)),"")</f>
        <v>Cosmética e higiene pessoal</v>
      </c>
      <c r="E1461" s="26" t="s">
        <v>904</v>
      </c>
      <c r="F1461" s="26" t="s">
        <v>1450</v>
      </c>
      <c r="G1461" s="26" t="s">
        <v>1143</v>
      </c>
      <c r="H1461" s="33" t="str">
        <f>IF(E1461="Não","Não aplicável",IFERROR(IF(B1461="EU-ENV-002",IF(INDEX(tbl_recyclass[Conforme_PPWR_2030],MATCH(A1461,tbl_recyclass[ProductId],0))="Sim","Conforme (autoavaliação)",IF(INDEX(tbl_recyclass[Conforme_PPWR_2030],MATCH(A1461,tbl_recyclass[ProductId],0))="Não","Não conforme em 2030","Isento até 2035")),IF(B1461="EU-ENV-003",IF(INDEX(tbl_recyclass[Conforme_Art7_2030],MATCH(A1461,tbl_recyclass[ProductId],0))="Sim","Conforme (meta 2030)",IF(INDEX(tbl_recyclass[Conforme_Art7_2030],MATCH(A1461,tbl_recyclass[ProductId],0))="Não","Lacuna face à meta 2030","Isento")),IF(B1461="EU-ENV-011",IF(INDEX(tbl_familias_ppwr[Metais_Pesados_Evidencia],MATCH(INDEX(tbl_recyclass[Familia_PPWR],MATCH(A1461,tbl_recyclass[ProductId],0)),tbl_familias_ppwr[ID_Familia],0))="Em falta","Lacuna","Conforme"),IF(B1461="EU-ENV-013",IF(INDEX(tbl_familias_ppwr[Declaracao_UE],MATCH(INDEX(tbl_recyclass[Familia_PPWR],MATCH(A1461,tbl_recyclass[ProductId],0)),tbl_familias_ppwr[ID_Familia],0))="Sim","Conforme","Lacuna"),G1461)))),G1461))</f>
        <v>Não aplicável</v>
      </c>
      <c r="I1461" s="33" t="str">
        <f t="shared" si="22"/>
        <v>Não aplicável</v>
      </c>
      <c r="J1461" s="26"/>
    </row>
    <row r="1462" spans="1:10" ht="16.05" customHeight="1" x14ac:dyDescent="0.3">
      <c r="A1462" s="26" t="s">
        <v>767</v>
      </c>
      <c r="B1462" s="26" t="s">
        <v>1102</v>
      </c>
      <c r="C1462" s="33" t="str">
        <f>IFERROR(INDEX(tbl_requisitos_emb[Tema],MATCH(B1462,tbl_requisitos_emb[ID_Req],0)),"")</f>
        <v>Documentação técnica e declaração UE</v>
      </c>
      <c r="D1462" s="33" t="str">
        <f>IFERROR(INDEX(tbl_recyclass[Segmento],MATCH(A1462,tbl_recyclass[ProductId],0)),"")</f>
        <v>Cosmética e higiene pessoal</v>
      </c>
      <c r="E1462" s="26" t="s">
        <v>901</v>
      </c>
      <c r="F1462" s="26" t="s">
        <v>1449</v>
      </c>
      <c r="G1462" s="26" t="s">
        <v>978</v>
      </c>
      <c r="H1462" s="33" t="str">
        <f>IF(E1462="Não","Não aplicável",IFERROR(IF(B1462="EU-ENV-002",IF(INDEX(tbl_recyclass[Conforme_PPWR_2030],MATCH(A1462,tbl_recyclass[ProductId],0))="Sim","Conforme (autoavaliação)",IF(INDEX(tbl_recyclass[Conforme_PPWR_2030],MATCH(A1462,tbl_recyclass[ProductId],0))="Não","Não conforme em 2030","Isento até 2035")),IF(B1462="EU-ENV-003",IF(INDEX(tbl_recyclass[Conforme_Art7_2030],MATCH(A1462,tbl_recyclass[ProductId],0))="Sim","Conforme (meta 2030)",IF(INDEX(tbl_recyclass[Conforme_Art7_2030],MATCH(A1462,tbl_recyclass[ProductId],0))="Não","Lacuna face à meta 2030","Isento")),IF(B1462="EU-ENV-011",IF(INDEX(tbl_familias_ppwr[Metais_Pesados_Evidencia],MATCH(INDEX(tbl_recyclass[Familia_PPWR],MATCH(A1462,tbl_recyclass[ProductId],0)),tbl_familias_ppwr[ID_Familia],0))="Em falta","Lacuna","Conforme"),IF(B1462="EU-ENV-013",IF(INDEX(tbl_familias_ppwr[Declaracao_UE],MATCH(INDEX(tbl_recyclass[Familia_PPWR],MATCH(A1462,tbl_recyclass[ProductId],0)),tbl_familias_ppwr[ID_Familia],0))="Sim","Conforme","Lacuna"),G1462)))),G1462))</f>
        <v>Conforme</v>
      </c>
      <c r="I1462" s="33" t="str">
        <f t="shared" si="22"/>
        <v>Conforme</v>
      </c>
      <c r="J1462" s="26" t="s">
        <v>1106</v>
      </c>
    </row>
    <row r="1463" spans="1:10" ht="16.05" customHeight="1" x14ac:dyDescent="0.3">
      <c r="A1463" s="26" t="s">
        <v>767</v>
      </c>
      <c r="B1463" s="26" t="s">
        <v>1161</v>
      </c>
      <c r="C1463" s="33" t="str">
        <f>IFERROR(INDEX(tbl_requisitos_emb[Tema],MATCH(B1463,tbl_requisitos_emb[ID_Req],0)),"")</f>
        <v>Materiais em contacto com alimentos</v>
      </c>
      <c r="D1463" s="33" t="str">
        <f>IFERROR(INDEX(tbl_recyclass[Segmento],MATCH(A1463,tbl_recyclass[ProductId],0)),"")</f>
        <v>Cosmética e higiene pessoal</v>
      </c>
      <c r="E1463" s="26" t="s">
        <v>904</v>
      </c>
      <c r="F1463" s="26" t="s">
        <v>1450</v>
      </c>
      <c r="G1463" s="26" t="s">
        <v>1143</v>
      </c>
      <c r="H1463" s="33" t="str">
        <f>IF(E1463="Não","Não aplicável",IFERROR(IF(B1463="EU-ENV-002",IF(INDEX(tbl_recyclass[Conforme_PPWR_2030],MATCH(A1463,tbl_recyclass[ProductId],0))="Sim","Conforme (autoavaliação)",IF(INDEX(tbl_recyclass[Conforme_PPWR_2030],MATCH(A1463,tbl_recyclass[ProductId],0))="Não","Não conforme em 2030","Isento até 2035")),IF(B1463="EU-ENV-003",IF(INDEX(tbl_recyclass[Conforme_Art7_2030],MATCH(A1463,tbl_recyclass[ProductId],0))="Sim","Conforme (meta 2030)",IF(INDEX(tbl_recyclass[Conforme_Art7_2030],MATCH(A1463,tbl_recyclass[ProductId],0))="Não","Lacuna face à meta 2030","Isento")),IF(B1463="EU-ENV-011",IF(INDEX(tbl_familias_ppwr[Metais_Pesados_Evidencia],MATCH(INDEX(tbl_recyclass[Familia_PPWR],MATCH(A1463,tbl_recyclass[ProductId],0)),tbl_familias_ppwr[ID_Familia],0))="Em falta","Lacuna","Conforme"),IF(B1463="EU-ENV-013",IF(INDEX(tbl_familias_ppwr[Declaracao_UE],MATCH(INDEX(tbl_recyclass[Familia_PPWR],MATCH(A1463,tbl_recyclass[ProductId],0)),tbl_familias_ppwr[ID_Familia],0))="Sim","Conforme","Lacuna"),G1463)))),G1463))</f>
        <v>Não aplicável</v>
      </c>
      <c r="I1463" s="33" t="str">
        <f t="shared" si="22"/>
        <v>Não aplicável</v>
      </c>
      <c r="J1463" s="26"/>
    </row>
    <row r="1464" spans="1:10" ht="16.05" customHeight="1" x14ac:dyDescent="0.3">
      <c r="A1464" s="26" t="s">
        <v>767</v>
      </c>
      <c r="B1464" s="26" t="s">
        <v>1170</v>
      </c>
      <c r="C1464" s="33" t="str">
        <f>IFERROR(INDEX(tbl_requisitos_emb[Tema],MATCH(B1464,tbl_requisitos_emb[ID_Req],0)),"")</f>
        <v>Boas práticas de fabrico FCM</v>
      </c>
      <c r="D1464" s="33" t="str">
        <f>IFERROR(INDEX(tbl_recyclass[Segmento],MATCH(A1464,tbl_recyclass[ProductId],0)),"")</f>
        <v>Cosmética e higiene pessoal</v>
      </c>
      <c r="E1464" s="26" t="s">
        <v>904</v>
      </c>
      <c r="F1464" s="26" t="s">
        <v>1450</v>
      </c>
      <c r="G1464" s="26" t="s">
        <v>1143</v>
      </c>
      <c r="H1464" s="33" t="str">
        <f>IF(E1464="Não","Não aplicável",IFERROR(IF(B1464="EU-ENV-002",IF(INDEX(tbl_recyclass[Conforme_PPWR_2030],MATCH(A1464,tbl_recyclass[ProductId],0))="Sim","Conforme (autoavaliação)",IF(INDEX(tbl_recyclass[Conforme_PPWR_2030],MATCH(A1464,tbl_recyclass[ProductId],0))="Não","Não conforme em 2030","Isento até 2035")),IF(B1464="EU-ENV-003",IF(INDEX(tbl_recyclass[Conforme_Art7_2030],MATCH(A1464,tbl_recyclass[ProductId],0))="Sim","Conforme (meta 2030)",IF(INDEX(tbl_recyclass[Conforme_Art7_2030],MATCH(A1464,tbl_recyclass[ProductId],0))="Não","Lacuna face à meta 2030","Isento")),IF(B1464="EU-ENV-011",IF(INDEX(tbl_familias_ppwr[Metais_Pesados_Evidencia],MATCH(INDEX(tbl_recyclass[Familia_PPWR],MATCH(A1464,tbl_recyclass[ProductId],0)),tbl_familias_ppwr[ID_Familia],0))="Em falta","Lacuna","Conforme"),IF(B1464="EU-ENV-013",IF(INDEX(tbl_familias_ppwr[Declaracao_UE],MATCH(INDEX(tbl_recyclass[Familia_PPWR],MATCH(A1464,tbl_recyclass[ProductId],0)),tbl_familias_ppwr[ID_Familia],0))="Sim","Conforme","Lacuna"),G1464)))),G1464))</f>
        <v>Não aplicável</v>
      </c>
      <c r="I1464" s="33" t="str">
        <f t="shared" si="22"/>
        <v>Não aplicável</v>
      </c>
      <c r="J1464" s="26"/>
    </row>
    <row r="1465" spans="1:10" ht="16.05" customHeight="1" x14ac:dyDescent="0.3">
      <c r="A1465" s="26" t="s">
        <v>767</v>
      </c>
      <c r="B1465" s="26" t="s">
        <v>1179</v>
      </c>
      <c r="C1465" s="33" t="str">
        <f>IFERROR(INDEX(tbl_requisitos_emb[Tema],MATCH(B1465,tbl_requisitos_emb[ID_Req],0)),"")</f>
        <v>Bisfenol A e bisfenóis perigosos</v>
      </c>
      <c r="D1465" s="33" t="str">
        <f>IFERROR(INDEX(tbl_recyclass[Segmento],MATCH(A1465,tbl_recyclass[ProductId],0)),"")</f>
        <v>Cosmética e higiene pessoal</v>
      </c>
      <c r="E1465" s="26" t="s">
        <v>904</v>
      </c>
      <c r="F1465" s="26" t="s">
        <v>1450</v>
      </c>
      <c r="G1465" s="26" t="s">
        <v>1143</v>
      </c>
      <c r="H1465" s="33" t="str">
        <f>IF(E1465="Não","Não aplicável",IFERROR(IF(B1465="EU-ENV-002",IF(INDEX(tbl_recyclass[Conforme_PPWR_2030],MATCH(A1465,tbl_recyclass[ProductId],0))="Sim","Conforme (autoavaliação)",IF(INDEX(tbl_recyclass[Conforme_PPWR_2030],MATCH(A1465,tbl_recyclass[ProductId],0))="Não","Não conforme em 2030","Isento até 2035")),IF(B1465="EU-ENV-003",IF(INDEX(tbl_recyclass[Conforme_Art7_2030],MATCH(A1465,tbl_recyclass[ProductId],0))="Sim","Conforme (meta 2030)",IF(INDEX(tbl_recyclass[Conforme_Art7_2030],MATCH(A1465,tbl_recyclass[ProductId],0))="Não","Lacuna face à meta 2030","Isento")),IF(B1465="EU-ENV-011",IF(INDEX(tbl_familias_ppwr[Metais_Pesados_Evidencia],MATCH(INDEX(tbl_recyclass[Familia_PPWR],MATCH(A1465,tbl_recyclass[ProductId],0)),tbl_familias_ppwr[ID_Familia],0))="Em falta","Lacuna","Conforme"),IF(B1465="EU-ENV-013",IF(INDEX(tbl_familias_ppwr[Declaracao_UE],MATCH(INDEX(tbl_recyclass[Familia_PPWR],MATCH(A1465,tbl_recyclass[ProductId],0)),tbl_familias_ppwr[ID_Familia],0))="Sim","Conforme","Lacuna"),G1465)))),G1465))</f>
        <v>Não aplicável</v>
      </c>
      <c r="I1465" s="33" t="str">
        <f t="shared" si="22"/>
        <v>Não aplicável</v>
      </c>
      <c r="J1465" s="26"/>
    </row>
    <row r="1466" spans="1:10" ht="16.05" customHeight="1" x14ac:dyDescent="0.3">
      <c r="A1466" s="26" t="s">
        <v>767</v>
      </c>
      <c r="B1466" s="26" t="s">
        <v>1188</v>
      </c>
      <c r="C1466" s="33" t="str">
        <f>IFERROR(INDEX(tbl_requisitos_emb[Tema],MATCH(B1466,tbl_requisitos_emb[ID_Req],0)),"")</f>
        <v>Plásticos em contacto com alimentos</v>
      </c>
      <c r="D1466" s="33" t="str">
        <f>IFERROR(INDEX(tbl_recyclass[Segmento],MATCH(A1466,tbl_recyclass[ProductId],0)),"")</f>
        <v>Cosmética e higiene pessoal</v>
      </c>
      <c r="E1466" s="26" t="s">
        <v>904</v>
      </c>
      <c r="F1466" s="26" t="s">
        <v>1450</v>
      </c>
      <c r="G1466" s="26" t="s">
        <v>1143</v>
      </c>
      <c r="H1466" s="33" t="str">
        <f>IF(E1466="Não","Não aplicável",IFERROR(IF(B1466="EU-ENV-002",IF(INDEX(tbl_recyclass[Conforme_PPWR_2030],MATCH(A1466,tbl_recyclass[ProductId],0))="Sim","Conforme (autoavaliação)",IF(INDEX(tbl_recyclass[Conforme_PPWR_2030],MATCH(A1466,tbl_recyclass[ProductId],0))="Não","Não conforme em 2030","Isento até 2035")),IF(B1466="EU-ENV-003",IF(INDEX(tbl_recyclass[Conforme_Art7_2030],MATCH(A1466,tbl_recyclass[ProductId],0))="Sim","Conforme (meta 2030)",IF(INDEX(tbl_recyclass[Conforme_Art7_2030],MATCH(A1466,tbl_recyclass[ProductId],0))="Não","Lacuna face à meta 2030","Isento")),IF(B1466="EU-ENV-011",IF(INDEX(tbl_familias_ppwr[Metais_Pesados_Evidencia],MATCH(INDEX(tbl_recyclass[Familia_PPWR],MATCH(A1466,tbl_recyclass[ProductId],0)),tbl_familias_ppwr[ID_Familia],0))="Em falta","Lacuna","Conforme"),IF(B1466="EU-ENV-013",IF(INDEX(tbl_familias_ppwr[Declaracao_UE],MATCH(INDEX(tbl_recyclass[Familia_PPWR],MATCH(A1466,tbl_recyclass[ProductId],0)),tbl_familias_ppwr[ID_Familia],0))="Sim","Conforme","Lacuna"),G1466)))),G1466))</f>
        <v>Não aplicável</v>
      </c>
      <c r="I1466" s="33" t="str">
        <f t="shared" si="22"/>
        <v>Não aplicável</v>
      </c>
      <c r="J1466" s="26"/>
    </row>
    <row r="1467" spans="1:10" ht="16.05" customHeight="1" x14ac:dyDescent="0.3">
      <c r="A1467" s="26" t="s">
        <v>767</v>
      </c>
      <c r="B1467" s="26" t="s">
        <v>1212</v>
      </c>
      <c r="C1467" s="33" t="str">
        <f>IFERROR(INDEX(tbl_requisitos_emb[Tema],MATCH(B1467,tbl_requisitos_emb[ID_Req],0)),"")</f>
        <v>Segurança do produto cosmético</v>
      </c>
      <c r="D1467" s="33" t="str">
        <f>IFERROR(INDEX(tbl_recyclass[Segmento],MATCH(A1467,tbl_recyclass[ProductId],0)),"")</f>
        <v>Cosmética e higiene pessoal</v>
      </c>
      <c r="E1467" s="26" t="s">
        <v>901</v>
      </c>
      <c r="F1467" s="26" t="s">
        <v>1449</v>
      </c>
      <c r="G1467" s="26" t="s">
        <v>1033</v>
      </c>
      <c r="H1467" s="33" t="str">
        <f>IF(E1467="Não","Não aplicável",IFERROR(IF(B1467="EU-ENV-002",IF(INDEX(tbl_recyclass[Conforme_PPWR_2030],MATCH(A1467,tbl_recyclass[ProductId],0))="Sim","Conforme (autoavaliação)",IF(INDEX(tbl_recyclass[Conforme_PPWR_2030],MATCH(A1467,tbl_recyclass[ProductId],0))="Não","Não conforme em 2030","Isento até 2035")),IF(B1467="EU-ENV-003",IF(INDEX(tbl_recyclass[Conforme_Art7_2030],MATCH(A1467,tbl_recyclass[ProductId],0))="Sim","Conforme (meta 2030)",IF(INDEX(tbl_recyclass[Conforme_Art7_2030],MATCH(A1467,tbl_recyclass[ProductId],0))="Não","Lacuna face à meta 2030","Isento")),IF(B1467="EU-ENV-011",IF(INDEX(tbl_familias_ppwr[Metais_Pesados_Evidencia],MATCH(INDEX(tbl_recyclass[Familia_PPWR],MATCH(A1467,tbl_recyclass[ProductId],0)),tbl_familias_ppwr[ID_Familia],0))="Em falta","Lacuna","Conforme"),IF(B1467="EU-ENV-013",IF(INDEX(tbl_familias_ppwr[Declaracao_UE],MATCH(INDEX(tbl_recyclass[Familia_PPWR],MATCH(A1467,tbl_recyclass[ProductId],0)),tbl_familias_ppwr[ID_Familia],0))="Sim","Conforme","Lacuna"),G1467)))),G1467))</f>
        <v>Conforme</v>
      </c>
      <c r="I1467" s="33" t="str">
        <f t="shared" si="22"/>
        <v>Conforme</v>
      </c>
      <c r="J1467" s="26" t="s">
        <v>1221</v>
      </c>
    </row>
    <row r="1468" spans="1:10" ht="16.05" customHeight="1" x14ac:dyDescent="0.3">
      <c r="A1468" s="26" t="s">
        <v>767</v>
      </c>
      <c r="B1468" s="26" t="s">
        <v>1224</v>
      </c>
      <c r="C1468" s="33" t="str">
        <f>IFERROR(INDEX(tbl_requisitos_emb[Tema],MATCH(B1468,tbl_requisitos_emb[ID_Req],0)),"")</f>
        <v>Materiais e impurezas</v>
      </c>
      <c r="D1468" s="33" t="str">
        <f>IFERROR(INDEX(tbl_recyclass[Segmento],MATCH(A1468,tbl_recyclass[ProductId],0)),"")</f>
        <v>Cosmética e higiene pessoal</v>
      </c>
      <c r="E1468" s="26" t="s">
        <v>901</v>
      </c>
      <c r="F1468" s="26" t="s">
        <v>1449</v>
      </c>
      <c r="G1468" s="26" t="s">
        <v>978</v>
      </c>
      <c r="H1468" s="33" t="str">
        <f>IF(E1468="Não","Não aplicável",IFERROR(IF(B1468="EU-ENV-002",IF(INDEX(tbl_recyclass[Conforme_PPWR_2030],MATCH(A1468,tbl_recyclass[ProductId],0))="Sim","Conforme (autoavaliação)",IF(INDEX(tbl_recyclass[Conforme_PPWR_2030],MATCH(A1468,tbl_recyclass[ProductId],0))="Não","Não conforme em 2030","Isento até 2035")),IF(B1468="EU-ENV-003",IF(INDEX(tbl_recyclass[Conforme_Art7_2030],MATCH(A1468,tbl_recyclass[ProductId],0))="Sim","Conforme (meta 2030)",IF(INDEX(tbl_recyclass[Conforme_Art7_2030],MATCH(A1468,tbl_recyclass[ProductId],0))="Não","Lacuna face à meta 2030","Isento")),IF(B1468="EU-ENV-011",IF(INDEX(tbl_familias_ppwr[Metais_Pesados_Evidencia],MATCH(INDEX(tbl_recyclass[Familia_PPWR],MATCH(A1468,tbl_recyclass[ProductId],0)),tbl_familias_ppwr[ID_Familia],0))="Em falta","Lacuna","Conforme"),IF(B1468="EU-ENV-013",IF(INDEX(tbl_familias_ppwr[Declaracao_UE],MATCH(INDEX(tbl_recyclass[Familia_PPWR],MATCH(A1468,tbl_recyclass[ProductId],0)),tbl_familias_ppwr[ID_Familia],0))="Sim","Conforme","Lacuna"),G1468)))),G1468))</f>
        <v>Parcial</v>
      </c>
      <c r="I1468" s="33" t="str">
        <f t="shared" si="22"/>
        <v>Parcial</v>
      </c>
      <c r="J1468" s="26" t="s">
        <v>1228</v>
      </c>
    </row>
    <row r="1469" spans="1:10" ht="16.05" customHeight="1" x14ac:dyDescent="0.3">
      <c r="A1469" s="26" t="s">
        <v>767</v>
      </c>
      <c r="B1469" s="26" t="s">
        <v>1240</v>
      </c>
      <c r="C1469" s="33" t="str">
        <f>IFERROR(INDEX(tbl_requisitos_emb[Tema],MATCH(B1469,tbl_requisitos_emb[ID_Req],0)),"")</f>
        <v>Compatibilidade embalagem–produto</v>
      </c>
      <c r="D1469" s="33" t="str">
        <f>IFERROR(INDEX(tbl_recyclass[Segmento],MATCH(A1469,tbl_recyclass[ProductId],0)),"")</f>
        <v>Cosmética e higiene pessoal</v>
      </c>
      <c r="E1469" s="26" t="s">
        <v>901</v>
      </c>
      <c r="F1469" s="26" t="s">
        <v>1449</v>
      </c>
      <c r="G1469" s="26" t="s">
        <v>1033</v>
      </c>
      <c r="H1469" s="33" t="str">
        <f>IF(E1469="Não","Não aplicável",IFERROR(IF(B1469="EU-ENV-002",IF(INDEX(tbl_recyclass[Conforme_PPWR_2030],MATCH(A1469,tbl_recyclass[ProductId],0))="Sim","Conforme (autoavaliação)",IF(INDEX(tbl_recyclass[Conforme_PPWR_2030],MATCH(A1469,tbl_recyclass[ProductId],0))="Não","Não conforme em 2030","Isento até 2035")),IF(B1469="EU-ENV-003",IF(INDEX(tbl_recyclass[Conforme_Art7_2030],MATCH(A1469,tbl_recyclass[ProductId],0))="Sim","Conforme (meta 2030)",IF(INDEX(tbl_recyclass[Conforme_Art7_2030],MATCH(A1469,tbl_recyclass[ProductId],0))="Não","Lacuna face à meta 2030","Isento")),IF(B1469="EU-ENV-011",IF(INDEX(tbl_familias_ppwr[Metais_Pesados_Evidencia],MATCH(INDEX(tbl_recyclass[Familia_PPWR],MATCH(A1469,tbl_recyclass[ProductId],0)),tbl_familias_ppwr[ID_Familia],0))="Em falta","Lacuna","Conforme"),IF(B1469="EU-ENV-013",IF(INDEX(tbl_familias_ppwr[Declaracao_UE],MATCH(INDEX(tbl_recyclass[Familia_PPWR],MATCH(A1469,tbl_recyclass[ProductId],0)),tbl_familias_ppwr[ID_Familia],0))="Sim","Conforme","Lacuna"),G1469)))),G1469))</f>
        <v>Conforme</v>
      </c>
      <c r="I1469" s="33" t="str">
        <f t="shared" si="22"/>
        <v>Conforme</v>
      </c>
      <c r="J1469" s="26" t="s">
        <v>1244</v>
      </c>
    </row>
    <row r="1470" spans="1:10" ht="16.05" customHeight="1" x14ac:dyDescent="0.3">
      <c r="A1470" s="26" t="s">
        <v>767</v>
      </c>
      <c r="B1470" s="26" t="s">
        <v>1252</v>
      </c>
      <c r="C1470" s="33" t="str">
        <f>IFERROR(INDEX(tbl_requisitos_emb[Tema],MATCH(B1470,tbl_requisitos_emb[ID_Req],0)),"")</f>
        <v>Medicamentos de uso humano</v>
      </c>
      <c r="D1470" s="33" t="str">
        <f>IFERROR(INDEX(tbl_recyclass[Segmento],MATCH(A1470,tbl_recyclass[ProductId],0)),"")</f>
        <v>Cosmética e higiene pessoal</v>
      </c>
      <c r="E1470" s="26" t="s">
        <v>904</v>
      </c>
      <c r="F1470" s="26" t="s">
        <v>1451</v>
      </c>
      <c r="G1470" s="26" t="s">
        <v>1143</v>
      </c>
      <c r="H1470" s="33" t="str">
        <f>IF(E1470="Não","Não aplicável",IFERROR(IF(B1470="EU-ENV-002",IF(INDEX(tbl_recyclass[Conforme_PPWR_2030],MATCH(A1470,tbl_recyclass[ProductId],0))="Sim","Conforme (autoavaliação)",IF(INDEX(tbl_recyclass[Conforme_PPWR_2030],MATCH(A1470,tbl_recyclass[ProductId],0))="Não","Não conforme em 2030","Isento até 2035")),IF(B1470="EU-ENV-003",IF(INDEX(tbl_recyclass[Conforme_Art7_2030],MATCH(A1470,tbl_recyclass[ProductId],0))="Sim","Conforme (meta 2030)",IF(INDEX(tbl_recyclass[Conforme_Art7_2030],MATCH(A1470,tbl_recyclass[ProductId],0))="Não","Lacuna face à meta 2030","Isento")),IF(B1470="EU-ENV-011",IF(INDEX(tbl_familias_ppwr[Metais_Pesados_Evidencia],MATCH(INDEX(tbl_recyclass[Familia_PPWR],MATCH(A1470,tbl_recyclass[ProductId],0)),tbl_familias_ppwr[ID_Familia],0))="Em falta","Lacuna","Conforme"),IF(B1470="EU-ENV-013",IF(INDEX(tbl_familias_ppwr[Declaracao_UE],MATCH(INDEX(tbl_recyclass[Familia_PPWR],MATCH(A1470,tbl_recyclass[ProductId],0)),tbl_familias_ppwr[ID_Familia],0))="Sim","Conforme","Lacuna"),G1470)))),G1470))</f>
        <v>Não aplicável</v>
      </c>
      <c r="I1470" s="33" t="str">
        <f t="shared" si="22"/>
        <v>Não aplicável</v>
      </c>
      <c r="J1470" s="26"/>
    </row>
    <row r="1471" spans="1:10" ht="16.05" customHeight="1" x14ac:dyDescent="0.3">
      <c r="A1471" s="26" t="s">
        <v>767</v>
      </c>
      <c r="B1471" s="26" t="s">
        <v>1268</v>
      </c>
      <c r="C1471" s="33" t="str">
        <f>IFERROR(INDEX(tbl_requisitos_emb[Tema],MATCH(B1471,tbl_requisitos_emb[ID_Req],0)),"")</f>
        <v>Dispositivos de segurança</v>
      </c>
      <c r="D1471" s="33" t="str">
        <f>IFERROR(INDEX(tbl_recyclass[Segmento],MATCH(A1471,tbl_recyclass[ProductId],0)),"")</f>
        <v>Cosmética e higiene pessoal</v>
      </c>
      <c r="E1471" s="26" t="s">
        <v>904</v>
      </c>
      <c r="F1471" s="26" t="s">
        <v>1451</v>
      </c>
      <c r="G1471" s="26" t="s">
        <v>1143</v>
      </c>
      <c r="H1471" s="33" t="str">
        <f>IF(E1471="Não","Não aplicável",IFERROR(IF(B1471="EU-ENV-002",IF(INDEX(tbl_recyclass[Conforme_PPWR_2030],MATCH(A1471,tbl_recyclass[ProductId],0))="Sim","Conforme (autoavaliação)",IF(INDEX(tbl_recyclass[Conforme_PPWR_2030],MATCH(A1471,tbl_recyclass[ProductId],0))="Não","Não conforme em 2030","Isento até 2035")),IF(B1471="EU-ENV-003",IF(INDEX(tbl_recyclass[Conforme_Art7_2030],MATCH(A1471,tbl_recyclass[ProductId],0))="Sim","Conforme (meta 2030)",IF(INDEX(tbl_recyclass[Conforme_Art7_2030],MATCH(A1471,tbl_recyclass[ProductId],0))="Não","Lacuna face à meta 2030","Isento")),IF(B1471="EU-ENV-011",IF(INDEX(tbl_familias_ppwr[Metais_Pesados_Evidencia],MATCH(INDEX(tbl_recyclass[Familia_PPWR],MATCH(A1471,tbl_recyclass[ProductId],0)),tbl_familias_ppwr[ID_Familia],0))="Em falta","Lacuna","Conforme"),IF(B1471="EU-ENV-013",IF(INDEX(tbl_familias_ppwr[Declaracao_UE],MATCH(INDEX(tbl_recyclass[Familia_PPWR],MATCH(A1471,tbl_recyclass[ProductId],0)),tbl_familias_ppwr[ID_Familia],0))="Sim","Conforme","Lacuna"),G1471)))),G1471))</f>
        <v>Não aplicável</v>
      </c>
      <c r="I1471" s="33" t="str">
        <f t="shared" si="22"/>
        <v>Não aplicável</v>
      </c>
      <c r="J1471" s="26"/>
    </row>
    <row r="1472" spans="1:10" ht="16.05" customHeight="1" x14ac:dyDescent="0.3">
      <c r="A1472" s="26" t="s">
        <v>767</v>
      </c>
      <c r="B1472" s="26" t="s">
        <v>1285</v>
      </c>
      <c r="C1472" s="33" t="str">
        <f>IFERROR(INDEX(tbl_requisitos_emb[Tema],MATCH(B1472,tbl_requisitos_emb[ID_Req],0)),"")</f>
        <v>Materiais plásticos de acondicionamento primário</v>
      </c>
      <c r="D1472" s="33" t="str">
        <f>IFERROR(INDEX(tbl_recyclass[Segmento],MATCH(A1472,tbl_recyclass[ProductId],0)),"")</f>
        <v>Cosmética e higiene pessoal</v>
      </c>
      <c r="E1472" s="26" t="s">
        <v>904</v>
      </c>
      <c r="F1472" s="26" t="s">
        <v>1451</v>
      </c>
      <c r="G1472" s="26" t="s">
        <v>1143</v>
      </c>
      <c r="H1472" s="33" t="str">
        <f>IF(E1472="Não","Não aplicável",IFERROR(IF(B1472="EU-ENV-002",IF(INDEX(tbl_recyclass[Conforme_PPWR_2030],MATCH(A1472,tbl_recyclass[ProductId],0))="Sim","Conforme (autoavaliação)",IF(INDEX(tbl_recyclass[Conforme_PPWR_2030],MATCH(A1472,tbl_recyclass[ProductId],0))="Não","Não conforme em 2030","Isento até 2035")),IF(B1472="EU-ENV-003",IF(INDEX(tbl_recyclass[Conforme_Art7_2030],MATCH(A1472,tbl_recyclass[ProductId],0))="Sim","Conforme (meta 2030)",IF(INDEX(tbl_recyclass[Conforme_Art7_2030],MATCH(A1472,tbl_recyclass[ProductId],0))="Não","Lacuna face à meta 2030","Isento")),IF(B1472="EU-ENV-011",IF(INDEX(tbl_familias_ppwr[Metais_Pesados_Evidencia],MATCH(INDEX(tbl_recyclass[Familia_PPWR],MATCH(A1472,tbl_recyclass[ProductId],0)),tbl_familias_ppwr[ID_Familia],0))="Em falta","Lacuna","Conforme"),IF(B1472="EU-ENV-013",IF(INDEX(tbl_familias_ppwr[Declaracao_UE],MATCH(INDEX(tbl_recyclass[Familia_PPWR],MATCH(A1472,tbl_recyclass[ProductId],0)),tbl_familias_ppwr[ID_Familia],0))="Sim","Conforme","Lacuna"),G1472)))),G1472))</f>
        <v>Não aplicável</v>
      </c>
      <c r="I1472" s="33" t="str">
        <f t="shared" si="22"/>
        <v>Não aplicável</v>
      </c>
      <c r="J1472" s="26"/>
    </row>
    <row r="1473" spans="1:10" ht="16.05" customHeight="1" x14ac:dyDescent="0.3">
      <c r="A1473" s="26" t="s">
        <v>767</v>
      </c>
      <c r="B1473" s="26" t="s">
        <v>1293</v>
      </c>
      <c r="C1473" s="33" t="str">
        <f>IFERROR(INDEX(tbl_requisitos_emb[Tema],MATCH(B1473,tbl_requisitos_emb[ID_Req],0)),"")</f>
        <v>Isenções PPWR</v>
      </c>
      <c r="D1473" s="33" t="str">
        <f>IFERROR(INDEX(tbl_recyclass[Segmento],MATCH(A1473,tbl_recyclass[ProductId],0)),"")</f>
        <v>Cosmética e higiene pessoal</v>
      </c>
      <c r="E1473" s="26" t="s">
        <v>904</v>
      </c>
      <c r="F1473" s="26" t="s">
        <v>1451</v>
      </c>
      <c r="G1473" s="26" t="s">
        <v>1143</v>
      </c>
      <c r="H1473" s="33" t="str">
        <f>IF(E1473="Não","Não aplicável",IFERROR(IF(B1473="EU-ENV-002",IF(INDEX(tbl_recyclass[Conforme_PPWR_2030],MATCH(A1473,tbl_recyclass[ProductId],0))="Sim","Conforme (autoavaliação)",IF(INDEX(tbl_recyclass[Conforme_PPWR_2030],MATCH(A1473,tbl_recyclass[ProductId],0))="Não","Não conforme em 2030","Isento até 2035")),IF(B1473="EU-ENV-003",IF(INDEX(tbl_recyclass[Conforme_Art7_2030],MATCH(A1473,tbl_recyclass[ProductId],0))="Sim","Conforme (meta 2030)",IF(INDEX(tbl_recyclass[Conforme_Art7_2030],MATCH(A1473,tbl_recyclass[ProductId],0))="Não","Lacuna face à meta 2030","Isento")),IF(B1473="EU-ENV-011",IF(INDEX(tbl_familias_ppwr[Metais_Pesados_Evidencia],MATCH(INDEX(tbl_recyclass[Familia_PPWR],MATCH(A1473,tbl_recyclass[ProductId],0)),tbl_familias_ppwr[ID_Familia],0))="Em falta","Lacuna","Conforme"),IF(B1473="EU-ENV-013",IF(INDEX(tbl_familias_ppwr[Declaracao_UE],MATCH(INDEX(tbl_recyclass[Familia_PPWR],MATCH(A1473,tbl_recyclass[ProductId],0)),tbl_familias_ppwr[ID_Familia],0))="Sim","Conforme","Lacuna"),G1473)))),G1473))</f>
        <v>Não aplicável</v>
      </c>
      <c r="I1473" s="33" t="str">
        <f t="shared" si="22"/>
        <v>Não aplicável</v>
      </c>
      <c r="J1473" s="26"/>
    </row>
    <row r="1474" spans="1:10" ht="16.05" customHeight="1" x14ac:dyDescent="0.3">
      <c r="A1474" s="26" t="s">
        <v>767</v>
      </c>
      <c r="B1474" s="26" t="s">
        <v>1357</v>
      </c>
      <c r="C1474" s="33" t="str">
        <f>IFERROR(INDEX(tbl_requisitos_emb[Tema],MATCH(B1474,tbl_requisitos_emb[ID_Req],0)),"")</f>
        <v>Identificação de plásticos</v>
      </c>
      <c r="D1474" s="33" t="str">
        <f>IFERROR(INDEX(tbl_recyclass[Segmento],MATCH(A1474,tbl_recyclass[ProductId],0)),"")</f>
        <v>Cosmética e higiene pessoal</v>
      </c>
      <c r="E1474" s="26" t="s">
        <v>901</v>
      </c>
      <c r="F1474" s="26" t="s">
        <v>1449</v>
      </c>
      <c r="G1474" s="26" t="s">
        <v>978</v>
      </c>
      <c r="H1474" s="33" t="str">
        <f>IF(E1474="Não","Não aplicável",IFERROR(IF(B1474="EU-ENV-002",IF(INDEX(tbl_recyclass[Conforme_PPWR_2030],MATCH(A1474,tbl_recyclass[ProductId],0))="Sim","Conforme (autoavaliação)",IF(INDEX(tbl_recyclass[Conforme_PPWR_2030],MATCH(A1474,tbl_recyclass[ProductId],0))="Não","Não conforme em 2030","Isento até 2035")),IF(B1474="EU-ENV-003",IF(INDEX(tbl_recyclass[Conforme_Art7_2030],MATCH(A1474,tbl_recyclass[ProductId],0))="Sim","Conforme (meta 2030)",IF(INDEX(tbl_recyclass[Conforme_Art7_2030],MATCH(A1474,tbl_recyclass[ProductId],0))="Não","Lacuna face à meta 2030","Isento")),IF(B1474="EU-ENV-011",IF(INDEX(tbl_familias_ppwr[Metais_Pesados_Evidencia],MATCH(INDEX(tbl_recyclass[Familia_PPWR],MATCH(A1474,tbl_recyclass[ProductId],0)),tbl_familias_ppwr[ID_Familia],0))="Em falta","Lacuna","Conforme"),IF(B1474="EU-ENV-013",IF(INDEX(tbl_familias_ppwr[Declaracao_UE],MATCH(INDEX(tbl_recyclass[Familia_PPWR],MATCH(A1474,tbl_recyclass[ProductId],0)),tbl_familias_ppwr[ID_Familia],0))="Sim","Conforme","Lacuna"),G1474)))),G1474))</f>
        <v>Parcial</v>
      </c>
      <c r="I1474" s="33" t="str">
        <f t="shared" ref="I1474:I1537" si="23">IF(ISNUMBER(SEARCH("Não aplicável",H1474)),"Não aplicável",IF(ISNUMBER(SEARCH("Isento",H1474)),"Isento",IF(ISNUMBER(SEARCH("Não conforme",H1474)),"Não conforme",IF(ISNUMBER(SEARCH("Lacuna",H1474)),"Lacuna",IF(ISNUMBER(SEARCH("Conforme",H1474)),"Conforme",H1474)))))</f>
        <v>Parcial</v>
      </c>
      <c r="J1474" s="26" t="s">
        <v>1362</v>
      </c>
    </row>
    <row r="1475" spans="1:10" ht="16.05" customHeight="1" x14ac:dyDescent="0.3">
      <c r="A1475" s="26" t="s">
        <v>767</v>
      </c>
      <c r="B1475" s="26" t="s">
        <v>1385</v>
      </c>
      <c r="C1475" s="33" t="str">
        <f>IFERROR(INDEX(tbl_requisitos_emb[Tema],MATCH(B1475,tbl_requisitos_emb[ID_Req],0)),"")</f>
        <v>Reciclabilidade (voluntária)</v>
      </c>
      <c r="D1475" s="33" t="str">
        <f>IFERROR(INDEX(tbl_recyclass[Segmento],MATCH(A1475,tbl_recyclass[ProductId],0)),"")</f>
        <v>Cosmética e higiene pessoal</v>
      </c>
      <c r="E1475" s="26" t="s">
        <v>901</v>
      </c>
      <c r="F1475" s="26" t="s">
        <v>1449</v>
      </c>
      <c r="G1475" s="26" t="s">
        <v>978</v>
      </c>
      <c r="H1475" s="33" t="str">
        <f>IF(E1475="Não","Não aplicável",IFERROR(IF(B1475="EU-ENV-002",IF(INDEX(tbl_recyclass[Conforme_PPWR_2030],MATCH(A1475,tbl_recyclass[ProductId],0))="Sim","Conforme (autoavaliação)",IF(INDEX(tbl_recyclass[Conforme_PPWR_2030],MATCH(A1475,tbl_recyclass[ProductId],0))="Não","Não conforme em 2030","Isento até 2035")),IF(B1475="EU-ENV-003",IF(INDEX(tbl_recyclass[Conforme_Art7_2030],MATCH(A1475,tbl_recyclass[ProductId],0))="Sim","Conforme (meta 2030)",IF(INDEX(tbl_recyclass[Conforme_Art7_2030],MATCH(A1475,tbl_recyclass[ProductId],0))="Não","Lacuna face à meta 2030","Isento")),IF(B1475="EU-ENV-011",IF(INDEX(tbl_familias_ppwr[Metais_Pesados_Evidencia],MATCH(INDEX(tbl_recyclass[Familia_PPWR],MATCH(A1475,tbl_recyclass[ProductId],0)),tbl_familias_ppwr[ID_Familia],0))="Em falta","Lacuna","Conforme"),IF(B1475="EU-ENV-013",IF(INDEX(tbl_familias_ppwr[Declaracao_UE],MATCH(INDEX(tbl_recyclass[Familia_PPWR],MATCH(A1475,tbl_recyclass[ProductId],0)),tbl_familias_ppwr[ID_Familia],0))="Sim","Conforme","Lacuna"),G1475)))),G1475))</f>
        <v>Parcial</v>
      </c>
      <c r="I1475" s="33" t="str">
        <f t="shared" si="23"/>
        <v>Parcial</v>
      </c>
      <c r="J1475" s="26" t="s">
        <v>1389</v>
      </c>
    </row>
    <row r="1476" spans="1:10" ht="16.05" customHeight="1" x14ac:dyDescent="0.3">
      <c r="A1476" s="26" t="s">
        <v>770</v>
      </c>
      <c r="B1476" s="26" t="s">
        <v>984</v>
      </c>
      <c r="C1476" s="33" t="str">
        <f>IFERROR(INDEX(tbl_requisitos_emb[Tema],MATCH(B1476,tbl_requisitos_emb[ID_Req],0)),"")</f>
        <v>Conceção para reciclagem</v>
      </c>
      <c r="D1476" s="33" t="str">
        <f>IFERROR(INDEX(tbl_recyclass[Segmento],MATCH(A1476,tbl_recyclass[ProductId],0)),"")</f>
        <v>Cosmética e higiene pessoal</v>
      </c>
      <c r="E1476" s="26" t="s">
        <v>901</v>
      </c>
      <c r="F1476" s="26" t="s">
        <v>1449</v>
      </c>
      <c r="G1476" s="26" t="s">
        <v>978</v>
      </c>
      <c r="H1476" s="33" t="str">
        <f>IF(E1476="Não","Não aplicável",IFERROR(IF(B1476="EU-ENV-002",IF(INDEX(tbl_recyclass[Conforme_PPWR_2030],MATCH(A1476,tbl_recyclass[ProductId],0))="Sim","Conforme (autoavaliação)",IF(INDEX(tbl_recyclass[Conforme_PPWR_2030],MATCH(A1476,tbl_recyclass[ProductId],0))="Não","Não conforme em 2030","Isento até 2035")),IF(B1476="EU-ENV-003",IF(INDEX(tbl_recyclass[Conforme_Art7_2030],MATCH(A1476,tbl_recyclass[ProductId],0))="Sim","Conforme (meta 2030)",IF(INDEX(tbl_recyclass[Conforme_Art7_2030],MATCH(A1476,tbl_recyclass[ProductId],0))="Não","Lacuna face à meta 2030","Isento")),IF(B1476="EU-ENV-011",IF(INDEX(tbl_familias_ppwr[Metais_Pesados_Evidencia],MATCH(INDEX(tbl_recyclass[Familia_PPWR],MATCH(A1476,tbl_recyclass[ProductId],0)),tbl_familias_ppwr[ID_Familia],0))="Em falta","Lacuna","Conforme"),IF(B1476="EU-ENV-013",IF(INDEX(tbl_familias_ppwr[Declaracao_UE],MATCH(INDEX(tbl_recyclass[Familia_PPWR],MATCH(A1476,tbl_recyclass[ProductId],0)),tbl_familias_ppwr[ID_Familia],0))="Sim","Conforme","Lacuna"),G1476)))),G1476))</f>
        <v>Conforme (autoavaliação)</v>
      </c>
      <c r="I1476" s="33" t="str">
        <f t="shared" si="23"/>
        <v>Conforme</v>
      </c>
      <c r="J1476" s="26" t="s">
        <v>991</v>
      </c>
    </row>
    <row r="1477" spans="1:10" ht="16.05" customHeight="1" x14ac:dyDescent="0.3">
      <c r="A1477" s="26" t="s">
        <v>770</v>
      </c>
      <c r="B1477" s="26" t="s">
        <v>997</v>
      </c>
      <c r="C1477" s="33" t="str">
        <f>IFERROR(INDEX(tbl_requisitos_emb[Tema],MATCH(B1477,tbl_requisitos_emb[ID_Req],0)),"")</f>
        <v>Conteúdo reciclado</v>
      </c>
      <c r="D1477" s="33" t="str">
        <f>IFERROR(INDEX(tbl_recyclass[Segmento],MATCH(A1477,tbl_recyclass[ProductId],0)),"")</f>
        <v>Cosmética e higiene pessoal</v>
      </c>
      <c r="E1477" s="26" t="s">
        <v>901</v>
      </c>
      <c r="F1477" s="26" t="s">
        <v>1449</v>
      </c>
      <c r="G1477" s="26" t="s">
        <v>978</v>
      </c>
      <c r="H1477" s="33" t="str">
        <f>IF(E1477="Não","Não aplicável",IFERROR(IF(B1477="EU-ENV-002",IF(INDEX(tbl_recyclass[Conforme_PPWR_2030],MATCH(A1477,tbl_recyclass[ProductId],0))="Sim","Conforme (autoavaliação)",IF(INDEX(tbl_recyclass[Conforme_PPWR_2030],MATCH(A1477,tbl_recyclass[ProductId],0))="Não","Não conforme em 2030","Isento até 2035")),IF(B1477="EU-ENV-003",IF(INDEX(tbl_recyclass[Conforme_Art7_2030],MATCH(A1477,tbl_recyclass[ProductId],0))="Sim","Conforme (meta 2030)",IF(INDEX(tbl_recyclass[Conforme_Art7_2030],MATCH(A1477,tbl_recyclass[ProductId],0))="Não","Lacuna face à meta 2030","Isento")),IF(B1477="EU-ENV-011",IF(INDEX(tbl_familias_ppwr[Metais_Pesados_Evidencia],MATCH(INDEX(tbl_recyclass[Familia_PPWR],MATCH(A1477,tbl_recyclass[ProductId],0)),tbl_familias_ppwr[ID_Familia],0))="Em falta","Lacuna","Conforme"),IF(B1477="EU-ENV-013",IF(INDEX(tbl_familias_ppwr[Declaracao_UE],MATCH(INDEX(tbl_recyclass[Familia_PPWR],MATCH(A1477,tbl_recyclass[ProductId],0)),tbl_familias_ppwr[ID_Familia],0))="Sim","Conforme","Lacuna"),G1477)))),G1477))</f>
        <v>Lacuna face à meta 2030</v>
      </c>
      <c r="I1477" s="33" t="str">
        <f t="shared" si="23"/>
        <v>Lacuna</v>
      </c>
      <c r="J1477" s="26" t="s">
        <v>1001</v>
      </c>
    </row>
    <row r="1478" spans="1:10" ht="16.05" customHeight="1" x14ac:dyDescent="0.3">
      <c r="A1478" s="26" t="s">
        <v>770</v>
      </c>
      <c r="B1478" s="26" t="s">
        <v>1007</v>
      </c>
      <c r="C1478" s="33" t="str">
        <f>IFERROR(INDEX(tbl_requisitos_emb[Tema],MATCH(B1478,tbl_requisitos_emb[ID_Req],0)),"")</f>
        <v>Minimização</v>
      </c>
      <c r="D1478" s="33" t="str">
        <f>IFERROR(INDEX(tbl_recyclass[Segmento],MATCH(A1478,tbl_recyclass[ProductId],0)),"")</f>
        <v>Cosmética e higiene pessoal</v>
      </c>
      <c r="E1478" s="26" t="s">
        <v>901</v>
      </c>
      <c r="F1478" s="26" t="s">
        <v>1449</v>
      </c>
      <c r="G1478" s="26" t="s">
        <v>978</v>
      </c>
      <c r="H1478" s="33" t="str">
        <f>IF(E1478="Não","Não aplicável",IFERROR(IF(B1478="EU-ENV-002",IF(INDEX(tbl_recyclass[Conforme_PPWR_2030],MATCH(A1478,tbl_recyclass[ProductId],0))="Sim","Conforme (autoavaliação)",IF(INDEX(tbl_recyclass[Conforme_PPWR_2030],MATCH(A1478,tbl_recyclass[ProductId],0))="Não","Não conforme em 2030","Isento até 2035")),IF(B1478="EU-ENV-003",IF(INDEX(tbl_recyclass[Conforme_Art7_2030],MATCH(A1478,tbl_recyclass[ProductId],0))="Sim","Conforme (meta 2030)",IF(INDEX(tbl_recyclass[Conforme_Art7_2030],MATCH(A1478,tbl_recyclass[ProductId],0))="Não","Lacuna face à meta 2030","Isento")),IF(B1478="EU-ENV-011",IF(INDEX(tbl_familias_ppwr[Metais_Pesados_Evidencia],MATCH(INDEX(tbl_recyclass[Familia_PPWR],MATCH(A1478,tbl_recyclass[ProductId],0)),tbl_familias_ppwr[ID_Familia],0))="Em falta","Lacuna","Conforme"),IF(B1478="EU-ENV-013",IF(INDEX(tbl_familias_ppwr[Declaracao_UE],MATCH(INDEX(tbl_recyclass[Familia_PPWR],MATCH(A1478,tbl_recyclass[ProductId],0)),tbl_familias_ppwr[ID_Familia],0))="Sim","Conforme","Lacuna"),G1478)))),G1478))</f>
        <v>Parcial</v>
      </c>
      <c r="I1478" s="33" t="str">
        <f t="shared" si="23"/>
        <v>Parcial</v>
      </c>
      <c r="J1478" s="26" t="s">
        <v>1012</v>
      </c>
    </row>
    <row r="1479" spans="1:10" ht="16.05" customHeight="1" x14ac:dyDescent="0.3">
      <c r="A1479" s="26" t="s">
        <v>770</v>
      </c>
      <c r="B1479" s="26" t="s">
        <v>1016</v>
      </c>
      <c r="C1479" s="33" t="str">
        <f>IFERROR(INDEX(tbl_requisitos_emb[Tema],MATCH(B1479,tbl_requisitos_emb[ID_Req],0)),"")</f>
        <v>Rotulagem</v>
      </c>
      <c r="D1479" s="33" t="str">
        <f>IFERROR(INDEX(tbl_recyclass[Segmento],MATCH(A1479,tbl_recyclass[ProductId],0)),"")</f>
        <v>Cosmética e higiene pessoal</v>
      </c>
      <c r="E1479" s="26" t="s">
        <v>901</v>
      </c>
      <c r="F1479" s="26" t="s">
        <v>1449</v>
      </c>
      <c r="G1479" s="26" t="s">
        <v>990</v>
      </c>
      <c r="H1479" s="33" t="str">
        <f>IF(E1479="Não","Não aplicável",IFERROR(IF(B1479="EU-ENV-002",IF(INDEX(tbl_recyclass[Conforme_PPWR_2030],MATCH(A1479,tbl_recyclass[ProductId],0))="Sim","Conforme (autoavaliação)",IF(INDEX(tbl_recyclass[Conforme_PPWR_2030],MATCH(A1479,tbl_recyclass[ProductId],0))="Não","Não conforme em 2030","Isento até 2035")),IF(B1479="EU-ENV-003",IF(INDEX(tbl_recyclass[Conforme_Art7_2030],MATCH(A1479,tbl_recyclass[ProductId],0))="Sim","Conforme (meta 2030)",IF(INDEX(tbl_recyclass[Conforme_Art7_2030],MATCH(A1479,tbl_recyclass[ProductId],0))="Não","Lacuna face à meta 2030","Isento")),IF(B1479="EU-ENV-011",IF(INDEX(tbl_familias_ppwr[Metais_Pesados_Evidencia],MATCH(INDEX(tbl_recyclass[Familia_PPWR],MATCH(A1479,tbl_recyclass[ProductId],0)),tbl_familias_ppwr[ID_Familia],0))="Em falta","Lacuna","Conforme"),IF(B1479="EU-ENV-013",IF(INDEX(tbl_familias_ppwr[Declaracao_UE],MATCH(INDEX(tbl_recyclass[Familia_PPWR],MATCH(A1479,tbl_recyclass[ProductId],0)),tbl_familias_ppwr[ID_Familia],0))="Sim","Conforme","Lacuna"),G1479)))),G1479))</f>
        <v>Futuro</v>
      </c>
      <c r="I1479" s="33" t="str">
        <f t="shared" si="23"/>
        <v>Futuro</v>
      </c>
      <c r="J1479" s="26" t="s">
        <v>1021</v>
      </c>
    </row>
    <row r="1480" spans="1:10" ht="16.05" customHeight="1" x14ac:dyDescent="0.3">
      <c r="A1480" s="26" t="s">
        <v>770</v>
      </c>
      <c r="B1480" s="26" t="s">
        <v>1038</v>
      </c>
      <c r="C1480" s="33" t="str">
        <f>IFERROR(INDEX(tbl_requisitos_emb[Tema],MATCH(B1480,tbl_requisitos_emb[ID_Req],0)),"")</f>
        <v>Plásticos de utilização única</v>
      </c>
      <c r="D1480" s="33" t="str">
        <f>IFERROR(INDEX(tbl_recyclass[Segmento],MATCH(A1480,tbl_recyclass[ProductId],0)),"")</f>
        <v>Cosmética e higiene pessoal</v>
      </c>
      <c r="E1480" s="26" t="s">
        <v>904</v>
      </c>
      <c r="F1480" s="26" t="s">
        <v>1450</v>
      </c>
      <c r="G1480" s="26" t="s">
        <v>1143</v>
      </c>
      <c r="H1480" s="33" t="str">
        <f>IF(E1480="Não","Não aplicável",IFERROR(IF(B1480="EU-ENV-002",IF(INDEX(tbl_recyclass[Conforme_PPWR_2030],MATCH(A1480,tbl_recyclass[ProductId],0))="Sim","Conforme (autoavaliação)",IF(INDEX(tbl_recyclass[Conforme_PPWR_2030],MATCH(A1480,tbl_recyclass[ProductId],0))="Não","Não conforme em 2030","Isento até 2035")),IF(B1480="EU-ENV-003",IF(INDEX(tbl_recyclass[Conforme_Art7_2030],MATCH(A1480,tbl_recyclass[ProductId],0))="Sim","Conforme (meta 2030)",IF(INDEX(tbl_recyclass[Conforme_Art7_2030],MATCH(A1480,tbl_recyclass[ProductId],0))="Não","Lacuna face à meta 2030","Isento")),IF(B1480="EU-ENV-011",IF(INDEX(tbl_familias_ppwr[Metais_Pesados_Evidencia],MATCH(INDEX(tbl_recyclass[Familia_PPWR],MATCH(A1480,tbl_recyclass[ProductId],0)),tbl_familias_ppwr[ID_Familia],0))="Em falta","Lacuna","Conforme"),IF(B1480="EU-ENV-013",IF(INDEX(tbl_familias_ppwr[Declaracao_UE],MATCH(INDEX(tbl_recyclass[Familia_PPWR],MATCH(A1480,tbl_recyclass[ProductId],0)),tbl_familias_ppwr[ID_Familia],0))="Sim","Conforme","Lacuna"),G1480)))),G1480))</f>
        <v>Não aplicável</v>
      </c>
      <c r="I1480" s="33" t="str">
        <f t="shared" si="23"/>
        <v>Não aplicável</v>
      </c>
      <c r="J1480" s="26"/>
    </row>
    <row r="1481" spans="1:10" ht="16.05" customHeight="1" x14ac:dyDescent="0.3">
      <c r="A1481" s="26" t="s">
        <v>770</v>
      </c>
      <c r="B1481" s="26" t="s">
        <v>1078</v>
      </c>
      <c r="C1481" s="33" t="str">
        <f>IFERROR(INDEX(tbl_requisitos_emb[Tema],MATCH(B1481,tbl_requisitos_emb[ID_Req],0)),"")</f>
        <v>Reciclado à escala</v>
      </c>
      <c r="D1481" s="33" t="str">
        <f>IFERROR(INDEX(tbl_recyclass[Segmento],MATCH(A1481,tbl_recyclass[ProductId],0)),"")</f>
        <v>Cosmética e higiene pessoal</v>
      </c>
      <c r="E1481" s="26" t="s">
        <v>901</v>
      </c>
      <c r="F1481" s="26" t="s">
        <v>1449</v>
      </c>
      <c r="G1481" s="26" t="s">
        <v>990</v>
      </c>
      <c r="H1481" s="33" t="str">
        <f>IF(E1481="Não","Não aplicável",IFERROR(IF(B1481="EU-ENV-002",IF(INDEX(tbl_recyclass[Conforme_PPWR_2030],MATCH(A1481,tbl_recyclass[ProductId],0))="Sim","Conforme (autoavaliação)",IF(INDEX(tbl_recyclass[Conforme_PPWR_2030],MATCH(A1481,tbl_recyclass[ProductId],0))="Não","Não conforme em 2030","Isento até 2035")),IF(B1481="EU-ENV-003",IF(INDEX(tbl_recyclass[Conforme_Art7_2030],MATCH(A1481,tbl_recyclass[ProductId],0))="Sim","Conforme (meta 2030)",IF(INDEX(tbl_recyclass[Conforme_Art7_2030],MATCH(A1481,tbl_recyclass[ProductId],0))="Não","Lacuna face à meta 2030","Isento")),IF(B1481="EU-ENV-011",IF(INDEX(tbl_familias_ppwr[Metais_Pesados_Evidencia],MATCH(INDEX(tbl_recyclass[Familia_PPWR],MATCH(A1481,tbl_recyclass[ProductId],0)),tbl_familias_ppwr[ID_Familia],0))="Em falta","Lacuna","Conforme"),IF(B1481="EU-ENV-013",IF(INDEX(tbl_familias_ppwr[Declaracao_UE],MATCH(INDEX(tbl_recyclass[Familia_PPWR],MATCH(A1481,tbl_recyclass[ProductId],0)),tbl_familias_ppwr[ID_Familia],0))="Sim","Conforme","Lacuna"),G1481)))),G1481))</f>
        <v>Futuro</v>
      </c>
      <c r="I1481" s="33" t="str">
        <f t="shared" si="23"/>
        <v>Futuro</v>
      </c>
      <c r="J1481" s="26" t="s">
        <v>1082</v>
      </c>
    </row>
    <row r="1482" spans="1:10" ht="16.05" customHeight="1" x14ac:dyDescent="0.3">
      <c r="A1482" s="26" t="s">
        <v>770</v>
      </c>
      <c r="B1482" s="26" t="s">
        <v>1086</v>
      </c>
      <c r="C1482" s="33" t="str">
        <f>IFERROR(INDEX(tbl_requisitos_emb[Tema],MATCH(B1482,tbl_requisitos_emb[ID_Req],0)),"")</f>
        <v>Metais pesados</v>
      </c>
      <c r="D1482" s="33" t="str">
        <f>IFERROR(INDEX(tbl_recyclass[Segmento],MATCH(A1482,tbl_recyclass[ProductId],0)),"")</f>
        <v>Cosmética e higiene pessoal</v>
      </c>
      <c r="E1482" s="26" t="s">
        <v>901</v>
      </c>
      <c r="F1482" s="26" t="s">
        <v>1449</v>
      </c>
      <c r="G1482" s="26" t="s">
        <v>978</v>
      </c>
      <c r="H1482" s="33" t="str">
        <f>IF(E1482="Não","Não aplicável",IFERROR(IF(B1482="EU-ENV-002",IF(INDEX(tbl_recyclass[Conforme_PPWR_2030],MATCH(A1482,tbl_recyclass[ProductId],0))="Sim","Conforme (autoavaliação)",IF(INDEX(tbl_recyclass[Conforme_PPWR_2030],MATCH(A1482,tbl_recyclass[ProductId],0))="Não","Não conforme em 2030","Isento até 2035")),IF(B1482="EU-ENV-003",IF(INDEX(tbl_recyclass[Conforme_Art7_2030],MATCH(A1482,tbl_recyclass[ProductId],0))="Sim","Conforme (meta 2030)",IF(INDEX(tbl_recyclass[Conforme_Art7_2030],MATCH(A1482,tbl_recyclass[ProductId],0))="Não","Lacuna face à meta 2030","Isento")),IF(B1482="EU-ENV-011",IF(INDEX(tbl_familias_ppwr[Metais_Pesados_Evidencia],MATCH(INDEX(tbl_recyclass[Familia_PPWR],MATCH(A1482,tbl_recyclass[ProductId],0)),tbl_familias_ppwr[ID_Familia],0))="Em falta","Lacuna","Conforme"),IF(B1482="EU-ENV-013",IF(INDEX(tbl_familias_ppwr[Declaracao_UE],MATCH(INDEX(tbl_recyclass[Familia_PPWR],MATCH(A1482,tbl_recyclass[ProductId],0)),tbl_familias_ppwr[ID_Familia],0))="Sim","Conforme","Lacuna"),G1482)))),G1482))</f>
        <v>Conforme</v>
      </c>
      <c r="I1482" s="33" t="str">
        <f t="shared" si="23"/>
        <v>Conforme</v>
      </c>
      <c r="J1482" s="26" t="s">
        <v>1090</v>
      </c>
    </row>
    <row r="1483" spans="1:10" ht="16.05" customHeight="1" x14ac:dyDescent="0.3">
      <c r="A1483" s="26" t="s">
        <v>770</v>
      </c>
      <c r="B1483" s="26" t="s">
        <v>1094</v>
      </c>
      <c r="C1483" s="33" t="str">
        <f>IFERROR(INDEX(tbl_requisitos_emb[Tema],MATCH(B1483,tbl_requisitos_emb[ID_Req],0)),"")</f>
        <v>PFAS</v>
      </c>
      <c r="D1483" s="33" t="str">
        <f>IFERROR(INDEX(tbl_recyclass[Segmento],MATCH(A1483,tbl_recyclass[ProductId],0)),"")</f>
        <v>Cosmética e higiene pessoal</v>
      </c>
      <c r="E1483" s="26" t="s">
        <v>904</v>
      </c>
      <c r="F1483" s="26" t="s">
        <v>1450</v>
      </c>
      <c r="G1483" s="26" t="s">
        <v>1143</v>
      </c>
      <c r="H1483" s="33" t="str">
        <f>IF(E1483="Não","Não aplicável",IFERROR(IF(B1483="EU-ENV-002",IF(INDEX(tbl_recyclass[Conforme_PPWR_2030],MATCH(A1483,tbl_recyclass[ProductId],0))="Sim","Conforme (autoavaliação)",IF(INDEX(tbl_recyclass[Conforme_PPWR_2030],MATCH(A1483,tbl_recyclass[ProductId],0))="Não","Não conforme em 2030","Isento até 2035")),IF(B1483="EU-ENV-003",IF(INDEX(tbl_recyclass[Conforme_Art7_2030],MATCH(A1483,tbl_recyclass[ProductId],0))="Sim","Conforme (meta 2030)",IF(INDEX(tbl_recyclass[Conforme_Art7_2030],MATCH(A1483,tbl_recyclass[ProductId],0))="Não","Lacuna face à meta 2030","Isento")),IF(B1483="EU-ENV-011",IF(INDEX(tbl_familias_ppwr[Metais_Pesados_Evidencia],MATCH(INDEX(tbl_recyclass[Familia_PPWR],MATCH(A1483,tbl_recyclass[ProductId],0)),tbl_familias_ppwr[ID_Familia],0))="Em falta","Lacuna","Conforme"),IF(B1483="EU-ENV-013",IF(INDEX(tbl_familias_ppwr[Declaracao_UE],MATCH(INDEX(tbl_recyclass[Familia_PPWR],MATCH(A1483,tbl_recyclass[ProductId],0)),tbl_familias_ppwr[ID_Familia],0))="Sim","Conforme","Lacuna"),G1483)))),G1483))</f>
        <v>Não aplicável</v>
      </c>
      <c r="I1483" s="33" t="str">
        <f t="shared" si="23"/>
        <v>Não aplicável</v>
      </c>
      <c r="J1483" s="26"/>
    </row>
    <row r="1484" spans="1:10" ht="16.05" customHeight="1" x14ac:dyDescent="0.3">
      <c r="A1484" s="26" t="s">
        <v>770</v>
      </c>
      <c r="B1484" s="26" t="s">
        <v>1102</v>
      </c>
      <c r="C1484" s="33" t="str">
        <f>IFERROR(INDEX(tbl_requisitos_emb[Tema],MATCH(B1484,tbl_requisitos_emb[ID_Req],0)),"")</f>
        <v>Documentação técnica e declaração UE</v>
      </c>
      <c r="D1484" s="33" t="str">
        <f>IFERROR(INDEX(tbl_recyclass[Segmento],MATCH(A1484,tbl_recyclass[ProductId],0)),"")</f>
        <v>Cosmética e higiene pessoal</v>
      </c>
      <c r="E1484" s="26" t="s">
        <v>901</v>
      </c>
      <c r="F1484" s="26" t="s">
        <v>1449</v>
      </c>
      <c r="G1484" s="26" t="s">
        <v>978</v>
      </c>
      <c r="H1484" s="33" t="str">
        <f>IF(E1484="Não","Não aplicável",IFERROR(IF(B1484="EU-ENV-002",IF(INDEX(tbl_recyclass[Conforme_PPWR_2030],MATCH(A1484,tbl_recyclass[ProductId],0))="Sim","Conforme (autoavaliação)",IF(INDEX(tbl_recyclass[Conforme_PPWR_2030],MATCH(A1484,tbl_recyclass[ProductId],0))="Não","Não conforme em 2030","Isento até 2035")),IF(B1484="EU-ENV-003",IF(INDEX(tbl_recyclass[Conforme_Art7_2030],MATCH(A1484,tbl_recyclass[ProductId],0))="Sim","Conforme (meta 2030)",IF(INDEX(tbl_recyclass[Conforme_Art7_2030],MATCH(A1484,tbl_recyclass[ProductId],0))="Não","Lacuna face à meta 2030","Isento")),IF(B1484="EU-ENV-011",IF(INDEX(tbl_familias_ppwr[Metais_Pesados_Evidencia],MATCH(INDEX(tbl_recyclass[Familia_PPWR],MATCH(A1484,tbl_recyclass[ProductId],0)),tbl_familias_ppwr[ID_Familia],0))="Em falta","Lacuna","Conforme"),IF(B1484="EU-ENV-013",IF(INDEX(tbl_familias_ppwr[Declaracao_UE],MATCH(INDEX(tbl_recyclass[Familia_PPWR],MATCH(A1484,tbl_recyclass[ProductId],0)),tbl_familias_ppwr[ID_Familia],0))="Sim","Conforme","Lacuna"),G1484)))),G1484))</f>
        <v>Conforme</v>
      </c>
      <c r="I1484" s="33" t="str">
        <f t="shared" si="23"/>
        <v>Conforme</v>
      </c>
      <c r="J1484" s="26" t="s">
        <v>1106</v>
      </c>
    </row>
    <row r="1485" spans="1:10" ht="16.05" customHeight="1" x14ac:dyDescent="0.3">
      <c r="A1485" s="26" t="s">
        <v>770</v>
      </c>
      <c r="B1485" s="26" t="s">
        <v>1161</v>
      </c>
      <c r="C1485" s="33" t="str">
        <f>IFERROR(INDEX(tbl_requisitos_emb[Tema],MATCH(B1485,tbl_requisitos_emb[ID_Req],0)),"")</f>
        <v>Materiais em contacto com alimentos</v>
      </c>
      <c r="D1485" s="33" t="str">
        <f>IFERROR(INDEX(tbl_recyclass[Segmento],MATCH(A1485,tbl_recyclass[ProductId],0)),"")</f>
        <v>Cosmética e higiene pessoal</v>
      </c>
      <c r="E1485" s="26" t="s">
        <v>904</v>
      </c>
      <c r="F1485" s="26" t="s">
        <v>1450</v>
      </c>
      <c r="G1485" s="26" t="s">
        <v>1143</v>
      </c>
      <c r="H1485" s="33" t="str">
        <f>IF(E1485="Não","Não aplicável",IFERROR(IF(B1485="EU-ENV-002",IF(INDEX(tbl_recyclass[Conforme_PPWR_2030],MATCH(A1485,tbl_recyclass[ProductId],0))="Sim","Conforme (autoavaliação)",IF(INDEX(tbl_recyclass[Conforme_PPWR_2030],MATCH(A1485,tbl_recyclass[ProductId],0))="Não","Não conforme em 2030","Isento até 2035")),IF(B1485="EU-ENV-003",IF(INDEX(tbl_recyclass[Conforme_Art7_2030],MATCH(A1485,tbl_recyclass[ProductId],0))="Sim","Conforme (meta 2030)",IF(INDEX(tbl_recyclass[Conforme_Art7_2030],MATCH(A1485,tbl_recyclass[ProductId],0))="Não","Lacuna face à meta 2030","Isento")),IF(B1485="EU-ENV-011",IF(INDEX(tbl_familias_ppwr[Metais_Pesados_Evidencia],MATCH(INDEX(tbl_recyclass[Familia_PPWR],MATCH(A1485,tbl_recyclass[ProductId],0)),tbl_familias_ppwr[ID_Familia],0))="Em falta","Lacuna","Conforme"),IF(B1485="EU-ENV-013",IF(INDEX(tbl_familias_ppwr[Declaracao_UE],MATCH(INDEX(tbl_recyclass[Familia_PPWR],MATCH(A1485,tbl_recyclass[ProductId],0)),tbl_familias_ppwr[ID_Familia],0))="Sim","Conforme","Lacuna"),G1485)))),G1485))</f>
        <v>Não aplicável</v>
      </c>
      <c r="I1485" s="33" t="str">
        <f t="shared" si="23"/>
        <v>Não aplicável</v>
      </c>
      <c r="J1485" s="26"/>
    </row>
    <row r="1486" spans="1:10" ht="16.05" customHeight="1" x14ac:dyDescent="0.3">
      <c r="A1486" s="26" t="s">
        <v>770</v>
      </c>
      <c r="B1486" s="26" t="s">
        <v>1170</v>
      </c>
      <c r="C1486" s="33" t="str">
        <f>IFERROR(INDEX(tbl_requisitos_emb[Tema],MATCH(B1486,tbl_requisitos_emb[ID_Req],0)),"")</f>
        <v>Boas práticas de fabrico FCM</v>
      </c>
      <c r="D1486" s="33" t="str">
        <f>IFERROR(INDEX(tbl_recyclass[Segmento],MATCH(A1486,tbl_recyclass[ProductId],0)),"")</f>
        <v>Cosmética e higiene pessoal</v>
      </c>
      <c r="E1486" s="26" t="s">
        <v>904</v>
      </c>
      <c r="F1486" s="26" t="s">
        <v>1450</v>
      </c>
      <c r="G1486" s="26" t="s">
        <v>1143</v>
      </c>
      <c r="H1486" s="33" t="str">
        <f>IF(E1486="Não","Não aplicável",IFERROR(IF(B1486="EU-ENV-002",IF(INDEX(tbl_recyclass[Conforme_PPWR_2030],MATCH(A1486,tbl_recyclass[ProductId],0))="Sim","Conforme (autoavaliação)",IF(INDEX(tbl_recyclass[Conforme_PPWR_2030],MATCH(A1486,tbl_recyclass[ProductId],0))="Não","Não conforme em 2030","Isento até 2035")),IF(B1486="EU-ENV-003",IF(INDEX(tbl_recyclass[Conforme_Art7_2030],MATCH(A1486,tbl_recyclass[ProductId],0))="Sim","Conforme (meta 2030)",IF(INDEX(tbl_recyclass[Conforme_Art7_2030],MATCH(A1486,tbl_recyclass[ProductId],0))="Não","Lacuna face à meta 2030","Isento")),IF(B1486="EU-ENV-011",IF(INDEX(tbl_familias_ppwr[Metais_Pesados_Evidencia],MATCH(INDEX(tbl_recyclass[Familia_PPWR],MATCH(A1486,tbl_recyclass[ProductId],0)),tbl_familias_ppwr[ID_Familia],0))="Em falta","Lacuna","Conforme"),IF(B1486="EU-ENV-013",IF(INDEX(tbl_familias_ppwr[Declaracao_UE],MATCH(INDEX(tbl_recyclass[Familia_PPWR],MATCH(A1486,tbl_recyclass[ProductId],0)),tbl_familias_ppwr[ID_Familia],0))="Sim","Conforme","Lacuna"),G1486)))),G1486))</f>
        <v>Não aplicável</v>
      </c>
      <c r="I1486" s="33" t="str">
        <f t="shared" si="23"/>
        <v>Não aplicável</v>
      </c>
      <c r="J1486" s="26"/>
    </row>
    <row r="1487" spans="1:10" ht="16.05" customHeight="1" x14ac:dyDescent="0.3">
      <c r="A1487" s="26" t="s">
        <v>770</v>
      </c>
      <c r="B1487" s="26" t="s">
        <v>1179</v>
      </c>
      <c r="C1487" s="33" t="str">
        <f>IFERROR(INDEX(tbl_requisitos_emb[Tema],MATCH(B1487,tbl_requisitos_emb[ID_Req],0)),"")</f>
        <v>Bisfenol A e bisfenóis perigosos</v>
      </c>
      <c r="D1487" s="33" t="str">
        <f>IFERROR(INDEX(tbl_recyclass[Segmento],MATCH(A1487,tbl_recyclass[ProductId],0)),"")</f>
        <v>Cosmética e higiene pessoal</v>
      </c>
      <c r="E1487" s="26" t="s">
        <v>904</v>
      </c>
      <c r="F1487" s="26" t="s">
        <v>1450</v>
      </c>
      <c r="G1487" s="26" t="s">
        <v>1143</v>
      </c>
      <c r="H1487" s="33" t="str">
        <f>IF(E1487="Não","Não aplicável",IFERROR(IF(B1487="EU-ENV-002",IF(INDEX(tbl_recyclass[Conforme_PPWR_2030],MATCH(A1487,tbl_recyclass[ProductId],0))="Sim","Conforme (autoavaliação)",IF(INDEX(tbl_recyclass[Conforme_PPWR_2030],MATCH(A1487,tbl_recyclass[ProductId],0))="Não","Não conforme em 2030","Isento até 2035")),IF(B1487="EU-ENV-003",IF(INDEX(tbl_recyclass[Conforme_Art7_2030],MATCH(A1487,tbl_recyclass[ProductId],0))="Sim","Conforme (meta 2030)",IF(INDEX(tbl_recyclass[Conforme_Art7_2030],MATCH(A1487,tbl_recyclass[ProductId],0))="Não","Lacuna face à meta 2030","Isento")),IF(B1487="EU-ENV-011",IF(INDEX(tbl_familias_ppwr[Metais_Pesados_Evidencia],MATCH(INDEX(tbl_recyclass[Familia_PPWR],MATCH(A1487,tbl_recyclass[ProductId],0)),tbl_familias_ppwr[ID_Familia],0))="Em falta","Lacuna","Conforme"),IF(B1487="EU-ENV-013",IF(INDEX(tbl_familias_ppwr[Declaracao_UE],MATCH(INDEX(tbl_recyclass[Familia_PPWR],MATCH(A1487,tbl_recyclass[ProductId],0)),tbl_familias_ppwr[ID_Familia],0))="Sim","Conforme","Lacuna"),G1487)))),G1487))</f>
        <v>Não aplicável</v>
      </c>
      <c r="I1487" s="33" t="str">
        <f t="shared" si="23"/>
        <v>Não aplicável</v>
      </c>
      <c r="J1487" s="26"/>
    </row>
    <row r="1488" spans="1:10" ht="16.05" customHeight="1" x14ac:dyDescent="0.3">
      <c r="A1488" s="26" t="s">
        <v>770</v>
      </c>
      <c r="B1488" s="26" t="s">
        <v>1188</v>
      </c>
      <c r="C1488" s="33" t="str">
        <f>IFERROR(INDEX(tbl_requisitos_emb[Tema],MATCH(B1488,tbl_requisitos_emb[ID_Req],0)),"")</f>
        <v>Plásticos em contacto com alimentos</v>
      </c>
      <c r="D1488" s="33" t="str">
        <f>IFERROR(INDEX(tbl_recyclass[Segmento],MATCH(A1488,tbl_recyclass[ProductId],0)),"")</f>
        <v>Cosmética e higiene pessoal</v>
      </c>
      <c r="E1488" s="26" t="s">
        <v>904</v>
      </c>
      <c r="F1488" s="26" t="s">
        <v>1450</v>
      </c>
      <c r="G1488" s="26" t="s">
        <v>1143</v>
      </c>
      <c r="H1488" s="33" t="str">
        <f>IF(E1488="Não","Não aplicável",IFERROR(IF(B1488="EU-ENV-002",IF(INDEX(tbl_recyclass[Conforme_PPWR_2030],MATCH(A1488,tbl_recyclass[ProductId],0))="Sim","Conforme (autoavaliação)",IF(INDEX(tbl_recyclass[Conforme_PPWR_2030],MATCH(A1488,tbl_recyclass[ProductId],0))="Não","Não conforme em 2030","Isento até 2035")),IF(B1488="EU-ENV-003",IF(INDEX(tbl_recyclass[Conforme_Art7_2030],MATCH(A1488,tbl_recyclass[ProductId],0))="Sim","Conforme (meta 2030)",IF(INDEX(tbl_recyclass[Conforme_Art7_2030],MATCH(A1488,tbl_recyclass[ProductId],0))="Não","Lacuna face à meta 2030","Isento")),IF(B1488="EU-ENV-011",IF(INDEX(tbl_familias_ppwr[Metais_Pesados_Evidencia],MATCH(INDEX(tbl_recyclass[Familia_PPWR],MATCH(A1488,tbl_recyclass[ProductId],0)),tbl_familias_ppwr[ID_Familia],0))="Em falta","Lacuna","Conforme"),IF(B1488="EU-ENV-013",IF(INDEX(tbl_familias_ppwr[Declaracao_UE],MATCH(INDEX(tbl_recyclass[Familia_PPWR],MATCH(A1488,tbl_recyclass[ProductId],0)),tbl_familias_ppwr[ID_Familia],0))="Sim","Conforme","Lacuna"),G1488)))),G1488))</f>
        <v>Não aplicável</v>
      </c>
      <c r="I1488" s="33" t="str">
        <f t="shared" si="23"/>
        <v>Não aplicável</v>
      </c>
      <c r="J1488" s="26"/>
    </row>
    <row r="1489" spans="1:10" ht="16.05" customHeight="1" x14ac:dyDescent="0.3">
      <c r="A1489" s="26" t="s">
        <v>770</v>
      </c>
      <c r="B1489" s="26" t="s">
        <v>1212</v>
      </c>
      <c r="C1489" s="33" t="str">
        <f>IFERROR(INDEX(tbl_requisitos_emb[Tema],MATCH(B1489,tbl_requisitos_emb[ID_Req],0)),"")</f>
        <v>Segurança do produto cosmético</v>
      </c>
      <c r="D1489" s="33" t="str">
        <f>IFERROR(INDEX(tbl_recyclass[Segmento],MATCH(A1489,tbl_recyclass[ProductId],0)),"")</f>
        <v>Cosmética e higiene pessoal</v>
      </c>
      <c r="E1489" s="26" t="s">
        <v>901</v>
      </c>
      <c r="F1489" s="26" t="s">
        <v>1449</v>
      </c>
      <c r="G1489" s="26" t="s">
        <v>1033</v>
      </c>
      <c r="H1489" s="33" t="str">
        <f>IF(E1489="Não","Não aplicável",IFERROR(IF(B1489="EU-ENV-002",IF(INDEX(tbl_recyclass[Conforme_PPWR_2030],MATCH(A1489,tbl_recyclass[ProductId],0))="Sim","Conforme (autoavaliação)",IF(INDEX(tbl_recyclass[Conforme_PPWR_2030],MATCH(A1489,tbl_recyclass[ProductId],0))="Não","Não conforme em 2030","Isento até 2035")),IF(B1489="EU-ENV-003",IF(INDEX(tbl_recyclass[Conforme_Art7_2030],MATCH(A1489,tbl_recyclass[ProductId],0))="Sim","Conforme (meta 2030)",IF(INDEX(tbl_recyclass[Conforme_Art7_2030],MATCH(A1489,tbl_recyclass[ProductId],0))="Não","Lacuna face à meta 2030","Isento")),IF(B1489="EU-ENV-011",IF(INDEX(tbl_familias_ppwr[Metais_Pesados_Evidencia],MATCH(INDEX(tbl_recyclass[Familia_PPWR],MATCH(A1489,tbl_recyclass[ProductId],0)),tbl_familias_ppwr[ID_Familia],0))="Em falta","Lacuna","Conforme"),IF(B1489="EU-ENV-013",IF(INDEX(tbl_familias_ppwr[Declaracao_UE],MATCH(INDEX(tbl_recyclass[Familia_PPWR],MATCH(A1489,tbl_recyclass[ProductId],0)),tbl_familias_ppwr[ID_Familia],0))="Sim","Conforme","Lacuna"),G1489)))),G1489))</f>
        <v>Conforme</v>
      </c>
      <c r="I1489" s="33" t="str">
        <f t="shared" si="23"/>
        <v>Conforme</v>
      </c>
      <c r="J1489" s="26" t="s">
        <v>1221</v>
      </c>
    </row>
    <row r="1490" spans="1:10" ht="16.05" customHeight="1" x14ac:dyDescent="0.3">
      <c r="A1490" s="26" t="s">
        <v>770</v>
      </c>
      <c r="B1490" s="26" t="s">
        <v>1224</v>
      </c>
      <c r="C1490" s="33" t="str">
        <f>IFERROR(INDEX(tbl_requisitos_emb[Tema],MATCH(B1490,tbl_requisitos_emb[ID_Req],0)),"")</f>
        <v>Materiais e impurezas</v>
      </c>
      <c r="D1490" s="33" t="str">
        <f>IFERROR(INDEX(tbl_recyclass[Segmento],MATCH(A1490,tbl_recyclass[ProductId],0)),"")</f>
        <v>Cosmética e higiene pessoal</v>
      </c>
      <c r="E1490" s="26" t="s">
        <v>901</v>
      </c>
      <c r="F1490" s="26" t="s">
        <v>1449</v>
      </c>
      <c r="G1490" s="26" t="s">
        <v>978</v>
      </c>
      <c r="H1490" s="33" t="str">
        <f>IF(E1490="Não","Não aplicável",IFERROR(IF(B1490="EU-ENV-002",IF(INDEX(tbl_recyclass[Conforme_PPWR_2030],MATCH(A1490,tbl_recyclass[ProductId],0))="Sim","Conforme (autoavaliação)",IF(INDEX(tbl_recyclass[Conforme_PPWR_2030],MATCH(A1490,tbl_recyclass[ProductId],0))="Não","Não conforme em 2030","Isento até 2035")),IF(B1490="EU-ENV-003",IF(INDEX(tbl_recyclass[Conforme_Art7_2030],MATCH(A1490,tbl_recyclass[ProductId],0))="Sim","Conforme (meta 2030)",IF(INDEX(tbl_recyclass[Conforme_Art7_2030],MATCH(A1490,tbl_recyclass[ProductId],0))="Não","Lacuna face à meta 2030","Isento")),IF(B1490="EU-ENV-011",IF(INDEX(tbl_familias_ppwr[Metais_Pesados_Evidencia],MATCH(INDEX(tbl_recyclass[Familia_PPWR],MATCH(A1490,tbl_recyclass[ProductId],0)),tbl_familias_ppwr[ID_Familia],0))="Em falta","Lacuna","Conforme"),IF(B1490="EU-ENV-013",IF(INDEX(tbl_familias_ppwr[Declaracao_UE],MATCH(INDEX(tbl_recyclass[Familia_PPWR],MATCH(A1490,tbl_recyclass[ProductId],0)),tbl_familias_ppwr[ID_Familia],0))="Sim","Conforme","Lacuna"),G1490)))),G1490))</f>
        <v>Parcial</v>
      </c>
      <c r="I1490" s="33" t="str">
        <f t="shared" si="23"/>
        <v>Parcial</v>
      </c>
      <c r="J1490" s="26" t="s">
        <v>1228</v>
      </c>
    </row>
    <row r="1491" spans="1:10" ht="16.05" customHeight="1" x14ac:dyDescent="0.3">
      <c r="A1491" s="26" t="s">
        <v>770</v>
      </c>
      <c r="B1491" s="26" t="s">
        <v>1240</v>
      </c>
      <c r="C1491" s="33" t="str">
        <f>IFERROR(INDEX(tbl_requisitos_emb[Tema],MATCH(B1491,tbl_requisitos_emb[ID_Req],0)),"")</f>
        <v>Compatibilidade embalagem–produto</v>
      </c>
      <c r="D1491" s="33" t="str">
        <f>IFERROR(INDEX(tbl_recyclass[Segmento],MATCH(A1491,tbl_recyclass[ProductId],0)),"")</f>
        <v>Cosmética e higiene pessoal</v>
      </c>
      <c r="E1491" s="26" t="s">
        <v>901</v>
      </c>
      <c r="F1491" s="26" t="s">
        <v>1449</v>
      </c>
      <c r="G1491" s="26" t="s">
        <v>1033</v>
      </c>
      <c r="H1491" s="33" t="str">
        <f>IF(E1491="Não","Não aplicável",IFERROR(IF(B1491="EU-ENV-002",IF(INDEX(tbl_recyclass[Conforme_PPWR_2030],MATCH(A1491,tbl_recyclass[ProductId],0))="Sim","Conforme (autoavaliação)",IF(INDEX(tbl_recyclass[Conforme_PPWR_2030],MATCH(A1491,tbl_recyclass[ProductId],0))="Não","Não conforme em 2030","Isento até 2035")),IF(B1491="EU-ENV-003",IF(INDEX(tbl_recyclass[Conforme_Art7_2030],MATCH(A1491,tbl_recyclass[ProductId],0))="Sim","Conforme (meta 2030)",IF(INDEX(tbl_recyclass[Conforme_Art7_2030],MATCH(A1491,tbl_recyclass[ProductId],0))="Não","Lacuna face à meta 2030","Isento")),IF(B1491="EU-ENV-011",IF(INDEX(tbl_familias_ppwr[Metais_Pesados_Evidencia],MATCH(INDEX(tbl_recyclass[Familia_PPWR],MATCH(A1491,tbl_recyclass[ProductId],0)),tbl_familias_ppwr[ID_Familia],0))="Em falta","Lacuna","Conforme"),IF(B1491="EU-ENV-013",IF(INDEX(tbl_familias_ppwr[Declaracao_UE],MATCH(INDEX(tbl_recyclass[Familia_PPWR],MATCH(A1491,tbl_recyclass[ProductId],0)),tbl_familias_ppwr[ID_Familia],0))="Sim","Conforme","Lacuna"),G1491)))),G1491))</f>
        <v>Conforme</v>
      </c>
      <c r="I1491" s="33" t="str">
        <f t="shared" si="23"/>
        <v>Conforme</v>
      </c>
      <c r="J1491" s="26" t="s">
        <v>1244</v>
      </c>
    </row>
    <row r="1492" spans="1:10" ht="16.05" customHeight="1" x14ac:dyDescent="0.3">
      <c r="A1492" s="26" t="s">
        <v>770</v>
      </c>
      <c r="B1492" s="26" t="s">
        <v>1252</v>
      </c>
      <c r="C1492" s="33" t="str">
        <f>IFERROR(INDEX(tbl_requisitos_emb[Tema],MATCH(B1492,tbl_requisitos_emb[ID_Req],0)),"")</f>
        <v>Medicamentos de uso humano</v>
      </c>
      <c r="D1492" s="33" t="str">
        <f>IFERROR(INDEX(tbl_recyclass[Segmento],MATCH(A1492,tbl_recyclass[ProductId],0)),"")</f>
        <v>Cosmética e higiene pessoal</v>
      </c>
      <c r="E1492" s="26" t="s">
        <v>904</v>
      </c>
      <c r="F1492" s="26" t="s">
        <v>1451</v>
      </c>
      <c r="G1492" s="26" t="s">
        <v>1143</v>
      </c>
      <c r="H1492" s="33" t="str">
        <f>IF(E1492="Não","Não aplicável",IFERROR(IF(B1492="EU-ENV-002",IF(INDEX(tbl_recyclass[Conforme_PPWR_2030],MATCH(A1492,tbl_recyclass[ProductId],0))="Sim","Conforme (autoavaliação)",IF(INDEX(tbl_recyclass[Conforme_PPWR_2030],MATCH(A1492,tbl_recyclass[ProductId],0))="Não","Não conforme em 2030","Isento até 2035")),IF(B1492="EU-ENV-003",IF(INDEX(tbl_recyclass[Conforme_Art7_2030],MATCH(A1492,tbl_recyclass[ProductId],0))="Sim","Conforme (meta 2030)",IF(INDEX(tbl_recyclass[Conforme_Art7_2030],MATCH(A1492,tbl_recyclass[ProductId],0))="Não","Lacuna face à meta 2030","Isento")),IF(B1492="EU-ENV-011",IF(INDEX(tbl_familias_ppwr[Metais_Pesados_Evidencia],MATCH(INDEX(tbl_recyclass[Familia_PPWR],MATCH(A1492,tbl_recyclass[ProductId],0)),tbl_familias_ppwr[ID_Familia],0))="Em falta","Lacuna","Conforme"),IF(B1492="EU-ENV-013",IF(INDEX(tbl_familias_ppwr[Declaracao_UE],MATCH(INDEX(tbl_recyclass[Familia_PPWR],MATCH(A1492,tbl_recyclass[ProductId],0)),tbl_familias_ppwr[ID_Familia],0))="Sim","Conforme","Lacuna"),G1492)))),G1492))</f>
        <v>Não aplicável</v>
      </c>
      <c r="I1492" s="33" t="str">
        <f t="shared" si="23"/>
        <v>Não aplicável</v>
      </c>
      <c r="J1492" s="26"/>
    </row>
    <row r="1493" spans="1:10" ht="16.05" customHeight="1" x14ac:dyDescent="0.3">
      <c r="A1493" s="26" t="s">
        <v>770</v>
      </c>
      <c r="B1493" s="26" t="s">
        <v>1268</v>
      </c>
      <c r="C1493" s="33" t="str">
        <f>IFERROR(INDEX(tbl_requisitos_emb[Tema],MATCH(B1493,tbl_requisitos_emb[ID_Req],0)),"")</f>
        <v>Dispositivos de segurança</v>
      </c>
      <c r="D1493" s="33" t="str">
        <f>IFERROR(INDEX(tbl_recyclass[Segmento],MATCH(A1493,tbl_recyclass[ProductId],0)),"")</f>
        <v>Cosmética e higiene pessoal</v>
      </c>
      <c r="E1493" s="26" t="s">
        <v>904</v>
      </c>
      <c r="F1493" s="26" t="s">
        <v>1451</v>
      </c>
      <c r="G1493" s="26" t="s">
        <v>1143</v>
      </c>
      <c r="H1493" s="33" t="str">
        <f>IF(E1493="Não","Não aplicável",IFERROR(IF(B1493="EU-ENV-002",IF(INDEX(tbl_recyclass[Conforme_PPWR_2030],MATCH(A1493,tbl_recyclass[ProductId],0))="Sim","Conforme (autoavaliação)",IF(INDEX(tbl_recyclass[Conforme_PPWR_2030],MATCH(A1493,tbl_recyclass[ProductId],0))="Não","Não conforme em 2030","Isento até 2035")),IF(B1493="EU-ENV-003",IF(INDEX(tbl_recyclass[Conforme_Art7_2030],MATCH(A1493,tbl_recyclass[ProductId],0))="Sim","Conforme (meta 2030)",IF(INDEX(tbl_recyclass[Conforme_Art7_2030],MATCH(A1493,tbl_recyclass[ProductId],0))="Não","Lacuna face à meta 2030","Isento")),IF(B1493="EU-ENV-011",IF(INDEX(tbl_familias_ppwr[Metais_Pesados_Evidencia],MATCH(INDEX(tbl_recyclass[Familia_PPWR],MATCH(A1493,tbl_recyclass[ProductId],0)),tbl_familias_ppwr[ID_Familia],0))="Em falta","Lacuna","Conforme"),IF(B1493="EU-ENV-013",IF(INDEX(tbl_familias_ppwr[Declaracao_UE],MATCH(INDEX(tbl_recyclass[Familia_PPWR],MATCH(A1493,tbl_recyclass[ProductId],0)),tbl_familias_ppwr[ID_Familia],0))="Sim","Conforme","Lacuna"),G1493)))),G1493))</f>
        <v>Não aplicável</v>
      </c>
      <c r="I1493" s="33" t="str">
        <f t="shared" si="23"/>
        <v>Não aplicável</v>
      </c>
      <c r="J1493" s="26"/>
    </row>
    <row r="1494" spans="1:10" ht="16.05" customHeight="1" x14ac:dyDescent="0.3">
      <c r="A1494" s="26" t="s">
        <v>770</v>
      </c>
      <c r="B1494" s="26" t="s">
        <v>1285</v>
      </c>
      <c r="C1494" s="33" t="str">
        <f>IFERROR(INDEX(tbl_requisitos_emb[Tema],MATCH(B1494,tbl_requisitos_emb[ID_Req],0)),"")</f>
        <v>Materiais plásticos de acondicionamento primário</v>
      </c>
      <c r="D1494" s="33" t="str">
        <f>IFERROR(INDEX(tbl_recyclass[Segmento],MATCH(A1494,tbl_recyclass[ProductId],0)),"")</f>
        <v>Cosmética e higiene pessoal</v>
      </c>
      <c r="E1494" s="26" t="s">
        <v>904</v>
      </c>
      <c r="F1494" s="26" t="s">
        <v>1451</v>
      </c>
      <c r="G1494" s="26" t="s">
        <v>1143</v>
      </c>
      <c r="H1494" s="33" t="str">
        <f>IF(E1494="Não","Não aplicável",IFERROR(IF(B1494="EU-ENV-002",IF(INDEX(tbl_recyclass[Conforme_PPWR_2030],MATCH(A1494,tbl_recyclass[ProductId],0))="Sim","Conforme (autoavaliação)",IF(INDEX(tbl_recyclass[Conforme_PPWR_2030],MATCH(A1494,tbl_recyclass[ProductId],0))="Não","Não conforme em 2030","Isento até 2035")),IF(B1494="EU-ENV-003",IF(INDEX(tbl_recyclass[Conforme_Art7_2030],MATCH(A1494,tbl_recyclass[ProductId],0))="Sim","Conforme (meta 2030)",IF(INDEX(tbl_recyclass[Conforme_Art7_2030],MATCH(A1494,tbl_recyclass[ProductId],0))="Não","Lacuna face à meta 2030","Isento")),IF(B1494="EU-ENV-011",IF(INDEX(tbl_familias_ppwr[Metais_Pesados_Evidencia],MATCH(INDEX(tbl_recyclass[Familia_PPWR],MATCH(A1494,tbl_recyclass[ProductId],0)),tbl_familias_ppwr[ID_Familia],0))="Em falta","Lacuna","Conforme"),IF(B1494="EU-ENV-013",IF(INDEX(tbl_familias_ppwr[Declaracao_UE],MATCH(INDEX(tbl_recyclass[Familia_PPWR],MATCH(A1494,tbl_recyclass[ProductId],0)),tbl_familias_ppwr[ID_Familia],0))="Sim","Conforme","Lacuna"),G1494)))),G1494))</f>
        <v>Não aplicável</v>
      </c>
      <c r="I1494" s="33" t="str">
        <f t="shared" si="23"/>
        <v>Não aplicável</v>
      </c>
      <c r="J1494" s="26"/>
    </row>
    <row r="1495" spans="1:10" ht="16.05" customHeight="1" x14ac:dyDescent="0.3">
      <c r="A1495" s="26" t="s">
        <v>770</v>
      </c>
      <c r="B1495" s="26" t="s">
        <v>1293</v>
      </c>
      <c r="C1495" s="33" t="str">
        <f>IFERROR(INDEX(tbl_requisitos_emb[Tema],MATCH(B1495,tbl_requisitos_emb[ID_Req],0)),"")</f>
        <v>Isenções PPWR</v>
      </c>
      <c r="D1495" s="33" t="str">
        <f>IFERROR(INDEX(tbl_recyclass[Segmento],MATCH(A1495,tbl_recyclass[ProductId],0)),"")</f>
        <v>Cosmética e higiene pessoal</v>
      </c>
      <c r="E1495" s="26" t="s">
        <v>904</v>
      </c>
      <c r="F1495" s="26" t="s">
        <v>1451</v>
      </c>
      <c r="G1495" s="26" t="s">
        <v>1143</v>
      </c>
      <c r="H1495" s="33" t="str">
        <f>IF(E1495="Não","Não aplicável",IFERROR(IF(B1495="EU-ENV-002",IF(INDEX(tbl_recyclass[Conforme_PPWR_2030],MATCH(A1495,tbl_recyclass[ProductId],0))="Sim","Conforme (autoavaliação)",IF(INDEX(tbl_recyclass[Conforme_PPWR_2030],MATCH(A1495,tbl_recyclass[ProductId],0))="Não","Não conforme em 2030","Isento até 2035")),IF(B1495="EU-ENV-003",IF(INDEX(tbl_recyclass[Conforme_Art7_2030],MATCH(A1495,tbl_recyclass[ProductId],0))="Sim","Conforme (meta 2030)",IF(INDEX(tbl_recyclass[Conforme_Art7_2030],MATCH(A1495,tbl_recyclass[ProductId],0))="Não","Lacuna face à meta 2030","Isento")),IF(B1495="EU-ENV-011",IF(INDEX(tbl_familias_ppwr[Metais_Pesados_Evidencia],MATCH(INDEX(tbl_recyclass[Familia_PPWR],MATCH(A1495,tbl_recyclass[ProductId],0)),tbl_familias_ppwr[ID_Familia],0))="Em falta","Lacuna","Conforme"),IF(B1495="EU-ENV-013",IF(INDEX(tbl_familias_ppwr[Declaracao_UE],MATCH(INDEX(tbl_recyclass[Familia_PPWR],MATCH(A1495,tbl_recyclass[ProductId],0)),tbl_familias_ppwr[ID_Familia],0))="Sim","Conforme","Lacuna"),G1495)))),G1495))</f>
        <v>Não aplicável</v>
      </c>
      <c r="I1495" s="33" t="str">
        <f t="shared" si="23"/>
        <v>Não aplicável</v>
      </c>
      <c r="J1495" s="26"/>
    </row>
    <row r="1496" spans="1:10" ht="16.05" customHeight="1" x14ac:dyDescent="0.3">
      <c r="A1496" s="26" t="s">
        <v>770</v>
      </c>
      <c r="B1496" s="26" t="s">
        <v>1357</v>
      </c>
      <c r="C1496" s="33" t="str">
        <f>IFERROR(INDEX(tbl_requisitos_emb[Tema],MATCH(B1496,tbl_requisitos_emb[ID_Req],0)),"")</f>
        <v>Identificação de plásticos</v>
      </c>
      <c r="D1496" s="33" t="str">
        <f>IFERROR(INDEX(tbl_recyclass[Segmento],MATCH(A1496,tbl_recyclass[ProductId],0)),"")</f>
        <v>Cosmética e higiene pessoal</v>
      </c>
      <c r="E1496" s="26" t="s">
        <v>901</v>
      </c>
      <c r="F1496" s="26" t="s">
        <v>1449</v>
      </c>
      <c r="G1496" s="26" t="s">
        <v>978</v>
      </c>
      <c r="H1496" s="33" t="str">
        <f>IF(E1496="Não","Não aplicável",IFERROR(IF(B1496="EU-ENV-002",IF(INDEX(tbl_recyclass[Conforme_PPWR_2030],MATCH(A1496,tbl_recyclass[ProductId],0))="Sim","Conforme (autoavaliação)",IF(INDEX(tbl_recyclass[Conforme_PPWR_2030],MATCH(A1496,tbl_recyclass[ProductId],0))="Não","Não conforme em 2030","Isento até 2035")),IF(B1496="EU-ENV-003",IF(INDEX(tbl_recyclass[Conforme_Art7_2030],MATCH(A1496,tbl_recyclass[ProductId],0))="Sim","Conforme (meta 2030)",IF(INDEX(tbl_recyclass[Conforme_Art7_2030],MATCH(A1496,tbl_recyclass[ProductId],0))="Não","Lacuna face à meta 2030","Isento")),IF(B1496="EU-ENV-011",IF(INDEX(tbl_familias_ppwr[Metais_Pesados_Evidencia],MATCH(INDEX(tbl_recyclass[Familia_PPWR],MATCH(A1496,tbl_recyclass[ProductId],0)),tbl_familias_ppwr[ID_Familia],0))="Em falta","Lacuna","Conforme"),IF(B1496="EU-ENV-013",IF(INDEX(tbl_familias_ppwr[Declaracao_UE],MATCH(INDEX(tbl_recyclass[Familia_PPWR],MATCH(A1496,tbl_recyclass[ProductId],0)),tbl_familias_ppwr[ID_Familia],0))="Sim","Conforme","Lacuna"),G1496)))),G1496))</f>
        <v>Parcial</v>
      </c>
      <c r="I1496" s="33" t="str">
        <f t="shared" si="23"/>
        <v>Parcial</v>
      </c>
      <c r="J1496" s="26" t="s">
        <v>1362</v>
      </c>
    </row>
    <row r="1497" spans="1:10" ht="16.05" customHeight="1" x14ac:dyDescent="0.3">
      <c r="A1497" s="26" t="s">
        <v>770</v>
      </c>
      <c r="B1497" s="26" t="s">
        <v>1385</v>
      </c>
      <c r="C1497" s="33" t="str">
        <f>IFERROR(INDEX(tbl_requisitos_emb[Tema],MATCH(B1497,tbl_requisitos_emb[ID_Req],0)),"")</f>
        <v>Reciclabilidade (voluntária)</v>
      </c>
      <c r="D1497" s="33" t="str">
        <f>IFERROR(INDEX(tbl_recyclass[Segmento],MATCH(A1497,tbl_recyclass[ProductId],0)),"")</f>
        <v>Cosmética e higiene pessoal</v>
      </c>
      <c r="E1497" s="26" t="s">
        <v>901</v>
      </c>
      <c r="F1497" s="26" t="s">
        <v>1449</v>
      </c>
      <c r="G1497" s="26" t="s">
        <v>978</v>
      </c>
      <c r="H1497" s="33" t="str">
        <f>IF(E1497="Não","Não aplicável",IFERROR(IF(B1497="EU-ENV-002",IF(INDEX(tbl_recyclass[Conforme_PPWR_2030],MATCH(A1497,tbl_recyclass[ProductId],0))="Sim","Conforme (autoavaliação)",IF(INDEX(tbl_recyclass[Conforme_PPWR_2030],MATCH(A1497,tbl_recyclass[ProductId],0))="Não","Não conforme em 2030","Isento até 2035")),IF(B1497="EU-ENV-003",IF(INDEX(tbl_recyclass[Conforme_Art7_2030],MATCH(A1497,tbl_recyclass[ProductId],0))="Sim","Conforme (meta 2030)",IF(INDEX(tbl_recyclass[Conforme_Art7_2030],MATCH(A1497,tbl_recyclass[ProductId],0))="Não","Lacuna face à meta 2030","Isento")),IF(B1497="EU-ENV-011",IF(INDEX(tbl_familias_ppwr[Metais_Pesados_Evidencia],MATCH(INDEX(tbl_recyclass[Familia_PPWR],MATCH(A1497,tbl_recyclass[ProductId],0)),tbl_familias_ppwr[ID_Familia],0))="Em falta","Lacuna","Conforme"),IF(B1497="EU-ENV-013",IF(INDEX(tbl_familias_ppwr[Declaracao_UE],MATCH(INDEX(tbl_recyclass[Familia_PPWR],MATCH(A1497,tbl_recyclass[ProductId],0)),tbl_familias_ppwr[ID_Familia],0))="Sim","Conforme","Lacuna"),G1497)))),G1497))</f>
        <v>Parcial</v>
      </c>
      <c r="I1497" s="33" t="str">
        <f t="shared" si="23"/>
        <v>Parcial</v>
      </c>
      <c r="J1497" s="26" t="s">
        <v>1389</v>
      </c>
    </row>
    <row r="1498" spans="1:10" ht="16.05" customHeight="1" x14ac:dyDescent="0.3">
      <c r="A1498" s="26" t="s">
        <v>772</v>
      </c>
      <c r="B1498" s="26" t="s">
        <v>984</v>
      </c>
      <c r="C1498" s="33" t="str">
        <f>IFERROR(INDEX(tbl_requisitos_emb[Tema],MATCH(B1498,tbl_requisitos_emb[ID_Req],0)),"")</f>
        <v>Conceção para reciclagem</v>
      </c>
      <c r="D1498" s="33" t="str">
        <f>IFERROR(INDEX(tbl_recyclass[Segmento],MATCH(A1498,tbl_recyclass[ProductId],0)),"")</f>
        <v>Cosmética e higiene pessoal</v>
      </c>
      <c r="E1498" s="26" t="s">
        <v>901</v>
      </c>
      <c r="F1498" s="26" t="s">
        <v>1449</v>
      </c>
      <c r="G1498" s="26" t="s">
        <v>978</v>
      </c>
      <c r="H1498" s="33" t="str">
        <f>IF(E1498="Não","Não aplicável",IFERROR(IF(B1498="EU-ENV-002",IF(INDEX(tbl_recyclass[Conforme_PPWR_2030],MATCH(A1498,tbl_recyclass[ProductId],0))="Sim","Conforme (autoavaliação)",IF(INDEX(tbl_recyclass[Conforme_PPWR_2030],MATCH(A1498,tbl_recyclass[ProductId],0))="Não","Não conforme em 2030","Isento até 2035")),IF(B1498="EU-ENV-003",IF(INDEX(tbl_recyclass[Conforme_Art7_2030],MATCH(A1498,tbl_recyclass[ProductId],0))="Sim","Conforme (meta 2030)",IF(INDEX(tbl_recyclass[Conforme_Art7_2030],MATCH(A1498,tbl_recyclass[ProductId],0))="Não","Lacuna face à meta 2030","Isento")),IF(B1498="EU-ENV-011",IF(INDEX(tbl_familias_ppwr[Metais_Pesados_Evidencia],MATCH(INDEX(tbl_recyclass[Familia_PPWR],MATCH(A1498,tbl_recyclass[ProductId],0)),tbl_familias_ppwr[ID_Familia],0))="Em falta","Lacuna","Conforme"),IF(B1498="EU-ENV-013",IF(INDEX(tbl_familias_ppwr[Declaracao_UE],MATCH(INDEX(tbl_recyclass[Familia_PPWR],MATCH(A1498,tbl_recyclass[ProductId],0)),tbl_familias_ppwr[ID_Familia],0))="Sim","Conforme","Lacuna"),G1498)))),G1498))</f>
        <v>Conforme (autoavaliação)</v>
      </c>
      <c r="I1498" s="33" t="str">
        <f t="shared" si="23"/>
        <v>Conforme</v>
      </c>
      <c r="J1498" s="26" t="s">
        <v>991</v>
      </c>
    </row>
    <row r="1499" spans="1:10" ht="16.05" customHeight="1" x14ac:dyDescent="0.3">
      <c r="A1499" s="26" t="s">
        <v>772</v>
      </c>
      <c r="B1499" s="26" t="s">
        <v>997</v>
      </c>
      <c r="C1499" s="33" t="str">
        <f>IFERROR(INDEX(tbl_requisitos_emb[Tema],MATCH(B1499,tbl_requisitos_emb[ID_Req],0)),"")</f>
        <v>Conteúdo reciclado</v>
      </c>
      <c r="D1499" s="33" t="str">
        <f>IFERROR(INDEX(tbl_recyclass[Segmento],MATCH(A1499,tbl_recyclass[ProductId],0)),"")</f>
        <v>Cosmética e higiene pessoal</v>
      </c>
      <c r="E1499" s="26" t="s">
        <v>901</v>
      </c>
      <c r="F1499" s="26" t="s">
        <v>1449</v>
      </c>
      <c r="G1499" s="26" t="s">
        <v>978</v>
      </c>
      <c r="H1499" s="33" t="str">
        <f>IF(E1499="Não","Não aplicável",IFERROR(IF(B1499="EU-ENV-002",IF(INDEX(tbl_recyclass[Conforme_PPWR_2030],MATCH(A1499,tbl_recyclass[ProductId],0))="Sim","Conforme (autoavaliação)",IF(INDEX(tbl_recyclass[Conforme_PPWR_2030],MATCH(A1499,tbl_recyclass[ProductId],0))="Não","Não conforme em 2030","Isento até 2035")),IF(B1499="EU-ENV-003",IF(INDEX(tbl_recyclass[Conforme_Art7_2030],MATCH(A1499,tbl_recyclass[ProductId],0))="Sim","Conforme (meta 2030)",IF(INDEX(tbl_recyclass[Conforme_Art7_2030],MATCH(A1499,tbl_recyclass[ProductId],0))="Não","Lacuna face à meta 2030","Isento")),IF(B1499="EU-ENV-011",IF(INDEX(tbl_familias_ppwr[Metais_Pesados_Evidencia],MATCH(INDEX(tbl_recyclass[Familia_PPWR],MATCH(A1499,tbl_recyclass[ProductId],0)),tbl_familias_ppwr[ID_Familia],0))="Em falta","Lacuna","Conforme"),IF(B1499="EU-ENV-013",IF(INDEX(tbl_familias_ppwr[Declaracao_UE],MATCH(INDEX(tbl_recyclass[Familia_PPWR],MATCH(A1499,tbl_recyclass[ProductId],0)),tbl_familias_ppwr[ID_Familia],0))="Sim","Conforme","Lacuna"),G1499)))),G1499))</f>
        <v>Lacuna face à meta 2030</v>
      </c>
      <c r="I1499" s="33" t="str">
        <f t="shared" si="23"/>
        <v>Lacuna</v>
      </c>
      <c r="J1499" s="26" t="s">
        <v>1001</v>
      </c>
    </row>
    <row r="1500" spans="1:10" ht="16.05" customHeight="1" x14ac:dyDescent="0.3">
      <c r="A1500" s="26" t="s">
        <v>772</v>
      </c>
      <c r="B1500" s="26" t="s">
        <v>1007</v>
      </c>
      <c r="C1500" s="33" t="str">
        <f>IFERROR(INDEX(tbl_requisitos_emb[Tema],MATCH(B1500,tbl_requisitos_emb[ID_Req],0)),"")</f>
        <v>Minimização</v>
      </c>
      <c r="D1500" s="33" t="str">
        <f>IFERROR(INDEX(tbl_recyclass[Segmento],MATCH(A1500,tbl_recyclass[ProductId],0)),"")</f>
        <v>Cosmética e higiene pessoal</v>
      </c>
      <c r="E1500" s="26" t="s">
        <v>901</v>
      </c>
      <c r="F1500" s="26" t="s">
        <v>1449</v>
      </c>
      <c r="G1500" s="26" t="s">
        <v>978</v>
      </c>
      <c r="H1500" s="33" t="str">
        <f>IF(E1500="Não","Não aplicável",IFERROR(IF(B1500="EU-ENV-002",IF(INDEX(tbl_recyclass[Conforme_PPWR_2030],MATCH(A1500,tbl_recyclass[ProductId],0))="Sim","Conforme (autoavaliação)",IF(INDEX(tbl_recyclass[Conforme_PPWR_2030],MATCH(A1500,tbl_recyclass[ProductId],0))="Não","Não conforme em 2030","Isento até 2035")),IF(B1500="EU-ENV-003",IF(INDEX(tbl_recyclass[Conforme_Art7_2030],MATCH(A1500,tbl_recyclass[ProductId],0))="Sim","Conforme (meta 2030)",IF(INDEX(tbl_recyclass[Conforme_Art7_2030],MATCH(A1500,tbl_recyclass[ProductId],0))="Não","Lacuna face à meta 2030","Isento")),IF(B1500="EU-ENV-011",IF(INDEX(tbl_familias_ppwr[Metais_Pesados_Evidencia],MATCH(INDEX(tbl_recyclass[Familia_PPWR],MATCH(A1500,tbl_recyclass[ProductId],0)),tbl_familias_ppwr[ID_Familia],0))="Em falta","Lacuna","Conforme"),IF(B1500="EU-ENV-013",IF(INDEX(tbl_familias_ppwr[Declaracao_UE],MATCH(INDEX(tbl_recyclass[Familia_PPWR],MATCH(A1500,tbl_recyclass[ProductId],0)),tbl_familias_ppwr[ID_Familia],0))="Sim","Conforme","Lacuna"),G1500)))),G1500))</f>
        <v>Parcial</v>
      </c>
      <c r="I1500" s="33" t="str">
        <f t="shared" si="23"/>
        <v>Parcial</v>
      </c>
      <c r="J1500" s="26" t="s">
        <v>1012</v>
      </c>
    </row>
    <row r="1501" spans="1:10" ht="16.05" customHeight="1" x14ac:dyDescent="0.3">
      <c r="A1501" s="26" t="s">
        <v>772</v>
      </c>
      <c r="B1501" s="26" t="s">
        <v>1016</v>
      </c>
      <c r="C1501" s="33" t="str">
        <f>IFERROR(INDEX(tbl_requisitos_emb[Tema],MATCH(B1501,tbl_requisitos_emb[ID_Req],0)),"")</f>
        <v>Rotulagem</v>
      </c>
      <c r="D1501" s="33" t="str">
        <f>IFERROR(INDEX(tbl_recyclass[Segmento],MATCH(A1501,tbl_recyclass[ProductId],0)),"")</f>
        <v>Cosmética e higiene pessoal</v>
      </c>
      <c r="E1501" s="26" t="s">
        <v>901</v>
      </c>
      <c r="F1501" s="26" t="s">
        <v>1449</v>
      </c>
      <c r="G1501" s="26" t="s">
        <v>990</v>
      </c>
      <c r="H1501" s="33" t="str">
        <f>IF(E1501="Não","Não aplicável",IFERROR(IF(B1501="EU-ENV-002",IF(INDEX(tbl_recyclass[Conforme_PPWR_2030],MATCH(A1501,tbl_recyclass[ProductId],0))="Sim","Conforme (autoavaliação)",IF(INDEX(tbl_recyclass[Conforme_PPWR_2030],MATCH(A1501,tbl_recyclass[ProductId],0))="Não","Não conforme em 2030","Isento até 2035")),IF(B1501="EU-ENV-003",IF(INDEX(tbl_recyclass[Conforme_Art7_2030],MATCH(A1501,tbl_recyclass[ProductId],0))="Sim","Conforme (meta 2030)",IF(INDEX(tbl_recyclass[Conforme_Art7_2030],MATCH(A1501,tbl_recyclass[ProductId],0))="Não","Lacuna face à meta 2030","Isento")),IF(B1501="EU-ENV-011",IF(INDEX(tbl_familias_ppwr[Metais_Pesados_Evidencia],MATCH(INDEX(tbl_recyclass[Familia_PPWR],MATCH(A1501,tbl_recyclass[ProductId],0)),tbl_familias_ppwr[ID_Familia],0))="Em falta","Lacuna","Conforme"),IF(B1501="EU-ENV-013",IF(INDEX(tbl_familias_ppwr[Declaracao_UE],MATCH(INDEX(tbl_recyclass[Familia_PPWR],MATCH(A1501,tbl_recyclass[ProductId],0)),tbl_familias_ppwr[ID_Familia],0))="Sim","Conforme","Lacuna"),G1501)))),G1501))</f>
        <v>Futuro</v>
      </c>
      <c r="I1501" s="33" t="str">
        <f t="shared" si="23"/>
        <v>Futuro</v>
      </c>
      <c r="J1501" s="26" t="s">
        <v>1021</v>
      </c>
    </row>
    <row r="1502" spans="1:10" ht="16.05" customHeight="1" x14ac:dyDescent="0.3">
      <c r="A1502" s="26" t="s">
        <v>772</v>
      </c>
      <c r="B1502" s="26" t="s">
        <v>1038</v>
      </c>
      <c r="C1502" s="33" t="str">
        <f>IFERROR(INDEX(tbl_requisitos_emb[Tema],MATCH(B1502,tbl_requisitos_emb[ID_Req],0)),"")</f>
        <v>Plásticos de utilização única</v>
      </c>
      <c r="D1502" s="33" t="str">
        <f>IFERROR(INDEX(tbl_recyclass[Segmento],MATCH(A1502,tbl_recyclass[ProductId],0)),"")</f>
        <v>Cosmética e higiene pessoal</v>
      </c>
      <c r="E1502" s="26" t="s">
        <v>904</v>
      </c>
      <c r="F1502" s="26" t="s">
        <v>1450</v>
      </c>
      <c r="G1502" s="26" t="s">
        <v>1143</v>
      </c>
      <c r="H1502" s="33" t="str">
        <f>IF(E1502="Não","Não aplicável",IFERROR(IF(B1502="EU-ENV-002",IF(INDEX(tbl_recyclass[Conforme_PPWR_2030],MATCH(A1502,tbl_recyclass[ProductId],0))="Sim","Conforme (autoavaliação)",IF(INDEX(tbl_recyclass[Conforme_PPWR_2030],MATCH(A1502,tbl_recyclass[ProductId],0))="Não","Não conforme em 2030","Isento até 2035")),IF(B1502="EU-ENV-003",IF(INDEX(tbl_recyclass[Conforme_Art7_2030],MATCH(A1502,tbl_recyclass[ProductId],0))="Sim","Conforme (meta 2030)",IF(INDEX(tbl_recyclass[Conforme_Art7_2030],MATCH(A1502,tbl_recyclass[ProductId],0))="Não","Lacuna face à meta 2030","Isento")),IF(B1502="EU-ENV-011",IF(INDEX(tbl_familias_ppwr[Metais_Pesados_Evidencia],MATCH(INDEX(tbl_recyclass[Familia_PPWR],MATCH(A1502,tbl_recyclass[ProductId],0)),tbl_familias_ppwr[ID_Familia],0))="Em falta","Lacuna","Conforme"),IF(B1502="EU-ENV-013",IF(INDEX(tbl_familias_ppwr[Declaracao_UE],MATCH(INDEX(tbl_recyclass[Familia_PPWR],MATCH(A1502,tbl_recyclass[ProductId],0)),tbl_familias_ppwr[ID_Familia],0))="Sim","Conforme","Lacuna"),G1502)))),G1502))</f>
        <v>Não aplicável</v>
      </c>
      <c r="I1502" s="33" t="str">
        <f t="shared" si="23"/>
        <v>Não aplicável</v>
      </c>
      <c r="J1502" s="26"/>
    </row>
    <row r="1503" spans="1:10" ht="16.05" customHeight="1" x14ac:dyDescent="0.3">
      <c r="A1503" s="26" t="s">
        <v>772</v>
      </c>
      <c r="B1503" s="26" t="s">
        <v>1078</v>
      </c>
      <c r="C1503" s="33" t="str">
        <f>IFERROR(INDEX(tbl_requisitos_emb[Tema],MATCH(B1503,tbl_requisitos_emb[ID_Req],0)),"")</f>
        <v>Reciclado à escala</v>
      </c>
      <c r="D1503" s="33" t="str">
        <f>IFERROR(INDEX(tbl_recyclass[Segmento],MATCH(A1503,tbl_recyclass[ProductId],0)),"")</f>
        <v>Cosmética e higiene pessoal</v>
      </c>
      <c r="E1503" s="26" t="s">
        <v>901</v>
      </c>
      <c r="F1503" s="26" t="s">
        <v>1449</v>
      </c>
      <c r="G1503" s="26" t="s">
        <v>990</v>
      </c>
      <c r="H1503" s="33" t="str">
        <f>IF(E1503="Não","Não aplicável",IFERROR(IF(B1503="EU-ENV-002",IF(INDEX(tbl_recyclass[Conforme_PPWR_2030],MATCH(A1503,tbl_recyclass[ProductId],0))="Sim","Conforme (autoavaliação)",IF(INDEX(tbl_recyclass[Conforme_PPWR_2030],MATCH(A1503,tbl_recyclass[ProductId],0))="Não","Não conforme em 2030","Isento até 2035")),IF(B1503="EU-ENV-003",IF(INDEX(tbl_recyclass[Conforme_Art7_2030],MATCH(A1503,tbl_recyclass[ProductId],0))="Sim","Conforme (meta 2030)",IF(INDEX(tbl_recyclass[Conforme_Art7_2030],MATCH(A1503,tbl_recyclass[ProductId],0))="Não","Lacuna face à meta 2030","Isento")),IF(B1503="EU-ENV-011",IF(INDEX(tbl_familias_ppwr[Metais_Pesados_Evidencia],MATCH(INDEX(tbl_recyclass[Familia_PPWR],MATCH(A1503,tbl_recyclass[ProductId],0)),tbl_familias_ppwr[ID_Familia],0))="Em falta","Lacuna","Conforme"),IF(B1503="EU-ENV-013",IF(INDEX(tbl_familias_ppwr[Declaracao_UE],MATCH(INDEX(tbl_recyclass[Familia_PPWR],MATCH(A1503,tbl_recyclass[ProductId],0)),tbl_familias_ppwr[ID_Familia],0))="Sim","Conforme","Lacuna"),G1503)))),G1503))</f>
        <v>Futuro</v>
      </c>
      <c r="I1503" s="33" t="str">
        <f t="shared" si="23"/>
        <v>Futuro</v>
      </c>
      <c r="J1503" s="26" t="s">
        <v>1082</v>
      </c>
    </row>
    <row r="1504" spans="1:10" ht="16.05" customHeight="1" x14ac:dyDescent="0.3">
      <c r="A1504" s="26" t="s">
        <v>772</v>
      </c>
      <c r="B1504" s="26" t="s">
        <v>1086</v>
      </c>
      <c r="C1504" s="33" t="str">
        <f>IFERROR(INDEX(tbl_requisitos_emb[Tema],MATCH(B1504,tbl_requisitos_emb[ID_Req],0)),"")</f>
        <v>Metais pesados</v>
      </c>
      <c r="D1504" s="33" t="str">
        <f>IFERROR(INDEX(tbl_recyclass[Segmento],MATCH(A1504,tbl_recyclass[ProductId],0)),"")</f>
        <v>Cosmética e higiene pessoal</v>
      </c>
      <c r="E1504" s="26" t="s">
        <v>901</v>
      </c>
      <c r="F1504" s="26" t="s">
        <v>1449</v>
      </c>
      <c r="G1504" s="26" t="s">
        <v>978</v>
      </c>
      <c r="H1504" s="33" t="str">
        <f>IF(E1504="Não","Não aplicável",IFERROR(IF(B1504="EU-ENV-002",IF(INDEX(tbl_recyclass[Conforme_PPWR_2030],MATCH(A1504,tbl_recyclass[ProductId],0))="Sim","Conforme (autoavaliação)",IF(INDEX(tbl_recyclass[Conforme_PPWR_2030],MATCH(A1504,tbl_recyclass[ProductId],0))="Não","Não conforme em 2030","Isento até 2035")),IF(B1504="EU-ENV-003",IF(INDEX(tbl_recyclass[Conforme_Art7_2030],MATCH(A1504,tbl_recyclass[ProductId],0))="Sim","Conforme (meta 2030)",IF(INDEX(tbl_recyclass[Conforme_Art7_2030],MATCH(A1504,tbl_recyclass[ProductId],0))="Não","Lacuna face à meta 2030","Isento")),IF(B1504="EU-ENV-011",IF(INDEX(tbl_familias_ppwr[Metais_Pesados_Evidencia],MATCH(INDEX(tbl_recyclass[Familia_PPWR],MATCH(A1504,tbl_recyclass[ProductId],0)),tbl_familias_ppwr[ID_Familia],0))="Em falta","Lacuna","Conforme"),IF(B1504="EU-ENV-013",IF(INDEX(tbl_familias_ppwr[Declaracao_UE],MATCH(INDEX(tbl_recyclass[Familia_PPWR],MATCH(A1504,tbl_recyclass[ProductId],0)),tbl_familias_ppwr[ID_Familia],0))="Sim","Conforme","Lacuna"),G1504)))),G1504))</f>
        <v>Conforme</v>
      </c>
      <c r="I1504" s="33" t="str">
        <f t="shared" si="23"/>
        <v>Conforme</v>
      </c>
      <c r="J1504" s="26" t="s">
        <v>1090</v>
      </c>
    </row>
    <row r="1505" spans="1:10" ht="16.05" customHeight="1" x14ac:dyDescent="0.3">
      <c r="A1505" s="26" t="s">
        <v>772</v>
      </c>
      <c r="B1505" s="26" t="s">
        <v>1094</v>
      </c>
      <c r="C1505" s="33" t="str">
        <f>IFERROR(INDEX(tbl_requisitos_emb[Tema],MATCH(B1505,tbl_requisitos_emb[ID_Req],0)),"")</f>
        <v>PFAS</v>
      </c>
      <c r="D1505" s="33" t="str">
        <f>IFERROR(INDEX(tbl_recyclass[Segmento],MATCH(A1505,tbl_recyclass[ProductId],0)),"")</f>
        <v>Cosmética e higiene pessoal</v>
      </c>
      <c r="E1505" s="26" t="s">
        <v>904</v>
      </c>
      <c r="F1505" s="26" t="s">
        <v>1450</v>
      </c>
      <c r="G1505" s="26" t="s">
        <v>1143</v>
      </c>
      <c r="H1505" s="33" t="str">
        <f>IF(E1505="Não","Não aplicável",IFERROR(IF(B1505="EU-ENV-002",IF(INDEX(tbl_recyclass[Conforme_PPWR_2030],MATCH(A1505,tbl_recyclass[ProductId],0))="Sim","Conforme (autoavaliação)",IF(INDEX(tbl_recyclass[Conforme_PPWR_2030],MATCH(A1505,tbl_recyclass[ProductId],0))="Não","Não conforme em 2030","Isento até 2035")),IF(B1505="EU-ENV-003",IF(INDEX(tbl_recyclass[Conforme_Art7_2030],MATCH(A1505,tbl_recyclass[ProductId],0))="Sim","Conforme (meta 2030)",IF(INDEX(tbl_recyclass[Conforme_Art7_2030],MATCH(A1505,tbl_recyclass[ProductId],0))="Não","Lacuna face à meta 2030","Isento")),IF(B1505="EU-ENV-011",IF(INDEX(tbl_familias_ppwr[Metais_Pesados_Evidencia],MATCH(INDEX(tbl_recyclass[Familia_PPWR],MATCH(A1505,tbl_recyclass[ProductId],0)),tbl_familias_ppwr[ID_Familia],0))="Em falta","Lacuna","Conforme"),IF(B1505="EU-ENV-013",IF(INDEX(tbl_familias_ppwr[Declaracao_UE],MATCH(INDEX(tbl_recyclass[Familia_PPWR],MATCH(A1505,tbl_recyclass[ProductId],0)),tbl_familias_ppwr[ID_Familia],0))="Sim","Conforme","Lacuna"),G1505)))),G1505))</f>
        <v>Não aplicável</v>
      </c>
      <c r="I1505" s="33" t="str">
        <f t="shared" si="23"/>
        <v>Não aplicável</v>
      </c>
      <c r="J1505" s="26"/>
    </row>
    <row r="1506" spans="1:10" ht="16.05" customHeight="1" x14ac:dyDescent="0.3">
      <c r="A1506" s="26" t="s">
        <v>772</v>
      </c>
      <c r="B1506" s="26" t="s">
        <v>1102</v>
      </c>
      <c r="C1506" s="33" t="str">
        <f>IFERROR(INDEX(tbl_requisitos_emb[Tema],MATCH(B1506,tbl_requisitos_emb[ID_Req],0)),"")</f>
        <v>Documentação técnica e declaração UE</v>
      </c>
      <c r="D1506" s="33" t="str">
        <f>IFERROR(INDEX(tbl_recyclass[Segmento],MATCH(A1506,tbl_recyclass[ProductId],0)),"")</f>
        <v>Cosmética e higiene pessoal</v>
      </c>
      <c r="E1506" s="26" t="s">
        <v>901</v>
      </c>
      <c r="F1506" s="26" t="s">
        <v>1449</v>
      </c>
      <c r="G1506" s="26" t="s">
        <v>978</v>
      </c>
      <c r="H1506" s="33" t="str">
        <f>IF(E1506="Não","Não aplicável",IFERROR(IF(B1506="EU-ENV-002",IF(INDEX(tbl_recyclass[Conforme_PPWR_2030],MATCH(A1506,tbl_recyclass[ProductId],0))="Sim","Conforme (autoavaliação)",IF(INDEX(tbl_recyclass[Conforme_PPWR_2030],MATCH(A1506,tbl_recyclass[ProductId],0))="Não","Não conforme em 2030","Isento até 2035")),IF(B1506="EU-ENV-003",IF(INDEX(tbl_recyclass[Conforme_Art7_2030],MATCH(A1506,tbl_recyclass[ProductId],0))="Sim","Conforme (meta 2030)",IF(INDEX(tbl_recyclass[Conforme_Art7_2030],MATCH(A1506,tbl_recyclass[ProductId],0))="Não","Lacuna face à meta 2030","Isento")),IF(B1506="EU-ENV-011",IF(INDEX(tbl_familias_ppwr[Metais_Pesados_Evidencia],MATCH(INDEX(tbl_recyclass[Familia_PPWR],MATCH(A1506,tbl_recyclass[ProductId],0)),tbl_familias_ppwr[ID_Familia],0))="Em falta","Lacuna","Conforme"),IF(B1506="EU-ENV-013",IF(INDEX(tbl_familias_ppwr[Declaracao_UE],MATCH(INDEX(tbl_recyclass[Familia_PPWR],MATCH(A1506,tbl_recyclass[ProductId],0)),tbl_familias_ppwr[ID_Familia],0))="Sim","Conforme","Lacuna"),G1506)))),G1506))</f>
        <v>Conforme</v>
      </c>
      <c r="I1506" s="33" t="str">
        <f t="shared" si="23"/>
        <v>Conforme</v>
      </c>
      <c r="J1506" s="26" t="s">
        <v>1106</v>
      </c>
    </row>
    <row r="1507" spans="1:10" ht="16.05" customHeight="1" x14ac:dyDescent="0.3">
      <c r="A1507" s="26" t="s">
        <v>772</v>
      </c>
      <c r="B1507" s="26" t="s">
        <v>1161</v>
      </c>
      <c r="C1507" s="33" t="str">
        <f>IFERROR(INDEX(tbl_requisitos_emb[Tema],MATCH(B1507,tbl_requisitos_emb[ID_Req],0)),"")</f>
        <v>Materiais em contacto com alimentos</v>
      </c>
      <c r="D1507" s="33" t="str">
        <f>IFERROR(INDEX(tbl_recyclass[Segmento],MATCH(A1507,tbl_recyclass[ProductId],0)),"")</f>
        <v>Cosmética e higiene pessoal</v>
      </c>
      <c r="E1507" s="26" t="s">
        <v>904</v>
      </c>
      <c r="F1507" s="26" t="s">
        <v>1450</v>
      </c>
      <c r="G1507" s="26" t="s">
        <v>1143</v>
      </c>
      <c r="H1507" s="33" t="str">
        <f>IF(E1507="Não","Não aplicável",IFERROR(IF(B1507="EU-ENV-002",IF(INDEX(tbl_recyclass[Conforme_PPWR_2030],MATCH(A1507,tbl_recyclass[ProductId],0))="Sim","Conforme (autoavaliação)",IF(INDEX(tbl_recyclass[Conforme_PPWR_2030],MATCH(A1507,tbl_recyclass[ProductId],0))="Não","Não conforme em 2030","Isento até 2035")),IF(B1507="EU-ENV-003",IF(INDEX(tbl_recyclass[Conforme_Art7_2030],MATCH(A1507,tbl_recyclass[ProductId],0))="Sim","Conforme (meta 2030)",IF(INDEX(tbl_recyclass[Conforme_Art7_2030],MATCH(A1507,tbl_recyclass[ProductId],0))="Não","Lacuna face à meta 2030","Isento")),IF(B1507="EU-ENV-011",IF(INDEX(tbl_familias_ppwr[Metais_Pesados_Evidencia],MATCH(INDEX(tbl_recyclass[Familia_PPWR],MATCH(A1507,tbl_recyclass[ProductId],0)),tbl_familias_ppwr[ID_Familia],0))="Em falta","Lacuna","Conforme"),IF(B1507="EU-ENV-013",IF(INDEX(tbl_familias_ppwr[Declaracao_UE],MATCH(INDEX(tbl_recyclass[Familia_PPWR],MATCH(A1507,tbl_recyclass[ProductId],0)),tbl_familias_ppwr[ID_Familia],0))="Sim","Conforme","Lacuna"),G1507)))),G1507))</f>
        <v>Não aplicável</v>
      </c>
      <c r="I1507" s="33" t="str">
        <f t="shared" si="23"/>
        <v>Não aplicável</v>
      </c>
      <c r="J1507" s="26"/>
    </row>
    <row r="1508" spans="1:10" ht="16.05" customHeight="1" x14ac:dyDescent="0.3">
      <c r="A1508" s="26" t="s">
        <v>772</v>
      </c>
      <c r="B1508" s="26" t="s">
        <v>1170</v>
      </c>
      <c r="C1508" s="33" t="str">
        <f>IFERROR(INDEX(tbl_requisitos_emb[Tema],MATCH(B1508,tbl_requisitos_emb[ID_Req],0)),"")</f>
        <v>Boas práticas de fabrico FCM</v>
      </c>
      <c r="D1508" s="33" t="str">
        <f>IFERROR(INDEX(tbl_recyclass[Segmento],MATCH(A1508,tbl_recyclass[ProductId],0)),"")</f>
        <v>Cosmética e higiene pessoal</v>
      </c>
      <c r="E1508" s="26" t="s">
        <v>904</v>
      </c>
      <c r="F1508" s="26" t="s">
        <v>1450</v>
      </c>
      <c r="G1508" s="26" t="s">
        <v>1143</v>
      </c>
      <c r="H1508" s="33" t="str">
        <f>IF(E1508="Não","Não aplicável",IFERROR(IF(B1508="EU-ENV-002",IF(INDEX(tbl_recyclass[Conforme_PPWR_2030],MATCH(A1508,tbl_recyclass[ProductId],0))="Sim","Conforme (autoavaliação)",IF(INDEX(tbl_recyclass[Conforme_PPWR_2030],MATCH(A1508,tbl_recyclass[ProductId],0))="Não","Não conforme em 2030","Isento até 2035")),IF(B1508="EU-ENV-003",IF(INDEX(tbl_recyclass[Conforme_Art7_2030],MATCH(A1508,tbl_recyclass[ProductId],0))="Sim","Conforme (meta 2030)",IF(INDEX(tbl_recyclass[Conforme_Art7_2030],MATCH(A1508,tbl_recyclass[ProductId],0))="Não","Lacuna face à meta 2030","Isento")),IF(B1508="EU-ENV-011",IF(INDEX(tbl_familias_ppwr[Metais_Pesados_Evidencia],MATCH(INDEX(tbl_recyclass[Familia_PPWR],MATCH(A1508,tbl_recyclass[ProductId],0)),tbl_familias_ppwr[ID_Familia],0))="Em falta","Lacuna","Conforme"),IF(B1508="EU-ENV-013",IF(INDEX(tbl_familias_ppwr[Declaracao_UE],MATCH(INDEX(tbl_recyclass[Familia_PPWR],MATCH(A1508,tbl_recyclass[ProductId],0)),tbl_familias_ppwr[ID_Familia],0))="Sim","Conforme","Lacuna"),G1508)))),G1508))</f>
        <v>Não aplicável</v>
      </c>
      <c r="I1508" s="33" t="str">
        <f t="shared" si="23"/>
        <v>Não aplicável</v>
      </c>
      <c r="J1508" s="26"/>
    </row>
    <row r="1509" spans="1:10" ht="16.05" customHeight="1" x14ac:dyDescent="0.3">
      <c r="A1509" s="26" t="s">
        <v>772</v>
      </c>
      <c r="B1509" s="26" t="s">
        <v>1179</v>
      </c>
      <c r="C1509" s="33" t="str">
        <f>IFERROR(INDEX(tbl_requisitos_emb[Tema],MATCH(B1509,tbl_requisitos_emb[ID_Req],0)),"")</f>
        <v>Bisfenol A e bisfenóis perigosos</v>
      </c>
      <c r="D1509" s="33" t="str">
        <f>IFERROR(INDEX(tbl_recyclass[Segmento],MATCH(A1509,tbl_recyclass[ProductId],0)),"")</f>
        <v>Cosmética e higiene pessoal</v>
      </c>
      <c r="E1509" s="26" t="s">
        <v>904</v>
      </c>
      <c r="F1509" s="26" t="s">
        <v>1450</v>
      </c>
      <c r="G1509" s="26" t="s">
        <v>1143</v>
      </c>
      <c r="H1509" s="33" t="str">
        <f>IF(E1509="Não","Não aplicável",IFERROR(IF(B1509="EU-ENV-002",IF(INDEX(tbl_recyclass[Conforme_PPWR_2030],MATCH(A1509,tbl_recyclass[ProductId],0))="Sim","Conforme (autoavaliação)",IF(INDEX(tbl_recyclass[Conforme_PPWR_2030],MATCH(A1509,tbl_recyclass[ProductId],0))="Não","Não conforme em 2030","Isento até 2035")),IF(B1509="EU-ENV-003",IF(INDEX(tbl_recyclass[Conforme_Art7_2030],MATCH(A1509,tbl_recyclass[ProductId],0))="Sim","Conforme (meta 2030)",IF(INDEX(tbl_recyclass[Conforme_Art7_2030],MATCH(A1509,tbl_recyclass[ProductId],0))="Não","Lacuna face à meta 2030","Isento")),IF(B1509="EU-ENV-011",IF(INDEX(tbl_familias_ppwr[Metais_Pesados_Evidencia],MATCH(INDEX(tbl_recyclass[Familia_PPWR],MATCH(A1509,tbl_recyclass[ProductId],0)),tbl_familias_ppwr[ID_Familia],0))="Em falta","Lacuna","Conforme"),IF(B1509="EU-ENV-013",IF(INDEX(tbl_familias_ppwr[Declaracao_UE],MATCH(INDEX(tbl_recyclass[Familia_PPWR],MATCH(A1509,tbl_recyclass[ProductId],0)),tbl_familias_ppwr[ID_Familia],0))="Sim","Conforme","Lacuna"),G1509)))),G1509))</f>
        <v>Não aplicável</v>
      </c>
      <c r="I1509" s="33" t="str">
        <f t="shared" si="23"/>
        <v>Não aplicável</v>
      </c>
      <c r="J1509" s="26"/>
    </row>
    <row r="1510" spans="1:10" ht="16.05" customHeight="1" x14ac:dyDescent="0.3">
      <c r="A1510" s="26" t="s">
        <v>772</v>
      </c>
      <c r="B1510" s="26" t="s">
        <v>1188</v>
      </c>
      <c r="C1510" s="33" t="str">
        <f>IFERROR(INDEX(tbl_requisitos_emb[Tema],MATCH(B1510,tbl_requisitos_emb[ID_Req],0)),"")</f>
        <v>Plásticos em contacto com alimentos</v>
      </c>
      <c r="D1510" s="33" t="str">
        <f>IFERROR(INDEX(tbl_recyclass[Segmento],MATCH(A1510,tbl_recyclass[ProductId],0)),"")</f>
        <v>Cosmética e higiene pessoal</v>
      </c>
      <c r="E1510" s="26" t="s">
        <v>904</v>
      </c>
      <c r="F1510" s="26" t="s">
        <v>1450</v>
      </c>
      <c r="G1510" s="26" t="s">
        <v>1143</v>
      </c>
      <c r="H1510" s="33" t="str">
        <f>IF(E1510="Não","Não aplicável",IFERROR(IF(B1510="EU-ENV-002",IF(INDEX(tbl_recyclass[Conforme_PPWR_2030],MATCH(A1510,tbl_recyclass[ProductId],0))="Sim","Conforme (autoavaliação)",IF(INDEX(tbl_recyclass[Conforme_PPWR_2030],MATCH(A1510,tbl_recyclass[ProductId],0))="Não","Não conforme em 2030","Isento até 2035")),IF(B1510="EU-ENV-003",IF(INDEX(tbl_recyclass[Conforme_Art7_2030],MATCH(A1510,tbl_recyclass[ProductId],0))="Sim","Conforme (meta 2030)",IF(INDEX(tbl_recyclass[Conforme_Art7_2030],MATCH(A1510,tbl_recyclass[ProductId],0))="Não","Lacuna face à meta 2030","Isento")),IF(B1510="EU-ENV-011",IF(INDEX(tbl_familias_ppwr[Metais_Pesados_Evidencia],MATCH(INDEX(tbl_recyclass[Familia_PPWR],MATCH(A1510,tbl_recyclass[ProductId],0)),tbl_familias_ppwr[ID_Familia],0))="Em falta","Lacuna","Conforme"),IF(B1510="EU-ENV-013",IF(INDEX(tbl_familias_ppwr[Declaracao_UE],MATCH(INDEX(tbl_recyclass[Familia_PPWR],MATCH(A1510,tbl_recyclass[ProductId],0)),tbl_familias_ppwr[ID_Familia],0))="Sim","Conforme","Lacuna"),G1510)))),G1510))</f>
        <v>Não aplicável</v>
      </c>
      <c r="I1510" s="33" t="str">
        <f t="shared" si="23"/>
        <v>Não aplicável</v>
      </c>
      <c r="J1510" s="26"/>
    </row>
    <row r="1511" spans="1:10" ht="16.05" customHeight="1" x14ac:dyDescent="0.3">
      <c r="A1511" s="26" t="s">
        <v>772</v>
      </c>
      <c r="B1511" s="26" t="s">
        <v>1212</v>
      </c>
      <c r="C1511" s="33" t="str">
        <f>IFERROR(INDEX(tbl_requisitos_emb[Tema],MATCH(B1511,tbl_requisitos_emb[ID_Req],0)),"")</f>
        <v>Segurança do produto cosmético</v>
      </c>
      <c r="D1511" s="33" t="str">
        <f>IFERROR(INDEX(tbl_recyclass[Segmento],MATCH(A1511,tbl_recyclass[ProductId],0)),"")</f>
        <v>Cosmética e higiene pessoal</v>
      </c>
      <c r="E1511" s="26" t="s">
        <v>901</v>
      </c>
      <c r="F1511" s="26" t="s">
        <v>1449</v>
      </c>
      <c r="G1511" s="26" t="s">
        <v>1033</v>
      </c>
      <c r="H1511" s="33" t="str">
        <f>IF(E1511="Não","Não aplicável",IFERROR(IF(B1511="EU-ENV-002",IF(INDEX(tbl_recyclass[Conforme_PPWR_2030],MATCH(A1511,tbl_recyclass[ProductId],0))="Sim","Conforme (autoavaliação)",IF(INDEX(tbl_recyclass[Conforme_PPWR_2030],MATCH(A1511,tbl_recyclass[ProductId],0))="Não","Não conforme em 2030","Isento até 2035")),IF(B1511="EU-ENV-003",IF(INDEX(tbl_recyclass[Conforme_Art7_2030],MATCH(A1511,tbl_recyclass[ProductId],0))="Sim","Conforme (meta 2030)",IF(INDEX(tbl_recyclass[Conforme_Art7_2030],MATCH(A1511,tbl_recyclass[ProductId],0))="Não","Lacuna face à meta 2030","Isento")),IF(B1511="EU-ENV-011",IF(INDEX(tbl_familias_ppwr[Metais_Pesados_Evidencia],MATCH(INDEX(tbl_recyclass[Familia_PPWR],MATCH(A1511,tbl_recyclass[ProductId],0)),tbl_familias_ppwr[ID_Familia],0))="Em falta","Lacuna","Conforme"),IF(B1511="EU-ENV-013",IF(INDEX(tbl_familias_ppwr[Declaracao_UE],MATCH(INDEX(tbl_recyclass[Familia_PPWR],MATCH(A1511,tbl_recyclass[ProductId],0)),tbl_familias_ppwr[ID_Familia],0))="Sim","Conforme","Lacuna"),G1511)))),G1511))</f>
        <v>Conforme</v>
      </c>
      <c r="I1511" s="33" t="str">
        <f t="shared" si="23"/>
        <v>Conforme</v>
      </c>
      <c r="J1511" s="26" t="s">
        <v>1221</v>
      </c>
    </row>
    <row r="1512" spans="1:10" ht="16.05" customHeight="1" x14ac:dyDescent="0.3">
      <c r="A1512" s="26" t="s">
        <v>772</v>
      </c>
      <c r="B1512" s="26" t="s">
        <v>1224</v>
      </c>
      <c r="C1512" s="33" t="str">
        <f>IFERROR(INDEX(tbl_requisitos_emb[Tema],MATCH(B1512,tbl_requisitos_emb[ID_Req],0)),"")</f>
        <v>Materiais e impurezas</v>
      </c>
      <c r="D1512" s="33" t="str">
        <f>IFERROR(INDEX(tbl_recyclass[Segmento],MATCH(A1512,tbl_recyclass[ProductId],0)),"")</f>
        <v>Cosmética e higiene pessoal</v>
      </c>
      <c r="E1512" s="26" t="s">
        <v>901</v>
      </c>
      <c r="F1512" s="26" t="s">
        <v>1449</v>
      </c>
      <c r="G1512" s="26" t="s">
        <v>978</v>
      </c>
      <c r="H1512" s="33" t="str">
        <f>IF(E1512="Não","Não aplicável",IFERROR(IF(B1512="EU-ENV-002",IF(INDEX(tbl_recyclass[Conforme_PPWR_2030],MATCH(A1512,tbl_recyclass[ProductId],0))="Sim","Conforme (autoavaliação)",IF(INDEX(tbl_recyclass[Conforme_PPWR_2030],MATCH(A1512,tbl_recyclass[ProductId],0))="Não","Não conforme em 2030","Isento até 2035")),IF(B1512="EU-ENV-003",IF(INDEX(tbl_recyclass[Conforme_Art7_2030],MATCH(A1512,tbl_recyclass[ProductId],0))="Sim","Conforme (meta 2030)",IF(INDEX(tbl_recyclass[Conforme_Art7_2030],MATCH(A1512,tbl_recyclass[ProductId],0))="Não","Lacuna face à meta 2030","Isento")),IF(B1512="EU-ENV-011",IF(INDEX(tbl_familias_ppwr[Metais_Pesados_Evidencia],MATCH(INDEX(tbl_recyclass[Familia_PPWR],MATCH(A1512,tbl_recyclass[ProductId],0)),tbl_familias_ppwr[ID_Familia],0))="Em falta","Lacuna","Conforme"),IF(B1512="EU-ENV-013",IF(INDEX(tbl_familias_ppwr[Declaracao_UE],MATCH(INDEX(tbl_recyclass[Familia_PPWR],MATCH(A1512,tbl_recyclass[ProductId],0)),tbl_familias_ppwr[ID_Familia],0))="Sim","Conforme","Lacuna"),G1512)))),G1512))</f>
        <v>Parcial</v>
      </c>
      <c r="I1512" s="33" t="str">
        <f t="shared" si="23"/>
        <v>Parcial</v>
      </c>
      <c r="J1512" s="26" t="s">
        <v>1228</v>
      </c>
    </row>
    <row r="1513" spans="1:10" ht="16.05" customHeight="1" x14ac:dyDescent="0.3">
      <c r="A1513" s="26" t="s">
        <v>772</v>
      </c>
      <c r="B1513" s="26" t="s">
        <v>1240</v>
      </c>
      <c r="C1513" s="33" t="str">
        <f>IFERROR(INDEX(tbl_requisitos_emb[Tema],MATCH(B1513,tbl_requisitos_emb[ID_Req],0)),"")</f>
        <v>Compatibilidade embalagem–produto</v>
      </c>
      <c r="D1513" s="33" t="str">
        <f>IFERROR(INDEX(tbl_recyclass[Segmento],MATCH(A1513,tbl_recyclass[ProductId],0)),"")</f>
        <v>Cosmética e higiene pessoal</v>
      </c>
      <c r="E1513" s="26" t="s">
        <v>901</v>
      </c>
      <c r="F1513" s="26" t="s">
        <v>1449</v>
      </c>
      <c r="G1513" s="26" t="s">
        <v>1033</v>
      </c>
      <c r="H1513" s="33" t="str">
        <f>IF(E1513="Não","Não aplicável",IFERROR(IF(B1513="EU-ENV-002",IF(INDEX(tbl_recyclass[Conforme_PPWR_2030],MATCH(A1513,tbl_recyclass[ProductId],0))="Sim","Conforme (autoavaliação)",IF(INDEX(tbl_recyclass[Conforme_PPWR_2030],MATCH(A1513,tbl_recyclass[ProductId],0))="Não","Não conforme em 2030","Isento até 2035")),IF(B1513="EU-ENV-003",IF(INDEX(tbl_recyclass[Conforme_Art7_2030],MATCH(A1513,tbl_recyclass[ProductId],0))="Sim","Conforme (meta 2030)",IF(INDEX(tbl_recyclass[Conforme_Art7_2030],MATCH(A1513,tbl_recyclass[ProductId],0))="Não","Lacuna face à meta 2030","Isento")),IF(B1513="EU-ENV-011",IF(INDEX(tbl_familias_ppwr[Metais_Pesados_Evidencia],MATCH(INDEX(tbl_recyclass[Familia_PPWR],MATCH(A1513,tbl_recyclass[ProductId],0)),tbl_familias_ppwr[ID_Familia],0))="Em falta","Lacuna","Conforme"),IF(B1513="EU-ENV-013",IF(INDEX(tbl_familias_ppwr[Declaracao_UE],MATCH(INDEX(tbl_recyclass[Familia_PPWR],MATCH(A1513,tbl_recyclass[ProductId],0)),tbl_familias_ppwr[ID_Familia],0))="Sim","Conforme","Lacuna"),G1513)))),G1513))</f>
        <v>Conforme</v>
      </c>
      <c r="I1513" s="33" t="str">
        <f t="shared" si="23"/>
        <v>Conforme</v>
      </c>
      <c r="J1513" s="26" t="s">
        <v>1244</v>
      </c>
    </row>
    <row r="1514" spans="1:10" ht="16.05" customHeight="1" x14ac:dyDescent="0.3">
      <c r="A1514" s="26" t="s">
        <v>772</v>
      </c>
      <c r="B1514" s="26" t="s">
        <v>1252</v>
      </c>
      <c r="C1514" s="33" t="str">
        <f>IFERROR(INDEX(tbl_requisitos_emb[Tema],MATCH(B1514,tbl_requisitos_emb[ID_Req],0)),"")</f>
        <v>Medicamentos de uso humano</v>
      </c>
      <c r="D1514" s="33" t="str">
        <f>IFERROR(INDEX(tbl_recyclass[Segmento],MATCH(A1514,tbl_recyclass[ProductId],0)),"")</f>
        <v>Cosmética e higiene pessoal</v>
      </c>
      <c r="E1514" s="26" t="s">
        <v>904</v>
      </c>
      <c r="F1514" s="26" t="s">
        <v>1451</v>
      </c>
      <c r="G1514" s="26" t="s">
        <v>1143</v>
      </c>
      <c r="H1514" s="33" t="str">
        <f>IF(E1514="Não","Não aplicável",IFERROR(IF(B1514="EU-ENV-002",IF(INDEX(tbl_recyclass[Conforme_PPWR_2030],MATCH(A1514,tbl_recyclass[ProductId],0))="Sim","Conforme (autoavaliação)",IF(INDEX(tbl_recyclass[Conforme_PPWR_2030],MATCH(A1514,tbl_recyclass[ProductId],0))="Não","Não conforme em 2030","Isento até 2035")),IF(B1514="EU-ENV-003",IF(INDEX(tbl_recyclass[Conforme_Art7_2030],MATCH(A1514,tbl_recyclass[ProductId],0))="Sim","Conforme (meta 2030)",IF(INDEX(tbl_recyclass[Conforme_Art7_2030],MATCH(A1514,tbl_recyclass[ProductId],0))="Não","Lacuna face à meta 2030","Isento")),IF(B1514="EU-ENV-011",IF(INDEX(tbl_familias_ppwr[Metais_Pesados_Evidencia],MATCH(INDEX(tbl_recyclass[Familia_PPWR],MATCH(A1514,tbl_recyclass[ProductId],0)),tbl_familias_ppwr[ID_Familia],0))="Em falta","Lacuna","Conforme"),IF(B1514="EU-ENV-013",IF(INDEX(tbl_familias_ppwr[Declaracao_UE],MATCH(INDEX(tbl_recyclass[Familia_PPWR],MATCH(A1514,tbl_recyclass[ProductId],0)),tbl_familias_ppwr[ID_Familia],0))="Sim","Conforme","Lacuna"),G1514)))),G1514))</f>
        <v>Não aplicável</v>
      </c>
      <c r="I1514" s="33" t="str">
        <f t="shared" si="23"/>
        <v>Não aplicável</v>
      </c>
      <c r="J1514" s="26"/>
    </row>
    <row r="1515" spans="1:10" ht="16.05" customHeight="1" x14ac:dyDescent="0.3">
      <c r="A1515" s="26" t="s">
        <v>772</v>
      </c>
      <c r="B1515" s="26" t="s">
        <v>1268</v>
      </c>
      <c r="C1515" s="33" t="str">
        <f>IFERROR(INDEX(tbl_requisitos_emb[Tema],MATCH(B1515,tbl_requisitos_emb[ID_Req],0)),"")</f>
        <v>Dispositivos de segurança</v>
      </c>
      <c r="D1515" s="33" t="str">
        <f>IFERROR(INDEX(tbl_recyclass[Segmento],MATCH(A1515,tbl_recyclass[ProductId],0)),"")</f>
        <v>Cosmética e higiene pessoal</v>
      </c>
      <c r="E1515" s="26" t="s">
        <v>904</v>
      </c>
      <c r="F1515" s="26" t="s">
        <v>1451</v>
      </c>
      <c r="G1515" s="26" t="s">
        <v>1143</v>
      </c>
      <c r="H1515" s="33" t="str">
        <f>IF(E1515="Não","Não aplicável",IFERROR(IF(B1515="EU-ENV-002",IF(INDEX(tbl_recyclass[Conforme_PPWR_2030],MATCH(A1515,tbl_recyclass[ProductId],0))="Sim","Conforme (autoavaliação)",IF(INDEX(tbl_recyclass[Conforme_PPWR_2030],MATCH(A1515,tbl_recyclass[ProductId],0))="Não","Não conforme em 2030","Isento até 2035")),IF(B1515="EU-ENV-003",IF(INDEX(tbl_recyclass[Conforme_Art7_2030],MATCH(A1515,tbl_recyclass[ProductId],0))="Sim","Conforme (meta 2030)",IF(INDEX(tbl_recyclass[Conforme_Art7_2030],MATCH(A1515,tbl_recyclass[ProductId],0))="Não","Lacuna face à meta 2030","Isento")),IF(B1515="EU-ENV-011",IF(INDEX(tbl_familias_ppwr[Metais_Pesados_Evidencia],MATCH(INDEX(tbl_recyclass[Familia_PPWR],MATCH(A1515,tbl_recyclass[ProductId],0)),tbl_familias_ppwr[ID_Familia],0))="Em falta","Lacuna","Conforme"),IF(B1515="EU-ENV-013",IF(INDEX(tbl_familias_ppwr[Declaracao_UE],MATCH(INDEX(tbl_recyclass[Familia_PPWR],MATCH(A1515,tbl_recyclass[ProductId],0)),tbl_familias_ppwr[ID_Familia],0))="Sim","Conforme","Lacuna"),G1515)))),G1515))</f>
        <v>Não aplicável</v>
      </c>
      <c r="I1515" s="33" t="str">
        <f t="shared" si="23"/>
        <v>Não aplicável</v>
      </c>
      <c r="J1515" s="26"/>
    </row>
    <row r="1516" spans="1:10" ht="16.05" customHeight="1" x14ac:dyDescent="0.3">
      <c r="A1516" s="26" t="s">
        <v>772</v>
      </c>
      <c r="B1516" s="26" t="s">
        <v>1285</v>
      </c>
      <c r="C1516" s="33" t="str">
        <f>IFERROR(INDEX(tbl_requisitos_emb[Tema],MATCH(B1516,tbl_requisitos_emb[ID_Req],0)),"")</f>
        <v>Materiais plásticos de acondicionamento primário</v>
      </c>
      <c r="D1516" s="33" t="str">
        <f>IFERROR(INDEX(tbl_recyclass[Segmento],MATCH(A1516,tbl_recyclass[ProductId],0)),"")</f>
        <v>Cosmética e higiene pessoal</v>
      </c>
      <c r="E1516" s="26" t="s">
        <v>904</v>
      </c>
      <c r="F1516" s="26" t="s">
        <v>1451</v>
      </c>
      <c r="G1516" s="26" t="s">
        <v>1143</v>
      </c>
      <c r="H1516" s="33" t="str">
        <f>IF(E1516="Não","Não aplicável",IFERROR(IF(B1516="EU-ENV-002",IF(INDEX(tbl_recyclass[Conforme_PPWR_2030],MATCH(A1516,tbl_recyclass[ProductId],0))="Sim","Conforme (autoavaliação)",IF(INDEX(tbl_recyclass[Conforme_PPWR_2030],MATCH(A1516,tbl_recyclass[ProductId],0))="Não","Não conforme em 2030","Isento até 2035")),IF(B1516="EU-ENV-003",IF(INDEX(tbl_recyclass[Conforme_Art7_2030],MATCH(A1516,tbl_recyclass[ProductId],0))="Sim","Conforme (meta 2030)",IF(INDEX(tbl_recyclass[Conforme_Art7_2030],MATCH(A1516,tbl_recyclass[ProductId],0))="Não","Lacuna face à meta 2030","Isento")),IF(B1516="EU-ENV-011",IF(INDEX(tbl_familias_ppwr[Metais_Pesados_Evidencia],MATCH(INDEX(tbl_recyclass[Familia_PPWR],MATCH(A1516,tbl_recyclass[ProductId],0)),tbl_familias_ppwr[ID_Familia],0))="Em falta","Lacuna","Conforme"),IF(B1516="EU-ENV-013",IF(INDEX(tbl_familias_ppwr[Declaracao_UE],MATCH(INDEX(tbl_recyclass[Familia_PPWR],MATCH(A1516,tbl_recyclass[ProductId],0)),tbl_familias_ppwr[ID_Familia],0))="Sim","Conforme","Lacuna"),G1516)))),G1516))</f>
        <v>Não aplicável</v>
      </c>
      <c r="I1516" s="33" t="str">
        <f t="shared" si="23"/>
        <v>Não aplicável</v>
      </c>
      <c r="J1516" s="26"/>
    </row>
    <row r="1517" spans="1:10" ht="16.05" customHeight="1" x14ac:dyDescent="0.3">
      <c r="A1517" s="26" t="s">
        <v>772</v>
      </c>
      <c r="B1517" s="26" t="s">
        <v>1293</v>
      </c>
      <c r="C1517" s="33" t="str">
        <f>IFERROR(INDEX(tbl_requisitos_emb[Tema],MATCH(B1517,tbl_requisitos_emb[ID_Req],0)),"")</f>
        <v>Isenções PPWR</v>
      </c>
      <c r="D1517" s="33" t="str">
        <f>IFERROR(INDEX(tbl_recyclass[Segmento],MATCH(A1517,tbl_recyclass[ProductId],0)),"")</f>
        <v>Cosmética e higiene pessoal</v>
      </c>
      <c r="E1517" s="26" t="s">
        <v>904</v>
      </c>
      <c r="F1517" s="26" t="s">
        <v>1451</v>
      </c>
      <c r="G1517" s="26" t="s">
        <v>1143</v>
      </c>
      <c r="H1517" s="33" t="str">
        <f>IF(E1517="Não","Não aplicável",IFERROR(IF(B1517="EU-ENV-002",IF(INDEX(tbl_recyclass[Conforme_PPWR_2030],MATCH(A1517,tbl_recyclass[ProductId],0))="Sim","Conforme (autoavaliação)",IF(INDEX(tbl_recyclass[Conforme_PPWR_2030],MATCH(A1517,tbl_recyclass[ProductId],0))="Não","Não conforme em 2030","Isento até 2035")),IF(B1517="EU-ENV-003",IF(INDEX(tbl_recyclass[Conforme_Art7_2030],MATCH(A1517,tbl_recyclass[ProductId],0))="Sim","Conforme (meta 2030)",IF(INDEX(tbl_recyclass[Conforme_Art7_2030],MATCH(A1517,tbl_recyclass[ProductId],0))="Não","Lacuna face à meta 2030","Isento")),IF(B1517="EU-ENV-011",IF(INDEX(tbl_familias_ppwr[Metais_Pesados_Evidencia],MATCH(INDEX(tbl_recyclass[Familia_PPWR],MATCH(A1517,tbl_recyclass[ProductId],0)),tbl_familias_ppwr[ID_Familia],0))="Em falta","Lacuna","Conforme"),IF(B1517="EU-ENV-013",IF(INDEX(tbl_familias_ppwr[Declaracao_UE],MATCH(INDEX(tbl_recyclass[Familia_PPWR],MATCH(A1517,tbl_recyclass[ProductId],0)),tbl_familias_ppwr[ID_Familia],0))="Sim","Conforme","Lacuna"),G1517)))),G1517))</f>
        <v>Não aplicável</v>
      </c>
      <c r="I1517" s="33" t="str">
        <f t="shared" si="23"/>
        <v>Não aplicável</v>
      </c>
      <c r="J1517" s="26"/>
    </row>
    <row r="1518" spans="1:10" ht="16.05" customHeight="1" x14ac:dyDescent="0.3">
      <c r="A1518" s="26" t="s">
        <v>772</v>
      </c>
      <c r="B1518" s="26" t="s">
        <v>1357</v>
      </c>
      <c r="C1518" s="33" t="str">
        <f>IFERROR(INDEX(tbl_requisitos_emb[Tema],MATCH(B1518,tbl_requisitos_emb[ID_Req],0)),"")</f>
        <v>Identificação de plásticos</v>
      </c>
      <c r="D1518" s="33" t="str">
        <f>IFERROR(INDEX(tbl_recyclass[Segmento],MATCH(A1518,tbl_recyclass[ProductId],0)),"")</f>
        <v>Cosmética e higiene pessoal</v>
      </c>
      <c r="E1518" s="26" t="s">
        <v>901</v>
      </c>
      <c r="F1518" s="26" t="s">
        <v>1449</v>
      </c>
      <c r="G1518" s="26" t="s">
        <v>978</v>
      </c>
      <c r="H1518" s="33" t="str">
        <f>IF(E1518="Não","Não aplicável",IFERROR(IF(B1518="EU-ENV-002",IF(INDEX(tbl_recyclass[Conforme_PPWR_2030],MATCH(A1518,tbl_recyclass[ProductId],0))="Sim","Conforme (autoavaliação)",IF(INDEX(tbl_recyclass[Conforme_PPWR_2030],MATCH(A1518,tbl_recyclass[ProductId],0))="Não","Não conforme em 2030","Isento até 2035")),IF(B1518="EU-ENV-003",IF(INDEX(tbl_recyclass[Conforme_Art7_2030],MATCH(A1518,tbl_recyclass[ProductId],0))="Sim","Conforme (meta 2030)",IF(INDEX(tbl_recyclass[Conforme_Art7_2030],MATCH(A1518,tbl_recyclass[ProductId],0))="Não","Lacuna face à meta 2030","Isento")),IF(B1518="EU-ENV-011",IF(INDEX(tbl_familias_ppwr[Metais_Pesados_Evidencia],MATCH(INDEX(tbl_recyclass[Familia_PPWR],MATCH(A1518,tbl_recyclass[ProductId],0)),tbl_familias_ppwr[ID_Familia],0))="Em falta","Lacuna","Conforme"),IF(B1518="EU-ENV-013",IF(INDEX(tbl_familias_ppwr[Declaracao_UE],MATCH(INDEX(tbl_recyclass[Familia_PPWR],MATCH(A1518,tbl_recyclass[ProductId],0)),tbl_familias_ppwr[ID_Familia],0))="Sim","Conforme","Lacuna"),G1518)))),G1518))</f>
        <v>Parcial</v>
      </c>
      <c r="I1518" s="33" t="str">
        <f t="shared" si="23"/>
        <v>Parcial</v>
      </c>
      <c r="J1518" s="26" t="s">
        <v>1362</v>
      </c>
    </row>
    <row r="1519" spans="1:10" ht="16.05" customHeight="1" x14ac:dyDescent="0.3">
      <c r="A1519" s="26" t="s">
        <v>772</v>
      </c>
      <c r="B1519" s="26" t="s">
        <v>1385</v>
      </c>
      <c r="C1519" s="33" t="str">
        <f>IFERROR(INDEX(tbl_requisitos_emb[Tema],MATCH(B1519,tbl_requisitos_emb[ID_Req],0)),"")</f>
        <v>Reciclabilidade (voluntária)</v>
      </c>
      <c r="D1519" s="33" t="str">
        <f>IFERROR(INDEX(tbl_recyclass[Segmento],MATCH(A1519,tbl_recyclass[ProductId],0)),"")</f>
        <v>Cosmética e higiene pessoal</v>
      </c>
      <c r="E1519" s="26" t="s">
        <v>901</v>
      </c>
      <c r="F1519" s="26" t="s">
        <v>1449</v>
      </c>
      <c r="G1519" s="26" t="s">
        <v>978</v>
      </c>
      <c r="H1519" s="33" t="str">
        <f>IF(E1519="Não","Não aplicável",IFERROR(IF(B1519="EU-ENV-002",IF(INDEX(tbl_recyclass[Conforme_PPWR_2030],MATCH(A1519,tbl_recyclass[ProductId],0))="Sim","Conforme (autoavaliação)",IF(INDEX(tbl_recyclass[Conforme_PPWR_2030],MATCH(A1519,tbl_recyclass[ProductId],0))="Não","Não conforme em 2030","Isento até 2035")),IF(B1519="EU-ENV-003",IF(INDEX(tbl_recyclass[Conforme_Art7_2030],MATCH(A1519,tbl_recyclass[ProductId],0))="Sim","Conforme (meta 2030)",IF(INDEX(tbl_recyclass[Conforme_Art7_2030],MATCH(A1519,tbl_recyclass[ProductId],0))="Não","Lacuna face à meta 2030","Isento")),IF(B1519="EU-ENV-011",IF(INDEX(tbl_familias_ppwr[Metais_Pesados_Evidencia],MATCH(INDEX(tbl_recyclass[Familia_PPWR],MATCH(A1519,tbl_recyclass[ProductId],0)),tbl_familias_ppwr[ID_Familia],0))="Em falta","Lacuna","Conforme"),IF(B1519="EU-ENV-013",IF(INDEX(tbl_familias_ppwr[Declaracao_UE],MATCH(INDEX(tbl_recyclass[Familia_PPWR],MATCH(A1519,tbl_recyclass[ProductId],0)),tbl_familias_ppwr[ID_Familia],0))="Sim","Conforme","Lacuna"),G1519)))),G1519))</f>
        <v>Parcial</v>
      </c>
      <c r="I1519" s="33" t="str">
        <f t="shared" si="23"/>
        <v>Parcial</v>
      </c>
      <c r="J1519" s="26" t="s">
        <v>1389</v>
      </c>
    </row>
    <row r="1520" spans="1:10" ht="16.05" customHeight="1" x14ac:dyDescent="0.3">
      <c r="A1520" s="26" t="s">
        <v>775</v>
      </c>
      <c r="B1520" s="26" t="s">
        <v>984</v>
      </c>
      <c r="C1520" s="33" t="str">
        <f>IFERROR(INDEX(tbl_requisitos_emb[Tema],MATCH(B1520,tbl_requisitos_emb[ID_Req],0)),"")</f>
        <v>Conceção para reciclagem</v>
      </c>
      <c r="D1520" s="33" t="str">
        <f>IFERROR(INDEX(tbl_recyclass[Segmento],MATCH(A1520,tbl_recyclass[ProductId],0)),"")</f>
        <v>Cosmética e higiene pessoal</v>
      </c>
      <c r="E1520" s="26" t="s">
        <v>901</v>
      </c>
      <c r="F1520" s="26" t="s">
        <v>1449</v>
      </c>
      <c r="G1520" s="26" t="s">
        <v>978</v>
      </c>
      <c r="H1520" s="33" t="str">
        <f>IF(E1520="Não","Não aplicável",IFERROR(IF(B1520="EU-ENV-002",IF(INDEX(tbl_recyclass[Conforme_PPWR_2030],MATCH(A1520,tbl_recyclass[ProductId],0))="Sim","Conforme (autoavaliação)",IF(INDEX(tbl_recyclass[Conforme_PPWR_2030],MATCH(A1520,tbl_recyclass[ProductId],0))="Não","Não conforme em 2030","Isento até 2035")),IF(B1520="EU-ENV-003",IF(INDEX(tbl_recyclass[Conforme_Art7_2030],MATCH(A1520,tbl_recyclass[ProductId],0))="Sim","Conforme (meta 2030)",IF(INDEX(tbl_recyclass[Conforme_Art7_2030],MATCH(A1520,tbl_recyclass[ProductId],0))="Não","Lacuna face à meta 2030","Isento")),IF(B1520="EU-ENV-011",IF(INDEX(tbl_familias_ppwr[Metais_Pesados_Evidencia],MATCH(INDEX(tbl_recyclass[Familia_PPWR],MATCH(A1520,tbl_recyclass[ProductId],0)),tbl_familias_ppwr[ID_Familia],0))="Em falta","Lacuna","Conforme"),IF(B1520="EU-ENV-013",IF(INDEX(tbl_familias_ppwr[Declaracao_UE],MATCH(INDEX(tbl_recyclass[Familia_PPWR],MATCH(A1520,tbl_recyclass[ProductId],0)),tbl_familias_ppwr[ID_Familia],0))="Sim","Conforme","Lacuna"),G1520)))),G1520))</f>
        <v>Conforme (autoavaliação)</v>
      </c>
      <c r="I1520" s="33" t="str">
        <f t="shared" si="23"/>
        <v>Conforme</v>
      </c>
      <c r="J1520" s="26" t="s">
        <v>991</v>
      </c>
    </row>
    <row r="1521" spans="1:10" ht="16.05" customHeight="1" x14ac:dyDescent="0.3">
      <c r="A1521" s="26" t="s">
        <v>775</v>
      </c>
      <c r="B1521" s="26" t="s">
        <v>997</v>
      </c>
      <c r="C1521" s="33" t="str">
        <f>IFERROR(INDEX(tbl_requisitos_emb[Tema],MATCH(B1521,tbl_requisitos_emb[ID_Req],0)),"")</f>
        <v>Conteúdo reciclado</v>
      </c>
      <c r="D1521" s="33" t="str">
        <f>IFERROR(INDEX(tbl_recyclass[Segmento],MATCH(A1521,tbl_recyclass[ProductId],0)),"")</f>
        <v>Cosmética e higiene pessoal</v>
      </c>
      <c r="E1521" s="26" t="s">
        <v>901</v>
      </c>
      <c r="F1521" s="26" t="s">
        <v>1449</v>
      </c>
      <c r="G1521" s="26" t="s">
        <v>978</v>
      </c>
      <c r="H1521" s="33" t="str">
        <f>IF(E1521="Não","Não aplicável",IFERROR(IF(B1521="EU-ENV-002",IF(INDEX(tbl_recyclass[Conforme_PPWR_2030],MATCH(A1521,tbl_recyclass[ProductId],0))="Sim","Conforme (autoavaliação)",IF(INDEX(tbl_recyclass[Conforme_PPWR_2030],MATCH(A1521,tbl_recyclass[ProductId],0))="Não","Não conforme em 2030","Isento até 2035")),IF(B1521="EU-ENV-003",IF(INDEX(tbl_recyclass[Conforme_Art7_2030],MATCH(A1521,tbl_recyclass[ProductId],0))="Sim","Conforme (meta 2030)",IF(INDEX(tbl_recyclass[Conforme_Art7_2030],MATCH(A1521,tbl_recyclass[ProductId],0))="Não","Lacuna face à meta 2030","Isento")),IF(B1521="EU-ENV-011",IF(INDEX(tbl_familias_ppwr[Metais_Pesados_Evidencia],MATCH(INDEX(tbl_recyclass[Familia_PPWR],MATCH(A1521,tbl_recyclass[ProductId],0)),tbl_familias_ppwr[ID_Familia],0))="Em falta","Lacuna","Conforme"),IF(B1521="EU-ENV-013",IF(INDEX(tbl_familias_ppwr[Declaracao_UE],MATCH(INDEX(tbl_recyclass[Familia_PPWR],MATCH(A1521,tbl_recyclass[ProductId],0)),tbl_familias_ppwr[ID_Familia],0))="Sim","Conforme","Lacuna"),G1521)))),G1521))</f>
        <v>Lacuna face à meta 2030</v>
      </c>
      <c r="I1521" s="33" t="str">
        <f t="shared" si="23"/>
        <v>Lacuna</v>
      </c>
      <c r="J1521" s="26" t="s">
        <v>1001</v>
      </c>
    </row>
    <row r="1522" spans="1:10" ht="16.05" customHeight="1" x14ac:dyDescent="0.3">
      <c r="A1522" s="26" t="s">
        <v>775</v>
      </c>
      <c r="B1522" s="26" t="s">
        <v>1007</v>
      </c>
      <c r="C1522" s="33" t="str">
        <f>IFERROR(INDEX(tbl_requisitos_emb[Tema],MATCH(B1522,tbl_requisitos_emb[ID_Req],0)),"")</f>
        <v>Minimização</v>
      </c>
      <c r="D1522" s="33" t="str">
        <f>IFERROR(INDEX(tbl_recyclass[Segmento],MATCH(A1522,tbl_recyclass[ProductId],0)),"")</f>
        <v>Cosmética e higiene pessoal</v>
      </c>
      <c r="E1522" s="26" t="s">
        <v>901</v>
      </c>
      <c r="F1522" s="26" t="s">
        <v>1449</v>
      </c>
      <c r="G1522" s="26" t="s">
        <v>978</v>
      </c>
      <c r="H1522" s="33" t="str">
        <f>IF(E1522="Não","Não aplicável",IFERROR(IF(B1522="EU-ENV-002",IF(INDEX(tbl_recyclass[Conforme_PPWR_2030],MATCH(A1522,tbl_recyclass[ProductId],0))="Sim","Conforme (autoavaliação)",IF(INDEX(tbl_recyclass[Conforme_PPWR_2030],MATCH(A1522,tbl_recyclass[ProductId],0))="Não","Não conforme em 2030","Isento até 2035")),IF(B1522="EU-ENV-003",IF(INDEX(tbl_recyclass[Conforme_Art7_2030],MATCH(A1522,tbl_recyclass[ProductId],0))="Sim","Conforme (meta 2030)",IF(INDEX(tbl_recyclass[Conforme_Art7_2030],MATCH(A1522,tbl_recyclass[ProductId],0))="Não","Lacuna face à meta 2030","Isento")),IF(B1522="EU-ENV-011",IF(INDEX(tbl_familias_ppwr[Metais_Pesados_Evidencia],MATCH(INDEX(tbl_recyclass[Familia_PPWR],MATCH(A1522,tbl_recyclass[ProductId],0)),tbl_familias_ppwr[ID_Familia],0))="Em falta","Lacuna","Conforme"),IF(B1522="EU-ENV-013",IF(INDEX(tbl_familias_ppwr[Declaracao_UE],MATCH(INDEX(tbl_recyclass[Familia_PPWR],MATCH(A1522,tbl_recyclass[ProductId],0)),tbl_familias_ppwr[ID_Familia],0))="Sim","Conforme","Lacuna"),G1522)))),G1522))</f>
        <v>Parcial</v>
      </c>
      <c r="I1522" s="33" t="str">
        <f t="shared" si="23"/>
        <v>Parcial</v>
      </c>
      <c r="J1522" s="26" t="s">
        <v>1012</v>
      </c>
    </row>
    <row r="1523" spans="1:10" ht="16.05" customHeight="1" x14ac:dyDescent="0.3">
      <c r="A1523" s="26" t="s">
        <v>775</v>
      </c>
      <c r="B1523" s="26" t="s">
        <v>1016</v>
      </c>
      <c r="C1523" s="33" t="str">
        <f>IFERROR(INDEX(tbl_requisitos_emb[Tema],MATCH(B1523,tbl_requisitos_emb[ID_Req],0)),"")</f>
        <v>Rotulagem</v>
      </c>
      <c r="D1523" s="33" t="str">
        <f>IFERROR(INDEX(tbl_recyclass[Segmento],MATCH(A1523,tbl_recyclass[ProductId],0)),"")</f>
        <v>Cosmética e higiene pessoal</v>
      </c>
      <c r="E1523" s="26" t="s">
        <v>901</v>
      </c>
      <c r="F1523" s="26" t="s">
        <v>1449</v>
      </c>
      <c r="G1523" s="26" t="s">
        <v>990</v>
      </c>
      <c r="H1523" s="33" t="str">
        <f>IF(E1523="Não","Não aplicável",IFERROR(IF(B1523="EU-ENV-002",IF(INDEX(tbl_recyclass[Conforme_PPWR_2030],MATCH(A1523,tbl_recyclass[ProductId],0))="Sim","Conforme (autoavaliação)",IF(INDEX(tbl_recyclass[Conforme_PPWR_2030],MATCH(A1523,tbl_recyclass[ProductId],0))="Não","Não conforme em 2030","Isento até 2035")),IF(B1523="EU-ENV-003",IF(INDEX(tbl_recyclass[Conforme_Art7_2030],MATCH(A1523,tbl_recyclass[ProductId],0))="Sim","Conforme (meta 2030)",IF(INDEX(tbl_recyclass[Conforme_Art7_2030],MATCH(A1523,tbl_recyclass[ProductId],0))="Não","Lacuna face à meta 2030","Isento")),IF(B1523="EU-ENV-011",IF(INDEX(tbl_familias_ppwr[Metais_Pesados_Evidencia],MATCH(INDEX(tbl_recyclass[Familia_PPWR],MATCH(A1523,tbl_recyclass[ProductId],0)),tbl_familias_ppwr[ID_Familia],0))="Em falta","Lacuna","Conforme"),IF(B1523="EU-ENV-013",IF(INDEX(tbl_familias_ppwr[Declaracao_UE],MATCH(INDEX(tbl_recyclass[Familia_PPWR],MATCH(A1523,tbl_recyclass[ProductId],0)),tbl_familias_ppwr[ID_Familia],0))="Sim","Conforme","Lacuna"),G1523)))),G1523))</f>
        <v>Futuro</v>
      </c>
      <c r="I1523" s="33" t="str">
        <f t="shared" si="23"/>
        <v>Futuro</v>
      </c>
      <c r="J1523" s="26" t="s">
        <v>1021</v>
      </c>
    </row>
    <row r="1524" spans="1:10" ht="16.05" customHeight="1" x14ac:dyDescent="0.3">
      <c r="A1524" s="26" t="s">
        <v>775</v>
      </c>
      <c r="B1524" s="26" t="s">
        <v>1038</v>
      </c>
      <c r="C1524" s="33" t="str">
        <f>IFERROR(INDEX(tbl_requisitos_emb[Tema],MATCH(B1524,tbl_requisitos_emb[ID_Req],0)),"")</f>
        <v>Plásticos de utilização única</v>
      </c>
      <c r="D1524" s="33" t="str">
        <f>IFERROR(INDEX(tbl_recyclass[Segmento],MATCH(A1524,tbl_recyclass[ProductId],0)),"")</f>
        <v>Cosmética e higiene pessoal</v>
      </c>
      <c r="E1524" s="26" t="s">
        <v>904</v>
      </c>
      <c r="F1524" s="26" t="s">
        <v>1450</v>
      </c>
      <c r="G1524" s="26" t="s">
        <v>1143</v>
      </c>
      <c r="H1524" s="33" t="str">
        <f>IF(E1524="Não","Não aplicável",IFERROR(IF(B1524="EU-ENV-002",IF(INDEX(tbl_recyclass[Conforme_PPWR_2030],MATCH(A1524,tbl_recyclass[ProductId],0))="Sim","Conforme (autoavaliação)",IF(INDEX(tbl_recyclass[Conforme_PPWR_2030],MATCH(A1524,tbl_recyclass[ProductId],0))="Não","Não conforme em 2030","Isento até 2035")),IF(B1524="EU-ENV-003",IF(INDEX(tbl_recyclass[Conforme_Art7_2030],MATCH(A1524,tbl_recyclass[ProductId],0))="Sim","Conforme (meta 2030)",IF(INDEX(tbl_recyclass[Conforme_Art7_2030],MATCH(A1524,tbl_recyclass[ProductId],0))="Não","Lacuna face à meta 2030","Isento")),IF(B1524="EU-ENV-011",IF(INDEX(tbl_familias_ppwr[Metais_Pesados_Evidencia],MATCH(INDEX(tbl_recyclass[Familia_PPWR],MATCH(A1524,tbl_recyclass[ProductId],0)),tbl_familias_ppwr[ID_Familia],0))="Em falta","Lacuna","Conforme"),IF(B1524="EU-ENV-013",IF(INDEX(tbl_familias_ppwr[Declaracao_UE],MATCH(INDEX(tbl_recyclass[Familia_PPWR],MATCH(A1524,tbl_recyclass[ProductId],0)),tbl_familias_ppwr[ID_Familia],0))="Sim","Conforme","Lacuna"),G1524)))),G1524))</f>
        <v>Não aplicável</v>
      </c>
      <c r="I1524" s="33" t="str">
        <f t="shared" si="23"/>
        <v>Não aplicável</v>
      </c>
      <c r="J1524" s="26"/>
    </row>
    <row r="1525" spans="1:10" ht="16.05" customHeight="1" x14ac:dyDescent="0.3">
      <c r="A1525" s="26" t="s">
        <v>775</v>
      </c>
      <c r="B1525" s="26" t="s">
        <v>1078</v>
      </c>
      <c r="C1525" s="33" t="str">
        <f>IFERROR(INDEX(tbl_requisitos_emb[Tema],MATCH(B1525,tbl_requisitos_emb[ID_Req],0)),"")</f>
        <v>Reciclado à escala</v>
      </c>
      <c r="D1525" s="33" t="str">
        <f>IFERROR(INDEX(tbl_recyclass[Segmento],MATCH(A1525,tbl_recyclass[ProductId],0)),"")</f>
        <v>Cosmética e higiene pessoal</v>
      </c>
      <c r="E1525" s="26" t="s">
        <v>901</v>
      </c>
      <c r="F1525" s="26" t="s">
        <v>1449</v>
      </c>
      <c r="G1525" s="26" t="s">
        <v>990</v>
      </c>
      <c r="H1525" s="33" t="str">
        <f>IF(E1525="Não","Não aplicável",IFERROR(IF(B1525="EU-ENV-002",IF(INDEX(tbl_recyclass[Conforme_PPWR_2030],MATCH(A1525,tbl_recyclass[ProductId],0))="Sim","Conforme (autoavaliação)",IF(INDEX(tbl_recyclass[Conforme_PPWR_2030],MATCH(A1525,tbl_recyclass[ProductId],0))="Não","Não conforme em 2030","Isento até 2035")),IF(B1525="EU-ENV-003",IF(INDEX(tbl_recyclass[Conforme_Art7_2030],MATCH(A1525,tbl_recyclass[ProductId],0))="Sim","Conforme (meta 2030)",IF(INDEX(tbl_recyclass[Conforme_Art7_2030],MATCH(A1525,tbl_recyclass[ProductId],0))="Não","Lacuna face à meta 2030","Isento")),IF(B1525="EU-ENV-011",IF(INDEX(tbl_familias_ppwr[Metais_Pesados_Evidencia],MATCH(INDEX(tbl_recyclass[Familia_PPWR],MATCH(A1525,tbl_recyclass[ProductId],0)),tbl_familias_ppwr[ID_Familia],0))="Em falta","Lacuna","Conforme"),IF(B1525="EU-ENV-013",IF(INDEX(tbl_familias_ppwr[Declaracao_UE],MATCH(INDEX(tbl_recyclass[Familia_PPWR],MATCH(A1525,tbl_recyclass[ProductId],0)),tbl_familias_ppwr[ID_Familia],0))="Sim","Conforme","Lacuna"),G1525)))),G1525))</f>
        <v>Futuro</v>
      </c>
      <c r="I1525" s="33" t="str">
        <f t="shared" si="23"/>
        <v>Futuro</v>
      </c>
      <c r="J1525" s="26" t="s">
        <v>1082</v>
      </c>
    </row>
    <row r="1526" spans="1:10" ht="16.05" customHeight="1" x14ac:dyDescent="0.3">
      <c r="A1526" s="26" t="s">
        <v>775</v>
      </c>
      <c r="B1526" s="26" t="s">
        <v>1086</v>
      </c>
      <c r="C1526" s="33" t="str">
        <f>IFERROR(INDEX(tbl_requisitos_emb[Tema],MATCH(B1526,tbl_requisitos_emb[ID_Req],0)),"")</f>
        <v>Metais pesados</v>
      </c>
      <c r="D1526" s="33" t="str">
        <f>IFERROR(INDEX(tbl_recyclass[Segmento],MATCH(A1526,tbl_recyclass[ProductId],0)),"")</f>
        <v>Cosmética e higiene pessoal</v>
      </c>
      <c r="E1526" s="26" t="s">
        <v>901</v>
      </c>
      <c r="F1526" s="26" t="s">
        <v>1449</v>
      </c>
      <c r="G1526" s="26" t="s">
        <v>978</v>
      </c>
      <c r="H1526" s="33" t="str">
        <f>IF(E1526="Não","Não aplicável",IFERROR(IF(B1526="EU-ENV-002",IF(INDEX(tbl_recyclass[Conforme_PPWR_2030],MATCH(A1526,tbl_recyclass[ProductId],0))="Sim","Conforme (autoavaliação)",IF(INDEX(tbl_recyclass[Conforme_PPWR_2030],MATCH(A1526,tbl_recyclass[ProductId],0))="Não","Não conforme em 2030","Isento até 2035")),IF(B1526="EU-ENV-003",IF(INDEX(tbl_recyclass[Conforme_Art7_2030],MATCH(A1526,tbl_recyclass[ProductId],0))="Sim","Conforme (meta 2030)",IF(INDEX(tbl_recyclass[Conforme_Art7_2030],MATCH(A1526,tbl_recyclass[ProductId],0))="Não","Lacuna face à meta 2030","Isento")),IF(B1526="EU-ENV-011",IF(INDEX(tbl_familias_ppwr[Metais_Pesados_Evidencia],MATCH(INDEX(tbl_recyclass[Familia_PPWR],MATCH(A1526,tbl_recyclass[ProductId],0)),tbl_familias_ppwr[ID_Familia],0))="Em falta","Lacuna","Conforme"),IF(B1526="EU-ENV-013",IF(INDEX(tbl_familias_ppwr[Declaracao_UE],MATCH(INDEX(tbl_recyclass[Familia_PPWR],MATCH(A1526,tbl_recyclass[ProductId],0)),tbl_familias_ppwr[ID_Familia],0))="Sim","Conforme","Lacuna"),G1526)))),G1526))</f>
        <v>Conforme</v>
      </c>
      <c r="I1526" s="33" t="str">
        <f t="shared" si="23"/>
        <v>Conforme</v>
      </c>
      <c r="J1526" s="26" t="s">
        <v>1090</v>
      </c>
    </row>
    <row r="1527" spans="1:10" ht="16.05" customHeight="1" x14ac:dyDescent="0.3">
      <c r="A1527" s="26" t="s">
        <v>775</v>
      </c>
      <c r="B1527" s="26" t="s">
        <v>1094</v>
      </c>
      <c r="C1527" s="33" t="str">
        <f>IFERROR(INDEX(tbl_requisitos_emb[Tema],MATCH(B1527,tbl_requisitos_emb[ID_Req],0)),"")</f>
        <v>PFAS</v>
      </c>
      <c r="D1527" s="33" t="str">
        <f>IFERROR(INDEX(tbl_recyclass[Segmento],MATCH(A1527,tbl_recyclass[ProductId],0)),"")</f>
        <v>Cosmética e higiene pessoal</v>
      </c>
      <c r="E1527" s="26" t="s">
        <v>904</v>
      </c>
      <c r="F1527" s="26" t="s">
        <v>1450</v>
      </c>
      <c r="G1527" s="26" t="s">
        <v>1143</v>
      </c>
      <c r="H1527" s="33" t="str">
        <f>IF(E1527="Não","Não aplicável",IFERROR(IF(B1527="EU-ENV-002",IF(INDEX(tbl_recyclass[Conforme_PPWR_2030],MATCH(A1527,tbl_recyclass[ProductId],0))="Sim","Conforme (autoavaliação)",IF(INDEX(tbl_recyclass[Conforme_PPWR_2030],MATCH(A1527,tbl_recyclass[ProductId],0))="Não","Não conforme em 2030","Isento até 2035")),IF(B1527="EU-ENV-003",IF(INDEX(tbl_recyclass[Conforme_Art7_2030],MATCH(A1527,tbl_recyclass[ProductId],0))="Sim","Conforme (meta 2030)",IF(INDEX(tbl_recyclass[Conforme_Art7_2030],MATCH(A1527,tbl_recyclass[ProductId],0))="Não","Lacuna face à meta 2030","Isento")),IF(B1527="EU-ENV-011",IF(INDEX(tbl_familias_ppwr[Metais_Pesados_Evidencia],MATCH(INDEX(tbl_recyclass[Familia_PPWR],MATCH(A1527,tbl_recyclass[ProductId],0)),tbl_familias_ppwr[ID_Familia],0))="Em falta","Lacuna","Conforme"),IF(B1527="EU-ENV-013",IF(INDEX(tbl_familias_ppwr[Declaracao_UE],MATCH(INDEX(tbl_recyclass[Familia_PPWR],MATCH(A1527,tbl_recyclass[ProductId],0)),tbl_familias_ppwr[ID_Familia],0))="Sim","Conforme","Lacuna"),G1527)))),G1527))</f>
        <v>Não aplicável</v>
      </c>
      <c r="I1527" s="33" t="str">
        <f t="shared" si="23"/>
        <v>Não aplicável</v>
      </c>
      <c r="J1527" s="26"/>
    </row>
    <row r="1528" spans="1:10" ht="16.05" customHeight="1" x14ac:dyDescent="0.3">
      <c r="A1528" s="26" t="s">
        <v>775</v>
      </c>
      <c r="B1528" s="26" t="s">
        <v>1102</v>
      </c>
      <c r="C1528" s="33" t="str">
        <f>IFERROR(INDEX(tbl_requisitos_emb[Tema],MATCH(B1528,tbl_requisitos_emb[ID_Req],0)),"")</f>
        <v>Documentação técnica e declaração UE</v>
      </c>
      <c r="D1528" s="33" t="str">
        <f>IFERROR(INDEX(tbl_recyclass[Segmento],MATCH(A1528,tbl_recyclass[ProductId],0)),"")</f>
        <v>Cosmética e higiene pessoal</v>
      </c>
      <c r="E1528" s="26" t="s">
        <v>901</v>
      </c>
      <c r="F1528" s="26" t="s">
        <v>1449</v>
      </c>
      <c r="G1528" s="26" t="s">
        <v>978</v>
      </c>
      <c r="H1528" s="33" t="str">
        <f>IF(E1528="Não","Não aplicável",IFERROR(IF(B1528="EU-ENV-002",IF(INDEX(tbl_recyclass[Conforme_PPWR_2030],MATCH(A1528,tbl_recyclass[ProductId],0))="Sim","Conforme (autoavaliação)",IF(INDEX(tbl_recyclass[Conforme_PPWR_2030],MATCH(A1528,tbl_recyclass[ProductId],0))="Não","Não conforme em 2030","Isento até 2035")),IF(B1528="EU-ENV-003",IF(INDEX(tbl_recyclass[Conforme_Art7_2030],MATCH(A1528,tbl_recyclass[ProductId],0))="Sim","Conforme (meta 2030)",IF(INDEX(tbl_recyclass[Conforme_Art7_2030],MATCH(A1528,tbl_recyclass[ProductId],0))="Não","Lacuna face à meta 2030","Isento")),IF(B1528="EU-ENV-011",IF(INDEX(tbl_familias_ppwr[Metais_Pesados_Evidencia],MATCH(INDEX(tbl_recyclass[Familia_PPWR],MATCH(A1528,tbl_recyclass[ProductId],0)),tbl_familias_ppwr[ID_Familia],0))="Em falta","Lacuna","Conforme"),IF(B1528="EU-ENV-013",IF(INDEX(tbl_familias_ppwr[Declaracao_UE],MATCH(INDEX(tbl_recyclass[Familia_PPWR],MATCH(A1528,tbl_recyclass[ProductId],0)),tbl_familias_ppwr[ID_Familia],0))="Sim","Conforme","Lacuna"),G1528)))),G1528))</f>
        <v>Conforme</v>
      </c>
      <c r="I1528" s="33" t="str">
        <f t="shared" si="23"/>
        <v>Conforme</v>
      </c>
      <c r="J1528" s="26" t="s">
        <v>1106</v>
      </c>
    </row>
    <row r="1529" spans="1:10" ht="16.05" customHeight="1" x14ac:dyDescent="0.3">
      <c r="A1529" s="26" t="s">
        <v>775</v>
      </c>
      <c r="B1529" s="26" t="s">
        <v>1161</v>
      </c>
      <c r="C1529" s="33" t="str">
        <f>IFERROR(INDEX(tbl_requisitos_emb[Tema],MATCH(B1529,tbl_requisitos_emb[ID_Req],0)),"")</f>
        <v>Materiais em contacto com alimentos</v>
      </c>
      <c r="D1529" s="33" t="str">
        <f>IFERROR(INDEX(tbl_recyclass[Segmento],MATCH(A1529,tbl_recyclass[ProductId],0)),"")</f>
        <v>Cosmética e higiene pessoal</v>
      </c>
      <c r="E1529" s="26" t="s">
        <v>904</v>
      </c>
      <c r="F1529" s="26" t="s">
        <v>1450</v>
      </c>
      <c r="G1529" s="26" t="s">
        <v>1143</v>
      </c>
      <c r="H1529" s="33" t="str">
        <f>IF(E1529="Não","Não aplicável",IFERROR(IF(B1529="EU-ENV-002",IF(INDEX(tbl_recyclass[Conforme_PPWR_2030],MATCH(A1529,tbl_recyclass[ProductId],0))="Sim","Conforme (autoavaliação)",IF(INDEX(tbl_recyclass[Conforme_PPWR_2030],MATCH(A1529,tbl_recyclass[ProductId],0))="Não","Não conforme em 2030","Isento até 2035")),IF(B1529="EU-ENV-003",IF(INDEX(tbl_recyclass[Conforme_Art7_2030],MATCH(A1529,tbl_recyclass[ProductId],0))="Sim","Conforme (meta 2030)",IF(INDEX(tbl_recyclass[Conforme_Art7_2030],MATCH(A1529,tbl_recyclass[ProductId],0))="Não","Lacuna face à meta 2030","Isento")),IF(B1529="EU-ENV-011",IF(INDEX(tbl_familias_ppwr[Metais_Pesados_Evidencia],MATCH(INDEX(tbl_recyclass[Familia_PPWR],MATCH(A1529,tbl_recyclass[ProductId],0)),tbl_familias_ppwr[ID_Familia],0))="Em falta","Lacuna","Conforme"),IF(B1529="EU-ENV-013",IF(INDEX(tbl_familias_ppwr[Declaracao_UE],MATCH(INDEX(tbl_recyclass[Familia_PPWR],MATCH(A1529,tbl_recyclass[ProductId],0)),tbl_familias_ppwr[ID_Familia],0))="Sim","Conforme","Lacuna"),G1529)))),G1529))</f>
        <v>Não aplicável</v>
      </c>
      <c r="I1529" s="33" t="str">
        <f t="shared" si="23"/>
        <v>Não aplicável</v>
      </c>
      <c r="J1529" s="26"/>
    </row>
    <row r="1530" spans="1:10" ht="16.05" customHeight="1" x14ac:dyDescent="0.3">
      <c r="A1530" s="26" t="s">
        <v>775</v>
      </c>
      <c r="B1530" s="26" t="s">
        <v>1170</v>
      </c>
      <c r="C1530" s="33" t="str">
        <f>IFERROR(INDEX(tbl_requisitos_emb[Tema],MATCH(B1530,tbl_requisitos_emb[ID_Req],0)),"")</f>
        <v>Boas práticas de fabrico FCM</v>
      </c>
      <c r="D1530" s="33" t="str">
        <f>IFERROR(INDEX(tbl_recyclass[Segmento],MATCH(A1530,tbl_recyclass[ProductId],0)),"")</f>
        <v>Cosmética e higiene pessoal</v>
      </c>
      <c r="E1530" s="26" t="s">
        <v>904</v>
      </c>
      <c r="F1530" s="26" t="s">
        <v>1450</v>
      </c>
      <c r="G1530" s="26" t="s">
        <v>1143</v>
      </c>
      <c r="H1530" s="33" t="str">
        <f>IF(E1530="Não","Não aplicável",IFERROR(IF(B1530="EU-ENV-002",IF(INDEX(tbl_recyclass[Conforme_PPWR_2030],MATCH(A1530,tbl_recyclass[ProductId],0))="Sim","Conforme (autoavaliação)",IF(INDEX(tbl_recyclass[Conforme_PPWR_2030],MATCH(A1530,tbl_recyclass[ProductId],0))="Não","Não conforme em 2030","Isento até 2035")),IF(B1530="EU-ENV-003",IF(INDEX(tbl_recyclass[Conforme_Art7_2030],MATCH(A1530,tbl_recyclass[ProductId],0))="Sim","Conforme (meta 2030)",IF(INDEX(tbl_recyclass[Conforme_Art7_2030],MATCH(A1530,tbl_recyclass[ProductId],0))="Não","Lacuna face à meta 2030","Isento")),IF(B1530="EU-ENV-011",IF(INDEX(tbl_familias_ppwr[Metais_Pesados_Evidencia],MATCH(INDEX(tbl_recyclass[Familia_PPWR],MATCH(A1530,tbl_recyclass[ProductId],0)),tbl_familias_ppwr[ID_Familia],0))="Em falta","Lacuna","Conforme"),IF(B1530="EU-ENV-013",IF(INDEX(tbl_familias_ppwr[Declaracao_UE],MATCH(INDEX(tbl_recyclass[Familia_PPWR],MATCH(A1530,tbl_recyclass[ProductId],0)),tbl_familias_ppwr[ID_Familia],0))="Sim","Conforme","Lacuna"),G1530)))),G1530))</f>
        <v>Não aplicável</v>
      </c>
      <c r="I1530" s="33" t="str">
        <f t="shared" si="23"/>
        <v>Não aplicável</v>
      </c>
      <c r="J1530" s="26"/>
    </row>
    <row r="1531" spans="1:10" ht="16.05" customHeight="1" x14ac:dyDescent="0.3">
      <c r="A1531" s="26" t="s">
        <v>775</v>
      </c>
      <c r="B1531" s="26" t="s">
        <v>1179</v>
      </c>
      <c r="C1531" s="33" t="str">
        <f>IFERROR(INDEX(tbl_requisitos_emb[Tema],MATCH(B1531,tbl_requisitos_emb[ID_Req],0)),"")</f>
        <v>Bisfenol A e bisfenóis perigosos</v>
      </c>
      <c r="D1531" s="33" t="str">
        <f>IFERROR(INDEX(tbl_recyclass[Segmento],MATCH(A1531,tbl_recyclass[ProductId],0)),"")</f>
        <v>Cosmética e higiene pessoal</v>
      </c>
      <c r="E1531" s="26" t="s">
        <v>904</v>
      </c>
      <c r="F1531" s="26" t="s">
        <v>1450</v>
      </c>
      <c r="G1531" s="26" t="s">
        <v>1143</v>
      </c>
      <c r="H1531" s="33" t="str">
        <f>IF(E1531="Não","Não aplicável",IFERROR(IF(B1531="EU-ENV-002",IF(INDEX(tbl_recyclass[Conforme_PPWR_2030],MATCH(A1531,tbl_recyclass[ProductId],0))="Sim","Conforme (autoavaliação)",IF(INDEX(tbl_recyclass[Conforme_PPWR_2030],MATCH(A1531,tbl_recyclass[ProductId],0))="Não","Não conforme em 2030","Isento até 2035")),IF(B1531="EU-ENV-003",IF(INDEX(tbl_recyclass[Conforme_Art7_2030],MATCH(A1531,tbl_recyclass[ProductId],0))="Sim","Conforme (meta 2030)",IF(INDEX(tbl_recyclass[Conforme_Art7_2030],MATCH(A1531,tbl_recyclass[ProductId],0))="Não","Lacuna face à meta 2030","Isento")),IF(B1531="EU-ENV-011",IF(INDEX(tbl_familias_ppwr[Metais_Pesados_Evidencia],MATCH(INDEX(tbl_recyclass[Familia_PPWR],MATCH(A1531,tbl_recyclass[ProductId],0)),tbl_familias_ppwr[ID_Familia],0))="Em falta","Lacuna","Conforme"),IF(B1531="EU-ENV-013",IF(INDEX(tbl_familias_ppwr[Declaracao_UE],MATCH(INDEX(tbl_recyclass[Familia_PPWR],MATCH(A1531,tbl_recyclass[ProductId],0)),tbl_familias_ppwr[ID_Familia],0))="Sim","Conforme","Lacuna"),G1531)))),G1531))</f>
        <v>Não aplicável</v>
      </c>
      <c r="I1531" s="33" t="str">
        <f t="shared" si="23"/>
        <v>Não aplicável</v>
      </c>
      <c r="J1531" s="26"/>
    </row>
    <row r="1532" spans="1:10" ht="16.05" customHeight="1" x14ac:dyDescent="0.3">
      <c r="A1532" s="26" t="s">
        <v>775</v>
      </c>
      <c r="B1532" s="26" t="s">
        <v>1188</v>
      </c>
      <c r="C1532" s="33" t="str">
        <f>IFERROR(INDEX(tbl_requisitos_emb[Tema],MATCH(B1532,tbl_requisitos_emb[ID_Req],0)),"")</f>
        <v>Plásticos em contacto com alimentos</v>
      </c>
      <c r="D1532" s="33" t="str">
        <f>IFERROR(INDEX(tbl_recyclass[Segmento],MATCH(A1532,tbl_recyclass[ProductId],0)),"")</f>
        <v>Cosmética e higiene pessoal</v>
      </c>
      <c r="E1532" s="26" t="s">
        <v>904</v>
      </c>
      <c r="F1532" s="26" t="s">
        <v>1450</v>
      </c>
      <c r="G1532" s="26" t="s">
        <v>1143</v>
      </c>
      <c r="H1532" s="33" t="str">
        <f>IF(E1532="Não","Não aplicável",IFERROR(IF(B1532="EU-ENV-002",IF(INDEX(tbl_recyclass[Conforme_PPWR_2030],MATCH(A1532,tbl_recyclass[ProductId],0))="Sim","Conforme (autoavaliação)",IF(INDEX(tbl_recyclass[Conforme_PPWR_2030],MATCH(A1532,tbl_recyclass[ProductId],0))="Não","Não conforme em 2030","Isento até 2035")),IF(B1532="EU-ENV-003",IF(INDEX(tbl_recyclass[Conforme_Art7_2030],MATCH(A1532,tbl_recyclass[ProductId],0))="Sim","Conforme (meta 2030)",IF(INDEX(tbl_recyclass[Conforme_Art7_2030],MATCH(A1532,tbl_recyclass[ProductId],0))="Não","Lacuna face à meta 2030","Isento")),IF(B1532="EU-ENV-011",IF(INDEX(tbl_familias_ppwr[Metais_Pesados_Evidencia],MATCH(INDEX(tbl_recyclass[Familia_PPWR],MATCH(A1532,tbl_recyclass[ProductId],0)),tbl_familias_ppwr[ID_Familia],0))="Em falta","Lacuna","Conforme"),IF(B1532="EU-ENV-013",IF(INDEX(tbl_familias_ppwr[Declaracao_UE],MATCH(INDEX(tbl_recyclass[Familia_PPWR],MATCH(A1532,tbl_recyclass[ProductId],0)),tbl_familias_ppwr[ID_Familia],0))="Sim","Conforme","Lacuna"),G1532)))),G1532))</f>
        <v>Não aplicável</v>
      </c>
      <c r="I1532" s="33" t="str">
        <f t="shared" si="23"/>
        <v>Não aplicável</v>
      </c>
      <c r="J1532" s="26"/>
    </row>
    <row r="1533" spans="1:10" ht="16.05" customHeight="1" x14ac:dyDescent="0.3">
      <c r="A1533" s="26" t="s">
        <v>775</v>
      </c>
      <c r="B1533" s="26" t="s">
        <v>1212</v>
      </c>
      <c r="C1533" s="33" t="str">
        <f>IFERROR(INDEX(tbl_requisitos_emb[Tema],MATCH(B1533,tbl_requisitos_emb[ID_Req],0)),"")</f>
        <v>Segurança do produto cosmético</v>
      </c>
      <c r="D1533" s="33" t="str">
        <f>IFERROR(INDEX(tbl_recyclass[Segmento],MATCH(A1533,tbl_recyclass[ProductId],0)),"")</f>
        <v>Cosmética e higiene pessoal</v>
      </c>
      <c r="E1533" s="26" t="s">
        <v>901</v>
      </c>
      <c r="F1533" s="26" t="s">
        <v>1449</v>
      </c>
      <c r="G1533" s="26" t="s">
        <v>1033</v>
      </c>
      <c r="H1533" s="33" t="str">
        <f>IF(E1533="Não","Não aplicável",IFERROR(IF(B1533="EU-ENV-002",IF(INDEX(tbl_recyclass[Conforme_PPWR_2030],MATCH(A1533,tbl_recyclass[ProductId],0))="Sim","Conforme (autoavaliação)",IF(INDEX(tbl_recyclass[Conforme_PPWR_2030],MATCH(A1533,tbl_recyclass[ProductId],0))="Não","Não conforme em 2030","Isento até 2035")),IF(B1533="EU-ENV-003",IF(INDEX(tbl_recyclass[Conforme_Art7_2030],MATCH(A1533,tbl_recyclass[ProductId],0))="Sim","Conforme (meta 2030)",IF(INDEX(tbl_recyclass[Conforme_Art7_2030],MATCH(A1533,tbl_recyclass[ProductId],0))="Não","Lacuna face à meta 2030","Isento")),IF(B1533="EU-ENV-011",IF(INDEX(tbl_familias_ppwr[Metais_Pesados_Evidencia],MATCH(INDEX(tbl_recyclass[Familia_PPWR],MATCH(A1533,tbl_recyclass[ProductId],0)),tbl_familias_ppwr[ID_Familia],0))="Em falta","Lacuna","Conforme"),IF(B1533="EU-ENV-013",IF(INDEX(tbl_familias_ppwr[Declaracao_UE],MATCH(INDEX(tbl_recyclass[Familia_PPWR],MATCH(A1533,tbl_recyclass[ProductId],0)),tbl_familias_ppwr[ID_Familia],0))="Sim","Conforme","Lacuna"),G1533)))),G1533))</f>
        <v>Conforme</v>
      </c>
      <c r="I1533" s="33" t="str">
        <f t="shared" si="23"/>
        <v>Conforme</v>
      </c>
      <c r="J1533" s="26" t="s">
        <v>1221</v>
      </c>
    </row>
    <row r="1534" spans="1:10" ht="16.05" customHeight="1" x14ac:dyDescent="0.3">
      <c r="A1534" s="26" t="s">
        <v>775</v>
      </c>
      <c r="B1534" s="26" t="s">
        <v>1224</v>
      </c>
      <c r="C1534" s="33" t="str">
        <f>IFERROR(INDEX(tbl_requisitos_emb[Tema],MATCH(B1534,tbl_requisitos_emb[ID_Req],0)),"")</f>
        <v>Materiais e impurezas</v>
      </c>
      <c r="D1534" s="33" t="str">
        <f>IFERROR(INDEX(tbl_recyclass[Segmento],MATCH(A1534,tbl_recyclass[ProductId],0)),"")</f>
        <v>Cosmética e higiene pessoal</v>
      </c>
      <c r="E1534" s="26" t="s">
        <v>901</v>
      </c>
      <c r="F1534" s="26" t="s">
        <v>1449</v>
      </c>
      <c r="G1534" s="26" t="s">
        <v>978</v>
      </c>
      <c r="H1534" s="33" t="str">
        <f>IF(E1534="Não","Não aplicável",IFERROR(IF(B1534="EU-ENV-002",IF(INDEX(tbl_recyclass[Conforme_PPWR_2030],MATCH(A1534,tbl_recyclass[ProductId],0))="Sim","Conforme (autoavaliação)",IF(INDEX(tbl_recyclass[Conforme_PPWR_2030],MATCH(A1534,tbl_recyclass[ProductId],0))="Não","Não conforme em 2030","Isento até 2035")),IF(B1534="EU-ENV-003",IF(INDEX(tbl_recyclass[Conforme_Art7_2030],MATCH(A1534,tbl_recyclass[ProductId],0))="Sim","Conforme (meta 2030)",IF(INDEX(tbl_recyclass[Conforme_Art7_2030],MATCH(A1534,tbl_recyclass[ProductId],0))="Não","Lacuna face à meta 2030","Isento")),IF(B1534="EU-ENV-011",IF(INDEX(tbl_familias_ppwr[Metais_Pesados_Evidencia],MATCH(INDEX(tbl_recyclass[Familia_PPWR],MATCH(A1534,tbl_recyclass[ProductId],0)),tbl_familias_ppwr[ID_Familia],0))="Em falta","Lacuna","Conforme"),IF(B1534="EU-ENV-013",IF(INDEX(tbl_familias_ppwr[Declaracao_UE],MATCH(INDEX(tbl_recyclass[Familia_PPWR],MATCH(A1534,tbl_recyclass[ProductId],0)),tbl_familias_ppwr[ID_Familia],0))="Sim","Conforme","Lacuna"),G1534)))),G1534))</f>
        <v>Parcial</v>
      </c>
      <c r="I1534" s="33" t="str">
        <f t="shared" si="23"/>
        <v>Parcial</v>
      </c>
      <c r="J1534" s="26" t="s">
        <v>1228</v>
      </c>
    </row>
    <row r="1535" spans="1:10" ht="16.05" customHeight="1" x14ac:dyDescent="0.3">
      <c r="A1535" s="26" t="s">
        <v>775</v>
      </c>
      <c r="B1535" s="26" t="s">
        <v>1240</v>
      </c>
      <c r="C1535" s="33" t="str">
        <f>IFERROR(INDEX(tbl_requisitos_emb[Tema],MATCH(B1535,tbl_requisitos_emb[ID_Req],0)),"")</f>
        <v>Compatibilidade embalagem–produto</v>
      </c>
      <c r="D1535" s="33" t="str">
        <f>IFERROR(INDEX(tbl_recyclass[Segmento],MATCH(A1535,tbl_recyclass[ProductId],0)),"")</f>
        <v>Cosmética e higiene pessoal</v>
      </c>
      <c r="E1535" s="26" t="s">
        <v>901</v>
      </c>
      <c r="F1535" s="26" t="s">
        <v>1449</v>
      </c>
      <c r="G1535" s="26" t="s">
        <v>1033</v>
      </c>
      <c r="H1535" s="33" t="str">
        <f>IF(E1535="Não","Não aplicável",IFERROR(IF(B1535="EU-ENV-002",IF(INDEX(tbl_recyclass[Conforme_PPWR_2030],MATCH(A1535,tbl_recyclass[ProductId],0))="Sim","Conforme (autoavaliação)",IF(INDEX(tbl_recyclass[Conforme_PPWR_2030],MATCH(A1535,tbl_recyclass[ProductId],0))="Não","Não conforme em 2030","Isento até 2035")),IF(B1535="EU-ENV-003",IF(INDEX(tbl_recyclass[Conforme_Art7_2030],MATCH(A1535,tbl_recyclass[ProductId],0))="Sim","Conforme (meta 2030)",IF(INDEX(tbl_recyclass[Conforme_Art7_2030],MATCH(A1535,tbl_recyclass[ProductId],0))="Não","Lacuna face à meta 2030","Isento")),IF(B1535="EU-ENV-011",IF(INDEX(tbl_familias_ppwr[Metais_Pesados_Evidencia],MATCH(INDEX(tbl_recyclass[Familia_PPWR],MATCH(A1535,tbl_recyclass[ProductId],0)),tbl_familias_ppwr[ID_Familia],0))="Em falta","Lacuna","Conforme"),IF(B1535="EU-ENV-013",IF(INDEX(tbl_familias_ppwr[Declaracao_UE],MATCH(INDEX(tbl_recyclass[Familia_PPWR],MATCH(A1535,tbl_recyclass[ProductId],0)),tbl_familias_ppwr[ID_Familia],0))="Sim","Conforme","Lacuna"),G1535)))),G1535))</f>
        <v>Conforme</v>
      </c>
      <c r="I1535" s="33" t="str">
        <f t="shared" si="23"/>
        <v>Conforme</v>
      </c>
      <c r="J1535" s="26" t="s">
        <v>1244</v>
      </c>
    </row>
    <row r="1536" spans="1:10" ht="16.05" customHeight="1" x14ac:dyDescent="0.3">
      <c r="A1536" s="26" t="s">
        <v>775</v>
      </c>
      <c r="B1536" s="26" t="s">
        <v>1252</v>
      </c>
      <c r="C1536" s="33" t="str">
        <f>IFERROR(INDEX(tbl_requisitos_emb[Tema],MATCH(B1536,tbl_requisitos_emb[ID_Req],0)),"")</f>
        <v>Medicamentos de uso humano</v>
      </c>
      <c r="D1536" s="33" t="str">
        <f>IFERROR(INDEX(tbl_recyclass[Segmento],MATCH(A1536,tbl_recyclass[ProductId],0)),"")</f>
        <v>Cosmética e higiene pessoal</v>
      </c>
      <c r="E1536" s="26" t="s">
        <v>904</v>
      </c>
      <c r="F1536" s="26" t="s">
        <v>1451</v>
      </c>
      <c r="G1536" s="26" t="s">
        <v>1143</v>
      </c>
      <c r="H1536" s="33" t="str">
        <f>IF(E1536="Não","Não aplicável",IFERROR(IF(B1536="EU-ENV-002",IF(INDEX(tbl_recyclass[Conforme_PPWR_2030],MATCH(A1536,tbl_recyclass[ProductId],0))="Sim","Conforme (autoavaliação)",IF(INDEX(tbl_recyclass[Conforme_PPWR_2030],MATCH(A1536,tbl_recyclass[ProductId],0))="Não","Não conforme em 2030","Isento até 2035")),IF(B1536="EU-ENV-003",IF(INDEX(tbl_recyclass[Conforme_Art7_2030],MATCH(A1536,tbl_recyclass[ProductId],0))="Sim","Conforme (meta 2030)",IF(INDEX(tbl_recyclass[Conforme_Art7_2030],MATCH(A1536,tbl_recyclass[ProductId],0))="Não","Lacuna face à meta 2030","Isento")),IF(B1536="EU-ENV-011",IF(INDEX(tbl_familias_ppwr[Metais_Pesados_Evidencia],MATCH(INDEX(tbl_recyclass[Familia_PPWR],MATCH(A1536,tbl_recyclass[ProductId],0)),tbl_familias_ppwr[ID_Familia],0))="Em falta","Lacuna","Conforme"),IF(B1536="EU-ENV-013",IF(INDEX(tbl_familias_ppwr[Declaracao_UE],MATCH(INDEX(tbl_recyclass[Familia_PPWR],MATCH(A1536,tbl_recyclass[ProductId],0)),tbl_familias_ppwr[ID_Familia],0))="Sim","Conforme","Lacuna"),G1536)))),G1536))</f>
        <v>Não aplicável</v>
      </c>
      <c r="I1536" s="33" t="str">
        <f t="shared" si="23"/>
        <v>Não aplicável</v>
      </c>
      <c r="J1536" s="26"/>
    </row>
    <row r="1537" spans="1:10" ht="16.05" customHeight="1" x14ac:dyDescent="0.3">
      <c r="A1537" s="26" t="s">
        <v>775</v>
      </c>
      <c r="B1537" s="26" t="s">
        <v>1268</v>
      </c>
      <c r="C1537" s="33" t="str">
        <f>IFERROR(INDEX(tbl_requisitos_emb[Tema],MATCH(B1537,tbl_requisitos_emb[ID_Req],0)),"")</f>
        <v>Dispositivos de segurança</v>
      </c>
      <c r="D1537" s="33" t="str">
        <f>IFERROR(INDEX(tbl_recyclass[Segmento],MATCH(A1537,tbl_recyclass[ProductId],0)),"")</f>
        <v>Cosmética e higiene pessoal</v>
      </c>
      <c r="E1537" s="26" t="s">
        <v>904</v>
      </c>
      <c r="F1537" s="26" t="s">
        <v>1451</v>
      </c>
      <c r="G1537" s="26" t="s">
        <v>1143</v>
      </c>
      <c r="H1537" s="33" t="str">
        <f>IF(E1537="Não","Não aplicável",IFERROR(IF(B1537="EU-ENV-002",IF(INDEX(tbl_recyclass[Conforme_PPWR_2030],MATCH(A1537,tbl_recyclass[ProductId],0))="Sim","Conforme (autoavaliação)",IF(INDEX(tbl_recyclass[Conforme_PPWR_2030],MATCH(A1537,tbl_recyclass[ProductId],0))="Não","Não conforme em 2030","Isento até 2035")),IF(B1537="EU-ENV-003",IF(INDEX(tbl_recyclass[Conforme_Art7_2030],MATCH(A1537,tbl_recyclass[ProductId],0))="Sim","Conforme (meta 2030)",IF(INDEX(tbl_recyclass[Conforme_Art7_2030],MATCH(A1537,tbl_recyclass[ProductId],0))="Não","Lacuna face à meta 2030","Isento")),IF(B1537="EU-ENV-011",IF(INDEX(tbl_familias_ppwr[Metais_Pesados_Evidencia],MATCH(INDEX(tbl_recyclass[Familia_PPWR],MATCH(A1537,tbl_recyclass[ProductId],0)),tbl_familias_ppwr[ID_Familia],0))="Em falta","Lacuna","Conforme"),IF(B1537="EU-ENV-013",IF(INDEX(tbl_familias_ppwr[Declaracao_UE],MATCH(INDEX(tbl_recyclass[Familia_PPWR],MATCH(A1537,tbl_recyclass[ProductId],0)),tbl_familias_ppwr[ID_Familia],0))="Sim","Conforme","Lacuna"),G1537)))),G1537))</f>
        <v>Não aplicável</v>
      </c>
      <c r="I1537" s="33" t="str">
        <f t="shared" si="23"/>
        <v>Não aplicável</v>
      </c>
      <c r="J1537" s="26"/>
    </row>
    <row r="1538" spans="1:10" ht="16.05" customHeight="1" x14ac:dyDescent="0.3">
      <c r="A1538" s="26" t="s">
        <v>775</v>
      </c>
      <c r="B1538" s="26" t="s">
        <v>1285</v>
      </c>
      <c r="C1538" s="33" t="str">
        <f>IFERROR(INDEX(tbl_requisitos_emb[Tema],MATCH(B1538,tbl_requisitos_emb[ID_Req],0)),"")</f>
        <v>Materiais plásticos de acondicionamento primário</v>
      </c>
      <c r="D1538" s="33" t="str">
        <f>IFERROR(INDEX(tbl_recyclass[Segmento],MATCH(A1538,tbl_recyclass[ProductId],0)),"")</f>
        <v>Cosmética e higiene pessoal</v>
      </c>
      <c r="E1538" s="26" t="s">
        <v>904</v>
      </c>
      <c r="F1538" s="26" t="s">
        <v>1451</v>
      </c>
      <c r="G1538" s="26" t="s">
        <v>1143</v>
      </c>
      <c r="H1538" s="33" t="str">
        <f>IF(E1538="Não","Não aplicável",IFERROR(IF(B1538="EU-ENV-002",IF(INDEX(tbl_recyclass[Conforme_PPWR_2030],MATCH(A1538,tbl_recyclass[ProductId],0))="Sim","Conforme (autoavaliação)",IF(INDEX(tbl_recyclass[Conforme_PPWR_2030],MATCH(A1538,tbl_recyclass[ProductId],0))="Não","Não conforme em 2030","Isento até 2035")),IF(B1538="EU-ENV-003",IF(INDEX(tbl_recyclass[Conforme_Art7_2030],MATCH(A1538,tbl_recyclass[ProductId],0))="Sim","Conforme (meta 2030)",IF(INDEX(tbl_recyclass[Conforme_Art7_2030],MATCH(A1538,tbl_recyclass[ProductId],0))="Não","Lacuna face à meta 2030","Isento")),IF(B1538="EU-ENV-011",IF(INDEX(tbl_familias_ppwr[Metais_Pesados_Evidencia],MATCH(INDEX(tbl_recyclass[Familia_PPWR],MATCH(A1538,tbl_recyclass[ProductId],0)),tbl_familias_ppwr[ID_Familia],0))="Em falta","Lacuna","Conforme"),IF(B1538="EU-ENV-013",IF(INDEX(tbl_familias_ppwr[Declaracao_UE],MATCH(INDEX(tbl_recyclass[Familia_PPWR],MATCH(A1538,tbl_recyclass[ProductId],0)),tbl_familias_ppwr[ID_Familia],0))="Sim","Conforme","Lacuna"),G1538)))),G1538))</f>
        <v>Não aplicável</v>
      </c>
      <c r="I1538" s="33" t="str">
        <f t="shared" ref="I1538:I1601" si="24">IF(ISNUMBER(SEARCH("Não aplicável",H1538)),"Não aplicável",IF(ISNUMBER(SEARCH("Isento",H1538)),"Isento",IF(ISNUMBER(SEARCH("Não conforme",H1538)),"Não conforme",IF(ISNUMBER(SEARCH("Lacuna",H1538)),"Lacuna",IF(ISNUMBER(SEARCH("Conforme",H1538)),"Conforme",H1538)))))</f>
        <v>Não aplicável</v>
      </c>
      <c r="J1538" s="26"/>
    </row>
    <row r="1539" spans="1:10" ht="16.05" customHeight="1" x14ac:dyDescent="0.3">
      <c r="A1539" s="26" t="s">
        <v>775</v>
      </c>
      <c r="B1539" s="26" t="s">
        <v>1293</v>
      </c>
      <c r="C1539" s="33" t="str">
        <f>IFERROR(INDEX(tbl_requisitos_emb[Tema],MATCH(B1539,tbl_requisitos_emb[ID_Req],0)),"")</f>
        <v>Isenções PPWR</v>
      </c>
      <c r="D1539" s="33" t="str">
        <f>IFERROR(INDEX(tbl_recyclass[Segmento],MATCH(A1539,tbl_recyclass[ProductId],0)),"")</f>
        <v>Cosmética e higiene pessoal</v>
      </c>
      <c r="E1539" s="26" t="s">
        <v>904</v>
      </c>
      <c r="F1539" s="26" t="s">
        <v>1451</v>
      </c>
      <c r="G1539" s="26" t="s">
        <v>1143</v>
      </c>
      <c r="H1539" s="33" t="str">
        <f>IF(E1539="Não","Não aplicável",IFERROR(IF(B1539="EU-ENV-002",IF(INDEX(tbl_recyclass[Conforme_PPWR_2030],MATCH(A1539,tbl_recyclass[ProductId],0))="Sim","Conforme (autoavaliação)",IF(INDEX(tbl_recyclass[Conforme_PPWR_2030],MATCH(A1539,tbl_recyclass[ProductId],0))="Não","Não conforme em 2030","Isento até 2035")),IF(B1539="EU-ENV-003",IF(INDEX(tbl_recyclass[Conforme_Art7_2030],MATCH(A1539,tbl_recyclass[ProductId],0))="Sim","Conforme (meta 2030)",IF(INDEX(tbl_recyclass[Conforme_Art7_2030],MATCH(A1539,tbl_recyclass[ProductId],0))="Não","Lacuna face à meta 2030","Isento")),IF(B1539="EU-ENV-011",IF(INDEX(tbl_familias_ppwr[Metais_Pesados_Evidencia],MATCH(INDEX(tbl_recyclass[Familia_PPWR],MATCH(A1539,tbl_recyclass[ProductId],0)),tbl_familias_ppwr[ID_Familia],0))="Em falta","Lacuna","Conforme"),IF(B1539="EU-ENV-013",IF(INDEX(tbl_familias_ppwr[Declaracao_UE],MATCH(INDEX(tbl_recyclass[Familia_PPWR],MATCH(A1539,tbl_recyclass[ProductId],0)),tbl_familias_ppwr[ID_Familia],0))="Sim","Conforme","Lacuna"),G1539)))),G1539))</f>
        <v>Não aplicável</v>
      </c>
      <c r="I1539" s="33" t="str">
        <f t="shared" si="24"/>
        <v>Não aplicável</v>
      </c>
      <c r="J1539" s="26"/>
    </row>
    <row r="1540" spans="1:10" ht="16.05" customHeight="1" x14ac:dyDescent="0.3">
      <c r="A1540" s="26" t="s">
        <v>775</v>
      </c>
      <c r="B1540" s="26" t="s">
        <v>1357</v>
      </c>
      <c r="C1540" s="33" t="str">
        <f>IFERROR(INDEX(tbl_requisitos_emb[Tema],MATCH(B1540,tbl_requisitos_emb[ID_Req],0)),"")</f>
        <v>Identificação de plásticos</v>
      </c>
      <c r="D1540" s="33" t="str">
        <f>IFERROR(INDEX(tbl_recyclass[Segmento],MATCH(A1540,tbl_recyclass[ProductId],0)),"")</f>
        <v>Cosmética e higiene pessoal</v>
      </c>
      <c r="E1540" s="26" t="s">
        <v>901</v>
      </c>
      <c r="F1540" s="26" t="s">
        <v>1449</v>
      </c>
      <c r="G1540" s="26" t="s">
        <v>978</v>
      </c>
      <c r="H1540" s="33" t="str">
        <f>IF(E1540="Não","Não aplicável",IFERROR(IF(B1540="EU-ENV-002",IF(INDEX(tbl_recyclass[Conforme_PPWR_2030],MATCH(A1540,tbl_recyclass[ProductId],0))="Sim","Conforme (autoavaliação)",IF(INDEX(tbl_recyclass[Conforme_PPWR_2030],MATCH(A1540,tbl_recyclass[ProductId],0))="Não","Não conforme em 2030","Isento até 2035")),IF(B1540="EU-ENV-003",IF(INDEX(tbl_recyclass[Conforme_Art7_2030],MATCH(A1540,tbl_recyclass[ProductId],0))="Sim","Conforme (meta 2030)",IF(INDEX(tbl_recyclass[Conforme_Art7_2030],MATCH(A1540,tbl_recyclass[ProductId],0))="Não","Lacuna face à meta 2030","Isento")),IF(B1540="EU-ENV-011",IF(INDEX(tbl_familias_ppwr[Metais_Pesados_Evidencia],MATCH(INDEX(tbl_recyclass[Familia_PPWR],MATCH(A1540,tbl_recyclass[ProductId],0)),tbl_familias_ppwr[ID_Familia],0))="Em falta","Lacuna","Conforme"),IF(B1540="EU-ENV-013",IF(INDEX(tbl_familias_ppwr[Declaracao_UE],MATCH(INDEX(tbl_recyclass[Familia_PPWR],MATCH(A1540,tbl_recyclass[ProductId],0)),tbl_familias_ppwr[ID_Familia],0))="Sim","Conforme","Lacuna"),G1540)))),G1540))</f>
        <v>Parcial</v>
      </c>
      <c r="I1540" s="33" t="str">
        <f t="shared" si="24"/>
        <v>Parcial</v>
      </c>
      <c r="J1540" s="26" t="s">
        <v>1362</v>
      </c>
    </row>
    <row r="1541" spans="1:10" ht="16.05" customHeight="1" x14ac:dyDescent="0.3">
      <c r="A1541" s="26" t="s">
        <v>775</v>
      </c>
      <c r="B1541" s="26" t="s">
        <v>1385</v>
      </c>
      <c r="C1541" s="33" t="str">
        <f>IFERROR(INDEX(tbl_requisitos_emb[Tema],MATCH(B1541,tbl_requisitos_emb[ID_Req],0)),"")</f>
        <v>Reciclabilidade (voluntária)</v>
      </c>
      <c r="D1541" s="33" t="str">
        <f>IFERROR(INDEX(tbl_recyclass[Segmento],MATCH(A1541,tbl_recyclass[ProductId],0)),"")</f>
        <v>Cosmética e higiene pessoal</v>
      </c>
      <c r="E1541" s="26" t="s">
        <v>901</v>
      </c>
      <c r="F1541" s="26" t="s">
        <v>1449</v>
      </c>
      <c r="G1541" s="26" t="s">
        <v>978</v>
      </c>
      <c r="H1541" s="33" t="str">
        <f>IF(E1541="Não","Não aplicável",IFERROR(IF(B1541="EU-ENV-002",IF(INDEX(tbl_recyclass[Conforme_PPWR_2030],MATCH(A1541,tbl_recyclass[ProductId],0))="Sim","Conforme (autoavaliação)",IF(INDEX(tbl_recyclass[Conforme_PPWR_2030],MATCH(A1541,tbl_recyclass[ProductId],0))="Não","Não conforme em 2030","Isento até 2035")),IF(B1541="EU-ENV-003",IF(INDEX(tbl_recyclass[Conforme_Art7_2030],MATCH(A1541,tbl_recyclass[ProductId],0))="Sim","Conforme (meta 2030)",IF(INDEX(tbl_recyclass[Conforme_Art7_2030],MATCH(A1541,tbl_recyclass[ProductId],0))="Não","Lacuna face à meta 2030","Isento")),IF(B1541="EU-ENV-011",IF(INDEX(tbl_familias_ppwr[Metais_Pesados_Evidencia],MATCH(INDEX(tbl_recyclass[Familia_PPWR],MATCH(A1541,tbl_recyclass[ProductId],0)),tbl_familias_ppwr[ID_Familia],0))="Em falta","Lacuna","Conforme"),IF(B1541="EU-ENV-013",IF(INDEX(tbl_familias_ppwr[Declaracao_UE],MATCH(INDEX(tbl_recyclass[Familia_PPWR],MATCH(A1541,tbl_recyclass[ProductId],0)),tbl_familias_ppwr[ID_Familia],0))="Sim","Conforme","Lacuna"),G1541)))),G1541))</f>
        <v>Parcial</v>
      </c>
      <c r="I1541" s="33" t="str">
        <f t="shared" si="24"/>
        <v>Parcial</v>
      </c>
      <c r="J1541" s="26" t="s">
        <v>1389</v>
      </c>
    </row>
    <row r="1542" spans="1:10" ht="16.05" customHeight="1" x14ac:dyDescent="0.3">
      <c r="A1542" s="26" t="s">
        <v>777</v>
      </c>
      <c r="B1542" s="26" t="s">
        <v>984</v>
      </c>
      <c r="C1542" s="33" t="str">
        <f>IFERROR(INDEX(tbl_requisitos_emb[Tema],MATCH(B1542,tbl_requisitos_emb[ID_Req],0)),"")</f>
        <v>Conceção para reciclagem</v>
      </c>
      <c r="D1542" s="33" t="str">
        <f>IFERROR(INDEX(tbl_recyclass[Segmento],MATCH(A1542,tbl_recyclass[ProductId],0)),"")</f>
        <v>Cosmética e higiene pessoal</v>
      </c>
      <c r="E1542" s="26" t="s">
        <v>901</v>
      </c>
      <c r="F1542" s="26" t="s">
        <v>1449</v>
      </c>
      <c r="G1542" s="26" t="s">
        <v>978</v>
      </c>
      <c r="H1542" s="33" t="str">
        <f>IF(E1542="Não","Não aplicável",IFERROR(IF(B1542="EU-ENV-002",IF(INDEX(tbl_recyclass[Conforme_PPWR_2030],MATCH(A1542,tbl_recyclass[ProductId],0))="Sim","Conforme (autoavaliação)",IF(INDEX(tbl_recyclass[Conforme_PPWR_2030],MATCH(A1542,tbl_recyclass[ProductId],0))="Não","Não conforme em 2030","Isento até 2035")),IF(B1542="EU-ENV-003",IF(INDEX(tbl_recyclass[Conforme_Art7_2030],MATCH(A1542,tbl_recyclass[ProductId],0))="Sim","Conforme (meta 2030)",IF(INDEX(tbl_recyclass[Conforme_Art7_2030],MATCH(A1542,tbl_recyclass[ProductId],0))="Não","Lacuna face à meta 2030","Isento")),IF(B1542="EU-ENV-011",IF(INDEX(tbl_familias_ppwr[Metais_Pesados_Evidencia],MATCH(INDEX(tbl_recyclass[Familia_PPWR],MATCH(A1542,tbl_recyclass[ProductId],0)),tbl_familias_ppwr[ID_Familia],0))="Em falta","Lacuna","Conforme"),IF(B1542="EU-ENV-013",IF(INDEX(tbl_familias_ppwr[Declaracao_UE],MATCH(INDEX(tbl_recyclass[Familia_PPWR],MATCH(A1542,tbl_recyclass[ProductId],0)),tbl_familias_ppwr[ID_Familia],0))="Sim","Conforme","Lacuna"),G1542)))),G1542))</f>
        <v>Conforme (autoavaliação)</v>
      </c>
      <c r="I1542" s="33" t="str">
        <f t="shared" si="24"/>
        <v>Conforme</v>
      </c>
      <c r="J1542" s="26" t="s">
        <v>991</v>
      </c>
    </row>
    <row r="1543" spans="1:10" ht="16.05" customHeight="1" x14ac:dyDescent="0.3">
      <c r="A1543" s="26" t="s">
        <v>777</v>
      </c>
      <c r="B1543" s="26" t="s">
        <v>997</v>
      </c>
      <c r="C1543" s="33" t="str">
        <f>IFERROR(INDEX(tbl_requisitos_emb[Tema],MATCH(B1543,tbl_requisitos_emb[ID_Req],0)),"")</f>
        <v>Conteúdo reciclado</v>
      </c>
      <c r="D1543" s="33" t="str">
        <f>IFERROR(INDEX(tbl_recyclass[Segmento],MATCH(A1543,tbl_recyclass[ProductId],0)),"")</f>
        <v>Cosmética e higiene pessoal</v>
      </c>
      <c r="E1543" s="26" t="s">
        <v>901</v>
      </c>
      <c r="F1543" s="26" t="s">
        <v>1449</v>
      </c>
      <c r="G1543" s="26" t="s">
        <v>978</v>
      </c>
      <c r="H1543" s="33" t="str">
        <f>IF(E1543="Não","Não aplicável",IFERROR(IF(B1543="EU-ENV-002",IF(INDEX(tbl_recyclass[Conforme_PPWR_2030],MATCH(A1543,tbl_recyclass[ProductId],0))="Sim","Conforme (autoavaliação)",IF(INDEX(tbl_recyclass[Conforme_PPWR_2030],MATCH(A1543,tbl_recyclass[ProductId],0))="Não","Não conforme em 2030","Isento até 2035")),IF(B1543="EU-ENV-003",IF(INDEX(tbl_recyclass[Conforme_Art7_2030],MATCH(A1543,tbl_recyclass[ProductId],0))="Sim","Conforme (meta 2030)",IF(INDEX(tbl_recyclass[Conforme_Art7_2030],MATCH(A1543,tbl_recyclass[ProductId],0))="Não","Lacuna face à meta 2030","Isento")),IF(B1543="EU-ENV-011",IF(INDEX(tbl_familias_ppwr[Metais_Pesados_Evidencia],MATCH(INDEX(tbl_recyclass[Familia_PPWR],MATCH(A1543,tbl_recyclass[ProductId],0)),tbl_familias_ppwr[ID_Familia],0))="Em falta","Lacuna","Conforme"),IF(B1543="EU-ENV-013",IF(INDEX(tbl_familias_ppwr[Declaracao_UE],MATCH(INDEX(tbl_recyclass[Familia_PPWR],MATCH(A1543,tbl_recyclass[ProductId],0)),tbl_familias_ppwr[ID_Familia],0))="Sim","Conforme","Lacuna"),G1543)))),G1543))</f>
        <v>Lacuna face à meta 2030</v>
      </c>
      <c r="I1543" s="33" t="str">
        <f t="shared" si="24"/>
        <v>Lacuna</v>
      </c>
      <c r="J1543" s="26" t="s">
        <v>1001</v>
      </c>
    </row>
    <row r="1544" spans="1:10" ht="16.05" customHeight="1" x14ac:dyDescent="0.3">
      <c r="A1544" s="26" t="s">
        <v>777</v>
      </c>
      <c r="B1544" s="26" t="s">
        <v>1007</v>
      </c>
      <c r="C1544" s="33" t="str">
        <f>IFERROR(INDEX(tbl_requisitos_emb[Tema],MATCH(B1544,tbl_requisitos_emb[ID_Req],0)),"")</f>
        <v>Minimização</v>
      </c>
      <c r="D1544" s="33" t="str">
        <f>IFERROR(INDEX(tbl_recyclass[Segmento],MATCH(A1544,tbl_recyclass[ProductId],0)),"")</f>
        <v>Cosmética e higiene pessoal</v>
      </c>
      <c r="E1544" s="26" t="s">
        <v>901</v>
      </c>
      <c r="F1544" s="26" t="s">
        <v>1449</v>
      </c>
      <c r="G1544" s="26" t="s">
        <v>978</v>
      </c>
      <c r="H1544" s="33" t="str">
        <f>IF(E1544="Não","Não aplicável",IFERROR(IF(B1544="EU-ENV-002",IF(INDEX(tbl_recyclass[Conforme_PPWR_2030],MATCH(A1544,tbl_recyclass[ProductId],0))="Sim","Conforme (autoavaliação)",IF(INDEX(tbl_recyclass[Conforme_PPWR_2030],MATCH(A1544,tbl_recyclass[ProductId],0))="Não","Não conforme em 2030","Isento até 2035")),IF(B1544="EU-ENV-003",IF(INDEX(tbl_recyclass[Conforme_Art7_2030],MATCH(A1544,tbl_recyclass[ProductId],0))="Sim","Conforme (meta 2030)",IF(INDEX(tbl_recyclass[Conforme_Art7_2030],MATCH(A1544,tbl_recyclass[ProductId],0))="Não","Lacuna face à meta 2030","Isento")),IF(B1544="EU-ENV-011",IF(INDEX(tbl_familias_ppwr[Metais_Pesados_Evidencia],MATCH(INDEX(tbl_recyclass[Familia_PPWR],MATCH(A1544,tbl_recyclass[ProductId],0)),tbl_familias_ppwr[ID_Familia],0))="Em falta","Lacuna","Conforme"),IF(B1544="EU-ENV-013",IF(INDEX(tbl_familias_ppwr[Declaracao_UE],MATCH(INDEX(tbl_recyclass[Familia_PPWR],MATCH(A1544,tbl_recyclass[ProductId],0)),tbl_familias_ppwr[ID_Familia],0))="Sim","Conforme","Lacuna"),G1544)))),G1544))</f>
        <v>Parcial</v>
      </c>
      <c r="I1544" s="33" t="str">
        <f t="shared" si="24"/>
        <v>Parcial</v>
      </c>
      <c r="J1544" s="26" t="s">
        <v>1012</v>
      </c>
    </row>
    <row r="1545" spans="1:10" ht="16.05" customHeight="1" x14ac:dyDescent="0.3">
      <c r="A1545" s="26" t="s">
        <v>777</v>
      </c>
      <c r="B1545" s="26" t="s">
        <v>1016</v>
      </c>
      <c r="C1545" s="33" t="str">
        <f>IFERROR(INDEX(tbl_requisitos_emb[Tema],MATCH(B1545,tbl_requisitos_emb[ID_Req],0)),"")</f>
        <v>Rotulagem</v>
      </c>
      <c r="D1545" s="33" t="str">
        <f>IFERROR(INDEX(tbl_recyclass[Segmento],MATCH(A1545,tbl_recyclass[ProductId],0)),"")</f>
        <v>Cosmética e higiene pessoal</v>
      </c>
      <c r="E1545" s="26" t="s">
        <v>901</v>
      </c>
      <c r="F1545" s="26" t="s">
        <v>1449</v>
      </c>
      <c r="G1545" s="26" t="s">
        <v>990</v>
      </c>
      <c r="H1545" s="33" t="str">
        <f>IF(E1545="Não","Não aplicável",IFERROR(IF(B1545="EU-ENV-002",IF(INDEX(tbl_recyclass[Conforme_PPWR_2030],MATCH(A1545,tbl_recyclass[ProductId],0))="Sim","Conforme (autoavaliação)",IF(INDEX(tbl_recyclass[Conforme_PPWR_2030],MATCH(A1545,tbl_recyclass[ProductId],0))="Não","Não conforme em 2030","Isento até 2035")),IF(B1545="EU-ENV-003",IF(INDEX(tbl_recyclass[Conforme_Art7_2030],MATCH(A1545,tbl_recyclass[ProductId],0))="Sim","Conforme (meta 2030)",IF(INDEX(tbl_recyclass[Conforme_Art7_2030],MATCH(A1545,tbl_recyclass[ProductId],0))="Não","Lacuna face à meta 2030","Isento")),IF(B1545="EU-ENV-011",IF(INDEX(tbl_familias_ppwr[Metais_Pesados_Evidencia],MATCH(INDEX(tbl_recyclass[Familia_PPWR],MATCH(A1545,tbl_recyclass[ProductId],0)),tbl_familias_ppwr[ID_Familia],0))="Em falta","Lacuna","Conforme"),IF(B1545="EU-ENV-013",IF(INDEX(tbl_familias_ppwr[Declaracao_UE],MATCH(INDEX(tbl_recyclass[Familia_PPWR],MATCH(A1545,tbl_recyclass[ProductId],0)),tbl_familias_ppwr[ID_Familia],0))="Sim","Conforme","Lacuna"),G1545)))),G1545))</f>
        <v>Futuro</v>
      </c>
      <c r="I1545" s="33" t="str">
        <f t="shared" si="24"/>
        <v>Futuro</v>
      </c>
      <c r="J1545" s="26" t="s">
        <v>1021</v>
      </c>
    </row>
    <row r="1546" spans="1:10" ht="16.05" customHeight="1" x14ac:dyDescent="0.3">
      <c r="A1546" s="26" t="s">
        <v>777</v>
      </c>
      <c r="B1546" s="26" t="s">
        <v>1038</v>
      </c>
      <c r="C1546" s="33" t="str">
        <f>IFERROR(INDEX(tbl_requisitos_emb[Tema],MATCH(B1546,tbl_requisitos_emb[ID_Req],0)),"")</f>
        <v>Plásticos de utilização única</v>
      </c>
      <c r="D1546" s="33" t="str">
        <f>IFERROR(INDEX(tbl_recyclass[Segmento],MATCH(A1546,tbl_recyclass[ProductId],0)),"")</f>
        <v>Cosmética e higiene pessoal</v>
      </c>
      <c r="E1546" s="26" t="s">
        <v>904</v>
      </c>
      <c r="F1546" s="26" t="s">
        <v>1450</v>
      </c>
      <c r="G1546" s="26" t="s">
        <v>1143</v>
      </c>
      <c r="H1546" s="33" t="str">
        <f>IF(E1546="Não","Não aplicável",IFERROR(IF(B1546="EU-ENV-002",IF(INDEX(tbl_recyclass[Conforme_PPWR_2030],MATCH(A1546,tbl_recyclass[ProductId],0))="Sim","Conforme (autoavaliação)",IF(INDEX(tbl_recyclass[Conforme_PPWR_2030],MATCH(A1546,tbl_recyclass[ProductId],0))="Não","Não conforme em 2030","Isento até 2035")),IF(B1546="EU-ENV-003",IF(INDEX(tbl_recyclass[Conforme_Art7_2030],MATCH(A1546,tbl_recyclass[ProductId],0))="Sim","Conforme (meta 2030)",IF(INDEX(tbl_recyclass[Conforme_Art7_2030],MATCH(A1546,tbl_recyclass[ProductId],0))="Não","Lacuna face à meta 2030","Isento")),IF(B1546="EU-ENV-011",IF(INDEX(tbl_familias_ppwr[Metais_Pesados_Evidencia],MATCH(INDEX(tbl_recyclass[Familia_PPWR],MATCH(A1546,tbl_recyclass[ProductId],0)),tbl_familias_ppwr[ID_Familia],0))="Em falta","Lacuna","Conforme"),IF(B1546="EU-ENV-013",IF(INDEX(tbl_familias_ppwr[Declaracao_UE],MATCH(INDEX(tbl_recyclass[Familia_PPWR],MATCH(A1546,tbl_recyclass[ProductId],0)),tbl_familias_ppwr[ID_Familia],0))="Sim","Conforme","Lacuna"),G1546)))),G1546))</f>
        <v>Não aplicável</v>
      </c>
      <c r="I1546" s="33" t="str">
        <f t="shared" si="24"/>
        <v>Não aplicável</v>
      </c>
      <c r="J1546" s="26"/>
    </row>
    <row r="1547" spans="1:10" ht="16.05" customHeight="1" x14ac:dyDescent="0.3">
      <c r="A1547" s="26" t="s">
        <v>777</v>
      </c>
      <c r="B1547" s="26" t="s">
        <v>1078</v>
      </c>
      <c r="C1547" s="33" t="str">
        <f>IFERROR(INDEX(tbl_requisitos_emb[Tema],MATCH(B1547,tbl_requisitos_emb[ID_Req],0)),"")</f>
        <v>Reciclado à escala</v>
      </c>
      <c r="D1547" s="33" t="str">
        <f>IFERROR(INDEX(tbl_recyclass[Segmento],MATCH(A1547,tbl_recyclass[ProductId],0)),"")</f>
        <v>Cosmética e higiene pessoal</v>
      </c>
      <c r="E1547" s="26" t="s">
        <v>901</v>
      </c>
      <c r="F1547" s="26" t="s">
        <v>1449</v>
      </c>
      <c r="G1547" s="26" t="s">
        <v>990</v>
      </c>
      <c r="H1547" s="33" t="str">
        <f>IF(E1547="Não","Não aplicável",IFERROR(IF(B1547="EU-ENV-002",IF(INDEX(tbl_recyclass[Conforme_PPWR_2030],MATCH(A1547,tbl_recyclass[ProductId],0))="Sim","Conforme (autoavaliação)",IF(INDEX(tbl_recyclass[Conforme_PPWR_2030],MATCH(A1547,tbl_recyclass[ProductId],0))="Não","Não conforme em 2030","Isento até 2035")),IF(B1547="EU-ENV-003",IF(INDEX(tbl_recyclass[Conforme_Art7_2030],MATCH(A1547,tbl_recyclass[ProductId],0))="Sim","Conforme (meta 2030)",IF(INDEX(tbl_recyclass[Conforme_Art7_2030],MATCH(A1547,tbl_recyclass[ProductId],0))="Não","Lacuna face à meta 2030","Isento")),IF(B1547="EU-ENV-011",IF(INDEX(tbl_familias_ppwr[Metais_Pesados_Evidencia],MATCH(INDEX(tbl_recyclass[Familia_PPWR],MATCH(A1547,tbl_recyclass[ProductId],0)),tbl_familias_ppwr[ID_Familia],0))="Em falta","Lacuna","Conforme"),IF(B1547="EU-ENV-013",IF(INDEX(tbl_familias_ppwr[Declaracao_UE],MATCH(INDEX(tbl_recyclass[Familia_PPWR],MATCH(A1547,tbl_recyclass[ProductId],0)),tbl_familias_ppwr[ID_Familia],0))="Sim","Conforme","Lacuna"),G1547)))),G1547))</f>
        <v>Futuro</v>
      </c>
      <c r="I1547" s="33" t="str">
        <f t="shared" si="24"/>
        <v>Futuro</v>
      </c>
      <c r="J1547" s="26" t="s">
        <v>1082</v>
      </c>
    </row>
    <row r="1548" spans="1:10" ht="16.05" customHeight="1" x14ac:dyDescent="0.3">
      <c r="A1548" s="26" t="s">
        <v>777</v>
      </c>
      <c r="B1548" s="26" t="s">
        <v>1086</v>
      </c>
      <c r="C1548" s="33" t="str">
        <f>IFERROR(INDEX(tbl_requisitos_emb[Tema],MATCH(B1548,tbl_requisitos_emb[ID_Req],0)),"")</f>
        <v>Metais pesados</v>
      </c>
      <c r="D1548" s="33" t="str">
        <f>IFERROR(INDEX(tbl_recyclass[Segmento],MATCH(A1548,tbl_recyclass[ProductId],0)),"")</f>
        <v>Cosmética e higiene pessoal</v>
      </c>
      <c r="E1548" s="26" t="s">
        <v>901</v>
      </c>
      <c r="F1548" s="26" t="s">
        <v>1449</v>
      </c>
      <c r="G1548" s="26" t="s">
        <v>978</v>
      </c>
      <c r="H1548" s="33" t="str">
        <f>IF(E1548="Não","Não aplicável",IFERROR(IF(B1548="EU-ENV-002",IF(INDEX(tbl_recyclass[Conforme_PPWR_2030],MATCH(A1548,tbl_recyclass[ProductId],0))="Sim","Conforme (autoavaliação)",IF(INDEX(tbl_recyclass[Conforme_PPWR_2030],MATCH(A1548,tbl_recyclass[ProductId],0))="Não","Não conforme em 2030","Isento até 2035")),IF(B1548="EU-ENV-003",IF(INDEX(tbl_recyclass[Conforme_Art7_2030],MATCH(A1548,tbl_recyclass[ProductId],0))="Sim","Conforme (meta 2030)",IF(INDEX(tbl_recyclass[Conforme_Art7_2030],MATCH(A1548,tbl_recyclass[ProductId],0))="Não","Lacuna face à meta 2030","Isento")),IF(B1548="EU-ENV-011",IF(INDEX(tbl_familias_ppwr[Metais_Pesados_Evidencia],MATCH(INDEX(tbl_recyclass[Familia_PPWR],MATCH(A1548,tbl_recyclass[ProductId],0)),tbl_familias_ppwr[ID_Familia],0))="Em falta","Lacuna","Conforme"),IF(B1548="EU-ENV-013",IF(INDEX(tbl_familias_ppwr[Declaracao_UE],MATCH(INDEX(tbl_recyclass[Familia_PPWR],MATCH(A1548,tbl_recyclass[ProductId],0)),tbl_familias_ppwr[ID_Familia],0))="Sim","Conforme","Lacuna"),G1548)))),G1548))</f>
        <v>Conforme</v>
      </c>
      <c r="I1548" s="33" t="str">
        <f t="shared" si="24"/>
        <v>Conforme</v>
      </c>
      <c r="J1548" s="26" t="s">
        <v>1090</v>
      </c>
    </row>
    <row r="1549" spans="1:10" ht="16.05" customHeight="1" x14ac:dyDescent="0.3">
      <c r="A1549" s="26" t="s">
        <v>777</v>
      </c>
      <c r="B1549" s="26" t="s">
        <v>1094</v>
      </c>
      <c r="C1549" s="33" t="str">
        <f>IFERROR(INDEX(tbl_requisitos_emb[Tema],MATCH(B1549,tbl_requisitos_emb[ID_Req],0)),"")</f>
        <v>PFAS</v>
      </c>
      <c r="D1549" s="33" t="str">
        <f>IFERROR(INDEX(tbl_recyclass[Segmento],MATCH(A1549,tbl_recyclass[ProductId],0)),"")</f>
        <v>Cosmética e higiene pessoal</v>
      </c>
      <c r="E1549" s="26" t="s">
        <v>904</v>
      </c>
      <c r="F1549" s="26" t="s">
        <v>1450</v>
      </c>
      <c r="G1549" s="26" t="s">
        <v>1143</v>
      </c>
      <c r="H1549" s="33" t="str">
        <f>IF(E1549="Não","Não aplicável",IFERROR(IF(B1549="EU-ENV-002",IF(INDEX(tbl_recyclass[Conforme_PPWR_2030],MATCH(A1549,tbl_recyclass[ProductId],0))="Sim","Conforme (autoavaliação)",IF(INDEX(tbl_recyclass[Conforme_PPWR_2030],MATCH(A1549,tbl_recyclass[ProductId],0))="Não","Não conforme em 2030","Isento até 2035")),IF(B1549="EU-ENV-003",IF(INDEX(tbl_recyclass[Conforme_Art7_2030],MATCH(A1549,tbl_recyclass[ProductId],0))="Sim","Conforme (meta 2030)",IF(INDEX(tbl_recyclass[Conforme_Art7_2030],MATCH(A1549,tbl_recyclass[ProductId],0))="Não","Lacuna face à meta 2030","Isento")),IF(B1549="EU-ENV-011",IF(INDEX(tbl_familias_ppwr[Metais_Pesados_Evidencia],MATCH(INDEX(tbl_recyclass[Familia_PPWR],MATCH(A1549,tbl_recyclass[ProductId],0)),tbl_familias_ppwr[ID_Familia],0))="Em falta","Lacuna","Conforme"),IF(B1549="EU-ENV-013",IF(INDEX(tbl_familias_ppwr[Declaracao_UE],MATCH(INDEX(tbl_recyclass[Familia_PPWR],MATCH(A1549,tbl_recyclass[ProductId],0)),tbl_familias_ppwr[ID_Familia],0))="Sim","Conforme","Lacuna"),G1549)))),G1549))</f>
        <v>Não aplicável</v>
      </c>
      <c r="I1549" s="33" t="str">
        <f t="shared" si="24"/>
        <v>Não aplicável</v>
      </c>
      <c r="J1549" s="26"/>
    </row>
    <row r="1550" spans="1:10" ht="16.05" customHeight="1" x14ac:dyDescent="0.3">
      <c r="A1550" s="26" t="s">
        <v>777</v>
      </c>
      <c r="B1550" s="26" t="s">
        <v>1102</v>
      </c>
      <c r="C1550" s="33" t="str">
        <f>IFERROR(INDEX(tbl_requisitos_emb[Tema],MATCH(B1550,tbl_requisitos_emb[ID_Req],0)),"")</f>
        <v>Documentação técnica e declaração UE</v>
      </c>
      <c r="D1550" s="33" t="str">
        <f>IFERROR(INDEX(tbl_recyclass[Segmento],MATCH(A1550,tbl_recyclass[ProductId],0)),"")</f>
        <v>Cosmética e higiene pessoal</v>
      </c>
      <c r="E1550" s="26" t="s">
        <v>901</v>
      </c>
      <c r="F1550" s="26" t="s">
        <v>1449</v>
      </c>
      <c r="G1550" s="26" t="s">
        <v>978</v>
      </c>
      <c r="H1550" s="33" t="str">
        <f>IF(E1550="Não","Não aplicável",IFERROR(IF(B1550="EU-ENV-002",IF(INDEX(tbl_recyclass[Conforme_PPWR_2030],MATCH(A1550,tbl_recyclass[ProductId],0))="Sim","Conforme (autoavaliação)",IF(INDEX(tbl_recyclass[Conforme_PPWR_2030],MATCH(A1550,tbl_recyclass[ProductId],0))="Não","Não conforme em 2030","Isento até 2035")),IF(B1550="EU-ENV-003",IF(INDEX(tbl_recyclass[Conforme_Art7_2030],MATCH(A1550,tbl_recyclass[ProductId],0))="Sim","Conforme (meta 2030)",IF(INDEX(tbl_recyclass[Conforme_Art7_2030],MATCH(A1550,tbl_recyclass[ProductId],0))="Não","Lacuna face à meta 2030","Isento")),IF(B1550="EU-ENV-011",IF(INDEX(tbl_familias_ppwr[Metais_Pesados_Evidencia],MATCH(INDEX(tbl_recyclass[Familia_PPWR],MATCH(A1550,tbl_recyclass[ProductId],0)),tbl_familias_ppwr[ID_Familia],0))="Em falta","Lacuna","Conforme"),IF(B1550="EU-ENV-013",IF(INDEX(tbl_familias_ppwr[Declaracao_UE],MATCH(INDEX(tbl_recyclass[Familia_PPWR],MATCH(A1550,tbl_recyclass[ProductId],0)),tbl_familias_ppwr[ID_Familia],0))="Sim","Conforme","Lacuna"),G1550)))),G1550))</f>
        <v>Conforme</v>
      </c>
      <c r="I1550" s="33" t="str">
        <f t="shared" si="24"/>
        <v>Conforme</v>
      </c>
      <c r="J1550" s="26" t="s">
        <v>1106</v>
      </c>
    </row>
    <row r="1551" spans="1:10" ht="16.05" customHeight="1" x14ac:dyDescent="0.3">
      <c r="A1551" s="26" t="s">
        <v>777</v>
      </c>
      <c r="B1551" s="26" t="s">
        <v>1161</v>
      </c>
      <c r="C1551" s="33" t="str">
        <f>IFERROR(INDEX(tbl_requisitos_emb[Tema],MATCH(B1551,tbl_requisitos_emb[ID_Req],0)),"")</f>
        <v>Materiais em contacto com alimentos</v>
      </c>
      <c r="D1551" s="33" t="str">
        <f>IFERROR(INDEX(tbl_recyclass[Segmento],MATCH(A1551,tbl_recyclass[ProductId],0)),"")</f>
        <v>Cosmética e higiene pessoal</v>
      </c>
      <c r="E1551" s="26" t="s">
        <v>904</v>
      </c>
      <c r="F1551" s="26" t="s">
        <v>1450</v>
      </c>
      <c r="G1551" s="26" t="s">
        <v>1143</v>
      </c>
      <c r="H1551" s="33" t="str">
        <f>IF(E1551="Não","Não aplicável",IFERROR(IF(B1551="EU-ENV-002",IF(INDEX(tbl_recyclass[Conforme_PPWR_2030],MATCH(A1551,tbl_recyclass[ProductId],0))="Sim","Conforme (autoavaliação)",IF(INDEX(tbl_recyclass[Conforme_PPWR_2030],MATCH(A1551,tbl_recyclass[ProductId],0))="Não","Não conforme em 2030","Isento até 2035")),IF(B1551="EU-ENV-003",IF(INDEX(tbl_recyclass[Conforme_Art7_2030],MATCH(A1551,tbl_recyclass[ProductId],0))="Sim","Conforme (meta 2030)",IF(INDEX(tbl_recyclass[Conforme_Art7_2030],MATCH(A1551,tbl_recyclass[ProductId],0))="Não","Lacuna face à meta 2030","Isento")),IF(B1551="EU-ENV-011",IF(INDEX(tbl_familias_ppwr[Metais_Pesados_Evidencia],MATCH(INDEX(tbl_recyclass[Familia_PPWR],MATCH(A1551,tbl_recyclass[ProductId],0)),tbl_familias_ppwr[ID_Familia],0))="Em falta","Lacuna","Conforme"),IF(B1551="EU-ENV-013",IF(INDEX(tbl_familias_ppwr[Declaracao_UE],MATCH(INDEX(tbl_recyclass[Familia_PPWR],MATCH(A1551,tbl_recyclass[ProductId],0)),tbl_familias_ppwr[ID_Familia],0))="Sim","Conforme","Lacuna"),G1551)))),G1551))</f>
        <v>Não aplicável</v>
      </c>
      <c r="I1551" s="33" t="str">
        <f t="shared" si="24"/>
        <v>Não aplicável</v>
      </c>
      <c r="J1551" s="26"/>
    </row>
    <row r="1552" spans="1:10" ht="16.05" customHeight="1" x14ac:dyDescent="0.3">
      <c r="A1552" s="26" t="s">
        <v>777</v>
      </c>
      <c r="B1552" s="26" t="s">
        <v>1170</v>
      </c>
      <c r="C1552" s="33" t="str">
        <f>IFERROR(INDEX(tbl_requisitos_emb[Tema],MATCH(B1552,tbl_requisitos_emb[ID_Req],0)),"")</f>
        <v>Boas práticas de fabrico FCM</v>
      </c>
      <c r="D1552" s="33" t="str">
        <f>IFERROR(INDEX(tbl_recyclass[Segmento],MATCH(A1552,tbl_recyclass[ProductId],0)),"")</f>
        <v>Cosmética e higiene pessoal</v>
      </c>
      <c r="E1552" s="26" t="s">
        <v>904</v>
      </c>
      <c r="F1552" s="26" t="s">
        <v>1450</v>
      </c>
      <c r="G1552" s="26" t="s">
        <v>1143</v>
      </c>
      <c r="H1552" s="33" t="str">
        <f>IF(E1552="Não","Não aplicável",IFERROR(IF(B1552="EU-ENV-002",IF(INDEX(tbl_recyclass[Conforme_PPWR_2030],MATCH(A1552,tbl_recyclass[ProductId],0))="Sim","Conforme (autoavaliação)",IF(INDEX(tbl_recyclass[Conforme_PPWR_2030],MATCH(A1552,tbl_recyclass[ProductId],0))="Não","Não conforme em 2030","Isento até 2035")),IF(B1552="EU-ENV-003",IF(INDEX(tbl_recyclass[Conforme_Art7_2030],MATCH(A1552,tbl_recyclass[ProductId],0))="Sim","Conforme (meta 2030)",IF(INDEX(tbl_recyclass[Conforme_Art7_2030],MATCH(A1552,tbl_recyclass[ProductId],0))="Não","Lacuna face à meta 2030","Isento")),IF(B1552="EU-ENV-011",IF(INDEX(tbl_familias_ppwr[Metais_Pesados_Evidencia],MATCH(INDEX(tbl_recyclass[Familia_PPWR],MATCH(A1552,tbl_recyclass[ProductId],0)),tbl_familias_ppwr[ID_Familia],0))="Em falta","Lacuna","Conforme"),IF(B1552="EU-ENV-013",IF(INDEX(tbl_familias_ppwr[Declaracao_UE],MATCH(INDEX(tbl_recyclass[Familia_PPWR],MATCH(A1552,tbl_recyclass[ProductId],0)),tbl_familias_ppwr[ID_Familia],0))="Sim","Conforme","Lacuna"),G1552)))),G1552))</f>
        <v>Não aplicável</v>
      </c>
      <c r="I1552" s="33" t="str">
        <f t="shared" si="24"/>
        <v>Não aplicável</v>
      </c>
      <c r="J1552" s="26"/>
    </row>
    <row r="1553" spans="1:10" ht="16.05" customHeight="1" x14ac:dyDescent="0.3">
      <c r="A1553" s="26" t="s">
        <v>777</v>
      </c>
      <c r="B1553" s="26" t="s">
        <v>1179</v>
      </c>
      <c r="C1553" s="33" t="str">
        <f>IFERROR(INDEX(tbl_requisitos_emb[Tema],MATCH(B1553,tbl_requisitos_emb[ID_Req],0)),"")</f>
        <v>Bisfenol A e bisfenóis perigosos</v>
      </c>
      <c r="D1553" s="33" t="str">
        <f>IFERROR(INDEX(tbl_recyclass[Segmento],MATCH(A1553,tbl_recyclass[ProductId],0)),"")</f>
        <v>Cosmética e higiene pessoal</v>
      </c>
      <c r="E1553" s="26" t="s">
        <v>904</v>
      </c>
      <c r="F1553" s="26" t="s">
        <v>1450</v>
      </c>
      <c r="G1553" s="26" t="s">
        <v>1143</v>
      </c>
      <c r="H1553" s="33" t="str">
        <f>IF(E1553="Não","Não aplicável",IFERROR(IF(B1553="EU-ENV-002",IF(INDEX(tbl_recyclass[Conforme_PPWR_2030],MATCH(A1553,tbl_recyclass[ProductId],0))="Sim","Conforme (autoavaliação)",IF(INDEX(tbl_recyclass[Conforme_PPWR_2030],MATCH(A1553,tbl_recyclass[ProductId],0))="Não","Não conforme em 2030","Isento até 2035")),IF(B1553="EU-ENV-003",IF(INDEX(tbl_recyclass[Conforme_Art7_2030],MATCH(A1553,tbl_recyclass[ProductId],0))="Sim","Conforme (meta 2030)",IF(INDEX(tbl_recyclass[Conforme_Art7_2030],MATCH(A1553,tbl_recyclass[ProductId],0))="Não","Lacuna face à meta 2030","Isento")),IF(B1553="EU-ENV-011",IF(INDEX(tbl_familias_ppwr[Metais_Pesados_Evidencia],MATCH(INDEX(tbl_recyclass[Familia_PPWR],MATCH(A1553,tbl_recyclass[ProductId],0)),tbl_familias_ppwr[ID_Familia],0))="Em falta","Lacuna","Conforme"),IF(B1553="EU-ENV-013",IF(INDEX(tbl_familias_ppwr[Declaracao_UE],MATCH(INDEX(tbl_recyclass[Familia_PPWR],MATCH(A1553,tbl_recyclass[ProductId],0)),tbl_familias_ppwr[ID_Familia],0))="Sim","Conforme","Lacuna"),G1553)))),G1553))</f>
        <v>Não aplicável</v>
      </c>
      <c r="I1553" s="33" t="str">
        <f t="shared" si="24"/>
        <v>Não aplicável</v>
      </c>
      <c r="J1553" s="26"/>
    </row>
    <row r="1554" spans="1:10" ht="16.05" customHeight="1" x14ac:dyDescent="0.3">
      <c r="A1554" s="26" t="s">
        <v>777</v>
      </c>
      <c r="B1554" s="26" t="s">
        <v>1188</v>
      </c>
      <c r="C1554" s="33" t="str">
        <f>IFERROR(INDEX(tbl_requisitos_emb[Tema],MATCH(B1554,tbl_requisitos_emb[ID_Req],0)),"")</f>
        <v>Plásticos em contacto com alimentos</v>
      </c>
      <c r="D1554" s="33" t="str">
        <f>IFERROR(INDEX(tbl_recyclass[Segmento],MATCH(A1554,tbl_recyclass[ProductId],0)),"")</f>
        <v>Cosmética e higiene pessoal</v>
      </c>
      <c r="E1554" s="26" t="s">
        <v>904</v>
      </c>
      <c r="F1554" s="26" t="s">
        <v>1450</v>
      </c>
      <c r="G1554" s="26" t="s">
        <v>1143</v>
      </c>
      <c r="H1554" s="33" t="str">
        <f>IF(E1554="Não","Não aplicável",IFERROR(IF(B1554="EU-ENV-002",IF(INDEX(tbl_recyclass[Conforme_PPWR_2030],MATCH(A1554,tbl_recyclass[ProductId],0))="Sim","Conforme (autoavaliação)",IF(INDEX(tbl_recyclass[Conforme_PPWR_2030],MATCH(A1554,tbl_recyclass[ProductId],0))="Não","Não conforme em 2030","Isento até 2035")),IF(B1554="EU-ENV-003",IF(INDEX(tbl_recyclass[Conforme_Art7_2030],MATCH(A1554,tbl_recyclass[ProductId],0))="Sim","Conforme (meta 2030)",IF(INDEX(tbl_recyclass[Conforme_Art7_2030],MATCH(A1554,tbl_recyclass[ProductId],0))="Não","Lacuna face à meta 2030","Isento")),IF(B1554="EU-ENV-011",IF(INDEX(tbl_familias_ppwr[Metais_Pesados_Evidencia],MATCH(INDEX(tbl_recyclass[Familia_PPWR],MATCH(A1554,tbl_recyclass[ProductId],0)),tbl_familias_ppwr[ID_Familia],0))="Em falta","Lacuna","Conforme"),IF(B1554="EU-ENV-013",IF(INDEX(tbl_familias_ppwr[Declaracao_UE],MATCH(INDEX(tbl_recyclass[Familia_PPWR],MATCH(A1554,tbl_recyclass[ProductId],0)),tbl_familias_ppwr[ID_Familia],0))="Sim","Conforme","Lacuna"),G1554)))),G1554))</f>
        <v>Não aplicável</v>
      </c>
      <c r="I1554" s="33" t="str">
        <f t="shared" si="24"/>
        <v>Não aplicável</v>
      </c>
      <c r="J1554" s="26"/>
    </row>
    <row r="1555" spans="1:10" ht="16.05" customHeight="1" x14ac:dyDescent="0.3">
      <c r="A1555" s="26" t="s">
        <v>777</v>
      </c>
      <c r="B1555" s="26" t="s">
        <v>1212</v>
      </c>
      <c r="C1555" s="33" t="str">
        <f>IFERROR(INDEX(tbl_requisitos_emb[Tema],MATCH(B1555,tbl_requisitos_emb[ID_Req],0)),"")</f>
        <v>Segurança do produto cosmético</v>
      </c>
      <c r="D1555" s="33" t="str">
        <f>IFERROR(INDEX(tbl_recyclass[Segmento],MATCH(A1555,tbl_recyclass[ProductId],0)),"")</f>
        <v>Cosmética e higiene pessoal</v>
      </c>
      <c r="E1555" s="26" t="s">
        <v>901</v>
      </c>
      <c r="F1555" s="26" t="s">
        <v>1449</v>
      </c>
      <c r="G1555" s="26" t="s">
        <v>1033</v>
      </c>
      <c r="H1555" s="33" t="str">
        <f>IF(E1555="Não","Não aplicável",IFERROR(IF(B1555="EU-ENV-002",IF(INDEX(tbl_recyclass[Conforme_PPWR_2030],MATCH(A1555,tbl_recyclass[ProductId],0))="Sim","Conforme (autoavaliação)",IF(INDEX(tbl_recyclass[Conforme_PPWR_2030],MATCH(A1555,tbl_recyclass[ProductId],0))="Não","Não conforme em 2030","Isento até 2035")),IF(B1555="EU-ENV-003",IF(INDEX(tbl_recyclass[Conforme_Art7_2030],MATCH(A1555,tbl_recyclass[ProductId],0))="Sim","Conforme (meta 2030)",IF(INDEX(tbl_recyclass[Conforme_Art7_2030],MATCH(A1555,tbl_recyclass[ProductId],0))="Não","Lacuna face à meta 2030","Isento")),IF(B1555="EU-ENV-011",IF(INDEX(tbl_familias_ppwr[Metais_Pesados_Evidencia],MATCH(INDEX(tbl_recyclass[Familia_PPWR],MATCH(A1555,tbl_recyclass[ProductId],0)),tbl_familias_ppwr[ID_Familia],0))="Em falta","Lacuna","Conforme"),IF(B1555="EU-ENV-013",IF(INDEX(tbl_familias_ppwr[Declaracao_UE],MATCH(INDEX(tbl_recyclass[Familia_PPWR],MATCH(A1555,tbl_recyclass[ProductId],0)),tbl_familias_ppwr[ID_Familia],0))="Sim","Conforme","Lacuna"),G1555)))),G1555))</f>
        <v>Conforme</v>
      </c>
      <c r="I1555" s="33" t="str">
        <f t="shared" si="24"/>
        <v>Conforme</v>
      </c>
      <c r="J1555" s="26" t="s">
        <v>1221</v>
      </c>
    </row>
    <row r="1556" spans="1:10" ht="16.05" customHeight="1" x14ac:dyDescent="0.3">
      <c r="A1556" s="26" t="s">
        <v>777</v>
      </c>
      <c r="B1556" s="26" t="s">
        <v>1224</v>
      </c>
      <c r="C1556" s="33" t="str">
        <f>IFERROR(INDEX(tbl_requisitos_emb[Tema],MATCH(B1556,tbl_requisitos_emb[ID_Req],0)),"")</f>
        <v>Materiais e impurezas</v>
      </c>
      <c r="D1556" s="33" t="str">
        <f>IFERROR(INDEX(tbl_recyclass[Segmento],MATCH(A1556,tbl_recyclass[ProductId],0)),"")</f>
        <v>Cosmética e higiene pessoal</v>
      </c>
      <c r="E1556" s="26" t="s">
        <v>901</v>
      </c>
      <c r="F1556" s="26" t="s">
        <v>1449</v>
      </c>
      <c r="G1556" s="26" t="s">
        <v>978</v>
      </c>
      <c r="H1556" s="33" t="str">
        <f>IF(E1556="Não","Não aplicável",IFERROR(IF(B1556="EU-ENV-002",IF(INDEX(tbl_recyclass[Conforme_PPWR_2030],MATCH(A1556,tbl_recyclass[ProductId],0))="Sim","Conforme (autoavaliação)",IF(INDEX(tbl_recyclass[Conforme_PPWR_2030],MATCH(A1556,tbl_recyclass[ProductId],0))="Não","Não conforme em 2030","Isento até 2035")),IF(B1556="EU-ENV-003",IF(INDEX(tbl_recyclass[Conforme_Art7_2030],MATCH(A1556,tbl_recyclass[ProductId],0))="Sim","Conforme (meta 2030)",IF(INDEX(tbl_recyclass[Conforme_Art7_2030],MATCH(A1556,tbl_recyclass[ProductId],0))="Não","Lacuna face à meta 2030","Isento")),IF(B1556="EU-ENV-011",IF(INDEX(tbl_familias_ppwr[Metais_Pesados_Evidencia],MATCH(INDEX(tbl_recyclass[Familia_PPWR],MATCH(A1556,tbl_recyclass[ProductId],0)),tbl_familias_ppwr[ID_Familia],0))="Em falta","Lacuna","Conforme"),IF(B1556="EU-ENV-013",IF(INDEX(tbl_familias_ppwr[Declaracao_UE],MATCH(INDEX(tbl_recyclass[Familia_PPWR],MATCH(A1556,tbl_recyclass[ProductId],0)),tbl_familias_ppwr[ID_Familia],0))="Sim","Conforme","Lacuna"),G1556)))),G1556))</f>
        <v>Parcial</v>
      </c>
      <c r="I1556" s="33" t="str">
        <f t="shared" si="24"/>
        <v>Parcial</v>
      </c>
      <c r="J1556" s="26" t="s">
        <v>1228</v>
      </c>
    </row>
    <row r="1557" spans="1:10" ht="16.05" customHeight="1" x14ac:dyDescent="0.3">
      <c r="A1557" s="26" t="s">
        <v>777</v>
      </c>
      <c r="B1557" s="26" t="s">
        <v>1240</v>
      </c>
      <c r="C1557" s="33" t="str">
        <f>IFERROR(INDEX(tbl_requisitos_emb[Tema],MATCH(B1557,tbl_requisitos_emb[ID_Req],0)),"")</f>
        <v>Compatibilidade embalagem–produto</v>
      </c>
      <c r="D1557" s="33" t="str">
        <f>IFERROR(INDEX(tbl_recyclass[Segmento],MATCH(A1557,tbl_recyclass[ProductId],0)),"")</f>
        <v>Cosmética e higiene pessoal</v>
      </c>
      <c r="E1557" s="26" t="s">
        <v>901</v>
      </c>
      <c r="F1557" s="26" t="s">
        <v>1449</v>
      </c>
      <c r="G1557" s="26" t="s">
        <v>1033</v>
      </c>
      <c r="H1557" s="33" t="str">
        <f>IF(E1557="Não","Não aplicável",IFERROR(IF(B1557="EU-ENV-002",IF(INDEX(tbl_recyclass[Conforme_PPWR_2030],MATCH(A1557,tbl_recyclass[ProductId],0))="Sim","Conforme (autoavaliação)",IF(INDEX(tbl_recyclass[Conforme_PPWR_2030],MATCH(A1557,tbl_recyclass[ProductId],0))="Não","Não conforme em 2030","Isento até 2035")),IF(B1557="EU-ENV-003",IF(INDEX(tbl_recyclass[Conforme_Art7_2030],MATCH(A1557,tbl_recyclass[ProductId],0))="Sim","Conforme (meta 2030)",IF(INDEX(tbl_recyclass[Conforme_Art7_2030],MATCH(A1557,tbl_recyclass[ProductId],0))="Não","Lacuna face à meta 2030","Isento")),IF(B1557="EU-ENV-011",IF(INDEX(tbl_familias_ppwr[Metais_Pesados_Evidencia],MATCH(INDEX(tbl_recyclass[Familia_PPWR],MATCH(A1557,tbl_recyclass[ProductId],0)),tbl_familias_ppwr[ID_Familia],0))="Em falta","Lacuna","Conforme"),IF(B1557="EU-ENV-013",IF(INDEX(tbl_familias_ppwr[Declaracao_UE],MATCH(INDEX(tbl_recyclass[Familia_PPWR],MATCH(A1557,tbl_recyclass[ProductId],0)),tbl_familias_ppwr[ID_Familia],0))="Sim","Conforme","Lacuna"),G1557)))),G1557))</f>
        <v>Conforme</v>
      </c>
      <c r="I1557" s="33" t="str">
        <f t="shared" si="24"/>
        <v>Conforme</v>
      </c>
      <c r="J1557" s="26" t="s">
        <v>1244</v>
      </c>
    </row>
    <row r="1558" spans="1:10" ht="16.05" customHeight="1" x14ac:dyDescent="0.3">
      <c r="A1558" s="26" t="s">
        <v>777</v>
      </c>
      <c r="B1558" s="26" t="s">
        <v>1252</v>
      </c>
      <c r="C1558" s="33" t="str">
        <f>IFERROR(INDEX(tbl_requisitos_emb[Tema],MATCH(B1558,tbl_requisitos_emb[ID_Req],0)),"")</f>
        <v>Medicamentos de uso humano</v>
      </c>
      <c r="D1558" s="33" t="str">
        <f>IFERROR(INDEX(tbl_recyclass[Segmento],MATCH(A1558,tbl_recyclass[ProductId],0)),"")</f>
        <v>Cosmética e higiene pessoal</v>
      </c>
      <c r="E1558" s="26" t="s">
        <v>904</v>
      </c>
      <c r="F1558" s="26" t="s">
        <v>1451</v>
      </c>
      <c r="G1558" s="26" t="s">
        <v>1143</v>
      </c>
      <c r="H1558" s="33" t="str">
        <f>IF(E1558="Não","Não aplicável",IFERROR(IF(B1558="EU-ENV-002",IF(INDEX(tbl_recyclass[Conforme_PPWR_2030],MATCH(A1558,tbl_recyclass[ProductId],0))="Sim","Conforme (autoavaliação)",IF(INDEX(tbl_recyclass[Conforme_PPWR_2030],MATCH(A1558,tbl_recyclass[ProductId],0))="Não","Não conforme em 2030","Isento até 2035")),IF(B1558="EU-ENV-003",IF(INDEX(tbl_recyclass[Conforme_Art7_2030],MATCH(A1558,tbl_recyclass[ProductId],0))="Sim","Conforme (meta 2030)",IF(INDEX(tbl_recyclass[Conforme_Art7_2030],MATCH(A1558,tbl_recyclass[ProductId],0))="Não","Lacuna face à meta 2030","Isento")),IF(B1558="EU-ENV-011",IF(INDEX(tbl_familias_ppwr[Metais_Pesados_Evidencia],MATCH(INDEX(tbl_recyclass[Familia_PPWR],MATCH(A1558,tbl_recyclass[ProductId],0)),tbl_familias_ppwr[ID_Familia],0))="Em falta","Lacuna","Conforme"),IF(B1558="EU-ENV-013",IF(INDEX(tbl_familias_ppwr[Declaracao_UE],MATCH(INDEX(tbl_recyclass[Familia_PPWR],MATCH(A1558,tbl_recyclass[ProductId],0)),tbl_familias_ppwr[ID_Familia],0))="Sim","Conforme","Lacuna"),G1558)))),G1558))</f>
        <v>Não aplicável</v>
      </c>
      <c r="I1558" s="33" t="str">
        <f t="shared" si="24"/>
        <v>Não aplicável</v>
      </c>
      <c r="J1558" s="26"/>
    </row>
    <row r="1559" spans="1:10" ht="16.05" customHeight="1" x14ac:dyDescent="0.3">
      <c r="A1559" s="26" t="s">
        <v>777</v>
      </c>
      <c r="B1559" s="26" t="s">
        <v>1268</v>
      </c>
      <c r="C1559" s="33" t="str">
        <f>IFERROR(INDEX(tbl_requisitos_emb[Tema],MATCH(B1559,tbl_requisitos_emb[ID_Req],0)),"")</f>
        <v>Dispositivos de segurança</v>
      </c>
      <c r="D1559" s="33" t="str">
        <f>IFERROR(INDEX(tbl_recyclass[Segmento],MATCH(A1559,tbl_recyclass[ProductId],0)),"")</f>
        <v>Cosmética e higiene pessoal</v>
      </c>
      <c r="E1559" s="26" t="s">
        <v>904</v>
      </c>
      <c r="F1559" s="26" t="s">
        <v>1451</v>
      </c>
      <c r="G1559" s="26" t="s">
        <v>1143</v>
      </c>
      <c r="H1559" s="33" t="str">
        <f>IF(E1559="Não","Não aplicável",IFERROR(IF(B1559="EU-ENV-002",IF(INDEX(tbl_recyclass[Conforme_PPWR_2030],MATCH(A1559,tbl_recyclass[ProductId],0))="Sim","Conforme (autoavaliação)",IF(INDEX(tbl_recyclass[Conforme_PPWR_2030],MATCH(A1559,tbl_recyclass[ProductId],0))="Não","Não conforme em 2030","Isento até 2035")),IF(B1559="EU-ENV-003",IF(INDEX(tbl_recyclass[Conforme_Art7_2030],MATCH(A1559,tbl_recyclass[ProductId],0))="Sim","Conforme (meta 2030)",IF(INDEX(tbl_recyclass[Conforme_Art7_2030],MATCH(A1559,tbl_recyclass[ProductId],0))="Não","Lacuna face à meta 2030","Isento")),IF(B1559="EU-ENV-011",IF(INDEX(tbl_familias_ppwr[Metais_Pesados_Evidencia],MATCH(INDEX(tbl_recyclass[Familia_PPWR],MATCH(A1559,tbl_recyclass[ProductId],0)),tbl_familias_ppwr[ID_Familia],0))="Em falta","Lacuna","Conforme"),IF(B1559="EU-ENV-013",IF(INDEX(tbl_familias_ppwr[Declaracao_UE],MATCH(INDEX(tbl_recyclass[Familia_PPWR],MATCH(A1559,tbl_recyclass[ProductId],0)),tbl_familias_ppwr[ID_Familia],0))="Sim","Conforme","Lacuna"),G1559)))),G1559))</f>
        <v>Não aplicável</v>
      </c>
      <c r="I1559" s="33" t="str">
        <f t="shared" si="24"/>
        <v>Não aplicável</v>
      </c>
      <c r="J1559" s="26"/>
    </row>
    <row r="1560" spans="1:10" ht="16.05" customHeight="1" x14ac:dyDescent="0.3">
      <c r="A1560" s="26" t="s">
        <v>777</v>
      </c>
      <c r="B1560" s="26" t="s">
        <v>1285</v>
      </c>
      <c r="C1560" s="33" t="str">
        <f>IFERROR(INDEX(tbl_requisitos_emb[Tema],MATCH(B1560,tbl_requisitos_emb[ID_Req],0)),"")</f>
        <v>Materiais plásticos de acondicionamento primário</v>
      </c>
      <c r="D1560" s="33" t="str">
        <f>IFERROR(INDEX(tbl_recyclass[Segmento],MATCH(A1560,tbl_recyclass[ProductId],0)),"")</f>
        <v>Cosmética e higiene pessoal</v>
      </c>
      <c r="E1560" s="26" t="s">
        <v>904</v>
      </c>
      <c r="F1560" s="26" t="s">
        <v>1451</v>
      </c>
      <c r="G1560" s="26" t="s">
        <v>1143</v>
      </c>
      <c r="H1560" s="33" t="str">
        <f>IF(E1560="Não","Não aplicável",IFERROR(IF(B1560="EU-ENV-002",IF(INDEX(tbl_recyclass[Conforme_PPWR_2030],MATCH(A1560,tbl_recyclass[ProductId],0))="Sim","Conforme (autoavaliação)",IF(INDEX(tbl_recyclass[Conforme_PPWR_2030],MATCH(A1560,tbl_recyclass[ProductId],0))="Não","Não conforme em 2030","Isento até 2035")),IF(B1560="EU-ENV-003",IF(INDEX(tbl_recyclass[Conforme_Art7_2030],MATCH(A1560,tbl_recyclass[ProductId],0))="Sim","Conforme (meta 2030)",IF(INDEX(tbl_recyclass[Conforme_Art7_2030],MATCH(A1560,tbl_recyclass[ProductId],0))="Não","Lacuna face à meta 2030","Isento")),IF(B1560="EU-ENV-011",IF(INDEX(tbl_familias_ppwr[Metais_Pesados_Evidencia],MATCH(INDEX(tbl_recyclass[Familia_PPWR],MATCH(A1560,tbl_recyclass[ProductId],0)),tbl_familias_ppwr[ID_Familia],0))="Em falta","Lacuna","Conforme"),IF(B1560="EU-ENV-013",IF(INDEX(tbl_familias_ppwr[Declaracao_UE],MATCH(INDEX(tbl_recyclass[Familia_PPWR],MATCH(A1560,tbl_recyclass[ProductId],0)),tbl_familias_ppwr[ID_Familia],0))="Sim","Conforme","Lacuna"),G1560)))),G1560))</f>
        <v>Não aplicável</v>
      </c>
      <c r="I1560" s="33" t="str">
        <f t="shared" si="24"/>
        <v>Não aplicável</v>
      </c>
      <c r="J1560" s="26"/>
    </row>
    <row r="1561" spans="1:10" ht="16.05" customHeight="1" x14ac:dyDescent="0.3">
      <c r="A1561" s="26" t="s">
        <v>777</v>
      </c>
      <c r="B1561" s="26" t="s">
        <v>1293</v>
      </c>
      <c r="C1561" s="33" t="str">
        <f>IFERROR(INDEX(tbl_requisitos_emb[Tema],MATCH(B1561,tbl_requisitos_emb[ID_Req],0)),"")</f>
        <v>Isenções PPWR</v>
      </c>
      <c r="D1561" s="33" t="str">
        <f>IFERROR(INDEX(tbl_recyclass[Segmento],MATCH(A1561,tbl_recyclass[ProductId],0)),"")</f>
        <v>Cosmética e higiene pessoal</v>
      </c>
      <c r="E1561" s="26" t="s">
        <v>904</v>
      </c>
      <c r="F1561" s="26" t="s">
        <v>1451</v>
      </c>
      <c r="G1561" s="26" t="s">
        <v>1143</v>
      </c>
      <c r="H1561" s="33" t="str">
        <f>IF(E1561="Não","Não aplicável",IFERROR(IF(B1561="EU-ENV-002",IF(INDEX(tbl_recyclass[Conforme_PPWR_2030],MATCH(A1561,tbl_recyclass[ProductId],0))="Sim","Conforme (autoavaliação)",IF(INDEX(tbl_recyclass[Conforme_PPWR_2030],MATCH(A1561,tbl_recyclass[ProductId],0))="Não","Não conforme em 2030","Isento até 2035")),IF(B1561="EU-ENV-003",IF(INDEX(tbl_recyclass[Conforme_Art7_2030],MATCH(A1561,tbl_recyclass[ProductId],0))="Sim","Conforme (meta 2030)",IF(INDEX(tbl_recyclass[Conforme_Art7_2030],MATCH(A1561,tbl_recyclass[ProductId],0))="Não","Lacuna face à meta 2030","Isento")),IF(B1561="EU-ENV-011",IF(INDEX(tbl_familias_ppwr[Metais_Pesados_Evidencia],MATCH(INDEX(tbl_recyclass[Familia_PPWR],MATCH(A1561,tbl_recyclass[ProductId],0)),tbl_familias_ppwr[ID_Familia],0))="Em falta","Lacuna","Conforme"),IF(B1561="EU-ENV-013",IF(INDEX(tbl_familias_ppwr[Declaracao_UE],MATCH(INDEX(tbl_recyclass[Familia_PPWR],MATCH(A1561,tbl_recyclass[ProductId],0)),tbl_familias_ppwr[ID_Familia],0))="Sim","Conforme","Lacuna"),G1561)))),G1561))</f>
        <v>Não aplicável</v>
      </c>
      <c r="I1561" s="33" t="str">
        <f t="shared" si="24"/>
        <v>Não aplicável</v>
      </c>
      <c r="J1561" s="26"/>
    </row>
    <row r="1562" spans="1:10" ht="16.05" customHeight="1" x14ac:dyDescent="0.3">
      <c r="A1562" s="26" t="s">
        <v>777</v>
      </c>
      <c r="B1562" s="26" t="s">
        <v>1357</v>
      </c>
      <c r="C1562" s="33" t="str">
        <f>IFERROR(INDEX(tbl_requisitos_emb[Tema],MATCH(B1562,tbl_requisitos_emb[ID_Req],0)),"")</f>
        <v>Identificação de plásticos</v>
      </c>
      <c r="D1562" s="33" t="str">
        <f>IFERROR(INDEX(tbl_recyclass[Segmento],MATCH(A1562,tbl_recyclass[ProductId],0)),"")</f>
        <v>Cosmética e higiene pessoal</v>
      </c>
      <c r="E1562" s="26" t="s">
        <v>901</v>
      </c>
      <c r="F1562" s="26" t="s">
        <v>1449</v>
      </c>
      <c r="G1562" s="26" t="s">
        <v>978</v>
      </c>
      <c r="H1562" s="33" t="str">
        <f>IF(E1562="Não","Não aplicável",IFERROR(IF(B1562="EU-ENV-002",IF(INDEX(tbl_recyclass[Conforme_PPWR_2030],MATCH(A1562,tbl_recyclass[ProductId],0))="Sim","Conforme (autoavaliação)",IF(INDEX(tbl_recyclass[Conforme_PPWR_2030],MATCH(A1562,tbl_recyclass[ProductId],0))="Não","Não conforme em 2030","Isento até 2035")),IF(B1562="EU-ENV-003",IF(INDEX(tbl_recyclass[Conforme_Art7_2030],MATCH(A1562,tbl_recyclass[ProductId],0))="Sim","Conforme (meta 2030)",IF(INDEX(tbl_recyclass[Conforme_Art7_2030],MATCH(A1562,tbl_recyclass[ProductId],0))="Não","Lacuna face à meta 2030","Isento")),IF(B1562="EU-ENV-011",IF(INDEX(tbl_familias_ppwr[Metais_Pesados_Evidencia],MATCH(INDEX(tbl_recyclass[Familia_PPWR],MATCH(A1562,tbl_recyclass[ProductId],0)),tbl_familias_ppwr[ID_Familia],0))="Em falta","Lacuna","Conforme"),IF(B1562="EU-ENV-013",IF(INDEX(tbl_familias_ppwr[Declaracao_UE],MATCH(INDEX(tbl_recyclass[Familia_PPWR],MATCH(A1562,tbl_recyclass[ProductId],0)),tbl_familias_ppwr[ID_Familia],0))="Sim","Conforme","Lacuna"),G1562)))),G1562))</f>
        <v>Parcial</v>
      </c>
      <c r="I1562" s="33" t="str">
        <f t="shared" si="24"/>
        <v>Parcial</v>
      </c>
      <c r="J1562" s="26" t="s">
        <v>1362</v>
      </c>
    </row>
    <row r="1563" spans="1:10" ht="16.05" customHeight="1" x14ac:dyDescent="0.3">
      <c r="A1563" s="26" t="s">
        <v>777</v>
      </c>
      <c r="B1563" s="26" t="s">
        <v>1385</v>
      </c>
      <c r="C1563" s="33" t="str">
        <f>IFERROR(INDEX(tbl_requisitos_emb[Tema],MATCH(B1563,tbl_requisitos_emb[ID_Req],0)),"")</f>
        <v>Reciclabilidade (voluntária)</v>
      </c>
      <c r="D1563" s="33" t="str">
        <f>IFERROR(INDEX(tbl_recyclass[Segmento],MATCH(A1563,tbl_recyclass[ProductId],0)),"")</f>
        <v>Cosmética e higiene pessoal</v>
      </c>
      <c r="E1563" s="26" t="s">
        <v>901</v>
      </c>
      <c r="F1563" s="26" t="s">
        <v>1449</v>
      </c>
      <c r="G1563" s="26" t="s">
        <v>978</v>
      </c>
      <c r="H1563" s="33" t="str">
        <f>IF(E1563="Não","Não aplicável",IFERROR(IF(B1563="EU-ENV-002",IF(INDEX(tbl_recyclass[Conforme_PPWR_2030],MATCH(A1563,tbl_recyclass[ProductId],0))="Sim","Conforme (autoavaliação)",IF(INDEX(tbl_recyclass[Conforme_PPWR_2030],MATCH(A1563,tbl_recyclass[ProductId],0))="Não","Não conforme em 2030","Isento até 2035")),IF(B1563="EU-ENV-003",IF(INDEX(tbl_recyclass[Conforme_Art7_2030],MATCH(A1563,tbl_recyclass[ProductId],0))="Sim","Conforme (meta 2030)",IF(INDEX(tbl_recyclass[Conforme_Art7_2030],MATCH(A1563,tbl_recyclass[ProductId],0))="Não","Lacuna face à meta 2030","Isento")),IF(B1563="EU-ENV-011",IF(INDEX(tbl_familias_ppwr[Metais_Pesados_Evidencia],MATCH(INDEX(tbl_recyclass[Familia_PPWR],MATCH(A1563,tbl_recyclass[ProductId],0)),tbl_familias_ppwr[ID_Familia],0))="Em falta","Lacuna","Conforme"),IF(B1563="EU-ENV-013",IF(INDEX(tbl_familias_ppwr[Declaracao_UE],MATCH(INDEX(tbl_recyclass[Familia_PPWR],MATCH(A1563,tbl_recyclass[ProductId],0)),tbl_familias_ppwr[ID_Familia],0))="Sim","Conforme","Lacuna"),G1563)))),G1563))</f>
        <v>Parcial</v>
      </c>
      <c r="I1563" s="33" t="str">
        <f t="shared" si="24"/>
        <v>Parcial</v>
      </c>
      <c r="J1563" s="26" t="s">
        <v>1389</v>
      </c>
    </row>
    <row r="1564" spans="1:10" ht="16.05" customHeight="1" x14ac:dyDescent="0.3">
      <c r="A1564" s="26" t="s">
        <v>779</v>
      </c>
      <c r="B1564" s="26" t="s">
        <v>984</v>
      </c>
      <c r="C1564" s="33" t="str">
        <f>IFERROR(INDEX(tbl_requisitos_emb[Tema],MATCH(B1564,tbl_requisitos_emb[ID_Req],0)),"")</f>
        <v>Conceção para reciclagem</v>
      </c>
      <c r="D1564" s="33" t="str">
        <f>IFERROR(INDEX(tbl_recyclass[Segmento],MATCH(A1564,tbl_recyclass[ProductId],0)),"")</f>
        <v>Cosmética e higiene pessoal</v>
      </c>
      <c r="E1564" s="26" t="s">
        <v>901</v>
      </c>
      <c r="F1564" s="26" t="s">
        <v>1449</v>
      </c>
      <c r="G1564" s="26" t="s">
        <v>978</v>
      </c>
      <c r="H1564" s="33" t="str">
        <f>IF(E1564="Não","Não aplicável",IFERROR(IF(B1564="EU-ENV-002",IF(INDEX(tbl_recyclass[Conforme_PPWR_2030],MATCH(A1564,tbl_recyclass[ProductId],0))="Sim","Conforme (autoavaliação)",IF(INDEX(tbl_recyclass[Conforme_PPWR_2030],MATCH(A1564,tbl_recyclass[ProductId],0))="Não","Não conforme em 2030","Isento até 2035")),IF(B1564="EU-ENV-003",IF(INDEX(tbl_recyclass[Conforme_Art7_2030],MATCH(A1564,tbl_recyclass[ProductId],0))="Sim","Conforme (meta 2030)",IF(INDEX(tbl_recyclass[Conforme_Art7_2030],MATCH(A1564,tbl_recyclass[ProductId],0))="Não","Lacuna face à meta 2030","Isento")),IF(B1564="EU-ENV-011",IF(INDEX(tbl_familias_ppwr[Metais_Pesados_Evidencia],MATCH(INDEX(tbl_recyclass[Familia_PPWR],MATCH(A1564,tbl_recyclass[ProductId],0)),tbl_familias_ppwr[ID_Familia],0))="Em falta","Lacuna","Conforme"),IF(B1564="EU-ENV-013",IF(INDEX(tbl_familias_ppwr[Declaracao_UE],MATCH(INDEX(tbl_recyclass[Familia_PPWR],MATCH(A1564,tbl_recyclass[ProductId],0)),tbl_familias_ppwr[ID_Familia],0))="Sim","Conforme","Lacuna"),G1564)))),G1564))</f>
        <v>Não conforme em 2030</v>
      </c>
      <c r="I1564" s="33" t="str">
        <f t="shared" si="24"/>
        <v>Não conforme</v>
      </c>
      <c r="J1564" s="26" t="s">
        <v>991</v>
      </c>
    </row>
    <row r="1565" spans="1:10" ht="16.05" customHeight="1" x14ac:dyDescent="0.3">
      <c r="A1565" s="26" t="s">
        <v>779</v>
      </c>
      <c r="B1565" s="26" t="s">
        <v>997</v>
      </c>
      <c r="C1565" s="33" t="str">
        <f>IFERROR(INDEX(tbl_requisitos_emb[Tema],MATCH(B1565,tbl_requisitos_emb[ID_Req],0)),"")</f>
        <v>Conteúdo reciclado</v>
      </c>
      <c r="D1565" s="33" t="str">
        <f>IFERROR(INDEX(tbl_recyclass[Segmento],MATCH(A1565,tbl_recyclass[ProductId],0)),"")</f>
        <v>Cosmética e higiene pessoal</v>
      </c>
      <c r="E1565" s="26" t="s">
        <v>901</v>
      </c>
      <c r="F1565" s="26" t="s">
        <v>1449</v>
      </c>
      <c r="G1565" s="26" t="s">
        <v>978</v>
      </c>
      <c r="H1565" s="33" t="str">
        <f>IF(E1565="Não","Não aplicável",IFERROR(IF(B1565="EU-ENV-002",IF(INDEX(tbl_recyclass[Conforme_PPWR_2030],MATCH(A1565,tbl_recyclass[ProductId],0))="Sim","Conforme (autoavaliação)",IF(INDEX(tbl_recyclass[Conforme_PPWR_2030],MATCH(A1565,tbl_recyclass[ProductId],0))="Não","Não conforme em 2030","Isento até 2035")),IF(B1565="EU-ENV-003",IF(INDEX(tbl_recyclass[Conforme_Art7_2030],MATCH(A1565,tbl_recyclass[ProductId],0))="Sim","Conforme (meta 2030)",IF(INDEX(tbl_recyclass[Conforme_Art7_2030],MATCH(A1565,tbl_recyclass[ProductId],0))="Não","Lacuna face à meta 2030","Isento")),IF(B1565="EU-ENV-011",IF(INDEX(tbl_familias_ppwr[Metais_Pesados_Evidencia],MATCH(INDEX(tbl_recyclass[Familia_PPWR],MATCH(A1565,tbl_recyclass[ProductId],0)),tbl_familias_ppwr[ID_Familia],0))="Em falta","Lacuna","Conforme"),IF(B1565="EU-ENV-013",IF(INDEX(tbl_familias_ppwr[Declaracao_UE],MATCH(INDEX(tbl_recyclass[Familia_PPWR],MATCH(A1565,tbl_recyclass[ProductId],0)),tbl_familias_ppwr[ID_Familia],0))="Sim","Conforme","Lacuna"),G1565)))),G1565))</f>
        <v>Lacuna face à meta 2030</v>
      </c>
      <c r="I1565" s="33" t="str">
        <f t="shared" si="24"/>
        <v>Lacuna</v>
      </c>
      <c r="J1565" s="26" t="s">
        <v>1001</v>
      </c>
    </row>
    <row r="1566" spans="1:10" ht="16.05" customHeight="1" x14ac:dyDescent="0.3">
      <c r="A1566" s="26" t="s">
        <v>779</v>
      </c>
      <c r="B1566" s="26" t="s">
        <v>1007</v>
      </c>
      <c r="C1566" s="33" t="str">
        <f>IFERROR(INDEX(tbl_requisitos_emb[Tema],MATCH(B1566,tbl_requisitos_emb[ID_Req],0)),"")</f>
        <v>Minimização</v>
      </c>
      <c r="D1566" s="33" t="str">
        <f>IFERROR(INDEX(tbl_recyclass[Segmento],MATCH(A1566,tbl_recyclass[ProductId],0)),"")</f>
        <v>Cosmética e higiene pessoal</v>
      </c>
      <c r="E1566" s="26" t="s">
        <v>901</v>
      </c>
      <c r="F1566" s="26" t="s">
        <v>1449</v>
      </c>
      <c r="G1566" s="26" t="s">
        <v>978</v>
      </c>
      <c r="H1566" s="33" t="str">
        <f>IF(E1566="Não","Não aplicável",IFERROR(IF(B1566="EU-ENV-002",IF(INDEX(tbl_recyclass[Conforme_PPWR_2030],MATCH(A1566,tbl_recyclass[ProductId],0))="Sim","Conforme (autoavaliação)",IF(INDEX(tbl_recyclass[Conforme_PPWR_2030],MATCH(A1566,tbl_recyclass[ProductId],0))="Não","Não conforme em 2030","Isento até 2035")),IF(B1566="EU-ENV-003",IF(INDEX(tbl_recyclass[Conforme_Art7_2030],MATCH(A1566,tbl_recyclass[ProductId],0))="Sim","Conforme (meta 2030)",IF(INDEX(tbl_recyclass[Conforme_Art7_2030],MATCH(A1566,tbl_recyclass[ProductId],0))="Não","Lacuna face à meta 2030","Isento")),IF(B1566="EU-ENV-011",IF(INDEX(tbl_familias_ppwr[Metais_Pesados_Evidencia],MATCH(INDEX(tbl_recyclass[Familia_PPWR],MATCH(A1566,tbl_recyclass[ProductId],0)),tbl_familias_ppwr[ID_Familia],0))="Em falta","Lacuna","Conforme"),IF(B1566="EU-ENV-013",IF(INDEX(tbl_familias_ppwr[Declaracao_UE],MATCH(INDEX(tbl_recyclass[Familia_PPWR],MATCH(A1566,tbl_recyclass[ProductId],0)),tbl_familias_ppwr[ID_Familia],0))="Sim","Conforme","Lacuna"),G1566)))),G1566))</f>
        <v>Parcial</v>
      </c>
      <c r="I1566" s="33" t="str">
        <f t="shared" si="24"/>
        <v>Parcial</v>
      </c>
      <c r="J1566" s="26" t="s">
        <v>1012</v>
      </c>
    </row>
    <row r="1567" spans="1:10" ht="16.05" customHeight="1" x14ac:dyDescent="0.3">
      <c r="A1567" s="26" t="s">
        <v>779</v>
      </c>
      <c r="B1567" s="26" t="s">
        <v>1016</v>
      </c>
      <c r="C1567" s="33" t="str">
        <f>IFERROR(INDEX(tbl_requisitos_emb[Tema],MATCH(B1567,tbl_requisitos_emb[ID_Req],0)),"")</f>
        <v>Rotulagem</v>
      </c>
      <c r="D1567" s="33" t="str">
        <f>IFERROR(INDEX(tbl_recyclass[Segmento],MATCH(A1567,tbl_recyclass[ProductId],0)),"")</f>
        <v>Cosmética e higiene pessoal</v>
      </c>
      <c r="E1567" s="26" t="s">
        <v>901</v>
      </c>
      <c r="F1567" s="26" t="s">
        <v>1449</v>
      </c>
      <c r="G1567" s="26" t="s">
        <v>990</v>
      </c>
      <c r="H1567" s="33" t="str">
        <f>IF(E1567="Não","Não aplicável",IFERROR(IF(B1567="EU-ENV-002",IF(INDEX(tbl_recyclass[Conforme_PPWR_2030],MATCH(A1567,tbl_recyclass[ProductId],0))="Sim","Conforme (autoavaliação)",IF(INDEX(tbl_recyclass[Conforme_PPWR_2030],MATCH(A1567,tbl_recyclass[ProductId],0))="Não","Não conforme em 2030","Isento até 2035")),IF(B1567="EU-ENV-003",IF(INDEX(tbl_recyclass[Conforme_Art7_2030],MATCH(A1567,tbl_recyclass[ProductId],0))="Sim","Conforme (meta 2030)",IF(INDEX(tbl_recyclass[Conforme_Art7_2030],MATCH(A1567,tbl_recyclass[ProductId],0))="Não","Lacuna face à meta 2030","Isento")),IF(B1567="EU-ENV-011",IF(INDEX(tbl_familias_ppwr[Metais_Pesados_Evidencia],MATCH(INDEX(tbl_recyclass[Familia_PPWR],MATCH(A1567,tbl_recyclass[ProductId],0)),tbl_familias_ppwr[ID_Familia],0))="Em falta","Lacuna","Conforme"),IF(B1567="EU-ENV-013",IF(INDEX(tbl_familias_ppwr[Declaracao_UE],MATCH(INDEX(tbl_recyclass[Familia_PPWR],MATCH(A1567,tbl_recyclass[ProductId],0)),tbl_familias_ppwr[ID_Familia],0))="Sim","Conforme","Lacuna"),G1567)))),G1567))</f>
        <v>Futuro</v>
      </c>
      <c r="I1567" s="33" t="str">
        <f t="shared" si="24"/>
        <v>Futuro</v>
      </c>
      <c r="J1567" s="26" t="s">
        <v>1021</v>
      </c>
    </row>
    <row r="1568" spans="1:10" ht="16.05" customHeight="1" x14ac:dyDescent="0.3">
      <c r="A1568" s="26" t="s">
        <v>779</v>
      </c>
      <c r="B1568" s="26" t="s">
        <v>1038</v>
      </c>
      <c r="C1568" s="33" t="str">
        <f>IFERROR(INDEX(tbl_requisitos_emb[Tema],MATCH(B1568,tbl_requisitos_emb[ID_Req],0)),"")</f>
        <v>Plásticos de utilização única</v>
      </c>
      <c r="D1568" s="33" t="str">
        <f>IFERROR(INDEX(tbl_recyclass[Segmento],MATCH(A1568,tbl_recyclass[ProductId],0)),"")</f>
        <v>Cosmética e higiene pessoal</v>
      </c>
      <c r="E1568" s="26" t="s">
        <v>904</v>
      </c>
      <c r="F1568" s="26" t="s">
        <v>1450</v>
      </c>
      <c r="G1568" s="26" t="s">
        <v>1143</v>
      </c>
      <c r="H1568" s="33" t="str">
        <f>IF(E1568="Não","Não aplicável",IFERROR(IF(B1568="EU-ENV-002",IF(INDEX(tbl_recyclass[Conforme_PPWR_2030],MATCH(A1568,tbl_recyclass[ProductId],0))="Sim","Conforme (autoavaliação)",IF(INDEX(tbl_recyclass[Conforme_PPWR_2030],MATCH(A1568,tbl_recyclass[ProductId],0))="Não","Não conforme em 2030","Isento até 2035")),IF(B1568="EU-ENV-003",IF(INDEX(tbl_recyclass[Conforme_Art7_2030],MATCH(A1568,tbl_recyclass[ProductId],0))="Sim","Conforme (meta 2030)",IF(INDEX(tbl_recyclass[Conforme_Art7_2030],MATCH(A1568,tbl_recyclass[ProductId],0))="Não","Lacuna face à meta 2030","Isento")),IF(B1568="EU-ENV-011",IF(INDEX(tbl_familias_ppwr[Metais_Pesados_Evidencia],MATCH(INDEX(tbl_recyclass[Familia_PPWR],MATCH(A1568,tbl_recyclass[ProductId],0)),tbl_familias_ppwr[ID_Familia],0))="Em falta","Lacuna","Conforme"),IF(B1568="EU-ENV-013",IF(INDEX(tbl_familias_ppwr[Declaracao_UE],MATCH(INDEX(tbl_recyclass[Familia_PPWR],MATCH(A1568,tbl_recyclass[ProductId],0)),tbl_familias_ppwr[ID_Familia],0))="Sim","Conforme","Lacuna"),G1568)))),G1568))</f>
        <v>Não aplicável</v>
      </c>
      <c r="I1568" s="33" t="str">
        <f t="shared" si="24"/>
        <v>Não aplicável</v>
      </c>
      <c r="J1568" s="26"/>
    </row>
    <row r="1569" spans="1:10" ht="16.05" customHeight="1" x14ac:dyDescent="0.3">
      <c r="A1569" s="26" t="s">
        <v>779</v>
      </c>
      <c r="B1569" s="26" t="s">
        <v>1078</v>
      </c>
      <c r="C1569" s="33" t="str">
        <f>IFERROR(INDEX(tbl_requisitos_emb[Tema],MATCH(B1569,tbl_requisitos_emb[ID_Req],0)),"")</f>
        <v>Reciclado à escala</v>
      </c>
      <c r="D1569" s="33" t="str">
        <f>IFERROR(INDEX(tbl_recyclass[Segmento],MATCH(A1569,tbl_recyclass[ProductId],0)),"")</f>
        <v>Cosmética e higiene pessoal</v>
      </c>
      <c r="E1569" s="26" t="s">
        <v>901</v>
      </c>
      <c r="F1569" s="26" t="s">
        <v>1449</v>
      </c>
      <c r="G1569" s="26" t="s">
        <v>990</v>
      </c>
      <c r="H1569" s="33" t="str">
        <f>IF(E1569="Não","Não aplicável",IFERROR(IF(B1569="EU-ENV-002",IF(INDEX(tbl_recyclass[Conforme_PPWR_2030],MATCH(A1569,tbl_recyclass[ProductId],0))="Sim","Conforme (autoavaliação)",IF(INDEX(tbl_recyclass[Conforme_PPWR_2030],MATCH(A1569,tbl_recyclass[ProductId],0))="Não","Não conforme em 2030","Isento até 2035")),IF(B1569="EU-ENV-003",IF(INDEX(tbl_recyclass[Conforme_Art7_2030],MATCH(A1569,tbl_recyclass[ProductId],0))="Sim","Conforme (meta 2030)",IF(INDEX(tbl_recyclass[Conforme_Art7_2030],MATCH(A1569,tbl_recyclass[ProductId],0))="Não","Lacuna face à meta 2030","Isento")),IF(B1569="EU-ENV-011",IF(INDEX(tbl_familias_ppwr[Metais_Pesados_Evidencia],MATCH(INDEX(tbl_recyclass[Familia_PPWR],MATCH(A1569,tbl_recyclass[ProductId],0)),tbl_familias_ppwr[ID_Familia],0))="Em falta","Lacuna","Conforme"),IF(B1569="EU-ENV-013",IF(INDEX(tbl_familias_ppwr[Declaracao_UE],MATCH(INDEX(tbl_recyclass[Familia_PPWR],MATCH(A1569,tbl_recyclass[ProductId],0)),tbl_familias_ppwr[ID_Familia],0))="Sim","Conforme","Lacuna"),G1569)))),G1569))</f>
        <v>Futuro</v>
      </c>
      <c r="I1569" s="33" t="str">
        <f t="shared" si="24"/>
        <v>Futuro</v>
      </c>
      <c r="J1569" s="26" t="s">
        <v>1082</v>
      </c>
    </row>
    <row r="1570" spans="1:10" ht="16.05" customHeight="1" x14ac:dyDescent="0.3">
      <c r="A1570" s="26" t="s">
        <v>779</v>
      </c>
      <c r="B1570" s="26" t="s">
        <v>1086</v>
      </c>
      <c r="C1570" s="33" t="str">
        <f>IFERROR(INDEX(tbl_requisitos_emb[Tema],MATCH(B1570,tbl_requisitos_emb[ID_Req],0)),"")</f>
        <v>Metais pesados</v>
      </c>
      <c r="D1570" s="33" t="str">
        <f>IFERROR(INDEX(tbl_recyclass[Segmento],MATCH(A1570,tbl_recyclass[ProductId],0)),"")</f>
        <v>Cosmética e higiene pessoal</v>
      </c>
      <c r="E1570" s="26" t="s">
        <v>901</v>
      </c>
      <c r="F1570" s="26" t="s">
        <v>1449</v>
      </c>
      <c r="G1570" s="26" t="s">
        <v>978</v>
      </c>
      <c r="H1570" s="33" t="str">
        <f>IF(E1570="Não","Não aplicável",IFERROR(IF(B1570="EU-ENV-002",IF(INDEX(tbl_recyclass[Conforme_PPWR_2030],MATCH(A1570,tbl_recyclass[ProductId],0))="Sim","Conforme (autoavaliação)",IF(INDEX(tbl_recyclass[Conforme_PPWR_2030],MATCH(A1570,tbl_recyclass[ProductId],0))="Não","Não conforme em 2030","Isento até 2035")),IF(B1570="EU-ENV-003",IF(INDEX(tbl_recyclass[Conforme_Art7_2030],MATCH(A1570,tbl_recyclass[ProductId],0))="Sim","Conforme (meta 2030)",IF(INDEX(tbl_recyclass[Conforme_Art7_2030],MATCH(A1570,tbl_recyclass[ProductId],0))="Não","Lacuna face à meta 2030","Isento")),IF(B1570="EU-ENV-011",IF(INDEX(tbl_familias_ppwr[Metais_Pesados_Evidencia],MATCH(INDEX(tbl_recyclass[Familia_PPWR],MATCH(A1570,tbl_recyclass[ProductId],0)),tbl_familias_ppwr[ID_Familia],0))="Em falta","Lacuna","Conforme"),IF(B1570="EU-ENV-013",IF(INDEX(tbl_familias_ppwr[Declaracao_UE],MATCH(INDEX(tbl_recyclass[Familia_PPWR],MATCH(A1570,tbl_recyclass[ProductId],0)),tbl_familias_ppwr[ID_Familia],0))="Sim","Conforme","Lacuna"),G1570)))),G1570))</f>
        <v>Lacuna</v>
      </c>
      <c r="I1570" s="33" t="str">
        <f t="shared" si="24"/>
        <v>Lacuna</v>
      </c>
      <c r="J1570" s="26" t="s">
        <v>1090</v>
      </c>
    </row>
    <row r="1571" spans="1:10" ht="16.05" customHeight="1" x14ac:dyDescent="0.3">
      <c r="A1571" s="26" t="s">
        <v>779</v>
      </c>
      <c r="B1571" s="26" t="s">
        <v>1094</v>
      </c>
      <c r="C1571" s="33" t="str">
        <f>IFERROR(INDEX(tbl_requisitos_emb[Tema],MATCH(B1571,tbl_requisitos_emb[ID_Req],0)),"")</f>
        <v>PFAS</v>
      </c>
      <c r="D1571" s="33" t="str">
        <f>IFERROR(INDEX(tbl_recyclass[Segmento],MATCH(A1571,tbl_recyclass[ProductId],0)),"")</f>
        <v>Cosmética e higiene pessoal</v>
      </c>
      <c r="E1571" s="26" t="s">
        <v>904</v>
      </c>
      <c r="F1571" s="26" t="s">
        <v>1450</v>
      </c>
      <c r="G1571" s="26" t="s">
        <v>1143</v>
      </c>
      <c r="H1571" s="33" t="str">
        <f>IF(E1571="Não","Não aplicável",IFERROR(IF(B1571="EU-ENV-002",IF(INDEX(tbl_recyclass[Conforme_PPWR_2030],MATCH(A1571,tbl_recyclass[ProductId],0))="Sim","Conforme (autoavaliação)",IF(INDEX(tbl_recyclass[Conforme_PPWR_2030],MATCH(A1571,tbl_recyclass[ProductId],0))="Não","Não conforme em 2030","Isento até 2035")),IF(B1571="EU-ENV-003",IF(INDEX(tbl_recyclass[Conforme_Art7_2030],MATCH(A1571,tbl_recyclass[ProductId],0))="Sim","Conforme (meta 2030)",IF(INDEX(tbl_recyclass[Conforme_Art7_2030],MATCH(A1571,tbl_recyclass[ProductId],0))="Não","Lacuna face à meta 2030","Isento")),IF(B1571="EU-ENV-011",IF(INDEX(tbl_familias_ppwr[Metais_Pesados_Evidencia],MATCH(INDEX(tbl_recyclass[Familia_PPWR],MATCH(A1571,tbl_recyclass[ProductId],0)),tbl_familias_ppwr[ID_Familia],0))="Em falta","Lacuna","Conforme"),IF(B1571="EU-ENV-013",IF(INDEX(tbl_familias_ppwr[Declaracao_UE],MATCH(INDEX(tbl_recyclass[Familia_PPWR],MATCH(A1571,tbl_recyclass[ProductId],0)),tbl_familias_ppwr[ID_Familia],0))="Sim","Conforme","Lacuna"),G1571)))),G1571))</f>
        <v>Não aplicável</v>
      </c>
      <c r="I1571" s="33" t="str">
        <f t="shared" si="24"/>
        <v>Não aplicável</v>
      </c>
      <c r="J1571" s="26"/>
    </row>
    <row r="1572" spans="1:10" ht="16.05" customHeight="1" x14ac:dyDescent="0.3">
      <c r="A1572" s="26" t="s">
        <v>779</v>
      </c>
      <c r="B1572" s="26" t="s">
        <v>1102</v>
      </c>
      <c r="C1572" s="33" t="str">
        <f>IFERROR(INDEX(tbl_requisitos_emb[Tema],MATCH(B1572,tbl_requisitos_emb[ID_Req],0)),"")</f>
        <v>Documentação técnica e declaração UE</v>
      </c>
      <c r="D1572" s="33" t="str">
        <f>IFERROR(INDEX(tbl_recyclass[Segmento],MATCH(A1572,tbl_recyclass[ProductId],0)),"")</f>
        <v>Cosmética e higiene pessoal</v>
      </c>
      <c r="E1572" s="26" t="s">
        <v>901</v>
      </c>
      <c r="F1572" s="26" t="s">
        <v>1449</v>
      </c>
      <c r="G1572" s="26" t="s">
        <v>978</v>
      </c>
      <c r="H1572" s="33" t="str">
        <f>IF(E1572="Não","Não aplicável",IFERROR(IF(B1572="EU-ENV-002",IF(INDEX(tbl_recyclass[Conforme_PPWR_2030],MATCH(A1572,tbl_recyclass[ProductId],0))="Sim","Conforme (autoavaliação)",IF(INDEX(tbl_recyclass[Conforme_PPWR_2030],MATCH(A1572,tbl_recyclass[ProductId],0))="Não","Não conforme em 2030","Isento até 2035")),IF(B1572="EU-ENV-003",IF(INDEX(tbl_recyclass[Conforme_Art7_2030],MATCH(A1572,tbl_recyclass[ProductId],0))="Sim","Conforme (meta 2030)",IF(INDEX(tbl_recyclass[Conforme_Art7_2030],MATCH(A1572,tbl_recyclass[ProductId],0))="Não","Lacuna face à meta 2030","Isento")),IF(B1572="EU-ENV-011",IF(INDEX(tbl_familias_ppwr[Metais_Pesados_Evidencia],MATCH(INDEX(tbl_recyclass[Familia_PPWR],MATCH(A1572,tbl_recyclass[ProductId],0)),tbl_familias_ppwr[ID_Familia],0))="Em falta","Lacuna","Conforme"),IF(B1572="EU-ENV-013",IF(INDEX(tbl_familias_ppwr[Declaracao_UE],MATCH(INDEX(tbl_recyclass[Familia_PPWR],MATCH(A1572,tbl_recyclass[ProductId],0)),tbl_familias_ppwr[ID_Familia],0))="Sim","Conforme","Lacuna"),G1572)))),G1572))</f>
        <v>Lacuna</v>
      </c>
      <c r="I1572" s="33" t="str">
        <f t="shared" si="24"/>
        <v>Lacuna</v>
      </c>
      <c r="J1572" s="26" t="s">
        <v>1106</v>
      </c>
    </row>
    <row r="1573" spans="1:10" ht="16.05" customHeight="1" x14ac:dyDescent="0.3">
      <c r="A1573" s="26" t="s">
        <v>779</v>
      </c>
      <c r="B1573" s="26" t="s">
        <v>1161</v>
      </c>
      <c r="C1573" s="33" t="str">
        <f>IFERROR(INDEX(tbl_requisitos_emb[Tema],MATCH(B1573,tbl_requisitos_emb[ID_Req],0)),"")</f>
        <v>Materiais em contacto com alimentos</v>
      </c>
      <c r="D1573" s="33" t="str">
        <f>IFERROR(INDEX(tbl_recyclass[Segmento],MATCH(A1573,tbl_recyclass[ProductId],0)),"")</f>
        <v>Cosmética e higiene pessoal</v>
      </c>
      <c r="E1573" s="26" t="s">
        <v>904</v>
      </c>
      <c r="F1573" s="26" t="s">
        <v>1450</v>
      </c>
      <c r="G1573" s="26" t="s">
        <v>1143</v>
      </c>
      <c r="H1573" s="33" t="str">
        <f>IF(E1573="Não","Não aplicável",IFERROR(IF(B1573="EU-ENV-002",IF(INDEX(tbl_recyclass[Conforme_PPWR_2030],MATCH(A1573,tbl_recyclass[ProductId],0))="Sim","Conforme (autoavaliação)",IF(INDEX(tbl_recyclass[Conforme_PPWR_2030],MATCH(A1573,tbl_recyclass[ProductId],0))="Não","Não conforme em 2030","Isento até 2035")),IF(B1573="EU-ENV-003",IF(INDEX(tbl_recyclass[Conforme_Art7_2030],MATCH(A1573,tbl_recyclass[ProductId],0))="Sim","Conforme (meta 2030)",IF(INDEX(tbl_recyclass[Conforme_Art7_2030],MATCH(A1573,tbl_recyclass[ProductId],0))="Não","Lacuna face à meta 2030","Isento")),IF(B1573="EU-ENV-011",IF(INDEX(tbl_familias_ppwr[Metais_Pesados_Evidencia],MATCH(INDEX(tbl_recyclass[Familia_PPWR],MATCH(A1573,tbl_recyclass[ProductId],0)),tbl_familias_ppwr[ID_Familia],0))="Em falta","Lacuna","Conforme"),IF(B1573="EU-ENV-013",IF(INDEX(tbl_familias_ppwr[Declaracao_UE],MATCH(INDEX(tbl_recyclass[Familia_PPWR],MATCH(A1573,tbl_recyclass[ProductId],0)),tbl_familias_ppwr[ID_Familia],0))="Sim","Conforme","Lacuna"),G1573)))),G1573))</f>
        <v>Não aplicável</v>
      </c>
      <c r="I1573" s="33" t="str">
        <f t="shared" si="24"/>
        <v>Não aplicável</v>
      </c>
      <c r="J1573" s="26"/>
    </row>
    <row r="1574" spans="1:10" ht="16.05" customHeight="1" x14ac:dyDescent="0.3">
      <c r="A1574" s="26" t="s">
        <v>779</v>
      </c>
      <c r="B1574" s="26" t="s">
        <v>1170</v>
      </c>
      <c r="C1574" s="33" t="str">
        <f>IFERROR(INDEX(tbl_requisitos_emb[Tema],MATCH(B1574,tbl_requisitos_emb[ID_Req],0)),"")</f>
        <v>Boas práticas de fabrico FCM</v>
      </c>
      <c r="D1574" s="33" t="str">
        <f>IFERROR(INDEX(tbl_recyclass[Segmento],MATCH(A1574,tbl_recyclass[ProductId],0)),"")</f>
        <v>Cosmética e higiene pessoal</v>
      </c>
      <c r="E1574" s="26" t="s">
        <v>904</v>
      </c>
      <c r="F1574" s="26" t="s">
        <v>1450</v>
      </c>
      <c r="G1574" s="26" t="s">
        <v>1143</v>
      </c>
      <c r="H1574" s="33" t="str">
        <f>IF(E1574="Não","Não aplicável",IFERROR(IF(B1574="EU-ENV-002",IF(INDEX(tbl_recyclass[Conforme_PPWR_2030],MATCH(A1574,tbl_recyclass[ProductId],0))="Sim","Conforme (autoavaliação)",IF(INDEX(tbl_recyclass[Conforme_PPWR_2030],MATCH(A1574,tbl_recyclass[ProductId],0))="Não","Não conforme em 2030","Isento até 2035")),IF(B1574="EU-ENV-003",IF(INDEX(tbl_recyclass[Conforme_Art7_2030],MATCH(A1574,tbl_recyclass[ProductId],0))="Sim","Conforme (meta 2030)",IF(INDEX(tbl_recyclass[Conforme_Art7_2030],MATCH(A1574,tbl_recyclass[ProductId],0))="Não","Lacuna face à meta 2030","Isento")),IF(B1574="EU-ENV-011",IF(INDEX(tbl_familias_ppwr[Metais_Pesados_Evidencia],MATCH(INDEX(tbl_recyclass[Familia_PPWR],MATCH(A1574,tbl_recyclass[ProductId],0)),tbl_familias_ppwr[ID_Familia],0))="Em falta","Lacuna","Conforme"),IF(B1574="EU-ENV-013",IF(INDEX(tbl_familias_ppwr[Declaracao_UE],MATCH(INDEX(tbl_recyclass[Familia_PPWR],MATCH(A1574,tbl_recyclass[ProductId],0)),tbl_familias_ppwr[ID_Familia],0))="Sim","Conforme","Lacuna"),G1574)))),G1574))</f>
        <v>Não aplicável</v>
      </c>
      <c r="I1574" s="33" t="str">
        <f t="shared" si="24"/>
        <v>Não aplicável</v>
      </c>
      <c r="J1574" s="26"/>
    </row>
    <row r="1575" spans="1:10" ht="16.05" customHeight="1" x14ac:dyDescent="0.3">
      <c r="A1575" s="26" t="s">
        <v>779</v>
      </c>
      <c r="B1575" s="26" t="s">
        <v>1179</v>
      </c>
      <c r="C1575" s="33" t="str">
        <f>IFERROR(INDEX(tbl_requisitos_emb[Tema],MATCH(B1575,tbl_requisitos_emb[ID_Req],0)),"")</f>
        <v>Bisfenol A e bisfenóis perigosos</v>
      </c>
      <c r="D1575" s="33" t="str">
        <f>IFERROR(INDEX(tbl_recyclass[Segmento],MATCH(A1575,tbl_recyclass[ProductId],0)),"")</f>
        <v>Cosmética e higiene pessoal</v>
      </c>
      <c r="E1575" s="26" t="s">
        <v>904</v>
      </c>
      <c r="F1575" s="26" t="s">
        <v>1450</v>
      </c>
      <c r="G1575" s="26" t="s">
        <v>1143</v>
      </c>
      <c r="H1575" s="33" t="str">
        <f>IF(E1575="Não","Não aplicável",IFERROR(IF(B1575="EU-ENV-002",IF(INDEX(tbl_recyclass[Conforme_PPWR_2030],MATCH(A1575,tbl_recyclass[ProductId],0))="Sim","Conforme (autoavaliação)",IF(INDEX(tbl_recyclass[Conforme_PPWR_2030],MATCH(A1575,tbl_recyclass[ProductId],0))="Não","Não conforme em 2030","Isento até 2035")),IF(B1575="EU-ENV-003",IF(INDEX(tbl_recyclass[Conforme_Art7_2030],MATCH(A1575,tbl_recyclass[ProductId],0))="Sim","Conforme (meta 2030)",IF(INDEX(tbl_recyclass[Conforme_Art7_2030],MATCH(A1575,tbl_recyclass[ProductId],0))="Não","Lacuna face à meta 2030","Isento")),IF(B1575="EU-ENV-011",IF(INDEX(tbl_familias_ppwr[Metais_Pesados_Evidencia],MATCH(INDEX(tbl_recyclass[Familia_PPWR],MATCH(A1575,tbl_recyclass[ProductId],0)),tbl_familias_ppwr[ID_Familia],0))="Em falta","Lacuna","Conforme"),IF(B1575="EU-ENV-013",IF(INDEX(tbl_familias_ppwr[Declaracao_UE],MATCH(INDEX(tbl_recyclass[Familia_PPWR],MATCH(A1575,tbl_recyclass[ProductId],0)),tbl_familias_ppwr[ID_Familia],0))="Sim","Conforme","Lacuna"),G1575)))),G1575))</f>
        <v>Não aplicável</v>
      </c>
      <c r="I1575" s="33" t="str">
        <f t="shared" si="24"/>
        <v>Não aplicável</v>
      </c>
      <c r="J1575" s="26"/>
    </row>
    <row r="1576" spans="1:10" ht="16.05" customHeight="1" x14ac:dyDescent="0.3">
      <c r="A1576" s="26" t="s">
        <v>779</v>
      </c>
      <c r="B1576" s="26" t="s">
        <v>1188</v>
      </c>
      <c r="C1576" s="33" t="str">
        <f>IFERROR(INDEX(tbl_requisitos_emb[Tema],MATCH(B1576,tbl_requisitos_emb[ID_Req],0)),"")</f>
        <v>Plásticos em contacto com alimentos</v>
      </c>
      <c r="D1576" s="33" t="str">
        <f>IFERROR(INDEX(tbl_recyclass[Segmento],MATCH(A1576,tbl_recyclass[ProductId],0)),"")</f>
        <v>Cosmética e higiene pessoal</v>
      </c>
      <c r="E1576" s="26" t="s">
        <v>904</v>
      </c>
      <c r="F1576" s="26" t="s">
        <v>1450</v>
      </c>
      <c r="G1576" s="26" t="s">
        <v>1143</v>
      </c>
      <c r="H1576" s="33" t="str">
        <f>IF(E1576="Não","Não aplicável",IFERROR(IF(B1576="EU-ENV-002",IF(INDEX(tbl_recyclass[Conforme_PPWR_2030],MATCH(A1576,tbl_recyclass[ProductId],0))="Sim","Conforme (autoavaliação)",IF(INDEX(tbl_recyclass[Conforme_PPWR_2030],MATCH(A1576,tbl_recyclass[ProductId],0))="Não","Não conforme em 2030","Isento até 2035")),IF(B1576="EU-ENV-003",IF(INDEX(tbl_recyclass[Conforme_Art7_2030],MATCH(A1576,tbl_recyclass[ProductId],0))="Sim","Conforme (meta 2030)",IF(INDEX(tbl_recyclass[Conforme_Art7_2030],MATCH(A1576,tbl_recyclass[ProductId],0))="Não","Lacuna face à meta 2030","Isento")),IF(B1576="EU-ENV-011",IF(INDEX(tbl_familias_ppwr[Metais_Pesados_Evidencia],MATCH(INDEX(tbl_recyclass[Familia_PPWR],MATCH(A1576,tbl_recyclass[ProductId],0)),tbl_familias_ppwr[ID_Familia],0))="Em falta","Lacuna","Conforme"),IF(B1576="EU-ENV-013",IF(INDEX(tbl_familias_ppwr[Declaracao_UE],MATCH(INDEX(tbl_recyclass[Familia_PPWR],MATCH(A1576,tbl_recyclass[ProductId],0)),tbl_familias_ppwr[ID_Familia],0))="Sim","Conforme","Lacuna"),G1576)))),G1576))</f>
        <v>Não aplicável</v>
      </c>
      <c r="I1576" s="33" t="str">
        <f t="shared" si="24"/>
        <v>Não aplicável</v>
      </c>
      <c r="J1576" s="26"/>
    </row>
    <row r="1577" spans="1:10" ht="16.05" customHeight="1" x14ac:dyDescent="0.3">
      <c r="A1577" s="26" t="s">
        <v>779</v>
      </c>
      <c r="B1577" s="26" t="s">
        <v>1212</v>
      </c>
      <c r="C1577" s="33" t="str">
        <f>IFERROR(INDEX(tbl_requisitos_emb[Tema],MATCH(B1577,tbl_requisitos_emb[ID_Req],0)),"")</f>
        <v>Segurança do produto cosmético</v>
      </c>
      <c r="D1577" s="33" t="str">
        <f>IFERROR(INDEX(tbl_recyclass[Segmento],MATCH(A1577,tbl_recyclass[ProductId],0)),"")</f>
        <v>Cosmética e higiene pessoal</v>
      </c>
      <c r="E1577" s="26" t="s">
        <v>901</v>
      </c>
      <c r="F1577" s="26" t="s">
        <v>1449</v>
      </c>
      <c r="G1577" s="26" t="s">
        <v>1033</v>
      </c>
      <c r="H1577" s="33" t="str">
        <f>IF(E1577="Não","Não aplicável",IFERROR(IF(B1577="EU-ENV-002",IF(INDEX(tbl_recyclass[Conforme_PPWR_2030],MATCH(A1577,tbl_recyclass[ProductId],0))="Sim","Conforme (autoavaliação)",IF(INDEX(tbl_recyclass[Conforme_PPWR_2030],MATCH(A1577,tbl_recyclass[ProductId],0))="Não","Não conforme em 2030","Isento até 2035")),IF(B1577="EU-ENV-003",IF(INDEX(tbl_recyclass[Conforme_Art7_2030],MATCH(A1577,tbl_recyclass[ProductId],0))="Sim","Conforme (meta 2030)",IF(INDEX(tbl_recyclass[Conforme_Art7_2030],MATCH(A1577,tbl_recyclass[ProductId],0))="Não","Lacuna face à meta 2030","Isento")),IF(B1577="EU-ENV-011",IF(INDEX(tbl_familias_ppwr[Metais_Pesados_Evidencia],MATCH(INDEX(tbl_recyclass[Familia_PPWR],MATCH(A1577,tbl_recyclass[ProductId],0)),tbl_familias_ppwr[ID_Familia],0))="Em falta","Lacuna","Conforme"),IF(B1577="EU-ENV-013",IF(INDEX(tbl_familias_ppwr[Declaracao_UE],MATCH(INDEX(tbl_recyclass[Familia_PPWR],MATCH(A1577,tbl_recyclass[ProductId],0)),tbl_familias_ppwr[ID_Familia],0))="Sim","Conforme","Lacuna"),G1577)))),G1577))</f>
        <v>Conforme</v>
      </c>
      <c r="I1577" s="33" t="str">
        <f t="shared" si="24"/>
        <v>Conforme</v>
      </c>
      <c r="J1577" s="26" t="s">
        <v>1221</v>
      </c>
    </row>
    <row r="1578" spans="1:10" ht="16.05" customHeight="1" x14ac:dyDescent="0.3">
      <c r="A1578" s="26" t="s">
        <v>779</v>
      </c>
      <c r="B1578" s="26" t="s">
        <v>1224</v>
      </c>
      <c r="C1578" s="33" t="str">
        <f>IFERROR(INDEX(tbl_requisitos_emb[Tema],MATCH(B1578,tbl_requisitos_emb[ID_Req],0)),"")</f>
        <v>Materiais e impurezas</v>
      </c>
      <c r="D1578" s="33" t="str">
        <f>IFERROR(INDEX(tbl_recyclass[Segmento],MATCH(A1578,tbl_recyclass[ProductId],0)),"")</f>
        <v>Cosmética e higiene pessoal</v>
      </c>
      <c r="E1578" s="26" t="s">
        <v>901</v>
      </c>
      <c r="F1578" s="26" t="s">
        <v>1449</v>
      </c>
      <c r="G1578" s="26" t="s">
        <v>978</v>
      </c>
      <c r="H1578" s="33" t="str">
        <f>IF(E1578="Não","Não aplicável",IFERROR(IF(B1578="EU-ENV-002",IF(INDEX(tbl_recyclass[Conforme_PPWR_2030],MATCH(A1578,tbl_recyclass[ProductId],0))="Sim","Conforme (autoavaliação)",IF(INDEX(tbl_recyclass[Conforme_PPWR_2030],MATCH(A1578,tbl_recyclass[ProductId],0))="Não","Não conforme em 2030","Isento até 2035")),IF(B1578="EU-ENV-003",IF(INDEX(tbl_recyclass[Conforme_Art7_2030],MATCH(A1578,tbl_recyclass[ProductId],0))="Sim","Conforme (meta 2030)",IF(INDEX(tbl_recyclass[Conforme_Art7_2030],MATCH(A1578,tbl_recyclass[ProductId],0))="Não","Lacuna face à meta 2030","Isento")),IF(B1578="EU-ENV-011",IF(INDEX(tbl_familias_ppwr[Metais_Pesados_Evidencia],MATCH(INDEX(tbl_recyclass[Familia_PPWR],MATCH(A1578,tbl_recyclass[ProductId],0)),tbl_familias_ppwr[ID_Familia],0))="Em falta","Lacuna","Conforme"),IF(B1578="EU-ENV-013",IF(INDEX(tbl_familias_ppwr[Declaracao_UE],MATCH(INDEX(tbl_recyclass[Familia_PPWR],MATCH(A1578,tbl_recyclass[ProductId],0)),tbl_familias_ppwr[ID_Familia],0))="Sim","Conforme","Lacuna"),G1578)))),G1578))</f>
        <v>Parcial</v>
      </c>
      <c r="I1578" s="33" t="str">
        <f t="shared" si="24"/>
        <v>Parcial</v>
      </c>
      <c r="J1578" s="26" t="s">
        <v>1228</v>
      </c>
    </row>
    <row r="1579" spans="1:10" ht="16.05" customHeight="1" x14ac:dyDescent="0.3">
      <c r="A1579" s="26" t="s">
        <v>779</v>
      </c>
      <c r="B1579" s="26" t="s">
        <v>1240</v>
      </c>
      <c r="C1579" s="33" t="str">
        <f>IFERROR(INDEX(tbl_requisitos_emb[Tema],MATCH(B1579,tbl_requisitos_emb[ID_Req],0)),"")</f>
        <v>Compatibilidade embalagem–produto</v>
      </c>
      <c r="D1579" s="33" t="str">
        <f>IFERROR(INDEX(tbl_recyclass[Segmento],MATCH(A1579,tbl_recyclass[ProductId],0)),"")</f>
        <v>Cosmética e higiene pessoal</v>
      </c>
      <c r="E1579" s="26" t="s">
        <v>901</v>
      </c>
      <c r="F1579" s="26" t="s">
        <v>1449</v>
      </c>
      <c r="G1579" s="26" t="s">
        <v>1033</v>
      </c>
      <c r="H1579" s="33" t="str">
        <f>IF(E1579="Não","Não aplicável",IFERROR(IF(B1579="EU-ENV-002",IF(INDEX(tbl_recyclass[Conforme_PPWR_2030],MATCH(A1579,tbl_recyclass[ProductId],0))="Sim","Conforme (autoavaliação)",IF(INDEX(tbl_recyclass[Conforme_PPWR_2030],MATCH(A1579,tbl_recyclass[ProductId],0))="Não","Não conforme em 2030","Isento até 2035")),IF(B1579="EU-ENV-003",IF(INDEX(tbl_recyclass[Conforme_Art7_2030],MATCH(A1579,tbl_recyclass[ProductId],0))="Sim","Conforme (meta 2030)",IF(INDEX(tbl_recyclass[Conforme_Art7_2030],MATCH(A1579,tbl_recyclass[ProductId],0))="Não","Lacuna face à meta 2030","Isento")),IF(B1579="EU-ENV-011",IF(INDEX(tbl_familias_ppwr[Metais_Pesados_Evidencia],MATCH(INDEX(tbl_recyclass[Familia_PPWR],MATCH(A1579,tbl_recyclass[ProductId],0)),tbl_familias_ppwr[ID_Familia],0))="Em falta","Lacuna","Conforme"),IF(B1579="EU-ENV-013",IF(INDEX(tbl_familias_ppwr[Declaracao_UE],MATCH(INDEX(tbl_recyclass[Familia_PPWR],MATCH(A1579,tbl_recyclass[ProductId],0)),tbl_familias_ppwr[ID_Familia],0))="Sim","Conforme","Lacuna"),G1579)))),G1579))</f>
        <v>Conforme</v>
      </c>
      <c r="I1579" s="33" t="str">
        <f t="shared" si="24"/>
        <v>Conforme</v>
      </c>
      <c r="J1579" s="26" t="s">
        <v>1244</v>
      </c>
    </row>
    <row r="1580" spans="1:10" ht="16.05" customHeight="1" x14ac:dyDescent="0.3">
      <c r="A1580" s="26" t="s">
        <v>779</v>
      </c>
      <c r="B1580" s="26" t="s">
        <v>1252</v>
      </c>
      <c r="C1580" s="33" t="str">
        <f>IFERROR(INDEX(tbl_requisitos_emb[Tema],MATCH(B1580,tbl_requisitos_emb[ID_Req],0)),"")</f>
        <v>Medicamentos de uso humano</v>
      </c>
      <c r="D1580" s="33" t="str">
        <f>IFERROR(INDEX(tbl_recyclass[Segmento],MATCH(A1580,tbl_recyclass[ProductId],0)),"")</f>
        <v>Cosmética e higiene pessoal</v>
      </c>
      <c r="E1580" s="26" t="s">
        <v>904</v>
      </c>
      <c r="F1580" s="26" t="s">
        <v>1451</v>
      </c>
      <c r="G1580" s="26" t="s">
        <v>1143</v>
      </c>
      <c r="H1580" s="33" t="str">
        <f>IF(E1580="Não","Não aplicável",IFERROR(IF(B1580="EU-ENV-002",IF(INDEX(tbl_recyclass[Conforme_PPWR_2030],MATCH(A1580,tbl_recyclass[ProductId],0))="Sim","Conforme (autoavaliação)",IF(INDEX(tbl_recyclass[Conforme_PPWR_2030],MATCH(A1580,tbl_recyclass[ProductId],0))="Não","Não conforme em 2030","Isento até 2035")),IF(B1580="EU-ENV-003",IF(INDEX(tbl_recyclass[Conforme_Art7_2030],MATCH(A1580,tbl_recyclass[ProductId],0))="Sim","Conforme (meta 2030)",IF(INDEX(tbl_recyclass[Conforme_Art7_2030],MATCH(A1580,tbl_recyclass[ProductId],0))="Não","Lacuna face à meta 2030","Isento")),IF(B1580="EU-ENV-011",IF(INDEX(tbl_familias_ppwr[Metais_Pesados_Evidencia],MATCH(INDEX(tbl_recyclass[Familia_PPWR],MATCH(A1580,tbl_recyclass[ProductId],0)),tbl_familias_ppwr[ID_Familia],0))="Em falta","Lacuna","Conforme"),IF(B1580="EU-ENV-013",IF(INDEX(tbl_familias_ppwr[Declaracao_UE],MATCH(INDEX(tbl_recyclass[Familia_PPWR],MATCH(A1580,tbl_recyclass[ProductId],0)),tbl_familias_ppwr[ID_Familia],0))="Sim","Conforme","Lacuna"),G1580)))),G1580))</f>
        <v>Não aplicável</v>
      </c>
      <c r="I1580" s="33" t="str">
        <f t="shared" si="24"/>
        <v>Não aplicável</v>
      </c>
      <c r="J1580" s="26"/>
    </row>
    <row r="1581" spans="1:10" ht="16.05" customHeight="1" x14ac:dyDescent="0.3">
      <c r="A1581" s="26" t="s">
        <v>779</v>
      </c>
      <c r="B1581" s="26" t="s">
        <v>1268</v>
      </c>
      <c r="C1581" s="33" t="str">
        <f>IFERROR(INDEX(tbl_requisitos_emb[Tema],MATCH(B1581,tbl_requisitos_emb[ID_Req],0)),"")</f>
        <v>Dispositivos de segurança</v>
      </c>
      <c r="D1581" s="33" t="str">
        <f>IFERROR(INDEX(tbl_recyclass[Segmento],MATCH(A1581,tbl_recyclass[ProductId],0)),"")</f>
        <v>Cosmética e higiene pessoal</v>
      </c>
      <c r="E1581" s="26" t="s">
        <v>904</v>
      </c>
      <c r="F1581" s="26" t="s">
        <v>1451</v>
      </c>
      <c r="G1581" s="26" t="s">
        <v>1143</v>
      </c>
      <c r="H1581" s="33" t="str">
        <f>IF(E1581="Não","Não aplicável",IFERROR(IF(B1581="EU-ENV-002",IF(INDEX(tbl_recyclass[Conforme_PPWR_2030],MATCH(A1581,tbl_recyclass[ProductId],0))="Sim","Conforme (autoavaliação)",IF(INDEX(tbl_recyclass[Conforme_PPWR_2030],MATCH(A1581,tbl_recyclass[ProductId],0))="Não","Não conforme em 2030","Isento até 2035")),IF(B1581="EU-ENV-003",IF(INDEX(tbl_recyclass[Conforme_Art7_2030],MATCH(A1581,tbl_recyclass[ProductId],0))="Sim","Conforme (meta 2030)",IF(INDEX(tbl_recyclass[Conforme_Art7_2030],MATCH(A1581,tbl_recyclass[ProductId],0))="Não","Lacuna face à meta 2030","Isento")),IF(B1581="EU-ENV-011",IF(INDEX(tbl_familias_ppwr[Metais_Pesados_Evidencia],MATCH(INDEX(tbl_recyclass[Familia_PPWR],MATCH(A1581,tbl_recyclass[ProductId],0)),tbl_familias_ppwr[ID_Familia],0))="Em falta","Lacuna","Conforme"),IF(B1581="EU-ENV-013",IF(INDEX(tbl_familias_ppwr[Declaracao_UE],MATCH(INDEX(tbl_recyclass[Familia_PPWR],MATCH(A1581,tbl_recyclass[ProductId],0)),tbl_familias_ppwr[ID_Familia],0))="Sim","Conforme","Lacuna"),G1581)))),G1581))</f>
        <v>Não aplicável</v>
      </c>
      <c r="I1581" s="33" t="str">
        <f t="shared" si="24"/>
        <v>Não aplicável</v>
      </c>
      <c r="J1581" s="26"/>
    </row>
    <row r="1582" spans="1:10" ht="16.05" customHeight="1" x14ac:dyDescent="0.3">
      <c r="A1582" s="26" t="s">
        <v>779</v>
      </c>
      <c r="B1582" s="26" t="s">
        <v>1285</v>
      </c>
      <c r="C1582" s="33" t="str">
        <f>IFERROR(INDEX(tbl_requisitos_emb[Tema],MATCH(B1582,tbl_requisitos_emb[ID_Req],0)),"")</f>
        <v>Materiais plásticos de acondicionamento primário</v>
      </c>
      <c r="D1582" s="33" t="str">
        <f>IFERROR(INDEX(tbl_recyclass[Segmento],MATCH(A1582,tbl_recyclass[ProductId],0)),"")</f>
        <v>Cosmética e higiene pessoal</v>
      </c>
      <c r="E1582" s="26" t="s">
        <v>904</v>
      </c>
      <c r="F1582" s="26" t="s">
        <v>1451</v>
      </c>
      <c r="G1582" s="26" t="s">
        <v>1143</v>
      </c>
      <c r="H1582" s="33" t="str">
        <f>IF(E1582="Não","Não aplicável",IFERROR(IF(B1582="EU-ENV-002",IF(INDEX(tbl_recyclass[Conforme_PPWR_2030],MATCH(A1582,tbl_recyclass[ProductId],0))="Sim","Conforme (autoavaliação)",IF(INDEX(tbl_recyclass[Conforme_PPWR_2030],MATCH(A1582,tbl_recyclass[ProductId],0))="Não","Não conforme em 2030","Isento até 2035")),IF(B1582="EU-ENV-003",IF(INDEX(tbl_recyclass[Conforme_Art7_2030],MATCH(A1582,tbl_recyclass[ProductId],0))="Sim","Conforme (meta 2030)",IF(INDEX(tbl_recyclass[Conforme_Art7_2030],MATCH(A1582,tbl_recyclass[ProductId],0))="Não","Lacuna face à meta 2030","Isento")),IF(B1582="EU-ENV-011",IF(INDEX(tbl_familias_ppwr[Metais_Pesados_Evidencia],MATCH(INDEX(tbl_recyclass[Familia_PPWR],MATCH(A1582,tbl_recyclass[ProductId],0)),tbl_familias_ppwr[ID_Familia],0))="Em falta","Lacuna","Conforme"),IF(B1582="EU-ENV-013",IF(INDEX(tbl_familias_ppwr[Declaracao_UE],MATCH(INDEX(tbl_recyclass[Familia_PPWR],MATCH(A1582,tbl_recyclass[ProductId],0)),tbl_familias_ppwr[ID_Familia],0))="Sim","Conforme","Lacuna"),G1582)))),G1582))</f>
        <v>Não aplicável</v>
      </c>
      <c r="I1582" s="33" t="str">
        <f t="shared" si="24"/>
        <v>Não aplicável</v>
      </c>
      <c r="J1582" s="26"/>
    </row>
    <row r="1583" spans="1:10" ht="16.05" customHeight="1" x14ac:dyDescent="0.3">
      <c r="A1583" s="26" t="s">
        <v>779</v>
      </c>
      <c r="B1583" s="26" t="s">
        <v>1293</v>
      </c>
      <c r="C1583" s="33" t="str">
        <f>IFERROR(INDEX(tbl_requisitos_emb[Tema],MATCH(B1583,tbl_requisitos_emb[ID_Req],0)),"")</f>
        <v>Isenções PPWR</v>
      </c>
      <c r="D1583" s="33" t="str">
        <f>IFERROR(INDEX(tbl_recyclass[Segmento],MATCH(A1583,tbl_recyclass[ProductId],0)),"")</f>
        <v>Cosmética e higiene pessoal</v>
      </c>
      <c r="E1583" s="26" t="s">
        <v>904</v>
      </c>
      <c r="F1583" s="26" t="s">
        <v>1451</v>
      </c>
      <c r="G1583" s="26" t="s">
        <v>1143</v>
      </c>
      <c r="H1583" s="33" t="str">
        <f>IF(E1583="Não","Não aplicável",IFERROR(IF(B1583="EU-ENV-002",IF(INDEX(tbl_recyclass[Conforme_PPWR_2030],MATCH(A1583,tbl_recyclass[ProductId],0))="Sim","Conforme (autoavaliação)",IF(INDEX(tbl_recyclass[Conforme_PPWR_2030],MATCH(A1583,tbl_recyclass[ProductId],0))="Não","Não conforme em 2030","Isento até 2035")),IF(B1583="EU-ENV-003",IF(INDEX(tbl_recyclass[Conforme_Art7_2030],MATCH(A1583,tbl_recyclass[ProductId],0))="Sim","Conforme (meta 2030)",IF(INDEX(tbl_recyclass[Conforme_Art7_2030],MATCH(A1583,tbl_recyclass[ProductId],0))="Não","Lacuna face à meta 2030","Isento")),IF(B1583="EU-ENV-011",IF(INDEX(tbl_familias_ppwr[Metais_Pesados_Evidencia],MATCH(INDEX(tbl_recyclass[Familia_PPWR],MATCH(A1583,tbl_recyclass[ProductId],0)),tbl_familias_ppwr[ID_Familia],0))="Em falta","Lacuna","Conforme"),IF(B1583="EU-ENV-013",IF(INDEX(tbl_familias_ppwr[Declaracao_UE],MATCH(INDEX(tbl_recyclass[Familia_PPWR],MATCH(A1583,tbl_recyclass[ProductId],0)),tbl_familias_ppwr[ID_Familia],0))="Sim","Conforme","Lacuna"),G1583)))),G1583))</f>
        <v>Não aplicável</v>
      </c>
      <c r="I1583" s="33" t="str">
        <f t="shared" si="24"/>
        <v>Não aplicável</v>
      </c>
      <c r="J1583" s="26"/>
    </row>
    <row r="1584" spans="1:10" ht="16.05" customHeight="1" x14ac:dyDescent="0.3">
      <c r="A1584" s="26" t="s">
        <v>779</v>
      </c>
      <c r="B1584" s="26" t="s">
        <v>1357</v>
      </c>
      <c r="C1584" s="33" t="str">
        <f>IFERROR(INDEX(tbl_requisitos_emb[Tema],MATCH(B1584,tbl_requisitos_emb[ID_Req],0)),"")</f>
        <v>Identificação de plásticos</v>
      </c>
      <c r="D1584" s="33" t="str">
        <f>IFERROR(INDEX(tbl_recyclass[Segmento],MATCH(A1584,tbl_recyclass[ProductId],0)),"")</f>
        <v>Cosmética e higiene pessoal</v>
      </c>
      <c r="E1584" s="26" t="s">
        <v>901</v>
      </c>
      <c r="F1584" s="26" t="s">
        <v>1449</v>
      </c>
      <c r="G1584" s="26" t="s">
        <v>978</v>
      </c>
      <c r="H1584" s="33" t="str">
        <f>IF(E1584="Não","Não aplicável",IFERROR(IF(B1584="EU-ENV-002",IF(INDEX(tbl_recyclass[Conforme_PPWR_2030],MATCH(A1584,tbl_recyclass[ProductId],0))="Sim","Conforme (autoavaliação)",IF(INDEX(tbl_recyclass[Conforme_PPWR_2030],MATCH(A1584,tbl_recyclass[ProductId],0))="Não","Não conforme em 2030","Isento até 2035")),IF(B1584="EU-ENV-003",IF(INDEX(tbl_recyclass[Conforme_Art7_2030],MATCH(A1584,tbl_recyclass[ProductId],0))="Sim","Conforme (meta 2030)",IF(INDEX(tbl_recyclass[Conforme_Art7_2030],MATCH(A1584,tbl_recyclass[ProductId],0))="Não","Lacuna face à meta 2030","Isento")),IF(B1584="EU-ENV-011",IF(INDEX(tbl_familias_ppwr[Metais_Pesados_Evidencia],MATCH(INDEX(tbl_recyclass[Familia_PPWR],MATCH(A1584,tbl_recyclass[ProductId],0)),tbl_familias_ppwr[ID_Familia],0))="Em falta","Lacuna","Conforme"),IF(B1584="EU-ENV-013",IF(INDEX(tbl_familias_ppwr[Declaracao_UE],MATCH(INDEX(tbl_recyclass[Familia_PPWR],MATCH(A1584,tbl_recyclass[ProductId],0)),tbl_familias_ppwr[ID_Familia],0))="Sim","Conforme","Lacuna"),G1584)))),G1584))</f>
        <v>Parcial</v>
      </c>
      <c r="I1584" s="33" t="str">
        <f t="shared" si="24"/>
        <v>Parcial</v>
      </c>
      <c r="J1584" s="26" t="s">
        <v>1362</v>
      </c>
    </row>
    <row r="1585" spans="1:10" ht="16.05" customHeight="1" x14ac:dyDescent="0.3">
      <c r="A1585" s="26" t="s">
        <v>779</v>
      </c>
      <c r="B1585" s="26" t="s">
        <v>1385</v>
      </c>
      <c r="C1585" s="33" t="str">
        <f>IFERROR(INDEX(tbl_requisitos_emb[Tema],MATCH(B1585,tbl_requisitos_emb[ID_Req],0)),"")</f>
        <v>Reciclabilidade (voluntária)</v>
      </c>
      <c r="D1585" s="33" t="str">
        <f>IFERROR(INDEX(tbl_recyclass[Segmento],MATCH(A1585,tbl_recyclass[ProductId],0)),"")</f>
        <v>Cosmética e higiene pessoal</v>
      </c>
      <c r="E1585" s="26" t="s">
        <v>901</v>
      </c>
      <c r="F1585" s="26" t="s">
        <v>1449</v>
      </c>
      <c r="G1585" s="26" t="s">
        <v>978</v>
      </c>
      <c r="H1585" s="33" t="str">
        <f>IF(E1585="Não","Não aplicável",IFERROR(IF(B1585="EU-ENV-002",IF(INDEX(tbl_recyclass[Conforme_PPWR_2030],MATCH(A1585,tbl_recyclass[ProductId],0))="Sim","Conforme (autoavaliação)",IF(INDEX(tbl_recyclass[Conforme_PPWR_2030],MATCH(A1585,tbl_recyclass[ProductId],0))="Não","Não conforme em 2030","Isento até 2035")),IF(B1585="EU-ENV-003",IF(INDEX(tbl_recyclass[Conforme_Art7_2030],MATCH(A1585,tbl_recyclass[ProductId],0))="Sim","Conforme (meta 2030)",IF(INDEX(tbl_recyclass[Conforme_Art7_2030],MATCH(A1585,tbl_recyclass[ProductId],0))="Não","Lacuna face à meta 2030","Isento")),IF(B1585="EU-ENV-011",IF(INDEX(tbl_familias_ppwr[Metais_Pesados_Evidencia],MATCH(INDEX(tbl_recyclass[Familia_PPWR],MATCH(A1585,tbl_recyclass[ProductId],0)),tbl_familias_ppwr[ID_Familia],0))="Em falta","Lacuna","Conforme"),IF(B1585="EU-ENV-013",IF(INDEX(tbl_familias_ppwr[Declaracao_UE],MATCH(INDEX(tbl_recyclass[Familia_PPWR],MATCH(A1585,tbl_recyclass[ProductId],0)),tbl_familias_ppwr[ID_Familia],0))="Sim","Conforme","Lacuna"),G1585)))),G1585))</f>
        <v>Parcial</v>
      </c>
      <c r="I1585" s="33" t="str">
        <f t="shared" si="24"/>
        <v>Parcial</v>
      </c>
      <c r="J1585" s="26" t="s">
        <v>1389</v>
      </c>
    </row>
    <row r="1586" spans="1:10" ht="16.05" customHeight="1" x14ac:dyDescent="0.3">
      <c r="A1586" s="26" t="s">
        <v>781</v>
      </c>
      <c r="B1586" s="26" t="s">
        <v>984</v>
      </c>
      <c r="C1586" s="33" t="str">
        <f>IFERROR(INDEX(tbl_requisitos_emb[Tema],MATCH(B1586,tbl_requisitos_emb[ID_Req],0)),"")</f>
        <v>Conceção para reciclagem</v>
      </c>
      <c r="D1586" s="33" t="str">
        <f>IFERROR(INDEX(tbl_recyclass[Segmento],MATCH(A1586,tbl_recyclass[ProductId],0)),"")</f>
        <v>Cosmética e higiene pessoal</v>
      </c>
      <c r="E1586" s="26" t="s">
        <v>901</v>
      </c>
      <c r="F1586" s="26" t="s">
        <v>1449</v>
      </c>
      <c r="G1586" s="26" t="s">
        <v>978</v>
      </c>
      <c r="H1586" s="33" t="str">
        <f>IF(E1586="Não","Não aplicável",IFERROR(IF(B1586="EU-ENV-002",IF(INDEX(tbl_recyclass[Conforme_PPWR_2030],MATCH(A1586,tbl_recyclass[ProductId],0))="Sim","Conforme (autoavaliação)",IF(INDEX(tbl_recyclass[Conforme_PPWR_2030],MATCH(A1586,tbl_recyclass[ProductId],0))="Não","Não conforme em 2030","Isento até 2035")),IF(B1586="EU-ENV-003",IF(INDEX(tbl_recyclass[Conforme_Art7_2030],MATCH(A1586,tbl_recyclass[ProductId],0))="Sim","Conforme (meta 2030)",IF(INDEX(tbl_recyclass[Conforme_Art7_2030],MATCH(A1586,tbl_recyclass[ProductId],0))="Não","Lacuna face à meta 2030","Isento")),IF(B1586="EU-ENV-011",IF(INDEX(tbl_familias_ppwr[Metais_Pesados_Evidencia],MATCH(INDEX(tbl_recyclass[Familia_PPWR],MATCH(A1586,tbl_recyclass[ProductId],0)),tbl_familias_ppwr[ID_Familia],0))="Em falta","Lacuna","Conforme"),IF(B1586="EU-ENV-013",IF(INDEX(tbl_familias_ppwr[Declaracao_UE],MATCH(INDEX(tbl_recyclass[Familia_PPWR],MATCH(A1586,tbl_recyclass[ProductId],0)),tbl_familias_ppwr[ID_Familia],0))="Sim","Conforme","Lacuna"),G1586)))),G1586))</f>
        <v>Não conforme em 2030</v>
      </c>
      <c r="I1586" s="33" t="str">
        <f t="shared" si="24"/>
        <v>Não conforme</v>
      </c>
      <c r="J1586" s="26" t="s">
        <v>991</v>
      </c>
    </row>
    <row r="1587" spans="1:10" ht="16.05" customHeight="1" x14ac:dyDescent="0.3">
      <c r="A1587" s="26" t="s">
        <v>781</v>
      </c>
      <c r="B1587" s="26" t="s">
        <v>997</v>
      </c>
      <c r="C1587" s="33" t="str">
        <f>IFERROR(INDEX(tbl_requisitos_emb[Tema],MATCH(B1587,tbl_requisitos_emb[ID_Req],0)),"")</f>
        <v>Conteúdo reciclado</v>
      </c>
      <c r="D1587" s="33" t="str">
        <f>IFERROR(INDEX(tbl_recyclass[Segmento],MATCH(A1587,tbl_recyclass[ProductId],0)),"")</f>
        <v>Cosmética e higiene pessoal</v>
      </c>
      <c r="E1587" s="26" t="s">
        <v>901</v>
      </c>
      <c r="F1587" s="26" t="s">
        <v>1449</v>
      </c>
      <c r="G1587" s="26" t="s">
        <v>978</v>
      </c>
      <c r="H1587" s="33" t="str">
        <f>IF(E1587="Não","Não aplicável",IFERROR(IF(B1587="EU-ENV-002",IF(INDEX(tbl_recyclass[Conforme_PPWR_2030],MATCH(A1587,tbl_recyclass[ProductId],0))="Sim","Conforme (autoavaliação)",IF(INDEX(tbl_recyclass[Conforme_PPWR_2030],MATCH(A1587,tbl_recyclass[ProductId],0))="Não","Não conforme em 2030","Isento até 2035")),IF(B1587="EU-ENV-003",IF(INDEX(tbl_recyclass[Conforme_Art7_2030],MATCH(A1587,tbl_recyclass[ProductId],0))="Sim","Conforme (meta 2030)",IF(INDEX(tbl_recyclass[Conforme_Art7_2030],MATCH(A1587,tbl_recyclass[ProductId],0))="Não","Lacuna face à meta 2030","Isento")),IF(B1587="EU-ENV-011",IF(INDEX(tbl_familias_ppwr[Metais_Pesados_Evidencia],MATCH(INDEX(tbl_recyclass[Familia_PPWR],MATCH(A1587,tbl_recyclass[ProductId],0)),tbl_familias_ppwr[ID_Familia],0))="Em falta","Lacuna","Conforme"),IF(B1587="EU-ENV-013",IF(INDEX(tbl_familias_ppwr[Declaracao_UE],MATCH(INDEX(tbl_recyclass[Familia_PPWR],MATCH(A1587,tbl_recyclass[ProductId],0)),tbl_familias_ppwr[ID_Familia],0))="Sim","Conforme","Lacuna"),G1587)))),G1587))</f>
        <v>Lacuna face à meta 2030</v>
      </c>
      <c r="I1587" s="33" t="str">
        <f t="shared" si="24"/>
        <v>Lacuna</v>
      </c>
      <c r="J1587" s="26" t="s">
        <v>1001</v>
      </c>
    </row>
    <row r="1588" spans="1:10" ht="16.05" customHeight="1" x14ac:dyDescent="0.3">
      <c r="A1588" s="26" t="s">
        <v>781</v>
      </c>
      <c r="B1588" s="26" t="s">
        <v>1007</v>
      </c>
      <c r="C1588" s="33" t="str">
        <f>IFERROR(INDEX(tbl_requisitos_emb[Tema],MATCH(B1588,tbl_requisitos_emb[ID_Req],0)),"")</f>
        <v>Minimização</v>
      </c>
      <c r="D1588" s="33" t="str">
        <f>IFERROR(INDEX(tbl_recyclass[Segmento],MATCH(A1588,tbl_recyclass[ProductId],0)),"")</f>
        <v>Cosmética e higiene pessoal</v>
      </c>
      <c r="E1588" s="26" t="s">
        <v>901</v>
      </c>
      <c r="F1588" s="26" t="s">
        <v>1449</v>
      </c>
      <c r="G1588" s="26" t="s">
        <v>978</v>
      </c>
      <c r="H1588" s="33" t="str">
        <f>IF(E1588="Não","Não aplicável",IFERROR(IF(B1588="EU-ENV-002",IF(INDEX(tbl_recyclass[Conforme_PPWR_2030],MATCH(A1588,tbl_recyclass[ProductId],0))="Sim","Conforme (autoavaliação)",IF(INDEX(tbl_recyclass[Conforme_PPWR_2030],MATCH(A1588,tbl_recyclass[ProductId],0))="Não","Não conforme em 2030","Isento até 2035")),IF(B1588="EU-ENV-003",IF(INDEX(tbl_recyclass[Conforme_Art7_2030],MATCH(A1588,tbl_recyclass[ProductId],0))="Sim","Conforme (meta 2030)",IF(INDEX(tbl_recyclass[Conforme_Art7_2030],MATCH(A1588,tbl_recyclass[ProductId],0))="Não","Lacuna face à meta 2030","Isento")),IF(B1588="EU-ENV-011",IF(INDEX(tbl_familias_ppwr[Metais_Pesados_Evidencia],MATCH(INDEX(tbl_recyclass[Familia_PPWR],MATCH(A1588,tbl_recyclass[ProductId],0)),tbl_familias_ppwr[ID_Familia],0))="Em falta","Lacuna","Conforme"),IF(B1588="EU-ENV-013",IF(INDEX(tbl_familias_ppwr[Declaracao_UE],MATCH(INDEX(tbl_recyclass[Familia_PPWR],MATCH(A1588,tbl_recyclass[ProductId],0)),tbl_familias_ppwr[ID_Familia],0))="Sim","Conforme","Lacuna"),G1588)))),G1588))</f>
        <v>Parcial</v>
      </c>
      <c r="I1588" s="33" t="str">
        <f t="shared" si="24"/>
        <v>Parcial</v>
      </c>
      <c r="J1588" s="26" t="s">
        <v>1012</v>
      </c>
    </row>
    <row r="1589" spans="1:10" ht="16.05" customHeight="1" x14ac:dyDescent="0.3">
      <c r="A1589" s="26" t="s">
        <v>781</v>
      </c>
      <c r="B1589" s="26" t="s">
        <v>1016</v>
      </c>
      <c r="C1589" s="33" t="str">
        <f>IFERROR(INDEX(tbl_requisitos_emb[Tema],MATCH(B1589,tbl_requisitos_emb[ID_Req],0)),"")</f>
        <v>Rotulagem</v>
      </c>
      <c r="D1589" s="33" t="str">
        <f>IFERROR(INDEX(tbl_recyclass[Segmento],MATCH(A1589,tbl_recyclass[ProductId],0)),"")</f>
        <v>Cosmética e higiene pessoal</v>
      </c>
      <c r="E1589" s="26" t="s">
        <v>901</v>
      </c>
      <c r="F1589" s="26" t="s">
        <v>1449</v>
      </c>
      <c r="G1589" s="26" t="s">
        <v>990</v>
      </c>
      <c r="H1589" s="33" t="str">
        <f>IF(E1589="Não","Não aplicável",IFERROR(IF(B1589="EU-ENV-002",IF(INDEX(tbl_recyclass[Conforme_PPWR_2030],MATCH(A1589,tbl_recyclass[ProductId],0))="Sim","Conforme (autoavaliação)",IF(INDEX(tbl_recyclass[Conforme_PPWR_2030],MATCH(A1589,tbl_recyclass[ProductId],0))="Não","Não conforme em 2030","Isento até 2035")),IF(B1589="EU-ENV-003",IF(INDEX(tbl_recyclass[Conforme_Art7_2030],MATCH(A1589,tbl_recyclass[ProductId],0))="Sim","Conforme (meta 2030)",IF(INDEX(tbl_recyclass[Conforme_Art7_2030],MATCH(A1589,tbl_recyclass[ProductId],0))="Não","Lacuna face à meta 2030","Isento")),IF(B1589="EU-ENV-011",IF(INDEX(tbl_familias_ppwr[Metais_Pesados_Evidencia],MATCH(INDEX(tbl_recyclass[Familia_PPWR],MATCH(A1589,tbl_recyclass[ProductId],0)),tbl_familias_ppwr[ID_Familia],0))="Em falta","Lacuna","Conforme"),IF(B1589="EU-ENV-013",IF(INDEX(tbl_familias_ppwr[Declaracao_UE],MATCH(INDEX(tbl_recyclass[Familia_PPWR],MATCH(A1589,tbl_recyclass[ProductId],0)),tbl_familias_ppwr[ID_Familia],0))="Sim","Conforme","Lacuna"),G1589)))),G1589))</f>
        <v>Futuro</v>
      </c>
      <c r="I1589" s="33" t="str">
        <f t="shared" si="24"/>
        <v>Futuro</v>
      </c>
      <c r="J1589" s="26" t="s">
        <v>1021</v>
      </c>
    </row>
    <row r="1590" spans="1:10" ht="16.05" customHeight="1" x14ac:dyDescent="0.3">
      <c r="A1590" s="26" t="s">
        <v>781</v>
      </c>
      <c r="B1590" s="26" t="s">
        <v>1038</v>
      </c>
      <c r="C1590" s="33" t="str">
        <f>IFERROR(INDEX(tbl_requisitos_emb[Tema],MATCH(B1590,tbl_requisitos_emb[ID_Req],0)),"")</f>
        <v>Plásticos de utilização única</v>
      </c>
      <c r="D1590" s="33" t="str">
        <f>IFERROR(INDEX(tbl_recyclass[Segmento],MATCH(A1590,tbl_recyclass[ProductId],0)),"")</f>
        <v>Cosmética e higiene pessoal</v>
      </c>
      <c r="E1590" s="26" t="s">
        <v>904</v>
      </c>
      <c r="F1590" s="26" t="s">
        <v>1450</v>
      </c>
      <c r="G1590" s="26" t="s">
        <v>1143</v>
      </c>
      <c r="H1590" s="33" t="str">
        <f>IF(E1590="Não","Não aplicável",IFERROR(IF(B1590="EU-ENV-002",IF(INDEX(tbl_recyclass[Conforme_PPWR_2030],MATCH(A1590,tbl_recyclass[ProductId],0))="Sim","Conforme (autoavaliação)",IF(INDEX(tbl_recyclass[Conforme_PPWR_2030],MATCH(A1590,tbl_recyclass[ProductId],0))="Não","Não conforme em 2030","Isento até 2035")),IF(B1590="EU-ENV-003",IF(INDEX(tbl_recyclass[Conforme_Art7_2030],MATCH(A1590,tbl_recyclass[ProductId],0))="Sim","Conforme (meta 2030)",IF(INDEX(tbl_recyclass[Conforme_Art7_2030],MATCH(A1590,tbl_recyclass[ProductId],0))="Não","Lacuna face à meta 2030","Isento")),IF(B1590="EU-ENV-011",IF(INDEX(tbl_familias_ppwr[Metais_Pesados_Evidencia],MATCH(INDEX(tbl_recyclass[Familia_PPWR],MATCH(A1590,tbl_recyclass[ProductId],0)),tbl_familias_ppwr[ID_Familia],0))="Em falta","Lacuna","Conforme"),IF(B1590="EU-ENV-013",IF(INDEX(tbl_familias_ppwr[Declaracao_UE],MATCH(INDEX(tbl_recyclass[Familia_PPWR],MATCH(A1590,tbl_recyclass[ProductId],0)),tbl_familias_ppwr[ID_Familia],0))="Sim","Conforme","Lacuna"),G1590)))),G1590))</f>
        <v>Não aplicável</v>
      </c>
      <c r="I1590" s="33" t="str">
        <f t="shared" si="24"/>
        <v>Não aplicável</v>
      </c>
      <c r="J1590" s="26"/>
    </row>
    <row r="1591" spans="1:10" ht="16.05" customHeight="1" x14ac:dyDescent="0.3">
      <c r="A1591" s="26" t="s">
        <v>781</v>
      </c>
      <c r="B1591" s="26" t="s">
        <v>1078</v>
      </c>
      <c r="C1591" s="33" t="str">
        <f>IFERROR(INDEX(tbl_requisitos_emb[Tema],MATCH(B1591,tbl_requisitos_emb[ID_Req],0)),"")</f>
        <v>Reciclado à escala</v>
      </c>
      <c r="D1591" s="33" t="str">
        <f>IFERROR(INDEX(tbl_recyclass[Segmento],MATCH(A1591,tbl_recyclass[ProductId],0)),"")</f>
        <v>Cosmética e higiene pessoal</v>
      </c>
      <c r="E1591" s="26" t="s">
        <v>901</v>
      </c>
      <c r="F1591" s="26" t="s">
        <v>1449</v>
      </c>
      <c r="G1591" s="26" t="s">
        <v>990</v>
      </c>
      <c r="H1591" s="33" t="str">
        <f>IF(E1591="Não","Não aplicável",IFERROR(IF(B1591="EU-ENV-002",IF(INDEX(tbl_recyclass[Conforme_PPWR_2030],MATCH(A1591,tbl_recyclass[ProductId],0))="Sim","Conforme (autoavaliação)",IF(INDEX(tbl_recyclass[Conforme_PPWR_2030],MATCH(A1591,tbl_recyclass[ProductId],0))="Não","Não conforme em 2030","Isento até 2035")),IF(B1591="EU-ENV-003",IF(INDEX(tbl_recyclass[Conforme_Art7_2030],MATCH(A1591,tbl_recyclass[ProductId],0))="Sim","Conforme (meta 2030)",IF(INDEX(tbl_recyclass[Conforme_Art7_2030],MATCH(A1591,tbl_recyclass[ProductId],0))="Não","Lacuna face à meta 2030","Isento")),IF(B1591="EU-ENV-011",IF(INDEX(tbl_familias_ppwr[Metais_Pesados_Evidencia],MATCH(INDEX(tbl_recyclass[Familia_PPWR],MATCH(A1591,tbl_recyclass[ProductId],0)),tbl_familias_ppwr[ID_Familia],0))="Em falta","Lacuna","Conforme"),IF(B1591="EU-ENV-013",IF(INDEX(tbl_familias_ppwr[Declaracao_UE],MATCH(INDEX(tbl_recyclass[Familia_PPWR],MATCH(A1591,tbl_recyclass[ProductId],0)),tbl_familias_ppwr[ID_Familia],0))="Sim","Conforme","Lacuna"),G1591)))),G1591))</f>
        <v>Futuro</v>
      </c>
      <c r="I1591" s="33" t="str">
        <f t="shared" si="24"/>
        <v>Futuro</v>
      </c>
      <c r="J1591" s="26" t="s">
        <v>1082</v>
      </c>
    </row>
    <row r="1592" spans="1:10" ht="16.05" customHeight="1" x14ac:dyDescent="0.3">
      <c r="A1592" s="26" t="s">
        <v>781</v>
      </c>
      <c r="B1592" s="26" t="s">
        <v>1086</v>
      </c>
      <c r="C1592" s="33" t="str">
        <f>IFERROR(INDEX(tbl_requisitos_emb[Tema],MATCH(B1592,tbl_requisitos_emb[ID_Req],0)),"")</f>
        <v>Metais pesados</v>
      </c>
      <c r="D1592" s="33" t="str">
        <f>IFERROR(INDEX(tbl_recyclass[Segmento],MATCH(A1592,tbl_recyclass[ProductId],0)),"")</f>
        <v>Cosmética e higiene pessoal</v>
      </c>
      <c r="E1592" s="26" t="s">
        <v>901</v>
      </c>
      <c r="F1592" s="26" t="s">
        <v>1449</v>
      </c>
      <c r="G1592" s="26" t="s">
        <v>978</v>
      </c>
      <c r="H1592" s="33" t="str">
        <f>IF(E1592="Não","Não aplicável",IFERROR(IF(B1592="EU-ENV-002",IF(INDEX(tbl_recyclass[Conforme_PPWR_2030],MATCH(A1592,tbl_recyclass[ProductId],0))="Sim","Conforme (autoavaliação)",IF(INDEX(tbl_recyclass[Conforme_PPWR_2030],MATCH(A1592,tbl_recyclass[ProductId],0))="Não","Não conforme em 2030","Isento até 2035")),IF(B1592="EU-ENV-003",IF(INDEX(tbl_recyclass[Conforme_Art7_2030],MATCH(A1592,tbl_recyclass[ProductId],0))="Sim","Conforme (meta 2030)",IF(INDEX(tbl_recyclass[Conforme_Art7_2030],MATCH(A1592,tbl_recyclass[ProductId],0))="Não","Lacuna face à meta 2030","Isento")),IF(B1592="EU-ENV-011",IF(INDEX(tbl_familias_ppwr[Metais_Pesados_Evidencia],MATCH(INDEX(tbl_recyclass[Familia_PPWR],MATCH(A1592,tbl_recyclass[ProductId],0)),tbl_familias_ppwr[ID_Familia],0))="Em falta","Lacuna","Conforme"),IF(B1592="EU-ENV-013",IF(INDEX(tbl_familias_ppwr[Declaracao_UE],MATCH(INDEX(tbl_recyclass[Familia_PPWR],MATCH(A1592,tbl_recyclass[ProductId],0)),tbl_familias_ppwr[ID_Familia],0))="Sim","Conforme","Lacuna"),G1592)))),G1592))</f>
        <v>Conforme</v>
      </c>
      <c r="I1592" s="33" t="str">
        <f t="shared" si="24"/>
        <v>Conforme</v>
      </c>
      <c r="J1592" s="26" t="s">
        <v>1090</v>
      </c>
    </row>
    <row r="1593" spans="1:10" ht="16.05" customHeight="1" x14ac:dyDescent="0.3">
      <c r="A1593" s="26" t="s">
        <v>781</v>
      </c>
      <c r="B1593" s="26" t="s">
        <v>1094</v>
      </c>
      <c r="C1593" s="33" t="str">
        <f>IFERROR(INDEX(tbl_requisitos_emb[Tema],MATCH(B1593,tbl_requisitos_emb[ID_Req],0)),"")</f>
        <v>PFAS</v>
      </c>
      <c r="D1593" s="33" t="str">
        <f>IFERROR(INDEX(tbl_recyclass[Segmento],MATCH(A1593,tbl_recyclass[ProductId],0)),"")</f>
        <v>Cosmética e higiene pessoal</v>
      </c>
      <c r="E1593" s="26" t="s">
        <v>904</v>
      </c>
      <c r="F1593" s="26" t="s">
        <v>1450</v>
      </c>
      <c r="G1593" s="26" t="s">
        <v>1143</v>
      </c>
      <c r="H1593" s="33" t="str">
        <f>IF(E1593="Não","Não aplicável",IFERROR(IF(B1593="EU-ENV-002",IF(INDEX(tbl_recyclass[Conforme_PPWR_2030],MATCH(A1593,tbl_recyclass[ProductId],0))="Sim","Conforme (autoavaliação)",IF(INDEX(tbl_recyclass[Conforme_PPWR_2030],MATCH(A1593,tbl_recyclass[ProductId],0))="Não","Não conforme em 2030","Isento até 2035")),IF(B1593="EU-ENV-003",IF(INDEX(tbl_recyclass[Conforme_Art7_2030],MATCH(A1593,tbl_recyclass[ProductId],0))="Sim","Conforme (meta 2030)",IF(INDEX(tbl_recyclass[Conforme_Art7_2030],MATCH(A1593,tbl_recyclass[ProductId],0))="Não","Lacuna face à meta 2030","Isento")),IF(B1593="EU-ENV-011",IF(INDEX(tbl_familias_ppwr[Metais_Pesados_Evidencia],MATCH(INDEX(tbl_recyclass[Familia_PPWR],MATCH(A1593,tbl_recyclass[ProductId],0)),tbl_familias_ppwr[ID_Familia],0))="Em falta","Lacuna","Conforme"),IF(B1593="EU-ENV-013",IF(INDEX(tbl_familias_ppwr[Declaracao_UE],MATCH(INDEX(tbl_recyclass[Familia_PPWR],MATCH(A1593,tbl_recyclass[ProductId],0)),tbl_familias_ppwr[ID_Familia],0))="Sim","Conforme","Lacuna"),G1593)))),G1593))</f>
        <v>Não aplicável</v>
      </c>
      <c r="I1593" s="33" t="str">
        <f t="shared" si="24"/>
        <v>Não aplicável</v>
      </c>
      <c r="J1593" s="26"/>
    </row>
    <row r="1594" spans="1:10" ht="16.05" customHeight="1" x14ac:dyDescent="0.3">
      <c r="A1594" s="26" t="s">
        <v>781</v>
      </c>
      <c r="B1594" s="26" t="s">
        <v>1102</v>
      </c>
      <c r="C1594" s="33" t="str">
        <f>IFERROR(INDEX(tbl_requisitos_emb[Tema],MATCH(B1594,tbl_requisitos_emb[ID_Req],0)),"")</f>
        <v>Documentação técnica e declaração UE</v>
      </c>
      <c r="D1594" s="33" t="str">
        <f>IFERROR(INDEX(tbl_recyclass[Segmento],MATCH(A1594,tbl_recyclass[ProductId],0)),"")</f>
        <v>Cosmética e higiene pessoal</v>
      </c>
      <c r="E1594" s="26" t="s">
        <v>901</v>
      </c>
      <c r="F1594" s="26" t="s">
        <v>1449</v>
      </c>
      <c r="G1594" s="26" t="s">
        <v>978</v>
      </c>
      <c r="H1594" s="33" t="str">
        <f>IF(E1594="Não","Não aplicável",IFERROR(IF(B1594="EU-ENV-002",IF(INDEX(tbl_recyclass[Conforme_PPWR_2030],MATCH(A1594,tbl_recyclass[ProductId],0))="Sim","Conforme (autoavaliação)",IF(INDEX(tbl_recyclass[Conforme_PPWR_2030],MATCH(A1594,tbl_recyclass[ProductId],0))="Não","Não conforme em 2030","Isento até 2035")),IF(B1594="EU-ENV-003",IF(INDEX(tbl_recyclass[Conforme_Art7_2030],MATCH(A1594,tbl_recyclass[ProductId],0))="Sim","Conforme (meta 2030)",IF(INDEX(tbl_recyclass[Conforme_Art7_2030],MATCH(A1594,tbl_recyclass[ProductId],0))="Não","Lacuna face à meta 2030","Isento")),IF(B1594="EU-ENV-011",IF(INDEX(tbl_familias_ppwr[Metais_Pesados_Evidencia],MATCH(INDEX(tbl_recyclass[Familia_PPWR],MATCH(A1594,tbl_recyclass[ProductId],0)),tbl_familias_ppwr[ID_Familia],0))="Em falta","Lacuna","Conforme"),IF(B1594="EU-ENV-013",IF(INDEX(tbl_familias_ppwr[Declaracao_UE],MATCH(INDEX(tbl_recyclass[Familia_PPWR],MATCH(A1594,tbl_recyclass[ProductId],0)),tbl_familias_ppwr[ID_Familia],0))="Sim","Conforme","Lacuna"),G1594)))),G1594))</f>
        <v>Conforme</v>
      </c>
      <c r="I1594" s="33" t="str">
        <f t="shared" si="24"/>
        <v>Conforme</v>
      </c>
      <c r="J1594" s="26" t="s">
        <v>1106</v>
      </c>
    </row>
    <row r="1595" spans="1:10" ht="16.05" customHeight="1" x14ac:dyDescent="0.3">
      <c r="A1595" s="26" t="s">
        <v>781</v>
      </c>
      <c r="B1595" s="26" t="s">
        <v>1161</v>
      </c>
      <c r="C1595" s="33" t="str">
        <f>IFERROR(INDEX(tbl_requisitos_emb[Tema],MATCH(B1595,tbl_requisitos_emb[ID_Req],0)),"")</f>
        <v>Materiais em contacto com alimentos</v>
      </c>
      <c r="D1595" s="33" t="str">
        <f>IFERROR(INDEX(tbl_recyclass[Segmento],MATCH(A1595,tbl_recyclass[ProductId],0)),"")</f>
        <v>Cosmética e higiene pessoal</v>
      </c>
      <c r="E1595" s="26" t="s">
        <v>904</v>
      </c>
      <c r="F1595" s="26" t="s">
        <v>1450</v>
      </c>
      <c r="G1595" s="26" t="s">
        <v>1143</v>
      </c>
      <c r="H1595" s="33" t="str">
        <f>IF(E1595="Não","Não aplicável",IFERROR(IF(B1595="EU-ENV-002",IF(INDEX(tbl_recyclass[Conforme_PPWR_2030],MATCH(A1595,tbl_recyclass[ProductId],0))="Sim","Conforme (autoavaliação)",IF(INDEX(tbl_recyclass[Conforme_PPWR_2030],MATCH(A1595,tbl_recyclass[ProductId],0))="Não","Não conforme em 2030","Isento até 2035")),IF(B1595="EU-ENV-003",IF(INDEX(tbl_recyclass[Conforme_Art7_2030],MATCH(A1595,tbl_recyclass[ProductId],0))="Sim","Conforme (meta 2030)",IF(INDEX(tbl_recyclass[Conforme_Art7_2030],MATCH(A1595,tbl_recyclass[ProductId],0))="Não","Lacuna face à meta 2030","Isento")),IF(B1595="EU-ENV-011",IF(INDEX(tbl_familias_ppwr[Metais_Pesados_Evidencia],MATCH(INDEX(tbl_recyclass[Familia_PPWR],MATCH(A1595,tbl_recyclass[ProductId],0)),tbl_familias_ppwr[ID_Familia],0))="Em falta","Lacuna","Conforme"),IF(B1595="EU-ENV-013",IF(INDEX(tbl_familias_ppwr[Declaracao_UE],MATCH(INDEX(tbl_recyclass[Familia_PPWR],MATCH(A1595,tbl_recyclass[ProductId],0)),tbl_familias_ppwr[ID_Familia],0))="Sim","Conforme","Lacuna"),G1595)))),G1595))</f>
        <v>Não aplicável</v>
      </c>
      <c r="I1595" s="33" t="str">
        <f t="shared" si="24"/>
        <v>Não aplicável</v>
      </c>
      <c r="J1595" s="26"/>
    </row>
    <row r="1596" spans="1:10" ht="16.05" customHeight="1" x14ac:dyDescent="0.3">
      <c r="A1596" s="26" t="s">
        <v>781</v>
      </c>
      <c r="B1596" s="26" t="s">
        <v>1170</v>
      </c>
      <c r="C1596" s="33" t="str">
        <f>IFERROR(INDEX(tbl_requisitos_emb[Tema],MATCH(B1596,tbl_requisitos_emb[ID_Req],0)),"")</f>
        <v>Boas práticas de fabrico FCM</v>
      </c>
      <c r="D1596" s="33" t="str">
        <f>IFERROR(INDEX(tbl_recyclass[Segmento],MATCH(A1596,tbl_recyclass[ProductId],0)),"")</f>
        <v>Cosmética e higiene pessoal</v>
      </c>
      <c r="E1596" s="26" t="s">
        <v>904</v>
      </c>
      <c r="F1596" s="26" t="s">
        <v>1450</v>
      </c>
      <c r="G1596" s="26" t="s">
        <v>1143</v>
      </c>
      <c r="H1596" s="33" t="str">
        <f>IF(E1596="Não","Não aplicável",IFERROR(IF(B1596="EU-ENV-002",IF(INDEX(tbl_recyclass[Conforme_PPWR_2030],MATCH(A1596,tbl_recyclass[ProductId],0))="Sim","Conforme (autoavaliação)",IF(INDEX(tbl_recyclass[Conforme_PPWR_2030],MATCH(A1596,tbl_recyclass[ProductId],0))="Não","Não conforme em 2030","Isento até 2035")),IF(B1596="EU-ENV-003",IF(INDEX(tbl_recyclass[Conforme_Art7_2030],MATCH(A1596,tbl_recyclass[ProductId],0))="Sim","Conforme (meta 2030)",IF(INDEX(tbl_recyclass[Conforme_Art7_2030],MATCH(A1596,tbl_recyclass[ProductId],0))="Não","Lacuna face à meta 2030","Isento")),IF(B1596="EU-ENV-011",IF(INDEX(tbl_familias_ppwr[Metais_Pesados_Evidencia],MATCH(INDEX(tbl_recyclass[Familia_PPWR],MATCH(A1596,tbl_recyclass[ProductId],0)),tbl_familias_ppwr[ID_Familia],0))="Em falta","Lacuna","Conforme"),IF(B1596="EU-ENV-013",IF(INDEX(tbl_familias_ppwr[Declaracao_UE],MATCH(INDEX(tbl_recyclass[Familia_PPWR],MATCH(A1596,tbl_recyclass[ProductId],0)),tbl_familias_ppwr[ID_Familia],0))="Sim","Conforme","Lacuna"),G1596)))),G1596))</f>
        <v>Não aplicável</v>
      </c>
      <c r="I1596" s="33" t="str">
        <f t="shared" si="24"/>
        <v>Não aplicável</v>
      </c>
      <c r="J1596" s="26"/>
    </row>
    <row r="1597" spans="1:10" ht="16.05" customHeight="1" x14ac:dyDescent="0.3">
      <c r="A1597" s="26" t="s">
        <v>781</v>
      </c>
      <c r="B1597" s="26" t="s">
        <v>1179</v>
      </c>
      <c r="C1597" s="33" t="str">
        <f>IFERROR(INDEX(tbl_requisitos_emb[Tema],MATCH(B1597,tbl_requisitos_emb[ID_Req],0)),"")</f>
        <v>Bisfenol A e bisfenóis perigosos</v>
      </c>
      <c r="D1597" s="33" t="str">
        <f>IFERROR(INDEX(tbl_recyclass[Segmento],MATCH(A1597,tbl_recyclass[ProductId],0)),"")</f>
        <v>Cosmética e higiene pessoal</v>
      </c>
      <c r="E1597" s="26" t="s">
        <v>904</v>
      </c>
      <c r="F1597" s="26" t="s">
        <v>1450</v>
      </c>
      <c r="G1597" s="26" t="s">
        <v>1143</v>
      </c>
      <c r="H1597" s="33" t="str">
        <f>IF(E1597="Não","Não aplicável",IFERROR(IF(B1597="EU-ENV-002",IF(INDEX(tbl_recyclass[Conforme_PPWR_2030],MATCH(A1597,tbl_recyclass[ProductId],0))="Sim","Conforme (autoavaliação)",IF(INDEX(tbl_recyclass[Conforme_PPWR_2030],MATCH(A1597,tbl_recyclass[ProductId],0))="Não","Não conforme em 2030","Isento até 2035")),IF(B1597="EU-ENV-003",IF(INDEX(tbl_recyclass[Conforme_Art7_2030],MATCH(A1597,tbl_recyclass[ProductId],0))="Sim","Conforme (meta 2030)",IF(INDEX(tbl_recyclass[Conforme_Art7_2030],MATCH(A1597,tbl_recyclass[ProductId],0))="Não","Lacuna face à meta 2030","Isento")),IF(B1597="EU-ENV-011",IF(INDEX(tbl_familias_ppwr[Metais_Pesados_Evidencia],MATCH(INDEX(tbl_recyclass[Familia_PPWR],MATCH(A1597,tbl_recyclass[ProductId],0)),tbl_familias_ppwr[ID_Familia],0))="Em falta","Lacuna","Conforme"),IF(B1597="EU-ENV-013",IF(INDEX(tbl_familias_ppwr[Declaracao_UE],MATCH(INDEX(tbl_recyclass[Familia_PPWR],MATCH(A1597,tbl_recyclass[ProductId],0)),tbl_familias_ppwr[ID_Familia],0))="Sim","Conforme","Lacuna"),G1597)))),G1597))</f>
        <v>Não aplicável</v>
      </c>
      <c r="I1597" s="33" t="str">
        <f t="shared" si="24"/>
        <v>Não aplicável</v>
      </c>
      <c r="J1597" s="26"/>
    </row>
    <row r="1598" spans="1:10" ht="16.05" customHeight="1" x14ac:dyDescent="0.3">
      <c r="A1598" s="26" t="s">
        <v>781</v>
      </c>
      <c r="B1598" s="26" t="s">
        <v>1188</v>
      </c>
      <c r="C1598" s="33" t="str">
        <f>IFERROR(INDEX(tbl_requisitos_emb[Tema],MATCH(B1598,tbl_requisitos_emb[ID_Req],0)),"")</f>
        <v>Plásticos em contacto com alimentos</v>
      </c>
      <c r="D1598" s="33" t="str">
        <f>IFERROR(INDEX(tbl_recyclass[Segmento],MATCH(A1598,tbl_recyclass[ProductId],0)),"")</f>
        <v>Cosmética e higiene pessoal</v>
      </c>
      <c r="E1598" s="26" t="s">
        <v>904</v>
      </c>
      <c r="F1598" s="26" t="s">
        <v>1450</v>
      </c>
      <c r="G1598" s="26" t="s">
        <v>1143</v>
      </c>
      <c r="H1598" s="33" t="str">
        <f>IF(E1598="Não","Não aplicável",IFERROR(IF(B1598="EU-ENV-002",IF(INDEX(tbl_recyclass[Conforme_PPWR_2030],MATCH(A1598,tbl_recyclass[ProductId],0))="Sim","Conforme (autoavaliação)",IF(INDEX(tbl_recyclass[Conforme_PPWR_2030],MATCH(A1598,tbl_recyclass[ProductId],0))="Não","Não conforme em 2030","Isento até 2035")),IF(B1598="EU-ENV-003",IF(INDEX(tbl_recyclass[Conforme_Art7_2030],MATCH(A1598,tbl_recyclass[ProductId],0))="Sim","Conforme (meta 2030)",IF(INDEX(tbl_recyclass[Conforme_Art7_2030],MATCH(A1598,tbl_recyclass[ProductId],0))="Não","Lacuna face à meta 2030","Isento")),IF(B1598="EU-ENV-011",IF(INDEX(tbl_familias_ppwr[Metais_Pesados_Evidencia],MATCH(INDEX(tbl_recyclass[Familia_PPWR],MATCH(A1598,tbl_recyclass[ProductId],0)),tbl_familias_ppwr[ID_Familia],0))="Em falta","Lacuna","Conforme"),IF(B1598="EU-ENV-013",IF(INDEX(tbl_familias_ppwr[Declaracao_UE],MATCH(INDEX(tbl_recyclass[Familia_PPWR],MATCH(A1598,tbl_recyclass[ProductId],0)),tbl_familias_ppwr[ID_Familia],0))="Sim","Conforme","Lacuna"),G1598)))),G1598))</f>
        <v>Não aplicável</v>
      </c>
      <c r="I1598" s="33" t="str">
        <f t="shared" si="24"/>
        <v>Não aplicável</v>
      </c>
      <c r="J1598" s="26"/>
    </row>
    <row r="1599" spans="1:10" ht="16.05" customHeight="1" x14ac:dyDescent="0.3">
      <c r="A1599" s="26" t="s">
        <v>781</v>
      </c>
      <c r="B1599" s="26" t="s">
        <v>1212</v>
      </c>
      <c r="C1599" s="33" t="str">
        <f>IFERROR(INDEX(tbl_requisitos_emb[Tema],MATCH(B1599,tbl_requisitos_emb[ID_Req],0)),"")</f>
        <v>Segurança do produto cosmético</v>
      </c>
      <c r="D1599" s="33" t="str">
        <f>IFERROR(INDEX(tbl_recyclass[Segmento],MATCH(A1599,tbl_recyclass[ProductId],0)),"")</f>
        <v>Cosmética e higiene pessoal</v>
      </c>
      <c r="E1599" s="26" t="s">
        <v>901</v>
      </c>
      <c r="F1599" s="26" t="s">
        <v>1449</v>
      </c>
      <c r="G1599" s="26" t="s">
        <v>1033</v>
      </c>
      <c r="H1599" s="33" t="str">
        <f>IF(E1599="Não","Não aplicável",IFERROR(IF(B1599="EU-ENV-002",IF(INDEX(tbl_recyclass[Conforme_PPWR_2030],MATCH(A1599,tbl_recyclass[ProductId],0))="Sim","Conforme (autoavaliação)",IF(INDEX(tbl_recyclass[Conforme_PPWR_2030],MATCH(A1599,tbl_recyclass[ProductId],0))="Não","Não conforme em 2030","Isento até 2035")),IF(B1599="EU-ENV-003",IF(INDEX(tbl_recyclass[Conforme_Art7_2030],MATCH(A1599,tbl_recyclass[ProductId],0))="Sim","Conforme (meta 2030)",IF(INDEX(tbl_recyclass[Conforme_Art7_2030],MATCH(A1599,tbl_recyclass[ProductId],0))="Não","Lacuna face à meta 2030","Isento")),IF(B1599="EU-ENV-011",IF(INDEX(tbl_familias_ppwr[Metais_Pesados_Evidencia],MATCH(INDEX(tbl_recyclass[Familia_PPWR],MATCH(A1599,tbl_recyclass[ProductId],0)),tbl_familias_ppwr[ID_Familia],0))="Em falta","Lacuna","Conforme"),IF(B1599="EU-ENV-013",IF(INDEX(tbl_familias_ppwr[Declaracao_UE],MATCH(INDEX(tbl_recyclass[Familia_PPWR],MATCH(A1599,tbl_recyclass[ProductId],0)),tbl_familias_ppwr[ID_Familia],0))="Sim","Conforme","Lacuna"),G1599)))),G1599))</f>
        <v>Conforme</v>
      </c>
      <c r="I1599" s="33" t="str">
        <f t="shared" si="24"/>
        <v>Conforme</v>
      </c>
      <c r="J1599" s="26" t="s">
        <v>1221</v>
      </c>
    </row>
    <row r="1600" spans="1:10" ht="16.05" customHeight="1" x14ac:dyDescent="0.3">
      <c r="A1600" s="26" t="s">
        <v>781</v>
      </c>
      <c r="B1600" s="26" t="s">
        <v>1224</v>
      </c>
      <c r="C1600" s="33" t="str">
        <f>IFERROR(INDEX(tbl_requisitos_emb[Tema],MATCH(B1600,tbl_requisitos_emb[ID_Req],0)),"")</f>
        <v>Materiais e impurezas</v>
      </c>
      <c r="D1600" s="33" t="str">
        <f>IFERROR(INDEX(tbl_recyclass[Segmento],MATCH(A1600,tbl_recyclass[ProductId],0)),"")</f>
        <v>Cosmética e higiene pessoal</v>
      </c>
      <c r="E1600" s="26" t="s">
        <v>901</v>
      </c>
      <c r="F1600" s="26" t="s">
        <v>1449</v>
      </c>
      <c r="G1600" s="26" t="s">
        <v>978</v>
      </c>
      <c r="H1600" s="33" t="str">
        <f>IF(E1600="Não","Não aplicável",IFERROR(IF(B1600="EU-ENV-002",IF(INDEX(tbl_recyclass[Conforme_PPWR_2030],MATCH(A1600,tbl_recyclass[ProductId],0))="Sim","Conforme (autoavaliação)",IF(INDEX(tbl_recyclass[Conforme_PPWR_2030],MATCH(A1600,tbl_recyclass[ProductId],0))="Não","Não conforme em 2030","Isento até 2035")),IF(B1600="EU-ENV-003",IF(INDEX(tbl_recyclass[Conforme_Art7_2030],MATCH(A1600,tbl_recyclass[ProductId],0))="Sim","Conforme (meta 2030)",IF(INDEX(tbl_recyclass[Conforme_Art7_2030],MATCH(A1600,tbl_recyclass[ProductId],0))="Não","Lacuna face à meta 2030","Isento")),IF(B1600="EU-ENV-011",IF(INDEX(tbl_familias_ppwr[Metais_Pesados_Evidencia],MATCH(INDEX(tbl_recyclass[Familia_PPWR],MATCH(A1600,tbl_recyclass[ProductId],0)),tbl_familias_ppwr[ID_Familia],0))="Em falta","Lacuna","Conforme"),IF(B1600="EU-ENV-013",IF(INDEX(tbl_familias_ppwr[Declaracao_UE],MATCH(INDEX(tbl_recyclass[Familia_PPWR],MATCH(A1600,tbl_recyclass[ProductId],0)),tbl_familias_ppwr[ID_Familia],0))="Sim","Conforme","Lacuna"),G1600)))),G1600))</f>
        <v>Parcial</v>
      </c>
      <c r="I1600" s="33" t="str">
        <f t="shared" si="24"/>
        <v>Parcial</v>
      </c>
      <c r="J1600" s="26" t="s">
        <v>1228</v>
      </c>
    </row>
    <row r="1601" spans="1:10" ht="16.05" customHeight="1" x14ac:dyDescent="0.3">
      <c r="A1601" s="26" t="s">
        <v>781</v>
      </c>
      <c r="B1601" s="26" t="s">
        <v>1240</v>
      </c>
      <c r="C1601" s="33" t="str">
        <f>IFERROR(INDEX(tbl_requisitos_emb[Tema],MATCH(B1601,tbl_requisitos_emb[ID_Req],0)),"")</f>
        <v>Compatibilidade embalagem–produto</v>
      </c>
      <c r="D1601" s="33" t="str">
        <f>IFERROR(INDEX(tbl_recyclass[Segmento],MATCH(A1601,tbl_recyclass[ProductId],0)),"")</f>
        <v>Cosmética e higiene pessoal</v>
      </c>
      <c r="E1601" s="26" t="s">
        <v>901</v>
      </c>
      <c r="F1601" s="26" t="s">
        <v>1449</v>
      </c>
      <c r="G1601" s="26" t="s">
        <v>1033</v>
      </c>
      <c r="H1601" s="33" t="str">
        <f>IF(E1601="Não","Não aplicável",IFERROR(IF(B1601="EU-ENV-002",IF(INDEX(tbl_recyclass[Conforme_PPWR_2030],MATCH(A1601,tbl_recyclass[ProductId],0))="Sim","Conforme (autoavaliação)",IF(INDEX(tbl_recyclass[Conforme_PPWR_2030],MATCH(A1601,tbl_recyclass[ProductId],0))="Não","Não conforme em 2030","Isento até 2035")),IF(B1601="EU-ENV-003",IF(INDEX(tbl_recyclass[Conforme_Art7_2030],MATCH(A1601,tbl_recyclass[ProductId],0))="Sim","Conforme (meta 2030)",IF(INDEX(tbl_recyclass[Conforme_Art7_2030],MATCH(A1601,tbl_recyclass[ProductId],0))="Não","Lacuna face à meta 2030","Isento")),IF(B1601="EU-ENV-011",IF(INDEX(tbl_familias_ppwr[Metais_Pesados_Evidencia],MATCH(INDEX(tbl_recyclass[Familia_PPWR],MATCH(A1601,tbl_recyclass[ProductId],0)),tbl_familias_ppwr[ID_Familia],0))="Em falta","Lacuna","Conforme"),IF(B1601="EU-ENV-013",IF(INDEX(tbl_familias_ppwr[Declaracao_UE],MATCH(INDEX(tbl_recyclass[Familia_PPWR],MATCH(A1601,tbl_recyclass[ProductId],0)),tbl_familias_ppwr[ID_Familia],0))="Sim","Conforme","Lacuna"),G1601)))),G1601))</f>
        <v>Conforme</v>
      </c>
      <c r="I1601" s="33" t="str">
        <f t="shared" si="24"/>
        <v>Conforme</v>
      </c>
      <c r="J1601" s="26" t="s">
        <v>1244</v>
      </c>
    </row>
    <row r="1602" spans="1:10" ht="16.05" customHeight="1" x14ac:dyDescent="0.3">
      <c r="A1602" s="26" t="s">
        <v>781</v>
      </c>
      <c r="B1602" s="26" t="s">
        <v>1252</v>
      </c>
      <c r="C1602" s="33" t="str">
        <f>IFERROR(INDEX(tbl_requisitos_emb[Tema],MATCH(B1602,tbl_requisitos_emb[ID_Req],0)),"")</f>
        <v>Medicamentos de uso humano</v>
      </c>
      <c r="D1602" s="33" t="str">
        <f>IFERROR(INDEX(tbl_recyclass[Segmento],MATCH(A1602,tbl_recyclass[ProductId],0)),"")</f>
        <v>Cosmética e higiene pessoal</v>
      </c>
      <c r="E1602" s="26" t="s">
        <v>904</v>
      </c>
      <c r="F1602" s="26" t="s">
        <v>1451</v>
      </c>
      <c r="G1602" s="26" t="s">
        <v>1143</v>
      </c>
      <c r="H1602" s="33" t="str">
        <f>IF(E1602="Não","Não aplicável",IFERROR(IF(B1602="EU-ENV-002",IF(INDEX(tbl_recyclass[Conforme_PPWR_2030],MATCH(A1602,tbl_recyclass[ProductId],0))="Sim","Conforme (autoavaliação)",IF(INDEX(tbl_recyclass[Conforme_PPWR_2030],MATCH(A1602,tbl_recyclass[ProductId],0))="Não","Não conforme em 2030","Isento até 2035")),IF(B1602="EU-ENV-003",IF(INDEX(tbl_recyclass[Conforme_Art7_2030],MATCH(A1602,tbl_recyclass[ProductId],0))="Sim","Conforme (meta 2030)",IF(INDEX(tbl_recyclass[Conforme_Art7_2030],MATCH(A1602,tbl_recyclass[ProductId],0))="Não","Lacuna face à meta 2030","Isento")),IF(B1602="EU-ENV-011",IF(INDEX(tbl_familias_ppwr[Metais_Pesados_Evidencia],MATCH(INDEX(tbl_recyclass[Familia_PPWR],MATCH(A1602,tbl_recyclass[ProductId],0)),tbl_familias_ppwr[ID_Familia],0))="Em falta","Lacuna","Conforme"),IF(B1602="EU-ENV-013",IF(INDEX(tbl_familias_ppwr[Declaracao_UE],MATCH(INDEX(tbl_recyclass[Familia_PPWR],MATCH(A1602,tbl_recyclass[ProductId],0)),tbl_familias_ppwr[ID_Familia],0))="Sim","Conforme","Lacuna"),G1602)))),G1602))</f>
        <v>Não aplicável</v>
      </c>
      <c r="I1602" s="33" t="str">
        <f t="shared" ref="I1602:I1665" si="25">IF(ISNUMBER(SEARCH("Não aplicável",H1602)),"Não aplicável",IF(ISNUMBER(SEARCH("Isento",H1602)),"Isento",IF(ISNUMBER(SEARCH("Não conforme",H1602)),"Não conforme",IF(ISNUMBER(SEARCH("Lacuna",H1602)),"Lacuna",IF(ISNUMBER(SEARCH("Conforme",H1602)),"Conforme",H1602)))))</f>
        <v>Não aplicável</v>
      </c>
      <c r="J1602" s="26"/>
    </row>
    <row r="1603" spans="1:10" ht="16.05" customHeight="1" x14ac:dyDescent="0.3">
      <c r="A1603" s="26" t="s">
        <v>781</v>
      </c>
      <c r="B1603" s="26" t="s">
        <v>1268</v>
      </c>
      <c r="C1603" s="33" t="str">
        <f>IFERROR(INDEX(tbl_requisitos_emb[Tema],MATCH(B1603,tbl_requisitos_emb[ID_Req],0)),"")</f>
        <v>Dispositivos de segurança</v>
      </c>
      <c r="D1603" s="33" t="str">
        <f>IFERROR(INDEX(tbl_recyclass[Segmento],MATCH(A1603,tbl_recyclass[ProductId],0)),"")</f>
        <v>Cosmética e higiene pessoal</v>
      </c>
      <c r="E1603" s="26" t="s">
        <v>904</v>
      </c>
      <c r="F1603" s="26" t="s">
        <v>1451</v>
      </c>
      <c r="G1603" s="26" t="s">
        <v>1143</v>
      </c>
      <c r="H1603" s="33" t="str">
        <f>IF(E1603="Não","Não aplicável",IFERROR(IF(B1603="EU-ENV-002",IF(INDEX(tbl_recyclass[Conforme_PPWR_2030],MATCH(A1603,tbl_recyclass[ProductId],0))="Sim","Conforme (autoavaliação)",IF(INDEX(tbl_recyclass[Conforme_PPWR_2030],MATCH(A1603,tbl_recyclass[ProductId],0))="Não","Não conforme em 2030","Isento até 2035")),IF(B1603="EU-ENV-003",IF(INDEX(tbl_recyclass[Conforme_Art7_2030],MATCH(A1603,tbl_recyclass[ProductId],0))="Sim","Conforme (meta 2030)",IF(INDEX(tbl_recyclass[Conforme_Art7_2030],MATCH(A1603,tbl_recyclass[ProductId],0))="Não","Lacuna face à meta 2030","Isento")),IF(B1603="EU-ENV-011",IF(INDEX(tbl_familias_ppwr[Metais_Pesados_Evidencia],MATCH(INDEX(tbl_recyclass[Familia_PPWR],MATCH(A1603,tbl_recyclass[ProductId],0)),tbl_familias_ppwr[ID_Familia],0))="Em falta","Lacuna","Conforme"),IF(B1603="EU-ENV-013",IF(INDEX(tbl_familias_ppwr[Declaracao_UE],MATCH(INDEX(tbl_recyclass[Familia_PPWR],MATCH(A1603,tbl_recyclass[ProductId],0)),tbl_familias_ppwr[ID_Familia],0))="Sim","Conforme","Lacuna"),G1603)))),G1603))</f>
        <v>Não aplicável</v>
      </c>
      <c r="I1603" s="33" t="str">
        <f t="shared" si="25"/>
        <v>Não aplicável</v>
      </c>
      <c r="J1603" s="26"/>
    </row>
    <row r="1604" spans="1:10" ht="16.05" customHeight="1" x14ac:dyDescent="0.3">
      <c r="A1604" s="26" t="s">
        <v>781</v>
      </c>
      <c r="B1604" s="26" t="s">
        <v>1285</v>
      </c>
      <c r="C1604" s="33" t="str">
        <f>IFERROR(INDEX(tbl_requisitos_emb[Tema],MATCH(B1604,tbl_requisitos_emb[ID_Req],0)),"")</f>
        <v>Materiais plásticos de acondicionamento primário</v>
      </c>
      <c r="D1604" s="33" t="str">
        <f>IFERROR(INDEX(tbl_recyclass[Segmento],MATCH(A1604,tbl_recyclass[ProductId],0)),"")</f>
        <v>Cosmética e higiene pessoal</v>
      </c>
      <c r="E1604" s="26" t="s">
        <v>904</v>
      </c>
      <c r="F1604" s="26" t="s">
        <v>1451</v>
      </c>
      <c r="G1604" s="26" t="s">
        <v>1143</v>
      </c>
      <c r="H1604" s="33" t="str">
        <f>IF(E1604="Não","Não aplicável",IFERROR(IF(B1604="EU-ENV-002",IF(INDEX(tbl_recyclass[Conforme_PPWR_2030],MATCH(A1604,tbl_recyclass[ProductId],0))="Sim","Conforme (autoavaliação)",IF(INDEX(tbl_recyclass[Conforme_PPWR_2030],MATCH(A1604,tbl_recyclass[ProductId],0))="Não","Não conforme em 2030","Isento até 2035")),IF(B1604="EU-ENV-003",IF(INDEX(tbl_recyclass[Conforme_Art7_2030],MATCH(A1604,tbl_recyclass[ProductId],0))="Sim","Conforme (meta 2030)",IF(INDEX(tbl_recyclass[Conforme_Art7_2030],MATCH(A1604,tbl_recyclass[ProductId],0))="Não","Lacuna face à meta 2030","Isento")),IF(B1604="EU-ENV-011",IF(INDEX(tbl_familias_ppwr[Metais_Pesados_Evidencia],MATCH(INDEX(tbl_recyclass[Familia_PPWR],MATCH(A1604,tbl_recyclass[ProductId],0)),tbl_familias_ppwr[ID_Familia],0))="Em falta","Lacuna","Conforme"),IF(B1604="EU-ENV-013",IF(INDEX(tbl_familias_ppwr[Declaracao_UE],MATCH(INDEX(tbl_recyclass[Familia_PPWR],MATCH(A1604,tbl_recyclass[ProductId],0)),tbl_familias_ppwr[ID_Familia],0))="Sim","Conforme","Lacuna"),G1604)))),G1604))</f>
        <v>Não aplicável</v>
      </c>
      <c r="I1604" s="33" t="str">
        <f t="shared" si="25"/>
        <v>Não aplicável</v>
      </c>
      <c r="J1604" s="26"/>
    </row>
    <row r="1605" spans="1:10" ht="16.05" customHeight="1" x14ac:dyDescent="0.3">
      <c r="A1605" s="26" t="s">
        <v>781</v>
      </c>
      <c r="B1605" s="26" t="s">
        <v>1293</v>
      </c>
      <c r="C1605" s="33" t="str">
        <f>IFERROR(INDEX(tbl_requisitos_emb[Tema],MATCH(B1605,tbl_requisitos_emb[ID_Req],0)),"")</f>
        <v>Isenções PPWR</v>
      </c>
      <c r="D1605" s="33" t="str">
        <f>IFERROR(INDEX(tbl_recyclass[Segmento],MATCH(A1605,tbl_recyclass[ProductId],0)),"")</f>
        <v>Cosmética e higiene pessoal</v>
      </c>
      <c r="E1605" s="26" t="s">
        <v>904</v>
      </c>
      <c r="F1605" s="26" t="s">
        <v>1451</v>
      </c>
      <c r="G1605" s="26" t="s">
        <v>1143</v>
      </c>
      <c r="H1605" s="33" t="str">
        <f>IF(E1605="Não","Não aplicável",IFERROR(IF(B1605="EU-ENV-002",IF(INDEX(tbl_recyclass[Conforme_PPWR_2030],MATCH(A1605,tbl_recyclass[ProductId],0))="Sim","Conforme (autoavaliação)",IF(INDEX(tbl_recyclass[Conforme_PPWR_2030],MATCH(A1605,tbl_recyclass[ProductId],0))="Não","Não conforme em 2030","Isento até 2035")),IF(B1605="EU-ENV-003",IF(INDEX(tbl_recyclass[Conforme_Art7_2030],MATCH(A1605,tbl_recyclass[ProductId],0))="Sim","Conforme (meta 2030)",IF(INDEX(tbl_recyclass[Conforme_Art7_2030],MATCH(A1605,tbl_recyclass[ProductId],0))="Não","Lacuna face à meta 2030","Isento")),IF(B1605="EU-ENV-011",IF(INDEX(tbl_familias_ppwr[Metais_Pesados_Evidencia],MATCH(INDEX(tbl_recyclass[Familia_PPWR],MATCH(A1605,tbl_recyclass[ProductId],0)),tbl_familias_ppwr[ID_Familia],0))="Em falta","Lacuna","Conforme"),IF(B1605="EU-ENV-013",IF(INDEX(tbl_familias_ppwr[Declaracao_UE],MATCH(INDEX(tbl_recyclass[Familia_PPWR],MATCH(A1605,tbl_recyclass[ProductId],0)),tbl_familias_ppwr[ID_Familia],0))="Sim","Conforme","Lacuna"),G1605)))),G1605))</f>
        <v>Não aplicável</v>
      </c>
      <c r="I1605" s="33" t="str">
        <f t="shared" si="25"/>
        <v>Não aplicável</v>
      </c>
      <c r="J1605" s="26"/>
    </row>
    <row r="1606" spans="1:10" ht="16.05" customHeight="1" x14ac:dyDescent="0.3">
      <c r="A1606" s="26" t="s">
        <v>781</v>
      </c>
      <c r="B1606" s="26" t="s">
        <v>1357</v>
      </c>
      <c r="C1606" s="33" t="str">
        <f>IFERROR(INDEX(tbl_requisitos_emb[Tema],MATCH(B1606,tbl_requisitos_emb[ID_Req],0)),"")</f>
        <v>Identificação de plásticos</v>
      </c>
      <c r="D1606" s="33" t="str">
        <f>IFERROR(INDEX(tbl_recyclass[Segmento],MATCH(A1606,tbl_recyclass[ProductId],0)),"")</f>
        <v>Cosmética e higiene pessoal</v>
      </c>
      <c r="E1606" s="26" t="s">
        <v>901</v>
      </c>
      <c r="F1606" s="26" t="s">
        <v>1449</v>
      </c>
      <c r="G1606" s="26" t="s">
        <v>978</v>
      </c>
      <c r="H1606" s="33" t="str">
        <f>IF(E1606="Não","Não aplicável",IFERROR(IF(B1606="EU-ENV-002",IF(INDEX(tbl_recyclass[Conforme_PPWR_2030],MATCH(A1606,tbl_recyclass[ProductId],0))="Sim","Conforme (autoavaliação)",IF(INDEX(tbl_recyclass[Conforme_PPWR_2030],MATCH(A1606,tbl_recyclass[ProductId],0))="Não","Não conforme em 2030","Isento até 2035")),IF(B1606="EU-ENV-003",IF(INDEX(tbl_recyclass[Conforme_Art7_2030],MATCH(A1606,tbl_recyclass[ProductId],0))="Sim","Conforme (meta 2030)",IF(INDEX(tbl_recyclass[Conforme_Art7_2030],MATCH(A1606,tbl_recyclass[ProductId],0))="Não","Lacuna face à meta 2030","Isento")),IF(B1606="EU-ENV-011",IF(INDEX(tbl_familias_ppwr[Metais_Pesados_Evidencia],MATCH(INDEX(tbl_recyclass[Familia_PPWR],MATCH(A1606,tbl_recyclass[ProductId],0)),tbl_familias_ppwr[ID_Familia],0))="Em falta","Lacuna","Conforme"),IF(B1606="EU-ENV-013",IF(INDEX(tbl_familias_ppwr[Declaracao_UE],MATCH(INDEX(tbl_recyclass[Familia_PPWR],MATCH(A1606,tbl_recyclass[ProductId],0)),tbl_familias_ppwr[ID_Familia],0))="Sim","Conforme","Lacuna"),G1606)))),G1606))</f>
        <v>Parcial</v>
      </c>
      <c r="I1606" s="33" t="str">
        <f t="shared" si="25"/>
        <v>Parcial</v>
      </c>
      <c r="J1606" s="26" t="s">
        <v>1362</v>
      </c>
    </row>
    <row r="1607" spans="1:10" ht="16.05" customHeight="1" x14ac:dyDescent="0.3">
      <c r="A1607" s="26" t="s">
        <v>781</v>
      </c>
      <c r="B1607" s="26" t="s">
        <v>1385</v>
      </c>
      <c r="C1607" s="33" t="str">
        <f>IFERROR(INDEX(tbl_requisitos_emb[Tema],MATCH(B1607,tbl_requisitos_emb[ID_Req],0)),"")</f>
        <v>Reciclabilidade (voluntária)</v>
      </c>
      <c r="D1607" s="33" t="str">
        <f>IFERROR(INDEX(tbl_recyclass[Segmento],MATCH(A1607,tbl_recyclass[ProductId],0)),"")</f>
        <v>Cosmética e higiene pessoal</v>
      </c>
      <c r="E1607" s="26" t="s">
        <v>901</v>
      </c>
      <c r="F1607" s="26" t="s">
        <v>1449</v>
      </c>
      <c r="G1607" s="26" t="s">
        <v>978</v>
      </c>
      <c r="H1607" s="33" t="str">
        <f>IF(E1607="Não","Não aplicável",IFERROR(IF(B1607="EU-ENV-002",IF(INDEX(tbl_recyclass[Conforme_PPWR_2030],MATCH(A1607,tbl_recyclass[ProductId],0))="Sim","Conforme (autoavaliação)",IF(INDEX(tbl_recyclass[Conforme_PPWR_2030],MATCH(A1607,tbl_recyclass[ProductId],0))="Não","Não conforme em 2030","Isento até 2035")),IF(B1607="EU-ENV-003",IF(INDEX(tbl_recyclass[Conforme_Art7_2030],MATCH(A1607,tbl_recyclass[ProductId],0))="Sim","Conforme (meta 2030)",IF(INDEX(tbl_recyclass[Conforme_Art7_2030],MATCH(A1607,tbl_recyclass[ProductId],0))="Não","Lacuna face à meta 2030","Isento")),IF(B1607="EU-ENV-011",IF(INDEX(tbl_familias_ppwr[Metais_Pesados_Evidencia],MATCH(INDEX(tbl_recyclass[Familia_PPWR],MATCH(A1607,tbl_recyclass[ProductId],0)),tbl_familias_ppwr[ID_Familia],0))="Em falta","Lacuna","Conforme"),IF(B1607="EU-ENV-013",IF(INDEX(tbl_familias_ppwr[Declaracao_UE],MATCH(INDEX(tbl_recyclass[Familia_PPWR],MATCH(A1607,tbl_recyclass[ProductId],0)),tbl_familias_ppwr[ID_Familia],0))="Sim","Conforme","Lacuna"),G1607)))),G1607))</f>
        <v>Parcial</v>
      </c>
      <c r="I1607" s="33" t="str">
        <f t="shared" si="25"/>
        <v>Parcial</v>
      </c>
      <c r="J1607" s="26" t="s">
        <v>1389</v>
      </c>
    </row>
    <row r="1608" spans="1:10" ht="16.05" customHeight="1" x14ac:dyDescent="0.3">
      <c r="A1608" s="26" t="s">
        <v>783</v>
      </c>
      <c r="B1608" s="26" t="s">
        <v>984</v>
      </c>
      <c r="C1608" s="33" t="str">
        <f>IFERROR(INDEX(tbl_requisitos_emb[Tema],MATCH(B1608,tbl_requisitos_emb[ID_Req],0)),"")</f>
        <v>Conceção para reciclagem</v>
      </c>
      <c r="D1608" s="33" t="str">
        <f>IFERROR(INDEX(tbl_recyclass[Segmento],MATCH(A1608,tbl_recyclass[ProductId],0)),"")</f>
        <v>Cosmética e higiene pessoal</v>
      </c>
      <c r="E1608" s="26" t="s">
        <v>901</v>
      </c>
      <c r="F1608" s="26" t="s">
        <v>1449</v>
      </c>
      <c r="G1608" s="26" t="s">
        <v>978</v>
      </c>
      <c r="H1608" s="33" t="str">
        <f>IF(E1608="Não","Não aplicável",IFERROR(IF(B1608="EU-ENV-002",IF(INDEX(tbl_recyclass[Conforme_PPWR_2030],MATCH(A1608,tbl_recyclass[ProductId],0))="Sim","Conforme (autoavaliação)",IF(INDEX(tbl_recyclass[Conforme_PPWR_2030],MATCH(A1608,tbl_recyclass[ProductId],0))="Não","Não conforme em 2030","Isento até 2035")),IF(B1608="EU-ENV-003",IF(INDEX(tbl_recyclass[Conforme_Art7_2030],MATCH(A1608,tbl_recyclass[ProductId],0))="Sim","Conforme (meta 2030)",IF(INDEX(tbl_recyclass[Conforme_Art7_2030],MATCH(A1608,tbl_recyclass[ProductId],0))="Não","Lacuna face à meta 2030","Isento")),IF(B1608="EU-ENV-011",IF(INDEX(tbl_familias_ppwr[Metais_Pesados_Evidencia],MATCH(INDEX(tbl_recyclass[Familia_PPWR],MATCH(A1608,tbl_recyclass[ProductId],0)),tbl_familias_ppwr[ID_Familia],0))="Em falta","Lacuna","Conforme"),IF(B1608="EU-ENV-013",IF(INDEX(tbl_familias_ppwr[Declaracao_UE],MATCH(INDEX(tbl_recyclass[Familia_PPWR],MATCH(A1608,tbl_recyclass[ProductId],0)),tbl_familias_ppwr[ID_Familia],0))="Sim","Conforme","Lacuna"),G1608)))),G1608))</f>
        <v>Conforme (autoavaliação)</v>
      </c>
      <c r="I1608" s="33" t="str">
        <f t="shared" si="25"/>
        <v>Conforme</v>
      </c>
      <c r="J1608" s="26" t="s">
        <v>991</v>
      </c>
    </row>
    <row r="1609" spans="1:10" ht="16.05" customHeight="1" x14ac:dyDescent="0.3">
      <c r="A1609" s="26" t="s">
        <v>783</v>
      </c>
      <c r="B1609" s="26" t="s">
        <v>997</v>
      </c>
      <c r="C1609" s="33" t="str">
        <f>IFERROR(INDEX(tbl_requisitos_emb[Tema],MATCH(B1609,tbl_requisitos_emb[ID_Req],0)),"")</f>
        <v>Conteúdo reciclado</v>
      </c>
      <c r="D1609" s="33" t="str">
        <f>IFERROR(INDEX(tbl_recyclass[Segmento],MATCH(A1609,tbl_recyclass[ProductId],0)),"")</f>
        <v>Cosmética e higiene pessoal</v>
      </c>
      <c r="E1609" s="26" t="s">
        <v>901</v>
      </c>
      <c r="F1609" s="26" t="s">
        <v>1449</v>
      </c>
      <c r="G1609" s="26" t="s">
        <v>978</v>
      </c>
      <c r="H1609" s="33" t="str">
        <f>IF(E1609="Não","Não aplicável",IFERROR(IF(B1609="EU-ENV-002",IF(INDEX(tbl_recyclass[Conforme_PPWR_2030],MATCH(A1609,tbl_recyclass[ProductId],0))="Sim","Conforme (autoavaliação)",IF(INDEX(tbl_recyclass[Conforme_PPWR_2030],MATCH(A1609,tbl_recyclass[ProductId],0))="Não","Não conforme em 2030","Isento até 2035")),IF(B1609="EU-ENV-003",IF(INDEX(tbl_recyclass[Conforme_Art7_2030],MATCH(A1609,tbl_recyclass[ProductId],0))="Sim","Conforme (meta 2030)",IF(INDEX(tbl_recyclass[Conforme_Art7_2030],MATCH(A1609,tbl_recyclass[ProductId],0))="Não","Lacuna face à meta 2030","Isento")),IF(B1609="EU-ENV-011",IF(INDEX(tbl_familias_ppwr[Metais_Pesados_Evidencia],MATCH(INDEX(tbl_recyclass[Familia_PPWR],MATCH(A1609,tbl_recyclass[ProductId],0)),tbl_familias_ppwr[ID_Familia],0))="Em falta","Lacuna","Conforme"),IF(B1609="EU-ENV-013",IF(INDEX(tbl_familias_ppwr[Declaracao_UE],MATCH(INDEX(tbl_recyclass[Familia_PPWR],MATCH(A1609,tbl_recyclass[ProductId],0)),tbl_familias_ppwr[ID_Familia],0))="Sim","Conforme","Lacuna"),G1609)))),G1609))</f>
        <v>Lacuna face à meta 2030</v>
      </c>
      <c r="I1609" s="33" t="str">
        <f t="shared" si="25"/>
        <v>Lacuna</v>
      </c>
      <c r="J1609" s="26" t="s">
        <v>1001</v>
      </c>
    </row>
    <row r="1610" spans="1:10" ht="16.05" customHeight="1" x14ac:dyDescent="0.3">
      <c r="A1610" s="26" t="s">
        <v>783</v>
      </c>
      <c r="B1610" s="26" t="s">
        <v>1007</v>
      </c>
      <c r="C1610" s="33" t="str">
        <f>IFERROR(INDEX(tbl_requisitos_emb[Tema],MATCH(B1610,tbl_requisitos_emb[ID_Req],0)),"")</f>
        <v>Minimização</v>
      </c>
      <c r="D1610" s="33" t="str">
        <f>IFERROR(INDEX(tbl_recyclass[Segmento],MATCH(A1610,tbl_recyclass[ProductId],0)),"")</f>
        <v>Cosmética e higiene pessoal</v>
      </c>
      <c r="E1610" s="26" t="s">
        <v>901</v>
      </c>
      <c r="F1610" s="26" t="s">
        <v>1449</v>
      </c>
      <c r="G1610" s="26" t="s">
        <v>978</v>
      </c>
      <c r="H1610" s="33" t="str">
        <f>IF(E1610="Não","Não aplicável",IFERROR(IF(B1610="EU-ENV-002",IF(INDEX(tbl_recyclass[Conforme_PPWR_2030],MATCH(A1610,tbl_recyclass[ProductId],0))="Sim","Conforme (autoavaliação)",IF(INDEX(tbl_recyclass[Conforme_PPWR_2030],MATCH(A1610,tbl_recyclass[ProductId],0))="Não","Não conforme em 2030","Isento até 2035")),IF(B1610="EU-ENV-003",IF(INDEX(tbl_recyclass[Conforme_Art7_2030],MATCH(A1610,tbl_recyclass[ProductId],0))="Sim","Conforme (meta 2030)",IF(INDEX(tbl_recyclass[Conforme_Art7_2030],MATCH(A1610,tbl_recyclass[ProductId],0))="Não","Lacuna face à meta 2030","Isento")),IF(B1610="EU-ENV-011",IF(INDEX(tbl_familias_ppwr[Metais_Pesados_Evidencia],MATCH(INDEX(tbl_recyclass[Familia_PPWR],MATCH(A1610,tbl_recyclass[ProductId],0)),tbl_familias_ppwr[ID_Familia],0))="Em falta","Lacuna","Conforme"),IF(B1610="EU-ENV-013",IF(INDEX(tbl_familias_ppwr[Declaracao_UE],MATCH(INDEX(tbl_recyclass[Familia_PPWR],MATCH(A1610,tbl_recyclass[ProductId],0)),tbl_familias_ppwr[ID_Familia],0))="Sim","Conforme","Lacuna"),G1610)))),G1610))</f>
        <v>Parcial</v>
      </c>
      <c r="I1610" s="33" t="str">
        <f t="shared" si="25"/>
        <v>Parcial</v>
      </c>
      <c r="J1610" s="26" t="s">
        <v>1012</v>
      </c>
    </row>
    <row r="1611" spans="1:10" ht="16.05" customHeight="1" x14ac:dyDescent="0.3">
      <c r="A1611" s="26" t="s">
        <v>783</v>
      </c>
      <c r="B1611" s="26" t="s">
        <v>1016</v>
      </c>
      <c r="C1611" s="33" t="str">
        <f>IFERROR(INDEX(tbl_requisitos_emb[Tema],MATCH(B1611,tbl_requisitos_emb[ID_Req],0)),"")</f>
        <v>Rotulagem</v>
      </c>
      <c r="D1611" s="33" t="str">
        <f>IFERROR(INDEX(tbl_recyclass[Segmento],MATCH(A1611,tbl_recyclass[ProductId],0)),"")</f>
        <v>Cosmética e higiene pessoal</v>
      </c>
      <c r="E1611" s="26" t="s">
        <v>901</v>
      </c>
      <c r="F1611" s="26" t="s">
        <v>1449</v>
      </c>
      <c r="G1611" s="26" t="s">
        <v>990</v>
      </c>
      <c r="H1611" s="33" t="str">
        <f>IF(E1611="Não","Não aplicável",IFERROR(IF(B1611="EU-ENV-002",IF(INDEX(tbl_recyclass[Conforme_PPWR_2030],MATCH(A1611,tbl_recyclass[ProductId],0))="Sim","Conforme (autoavaliação)",IF(INDEX(tbl_recyclass[Conforme_PPWR_2030],MATCH(A1611,tbl_recyclass[ProductId],0))="Não","Não conforme em 2030","Isento até 2035")),IF(B1611="EU-ENV-003",IF(INDEX(tbl_recyclass[Conforme_Art7_2030],MATCH(A1611,tbl_recyclass[ProductId],0))="Sim","Conforme (meta 2030)",IF(INDEX(tbl_recyclass[Conforme_Art7_2030],MATCH(A1611,tbl_recyclass[ProductId],0))="Não","Lacuna face à meta 2030","Isento")),IF(B1611="EU-ENV-011",IF(INDEX(tbl_familias_ppwr[Metais_Pesados_Evidencia],MATCH(INDEX(tbl_recyclass[Familia_PPWR],MATCH(A1611,tbl_recyclass[ProductId],0)),tbl_familias_ppwr[ID_Familia],0))="Em falta","Lacuna","Conforme"),IF(B1611="EU-ENV-013",IF(INDEX(tbl_familias_ppwr[Declaracao_UE],MATCH(INDEX(tbl_recyclass[Familia_PPWR],MATCH(A1611,tbl_recyclass[ProductId],0)),tbl_familias_ppwr[ID_Familia],0))="Sim","Conforme","Lacuna"),G1611)))),G1611))</f>
        <v>Futuro</v>
      </c>
      <c r="I1611" s="33" t="str">
        <f t="shared" si="25"/>
        <v>Futuro</v>
      </c>
      <c r="J1611" s="26" t="s">
        <v>1021</v>
      </c>
    </row>
    <row r="1612" spans="1:10" ht="16.05" customHeight="1" x14ac:dyDescent="0.3">
      <c r="A1612" s="26" t="s">
        <v>783</v>
      </c>
      <c r="B1612" s="26" t="s">
        <v>1038</v>
      </c>
      <c r="C1612" s="33" t="str">
        <f>IFERROR(INDEX(tbl_requisitos_emb[Tema],MATCH(B1612,tbl_requisitos_emb[ID_Req],0)),"")</f>
        <v>Plásticos de utilização única</v>
      </c>
      <c r="D1612" s="33" t="str">
        <f>IFERROR(INDEX(tbl_recyclass[Segmento],MATCH(A1612,tbl_recyclass[ProductId],0)),"")</f>
        <v>Cosmética e higiene pessoal</v>
      </c>
      <c r="E1612" s="26" t="s">
        <v>904</v>
      </c>
      <c r="F1612" s="26" t="s">
        <v>1450</v>
      </c>
      <c r="G1612" s="26" t="s">
        <v>1143</v>
      </c>
      <c r="H1612" s="33" t="str">
        <f>IF(E1612="Não","Não aplicável",IFERROR(IF(B1612="EU-ENV-002",IF(INDEX(tbl_recyclass[Conforme_PPWR_2030],MATCH(A1612,tbl_recyclass[ProductId],0))="Sim","Conforme (autoavaliação)",IF(INDEX(tbl_recyclass[Conforme_PPWR_2030],MATCH(A1612,tbl_recyclass[ProductId],0))="Não","Não conforme em 2030","Isento até 2035")),IF(B1612="EU-ENV-003",IF(INDEX(tbl_recyclass[Conforme_Art7_2030],MATCH(A1612,tbl_recyclass[ProductId],0))="Sim","Conforme (meta 2030)",IF(INDEX(tbl_recyclass[Conforme_Art7_2030],MATCH(A1612,tbl_recyclass[ProductId],0))="Não","Lacuna face à meta 2030","Isento")),IF(B1612="EU-ENV-011",IF(INDEX(tbl_familias_ppwr[Metais_Pesados_Evidencia],MATCH(INDEX(tbl_recyclass[Familia_PPWR],MATCH(A1612,tbl_recyclass[ProductId],0)),tbl_familias_ppwr[ID_Familia],0))="Em falta","Lacuna","Conforme"),IF(B1612="EU-ENV-013",IF(INDEX(tbl_familias_ppwr[Declaracao_UE],MATCH(INDEX(tbl_recyclass[Familia_PPWR],MATCH(A1612,tbl_recyclass[ProductId],0)),tbl_familias_ppwr[ID_Familia],0))="Sim","Conforme","Lacuna"),G1612)))),G1612))</f>
        <v>Não aplicável</v>
      </c>
      <c r="I1612" s="33" t="str">
        <f t="shared" si="25"/>
        <v>Não aplicável</v>
      </c>
      <c r="J1612" s="26"/>
    </row>
    <row r="1613" spans="1:10" ht="16.05" customHeight="1" x14ac:dyDescent="0.3">
      <c r="A1613" s="26" t="s">
        <v>783</v>
      </c>
      <c r="B1613" s="26" t="s">
        <v>1078</v>
      </c>
      <c r="C1613" s="33" t="str">
        <f>IFERROR(INDEX(tbl_requisitos_emb[Tema],MATCH(B1613,tbl_requisitos_emb[ID_Req],0)),"")</f>
        <v>Reciclado à escala</v>
      </c>
      <c r="D1613" s="33" t="str">
        <f>IFERROR(INDEX(tbl_recyclass[Segmento],MATCH(A1613,tbl_recyclass[ProductId],0)),"")</f>
        <v>Cosmética e higiene pessoal</v>
      </c>
      <c r="E1613" s="26" t="s">
        <v>901</v>
      </c>
      <c r="F1613" s="26" t="s">
        <v>1449</v>
      </c>
      <c r="G1613" s="26" t="s">
        <v>990</v>
      </c>
      <c r="H1613" s="33" t="str">
        <f>IF(E1613="Não","Não aplicável",IFERROR(IF(B1613="EU-ENV-002",IF(INDEX(tbl_recyclass[Conforme_PPWR_2030],MATCH(A1613,tbl_recyclass[ProductId],0))="Sim","Conforme (autoavaliação)",IF(INDEX(tbl_recyclass[Conforme_PPWR_2030],MATCH(A1613,tbl_recyclass[ProductId],0))="Não","Não conforme em 2030","Isento até 2035")),IF(B1613="EU-ENV-003",IF(INDEX(tbl_recyclass[Conforme_Art7_2030],MATCH(A1613,tbl_recyclass[ProductId],0))="Sim","Conforme (meta 2030)",IF(INDEX(tbl_recyclass[Conforme_Art7_2030],MATCH(A1613,tbl_recyclass[ProductId],0))="Não","Lacuna face à meta 2030","Isento")),IF(B1613="EU-ENV-011",IF(INDEX(tbl_familias_ppwr[Metais_Pesados_Evidencia],MATCH(INDEX(tbl_recyclass[Familia_PPWR],MATCH(A1613,tbl_recyclass[ProductId],0)),tbl_familias_ppwr[ID_Familia],0))="Em falta","Lacuna","Conforme"),IF(B1613="EU-ENV-013",IF(INDEX(tbl_familias_ppwr[Declaracao_UE],MATCH(INDEX(tbl_recyclass[Familia_PPWR],MATCH(A1613,tbl_recyclass[ProductId],0)),tbl_familias_ppwr[ID_Familia],0))="Sim","Conforme","Lacuna"),G1613)))),G1613))</f>
        <v>Futuro</v>
      </c>
      <c r="I1613" s="33" t="str">
        <f t="shared" si="25"/>
        <v>Futuro</v>
      </c>
      <c r="J1613" s="26" t="s">
        <v>1082</v>
      </c>
    </row>
    <row r="1614" spans="1:10" ht="16.05" customHeight="1" x14ac:dyDescent="0.3">
      <c r="A1614" s="26" t="s">
        <v>783</v>
      </c>
      <c r="B1614" s="26" t="s">
        <v>1086</v>
      </c>
      <c r="C1614" s="33" t="str">
        <f>IFERROR(INDEX(tbl_requisitos_emb[Tema],MATCH(B1614,tbl_requisitos_emb[ID_Req],0)),"")</f>
        <v>Metais pesados</v>
      </c>
      <c r="D1614" s="33" t="str">
        <f>IFERROR(INDEX(tbl_recyclass[Segmento],MATCH(A1614,tbl_recyclass[ProductId],0)),"")</f>
        <v>Cosmética e higiene pessoal</v>
      </c>
      <c r="E1614" s="26" t="s">
        <v>901</v>
      </c>
      <c r="F1614" s="26" t="s">
        <v>1449</v>
      </c>
      <c r="G1614" s="26" t="s">
        <v>978</v>
      </c>
      <c r="H1614" s="33" t="str">
        <f>IF(E1614="Não","Não aplicável",IFERROR(IF(B1614="EU-ENV-002",IF(INDEX(tbl_recyclass[Conforme_PPWR_2030],MATCH(A1614,tbl_recyclass[ProductId],0))="Sim","Conforme (autoavaliação)",IF(INDEX(tbl_recyclass[Conforme_PPWR_2030],MATCH(A1614,tbl_recyclass[ProductId],0))="Não","Não conforme em 2030","Isento até 2035")),IF(B1614="EU-ENV-003",IF(INDEX(tbl_recyclass[Conforme_Art7_2030],MATCH(A1614,tbl_recyclass[ProductId],0))="Sim","Conforme (meta 2030)",IF(INDEX(tbl_recyclass[Conforme_Art7_2030],MATCH(A1614,tbl_recyclass[ProductId],0))="Não","Lacuna face à meta 2030","Isento")),IF(B1614="EU-ENV-011",IF(INDEX(tbl_familias_ppwr[Metais_Pesados_Evidencia],MATCH(INDEX(tbl_recyclass[Familia_PPWR],MATCH(A1614,tbl_recyclass[ProductId],0)),tbl_familias_ppwr[ID_Familia],0))="Em falta","Lacuna","Conforme"),IF(B1614="EU-ENV-013",IF(INDEX(tbl_familias_ppwr[Declaracao_UE],MATCH(INDEX(tbl_recyclass[Familia_PPWR],MATCH(A1614,tbl_recyclass[ProductId],0)),tbl_familias_ppwr[ID_Familia],0))="Sim","Conforme","Lacuna"),G1614)))),G1614))</f>
        <v>Conforme</v>
      </c>
      <c r="I1614" s="33" t="str">
        <f t="shared" si="25"/>
        <v>Conforme</v>
      </c>
      <c r="J1614" s="26" t="s">
        <v>1090</v>
      </c>
    </row>
    <row r="1615" spans="1:10" ht="16.05" customHeight="1" x14ac:dyDescent="0.3">
      <c r="A1615" s="26" t="s">
        <v>783</v>
      </c>
      <c r="B1615" s="26" t="s">
        <v>1094</v>
      </c>
      <c r="C1615" s="33" t="str">
        <f>IFERROR(INDEX(tbl_requisitos_emb[Tema],MATCH(B1615,tbl_requisitos_emb[ID_Req],0)),"")</f>
        <v>PFAS</v>
      </c>
      <c r="D1615" s="33" t="str">
        <f>IFERROR(INDEX(tbl_recyclass[Segmento],MATCH(A1615,tbl_recyclass[ProductId],0)),"")</f>
        <v>Cosmética e higiene pessoal</v>
      </c>
      <c r="E1615" s="26" t="s">
        <v>904</v>
      </c>
      <c r="F1615" s="26" t="s">
        <v>1450</v>
      </c>
      <c r="G1615" s="26" t="s">
        <v>1143</v>
      </c>
      <c r="H1615" s="33" t="str">
        <f>IF(E1615="Não","Não aplicável",IFERROR(IF(B1615="EU-ENV-002",IF(INDEX(tbl_recyclass[Conforme_PPWR_2030],MATCH(A1615,tbl_recyclass[ProductId],0))="Sim","Conforme (autoavaliação)",IF(INDEX(tbl_recyclass[Conforme_PPWR_2030],MATCH(A1615,tbl_recyclass[ProductId],0))="Não","Não conforme em 2030","Isento até 2035")),IF(B1615="EU-ENV-003",IF(INDEX(tbl_recyclass[Conforme_Art7_2030],MATCH(A1615,tbl_recyclass[ProductId],0))="Sim","Conforme (meta 2030)",IF(INDEX(tbl_recyclass[Conforme_Art7_2030],MATCH(A1615,tbl_recyclass[ProductId],0))="Não","Lacuna face à meta 2030","Isento")),IF(B1615="EU-ENV-011",IF(INDEX(tbl_familias_ppwr[Metais_Pesados_Evidencia],MATCH(INDEX(tbl_recyclass[Familia_PPWR],MATCH(A1615,tbl_recyclass[ProductId],0)),tbl_familias_ppwr[ID_Familia],0))="Em falta","Lacuna","Conforme"),IF(B1615="EU-ENV-013",IF(INDEX(tbl_familias_ppwr[Declaracao_UE],MATCH(INDEX(tbl_recyclass[Familia_PPWR],MATCH(A1615,tbl_recyclass[ProductId],0)),tbl_familias_ppwr[ID_Familia],0))="Sim","Conforme","Lacuna"),G1615)))),G1615))</f>
        <v>Não aplicável</v>
      </c>
      <c r="I1615" s="33" t="str">
        <f t="shared" si="25"/>
        <v>Não aplicável</v>
      </c>
      <c r="J1615" s="26"/>
    </row>
    <row r="1616" spans="1:10" ht="16.05" customHeight="1" x14ac:dyDescent="0.3">
      <c r="A1616" s="26" t="s">
        <v>783</v>
      </c>
      <c r="B1616" s="26" t="s">
        <v>1102</v>
      </c>
      <c r="C1616" s="33" t="str">
        <f>IFERROR(INDEX(tbl_requisitos_emb[Tema],MATCH(B1616,tbl_requisitos_emb[ID_Req],0)),"")</f>
        <v>Documentação técnica e declaração UE</v>
      </c>
      <c r="D1616" s="33" t="str">
        <f>IFERROR(INDEX(tbl_recyclass[Segmento],MATCH(A1616,tbl_recyclass[ProductId],0)),"")</f>
        <v>Cosmética e higiene pessoal</v>
      </c>
      <c r="E1616" s="26" t="s">
        <v>901</v>
      </c>
      <c r="F1616" s="26" t="s">
        <v>1449</v>
      </c>
      <c r="G1616" s="26" t="s">
        <v>978</v>
      </c>
      <c r="H1616" s="33" t="str">
        <f>IF(E1616="Não","Não aplicável",IFERROR(IF(B1616="EU-ENV-002",IF(INDEX(tbl_recyclass[Conforme_PPWR_2030],MATCH(A1616,tbl_recyclass[ProductId],0))="Sim","Conforme (autoavaliação)",IF(INDEX(tbl_recyclass[Conforme_PPWR_2030],MATCH(A1616,tbl_recyclass[ProductId],0))="Não","Não conforme em 2030","Isento até 2035")),IF(B1616="EU-ENV-003",IF(INDEX(tbl_recyclass[Conforme_Art7_2030],MATCH(A1616,tbl_recyclass[ProductId],0))="Sim","Conforme (meta 2030)",IF(INDEX(tbl_recyclass[Conforme_Art7_2030],MATCH(A1616,tbl_recyclass[ProductId],0))="Não","Lacuna face à meta 2030","Isento")),IF(B1616="EU-ENV-011",IF(INDEX(tbl_familias_ppwr[Metais_Pesados_Evidencia],MATCH(INDEX(tbl_recyclass[Familia_PPWR],MATCH(A1616,tbl_recyclass[ProductId],0)),tbl_familias_ppwr[ID_Familia],0))="Em falta","Lacuna","Conforme"),IF(B1616="EU-ENV-013",IF(INDEX(tbl_familias_ppwr[Declaracao_UE],MATCH(INDEX(tbl_recyclass[Familia_PPWR],MATCH(A1616,tbl_recyclass[ProductId],0)),tbl_familias_ppwr[ID_Familia],0))="Sim","Conforme","Lacuna"),G1616)))),G1616))</f>
        <v>Conforme</v>
      </c>
      <c r="I1616" s="33" t="str">
        <f t="shared" si="25"/>
        <v>Conforme</v>
      </c>
      <c r="J1616" s="26" t="s">
        <v>1106</v>
      </c>
    </row>
    <row r="1617" spans="1:10" ht="16.05" customHeight="1" x14ac:dyDescent="0.3">
      <c r="A1617" s="26" t="s">
        <v>783</v>
      </c>
      <c r="B1617" s="26" t="s">
        <v>1161</v>
      </c>
      <c r="C1617" s="33" t="str">
        <f>IFERROR(INDEX(tbl_requisitos_emb[Tema],MATCH(B1617,tbl_requisitos_emb[ID_Req],0)),"")</f>
        <v>Materiais em contacto com alimentos</v>
      </c>
      <c r="D1617" s="33" t="str">
        <f>IFERROR(INDEX(tbl_recyclass[Segmento],MATCH(A1617,tbl_recyclass[ProductId],0)),"")</f>
        <v>Cosmética e higiene pessoal</v>
      </c>
      <c r="E1617" s="26" t="s">
        <v>904</v>
      </c>
      <c r="F1617" s="26" t="s">
        <v>1450</v>
      </c>
      <c r="G1617" s="26" t="s">
        <v>1143</v>
      </c>
      <c r="H1617" s="33" t="str">
        <f>IF(E1617="Não","Não aplicável",IFERROR(IF(B1617="EU-ENV-002",IF(INDEX(tbl_recyclass[Conforme_PPWR_2030],MATCH(A1617,tbl_recyclass[ProductId],0))="Sim","Conforme (autoavaliação)",IF(INDEX(tbl_recyclass[Conforme_PPWR_2030],MATCH(A1617,tbl_recyclass[ProductId],0))="Não","Não conforme em 2030","Isento até 2035")),IF(B1617="EU-ENV-003",IF(INDEX(tbl_recyclass[Conforme_Art7_2030],MATCH(A1617,tbl_recyclass[ProductId],0))="Sim","Conforme (meta 2030)",IF(INDEX(tbl_recyclass[Conforme_Art7_2030],MATCH(A1617,tbl_recyclass[ProductId],0))="Não","Lacuna face à meta 2030","Isento")),IF(B1617="EU-ENV-011",IF(INDEX(tbl_familias_ppwr[Metais_Pesados_Evidencia],MATCH(INDEX(tbl_recyclass[Familia_PPWR],MATCH(A1617,tbl_recyclass[ProductId],0)),tbl_familias_ppwr[ID_Familia],0))="Em falta","Lacuna","Conforme"),IF(B1617="EU-ENV-013",IF(INDEX(tbl_familias_ppwr[Declaracao_UE],MATCH(INDEX(tbl_recyclass[Familia_PPWR],MATCH(A1617,tbl_recyclass[ProductId],0)),tbl_familias_ppwr[ID_Familia],0))="Sim","Conforme","Lacuna"),G1617)))),G1617))</f>
        <v>Não aplicável</v>
      </c>
      <c r="I1617" s="33" t="str">
        <f t="shared" si="25"/>
        <v>Não aplicável</v>
      </c>
      <c r="J1617" s="26"/>
    </row>
    <row r="1618" spans="1:10" ht="16.05" customHeight="1" x14ac:dyDescent="0.3">
      <c r="A1618" s="26" t="s">
        <v>783</v>
      </c>
      <c r="B1618" s="26" t="s">
        <v>1170</v>
      </c>
      <c r="C1618" s="33" t="str">
        <f>IFERROR(INDEX(tbl_requisitos_emb[Tema],MATCH(B1618,tbl_requisitos_emb[ID_Req],0)),"")</f>
        <v>Boas práticas de fabrico FCM</v>
      </c>
      <c r="D1618" s="33" t="str">
        <f>IFERROR(INDEX(tbl_recyclass[Segmento],MATCH(A1618,tbl_recyclass[ProductId],0)),"")</f>
        <v>Cosmética e higiene pessoal</v>
      </c>
      <c r="E1618" s="26" t="s">
        <v>904</v>
      </c>
      <c r="F1618" s="26" t="s">
        <v>1450</v>
      </c>
      <c r="G1618" s="26" t="s">
        <v>1143</v>
      </c>
      <c r="H1618" s="33" t="str">
        <f>IF(E1618="Não","Não aplicável",IFERROR(IF(B1618="EU-ENV-002",IF(INDEX(tbl_recyclass[Conforme_PPWR_2030],MATCH(A1618,tbl_recyclass[ProductId],0))="Sim","Conforme (autoavaliação)",IF(INDEX(tbl_recyclass[Conforme_PPWR_2030],MATCH(A1618,tbl_recyclass[ProductId],0))="Não","Não conforme em 2030","Isento até 2035")),IF(B1618="EU-ENV-003",IF(INDEX(tbl_recyclass[Conforme_Art7_2030],MATCH(A1618,tbl_recyclass[ProductId],0))="Sim","Conforme (meta 2030)",IF(INDEX(tbl_recyclass[Conforme_Art7_2030],MATCH(A1618,tbl_recyclass[ProductId],0))="Não","Lacuna face à meta 2030","Isento")),IF(B1618="EU-ENV-011",IF(INDEX(tbl_familias_ppwr[Metais_Pesados_Evidencia],MATCH(INDEX(tbl_recyclass[Familia_PPWR],MATCH(A1618,tbl_recyclass[ProductId],0)),tbl_familias_ppwr[ID_Familia],0))="Em falta","Lacuna","Conforme"),IF(B1618="EU-ENV-013",IF(INDEX(tbl_familias_ppwr[Declaracao_UE],MATCH(INDEX(tbl_recyclass[Familia_PPWR],MATCH(A1618,tbl_recyclass[ProductId],0)),tbl_familias_ppwr[ID_Familia],0))="Sim","Conforme","Lacuna"),G1618)))),G1618))</f>
        <v>Não aplicável</v>
      </c>
      <c r="I1618" s="33" t="str">
        <f t="shared" si="25"/>
        <v>Não aplicável</v>
      </c>
      <c r="J1618" s="26"/>
    </row>
    <row r="1619" spans="1:10" ht="16.05" customHeight="1" x14ac:dyDescent="0.3">
      <c r="A1619" s="26" t="s">
        <v>783</v>
      </c>
      <c r="B1619" s="26" t="s">
        <v>1179</v>
      </c>
      <c r="C1619" s="33" t="str">
        <f>IFERROR(INDEX(tbl_requisitos_emb[Tema],MATCH(B1619,tbl_requisitos_emb[ID_Req],0)),"")</f>
        <v>Bisfenol A e bisfenóis perigosos</v>
      </c>
      <c r="D1619" s="33" t="str">
        <f>IFERROR(INDEX(tbl_recyclass[Segmento],MATCH(A1619,tbl_recyclass[ProductId],0)),"")</f>
        <v>Cosmética e higiene pessoal</v>
      </c>
      <c r="E1619" s="26" t="s">
        <v>904</v>
      </c>
      <c r="F1619" s="26" t="s">
        <v>1450</v>
      </c>
      <c r="G1619" s="26" t="s">
        <v>1143</v>
      </c>
      <c r="H1619" s="33" t="str">
        <f>IF(E1619="Não","Não aplicável",IFERROR(IF(B1619="EU-ENV-002",IF(INDEX(tbl_recyclass[Conforme_PPWR_2030],MATCH(A1619,tbl_recyclass[ProductId],0))="Sim","Conforme (autoavaliação)",IF(INDEX(tbl_recyclass[Conforme_PPWR_2030],MATCH(A1619,tbl_recyclass[ProductId],0))="Não","Não conforme em 2030","Isento até 2035")),IF(B1619="EU-ENV-003",IF(INDEX(tbl_recyclass[Conforme_Art7_2030],MATCH(A1619,tbl_recyclass[ProductId],0))="Sim","Conforme (meta 2030)",IF(INDEX(tbl_recyclass[Conforme_Art7_2030],MATCH(A1619,tbl_recyclass[ProductId],0))="Não","Lacuna face à meta 2030","Isento")),IF(B1619="EU-ENV-011",IF(INDEX(tbl_familias_ppwr[Metais_Pesados_Evidencia],MATCH(INDEX(tbl_recyclass[Familia_PPWR],MATCH(A1619,tbl_recyclass[ProductId],0)),tbl_familias_ppwr[ID_Familia],0))="Em falta","Lacuna","Conforme"),IF(B1619="EU-ENV-013",IF(INDEX(tbl_familias_ppwr[Declaracao_UE],MATCH(INDEX(tbl_recyclass[Familia_PPWR],MATCH(A1619,tbl_recyclass[ProductId],0)),tbl_familias_ppwr[ID_Familia],0))="Sim","Conforme","Lacuna"),G1619)))),G1619))</f>
        <v>Não aplicável</v>
      </c>
      <c r="I1619" s="33" t="str">
        <f t="shared" si="25"/>
        <v>Não aplicável</v>
      </c>
      <c r="J1619" s="26"/>
    </row>
    <row r="1620" spans="1:10" ht="16.05" customHeight="1" x14ac:dyDescent="0.3">
      <c r="A1620" s="26" t="s">
        <v>783</v>
      </c>
      <c r="B1620" s="26" t="s">
        <v>1188</v>
      </c>
      <c r="C1620" s="33" t="str">
        <f>IFERROR(INDEX(tbl_requisitos_emb[Tema],MATCH(B1620,tbl_requisitos_emb[ID_Req],0)),"")</f>
        <v>Plásticos em contacto com alimentos</v>
      </c>
      <c r="D1620" s="33" t="str">
        <f>IFERROR(INDEX(tbl_recyclass[Segmento],MATCH(A1620,tbl_recyclass[ProductId],0)),"")</f>
        <v>Cosmética e higiene pessoal</v>
      </c>
      <c r="E1620" s="26" t="s">
        <v>904</v>
      </c>
      <c r="F1620" s="26" t="s">
        <v>1450</v>
      </c>
      <c r="G1620" s="26" t="s">
        <v>1143</v>
      </c>
      <c r="H1620" s="33" t="str">
        <f>IF(E1620="Não","Não aplicável",IFERROR(IF(B1620="EU-ENV-002",IF(INDEX(tbl_recyclass[Conforme_PPWR_2030],MATCH(A1620,tbl_recyclass[ProductId],0))="Sim","Conforme (autoavaliação)",IF(INDEX(tbl_recyclass[Conforme_PPWR_2030],MATCH(A1620,tbl_recyclass[ProductId],0))="Não","Não conforme em 2030","Isento até 2035")),IF(B1620="EU-ENV-003",IF(INDEX(tbl_recyclass[Conforme_Art7_2030],MATCH(A1620,tbl_recyclass[ProductId],0))="Sim","Conforme (meta 2030)",IF(INDEX(tbl_recyclass[Conforme_Art7_2030],MATCH(A1620,tbl_recyclass[ProductId],0))="Não","Lacuna face à meta 2030","Isento")),IF(B1620="EU-ENV-011",IF(INDEX(tbl_familias_ppwr[Metais_Pesados_Evidencia],MATCH(INDEX(tbl_recyclass[Familia_PPWR],MATCH(A1620,tbl_recyclass[ProductId],0)),tbl_familias_ppwr[ID_Familia],0))="Em falta","Lacuna","Conforme"),IF(B1620="EU-ENV-013",IF(INDEX(tbl_familias_ppwr[Declaracao_UE],MATCH(INDEX(tbl_recyclass[Familia_PPWR],MATCH(A1620,tbl_recyclass[ProductId],0)),tbl_familias_ppwr[ID_Familia],0))="Sim","Conforme","Lacuna"),G1620)))),G1620))</f>
        <v>Não aplicável</v>
      </c>
      <c r="I1620" s="33" t="str">
        <f t="shared" si="25"/>
        <v>Não aplicável</v>
      </c>
      <c r="J1620" s="26"/>
    </row>
    <row r="1621" spans="1:10" ht="16.05" customHeight="1" x14ac:dyDescent="0.3">
      <c r="A1621" s="26" t="s">
        <v>783</v>
      </c>
      <c r="B1621" s="26" t="s">
        <v>1212</v>
      </c>
      <c r="C1621" s="33" t="str">
        <f>IFERROR(INDEX(tbl_requisitos_emb[Tema],MATCH(B1621,tbl_requisitos_emb[ID_Req],0)),"")</f>
        <v>Segurança do produto cosmético</v>
      </c>
      <c r="D1621" s="33" t="str">
        <f>IFERROR(INDEX(tbl_recyclass[Segmento],MATCH(A1621,tbl_recyclass[ProductId],0)),"")</f>
        <v>Cosmética e higiene pessoal</v>
      </c>
      <c r="E1621" s="26" t="s">
        <v>901</v>
      </c>
      <c r="F1621" s="26" t="s">
        <v>1449</v>
      </c>
      <c r="G1621" s="26" t="s">
        <v>1033</v>
      </c>
      <c r="H1621" s="33" t="str">
        <f>IF(E1621="Não","Não aplicável",IFERROR(IF(B1621="EU-ENV-002",IF(INDEX(tbl_recyclass[Conforme_PPWR_2030],MATCH(A1621,tbl_recyclass[ProductId],0))="Sim","Conforme (autoavaliação)",IF(INDEX(tbl_recyclass[Conforme_PPWR_2030],MATCH(A1621,tbl_recyclass[ProductId],0))="Não","Não conforme em 2030","Isento até 2035")),IF(B1621="EU-ENV-003",IF(INDEX(tbl_recyclass[Conforme_Art7_2030],MATCH(A1621,tbl_recyclass[ProductId],0))="Sim","Conforme (meta 2030)",IF(INDEX(tbl_recyclass[Conforme_Art7_2030],MATCH(A1621,tbl_recyclass[ProductId],0))="Não","Lacuna face à meta 2030","Isento")),IF(B1621="EU-ENV-011",IF(INDEX(tbl_familias_ppwr[Metais_Pesados_Evidencia],MATCH(INDEX(tbl_recyclass[Familia_PPWR],MATCH(A1621,tbl_recyclass[ProductId],0)),tbl_familias_ppwr[ID_Familia],0))="Em falta","Lacuna","Conforme"),IF(B1621="EU-ENV-013",IF(INDEX(tbl_familias_ppwr[Declaracao_UE],MATCH(INDEX(tbl_recyclass[Familia_PPWR],MATCH(A1621,tbl_recyclass[ProductId],0)),tbl_familias_ppwr[ID_Familia],0))="Sim","Conforme","Lacuna"),G1621)))),G1621))</f>
        <v>Conforme</v>
      </c>
      <c r="I1621" s="33" t="str">
        <f t="shared" si="25"/>
        <v>Conforme</v>
      </c>
      <c r="J1621" s="26" t="s">
        <v>1221</v>
      </c>
    </row>
    <row r="1622" spans="1:10" ht="16.05" customHeight="1" x14ac:dyDescent="0.3">
      <c r="A1622" s="26" t="s">
        <v>783</v>
      </c>
      <c r="B1622" s="26" t="s">
        <v>1224</v>
      </c>
      <c r="C1622" s="33" t="str">
        <f>IFERROR(INDEX(tbl_requisitos_emb[Tema],MATCH(B1622,tbl_requisitos_emb[ID_Req],0)),"")</f>
        <v>Materiais e impurezas</v>
      </c>
      <c r="D1622" s="33" t="str">
        <f>IFERROR(INDEX(tbl_recyclass[Segmento],MATCH(A1622,tbl_recyclass[ProductId],0)),"")</f>
        <v>Cosmética e higiene pessoal</v>
      </c>
      <c r="E1622" s="26" t="s">
        <v>901</v>
      </c>
      <c r="F1622" s="26" t="s">
        <v>1449</v>
      </c>
      <c r="G1622" s="26" t="s">
        <v>978</v>
      </c>
      <c r="H1622" s="33" t="str">
        <f>IF(E1622="Não","Não aplicável",IFERROR(IF(B1622="EU-ENV-002",IF(INDEX(tbl_recyclass[Conforme_PPWR_2030],MATCH(A1622,tbl_recyclass[ProductId],0))="Sim","Conforme (autoavaliação)",IF(INDEX(tbl_recyclass[Conforme_PPWR_2030],MATCH(A1622,tbl_recyclass[ProductId],0))="Não","Não conforme em 2030","Isento até 2035")),IF(B1622="EU-ENV-003",IF(INDEX(tbl_recyclass[Conforme_Art7_2030],MATCH(A1622,tbl_recyclass[ProductId],0))="Sim","Conforme (meta 2030)",IF(INDEX(tbl_recyclass[Conforme_Art7_2030],MATCH(A1622,tbl_recyclass[ProductId],0))="Não","Lacuna face à meta 2030","Isento")),IF(B1622="EU-ENV-011",IF(INDEX(tbl_familias_ppwr[Metais_Pesados_Evidencia],MATCH(INDEX(tbl_recyclass[Familia_PPWR],MATCH(A1622,tbl_recyclass[ProductId],0)),tbl_familias_ppwr[ID_Familia],0))="Em falta","Lacuna","Conforme"),IF(B1622="EU-ENV-013",IF(INDEX(tbl_familias_ppwr[Declaracao_UE],MATCH(INDEX(tbl_recyclass[Familia_PPWR],MATCH(A1622,tbl_recyclass[ProductId],0)),tbl_familias_ppwr[ID_Familia],0))="Sim","Conforme","Lacuna"),G1622)))),G1622))</f>
        <v>Parcial</v>
      </c>
      <c r="I1622" s="33" t="str">
        <f t="shared" si="25"/>
        <v>Parcial</v>
      </c>
      <c r="J1622" s="26" t="s">
        <v>1228</v>
      </c>
    </row>
    <row r="1623" spans="1:10" ht="16.05" customHeight="1" x14ac:dyDescent="0.3">
      <c r="A1623" s="26" t="s">
        <v>783</v>
      </c>
      <c r="B1623" s="26" t="s">
        <v>1240</v>
      </c>
      <c r="C1623" s="33" t="str">
        <f>IFERROR(INDEX(tbl_requisitos_emb[Tema],MATCH(B1623,tbl_requisitos_emb[ID_Req],0)),"")</f>
        <v>Compatibilidade embalagem–produto</v>
      </c>
      <c r="D1623" s="33" t="str">
        <f>IFERROR(INDEX(tbl_recyclass[Segmento],MATCH(A1623,tbl_recyclass[ProductId],0)),"")</f>
        <v>Cosmética e higiene pessoal</v>
      </c>
      <c r="E1623" s="26" t="s">
        <v>901</v>
      </c>
      <c r="F1623" s="26" t="s">
        <v>1449</v>
      </c>
      <c r="G1623" s="26" t="s">
        <v>1033</v>
      </c>
      <c r="H1623" s="33" t="str">
        <f>IF(E1623="Não","Não aplicável",IFERROR(IF(B1623="EU-ENV-002",IF(INDEX(tbl_recyclass[Conforme_PPWR_2030],MATCH(A1623,tbl_recyclass[ProductId],0))="Sim","Conforme (autoavaliação)",IF(INDEX(tbl_recyclass[Conforme_PPWR_2030],MATCH(A1623,tbl_recyclass[ProductId],0))="Não","Não conforme em 2030","Isento até 2035")),IF(B1623="EU-ENV-003",IF(INDEX(tbl_recyclass[Conforme_Art7_2030],MATCH(A1623,tbl_recyclass[ProductId],0))="Sim","Conforme (meta 2030)",IF(INDEX(tbl_recyclass[Conforme_Art7_2030],MATCH(A1623,tbl_recyclass[ProductId],0))="Não","Lacuna face à meta 2030","Isento")),IF(B1623="EU-ENV-011",IF(INDEX(tbl_familias_ppwr[Metais_Pesados_Evidencia],MATCH(INDEX(tbl_recyclass[Familia_PPWR],MATCH(A1623,tbl_recyclass[ProductId],0)),tbl_familias_ppwr[ID_Familia],0))="Em falta","Lacuna","Conforme"),IF(B1623="EU-ENV-013",IF(INDEX(tbl_familias_ppwr[Declaracao_UE],MATCH(INDEX(tbl_recyclass[Familia_PPWR],MATCH(A1623,tbl_recyclass[ProductId],0)),tbl_familias_ppwr[ID_Familia],0))="Sim","Conforme","Lacuna"),G1623)))),G1623))</f>
        <v>Conforme</v>
      </c>
      <c r="I1623" s="33" t="str">
        <f t="shared" si="25"/>
        <v>Conforme</v>
      </c>
      <c r="J1623" s="26" t="s">
        <v>1244</v>
      </c>
    </row>
    <row r="1624" spans="1:10" ht="16.05" customHeight="1" x14ac:dyDescent="0.3">
      <c r="A1624" s="26" t="s">
        <v>783</v>
      </c>
      <c r="B1624" s="26" t="s">
        <v>1252</v>
      </c>
      <c r="C1624" s="33" t="str">
        <f>IFERROR(INDEX(tbl_requisitos_emb[Tema],MATCH(B1624,tbl_requisitos_emb[ID_Req],0)),"")</f>
        <v>Medicamentos de uso humano</v>
      </c>
      <c r="D1624" s="33" t="str">
        <f>IFERROR(INDEX(tbl_recyclass[Segmento],MATCH(A1624,tbl_recyclass[ProductId],0)),"")</f>
        <v>Cosmética e higiene pessoal</v>
      </c>
      <c r="E1624" s="26" t="s">
        <v>904</v>
      </c>
      <c r="F1624" s="26" t="s">
        <v>1451</v>
      </c>
      <c r="G1624" s="26" t="s">
        <v>1143</v>
      </c>
      <c r="H1624" s="33" t="str">
        <f>IF(E1624="Não","Não aplicável",IFERROR(IF(B1624="EU-ENV-002",IF(INDEX(tbl_recyclass[Conforme_PPWR_2030],MATCH(A1624,tbl_recyclass[ProductId],0))="Sim","Conforme (autoavaliação)",IF(INDEX(tbl_recyclass[Conforme_PPWR_2030],MATCH(A1624,tbl_recyclass[ProductId],0))="Não","Não conforme em 2030","Isento até 2035")),IF(B1624="EU-ENV-003",IF(INDEX(tbl_recyclass[Conforme_Art7_2030],MATCH(A1624,tbl_recyclass[ProductId],0))="Sim","Conforme (meta 2030)",IF(INDEX(tbl_recyclass[Conforme_Art7_2030],MATCH(A1624,tbl_recyclass[ProductId],0))="Não","Lacuna face à meta 2030","Isento")),IF(B1624="EU-ENV-011",IF(INDEX(tbl_familias_ppwr[Metais_Pesados_Evidencia],MATCH(INDEX(tbl_recyclass[Familia_PPWR],MATCH(A1624,tbl_recyclass[ProductId],0)),tbl_familias_ppwr[ID_Familia],0))="Em falta","Lacuna","Conforme"),IF(B1624="EU-ENV-013",IF(INDEX(tbl_familias_ppwr[Declaracao_UE],MATCH(INDEX(tbl_recyclass[Familia_PPWR],MATCH(A1624,tbl_recyclass[ProductId],0)),tbl_familias_ppwr[ID_Familia],0))="Sim","Conforme","Lacuna"),G1624)))),G1624))</f>
        <v>Não aplicável</v>
      </c>
      <c r="I1624" s="33" t="str">
        <f t="shared" si="25"/>
        <v>Não aplicável</v>
      </c>
      <c r="J1624" s="26"/>
    </row>
    <row r="1625" spans="1:10" ht="16.05" customHeight="1" x14ac:dyDescent="0.3">
      <c r="A1625" s="26" t="s">
        <v>783</v>
      </c>
      <c r="B1625" s="26" t="s">
        <v>1268</v>
      </c>
      <c r="C1625" s="33" t="str">
        <f>IFERROR(INDEX(tbl_requisitos_emb[Tema],MATCH(B1625,tbl_requisitos_emb[ID_Req],0)),"")</f>
        <v>Dispositivos de segurança</v>
      </c>
      <c r="D1625" s="33" t="str">
        <f>IFERROR(INDEX(tbl_recyclass[Segmento],MATCH(A1625,tbl_recyclass[ProductId],0)),"")</f>
        <v>Cosmética e higiene pessoal</v>
      </c>
      <c r="E1625" s="26" t="s">
        <v>904</v>
      </c>
      <c r="F1625" s="26" t="s">
        <v>1451</v>
      </c>
      <c r="G1625" s="26" t="s">
        <v>1143</v>
      </c>
      <c r="H1625" s="33" t="str">
        <f>IF(E1625="Não","Não aplicável",IFERROR(IF(B1625="EU-ENV-002",IF(INDEX(tbl_recyclass[Conforme_PPWR_2030],MATCH(A1625,tbl_recyclass[ProductId],0))="Sim","Conforme (autoavaliação)",IF(INDEX(tbl_recyclass[Conforme_PPWR_2030],MATCH(A1625,tbl_recyclass[ProductId],0))="Não","Não conforme em 2030","Isento até 2035")),IF(B1625="EU-ENV-003",IF(INDEX(tbl_recyclass[Conforme_Art7_2030],MATCH(A1625,tbl_recyclass[ProductId],0))="Sim","Conforme (meta 2030)",IF(INDEX(tbl_recyclass[Conforme_Art7_2030],MATCH(A1625,tbl_recyclass[ProductId],0))="Não","Lacuna face à meta 2030","Isento")),IF(B1625="EU-ENV-011",IF(INDEX(tbl_familias_ppwr[Metais_Pesados_Evidencia],MATCH(INDEX(tbl_recyclass[Familia_PPWR],MATCH(A1625,tbl_recyclass[ProductId],0)),tbl_familias_ppwr[ID_Familia],0))="Em falta","Lacuna","Conforme"),IF(B1625="EU-ENV-013",IF(INDEX(tbl_familias_ppwr[Declaracao_UE],MATCH(INDEX(tbl_recyclass[Familia_PPWR],MATCH(A1625,tbl_recyclass[ProductId],0)),tbl_familias_ppwr[ID_Familia],0))="Sim","Conforme","Lacuna"),G1625)))),G1625))</f>
        <v>Não aplicável</v>
      </c>
      <c r="I1625" s="33" t="str">
        <f t="shared" si="25"/>
        <v>Não aplicável</v>
      </c>
      <c r="J1625" s="26"/>
    </row>
    <row r="1626" spans="1:10" ht="16.05" customHeight="1" x14ac:dyDescent="0.3">
      <c r="A1626" s="26" t="s">
        <v>783</v>
      </c>
      <c r="B1626" s="26" t="s">
        <v>1285</v>
      </c>
      <c r="C1626" s="33" t="str">
        <f>IFERROR(INDEX(tbl_requisitos_emb[Tema],MATCH(B1626,tbl_requisitos_emb[ID_Req],0)),"")</f>
        <v>Materiais plásticos de acondicionamento primário</v>
      </c>
      <c r="D1626" s="33" t="str">
        <f>IFERROR(INDEX(tbl_recyclass[Segmento],MATCH(A1626,tbl_recyclass[ProductId],0)),"")</f>
        <v>Cosmética e higiene pessoal</v>
      </c>
      <c r="E1626" s="26" t="s">
        <v>904</v>
      </c>
      <c r="F1626" s="26" t="s">
        <v>1451</v>
      </c>
      <c r="G1626" s="26" t="s">
        <v>1143</v>
      </c>
      <c r="H1626" s="33" t="str">
        <f>IF(E1626="Não","Não aplicável",IFERROR(IF(B1626="EU-ENV-002",IF(INDEX(tbl_recyclass[Conforme_PPWR_2030],MATCH(A1626,tbl_recyclass[ProductId],0))="Sim","Conforme (autoavaliação)",IF(INDEX(tbl_recyclass[Conforme_PPWR_2030],MATCH(A1626,tbl_recyclass[ProductId],0))="Não","Não conforme em 2030","Isento até 2035")),IF(B1626="EU-ENV-003",IF(INDEX(tbl_recyclass[Conforme_Art7_2030],MATCH(A1626,tbl_recyclass[ProductId],0))="Sim","Conforme (meta 2030)",IF(INDEX(tbl_recyclass[Conforme_Art7_2030],MATCH(A1626,tbl_recyclass[ProductId],0))="Não","Lacuna face à meta 2030","Isento")),IF(B1626="EU-ENV-011",IF(INDEX(tbl_familias_ppwr[Metais_Pesados_Evidencia],MATCH(INDEX(tbl_recyclass[Familia_PPWR],MATCH(A1626,tbl_recyclass[ProductId],0)),tbl_familias_ppwr[ID_Familia],0))="Em falta","Lacuna","Conforme"),IF(B1626="EU-ENV-013",IF(INDEX(tbl_familias_ppwr[Declaracao_UE],MATCH(INDEX(tbl_recyclass[Familia_PPWR],MATCH(A1626,tbl_recyclass[ProductId],0)),tbl_familias_ppwr[ID_Familia],0))="Sim","Conforme","Lacuna"),G1626)))),G1626))</f>
        <v>Não aplicável</v>
      </c>
      <c r="I1626" s="33" t="str">
        <f t="shared" si="25"/>
        <v>Não aplicável</v>
      </c>
      <c r="J1626" s="26"/>
    </row>
    <row r="1627" spans="1:10" ht="16.05" customHeight="1" x14ac:dyDescent="0.3">
      <c r="A1627" s="26" t="s">
        <v>783</v>
      </c>
      <c r="B1627" s="26" t="s">
        <v>1293</v>
      </c>
      <c r="C1627" s="33" t="str">
        <f>IFERROR(INDEX(tbl_requisitos_emb[Tema],MATCH(B1627,tbl_requisitos_emb[ID_Req],0)),"")</f>
        <v>Isenções PPWR</v>
      </c>
      <c r="D1627" s="33" t="str">
        <f>IFERROR(INDEX(tbl_recyclass[Segmento],MATCH(A1627,tbl_recyclass[ProductId],0)),"")</f>
        <v>Cosmética e higiene pessoal</v>
      </c>
      <c r="E1627" s="26" t="s">
        <v>904</v>
      </c>
      <c r="F1627" s="26" t="s">
        <v>1451</v>
      </c>
      <c r="G1627" s="26" t="s">
        <v>1143</v>
      </c>
      <c r="H1627" s="33" t="str">
        <f>IF(E1627="Não","Não aplicável",IFERROR(IF(B1627="EU-ENV-002",IF(INDEX(tbl_recyclass[Conforme_PPWR_2030],MATCH(A1627,tbl_recyclass[ProductId],0))="Sim","Conforme (autoavaliação)",IF(INDEX(tbl_recyclass[Conforme_PPWR_2030],MATCH(A1627,tbl_recyclass[ProductId],0))="Não","Não conforme em 2030","Isento até 2035")),IF(B1627="EU-ENV-003",IF(INDEX(tbl_recyclass[Conforme_Art7_2030],MATCH(A1627,tbl_recyclass[ProductId],0))="Sim","Conforme (meta 2030)",IF(INDEX(tbl_recyclass[Conforme_Art7_2030],MATCH(A1627,tbl_recyclass[ProductId],0))="Não","Lacuna face à meta 2030","Isento")),IF(B1627="EU-ENV-011",IF(INDEX(tbl_familias_ppwr[Metais_Pesados_Evidencia],MATCH(INDEX(tbl_recyclass[Familia_PPWR],MATCH(A1627,tbl_recyclass[ProductId],0)),tbl_familias_ppwr[ID_Familia],0))="Em falta","Lacuna","Conforme"),IF(B1627="EU-ENV-013",IF(INDEX(tbl_familias_ppwr[Declaracao_UE],MATCH(INDEX(tbl_recyclass[Familia_PPWR],MATCH(A1627,tbl_recyclass[ProductId],0)),tbl_familias_ppwr[ID_Familia],0))="Sim","Conforme","Lacuna"),G1627)))),G1627))</f>
        <v>Não aplicável</v>
      </c>
      <c r="I1627" s="33" t="str">
        <f t="shared" si="25"/>
        <v>Não aplicável</v>
      </c>
      <c r="J1627" s="26"/>
    </row>
    <row r="1628" spans="1:10" ht="16.05" customHeight="1" x14ac:dyDescent="0.3">
      <c r="A1628" s="26" t="s">
        <v>783</v>
      </c>
      <c r="B1628" s="26" t="s">
        <v>1357</v>
      </c>
      <c r="C1628" s="33" t="str">
        <f>IFERROR(INDEX(tbl_requisitos_emb[Tema],MATCH(B1628,tbl_requisitos_emb[ID_Req],0)),"")</f>
        <v>Identificação de plásticos</v>
      </c>
      <c r="D1628" s="33" t="str">
        <f>IFERROR(INDEX(tbl_recyclass[Segmento],MATCH(A1628,tbl_recyclass[ProductId],0)),"")</f>
        <v>Cosmética e higiene pessoal</v>
      </c>
      <c r="E1628" s="26" t="s">
        <v>901</v>
      </c>
      <c r="F1628" s="26" t="s">
        <v>1449</v>
      </c>
      <c r="G1628" s="26" t="s">
        <v>978</v>
      </c>
      <c r="H1628" s="33" t="str">
        <f>IF(E1628="Não","Não aplicável",IFERROR(IF(B1628="EU-ENV-002",IF(INDEX(tbl_recyclass[Conforme_PPWR_2030],MATCH(A1628,tbl_recyclass[ProductId],0))="Sim","Conforme (autoavaliação)",IF(INDEX(tbl_recyclass[Conforme_PPWR_2030],MATCH(A1628,tbl_recyclass[ProductId],0))="Não","Não conforme em 2030","Isento até 2035")),IF(B1628="EU-ENV-003",IF(INDEX(tbl_recyclass[Conforme_Art7_2030],MATCH(A1628,tbl_recyclass[ProductId],0))="Sim","Conforme (meta 2030)",IF(INDEX(tbl_recyclass[Conforme_Art7_2030],MATCH(A1628,tbl_recyclass[ProductId],0))="Não","Lacuna face à meta 2030","Isento")),IF(B1628="EU-ENV-011",IF(INDEX(tbl_familias_ppwr[Metais_Pesados_Evidencia],MATCH(INDEX(tbl_recyclass[Familia_PPWR],MATCH(A1628,tbl_recyclass[ProductId],0)),tbl_familias_ppwr[ID_Familia],0))="Em falta","Lacuna","Conforme"),IF(B1628="EU-ENV-013",IF(INDEX(tbl_familias_ppwr[Declaracao_UE],MATCH(INDEX(tbl_recyclass[Familia_PPWR],MATCH(A1628,tbl_recyclass[ProductId],0)),tbl_familias_ppwr[ID_Familia],0))="Sim","Conforme","Lacuna"),G1628)))),G1628))</f>
        <v>Parcial</v>
      </c>
      <c r="I1628" s="33" t="str">
        <f t="shared" si="25"/>
        <v>Parcial</v>
      </c>
      <c r="J1628" s="26" t="s">
        <v>1362</v>
      </c>
    </row>
    <row r="1629" spans="1:10" ht="16.05" customHeight="1" x14ac:dyDescent="0.3">
      <c r="A1629" s="26" t="s">
        <v>783</v>
      </c>
      <c r="B1629" s="26" t="s">
        <v>1385</v>
      </c>
      <c r="C1629" s="33" t="str">
        <f>IFERROR(INDEX(tbl_requisitos_emb[Tema],MATCH(B1629,tbl_requisitos_emb[ID_Req],0)),"")</f>
        <v>Reciclabilidade (voluntária)</v>
      </c>
      <c r="D1629" s="33" t="str">
        <f>IFERROR(INDEX(tbl_recyclass[Segmento],MATCH(A1629,tbl_recyclass[ProductId],0)),"")</f>
        <v>Cosmética e higiene pessoal</v>
      </c>
      <c r="E1629" s="26" t="s">
        <v>901</v>
      </c>
      <c r="F1629" s="26" t="s">
        <v>1449</v>
      </c>
      <c r="G1629" s="26" t="s">
        <v>978</v>
      </c>
      <c r="H1629" s="33" t="str">
        <f>IF(E1629="Não","Não aplicável",IFERROR(IF(B1629="EU-ENV-002",IF(INDEX(tbl_recyclass[Conforme_PPWR_2030],MATCH(A1629,tbl_recyclass[ProductId],0))="Sim","Conforme (autoavaliação)",IF(INDEX(tbl_recyclass[Conforme_PPWR_2030],MATCH(A1629,tbl_recyclass[ProductId],0))="Não","Não conforme em 2030","Isento até 2035")),IF(B1629="EU-ENV-003",IF(INDEX(tbl_recyclass[Conforme_Art7_2030],MATCH(A1629,tbl_recyclass[ProductId],0))="Sim","Conforme (meta 2030)",IF(INDEX(tbl_recyclass[Conforme_Art7_2030],MATCH(A1629,tbl_recyclass[ProductId],0))="Não","Lacuna face à meta 2030","Isento")),IF(B1629="EU-ENV-011",IF(INDEX(tbl_familias_ppwr[Metais_Pesados_Evidencia],MATCH(INDEX(tbl_recyclass[Familia_PPWR],MATCH(A1629,tbl_recyclass[ProductId],0)),tbl_familias_ppwr[ID_Familia],0))="Em falta","Lacuna","Conforme"),IF(B1629="EU-ENV-013",IF(INDEX(tbl_familias_ppwr[Declaracao_UE],MATCH(INDEX(tbl_recyclass[Familia_PPWR],MATCH(A1629,tbl_recyclass[ProductId],0)),tbl_familias_ppwr[ID_Familia],0))="Sim","Conforme","Lacuna"),G1629)))),G1629))</f>
        <v>Parcial</v>
      </c>
      <c r="I1629" s="33" t="str">
        <f t="shared" si="25"/>
        <v>Parcial</v>
      </c>
      <c r="J1629" s="26" t="s">
        <v>1389</v>
      </c>
    </row>
    <row r="1630" spans="1:10" ht="16.05" customHeight="1" x14ac:dyDescent="0.3">
      <c r="A1630" s="26" t="s">
        <v>785</v>
      </c>
      <c r="B1630" s="26" t="s">
        <v>984</v>
      </c>
      <c r="C1630" s="33" t="str">
        <f>IFERROR(INDEX(tbl_requisitos_emb[Tema],MATCH(B1630,tbl_requisitos_emb[ID_Req],0)),"")</f>
        <v>Conceção para reciclagem</v>
      </c>
      <c r="D1630" s="33" t="str">
        <f>IFERROR(INDEX(tbl_recyclass[Segmento],MATCH(A1630,tbl_recyclass[ProductId],0)),"")</f>
        <v>Cosmética e higiene pessoal</v>
      </c>
      <c r="E1630" s="26" t="s">
        <v>901</v>
      </c>
      <c r="F1630" s="26" t="s">
        <v>1449</v>
      </c>
      <c r="G1630" s="26" t="s">
        <v>978</v>
      </c>
      <c r="H1630" s="33" t="str">
        <f>IF(E1630="Não","Não aplicável",IFERROR(IF(B1630="EU-ENV-002",IF(INDEX(tbl_recyclass[Conforme_PPWR_2030],MATCH(A1630,tbl_recyclass[ProductId],0))="Sim","Conforme (autoavaliação)",IF(INDEX(tbl_recyclass[Conforme_PPWR_2030],MATCH(A1630,tbl_recyclass[ProductId],0))="Não","Não conforme em 2030","Isento até 2035")),IF(B1630="EU-ENV-003",IF(INDEX(tbl_recyclass[Conforme_Art7_2030],MATCH(A1630,tbl_recyclass[ProductId],0))="Sim","Conforme (meta 2030)",IF(INDEX(tbl_recyclass[Conforme_Art7_2030],MATCH(A1630,tbl_recyclass[ProductId],0))="Não","Lacuna face à meta 2030","Isento")),IF(B1630="EU-ENV-011",IF(INDEX(tbl_familias_ppwr[Metais_Pesados_Evidencia],MATCH(INDEX(tbl_recyclass[Familia_PPWR],MATCH(A1630,tbl_recyclass[ProductId],0)),tbl_familias_ppwr[ID_Familia],0))="Em falta","Lacuna","Conforme"),IF(B1630="EU-ENV-013",IF(INDEX(tbl_familias_ppwr[Declaracao_UE],MATCH(INDEX(tbl_recyclass[Familia_PPWR],MATCH(A1630,tbl_recyclass[ProductId],0)),tbl_familias_ppwr[ID_Familia],0))="Sim","Conforme","Lacuna"),G1630)))),G1630))</f>
        <v>Conforme (autoavaliação)</v>
      </c>
      <c r="I1630" s="33" t="str">
        <f t="shared" si="25"/>
        <v>Conforme</v>
      </c>
      <c r="J1630" s="26" t="s">
        <v>991</v>
      </c>
    </row>
    <row r="1631" spans="1:10" ht="16.05" customHeight="1" x14ac:dyDescent="0.3">
      <c r="A1631" s="26" t="s">
        <v>785</v>
      </c>
      <c r="B1631" s="26" t="s">
        <v>997</v>
      </c>
      <c r="C1631" s="33" t="str">
        <f>IFERROR(INDEX(tbl_requisitos_emb[Tema],MATCH(B1631,tbl_requisitos_emb[ID_Req],0)),"")</f>
        <v>Conteúdo reciclado</v>
      </c>
      <c r="D1631" s="33" t="str">
        <f>IFERROR(INDEX(tbl_recyclass[Segmento],MATCH(A1631,tbl_recyclass[ProductId],0)),"")</f>
        <v>Cosmética e higiene pessoal</v>
      </c>
      <c r="E1631" s="26" t="s">
        <v>901</v>
      </c>
      <c r="F1631" s="26" t="s">
        <v>1449</v>
      </c>
      <c r="G1631" s="26" t="s">
        <v>978</v>
      </c>
      <c r="H1631" s="33" t="str">
        <f>IF(E1631="Não","Não aplicável",IFERROR(IF(B1631="EU-ENV-002",IF(INDEX(tbl_recyclass[Conforme_PPWR_2030],MATCH(A1631,tbl_recyclass[ProductId],0))="Sim","Conforme (autoavaliação)",IF(INDEX(tbl_recyclass[Conforme_PPWR_2030],MATCH(A1631,tbl_recyclass[ProductId],0))="Não","Não conforme em 2030","Isento até 2035")),IF(B1631="EU-ENV-003",IF(INDEX(tbl_recyclass[Conforme_Art7_2030],MATCH(A1631,tbl_recyclass[ProductId],0))="Sim","Conforme (meta 2030)",IF(INDEX(tbl_recyclass[Conforme_Art7_2030],MATCH(A1631,tbl_recyclass[ProductId],0))="Não","Lacuna face à meta 2030","Isento")),IF(B1631="EU-ENV-011",IF(INDEX(tbl_familias_ppwr[Metais_Pesados_Evidencia],MATCH(INDEX(tbl_recyclass[Familia_PPWR],MATCH(A1631,tbl_recyclass[ProductId],0)),tbl_familias_ppwr[ID_Familia],0))="Em falta","Lacuna","Conforme"),IF(B1631="EU-ENV-013",IF(INDEX(tbl_familias_ppwr[Declaracao_UE],MATCH(INDEX(tbl_recyclass[Familia_PPWR],MATCH(A1631,tbl_recyclass[ProductId],0)),tbl_familias_ppwr[ID_Familia],0))="Sim","Conforme","Lacuna"),G1631)))),G1631))</f>
        <v>Lacuna face à meta 2030</v>
      </c>
      <c r="I1631" s="33" t="str">
        <f t="shared" si="25"/>
        <v>Lacuna</v>
      </c>
      <c r="J1631" s="26" t="s">
        <v>1001</v>
      </c>
    </row>
    <row r="1632" spans="1:10" ht="16.05" customHeight="1" x14ac:dyDescent="0.3">
      <c r="A1632" s="26" t="s">
        <v>785</v>
      </c>
      <c r="B1632" s="26" t="s">
        <v>1007</v>
      </c>
      <c r="C1632" s="33" t="str">
        <f>IFERROR(INDEX(tbl_requisitos_emb[Tema],MATCH(B1632,tbl_requisitos_emb[ID_Req],0)),"")</f>
        <v>Minimização</v>
      </c>
      <c r="D1632" s="33" t="str">
        <f>IFERROR(INDEX(tbl_recyclass[Segmento],MATCH(A1632,tbl_recyclass[ProductId],0)),"")</f>
        <v>Cosmética e higiene pessoal</v>
      </c>
      <c r="E1632" s="26" t="s">
        <v>901</v>
      </c>
      <c r="F1632" s="26" t="s">
        <v>1449</v>
      </c>
      <c r="G1632" s="26" t="s">
        <v>978</v>
      </c>
      <c r="H1632" s="33" t="str">
        <f>IF(E1632="Não","Não aplicável",IFERROR(IF(B1632="EU-ENV-002",IF(INDEX(tbl_recyclass[Conforme_PPWR_2030],MATCH(A1632,tbl_recyclass[ProductId],0))="Sim","Conforme (autoavaliação)",IF(INDEX(tbl_recyclass[Conforme_PPWR_2030],MATCH(A1632,tbl_recyclass[ProductId],0))="Não","Não conforme em 2030","Isento até 2035")),IF(B1632="EU-ENV-003",IF(INDEX(tbl_recyclass[Conforme_Art7_2030],MATCH(A1632,tbl_recyclass[ProductId],0))="Sim","Conforme (meta 2030)",IF(INDEX(tbl_recyclass[Conforme_Art7_2030],MATCH(A1632,tbl_recyclass[ProductId],0))="Não","Lacuna face à meta 2030","Isento")),IF(B1632="EU-ENV-011",IF(INDEX(tbl_familias_ppwr[Metais_Pesados_Evidencia],MATCH(INDEX(tbl_recyclass[Familia_PPWR],MATCH(A1632,tbl_recyclass[ProductId],0)),tbl_familias_ppwr[ID_Familia],0))="Em falta","Lacuna","Conforme"),IF(B1632="EU-ENV-013",IF(INDEX(tbl_familias_ppwr[Declaracao_UE],MATCH(INDEX(tbl_recyclass[Familia_PPWR],MATCH(A1632,tbl_recyclass[ProductId],0)),tbl_familias_ppwr[ID_Familia],0))="Sim","Conforme","Lacuna"),G1632)))),G1632))</f>
        <v>Parcial</v>
      </c>
      <c r="I1632" s="33" t="str">
        <f t="shared" si="25"/>
        <v>Parcial</v>
      </c>
      <c r="J1632" s="26" t="s">
        <v>1012</v>
      </c>
    </row>
    <row r="1633" spans="1:10" ht="16.05" customHeight="1" x14ac:dyDescent="0.3">
      <c r="A1633" s="26" t="s">
        <v>785</v>
      </c>
      <c r="B1633" s="26" t="s">
        <v>1016</v>
      </c>
      <c r="C1633" s="33" t="str">
        <f>IFERROR(INDEX(tbl_requisitos_emb[Tema],MATCH(B1633,tbl_requisitos_emb[ID_Req],0)),"")</f>
        <v>Rotulagem</v>
      </c>
      <c r="D1633" s="33" t="str">
        <f>IFERROR(INDEX(tbl_recyclass[Segmento],MATCH(A1633,tbl_recyclass[ProductId],0)),"")</f>
        <v>Cosmética e higiene pessoal</v>
      </c>
      <c r="E1633" s="26" t="s">
        <v>901</v>
      </c>
      <c r="F1633" s="26" t="s">
        <v>1449</v>
      </c>
      <c r="G1633" s="26" t="s">
        <v>990</v>
      </c>
      <c r="H1633" s="33" t="str">
        <f>IF(E1633="Não","Não aplicável",IFERROR(IF(B1633="EU-ENV-002",IF(INDEX(tbl_recyclass[Conforme_PPWR_2030],MATCH(A1633,tbl_recyclass[ProductId],0))="Sim","Conforme (autoavaliação)",IF(INDEX(tbl_recyclass[Conforme_PPWR_2030],MATCH(A1633,tbl_recyclass[ProductId],0))="Não","Não conforme em 2030","Isento até 2035")),IF(B1633="EU-ENV-003",IF(INDEX(tbl_recyclass[Conforme_Art7_2030],MATCH(A1633,tbl_recyclass[ProductId],0))="Sim","Conforme (meta 2030)",IF(INDEX(tbl_recyclass[Conforme_Art7_2030],MATCH(A1633,tbl_recyclass[ProductId],0))="Não","Lacuna face à meta 2030","Isento")),IF(B1633="EU-ENV-011",IF(INDEX(tbl_familias_ppwr[Metais_Pesados_Evidencia],MATCH(INDEX(tbl_recyclass[Familia_PPWR],MATCH(A1633,tbl_recyclass[ProductId],0)),tbl_familias_ppwr[ID_Familia],0))="Em falta","Lacuna","Conforme"),IF(B1633="EU-ENV-013",IF(INDEX(tbl_familias_ppwr[Declaracao_UE],MATCH(INDEX(tbl_recyclass[Familia_PPWR],MATCH(A1633,tbl_recyclass[ProductId],0)),tbl_familias_ppwr[ID_Familia],0))="Sim","Conforme","Lacuna"),G1633)))),G1633))</f>
        <v>Futuro</v>
      </c>
      <c r="I1633" s="33" t="str">
        <f t="shared" si="25"/>
        <v>Futuro</v>
      </c>
      <c r="J1633" s="26" t="s">
        <v>1021</v>
      </c>
    </row>
    <row r="1634" spans="1:10" ht="16.05" customHeight="1" x14ac:dyDescent="0.3">
      <c r="A1634" s="26" t="s">
        <v>785</v>
      </c>
      <c r="B1634" s="26" t="s">
        <v>1038</v>
      </c>
      <c r="C1634" s="33" t="str">
        <f>IFERROR(INDEX(tbl_requisitos_emb[Tema],MATCH(B1634,tbl_requisitos_emb[ID_Req],0)),"")</f>
        <v>Plásticos de utilização única</v>
      </c>
      <c r="D1634" s="33" t="str">
        <f>IFERROR(INDEX(tbl_recyclass[Segmento],MATCH(A1634,tbl_recyclass[ProductId],0)),"")</f>
        <v>Cosmética e higiene pessoal</v>
      </c>
      <c r="E1634" s="26" t="s">
        <v>904</v>
      </c>
      <c r="F1634" s="26" t="s">
        <v>1450</v>
      </c>
      <c r="G1634" s="26" t="s">
        <v>1143</v>
      </c>
      <c r="H1634" s="33" t="str">
        <f>IF(E1634="Não","Não aplicável",IFERROR(IF(B1634="EU-ENV-002",IF(INDEX(tbl_recyclass[Conforme_PPWR_2030],MATCH(A1634,tbl_recyclass[ProductId],0))="Sim","Conforme (autoavaliação)",IF(INDEX(tbl_recyclass[Conforme_PPWR_2030],MATCH(A1634,tbl_recyclass[ProductId],0))="Não","Não conforme em 2030","Isento até 2035")),IF(B1634="EU-ENV-003",IF(INDEX(tbl_recyclass[Conforme_Art7_2030],MATCH(A1634,tbl_recyclass[ProductId],0))="Sim","Conforme (meta 2030)",IF(INDEX(tbl_recyclass[Conforme_Art7_2030],MATCH(A1634,tbl_recyclass[ProductId],0))="Não","Lacuna face à meta 2030","Isento")),IF(B1634="EU-ENV-011",IF(INDEX(tbl_familias_ppwr[Metais_Pesados_Evidencia],MATCH(INDEX(tbl_recyclass[Familia_PPWR],MATCH(A1634,tbl_recyclass[ProductId],0)),tbl_familias_ppwr[ID_Familia],0))="Em falta","Lacuna","Conforme"),IF(B1634="EU-ENV-013",IF(INDEX(tbl_familias_ppwr[Declaracao_UE],MATCH(INDEX(tbl_recyclass[Familia_PPWR],MATCH(A1634,tbl_recyclass[ProductId],0)),tbl_familias_ppwr[ID_Familia],0))="Sim","Conforme","Lacuna"),G1634)))),G1634))</f>
        <v>Não aplicável</v>
      </c>
      <c r="I1634" s="33" t="str">
        <f t="shared" si="25"/>
        <v>Não aplicável</v>
      </c>
      <c r="J1634" s="26"/>
    </row>
    <row r="1635" spans="1:10" ht="16.05" customHeight="1" x14ac:dyDescent="0.3">
      <c r="A1635" s="26" t="s">
        <v>785</v>
      </c>
      <c r="B1635" s="26" t="s">
        <v>1078</v>
      </c>
      <c r="C1635" s="33" t="str">
        <f>IFERROR(INDEX(tbl_requisitos_emb[Tema],MATCH(B1635,tbl_requisitos_emb[ID_Req],0)),"")</f>
        <v>Reciclado à escala</v>
      </c>
      <c r="D1635" s="33" t="str">
        <f>IFERROR(INDEX(tbl_recyclass[Segmento],MATCH(A1635,tbl_recyclass[ProductId],0)),"")</f>
        <v>Cosmética e higiene pessoal</v>
      </c>
      <c r="E1635" s="26" t="s">
        <v>901</v>
      </c>
      <c r="F1635" s="26" t="s">
        <v>1449</v>
      </c>
      <c r="G1635" s="26" t="s">
        <v>990</v>
      </c>
      <c r="H1635" s="33" t="str">
        <f>IF(E1635="Não","Não aplicável",IFERROR(IF(B1635="EU-ENV-002",IF(INDEX(tbl_recyclass[Conforme_PPWR_2030],MATCH(A1635,tbl_recyclass[ProductId],0))="Sim","Conforme (autoavaliação)",IF(INDEX(tbl_recyclass[Conforme_PPWR_2030],MATCH(A1635,tbl_recyclass[ProductId],0))="Não","Não conforme em 2030","Isento até 2035")),IF(B1635="EU-ENV-003",IF(INDEX(tbl_recyclass[Conforme_Art7_2030],MATCH(A1635,tbl_recyclass[ProductId],0))="Sim","Conforme (meta 2030)",IF(INDEX(tbl_recyclass[Conforme_Art7_2030],MATCH(A1635,tbl_recyclass[ProductId],0))="Não","Lacuna face à meta 2030","Isento")),IF(B1635="EU-ENV-011",IF(INDEX(tbl_familias_ppwr[Metais_Pesados_Evidencia],MATCH(INDEX(tbl_recyclass[Familia_PPWR],MATCH(A1635,tbl_recyclass[ProductId],0)),tbl_familias_ppwr[ID_Familia],0))="Em falta","Lacuna","Conforme"),IF(B1635="EU-ENV-013",IF(INDEX(tbl_familias_ppwr[Declaracao_UE],MATCH(INDEX(tbl_recyclass[Familia_PPWR],MATCH(A1635,tbl_recyclass[ProductId],0)),tbl_familias_ppwr[ID_Familia],0))="Sim","Conforme","Lacuna"),G1635)))),G1635))</f>
        <v>Futuro</v>
      </c>
      <c r="I1635" s="33" t="str">
        <f t="shared" si="25"/>
        <v>Futuro</v>
      </c>
      <c r="J1635" s="26" t="s">
        <v>1082</v>
      </c>
    </row>
    <row r="1636" spans="1:10" ht="16.05" customHeight="1" x14ac:dyDescent="0.3">
      <c r="A1636" s="26" t="s">
        <v>785</v>
      </c>
      <c r="B1636" s="26" t="s">
        <v>1086</v>
      </c>
      <c r="C1636" s="33" t="str">
        <f>IFERROR(INDEX(tbl_requisitos_emb[Tema],MATCH(B1636,tbl_requisitos_emb[ID_Req],0)),"")</f>
        <v>Metais pesados</v>
      </c>
      <c r="D1636" s="33" t="str">
        <f>IFERROR(INDEX(tbl_recyclass[Segmento],MATCH(A1636,tbl_recyclass[ProductId],0)),"")</f>
        <v>Cosmética e higiene pessoal</v>
      </c>
      <c r="E1636" s="26" t="s">
        <v>901</v>
      </c>
      <c r="F1636" s="26" t="s">
        <v>1449</v>
      </c>
      <c r="G1636" s="26" t="s">
        <v>978</v>
      </c>
      <c r="H1636" s="33" t="str">
        <f>IF(E1636="Não","Não aplicável",IFERROR(IF(B1636="EU-ENV-002",IF(INDEX(tbl_recyclass[Conforme_PPWR_2030],MATCH(A1636,tbl_recyclass[ProductId],0))="Sim","Conforme (autoavaliação)",IF(INDEX(tbl_recyclass[Conforme_PPWR_2030],MATCH(A1636,tbl_recyclass[ProductId],0))="Não","Não conforme em 2030","Isento até 2035")),IF(B1636="EU-ENV-003",IF(INDEX(tbl_recyclass[Conforme_Art7_2030],MATCH(A1636,tbl_recyclass[ProductId],0))="Sim","Conforme (meta 2030)",IF(INDEX(tbl_recyclass[Conforme_Art7_2030],MATCH(A1636,tbl_recyclass[ProductId],0))="Não","Lacuna face à meta 2030","Isento")),IF(B1636="EU-ENV-011",IF(INDEX(tbl_familias_ppwr[Metais_Pesados_Evidencia],MATCH(INDEX(tbl_recyclass[Familia_PPWR],MATCH(A1636,tbl_recyclass[ProductId],0)),tbl_familias_ppwr[ID_Familia],0))="Em falta","Lacuna","Conforme"),IF(B1636="EU-ENV-013",IF(INDEX(tbl_familias_ppwr[Declaracao_UE],MATCH(INDEX(tbl_recyclass[Familia_PPWR],MATCH(A1636,tbl_recyclass[ProductId],0)),tbl_familias_ppwr[ID_Familia],0))="Sim","Conforme","Lacuna"),G1636)))),G1636))</f>
        <v>Conforme</v>
      </c>
      <c r="I1636" s="33" t="str">
        <f t="shared" si="25"/>
        <v>Conforme</v>
      </c>
      <c r="J1636" s="26" t="s">
        <v>1090</v>
      </c>
    </row>
    <row r="1637" spans="1:10" ht="16.05" customHeight="1" x14ac:dyDescent="0.3">
      <c r="A1637" s="26" t="s">
        <v>785</v>
      </c>
      <c r="B1637" s="26" t="s">
        <v>1094</v>
      </c>
      <c r="C1637" s="33" t="str">
        <f>IFERROR(INDEX(tbl_requisitos_emb[Tema],MATCH(B1637,tbl_requisitos_emb[ID_Req],0)),"")</f>
        <v>PFAS</v>
      </c>
      <c r="D1637" s="33" t="str">
        <f>IFERROR(INDEX(tbl_recyclass[Segmento],MATCH(A1637,tbl_recyclass[ProductId],0)),"")</f>
        <v>Cosmética e higiene pessoal</v>
      </c>
      <c r="E1637" s="26" t="s">
        <v>904</v>
      </c>
      <c r="F1637" s="26" t="s">
        <v>1450</v>
      </c>
      <c r="G1637" s="26" t="s">
        <v>1143</v>
      </c>
      <c r="H1637" s="33" t="str">
        <f>IF(E1637="Não","Não aplicável",IFERROR(IF(B1637="EU-ENV-002",IF(INDEX(tbl_recyclass[Conforme_PPWR_2030],MATCH(A1637,tbl_recyclass[ProductId],0))="Sim","Conforme (autoavaliação)",IF(INDEX(tbl_recyclass[Conforme_PPWR_2030],MATCH(A1637,tbl_recyclass[ProductId],0))="Não","Não conforme em 2030","Isento até 2035")),IF(B1637="EU-ENV-003",IF(INDEX(tbl_recyclass[Conforme_Art7_2030],MATCH(A1637,tbl_recyclass[ProductId],0))="Sim","Conforme (meta 2030)",IF(INDEX(tbl_recyclass[Conforme_Art7_2030],MATCH(A1637,tbl_recyclass[ProductId],0))="Não","Lacuna face à meta 2030","Isento")),IF(B1637="EU-ENV-011",IF(INDEX(tbl_familias_ppwr[Metais_Pesados_Evidencia],MATCH(INDEX(tbl_recyclass[Familia_PPWR],MATCH(A1637,tbl_recyclass[ProductId],0)),tbl_familias_ppwr[ID_Familia],0))="Em falta","Lacuna","Conforme"),IF(B1637="EU-ENV-013",IF(INDEX(tbl_familias_ppwr[Declaracao_UE],MATCH(INDEX(tbl_recyclass[Familia_PPWR],MATCH(A1637,tbl_recyclass[ProductId],0)),tbl_familias_ppwr[ID_Familia],0))="Sim","Conforme","Lacuna"),G1637)))),G1637))</f>
        <v>Não aplicável</v>
      </c>
      <c r="I1637" s="33" t="str">
        <f t="shared" si="25"/>
        <v>Não aplicável</v>
      </c>
      <c r="J1637" s="26"/>
    </row>
    <row r="1638" spans="1:10" ht="16.05" customHeight="1" x14ac:dyDescent="0.3">
      <c r="A1638" s="26" t="s">
        <v>785</v>
      </c>
      <c r="B1638" s="26" t="s">
        <v>1102</v>
      </c>
      <c r="C1638" s="33" t="str">
        <f>IFERROR(INDEX(tbl_requisitos_emb[Tema],MATCH(B1638,tbl_requisitos_emb[ID_Req],0)),"")</f>
        <v>Documentação técnica e declaração UE</v>
      </c>
      <c r="D1638" s="33" t="str">
        <f>IFERROR(INDEX(tbl_recyclass[Segmento],MATCH(A1638,tbl_recyclass[ProductId],0)),"")</f>
        <v>Cosmética e higiene pessoal</v>
      </c>
      <c r="E1638" s="26" t="s">
        <v>901</v>
      </c>
      <c r="F1638" s="26" t="s">
        <v>1449</v>
      </c>
      <c r="G1638" s="26" t="s">
        <v>978</v>
      </c>
      <c r="H1638" s="33" t="str">
        <f>IF(E1638="Não","Não aplicável",IFERROR(IF(B1638="EU-ENV-002",IF(INDEX(tbl_recyclass[Conforme_PPWR_2030],MATCH(A1638,tbl_recyclass[ProductId],0))="Sim","Conforme (autoavaliação)",IF(INDEX(tbl_recyclass[Conforme_PPWR_2030],MATCH(A1638,tbl_recyclass[ProductId],0))="Não","Não conforme em 2030","Isento até 2035")),IF(B1638="EU-ENV-003",IF(INDEX(tbl_recyclass[Conforme_Art7_2030],MATCH(A1638,tbl_recyclass[ProductId],0))="Sim","Conforme (meta 2030)",IF(INDEX(tbl_recyclass[Conforme_Art7_2030],MATCH(A1638,tbl_recyclass[ProductId],0))="Não","Lacuna face à meta 2030","Isento")),IF(B1638="EU-ENV-011",IF(INDEX(tbl_familias_ppwr[Metais_Pesados_Evidencia],MATCH(INDEX(tbl_recyclass[Familia_PPWR],MATCH(A1638,tbl_recyclass[ProductId],0)),tbl_familias_ppwr[ID_Familia],0))="Em falta","Lacuna","Conforme"),IF(B1638="EU-ENV-013",IF(INDEX(tbl_familias_ppwr[Declaracao_UE],MATCH(INDEX(tbl_recyclass[Familia_PPWR],MATCH(A1638,tbl_recyclass[ProductId],0)),tbl_familias_ppwr[ID_Familia],0))="Sim","Conforme","Lacuna"),G1638)))),G1638))</f>
        <v>Conforme</v>
      </c>
      <c r="I1638" s="33" t="str">
        <f t="shared" si="25"/>
        <v>Conforme</v>
      </c>
      <c r="J1638" s="26" t="s">
        <v>1106</v>
      </c>
    </row>
    <row r="1639" spans="1:10" ht="16.05" customHeight="1" x14ac:dyDescent="0.3">
      <c r="A1639" s="26" t="s">
        <v>785</v>
      </c>
      <c r="B1639" s="26" t="s">
        <v>1161</v>
      </c>
      <c r="C1639" s="33" t="str">
        <f>IFERROR(INDEX(tbl_requisitos_emb[Tema],MATCH(B1639,tbl_requisitos_emb[ID_Req],0)),"")</f>
        <v>Materiais em contacto com alimentos</v>
      </c>
      <c r="D1639" s="33" t="str">
        <f>IFERROR(INDEX(tbl_recyclass[Segmento],MATCH(A1639,tbl_recyclass[ProductId],0)),"")</f>
        <v>Cosmética e higiene pessoal</v>
      </c>
      <c r="E1639" s="26" t="s">
        <v>904</v>
      </c>
      <c r="F1639" s="26" t="s">
        <v>1450</v>
      </c>
      <c r="G1639" s="26" t="s">
        <v>1143</v>
      </c>
      <c r="H1639" s="33" t="str">
        <f>IF(E1639="Não","Não aplicável",IFERROR(IF(B1639="EU-ENV-002",IF(INDEX(tbl_recyclass[Conforme_PPWR_2030],MATCH(A1639,tbl_recyclass[ProductId],0))="Sim","Conforme (autoavaliação)",IF(INDEX(tbl_recyclass[Conforme_PPWR_2030],MATCH(A1639,tbl_recyclass[ProductId],0))="Não","Não conforme em 2030","Isento até 2035")),IF(B1639="EU-ENV-003",IF(INDEX(tbl_recyclass[Conforme_Art7_2030],MATCH(A1639,tbl_recyclass[ProductId],0))="Sim","Conforme (meta 2030)",IF(INDEX(tbl_recyclass[Conforme_Art7_2030],MATCH(A1639,tbl_recyclass[ProductId],0))="Não","Lacuna face à meta 2030","Isento")),IF(B1639="EU-ENV-011",IF(INDEX(tbl_familias_ppwr[Metais_Pesados_Evidencia],MATCH(INDEX(tbl_recyclass[Familia_PPWR],MATCH(A1639,tbl_recyclass[ProductId],0)),tbl_familias_ppwr[ID_Familia],0))="Em falta","Lacuna","Conforme"),IF(B1639="EU-ENV-013",IF(INDEX(tbl_familias_ppwr[Declaracao_UE],MATCH(INDEX(tbl_recyclass[Familia_PPWR],MATCH(A1639,tbl_recyclass[ProductId],0)),tbl_familias_ppwr[ID_Familia],0))="Sim","Conforme","Lacuna"),G1639)))),G1639))</f>
        <v>Não aplicável</v>
      </c>
      <c r="I1639" s="33" t="str">
        <f t="shared" si="25"/>
        <v>Não aplicável</v>
      </c>
      <c r="J1639" s="26"/>
    </row>
    <row r="1640" spans="1:10" ht="16.05" customHeight="1" x14ac:dyDescent="0.3">
      <c r="A1640" s="26" t="s">
        <v>785</v>
      </c>
      <c r="B1640" s="26" t="s">
        <v>1170</v>
      </c>
      <c r="C1640" s="33" t="str">
        <f>IFERROR(INDEX(tbl_requisitos_emb[Tema],MATCH(B1640,tbl_requisitos_emb[ID_Req],0)),"")</f>
        <v>Boas práticas de fabrico FCM</v>
      </c>
      <c r="D1640" s="33" t="str">
        <f>IFERROR(INDEX(tbl_recyclass[Segmento],MATCH(A1640,tbl_recyclass[ProductId],0)),"")</f>
        <v>Cosmética e higiene pessoal</v>
      </c>
      <c r="E1640" s="26" t="s">
        <v>904</v>
      </c>
      <c r="F1640" s="26" t="s">
        <v>1450</v>
      </c>
      <c r="G1640" s="26" t="s">
        <v>1143</v>
      </c>
      <c r="H1640" s="33" t="str">
        <f>IF(E1640="Não","Não aplicável",IFERROR(IF(B1640="EU-ENV-002",IF(INDEX(tbl_recyclass[Conforme_PPWR_2030],MATCH(A1640,tbl_recyclass[ProductId],0))="Sim","Conforme (autoavaliação)",IF(INDEX(tbl_recyclass[Conforme_PPWR_2030],MATCH(A1640,tbl_recyclass[ProductId],0))="Não","Não conforme em 2030","Isento até 2035")),IF(B1640="EU-ENV-003",IF(INDEX(tbl_recyclass[Conforme_Art7_2030],MATCH(A1640,tbl_recyclass[ProductId],0))="Sim","Conforme (meta 2030)",IF(INDEX(tbl_recyclass[Conforme_Art7_2030],MATCH(A1640,tbl_recyclass[ProductId],0))="Não","Lacuna face à meta 2030","Isento")),IF(B1640="EU-ENV-011",IF(INDEX(tbl_familias_ppwr[Metais_Pesados_Evidencia],MATCH(INDEX(tbl_recyclass[Familia_PPWR],MATCH(A1640,tbl_recyclass[ProductId],0)),tbl_familias_ppwr[ID_Familia],0))="Em falta","Lacuna","Conforme"),IF(B1640="EU-ENV-013",IF(INDEX(tbl_familias_ppwr[Declaracao_UE],MATCH(INDEX(tbl_recyclass[Familia_PPWR],MATCH(A1640,tbl_recyclass[ProductId],0)),tbl_familias_ppwr[ID_Familia],0))="Sim","Conforme","Lacuna"),G1640)))),G1640))</f>
        <v>Não aplicável</v>
      </c>
      <c r="I1640" s="33" t="str">
        <f t="shared" si="25"/>
        <v>Não aplicável</v>
      </c>
      <c r="J1640" s="26"/>
    </row>
    <row r="1641" spans="1:10" ht="16.05" customHeight="1" x14ac:dyDescent="0.3">
      <c r="A1641" s="26" t="s">
        <v>785</v>
      </c>
      <c r="B1641" s="26" t="s">
        <v>1179</v>
      </c>
      <c r="C1641" s="33" t="str">
        <f>IFERROR(INDEX(tbl_requisitos_emb[Tema],MATCH(B1641,tbl_requisitos_emb[ID_Req],0)),"")</f>
        <v>Bisfenol A e bisfenóis perigosos</v>
      </c>
      <c r="D1641" s="33" t="str">
        <f>IFERROR(INDEX(tbl_recyclass[Segmento],MATCH(A1641,tbl_recyclass[ProductId],0)),"")</f>
        <v>Cosmética e higiene pessoal</v>
      </c>
      <c r="E1641" s="26" t="s">
        <v>904</v>
      </c>
      <c r="F1641" s="26" t="s">
        <v>1450</v>
      </c>
      <c r="G1641" s="26" t="s">
        <v>1143</v>
      </c>
      <c r="H1641" s="33" t="str">
        <f>IF(E1641="Não","Não aplicável",IFERROR(IF(B1641="EU-ENV-002",IF(INDEX(tbl_recyclass[Conforme_PPWR_2030],MATCH(A1641,tbl_recyclass[ProductId],0))="Sim","Conforme (autoavaliação)",IF(INDEX(tbl_recyclass[Conforme_PPWR_2030],MATCH(A1641,tbl_recyclass[ProductId],0))="Não","Não conforme em 2030","Isento até 2035")),IF(B1641="EU-ENV-003",IF(INDEX(tbl_recyclass[Conforme_Art7_2030],MATCH(A1641,tbl_recyclass[ProductId],0))="Sim","Conforme (meta 2030)",IF(INDEX(tbl_recyclass[Conforme_Art7_2030],MATCH(A1641,tbl_recyclass[ProductId],0))="Não","Lacuna face à meta 2030","Isento")),IF(B1641="EU-ENV-011",IF(INDEX(tbl_familias_ppwr[Metais_Pesados_Evidencia],MATCH(INDEX(tbl_recyclass[Familia_PPWR],MATCH(A1641,tbl_recyclass[ProductId],0)),tbl_familias_ppwr[ID_Familia],0))="Em falta","Lacuna","Conforme"),IF(B1641="EU-ENV-013",IF(INDEX(tbl_familias_ppwr[Declaracao_UE],MATCH(INDEX(tbl_recyclass[Familia_PPWR],MATCH(A1641,tbl_recyclass[ProductId],0)),tbl_familias_ppwr[ID_Familia],0))="Sim","Conforme","Lacuna"),G1641)))),G1641))</f>
        <v>Não aplicável</v>
      </c>
      <c r="I1641" s="33" t="str">
        <f t="shared" si="25"/>
        <v>Não aplicável</v>
      </c>
      <c r="J1641" s="26"/>
    </row>
    <row r="1642" spans="1:10" ht="16.05" customHeight="1" x14ac:dyDescent="0.3">
      <c r="A1642" s="26" t="s">
        <v>785</v>
      </c>
      <c r="B1642" s="26" t="s">
        <v>1188</v>
      </c>
      <c r="C1642" s="33" t="str">
        <f>IFERROR(INDEX(tbl_requisitos_emb[Tema],MATCH(B1642,tbl_requisitos_emb[ID_Req],0)),"")</f>
        <v>Plásticos em contacto com alimentos</v>
      </c>
      <c r="D1642" s="33" t="str">
        <f>IFERROR(INDEX(tbl_recyclass[Segmento],MATCH(A1642,tbl_recyclass[ProductId],0)),"")</f>
        <v>Cosmética e higiene pessoal</v>
      </c>
      <c r="E1642" s="26" t="s">
        <v>904</v>
      </c>
      <c r="F1642" s="26" t="s">
        <v>1450</v>
      </c>
      <c r="G1642" s="26" t="s">
        <v>1143</v>
      </c>
      <c r="H1642" s="33" t="str">
        <f>IF(E1642="Não","Não aplicável",IFERROR(IF(B1642="EU-ENV-002",IF(INDEX(tbl_recyclass[Conforme_PPWR_2030],MATCH(A1642,tbl_recyclass[ProductId],0))="Sim","Conforme (autoavaliação)",IF(INDEX(tbl_recyclass[Conforme_PPWR_2030],MATCH(A1642,tbl_recyclass[ProductId],0))="Não","Não conforme em 2030","Isento até 2035")),IF(B1642="EU-ENV-003",IF(INDEX(tbl_recyclass[Conforme_Art7_2030],MATCH(A1642,tbl_recyclass[ProductId],0))="Sim","Conforme (meta 2030)",IF(INDEX(tbl_recyclass[Conforme_Art7_2030],MATCH(A1642,tbl_recyclass[ProductId],0))="Não","Lacuna face à meta 2030","Isento")),IF(B1642="EU-ENV-011",IF(INDEX(tbl_familias_ppwr[Metais_Pesados_Evidencia],MATCH(INDEX(tbl_recyclass[Familia_PPWR],MATCH(A1642,tbl_recyclass[ProductId],0)),tbl_familias_ppwr[ID_Familia],0))="Em falta","Lacuna","Conforme"),IF(B1642="EU-ENV-013",IF(INDEX(tbl_familias_ppwr[Declaracao_UE],MATCH(INDEX(tbl_recyclass[Familia_PPWR],MATCH(A1642,tbl_recyclass[ProductId],0)),tbl_familias_ppwr[ID_Familia],0))="Sim","Conforme","Lacuna"),G1642)))),G1642))</f>
        <v>Não aplicável</v>
      </c>
      <c r="I1642" s="33" t="str">
        <f t="shared" si="25"/>
        <v>Não aplicável</v>
      </c>
      <c r="J1642" s="26"/>
    </row>
    <row r="1643" spans="1:10" ht="16.05" customHeight="1" x14ac:dyDescent="0.3">
      <c r="A1643" s="26" t="s">
        <v>785</v>
      </c>
      <c r="B1643" s="26" t="s">
        <v>1212</v>
      </c>
      <c r="C1643" s="33" t="str">
        <f>IFERROR(INDEX(tbl_requisitos_emb[Tema],MATCH(B1643,tbl_requisitos_emb[ID_Req],0)),"")</f>
        <v>Segurança do produto cosmético</v>
      </c>
      <c r="D1643" s="33" t="str">
        <f>IFERROR(INDEX(tbl_recyclass[Segmento],MATCH(A1643,tbl_recyclass[ProductId],0)),"")</f>
        <v>Cosmética e higiene pessoal</v>
      </c>
      <c r="E1643" s="26" t="s">
        <v>901</v>
      </c>
      <c r="F1643" s="26" t="s">
        <v>1449</v>
      </c>
      <c r="G1643" s="26" t="s">
        <v>1033</v>
      </c>
      <c r="H1643" s="33" t="str">
        <f>IF(E1643="Não","Não aplicável",IFERROR(IF(B1643="EU-ENV-002",IF(INDEX(tbl_recyclass[Conforme_PPWR_2030],MATCH(A1643,tbl_recyclass[ProductId],0))="Sim","Conforme (autoavaliação)",IF(INDEX(tbl_recyclass[Conforme_PPWR_2030],MATCH(A1643,tbl_recyclass[ProductId],0))="Não","Não conforme em 2030","Isento até 2035")),IF(B1643="EU-ENV-003",IF(INDEX(tbl_recyclass[Conforme_Art7_2030],MATCH(A1643,tbl_recyclass[ProductId],0))="Sim","Conforme (meta 2030)",IF(INDEX(tbl_recyclass[Conforme_Art7_2030],MATCH(A1643,tbl_recyclass[ProductId],0))="Não","Lacuna face à meta 2030","Isento")),IF(B1643="EU-ENV-011",IF(INDEX(tbl_familias_ppwr[Metais_Pesados_Evidencia],MATCH(INDEX(tbl_recyclass[Familia_PPWR],MATCH(A1643,tbl_recyclass[ProductId],0)),tbl_familias_ppwr[ID_Familia],0))="Em falta","Lacuna","Conforme"),IF(B1643="EU-ENV-013",IF(INDEX(tbl_familias_ppwr[Declaracao_UE],MATCH(INDEX(tbl_recyclass[Familia_PPWR],MATCH(A1643,tbl_recyclass[ProductId],0)),tbl_familias_ppwr[ID_Familia],0))="Sim","Conforme","Lacuna"),G1643)))),G1643))</f>
        <v>Conforme</v>
      </c>
      <c r="I1643" s="33" t="str">
        <f t="shared" si="25"/>
        <v>Conforme</v>
      </c>
      <c r="J1643" s="26" t="s">
        <v>1221</v>
      </c>
    </row>
    <row r="1644" spans="1:10" ht="16.05" customHeight="1" x14ac:dyDescent="0.3">
      <c r="A1644" s="26" t="s">
        <v>785</v>
      </c>
      <c r="B1644" s="26" t="s">
        <v>1224</v>
      </c>
      <c r="C1644" s="33" t="str">
        <f>IFERROR(INDEX(tbl_requisitos_emb[Tema],MATCH(B1644,tbl_requisitos_emb[ID_Req],0)),"")</f>
        <v>Materiais e impurezas</v>
      </c>
      <c r="D1644" s="33" t="str">
        <f>IFERROR(INDEX(tbl_recyclass[Segmento],MATCH(A1644,tbl_recyclass[ProductId],0)),"")</f>
        <v>Cosmética e higiene pessoal</v>
      </c>
      <c r="E1644" s="26" t="s">
        <v>901</v>
      </c>
      <c r="F1644" s="26" t="s">
        <v>1449</v>
      </c>
      <c r="G1644" s="26" t="s">
        <v>978</v>
      </c>
      <c r="H1644" s="33" t="str">
        <f>IF(E1644="Não","Não aplicável",IFERROR(IF(B1644="EU-ENV-002",IF(INDEX(tbl_recyclass[Conforme_PPWR_2030],MATCH(A1644,tbl_recyclass[ProductId],0))="Sim","Conforme (autoavaliação)",IF(INDEX(tbl_recyclass[Conforme_PPWR_2030],MATCH(A1644,tbl_recyclass[ProductId],0))="Não","Não conforme em 2030","Isento até 2035")),IF(B1644="EU-ENV-003",IF(INDEX(tbl_recyclass[Conforme_Art7_2030],MATCH(A1644,tbl_recyclass[ProductId],0))="Sim","Conforme (meta 2030)",IF(INDEX(tbl_recyclass[Conforme_Art7_2030],MATCH(A1644,tbl_recyclass[ProductId],0))="Não","Lacuna face à meta 2030","Isento")),IF(B1644="EU-ENV-011",IF(INDEX(tbl_familias_ppwr[Metais_Pesados_Evidencia],MATCH(INDEX(tbl_recyclass[Familia_PPWR],MATCH(A1644,tbl_recyclass[ProductId],0)),tbl_familias_ppwr[ID_Familia],0))="Em falta","Lacuna","Conforme"),IF(B1644="EU-ENV-013",IF(INDEX(tbl_familias_ppwr[Declaracao_UE],MATCH(INDEX(tbl_recyclass[Familia_PPWR],MATCH(A1644,tbl_recyclass[ProductId],0)),tbl_familias_ppwr[ID_Familia],0))="Sim","Conforme","Lacuna"),G1644)))),G1644))</f>
        <v>Parcial</v>
      </c>
      <c r="I1644" s="33" t="str">
        <f t="shared" si="25"/>
        <v>Parcial</v>
      </c>
      <c r="J1644" s="26" t="s">
        <v>1228</v>
      </c>
    </row>
    <row r="1645" spans="1:10" ht="16.05" customHeight="1" x14ac:dyDescent="0.3">
      <c r="A1645" s="26" t="s">
        <v>785</v>
      </c>
      <c r="B1645" s="26" t="s">
        <v>1240</v>
      </c>
      <c r="C1645" s="33" t="str">
        <f>IFERROR(INDEX(tbl_requisitos_emb[Tema],MATCH(B1645,tbl_requisitos_emb[ID_Req],0)),"")</f>
        <v>Compatibilidade embalagem–produto</v>
      </c>
      <c r="D1645" s="33" t="str">
        <f>IFERROR(INDEX(tbl_recyclass[Segmento],MATCH(A1645,tbl_recyclass[ProductId],0)),"")</f>
        <v>Cosmética e higiene pessoal</v>
      </c>
      <c r="E1645" s="26" t="s">
        <v>901</v>
      </c>
      <c r="F1645" s="26" t="s">
        <v>1449</v>
      </c>
      <c r="G1645" s="26" t="s">
        <v>1033</v>
      </c>
      <c r="H1645" s="33" t="str">
        <f>IF(E1645="Não","Não aplicável",IFERROR(IF(B1645="EU-ENV-002",IF(INDEX(tbl_recyclass[Conforme_PPWR_2030],MATCH(A1645,tbl_recyclass[ProductId],0))="Sim","Conforme (autoavaliação)",IF(INDEX(tbl_recyclass[Conforme_PPWR_2030],MATCH(A1645,tbl_recyclass[ProductId],0))="Não","Não conforme em 2030","Isento até 2035")),IF(B1645="EU-ENV-003",IF(INDEX(tbl_recyclass[Conforme_Art7_2030],MATCH(A1645,tbl_recyclass[ProductId],0))="Sim","Conforme (meta 2030)",IF(INDEX(tbl_recyclass[Conforme_Art7_2030],MATCH(A1645,tbl_recyclass[ProductId],0))="Não","Lacuna face à meta 2030","Isento")),IF(B1645="EU-ENV-011",IF(INDEX(tbl_familias_ppwr[Metais_Pesados_Evidencia],MATCH(INDEX(tbl_recyclass[Familia_PPWR],MATCH(A1645,tbl_recyclass[ProductId],0)),tbl_familias_ppwr[ID_Familia],0))="Em falta","Lacuna","Conforme"),IF(B1645="EU-ENV-013",IF(INDEX(tbl_familias_ppwr[Declaracao_UE],MATCH(INDEX(tbl_recyclass[Familia_PPWR],MATCH(A1645,tbl_recyclass[ProductId],0)),tbl_familias_ppwr[ID_Familia],0))="Sim","Conforme","Lacuna"),G1645)))),G1645))</f>
        <v>Conforme</v>
      </c>
      <c r="I1645" s="33" t="str">
        <f t="shared" si="25"/>
        <v>Conforme</v>
      </c>
      <c r="J1645" s="26" t="s">
        <v>1244</v>
      </c>
    </row>
    <row r="1646" spans="1:10" ht="16.05" customHeight="1" x14ac:dyDescent="0.3">
      <c r="A1646" s="26" t="s">
        <v>785</v>
      </c>
      <c r="B1646" s="26" t="s">
        <v>1252</v>
      </c>
      <c r="C1646" s="33" t="str">
        <f>IFERROR(INDEX(tbl_requisitos_emb[Tema],MATCH(B1646,tbl_requisitos_emb[ID_Req],0)),"")</f>
        <v>Medicamentos de uso humano</v>
      </c>
      <c r="D1646" s="33" t="str">
        <f>IFERROR(INDEX(tbl_recyclass[Segmento],MATCH(A1646,tbl_recyclass[ProductId],0)),"")</f>
        <v>Cosmética e higiene pessoal</v>
      </c>
      <c r="E1646" s="26" t="s">
        <v>904</v>
      </c>
      <c r="F1646" s="26" t="s">
        <v>1451</v>
      </c>
      <c r="G1646" s="26" t="s">
        <v>1143</v>
      </c>
      <c r="H1646" s="33" t="str">
        <f>IF(E1646="Não","Não aplicável",IFERROR(IF(B1646="EU-ENV-002",IF(INDEX(tbl_recyclass[Conforme_PPWR_2030],MATCH(A1646,tbl_recyclass[ProductId],0))="Sim","Conforme (autoavaliação)",IF(INDEX(tbl_recyclass[Conforme_PPWR_2030],MATCH(A1646,tbl_recyclass[ProductId],0))="Não","Não conforme em 2030","Isento até 2035")),IF(B1646="EU-ENV-003",IF(INDEX(tbl_recyclass[Conforme_Art7_2030],MATCH(A1646,tbl_recyclass[ProductId],0))="Sim","Conforme (meta 2030)",IF(INDEX(tbl_recyclass[Conforme_Art7_2030],MATCH(A1646,tbl_recyclass[ProductId],0))="Não","Lacuna face à meta 2030","Isento")),IF(B1646="EU-ENV-011",IF(INDEX(tbl_familias_ppwr[Metais_Pesados_Evidencia],MATCH(INDEX(tbl_recyclass[Familia_PPWR],MATCH(A1646,tbl_recyclass[ProductId],0)),tbl_familias_ppwr[ID_Familia],0))="Em falta","Lacuna","Conforme"),IF(B1646="EU-ENV-013",IF(INDEX(tbl_familias_ppwr[Declaracao_UE],MATCH(INDEX(tbl_recyclass[Familia_PPWR],MATCH(A1646,tbl_recyclass[ProductId],0)),tbl_familias_ppwr[ID_Familia],0))="Sim","Conforme","Lacuna"),G1646)))),G1646))</f>
        <v>Não aplicável</v>
      </c>
      <c r="I1646" s="33" t="str">
        <f t="shared" si="25"/>
        <v>Não aplicável</v>
      </c>
      <c r="J1646" s="26"/>
    </row>
    <row r="1647" spans="1:10" ht="16.05" customHeight="1" x14ac:dyDescent="0.3">
      <c r="A1647" s="26" t="s">
        <v>785</v>
      </c>
      <c r="B1647" s="26" t="s">
        <v>1268</v>
      </c>
      <c r="C1647" s="33" t="str">
        <f>IFERROR(INDEX(tbl_requisitos_emb[Tema],MATCH(B1647,tbl_requisitos_emb[ID_Req],0)),"")</f>
        <v>Dispositivos de segurança</v>
      </c>
      <c r="D1647" s="33" t="str">
        <f>IFERROR(INDEX(tbl_recyclass[Segmento],MATCH(A1647,tbl_recyclass[ProductId],0)),"")</f>
        <v>Cosmética e higiene pessoal</v>
      </c>
      <c r="E1647" s="26" t="s">
        <v>904</v>
      </c>
      <c r="F1647" s="26" t="s">
        <v>1451</v>
      </c>
      <c r="G1647" s="26" t="s">
        <v>1143</v>
      </c>
      <c r="H1647" s="33" t="str">
        <f>IF(E1647="Não","Não aplicável",IFERROR(IF(B1647="EU-ENV-002",IF(INDEX(tbl_recyclass[Conforme_PPWR_2030],MATCH(A1647,tbl_recyclass[ProductId],0))="Sim","Conforme (autoavaliação)",IF(INDEX(tbl_recyclass[Conforme_PPWR_2030],MATCH(A1647,tbl_recyclass[ProductId],0))="Não","Não conforme em 2030","Isento até 2035")),IF(B1647="EU-ENV-003",IF(INDEX(tbl_recyclass[Conforme_Art7_2030],MATCH(A1647,tbl_recyclass[ProductId],0))="Sim","Conforme (meta 2030)",IF(INDEX(tbl_recyclass[Conforme_Art7_2030],MATCH(A1647,tbl_recyclass[ProductId],0))="Não","Lacuna face à meta 2030","Isento")),IF(B1647="EU-ENV-011",IF(INDEX(tbl_familias_ppwr[Metais_Pesados_Evidencia],MATCH(INDEX(tbl_recyclass[Familia_PPWR],MATCH(A1647,tbl_recyclass[ProductId],0)),tbl_familias_ppwr[ID_Familia],0))="Em falta","Lacuna","Conforme"),IF(B1647="EU-ENV-013",IF(INDEX(tbl_familias_ppwr[Declaracao_UE],MATCH(INDEX(tbl_recyclass[Familia_PPWR],MATCH(A1647,tbl_recyclass[ProductId],0)),tbl_familias_ppwr[ID_Familia],0))="Sim","Conforme","Lacuna"),G1647)))),G1647))</f>
        <v>Não aplicável</v>
      </c>
      <c r="I1647" s="33" t="str">
        <f t="shared" si="25"/>
        <v>Não aplicável</v>
      </c>
      <c r="J1647" s="26"/>
    </row>
    <row r="1648" spans="1:10" ht="16.05" customHeight="1" x14ac:dyDescent="0.3">
      <c r="A1648" s="26" t="s">
        <v>785</v>
      </c>
      <c r="B1648" s="26" t="s">
        <v>1285</v>
      </c>
      <c r="C1648" s="33" t="str">
        <f>IFERROR(INDEX(tbl_requisitos_emb[Tema],MATCH(B1648,tbl_requisitos_emb[ID_Req],0)),"")</f>
        <v>Materiais plásticos de acondicionamento primário</v>
      </c>
      <c r="D1648" s="33" t="str">
        <f>IFERROR(INDEX(tbl_recyclass[Segmento],MATCH(A1648,tbl_recyclass[ProductId],0)),"")</f>
        <v>Cosmética e higiene pessoal</v>
      </c>
      <c r="E1648" s="26" t="s">
        <v>904</v>
      </c>
      <c r="F1648" s="26" t="s">
        <v>1451</v>
      </c>
      <c r="G1648" s="26" t="s">
        <v>1143</v>
      </c>
      <c r="H1648" s="33" t="str">
        <f>IF(E1648="Não","Não aplicável",IFERROR(IF(B1648="EU-ENV-002",IF(INDEX(tbl_recyclass[Conforme_PPWR_2030],MATCH(A1648,tbl_recyclass[ProductId],0))="Sim","Conforme (autoavaliação)",IF(INDEX(tbl_recyclass[Conforme_PPWR_2030],MATCH(A1648,tbl_recyclass[ProductId],0))="Não","Não conforme em 2030","Isento até 2035")),IF(B1648="EU-ENV-003",IF(INDEX(tbl_recyclass[Conforme_Art7_2030],MATCH(A1648,tbl_recyclass[ProductId],0))="Sim","Conforme (meta 2030)",IF(INDEX(tbl_recyclass[Conforme_Art7_2030],MATCH(A1648,tbl_recyclass[ProductId],0))="Não","Lacuna face à meta 2030","Isento")),IF(B1648="EU-ENV-011",IF(INDEX(tbl_familias_ppwr[Metais_Pesados_Evidencia],MATCH(INDEX(tbl_recyclass[Familia_PPWR],MATCH(A1648,tbl_recyclass[ProductId],0)),tbl_familias_ppwr[ID_Familia],0))="Em falta","Lacuna","Conforme"),IF(B1648="EU-ENV-013",IF(INDEX(tbl_familias_ppwr[Declaracao_UE],MATCH(INDEX(tbl_recyclass[Familia_PPWR],MATCH(A1648,tbl_recyclass[ProductId],0)),tbl_familias_ppwr[ID_Familia],0))="Sim","Conforme","Lacuna"),G1648)))),G1648))</f>
        <v>Não aplicável</v>
      </c>
      <c r="I1648" s="33" t="str">
        <f t="shared" si="25"/>
        <v>Não aplicável</v>
      </c>
      <c r="J1648" s="26"/>
    </row>
    <row r="1649" spans="1:10" ht="16.05" customHeight="1" x14ac:dyDescent="0.3">
      <c r="A1649" s="26" t="s">
        <v>785</v>
      </c>
      <c r="B1649" s="26" t="s">
        <v>1293</v>
      </c>
      <c r="C1649" s="33" t="str">
        <f>IFERROR(INDEX(tbl_requisitos_emb[Tema],MATCH(B1649,tbl_requisitos_emb[ID_Req],0)),"")</f>
        <v>Isenções PPWR</v>
      </c>
      <c r="D1649" s="33" t="str">
        <f>IFERROR(INDEX(tbl_recyclass[Segmento],MATCH(A1649,tbl_recyclass[ProductId],0)),"")</f>
        <v>Cosmética e higiene pessoal</v>
      </c>
      <c r="E1649" s="26" t="s">
        <v>904</v>
      </c>
      <c r="F1649" s="26" t="s">
        <v>1451</v>
      </c>
      <c r="G1649" s="26" t="s">
        <v>1143</v>
      </c>
      <c r="H1649" s="33" t="str">
        <f>IF(E1649="Não","Não aplicável",IFERROR(IF(B1649="EU-ENV-002",IF(INDEX(tbl_recyclass[Conforme_PPWR_2030],MATCH(A1649,tbl_recyclass[ProductId],0))="Sim","Conforme (autoavaliação)",IF(INDEX(tbl_recyclass[Conforme_PPWR_2030],MATCH(A1649,tbl_recyclass[ProductId],0))="Não","Não conforme em 2030","Isento até 2035")),IF(B1649="EU-ENV-003",IF(INDEX(tbl_recyclass[Conforme_Art7_2030],MATCH(A1649,tbl_recyclass[ProductId],0))="Sim","Conforme (meta 2030)",IF(INDEX(tbl_recyclass[Conforme_Art7_2030],MATCH(A1649,tbl_recyclass[ProductId],0))="Não","Lacuna face à meta 2030","Isento")),IF(B1649="EU-ENV-011",IF(INDEX(tbl_familias_ppwr[Metais_Pesados_Evidencia],MATCH(INDEX(tbl_recyclass[Familia_PPWR],MATCH(A1649,tbl_recyclass[ProductId],0)),tbl_familias_ppwr[ID_Familia],0))="Em falta","Lacuna","Conforme"),IF(B1649="EU-ENV-013",IF(INDEX(tbl_familias_ppwr[Declaracao_UE],MATCH(INDEX(tbl_recyclass[Familia_PPWR],MATCH(A1649,tbl_recyclass[ProductId],0)),tbl_familias_ppwr[ID_Familia],0))="Sim","Conforme","Lacuna"),G1649)))),G1649))</f>
        <v>Não aplicável</v>
      </c>
      <c r="I1649" s="33" t="str">
        <f t="shared" si="25"/>
        <v>Não aplicável</v>
      </c>
      <c r="J1649" s="26"/>
    </row>
    <row r="1650" spans="1:10" ht="16.05" customHeight="1" x14ac:dyDescent="0.3">
      <c r="A1650" s="26" t="s">
        <v>785</v>
      </c>
      <c r="B1650" s="26" t="s">
        <v>1357</v>
      </c>
      <c r="C1650" s="33" t="str">
        <f>IFERROR(INDEX(tbl_requisitos_emb[Tema],MATCH(B1650,tbl_requisitos_emb[ID_Req],0)),"")</f>
        <v>Identificação de plásticos</v>
      </c>
      <c r="D1650" s="33" t="str">
        <f>IFERROR(INDEX(tbl_recyclass[Segmento],MATCH(A1650,tbl_recyclass[ProductId],0)),"")</f>
        <v>Cosmética e higiene pessoal</v>
      </c>
      <c r="E1650" s="26" t="s">
        <v>901</v>
      </c>
      <c r="F1650" s="26" t="s">
        <v>1449</v>
      </c>
      <c r="G1650" s="26" t="s">
        <v>978</v>
      </c>
      <c r="H1650" s="33" t="str">
        <f>IF(E1650="Não","Não aplicável",IFERROR(IF(B1650="EU-ENV-002",IF(INDEX(tbl_recyclass[Conforme_PPWR_2030],MATCH(A1650,tbl_recyclass[ProductId],0))="Sim","Conforme (autoavaliação)",IF(INDEX(tbl_recyclass[Conforme_PPWR_2030],MATCH(A1650,tbl_recyclass[ProductId],0))="Não","Não conforme em 2030","Isento até 2035")),IF(B1650="EU-ENV-003",IF(INDEX(tbl_recyclass[Conforme_Art7_2030],MATCH(A1650,tbl_recyclass[ProductId],0))="Sim","Conforme (meta 2030)",IF(INDEX(tbl_recyclass[Conforme_Art7_2030],MATCH(A1650,tbl_recyclass[ProductId],0))="Não","Lacuna face à meta 2030","Isento")),IF(B1650="EU-ENV-011",IF(INDEX(tbl_familias_ppwr[Metais_Pesados_Evidencia],MATCH(INDEX(tbl_recyclass[Familia_PPWR],MATCH(A1650,tbl_recyclass[ProductId],0)),tbl_familias_ppwr[ID_Familia],0))="Em falta","Lacuna","Conforme"),IF(B1650="EU-ENV-013",IF(INDEX(tbl_familias_ppwr[Declaracao_UE],MATCH(INDEX(tbl_recyclass[Familia_PPWR],MATCH(A1650,tbl_recyclass[ProductId],0)),tbl_familias_ppwr[ID_Familia],0))="Sim","Conforme","Lacuna"),G1650)))),G1650))</f>
        <v>Parcial</v>
      </c>
      <c r="I1650" s="33" t="str">
        <f t="shared" si="25"/>
        <v>Parcial</v>
      </c>
      <c r="J1650" s="26" t="s">
        <v>1362</v>
      </c>
    </row>
    <row r="1651" spans="1:10" ht="16.05" customHeight="1" x14ac:dyDescent="0.3">
      <c r="A1651" s="26" t="s">
        <v>785</v>
      </c>
      <c r="B1651" s="26" t="s">
        <v>1385</v>
      </c>
      <c r="C1651" s="33" t="str">
        <f>IFERROR(INDEX(tbl_requisitos_emb[Tema],MATCH(B1651,tbl_requisitos_emb[ID_Req],0)),"")</f>
        <v>Reciclabilidade (voluntária)</v>
      </c>
      <c r="D1651" s="33" t="str">
        <f>IFERROR(INDEX(tbl_recyclass[Segmento],MATCH(A1651,tbl_recyclass[ProductId],0)),"")</f>
        <v>Cosmética e higiene pessoal</v>
      </c>
      <c r="E1651" s="26" t="s">
        <v>901</v>
      </c>
      <c r="F1651" s="26" t="s">
        <v>1449</v>
      </c>
      <c r="G1651" s="26" t="s">
        <v>978</v>
      </c>
      <c r="H1651" s="33" t="str">
        <f>IF(E1651="Não","Não aplicável",IFERROR(IF(B1651="EU-ENV-002",IF(INDEX(tbl_recyclass[Conforme_PPWR_2030],MATCH(A1651,tbl_recyclass[ProductId],0))="Sim","Conforme (autoavaliação)",IF(INDEX(tbl_recyclass[Conforme_PPWR_2030],MATCH(A1651,tbl_recyclass[ProductId],0))="Não","Não conforme em 2030","Isento até 2035")),IF(B1651="EU-ENV-003",IF(INDEX(tbl_recyclass[Conforme_Art7_2030],MATCH(A1651,tbl_recyclass[ProductId],0))="Sim","Conforme (meta 2030)",IF(INDEX(tbl_recyclass[Conforme_Art7_2030],MATCH(A1651,tbl_recyclass[ProductId],0))="Não","Lacuna face à meta 2030","Isento")),IF(B1651="EU-ENV-011",IF(INDEX(tbl_familias_ppwr[Metais_Pesados_Evidencia],MATCH(INDEX(tbl_recyclass[Familia_PPWR],MATCH(A1651,tbl_recyclass[ProductId],0)),tbl_familias_ppwr[ID_Familia],0))="Em falta","Lacuna","Conforme"),IF(B1651="EU-ENV-013",IF(INDEX(tbl_familias_ppwr[Declaracao_UE],MATCH(INDEX(tbl_recyclass[Familia_PPWR],MATCH(A1651,tbl_recyclass[ProductId],0)),tbl_familias_ppwr[ID_Familia],0))="Sim","Conforme","Lacuna"),G1651)))),G1651))</f>
        <v>Parcial</v>
      </c>
      <c r="I1651" s="33" t="str">
        <f t="shared" si="25"/>
        <v>Parcial</v>
      </c>
      <c r="J1651" s="26" t="s">
        <v>1389</v>
      </c>
    </row>
    <row r="1652" spans="1:10" ht="16.05" customHeight="1" x14ac:dyDescent="0.3">
      <c r="A1652" s="26" t="s">
        <v>787</v>
      </c>
      <c r="B1652" s="26" t="s">
        <v>984</v>
      </c>
      <c r="C1652" s="33" t="str">
        <f>IFERROR(INDEX(tbl_requisitos_emb[Tema],MATCH(B1652,tbl_requisitos_emb[ID_Req],0)),"")</f>
        <v>Conceção para reciclagem</v>
      </c>
      <c r="D1652" s="33" t="str">
        <f>IFERROR(INDEX(tbl_recyclass[Segmento],MATCH(A1652,tbl_recyclass[ProductId],0)),"")</f>
        <v>Cosmética e higiene pessoal</v>
      </c>
      <c r="E1652" s="26" t="s">
        <v>901</v>
      </c>
      <c r="F1652" s="26" t="s">
        <v>1449</v>
      </c>
      <c r="G1652" s="26" t="s">
        <v>978</v>
      </c>
      <c r="H1652" s="33" t="str">
        <f>IF(E1652="Não","Não aplicável",IFERROR(IF(B1652="EU-ENV-002",IF(INDEX(tbl_recyclass[Conforme_PPWR_2030],MATCH(A1652,tbl_recyclass[ProductId],0))="Sim","Conforme (autoavaliação)",IF(INDEX(tbl_recyclass[Conforme_PPWR_2030],MATCH(A1652,tbl_recyclass[ProductId],0))="Não","Não conforme em 2030","Isento até 2035")),IF(B1652="EU-ENV-003",IF(INDEX(tbl_recyclass[Conforme_Art7_2030],MATCH(A1652,tbl_recyclass[ProductId],0))="Sim","Conforme (meta 2030)",IF(INDEX(tbl_recyclass[Conforme_Art7_2030],MATCH(A1652,tbl_recyclass[ProductId],0))="Não","Lacuna face à meta 2030","Isento")),IF(B1652="EU-ENV-011",IF(INDEX(tbl_familias_ppwr[Metais_Pesados_Evidencia],MATCH(INDEX(tbl_recyclass[Familia_PPWR],MATCH(A1652,tbl_recyclass[ProductId],0)),tbl_familias_ppwr[ID_Familia],0))="Em falta","Lacuna","Conforme"),IF(B1652="EU-ENV-013",IF(INDEX(tbl_familias_ppwr[Declaracao_UE],MATCH(INDEX(tbl_recyclass[Familia_PPWR],MATCH(A1652,tbl_recyclass[ProductId],0)),tbl_familias_ppwr[ID_Familia],0))="Sim","Conforme","Lacuna"),G1652)))),G1652))</f>
        <v>Não conforme em 2030</v>
      </c>
      <c r="I1652" s="33" t="str">
        <f t="shared" si="25"/>
        <v>Não conforme</v>
      </c>
      <c r="J1652" s="26" t="s">
        <v>991</v>
      </c>
    </row>
    <row r="1653" spans="1:10" ht="16.05" customHeight="1" x14ac:dyDescent="0.3">
      <c r="A1653" s="26" t="s">
        <v>787</v>
      </c>
      <c r="B1653" s="26" t="s">
        <v>997</v>
      </c>
      <c r="C1653" s="33" t="str">
        <f>IFERROR(INDEX(tbl_requisitos_emb[Tema],MATCH(B1653,tbl_requisitos_emb[ID_Req],0)),"")</f>
        <v>Conteúdo reciclado</v>
      </c>
      <c r="D1653" s="33" t="str">
        <f>IFERROR(INDEX(tbl_recyclass[Segmento],MATCH(A1653,tbl_recyclass[ProductId],0)),"")</f>
        <v>Cosmética e higiene pessoal</v>
      </c>
      <c r="E1653" s="26" t="s">
        <v>901</v>
      </c>
      <c r="F1653" s="26" t="s">
        <v>1449</v>
      </c>
      <c r="G1653" s="26" t="s">
        <v>978</v>
      </c>
      <c r="H1653" s="33" t="str">
        <f>IF(E1653="Não","Não aplicável",IFERROR(IF(B1653="EU-ENV-002",IF(INDEX(tbl_recyclass[Conforme_PPWR_2030],MATCH(A1653,tbl_recyclass[ProductId],0))="Sim","Conforme (autoavaliação)",IF(INDEX(tbl_recyclass[Conforme_PPWR_2030],MATCH(A1653,tbl_recyclass[ProductId],0))="Não","Não conforme em 2030","Isento até 2035")),IF(B1653="EU-ENV-003",IF(INDEX(tbl_recyclass[Conforme_Art7_2030],MATCH(A1653,tbl_recyclass[ProductId],0))="Sim","Conforme (meta 2030)",IF(INDEX(tbl_recyclass[Conforme_Art7_2030],MATCH(A1653,tbl_recyclass[ProductId],0))="Não","Lacuna face à meta 2030","Isento")),IF(B1653="EU-ENV-011",IF(INDEX(tbl_familias_ppwr[Metais_Pesados_Evidencia],MATCH(INDEX(tbl_recyclass[Familia_PPWR],MATCH(A1653,tbl_recyclass[ProductId],0)),tbl_familias_ppwr[ID_Familia],0))="Em falta","Lacuna","Conforme"),IF(B1653="EU-ENV-013",IF(INDEX(tbl_familias_ppwr[Declaracao_UE],MATCH(INDEX(tbl_recyclass[Familia_PPWR],MATCH(A1653,tbl_recyclass[ProductId],0)),tbl_familias_ppwr[ID_Familia],0))="Sim","Conforme","Lacuna"),G1653)))),G1653))</f>
        <v>Lacuna face à meta 2030</v>
      </c>
      <c r="I1653" s="33" t="str">
        <f t="shared" si="25"/>
        <v>Lacuna</v>
      </c>
      <c r="J1653" s="26" t="s">
        <v>1001</v>
      </c>
    </row>
    <row r="1654" spans="1:10" ht="16.05" customHeight="1" x14ac:dyDescent="0.3">
      <c r="A1654" s="26" t="s">
        <v>787</v>
      </c>
      <c r="B1654" s="26" t="s">
        <v>1007</v>
      </c>
      <c r="C1654" s="33" t="str">
        <f>IFERROR(INDEX(tbl_requisitos_emb[Tema],MATCH(B1654,tbl_requisitos_emb[ID_Req],0)),"")</f>
        <v>Minimização</v>
      </c>
      <c r="D1654" s="33" t="str">
        <f>IFERROR(INDEX(tbl_recyclass[Segmento],MATCH(A1654,tbl_recyclass[ProductId],0)),"")</f>
        <v>Cosmética e higiene pessoal</v>
      </c>
      <c r="E1654" s="26" t="s">
        <v>901</v>
      </c>
      <c r="F1654" s="26" t="s">
        <v>1449</v>
      </c>
      <c r="G1654" s="26" t="s">
        <v>978</v>
      </c>
      <c r="H1654" s="33" t="str">
        <f>IF(E1654="Não","Não aplicável",IFERROR(IF(B1654="EU-ENV-002",IF(INDEX(tbl_recyclass[Conforme_PPWR_2030],MATCH(A1654,tbl_recyclass[ProductId],0))="Sim","Conforme (autoavaliação)",IF(INDEX(tbl_recyclass[Conforme_PPWR_2030],MATCH(A1654,tbl_recyclass[ProductId],0))="Não","Não conforme em 2030","Isento até 2035")),IF(B1654="EU-ENV-003",IF(INDEX(tbl_recyclass[Conforme_Art7_2030],MATCH(A1654,tbl_recyclass[ProductId],0))="Sim","Conforme (meta 2030)",IF(INDEX(tbl_recyclass[Conforme_Art7_2030],MATCH(A1654,tbl_recyclass[ProductId],0))="Não","Lacuna face à meta 2030","Isento")),IF(B1654="EU-ENV-011",IF(INDEX(tbl_familias_ppwr[Metais_Pesados_Evidencia],MATCH(INDEX(tbl_recyclass[Familia_PPWR],MATCH(A1654,tbl_recyclass[ProductId],0)),tbl_familias_ppwr[ID_Familia],0))="Em falta","Lacuna","Conforme"),IF(B1654="EU-ENV-013",IF(INDEX(tbl_familias_ppwr[Declaracao_UE],MATCH(INDEX(tbl_recyclass[Familia_PPWR],MATCH(A1654,tbl_recyclass[ProductId],0)),tbl_familias_ppwr[ID_Familia],0))="Sim","Conforme","Lacuna"),G1654)))),G1654))</f>
        <v>Parcial</v>
      </c>
      <c r="I1654" s="33" t="str">
        <f t="shared" si="25"/>
        <v>Parcial</v>
      </c>
      <c r="J1654" s="26" t="s">
        <v>1012</v>
      </c>
    </row>
    <row r="1655" spans="1:10" ht="16.05" customHeight="1" x14ac:dyDescent="0.3">
      <c r="A1655" s="26" t="s">
        <v>787</v>
      </c>
      <c r="B1655" s="26" t="s">
        <v>1016</v>
      </c>
      <c r="C1655" s="33" t="str">
        <f>IFERROR(INDEX(tbl_requisitos_emb[Tema],MATCH(B1655,tbl_requisitos_emb[ID_Req],0)),"")</f>
        <v>Rotulagem</v>
      </c>
      <c r="D1655" s="33" t="str">
        <f>IFERROR(INDEX(tbl_recyclass[Segmento],MATCH(A1655,tbl_recyclass[ProductId],0)),"")</f>
        <v>Cosmética e higiene pessoal</v>
      </c>
      <c r="E1655" s="26" t="s">
        <v>901</v>
      </c>
      <c r="F1655" s="26" t="s">
        <v>1449</v>
      </c>
      <c r="G1655" s="26" t="s">
        <v>990</v>
      </c>
      <c r="H1655" s="33" t="str">
        <f>IF(E1655="Não","Não aplicável",IFERROR(IF(B1655="EU-ENV-002",IF(INDEX(tbl_recyclass[Conforme_PPWR_2030],MATCH(A1655,tbl_recyclass[ProductId],0))="Sim","Conforme (autoavaliação)",IF(INDEX(tbl_recyclass[Conforme_PPWR_2030],MATCH(A1655,tbl_recyclass[ProductId],0))="Não","Não conforme em 2030","Isento até 2035")),IF(B1655="EU-ENV-003",IF(INDEX(tbl_recyclass[Conforme_Art7_2030],MATCH(A1655,tbl_recyclass[ProductId],0))="Sim","Conforme (meta 2030)",IF(INDEX(tbl_recyclass[Conforme_Art7_2030],MATCH(A1655,tbl_recyclass[ProductId],0))="Não","Lacuna face à meta 2030","Isento")),IF(B1655="EU-ENV-011",IF(INDEX(tbl_familias_ppwr[Metais_Pesados_Evidencia],MATCH(INDEX(tbl_recyclass[Familia_PPWR],MATCH(A1655,tbl_recyclass[ProductId],0)),tbl_familias_ppwr[ID_Familia],0))="Em falta","Lacuna","Conforme"),IF(B1655="EU-ENV-013",IF(INDEX(tbl_familias_ppwr[Declaracao_UE],MATCH(INDEX(tbl_recyclass[Familia_PPWR],MATCH(A1655,tbl_recyclass[ProductId],0)),tbl_familias_ppwr[ID_Familia],0))="Sim","Conforme","Lacuna"),G1655)))),G1655))</f>
        <v>Futuro</v>
      </c>
      <c r="I1655" s="33" t="str">
        <f t="shared" si="25"/>
        <v>Futuro</v>
      </c>
      <c r="J1655" s="26" t="s">
        <v>1021</v>
      </c>
    </row>
    <row r="1656" spans="1:10" ht="16.05" customHeight="1" x14ac:dyDescent="0.3">
      <c r="A1656" s="26" t="s">
        <v>787</v>
      </c>
      <c r="B1656" s="26" t="s">
        <v>1038</v>
      </c>
      <c r="C1656" s="33" t="str">
        <f>IFERROR(INDEX(tbl_requisitos_emb[Tema],MATCH(B1656,tbl_requisitos_emb[ID_Req],0)),"")</f>
        <v>Plásticos de utilização única</v>
      </c>
      <c r="D1656" s="33" t="str">
        <f>IFERROR(INDEX(tbl_recyclass[Segmento],MATCH(A1656,tbl_recyclass[ProductId],0)),"")</f>
        <v>Cosmética e higiene pessoal</v>
      </c>
      <c r="E1656" s="26" t="s">
        <v>904</v>
      </c>
      <c r="F1656" s="26" t="s">
        <v>1450</v>
      </c>
      <c r="G1656" s="26" t="s">
        <v>1143</v>
      </c>
      <c r="H1656" s="33" t="str">
        <f>IF(E1656="Não","Não aplicável",IFERROR(IF(B1656="EU-ENV-002",IF(INDEX(tbl_recyclass[Conforme_PPWR_2030],MATCH(A1656,tbl_recyclass[ProductId],0))="Sim","Conforme (autoavaliação)",IF(INDEX(tbl_recyclass[Conforme_PPWR_2030],MATCH(A1656,tbl_recyclass[ProductId],0))="Não","Não conforme em 2030","Isento até 2035")),IF(B1656="EU-ENV-003",IF(INDEX(tbl_recyclass[Conforme_Art7_2030],MATCH(A1656,tbl_recyclass[ProductId],0))="Sim","Conforme (meta 2030)",IF(INDEX(tbl_recyclass[Conforme_Art7_2030],MATCH(A1656,tbl_recyclass[ProductId],0))="Não","Lacuna face à meta 2030","Isento")),IF(B1656="EU-ENV-011",IF(INDEX(tbl_familias_ppwr[Metais_Pesados_Evidencia],MATCH(INDEX(tbl_recyclass[Familia_PPWR],MATCH(A1656,tbl_recyclass[ProductId],0)),tbl_familias_ppwr[ID_Familia],0))="Em falta","Lacuna","Conforme"),IF(B1656="EU-ENV-013",IF(INDEX(tbl_familias_ppwr[Declaracao_UE],MATCH(INDEX(tbl_recyclass[Familia_PPWR],MATCH(A1656,tbl_recyclass[ProductId],0)),tbl_familias_ppwr[ID_Familia],0))="Sim","Conforme","Lacuna"),G1656)))),G1656))</f>
        <v>Não aplicável</v>
      </c>
      <c r="I1656" s="33" t="str">
        <f t="shared" si="25"/>
        <v>Não aplicável</v>
      </c>
      <c r="J1656" s="26"/>
    </row>
    <row r="1657" spans="1:10" ht="16.05" customHeight="1" x14ac:dyDescent="0.3">
      <c r="A1657" s="26" t="s">
        <v>787</v>
      </c>
      <c r="B1657" s="26" t="s">
        <v>1078</v>
      </c>
      <c r="C1657" s="33" t="str">
        <f>IFERROR(INDEX(tbl_requisitos_emb[Tema],MATCH(B1657,tbl_requisitos_emb[ID_Req],0)),"")</f>
        <v>Reciclado à escala</v>
      </c>
      <c r="D1657" s="33" t="str">
        <f>IFERROR(INDEX(tbl_recyclass[Segmento],MATCH(A1657,tbl_recyclass[ProductId],0)),"")</f>
        <v>Cosmética e higiene pessoal</v>
      </c>
      <c r="E1657" s="26" t="s">
        <v>901</v>
      </c>
      <c r="F1657" s="26" t="s">
        <v>1449</v>
      </c>
      <c r="G1657" s="26" t="s">
        <v>990</v>
      </c>
      <c r="H1657" s="33" t="str">
        <f>IF(E1657="Não","Não aplicável",IFERROR(IF(B1657="EU-ENV-002",IF(INDEX(tbl_recyclass[Conforme_PPWR_2030],MATCH(A1657,tbl_recyclass[ProductId],0))="Sim","Conforme (autoavaliação)",IF(INDEX(tbl_recyclass[Conforme_PPWR_2030],MATCH(A1657,tbl_recyclass[ProductId],0))="Não","Não conforme em 2030","Isento até 2035")),IF(B1657="EU-ENV-003",IF(INDEX(tbl_recyclass[Conforme_Art7_2030],MATCH(A1657,tbl_recyclass[ProductId],0))="Sim","Conforme (meta 2030)",IF(INDEX(tbl_recyclass[Conforme_Art7_2030],MATCH(A1657,tbl_recyclass[ProductId],0))="Não","Lacuna face à meta 2030","Isento")),IF(B1657="EU-ENV-011",IF(INDEX(tbl_familias_ppwr[Metais_Pesados_Evidencia],MATCH(INDEX(tbl_recyclass[Familia_PPWR],MATCH(A1657,tbl_recyclass[ProductId],0)),tbl_familias_ppwr[ID_Familia],0))="Em falta","Lacuna","Conforme"),IF(B1657="EU-ENV-013",IF(INDEX(tbl_familias_ppwr[Declaracao_UE],MATCH(INDEX(tbl_recyclass[Familia_PPWR],MATCH(A1657,tbl_recyclass[ProductId],0)),tbl_familias_ppwr[ID_Familia],0))="Sim","Conforme","Lacuna"),G1657)))),G1657))</f>
        <v>Futuro</v>
      </c>
      <c r="I1657" s="33" t="str">
        <f t="shared" si="25"/>
        <v>Futuro</v>
      </c>
      <c r="J1657" s="26" t="s">
        <v>1082</v>
      </c>
    </row>
    <row r="1658" spans="1:10" ht="16.05" customHeight="1" x14ac:dyDescent="0.3">
      <c r="A1658" s="26" t="s">
        <v>787</v>
      </c>
      <c r="B1658" s="26" t="s">
        <v>1086</v>
      </c>
      <c r="C1658" s="33" t="str">
        <f>IFERROR(INDEX(tbl_requisitos_emb[Tema],MATCH(B1658,tbl_requisitos_emb[ID_Req],0)),"")</f>
        <v>Metais pesados</v>
      </c>
      <c r="D1658" s="33" t="str">
        <f>IFERROR(INDEX(tbl_recyclass[Segmento],MATCH(A1658,tbl_recyclass[ProductId],0)),"")</f>
        <v>Cosmética e higiene pessoal</v>
      </c>
      <c r="E1658" s="26" t="s">
        <v>901</v>
      </c>
      <c r="F1658" s="26" t="s">
        <v>1449</v>
      </c>
      <c r="G1658" s="26" t="s">
        <v>978</v>
      </c>
      <c r="H1658" s="33" t="str">
        <f>IF(E1658="Não","Não aplicável",IFERROR(IF(B1658="EU-ENV-002",IF(INDEX(tbl_recyclass[Conforme_PPWR_2030],MATCH(A1658,tbl_recyclass[ProductId],0))="Sim","Conforme (autoavaliação)",IF(INDEX(tbl_recyclass[Conforme_PPWR_2030],MATCH(A1658,tbl_recyclass[ProductId],0))="Não","Não conforme em 2030","Isento até 2035")),IF(B1658="EU-ENV-003",IF(INDEX(tbl_recyclass[Conforme_Art7_2030],MATCH(A1658,tbl_recyclass[ProductId],0))="Sim","Conforme (meta 2030)",IF(INDEX(tbl_recyclass[Conforme_Art7_2030],MATCH(A1658,tbl_recyclass[ProductId],0))="Não","Lacuna face à meta 2030","Isento")),IF(B1658="EU-ENV-011",IF(INDEX(tbl_familias_ppwr[Metais_Pesados_Evidencia],MATCH(INDEX(tbl_recyclass[Familia_PPWR],MATCH(A1658,tbl_recyclass[ProductId],0)),tbl_familias_ppwr[ID_Familia],0))="Em falta","Lacuna","Conforme"),IF(B1658="EU-ENV-013",IF(INDEX(tbl_familias_ppwr[Declaracao_UE],MATCH(INDEX(tbl_recyclass[Familia_PPWR],MATCH(A1658,tbl_recyclass[ProductId],0)),tbl_familias_ppwr[ID_Familia],0))="Sim","Conforme","Lacuna"),G1658)))),G1658))</f>
        <v>Lacuna</v>
      </c>
      <c r="I1658" s="33" t="str">
        <f t="shared" si="25"/>
        <v>Lacuna</v>
      </c>
      <c r="J1658" s="26" t="s">
        <v>1090</v>
      </c>
    </row>
    <row r="1659" spans="1:10" ht="16.05" customHeight="1" x14ac:dyDescent="0.3">
      <c r="A1659" s="26" t="s">
        <v>787</v>
      </c>
      <c r="B1659" s="26" t="s">
        <v>1094</v>
      </c>
      <c r="C1659" s="33" t="str">
        <f>IFERROR(INDEX(tbl_requisitos_emb[Tema],MATCH(B1659,tbl_requisitos_emb[ID_Req],0)),"")</f>
        <v>PFAS</v>
      </c>
      <c r="D1659" s="33" t="str">
        <f>IFERROR(INDEX(tbl_recyclass[Segmento],MATCH(A1659,tbl_recyclass[ProductId],0)),"")</f>
        <v>Cosmética e higiene pessoal</v>
      </c>
      <c r="E1659" s="26" t="s">
        <v>904</v>
      </c>
      <c r="F1659" s="26" t="s">
        <v>1450</v>
      </c>
      <c r="G1659" s="26" t="s">
        <v>1143</v>
      </c>
      <c r="H1659" s="33" t="str">
        <f>IF(E1659="Não","Não aplicável",IFERROR(IF(B1659="EU-ENV-002",IF(INDEX(tbl_recyclass[Conforme_PPWR_2030],MATCH(A1659,tbl_recyclass[ProductId],0))="Sim","Conforme (autoavaliação)",IF(INDEX(tbl_recyclass[Conforme_PPWR_2030],MATCH(A1659,tbl_recyclass[ProductId],0))="Não","Não conforme em 2030","Isento até 2035")),IF(B1659="EU-ENV-003",IF(INDEX(tbl_recyclass[Conforme_Art7_2030],MATCH(A1659,tbl_recyclass[ProductId],0))="Sim","Conforme (meta 2030)",IF(INDEX(tbl_recyclass[Conforme_Art7_2030],MATCH(A1659,tbl_recyclass[ProductId],0))="Não","Lacuna face à meta 2030","Isento")),IF(B1659="EU-ENV-011",IF(INDEX(tbl_familias_ppwr[Metais_Pesados_Evidencia],MATCH(INDEX(tbl_recyclass[Familia_PPWR],MATCH(A1659,tbl_recyclass[ProductId],0)),tbl_familias_ppwr[ID_Familia],0))="Em falta","Lacuna","Conforme"),IF(B1659="EU-ENV-013",IF(INDEX(tbl_familias_ppwr[Declaracao_UE],MATCH(INDEX(tbl_recyclass[Familia_PPWR],MATCH(A1659,tbl_recyclass[ProductId],0)),tbl_familias_ppwr[ID_Familia],0))="Sim","Conforme","Lacuna"),G1659)))),G1659))</f>
        <v>Não aplicável</v>
      </c>
      <c r="I1659" s="33" t="str">
        <f t="shared" si="25"/>
        <v>Não aplicável</v>
      </c>
      <c r="J1659" s="26"/>
    </row>
    <row r="1660" spans="1:10" ht="16.05" customHeight="1" x14ac:dyDescent="0.3">
      <c r="A1660" s="26" t="s">
        <v>787</v>
      </c>
      <c r="B1660" s="26" t="s">
        <v>1102</v>
      </c>
      <c r="C1660" s="33" t="str">
        <f>IFERROR(INDEX(tbl_requisitos_emb[Tema],MATCH(B1660,tbl_requisitos_emb[ID_Req],0)),"")</f>
        <v>Documentação técnica e declaração UE</v>
      </c>
      <c r="D1660" s="33" t="str">
        <f>IFERROR(INDEX(tbl_recyclass[Segmento],MATCH(A1660,tbl_recyclass[ProductId],0)),"")</f>
        <v>Cosmética e higiene pessoal</v>
      </c>
      <c r="E1660" s="26" t="s">
        <v>901</v>
      </c>
      <c r="F1660" s="26" t="s">
        <v>1449</v>
      </c>
      <c r="G1660" s="26" t="s">
        <v>978</v>
      </c>
      <c r="H1660" s="33" t="str">
        <f>IF(E1660="Não","Não aplicável",IFERROR(IF(B1660="EU-ENV-002",IF(INDEX(tbl_recyclass[Conforme_PPWR_2030],MATCH(A1660,tbl_recyclass[ProductId],0))="Sim","Conforme (autoavaliação)",IF(INDEX(tbl_recyclass[Conforme_PPWR_2030],MATCH(A1660,tbl_recyclass[ProductId],0))="Não","Não conforme em 2030","Isento até 2035")),IF(B1660="EU-ENV-003",IF(INDEX(tbl_recyclass[Conforme_Art7_2030],MATCH(A1660,tbl_recyclass[ProductId],0))="Sim","Conforme (meta 2030)",IF(INDEX(tbl_recyclass[Conforme_Art7_2030],MATCH(A1660,tbl_recyclass[ProductId],0))="Não","Lacuna face à meta 2030","Isento")),IF(B1660="EU-ENV-011",IF(INDEX(tbl_familias_ppwr[Metais_Pesados_Evidencia],MATCH(INDEX(tbl_recyclass[Familia_PPWR],MATCH(A1660,tbl_recyclass[ProductId],0)),tbl_familias_ppwr[ID_Familia],0))="Em falta","Lacuna","Conforme"),IF(B1660="EU-ENV-013",IF(INDEX(tbl_familias_ppwr[Declaracao_UE],MATCH(INDEX(tbl_recyclass[Familia_PPWR],MATCH(A1660,tbl_recyclass[ProductId],0)),tbl_familias_ppwr[ID_Familia],0))="Sim","Conforme","Lacuna"),G1660)))),G1660))</f>
        <v>Lacuna</v>
      </c>
      <c r="I1660" s="33" t="str">
        <f t="shared" si="25"/>
        <v>Lacuna</v>
      </c>
      <c r="J1660" s="26" t="s">
        <v>1106</v>
      </c>
    </row>
    <row r="1661" spans="1:10" ht="16.05" customHeight="1" x14ac:dyDescent="0.3">
      <c r="A1661" s="26" t="s">
        <v>787</v>
      </c>
      <c r="B1661" s="26" t="s">
        <v>1161</v>
      </c>
      <c r="C1661" s="33" t="str">
        <f>IFERROR(INDEX(tbl_requisitos_emb[Tema],MATCH(B1661,tbl_requisitos_emb[ID_Req],0)),"")</f>
        <v>Materiais em contacto com alimentos</v>
      </c>
      <c r="D1661" s="33" t="str">
        <f>IFERROR(INDEX(tbl_recyclass[Segmento],MATCH(A1661,tbl_recyclass[ProductId],0)),"")</f>
        <v>Cosmética e higiene pessoal</v>
      </c>
      <c r="E1661" s="26" t="s">
        <v>904</v>
      </c>
      <c r="F1661" s="26" t="s">
        <v>1450</v>
      </c>
      <c r="G1661" s="26" t="s">
        <v>1143</v>
      </c>
      <c r="H1661" s="33" t="str">
        <f>IF(E1661="Não","Não aplicável",IFERROR(IF(B1661="EU-ENV-002",IF(INDEX(tbl_recyclass[Conforme_PPWR_2030],MATCH(A1661,tbl_recyclass[ProductId],0))="Sim","Conforme (autoavaliação)",IF(INDEX(tbl_recyclass[Conforme_PPWR_2030],MATCH(A1661,tbl_recyclass[ProductId],0))="Não","Não conforme em 2030","Isento até 2035")),IF(B1661="EU-ENV-003",IF(INDEX(tbl_recyclass[Conforme_Art7_2030],MATCH(A1661,tbl_recyclass[ProductId],0))="Sim","Conforme (meta 2030)",IF(INDEX(tbl_recyclass[Conforme_Art7_2030],MATCH(A1661,tbl_recyclass[ProductId],0))="Não","Lacuna face à meta 2030","Isento")),IF(B1661="EU-ENV-011",IF(INDEX(tbl_familias_ppwr[Metais_Pesados_Evidencia],MATCH(INDEX(tbl_recyclass[Familia_PPWR],MATCH(A1661,tbl_recyclass[ProductId],0)),tbl_familias_ppwr[ID_Familia],0))="Em falta","Lacuna","Conforme"),IF(B1661="EU-ENV-013",IF(INDEX(tbl_familias_ppwr[Declaracao_UE],MATCH(INDEX(tbl_recyclass[Familia_PPWR],MATCH(A1661,tbl_recyclass[ProductId],0)),tbl_familias_ppwr[ID_Familia],0))="Sim","Conforme","Lacuna"),G1661)))),G1661))</f>
        <v>Não aplicável</v>
      </c>
      <c r="I1661" s="33" t="str">
        <f t="shared" si="25"/>
        <v>Não aplicável</v>
      </c>
      <c r="J1661" s="26"/>
    </row>
    <row r="1662" spans="1:10" ht="16.05" customHeight="1" x14ac:dyDescent="0.3">
      <c r="A1662" s="26" t="s">
        <v>787</v>
      </c>
      <c r="B1662" s="26" t="s">
        <v>1170</v>
      </c>
      <c r="C1662" s="33" t="str">
        <f>IFERROR(INDEX(tbl_requisitos_emb[Tema],MATCH(B1662,tbl_requisitos_emb[ID_Req],0)),"")</f>
        <v>Boas práticas de fabrico FCM</v>
      </c>
      <c r="D1662" s="33" t="str">
        <f>IFERROR(INDEX(tbl_recyclass[Segmento],MATCH(A1662,tbl_recyclass[ProductId],0)),"")</f>
        <v>Cosmética e higiene pessoal</v>
      </c>
      <c r="E1662" s="26" t="s">
        <v>904</v>
      </c>
      <c r="F1662" s="26" t="s">
        <v>1450</v>
      </c>
      <c r="G1662" s="26" t="s">
        <v>1143</v>
      </c>
      <c r="H1662" s="33" t="str">
        <f>IF(E1662="Não","Não aplicável",IFERROR(IF(B1662="EU-ENV-002",IF(INDEX(tbl_recyclass[Conforme_PPWR_2030],MATCH(A1662,tbl_recyclass[ProductId],0))="Sim","Conforme (autoavaliação)",IF(INDEX(tbl_recyclass[Conforme_PPWR_2030],MATCH(A1662,tbl_recyclass[ProductId],0))="Não","Não conforme em 2030","Isento até 2035")),IF(B1662="EU-ENV-003",IF(INDEX(tbl_recyclass[Conforme_Art7_2030],MATCH(A1662,tbl_recyclass[ProductId],0))="Sim","Conforme (meta 2030)",IF(INDEX(tbl_recyclass[Conforme_Art7_2030],MATCH(A1662,tbl_recyclass[ProductId],0))="Não","Lacuna face à meta 2030","Isento")),IF(B1662="EU-ENV-011",IF(INDEX(tbl_familias_ppwr[Metais_Pesados_Evidencia],MATCH(INDEX(tbl_recyclass[Familia_PPWR],MATCH(A1662,tbl_recyclass[ProductId],0)),tbl_familias_ppwr[ID_Familia],0))="Em falta","Lacuna","Conforme"),IF(B1662="EU-ENV-013",IF(INDEX(tbl_familias_ppwr[Declaracao_UE],MATCH(INDEX(tbl_recyclass[Familia_PPWR],MATCH(A1662,tbl_recyclass[ProductId],0)),tbl_familias_ppwr[ID_Familia],0))="Sim","Conforme","Lacuna"),G1662)))),G1662))</f>
        <v>Não aplicável</v>
      </c>
      <c r="I1662" s="33" t="str">
        <f t="shared" si="25"/>
        <v>Não aplicável</v>
      </c>
      <c r="J1662" s="26"/>
    </row>
    <row r="1663" spans="1:10" ht="16.05" customHeight="1" x14ac:dyDescent="0.3">
      <c r="A1663" s="26" t="s">
        <v>787</v>
      </c>
      <c r="B1663" s="26" t="s">
        <v>1179</v>
      </c>
      <c r="C1663" s="33" t="str">
        <f>IFERROR(INDEX(tbl_requisitos_emb[Tema],MATCH(B1663,tbl_requisitos_emb[ID_Req],0)),"")</f>
        <v>Bisfenol A e bisfenóis perigosos</v>
      </c>
      <c r="D1663" s="33" t="str">
        <f>IFERROR(INDEX(tbl_recyclass[Segmento],MATCH(A1663,tbl_recyclass[ProductId],0)),"")</f>
        <v>Cosmética e higiene pessoal</v>
      </c>
      <c r="E1663" s="26" t="s">
        <v>904</v>
      </c>
      <c r="F1663" s="26" t="s">
        <v>1450</v>
      </c>
      <c r="G1663" s="26" t="s">
        <v>1143</v>
      </c>
      <c r="H1663" s="33" t="str">
        <f>IF(E1663="Não","Não aplicável",IFERROR(IF(B1663="EU-ENV-002",IF(INDEX(tbl_recyclass[Conforme_PPWR_2030],MATCH(A1663,tbl_recyclass[ProductId],0))="Sim","Conforme (autoavaliação)",IF(INDEX(tbl_recyclass[Conforme_PPWR_2030],MATCH(A1663,tbl_recyclass[ProductId],0))="Não","Não conforme em 2030","Isento até 2035")),IF(B1663="EU-ENV-003",IF(INDEX(tbl_recyclass[Conforme_Art7_2030],MATCH(A1663,tbl_recyclass[ProductId],0))="Sim","Conforme (meta 2030)",IF(INDEX(tbl_recyclass[Conforme_Art7_2030],MATCH(A1663,tbl_recyclass[ProductId],0))="Não","Lacuna face à meta 2030","Isento")),IF(B1663="EU-ENV-011",IF(INDEX(tbl_familias_ppwr[Metais_Pesados_Evidencia],MATCH(INDEX(tbl_recyclass[Familia_PPWR],MATCH(A1663,tbl_recyclass[ProductId],0)),tbl_familias_ppwr[ID_Familia],0))="Em falta","Lacuna","Conforme"),IF(B1663="EU-ENV-013",IF(INDEX(tbl_familias_ppwr[Declaracao_UE],MATCH(INDEX(tbl_recyclass[Familia_PPWR],MATCH(A1663,tbl_recyclass[ProductId],0)),tbl_familias_ppwr[ID_Familia],0))="Sim","Conforme","Lacuna"),G1663)))),G1663))</f>
        <v>Não aplicável</v>
      </c>
      <c r="I1663" s="33" t="str">
        <f t="shared" si="25"/>
        <v>Não aplicável</v>
      </c>
      <c r="J1663" s="26"/>
    </row>
    <row r="1664" spans="1:10" ht="16.05" customHeight="1" x14ac:dyDescent="0.3">
      <c r="A1664" s="26" t="s">
        <v>787</v>
      </c>
      <c r="B1664" s="26" t="s">
        <v>1188</v>
      </c>
      <c r="C1664" s="33" t="str">
        <f>IFERROR(INDEX(tbl_requisitos_emb[Tema],MATCH(B1664,tbl_requisitos_emb[ID_Req],0)),"")</f>
        <v>Plásticos em contacto com alimentos</v>
      </c>
      <c r="D1664" s="33" t="str">
        <f>IFERROR(INDEX(tbl_recyclass[Segmento],MATCH(A1664,tbl_recyclass[ProductId],0)),"")</f>
        <v>Cosmética e higiene pessoal</v>
      </c>
      <c r="E1664" s="26" t="s">
        <v>904</v>
      </c>
      <c r="F1664" s="26" t="s">
        <v>1450</v>
      </c>
      <c r="G1664" s="26" t="s">
        <v>1143</v>
      </c>
      <c r="H1664" s="33" t="str">
        <f>IF(E1664="Não","Não aplicável",IFERROR(IF(B1664="EU-ENV-002",IF(INDEX(tbl_recyclass[Conforme_PPWR_2030],MATCH(A1664,tbl_recyclass[ProductId],0))="Sim","Conforme (autoavaliação)",IF(INDEX(tbl_recyclass[Conforme_PPWR_2030],MATCH(A1664,tbl_recyclass[ProductId],0))="Não","Não conforme em 2030","Isento até 2035")),IF(B1664="EU-ENV-003",IF(INDEX(tbl_recyclass[Conforme_Art7_2030],MATCH(A1664,tbl_recyclass[ProductId],0))="Sim","Conforme (meta 2030)",IF(INDEX(tbl_recyclass[Conforme_Art7_2030],MATCH(A1664,tbl_recyclass[ProductId],0))="Não","Lacuna face à meta 2030","Isento")),IF(B1664="EU-ENV-011",IF(INDEX(tbl_familias_ppwr[Metais_Pesados_Evidencia],MATCH(INDEX(tbl_recyclass[Familia_PPWR],MATCH(A1664,tbl_recyclass[ProductId],0)),tbl_familias_ppwr[ID_Familia],0))="Em falta","Lacuna","Conforme"),IF(B1664="EU-ENV-013",IF(INDEX(tbl_familias_ppwr[Declaracao_UE],MATCH(INDEX(tbl_recyclass[Familia_PPWR],MATCH(A1664,tbl_recyclass[ProductId],0)),tbl_familias_ppwr[ID_Familia],0))="Sim","Conforme","Lacuna"),G1664)))),G1664))</f>
        <v>Não aplicável</v>
      </c>
      <c r="I1664" s="33" t="str">
        <f t="shared" si="25"/>
        <v>Não aplicável</v>
      </c>
      <c r="J1664" s="26"/>
    </row>
    <row r="1665" spans="1:10" ht="16.05" customHeight="1" x14ac:dyDescent="0.3">
      <c r="A1665" s="26" t="s">
        <v>787</v>
      </c>
      <c r="B1665" s="26" t="s">
        <v>1212</v>
      </c>
      <c r="C1665" s="33" t="str">
        <f>IFERROR(INDEX(tbl_requisitos_emb[Tema],MATCH(B1665,tbl_requisitos_emb[ID_Req],0)),"")</f>
        <v>Segurança do produto cosmético</v>
      </c>
      <c r="D1665" s="33" t="str">
        <f>IFERROR(INDEX(tbl_recyclass[Segmento],MATCH(A1665,tbl_recyclass[ProductId],0)),"")</f>
        <v>Cosmética e higiene pessoal</v>
      </c>
      <c r="E1665" s="26" t="s">
        <v>901</v>
      </c>
      <c r="F1665" s="26" t="s">
        <v>1449</v>
      </c>
      <c r="G1665" s="26" t="s">
        <v>1033</v>
      </c>
      <c r="H1665" s="33" t="str">
        <f>IF(E1665="Não","Não aplicável",IFERROR(IF(B1665="EU-ENV-002",IF(INDEX(tbl_recyclass[Conforme_PPWR_2030],MATCH(A1665,tbl_recyclass[ProductId],0))="Sim","Conforme (autoavaliação)",IF(INDEX(tbl_recyclass[Conforme_PPWR_2030],MATCH(A1665,tbl_recyclass[ProductId],0))="Não","Não conforme em 2030","Isento até 2035")),IF(B1665="EU-ENV-003",IF(INDEX(tbl_recyclass[Conforme_Art7_2030],MATCH(A1665,tbl_recyclass[ProductId],0))="Sim","Conforme (meta 2030)",IF(INDEX(tbl_recyclass[Conforme_Art7_2030],MATCH(A1665,tbl_recyclass[ProductId],0))="Não","Lacuna face à meta 2030","Isento")),IF(B1665="EU-ENV-011",IF(INDEX(tbl_familias_ppwr[Metais_Pesados_Evidencia],MATCH(INDEX(tbl_recyclass[Familia_PPWR],MATCH(A1665,tbl_recyclass[ProductId],0)),tbl_familias_ppwr[ID_Familia],0))="Em falta","Lacuna","Conforme"),IF(B1665="EU-ENV-013",IF(INDEX(tbl_familias_ppwr[Declaracao_UE],MATCH(INDEX(tbl_recyclass[Familia_PPWR],MATCH(A1665,tbl_recyclass[ProductId],0)),tbl_familias_ppwr[ID_Familia],0))="Sim","Conforme","Lacuna"),G1665)))),G1665))</f>
        <v>Conforme</v>
      </c>
      <c r="I1665" s="33" t="str">
        <f t="shared" si="25"/>
        <v>Conforme</v>
      </c>
      <c r="J1665" s="26" t="s">
        <v>1221</v>
      </c>
    </row>
    <row r="1666" spans="1:10" ht="16.05" customHeight="1" x14ac:dyDescent="0.3">
      <c r="A1666" s="26" t="s">
        <v>787</v>
      </c>
      <c r="B1666" s="26" t="s">
        <v>1224</v>
      </c>
      <c r="C1666" s="33" t="str">
        <f>IFERROR(INDEX(tbl_requisitos_emb[Tema],MATCH(B1666,tbl_requisitos_emb[ID_Req],0)),"")</f>
        <v>Materiais e impurezas</v>
      </c>
      <c r="D1666" s="33" t="str">
        <f>IFERROR(INDEX(tbl_recyclass[Segmento],MATCH(A1666,tbl_recyclass[ProductId],0)),"")</f>
        <v>Cosmética e higiene pessoal</v>
      </c>
      <c r="E1666" s="26" t="s">
        <v>901</v>
      </c>
      <c r="F1666" s="26" t="s">
        <v>1449</v>
      </c>
      <c r="G1666" s="26" t="s">
        <v>978</v>
      </c>
      <c r="H1666" s="33" t="str">
        <f>IF(E1666="Não","Não aplicável",IFERROR(IF(B1666="EU-ENV-002",IF(INDEX(tbl_recyclass[Conforme_PPWR_2030],MATCH(A1666,tbl_recyclass[ProductId],0))="Sim","Conforme (autoavaliação)",IF(INDEX(tbl_recyclass[Conforme_PPWR_2030],MATCH(A1666,tbl_recyclass[ProductId],0))="Não","Não conforme em 2030","Isento até 2035")),IF(B1666="EU-ENV-003",IF(INDEX(tbl_recyclass[Conforme_Art7_2030],MATCH(A1666,tbl_recyclass[ProductId],0))="Sim","Conforme (meta 2030)",IF(INDEX(tbl_recyclass[Conforme_Art7_2030],MATCH(A1666,tbl_recyclass[ProductId],0))="Não","Lacuna face à meta 2030","Isento")),IF(B1666="EU-ENV-011",IF(INDEX(tbl_familias_ppwr[Metais_Pesados_Evidencia],MATCH(INDEX(tbl_recyclass[Familia_PPWR],MATCH(A1666,tbl_recyclass[ProductId],0)),tbl_familias_ppwr[ID_Familia],0))="Em falta","Lacuna","Conforme"),IF(B1666="EU-ENV-013",IF(INDEX(tbl_familias_ppwr[Declaracao_UE],MATCH(INDEX(tbl_recyclass[Familia_PPWR],MATCH(A1666,tbl_recyclass[ProductId],0)),tbl_familias_ppwr[ID_Familia],0))="Sim","Conforme","Lacuna"),G1666)))),G1666))</f>
        <v>Parcial</v>
      </c>
      <c r="I1666" s="33" t="str">
        <f t="shared" ref="I1666:I1729" si="26">IF(ISNUMBER(SEARCH("Não aplicável",H1666)),"Não aplicável",IF(ISNUMBER(SEARCH("Isento",H1666)),"Isento",IF(ISNUMBER(SEARCH("Não conforme",H1666)),"Não conforme",IF(ISNUMBER(SEARCH("Lacuna",H1666)),"Lacuna",IF(ISNUMBER(SEARCH("Conforme",H1666)),"Conforme",H1666)))))</f>
        <v>Parcial</v>
      </c>
      <c r="J1666" s="26" t="s">
        <v>1228</v>
      </c>
    </row>
    <row r="1667" spans="1:10" ht="16.05" customHeight="1" x14ac:dyDescent="0.3">
      <c r="A1667" s="26" t="s">
        <v>787</v>
      </c>
      <c r="B1667" s="26" t="s">
        <v>1240</v>
      </c>
      <c r="C1667" s="33" t="str">
        <f>IFERROR(INDEX(tbl_requisitos_emb[Tema],MATCH(B1667,tbl_requisitos_emb[ID_Req],0)),"")</f>
        <v>Compatibilidade embalagem–produto</v>
      </c>
      <c r="D1667" s="33" t="str">
        <f>IFERROR(INDEX(tbl_recyclass[Segmento],MATCH(A1667,tbl_recyclass[ProductId],0)),"")</f>
        <v>Cosmética e higiene pessoal</v>
      </c>
      <c r="E1667" s="26" t="s">
        <v>901</v>
      </c>
      <c r="F1667" s="26" t="s">
        <v>1449</v>
      </c>
      <c r="G1667" s="26" t="s">
        <v>1033</v>
      </c>
      <c r="H1667" s="33" t="str">
        <f>IF(E1667="Não","Não aplicável",IFERROR(IF(B1667="EU-ENV-002",IF(INDEX(tbl_recyclass[Conforme_PPWR_2030],MATCH(A1667,tbl_recyclass[ProductId],0))="Sim","Conforme (autoavaliação)",IF(INDEX(tbl_recyclass[Conforme_PPWR_2030],MATCH(A1667,tbl_recyclass[ProductId],0))="Não","Não conforme em 2030","Isento até 2035")),IF(B1667="EU-ENV-003",IF(INDEX(tbl_recyclass[Conforme_Art7_2030],MATCH(A1667,tbl_recyclass[ProductId],0))="Sim","Conforme (meta 2030)",IF(INDEX(tbl_recyclass[Conforme_Art7_2030],MATCH(A1667,tbl_recyclass[ProductId],0))="Não","Lacuna face à meta 2030","Isento")),IF(B1667="EU-ENV-011",IF(INDEX(tbl_familias_ppwr[Metais_Pesados_Evidencia],MATCH(INDEX(tbl_recyclass[Familia_PPWR],MATCH(A1667,tbl_recyclass[ProductId],0)),tbl_familias_ppwr[ID_Familia],0))="Em falta","Lacuna","Conforme"),IF(B1667="EU-ENV-013",IF(INDEX(tbl_familias_ppwr[Declaracao_UE],MATCH(INDEX(tbl_recyclass[Familia_PPWR],MATCH(A1667,tbl_recyclass[ProductId],0)),tbl_familias_ppwr[ID_Familia],0))="Sim","Conforme","Lacuna"),G1667)))),G1667))</f>
        <v>Conforme</v>
      </c>
      <c r="I1667" s="33" t="str">
        <f t="shared" si="26"/>
        <v>Conforme</v>
      </c>
      <c r="J1667" s="26" t="s">
        <v>1244</v>
      </c>
    </row>
    <row r="1668" spans="1:10" ht="16.05" customHeight="1" x14ac:dyDescent="0.3">
      <c r="A1668" s="26" t="s">
        <v>787</v>
      </c>
      <c r="B1668" s="26" t="s">
        <v>1252</v>
      </c>
      <c r="C1668" s="33" t="str">
        <f>IFERROR(INDEX(tbl_requisitos_emb[Tema],MATCH(B1668,tbl_requisitos_emb[ID_Req],0)),"")</f>
        <v>Medicamentos de uso humano</v>
      </c>
      <c r="D1668" s="33" t="str">
        <f>IFERROR(INDEX(tbl_recyclass[Segmento],MATCH(A1668,tbl_recyclass[ProductId],0)),"")</f>
        <v>Cosmética e higiene pessoal</v>
      </c>
      <c r="E1668" s="26" t="s">
        <v>904</v>
      </c>
      <c r="F1668" s="26" t="s">
        <v>1451</v>
      </c>
      <c r="G1668" s="26" t="s">
        <v>1143</v>
      </c>
      <c r="H1668" s="33" t="str">
        <f>IF(E1668="Não","Não aplicável",IFERROR(IF(B1668="EU-ENV-002",IF(INDEX(tbl_recyclass[Conforme_PPWR_2030],MATCH(A1668,tbl_recyclass[ProductId],0))="Sim","Conforme (autoavaliação)",IF(INDEX(tbl_recyclass[Conforme_PPWR_2030],MATCH(A1668,tbl_recyclass[ProductId],0))="Não","Não conforme em 2030","Isento até 2035")),IF(B1668="EU-ENV-003",IF(INDEX(tbl_recyclass[Conforme_Art7_2030],MATCH(A1668,tbl_recyclass[ProductId],0))="Sim","Conforme (meta 2030)",IF(INDEX(tbl_recyclass[Conforme_Art7_2030],MATCH(A1668,tbl_recyclass[ProductId],0))="Não","Lacuna face à meta 2030","Isento")),IF(B1668="EU-ENV-011",IF(INDEX(tbl_familias_ppwr[Metais_Pesados_Evidencia],MATCH(INDEX(tbl_recyclass[Familia_PPWR],MATCH(A1668,tbl_recyclass[ProductId],0)),tbl_familias_ppwr[ID_Familia],0))="Em falta","Lacuna","Conforme"),IF(B1668="EU-ENV-013",IF(INDEX(tbl_familias_ppwr[Declaracao_UE],MATCH(INDEX(tbl_recyclass[Familia_PPWR],MATCH(A1668,tbl_recyclass[ProductId],0)),tbl_familias_ppwr[ID_Familia],0))="Sim","Conforme","Lacuna"),G1668)))),G1668))</f>
        <v>Não aplicável</v>
      </c>
      <c r="I1668" s="33" t="str">
        <f t="shared" si="26"/>
        <v>Não aplicável</v>
      </c>
      <c r="J1668" s="26"/>
    </row>
    <row r="1669" spans="1:10" ht="16.05" customHeight="1" x14ac:dyDescent="0.3">
      <c r="A1669" s="26" t="s">
        <v>787</v>
      </c>
      <c r="B1669" s="26" t="s">
        <v>1268</v>
      </c>
      <c r="C1669" s="33" t="str">
        <f>IFERROR(INDEX(tbl_requisitos_emb[Tema],MATCH(B1669,tbl_requisitos_emb[ID_Req],0)),"")</f>
        <v>Dispositivos de segurança</v>
      </c>
      <c r="D1669" s="33" t="str">
        <f>IFERROR(INDEX(tbl_recyclass[Segmento],MATCH(A1669,tbl_recyclass[ProductId],0)),"")</f>
        <v>Cosmética e higiene pessoal</v>
      </c>
      <c r="E1669" s="26" t="s">
        <v>904</v>
      </c>
      <c r="F1669" s="26" t="s">
        <v>1451</v>
      </c>
      <c r="G1669" s="26" t="s">
        <v>1143</v>
      </c>
      <c r="H1669" s="33" t="str">
        <f>IF(E1669="Não","Não aplicável",IFERROR(IF(B1669="EU-ENV-002",IF(INDEX(tbl_recyclass[Conforme_PPWR_2030],MATCH(A1669,tbl_recyclass[ProductId],0))="Sim","Conforme (autoavaliação)",IF(INDEX(tbl_recyclass[Conforme_PPWR_2030],MATCH(A1669,tbl_recyclass[ProductId],0))="Não","Não conforme em 2030","Isento até 2035")),IF(B1669="EU-ENV-003",IF(INDEX(tbl_recyclass[Conforme_Art7_2030],MATCH(A1669,tbl_recyclass[ProductId],0))="Sim","Conforme (meta 2030)",IF(INDEX(tbl_recyclass[Conforme_Art7_2030],MATCH(A1669,tbl_recyclass[ProductId],0))="Não","Lacuna face à meta 2030","Isento")),IF(B1669="EU-ENV-011",IF(INDEX(tbl_familias_ppwr[Metais_Pesados_Evidencia],MATCH(INDEX(tbl_recyclass[Familia_PPWR],MATCH(A1669,tbl_recyclass[ProductId],0)),tbl_familias_ppwr[ID_Familia],0))="Em falta","Lacuna","Conforme"),IF(B1669="EU-ENV-013",IF(INDEX(tbl_familias_ppwr[Declaracao_UE],MATCH(INDEX(tbl_recyclass[Familia_PPWR],MATCH(A1669,tbl_recyclass[ProductId],0)),tbl_familias_ppwr[ID_Familia],0))="Sim","Conforme","Lacuna"),G1669)))),G1669))</f>
        <v>Não aplicável</v>
      </c>
      <c r="I1669" s="33" t="str">
        <f t="shared" si="26"/>
        <v>Não aplicável</v>
      </c>
      <c r="J1669" s="26"/>
    </row>
    <row r="1670" spans="1:10" ht="16.05" customHeight="1" x14ac:dyDescent="0.3">
      <c r="A1670" s="26" t="s">
        <v>787</v>
      </c>
      <c r="B1670" s="26" t="s">
        <v>1285</v>
      </c>
      <c r="C1670" s="33" t="str">
        <f>IFERROR(INDEX(tbl_requisitos_emb[Tema],MATCH(B1670,tbl_requisitos_emb[ID_Req],0)),"")</f>
        <v>Materiais plásticos de acondicionamento primário</v>
      </c>
      <c r="D1670" s="33" t="str">
        <f>IFERROR(INDEX(tbl_recyclass[Segmento],MATCH(A1670,tbl_recyclass[ProductId],0)),"")</f>
        <v>Cosmética e higiene pessoal</v>
      </c>
      <c r="E1670" s="26" t="s">
        <v>904</v>
      </c>
      <c r="F1670" s="26" t="s">
        <v>1451</v>
      </c>
      <c r="G1670" s="26" t="s">
        <v>1143</v>
      </c>
      <c r="H1670" s="33" t="str">
        <f>IF(E1670="Não","Não aplicável",IFERROR(IF(B1670="EU-ENV-002",IF(INDEX(tbl_recyclass[Conforme_PPWR_2030],MATCH(A1670,tbl_recyclass[ProductId],0))="Sim","Conforme (autoavaliação)",IF(INDEX(tbl_recyclass[Conforme_PPWR_2030],MATCH(A1670,tbl_recyclass[ProductId],0))="Não","Não conforme em 2030","Isento até 2035")),IF(B1670="EU-ENV-003",IF(INDEX(tbl_recyclass[Conforme_Art7_2030],MATCH(A1670,tbl_recyclass[ProductId],0))="Sim","Conforme (meta 2030)",IF(INDEX(tbl_recyclass[Conforme_Art7_2030],MATCH(A1670,tbl_recyclass[ProductId],0))="Não","Lacuna face à meta 2030","Isento")),IF(B1670="EU-ENV-011",IF(INDEX(tbl_familias_ppwr[Metais_Pesados_Evidencia],MATCH(INDEX(tbl_recyclass[Familia_PPWR],MATCH(A1670,tbl_recyclass[ProductId],0)),tbl_familias_ppwr[ID_Familia],0))="Em falta","Lacuna","Conforme"),IF(B1670="EU-ENV-013",IF(INDEX(tbl_familias_ppwr[Declaracao_UE],MATCH(INDEX(tbl_recyclass[Familia_PPWR],MATCH(A1670,tbl_recyclass[ProductId],0)),tbl_familias_ppwr[ID_Familia],0))="Sim","Conforme","Lacuna"),G1670)))),G1670))</f>
        <v>Não aplicável</v>
      </c>
      <c r="I1670" s="33" t="str">
        <f t="shared" si="26"/>
        <v>Não aplicável</v>
      </c>
      <c r="J1670" s="26"/>
    </row>
    <row r="1671" spans="1:10" ht="16.05" customHeight="1" x14ac:dyDescent="0.3">
      <c r="A1671" s="26" t="s">
        <v>787</v>
      </c>
      <c r="B1671" s="26" t="s">
        <v>1293</v>
      </c>
      <c r="C1671" s="33" t="str">
        <f>IFERROR(INDEX(tbl_requisitos_emb[Tema],MATCH(B1671,tbl_requisitos_emb[ID_Req],0)),"")</f>
        <v>Isenções PPWR</v>
      </c>
      <c r="D1671" s="33" t="str">
        <f>IFERROR(INDEX(tbl_recyclass[Segmento],MATCH(A1671,tbl_recyclass[ProductId],0)),"")</f>
        <v>Cosmética e higiene pessoal</v>
      </c>
      <c r="E1671" s="26" t="s">
        <v>904</v>
      </c>
      <c r="F1671" s="26" t="s">
        <v>1451</v>
      </c>
      <c r="G1671" s="26" t="s">
        <v>1143</v>
      </c>
      <c r="H1671" s="33" t="str">
        <f>IF(E1671="Não","Não aplicável",IFERROR(IF(B1671="EU-ENV-002",IF(INDEX(tbl_recyclass[Conforme_PPWR_2030],MATCH(A1671,tbl_recyclass[ProductId],0))="Sim","Conforme (autoavaliação)",IF(INDEX(tbl_recyclass[Conforme_PPWR_2030],MATCH(A1671,tbl_recyclass[ProductId],0))="Não","Não conforme em 2030","Isento até 2035")),IF(B1671="EU-ENV-003",IF(INDEX(tbl_recyclass[Conforme_Art7_2030],MATCH(A1671,tbl_recyclass[ProductId],0))="Sim","Conforme (meta 2030)",IF(INDEX(tbl_recyclass[Conforme_Art7_2030],MATCH(A1671,tbl_recyclass[ProductId],0))="Não","Lacuna face à meta 2030","Isento")),IF(B1671="EU-ENV-011",IF(INDEX(tbl_familias_ppwr[Metais_Pesados_Evidencia],MATCH(INDEX(tbl_recyclass[Familia_PPWR],MATCH(A1671,tbl_recyclass[ProductId],0)),tbl_familias_ppwr[ID_Familia],0))="Em falta","Lacuna","Conforme"),IF(B1671="EU-ENV-013",IF(INDEX(tbl_familias_ppwr[Declaracao_UE],MATCH(INDEX(tbl_recyclass[Familia_PPWR],MATCH(A1671,tbl_recyclass[ProductId],0)),tbl_familias_ppwr[ID_Familia],0))="Sim","Conforme","Lacuna"),G1671)))),G1671))</f>
        <v>Não aplicável</v>
      </c>
      <c r="I1671" s="33" t="str">
        <f t="shared" si="26"/>
        <v>Não aplicável</v>
      </c>
      <c r="J1671" s="26"/>
    </row>
    <row r="1672" spans="1:10" ht="16.05" customHeight="1" x14ac:dyDescent="0.3">
      <c r="A1672" s="26" t="s">
        <v>787</v>
      </c>
      <c r="B1672" s="26" t="s">
        <v>1357</v>
      </c>
      <c r="C1672" s="33" t="str">
        <f>IFERROR(INDEX(tbl_requisitos_emb[Tema],MATCH(B1672,tbl_requisitos_emb[ID_Req],0)),"")</f>
        <v>Identificação de plásticos</v>
      </c>
      <c r="D1672" s="33" t="str">
        <f>IFERROR(INDEX(tbl_recyclass[Segmento],MATCH(A1672,tbl_recyclass[ProductId],0)),"")</f>
        <v>Cosmética e higiene pessoal</v>
      </c>
      <c r="E1672" s="26" t="s">
        <v>901</v>
      </c>
      <c r="F1672" s="26" t="s">
        <v>1449</v>
      </c>
      <c r="G1672" s="26" t="s">
        <v>978</v>
      </c>
      <c r="H1672" s="33" t="str">
        <f>IF(E1672="Não","Não aplicável",IFERROR(IF(B1672="EU-ENV-002",IF(INDEX(tbl_recyclass[Conforme_PPWR_2030],MATCH(A1672,tbl_recyclass[ProductId],0))="Sim","Conforme (autoavaliação)",IF(INDEX(tbl_recyclass[Conforme_PPWR_2030],MATCH(A1672,tbl_recyclass[ProductId],0))="Não","Não conforme em 2030","Isento até 2035")),IF(B1672="EU-ENV-003",IF(INDEX(tbl_recyclass[Conforme_Art7_2030],MATCH(A1672,tbl_recyclass[ProductId],0))="Sim","Conforme (meta 2030)",IF(INDEX(tbl_recyclass[Conforme_Art7_2030],MATCH(A1672,tbl_recyclass[ProductId],0))="Não","Lacuna face à meta 2030","Isento")),IF(B1672="EU-ENV-011",IF(INDEX(tbl_familias_ppwr[Metais_Pesados_Evidencia],MATCH(INDEX(tbl_recyclass[Familia_PPWR],MATCH(A1672,tbl_recyclass[ProductId],0)),tbl_familias_ppwr[ID_Familia],0))="Em falta","Lacuna","Conforme"),IF(B1672="EU-ENV-013",IF(INDEX(tbl_familias_ppwr[Declaracao_UE],MATCH(INDEX(tbl_recyclass[Familia_PPWR],MATCH(A1672,tbl_recyclass[ProductId],0)),tbl_familias_ppwr[ID_Familia],0))="Sim","Conforme","Lacuna"),G1672)))),G1672))</f>
        <v>Parcial</v>
      </c>
      <c r="I1672" s="33" t="str">
        <f t="shared" si="26"/>
        <v>Parcial</v>
      </c>
      <c r="J1672" s="26" t="s">
        <v>1362</v>
      </c>
    </row>
    <row r="1673" spans="1:10" ht="16.05" customHeight="1" x14ac:dyDescent="0.3">
      <c r="A1673" s="26" t="s">
        <v>787</v>
      </c>
      <c r="B1673" s="26" t="s">
        <v>1385</v>
      </c>
      <c r="C1673" s="33" t="str">
        <f>IFERROR(INDEX(tbl_requisitos_emb[Tema],MATCH(B1673,tbl_requisitos_emb[ID_Req],0)),"")</f>
        <v>Reciclabilidade (voluntária)</v>
      </c>
      <c r="D1673" s="33" t="str">
        <f>IFERROR(INDEX(tbl_recyclass[Segmento],MATCH(A1673,tbl_recyclass[ProductId],0)),"")</f>
        <v>Cosmética e higiene pessoal</v>
      </c>
      <c r="E1673" s="26" t="s">
        <v>901</v>
      </c>
      <c r="F1673" s="26" t="s">
        <v>1449</v>
      </c>
      <c r="G1673" s="26" t="s">
        <v>978</v>
      </c>
      <c r="H1673" s="33" t="str">
        <f>IF(E1673="Não","Não aplicável",IFERROR(IF(B1673="EU-ENV-002",IF(INDEX(tbl_recyclass[Conforme_PPWR_2030],MATCH(A1673,tbl_recyclass[ProductId],0))="Sim","Conforme (autoavaliação)",IF(INDEX(tbl_recyclass[Conforme_PPWR_2030],MATCH(A1673,tbl_recyclass[ProductId],0))="Não","Não conforme em 2030","Isento até 2035")),IF(B1673="EU-ENV-003",IF(INDEX(tbl_recyclass[Conforme_Art7_2030],MATCH(A1673,tbl_recyclass[ProductId],0))="Sim","Conforme (meta 2030)",IF(INDEX(tbl_recyclass[Conforme_Art7_2030],MATCH(A1673,tbl_recyclass[ProductId],0))="Não","Lacuna face à meta 2030","Isento")),IF(B1673="EU-ENV-011",IF(INDEX(tbl_familias_ppwr[Metais_Pesados_Evidencia],MATCH(INDEX(tbl_recyclass[Familia_PPWR],MATCH(A1673,tbl_recyclass[ProductId],0)),tbl_familias_ppwr[ID_Familia],0))="Em falta","Lacuna","Conforme"),IF(B1673="EU-ENV-013",IF(INDEX(tbl_familias_ppwr[Declaracao_UE],MATCH(INDEX(tbl_recyclass[Familia_PPWR],MATCH(A1673,tbl_recyclass[ProductId],0)),tbl_familias_ppwr[ID_Familia],0))="Sim","Conforme","Lacuna"),G1673)))),G1673))</f>
        <v>Parcial</v>
      </c>
      <c r="I1673" s="33" t="str">
        <f t="shared" si="26"/>
        <v>Parcial</v>
      </c>
      <c r="J1673" s="26" t="s">
        <v>1389</v>
      </c>
    </row>
    <row r="1674" spans="1:10" ht="16.05" customHeight="1" x14ac:dyDescent="0.3">
      <c r="A1674" s="26" t="s">
        <v>790</v>
      </c>
      <c r="B1674" s="26" t="s">
        <v>984</v>
      </c>
      <c r="C1674" s="33" t="str">
        <f>IFERROR(INDEX(tbl_requisitos_emb[Tema],MATCH(B1674,tbl_requisitos_emb[ID_Req],0)),"")</f>
        <v>Conceção para reciclagem</v>
      </c>
      <c r="D1674" s="33" t="str">
        <f>IFERROR(INDEX(tbl_recyclass[Segmento],MATCH(A1674,tbl_recyclass[ProductId],0)),"")</f>
        <v>Cosmética e higiene pessoal</v>
      </c>
      <c r="E1674" s="26" t="s">
        <v>901</v>
      </c>
      <c r="F1674" s="26" t="s">
        <v>1449</v>
      </c>
      <c r="G1674" s="26" t="s">
        <v>978</v>
      </c>
      <c r="H1674" s="33" t="str">
        <f>IF(E1674="Não","Não aplicável",IFERROR(IF(B1674="EU-ENV-002",IF(INDEX(tbl_recyclass[Conforme_PPWR_2030],MATCH(A1674,tbl_recyclass[ProductId],0))="Sim","Conforme (autoavaliação)",IF(INDEX(tbl_recyclass[Conforme_PPWR_2030],MATCH(A1674,tbl_recyclass[ProductId],0))="Não","Não conforme em 2030","Isento até 2035")),IF(B1674="EU-ENV-003",IF(INDEX(tbl_recyclass[Conforme_Art7_2030],MATCH(A1674,tbl_recyclass[ProductId],0))="Sim","Conforme (meta 2030)",IF(INDEX(tbl_recyclass[Conforme_Art7_2030],MATCH(A1674,tbl_recyclass[ProductId],0))="Não","Lacuna face à meta 2030","Isento")),IF(B1674="EU-ENV-011",IF(INDEX(tbl_familias_ppwr[Metais_Pesados_Evidencia],MATCH(INDEX(tbl_recyclass[Familia_PPWR],MATCH(A1674,tbl_recyclass[ProductId],0)),tbl_familias_ppwr[ID_Familia],0))="Em falta","Lacuna","Conforme"),IF(B1674="EU-ENV-013",IF(INDEX(tbl_familias_ppwr[Declaracao_UE],MATCH(INDEX(tbl_recyclass[Familia_PPWR],MATCH(A1674,tbl_recyclass[ProductId],0)),tbl_familias_ppwr[ID_Familia],0))="Sim","Conforme","Lacuna"),G1674)))),G1674))</f>
        <v>Não conforme em 2030</v>
      </c>
      <c r="I1674" s="33" t="str">
        <f t="shared" si="26"/>
        <v>Não conforme</v>
      </c>
      <c r="J1674" s="26" t="s">
        <v>991</v>
      </c>
    </row>
    <row r="1675" spans="1:10" ht="16.05" customHeight="1" x14ac:dyDescent="0.3">
      <c r="A1675" s="26" t="s">
        <v>790</v>
      </c>
      <c r="B1675" s="26" t="s">
        <v>997</v>
      </c>
      <c r="C1675" s="33" t="str">
        <f>IFERROR(INDEX(tbl_requisitos_emb[Tema],MATCH(B1675,tbl_requisitos_emb[ID_Req],0)),"")</f>
        <v>Conteúdo reciclado</v>
      </c>
      <c r="D1675" s="33" t="str">
        <f>IFERROR(INDEX(tbl_recyclass[Segmento],MATCH(A1675,tbl_recyclass[ProductId],0)),"")</f>
        <v>Cosmética e higiene pessoal</v>
      </c>
      <c r="E1675" s="26" t="s">
        <v>901</v>
      </c>
      <c r="F1675" s="26" t="s">
        <v>1449</v>
      </c>
      <c r="G1675" s="26" t="s">
        <v>978</v>
      </c>
      <c r="H1675" s="33" t="str">
        <f>IF(E1675="Não","Não aplicável",IFERROR(IF(B1675="EU-ENV-002",IF(INDEX(tbl_recyclass[Conforme_PPWR_2030],MATCH(A1675,tbl_recyclass[ProductId],0))="Sim","Conforme (autoavaliação)",IF(INDEX(tbl_recyclass[Conforme_PPWR_2030],MATCH(A1675,tbl_recyclass[ProductId],0))="Não","Não conforme em 2030","Isento até 2035")),IF(B1675="EU-ENV-003",IF(INDEX(tbl_recyclass[Conforme_Art7_2030],MATCH(A1675,tbl_recyclass[ProductId],0))="Sim","Conforme (meta 2030)",IF(INDEX(tbl_recyclass[Conforme_Art7_2030],MATCH(A1675,tbl_recyclass[ProductId],0))="Não","Lacuna face à meta 2030","Isento")),IF(B1675="EU-ENV-011",IF(INDEX(tbl_familias_ppwr[Metais_Pesados_Evidencia],MATCH(INDEX(tbl_recyclass[Familia_PPWR],MATCH(A1675,tbl_recyclass[ProductId],0)),tbl_familias_ppwr[ID_Familia],0))="Em falta","Lacuna","Conforme"),IF(B1675="EU-ENV-013",IF(INDEX(tbl_familias_ppwr[Declaracao_UE],MATCH(INDEX(tbl_recyclass[Familia_PPWR],MATCH(A1675,tbl_recyclass[ProductId],0)),tbl_familias_ppwr[ID_Familia],0))="Sim","Conforme","Lacuna"),G1675)))),G1675))</f>
        <v>Lacuna face à meta 2030</v>
      </c>
      <c r="I1675" s="33" t="str">
        <f t="shared" si="26"/>
        <v>Lacuna</v>
      </c>
      <c r="J1675" s="26" t="s">
        <v>1001</v>
      </c>
    </row>
    <row r="1676" spans="1:10" ht="16.05" customHeight="1" x14ac:dyDescent="0.3">
      <c r="A1676" s="26" t="s">
        <v>790</v>
      </c>
      <c r="B1676" s="26" t="s">
        <v>1007</v>
      </c>
      <c r="C1676" s="33" t="str">
        <f>IFERROR(INDEX(tbl_requisitos_emb[Tema],MATCH(B1676,tbl_requisitos_emb[ID_Req],0)),"")</f>
        <v>Minimização</v>
      </c>
      <c r="D1676" s="33" t="str">
        <f>IFERROR(INDEX(tbl_recyclass[Segmento],MATCH(A1676,tbl_recyclass[ProductId],0)),"")</f>
        <v>Cosmética e higiene pessoal</v>
      </c>
      <c r="E1676" s="26" t="s">
        <v>901</v>
      </c>
      <c r="F1676" s="26" t="s">
        <v>1449</v>
      </c>
      <c r="G1676" s="26" t="s">
        <v>978</v>
      </c>
      <c r="H1676" s="33" t="str">
        <f>IF(E1676="Não","Não aplicável",IFERROR(IF(B1676="EU-ENV-002",IF(INDEX(tbl_recyclass[Conforme_PPWR_2030],MATCH(A1676,tbl_recyclass[ProductId],0))="Sim","Conforme (autoavaliação)",IF(INDEX(tbl_recyclass[Conforme_PPWR_2030],MATCH(A1676,tbl_recyclass[ProductId],0))="Não","Não conforme em 2030","Isento até 2035")),IF(B1676="EU-ENV-003",IF(INDEX(tbl_recyclass[Conforme_Art7_2030],MATCH(A1676,tbl_recyclass[ProductId],0))="Sim","Conforme (meta 2030)",IF(INDEX(tbl_recyclass[Conforme_Art7_2030],MATCH(A1676,tbl_recyclass[ProductId],0))="Não","Lacuna face à meta 2030","Isento")),IF(B1676="EU-ENV-011",IF(INDEX(tbl_familias_ppwr[Metais_Pesados_Evidencia],MATCH(INDEX(tbl_recyclass[Familia_PPWR],MATCH(A1676,tbl_recyclass[ProductId],0)),tbl_familias_ppwr[ID_Familia],0))="Em falta","Lacuna","Conforme"),IF(B1676="EU-ENV-013",IF(INDEX(tbl_familias_ppwr[Declaracao_UE],MATCH(INDEX(tbl_recyclass[Familia_PPWR],MATCH(A1676,tbl_recyclass[ProductId],0)),tbl_familias_ppwr[ID_Familia],0))="Sim","Conforme","Lacuna"),G1676)))),G1676))</f>
        <v>Parcial</v>
      </c>
      <c r="I1676" s="33" t="str">
        <f t="shared" si="26"/>
        <v>Parcial</v>
      </c>
      <c r="J1676" s="26" t="s">
        <v>1012</v>
      </c>
    </row>
    <row r="1677" spans="1:10" ht="16.05" customHeight="1" x14ac:dyDescent="0.3">
      <c r="A1677" s="26" t="s">
        <v>790</v>
      </c>
      <c r="B1677" s="26" t="s">
        <v>1016</v>
      </c>
      <c r="C1677" s="33" t="str">
        <f>IFERROR(INDEX(tbl_requisitos_emb[Tema],MATCH(B1677,tbl_requisitos_emb[ID_Req],0)),"")</f>
        <v>Rotulagem</v>
      </c>
      <c r="D1677" s="33" t="str">
        <f>IFERROR(INDEX(tbl_recyclass[Segmento],MATCH(A1677,tbl_recyclass[ProductId],0)),"")</f>
        <v>Cosmética e higiene pessoal</v>
      </c>
      <c r="E1677" s="26" t="s">
        <v>901</v>
      </c>
      <c r="F1677" s="26" t="s">
        <v>1449</v>
      </c>
      <c r="G1677" s="26" t="s">
        <v>990</v>
      </c>
      <c r="H1677" s="33" t="str">
        <f>IF(E1677="Não","Não aplicável",IFERROR(IF(B1677="EU-ENV-002",IF(INDEX(tbl_recyclass[Conforme_PPWR_2030],MATCH(A1677,tbl_recyclass[ProductId],0))="Sim","Conforme (autoavaliação)",IF(INDEX(tbl_recyclass[Conforme_PPWR_2030],MATCH(A1677,tbl_recyclass[ProductId],0))="Não","Não conforme em 2030","Isento até 2035")),IF(B1677="EU-ENV-003",IF(INDEX(tbl_recyclass[Conforme_Art7_2030],MATCH(A1677,tbl_recyclass[ProductId],0))="Sim","Conforme (meta 2030)",IF(INDEX(tbl_recyclass[Conforme_Art7_2030],MATCH(A1677,tbl_recyclass[ProductId],0))="Não","Lacuna face à meta 2030","Isento")),IF(B1677="EU-ENV-011",IF(INDEX(tbl_familias_ppwr[Metais_Pesados_Evidencia],MATCH(INDEX(tbl_recyclass[Familia_PPWR],MATCH(A1677,tbl_recyclass[ProductId],0)),tbl_familias_ppwr[ID_Familia],0))="Em falta","Lacuna","Conforme"),IF(B1677="EU-ENV-013",IF(INDEX(tbl_familias_ppwr[Declaracao_UE],MATCH(INDEX(tbl_recyclass[Familia_PPWR],MATCH(A1677,tbl_recyclass[ProductId],0)),tbl_familias_ppwr[ID_Familia],0))="Sim","Conforme","Lacuna"),G1677)))),G1677))</f>
        <v>Futuro</v>
      </c>
      <c r="I1677" s="33" t="str">
        <f t="shared" si="26"/>
        <v>Futuro</v>
      </c>
      <c r="J1677" s="26" t="s">
        <v>1021</v>
      </c>
    </row>
    <row r="1678" spans="1:10" ht="16.05" customHeight="1" x14ac:dyDescent="0.3">
      <c r="A1678" s="26" t="s">
        <v>790</v>
      </c>
      <c r="B1678" s="26" t="s">
        <v>1038</v>
      </c>
      <c r="C1678" s="33" t="str">
        <f>IFERROR(INDEX(tbl_requisitos_emb[Tema],MATCH(B1678,tbl_requisitos_emb[ID_Req],0)),"")</f>
        <v>Plásticos de utilização única</v>
      </c>
      <c r="D1678" s="33" t="str">
        <f>IFERROR(INDEX(tbl_recyclass[Segmento],MATCH(A1678,tbl_recyclass[ProductId],0)),"")</f>
        <v>Cosmética e higiene pessoal</v>
      </c>
      <c r="E1678" s="26" t="s">
        <v>904</v>
      </c>
      <c r="F1678" s="26" t="s">
        <v>1450</v>
      </c>
      <c r="G1678" s="26" t="s">
        <v>1143</v>
      </c>
      <c r="H1678" s="33" t="str">
        <f>IF(E1678="Não","Não aplicável",IFERROR(IF(B1678="EU-ENV-002",IF(INDEX(tbl_recyclass[Conforme_PPWR_2030],MATCH(A1678,tbl_recyclass[ProductId],0))="Sim","Conforme (autoavaliação)",IF(INDEX(tbl_recyclass[Conforme_PPWR_2030],MATCH(A1678,tbl_recyclass[ProductId],0))="Não","Não conforme em 2030","Isento até 2035")),IF(B1678="EU-ENV-003",IF(INDEX(tbl_recyclass[Conforme_Art7_2030],MATCH(A1678,tbl_recyclass[ProductId],0))="Sim","Conforme (meta 2030)",IF(INDEX(tbl_recyclass[Conforme_Art7_2030],MATCH(A1678,tbl_recyclass[ProductId],0))="Não","Lacuna face à meta 2030","Isento")),IF(B1678="EU-ENV-011",IF(INDEX(tbl_familias_ppwr[Metais_Pesados_Evidencia],MATCH(INDEX(tbl_recyclass[Familia_PPWR],MATCH(A1678,tbl_recyclass[ProductId],0)),tbl_familias_ppwr[ID_Familia],0))="Em falta","Lacuna","Conforme"),IF(B1678="EU-ENV-013",IF(INDEX(tbl_familias_ppwr[Declaracao_UE],MATCH(INDEX(tbl_recyclass[Familia_PPWR],MATCH(A1678,tbl_recyclass[ProductId],0)),tbl_familias_ppwr[ID_Familia],0))="Sim","Conforme","Lacuna"),G1678)))),G1678))</f>
        <v>Não aplicável</v>
      </c>
      <c r="I1678" s="33" t="str">
        <f t="shared" si="26"/>
        <v>Não aplicável</v>
      </c>
      <c r="J1678" s="26"/>
    </row>
    <row r="1679" spans="1:10" ht="16.05" customHeight="1" x14ac:dyDescent="0.3">
      <c r="A1679" s="26" t="s">
        <v>790</v>
      </c>
      <c r="B1679" s="26" t="s">
        <v>1078</v>
      </c>
      <c r="C1679" s="33" t="str">
        <f>IFERROR(INDEX(tbl_requisitos_emb[Tema],MATCH(B1679,tbl_requisitos_emb[ID_Req],0)),"")</f>
        <v>Reciclado à escala</v>
      </c>
      <c r="D1679" s="33" t="str">
        <f>IFERROR(INDEX(tbl_recyclass[Segmento],MATCH(A1679,tbl_recyclass[ProductId],0)),"")</f>
        <v>Cosmética e higiene pessoal</v>
      </c>
      <c r="E1679" s="26" t="s">
        <v>901</v>
      </c>
      <c r="F1679" s="26" t="s">
        <v>1449</v>
      </c>
      <c r="G1679" s="26" t="s">
        <v>990</v>
      </c>
      <c r="H1679" s="33" t="str">
        <f>IF(E1679="Não","Não aplicável",IFERROR(IF(B1679="EU-ENV-002",IF(INDEX(tbl_recyclass[Conforme_PPWR_2030],MATCH(A1679,tbl_recyclass[ProductId],0))="Sim","Conforme (autoavaliação)",IF(INDEX(tbl_recyclass[Conforme_PPWR_2030],MATCH(A1679,tbl_recyclass[ProductId],0))="Não","Não conforme em 2030","Isento até 2035")),IF(B1679="EU-ENV-003",IF(INDEX(tbl_recyclass[Conforme_Art7_2030],MATCH(A1679,tbl_recyclass[ProductId],0))="Sim","Conforme (meta 2030)",IF(INDEX(tbl_recyclass[Conforme_Art7_2030],MATCH(A1679,tbl_recyclass[ProductId],0))="Não","Lacuna face à meta 2030","Isento")),IF(B1679="EU-ENV-011",IF(INDEX(tbl_familias_ppwr[Metais_Pesados_Evidencia],MATCH(INDEX(tbl_recyclass[Familia_PPWR],MATCH(A1679,tbl_recyclass[ProductId],0)),tbl_familias_ppwr[ID_Familia],0))="Em falta","Lacuna","Conforme"),IF(B1679="EU-ENV-013",IF(INDEX(tbl_familias_ppwr[Declaracao_UE],MATCH(INDEX(tbl_recyclass[Familia_PPWR],MATCH(A1679,tbl_recyclass[ProductId],0)),tbl_familias_ppwr[ID_Familia],0))="Sim","Conforme","Lacuna"),G1679)))),G1679))</f>
        <v>Futuro</v>
      </c>
      <c r="I1679" s="33" t="str">
        <f t="shared" si="26"/>
        <v>Futuro</v>
      </c>
      <c r="J1679" s="26" t="s">
        <v>1082</v>
      </c>
    </row>
    <row r="1680" spans="1:10" ht="16.05" customHeight="1" x14ac:dyDescent="0.3">
      <c r="A1680" s="26" t="s">
        <v>790</v>
      </c>
      <c r="B1680" s="26" t="s">
        <v>1086</v>
      </c>
      <c r="C1680" s="33" t="str">
        <f>IFERROR(INDEX(tbl_requisitos_emb[Tema],MATCH(B1680,tbl_requisitos_emb[ID_Req],0)),"")</f>
        <v>Metais pesados</v>
      </c>
      <c r="D1680" s="33" t="str">
        <f>IFERROR(INDEX(tbl_recyclass[Segmento],MATCH(A1680,tbl_recyclass[ProductId],0)),"")</f>
        <v>Cosmética e higiene pessoal</v>
      </c>
      <c r="E1680" s="26" t="s">
        <v>901</v>
      </c>
      <c r="F1680" s="26" t="s">
        <v>1449</v>
      </c>
      <c r="G1680" s="26" t="s">
        <v>978</v>
      </c>
      <c r="H1680" s="33" t="str">
        <f>IF(E1680="Não","Não aplicável",IFERROR(IF(B1680="EU-ENV-002",IF(INDEX(tbl_recyclass[Conforme_PPWR_2030],MATCH(A1680,tbl_recyclass[ProductId],0))="Sim","Conforme (autoavaliação)",IF(INDEX(tbl_recyclass[Conforme_PPWR_2030],MATCH(A1680,tbl_recyclass[ProductId],0))="Não","Não conforme em 2030","Isento até 2035")),IF(B1680="EU-ENV-003",IF(INDEX(tbl_recyclass[Conforme_Art7_2030],MATCH(A1680,tbl_recyclass[ProductId],0))="Sim","Conforme (meta 2030)",IF(INDEX(tbl_recyclass[Conforme_Art7_2030],MATCH(A1680,tbl_recyclass[ProductId],0))="Não","Lacuna face à meta 2030","Isento")),IF(B1680="EU-ENV-011",IF(INDEX(tbl_familias_ppwr[Metais_Pesados_Evidencia],MATCH(INDEX(tbl_recyclass[Familia_PPWR],MATCH(A1680,tbl_recyclass[ProductId],0)),tbl_familias_ppwr[ID_Familia],0))="Em falta","Lacuna","Conforme"),IF(B1680="EU-ENV-013",IF(INDEX(tbl_familias_ppwr[Declaracao_UE],MATCH(INDEX(tbl_recyclass[Familia_PPWR],MATCH(A1680,tbl_recyclass[ProductId],0)),tbl_familias_ppwr[ID_Familia],0))="Sim","Conforme","Lacuna"),G1680)))),G1680))</f>
        <v>Lacuna</v>
      </c>
      <c r="I1680" s="33" t="str">
        <f t="shared" si="26"/>
        <v>Lacuna</v>
      </c>
      <c r="J1680" s="26" t="s">
        <v>1090</v>
      </c>
    </row>
    <row r="1681" spans="1:10" ht="16.05" customHeight="1" x14ac:dyDescent="0.3">
      <c r="A1681" s="26" t="s">
        <v>790</v>
      </c>
      <c r="B1681" s="26" t="s">
        <v>1094</v>
      </c>
      <c r="C1681" s="33" t="str">
        <f>IFERROR(INDEX(tbl_requisitos_emb[Tema],MATCH(B1681,tbl_requisitos_emb[ID_Req],0)),"")</f>
        <v>PFAS</v>
      </c>
      <c r="D1681" s="33" t="str">
        <f>IFERROR(INDEX(tbl_recyclass[Segmento],MATCH(A1681,tbl_recyclass[ProductId],0)),"")</f>
        <v>Cosmética e higiene pessoal</v>
      </c>
      <c r="E1681" s="26" t="s">
        <v>904</v>
      </c>
      <c r="F1681" s="26" t="s">
        <v>1450</v>
      </c>
      <c r="G1681" s="26" t="s">
        <v>1143</v>
      </c>
      <c r="H1681" s="33" t="str">
        <f>IF(E1681="Não","Não aplicável",IFERROR(IF(B1681="EU-ENV-002",IF(INDEX(tbl_recyclass[Conforme_PPWR_2030],MATCH(A1681,tbl_recyclass[ProductId],0))="Sim","Conforme (autoavaliação)",IF(INDEX(tbl_recyclass[Conforme_PPWR_2030],MATCH(A1681,tbl_recyclass[ProductId],0))="Não","Não conforme em 2030","Isento até 2035")),IF(B1681="EU-ENV-003",IF(INDEX(tbl_recyclass[Conforme_Art7_2030],MATCH(A1681,tbl_recyclass[ProductId],0))="Sim","Conforme (meta 2030)",IF(INDEX(tbl_recyclass[Conforme_Art7_2030],MATCH(A1681,tbl_recyclass[ProductId],0))="Não","Lacuna face à meta 2030","Isento")),IF(B1681="EU-ENV-011",IF(INDEX(tbl_familias_ppwr[Metais_Pesados_Evidencia],MATCH(INDEX(tbl_recyclass[Familia_PPWR],MATCH(A1681,tbl_recyclass[ProductId],0)),tbl_familias_ppwr[ID_Familia],0))="Em falta","Lacuna","Conforme"),IF(B1681="EU-ENV-013",IF(INDEX(tbl_familias_ppwr[Declaracao_UE],MATCH(INDEX(tbl_recyclass[Familia_PPWR],MATCH(A1681,tbl_recyclass[ProductId],0)),tbl_familias_ppwr[ID_Familia],0))="Sim","Conforme","Lacuna"),G1681)))),G1681))</f>
        <v>Não aplicável</v>
      </c>
      <c r="I1681" s="33" t="str">
        <f t="shared" si="26"/>
        <v>Não aplicável</v>
      </c>
      <c r="J1681" s="26"/>
    </row>
    <row r="1682" spans="1:10" ht="16.05" customHeight="1" x14ac:dyDescent="0.3">
      <c r="A1682" s="26" t="s">
        <v>790</v>
      </c>
      <c r="B1682" s="26" t="s">
        <v>1102</v>
      </c>
      <c r="C1682" s="33" t="str">
        <f>IFERROR(INDEX(tbl_requisitos_emb[Tema],MATCH(B1682,tbl_requisitos_emb[ID_Req],0)),"")</f>
        <v>Documentação técnica e declaração UE</v>
      </c>
      <c r="D1682" s="33" t="str">
        <f>IFERROR(INDEX(tbl_recyclass[Segmento],MATCH(A1682,tbl_recyclass[ProductId],0)),"")</f>
        <v>Cosmética e higiene pessoal</v>
      </c>
      <c r="E1682" s="26" t="s">
        <v>901</v>
      </c>
      <c r="F1682" s="26" t="s">
        <v>1449</v>
      </c>
      <c r="G1682" s="26" t="s">
        <v>978</v>
      </c>
      <c r="H1682" s="33" t="str">
        <f>IF(E1682="Não","Não aplicável",IFERROR(IF(B1682="EU-ENV-002",IF(INDEX(tbl_recyclass[Conforme_PPWR_2030],MATCH(A1682,tbl_recyclass[ProductId],0))="Sim","Conforme (autoavaliação)",IF(INDEX(tbl_recyclass[Conforme_PPWR_2030],MATCH(A1682,tbl_recyclass[ProductId],0))="Não","Não conforme em 2030","Isento até 2035")),IF(B1682="EU-ENV-003",IF(INDEX(tbl_recyclass[Conforme_Art7_2030],MATCH(A1682,tbl_recyclass[ProductId],0))="Sim","Conforme (meta 2030)",IF(INDEX(tbl_recyclass[Conforme_Art7_2030],MATCH(A1682,tbl_recyclass[ProductId],0))="Não","Lacuna face à meta 2030","Isento")),IF(B1682="EU-ENV-011",IF(INDEX(tbl_familias_ppwr[Metais_Pesados_Evidencia],MATCH(INDEX(tbl_recyclass[Familia_PPWR],MATCH(A1682,tbl_recyclass[ProductId],0)),tbl_familias_ppwr[ID_Familia],0))="Em falta","Lacuna","Conforme"),IF(B1682="EU-ENV-013",IF(INDEX(tbl_familias_ppwr[Declaracao_UE],MATCH(INDEX(tbl_recyclass[Familia_PPWR],MATCH(A1682,tbl_recyclass[ProductId],0)),tbl_familias_ppwr[ID_Familia],0))="Sim","Conforme","Lacuna"),G1682)))),G1682))</f>
        <v>Conforme</v>
      </c>
      <c r="I1682" s="33" t="str">
        <f t="shared" si="26"/>
        <v>Conforme</v>
      </c>
      <c r="J1682" s="26" t="s">
        <v>1106</v>
      </c>
    </row>
    <row r="1683" spans="1:10" ht="16.05" customHeight="1" x14ac:dyDescent="0.3">
      <c r="A1683" s="26" t="s">
        <v>790</v>
      </c>
      <c r="B1683" s="26" t="s">
        <v>1161</v>
      </c>
      <c r="C1683" s="33" t="str">
        <f>IFERROR(INDEX(tbl_requisitos_emb[Tema],MATCH(B1683,tbl_requisitos_emb[ID_Req],0)),"")</f>
        <v>Materiais em contacto com alimentos</v>
      </c>
      <c r="D1683" s="33" t="str">
        <f>IFERROR(INDEX(tbl_recyclass[Segmento],MATCH(A1683,tbl_recyclass[ProductId],0)),"")</f>
        <v>Cosmética e higiene pessoal</v>
      </c>
      <c r="E1683" s="26" t="s">
        <v>904</v>
      </c>
      <c r="F1683" s="26" t="s">
        <v>1450</v>
      </c>
      <c r="G1683" s="26" t="s">
        <v>1143</v>
      </c>
      <c r="H1683" s="33" t="str">
        <f>IF(E1683="Não","Não aplicável",IFERROR(IF(B1683="EU-ENV-002",IF(INDEX(tbl_recyclass[Conforme_PPWR_2030],MATCH(A1683,tbl_recyclass[ProductId],0))="Sim","Conforme (autoavaliação)",IF(INDEX(tbl_recyclass[Conforme_PPWR_2030],MATCH(A1683,tbl_recyclass[ProductId],0))="Não","Não conforme em 2030","Isento até 2035")),IF(B1683="EU-ENV-003",IF(INDEX(tbl_recyclass[Conforme_Art7_2030],MATCH(A1683,tbl_recyclass[ProductId],0))="Sim","Conforme (meta 2030)",IF(INDEX(tbl_recyclass[Conforme_Art7_2030],MATCH(A1683,tbl_recyclass[ProductId],0))="Não","Lacuna face à meta 2030","Isento")),IF(B1683="EU-ENV-011",IF(INDEX(tbl_familias_ppwr[Metais_Pesados_Evidencia],MATCH(INDEX(tbl_recyclass[Familia_PPWR],MATCH(A1683,tbl_recyclass[ProductId],0)),tbl_familias_ppwr[ID_Familia],0))="Em falta","Lacuna","Conforme"),IF(B1683="EU-ENV-013",IF(INDEX(tbl_familias_ppwr[Declaracao_UE],MATCH(INDEX(tbl_recyclass[Familia_PPWR],MATCH(A1683,tbl_recyclass[ProductId],0)),tbl_familias_ppwr[ID_Familia],0))="Sim","Conforme","Lacuna"),G1683)))),G1683))</f>
        <v>Não aplicável</v>
      </c>
      <c r="I1683" s="33" t="str">
        <f t="shared" si="26"/>
        <v>Não aplicável</v>
      </c>
      <c r="J1683" s="26"/>
    </row>
    <row r="1684" spans="1:10" ht="16.05" customHeight="1" x14ac:dyDescent="0.3">
      <c r="A1684" s="26" t="s">
        <v>790</v>
      </c>
      <c r="B1684" s="26" t="s">
        <v>1170</v>
      </c>
      <c r="C1684" s="33" t="str">
        <f>IFERROR(INDEX(tbl_requisitos_emb[Tema],MATCH(B1684,tbl_requisitos_emb[ID_Req],0)),"")</f>
        <v>Boas práticas de fabrico FCM</v>
      </c>
      <c r="D1684" s="33" t="str">
        <f>IFERROR(INDEX(tbl_recyclass[Segmento],MATCH(A1684,tbl_recyclass[ProductId],0)),"")</f>
        <v>Cosmética e higiene pessoal</v>
      </c>
      <c r="E1684" s="26" t="s">
        <v>904</v>
      </c>
      <c r="F1684" s="26" t="s">
        <v>1450</v>
      </c>
      <c r="G1684" s="26" t="s">
        <v>1143</v>
      </c>
      <c r="H1684" s="33" t="str">
        <f>IF(E1684="Não","Não aplicável",IFERROR(IF(B1684="EU-ENV-002",IF(INDEX(tbl_recyclass[Conforme_PPWR_2030],MATCH(A1684,tbl_recyclass[ProductId],0))="Sim","Conforme (autoavaliação)",IF(INDEX(tbl_recyclass[Conforme_PPWR_2030],MATCH(A1684,tbl_recyclass[ProductId],0))="Não","Não conforme em 2030","Isento até 2035")),IF(B1684="EU-ENV-003",IF(INDEX(tbl_recyclass[Conforme_Art7_2030],MATCH(A1684,tbl_recyclass[ProductId],0))="Sim","Conforme (meta 2030)",IF(INDEX(tbl_recyclass[Conforme_Art7_2030],MATCH(A1684,tbl_recyclass[ProductId],0))="Não","Lacuna face à meta 2030","Isento")),IF(B1684="EU-ENV-011",IF(INDEX(tbl_familias_ppwr[Metais_Pesados_Evidencia],MATCH(INDEX(tbl_recyclass[Familia_PPWR],MATCH(A1684,tbl_recyclass[ProductId],0)),tbl_familias_ppwr[ID_Familia],0))="Em falta","Lacuna","Conforme"),IF(B1684="EU-ENV-013",IF(INDEX(tbl_familias_ppwr[Declaracao_UE],MATCH(INDEX(tbl_recyclass[Familia_PPWR],MATCH(A1684,tbl_recyclass[ProductId],0)),tbl_familias_ppwr[ID_Familia],0))="Sim","Conforme","Lacuna"),G1684)))),G1684))</f>
        <v>Não aplicável</v>
      </c>
      <c r="I1684" s="33" t="str">
        <f t="shared" si="26"/>
        <v>Não aplicável</v>
      </c>
      <c r="J1684" s="26"/>
    </row>
    <row r="1685" spans="1:10" ht="16.05" customHeight="1" x14ac:dyDescent="0.3">
      <c r="A1685" s="26" t="s">
        <v>790</v>
      </c>
      <c r="B1685" s="26" t="s">
        <v>1179</v>
      </c>
      <c r="C1685" s="33" t="str">
        <f>IFERROR(INDEX(tbl_requisitos_emb[Tema],MATCH(B1685,tbl_requisitos_emb[ID_Req],0)),"")</f>
        <v>Bisfenol A e bisfenóis perigosos</v>
      </c>
      <c r="D1685" s="33" t="str">
        <f>IFERROR(INDEX(tbl_recyclass[Segmento],MATCH(A1685,tbl_recyclass[ProductId],0)),"")</f>
        <v>Cosmética e higiene pessoal</v>
      </c>
      <c r="E1685" s="26" t="s">
        <v>904</v>
      </c>
      <c r="F1685" s="26" t="s">
        <v>1450</v>
      </c>
      <c r="G1685" s="26" t="s">
        <v>1143</v>
      </c>
      <c r="H1685" s="33" t="str">
        <f>IF(E1685="Não","Não aplicável",IFERROR(IF(B1685="EU-ENV-002",IF(INDEX(tbl_recyclass[Conforme_PPWR_2030],MATCH(A1685,tbl_recyclass[ProductId],0))="Sim","Conforme (autoavaliação)",IF(INDEX(tbl_recyclass[Conforme_PPWR_2030],MATCH(A1685,tbl_recyclass[ProductId],0))="Não","Não conforme em 2030","Isento até 2035")),IF(B1685="EU-ENV-003",IF(INDEX(tbl_recyclass[Conforme_Art7_2030],MATCH(A1685,tbl_recyclass[ProductId],0))="Sim","Conforme (meta 2030)",IF(INDEX(tbl_recyclass[Conforme_Art7_2030],MATCH(A1685,tbl_recyclass[ProductId],0))="Não","Lacuna face à meta 2030","Isento")),IF(B1685="EU-ENV-011",IF(INDEX(tbl_familias_ppwr[Metais_Pesados_Evidencia],MATCH(INDEX(tbl_recyclass[Familia_PPWR],MATCH(A1685,tbl_recyclass[ProductId],0)),tbl_familias_ppwr[ID_Familia],0))="Em falta","Lacuna","Conforme"),IF(B1685="EU-ENV-013",IF(INDEX(tbl_familias_ppwr[Declaracao_UE],MATCH(INDEX(tbl_recyclass[Familia_PPWR],MATCH(A1685,tbl_recyclass[ProductId],0)),tbl_familias_ppwr[ID_Familia],0))="Sim","Conforme","Lacuna"),G1685)))),G1685))</f>
        <v>Não aplicável</v>
      </c>
      <c r="I1685" s="33" t="str">
        <f t="shared" si="26"/>
        <v>Não aplicável</v>
      </c>
      <c r="J1685" s="26"/>
    </row>
    <row r="1686" spans="1:10" ht="16.05" customHeight="1" x14ac:dyDescent="0.3">
      <c r="A1686" s="26" t="s">
        <v>790</v>
      </c>
      <c r="B1686" s="26" t="s">
        <v>1188</v>
      </c>
      <c r="C1686" s="33" t="str">
        <f>IFERROR(INDEX(tbl_requisitos_emb[Tema],MATCH(B1686,tbl_requisitos_emb[ID_Req],0)),"")</f>
        <v>Plásticos em contacto com alimentos</v>
      </c>
      <c r="D1686" s="33" t="str">
        <f>IFERROR(INDEX(tbl_recyclass[Segmento],MATCH(A1686,tbl_recyclass[ProductId],0)),"")</f>
        <v>Cosmética e higiene pessoal</v>
      </c>
      <c r="E1686" s="26" t="s">
        <v>904</v>
      </c>
      <c r="F1686" s="26" t="s">
        <v>1450</v>
      </c>
      <c r="G1686" s="26" t="s">
        <v>1143</v>
      </c>
      <c r="H1686" s="33" t="str">
        <f>IF(E1686="Não","Não aplicável",IFERROR(IF(B1686="EU-ENV-002",IF(INDEX(tbl_recyclass[Conforme_PPWR_2030],MATCH(A1686,tbl_recyclass[ProductId],0))="Sim","Conforme (autoavaliação)",IF(INDEX(tbl_recyclass[Conforme_PPWR_2030],MATCH(A1686,tbl_recyclass[ProductId],0))="Não","Não conforme em 2030","Isento até 2035")),IF(B1686="EU-ENV-003",IF(INDEX(tbl_recyclass[Conforme_Art7_2030],MATCH(A1686,tbl_recyclass[ProductId],0))="Sim","Conforme (meta 2030)",IF(INDEX(tbl_recyclass[Conforme_Art7_2030],MATCH(A1686,tbl_recyclass[ProductId],0))="Não","Lacuna face à meta 2030","Isento")),IF(B1686="EU-ENV-011",IF(INDEX(tbl_familias_ppwr[Metais_Pesados_Evidencia],MATCH(INDEX(tbl_recyclass[Familia_PPWR],MATCH(A1686,tbl_recyclass[ProductId],0)),tbl_familias_ppwr[ID_Familia],0))="Em falta","Lacuna","Conforme"),IF(B1686="EU-ENV-013",IF(INDEX(tbl_familias_ppwr[Declaracao_UE],MATCH(INDEX(tbl_recyclass[Familia_PPWR],MATCH(A1686,tbl_recyclass[ProductId],0)),tbl_familias_ppwr[ID_Familia],0))="Sim","Conforme","Lacuna"),G1686)))),G1686))</f>
        <v>Não aplicável</v>
      </c>
      <c r="I1686" s="33" t="str">
        <f t="shared" si="26"/>
        <v>Não aplicável</v>
      </c>
      <c r="J1686" s="26"/>
    </row>
    <row r="1687" spans="1:10" ht="16.05" customHeight="1" x14ac:dyDescent="0.3">
      <c r="A1687" s="26" t="s">
        <v>790</v>
      </c>
      <c r="B1687" s="26" t="s">
        <v>1212</v>
      </c>
      <c r="C1687" s="33" t="str">
        <f>IFERROR(INDEX(tbl_requisitos_emb[Tema],MATCH(B1687,tbl_requisitos_emb[ID_Req],0)),"")</f>
        <v>Segurança do produto cosmético</v>
      </c>
      <c r="D1687" s="33" t="str">
        <f>IFERROR(INDEX(tbl_recyclass[Segmento],MATCH(A1687,tbl_recyclass[ProductId],0)),"")</f>
        <v>Cosmética e higiene pessoal</v>
      </c>
      <c r="E1687" s="26" t="s">
        <v>901</v>
      </c>
      <c r="F1687" s="26" t="s">
        <v>1449</v>
      </c>
      <c r="G1687" s="26" t="s">
        <v>1033</v>
      </c>
      <c r="H1687" s="33" t="str">
        <f>IF(E1687="Não","Não aplicável",IFERROR(IF(B1687="EU-ENV-002",IF(INDEX(tbl_recyclass[Conforme_PPWR_2030],MATCH(A1687,tbl_recyclass[ProductId],0))="Sim","Conforme (autoavaliação)",IF(INDEX(tbl_recyclass[Conforme_PPWR_2030],MATCH(A1687,tbl_recyclass[ProductId],0))="Não","Não conforme em 2030","Isento até 2035")),IF(B1687="EU-ENV-003",IF(INDEX(tbl_recyclass[Conforme_Art7_2030],MATCH(A1687,tbl_recyclass[ProductId],0))="Sim","Conforme (meta 2030)",IF(INDEX(tbl_recyclass[Conforme_Art7_2030],MATCH(A1687,tbl_recyclass[ProductId],0))="Não","Lacuna face à meta 2030","Isento")),IF(B1687="EU-ENV-011",IF(INDEX(tbl_familias_ppwr[Metais_Pesados_Evidencia],MATCH(INDEX(tbl_recyclass[Familia_PPWR],MATCH(A1687,tbl_recyclass[ProductId],0)),tbl_familias_ppwr[ID_Familia],0))="Em falta","Lacuna","Conforme"),IF(B1687="EU-ENV-013",IF(INDEX(tbl_familias_ppwr[Declaracao_UE],MATCH(INDEX(tbl_recyclass[Familia_PPWR],MATCH(A1687,tbl_recyclass[ProductId],0)),tbl_familias_ppwr[ID_Familia],0))="Sim","Conforme","Lacuna"),G1687)))),G1687))</f>
        <v>Conforme</v>
      </c>
      <c r="I1687" s="33" t="str">
        <f t="shared" si="26"/>
        <v>Conforme</v>
      </c>
      <c r="J1687" s="26" t="s">
        <v>1221</v>
      </c>
    </row>
    <row r="1688" spans="1:10" ht="16.05" customHeight="1" x14ac:dyDescent="0.3">
      <c r="A1688" s="26" t="s">
        <v>790</v>
      </c>
      <c r="B1688" s="26" t="s">
        <v>1224</v>
      </c>
      <c r="C1688" s="33" t="str">
        <f>IFERROR(INDEX(tbl_requisitos_emb[Tema],MATCH(B1688,tbl_requisitos_emb[ID_Req],0)),"")</f>
        <v>Materiais e impurezas</v>
      </c>
      <c r="D1688" s="33" t="str">
        <f>IFERROR(INDEX(tbl_recyclass[Segmento],MATCH(A1688,tbl_recyclass[ProductId],0)),"")</f>
        <v>Cosmética e higiene pessoal</v>
      </c>
      <c r="E1688" s="26" t="s">
        <v>901</v>
      </c>
      <c r="F1688" s="26" t="s">
        <v>1449</v>
      </c>
      <c r="G1688" s="26" t="s">
        <v>978</v>
      </c>
      <c r="H1688" s="33" t="str">
        <f>IF(E1688="Não","Não aplicável",IFERROR(IF(B1688="EU-ENV-002",IF(INDEX(tbl_recyclass[Conforme_PPWR_2030],MATCH(A1688,tbl_recyclass[ProductId],0))="Sim","Conforme (autoavaliação)",IF(INDEX(tbl_recyclass[Conforme_PPWR_2030],MATCH(A1688,tbl_recyclass[ProductId],0))="Não","Não conforme em 2030","Isento até 2035")),IF(B1688="EU-ENV-003",IF(INDEX(tbl_recyclass[Conforme_Art7_2030],MATCH(A1688,tbl_recyclass[ProductId],0))="Sim","Conforme (meta 2030)",IF(INDEX(tbl_recyclass[Conforme_Art7_2030],MATCH(A1688,tbl_recyclass[ProductId],0))="Não","Lacuna face à meta 2030","Isento")),IF(B1688="EU-ENV-011",IF(INDEX(tbl_familias_ppwr[Metais_Pesados_Evidencia],MATCH(INDEX(tbl_recyclass[Familia_PPWR],MATCH(A1688,tbl_recyclass[ProductId],0)),tbl_familias_ppwr[ID_Familia],0))="Em falta","Lacuna","Conforme"),IF(B1688="EU-ENV-013",IF(INDEX(tbl_familias_ppwr[Declaracao_UE],MATCH(INDEX(tbl_recyclass[Familia_PPWR],MATCH(A1688,tbl_recyclass[ProductId],0)),tbl_familias_ppwr[ID_Familia],0))="Sim","Conforme","Lacuna"),G1688)))),G1688))</f>
        <v>Parcial</v>
      </c>
      <c r="I1688" s="33" t="str">
        <f t="shared" si="26"/>
        <v>Parcial</v>
      </c>
      <c r="J1688" s="26" t="s">
        <v>1228</v>
      </c>
    </row>
    <row r="1689" spans="1:10" ht="16.05" customHeight="1" x14ac:dyDescent="0.3">
      <c r="A1689" s="26" t="s">
        <v>790</v>
      </c>
      <c r="B1689" s="26" t="s">
        <v>1240</v>
      </c>
      <c r="C1689" s="33" t="str">
        <f>IFERROR(INDEX(tbl_requisitos_emb[Tema],MATCH(B1689,tbl_requisitos_emb[ID_Req],0)),"")</f>
        <v>Compatibilidade embalagem–produto</v>
      </c>
      <c r="D1689" s="33" t="str">
        <f>IFERROR(INDEX(tbl_recyclass[Segmento],MATCH(A1689,tbl_recyclass[ProductId],0)),"")</f>
        <v>Cosmética e higiene pessoal</v>
      </c>
      <c r="E1689" s="26" t="s">
        <v>901</v>
      </c>
      <c r="F1689" s="26" t="s">
        <v>1449</v>
      </c>
      <c r="G1689" s="26" t="s">
        <v>1033</v>
      </c>
      <c r="H1689" s="33" t="str">
        <f>IF(E1689="Não","Não aplicável",IFERROR(IF(B1689="EU-ENV-002",IF(INDEX(tbl_recyclass[Conforme_PPWR_2030],MATCH(A1689,tbl_recyclass[ProductId],0))="Sim","Conforme (autoavaliação)",IF(INDEX(tbl_recyclass[Conforme_PPWR_2030],MATCH(A1689,tbl_recyclass[ProductId],0))="Não","Não conforme em 2030","Isento até 2035")),IF(B1689="EU-ENV-003",IF(INDEX(tbl_recyclass[Conforme_Art7_2030],MATCH(A1689,tbl_recyclass[ProductId],0))="Sim","Conforme (meta 2030)",IF(INDEX(tbl_recyclass[Conforme_Art7_2030],MATCH(A1689,tbl_recyclass[ProductId],0))="Não","Lacuna face à meta 2030","Isento")),IF(B1689="EU-ENV-011",IF(INDEX(tbl_familias_ppwr[Metais_Pesados_Evidencia],MATCH(INDEX(tbl_recyclass[Familia_PPWR],MATCH(A1689,tbl_recyclass[ProductId],0)),tbl_familias_ppwr[ID_Familia],0))="Em falta","Lacuna","Conforme"),IF(B1689="EU-ENV-013",IF(INDEX(tbl_familias_ppwr[Declaracao_UE],MATCH(INDEX(tbl_recyclass[Familia_PPWR],MATCH(A1689,tbl_recyclass[ProductId],0)),tbl_familias_ppwr[ID_Familia],0))="Sim","Conforme","Lacuna"),G1689)))),G1689))</f>
        <v>Conforme</v>
      </c>
      <c r="I1689" s="33" t="str">
        <f t="shared" si="26"/>
        <v>Conforme</v>
      </c>
      <c r="J1689" s="26" t="s">
        <v>1244</v>
      </c>
    </row>
    <row r="1690" spans="1:10" ht="16.05" customHeight="1" x14ac:dyDescent="0.3">
      <c r="A1690" s="26" t="s">
        <v>790</v>
      </c>
      <c r="B1690" s="26" t="s">
        <v>1252</v>
      </c>
      <c r="C1690" s="33" t="str">
        <f>IFERROR(INDEX(tbl_requisitos_emb[Tema],MATCH(B1690,tbl_requisitos_emb[ID_Req],0)),"")</f>
        <v>Medicamentos de uso humano</v>
      </c>
      <c r="D1690" s="33" t="str">
        <f>IFERROR(INDEX(tbl_recyclass[Segmento],MATCH(A1690,tbl_recyclass[ProductId],0)),"")</f>
        <v>Cosmética e higiene pessoal</v>
      </c>
      <c r="E1690" s="26" t="s">
        <v>904</v>
      </c>
      <c r="F1690" s="26" t="s">
        <v>1451</v>
      </c>
      <c r="G1690" s="26" t="s">
        <v>1143</v>
      </c>
      <c r="H1690" s="33" t="str">
        <f>IF(E1690="Não","Não aplicável",IFERROR(IF(B1690="EU-ENV-002",IF(INDEX(tbl_recyclass[Conforme_PPWR_2030],MATCH(A1690,tbl_recyclass[ProductId],0))="Sim","Conforme (autoavaliação)",IF(INDEX(tbl_recyclass[Conforme_PPWR_2030],MATCH(A1690,tbl_recyclass[ProductId],0))="Não","Não conforme em 2030","Isento até 2035")),IF(B1690="EU-ENV-003",IF(INDEX(tbl_recyclass[Conforme_Art7_2030],MATCH(A1690,tbl_recyclass[ProductId],0))="Sim","Conforme (meta 2030)",IF(INDEX(tbl_recyclass[Conforme_Art7_2030],MATCH(A1690,tbl_recyclass[ProductId],0))="Não","Lacuna face à meta 2030","Isento")),IF(B1690="EU-ENV-011",IF(INDEX(tbl_familias_ppwr[Metais_Pesados_Evidencia],MATCH(INDEX(tbl_recyclass[Familia_PPWR],MATCH(A1690,tbl_recyclass[ProductId],0)),tbl_familias_ppwr[ID_Familia],0))="Em falta","Lacuna","Conforme"),IF(B1690="EU-ENV-013",IF(INDEX(tbl_familias_ppwr[Declaracao_UE],MATCH(INDEX(tbl_recyclass[Familia_PPWR],MATCH(A1690,tbl_recyclass[ProductId],0)),tbl_familias_ppwr[ID_Familia],0))="Sim","Conforme","Lacuna"),G1690)))),G1690))</f>
        <v>Não aplicável</v>
      </c>
      <c r="I1690" s="33" t="str">
        <f t="shared" si="26"/>
        <v>Não aplicável</v>
      </c>
      <c r="J1690" s="26"/>
    </row>
    <row r="1691" spans="1:10" ht="16.05" customHeight="1" x14ac:dyDescent="0.3">
      <c r="A1691" s="26" t="s">
        <v>790</v>
      </c>
      <c r="B1691" s="26" t="s">
        <v>1268</v>
      </c>
      <c r="C1691" s="33" t="str">
        <f>IFERROR(INDEX(tbl_requisitos_emb[Tema],MATCH(B1691,tbl_requisitos_emb[ID_Req],0)),"")</f>
        <v>Dispositivos de segurança</v>
      </c>
      <c r="D1691" s="33" t="str">
        <f>IFERROR(INDEX(tbl_recyclass[Segmento],MATCH(A1691,tbl_recyclass[ProductId],0)),"")</f>
        <v>Cosmética e higiene pessoal</v>
      </c>
      <c r="E1691" s="26" t="s">
        <v>904</v>
      </c>
      <c r="F1691" s="26" t="s">
        <v>1451</v>
      </c>
      <c r="G1691" s="26" t="s">
        <v>1143</v>
      </c>
      <c r="H1691" s="33" t="str">
        <f>IF(E1691="Não","Não aplicável",IFERROR(IF(B1691="EU-ENV-002",IF(INDEX(tbl_recyclass[Conforme_PPWR_2030],MATCH(A1691,tbl_recyclass[ProductId],0))="Sim","Conforme (autoavaliação)",IF(INDEX(tbl_recyclass[Conforme_PPWR_2030],MATCH(A1691,tbl_recyclass[ProductId],0))="Não","Não conforme em 2030","Isento até 2035")),IF(B1691="EU-ENV-003",IF(INDEX(tbl_recyclass[Conforme_Art7_2030],MATCH(A1691,tbl_recyclass[ProductId],0))="Sim","Conforme (meta 2030)",IF(INDEX(tbl_recyclass[Conforme_Art7_2030],MATCH(A1691,tbl_recyclass[ProductId],0))="Não","Lacuna face à meta 2030","Isento")),IF(B1691="EU-ENV-011",IF(INDEX(tbl_familias_ppwr[Metais_Pesados_Evidencia],MATCH(INDEX(tbl_recyclass[Familia_PPWR],MATCH(A1691,tbl_recyclass[ProductId],0)),tbl_familias_ppwr[ID_Familia],0))="Em falta","Lacuna","Conforme"),IF(B1691="EU-ENV-013",IF(INDEX(tbl_familias_ppwr[Declaracao_UE],MATCH(INDEX(tbl_recyclass[Familia_PPWR],MATCH(A1691,tbl_recyclass[ProductId],0)),tbl_familias_ppwr[ID_Familia],0))="Sim","Conforme","Lacuna"),G1691)))),G1691))</f>
        <v>Não aplicável</v>
      </c>
      <c r="I1691" s="33" t="str">
        <f t="shared" si="26"/>
        <v>Não aplicável</v>
      </c>
      <c r="J1691" s="26"/>
    </row>
    <row r="1692" spans="1:10" ht="16.05" customHeight="1" x14ac:dyDescent="0.3">
      <c r="A1692" s="26" t="s">
        <v>790</v>
      </c>
      <c r="B1692" s="26" t="s">
        <v>1285</v>
      </c>
      <c r="C1692" s="33" t="str">
        <f>IFERROR(INDEX(tbl_requisitos_emb[Tema],MATCH(B1692,tbl_requisitos_emb[ID_Req],0)),"")</f>
        <v>Materiais plásticos de acondicionamento primário</v>
      </c>
      <c r="D1692" s="33" t="str">
        <f>IFERROR(INDEX(tbl_recyclass[Segmento],MATCH(A1692,tbl_recyclass[ProductId],0)),"")</f>
        <v>Cosmética e higiene pessoal</v>
      </c>
      <c r="E1692" s="26" t="s">
        <v>904</v>
      </c>
      <c r="F1692" s="26" t="s">
        <v>1451</v>
      </c>
      <c r="G1692" s="26" t="s">
        <v>1143</v>
      </c>
      <c r="H1692" s="33" t="str">
        <f>IF(E1692="Não","Não aplicável",IFERROR(IF(B1692="EU-ENV-002",IF(INDEX(tbl_recyclass[Conforme_PPWR_2030],MATCH(A1692,tbl_recyclass[ProductId],0))="Sim","Conforme (autoavaliação)",IF(INDEX(tbl_recyclass[Conforme_PPWR_2030],MATCH(A1692,tbl_recyclass[ProductId],0))="Não","Não conforme em 2030","Isento até 2035")),IF(B1692="EU-ENV-003",IF(INDEX(tbl_recyclass[Conforme_Art7_2030],MATCH(A1692,tbl_recyclass[ProductId],0))="Sim","Conforme (meta 2030)",IF(INDEX(tbl_recyclass[Conforme_Art7_2030],MATCH(A1692,tbl_recyclass[ProductId],0))="Não","Lacuna face à meta 2030","Isento")),IF(B1692="EU-ENV-011",IF(INDEX(tbl_familias_ppwr[Metais_Pesados_Evidencia],MATCH(INDEX(tbl_recyclass[Familia_PPWR],MATCH(A1692,tbl_recyclass[ProductId],0)),tbl_familias_ppwr[ID_Familia],0))="Em falta","Lacuna","Conforme"),IF(B1692="EU-ENV-013",IF(INDEX(tbl_familias_ppwr[Declaracao_UE],MATCH(INDEX(tbl_recyclass[Familia_PPWR],MATCH(A1692,tbl_recyclass[ProductId],0)),tbl_familias_ppwr[ID_Familia],0))="Sim","Conforme","Lacuna"),G1692)))),G1692))</f>
        <v>Não aplicável</v>
      </c>
      <c r="I1692" s="33" t="str">
        <f t="shared" si="26"/>
        <v>Não aplicável</v>
      </c>
      <c r="J1692" s="26"/>
    </row>
    <row r="1693" spans="1:10" ht="16.05" customHeight="1" x14ac:dyDescent="0.3">
      <c r="A1693" s="26" t="s">
        <v>790</v>
      </c>
      <c r="B1693" s="26" t="s">
        <v>1293</v>
      </c>
      <c r="C1693" s="33" t="str">
        <f>IFERROR(INDEX(tbl_requisitos_emb[Tema],MATCH(B1693,tbl_requisitos_emb[ID_Req],0)),"")</f>
        <v>Isenções PPWR</v>
      </c>
      <c r="D1693" s="33" t="str">
        <f>IFERROR(INDEX(tbl_recyclass[Segmento],MATCH(A1693,tbl_recyclass[ProductId],0)),"")</f>
        <v>Cosmética e higiene pessoal</v>
      </c>
      <c r="E1693" s="26" t="s">
        <v>904</v>
      </c>
      <c r="F1693" s="26" t="s">
        <v>1451</v>
      </c>
      <c r="G1693" s="26" t="s">
        <v>1143</v>
      </c>
      <c r="H1693" s="33" t="str">
        <f>IF(E1693="Não","Não aplicável",IFERROR(IF(B1693="EU-ENV-002",IF(INDEX(tbl_recyclass[Conforme_PPWR_2030],MATCH(A1693,tbl_recyclass[ProductId],0))="Sim","Conforme (autoavaliação)",IF(INDEX(tbl_recyclass[Conforme_PPWR_2030],MATCH(A1693,tbl_recyclass[ProductId],0))="Não","Não conforme em 2030","Isento até 2035")),IF(B1693="EU-ENV-003",IF(INDEX(tbl_recyclass[Conforme_Art7_2030],MATCH(A1693,tbl_recyclass[ProductId],0))="Sim","Conforme (meta 2030)",IF(INDEX(tbl_recyclass[Conforme_Art7_2030],MATCH(A1693,tbl_recyclass[ProductId],0))="Não","Lacuna face à meta 2030","Isento")),IF(B1693="EU-ENV-011",IF(INDEX(tbl_familias_ppwr[Metais_Pesados_Evidencia],MATCH(INDEX(tbl_recyclass[Familia_PPWR],MATCH(A1693,tbl_recyclass[ProductId],0)),tbl_familias_ppwr[ID_Familia],0))="Em falta","Lacuna","Conforme"),IF(B1693="EU-ENV-013",IF(INDEX(tbl_familias_ppwr[Declaracao_UE],MATCH(INDEX(tbl_recyclass[Familia_PPWR],MATCH(A1693,tbl_recyclass[ProductId],0)),tbl_familias_ppwr[ID_Familia],0))="Sim","Conforme","Lacuna"),G1693)))),G1693))</f>
        <v>Não aplicável</v>
      </c>
      <c r="I1693" s="33" t="str">
        <f t="shared" si="26"/>
        <v>Não aplicável</v>
      </c>
      <c r="J1693" s="26"/>
    </row>
    <row r="1694" spans="1:10" ht="16.05" customHeight="1" x14ac:dyDescent="0.3">
      <c r="A1694" s="26" t="s">
        <v>790</v>
      </c>
      <c r="B1694" s="26" t="s">
        <v>1357</v>
      </c>
      <c r="C1694" s="33" t="str">
        <f>IFERROR(INDEX(tbl_requisitos_emb[Tema],MATCH(B1694,tbl_requisitos_emb[ID_Req],0)),"")</f>
        <v>Identificação de plásticos</v>
      </c>
      <c r="D1694" s="33" t="str">
        <f>IFERROR(INDEX(tbl_recyclass[Segmento],MATCH(A1694,tbl_recyclass[ProductId],0)),"")</f>
        <v>Cosmética e higiene pessoal</v>
      </c>
      <c r="E1694" s="26" t="s">
        <v>901</v>
      </c>
      <c r="F1694" s="26" t="s">
        <v>1449</v>
      </c>
      <c r="G1694" s="26" t="s">
        <v>978</v>
      </c>
      <c r="H1694" s="33" t="str">
        <f>IF(E1694="Não","Não aplicável",IFERROR(IF(B1694="EU-ENV-002",IF(INDEX(tbl_recyclass[Conforme_PPWR_2030],MATCH(A1694,tbl_recyclass[ProductId],0))="Sim","Conforme (autoavaliação)",IF(INDEX(tbl_recyclass[Conforme_PPWR_2030],MATCH(A1694,tbl_recyclass[ProductId],0))="Não","Não conforme em 2030","Isento até 2035")),IF(B1694="EU-ENV-003",IF(INDEX(tbl_recyclass[Conforme_Art7_2030],MATCH(A1694,tbl_recyclass[ProductId],0))="Sim","Conforme (meta 2030)",IF(INDEX(tbl_recyclass[Conforme_Art7_2030],MATCH(A1694,tbl_recyclass[ProductId],0))="Não","Lacuna face à meta 2030","Isento")),IF(B1694="EU-ENV-011",IF(INDEX(tbl_familias_ppwr[Metais_Pesados_Evidencia],MATCH(INDEX(tbl_recyclass[Familia_PPWR],MATCH(A1694,tbl_recyclass[ProductId],0)),tbl_familias_ppwr[ID_Familia],0))="Em falta","Lacuna","Conforme"),IF(B1694="EU-ENV-013",IF(INDEX(tbl_familias_ppwr[Declaracao_UE],MATCH(INDEX(tbl_recyclass[Familia_PPWR],MATCH(A1694,tbl_recyclass[ProductId],0)),tbl_familias_ppwr[ID_Familia],0))="Sim","Conforme","Lacuna"),G1694)))),G1694))</f>
        <v>Parcial</v>
      </c>
      <c r="I1694" s="33" t="str">
        <f t="shared" si="26"/>
        <v>Parcial</v>
      </c>
      <c r="J1694" s="26" t="s">
        <v>1362</v>
      </c>
    </row>
    <row r="1695" spans="1:10" ht="16.05" customHeight="1" x14ac:dyDescent="0.3">
      <c r="A1695" s="26" t="s">
        <v>790</v>
      </c>
      <c r="B1695" s="26" t="s">
        <v>1385</v>
      </c>
      <c r="C1695" s="33" t="str">
        <f>IFERROR(INDEX(tbl_requisitos_emb[Tema],MATCH(B1695,tbl_requisitos_emb[ID_Req],0)),"")</f>
        <v>Reciclabilidade (voluntária)</v>
      </c>
      <c r="D1695" s="33" t="str">
        <f>IFERROR(INDEX(tbl_recyclass[Segmento],MATCH(A1695,tbl_recyclass[ProductId],0)),"")</f>
        <v>Cosmética e higiene pessoal</v>
      </c>
      <c r="E1695" s="26" t="s">
        <v>901</v>
      </c>
      <c r="F1695" s="26" t="s">
        <v>1449</v>
      </c>
      <c r="G1695" s="26" t="s">
        <v>978</v>
      </c>
      <c r="H1695" s="33" t="str">
        <f>IF(E1695="Não","Não aplicável",IFERROR(IF(B1695="EU-ENV-002",IF(INDEX(tbl_recyclass[Conforme_PPWR_2030],MATCH(A1695,tbl_recyclass[ProductId],0))="Sim","Conforme (autoavaliação)",IF(INDEX(tbl_recyclass[Conforme_PPWR_2030],MATCH(A1695,tbl_recyclass[ProductId],0))="Não","Não conforme em 2030","Isento até 2035")),IF(B1695="EU-ENV-003",IF(INDEX(tbl_recyclass[Conforme_Art7_2030],MATCH(A1695,tbl_recyclass[ProductId],0))="Sim","Conforme (meta 2030)",IF(INDEX(tbl_recyclass[Conforme_Art7_2030],MATCH(A1695,tbl_recyclass[ProductId],0))="Não","Lacuna face à meta 2030","Isento")),IF(B1695="EU-ENV-011",IF(INDEX(tbl_familias_ppwr[Metais_Pesados_Evidencia],MATCH(INDEX(tbl_recyclass[Familia_PPWR],MATCH(A1695,tbl_recyclass[ProductId],0)),tbl_familias_ppwr[ID_Familia],0))="Em falta","Lacuna","Conforme"),IF(B1695="EU-ENV-013",IF(INDEX(tbl_familias_ppwr[Declaracao_UE],MATCH(INDEX(tbl_recyclass[Familia_PPWR],MATCH(A1695,tbl_recyclass[ProductId],0)),tbl_familias_ppwr[ID_Familia],0))="Sim","Conforme","Lacuna"),G1695)))),G1695))</f>
        <v>Parcial</v>
      </c>
      <c r="I1695" s="33" t="str">
        <f t="shared" si="26"/>
        <v>Parcial</v>
      </c>
      <c r="J1695" s="26" t="s">
        <v>1389</v>
      </c>
    </row>
    <row r="1696" spans="1:10" ht="16.05" customHeight="1" x14ac:dyDescent="0.3">
      <c r="A1696" s="26" t="s">
        <v>792</v>
      </c>
      <c r="B1696" s="26" t="s">
        <v>984</v>
      </c>
      <c r="C1696" s="33" t="str">
        <f>IFERROR(INDEX(tbl_requisitos_emb[Tema],MATCH(B1696,tbl_requisitos_emb[ID_Req],0)),"")</f>
        <v>Conceção para reciclagem</v>
      </c>
      <c r="D1696" s="33" t="str">
        <f>IFERROR(INDEX(tbl_recyclass[Segmento],MATCH(A1696,tbl_recyclass[ProductId],0)),"")</f>
        <v>Cosmética e higiene pessoal</v>
      </c>
      <c r="E1696" s="26" t="s">
        <v>901</v>
      </c>
      <c r="F1696" s="26" t="s">
        <v>1449</v>
      </c>
      <c r="G1696" s="26" t="s">
        <v>978</v>
      </c>
      <c r="H1696" s="33" t="str">
        <f>IF(E1696="Não","Não aplicável",IFERROR(IF(B1696="EU-ENV-002",IF(INDEX(tbl_recyclass[Conforme_PPWR_2030],MATCH(A1696,tbl_recyclass[ProductId],0))="Sim","Conforme (autoavaliação)",IF(INDEX(tbl_recyclass[Conforme_PPWR_2030],MATCH(A1696,tbl_recyclass[ProductId],0))="Não","Não conforme em 2030","Isento até 2035")),IF(B1696="EU-ENV-003",IF(INDEX(tbl_recyclass[Conforme_Art7_2030],MATCH(A1696,tbl_recyclass[ProductId],0))="Sim","Conforme (meta 2030)",IF(INDEX(tbl_recyclass[Conforme_Art7_2030],MATCH(A1696,tbl_recyclass[ProductId],0))="Não","Lacuna face à meta 2030","Isento")),IF(B1696="EU-ENV-011",IF(INDEX(tbl_familias_ppwr[Metais_Pesados_Evidencia],MATCH(INDEX(tbl_recyclass[Familia_PPWR],MATCH(A1696,tbl_recyclass[ProductId],0)),tbl_familias_ppwr[ID_Familia],0))="Em falta","Lacuna","Conforme"),IF(B1696="EU-ENV-013",IF(INDEX(tbl_familias_ppwr[Declaracao_UE],MATCH(INDEX(tbl_recyclass[Familia_PPWR],MATCH(A1696,tbl_recyclass[ProductId],0)),tbl_familias_ppwr[ID_Familia],0))="Sim","Conforme","Lacuna"),G1696)))),G1696))</f>
        <v>Conforme (autoavaliação)</v>
      </c>
      <c r="I1696" s="33" t="str">
        <f t="shared" si="26"/>
        <v>Conforme</v>
      </c>
      <c r="J1696" s="26" t="s">
        <v>991</v>
      </c>
    </row>
    <row r="1697" spans="1:10" ht="16.05" customHeight="1" x14ac:dyDescent="0.3">
      <c r="A1697" s="26" t="s">
        <v>792</v>
      </c>
      <c r="B1697" s="26" t="s">
        <v>997</v>
      </c>
      <c r="C1697" s="33" t="str">
        <f>IFERROR(INDEX(tbl_requisitos_emb[Tema],MATCH(B1697,tbl_requisitos_emb[ID_Req],0)),"")</f>
        <v>Conteúdo reciclado</v>
      </c>
      <c r="D1697" s="33" t="str">
        <f>IFERROR(INDEX(tbl_recyclass[Segmento],MATCH(A1697,tbl_recyclass[ProductId],0)),"")</f>
        <v>Cosmética e higiene pessoal</v>
      </c>
      <c r="E1697" s="26" t="s">
        <v>901</v>
      </c>
      <c r="F1697" s="26" t="s">
        <v>1449</v>
      </c>
      <c r="G1697" s="26" t="s">
        <v>978</v>
      </c>
      <c r="H1697" s="33" t="str">
        <f>IF(E1697="Não","Não aplicável",IFERROR(IF(B1697="EU-ENV-002",IF(INDEX(tbl_recyclass[Conforme_PPWR_2030],MATCH(A1697,tbl_recyclass[ProductId],0))="Sim","Conforme (autoavaliação)",IF(INDEX(tbl_recyclass[Conforme_PPWR_2030],MATCH(A1697,tbl_recyclass[ProductId],0))="Não","Não conforme em 2030","Isento até 2035")),IF(B1697="EU-ENV-003",IF(INDEX(tbl_recyclass[Conforme_Art7_2030],MATCH(A1697,tbl_recyclass[ProductId],0))="Sim","Conforme (meta 2030)",IF(INDEX(tbl_recyclass[Conforme_Art7_2030],MATCH(A1697,tbl_recyclass[ProductId],0))="Não","Lacuna face à meta 2030","Isento")),IF(B1697="EU-ENV-011",IF(INDEX(tbl_familias_ppwr[Metais_Pesados_Evidencia],MATCH(INDEX(tbl_recyclass[Familia_PPWR],MATCH(A1697,tbl_recyclass[ProductId],0)),tbl_familias_ppwr[ID_Familia],0))="Em falta","Lacuna","Conforme"),IF(B1697="EU-ENV-013",IF(INDEX(tbl_familias_ppwr[Declaracao_UE],MATCH(INDEX(tbl_recyclass[Familia_PPWR],MATCH(A1697,tbl_recyclass[ProductId],0)),tbl_familias_ppwr[ID_Familia],0))="Sim","Conforme","Lacuna"),G1697)))),G1697))</f>
        <v>Conforme (meta 2030)</v>
      </c>
      <c r="I1697" s="33" t="str">
        <f t="shared" si="26"/>
        <v>Conforme</v>
      </c>
      <c r="J1697" s="26" t="s">
        <v>1001</v>
      </c>
    </row>
    <row r="1698" spans="1:10" ht="16.05" customHeight="1" x14ac:dyDescent="0.3">
      <c r="A1698" s="26" t="s">
        <v>792</v>
      </c>
      <c r="B1698" s="26" t="s">
        <v>1007</v>
      </c>
      <c r="C1698" s="33" t="str">
        <f>IFERROR(INDEX(tbl_requisitos_emb[Tema],MATCH(B1698,tbl_requisitos_emb[ID_Req],0)),"")</f>
        <v>Minimização</v>
      </c>
      <c r="D1698" s="33" t="str">
        <f>IFERROR(INDEX(tbl_recyclass[Segmento],MATCH(A1698,tbl_recyclass[ProductId],0)),"")</f>
        <v>Cosmética e higiene pessoal</v>
      </c>
      <c r="E1698" s="26" t="s">
        <v>901</v>
      </c>
      <c r="F1698" s="26" t="s">
        <v>1449</v>
      </c>
      <c r="G1698" s="26" t="s">
        <v>978</v>
      </c>
      <c r="H1698" s="33" t="str">
        <f>IF(E1698="Não","Não aplicável",IFERROR(IF(B1698="EU-ENV-002",IF(INDEX(tbl_recyclass[Conforme_PPWR_2030],MATCH(A1698,tbl_recyclass[ProductId],0))="Sim","Conforme (autoavaliação)",IF(INDEX(tbl_recyclass[Conforme_PPWR_2030],MATCH(A1698,tbl_recyclass[ProductId],0))="Não","Não conforme em 2030","Isento até 2035")),IF(B1698="EU-ENV-003",IF(INDEX(tbl_recyclass[Conforme_Art7_2030],MATCH(A1698,tbl_recyclass[ProductId],0))="Sim","Conforme (meta 2030)",IF(INDEX(tbl_recyclass[Conforme_Art7_2030],MATCH(A1698,tbl_recyclass[ProductId],0))="Não","Lacuna face à meta 2030","Isento")),IF(B1698="EU-ENV-011",IF(INDEX(tbl_familias_ppwr[Metais_Pesados_Evidencia],MATCH(INDEX(tbl_recyclass[Familia_PPWR],MATCH(A1698,tbl_recyclass[ProductId],0)),tbl_familias_ppwr[ID_Familia],0))="Em falta","Lacuna","Conforme"),IF(B1698="EU-ENV-013",IF(INDEX(tbl_familias_ppwr[Declaracao_UE],MATCH(INDEX(tbl_recyclass[Familia_PPWR],MATCH(A1698,tbl_recyclass[ProductId],0)),tbl_familias_ppwr[ID_Familia],0))="Sim","Conforme","Lacuna"),G1698)))),G1698))</f>
        <v>Parcial</v>
      </c>
      <c r="I1698" s="33" t="str">
        <f t="shared" si="26"/>
        <v>Parcial</v>
      </c>
      <c r="J1698" s="26" t="s">
        <v>1012</v>
      </c>
    </row>
    <row r="1699" spans="1:10" ht="16.05" customHeight="1" x14ac:dyDescent="0.3">
      <c r="A1699" s="26" t="s">
        <v>792</v>
      </c>
      <c r="B1699" s="26" t="s">
        <v>1016</v>
      </c>
      <c r="C1699" s="33" t="str">
        <f>IFERROR(INDEX(tbl_requisitos_emb[Tema],MATCH(B1699,tbl_requisitos_emb[ID_Req],0)),"")</f>
        <v>Rotulagem</v>
      </c>
      <c r="D1699" s="33" t="str">
        <f>IFERROR(INDEX(tbl_recyclass[Segmento],MATCH(A1699,tbl_recyclass[ProductId],0)),"")</f>
        <v>Cosmética e higiene pessoal</v>
      </c>
      <c r="E1699" s="26" t="s">
        <v>901</v>
      </c>
      <c r="F1699" s="26" t="s">
        <v>1449</v>
      </c>
      <c r="G1699" s="26" t="s">
        <v>990</v>
      </c>
      <c r="H1699" s="33" t="str">
        <f>IF(E1699="Não","Não aplicável",IFERROR(IF(B1699="EU-ENV-002",IF(INDEX(tbl_recyclass[Conforme_PPWR_2030],MATCH(A1699,tbl_recyclass[ProductId],0))="Sim","Conforme (autoavaliação)",IF(INDEX(tbl_recyclass[Conforme_PPWR_2030],MATCH(A1699,tbl_recyclass[ProductId],0))="Não","Não conforme em 2030","Isento até 2035")),IF(B1699="EU-ENV-003",IF(INDEX(tbl_recyclass[Conforme_Art7_2030],MATCH(A1699,tbl_recyclass[ProductId],0))="Sim","Conforme (meta 2030)",IF(INDEX(tbl_recyclass[Conforme_Art7_2030],MATCH(A1699,tbl_recyclass[ProductId],0))="Não","Lacuna face à meta 2030","Isento")),IF(B1699="EU-ENV-011",IF(INDEX(tbl_familias_ppwr[Metais_Pesados_Evidencia],MATCH(INDEX(tbl_recyclass[Familia_PPWR],MATCH(A1699,tbl_recyclass[ProductId],0)),tbl_familias_ppwr[ID_Familia],0))="Em falta","Lacuna","Conforme"),IF(B1699="EU-ENV-013",IF(INDEX(tbl_familias_ppwr[Declaracao_UE],MATCH(INDEX(tbl_recyclass[Familia_PPWR],MATCH(A1699,tbl_recyclass[ProductId],0)),tbl_familias_ppwr[ID_Familia],0))="Sim","Conforme","Lacuna"),G1699)))),G1699))</f>
        <v>Futuro</v>
      </c>
      <c r="I1699" s="33" t="str">
        <f t="shared" si="26"/>
        <v>Futuro</v>
      </c>
      <c r="J1699" s="26" t="s">
        <v>1021</v>
      </c>
    </row>
    <row r="1700" spans="1:10" ht="16.05" customHeight="1" x14ac:dyDescent="0.3">
      <c r="A1700" s="26" t="s">
        <v>792</v>
      </c>
      <c r="B1700" s="26" t="s">
        <v>1038</v>
      </c>
      <c r="C1700" s="33" t="str">
        <f>IFERROR(INDEX(tbl_requisitos_emb[Tema],MATCH(B1700,tbl_requisitos_emb[ID_Req],0)),"")</f>
        <v>Plásticos de utilização única</v>
      </c>
      <c r="D1700" s="33" t="str">
        <f>IFERROR(INDEX(tbl_recyclass[Segmento],MATCH(A1700,tbl_recyclass[ProductId],0)),"")</f>
        <v>Cosmética e higiene pessoal</v>
      </c>
      <c r="E1700" s="26" t="s">
        <v>904</v>
      </c>
      <c r="F1700" s="26" t="s">
        <v>1450</v>
      </c>
      <c r="G1700" s="26" t="s">
        <v>1143</v>
      </c>
      <c r="H1700" s="33" t="str">
        <f>IF(E1700="Não","Não aplicável",IFERROR(IF(B1700="EU-ENV-002",IF(INDEX(tbl_recyclass[Conforme_PPWR_2030],MATCH(A1700,tbl_recyclass[ProductId],0))="Sim","Conforme (autoavaliação)",IF(INDEX(tbl_recyclass[Conforme_PPWR_2030],MATCH(A1700,tbl_recyclass[ProductId],0))="Não","Não conforme em 2030","Isento até 2035")),IF(B1700="EU-ENV-003",IF(INDEX(tbl_recyclass[Conforme_Art7_2030],MATCH(A1700,tbl_recyclass[ProductId],0))="Sim","Conforme (meta 2030)",IF(INDEX(tbl_recyclass[Conforme_Art7_2030],MATCH(A1700,tbl_recyclass[ProductId],0))="Não","Lacuna face à meta 2030","Isento")),IF(B1700="EU-ENV-011",IF(INDEX(tbl_familias_ppwr[Metais_Pesados_Evidencia],MATCH(INDEX(tbl_recyclass[Familia_PPWR],MATCH(A1700,tbl_recyclass[ProductId],0)),tbl_familias_ppwr[ID_Familia],0))="Em falta","Lacuna","Conforme"),IF(B1700="EU-ENV-013",IF(INDEX(tbl_familias_ppwr[Declaracao_UE],MATCH(INDEX(tbl_recyclass[Familia_PPWR],MATCH(A1700,tbl_recyclass[ProductId],0)),tbl_familias_ppwr[ID_Familia],0))="Sim","Conforme","Lacuna"),G1700)))),G1700))</f>
        <v>Não aplicável</v>
      </c>
      <c r="I1700" s="33" t="str">
        <f t="shared" si="26"/>
        <v>Não aplicável</v>
      </c>
      <c r="J1700" s="26"/>
    </row>
    <row r="1701" spans="1:10" ht="16.05" customHeight="1" x14ac:dyDescent="0.3">
      <c r="A1701" s="26" t="s">
        <v>792</v>
      </c>
      <c r="B1701" s="26" t="s">
        <v>1078</v>
      </c>
      <c r="C1701" s="33" t="str">
        <f>IFERROR(INDEX(tbl_requisitos_emb[Tema],MATCH(B1701,tbl_requisitos_emb[ID_Req],0)),"")</f>
        <v>Reciclado à escala</v>
      </c>
      <c r="D1701" s="33" t="str">
        <f>IFERROR(INDEX(tbl_recyclass[Segmento],MATCH(A1701,tbl_recyclass[ProductId],0)),"")</f>
        <v>Cosmética e higiene pessoal</v>
      </c>
      <c r="E1701" s="26" t="s">
        <v>901</v>
      </c>
      <c r="F1701" s="26" t="s">
        <v>1449</v>
      </c>
      <c r="G1701" s="26" t="s">
        <v>990</v>
      </c>
      <c r="H1701" s="33" t="str">
        <f>IF(E1701="Não","Não aplicável",IFERROR(IF(B1701="EU-ENV-002",IF(INDEX(tbl_recyclass[Conforme_PPWR_2030],MATCH(A1701,tbl_recyclass[ProductId],0))="Sim","Conforme (autoavaliação)",IF(INDEX(tbl_recyclass[Conforme_PPWR_2030],MATCH(A1701,tbl_recyclass[ProductId],0))="Não","Não conforme em 2030","Isento até 2035")),IF(B1701="EU-ENV-003",IF(INDEX(tbl_recyclass[Conforme_Art7_2030],MATCH(A1701,tbl_recyclass[ProductId],0))="Sim","Conforme (meta 2030)",IF(INDEX(tbl_recyclass[Conforme_Art7_2030],MATCH(A1701,tbl_recyclass[ProductId],0))="Não","Lacuna face à meta 2030","Isento")),IF(B1701="EU-ENV-011",IF(INDEX(tbl_familias_ppwr[Metais_Pesados_Evidencia],MATCH(INDEX(tbl_recyclass[Familia_PPWR],MATCH(A1701,tbl_recyclass[ProductId],0)),tbl_familias_ppwr[ID_Familia],0))="Em falta","Lacuna","Conforme"),IF(B1701="EU-ENV-013",IF(INDEX(tbl_familias_ppwr[Declaracao_UE],MATCH(INDEX(tbl_recyclass[Familia_PPWR],MATCH(A1701,tbl_recyclass[ProductId],0)),tbl_familias_ppwr[ID_Familia],0))="Sim","Conforme","Lacuna"),G1701)))),G1701))</f>
        <v>Futuro</v>
      </c>
      <c r="I1701" s="33" t="str">
        <f t="shared" si="26"/>
        <v>Futuro</v>
      </c>
      <c r="J1701" s="26" t="s">
        <v>1082</v>
      </c>
    </row>
    <row r="1702" spans="1:10" ht="16.05" customHeight="1" x14ac:dyDescent="0.3">
      <c r="A1702" s="26" t="s">
        <v>792</v>
      </c>
      <c r="B1702" s="26" t="s">
        <v>1086</v>
      </c>
      <c r="C1702" s="33" t="str">
        <f>IFERROR(INDEX(tbl_requisitos_emb[Tema],MATCH(B1702,tbl_requisitos_emb[ID_Req],0)),"")</f>
        <v>Metais pesados</v>
      </c>
      <c r="D1702" s="33" t="str">
        <f>IFERROR(INDEX(tbl_recyclass[Segmento],MATCH(A1702,tbl_recyclass[ProductId],0)),"")</f>
        <v>Cosmética e higiene pessoal</v>
      </c>
      <c r="E1702" s="26" t="s">
        <v>901</v>
      </c>
      <c r="F1702" s="26" t="s">
        <v>1449</v>
      </c>
      <c r="G1702" s="26" t="s">
        <v>978</v>
      </c>
      <c r="H1702" s="33" t="str">
        <f>IF(E1702="Não","Não aplicável",IFERROR(IF(B1702="EU-ENV-002",IF(INDEX(tbl_recyclass[Conforme_PPWR_2030],MATCH(A1702,tbl_recyclass[ProductId],0))="Sim","Conforme (autoavaliação)",IF(INDEX(tbl_recyclass[Conforme_PPWR_2030],MATCH(A1702,tbl_recyclass[ProductId],0))="Não","Não conforme em 2030","Isento até 2035")),IF(B1702="EU-ENV-003",IF(INDEX(tbl_recyclass[Conforme_Art7_2030],MATCH(A1702,tbl_recyclass[ProductId],0))="Sim","Conforme (meta 2030)",IF(INDEX(tbl_recyclass[Conforme_Art7_2030],MATCH(A1702,tbl_recyclass[ProductId],0))="Não","Lacuna face à meta 2030","Isento")),IF(B1702="EU-ENV-011",IF(INDEX(tbl_familias_ppwr[Metais_Pesados_Evidencia],MATCH(INDEX(tbl_recyclass[Familia_PPWR],MATCH(A1702,tbl_recyclass[ProductId],0)),tbl_familias_ppwr[ID_Familia],0))="Em falta","Lacuna","Conforme"),IF(B1702="EU-ENV-013",IF(INDEX(tbl_familias_ppwr[Declaracao_UE],MATCH(INDEX(tbl_recyclass[Familia_PPWR],MATCH(A1702,tbl_recyclass[ProductId],0)),tbl_familias_ppwr[ID_Familia],0))="Sim","Conforme","Lacuna"),G1702)))),G1702))</f>
        <v>Lacuna</v>
      </c>
      <c r="I1702" s="33" t="str">
        <f t="shared" si="26"/>
        <v>Lacuna</v>
      </c>
      <c r="J1702" s="26" t="s">
        <v>1090</v>
      </c>
    </row>
    <row r="1703" spans="1:10" ht="16.05" customHeight="1" x14ac:dyDescent="0.3">
      <c r="A1703" s="26" t="s">
        <v>792</v>
      </c>
      <c r="B1703" s="26" t="s">
        <v>1094</v>
      </c>
      <c r="C1703" s="33" t="str">
        <f>IFERROR(INDEX(tbl_requisitos_emb[Tema],MATCH(B1703,tbl_requisitos_emb[ID_Req],0)),"")</f>
        <v>PFAS</v>
      </c>
      <c r="D1703" s="33" t="str">
        <f>IFERROR(INDEX(tbl_recyclass[Segmento],MATCH(A1703,tbl_recyclass[ProductId],0)),"")</f>
        <v>Cosmética e higiene pessoal</v>
      </c>
      <c r="E1703" s="26" t="s">
        <v>904</v>
      </c>
      <c r="F1703" s="26" t="s">
        <v>1450</v>
      </c>
      <c r="G1703" s="26" t="s">
        <v>1143</v>
      </c>
      <c r="H1703" s="33" t="str">
        <f>IF(E1703="Não","Não aplicável",IFERROR(IF(B1703="EU-ENV-002",IF(INDEX(tbl_recyclass[Conforme_PPWR_2030],MATCH(A1703,tbl_recyclass[ProductId],0))="Sim","Conforme (autoavaliação)",IF(INDEX(tbl_recyclass[Conforme_PPWR_2030],MATCH(A1703,tbl_recyclass[ProductId],0))="Não","Não conforme em 2030","Isento até 2035")),IF(B1703="EU-ENV-003",IF(INDEX(tbl_recyclass[Conforme_Art7_2030],MATCH(A1703,tbl_recyclass[ProductId],0))="Sim","Conforme (meta 2030)",IF(INDEX(tbl_recyclass[Conforme_Art7_2030],MATCH(A1703,tbl_recyclass[ProductId],0))="Não","Lacuna face à meta 2030","Isento")),IF(B1703="EU-ENV-011",IF(INDEX(tbl_familias_ppwr[Metais_Pesados_Evidencia],MATCH(INDEX(tbl_recyclass[Familia_PPWR],MATCH(A1703,tbl_recyclass[ProductId],0)),tbl_familias_ppwr[ID_Familia],0))="Em falta","Lacuna","Conforme"),IF(B1703="EU-ENV-013",IF(INDEX(tbl_familias_ppwr[Declaracao_UE],MATCH(INDEX(tbl_recyclass[Familia_PPWR],MATCH(A1703,tbl_recyclass[ProductId],0)),tbl_familias_ppwr[ID_Familia],0))="Sim","Conforme","Lacuna"),G1703)))),G1703))</f>
        <v>Não aplicável</v>
      </c>
      <c r="I1703" s="33" t="str">
        <f t="shared" si="26"/>
        <v>Não aplicável</v>
      </c>
      <c r="J1703" s="26"/>
    </row>
    <row r="1704" spans="1:10" ht="16.05" customHeight="1" x14ac:dyDescent="0.3">
      <c r="A1704" s="26" t="s">
        <v>792</v>
      </c>
      <c r="B1704" s="26" t="s">
        <v>1102</v>
      </c>
      <c r="C1704" s="33" t="str">
        <f>IFERROR(INDEX(tbl_requisitos_emb[Tema],MATCH(B1704,tbl_requisitos_emb[ID_Req],0)),"")</f>
        <v>Documentação técnica e declaração UE</v>
      </c>
      <c r="D1704" s="33" t="str">
        <f>IFERROR(INDEX(tbl_recyclass[Segmento],MATCH(A1704,tbl_recyclass[ProductId],0)),"")</f>
        <v>Cosmética e higiene pessoal</v>
      </c>
      <c r="E1704" s="26" t="s">
        <v>901</v>
      </c>
      <c r="F1704" s="26" t="s">
        <v>1449</v>
      </c>
      <c r="G1704" s="26" t="s">
        <v>978</v>
      </c>
      <c r="H1704" s="33" t="str">
        <f>IF(E1704="Não","Não aplicável",IFERROR(IF(B1704="EU-ENV-002",IF(INDEX(tbl_recyclass[Conforme_PPWR_2030],MATCH(A1704,tbl_recyclass[ProductId],0))="Sim","Conforme (autoavaliação)",IF(INDEX(tbl_recyclass[Conforme_PPWR_2030],MATCH(A1704,tbl_recyclass[ProductId],0))="Não","Não conforme em 2030","Isento até 2035")),IF(B1704="EU-ENV-003",IF(INDEX(tbl_recyclass[Conforme_Art7_2030],MATCH(A1704,tbl_recyclass[ProductId],0))="Sim","Conforme (meta 2030)",IF(INDEX(tbl_recyclass[Conforme_Art7_2030],MATCH(A1704,tbl_recyclass[ProductId],0))="Não","Lacuna face à meta 2030","Isento")),IF(B1704="EU-ENV-011",IF(INDEX(tbl_familias_ppwr[Metais_Pesados_Evidencia],MATCH(INDEX(tbl_recyclass[Familia_PPWR],MATCH(A1704,tbl_recyclass[ProductId],0)),tbl_familias_ppwr[ID_Familia],0))="Em falta","Lacuna","Conforme"),IF(B1704="EU-ENV-013",IF(INDEX(tbl_familias_ppwr[Declaracao_UE],MATCH(INDEX(tbl_recyclass[Familia_PPWR],MATCH(A1704,tbl_recyclass[ProductId],0)),tbl_familias_ppwr[ID_Familia],0))="Sim","Conforme","Lacuna"),G1704)))),G1704))</f>
        <v>Conforme</v>
      </c>
      <c r="I1704" s="33" t="str">
        <f t="shared" si="26"/>
        <v>Conforme</v>
      </c>
      <c r="J1704" s="26" t="s">
        <v>1106</v>
      </c>
    </row>
    <row r="1705" spans="1:10" ht="16.05" customHeight="1" x14ac:dyDescent="0.3">
      <c r="A1705" s="26" t="s">
        <v>792</v>
      </c>
      <c r="B1705" s="26" t="s">
        <v>1161</v>
      </c>
      <c r="C1705" s="33" t="str">
        <f>IFERROR(INDEX(tbl_requisitos_emb[Tema],MATCH(B1705,tbl_requisitos_emb[ID_Req],0)),"")</f>
        <v>Materiais em contacto com alimentos</v>
      </c>
      <c r="D1705" s="33" t="str">
        <f>IFERROR(INDEX(tbl_recyclass[Segmento],MATCH(A1705,tbl_recyclass[ProductId],0)),"")</f>
        <v>Cosmética e higiene pessoal</v>
      </c>
      <c r="E1705" s="26" t="s">
        <v>904</v>
      </c>
      <c r="F1705" s="26" t="s">
        <v>1450</v>
      </c>
      <c r="G1705" s="26" t="s">
        <v>1143</v>
      </c>
      <c r="H1705" s="33" t="str">
        <f>IF(E1705="Não","Não aplicável",IFERROR(IF(B1705="EU-ENV-002",IF(INDEX(tbl_recyclass[Conforme_PPWR_2030],MATCH(A1705,tbl_recyclass[ProductId],0))="Sim","Conforme (autoavaliação)",IF(INDEX(tbl_recyclass[Conforme_PPWR_2030],MATCH(A1705,tbl_recyclass[ProductId],0))="Não","Não conforme em 2030","Isento até 2035")),IF(B1705="EU-ENV-003",IF(INDEX(tbl_recyclass[Conforme_Art7_2030],MATCH(A1705,tbl_recyclass[ProductId],0))="Sim","Conforme (meta 2030)",IF(INDEX(tbl_recyclass[Conforme_Art7_2030],MATCH(A1705,tbl_recyclass[ProductId],0))="Não","Lacuna face à meta 2030","Isento")),IF(B1705="EU-ENV-011",IF(INDEX(tbl_familias_ppwr[Metais_Pesados_Evidencia],MATCH(INDEX(tbl_recyclass[Familia_PPWR],MATCH(A1705,tbl_recyclass[ProductId],0)),tbl_familias_ppwr[ID_Familia],0))="Em falta","Lacuna","Conforme"),IF(B1705="EU-ENV-013",IF(INDEX(tbl_familias_ppwr[Declaracao_UE],MATCH(INDEX(tbl_recyclass[Familia_PPWR],MATCH(A1705,tbl_recyclass[ProductId],0)),tbl_familias_ppwr[ID_Familia],0))="Sim","Conforme","Lacuna"),G1705)))),G1705))</f>
        <v>Não aplicável</v>
      </c>
      <c r="I1705" s="33" t="str">
        <f t="shared" si="26"/>
        <v>Não aplicável</v>
      </c>
      <c r="J1705" s="26"/>
    </row>
    <row r="1706" spans="1:10" ht="16.05" customHeight="1" x14ac:dyDescent="0.3">
      <c r="A1706" s="26" t="s">
        <v>792</v>
      </c>
      <c r="B1706" s="26" t="s">
        <v>1170</v>
      </c>
      <c r="C1706" s="33" t="str">
        <f>IFERROR(INDEX(tbl_requisitos_emb[Tema],MATCH(B1706,tbl_requisitos_emb[ID_Req],0)),"")</f>
        <v>Boas práticas de fabrico FCM</v>
      </c>
      <c r="D1706" s="33" t="str">
        <f>IFERROR(INDEX(tbl_recyclass[Segmento],MATCH(A1706,tbl_recyclass[ProductId],0)),"")</f>
        <v>Cosmética e higiene pessoal</v>
      </c>
      <c r="E1706" s="26" t="s">
        <v>904</v>
      </c>
      <c r="F1706" s="26" t="s">
        <v>1450</v>
      </c>
      <c r="G1706" s="26" t="s">
        <v>1143</v>
      </c>
      <c r="H1706" s="33" t="str">
        <f>IF(E1706="Não","Não aplicável",IFERROR(IF(B1706="EU-ENV-002",IF(INDEX(tbl_recyclass[Conforme_PPWR_2030],MATCH(A1706,tbl_recyclass[ProductId],0))="Sim","Conforme (autoavaliação)",IF(INDEX(tbl_recyclass[Conforme_PPWR_2030],MATCH(A1706,tbl_recyclass[ProductId],0))="Não","Não conforme em 2030","Isento até 2035")),IF(B1706="EU-ENV-003",IF(INDEX(tbl_recyclass[Conforme_Art7_2030],MATCH(A1706,tbl_recyclass[ProductId],0))="Sim","Conforme (meta 2030)",IF(INDEX(tbl_recyclass[Conforme_Art7_2030],MATCH(A1706,tbl_recyclass[ProductId],0))="Não","Lacuna face à meta 2030","Isento")),IF(B1706="EU-ENV-011",IF(INDEX(tbl_familias_ppwr[Metais_Pesados_Evidencia],MATCH(INDEX(tbl_recyclass[Familia_PPWR],MATCH(A1706,tbl_recyclass[ProductId],0)),tbl_familias_ppwr[ID_Familia],0))="Em falta","Lacuna","Conforme"),IF(B1706="EU-ENV-013",IF(INDEX(tbl_familias_ppwr[Declaracao_UE],MATCH(INDEX(tbl_recyclass[Familia_PPWR],MATCH(A1706,tbl_recyclass[ProductId],0)),tbl_familias_ppwr[ID_Familia],0))="Sim","Conforme","Lacuna"),G1706)))),G1706))</f>
        <v>Não aplicável</v>
      </c>
      <c r="I1706" s="33" t="str">
        <f t="shared" si="26"/>
        <v>Não aplicável</v>
      </c>
      <c r="J1706" s="26"/>
    </row>
    <row r="1707" spans="1:10" ht="16.05" customHeight="1" x14ac:dyDescent="0.3">
      <c r="A1707" s="26" t="s">
        <v>792</v>
      </c>
      <c r="B1707" s="26" t="s">
        <v>1179</v>
      </c>
      <c r="C1707" s="33" t="str">
        <f>IFERROR(INDEX(tbl_requisitos_emb[Tema],MATCH(B1707,tbl_requisitos_emb[ID_Req],0)),"")</f>
        <v>Bisfenol A e bisfenóis perigosos</v>
      </c>
      <c r="D1707" s="33" t="str">
        <f>IFERROR(INDEX(tbl_recyclass[Segmento],MATCH(A1707,tbl_recyclass[ProductId],0)),"")</f>
        <v>Cosmética e higiene pessoal</v>
      </c>
      <c r="E1707" s="26" t="s">
        <v>904</v>
      </c>
      <c r="F1707" s="26" t="s">
        <v>1450</v>
      </c>
      <c r="G1707" s="26" t="s">
        <v>1143</v>
      </c>
      <c r="H1707" s="33" t="str">
        <f>IF(E1707="Não","Não aplicável",IFERROR(IF(B1707="EU-ENV-002",IF(INDEX(tbl_recyclass[Conforme_PPWR_2030],MATCH(A1707,tbl_recyclass[ProductId],0))="Sim","Conforme (autoavaliação)",IF(INDEX(tbl_recyclass[Conforme_PPWR_2030],MATCH(A1707,tbl_recyclass[ProductId],0))="Não","Não conforme em 2030","Isento até 2035")),IF(B1707="EU-ENV-003",IF(INDEX(tbl_recyclass[Conforme_Art7_2030],MATCH(A1707,tbl_recyclass[ProductId],0))="Sim","Conforme (meta 2030)",IF(INDEX(tbl_recyclass[Conforme_Art7_2030],MATCH(A1707,tbl_recyclass[ProductId],0))="Não","Lacuna face à meta 2030","Isento")),IF(B1707="EU-ENV-011",IF(INDEX(tbl_familias_ppwr[Metais_Pesados_Evidencia],MATCH(INDEX(tbl_recyclass[Familia_PPWR],MATCH(A1707,tbl_recyclass[ProductId],0)),tbl_familias_ppwr[ID_Familia],0))="Em falta","Lacuna","Conforme"),IF(B1707="EU-ENV-013",IF(INDEX(tbl_familias_ppwr[Declaracao_UE],MATCH(INDEX(tbl_recyclass[Familia_PPWR],MATCH(A1707,tbl_recyclass[ProductId],0)),tbl_familias_ppwr[ID_Familia],0))="Sim","Conforme","Lacuna"),G1707)))),G1707))</f>
        <v>Não aplicável</v>
      </c>
      <c r="I1707" s="33" t="str">
        <f t="shared" si="26"/>
        <v>Não aplicável</v>
      </c>
      <c r="J1707" s="26"/>
    </row>
    <row r="1708" spans="1:10" ht="16.05" customHeight="1" x14ac:dyDescent="0.3">
      <c r="A1708" s="26" t="s">
        <v>792</v>
      </c>
      <c r="B1708" s="26" t="s">
        <v>1188</v>
      </c>
      <c r="C1708" s="33" t="str">
        <f>IFERROR(INDEX(tbl_requisitos_emb[Tema],MATCH(B1708,tbl_requisitos_emb[ID_Req],0)),"")</f>
        <v>Plásticos em contacto com alimentos</v>
      </c>
      <c r="D1708" s="33" t="str">
        <f>IFERROR(INDEX(tbl_recyclass[Segmento],MATCH(A1708,tbl_recyclass[ProductId],0)),"")</f>
        <v>Cosmética e higiene pessoal</v>
      </c>
      <c r="E1708" s="26" t="s">
        <v>904</v>
      </c>
      <c r="F1708" s="26" t="s">
        <v>1450</v>
      </c>
      <c r="G1708" s="26" t="s">
        <v>1143</v>
      </c>
      <c r="H1708" s="33" t="str">
        <f>IF(E1708="Não","Não aplicável",IFERROR(IF(B1708="EU-ENV-002",IF(INDEX(tbl_recyclass[Conforme_PPWR_2030],MATCH(A1708,tbl_recyclass[ProductId],0))="Sim","Conforme (autoavaliação)",IF(INDEX(tbl_recyclass[Conforme_PPWR_2030],MATCH(A1708,tbl_recyclass[ProductId],0))="Não","Não conforme em 2030","Isento até 2035")),IF(B1708="EU-ENV-003",IF(INDEX(tbl_recyclass[Conforme_Art7_2030],MATCH(A1708,tbl_recyclass[ProductId],0))="Sim","Conforme (meta 2030)",IF(INDEX(tbl_recyclass[Conforme_Art7_2030],MATCH(A1708,tbl_recyclass[ProductId],0))="Não","Lacuna face à meta 2030","Isento")),IF(B1708="EU-ENV-011",IF(INDEX(tbl_familias_ppwr[Metais_Pesados_Evidencia],MATCH(INDEX(tbl_recyclass[Familia_PPWR],MATCH(A1708,tbl_recyclass[ProductId],0)),tbl_familias_ppwr[ID_Familia],0))="Em falta","Lacuna","Conforme"),IF(B1708="EU-ENV-013",IF(INDEX(tbl_familias_ppwr[Declaracao_UE],MATCH(INDEX(tbl_recyclass[Familia_PPWR],MATCH(A1708,tbl_recyclass[ProductId],0)),tbl_familias_ppwr[ID_Familia],0))="Sim","Conforme","Lacuna"),G1708)))),G1708))</f>
        <v>Não aplicável</v>
      </c>
      <c r="I1708" s="33" t="str">
        <f t="shared" si="26"/>
        <v>Não aplicável</v>
      </c>
      <c r="J1708" s="26"/>
    </row>
    <row r="1709" spans="1:10" ht="16.05" customHeight="1" x14ac:dyDescent="0.3">
      <c r="A1709" s="26" t="s">
        <v>792</v>
      </c>
      <c r="B1709" s="26" t="s">
        <v>1212</v>
      </c>
      <c r="C1709" s="33" t="str">
        <f>IFERROR(INDEX(tbl_requisitos_emb[Tema],MATCH(B1709,tbl_requisitos_emb[ID_Req],0)),"")</f>
        <v>Segurança do produto cosmético</v>
      </c>
      <c r="D1709" s="33" t="str">
        <f>IFERROR(INDEX(tbl_recyclass[Segmento],MATCH(A1709,tbl_recyclass[ProductId],0)),"")</f>
        <v>Cosmética e higiene pessoal</v>
      </c>
      <c r="E1709" s="26" t="s">
        <v>901</v>
      </c>
      <c r="F1709" s="26" t="s">
        <v>1449</v>
      </c>
      <c r="G1709" s="26" t="s">
        <v>1033</v>
      </c>
      <c r="H1709" s="33" t="str">
        <f>IF(E1709="Não","Não aplicável",IFERROR(IF(B1709="EU-ENV-002",IF(INDEX(tbl_recyclass[Conforme_PPWR_2030],MATCH(A1709,tbl_recyclass[ProductId],0))="Sim","Conforme (autoavaliação)",IF(INDEX(tbl_recyclass[Conforme_PPWR_2030],MATCH(A1709,tbl_recyclass[ProductId],0))="Não","Não conforme em 2030","Isento até 2035")),IF(B1709="EU-ENV-003",IF(INDEX(tbl_recyclass[Conforme_Art7_2030],MATCH(A1709,tbl_recyclass[ProductId],0))="Sim","Conforme (meta 2030)",IF(INDEX(tbl_recyclass[Conforme_Art7_2030],MATCH(A1709,tbl_recyclass[ProductId],0))="Não","Lacuna face à meta 2030","Isento")),IF(B1709="EU-ENV-011",IF(INDEX(tbl_familias_ppwr[Metais_Pesados_Evidencia],MATCH(INDEX(tbl_recyclass[Familia_PPWR],MATCH(A1709,tbl_recyclass[ProductId],0)),tbl_familias_ppwr[ID_Familia],0))="Em falta","Lacuna","Conforme"),IF(B1709="EU-ENV-013",IF(INDEX(tbl_familias_ppwr[Declaracao_UE],MATCH(INDEX(tbl_recyclass[Familia_PPWR],MATCH(A1709,tbl_recyclass[ProductId],0)),tbl_familias_ppwr[ID_Familia],0))="Sim","Conforme","Lacuna"),G1709)))),G1709))</f>
        <v>Conforme</v>
      </c>
      <c r="I1709" s="33" t="str">
        <f t="shared" si="26"/>
        <v>Conforme</v>
      </c>
      <c r="J1709" s="26" t="s">
        <v>1221</v>
      </c>
    </row>
    <row r="1710" spans="1:10" ht="16.05" customHeight="1" x14ac:dyDescent="0.3">
      <c r="A1710" s="26" t="s">
        <v>792</v>
      </c>
      <c r="B1710" s="26" t="s">
        <v>1224</v>
      </c>
      <c r="C1710" s="33" t="str">
        <f>IFERROR(INDEX(tbl_requisitos_emb[Tema],MATCH(B1710,tbl_requisitos_emb[ID_Req],0)),"")</f>
        <v>Materiais e impurezas</v>
      </c>
      <c r="D1710" s="33" t="str">
        <f>IFERROR(INDEX(tbl_recyclass[Segmento],MATCH(A1710,tbl_recyclass[ProductId],0)),"")</f>
        <v>Cosmética e higiene pessoal</v>
      </c>
      <c r="E1710" s="26" t="s">
        <v>901</v>
      </c>
      <c r="F1710" s="26" t="s">
        <v>1449</v>
      </c>
      <c r="G1710" s="26" t="s">
        <v>978</v>
      </c>
      <c r="H1710" s="33" t="str">
        <f>IF(E1710="Não","Não aplicável",IFERROR(IF(B1710="EU-ENV-002",IF(INDEX(tbl_recyclass[Conforme_PPWR_2030],MATCH(A1710,tbl_recyclass[ProductId],0))="Sim","Conforme (autoavaliação)",IF(INDEX(tbl_recyclass[Conforme_PPWR_2030],MATCH(A1710,tbl_recyclass[ProductId],0))="Não","Não conforme em 2030","Isento até 2035")),IF(B1710="EU-ENV-003",IF(INDEX(tbl_recyclass[Conforme_Art7_2030],MATCH(A1710,tbl_recyclass[ProductId],0))="Sim","Conforme (meta 2030)",IF(INDEX(tbl_recyclass[Conforme_Art7_2030],MATCH(A1710,tbl_recyclass[ProductId],0))="Não","Lacuna face à meta 2030","Isento")),IF(B1710="EU-ENV-011",IF(INDEX(tbl_familias_ppwr[Metais_Pesados_Evidencia],MATCH(INDEX(tbl_recyclass[Familia_PPWR],MATCH(A1710,tbl_recyclass[ProductId],0)),tbl_familias_ppwr[ID_Familia],0))="Em falta","Lacuna","Conforme"),IF(B1710="EU-ENV-013",IF(INDEX(tbl_familias_ppwr[Declaracao_UE],MATCH(INDEX(tbl_recyclass[Familia_PPWR],MATCH(A1710,tbl_recyclass[ProductId],0)),tbl_familias_ppwr[ID_Familia],0))="Sim","Conforme","Lacuna"),G1710)))),G1710))</f>
        <v>Parcial</v>
      </c>
      <c r="I1710" s="33" t="str">
        <f t="shared" si="26"/>
        <v>Parcial</v>
      </c>
      <c r="J1710" s="26" t="s">
        <v>1228</v>
      </c>
    </row>
    <row r="1711" spans="1:10" ht="16.05" customHeight="1" x14ac:dyDescent="0.3">
      <c r="A1711" s="26" t="s">
        <v>792</v>
      </c>
      <c r="B1711" s="26" t="s">
        <v>1240</v>
      </c>
      <c r="C1711" s="33" t="str">
        <f>IFERROR(INDEX(tbl_requisitos_emb[Tema],MATCH(B1711,tbl_requisitos_emb[ID_Req],0)),"")</f>
        <v>Compatibilidade embalagem–produto</v>
      </c>
      <c r="D1711" s="33" t="str">
        <f>IFERROR(INDEX(tbl_recyclass[Segmento],MATCH(A1711,tbl_recyclass[ProductId],0)),"")</f>
        <v>Cosmética e higiene pessoal</v>
      </c>
      <c r="E1711" s="26" t="s">
        <v>901</v>
      </c>
      <c r="F1711" s="26" t="s">
        <v>1449</v>
      </c>
      <c r="G1711" s="26" t="s">
        <v>1033</v>
      </c>
      <c r="H1711" s="33" t="str">
        <f>IF(E1711="Não","Não aplicável",IFERROR(IF(B1711="EU-ENV-002",IF(INDEX(tbl_recyclass[Conforme_PPWR_2030],MATCH(A1711,tbl_recyclass[ProductId],0))="Sim","Conforme (autoavaliação)",IF(INDEX(tbl_recyclass[Conforme_PPWR_2030],MATCH(A1711,tbl_recyclass[ProductId],0))="Não","Não conforme em 2030","Isento até 2035")),IF(B1711="EU-ENV-003",IF(INDEX(tbl_recyclass[Conforme_Art7_2030],MATCH(A1711,tbl_recyclass[ProductId],0))="Sim","Conforme (meta 2030)",IF(INDEX(tbl_recyclass[Conforme_Art7_2030],MATCH(A1711,tbl_recyclass[ProductId],0))="Não","Lacuna face à meta 2030","Isento")),IF(B1711="EU-ENV-011",IF(INDEX(tbl_familias_ppwr[Metais_Pesados_Evidencia],MATCH(INDEX(tbl_recyclass[Familia_PPWR],MATCH(A1711,tbl_recyclass[ProductId],0)),tbl_familias_ppwr[ID_Familia],0))="Em falta","Lacuna","Conforme"),IF(B1711="EU-ENV-013",IF(INDEX(tbl_familias_ppwr[Declaracao_UE],MATCH(INDEX(tbl_recyclass[Familia_PPWR],MATCH(A1711,tbl_recyclass[ProductId],0)),tbl_familias_ppwr[ID_Familia],0))="Sim","Conforme","Lacuna"),G1711)))),G1711))</f>
        <v>Conforme</v>
      </c>
      <c r="I1711" s="33" t="str">
        <f t="shared" si="26"/>
        <v>Conforme</v>
      </c>
      <c r="J1711" s="26" t="s">
        <v>1244</v>
      </c>
    </row>
    <row r="1712" spans="1:10" ht="16.05" customHeight="1" x14ac:dyDescent="0.3">
      <c r="A1712" s="26" t="s">
        <v>792</v>
      </c>
      <c r="B1712" s="26" t="s">
        <v>1252</v>
      </c>
      <c r="C1712" s="33" t="str">
        <f>IFERROR(INDEX(tbl_requisitos_emb[Tema],MATCH(B1712,tbl_requisitos_emb[ID_Req],0)),"")</f>
        <v>Medicamentos de uso humano</v>
      </c>
      <c r="D1712" s="33" t="str">
        <f>IFERROR(INDEX(tbl_recyclass[Segmento],MATCH(A1712,tbl_recyclass[ProductId],0)),"")</f>
        <v>Cosmética e higiene pessoal</v>
      </c>
      <c r="E1712" s="26" t="s">
        <v>904</v>
      </c>
      <c r="F1712" s="26" t="s">
        <v>1451</v>
      </c>
      <c r="G1712" s="26" t="s">
        <v>1143</v>
      </c>
      <c r="H1712" s="33" t="str">
        <f>IF(E1712="Não","Não aplicável",IFERROR(IF(B1712="EU-ENV-002",IF(INDEX(tbl_recyclass[Conforme_PPWR_2030],MATCH(A1712,tbl_recyclass[ProductId],0))="Sim","Conforme (autoavaliação)",IF(INDEX(tbl_recyclass[Conforme_PPWR_2030],MATCH(A1712,tbl_recyclass[ProductId],0))="Não","Não conforme em 2030","Isento até 2035")),IF(B1712="EU-ENV-003",IF(INDEX(tbl_recyclass[Conforme_Art7_2030],MATCH(A1712,tbl_recyclass[ProductId],0))="Sim","Conforme (meta 2030)",IF(INDEX(tbl_recyclass[Conforme_Art7_2030],MATCH(A1712,tbl_recyclass[ProductId],0))="Não","Lacuna face à meta 2030","Isento")),IF(B1712="EU-ENV-011",IF(INDEX(tbl_familias_ppwr[Metais_Pesados_Evidencia],MATCH(INDEX(tbl_recyclass[Familia_PPWR],MATCH(A1712,tbl_recyclass[ProductId],0)),tbl_familias_ppwr[ID_Familia],0))="Em falta","Lacuna","Conforme"),IF(B1712="EU-ENV-013",IF(INDEX(tbl_familias_ppwr[Declaracao_UE],MATCH(INDEX(tbl_recyclass[Familia_PPWR],MATCH(A1712,tbl_recyclass[ProductId],0)),tbl_familias_ppwr[ID_Familia],0))="Sim","Conforme","Lacuna"),G1712)))),G1712))</f>
        <v>Não aplicável</v>
      </c>
      <c r="I1712" s="33" t="str">
        <f t="shared" si="26"/>
        <v>Não aplicável</v>
      </c>
      <c r="J1712" s="26"/>
    </row>
    <row r="1713" spans="1:10" ht="16.05" customHeight="1" x14ac:dyDescent="0.3">
      <c r="A1713" s="26" t="s">
        <v>792</v>
      </c>
      <c r="B1713" s="26" t="s">
        <v>1268</v>
      </c>
      <c r="C1713" s="33" t="str">
        <f>IFERROR(INDEX(tbl_requisitos_emb[Tema],MATCH(B1713,tbl_requisitos_emb[ID_Req],0)),"")</f>
        <v>Dispositivos de segurança</v>
      </c>
      <c r="D1713" s="33" t="str">
        <f>IFERROR(INDEX(tbl_recyclass[Segmento],MATCH(A1713,tbl_recyclass[ProductId],0)),"")</f>
        <v>Cosmética e higiene pessoal</v>
      </c>
      <c r="E1713" s="26" t="s">
        <v>904</v>
      </c>
      <c r="F1713" s="26" t="s">
        <v>1451</v>
      </c>
      <c r="G1713" s="26" t="s">
        <v>1143</v>
      </c>
      <c r="H1713" s="33" t="str">
        <f>IF(E1713="Não","Não aplicável",IFERROR(IF(B1713="EU-ENV-002",IF(INDEX(tbl_recyclass[Conforme_PPWR_2030],MATCH(A1713,tbl_recyclass[ProductId],0))="Sim","Conforme (autoavaliação)",IF(INDEX(tbl_recyclass[Conforme_PPWR_2030],MATCH(A1713,tbl_recyclass[ProductId],0))="Não","Não conforme em 2030","Isento até 2035")),IF(B1713="EU-ENV-003",IF(INDEX(tbl_recyclass[Conforme_Art7_2030],MATCH(A1713,tbl_recyclass[ProductId],0))="Sim","Conforme (meta 2030)",IF(INDEX(tbl_recyclass[Conforme_Art7_2030],MATCH(A1713,tbl_recyclass[ProductId],0))="Não","Lacuna face à meta 2030","Isento")),IF(B1713="EU-ENV-011",IF(INDEX(tbl_familias_ppwr[Metais_Pesados_Evidencia],MATCH(INDEX(tbl_recyclass[Familia_PPWR],MATCH(A1713,tbl_recyclass[ProductId],0)),tbl_familias_ppwr[ID_Familia],0))="Em falta","Lacuna","Conforme"),IF(B1713="EU-ENV-013",IF(INDEX(tbl_familias_ppwr[Declaracao_UE],MATCH(INDEX(tbl_recyclass[Familia_PPWR],MATCH(A1713,tbl_recyclass[ProductId],0)),tbl_familias_ppwr[ID_Familia],0))="Sim","Conforme","Lacuna"),G1713)))),G1713))</f>
        <v>Não aplicável</v>
      </c>
      <c r="I1713" s="33" t="str">
        <f t="shared" si="26"/>
        <v>Não aplicável</v>
      </c>
      <c r="J1713" s="26"/>
    </row>
    <row r="1714" spans="1:10" ht="16.05" customHeight="1" x14ac:dyDescent="0.3">
      <c r="A1714" s="26" t="s">
        <v>792</v>
      </c>
      <c r="B1714" s="26" t="s">
        <v>1285</v>
      </c>
      <c r="C1714" s="33" t="str">
        <f>IFERROR(INDEX(tbl_requisitos_emb[Tema],MATCH(B1714,tbl_requisitos_emb[ID_Req],0)),"")</f>
        <v>Materiais plásticos de acondicionamento primário</v>
      </c>
      <c r="D1714" s="33" t="str">
        <f>IFERROR(INDEX(tbl_recyclass[Segmento],MATCH(A1714,tbl_recyclass[ProductId],0)),"")</f>
        <v>Cosmética e higiene pessoal</v>
      </c>
      <c r="E1714" s="26" t="s">
        <v>904</v>
      </c>
      <c r="F1714" s="26" t="s">
        <v>1451</v>
      </c>
      <c r="G1714" s="26" t="s">
        <v>1143</v>
      </c>
      <c r="H1714" s="33" t="str">
        <f>IF(E1714="Não","Não aplicável",IFERROR(IF(B1714="EU-ENV-002",IF(INDEX(tbl_recyclass[Conforme_PPWR_2030],MATCH(A1714,tbl_recyclass[ProductId],0))="Sim","Conforme (autoavaliação)",IF(INDEX(tbl_recyclass[Conforme_PPWR_2030],MATCH(A1714,tbl_recyclass[ProductId],0))="Não","Não conforme em 2030","Isento até 2035")),IF(B1714="EU-ENV-003",IF(INDEX(tbl_recyclass[Conforme_Art7_2030],MATCH(A1714,tbl_recyclass[ProductId],0))="Sim","Conforme (meta 2030)",IF(INDEX(tbl_recyclass[Conforme_Art7_2030],MATCH(A1714,tbl_recyclass[ProductId],0))="Não","Lacuna face à meta 2030","Isento")),IF(B1714="EU-ENV-011",IF(INDEX(tbl_familias_ppwr[Metais_Pesados_Evidencia],MATCH(INDEX(tbl_recyclass[Familia_PPWR],MATCH(A1714,tbl_recyclass[ProductId],0)),tbl_familias_ppwr[ID_Familia],0))="Em falta","Lacuna","Conforme"),IF(B1714="EU-ENV-013",IF(INDEX(tbl_familias_ppwr[Declaracao_UE],MATCH(INDEX(tbl_recyclass[Familia_PPWR],MATCH(A1714,tbl_recyclass[ProductId],0)),tbl_familias_ppwr[ID_Familia],0))="Sim","Conforme","Lacuna"),G1714)))),G1714))</f>
        <v>Não aplicável</v>
      </c>
      <c r="I1714" s="33" t="str">
        <f t="shared" si="26"/>
        <v>Não aplicável</v>
      </c>
      <c r="J1714" s="26"/>
    </row>
    <row r="1715" spans="1:10" ht="16.05" customHeight="1" x14ac:dyDescent="0.3">
      <c r="A1715" s="26" t="s">
        <v>792</v>
      </c>
      <c r="B1715" s="26" t="s">
        <v>1293</v>
      </c>
      <c r="C1715" s="33" t="str">
        <f>IFERROR(INDEX(tbl_requisitos_emb[Tema],MATCH(B1715,tbl_requisitos_emb[ID_Req],0)),"")</f>
        <v>Isenções PPWR</v>
      </c>
      <c r="D1715" s="33" t="str">
        <f>IFERROR(INDEX(tbl_recyclass[Segmento],MATCH(A1715,tbl_recyclass[ProductId],0)),"")</f>
        <v>Cosmética e higiene pessoal</v>
      </c>
      <c r="E1715" s="26" t="s">
        <v>904</v>
      </c>
      <c r="F1715" s="26" t="s">
        <v>1451</v>
      </c>
      <c r="G1715" s="26" t="s">
        <v>1143</v>
      </c>
      <c r="H1715" s="33" t="str">
        <f>IF(E1715="Não","Não aplicável",IFERROR(IF(B1715="EU-ENV-002",IF(INDEX(tbl_recyclass[Conforme_PPWR_2030],MATCH(A1715,tbl_recyclass[ProductId],0))="Sim","Conforme (autoavaliação)",IF(INDEX(tbl_recyclass[Conforme_PPWR_2030],MATCH(A1715,tbl_recyclass[ProductId],0))="Não","Não conforme em 2030","Isento até 2035")),IF(B1715="EU-ENV-003",IF(INDEX(tbl_recyclass[Conforme_Art7_2030],MATCH(A1715,tbl_recyclass[ProductId],0))="Sim","Conforme (meta 2030)",IF(INDEX(tbl_recyclass[Conforme_Art7_2030],MATCH(A1715,tbl_recyclass[ProductId],0))="Não","Lacuna face à meta 2030","Isento")),IF(B1715="EU-ENV-011",IF(INDEX(tbl_familias_ppwr[Metais_Pesados_Evidencia],MATCH(INDEX(tbl_recyclass[Familia_PPWR],MATCH(A1715,tbl_recyclass[ProductId],0)),tbl_familias_ppwr[ID_Familia],0))="Em falta","Lacuna","Conforme"),IF(B1715="EU-ENV-013",IF(INDEX(tbl_familias_ppwr[Declaracao_UE],MATCH(INDEX(tbl_recyclass[Familia_PPWR],MATCH(A1715,tbl_recyclass[ProductId],0)),tbl_familias_ppwr[ID_Familia],0))="Sim","Conforme","Lacuna"),G1715)))),G1715))</f>
        <v>Não aplicável</v>
      </c>
      <c r="I1715" s="33" t="str">
        <f t="shared" si="26"/>
        <v>Não aplicável</v>
      </c>
      <c r="J1715" s="26"/>
    </row>
    <row r="1716" spans="1:10" ht="16.05" customHeight="1" x14ac:dyDescent="0.3">
      <c r="A1716" s="26" t="s">
        <v>792</v>
      </c>
      <c r="B1716" s="26" t="s">
        <v>1357</v>
      </c>
      <c r="C1716" s="33" t="str">
        <f>IFERROR(INDEX(tbl_requisitos_emb[Tema],MATCH(B1716,tbl_requisitos_emb[ID_Req],0)),"")</f>
        <v>Identificação de plásticos</v>
      </c>
      <c r="D1716" s="33" t="str">
        <f>IFERROR(INDEX(tbl_recyclass[Segmento],MATCH(A1716,tbl_recyclass[ProductId],0)),"")</f>
        <v>Cosmética e higiene pessoal</v>
      </c>
      <c r="E1716" s="26" t="s">
        <v>901</v>
      </c>
      <c r="F1716" s="26" t="s">
        <v>1449</v>
      </c>
      <c r="G1716" s="26" t="s">
        <v>978</v>
      </c>
      <c r="H1716" s="33" t="str">
        <f>IF(E1716="Não","Não aplicável",IFERROR(IF(B1716="EU-ENV-002",IF(INDEX(tbl_recyclass[Conforme_PPWR_2030],MATCH(A1716,tbl_recyclass[ProductId],0))="Sim","Conforme (autoavaliação)",IF(INDEX(tbl_recyclass[Conforme_PPWR_2030],MATCH(A1716,tbl_recyclass[ProductId],0))="Não","Não conforme em 2030","Isento até 2035")),IF(B1716="EU-ENV-003",IF(INDEX(tbl_recyclass[Conforme_Art7_2030],MATCH(A1716,tbl_recyclass[ProductId],0))="Sim","Conforme (meta 2030)",IF(INDEX(tbl_recyclass[Conforme_Art7_2030],MATCH(A1716,tbl_recyclass[ProductId],0))="Não","Lacuna face à meta 2030","Isento")),IF(B1716="EU-ENV-011",IF(INDEX(tbl_familias_ppwr[Metais_Pesados_Evidencia],MATCH(INDEX(tbl_recyclass[Familia_PPWR],MATCH(A1716,tbl_recyclass[ProductId],0)),tbl_familias_ppwr[ID_Familia],0))="Em falta","Lacuna","Conforme"),IF(B1716="EU-ENV-013",IF(INDEX(tbl_familias_ppwr[Declaracao_UE],MATCH(INDEX(tbl_recyclass[Familia_PPWR],MATCH(A1716,tbl_recyclass[ProductId],0)),tbl_familias_ppwr[ID_Familia],0))="Sim","Conforme","Lacuna"),G1716)))),G1716))</f>
        <v>Parcial</v>
      </c>
      <c r="I1716" s="33" t="str">
        <f t="shared" si="26"/>
        <v>Parcial</v>
      </c>
      <c r="J1716" s="26" t="s">
        <v>1362</v>
      </c>
    </row>
    <row r="1717" spans="1:10" ht="16.05" customHeight="1" x14ac:dyDescent="0.3">
      <c r="A1717" s="26" t="s">
        <v>792</v>
      </c>
      <c r="B1717" s="26" t="s">
        <v>1385</v>
      </c>
      <c r="C1717" s="33" t="str">
        <f>IFERROR(INDEX(tbl_requisitos_emb[Tema],MATCH(B1717,tbl_requisitos_emb[ID_Req],0)),"")</f>
        <v>Reciclabilidade (voluntária)</v>
      </c>
      <c r="D1717" s="33" t="str">
        <f>IFERROR(INDEX(tbl_recyclass[Segmento],MATCH(A1717,tbl_recyclass[ProductId],0)),"")</f>
        <v>Cosmética e higiene pessoal</v>
      </c>
      <c r="E1717" s="26" t="s">
        <v>901</v>
      </c>
      <c r="F1717" s="26" t="s">
        <v>1449</v>
      </c>
      <c r="G1717" s="26" t="s">
        <v>978</v>
      </c>
      <c r="H1717" s="33" t="str">
        <f>IF(E1717="Não","Não aplicável",IFERROR(IF(B1717="EU-ENV-002",IF(INDEX(tbl_recyclass[Conforme_PPWR_2030],MATCH(A1717,tbl_recyclass[ProductId],0))="Sim","Conforme (autoavaliação)",IF(INDEX(tbl_recyclass[Conforme_PPWR_2030],MATCH(A1717,tbl_recyclass[ProductId],0))="Não","Não conforme em 2030","Isento até 2035")),IF(B1717="EU-ENV-003",IF(INDEX(tbl_recyclass[Conforme_Art7_2030],MATCH(A1717,tbl_recyclass[ProductId],0))="Sim","Conforme (meta 2030)",IF(INDEX(tbl_recyclass[Conforme_Art7_2030],MATCH(A1717,tbl_recyclass[ProductId],0))="Não","Lacuna face à meta 2030","Isento")),IF(B1717="EU-ENV-011",IF(INDEX(tbl_familias_ppwr[Metais_Pesados_Evidencia],MATCH(INDEX(tbl_recyclass[Familia_PPWR],MATCH(A1717,tbl_recyclass[ProductId],0)),tbl_familias_ppwr[ID_Familia],0))="Em falta","Lacuna","Conforme"),IF(B1717="EU-ENV-013",IF(INDEX(tbl_familias_ppwr[Declaracao_UE],MATCH(INDEX(tbl_recyclass[Familia_PPWR],MATCH(A1717,tbl_recyclass[ProductId],0)),tbl_familias_ppwr[ID_Familia],0))="Sim","Conforme","Lacuna"),G1717)))),G1717))</f>
        <v>Parcial</v>
      </c>
      <c r="I1717" s="33" t="str">
        <f t="shared" si="26"/>
        <v>Parcial</v>
      </c>
      <c r="J1717" s="26" t="s">
        <v>1389</v>
      </c>
    </row>
    <row r="1718" spans="1:10" ht="16.05" customHeight="1" x14ac:dyDescent="0.3">
      <c r="A1718" s="26" t="s">
        <v>795</v>
      </c>
      <c r="B1718" s="26" t="s">
        <v>984</v>
      </c>
      <c r="C1718" s="33" t="str">
        <f>IFERROR(INDEX(tbl_requisitos_emb[Tema],MATCH(B1718,tbl_requisitos_emb[ID_Req],0)),"")</f>
        <v>Conceção para reciclagem</v>
      </c>
      <c r="D1718" s="33" t="str">
        <f>IFERROR(INDEX(tbl_recyclass[Segmento],MATCH(A1718,tbl_recyclass[ProductId],0)),"")</f>
        <v>Cosmética e higiene pessoal</v>
      </c>
      <c r="E1718" s="26" t="s">
        <v>901</v>
      </c>
      <c r="F1718" s="26" t="s">
        <v>1449</v>
      </c>
      <c r="G1718" s="26" t="s">
        <v>978</v>
      </c>
      <c r="H1718" s="33" t="str">
        <f>IF(E1718="Não","Não aplicável",IFERROR(IF(B1718="EU-ENV-002",IF(INDEX(tbl_recyclass[Conforme_PPWR_2030],MATCH(A1718,tbl_recyclass[ProductId],0))="Sim","Conforme (autoavaliação)",IF(INDEX(tbl_recyclass[Conforme_PPWR_2030],MATCH(A1718,tbl_recyclass[ProductId],0))="Não","Não conforme em 2030","Isento até 2035")),IF(B1718="EU-ENV-003",IF(INDEX(tbl_recyclass[Conforme_Art7_2030],MATCH(A1718,tbl_recyclass[ProductId],0))="Sim","Conforme (meta 2030)",IF(INDEX(tbl_recyclass[Conforme_Art7_2030],MATCH(A1718,tbl_recyclass[ProductId],0))="Não","Lacuna face à meta 2030","Isento")),IF(B1718="EU-ENV-011",IF(INDEX(tbl_familias_ppwr[Metais_Pesados_Evidencia],MATCH(INDEX(tbl_recyclass[Familia_PPWR],MATCH(A1718,tbl_recyclass[ProductId],0)),tbl_familias_ppwr[ID_Familia],0))="Em falta","Lacuna","Conforme"),IF(B1718="EU-ENV-013",IF(INDEX(tbl_familias_ppwr[Declaracao_UE],MATCH(INDEX(tbl_recyclass[Familia_PPWR],MATCH(A1718,tbl_recyclass[ProductId],0)),tbl_familias_ppwr[ID_Familia],0))="Sim","Conforme","Lacuna"),G1718)))),G1718))</f>
        <v>Não conforme em 2030</v>
      </c>
      <c r="I1718" s="33" t="str">
        <f t="shared" si="26"/>
        <v>Não conforme</v>
      </c>
      <c r="J1718" s="26" t="s">
        <v>991</v>
      </c>
    </row>
    <row r="1719" spans="1:10" ht="16.05" customHeight="1" x14ac:dyDescent="0.3">
      <c r="A1719" s="26" t="s">
        <v>795</v>
      </c>
      <c r="B1719" s="26" t="s">
        <v>997</v>
      </c>
      <c r="C1719" s="33" t="str">
        <f>IFERROR(INDEX(tbl_requisitos_emb[Tema],MATCH(B1719,tbl_requisitos_emb[ID_Req],0)),"")</f>
        <v>Conteúdo reciclado</v>
      </c>
      <c r="D1719" s="33" t="str">
        <f>IFERROR(INDEX(tbl_recyclass[Segmento],MATCH(A1719,tbl_recyclass[ProductId],0)),"")</f>
        <v>Cosmética e higiene pessoal</v>
      </c>
      <c r="E1719" s="26" t="s">
        <v>901</v>
      </c>
      <c r="F1719" s="26" t="s">
        <v>1449</v>
      </c>
      <c r="G1719" s="26" t="s">
        <v>978</v>
      </c>
      <c r="H1719" s="33" t="str">
        <f>IF(E1719="Não","Não aplicável",IFERROR(IF(B1719="EU-ENV-002",IF(INDEX(tbl_recyclass[Conforme_PPWR_2030],MATCH(A1719,tbl_recyclass[ProductId],0))="Sim","Conforme (autoavaliação)",IF(INDEX(tbl_recyclass[Conforme_PPWR_2030],MATCH(A1719,tbl_recyclass[ProductId],0))="Não","Não conforme em 2030","Isento até 2035")),IF(B1719="EU-ENV-003",IF(INDEX(tbl_recyclass[Conforme_Art7_2030],MATCH(A1719,tbl_recyclass[ProductId],0))="Sim","Conforme (meta 2030)",IF(INDEX(tbl_recyclass[Conforme_Art7_2030],MATCH(A1719,tbl_recyclass[ProductId],0))="Não","Lacuna face à meta 2030","Isento")),IF(B1719="EU-ENV-011",IF(INDEX(tbl_familias_ppwr[Metais_Pesados_Evidencia],MATCH(INDEX(tbl_recyclass[Familia_PPWR],MATCH(A1719,tbl_recyclass[ProductId],0)),tbl_familias_ppwr[ID_Familia],0))="Em falta","Lacuna","Conforme"),IF(B1719="EU-ENV-013",IF(INDEX(tbl_familias_ppwr[Declaracao_UE],MATCH(INDEX(tbl_recyclass[Familia_PPWR],MATCH(A1719,tbl_recyclass[ProductId],0)),tbl_familias_ppwr[ID_Familia],0))="Sim","Conforme","Lacuna"),G1719)))),G1719))</f>
        <v>Conforme (meta 2030)</v>
      </c>
      <c r="I1719" s="33" t="str">
        <f t="shared" si="26"/>
        <v>Conforme</v>
      </c>
      <c r="J1719" s="26" t="s">
        <v>1001</v>
      </c>
    </row>
    <row r="1720" spans="1:10" ht="16.05" customHeight="1" x14ac:dyDescent="0.3">
      <c r="A1720" s="26" t="s">
        <v>795</v>
      </c>
      <c r="B1720" s="26" t="s">
        <v>1007</v>
      </c>
      <c r="C1720" s="33" t="str">
        <f>IFERROR(INDEX(tbl_requisitos_emb[Tema],MATCH(B1720,tbl_requisitos_emb[ID_Req],0)),"")</f>
        <v>Minimização</v>
      </c>
      <c r="D1720" s="33" t="str">
        <f>IFERROR(INDEX(tbl_recyclass[Segmento],MATCH(A1720,tbl_recyclass[ProductId],0)),"")</f>
        <v>Cosmética e higiene pessoal</v>
      </c>
      <c r="E1720" s="26" t="s">
        <v>901</v>
      </c>
      <c r="F1720" s="26" t="s">
        <v>1449</v>
      </c>
      <c r="G1720" s="26" t="s">
        <v>978</v>
      </c>
      <c r="H1720" s="33" t="str">
        <f>IF(E1720="Não","Não aplicável",IFERROR(IF(B1720="EU-ENV-002",IF(INDEX(tbl_recyclass[Conforme_PPWR_2030],MATCH(A1720,tbl_recyclass[ProductId],0))="Sim","Conforme (autoavaliação)",IF(INDEX(tbl_recyclass[Conforme_PPWR_2030],MATCH(A1720,tbl_recyclass[ProductId],0))="Não","Não conforme em 2030","Isento até 2035")),IF(B1720="EU-ENV-003",IF(INDEX(tbl_recyclass[Conforme_Art7_2030],MATCH(A1720,tbl_recyclass[ProductId],0))="Sim","Conforme (meta 2030)",IF(INDEX(tbl_recyclass[Conforme_Art7_2030],MATCH(A1720,tbl_recyclass[ProductId],0))="Não","Lacuna face à meta 2030","Isento")),IF(B1720="EU-ENV-011",IF(INDEX(tbl_familias_ppwr[Metais_Pesados_Evidencia],MATCH(INDEX(tbl_recyclass[Familia_PPWR],MATCH(A1720,tbl_recyclass[ProductId],0)),tbl_familias_ppwr[ID_Familia],0))="Em falta","Lacuna","Conforme"),IF(B1720="EU-ENV-013",IF(INDEX(tbl_familias_ppwr[Declaracao_UE],MATCH(INDEX(tbl_recyclass[Familia_PPWR],MATCH(A1720,tbl_recyclass[ProductId],0)),tbl_familias_ppwr[ID_Familia],0))="Sim","Conforme","Lacuna"),G1720)))),G1720))</f>
        <v>Parcial</v>
      </c>
      <c r="I1720" s="33" t="str">
        <f t="shared" si="26"/>
        <v>Parcial</v>
      </c>
      <c r="J1720" s="26" t="s">
        <v>1012</v>
      </c>
    </row>
    <row r="1721" spans="1:10" ht="16.05" customHeight="1" x14ac:dyDescent="0.3">
      <c r="A1721" s="26" t="s">
        <v>795</v>
      </c>
      <c r="B1721" s="26" t="s">
        <v>1016</v>
      </c>
      <c r="C1721" s="33" t="str">
        <f>IFERROR(INDEX(tbl_requisitos_emb[Tema],MATCH(B1721,tbl_requisitos_emb[ID_Req],0)),"")</f>
        <v>Rotulagem</v>
      </c>
      <c r="D1721" s="33" t="str">
        <f>IFERROR(INDEX(tbl_recyclass[Segmento],MATCH(A1721,tbl_recyclass[ProductId],0)),"")</f>
        <v>Cosmética e higiene pessoal</v>
      </c>
      <c r="E1721" s="26" t="s">
        <v>901</v>
      </c>
      <c r="F1721" s="26" t="s">
        <v>1449</v>
      </c>
      <c r="G1721" s="26" t="s">
        <v>990</v>
      </c>
      <c r="H1721" s="33" t="str">
        <f>IF(E1721="Não","Não aplicável",IFERROR(IF(B1721="EU-ENV-002",IF(INDEX(tbl_recyclass[Conforme_PPWR_2030],MATCH(A1721,tbl_recyclass[ProductId],0))="Sim","Conforme (autoavaliação)",IF(INDEX(tbl_recyclass[Conforme_PPWR_2030],MATCH(A1721,tbl_recyclass[ProductId],0))="Não","Não conforme em 2030","Isento até 2035")),IF(B1721="EU-ENV-003",IF(INDEX(tbl_recyclass[Conforme_Art7_2030],MATCH(A1721,tbl_recyclass[ProductId],0))="Sim","Conforme (meta 2030)",IF(INDEX(tbl_recyclass[Conforme_Art7_2030],MATCH(A1721,tbl_recyclass[ProductId],0))="Não","Lacuna face à meta 2030","Isento")),IF(B1721="EU-ENV-011",IF(INDEX(tbl_familias_ppwr[Metais_Pesados_Evidencia],MATCH(INDEX(tbl_recyclass[Familia_PPWR],MATCH(A1721,tbl_recyclass[ProductId],0)),tbl_familias_ppwr[ID_Familia],0))="Em falta","Lacuna","Conforme"),IF(B1721="EU-ENV-013",IF(INDEX(tbl_familias_ppwr[Declaracao_UE],MATCH(INDEX(tbl_recyclass[Familia_PPWR],MATCH(A1721,tbl_recyclass[ProductId],0)),tbl_familias_ppwr[ID_Familia],0))="Sim","Conforme","Lacuna"),G1721)))),G1721))</f>
        <v>Futuro</v>
      </c>
      <c r="I1721" s="33" t="str">
        <f t="shared" si="26"/>
        <v>Futuro</v>
      </c>
      <c r="J1721" s="26" t="s">
        <v>1021</v>
      </c>
    </row>
    <row r="1722" spans="1:10" ht="16.05" customHeight="1" x14ac:dyDescent="0.3">
      <c r="A1722" s="26" t="s">
        <v>795</v>
      </c>
      <c r="B1722" s="26" t="s">
        <v>1038</v>
      </c>
      <c r="C1722" s="33" t="str">
        <f>IFERROR(INDEX(tbl_requisitos_emb[Tema],MATCH(B1722,tbl_requisitos_emb[ID_Req],0)),"")</f>
        <v>Plásticos de utilização única</v>
      </c>
      <c r="D1722" s="33" t="str">
        <f>IFERROR(INDEX(tbl_recyclass[Segmento],MATCH(A1722,tbl_recyclass[ProductId],0)),"")</f>
        <v>Cosmética e higiene pessoal</v>
      </c>
      <c r="E1722" s="26" t="s">
        <v>904</v>
      </c>
      <c r="F1722" s="26" t="s">
        <v>1450</v>
      </c>
      <c r="G1722" s="26" t="s">
        <v>1143</v>
      </c>
      <c r="H1722" s="33" t="str">
        <f>IF(E1722="Não","Não aplicável",IFERROR(IF(B1722="EU-ENV-002",IF(INDEX(tbl_recyclass[Conforme_PPWR_2030],MATCH(A1722,tbl_recyclass[ProductId],0))="Sim","Conforme (autoavaliação)",IF(INDEX(tbl_recyclass[Conforme_PPWR_2030],MATCH(A1722,tbl_recyclass[ProductId],0))="Não","Não conforme em 2030","Isento até 2035")),IF(B1722="EU-ENV-003",IF(INDEX(tbl_recyclass[Conforme_Art7_2030],MATCH(A1722,tbl_recyclass[ProductId],0))="Sim","Conforme (meta 2030)",IF(INDEX(tbl_recyclass[Conforme_Art7_2030],MATCH(A1722,tbl_recyclass[ProductId],0))="Não","Lacuna face à meta 2030","Isento")),IF(B1722="EU-ENV-011",IF(INDEX(tbl_familias_ppwr[Metais_Pesados_Evidencia],MATCH(INDEX(tbl_recyclass[Familia_PPWR],MATCH(A1722,tbl_recyclass[ProductId],0)),tbl_familias_ppwr[ID_Familia],0))="Em falta","Lacuna","Conforme"),IF(B1722="EU-ENV-013",IF(INDEX(tbl_familias_ppwr[Declaracao_UE],MATCH(INDEX(tbl_recyclass[Familia_PPWR],MATCH(A1722,tbl_recyclass[ProductId],0)),tbl_familias_ppwr[ID_Familia],0))="Sim","Conforme","Lacuna"),G1722)))),G1722))</f>
        <v>Não aplicável</v>
      </c>
      <c r="I1722" s="33" t="str">
        <f t="shared" si="26"/>
        <v>Não aplicável</v>
      </c>
      <c r="J1722" s="26"/>
    </row>
    <row r="1723" spans="1:10" ht="16.05" customHeight="1" x14ac:dyDescent="0.3">
      <c r="A1723" s="26" t="s">
        <v>795</v>
      </c>
      <c r="B1723" s="26" t="s">
        <v>1078</v>
      </c>
      <c r="C1723" s="33" t="str">
        <f>IFERROR(INDEX(tbl_requisitos_emb[Tema],MATCH(B1723,tbl_requisitos_emb[ID_Req],0)),"")</f>
        <v>Reciclado à escala</v>
      </c>
      <c r="D1723" s="33" t="str">
        <f>IFERROR(INDEX(tbl_recyclass[Segmento],MATCH(A1723,tbl_recyclass[ProductId],0)),"")</f>
        <v>Cosmética e higiene pessoal</v>
      </c>
      <c r="E1723" s="26" t="s">
        <v>901</v>
      </c>
      <c r="F1723" s="26" t="s">
        <v>1449</v>
      </c>
      <c r="G1723" s="26" t="s">
        <v>990</v>
      </c>
      <c r="H1723" s="33" t="str">
        <f>IF(E1723="Não","Não aplicável",IFERROR(IF(B1723="EU-ENV-002",IF(INDEX(tbl_recyclass[Conforme_PPWR_2030],MATCH(A1723,tbl_recyclass[ProductId],0))="Sim","Conforme (autoavaliação)",IF(INDEX(tbl_recyclass[Conforme_PPWR_2030],MATCH(A1723,tbl_recyclass[ProductId],0))="Não","Não conforme em 2030","Isento até 2035")),IF(B1723="EU-ENV-003",IF(INDEX(tbl_recyclass[Conforme_Art7_2030],MATCH(A1723,tbl_recyclass[ProductId],0))="Sim","Conforme (meta 2030)",IF(INDEX(tbl_recyclass[Conforme_Art7_2030],MATCH(A1723,tbl_recyclass[ProductId],0))="Não","Lacuna face à meta 2030","Isento")),IF(B1723="EU-ENV-011",IF(INDEX(tbl_familias_ppwr[Metais_Pesados_Evidencia],MATCH(INDEX(tbl_recyclass[Familia_PPWR],MATCH(A1723,tbl_recyclass[ProductId],0)),tbl_familias_ppwr[ID_Familia],0))="Em falta","Lacuna","Conforme"),IF(B1723="EU-ENV-013",IF(INDEX(tbl_familias_ppwr[Declaracao_UE],MATCH(INDEX(tbl_recyclass[Familia_PPWR],MATCH(A1723,tbl_recyclass[ProductId],0)),tbl_familias_ppwr[ID_Familia],0))="Sim","Conforme","Lacuna"),G1723)))),G1723))</f>
        <v>Futuro</v>
      </c>
      <c r="I1723" s="33" t="str">
        <f t="shared" si="26"/>
        <v>Futuro</v>
      </c>
      <c r="J1723" s="26" t="s">
        <v>1082</v>
      </c>
    </row>
    <row r="1724" spans="1:10" ht="16.05" customHeight="1" x14ac:dyDescent="0.3">
      <c r="A1724" s="26" t="s">
        <v>795</v>
      </c>
      <c r="B1724" s="26" t="s">
        <v>1086</v>
      </c>
      <c r="C1724" s="33" t="str">
        <f>IFERROR(INDEX(tbl_requisitos_emb[Tema],MATCH(B1724,tbl_requisitos_emb[ID_Req],0)),"")</f>
        <v>Metais pesados</v>
      </c>
      <c r="D1724" s="33" t="str">
        <f>IFERROR(INDEX(tbl_recyclass[Segmento],MATCH(A1724,tbl_recyclass[ProductId],0)),"")</f>
        <v>Cosmética e higiene pessoal</v>
      </c>
      <c r="E1724" s="26" t="s">
        <v>901</v>
      </c>
      <c r="F1724" s="26" t="s">
        <v>1449</v>
      </c>
      <c r="G1724" s="26" t="s">
        <v>978</v>
      </c>
      <c r="H1724" s="33" t="str">
        <f>IF(E1724="Não","Não aplicável",IFERROR(IF(B1724="EU-ENV-002",IF(INDEX(tbl_recyclass[Conforme_PPWR_2030],MATCH(A1724,tbl_recyclass[ProductId],0))="Sim","Conforme (autoavaliação)",IF(INDEX(tbl_recyclass[Conforme_PPWR_2030],MATCH(A1724,tbl_recyclass[ProductId],0))="Não","Não conforme em 2030","Isento até 2035")),IF(B1724="EU-ENV-003",IF(INDEX(tbl_recyclass[Conforme_Art7_2030],MATCH(A1724,tbl_recyclass[ProductId],0))="Sim","Conforme (meta 2030)",IF(INDEX(tbl_recyclass[Conforme_Art7_2030],MATCH(A1724,tbl_recyclass[ProductId],0))="Não","Lacuna face à meta 2030","Isento")),IF(B1724="EU-ENV-011",IF(INDEX(tbl_familias_ppwr[Metais_Pesados_Evidencia],MATCH(INDEX(tbl_recyclass[Familia_PPWR],MATCH(A1724,tbl_recyclass[ProductId],0)),tbl_familias_ppwr[ID_Familia],0))="Em falta","Lacuna","Conforme"),IF(B1724="EU-ENV-013",IF(INDEX(tbl_familias_ppwr[Declaracao_UE],MATCH(INDEX(tbl_recyclass[Familia_PPWR],MATCH(A1724,tbl_recyclass[ProductId],0)),tbl_familias_ppwr[ID_Familia],0))="Sim","Conforme","Lacuna"),G1724)))),G1724))</f>
        <v>Lacuna</v>
      </c>
      <c r="I1724" s="33" t="str">
        <f t="shared" si="26"/>
        <v>Lacuna</v>
      </c>
      <c r="J1724" s="26" t="s">
        <v>1090</v>
      </c>
    </row>
    <row r="1725" spans="1:10" ht="16.05" customHeight="1" x14ac:dyDescent="0.3">
      <c r="A1725" s="26" t="s">
        <v>795</v>
      </c>
      <c r="B1725" s="26" t="s">
        <v>1094</v>
      </c>
      <c r="C1725" s="33" t="str">
        <f>IFERROR(INDEX(tbl_requisitos_emb[Tema],MATCH(B1725,tbl_requisitos_emb[ID_Req],0)),"")</f>
        <v>PFAS</v>
      </c>
      <c r="D1725" s="33" t="str">
        <f>IFERROR(INDEX(tbl_recyclass[Segmento],MATCH(A1725,tbl_recyclass[ProductId],0)),"")</f>
        <v>Cosmética e higiene pessoal</v>
      </c>
      <c r="E1725" s="26" t="s">
        <v>904</v>
      </c>
      <c r="F1725" s="26" t="s">
        <v>1450</v>
      </c>
      <c r="G1725" s="26" t="s">
        <v>1143</v>
      </c>
      <c r="H1725" s="33" t="str">
        <f>IF(E1725="Não","Não aplicável",IFERROR(IF(B1725="EU-ENV-002",IF(INDEX(tbl_recyclass[Conforme_PPWR_2030],MATCH(A1725,tbl_recyclass[ProductId],0))="Sim","Conforme (autoavaliação)",IF(INDEX(tbl_recyclass[Conforme_PPWR_2030],MATCH(A1725,tbl_recyclass[ProductId],0))="Não","Não conforme em 2030","Isento até 2035")),IF(B1725="EU-ENV-003",IF(INDEX(tbl_recyclass[Conforme_Art7_2030],MATCH(A1725,tbl_recyclass[ProductId],0))="Sim","Conforme (meta 2030)",IF(INDEX(tbl_recyclass[Conforme_Art7_2030],MATCH(A1725,tbl_recyclass[ProductId],0))="Não","Lacuna face à meta 2030","Isento")),IF(B1725="EU-ENV-011",IF(INDEX(tbl_familias_ppwr[Metais_Pesados_Evidencia],MATCH(INDEX(tbl_recyclass[Familia_PPWR],MATCH(A1725,tbl_recyclass[ProductId],0)),tbl_familias_ppwr[ID_Familia],0))="Em falta","Lacuna","Conforme"),IF(B1725="EU-ENV-013",IF(INDEX(tbl_familias_ppwr[Declaracao_UE],MATCH(INDEX(tbl_recyclass[Familia_PPWR],MATCH(A1725,tbl_recyclass[ProductId],0)),tbl_familias_ppwr[ID_Familia],0))="Sim","Conforme","Lacuna"),G1725)))),G1725))</f>
        <v>Não aplicável</v>
      </c>
      <c r="I1725" s="33" t="str">
        <f t="shared" si="26"/>
        <v>Não aplicável</v>
      </c>
      <c r="J1725" s="26"/>
    </row>
    <row r="1726" spans="1:10" ht="16.05" customHeight="1" x14ac:dyDescent="0.3">
      <c r="A1726" s="26" t="s">
        <v>795</v>
      </c>
      <c r="B1726" s="26" t="s">
        <v>1102</v>
      </c>
      <c r="C1726" s="33" t="str">
        <f>IFERROR(INDEX(tbl_requisitos_emb[Tema],MATCH(B1726,tbl_requisitos_emb[ID_Req],0)),"")</f>
        <v>Documentação técnica e declaração UE</v>
      </c>
      <c r="D1726" s="33" t="str">
        <f>IFERROR(INDEX(tbl_recyclass[Segmento],MATCH(A1726,tbl_recyclass[ProductId],0)),"")</f>
        <v>Cosmética e higiene pessoal</v>
      </c>
      <c r="E1726" s="26" t="s">
        <v>901</v>
      </c>
      <c r="F1726" s="26" t="s">
        <v>1449</v>
      </c>
      <c r="G1726" s="26" t="s">
        <v>978</v>
      </c>
      <c r="H1726" s="33" t="str">
        <f>IF(E1726="Não","Não aplicável",IFERROR(IF(B1726="EU-ENV-002",IF(INDEX(tbl_recyclass[Conforme_PPWR_2030],MATCH(A1726,tbl_recyclass[ProductId],0))="Sim","Conforme (autoavaliação)",IF(INDEX(tbl_recyclass[Conforme_PPWR_2030],MATCH(A1726,tbl_recyclass[ProductId],0))="Não","Não conforme em 2030","Isento até 2035")),IF(B1726="EU-ENV-003",IF(INDEX(tbl_recyclass[Conforme_Art7_2030],MATCH(A1726,tbl_recyclass[ProductId],0))="Sim","Conforme (meta 2030)",IF(INDEX(tbl_recyclass[Conforme_Art7_2030],MATCH(A1726,tbl_recyclass[ProductId],0))="Não","Lacuna face à meta 2030","Isento")),IF(B1726="EU-ENV-011",IF(INDEX(tbl_familias_ppwr[Metais_Pesados_Evidencia],MATCH(INDEX(tbl_recyclass[Familia_PPWR],MATCH(A1726,tbl_recyclass[ProductId],0)),tbl_familias_ppwr[ID_Familia],0))="Em falta","Lacuna","Conforme"),IF(B1726="EU-ENV-013",IF(INDEX(tbl_familias_ppwr[Declaracao_UE],MATCH(INDEX(tbl_recyclass[Familia_PPWR],MATCH(A1726,tbl_recyclass[ProductId],0)),tbl_familias_ppwr[ID_Familia],0))="Sim","Conforme","Lacuna"),G1726)))),G1726))</f>
        <v>Conforme</v>
      </c>
      <c r="I1726" s="33" t="str">
        <f t="shared" si="26"/>
        <v>Conforme</v>
      </c>
      <c r="J1726" s="26" t="s">
        <v>1106</v>
      </c>
    </row>
    <row r="1727" spans="1:10" ht="16.05" customHeight="1" x14ac:dyDescent="0.3">
      <c r="A1727" s="26" t="s">
        <v>795</v>
      </c>
      <c r="B1727" s="26" t="s">
        <v>1161</v>
      </c>
      <c r="C1727" s="33" t="str">
        <f>IFERROR(INDEX(tbl_requisitos_emb[Tema],MATCH(B1727,tbl_requisitos_emb[ID_Req],0)),"")</f>
        <v>Materiais em contacto com alimentos</v>
      </c>
      <c r="D1727" s="33" t="str">
        <f>IFERROR(INDEX(tbl_recyclass[Segmento],MATCH(A1727,tbl_recyclass[ProductId],0)),"")</f>
        <v>Cosmética e higiene pessoal</v>
      </c>
      <c r="E1727" s="26" t="s">
        <v>904</v>
      </c>
      <c r="F1727" s="26" t="s">
        <v>1450</v>
      </c>
      <c r="G1727" s="26" t="s">
        <v>1143</v>
      </c>
      <c r="H1727" s="33" t="str">
        <f>IF(E1727="Não","Não aplicável",IFERROR(IF(B1727="EU-ENV-002",IF(INDEX(tbl_recyclass[Conforme_PPWR_2030],MATCH(A1727,tbl_recyclass[ProductId],0))="Sim","Conforme (autoavaliação)",IF(INDEX(tbl_recyclass[Conforme_PPWR_2030],MATCH(A1727,tbl_recyclass[ProductId],0))="Não","Não conforme em 2030","Isento até 2035")),IF(B1727="EU-ENV-003",IF(INDEX(tbl_recyclass[Conforme_Art7_2030],MATCH(A1727,tbl_recyclass[ProductId],0))="Sim","Conforme (meta 2030)",IF(INDEX(tbl_recyclass[Conforme_Art7_2030],MATCH(A1727,tbl_recyclass[ProductId],0))="Não","Lacuna face à meta 2030","Isento")),IF(B1727="EU-ENV-011",IF(INDEX(tbl_familias_ppwr[Metais_Pesados_Evidencia],MATCH(INDEX(tbl_recyclass[Familia_PPWR],MATCH(A1727,tbl_recyclass[ProductId],0)),tbl_familias_ppwr[ID_Familia],0))="Em falta","Lacuna","Conforme"),IF(B1727="EU-ENV-013",IF(INDEX(tbl_familias_ppwr[Declaracao_UE],MATCH(INDEX(tbl_recyclass[Familia_PPWR],MATCH(A1727,tbl_recyclass[ProductId],0)),tbl_familias_ppwr[ID_Familia],0))="Sim","Conforme","Lacuna"),G1727)))),G1727))</f>
        <v>Não aplicável</v>
      </c>
      <c r="I1727" s="33" t="str">
        <f t="shared" si="26"/>
        <v>Não aplicável</v>
      </c>
      <c r="J1727" s="26"/>
    </row>
    <row r="1728" spans="1:10" ht="16.05" customHeight="1" x14ac:dyDescent="0.3">
      <c r="A1728" s="26" t="s">
        <v>795</v>
      </c>
      <c r="B1728" s="26" t="s">
        <v>1170</v>
      </c>
      <c r="C1728" s="33" t="str">
        <f>IFERROR(INDEX(tbl_requisitos_emb[Tema],MATCH(B1728,tbl_requisitos_emb[ID_Req],0)),"")</f>
        <v>Boas práticas de fabrico FCM</v>
      </c>
      <c r="D1728" s="33" t="str">
        <f>IFERROR(INDEX(tbl_recyclass[Segmento],MATCH(A1728,tbl_recyclass[ProductId],0)),"")</f>
        <v>Cosmética e higiene pessoal</v>
      </c>
      <c r="E1728" s="26" t="s">
        <v>904</v>
      </c>
      <c r="F1728" s="26" t="s">
        <v>1450</v>
      </c>
      <c r="G1728" s="26" t="s">
        <v>1143</v>
      </c>
      <c r="H1728" s="33" t="str">
        <f>IF(E1728="Não","Não aplicável",IFERROR(IF(B1728="EU-ENV-002",IF(INDEX(tbl_recyclass[Conforme_PPWR_2030],MATCH(A1728,tbl_recyclass[ProductId],0))="Sim","Conforme (autoavaliação)",IF(INDEX(tbl_recyclass[Conforme_PPWR_2030],MATCH(A1728,tbl_recyclass[ProductId],0))="Não","Não conforme em 2030","Isento até 2035")),IF(B1728="EU-ENV-003",IF(INDEX(tbl_recyclass[Conforme_Art7_2030],MATCH(A1728,tbl_recyclass[ProductId],0))="Sim","Conforme (meta 2030)",IF(INDEX(tbl_recyclass[Conforme_Art7_2030],MATCH(A1728,tbl_recyclass[ProductId],0))="Não","Lacuna face à meta 2030","Isento")),IF(B1728="EU-ENV-011",IF(INDEX(tbl_familias_ppwr[Metais_Pesados_Evidencia],MATCH(INDEX(tbl_recyclass[Familia_PPWR],MATCH(A1728,tbl_recyclass[ProductId],0)),tbl_familias_ppwr[ID_Familia],0))="Em falta","Lacuna","Conforme"),IF(B1728="EU-ENV-013",IF(INDEX(tbl_familias_ppwr[Declaracao_UE],MATCH(INDEX(tbl_recyclass[Familia_PPWR],MATCH(A1728,tbl_recyclass[ProductId],0)),tbl_familias_ppwr[ID_Familia],0))="Sim","Conforme","Lacuna"),G1728)))),G1728))</f>
        <v>Não aplicável</v>
      </c>
      <c r="I1728" s="33" t="str">
        <f t="shared" si="26"/>
        <v>Não aplicável</v>
      </c>
      <c r="J1728" s="26"/>
    </row>
    <row r="1729" spans="1:10" ht="16.05" customHeight="1" x14ac:dyDescent="0.3">
      <c r="A1729" s="26" t="s">
        <v>795</v>
      </c>
      <c r="B1729" s="26" t="s">
        <v>1179</v>
      </c>
      <c r="C1729" s="33" t="str">
        <f>IFERROR(INDEX(tbl_requisitos_emb[Tema],MATCH(B1729,tbl_requisitos_emb[ID_Req],0)),"")</f>
        <v>Bisfenol A e bisfenóis perigosos</v>
      </c>
      <c r="D1729" s="33" t="str">
        <f>IFERROR(INDEX(tbl_recyclass[Segmento],MATCH(A1729,tbl_recyclass[ProductId],0)),"")</f>
        <v>Cosmética e higiene pessoal</v>
      </c>
      <c r="E1729" s="26" t="s">
        <v>904</v>
      </c>
      <c r="F1729" s="26" t="s">
        <v>1450</v>
      </c>
      <c r="G1729" s="26" t="s">
        <v>1143</v>
      </c>
      <c r="H1729" s="33" t="str">
        <f>IF(E1729="Não","Não aplicável",IFERROR(IF(B1729="EU-ENV-002",IF(INDEX(tbl_recyclass[Conforme_PPWR_2030],MATCH(A1729,tbl_recyclass[ProductId],0))="Sim","Conforme (autoavaliação)",IF(INDEX(tbl_recyclass[Conforme_PPWR_2030],MATCH(A1729,tbl_recyclass[ProductId],0))="Não","Não conforme em 2030","Isento até 2035")),IF(B1729="EU-ENV-003",IF(INDEX(tbl_recyclass[Conforme_Art7_2030],MATCH(A1729,tbl_recyclass[ProductId],0))="Sim","Conforme (meta 2030)",IF(INDEX(tbl_recyclass[Conforme_Art7_2030],MATCH(A1729,tbl_recyclass[ProductId],0))="Não","Lacuna face à meta 2030","Isento")),IF(B1729="EU-ENV-011",IF(INDEX(tbl_familias_ppwr[Metais_Pesados_Evidencia],MATCH(INDEX(tbl_recyclass[Familia_PPWR],MATCH(A1729,tbl_recyclass[ProductId],0)),tbl_familias_ppwr[ID_Familia],0))="Em falta","Lacuna","Conforme"),IF(B1729="EU-ENV-013",IF(INDEX(tbl_familias_ppwr[Declaracao_UE],MATCH(INDEX(tbl_recyclass[Familia_PPWR],MATCH(A1729,tbl_recyclass[ProductId],0)),tbl_familias_ppwr[ID_Familia],0))="Sim","Conforme","Lacuna"),G1729)))),G1729))</f>
        <v>Não aplicável</v>
      </c>
      <c r="I1729" s="33" t="str">
        <f t="shared" si="26"/>
        <v>Não aplicável</v>
      </c>
      <c r="J1729" s="26"/>
    </row>
    <row r="1730" spans="1:10" ht="16.05" customHeight="1" x14ac:dyDescent="0.3">
      <c r="A1730" s="26" t="s">
        <v>795</v>
      </c>
      <c r="B1730" s="26" t="s">
        <v>1188</v>
      </c>
      <c r="C1730" s="33" t="str">
        <f>IFERROR(INDEX(tbl_requisitos_emb[Tema],MATCH(B1730,tbl_requisitos_emb[ID_Req],0)),"")</f>
        <v>Plásticos em contacto com alimentos</v>
      </c>
      <c r="D1730" s="33" t="str">
        <f>IFERROR(INDEX(tbl_recyclass[Segmento],MATCH(A1730,tbl_recyclass[ProductId],0)),"")</f>
        <v>Cosmética e higiene pessoal</v>
      </c>
      <c r="E1730" s="26" t="s">
        <v>904</v>
      </c>
      <c r="F1730" s="26" t="s">
        <v>1450</v>
      </c>
      <c r="G1730" s="26" t="s">
        <v>1143</v>
      </c>
      <c r="H1730" s="33" t="str">
        <f>IF(E1730="Não","Não aplicável",IFERROR(IF(B1730="EU-ENV-002",IF(INDEX(tbl_recyclass[Conforme_PPWR_2030],MATCH(A1730,tbl_recyclass[ProductId],0))="Sim","Conforme (autoavaliação)",IF(INDEX(tbl_recyclass[Conforme_PPWR_2030],MATCH(A1730,tbl_recyclass[ProductId],0))="Não","Não conforme em 2030","Isento até 2035")),IF(B1730="EU-ENV-003",IF(INDEX(tbl_recyclass[Conforme_Art7_2030],MATCH(A1730,tbl_recyclass[ProductId],0))="Sim","Conforme (meta 2030)",IF(INDEX(tbl_recyclass[Conforme_Art7_2030],MATCH(A1730,tbl_recyclass[ProductId],0))="Não","Lacuna face à meta 2030","Isento")),IF(B1730="EU-ENV-011",IF(INDEX(tbl_familias_ppwr[Metais_Pesados_Evidencia],MATCH(INDEX(tbl_recyclass[Familia_PPWR],MATCH(A1730,tbl_recyclass[ProductId],0)),tbl_familias_ppwr[ID_Familia],0))="Em falta","Lacuna","Conforme"),IF(B1730="EU-ENV-013",IF(INDEX(tbl_familias_ppwr[Declaracao_UE],MATCH(INDEX(tbl_recyclass[Familia_PPWR],MATCH(A1730,tbl_recyclass[ProductId],0)),tbl_familias_ppwr[ID_Familia],0))="Sim","Conforme","Lacuna"),G1730)))),G1730))</f>
        <v>Não aplicável</v>
      </c>
      <c r="I1730" s="33" t="str">
        <f t="shared" ref="I1730:I1793" si="27">IF(ISNUMBER(SEARCH("Não aplicável",H1730)),"Não aplicável",IF(ISNUMBER(SEARCH("Isento",H1730)),"Isento",IF(ISNUMBER(SEARCH("Não conforme",H1730)),"Não conforme",IF(ISNUMBER(SEARCH("Lacuna",H1730)),"Lacuna",IF(ISNUMBER(SEARCH("Conforme",H1730)),"Conforme",H1730)))))</f>
        <v>Não aplicável</v>
      </c>
      <c r="J1730" s="26"/>
    </row>
    <row r="1731" spans="1:10" ht="16.05" customHeight="1" x14ac:dyDescent="0.3">
      <c r="A1731" s="26" t="s">
        <v>795</v>
      </c>
      <c r="B1731" s="26" t="s">
        <v>1212</v>
      </c>
      <c r="C1731" s="33" t="str">
        <f>IFERROR(INDEX(tbl_requisitos_emb[Tema],MATCH(B1731,tbl_requisitos_emb[ID_Req],0)),"")</f>
        <v>Segurança do produto cosmético</v>
      </c>
      <c r="D1731" s="33" t="str">
        <f>IFERROR(INDEX(tbl_recyclass[Segmento],MATCH(A1731,tbl_recyclass[ProductId],0)),"")</f>
        <v>Cosmética e higiene pessoal</v>
      </c>
      <c r="E1731" s="26" t="s">
        <v>901</v>
      </c>
      <c r="F1731" s="26" t="s">
        <v>1449</v>
      </c>
      <c r="G1731" s="26" t="s">
        <v>1033</v>
      </c>
      <c r="H1731" s="33" t="str">
        <f>IF(E1731="Não","Não aplicável",IFERROR(IF(B1731="EU-ENV-002",IF(INDEX(tbl_recyclass[Conforme_PPWR_2030],MATCH(A1731,tbl_recyclass[ProductId],0))="Sim","Conforme (autoavaliação)",IF(INDEX(tbl_recyclass[Conforme_PPWR_2030],MATCH(A1731,tbl_recyclass[ProductId],0))="Não","Não conforme em 2030","Isento até 2035")),IF(B1731="EU-ENV-003",IF(INDEX(tbl_recyclass[Conforme_Art7_2030],MATCH(A1731,tbl_recyclass[ProductId],0))="Sim","Conforme (meta 2030)",IF(INDEX(tbl_recyclass[Conforme_Art7_2030],MATCH(A1731,tbl_recyclass[ProductId],0))="Não","Lacuna face à meta 2030","Isento")),IF(B1731="EU-ENV-011",IF(INDEX(tbl_familias_ppwr[Metais_Pesados_Evidencia],MATCH(INDEX(tbl_recyclass[Familia_PPWR],MATCH(A1731,tbl_recyclass[ProductId],0)),tbl_familias_ppwr[ID_Familia],0))="Em falta","Lacuna","Conforme"),IF(B1731="EU-ENV-013",IF(INDEX(tbl_familias_ppwr[Declaracao_UE],MATCH(INDEX(tbl_recyclass[Familia_PPWR],MATCH(A1731,tbl_recyclass[ProductId],0)),tbl_familias_ppwr[ID_Familia],0))="Sim","Conforme","Lacuna"),G1731)))),G1731))</f>
        <v>Conforme</v>
      </c>
      <c r="I1731" s="33" t="str">
        <f t="shared" si="27"/>
        <v>Conforme</v>
      </c>
      <c r="J1731" s="26" t="s">
        <v>1221</v>
      </c>
    </row>
    <row r="1732" spans="1:10" ht="16.05" customHeight="1" x14ac:dyDescent="0.3">
      <c r="A1732" s="26" t="s">
        <v>795</v>
      </c>
      <c r="B1732" s="26" t="s">
        <v>1224</v>
      </c>
      <c r="C1732" s="33" t="str">
        <f>IFERROR(INDEX(tbl_requisitos_emb[Tema],MATCH(B1732,tbl_requisitos_emb[ID_Req],0)),"")</f>
        <v>Materiais e impurezas</v>
      </c>
      <c r="D1732" s="33" t="str">
        <f>IFERROR(INDEX(tbl_recyclass[Segmento],MATCH(A1732,tbl_recyclass[ProductId],0)),"")</f>
        <v>Cosmética e higiene pessoal</v>
      </c>
      <c r="E1732" s="26" t="s">
        <v>901</v>
      </c>
      <c r="F1732" s="26" t="s">
        <v>1449</v>
      </c>
      <c r="G1732" s="26" t="s">
        <v>978</v>
      </c>
      <c r="H1732" s="33" t="str">
        <f>IF(E1732="Não","Não aplicável",IFERROR(IF(B1732="EU-ENV-002",IF(INDEX(tbl_recyclass[Conforme_PPWR_2030],MATCH(A1732,tbl_recyclass[ProductId],0))="Sim","Conforme (autoavaliação)",IF(INDEX(tbl_recyclass[Conforme_PPWR_2030],MATCH(A1732,tbl_recyclass[ProductId],0))="Não","Não conforme em 2030","Isento até 2035")),IF(B1732="EU-ENV-003",IF(INDEX(tbl_recyclass[Conforme_Art7_2030],MATCH(A1732,tbl_recyclass[ProductId],0))="Sim","Conforme (meta 2030)",IF(INDEX(tbl_recyclass[Conforme_Art7_2030],MATCH(A1732,tbl_recyclass[ProductId],0))="Não","Lacuna face à meta 2030","Isento")),IF(B1732="EU-ENV-011",IF(INDEX(tbl_familias_ppwr[Metais_Pesados_Evidencia],MATCH(INDEX(tbl_recyclass[Familia_PPWR],MATCH(A1732,tbl_recyclass[ProductId],0)),tbl_familias_ppwr[ID_Familia],0))="Em falta","Lacuna","Conforme"),IF(B1732="EU-ENV-013",IF(INDEX(tbl_familias_ppwr[Declaracao_UE],MATCH(INDEX(tbl_recyclass[Familia_PPWR],MATCH(A1732,tbl_recyclass[ProductId],0)),tbl_familias_ppwr[ID_Familia],0))="Sim","Conforme","Lacuna"),G1732)))),G1732))</f>
        <v>Parcial</v>
      </c>
      <c r="I1732" s="33" t="str">
        <f t="shared" si="27"/>
        <v>Parcial</v>
      </c>
      <c r="J1732" s="26" t="s">
        <v>1228</v>
      </c>
    </row>
    <row r="1733" spans="1:10" ht="16.05" customHeight="1" x14ac:dyDescent="0.3">
      <c r="A1733" s="26" t="s">
        <v>795</v>
      </c>
      <c r="B1733" s="26" t="s">
        <v>1240</v>
      </c>
      <c r="C1733" s="33" t="str">
        <f>IFERROR(INDEX(tbl_requisitos_emb[Tema],MATCH(B1733,tbl_requisitos_emb[ID_Req],0)),"")</f>
        <v>Compatibilidade embalagem–produto</v>
      </c>
      <c r="D1733" s="33" t="str">
        <f>IFERROR(INDEX(tbl_recyclass[Segmento],MATCH(A1733,tbl_recyclass[ProductId],0)),"")</f>
        <v>Cosmética e higiene pessoal</v>
      </c>
      <c r="E1733" s="26" t="s">
        <v>901</v>
      </c>
      <c r="F1733" s="26" t="s">
        <v>1449</v>
      </c>
      <c r="G1733" s="26" t="s">
        <v>1033</v>
      </c>
      <c r="H1733" s="33" t="str">
        <f>IF(E1733="Não","Não aplicável",IFERROR(IF(B1733="EU-ENV-002",IF(INDEX(tbl_recyclass[Conforme_PPWR_2030],MATCH(A1733,tbl_recyclass[ProductId],0))="Sim","Conforme (autoavaliação)",IF(INDEX(tbl_recyclass[Conforme_PPWR_2030],MATCH(A1733,tbl_recyclass[ProductId],0))="Não","Não conforme em 2030","Isento até 2035")),IF(B1733="EU-ENV-003",IF(INDEX(tbl_recyclass[Conforme_Art7_2030],MATCH(A1733,tbl_recyclass[ProductId],0))="Sim","Conforme (meta 2030)",IF(INDEX(tbl_recyclass[Conforme_Art7_2030],MATCH(A1733,tbl_recyclass[ProductId],0))="Não","Lacuna face à meta 2030","Isento")),IF(B1733="EU-ENV-011",IF(INDEX(tbl_familias_ppwr[Metais_Pesados_Evidencia],MATCH(INDEX(tbl_recyclass[Familia_PPWR],MATCH(A1733,tbl_recyclass[ProductId],0)),tbl_familias_ppwr[ID_Familia],0))="Em falta","Lacuna","Conforme"),IF(B1733="EU-ENV-013",IF(INDEX(tbl_familias_ppwr[Declaracao_UE],MATCH(INDEX(tbl_recyclass[Familia_PPWR],MATCH(A1733,tbl_recyclass[ProductId],0)),tbl_familias_ppwr[ID_Familia],0))="Sim","Conforme","Lacuna"),G1733)))),G1733))</f>
        <v>Conforme</v>
      </c>
      <c r="I1733" s="33" t="str">
        <f t="shared" si="27"/>
        <v>Conforme</v>
      </c>
      <c r="J1733" s="26" t="s">
        <v>1244</v>
      </c>
    </row>
    <row r="1734" spans="1:10" ht="16.05" customHeight="1" x14ac:dyDescent="0.3">
      <c r="A1734" s="26" t="s">
        <v>795</v>
      </c>
      <c r="B1734" s="26" t="s">
        <v>1252</v>
      </c>
      <c r="C1734" s="33" t="str">
        <f>IFERROR(INDEX(tbl_requisitos_emb[Tema],MATCH(B1734,tbl_requisitos_emb[ID_Req],0)),"")</f>
        <v>Medicamentos de uso humano</v>
      </c>
      <c r="D1734" s="33" t="str">
        <f>IFERROR(INDEX(tbl_recyclass[Segmento],MATCH(A1734,tbl_recyclass[ProductId],0)),"")</f>
        <v>Cosmética e higiene pessoal</v>
      </c>
      <c r="E1734" s="26" t="s">
        <v>904</v>
      </c>
      <c r="F1734" s="26" t="s">
        <v>1451</v>
      </c>
      <c r="G1734" s="26" t="s">
        <v>1143</v>
      </c>
      <c r="H1734" s="33" t="str">
        <f>IF(E1734="Não","Não aplicável",IFERROR(IF(B1734="EU-ENV-002",IF(INDEX(tbl_recyclass[Conforme_PPWR_2030],MATCH(A1734,tbl_recyclass[ProductId],0))="Sim","Conforme (autoavaliação)",IF(INDEX(tbl_recyclass[Conforme_PPWR_2030],MATCH(A1734,tbl_recyclass[ProductId],0))="Não","Não conforme em 2030","Isento até 2035")),IF(B1734="EU-ENV-003",IF(INDEX(tbl_recyclass[Conforme_Art7_2030],MATCH(A1734,tbl_recyclass[ProductId],0))="Sim","Conforme (meta 2030)",IF(INDEX(tbl_recyclass[Conforme_Art7_2030],MATCH(A1734,tbl_recyclass[ProductId],0))="Não","Lacuna face à meta 2030","Isento")),IF(B1734="EU-ENV-011",IF(INDEX(tbl_familias_ppwr[Metais_Pesados_Evidencia],MATCH(INDEX(tbl_recyclass[Familia_PPWR],MATCH(A1734,tbl_recyclass[ProductId],0)),tbl_familias_ppwr[ID_Familia],0))="Em falta","Lacuna","Conforme"),IF(B1734="EU-ENV-013",IF(INDEX(tbl_familias_ppwr[Declaracao_UE],MATCH(INDEX(tbl_recyclass[Familia_PPWR],MATCH(A1734,tbl_recyclass[ProductId],0)),tbl_familias_ppwr[ID_Familia],0))="Sim","Conforme","Lacuna"),G1734)))),G1734))</f>
        <v>Não aplicável</v>
      </c>
      <c r="I1734" s="33" t="str">
        <f t="shared" si="27"/>
        <v>Não aplicável</v>
      </c>
      <c r="J1734" s="26"/>
    </row>
    <row r="1735" spans="1:10" ht="16.05" customHeight="1" x14ac:dyDescent="0.3">
      <c r="A1735" s="26" t="s">
        <v>795</v>
      </c>
      <c r="B1735" s="26" t="s">
        <v>1268</v>
      </c>
      <c r="C1735" s="33" t="str">
        <f>IFERROR(INDEX(tbl_requisitos_emb[Tema],MATCH(B1735,tbl_requisitos_emb[ID_Req],0)),"")</f>
        <v>Dispositivos de segurança</v>
      </c>
      <c r="D1735" s="33" t="str">
        <f>IFERROR(INDEX(tbl_recyclass[Segmento],MATCH(A1735,tbl_recyclass[ProductId],0)),"")</f>
        <v>Cosmética e higiene pessoal</v>
      </c>
      <c r="E1735" s="26" t="s">
        <v>904</v>
      </c>
      <c r="F1735" s="26" t="s">
        <v>1451</v>
      </c>
      <c r="G1735" s="26" t="s">
        <v>1143</v>
      </c>
      <c r="H1735" s="33" t="str">
        <f>IF(E1735="Não","Não aplicável",IFERROR(IF(B1735="EU-ENV-002",IF(INDEX(tbl_recyclass[Conforme_PPWR_2030],MATCH(A1735,tbl_recyclass[ProductId],0))="Sim","Conforme (autoavaliação)",IF(INDEX(tbl_recyclass[Conforme_PPWR_2030],MATCH(A1735,tbl_recyclass[ProductId],0))="Não","Não conforme em 2030","Isento até 2035")),IF(B1735="EU-ENV-003",IF(INDEX(tbl_recyclass[Conforme_Art7_2030],MATCH(A1735,tbl_recyclass[ProductId],0))="Sim","Conforme (meta 2030)",IF(INDEX(tbl_recyclass[Conforme_Art7_2030],MATCH(A1735,tbl_recyclass[ProductId],0))="Não","Lacuna face à meta 2030","Isento")),IF(B1735="EU-ENV-011",IF(INDEX(tbl_familias_ppwr[Metais_Pesados_Evidencia],MATCH(INDEX(tbl_recyclass[Familia_PPWR],MATCH(A1735,tbl_recyclass[ProductId],0)),tbl_familias_ppwr[ID_Familia],0))="Em falta","Lacuna","Conforme"),IF(B1735="EU-ENV-013",IF(INDEX(tbl_familias_ppwr[Declaracao_UE],MATCH(INDEX(tbl_recyclass[Familia_PPWR],MATCH(A1735,tbl_recyclass[ProductId],0)),tbl_familias_ppwr[ID_Familia],0))="Sim","Conforme","Lacuna"),G1735)))),G1735))</f>
        <v>Não aplicável</v>
      </c>
      <c r="I1735" s="33" t="str">
        <f t="shared" si="27"/>
        <v>Não aplicável</v>
      </c>
      <c r="J1735" s="26"/>
    </row>
    <row r="1736" spans="1:10" ht="16.05" customHeight="1" x14ac:dyDescent="0.3">
      <c r="A1736" s="26" t="s">
        <v>795</v>
      </c>
      <c r="B1736" s="26" t="s">
        <v>1285</v>
      </c>
      <c r="C1736" s="33" t="str">
        <f>IFERROR(INDEX(tbl_requisitos_emb[Tema],MATCH(B1736,tbl_requisitos_emb[ID_Req],0)),"")</f>
        <v>Materiais plásticos de acondicionamento primário</v>
      </c>
      <c r="D1736" s="33" t="str">
        <f>IFERROR(INDEX(tbl_recyclass[Segmento],MATCH(A1736,tbl_recyclass[ProductId],0)),"")</f>
        <v>Cosmética e higiene pessoal</v>
      </c>
      <c r="E1736" s="26" t="s">
        <v>904</v>
      </c>
      <c r="F1736" s="26" t="s">
        <v>1451</v>
      </c>
      <c r="G1736" s="26" t="s">
        <v>1143</v>
      </c>
      <c r="H1736" s="33" t="str">
        <f>IF(E1736="Não","Não aplicável",IFERROR(IF(B1736="EU-ENV-002",IF(INDEX(tbl_recyclass[Conforme_PPWR_2030],MATCH(A1736,tbl_recyclass[ProductId],0))="Sim","Conforme (autoavaliação)",IF(INDEX(tbl_recyclass[Conforme_PPWR_2030],MATCH(A1736,tbl_recyclass[ProductId],0))="Não","Não conforme em 2030","Isento até 2035")),IF(B1736="EU-ENV-003",IF(INDEX(tbl_recyclass[Conforme_Art7_2030],MATCH(A1736,tbl_recyclass[ProductId],0))="Sim","Conforme (meta 2030)",IF(INDEX(tbl_recyclass[Conforme_Art7_2030],MATCH(A1736,tbl_recyclass[ProductId],0))="Não","Lacuna face à meta 2030","Isento")),IF(B1736="EU-ENV-011",IF(INDEX(tbl_familias_ppwr[Metais_Pesados_Evidencia],MATCH(INDEX(tbl_recyclass[Familia_PPWR],MATCH(A1736,tbl_recyclass[ProductId],0)),tbl_familias_ppwr[ID_Familia],0))="Em falta","Lacuna","Conforme"),IF(B1736="EU-ENV-013",IF(INDEX(tbl_familias_ppwr[Declaracao_UE],MATCH(INDEX(tbl_recyclass[Familia_PPWR],MATCH(A1736,tbl_recyclass[ProductId],0)),tbl_familias_ppwr[ID_Familia],0))="Sim","Conforme","Lacuna"),G1736)))),G1736))</f>
        <v>Não aplicável</v>
      </c>
      <c r="I1736" s="33" t="str">
        <f t="shared" si="27"/>
        <v>Não aplicável</v>
      </c>
      <c r="J1736" s="26"/>
    </row>
    <row r="1737" spans="1:10" ht="16.05" customHeight="1" x14ac:dyDescent="0.3">
      <c r="A1737" s="26" t="s">
        <v>795</v>
      </c>
      <c r="B1737" s="26" t="s">
        <v>1293</v>
      </c>
      <c r="C1737" s="33" t="str">
        <f>IFERROR(INDEX(tbl_requisitos_emb[Tema],MATCH(B1737,tbl_requisitos_emb[ID_Req],0)),"")</f>
        <v>Isenções PPWR</v>
      </c>
      <c r="D1737" s="33" t="str">
        <f>IFERROR(INDEX(tbl_recyclass[Segmento],MATCH(A1737,tbl_recyclass[ProductId],0)),"")</f>
        <v>Cosmética e higiene pessoal</v>
      </c>
      <c r="E1737" s="26" t="s">
        <v>904</v>
      </c>
      <c r="F1737" s="26" t="s">
        <v>1451</v>
      </c>
      <c r="G1737" s="26" t="s">
        <v>1143</v>
      </c>
      <c r="H1737" s="33" t="str">
        <f>IF(E1737="Não","Não aplicável",IFERROR(IF(B1737="EU-ENV-002",IF(INDEX(tbl_recyclass[Conforme_PPWR_2030],MATCH(A1737,tbl_recyclass[ProductId],0))="Sim","Conforme (autoavaliação)",IF(INDEX(tbl_recyclass[Conforme_PPWR_2030],MATCH(A1737,tbl_recyclass[ProductId],0))="Não","Não conforme em 2030","Isento até 2035")),IF(B1737="EU-ENV-003",IF(INDEX(tbl_recyclass[Conforme_Art7_2030],MATCH(A1737,tbl_recyclass[ProductId],0))="Sim","Conforme (meta 2030)",IF(INDEX(tbl_recyclass[Conforme_Art7_2030],MATCH(A1737,tbl_recyclass[ProductId],0))="Não","Lacuna face à meta 2030","Isento")),IF(B1737="EU-ENV-011",IF(INDEX(tbl_familias_ppwr[Metais_Pesados_Evidencia],MATCH(INDEX(tbl_recyclass[Familia_PPWR],MATCH(A1737,tbl_recyclass[ProductId],0)),tbl_familias_ppwr[ID_Familia],0))="Em falta","Lacuna","Conforme"),IF(B1737="EU-ENV-013",IF(INDEX(tbl_familias_ppwr[Declaracao_UE],MATCH(INDEX(tbl_recyclass[Familia_PPWR],MATCH(A1737,tbl_recyclass[ProductId],0)),tbl_familias_ppwr[ID_Familia],0))="Sim","Conforme","Lacuna"),G1737)))),G1737))</f>
        <v>Não aplicável</v>
      </c>
      <c r="I1737" s="33" t="str">
        <f t="shared" si="27"/>
        <v>Não aplicável</v>
      </c>
      <c r="J1737" s="26"/>
    </row>
    <row r="1738" spans="1:10" ht="16.05" customHeight="1" x14ac:dyDescent="0.3">
      <c r="A1738" s="26" t="s">
        <v>795</v>
      </c>
      <c r="B1738" s="26" t="s">
        <v>1357</v>
      </c>
      <c r="C1738" s="33" t="str">
        <f>IFERROR(INDEX(tbl_requisitos_emb[Tema],MATCH(B1738,tbl_requisitos_emb[ID_Req],0)),"")</f>
        <v>Identificação de plásticos</v>
      </c>
      <c r="D1738" s="33" t="str">
        <f>IFERROR(INDEX(tbl_recyclass[Segmento],MATCH(A1738,tbl_recyclass[ProductId],0)),"")</f>
        <v>Cosmética e higiene pessoal</v>
      </c>
      <c r="E1738" s="26" t="s">
        <v>901</v>
      </c>
      <c r="F1738" s="26" t="s">
        <v>1449</v>
      </c>
      <c r="G1738" s="26" t="s">
        <v>978</v>
      </c>
      <c r="H1738" s="33" t="str">
        <f>IF(E1738="Não","Não aplicável",IFERROR(IF(B1738="EU-ENV-002",IF(INDEX(tbl_recyclass[Conforme_PPWR_2030],MATCH(A1738,tbl_recyclass[ProductId],0))="Sim","Conforme (autoavaliação)",IF(INDEX(tbl_recyclass[Conforme_PPWR_2030],MATCH(A1738,tbl_recyclass[ProductId],0))="Não","Não conforme em 2030","Isento até 2035")),IF(B1738="EU-ENV-003",IF(INDEX(tbl_recyclass[Conforme_Art7_2030],MATCH(A1738,tbl_recyclass[ProductId],0))="Sim","Conforme (meta 2030)",IF(INDEX(tbl_recyclass[Conforme_Art7_2030],MATCH(A1738,tbl_recyclass[ProductId],0))="Não","Lacuna face à meta 2030","Isento")),IF(B1738="EU-ENV-011",IF(INDEX(tbl_familias_ppwr[Metais_Pesados_Evidencia],MATCH(INDEX(tbl_recyclass[Familia_PPWR],MATCH(A1738,tbl_recyclass[ProductId],0)),tbl_familias_ppwr[ID_Familia],0))="Em falta","Lacuna","Conforme"),IF(B1738="EU-ENV-013",IF(INDEX(tbl_familias_ppwr[Declaracao_UE],MATCH(INDEX(tbl_recyclass[Familia_PPWR],MATCH(A1738,tbl_recyclass[ProductId],0)),tbl_familias_ppwr[ID_Familia],0))="Sim","Conforme","Lacuna"),G1738)))),G1738))</f>
        <v>Parcial</v>
      </c>
      <c r="I1738" s="33" t="str">
        <f t="shared" si="27"/>
        <v>Parcial</v>
      </c>
      <c r="J1738" s="26" t="s">
        <v>1362</v>
      </c>
    </row>
    <row r="1739" spans="1:10" ht="16.05" customHeight="1" x14ac:dyDescent="0.3">
      <c r="A1739" s="26" t="s">
        <v>795</v>
      </c>
      <c r="B1739" s="26" t="s">
        <v>1385</v>
      </c>
      <c r="C1739" s="33" t="str">
        <f>IFERROR(INDEX(tbl_requisitos_emb[Tema],MATCH(B1739,tbl_requisitos_emb[ID_Req],0)),"")</f>
        <v>Reciclabilidade (voluntária)</v>
      </c>
      <c r="D1739" s="33" t="str">
        <f>IFERROR(INDEX(tbl_recyclass[Segmento],MATCH(A1739,tbl_recyclass[ProductId],0)),"")</f>
        <v>Cosmética e higiene pessoal</v>
      </c>
      <c r="E1739" s="26" t="s">
        <v>901</v>
      </c>
      <c r="F1739" s="26" t="s">
        <v>1449</v>
      </c>
      <c r="G1739" s="26" t="s">
        <v>978</v>
      </c>
      <c r="H1739" s="33" t="str">
        <f>IF(E1739="Não","Não aplicável",IFERROR(IF(B1739="EU-ENV-002",IF(INDEX(tbl_recyclass[Conforme_PPWR_2030],MATCH(A1739,tbl_recyclass[ProductId],0))="Sim","Conforme (autoavaliação)",IF(INDEX(tbl_recyclass[Conforme_PPWR_2030],MATCH(A1739,tbl_recyclass[ProductId],0))="Não","Não conforme em 2030","Isento até 2035")),IF(B1739="EU-ENV-003",IF(INDEX(tbl_recyclass[Conforme_Art7_2030],MATCH(A1739,tbl_recyclass[ProductId],0))="Sim","Conforme (meta 2030)",IF(INDEX(tbl_recyclass[Conforme_Art7_2030],MATCH(A1739,tbl_recyclass[ProductId],0))="Não","Lacuna face à meta 2030","Isento")),IF(B1739="EU-ENV-011",IF(INDEX(tbl_familias_ppwr[Metais_Pesados_Evidencia],MATCH(INDEX(tbl_recyclass[Familia_PPWR],MATCH(A1739,tbl_recyclass[ProductId],0)),tbl_familias_ppwr[ID_Familia],0))="Em falta","Lacuna","Conforme"),IF(B1739="EU-ENV-013",IF(INDEX(tbl_familias_ppwr[Declaracao_UE],MATCH(INDEX(tbl_recyclass[Familia_PPWR],MATCH(A1739,tbl_recyclass[ProductId],0)),tbl_familias_ppwr[ID_Familia],0))="Sim","Conforme","Lacuna"),G1739)))),G1739))</f>
        <v>Parcial</v>
      </c>
      <c r="I1739" s="33" t="str">
        <f t="shared" si="27"/>
        <v>Parcial</v>
      </c>
      <c r="J1739" s="26" t="s">
        <v>1389</v>
      </c>
    </row>
    <row r="1740" spans="1:10" ht="16.05" customHeight="1" x14ac:dyDescent="0.3">
      <c r="A1740" s="26" t="s">
        <v>797</v>
      </c>
      <c r="B1740" s="26" t="s">
        <v>984</v>
      </c>
      <c r="C1740" s="33" t="str">
        <f>IFERROR(INDEX(tbl_requisitos_emb[Tema],MATCH(B1740,tbl_requisitos_emb[ID_Req],0)),"")</f>
        <v>Conceção para reciclagem</v>
      </c>
      <c r="D1740" s="33" t="str">
        <f>IFERROR(INDEX(tbl_recyclass[Segmento],MATCH(A1740,tbl_recyclass[ProductId],0)),"")</f>
        <v>Cosmética e higiene pessoal</v>
      </c>
      <c r="E1740" s="26" t="s">
        <v>901</v>
      </c>
      <c r="F1740" s="26" t="s">
        <v>1449</v>
      </c>
      <c r="G1740" s="26" t="s">
        <v>978</v>
      </c>
      <c r="H1740" s="33" t="str">
        <f>IF(E1740="Não","Não aplicável",IFERROR(IF(B1740="EU-ENV-002",IF(INDEX(tbl_recyclass[Conforme_PPWR_2030],MATCH(A1740,tbl_recyclass[ProductId],0))="Sim","Conforme (autoavaliação)",IF(INDEX(tbl_recyclass[Conforme_PPWR_2030],MATCH(A1740,tbl_recyclass[ProductId],0))="Não","Não conforme em 2030","Isento até 2035")),IF(B1740="EU-ENV-003",IF(INDEX(tbl_recyclass[Conforme_Art7_2030],MATCH(A1740,tbl_recyclass[ProductId],0))="Sim","Conforme (meta 2030)",IF(INDEX(tbl_recyclass[Conforme_Art7_2030],MATCH(A1740,tbl_recyclass[ProductId],0))="Não","Lacuna face à meta 2030","Isento")),IF(B1740="EU-ENV-011",IF(INDEX(tbl_familias_ppwr[Metais_Pesados_Evidencia],MATCH(INDEX(tbl_recyclass[Familia_PPWR],MATCH(A1740,tbl_recyclass[ProductId],0)),tbl_familias_ppwr[ID_Familia],0))="Em falta","Lacuna","Conforme"),IF(B1740="EU-ENV-013",IF(INDEX(tbl_familias_ppwr[Declaracao_UE],MATCH(INDEX(tbl_recyclass[Familia_PPWR],MATCH(A1740,tbl_recyclass[ProductId],0)),tbl_familias_ppwr[ID_Familia],0))="Sim","Conforme","Lacuna"),G1740)))),G1740))</f>
        <v>Não conforme em 2030</v>
      </c>
      <c r="I1740" s="33" t="str">
        <f t="shared" si="27"/>
        <v>Não conforme</v>
      </c>
      <c r="J1740" s="26" t="s">
        <v>991</v>
      </c>
    </row>
    <row r="1741" spans="1:10" ht="16.05" customHeight="1" x14ac:dyDescent="0.3">
      <c r="A1741" s="26" t="s">
        <v>797</v>
      </c>
      <c r="B1741" s="26" t="s">
        <v>997</v>
      </c>
      <c r="C1741" s="33" t="str">
        <f>IFERROR(INDEX(tbl_requisitos_emb[Tema],MATCH(B1741,tbl_requisitos_emb[ID_Req],0)),"")</f>
        <v>Conteúdo reciclado</v>
      </c>
      <c r="D1741" s="33" t="str">
        <f>IFERROR(INDEX(tbl_recyclass[Segmento],MATCH(A1741,tbl_recyclass[ProductId],0)),"")</f>
        <v>Cosmética e higiene pessoal</v>
      </c>
      <c r="E1741" s="26" t="s">
        <v>901</v>
      </c>
      <c r="F1741" s="26" t="s">
        <v>1449</v>
      </c>
      <c r="G1741" s="26" t="s">
        <v>978</v>
      </c>
      <c r="H1741" s="33" t="str">
        <f>IF(E1741="Não","Não aplicável",IFERROR(IF(B1741="EU-ENV-002",IF(INDEX(tbl_recyclass[Conforme_PPWR_2030],MATCH(A1741,tbl_recyclass[ProductId],0))="Sim","Conforme (autoavaliação)",IF(INDEX(tbl_recyclass[Conforme_PPWR_2030],MATCH(A1741,tbl_recyclass[ProductId],0))="Não","Não conforme em 2030","Isento até 2035")),IF(B1741="EU-ENV-003",IF(INDEX(tbl_recyclass[Conforme_Art7_2030],MATCH(A1741,tbl_recyclass[ProductId],0))="Sim","Conforme (meta 2030)",IF(INDEX(tbl_recyclass[Conforme_Art7_2030],MATCH(A1741,tbl_recyclass[ProductId],0))="Não","Lacuna face à meta 2030","Isento")),IF(B1741="EU-ENV-011",IF(INDEX(tbl_familias_ppwr[Metais_Pesados_Evidencia],MATCH(INDEX(tbl_recyclass[Familia_PPWR],MATCH(A1741,tbl_recyclass[ProductId],0)),tbl_familias_ppwr[ID_Familia],0))="Em falta","Lacuna","Conforme"),IF(B1741="EU-ENV-013",IF(INDEX(tbl_familias_ppwr[Declaracao_UE],MATCH(INDEX(tbl_recyclass[Familia_PPWR],MATCH(A1741,tbl_recyclass[ProductId],0)),tbl_familias_ppwr[ID_Familia],0))="Sim","Conforme","Lacuna"),G1741)))),G1741))</f>
        <v>Lacuna face à meta 2030</v>
      </c>
      <c r="I1741" s="33" t="str">
        <f t="shared" si="27"/>
        <v>Lacuna</v>
      </c>
      <c r="J1741" s="26" t="s">
        <v>1001</v>
      </c>
    </row>
    <row r="1742" spans="1:10" ht="16.05" customHeight="1" x14ac:dyDescent="0.3">
      <c r="A1742" s="26" t="s">
        <v>797</v>
      </c>
      <c r="B1742" s="26" t="s">
        <v>1007</v>
      </c>
      <c r="C1742" s="33" t="str">
        <f>IFERROR(INDEX(tbl_requisitos_emb[Tema],MATCH(B1742,tbl_requisitos_emb[ID_Req],0)),"")</f>
        <v>Minimização</v>
      </c>
      <c r="D1742" s="33" t="str">
        <f>IFERROR(INDEX(tbl_recyclass[Segmento],MATCH(A1742,tbl_recyclass[ProductId],0)),"")</f>
        <v>Cosmética e higiene pessoal</v>
      </c>
      <c r="E1742" s="26" t="s">
        <v>901</v>
      </c>
      <c r="F1742" s="26" t="s">
        <v>1449</v>
      </c>
      <c r="G1742" s="26" t="s">
        <v>978</v>
      </c>
      <c r="H1742" s="33" t="str">
        <f>IF(E1742="Não","Não aplicável",IFERROR(IF(B1742="EU-ENV-002",IF(INDEX(tbl_recyclass[Conforme_PPWR_2030],MATCH(A1742,tbl_recyclass[ProductId],0))="Sim","Conforme (autoavaliação)",IF(INDEX(tbl_recyclass[Conforme_PPWR_2030],MATCH(A1742,tbl_recyclass[ProductId],0))="Não","Não conforme em 2030","Isento até 2035")),IF(B1742="EU-ENV-003",IF(INDEX(tbl_recyclass[Conforme_Art7_2030],MATCH(A1742,tbl_recyclass[ProductId],0))="Sim","Conforme (meta 2030)",IF(INDEX(tbl_recyclass[Conforme_Art7_2030],MATCH(A1742,tbl_recyclass[ProductId],0))="Não","Lacuna face à meta 2030","Isento")),IF(B1742="EU-ENV-011",IF(INDEX(tbl_familias_ppwr[Metais_Pesados_Evidencia],MATCH(INDEX(tbl_recyclass[Familia_PPWR],MATCH(A1742,tbl_recyclass[ProductId],0)),tbl_familias_ppwr[ID_Familia],0))="Em falta","Lacuna","Conforme"),IF(B1742="EU-ENV-013",IF(INDEX(tbl_familias_ppwr[Declaracao_UE],MATCH(INDEX(tbl_recyclass[Familia_PPWR],MATCH(A1742,tbl_recyclass[ProductId],0)),tbl_familias_ppwr[ID_Familia],0))="Sim","Conforme","Lacuna"),G1742)))),G1742))</f>
        <v>Parcial</v>
      </c>
      <c r="I1742" s="33" t="str">
        <f t="shared" si="27"/>
        <v>Parcial</v>
      </c>
      <c r="J1742" s="26" t="s">
        <v>1012</v>
      </c>
    </row>
    <row r="1743" spans="1:10" ht="16.05" customHeight="1" x14ac:dyDescent="0.3">
      <c r="A1743" s="26" t="s">
        <v>797</v>
      </c>
      <c r="B1743" s="26" t="s">
        <v>1016</v>
      </c>
      <c r="C1743" s="33" t="str">
        <f>IFERROR(INDEX(tbl_requisitos_emb[Tema],MATCH(B1743,tbl_requisitos_emb[ID_Req],0)),"")</f>
        <v>Rotulagem</v>
      </c>
      <c r="D1743" s="33" t="str">
        <f>IFERROR(INDEX(tbl_recyclass[Segmento],MATCH(A1743,tbl_recyclass[ProductId],0)),"")</f>
        <v>Cosmética e higiene pessoal</v>
      </c>
      <c r="E1743" s="26" t="s">
        <v>901</v>
      </c>
      <c r="F1743" s="26" t="s">
        <v>1449</v>
      </c>
      <c r="G1743" s="26" t="s">
        <v>990</v>
      </c>
      <c r="H1743" s="33" t="str">
        <f>IF(E1743="Não","Não aplicável",IFERROR(IF(B1743="EU-ENV-002",IF(INDEX(tbl_recyclass[Conforme_PPWR_2030],MATCH(A1743,tbl_recyclass[ProductId],0))="Sim","Conforme (autoavaliação)",IF(INDEX(tbl_recyclass[Conforme_PPWR_2030],MATCH(A1743,tbl_recyclass[ProductId],0))="Não","Não conforme em 2030","Isento até 2035")),IF(B1743="EU-ENV-003",IF(INDEX(tbl_recyclass[Conforme_Art7_2030],MATCH(A1743,tbl_recyclass[ProductId],0))="Sim","Conforme (meta 2030)",IF(INDEX(tbl_recyclass[Conforme_Art7_2030],MATCH(A1743,tbl_recyclass[ProductId],0))="Não","Lacuna face à meta 2030","Isento")),IF(B1743="EU-ENV-011",IF(INDEX(tbl_familias_ppwr[Metais_Pesados_Evidencia],MATCH(INDEX(tbl_recyclass[Familia_PPWR],MATCH(A1743,tbl_recyclass[ProductId],0)),tbl_familias_ppwr[ID_Familia],0))="Em falta","Lacuna","Conforme"),IF(B1743="EU-ENV-013",IF(INDEX(tbl_familias_ppwr[Declaracao_UE],MATCH(INDEX(tbl_recyclass[Familia_PPWR],MATCH(A1743,tbl_recyclass[ProductId],0)),tbl_familias_ppwr[ID_Familia],0))="Sim","Conforme","Lacuna"),G1743)))),G1743))</f>
        <v>Futuro</v>
      </c>
      <c r="I1743" s="33" t="str">
        <f t="shared" si="27"/>
        <v>Futuro</v>
      </c>
      <c r="J1743" s="26" t="s">
        <v>1021</v>
      </c>
    </row>
    <row r="1744" spans="1:10" ht="16.05" customHeight="1" x14ac:dyDescent="0.3">
      <c r="A1744" s="26" t="s">
        <v>797</v>
      </c>
      <c r="B1744" s="26" t="s">
        <v>1038</v>
      </c>
      <c r="C1744" s="33" t="str">
        <f>IFERROR(INDEX(tbl_requisitos_emb[Tema],MATCH(B1744,tbl_requisitos_emb[ID_Req],0)),"")</f>
        <v>Plásticos de utilização única</v>
      </c>
      <c r="D1744" s="33" t="str">
        <f>IFERROR(INDEX(tbl_recyclass[Segmento],MATCH(A1744,tbl_recyclass[ProductId],0)),"")</f>
        <v>Cosmética e higiene pessoal</v>
      </c>
      <c r="E1744" s="26" t="s">
        <v>904</v>
      </c>
      <c r="F1744" s="26" t="s">
        <v>1450</v>
      </c>
      <c r="G1744" s="26" t="s">
        <v>1143</v>
      </c>
      <c r="H1744" s="33" t="str">
        <f>IF(E1744="Não","Não aplicável",IFERROR(IF(B1744="EU-ENV-002",IF(INDEX(tbl_recyclass[Conforme_PPWR_2030],MATCH(A1744,tbl_recyclass[ProductId],0))="Sim","Conforme (autoavaliação)",IF(INDEX(tbl_recyclass[Conforme_PPWR_2030],MATCH(A1744,tbl_recyclass[ProductId],0))="Não","Não conforme em 2030","Isento até 2035")),IF(B1744="EU-ENV-003",IF(INDEX(tbl_recyclass[Conforme_Art7_2030],MATCH(A1744,tbl_recyclass[ProductId],0))="Sim","Conforme (meta 2030)",IF(INDEX(tbl_recyclass[Conforme_Art7_2030],MATCH(A1744,tbl_recyclass[ProductId],0))="Não","Lacuna face à meta 2030","Isento")),IF(B1744="EU-ENV-011",IF(INDEX(tbl_familias_ppwr[Metais_Pesados_Evidencia],MATCH(INDEX(tbl_recyclass[Familia_PPWR],MATCH(A1744,tbl_recyclass[ProductId],0)),tbl_familias_ppwr[ID_Familia],0))="Em falta","Lacuna","Conforme"),IF(B1744="EU-ENV-013",IF(INDEX(tbl_familias_ppwr[Declaracao_UE],MATCH(INDEX(tbl_recyclass[Familia_PPWR],MATCH(A1744,tbl_recyclass[ProductId],0)),tbl_familias_ppwr[ID_Familia],0))="Sim","Conforme","Lacuna"),G1744)))),G1744))</f>
        <v>Não aplicável</v>
      </c>
      <c r="I1744" s="33" t="str">
        <f t="shared" si="27"/>
        <v>Não aplicável</v>
      </c>
      <c r="J1744" s="26"/>
    </row>
    <row r="1745" spans="1:10" ht="16.05" customHeight="1" x14ac:dyDescent="0.3">
      <c r="A1745" s="26" t="s">
        <v>797</v>
      </c>
      <c r="B1745" s="26" t="s">
        <v>1078</v>
      </c>
      <c r="C1745" s="33" t="str">
        <f>IFERROR(INDEX(tbl_requisitos_emb[Tema],MATCH(B1745,tbl_requisitos_emb[ID_Req],0)),"")</f>
        <v>Reciclado à escala</v>
      </c>
      <c r="D1745" s="33" t="str">
        <f>IFERROR(INDEX(tbl_recyclass[Segmento],MATCH(A1745,tbl_recyclass[ProductId],0)),"")</f>
        <v>Cosmética e higiene pessoal</v>
      </c>
      <c r="E1745" s="26" t="s">
        <v>901</v>
      </c>
      <c r="F1745" s="26" t="s">
        <v>1449</v>
      </c>
      <c r="G1745" s="26" t="s">
        <v>990</v>
      </c>
      <c r="H1745" s="33" t="str">
        <f>IF(E1745="Não","Não aplicável",IFERROR(IF(B1745="EU-ENV-002",IF(INDEX(tbl_recyclass[Conforme_PPWR_2030],MATCH(A1745,tbl_recyclass[ProductId],0))="Sim","Conforme (autoavaliação)",IF(INDEX(tbl_recyclass[Conforme_PPWR_2030],MATCH(A1745,tbl_recyclass[ProductId],0))="Não","Não conforme em 2030","Isento até 2035")),IF(B1745="EU-ENV-003",IF(INDEX(tbl_recyclass[Conforme_Art7_2030],MATCH(A1745,tbl_recyclass[ProductId],0))="Sim","Conforme (meta 2030)",IF(INDEX(tbl_recyclass[Conforme_Art7_2030],MATCH(A1745,tbl_recyclass[ProductId],0))="Não","Lacuna face à meta 2030","Isento")),IF(B1745="EU-ENV-011",IF(INDEX(tbl_familias_ppwr[Metais_Pesados_Evidencia],MATCH(INDEX(tbl_recyclass[Familia_PPWR],MATCH(A1745,tbl_recyclass[ProductId],0)),tbl_familias_ppwr[ID_Familia],0))="Em falta","Lacuna","Conforme"),IF(B1745="EU-ENV-013",IF(INDEX(tbl_familias_ppwr[Declaracao_UE],MATCH(INDEX(tbl_recyclass[Familia_PPWR],MATCH(A1745,tbl_recyclass[ProductId],0)),tbl_familias_ppwr[ID_Familia],0))="Sim","Conforme","Lacuna"),G1745)))),G1745))</f>
        <v>Futuro</v>
      </c>
      <c r="I1745" s="33" t="str">
        <f t="shared" si="27"/>
        <v>Futuro</v>
      </c>
      <c r="J1745" s="26" t="s">
        <v>1082</v>
      </c>
    </row>
    <row r="1746" spans="1:10" ht="16.05" customHeight="1" x14ac:dyDescent="0.3">
      <c r="A1746" s="26" t="s">
        <v>797</v>
      </c>
      <c r="B1746" s="26" t="s">
        <v>1086</v>
      </c>
      <c r="C1746" s="33" t="str">
        <f>IFERROR(INDEX(tbl_requisitos_emb[Tema],MATCH(B1746,tbl_requisitos_emb[ID_Req],0)),"")</f>
        <v>Metais pesados</v>
      </c>
      <c r="D1746" s="33" t="str">
        <f>IFERROR(INDEX(tbl_recyclass[Segmento],MATCH(A1746,tbl_recyclass[ProductId],0)),"")</f>
        <v>Cosmética e higiene pessoal</v>
      </c>
      <c r="E1746" s="26" t="s">
        <v>901</v>
      </c>
      <c r="F1746" s="26" t="s">
        <v>1449</v>
      </c>
      <c r="G1746" s="26" t="s">
        <v>978</v>
      </c>
      <c r="H1746" s="33" t="str">
        <f>IF(E1746="Não","Não aplicável",IFERROR(IF(B1746="EU-ENV-002",IF(INDEX(tbl_recyclass[Conforme_PPWR_2030],MATCH(A1746,tbl_recyclass[ProductId],0))="Sim","Conforme (autoavaliação)",IF(INDEX(tbl_recyclass[Conforme_PPWR_2030],MATCH(A1746,tbl_recyclass[ProductId],0))="Não","Não conforme em 2030","Isento até 2035")),IF(B1746="EU-ENV-003",IF(INDEX(tbl_recyclass[Conforme_Art7_2030],MATCH(A1746,tbl_recyclass[ProductId],0))="Sim","Conforme (meta 2030)",IF(INDEX(tbl_recyclass[Conforme_Art7_2030],MATCH(A1746,tbl_recyclass[ProductId],0))="Não","Lacuna face à meta 2030","Isento")),IF(B1746="EU-ENV-011",IF(INDEX(tbl_familias_ppwr[Metais_Pesados_Evidencia],MATCH(INDEX(tbl_recyclass[Familia_PPWR],MATCH(A1746,tbl_recyclass[ProductId],0)),tbl_familias_ppwr[ID_Familia],0))="Em falta","Lacuna","Conforme"),IF(B1746="EU-ENV-013",IF(INDEX(tbl_familias_ppwr[Declaracao_UE],MATCH(INDEX(tbl_recyclass[Familia_PPWR],MATCH(A1746,tbl_recyclass[ProductId],0)),tbl_familias_ppwr[ID_Familia],0))="Sim","Conforme","Lacuna"),G1746)))),G1746))</f>
        <v>Conforme</v>
      </c>
      <c r="I1746" s="33" t="str">
        <f t="shared" si="27"/>
        <v>Conforme</v>
      </c>
      <c r="J1746" s="26" t="s">
        <v>1090</v>
      </c>
    </row>
    <row r="1747" spans="1:10" ht="16.05" customHeight="1" x14ac:dyDescent="0.3">
      <c r="A1747" s="26" t="s">
        <v>797</v>
      </c>
      <c r="B1747" s="26" t="s">
        <v>1094</v>
      </c>
      <c r="C1747" s="33" t="str">
        <f>IFERROR(INDEX(tbl_requisitos_emb[Tema],MATCH(B1747,tbl_requisitos_emb[ID_Req],0)),"")</f>
        <v>PFAS</v>
      </c>
      <c r="D1747" s="33" t="str">
        <f>IFERROR(INDEX(tbl_recyclass[Segmento],MATCH(A1747,tbl_recyclass[ProductId],0)),"")</f>
        <v>Cosmética e higiene pessoal</v>
      </c>
      <c r="E1747" s="26" t="s">
        <v>904</v>
      </c>
      <c r="F1747" s="26" t="s">
        <v>1450</v>
      </c>
      <c r="G1747" s="26" t="s">
        <v>1143</v>
      </c>
      <c r="H1747" s="33" t="str">
        <f>IF(E1747="Não","Não aplicável",IFERROR(IF(B1747="EU-ENV-002",IF(INDEX(tbl_recyclass[Conforme_PPWR_2030],MATCH(A1747,tbl_recyclass[ProductId],0))="Sim","Conforme (autoavaliação)",IF(INDEX(tbl_recyclass[Conforme_PPWR_2030],MATCH(A1747,tbl_recyclass[ProductId],0))="Não","Não conforme em 2030","Isento até 2035")),IF(B1747="EU-ENV-003",IF(INDEX(tbl_recyclass[Conforme_Art7_2030],MATCH(A1747,tbl_recyclass[ProductId],0))="Sim","Conforme (meta 2030)",IF(INDEX(tbl_recyclass[Conforme_Art7_2030],MATCH(A1747,tbl_recyclass[ProductId],0))="Não","Lacuna face à meta 2030","Isento")),IF(B1747="EU-ENV-011",IF(INDEX(tbl_familias_ppwr[Metais_Pesados_Evidencia],MATCH(INDEX(tbl_recyclass[Familia_PPWR],MATCH(A1747,tbl_recyclass[ProductId],0)),tbl_familias_ppwr[ID_Familia],0))="Em falta","Lacuna","Conforme"),IF(B1747="EU-ENV-013",IF(INDEX(tbl_familias_ppwr[Declaracao_UE],MATCH(INDEX(tbl_recyclass[Familia_PPWR],MATCH(A1747,tbl_recyclass[ProductId],0)),tbl_familias_ppwr[ID_Familia],0))="Sim","Conforme","Lacuna"),G1747)))),G1747))</f>
        <v>Não aplicável</v>
      </c>
      <c r="I1747" s="33" t="str">
        <f t="shared" si="27"/>
        <v>Não aplicável</v>
      </c>
      <c r="J1747" s="26"/>
    </row>
    <row r="1748" spans="1:10" ht="16.05" customHeight="1" x14ac:dyDescent="0.3">
      <c r="A1748" s="26" t="s">
        <v>797</v>
      </c>
      <c r="B1748" s="26" t="s">
        <v>1102</v>
      </c>
      <c r="C1748" s="33" t="str">
        <f>IFERROR(INDEX(tbl_requisitos_emb[Tema],MATCH(B1748,tbl_requisitos_emb[ID_Req],0)),"")</f>
        <v>Documentação técnica e declaração UE</v>
      </c>
      <c r="D1748" s="33" t="str">
        <f>IFERROR(INDEX(tbl_recyclass[Segmento],MATCH(A1748,tbl_recyclass[ProductId],0)),"")</f>
        <v>Cosmética e higiene pessoal</v>
      </c>
      <c r="E1748" s="26" t="s">
        <v>901</v>
      </c>
      <c r="F1748" s="26" t="s">
        <v>1449</v>
      </c>
      <c r="G1748" s="26" t="s">
        <v>978</v>
      </c>
      <c r="H1748" s="33" t="str">
        <f>IF(E1748="Não","Não aplicável",IFERROR(IF(B1748="EU-ENV-002",IF(INDEX(tbl_recyclass[Conforme_PPWR_2030],MATCH(A1748,tbl_recyclass[ProductId],0))="Sim","Conforme (autoavaliação)",IF(INDEX(tbl_recyclass[Conforme_PPWR_2030],MATCH(A1748,tbl_recyclass[ProductId],0))="Não","Não conforme em 2030","Isento até 2035")),IF(B1748="EU-ENV-003",IF(INDEX(tbl_recyclass[Conforme_Art7_2030],MATCH(A1748,tbl_recyclass[ProductId],0))="Sim","Conforme (meta 2030)",IF(INDEX(tbl_recyclass[Conforme_Art7_2030],MATCH(A1748,tbl_recyclass[ProductId],0))="Não","Lacuna face à meta 2030","Isento")),IF(B1748="EU-ENV-011",IF(INDEX(tbl_familias_ppwr[Metais_Pesados_Evidencia],MATCH(INDEX(tbl_recyclass[Familia_PPWR],MATCH(A1748,tbl_recyclass[ProductId],0)),tbl_familias_ppwr[ID_Familia],0))="Em falta","Lacuna","Conforme"),IF(B1748="EU-ENV-013",IF(INDEX(tbl_familias_ppwr[Declaracao_UE],MATCH(INDEX(tbl_recyclass[Familia_PPWR],MATCH(A1748,tbl_recyclass[ProductId],0)),tbl_familias_ppwr[ID_Familia],0))="Sim","Conforme","Lacuna"),G1748)))),G1748))</f>
        <v>Conforme</v>
      </c>
      <c r="I1748" s="33" t="str">
        <f t="shared" si="27"/>
        <v>Conforme</v>
      </c>
      <c r="J1748" s="26" t="s">
        <v>1106</v>
      </c>
    </row>
    <row r="1749" spans="1:10" ht="16.05" customHeight="1" x14ac:dyDescent="0.3">
      <c r="A1749" s="26" t="s">
        <v>797</v>
      </c>
      <c r="B1749" s="26" t="s">
        <v>1161</v>
      </c>
      <c r="C1749" s="33" t="str">
        <f>IFERROR(INDEX(tbl_requisitos_emb[Tema],MATCH(B1749,tbl_requisitos_emb[ID_Req],0)),"")</f>
        <v>Materiais em contacto com alimentos</v>
      </c>
      <c r="D1749" s="33" t="str">
        <f>IFERROR(INDEX(tbl_recyclass[Segmento],MATCH(A1749,tbl_recyclass[ProductId],0)),"")</f>
        <v>Cosmética e higiene pessoal</v>
      </c>
      <c r="E1749" s="26" t="s">
        <v>904</v>
      </c>
      <c r="F1749" s="26" t="s">
        <v>1450</v>
      </c>
      <c r="G1749" s="26" t="s">
        <v>1143</v>
      </c>
      <c r="H1749" s="33" t="str">
        <f>IF(E1749="Não","Não aplicável",IFERROR(IF(B1749="EU-ENV-002",IF(INDEX(tbl_recyclass[Conforme_PPWR_2030],MATCH(A1749,tbl_recyclass[ProductId],0))="Sim","Conforme (autoavaliação)",IF(INDEX(tbl_recyclass[Conforme_PPWR_2030],MATCH(A1749,tbl_recyclass[ProductId],0))="Não","Não conforme em 2030","Isento até 2035")),IF(B1749="EU-ENV-003",IF(INDEX(tbl_recyclass[Conforme_Art7_2030],MATCH(A1749,tbl_recyclass[ProductId],0))="Sim","Conforme (meta 2030)",IF(INDEX(tbl_recyclass[Conforme_Art7_2030],MATCH(A1749,tbl_recyclass[ProductId],0))="Não","Lacuna face à meta 2030","Isento")),IF(B1749="EU-ENV-011",IF(INDEX(tbl_familias_ppwr[Metais_Pesados_Evidencia],MATCH(INDEX(tbl_recyclass[Familia_PPWR],MATCH(A1749,tbl_recyclass[ProductId],0)),tbl_familias_ppwr[ID_Familia],0))="Em falta","Lacuna","Conforme"),IF(B1749="EU-ENV-013",IF(INDEX(tbl_familias_ppwr[Declaracao_UE],MATCH(INDEX(tbl_recyclass[Familia_PPWR],MATCH(A1749,tbl_recyclass[ProductId],0)),tbl_familias_ppwr[ID_Familia],0))="Sim","Conforme","Lacuna"),G1749)))),G1749))</f>
        <v>Não aplicável</v>
      </c>
      <c r="I1749" s="33" t="str">
        <f t="shared" si="27"/>
        <v>Não aplicável</v>
      </c>
      <c r="J1749" s="26"/>
    </row>
    <row r="1750" spans="1:10" ht="16.05" customHeight="1" x14ac:dyDescent="0.3">
      <c r="A1750" s="26" t="s">
        <v>797</v>
      </c>
      <c r="B1750" s="26" t="s">
        <v>1170</v>
      </c>
      <c r="C1750" s="33" t="str">
        <f>IFERROR(INDEX(tbl_requisitos_emb[Tema],MATCH(B1750,tbl_requisitos_emb[ID_Req],0)),"")</f>
        <v>Boas práticas de fabrico FCM</v>
      </c>
      <c r="D1750" s="33" t="str">
        <f>IFERROR(INDEX(tbl_recyclass[Segmento],MATCH(A1750,tbl_recyclass[ProductId],0)),"")</f>
        <v>Cosmética e higiene pessoal</v>
      </c>
      <c r="E1750" s="26" t="s">
        <v>904</v>
      </c>
      <c r="F1750" s="26" t="s">
        <v>1450</v>
      </c>
      <c r="G1750" s="26" t="s">
        <v>1143</v>
      </c>
      <c r="H1750" s="33" t="str">
        <f>IF(E1750="Não","Não aplicável",IFERROR(IF(B1750="EU-ENV-002",IF(INDEX(tbl_recyclass[Conforme_PPWR_2030],MATCH(A1750,tbl_recyclass[ProductId],0))="Sim","Conforme (autoavaliação)",IF(INDEX(tbl_recyclass[Conforme_PPWR_2030],MATCH(A1750,tbl_recyclass[ProductId],0))="Não","Não conforme em 2030","Isento até 2035")),IF(B1750="EU-ENV-003",IF(INDEX(tbl_recyclass[Conforme_Art7_2030],MATCH(A1750,tbl_recyclass[ProductId],0))="Sim","Conforme (meta 2030)",IF(INDEX(tbl_recyclass[Conforme_Art7_2030],MATCH(A1750,tbl_recyclass[ProductId],0))="Não","Lacuna face à meta 2030","Isento")),IF(B1750="EU-ENV-011",IF(INDEX(tbl_familias_ppwr[Metais_Pesados_Evidencia],MATCH(INDEX(tbl_recyclass[Familia_PPWR],MATCH(A1750,tbl_recyclass[ProductId],0)),tbl_familias_ppwr[ID_Familia],0))="Em falta","Lacuna","Conforme"),IF(B1750="EU-ENV-013",IF(INDEX(tbl_familias_ppwr[Declaracao_UE],MATCH(INDEX(tbl_recyclass[Familia_PPWR],MATCH(A1750,tbl_recyclass[ProductId],0)),tbl_familias_ppwr[ID_Familia],0))="Sim","Conforme","Lacuna"),G1750)))),G1750))</f>
        <v>Não aplicável</v>
      </c>
      <c r="I1750" s="33" t="str">
        <f t="shared" si="27"/>
        <v>Não aplicável</v>
      </c>
      <c r="J1750" s="26"/>
    </row>
    <row r="1751" spans="1:10" ht="16.05" customHeight="1" x14ac:dyDescent="0.3">
      <c r="A1751" s="26" t="s">
        <v>797</v>
      </c>
      <c r="B1751" s="26" t="s">
        <v>1179</v>
      </c>
      <c r="C1751" s="33" t="str">
        <f>IFERROR(INDEX(tbl_requisitos_emb[Tema],MATCH(B1751,tbl_requisitos_emb[ID_Req],0)),"")</f>
        <v>Bisfenol A e bisfenóis perigosos</v>
      </c>
      <c r="D1751" s="33" t="str">
        <f>IFERROR(INDEX(tbl_recyclass[Segmento],MATCH(A1751,tbl_recyclass[ProductId],0)),"")</f>
        <v>Cosmética e higiene pessoal</v>
      </c>
      <c r="E1751" s="26" t="s">
        <v>904</v>
      </c>
      <c r="F1751" s="26" t="s">
        <v>1450</v>
      </c>
      <c r="G1751" s="26" t="s">
        <v>1143</v>
      </c>
      <c r="H1751" s="33" t="str">
        <f>IF(E1751="Não","Não aplicável",IFERROR(IF(B1751="EU-ENV-002",IF(INDEX(tbl_recyclass[Conforme_PPWR_2030],MATCH(A1751,tbl_recyclass[ProductId],0))="Sim","Conforme (autoavaliação)",IF(INDEX(tbl_recyclass[Conforme_PPWR_2030],MATCH(A1751,tbl_recyclass[ProductId],0))="Não","Não conforme em 2030","Isento até 2035")),IF(B1751="EU-ENV-003",IF(INDEX(tbl_recyclass[Conforme_Art7_2030],MATCH(A1751,tbl_recyclass[ProductId],0))="Sim","Conforme (meta 2030)",IF(INDEX(tbl_recyclass[Conforme_Art7_2030],MATCH(A1751,tbl_recyclass[ProductId],0))="Não","Lacuna face à meta 2030","Isento")),IF(B1751="EU-ENV-011",IF(INDEX(tbl_familias_ppwr[Metais_Pesados_Evidencia],MATCH(INDEX(tbl_recyclass[Familia_PPWR],MATCH(A1751,tbl_recyclass[ProductId],0)),tbl_familias_ppwr[ID_Familia],0))="Em falta","Lacuna","Conforme"),IF(B1751="EU-ENV-013",IF(INDEX(tbl_familias_ppwr[Declaracao_UE],MATCH(INDEX(tbl_recyclass[Familia_PPWR],MATCH(A1751,tbl_recyclass[ProductId],0)),tbl_familias_ppwr[ID_Familia],0))="Sim","Conforme","Lacuna"),G1751)))),G1751))</f>
        <v>Não aplicável</v>
      </c>
      <c r="I1751" s="33" t="str">
        <f t="shared" si="27"/>
        <v>Não aplicável</v>
      </c>
      <c r="J1751" s="26"/>
    </row>
    <row r="1752" spans="1:10" ht="16.05" customHeight="1" x14ac:dyDescent="0.3">
      <c r="A1752" s="26" t="s">
        <v>797</v>
      </c>
      <c r="B1752" s="26" t="s">
        <v>1188</v>
      </c>
      <c r="C1752" s="33" t="str">
        <f>IFERROR(INDEX(tbl_requisitos_emb[Tema],MATCH(B1752,tbl_requisitos_emb[ID_Req],0)),"")</f>
        <v>Plásticos em contacto com alimentos</v>
      </c>
      <c r="D1752" s="33" t="str">
        <f>IFERROR(INDEX(tbl_recyclass[Segmento],MATCH(A1752,tbl_recyclass[ProductId],0)),"")</f>
        <v>Cosmética e higiene pessoal</v>
      </c>
      <c r="E1752" s="26" t="s">
        <v>904</v>
      </c>
      <c r="F1752" s="26" t="s">
        <v>1450</v>
      </c>
      <c r="G1752" s="26" t="s">
        <v>1143</v>
      </c>
      <c r="H1752" s="33" t="str">
        <f>IF(E1752="Não","Não aplicável",IFERROR(IF(B1752="EU-ENV-002",IF(INDEX(tbl_recyclass[Conforme_PPWR_2030],MATCH(A1752,tbl_recyclass[ProductId],0))="Sim","Conforme (autoavaliação)",IF(INDEX(tbl_recyclass[Conforme_PPWR_2030],MATCH(A1752,tbl_recyclass[ProductId],0))="Não","Não conforme em 2030","Isento até 2035")),IF(B1752="EU-ENV-003",IF(INDEX(tbl_recyclass[Conforme_Art7_2030],MATCH(A1752,tbl_recyclass[ProductId],0))="Sim","Conforme (meta 2030)",IF(INDEX(tbl_recyclass[Conforme_Art7_2030],MATCH(A1752,tbl_recyclass[ProductId],0))="Não","Lacuna face à meta 2030","Isento")),IF(B1752="EU-ENV-011",IF(INDEX(tbl_familias_ppwr[Metais_Pesados_Evidencia],MATCH(INDEX(tbl_recyclass[Familia_PPWR],MATCH(A1752,tbl_recyclass[ProductId],0)),tbl_familias_ppwr[ID_Familia],0))="Em falta","Lacuna","Conforme"),IF(B1752="EU-ENV-013",IF(INDEX(tbl_familias_ppwr[Declaracao_UE],MATCH(INDEX(tbl_recyclass[Familia_PPWR],MATCH(A1752,tbl_recyclass[ProductId],0)),tbl_familias_ppwr[ID_Familia],0))="Sim","Conforme","Lacuna"),G1752)))),G1752))</f>
        <v>Não aplicável</v>
      </c>
      <c r="I1752" s="33" t="str">
        <f t="shared" si="27"/>
        <v>Não aplicável</v>
      </c>
      <c r="J1752" s="26"/>
    </row>
    <row r="1753" spans="1:10" ht="16.05" customHeight="1" x14ac:dyDescent="0.3">
      <c r="A1753" s="26" t="s">
        <v>797</v>
      </c>
      <c r="B1753" s="26" t="s">
        <v>1212</v>
      </c>
      <c r="C1753" s="33" t="str">
        <f>IFERROR(INDEX(tbl_requisitos_emb[Tema],MATCH(B1753,tbl_requisitos_emb[ID_Req],0)),"")</f>
        <v>Segurança do produto cosmético</v>
      </c>
      <c r="D1753" s="33" t="str">
        <f>IFERROR(INDEX(tbl_recyclass[Segmento],MATCH(A1753,tbl_recyclass[ProductId],0)),"")</f>
        <v>Cosmética e higiene pessoal</v>
      </c>
      <c r="E1753" s="26" t="s">
        <v>901</v>
      </c>
      <c r="F1753" s="26" t="s">
        <v>1449</v>
      </c>
      <c r="G1753" s="26" t="s">
        <v>1033</v>
      </c>
      <c r="H1753" s="33" t="str">
        <f>IF(E1753="Não","Não aplicável",IFERROR(IF(B1753="EU-ENV-002",IF(INDEX(tbl_recyclass[Conforme_PPWR_2030],MATCH(A1753,tbl_recyclass[ProductId],0))="Sim","Conforme (autoavaliação)",IF(INDEX(tbl_recyclass[Conforme_PPWR_2030],MATCH(A1753,tbl_recyclass[ProductId],0))="Não","Não conforme em 2030","Isento até 2035")),IF(B1753="EU-ENV-003",IF(INDEX(tbl_recyclass[Conforme_Art7_2030],MATCH(A1753,tbl_recyclass[ProductId],0))="Sim","Conforme (meta 2030)",IF(INDEX(tbl_recyclass[Conforme_Art7_2030],MATCH(A1753,tbl_recyclass[ProductId],0))="Não","Lacuna face à meta 2030","Isento")),IF(B1753="EU-ENV-011",IF(INDEX(tbl_familias_ppwr[Metais_Pesados_Evidencia],MATCH(INDEX(tbl_recyclass[Familia_PPWR],MATCH(A1753,tbl_recyclass[ProductId],0)),tbl_familias_ppwr[ID_Familia],0))="Em falta","Lacuna","Conforme"),IF(B1753="EU-ENV-013",IF(INDEX(tbl_familias_ppwr[Declaracao_UE],MATCH(INDEX(tbl_recyclass[Familia_PPWR],MATCH(A1753,tbl_recyclass[ProductId],0)),tbl_familias_ppwr[ID_Familia],0))="Sim","Conforme","Lacuna"),G1753)))),G1753))</f>
        <v>Conforme</v>
      </c>
      <c r="I1753" s="33" t="str">
        <f t="shared" si="27"/>
        <v>Conforme</v>
      </c>
      <c r="J1753" s="26" t="s">
        <v>1221</v>
      </c>
    </row>
    <row r="1754" spans="1:10" ht="16.05" customHeight="1" x14ac:dyDescent="0.3">
      <c r="A1754" s="26" t="s">
        <v>797</v>
      </c>
      <c r="B1754" s="26" t="s">
        <v>1224</v>
      </c>
      <c r="C1754" s="33" t="str">
        <f>IFERROR(INDEX(tbl_requisitos_emb[Tema],MATCH(B1754,tbl_requisitos_emb[ID_Req],0)),"")</f>
        <v>Materiais e impurezas</v>
      </c>
      <c r="D1754" s="33" t="str">
        <f>IFERROR(INDEX(tbl_recyclass[Segmento],MATCH(A1754,tbl_recyclass[ProductId],0)),"")</f>
        <v>Cosmética e higiene pessoal</v>
      </c>
      <c r="E1754" s="26" t="s">
        <v>901</v>
      </c>
      <c r="F1754" s="26" t="s">
        <v>1449</v>
      </c>
      <c r="G1754" s="26" t="s">
        <v>978</v>
      </c>
      <c r="H1754" s="33" t="str">
        <f>IF(E1754="Não","Não aplicável",IFERROR(IF(B1754="EU-ENV-002",IF(INDEX(tbl_recyclass[Conforme_PPWR_2030],MATCH(A1754,tbl_recyclass[ProductId],0))="Sim","Conforme (autoavaliação)",IF(INDEX(tbl_recyclass[Conforme_PPWR_2030],MATCH(A1754,tbl_recyclass[ProductId],0))="Não","Não conforme em 2030","Isento até 2035")),IF(B1754="EU-ENV-003",IF(INDEX(tbl_recyclass[Conforme_Art7_2030],MATCH(A1754,tbl_recyclass[ProductId],0))="Sim","Conforme (meta 2030)",IF(INDEX(tbl_recyclass[Conforme_Art7_2030],MATCH(A1754,tbl_recyclass[ProductId],0))="Não","Lacuna face à meta 2030","Isento")),IF(B1754="EU-ENV-011",IF(INDEX(tbl_familias_ppwr[Metais_Pesados_Evidencia],MATCH(INDEX(tbl_recyclass[Familia_PPWR],MATCH(A1754,tbl_recyclass[ProductId],0)),tbl_familias_ppwr[ID_Familia],0))="Em falta","Lacuna","Conforme"),IF(B1754="EU-ENV-013",IF(INDEX(tbl_familias_ppwr[Declaracao_UE],MATCH(INDEX(tbl_recyclass[Familia_PPWR],MATCH(A1754,tbl_recyclass[ProductId],0)),tbl_familias_ppwr[ID_Familia],0))="Sim","Conforme","Lacuna"),G1754)))),G1754))</f>
        <v>Parcial</v>
      </c>
      <c r="I1754" s="33" t="str">
        <f t="shared" si="27"/>
        <v>Parcial</v>
      </c>
      <c r="J1754" s="26" t="s">
        <v>1228</v>
      </c>
    </row>
    <row r="1755" spans="1:10" ht="16.05" customHeight="1" x14ac:dyDescent="0.3">
      <c r="A1755" s="26" t="s">
        <v>797</v>
      </c>
      <c r="B1755" s="26" t="s">
        <v>1240</v>
      </c>
      <c r="C1755" s="33" t="str">
        <f>IFERROR(INDEX(tbl_requisitos_emb[Tema],MATCH(B1755,tbl_requisitos_emb[ID_Req],0)),"")</f>
        <v>Compatibilidade embalagem–produto</v>
      </c>
      <c r="D1755" s="33" t="str">
        <f>IFERROR(INDEX(tbl_recyclass[Segmento],MATCH(A1755,tbl_recyclass[ProductId],0)),"")</f>
        <v>Cosmética e higiene pessoal</v>
      </c>
      <c r="E1755" s="26" t="s">
        <v>901</v>
      </c>
      <c r="F1755" s="26" t="s">
        <v>1449</v>
      </c>
      <c r="G1755" s="26" t="s">
        <v>1033</v>
      </c>
      <c r="H1755" s="33" t="str">
        <f>IF(E1755="Não","Não aplicável",IFERROR(IF(B1755="EU-ENV-002",IF(INDEX(tbl_recyclass[Conforme_PPWR_2030],MATCH(A1755,tbl_recyclass[ProductId],0))="Sim","Conforme (autoavaliação)",IF(INDEX(tbl_recyclass[Conforme_PPWR_2030],MATCH(A1755,tbl_recyclass[ProductId],0))="Não","Não conforme em 2030","Isento até 2035")),IF(B1755="EU-ENV-003",IF(INDEX(tbl_recyclass[Conforme_Art7_2030],MATCH(A1755,tbl_recyclass[ProductId],0))="Sim","Conforme (meta 2030)",IF(INDEX(tbl_recyclass[Conforme_Art7_2030],MATCH(A1755,tbl_recyclass[ProductId],0))="Não","Lacuna face à meta 2030","Isento")),IF(B1755="EU-ENV-011",IF(INDEX(tbl_familias_ppwr[Metais_Pesados_Evidencia],MATCH(INDEX(tbl_recyclass[Familia_PPWR],MATCH(A1755,tbl_recyclass[ProductId],0)),tbl_familias_ppwr[ID_Familia],0))="Em falta","Lacuna","Conforme"),IF(B1755="EU-ENV-013",IF(INDEX(tbl_familias_ppwr[Declaracao_UE],MATCH(INDEX(tbl_recyclass[Familia_PPWR],MATCH(A1755,tbl_recyclass[ProductId],0)),tbl_familias_ppwr[ID_Familia],0))="Sim","Conforme","Lacuna"),G1755)))),G1755))</f>
        <v>Conforme</v>
      </c>
      <c r="I1755" s="33" t="str">
        <f t="shared" si="27"/>
        <v>Conforme</v>
      </c>
      <c r="J1755" s="26" t="s">
        <v>1244</v>
      </c>
    </row>
    <row r="1756" spans="1:10" ht="16.05" customHeight="1" x14ac:dyDescent="0.3">
      <c r="A1756" s="26" t="s">
        <v>797</v>
      </c>
      <c r="B1756" s="26" t="s">
        <v>1252</v>
      </c>
      <c r="C1756" s="33" t="str">
        <f>IFERROR(INDEX(tbl_requisitos_emb[Tema],MATCH(B1756,tbl_requisitos_emb[ID_Req],0)),"")</f>
        <v>Medicamentos de uso humano</v>
      </c>
      <c r="D1756" s="33" t="str">
        <f>IFERROR(INDEX(tbl_recyclass[Segmento],MATCH(A1756,tbl_recyclass[ProductId],0)),"")</f>
        <v>Cosmética e higiene pessoal</v>
      </c>
      <c r="E1756" s="26" t="s">
        <v>904</v>
      </c>
      <c r="F1756" s="26" t="s">
        <v>1451</v>
      </c>
      <c r="G1756" s="26" t="s">
        <v>1143</v>
      </c>
      <c r="H1756" s="33" t="str">
        <f>IF(E1756="Não","Não aplicável",IFERROR(IF(B1756="EU-ENV-002",IF(INDEX(tbl_recyclass[Conforme_PPWR_2030],MATCH(A1756,tbl_recyclass[ProductId],0))="Sim","Conforme (autoavaliação)",IF(INDEX(tbl_recyclass[Conforme_PPWR_2030],MATCH(A1756,tbl_recyclass[ProductId],0))="Não","Não conforme em 2030","Isento até 2035")),IF(B1756="EU-ENV-003",IF(INDEX(tbl_recyclass[Conforme_Art7_2030],MATCH(A1756,tbl_recyclass[ProductId],0))="Sim","Conforme (meta 2030)",IF(INDEX(tbl_recyclass[Conforme_Art7_2030],MATCH(A1756,tbl_recyclass[ProductId],0))="Não","Lacuna face à meta 2030","Isento")),IF(B1756="EU-ENV-011",IF(INDEX(tbl_familias_ppwr[Metais_Pesados_Evidencia],MATCH(INDEX(tbl_recyclass[Familia_PPWR],MATCH(A1756,tbl_recyclass[ProductId],0)),tbl_familias_ppwr[ID_Familia],0))="Em falta","Lacuna","Conforme"),IF(B1756="EU-ENV-013",IF(INDEX(tbl_familias_ppwr[Declaracao_UE],MATCH(INDEX(tbl_recyclass[Familia_PPWR],MATCH(A1756,tbl_recyclass[ProductId],0)),tbl_familias_ppwr[ID_Familia],0))="Sim","Conforme","Lacuna"),G1756)))),G1756))</f>
        <v>Não aplicável</v>
      </c>
      <c r="I1756" s="33" t="str">
        <f t="shared" si="27"/>
        <v>Não aplicável</v>
      </c>
      <c r="J1756" s="26"/>
    </row>
    <row r="1757" spans="1:10" ht="16.05" customHeight="1" x14ac:dyDescent="0.3">
      <c r="A1757" s="26" t="s">
        <v>797</v>
      </c>
      <c r="B1757" s="26" t="s">
        <v>1268</v>
      </c>
      <c r="C1757" s="33" t="str">
        <f>IFERROR(INDEX(tbl_requisitos_emb[Tema],MATCH(B1757,tbl_requisitos_emb[ID_Req],0)),"")</f>
        <v>Dispositivos de segurança</v>
      </c>
      <c r="D1757" s="33" t="str">
        <f>IFERROR(INDEX(tbl_recyclass[Segmento],MATCH(A1757,tbl_recyclass[ProductId],0)),"")</f>
        <v>Cosmética e higiene pessoal</v>
      </c>
      <c r="E1757" s="26" t="s">
        <v>904</v>
      </c>
      <c r="F1757" s="26" t="s">
        <v>1451</v>
      </c>
      <c r="G1757" s="26" t="s">
        <v>1143</v>
      </c>
      <c r="H1757" s="33" t="str">
        <f>IF(E1757="Não","Não aplicável",IFERROR(IF(B1757="EU-ENV-002",IF(INDEX(tbl_recyclass[Conforme_PPWR_2030],MATCH(A1757,tbl_recyclass[ProductId],0))="Sim","Conforme (autoavaliação)",IF(INDEX(tbl_recyclass[Conforme_PPWR_2030],MATCH(A1757,tbl_recyclass[ProductId],0))="Não","Não conforme em 2030","Isento até 2035")),IF(B1757="EU-ENV-003",IF(INDEX(tbl_recyclass[Conforme_Art7_2030],MATCH(A1757,tbl_recyclass[ProductId],0))="Sim","Conforme (meta 2030)",IF(INDEX(tbl_recyclass[Conforme_Art7_2030],MATCH(A1757,tbl_recyclass[ProductId],0))="Não","Lacuna face à meta 2030","Isento")),IF(B1757="EU-ENV-011",IF(INDEX(tbl_familias_ppwr[Metais_Pesados_Evidencia],MATCH(INDEX(tbl_recyclass[Familia_PPWR],MATCH(A1757,tbl_recyclass[ProductId],0)),tbl_familias_ppwr[ID_Familia],0))="Em falta","Lacuna","Conforme"),IF(B1757="EU-ENV-013",IF(INDEX(tbl_familias_ppwr[Declaracao_UE],MATCH(INDEX(tbl_recyclass[Familia_PPWR],MATCH(A1757,tbl_recyclass[ProductId],0)),tbl_familias_ppwr[ID_Familia],0))="Sim","Conforme","Lacuna"),G1757)))),G1757))</f>
        <v>Não aplicável</v>
      </c>
      <c r="I1757" s="33" t="str">
        <f t="shared" si="27"/>
        <v>Não aplicável</v>
      </c>
      <c r="J1757" s="26"/>
    </row>
    <row r="1758" spans="1:10" ht="16.05" customHeight="1" x14ac:dyDescent="0.3">
      <c r="A1758" s="26" t="s">
        <v>797</v>
      </c>
      <c r="B1758" s="26" t="s">
        <v>1285</v>
      </c>
      <c r="C1758" s="33" t="str">
        <f>IFERROR(INDEX(tbl_requisitos_emb[Tema],MATCH(B1758,tbl_requisitos_emb[ID_Req],0)),"")</f>
        <v>Materiais plásticos de acondicionamento primário</v>
      </c>
      <c r="D1758" s="33" t="str">
        <f>IFERROR(INDEX(tbl_recyclass[Segmento],MATCH(A1758,tbl_recyclass[ProductId],0)),"")</f>
        <v>Cosmética e higiene pessoal</v>
      </c>
      <c r="E1758" s="26" t="s">
        <v>904</v>
      </c>
      <c r="F1758" s="26" t="s">
        <v>1451</v>
      </c>
      <c r="G1758" s="26" t="s">
        <v>1143</v>
      </c>
      <c r="H1758" s="33" t="str">
        <f>IF(E1758="Não","Não aplicável",IFERROR(IF(B1758="EU-ENV-002",IF(INDEX(tbl_recyclass[Conforme_PPWR_2030],MATCH(A1758,tbl_recyclass[ProductId],0))="Sim","Conforme (autoavaliação)",IF(INDEX(tbl_recyclass[Conforme_PPWR_2030],MATCH(A1758,tbl_recyclass[ProductId],0))="Não","Não conforme em 2030","Isento até 2035")),IF(B1758="EU-ENV-003",IF(INDEX(tbl_recyclass[Conforme_Art7_2030],MATCH(A1758,tbl_recyclass[ProductId],0))="Sim","Conforme (meta 2030)",IF(INDEX(tbl_recyclass[Conforme_Art7_2030],MATCH(A1758,tbl_recyclass[ProductId],0))="Não","Lacuna face à meta 2030","Isento")),IF(B1758="EU-ENV-011",IF(INDEX(tbl_familias_ppwr[Metais_Pesados_Evidencia],MATCH(INDEX(tbl_recyclass[Familia_PPWR],MATCH(A1758,tbl_recyclass[ProductId],0)),tbl_familias_ppwr[ID_Familia],0))="Em falta","Lacuna","Conforme"),IF(B1758="EU-ENV-013",IF(INDEX(tbl_familias_ppwr[Declaracao_UE],MATCH(INDEX(tbl_recyclass[Familia_PPWR],MATCH(A1758,tbl_recyclass[ProductId],0)),tbl_familias_ppwr[ID_Familia],0))="Sim","Conforme","Lacuna"),G1758)))),G1758))</f>
        <v>Não aplicável</v>
      </c>
      <c r="I1758" s="33" t="str">
        <f t="shared" si="27"/>
        <v>Não aplicável</v>
      </c>
      <c r="J1758" s="26"/>
    </row>
    <row r="1759" spans="1:10" ht="16.05" customHeight="1" x14ac:dyDescent="0.3">
      <c r="A1759" s="26" t="s">
        <v>797</v>
      </c>
      <c r="B1759" s="26" t="s">
        <v>1293</v>
      </c>
      <c r="C1759" s="33" t="str">
        <f>IFERROR(INDEX(tbl_requisitos_emb[Tema],MATCH(B1759,tbl_requisitos_emb[ID_Req],0)),"")</f>
        <v>Isenções PPWR</v>
      </c>
      <c r="D1759" s="33" t="str">
        <f>IFERROR(INDEX(tbl_recyclass[Segmento],MATCH(A1759,tbl_recyclass[ProductId],0)),"")</f>
        <v>Cosmética e higiene pessoal</v>
      </c>
      <c r="E1759" s="26" t="s">
        <v>904</v>
      </c>
      <c r="F1759" s="26" t="s">
        <v>1451</v>
      </c>
      <c r="G1759" s="26" t="s">
        <v>1143</v>
      </c>
      <c r="H1759" s="33" t="str">
        <f>IF(E1759="Não","Não aplicável",IFERROR(IF(B1759="EU-ENV-002",IF(INDEX(tbl_recyclass[Conforme_PPWR_2030],MATCH(A1759,tbl_recyclass[ProductId],0))="Sim","Conforme (autoavaliação)",IF(INDEX(tbl_recyclass[Conforme_PPWR_2030],MATCH(A1759,tbl_recyclass[ProductId],0))="Não","Não conforme em 2030","Isento até 2035")),IF(B1759="EU-ENV-003",IF(INDEX(tbl_recyclass[Conforme_Art7_2030],MATCH(A1759,tbl_recyclass[ProductId],0))="Sim","Conforme (meta 2030)",IF(INDEX(tbl_recyclass[Conforme_Art7_2030],MATCH(A1759,tbl_recyclass[ProductId],0))="Não","Lacuna face à meta 2030","Isento")),IF(B1759="EU-ENV-011",IF(INDEX(tbl_familias_ppwr[Metais_Pesados_Evidencia],MATCH(INDEX(tbl_recyclass[Familia_PPWR],MATCH(A1759,tbl_recyclass[ProductId],0)),tbl_familias_ppwr[ID_Familia],0))="Em falta","Lacuna","Conforme"),IF(B1759="EU-ENV-013",IF(INDEX(tbl_familias_ppwr[Declaracao_UE],MATCH(INDEX(tbl_recyclass[Familia_PPWR],MATCH(A1759,tbl_recyclass[ProductId],0)),tbl_familias_ppwr[ID_Familia],0))="Sim","Conforme","Lacuna"),G1759)))),G1759))</f>
        <v>Não aplicável</v>
      </c>
      <c r="I1759" s="33" t="str">
        <f t="shared" si="27"/>
        <v>Não aplicável</v>
      </c>
      <c r="J1759" s="26"/>
    </row>
    <row r="1760" spans="1:10" ht="16.05" customHeight="1" x14ac:dyDescent="0.3">
      <c r="A1760" s="26" t="s">
        <v>797</v>
      </c>
      <c r="B1760" s="26" t="s">
        <v>1357</v>
      </c>
      <c r="C1760" s="33" t="str">
        <f>IFERROR(INDEX(tbl_requisitos_emb[Tema],MATCH(B1760,tbl_requisitos_emb[ID_Req],0)),"")</f>
        <v>Identificação de plásticos</v>
      </c>
      <c r="D1760" s="33" t="str">
        <f>IFERROR(INDEX(tbl_recyclass[Segmento],MATCH(A1760,tbl_recyclass[ProductId],0)),"")</f>
        <v>Cosmética e higiene pessoal</v>
      </c>
      <c r="E1760" s="26" t="s">
        <v>901</v>
      </c>
      <c r="F1760" s="26" t="s">
        <v>1449</v>
      </c>
      <c r="G1760" s="26" t="s">
        <v>978</v>
      </c>
      <c r="H1760" s="33" t="str">
        <f>IF(E1760="Não","Não aplicável",IFERROR(IF(B1760="EU-ENV-002",IF(INDEX(tbl_recyclass[Conforme_PPWR_2030],MATCH(A1760,tbl_recyclass[ProductId],0))="Sim","Conforme (autoavaliação)",IF(INDEX(tbl_recyclass[Conforme_PPWR_2030],MATCH(A1760,tbl_recyclass[ProductId],0))="Não","Não conforme em 2030","Isento até 2035")),IF(B1760="EU-ENV-003",IF(INDEX(tbl_recyclass[Conforme_Art7_2030],MATCH(A1760,tbl_recyclass[ProductId],0))="Sim","Conforme (meta 2030)",IF(INDEX(tbl_recyclass[Conforme_Art7_2030],MATCH(A1760,tbl_recyclass[ProductId],0))="Não","Lacuna face à meta 2030","Isento")),IF(B1760="EU-ENV-011",IF(INDEX(tbl_familias_ppwr[Metais_Pesados_Evidencia],MATCH(INDEX(tbl_recyclass[Familia_PPWR],MATCH(A1760,tbl_recyclass[ProductId],0)),tbl_familias_ppwr[ID_Familia],0))="Em falta","Lacuna","Conforme"),IF(B1760="EU-ENV-013",IF(INDEX(tbl_familias_ppwr[Declaracao_UE],MATCH(INDEX(tbl_recyclass[Familia_PPWR],MATCH(A1760,tbl_recyclass[ProductId],0)),tbl_familias_ppwr[ID_Familia],0))="Sim","Conforme","Lacuna"),G1760)))),G1760))</f>
        <v>Parcial</v>
      </c>
      <c r="I1760" s="33" t="str">
        <f t="shared" si="27"/>
        <v>Parcial</v>
      </c>
      <c r="J1760" s="26" t="s">
        <v>1362</v>
      </c>
    </row>
    <row r="1761" spans="1:10" ht="16.05" customHeight="1" x14ac:dyDescent="0.3">
      <c r="A1761" s="26" t="s">
        <v>797</v>
      </c>
      <c r="B1761" s="26" t="s">
        <v>1385</v>
      </c>
      <c r="C1761" s="33" t="str">
        <f>IFERROR(INDEX(tbl_requisitos_emb[Tema],MATCH(B1761,tbl_requisitos_emb[ID_Req],0)),"")</f>
        <v>Reciclabilidade (voluntária)</v>
      </c>
      <c r="D1761" s="33" t="str">
        <f>IFERROR(INDEX(tbl_recyclass[Segmento],MATCH(A1761,tbl_recyclass[ProductId],0)),"")</f>
        <v>Cosmética e higiene pessoal</v>
      </c>
      <c r="E1761" s="26" t="s">
        <v>901</v>
      </c>
      <c r="F1761" s="26" t="s">
        <v>1449</v>
      </c>
      <c r="G1761" s="26" t="s">
        <v>978</v>
      </c>
      <c r="H1761" s="33" t="str">
        <f>IF(E1761="Não","Não aplicável",IFERROR(IF(B1761="EU-ENV-002",IF(INDEX(tbl_recyclass[Conforme_PPWR_2030],MATCH(A1761,tbl_recyclass[ProductId],0))="Sim","Conforme (autoavaliação)",IF(INDEX(tbl_recyclass[Conforme_PPWR_2030],MATCH(A1761,tbl_recyclass[ProductId],0))="Não","Não conforme em 2030","Isento até 2035")),IF(B1761="EU-ENV-003",IF(INDEX(tbl_recyclass[Conforme_Art7_2030],MATCH(A1761,tbl_recyclass[ProductId],0))="Sim","Conforme (meta 2030)",IF(INDEX(tbl_recyclass[Conforme_Art7_2030],MATCH(A1761,tbl_recyclass[ProductId],0))="Não","Lacuna face à meta 2030","Isento")),IF(B1761="EU-ENV-011",IF(INDEX(tbl_familias_ppwr[Metais_Pesados_Evidencia],MATCH(INDEX(tbl_recyclass[Familia_PPWR],MATCH(A1761,tbl_recyclass[ProductId],0)),tbl_familias_ppwr[ID_Familia],0))="Em falta","Lacuna","Conforme"),IF(B1761="EU-ENV-013",IF(INDEX(tbl_familias_ppwr[Declaracao_UE],MATCH(INDEX(tbl_recyclass[Familia_PPWR],MATCH(A1761,tbl_recyclass[ProductId],0)),tbl_familias_ppwr[ID_Familia],0))="Sim","Conforme","Lacuna"),G1761)))),G1761))</f>
        <v>Parcial</v>
      </c>
      <c r="I1761" s="33" t="str">
        <f t="shared" si="27"/>
        <v>Parcial</v>
      </c>
      <c r="J1761" s="26" t="s">
        <v>1389</v>
      </c>
    </row>
    <row r="1762" spans="1:10" ht="16.05" customHeight="1" x14ac:dyDescent="0.3">
      <c r="A1762" s="26" t="s">
        <v>799</v>
      </c>
      <c r="B1762" s="26" t="s">
        <v>984</v>
      </c>
      <c r="C1762" s="33" t="str">
        <f>IFERROR(INDEX(tbl_requisitos_emb[Tema],MATCH(B1762,tbl_requisitos_emb[ID_Req],0)),"")</f>
        <v>Conceção para reciclagem</v>
      </c>
      <c r="D1762" s="33" t="str">
        <f>IFERROR(INDEX(tbl_recyclass[Segmento],MATCH(A1762,tbl_recyclass[ProductId],0)),"")</f>
        <v>Cosmética e higiene pessoal</v>
      </c>
      <c r="E1762" s="26" t="s">
        <v>901</v>
      </c>
      <c r="F1762" s="26" t="s">
        <v>1449</v>
      </c>
      <c r="G1762" s="26" t="s">
        <v>978</v>
      </c>
      <c r="H1762" s="33" t="str">
        <f>IF(E1762="Não","Não aplicável",IFERROR(IF(B1762="EU-ENV-002",IF(INDEX(tbl_recyclass[Conforme_PPWR_2030],MATCH(A1762,tbl_recyclass[ProductId],0))="Sim","Conforme (autoavaliação)",IF(INDEX(tbl_recyclass[Conforme_PPWR_2030],MATCH(A1762,tbl_recyclass[ProductId],0))="Não","Não conforme em 2030","Isento até 2035")),IF(B1762="EU-ENV-003",IF(INDEX(tbl_recyclass[Conforme_Art7_2030],MATCH(A1762,tbl_recyclass[ProductId],0))="Sim","Conforme (meta 2030)",IF(INDEX(tbl_recyclass[Conforme_Art7_2030],MATCH(A1762,tbl_recyclass[ProductId],0))="Não","Lacuna face à meta 2030","Isento")),IF(B1762="EU-ENV-011",IF(INDEX(tbl_familias_ppwr[Metais_Pesados_Evidencia],MATCH(INDEX(tbl_recyclass[Familia_PPWR],MATCH(A1762,tbl_recyclass[ProductId],0)),tbl_familias_ppwr[ID_Familia],0))="Em falta","Lacuna","Conforme"),IF(B1762="EU-ENV-013",IF(INDEX(tbl_familias_ppwr[Declaracao_UE],MATCH(INDEX(tbl_recyclass[Familia_PPWR],MATCH(A1762,tbl_recyclass[ProductId],0)),tbl_familias_ppwr[ID_Familia],0))="Sim","Conforme","Lacuna"),G1762)))),G1762))</f>
        <v>Conforme (autoavaliação)</v>
      </c>
      <c r="I1762" s="33" t="str">
        <f t="shared" si="27"/>
        <v>Conforme</v>
      </c>
      <c r="J1762" s="26" t="s">
        <v>991</v>
      </c>
    </row>
    <row r="1763" spans="1:10" ht="16.05" customHeight="1" x14ac:dyDescent="0.3">
      <c r="A1763" s="26" t="s">
        <v>799</v>
      </c>
      <c r="B1763" s="26" t="s">
        <v>997</v>
      </c>
      <c r="C1763" s="33" t="str">
        <f>IFERROR(INDEX(tbl_requisitos_emb[Tema],MATCH(B1763,tbl_requisitos_emb[ID_Req],0)),"")</f>
        <v>Conteúdo reciclado</v>
      </c>
      <c r="D1763" s="33" t="str">
        <f>IFERROR(INDEX(tbl_recyclass[Segmento],MATCH(A1763,tbl_recyclass[ProductId],0)),"")</f>
        <v>Cosmética e higiene pessoal</v>
      </c>
      <c r="E1763" s="26" t="s">
        <v>901</v>
      </c>
      <c r="F1763" s="26" t="s">
        <v>1449</v>
      </c>
      <c r="G1763" s="26" t="s">
        <v>978</v>
      </c>
      <c r="H1763" s="33" t="str">
        <f>IF(E1763="Não","Não aplicável",IFERROR(IF(B1763="EU-ENV-002",IF(INDEX(tbl_recyclass[Conforme_PPWR_2030],MATCH(A1763,tbl_recyclass[ProductId],0))="Sim","Conforme (autoavaliação)",IF(INDEX(tbl_recyclass[Conforme_PPWR_2030],MATCH(A1763,tbl_recyclass[ProductId],0))="Não","Não conforme em 2030","Isento até 2035")),IF(B1763="EU-ENV-003",IF(INDEX(tbl_recyclass[Conforme_Art7_2030],MATCH(A1763,tbl_recyclass[ProductId],0))="Sim","Conforme (meta 2030)",IF(INDEX(tbl_recyclass[Conforme_Art7_2030],MATCH(A1763,tbl_recyclass[ProductId],0))="Não","Lacuna face à meta 2030","Isento")),IF(B1763="EU-ENV-011",IF(INDEX(tbl_familias_ppwr[Metais_Pesados_Evidencia],MATCH(INDEX(tbl_recyclass[Familia_PPWR],MATCH(A1763,tbl_recyclass[ProductId],0)),tbl_familias_ppwr[ID_Familia],0))="Em falta","Lacuna","Conforme"),IF(B1763="EU-ENV-013",IF(INDEX(tbl_familias_ppwr[Declaracao_UE],MATCH(INDEX(tbl_recyclass[Familia_PPWR],MATCH(A1763,tbl_recyclass[ProductId],0)),tbl_familias_ppwr[ID_Familia],0))="Sim","Conforme","Lacuna"),G1763)))),G1763))</f>
        <v>Lacuna face à meta 2030</v>
      </c>
      <c r="I1763" s="33" t="str">
        <f t="shared" si="27"/>
        <v>Lacuna</v>
      </c>
      <c r="J1763" s="26" t="s">
        <v>1001</v>
      </c>
    </row>
    <row r="1764" spans="1:10" ht="16.05" customHeight="1" x14ac:dyDescent="0.3">
      <c r="A1764" s="26" t="s">
        <v>799</v>
      </c>
      <c r="B1764" s="26" t="s">
        <v>1007</v>
      </c>
      <c r="C1764" s="33" t="str">
        <f>IFERROR(INDEX(tbl_requisitos_emb[Tema],MATCH(B1764,tbl_requisitos_emb[ID_Req],0)),"")</f>
        <v>Minimização</v>
      </c>
      <c r="D1764" s="33" t="str">
        <f>IFERROR(INDEX(tbl_recyclass[Segmento],MATCH(A1764,tbl_recyclass[ProductId],0)),"")</f>
        <v>Cosmética e higiene pessoal</v>
      </c>
      <c r="E1764" s="26" t="s">
        <v>901</v>
      </c>
      <c r="F1764" s="26" t="s">
        <v>1449</v>
      </c>
      <c r="G1764" s="26" t="s">
        <v>978</v>
      </c>
      <c r="H1764" s="33" t="str">
        <f>IF(E1764="Não","Não aplicável",IFERROR(IF(B1764="EU-ENV-002",IF(INDEX(tbl_recyclass[Conforme_PPWR_2030],MATCH(A1764,tbl_recyclass[ProductId],0))="Sim","Conforme (autoavaliação)",IF(INDEX(tbl_recyclass[Conforme_PPWR_2030],MATCH(A1764,tbl_recyclass[ProductId],0))="Não","Não conforme em 2030","Isento até 2035")),IF(B1764="EU-ENV-003",IF(INDEX(tbl_recyclass[Conforme_Art7_2030],MATCH(A1764,tbl_recyclass[ProductId],0))="Sim","Conforme (meta 2030)",IF(INDEX(tbl_recyclass[Conforme_Art7_2030],MATCH(A1764,tbl_recyclass[ProductId],0))="Não","Lacuna face à meta 2030","Isento")),IF(B1764="EU-ENV-011",IF(INDEX(tbl_familias_ppwr[Metais_Pesados_Evidencia],MATCH(INDEX(tbl_recyclass[Familia_PPWR],MATCH(A1764,tbl_recyclass[ProductId],0)),tbl_familias_ppwr[ID_Familia],0))="Em falta","Lacuna","Conforme"),IF(B1764="EU-ENV-013",IF(INDEX(tbl_familias_ppwr[Declaracao_UE],MATCH(INDEX(tbl_recyclass[Familia_PPWR],MATCH(A1764,tbl_recyclass[ProductId],0)),tbl_familias_ppwr[ID_Familia],0))="Sim","Conforme","Lacuna"),G1764)))),G1764))</f>
        <v>Parcial</v>
      </c>
      <c r="I1764" s="33" t="str">
        <f t="shared" si="27"/>
        <v>Parcial</v>
      </c>
      <c r="J1764" s="26" t="s">
        <v>1012</v>
      </c>
    </row>
    <row r="1765" spans="1:10" ht="16.05" customHeight="1" x14ac:dyDescent="0.3">
      <c r="A1765" s="26" t="s">
        <v>799</v>
      </c>
      <c r="B1765" s="26" t="s">
        <v>1016</v>
      </c>
      <c r="C1765" s="33" t="str">
        <f>IFERROR(INDEX(tbl_requisitos_emb[Tema],MATCH(B1765,tbl_requisitos_emb[ID_Req],0)),"")</f>
        <v>Rotulagem</v>
      </c>
      <c r="D1765" s="33" t="str">
        <f>IFERROR(INDEX(tbl_recyclass[Segmento],MATCH(A1765,tbl_recyclass[ProductId],0)),"")</f>
        <v>Cosmética e higiene pessoal</v>
      </c>
      <c r="E1765" s="26" t="s">
        <v>901</v>
      </c>
      <c r="F1765" s="26" t="s">
        <v>1449</v>
      </c>
      <c r="G1765" s="26" t="s">
        <v>990</v>
      </c>
      <c r="H1765" s="33" t="str">
        <f>IF(E1765="Não","Não aplicável",IFERROR(IF(B1765="EU-ENV-002",IF(INDEX(tbl_recyclass[Conforme_PPWR_2030],MATCH(A1765,tbl_recyclass[ProductId],0))="Sim","Conforme (autoavaliação)",IF(INDEX(tbl_recyclass[Conforme_PPWR_2030],MATCH(A1765,tbl_recyclass[ProductId],0))="Não","Não conforme em 2030","Isento até 2035")),IF(B1765="EU-ENV-003",IF(INDEX(tbl_recyclass[Conforme_Art7_2030],MATCH(A1765,tbl_recyclass[ProductId],0))="Sim","Conforme (meta 2030)",IF(INDEX(tbl_recyclass[Conforme_Art7_2030],MATCH(A1765,tbl_recyclass[ProductId],0))="Não","Lacuna face à meta 2030","Isento")),IF(B1765="EU-ENV-011",IF(INDEX(tbl_familias_ppwr[Metais_Pesados_Evidencia],MATCH(INDEX(tbl_recyclass[Familia_PPWR],MATCH(A1765,tbl_recyclass[ProductId],0)),tbl_familias_ppwr[ID_Familia],0))="Em falta","Lacuna","Conforme"),IF(B1765="EU-ENV-013",IF(INDEX(tbl_familias_ppwr[Declaracao_UE],MATCH(INDEX(tbl_recyclass[Familia_PPWR],MATCH(A1765,tbl_recyclass[ProductId],0)),tbl_familias_ppwr[ID_Familia],0))="Sim","Conforme","Lacuna"),G1765)))),G1765))</f>
        <v>Futuro</v>
      </c>
      <c r="I1765" s="33" t="str">
        <f t="shared" si="27"/>
        <v>Futuro</v>
      </c>
      <c r="J1765" s="26" t="s">
        <v>1021</v>
      </c>
    </row>
    <row r="1766" spans="1:10" ht="16.05" customHeight="1" x14ac:dyDescent="0.3">
      <c r="A1766" s="26" t="s">
        <v>799</v>
      </c>
      <c r="B1766" s="26" t="s">
        <v>1038</v>
      </c>
      <c r="C1766" s="33" t="str">
        <f>IFERROR(INDEX(tbl_requisitos_emb[Tema],MATCH(B1766,tbl_requisitos_emb[ID_Req],0)),"")</f>
        <v>Plásticos de utilização única</v>
      </c>
      <c r="D1766" s="33" t="str">
        <f>IFERROR(INDEX(tbl_recyclass[Segmento],MATCH(A1766,tbl_recyclass[ProductId],0)),"")</f>
        <v>Cosmética e higiene pessoal</v>
      </c>
      <c r="E1766" s="26" t="s">
        <v>904</v>
      </c>
      <c r="F1766" s="26" t="s">
        <v>1450</v>
      </c>
      <c r="G1766" s="26" t="s">
        <v>1143</v>
      </c>
      <c r="H1766" s="33" t="str">
        <f>IF(E1766="Não","Não aplicável",IFERROR(IF(B1766="EU-ENV-002",IF(INDEX(tbl_recyclass[Conforme_PPWR_2030],MATCH(A1766,tbl_recyclass[ProductId],0))="Sim","Conforme (autoavaliação)",IF(INDEX(tbl_recyclass[Conforme_PPWR_2030],MATCH(A1766,tbl_recyclass[ProductId],0))="Não","Não conforme em 2030","Isento até 2035")),IF(B1766="EU-ENV-003",IF(INDEX(tbl_recyclass[Conforme_Art7_2030],MATCH(A1766,tbl_recyclass[ProductId],0))="Sim","Conforme (meta 2030)",IF(INDEX(tbl_recyclass[Conforme_Art7_2030],MATCH(A1766,tbl_recyclass[ProductId],0))="Não","Lacuna face à meta 2030","Isento")),IF(B1766="EU-ENV-011",IF(INDEX(tbl_familias_ppwr[Metais_Pesados_Evidencia],MATCH(INDEX(tbl_recyclass[Familia_PPWR],MATCH(A1766,tbl_recyclass[ProductId],0)),tbl_familias_ppwr[ID_Familia],0))="Em falta","Lacuna","Conforme"),IF(B1766="EU-ENV-013",IF(INDEX(tbl_familias_ppwr[Declaracao_UE],MATCH(INDEX(tbl_recyclass[Familia_PPWR],MATCH(A1766,tbl_recyclass[ProductId],0)),tbl_familias_ppwr[ID_Familia],0))="Sim","Conforme","Lacuna"),G1766)))),G1766))</f>
        <v>Não aplicável</v>
      </c>
      <c r="I1766" s="33" t="str">
        <f t="shared" si="27"/>
        <v>Não aplicável</v>
      </c>
      <c r="J1766" s="26"/>
    </row>
    <row r="1767" spans="1:10" ht="16.05" customHeight="1" x14ac:dyDescent="0.3">
      <c r="A1767" s="26" t="s">
        <v>799</v>
      </c>
      <c r="B1767" s="26" t="s">
        <v>1078</v>
      </c>
      <c r="C1767" s="33" t="str">
        <f>IFERROR(INDEX(tbl_requisitos_emb[Tema],MATCH(B1767,tbl_requisitos_emb[ID_Req],0)),"")</f>
        <v>Reciclado à escala</v>
      </c>
      <c r="D1767" s="33" t="str">
        <f>IFERROR(INDEX(tbl_recyclass[Segmento],MATCH(A1767,tbl_recyclass[ProductId],0)),"")</f>
        <v>Cosmética e higiene pessoal</v>
      </c>
      <c r="E1767" s="26" t="s">
        <v>901</v>
      </c>
      <c r="F1767" s="26" t="s">
        <v>1449</v>
      </c>
      <c r="G1767" s="26" t="s">
        <v>990</v>
      </c>
      <c r="H1767" s="33" t="str">
        <f>IF(E1767="Não","Não aplicável",IFERROR(IF(B1767="EU-ENV-002",IF(INDEX(tbl_recyclass[Conforme_PPWR_2030],MATCH(A1767,tbl_recyclass[ProductId],0))="Sim","Conforme (autoavaliação)",IF(INDEX(tbl_recyclass[Conforme_PPWR_2030],MATCH(A1767,tbl_recyclass[ProductId],0))="Não","Não conforme em 2030","Isento até 2035")),IF(B1767="EU-ENV-003",IF(INDEX(tbl_recyclass[Conforme_Art7_2030],MATCH(A1767,tbl_recyclass[ProductId],0))="Sim","Conforme (meta 2030)",IF(INDEX(tbl_recyclass[Conforme_Art7_2030],MATCH(A1767,tbl_recyclass[ProductId],0))="Não","Lacuna face à meta 2030","Isento")),IF(B1767="EU-ENV-011",IF(INDEX(tbl_familias_ppwr[Metais_Pesados_Evidencia],MATCH(INDEX(tbl_recyclass[Familia_PPWR],MATCH(A1767,tbl_recyclass[ProductId],0)),tbl_familias_ppwr[ID_Familia],0))="Em falta","Lacuna","Conforme"),IF(B1767="EU-ENV-013",IF(INDEX(tbl_familias_ppwr[Declaracao_UE],MATCH(INDEX(tbl_recyclass[Familia_PPWR],MATCH(A1767,tbl_recyclass[ProductId],0)),tbl_familias_ppwr[ID_Familia],0))="Sim","Conforme","Lacuna"),G1767)))),G1767))</f>
        <v>Futuro</v>
      </c>
      <c r="I1767" s="33" t="str">
        <f t="shared" si="27"/>
        <v>Futuro</v>
      </c>
      <c r="J1767" s="26" t="s">
        <v>1082</v>
      </c>
    </row>
    <row r="1768" spans="1:10" ht="16.05" customHeight="1" x14ac:dyDescent="0.3">
      <c r="A1768" s="26" t="s">
        <v>799</v>
      </c>
      <c r="B1768" s="26" t="s">
        <v>1086</v>
      </c>
      <c r="C1768" s="33" t="str">
        <f>IFERROR(INDEX(tbl_requisitos_emb[Tema],MATCH(B1768,tbl_requisitos_emb[ID_Req],0)),"")</f>
        <v>Metais pesados</v>
      </c>
      <c r="D1768" s="33" t="str">
        <f>IFERROR(INDEX(tbl_recyclass[Segmento],MATCH(A1768,tbl_recyclass[ProductId],0)),"")</f>
        <v>Cosmética e higiene pessoal</v>
      </c>
      <c r="E1768" s="26" t="s">
        <v>901</v>
      </c>
      <c r="F1768" s="26" t="s">
        <v>1449</v>
      </c>
      <c r="G1768" s="26" t="s">
        <v>978</v>
      </c>
      <c r="H1768" s="33" t="str">
        <f>IF(E1768="Não","Não aplicável",IFERROR(IF(B1768="EU-ENV-002",IF(INDEX(tbl_recyclass[Conforme_PPWR_2030],MATCH(A1768,tbl_recyclass[ProductId],0))="Sim","Conforme (autoavaliação)",IF(INDEX(tbl_recyclass[Conforme_PPWR_2030],MATCH(A1768,tbl_recyclass[ProductId],0))="Não","Não conforme em 2030","Isento até 2035")),IF(B1768="EU-ENV-003",IF(INDEX(tbl_recyclass[Conforme_Art7_2030],MATCH(A1768,tbl_recyclass[ProductId],0))="Sim","Conforme (meta 2030)",IF(INDEX(tbl_recyclass[Conforme_Art7_2030],MATCH(A1768,tbl_recyclass[ProductId],0))="Não","Lacuna face à meta 2030","Isento")),IF(B1768="EU-ENV-011",IF(INDEX(tbl_familias_ppwr[Metais_Pesados_Evidencia],MATCH(INDEX(tbl_recyclass[Familia_PPWR],MATCH(A1768,tbl_recyclass[ProductId],0)),tbl_familias_ppwr[ID_Familia],0))="Em falta","Lacuna","Conforme"),IF(B1768="EU-ENV-013",IF(INDEX(tbl_familias_ppwr[Declaracao_UE],MATCH(INDEX(tbl_recyclass[Familia_PPWR],MATCH(A1768,tbl_recyclass[ProductId],0)),tbl_familias_ppwr[ID_Familia],0))="Sim","Conforme","Lacuna"),G1768)))),G1768))</f>
        <v>Conforme</v>
      </c>
      <c r="I1768" s="33" t="str">
        <f t="shared" si="27"/>
        <v>Conforme</v>
      </c>
      <c r="J1768" s="26" t="s">
        <v>1090</v>
      </c>
    </row>
    <row r="1769" spans="1:10" ht="16.05" customHeight="1" x14ac:dyDescent="0.3">
      <c r="A1769" s="26" t="s">
        <v>799</v>
      </c>
      <c r="B1769" s="26" t="s">
        <v>1094</v>
      </c>
      <c r="C1769" s="33" t="str">
        <f>IFERROR(INDEX(tbl_requisitos_emb[Tema],MATCH(B1769,tbl_requisitos_emb[ID_Req],0)),"")</f>
        <v>PFAS</v>
      </c>
      <c r="D1769" s="33" t="str">
        <f>IFERROR(INDEX(tbl_recyclass[Segmento],MATCH(A1769,tbl_recyclass[ProductId],0)),"")</f>
        <v>Cosmética e higiene pessoal</v>
      </c>
      <c r="E1769" s="26" t="s">
        <v>904</v>
      </c>
      <c r="F1769" s="26" t="s">
        <v>1450</v>
      </c>
      <c r="G1769" s="26" t="s">
        <v>1143</v>
      </c>
      <c r="H1769" s="33" t="str">
        <f>IF(E1769="Não","Não aplicável",IFERROR(IF(B1769="EU-ENV-002",IF(INDEX(tbl_recyclass[Conforme_PPWR_2030],MATCH(A1769,tbl_recyclass[ProductId],0))="Sim","Conforme (autoavaliação)",IF(INDEX(tbl_recyclass[Conforme_PPWR_2030],MATCH(A1769,tbl_recyclass[ProductId],0))="Não","Não conforme em 2030","Isento até 2035")),IF(B1769="EU-ENV-003",IF(INDEX(tbl_recyclass[Conforme_Art7_2030],MATCH(A1769,tbl_recyclass[ProductId],0))="Sim","Conforme (meta 2030)",IF(INDEX(tbl_recyclass[Conforme_Art7_2030],MATCH(A1769,tbl_recyclass[ProductId],0))="Não","Lacuna face à meta 2030","Isento")),IF(B1769="EU-ENV-011",IF(INDEX(tbl_familias_ppwr[Metais_Pesados_Evidencia],MATCH(INDEX(tbl_recyclass[Familia_PPWR],MATCH(A1769,tbl_recyclass[ProductId],0)),tbl_familias_ppwr[ID_Familia],0))="Em falta","Lacuna","Conforme"),IF(B1769="EU-ENV-013",IF(INDEX(tbl_familias_ppwr[Declaracao_UE],MATCH(INDEX(tbl_recyclass[Familia_PPWR],MATCH(A1769,tbl_recyclass[ProductId],0)),tbl_familias_ppwr[ID_Familia],0))="Sim","Conforme","Lacuna"),G1769)))),G1769))</f>
        <v>Não aplicável</v>
      </c>
      <c r="I1769" s="33" t="str">
        <f t="shared" si="27"/>
        <v>Não aplicável</v>
      </c>
      <c r="J1769" s="26"/>
    </row>
    <row r="1770" spans="1:10" ht="16.05" customHeight="1" x14ac:dyDescent="0.3">
      <c r="A1770" s="26" t="s">
        <v>799</v>
      </c>
      <c r="B1770" s="26" t="s">
        <v>1102</v>
      </c>
      <c r="C1770" s="33" t="str">
        <f>IFERROR(INDEX(tbl_requisitos_emb[Tema],MATCH(B1770,tbl_requisitos_emb[ID_Req],0)),"")</f>
        <v>Documentação técnica e declaração UE</v>
      </c>
      <c r="D1770" s="33" t="str">
        <f>IFERROR(INDEX(tbl_recyclass[Segmento],MATCH(A1770,tbl_recyclass[ProductId],0)),"")</f>
        <v>Cosmética e higiene pessoal</v>
      </c>
      <c r="E1770" s="26" t="s">
        <v>901</v>
      </c>
      <c r="F1770" s="26" t="s">
        <v>1449</v>
      </c>
      <c r="G1770" s="26" t="s">
        <v>978</v>
      </c>
      <c r="H1770" s="33" t="str">
        <f>IF(E1770="Não","Não aplicável",IFERROR(IF(B1770="EU-ENV-002",IF(INDEX(tbl_recyclass[Conforme_PPWR_2030],MATCH(A1770,tbl_recyclass[ProductId],0))="Sim","Conforme (autoavaliação)",IF(INDEX(tbl_recyclass[Conforme_PPWR_2030],MATCH(A1770,tbl_recyclass[ProductId],0))="Não","Não conforme em 2030","Isento até 2035")),IF(B1770="EU-ENV-003",IF(INDEX(tbl_recyclass[Conforme_Art7_2030],MATCH(A1770,tbl_recyclass[ProductId],0))="Sim","Conforme (meta 2030)",IF(INDEX(tbl_recyclass[Conforme_Art7_2030],MATCH(A1770,tbl_recyclass[ProductId],0))="Não","Lacuna face à meta 2030","Isento")),IF(B1770="EU-ENV-011",IF(INDEX(tbl_familias_ppwr[Metais_Pesados_Evidencia],MATCH(INDEX(tbl_recyclass[Familia_PPWR],MATCH(A1770,tbl_recyclass[ProductId],0)),tbl_familias_ppwr[ID_Familia],0))="Em falta","Lacuna","Conforme"),IF(B1770="EU-ENV-013",IF(INDEX(tbl_familias_ppwr[Declaracao_UE],MATCH(INDEX(tbl_recyclass[Familia_PPWR],MATCH(A1770,tbl_recyclass[ProductId],0)),tbl_familias_ppwr[ID_Familia],0))="Sim","Conforme","Lacuna"),G1770)))),G1770))</f>
        <v>Conforme</v>
      </c>
      <c r="I1770" s="33" t="str">
        <f t="shared" si="27"/>
        <v>Conforme</v>
      </c>
      <c r="J1770" s="26" t="s">
        <v>1106</v>
      </c>
    </row>
    <row r="1771" spans="1:10" ht="16.05" customHeight="1" x14ac:dyDescent="0.3">
      <c r="A1771" s="26" t="s">
        <v>799</v>
      </c>
      <c r="B1771" s="26" t="s">
        <v>1161</v>
      </c>
      <c r="C1771" s="33" t="str">
        <f>IFERROR(INDEX(tbl_requisitos_emb[Tema],MATCH(B1771,tbl_requisitos_emb[ID_Req],0)),"")</f>
        <v>Materiais em contacto com alimentos</v>
      </c>
      <c r="D1771" s="33" t="str">
        <f>IFERROR(INDEX(tbl_recyclass[Segmento],MATCH(A1771,tbl_recyclass[ProductId],0)),"")</f>
        <v>Cosmética e higiene pessoal</v>
      </c>
      <c r="E1771" s="26" t="s">
        <v>904</v>
      </c>
      <c r="F1771" s="26" t="s">
        <v>1450</v>
      </c>
      <c r="G1771" s="26" t="s">
        <v>1143</v>
      </c>
      <c r="H1771" s="33" t="str">
        <f>IF(E1771="Não","Não aplicável",IFERROR(IF(B1771="EU-ENV-002",IF(INDEX(tbl_recyclass[Conforme_PPWR_2030],MATCH(A1771,tbl_recyclass[ProductId],0))="Sim","Conforme (autoavaliação)",IF(INDEX(tbl_recyclass[Conforme_PPWR_2030],MATCH(A1771,tbl_recyclass[ProductId],0))="Não","Não conforme em 2030","Isento até 2035")),IF(B1771="EU-ENV-003",IF(INDEX(tbl_recyclass[Conforme_Art7_2030],MATCH(A1771,tbl_recyclass[ProductId],0))="Sim","Conforme (meta 2030)",IF(INDEX(tbl_recyclass[Conforme_Art7_2030],MATCH(A1771,tbl_recyclass[ProductId],0))="Não","Lacuna face à meta 2030","Isento")),IF(B1771="EU-ENV-011",IF(INDEX(tbl_familias_ppwr[Metais_Pesados_Evidencia],MATCH(INDEX(tbl_recyclass[Familia_PPWR],MATCH(A1771,tbl_recyclass[ProductId],0)),tbl_familias_ppwr[ID_Familia],0))="Em falta","Lacuna","Conforme"),IF(B1771="EU-ENV-013",IF(INDEX(tbl_familias_ppwr[Declaracao_UE],MATCH(INDEX(tbl_recyclass[Familia_PPWR],MATCH(A1771,tbl_recyclass[ProductId],0)),tbl_familias_ppwr[ID_Familia],0))="Sim","Conforme","Lacuna"),G1771)))),G1771))</f>
        <v>Não aplicável</v>
      </c>
      <c r="I1771" s="33" t="str">
        <f t="shared" si="27"/>
        <v>Não aplicável</v>
      </c>
      <c r="J1771" s="26"/>
    </row>
    <row r="1772" spans="1:10" ht="16.05" customHeight="1" x14ac:dyDescent="0.3">
      <c r="A1772" s="26" t="s">
        <v>799</v>
      </c>
      <c r="B1772" s="26" t="s">
        <v>1170</v>
      </c>
      <c r="C1772" s="33" t="str">
        <f>IFERROR(INDEX(tbl_requisitos_emb[Tema],MATCH(B1772,tbl_requisitos_emb[ID_Req],0)),"")</f>
        <v>Boas práticas de fabrico FCM</v>
      </c>
      <c r="D1772" s="33" t="str">
        <f>IFERROR(INDEX(tbl_recyclass[Segmento],MATCH(A1772,tbl_recyclass[ProductId],0)),"")</f>
        <v>Cosmética e higiene pessoal</v>
      </c>
      <c r="E1772" s="26" t="s">
        <v>904</v>
      </c>
      <c r="F1772" s="26" t="s">
        <v>1450</v>
      </c>
      <c r="G1772" s="26" t="s">
        <v>1143</v>
      </c>
      <c r="H1772" s="33" t="str">
        <f>IF(E1772="Não","Não aplicável",IFERROR(IF(B1772="EU-ENV-002",IF(INDEX(tbl_recyclass[Conforme_PPWR_2030],MATCH(A1772,tbl_recyclass[ProductId],0))="Sim","Conforme (autoavaliação)",IF(INDEX(tbl_recyclass[Conforme_PPWR_2030],MATCH(A1772,tbl_recyclass[ProductId],0))="Não","Não conforme em 2030","Isento até 2035")),IF(B1772="EU-ENV-003",IF(INDEX(tbl_recyclass[Conforme_Art7_2030],MATCH(A1772,tbl_recyclass[ProductId],0))="Sim","Conforme (meta 2030)",IF(INDEX(tbl_recyclass[Conforme_Art7_2030],MATCH(A1772,tbl_recyclass[ProductId],0))="Não","Lacuna face à meta 2030","Isento")),IF(B1772="EU-ENV-011",IF(INDEX(tbl_familias_ppwr[Metais_Pesados_Evidencia],MATCH(INDEX(tbl_recyclass[Familia_PPWR],MATCH(A1772,tbl_recyclass[ProductId],0)),tbl_familias_ppwr[ID_Familia],0))="Em falta","Lacuna","Conforme"),IF(B1772="EU-ENV-013",IF(INDEX(tbl_familias_ppwr[Declaracao_UE],MATCH(INDEX(tbl_recyclass[Familia_PPWR],MATCH(A1772,tbl_recyclass[ProductId],0)),tbl_familias_ppwr[ID_Familia],0))="Sim","Conforme","Lacuna"),G1772)))),G1772))</f>
        <v>Não aplicável</v>
      </c>
      <c r="I1772" s="33" t="str">
        <f t="shared" si="27"/>
        <v>Não aplicável</v>
      </c>
      <c r="J1772" s="26"/>
    </row>
    <row r="1773" spans="1:10" ht="16.05" customHeight="1" x14ac:dyDescent="0.3">
      <c r="A1773" s="26" t="s">
        <v>799</v>
      </c>
      <c r="B1773" s="26" t="s">
        <v>1179</v>
      </c>
      <c r="C1773" s="33" t="str">
        <f>IFERROR(INDEX(tbl_requisitos_emb[Tema],MATCH(B1773,tbl_requisitos_emb[ID_Req],0)),"")</f>
        <v>Bisfenol A e bisfenóis perigosos</v>
      </c>
      <c r="D1773" s="33" t="str">
        <f>IFERROR(INDEX(tbl_recyclass[Segmento],MATCH(A1773,tbl_recyclass[ProductId],0)),"")</f>
        <v>Cosmética e higiene pessoal</v>
      </c>
      <c r="E1773" s="26" t="s">
        <v>904</v>
      </c>
      <c r="F1773" s="26" t="s">
        <v>1450</v>
      </c>
      <c r="G1773" s="26" t="s">
        <v>1143</v>
      </c>
      <c r="H1773" s="33" t="str">
        <f>IF(E1773="Não","Não aplicável",IFERROR(IF(B1773="EU-ENV-002",IF(INDEX(tbl_recyclass[Conforme_PPWR_2030],MATCH(A1773,tbl_recyclass[ProductId],0))="Sim","Conforme (autoavaliação)",IF(INDEX(tbl_recyclass[Conforme_PPWR_2030],MATCH(A1773,tbl_recyclass[ProductId],0))="Não","Não conforme em 2030","Isento até 2035")),IF(B1773="EU-ENV-003",IF(INDEX(tbl_recyclass[Conforme_Art7_2030],MATCH(A1773,tbl_recyclass[ProductId],0))="Sim","Conforme (meta 2030)",IF(INDEX(tbl_recyclass[Conforme_Art7_2030],MATCH(A1773,tbl_recyclass[ProductId],0))="Não","Lacuna face à meta 2030","Isento")),IF(B1773="EU-ENV-011",IF(INDEX(tbl_familias_ppwr[Metais_Pesados_Evidencia],MATCH(INDEX(tbl_recyclass[Familia_PPWR],MATCH(A1773,tbl_recyclass[ProductId],0)),tbl_familias_ppwr[ID_Familia],0))="Em falta","Lacuna","Conforme"),IF(B1773="EU-ENV-013",IF(INDEX(tbl_familias_ppwr[Declaracao_UE],MATCH(INDEX(tbl_recyclass[Familia_PPWR],MATCH(A1773,tbl_recyclass[ProductId],0)),tbl_familias_ppwr[ID_Familia],0))="Sim","Conforme","Lacuna"),G1773)))),G1773))</f>
        <v>Não aplicável</v>
      </c>
      <c r="I1773" s="33" t="str">
        <f t="shared" si="27"/>
        <v>Não aplicável</v>
      </c>
      <c r="J1773" s="26"/>
    </row>
    <row r="1774" spans="1:10" ht="16.05" customHeight="1" x14ac:dyDescent="0.3">
      <c r="A1774" s="26" t="s">
        <v>799</v>
      </c>
      <c r="B1774" s="26" t="s">
        <v>1188</v>
      </c>
      <c r="C1774" s="33" t="str">
        <f>IFERROR(INDEX(tbl_requisitos_emb[Tema],MATCH(B1774,tbl_requisitos_emb[ID_Req],0)),"")</f>
        <v>Plásticos em contacto com alimentos</v>
      </c>
      <c r="D1774" s="33" t="str">
        <f>IFERROR(INDEX(tbl_recyclass[Segmento],MATCH(A1774,tbl_recyclass[ProductId],0)),"")</f>
        <v>Cosmética e higiene pessoal</v>
      </c>
      <c r="E1774" s="26" t="s">
        <v>904</v>
      </c>
      <c r="F1774" s="26" t="s">
        <v>1450</v>
      </c>
      <c r="G1774" s="26" t="s">
        <v>1143</v>
      </c>
      <c r="H1774" s="33" t="str">
        <f>IF(E1774="Não","Não aplicável",IFERROR(IF(B1774="EU-ENV-002",IF(INDEX(tbl_recyclass[Conforme_PPWR_2030],MATCH(A1774,tbl_recyclass[ProductId],0))="Sim","Conforme (autoavaliação)",IF(INDEX(tbl_recyclass[Conforme_PPWR_2030],MATCH(A1774,tbl_recyclass[ProductId],0))="Não","Não conforme em 2030","Isento até 2035")),IF(B1774="EU-ENV-003",IF(INDEX(tbl_recyclass[Conforme_Art7_2030],MATCH(A1774,tbl_recyclass[ProductId],0))="Sim","Conforme (meta 2030)",IF(INDEX(tbl_recyclass[Conforme_Art7_2030],MATCH(A1774,tbl_recyclass[ProductId],0))="Não","Lacuna face à meta 2030","Isento")),IF(B1774="EU-ENV-011",IF(INDEX(tbl_familias_ppwr[Metais_Pesados_Evidencia],MATCH(INDEX(tbl_recyclass[Familia_PPWR],MATCH(A1774,tbl_recyclass[ProductId],0)),tbl_familias_ppwr[ID_Familia],0))="Em falta","Lacuna","Conforme"),IF(B1774="EU-ENV-013",IF(INDEX(tbl_familias_ppwr[Declaracao_UE],MATCH(INDEX(tbl_recyclass[Familia_PPWR],MATCH(A1774,tbl_recyclass[ProductId],0)),tbl_familias_ppwr[ID_Familia],0))="Sim","Conforme","Lacuna"),G1774)))),G1774))</f>
        <v>Não aplicável</v>
      </c>
      <c r="I1774" s="33" t="str">
        <f t="shared" si="27"/>
        <v>Não aplicável</v>
      </c>
      <c r="J1774" s="26"/>
    </row>
    <row r="1775" spans="1:10" ht="16.05" customHeight="1" x14ac:dyDescent="0.3">
      <c r="A1775" s="26" t="s">
        <v>799</v>
      </c>
      <c r="B1775" s="26" t="s">
        <v>1212</v>
      </c>
      <c r="C1775" s="33" t="str">
        <f>IFERROR(INDEX(tbl_requisitos_emb[Tema],MATCH(B1775,tbl_requisitos_emb[ID_Req],0)),"")</f>
        <v>Segurança do produto cosmético</v>
      </c>
      <c r="D1775" s="33" t="str">
        <f>IFERROR(INDEX(tbl_recyclass[Segmento],MATCH(A1775,tbl_recyclass[ProductId],0)),"")</f>
        <v>Cosmética e higiene pessoal</v>
      </c>
      <c r="E1775" s="26" t="s">
        <v>901</v>
      </c>
      <c r="F1775" s="26" t="s">
        <v>1449</v>
      </c>
      <c r="G1775" s="26" t="s">
        <v>1033</v>
      </c>
      <c r="H1775" s="33" t="str">
        <f>IF(E1775="Não","Não aplicável",IFERROR(IF(B1775="EU-ENV-002",IF(INDEX(tbl_recyclass[Conforme_PPWR_2030],MATCH(A1775,tbl_recyclass[ProductId],0))="Sim","Conforme (autoavaliação)",IF(INDEX(tbl_recyclass[Conforme_PPWR_2030],MATCH(A1775,tbl_recyclass[ProductId],0))="Não","Não conforme em 2030","Isento até 2035")),IF(B1775="EU-ENV-003",IF(INDEX(tbl_recyclass[Conforme_Art7_2030],MATCH(A1775,tbl_recyclass[ProductId],0))="Sim","Conforme (meta 2030)",IF(INDEX(tbl_recyclass[Conforme_Art7_2030],MATCH(A1775,tbl_recyclass[ProductId],0))="Não","Lacuna face à meta 2030","Isento")),IF(B1775="EU-ENV-011",IF(INDEX(tbl_familias_ppwr[Metais_Pesados_Evidencia],MATCH(INDEX(tbl_recyclass[Familia_PPWR],MATCH(A1775,tbl_recyclass[ProductId],0)),tbl_familias_ppwr[ID_Familia],0))="Em falta","Lacuna","Conforme"),IF(B1775="EU-ENV-013",IF(INDEX(tbl_familias_ppwr[Declaracao_UE],MATCH(INDEX(tbl_recyclass[Familia_PPWR],MATCH(A1775,tbl_recyclass[ProductId],0)),tbl_familias_ppwr[ID_Familia],0))="Sim","Conforme","Lacuna"),G1775)))),G1775))</f>
        <v>Conforme</v>
      </c>
      <c r="I1775" s="33" t="str">
        <f t="shared" si="27"/>
        <v>Conforme</v>
      </c>
      <c r="J1775" s="26" t="s">
        <v>1221</v>
      </c>
    </row>
    <row r="1776" spans="1:10" ht="16.05" customHeight="1" x14ac:dyDescent="0.3">
      <c r="A1776" s="26" t="s">
        <v>799</v>
      </c>
      <c r="B1776" s="26" t="s">
        <v>1224</v>
      </c>
      <c r="C1776" s="33" t="str">
        <f>IFERROR(INDEX(tbl_requisitos_emb[Tema],MATCH(B1776,tbl_requisitos_emb[ID_Req],0)),"")</f>
        <v>Materiais e impurezas</v>
      </c>
      <c r="D1776" s="33" t="str">
        <f>IFERROR(INDEX(tbl_recyclass[Segmento],MATCH(A1776,tbl_recyclass[ProductId],0)),"")</f>
        <v>Cosmética e higiene pessoal</v>
      </c>
      <c r="E1776" s="26" t="s">
        <v>901</v>
      </c>
      <c r="F1776" s="26" t="s">
        <v>1449</v>
      </c>
      <c r="G1776" s="26" t="s">
        <v>978</v>
      </c>
      <c r="H1776" s="33" t="str">
        <f>IF(E1776="Não","Não aplicável",IFERROR(IF(B1776="EU-ENV-002",IF(INDEX(tbl_recyclass[Conforme_PPWR_2030],MATCH(A1776,tbl_recyclass[ProductId],0))="Sim","Conforme (autoavaliação)",IF(INDEX(tbl_recyclass[Conforme_PPWR_2030],MATCH(A1776,tbl_recyclass[ProductId],0))="Não","Não conforme em 2030","Isento até 2035")),IF(B1776="EU-ENV-003",IF(INDEX(tbl_recyclass[Conforme_Art7_2030],MATCH(A1776,tbl_recyclass[ProductId],0))="Sim","Conforme (meta 2030)",IF(INDEX(tbl_recyclass[Conforme_Art7_2030],MATCH(A1776,tbl_recyclass[ProductId],0))="Não","Lacuna face à meta 2030","Isento")),IF(B1776="EU-ENV-011",IF(INDEX(tbl_familias_ppwr[Metais_Pesados_Evidencia],MATCH(INDEX(tbl_recyclass[Familia_PPWR],MATCH(A1776,tbl_recyclass[ProductId],0)),tbl_familias_ppwr[ID_Familia],0))="Em falta","Lacuna","Conforme"),IF(B1776="EU-ENV-013",IF(INDEX(tbl_familias_ppwr[Declaracao_UE],MATCH(INDEX(tbl_recyclass[Familia_PPWR],MATCH(A1776,tbl_recyclass[ProductId],0)),tbl_familias_ppwr[ID_Familia],0))="Sim","Conforme","Lacuna"),G1776)))),G1776))</f>
        <v>Parcial</v>
      </c>
      <c r="I1776" s="33" t="str">
        <f t="shared" si="27"/>
        <v>Parcial</v>
      </c>
      <c r="J1776" s="26" t="s">
        <v>1228</v>
      </c>
    </row>
    <row r="1777" spans="1:10" ht="16.05" customHeight="1" x14ac:dyDescent="0.3">
      <c r="A1777" s="26" t="s">
        <v>799</v>
      </c>
      <c r="B1777" s="26" t="s">
        <v>1240</v>
      </c>
      <c r="C1777" s="33" t="str">
        <f>IFERROR(INDEX(tbl_requisitos_emb[Tema],MATCH(B1777,tbl_requisitos_emb[ID_Req],0)),"")</f>
        <v>Compatibilidade embalagem–produto</v>
      </c>
      <c r="D1777" s="33" t="str">
        <f>IFERROR(INDEX(tbl_recyclass[Segmento],MATCH(A1777,tbl_recyclass[ProductId],0)),"")</f>
        <v>Cosmética e higiene pessoal</v>
      </c>
      <c r="E1777" s="26" t="s">
        <v>901</v>
      </c>
      <c r="F1777" s="26" t="s">
        <v>1449</v>
      </c>
      <c r="G1777" s="26" t="s">
        <v>1033</v>
      </c>
      <c r="H1777" s="33" t="str">
        <f>IF(E1777="Não","Não aplicável",IFERROR(IF(B1777="EU-ENV-002",IF(INDEX(tbl_recyclass[Conforme_PPWR_2030],MATCH(A1777,tbl_recyclass[ProductId],0))="Sim","Conforme (autoavaliação)",IF(INDEX(tbl_recyclass[Conforme_PPWR_2030],MATCH(A1777,tbl_recyclass[ProductId],0))="Não","Não conforme em 2030","Isento até 2035")),IF(B1777="EU-ENV-003",IF(INDEX(tbl_recyclass[Conforme_Art7_2030],MATCH(A1777,tbl_recyclass[ProductId],0))="Sim","Conforme (meta 2030)",IF(INDEX(tbl_recyclass[Conforme_Art7_2030],MATCH(A1777,tbl_recyclass[ProductId],0))="Não","Lacuna face à meta 2030","Isento")),IF(B1777="EU-ENV-011",IF(INDEX(tbl_familias_ppwr[Metais_Pesados_Evidencia],MATCH(INDEX(tbl_recyclass[Familia_PPWR],MATCH(A1777,tbl_recyclass[ProductId],0)),tbl_familias_ppwr[ID_Familia],0))="Em falta","Lacuna","Conforme"),IF(B1777="EU-ENV-013",IF(INDEX(tbl_familias_ppwr[Declaracao_UE],MATCH(INDEX(tbl_recyclass[Familia_PPWR],MATCH(A1777,tbl_recyclass[ProductId],0)),tbl_familias_ppwr[ID_Familia],0))="Sim","Conforme","Lacuna"),G1777)))),G1777))</f>
        <v>Conforme</v>
      </c>
      <c r="I1777" s="33" t="str">
        <f t="shared" si="27"/>
        <v>Conforme</v>
      </c>
      <c r="J1777" s="26" t="s">
        <v>1244</v>
      </c>
    </row>
    <row r="1778" spans="1:10" ht="16.05" customHeight="1" x14ac:dyDescent="0.3">
      <c r="A1778" s="26" t="s">
        <v>799</v>
      </c>
      <c r="B1778" s="26" t="s">
        <v>1252</v>
      </c>
      <c r="C1778" s="33" t="str">
        <f>IFERROR(INDEX(tbl_requisitos_emb[Tema],MATCH(B1778,tbl_requisitos_emb[ID_Req],0)),"")</f>
        <v>Medicamentos de uso humano</v>
      </c>
      <c r="D1778" s="33" t="str">
        <f>IFERROR(INDEX(tbl_recyclass[Segmento],MATCH(A1778,tbl_recyclass[ProductId],0)),"")</f>
        <v>Cosmética e higiene pessoal</v>
      </c>
      <c r="E1778" s="26" t="s">
        <v>904</v>
      </c>
      <c r="F1778" s="26" t="s">
        <v>1451</v>
      </c>
      <c r="G1778" s="26" t="s">
        <v>1143</v>
      </c>
      <c r="H1778" s="33" t="str">
        <f>IF(E1778="Não","Não aplicável",IFERROR(IF(B1778="EU-ENV-002",IF(INDEX(tbl_recyclass[Conforme_PPWR_2030],MATCH(A1778,tbl_recyclass[ProductId],0))="Sim","Conforme (autoavaliação)",IF(INDEX(tbl_recyclass[Conforme_PPWR_2030],MATCH(A1778,tbl_recyclass[ProductId],0))="Não","Não conforme em 2030","Isento até 2035")),IF(B1778="EU-ENV-003",IF(INDEX(tbl_recyclass[Conforme_Art7_2030],MATCH(A1778,tbl_recyclass[ProductId],0))="Sim","Conforme (meta 2030)",IF(INDEX(tbl_recyclass[Conforme_Art7_2030],MATCH(A1778,tbl_recyclass[ProductId],0))="Não","Lacuna face à meta 2030","Isento")),IF(B1778="EU-ENV-011",IF(INDEX(tbl_familias_ppwr[Metais_Pesados_Evidencia],MATCH(INDEX(tbl_recyclass[Familia_PPWR],MATCH(A1778,tbl_recyclass[ProductId],0)),tbl_familias_ppwr[ID_Familia],0))="Em falta","Lacuna","Conforme"),IF(B1778="EU-ENV-013",IF(INDEX(tbl_familias_ppwr[Declaracao_UE],MATCH(INDEX(tbl_recyclass[Familia_PPWR],MATCH(A1778,tbl_recyclass[ProductId],0)),tbl_familias_ppwr[ID_Familia],0))="Sim","Conforme","Lacuna"),G1778)))),G1778))</f>
        <v>Não aplicável</v>
      </c>
      <c r="I1778" s="33" t="str">
        <f t="shared" si="27"/>
        <v>Não aplicável</v>
      </c>
      <c r="J1778" s="26"/>
    </row>
    <row r="1779" spans="1:10" ht="16.05" customHeight="1" x14ac:dyDescent="0.3">
      <c r="A1779" s="26" t="s">
        <v>799</v>
      </c>
      <c r="B1779" s="26" t="s">
        <v>1268</v>
      </c>
      <c r="C1779" s="33" t="str">
        <f>IFERROR(INDEX(tbl_requisitos_emb[Tema],MATCH(B1779,tbl_requisitos_emb[ID_Req],0)),"")</f>
        <v>Dispositivos de segurança</v>
      </c>
      <c r="D1779" s="33" t="str">
        <f>IFERROR(INDEX(tbl_recyclass[Segmento],MATCH(A1779,tbl_recyclass[ProductId],0)),"")</f>
        <v>Cosmética e higiene pessoal</v>
      </c>
      <c r="E1779" s="26" t="s">
        <v>904</v>
      </c>
      <c r="F1779" s="26" t="s">
        <v>1451</v>
      </c>
      <c r="G1779" s="26" t="s">
        <v>1143</v>
      </c>
      <c r="H1779" s="33" t="str">
        <f>IF(E1779="Não","Não aplicável",IFERROR(IF(B1779="EU-ENV-002",IF(INDEX(tbl_recyclass[Conforme_PPWR_2030],MATCH(A1779,tbl_recyclass[ProductId],0))="Sim","Conforme (autoavaliação)",IF(INDEX(tbl_recyclass[Conforme_PPWR_2030],MATCH(A1779,tbl_recyclass[ProductId],0))="Não","Não conforme em 2030","Isento até 2035")),IF(B1779="EU-ENV-003",IF(INDEX(tbl_recyclass[Conforme_Art7_2030],MATCH(A1779,tbl_recyclass[ProductId],0))="Sim","Conforme (meta 2030)",IF(INDEX(tbl_recyclass[Conforme_Art7_2030],MATCH(A1779,tbl_recyclass[ProductId],0))="Não","Lacuna face à meta 2030","Isento")),IF(B1779="EU-ENV-011",IF(INDEX(tbl_familias_ppwr[Metais_Pesados_Evidencia],MATCH(INDEX(tbl_recyclass[Familia_PPWR],MATCH(A1779,tbl_recyclass[ProductId],0)),tbl_familias_ppwr[ID_Familia],0))="Em falta","Lacuna","Conforme"),IF(B1779="EU-ENV-013",IF(INDEX(tbl_familias_ppwr[Declaracao_UE],MATCH(INDEX(tbl_recyclass[Familia_PPWR],MATCH(A1779,tbl_recyclass[ProductId],0)),tbl_familias_ppwr[ID_Familia],0))="Sim","Conforme","Lacuna"),G1779)))),G1779))</f>
        <v>Não aplicável</v>
      </c>
      <c r="I1779" s="33" t="str">
        <f t="shared" si="27"/>
        <v>Não aplicável</v>
      </c>
      <c r="J1779" s="26"/>
    </row>
    <row r="1780" spans="1:10" ht="16.05" customHeight="1" x14ac:dyDescent="0.3">
      <c r="A1780" s="26" t="s">
        <v>799</v>
      </c>
      <c r="B1780" s="26" t="s">
        <v>1285</v>
      </c>
      <c r="C1780" s="33" t="str">
        <f>IFERROR(INDEX(tbl_requisitos_emb[Tema],MATCH(B1780,tbl_requisitos_emb[ID_Req],0)),"")</f>
        <v>Materiais plásticos de acondicionamento primário</v>
      </c>
      <c r="D1780" s="33" t="str">
        <f>IFERROR(INDEX(tbl_recyclass[Segmento],MATCH(A1780,tbl_recyclass[ProductId],0)),"")</f>
        <v>Cosmética e higiene pessoal</v>
      </c>
      <c r="E1780" s="26" t="s">
        <v>904</v>
      </c>
      <c r="F1780" s="26" t="s">
        <v>1451</v>
      </c>
      <c r="G1780" s="26" t="s">
        <v>1143</v>
      </c>
      <c r="H1780" s="33" t="str">
        <f>IF(E1780="Não","Não aplicável",IFERROR(IF(B1780="EU-ENV-002",IF(INDEX(tbl_recyclass[Conforme_PPWR_2030],MATCH(A1780,tbl_recyclass[ProductId],0))="Sim","Conforme (autoavaliação)",IF(INDEX(tbl_recyclass[Conforme_PPWR_2030],MATCH(A1780,tbl_recyclass[ProductId],0))="Não","Não conforme em 2030","Isento até 2035")),IF(B1780="EU-ENV-003",IF(INDEX(tbl_recyclass[Conforme_Art7_2030],MATCH(A1780,tbl_recyclass[ProductId],0))="Sim","Conforme (meta 2030)",IF(INDEX(tbl_recyclass[Conforme_Art7_2030],MATCH(A1780,tbl_recyclass[ProductId],0))="Não","Lacuna face à meta 2030","Isento")),IF(B1780="EU-ENV-011",IF(INDEX(tbl_familias_ppwr[Metais_Pesados_Evidencia],MATCH(INDEX(tbl_recyclass[Familia_PPWR],MATCH(A1780,tbl_recyclass[ProductId],0)),tbl_familias_ppwr[ID_Familia],0))="Em falta","Lacuna","Conforme"),IF(B1780="EU-ENV-013",IF(INDEX(tbl_familias_ppwr[Declaracao_UE],MATCH(INDEX(tbl_recyclass[Familia_PPWR],MATCH(A1780,tbl_recyclass[ProductId],0)),tbl_familias_ppwr[ID_Familia],0))="Sim","Conforme","Lacuna"),G1780)))),G1780))</f>
        <v>Não aplicável</v>
      </c>
      <c r="I1780" s="33" t="str">
        <f t="shared" si="27"/>
        <v>Não aplicável</v>
      </c>
      <c r="J1780" s="26"/>
    </row>
    <row r="1781" spans="1:10" ht="16.05" customHeight="1" x14ac:dyDescent="0.3">
      <c r="A1781" s="26" t="s">
        <v>799</v>
      </c>
      <c r="B1781" s="26" t="s">
        <v>1293</v>
      </c>
      <c r="C1781" s="33" t="str">
        <f>IFERROR(INDEX(tbl_requisitos_emb[Tema],MATCH(B1781,tbl_requisitos_emb[ID_Req],0)),"")</f>
        <v>Isenções PPWR</v>
      </c>
      <c r="D1781" s="33" t="str">
        <f>IFERROR(INDEX(tbl_recyclass[Segmento],MATCH(A1781,tbl_recyclass[ProductId],0)),"")</f>
        <v>Cosmética e higiene pessoal</v>
      </c>
      <c r="E1781" s="26" t="s">
        <v>904</v>
      </c>
      <c r="F1781" s="26" t="s">
        <v>1451</v>
      </c>
      <c r="G1781" s="26" t="s">
        <v>1143</v>
      </c>
      <c r="H1781" s="33" t="str">
        <f>IF(E1781="Não","Não aplicável",IFERROR(IF(B1781="EU-ENV-002",IF(INDEX(tbl_recyclass[Conforme_PPWR_2030],MATCH(A1781,tbl_recyclass[ProductId],0))="Sim","Conforme (autoavaliação)",IF(INDEX(tbl_recyclass[Conforme_PPWR_2030],MATCH(A1781,tbl_recyclass[ProductId],0))="Não","Não conforme em 2030","Isento até 2035")),IF(B1781="EU-ENV-003",IF(INDEX(tbl_recyclass[Conforme_Art7_2030],MATCH(A1781,tbl_recyclass[ProductId],0))="Sim","Conforme (meta 2030)",IF(INDEX(tbl_recyclass[Conforme_Art7_2030],MATCH(A1781,tbl_recyclass[ProductId],0))="Não","Lacuna face à meta 2030","Isento")),IF(B1781="EU-ENV-011",IF(INDEX(tbl_familias_ppwr[Metais_Pesados_Evidencia],MATCH(INDEX(tbl_recyclass[Familia_PPWR],MATCH(A1781,tbl_recyclass[ProductId],0)),tbl_familias_ppwr[ID_Familia],0))="Em falta","Lacuna","Conforme"),IF(B1781="EU-ENV-013",IF(INDEX(tbl_familias_ppwr[Declaracao_UE],MATCH(INDEX(tbl_recyclass[Familia_PPWR],MATCH(A1781,tbl_recyclass[ProductId],0)),tbl_familias_ppwr[ID_Familia],0))="Sim","Conforme","Lacuna"),G1781)))),G1781))</f>
        <v>Não aplicável</v>
      </c>
      <c r="I1781" s="33" t="str">
        <f t="shared" si="27"/>
        <v>Não aplicável</v>
      </c>
      <c r="J1781" s="26"/>
    </row>
    <row r="1782" spans="1:10" ht="16.05" customHeight="1" x14ac:dyDescent="0.3">
      <c r="A1782" s="26" t="s">
        <v>799</v>
      </c>
      <c r="B1782" s="26" t="s">
        <v>1357</v>
      </c>
      <c r="C1782" s="33" t="str">
        <f>IFERROR(INDEX(tbl_requisitos_emb[Tema],MATCH(B1782,tbl_requisitos_emb[ID_Req],0)),"")</f>
        <v>Identificação de plásticos</v>
      </c>
      <c r="D1782" s="33" t="str">
        <f>IFERROR(INDEX(tbl_recyclass[Segmento],MATCH(A1782,tbl_recyclass[ProductId],0)),"")</f>
        <v>Cosmética e higiene pessoal</v>
      </c>
      <c r="E1782" s="26" t="s">
        <v>901</v>
      </c>
      <c r="F1782" s="26" t="s">
        <v>1449</v>
      </c>
      <c r="G1782" s="26" t="s">
        <v>978</v>
      </c>
      <c r="H1782" s="33" t="str">
        <f>IF(E1782="Não","Não aplicável",IFERROR(IF(B1782="EU-ENV-002",IF(INDEX(tbl_recyclass[Conforme_PPWR_2030],MATCH(A1782,tbl_recyclass[ProductId],0))="Sim","Conforme (autoavaliação)",IF(INDEX(tbl_recyclass[Conforme_PPWR_2030],MATCH(A1782,tbl_recyclass[ProductId],0))="Não","Não conforme em 2030","Isento até 2035")),IF(B1782="EU-ENV-003",IF(INDEX(tbl_recyclass[Conforme_Art7_2030],MATCH(A1782,tbl_recyclass[ProductId],0))="Sim","Conforme (meta 2030)",IF(INDEX(tbl_recyclass[Conforme_Art7_2030],MATCH(A1782,tbl_recyclass[ProductId],0))="Não","Lacuna face à meta 2030","Isento")),IF(B1782="EU-ENV-011",IF(INDEX(tbl_familias_ppwr[Metais_Pesados_Evidencia],MATCH(INDEX(tbl_recyclass[Familia_PPWR],MATCH(A1782,tbl_recyclass[ProductId],0)),tbl_familias_ppwr[ID_Familia],0))="Em falta","Lacuna","Conforme"),IF(B1782="EU-ENV-013",IF(INDEX(tbl_familias_ppwr[Declaracao_UE],MATCH(INDEX(tbl_recyclass[Familia_PPWR],MATCH(A1782,tbl_recyclass[ProductId],0)),tbl_familias_ppwr[ID_Familia],0))="Sim","Conforme","Lacuna"),G1782)))),G1782))</f>
        <v>Parcial</v>
      </c>
      <c r="I1782" s="33" t="str">
        <f t="shared" si="27"/>
        <v>Parcial</v>
      </c>
      <c r="J1782" s="26" t="s">
        <v>1362</v>
      </c>
    </row>
    <row r="1783" spans="1:10" ht="16.05" customHeight="1" x14ac:dyDescent="0.3">
      <c r="A1783" s="26" t="s">
        <v>799</v>
      </c>
      <c r="B1783" s="26" t="s">
        <v>1385</v>
      </c>
      <c r="C1783" s="33" t="str">
        <f>IFERROR(INDEX(tbl_requisitos_emb[Tema],MATCH(B1783,tbl_requisitos_emb[ID_Req],0)),"")</f>
        <v>Reciclabilidade (voluntária)</v>
      </c>
      <c r="D1783" s="33" t="str">
        <f>IFERROR(INDEX(tbl_recyclass[Segmento],MATCH(A1783,tbl_recyclass[ProductId],0)),"")</f>
        <v>Cosmética e higiene pessoal</v>
      </c>
      <c r="E1783" s="26" t="s">
        <v>901</v>
      </c>
      <c r="F1783" s="26" t="s">
        <v>1449</v>
      </c>
      <c r="G1783" s="26" t="s">
        <v>978</v>
      </c>
      <c r="H1783" s="33" t="str">
        <f>IF(E1783="Não","Não aplicável",IFERROR(IF(B1783="EU-ENV-002",IF(INDEX(tbl_recyclass[Conforme_PPWR_2030],MATCH(A1783,tbl_recyclass[ProductId],0))="Sim","Conforme (autoavaliação)",IF(INDEX(tbl_recyclass[Conforme_PPWR_2030],MATCH(A1783,tbl_recyclass[ProductId],0))="Não","Não conforme em 2030","Isento até 2035")),IF(B1783="EU-ENV-003",IF(INDEX(tbl_recyclass[Conforme_Art7_2030],MATCH(A1783,tbl_recyclass[ProductId],0))="Sim","Conforme (meta 2030)",IF(INDEX(tbl_recyclass[Conforme_Art7_2030],MATCH(A1783,tbl_recyclass[ProductId],0))="Não","Lacuna face à meta 2030","Isento")),IF(B1783="EU-ENV-011",IF(INDEX(tbl_familias_ppwr[Metais_Pesados_Evidencia],MATCH(INDEX(tbl_recyclass[Familia_PPWR],MATCH(A1783,tbl_recyclass[ProductId],0)),tbl_familias_ppwr[ID_Familia],0))="Em falta","Lacuna","Conforme"),IF(B1783="EU-ENV-013",IF(INDEX(tbl_familias_ppwr[Declaracao_UE],MATCH(INDEX(tbl_recyclass[Familia_PPWR],MATCH(A1783,tbl_recyclass[ProductId],0)),tbl_familias_ppwr[ID_Familia],0))="Sim","Conforme","Lacuna"),G1783)))),G1783))</f>
        <v>Parcial</v>
      </c>
      <c r="I1783" s="33" t="str">
        <f t="shared" si="27"/>
        <v>Parcial</v>
      </c>
      <c r="J1783" s="26" t="s">
        <v>1389</v>
      </c>
    </row>
    <row r="1784" spans="1:10" ht="16.05" customHeight="1" x14ac:dyDescent="0.3">
      <c r="A1784" s="26" t="s">
        <v>801</v>
      </c>
      <c r="B1784" s="26" t="s">
        <v>984</v>
      </c>
      <c r="C1784" s="33" t="str">
        <f>IFERROR(INDEX(tbl_requisitos_emb[Tema],MATCH(B1784,tbl_requisitos_emb[ID_Req],0)),"")</f>
        <v>Conceção para reciclagem</v>
      </c>
      <c r="D1784" s="33" t="str">
        <f>IFERROR(INDEX(tbl_recyclass[Segmento],MATCH(A1784,tbl_recyclass[ProductId],0)),"")</f>
        <v>Cosmética e higiene pessoal</v>
      </c>
      <c r="E1784" s="26" t="s">
        <v>901</v>
      </c>
      <c r="F1784" s="26" t="s">
        <v>1449</v>
      </c>
      <c r="G1784" s="26" t="s">
        <v>978</v>
      </c>
      <c r="H1784" s="33" t="str">
        <f>IF(E1784="Não","Não aplicável",IFERROR(IF(B1784="EU-ENV-002",IF(INDEX(tbl_recyclass[Conforme_PPWR_2030],MATCH(A1784,tbl_recyclass[ProductId],0))="Sim","Conforme (autoavaliação)",IF(INDEX(tbl_recyclass[Conforme_PPWR_2030],MATCH(A1784,tbl_recyclass[ProductId],0))="Não","Não conforme em 2030","Isento até 2035")),IF(B1784="EU-ENV-003",IF(INDEX(tbl_recyclass[Conforme_Art7_2030],MATCH(A1784,tbl_recyclass[ProductId],0))="Sim","Conforme (meta 2030)",IF(INDEX(tbl_recyclass[Conforme_Art7_2030],MATCH(A1784,tbl_recyclass[ProductId],0))="Não","Lacuna face à meta 2030","Isento")),IF(B1784="EU-ENV-011",IF(INDEX(tbl_familias_ppwr[Metais_Pesados_Evidencia],MATCH(INDEX(tbl_recyclass[Familia_PPWR],MATCH(A1784,tbl_recyclass[ProductId],0)),tbl_familias_ppwr[ID_Familia],0))="Em falta","Lacuna","Conforme"),IF(B1784="EU-ENV-013",IF(INDEX(tbl_familias_ppwr[Declaracao_UE],MATCH(INDEX(tbl_recyclass[Familia_PPWR],MATCH(A1784,tbl_recyclass[ProductId],0)),tbl_familias_ppwr[ID_Familia],0))="Sim","Conforme","Lacuna"),G1784)))),G1784))</f>
        <v>Conforme (autoavaliação)</v>
      </c>
      <c r="I1784" s="33" t="str">
        <f t="shared" si="27"/>
        <v>Conforme</v>
      </c>
      <c r="J1784" s="26" t="s">
        <v>991</v>
      </c>
    </row>
    <row r="1785" spans="1:10" ht="16.05" customHeight="1" x14ac:dyDescent="0.3">
      <c r="A1785" s="26" t="s">
        <v>801</v>
      </c>
      <c r="B1785" s="26" t="s">
        <v>997</v>
      </c>
      <c r="C1785" s="33" t="str">
        <f>IFERROR(INDEX(tbl_requisitos_emb[Tema],MATCH(B1785,tbl_requisitos_emb[ID_Req],0)),"")</f>
        <v>Conteúdo reciclado</v>
      </c>
      <c r="D1785" s="33" t="str">
        <f>IFERROR(INDEX(tbl_recyclass[Segmento],MATCH(A1785,tbl_recyclass[ProductId],0)),"")</f>
        <v>Cosmética e higiene pessoal</v>
      </c>
      <c r="E1785" s="26" t="s">
        <v>901</v>
      </c>
      <c r="F1785" s="26" t="s">
        <v>1449</v>
      </c>
      <c r="G1785" s="26" t="s">
        <v>978</v>
      </c>
      <c r="H1785" s="33" t="str">
        <f>IF(E1785="Não","Não aplicável",IFERROR(IF(B1785="EU-ENV-002",IF(INDEX(tbl_recyclass[Conforme_PPWR_2030],MATCH(A1785,tbl_recyclass[ProductId],0))="Sim","Conforme (autoavaliação)",IF(INDEX(tbl_recyclass[Conforme_PPWR_2030],MATCH(A1785,tbl_recyclass[ProductId],0))="Não","Não conforme em 2030","Isento até 2035")),IF(B1785="EU-ENV-003",IF(INDEX(tbl_recyclass[Conforme_Art7_2030],MATCH(A1785,tbl_recyclass[ProductId],0))="Sim","Conforme (meta 2030)",IF(INDEX(tbl_recyclass[Conforme_Art7_2030],MATCH(A1785,tbl_recyclass[ProductId],0))="Não","Lacuna face à meta 2030","Isento")),IF(B1785="EU-ENV-011",IF(INDEX(tbl_familias_ppwr[Metais_Pesados_Evidencia],MATCH(INDEX(tbl_recyclass[Familia_PPWR],MATCH(A1785,tbl_recyclass[ProductId],0)),tbl_familias_ppwr[ID_Familia],0))="Em falta","Lacuna","Conforme"),IF(B1785="EU-ENV-013",IF(INDEX(tbl_familias_ppwr[Declaracao_UE],MATCH(INDEX(tbl_recyclass[Familia_PPWR],MATCH(A1785,tbl_recyclass[ProductId],0)),tbl_familias_ppwr[ID_Familia],0))="Sim","Conforme","Lacuna"),G1785)))),G1785))</f>
        <v>Lacuna face à meta 2030</v>
      </c>
      <c r="I1785" s="33" t="str">
        <f t="shared" si="27"/>
        <v>Lacuna</v>
      </c>
      <c r="J1785" s="26" t="s">
        <v>1001</v>
      </c>
    </row>
    <row r="1786" spans="1:10" ht="16.05" customHeight="1" x14ac:dyDescent="0.3">
      <c r="A1786" s="26" t="s">
        <v>801</v>
      </c>
      <c r="B1786" s="26" t="s">
        <v>1007</v>
      </c>
      <c r="C1786" s="33" t="str">
        <f>IFERROR(INDEX(tbl_requisitos_emb[Tema],MATCH(B1786,tbl_requisitos_emb[ID_Req],0)),"")</f>
        <v>Minimização</v>
      </c>
      <c r="D1786" s="33" t="str">
        <f>IFERROR(INDEX(tbl_recyclass[Segmento],MATCH(A1786,tbl_recyclass[ProductId],0)),"")</f>
        <v>Cosmética e higiene pessoal</v>
      </c>
      <c r="E1786" s="26" t="s">
        <v>901</v>
      </c>
      <c r="F1786" s="26" t="s">
        <v>1449</v>
      </c>
      <c r="G1786" s="26" t="s">
        <v>978</v>
      </c>
      <c r="H1786" s="33" t="str">
        <f>IF(E1786="Não","Não aplicável",IFERROR(IF(B1786="EU-ENV-002",IF(INDEX(tbl_recyclass[Conforme_PPWR_2030],MATCH(A1786,tbl_recyclass[ProductId],0))="Sim","Conforme (autoavaliação)",IF(INDEX(tbl_recyclass[Conforme_PPWR_2030],MATCH(A1786,tbl_recyclass[ProductId],0))="Não","Não conforme em 2030","Isento até 2035")),IF(B1786="EU-ENV-003",IF(INDEX(tbl_recyclass[Conforme_Art7_2030],MATCH(A1786,tbl_recyclass[ProductId],0))="Sim","Conforme (meta 2030)",IF(INDEX(tbl_recyclass[Conforme_Art7_2030],MATCH(A1786,tbl_recyclass[ProductId],0))="Não","Lacuna face à meta 2030","Isento")),IF(B1786="EU-ENV-011",IF(INDEX(tbl_familias_ppwr[Metais_Pesados_Evidencia],MATCH(INDEX(tbl_recyclass[Familia_PPWR],MATCH(A1786,tbl_recyclass[ProductId],0)),tbl_familias_ppwr[ID_Familia],0))="Em falta","Lacuna","Conforme"),IF(B1786="EU-ENV-013",IF(INDEX(tbl_familias_ppwr[Declaracao_UE],MATCH(INDEX(tbl_recyclass[Familia_PPWR],MATCH(A1786,tbl_recyclass[ProductId],0)),tbl_familias_ppwr[ID_Familia],0))="Sim","Conforme","Lacuna"),G1786)))),G1786))</f>
        <v>Parcial</v>
      </c>
      <c r="I1786" s="33" t="str">
        <f t="shared" si="27"/>
        <v>Parcial</v>
      </c>
      <c r="J1786" s="26" t="s">
        <v>1012</v>
      </c>
    </row>
    <row r="1787" spans="1:10" ht="16.05" customHeight="1" x14ac:dyDescent="0.3">
      <c r="A1787" s="26" t="s">
        <v>801</v>
      </c>
      <c r="B1787" s="26" t="s">
        <v>1016</v>
      </c>
      <c r="C1787" s="33" t="str">
        <f>IFERROR(INDEX(tbl_requisitos_emb[Tema],MATCH(B1787,tbl_requisitos_emb[ID_Req],0)),"")</f>
        <v>Rotulagem</v>
      </c>
      <c r="D1787" s="33" t="str">
        <f>IFERROR(INDEX(tbl_recyclass[Segmento],MATCH(A1787,tbl_recyclass[ProductId],0)),"")</f>
        <v>Cosmética e higiene pessoal</v>
      </c>
      <c r="E1787" s="26" t="s">
        <v>901</v>
      </c>
      <c r="F1787" s="26" t="s">
        <v>1449</v>
      </c>
      <c r="G1787" s="26" t="s">
        <v>990</v>
      </c>
      <c r="H1787" s="33" t="str">
        <f>IF(E1787="Não","Não aplicável",IFERROR(IF(B1787="EU-ENV-002",IF(INDEX(tbl_recyclass[Conforme_PPWR_2030],MATCH(A1787,tbl_recyclass[ProductId],0))="Sim","Conforme (autoavaliação)",IF(INDEX(tbl_recyclass[Conforme_PPWR_2030],MATCH(A1787,tbl_recyclass[ProductId],0))="Não","Não conforme em 2030","Isento até 2035")),IF(B1787="EU-ENV-003",IF(INDEX(tbl_recyclass[Conforme_Art7_2030],MATCH(A1787,tbl_recyclass[ProductId],0))="Sim","Conforme (meta 2030)",IF(INDEX(tbl_recyclass[Conforme_Art7_2030],MATCH(A1787,tbl_recyclass[ProductId],0))="Não","Lacuna face à meta 2030","Isento")),IF(B1787="EU-ENV-011",IF(INDEX(tbl_familias_ppwr[Metais_Pesados_Evidencia],MATCH(INDEX(tbl_recyclass[Familia_PPWR],MATCH(A1787,tbl_recyclass[ProductId],0)),tbl_familias_ppwr[ID_Familia],0))="Em falta","Lacuna","Conforme"),IF(B1787="EU-ENV-013",IF(INDEX(tbl_familias_ppwr[Declaracao_UE],MATCH(INDEX(tbl_recyclass[Familia_PPWR],MATCH(A1787,tbl_recyclass[ProductId],0)),tbl_familias_ppwr[ID_Familia],0))="Sim","Conforme","Lacuna"),G1787)))),G1787))</f>
        <v>Futuro</v>
      </c>
      <c r="I1787" s="33" t="str">
        <f t="shared" si="27"/>
        <v>Futuro</v>
      </c>
      <c r="J1787" s="26" t="s">
        <v>1021</v>
      </c>
    </row>
    <row r="1788" spans="1:10" ht="16.05" customHeight="1" x14ac:dyDescent="0.3">
      <c r="A1788" s="26" t="s">
        <v>801</v>
      </c>
      <c r="B1788" s="26" t="s">
        <v>1038</v>
      </c>
      <c r="C1788" s="33" t="str">
        <f>IFERROR(INDEX(tbl_requisitos_emb[Tema],MATCH(B1788,tbl_requisitos_emb[ID_Req],0)),"")</f>
        <v>Plásticos de utilização única</v>
      </c>
      <c r="D1788" s="33" t="str">
        <f>IFERROR(INDEX(tbl_recyclass[Segmento],MATCH(A1788,tbl_recyclass[ProductId],0)),"")</f>
        <v>Cosmética e higiene pessoal</v>
      </c>
      <c r="E1788" s="26" t="s">
        <v>904</v>
      </c>
      <c r="F1788" s="26" t="s">
        <v>1450</v>
      </c>
      <c r="G1788" s="26" t="s">
        <v>1143</v>
      </c>
      <c r="H1788" s="33" t="str">
        <f>IF(E1788="Não","Não aplicável",IFERROR(IF(B1788="EU-ENV-002",IF(INDEX(tbl_recyclass[Conforme_PPWR_2030],MATCH(A1788,tbl_recyclass[ProductId],0))="Sim","Conforme (autoavaliação)",IF(INDEX(tbl_recyclass[Conforme_PPWR_2030],MATCH(A1788,tbl_recyclass[ProductId],0))="Não","Não conforme em 2030","Isento até 2035")),IF(B1788="EU-ENV-003",IF(INDEX(tbl_recyclass[Conforme_Art7_2030],MATCH(A1788,tbl_recyclass[ProductId],0))="Sim","Conforme (meta 2030)",IF(INDEX(tbl_recyclass[Conforme_Art7_2030],MATCH(A1788,tbl_recyclass[ProductId],0))="Não","Lacuna face à meta 2030","Isento")),IF(B1788="EU-ENV-011",IF(INDEX(tbl_familias_ppwr[Metais_Pesados_Evidencia],MATCH(INDEX(tbl_recyclass[Familia_PPWR],MATCH(A1788,tbl_recyclass[ProductId],0)),tbl_familias_ppwr[ID_Familia],0))="Em falta","Lacuna","Conforme"),IF(B1788="EU-ENV-013",IF(INDEX(tbl_familias_ppwr[Declaracao_UE],MATCH(INDEX(tbl_recyclass[Familia_PPWR],MATCH(A1788,tbl_recyclass[ProductId],0)),tbl_familias_ppwr[ID_Familia],0))="Sim","Conforme","Lacuna"),G1788)))),G1788))</f>
        <v>Não aplicável</v>
      </c>
      <c r="I1788" s="33" t="str">
        <f t="shared" si="27"/>
        <v>Não aplicável</v>
      </c>
      <c r="J1788" s="26"/>
    </row>
    <row r="1789" spans="1:10" ht="16.05" customHeight="1" x14ac:dyDescent="0.3">
      <c r="A1789" s="26" t="s">
        <v>801</v>
      </c>
      <c r="B1789" s="26" t="s">
        <v>1078</v>
      </c>
      <c r="C1789" s="33" t="str">
        <f>IFERROR(INDEX(tbl_requisitos_emb[Tema],MATCH(B1789,tbl_requisitos_emb[ID_Req],0)),"")</f>
        <v>Reciclado à escala</v>
      </c>
      <c r="D1789" s="33" t="str">
        <f>IFERROR(INDEX(tbl_recyclass[Segmento],MATCH(A1789,tbl_recyclass[ProductId],0)),"")</f>
        <v>Cosmética e higiene pessoal</v>
      </c>
      <c r="E1789" s="26" t="s">
        <v>901</v>
      </c>
      <c r="F1789" s="26" t="s">
        <v>1449</v>
      </c>
      <c r="G1789" s="26" t="s">
        <v>990</v>
      </c>
      <c r="H1789" s="33" t="str">
        <f>IF(E1789="Não","Não aplicável",IFERROR(IF(B1789="EU-ENV-002",IF(INDEX(tbl_recyclass[Conforme_PPWR_2030],MATCH(A1789,tbl_recyclass[ProductId],0))="Sim","Conforme (autoavaliação)",IF(INDEX(tbl_recyclass[Conforme_PPWR_2030],MATCH(A1789,tbl_recyclass[ProductId],0))="Não","Não conforme em 2030","Isento até 2035")),IF(B1789="EU-ENV-003",IF(INDEX(tbl_recyclass[Conforme_Art7_2030],MATCH(A1789,tbl_recyclass[ProductId],0))="Sim","Conforme (meta 2030)",IF(INDEX(tbl_recyclass[Conforme_Art7_2030],MATCH(A1789,tbl_recyclass[ProductId],0))="Não","Lacuna face à meta 2030","Isento")),IF(B1789="EU-ENV-011",IF(INDEX(tbl_familias_ppwr[Metais_Pesados_Evidencia],MATCH(INDEX(tbl_recyclass[Familia_PPWR],MATCH(A1789,tbl_recyclass[ProductId],0)),tbl_familias_ppwr[ID_Familia],0))="Em falta","Lacuna","Conforme"),IF(B1789="EU-ENV-013",IF(INDEX(tbl_familias_ppwr[Declaracao_UE],MATCH(INDEX(tbl_recyclass[Familia_PPWR],MATCH(A1789,tbl_recyclass[ProductId],0)),tbl_familias_ppwr[ID_Familia],0))="Sim","Conforme","Lacuna"),G1789)))),G1789))</f>
        <v>Futuro</v>
      </c>
      <c r="I1789" s="33" t="str">
        <f t="shared" si="27"/>
        <v>Futuro</v>
      </c>
      <c r="J1789" s="26" t="s">
        <v>1082</v>
      </c>
    </row>
    <row r="1790" spans="1:10" ht="16.05" customHeight="1" x14ac:dyDescent="0.3">
      <c r="A1790" s="26" t="s">
        <v>801</v>
      </c>
      <c r="B1790" s="26" t="s">
        <v>1086</v>
      </c>
      <c r="C1790" s="33" t="str">
        <f>IFERROR(INDEX(tbl_requisitos_emb[Tema],MATCH(B1790,tbl_requisitos_emb[ID_Req],0)),"")</f>
        <v>Metais pesados</v>
      </c>
      <c r="D1790" s="33" t="str">
        <f>IFERROR(INDEX(tbl_recyclass[Segmento],MATCH(A1790,tbl_recyclass[ProductId],0)),"")</f>
        <v>Cosmética e higiene pessoal</v>
      </c>
      <c r="E1790" s="26" t="s">
        <v>901</v>
      </c>
      <c r="F1790" s="26" t="s">
        <v>1449</v>
      </c>
      <c r="G1790" s="26" t="s">
        <v>978</v>
      </c>
      <c r="H1790" s="33" t="str">
        <f>IF(E1790="Não","Não aplicável",IFERROR(IF(B1790="EU-ENV-002",IF(INDEX(tbl_recyclass[Conforme_PPWR_2030],MATCH(A1790,tbl_recyclass[ProductId],0))="Sim","Conforme (autoavaliação)",IF(INDEX(tbl_recyclass[Conforme_PPWR_2030],MATCH(A1790,tbl_recyclass[ProductId],0))="Não","Não conforme em 2030","Isento até 2035")),IF(B1790="EU-ENV-003",IF(INDEX(tbl_recyclass[Conforme_Art7_2030],MATCH(A1790,tbl_recyclass[ProductId],0))="Sim","Conforme (meta 2030)",IF(INDEX(tbl_recyclass[Conforme_Art7_2030],MATCH(A1790,tbl_recyclass[ProductId],0))="Não","Lacuna face à meta 2030","Isento")),IF(B1790="EU-ENV-011",IF(INDEX(tbl_familias_ppwr[Metais_Pesados_Evidencia],MATCH(INDEX(tbl_recyclass[Familia_PPWR],MATCH(A1790,tbl_recyclass[ProductId],0)),tbl_familias_ppwr[ID_Familia],0))="Em falta","Lacuna","Conforme"),IF(B1790="EU-ENV-013",IF(INDEX(tbl_familias_ppwr[Declaracao_UE],MATCH(INDEX(tbl_recyclass[Familia_PPWR],MATCH(A1790,tbl_recyclass[ProductId],0)),tbl_familias_ppwr[ID_Familia],0))="Sim","Conforme","Lacuna"),G1790)))),G1790))</f>
        <v>Conforme</v>
      </c>
      <c r="I1790" s="33" t="str">
        <f t="shared" si="27"/>
        <v>Conforme</v>
      </c>
      <c r="J1790" s="26" t="s">
        <v>1090</v>
      </c>
    </row>
    <row r="1791" spans="1:10" ht="16.05" customHeight="1" x14ac:dyDescent="0.3">
      <c r="A1791" s="26" t="s">
        <v>801</v>
      </c>
      <c r="B1791" s="26" t="s">
        <v>1094</v>
      </c>
      <c r="C1791" s="33" t="str">
        <f>IFERROR(INDEX(tbl_requisitos_emb[Tema],MATCH(B1791,tbl_requisitos_emb[ID_Req],0)),"")</f>
        <v>PFAS</v>
      </c>
      <c r="D1791" s="33" t="str">
        <f>IFERROR(INDEX(tbl_recyclass[Segmento],MATCH(A1791,tbl_recyclass[ProductId],0)),"")</f>
        <v>Cosmética e higiene pessoal</v>
      </c>
      <c r="E1791" s="26" t="s">
        <v>904</v>
      </c>
      <c r="F1791" s="26" t="s">
        <v>1450</v>
      </c>
      <c r="G1791" s="26" t="s">
        <v>1143</v>
      </c>
      <c r="H1791" s="33" t="str">
        <f>IF(E1791="Não","Não aplicável",IFERROR(IF(B1791="EU-ENV-002",IF(INDEX(tbl_recyclass[Conforme_PPWR_2030],MATCH(A1791,tbl_recyclass[ProductId],0))="Sim","Conforme (autoavaliação)",IF(INDEX(tbl_recyclass[Conforme_PPWR_2030],MATCH(A1791,tbl_recyclass[ProductId],0))="Não","Não conforme em 2030","Isento até 2035")),IF(B1791="EU-ENV-003",IF(INDEX(tbl_recyclass[Conforme_Art7_2030],MATCH(A1791,tbl_recyclass[ProductId],0))="Sim","Conforme (meta 2030)",IF(INDEX(tbl_recyclass[Conforme_Art7_2030],MATCH(A1791,tbl_recyclass[ProductId],0))="Não","Lacuna face à meta 2030","Isento")),IF(B1791="EU-ENV-011",IF(INDEX(tbl_familias_ppwr[Metais_Pesados_Evidencia],MATCH(INDEX(tbl_recyclass[Familia_PPWR],MATCH(A1791,tbl_recyclass[ProductId],0)),tbl_familias_ppwr[ID_Familia],0))="Em falta","Lacuna","Conforme"),IF(B1791="EU-ENV-013",IF(INDEX(tbl_familias_ppwr[Declaracao_UE],MATCH(INDEX(tbl_recyclass[Familia_PPWR],MATCH(A1791,tbl_recyclass[ProductId],0)),tbl_familias_ppwr[ID_Familia],0))="Sim","Conforme","Lacuna"),G1791)))),G1791))</f>
        <v>Não aplicável</v>
      </c>
      <c r="I1791" s="33" t="str">
        <f t="shared" si="27"/>
        <v>Não aplicável</v>
      </c>
      <c r="J1791" s="26"/>
    </row>
    <row r="1792" spans="1:10" ht="16.05" customHeight="1" x14ac:dyDescent="0.3">
      <c r="A1792" s="26" t="s">
        <v>801</v>
      </c>
      <c r="B1792" s="26" t="s">
        <v>1102</v>
      </c>
      <c r="C1792" s="33" t="str">
        <f>IFERROR(INDEX(tbl_requisitos_emb[Tema],MATCH(B1792,tbl_requisitos_emb[ID_Req],0)),"")</f>
        <v>Documentação técnica e declaração UE</v>
      </c>
      <c r="D1792" s="33" t="str">
        <f>IFERROR(INDEX(tbl_recyclass[Segmento],MATCH(A1792,tbl_recyclass[ProductId],0)),"")</f>
        <v>Cosmética e higiene pessoal</v>
      </c>
      <c r="E1792" s="26" t="s">
        <v>901</v>
      </c>
      <c r="F1792" s="26" t="s">
        <v>1449</v>
      </c>
      <c r="G1792" s="26" t="s">
        <v>978</v>
      </c>
      <c r="H1792" s="33" t="str">
        <f>IF(E1792="Não","Não aplicável",IFERROR(IF(B1792="EU-ENV-002",IF(INDEX(tbl_recyclass[Conforme_PPWR_2030],MATCH(A1792,tbl_recyclass[ProductId],0))="Sim","Conforme (autoavaliação)",IF(INDEX(tbl_recyclass[Conforme_PPWR_2030],MATCH(A1792,tbl_recyclass[ProductId],0))="Não","Não conforme em 2030","Isento até 2035")),IF(B1792="EU-ENV-003",IF(INDEX(tbl_recyclass[Conforme_Art7_2030],MATCH(A1792,tbl_recyclass[ProductId],0))="Sim","Conforme (meta 2030)",IF(INDEX(tbl_recyclass[Conforme_Art7_2030],MATCH(A1792,tbl_recyclass[ProductId],0))="Não","Lacuna face à meta 2030","Isento")),IF(B1792="EU-ENV-011",IF(INDEX(tbl_familias_ppwr[Metais_Pesados_Evidencia],MATCH(INDEX(tbl_recyclass[Familia_PPWR],MATCH(A1792,tbl_recyclass[ProductId],0)),tbl_familias_ppwr[ID_Familia],0))="Em falta","Lacuna","Conforme"),IF(B1792="EU-ENV-013",IF(INDEX(tbl_familias_ppwr[Declaracao_UE],MATCH(INDEX(tbl_recyclass[Familia_PPWR],MATCH(A1792,tbl_recyclass[ProductId],0)),tbl_familias_ppwr[ID_Familia],0))="Sim","Conforme","Lacuna"),G1792)))),G1792))</f>
        <v>Conforme</v>
      </c>
      <c r="I1792" s="33" t="str">
        <f t="shared" si="27"/>
        <v>Conforme</v>
      </c>
      <c r="J1792" s="26" t="s">
        <v>1106</v>
      </c>
    </row>
    <row r="1793" spans="1:10" ht="16.05" customHeight="1" x14ac:dyDescent="0.3">
      <c r="A1793" s="26" t="s">
        <v>801</v>
      </c>
      <c r="B1793" s="26" t="s">
        <v>1161</v>
      </c>
      <c r="C1793" s="33" t="str">
        <f>IFERROR(INDEX(tbl_requisitos_emb[Tema],MATCH(B1793,tbl_requisitos_emb[ID_Req],0)),"")</f>
        <v>Materiais em contacto com alimentos</v>
      </c>
      <c r="D1793" s="33" t="str">
        <f>IFERROR(INDEX(tbl_recyclass[Segmento],MATCH(A1793,tbl_recyclass[ProductId],0)),"")</f>
        <v>Cosmética e higiene pessoal</v>
      </c>
      <c r="E1793" s="26" t="s">
        <v>904</v>
      </c>
      <c r="F1793" s="26" t="s">
        <v>1450</v>
      </c>
      <c r="G1793" s="26" t="s">
        <v>1143</v>
      </c>
      <c r="H1793" s="33" t="str">
        <f>IF(E1793="Não","Não aplicável",IFERROR(IF(B1793="EU-ENV-002",IF(INDEX(tbl_recyclass[Conforme_PPWR_2030],MATCH(A1793,tbl_recyclass[ProductId],0))="Sim","Conforme (autoavaliação)",IF(INDEX(tbl_recyclass[Conforme_PPWR_2030],MATCH(A1793,tbl_recyclass[ProductId],0))="Não","Não conforme em 2030","Isento até 2035")),IF(B1793="EU-ENV-003",IF(INDEX(tbl_recyclass[Conforme_Art7_2030],MATCH(A1793,tbl_recyclass[ProductId],0))="Sim","Conforme (meta 2030)",IF(INDEX(tbl_recyclass[Conforme_Art7_2030],MATCH(A1793,tbl_recyclass[ProductId],0))="Não","Lacuna face à meta 2030","Isento")),IF(B1793="EU-ENV-011",IF(INDEX(tbl_familias_ppwr[Metais_Pesados_Evidencia],MATCH(INDEX(tbl_recyclass[Familia_PPWR],MATCH(A1793,tbl_recyclass[ProductId],0)),tbl_familias_ppwr[ID_Familia],0))="Em falta","Lacuna","Conforme"),IF(B1793="EU-ENV-013",IF(INDEX(tbl_familias_ppwr[Declaracao_UE],MATCH(INDEX(tbl_recyclass[Familia_PPWR],MATCH(A1793,tbl_recyclass[ProductId],0)),tbl_familias_ppwr[ID_Familia],0))="Sim","Conforme","Lacuna"),G1793)))),G1793))</f>
        <v>Não aplicável</v>
      </c>
      <c r="I1793" s="33" t="str">
        <f t="shared" si="27"/>
        <v>Não aplicável</v>
      </c>
      <c r="J1793" s="26"/>
    </row>
    <row r="1794" spans="1:10" ht="16.05" customHeight="1" x14ac:dyDescent="0.3">
      <c r="A1794" s="26" t="s">
        <v>801</v>
      </c>
      <c r="B1794" s="26" t="s">
        <v>1170</v>
      </c>
      <c r="C1794" s="33" t="str">
        <f>IFERROR(INDEX(tbl_requisitos_emb[Tema],MATCH(B1794,tbl_requisitos_emb[ID_Req],0)),"")</f>
        <v>Boas práticas de fabrico FCM</v>
      </c>
      <c r="D1794" s="33" t="str">
        <f>IFERROR(INDEX(tbl_recyclass[Segmento],MATCH(A1794,tbl_recyclass[ProductId],0)),"")</f>
        <v>Cosmética e higiene pessoal</v>
      </c>
      <c r="E1794" s="26" t="s">
        <v>904</v>
      </c>
      <c r="F1794" s="26" t="s">
        <v>1450</v>
      </c>
      <c r="G1794" s="26" t="s">
        <v>1143</v>
      </c>
      <c r="H1794" s="33" t="str">
        <f>IF(E1794="Não","Não aplicável",IFERROR(IF(B1794="EU-ENV-002",IF(INDEX(tbl_recyclass[Conforme_PPWR_2030],MATCH(A1794,tbl_recyclass[ProductId],0))="Sim","Conforme (autoavaliação)",IF(INDEX(tbl_recyclass[Conforme_PPWR_2030],MATCH(A1794,tbl_recyclass[ProductId],0))="Não","Não conforme em 2030","Isento até 2035")),IF(B1794="EU-ENV-003",IF(INDEX(tbl_recyclass[Conforme_Art7_2030],MATCH(A1794,tbl_recyclass[ProductId],0))="Sim","Conforme (meta 2030)",IF(INDEX(tbl_recyclass[Conforme_Art7_2030],MATCH(A1794,tbl_recyclass[ProductId],0))="Não","Lacuna face à meta 2030","Isento")),IF(B1794="EU-ENV-011",IF(INDEX(tbl_familias_ppwr[Metais_Pesados_Evidencia],MATCH(INDEX(tbl_recyclass[Familia_PPWR],MATCH(A1794,tbl_recyclass[ProductId],0)),tbl_familias_ppwr[ID_Familia],0))="Em falta","Lacuna","Conforme"),IF(B1794="EU-ENV-013",IF(INDEX(tbl_familias_ppwr[Declaracao_UE],MATCH(INDEX(tbl_recyclass[Familia_PPWR],MATCH(A1794,tbl_recyclass[ProductId],0)),tbl_familias_ppwr[ID_Familia],0))="Sim","Conforme","Lacuna"),G1794)))),G1794))</f>
        <v>Não aplicável</v>
      </c>
      <c r="I1794" s="33" t="str">
        <f t="shared" ref="I1794:I1857" si="28">IF(ISNUMBER(SEARCH("Não aplicável",H1794)),"Não aplicável",IF(ISNUMBER(SEARCH("Isento",H1794)),"Isento",IF(ISNUMBER(SEARCH("Não conforme",H1794)),"Não conforme",IF(ISNUMBER(SEARCH("Lacuna",H1794)),"Lacuna",IF(ISNUMBER(SEARCH("Conforme",H1794)),"Conforme",H1794)))))</f>
        <v>Não aplicável</v>
      </c>
      <c r="J1794" s="26"/>
    </row>
    <row r="1795" spans="1:10" ht="16.05" customHeight="1" x14ac:dyDescent="0.3">
      <c r="A1795" s="26" t="s">
        <v>801</v>
      </c>
      <c r="B1795" s="26" t="s">
        <v>1179</v>
      </c>
      <c r="C1795" s="33" t="str">
        <f>IFERROR(INDEX(tbl_requisitos_emb[Tema],MATCH(B1795,tbl_requisitos_emb[ID_Req],0)),"")</f>
        <v>Bisfenol A e bisfenóis perigosos</v>
      </c>
      <c r="D1795" s="33" t="str">
        <f>IFERROR(INDEX(tbl_recyclass[Segmento],MATCH(A1795,tbl_recyclass[ProductId],0)),"")</f>
        <v>Cosmética e higiene pessoal</v>
      </c>
      <c r="E1795" s="26" t="s">
        <v>904</v>
      </c>
      <c r="F1795" s="26" t="s">
        <v>1450</v>
      </c>
      <c r="G1795" s="26" t="s">
        <v>1143</v>
      </c>
      <c r="H1795" s="33" t="str">
        <f>IF(E1795="Não","Não aplicável",IFERROR(IF(B1795="EU-ENV-002",IF(INDEX(tbl_recyclass[Conforme_PPWR_2030],MATCH(A1795,tbl_recyclass[ProductId],0))="Sim","Conforme (autoavaliação)",IF(INDEX(tbl_recyclass[Conforme_PPWR_2030],MATCH(A1795,tbl_recyclass[ProductId],0))="Não","Não conforme em 2030","Isento até 2035")),IF(B1795="EU-ENV-003",IF(INDEX(tbl_recyclass[Conforme_Art7_2030],MATCH(A1795,tbl_recyclass[ProductId],0))="Sim","Conforme (meta 2030)",IF(INDEX(tbl_recyclass[Conforme_Art7_2030],MATCH(A1795,tbl_recyclass[ProductId],0))="Não","Lacuna face à meta 2030","Isento")),IF(B1795="EU-ENV-011",IF(INDEX(tbl_familias_ppwr[Metais_Pesados_Evidencia],MATCH(INDEX(tbl_recyclass[Familia_PPWR],MATCH(A1795,tbl_recyclass[ProductId],0)),tbl_familias_ppwr[ID_Familia],0))="Em falta","Lacuna","Conforme"),IF(B1795="EU-ENV-013",IF(INDEX(tbl_familias_ppwr[Declaracao_UE],MATCH(INDEX(tbl_recyclass[Familia_PPWR],MATCH(A1795,tbl_recyclass[ProductId],0)),tbl_familias_ppwr[ID_Familia],0))="Sim","Conforme","Lacuna"),G1795)))),G1795))</f>
        <v>Não aplicável</v>
      </c>
      <c r="I1795" s="33" t="str">
        <f t="shared" si="28"/>
        <v>Não aplicável</v>
      </c>
      <c r="J1795" s="26"/>
    </row>
    <row r="1796" spans="1:10" ht="16.05" customHeight="1" x14ac:dyDescent="0.3">
      <c r="A1796" s="26" t="s">
        <v>801</v>
      </c>
      <c r="B1796" s="26" t="s">
        <v>1188</v>
      </c>
      <c r="C1796" s="33" t="str">
        <f>IFERROR(INDEX(tbl_requisitos_emb[Tema],MATCH(B1796,tbl_requisitos_emb[ID_Req],0)),"")</f>
        <v>Plásticos em contacto com alimentos</v>
      </c>
      <c r="D1796" s="33" t="str">
        <f>IFERROR(INDEX(tbl_recyclass[Segmento],MATCH(A1796,tbl_recyclass[ProductId],0)),"")</f>
        <v>Cosmética e higiene pessoal</v>
      </c>
      <c r="E1796" s="26" t="s">
        <v>904</v>
      </c>
      <c r="F1796" s="26" t="s">
        <v>1450</v>
      </c>
      <c r="G1796" s="26" t="s">
        <v>1143</v>
      </c>
      <c r="H1796" s="33" t="str">
        <f>IF(E1796="Não","Não aplicável",IFERROR(IF(B1796="EU-ENV-002",IF(INDEX(tbl_recyclass[Conforme_PPWR_2030],MATCH(A1796,tbl_recyclass[ProductId],0))="Sim","Conforme (autoavaliação)",IF(INDEX(tbl_recyclass[Conforme_PPWR_2030],MATCH(A1796,tbl_recyclass[ProductId],0))="Não","Não conforme em 2030","Isento até 2035")),IF(B1796="EU-ENV-003",IF(INDEX(tbl_recyclass[Conforme_Art7_2030],MATCH(A1796,tbl_recyclass[ProductId],0))="Sim","Conforme (meta 2030)",IF(INDEX(tbl_recyclass[Conforme_Art7_2030],MATCH(A1796,tbl_recyclass[ProductId],0))="Não","Lacuna face à meta 2030","Isento")),IF(B1796="EU-ENV-011",IF(INDEX(tbl_familias_ppwr[Metais_Pesados_Evidencia],MATCH(INDEX(tbl_recyclass[Familia_PPWR],MATCH(A1796,tbl_recyclass[ProductId],0)),tbl_familias_ppwr[ID_Familia],0))="Em falta","Lacuna","Conforme"),IF(B1796="EU-ENV-013",IF(INDEX(tbl_familias_ppwr[Declaracao_UE],MATCH(INDEX(tbl_recyclass[Familia_PPWR],MATCH(A1796,tbl_recyclass[ProductId],0)),tbl_familias_ppwr[ID_Familia],0))="Sim","Conforme","Lacuna"),G1796)))),G1796))</f>
        <v>Não aplicável</v>
      </c>
      <c r="I1796" s="33" t="str">
        <f t="shared" si="28"/>
        <v>Não aplicável</v>
      </c>
      <c r="J1796" s="26"/>
    </row>
    <row r="1797" spans="1:10" ht="16.05" customHeight="1" x14ac:dyDescent="0.3">
      <c r="A1797" s="26" t="s">
        <v>801</v>
      </c>
      <c r="B1797" s="26" t="s">
        <v>1212</v>
      </c>
      <c r="C1797" s="33" t="str">
        <f>IFERROR(INDEX(tbl_requisitos_emb[Tema],MATCH(B1797,tbl_requisitos_emb[ID_Req],0)),"")</f>
        <v>Segurança do produto cosmético</v>
      </c>
      <c r="D1797" s="33" t="str">
        <f>IFERROR(INDEX(tbl_recyclass[Segmento],MATCH(A1797,tbl_recyclass[ProductId],0)),"")</f>
        <v>Cosmética e higiene pessoal</v>
      </c>
      <c r="E1797" s="26" t="s">
        <v>901</v>
      </c>
      <c r="F1797" s="26" t="s">
        <v>1449</v>
      </c>
      <c r="G1797" s="26" t="s">
        <v>1033</v>
      </c>
      <c r="H1797" s="33" t="str">
        <f>IF(E1797="Não","Não aplicável",IFERROR(IF(B1797="EU-ENV-002",IF(INDEX(tbl_recyclass[Conforme_PPWR_2030],MATCH(A1797,tbl_recyclass[ProductId],0))="Sim","Conforme (autoavaliação)",IF(INDEX(tbl_recyclass[Conforme_PPWR_2030],MATCH(A1797,tbl_recyclass[ProductId],0))="Não","Não conforme em 2030","Isento até 2035")),IF(B1797="EU-ENV-003",IF(INDEX(tbl_recyclass[Conforme_Art7_2030],MATCH(A1797,tbl_recyclass[ProductId],0))="Sim","Conforme (meta 2030)",IF(INDEX(tbl_recyclass[Conforme_Art7_2030],MATCH(A1797,tbl_recyclass[ProductId],0))="Não","Lacuna face à meta 2030","Isento")),IF(B1797="EU-ENV-011",IF(INDEX(tbl_familias_ppwr[Metais_Pesados_Evidencia],MATCH(INDEX(tbl_recyclass[Familia_PPWR],MATCH(A1797,tbl_recyclass[ProductId],0)),tbl_familias_ppwr[ID_Familia],0))="Em falta","Lacuna","Conforme"),IF(B1797="EU-ENV-013",IF(INDEX(tbl_familias_ppwr[Declaracao_UE],MATCH(INDEX(tbl_recyclass[Familia_PPWR],MATCH(A1797,tbl_recyclass[ProductId],0)),tbl_familias_ppwr[ID_Familia],0))="Sim","Conforme","Lacuna"),G1797)))),G1797))</f>
        <v>Conforme</v>
      </c>
      <c r="I1797" s="33" t="str">
        <f t="shared" si="28"/>
        <v>Conforme</v>
      </c>
      <c r="J1797" s="26" t="s">
        <v>1221</v>
      </c>
    </row>
    <row r="1798" spans="1:10" ht="16.05" customHeight="1" x14ac:dyDescent="0.3">
      <c r="A1798" s="26" t="s">
        <v>801</v>
      </c>
      <c r="B1798" s="26" t="s">
        <v>1224</v>
      </c>
      <c r="C1798" s="33" t="str">
        <f>IFERROR(INDEX(tbl_requisitos_emb[Tema],MATCH(B1798,tbl_requisitos_emb[ID_Req],0)),"")</f>
        <v>Materiais e impurezas</v>
      </c>
      <c r="D1798" s="33" t="str">
        <f>IFERROR(INDEX(tbl_recyclass[Segmento],MATCH(A1798,tbl_recyclass[ProductId],0)),"")</f>
        <v>Cosmética e higiene pessoal</v>
      </c>
      <c r="E1798" s="26" t="s">
        <v>901</v>
      </c>
      <c r="F1798" s="26" t="s">
        <v>1449</v>
      </c>
      <c r="G1798" s="26" t="s">
        <v>978</v>
      </c>
      <c r="H1798" s="33" t="str">
        <f>IF(E1798="Não","Não aplicável",IFERROR(IF(B1798="EU-ENV-002",IF(INDEX(tbl_recyclass[Conforme_PPWR_2030],MATCH(A1798,tbl_recyclass[ProductId],0))="Sim","Conforme (autoavaliação)",IF(INDEX(tbl_recyclass[Conforme_PPWR_2030],MATCH(A1798,tbl_recyclass[ProductId],0))="Não","Não conforme em 2030","Isento até 2035")),IF(B1798="EU-ENV-003",IF(INDEX(tbl_recyclass[Conforme_Art7_2030],MATCH(A1798,tbl_recyclass[ProductId],0))="Sim","Conforme (meta 2030)",IF(INDEX(tbl_recyclass[Conforme_Art7_2030],MATCH(A1798,tbl_recyclass[ProductId],0))="Não","Lacuna face à meta 2030","Isento")),IF(B1798="EU-ENV-011",IF(INDEX(tbl_familias_ppwr[Metais_Pesados_Evidencia],MATCH(INDEX(tbl_recyclass[Familia_PPWR],MATCH(A1798,tbl_recyclass[ProductId],0)),tbl_familias_ppwr[ID_Familia],0))="Em falta","Lacuna","Conforme"),IF(B1798="EU-ENV-013",IF(INDEX(tbl_familias_ppwr[Declaracao_UE],MATCH(INDEX(tbl_recyclass[Familia_PPWR],MATCH(A1798,tbl_recyclass[ProductId],0)),tbl_familias_ppwr[ID_Familia],0))="Sim","Conforme","Lacuna"),G1798)))),G1798))</f>
        <v>Parcial</v>
      </c>
      <c r="I1798" s="33" t="str">
        <f t="shared" si="28"/>
        <v>Parcial</v>
      </c>
      <c r="J1798" s="26" t="s">
        <v>1228</v>
      </c>
    </row>
    <row r="1799" spans="1:10" ht="16.05" customHeight="1" x14ac:dyDescent="0.3">
      <c r="A1799" s="26" t="s">
        <v>801</v>
      </c>
      <c r="B1799" s="26" t="s">
        <v>1240</v>
      </c>
      <c r="C1799" s="33" t="str">
        <f>IFERROR(INDEX(tbl_requisitos_emb[Tema],MATCH(B1799,tbl_requisitos_emb[ID_Req],0)),"")</f>
        <v>Compatibilidade embalagem–produto</v>
      </c>
      <c r="D1799" s="33" t="str">
        <f>IFERROR(INDEX(tbl_recyclass[Segmento],MATCH(A1799,tbl_recyclass[ProductId],0)),"")</f>
        <v>Cosmética e higiene pessoal</v>
      </c>
      <c r="E1799" s="26" t="s">
        <v>901</v>
      </c>
      <c r="F1799" s="26" t="s">
        <v>1449</v>
      </c>
      <c r="G1799" s="26" t="s">
        <v>1033</v>
      </c>
      <c r="H1799" s="33" t="str">
        <f>IF(E1799="Não","Não aplicável",IFERROR(IF(B1799="EU-ENV-002",IF(INDEX(tbl_recyclass[Conforme_PPWR_2030],MATCH(A1799,tbl_recyclass[ProductId],0))="Sim","Conforme (autoavaliação)",IF(INDEX(tbl_recyclass[Conforme_PPWR_2030],MATCH(A1799,tbl_recyclass[ProductId],0))="Não","Não conforme em 2030","Isento até 2035")),IF(B1799="EU-ENV-003",IF(INDEX(tbl_recyclass[Conforme_Art7_2030],MATCH(A1799,tbl_recyclass[ProductId],0))="Sim","Conforme (meta 2030)",IF(INDEX(tbl_recyclass[Conforme_Art7_2030],MATCH(A1799,tbl_recyclass[ProductId],0))="Não","Lacuna face à meta 2030","Isento")),IF(B1799="EU-ENV-011",IF(INDEX(tbl_familias_ppwr[Metais_Pesados_Evidencia],MATCH(INDEX(tbl_recyclass[Familia_PPWR],MATCH(A1799,tbl_recyclass[ProductId],0)),tbl_familias_ppwr[ID_Familia],0))="Em falta","Lacuna","Conforme"),IF(B1799="EU-ENV-013",IF(INDEX(tbl_familias_ppwr[Declaracao_UE],MATCH(INDEX(tbl_recyclass[Familia_PPWR],MATCH(A1799,tbl_recyclass[ProductId],0)),tbl_familias_ppwr[ID_Familia],0))="Sim","Conforme","Lacuna"),G1799)))),G1799))</f>
        <v>Conforme</v>
      </c>
      <c r="I1799" s="33" t="str">
        <f t="shared" si="28"/>
        <v>Conforme</v>
      </c>
      <c r="J1799" s="26" t="s">
        <v>1244</v>
      </c>
    </row>
    <row r="1800" spans="1:10" ht="16.05" customHeight="1" x14ac:dyDescent="0.3">
      <c r="A1800" s="26" t="s">
        <v>801</v>
      </c>
      <c r="B1800" s="26" t="s">
        <v>1252</v>
      </c>
      <c r="C1800" s="33" t="str">
        <f>IFERROR(INDEX(tbl_requisitos_emb[Tema],MATCH(B1800,tbl_requisitos_emb[ID_Req],0)),"")</f>
        <v>Medicamentos de uso humano</v>
      </c>
      <c r="D1800" s="33" t="str">
        <f>IFERROR(INDEX(tbl_recyclass[Segmento],MATCH(A1800,tbl_recyclass[ProductId],0)),"")</f>
        <v>Cosmética e higiene pessoal</v>
      </c>
      <c r="E1800" s="26" t="s">
        <v>904</v>
      </c>
      <c r="F1800" s="26" t="s">
        <v>1451</v>
      </c>
      <c r="G1800" s="26" t="s">
        <v>1143</v>
      </c>
      <c r="H1800" s="33" t="str">
        <f>IF(E1800="Não","Não aplicável",IFERROR(IF(B1800="EU-ENV-002",IF(INDEX(tbl_recyclass[Conforme_PPWR_2030],MATCH(A1800,tbl_recyclass[ProductId],0))="Sim","Conforme (autoavaliação)",IF(INDEX(tbl_recyclass[Conforme_PPWR_2030],MATCH(A1800,tbl_recyclass[ProductId],0))="Não","Não conforme em 2030","Isento até 2035")),IF(B1800="EU-ENV-003",IF(INDEX(tbl_recyclass[Conforme_Art7_2030],MATCH(A1800,tbl_recyclass[ProductId],0))="Sim","Conforme (meta 2030)",IF(INDEX(tbl_recyclass[Conforme_Art7_2030],MATCH(A1800,tbl_recyclass[ProductId],0))="Não","Lacuna face à meta 2030","Isento")),IF(B1800="EU-ENV-011",IF(INDEX(tbl_familias_ppwr[Metais_Pesados_Evidencia],MATCH(INDEX(tbl_recyclass[Familia_PPWR],MATCH(A1800,tbl_recyclass[ProductId],0)),tbl_familias_ppwr[ID_Familia],0))="Em falta","Lacuna","Conforme"),IF(B1800="EU-ENV-013",IF(INDEX(tbl_familias_ppwr[Declaracao_UE],MATCH(INDEX(tbl_recyclass[Familia_PPWR],MATCH(A1800,tbl_recyclass[ProductId],0)),tbl_familias_ppwr[ID_Familia],0))="Sim","Conforme","Lacuna"),G1800)))),G1800))</f>
        <v>Não aplicável</v>
      </c>
      <c r="I1800" s="33" t="str">
        <f t="shared" si="28"/>
        <v>Não aplicável</v>
      </c>
      <c r="J1800" s="26"/>
    </row>
    <row r="1801" spans="1:10" ht="16.05" customHeight="1" x14ac:dyDescent="0.3">
      <c r="A1801" s="26" t="s">
        <v>801</v>
      </c>
      <c r="B1801" s="26" t="s">
        <v>1268</v>
      </c>
      <c r="C1801" s="33" t="str">
        <f>IFERROR(INDEX(tbl_requisitos_emb[Tema],MATCH(B1801,tbl_requisitos_emb[ID_Req],0)),"")</f>
        <v>Dispositivos de segurança</v>
      </c>
      <c r="D1801" s="33" t="str">
        <f>IFERROR(INDEX(tbl_recyclass[Segmento],MATCH(A1801,tbl_recyclass[ProductId],0)),"")</f>
        <v>Cosmética e higiene pessoal</v>
      </c>
      <c r="E1801" s="26" t="s">
        <v>904</v>
      </c>
      <c r="F1801" s="26" t="s">
        <v>1451</v>
      </c>
      <c r="G1801" s="26" t="s">
        <v>1143</v>
      </c>
      <c r="H1801" s="33" t="str">
        <f>IF(E1801="Não","Não aplicável",IFERROR(IF(B1801="EU-ENV-002",IF(INDEX(tbl_recyclass[Conforme_PPWR_2030],MATCH(A1801,tbl_recyclass[ProductId],0))="Sim","Conforme (autoavaliação)",IF(INDEX(tbl_recyclass[Conforme_PPWR_2030],MATCH(A1801,tbl_recyclass[ProductId],0))="Não","Não conforme em 2030","Isento até 2035")),IF(B1801="EU-ENV-003",IF(INDEX(tbl_recyclass[Conforme_Art7_2030],MATCH(A1801,tbl_recyclass[ProductId],0))="Sim","Conforme (meta 2030)",IF(INDEX(tbl_recyclass[Conforme_Art7_2030],MATCH(A1801,tbl_recyclass[ProductId],0))="Não","Lacuna face à meta 2030","Isento")),IF(B1801="EU-ENV-011",IF(INDEX(tbl_familias_ppwr[Metais_Pesados_Evidencia],MATCH(INDEX(tbl_recyclass[Familia_PPWR],MATCH(A1801,tbl_recyclass[ProductId],0)),tbl_familias_ppwr[ID_Familia],0))="Em falta","Lacuna","Conforme"),IF(B1801="EU-ENV-013",IF(INDEX(tbl_familias_ppwr[Declaracao_UE],MATCH(INDEX(tbl_recyclass[Familia_PPWR],MATCH(A1801,tbl_recyclass[ProductId],0)),tbl_familias_ppwr[ID_Familia],0))="Sim","Conforme","Lacuna"),G1801)))),G1801))</f>
        <v>Não aplicável</v>
      </c>
      <c r="I1801" s="33" t="str">
        <f t="shared" si="28"/>
        <v>Não aplicável</v>
      </c>
      <c r="J1801" s="26"/>
    </row>
    <row r="1802" spans="1:10" ht="16.05" customHeight="1" x14ac:dyDescent="0.3">
      <c r="A1802" s="26" t="s">
        <v>801</v>
      </c>
      <c r="B1802" s="26" t="s">
        <v>1285</v>
      </c>
      <c r="C1802" s="33" t="str">
        <f>IFERROR(INDEX(tbl_requisitos_emb[Tema],MATCH(B1802,tbl_requisitos_emb[ID_Req],0)),"")</f>
        <v>Materiais plásticos de acondicionamento primário</v>
      </c>
      <c r="D1802" s="33" t="str">
        <f>IFERROR(INDEX(tbl_recyclass[Segmento],MATCH(A1802,tbl_recyclass[ProductId],0)),"")</f>
        <v>Cosmética e higiene pessoal</v>
      </c>
      <c r="E1802" s="26" t="s">
        <v>904</v>
      </c>
      <c r="F1802" s="26" t="s">
        <v>1451</v>
      </c>
      <c r="G1802" s="26" t="s">
        <v>1143</v>
      </c>
      <c r="H1802" s="33" t="str">
        <f>IF(E1802="Não","Não aplicável",IFERROR(IF(B1802="EU-ENV-002",IF(INDEX(tbl_recyclass[Conforme_PPWR_2030],MATCH(A1802,tbl_recyclass[ProductId],0))="Sim","Conforme (autoavaliação)",IF(INDEX(tbl_recyclass[Conforme_PPWR_2030],MATCH(A1802,tbl_recyclass[ProductId],0))="Não","Não conforme em 2030","Isento até 2035")),IF(B1802="EU-ENV-003",IF(INDEX(tbl_recyclass[Conforme_Art7_2030],MATCH(A1802,tbl_recyclass[ProductId],0))="Sim","Conforme (meta 2030)",IF(INDEX(tbl_recyclass[Conforme_Art7_2030],MATCH(A1802,tbl_recyclass[ProductId],0))="Não","Lacuna face à meta 2030","Isento")),IF(B1802="EU-ENV-011",IF(INDEX(tbl_familias_ppwr[Metais_Pesados_Evidencia],MATCH(INDEX(tbl_recyclass[Familia_PPWR],MATCH(A1802,tbl_recyclass[ProductId],0)),tbl_familias_ppwr[ID_Familia],0))="Em falta","Lacuna","Conforme"),IF(B1802="EU-ENV-013",IF(INDEX(tbl_familias_ppwr[Declaracao_UE],MATCH(INDEX(tbl_recyclass[Familia_PPWR],MATCH(A1802,tbl_recyclass[ProductId],0)),tbl_familias_ppwr[ID_Familia],0))="Sim","Conforme","Lacuna"),G1802)))),G1802))</f>
        <v>Não aplicável</v>
      </c>
      <c r="I1802" s="33" t="str">
        <f t="shared" si="28"/>
        <v>Não aplicável</v>
      </c>
      <c r="J1802" s="26"/>
    </row>
    <row r="1803" spans="1:10" ht="16.05" customHeight="1" x14ac:dyDescent="0.3">
      <c r="A1803" s="26" t="s">
        <v>801</v>
      </c>
      <c r="B1803" s="26" t="s">
        <v>1293</v>
      </c>
      <c r="C1803" s="33" t="str">
        <f>IFERROR(INDEX(tbl_requisitos_emb[Tema],MATCH(B1803,tbl_requisitos_emb[ID_Req],0)),"")</f>
        <v>Isenções PPWR</v>
      </c>
      <c r="D1803" s="33" t="str">
        <f>IFERROR(INDEX(tbl_recyclass[Segmento],MATCH(A1803,tbl_recyclass[ProductId],0)),"")</f>
        <v>Cosmética e higiene pessoal</v>
      </c>
      <c r="E1803" s="26" t="s">
        <v>904</v>
      </c>
      <c r="F1803" s="26" t="s">
        <v>1451</v>
      </c>
      <c r="G1803" s="26" t="s">
        <v>1143</v>
      </c>
      <c r="H1803" s="33" t="str">
        <f>IF(E1803="Não","Não aplicável",IFERROR(IF(B1803="EU-ENV-002",IF(INDEX(tbl_recyclass[Conforme_PPWR_2030],MATCH(A1803,tbl_recyclass[ProductId],0))="Sim","Conforme (autoavaliação)",IF(INDEX(tbl_recyclass[Conforme_PPWR_2030],MATCH(A1803,tbl_recyclass[ProductId],0))="Não","Não conforme em 2030","Isento até 2035")),IF(B1803="EU-ENV-003",IF(INDEX(tbl_recyclass[Conforme_Art7_2030],MATCH(A1803,tbl_recyclass[ProductId],0))="Sim","Conforme (meta 2030)",IF(INDEX(tbl_recyclass[Conforme_Art7_2030],MATCH(A1803,tbl_recyclass[ProductId],0))="Não","Lacuna face à meta 2030","Isento")),IF(B1803="EU-ENV-011",IF(INDEX(tbl_familias_ppwr[Metais_Pesados_Evidencia],MATCH(INDEX(tbl_recyclass[Familia_PPWR],MATCH(A1803,tbl_recyclass[ProductId],0)),tbl_familias_ppwr[ID_Familia],0))="Em falta","Lacuna","Conforme"),IF(B1803="EU-ENV-013",IF(INDEX(tbl_familias_ppwr[Declaracao_UE],MATCH(INDEX(tbl_recyclass[Familia_PPWR],MATCH(A1803,tbl_recyclass[ProductId],0)),tbl_familias_ppwr[ID_Familia],0))="Sim","Conforme","Lacuna"),G1803)))),G1803))</f>
        <v>Não aplicável</v>
      </c>
      <c r="I1803" s="33" t="str">
        <f t="shared" si="28"/>
        <v>Não aplicável</v>
      </c>
      <c r="J1803" s="26"/>
    </row>
    <row r="1804" spans="1:10" ht="16.05" customHeight="1" x14ac:dyDescent="0.3">
      <c r="A1804" s="26" t="s">
        <v>801</v>
      </c>
      <c r="B1804" s="26" t="s">
        <v>1357</v>
      </c>
      <c r="C1804" s="33" t="str">
        <f>IFERROR(INDEX(tbl_requisitos_emb[Tema],MATCH(B1804,tbl_requisitos_emb[ID_Req],0)),"")</f>
        <v>Identificação de plásticos</v>
      </c>
      <c r="D1804" s="33" t="str">
        <f>IFERROR(INDEX(tbl_recyclass[Segmento],MATCH(A1804,tbl_recyclass[ProductId],0)),"")</f>
        <v>Cosmética e higiene pessoal</v>
      </c>
      <c r="E1804" s="26" t="s">
        <v>901</v>
      </c>
      <c r="F1804" s="26" t="s">
        <v>1449</v>
      </c>
      <c r="G1804" s="26" t="s">
        <v>978</v>
      </c>
      <c r="H1804" s="33" t="str">
        <f>IF(E1804="Não","Não aplicável",IFERROR(IF(B1804="EU-ENV-002",IF(INDEX(tbl_recyclass[Conforme_PPWR_2030],MATCH(A1804,tbl_recyclass[ProductId],0))="Sim","Conforme (autoavaliação)",IF(INDEX(tbl_recyclass[Conforme_PPWR_2030],MATCH(A1804,tbl_recyclass[ProductId],0))="Não","Não conforme em 2030","Isento até 2035")),IF(B1804="EU-ENV-003",IF(INDEX(tbl_recyclass[Conforme_Art7_2030],MATCH(A1804,tbl_recyclass[ProductId],0))="Sim","Conforme (meta 2030)",IF(INDEX(tbl_recyclass[Conforme_Art7_2030],MATCH(A1804,tbl_recyclass[ProductId],0))="Não","Lacuna face à meta 2030","Isento")),IF(B1804="EU-ENV-011",IF(INDEX(tbl_familias_ppwr[Metais_Pesados_Evidencia],MATCH(INDEX(tbl_recyclass[Familia_PPWR],MATCH(A1804,tbl_recyclass[ProductId],0)),tbl_familias_ppwr[ID_Familia],0))="Em falta","Lacuna","Conforme"),IF(B1804="EU-ENV-013",IF(INDEX(tbl_familias_ppwr[Declaracao_UE],MATCH(INDEX(tbl_recyclass[Familia_PPWR],MATCH(A1804,tbl_recyclass[ProductId],0)),tbl_familias_ppwr[ID_Familia],0))="Sim","Conforme","Lacuna"),G1804)))),G1804))</f>
        <v>Parcial</v>
      </c>
      <c r="I1804" s="33" t="str">
        <f t="shared" si="28"/>
        <v>Parcial</v>
      </c>
      <c r="J1804" s="26" t="s">
        <v>1362</v>
      </c>
    </row>
    <row r="1805" spans="1:10" ht="16.05" customHeight="1" x14ac:dyDescent="0.3">
      <c r="A1805" s="26" t="s">
        <v>801</v>
      </c>
      <c r="B1805" s="26" t="s">
        <v>1385</v>
      </c>
      <c r="C1805" s="33" t="str">
        <f>IFERROR(INDEX(tbl_requisitos_emb[Tema],MATCH(B1805,tbl_requisitos_emb[ID_Req],0)),"")</f>
        <v>Reciclabilidade (voluntária)</v>
      </c>
      <c r="D1805" s="33" t="str">
        <f>IFERROR(INDEX(tbl_recyclass[Segmento],MATCH(A1805,tbl_recyclass[ProductId],0)),"")</f>
        <v>Cosmética e higiene pessoal</v>
      </c>
      <c r="E1805" s="26" t="s">
        <v>901</v>
      </c>
      <c r="F1805" s="26" t="s">
        <v>1449</v>
      </c>
      <c r="G1805" s="26" t="s">
        <v>978</v>
      </c>
      <c r="H1805" s="33" t="str">
        <f>IF(E1805="Não","Não aplicável",IFERROR(IF(B1805="EU-ENV-002",IF(INDEX(tbl_recyclass[Conforme_PPWR_2030],MATCH(A1805,tbl_recyclass[ProductId],0))="Sim","Conforme (autoavaliação)",IF(INDEX(tbl_recyclass[Conforme_PPWR_2030],MATCH(A1805,tbl_recyclass[ProductId],0))="Não","Não conforme em 2030","Isento até 2035")),IF(B1805="EU-ENV-003",IF(INDEX(tbl_recyclass[Conforme_Art7_2030],MATCH(A1805,tbl_recyclass[ProductId],0))="Sim","Conforme (meta 2030)",IF(INDEX(tbl_recyclass[Conforme_Art7_2030],MATCH(A1805,tbl_recyclass[ProductId],0))="Não","Lacuna face à meta 2030","Isento")),IF(B1805="EU-ENV-011",IF(INDEX(tbl_familias_ppwr[Metais_Pesados_Evidencia],MATCH(INDEX(tbl_recyclass[Familia_PPWR],MATCH(A1805,tbl_recyclass[ProductId],0)),tbl_familias_ppwr[ID_Familia],0))="Em falta","Lacuna","Conforme"),IF(B1805="EU-ENV-013",IF(INDEX(tbl_familias_ppwr[Declaracao_UE],MATCH(INDEX(tbl_recyclass[Familia_PPWR],MATCH(A1805,tbl_recyclass[ProductId],0)),tbl_familias_ppwr[ID_Familia],0))="Sim","Conforme","Lacuna"),G1805)))),G1805))</f>
        <v>Parcial</v>
      </c>
      <c r="I1805" s="33" t="str">
        <f t="shared" si="28"/>
        <v>Parcial</v>
      </c>
      <c r="J1805" s="26" t="s">
        <v>1389</v>
      </c>
    </row>
    <row r="1806" spans="1:10" ht="16.05" customHeight="1" x14ac:dyDescent="0.3">
      <c r="A1806" s="26" t="s">
        <v>803</v>
      </c>
      <c r="B1806" s="26" t="s">
        <v>984</v>
      </c>
      <c r="C1806" s="33" t="str">
        <f>IFERROR(INDEX(tbl_requisitos_emb[Tema],MATCH(B1806,tbl_requisitos_emb[ID_Req],0)),"")</f>
        <v>Conceção para reciclagem</v>
      </c>
      <c r="D1806" s="33" t="str">
        <f>IFERROR(INDEX(tbl_recyclass[Segmento],MATCH(A1806,tbl_recyclass[ProductId],0)),"")</f>
        <v>Cosmética e higiene pessoal</v>
      </c>
      <c r="E1806" s="26" t="s">
        <v>901</v>
      </c>
      <c r="F1806" s="26" t="s">
        <v>1449</v>
      </c>
      <c r="G1806" s="26" t="s">
        <v>978</v>
      </c>
      <c r="H1806" s="33" t="str">
        <f>IF(E1806="Não","Não aplicável",IFERROR(IF(B1806="EU-ENV-002",IF(INDEX(tbl_recyclass[Conforme_PPWR_2030],MATCH(A1806,tbl_recyclass[ProductId],0))="Sim","Conforme (autoavaliação)",IF(INDEX(tbl_recyclass[Conforme_PPWR_2030],MATCH(A1806,tbl_recyclass[ProductId],0))="Não","Não conforme em 2030","Isento até 2035")),IF(B1806="EU-ENV-003",IF(INDEX(tbl_recyclass[Conforme_Art7_2030],MATCH(A1806,tbl_recyclass[ProductId],0))="Sim","Conforme (meta 2030)",IF(INDEX(tbl_recyclass[Conforme_Art7_2030],MATCH(A1806,tbl_recyclass[ProductId],0))="Não","Lacuna face à meta 2030","Isento")),IF(B1806="EU-ENV-011",IF(INDEX(tbl_familias_ppwr[Metais_Pesados_Evidencia],MATCH(INDEX(tbl_recyclass[Familia_PPWR],MATCH(A1806,tbl_recyclass[ProductId],0)),tbl_familias_ppwr[ID_Familia],0))="Em falta","Lacuna","Conforme"),IF(B1806="EU-ENV-013",IF(INDEX(tbl_familias_ppwr[Declaracao_UE],MATCH(INDEX(tbl_recyclass[Familia_PPWR],MATCH(A1806,tbl_recyclass[ProductId],0)),tbl_familias_ppwr[ID_Familia],0))="Sim","Conforme","Lacuna"),G1806)))),G1806))</f>
        <v>Conforme (autoavaliação)</v>
      </c>
      <c r="I1806" s="33" t="str">
        <f t="shared" si="28"/>
        <v>Conforme</v>
      </c>
      <c r="J1806" s="26" t="s">
        <v>991</v>
      </c>
    </row>
    <row r="1807" spans="1:10" ht="16.05" customHeight="1" x14ac:dyDescent="0.3">
      <c r="A1807" s="26" t="s">
        <v>803</v>
      </c>
      <c r="B1807" s="26" t="s">
        <v>997</v>
      </c>
      <c r="C1807" s="33" t="str">
        <f>IFERROR(INDEX(tbl_requisitos_emb[Tema],MATCH(B1807,tbl_requisitos_emb[ID_Req],0)),"")</f>
        <v>Conteúdo reciclado</v>
      </c>
      <c r="D1807" s="33" t="str">
        <f>IFERROR(INDEX(tbl_recyclass[Segmento],MATCH(A1807,tbl_recyclass[ProductId],0)),"")</f>
        <v>Cosmética e higiene pessoal</v>
      </c>
      <c r="E1807" s="26" t="s">
        <v>901</v>
      </c>
      <c r="F1807" s="26" t="s">
        <v>1449</v>
      </c>
      <c r="G1807" s="26" t="s">
        <v>978</v>
      </c>
      <c r="H1807" s="33" t="str">
        <f>IF(E1807="Não","Não aplicável",IFERROR(IF(B1807="EU-ENV-002",IF(INDEX(tbl_recyclass[Conforme_PPWR_2030],MATCH(A1807,tbl_recyclass[ProductId],0))="Sim","Conforme (autoavaliação)",IF(INDEX(tbl_recyclass[Conforme_PPWR_2030],MATCH(A1807,tbl_recyclass[ProductId],0))="Não","Não conforme em 2030","Isento até 2035")),IF(B1807="EU-ENV-003",IF(INDEX(tbl_recyclass[Conforme_Art7_2030],MATCH(A1807,tbl_recyclass[ProductId],0))="Sim","Conforme (meta 2030)",IF(INDEX(tbl_recyclass[Conforme_Art7_2030],MATCH(A1807,tbl_recyclass[ProductId],0))="Não","Lacuna face à meta 2030","Isento")),IF(B1807="EU-ENV-011",IF(INDEX(tbl_familias_ppwr[Metais_Pesados_Evidencia],MATCH(INDEX(tbl_recyclass[Familia_PPWR],MATCH(A1807,tbl_recyclass[ProductId],0)),tbl_familias_ppwr[ID_Familia],0))="Em falta","Lacuna","Conforme"),IF(B1807="EU-ENV-013",IF(INDEX(tbl_familias_ppwr[Declaracao_UE],MATCH(INDEX(tbl_recyclass[Familia_PPWR],MATCH(A1807,tbl_recyclass[ProductId],0)),tbl_familias_ppwr[ID_Familia],0))="Sim","Conforme","Lacuna"),G1807)))),G1807))</f>
        <v>Lacuna face à meta 2030</v>
      </c>
      <c r="I1807" s="33" t="str">
        <f t="shared" si="28"/>
        <v>Lacuna</v>
      </c>
      <c r="J1807" s="26" t="s">
        <v>1001</v>
      </c>
    </row>
    <row r="1808" spans="1:10" ht="16.05" customHeight="1" x14ac:dyDescent="0.3">
      <c r="A1808" s="26" t="s">
        <v>803</v>
      </c>
      <c r="B1808" s="26" t="s">
        <v>1007</v>
      </c>
      <c r="C1808" s="33" t="str">
        <f>IFERROR(INDEX(tbl_requisitos_emb[Tema],MATCH(B1808,tbl_requisitos_emb[ID_Req],0)),"")</f>
        <v>Minimização</v>
      </c>
      <c r="D1808" s="33" t="str">
        <f>IFERROR(INDEX(tbl_recyclass[Segmento],MATCH(A1808,tbl_recyclass[ProductId],0)),"")</f>
        <v>Cosmética e higiene pessoal</v>
      </c>
      <c r="E1808" s="26" t="s">
        <v>901</v>
      </c>
      <c r="F1808" s="26" t="s">
        <v>1449</v>
      </c>
      <c r="G1808" s="26" t="s">
        <v>978</v>
      </c>
      <c r="H1808" s="33" t="str">
        <f>IF(E1808="Não","Não aplicável",IFERROR(IF(B1808="EU-ENV-002",IF(INDEX(tbl_recyclass[Conforme_PPWR_2030],MATCH(A1808,tbl_recyclass[ProductId],0))="Sim","Conforme (autoavaliação)",IF(INDEX(tbl_recyclass[Conforme_PPWR_2030],MATCH(A1808,tbl_recyclass[ProductId],0))="Não","Não conforme em 2030","Isento até 2035")),IF(B1808="EU-ENV-003",IF(INDEX(tbl_recyclass[Conforme_Art7_2030],MATCH(A1808,tbl_recyclass[ProductId],0))="Sim","Conforme (meta 2030)",IF(INDEX(tbl_recyclass[Conforme_Art7_2030],MATCH(A1808,tbl_recyclass[ProductId],0))="Não","Lacuna face à meta 2030","Isento")),IF(B1808="EU-ENV-011",IF(INDEX(tbl_familias_ppwr[Metais_Pesados_Evidencia],MATCH(INDEX(tbl_recyclass[Familia_PPWR],MATCH(A1808,tbl_recyclass[ProductId],0)),tbl_familias_ppwr[ID_Familia],0))="Em falta","Lacuna","Conforme"),IF(B1808="EU-ENV-013",IF(INDEX(tbl_familias_ppwr[Declaracao_UE],MATCH(INDEX(tbl_recyclass[Familia_PPWR],MATCH(A1808,tbl_recyclass[ProductId],0)),tbl_familias_ppwr[ID_Familia],0))="Sim","Conforme","Lacuna"),G1808)))),G1808))</f>
        <v>Parcial</v>
      </c>
      <c r="I1808" s="33" t="str">
        <f t="shared" si="28"/>
        <v>Parcial</v>
      </c>
      <c r="J1808" s="26" t="s">
        <v>1012</v>
      </c>
    </row>
    <row r="1809" spans="1:10" ht="16.05" customHeight="1" x14ac:dyDescent="0.3">
      <c r="A1809" s="26" t="s">
        <v>803</v>
      </c>
      <c r="B1809" s="26" t="s">
        <v>1016</v>
      </c>
      <c r="C1809" s="33" t="str">
        <f>IFERROR(INDEX(tbl_requisitos_emb[Tema],MATCH(B1809,tbl_requisitos_emb[ID_Req],0)),"")</f>
        <v>Rotulagem</v>
      </c>
      <c r="D1809" s="33" t="str">
        <f>IFERROR(INDEX(tbl_recyclass[Segmento],MATCH(A1809,tbl_recyclass[ProductId],0)),"")</f>
        <v>Cosmética e higiene pessoal</v>
      </c>
      <c r="E1809" s="26" t="s">
        <v>901</v>
      </c>
      <c r="F1809" s="26" t="s">
        <v>1449</v>
      </c>
      <c r="G1809" s="26" t="s">
        <v>990</v>
      </c>
      <c r="H1809" s="33" t="str">
        <f>IF(E1809="Não","Não aplicável",IFERROR(IF(B1809="EU-ENV-002",IF(INDEX(tbl_recyclass[Conforme_PPWR_2030],MATCH(A1809,tbl_recyclass[ProductId],0))="Sim","Conforme (autoavaliação)",IF(INDEX(tbl_recyclass[Conforme_PPWR_2030],MATCH(A1809,tbl_recyclass[ProductId],0))="Não","Não conforme em 2030","Isento até 2035")),IF(B1809="EU-ENV-003",IF(INDEX(tbl_recyclass[Conforme_Art7_2030],MATCH(A1809,tbl_recyclass[ProductId],0))="Sim","Conforme (meta 2030)",IF(INDEX(tbl_recyclass[Conforme_Art7_2030],MATCH(A1809,tbl_recyclass[ProductId],0))="Não","Lacuna face à meta 2030","Isento")),IF(B1809="EU-ENV-011",IF(INDEX(tbl_familias_ppwr[Metais_Pesados_Evidencia],MATCH(INDEX(tbl_recyclass[Familia_PPWR],MATCH(A1809,tbl_recyclass[ProductId],0)),tbl_familias_ppwr[ID_Familia],0))="Em falta","Lacuna","Conforme"),IF(B1809="EU-ENV-013",IF(INDEX(tbl_familias_ppwr[Declaracao_UE],MATCH(INDEX(tbl_recyclass[Familia_PPWR],MATCH(A1809,tbl_recyclass[ProductId],0)),tbl_familias_ppwr[ID_Familia],0))="Sim","Conforme","Lacuna"),G1809)))),G1809))</f>
        <v>Futuro</v>
      </c>
      <c r="I1809" s="33" t="str">
        <f t="shared" si="28"/>
        <v>Futuro</v>
      </c>
      <c r="J1809" s="26" t="s">
        <v>1021</v>
      </c>
    </row>
    <row r="1810" spans="1:10" ht="16.05" customHeight="1" x14ac:dyDescent="0.3">
      <c r="A1810" s="26" t="s">
        <v>803</v>
      </c>
      <c r="B1810" s="26" t="s">
        <v>1038</v>
      </c>
      <c r="C1810" s="33" t="str">
        <f>IFERROR(INDEX(tbl_requisitos_emb[Tema],MATCH(B1810,tbl_requisitos_emb[ID_Req],0)),"")</f>
        <v>Plásticos de utilização única</v>
      </c>
      <c r="D1810" s="33" t="str">
        <f>IFERROR(INDEX(tbl_recyclass[Segmento],MATCH(A1810,tbl_recyclass[ProductId],0)),"")</f>
        <v>Cosmética e higiene pessoal</v>
      </c>
      <c r="E1810" s="26" t="s">
        <v>904</v>
      </c>
      <c r="F1810" s="26" t="s">
        <v>1450</v>
      </c>
      <c r="G1810" s="26" t="s">
        <v>1143</v>
      </c>
      <c r="H1810" s="33" t="str">
        <f>IF(E1810="Não","Não aplicável",IFERROR(IF(B1810="EU-ENV-002",IF(INDEX(tbl_recyclass[Conforme_PPWR_2030],MATCH(A1810,tbl_recyclass[ProductId],0))="Sim","Conforme (autoavaliação)",IF(INDEX(tbl_recyclass[Conforme_PPWR_2030],MATCH(A1810,tbl_recyclass[ProductId],0))="Não","Não conforme em 2030","Isento até 2035")),IF(B1810="EU-ENV-003",IF(INDEX(tbl_recyclass[Conforme_Art7_2030],MATCH(A1810,tbl_recyclass[ProductId],0))="Sim","Conforme (meta 2030)",IF(INDEX(tbl_recyclass[Conforme_Art7_2030],MATCH(A1810,tbl_recyclass[ProductId],0))="Não","Lacuna face à meta 2030","Isento")),IF(B1810="EU-ENV-011",IF(INDEX(tbl_familias_ppwr[Metais_Pesados_Evidencia],MATCH(INDEX(tbl_recyclass[Familia_PPWR],MATCH(A1810,tbl_recyclass[ProductId],0)),tbl_familias_ppwr[ID_Familia],0))="Em falta","Lacuna","Conforme"),IF(B1810="EU-ENV-013",IF(INDEX(tbl_familias_ppwr[Declaracao_UE],MATCH(INDEX(tbl_recyclass[Familia_PPWR],MATCH(A1810,tbl_recyclass[ProductId],0)),tbl_familias_ppwr[ID_Familia],0))="Sim","Conforme","Lacuna"),G1810)))),G1810))</f>
        <v>Não aplicável</v>
      </c>
      <c r="I1810" s="33" t="str">
        <f t="shared" si="28"/>
        <v>Não aplicável</v>
      </c>
      <c r="J1810" s="26"/>
    </row>
    <row r="1811" spans="1:10" ht="16.05" customHeight="1" x14ac:dyDescent="0.3">
      <c r="A1811" s="26" t="s">
        <v>803</v>
      </c>
      <c r="B1811" s="26" t="s">
        <v>1078</v>
      </c>
      <c r="C1811" s="33" t="str">
        <f>IFERROR(INDEX(tbl_requisitos_emb[Tema],MATCH(B1811,tbl_requisitos_emb[ID_Req],0)),"")</f>
        <v>Reciclado à escala</v>
      </c>
      <c r="D1811" s="33" t="str">
        <f>IFERROR(INDEX(tbl_recyclass[Segmento],MATCH(A1811,tbl_recyclass[ProductId],0)),"")</f>
        <v>Cosmética e higiene pessoal</v>
      </c>
      <c r="E1811" s="26" t="s">
        <v>901</v>
      </c>
      <c r="F1811" s="26" t="s">
        <v>1449</v>
      </c>
      <c r="G1811" s="26" t="s">
        <v>990</v>
      </c>
      <c r="H1811" s="33" t="str">
        <f>IF(E1811="Não","Não aplicável",IFERROR(IF(B1811="EU-ENV-002",IF(INDEX(tbl_recyclass[Conforme_PPWR_2030],MATCH(A1811,tbl_recyclass[ProductId],0))="Sim","Conforme (autoavaliação)",IF(INDEX(tbl_recyclass[Conforme_PPWR_2030],MATCH(A1811,tbl_recyclass[ProductId],0))="Não","Não conforme em 2030","Isento até 2035")),IF(B1811="EU-ENV-003",IF(INDEX(tbl_recyclass[Conforme_Art7_2030],MATCH(A1811,tbl_recyclass[ProductId],0))="Sim","Conforme (meta 2030)",IF(INDEX(tbl_recyclass[Conforme_Art7_2030],MATCH(A1811,tbl_recyclass[ProductId],0))="Não","Lacuna face à meta 2030","Isento")),IF(B1811="EU-ENV-011",IF(INDEX(tbl_familias_ppwr[Metais_Pesados_Evidencia],MATCH(INDEX(tbl_recyclass[Familia_PPWR],MATCH(A1811,tbl_recyclass[ProductId],0)),tbl_familias_ppwr[ID_Familia],0))="Em falta","Lacuna","Conforme"),IF(B1811="EU-ENV-013",IF(INDEX(tbl_familias_ppwr[Declaracao_UE],MATCH(INDEX(tbl_recyclass[Familia_PPWR],MATCH(A1811,tbl_recyclass[ProductId],0)),tbl_familias_ppwr[ID_Familia],0))="Sim","Conforme","Lacuna"),G1811)))),G1811))</f>
        <v>Futuro</v>
      </c>
      <c r="I1811" s="33" t="str">
        <f t="shared" si="28"/>
        <v>Futuro</v>
      </c>
      <c r="J1811" s="26" t="s">
        <v>1082</v>
      </c>
    </row>
    <row r="1812" spans="1:10" ht="16.05" customHeight="1" x14ac:dyDescent="0.3">
      <c r="A1812" s="26" t="s">
        <v>803</v>
      </c>
      <c r="B1812" s="26" t="s">
        <v>1086</v>
      </c>
      <c r="C1812" s="33" t="str">
        <f>IFERROR(INDEX(tbl_requisitos_emb[Tema],MATCH(B1812,tbl_requisitos_emb[ID_Req],0)),"")</f>
        <v>Metais pesados</v>
      </c>
      <c r="D1812" s="33" t="str">
        <f>IFERROR(INDEX(tbl_recyclass[Segmento],MATCH(A1812,tbl_recyclass[ProductId],0)),"")</f>
        <v>Cosmética e higiene pessoal</v>
      </c>
      <c r="E1812" s="26" t="s">
        <v>901</v>
      </c>
      <c r="F1812" s="26" t="s">
        <v>1449</v>
      </c>
      <c r="G1812" s="26" t="s">
        <v>978</v>
      </c>
      <c r="H1812" s="33" t="str">
        <f>IF(E1812="Não","Não aplicável",IFERROR(IF(B1812="EU-ENV-002",IF(INDEX(tbl_recyclass[Conforme_PPWR_2030],MATCH(A1812,tbl_recyclass[ProductId],0))="Sim","Conforme (autoavaliação)",IF(INDEX(tbl_recyclass[Conforme_PPWR_2030],MATCH(A1812,tbl_recyclass[ProductId],0))="Não","Não conforme em 2030","Isento até 2035")),IF(B1812="EU-ENV-003",IF(INDEX(tbl_recyclass[Conforme_Art7_2030],MATCH(A1812,tbl_recyclass[ProductId],0))="Sim","Conforme (meta 2030)",IF(INDEX(tbl_recyclass[Conforme_Art7_2030],MATCH(A1812,tbl_recyclass[ProductId],0))="Não","Lacuna face à meta 2030","Isento")),IF(B1812="EU-ENV-011",IF(INDEX(tbl_familias_ppwr[Metais_Pesados_Evidencia],MATCH(INDEX(tbl_recyclass[Familia_PPWR],MATCH(A1812,tbl_recyclass[ProductId],0)),tbl_familias_ppwr[ID_Familia],0))="Em falta","Lacuna","Conforme"),IF(B1812="EU-ENV-013",IF(INDEX(tbl_familias_ppwr[Declaracao_UE],MATCH(INDEX(tbl_recyclass[Familia_PPWR],MATCH(A1812,tbl_recyclass[ProductId],0)),tbl_familias_ppwr[ID_Familia],0))="Sim","Conforme","Lacuna"),G1812)))),G1812))</f>
        <v>Conforme</v>
      </c>
      <c r="I1812" s="33" t="str">
        <f t="shared" si="28"/>
        <v>Conforme</v>
      </c>
      <c r="J1812" s="26" t="s">
        <v>1090</v>
      </c>
    </row>
    <row r="1813" spans="1:10" ht="16.05" customHeight="1" x14ac:dyDescent="0.3">
      <c r="A1813" s="26" t="s">
        <v>803</v>
      </c>
      <c r="B1813" s="26" t="s">
        <v>1094</v>
      </c>
      <c r="C1813" s="33" t="str">
        <f>IFERROR(INDEX(tbl_requisitos_emb[Tema],MATCH(B1813,tbl_requisitos_emb[ID_Req],0)),"")</f>
        <v>PFAS</v>
      </c>
      <c r="D1813" s="33" t="str">
        <f>IFERROR(INDEX(tbl_recyclass[Segmento],MATCH(A1813,tbl_recyclass[ProductId],0)),"")</f>
        <v>Cosmética e higiene pessoal</v>
      </c>
      <c r="E1813" s="26" t="s">
        <v>904</v>
      </c>
      <c r="F1813" s="26" t="s">
        <v>1450</v>
      </c>
      <c r="G1813" s="26" t="s">
        <v>1143</v>
      </c>
      <c r="H1813" s="33" t="str">
        <f>IF(E1813="Não","Não aplicável",IFERROR(IF(B1813="EU-ENV-002",IF(INDEX(tbl_recyclass[Conforme_PPWR_2030],MATCH(A1813,tbl_recyclass[ProductId],0))="Sim","Conforme (autoavaliação)",IF(INDEX(tbl_recyclass[Conforme_PPWR_2030],MATCH(A1813,tbl_recyclass[ProductId],0))="Não","Não conforme em 2030","Isento até 2035")),IF(B1813="EU-ENV-003",IF(INDEX(tbl_recyclass[Conforme_Art7_2030],MATCH(A1813,tbl_recyclass[ProductId],0))="Sim","Conforme (meta 2030)",IF(INDEX(tbl_recyclass[Conforme_Art7_2030],MATCH(A1813,tbl_recyclass[ProductId],0))="Não","Lacuna face à meta 2030","Isento")),IF(B1813="EU-ENV-011",IF(INDEX(tbl_familias_ppwr[Metais_Pesados_Evidencia],MATCH(INDEX(tbl_recyclass[Familia_PPWR],MATCH(A1813,tbl_recyclass[ProductId],0)),tbl_familias_ppwr[ID_Familia],0))="Em falta","Lacuna","Conforme"),IF(B1813="EU-ENV-013",IF(INDEX(tbl_familias_ppwr[Declaracao_UE],MATCH(INDEX(tbl_recyclass[Familia_PPWR],MATCH(A1813,tbl_recyclass[ProductId],0)),tbl_familias_ppwr[ID_Familia],0))="Sim","Conforme","Lacuna"),G1813)))),G1813))</f>
        <v>Não aplicável</v>
      </c>
      <c r="I1813" s="33" t="str">
        <f t="shared" si="28"/>
        <v>Não aplicável</v>
      </c>
      <c r="J1813" s="26"/>
    </row>
    <row r="1814" spans="1:10" ht="16.05" customHeight="1" x14ac:dyDescent="0.3">
      <c r="A1814" s="26" t="s">
        <v>803</v>
      </c>
      <c r="B1814" s="26" t="s">
        <v>1102</v>
      </c>
      <c r="C1814" s="33" t="str">
        <f>IFERROR(INDEX(tbl_requisitos_emb[Tema],MATCH(B1814,tbl_requisitos_emb[ID_Req],0)),"")</f>
        <v>Documentação técnica e declaração UE</v>
      </c>
      <c r="D1814" s="33" t="str">
        <f>IFERROR(INDEX(tbl_recyclass[Segmento],MATCH(A1814,tbl_recyclass[ProductId],0)),"")</f>
        <v>Cosmética e higiene pessoal</v>
      </c>
      <c r="E1814" s="26" t="s">
        <v>901</v>
      </c>
      <c r="F1814" s="26" t="s">
        <v>1449</v>
      </c>
      <c r="G1814" s="26" t="s">
        <v>978</v>
      </c>
      <c r="H1814" s="33" t="str">
        <f>IF(E1814="Não","Não aplicável",IFERROR(IF(B1814="EU-ENV-002",IF(INDEX(tbl_recyclass[Conforme_PPWR_2030],MATCH(A1814,tbl_recyclass[ProductId],0))="Sim","Conforme (autoavaliação)",IF(INDEX(tbl_recyclass[Conforme_PPWR_2030],MATCH(A1814,tbl_recyclass[ProductId],0))="Não","Não conforme em 2030","Isento até 2035")),IF(B1814="EU-ENV-003",IF(INDEX(tbl_recyclass[Conforme_Art7_2030],MATCH(A1814,tbl_recyclass[ProductId],0))="Sim","Conforme (meta 2030)",IF(INDEX(tbl_recyclass[Conforme_Art7_2030],MATCH(A1814,tbl_recyclass[ProductId],0))="Não","Lacuna face à meta 2030","Isento")),IF(B1814="EU-ENV-011",IF(INDEX(tbl_familias_ppwr[Metais_Pesados_Evidencia],MATCH(INDEX(tbl_recyclass[Familia_PPWR],MATCH(A1814,tbl_recyclass[ProductId],0)),tbl_familias_ppwr[ID_Familia],0))="Em falta","Lacuna","Conforme"),IF(B1814="EU-ENV-013",IF(INDEX(tbl_familias_ppwr[Declaracao_UE],MATCH(INDEX(tbl_recyclass[Familia_PPWR],MATCH(A1814,tbl_recyclass[ProductId],0)),tbl_familias_ppwr[ID_Familia],0))="Sim","Conforme","Lacuna"),G1814)))),G1814))</f>
        <v>Conforme</v>
      </c>
      <c r="I1814" s="33" t="str">
        <f t="shared" si="28"/>
        <v>Conforme</v>
      </c>
      <c r="J1814" s="26" t="s">
        <v>1106</v>
      </c>
    </row>
    <row r="1815" spans="1:10" ht="16.05" customHeight="1" x14ac:dyDescent="0.3">
      <c r="A1815" s="26" t="s">
        <v>803</v>
      </c>
      <c r="B1815" s="26" t="s">
        <v>1161</v>
      </c>
      <c r="C1815" s="33" t="str">
        <f>IFERROR(INDEX(tbl_requisitos_emb[Tema],MATCH(B1815,tbl_requisitos_emb[ID_Req],0)),"")</f>
        <v>Materiais em contacto com alimentos</v>
      </c>
      <c r="D1815" s="33" t="str">
        <f>IFERROR(INDEX(tbl_recyclass[Segmento],MATCH(A1815,tbl_recyclass[ProductId],0)),"")</f>
        <v>Cosmética e higiene pessoal</v>
      </c>
      <c r="E1815" s="26" t="s">
        <v>904</v>
      </c>
      <c r="F1815" s="26" t="s">
        <v>1450</v>
      </c>
      <c r="G1815" s="26" t="s">
        <v>1143</v>
      </c>
      <c r="H1815" s="33" t="str">
        <f>IF(E1815="Não","Não aplicável",IFERROR(IF(B1815="EU-ENV-002",IF(INDEX(tbl_recyclass[Conforme_PPWR_2030],MATCH(A1815,tbl_recyclass[ProductId],0))="Sim","Conforme (autoavaliação)",IF(INDEX(tbl_recyclass[Conforme_PPWR_2030],MATCH(A1815,tbl_recyclass[ProductId],0))="Não","Não conforme em 2030","Isento até 2035")),IF(B1815="EU-ENV-003",IF(INDEX(tbl_recyclass[Conforme_Art7_2030],MATCH(A1815,tbl_recyclass[ProductId],0))="Sim","Conforme (meta 2030)",IF(INDEX(tbl_recyclass[Conforme_Art7_2030],MATCH(A1815,tbl_recyclass[ProductId],0))="Não","Lacuna face à meta 2030","Isento")),IF(B1815="EU-ENV-011",IF(INDEX(tbl_familias_ppwr[Metais_Pesados_Evidencia],MATCH(INDEX(tbl_recyclass[Familia_PPWR],MATCH(A1815,tbl_recyclass[ProductId],0)),tbl_familias_ppwr[ID_Familia],0))="Em falta","Lacuna","Conforme"),IF(B1815="EU-ENV-013",IF(INDEX(tbl_familias_ppwr[Declaracao_UE],MATCH(INDEX(tbl_recyclass[Familia_PPWR],MATCH(A1815,tbl_recyclass[ProductId],0)),tbl_familias_ppwr[ID_Familia],0))="Sim","Conforme","Lacuna"),G1815)))),G1815))</f>
        <v>Não aplicável</v>
      </c>
      <c r="I1815" s="33" t="str">
        <f t="shared" si="28"/>
        <v>Não aplicável</v>
      </c>
      <c r="J1815" s="26"/>
    </row>
    <row r="1816" spans="1:10" ht="16.05" customHeight="1" x14ac:dyDescent="0.3">
      <c r="A1816" s="26" t="s">
        <v>803</v>
      </c>
      <c r="B1816" s="26" t="s">
        <v>1170</v>
      </c>
      <c r="C1816" s="33" t="str">
        <f>IFERROR(INDEX(tbl_requisitos_emb[Tema],MATCH(B1816,tbl_requisitos_emb[ID_Req],0)),"")</f>
        <v>Boas práticas de fabrico FCM</v>
      </c>
      <c r="D1816" s="33" t="str">
        <f>IFERROR(INDEX(tbl_recyclass[Segmento],MATCH(A1816,tbl_recyclass[ProductId],0)),"")</f>
        <v>Cosmética e higiene pessoal</v>
      </c>
      <c r="E1816" s="26" t="s">
        <v>904</v>
      </c>
      <c r="F1816" s="26" t="s">
        <v>1450</v>
      </c>
      <c r="G1816" s="26" t="s">
        <v>1143</v>
      </c>
      <c r="H1816" s="33" t="str">
        <f>IF(E1816="Não","Não aplicável",IFERROR(IF(B1816="EU-ENV-002",IF(INDEX(tbl_recyclass[Conforme_PPWR_2030],MATCH(A1816,tbl_recyclass[ProductId],0))="Sim","Conforme (autoavaliação)",IF(INDEX(tbl_recyclass[Conforme_PPWR_2030],MATCH(A1816,tbl_recyclass[ProductId],0))="Não","Não conforme em 2030","Isento até 2035")),IF(B1816="EU-ENV-003",IF(INDEX(tbl_recyclass[Conforme_Art7_2030],MATCH(A1816,tbl_recyclass[ProductId],0))="Sim","Conforme (meta 2030)",IF(INDEX(tbl_recyclass[Conforme_Art7_2030],MATCH(A1816,tbl_recyclass[ProductId],0))="Não","Lacuna face à meta 2030","Isento")),IF(B1816="EU-ENV-011",IF(INDEX(tbl_familias_ppwr[Metais_Pesados_Evidencia],MATCH(INDEX(tbl_recyclass[Familia_PPWR],MATCH(A1816,tbl_recyclass[ProductId],0)),tbl_familias_ppwr[ID_Familia],0))="Em falta","Lacuna","Conforme"),IF(B1816="EU-ENV-013",IF(INDEX(tbl_familias_ppwr[Declaracao_UE],MATCH(INDEX(tbl_recyclass[Familia_PPWR],MATCH(A1816,tbl_recyclass[ProductId],0)),tbl_familias_ppwr[ID_Familia],0))="Sim","Conforme","Lacuna"),G1816)))),G1816))</f>
        <v>Não aplicável</v>
      </c>
      <c r="I1816" s="33" t="str">
        <f t="shared" si="28"/>
        <v>Não aplicável</v>
      </c>
      <c r="J1816" s="26"/>
    </row>
    <row r="1817" spans="1:10" ht="16.05" customHeight="1" x14ac:dyDescent="0.3">
      <c r="A1817" s="26" t="s">
        <v>803</v>
      </c>
      <c r="B1817" s="26" t="s">
        <v>1179</v>
      </c>
      <c r="C1817" s="33" t="str">
        <f>IFERROR(INDEX(tbl_requisitos_emb[Tema],MATCH(B1817,tbl_requisitos_emb[ID_Req],0)),"")</f>
        <v>Bisfenol A e bisfenóis perigosos</v>
      </c>
      <c r="D1817" s="33" t="str">
        <f>IFERROR(INDEX(tbl_recyclass[Segmento],MATCH(A1817,tbl_recyclass[ProductId],0)),"")</f>
        <v>Cosmética e higiene pessoal</v>
      </c>
      <c r="E1817" s="26" t="s">
        <v>904</v>
      </c>
      <c r="F1817" s="26" t="s">
        <v>1450</v>
      </c>
      <c r="G1817" s="26" t="s">
        <v>1143</v>
      </c>
      <c r="H1817" s="33" t="str">
        <f>IF(E1817="Não","Não aplicável",IFERROR(IF(B1817="EU-ENV-002",IF(INDEX(tbl_recyclass[Conforme_PPWR_2030],MATCH(A1817,tbl_recyclass[ProductId],0))="Sim","Conforme (autoavaliação)",IF(INDEX(tbl_recyclass[Conforme_PPWR_2030],MATCH(A1817,tbl_recyclass[ProductId],0))="Não","Não conforme em 2030","Isento até 2035")),IF(B1817="EU-ENV-003",IF(INDEX(tbl_recyclass[Conforme_Art7_2030],MATCH(A1817,tbl_recyclass[ProductId],0))="Sim","Conforme (meta 2030)",IF(INDEX(tbl_recyclass[Conforme_Art7_2030],MATCH(A1817,tbl_recyclass[ProductId],0))="Não","Lacuna face à meta 2030","Isento")),IF(B1817="EU-ENV-011",IF(INDEX(tbl_familias_ppwr[Metais_Pesados_Evidencia],MATCH(INDEX(tbl_recyclass[Familia_PPWR],MATCH(A1817,tbl_recyclass[ProductId],0)),tbl_familias_ppwr[ID_Familia],0))="Em falta","Lacuna","Conforme"),IF(B1817="EU-ENV-013",IF(INDEX(tbl_familias_ppwr[Declaracao_UE],MATCH(INDEX(tbl_recyclass[Familia_PPWR],MATCH(A1817,tbl_recyclass[ProductId],0)),tbl_familias_ppwr[ID_Familia],0))="Sim","Conforme","Lacuna"),G1817)))),G1817))</f>
        <v>Não aplicável</v>
      </c>
      <c r="I1817" s="33" t="str">
        <f t="shared" si="28"/>
        <v>Não aplicável</v>
      </c>
      <c r="J1817" s="26"/>
    </row>
    <row r="1818" spans="1:10" ht="16.05" customHeight="1" x14ac:dyDescent="0.3">
      <c r="A1818" s="26" t="s">
        <v>803</v>
      </c>
      <c r="B1818" s="26" t="s">
        <v>1188</v>
      </c>
      <c r="C1818" s="33" t="str">
        <f>IFERROR(INDEX(tbl_requisitos_emb[Tema],MATCH(B1818,tbl_requisitos_emb[ID_Req],0)),"")</f>
        <v>Plásticos em contacto com alimentos</v>
      </c>
      <c r="D1818" s="33" t="str">
        <f>IFERROR(INDEX(tbl_recyclass[Segmento],MATCH(A1818,tbl_recyclass[ProductId],0)),"")</f>
        <v>Cosmética e higiene pessoal</v>
      </c>
      <c r="E1818" s="26" t="s">
        <v>904</v>
      </c>
      <c r="F1818" s="26" t="s">
        <v>1450</v>
      </c>
      <c r="G1818" s="26" t="s">
        <v>1143</v>
      </c>
      <c r="H1818" s="33" t="str">
        <f>IF(E1818="Não","Não aplicável",IFERROR(IF(B1818="EU-ENV-002",IF(INDEX(tbl_recyclass[Conforme_PPWR_2030],MATCH(A1818,tbl_recyclass[ProductId],0))="Sim","Conforme (autoavaliação)",IF(INDEX(tbl_recyclass[Conforme_PPWR_2030],MATCH(A1818,tbl_recyclass[ProductId],0))="Não","Não conforme em 2030","Isento até 2035")),IF(B1818="EU-ENV-003",IF(INDEX(tbl_recyclass[Conforme_Art7_2030],MATCH(A1818,tbl_recyclass[ProductId],0))="Sim","Conforme (meta 2030)",IF(INDEX(tbl_recyclass[Conforme_Art7_2030],MATCH(A1818,tbl_recyclass[ProductId],0))="Não","Lacuna face à meta 2030","Isento")),IF(B1818="EU-ENV-011",IF(INDEX(tbl_familias_ppwr[Metais_Pesados_Evidencia],MATCH(INDEX(tbl_recyclass[Familia_PPWR],MATCH(A1818,tbl_recyclass[ProductId],0)),tbl_familias_ppwr[ID_Familia],0))="Em falta","Lacuna","Conforme"),IF(B1818="EU-ENV-013",IF(INDEX(tbl_familias_ppwr[Declaracao_UE],MATCH(INDEX(tbl_recyclass[Familia_PPWR],MATCH(A1818,tbl_recyclass[ProductId],0)),tbl_familias_ppwr[ID_Familia],0))="Sim","Conforme","Lacuna"),G1818)))),G1818))</f>
        <v>Não aplicável</v>
      </c>
      <c r="I1818" s="33" t="str">
        <f t="shared" si="28"/>
        <v>Não aplicável</v>
      </c>
      <c r="J1818" s="26"/>
    </row>
    <row r="1819" spans="1:10" ht="16.05" customHeight="1" x14ac:dyDescent="0.3">
      <c r="A1819" s="26" t="s">
        <v>803</v>
      </c>
      <c r="B1819" s="26" t="s">
        <v>1212</v>
      </c>
      <c r="C1819" s="33" t="str">
        <f>IFERROR(INDEX(tbl_requisitos_emb[Tema],MATCH(B1819,tbl_requisitos_emb[ID_Req],0)),"")</f>
        <v>Segurança do produto cosmético</v>
      </c>
      <c r="D1819" s="33" t="str">
        <f>IFERROR(INDEX(tbl_recyclass[Segmento],MATCH(A1819,tbl_recyclass[ProductId],0)),"")</f>
        <v>Cosmética e higiene pessoal</v>
      </c>
      <c r="E1819" s="26" t="s">
        <v>901</v>
      </c>
      <c r="F1819" s="26" t="s">
        <v>1449</v>
      </c>
      <c r="G1819" s="26" t="s">
        <v>1033</v>
      </c>
      <c r="H1819" s="33" t="str">
        <f>IF(E1819="Não","Não aplicável",IFERROR(IF(B1819="EU-ENV-002",IF(INDEX(tbl_recyclass[Conforme_PPWR_2030],MATCH(A1819,tbl_recyclass[ProductId],0))="Sim","Conforme (autoavaliação)",IF(INDEX(tbl_recyclass[Conforme_PPWR_2030],MATCH(A1819,tbl_recyclass[ProductId],0))="Não","Não conforme em 2030","Isento até 2035")),IF(B1819="EU-ENV-003",IF(INDEX(tbl_recyclass[Conforme_Art7_2030],MATCH(A1819,tbl_recyclass[ProductId],0))="Sim","Conforme (meta 2030)",IF(INDEX(tbl_recyclass[Conforme_Art7_2030],MATCH(A1819,tbl_recyclass[ProductId],0))="Não","Lacuna face à meta 2030","Isento")),IF(B1819="EU-ENV-011",IF(INDEX(tbl_familias_ppwr[Metais_Pesados_Evidencia],MATCH(INDEX(tbl_recyclass[Familia_PPWR],MATCH(A1819,tbl_recyclass[ProductId],0)),tbl_familias_ppwr[ID_Familia],0))="Em falta","Lacuna","Conforme"),IF(B1819="EU-ENV-013",IF(INDEX(tbl_familias_ppwr[Declaracao_UE],MATCH(INDEX(tbl_recyclass[Familia_PPWR],MATCH(A1819,tbl_recyclass[ProductId],0)),tbl_familias_ppwr[ID_Familia],0))="Sim","Conforme","Lacuna"),G1819)))),G1819))</f>
        <v>Conforme</v>
      </c>
      <c r="I1819" s="33" t="str">
        <f t="shared" si="28"/>
        <v>Conforme</v>
      </c>
      <c r="J1819" s="26" t="s">
        <v>1221</v>
      </c>
    </row>
    <row r="1820" spans="1:10" ht="16.05" customHeight="1" x14ac:dyDescent="0.3">
      <c r="A1820" s="26" t="s">
        <v>803</v>
      </c>
      <c r="B1820" s="26" t="s">
        <v>1224</v>
      </c>
      <c r="C1820" s="33" t="str">
        <f>IFERROR(INDEX(tbl_requisitos_emb[Tema],MATCH(B1820,tbl_requisitos_emb[ID_Req],0)),"")</f>
        <v>Materiais e impurezas</v>
      </c>
      <c r="D1820" s="33" t="str">
        <f>IFERROR(INDEX(tbl_recyclass[Segmento],MATCH(A1820,tbl_recyclass[ProductId],0)),"")</f>
        <v>Cosmética e higiene pessoal</v>
      </c>
      <c r="E1820" s="26" t="s">
        <v>901</v>
      </c>
      <c r="F1820" s="26" t="s">
        <v>1449</v>
      </c>
      <c r="G1820" s="26" t="s">
        <v>978</v>
      </c>
      <c r="H1820" s="33" t="str">
        <f>IF(E1820="Não","Não aplicável",IFERROR(IF(B1820="EU-ENV-002",IF(INDEX(tbl_recyclass[Conforme_PPWR_2030],MATCH(A1820,tbl_recyclass[ProductId],0))="Sim","Conforme (autoavaliação)",IF(INDEX(tbl_recyclass[Conforme_PPWR_2030],MATCH(A1820,tbl_recyclass[ProductId],0))="Não","Não conforme em 2030","Isento até 2035")),IF(B1820="EU-ENV-003",IF(INDEX(tbl_recyclass[Conforme_Art7_2030],MATCH(A1820,tbl_recyclass[ProductId],0))="Sim","Conforme (meta 2030)",IF(INDEX(tbl_recyclass[Conforme_Art7_2030],MATCH(A1820,tbl_recyclass[ProductId],0))="Não","Lacuna face à meta 2030","Isento")),IF(B1820="EU-ENV-011",IF(INDEX(tbl_familias_ppwr[Metais_Pesados_Evidencia],MATCH(INDEX(tbl_recyclass[Familia_PPWR],MATCH(A1820,tbl_recyclass[ProductId],0)),tbl_familias_ppwr[ID_Familia],0))="Em falta","Lacuna","Conforme"),IF(B1820="EU-ENV-013",IF(INDEX(tbl_familias_ppwr[Declaracao_UE],MATCH(INDEX(tbl_recyclass[Familia_PPWR],MATCH(A1820,tbl_recyclass[ProductId],0)),tbl_familias_ppwr[ID_Familia],0))="Sim","Conforme","Lacuna"),G1820)))),G1820))</f>
        <v>Parcial</v>
      </c>
      <c r="I1820" s="33" t="str">
        <f t="shared" si="28"/>
        <v>Parcial</v>
      </c>
      <c r="J1820" s="26" t="s">
        <v>1228</v>
      </c>
    </row>
    <row r="1821" spans="1:10" ht="16.05" customHeight="1" x14ac:dyDescent="0.3">
      <c r="A1821" s="26" t="s">
        <v>803</v>
      </c>
      <c r="B1821" s="26" t="s">
        <v>1240</v>
      </c>
      <c r="C1821" s="33" t="str">
        <f>IFERROR(INDEX(tbl_requisitos_emb[Tema],MATCH(B1821,tbl_requisitos_emb[ID_Req],0)),"")</f>
        <v>Compatibilidade embalagem–produto</v>
      </c>
      <c r="D1821" s="33" t="str">
        <f>IFERROR(INDEX(tbl_recyclass[Segmento],MATCH(A1821,tbl_recyclass[ProductId],0)),"")</f>
        <v>Cosmética e higiene pessoal</v>
      </c>
      <c r="E1821" s="26" t="s">
        <v>901</v>
      </c>
      <c r="F1821" s="26" t="s">
        <v>1449</v>
      </c>
      <c r="G1821" s="26" t="s">
        <v>1033</v>
      </c>
      <c r="H1821" s="33" t="str">
        <f>IF(E1821="Não","Não aplicável",IFERROR(IF(B1821="EU-ENV-002",IF(INDEX(tbl_recyclass[Conforme_PPWR_2030],MATCH(A1821,tbl_recyclass[ProductId],0))="Sim","Conforme (autoavaliação)",IF(INDEX(tbl_recyclass[Conforme_PPWR_2030],MATCH(A1821,tbl_recyclass[ProductId],0))="Não","Não conforme em 2030","Isento até 2035")),IF(B1821="EU-ENV-003",IF(INDEX(tbl_recyclass[Conforme_Art7_2030],MATCH(A1821,tbl_recyclass[ProductId],0))="Sim","Conforme (meta 2030)",IF(INDEX(tbl_recyclass[Conforme_Art7_2030],MATCH(A1821,tbl_recyclass[ProductId],0))="Não","Lacuna face à meta 2030","Isento")),IF(B1821="EU-ENV-011",IF(INDEX(tbl_familias_ppwr[Metais_Pesados_Evidencia],MATCH(INDEX(tbl_recyclass[Familia_PPWR],MATCH(A1821,tbl_recyclass[ProductId],0)),tbl_familias_ppwr[ID_Familia],0))="Em falta","Lacuna","Conforme"),IF(B1821="EU-ENV-013",IF(INDEX(tbl_familias_ppwr[Declaracao_UE],MATCH(INDEX(tbl_recyclass[Familia_PPWR],MATCH(A1821,tbl_recyclass[ProductId],0)),tbl_familias_ppwr[ID_Familia],0))="Sim","Conforme","Lacuna"),G1821)))),G1821))</f>
        <v>Conforme</v>
      </c>
      <c r="I1821" s="33" t="str">
        <f t="shared" si="28"/>
        <v>Conforme</v>
      </c>
      <c r="J1821" s="26" t="s">
        <v>1244</v>
      </c>
    </row>
    <row r="1822" spans="1:10" ht="16.05" customHeight="1" x14ac:dyDescent="0.3">
      <c r="A1822" s="26" t="s">
        <v>803</v>
      </c>
      <c r="B1822" s="26" t="s">
        <v>1252</v>
      </c>
      <c r="C1822" s="33" t="str">
        <f>IFERROR(INDEX(tbl_requisitos_emb[Tema],MATCH(B1822,tbl_requisitos_emb[ID_Req],0)),"")</f>
        <v>Medicamentos de uso humano</v>
      </c>
      <c r="D1822" s="33" t="str">
        <f>IFERROR(INDEX(tbl_recyclass[Segmento],MATCH(A1822,tbl_recyclass[ProductId],0)),"")</f>
        <v>Cosmética e higiene pessoal</v>
      </c>
      <c r="E1822" s="26" t="s">
        <v>904</v>
      </c>
      <c r="F1822" s="26" t="s">
        <v>1451</v>
      </c>
      <c r="G1822" s="26" t="s">
        <v>1143</v>
      </c>
      <c r="H1822" s="33" t="str">
        <f>IF(E1822="Não","Não aplicável",IFERROR(IF(B1822="EU-ENV-002",IF(INDEX(tbl_recyclass[Conforme_PPWR_2030],MATCH(A1822,tbl_recyclass[ProductId],0))="Sim","Conforme (autoavaliação)",IF(INDEX(tbl_recyclass[Conforme_PPWR_2030],MATCH(A1822,tbl_recyclass[ProductId],0))="Não","Não conforme em 2030","Isento até 2035")),IF(B1822="EU-ENV-003",IF(INDEX(tbl_recyclass[Conforme_Art7_2030],MATCH(A1822,tbl_recyclass[ProductId],0))="Sim","Conforme (meta 2030)",IF(INDEX(tbl_recyclass[Conforme_Art7_2030],MATCH(A1822,tbl_recyclass[ProductId],0))="Não","Lacuna face à meta 2030","Isento")),IF(B1822="EU-ENV-011",IF(INDEX(tbl_familias_ppwr[Metais_Pesados_Evidencia],MATCH(INDEX(tbl_recyclass[Familia_PPWR],MATCH(A1822,tbl_recyclass[ProductId],0)),tbl_familias_ppwr[ID_Familia],0))="Em falta","Lacuna","Conforme"),IF(B1822="EU-ENV-013",IF(INDEX(tbl_familias_ppwr[Declaracao_UE],MATCH(INDEX(tbl_recyclass[Familia_PPWR],MATCH(A1822,tbl_recyclass[ProductId],0)),tbl_familias_ppwr[ID_Familia],0))="Sim","Conforme","Lacuna"),G1822)))),G1822))</f>
        <v>Não aplicável</v>
      </c>
      <c r="I1822" s="33" t="str">
        <f t="shared" si="28"/>
        <v>Não aplicável</v>
      </c>
      <c r="J1822" s="26"/>
    </row>
    <row r="1823" spans="1:10" ht="16.05" customHeight="1" x14ac:dyDescent="0.3">
      <c r="A1823" s="26" t="s">
        <v>803</v>
      </c>
      <c r="B1823" s="26" t="s">
        <v>1268</v>
      </c>
      <c r="C1823" s="33" t="str">
        <f>IFERROR(INDEX(tbl_requisitos_emb[Tema],MATCH(B1823,tbl_requisitos_emb[ID_Req],0)),"")</f>
        <v>Dispositivos de segurança</v>
      </c>
      <c r="D1823" s="33" t="str">
        <f>IFERROR(INDEX(tbl_recyclass[Segmento],MATCH(A1823,tbl_recyclass[ProductId],0)),"")</f>
        <v>Cosmética e higiene pessoal</v>
      </c>
      <c r="E1823" s="26" t="s">
        <v>904</v>
      </c>
      <c r="F1823" s="26" t="s">
        <v>1451</v>
      </c>
      <c r="G1823" s="26" t="s">
        <v>1143</v>
      </c>
      <c r="H1823" s="33" t="str">
        <f>IF(E1823="Não","Não aplicável",IFERROR(IF(B1823="EU-ENV-002",IF(INDEX(tbl_recyclass[Conforme_PPWR_2030],MATCH(A1823,tbl_recyclass[ProductId],0))="Sim","Conforme (autoavaliação)",IF(INDEX(tbl_recyclass[Conforme_PPWR_2030],MATCH(A1823,tbl_recyclass[ProductId],0))="Não","Não conforme em 2030","Isento até 2035")),IF(B1823="EU-ENV-003",IF(INDEX(tbl_recyclass[Conforme_Art7_2030],MATCH(A1823,tbl_recyclass[ProductId],0))="Sim","Conforme (meta 2030)",IF(INDEX(tbl_recyclass[Conforme_Art7_2030],MATCH(A1823,tbl_recyclass[ProductId],0))="Não","Lacuna face à meta 2030","Isento")),IF(B1823="EU-ENV-011",IF(INDEX(tbl_familias_ppwr[Metais_Pesados_Evidencia],MATCH(INDEX(tbl_recyclass[Familia_PPWR],MATCH(A1823,tbl_recyclass[ProductId],0)),tbl_familias_ppwr[ID_Familia],0))="Em falta","Lacuna","Conforme"),IF(B1823="EU-ENV-013",IF(INDEX(tbl_familias_ppwr[Declaracao_UE],MATCH(INDEX(tbl_recyclass[Familia_PPWR],MATCH(A1823,tbl_recyclass[ProductId],0)),tbl_familias_ppwr[ID_Familia],0))="Sim","Conforme","Lacuna"),G1823)))),G1823))</f>
        <v>Não aplicável</v>
      </c>
      <c r="I1823" s="33" t="str">
        <f t="shared" si="28"/>
        <v>Não aplicável</v>
      </c>
      <c r="J1823" s="26"/>
    </row>
    <row r="1824" spans="1:10" ht="16.05" customHeight="1" x14ac:dyDescent="0.3">
      <c r="A1824" s="26" t="s">
        <v>803</v>
      </c>
      <c r="B1824" s="26" t="s">
        <v>1285</v>
      </c>
      <c r="C1824" s="33" t="str">
        <f>IFERROR(INDEX(tbl_requisitos_emb[Tema],MATCH(B1824,tbl_requisitos_emb[ID_Req],0)),"")</f>
        <v>Materiais plásticos de acondicionamento primário</v>
      </c>
      <c r="D1824" s="33" t="str">
        <f>IFERROR(INDEX(tbl_recyclass[Segmento],MATCH(A1824,tbl_recyclass[ProductId],0)),"")</f>
        <v>Cosmética e higiene pessoal</v>
      </c>
      <c r="E1824" s="26" t="s">
        <v>904</v>
      </c>
      <c r="F1824" s="26" t="s">
        <v>1451</v>
      </c>
      <c r="G1824" s="26" t="s">
        <v>1143</v>
      </c>
      <c r="H1824" s="33" t="str">
        <f>IF(E1824="Não","Não aplicável",IFERROR(IF(B1824="EU-ENV-002",IF(INDEX(tbl_recyclass[Conforme_PPWR_2030],MATCH(A1824,tbl_recyclass[ProductId],0))="Sim","Conforme (autoavaliação)",IF(INDEX(tbl_recyclass[Conforme_PPWR_2030],MATCH(A1824,tbl_recyclass[ProductId],0))="Não","Não conforme em 2030","Isento até 2035")),IF(B1824="EU-ENV-003",IF(INDEX(tbl_recyclass[Conforme_Art7_2030],MATCH(A1824,tbl_recyclass[ProductId],0))="Sim","Conforme (meta 2030)",IF(INDEX(tbl_recyclass[Conforme_Art7_2030],MATCH(A1824,tbl_recyclass[ProductId],0))="Não","Lacuna face à meta 2030","Isento")),IF(B1824="EU-ENV-011",IF(INDEX(tbl_familias_ppwr[Metais_Pesados_Evidencia],MATCH(INDEX(tbl_recyclass[Familia_PPWR],MATCH(A1824,tbl_recyclass[ProductId],0)),tbl_familias_ppwr[ID_Familia],0))="Em falta","Lacuna","Conforme"),IF(B1824="EU-ENV-013",IF(INDEX(tbl_familias_ppwr[Declaracao_UE],MATCH(INDEX(tbl_recyclass[Familia_PPWR],MATCH(A1824,tbl_recyclass[ProductId],0)),tbl_familias_ppwr[ID_Familia],0))="Sim","Conforme","Lacuna"),G1824)))),G1824))</f>
        <v>Não aplicável</v>
      </c>
      <c r="I1824" s="33" t="str">
        <f t="shared" si="28"/>
        <v>Não aplicável</v>
      </c>
      <c r="J1824" s="26"/>
    </row>
    <row r="1825" spans="1:10" ht="16.05" customHeight="1" x14ac:dyDescent="0.3">
      <c r="A1825" s="26" t="s">
        <v>803</v>
      </c>
      <c r="B1825" s="26" t="s">
        <v>1293</v>
      </c>
      <c r="C1825" s="33" t="str">
        <f>IFERROR(INDEX(tbl_requisitos_emb[Tema],MATCH(B1825,tbl_requisitos_emb[ID_Req],0)),"")</f>
        <v>Isenções PPWR</v>
      </c>
      <c r="D1825" s="33" t="str">
        <f>IFERROR(INDEX(tbl_recyclass[Segmento],MATCH(A1825,tbl_recyclass[ProductId],0)),"")</f>
        <v>Cosmética e higiene pessoal</v>
      </c>
      <c r="E1825" s="26" t="s">
        <v>904</v>
      </c>
      <c r="F1825" s="26" t="s">
        <v>1451</v>
      </c>
      <c r="G1825" s="26" t="s">
        <v>1143</v>
      </c>
      <c r="H1825" s="33" t="str">
        <f>IF(E1825="Não","Não aplicável",IFERROR(IF(B1825="EU-ENV-002",IF(INDEX(tbl_recyclass[Conforme_PPWR_2030],MATCH(A1825,tbl_recyclass[ProductId],0))="Sim","Conforme (autoavaliação)",IF(INDEX(tbl_recyclass[Conforme_PPWR_2030],MATCH(A1825,tbl_recyclass[ProductId],0))="Não","Não conforme em 2030","Isento até 2035")),IF(B1825="EU-ENV-003",IF(INDEX(tbl_recyclass[Conforme_Art7_2030],MATCH(A1825,tbl_recyclass[ProductId],0))="Sim","Conforme (meta 2030)",IF(INDEX(tbl_recyclass[Conforme_Art7_2030],MATCH(A1825,tbl_recyclass[ProductId],0))="Não","Lacuna face à meta 2030","Isento")),IF(B1825="EU-ENV-011",IF(INDEX(tbl_familias_ppwr[Metais_Pesados_Evidencia],MATCH(INDEX(tbl_recyclass[Familia_PPWR],MATCH(A1825,tbl_recyclass[ProductId],0)),tbl_familias_ppwr[ID_Familia],0))="Em falta","Lacuna","Conforme"),IF(B1825="EU-ENV-013",IF(INDEX(tbl_familias_ppwr[Declaracao_UE],MATCH(INDEX(tbl_recyclass[Familia_PPWR],MATCH(A1825,tbl_recyclass[ProductId],0)),tbl_familias_ppwr[ID_Familia],0))="Sim","Conforme","Lacuna"),G1825)))),G1825))</f>
        <v>Não aplicável</v>
      </c>
      <c r="I1825" s="33" t="str">
        <f t="shared" si="28"/>
        <v>Não aplicável</v>
      </c>
      <c r="J1825" s="26"/>
    </row>
    <row r="1826" spans="1:10" ht="16.05" customHeight="1" x14ac:dyDescent="0.3">
      <c r="A1826" s="26" t="s">
        <v>803</v>
      </c>
      <c r="B1826" s="26" t="s">
        <v>1357</v>
      </c>
      <c r="C1826" s="33" t="str">
        <f>IFERROR(INDEX(tbl_requisitos_emb[Tema],MATCH(B1826,tbl_requisitos_emb[ID_Req],0)),"")</f>
        <v>Identificação de plásticos</v>
      </c>
      <c r="D1826" s="33" t="str">
        <f>IFERROR(INDEX(tbl_recyclass[Segmento],MATCH(A1826,tbl_recyclass[ProductId],0)),"")</f>
        <v>Cosmética e higiene pessoal</v>
      </c>
      <c r="E1826" s="26" t="s">
        <v>901</v>
      </c>
      <c r="F1826" s="26" t="s">
        <v>1449</v>
      </c>
      <c r="G1826" s="26" t="s">
        <v>978</v>
      </c>
      <c r="H1826" s="33" t="str">
        <f>IF(E1826="Não","Não aplicável",IFERROR(IF(B1826="EU-ENV-002",IF(INDEX(tbl_recyclass[Conforme_PPWR_2030],MATCH(A1826,tbl_recyclass[ProductId],0))="Sim","Conforme (autoavaliação)",IF(INDEX(tbl_recyclass[Conforme_PPWR_2030],MATCH(A1826,tbl_recyclass[ProductId],0))="Não","Não conforme em 2030","Isento até 2035")),IF(B1826="EU-ENV-003",IF(INDEX(tbl_recyclass[Conforme_Art7_2030],MATCH(A1826,tbl_recyclass[ProductId],0))="Sim","Conforme (meta 2030)",IF(INDEX(tbl_recyclass[Conforme_Art7_2030],MATCH(A1826,tbl_recyclass[ProductId],0))="Não","Lacuna face à meta 2030","Isento")),IF(B1826="EU-ENV-011",IF(INDEX(tbl_familias_ppwr[Metais_Pesados_Evidencia],MATCH(INDEX(tbl_recyclass[Familia_PPWR],MATCH(A1826,tbl_recyclass[ProductId],0)),tbl_familias_ppwr[ID_Familia],0))="Em falta","Lacuna","Conforme"),IF(B1826="EU-ENV-013",IF(INDEX(tbl_familias_ppwr[Declaracao_UE],MATCH(INDEX(tbl_recyclass[Familia_PPWR],MATCH(A1826,tbl_recyclass[ProductId],0)),tbl_familias_ppwr[ID_Familia],0))="Sim","Conforme","Lacuna"),G1826)))),G1826))</f>
        <v>Parcial</v>
      </c>
      <c r="I1826" s="33" t="str">
        <f t="shared" si="28"/>
        <v>Parcial</v>
      </c>
      <c r="J1826" s="26" t="s">
        <v>1362</v>
      </c>
    </row>
    <row r="1827" spans="1:10" ht="16.05" customHeight="1" x14ac:dyDescent="0.3">
      <c r="A1827" s="26" t="s">
        <v>803</v>
      </c>
      <c r="B1827" s="26" t="s">
        <v>1385</v>
      </c>
      <c r="C1827" s="33" t="str">
        <f>IFERROR(INDEX(tbl_requisitos_emb[Tema],MATCH(B1827,tbl_requisitos_emb[ID_Req],0)),"")</f>
        <v>Reciclabilidade (voluntária)</v>
      </c>
      <c r="D1827" s="33" t="str">
        <f>IFERROR(INDEX(tbl_recyclass[Segmento],MATCH(A1827,tbl_recyclass[ProductId],0)),"")</f>
        <v>Cosmética e higiene pessoal</v>
      </c>
      <c r="E1827" s="26" t="s">
        <v>901</v>
      </c>
      <c r="F1827" s="26" t="s">
        <v>1449</v>
      </c>
      <c r="G1827" s="26" t="s">
        <v>978</v>
      </c>
      <c r="H1827" s="33" t="str">
        <f>IF(E1827="Não","Não aplicável",IFERROR(IF(B1827="EU-ENV-002",IF(INDEX(tbl_recyclass[Conforme_PPWR_2030],MATCH(A1827,tbl_recyclass[ProductId],0))="Sim","Conforme (autoavaliação)",IF(INDEX(tbl_recyclass[Conforme_PPWR_2030],MATCH(A1827,tbl_recyclass[ProductId],0))="Não","Não conforme em 2030","Isento até 2035")),IF(B1827="EU-ENV-003",IF(INDEX(tbl_recyclass[Conforme_Art7_2030],MATCH(A1827,tbl_recyclass[ProductId],0))="Sim","Conforme (meta 2030)",IF(INDEX(tbl_recyclass[Conforme_Art7_2030],MATCH(A1827,tbl_recyclass[ProductId],0))="Não","Lacuna face à meta 2030","Isento")),IF(B1827="EU-ENV-011",IF(INDEX(tbl_familias_ppwr[Metais_Pesados_Evidencia],MATCH(INDEX(tbl_recyclass[Familia_PPWR],MATCH(A1827,tbl_recyclass[ProductId],0)),tbl_familias_ppwr[ID_Familia],0))="Em falta","Lacuna","Conforme"),IF(B1827="EU-ENV-013",IF(INDEX(tbl_familias_ppwr[Declaracao_UE],MATCH(INDEX(tbl_recyclass[Familia_PPWR],MATCH(A1827,tbl_recyclass[ProductId],0)),tbl_familias_ppwr[ID_Familia],0))="Sim","Conforme","Lacuna"),G1827)))),G1827))</f>
        <v>Parcial</v>
      </c>
      <c r="I1827" s="33" t="str">
        <f t="shared" si="28"/>
        <v>Parcial</v>
      </c>
      <c r="J1827" s="26" t="s">
        <v>1389</v>
      </c>
    </row>
    <row r="1828" spans="1:10" ht="16.05" customHeight="1" x14ac:dyDescent="0.3">
      <c r="A1828" s="26" t="s">
        <v>805</v>
      </c>
      <c r="B1828" s="26" t="s">
        <v>984</v>
      </c>
      <c r="C1828" s="33" t="str">
        <f>IFERROR(INDEX(tbl_requisitos_emb[Tema],MATCH(B1828,tbl_requisitos_emb[ID_Req],0)),"")</f>
        <v>Conceção para reciclagem</v>
      </c>
      <c r="D1828" s="33" t="str">
        <f>IFERROR(INDEX(tbl_recyclass[Segmento],MATCH(A1828,tbl_recyclass[ProductId],0)),"")</f>
        <v>Cosmética e higiene pessoal</v>
      </c>
      <c r="E1828" s="26" t="s">
        <v>901</v>
      </c>
      <c r="F1828" s="26" t="s">
        <v>1449</v>
      </c>
      <c r="G1828" s="26" t="s">
        <v>978</v>
      </c>
      <c r="H1828" s="33" t="str">
        <f>IF(E1828="Não","Não aplicável",IFERROR(IF(B1828="EU-ENV-002",IF(INDEX(tbl_recyclass[Conforme_PPWR_2030],MATCH(A1828,tbl_recyclass[ProductId],0))="Sim","Conforme (autoavaliação)",IF(INDEX(tbl_recyclass[Conforme_PPWR_2030],MATCH(A1828,tbl_recyclass[ProductId],0))="Não","Não conforme em 2030","Isento até 2035")),IF(B1828="EU-ENV-003",IF(INDEX(tbl_recyclass[Conforme_Art7_2030],MATCH(A1828,tbl_recyclass[ProductId],0))="Sim","Conforme (meta 2030)",IF(INDEX(tbl_recyclass[Conforme_Art7_2030],MATCH(A1828,tbl_recyclass[ProductId],0))="Não","Lacuna face à meta 2030","Isento")),IF(B1828="EU-ENV-011",IF(INDEX(tbl_familias_ppwr[Metais_Pesados_Evidencia],MATCH(INDEX(tbl_recyclass[Familia_PPWR],MATCH(A1828,tbl_recyclass[ProductId],0)),tbl_familias_ppwr[ID_Familia],0))="Em falta","Lacuna","Conforme"),IF(B1828="EU-ENV-013",IF(INDEX(tbl_familias_ppwr[Declaracao_UE],MATCH(INDEX(tbl_recyclass[Familia_PPWR],MATCH(A1828,tbl_recyclass[ProductId],0)),tbl_familias_ppwr[ID_Familia],0))="Sim","Conforme","Lacuna"),G1828)))),G1828))</f>
        <v>Conforme (autoavaliação)</v>
      </c>
      <c r="I1828" s="33" t="str">
        <f t="shared" si="28"/>
        <v>Conforme</v>
      </c>
      <c r="J1828" s="26" t="s">
        <v>991</v>
      </c>
    </row>
    <row r="1829" spans="1:10" ht="16.05" customHeight="1" x14ac:dyDescent="0.3">
      <c r="A1829" s="26" t="s">
        <v>805</v>
      </c>
      <c r="B1829" s="26" t="s">
        <v>997</v>
      </c>
      <c r="C1829" s="33" t="str">
        <f>IFERROR(INDEX(tbl_requisitos_emb[Tema],MATCH(B1829,tbl_requisitos_emb[ID_Req],0)),"")</f>
        <v>Conteúdo reciclado</v>
      </c>
      <c r="D1829" s="33" t="str">
        <f>IFERROR(INDEX(tbl_recyclass[Segmento],MATCH(A1829,tbl_recyclass[ProductId],0)),"")</f>
        <v>Cosmética e higiene pessoal</v>
      </c>
      <c r="E1829" s="26" t="s">
        <v>901</v>
      </c>
      <c r="F1829" s="26" t="s">
        <v>1449</v>
      </c>
      <c r="G1829" s="26" t="s">
        <v>978</v>
      </c>
      <c r="H1829" s="33" t="str">
        <f>IF(E1829="Não","Não aplicável",IFERROR(IF(B1829="EU-ENV-002",IF(INDEX(tbl_recyclass[Conforme_PPWR_2030],MATCH(A1829,tbl_recyclass[ProductId],0))="Sim","Conforme (autoavaliação)",IF(INDEX(tbl_recyclass[Conforme_PPWR_2030],MATCH(A1829,tbl_recyclass[ProductId],0))="Não","Não conforme em 2030","Isento até 2035")),IF(B1829="EU-ENV-003",IF(INDEX(tbl_recyclass[Conforme_Art7_2030],MATCH(A1829,tbl_recyclass[ProductId],0))="Sim","Conforme (meta 2030)",IF(INDEX(tbl_recyclass[Conforme_Art7_2030],MATCH(A1829,tbl_recyclass[ProductId],0))="Não","Lacuna face à meta 2030","Isento")),IF(B1829="EU-ENV-011",IF(INDEX(tbl_familias_ppwr[Metais_Pesados_Evidencia],MATCH(INDEX(tbl_recyclass[Familia_PPWR],MATCH(A1829,tbl_recyclass[ProductId],0)),tbl_familias_ppwr[ID_Familia],0))="Em falta","Lacuna","Conforme"),IF(B1829="EU-ENV-013",IF(INDEX(tbl_familias_ppwr[Declaracao_UE],MATCH(INDEX(tbl_recyclass[Familia_PPWR],MATCH(A1829,tbl_recyclass[ProductId],0)),tbl_familias_ppwr[ID_Familia],0))="Sim","Conforme","Lacuna"),G1829)))),G1829))</f>
        <v>Lacuna face à meta 2030</v>
      </c>
      <c r="I1829" s="33" t="str">
        <f t="shared" si="28"/>
        <v>Lacuna</v>
      </c>
      <c r="J1829" s="26" t="s">
        <v>1001</v>
      </c>
    </row>
    <row r="1830" spans="1:10" ht="16.05" customHeight="1" x14ac:dyDescent="0.3">
      <c r="A1830" s="26" t="s">
        <v>805</v>
      </c>
      <c r="B1830" s="26" t="s">
        <v>1007</v>
      </c>
      <c r="C1830" s="33" t="str">
        <f>IFERROR(INDEX(tbl_requisitos_emb[Tema],MATCH(B1830,tbl_requisitos_emb[ID_Req],0)),"")</f>
        <v>Minimização</v>
      </c>
      <c r="D1830" s="33" t="str">
        <f>IFERROR(INDEX(tbl_recyclass[Segmento],MATCH(A1830,tbl_recyclass[ProductId],0)),"")</f>
        <v>Cosmética e higiene pessoal</v>
      </c>
      <c r="E1830" s="26" t="s">
        <v>901</v>
      </c>
      <c r="F1830" s="26" t="s">
        <v>1449</v>
      </c>
      <c r="G1830" s="26" t="s">
        <v>978</v>
      </c>
      <c r="H1830" s="33" t="str">
        <f>IF(E1830="Não","Não aplicável",IFERROR(IF(B1830="EU-ENV-002",IF(INDEX(tbl_recyclass[Conforme_PPWR_2030],MATCH(A1830,tbl_recyclass[ProductId],0))="Sim","Conforme (autoavaliação)",IF(INDEX(tbl_recyclass[Conforme_PPWR_2030],MATCH(A1830,tbl_recyclass[ProductId],0))="Não","Não conforme em 2030","Isento até 2035")),IF(B1830="EU-ENV-003",IF(INDEX(tbl_recyclass[Conforme_Art7_2030],MATCH(A1830,tbl_recyclass[ProductId],0))="Sim","Conforme (meta 2030)",IF(INDEX(tbl_recyclass[Conforme_Art7_2030],MATCH(A1830,tbl_recyclass[ProductId],0))="Não","Lacuna face à meta 2030","Isento")),IF(B1830="EU-ENV-011",IF(INDEX(tbl_familias_ppwr[Metais_Pesados_Evidencia],MATCH(INDEX(tbl_recyclass[Familia_PPWR],MATCH(A1830,tbl_recyclass[ProductId],0)),tbl_familias_ppwr[ID_Familia],0))="Em falta","Lacuna","Conforme"),IF(B1830="EU-ENV-013",IF(INDEX(tbl_familias_ppwr[Declaracao_UE],MATCH(INDEX(tbl_recyclass[Familia_PPWR],MATCH(A1830,tbl_recyclass[ProductId],0)),tbl_familias_ppwr[ID_Familia],0))="Sim","Conforme","Lacuna"),G1830)))),G1830))</f>
        <v>Parcial</v>
      </c>
      <c r="I1830" s="33" t="str">
        <f t="shared" si="28"/>
        <v>Parcial</v>
      </c>
      <c r="J1830" s="26" t="s">
        <v>1012</v>
      </c>
    </row>
    <row r="1831" spans="1:10" ht="16.05" customHeight="1" x14ac:dyDescent="0.3">
      <c r="A1831" s="26" t="s">
        <v>805</v>
      </c>
      <c r="B1831" s="26" t="s">
        <v>1016</v>
      </c>
      <c r="C1831" s="33" t="str">
        <f>IFERROR(INDEX(tbl_requisitos_emb[Tema],MATCH(B1831,tbl_requisitos_emb[ID_Req],0)),"")</f>
        <v>Rotulagem</v>
      </c>
      <c r="D1831" s="33" t="str">
        <f>IFERROR(INDEX(tbl_recyclass[Segmento],MATCH(A1831,tbl_recyclass[ProductId],0)),"")</f>
        <v>Cosmética e higiene pessoal</v>
      </c>
      <c r="E1831" s="26" t="s">
        <v>901</v>
      </c>
      <c r="F1831" s="26" t="s">
        <v>1449</v>
      </c>
      <c r="G1831" s="26" t="s">
        <v>990</v>
      </c>
      <c r="H1831" s="33" t="str">
        <f>IF(E1831="Não","Não aplicável",IFERROR(IF(B1831="EU-ENV-002",IF(INDEX(tbl_recyclass[Conforme_PPWR_2030],MATCH(A1831,tbl_recyclass[ProductId],0))="Sim","Conforme (autoavaliação)",IF(INDEX(tbl_recyclass[Conforme_PPWR_2030],MATCH(A1831,tbl_recyclass[ProductId],0))="Não","Não conforme em 2030","Isento até 2035")),IF(B1831="EU-ENV-003",IF(INDEX(tbl_recyclass[Conforme_Art7_2030],MATCH(A1831,tbl_recyclass[ProductId],0))="Sim","Conforme (meta 2030)",IF(INDEX(tbl_recyclass[Conforme_Art7_2030],MATCH(A1831,tbl_recyclass[ProductId],0))="Não","Lacuna face à meta 2030","Isento")),IF(B1831="EU-ENV-011",IF(INDEX(tbl_familias_ppwr[Metais_Pesados_Evidencia],MATCH(INDEX(tbl_recyclass[Familia_PPWR],MATCH(A1831,tbl_recyclass[ProductId],0)),tbl_familias_ppwr[ID_Familia],0))="Em falta","Lacuna","Conforme"),IF(B1831="EU-ENV-013",IF(INDEX(tbl_familias_ppwr[Declaracao_UE],MATCH(INDEX(tbl_recyclass[Familia_PPWR],MATCH(A1831,tbl_recyclass[ProductId],0)),tbl_familias_ppwr[ID_Familia],0))="Sim","Conforme","Lacuna"),G1831)))),G1831))</f>
        <v>Futuro</v>
      </c>
      <c r="I1831" s="33" t="str">
        <f t="shared" si="28"/>
        <v>Futuro</v>
      </c>
      <c r="J1831" s="26" t="s">
        <v>1021</v>
      </c>
    </row>
    <row r="1832" spans="1:10" ht="16.05" customHeight="1" x14ac:dyDescent="0.3">
      <c r="A1832" s="26" t="s">
        <v>805</v>
      </c>
      <c r="B1832" s="26" t="s">
        <v>1038</v>
      </c>
      <c r="C1832" s="33" t="str">
        <f>IFERROR(INDEX(tbl_requisitos_emb[Tema],MATCH(B1832,tbl_requisitos_emb[ID_Req],0)),"")</f>
        <v>Plásticos de utilização única</v>
      </c>
      <c r="D1832" s="33" t="str">
        <f>IFERROR(INDEX(tbl_recyclass[Segmento],MATCH(A1832,tbl_recyclass[ProductId],0)),"")</f>
        <v>Cosmética e higiene pessoal</v>
      </c>
      <c r="E1832" s="26" t="s">
        <v>904</v>
      </c>
      <c r="F1832" s="26" t="s">
        <v>1450</v>
      </c>
      <c r="G1832" s="26" t="s">
        <v>1143</v>
      </c>
      <c r="H1832" s="33" t="str">
        <f>IF(E1832="Não","Não aplicável",IFERROR(IF(B1832="EU-ENV-002",IF(INDEX(tbl_recyclass[Conforme_PPWR_2030],MATCH(A1832,tbl_recyclass[ProductId],0))="Sim","Conforme (autoavaliação)",IF(INDEX(tbl_recyclass[Conforme_PPWR_2030],MATCH(A1832,tbl_recyclass[ProductId],0))="Não","Não conforme em 2030","Isento até 2035")),IF(B1832="EU-ENV-003",IF(INDEX(tbl_recyclass[Conforme_Art7_2030],MATCH(A1832,tbl_recyclass[ProductId],0))="Sim","Conforme (meta 2030)",IF(INDEX(tbl_recyclass[Conforme_Art7_2030],MATCH(A1832,tbl_recyclass[ProductId],0))="Não","Lacuna face à meta 2030","Isento")),IF(B1832="EU-ENV-011",IF(INDEX(tbl_familias_ppwr[Metais_Pesados_Evidencia],MATCH(INDEX(tbl_recyclass[Familia_PPWR],MATCH(A1832,tbl_recyclass[ProductId],0)),tbl_familias_ppwr[ID_Familia],0))="Em falta","Lacuna","Conforme"),IF(B1832="EU-ENV-013",IF(INDEX(tbl_familias_ppwr[Declaracao_UE],MATCH(INDEX(tbl_recyclass[Familia_PPWR],MATCH(A1832,tbl_recyclass[ProductId],0)),tbl_familias_ppwr[ID_Familia],0))="Sim","Conforme","Lacuna"),G1832)))),G1832))</f>
        <v>Não aplicável</v>
      </c>
      <c r="I1832" s="33" t="str">
        <f t="shared" si="28"/>
        <v>Não aplicável</v>
      </c>
      <c r="J1832" s="26"/>
    </row>
    <row r="1833" spans="1:10" ht="16.05" customHeight="1" x14ac:dyDescent="0.3">
      <c r="A1833" s="26" t="s">
        <v>805</v>
      </c>
      <c r="B1833" s="26" t="s">
        <v>1078</v>
      </c>
      <c r="C1833" s="33" t="str">
        <f>IFERROR(INDEX(tbl_requisitos_emb[Tema],MATCH(B1833,tbl_requisitos_emb[ID_Req],0)),"")</f>
        <v>Reciclado à escala</v>
      </c>
      <c r="D1833" s="33" t="str">
        <f>IFERROR(INDEX(tbl_recyclass[Segmento],MATCH(A1833,tbl_recyclass[ProductId],0)),"")</f>
        <v>Cosmética e higiene pessoal</v>
      </c>
      <c r="E1833" s="26" t="s">
        <v>901</v>
      </c>
      <c r="F1833" s="26" t="s">
        <v>1449</v>
      </c>
      <c r="G1833" s="26" t="s">
        <v>990</v>
      </c>
      <c r="H1833" s="33" t="str">
        <f>IF(E1833="Não","Não aplicável",IFERROR(IF(B1833="EU-ENV-002",IF(INDEX(tbl_recyclass[Conforme_PPWR_2030],MATCH(A1833,tbl_recyclass[ProductId],0))="Sim","Conforme (autoavaliação)",IF(INDEX(tbl_recyclass[Conforme_PPWR_2030],MATCH(A1833,tbl_recyclass[ProductId],0))="Não","Não conforme em 2030","Isento até 2035")),IF(B1833="EU-ENV-003",IF(INDEX(tbl_recyclass[Conforme_Art7_2030],MATCH(A1833,tbl_recyclass[ProductId],0))="Sim","Conforme (meta 2030)",IF(INDEX(tbl_recyclass[Conforme_Art7_2030],MATCH(A1833,tbl_recyclass[ProductId],0))="Não","Lacuna face à meta 2030","Isento")),IF(B1833="EU-ENV-011",IF(INDEX(tbl_familias_ppwr[Metais_Pesados_Evidencia],MATCH(INDEX(tbl_recyclass[Familia_PPWR],MATCH(A1833,tbl_recyclass[ProductId],0)),tbl_familias_ppwr[ID_Familia],0))="Em falta","Lacuna","Conforme"),IF(B1833="EU-ENV-013",IF(INDEX(tbl_familias_ppwr[Declaracao_UE],MATCH(INDEX(tbl_recyclass[Familia_PPWR],MATCH(A1833,tbl_recyclass[ProductId],0)),tbl_familias_ppwr[ID_Familia],0))="Sim","Conforme","Lacuna"),G1833)))),G1833))</f>
        <v>Futuro</v>
      </c>
      <c r="I1833" s="33" t="str">
        <f t="shared" si="28"/>
        <v>Futuro</v>
      </c>
      <c r="J1833" s="26" t="s">
        <v>1082</v>
      </c>
    </row>
    <row r="1834" spans="1:10" ht="16.05" customHeight="1" x14ac:dyDescent="0.3">
      <c r="A1834" s="26" t="s">
        <v>805</v>
      </c>
      <c r="B1834" s="26" t="s">
        <v>1086</v>
      </c>
      <c r="C1834" s="33" t="str">
        <f>IFERROR(INDEX(tbl_requisitos_emb[Tema],MATCH(B1834,tbl_requisitos_emb[ID_Req],0)),"")</f>
        <v>Metais pesados</v>
      </c>
      <c r="D1834" s="33" t="str">
        <f>IFERROR(INDEX(tbl_recyclass[Segmento],MATCH(A1834,tbl_recyclass[ProductId],0)),"")</f>
        <v>Cosmética e higiene pessoal</v>
      </c>
      <c r="E1834" s="26" t="s">
        <v>901</v>
      </c>
      <c r="F1834" s="26" t="s">
        <v>1449</v>
      </c>
      <c r="G1834" s="26" t="s">
        <v>978</v>
      </c>
      <c r="H1834" s="33" t="str">
        <f>IF(E1834="Não","Não aplicável",IFERROR(IF(B1834="EU-ENV-002",IF(INDEX(tbl_recyclass[Conforme_PPWR_2030],MATCH(A1834,tbl_recyclass[ProductId],0))="Sim","Conforme (autoavaliação)",IF(INDEX(tbl_recyclass[Conforme_PPWR_2030],MATCH(A1834,tbl_recyclass[ProductId],0))="Não","Não conforme em 2030","Isento até 2035")),IF(B1834="EU-ENV-003",IF(INDEX(tbl_recyclass[Conforme_Art7_2030],MATCH(A1834,tbl_recyclass[ProductId],0))="Sim","Conforme (meta 2030)",IF(INDEX(tbl_recyclass[Conforme_Art7_2030],MATCH(A1834,tbl_recyclass[ProductId],0))="Não","Lacuna face à meta 2030","Isento")),IF(B1834="EU-ENV-011",IF(INDEX(tbl_familias_ppwr[Metais_Pesados_Evidencia],MATCH(INDEX(tbl_recyclass[Familia_PPWR],MATCH(A1834,tbl_recyclass[ProductId],0)),tbl_familias_ppwr[ID_Familia],0))="Em falta","Lacuna","Conforme"),IF(B1834="EU-ENV-013",IF(INDEX(tbl_familias_ppwr[Declaracao_UE],MATCH(INDEX(tbl_recyclass[Familia_PPWR],MATCH(A1834,tbl_recyclass[ProductId],0)),tbl_familias_ppwr[ID_Familia],0))="Sim","Conforme","Lacuna"),G1834)))),G1834))</f>
        <v>Conforme</v>
      </c>
      <c r="I1834" s="33" t="str">
        <f t="shared" si="28"/>
        <v>Conforme</v>
      </c>
      <c r="J1834" s="26" t="s">
        <v>1090</v>
      </c>
    </row>
    <row r="1835" spans="1:10" ht="16.05" customHeight="1" x14ac:dyDescent="0.3">
      <c r="A1835" s="26" t="s">
        <v>805</v>
      </c>
      <c r="B1835" s="26" t="s">
        <v>1094</v>
      </c>
      <c r="C1835" s="33" t="str">
        <f>IFERROR(INDEX(tbl_requisitos_emb[Tema],MATCH(B1835,tbl_requisitos_emb[ID_Req],0)),"")</f>
        <v>PFAS</v>
      </c>
      <c r="D1835" s="33" t="str">
        <f>IFERROR(INDEX(tbl_recyclass[Segmento],MATCH(A1835,tbl_recyclass[ProductId],0)),"")</f>
        <v>Cosmética e higiene pessoal</v>
      </c>
      <c r="E1835" s="26" t="s">
        <v>904</v>
      </c>
      <c r="F1835" s="26" t="s">
        <v>1450</v>
      </c>
      <c r="G1835" s="26" t="s">
        <v>1143</v>
      </c>
      <c r="H1835" s="33" t="str">
        <f>IF(E1835="Não","Não aplicável",IFERROR(IF(B1835="EU-ENV-002",IF(INDEX(tbl_recyclass[Conforme_PPWR_2030],MATCH(A1835,tbl_recyclass[ProductId],0))="Sim","Conforme (autoavaliação)",IF(INDEX(tbl_recyclass[Conforme_PPWR_2030],MATCH(A1835,tbl_recyclass[ProductId],0))="Não","Não conforme em 2030","Isento até 2035")),IF(B1835="EU-ENV-003",IF(INDEX(tbl_recyclass[Conforme_Art7_2030],MATCH(A1835,tbl_recyclass[ProductId],0))="Sim","Conforme (meta 2030)",IF(INDEX(tbl_recyclass[Conforme_Art7_2030],MATCH(A1835,tbl_recyclass[ProductId],0))="Não","Lacuna face à meta 2030","Isento")),IF(B1835="EU-ENV-011",IF(INDEX(tbl_familias_ppwr[Metais_Pesados_Evidencia],MATCH(INDEX(tbl_recyclass[Familia_PPWR],MATCH(A1835,tbl_recyclass[ProductId],0)),tbl_familias_ppwr[ID_Familia],0))="Em falta","Lacuna","Conforme"),IF(B1835="EU-ENV-013",IF(INDEX(tbl_familias_ppwr[Declaracao_UE],MATCH(INDEX(tbl_recyclass[Familia_PPWR],MATCH(A1835,tbl_recyclass[ProductId],0)),tbl_familias_ppwr[ID_Familia],0))="Sim","Conforme","Lacuna"),G1835)))),G1835))</f>
        <v>Não aplicável</v>
      </c>
      <c r="I1835" s="33" t="str">
        <f t="shared" si="28"/>
        <v>Não aplicável</v>
      </c>
      <c r="J1835" s="26"/>
    </row>
    <row r="1836" spans="1:10" ht="16.05" customHeight="1" x14ac:dyDescent="0.3">
      <c r="A1836" s="26" t="s">
        <v>805</v>
      </c>
      <c r="B1836" s="26" t="s">
        <v>1102</v>
      </c>
      <c r="C1836" s="33" t="str">
        <f>IFERROR(INDEX(tbl_requisitos_emb[Tema],MATCH(B1836,tbl_requisitos_emb[ID_Req],0)),"")</f>
        <v>Documentação técnica e declaração UE</v>
      </c>
      <c r="D1836" s="33" t="str">
        <f>IFERROR(INDEX(tbl_recyclass[Segmento],MATCH(A1836,tbl_recyclass[ProductId],0)),"")</f>
        <v>Cosmética e higiene pessoal</v>
      </c>
      <c r="E1836" s="26" t="s">
        <v>901</v>
      </c>
      <c r="F1836" s="26" t="s">
        <v>1449</v>
      </c>
      <c r="G1836" s="26" t="s">
        <v>978</v>
      </c>
      <c r="H1836" s="33" t="str">
        <f>IF(E1836="Não","Não aplicável",IFERROR(IF(B1836="EU-ENV-002",IF(INDEX(tbl_recyclass[Conforme_PPWR_2030],MATCH(A1836,tbl_recyclass[ProductId],0))="Sim","Conforme (autoavaliação)",IF(INDEX(tbl_recyclass[Conforme_PPWR_2030],MATCH(A1836,tbl_recyclass[ProductId],0))="Não","Não conforme em 2030","Isento até 2035")),IF(B1836="EU-ENV-003",IF(INDEX(tbl_recyclass[Conforme_Art7_2030],MATCH(A1836,tbl_recyclass[ProductId],0))="Sim","Conforme (meta 2030)",IF(INDEX(tbl_recyclass[Conforme_Art7_2030],MATCH(A1836,tbl_recyclass[ProductId],0))="Não","Lacuna face à meta 2030","Isento")),IF(B1836="EU-ENV-011",IF(INDEX(tbl_familias_ppwr[Metais_Pesados_Evidencia],MATCH(INDEX(tbl_recyclass[Familia_PPWR],MATCH(A1836,tbl_recyclass[ProductId],0)),tbl_familias_ppwr[ID_Familia],0))="Em falta","Lacuna","Conforme"),IF(B1836="EU-ENV-013",IF(INDEX(tbl_familias_ppwr[Declaracao_UE],MATCH(INDEX(tbl_recyclass[Familia_PPWR],MATCH(A1836,tbl_recyclass[ProductId],0)),tbl_familias_ppwr[ID_Familia],0))="Sim","Conforme","Lacuna"),G1836)))),G1836))</f>
        <v>Conforme</v>
      </c>
      <c r="I1836" s="33" t="str">
        <f t="shared" si="28"/>
        <v>Conforme</v>
      </c>
      <c r="J1836" s="26" t="s">
        <v>1106</v>
      </c>
    </row>
    <row r="1837" spans="1:10" ht="16.05" customHeight="1" x14ac:dyDescent="0.3">
      <c r="A1837" s="26" t="s">
        <v>805</v>
      </c>
      <c r="B1837" s="26" t="s">
        <v>1161</v>
      </c>
      <c r="C1837" s="33" t="str">
        <f>IFERROR(INDEX(tbl_requisitos_emb[Tema],MATCH(B1837,tbl_requisitos_emb[ID_Req],0)),"")</f>
        <v>Materiais em contacto com alimentos</v>
      </c>
      <c r="D1837" s="33" t="str">
        <f>IFERROR(INDEX(tbl_recyclass[Segmento],MATCH(A1837,tbl_recyclass[ProductId],0)),"")</f>
        <v>Cosmética e higiene pessoal</v>
      </c>
      <c r="E1837" s="26" t="s">
        <v>904</v>
      </c>
      <c r="F1837" s="26" t="s">
        <v>1450</v>
      </c>
      <c r="G1837" s="26" t="s">
        <v>1143</v>
      </c>
      <c r="H1837" s="33" t="str">
        <f>IF(E1837="Não","Não aplicável",IFERROR(IF(B1837="EU-ENV-002",IF(INDEX(tbl_recyclass[Conforme_PPWR_2030],MATCH(A1837,tbl_recyclass[ProductId],0))="Sim","Conforme (autoavaliação)",IF(INDEX(tbl_recyclass[Conforme_PPWR_2030],MATCH(A1837,tbl_recyclass[ProductId],0))="Não","Não conforme em 2030","Isento até 2035")),IF(B1837="EU-ENV-003",IF(INDEX(tbl_recyclass[Conforme_Art7_2030],MATCH(A1837,tbl_recyclass[ProductId],0))="Sim","Conforme (meta 2030)",IF(INDEX(tbl_recyclass[Conforme_Art7_2030],MATCH(A1837,tbl_recyclass[ProductId],0))="Não","Lacuna face à meta 2030","Isento")),IF(B1837="EU-ENV-011",IF(INDEX(tbl_familias_ppwr[Metais_Pesados_Evidencia],MATCH(INDEX(tbl_recyclass[Familia_PPWR],MATCH(A1837,tbl_recyclass[ProductId],0)),tbl_familias_ppwr[ID_Familia],0))="Em falta","Lacuna","Conforme"),IF(B1837="EU-ENV-013",IF(INDEX(tbl_familias_ppwr[Declaracao_UE],MATCH(INDEX(tbl_recyclass[Familia_PPWR],MATCH(A1837,tbl_recyclass[ProductId],0)),tbl_familias_ppwr[ID_Familia],0))="Sim","Conforme","Lacuna"),G1837)))),G1837))</f>
        <v>Não aplicável</v>
      </c>
      <c r="I1837" s="33" t="str">
        <f t="shared" si="28"/>
        <v>Não aplicável</v>
      </c>
      <c r="J1837" s="26"/>
    </row>
    <row r="1838" spans="1:10" ht="16.05" customHeight="1" x14ac:dyDescent="0.3">
      <c r="A1838" s="26" t="s">
        <v>805</v>
      </c>
      <c r="B1838" s="26" t="s">
        <v>1170</v>
      </c>
      <c r="C1838" s="33" t="str">
        <f>IFERROR(INDEX(tbl_requisitos_emb[Tema],MATCH(B1838,tbl_requisitos_emb[ID_Req],0)),"")</f>
        <v>Boas práticas de fabrico FCM</v>
      </c>
      <c r="D1838" s="33" t="str">
        <f>IFERROR(INDEX(tbl_recyclass[Segmento],MATCH(A1838,tbl_recyclass[ProductId],0)),"")</f>
        <v>Cosmética e higiene pessoal</v>
      </c>
      <c r="E1838" s="26" t="s">
        <v>904</v>
      </c>
      <c r="F1838" s="26" t="s">
        <v>1450</v>
      </c>
      <c r="G1838" s="26" t="s">
        <v>1143</v>
      </c>
      <c r="H1838" s="33" t="str">
        <f>IF(E1838="Não","Não aplicável",IFERROR(IF(B1838="EU-ENV-002",IF(INDEX(tbl_recyclass[Conforme_PPWR_2030],MATCH(A1838,tbl_recyclass[ProductId],0))="Sim","Conforme (autoavaliação)",IF(INDEX(tbl_recyclass[Conforme_PPWR_2030],MATCH(A1838,tbl_recyclass[ProductId],0))="Não","Não conforme em 2030","Isento até 2035")),IF(B1838="EU-ENV-003",IF(INDEX(tbl_recyclass[Conforme_Art7_2030],MATCH(A1838,tbl_recyclass[ProductId],0))="Sim","Conforme (meta 2030)",IF(INDEX(tbl_recyclass[Conforme_Art7_2030],MATCH(A1838,tbl_recyclass[ProductId],0))="Não","Lacuna face à meta 2030","Isento")),IF(B1838="EU-ENV-011",IF(INDEX(tbl_familias_ppwr[Metais_Pesados_Evidencia],MATCH(INDEX(tbl_recyclass[Familia_PPWR],MATCH(A1838,tbl_recyclass[ProductId],0)),tbl_familias_ppwr[ID_Familia],0))="Em falta","Lacuna","Conforme"),IF(B1838="EU-ENV-013",IF(INDEX(tbl_familias_ppwr[Declaracao_UE],MATCH(INDEX(tbl_recyclass[Familia_PPWR],MATCH(A1838,tbl_recyclass[ProductId],0)),tbl_familias_ppwr[ID_Familia],0))="Sim","Conforme","Lacuna"),G1838)))),G1838))</f>
        <v>Não aplicável</v>
      </c>
      <c r="I1838" s="33" t="str">
        <f t="shared" si="28"/>
        <v>Não aplicável</v>
      </c>
      <c r="J1838" s="26"/>
    </row>
    <row r="1839" spans="1:10" ht="16.05" customHeight="1" x14ac:dyDescent="0.3">
      <c r="A1839" s="26" t="s">
        <v>805</v>
      </c>
      <c r="B1839" s="26" t="s">
        <v>1179</v>
      </c>
      <c r="C1839" s="33" t="str">
        <f>IFERROR(INDEX(tbl_requisitos_emb[Tema],MATCH(B1839,tbl_requisitos_emb[ID_Req],0)),"")</f>
        <v>Bisfenol A e bisfenóis perigosos</v>
      </c>
      <c r="D1839" s="33" t="str">
        <f>IFERROR(INDEX(tbl_recyclass[Segmento],MATCH(A1839,tbl_recyclass[ProductId],0)),"")</f>
        <v>Cosmética e higiene pessoal</v>
      </c>
      <c r="E1839" s="26" t="s">
        <v>904</v>
      </c>
      <c r="F1839" s="26" t="s">
        <v>1450</v>
      </c>
      <c r="G1839" s="26" t="s">
        <v>1143</v>
      </c>
      <c r="H1839" s="33" t="str">
        <f>IF(E1839="Não","Não aplicável",IFERROR(IF(B1839="EU-ENV-002",IF(INDEX(tbl_recyclass[Conforme_PPWR_2030],MATCH(A1839,tbl_recyclass[ProductId],0))="Sim","Conforme (autoavaliação)",IF(INDEX(tbl_recyclass[Conforme_PPWR_2030],MATCH(A1839,tbl_recyclass[ProductId],0))="Não","Não conforme em 2030","Isento até 2035")),IF(B1839="EU-ENV-003",IF(INDEX(tbl_recyclass[Conforme_Art7_2030],MATCH(A1839,tbl_recyclass[ProductId],0))="Sim","Conforme (meta 2030)",IF(INDEX(tbl_recyclass[Conforme_Art7_2030],MATCH(A1839,tbl_recyclass[ProductId],0))="Não","Lacuna face à meta 2030","Isento")),IF(B1839="EU-ENV-011",IF(INDEX(tbl_familias_ppwr[Metais_Pesados_Evidencia],MATCH(INDEX(tbl_recyclass[Familia_PPWR],MATCH(A1839,tbl_recyclass[ProductId],0)),tbl_familias_ppwr[ID_Familia],0))="Em falta","Lacuna","Conforme"),IF(B1839="EU-ENV-013",IF(INDEX(tbl_familias_ppwr[Declaracao_UE],MATCH(INDEX(tbl_recyclass[Familia_PPWR],MATCH(A1839,tbl_recyclass[ProductId],0)),tbl_familias_ppwr[ID_Familia],0))="Sim","Conforme","Lacuna"),G1839)))),G1839))</f>
        <v>Não aplicável</v>
      </c>
      <c r="I1839" s="33" t="str">
        <f t="shared" si="28"/>
        <v>Não aplicável</v>
      </c>
      <c r="J1839" s="26"/>
    </row>
    <row r="1840" spans="1:10" ht="16.05" customHeight="1" x14ac:dyDescent="0.3">
      <c r="A1840" s="26" t="s">
        <v>805</v>
      </c>
      <c r="B1840" s="26" t="s">
        <v>1188</v>
      </c>
      <c r="C1840" s="33" t="str">
        <f>IFERROR(INDEX(tbl_requisitos_emb[Tema],MATCH(B1840,tbl_requisitos_emb[ID_Req],0)),"")</f>
        <v>Plásticos em contacto com alimentos</v>
      </c>
      <c r="D1840" s="33" t="str">
        <f>IFERROR(INDEX(tbl_recyclass[Segmento],MATCH(A1840,tbl_recyclass[ProductId],0)),"")</f>
        <v>Cosmética e higiene pessoal</v>
      </c>
      <c r="E1840" s="26" t="s">
        <v>904</v>
      </c>
      <c r="F1840" s="26" t="s">
        <v>1450</v>
      </c>
      <c r="G1840" s="26" t="s">
        <v>1143</v>
      </c>
      <c r="H1840" s="33" t="str">
        <f>IF(E1840="Não","Não aplicável",IFERROR(IF(B1840="EU-ENV-002",IF(INDEX(tbl_recyclass[Conforme_PPWR_2030],MATCH(A1840,tbl_recyclass[ProductId],0))="Sim","Conforme (autoavaliação)",IF(INDEX(tbl_recyclass[Conforme_PPWR_2030],MATCH(A1840,tbl_recyclass[ProductId],0))="Não","Não conforme em 2030","Isento até 2035")),IF(B1840="EU-ENV-003",IF(INDEX(tbl_recyclass[Conforme_Art7_2030],MATCH(A1840,tbl_recyclass[ProductId],0))="Sim","Conforme (meta 2030)",IF(INDEX(tbl_recyclass[Conforme_Art7_2030],MATCH(A1840,tbl_recyclass[ProductId],0))="Não","Lacuna face à meta 2030","Isento")),IF(B1840="EU-ENV-011",IF(INDEX(tbl_familias_ppwr[Metais_Pesados_Evidencia],MATCH(INDEX(tbl_recyclass[Familia_PPWR],MATCH(A1840,tbl_recyclass[ProductId],0)),tbl_familias_ppwr[ID_Familia],0))="Em falta","Lacuna","Conforme"),IF(B1840="EU-ENV-013",IF(INDEX(tbl_familias_ppwr[Declaracao_UE],MATCH(INDEX(tbl_recyclass[Familia_PPWR],MATCH(A1840,tbl_recyclass[ProductId],0)),tbl_familias_ppwr[ID_Familia],0))="Sim","Conforme","Lacuna"),G1840)))),G1840))</f>
        <v>Não aplicável</v>
      </c>
      <c r="I1840" s="33" t="str">
        <f t="shared" si="28"/>
        <v>Não aplicável</v>
      </c>
      <c r="J1840" s="26"/>
    </row>
    <row r="1841" spans="1:10" ht="16.05" customHeight="1" x14ac:dyDescent="0.3">
      <c r="A1841" s="26" t="s">
        <v>805</v>
      </c>
      <c r="B1841" s="26" t="s">
        <v>1212</v>
      </c>
      <c r="C1841" s="33" t="str">
        <f>IFERROR(INDEX(tbl_requisitos_emb[Tema],MATCH(B1841,tbl_requisitos_emb[ID_Req],0)),"")</f>
        <v>Segurança do produto cosmético</v>
      </c>
      <c r="D1841" s="33" t="str">
        <f>IFERROR(INDEX(tbl_recyclass[Segmento],MATCH(A1841,tbl_recyclass[ProductId],0)),"")</f>
        <v>Cosmética e higiene pessoal</v>
      </c>
      <c r="E1841" s="26" t="s">
        <v>901</v>
      </c>
      <c r="F1841" s="26" t="s">
        <v>1449</v>
      </c>
      <c r="G1841" s="26" t="s">
        <v>1033</v>
      </c>
      <c r="H1841" s="33" t="str">
        <f>IF(E1841="Não","Não aplicável",IFERROR(IF(B1841="EU-ENV-002",IF(INDEX(tbl_recyclass[Conforme_PPWR_2030],MATCH(A1841,tbl_recyclass[ProductId],0))="Sim","Conforme (autoavaliação)",IF(INDEX(tbl_recyclass[Conforme_PPWR_2030],MATCH(A1841,tbl_recyclass[ProductId],0))="Não","Não conforme em 2030","Isento até 2035")),IF(B1841="EU-ENV-003",IF(INDEX(tbl_recyclass[Conforme_Art7_2030],MATCH(A1841,tbl_recyclass[ProductId],0))="Sim","Conforme (meta 2030)",IF(INDEX(tbl_recyclass[Conforme_Art7_2030],MATCH(A1841,tbl_recyclass[ProductId],0))="Não","Lacuna face à meta 2030","Isento")),IF(B1841="EU-ENV-011",IF(INDEX(tbl_familias_ppwr[Metais_Pesados_Evidencia],MATCH(INDEX(tbl_recyclass[Familia_PPWR],MATCH(A1841,tbl_recyclass[ProductId],0)),tbl_familias_ppwr[ID_Familia],0))="Em falta","Lacuna","Conforme"),IF(B1841="EU-ENV-013",IF(INDEX(tbl_familias_ppwr[Declaracao_UE],MATCH(INDEX(tbl_recyclass[Familia_PPWR],MATCH(A1841,tbl_recyclass[ProductId],0)),tbl_familias_ppwr[ID_Familia],0))="Sim","Conforme","Lacuna"),G1841)))),G1841))</f>
        <v>Conforme</v>
      </c>
      <c r="I1841" s="33" t="str">
        <f t="shared" si="28"/>
        <v>Conforme</v>
      </c>
      <c r="J1841" s="26" t="s">
        <v>1221</v>
      </c>
    </row>
    <row r="1842" spans="1:10" ht="16.05" customHeight="1" x14ac:dyDescent="0.3">
      <c r="A1842" s="26" t="s">
        <v>805</v>
      </c>
      <c r="B1842" s="26" t="s">
        <v>1224</v>
      </c>
      <c r="C1842" s="33" t="str">
        <f>IFERROR(INDEX(tbl_requisitos_emb[Tema],MATCH(B1842,tbl_requisitos_emb[ID_Req],0)),"")</f>
        <v>Materiais e impurezas</v>
      </c>
      <c r="D1842" s="33" t="str">
        <f>IFERROR(INDEX(tbl_recyclass[Segmento],MATCH(A1842,tbl_recyclass[ProductId],0)),"")</f>
        <v>Cosmética e higiene pessoal</v>
      </c>
      <c r="E1842" s="26" t="s">
        <v>901</v>
      </c>
      <c r="F1842" s="26" t="s">
        <v>1449</v>
      </c>
      <c r="G1842" s="26" t="s">
        <v>978</v>
      </c>
      <c r="H1842" s="33" t="str">
        <f>IF(E1842="Não","Não aplicável",IFERROR(IF(B1842="EU-ENV-002",IF(INDEX(tbl_recyclass[Conforme_PPWR_2030],MATCH(A1842,tbl_recyclass[ProductId],0))="Sim","Conforme (autoavaliação)",IF(INDEX(tbl_recyclass[Conforme_PPWR_2030],MATCH(A1842,tbl_recyclass[ProductId],0))="Não","Não conforme em 2030","Isento até 2035")),IF(B1842="EU-ENV-003",IF(INDEX(tbl_recyclass[Conforme_Art7_2030],MATCH(A1842,tbl_recyclass[ProductId],0))="Sim","Conforme (meta 2030)",IF(INDEX(tbl_recyclass[Conforme_Art7_2030],MATCH(A1842,tbl_recyclass[ProductId],0))="Não","Lacuna face à meta 2030","Isento")),IF(B1842="EU-ENV-011",IF(INDEX(tbl_familias_ppwr[Metais_Pesados_Evidencia],MATCH(INDEX(tbl_recyclass[Familia_PPWR],MATCH(A1842,tbl_recyclass[ProductId],0)),tbl_familias_ppwr[ID_Familia],0))="Em falta","Lacuna","Conforme"),IF(B1842="EU-ENV-013",IF(INDEX(tbl_familias_ppwr[Declaracao_UE],MATCH(INDEX(tbl_recyclass[Familia_PPWR],MATCH(A1842,tbl_recyclass[ProductId],0)),tbl_familias_ppwr[ID_Familia],0))="Sim","Conforme","Lacuna"),G1842)))),G1842))</f>
        <v>Parcial</v>
      </c>
      <c r="I1842" s="33" t="str">
        <f t="shared" si="28"/>
        <v>Parcial</v>
      </c>
      <c r="J1842" s="26" t="s">
        <v>1228</v>
      </c>
    </row>
    <row r="1843" spans="1:10" ht="16.05" customHeight="1" x14ac:dyDescent="0.3">
      <c r="A1843" s="26" t="s">
        <v>805</v>
      </c>
      <c r="B1843" s="26" t="s">
        <v>1240</v>
      </c>
      <c r="C1843" s="33" t="str">
        <f>IFERROR(INDEX(tbl_requisitos_emb[Tema],MATCH(B1843,tbl_requisitos_emb[ID_Req],0)),"")</f>
        <v>Compatibilidade embalagem–produto</v>
      </c>
      <c r="D1843" s="33" t="str">
        <f>IFERROR(INDEX(tbl_recyclass[Segmento],MATCH(A1843,tbl_recyclass[ProductId],0)),"")</f>
        <v>Cosmética e higiene pessoal</v>
      </c>
      <c r="E1843" s="26" t="s">
        <v>901</v>
      </c>
      <c r="F1843" s="26" t="s">
        <v>1449</v>
      </c>
      <c r="G1843" s="26" t="s">
        <v>1033</v>
      </c>
      <c r="H1843" s="33" t="str">
        <f>IF(E1843="Não","Não aplicável",IFERROR(IF(B1843="EU-ENV-002",IF(INDEX(tbl_recyclass[Conforme_PPWR_2030],MATCH(A1843,tbl_recyclass[ProductId],0))="Sim","Conforme (autoavaliação)",IF(INDEX(tbl_recyclass[Conforme_PPWR_2030],MATCH(A1843,tbl_recyclass[ProductId],0))="Não","Não conforme em 2030","Isento até 2035")),IF(B1843="EU-ENV-003",IF(INDEX(tbl_recyclass[Conforme_Art7_2030],MATCH(A1843,tbl_recyclass[ProductId],0))="Sim","Conforme (meta 2030)",IF(INDEX(tbl_recyclass[Conforme_Art7_2030],MATCH(A1843,tbl_recyclass[ProductId],0))="Não","Lacuna face à meta 2030","Isento")),IF(B1843="EU-ENV-011",IF(INDEX(tbl_familias_ppwr[Metais_Pesados_Evidencia],MATCH(INDEX(tbl_recyclass[Familia_PPWR],MATCH(A1843,tbl_recyclass[ProductId],0)),tbl_familias_ppwr[ID_Familia],0))="Em falta","Lacuna","Conforme"),IF(B1843="EU-ENV-013",IF(INDEX(tbl_familias_ppwr[Declaracao_UE],MATCH(INDEX(tbl_recyclass[Familia_PPWR],MATCH(A1843,tbl_recyclass[ProductId],0)),tbl_familias_ppwr[ID_Familia],0))="Sim","Conforme","Lacuna"),G1843)))),G1843))</f>
        <v>Conforme</v>
      </c>
      <c r="I1843" s="33" t="str">
        <f t="shared" si="28"/>
        <v>Conforme</v>
      </c>
      <c r="J1843" s="26" t="s">
        <v>1244</v>
      </c>
    </row>
    <row r="1844" spans="1:10" ht="16.05" customHeight="1" x14ac:dyDescent="0.3">
      <c r="A1844" s="26" t="s">
        <v>805</v>
      </c>
      <c r="B1844" s="26" t="s">
        <v>1252</v>
      </c>
      <c r="C1844" s="33" t="str">
        <f>IFERROR(INDEX(tbl_requisitos_emb[Tema],MATCH(B1844,tbl_requisitos_emb[ID_Req],0)),"")</f>
        <v>Medicamentos de uso humano</v>
      </c>
      <c r="D1844" s="33" t="str">
        <f>IFERROR(INDEX(tbl_recyclass[Segmento],MATCH(A1844,tbl_recyclass[ProductId],0)),"")</f>
        <v>Cosmética e higiene pessoal</v>
      </c>
      <c r="E1844" s="26" t="s">
        <v>904</v>
      </c>
      <c r="F1844" s="26" t="s">
        <v>1451</v>
      </c>
      <c r="G1844" s="26" t="s">
        <v>1143</v>
      </c>
      <c r="H1844" s="33" t="str">
        <f>IF(E1844="Não","Não aplicável",IFERROR(IF(B1844="EU-ENV-002",IF(INDEX(tbl_recyclass[Conforme_PPWR_2030],MATCH(A1844,tbl_recyclass[ProductId],0))="Sim","Conforme (autoavaliação)",IF(INDEX(tbl_recyclass[Conforme_PPWR_2030],MATCH(A1844,tbl_recyclass[ProductId],0))="Não","Não conforme em 2030","Isento até 2035")),IF(B1844="EU-ENV-003",IF(INDEX(tbl_recyclass[Conforme_Art7_2030],MATCH(A1844,tbl_recyclass[ProductId],0))="Sim","Conforme (meta 2030)",IF(INDEX(tbl_recyclass[Conforme_Art7_2030],MATCH(A1844,tbl_recyclass[ProductId],0))="Não","Lacuna face à meta 2030","Isento")),IF(B1844="EU-ENV-011",IF(INDEX(tbl_familias_ppwr[Metais_Pesados_Evidencia],MATCH(INDEX(tbl_recyclass[Familia_PPWR],MATCH(A1844,tbl_recyclass[ProductId],0)),tbl_familias_ppwr[ID_Familia],0))="Em falta","Lacuna","Conforme"),IF(B1844="EU-ENV-013",IF(INDEX(tbl_familias_ppwr[Declaracao_UE],MATCH(INDEX(tbl_recyclass[Familia_PPWR],MATCH(A1844,tbl_recyclass[ProductId],0)),tbl_familias_ppwr[ID_Familia],0))="Sim","Conforme","Lacuna"),G1844)))),G1844))</f>
        <v>Não aplicável</v>
      </c>
      <c r="I1844" s="33" t="str">
        <f t="shared" si="28"/>
        <v>Não aplicável</v>
      </c>
      <c r="J1844" s="26"/>
    </row>
    <row r="1845" spans="1:10" ht="16.05" customHeight="1" x14ac:dyDescent="0.3">
      <c r="A1845" s="26" t="s">
        <v>805</v>
      </c>
      <c r="B1845" s="26" t="s">
        <v>1268</v>
      </c>
      <c r="C1845" s="33" t="str">
        <f>IFERROR(INDEX(tbl_requisitos_emb[Tema],MATCH(B1845,tbl_requisitos_emb[ID_Req],0)),"")</f>
        <v>Dispositivos de segurança</v>
      </c>
      <c r="D1845" s="33" t="str">
        <f>IFERROR(INDEX(tbl_recyclass[Segmento],MATCH(A1845,tbl_recyclass[ProductId],0)),"")</f>
        <v>Cosmética e higiene pessoal</v>
      </c>
      <c r="E1845" s="26" t="s">
        <v>904</v>
      </c>
      <c r="F1845" s="26" t="s">
        <v>1451</v>
      </c>
      <c r="G1845" s="26" t="s">
        <v>1143</v>
      </c>
      <c r="H1845" s="33" t="str">
        <f>IF(E1845="Não","Não aplicável",IFERROR(IF(B1845="EU-ENV-002",IF(INDEX(tbl_recyclass[Conforme_PPWR_2030],MATCH(A1845,tbl_recyclass[ProductId],0))="Sim","Conforme (autoavaliação)",IF(INDEX(tbl_recyclass[Conforme_PPWR_2030],MATCH(A1845,tbl_recyclass[ProductId],0))="Não","Não conforme em 2030","Isento até 2035")),IF(B1845="EU-ENV-003",IF(INDEX(tbl_recyclass[Conforme_Art7_2030],MATCH(A1845,tbl_recyclass[ProductId],0))="Sim","Conforme (meta 2030)",IF(INDEX(tbl_recyclass[Conforme_Art7_2030],MATCH(A1845,tbl_recyclass[ProductId],0))="Não","Lacuna face à meta 2030","Isento")),IF(B1845="EU-ENV-011",IF(INDEX(tbl_familias_ppwr[Metais_Pesados_Evidencia],MATCH(INDEX(tbl_recyclass[Familia_PPWR],MATCH(A1845,tbl_recyclass[ProductId],0)),tbl_familias_ppwr[ID_Familia],0))="Em falta","Lacuna","Conforme"),IF(B1845="EU-ENV-013",IF(INDEX(tbl_familias_ppwr[Declaracao_UE],MATCH(INDEX(tbl_recyclass[Familia_PPWR],MATCH(A1845,tbl_recyclass[ProductId],0)),tbl_familias_ppwr[ID_Familia],0))="Sim","Conforme","Lacuna"),G1845)))),G1845))</f>
        <v>Não aplicável</v>
      </c>
      <c r="I1845" s="33" t="str">
        <f t="shared" si="28"/>
        <v>Não aplicável</v>
      </c>
      <c r="J1845" s="26"/>
    </row>
    <row r="1846" spans="1:10" ht="16.05" customHeight="1" x14ac:dyDescent="0.3">
      <c r="A1846" s="26" t="s">
        <v>805</v>
      </c>
      <c r="B1846" s="26" t="s">
        <v>1285</v>
      </c>
      <c r="C1846" s="33" t="str">
        <f>IFERROR(INDEX(tbl_requisitos_emb[Tema],MATCH(B1846,tbl_requisitos_emb[ID_Req],0)),"")</f>
        <v>Materiais plásticos de acondicionamento primário</v>
      </c>
      <c r="D1846" s="33" t="str">
        <f>IFERROR(INDEX(tbl_recyclass[Segmento],MATCH(A1846,tbl_recyclass[ProductId],0)),"")</f>
        <v>Cosmética e higiene pessoal</v>
      </c>
      <c r="E1846" s="26" t="s">
        <v>904</v>
      </c>
      <c r="F1846" s="26" t="s">
        <v>1451</v>
      </c>
      <c r="G1846" s="26" t="s">
        <v>1143</v>
      </c>
      <c r="H1846" s="33" t="str">
        <f>IF(E1846="Não","Não aplicável",IFERROR(IF(B1846="EU-ENV-002",IF(INDEX(tbl_recyclass[Conforme_PPWR_2030],MATCH(A1846,tbl_recyclass[ProductId],0))="Sim","Conforme (autoavaliação)",IF(INDEX(tbl_recyclass[Conforme_PPWR_2030],MATCH(A1846,tbl_recyclass[ProductId],0))="Não","Não conforme em 2030","Isento até 2035")),IF(B1846="EU-ENV-003",IF(INDEX(tbl_recyclass[Conforme_Art7_2030],MATCH(A1846,tbl_recyclass[ProductId],0))="Sim","Conforme (meta 2030)",IF(INDEX(tbl_recyclass[Conforme_Art7_2030],MATCH(A1846,tbl_recyclass[ProductId],0))="Não","Lacuna face à meta 2030","Isento")),IF(B1846="EU-ENV-011",IF(INDEX(tbl_familias_ppwr[Metais_Pesados_Evidencia],MATCH(INDEX(tbl_recyclass[Familia_PPWR],MATCH(A1846,tbl_recyclass[ProductId],0)),tbl_familias_ppwr[ID_Familia],0))="Em falta","Lacuna","Conforme"),IF(B1846="EU-ENV-013",IF(INDEX(tbl_familias_ppwr[Declaracao_UE],MATCH(INDEX(tbl_recyclass[Familia_PPWR],MATCH(A1846,tbl_recyclass[ProductId],0)),tbl_familias_ppwr[ID_Familia],0))="Sim","Conforme","Lacuna"),G1846)))),G1846))</f>
        <v>Não aplicável</v>
      </c>
      <c r="I1846" s="33" t="str">
        <f t="shared" si="28"/>
        <v>Não aplicável</v>
      </c>
      <c r="J1846" s="26"/>
    </row>
    <row r="1847" spans="1:10" ht="16.05" customHeight="1" x14ac:dyDescent="0.3">
      <c r="A1847" s="26" t="s">
        <v>805</v>
      </c>
      <c r="B1847" s="26" t="s">
        <v>1293</v>
      </c>
      <c r="C1847" s="33" t="str">
        <f>IFERROR(INDEX(tbl_requisitos_emb[Tema],MATCH(B1847,tbl_requisitos_emb[ID_Req],0)),"")</f>
        <v>Isenções PPWR</v>
      </c>
      <c r="D1847" s="33" t="str">
        <f>IFERROR(INDEX(tbl_recyclass[Segmento],MATCH(A1847,tbl_recyclass[ProductId],0)),"")</f>
        <v>Cosmética e higiene pessoal</v>
      </c>
      <c r="E1847" s="26" t="s">
        <v>904</v>
      </c>
      <c r="F1847" s="26" t="s">
        <v>1451</v>
      </c>
      <c r="G1847" s="26" t="s">
        <v>1143</v>
      </c>
      <c r="H1847" s="33" t="str">
        <f>IF(E1847="Não","Não aplicável",IFERROR(IF(B1847="EU-ENV-002",IF(INDEX(tbl_recyclass[Conforme_PPWR_2030],MATCH(A1847,tbl_recyclass[ProductId],0))="Sim","Conforme (autoavaliação)",IF(INDEX(tbl_recyclass[Conforme_PPWR_2030],MATCH(A1847,tbl_recyclass[ProductId],0))="Não","Não conforme em 2030","Isento até 2035")),IF(B1847="EU-ENV-003",IF(INDEX(tbl_recyclass[Conforme_Art7_2030],MATCH(A1847,tbl_recyclass[ProductId],0))="Sim","Conforme (meta 2030)",IF(INDEX(tbl_recyclass[Conforme_Art7_2030],MATCH(A1847,tbl_recyclass[ProductId],0))="Não","Lacuna face à meta 2030","Isento")),IF(B1847="EU-ENV-011",IF(INDEX(tbl_familias_ppwr[Metais_Pesados_Evidencia],MATCH(INDEX(tbl_recyclass[Familia_PPWR],MATCH(A1847,tbl_recyclass[ProductId],0)),tbl_familias_ppwr[ID_Familia],0))="Em falta","Lacuna","Conforme"),IF(B1847="EU-ENV-013",IF(INDEX(tbl_familias_ppwr[Declaracao_UE],MATCH(INDEX(tbl_recyclass[Familia_PPWR],MATCH(A1847,tbl_recyclass[ProductId],0)),tbl_familias_ppwr[ID_Familia],0))="Sim","Conforme","Lacuna"),G1847)))),G1847))</f>
        <v>Não aplicável</v>
      </c>
      <c r="I1847" s="33" t="str">
        <f t="shared" si="28"/>
        <v>Não aplicável</v>
      </c>
      <c r="J1847" s="26"/>
    </row>
    <row r="1848" spans="1:10" ht="16.05" customHeight="1" x14ac:dyDescent="0.3">
      <c r="A1848" s="26" t="s">
        <v>805</v>
      </c>
      <c r="B1848" s="26" t="s">
        <v>1357</v>
      </c>
      <c r="C1848" s="33" t="str">
        <f>IFERROR(INDEX(tbl_requisitos_emb[Tema],MATCH(B1848,tbl_requisitos_emb[ID_Req],0)),"")</f>
        <v>Identificação de plásticos</v>
      </c>
      <c r="D1848" s="33" t="str">
        <f>IFERROR(INDEX(tbl_recyclass[Segmento],MATCH(A1848,tbl_recyclass[ProductId],0)),"")</f>
        <v>Cosmética e higiene pessoal</v>
      </c>
      <c r="E1848" s="26" t="s">
        <v>901</v>
      </c>
      <c r="F1848" s="26" t="s">
        <v>1449</v>
      </c>
      <c r="G1848" s="26" t="s">
        <v>978</v>
      </c>
      <c r="H1848" s="33" t="str">
        <f>IF(E1848="Não","Não aplicável",IFERROR(IF(B1848="EU-ENV-002",IF(INDEX(tbl_recyclass[Conforme_PPWR_2030],MATCH(A1848,tbl_recyclass[ProductId],0))="Sim","Conforme (autoavaliação)",IF(INDEX(tbl_recyclass[Conforme_PPWR_2030],MATCH(A1848,tbl_recyclass[ProductId],0))="Não","Não conforme em 2030","Isento até 2035")),IF(B1848="EU-ENV-003",IF(INDEX(tbl_recyclass[Conforme_Art7_2030],MATCH(A1848,tbl_recyclass[ProductId],0))="Sim","Conforme (meta 2030)",IF(INDEX(tbl_recyclass[Conforme_Art7_2030],MATCH(A1848,tbl_recyclass[ProductId],0))="Não","Lacuna face à meta 2030","Isento")),IF(B1848="EU-ENV-011",IF(INDEX(tbl_familias_ppwr[Metais_Pesados_Evidencia],MATCH(INDEX(tbl_recyclass[Familia_PPWR],MATCH(A1848,tbl_recyclass[ProductId],0)),tbl_familias_ppwr[ID_Familia],0))="Em falta","Lacuna","Conforme"),IF(B1848="EU-ENV-013",IF(INDEX(tbl_familias_ppwr[Declaracao_UE],MATCH(INDEX(tbl_recyclass[Familia_PPWR],MATCH(A1848,tbl_recyclass[ProductId],0)),tbl_familias_ppwr[ID_Familia],0))="Sim","Conforme","Lacuna"),G1848)))),G1848))</f>
        <v>Parcial</v>
      </c>
      <c r="I1848" s="33" t="str">
        <f t="shared" si="28"/>
        <v>Parcial</v>
      </c>
      <c r="J1848" s="26" t="s">
        <v>1362</v>
      </c>
    </row>
    <row r="1849" spans="1:10" ht="16.05" customHeight="1" x14ac:dyDescent="0.3">
      <c r="A1849" s="26" t="s">
        <v>805</v>
      </c>
      <c r="B1849" s="26" t="s">
        <v>1385</v>
      </c>
      <c r="C1849" s="33" t="str">
        <f>IFERROR(INDEX(tbl_requisitos_emb[Tema],MATCH(B1849,tbl_requisitos_emb[ID_Req],0)),"")</f>
        <v>Reciclabilidade (voluntária)</v>
      </c>
      <c r="D1849" s="33" t="str">
        <f>IFERROR(INDEX(tbl_recyclass[Segmento],MATCH(A1849,tbl_recyclass[ProductId],0)),"")</f>
        <v>Cosmética e higiene pessoal</v>
      </c>
      <c r="E1849" s="26" t="s">
        <v>901</v>
      </c>
      <c r="F1849" s="26" t="s">
        <v>1449</v>
      </c>
      <c r="G1849" s="26" t="s">
        <v>978</v>
      </c>
      <c r="H1849" s="33" t="str">
        <f>IF(E1849="Não","Não aplicável",IFERROR(IF(B1849="EU-ENV-002",IF(INDEX(tbl_recyclass[Conforme_PPWR_2030],MATCH(A1849,tbl_recyclass[ProductId],0))="Sim","Conforme (autoavaliação)",IF(INDEX(tbl_recyclass[Conforme_PPWR_2030],MATCH(A1849,tbl_recyclass[ProductId],0))="Não","Não conforme em 2030","Isento até 2035")),IF(B1849="EU-ENV-003",IF(INDEX(tbl_recyclass[Conforme_Art7_2030],MATCH(A1849,tbl_recyclass[ProductId],0))="Sim","Conforme (meta 2030)",IF(INDEX(tbl_recyclass[Conforme_Art7_2030],MATCH(A1849,tbl_recyclass[ProductId],0))="Não","Lacuna face à meta 2030","Isento")),IF(B1849="EU-ENV-011",IF(INDEX(tbl_familias_ppwr[Metais_Pesados_Evidencia],MATCH(INDEX(tbl_recyclass[Familia_PPWR],MATCH(A1849,tbl_recyclass[ProductId],0)),tbl_familias_ppwr[ID_Familia],0))="Em falta","Lacuna","Conforme"),IF(B1849="EU-ENV-013",IF(INDEX(tbl_familias_ppwr[Declaracao_UE],MATCH(INDEX(tbl_recyclass[Familia_PPWR],MATCH(A1849,tbl_recyclass[ProductId],0)),tbl_familias_ppwr[ID_Familia],0))="Sim","Conforme","Lacuna"),G1849)))),G1849))</f>
        <v>Parcial</v>
      </c>
      <c r="I1849" s="33" t="str">
        <f t="shared" si="28"/>
        <v>Parcial</v>
      </c>
      <c r="J1849" s="26" t="s">
        <v>1389</v>
      </c>
    </row>
    <row r="1850" spans="1:10" ht="16.05" customHeight="1" x14ac:dyDescent="0.3">
      <c r="A1850" s="26" t="s">
        <v>807</v>
      </c>
      <c r="B1850" s="26" t="s">
        <v>984</v>
      </c>
      <c r="C1850" s="33" t="str">
        <f>IFERROR(INDEX(tbl_requisitos_emb[Tema],MATCH(B1850,tbl_requisitos_emb[ID_Req],0)),"")</f>
        <v>Conceção para reciclagem</v>
      </c>
      <c r="D1850" s="33" t="str">
        <f>IFERROR(INDEX(tbl_recyclass[Segmento],MATCH(A1850,tbl_recyclass[ProductId],0)),"")</f>
        <v>Cosmética e higiene pessoal</v>
      </c>
      <c r="E1850" s="26" t="s">
        <v>901</v>
      </c>
      <c r="F1850" s="26" t="s">
        <v>1449</v>
      </c>
      <c r="G1850" s="26" t="s">
        <v>978</v>
      </c>
      <c r="H1850" s="33" t="str">
        <f>IF(E1850="Não","Não aplicável",IFERROR(IF(B1850="EU-ENV-002",IF(INDEX(tbl_recyclass[Conforme_PPWR_2030],MATCH(A1850,tbl_recyclass[ProductId],0))="Sim","Conforme (autoavaliação)",IF(INDEX(tbl_recyclass[Conforme_PPWR_2030],MATCH(A1850,tbl_recyclass[ProductId],0))="Não","Não conforme em 2030","Isento até 2035")),IF(B1850="EU-ENV-003",IF(INDEX(tbl_recyclass[Conforme_Art7_2030],MATCH(A1850,tbl_recyclass[ProductId],0))="Sim","Conforme (meta 2030)",IF(INDEX(tbl_recyclass[Conforme_Art7_2030],MATCH(A1850,tbl_recyclass[ProductId],0))="Não","Lacuna face à meta 2030","Isento")),IF(B1850="EU-ENV-011",IF(INDEX(tbl_familias_ppwr[Metais_Pesados_Evidencia],MATCH(INDEX(tbl_recyclass[Familia_PPWR],MATCH(A1850,tbl_recyclass[ProductId],0)),tbl_familias_ppwr[ID_Familia],0))="Em falta","Lacuna","Conforme"),IF(B1850="EU-ENV-013",IF(INDEX(tbl_familias_ppwr[Declaracao_UE],MATCH(INDEX(tbl_recyclass[Familia_PPWR],MATCH(A1850,tbl_recyclass[ProductId],0)),tbl_familias_ppwr[ID_Familia],0))="Sim","Conforme","Lacuna"),G1850)))),G1850))</f>
        <v>Não conforme em 2030</v>
      </c>
      <c r="I1850" s="33" t="str">
        <f t="shared" si="28"/>
        <v>Não conforme</v>
      </c>
      <c r="J1850" s="26" t="s">
        <v>991</v>
      </c>
    </row>
    <row r="1851" spans="1:10" ht="16.05" customHeight="1" x14ac:dyDescent="0.3">
      <c r="A1851" s="26" t="s">
        <v>807</v>
      </c>
      <c r="B1851" s="26" t="s">
        <v>997</v>
      </c>
      <c r="C1851" s="33" t="str">
        <f>IFERROR(INDEX(tbl_requisitos_emb[Tema],MATCH(B1851,tbl_requisitos_emb[ID_Req],0)),"")</f>
        <v>Conteúdo reciclado</v>
      </c>
      <c r="D1851" s="33" t="str">
        <f>IFERROR(INDEX(tbl_recyclass[Segmento],MATCH(A1851,tbl_recyclass[ProductId],0)),"")</f>
        <v>Cosmética e higiene pessoal</v>
      </c>
      <c r="E1851" s="26" t="s">
        <v>901</v>
      </c>
      <c r="F1851" s="26" t="s">
        <v>1449</v>
      </c>
      <c r="G1851" s="26" t="s">
        <v>978</v>
      </c>
      <c r="H1851" s="33" t="str">
        <f>IF(E1851="Não","Não aplicável",IFERROR(IF(B1851="EU-ENV-002",IF(INDEX(tbl_recyclass[Conforme_PPWR_2030],MATCH(A1851,tbl_recyclass[ProductId],0))="Sim","Conforme (autoavaliação)",IF(INDEX(tbl_recyclass[Conforme_PPWR_2030],MATCH(A1851,tbl_recyclass[ProductId],0))="Não","Não conforme em 2030","Isento até 2035")),IF(B1851="EU-ENV-003",IF(INDEX(tbl_recyclass[Conforme_Art7_2030],MATCH(A1851,tbl_recyclass[ProductId],0))="Sim","Conforme (meta 2030)",IF(INDEX(tbl_recyclass[Conforme_Art7_2030],MATCH(A1851,tbl_recyclass[ProductId],0))="Não","Lacuna face à meta 2030","Isento")),IF(B1851="EU-ENV-011",IF(INDEX(tbl_familias_ppwr[Metais_Pesados_Evidencia],MATCH(INDEX(tbl_recyclass[Familia_PPWR],MATCH(A1851,tbl_recyclass[ProductId],0)),tbl_familias_ppwr[ID_Familia],0))="Em falta","Lacuna","Conforme"),IF(B1851="EU-ENV-013",IF(INDEX(tbl_familias_ppwr[Declaracao_UE],MATCH(INDEX(tbl_recyclass[Familia_PPWR],MATCH(A1851,tbl_recyclass[ProductId],0)),tbl_familias_ppwr[ID_Familia],0))="Sim","Conforme","Lacuna"),G1851)))),G1851))</f>
        <v>Lacuna face à meta 2030</v>
      </c>
      <c r="I1851" s="33" t="str">
        <f t="shared" si="28"/>
        <v>Lacuna</v>
      </c>
      <c r="J1851" s="26" t="s">
        <v>1001</v>
      </c>
    </row>
    <row r="1852" spans="1:10" ht="16.05" customHeight="1" x14ac:dyDescent="0.3">
      <c r="A1852" s="26" t="s">
        <v>807</v>
      </c>
      <c r="B1852" s="26" t="s">
        <v>1007</v>
      </c>
      <c r="C1852" s="33" t="str">
        <f>IFERROR(INDEX(tbl_requisitos_emb[Tema],MATCH(B1852,tbl_requisitos_emb[ID_Req],0)),"")</f>
        <v>Minimização</v>
      </c>
      <c r="D1852" s="33" t="str">
        <f>IFERROR(INDEX(tbl_recyclass[Segmento],MATCH(A1852,tbl_recyclass[ProductId],0)),"")</f>
        <v>Cosmética e higiene pessoal</v>
      </c>
      <c r="E1852" s="26" t="s">
        <v>901</v>
      </c>
      <c r="F1852" s="26" t="s">
        <v>1449</v>
      </c>
      <c r="G1852" s="26" t="s">
        <v>978</v>
      </c>
      <c r="H1852" s="33" t="str">
        <f>IF(E1852="Não","Não aplicável",IFERROR(IF(B1852="EU-ENV-002",IF(INDEX(tbl_recyclass[Conforme_PPWR_2030],MATCH(A1852,tbl_recyclass[ProductId],0))="Sim","Conforme (autoavaliação)",IF(INDEX(tbl_recyclass[Conforme_PPWR_2030],MATCH(A1852,tbl_recyclass[ProductId],0))="Não","Não conforme em 2030","Isento até 2035")),IF(B1852="EU-ENV-003",IF(INDEX(tbl_recyclass[Conforme_Art7_2030],MATCH(A1852,tbl_recyclass[ProductId],0))="Sim","Conforme (meta 2030)",IF(INDEX(tbl_recyclass[Conforme_Art7_2030],MATCH(A1852,tbl_recyclass[ProductId],0))="Não","Lacuna face à meta 2030","Isento")),IF(B1852="EU-ENV-011",IF(INDEX(tbl_familias_ppwr[Metais_Pesados_Evidencia],MATCH(INDEX(tbl_recyclass[Familia_PPWR],MATCH(A1852,tbl_recyclass[ProductId],0)),tbl_familias_ppwr[ID_Familia],0))="Em falta","Lacuna","Conforme"),IF(B1852="EU-ENV-013",IF(INDEX(tbl_familias_ppwr[Declaracao_UE],MATCH(INDEX(tbl_recyclass[Familia_PPWR],MATCH(A1852,tbl_recyclass[ProductId],0)),tbl_familias_ppwr[ID_Familia],0))="Sim","Conforme","Lacuna"),G1852)))),G1852))</f>
        <v>Parcial</v>
      </c>
      <c r="I1852" s="33" t="str">
        <f t="shared" si="28"/>
        <v>Parcial</v>
      </c>
      <c r="J1852" s="26" t="s">
        <v>1012</v>
      </c>
    </row>
    <row r="1853" spans="1:10" ht="16.05" customHeight="1" x14ac:dyDescent="0.3">
      <c r="A1853" s="26" t="s">
        <v>807</v>
      </c>
      <c r="B1853" s="26" t="s">
        <v>1016</v>
      </c>
      <c r="C1853" s="33" t="str">
        <f>IFERROR(INDEX(tbl_requisitos_emb[Tema],MATCH(B1853,tbl_requisitos_emb[ID_Req],0)),"")</f>
        <v>Rotulagem</v>
      </c>
      <c r="D1853" s="33" t="str">
        <f>IFERROR(INDEX(tbl_recyclass[Segmento],MATCH(A1853,tbl_recyclass[ProductId],0)),"")</f>
        <v>Cosmética e higiene pessoal</v>
      </c>
      <c r="E1853" s="26" t="s">
        <v>901</v>
      </c>
      <c r="F1853" s="26" t="s">
        <v>1449</v>
      </c>
      <c r="G1853" s="26" t="s">
        <v>990</v>
      </c>
      <c r="H1853" s="33" t="str">
        <f>IF(E1853="Não","Não aplicável",IFERROR(IF(B1853="EU-ENV-002",IF(INDEX(tbl_recyclass[Conforme_PPWR_2030],MATCH(A1853,tbl_recyclass[ProductId],0))="Sim","Conforme (autoavaliação)",IF(INDEX(tbl_recyclass[Conforme_PPWR_2030],MATCH(A1853,tbl_recyclass[ProductId],0))="Não","Não conforme em 2030","Isento até 2035")),IF(B1853="EU-ENV-003",IF(INDEX(tbl_recyclass[Conforme_Art7_2030],MATCH(A1853,tbl_recyclass[ProductId],0))="Sim","Conforme (meta 2030)",IF(INDEX(tbl_recyclass[Conforme_Art7_2030],MATCH(A1853,tbl_recyclass[ProductId],0))="Não","Lacuna face à meta 2030","Isento")),IF(B1853="EU-ENV-011",IF(INDEX(tbl_familias_ppwr[Metais_Pesados_Evidencia],MATCH(INDEX(tbl_recyclass[Familia_PPWR],MATCH(A1853,tbl_recyclass[ProductId],0)),tbl_familias_ppwr[ID_Familia],0))="Em falta","Lacuna","Conforme"),IF(B1853="EU-ENV-013",IF(INDEX(tbl_familias_ppwr[Declaracao_UE],MATCH(INDEX(tbl_recyclass[Familia_PPWR],MATCH(A1853,tbl_recyclass[ProductId],0)),tbl_familias_ppwr[ID_Familia],0))="Sim","Conforme","Lacuna"),G1853)))),G1853))</f>
        <v>Futuro</v>
      </c>
      <c r="I1853" s="33" t="str">
        <f t="shared" si="28"/>
        <v>Futuro</v>
      </c>
      <c r="J1853" s="26" t="s">
        <v>1021</v>
      </c>
    </row>
    <row r="1854" spans="1:10" ht="16.05" customHeight="1" x14ac:dyDescent="0.3">
      <c r="A1854" s="26" t="s">
        <v>807</v>
      </c>
      <c r="B1854" s="26" t="s">
        <v>1038</v>
      </c>
      <c r="C1854" s="33" t="str">
        <f>IFERROR(INDEX(tbl_requisitos_emb[Tema],MATCH(B1854,tbl_requisitos_emb[ID_Req],0)),"")</f>
        <v>Plásticos de utilização única</v>
      </c>
      <c r="D1854" s="33" t="str">
        <f>IFERROR(INDEX(tbl_recyclass[Segmento],MATCH(A1854,tbl_recyclass[ProductId],0)),"")</f>
        <v>Cosmética e higiene pessoal</v>
      </c>
      <c r="E1854" s="26" t="s">
        <v>904</v>
      </c>
      <c r="F1854" s="26" t="s">
        <v>1450</v>
      </c>
      <c r="G1854" s="26" t="s">
        <v>1143</v>
      </c>
      <c r="H1854" s="33" t="str">
        <f>IF(E1854="Não","Não aplicável",IFERROR(IF(B1854="EU-ENV-002",IF(INDEX(tbl_recyclass[Conforme_PPWR_2030],MATCH(A1854,tbl_recyclass[ProductId],0))="Sim","Conforme (autoavaliação)",IF(INDEX(tbl_recyclass[Conforme_PPWR_2030],MATCH(A1854,tbl_recyclass[ProductId],0))="Não","Não conforme em 2030","Isento até 2035")),IF(B1854="EU-ENV-003",IF(INDEX(tbl_recyclass[Conforme_Art7_2030],MATCH(A1854,tbl_recyclass[ProductId],0))="Sim","Conforme (meta 2030)",IF(INDEX(tbl_recyclass[Conforme_Art7_2030],MATCH(A1854,tbl_recyclass[ProductId],0))="Não","Lacuna face à meta 2030","Isento")),IF(B1854="EU-ENV-011",IF(INDEX(tbl_familias_ppwr[Metais_Pesados_Evidencia],MATCH(INDEX(tbl_recyclass[Familia_PPWR],MATCH(A1854,tbl_recyclass[ProductId],0)),tbl_familias_ppwr[ID_Familia],0))="Em falta","Lacuna","Conforme"),IF(B1854="EU-ENV-013",IF(INDEX(tbl_familias_ppwr[Declaracao_UE],MATCH(INDEX(tbl_recyclass[Familia_PPWR],MATCH(A1854,tbl_recyclass[ProductId],0)),tbl_familias_ppwr[ID_Familia],0))="Sim","Conforme","Lacuna"),G1854)))),G1854))</f>
        <v>Não aplicável</v>
      </c>
      <c r="I1854" s="33" t="str">
        <f t="shared" si="28"/>
        <v>Não aplicável</v>
      </c>
      <c r="J1854" s="26"/>
    </row>
    <row r="1855" spans="1:10" ht="16.05" customHeight="1" x14ac:dyDescent="0.3">
      <c r="A1855" s="26" t="s">
        <v>807</v>
      </c>
      <c r="B1855" s="26" t="s">
        <v>1078</v>
      </c>
      <c r="C1855" s="33" t="str">
        <f>IFERROR(INDEX(tbl_requisitos_emb[Tema],MATCH(B1855,tbl_requisitos_emb[ID_Req],0)),"")</f>
        <v>Reciclado à escala</v>
      </c>
      <c r="D1855" s="33" t="str">
        <f>IFERROR(INDEX(tbl_recyclass[Segmento],MATCH(A1855,tbl_recyclass[ProductId],0)),"")</f>
        <v>Cosmética e higiene pessoal</v>
      </c>
      <c r="E1855" s="26" t="s">
        <v>901</v>
      </c>
      <c r="F1855" s="26" t="s">
        <v>1449</v>
      </c>
      <c r="G1855" s="26" t="s">
        <v>990</v>
      </c>
      <c r="H1855" s="33" t="str">
        <f>IF(E1855="Não","Não aplicável",IFERROR(IF(B1855="EU-ENV-002",IF(INDEX(tbl_recyclass[Conforme_PPWR_2030],MATCH(A1855,tbl_recyclass[ProductId],0))="Sim","Conforme (autoavaliação)",IF(INDEX(tbl_recyclass[Conforme_PPWR_2030],MATCH(A1855,tbl_recyclass[ProductId],0))="Não","Não conforme em 2030","Isento até 2035")),IF(B1855="EU-ENV-003",IF(INDEX(tbl_recyclass[Conforme_Art7_2030],MATCH(A1855,tbl_recyclass[ProductId],0))="Sim","Conforme (meta 2030)",IF(INDEX(tbl_recyclass[Conforme_Art7_2030],MATCH(A1855,tbl_recyclass[ProductId],0))="Não","Lacuna face à meta 2030","Isento")),IF(B1855="EU-ENV-011",IF(INDEX(tbl_familias_ppwr[Metais_Pesados_Evidencia],MATCH(INDEX(tbl_recyclass[Familia_PPWR],MATCH(A1855,tbl_recyclass[ProductId],0)),tbl_familias_ppwr[ID_Familia],0))="Em falta","Lacuna","Conforme"),IF(B1855="EU-ENV-013",IF(INDEX(tbl_familias_ppwr[Declaracao_UE],MATCH(INDEX(tbl_recyclass[Familia_PPWR],MATCH(A1855,tbl_recyclass[ProductId],0)),tbl_familias_ppwr[ID_Familia],0))="Sim","Conforme","Lacuna"),G1855)))),G1855))</f>
        <v>Futuro</v>
      </c>
      <c r="I1855" s="33" t="str">
        <f t="shared" si="28"/>
        <v>Futuro</v>
      </c>
      <c r="J1855" s="26" t="s">
        <v>1082</v>
      </c>
    </row>
    <row r="1856" spans="1:10" ht="16.05" customHeight="1" x14ac:dyDescent="0.3">
      <c r="A1856" s="26" t="s">
        <v>807</v>
      </c>
      <c r="B1856" s="26" t="s">
        <v>1086</v>
      </c>
      <c r="C1856" s="33" t="str">
        <f>IFERROR(INDEX(tbl_requisitos_emb[Tema],MATCH(B1856,tbl_requisitos_emb[ID_Req],0)),"")</f>
        <v>Metais pesados</v>
      </c>
      <c r="D1856" s="33" t="str">
        <f>IFERROR(INDEX(tbl_recyclass[Segmento],MATCH(A1856,tbl_recyclass[ProductId],0)),"")</f>
        <v>Cosmética e higiene pessoal</v>
      </c>
      <c r="E1856" s="26" t="s">
        <v>901</v>
      </c>
      <c r="F1856" s="26" t="s">
        <v>1449</v>
      </c>
      <c r="G1856" s="26" t="s">
        <v>978</v>
      </c>
      <c r="H1856" s="33" t="str">
        <f>IF(E1856="Não","Não aplicável",IFERROR(IF(B1856="EU-ENV-002",IF(INDEX(tbl_recyclass[Conforme_PPWR_2030],MATCH(A1856,tbl_recyclass[ProductId],0))="Sim","Conforme (autoavaliação)",IF(INDEX(tbl_recyclass[Conforme_PPWR_2030],MATCH(A1856,tbl_recyclass[ProductId],0))="Não","Não conforme em 2030","Isento até 2035")),IF(B1856="EU-ENV-003",IF(INDEX(tbl_recyclass[Conforme_Art7_2030],MATCH(A1856,tbl_recyclass[ProductId],0))="Sim","Conforme (meta 2030)",IF(INDEX(tbl_recyclass[Conforme_Art7_2030],MATCH(A1856,tbl_recyclass[ProductId],0))="Não","Lacuna face à meta 2030","Isento")),IF(B1856="EU-ENV-011",IF(INDEX(tbl_familias_ppwr[Metais_Pesados_Evidencia],MATCH(INDEX(tbl_recyclass[Familia_PPWR],MATCH(A1856,tbl_recyclass[ProductId],0)),tbl_familias_ppwr[ID_Familia],0))="Em falta","Lacuna","Conforme"),IF(B1856="EU-ENV-013",IF(INDEX(tbl_familias_ppwr[Declaracao_UE],MATCH(INDEX(tbl_recyclass[Familia_PPWR],MATCH(A1856,tbl_recyclass[ProductId],0)),tbl_familias_ppwr[ID_Familia],0))="Sim","Conforme","Lacuna"),G1856)))),G1856))</f>
        <v>Conforme</v>
      </c>
      <c r="I1856" s="33" t="str">
        <f t="shared" si="28"/>
        <v>Conforme</v>
      </c>
      <c r="J1856" s="26" t="s">
        <v>1090</v>
      </c>
    </row>
    <row r="1857" spans="1:10" ht="16.05" customHeight="1" x14ac:dyDescent="0.3">
      <c r="A1857" s="26" t="s">
        <v>807</v>
      </c>
      <c r="B1857" s="26" t="s">
        <v>1094</v>
      </c>
      <c r="C1857" s="33" t="str">
        <f>IFERROR(INDEX(tbl_requisitos_emb[Tema],MATCH(B1857,tbl_requisitos_emb[ID_Req],0)),"")</f>
        <v>PFAS</v>
      </c>
      <c r="D1857" s="33" t="str">
        <f>IFERROR(INDEX(tbl_recyclass[Segmento],MATCH(A1857,tbl_recyclass[ProductId],0)),"")</f>
        <v>Cosmética e higiene pessoal</v>
      </c>
      <c r="E1857" s="26" t="s">
        <v>904</v>
      </c>
      <c r="F1857" s="26" t="s">
        <v>1450</v>
      </c>
      <c r="G1857" s="26" t="s">
        <v>1143</v>
      </c>
      <c r="H1857" s="33" t="str">
        <f>IF(E1857="Não","Não aplicável",IFERROR(IF(B1857="EU-ENV-002",IF(INDEX(tbl_recyclass[Conforme_PPWR_2030],MATCH(A1857,tbl_recyclass[ProductId],0))="Sim","Conforme (autoavaliação)",IF(INDEX(tbl_recyclass[Conforme_PPWR_2030],MATCH(A1857,tbl_recyclass[ProductId],0))="Não","Não conforme em 2030","Isento até 2035")),IF(B1857="EU-ENV-003",IF(INDEX(tbl_recyclass[Conforme_Art7_2030],MATCH(A1857,tbl_recyclass[ProductId],0))="Sim","Conforme (meta 2030)",IF(INDEX(tbl_recyclass[Conforme_Art7_2030],MATCH(A1857,tbl_recyclass[ProductId],0))="Não","Lacuna face à meta 2030","Isento")),IF(B1857="EU-ENV-011",IF(INDEX(tbl_familias_ppwr[Metais_Pesados_Evidencia],MATCH(INDEX(tbl_recyclass[Familia_PPWR],MATCH(A1857,tbl_recyclass[ProductId],0)),tbl_familias_ppwr[ID_Familia],0))="Em falta","Lacuna","Conforme"),IF(B1857="EU-ENV-013",IF(INDEX(tbl_familias_ppwr[Declaracao_UE],MATCH(INDEX(tbl_recyclass[Familia_PPWR],MATCH(A1857,tbl_recyclass[ProductId],0)),tbl_familias_ppwr[ID_Familia],0))="Sim","Conforme","Lacuna"),G1857)))),G1857))</f>
        <v>Não aplicável</v>
      </c>
      <c r="I1857" s="33" t="str">
        <f t="shared" si="28"/>
        <v>Não aplicável</v>
      </c>
      <c r="J1857" s="26"/>
    </row>
    <row r="1858" spans="1:10" ht="16.05" customHeight="1" x14ac:dyDescent="0.3">
      <c r="A1858" s="26" t="s">
        <v>807</v>
      </c>
      <c r="B1858" s="26" t="s">
        <v>1102</v>
      </c>
      <c r="C1858" s="33" t="str">
        <f>IFERROR(INDEX(tbl_requisitos_emb[Tema],MATCH(B1858,tbl_requisitos_emb[ID_Req],0)),"")</f>
        <v>Documentação técnica e declaração UE</v>
      </c>
      <c r="D1858" s="33" t="str">
        <f>IFERROR(INDEX(tbl_recyclass[Segmento],MATCH(A1858,tbl_recyclass[ProductId],0)),"")</f>
        <v>Cosmética e higiene pessoal</v>
      </c>
      <c r="E1858" s="26" t="s">
        <v>901</v>
      </c>
      <c r="F1858" s="26" t="s">
        <v>1449</v>
      </c>
      <c r="G1858" s="26" t="s">
        <v>978</v>
      </c>
      <c r="H1858" s="33" t="str">
        <f>IF(E1858="Não","Não aplicável",IFERROR(IF(B1858="EU-ENV-002",IF(INDEX(tbl_recyclass[Conforme_PPWR_2030],MATCH(A1858,tbl_recyclass[ProductId],0))="Sim","Conforme (autoavaliação)",IF(INDEX(tbl_recyclass[Conforme_PPWR_2030],MATCH(A1858,tbl_recyclass[ProductId],0))="Não","Não conforme em 2030","Isento até 2035")),IF(B1858="EU-ENV-003",IF(INDEX(tbl_recyclass[Conforme_Art7_2030],MATCH(A1858,tbl_recyclass[ProductId],0))="Sim","Conforme (meta 2030)",IF(INDEX(tbl_recyclass[Conforme_Art7_2030],MATCH(A1858,tbl_recyclass[ProductId],0))="Não","Lacuna face à meta 2030","Isento")),IF(B1858="EU-ENV-011",IF(INDEX(tbl_familias_ppwr[Metais_Pesados_Evidencia],MATCH(INDEX(tbl_recyclass[Familia_PPWR],MATCH(A1858,tbl_recyclass[ProductId],0)),tbl_familias_ppwr[ID_Familia],0))="Em falta","Lacuna","Conforme"),IF(B1858="EU-ENV-013",IF(INDEX(tbl_familias_ppwr[Declaracao_UE],MATCH(INDEX(tbl_recyclass[Familia_PPWR],MATCH(A1858,tbl_recyclass[ProductId],0)),tbl_familias_ppwr[ID_Familia],0))="Sim","Conforme","Lacuna"),G1858)))),G1858))</f>
        <v>Conforme</v>
      </c>
      <c r="I1858" s="33" t="str">
        <f t="shared" ref="I1858:I1921" si="29">IF(ISNUMBER(SEARCH("Não aplicável",H1858)),"Não aplicável",IF(ISNUMBER(SEARCH("Isento",H1858)),"Isento",IF(ISNUMBER(SEARCH("Não conforme",H1858)),"Não conforme",IF(ISNUMBER(SEARCH("Lacuna",H1858)),"Lacuna",IF(ISNUMBER(SEARCH("Conforme",H1858)),"Conforme",H1858)))))</f>
        <v>Conforme</v>
      </c>
      <c r="J1858" s="26" t="s">
        <v>1106</v>
      </c>
    </row>
    <row r="1859" spans="1:10" ht="16.05" customHeight="1" x14ac:dyDescent="0.3">
      <c r="A1859" s="26" t="s">
        <v>807</v>
      </c>
      <c r="B1859" s="26" t="s">
        <v>1161</v>
      </c>
      <c r="C1859" s="33" t="str">
        <f>IFERROR(INDEX(tbl_requisitos_emb[Tema],MATCH(B1859,tbl_requisitos_emb[ID_Req],0)),"")</f>
        <v>Materiais em contacto com alimentos</v>
      </c>
      <c r="D1859" s="33" t="str">
        <f>IFERROR(INDEX(tbl_recyclass[Segmento],MATCH(A1859,tbl_recyclass[ProductId],0)),"")</f>
        <v>Cosmética e higiene pessoal</v>
      </c>
      <c r="E1859" s="26" t="s">
        <v>904</v>
      </c>
      <c r="F1859" s="26" t="s">
        <v>1450</v>
      </c>
      <c r="G1859" s="26" t="s">
        <v>1143</v>
      </c>
      <c r="H1859" s="33" t="str">
        <f>IF(E1859="Não","Não aplicável",IFERROR(IF(B1859="EU-ENV-002",IF(INDEX(tbl_recyclass[Conforme_PPWR_2030],MATCH(A1859,tbl_recyclass[ProductId],0))="Sim","Conforme (autoavaliação)",IF(INDEX(tbl_recyclass[Conforme_PPWR_2030],MATCH(A1859,tbl_recyclass[ProductId],0))="Não","Não conforme em 2030","Isento até 2035")),IF(B1859="EU-ENV-003",IF(INDEX(tbl_recyclass[Conforme_Art7_2030],MATCH(A1859,tbl_recyclass[ProductId],0))="Sim","Conforme (meta 2030)",IF(INDEX(tbl_recyclass[Conforme_Art7_2030],MATCH(A1859,tbl_recyclass[ProductId],0))="Não","Lacuna face à meta 2030","Isento")),IF(B1859="EU-ENV-011",IF(INDEX(tbl_familias_ppwr[Metais_Pesados_Evidencia],MATCH(INDEX(tbl_recyclass[Familia_PPWR],MATCH(A1859,tbl_recyclass[ProductId],0)),tbl_familias_ppwr[ID_Familia],0))="Em falta","Lacuna","Conforme"),IF(B1859="EU-ENV-013",IF(INDEX(tbl_familias_ppwr[Declaracao_UE],MATCH(INDEX(tbl_recyclass[Familia_PPWR],MATCH(A1859,tbl_recyclass[ProductId],0)),tbl_familias_ppwr[ID_Familia],0))="Sim","Conforme","Lacuna"),G1859)))),G1859))</f>
        <v>Não aplicável</v>
      </c>
      <c r="I1859" s="33" t="str">
        <f t="shared" si="29"/>
        <v>Não aplicável</v>
      </c>
      <c r="J1859" s="26"/>
    </row>
    <row r="1860" spans="1:10" ht="16.05" customHeight="1" x14ac:dyDescent="0.3">
      <c r="A1860" s="26" t="s">
        <v>807</v>
      </c>
      <c r="B1860" s="26" t="s">
        <v>1170</v>
      </c>
      <c r="C1860" s="33" t="str">
        <f>IFERROR(INDEX(tbl_requisitos_emb[Tema],MATCH(B1860,tbl_requisitos_emb[ID_Req],0)),"")</f>
        <v>Boas práticas de fabrico FCM</v>
      </c>
      <c r="D1860" s="33" t="str">
        <f>IFERROR(INDEX(tbl_recyclass[Segmento],MATCH(A1860,tbl_recyclass[ProductId],0)),"")</f>
        <v>Cosmética e higiene pessoal</v>
      </c>
      <c r="E1860" s="26" t="s">
        <v>904</v>
      </c>
      <c r="F1860" s="26" t="s">
        <v>1450</v>
      </c>
      <c r="G1860" s="26" t="s">
        <v>1143</v>
      </c>
      <c r="H1860" s="33" t="str">
        <f>IF(E1860="Não","Não aplicável",IFERROR(IF(B1860="EU-ENV-002",IF(INDEX(tbl_recyclass[Conforme_PPWR_2030],MATCH(A1860,tbl_recyclass[ProductId],0))="Sim","Conforme (autoavaliação)",IF(INDEX(tbl_recyclass[Conforme_PPWR_2030],MATCH(A1860,tbl_recyclass[ProductId],0))="Não","Não conforme em 2030","Isento até 2035")),IF(B1860="EU-ENV-003",IF(INDEX(tbl_recyclass[Conforme_Art7_2030],MATCH(A1860,tbl_recyclass[ProductId],0))="Sim","Conforme (meta 2030)",IF(INDEX(tbl_recyclass[Conforme_Art7_2030],MATCH(A1860,tbl_recyclass[ProductId],0))="Não","Lacuna face à meta 2030","Isento")),IF(B1860="EU-ENV-011",IF(INDEX(tbl_familias_ppwr[Metais_Pesados_Evidencia],MATCH(INDEX(tbl_recyclass[Familia_PPWR],MATCH(A1860,tbl_recyclass[ProductId],0)),tbl_familias_ppwr[ID_Familia],0))="Em falta","Lacuna","Conforme"),IF(B1860="EU-ENV-013",IF(INDEX(tbl_familias_ppwr[Declaracao_UE],MATCH(INDEX(tbl_recyclass[Familia_PPWR],MATCH(A1860,tbl_recyclass[ProductId],0)),tbl_familias_ppwr[ID_Familia],0))="Sim","Conforme","Lacuna"),G1860)))),G1860))</f>
        <v>Não aplicável</v>
      </c>
      <c r="I1860" s="33" t="str">
        <f t="shared" si="29"/>
        <v>Não aplicável</v>
      </c>
      <c r="J1860" s="26"/>
    </row>
    <row r="1861" spans="1:10" ht="16.05" customHeight="1" x14ac:dyDescent="0.3">
      <c r="A1861" s="26" t="s">
        <v>807</v>
      </c>
      <c r="B1861" s="26" t="s">
        <v>1179</v>
      </c>
      <c r="C1861" s="33" t="str">
        <f>IFERROR(INDEX(tbl_requisitos_emb[Tema],MATCH(B1861,tbl_requisitos_emb[ID_Req],0)),"")</f>
        <v>Bisfenol A e bisfenóis perigosos</v>
      </c>
      <c r="D1861" s="33" t="str">
        <f>IFERROR(INDEX(tbl_recyclass[Segmento],MATCH(A1861,tbl_recyclass[ProductId],0)),"")</f>
        <v>Cosmética e higiene pessoal</v>
      </c>
      <c r="E1861" s="26" t="s">
        <v>904</v>
      </c>
      <c r="F1861" s="26" t="s">
        <v>1450</v>
      </c>
      <c r="G1861" s="26" t="s">
        <v>1143</v>
      </c>
      <c r="H1861" s="33" t="str">
        <f>IF(E1861="Não","Não aplicável",IFERROR(IF(B1861="EU-ENV-002",IF(INDEX(tbl_recyclass[Conforme_PPWR_2030],MATCH(A1861,tbl_recyclass[ProductId],0))="Sim","Conforme (autoavaliação)",IF(INDEX(tbl_recyclass[Conforme_PPWR_2030],MATCH(A1861,tbl_recyclass[ProductId],0))="Não","Não conforme em 2030","Isento até 2035")),IF(B1861="EU-ENV-003",IF(INDEX(tbl_recyclass[Conforme_Art7_2030],MATCH(A1861,tbl_recyclass[ProductId],0))="Sim","Conforme (meta 2030)",IF(INDEX(tbl_recyclass[Conforme_Art7_2030],MATCH(A1861,tbl_recyclass[ProductId],0))="Não","Lacuna face à meta 2030","Isento")),IF(B1861="EU-ENV-011",IF(INDEX(tbl_familias_ppwr[Metais_Pesados_Evidencia],MATCH(INDEX(tbl_recyclass[Familia_PPWR],MATCH(A1861,tbl_recyclass[ProductId],0)),tbl_familias_ppwr[ID_Familia],0))="Em falta","Lacuna","Conforme"),IF(B1861="EU-ENV-013",IF(INDEX(tbl_familias_ppwr[Declaracao_UE],MATCH(INDEX(tbl_recyclass[Familia_PPWR],MATCH(A1861,tbl_recyclass[ProductId],0)),tbl_familias_ppwr[ID_Familia],0))="Sim","Conforme","Lacuna"),G1861)))),G1861))</f>
        <v>Não aplicável</v>
      </c>
      <c r="I1861" s="33" t="str">
        <f t="shared" si="29"/>
        <v>Não aplicável</v>
      </c>
      <c r="J1861" s="26"/>
    </row>
    <row r="1862" spans="1:10" ht="16.05" customHeight="1" x14ac:dyDescent="0.3">
      <c r="A1862" s="26" t="s">
        <v>807</v>
      </c>
      <c r="B1862" s="26" t="s">
        <v>1188</v>
      </c>
      <c r="C1862" s="33" t="str">
        <f>IFERROR(INDEX(tbl_requisitos_emb[Tema],MATCH(B1862,tbl_requisitos_emb[ID_Req],0)),"")</f>
        <v>Plásticos em contacto com alimentos</v>
      </c>
      <c r="D1862" s="33" t="str">
        <f>IFERROR(INDEX(tbl_recyclass[Segmento],MATCH(A1862,tbl_recyclass[ProductId],0)),"")</f>
        <v>Cosmética e higiene pessoal</v>
      </c>
      <c r="E1862" s="26" t="s">
        <v>904</v>
      </c>
      <c r="F1862" s="26" t="s">
        <v>1450</v>
      </c>
      <c r="G1862" s="26" t="s">
        <v>1143</v>
      </c>
      <c r="H1862" s="33" t="str">
        <f>IF(E1862="Não","Não aplicável",IFERROR(IF(B1862="EU-ENV-002",IF(INDEX(tbl_recyclass[Conforme_PPWR_2030],MATCH(A1862,tbl_recyclass[ProductId],0))="Sim","Conforme (autoavaliação)",IF(INDEX(tbl_recyclass[Conforme_PPWR_2030],MATCH(A1862,tbl_recyclass[ProductId],0))="Não","Não conforme em 2030","Isento até 2035")),IF(B1862="EU-ENV-003",IF(INDEX(tbl_recyclass[Conforme_Art7_2030],MATCH(A1862,tbl_recyclass[ProductId],0))="Sim","Conforme (meta 2030)",IF(INDEX(tbl_recyclass[Conforme_Art7_2030],MATCH(A1862,tbl_recyclass[ProductId],0))="Não","Lacuna face à meta 2030","Isento")),IF(B1862="EU-ENV-011",IF(INDEX(tbl_familias_ppwr[Metais_Pesados_Evidencia],MATCH(INDEX(tbl_recyclass[Familia_PPWR],MATCH(A1862,tbl_recyclass[ProductId],0)),tbl_familias_ppwr[ID_Familia],0))="Em falta","Lacuna","Conforme"),IF(B1862="EU-ENV-013",IF(INDEX(tbl_familias_ppwr[Declaracao_UE],MATCH(INDEX(tbl_recyclass[Familia_PPWR],MATCH(A1862,tbl_recyclass[ProductId],0)),tbl_familias_ppwr[ID_Familia],0))="Sim","Conforme","Lacuna"),G1862)))),G1862))</f>
        <v>Não aplicável</v>
      </c>
      <c r="I1862" s="33" t="str">
        <f t="shared" si="29"/>
        <v>Não aplicável</v>
      </c>
      <c r="J1862" s="26"/>
    </row>
    <row r="1863" spans="1:10" ht="16.05" customHeight="1" x14ac:dyDescent="0.3">
      <c r="A1863" s="26" t="s">
        <v>807</v>
      </c>
      <c r="B1863" s="26" t="s">
        <v>1212</v>
      </c>
      <c r="C1863" s="33" t="str">
        <f>IFERROR(INDEX(tbl_requisitos_emb[Tema],MATCH(B1863,tbl_requisitos_emb[ID_Req],0)),"")</f>
        <v>Segurança do produto cosmético</v>
      </c>
      <c r="D1863" s="33" t="str">
        <f>IFERROR(INDEX(tbl_recyclass[Segmento],MATCH(A1863,tbl_recyclass[ProductId],0)),"")</f>
        <v>Cosmética e higiene pessoal</v>
      </c>
      <c r="E1863" s="26" t="s">
        <v>901</v>
      </c>
      <c r="F1863" s="26" t="s">
        <v>1449</v>
      </c>
      <c r="G1863" s="26" t="s">
        <v>1033</v>
      </c>
      <c r="H1863" s="33" t="str">
        <f>IF(E1863="Não","Não aplicável",IFERROR(IF(B1863="EU-ENV-002",IF(INDEX(tbl_recyclass[Conforme_PPWR_2030],MATCH(A1863,tbl_recyclass[ProductId],0))="Sim","Conforme (autoavaliação)",IF(INDEX(tbl_recyclass[Conforme_PPWR_2030],MATCH(A1863,tbl_recyclass[ProductId],0))="Não","Não conforme em 2030","Isento até 2035")),IF(B1863="EU-ENV-003",IF(INDEX(tbl_recyclass[Conforme_Art7_2030],MATCH(A1863,tbl_recyclass[ProductId],0))="Sim","Conforme (meta 2030)",IF(INDEX(tbl_recyclass[Conforme_Art7_2030],MATCH(A1863,tbl_recyclass[ProductId],0))="Não","Lacuna face à meta 2030","Isento")),IF(B1863="EU-ENV-011",IF(INDEX(tbl_familias_ppwr[Metais_Pesados_Evidencia],MATCH(INDEX(tbl_recyclass[Familia_PPWR],MATCH(A1863,tbl_recyclass[ProductId],0)),tbl_familias_ppwr[ID_Familia],0))="Em falta","Lacuna","Conforme"),IF(B1863="EU-ENV-013",IF(INDEX(tbl_familias_ppwr[Declaracao_UE],MATCH(INDEX(tbl_recyclass[Familia_PPWR],MATCH(A1863,tbl_recyclass[ProductId],0)),tbl_familias_ppwr[ID_Familia],0))="Sim","Conforme","Lacuna"),G1863)))),G1863))</f>
        <v>Conforme</v>
      </c>
      <c r="I1863" s="33" t="str">
        <f t="shared" si="29"/>
        <v>Conforme</v>
      </c>
      <c r="J1863" s="26" t="s">
        <v>1221</v>
      </c>
    </row>
    <row r="1864" spans="1:10" ht="16.05" customHeight="1" x14ac:dyDescent="0.3">
      <c r="A1864" s="26" t="s">
        <v>807</v>
      </c>
      <c r="B1864" s="26" t="s">
        <v>1224</v>
      </c>
      <c r="C1864" s="33" t="str">
        <f>IFERROR(INDEX(tbl_requisitos_emb[Tema],MATCH(B1864,tbl_requisitos_emb[ID_Req],0)),"")</f>
        <v>Materiais e impurezas</v>
      </c>
      <c r="D1864" s="33" t="str">
        <f>IFERROR(INDEX(tbl_recyclass[Segmento],MATCH(A1864,tbl_recyclass[ProductId],0)),"")</f>
        <v>Cosmética e higiene pessoal</v>
      </c>
      <c r="E1864" s="26" t="s">
        <v>901</v>
      </c>
      <c r="F1864" s="26" t="s">
        <v>1449</v>
      </c>
      <c r="G1864" s="26" t="s">
        <v>978</v>
      </c>
      <c r="H1864" s="33" t="str">
        <f>IF(E1864="Não","Não aplicável",IFERROR(IF(B1864="EU-ENV-002",IF(INDEX(tbl_recyclass[Conforme_PPWR_2030],MATCH(A1864,tbl_recyclass[ProductId],0))="Sim","Conforme (autoavaliação)",IF(INDEX(tbl_recyclass[Conforme_PPWR_2030],MATCH(A1864,tbl_recyclass[ProductId],0))="Não","Não conforme em 2030","Isento até 2035")),IF(B1864="EU-ENV-003",IF(INDEX(tbl_recyclass[Conforme_Art7_2030],MATCH(A1864,tbl_recyclass[ProductId],0))="Sim","Conforme (meta 2030)",IF(INDEX(tbl_recyclass[Conforme_Art7_2030],MATCH(A1864,tbl_recyclass[ProductId],0))="Não","Lacuna face à meta 2030","Isento")),IF(B1864="EU-ENV-011",IF(INDEX(tbl_familias_ppwr[Metais_Pesados_Evidencia],MATCH(INDEX(tbl_recyclass[Familia_PPWR],MATCH(A1864,tbl_recyclass[ProductId],0)),tbl_familias_ppwr[ID_Familia],0))="Em falta","Lacuna","Conforme"),IF(B1864="EU-ENV-013",IF(INDEX(tbl_familias_ppwr[Declaracao_UE],MATCH(INDEX(tbl_recyclass[Familia_PPWR],MATCH(A1864,tbl_recyclass[ProductId],0)),tbl_familias_ppwr[ID_Familia],0))="Sim","Conforme","Lacuna"),G1864)))),G1864))</f>
        <v>Parcial</v>
      </c>
      <c r="I1864" s="33" t="str">
        <f t="shared" si="29"/>
        <v>Parcial</v>
      </c>
      <c r="J1864" s="26" t="s">
        <v>1228</v>
      </c>
    </row>
    <row r="1865" spans="1:10" ht="16.05" customHeight="1" x14ac:dyDescent="0.3">
      <c r="A1865" s="26" t="s">
        <v>807</v>
      </c>
      <c r="B1865" s="26" t="s">
        <v>1240</v>
      </c>
      <c r="C1865" s="33" t="str">
        <f>IFERROR(INDEX(tbl_requisitos_emb[Tema],MATCH(B1865,tbl_requisitos_emb[ID_Req],0)),"")</f>
        <v>Compatibilidade embalagem–produto</v>
      </c>
      <c r="D1865" s="33" t="str">
        <f>IFERROR(INDEX(tbl_recyclass[Segmento],MATCH(A1865,tbl_recyclass[ProductId],0)),"")</f>
        <v>Cosmética e higiene pessoal</v>
      </c>
      <c r="E1865" s="26" t="s">
        <v>901</v>
      </c>
      <c r="F1865" s="26" t="s">
        <v>1449</v>
      </c>
      <c r="G1865" s="26" t="s">
        <v>1033</v>
      </c>
      <c r="H1865" s="33" t="str">
        <f>IF(E1865="Não","Não aplicável",IFERROR(IF(B1865="EU-ENV-002",IF(INDEX(tbl_recyclass[Conforme_PPWR_2030],MATCH(A1865,tbl_recyclass[ProductId],0))="Sim","Conforme (autoavaliação)",IF(INDEX(tbl_recyclass[Conforme_PPWR_2030],MATCH(A1865,tbl_recyclass[ProductId],0))="Não","Não conforme em 2030","Isento até 2035")),IF(B1865="EU-ENV-003",IF(INDEX(tbl_recyclass[Conforme_Art7_2030],MATCH(A1865,tbl_recyclass[ProductId],0))="Sim","Conforme (meta 2030)",IF(INDEX(tbl_recyclass[Conforme_Art7_2030],MATCH(A1865,tbl_recyclass[ProductId],0))="Não","Lacuna face à meta 2030","Isento")),IF(B1865="EU-ENV-011",IF(INDEX(tbl_familias_ppwr[Metais_Pesados_Evidencia],MATCH(INDEX(tbl_recyclass[Familia_PPWR],MATCH(A1865,tbl_recyclass[ProductId],0)),tbl_familias_ppwr[ID_Familia],0))="Em falta","Lacuna","Conforme"),IF(B1865="EU-ENV-013",IF(INDEX(tbl_familias_ppwr[Declaracao_UE],MATCH(INDEX(tbl_recyclass[Familia_PPWR],MATCH(A1865,tbl_recyclass[ProductId],0)),tbl_familias_ppwr[ID_Familia],0))="Sim","Conforme","Lacuna"),G1865)))),G1865))</f>
        <v>Conforme</v>
      </c>
      <c r="I1865" s="33" t="str">
        <f t="shared" si="29"/>
        <v>Conforme</v>
      </c>
      <c r="J1865" s="26" t="s">
        <v>1244</v>
      </c>
    </row>
    <row r="1866" spans="1:10" ht="16.05" customHeight="1" x14ac:dyDescent="0.3">
      <c r="A1866" s="26" t="s">
        <v>807</v>
      </c>
      <c r="B1866" s="26" t="s">
        <v>1252</v>
      </c>
      <c r="C1866" s="33" t="str">
        <f>IFERROR(INDEX(tbl_requisitos_emb[Tema],MATCH(B1866,tbl_requisitos_emb[ID_Req],0)),"")</f>
        <v>Medicamentos de uso humano</v>
      </c>
      <c r="D1866" s="33" t="str">
        <f>IFERROR(INDEX(tbl_recyclass[Segmento],MATCH(A1866,tbl_recyclass[ProductId],0)),"")</f>
        <v>Cosmética e higiene pessoal</v>
      </c>
      <c r="E1866" s="26" t="s">
        <v>904</v>
      </c>
      <c r="F1866" s="26" t="s">
        <v>1451</v>
      </c>
      <c r="G1866" s="26" t="s">
        <v>1143</v>
      </c>
      <c r="H1866" s="33" t="str">
        <f>IF(E1866="Não","Não aplicável",IFERROR(IF(B1866="EU-ENV-002",IF(INDEX(tbl_recyclass[Conforme_PPWR_2030],MATCH(A1866,tbl_recyclass[ProductId],0))="Sim","Conforme (autoavaliação)",IF(INDEX(tbl_recyclass[Conforme_PPWR_2030],MATCH(A1866,tbl_recyclass[ProductId],0))="Não","Não conforme em 2030","Isento até 2035")),IF(B1866="EU-ENV-003",IF(INDEX(tbl_recyclass[Conforme_Art7_2030],MATCH(A1866,tbl_recyclass[ProductId],0))="Sim","Conforme (meta 2030)",IF(INDEX(tbl_recyclass[Conforme_Art7_2030],MATCH(A1866,tbl_recyclass[ProductId],0))="Não","Lacuna face à meta 2030","Isento")),IF(B1866="EU-ENV-011",IF(INDEX(tbl_familias_ppwr[Metais_Pesados_Evidencia],MATCH(INDEX(tbl_recyclass[Familia_PPWR],MATCH(A1866,tbl_recyclass[ProductId],0)),tbl_familias_ppwr[ID_Familia],0))="Em falta","Lacuna","Conforme"),IF(B1866="EU-ENV-013",IF(INDEX(tbl_familias_ppwr[Declaracao_UE],MATCH(INDEX(tbl_recyclass[Familia_PPWR],MATCH(A1866,tbl_recyclass[ProductId],0)),tbl_familias_ppwr[ID_Familia],0))="Sim","Conforme","Lacuna"),G1866)))),G1866))</f>
        <v>Não aplicável</v>
      </c>
      <c r="I1866" s="33" t="str">
        <f t="shared" si="29"/>
        <v>Não aplicável</v>
      </c>
      <c r="J1866" s="26"/>
    </row>
    <row r="1867" spans="1:10" ht="16.05" customHeight="1" x14ac:dyDescent="0.3">
      <c r="A1867" s="26" t="s">
        <v>807</v>
      </c>
      <c r="B1867" s="26" t="s">
        <v>1268</v>
      </c>
      <c r="C1867" s="33" t="str">
        <f>IFERROR(INDEX(tbl_requisitos_emb[Tema],MATCH(B1867,tbl_requisitos_emb[ID_Req],0)),"")</f>
        <v>Dispositivos de segurança</v>
      </c>
      <c r="D1867" s="33" t="str">
        <f>IFERROR(INDEX(tbl_recyclass[Segmento],MATCH(A1867,tbl_recyclass[ProductId],0)),"")</f>
        <v>Cosmética e higiene pessoal</v>
      </c>
      <c r="E1867" s="26" t="s">
        <v>904</v>
      </c>
      <c r="F1867" s="26" t="s">
        <v>1451</v>
      </c>
      <c r="G1867" s="26" t="s">
        <v>1143</v>
      </c>
      <c r="H1867" s="33" t="str">
        <f>IF(E1867="Não","Não aplicável",IFERROR(IF(B1867="EU-ENV-002",IF(INDEX(tbl_recyclass[Conforme_PPWR_2030],MATCH(A1867,tbl_recyclass[ProductId],0))="Sim","Conforme (autoavaliação)",IF(INDEX(tbl_recyclass[Conforme_PPWR_2030],MATCH(A1867,tbl_recyclass[ProductId],0))="Não","Não conforme em 2030","Isento até 2035")),IF(B1867="EU-ENV-003",IF(INDEX(tbl_recyclass[Conforme_Art7_2030],MATCH(A1867,tbl_recyclass[ProductId],0))="Sim","Conforme (meta 2030)",IF(INDEX(tbl_recyclass[Conforme_Art7_2030],MATCH(A1867,tbl_recyclass[ProductId],0))="Não","Lacuna face à meta 2030","Isento")),IF(B1867="EU-ENV-011",IF(INDEX(tbl_familias_ppwr[Metais_Pesados_Evidencia],MATCH(INDEX(tbl_recyclass[Familia_PPWR],MATCH(A1867,tbl_recyclass[ProductId],0)),tbl_familias_ppwr[ID_Familia],0))="Em falta","Lacuna","Conforme"),IF(B1867="EU-ENV-013",IF(INDEX(tbl_familias_ppwr[Declaracao_UE],MATCH(INDEX(tbl_recyclass[Familia_PPWR],MATCH(A1867,tbl_recyclass[ProductId],0)),tbl_familias_ppwr[ID_Familia],0))="Sim","Conforme","Lacuna"),G1867)))),G1867))</f>
        <v>Não aplicável</v>
      </c>
      <c r="I1867" s="33" t="str">
        <f t="shared" si="29"/>
        <v>Não aplicável</v>
      </c>
      <c r="J1867" s="26"/>
    </row>
    <row r="1868" spans="1:10" ht="16.05" customHeight="1" x14ac:dyDescent="0.3">
      <c r="A1868" s="26" t="s">
        <v>807</v>
      </c>
      <c r="B1868" s="26" t="s">
        <v>1285</v>
      </c>
      <c r="C1868" s="33" t="str">
        <f>IFERROR(INDEX(tbl_requisitos_emb[Tema],MATCH(B1868,tbl_requisitos_emb[ID_Req],0)),"")</f>
        <v>Materiais plásticos de acondicionamento primário</v>
      </c>
      <c r="D1868" s="33" t="str">
        <f>IFERROR(INDEX(tbl_recyclass[Segmento],MATCH(A1868,tbl_recyclass[ProductId],0)),"")</f>
        <v>Cosmética e higiene pessoal</v>
      </c>
      <c r="E1868" s="26" t="s">
        <v>904</v>
      </c>
      <c r="F1868" s="26" t="s">
        <v>1451</v>
      </c>
      <c r="G1868" s="26" t="s">
        <v>1143</v>
      </c>
      <c r="H1868" s="33" t="str">
        <f>IF(E1868="Não","Não aplicável",IFERROR(IF(B1868="EU-ENV-002",IF(INDEX(tbl_recyclass[Conforme_PPWR_2030],MATCH(A1868,tbl_recyclass[ProductId],0))="Sim","Conforme (autoavaliação)",IF(INDEX(tbl_recyclass[Conforme_PPWR_2030],MATCH(A1868,tbl_recyclass[ProductId],0))="Não","Não conforme em 2030","Isento até 2035")),IF(B1868="EU-ENV-003",IF(INDEX(tbl_recyclass[Conforme_Art7_2030],MATCH(A1868,tbl_recyclass[ProductId],0))="Sim","Conforme (meta 2030)",IF(INDEX(tbl_recyclass[Conforme_Art7_2030],MATCH(A1868,tbl_recyclass[ProductId],0))="Não","Lacuna face à meta 2030","Isento")),IF(B1868="EU-ENV-011",IF(INDEX(tbl_familias_ppwr[Metais_Pesados_Evidencia],MATCH(INDEX(tbl_recyclass[Familia_PPWR],MATCH(A1868,tbl_recyclass[ProductId],0)),tbl_familias_ppwr[ID_Familia],0))="Em falta","Lacuna","Conforme"),IF(B1868="EU-ENV-013",IF(INDEX(tbl_familias_ppwr[Declaracao_UE],MATCH(INDEX(tbl_recyclass[Familia_PPWR],MATCH(A1868,tbl_recyclass[ProductId],0)),tbl_familias_ppwr[ID_Familia],0))="Sim","Conforme","Lacuna"),G1868)))),G1868))</f>
        <v>Não aplicável</v>
      </c>
      <c r="I1868" s="33" t="str">
        <f t="shared" si="29"/>
        <v>Não aplicável</v>
      </c>
      <c r="J1868" s="26"/>
    </row>
    <row r="1869" spans="1:10" ht="16.05" customHeight="1" x14ac:dyDescent="0.3">
      <c r="A1869" s="26" t="s">
        <v>807</v>
      </c>
      <c r="B1869" s="26" t="s">
        <v>1293</v>
      </c>
      <c r="C1869" s="33" t="str">
        <f>IFERROR(INDEX(tbl_requisitos_emb[Tema],MATCH(B1869,tbl_requisitos_emb[ID_Req],0)),"")</f>
        <v>Isenções PPWR</v>
      </c>
      <c r="D1869" s="33" t="str">
        <f>IFERROR(INDEX(tbl_recyclass[Segmento],MATCH(A1869,tbl_recyclass[ProductId],0)),"")</f>
        <v>Cosmética e higiene pessoal</v>
      </c>
      <c r="E1869" s="26" t="s">
        <v>904</v>
      </c>
      <c r="F1869" s="26" t="s">
        <v>1451</v>
      </c>
      <c r="G1869" s="26" t="s">
        <v>1143</v>
      </c>
      <c r="H1869" s="33" t="str">
        <f>IF(E1869="Não","Não aplicável",IFERROR(IF(B1869="EU-ENV-002",IF(INDEX(tbl_recyclass[Conforme_PPWR_2030],MATCH(A1869,tbl_recyclass[ProductId],0))="Sim","Conforme (autoavaliação)",IF(INDEX(tbl_recyclass[Conforme_PPWR_2030],MATCH(A1869,tbl_recyclass[ProductId],0))="Não","Não conforme em 2030","Isento até 2035")),IF(B1869="EU-ENV-003",IF(INDEX(tbl_recyclass[Conforme_Art7_2030],MATCH(A1869,tbl_recyclass[ProductId],0))="Sim","Conforme (meta 2030)",IF(INDEX(tbl_recyclass[Conforme_Art7_2030],MATCH(A1869,tbl_recyclass[ProductId],0))="Não","Lacuna face à meta 2030","Isento")),IF(B1869="EU-ENV-011",IF(INDEX(tbl_familias_ppwr[Metais_Pesados_Evidencia],MATCH(INDEX(tbl_recyclass[Familia_PPWR],MATCH(A1869,tbl_recyclass[ProductId],0)),tbl_familias_ppwr[ID_Familia],0))="Em falta","Lacuna","Conforme"),IF(B1869="EU-ENV-013",IF(INDEX(tbl_familias_ppwr[Declaracao_UE],MATCH(INDEX(tbl_recyclass[Familia_PPWR],MATCH(A1869,tbl_recyclass[ProductId],0)),tbl_familias_ppwr[ID_Familia],0))="Sim","Conforme","Lacuna"),G1869)))),G1869))</f>
        <v>Não aplicável</v>
      </c>
      <c r="I1869" s="33" t="str">
        <f t="shared" si="29"/>
        <v>Não aplicável</v>
      </c>
      <c r="J1869" s="26"/>
    </row>
    <row r="1870" spans="1:10" ht="16.05" customHeight="1" x14ac:dyDescent="0.3">
      <c r="A1870" s="26" t="s">
        <v>807</v>
      </c>
      <c r="B1870" s="26" t="s">
        <v>1357</v>
      </c>
      <c r="C1870" s="33" t="str">
        <f>IFERROR(INDEX(tbl_requisitos_emb[Tema],MATCH(B1870,tbl_requisitos_emb[ID_Req],0)),"")</f>
        <v>Identificação de plásticos</v>
      </c>
      <c r="D1870" s="33" t="str">
        <f>IFERROR(INDEX(tbl_recyclass[Segmento],MATCH(A1870,tbl_recyclass[ProductId],0)),"")</f>
        <v>Cosmética e higiene pessoal</v>
      </c>
      <c r="E1870" s="26" t="s">
        <v>901</v>
      </c>
      <c r="F1870" s="26" t="s">
        <v>1449</v>
      </c>
      <c r="G1870" s="26" t="s">
        <v>978</v>
      </c>
      <c r="H1870" s="33" t="str">
        <f>IF(E1870="Não","Não aplicável",IFERROR(IF(B1870="EU-ENV-002",IF(INDEX(tbl_recyclass[Conforme_PPWR_2030],MATCH(A1870,tbl_recyclass[ProductId],0))="Sim","Conforme (autoavaliação)",IF(INDEX(tbl_recyclass[Conforme_PPWR_2030],MATCH(A1870,tbl_recyclass[ProductId],0))="Não","Não conforme em 2030","Isento até 2035")),IF(B1870="EU-ENV-003",IF(INDEX(tbl_recyclass[Conforme_Art7_2030],MATCH(A1870,tbl_recyclass[ProductId],0))="Sim","Conforme (meta 2030)",IF(INDEX(tbl_recyclass[Conforme_Art7_2030],MATCH(A1870,tbl_recyclass[ProductId],0))="Não","Lacuna face à meta 2030","Isento")),IF(B1870="EU-ENV-011",IF(INDEX(tbl_familias_ppwr[Metais_Pesados_Evidencia],MATCH(INDEX(tbl_recyclass[Familia_PPWR],MATCH(A1870,tbl_recyclass[ProductId],0)),tbl_familias_ppwr[ID_Familia],0))="Em falta","Lacuna","Conforme"),IF(B1870="EU-ENV-013",IF(INDEX(tbl_familias_ppwr[Declaracao_UE],MATCH(INDEX(tbl_recyclass[Familia_PPWR],MATCH(A1870,tbl_recyclass[ProductId],0)),tbl_familias_ppwr[ID_Familia],0))="Sim","Conforme","Lacuna"),G1870)))),G1870))</f>
        <v>Parcial</v>
      </c>
      <c r="I1870" s="33" t="str">
        <f t="shared" si="29"/>
        <v>Parcial</v>
      </c>
      <c r="J1870" s="26" t="s">
        <v>1362</v>
      </c>
    </row>
    <row r="1871" spans="1:10" ht="16.05" customHeight="1" x14ac:dyDescent="0.3">
      <c r="A1871" s="26" t="s">
        <v>807</v>
      </c>
      <c r="B1871" s="26" t="s">
        <v>1385</v>
      </c>
      <c r="C1871" s="33" t="str">
        <f>IFERROR(INDEX(tbl_requisitos_emb[Tema],MATCH(B1871,tbl_requisitos_emb[ID_Req],0)),"")</f>
        <v>Reciclabilidade (voluntária)</v>
      </c>
      <c r="D1871" s="33" t="str">
        <f>IFERROR(INDEX(tbl_recyclass[Segmento],MATCH(A1871,tbl_recyclass[ProductId],0)),"")</f>
        <v>Cosmética e higiene pessoal</v>
      </c>
      <c r="E1871" s="26" t="s">
        <v>901</v>
      </c>
      <c r="F1871" s="26" t="s">
        <v>1449</v>
      </c>
      <c r="G1871" s="26" t="s">
        <v>978</v>
      </c>
      <c r="H1871" s="33" t="str">
        <f>IF(E1871="Não","Não aplicável",IFERROR(IF(B1871="EU-ENV-002",IF(INDEX(tbl_recyclass[Conforme_PPWR_2030],MATCH(A1871,tbl_recyclass[ProductId],0))="Sim","Conforme (autoavaliação)",IF(INDEX(tbl_recyclass[Conforme_PPWR_2030],MATCH(A1871,tbl_recyclass[ProductId],0))="Não","Não conforme em 2030","Isento até 2035")),IF(B1871="EU-ENV-003",IF(INDEX(tbl_recyclass[Conforme_Art7_2030],MATCH(A1871,tbl_recyclass[ProductId],0))="Sim","Conforme (meta 2030)",IF(INDEX(tbl_recyclass[Conforme_Art7_2030],MATCH(A1871,tbl_recyclass[ProductId],0))="Não","Lacuna face à meta 2030","Isento")),IF(B1871="EU-ENV-011",IF(INDEX(tbl_familias_ppwr[Metais_Pesados_Evidencia],MATCH(INDEX(tbl_recyclass[Familia_PPWR],MATCH(A1871,tbl_recyclass[ProductId],0)),tbl_familias_ppwr[ID_Familia],0))="Em falta","Lacuna","Conforme"),IF(B1871="EU-ENV-013",IF(INDEX(tbl_familias_ppwr[Declaracao_UE],MATCH(INDEX(tbl_recyclass[Familia_PPWR],MATCH(A1871,tbl_recyclass[ProductId],0)),tbl_familias_ppwr[ID_Familia],0))="Sim","Conforme","Lacuna"),G1871)))),G1871))</f>
        <v>Parcial</v>
      </c>
      <c r="I1871" s="33" t="str">
        <f t="shared" si="29"/>
        <v>Parcial</v>
      </c>
      <c r="J1871" s="26" t="s">
        <v>1389</v>
      </c>
    </row>
    <row r="1872" spans="1:10" ht="16.05" customHeight="1" x14ac:dyDescent="0.3">
      <c r="A1872" s="26" t="s">
        <v>809</v>
      </c>
      <c r="B1872" s="26" t="s">
        <v>984</v>
      </c>
      <c r="C1872" s="33" t="str">
        <f>IFERROR(INDEX(tbl_requisitos_emb[Tema],MATCH(B1872,tbl_requisitos_emb[ID_Req],0)),"")</f>
        <v>Conceção para reciclagem</v>
      </c>
      <c r="D1872" s="33" t="str">
        <f>IFERROR(INDEX(tbl_recyclass[Segmento],MATCH(A1872,tbl_recyclass[ProductId],0)),"")</f>
        <v>Cosmética e higiene pessoal</v>
      </c>
      <c r="E1872" s="26" t="s">
        <v>901</v>
      </c>
      <c r="F1872" s="26" t="s">
        <v>1449</v>
      </c>
      <c r="G1872" s="26" t="s">
        <v>978</v>
      </c>
      <c r="H1872" s="33" t="str">
        <f>IF(E1872="Não","Não aplicável",IFERROR(IF(B1872="EU-ENV-002",IF(INDEX(tbl_recyclass[Conforme_PPWR_2030],MATCH(A1872,tbl_recyclass[ProductId],0))="Sim","Conforme (autoavaliação)",IF(INDEX(tbl_recyclass[Conforme_PPWR_2030],MATCH(A1872,tbl_recyclass[ProductId],0))="Não","Não conforme em 2030","Isento até 2035")),IF(B1872="EU-ENV-003",IF(INDEX(tbl_recyclass[Conforme_Art7_2030],MATCH(A1872,tbl_recyclass[ProductId],0))="Sim","Conforme (meta 2030)",IF(INDEX(tbl_recyclass[Conforme_Art7_2030],MATCH(A1872,tbl_recyclass[ProductId],0))="Não","Lacuna face à meta 2030","Isento")),IF(B1872="EU-ENV-011",IF(INDEX(tbl_familias_ppwr[Metais_Pesados_Evidencia],MATCH(INDEX(tbl_recyclass[Familia_PPWR],MATCH(A1872,tbl_recyclass[ProductId],0)),tbl_familias_ppwr[ID_Familia],0))="Em falta","Lacuna","Conforme"),IF(B1872="EU-ENV-013",IF(INDEX(tbl_familias_ppwr[Declaracao_UE],MATCH(INDEX(tbl_recyclass[Familia_PPWR],MATCH(A1872,tbl_recyclass[ProductId],0)),tbl_familias_ppwr[ID_Familia],0))="Sim","Conforme","Lacuna"),G1872)))),G1872))</f>
        <v>Não conforme em 2030</v>
      </c>
      <c r="I1872" s="33" t="str">
        <f t="shared" si="29"/>
        <v>Não conforme</v>
      </c>
      <c r="J1872" s="26" t="s">
        <v>991</v>
      </c>
    </row>
    <row r="1873" spans="1:10" ht="16.05" customHeight="1" x14ac:dyDescent="0.3">
      <c r="A1873" s="26" t="s">
        <v>809</v>
      </c>
      <c r="B1873" s="26" t="s">
        <v>997</v>
      </c>
      <c r="C1873" s="33" t="str">
        <f>IFERROR(INDEX(tbl_requisitos_emb[Tema],MATCH(B1873,tbl_requisitos_emb[ID_Req],0)),"")</f>
        <v>Conteúdo reciclado</v>
      </c>
      <c r="D1873" s="33" t="str">
        <f>IFERROR(INDEX(tbl_recyclass[Segmento],MATCH(A1873,tbl_recyclass[ProductId],0)),"")</f>
        <v>Cosmética e higiene pessoal</v>
      </c>
      <c r="E1873" s="26" t="s">
        <v>901</v>
      </c>
      <c r="F1873" s="26" t="s">
        <v>1449</v>
      </c>
      <c r="G1873" s="26" t="s">
        <v>978</v>
      </c>
      <c r="H1873" s="33" t="str">
        <f>IF(E1873="Não","Não aplicável",IFERROR(IF(B1873="EU-ENV-002",IF(INDEX(tbl_recyclass[Conforme_PPWR_2030],MATCH(A1873,tbl_recyclass[ProductId],0))="Sim","Conforme (autoavaliação)",IF(INDEX(tbl_recyclass[Conforme_PPWR_2030],MATCH(A1873,tbl_recyclass[ProductId],0))="Não","Não conforme em 2030","Isento até 2035")),IF(B1873="EU-ENV-003",IF(INDEX(tbl_recyclass[Conforme_Art7_2030],MATCH(A1873,tbl_recyclass[ProductId],0))="Sim","Conforme (meta 2030)",IF(INDEX(tbl_recyclass[Conforme_Art7_2030],MATCH(A1873,tbl_recyclass[ProductId],0))="Não","Lacuna face à meta 2030","Isento")),IF(B1873="EU-ENV-011",IF(INDEX(tbl_familias_ppwr[Metais_Pesados_Evidencia],MATCH(INDEX(tbl_recyclass[Familia_PPWR],MATCH(A1873,tbl_recyclass[ProductId],0)),tbl_familias_ppwr[ID_Familia],0))="Em falta","Lacuna","Conforme"),IF(B1873="EU-ENV-013",IF(INDEX(tbl_familias_ppwr[Declaracao_UE],MATCH(INDEX(tbl_recyclass[Familia_PPWR],MATCH(A1873,tbl_recyclass[ProductId],0)),tbl_familias_ppwr[ID_Familia],0))="Sim","Conforme","Lacuna"),G1873)))),G1873))</f>
        <v>Lacuna face à meta 2030</v>
      </c>
      <c r="I1873" s="33" t="str">
        <f t="shared" si="29"/>
        <v>Lacuna</v>
      </c>
      <c r="J1873" s="26" t="s">
        <v>1001</v>
      </c>
    </row>
    <row r="1874" spans="1:10" ht="16.05" customHeight="1" x14ac:dyDescent="0.3">
      <c r="A1874" s="26" t="s">
        <v>809</v>
      </c>
      <c r="B1874" s="26" t="s">
        <v>1007</v>
      </c>
      <c r="C1874" s="33" t="str">
        <f>IFERROR(INDEX(tbl_requisitos_emb[Tema],MATCH(B1874,tbl_requisitos_emb[ID_Req],0)),"")</f>
        <v>Minimização</v>
      </c>
      <c r="D1874" s="33" t="str">
        <f>IFERROR(INDEX(tbl_recyclass[Segmento],MATCH(A1874,tbl_recyclass[ProductId],0)),"")</f>
        <v>Cosmética e higiene pessoal</v>
      </c>
      <c r="E1874" s="26" t="s">
        <v>901</v>
      </c>
      <c r="F1874" s="26" t="s">
        <v>1449</v>
      </c>
      <c r="G1874" s="26" t="s">
        <v>978</v>
      </c>
      <c r="H1874" s="33" t="str">
        <f>IF(E1874="Não","Não aplicável",IFERROR(IF(B1874="EU-ENV-002",IF(INDEX(tbl_recyclass[Conforme_PPWR_2030],MATCH(A1874,tbl_recyclass[ProductId],0))="Sim","Conforme (autoavaliação)",IF(INDEX(tbl_recyclass[Conforme_PPWR_2030],MATCH(A1874,tbl_recyclass[ProductId],0))="Não","Não conforme em 2030","Isento até 2035")),IF(B1874="EU-ENV-003",IF(INDEX(tbl_recyclass[Conforme_Art7_2030],MATCH(A1874,tbl_recyclass[ProductId],0))="Sim","Conforme (meta 2030)",IF(INDEX(tbl_recyclass[Conforme_Art7_2030],MATCH(A1874,tbl_recyclass[ProductId],0))="Não","Lacuna face à meta 2030","Isento")),IF(B1874="EU-ENV-011",IF(INDEX(tbl_familias_ppwr[Metais_Pesados_Evidencia],MATCH(INDEX(tbl_recyclass[Familia_PPWR],MATCH(A1874,tbl_recyclass[ProductId],0)),tbl_familias_ppwr[ID_Familia],0))="Em falta","Lacuna","Conforme"),IF(B1874="EU-ENV-013",IF(INDEX(tbl_familias_ppwr[Declaracao_UE],MATCH(INDEX(tbl_recyclass[Familia_PPWR],MATCH(A1874,tbl_recyclass[ProductId],0)),tbl_familias_ppwr[ID_Familia],0))="Sim","Conforme","Lacuna"),G1874)))),G1874))</f>
        <v>Parcial</v>
      </c>
      <c r="I1874" s="33" t="str">
        <f t="shared" si="29"/>
        <v>Parcial</v>
      </c>
      <c r="J1874" s="26" t="s">
        <v>1012</v>
      </c>
    </row>
    <row r="1875" spans="1:10" ht="16.05" customHeight="1" x14ac:dyDescent="0.3">
      <c r="A1875" s="26" t="s">
        <v>809</v>
      </c>
      <c r="B1875" s="26" t="s">
        <v>1016</v>
      </c>
      <c r="C1875" s="33" t="str">
        <f>IFERROR(INDEX(tbl_requisitos_emb[Tema],MATCH(B1875,tbl_requisitos_emb[ID_Req],0)),"")</f>
        <v>Rotulagem</v>
      </c>
      <c r="D1875" s="33" t="str">
        <f>IFERROR(INDEX(tbl_recyclass[Segmento],MATCH(A1875,tbl_recyclass[ProductId],0)),"")</f>
        <v>Cosmética e higiene pessoal</v>
      </c>
      <c r="E1875" s="26" t="s">
        <v>901</v>
      </c>
      <c r="F1875" s="26" t="s">
        <v>1449</v>
      </c>
      <c r="G1875" s="26" t="s">
        <v>990</v>
      </c>
      <c r="H1875" s="33" t="str">
        <f>IF(E1875="Não","Não aplicável",IFERROR(IF(B1875="EU-ENV-002",IF(INDEX(tbl_recyclass[Conforme_PPWR_2030],MATCH(A1875,tbl_recyclass[ProductId],0))="Sim","Conforme (autoavaliação)",IF(INDEX(tbl_recyclass[Conforme_PPWR_2030],MATCH(A1875,tbl_recyclass[ProductId],0))="Não","Não conforme em 2030","Isento até 2035")),IF(B1875="EU-ENV-003",IF(INDEX(tbl_recyclass[Conforme_Art7_2030],MATCH(A1875,tbl_recyclass[ProductId],0))="Sim","Conforme (meta 2030)",IF(INDEX(tbl_recyclass[Conforme_Art7_2030],MATCH(A1875,tbl_recyclass[ProductId],0))="Não","Lacuna face à meta 2030","Isento")),IF(B1875="EU-ENV-011",IF(INDEX(tbl_familias_ppwr[Metais_Pesados_Evidencia],MATCH(INDEX(tbl_recyclass[Familia_PPWR],MATCH(A1875,tbl_recyclass[ProductId],0)),tbl_familias_ppwr[ID_Familia],0))="Em falta","Lacuna","Conforme"),IF(B1875="EU-ENV-013",IF(INDEX(tbl_familias_ppwr[Declaracao_UE],MATCH(INDEX(tbl_recyclass[Familia_PPWR],MATCH(A1875,tbl_recyclass[ProductId],0)),tbl_familias_ppwr[ID_Familia],0))="Sim","Conforme","Lacuna"),G1875)))),G1875))</f>
        <v>Futuro</v>
      </c>
      <c r="I1875" s="33" t="str">
        <f t="shared" si="29"/>
        <v>Futuro</v>
      </c>
      <c r="J1875" s="26" t="s">
        <v>1021</v>
      </c>
    </row>
    <row r="1876" spans="1:10" ht="16.05" customHeight="1" x14ac:dyDescent="0.3">
      <c r="A1876" s="26" t="s">
        <v>809</v>
      </c>
      <c r="B1876" s="26" t="s">
        <v>1038</v>
      </c>
      <c r="C1876" s="33" t="str">
        <f>IFERROR(INDEX(tbl_requisitos_emb[Tema],MATCH(B1876,tbl_requisitos_emb[ID_Req],0)),"")</f>
        <v>Plásticos de utilização única</v>
      </c>
      <c r="D1876" s="33" t="str">
        <f>IFERROR(INDEX(tbl_recyclass[Segmento],MATCH(A1876,tbl_recyclass[ProductId],0)),"")</f>
        <v>Cosmética e higiene pessoal</v>
      </c>
      <c r="E1876" s="26" t="s">
        <v>904</v>
      </c>
      <c r="F1876" s="26" t="s">
        <v>1450</v>
      </c>
      <c r="G1876" s="26" t="s">
        <v>1143</v>
      </c>
      <c r="H1876" s="33" t="str">
        <f>IF(E1876="Não","Não aplicável",IFERROR(IF(B1876="EU-ENV-002",IF(INDEX(tbl_recyclass[Conforme_PPWR_2030],MATCH(A1876,tbl_recyclass[ProductId],0))="Sim","Conforme (autoavaliação)",IF(INDEX(tbl_recyclass[Conforme_PPWR_2030],MATCH(A1876,tbl_recyclass[ProductId],0))="Não","Não conforme em 2030","Isento até 2035")),IF(B1876="EU-ENV-003",IF(INDEX(tbl_recyclass[Conforme_Art7_2030],MATCH(A1876,tbl_recyclass[ProductId],0))="Sim","Conforme (meta 2030)",IF(INDEX(tbl_recyclass[Conforme_Art7_2030],MATCH(A1876,tbl_recyclass[ProductId],0))="Não","Lacuna face à meta 2030","Isento")),IF(B1876="EU-ENV-011",IF(INDEX(tbl_familias_ppwr[Metais_Pesados_Evidencia],MATCH(INDEX(tbl_recyclass[Familia_PPWR],MATCH(A1876,tbl_recyclass[ProductId],0)),tbl_familias_ppwr[ID_Familia],0))="Em falta","Lacuna","Conforme"),IF(B1876="EU-ENV-013",IF(INDEX(tbl_familias_ppwr[Declaracao_UE],MATCH(INDEX(tbl_recyclass[Familia_PPWR],MATCH(A1876,tbl_recyclass[ProductId],0)),tbl_familias_ppwr[ID_Familia],0))="Sim","Conforme","Lacuna"),G1876)))),G1876))</f>
        <v>Não aplicável</v>
      </c>
      <c r="I1876" s="33" t="str">
        <f t="shared" si="29"/>
        <v>Não aplicável</v>
      </c>
      <c r="J1876" s="26"/>
    </row>
    <row r="1877" spans="1:10" ht="16.05" customHeight="1" x14ac:dyDescent="0.3">
      <c r="A1877" s="26" t="s">
        <v>809</v>
      </c>
      <c r="B1877" s="26" t="s">
        <v>1078</v>
      </c>
      <c r="C1877" s="33" t="str">
        <f>IFERROR(INDEX(tbl_requisitos_emb[Tema],MATCH(B1877,tbl_requisitos_emb[ID_Req],0)),"")</f>
        <v>Reciclado à escala</v>
      </c>
      <c r="D1877" s="33" t="str">
        <f>IFERROR(INDEX(tbl_recyclass[Segmento],MATCH(A1877,tbl_recyclass[ProductId],0)),"")</f>
        <v>Cosmética e higiene pessoal</v>
      </c>
      <c r="E1877" s="26" t="s">
        <v>901</v>
      </c>
      <c r="F1877" s="26" t="s">
        <v>1449</v>
      </c>
      <c r="G1877" s="26" t="s">
        <v>990</v>
      </c>
      <c r="H1877" s="33" t="str">
        <f>IF(E1877="Não","Não aplicável",IFERROR(IF(B1877="EU-ENV-002",IF(INDEX(tbl_recyclass[Conforme_PPWR_2030],MATCH(A1877,tbl_recyclass[ProductId],0))="Sim","Conforme (autoavaliação)",IF(INDEX(tbl_recyclass[Conforme_PPWR_2030],MATCH(A1877,tbl_recyclass[ProductId],0))="Não","Não conforme em 2030","Isento até 2035")),IF(B1877="EU-ENV-003",IF(INDEX(tbl_recyclass[Conforme_Art7_2030],MATCH(A1877,tbl_recyclass[ProductId],0))="Sim","Conforme (meta 2030)",IF(INDEX(tbl_recyclass[Conforme_Art7_2030],MATCH(A1877,tbl_recyclass[ProductId],0))="Não","Lacuna face à meta 2030","Isento")),IF(B1877="EU-ENV-011",IF(INDEX(tbl_familias_ppwr[Metais_Pesados_Evidencia],MATCH(INDEX(tbl_recyclass[Familia_PPWR],MATCH(A1877,tbl_recyclass[ProductId],0)),tbl_familias_ppwr[ID_Familia],0))="Em falta","Lacuna","Conforme"),IF(B1877="EU-ENV-013",IF(INDEX(tbl_familias_ppwr[Declaracao_UE],MATCH(INDEX(tbl_recyclass[Familia_PPWR],MATCH(A1877,tbl_recyclass[ProductId],0)),tbl_familias_ppwr[ID_Familia],0))="Sim","Conforme","Lacuna"),G1877)))),G1877))</f>
        <v>Futuro</v>
      </c>
      <c r="I1877" s="33" t="str">
        <f t="shared" si="29"/>
        <v>Futuro</v>
      </c>
      <c r="J1877" s="26" t="s">
        <v>1082</v>
      </c>
    </row>
    <row r="1878" spans="1:10" ht="16.05" customHeight="1" x14ac:dyDescent="0.3">
      <c r="A1878" s="26" t="s">
        <v>809</v>
      </c>
      <c r="B1878" s="26" t="s">
        <v>1086</v>
      </c>
      <c r="C1878" s="33" t="str">
        <f>IFERROR(INDEX(tbl_requisitos_emb[Tema],MATCH(B1878,tbl_requisitos_emb[ID_Req],0)),"")</f>
        <v>Metais pesados</v>
      </c>
      <c r="D1878" s="33" t="str">
        <f>IFERROR(INDEX(tbl_recyclass[Segmento],MATCH(A1878,tbl_recyclass[ProductId],0)),"")</f>
        <v>Cosmética e higiene pessoal</v>
      </c>
      <c r="E1878" s="26" t="s">
        <v>901</v>
      </c>
      <c r="F1878" s="26" t="s">
        <v>1449</v>
      </c>
      <c r="G1878" s="26" t="s">
        <v>978</v>
      </c>
      <c r="H1878" s="33" t="str">
        <f>IF(E1878="Não","Não aplicável",IFERROR(IF(B1878="EU-ENV-002",IF(INDEX(tbl_recyclass[Conforme_PPWR_2030],MATCH(A1878,tbl_recyclass[ProductId],0))="Sim","Conforme (autoavaliação)",IF(INDEX(tbl_recyclass[Conforme_PPWR_2030],MATCH(A1878,tbl_recyclass[ProductId],0))="Não","Não conforme em 2030","Isento até 2035")),IF(B1878="EU-ENV-003",IF(INDEX(tbl_recyclass[Conforme_Art7_2030],MATCH(A1878,tbl_recyclass[ProductId],0))="Sim","Conforme (meta 2030)",IF(INDEX(tbl_recyclass[Conforme_Art7_2030],MATCH(A1878,tbl_recyclass[ProductId],0))="Não","Lacuna face à meta 2030","Isento")),IF(B1878="EU-ENV-011",IF(INDEX(tbl_familias_ppwr[Metais_Pesados_Evidencia],MATCH(INDEX(tbl_recyclass[Familia_PPWR],MATCH(A1878,tbl_recyclass[ProductId],0)),tbl_familias_ppwr[ID_Familia],0))="Em falta","Lacuna","Conforme"),IF(B1878="EU-ENV-013",IF(INDEX(tbl_familias_ppwr[Declaracao_UE],MATCH(INDEX(tbl_recyclass[Familia_PPWR],MATCH(A1878,tbl_recyclass[ProductId],0)),tbl_familias_ppwr[ID_Familia],0))="Sim","Conforme","Lacuna"),G1878)))),G1878))</f>
        <v>Conforme</v>
      </c>
      <c r="I1878" s="33" t="str">
        <f t="shared" si="29"/>
        <v>Conforme</v>
      </c>
      <c r="J1878" s="26" t="s">
        <v>1090</v>
      </c>
    </row>
    <row r="1879" spans="1:10" ht="16.05" customHeight="1" x14ac:dyDescent="0.3">
      <c r="A1879" s="26" t="s">
        <v>809</v>
      </c>
      <c r="B1879" s="26" t="s">
        <v>1094</v>
      </c>
      <c r="C1879" s="33" t="str">
        <f>IFERROR(INDEX(tbl_requisitos_emb[Tema],MATCH(B1879,tbl_requisitos_emb[ID_Req],0)),"")</f>
        <v>PFAS</v>
      </c>
      <c r="D1879" s="33" t="str">
        <f>IFERROR(INDEX(tbl_recyclass[Segmento],MATCH(A1879,tbl_recyclass[ProductId],0)),"")</f>
        <v>Cosmética e higiene pessoal</v>
      </c>
      <c r="E1879" s="26" t="s">
        <v>904</v>
      </c>
      <c r="F1879" s="26" t="s">
        <v>1450</v>
      </c>
      <c r="G1879" s="26" t="s">
        <v>1143</v>
      </c>
      <c r="H1879" s="33" t="str">
        <f>IF(E1879="Não","Não aplicável",IFERROR(IF(B1879="EU-ENV-002",IF(INDEX(tbl_recyclass[Conforme_PPWR_2030],MATCH(A1879,tbl_recyclass[ProductId],0))="Sim","Conforme (autoavaliação)",IF(INDEX(tbl_recyclass[Conforme_PPWR_2030],MATCH(A1879,tbl_recyclass[ProductId],0))="Não","Não conforme em 2030","Isento até 2035")),IF(B1879="EU-ENV-003",IF(INDEX(tbl_recyclass[Conforme_Art7_2030],MATCH(A1879,tbl_recyclass[ProductId],0))="Sim","Conforme (meta 2030)",IF(INDEX(tbl_recyclass[Conforme_Art7_2030],MATCH(A1879,tbl_recyclass[ProductId],0))="Não","Lacuna face à meta 2030","Isento")),IF(B1879="EU-ENV-011",IF(INDEX(tbl_familias_ppwr[Metais_Pesados_Evidencia],MATCH(INDEX(tbl_recyclass[Familia_PPWR],MATCH(A1879,tbl_recyclass[ProductId],0)),tbl_familias_ppwr[ID_Familia],0))="Em falta","Lacuna","Conforme"),IF(B1879="EU-ENV-013",IF(INDEX(tbl_familias_ppwr[Declaracao_UE],MATCH(INDEX(tbl_recyclass[Familia_PPWR],MATCH(A1879,tbl_recyclass[ProductId],0)),tbl_familias_ppwr[ID_Familia],0))="Sim","Conforme","Lacuna"),G1879)))),G1879))</f>
        <v>Não aplicável</v>
      </c>
      <c r="I1879" s="33" t="str">
        <f t="shared" si="29"/>
        <v>Não aplicável</v>
      </c>
      <c r="J1879" s="26"/>
    </row>
    <row r="1880" spans="1:10" ht="16.05" customHeight="1" x14ac:dyDescent="0.3">
      <c r="A1880" s="26" t="s">
        <v>809</v>
      </c>
      <c r="B1880" s="26" t="s">
        <v>1102</v>
      </c>
      <c r="C1880" s="33" t="str">
        <f>IFERROR(INDEX(tbl_requisitos_emb[Tema],MATCH(B1880,tbl_requisitos_emb[ID_Req],0)),"")</f>
        <v>Documentação técnica e declaração UE</v>
      </c>
      <c r="D1880" s="33" t="str">
        <f>IFERROR(INDEX(tbl_recyclass[Segmento],MATCH(A1880,tbl_recyclass[ProductId],0)),"")</f>
        <v>Cosmética e higiene pessoal</v>
      </c>
      <c r="E1880" s="26" t="s">
        <v>901</v>
      </c>
      <c r="F1880" s="26" t="s">
        <v>1449</v>
      </c>
      <c r="G1880" s="26" t="s">
        <v>978</v>
      </c>
      <c r="H1880" s="33" t="str">
        <f>IF(E1880="Não","Não aplicável",IFERROR(IF(B1880="EU-ENV-002",IF(INDEX(tbl_recyclass[Conforme_PPWR_2030],MATCH(A1880,tbl_recyclass[ProductId],0))="Sim","Conforme (autoavaliação)",IF(INDEX(tbl_recyclass[Conforme_PPWR_2030],MATCH(A1880,tbl_recyclass[ProductId],0))="Não","Não conforme em 2030","Isento até 2035")),IF(B1880="EU-ENV-003",IF(INDEX(tbl_recyclass[Conforme_Art7_2030],MATCH(A1880,tbl_recyclass[ProductId],0))="Sim","Conforme (meta 2030)",IF(INDEX(tbl_recyclass[Conforme_Art7_2030],MATCH(A1880,tbl_recyclass[ProductId],0))="Não","Lacuna face à meta 2030","Isento")),IF(B1880="EU-ENV-011",IF(INDEX(tbl_familias_ppwr[Metais_Pesados_Evidencia],MATCH(INDEX(tbl_recyclass[Familia_PPWR],MATCH(A1880,tbl_recyclass[ProductId],0)),tbl_familias_ppwr[ID_Familia],0))="Em falta","Lacuna","Conforme"),IF(B1880="EU-ENV-013",IF(INDEX(tbl_familias_ppwr[Declaracao_UE],MATCH(INDEX(tbl_recyclass[Familia_PPWR],MATCH(A1880,tbl_recyclass[ProductId],0)),tbl_familias_ppwr[ID_Familia],0))="Sim","Conforme","Lacuna"),G1880)))),G1880))</f>
        <v>Conforme</v>
      </c>
      <c r="I1880" s="33" t="str">
        <f t="shared" si="29"/>
        <v>Conforme</v>
      </c>
      <c r="J1880" s="26" t="s">
        <v>1106</v>
      </c>
    </row>
    <row r="1881" spans="1:10" ht="16.05" customHeight="1" x14ac:dyDescent="0.3">
      <c r="A1881" s="26" t="s">
        <v>809</v>
      </c>
      <c r="B1881" s="26" t="s">
        <v>1161</v>
      </c>
      <c r="C1881" s="33" t="str">
        <f>IFERROR(INDEX(tbl_requisitos_emb[Tema],MATCH(B1881,tbl_requisitos_emb[ID_Req],0)),"")</f>
        <v>Materiais em contacto com alimentos</v>
      </c>
      <c r="D1881" s="33" t="str">
        <f>IFERROR(INDEX(tbl_recyclass[Segmento],MATCH(A1881,tbl_recyclass[ProductId],0)),"")</f>
        <v>Cosmética e higiene pessoal</v>
      </c>
      <c r="E1881" s="26" t="s">
        <v>904</v>
      </c>
      <c r="F1881" s="26" t="s">
        <v>1450</v>
      </c>
      <c r="G1881" s="26" t="s">
        <v>1143</v>
      </c>
      <c r="H1881" s="33" t="str">
        <f>IF(E1881="Não","Não aplicável",IFERROR(IF(B1881="EU-ENV-002",IF(INDEX(tbl_recyclass[Conforme_PPWR_2030],MATCH(A1881,tbl_recyclass[ProductId],0))="Sim","Conforme (autoavaliação)",IF(INDEX(tbl_recyclass[Conforme_PPWR_2030],MATCH(A1881,tbl_recyclass[ProductId],0))="Não","Não conforme em 2030","Isento até 2035")),IF(B1881="EU-ENV-003",IF(INDEX(tbl_recyclass[Conforme_Art7_2030],MATCH(A1881,tbl_recyclass[ProductId],0))="Sim","Conforme (meta 2030)",IF(INDEX(tbl_recyclass[Conforme_Art7_2030],MATCH(A1881,tbl_recyclass[ProductId],0))="Não","Lacuna face à meta 2030","Isento")),IF(B1881="EU-ENV-011",IF(INDEX(tbl_familias_ppwr[Metais_Pesados_Evidencia],MATCH(INDEX(tbl_recyclass[Familia_PPWR],MATCH(A1881,tbl_recyclass[ProductId],0)),tbl_familias_ppwr[ID_Familia],0))="Em falta","Lacuna","Conforme"),IF(B1881="EU-ENV-013",IF(INDEX(tbl_familias_ppwr[Declaracao_UE],MATCH(INDEX(tbl_recyclass[Familia_PPWR],MATCH(A1881,tbl_recyclass[ProductId],0)),tbl_familias_ppwr[ID_Familia],0))="Sim","Conforme","Lacuna"),G1881)))),G1881))</f>
        <v>Não aplicável</v>
      </c>
      <c r="I1881" s="33" t="str">
        <f t="shared" si="29"/>
        <v>Não aplicável</v>
      </c>
      <c r="J1881" s="26"/>
    </row>
    <row r="1882" spans="1:10" ht="16.05" customHeight="1" x14ac:dyDescent="0.3">
      <c r="A1882" s="26" t="s">
        <v>809</v>
      </c>
      <c r="B1882" s="26" t="s">
        <v>1170</v>
      </c>
      <c r="C1882" s="33" t="str">
        <f>IFERROR(INDEX(tbl_requisitos_emb[Tema],MATCH(B1882,tbl_requisitos_emb[ID_Req],0)),"")</f>
        <v>Boas práticas de fabrico FCM</v>
      </c>
      <c r="D1882" s="33" t="str">
        <f>IFERROR(INDEX(tbl_recyclass[Segmento],MATCH(A1882,tbl_recyclass[ProductId],0)),"")</f>
        <v>Cosmética e higiene pessoal</v>
      </c>
      <c r="E1882" s="26" t="s">
        <v>904</v>
      </c>
      <c r="F1882" s="26" t="s">
        <v>1450</v>
      </c>
      <c r="G1882" s="26" t="s">
        <v>1143</v>
      </c>
      <c r="H1882" s="33" t="str">
        <f>IF(E1882="Não","Não aplicável",IFERROR(IF(B1882="EU-ENV-002",IF(INDEX(tbl_recyclass[Conforme_PPWR_2030],MATCH(A1882,tbl_recyclass[ProductId],0))="Sim","Conforme (autoavaliação)",IF(INDEX(tbl_recyclass[Conforme_PPWR_2030],MATCH(A1882,tbl_recyclass[ProductId],0))="Não","Não conforme em 2030","Isento até 2035")),IF(B1882="EU-ENV-003",IF(INDEX(tbl_recyclass[Conforme_Art7_2030],MATCH(A1882,tbl_recyclass[ProductId],0))="Sim","Conforme (meta 2030)",IF(INDEX(tbl_recyclass[Conforme_Art7_2030],MATCH(A1882,tbl_recyclass[ProductId],0))="Não","Lacuna face à meta 2030","Isento")),IF(B1882="EU-ENV-011",IF(INDEX(tbl_familias_ppwr[Metais_Pesados_Evidencia],MATCH(INDEX(tbl_recyclass[Familia_PPWR],MATCH(A1882,tbl_recyclass[ProductId],0)),tbl_familias_ppwr[ID_Familia],0))="Em falta","Lacuna","Conforme"),IF(B1882="EU-ENV-013",IF(INDEX(tbl_familias_ppwr[Declaracao_UE],MATCH(INDEX(tbl_recyclass[Familia_PPWR],MATCH(A1882,tbl_recyclass[ProductId],0)),tbl_familias_ppwr[ID_Familia],0))="Sim","Conforme","Lacuna"),G1882)))),G1882))</f>
        <v>Não aplicável</v>
      </c>
      <c r="I1882" s="33" t="str">
        <f t="shared" si="29"/>
        <v>Não aplicável</v>
      </c>
      <c r="J1882" s="26"/>
    </row>
    <row r="1883" spans="1:10" ht="16.05" customHeight="1" x14ac:dyDescent="0.3">
      <c r="A1883" s="26" t="s">
        <v>809</v>
      </c>
      <c r="B1883" s="26" t="s">
        <v>1179</v>
      </c>
      <c r="C1883" s="33" t="str">
        <f>IFERROR(INDEX(tbl_requisitos_emb[Tema],MATCH(B1883,tbl_requisitos_emb[ID_Req],0)),"")</f>
        <v>Bisfenol A e bisfenóis perigosos</v>
      </c>
      <c r="D1883" s="33" t="str">
        <f>IFERROR(INDEX(tbl_recyclass[Segmento],MATCH(A1883,tbl_recyclass[ProductId],0)),"")</f>
        <v>Cosmética e higiene pessoal</v>
      </c>
      <c r="E1883" s="26" t="s">
        <v>904</v>
      </c>
      <c r="F1883" s="26" t="s">
        <v>1450</v>
      </c>
      <c r="G1883" s="26" t="s">
        <v>1143</v>
      </c>
      <c r="H1883" s="33" t="str">
        <f>IF(E1883="Não","Não aplicável",IFERROR(IF(B1883="EU-ENV-002",IF(INDEX(tbl_recyclass[Conforme_PPWR_2030],MATCH(A1883,tbl_recyclass[ProductId],0))="Sim","Conforme (autoavaliação)",IF(INDEX(tbl_recyclass[Conforme_PPWR_2030],MATCH(A1883,tbl_recyclass[ProductId],0))="Não","Não conforme em 2030","Isento até 2035")),IF(B1883="EU-ENV-003",IF(INDEX(tbl_recyclass[Conforme_Art7_2030],MATCH(A1883,tbl_recyclass[ProductId],0))="Sim","Conforme (meta 2030)",IF(INDEX(tbl_recyclass[Conforme_Art7_2030],MATCH(A1883,tbl_recyclass[ProductId],0))="Não","Lacuna face à meta 2030","Isento")),IF(B1883="EU-ENV-011",IF(INDEX(tbl_familias_ppwr[Metais_Pesados_Evidencia],MATCH(INDEX(tbl_recyclass[Familia_PPWR],MATCH(A1883,tbl_recyclass[ProductId],0)),tbl_familias_ppwr[ID_Familia],0))="Em falta","Lacuna","Conforme"),IF(B1883="EU-ENV-013",IF(INDEX(tbl_familias_ppwr[Declaracao_UE],MATCH(INDEX(tbl_recyclass[Familia_PPWR],MATCH(A1883,tbl_recyclass[ProductId],0)),tbl_familias_ppwr[ID_Familia],0))="Sim","Conforme","Lacuna"),G1883)))),G1883))</f>
        <v>Não aplicável</v>
      </c>
      <c r="I1883" s="33" t="str">
        <f t="shared" si="29"/>
        <v>Não aplicável</v>
      </c>
      <c r="J1883" s="26"/>
    </row>
    <row r="1884" spans="1:10" ht="16.05" customHeight="1" x14ac:dyDescent="0.3">
      <c r="A1884" s="26" t="s">
        <v>809</v>
      </c>
      <c r="B1884" s="26" t="s">
        <v>1188</v>
      </c>
      <c r="C1884" s="33" t="str">
        <f>IFERROR(INDEX(tbl_requisitos_emb[Tema],MATCH(B1884,tbl_requisitos_emb[ID_Req],0)),"")</f>
        <v>Plásticos em contacto com alimentos</v>
      </c>
      <c r="D1884" s="33" t="str">
        <f>IFERROR(INDEX(tbl_recyclass[Segmento],MATCH(A1884,tbl_recyclass[ProductId],0)),"")</f>
        <v>Cosmética e higiene pessoal</v>
      </c>
      <c r="E1884" s="26" t="s">
        <v>904</v>
      </c>
      <c r="F1884" s="26" t="s">
        <v>1450</v>
      </c>
      <c r="G1884" s="26" t="s">
        <v>1143</v>
      </c>
      <c r="H1884" s="33" t="str">
        <f>IF(E1884="Não","Não aplicável",IFERROR(IF(B1884="EU-ENV-002",IF(INDEX(tbl_recyclass[Conforme_PPWR_2030],MATCH(A1884,tbl_recyclass[ProductId],0))="Sim","Conforme (autoavaliação)",IF(INDEX(tbl_recyclass[Conforme_PPWR_2030],MATCH(A1884,tbl_recyclass[ProductId],0))="Não","Não conforme em 2030","Isento até 2035")),IF(B1884="EU-ENV-003",IF(INDEX(tbl_recyclass[Conforme_Art7_2030],MATCH(A1884,tbl_recyclass[ProductId],0))="Sim","Conforme (meta 2030)",IF(INDEX(tbl_recyclass[Conforme_Art7_2030],MATCH(A1884,tbl_recyclass[ProductId],0))="Não","Lacuna face à meta 2030","Isento")),IF(B1884="EU-ENV-011",IF(INDEX(tbl_familias_ppwr[Metais_Pesados_Evidencia],MATCH(INDEX(tbl_recyclass[Familia_PPWR],MATCH(A1884,tbl_recyclass[ProductId],0)),tbl_familias_ppwr[ID_Familia],0))="Em falta","Lacuna","Conforme"),IF(B1884="EU-ENV-013",IF(INDEX(tbl_familias_ppwr[Declaracao_UE],MATCH(INDEX(tbl_recyclass[Familia_PPWR],MATCH(A1884,tbl_recyclass[ProductId],0)),tbl_familias_ppwr[ID_Familia],0))="Sim","Conforme","Lacuna"),G1884)))),G1884))</f>
        <v>Não aplicável</v>
      </c>
      <c r="I1884" s="33" t="str">
        <f t="shared" si="29"/>
        <v>Não aplicável</v>
      </c>
      <c r="J1884" s="26"/>
    </row>
    <row r="1885" spans="1:10" ht="16.05" customHeight="1" x14ac:dyDescent="0.3">
      <c r="A1885" s="26" t="s">
        <v>809</v>
      </c>
      <c r="B1885" s="26" t="s">
        <v>1212</v>
      </c>
      <c r="C1885" s="33" t="str">
        <f>IFERROR(INDEX(tbl_requisitos_emb[Tema],MATCH(B1885,tbl_requisitos_emb[ID_Req],0)),"")</f>
        <v>Segurança do produto cosmético</v>
      </c>
      <c r="D1885" s="33" t="str">
        <f>IFERROR(INDEX(tbl_recyclass[Segmento],MATCH(A1885,tbl_recyclass[ProductId],0)),"")</f>
        <v>Cosmética e higiene pessoal</v>
      </c>
      <c r="E1885" s="26" t="s">
        <v>901</v>
      </c>
      <c r="F1885" s="26" t="s">
        <v>1449</v>
      </c>
      <c r="G1885" s="26" t="s">
        <v>1033</v>
      </c>
      <c r="H1885" s="33" t="str">
        <f>IF(E1885="Não","Não aplicável",IFERROR(IF(B1885="EU-ENV-002",IF(INDEX(tbl_recyclass[Conforme_PPWR_2030],MATCH(A1885,tbl_recyclass[ProductId],0))="Sim","Conforme (autoavaliação)",IF(INDEX(tbl_recyclass[Conforme_PPWR_2030],MATCH(A1885,tbl_recyclass[ProductId],0))="Não","Não conforme em 2030","Isento até 2035")),IF(B1885="EU-ENV-003",IF(INDEX(tbl_recyclass[Conforme_Art7_2030],MATCH(A1885,tbl_recyclass[ProductId],0))="Sim","Conforme (meta 2030)",IF(INDEX(tbl_recyclass[Conforme_Art7_2030],MATCH(A1885,tbl_recyclass[ProductId],0))="Não","Lacuna face à meta 2030","Isento")),IF(B1885="EU-ENV-011",IF(INDEX(tbl_familias_ppwr[Metais_Pesados_Evidencia],MATCH(INDEX(tbl_recyclass[Familia_PPWR],MATCH(A1885,tbl_recyclass[ProductId],0)),tbl_familias_ppwr[ID_Familia],0))="Em falta","Lacuna","Conforme"),IF(B1885="EU-ENV-013",IF(INDEX(tbl_familias_ppwr[Declaracao_UE],MATCH(INDEX(tbl_recyclass[Familia_PPWR],MATCH(A1885,tbl_recyclass[ProductId],0)),tbl_familias_ppwr[ID_Familia],0))="Sim","Conforme","Lacuna"),G1885)))),G1885))</f>
        <v>Conforme</v>
      </c>
      <c r="I1885" s="33" t="str">
        <f t="shared" si="29"/>
        <v>Conforme</v>
      </c>
      <c r="J1885" s="26" t="s">
        <v>1221</v>
      </c>
    </row>
    <row r="1886" spans="1:10" ht="16.05" customHeight="1" x14ac:dyDescent="0.3">
      <c r="A1886" s="26" t="s">
        <v>809</v>
      </c>
      <c r="B1886" s="26" t="s">
        <v>1224</v>
      </c>
      <c r="C1886" s="33" t="str">
        <f>IFERROR(INDEX(tbl_requisitos_emb[Tema],MATCH(B1886,tbl_requisitos_emb[ID_Req],0)),"")</f>
        <v>Materiais e impurezas</v>
      </c>
      <c r="D1886" s="33" t="str">
        <f>IFERROR(INDEX(tbl_recyclass[Segmento],MATCH(A1886,tbl_recyclass[ProductId],0)),"")</f>
        <v>Cosmética e higiene pessoal</v>
      </c>
      <c r="E1886" s="26" t="s">
        <v>901</v>
      </c>
      <c r="F1886" s="26" t="s">
        <v>1449</v>
      </c>
      <c r="G1886" s="26" t="s">
        <v>978</v>
      </c>
      <c r="H1886" s="33" t="str">
        <f>IF(E1886="Não","Não aplicável",IFERROR(IF(B1886="EU-ENV-002",IF(INDEX(tbl_recyclass[Conforme_PPWR_2030],MATCH(A1886,tbl_recyclass[ProductId],0))="Sim","Conforme (autoavaliação)",IF(INDEX(tbl_recyclass[Conforme_PPWR_2030],MATCH(A1886,tbl_recyclass[ProductId],0))="Não","Não conforme em 2030","Isento até 2035")),IF(B1886="EU-ENV-003",IF(INDEX(tbl_recyclass[Conforme_Art7_2030],MATCH(A1886,tbl_recyclass[ProductId],0))="Sim","Conforme (meta 2030)",IF(INDEX(tbl_recyclass[Conforme_Art7_2030],MATCH(A1886,tbl_recyclass[ProductId],0))="Não","Lacuna face à meta 2030","Isento")),IF(B1886="EU-ENV-011",IF(INDEX(tbl_familias_ppwr[Metais_Pesados_Evidencia],MATCH(INDEX(tbl_recyclass[Familia_PPWR],MATCH(A1886,tbl_recyclass[ProductId],0)),tbl_familias_ppwr[ID_Familia],0))="Em falta","Lacuna","Conforme"),IF(B1886="EU-ENV-013",IF(INDEX(tbl_familias_ppwr[Declaracao_UE],MATCH(INDEX(tbl_recyclass[Familia_PPWR],MATCH(A1886,tbl_recyclass[ProductId],0)),tbl_familias_ppwr[ID_Familia],0))="Sim","Conforme","Lacuna"),G1886)))),G1886))</f>
        <v>Parcial</v>
      </c>
      <c r="I1886" s="33" t="str">
        <f t="shared" si="29"/>
        <v>Parcial</v>
      </c>
      <c r="J1886" s="26" t="s">
        <v>1228</v>
      </c>
    </row>
    <row r="1887" spans="1:10" ht="16.05" customHeight="1" x14ac:dyDescent="0.3">
      <c r="A1887" s="26" t="s">
        <v>809</v>
      </c>
      <c r="B1887" s="26" t="s">
        <v>1240</v>
      </c>
      <c r="C1887" s="33" t="str">
        <f>IFERROR(INDEX(tbl_requisitos_emb[Tema],MATCH(B1887,tbl_requisitos_emb[ID_Req],0)),"")</f>
        <v>Compatibilidade embalagem–produto</v>
      </c>
      <c r="D1887" s="33" t="str">
        <f>IFERROR(INDEX(tbl_recyclass[Segmento],MATCH(A1887,tbl_recyclass[ProductId],0)),"")</f>
        <v>Cosmética e higiene pessoal</v>
      </c>
      <c r="E1887" s="26" t="s">
        <v>901</v>
      </c>
      <c r="F1887" s="26" t="s">
        <v>1449</v>
      </c>
      <c r="G1887" s="26" t="s">
        <v>1033</v>
      </c>
      <c r="H1887" s="33" t="str">
        <f>IF(E1887="Não","Não aplicável",IFERROR(IF(B1887="EU-ENV-002",IF(INDEX(tbl_recyclass[Conforme_PPWR_2030],MATCH(A1887,tbl_recyclass[ProductId],0))="Sim","Conforme (autoavaliação)",IF(INDEX(tbl_recyclass[Conforme_PPWR_2030],MATCH(A1887,tbl_recyclass[ProductId],0))="Não","Não conforme em 2030","Isento até 2035")),IF(B1887="EU-ENV-003",IF(INDEX(tbl_recyclass[Conforme_Art7_2030],MATCH(A1887,tbl_recyclass[ProductId],0))="Sim","Conforme (meta 2030)",IF(INDEX(tbl_recyclass[Conforme_Art7_2030],MATCH(A1887,tbl_recyclass[ProductId],0))="Não","Lacuna face à meta 2030","Isento")),IF(B1887="EU-ENV-011",IF(INDEX(tbl_familias_ppwr[Metais_Pesados_Evidencia],MATCH(INDEX(tbl_recyclass[Familia_PPWR],MATCH(A1887,tbl_recyclass[ProductId],0)),tbl_familias_ppwr[ID_Familia],0))="Em falta","Lacuna","Conforme"),IF(B1887="EU-ENV-013",IF(INDEX(tbl_familias_ppwr[Declaracao_UE],MATCH(INDEX(tbl_recyclass[Familia_PPWR],MATCH(A1887,tbl_recyclass[ProductId],0)),tbl_familias_ppwr[ID_Familia],0))="Sim","Conforme","Lacuna"),G1887)))),G1887))</f>
        <v>Conforme</v>
      </c>
      <c r="I1887" s="33" t="str">
        <f t="shared" si="29"/>
        <v>Conforme</v>
      </c>
      <c r="J1887" s="26" t="s">
        <v>1244</v>
      </c>
    </row>
    <row r="1888" spans="1:10" ht="16.05" customHeight="1" x14ac:dyDescent="0.3">
      <c r="A1888" s="26" t="s">
        <v>809</v>
      </c>
      <c r="B1888" s="26" t="s">
        <v>1252</v>
      </c>
      <c r="C1888" s="33" t="str">
        <f>IFERROR(INDEX(tbl_requisitos_emb[Tema],MATCH(B1888,tbl_requisitos_emb[ID_Req],0)),"")</f>
        <v>Medicamentos de uso humano</v>
      </c>
      <c r="D1888" s="33" t="str">
        <f>IFERROR(INDEX(tbl_recyclass[Segmento],MATCH(A1888,tbl_recyclass[ProductId],0)),"")</f>
        <v>Cosmética e higiene pessoal</v>
      </c>
      <c r="E1888" s="26" t="s">
        <v>904</v>
      </c>
      <c r="F1888" s="26" t="s">
        <v>1451</v>
      </c>
      <c r="G1888" s="26" t="s">
        <v>1143</v>
      </c>
      <c r="H1888" s="33" t="str">
        <f>IF(E1888="Não","Não aplicável",IFERROR(IF(B1888="EU-ENV-002",IF(INDEX(tbl_recyclass[Conforme_PPWR_2030],MATCH(A1888,tbl_recyclass[ProductId],0))="Sim","Conforme (autoavaliação)",IF(INDEX(tbl_recyclass[Conforme_PPWR_2030],MATCH(A1888,tbl_recyclass[ProductId],0))="Não","Não conforme em 2030","Isento até 2035")),IF(B1888="EU-ENV-003",IF(INDEX(tbl_recyclass[Conforme_Art7_2030],MATCH(A1888,tbl_recyclass[ProductId],0))="Sim","Conforme (meta 2030)",IF(INDEX(tbl_recyclass[Conforme_Art7_2030],MATCH(A1888,tbl_recyclass[ProductId],0))="Não","Lacuna face à meta 2030","Isento")),IF(B1888="EU-ENV-011",IF(INDEX(tbl_familias_ppwr[Metais_Pesados_Evidencia],MATCH(INDEX(tbl_recyclass[Familia_PPWR],MATCH(A1888,tbl_recyclass[ProductId],0)),tbl_familias_ppwr[ID_Familia],0))="Em falta","Lacuna","Conforme"),IF(B1888="EU-ENV-013",IF(INDEX(tbl_familias_ppwr[Declaracao_UE],MATCH(INDEX(tbl_recyclass[Familia_PPWR],MATCH(A1888,tbl_recyclass[ProductId],0)),tbl_familias_ppwr[ID_Familia],0))="Sim","Conforme","Lacuna"),G1888)))),G1888))</f>
        <v>Não aplicável</v>
      </c>
      <c r="I1888" s="33" t="str">
        <f t="shared" si="29"/>
        <v>Não aplicável</v>
      </c>
      <c r="J1888" s="26"/>
    </row>
    <row r="1889" spans="1:10" ht="16.05" customHeight="1" x14ac:dyDescent="0.3">
      <c r="A1889" s="26" t="s">
        <v>809</v>
      </c>
      <c r="B1889" s="26" t="s">
        <v>1268</v>
      </c>
      <c r="C1889" s="33" t="str">
        <f>IFERROR(INDEX(tbl_requisitos_emb[Tema],MATCH(B1889,tbl_requisitos_emb[ID_Req],0)),"")</f>
        <v>Dispositivos de segurança</v>
      </c>
      <c r="D1889" s="33" t="str">
        <f>IFERROR(INDEX(tbl_recyclass[Segmento],MATCH(A1889,tbl_recyclass[ProductId],0)),"")</f>
        <v>Cosmética e higiene pessoal</v>
      </c>
      <c r="E1889" s="26" t="s">
        <v>904</v>
      </c>
      <c r="F1889" s="26" t="s">
        <v>1451</v>
      </c>
      <c r="G1889" s="26" t="s">
        <v>1143</v>
      </c>
      <c r="H1889" s="33" t="str">
        <f>IF(E1889="Não","Não aplicável",IFERROR(IF(B1889="EU-ENV-002",IF(INDEX(tbl_recyclass[Conforme_PPWR_2030],MATCH(A1889,tbl_recyclass[ProductId],0))="Sim","Conforme (autoavaliação)",IF(INDEX(tbl_recyclass[Conforme_PPWR_2030],MATCH(A1889,tbl_recyclass[ProductId],0))="Não","Não conforme em 2030","Isento até 2035")),IF(B1889="EU-ENV-003",IF(INDEX(tbl_recyclass[Conforme_Art7_2030],MATCH(A1889,tbl_recyclass[ProductId],0))="Sim","Conforme (meta 2030)",IF(INDEX(tbl_recyclass[Conforme_Art7_2030],MATCH(A1889,tbl_recyclass[ProductId],0))="Não","Lacuna face à meta 2030","Isento")),IF(B1889="EU-ENV-011",IF(INDEX(tbl_familias_ppwr[Metais_Pesados_Evidencia],MATCH(INDEX(tbl_recyclass[Familia_PPWR],MATCH(A1889,tbl_recyclass[ProductId],0)),tbl_familias_ppwr[ID_Familia],0))="Em falta","Lacuna","Conforme"),IF(B1889="EU-ENV-013",IF(INDEX(tbl_familias_ppwr[Declaracao_UE],MATCH(INDEX(tbl_recyclass[Familia_PPWR],MATCH(A1889,tbl_recyclass[ProductId],0)),tbl_familias_ppwr[ID_Familia],0))="Sim","Conforme","Lacuna"),G1889)))),G1889))</f>
        <v>Não aplicável</v>
      </c>
      <c r="I1889" s="33" t="str">
        <f t="shared" si="29"/>
        <v>Não aplicável</v>
      </c>
      <c r="J1889" s="26"/>
    </row>
    <row r="1890" spans="1:10" ht="16.05" customHeight="1" x14ac:dyDescent="0.3">
      <c r="A1890" s="26" t="s">
        <v>809</v>
      </c>
      <c r="B1890" s="26" t="s">
        <v>1285</v>
      </c>
      <c r="C1890" s="33" t="str">
        <f>IFERROR(INDEX(tbl_requisitos_emb[Tema],MATCH(B1890,tbl_requisitos_emb[ID_Req],0)),"")</f>
        <v>Materiais plásticos de acondicionamento primário</v>
      </c>
      <c r="D1890" s="33" t="str">
        <f>IFERROR(INDEX(tbl_recyclass[Segmento],MATCH(A1890,tbl_recyclass[ProductId],0)),"")</f>
        <v>Cosmética e higiene pessoal</v>
      </c>
      <c r="E1890" s="26" t="s">
        <v>904</v>
      </c>
      <c r="F1890" s="26" t="s">
        <v>1451</v>
      </c>
      <c r="G1890" s="26" t="s">
        <v>1143</v>
      </c>
      <c r="H1890" s="33" t="str">
        <f>IF(E1890="Não","Não aplicável",IFERROR(IF(B1890="EU-ENV-002",IF(INDEX(tbl_recyclass[Conforme_PPWR_2030],MATCH(A1890,tbl_recyclass[ProductId],0))="Sim","Conforme (autoavaliação)",IF(INDEX(tbl_recyclass[Conforme_PPWR_2030],MATCH(A1890,tbl_recyclass[ProductId],0))="Não","Não conforme em 2030","Isento até 2035")),IF(B1890="EU-ENV-003",IF(INDEX(tbl_recyclass[Conforme_Art7_2030],MATCH(A1890,tbl_recyclass[ProductId],0))="Sim","Conforme (meta 2030)",IF(INDEX(tbl_recyclass[Conforme_Art7_2030],MATCH(A1890,tbl_recyclass[ProductId],0))="Não","Lacuna face à meta 2030","Isento")),IF(B1890="EU-ENV-011",IF(INDEX(tbl_familias_ppwr[Metais_Pesados_Evidencia],MATCH(INDEX(tbl_recyclass[Familia_PPWR],MATCH(A1890,tbl_recyclass[ProductId],0)),tbl_familias_ppwr[ID_Familia],0))="Em falta","Lacuna","Conforme"),IF(B1890="EU-ENV-013",IF(INDEX(tbl_familias_ppwr[Declaracao_UE],MATCH(INDEX(tbl_recyclass[Familia_PPWR],MATCH(A1890,tbl_recyclass[ProductId],0)),tbl_familias_ppwr[ID_Familia],0))="Sim","Conforme","Lacuna"),G1890)))),G1890))</f>
        <v>Não aplicável</v>
      </c>
      <c r="I1890" s="33" t="str">
        <f t="shared" si="29"/>
        <v>Não aplicável</v>
      </c>
      <c r="J1890" s="26"/>
    </row>
    <row r="1891" spans="1:10" ht="16.05" customHeight="1" x14ac:dyDescent="0.3">
      <c r="A1891" s="26" t="s">
        <v>809</v>
      </c>
      <c r="B1891" s="26" t="s">
        <v>1293</v>
      </c>
      <c r="C1891" s="33" t="str">
        <f>IFERROR(INDEX(tbl_requisitos_emb[Tema],MATCH(B1891,tbl_requisitos_emb[ID_Req],0)),"")</f>
        <v>Isenções PPWR</v>
      </c>
      <c r="D1891" s="33" t="str">
        <f>IFERROR(INDEX(tbl_recyclass[Segmento],MATCH(A1891,tbl_recyclass[ProductId],0)),"")</f>
        <v>Cosmética e higiene pessoal</v>
      </c>
      <c r="E1891" s="26" t="s">
        <v>904</v>
      </c>
      <c r="F1891" s="26" t="s">
        <v>1451</v>
      </c>
      <c r="G1891" s="26" t="s">
        <v>1143</v>
      </c>
      <c r="H1891" s="33" t="str">
        <f>IF(E1891="Não","Não aplicável",IFERROR(IF(B1891="EU-ENV-002",IF(INDEX(tbl_recyclass[Conforme_PPWR_2030],MATCH(A1891,tbl_recyclass[ProductId],0))="Sim","Conforme (autoavaliação)",IF(INDEX(tbl_recyclass[Conforme_PPWR_2030],MATCH(A1891,tbl_recyclass[ProductId],0))="Não","Não conforme em 2030","Isento até 2035")),IF(B1891="EU-ENV-003",IF(INDEX(tbl_recyclass[Conforme_Art7_2030],MATCH(A1891,tbl_recyclass[ProductId],0))="Sim","Conforme (meta 2030)",IF(INDEX(tbl_recyclass[Conforme_Art7_2030],MATCH(A1891,tbl_recyclass[ProductId],0))="Não","Lacuna face à meta 2030","Isento")),IF(B1891="EU-ENV-011",IF(INDEX(tbl_familias_ppwr[Metais_Pesados_Evidencia],MATCH(INDEX(tbl_recyclass[Familia_PPWR],MATCH(A1891,tbl_recyclass[ProductId],0)),tbl_familias_ppwr[ID_Familia],0))="Em falta","Lacuna","Conforme"),IF(B1891="EU-ENV-013",IF(INDEX(tbl_familias_ppwr[Declaracao_UE],MATCH(INDEX(tbl_recyclass[Familia_PPWR],MATCH(A1891,tbl_recyclass[ProductId],0)),tbl_familias_ppwr[ID_Familia],0))="Sim","Conforme","Lacuna"),G1891)))),G1891))</f>
        <v>Não aplicável</v>
      </c>
      <c r="I1891" s="33" t="str">
        <f t="shared" si="29"/>
        <v>Não aplicável</v>
      </c>
      <c r="J1891" s="26"/>
    </row>
    <row r="1892" spans="1:10" ht="16.05" customHeight="1" x14ac:dyDescent="0.3">
      <c r="A1892" s="26" t="s">
        <v>809</v>
      </c>
      <c r="B1892" s="26" t="s">
        <v>1357</v>
      </c>
      <c r="C1892" s="33" t="str">
        <f>IFERROR(INDEX(tbl_requisitos_emb[Tema],MATCH(B1892,tbl_requisitos_emb[ID_Req],0)),"")</f>
        <v>Identificação de plásticos</v>
      </c>
      <c r="D1892" s="33" t="str">
        <f>IFERROR(INDEX(tbl_recyclass[Segmento],MATCH(A1892,tbl_recyclass[ProductId],0)),"")</f>
        <v>Cosmética e higiene pessoal</v>
      </c>
      <c r="E1892" s="26" t="s">
        <v>901</v>
      </c>
      <c r="F1892" s="26" t="s">
        <v>1449</v>
      </c>
      <c r="G1892" s="26" t="s">
        <v>978</v>
      </c>
      <c r="H1892" s="33" t="str">
        <f>IF(E1892="Não","Não aplicável",IFERROR(IF(B1892="EU-ENV-002",IF(INDEX(tbl_recyclass[Conforme_PPWR_2030],MATCH(A1892,tbl_recyclass[ProductId],0))="Sim","Conforme (autoavaliação)",IF(INDEX(tbl_recyclass[Conforme_PPWR_2030],MATCH(A1892,tbl_recyclass[ProductId],0))="Não","Não conforme em 2030","Isento até 2035")),IF(B1892="EU-ENV-003",IF(INDEX(tbl_recyclass[Conforme_Art7_2030],MATCH(A1892,tbl_recyclass[ProductId],0))="Sim","Conforme (meta 2030)",IF(INDEX(tbl_recyclass[Conforme_Art7_2030],MATCH(A1892,tbl_recyclass[ProductId],0))="Não","Lacuna face à meta 2030","Isento")),IF(B1892="EU-ENV-011",IF(INDEX(tbl_familias_ppwr[Metais_Pesados_Evidencia],MATCH(INDEX(tbl_recyclass[Familia_PPWR],MATCH(A1892,tbl_recyclass[ProductId],0)),tbl_familias_ppwr[ID_Familia],0))="Em falta","Lacuna","Conforme"),IF(B1892="EU-ENV-013",IF(INDEX(tbl_familias_ppwr[Declaracao_UE],MATCH(INDEX(tbl_recyclass[Familia_PPWR],MATCH(A1892,tbl_recyclass[ProductId],0)),tbl_familias_ppwr[ID_Familia],0))="Sim","Conforme","Lacuna"),G1892)))),G1892))</f>
        <v>Parcial</v>
      </c>
      <c r="I1892" s="33" t="str">
        <f t="shared" si="29"/>
        <v>Parcial</v>
      </c>
      <c r="J1892" s="26" t="s">
        <v>1362</v>
      </c>
    </row>
    <row r="1893" spans="1:10" ht="16.05" customHeight="1" x14ac:dyDescent="0.3">
      <c r="A1893" s="26" t="s">
        <v>809</v>
      </c>
      <c r="B1893" s="26" t="s">
        <v>1385</v>
      </c>
      <c r="C1893" s="33" t="str">
        <f>IFERROR(INDEX(tbl_requisitos_emb[Tema],MATCH(B1893,tbl_requisitos_emb[ID_Req],0)),"")</f>
        <v>Reciclabilidade (voluntária)</v>
      </c>
      <c r="D1893" s="33" t="str">
        <f>IFERROR(INDEX(tbl_recyclass[Segmento],MATCH(A1893,tbl_recyclass[ProductId],0)),"")</f>
        <v>Cosmética e higiene pessoal</v>
      </c>
      <c r="E1893" s="26" t="s">
        <v>901</v>
      </c>
      <c r="F1893" s="26" t="s">
        <v>1449</v>
      </c>
      <c r="G1893" s="26" t="s">
        <v>978</v>
      </c>
      <c r="H1893" s="33" t="str">
        <f>IF(E1893="Não","Não aplicável",IFERROR(IF(B1893="EU-ENV-002",IF(INDEX(tbl_recyclass[Conforme_PPWR_2030],MATCH(A1893,tbl_recyclass[ProductId],0))="Sim","Conforme (autoavaliação)",IF(INDEX(tbl_recyclass[Conforme_PPWR_2030],MATCH(A1893,tbl_recyclass[ProductId],0))="Não","Não conforme em 2030","Isento até 2035")),IF(B1893="EU-ENV-003",IF(INDEX(tbl_recyclass[Conforme_Art7_2030],MATCH(A1893,tbl_recyclass[ProductId],0))="Sim","Conforme (meta 2030)",IF(INDEX(tbl_recyclass[Conforme_Art7_2030],MATCH(A1893,tbl_recyclass[ProductId],0))="Não","Lacuna face à meta 2030","Isento")),IF(B1893="EU-ENV-011",IF(INDEX(tbl_familias_ppwr[Metais_Pesados_Evidencia],MATCH(INDEX(tbl_recyclass[Familia_PPWR],MATCH(A1893,tbl_recyclass[ProductId],0)),tbl_familias_ppwr[ID_Familia],0))="Em falta","Lacuna","Conforme"),IF(B1893="EU-ENV-013",IF(INDEX(tbl_familias_ppwr[Declaracao_UE],MATCH(INDEX(tbl_recyclass[Familia_PPWR],MATCH(A1893,tbl_recyclass[ProductId],0)),tbl_familias_ppwr[ID_Familia],0))="Sim","Conforme","Lacuna"),G1893)))),G1893))</f>
        <v>Parcial</v>
      </c>
      <c r="I1893" s="33" t="str">
        <f t="shared" si="29"/>
        <v>Parcial</v>
      </c>
      <c r="J1893" s="26" t="s">
        <v>1389</v>
      </c>
    </row>
    <row r="1894" spans="1:10" ht="16.05" customHeight="1" x14ac:dyDescent="0.3">
      <c r="A1894" s="26" t="s">
        <v>812</v>
      </c>
      <c r="B1894" s="26" t="s">
        <v>984</v>
      </c>
      <c r="C1894" s="33" t="str">
        <f>IFERROR(INDEX(tbl_requisitos_emb[Tema],MATCH(B1894,tbl_requisitos_emb[ID_Req],0)),"")</f>
        <v>Conceção para reciclagem</v>
      </c>
      <c r="D1894" s="33" t="str">
        <f>IFERROR(INDEX(tbl_recyclass[Segmento],MATCH(A1894,tbl_recyclass[ProductId],0)),"")</f>
        <v>Cosmética e higiene pessoal</v>
      </c>
      <c r="E1894" s="26" t="s">
        <v>901</v>
      </c>
      <c r="F1894" s="26" t="s">
        <v>1449</v>
      </c>
      <c r="G1894" s="26" t="s">
        <v>978</v>
      </c>
      <c r="H1894" s="33" t="str">
        <f>IF(E1894="Não","Não aplicável",IFERROR(IF(B1894="EU-ENV-002",IF(INDEX(tbl_recyclass[Conforme_PPWR_2030],MATCH(A1894,tbl_recyclass[ProductId],0))="Sim","Conforme (autoavaliação)",IF(INDEX(tbl_recyclass[Conforme_PPWR_2030],MATCH(A1894,tbl_recyclass[ProductId],0))="Não","Não conforme em 2030","Isento até 2035")),IF(B1894="EU-ENV-003",IF(INDEX(tbl_recyclass[Conforme_Art7_2030],MATCH(A1894,tbl_recyclass[ProductId],0))="Sim","Conforme (meta 2030)",IF(INDEX(tbl_recyclass[Conforme_Art7_2030],MATCH(A1894,tbl_recyclass[ProductId],0))="Não","Lacuna face à meta 2030","Isento")),IF(B1894="EU-ENV-011",IF(INDEX(tbl_familias_ppwr[Metais_Pesados_Evidencia],MATCH(INDEX(tbl_recyclass[Familia_PPWR],MATCH(A1894,tbl_recyclass[ProductId],0)),tbl_familias_ppwr[ID_Familia],0))="Em falta","Lacuna","Conforme"),IF(B1894="EU-ENV-013",IF(INDEX(tbl_familias_ppwr[Declaracao_UE],MATCH(INDEX(tbl_recyclass[Familia_PPWR],MATCH(A1894,tbl_recyclass[ProductId],0)),tbl_familias_ppwr[ID_Familia],0))="Sim","Conforme","Lacuna"),G1894)))),G1894))</f>
        <v>Não conforme em 2030</v>
      </c>
      <c r="I1894" s="33" t="str">
        <f t="shared" si="29"/>
        <v>Não conforme</v>
      </c>
      <c r="J1894" s="26" t="s">
        <v>991</v>
      </c>
    </row>
    <row r="1895" spans="1:10" ht="16.05" customHeight="1" x14ac:dyDescent="0.3">
      <c r="A1895" s="26" t="s">
        <v>812</v>
      </c>
      <c r="B1895" s="26" t="s">
        <v>997</v>
      </c>
      <c r="C1895" s="33" t="str">
        <f>IFERROR(INDEX(tbl_requisitos_emb[Tema],MATCH(B1895,tbl_requisitos_emb[ID_Req],0)),"")</f>
        <v>Conteúdo reciclado</v>
      </c>
      <c r="D1895" s="33" t="str">
        <f>IFERROR(INDEX(tbl_recyclass[Segmento],MATCH(A1895,tbl_recyclass[ProductId],0)),"")</f>
        <v>Cosmética e higiene pessoal</v>
      </c>
      <c r="E1895" s="26" t="s">
        <v>901</v>
      </c>
      <c r="F1895" s="26" t="s">
        <v>1449</v>
      </c>
      <c r="G1895" s="26" t="s">
        <v>978</v>
      </c>
      <c r="H1895" s="33" t="str">
        <f>IF(E1895="Não","Não aplicável",IFERROR(IF(B1895="EU-ENV-002",IF(INDEX(tbl_recyclass[Conforme_PPWR_2030],MATCH(A1895,tbl_recyclass[ProductId],0))="Sim","Conforme (autoavaliação)",IF(INDEX(tbl_recyclass[Conforme_PPWR_2030],MATCH(A1895,tbl_recyclass[ProductId],0))="Não","Não conforme em 2030","Isento até 2035")),IF(B1895="EU-ENV-003",IF(INDEX(tbl_recyclass[Conforme_Art7_2030],MATCH(A1895,tbl_recyclass[ProductId],0))="Sim","Conforme (meta 2030)",IF(INDEX(tbl_recyclass[Conforme_Art7_2030],MATCH(A1895,tbl_recyclass[ProductId],0))="Não","Lacuna face à meta 2030","Isento")),IF(B1895="EU-ENV-011",IF(INDEX(tbl_familias_ppwr[Metais_Pesados_Evidencia],MATCH(INDEX(tbl_recyclass[Familia_PPWR],MATCH(A1895,tbl_recyclass[ProductId],0)),tbl_familias_ppwr[ID_Familia],0))="Em falta","Lacuna","Conforme"),IF(B1895="EU-ENV-013",IF(INDEX(tbl_familias_ppwr[Declaracao_UE],MATCH(INDEX(tbl_recyclass[Familia_PPWR],MATCH(A1895,tbl_recyclass[ProductId],0)),tbl_familias_ppwr[ID_Familia],0))="Sim","Conforme","Lacuna"),G1895)))),G1895))</f>
        <v>Lacuna face à meta 2030</v>
      </c>
      <c r="I1895" s="33" t="str">
        <f t="shared" si="29"/>
        <v>Lacuna</v>
      </c>
      <c r="J1895" s="26" t="s">
        <v>1001</v>
      </c>
    </row>
    <row r="1896" spans="1:10" ht="16.05" customHeight="1" x14ac:dyDescent="0.3">
      <c r="A1896" s="26" t="s">
        <v>812</v>
      </c>
      <c r="B1896" s="26" t="s">
        <v>1007</v>
      </c>
      <c r="C1896" s="33" t="str">
        <f>IFERROR(INDEX(tbl_requisitos_emb[Tema],MATCH(B1896,tbl_requisitos_emb[ID_Req],0)),"")</f>
        <v>Minimização</v>
      </c>
      <c r="D1896" s="33" t="str">
        <f>IFERROR(INDEX(tbl_recyclass[Segmento],MATCH(A1896,tbl_recyclass[ProductId],0)),"")</f>
        <v>Cosmética e higiene pessoal</v>
      </c>
      <c r="E1896" s="26" t="s">
        <v>901</v>
      </c>
      <c r="F1896" s="26" t="s">
        <v>1449</v>
      </c>
      <c r="G1896" s="26" t="s">
        <v>978</v>
      </c>
      <c r="H1896" s="33" t="str">
        <f>IF(E1896="Não","Não aplicável",IFERROR(IF(B1896="EU-ENV-002",IF(INDEX(tbl_recyclass[Conforme_PPWR_2030],MATCH(A1896,tbl_recyclass[ProductId],0))="Sim","Conforme (autoavaliação)",IF(INDEX(tbl_recyclass[Conforme_PPWR_2030],MATCH(A1896,tbl_recyclass[ProductId],0))="Não","Não conforme em 2030","Isento até 2035")),IF(B1896="EU-ENV-003",IF(INDEX(tbl_recyclass[Conforme_Art7_2030],MATCH(A1896,tbl_recyclass[ProductId],0))="Sim","Conforme (meta 2030)",IF(INDEX(tbl_recyclass[Conforme_Art7_2030],MATCH(A1896,tbl_recyclass[ProductId],0))="Não","Lacuna face à meta 2030","Isento")),IF(B1896="EU-ENV-011",IF(INDEX(tbl_familias_ppwr[Metais_Pesados_Evidencia],MATCH(INDEX(tbl_recyclass[Familia_PPWR],MATCH(A1896,tbl_recyclass[ProductId],0)),tbl_familias_ppwr[ID_Familia],0))="Em falta","Lacuna","Conforme"),IF(B1896="EU-ENV-013",IF(INDEX(tbl_familias_ppwr[Declaracao_UE],MATCH(INDEX(tbl_recyclass[Familia_PPWR],MATCH(A1896,tbl_recyclass[ProductId],0)),tbl_familias_ppwr[ID_Familia],0))="Sim","Conforme","Lacuna"),G1896)))),G1896))</f>
        <v>Parcial</v>
      </c>
      <c r="I1896" s="33" t="str">
        <f t="shared" si="29"/>
        <v>Parcial</v>
      </c>
      <c r="J1896" s="26" t="s">
        <v>1012</v>
      </c>
    </row>
    <row r="1897" spans="1:10" ht="16.05" customHeight="1" x14ac:dyDescent="0.3">
      <c r="A1897" s="26" t="s">
        <v>812</v>
      </c>
      <c r="B1897" s="26" t="s">
        <v>1016</v>
      </c>
      <c r="C1897" s="33" t="str">
        <f>IFERROR(INDEX(tbl_requisitos_emb[Tema],MATCH(B1897,tbl_requisitos_emb[ID_Req],0)),"")</f>
        <v>Rotulagem</v>
      </c>
      <c r="D1897" s="33" t="str">
        <f>IFERROR(INDEX(tbl_recyclass[Segmento],MATCH(A1897,tbl_recyclass[ProductId],0)),"")</f>
        <v>Cosmética e higiene pessoal</v>
      </c>
      <c r="E1897" s="26" t="s">
        <v>901</v>
      </c>
      <c r="F1897" s="26" t="s">
        <v>1449</v>
      </c>
      <c r="G1897" s="26" t="s">
        <v>990</v>
      </c>
      <c r="H1897" s="33" t="str">
        <f>IF(E1897="Não","Não aplicável",IFERROR(IF(B1897="EU-ENV-002",IF(INDEX(tbl_recyclass[Conforme_PPWR_2030],MATCH(A1897,tbl_recyclass[ProductId],0))="Sim","Conforme (autoavaliação)",IF(INDEX(tbl_recyclass[Conforme_PPWR_2030],MATCH(A1897,tbl_recyclass[ProductId],0))="Não","Não conforme em 2030","Isento até 2035")),IF(B1897="EU-ENV-003",IF(INDEX(tbl_recyclass[Conforme_Art7_2030],MATCH(A1897,tbl_recyclass[ProductId],0))="Sim","Conforme (meta 2030)",IF(INDEX(tbl_recyclass[Conforme_Art7_2030],MATCH(A1897,tbl_recyclass[ProductId],0))="Não","Lacuna face à meta 2030","Isento")),IF(B1897="EU-ENV-011",IF(INDEX(tbl_familias_ppwr[Metais_Pesados_Evidencia],MATCH(INDEX(tbl_recyclass[Familia_PPWR],MATCH(A1897,tbl_recyclass[ProductId],0)),tbl_familias_ppwr[ID_Familia],0))="Em falta","Lacuna","Conforme"),IF(B1897="EU-ENV-013",IF(INDEX(tbl_familias_ppwr[Declaracao_UE],MATCH(INDEX(tbl_recyclass[Familia_PPWR],MATCH(A1897,tbl_recyclass[ProductId],0)),tbl_familias_ppwr[ID_Familia],0))="Sim","Conforme","Lacuna"),G1897)))),G1897))</f>
        <v>Futuro</v>
      </c>
      <c r="I1897" s="33" t="str">
        <f t="shared" si="29"/>
        <v>Futuro</v>
      </c>
      <c r="J1897" s="26" t="s">
        <v>1021</v>
      </c>
    </row>
    <row r="1898" spans="1:10" ht="16.05" customHeight="1" x14ac:dyDescent="0.3">
      <c r="A1898" s="26" t="s">
        <v>812</v>
      </c>
      <c r="B1898" s="26" t="s">
        <v>1038</v>
      </c>
      <c r="C1898" s="33" t="str">
        <f>IFERROR(INDEX(tbl_requisitos_emb[Tema],MATCH(B1898,tbl_requisitos_emb[ID_Req],0)),"")</f>
        <v>Plásticos de utilização única</v>
      </c>
      <c r="D1898" s="33" t="str">
        <f>IFERROR(INDEX(tbl_recyclass[Segmento],MATCH(A1898,tbl_recyclass[ProductId],0)),"")</f>
        <v>Cosmética e higiene pessoal</v>
      </c>
      <c r="E1898" s="26" t="s">
        <v>904</v>
      </c>
      <c r="F1898" s="26" t="s">
        <v>1450</v>
      </c>
      <c r="G1898" s="26" t="s">
        <v>1143</v>
      </c>
      <c r="H1898" s="33" t="str">
        <f>IF(E1898="Não","Não aplicável",IFERROR(IF(B1898="EU-ENV-002",IF(INDEX(tbl_recyclass[Conforme_PPWR_2030],MATCH(A1898,tbl_recyclass[ProductId],0))="Sim","Conforme (autoavaliação)",IF(INDEX(tbl_recyclass[Conforme_PPWR_2030],MATCH(A1898,tbl_recyclass[ProductId],0))="Não","Não conforme em 2030","Isento até 2035")),IF(B1898="EU-ENV-003",IF(INDEX(tbl_recyclass[Conforme_Art7_2030],MATCH(A1898,tbl_recyclass[ProductId],0))="Sim","Conforme (meta 2030)",IF(INDEX(tbl_recyclass[Conforme_Art7_2030],MATCH(A1898,tbl_recyclass[ProductId],0))="Não","Lacuna face à meta 2030","Isento")),IF(B1898="EU-ENV-011",IF(INDEX(tbl_familias_ppwr[Metais_Pesados_Evidencia],MATCH(INDEX(tbl_recyclass[Familia_PPWR],MATCH(A1898,tbl_recyclass[ProductId],0)),tbl_familias_ppwr[ID_Familia],0))="Em falta","Lacuna","Conforme"),IF(B1898="EU-ENV-013",IF(INDEX(tbl_familias_ppwr[Declaracao_UE],MATCH(INDEX(tbl_recyclass[Familia_PPWR],MATCH(A1898,tbl_recyclass[ProductId],0)),tbl_familias_ppwr[ID_Familia],0))="Sim","Conforme","Lacuna"),G1898)))),G1898))</f>
        <v>Não aplicável</v>
      </c>
      <c r="I1898" s="33" t="str">
        <f t="shared" si="29"/>
        <v>Não aplicável</v>
      </c>
      <c r="J1898" s="26"/>
    </row>
    <row r="1899" spans="1:10" ht="16.05" customHeight="1" x14ac:dyDescent="0.3">
      <c r="A1899" s="26" t="s">
        <v>812</v>
      </c>
      <c r="B1899" s="26" t="s">
        <v>1078</v>
      </c>
      <c r="C1899" s="33" t="str">
        <f>IFERROR(INDEX(tbl_requisitos_emb[Tema],MATCH(B1899,tbl_requisitos_emb[ID_Req],0)),"")</f>
        <v>Reciclado à escala</v>
      </c>
      <c r="D1899" s="33" t="str">
        <f>IFERROR(INDEX(tbl_recyclass[Segmento],MATCH(A1899,tbl_recyclass[ProductId],0)),"")</f>
        <v>Cosmética e higiene pessoal</v>
      </c>
      <c r="E1899" s="26" t="s">
        <v>901</v>
      </c>
      <c r="F1899" s="26" t="s">
        <v>1449</v>
      </c>
      <c r="G1899" s="26" t="s">
        <v>990</v>
      </c>
      <c r="H1899" s="33" t="str">
        <f>IF(E1899="Não","Não aplicável",IFERROR(IF(B1899="EU-ENV-002",IF(INDEX(tbl_recyclass[Conforme_PPWR_2030],MATCH(A1899,tbl_recyclass[ProductId],0))="Sim","Conforme (autoavaliação)",IF(INDEX(tbl_recyclass[Conforme_PPWR_2030],MATCH(A1899,tbl_recyclass[ProductId],0))="Não","Não conforme em 2030","Isento até 2035")),IF(B1899="EU-ENV-003",IF(INDEX(tbl_recyclass[Conforme_Art7_2030],MATCH(A1899,tbl_recyclass[ProductId],0))="Sim","Conforme (meta 2030)",IF(INDEX(tbl_recyclass[Conforme_Art7_2030],MATCH(A1899,tbl_recyclass[ProductId],0))="Não","Lacuna face à meta 2030","Isento")),IF(B1899="EU-ENV-011",IF(INDEX(tbl_familias_ppwr[Metais_Pesados_Evidencia],MATCH(INDEX(tbl_recyclass[Familia_PPWR],MATCH(A1899,tbl_recyclass[ProductId],0)),tbl_familias_ppwr[ID_Familia],0))="Em falta","Lacuna","Conforme"),IF(B1899="EU-ENV-013",IF(INDEX(tbl_familias_ppwr[Declaracao_UE],MATCH(INDEX(tbl_recyclass[Familia_PPWR],MATCH(A1899,tbl_recyclass[ProductId],0)),tbl_familias_ppwr[ID_Familia],0))="Sim","Conforme","Lacuna"),G1899)))),G1899))</f>
        <v>Futuro</v>
      </c>
      <c r="I1899" s="33" t="str">
        <f t="shared" si="29"/>
        <v>Futuro</v>
      </c>
      <c r="J1899" s="26" t="s">
        <v>1082</v>
      </c>
    </row>
    <row r="1900" spans="1:10" ht="16.05" customHeight="1" x14ac:dyDescent="0.3">
      <c r="A1900" s="26" t="s">
        <v>812</v>
      </c>
      <c r="B1900" s="26" t="s">
        <v>1086</v>
      </c>
      <c r="C1900" s="33" t="str">
        <f>IFERROR(INDEX(tbl_requisitos_emb[Tema],MATCH(B1900,tbl_requisitos_emb[ID_Req],0)),"")</f>
        <v>Metais pesados</v>
      </c>
      <c r="D1900" s="33" t="str">
        <f>IFERROR(INDEX(tbl_recyclass[Segmento],MATCH(A1900,tbl_recyclass[ProductId],0)),"")</f>
        <v>Cosmética e higiene pessoal</v>
      </c>
      <c r="E1900" s="26" t="s">
        <v>901</v>
      </c>
      <c r="F1900" s="26" t="s">
        <v>1449</v>
      </c>
      <c r="G1900" s="26" t="s">
        <v>978</v>
      </c>
      <c r="H1900" s="33" t="str">
        <f>IF(E1900="Não","Não aplicável",IFERROR(IF(B1900="EU-ENV-002",IF(INDEX(tbl_recyclass[Conforme_PPWR_2030],MATCH(A1900,tbl_recyclass[ProductId],0))="Sim","Conforme (autoavaliação)",IF(INDEX(tbl_recyclass[Conforme_PPWR_2030],MATCH(A1900,tbl_recyclass[ProductId],0))="Não","Não conforme em 2030","Isento até 2035")),IF(B1900="EU-ENV-003",IF(INDEX(tbl_recyclass[Conforme_Art7_2030],MATCH(A1900,tbl_recyclass[ProductId],0))="Sim","Conforme (meta 2030)",IF(INDEX(tbl_recyclass[Conforme_Art7_2030],MATCH(A1900,tbl_recyclass[ProductId],0))="Não","Lacuna face à meta 2030","Isento")),IF(B1900="EU-ENV-011",IF(INDEX(tbl_familias_ppwr[Metais_Pesados_Evidencia],MATCH(INDEX(tbl_recyclass[Familia_PPWR],MATCH(A1900,tbl_recyclass[ProductId],0)),tbl_familias_ppwr[ID_Familia],0))="Em falta","Lacuna","Conforme"),IF(B1900="EU-ENV-013",IF(INDEX(tbl_familias_ppwr[Declaracao_UE],MATCH(INDEX(tbl_recyclass[Familia_PPWR],MATCH(A1900,tbl_recyclass[ProductId],0)),tbl_familias_ppwr[ID_Familia],0))="Sim","Conforme","Lacuna"),G1900)))),G1900))</f>
        <v>Lacuna</v>
      </c>
      <c r="I1900" s="33" t="str">
        <f t="shared" si="29"/>
        <v>Lacuna</v>
      </c>
      <c r="J1900" s="26" t="s">
        <v>1090</v>
      </c>
    </row>
    <row r="1901" spans="1:10" ht="16.05" customHeight="1" x14ac:dyDescent="0.3">
      <c r="A1901" s="26" t="s">
        <v>812</v>
      </c>
      <c r="B1901" s="26" t="s">
        <v>1094</v>
      </c>
      <c r="C1901" s="33" t="str">
        <f>IFERROR(INDEX(tbl_requisitos_emb[Tema],MATCH(B1901,tbl_requisitos_emb[ID_Req],0)),"")</f>
        <v>PFAS</v>
      </c>
      <c r="D1901" s="33" t="str">
        <f>IFERROR(INDEX(tbl_recyclass[Segmento],MATCH(A1901,tbl_recyclass[ProductId],0)),"")</f>
        <v>Cosmética e higiene pessoal</v>
      </c>
      <c r="E1901" s="26" t="s">
        <v>904</v>
      </c>
      <c r="F1901" s="26" t="s">
        <v>1450</v>
      </c>
      <c r="G1901" s="26" t="s">
        <v>1143</v>
      </c>
      <c r="H1901" s="33" t="str">
        <f>IF(E1901="Não","Não aplicável",IFERROR(IF(B1901="EU-ENV-002",IF(INDEX(tbl_recyclass[Conforme_PPWR_2030],MATCH(A1901,tbl_recyclass[ProductId],0))="Sim","Conforme (autoavaliação)",IF(INDEX(tbl_recyclass[Conforme_PPWR_2030],MATCH(A1901,tbl_recyclass[ProductId],0))="Não","Não conforme em 2030","Isento até 2035")),IF(B1901="EU-ENV-003",IF(INDEX(tbl_recyclass[Conforme_Art7_2030],MATCH(A1901,tbl_recyclass[ProductId],0))="Sim","Conforme (meta 2030)",IF(INDEX(tbl_recyclass[Conforme_Art7_2030],MATCH(A1901,tbl_recyclass[ProductId],0))="Não","Lacuna face à meta 2030","Isento")),IF(B1901="EU-ENV-011",IF(INDEX(tbl_familias_ppwr[Metais_Pesados_Evidencia],MATCH(INDEX(tbl_recyclass[Familia_PPWR],MATCH(A1901,tbl_recyclass[ProductId],0)),tbl_familias_ppwr[ID_Familia],0))="Em falta","Lacuna","Conforme"),IF(B1901="EU-ENV-013",IF(INDEX(tbl_familias_ppwr[Declaracao_UE],MATCH(INDEX(tbl_recyclass[Familia_PPWR],MATCH(A1901,tbl_recyclass[ProductId],0)),tbl_familias_ppwr[ID_Familia],0))="Sim","Conforme","Lacuna"),G1901)))),G1901))</f>
        <v>Não aplicável</v>
      </c>
      <c r="I1901" s="33" t="str">
        <f t="shared" si="29"/>
        <v>Não aplicável</v>
      </c>
      <c r="J1901" s="26"/>
    </row>
    <row r="1902" spans="1:10" ht="16.05" customHeight="1" x14ac:dyDescent="0.3">
      <c r="A1902" s="26" t="s">
        <v>812</v>
      </c>
      <c r="B1902" s="26" t="s">
        <v>1102</v>
      </c>
      <c r="C1902" s="33" t="str">
        <f>IFERROR(INDEX(tbl_requisitos_emb[Tema],MATCH(B1902,tbl_requisitos_emb[ID_Req],0)),"")</f>
        <v>Documentação técnica e declaração UE</v>
      </c>
      <c r="D1902" s="33" t="str">
        <f>IFERROR(INDEX(tbl_recyclass[Segmento],MATCH(A1902,tbl_recyclass[ProductId],0)),"")</f>
        <v>Cosmética e higiene pessoal</v>
      </c>
      <c r="E1902" s="26" t="s">
        <v>901</v>
      </c>
      <c r="F1902" s="26" t="s">
        <v>1449</v>
      </c>
      <c r="G1902" s="26" t="s">
        <v>978</v>
      </c>
      <c r="H1902" s="33" t="str">
        <f>IF(E1902="Não","Não aplicável",IFERROR(IF(B1902="EU-ENV-002",IF(INDEX(tbl_recyclass[Conforme_PPWR_2030],MATCH(A1902,tbl_recyclass[ProductId],0))="Sim","Conforme (autoavaliação)",IF(INDEX(tbl_recyclass[Conforme_PPWR_2030],MATCH(A1902,tbl_recyclass[ProductId],0))="Não","Não conforme em 2030","Isento até 2035")),IF(B1902="EU-ENV-003",IF(INDEX(tbl_recyclass[Conforme_Art7_2030],MATCH(A1902,tbl_recyclass[ProductId],0))="Sim","Conforme (meta 2030)",IF(INDEX(tbl_recyclass[Conforme_Art7_2030],MATCH(A1902,tbl_recyclass[ProductId],0))="Não","Lacuna face à meta 2030","Isento")),IF(B1902="EU-ENV-011",IF(INDEX(tbl_familias_ppwr[Metais_Pesados_Evidencia],MATCH(INDEX(tbl_recyclass[Familia_PPWR],MATCH(A1902,tbl_recyclass[ProductId],0)),tbl_familias_ppwr[ID_Familia],0))="Em falta","Lacuna","Conforme"),IF(B1902="EU-ENV-013",IF(INDEX(tbl_familias_ppwr[Declaracao_UE],MATCH(INDEX(tbl_recyclass[Familia_PPWR],MATCH(A1902,tbl_recyclass[ProductId],0)),tbl_familias_ppwr[ID_Familia],0))="Sim","Conforme","Lacuna"),G1902)))),G1902))</f>
        <v>Lacuna</v>
      </c>
      <c r="I1902" s="33" t="str">
        <f t="shared" si="29"/>
        <v>Lacuna</v>
      </c>
      <c r="J1902" s="26" t="s">
        <v>1106</v>
      </c>
    </row>
    <row r="1903" spans="1:10" ht="16.05" customHeight="1" x14ac:dyDescent="0.3">
      <c r="A1903" s="26" t="s">
        <v>812</v>
      </c>
      <c r="B1903" s="26" t="s">
        <v>1161</v>
      </c>
      <c r="C1903" s="33" t="str">
        <f>IFERROR(INDEX(tbl_requisitos_emb[Tema],MATCH(B1903,tbl_requisitos_emb[ID_Req],0)),"")</f>
        <v>Materiais em contacto com alimentos</v>
      </c>
      <c r="D1903" s="33" t="str">
        <f>IFERROR(INDEX(tbl_recyclass[Segmento],MATCH(A1903,tbl_recyclass[ProductId],0)),"")</f>
        <v>Cosmética e higiene pessoal</v>
      </c>
      <c r="E1903" s="26" t="s">
        <v>904</v>
      </c>
      <c r="F1903" s="26" t="s">
        <v>1450</v>
      </c>
      <c r="G1903" s="26" t="s">
        <v>1143</v>
      </c>
      <c r="H1903" s="33" t="str">
        <f>IF(E1903="Não","Não aplicável",IFERROR(IF(B1903="EU-ENV-002",IF(INDEX(tbl_recyclass[Conforme_PPWR_2030],MATCH(A1903,tbl_recyclass[ProductId],0))="Sim","Conforme (autoavaliação)",IF(INDEX(tbl_recyclass[Conforme_PPWR_2030],MATCH(A1903,tbl_recyclass[ProductId],0))="Não","Não conforme em 2030","Isento até 2035")),IF(B1903="EU-ENV-003",IF(INDEX(tbl_recyclass[Conforme_Art7_2030],MATCH(A1903,tbl_recyclass[ProductId],0))="Sim","Conforme (meta 2030)",IF(INDEX(tbl_recyclass[Conforme_Art7_2030],MATCH(A1903,tbl_recyclass[ProductId],0))="Não","Lacuna face à meta 2030","Isento")),IF(B1903="EU-ENV-011",IF(INDEX(tbl_familias_ppwr[Metais_Pesados_Evidencia],MATCH(INDEX(tbl_recyclass[Familia_PPWR],MATCH(A1903,tbl_recyclass[ProductId],0)),tbl_familias_ppwr[ID_Familia],0))="Em falta","Lacuna","Conforme"),IF(B1903="EU-ENV-013",IF(INDEX(tbl_familias_ppwr[Declaracao_UE],MATCH(INDEX(tbl_recyclass[Familia_PPWR],MATCH(A1903,tbl_recyclass[ProductId],0)),tbl_familias_ppwr[ID_Familia],0))="Sim","Conforme","Lacuna"),G1903)))),G1903))</f>
        <v>Não aplicável</v>
      </c>
      <c r="I1903" s="33" t="str">
        <f t="shared" si="29"/>
        <v>Não aplicável</v>
      </c>
      <c r="J1903" s="26"/>
    </row>
    <row r="1904" spans="1:10" ht="16.05" customHeight="1" x14ac:dyDescent="0.3">
      <c r="A1904" s="26" t="s">
        <v>812</v>
      </c>
      <c r="B1904" s="26" t="s">
        <v>1170</v>
      </c>
      <c r="C1904" s="33" t="str">
        <f>IFERROR(INDEX(tbl_requisitos_emb[Tema],MATCH(B1904,tbl_requisitos_emb[ID_Req],0)),"")</f>
        <v>Boas práticas de fabrico FCM</v>
      </c>
      <c r="D1904" s="33" t="str">
        <f>IFERROR(INDEX(tbl_recyclass[Segmento],MATCH(A1904,tbl_recyclass[ProductId],0)),"")</f>
        <v>Cosmética e higiene pessoal</v>
      </c>
      <c r="E1904" s="26" t="s">
        <v>904</v>
      </c>
      <c r="F1904" s="26" t="s">
        <v>1450</v>
      </c>
      <c r="G1904" s="26" t="s">
        <v>1143</v>
      </c>
      <c r="H1904" s="33" t="str">
        <f>IF(E1904="Não","Não aplicável",IFERROR(IF(B1904="EU-ENV-002",IF(INDEX(tbl_recyclass[Conforme_PPWR_2030],MATCH(A1904,tbl_recyclass[ProductId],0))="Sim","Conforme (autoavaliação)",IF(INDEX(tbl_recyclass[Conforme_PPWR_2030],MATCH(A1904,tbl_recyclass[ProductId],0))="Não","Não conforme em 2030","Isento até 2035")),IF(B1904="EU-ENV-003",IF(INDEX(tbl_recyclass[Conforme_Art7_2030],MATCH(A1904,tbl_recyclass[ProductId],0))="Sim","Conforme (meta 2030)",IF(INDEX(tbl_recyclass[Conforme_Art7_2030],MATCH(A1904,tbl_recyclass[ProductId],0))="Não","Lacuna face à meta 2030","Isento")),IF(B1904="EU-ENV-011",IF(INDEX(tbl_familias_ppwr[Metais_Pesados_Evidencia],MATCH(INDEX(tbl_recyclass[Familia_PPWR],MATCH(A1904,tbl_recyclass[ProductId],0)),tbl_familias_ppwr[ID_Familia],0))="Em falta","Lacuna","Conforme"),IF(B1904="EU-ENV-013",IF(INDEX(tbl_familias_ppwr[Declaracao_UE],MATCH(INDEX(tbl_recyclass[Familia_PPWR],MATCH(A1904,tbl_recyclass[ProductId],0)),tbl_familias_ppwr[ID_Familia],0))="Sim","Conforme","Lacuna"),G1904)))),G1904))</f>
        <v>Não aplicável</v>
      </c>
      <c r="I1904" s="33" t="str">
        <f t="shared" si="29"/>
        <v>Não aplicável</v>
      </c>
      <c r="J1904" s="26"/>
    </row>
    <row r="1905" spans="1:10" ht="16.05" customHeight="1" x14ac:dyDescent="0.3">
      <c r="A1905" s="26" t="s">
        <v>812</v>
      </c>
      <c r="B1905" s="26" t="s">
        <v>1179</v>
      </c>
      <c r="C1905" s="33" t="str">
        <f>IFERROR(INDEX(tbl_requisitos_emb[Tema],MATCH(B1905,tbl_requisitos_emb[ID_Req],0)),"")</f>
        <v>Bisfenol A e bisfenóis perigosos</v>
      </c>
      <c r="D1905" s="33" t="str">
        <f>IFERROR(INDEX(tbl_recyclass[Segmento],MATCH(A1905,tbl_recyclass[ProductId],0)),"")</f>
        <v>Cosmética e higiene pessoal</v>
      </c>
      <c r="E1905" s="26" t="s">
        <v>904</v>
      </c>
      <c r="F1905" s="26" t="s">
        <v>1450</v>
      </c>
      <c r="G1905" s="26" t="s">
        <v>1143</v>
      </c>
      <c r="H1905" s="33" t="str">
        <f>IF(E1905="Não","Não aplicável",IFERROR(IF(B1905="EU-ENV-002",IF(INDEX(tbl_recyclass[Conforme_PPWR_2030],MATCH(A1905,tbl_recyclass[ProductId],0))="Sim","Conforme (autoavaliação)",IF(INDEX(tbl_recyclass[Conforme_PPWR_2030],MATCH(A1905,tbl_recyclass[ProductId],0))="Não","Não conforme em 2030","Isento até 2035")),IF(B1905="EU-ENV-003",IF(INDEX(tbl_recyclass[Conforme_Art7_2030],MATCH(A1905,tbl_recyclass[ProductId],0))="Sim","Conforme (meta 2030)",IF(INDEX(tbl_recyclass[Conforme_Art7_2030],MATCH(A1905,tbl_recyclass[ProductId],0))="Não","Lacuna face à meta 2030","Isento")),IF(B1905="EU-ENV-011",IF(INDEX(tbl_familias_ppwr[Metais_Pesados_Evidencia],MATCH(INDEX(tbl_recyclass[Familia_PPWR],MATCH(A1905,tbl_recyclass[ProductId],0)),tbl_familias_ppwr[ID_Familia],0))="Em falta","Lacuna","Conforme"),IF(B1905="EU-ENV-013",IF(INDEX(tbl_familias_ppwr[Declaracao_UE],MATCH(INDEX(tbl_recyclass[Familia_PPWR],MATCH(A1905,tbl_recyclass[ProductId],0)),tbl_familias_ppwr[ID_Familia],0))="Sim","Conforme","Lacuna"),G1905)))),G1905))</f>
        <v>Não aplicável</v>
      </c>
      <c r="I1905" s="33" t="str">
        <f t="shared" si="29"/>
        <v>Não aplicável</v>
      </c>
      <c r="J1905" s="26"/>
    </row>
    <row r="1906" spans="1:10" ht="16.05" customHeight="1" x14ac:dyDescent="0.3">
      <c r="A1906" s="26" t="s">
        <v>812</v>
      </c>
      <c r="B1906" s="26" t="s">
        <v>1188</v>
      </c>
      <c r="C1906" s="33" t="str">
        <f>IFERROR(INDEX(tbl_requisitos_emb[Tema],MATCH(B1906,tbl_requisitos_emb[ID_Req],0)),"")</f>
        <v>Plásticos em contacto com alimentos</v>
      </c>
      <c r="D1906" s="33" t="str">
        <f>IFERROR(INDEX(tbl_recyclass[Segmento],MATCH(A1906,tbl_recyclass[ProductId],0)),"")</f>
        <v>Cosmética e higiene pessoal</v>
      </c>
      <c r="E1906" s="26" t="s">
        <v>904</v>
      </c>
      <c r="F1906" s="26" t="s">
        <v>1450</v>
      </c>
      <c r="G1906" s="26" t="s">
        <v>1143</v>
      </c>
      <c r="H1906" s="33" t="str">
        <f>IF(E1906="Não","Não aplicável",IFERROR(IF(B1906="EU-ENV-002",IF(INDEX(tbl_recyclass[Conforme_PPWR_2030],MATCH(A1906,tbl_recyclass[ProductId],0))="Sim","Conforme (autoavaliação)",IF(INDEX(tbl_recyclass[Conforme_PPWR_2030],MATCH(A1906,tbl_recyclass[ProductId],0))="Não","Não conforme em 2030","Isento até 2035")),IF(B1906="EU-ENV-003",IF(INDEX(tbl_recyclass[Conforme_Art7_2030],MATCH(A1906,tbl_recyclass[ProductId],0))="Sim","Conforme (meta 2030)",IF(INDEX(tbl_recyclass[Conforme_Art7_2030],MATCH(A1906,tbl_recyclass[ProductId],0))="Não","Lacuna face à meta 2030","Isento")),IF(B1906="EU-ENV-011",IF(INDEX(tbl_familias_ppwr[Metais_Pesados_Evidencia],MATCH(INDEX(tbl_recyclass[Familia_PPWR],MATCH(A1906,tbl_recyclass[ProductId],0)),tbl_familias_ppwr[ID_Familia],0))="Em falta","Lacuna","Conforme"),IF(B1906="EU-ENV-013",IF(INDEX(tbl_familias_ppwr[Declaracao_UE],MATCH(INDEX(tbl_recyclass[Familia_PPWR],MATCH(A1906,tbl_recyclass[ProductId],0)),tbl_familias_ppwr[ID_Familia],0))="Sim","Conforme","Lacuna"),G1906)))),G1906))</f>
        <v>Não aplicável</v>
      </c>
      <c r="I1906" s="33" t="str">
        <f t="shared" si="29"/>
        <v>Não aplicável</v>
      </c>
      <c r="J1906" s="26"/>
    </row>
    <row r="1907" spans="1:10" ht="16.05" customHeight="1" x14ac:dyDescent="0.3">
      <c r="A1907" s="26" t="s">
        <v>812</v>
      </c>
      <c r="B1907" s="26" t="s">
        <v>1212</v>
      </c>
      <c r="C1907" s="33" t="str">
        <f>IFERROR(INDEX(tbl_requisitos_emb[Tema],MATCH(B1907,tbl_requisitos_emb[ID_Req],0)),"")</f>
        <v>Segurança do produto cosmético</v>
      </c>
      <c r="D1907" s="33" t="str">
        <f>IFERROR(INDEX(tbl_recyclass[Segmento],MATCH(A1907,tbl_recyclass[ProductId],0)),"")</f>
        <v>Cosmética e higiene pessoal</v>
      </c>
      <c r="E1907" s="26" t="s">
        <v>901</v>
      </c>
      <c r="F1907" s="26" t="s">
        <v>1449</v>
      </c>
      <c r="G1907" s="26" t="s">
        <v>1033</v>
      </c>
      <c r="H1907" s="33" t="str">
        <f>IF(E1907="Não","Não aplicável",IFERROR(IF(B1907="EU-ENV-002",IF(INDEX(tbl_recyclass[Conforme_PPWR_2030],MATCH(A1907,tbl_recyclass[ProductId],0))="Sim","Conforme (autoavaliação)",IF(INDEX(tbl_recyclass[Conforme_PPWR_2030],MATCH(A1907,tbl_recyclass[ProductId],0))="Não","Não conforme em 2030","Isento até 2035")),IF(B1907="EU-ENV-003",IF(INDEX(tbl_recyclass[Conforme_Art7_2030],MATCH(A1907,tbl_recyclass[ProductId],0))="Sim","Conforme (meta 2030)",IF(INDEX(tbl_recyclass[Conforme_Art7_2030],MATCH(A1907,tbl_recyclass[ProductId],0))="Não","Lacuna face à meta 2030","Isento")),IF(B1907="EU-ENV-011",IF(INDEX(tbl_familias_ppwr[Metais_Pesados_Evidencia],MATCH(INDEX(tbl_recyclass[Familia_PPWR],MATCH(A1907,tbl_recyclass[ProductId],0)),tbl_familias_ppwr[ID_Familia],0))="Em falta","Lacuna","Conforme"),IF(B1907="EU-ENV-013",IF(INDEX(tbl_familias_ppwr[Declaracao_UE],MATCH(INDEX(tbl_recyclass[Familia_PPWR],MATCH(A1907,tbl_recyclass[ProductId],0)),tbl_familias_ppwr[ID_Familia],0))="Sim","Conforme","Lacuna"),G1907)))),G1907))</f>
        <v>Conforme</v>
      </c>
      <c r="I1907" s="33" t="str">
        <f t="shared" si="29"/>
        <v>Conforme</v>
      </c>
      <c r="J1907" s="26" t="s">
        <v>1221</v>
      </c>
    </row>
    <row r="1908" spans="1:10" ht="16.05" customHeight="1" x14ac:dyDescent="0.3">
      <c r="A1908" s="26" t="s">
        <v>812</v>
      </c>
      <c r="B1908" s="26" t="s">
        <v>1224</v>
      </c>
      <c r="C1908" s="33" t="str">
        <f>IFERROR(INDEX(tbl_requisitos_emb[Tema],MATCH(B1908,tbl_requisitos_emb[ID_Req],0)),"")</f>
        <v>Materiais e impurezas</v>
      </c>
      <c r="D1908" s="33" t="str">
        <f>IFERROR(INDEX(tbl_recyclass[Segmento],MATCH(A1908,tbl_recyclass[ProductId],0)),"")</f>
        <v>Cosmética e higiene pessoal</v>
      </c>
      <c r="E1908" s="26" t="s">
        <v>901</v>
      </c>
      <c r="F1908" s="26" t="s">
        <v>1449</v>
      </c>
      <c r="G1908" s="26" t="s">
        <v>978</v>
      </c>
      <c r="H1908" s="33" t="str">
        <f>IF(E1908="Não","Não aplicável",IFERROR(IF(B1908="EU-ENV-002",IF(INDEX(tbl_recyclass[Conforme_PPWR_2030],MATCH(A1908,tbl_recyclass[ProductId],0))="Sim","Conforme (autoavaliação)",IF(INDEX(tbl_recyclass[Conforme_PPWR_2030],MATCH(A1908,tbl_recyclass[ProductId],0))="Não","Não conforme em 2030","Isento até 2035")),IF(B1908="EU-ENV-003",IF(INDEX(tbl_recyclass[Conforme_Art7_2030],MATCH(A1908,tbl_recyclass[ProductId],0))="Sim","Conforme (meta 2030)",IF(INDEX(tbl_recyclass[Conforme_Art7_2030],MATCH(A1908,tbl_recyclass[ProductId],0))="Não","Lacuna face à meta 2030","Isento")),IF(B1908="EU-ENV-011",IF(INDEX(tbl_familias_ppwr[Metais_Pesados_Evidencia],MATCH(INDEX(tbl_recyclass[Familia_PPWR],MATCH(A1908,tbl_recyclass[ProductId],0)),tbl_familias_ppwr[ID_Familia],0))="Em falta","Lacuna","Conforme"),IF(B1908="EU-ENV-013",IF(INDEX(tbl_familias_ppwr[Declaracao_UE],MATCH(INDEX(tbl_recyclass[Familia_PPWR],MATCH(A1908,tbl_recyclass[ProductId],0)),tbl_familias_ppwr[ID_Familia],0))="Sim","Conforme","Lacuna"),G1908)))),G1908))</f>
        <v>Parcial</v>
      </c>
      <c r="I1908" s="33" t="str">
        <f t="shared" si="29"/>
        <v>Parcial</v>
      </c>
      <c r="J1908" s="26" t="s">
        <v>1228</v>
      </c>
    </row>
    <row r="1909" spans="1:10" ht="16.05" customHeight="1" x14ac:dyDescent="0.3">
      <c r="A1909" s="26" t="s">
        <v>812</v>
      </c>
      <c r="B1909" s="26" t="s">
        <v>1240</v>
      </c>
      <c r="C1909" s="33" t="str">
        <f>IFERROR(INDEX(tbl_requisitos_emb[Tema],MATCH(B1909,tbl_requisitos_emb[ID_Req],0)),"")</f>
        <v>Compatibilidade embalagem–produto</v>
      </c>
      <c r="D1909" s="33" t="str">
        <f>IFERROR(INDEX(tbl_recyclass[Segmento],MATCH(A1909,tbl_recyclass[ProductId],0)),"")</f>
        <v>Cosmética e higiene pessoal</v>
      </c>
      <c r="E1909" s="26" t="s">
        <v>901</v>
      </c>
      <c r="F1909" s="26" t="s">
        <v>1449</v>
      </c>
      <c r="G1909" s="26" t="s">
        <v>1033</v>
      </c>
      <c r="H1909" s="33" t="str">
        <f>IF(E1909="Não","Não aplicável",IFERROR(IF(B1909="EU-ENV-002",IF(INDEX(tbl_recyclass[Conforme_PPWR_2030],MATCH(A1909,tbl_recyclass[ProductId],0))="Sim","Conforme (autoavaliação)",IF(INDEX(tbl_recyclass[Conforme_PPWR_2030],MATCH(A1909,tbl_recyclass[ProductId],0))="Não","Não conforme em 2030","Isento até 2035")),IF(B1909="EU-ENV-003",IF(INDEX(tbl_recyclass[Conforme_Art7_2030],MATCH(A1909,tbl_recyclass[ProductId],0))="Sim","Conforme (meta 2030)",IF(INDEX(tbl_recyclass[Conforme_Art7_2030],MATCH(A1909,tbl_recyclass[ProductId],0))="Não","Lacuna face à meta 2030","Isento")),IF(B1909="EU-ENV-011",IF(INDEX(tbl_familias_ppwr[Metais_Pesados_Evidencia],MATCH(INDEX(tbl_recyclass[Familia_PPWR],MATCH(A1909,tbl_recyclass[ProductId],0)),tbl_familias_ppwr[ID_Familia],0))="Em falta","Lacuna","Conforme"),IF(B1909="EU-ENV-013",IF(INDEX(tbl_familias_ppwr[Declaracao_UE],MATCH(INDEX(tbl_recyclass[Familia_PPWR],MATCH(A1909,tbl_recyclass[ProductId],0)),tbl_familias_ppwr[ID_Familia],0))="Sim","Conforme","Lacuna"),G1909)))),G1909))</f>
        <v>Conforme</v>
      </c>
      <c r="I1909" s="33" t="str">
        <f t="shared" si="29"/>
        <v>Conforme</v>
      </c>
      <c r="J1909" s="26" t="s">
        <v>1244</v>
      </c>
    </row>
    <row r="1910" spans="1:10" ht="16.05" customHeight="1" x14ac:dyDescent="0.3">
      <c r="A1910" s="26" t="s">
        <v>812</v>
      </c>
      <c r="B1910" s="26" t="s">
        <v>1252</v>
      </c>
      <c r="C1910" s="33" t="str">
        <f>IFERROR(INDEX(tbl_requisitos_emb[Tema],MATCH(B1910,tbl_requisitos_emb[ID_Req],0)),"")</f>
        <v>Medicamentos de uso humano</v>
      </c>
      <c r="D1910" s="33" t="str">
        <f>IFERROR(INDEX(tbl_recyclass[Segmento],MATCH(A1910,tbl_recyclass[ProductId],0)),"")</f>
        <v>Cosmética e higiene pessoal</v>
      </c>
      <c r="E1910" s="26" t="s">
        <v>904</v>
      </c>
      <c r="F1910" s="26" t="s">
        <v>1451</v>
      </c>
      <c r="G1910" s="26" t="s">
        <v>1143</v>
      </c>
      <c r="H1910" s="33" t="str">
        <f>IF(E1910="Não","Não aplicável",IFERROR(IF(B1910="EU-ENV-002",IF(INDEX(tbl_recyclass[Conforme_PPWR_2030],MATCH(A1910,tbl_recyclass[ProductId],0))="Sim","Conforme (autoavaliação)",IF(INDEX(tbl_recyclass[Conforme_PPWR_2030],MATCH(A1910,tbl_recyclass[ProductId],0))="Não","Não conforme em 2030","Isento até 2035")),IF(B1910="EU-ENV-003",IF(INDEX(tbl_recyclass[Conforme_Art7_2030],MATCH(A1910,tbl_recyclass[ProductId],0))="Sim","Conforme (meta 2030)",IF(INDEX(tbl_recyclass[Conforme_Art7_2030],MATCH(A1910,tbl_recyclass[ProductId],0))="Não","Lacuna face à meta 2030","Isento")),IF(B1910="EU-ENV-011",IF(INDEX(tbl_familias_ppwr[Metais_Pesados_Evidencia],MATCH(INDEX(tbl_recyclass[Familia_PPWR],MATCH(A1910,tbl_recyclass[ProductId],0)),tbl_familias_ppwr[ID_Familia],0))="Em falta","Lacuna","Conforme"),IF(B1910="EU-ENV-013",IF(INDEX(tbl_familias_ppwr[Declaracao_UE],MATCH(INDEX(tbl_recyclass[Familia_PPWR],MATCH(A1910,tbl_recyclass[ProductId],0)),tbl_familias_ppwr[ID_Familia],0))="Sim","Conforme","Lacuna"),G1910)))),G1910))</f>
        <v>Não aplicável</v>
      </c>
      <c r="I1910" s="33" t="str">
        <f t="shared" si="29"/>
        <v>Não aplicável</v>
      </c>
      <c r="J1910" s="26"/>
    </row>
    <row r="1911" spans="1:10" ht="16.05" customHeight="1" x14ac:dyDescent="0.3">
      <c r="A1911" s="26" t="s">
        <v>812</v>
      </c>
      <c r="B1911" s="26" t="s">
        <v>1268</v>
      </c>
      <c r="C1911" s="33" t="str">
        <f>IFERROR(INDEX(tbl_requisitos_emb[Tema],MATCH(B1911,tbl_requisitos_emb[ID_Req],0)),"")</f>
        <v>Dispositivos de segurança</v>
      </c>
      <c r="D1911" s="33" t="str">
        <f>IFERROR(INDEX(tbl_recyclass[Segmento],MATCH(A1911,tbl_recyclass[ProductId],0)),"")</f>
        <v>Cosmética e higiene pessoal</v>
      </c>
      <c r="E1911" s="26" t="s">
        <v>904</v>
      </c>
      <c r="F1911" s="26" t="s">
        <v>1451</v>
      </c>
      <c r="G1911" s="26" t="s">
        <v>1143</v>
      </c>
      <c r="H1911" s="33" t="str">
        <f>IF(E1911="Não","Não aplicável",IFERROR(IF(B1911="EU-ENV-002",IF(INDEX(tbl_recyclass[Conforme_PPWR_2030],MATCH(A1911,tbl_recyclass[ProductId],0))="Sim","Conforme (autoavaliação)",IF(INDEX(tbl_recyclass[Conforme_PPWR_2030],MATCH(A1911,tbl_recyclass[ProductId],0))="Não","Não conforme em 2030","Isento até 2035")),IF(B1911="EU-ENV-003",IF(INDEX(tbl_recyclass[Conforme_Art7_2030],MATCH(A1911,tbl_recyclass[ProductId],0))="Sim","Conforme (meta 2030)",IF(INDEX(tbl_recyclass[Conforme_Art7_2030],MATCH(A1911,tbl_recyclass[ProductId],0))="Não","Lacuna face à meta 2030","Isento")),IF(B1911="EU-ENV-011",IF(INDEX(tbl_familias_ppwr[Metais_Pesados_Evidencia],MATCH(INDEX(tbl_recyclass[Familia_PPWR],MATCH(A1911,tbl_recyclass[ProductId],0)),tbl_familias_ppwr[ID_Familia],0))="Em falta","Lacuna","Conforme"),IF(B1911="EU-ENV-013",IF(INDEX(tbl_familias_ppwr[Declaracao_UE],MATCH(INDEX(tbl_recyclass[Familia_PPWR],MATCH(A1911,tbl_recyclass[ProductId],0)),tbl_familias_ppwr[ID_Familia],0))="Sim","Conforme","Lacuna"),G1911)))),G1911))</f>
        <v>Não aplicável</v>
      </c>
      <c r="I1911" s="33" t="str">
        <f t="shared" si="29"/>
        <v>Não aplicável</v>
      </c>
      <c r="J1911" s="26"/>
    </row>
    <row r="1912" spans="1:10" ht="16.05" customHeight="1" x14ac:dyDescent="0.3">
      <c r="A1912" s="26" t="s">
        <v>812</v>
      </c>
      <c r="B1912" s="26" t="s">
        <v>1285</v>
      </c>
      <c r="C1912" s="33" t="str">
        <f>IFERROR(INDEX(tbl_requisitos_emb[Tema],MATCH(B1912,tbl_requisitos_emb[ID_Req],0)),"")</f>
        <v>Materiais plásticos de acondicionamento primário</v>
      </c>
      <c r="D1912" s="33" t="str">
        <f>IFERROR(INDEX(tbl_recyclass[Segmento],MATCH(A1912,tbl_recyclass[ProductId],0)),"")</f>
        <v>Cosmética e higiene pessoal</v>
      </c>
      <c r="E1912" s="26" t="s">
        <v>904</v>
      </c>
      <c r="F1912" s="26" t="s">
        <v>1451</v>
      </c>
      <c r="G1912" s="26" t="s">
        <v>1143</v>
      </c>
      <c r="H1912" s="33" t="str">
        <f>IF(E1912="Não","Não aplicável",IFERROR(IF(B1912="EU-ENV-002",IF(INDEX(tbl_recyclass[Conforme_PPWR_2030],MATCH(A1912,tbl_recyclass[ProductId],0))="Sim","Conforme (autoavaliação)",IF(INDEX(tbl_recyclass[Conforme_PPWR_2030],MATCH(A1912,tbl_recyclass[ProductId],0))="Não","Não conforme em 2030","Isento até 2035")),IF(B1912="EU-ENV-003",IF(INDEX(tbl_recyclass[Conforme_Art7_2030],MATCH(A1912,tbl_recyclass[ProductId],0))="Sim","Conforme (meta 2030)",IF(INDEX(tbl_recyclass[Conforme_Art7_2030],MATCH(A1912,tbl_recyclass[ProductId],0))="Não","Lacuna face à meta 2030","Isento")),IF(B1912="EU-ENV-011",IF(INDEX(tbl_familias_ppwr[Metais_Pesados_Evidencia],MATCH(INDEX(tbl_recyclass[Familia_PPWR],MATCH(A1912,tbl_recyclass[ProductId],0)),tbl_familias_ppwr[ID_Familia],0))="Em falta","Lacuna","Conforme"),IF(B1912="EU-ENV-013",IF(INDEX(tbl_familias_ppwr[Declaracao_UE],MATCH(INDEX(tbl_recyclass[Familia_PPWR],MATCH(A1912,tbl_recyclass[ProductId],0)),tbl_familias_ppwr[ID_Familia],0))="Sim","Conforme","Lacuna"),G1912)))),G1912))</f>
        <v>Não aplicável</v>
      </c>
      <c r="I1912" s="33" t="str">
        <f t="shared" si="29"/>
        <v>Não aplicável</v>
      </c>
      <c r="J1912" s="26"/>
    </row>
    <row r="1913" spans="1:10" ht="16.05" customHeight="1" x14ac:dyDescent="0.3">
      <c r="A1913" s="26" t="s">
        <v>812</v>
      </c>
      <c r="B1913" s="26" t="s">
        <v>1293</v>
      </c>
      <c r="C1913" s="33" t="str">
        <f>IFERROR(INDEX(tbl_requisitos_emb[Tema],MATCH(B1913,tbl_requisitos_emb[ID_Req],0)),"")</f>
        <v>Isenções PPWR</v>
      </c>
      <c r="D1913" s="33" t="str">
        <f>IFERROR(INDEX(tbl_recyclass[Segmento],MATCH(A1913,tbl_recyclass[ProductId],0)),"")</f>
        <v>Cosmética e higiene pessoal</v>
      </c>
      <c r="E1913" s="26" t="s">
        <v>904</v>
      </c>
      <c r="F1913" s="26" t="s">
        <v>1451</v>
      </c>
      <c r="G1913" s="26" t="s">
        <v>1143</v>
      </c>
      <c r="H1913" s="33" t="str">
        <f>IF(E1913="Não","Não aplicável",IFERROR(IF(B1913="EU-ENV-002",IF(INDEX(tbl_recyclass[Conforme_PPWR_2030],MATCH(A1913,tbl_recyclass[ProductId],0))="Sim","Conforme (autoavaliação)",IF(INDEX(tbl_recyclass[Conforme_PPWR_2030],MATCH(A1913,tbl_recyclass[ProductId],0))="Não","Não conforme em 2030","Isento até 2035")),IF(B1913="EU-ENV-003",IF(INDEX(tbl_recyclass[Conforme_Art7_2030],MATCH(A1913,tbl_recyclass[ProductId],0))="Sim","Conforme (meta 2030)",IF(INDEX(tbl_recyclass[Conforme_Art7_2030],MATCH(A1913,tbl_recyclass[ProductId],0))="Não","Lacuna face à meta 2030","Isento")),IF(B1913="EU-ENV-011",IF(INDEX(tbl_familias_ppwr[Metais_Pesados_Evidencia],MATCH(INDEX(tbl_recyclass[Familia_PPWR],MATCH(A1913,tbl_recyclass[ProductId],0)),tbl_familias_ppwr[ID_Familia],0))="Em falta","Lacuna","Conforme"),IF(B1913="EU-ENV-013",IF(INDEX(tbl_familias_ppwr[Declaracao_UE],MATCH(INDEX(tbl_recyclass[Familia_PPWR],MATCH(A1913,tbl_recyclass[ProductId],0)),tbl_familias_ppwr[ID_Familia],0))="Sim","Conforme","Lacuna"),G1913)))),G1913))</f>
        <v>Não aplicável</v>
      </c>
      <c r="I1913" s="33" t="str">
        <f t="shared" si="29"/>
        <v>Não aplicável</v>
      </c>
      <c r="J1913" s="26"/>
    </row>
    <row r="1914" spans="1:10" ht="16.05" customHeight="1" x14ac:dyDescent="0.3">
      <c r="A1914" s="26" t="s">
        <v>812</v>
      </c>
      <c r="B1914" s="26" t="s">
        <v>1357</v>
      </c>
      <c r="C1914" s="33" t="str">
        <f>IFERROR(INDEX(tbl_requisitos_emb[Tema],MATCH(B1914,tbl_requisitos_emb[ID_Req],0)),"")</f>
        <v>Identificação de plásticos</v>
      </c>
      <c r="D1914" s="33" t="str">
        <f>IFERROR(INDEX(tbl_recyclass[Segmento],MATCH(A1914,tbl_recyclass[ProductId],0)),"")</f>
        <v>Cosmética e higiene pessoal</v>
      </c>
      <c r="E1914" s="26" t="s">
        <v>901</v>
      </c>
      <c r="F1914" s="26" t="s">
        <v>1449</v>
      </c>
      <c r="G1914" s="26" t="s">
        <v>978</v>
      </c>
      <c r="H1914" s="33" t="str">
        <f>IF(E1914="Não","Não aplicável",IFERROR(IF(B1914="EU-ENV-002",IF(INDEX(tbl_recyclass[Conforme_PPWR_2030],MATCH(A1914,tbl_recyclass[ProductId],0))="Sim","Conforme (autoavaliação)",IF(INDEX(tbl_recyclass[Conforme_PPWR_2030],MATCH(A1914,tbl_recyclass[ProductId],0))="Não","Não conforme em 2030","Isento até 2035")),IF(B1914="EU-ENV-003",IF(INDEX(tbl_recyclass[Conforme_Art7_2030],MATCH(A1914,tbl_recyclass[ProductId],0))="Sim","Conforme (meta 2030)",IF(INDEX(tbl_recyclass[Conforme_Art7_2030],MATCH(A1914,tbl_recyclass[ProductId],0))="Não","Lacuna face à meta 2030","Isento")),IF(B1914="EU-ENV-011",IF(INDEX(tbl_familias_ppwr[Metais_Pesados_Evidencia],MATCH(INDEX(tbl_recyclass[Familia_PPWR],MATCH(A1914,tbl_recyclass[ProductId],0)),tbl_familias_ppwr[ID_Familia],0))="Em falta","Lacuna","Conforme"),IF(B1914="EU-ENV-013",IF(INDEX(tbl_familias_ppwr[Declaracao_UE],MATCH(INDEX(tbl_recyclass[Familia_PPWR],MATCH(A1914,tbl_recyclass[ProductId],0)),tbl_familias_ppwr[ID_Familia],0))="Sim","Conforme","Lacuna"),G1914)))),G1914))</f>
        <v>Parcial</v>
      </c>
      <c r="I1914" s="33" t="str">
        <f t="shared" si="29"/>
        <v>Parcial</v>
      </c>
      <c r="J1914" s="26" t="s">
        <v>1362</v>
      </c>
    </row>
    <row r="1915" spans="1:10" ht="16.05" customHeight="1" x14ac:dyDescent="0.3">
      <c r="A1915" s="26" t="s">
        <v>812</v>
      </c>
      <c r="B1915" s="26" t="s">
        <v>1385</v>
      </c>
      <c r="C1915" s="33" t="str">
        <f>IFERROR(INDEX(tbl_requisitos_emb[Tema],MATCH(B1915,tbl_requisitos_emb[ID_Req],0)),"")</f>
        <v>Reciclabilidade (voluntária)</v>
      </c>
      <c r="D1915" s="33" t="str">
        <f>IFERROR(INDEX(tbl_recyclass[Segmento],MATCH(A1915,tbl_recyclass[ProductId],0)),"")</f>
        <v>Cosmética e higiene pessoal</v>
      </c>
      <c r="E1915" s="26" t="s">
        <v>901</v>
      </c>
      <c r="F1915" s="26" t="s">
        <v>1449</v>
      </c>
      <c r="G1915" s="26" t="s">
        <v>978</v>
      </c>
      <c r="H1915" s="33" t="str">
        <f>IF(E1915="Não","Não aplicável",IFERROR(IF(B1915="EU-ENV-002",IF(INDEX(tbl_recyclass[Conforme_PPWR_2030],MATCH(A1915,tbl_recyclass[ProductId],0))="Sim","Conforme (autoavaliação)",IF(INDEX(tbl_recyclass[Conforme_PPWR_2030],MATCH(A1915,tbl_recyclass[ProductId],0))="Não","Não conforme em 2030","Isento até 2035")),IF(B1915="EU-ENV-003",IF(INDEX(tbl_recyclass[Conforme_Art7_2030],MATCH(A1915,tbl_recyclass[ProductId],0))="Sim","Conforme (meta 2030)",IF(INDEX(tbl_recyclass[Conforme_Art7_2030],MATCH(A1915,tbl_recyclass[ProductId],0))="Não","Lacuna face à meta 2030","Isento")),IF(B1915="EU-ENV-011",IF(INDEX(tbl_familias_ppwr[Metais_Pesados_Evidencia],MATCH(INDEX(tbl_recyclass[Familia_PPWR],MATCH(A1915,tbl_recyclass[ProductId],0)),tbl_familias_ppwr[ID_Familia],0))="Em falta","Lacuna","Conforme"),IF(B1915="EU-ENV-013",IF(INDEX(tbl_familias_ppwr[Declaracao_UE],MATCH(INDEX(tbl_recyclass[Familia_PPWR],MATCH(A1915,tbl_recyclass[ProductId],0)),tbl_familias_ppwr[ID_Familia],0))="Sim","Conforme","Lacuna"),G1915)))),G1915))</f>
        <v>Parcial</v>
      </c>
      <c r="I1915" s="33" t="str">
        <f t="shared" si="29"/>
        <v>Parcial</v>
      </c>
      <c r="J1915" s="26" t="s">
        <v>1389</v>
      </c>
    </row>
    <row r="1916" spans="1:10" ht="16.05" customHeight="1" x14ac:dyDescent="0.3">
      <c r="A1916" s="26" t="s">
        <v>814</v>
      </c>
      <c r="B1916" s="26" t="s">
        <v>984</v>
      </c>
      <c r="C1916" s="33" t="str">
        <f>IFERROR(INDEX(tbl_requisitos_emb[Tema],MATCH(B1916,tbl_requisitos_emb[ID_Req],0)),"")</f>
        <v>Conceção para reciclagem</v>
      </c>
      <c r="D1916" s="33" t="str">
        <f>IFERROR(INDEX(tbl_recyclass[Segmento],MATCH(A1916,tbl_recyclass[ProductId],0)),"")</f>
        <v>Cosmética e higiene pessoal</v>
      </c>
      <c r="E1916" s="26" t="s">
        <v>901</v>
      </c>
      <c r="F1916" s="26" t="s">
        <v>1449</v>
      </c>
      <c r="G1916" s="26" t="s">
        <v>978</v>
      </c>
      <c r="H1916" s="33" t="str">
        <f>IF(E1916="Não","Não aplicável",IFERROR(IF(B1916="EU-ENV-002",IF(INDEX(tbl_recyclass[Conforme_PPWR_2030],MATCH(A1916,tbl_recyclass[ProductId],0))="Sim","Conforme (autoavaliação)",IF(INDEX(tbl_recyclass[Conforme_PPWR_2030],MATCH(A1916,tbl_recyclass[ProductId],0))="Não","Não conforme em 2030","Isento até 2035")),IF(B1916="EU-ENV-003",IF(INDEX(tbl_recyclass[Conforme_Art7_2030],MATCH(A1916,tbl_recyclass[ProductId],0))="Sim","Conforme (meta 2030)",IF(INDEX(tbl_recyclass[Conforme_Art7_2030],MATCH(A1916,tbl_recyclass[ProductId],0))="Não","Lacuna face à meta 2030","Isento")),IF(B1916="EU-ENV-011",IF(INDEX(tbl_familias_ppwr[Metais_Pesados_Evidencia],MATCH(INDEX(tbl_recyclass[Familia_PPWR],MATCH(A1916,tbl_recyclass[ProductId],0)),tbl_familias_ppwr[ID_Familia],0))="Em falta","Lacuna","Conforme"),IF(B1916="EU-ENV-013",IF(INDEX(tbl_familias_ppwr[Declaracao_UE],MATCH(INDEX(tbl_recyclass[Familia_PPWR],MATCH(A1916,tbl_recyclass[ProductId],0)),tbl_familias_ppwr[ID_Familia],0))="Sim","Conforme","Lacuna"),G1916)))),G1916))</f>
        <v>Conforme (autoavaliação)</v>
      </c>
      <c r="I1916" s="33" t="str">
        <f t="shared" si="29"/>
        <v>Conforme</v>
      </c>
      <c r="J1916" s="26" t="s">
        <v>991</v>
      </c>
    </row>
    <row r="1917" spans="1:10" ht="16.05" customHeight="1" x14ac:dyDescent="0.3">
      <c r="A1917" s="26" t="s">
        <v>814</v>
      </c>
      <c r="B1917" s="26" t="s">
        <v>997</v>
      </c>
      <c r="C1917" s="33" t="str">
        <f>IFERROR(INDEX(tbl_requisitos_emb[Tema],MATCH(B1917,tbl_requisitos_emb[ID_Req],0)),"")</f>
        <v>Conteúdo reciclado</v>
      </c>
      <c r="D1917" s="33" t="str">
        <f>IFERROR(INDEX(tbl_recyclass[Segmento],MATCH(A1917,tbl_recyclass[ProductId],0)),"")</f>
        <v>Cosmética e higiene pessoal</v>
      </c>
      <c r="E1917" s="26" t="s">
        <v>901</v>
      </c>
      <c r="F1917" s="26" t="s">
        <v>1449</v>
      </c>
      <c r="G1917" s="26" t="s">
        <v>978</v>
      </c>
      <c r="H1917" s="33" t="str">
        <f>IF(E1917="Não","Não aplicável",IFERROR(IF(B1917="EU-ENV-002",IF(INDEX(tbl_recyclass[Conforme_PPWR_2030],MATCH(A1917,tbl_recyclass[ProductId],0))="Sim","Conforme (autoavaliação)",IF(INDEX(tbl_recyclass[Conforme_PPWR_2030],MATCH(A1917,tbl_recyclass[ProductId],0))="Não","Não conforme em 2030","Isento até 2035")),IF(B1917="EU-ENV-003",IF(INDEX(tbl_recyclass[Conforme_Art7_2030],MATCH(A1917,tbl_recyclass[ProductId],0))="Sim","Conforme (meta 2030)",IF(INDEX(tbl_recyclass[Conforme_Art7_2030],MATCH(A1917,tbl_recyclass[ProductId],0))="Não","Lacuna face à meta 2030","Isento")),IF(B1917="EU-ENV-011",IF(INDEX(tbl_familias_ppwr[Metais_Pesados_Evidencia],MATCH(INDEX(tbl_recyclass[Familia_PPWR],MATCH(A1917,tbl_recyclass[ProductId],0)),tbl_familias_ppwr[ID_Familia],0))="Em falta","Lacuna","Conforme"),IF(B1917="EU-ENV-013",IF(INDEX(tbl_familias_ppwr[Declaracao_UE],MATCH(INDEX(tbl_recyclass[Familia_PPWR],MATCH(A1917,tbl_recyclass[ProductId],0)),tbl_familias_ppwr[ID_Familia],0))="Sim","Conforme","Lacuna"),G1917)))),G1917))</f>
        <v>Lacuna face à meta 2030</v>
      </c>
      <c r="I1917" s="33" t="str">
        <f t="shared" si="29"/>
        <v>Lacuna</v>
      </c>
      <c r="J1917" s="26" t="s">
        <v>1001</v>
      </c>
    </row>
    <row r="1918" spans="1:10" ht="16.05" customHeight="1" x14ac:dyDescent="0.3">
      <c r="A1918" s="26" t="s">
        <v>814</v>
      </c>
      <c r="B1918" s="26" t="s">
        <v>1007</v>
      </c>
      <c r="C1918" s="33" t="str">
        <f>IFERROR(INDEX(tbl_requisitos_emb[Tema],MATCH(B1918,tbl_requisitos_emb[ID_Req],0)),"")</f>
        <v>Minimização</v>
      </c>
      <c r="D1918" s="33" t="str">
        <f>IFERROR(INDEX(tbl_recyclass[Segmento],MATCH(A1918,tbl_recyclass[ProductId],0)),"")</f>
        <v>Cosmética e higiene pessoal</v>
      </c>
      <c r="E1918" s="26" t="s">
        <v>901</v>
      </c>
      <c r="F1918" s="26" t="s">
        <v>1449</v>
      </c>
      <c r="G1918" s="26" t="s">
        <v>978</v>
      </c>
      <c r="H1918" s="33" t="str">
        <f>IF(E1918="Não","Não aplicável",IFERROR(IF(B1918="EU-ENV-002",IF(INDEX(tbl_recyclass[Conforme_PPWR_2030],MATCH(A1918,tbl_recyclass[ProductId],0))="Sim","Conforme (autoavaliação)",IF(INDEX(tbl_recyclass[Conforme_PPWR_2030],MATCH(A1918,tbl_recyclass[ProductId],0))="Não","Não conforme em 2030","Isento até 2035")),IF(B1918="EU-ENV-003",IF(INDEX(tbl_recyclass[Conforme_Art7_2030],MATCH(A1918,tbl_recyclass[ProductId],0))="Sim","Conforme (meta 2030)",IF(INDEX(tbl_recyclass[Conforme_Art7_2030],MATCH(A1918,tbl_recyclass[ProductId],0))="Não","Lacuna face à meta 2030","Isento")),IF(B1918="EU-ENV-011",IF(INDEX(tbl_familias_ppwr[Metais_Pesados_Evidencia],MATCH(INDEX(tbl_recyclass[Familia_PPWR],MATCH(A1918,tbl_recyclass[ProductId],0)),tbl_familias_ppwr[ID_Familia],0))="Em falta","Lacuna","Conforme"),IF(B1918="EU-ENV-013",IF(INDEX(tbl_familias_ppwr[Declaracao_UE],MATCH(INDEX(tbl_recyclass[Familia_PPWR],MATCH(A1918,tbl_recyclass[ProductId],0)),tbl_familias_ppwr[ID_Familia],0))="Sim","Conforme","Lacuna"),G1918)))),G1918))</f>
        <v>Parcial</v>
      </c>
      <c r="I1918" s="33" t="str">
        <f t="shared" si="29"/>
        <v>Parcial</v>
      </c>
      <c r="J1918" s="26" t="s">
        <v>1012</v>
      </c>
    </row>
    <row r="1919" spans="1:10" ht="16.05" customHeight="1" x14ac:dyDescent="0.3">
      <c r="A1919" s="26" t="s">
        <v>814</v>
      </c>
      <c r="B1919" s="26" t="s">
        <v>1016</v>
      </c>
      <c r="C1919" s="33" t="str">
        <f>IFERROR(INDEX(tbl_requisitos_emb[Tema],MATCH(B1919,tbl_requisitos_emb[ID_Req],0)),"")</f>
        <v>Rotulagem</v>
      </c>
      <c r="D1919" s="33" t="str">
        <f>IFERROR(INDEX(tbl_recyclass[Segmento],MATCH(A1919,tbl_recyclass[ProductId],0)),"")</f>
        <v>Cosmética e higiene pessoal</v>
      </c>
      <c r="E1919" s="26" t="s">
        <v>901</v>
      </c>
      <c r="F1919" s="26" t="s">
        <v>1449</v>
      </c>
      <c r="G1919" s="26" t="s">
        <v>990</v>
      </c>
      <c r="H1919" s="33" t="str">
        <f>IF(E1919="Não","Não aplicável",IFERROR(IF(B1919="EU-ENV-002",IF(INDEX(tbl_recyclass[Conforme_PPWR_2030],MATCH(A1919,tbl_recyclass[ProductId],0))="Sim","Conforme (autoavaliação)",IF(INDEX(tbl_recyclass[Conforme_PPWR_2030],MATCH(A1919,tbl_recyclass[ProductId],0))="Não","Não conforme em 2030","Isento até 2035")),IF(B1919="EU-ENV-003",IF(INDEX(tbl_recyclass[Conforme_Art7_2030],MATCH(A1919,tbl_recyclass[ProductId],0))="Sim","Conforme (meta 2030)",IF(INDEX(tbl_recyclass[Conforme_Art7_2030],MATCH(A1919,tbl_recyclass[ProductId],0))="Não","Lacuna face à meta 2030","Isento")),IF(B1919="EU-ENV-011",IF(INDEX(tbl_familias_ppwr[Metais_Pesados_Evidencia],MATCH(INDEX(tbl_recyclass[Familia_PPWR],MATCH(A1919,tbl_recyclass[ProductId],0)),tbl_familias_ppwr[ID_Familia],0))="Em falta","Lacuna","Conforme"),IF(B1919="EU-ENV-013",IF(INDEX(tbl_familias_ppwr[Declaracao_UE],MATCH(INDEX(tbl_recyclass[Familia_PPWR],MATCH(A1919,tbl_recyclass[ProductId],0)),tbl_familias_ppwr[ID_Familia],0))="Sim","Conforme","Lacuna"),G1919)))),G1919))</f>
        <v>Futuro</v>
      </c>
      <c r="I1919" s="33" t="str">
        <f t="shared" si="29"/>
        <v>Futuro</v>
      </c>
      <c r="J1919" s="26" t="s">
        <v>1021</v>
      </c>
    </row>
    <row r="1920" spans="1:10" ht="16.05" customHeight="1" x14ac:dyDescent="0.3">
      <c r="A1920" s="26" t="s">
        <v>814</v>
      </c>
      <c r="B1920" s="26" t="s">
        <v>1038</v>
      </c>
      <c r="C1920" s="33" t="str">
        <f>IFERROR(INDEX(tbl_requisitos_emb[Tema],MATCH(B1920,tbl_requisitos_emb[ID_Req],0)),"")</f>
        <v>Plásticos de utilização única</v>
      </c>
      <c r="D1920" s="33" t="str">
        <f>IFERROR(INDEX(tbl_recyclass[Segmento],MATCH(A1920,tbl_recyclass[ProductId],0)),"")</f>
        <v>Cosmética e higiene pessoal</v>
      </c>
      <c r="E1920" s="26" t="s">
        <v>904</v>
      </c>
      <c r="F1920" s="26" t="s">
        <v>1450</v>
      </c>
      <c r="G1920" s="26" t="s">
        <v>1143</v>
      </c>
      <c r="H1920" s="33" t="str">
        <f>IF(E1920="Não","Não aplicável",IFERROR(IF(B1920="EU-ENV-002",IF(INDEX(tbl_recyclass[Conforme_PPWR_2030],MATCH(A1920,tbl_recyclass[ProductId],0))="Sim","Conforme (autoavaliação)",IF(INDEX(tbl_recyclass[Conforme_PPWR_2030],MATCH(A1920,tbl_recyclass[ProductId],0))="Não","Não conforme em 2030","Isento até 2035")),IF(B1920="EU-ENV-003",IF(INDEX(tbl_recyclass[Conforme_Art7_2030],MATCH(A1920,tbl_recyclass[ProductId],0))="Sim","Conforme (meta 2030)",IF(INDEX(tbl_recyclass[Conforme_Art7_2030],MATCH(A1920,tbl_recyclass[ProductId],0))="Não","Lacuna face à meta 2030","Isento")),IF(B1920="EU-ENV-011",IF(INDEX(tbl_familias_ppwr[Metais_Pesados_Evidencia],MATCH(INDEX(tbl_recyclass[Familia_PPWR],MATCH(A1920,tbl_recyclass[ProductId],0)),tbl_familias_ppwr[ID_Familia],0))="Em falta","Lacuna","Conforme"),IF(B1920="EU-ENV-013",IF(INDEX(tbl_familias_ppwr[Declaracao_UE],MATCH(INDEX(tbl_recyclass[Familia_PPWR],MATCH(A1920,tbl_recyclass[ProductId],0)),tbl_familias_ppwr[ID_Familia],0))="Sim","Conforme","Lacuna"),G1920)))),G1920))</f>
        <v>Não aplicável</v>
      </c>
      <c r="I1920" s="33" t="str">
        <f t="shared" si="29"/>
        <v>Não aplicável</v>
      </c>
      <c r="J1920" s="26"/>
    </row>
    <row r="1921" spans="1:10" ht="16.05" customHeight="1" x14ac:dyDescent="0.3">
      <c r="A1921" s="26" t="s">
        <v>814</v>
      </c>
      <c r="B1921" s="26" t="s">
        <v>1078</v>
      </c>
      <c r="C1921" s="33" t="str">
        <f>IFERROR(INDEX(tbl_requisitos_emb[Tema],MATCH(B1921,tbl_requisitos_emb[ID_Req],0)),"")</f>
        <v>Reciclado à escala</v>
      </c>
      <c r="D1921" s="33" t="str">
        <f>IFERROR(INDEX(tbl_recyclass[Segmento],MATCH(A1921,tbl_recyclass[ProductId],0)),"")</f>
        <v>Cosmética e higiene pessoal</v>
      </c>
      <c r="E1921" s="26" t="s">
        <v>901</v>
      </c>
      <c r="F1921" s="26" t="s">
        <v>1449</v>
      </c>
      <c r="G1921" s="26" t="s">
        <v>990</v>
      </c>
      <c r="H1921" s="33" t="str">
        <f>IF(E1921="Não","Não aplicável",IFERROR(IF(B1921="EU-ENV-002",IF(INDEX(tbl_recyclass[Conforme_PPWR_2030],MATCH(A1921,tbl_recyclass[ProductId],0))="Sim","Conforme (autoavaliação)",IF(INDEX(tbl_recyclass[Conforme_PPWR_2030],MATCH(A1921,tbl_recyclass[ProductId],0))="Não","Não conforme em 2030","Isento até 2035")),IF(B1921="EU-ENV-003",IF(INDEX(tbl_recyclass[Conforme_Art7_2030],MATCH(A1921,tbl_recyclass[ProductId],0))="Sim","Conforme (meta 2030)",IF(INDEX(tbl_recyclass[Conforme_Art7_2030],MATCH(A1921,tbl_recyclass[ProductId],0))="Não","Lacuna face à meta 2030","Isento")),IF(B1921="EU-ENV-011",IF(INDEX(tbl_familias_ppwr[Metais_Pesados_Evidencia],MATCH(INDEX(tbl_recyclass[Familia_PPWR],MATCH(A1921,tbl_recyclass[ProductId],0)),tbl_familias_ppwr[ID_Familia],0))="Em falta","Lacuna","Conforme"),IF(B1921="EU-ENV-013",IF(INDEX(tbl_familias_ppwr[Declaracao_UE],MATCH(INDEX(tbl_recyclass[Familia_PPWR],MATCH(A1921,tbl_recyclass[ProductId],0)),tbl_familias_ppwr[ID_Familia],0))="Sim","Conforme","Lacuna"),G1921)))),G1921))</f>
        <v>Futuro</v>
      </c>
      <c r="I1921" s="33" t="str">
        <f t="shared" si="29"/>
        <v>Futuro</v>
      </c>
      <c r="J1921" s="26" t="s">
        <v>1082</v>
      </c>
    </row>
    <row r="1922" spans="1:10" ht="16.05" customHeight="1" x14ac:dyDescent="0.3">
      <c r="A1922" s="26" t="s">
        <v>814</v>
      </c>
      <c r="B1922" s="26" t="s">
        <v>1086</v>
      </c>
      <c r="C1922" s="33" t="str">
        <f>IFERROR(INDEX(tbl_requisitos_emb[Tema],MATCH(B1922,tbl_requisitos_emb[ID_Req],0)),"")</f>
        <v>Metais pesados</v>
      </c>
      <c r="D1922" s="33" t="str">
        <f>IFERROR(INDEX(tbl_recyclass[Segmento],MATCH(A1922,tbl_recyclass[ProductId],0)),"")</f>
        <v>Cosmética e higiene pessoal</v>
      </c>
      <c r="E1922" s="26" t="s">
        <v>901</v>
      </c>
      <c r="F1922" s="26" t="s">
        <v>1449</v>
      </c>
      <c r="G1922" s="26" t="s">
        <v>978</v>
      </c>
      <c r="H1922" s="33" t="str">
        <f>IF(E1922="Não","Não aplicável",IFERROR(IF(B1922="EU-ENV-002",IF(INDEX(tbl_recyclass[Conforme_PPWR_2030],MATCH(A1922,tbl_recyclass[ProductId],0))="Sim","Conforme (autoavaliação)",IF(INDEX(tbl_recyclass[Conforme_PPWR_2030],MATCH(A1922,tbl_recyclass[ProductId],0))="Não","Não conforme em 2030","Isento até 2035")),IF(B1922="EU-ENV-003",IF(INDEX(tbl_recyclass[Conforme_Art7_2030],MATCH(A1922,tbl_recyclass[ProductId],0))="Sim","Conforme (meta 2030)",IF(INDEX(tbl_recyclass[Conforme_Art7_2030],MATCH(A1922,tbl_recyclass[ProductId],0))="Não","Lacuna face à meta 2030","Isento")),IF(B1922="EU-ENV-011",IF(INDEX(tbl_familias_ppwr[Metais_Pesados_Evidencia],MATCH(INDEX(tbl_recyclass[Familia_PPWR],MATCH(A1922,tbl_recyclass[ProductId],0)),tbl_familias_ppwr[ID_Familia],0))="Em falta","Lacuna","Conforme"),IF(B1922="EU-ENV-013",IF(INDEX(tbl_familias_ppwr[Declaracao_UE],MATCH(INDEX(tbl_recyclass[Familia_PPWR],MATCH(A1922,tbl_recyclass[ProductId],0)),tbl_familias_ppwr[ID_Familia],0))="Sim","Conforme","Lacuna"),G1922)))),G1922))</f>
        <v>Conforme</v>
      </c>
      <c r="I1922" s="33" t="str">
        <f t="shared" ref="I1922:I1985" si="30">IF(ISNUMBER(SEARCH("Não aplicável",H1922)),"Não aplicável",IF(ISNUMBER(SEARCH("Isento",H1922)),"Isento",IF(ISNUMBER(SEARCH("Não conforme",H1922)),"Não conforme",IF(ISNUMBER(SEARCH("Lacuna",H1922)),"Lacuna",IF(ISNUMBER(SEARCH("Conforme",H1922)),"Conforme",H1922)))))</f>
        <v>Conforme</v>
      </c>
      <c r="J1922" s="26" t="s">
        <v>1090</v>
      </c>
    </row>
    <row r="1923" spans="1:10" ht="16.05" customHeight="1" x14ac:dyDescent="0.3">
      <c r="A1923" s="26" t="s">
        <v>814</v>
      </c>
      <c r="B1923" s="26" t="s">
        <v>1094</v>
      </c>
      <c r="C1923" s="33" t="str">
        <f>IFERROR(INDEX(tbl_requisitos_emb[Tema],MATCH(B1923,tbl_requisitos_emb[ID_Req],0)),"")</f>
        <v>PFAS</v>
      </c>
      <c r="D1923" s="33" t="str">
        <f>IFERROR(INDEX(tbl_recyclass[Segmento],MATCH(A1923,tbl_recyclass[ProductId],0)),"")</f>
        <v>Cosmética e higiene pessoal</v>
      </c>
      <c r="E1923" s="26" t="s">
        <v>904</v>
      </c>
      <c r="F1923" s="26" t="s">
        <v>1450</v>
      </c>
      <c r="G1923" s="26" t="s">
        <v>1143</v>
      </c>
      <c r="H1923" s="33" t="str">
        <f>IF(E1923="Não","Não aplicável",IFERROR(IF(B1923="EU-ENV-002",IF(INDEX(tbl_recyclass[Conforme_PPWR_2030],MATCH(A1923,tbl_recyclass[ProductId],0))="Sim","Conforme (autoavaliação)",IF(INDEX(tbl_recyclass[Conforme_PPWR_2030],MATCH(A1923,tbl_recyclass[ProductId],0))="Não","Não conforme em 2030","Isento até 2035")),IF(B1923="EU-ENV-003",IF(INDEX(tbl_recyclass[Conforme_Art7_2030],MATCH(A1923,tbl_recyclass[ProductId],0))="Sim","Conforme (meta 2030)",IF(INDEX(tbl_recyclass[Conforme_Art7_2030],MATCH(A1923,tbl_recyclass[ProductId],0))="Não","Lacuna face à meta 2030","Isento")),IF(B1923="EU-ENV-011",IF(INDEX(tbl_familias_ppwr[Metais_Pesados_Evidencia],MATCH(INDEX(tbl_recyclass[Familia_PPWR],MATCH(A1923,tbl_recyclass[ProductId],0)),tbl_familias_ppwr[ID_Familia],0))="Em falta","Lacuna","Conforme"),IF(B1923="EU-ENV-013",IF(INDEX(tbl_familias_ppwr[Declaracao_UE],MATCH(INDEX(tbl_recyclass[Familia_PPWR],MATCH(A1923,tbl_recyclass[ProductId],0)),tbl_familias_ppwr[ID_Familia],0))="Sim","Conforme","Lacuna"),G1923)))),G1923))</f>
        <v>Não aplicável</v>
      </c>
      <c r="I1923" s="33" t="str">
        <f t="shared" si="30"/>
        <v>Não aplicável</v>
      </c>
      <c r="J1923" s="26"/>
    </row>
    <row r="1924" spans="1:10" ht="16.05" customHeight="1" x14ac:dyDescent="0.3">
      <c r="A1924" s="26" t="s">
        <v>814</v>
      </c>
      <c r="B1924" s="26" t="s">
        <v>1102</v>
      </c>
      <c r="C1924" s="33" t="str">
        <f>IFERROR(INDEX(tbl_requisitos_emb[Tema],MATCH(B1924,tbl_requisitos_emb[ID_Req],0)),"")</f>
        <v>Documentação técnica e declaração UE</v>
      </c>
      <c r="D1924" s="33" t="str">
        <f>IFERROR(INDEX(tbl_recyclass[Segmento],MATCH(A1924,tbl_recyclass[ProductId],0)),"")</f>
        <v>Cosmética e higiene pessoal</v>
      </c>
      <c r="E1924" s="26" t="s">
        <v>901</v>
      </c>
      <c r="F1924" s="26" t="s">
        <v>1449</v>
      </c>
      <c r="G1924" s="26" t="s">
        <v>978</v>
      </c>
      <c r="H1924" s="33" t="str">
        <f>IF(E1924="Não","Não aplicável",IFERROR(IF(B1924="EU-ENV-002",IF(INDEX(tbl_recyclass[Conforme_PPWR_2030],MATCH(A1924,tbl_recyclass[ProductId],0))="Sim","Conforme (autoavaliação)",IF(INDEX(tbl_recyclass[Conforme_PPWR_2030],MATCH(A1924,tbl_recyclass[ProductId],0))="Não","Não conforme em 2030","Isento até 2035")),IF(B1924="EU-ENV-003",IF(INDEX(tbl_recyclass[Conforme_Art7_2030],MATCH(A1924,tbl_recyclass[ProductId],0))="Sim","Conforme (meta 2030)",IF(INDEX(tbl_recyclass[Conforme_Art7_2030],MATCH(A1924,tbl_recyclass[ProductId],0))="Não","Lacuna face à meta 2030","Isento")),IF(B1924="EU-ENV-011",IF(INDEX(tbl_familias_ppwr[Metais_Pesados_Evidencia],MATCH(INDEX(tbl_recyclass[Familia_PPWR],MATCH(A1924,tbl_recyclass[ProductId],0)),tbl_familias_ppwr[ID_Familia],0))="Em falta","Lacuna","Conforme"),IF(B1924="EU-ENV-013",IF(INDEX(tbl_familias_ppwr[Declaracao_UE],MATCH(INDEX(tbl_recyclass[Familia_PPWR],MATCH(A1924,tbl_recyclass[ProductId],0)),tbl_familias_ppwr[ID_Familia],0))="Sim","Conforme","Lacuna"),G1924)))),G1924))</f>
        <v>Conforme</v>
      </c>
      <c r="I1924" s="33" t="str">
        <f t="shared" si="30"/>
        <v>Conforme</v>
      </c>
      <c r="J1924" s="26" t="s">
        <v>1106</v>
      </c>
    </row>
    <row r="1925" spans="1:10" ht="16.05" customHeight="1" x14ac:dyDescent="0.3">
      <c r="A1925" s="26" t="s">
        <v>814</v>
      </c>
      <c r="B1925" s="26" t="s">
        <v>1161</v>
      </c>
      <c r="C1925" s="33" t="str">
        <f>IFERROR(INDEX(tbl_requisitos_emb[Tema],MATCH(B1925,tbl_requisitos_emb[ID_Req],0)),"")</f>
        <v>Materiais em contacto com alimentos</v>
      </c>
      <c r="D1925" s="33" t="str">
        <f>IFERROR(INDEX(tbl_recyclass[Segmento],MATCH(A1925,tbl_recyclass[ProductId],0)),"")</f>
        <v>Cosmética e higiene pessoal</v>
      </c>
      <c r="E1925" s="26" t="s">
        <v>904</v>
      </c>
      <c r="F1925" s="26" t="s">
        <v>1450</v>
      </c>
      <c r="G1925" s="26" t="s">
        <v>1143</v>
      </c>
      <c r="H1925" s="33" t="str">
        <f>IF(E1925="Não","Não aplicável",IFERROR(IF(B1925="EU-ENV-002",IF(INDEX(tbl_recyclass[Conforme_PPWR_2030],MATCH(A1925,tbl_recyclass[ProductId],0))="Sim","Conforme (autoavaliação)",IF(INDEX(tbl_recyclass[Conforme_PPWR_2030],MATCH(A1925,tbl_recyclass[ProductId],0))="Não","Não conforme em 2030","Isento até 2035")),IF(B1925="EU-ENV-003",IF(INDEX(tbl_recyclass[Conforme_Art7_2030],MATCH(A1925,tbl_recyclass[ProductId],0))="Sim","Conforme (meta 2030)",IF(INDEX(tbl_recyclass[Conforme_Art7_2030],MATCH(A1925,tbl_recyclass[ProductId],0))="Não","Lacuna face à meta 2030","Isento")),IF(B1925="EU-ENV-011",IF(INDEX(tbl_familias_ppwr[Metais_Pesados_Evidencia],MATCH(INDEX(tbl_recyclass[Familia_PPWR],MATCH(A1925,tbl_recyclass[ProductId],0)),tbl_familias_ppwr[ID_Familia],0))="Em falta","Lacuna","Conforme"),IF(B1925="EU-ENV-013",IF(INDEX(tbl_familias_ppwr[Declaracao_UE],MATCH(INDEX(tbl_recyclass[Familia_PPWR],MATCH(A1925,tbl_recyclass[ProductId],0)),tbl_familias_ppwr[ID_Familia],0))="Sim","Conforme","Lacuna"),G1925)))),G1925))</f>
        <v>Não aplicável</v>
      </c>
      <c r="I1925" s="33" t="str">
        <f t="shared" si="30"/>
        <v>Não aplicável</v>
      </c>
      <c r="J1925" s="26"/>
    </row>
    <row r="1926" spans="1:10" ht="16.05" customHeight="1" x14ac:dyDescent="0.3">
      <c r="A1926" s="26" t="s">
        <v>814</v>
      </c>
      <c r="B1926" s="26" t="s">
        <v>1170</v>
      </c>
      <c r="C1926" s="33" t="str">
        <f>IFERROR(INDEX(tbl_requisitos_emb[Tema],MATCH(B1926,tbl_requisitos_emb[ID_Req],0)),"")</f>
        <v>Boas práticas de fabrico FCM</v>
      </c>
      <c r="D1926" s="33" t="str">
        <f>IFERROR(INDEX(tbl_recyclass[Segmento],MATCH(A1926,tbl_recyclass[ProductId],0)),"")</f>
        <v>Cosmética e higiene pessoal</v>
      </c>
      <c r="E1926" s="26" t="s">
        <v>904</v>
      </c>
      <c r="F1926" s="26" t="s">
        <v>1450</v>
      </c>
      <c r="G1926" s="26" t="s">
        <v>1143</v>
      </c>
      <c r="H1926" s="33" t="str">
        <f>IF(E1926="Não","Não aplicável",IFERROR(IF(B1926="EU-ENV-002",IF(INDEX(tbl_recyclass[Conforme_PPWR_2030],MATCH(A1926,tbl_recyclass[ProductId],0))="Sim","Conforme (autoavaliação)",IF(INDEX(tbl_recyclass[Conforme_PPWR_2030],MATCH(A1926,tbl_recyclass[ProductId],0))="Não","Não conforme em 2030","Isento até 2035")),IF(B1926="EU-ENV-003",IF(INDEX(tbl_recyclass[Conforme_Art7_2030],MATCH(A1926,tbl_recyclass[ProductId],0))="Sim","Conforme (meta 2030)",IF(INDEX(tbl_recyclass[Conforme_Art7_2030],MATCH(A1926,tbl_recyclass[ProductId],0))="Não","Lacuna face à meta 2030","Isento")),IF(B1926="EU-ENV-011",IF(INDEX(tbl_familias_ppwr[Metais_Pesados_Evidencia],MATCH(INDEX(tbl_recyclass[Familia_PPWR],MATCH(A1926,tbl_recyclass[ProductId],0)),tbl_familias_ppwr[ID_Familia],0))="Em falta","Lacuna","Conforme"),IF(B1926="EU-ENV-013",IF(INDEX(tbl_familias_ppwr[Declaracao_UE],MATCH(INDEX(tbl_recyclass[Familia_PPWR],MATCH(A1926,tbl_recyclass[ProductId],0)),tbl_familias_ppwr[ID_Familia],0))="Sim","Conforme","Lacuna"),G1926)))),G1926))</f>
        <v>Não aplicável</v>
      </c>
      <c r="I1926" s="33" t="str">
        <f t="shared" si="30"/>
        <v>Não aplicável</v>
      </c>
      <c r="J1926" s="26"/>
    </row>
    <row r="1927" spans="1:10" ht="16.05" customHeight="1" x14ac:dyDescent="0.3">
      <c r="A1927" s="26" t="s">
        <v>814</v>
      </c>
      <c r="B1927" s="26" t="s">
        <v>1179</v>
      </c>
      <c r="C1927" s="33" t="str">
        <f>IFERROR(INDEX(tbl_requisitos_emb[Tema],MATCH(B1927,tbl_requisitos_emb[ID_Req],0)),"")</f>
        <v>Bisfenol A e bisfenóis perigosos</v>
      </c>
      <c r="D1927" s="33" t="str">
        <f>IFERROR(INDEX(tbl_recyclass[Segmento],MATCH(A1927,tbl_recyclass[ProductId],0)),"")</f>
        <v>Cosmética e higiene pessoal</v>
      </c>
      <c r="E1927" s="26" t="s">
        <v>904</v>
      </c>
      <c r="F1927" s="26" t="s">
        <v>1450</v>
      </c>
      <c r="G1927" s="26" t="s">
        <v>1143</v>
      </c>
      <c r="H1927" s="33" t="str">
        <f>IF(E1927="Não","Não aplicável",IFERROR(IF(B1927="EU-ENV-002",IF(INDEX(tbl_recyclass[Conforme_PPWR_2030],MATCH(A1927,tbl_recyclass[ProductId],0))="Sim","Conforme (autoavaliação)",IF(INDEX(tbl_recyclass[Conforme_PPWR_2030],MATCH(A1927,tbl_recyclass[ProductId],0))="Não","Não conforme em 2030","Isento até 2035")),IF(B1927="EU-ENV-003",IF(INDEX(tbl_recyclass[Conforme_Art7_2030],MATCH(A1927,tbl_recyclass[ProductId],0))="Sim","Conforme (meta 2030)",IF(INDEX(tbl_recyclass[Conforme_Art7_2030],MATCH(A1927,tbl_recyclass[ProductId],0))="Não","Lacuna face à meta 2030","Isento")),IF(B1927="EU-ENV-011",IF(INDEX(tbl_familias_ppwr[Metais_Pesados_Evidencia],MATCH(INDEX(tbl_recyclass[Familia_PPWR],MATCH(A1927,tbl_recyclass[ProductId],0)),tbl_familias_ppwr[ID_Familia],0))="Em falta","Lacuna","Conforme"),IF(B1927="EU-ENV-013",IF(INDEX(tbl_familias_ppwr[Declaracao_UE],MATCH(INDEX(tbl_recyclass[Familia_PPWR],MATCH(A1927,tbl_recyclass[ProductId],0)),tbl_familias_ppwr[ID_Familia],0))="Sim","Conforme","Lacuna"),G1927)))),G1927))</f>
        <v>Não aplicável</v>
      </c>
      <c r="I1927" s="33" t="str">
        <f t="shared" si="30"/>
        <v>Não aplicável</v>
      </c>
      <c r="J1927" s="26"/>
    </row>
    <row r="1928" spans="1:10" ht="16.05" customHeight="1" x14ac:dyDescent="0.3">
      <c r="A1928" s="26" t="s">
        <v>814</v>
      </c>
      <c r="B1928" s="26" t="s">
        <v>1188</v>
      </c>
      <c r="C1928" s="33" t="str">
        <f>IFERROR(INDEX(tbl_requisitos_emb[Tema],MATCH(B1928,tbl_requisitos_emb[ID_Req],0)),"")</f>
        <v>Plásticos em contacto com alimentos</v>
      </c>
      <c r="D1928" s="33" t="str">
        <f>IFERROR(INDEX(tbl_recyclass[Segmento],MATCH(A1928,tbl_recyclass[ProductId],0)),"")</f>
        <v>Cosmética e higiene pessoal</v>
      </c>
      <c r="E1928" s="26" t="s">
        <v>904</v>
      </c>
      <c r="F1928" s="26" t="s">
        <v>1450</v>
      </c>
      <c r="G1928" s="26" t="s">
        <v>1143</v>
      </c>
      <c r="H1928" s="33" t="str">
        <f>IF(E1928="Não","Não aplicável",IFERROR(IF(B1928="EU-ENV-002",IF(INDEX(tbl_recyclass[Conforme_PPWR_2030],MATCH(A1928,tbl_recyclass[ProductId],0))="Sim","Conforme (autoavaliação)",IF(INDEX(tbl_recyclass[Conforme_PPWR_2030],MATCH(A1928,tbl_recyclass[ProductId],0))="Não","Não conforme em 2030","Isento até 2035")),IF(B1928="EU-ENV-003",IF(INDEX(tbl_recyclass[Conforme_Art7_2030],MATCH(A1928,tbl_recyclass[ProductId],0))="Sim","Conforme (meta 2030)",IF(INDEX(tbl_recyclass[Conforme_Art7_2030],MATCH(A1928,tbl_recyclass[ProductId],0))="Não","Lacuna face à meta 2030","Isento")),IF(B1928="EU-ENV-011",IF(INDEX(tbl_familias_ppwr[Metais_Pesados_Evidencia],MATCH(INDEX(tbl_recyclass[Familia_PPWR],MATCH(A1928,tbl_recyclass[ProductId],0)),tbl_familias_ppwr[ID_Familia],0))="Em falta","Lacuna","Conforme"),IF(B1928="EU-ENV-013",IF(INDEX(tbl_familias_ppwr[Declaracao_UE],MATCH(INDEX(tbl_recyclass[Familia_PPWR],MATCH(A1928,tbl_recyclass[ProductId],0)),tbl_familias_ppwr[ID_Familia],0))="Sim","Conforme","Lacuna"),G1928)))),G1928))</f>
        <v>Não aplicável</v>
      </c>
      <c r="I1928" s="33" t="str">
        <f t="shared" si="30"/>
        <v>Não aplicável</v>
      </c>
      <c r="J1928" s="26"/>
    </row>
    <row r="1929" spans="1:10" ht="16.05" customHeight="1" x14ac:dyDescent="0.3">
      <c r="A1929" s="26" t="s">
        <v>814</v>
      </c>
      <c r="B1929" s="26" t="s">
        <v>1212</v>
      </c>
      <c r="C1929" s="33" t="str">
        <f>IFERROR(INDEX(tbl_requisitos_emb[Tema],MATCH(B1929,tbl_requisitos_emb[ID_Req],0)),"")</f>
        <v>Segurança do produto cosmético</v>
      </c>
      <c r="D1929" s="33" t="str">
        <f>IFERROR(INDEX(tbl_recyclass[Segmento],MATCH(A1929,tbl_recyclass[ProductId],0)),"")</f>
        <v>Cosmética e higiene pessoal</v>
      </c>
      <c r="E1929" s="26" t="s">
        <v>901</v>
      </c>
      <c r="F1929" s="26" t="s">
        <v>1449</v>
      </c>
      <c r="G1929" s="26" t="s">
        <v>1033</v>
      </c>
      <c r="H1929" s="33" t="str">
        <f>IF(E1929="Não","Não aplicável",IFERROR(IF(B1929="EU-ENV-002",IF(INDEX(tbl_recyclass[Conforme_PPWR_2030],MATCH(A1929,tbl_recyclass[ProductId],0))="Sim","Conforme (autoavaliação)",IF(INDEX(tbl_recyclass[Conforme_PPWR_2030],MATCH(A1929,tbl_recyclass[ProductId],0))="Não","Não conforme em 2030","Isento até 2035")),IF(B1929="EU-ENV-003",IF(INDEX(tbl_recyclass[Conforme_Art7_2030],MATCH(A1929,tbl_recyclass[ProductId],0))="Sim","Conforme (meta 2030)",IF(INDEX(tbl_recyclass[Conforme_Art7_2030],MATCH(A1929,tbl_recyclass[ProductId],0))="Não","Lacuna face à meta 2030","Isento")),IF(B1929="EU-ENV-011",IF(INDEX(tbl_familias_ppwr[Metais_Pesados_Evidencia],MATCH(INDEX(tbl_recyclass[Familia_PPWR],MATCH(A1929,tbl_recyclass[ProductId],0)),tbl_familias_ppwr[ID_Familia],0))="Em falta","Lacuna","Conforme"),IF(B1929="EU-ENV-013",IF(INDEX(tbl_familias_ppwr[Declaracao_UE],MATCH(INDEX(tbl_recyclass[Familia_PPWR],MATCH(A1929,tbl_recyclass[ProductId],0)),tbl_familias_ppwr[ID_Familia],0))="Sim","Conforme","Lacuna"),G1929)))),G1929))</f>
        <v>Conforme</v>
      </c>
      <c r="I1929" s="33" t="str">
        <f t="shared" si="30"/>
        <v>Conforme</v>
      </c>
      <c r="J1929" s="26" t="s">
        <v>1221</v>
      </c>
    </row>
    <row r="1930" spans="1:10" ht="16.05" customHeight="1" x14ac:dyDescent="0.3">
      <c r="A1930" s="26" t="s">
        <v>814</v>
      </c>
      <c r="B1930" s="26" t="s">
        <v>1224</v>
      </c>
      <c r="C1930" s="33" t="str">
        <f>IFERROR(INDEX(tbl_requisitos_emb[Tema],MATCH(B1930,tbl_requisitos_emb[ID_Req],0)),"")</f>
        <v>Materiais e impurezas</v>
      </c>
      <c r="D1930" s="33" t="str">
        <f>IFERROR(INDEX(tbl_recyclass[Segmento],MATCH(A1930,tbl_recyclass[ProductId],0)),"")</f>
        <v>Cosmética e higiene pessoal</v>
      </c>
      <c r="E1930" s="26" t="s">
        <v>901</v>
      </c>
      <c r="F1930" s="26" t="s">
        <v>1449</v>
      </c>
      <c r="G1930" s="26" t="s">
        <v>978</v>
      </c>
      <c r="H1930" s="33" t="str">
        <f>IF(E1930="Não","Não aplicável",IFERROR(IF(B1930="EU-ENV-002",IF(INDEX(tbl_recyclass[Conforme_PPWR_2030],MATCH(A1930,tbl_recyclass[ProductId],0))="Sim","Conforme (autoavaliação)",IF(INDEX(tbl_recyclass[Conforme_PPWR_2030],MATCH(A1930,tbl_recyclass[ProductId],0))="Não","Não conforme em 2030","Isento até 2035")),IF(B1930="EU-ENV-003",IF(INDEX(tbl_recyclass[Conforme_Art7_2030],MATCH(A1930,tbl_recyclass[ProductId],0))="Sim","Conforme (meta 2030)",IF(INDEX(tbl_recyclass[Conforme_Art7_2030],MATCH(A1930,tbl_recyclass[ProductId],0))="Não","Lacuna face à meta 2030","Isento")),IF(B1930="EU-ENV-011",IF(INDEX(tbl_familias_ppwr[Metais_Pesados_Evidencia],MATCH(INDEX(tbl_recyclass[Familia_PPWR],MATCH(A1930,tbl_recyclass[ProductId],0)),tbl_familias_ppwr[ID_Familia],0))="Em falta","Lacuna","Conforme"),IF(B1930="EU-ENV-013",IF(INDEX(tbl_familias_ppwr[Declaracao_UE],MATCH(INDEX(tbl_recyclass[Familia_PPWR],MATCH(A1930,tbl_recyclass[ProductId],0)),tbl_familias_ppwr[ID_Familia],0))="Sim","Conforme","Lacuna"),G1930)))),G1930))</f>
        <v>Parcial</v>
      </c>
      <c r="I1930" s="33" t="str">
        <f t="shared" si="30"/>
        <v>Parcial</v>
      </c>
      <c r="J1930" s="26" t="s">
        <v>1228</v>
      </c>
    </row>
    <row r="1931" spans="1:10" ht="16.05" customHeight="1" x14ac:dyDescent="0.3">
      <c r="A1931" s="26" t="s">
        <v>814</v>
      </c>
      <c r="B1931" s="26" t="s">
        <v>1240</v>
      </c>
      <c r="C1931" s="33" t="str">
        <f>IFERROR(INDEX(tbl_requisitos_emb[Tema],MATCH(B1931,tbl_requisitos_emb[ID_Req],0)),"")</f>
        <v>Compatibilidade embalagem–produto</v>
      </c>
      <c r="D1931" s="33" t="str">
        <f>IFERROR(INDEX(tbl_recyclass[Segmento],MATCH(A1931,tbl_recyclass[ProductId],0)),"")</f>
        <v>Cosmética e higiene pessoal</v>
      </c>
      <c r="E1931" s="26" t="s">
        <v>901</v>
      </c>
      <c r="F1931" s="26" t="s">
        <v>1449</v>
      </c>
      <c r="G1931" s="26" t="s">
        <v>1033</v>
      </c>
      <c r="H1931" s="33" t="str">
        <f>IF(E1931="Não","Não aplicável",IFERROR(IF(B1931="EU-ENV-002",IF(INDEX(tbl_recyclass[Conforme_PPWR_2030],MATCH(A1931,tbl_recyclass[ProductId],0))="Sim","Conforme (autoavaliação)",IF(INDEX(tbl_recyclass[Conforme_PPWR_2030],MATCH(A1931,tbl_recyclass[ProductId],0))="Não","Não conforme em 2030","Isento até 2035")),IF(B1931="EU-ENV-003",IF(INDEX(tbl_recyclass[Conforme_Art7_2030],MATCH(A1931,tbl_recyclass[ProductId],0))="Sim","Conforme (meta 2030)",IF(INDEX(tbl_recyclass[Conforme_Art7_2030],MATCH(A1931,tbl_recyclass[ProductId],0))="Não","Lacuna face à meta 2030","Isento")),IF(B1931="EU-ENV-011",IF(INDEX(tbl_familias_ppwr[Metais_Pesados_Evidencia],MATCH(INDEX(tbl_recyclass[Familia_PPWR],MATCH(A1931,tbl_recyclass[ProductId],0)),tbl_familias_ppwr[ID_Familia],0))="Em falta","Lacuna","Conforme"),IF(B1931="EU-ENV-013",IF(INDEX(tbl_familias_ppwr[Declaracao_UE],MATCH(INDEX(tbl_recyclass[Familia_PPWR],MATCH(A1931,tbl_recyclass[ProductId],0)),tbl_familias_ppwr[ID_Familia],0))="Sim","Conforme","Lacuna"),G1931)))),G1931))</f>
        <v>Conforme</v>
      </c>
      <c r="I1931" s="33" t="str">
        <f t="shared" si="30"/>
        <v>Conforme</v>
      </c>
      <c r="J1931" s="26" t="s">
        <v>1244</v>
      </c>
    </row>
    <row r="1932" spans="1:10" ht="16.05" customHeight="1" x14ac:dyDescent="0.3">
      <c r="A1932" s="26" t="s">
        <v>814</v>
      </c>
      <c r="B1932" s="26" t="s">
        <v>1252</v>
      </c>
      <c r="C1932" s="33" t="str">
        <f>IFERROR(INDEX(tbl_requisitos_emb[Tema],MATCH(B1932,tbl_requisitos_emb[ID_Req],0)),"")</f>
        <v>Medicamentos de uso humano</v>
      </c>
      <c r="D1932" s="33" t="str">
        <f>IFERROR(INDEX(tbl_recyclass[Segmento],MATCH(A1932,tbl_recyclass[ProductId],0)),"")</f>
        <v>Cosmética e higiene pessoal</v>
      </c>
      <c r="E1932" s="26" t="s">
        <v>904</v>
      </c>
      <c r="F1932" s="26" t="s">
        <v>1451</v>
      </c>
      <c r="G1932" s="26" t="s">
        <v>1143</v>
      </c>
      <c r="H1932" s="33" t="str">
        <f>IF(E1932="Não","Não aplicável",IFERROR(IF(B1932="EU-ENV-002",IF(INDEX(tbl_recyclass[Conforme_PPWR_2030],MATCH(A1932,tbl_recyclass[ProductId],0))="Sim","Conforme (autoavaliação)",IF(INDEX(tbl_recyclass[Conforme_PPWR_2030],MATCH(A1932,tbl_recyclass[ProductId],0))="Não","Não conforme em 2030","Isento até 2035")),IF(B1932="EU-ENV-003",IF(INDEX(tbl_recyclass[Conforme_Art7_2030],MATCH(A1932,tbl_recyclass[ProductId],0))="Sim","Conforme (meta 2030)",IF(INDEX(tbl_recyclass[Conforme_Art7_2030],MATCH(A1932,tbl_recyclass[ProductId],0))="Não","Lacuna face à meta 2030","Isento")),IF(B1932="EU-ENV-011",IF(INDEX(tbl_familias_ppwr[Metais_Pesados_Evidencia],MATCH(INDEX(tbl_recyclass[Familia_PPWR],MATCH(A1932,tbl_recyclass[ProductId],0)),tbl_familias_ppwr[ID_Familia],0))="Em falta","Lacuna","Conforme"),IF(B1932="EU-ENV-013",IF(INDEX(tbl_familias_ppwr[Declaracao_UE],MATCH(INDEX(tbl_recyclass[Familia_PPWR],MATCH(A1932,tbl_recyclass[ProductId],0)),tbl_familias_ppwr[ID_Familia],0))="Sim","Conforme","Lacuna"),G1932)))),G1932))</f>
        <v>Não aplicável</v>
      </c>
      <c r="I1932" s="33" t="str">
        <f t="shared" si="30"/>
        <v>Não aplicável</v>
      </c>
      <c r="J1932" s="26"/>
    </row>
    <row r="1933" spans="1:10" ht="16.05" customHeight="1" x14ac:dyDescent="0.3">
      <c r="A1933" s="26" t="s">
        <v>814</v>
      </c>
      <c r="B1933" s="26" t="s">
        <v>1268</v>
      </c>
      <c r="C1933" s="33" t="str">
        <f>IFERROR(INDEX(tbl_requisitos_emb[Tema],MATCH(B1933,tbl_requisitos_emb[ID_Req],0)),"")</f>
        <v>Dispositivos de segurança</v>
      </c>
      <c r="D1933" s="33" t="str">
        <f>IFERROR(INDEX(tbl_recyclass[Segmento],MATCH(A1933,tbl_recyclass[ProductId],0)),"")</f>
        <v>Cosmética e higiene pessoal</v>
      </c>
      <c r="E1933" s="26" t="s">
        <v>904</v>
      </c>
      <c r="F1933" s="26" t="s">
        <v>1451</v>
      </c>
      <c r="G1933" s="26" t="s">
        <v>1143</v>
      </c>
      <c r="H1933" s="33" t="str">
        <f>IF(E1933="Não","Não aplicável",IFERROR(IF(B1933="EU-ENV-002",IF(INDEX(tbl_recyclass[Conforme_PPWR_2030],MATCH(A1933,tbl_recyclass[ProductId],0))="Sim","Conforme (autoavaliação)",IF(INDEX(tbl_recyclass[Conforme_PPWR_2030],MATCH(A1933,tbl_recyclass[ProductId],0))="Não","Não conforme em 2030","Isento até 2035")),IF(B1933="EU-ENV-003",IF(INDEX(tbl_recyclass[Conforme_Art7_2030],MATCH(A1933,tbl_recyclass[ProductId],0))="Sim","Conforme (meta 2030)",IF(INDEX(tbl_recyclass[Conforme_Art7_2030],MATCH(A1933,tbl_recyclass[ProductId],0))="Não","Lacuna face à meta 2030","Isento")),IF(B1933="EU-ENV-011",IF(INDEX(tbl_familias_ppwr[Metais_Pesados_Evidencia],MATCH(INDEX(tbl_recyclass[Familia_PPWR],MATCH(A1933,tbl_recyclass[ProductId],0)),tbl_familias_ppwr[ID_Familia],0))="Em falta","Lacuna","Conforme"),IF(B1933="EU-ENV-013",IF(INDEX(tbl_familias_ppwr[Declaracao_UE],MATCH(INDEX(tbl_recyclass[Familia_PPWR],MATCH(A1933,tbl_recyclass[ProductId],0)),tbl_familias_ppwr[ID_Familia],0))="Sim","Conforme","Lacuna"),G1933)))),G1933))</f>
        <v>Não aplicável</v>
      </c>
      <c r="I1933" s="33" t="str">
        <f t="shared" si="30"/>
        <v>Não aplicável</v>
      </c>
      <c r="J1933" s="26"/>
    </row>
    <row r="1934" spans="1:10" ht="16.05" customHeight="1" x14ac:dyDescent="0.3">
      <c r="A1934" s="26" t="s">
        <v>814</v>
      </c>
      <c r="B1934" s="26" t="s">
        <v>1285</v>
      </c>
      <c r="C1934" s="33" t="str">
        <f>IFERROR(INDEX(tbl_requisitos_emb[Tema],MATCH(B1934,tbl_requisitos_emb[ID_Req],0)),"")</f>
        <v>Materiais plásticos de acondicionamento primário</v>
      </c>
      <c r="D1934" s="33" t="str">
        <f>IFERROR(INDEX(tbl_recyclass[Segmento],MATCH(A1934,tbl_recyclass[ProductId],0)),"")</f>
        <v>Cosmética e higiene pessoal</v>
      </c>
      <c r="E1934" s="26" t="s">
        <v>904</v>
      </c>
      <c r="F1934" s="26" t="s">
        <v>1451</v>
      </c>
      <c r="G1934" s="26" t="s">
        <v>1143</v>
      </c>
      <c r="H1934" s="33" t="str">
        <f>IF(E1934="Não","Não aplicável",IFERROR(IF(B1934="EU-ENV-002",IF(INDEX(tbl_recyclass[Conforme_PPWR_2030],MATCH(A1934,tbl_recyclass[ProductId],0))="Sim","Conforme (autoavaliação)",IF(INDEX(tbl_recyclass[Conforme_PPWR_2030],MATCH(A1934,tbl_recyclass[ProductId],0))="Não","Não conforme em 2030","Isento até 2035")),IF(B1934="EU-ENV-003",IF(INDEX(tbl_recyclass[Conforme_Art7_2030],MATCH(A1934,tbl_recyclass[ProductId],0))="Sim","Conforme (meta 2030)",IF(INDEX(tbl_recyclass[Conforme_Art7_2030],MATCH(A1934,tbl_recyclass[ProductId],0))="Não","Lacuna face à meta 2030","Isento")),IF(B1934="EU-ENV-011",IF(INDEX(tbl_familias_ppwr[Metais_Pesados_Evidencia],MATCH(INDEX(tbl_recyclass[Familia_PPWR],MATCH(A1934,tbl_recyclass[ProductId],0)),tbl_familias_ppwr[ID_Familia],0))="Em falta","Lacuna","Conforme"),IF(B1934="EU-ENV-013",IF(INDEX(tbl_familias_ppwr[Declaracao_UE],MATCH(INDEX(tbl_recyclass[Familia_PPWR],MATCH(A1934,tbl_recyclass[ProductId],0)),tbl_familias_ppwr[ID_Familia],0))="Sim","Conforme","Lacuna"),G1934)))),G1934))</f>
        <v>Não aplicável</v>
      </c>
      <c r="I1934" s="33" t="str">
        <f t="shared" si="30"/>
        <v>Não aplicável</v>
      </c>
      <c r="J1934" s="26"/>
    </row>
    <row r="1935" spans="1:10" ht="16.05" customHeight="1" x14ac:dyDescent="0.3">
      <c r="A1935" s="26" t="s">
        <v>814</v>
      </c>
      <c r="B1935" s="26" t="s">
        <v>1293</v>
      </c>
      <c r="C1935" s="33" t="str">
        <f>IFERROR(INDEX(tbl_requisitos_emb[Tema],MATCH(B1935,tbl_requisitos_emb[ID_Req],0)),"")</f>
        <v>Isenções PPWR</v>
      </c>
      <c r="D1935" s="33" t="str">
        <f>IFERROR(INDEX(tbl_recyclass[Segmento],MATCH(A1935,tbl_recyclass[ProductId],0)),"")</f>
        <v>Cosmética e higiene pessoal</v>
      </c>
      <c r="E1935" s="26" t="s">
        <v>904</v>
      </c>
      <c r="F1935" s="26" t="s">
        <v>1451</v>
      </c>
      <c r="G1935" s="26" t="s">
        <v>1143</v>
      </c>
      <c r="H1935" s="33" t="str">
        <f>IF(E1935="Não","Não aplicável",IFERROR(IF(B1935="EU-ENV-002",IF(INDEX(tbl_recyclass[Conforme_PPWR_2030],MATCH(A1935,tbl_recyclass[ProductId],0))="Sim","Conforme (autoavaliação)",IF(INDEX(tbl_recyclass[Conforme_PPWR_2030],MATCH(A1935,tbl_recyclass[ProductId],0))="Não","Não conforme em 2030","Isento até 2035")),IF(B1935="EU-ENV-003",IF(INDEX(tbl_recyclass[Conforme_Art7_2030],MATCH(A1935,tbl_recyclass[ProductId],0))="Sim","Conforme (meta 2030)",IF(INDEX(tbl_recyclass[Conforme_Art7_2030],MATCH(A1935,tbl_recyclass[ProductId],0))="Não","Lacuna face à meta 2030","Isento")),IF(B1935="EU-ENV-011",IF(INDEX(tbl_familias_ppwr[Metais_Pesados_Evidencia],MATCH(INDEX(tbl_recyclass[Familia_PPWR],MATCH(A1935,tbl_recyclass[ProductId],0)),tbl_familias_ppwr[ID_Familia],0))="Em falta","Lacuna","Conforme"),IF(B1935="EU-ENV-013",IF(INDEX(tbl_familias_ppwr[Declaracao_UE],MATCH(INDEX(tbl_recyclass[Familia_PPWR],MATCH(A1935,tbl_recyclass[ProductId],0)),tbl_familias_ppwr[ID_Familia],0))="Sim","Conforme","Lacuna"),G1935)))),G1935))</f>
        <v>Não aplicável</v>
      </c>
      <c r="I1935" s="33" t="str">
        <f t="shared" si="30"/>
        <v>Não aplicável</v>
      </c>
      <c r="J1935" s="26"/>
    </row>
    <row r="1936" spans="1:10" ht="16.05" customHeight="1" x14ac:dyDescent="0.3">
      <c r="A1936" s="26" t="s">
        <v>814</v>
      </c>
      <c r="B1936" s="26" t="s">
        <v>1357</v>
      </c>
      <c r="C1936" s="33" t="str">
        <f>IFERROR(INDEX(tbl_requisitos_emb[Tema],MATCH(B1936,tbl_requisitos_emb[ID_Req],0)),"")</f>
        <v>Identificação de plásticos</v>
      </c>
      <c r="D1936" s="33" t="str">
        <f>IFERROR(INDEX(tbl_recyclass[Segmento],MATCH(A1936,tbl_recyclass[ProductId],0)),"")</f>
        <v>Cosmética e higiene pessoal</v>
      </c>
      <c r="E1936" s="26" t="s">
        <v>901</v>
      </c>
      <c r="F1936" s="26" t="s">
        <v>1449</v>
      </c>
      <c r="G1936" s="26" t="s">
        <v>978</v>
      </c>
      <c r="H1936" s="33" t="str">
        <f>IF(E1936="Não","Não aplicável",IFERROR(IF(B1936="EU-ENV-002",IF(INDEX(tbl_recyclass[Conforme_PPWR_2030],MATCH(A1936,tbl_recyclass[ProductId],0))="Sim","Conforme (autoavaliação)",IF(INDEX(tbl_recyclass[Conforme_PPWR_2030],MATCH(A1936,tbl_recyclass[ProductId],0))="Não","Não conforme em 2030","Isento até 2035")),IF(B1936="EU-ENV-003",IF(INDEX(tbl_recyclass[Conforme_Art7_2030],MATCH(A1936,tbl_recyclass[ProductId],0))="Sim","Conforme (meta 2030)",IF(INDEX(tbl_recyclass[Conforme_Art7_2030],MATCH(A1936,tbl_recyclass[ProductId],0))="Não","Lacuna face à meta 2030","Isento")),IF(B1936="EU-ENV-011",IF(INDEX(tbl_familias_ppwr[Metais_Pesados_Evidencia],MATCH(INDEX(tbl_recyclass[Familia_PPWR],MATCH(A1936,tbl_recyclass[ProductId],0)),tbl_familias_ppwr[ID_Familia],0))="Em falta","Lacuna","Conforme"),IF(B1936="EU-ENV-013",IF(INDEX(tbl_familias_ppwr[Declaracao_UE],MATCH(INDEX(tbl_recyclass[Familia_PPWR],MATCH(A1936,tbl_recyclass[ProductId],0)),tbl_familias_ppwr[ID_Familia],0))="Sim","Conforme","Lacuna"),G1936)))),G1936))</f>
        <v>Parcial</v>
      </c>
      <c r="I1936" s="33" t="str">
        <f t="shared" si="30"/>
        <v>Parcial</v>
      </c>
      <c r="J1936" s="26" t="s">
        <v>1362</v>
      </c>
    </row>
    <row r="1937" spans="1:10" ht="16.05" customHeight="1" x14ac:dyDescent="0.3">
      <c r="A1937" s="26" t="s">
        <v>814</v>
      </c>
      <c r="B1937" s="26" t="s">
        <v>1385</v>
      </c>
      <c r="C1937" s="33" t="str">
        <f>IFERROR(INDEX(tbl_requisitos_emb[Tema],MATCH(B1937,tbl_requisitos_emb[ID_Req],0)),"")</f>
        <v>Reciclabilidade (voluntária)</v>
      </c>
      <c r="D1937" s="33" t="str">
        <f>IFERROR(INDEX(tbl_recyclass[Segmento],MATCH(A1937,tbl_recyclass[ProductId],0)),"")</f>
        <v>Cosmética e higiene pessoal</v>
      </c>
      <c r="E1937" s="26" t="s">
        <v>901</v>
      </c>
      <c r="F1937" s="26" t="s">
        <v>1449</v>
      </c>
      <c r="G1937" s="26" t="s">
        <v>978</v>
      </c>
      <c r="H1937" s="33" t="str">
        <f>IF(E1937="Não","Não aplicável",IFERROR(IF(B1937="EU-ENV-002",IF(INDEX(tbl_recyclass[Conforme_PPWR_2030],MATCH(A1937,tbl_recyclass[ProductId],0))="Sim","Conforme (autoavaliação)",IF(INDEX(tbl_recyclass[Conforme_PPWR_2030],MATCH(A1937,tbl_recyclass[ProductId],0))="Não","Não conforme em 2030","Isento até 2035")),IF(B1937="EU-ENV-003",IF(INDEX(tbl_recyclass[Conforme_Art7_2030],MATCH(A1937,tbl_recyclass[ProductId],0))="Sim","Conforme (meta 2030)",IF(INDEX(tbl_recyclass[Conforme_Art7_2030],MATCH(A1937,tbl_recyclass[ProductId],0))="Não","Lacuna face à meta 2030","Isento")),IF(B1937="EU-ENV-011",IF(INDEX(tbl_familias_ppwr[Metais_Pesados_Evidencia],MATCH(INDEX(tbl_recyclass[Familia_PPWR],MATCH(A1937,tbl_recyclass[ProductId],0)),tbl_familias_ppwr[ID_Familia],0))="Em falta","Lacuna","Conforme"),IF(B1937="EU-ENV-013",IF(INDEX(tbl_familias_ppwr[Declaracao_UE],MATCH(INDEX(tbl_recyclass[Familia_PPWR],MATCH(A1937,tbl_recyclass[ProductId],0)),tbl_familias_ppwr[ID_Familia],0))="Sim","Conforme","Lacuna"),G1937)))),G1937))</f>
        <v>Parcial</v>
      </c>
      <c r="I1937" s="33" t="str">
        <f t="shared" si="30"/>
        <v>Parcial</v>
      </c>
      <c r="J1937" s="26" t="s">
        <v>1389</v>
      </c>
    </row>
    <row r="1938" spans="1:10" ht="16.05" customHeight="1" x14ac:dyDescent="0.3">
      <c r="A1938" s="26" t="s">
        <v>816</v>
      </c>
      <c r="B1938" s="26" t="s">
        <v>984</v>
      </c>
      <c r="C1938" s="33" t="str">
        <f>IFERROR(INDEX(tbl_requisitos_emb[Tema],MATCH(B1938,tbl_requisitos_emb[ID_Req],0)),"")</f>
        <v>Conceção para reciclagem</v>
      </c>
      <c r="D1938" s="33" t="str">
        <f>IFERROR(INDEX(tbl_recyclass[Segmento],MATCH(A1938,tbl_recyclass[ProductId],0)),"")</f>
        <v>Cosmética e higiene pessoal</v>
      </c>
      <c r="E1938" s="26" t="s">
        <v>901</v>
      </c>
      <c r="F1938" s="26" t="s">
        <v>1449</v>
      </c>
      <c r="G1938" s="26" t="s">
        <v>978</v>
      </c>
      <c r="H1938" s="33" t="str">
        <f>IF(E1938="Não","Não aplicável",IFERROR(IF(B1938="EU-ENV-002",IF(INDEX(tbl_recyclass[Conforme_PPWR_2030],MATCH(A1938,tbl_recyclass[ProductId],0))="Sim","Conforme (autoavaliação)",IF(INDEX(tbl_recyclass[Conforme_PPWR_2030],MATCH(A1938,tbl_recyclass[ProductId],0))="Não","Não conforme em 2030","Isento até 2035")),IF(B1938="EU-ENV-003",IF(INDEX(tbl_recyclass[Conforme_Art7_2030],MATCH(A1938,tbl_recyclass[ProductId],0))="Sim","Conforme (meta 2030)",IF(INDEX(tbl_recyclass[Conforme_Art7_2030],MATCH(A1938,tbl_recyclass[ProductId],0))="Não","Lacuna face à meta 2030","Isento")),IF(B1938="EU-ENV-011",IF(INDEX(tbl_familias_ppwr[Metais_Pesados_Evidencia],MATCH(INDEX(tbl_recyclass[Familia_PPWR],MATCH(A1938,tbl_recyclass[ProductId],0)),tbl_familias_ppwr[ID_Familia],0))="Em falta","Lacuna","Conforme"),IF(B1938="EU-ENV-013",IF(INDEX(tbl_familias_ppwr[Declaracao_UE],MATCH(INDEX(tbl_recyclass[Familia_PPWR],MATCH(A1938,tbl_recyclass[ProductId],0)),tbl_familias_ppwr[ID_Familia],0))="Sim","Conforme","Lacuna"),G1938)))),G1938))</f>
        <v>Conforme (autoavaliação)</v>
      </c>
      <c r="I1938" s="33" t="str">
        <f t="shared" si="30"/>
        <v>Conforme</v>
      </c>
      <c r="J1938" s="26" t="s">
        <v>991</v>
      </c>
    </row>
    <row r="1939" spans="1:10" ht="16.05" customHeight="1" x14ac:dyDescent="0.3">
      <c r="A1939" s="26" t="s">
        <v>816</v>
      </c>
      <c r="B1939" s="26" t="s">
        <v>997</v>
      </c>
      <c r="C1939" s="33" t="str">
        <f>IFERROR(INDEX(tbl_requisitos_emb[Tema],MATCH(B1939,tbl_requisitos_emb[ID_Req],0)),"")</f>
        <v>Conteúdo reciclado</v>
      </c>
      <c r="D1939" s="33" t="str">
        <f>IFERROR(INDEX(tbl_recyclass[Segmento],MATCH(A1939,tbl_recyclass[ProductId],0)),"")</f>
        <v>Cosmética e higiene pessoal</v>
      </c>
      <c r="E1939" s="26" t="s">
        <v>901</v>
      </c>
      <c r="F1939" s="26" t="s">
        <v>1449</v>
      </c>
      <c r="G1939" s="26" t="s">
        <v>978</v>
      </c>
      <c r="H1939" s="33" t="str">
        <f>IF(E1939="Não","Não aplicável",IFERROR(IF(B1939="EU-ENV-002",IF(INDEX(tbl_recyclass[Conforme_PPWR_2030],MATCH(A1939,tbl_recyclass[ProductId],0))="Sim","Conforme (autoavaliação)",IF(INDEX(tbl_recyclass[Conforme_PPWR_2030],MATCH(A1939,tbl_recyclass[ProductId],0))="Não","Não conforme em 2030","Isento até 2035")),IF(B1939="EU-ENV-003",IF(INDEX(tbl_recyclass[Conforme_Art7_2030],MATCH(A1939,tbl_recyclass[ProductId],0))="Sim","Conforme (meta 2030)",IF(INDEX(tbl_recyclass[Conforme_Art7_2030],MATCH(A1939,tbl_recyclass[ProductId],0))="Não","Lacuna face à meta 2030","Isento")),IF(B1939="EU-ENV-011",IF(INDEX(tbl_familias_ppwr[Metais_Pesados_Evidencia],MATCH(INDEX(tbl_recyclass[Familia_PPWR],MATCH(A1939,tbl_recyclass[ProductId],0)),tbl_familias_ppwr[ID_Familia],0))="Em falta","Lacuna","Conforme"),IF(B1939="EU-ENV-013",IF(INDEX(tbl_familias_ppwr[Declaracao_UE],MATCH(INDEX(tbl_recyclass[Familia_PPWR],MATCH(A1939,tbl_recyclass[ProductId],0)),tbl_familias_ppwr[ID_Familia],0))="Sim","Conforme","Lacuna"),G1939)))),G1939))</f>
        <v>Lacuna face à meta 2030</v>
      </c>
      <c r="I1939" s="33" t="str">
        <f t="shared" si="30"/>
        <v>Lacuna</v>
      </c>
      <c r="J1939" s="26" t="s">
        <v>1001</v>
      </c>
    </row>
    <row r="1940" spans="1:10" ht="16.05" customHeight="1" x14ac:dyDescent="0.3">
      <c r="A1940" s="26" t="s">
        <v>816</v>
      </c>
      <c r="B1940" s="26" t="s">
        <v>1007</v>
      </c>
      <c r="C1940" s="33" t="str">
        <f>IFERROR(INDEX(tbl_requisitos_emb[Tema],MATCH(B1940,tbl_requisitos_emb[ID_Req],0)),"")</f>
        <v>Minimização</v>
      </c>
      <c r="D1940" s="33" t="str">
        <f>IFERROR(INDEX(tbl_recyclass[Segmento],MATCH(A1940,tbl_recyclass[ProductId],0)),"")</f>
        <v>Cosmética e higiene pessoal</v>
      </c>
      <c r="E1940" s="26" t="s">
        <v>901</v>
      </c>
      <c r="F1940" s="26" t="s">
        <v>1449</v>
      </c>
      <c r="G1940" s="26" t="s">
        <v>978</v>
      </c>
      <c r="H1940" s="33" t="str">
        <f>IF(E1940="Não","Não aplicável",IFERROR(IF(B1940="EU-ENV-002",IF(INDEX(tbl_recyclass[Conforme_PPWR_2030],MATCH(A1940,tbl_recyclass[ProductId],0))="Sim","Conforme (autoavaliação)",IF(INDEX(tbl_recyclass[Conforme_PPWR_2030],MATCH(A1940,tbl_recyclass[ProductId],0))="Não","Não conforme em 2030","Isento até 2035")),IF(B1940="EU-ENV-003",IF(INDEX(tbl_recyclass[Conforme_Art7_2030],MATCH(A1940,tbl_recyclass[ProductId],0))="Sim","Conforme (meta 2030)",IF(INDEX(tbl_recyclass[Conforme_Art7_2030],MATCH(A1940,tbl_recyclass[ProductId],0))="Não","Lacuna face à meta 2030","Isento")),IF(B1940="EU-ENV-011",IF(INDEX(tbl_familias_ppwr[Metais_Pesados_Evidencia],MATCH(INDEX(tbl_recyclass[Familia_PPWR],MATCH(A1940,tbl_recyclass[ProductId],0)),tbl_familias_ppwr[ID_Familia],0))="Em falta","Lacuna","Conforme"),IF(B1940="EU-ENV-013",IF(INDEX(tbl_familias_ppwr[Declaracao_UE],MATCH(INDEX(tbl_recyclass[Familia_PPWR],MATCH(A1940,tbl_recyclass[ProductId],0)),tbl_familias_ppwr[ID_Familia],0))="Sim","Conforme","Lacuna"),G1940)))),G1940))</f>
        <v>Parcial</v>
      </c>
      <c r="I1940" s="33" t="str">
        <f t="shared" si="30"/>
        <v>Parcial</v>
      </c>
      <c r="J1940" s="26" t="s">
        <v>1012</v>
      </c>
    </row>
    <row r="1941" spans="1:10" ht="16.05" customHeight="1" x14ac:dyDescent="0.3">
      <c r="A1941" s="26" t="s">
        <v>816</v>
      </c>
      <c r="B1941" s="26" t="s">
        <v>1016</v>
      </c>
      <c r="C1941" s="33" t="str">
        <f>IFERROR(INDEX(tbl_requisitos_emb[Tema],MATCH(B1941,tbl_requisitos_emb[ID_Req],0)),"")</f>
        <v>Rotulagem</v>
      </c>
      <c r="D1941" s="33" t="str">
        <f>IFERROR(INDEX(tbl_recyclass[Segmento],MATCH(A1941,tbl_recyclass[ProductId],0)),"")</f>
        <v>Cosmética e higiene pessoal</v>
      </c>
      <c r="E1941" s="26" t="s">
        <v>901</v>
      </c>
      <c r="F1941" s="26" t="s">
        <v>1449</v>
      </c>
      <c r="G1941" s="26" t="s">
        <v>990</v>
      </c>
      <c r="H1941" s="33" t="str">
        <f>IF(E1941="Não","Não aplicável",IFERROR(IF(B1941="EU-ENV-002",IF(INDEX(tbl_recyclass[Conforme_PPWR_2030],MATCH(A1941,tbl_recyclass[ProductId],0))="Sim","Conforme (autoavaliação)",IF(INDEX(tbl_recyclass[Conforme_PPWR_2030],MATCH(A1941,tbl_recyclass[ProductId],0))="Não","Não conforme em 2030","Isento até 2035")),IF(B1941="EU-ENV-003",IF(INDEX(tbl_recyclass[Conforme_Art7_2030],MATCH(A1941,tbl_recyclass[ProductId],0))="Sim","Conforme (meta 2030)",IF(INDEX(tbl_recyclass[Conforme_Art7_2030],MATCH(A1941,tbl_recyclass[ProductId],0))="Não","Lacuna face à meta 2030","Isento")),IF(B1941="EU-ENV-011",IF(INDEX(tbl_familias_ppwr[Metais_Pesados_Evidencia],MATCH(INDEX(tbl_recyclass[Familia_PPWR],MATCH(A1941,tbl_recyclass[ProductId],0)),tbl_familias_ppwr[ID_Familia],0))="Em falta","Lacuna","Conforme"),IF(B1941="EU-ENV-013",IF(INDEX(tbl_familias_ppwr[Declaracao_UE],MATCH(INDEX(tbl_recyclass[Familia_PPWR],MATCH(A1941,tbl_recyclass[ProductId],0)),tbl_familias_ppwr[ID_Familia],0))="Sim","Conforme","Lacuna"),G1941)))),G1941))</f>
        <v>Futuro</v>
      </c>
      <c r="I1941" s="33" t="str">
        <f t="shared" si="30"/>
        <v>Futuro</v>
      </c>
      <c r="J1941" s="26" t="s">
        <v>1021</v>
      </c>
    </row>
    <row r="1942" spans="1:10" ht="16.05" customHeight="1" x14ac:dyDescent="0.3">
      <c r="A1942" s="26" t="s">
        <v>816</v>
      </c>
      <c r="B1942" s="26" t="s">
        <v>1038</v>
      </c>
      <c r="C1942" s="33" t="str">
        <f>IFERROR(INDEX(tbl_requisitos_emb[Tema],MATCH(B1942,tbl_requisitos_emb[ID_Req],0)),"")</f>
        <v>Plásticos de utilização única</v>
      </c>
      <c r="D1942" s="33" t="str">
        <f>IFERROR(INDEX(tbl_recyclass[Segmento],MATCH(A1942,tbl_recyclass[ProductId],0)),"")</f>
        <v>Cosmética e higiene pessoal</v>
      </c>
      <c r="E1942" s="26" t="s">
        <v>904</v>
      </c>
      <c r="F1942" s="26" t="s">
        <v>1450</v>
      </c>
      <c r="G1942" s="26" t="s">
        <v>1143</v>
      </c>
      <c r="H1942" s="33" t="str">
        <f>IF(E1942="Não","Não aplicável",IFERROR(IF(B1942="EU-ENV-002",IF(INDEX(tbl_recyclass[Conforme_PPWR_2030],MATCH(A1942,tbl_recyclass[ProductId],0))="Sim","Conforme (autoavaliação)",IF(INDEX(tbl_recyclass[Conforme_PPWR_2030],MATCH(A1942,tbl_recyclass[ProductId],0))="Não","Não conforme em 2030","Isento até 2035")),IF(B1942="EU-ENV-003",IF(INDEX(tbl_recyclass[Conforme_Art7_2030],MATCH(A1942,tbl_recyclass[ProductId],0))="Sim","Conforme (meta 2030)",IF(INDEX(tbl_recyclass[Conforme_Art7_2030],MATCH(A1942,tbl_recyclass[ProductId],0))="Não","Lacuna face à meta 2030","Isento")),IF(B1942="EU-ENV-011",IF(INDEX(tbl_familias_ppwr[Metais_Pesados_Evidencia],MATCH(INDEX(tbl_recyclass[Familia_PPWR],MATCH(A1942,tbl_recyclass[ProductId],0)),tbl_familias_ppwr[ID_Familia],0))="Em falta","Lacuna","Conforme"),IF(B1942="EU-ENV-013",IF(INDEX(tbl_familias_ppwr[Declaracao_UE],MATCH(INDEX(tbl_recyclass[Familia_PPWR],MATCH(A1942,tbl_recyclass[ProductId],0)),tbl_familias_ppwr[ID_Familia],0))="Sim","Conforme","Lacuna"),G1942)))),G1942))</f>
        <v>Não aplicável</v>
      </c>
      <c r="I1942" s="33" t="str">
        <f t="shared" si="30"/>
        <v>Não aplicável</v>
      </c>
      <c r="J1942" s="26"/>
    </row>
    <row r="1943" spans="1:10" ht="16.05" customHeight="1" x14ac:dyDescent="0.3">
      <c r="A1943" s="26" t="s">
        <v>816</v>
      </c>
      <c r="B1943" s="26" t="s">
        <v>1078</v>
      </c>
      <c r="C1943" s="33" t="str">
        <f>IFERROR(INDEX(tbl_requisitos_emb[Tema],MATCH(B1943,tbl_requisitos_emb[ID_Req],0)),"")</f>
        <v>Reciclado à escala</v>
      </c>
      <c r="D1943" s="33" t="str">
        <f>IFERROR(INDEX(tbl_recyclass[Segmento],MATCH(A1943,tbl_recyclass[ProductId],0)),"")</f>
        <v>Cosmética e higiene pessoal</v>
      </c>
      <c r="E1943" s="26" t="s">
        <v>901</v>
      </c>
      <c r="F1943" s="26" t="s">
        <v>1449</v>
      </c>
      <c r="G1943" s="26" t="s">
        <v>990</v>
      </c>
      <c r="H1943" s="33" t="str">
        <f>IF(E1943="Não","Não aplicável",IFERROR(IF(B1943="EU-ENV-002",IF(INDEX(tbl_recyclass[Conforme_PPWR_2030],MATCH(A1943,tbl_recyclass[ProductId],0))="Sim","Conforme (autoavaliação)",IF(INDEX(tbl_recyclass[Conforme_PPWR_2030],MATCH(A1943,tbl_recyclass[ProductId],0))="Não","Não conforme em 2030","Isento até 2035")),IF(B1943="EU-ENV-003",IF(INDEX(tbl_recyclass[Conforme_Art7_2030],MATCH(A1943,tbl_recyclass[ProductId],0))="Sim","Conforme (meta 2030)",IF(INDEX(tbl_recyclass[Conforme_Art7_2030],MATCH(A1943,tbl_recyclass[ProductId],0))="Não","Lacuna face à meta 2030","Isento")),IF(B1943="EU-ENV-011",IF(INDEX(tbl_familias_ppwr[Metais_Pesados_Evidencia],MATCH(INDEX(tbl_recyclass[Familia_PPWR],MATCH(A1943,tbl_recyclass[ProductId],0)),tbl_familias_ppwr[ID_Familia],0))="Em falta","Lacuna","Conforme"),IF(B1943="EU-ENV-013",IF(INDEX(tbl_familias_ppwr[Declaracao_UE],MATCH(INDEX(tbl_recyclass[Familia_PPWR],MATCH(A1943,tbl_recyclass[ProductId],0)),tbl_familias_ppwr[ID_Familia],0))="Sim","Conforme","Lacuna"),G1943)))),G1943))</f>
        <v>Futuro</v>
      </c>
      <c r="I1943" s="33" t="str">
        <f t="shared" si="30"/>
        <v>Futuro</v>
      </c>
      <c r="J1943" s="26" t="s">
        <v>1082</v>
      </c>
    </row>
    <row r="1944" spans="1:10" ht="16.05" customHeight="1" x14ac:dyDescent="0.3">
      <c r="A1944" s="26" t="s">
        <v>816</v>
      </c>
      <c r="B1944" s="26" t="s">
        <v>1086</v>
      </c>
      <c r="C1944" s="33" t="str">
        <f>IFERROR(INDEX(tbl_requisitos_emb[Tema],MATCH(B1944,tbl_requisitos_emb[ID_Req],0)),"")</f>
        <v>Metais pesados</v>
      </c>
      <c r="D1944" s="33" t="str">
        <f>IFERROR(INDEX(tbl_recyclass[Segmento],MATCH(A1944,tbl_recyclass[ProductId],0)),"")</f>
        <v>Cosmética e higiene pessoal</v>
      </c>
      <c r="E1944" s="26" t="s">
        <v>901</v>
      </c>
      <c r="F1944" s="26" t="s">
        <v>1449</v>
      </c>
      <c r="G1944" s="26" t="s">
        <v>978</v>
      </c>
      <c r="H1944" s="33" t="str">
        <f>IF(E1944="Não","Não aplicável",IFERROR(IF(B1944="EU-ENV-002",IF(INDEX(tbl_recyclass[Conforme_PPWR_2030],MATCH(A1944,tbl_recyclass[ProductId],0))="Sim","Conforme (autoavaliação)",IF(INDEX(tbl_recyclass[Conforme_PPWR_2030],MATCH(A1944,tbl_recyclass[ProductId],0))="Não","Não conforme em 2030","Isento até 2035")),IF(B1944="EU-ENV-003",IF(INDEX(tbl_recyclass[Conforme_Art7_2030],MATCH(A1944,tbl_recyclass[ProductId],0))="Sim","Conforme (meta 2030)",IF(INDEX(tbl_recyclass[Conforme_Art7_2030],MATCH(A1944,tbl_recyclass[ProductId],0))="Não","Lacuna face à meta 2030","Isento")),IF(B1944="EU-ENV-011",IF(INDEX(tbl_familias_ppwr[Metais_Pesados_Evidencia],MATCH(INDEX(tbl_recyclass[Familia_PPWR],MATCH(A1944,tbl_recyclass[ProductId],0)),tbl_familias_ppwr[ID_Familia],0))="Em falta","Lacuna","Conforme"),IF(B1944="EU-ENV-013",IF(INDEX(tbl_familias_ppwr[Declaracao_UE],MATCH(INDEX(tbl_recyclass[Familia_PPWR],MATCH(A1944,tbl_recyclass[ProductId],0)),tbl_familias_ppwr[ID_Familia],0))="Sim","Conforme","Lacuna"),G1944)))),G1944))</f>
        <v>Conforme</v>
      </c>
      <c r="I1944" s="33" t="str">
        <f t="shared" si="30"/>
        <v>Conforme</v>
      </c>
      <c r="J1944" s="26" t="s">
        <v>1090</v>
      </c>
    </row>
    <row r="1945" spans="1:10" ht="16.05" customHeight="1" x14ac:dyDescent="0.3">
      <c r="A1945" s="26" t="s">
        <v>816</v>
      </c>
      <c r="B1945" s="26" t="s">
        <v>1094</v>
      </c>
      <c r="C1945" s="33" t="str">
        <f>IFERROR(INDEX(tbl_requisitos_emb[Tema],MATCH(B1945,tbl_requisitos_emb[ID_Req],0)),"")</f>
        <v>PFAS</v>
      </c>
      <c r="D1945" s="33" t="str">
        <f>IFERROR(INDEX(tbl_recyclass[Segmento],MATCH(A1945,tbl_recyclass[ProductId],0)),"")</f>
        <v>Cosmética e higiene pessoal</v>
      </c>
      <c r="E1945" s="26" t="s">
        <v>904</v>
      </c>
      <c r="F1945" s="26" t="s">
        <v>1450</v>
      </c>
      <c r="G1945" s="26" t="s">
        <v>1143</v>
      </c>
      <c r="H1945" s="33" t="str">
        <f>IF(E1945="Não","Não aplicável",IFERROR(IF(B1945="EU-ENV-002",IF(INDEX(tbl_recyclass[Conforme_PPWR_2030],MATCH(A1945,tbl_recyclass[ProductId],0))="Sim","Conforme (autoavaliação)",IF(INDEX(tbl_recyclass[Conforme_PPWR_2030],MATCH(A1945,tbl_recyclass[ProductId],0))="Não","Não conforme em 2030","Isento até 2035")),IF(B1945="EU-ENV-003",IF(INDEX(tbl_recyclass[Conforme_Art7_2030],MATCH(A1945,tbl_recyclass[ProductId],0))="Sim","Conforme (meta 2030)",IF(INDEX(tbl_recyclass[Conforme_Art7_2030],MATCH(A1945,tbl_recyclass[ProductId],0))="Não","Lacuna face à meta 2030","Isento")),IF(B1945="EU-ENV-011",IF(INDEX(tbl_familias_ppwr[Metais_Pesados_Evidencia],MATCH(INDEX(tbl_recyclass[Familia_PPWR],MATCH(A1945,tbl_recyclass[ProductId],0)),tbl_familias_ppwr[ID_Familia],0))="Em falta","Lacuna","Conforme"),IF(B1945="EU-ENV-013",IF(INDEX(tbl_familias_ppwr[Declaracao_UE],MATCH(INDEX(tbl_recyclass[Familia_PPWR],MATCH(A1945,tbl_recyclass[ProductId],0)),tbl_familias_ppwr[ID_Familia],0))="Sim","Conforme","Lacuna"),G1945)))),G1945))</f>
        <v>Não aplicável</v>
      </c>
      <c r="I1945" s="33" t="str">
        <f t="shared" si="30"/>
        <v>Não aplicável</v>
      </c>
      <c r="J1945" s="26"/>
    </row>
    <row r="1946" spans="1:10" ht="16.05" customHeight="1" x14ac:dyDescent="0.3">
      <c r="A1946" s="26" t="s">
        <v>816</v>
      </c>
      <c r="B1946" s="26" t="s">
        <v>1102</v>
      </c>
      <c r="C1946" s="33" t="str">
        <f>IFERROR(INDEX(tbl_requisitos_emb[Tema],MATCH(B1946,tbl_requisitos_emb[ID_Req],0)),"")</f>
        <v>Documentação técnica e declaração UE</v>
      </c>
      <c r="D1946" s="33" t="str">
        <f>IFERROR(INDEX(tbl_recyclass[Segmento],MATCH(A1946,tbl_recyclass[ProductId],0)),"")</f>
        <v>Cosmética e higiene pessoal</v>
      </c>
      <c r="E1946" s="26" t="s">
        <v>901</v>
      </c>
      <c r="F1946" s="26" t="s">
        <v>1449</v>
      </c>
      <c r="G1946" s="26" t="s">
        <v>978</v>
      </c>
      <c r="H1946" s="33" t="str">
        <f>IF(E1946="Não","Não aplicável",IFERROR(IF(B1946="EU-ENV-002",IF(INDEX(tbl_recyclass[Conforme_PPWR_2030],MATCH(A1946,tbl_recyclass[ProductId],0))="Sim","Conforme (autoavaliação)",IF(INDEX(tbl_recyclass[Conforme_PPWR_2030],MATCH(A1946,tbl_recyclass[ProductId],0))="Não","Não conforme em 2030","Isento até 2035")),IF(B1946="EU-ENV-003",IF(INDEX(tbl_recyclass[Conforme_Art7_2030],MATCH(A1946,tbl_recyclass[ProductId],0))="Sim","Conforme (meta 2030)",IF(INDEX(tbl_recyclass[Conforme_Art7_2030],MATCH(A1946,tbl_recyclass[ProductId],0))="Não","Lacuna face à meta 2030","Isento")),IF(B1946="EU-ENV-011",IF(INDEX(tbl_familias_ppwr[Metais_Pesados_Evidencia],MATCH(INDEX(tbl_recyclass[Familia_PPWR],MATCH(A1946,tbl_recyclass[ProductId],0)),tbl_familias_ppwr[ID_Familia],0))="Em falta","Lacuna","Conforme"),IF(B1946="EU-ENV-013",IF(INDEX(tbl_familias_ppwr[Declaracao_UE],MATCH(INDEX(tbl_recyclass[Familia_PPWR],MATCH(A1946,tbl_recyclass[ProductId],0)),tbl_familias_ppwr[ID_Familia],0))="Sim","Conforme","Lacuna"),G1946)))),G1946))</f>
        <v>Conforme</v>
      </c>
      <c r="I1946" s="33" t="str">
        <f t="shared" si="30"/>
        <v>Conforme</v>
      </c>
      <c r="J1946" s="26" t="s">
        <v>1106</v>
      </c>
    </row>
    <row r="1947" spans="1:10" ht="16.05" customHeight="1" x14ac:dyDescent="0.3">
      <c r="A1947" s="26" t="s">
        <v>816</v>
      </c>
      <c r="B1947" s="26" t="s">
        <v>1161</v>
      </c>
      <c r="C1947" s="33" t="str">
        <f>IFERROR(INDEX(tbl_requisitos_emb[Tema],MATCH(B1947,tbl_requisitos_emb[ID_Req],0)),"")</f>
        <v>Materiais em contacto com alimentos</v>
      </c>
      <c r="D1947" s="33" t="str">
        <f>IFERROR(INDEX(tbl_recyclass[Segmento],MATCH(A1947,tbl_recyclass[ProductId],0)),"")</f>
        <v>Cosmética e higiene pessoal</v>
      </c>
      <c r="E1947" s="26" t="s">
        <v>904</v>
      </c>
      <c r="F1947" s="26" t="s">
        <v>1450</v>
      </c>
      <c r="G1947" s="26" t="s">
        <v>1143</v>
      </c>
      <c r="H1947" s="33" t="str">
        <f>IF(E1947="Não","Não aplicável",IFERROR(IF(B1947="EU-ENV-002",IF(INDEX(tbl_recyclass[Conforme_PPWR_2030],MATCH(A1947,tbl_recyclass[ProductId],0))="Sim","Conforme (autoavaliação)",IF(INDEX(tbl_recyclass[Conforme_PPWR_2030],MATCH(A1947,tbl_recyclass[ProductId],0))="Não","Não conforme em 2030","Isento até 2035")),IF(B1947="EU-ENV-003",IF(INDEX(tbl_recyclass[Conforme_Art7_2030],MATCH(A1947,tbl_recyclass[ProductId],0))="Sim","Conforme (meta 2030)",IF(INDEX(tbl_recyclass[Conforme_Art7_2030],MATCH(A1947,tbl_recyclass[ProductId],0))="Não","Lacuna face à meta 2030","Isento")),IF(B1947="EU-ENV-011",IF(INDEX(tbl_familias_ppwr[Metais_Pesados_Evidencia],MATCH(INDEX(tbl_recyclass[Familia_PPWR],MATCH(A1947,tbl_recyclass[ProductId],0)),tbl_familias_ppwr[ID_Familia],0))="Em falta","Lacuna","Conforme"),IF(B1947="EU-ENV-013",IF(INDEX(tbl_familias_ppwr[Declaracao_UE],MATCH(INDEX(tbl_recyclass[Familia_PPWR],MATCH(A1947,tbl_recyclass[ProductId],0)),tbl_familias_ppwr[ID_Familia],0))="Sim","Conforme","Lacuna"),G1947)))),G1947))</f>
        <v>Não aplicável</v>
      </c>
      <c r="I1947" s="33" t="str">
        <f t="shared" si="30"/>
        <v>Não aplicável</v>
      </c>
      <c r="J1947" s="26"/>
    </row>
    <row r="1948" spans="1:10" ht="16.05" customHeight="1" x14ac:dyDescent="0.3">
      <c r="A1948" s="26" t="s">
        <v>816</v>
      </c>
      <c r="B1948" s="26" t="s">
        <v>1170</v>
      </c>
      <c r="C1948" s="33" t="str">
        <f>IFERROR(INDEX(tbl_requisitos_emb[Tema],MATCH(B1948,tbl_requisitos_emb[ID_Req],0)),"")</f>
        <v>Boas práticas de fabrico FCM</v>
      </c>
      <c r="D1948" s="33" t="str">
        <f>IFERROR(INDEX(tbl_recyclass[Segmento],MATCH(A1948,tbl_recyclass[ProductId],0)),"")</f>
        <v>Cosmética e higiene pessoal</v>
      </c>
      <c r="E1948" s="26" t="s">
        <v>904</v>
      </c>
      <c r="F1948" s="26" t="s">
        <v>1450</v>
      </c>
      <c r="G1948" s="26" t="s">
        <v>1143</v>
      </c>
      <c r="H1948" s="33" t="str">
        <f>IF(E1948="Não","Não aplicável",IFERROR(IF(B1948="EU-ENV-002",IF(INDEX(tbl_recyclass[Conforme_PPWR_2030],MATCH(A1948,tbl_recyclass[ProductId],0))="Sim","Conforme (autoavaliação)",IF(INDEX(tbl_recyclass[Conforme_PPWR_2030],MATCH(A1948,tbl_recyclass[ProductId],0))="Não","Não conforme em 2030","Isento até 2035")),IF(B1948="EU-ENV-003",IF(INDEX(tbl_recyclass[Conforme_Art7_2030],MATCH(A1948,tbl_recyclass[ProductId],0))="Sim","Conforme (meta 2030)",IF(INDEX(tbl_recyclass[Conforme_Art7_2030],MATCH(A1948,tbl_recyclass[ProductId],0))="Não","Lacuna face à meta 2030","Isento")),IF(B1948="EU-ENV-011",IF(INDEX(tbl_familias_ppwr[Metais_Pesados_Evidencia],MATCH(INDEX(tbl_recyclass[Familia_PPWR],MATCH(A1948,tbl_recyclass[ProductId],0)),tbl_familias_ppwr[ID_Familia],0))="Em falta","Lacuna","Conforme"),IF(B1948="EU-ENV-013",IF(INDEX(tbl_familias_ppwr[Declaracao_UE],MATCH(INDEX(tbl_recyclass[Familia_PPWR],MATCH(A1948,tbl_recyclass[ProductId],0)),tbl_familias_ppwr[ID_Familia],0))="Sim","Conforme","Lacuna"),G1948)))),G1948))</f>
        <v>Não aplicável</v>
      </c>
      <c r="I1948" s="33" t="str">
        <f t="shared" si="30"/>
        <v>Não aplicável</v>
      </c>
      <c r="J1948" s="26"/>
    </row>
    <row r="1949" spans="1:10" ht="16.05" customHeight="1" x14ac:dyDescent="0.3">
      <c r="A1949" s="26" t="s">
        <v>816</v>
      </c>
      <c r="B1949" s="26" t="s">
        <v>1179</v>
      </c>
      <c r="C1949" s="33" t="str">
        <f>IFERROR(INDEX(tbl_requisitos_emb[Tema],MATCH(B1949,tbl_requisitos_emb[ID_Req],0)),"")</f>
        <v>Bisfenol A e bisfenóis perigosos</v>
      </c>
      <c r="D1949" s="33" t="str">
        <f>IFERROR(INDEX(tbl_recyclass[Segmento],MATCH(A1949,tbl_recyclass[ProductId],0)),"")</f>
        <v>Cosmética e higiene pessoal</v>
      </c>
      <c r="E1949" s="26" t="s">
        <v>904</v>
      </c>
      <c r="F1949" s="26" t="s">
        <v>1450</v>
      </c>
      <c r="G1949" s="26" t="s">
        <v>1143</v>
      </c>
      <c r="H1949" s="33" t="str">
        <f>IF(E1949="Não","Não aplicável",IFERROR(IF(B1949="EU-ENV-002",IF(INDEX(tbl_recyclass[Conforme_PPWR_2030],MATCH(A1949,tbl_recyclass[ProductId],0))="Sim","Conforme (autoavaliação)",IF(INDEX(tbl_recyclass[Conforme_PPWR_2030],MATCH(A1949,tbl_recyclass[ProductId],0))="Não","Não conforme em 2030","Isento até 2035")),IF(B1949="EU-ENV-003",IF(INDEX(tbl_recyclass[Conforme_Art7_2030],MATCH(A1949,tbl_recyclass[ProductId],0))="Sim","Conforme (meta 2030)",IF(INDEX(tbl_recyclass[Conforme_Art7_2030],MATCH(A1949,tbl_recyclass[ProductId],0))="Não","Lacuna face à meta 2030","Isento")),IF(B1949="EU-ENV-011",IF(INDEX(tbl_familias_ppwr[Metais_Pesados_Evidencia],MATCH(INDEX(tbl_recyclass[Familia_PPWR],MATCH(A1949,tbl_recyclass[ProductId],0)),tbl_familias_ppwr[ID_Familia],0))="Em falta","Lacuna","Conforme"),IF(B1949="EU-ENV-013",IF(INDEX(tbl_familias_ppwr[Declaracao_UE],MATCH(INDEX(tbl_recyclass[Familia_PPWR],MATCH(A1949,tbl_recyclass[ProductId],0)),tbl_familias_ppwr[ID_Familia],0))="Sim","Conforme","Lacuna"),G1949)))),G1949))</f>
        <v>Não aplicável</v>
      </c>
      <c r="I1949" s="33" t="str">
        <f t="shared" si="30"/>
        <v>Não aplicável</v>
      </c>
      <c r="J1949" s="26"/>
    </row>
    <row r="1950" spans="1:10" ht="16.05" customHeight="1" x14ac:dyDescent="0.3">
      <c r="A1950" s="26" t="s">
        <v>816</v>
      </c>
      <c r="B1950" s="26" t="s">
        <v>1188</v>
      </c>
      <c r="C1950" s="33" t="str">
        <f>IFERROR(INDEX(tbl_requisitos_emb[Tema],MATCH(B1950,tbl_requisitos_emb[ID_Req],0)),"")</f>
        <v>Plásticos em contacto com alimentos</v>
      </c>
      <c r="D1950" s="33" t="str">
        <f>IFERROR(INDEX(tbl_recyclass[Segmento],MATCH(A1950,tbl_recyclass[ProductId],0)),"")</f>
        <v>Cosmética e higiene pessoal</v>
      </c>
      <c r="E1950" s="26" t="s">
        <v>904</v>
      </c>
      <c r="F1950" s="26" t="s">
        <v>1450</v>
      </c>
      <c r="G1950" s="26" t="s">
        <v>1143</v>
      </c>
      <c r="H1950" s="33" t="str">
        <f>IF(E1950="Não","Não aplicável",IFERROR(IF(B1950="EU-ENV-002",IF(INDEX(tbl_recyclass[Conforme_PPWR_2030],MATCH(A1950,tbl_recyclass[ProductId],0))="Sim","Conforme (autoavaliação)",IF(INDEX(tbl_recyclass[Conforme_PPWR_2030],MATCH(A1950,tbl_recyclass[ProductId],0))="Não","Não conforme em 2030","Isento até 2035")),IF(B1950="EU-ENV-003",IF(INDEX(tbl_recyclass[Conforme_Art7_2030],MATCH(A1950,tbl_recyclass[ProductId],0))="Sim","Conforme (meta 2030)",IF(INDEX(tbl_recyclass[Conforme_Art7_2030],MATCH(A1950,tbl_recyclass[ProductId],0))="Não","Lacuna face à meta 2030","Isento")),IF(B1950="EU-ENV-011",IF(INDEX(tbl_familias_ppwr[Metais_Pesados_Evidencia],MATCH(INDEX(tbl_recyclass[Familia_PPWR],MATCH(A1950,tbl_recyclass[ProductId],0)),tbl_familias_ppwr[ID_Familia],0))="Em falta","Lacuna","Conforme"),IF(B1950="EU-ENV-013",IF(INDEX(tbl_familias_ppwr[Declaracao_UE],MATCH(INDEX(tbl_recyclass[Familia_PPWR],MATCH(A1950,tbl_recyclass[ProductId],0)),tbl_familias_ppwr[ID_Familia],0))="Sim","Conforme","Lacuna"),G1950)))),G1950))</f>
        <v>Não aplicável</v>
      </c>
      <c r="I1950" s="33" t="str">
        <f t="shared" si="30"/>
        <v>Não aplicável</v>
      </c>
      <c r="J1950" s="26"/>
    </row>
    <row r="1951" spans="1:10" ht="16.05" customHeight="1" x14ac:dyDescent="0.3">
      <c r="A1951" s="26" t="s">
        <v>816</v>
      </c>
      <c r="B1951" s="26" t="s">
        <v>1212</v>
      </c>
      <c r="C1951" s="33" t="str">
        <f>IFERROR(INDEX(tbl_requisitos_emb[Tema],MATCH(B1951,tbl_requisitos_emb[ID_Req],0)),"")</f>
        <v>Segurança do produto cosmético</v>
      </c>
      <c r="D1951" s="33" t="str">
        <f>IFERROR(INDEX(tbl_recyclass[Segmento],MATCH(A1951,tbl_recyclass[ProductId],0)),"")</f>
        <v>Cosmética e higiene pessoal</v>
      </c>
      <c r="E1951" s="26" t="s">
        <v>901</v>
      </c>
      <c r="F1951" s="26" t="s">
        <v>1449</v>
      </c>
      <c r="G1951" s="26" t="s">
        <v>1033</v>
      </c>
      <c r="H1951" s="33" t="str">
        <f>IF(E1951="Não","Não aplicável",IFERROR(IF(B1951="EU-ENV-002",IF(INDEX(tbl_recyclass[Conforme_PPWR_2030],MATCH(A1951,tbl_recyclass[ProductId],0))="Sim","Conforme (autoavaliação)",IF(INDEX(tbl_recyclass[Conforme_PPWR_2030],MATCH(A1951,tbl_recyclass[ProductId],0))="Não","Não conforme em 2030","Isento até 2035")),IF(B1951="EU-ENV-003",IF(INDEX(tbl_recyclass[Conforme_Art7_2030],MATCH(A1951,tbl_recyclass[ProductId],0))="Sim","Conforme (meta 2030)",IF(INDEX(tbl_recyclass[Conforme_Art7_2030],MATCH(A1951,tbl_recyclass[ProductId],0))="Não","Lacuna face à meta 2030","Isento")),IF(B1951="EU-ENV-011",IF(INDEX(tbl_familias_ppwr[Metais_Pesados_Evidencia],MATCH(INDEX(tbl_recyclass[Familia_PPWR],MATCH(A1951,tbl_recyclass[ProductId],0)),tbl_familias_ppwr[ID_Familia],0))="Em falta","Lacuna","Conforme"),IF(B1951="EU-ENV-013",IF(INDEX(tbl_familias_ppwr[Declaracao_UE],MATCH(INDEX(tbl_recyclass[Familia_PPWR],MATCH(A1951,tbl_recyclass[ProductId],0)),tbl_familias_ppwr[ID_Familia],0))="Sim","Conforme","Lacuna"),G1951)))),G1951))</f>
        <v>Conforme</v>
      </c>
      <c r="I1951" s="33" t="str">
        <f t="shared" si="30"/>
        <v>Conforme</v>
      </c>
      <c r="J1951" s="26" t="s">
        <v>1221</v>
      </c>
    </row>
    <row r="1952" spans="1:10" ht="16.05" customHeight="1" x14ac:dyDescent="0.3">
      <c r="A1952" s="26" t="s">
        <v>816</v>
      </c>
      <c r="B1952" s="26" t="s">
        <v>1224</v>
      </c>
      <c r="C1952" s="33" t="str">
        <f>IFERROR(INDEX(tbl_requisitos_emb[Tema],MATCH(B1952,tbl_requisitos_emb[ID_Req],0)),"")</f>
        <v>Materiais e impurezas</v>
      </c>
      <c r="D1952" s="33" t="str">
        <f>IFERROR(INDEX(tbl_recyclass[Segmento],MATCH(A1952,tbl_recyclass[ProductId],0)),"")</f>
        <v>Cosmética e higiene pessoal</v>
      </c>
      <c r="E1952" s="26" t="s">
        <v>901</v>
      </c>
      <c r="F1952" s="26" t="s">
        <v>1449</v>
      </c>
      <c r="G1952" s="26" t="s">
        <v>978</v>
      </c>
      <c r="H1952" s="33" t="str">
        <f>IF(E1952="Não","Não aplicável",IFERROR(IF(B1952="EU-ENV-002",IF(INDEX(tbl_recyclass[Conforme_PPWR_2030],MATCH(A1952,tbl_recyclass[ProductId],0))="Sim","Conforme (autoavaliação)",IF(INDEX(tbl_recyclass[Conforme_PPWR_2030],MATCH(A1952,tbl_recyclass[ProductId],0))="Não","Não conforme em 2030","Isento até 2035")),IF(B1952="EU-ENV-003",IF(INDEX(tbl_recyclass[Conforme_Art7_2030],MATCH(A1952,tbl_recyclass[ProductId],0))="Sim","Conforme (meta 2030)",IF(INDEX(tbl_recyclass[Conforme_Art7_2030],MATCH(A1952,tbl_recyclass[ProductId],0))="Não","Lacuna face à meta 2030","Isento")),IF(B1952="EU-ENV-011",IF(INDEX(tbl_familias_ppwr[Metais_Pesados_Evidencia],MATCH(INDEX(tbl_recyclass[Familia_PPWR],MATCH(A1952,tbl_recyclass[ProductId],0)),tbl_familias_ppwr[ID_Familia],0))="Em falta","Lacuna","Conforme"),IF(B1952="EU-ENV-013",IF(INDEX(tbl_familias_ppwr[Declaracao_UE],MATCH(INDEX(tbl_recyclass[Familia_PPWR],MATCH(A1952,tbl_recyclass[ProductId],0)),tbl_familias_ppwr[ID_Familia],0))="Sim","Conforme","Lacuna"),G1952)))),G1952))</f>
        <v>Parcial</v>
      </c>
      <c r="I1952" s="33" t="str">
        <f t="shared" si="30"/>
        <v>Parcial</v>
      </c>
      <c r="J1952" s="26" t="s">
        <v>1228</v>
      </c>
    </row>
    <row r="1953" spans="1:10" ht="16.05" customHeight="1" x14ac:dyDescent="0.3">
      <c r="A1953" s="26" t="s">
        <v>816</v>
      </c>
      <c r="B1953" s="26" t="s">
        <v>1240</v>
      </c>
      <c r="C1953" s="33" t="str">
        <f>IFERROR(INDEX(tbl_requisitos_emb[Tema],MATCH(B1953,tbl_requisitos_emb[ID_Req],0)),"")</f>
        <v>Compatibilidade embalagem–produto</v>
      </c>
      <c r="D1953" s="33" t="str">
        <f>IFERROR(INDEX(tbl_recyclass[Segmento],MATCH(A1953,tbl_recyclass[ProductId],0)),"")</f>
        <v>Cosmética e higiene pessoal</v>
      </c>
      <c r="E1953" s="26" t="s">
        <v>901</v>
      </c>
      <c r="F1953" s="26" t="s">
        <v>1449</v>
      </c>
      <c r="G1953" s="26" t="s">
        <v>1033</v>
      </c>
      <c r="H1953" s="33" t="str">
        <f>IF(E1953="Não","Não aplicável",IFERROR(IF(B1953="EU-ENV-002",IF(INDEX(tbl_recyclass[Conforme_PPWR_2030],MATCH(A1953,tbl_recyclass[ProductId],0))="Sim","Conforme (autoavaliação)",IF(INDEX(tbl_recyclass[Conforme_PPWR_2030],MATCH(A1953,tbl_recyclass[ProductId],0))="Não","Não conforme em 2030","Isento até 2035")),IF(B1953="EU-ENV-003",IF(INDEX(tbl_recyclass[Conforme_Art7_2030],MATCH(A1953,tbl_recyclass[ProductId],0))="Sim","Conforme (meta 2030)",IF(INDEX(tbl_recyclass[Conforme_Art7_2030],MATCH(A1953,tbl_recyclass[ProductId],0))="Não","Lacuna face à meta 2030","Isento")),IF(B1953="EU-ENV-011",IF(INDEX(tbl_familias_ppwr[Metais_Pesados_Evidencia],MATCH(INDEX(tbl_recyclass[Familia_PPWR],MATCH(A1953,tbl_recyclass[ProductId],0)),tbl_familias_ppwr[ID_Familia],0))="Em falta","Lacuna","Conforme"),IF(B1953="EU-ENV-013",IF(INDEX(tbl_familias_ppwr[Declaracao_UE],MATCH(INDEX(tbl_recyclass[Familia_PPWR],MATCH(A1953,tbl_recyclass[ProductId],0)),tbl_familias_ppwr[ID_Familia],0))="Sim","Conforme","Lacuna"),G1953)))),G1953))</f>
        <v>Conforme</v>
      </c>
      <c r="I1953" s="33" t="str">
        <f t="shared" si="30"/>
        <v>Conforme</v>
      </c>
      <c r="J1953" s="26" t="s">
        <v>1244</v>
      </c>
    </row>
    <row r="1954" spans="1:10" ht="16.05" customHeight="1" x14ac:dyDescent="0.3">
      <c r="A1954" s="26" t="s">
        <v>816</v>
      </c>
      <c r="B1954" s="26" t="s">
        <v>1252</v>
      </c>
      <c r="C1954" s="33" t="str">
        <f>IFERROR(INDEX(tbl_requisitos_emb[Tema],MATCH(B1954,tbl_requisitos_emb[ID_Req],0)),"")</f>
        <v>Medicamentos de uso humano</v>
      </c>
      <c r="D1954" s="33" t="str">
        <f>IFERROR(INDEX(tbl_recyclass[Segmento],MATCH(A1954,tbl_recyclass[ProductId],0)),"")</f>
        <v>Cosmética e higiene pessoal</v>
      </c>
      <c r="E1954" s="26" t="s">
        <v>904</v>
      </c>
      <c r="F1954" s="26" t="s">
        <v>1451</v>
      </c>
      <c r="G1954" s="26" t="s">
        <v>1143</v>
      </c>
      <c r="H1954" s="33" t="str">
        <f>IF(E1954="Não","Não aplicável",IFERROR(IF(B1954="EU-ENV-002",IF(INDEX(tbl_recyclass[Conforme_PPWR_2030],MATCH(A1954,tbl_recyclass[ProductId],0))="Sim","Conforme (autoavaliação)",IF(INDEX(tbl_recyclass[Conforme_PPWR_2030],MATCH(A1954,tbl_recyclass[ProductId],0))="Não","Não conforme em 2030","Isento até 2035")),IF(B1954="EU-ENV-003",IF(INDEX(tbl_recyclass[Conforme_Art7_2030],MATCH(A1954,tbl_recyclass[ProductId],0))="Sim","Conforme (meta 2030)",IF(INDEX(tbl_recyclass[Conforme_Art7_2030],MATCH(A1954,tbl_recyclass[ProductId],0))="Não","Lacuna face à meta 2030","Isento")),IF(B1954="EU-ENV-011",IF(INDEX(tbl_familias_ppwr[Metais_Pesados_Evidencia],MATCH(INDEX(tbl_recyclass[Familia_PPWR],MATCH(A1954,tbl_recyclass[ProductId],0)),tbl_familias_ppwr[ID_Familia],0))="Em falta","Lacuna","Conforme"),IF(B1954="EU-ENV-013",IF(INDEX(tbl_familias_ppwr[Declaracao_UE],MATCH(INDEX(tbl_recyclass[Familia_PPWR],MATCH(A1954,tbl_recyclass[ProductId],0)),tbl_familias_ppwr[ID_Familia],0))="Sim","Conforme","Lacuna"),G1954)))),G1954))</f>
        <v>Não aplicável</v>
      </c>
      <c r="I1954" s="33" t="str">
        <f t="shared" si="30"/>
        <v>Não aplicável</v>
      </c>
      <c r="J1954" s="26"/>
    </row>
    <row r="1955" spans="1:10" ht="16.05" customHeight="1" x14ac:dyDescent="0.3">
      <c r="A1955" s="26" t="s">
        <v>816</v>
      </c>
      <c r="B1955" s="26" t="s">
        <v>1268</v>
      </c>
      <c r="C1955" s="33" t="str">
        <f>IFERROR(INDEX(tbl_requisitos_emb[Tema],MATCH(B1955,tbl_requisitos_emb[ID_Req],0)),"")</f>
        <v>Dispositivos de segurança</v>
      </c>
      <c r="D1955" s="33" t="str">
        <f>IFERROR(INDEX(tbl_recyclass[Segmento],MATCH(A1955,tbl_recyclass[ProductId],0)),"")</f>
        <v>Cosmética e higiene pessoal</v>
      </c>
      <c r="E1955" s="26" t="s">
        <v>904</v>
      </c>
      <c r="F1955" s="26" t="s">
        <v>1451</v>
      </c>
      <c r="G1955" s="26" t="s">
        <v>1143</v>
      </c>
      <c r="H1955" s="33" t="str">
        <f>IF(E1955="Não","Não aplicável",IFERROR(IF(B1955="EU-ENV-002",IF(INDEX(tbl_recyclass[Conforme_PPWR_2030],MATCH(A1955,tbl_recyclass[ProductId],0))="Sim","Conforme (autoavaliação)",IF(INDEX(tbl_recyclass[Conforme_PPWR_2030],MATCH(A1955,tbl_recyclass[ProductId],0))="Não","Não conforme em 2030","Isento até 2035")),IF(B1955="EU-ENV-003",IF(INDEX(tbl_recyclass[Conforme_Art7_2030],MATCH(A1955,tbl_recyclass[ProductId],0))="Sim","Conforme (meta 2030)",IF(INDEX(tbl_recyclass[Conforme_Art7_2030],MATCH(A1955,tbl_recyclass[ProductId],0))="Não","Lacuna face à meta 2030","Isento")),IF(B1955="EU-ENV-011",IF(INDEX(tbl_familias_ppwr[Metais_Pesados_Evidencia],MATCH(INDEX(tbl_recyclass[Familia_PPWR],MATCH(A1955,tbl_recyclass[ProductId],0)),tbl_familias_ppwr[ID_Familia],0))="Em falta","Lacuna","Conforme"),IF(B1955="EU-ENV-013",IF(INDEX(tbl_familias_ppwr[Declaracao_UE],MATCH(INDEX(tbl_recyclass[Familia_PPWR],MATCH(A1955,tbl_recyclass[ProductId],0)),tbl_familias_ppwr[ID_Familia],0))="Sim","Conforme","Lacuna"),G1955)))),G1955))</f>
        <v>Não aplicável</v>
      </c>
      <c r="I1955" s="33" t="str">
        <f t="shared" si="30"/>
        <v>Não aplicável</v>
      </c>
      <c r="J1955" s="26"/>
    </row>
    <row r="1956" spans="1:10" ht="16.05" customHeight="1" x14ac:dyDescent="0.3">
      <c r="A1956" s="26" t="s">
        <v>816</v>
      </c>
      <c r="B1956" s="26" t="s">
        <v>1285</v>
      </c>
      <c r="C1956" s="33" t="str">
        <f>IFERROR(INDEX(tbl_requisitos_emb[Tema],MATCH(B1956,tbl_requisitos_emb[ID_Req],0)),"")</f>
        <v>Materiais plásticos de acondicionamento primário</v>
      </c>
      <c r="D1956" s="33" t="str">
        <f>IFERROR(INDEX(tbl_recyclass[Segmento],MATCH(A1956,tbl_recyclass[ProductId],0)),"")</f>
        <v>Cosmética e higiene pessoal</v>
      </c>
      <c r="E1956" s="26" t="s">
        <v>904</v>
      </c>
      <c r="F1956" s="26" t="s">
        <v>1451</v>
      </c>
      <c r="G1956" s="26" t="s">
        <v>1143</v>
      </c>
      <c r="H1956" s="33" t="str">
        <f>IF(E1956="Não","Não aplicável",IFERROR(IF(B1956="EU-ENV-002",IF(INDEX(tbl_recyclass[Conforme_PPWR_2030],MATCH(A1956,tbl_recyclass[ProductId],0))="Sim","Conforme (autoavaliação)",IF(INDEX(tbl_recyclass[Conforme_PPWR_2030],MATCH(A1956,tbl_recyclass[ProductId],0))="Não","Não conforme em 2030","Isento até 2035")),IF(B1956="EU-ENV-003",IF(INDEX(tbl_recyclass[Conforme_Art7_2030],MATCH(A1956,tbl_recyclass[ProductId],0))="Sim","Conforme (meta 2030)",IF(INDEX(tbl_recyclass[Conforme_Art7_2030],MATCH(A1956,tbl_recyclass[ProductId],0))="Não","Lacuna face à meta 2030","Isento")),IF(B1956="EU-ENV-011",IF(INDEX(tbl_familias_ppwr[Metais_Pesados_Evidencia],MATCH(INDEX(tbl_recyclass[Familia_PPWR],MATCH(A1956,tbl_recyclass[ProductId],0)),tbl_familias_ppwr[ID_Familia],0))="Em falta","Lacuna","Conforme"),IF(B1956="EU-ENV-013",IF(INDEX(tbl_familias_ppwr[Declaracao_UE],MATCH(INDEX(tbl_recyclass[Familia_PPWR],MATCH(A1956,tbl_recyclass[ProductId],0)),tbl_familias_ppwr[ID_Familia],0))="Sim","Conforme","Lacuna"),G1956)))),G1956))</f>
        <v>Não aplicável</v>
      </c>
      <c r="I1956" s="33" t="str">
        <f t="shared" si="30"/>
        <v>Não aplicável</v>
      </c>
      <c r="J1956" s="26"/>
    </row>
    <row r="1957" spans="1:10" ht="16.05" customHeight="1" x14ac:dyDescent="0.3">
      <c r="A1957" s="26" t="s">
        <v>816</v>
      </c>
      <c r="B1957" s="26" t="s">
        <v>1293</v>
      </c>
      <c r="C1957" s="33" t="str">
        <f>IFERROR(INDEX(tbl_requisitos_emb[Tema],MATCH(B1957,tbl_requisitos_emb[ID_Req],0)),"")</f>
        <v>Isenções PPWR</v>
      </c>
      <c r="D1957" s="33" t="str">
        <f>IFERROR(INDEX(tbl_recyclass[Segmento],MATCH(A1957,tbl_recyclass[ProductId],0)),"")</f>
        <v>Cosmética e higiene pessoal</v>
      </c>
      <c r="E1957" s="26" t="s">
        <v>904</v>
      </c>
      <c r="F1957" s="26" t="s">
        <v>1451</v>
      </c>
      <c r="G1957" s="26" t="s">
        <v>1143</v>
      </c>
      <c r="H1957" s="33" t="str">
        <f>IF(E1957="Não","Não aplicável",IFERROR(IF(B1957="EU-ENV-002",IF(INDEX(tbl_recyclass[Conforme_PPWR_2030],MATCH(A1957,tbl_recyclass[ProductId],0))="Sim","Conforme (autoavaliação)",IF(INDEX(tbl_recyclass[Conforme_PPWR_2030],MATCH(A1957,tbl_recyclass[ProductId],0))="Não","Não conforme em 2030","Isento até 2035")),IF(B1957="EU-ENV-003",IF(INDEX(tbl_recyclass[Conforme_Art7_2030],MATCH(A1957,tbl_recyclass[ProductId],0))="Sim","Conforme (meta 2030)",IF(INDEX(tbl_recyclass[Conforme_Art7_2030],MATCH(A1957,tbl_recyclass[ProductId],0))="Não","Lacuna face à meta 2030","Isento")),IF(B1957="EU-ENV-011",IF(INDEX(tbl_familias_ppwr[Metais_Pesados_Evidencia],MATCH(INDEX(tbl_recyclass[Familia_PPWR],MATCH(A1957,tbl_recyclass[ProductId],0)),tbl_familias_ppwr[ID_Familia],0))="Em falta","Lacuna","Conforme"),IF(B1957="EU-ENV-013",IF(INDEX(tbl_familias_ppwr[Declaracao_UE],MATCH(INDEX(tbl_recyclass[Familia_PPWR],MATCH(A1957,tbl_recyclass[ProductId],0)),tbl_familias_ppwr[ID_Familia],0))="Sim","Conforme","Lacuna"),G1957)))),G1957))</f>
        <v>Não aplicável</v>
      </c>
      <c r="I1957" s="33" t="str">
        <f t="shared" si="30"/>
        <v>Não aplicável</v>
      </c>
      <c r="J1957" s="26"/>
    </row>
    <row r="1958" spans="1:10" ht="16.05" customHeight="1" x14ac:dyDescent="0.3">
      <c r="A1958" s="26" t="s">
        <v>816</v>
      </c>
      <c r="B1958" s="26" t="s">
        <v>1357</v>
      </c>
      <c r="C1958" s="33" t="str">
        <f>IFERROR(INDEX(tbl_requisitos_emb[Tema],MATCH(B1958,tbl_requisitos_emb[ID_Req],0)),"")</f>
        <v>Identificação de plásticos</v>
      </c>
      <c r="D1958" s="33" t="str">
        <f>IFERROR(INDEX(tbl_recyclass[Segmento],MATCH(A1958,tbl_recyclass[ProductId],0)),"")</f>
        <v>Cosmética e higiene pessoal</v>
      </c>
      <c r="E1958" s="26" t="s">
        <v>901</v>
      </c>
      <c r="F1958" s="26" t="s">
        <v>1449</v>
      </c>
      <c r="G1958" s="26" t="s">
        <v>978</v>
      </c>
      <c r="H1958" s="33" t="str">
        <f>IF(E1958="Não","Não aplicável",IFERROR(IF(B1958="EU-ENV-002",IF(INDEX(tbl_recyclass[Conforme_PPWR_2030],MATCH(A1958,tbl_recyclass[ProductId],0))="Sim","Conforme (autoavaliação)",IF(INDEX(tbl_recyclass[Conforme_PPWR_2030],MATCH(A1958,tbl_recyclass[ProductId],0))="Não","Não conforme em 2030","Isento até 2035")),IF(B1958="EU-ENV-003",IF(INDEX(tbl_recyclass[Conforme_Art7_2030],MATCH(A1958,tbl_recyclass[ProductId],0))="Sim","Conforme (meta 2030)",IF(INDEX(tbl_recyclass[Conforme_Art7_2030],MATCH(A1958,tbl_recyclass[ProductId],0))="Não","Lacuna face à meta 2030","Isento")),IF(B1958="EU-ENV-011",IF(INDEX(tbl_familias_ppwr[Metais_Pesados_Evidencia],MATCH(INDEX(tbl_recyclass[Familia_PPWR],MATCH(A1958,tbl_recyclass[ProductId],0)),tbl_familias_ppwr[ID_Familia],0))="Em falta","Lacuna","Conforme"),IF(B1958="EU-ENV-013",IF(INDEX(tbl_familias_ppwr[Declaracao_UE],MATCH(INDEX(tbl_recyclass[Familia_PPWR],MATCH(A1958,tbl_recyclass[ProductId],0)),tbl_familias_ppwr[ID_Familia],0))="Sim","Conforme","Lacuna"),G1958)))),G1958))</f>
        <v>Parcial</v>
      </c>
      <c r="I1958" s="33" t="str">
        <f t="shared" si="30"/>
        <v>Parcial</v>
      </c>
      <c r="J1958" s="26" t="s">
        <v>1362</v>
      </c>
    </row>
    <row r="1959" spans="1:10" ht="16.05" customHeight="1" x14ac:dyDescent="0.3">
      <c r="A1959" s="26" t="s">
        <v>816</v>
      </c>
      <c r="B1959" s="26" t="s">
        <v>1385</v>
      </c>
      <c r="C1959" s="33" t="str">
        <f>IFERROR(INDEX(tbl_requisitos_emb[Tema],MATCH(B1959,tbl_requisitos_emb[ID_Req],0)),"")</f>
        <v>Reciclabilidade (voluntária)</v>
      </c>
      <c r="D1959" s="33" t="str">
        <f>IFERROR(INDEX(tbl_recyclass[Segmento],MATCH(A1959,tbl_recyclass[ProductId],0)),"")</f>
        <v>Cosmética e higiene pessoal</v>
      </c>
      <c r="E1959" s="26" t="s">
        <v>901</v>
      </c>
      <c r="F1959" s="26" t="s">
        <v>1449</v>
      </c>
      <c r="G1959" s="26" t="s">
        <v>978</v>
      </c>
      <c r="H1959" s="33" t="str">
        <f>IF(E1959="Não","Não aplicável",IFERROR(IF(B1959="EU-ENV-002",IF(INDEX(tbl_recyclass[Conforme_PPWR_2030],MATCH(A1959,tbl_recyclass[ProductId],0))="Sim","Conforme (autoavaliação)",IF(INDEX(tbl_recyclass[Conforme_PPWR_2030],MATCH(A1959,tbl_recyclass[ProductId],0))="Não","Não conforme em 2030","Isento até 2035")),IF(B1959="EU-ENV-003",IF(INDEX(tbl_recyclass[Conforme_Art7_2030],MATCH(A1959,tbl_recyclass[ProductId],0))="Sim","Conforme (meta 2030)",IF(INDEX(tbl_recyclass[Conforme_Art7_2030],MATCH(A1959,tbl_recyclass[ProductId],0))="Não","Lacuna face à meta 2030","Isento")),IF(B1959="EU-ENV-011",IF(INDEX(tbl_familias_ppwr[Metais_Pesados_Evidencia],MATCH(INDEX(tbl_recyclass[Familia_PPWR],MATCH(A1959,tbl_recyclass[ProductId],0)),tbl_familias_ppwr[ID_Familia],0))="Em falta","Lacuna","Conforme"),IF(B1959="EU-ENV-013",IF(INDEX(tbl_familias_ppwr[Declaracao_UE],MATCH(INDEX(tbl_recyclass[Familia_PPWR],MATCH(A1959,tbl_recyclass[ProductId],0)),tbl_familias_ppwr[ID_Familia],0))="Sim","Conforme","Lacuna"),G1959)))),G1959))</f>
        <v>Parcial</v>
      </c>
      <c r="I1959" s="33" t="str">
        <f t="shared" si="30"/>
        <v>Parcial</v>
      </c>
      <c r="J1959" s="26" t="s">
        <v>1389</v>
      </c>
    </row>
    <row r="1960" spans="1:10" ht="16.05" customHeight="1" x14ac:dyDescent="0.3">
      <c r="A1960" s="26" t="s">
        <v>819</v>
      </c>
      <c r="B1960" s="26" t="s">
        <v>984</v>
      </c>
      <c r="C1960" s="33" t="str">
        <f>IFERROR(INDEX(tbl_requisitos_emb[Tema],MATCH(B1960,tbl_requisitos_emb[ID_Req],0)),"")</f>
        <v>Conceção para reciclagem</v>
      </c>
      <c r="D1960" s="33" t="str">
        <f>IFERROR(INDEX(tbl_recyclass[Segmento],MATCH(A1960,tbl_recyclass[ProductId],0)),"")</f>
        <v>Cosmética e higiene pessoal</v>
      </c>
      <c r="E1960" s="26" t="s">
        <v>901</v>
      </c>
      <c r="F1960" s="26" t="s">
        <v>1449</v>
      </c>
      <c r="G1960" s="26" t="s">
        <v>978</v>
      </c>
      <c r="H1960" s="33" t="str">
        <f>IF(E1960="Não","Não aplicável",IFERROR(IF(B1960="EU-ENV-002",IF(INDEX(tbl_recyclass[Conforme_PPWR_2030],MATCH(A1960,tbl_recyclass[ProductId],0))="Sim","Conforme (autoavaliação)",IF(INDEX(tbl_recyclass[Conforme_PPWR_2030],MATCH(A1960,tbl_recyclass[ProductId],0))="Não","Não conforme em 2030","Isento até 2035")),IF(B1960="EU-ENV-003",IF(INDEX(tbl_recyclass[Conforme_Art7_2030],MATCH(A1960,tbl_recyclass[ProductId],0))="Sim","Conforme (meta 2030)",IF(INDEX(tbl_recyclass[Conforme_Art7_2030],MATCH(A1960,tbl_recyclass[ProductId],0))="Não","Lacuna face à meta 2030","Isento")),IF(B1960="EU-ENV-011",IF(INDEX(tbl_familias_ppwr[Metais_Pesados_Evidencia],MATCH(INDEX(tbl_recyclass[Familia_PPWR],MATCH(A1960,tbl_recyclass[ProductId],0)),tbl_familias_ppwr[ID_Familia],0))="Em falta","Lacuna","Conforme"),IF(B1960="EU-ENV-013",IF(INDEX(tbl_familias_ppwr[Declaracao_UE],MATCH(INDEX(tbl_recyclass[Familia_PPWR],MATCH(A1960,tbl_recyclass[ProductId],0)),tbl_familias_ppwr[ID_Familia],0))="Sim","Conforme","Lacuna"),G1960)))),G1960))</f>
        <v>Não conforme em 2030</v>
      </c>
      <c r="I1960" s="33" t="str">
        <f t="shared" si="30"/>
        <v>Não conforme</v>
      </c>
      <c r="J1960" s="26" t="s">
        <v>991</v>
      </c>
    </row>
    <row r="1961" spans="1:10" ht="16.05" customHeight="1" x14ac:dyDescent="0.3">
      <c r="A1961" s="26" t="s">
        <v>819</v>
      </c>
      <c r="B1961" s="26" t="s">
        <v>997</v>
      </c>
      <c r="C1961" s="33" t="str">
        <f>IFERROR(INDEX(tbl_requisitos_emb[Tema],MATCH(B1961,tbl_requisitos_emb[ID_Req],0)),"")</f>
        <v>Conteúdo reciclado</v>
      </c>
      <c r="D1961" s="33" t="str">
        <f>IFERROR(INDEX(tbl_recyclass[Segmento],MATCH(A1961,tbl_recyclass[ProductId],0)),"")</f>
        <v>Cosmética e higiene pessoal</v>
      </c>
      <c r="E1961" s="26" t="s">
        <v>901</v>
      </c>
      <c r="F1961" s="26" t="s">
        <v>1449</v>
      </c>
      <c r="G1961" s="26" t="s">
        <v>978</v>
      </c>
      <c r="H1961" s="33" t="str">
        <f>IF(E1961="Não","Não aplicável",IFERROR(IF(B1961="EU-ENV-002",IF(INDEX(tbl_recyclass[Conforme_PPWR_2030],MATCH(A1961,tbl_recyclass[ProductId],0))="Sim","Conforme (autoavaliação)",IF(INDEX(tbl_recyclass[Conforme_PPWR_2030],MATCH(A1961,tbl_recyclass[ProductId],0))="Não","Não conforme em 2030","Isento até 2035")),IF(B1961="EU-ENV-003",IF(INDEX(tbl_recyclass[Conforme_Art7_2030],MATCH(A1961,tbl_recyclass[ProductId],0))="Sim","Conforme (meta 2030)",IF(INDEX(tbl_recyclass[Conforme_Art7_2030],MATCH(A1961,tbl_recyclass[ProductId],0))="Não","Lacuna face à meta 2030","Isento")),IF(B1961="EU-ENV-011",IF(INDEX(tbl_familias_ppwr[Metais_Pesados_Evidencia],MATCH(INDEX(tbl_recyclass[Familia_PPWR],MATCH(A1961,tbl_recyclass[ProductId],0)),tbl_familias_ppwr[ID_Familia],0))="Em falta","Lacuna","Conforme"),IF(B1961="EU-ENV-013",IF(INDEX(tbl_familias_ppwr[Declaracao_UE],MATCH(INDEX(tbl_recyclass[Familia_PPWR],MATCH(A1961,tbl_recyclass[ProductId],0)),tbl_familias_ppwr[ID_Familia],0))="Sim","Conforme","Lacuna"),G1961)))),G1961))</f>
        <v>Lacuna face à meta 2030</v>
      </c>
      <c r="I1961" s="33" t="str">
        <f t="shared" si="30"/>
        <v>Lacuna</v>
      </c>
      <c r="J1961" s="26" t="s">
        <v>1001</v>
      </c>
    </row>
    <row r="1962" spans="1:10" ht="16.05" customHeight="1" x14ac:dyDescent="0.3">
      <c r="A1962" s="26" t="s">
        <v>819</v>
      </c>
      <c r="B1962" s="26" t="s">
        <v>1007</v>
      </c>
      <c r="C1962" s="33" t="str">
        <f>IFERROR(INDEX(tbl_requisitos_emb[Tema],MATCH(B1962,tbl_requisitos_emb[ID_Req],0)),"")</f>
        <v>Minimização</v>
      </c>
      <c r="D1962" s="33" t="str">
        <f>IFERROR(INDEX(tbl_recyclass[Segmento],MATCH(A1962,tbl_recyclass[ProductId],0)),"")</f>
        <v>Cosmética e higiene pessoal</v>
      </c>
      <c r="E1962" s="26" t="s">
        <v>901</v>
      </c>
      <c r="F1962" s="26" t="s">
        <v>1449</v>
      </c>
      <c r="G1962" s="26" t="s">
        <v>978</v>
      </c>
      <c r="H1962" s="33" t="str">
        <f>IF(E1962="Não","Não aplicável",IFERROR(IF(B1962="EU-ENV-002",IF(INDEX(tbl_recyclass[Conforme_PPWR_2030],MATCH(A1962,tbl_recyclass[ProductId],0))="Sim","Conforme (autoavaliação)",IF(INDEX(tbl_recyclass[Conforme_PPWR_2030],MATCH(A1962,tbl_recyclass[ProductId],0))="Não","Não conforme em 2030","Isento até 2035")),IF(B1962="EU-ENV-003",IF(INDEX(tbl_recyclass[Conforme_Art7_2030],MATCH(A1962,tbl_recyclass[ProductId],0))="Sim","Conforme (meta 2030)",IF(INDEX(tbl_recyclass[Conforme_Art7_2030],MATCH(A1962,tbl_recyclass[ProductId],0))="Não","Lacuna face à meta 2030","Isento")),IF(B1962="EU-ENV-011",IF(INDEX(tbl_familias_ppwr[Metais_Pesados_Evidencia],MATCH(INDEX(tbl_recyclass[Familia_PPWR],MATCH(A1962,tbl_recyclass[ProductId],0)),tbl_familias_ppwr[ID_Familia],0))="Em falta","Lacuna","Conforme"),IF(B1962="EU-ENV-013",IF(INDEX(tbl_familias_ppwr[Declaracao_UE],MATCH(INDEX(tbl_recyclass[Familia_PPWR],MATCH(A1962,tbl_recyclass[ProductId],0)),tbl_familias_ppwr[ID_Familia],0))="Sim","Conforme","Lacuna"),G1962)))),G1962))</f>
        <v>Parcial</v>
      </c>
      <c r="I1962" s="33" t="str">
        <f t="shared" si="30"/>
        <v>Parcial</v>
      </c>
      <c r="J1962" s="26" t="s">
        <v>1012</v>
      </c>
    </row>
    <row r="1963" spans="1:10" ht="16.05" customHeight="1" x14ac:dyDescent="0.3">
      <c r="A1963" s="26" t="s">
        <v>819</v>
      </c>
      <c r="B1963" s="26" t="s">
        <v>1016</v>
      </c>
      <c r="C1963" s="33" t="str">
        <f>IFERROR(INDEX(tbl_requisitos_emb[Tema],MATCH(B1963,tbl_requisitos_emb[ID_Req],0)),"")</f>
        <v>Rotulagem</v>
      </c>
      <c r="D1963" s="33" t="str">
        <f>IFERROR(INDEX(tbl_recyclass[Segmento],MATCH(A1963,tbl_recyclass[ProductId],0)),"")</f>
        <v>Cosmética e higiene pessoal</v>
      </c>
      <c r="E1963" s="26" t="s">
        <v>901</v>
      </c>
      <c r="F1963" s="26" t="s">
        <v>1449</v>
      </c>
      <c r="G1963" s="26" t="s">
        <v>990</v>
      </c>
      <c r="H1963" s="33" t="str">
        <f>IF(E1963="Não","Não aplicável",IFERROR(IF(B1963="EU-ENV-002",IF(INDEX(tbl_recyclass[Conforme_PPWR_2030],MATCH(A1963,tbl_recyclass[ProductId],0))="Sim","Conforme (autoavaliação)",IF(INDEX(tbl_recyclass[Conforme_PPWR_2030],MATCH(A1963,tbl_recyclass[ProductId],0))="Não","Não conforme em 2030","Isento até 2035")),IF(B1963="EU-ENV-003",IF(INDEX(tbl_recyclass[Conforme_Art7_2030],MATCH(A1963,tbl_recyclass[ProductId],0))="Sim","Conforme (meta 2030)",IF(INDEX(tbl_recyclass[Conforme_Art7_2030],MATCH(A1963,tbl_recyclass[ProductId],0))="Não","Lacuna face à meta 2030","Isento")),IF(B1963="EU-ENV-011",IF(INDEX(tbl_familias_ppwr[Metais_Pesados_Evidencia],MATCH(INDEX(tbl_recyclass[Familia_PPWR],MATCH(A1963,tbl_recyclass[ProductId],0)),tbl_familias_ppwr[ID_Familia],0))="Em falta","Lacuna","Conforme"),IF(B1963="EU-ENV-013",IF(INDEX(tbl_familias_ppwr[Declaracao_UE],MATCH(INDEX(tbl_recyclass[Familia_PPWR],MATCH(A1963,tbl_recyclass[ProductId],0)),tbl_familias_ppwr[ID_Familia],0))="Sim","Conforme","Lacuna"),G1963)))),G1963))</f>
        <v>Futuro</v>
      </c>
      <c r="I1963" s="33" t="str">
        <f t="shared" si="30"/>
        <v>Futuro</v>
      </c>
      <c r="J1963" s="26" t="s">
        <v>1021</v>
      </c>
    </row>
    <row r="1964" spans="1:10" ht="16.05" customHeight="1" x14ac:dyDescent="0.3">
      <c r="A1964" s="26" t="s">
        <v>819</v>
      </c>
      <c r="B1964" s="26" t="s">
        <v>1038</v>
      </c>
      <c r="C1964" s="33" t="str">
        <f>IFERROR(INDEX(tbl_requisitos_emb[Tema],MATCH(B1964,tbl_requisitos_emb[ID_Req],0)),"")</f>
        <v>Plásticos de utilização única</v>
      </c>
      <c r="D1964" s="33" t="str">
        <f>IFERROR(INDEX(tbl_recyclass[Segmento],MATCH(A1964,tbl_recyclass[ProductId],0)),"")</f>
        <v>Cosmética e higiene pessoal</v>
      </c>
      <c r="E1964" s="26" t="s">
        <v>904</v>
      </c>
      <c r="F1964" s="26" t="s">
        <v>1450</v>
      </c>
      <c r="G1964" s="26" t="s">
        <v>1143</v>
      </c>
      <c r="H1964" s="33" t="str">
        <f>IF(E1964="Não","Não aplicável",IFERROR(IF(B1964="EU-ENV-002",IF(INDEX(tbl_recyclass[Conforme_PPWR_2030],MATCH(A1964,tbl_recyclass[ProductId],0))="Sim","Conforme (autoavaliação)",IF(INDEX(tbl_recyclass[Conforme_PPWR_2030],MATCH(A1964,tbl_recyclass[ProductId],0))="Não","Não conforme em 2030","Isento até 2035")),IF(B1964="EU-ENV-003",IF(INDEX(tbl_recyclass[Conforme_Art7_2030],MATCH(A1964,tbl_recyclass[ProductId],0))="Sim","Conforme (meta 2030)",IF(INDEX(tbl_recyclass[Conforme_Art7_2030],MATCH(A1964,tbl_recyclass[ProductId],0))="Não","Lacuna face à meta 2030","Isento")),IF(B1964="EU-ENV-011",IF(INDEX(tbl_familias_ppwr[Metais_Pesados_Evidencia],MATCH(INDEX(tbl_recyclass[Familia_PPWR],MATCH(A1964,tbl_recyclass[ProductId],0)),tbl_familias_ppwr[ID_Familia],0))="Em falta","Lacuna","Conforme"),IF(B1964="EU-ENV-013",IF(INDEX(tbl_familias_ppwr[Declaracao_UE],MATCH(INDEX(tbl_recyclass[Familia_PPWR],MATCH(A1964,tbl_recyclass[ProductId],0)),tbl_familias_ppwr[ID_Familia],0))="Sim","Conforme","Lacuna"),G1964)))),G1964))</f>
        <v>Não aplicável</v>
      </c>
      <c r="I1964" s="33" t="str">
        <f t="shared" si="30"/>
        <v>Não aplicável</v>
      </c>
      <c r="J1964" s="26"/>
    </row>
    <row r="1965" spans="1:10" ht="16.05" customHeight="1" x14ac:dyDescent="0.3">
      <c r="A1965" s="26" t="s">
        <v>819</v>
      </c>
      <c r="B1965" s="26" t="s">
        <v>1078</v>
      </c>
      <c r="C1965" s="33" t="str">
        <f>IFERROR(INDEX(tbl_requisitos_emb[Tema],MATCH(B1965,tbl_requisitos_emb[ID_Req],0)),"")</f>
        <v>Reciclado à escala</v>
      </c>
      <c r="D1965" s="33" t="str">
        <f>IFERROR(INDEX(tbl_recyclass[Segmento],MATCH(A1965,tbl_recyclass[ProductId],0)),"")</f>
        <v>Cosmética e higiene pessoal</v>
      </c>
      <c r="E1965" s="26" t="s">
        <v>901</v>
      </c>
      <c r="F1965" s="26" t="s">
        <v>1449</v>
      </c>
      <c r="G1965" s="26" t="s">
        <v>990</v>
      </c>
      <c r="H1965" s="33" t="str">
        <f>IF(E1965="Não","Não aplicável",IFERROR(IF(B1965="EU-ENV-002",IF(INDEX(tbl_recyclass[Conforme_PPWR_2030],MATCH(A1965,tbl_recyclass[ProductId],0))="Sim","Conforme (autoavaliação)",IF(INDEX(tbl_recyclass[Conforme_PPWR_2030],MATCH(A1965,tbl_recyclass[ProductId],0))="Não","Não conforme em 2030","Isento até 2035")),IF(B1965="EU-ENV-003",IF(INDEX(tbl_recyclass[Conforme_Art7_2030],MATCH(A1965,tbl_recyclass[ProductId],0))="Sim","Conforme (meta 2030)",IF(INDEX(tbl_recyclass[Conforme_Art7_2030],MATCH(A1965,tbl_recyclass[ProductId],0))="Não","Lacuna face à meta 2030","Isento")),IF(B1965="EU-ENV-011",IF(INDEX(tbl_familias_ppwr[Metais_Pesados_Evidencia],MATCH(INDEX(tbl_recyclass[Familia_PPWR],MATCH(A1965,tbl_recyclass[ProductId],0)),tbl_familias_ppwr[ID_Familia],0))="Em falta","Lacuna","Conforme"),IF(B1965="EU-ENV-013",IF(INDEX(tbl_familias_ppwr[Declaracao_UE],MATCH(INDEX(tbl_recyclass[Familia_PPWR],MATCH(A1965,tbl_recyclass[ProductId],0)),tbl_familias_ppwr[ID_Familia],0))="Sim","Conforme","Lacuna"),G1965)))),G1965))</f>
        <v>Futuro</v>
      </c>
      <c r="I1965" s="33" t="str">
        <f t="shared" si="30"/>
        <v>Futuro</v>
      </c>
      <c r="J1965" s="26" t="s">
        <v>1082</v>
      </c>
    </row>
    <row r="1966" spans="1:10" ht="16.05" customHeight="1" x14ac:dyDescent="0.3">
      <c r="A1966" s="26" t="s">
        <v>819</v>
      </c>
      <c r="B1966" s="26" t="s">
        <v>1086</v>
      </c>
      <c r="C1966" s="33" t="str">
        <f>IFERROR(INDEX(tbl_requisitos_emb[Tema],MATCH(B1966,tbl_requisitos_emb[ID_Req],0)),"")</f>
        <v>Metais pesados</v>
      </c>
      <c r="D1966" s="33" t="str">
        <f>IFERROR(INDEX(tbl_recyclass[Segmento],MATCH(A1966,tbl_recyclass[ProductId],0)),"")</f>
        <v>Cosmética e higiene pessoal</v>
      </c>
      <c r="E1966" s="26" t="s">
        <v>901</v>
      </c>
      <c r="F1966" s="26" t="s">
        <v>1449</v>
      </c>
      <c r="G1966" s="26" t="s">
        <v>978</v>
      </c>
      <c r="H1966" s="33" t="str">
        <f>IF(E1966="Não","Não aplicável",IFERROR(IF(B1966="EU-ENV-002",IF(INDEX(tbl_recyclass[Conforme_PPWR_2030],MATCH(A1966,tbl_recyclass[ProductId],0))="Sim","Conforme (autoavaliação)",IF(INDEX(tbl_recyclass[Conforme_PPWR_2030],MATCH(A1966,tbl_recyclass[ProductId],0))="Não","Não conforme em 2030","Isento até 2035")),IF(B1966="EU-ENV-003",IF(INDEX(tbl_recyclass[Conforme_Art7_2030],MATCH(A1966,tbl_recyclass[ProductId],0))="Sim","Conforme (meta 2030)",IF(INDEX(tbl_recyclass[Conforme_Art7_2030],MATCH(A1966,tbl_recyclass[ProductId],0))="Não","Lacuna face à meta 2030","Isento")),IF(B1966="EU-ENV-011",IF(INDEX(tbl_familias_ppwr[Metais_Pesados_Evidencia],MATCH(INDEX(tbl_recyclass[Familia_PPWR],MATCH(A1966,tbl_recyclass[ProductId],0)),tbl_familias_ppwr[ID_Familia],0))="Em falta","Lacuna","Conforme"),IF(B1966="EU-ENV-013",IF(INDEX(tbl_familias_ppwr[Declaracao_UE],MATCH(INDEX(tbl_recyclass[Familia_PPWR],MATCH(A1966,tbl_recyclass[ProductId],0)),tbl_familias_ppwr[ID_Familia],0))="Sim","Conforme","Lacuna"),G1966)))),G1966))</f>
        <v>Lacuna</v>
      </c>
      <c r="I1966" s="33" t="str">
        <f t="shared" si="30"/>
        <v>Lacuna</v>
      </c>
      <c r="J1966" s="26" t="s">
        <v>1090</v>
      </c>
    </row>
    <row r="1967" spans="1:10" ht="16.05" customHeight="1" x14ac:dyDescent="0.3">
      <c r="A1967" s="26" t="s">
        <v>819</v>
      </c>
      <c r="B1967" s="26" t="s">
        <v>1094</v>
      </c>
      <c r="C1967" s="33" t="str">
        <f>IFERROR(INDEX(tbl_requisitos_emb[Tema],MATCH(B1967,tbl_requisitos_emb[ID_Req],0)),"")</f>
        <v>PFAS</v>
      </c>
      <c r="D1967" s="33" t="str">
        <f>IFERROR(INDEX(tbl_recyclass[Segmento],MATCH(A1967,tbl_recyclass[ProductId],0)),"")</f>
        <v>Cosmética e higiene pessoal</v>
      </c>
      <c r="E1967" s="26" t="s">
        <v>904</v>
      </c>
      <c r="F1967" s="26" t="s">
        <v>1450</v>
      </c>
      <c r="G1967" s="26" t="s">
        <v>1143</v>
      </c>
      <c r="H1967" s="33" t="str">
        <f>IF(E1967="Não","Não aplicável",IFERROR(IF(B1967="EU-ENV-002",IF(INDEX(tbl_recyclass[Conforme_PPWR_2030],MATCH(A1967,tbl_recyclass[ProductId],0))="Sim","Conforme (autoavaliação)",IF(INDEX(tbl_recyclass[Conforme_PPWR_2030],MATCH(A1967,tbl_recyclass[ProductId],0))="Não","Não conforme em 2030","Isento até 2035")),IF(B1967="EU-ENV-003",IF(INDEX(tbl_recyclass[Conforme_Art7_2030],MATCH(A1967,tbl_recyclass[ProductId],0))="Sim","Conforme (meta 2030)",IF(INDEX(tbl_recyclass[Conforme_Art7_2030],MATCH(A1967,tbl_recyclass[ProductId],0))="Não","Lacuna face à meta 2030","Isento")),IF(B1967="EU-ENV-011",IF(INDEX(tbl_familias_ppwr[Metais_Pesados_Evidencia],MATCH(INDEX(tbl_recyclass[Familia_PPWR],MATCH(A1967,tbl_recyclass[ProductId],0)),tbl_familias_ppwr[ID_Familia],0))="Em falta","Lacuna","Conforme"),IF(B1967="EU-ENV-013",IF(INDEX(tbl_familias_ppwr[Declaracao_UE],MATCH(INDEX(tbl_recyclass[Familia_PPWR],MATCH(A1967,tbl_recyclass[ProductId],0)),tbl_familias_ppwr[ID_Familia],0))="Sim","Conforme","Lacuna"),G1967)))),G1967))</f>
        <v>Não aplicável</v>
      </c>
      <c r="I1967" s="33" t="str">
        <f t="shared" si="30"/>
        <v>Não aplicável</v>
      </c>
      <c r="J1967" s="26"/>
    </row>
    <row r="1968" spans="1:10" ht="16.05" customHeight="1" x14ac:dyDescent="0.3">
      <c r="A1968" s="26" t="s">
        <v>819</v>
      </c>
      <c r="B1968" s="26" t="s">
        <v>1102</v>
      </c>
      <c r="C1968" s="33" t="str">
        <f>IFERROR(INDEX(tbl_requisitos_emb[Tema],MATCH(B1968,tbl_requisitos_emb[ID_Req],0)),"")</f>
        <v>Documentação técnica e declaração UE</v>
      </c>
      <c r="D1968" s="33" t="str">
        <f>IFERROR(INDEX(tbl_recyclass[Segmento],MATCH(A1968,tbl_recyclass[ProductId],0)),"")</f>
        <v>Cosmética e higiene pessoal</v>
      </c>
      <c r="E1968" s="26" t="s">
        <v>901</v>
      </c>
      <c r="F1968" s="26" t="s">
        <v>1449</v>
      </c>
      <c r="G1968" s="26" t="s">
        <v>978</v>
      </c>
      <c r="H1968" s="33" t="str">
        <f>IF(E1968="Não","Não aplicável",IFERROR(IF(B1968="EU-ENV-002",IF(INDEX(tbl_recyclass[Conforme_PPWR_2030],MATCH(A1968,tbl_recyclass[ProductId],0))="Sim","Conforme (autoavaliação)",IF(INDEX(tbl_recyclass[Conforme_PPWR_2030],MATCH(A1968,tbl_recyclass[ProductId],0))="Não","Não conforme em 2030","Isento até 2035")),IF(B1968="EU-ENV-003",IF(INDEX(tbl_recyclass[Conforme_Art7_2030],MATCH(A1968,tbl_recyclass[ProductId],0))="Sim","Conforme (meta 2030)",IF(INDEX(tbl_recyclass[Conforme_Art7_2030],MATCH(A1968,tbl_recyclass[ProductId],0))="Não","Lacuna face à meta 2030","Isento")),IF(B1968="EU-ENV-011",IF(INDEX(tbl_familias_ppwr[Metais_Pesados_Evidencia],MATCH(INDEX(tbl_recyclass[Familia_PPWR],MATCH(A1968,tbl_recyclass[ProductId],0)),tbl_familias_ppwr[ID_Familia],0))="Em falta","Lacuna","Conforme"),IF(B1968="EU-ENV-013",IF(INDEX(tbl_familias_ppwr[Declaracao_UE],MATCH(INDEX(tbl_recyclass[Familia_PPWR],MATCH(A1968,tbl_recyclass[ProductId],0)),tbl_familias_ppwr[ID_Familia],0))="Sim","Conforme","Lacuna"),G1968)))),G1968))</f>
        <v>Lacuna</v>
      </c>
      <c r="I1968" s="33" t="str">
        <f t="shared" si="30"/>
        <v>Lacuna</v>
      </c>
      <c r="J1968" s="26" t="s">
        <v>1106</v>
      </c>
    </row>
    <row r="1969" spans="1:10" ht="16.05" customHeight="1" x14ac:dyDescent="0.3">
      <c r="A1969" s="26" t="s">
        <v>819</v>
      </c>
      <c r="B1969" s="26" t="s">
        <v>1161</v>
      </c>
      <c r="C1969" s="33" t="str">
        <f>IFERROR(INDEX(tbl_requisitos_emb[Tema],MATCH(B1969,tbl_requisitos_emb[ID_Req],0)),"")</f>
        <v>Materiais em contacto com alimentos</v>
      </c>
      <c r="D1969" s="33" t="str">
        <f>IFERROR(INDEX(tbl_recyclass[Segmento],MATCH(A1969,tbl_recyclass[ProductId],0)),"")</f>
        <v>Cosmética e higiene pessoal</v>
      </c>
      <c r="E1969" s="26" t="s">
        <v>904</v>
      </c>
      <c r="F1969" s="26" t="s">
        <v>1450</v>
      </c>
      <c r="G1969" s="26" t="s">
        <v>1143</v>
      </c>
      <c r="H1969" s="33" t="str">
        <f>IF(E1969="Não","Não aplicável",IFERROR(IF(B1969="EU-ENV-002",IF(INDEX(tbl_recyclass[Conforme_PPWR_2030],MATCH(A1969,tbl_recyclass[ProductId],0))="Sim","Conforme (autoavaliação)",IF(INDEX(tbl_recyclass[Conforme_PPWR_2030],MATCH(A1969,tbl_recyclass[ProductId],0))="Não","Não conforme em 2030","Isento até 2035")),IF(B1969="EU-ENV-003",IF(INDEX(tbl_recyclass[Conforme_Art7_2030],MATCH(A1969,tbl_recyclass[ProductId],0))="Sim","Conforme (meta 2030)",IF(INDEX(tbl_recyclass[Conforme_Art7_2030],MATCH(A1969,tbl_recyclass[ProductId],0))="Não","Lacuna face à meta 2030","Isento")),IF(B1969="EU-ENV-011",IF(INDEX(tbl_familias_ppwr[Metais_Pesados_Evidencia],MATCH(INDEX(tbl_recyclass[Familia_PPWR],MATCH(A1969,tbl_recyclass[ProductId],0)),tbl_familias_ppwr[ID_Familia],0))="Em falta","Lacuna","Conforme"),IF(B1969="EU-ENV-013",IF(INDEX(tbl_familias_ppwr[Declaracao_UE],MATCH(INDEX(tbl_recyclass[Familia_PPWR],MATCH(A1969,tbl_recyclass[ProductId],0)),tbl_familias_ppwr[ID_Familia],0))="Sim","Conforme","Lacuna"),G1969)))),G1969))</f>
        <v>Não aplicável</v>
      </c>
      <c r="I1969" s="33" t="str">
        <f t="shared" si="30"/>
        <v>Não aplicável</v>
      </c>
      <c r="J1969" s="26"/>
    </row>
    <row r="1970" spans="1:10" ht="16.05" customHeight="1" x14ac:dyDescent="0.3">
      <c r="A1970" s="26" t="s">
        <v>819</v>
      </c>
      <c r="B1970" s="26" t="s">
        <v>1170</v>
      </c>
      <c r="C1970" s="33" t="str">
        <f>IFERROR(INDEX(tbl_requisitos_emb[Tema],MATCH(B1970,tbl_requisitos_emb[ID_Req],0)),"")</f>
        <v>Boas práticas de fabrico FCM</v>
      </c>
      <c r="D1970" s="33" t="str">
        <f>IFERROR(INDEX(tbl_recyclass[Segmento],MATCH(A1970,tbl_recyclass[ProductId],0)),"")</f>
        <v>Cosmética e higiene pessoal</v>
      </c>
      <c r="E1970" s="26" t="s">
        <v>904</v>
      </c>
      <c r="F1970" s="26" t="s">
        <v>1450</v>
      </c>
      <c r="G1970" s="26" t="s">
        <v>1143</v>
      </c>
      <c r="H1970" s="33" t="str">
        <f>IF(E1970="Não","Não aplicável",IFERROR(IF(B1970="EU-ENV-002",IF(INDEX(tbl_recyclass[Conforme_PPWR_2030],MATCH(A1970,tbl_recyclass[ProductId],0))="Sim","Conforme (autoavaliação)",IF(INDEX(tbl_recyclass[Conforme_PPWR_2030],MATCH(A1970,tbl_recyclass[ProductId],0))="Não","Não conforme em 2030","Isento até 2035")),IF(B1970="EU-ENV-003",IF(INDEX(tbl_recyclass[Conforme_Art7_2030],MATCH(A1970,tbl_recyclass[ProductId],0))="Sim","Conforme (meta 2030)",IF(INDEX(tbl_recyclass[Conforme_Art7_2030],MATCH(A1970,tbl_recyclass[ProductId],0))="Não","Lacuna face à meta 2030","Isento")),IF(B1970="EU-ENV-011",IF(INDEX(tbl_familias_ppwr[Metais_Pesados_Evidencia],MATCH(INDEX(tbl_recyclass[Familia_PPWR],MATCH(A1970,tbl_recyclass[ProductId],0)),tbl_familias_ppwr[ID_Familia],0))="Em falta","Lacuna","Conforme"),IF(B1970="EU-ENV-013",IF(INDEX(tbl_familias_ppwr[Declaracao_UE],MATCH(INDEX(tbl_recyclass[Familia_PPWR],MATCH(A1970,tbl_recyclass[ProductId],0)),tbl_familias_ppwr[ID_Familia],0))="Sim","Conforme","Lacuna"),G1970)))),G1970))</f>
        <v>Não aplicável</v>
      </c>
      <c r="I1970" s="33" t="str">
        <f t="shared" si="30"/>
        <v>Não aplicável</v>
      </c>
      <c r="J1970" s="26"/>
    </row>
    <row r="1971" spans="1:10" ht="16.05" customHeight="1" x14ac:dyDescent="0.3">
      <c r="A1971" s="26" t="s">
        <v>819</v>
      </c>
      <c r="B1971" s="26" t="s">
        <v>1179</v>
      </c>
      <c r="C1971" s="33" t="str">
        <f>IFERROR(INDEX(tbl_requisitos_emb[Tema],MATCH(B1971,tbl_requisitos_emb[ID_Req],0)),"")</f>
        <v>Bisfenol A e bisfenóis perigosos</v>
      </c>
      <c r="D1971" s="33" t="str">
        <f>IFERROR(INDEX(tbl_recyclass[Segmento],MATCH(A1971,tbl_recyclass[ProductId],0)),"")</f>
        <v>Cosmética e higiene pessoal</v>
      </c>
      <c r="E1971" s="26" t="s">
        <v>904</v>
      </c>
      <c r="F1971" s="26" t="s">
        <v>1450</v>
      </c>
      <c r="G1971" s="26" t="s">
        <v>1143</v>
      </c>
      <c r="H1971" s="33" t="str">
        <f>IF(E1971="Não","Não aplicável",IFERROR(IF(B1971="EU-ENV-002",IF(INDEX(tbl_recyclass[Conforme_PPWR_2030],MATCH(A1971,tbl_recyclass[ProductId],0))="Sim","Conforme (autoavaliação)",IF(INDEX(tbl_recyclass[Conforme_PPWR_2030],MATCH(A1971,tbl_recyclass[ProductId],0))="Não","Não conforme em 2030","Isento até 2035")),IF(B1971="EU-ENV-003",IF(INDEX(tbl_recyclass[Conforme_Art7_2030],MATCH(A1971,tbl_recyclass[ProductId],0))="Sim","Conforme (meta 2030)",IF(INDEX(tbl_recyclass[Conforme_Art7_2030],MATCH(A1971,tbl_recyclass[ProductId],0))="Não","Lacuna face à meta 2030","Isento")),IF(B1971="EU-ENV-011",IF(INDEX(tbl_familias_ppwr[Metais_Pesados_Evidencia],MATCH(INDEX(tbl_recyclass[Familia_PPWR],MATCH(A1971,tbl_recyclass[ProductId],0)),tbl_familias_ppwr[ID_Familia],0))="Em falta","Lacuna","Conforme"),IF(B1971="EU-ENV-013",IF(INDEX(tbl_familias_ppwr[Declaracao_UE],MATCH(INDEX(tbl_recyclass[Familia_PPWR],MATCH(A1971,tbl_recyclass[ProductId],0)),tbl_familias_ppwr[ID_Familia],0))="Sim","Conforme","Lacuna"),G1971)))),G1971))</f>
        <v>Não aplicável</v>
      </c>
      <c r="I1971" s="33" t="str">
        <f t="shared" si="30"/>
        <v>Não aplicável</v>
      </c>
      <c r="J1971" s="26"/>
    </row>
    <row r="1972" spans="1:10" ht="16.05" customHeight="1" x14ac:dyDescent="0.3">
      <c r="A1972" s="26" t="s">
        <v>819</v>
      </c>
      <c r="B1972" s="26" t="s">
        <v>1188</v>
      </c>
      <c r="C1972" s="33" t="str">
        <f>IFERROR(INDEX(tbl_requisitos_emb[Tema],MATCH(B1972,tbl_requisitos_emb[ID_Req],0)),"")</f>
        <v>Plásticos em contacto com alimentos</v>
      </c>
      <c r="D1972" s="33" t="str">
        <f>IFERROR(INDEX(tbl_recyclass[Segmento],MATCH(A1972,tbl_recyclass[ProductId],0)),"")</f>
        <v>Cosmética e higiene pessoal</v>
      </c>
      <c r="E1972" s="26" t="s">
        <v>904</v>
      </c>
      <c r="F1972" s="26" t="s">
        <v>1450</v>
      </c>
      <c r="G1972" s="26" t="s">
        <v>1143</v>
      </c>
      <c r="H1972" s="33" t="str">
        <f>IF(E1972="Não","Não aplicável",IFERROR(IF(B1972="EU-ENV-002",IF(INDEX(tbl_recyclass[Conforme_PPWR_2030],MATCH(A1972,tbl_recyclass[ProductId],0))="Sim","Conforme (autoavaliação)",IF(INDEX(tbl_recyclass[Conforme_PPWR_2030],MATCH(A1972,tbl_recyclass[ProductId],0))="Não","Não conforme em 2030","Isento até 2035")),IF(B1972="EU-ENV-003",IF(INDEX(tbl_recyclass[Conforme_Art7_2030],MATCH(A1972,tbl_recyclass[ProductId],0))="Sim","Conforme (meta 2030)",IF(INDEX(tbl_recyclass[Conforme_Art7_2030],MATCH(A1972,tbl_recyclass[ProductId],0))="Não","Lacuna face à meta 2030","Isento")),IF(B1972="EU-ENV-011",IF(INDEX(tbl_familias_ppwr[Metais_Pesados_Evidencia],MATCH(INDEX(tbl_recyclass[Familia_PPWR],MATCH(A1972,tbl_recyclass[ProductId],0)),tbl_familias_ppwr[ID_Familia],0))="Em falta","Lacuna","Conforme"),IF(B1972="EU-ENV-013",IF(INDEX(tbl_familias_ppwr[Declaracao_UE],MATCH(INDEX(tbl_recyclass[Familia_PPWR],MATCH(A1972,tbl_recyclass[ProductId],0)),tbl_familias_ppwr[ID_Familia],0))="Sim","Conforme","Lacuna"),G1972)))),G1972))</f>
        <v>Não aplicável</v>
      </c>
      <c r="I1972" s="33" t="str">
        <f t="shared" si="30"/>
        <v>Não aplicável</v>
      </c>
      <c r="J1972" s="26"/>
    </row>
    <row r="1973" spans="1:10" ht="16.05" customHeight="1" x14ac:dyDescent="0.3">
      <c r="A1973" s="26" t="s">
        <v>819</v>
      </c>
      <c r="B1973" s="26" t="s">
        <v>1212</v>
      </c>
      <c r="C1973" s="33" t="str">
        <f>IFERROR(INDEX(tbl_requisitos_emb[Tema],MATCH(B1973,tbl_requisitos_emb[ID_Req],0)),"")</f>
        <v>Segurança do produto cosmético</v>
      </c>
      <c r="D1973" s="33" t="str">
        <f>IFERROR(INDEX(tbl_recyclass[Segmento],MATCH(A1973,tbl_recyclass[ProductId],0)),"")</f>
        <v>Cosmética e higiene pessoal</v>
      </c>
      <c r="E1973" s="26" t="s">
        <v>901</v>
      </c>
      <c r="F1973" s="26" t="s">
        <v>1449</v>
      </c>
      <c r="G1973" s="26" t="s">
        <v>1033</v>
      </c>
      <c r="H1973" s="33" t="str">
        <f>IF(E1973="Não","Não aplicável",IFERROR(IF(B1973="EU-ENV-002",IF(INDEX(tbl_recyclass[Conforme_PPWR_2030],MATCH(A1973,tbl_recyclass[ProductId],0))="Sim","Conforme (autoavaliação)",IF(INDEX(tbl_recyclass[Conforme_PPWR_2030],MATCH(A1973,tbl_recyclass[ProductId],0))="Não","Não conforme em 2030","Isento até 2035")),IF(B1973="EU-ENV-003",IF(INDEX(tbl_recyclass[Conforme_Art7_2030],MATCH(A1973,tbl_recyclass[ProductId],0))="Sim","Conforme (meta 2030)",IF(INDEX(tbl_recyclass[Conforme_Art7_2030],MATCH(A1973,tbl_recyclass[ProductId],0))="Não","Lacuna face à meta 2030","Isento")),IF(B1973="EU-ENV-011",IF(INDEX(tbl_familias_ppwr[Metais_Pesados_Evidencia],MATCH(INDEX(tbl_recyclass[Familia_PPWR],MATCH(A1973,tbl_recyclass[ProductId],0)),tbl_familias_ppwr[ID_Familia],0))="Em falta","Lacuna","Conforme"),IF(B1973="EU-ENV-013",IF(INDEX(tbl_familias_ppwr[Declaracao_UE],MATCH(INDEX(tbl_recyclass[Familia_PPWR],MATCH(A1973,tbl_recyclass[ProductId],0)),tbl_familias_ppwr[ID_Familia],0))="Sim","Conforme","Lacuna"),G1973)))),G1973))</f>
        <v>Conforme</v>
      </c>
      <c r="I1973" s="33" t="str">
        <f t="shared" si="30"/>
        <v>Conforme</v>
      </c>
      <c r="J1973" s="26" t="s">
        <v>1221</v>
      </c>
    </row>
    <row r="1974" spans="1:10" ht="16.05" customHeight="1" x14ac:dyDescent="0.3">
      <c r="A1974" s="26" t="s">
        <v>819</v>
      </c>
      <c r="B1974" s="26" t="s">
        <v>1224</v>
      </c>
      <c r="C1974" s="33" t="str">
        <f>IFERROR(INDEX(tbl_requisitos_emb[Tema],MATCH(B1974,tbl_requisitos_emb[ID_Req],0)),"")</f>
        <v>Materiais e impurezas</v>
      </c>
      <c r="D1974" s="33" t="str">
        <f>IFERROR(INDEX(tbl_recyclass[Segmento],MATCH(A1974,tbl_recyclass[ProductId],0)),"")</f>
        <v>Cosmética e higiene pessoal</v>
      </c>
      <c r="E1974" s="26" t="s">
        <v>901</v>
      </c>
      <c r="F1974" s="26" t="s">
        <v>1449</v>
      </c>
      <c r="G1974" s="26" t="s">
        <v>978</v>
      </c>
      <c r="H1974" s="33" t="str">
        <f>IF(E1974="Não","Não aplicável",IFERROR(IF(B1974="EU-ENV-002",IF(INDEX(tbl_recyclass[Conforme_PPWR_2030],MATCH(A1974,tbl_recyclass[ProductId],0))="Sim","Conforme (autoavaliação)",IF(INDEX(tbl_recyclass[Conforme_PPWR_2030],MATCH(A1974,tbl_recyclass[ProductId],0))="Não","Não conforme em 2030","Isento até 2035")),IF(B1974="EU-ENV-003",IF(INDEX(tbl_recyclass[Conforme_Art7_2030],MATCH(A1974,tbl_recyclass[ProductId],0))="Sim","Conforme (meta 2030)",IF(INDEX(tbl_recyclass[Conforme_Art7_2030],MATCH(A1974,tbl_recyclass[ProductId],0))="Não","Lacuna face à meta 2030","Isento")),IF(B1974="EU-ENV-011",IF(INDEX(tbl_familias_ppwr[Metais_Pesados_Evidencia],MATCH(INDEX(tbl_recyclass[Familia_PPWR],MATCH(A1974,tbl_recyclass[ProductId],0)),tbl_familias_ppwr[ID_Familia],0))="Em falta","Lacuna","Conforme"),IF(B1974="EU-ENV-013",IF(INDEX(tbl_familias_ppwr[Declaracao_UE],MATCH(INDEX(tbl_recyclass[Familia_PPWR],MATCH(A1974,tbl_recyclass[ProductId],0)),tbl_familias_ppwr[ID_Familia],0))="Sim","Conforme","Lacuna"),G1974)))),G1974))</f>
        <v>Parcial</v>
      </c>
      <c r="I1974" s="33" t="str">
        <f t="shared" si="30"/>
        <v>Parcial</v>
      </c>
      <c r="J1974" s="26" t="s">
        <v>1228</v>
      </c>
    </row>
    <row r="1975" spans="1:10" ht="16.05" customHeight="1" x14ac:dyDescent="0.3">
      <c r="A1975" s="26" t="s">
        <v>819</v>
      </c>
      <c r="B1975" s="26" t="s">
        <v>1240</v>
      </c>
      <c r="C1975" s="33" t="str">
        <f>IFERROR(INDEX(tbl_requisitos_emb[Tema],MATCH(B1975,tbl_requisitos_emb[ID_Req],0)),"")</f>
        <v>Compatibilidade embalagem–produto</v>
      </c>
      <c r="D1975" s="33" t="str">
        <f>IFERROR(INDEX(tbl_recyclass[Segmento],MATCH(A1975,tbl_recyclass[ProductId],0)),"")</f>
        <v>Cosmética e higiene pessoal</v>
      </c>
      <c r="E1975" s="26" t="s">
        <v>901</v>
      </c>
      <c r="F1975" s="26" t="s">
        <v>1449</v>
      </c>
      <c r="G1975" s="26" t="s">
        <v>1033</v>
      </c>
      <c r="H1975" s="33" t="str">
        <f>IF(E1975="Não","Não aplicável",IFERROR(IF(B1975="EU-ENV-002",IF(INDEX(tbl_recyclass[Conforme_PPWR_2030],MATCH(A1975,tbl_recyclass[ProductId],0))="Sim","Conforme (autoavaliação)",IF(INDEX(tbl_recyclass[Conforme_PPWR_2030],MATCH(A1975,tbl_recyclass[ProductId],0))="Não","Não conforme em 2030","Isento até 2035")),IF(B1975="EU-ENV-003",IF(INDEX(tbl_recyclass[Conforme_Art7_2030],MATCH(A1975,tbl_recyclass[ProductId],0))="Sim","Conforme (meta 2030)",IF(INDEX(tbl_recyclass[Conforme_Art7_2030],MATCH(A1975,tbl_recyclass[ProductId],0))="Não","Lacuna face à meta 2030","Isento")),IF(B1975="EU-ENV-011",IF(INDEX(tbl_familias_ppwr[Metais_Pesados_Evidencia],MATCH(INDEX(tbl_recyclass[Familia_PPWR],MATCH(A1975,tbl_recyclass[ProductId],0)),tbl_familias_ppwr[ID_Familia],0))="Em falta","Lacuna","Conforme"),IF(B1975="EU-ENV-013",IF(INDEX(tbl_familias_ppwr[Declaracao_UE],MATCH(INDEX(tbl_recyclass[Familia_PPWR],MATCH(A1975,tbl_recyclass[ProductId],0)),tbl_familias_ppwr[ID_Familia],0))="Sim","Conforme","Lacuna"),G1975)))),G1975))</f>
        <v>Conforme</v>
      </c>
      <c r="I1975" s="33" t="str">
        <f t="shared" si="30"/>
        <v>Conforme</v>
      </c>
      <c r="J1975" s="26" t="s">
        <v>1244</v>
      </c>
    </row>
    <row r="1976" spans="1:10" ht="16.05" customHeight="1" x14ac:dyDescent="0.3">
      <c r="A1976" s="26" t="s">
        <v>819</v>
      </c>
      <c r="B1976" s="26" t="s">
        <v>1252</v>
      </c>
      <c r="C1976" s="33" t="str">
        <f>IFERROR(INDEX(tbl_requisitos_emb[Tema],MATCH(B1976,tbl_requisitos_emb[ID_Req],0)),"")</f>
        <v>Medicamentos de uso humano</v>
      </c>
      <c r="D1976" s="33" t="str">
        <f>IFERROR(INDEX(tbl_recyclass[Segmento],MATCH(A1976,tbl_recyclass[ProductId],0)),"")</f>
        <v>Cosmética e higiene pessoal</v>
      </c>
      <c r="E1976" s="26" t="s">
        <v>904</v>
      </c>
      <c r="F1976" s="26" t="s">
        <v>1451</v>
      </c>
      <c r="G1976" s="26" t="s">
        <v>1143</v>
      </c>
      <c r="H1976" s="33" t="str">
        <f>IF(E1976="Não","Não aplicável",IFERROR(IF(B1976="EU-ENV-002",IF(INDEX(tbl_recyclass[Conforme_PPWR_2030],MATCH(A1976,tbl_recyclass[ProductId],0))="Sim","Conforme (autoavaliação)",IF(INDEX(tbl_recyclass[Conforme_PPWR_2030],MATCH(A1976,tbl_recyclass[ProductId],0))="Não","Não conforme em 2030","Isento até 2035")),IF(B1976="EU-ENV-003",IF(INDEX(tbl_recyclass[Conforme_Art7_2030],MATCH(A1976,tbl_recyclass[ProductId],0))="Sim","Conforme (meta 2030)",IF(INDEX(tbl_recyclass[Conforme_Art7_2030],MATCH(A1976,tbl_recyclass[ProductId],0))="Não","Lacuna face à meta 2030","Isento")),IF(B1976="EU-ENV-011",IF(INDEX(tbl_familias_ppwr[Metais_Pesados_Evidencia],MATCH(INDEX(tbl_recyclass[Familia_PPWR],MATCH(A1976,tbl_recyclass[ProductId],0)),tbl_familias_ppwr[ID_Familia],0))="Em falta","Lacuna","Conforme"),IF(B1976="EU-ENV-013",IF(INDEX(tbl_familias_ppwr[Declaracao_UE],MATCH(INDEX(tbl_recyclass[Familia_PPWR],MATCH(A1976,tbl_recyclass[ProductId],0)),tbl_familias_ppwr[ID_Familia],0))="Sim","Conforme","Lacuna"),G1976)))),G1976))</f>
        <v>Não aplicável</v>
      </c>
      <c r="I1976" s="33" t="str">
        <f t="shared" si="30"/>
        <v>Não aplicável</v>
      </c>
      <c r="J1976" s="26"/>
    </row>
    <row r="1977" spans="1:10" ht="16.05" customHeight="1" x14ac:dyDescent="0.3">
      <c r="A1977" s="26" t="s">
        <v>819</v>
      </c>
      <c r="B1977" s="26" t="s">
        <v>1268</v>
      </c>
      <c r="C1977" s="33" t="str">
        <f>IFERROR(INDEX(tbl_requisitos_emb[Tema],MATCH(B1977,tbl_requisitos_emb[ID_Req],0)),"")</f>
        <v>Dispositivos de segurança</v>
      </c>
      <c r="D1977" s="33" t="str">
        <f>IFERROR(INDEX(tbl_recyclass[Segmento],MATCH(A1977,tbl_recyclass[ProductId],0)),"")</f>
        <v>Cosmética e higiene pessoal</v>
      </c>
      <c r="E1977" s="26" t="s">
        <v>904</v>
      </c>
      <c r="F1977" s="26" t="s">
        <v>1451</v>
      </c>
      <c r="G1977" s="26" t="s">
        <v>1143</v>
      </c>
      <c r="H1977" s="33" t="str">
        <f>IF(E1977="Não","Não aplicável",IFERROR(IF(B1977="EU-ENV-002",IF(INDEX(tbl_recyclass[Conforme_PPWR_2030],MATCH(A1977,tbl_recyclass[ProductId],0))="Sim","Conforme (autoavaliação)",IF(INDEX(tbl_recyclass[Conforme_PPWR_2030],MATCH(A1977,tbl_recyclass[ProductId],0))="Não","Não conforme em 2030","Isento até 2035")),IF(B1977="EU-ENV-003",IF(INDEX(tbl_recyclass[Conforme_Art7_2030],MATCH(A1977,tbl_recyclass[ProductId],0))="Sim","Conforme (meta 2030)",IF(INDEX(tbl_recyclass[Conforme_Art7_2030],MATCH(A1977,tbl_recyclass[ProductId],0))="Não","Lacuna face à meta 2030","Isento")),IF(B1977="EU-ENV-011",IF(INDEX(tbl_familias_ppwr[Metais_Pesados_Evidencia],MATCH(INDEX(tbl_recyclass[Familia_PPWR],MATCH(A1977,tbl_recyclass[ProductId],0)),tbl_familias_ppwr[ID_Familia],0))="Em falta","Lacuna","Conforme"),IF(B1977="EU-ENV-013",IF(INDEX(tbl_familias_ppwr[Declaracao_UE],MATCH(INDEX(tbl_recyclass[Familia_PPWR],MATCH(A1977,tbl_recyclass[ProductId],0)),tbl_familias_ppwr[ID_Familia],0))="Sim","Conforme","Lacuna"),G1977)))),G1977))</f>
        <v>Não aplicável</v>
      </c>
      <c r="I1977" s="33" t="str">
        <f t="shared" si="30"/>
        <v>Não aplicável</v>
      </c>
      <c r="J1977" s="26"/>
    </row>
    <row r="1978" spans="1:10" ht="16.05" customHeight="1" x14ac:dyDescent="0.3">
      <c r="A1978" s="26" t="s">
        <v>819</v>
      </c>
      <c r="B1978" s="26" t="s">
        <v>1285</v>
      </c>
      <c r="C1978" s="33" t="str">
        <f>IFERROR(INDEX(tbl_requisitos_emb[Tema],MATCH(B1978,tbl_requisitos_emb[ID_Req],0)),"")</f>
        <v>Materiais plásticos de acondicionamento primário</v>
      </c>
      <c r="D1978" s="33" t="str">
        <f>IFERROR(INDEX(tbl_recyclass[Segmento],MATCH(A1978,tbl_recyclass[ProductId],0)),"")</f>
        <v>Cosmética e higiene pessoal</v>
      </c>
      <c r="E1978" s="26" t="s">
        <v>904</v>
      </c>
      <c r="F1978" s="26" t="s">
        <v>1451</v>
      </c>
      <c r="G1978" s="26" t="s">
        <v>1143</v>
      </c>
      <c r="H1978" s="33" t="str">
        <f>IF(E1978="Não","Não aplicável",IFERROR(IF(B1978="EU-ENV-002",IF(INDEX(tbl_recyclass[Conforme_PPWR_2030],MATCH(A1978,tbl_recyclass[ProductId],0))="Sim","Conforme (autoavaliação)",IF(INDEX(tbl_recyclass[Conforme_PPWR_2030],MATCH(A1978,tbl_recyclass[ProductId],0))="Não","Não conforme em 2030","Isento até 2035")),IF(B1978="EU-ENV-003",IF(INDEX(tbl_recyclass[Conforme_Art7_2030],MATCH(A1978,tbl_recyclass[ProductId],0))="Sim","Conforme (meta 2030)",IF(INDEX(tbl_recyclass[Conforme_Art7_2030],MATCH(A1978,tbl_recyclass[ProductId],0))="Não","Lacuna face à meta 2030","Isento")),IF(B1978="EU-ENV-011",IF(INDEX(tbl_familias_ppwr[Metais_Pesados_Evidencia],MATCH(INDEX(tbl_recyclass[Familia_PPWR],MATCH(A1978,tbl_recyclass[ProductId],0)),tbl_familias_ppwr[ID_Familia],0))="Em falta","Lacuna","Conforme"),IF(B1978="EU-ENV-013",IF(INDEX(tbl_familias_ppwr[Declaracao_UE],MATCH(INDEX(tbl_recyclass[Familia_PPWR],MATCH(A1978,tbl_recyclass[ProductId],0)),tbl_familias_ppwr[ID_Familia],0))="Sim","Conforme","Lacuna"),G1978)))),G1978))</f>
        <v>Não aplicável</v>
      </c>
      <c r="I1978" s="33" t="str">
        <f t="shared" si="30"/>
        <v>Não aplicável</v>
      </c>
      <c r="J1978" s="26"/>
    </row>
    <row r="1979" spans="1:10" ht="16.05" customHeight="1" x14ac:dyDescent="0.3">
      <c r="A1979" s="26" t="s">
        <v>819</v>
      </c>
      <c r="B1979" s="26" t="s">
        <v>1293</v>
      </c>
      <c r="C1979" s="33" t="str">
        <f>IFERROR(INDEX(tbl_requisitos_emb[Tema],MATCH(B1979,tbl_requisitos_emb[ID_Req],0)),"")</f>
        <v>Isenções PPWR</v>
      </c>
      <c r="D1979" s="33" t="str">
        <f>IFERROR(INDEX(tbl_recyclass[Segmento],MATCH(A1979,tbl_recyclass[ProductId],0)),"")</f>
        <v>Cosmética e higiene pessoal</v>
      </c>
      <c r="E1979" s="26" t="s">
        <v>904</v>
      </c>
      <c r="F1979" s="26" t="s">
        <v>1451</v>
      </c>
      <c r="G1979" s="26" t="s">
        <v>1143</v>
      </c>
      <c r="H1979" s="33" t="str">
        <f>IF(E1979="Não","Não aplicável",IFERROR(IF(B1979="EU-ENV-002",IF(INDEX(tbl_recyclass[Conforme_PPWR_2030],MATCH(A1979,tbl_recyclass[ProductId],0))="Sim","Conforme (autoavaliação)",IF(INDEX(tbl_recyclass[Conforme_PPWR_2030],MATCH(A1979,tbl_recyclass[ProductId],0))="Não","Não conforme em 2030","Isento até 2035")),IF(B1979="EU-ENV-003",IF(INDEX(tbl_recyclass[Conforme_Art7_2030],MATCH(A1979,tbl_recyclass[ProductId],0))="Sim","Conforme (meta 2030)",IF(INDEX(tbl_recyclass[Conforme_Art7_2030],MATCH(A1979,tbl_recyclass[ProductId],0))="Não","Lacuna face à meta 2030","Isento")),IF(B1979="EU-ENV-011",IF(INDEX(tbl_familias_ppwr[Metais_Pesados_Evidencia],MATCH(INDEX(tbl_recyclass[Familia_PPWR],MATCH(A1979,tbl_recyclass[ProductId],0)),tbl_familias_ppwr[ID_Familia],0))="Em falta","Lacuna","Conforme"),IF(B1979="EU-ENV-013",IF(INDEX(tbl_familias_ppwr[Declaracao_UE],MATCH(INDEX(tbl_recyclass[Familia_PPWR],MATCH(A1979,tbl_recyclass[ProductId],0)),tbl_familias_ppwr[ID_Familia],0))="Sim","Conforme","Lacuna"),G1979)))),G1979))</f>
        <v>Não aplicável</v>
      </c>
      <c r="I1979" s="33" t="str">
        <f t="shared" si="30"/>
        <v>Não aplicável</v>
      </c>
      <c r="J1979" s="26"/>
    </row>
    <row r="1980" spans="1:10" ht="16.05" customHeight="1" x14ac:dyDescent="0.3">
      <c r="A1980" s="26" t="s">
        <v>819</v>
      </c>
      <c r="B1980" s="26" t="s">
        <v>1357</v>
      </c>
      <c r="C1980" s="33" t="str">
        <f>IFERROR(INDEX(tbl_requisitos_emb[Tema],MATCH(B1980,tbl_requisitos_emb[ID_Req],0)),"")</f>
        <v>Identificação de plásticos</v>
      </c>
      <c r="D1980" s="33" t="str">
        <f>IFERROR(INDEX(tbl_recyclass[Segmento],MATCH(A1980,tbl_recyclass[ProductId],0)),"")</f>
        <v>Cosmética e higiene pessoal</v>
      </c>
      <c r="E1980" s="26" t="s">
        <v>901</v>
      </c>
      <c r="F1980" s="26" t="s">
        <v>1449</v>
      </c>
      <c r="G1980" s="26" t="s">
        <v>978</v>
      </c>
      <c r="H1980" s="33" t="str">
        <f>IF(E1980="Não","Não aplicável",IFERROR(IF(B1980="EU-ENV-002",IF(INDEX(tbl_recyclass[Conforme_PPWR_2030],MATCH(A1980,tbl_recyclass[ProductId],0))="Sim","Conforme (autoavaliação)",IF(INDEX(tbl_recyclass[Conforme_PPWR_2030],MATCH(A1980,tbl_recyclass[ProductId],0))="Não","Não conforme em 2030","Isento até 2035")),IF(B1980="EU-ENV-003",IF(INDEX(tbl_recyclass[Conforme_Art7_2030],MATCH(A1980,tbl_recyclass[ProductId],0))="Sim","Conforme (meta 2030)",IF(INDEX(tbl_recyclass[Conforme_Art7_2030],MATCH(A1980,tbl_recyclass[ProductId],0))="Não","Lacuna face à meta 2030","Isento")),IF(B1980="EU-ENV-011",IF(INDEX(tbl_familias_ppwr[Metais_Pesados_Evidencia],MATCH(INDEX(tbl_recyclass[Familia_PPWR],MATCH(A1980,tbl_recyclass[ProductId],0)),tbl_familias_ppwr[ID_Familia],0))="Em falta","Lacuna","Conforme"),IF(B1980="EU-ENV-013",IF(INDEX(tbl_familias_ppwr[Declaracao_UE],MATCH(INDEX(tbl_recyclass[Familia_PPWR],MATCH(A1980,tbl_recyclass[ProductId],0)),tbl_familias_ppwr[ID_Familia],0))="Sim","Conforme","Lacuna"),G1980)))),G1980))</f>
        <v>Parcial</v>
      </c>
      <c r="I1980" s="33" t="str">
        <f t="shared" si="30"/>
        <v>Parcial</v>
      </c>
      <c r="J1980" s="26" t="s">
        <v>1362</v>
      </c>
    </row>
    <row r="1981" spans="1:10" ht="16.05" customHeight="1" x14ac:dyDescent="0.3">
      <c r="A1981" s="26" t="s">
        <v>819</v>
      </c>
      <c r="B1981" s="26" t="s">
        <v>1385</v>
      </c>
      <c r="C1981" s="33" t="str">
        <f>IFERROR(INDEX(tbl_requisitos_emb[Tema],MATCH(B1981,tbl_requisitos_emb[ID_Req],0)),"")</f>
        <v>Reciclabilidade (voluntária)</v>
      </c>
      <c r="D1981" s="33" t="str">
        <f>IFERROR(INDEX(tbl_recyclass[Segmento],MATCH(A1981,tbl_recyclass[ProductId],0)),"")</f>
        <v>Cosmética e higiene pessoal</v>
      </c>
      <c r="E1981" s="26" t="s">
        <v>901</v>
      </c>
      <c r="F1981" s="26" t="s">
        <v>1449</v>
      </c>
      <c r="G1981" s="26" t="s">
        <v>978</v>
      </c>
      <c r="H1981" s="33" t="str">
        <f>IF(E1981="Não","Não aplicável",IFERROR(IF(B1981="EU-ENV-002",IF(INDEX(tbl_recyclass[Conforme_PPWR_2030],MATCH(A1981,tbl_recyclass[ProductId],0))="Sim","Conforme (autoavaliação)",IF(INDEX(tbl_recyclass[Conforme_PPWR_2030],MATCH(A1981,tbl_recyclass[ProductId],0))="Não","Não conforme em 2030","Isento até 2035")),IF(B1981="EU-ENV-003",IF(INDEX(tbl_recyclass[Conforme_Art7_2030],MATCH(A1981,tbl_recyclass[ProductId],0))="Sim","Conforme (meta 2030)",IF(INDEX(tbl_recyclass[Conforme_Art7_2030],MATCH(A1981,tbl_recyclass[ProductId],0))="Não","Lacuna face à meta 2030","Isento")),IF(B1981="EU-ENV-011",IF(INDEX(tbl_familias_ppwr[Metais_Pesados_Evidencia],MATCH(INDEX(tbl_recyclass[Familia_PPWR],MATCH(A1981,tbl_recyclass[ProductId],0)),tbl_familias_ppwr[ID_Familia],0))="Em falta","Lacuna","Conforme"),IF(B1981="EU-ENV-013",IF(INDEX(tbl_familias_ppwr[Declaracao_UE],MATCH(INDEX(tbl_recyclass[Familia_PPWR],MATCH(A1981,tbl_recyclass[ProductId],0)),tbl_familias_ppwr[ID_Familia],0))="Sim","Conforme","Lacuna"),G1981)))),G1981))</f>
        <v>Parcial</v>
      </c>
      <c r="I1981" s="33" t="str">
        <f t="shared" si="30"/>
        <v>Parcial</v>
      </c>
      <c r="J1981" s="26" t="s">
        <v>1389</v>
      </c>
    </row>
    <row r="1982" spans="1:10" ht="16.05" customHeight="1" x14ac:dyDescent="0.3">
      <c r="A1982" s="26" t="s">
        <v>821</v>
      </c>
      <c r="B1982" s="26" t="s">
        <v>984</v>
      </c>
      <c r="C1982" s="33" t="str">
        <f>IFERROR(INDEX(tbl_requisitos_emb[Tema],MATCH(B1982,tbl_requisitos_emb[ID_Req],0)),"")</f>
        <v>Conceção para reciclagem</v>
      </c>
      <c r="D1982" s="33" t="str">
        <f>IFERROR(INDEX(tbl_recyclass[Segmento],MATCH(A1982,tbl_recyclass[ProductId],0)),"")</f>
        <v>Cosmética e higiene pessoal</v>
      </c>
      <c r="E1982" s="26" t="s">
        <v>901</v>
      </c>
      <c r="F1982" s="26" t="s">
        <v>1449</v>
      </c>
      <c r="G1982" s="26" t="s">
        <v>978</v>
      </c>
      <c r="H1982" s="33" t="str">
        <f>IF(E1982="Não","Não aplicável",IFERROR(IF(B1982="EU-ENV-002",IF(INDEX(tbl_recyclass[Conforme_PPWR_2030],MATCH(A1982,tbl_recyclass[ProductId],0))="Sim","Conforme (autoavaliação)",IF(INDEX(tbl_recyclass[Conforme_PPWR_2030],MATCH(A1982,tbl_recyclass[ProductId],0))="Não","Não conforme em 2030","Isento até 2035")),IF(B1982="EU-ENV-003",IF(INDEX(tbl_recyclass[Conforme_Art7_2030],MATCH(A1982,tbl_recyclass[ProductId],0))="Sim","Conforme (meta 2030)",IF(INDEX(tbl_recyclass[Conforme_Art7_2030],MATCH(A1982,tbl_recyclass[ProductId],0))="Não","Lacuna face à meta 2030","Isento")),IF(B1982="EU-ENV-011",IF(INDEX(tbl_familias_ppwr[Metais_Pesados_Evidencia],MATCH(INDEX(tbl_recyclass[Familia_PPWR],MATCH(A1982,tbl_recyclass[ProductId],0)),tbl_familias_ppwr[ID_Familia],0))="Em falta","Lacuna","Conforme"),IF(B1982="EU-ENV-013",IF(INDEX(tbl_familias_ppwr[Declaracao_UE],MATCH(INDEX(tbl_recyclass[Familia_PPWR],MATCH(A1982,tbl_recyclass[ProductId],0)),tbl_familias_ppwr[ID_Familia],0))="Sim","Conforme","Lacuna"),G1982)))),G1982))</f>
        <v>Conforme (autoavaliação)</v>
      </c>
      <c r="I1982" s="33" t="str">
        <f t="shared" si="30"/>
        <v>Conforme</v>
      </c>
      <c r="J1982" s="26" t="s">
        <v>991</v>
      </c>
    </row>
    <row r="1983" spans="1:10" ht="16.05" customHeight="1" x14ac:dyDescent="0.3">
      <c r="A1983" s="26" t="s">
        <v>821</v>
      </c>
      <c r="B1983" s="26" t="s">
        <v>997</v>
      </c>
      <c r="C1983" s="33" t="str">
        <f>IFERROR(INDEX(tbl_requisitos_emb[Tema],MATCH(B1983,tbl_requisitos_emb[ID_Req],0)),"")</f>
        <v>Conteúdo reciclado</v>
      </c>
      <c r="D1983" s="33" t="str">
        <f>IFERROR(INDEX(tbl_recyclass[Segmento],MATCH(A1983,tbl_recyclass[ProductId],0)),"")</f>
        <v>Cosmética e higiene pessoal</v>
      </c>
      <c r="E1983" s="26" t="s">
        <v>901</v>
      </c>
      <c r="F1983" s="26" t="s">
        <v>1449</v>
      </c>
      <c r="G1983" s="26" t="s">
        <v>978</v>
      </c>
      <c r="H1983" s="33" t="str">
        <f>IF(E1983="Não","Não aplicável",IFERROR(IF(B1983="EU-ENV-002",IF(INDEX(tbl_recyclass[Conforme_PPWR_2030],MATCH(A1983,tbl_recyclass[ProductId],0))="Sim","Conforme (autoavaliação)",IF(INDEX(tbl_recyclass[Conforme_PPWR_2030],MATCH(A1983,tbl_recyclass[ProductId],0))="Não","Não conforme em 2030","Isento até 2035")),IF(B1983="EU-ENV-003",IF(INDEX(tbl_recyclass[Conforme_Art7_2030],MATCH(A1983,tbl_recyclass[ProductId],0))="Sim","Conforme (meta 2030)",IF(INDEX(tbl_recyclass[Conforme_Art7_2030],MATCH(A1983,tbl_recyclass[ProductId],0))="Não","Lacuna face à meta 2030","Isento")),IF(B1983="EU-ENV-011",IF(INDEX(tbl_familias_ppwr[Metais_Pesados_Evidencia],MATCH(INDEX(tbl_recyclass[Familia_PPWR],MATCH(A1983,tbl_recyclass[ProductId],0)),tbl_familias_ppwr[ID_Familia],0))="Em falta","Lacuna","Conforme"),IF(B1983="EU-ENV-013",IF(INDEX(tbl_familias_ppwr[Declaracao_UE],MATCH(INDEX(tbl_recyclass[Familia_PPWR],MATCH(A1983,tbl_recyclass[ProductId],0)),tbl_familias_ppwr[ID_Familia],0))="Sim","Conforme","Lacuna"),G1983)))),G1983))</f>
        <v>Conforme (meta 2030)</v>
      </c>
      <c r="I1983" s="33" t="str">
        <f t="shared" si="30"/>
        <v>Conforme</v>
      </c>
      <c r="J1983" s="26" t="s">
        <v>1001</v>
      </c>
    </row>
    <row r="1984" spans="1:10" ht="16.05" customHeight="1" x14ac:dyDescent="0.3">
      <c r="A1984" s="26" t="s">
        <v>821</v>
      </c>
      <c r="B1984" s="26" t="s">
        <v>1007</v>
      </c>
      <c r="C1984" s="33" t="str">
        <f>IFERROR(INDEX(tbl_requisitos_emb[Tema],MATCH(B1984,tbl_requisitos_emb[ID_Req],0)),"")</f>
        <v>Minimização</v>
      </c>
      <c r="D1984" s="33" t="str">
        <f>IFERROR(INDEX(tbl_recyclass[Segmento],MATCH(A1984,tbl_recyclass[ProductId],0)),"")</f>
        <v>Cosmética e higiene pessoal</v>
      </c>
      <c r="E1984" s="26" t="s">
        <v>901</v>
      </c>
      <c r="F1984" s="26" t="s">
        <v>1449</v>
      </c>
      <c r="G1984" s="26" t="s">
        <v>978</v>
      </c>
      <c r="H1984" s="33" t="str">
        <f>IF(E1984="Não","Não aplicável",IFERROR(IF(B1984="EU-ENV-002",IF(INDEX(tbl_recyclass[Conforme_PPWR_2030],MATCH(A1984,tbl_recyclass[ProductId],0))="Sim","Conforme (autoavaliação)",IF(INDEX(tbl_recyclass[Conforme_PPWR_2030],MATCH(A1984,tbl_recyclass[ProductId],0))="Não","Não conforme em 2030","Isento até 2035")),IF(B1984="EU-ENV-003",IF(INDEX(tbl_recyclass[Conforme_Art7_2030],MATCH(A1984,tbl_recyclass[ProductId],0))="Sim","Conforme (meta 2030)",IF(INDEX(tbl_recyclass[Conforme_Art7_2030],MATCH(A1984,tbl_recyclass[ProductId],0))="Não","Lacuna face à meta 2030","Isento")),IF(B1984="EU-ENV-011",IF(INDEX(tbl_familias_ppwr[Metais_Pesados_Evidencia],MATCH(INDEX(tbl_recyclass[Familia_PPWR],MATCH(A1984,tbl_recyclass[ProductId],0)),tbl_familias_ppwr[ID_Familia],0))="Em falta","Lacuna","Conforme"),IF(B1984="EU-ENV-013",IF(INDEX(tbl_familias_ppwr[Declaracao_UE],MATCH(INDEX(tbl_recyclass[Familia_PPWR],MATCH(A1984,tbl_recyclass[ProductId],0)),tbl_familias_ppwr[ID_Familia],0))="Sim","Conforme","Lacuna"),G1984)))),G1984))</f>
        <v>Parcial</v>
      </c>
      <c r="I1984" s="33" t="str">
        <f t="shared" si="30"/>
        <v>Parcial</v>
      </c>
      <c r="J1984" s="26" t="s">
        <v>1012</v>
      </c>
    </row>
    <row r="1985" spans="1:10" ht="16.05" customHeight="1" x14ac:dyDescent="0.3">
      <c r="A1985" s="26" t="s">
        <v>821</v>
      </c>
      <c r="B1985" s="26" t="s">
        <v>1016</v>
      </c>
      <c r="C1985" s="33" t="str">
        <f>IFERROR(INDEX(tbl_requisitos_emb[Tema],MATCH(B1985,tbl_requisitos_emb[ID_Req],0)),"")</f>
        <v>Rotulagem</v>
      </c>
      <c r="D1985" s="33" t="str">
        <f>IFERROR(INDEX(tbl_recyclass[Segmento],MATCH(A1985,tbl_recyclass[ProductId],0)),"")</f>
        <v>Cosmética e higiene pessoal</v>
      </c>
      <c r="E1985" s="26" t="s">
        <v>901</v>
      </c>
      <c r="F1985" s="26" t="s">
        <v>1449</v>
      </c>
      <c r="G1985" s="26" t="s">
        <v>990</v>
      </c>
      <c r="H1985" s="33" t="str">
        <f>IF(E1985="Não","Não aplicável",IFERROR(IF(B1985="EU-ENV-002",IF(INDEX(tbl_recyclass[Conforme_PPWR_2030],MATCH(A1985,tbl_recyclass[ProductId],0))="Sim","Conforme (autoavaliação)",IF(INDEX(tbl_recyclass[Conforme_PPWR_2030],MATCH(A1985,tbl_recyclass[ProductId],0))="Não","Não conforme em 2030","Isento até 2035")),IF(B1985="EU-ENV-003",IF(INDEX(tbl_recyclass[Conforme_Art7_2030],MATCH(A1985,tbl_recyclass[ProductId],0))="Sim","Conforme (meta 2030)",IF(INDEX(tbl_recyclass[Conforme_Art7_2030],MATCH(A1985,tbl_recyclass[ProductId],0))="Não","Lacuna face à meta 2030","Isento")),IF(B1985="EU-ENV-011",IF(INDEX(tbl_familias_ppwr[Metais_Pesados_Evidencia],MATCH(INDEX(tbl_recyclass[Familia_PPWR],MATCH(A1985,tbl_recyclass[ProductId],0)),tbl_familias_ppwr[ID_Familia],0))="Em falta","Lacuna","Conforme"),IF(B1985="EU-ENV-013",IF(INDEX(tbl_familias_ppwr[Declaracao_UE],MATCH(INDEX(tbl_recyclass[Familia_PPWR],MATCH(A1985,tbl_recyclass[ProductId],0)),tbl_familias_ppwr[ID_Familia],0))="Sim","Conforme","Lacuna"),G1985)))),G1985))</f>
        <v>Futuro</v>
      </c>
      <c r="I1985" s="33" t="str">
        <f t="shared" si="30"/>
        <v>Futuro</v>
      </c>
      <c r="J1985" s="26" t="s">
        <v>1021</v>
      </c>
    </row>
    <row r="1986" spans="1:10" ht="16.05" customHeight="1" x14ac:dyDescent="0.3">
      <c r="A1986" s="26" t="s">
        <v>821</v>
      </c>
      <c r="B1986" s="26" t="s">
        <v>1038</v>
      </c>
      <c r="C1986" s="33" t="str">
        <f>IFERROR(INDEX(tbl_requisitos_emb[Tema],MATCH(B1986,tbl_requisitos_emb[ID_Req],0)),"")</f>
        <v>Plásticos de utilização única</v>
      </c>
      <c r="D1986" s="33" t="str">
        <f>IFERROR(INDEX(tbl_recyclass[Segmento],MATCH(A1986,tbl_recyclass[ProductId],0)),"")</f>
        <v>Cosmética e higiene pessoal</v>
      </c>
      <c r="E1986" s="26" t="s">
        <v>904</v>
      </c>
      <c r="F1986" s="26" t="s">
        <v>1450</v>
      </c>
      <c r="G1986" s="26" t="s">
        <v>1143</v>
      </c>
      <c r="H1986" s="33" t="str">
        <f>IF(E1986="Não","Não aplicável",IFERROR(IF(B1986="EU-ENV-002",IF(INDEX(tbl_recyclass[Conforme_PPWR_2030],MATCH(A1986,tbl_recyclass[ProductId],0))="Sim","Conforme (autoavaliação)",IF(INDEX(tbl_recyclass[Conforme_PPWR_2030],MATCH(A1986,tbl_recyclass[ProductId],0))="Não","Não conforme em 2030","Isento até 2035")),IF(B1986="EU-ENV-003",IF(INDEX(tbl_recyclass[Conforme_Art7_2030],MATCH(A1986,tbl_recyclass[ProductId],0))="Sim","Conforme (meta 2030)",IF(INDEX(tbl_recyclass[Conforme_Art7_2030],MATCH(A1986,tbl_recyclass[ProductId],0))="Não","Lacuna face à meta 2030","Isento")),IF(B1986="EU-ENV-011",IF(INDEX(tbl_familias_ppwr[Metais_Pesados_Evidencia],MATCH(INDEX(tbl_recyclass[Familia_PPWR],MATCH(A1986,tbl_recyclass[ProductId],0)),tbl_familias_ppwr[ID_Familia],0))="Em falta","Lacuna","Conforme"),IF(B1986="EU-ENV-013",IF(INDEX(tbl_familias_ppwr[Declaracao_UE],MATCH(INDEX(tbl_recyclass[Familia_PPWR],MATCH(A1986,tbl_recyclass[ProductId],0)),tbl_familias_ppwr[ID_Familia],0))="Sim","Conforme","Lacuna"),G1986)))),G1986))</f>
        <v>Não aplicável</v>
      </c>
      <c r="I1986" s="33" t="str">
        <f t="shared" ref="I1986:I2049" si="31">IF(ISNUMBER(SEARCH("Não aplicável",H1986)),"Não aplicável",IF(ISNUMBER(SEARCH("Isento",H1986)),"Isento",IF(ISNUMBER(SEARCH("Não conforme",H1986)),"Não conforme",IF(ISNUMBER(SEARCH("Lacuna",H1986)),"Lacuna",IF(ISNUMBER(SEARCH("Conforme",H1986)),"Conforme",H1986)))))</f>
        <v>Não aplicável</v>
      </c>
      <c r="J1986" s="26"/>
    </row>
    <row r="1987" spans="1:10" ht="16.05" customHeight="1" x14ac:dyDescent="0.3">
      <c r="A1987" s="26" t="s">
        <v>821</v>
      </c>
      <c r="B1987" s="26" t="s">
        <v>1078</v>
      </c>
      <c r="C1987" s="33" t="str">
        <f>IFERROR(INDEX(tbl_requisitos_emb[Tema],MATCH(B1987,tbl_requisitos_emb[ID_Req],0)),"")</f>
        <v>Reciclado à escala</v>
      </c>
      <c r="D1987" s="33" t="str">
        <f>IFERROR(INDEX(tbl_recyclass[Segmento],MATCH(A1987,tbl_recyclass[ProductId],0)),"")</f>
        <v>Cosmética e higiene pessoal</v>
      </c>
      <c r="E1987" s="26" t="s">
        <v>901</v>
      </c>
      <c r="F1987" s="26" t="s">
        <v>1449</v>
      </c>
      <c r="G1987" s="26" t="s">
        <v>990</v>
      </c>
      <c r="H1987" s="33" t="str">
        <f>IF(E1987="Não","Não aplicável",IFERROR(IF(B1987="EU-ENV-002",IF(INDEX(tbl_recyclass[Conforme_PPWR_2030],MATCH(A1987,tbl_recyclass[ProductId],0))="Sim","Conforme (autoavaliação)",IF(INDEX(tbl_recyclass[Conforme_PPWR_2030],MATCH(A1987,tbl_recyclass[ProductId],0))="Não","Não conforme em 2030","Isento até 2035")),IF(B1987="EU-ENV-003",IF(INDEX(tbl_recyclass[Conforme_Art7_2030],MATCH(A1987,tbl_recyclass[ProductId],0))="Sim","Conforme (meta 2030)",IF(INDEX(tbl_recyclass[Conforme_Art7_2030],MATCH(A1987,tbl_recyclass[ProductId],0))="Não","Lacuna face à meta 2030","Isento")),IF(B1987="EU-ENV-011",IF(INDEX(tbl_familias_ppwr[Metais_Pesados_Evidencia],MATCH(INDEX(tbl_recyclass[Familia_PPWR],MATCH(A1987,tbl_recyclass[ProductId],0)),tbl_familias_ppwr[ID_Familia],0))="Em falta","Lacuna","Conforme"),IF(B1987="EU-ENV-013",IF(INDEX(tbl_familias_ppwr[Declaracao_UE],MATCH(INDEX(tbl_recyclass[Familia_PPWR],MATCH(A1987,tbl_recyclass[ProductId],0)),tbl_familias_ppwr[ID_Familia],0))="Sim","Conforme","Lacuna"),G1987)))),G1987))</f>
        <v>Futuro</v>
      </c>
      <c r="I1987" s="33" t="str">
        <f t="shared" si="31"/>
        <v>Futuro</v>
      </c>
      <c r="J1987" s="26" t="s">
        <v>1082</v>
      </c>
    </row>
    <row r="1988" spans="1:10" ht="16.05" customHeight="1" x14ac:dyDescent="0.3">
      <c r="A1988" s="26" t="s">
        <v>821</v>
      </c>
      <c r="B1988" s="26" t="s">
        <v>1086</v>
      </c>
      <c r="C1988" s="33" t="str">
        <f>IFERROR(INDEX(tbl_requisitos_emb[Tema],MATCH(B1988,tbl_requisitos_emb[ID_Req],0)),"")</f>
        <v>Metais pesados</v>
      </c>
      <c r="D1988" s="33" t="str">
        <f>IFERROR(INDEX(tbl_recyclass[Segmento],MATCH(A1988,tbl_recyclass[ProductId],0)),"")</f>
        <v>Cosmética e higiene pessoal</v>
      </c>
      <c r="E1988" s="26" t="s">
        <v>901</v>
      </c>
      <c r="F1988" s="26" t="s">
        <v>1449</v>
      </c>
      <c r="G1988" s="26" t="s">
        <v>978</v>
      </c>
      <c r="H1988" s="33" t="str">
        <f>IF(E1988="Não","Não aplicável",IFERROR(IF(B1988="EU-ENV-002",IF(INDEX(tbl_recyclass[Conforme_PPWR_2030],MATCH(A1988,tbl_recyclass[ProductId],0))="Sim","Conforme (autoavaliação)",IF(INDEX(tbl_recyclass[Conforme_PPWR_2030],MATCH(A1988,tbl_recyclass[ProductId],0))="Não","Não conforme em 2030","Isento até 2035")),IF(B1988="EU-ENV-003",IF(INDEX(tbl_recyclass[Conforme_Art7_2030],MATCH(A1988,tbl_recyclass[ProductId],0))="Sim","Conforme (meta 2030)",IF(INDEX(tbl_recyclass[Conforme_Art7_2030],MATCH(A1988,tbl_recyclass[ProductId],0))="Não","Lacuna face à meta 2030","Isento")),IF(B1988="EU-ENV-011",IF(INDEX(tbl_familias_ppwr[Metais_Pesados_Evidencia],MATCH(INDEX(tbl_recyclass[Familia_PPWR],MATCH(A1988,tbl_recyclass[ProductId],0)),tbl_familias_ppwr[ID_Familia],0))="Em falta","Lacuna","Conforme"),IF(B1988="EU-ENV-013",IF(INDEX(tbl_familias_ppwr[Declaracao_UE],MATCH(INDEX(tbl_recyclass[Familia_PPWR],MATCH(A1988,tbl_recyclass[ProductId],0)),tbl_familias_ppwr[ID_Familia],0))="Sim","Conforme","Lacuna"),G1988)))),G1988))</f>
        <v>Lacuna</v>
      </c>
      <c r="I1988" s="33" t="str">
        <f t="shared" si="31"/>
        <v>Lacuna</v>
      </c>
      <c r="J1988" s="26" t="s">
        <v>1090</v>
      </c>
    </row>
    <row r="1989" spans="1:10" ht="16.05" customHeight="1" x14ac:dyDescent="0.3">
      <c r="A1989" s="26" t="s">
        <v>821</v>
      </c>
      <c r="B1989" s="26" t="s">
        <v>1094</v>
      </c>
      <c r="C1989" s="33" t="str">
        <f>IFERROR(INDEX(tbl_requisitos_emb[Tema],MATCH(B1989,tbl_requisitos_emb[ID_Req],0)),"")</f>
        <v>PFAS</v>
      </c>
      <c r="D1989" s="33" t="str">
        <f>IFERROR(INDEX(tbl_recyclass[Segmento],MATCH(A1989,tbl_recyclass[ProductId],0)),"")</f>
        <v>Cosmética e higiene pessoal</v>
      </c>
      <c r="E1989" s="26" t="s">
        <v>904</v>
      </c>
      <c r="F1989" s="26" t="s">
        <v>1450</v>
      </c>
      <c r="G1989" s="26" t="s">
        <v>1143</v>
      </c>
      <c r="H1989" s="33" t="str">
        <f>IF(E1989="Não","Não aplicável",IFERROR(IF(B1989="EU-ENV-002",IF(INDEX(tbl_recyclass[Conforme_PPWR_2030],MATCH(A1989,tbl_recyclass[ProductId],0))="Sim","Conforme (autoavaliação)",IF(INDEX(tbl_recyclass[Conforme_PPWR_2030],MATCH(A1989,tbl_recyclass[ProductId],0))="Não","Não conforme em 2030","Isento até 2035")),IF(B1989="EU-ENV-003",IF(INDEX(tbl_recyclass[Conforme_Art7_2030],MATCH(A1989,tbl_recyclass[ProductId],0))="Sim","Conforme (meta 2030)",IF(INDEX(tbl_recyclass[Conforme_Art7_2030],MATCH(A1989,tbl_recyclass[ProductId],0))="Não","Lacuna face à meta 2030","Isento")),IF(B1989="EU-ENV-011",IF(INDEX(tbl_familias_ppwr[Metais_Pesados_Evidencia],MATCH(INDEX(tbl_recyclass[Familia_PPWR],MATCH(A1989,tbl_recyclass[ProductId],0)),tbl_familias_ppwr[ID_Familia],0))="Em falta","Lacuna","Conforme"),IF(B1989="EU-ENV-013",IF(INDEX(tbl_familias_ppwr[Declaracao_UE],MATCH(INDEX(tbl_recyclass[Familia_PPWR],MATCH(A1989,tbl_recyclass[ProductId],0)),tbl_familias_ppwr[ID_Familia],0))="Sim","Conforme","Lacuna"),G1989)))),G1989))</f>
        <v>Não aplicável</v>
      </c>
      <c r="I1989" s="33" t="str">
        <f t="shared" si="31"/>
        <v>Não aplicável</v>
      </c>
      <c r="J1989" s="26"/>
    </row>
    <row r="1990" spans="1:10" ht="16.05" customHeight="1" x14ac:dyDescent="0.3">
      <c r="A1990" s="26" t="s">
        <v>821</v>
      </c>
      <c r="B1990" s="26" t="s">
        <v>1102</v>
      </c>
      <c r="C1990" s="33" t="str">
        <f>IFERROR(INDEX(tbl_requisitos_emb[Tema],MATCH(B1990,tbl_requisitos_emb[ID_Req],0)),"")</f>
        <v>Documentação técnica e declaração UE</v>
      </c>
      <c r="D1990" s="33" t="str">
        <f>IFERROR(INDEX(tbl_recyclass[Segmento],MATCH(A1990,tbl_recyclass[ProductId],0)),"")</f>
        <v>Cosmética e higiene pessoal</v>
      </c>
      <c r="E1990" s="26" t="s">
        <v>901</v>
      </c>
      <c r="F1990" s="26" t="s">
        <v>1449</v>
      </c>
      <c r="G1990" s="26" t="s">
        <v>978</v>
      </c>
      <c r="H1990" s="33" t="str">
        <f>IF(E1990="Não","Não aplicável",IFERROR(IF(B1990="EU-ENV-002",IF(INDEX(tbl_recyclass[Conforme_PPWR_2030],MATCH(A1990,tbl_recyclass[ProductId],0))="Sim","Conforme (autoavaliação)",IF(INDEX(tbl_recyclass[Conforme_PPWR_2030],MATCH(A1990,tbl_recyclass[ProductId],0))="Não","Não conforme em 2030","Isento até 2035")),IF(B1990="EU-ENV-003",IF(INDEX(tbl_recyclass[Conforme_Art7_2030],MATCH(A1990,tbl_recyclass[ProductId],0))="Sim","Conforme (meta 2030)",IF(INDEX(tbl_recyclass[Conforme_Art7_2030],MATCH(A1990,tbl_recyclass[ProductId],0))="Não","Lacuna face à meta 2030","Isento")),IF(B1990="EU-ENV-011",IF(INDEX(tbl_familias_ppwr[Metais_Pesados_Evidencia],MATCH(INDEX(tbl_recyclass[Familia_PPWR],MATCH(A1990,tbl_recyclass[ProductId],0)),tbl_familias_ppwr[ID_Familia],0))="Em falta","Lacuna","Conforme"),IF(B1990="EU-ENV-013",IF(INDEX(tbl_familias_ppwr[Declaracao_UE],MATCH(INDEX(tbl_recyclass[Familia_PPWR],MATCH(A1990,tbl_recyclass[ProductId],0)),tbl_familias_ppwr[ID_Familia],0))="Sim","Conforme","Lacuna"),G1990)))),G1990))</f>
        <v>Conforme</v>
      </c>
      <c r="I1990" s="33" t="str">
        <f t="shared" si="31"/>
        <v>Conforme</v>
      </c>
      <c r="J1990" s="26" t="s">
        <v>1106</v>
      </c>
    </row>
    <row r="1991" spans="1:10" ht="16.05" customHeight="1" x14ac:dyDescent="0.3">
      <c r="A1991" s="26" t="s">
        <v>821</v>
      </c>
      <c r="B1991" s="26" t="s">
        <v>1161</v>
      </c>
      <c r="C1991" s="33" t="str">
        <f>IFERROR(INDEX(tbl_requisitos_emb[Tema],MATCH(B1991,tbl_requisitos_emb[ID_Req],0)),"")</f>
        <v>Materiais em contacto com alimentos</v>
      </c>
      <c r="D1991" s="33" t="str">
        <f>IFERROR(INDEX(tbl_recyclass[Segmento],MATCH(A1991,tbl_recyclass[ProductId],0)),"")</f>
        <v>Cosmética e higiene pessoal</v>
      </c>
      <c r="E1991" s="26" t="s">
        <v>904</v>
      </c>
      <c r="F1991" s="26" t="s">
        <v>1450</v>
      </c>
      <c r="G1991" s="26" t="s">
        <v>1143</v>
      </c>
      <c r="H1991" s="33" t="str">
        <f>IF(E1991="Não","Não aplicável",IFERROR(IF(B1991="EU-ENV-002",IF(INDEX(tbl_recyclass[Conforme_PPWR_2030],MATCH(A1991,tbl_recyclass[ProductId],0))="Sim","Conforme (autoavaliação)",IF(INDEX(tbl_recyclass[Conforme_PPWR_2030],MATCH(A1991,tbl_recyclass[ProductId],0))="Não","Não conforme em 2030","Isento até 2035")),IF(B1991="EU-ENV-003",IF(INDEX(tbl_recyclass[Conforme_Art7_2030],MATCH(A1991,tbl_recyclass[ProductId],0))="Sim","Conforme (meta 2030)",IF(INDEX(tbl_recyclass[Conforme_Art7_2030],MATCH(A1991,tbl_recyclass[ProductId],0))="Não","Lacuna face à meta 2030","Isento")),IF(B1991="EU-ENV-011",IF(INDEX(tbl_familias_ppwr[Metais_Pesados_Evidencia],MATCH(INDEX(tbl_recyclass[Familia_PPWR],MATCH(A1991,tbl_recyclass[ProductId],0)),tbl_familias_ppwr[ID_Familia],0))="Em falta","Lacuna","Conforme"),IF(B1991="EU-ENV-013",IF(INDEX(tbl_familias_ppwr[Declaracao_UE],MATCH(INDEX(tbl_recyclass[Familia_PPWR],MATCH(A1991,tbl_recyclass[ProductId],0)),tbl_familias_ppwr[ID_Familia],0))="Sim","Conforme","Lacuna"),G1991)))),G1991))</f>
        <v>Não aplicável</v>
      </c>
      <c r="I1991" s="33" t="str">
        <f t="shared" si="31"/>
        <v>Não aplicável</v>
      </c>
      <c r="J1991" s="26"/>
    </row>
    <row r="1992" spans="1:10" ht="16.05" customHeight="1" x14ac:dyDescent="0.3">
      <c r="A1992" s="26" t="s">
        <v>821</v>
      </c>
      <c r="B1992" s="26" t="s">
        <v>1170</v>
      </c>
      <c r="C1992" s="33" t="str">
        <f>IFERROR(INDEX(tbl_requisitos_emb[Tema],MATCH(B1992,tbl_requisitos_emb[ID_Req],0)),"")</f>
        <v>Boas práticas de fabrico FCM</v>
      </c>
      <c r="D1992" s="33" t="str">
        <f>IFERROR(INDEX(tbl_recyclass[Segmento],MATCH(A1992,tbl_recyclass[ProductId],0)),"")</f>
        <v>Cosmética e higiene pessoal</v>
      </c>
      <c r="E1992" s="26" t="s">
        <v>904</v>
      </c>
      <c r="F1992" s="26" t="s">
        <v>1450</v>
      </c>
      <c r="G1992" s="26" t="s">
        <v>1143</v>
      </c>
      <c r="H1992" s="33" t="str">
        <f>IF(E1992="Não","Não aplicável",IFERROR(IF(B1992="EU-ENV-002",IF(INDEX(tbl_recyclass[Conforme_PPWR_2030],MATCH(A1992,tbl_recyclass[ProductId],0))="Sim","Conforme (autoavaliação)",IF(INDEX(tbl_recyclass[Conforme_PPWR_2030],MATCH(A1992,tbl_recyclass[ProductId],0))="Não","Não conforme em 2030","Isento até 2035")),IF(B1992="EU-ENV-003",IF(INDEX(tbl_recyclass[Conforme_Art7_2030],MATCH(A1992,tbl_recyclass[ProductId],0))="Sim","Conforme (meta 2030)",IF(INDEX(tbl_recyclass[Conforme_Art7_2030],MATCH(A1992,tbl_recyclass[ProductId],0))="Não","Lacuna face à meta 2030","Isento")),IF(B1992="EU-ENV-011",IF(INDEX(tbl_familias_ppwr[Metais_Pesados_Evidencia],MATCH(INDEX(tbl_recyclass[Familia_PPWR],MATCH(A1992,tbl_recyclass[ProductId],0)),tbl_familias_ppwr[ID_Familia],0))="Em falta","Lacuna","Conforme"),IF(B1992="EU-ENV-013",IF(INDEX(tbl_familias_ppwr[Declaracao_UE],MATCH(INDEX(tbl_recyclass[Familia_PPWR],MATCH(A1992,tbl_recyclass[ProductId],0)),tbl_familias_ppwr[ID_Familia],0))="Sim","Conforme","Lacuna"),G1992)))),G1992))</f>
        <v>Não aplicável</v>
      </c>
      <c r="I1992" s="33" t="str">
        <f t="shared" si="31"/>
        <v>Não aplicável</v>
      </c>
      <c r="J1992" s="26"/>
    </row>
    <row r="1993" spans="1:10" ht="16.05" customHeight="1" x14ac:dyDescent="0.3">
      <c r="A1993" s="26" t="s">
        <v>821</v>
      </c>
      <c r="B1993" s="26" t="s">
        <v>1179</v>
      </c>
      <c r="C1993" s="33" t="str">
        <f>IFERROR(INDEX(tbl_requisitos_emb[Tema],MATCH(B1993,tbl_requisitos_emb[ID_Req],0)),"")</f>
        <v>Bisfenol A e bisfenóis perigosos</v>
      </c>
      <c r="D1993" s="33" t="str">
        <f>IFERROR(INDEX(tbl_recyclass[Segmento],MATCH(A1993,tbl_recyclass[ProductId],0)),"")</f>
        <v>Cosmética e higiene pessoal</v>
      </c>
      <c r="E1993" s="26" t="s">
        <v>904</v>
      </c>
      <c r="F1993" s="26" t="s">
        <v>1450</v>
      </c>
      <c r="G1993" s="26" t="s">
        <v>1143</v>
      </c>
      <c r="H1993" s="33" t="str">
        <f>IF(E1993="Não","Não aplicável",IFERROR(IF(B1993="EU-ENV-002",IF(INDEX(tbl_recyclass[Conforme_PPWR_2030],MATCH(A1993,tbl_recyclass[ProductId],0))="Sim","Conforme (autoavaliação)",IF(INDEX(tbl_recyclass[Conforme_PPWR_2030],MATCH(A1993,tbl_recyclass[ProductId],0))="Não","Não conforme em 2030","Isento até 2035")),IF(B1993="EU-ENV-003",IF(INDEX(tbl_recyclass[Conforme_Art7_2030],MATCH(A1993,tbl_recyclass[ProductId],0))="Sim","Conforme (meta 2030)",IF(INDEX(tbl_recyclass[Conforme_Art7_2030],MATCH(A1993,tbl_recyclass[ProductId],0))="Não","Lacuna face à meta 2030","Isento")),IF(B1993="EU-ENV-011",IF(INDEX(tbl_familias_ppwr[Metais_Pesados_Evidencia],MATCH(INDEX(tbl_recyclass[Familia_PPWR],MATCH(A1993,tbl_recyclass[ProductId],0)),tbl_familias_ppwr[ID_Familia],0))="Em falta","Lacuna","Conforme"),IF(B1993="EU-ENV-013",IF(INDEX(tbl_familias_ppwr[Declaracao_UE],MATCH(INDEX(tbl_recyclass[Familia_PPWR],MATCH(A1993,tbl_recyclass[ProductId],0)),tbl_familias_ppwr[ID_Familia],0))="Sim","Conforme","Lacuna"),G1993)))),G1993))</f>
        <v>Não aplicável</v>
      </c>
      <c r="I1993" s="33" t="str">
        <f t="shared" si="31"/>
        <v>Não aplicável</v>
      </c>
      <c r="J1993" s="26"/>
    </row>
    <row r="1994" spans="1:10" ht="16.05" customHeight="1" x14ac:dyDescent="0.3">
      <c r="A1994" s="26" t="s">
        <v>821</v>
      </c>
      <c r="B1994" s="26" t="s">
        <v>1188</v>
      </c>
      <c r="C1994" s="33" t="str">
        <f>IFERROR(INDEX(tbl_requisitos_emb[Tema],MATCH(B1994,tbl_requisitos_emb[ID_Req],0)),"")</f>
        <v>Plásticos em contacto com alimentos</v>
      </c>
      <c r="D1994" s="33" t="str">
        <f>IFERROR(INDEX(tbl_recyclass[Segmento],MATCH(A1994,tbl_recyclass[ProductId],0)),"")</f>
        <v>Cosmética e higiene pessoal</v>
      </c>
      <c r="E1994" s="26" t="s">
        <v>904</v>
      </c>
      <c r="F1994" s="26" t="s">
        <v>1450</v>
      </c>
      <c r="G1994" s="26" t="s">
        <v>1143</v>
      </c>
      <c r="H1994" s="33" t="str">
        <f>IF(E1994="Não","Não aplicável",IFERROR(IF(B1994="EU-ENV-002",IF(INDEX(tbl_recyclass[Conforme_PPWR_2030],MATCH(A1994,tbl_recyclass[ProductId],0))="Sim","Conforme (autoavaliação)",IF(INDEX(tbl_recyclass[Conforme_PPWR_2030],MATCH(A1994,tbl_recyclass[ProductId],0))="Não","Não conforme em 2030","Isento até 2035")),IF(B1994="EU-ENV-003",IF(INDEX(tbl_recyclass[Conforme_Art7_2030],MATCH(A1994,tbl_recyclass[ProductId],0))="Sim","Conforme (meta 2030)",IF(INDEX(tbl_recyclass[Conforme_Art7_2030],MATCH(A1994,tbl_recyclass[ProductId],0))="Não","Lacuna face à meta 2030","Isento")),IF(B1994="EU-ENV-011",IF(INDEX(tbl_familias_ppwr[Metais_Pesados_Evidencia],MATCH(INDEX(tbl_recyclass[Familia_PPWR],MATCH(A1994,tbl_recyclass[ProductId],0)),tbl_familias_ppwr[ID_Familia],0))="Em falta","Lacuna","Conforme"),IF(B1994="EU-ENV-013",IF(INDEX(tbl_familias_ppwr[Declaracao_UE],MATCH(INDEX(tbl_recyclass[Familia_PPWR],MATCH(A1994,tbl_recyclass[ProductId],0)),tbl_familias_ppwr[ID_Familia],0))="Sim","Conforme","Lacuna"),G1994)))),G1994))</f>
        <v>Não aplicável</v>
      </c>
      <c r="I1994" s="33" t="str">
        <f t="shared" si="31"/>
        <v>Não aplicável</v>
      </c>
      <c r="J1994" s="26"/>
    </row>
    <row r="1995" spans="1:10" ht="16.05" customHeight="1" x14ac:dyDescent="0.3">
      <c r="A1995" s="26" t="s">
        <v>821</v>
      </c>
      <c r="B1995" s="26" t="s">
        <v>1212</v>
      </c>
      <c r="C1995" s="33" t="str">
        <f>IFERROR(INDEX(tbl_requisitos_emb[Tema],MATCH(B1995,tbl_requisitos_emb[ID_Req],0)),"")</f>
        <v>Segurança do produto cosmético</v>
      </c>
      <c r="D1995" s="33" t="str">
        <f>IFERROR(INDEX(tbl_recyclass[Segmento],MATCH(A1995,tbl_recyclass[ProductId],0)),"")</f>
        <v>Cosmética e higiene pessoal</v>
      </c>
      <c r="E1995" s="26" t="s">
        <v>901</v>
      </c>
      <c r="F1995" s="26" t="s">
        <v>1449</v>
      </c>
      <c r="G1995" s="26" t="s">
        <v>1033</v>
      </c>
      <c r="H1995" s="33" t="str">
        <f>IF(E1995="Não","Não aplicável",IFERROR(IF(B1995="EU-ENV-002",IF(INDEX(tbl_recyclass[Conforme_PPWR_2030],MATCH(A1995,tbl_recyclass[ProductId],0))="Sim","Conforme (autoavaliação)",IF(INDEX(tbl_recyclass[Conforme_PPWR_2030],MATCH(A1995,tbl_recyclass[ProductId],0))="Não","Não conforme em 2030","Isento até 2035")),IF(B1995="EU-ENV-003",IF(INDEX(tbl_recyclass[Conforme_Art7_2030],MATCH(A1995,tbl_recyclass[ProductId],0))="Sim","Conforme (meta 2030)",IF(INDEX(tbl_recyclass[Conforme_Art7_2030],MATCH(A1995,tbl_recyclass[ProductId],0))="Não","Lacuna face à meta 2030","Isento")),IF(B1995="EU-ENV-011",IF(INDEX(tbl_familias_ppwr[Metais_Pesados_Evidencia],MATCH(INDEX(tbl_recyclass[Familia_PPWR],MATCH(A1995,tbl_recyclass[ProductId],0)),tbl_familias_ppwr[ID_Familia],0))="Em falta","Lacuna","Conforme"),IF(B1995="EU-ENV-013",IF(INDEX(tbl_familias_ppwr[Declaracao_UE],MATCH(INDEX(tbl_recyclass[Familia_PPWR],MATCH(A1995,tbl_recyclass[ProductId],0)),tbl_familias_ppwr[ID_Familia],0))="Sim","Conforme","Lacuna"),G1995)))),G1995))</f>
        <v>Conforme</v>
      </c>
      <c r="I1995" s="33" t="str">
        <f t="shared" si="31"/>
        <v>Conforme</v>
      </c>
      <c r="J1995" s="26" t="s">
        <v>1221</v>
      </c>
    </row>
    <row r="1996" spans="1:10" ht="16.05" customHeight="1" x14ac:dyDescent="0.3">
      <c r="A1996" s="26" t="s">
        <v>821</v>
      </c>
      <c r="B1996" s="26" t="s">
        <v>1224</v>
      </c>
      <c r="C1996" s="33" t="str">
        <f>IFERROR(INDEX(tbl_requisitos_emb[Tema],MATCH(B1996,tbl_requisitos_emb[ID_Req],0)),"")</f>
        <v>Materiais e impurezas</v>
      </c>
      <c r="D1996" s="33" t="str">
        <f>IFERROR(INDEX(tbl_recyclass[Segmento],MATCH(A1996,tbl_recyclass[ProductId],0)),"")</f>
        <v>Cosmética e higiene pessoal</v>
      </c>
      <c r="E1996" s="26" t="s">
        <v>901</v>
      </c>
      <c r="F1996" s="26" t="s">
        <v>1449</v>
      </c>
      <c r="G1996" s="26" t="s">
        <v>978</v>
      </c>
      <c r="H1996" s="33" t="str">
        <f>IF(E1996="Não","Não aplicável",IFERROR(IF(B1996="EU-ENV-002",IF(INDEX(tbl_recyclass[Conforme_PPWR_2030],MATCH(A1996,tbl_recyclass[ProductId],0))="Sim","Conforme (autoavaliação)",IF(INDEX(tbl_recyclass[Conforme_PPWR_2030],MATCH(A1996,tbl_recyclass[ProductId],0))="Não","Não conforme em 2030","Isento até 2035")),IF(B1996="EU-ENV-003",IF(INDEX(tbl_recyclass[Conforme_Art7_2030],MATCH(A1996,tbl_recyclass[ProductId],0))="Sim","Conforme (meta 2030)",IF(INDEX(tbl_recyclass[Conforme_Art7_2030],MATCH(A1996,tbl_recyclass[ProductId],0))="Não","Lacuna face à meta 2030","Isento")),IF(B1996="EU-ENV-011",IF(INDEX(tbl_familias_ppwr[Metais_Pesados_Evidencia],MATCH(INDEX(tbl_recyclass[Familia_PPWR],MATCH(A1996,tbl_recyclass[ProductId],0)),tbl_familias_ppwr[ID_Familia],0))="Em falta","Lacuna","Conforme"),IF(B1996="EU-ENV-013",IF(INDEX(tbl_familias_ppwr[Declaracao_UE],MATCH(INDEX(tbl_recyclass[Familia_PPWR],MATCH(A1996,tbl_recyclass[ProductId],0)),tbl_familias_ppwr[ID_Familia],0))="Sim","Conforme","Lacuna"),G1996)))),G1996))</f>
        <v>Parcial</v>
      </c>
      <c r="I1996" s="33" t="str">
        <f t="shared" si="31"/>
        <v>Parcial</v>
      </c>
      <c r="J1996" s="26" t="s">
        <v>1228</v>
      </c>
    </row>
    <row r="1997" spans="1:10" ht="16.05" customHeight="1" x14ac:dyDescent="0.3">
      <c r="A1997" s="26" t="s">
        <v>821</v>
      </c>
      <c r="B1997" s="26" t="s">
        <v>1240</v>
      </c>
      <c r="C1997" s="33" t="str">
        <f>IFERROR(INDEX(tbl_requisitos_emb[Tema],MATCH(B1997,tbl_requisitos_emb[ID_Req],0)),"")</f>
        <v>Compatibilidade embalagem–produto</v>
      </c>
      <c r="D1997" s="33" t="str">
        <f>IFERROR(INDEX(tbl_recyclass[Segmento],MATCH(A1997,tbl_recyclass[ProductId],0)),"")</f>
        <v>Cosmética e higiene pessoal</v>
      </c>
      <c r="E1997" s="26" t="s">
        <v>901</v>
      </c>
      <c r="F1997" s="26" t="s">
        <v>1449</v>
      </c>
      <c r="G1997" s="26" t="s">
        <v>1033</v>
      </c>
      <c r="H1997" s="33" t="str">
        <f>IF(E1997="Não","Não aplicável",IFERROR(IF(B1997="EU-ENV-002",IF(INDEX(tbl_recyclass[Conforme_PPWR_2030],MATCH(A1997,tbl_recyclass[ProductId],0))="Sim","Conforme (autoavaliação)",IF(INDEX(tbl_recyclass[Conforme_PPWR_2030],MATCH(A1997,tbl_recyclass[ProductId],0))="Não","Não conforme em 2030","Isento até 2035")),IF(B1997="EU-ENV-003",IF(INDEX(tbl_recyclass[Conforme_Art7_2030],MATCH(A1997,tbl_recyclass[ProductId],0))="Sim","Conforme (meta 2030)",IF(INDEX(tbl_recyclass[Conforme_Art7_2030],MATCH(A1997,tbl_recyclass[ProductId],0))="Não","Lacuna face à meta 2030","Isento")),IF(B1997="EU-ENV-011",IF(INDEX(tbl_familias_ppwr[Metais_Pesados_Evidencia],MATCH(INDEX(tbl_recyclass[Familia_PPWR],MATCH(A1997,tbl_recyclass[ProductId],0)),tbl_familias_ppwr[ID_Familia],0))="Em falta","Lacuna","Conforme"),IF(B1997="EU-ENV-013",IF(INDEX(tbl_familias_ppwr[Declaracao_UE],MATCH(INDEX(tbl_recyclass[Familia_PPWR],MATCH(A1997,tbl_recyclass[ProductId],0)),tbl_familias_ppwr[ID_Familia],0))="Sim","Conforme","Lacuna"),G1997)))),G1997))</f>
        <v>Conforme</v>
      </c>
      <c r="I1997" s="33" t="str">
        <f t="shared" si="31"/>
        <v>Conforme</v>
      </c>
      <c r="J1997" s="26" t="s">
        <v>1244</v>
      </c>
    </row>
    <row r="1998" spans="1:10" ht="16.05" customHeight="1" x14ac:dyDescent="0.3">
      <c r="A1998" s="26" t="s">
        <v>821</v>
      </c>
      <c r="B1998" s="26" t="s">
        <v>1252</v>
      </c>
      <c r="C1998" s="33" t="str">
        <f>IFERROR(INDEX(tbl_requisitos_emb[Tema],MATCH(B1998,tbl_requisitos_emb[ID_Req],0)),"")</f>
        <v>Medicamentos de uso humano</v>
      </c>
      <c r="D1998" s="33" t="str">
        <f>IFERROR(INDEX(tbl_recyclass[Segmento],MATCH(A1998,tbl_recyclass[ProductId],0)),"")</f>
        <v>Cosmética e higiene pessoal</v>
      </c>
      <c r="E1998" s="26" t="s">
        <v>904</v>
      </c>
      <c r="F1998" s="26" t="s">
        <v>1451</v>
      </c>
      <c r="G1998" s="26" t="s">
        <v>1143</v>
      </c>
      <c r="H1998" s="33" t="str">
        <f>IF(E1998="Não","Não aplicável",IFERROR(IF(B1998="EU-ENV-002",IF(INDEX(tbl_recyclass[Conforme_PPWR_2030],MATCH(A1998,tbl_recyclass[ProductId],0))="Sim","Conforme (autoavaliação)",IF(INDEX(tbl_recyclass[Conforme_PPWR_2030],MATCH(A1998,tbl_recyclass[ProductId],0))="Não","Não conforme em 2030","Isento até 2035")),IF(B1998="EU-ENV-003",IF(INDEX(tbl_recyclass[Conforme_Art7_2030],MATCH(A1998,tbl_recyclass[ProductId],0))="Sim","Conforme (meta 2030)",IF(INDEX(tbl_recyclass[Conforme_Art7_2030],MATCH(A1998,tbl_recyclass[ProductId],0))="Não","Lacuna face à meta 2030","Isento")),IF(B1998="EU-ENV-011",IF(INDEX(tbl_familias_ppwr[Metais_Pesados_Evidencia],MATCH(INDEX(tbl_recyclass[Familia_PPWR],MATCH(A1998,tbl_recyclass[ProductId],0)),tbl_familias_ppwr[ID_Familia],0))="Em falta","Lacuna","Conforme"),IF(B1998="EU-ENV-013",IF(INDEX(tbl_familias_ppwr[Declaracao_UE],MATCH(INDEX(tbl_recyclass[Familia_PPWR],MATCH(A1998,tbl_recyclass[ProductId],0)),tbl_familias_ppwr[ID_Familia],0))="Sim","Conforme","Lacuna"),G1998)))),G1998))</f>
        <v>Não aplicável</v>
      </c>
      <c r="I1998" s="33" t="str">
        <f t="shared" si="31"/>
        <v>Não aplicável</v>
      </c>
      <c r="J1998" s="26"/>
    </row>
    <row r="1999" spans="1:10" ht="16.05" customHeight="1" x14ac:dyDescent="0.3">
      <c r="A1999" s="26" t="s">
        <v>821</v>
      </c>
      <c r="B1999" s="26" t="s">
        <v>1268</v>
      </c>
      <c r="C1999" s="33" t="str">
        <f>IFERROR(INDEX(tbl_requisitos_emb[Tema],MATCH(B1999,tbl_requisitos_emb[ID_Req],0)),"")</f>
        <v>Dispositivos de segurança</v>
      </c>
      <c r="D1999" s="33" t="str">
        <f>IFERROR(INDEX(tbl_recyclass[Segmento],MATCH(A1999,tbl_recyclass[ProductId],0)),"")</f>
        <v>Cosmética e higiene pessoal</v>
      </c>
      <c r="E1999" s="26" t="s">
        <v>904</v>
      </c>
      <c r="F1999" s="26" t="s">
        <v>1451</v>
      </c>
      <c r="G1999" s="26" t="s">
        <v>1143</v>
      </c>
      <c r="H1999" s="33" t="str">
        <f>IF(E1999="Não","Não aplicável",IFERROR(IF(B1999="EU-ENV-002",IF(INDEX(tbl_recyclass[Conforme_PPWR_2030],MATCH(A1999,tbl_recyclass[ProductId],0))="Sim","Conforme (autoavaliação)",IF(INDEX(tbl_recyclass[Conforme_PPWR_2030],MATCH(A1999,tbl_recyclass[ProductId],0))="Não","Não conforme em 2030","Isento até 2035")),IF(B1999="EU-ENV-003",IF(INDEX(tbl_recyclass[Conforme_Art7_2030],MATCH(A1999,tbl_recyclass[ProductId],0))="Sim","Conforme (meta 2030)",IF(INDEX(tbl_recyclass[Conforme_Art7_2030],MATCH(A1999,tbl_recyclass[ProductId],0))="Não","Lacuna face à meta 2030","Isento")),IF(B1999="EU-ENV-011",IF(INDEX(tbl_familias_ppwr[Metais_Pesados_Evidencia],MATCH(INDEX(tbl_recyclass[Familia_PPWR],MATCH(A1999,tbl_recyclass[ProductId],0)),tbl_familias_ppwr[ID_Familia],0))="Em falta","Lacuna","Conforme"),IF(B1999="EU-ENV-013",IF(INDEX(tbl_familias_ppwr[Declaracao_UE],MATCH(INDEX(tbl_recyclass[Familia_PPWR],MATCH(A1999,tbl_recyclass[ProductId],0)),tbl_familias_ppwr[ID_Familia],0))="Sim","Conforme","Lacuna"),G1999)))),G1999))</f>
        <v>Não aplicável</v>
      </c>
      <c r="I1999" s="33" t="str">
        <f t="shared" si="31"/>
        <v>Não aplicável</v>
      </c>
      <c r="J1999" s="26"/>
    </row>
    <row r="2000" spans="1:10" ht="16.05" customHeight="1" x14ac:dyDescent="0.3">
      <c r="A2000" s="26" t="s">
        <v>821</v>
      </c>
      <c r="B2000" s="26" t="s">
        <v>1285</v>
      </c>
      <c r="C2000" s="33" t="str">
        <f>IFERROR(INDEX(tbl_requisitos_emb[Tema],MATCH(B2000,tbl_requisitos_emb[ID_Req],0)),"")</f>
        <v>Materiais plásticos de acondicionamento primário</v>
      </c>
      <c r="D2000" s="33" t="str">
        <f>IFERROR(INDEX(tbl_recyclass[Segmento],MATCH(A2000,tbl_recyclass[ProductId],0)),"")</f>
        <v>Cosmética e higiene pessoal</v>
      </c>
      <c r="E2000" s="26" t="s">
        <v>904</v>
      </c>
      <c r="F2000" s="26" t="s">
        <v>1451</v>
      </c>
      <c r="G2000" s="26" t="s">
        <v>1143</v>
      </c>
      <c r="H2000" s="33" t="str">
        <f>IF(E2000="Não","Não aplicável",IFERROR(IF(B2000="EU-ENV-002",IF(INDEX(tbl_recyclass[Conforme_PPWR_2030],MATCH(A2000,tbl_recyclass[ProductId],0))="Sim","Conforme (autoavaliação)",IF(INDEX(tbl_recyclass[Conforme_PPWR_2030],MATCH(A2000,tbl_recyclass[ProductId],0))="Não","Não conforme em 2030","Isento até 2035")),IF(B2000="EU-ENV-003",IF(INDEX(tbl_recyclass[Conforme_Art7_2030],MATCH(A2000,tbl_recyclass[ProductId],0))="Sim","Conforme (meta 2030)",IF(INDEX(tbl_recyclass[Conforme_Art7_2030],MATCH(A2000,tbl_recyclass[ProductId],0))="Não","Lacuna face à meta 2030","Isento")),IF(B2000="EU-ENV-011",IF(INDEX(tbl_familias_ppwr[Metais_Pesados_Evidencia],MATCH(INDEX(tbl_recyclass[Familia_PPWR],MATCH(A2000,tbl_recyclass[ProductId],0)),tbl_familias_ppwr[ID_Familia],0))="Em falta","Lacuna","Conforme"),IF(B2000="EU-ENV-013",IF(INDEX(tbl_familias_ppwr[Declaracao_UE],MATCH(INDEX(tbl_recyclass[Familia_PPWR],MATCH(A2000,tbl_recyclass[ProductId],0)),tbl_familias_ppwr[ID_Familia],0))="Sim","Conforme","Lacuna"),G2000)))),G2000))</f>
        <v>Não aplicável</v>
      </c>
      <c r="I2000" s="33" t="str">
        <f t="shared" si="31"/>
        <v>Não aplicável</v>
      </c>
      <c r="J2000" s="26"/>
    </row>
    <row r="2001" spans="1:10" ht="16.05" customHeight="1" x14ac:dyDescent="0.3">
      <c r="A2001" s="26" t="s">
        <v>821</v>
      </c>
      <c r="B2001" s="26" t="s">
        <v>1293</v>
      </c>
      <c r="C2001" s="33" t="str">
        <f>IFERROR(INDEX(tbl_requisitos_emb[Tema],MATCH(B2001,tbl_requisitos_emb[ID_Req],0)),"")</f>
        <v>Isenções PPWR</v>
      </c>
      <c r="D2001" s="33" t="str">
        <f>IFERROR(INDEX(tbl_recyclass[Segmento],MATCH(A2001,tbl_recyclass[ProductId],0)),"")</f>
        <v>Cosmética e higiene pessoal</v>
      </c>
      <c r="E2001" s="26" t="s">
        <v>904</v>
      </c>
      <c r="F2001" s="26" t="s">
        <v>1451</v>
      </c>
      <c r="G2001" s="26" t="s">
        <v>1143</v>
      </c>
      <c r="H2001" s="33" t="str">
        <f>IF(E2001="Não","Não aplicável",IFERROR(IF(B2001="EU-ENV-002",IF(INDEX(tbl_recyclass[Conforme_PPWR_2030],MATCH(A2001,tbl_recyclass[ProductId],0))="Sim","Conforme (autoavaliação)",IF(INDEX(tbl_recyclass[Conforme_PPWR_2030],MATCH(A2001,tbl_recyclass[ProductId],0))="Não","Não conforme em 2030","Isento até 2035")),IF(B2001="EU-ENV-003",IF(INDEX(tbl_recyclass[Conforme_Art7_2030],MATCH(A2001,tbl_recyclass[ProductId],0))="Sim","Conforme (meta 2030)",IF(INDEX(tbl_recyclass[Conforme_Art7_2030],MATCH(A2001,tbl_recyclass[ProductId],0))="Não","Lacuna face à meta 2030","Isento")),IF(B2001="EU-ENV-011",IF(INDEX(tbl_familias_ppwr[Metais_Pesados_Evidencia],MATCH(INDEX(tbl_recyclass[Familia_PPWR],MATCH(A2001,tbl_recyclass[ProductId],0)),tbl_familias_ppwr[ID_Familia],0))="Em falta","Lacuna","Conforme"),IF(B2001="EU-ENV-013",IF(INDEX(tbl_familias_ppwr[Declaracao_UE],MATCH(INDEX(tbl_recyclass[Familia_PPWR],MATCH(A2001,tbl_recyclass[ProductId],0)),tbl_familias_ppwr[ID_Familia],0))="Sim","Conforme","Lacuna"),G2001)))),G2001))</f>
        <v>Não aplicável</v>
      </c>
      <c r="I2001" s="33" t="str">
        <f t="shared" si="31"/>
        <v>Não aplicável</v>
      </c>
      <c r="J2001" s="26"/>
    </row>
    <row r="2002" spans="1:10" ht="16.05" customHeight="1" x14ac:dyDescent="0.3">
      <c r="A2002" s="26" t="s">
        <v>821</v>
      </c>
      <c r="B2002" s="26" t="s">
        <v>1357</v>
      </c>
      <c r="C2002" s="33" t="str">
        <f>IFERROR(INDEX(tbl_requisitos_emb[Tema],MATCH(B2002,tbl_requisitos_emb[ID_Req],0)),"")</f>
        <v>Identificação de plásticos</v>
      </c>
      <c r="D2002" s="33" t="str">
        <f>IFERROR(INDEX(tbl_recyclass[Segmento],MATCH(A2002,tbl_recyclass[ProductId],0)),"")</f>
        <v>Cosmética e higiene pessoal</v>
      </c>
      <c r="E2002" s="26" t="s">
        <v>901</v>
      </c>
      <c r="F2002" s="26" t="s">
        <v>1449</v>
      </c>
      <c r="G2002" s="26" t="s">
        <v>978</v>
      </c>
      <c r="H2002" s="33" t="str">
        <f>IF(E2002="Não","Não aplicável",IFERROR(IF(B2002="EU-ENV-002",IF(INDEX(tbl_recyclass[Conforme_PPWR_2030],MATCH(A2002,tbl_recyclass[ProductId],0))="Sim","Conforme (autoavaliação)",IF(INDEX(tbl_recyclass[Conforme_PPWR_2030],MATCH(A2002,tbl_recyclass[ProductId],0))="Não","Não conforme em 2030","Isento até 2035")),IF(B2002="EU-ENV-003",IF(INDEX(tbl_recyclass[Conforme_Art7_2030],MATCH(A2002,tbl_recyclass[ProductId],0))="Sim","Conforme (meta 2030)",IF(INDEX(tbl_recyclass[Conforme_Art7_2030],MATCH(A2002,tbl_recyclass[ProductId],0))="Não","Lacuna face à meta 2030","Isento")),IF(B2002="EU-ENV-011",IF(INDEX(tbl_familias_ppwr[Metais_Pesados_Evidencia],MATCH(INDEX(tbl_recyclass[Familia_PPWR],MATCH(A2002,tbl_recyclass[ProductId],0)),tbl_familias_ppwr[ID_Familia],0))="Em falta","Lacuna","Conforme"),IF(B2002="EU-ENV-013",IF(INDEX(tbl_familias_ppwr[Declaracao_UE],MATCH(INDEX(tbl_recyclass[Familia_PPWR],MATCH(A2002,tbl_recyclass[ProductId],0)),tbl_familias_ppwr[ID_Familia],0))="Sim","Conforme","Lacuna"),G2002)))),G2002))</f>
        <v>Parcial</v>
      </c>
      <c r="I2002" s="33" t="str">
        <f t="shared" si="31"/>
        <v>Parcial</v>
      </c>
      <c r="J2002" s="26" t="s">
        <v>1362</v>
      </c>
    </row>
    <row r="2003" spans="1:10" ht="16.05" customHeight="1" x14ac:dyDescent="0.3">
      <c r="A2003" s="26" t="s">
        <v>821</v>
      </c>
      <c r="B2003" s="26" t="s">
        <v>1385</v>
      </c>
      <c r="C2003" s="33" t="str">
        <f>IFERROR(INDEX(tbl_requisitos_emb[Tema],MATCH(B2003,tbl_requisitos_emb[ID_Req],0)),"")</f>
        <v>Reciclabilidade (voluntária)</v>
      </c>
      <c r="D2003" s="33" t="str">
        <f>IFERROR(INDEX(tbl_recyclass[Segmento],MATCH(A2003,tbl_recyclass[ProductId],0)),"")</f>
        <v>Cosmética e higiene pessoal</v>
      </c>
      <c r="E2003" s="26" t="s">
        <v>901</v>
      </c>
      <c r="F2003" s="26" t="s">
        <v>1449</v>
      </c>
      <c r="G2003" s="26" t="s">
        <v>978</v>
      </c>
      <c r="H2003" s="33" t="str">
        <f>IF(E2003="Não","Não aplicável",IFERROR(IF(B2003="EU-ENV-002",IF(INDEX(tbl_recyclass[Conforme_PPWR_2030],MATCH(A2003,tbl_recyclass[ProductId],0))="Sim","Conforme (autoavaliação)",IF(INDEX(tbl_recyclass[Conforme_PPWR_2030],MATCH(A2003,tbl_recyclass[ProductId],0))="Não","Não conforme em 2030","Isento até 2035")),IF(B2003="EU-ENV-003",IF(INDEX(tbl_recyclass[Conforme_Art7_2030],MATCH(A2003,tbl_recyclass[ProductId],0))="Sim","Conforme (meta 2030)",IF(INDEX(tbl_recyclass[Conforme_Art7_2030],MATCH(A2003,tbl_recyclass[ProductId],0))="Não","Lacuna face à meta 2030","Isento")),IF(B2003="EU-ENV-011",IF(INDEX(tbl_familias_ppwr[Metais_Pesados_Evidencia],MATCH(INDEX(tbl_recyclass[Familia_PPWR],MATCH(A2003,tbl_recyclass[ProductId],0)),tbl_familias_ppwr[ID_Familia],0))="Em falta","Lacuna","Conforme"),IF(B2003="EU-ENV-013",IF(INDEX(tbl_familias_ppwr[Declaracao_UE],MATCH(INDEX(tbl_recyclass[Familia_PPWR],MATCH(A2003,tbl_recyclass[ProductId],0)),tbl_familias_ppwr[ID_Familia],0))="Sim","Conforme","Lacuna"),G2003)))),G2003))</f>
        <v>Parcial</v>
      </c>
      <c r="I2003" s="33" t="str">
        <f t="shared" si="31"/>
        <v>Parcial</v>
      </c>
      <c r="J2003" s="26" t="s">
        <v>1389</v>
      </c>
    </row>
    <row r="2004" spans="1:10" ht="16.05" customHeight="1" x14ac:dyDescent="0.3">
      <c r="A2004" s="26" t="s">
        <v>823</v>
      </c>
      <c r="B2004" s="26" t="s">
        <v>984</v>
      </c>
      <c r="C2004" s="33" t="str">
        <f>IFERROR(INDEX(tbl_requisitos_emb[Tema],MATCH(B2004,tbl_requisitos_emb[ID_Req],0)),"")</f>
        <v>Conceção para reciclagem</v>
      </c>
      <c r="D2004" s="33" t="str">
        <f>IFERROR(INDEX(tbl_recyclass[Segmento],MATCH(A2004,tbl_recyclass[ProductId],0)),"")</f>
        <v>Cosmética e higiene pessoal</v>
      </c>
      <c r="E2004" s="26" t="s">
        <v>901</v>
      </c>
      <c r="F2004" s="26" t="s">
        <v>1449</v>
      </c>
      <c r="G2004" s="26" t="s">
        <v>978</v>
      </c>
      <c r="H2004" s="33" t="str">
        <f>IF(E2004="Não","Não aplicável",IFERROR(IF(B2004="EU-ENV-002",IF(INDEX(tbl_recyclass[Conforme_PPWR_2030],MATCH(A2004,tbl_recyclass[ProductId],0))="Sim","Conforme (autoavaliação)",IF(INDEX(tbl_recyclass[Conforme_PPWR_2030],MATCH(A2004,tbl_recyclass[ProductId],0))="Não","Não conforme em 2030","Isento até 2035")),IF(B2004="EU-ENV-003",IF(INDEX(tbl_recyclass[Conforme_Art7_2030],MATCH(A2004,tbl_recyclass[ProductId],0))="Sim","Conforme (meta 2030)",IF(INDEX(tbl_recyclass[Conforme_Art7_2030],MATCH(A2004,tbl_recyclass[ProductId],0))="Não","Lacuna face à meta 2030","Isento")),IF(B2004="EU-ENV-011",IF(INDEX(tbl_familias_ppwr[Metais_Pesados_Evidencia],MATCH(INDEX(tbl_recyclass[Familia_PPWR],MATCH(A2004,tbl_recyclass[ProductId],0)),tbl_familias_ppwr[ID_Familia],0))="Em falta","Lacuna","Conforme"),IF(B2004="EU-ENV-013",IF(INDEX(tbl_familias_ppwr[Declaracao_UE],MATCH(INDEX(tbl_recyclass[Familia_PPWR],MATCH(A2004,tbl_recyclass[ProductId],0)),tbl_familias_ppwr[ID_Familia],0))="Sim","Conforme","Lacuna"),G2004)))),G2004))</f>
        <v>Conforme (autoavaliação)</v>
      </c>
      <c r="I2004" s="33" t="str">
        <f t="shared" si="31"/>
        <v>Conforme</v>
      </c>
      <c r="J2004" s="26" t="s">
        <v>991</v>
      </c>
    </row>
    <row r="2005" spans="1:10" ht="16.05" customHeight="1" x14ac:dyDescent="0.3">
      <c r="A2005" s="26" t="s">
        <v>823</v>
      </c>
      <c r="B2005" s="26" t="s">
        <v>997</v>
      </c>
      <c r="C2005" s="33" t="str">
        <f>IFERROR(INDEX(tbl_requisitos_emb[Tema],MATCH(B2005,tbl_requisitos_emb[ID_Req],0)),"")</f>
        <v>Conteúdo reciclado</v>
      </c>
      <c r="D2005" s="33" t="str">
        <f>IFERROR(INDEX(tbl_recyclass[Segmento],MATCH(A2005,tbl_recyclass[ProductId],0)),"")</f>
        <v>Cosmética e higiene pessoal</v>
      </c>
      <c r="E2005" s="26" t="s">
        <v>901</v>
      </c>
      <c r="F2005" s="26" t="s">
        <v>1449</v>
      </c>
      <c r="G2005" s="26" t="s">
        <v>978</v>
      </c>
      <c r="H2005" s="33" t="str">
        <f>IF(E2005="Não","Não aplicável",IFERROR(IF(B2005="EU-ENV-002",IF(INDEX(tbl_recyclass[Conforme_PPWR_2030],MATCH(A2005,tbl_recyclass[ProductId],0))="Sim","Conforme (autoavaliação)",IF(INDEX(tbl_recyclass[Conforme_PPWR_2030],MATCH(A2005,tbl_recyclass[ProductId],0))="Não","Não conforme em 2030","Isento até 2035")),IF(B2005="EU-ENV-003",IF(INDEX(tbl_recyclass[Conforme_Art7_2030],MATCH(A2005,tbl_recyclass[ProductId],0))="Sim","Conforme (meta 2030)",IF(INDEX(tbl_recyclass[Conforme_Art7_2030],MATCH(A2005,tbl_recyclass[ProductId],0))="Não","Lacuna face à meta 2030","Isento")),IF(B2005="EU-ENV-011",IF(INDEX(tbl_familias_ppwr[Metais_Pesados_Evidencia],MATCH(INDEX(tbl_recyclass[Familia_PPWR],MATCH(A2005,tbl_recyclass[ProductId],0)),tbl_familias_ppwr[ID_Familia],0))="Em falta","Lacuna","Conforme"),IF(B2005="EU-ENV-013",IF(INDEX(tbl_familias_ppwr[Declaracao_UE],MATCH(INDEX(tbl_recyclass[Familia_PPWR],MATCH(A2005,tbl_recyclass[ProductId],0)),tbl_familias_ppwr[ID_Familia],0))="Sim","Conforme","Lacuna"),G2005)))),G2005))</f>
        <v>Conforme (meta 2030)</v>
      </c>
      <c r="I2005" s="33" t="str">
        <f t="shared" si="31"/>
        <v>Conforme</v>
      </c>
      <c r="J2005" s="26" t="s">
        <v>1001</v>
      </c>
    </row>
    <row r="2006" spans="1:10" ht="16.05" customHeight="1" x14ac:dyDescent="0.3">
      <c r="A2006" s="26" t="s">
        <v>823</v>
      </c>
      <c r="B2006" s="26" t="s">
        <v>1007</v>
      </c>
      <c r="C2006" s="33" t="str">
        <f>IFERROR(INDEX(tbl_requisitos_emb[Tema],MATCH(B2006,tbl_requisitos_emb[ID_Req],0)),"")</f>
        <v>Minimização</v>
      </c>
      <c r="D2006" s="33" t="str">
        <f>IFERROR(INDEX(tbl_recyclass[Segmento],MATCH(A2006,tbl_recyclass[ProductId],0)),"")</f>
        <v>Cosmética e higiene pessoal</v>
      </c>
      <c r="E2006" s="26" t="s">
        <v>901</v>
      </c>
      <c r="F2006" s="26" t="s">
        <v>1449</v>
      </c>
      <c r="G2006" s="26" t="s">
        <v>978</v>
      </c>
      <c r="H2006" s="33" t="str">
        <f>IF(E2006="Não","Não aplicável",IFERROR(IF(B2006="EU-ENV-002",IF(INDEX(tbl_recyclass[Conforme_PPWR_2030],MATCH(A2006,tbl_recyclass[ProductId],0))="Sim","Conforme (autoavaliação)",IF(INDEX(tbl_recyclass[Conforme_PPWR_2030],MATCH(A2006,tbl_recyclass[ProductId],0))="Não","Não conforme em 2030","Isento até 2035")),IF(B2006="EU-ENV-003",IF(INDEX(tbl_recyclass[Conforme_Art7_2030],MATCH(A2006,tbl_recyclass[ProductId],0))="Sim","Conforme (meta 2030)",IF(INDEX(tbl_recyclass[Conforme_Art7_2030],MATCH(A2006,tbl_recyclass[ProductId],0))="Não","Lacuna face à meta 2030","Isento")),IF(B2006="EU-ENV-011",IF(INDEX(tbl_familias_ppwr[Metais_Pesados_Evidencia],MATCH(INDEX(tbl_recyclass[Familia_PPWR],MATCH(A2006,tbl_recyclass[ProductId],0)),tbl_familias_ppwr[ID_Familia],0))="Em falta","Lacuna","Conforme"),IF(B2006="EU-ENV-013",IF(INDEX(tbl_familias_ppwr[Declaracao_UE],MATCH(INDEX(tbl_recyclass[Familia_PPWR],MATCH(A2006,tbl_recyclass[ProductId],0)),tbl_familias_ppwr[ID_Familia],0))="Sim","Conforme","Lacuna"),G2006)))),G2006))</f>
        <v>Parcial</v>
      </c>
      <c r="I2006" s="33" t="str">
        <f t="shared" si="31"/>
        <v>Parcial</v>
      </c>
      <c r="J2006" s="26" t="s">
        <v>1012</v>
      </c>
    </row>
    <row r="2007" spans="1:10" ht="16.05" customHeight="1" x14ac:dyDescent="0.3">
      <c r="A2007" s="26" t="s">
        <v>823</v>
      </c>
      <c r="B2007" s="26" t="s">
        <v>1016</v>
      </c>
      <c r="C2007" s="33" t="str">
        <f>IFERROR(INDEX(tbl_requisitos_emb[Tema],MATCH(B2007,tbl_requisitos_emb[ID_Req],0)),"")</f>
        <v>Rotulagem</v>
      </c>
      <c r="D2007" s="33" t="str">
        <f>IFERROR(INDEX(tbl_recyclass[Segmento],MATCH(A2007,tbl_recyclass[ProductId],0)),"")</f>
        <v>Cosmética e higiene pessoal</v>
      </c>
      <c r="E2007" s="26" t="s">
        <v>901</v>
      </c>
      <c r="F2007" s="26" t="s">
        <v>1449</v>
      </c>
      <c r="G2007" s="26" t="s">
        <v>990</v>
      </c>
      <c r="H2007" s="33" t="str">
        <f>IF(E2007="Não","Não aplicável",IFERROR(IF(B2007="EU-ENV-002",IF(INDEX(tbl_recyclass[Conforme_PPWR_2030],MATCH(A2007,tbl_recyclass[ProductId],0))="Sim","Conforme (autoavaliação)",IF(INDEX(tbl_recyclass[Conforme_PPWR_2030],MATCH(A2007,tbl_recyclass[ProductId],0))="Não","Não conforme em 2030","Isento até 2035")),IF(B2007="EU-ENV-003",IF(INDEX(tbl_recyclass[Conforme_Art7_2030],MATCH(A2007,tbl_recyclass[ProductId],0))="Sim","Conforme (meta 2030)",IF(INDEX(tbl_recyclass[Conforme_Art7_2030],MATCH(A2007,tbl_recyclass[ProductId],0))="Não","Lacuna face à meta 2030","Isento")),IF(B2007="EU-ENV-011",IF(INDEX(tbl_familias_ppwr[Metais_Pesados_Evidencia],MATCH(INDEX(tbl_recyclass[Familia_PPWR],MATCH(A2007,tbl_recyclass[ProductId],0)),tbl_familias_ppwr[ID_Familia],0))="Em falta","Lacuna","Conforme"),IF(B2007="EU-ENV-013",IF(INDEX(tbl_familias_ppwr[Declaracao_UE],MATCH(INDEX(tbl_recyclass[Familia_PPWR],MATCH(A2007,tbl_recyclass[ProductId],0)),tbl_familias_ppwr[ID_Familia],0))="Sim","Conforme","Lacuna"),G2007)))),G2007))</f>
        <v>Futuro</v>
      </c>
      <c r="I2007" s="33" t="str">
        <f t="shared" si="31"/>
        <v>Futuro</v>
      </c>
      <c r="J2007" s="26" t="s">
        <v>1021</v>
      </c>
    </row>
    <row r="2008" spans="1:10" ht="16.05" customHeight="1" x14ac:dyDescent="0.3">
      <c r="A2008" s="26" t="s">
        <v>823</v>
      </c>
      <c r="B2008" s="26" t="s">
        <v>1038</v>
      </c>
      <c r="C2008" s="33" t="str">
        <f>IFERROR(INDEX(tbl_requisitos_emb[Tema],MATCH(B2008,tbl_requisitos_emb[ID_Req],0)),"")</f>
        <v>Plásticos de utilização única</v>
      </c>
      <c r="D2008" s="33" t="str">
        <f>IFERROR(INDEX(tbl_recyclass[Segmento],MATCH(A2008,tbl_recyclass[ProductId],0)),"")</f>
        <v>Cosmética e higiene pessoal</v>
      </c>
      <c r="E2008" s="26" t="s">
        <v>904</v>
      </c>
      <c r="F2008" s="26" t="s">
        <v>1450</v>
      </c>
      <c r="G2008" s="26" t="s">
        <v>1143</v>
      </c>
      <c r="H2008" s="33" t="str">
        <f>IF(E2008="Não","Não aplicável",IFERROR(IF(B2008="EU-ENV-002",IF(INDEX(tbl_recyclass[Conforme_PPWR_2030],MATCH(A2008,tbl_recyclass[ProductId],0))="Sim","Conforme (autoavaliação)",IF(INDEX(tbl_recyclass[Conforme_PPWR_2030],MATCH(A2008,tbl_recyclass[ProductId],0))="Não","Não conforme em 2030","Isento até 2035")),IF(B2008="EU-ENV-003",IF(INDEX(tbl_recyclass[Conforme_Art7_2030],MATCH(A2008,tbl_recyclass[ProductId],0))="Sim","Conforme (meta 2030)",IF(INDEX(tbl_recyclass[Conforme_Art7_2030],MATCH(A2008,tbl_recyclass[ProductId],0))="Não","Lacuna face à meta 2030","Isento")),IF(B2008="EU-ENV-011",IF(INDEX(tbl_familias_ppwr[Metais_Pesados_Evidencia],MATCH(INDEX(tbl_recyclass[Familia_PPWR],MATCH(A2008,tbl_recyclass[ProductId],0)),tbl_familias_ppwr[ID_Familia],0))="Em falta","Lacuna","Conforme"),IF(B2008="EU-ENV-013",IF(INDEX(tbl_familias_ppwr[Declaracao_UE],MATCH(INDEX(tbl_recyclass[Familia_PPWR],MATCH(A2008,tbl_recyclass[ProductId],0)),tbl_familias_ppwr[ID_Familia],0))="Sim","Conforme","Lacuna"),G2008)))),G2008))</f>
        <v>Não aplicável</v>
      </c>
      <c r="I2008" s="33" t="str">
        <f t="shared" si="31"/>
        <v>Não aplicável</v>
      </c>
      <c r="J2008" s="26"/>
    </row>
    <row r="2009" spans="1:10" ht="16.05" customHeight="1" x14ac:dyDescent="0.3">
      <c r="A2009" s="26" t="s">
        <v>823</v>
      </c>
      <c r="B2009" s="26" t="s">
        <v>1078</v>
      </c>
      <c r="C2009" s="33" t="str">
        <f>IFERROR(INDEX(tbl_requisitos_emb[Tema],MATCH(B2009,tbl_requisitos_emb[ID_Req],0)),"")</f>
        <v>Reciclado à escala</v>
      </c>
      <c r="D2009" s="33" t="str">
        <f>IFERROR(INDEX(tbl_recyclass[Segmento],MATCH(A2009,tbl_recyclass[ProductId],0)),"")</f>
        <v>Cosmética e higiene pessoal</v>
      </c>
      <c r="E2009" s="26" t="s">
        <v>901</v>
      </c>
      <c r="F2009" s="26" t="s">
        <v>1449</v>
      </c>
      <c r="G2009" s="26" t="s">
        <v>990</v>
      </c>
      <c r="H2009" s="33" t="str">
        <f>IF(E2009="Não","Não aplicável",IFERROR(IF(B2009="EU-ENV-002",IF(INDEX(tbl_recyclass[Conforme_PPWR_2030],MATCH(A2009,tbl_recyclass[ProductId],0))="Sim","Conforme (autoavaliação)",IF(INDEX(tbl_recyclass[Conforme_PPWR_2030],MATCH(A2009,tbl_recyclass[ProductId],0))="Não","Não conforme em 2030","Isento até 2035")),IF(B2009="EU-ENV-003",IF(INDEX(tbl_recyclass[Conforme_Art7_2030],MATCH(A2009,tbl_recyclass[ProductId],0))="Sim","Conforme (meta 2030)",IF(INDEX(tbl_recyclass[Conforme_Art7_2030],MATCH(A2009,tbl_recyclass[ProductId],0))="Não","Lacuna face à meta 2030","Isento")),IF(B2009="EU-ENV-011",IF(INDEX(tbl_familias_ppwr[Metais_Pesados_Evidencia],MATCH(INDEX(tbl_recyclass[Familia_PPWR],MATCH(A2009,tbl_recyclass[ProductId],0)),tbl_familias_ppwr[ID_Familia],0))="Em falta","Lacuna","Conforme"),IF(B2009="EU-ENV-013",IF(INDEX(tbl_familias_ppwr[Declaracao_UE],MATCH(INDEX(tbl_recyclass[Familia_PPWR],MATCH(A2009,tbl_recyclass[ProductId],0)),tbl_familias_ppwr[ID_Familia],0))="Sim","Conforme","Lacuna"),G2009)))),G2009))</f>
        <v>Futuro</v>
      </c>
      <c r="I2009" s="33" t="str">
        <f t="shared" si="31"/>
        <v>Futuro</v>
      </c>
      <c r="J2009" s="26" t="s">
        <v>1082</v>
      </c>
    </row>
    <row r="2010" spans="1:10" ht="16.05" customHeight="1" x14ac:dyDescent="0.3">
      <c r="A2010" s="26" t="s">
        <v>823</v>
      </c>
      <c r="B2010" s="26" t="s">
        <v>1086</v>
      </c>
      <c r="C2010" s="33" t="str">
        <f>IFERROR(INDEX(tbl_requisitos_emb[Tema],MATCH(B2010,tbl_requisitos_emb[ID_Req],0)),"")</f>
        <v>Metais pesados</v>
      </c>
      <c r="D2010" s="33" t="str">
        <f>IFERROR(INDEX(tbl_recyclass[Segmento],MATCH(A2010,tbl_recyclass[ProductId],0)),"")</f>
        <v>Cosmética e higiene pessoal</v>
      </c>
      <c r="E2010" s="26" t="s">
        <v>901</v>
      </c>
      <c r="F2010" s="26" t="s">
        <v>1449</v>
      </c>
      <c r="G2010" s="26" t="s">
        <v>978</v>
      </c>
      <c r="H2010" s="33" t="str">
        <f>IF(E2010="Não","Não aplicável",IFERROR(IF(B2010="EU-ENV-002",IF(INDEX(tbl_recyclass[Conforme_PPWR_2030],MATCH(A2010,tbl_recyclass[ProductId],0))="Sim","Conforme (autoavaliação)",IF(INDEX(tbl_recyclass[Conforme_PPWR_2030],MATCH(A2010,tbl_recyclass[ProductId],0))="Não","Não conforme em 2030","Isento até 2035")),IF(B2010="EU-ENV-003",IF(INDEX(tbl_recyclass[Conforme_Art7_2030],MATCH(A2010,tbl_recyclass[ProductId],0))="Sim","Conforme (meta 2030)",IF(INDEX(tbl_recyclass[Conforme_Art7_2030],MATCH(A2010,tbl_recyclass[ProductId],0))="Não","Lacuna face à meta 2030","Isento")),IF(B2010="EU-ENV-011",IF(INDEX(tbl_familias_ppwr[Metais_Pesados_Evidencia],MATCH(INDEX(tbl_recyclass[Familia_PPWR],MATCH(A2010,tbl_recyclass[ProductId],0)),tbl_familias_ppwr[ID_Familia],0))="Em falta","Lacuna","Conforme"),IF(B2010="EU-ENV-013",IF(INDEX(tbl_familias_ppwr[Declaracao_UE],MATCH(INDEX(tbl_recyclass[Familia_PPWR],MATCH(A2010,tbl_recyclass[ProductId],0)),tbl_familias_ppwr[ID_Familia],0))="Sim","Conforme","Lacuna"),G2010)))),G2010))</f>
        <v>Lacuna</v>
      </c>
      <c r="I2010" s="33" t="str">
        <f t="shared" si="31"/>
        <v>Lacuna</v>
      </c>
      <c r="J2010" s="26" t="s">
        <v>1090</v>
      </c>
    </row>
    <row r="2011" spans="1:10" ht="16.05" customHeight="1" x14ac:dyDescent="0.3">
      <c r="A2011" s="26" t="s">
        <v>823</v>
      </c>
      <c r="B2011" s="26" t="s">
        <v>1094</v>
      </c>
      <c r="C2011" s="33" t="str">
        <f>IFERROR(INDEX(tbl_requisitos_emb[Tema],MATCH(B2011,tbl_requisitos_emb[ID_Req],0)),"")</f>
        <v>PFAS</v>
      </c>
      <c r="D2011" s="33" t="str">
        <f>IFERROR(INDEX(tbl_recyclass[Segmento],MATCH(A2011,tbl_recyclass[ProductId],0)),"")</f>
        <v>Cosmética e higiene pessoal</v>
      </c>
      <c r="E2011" s="26" t="s">
        <v>904</v>
      </c>
      <c r="F2011" s="26" t="s">
        <v>1450</v>
      </c>
      <c r="G2011" s="26" t="s">
        <v>1143</v>
      </c>
      <c r="H2011" s="33" t="str">
        <f>IF(E2011="Não","Não aplicável",IFERROR(IF(B2011="EU-ENV-002",IF(INDEX(tbl_recyclass[Conforme_PPWR_2030],MATCH(A2011,tbl_recyclass[ProductId],0))="Sim","Conforme (autoavaliação)",IF(INDEX(tbl_recyclass[Conforme_PPWR_2030],MATCH(A2011,tbl_recyclass[ProductId],0))="Não","Não conforme em 2030","Isento até 2035")),IF(B2011="EU-ENV-003",IF(INDEX(tbl_recyclass[Conforme_Art7_2030],MATCH(A2011,tbl_recyclass[ProductId],0))="Sim","Conforme (meta 2030)",IF(INDEX(tbl_recyclass[Conforme_Art7_2030],MATCH(A2011,tbl_recyclass[ProductId],0))="Não","Lacuna face à meta 2030","Isento")),IF(B2011="EU-ENV-011",IF(INDEX(tbl_familias_ppwr[Metais_Pesados_Evidencia],MATCH(INDEX(tbl_recyclass[Familia_PPWR],MATCH(A2011,tbl_recyclass[ProductId],0)),tbl_familias_ppwr[ID_Familia],0))="Em falta","Lacuna","Conforme"),IF(B2011="EU-ENV-013",IF(INDEX(tbl_familias_ppwr[Declaracao_UE],MATCH(INDEX(tbl_recyclass[Familia_PPWR],MATCH(A2011,tbl_recyclass[ProductId],0)),tbl_familias_ppwr[ID_Familia],0))="Sim","Conforme","Lacuna"),G2011)))),G2011))</f>
        <v>Não aplicável</v>
      </c>
      <c r="I2011" s="33" t="str">
        <f t="shared" si="31"/>
        <v>Não aplicável</v>
      </c>
      <c r="J2011" s="26"/>
    </row>
    <row r="2012" spans="1:10" ht="16.05" customHeight="1" x14ac:dyDescent="0.3">
      <c r="A2012" s="26" t="s">
        <v>823</v>
      </c>
      <c r="B2012" s="26" t="s">
        <v>1102</v>
      </c>
      <c r="C2012" s="33" t="str">
        <f>IFERROR(INDEX(tbl_requisitos_emb[Tema],MATCH(B2012,tbl_requisitos_emb[ID_Req],0)),"")</f>
        <v>Documentação técnica e declaração UE</v>
      </c>
      <c r="D2012" s="33" t="str">
        <f>IFERROR(INDEX(tbl_recyclass[Segmento],MATCH(A2012,tbl_recyclass[ProductId],0)),"")</f>
        <v>Cosmética e higiene pessoal</v>
      </c>
      <c r="E2012" s="26" t="s">
        <v>901</v>
      </c>
      <c r="F2012" s="26" t="s">
        <v>1449</v>
      </c>
      <c r="G2012" s="26" t="s">
        <v>978</v>
      </c>
      <c r="H2012" s="33" t="str">
        <f>IF(E2012="Não","Não aplicável",IFERROR(IF(B2012="EU-ENV-002",IF(INDEX(tbl_recyclass[Conforme_PPWR_2030],MATCH(A2012,tbl_recyclass[ProductId],0))="Sim","Conforme (autoavaliação)",IF(INDEX(tbl_recyclass[Conforme_PPWR_2030],MATCH(A2012,tbl_recyclass[ProductId],0))="Não","Não conforme em 2030","Isento até 2035")),IF(B2012="EU-ENV-003",IF(INDEX(tbl_recyclass[Conforme_Art7_2030],MATCH(A2012,tbl_recyclass[ProductId],0))="Sim","Conforme (meta 2030)",IF(INDEX(tbl_recyclass[Conforme_Art7_2030],MATCH(A2012,tbl_recyclass[ProductId],0))="Não","Lacuna face à meta 2030","Isento")),IF(B2012="EU-ENV-011",IF(INDEX(tbl_familias_ppwr[Metais_Pesados_Evidencia],MATCH(INDEX(tbl_recyclass[Familia_PPWR],MATCH(A2012,tbl_recyclass[ProductId],0)),tbl_familias_ppwr[ID_Familia],0))="Em falta","Lacuna","Conforme"),IF(B2012="EU-ENV-013",IF(INDEX(tbl_familias_ppwr[Declaracao_UE],MATCH(INDEX(tbl_recyclass[Familia_PPWR],MATCH(A2012,tbl_recyclass[ProductId],0)),tbl_familias_ppwr[ID_Familia],0))="Sim","Conforme","Lacuna"),G2012)))),G2012))</f>
        <v>Conforme</v>
      </c>
      <c r="I2012" s="33" t="str">
        <f t="shared" si="31"/>
        <v>Conforme</v>
      </c>
      <c r="J2012" s="26" t="s">
        <v>1106</v>
      </c>
    </row>
    <row r="2013" spans="1:10" ht="16.05" customHeight="1" x14ac:dyDescent="0.3">
      <c r="A2013" s="26" t="s">
        <v>823</v>
      </c>
      <c r="B2013" s="26" t="s">
        <v>1161</v>
      </c>
      <c r="C2013" s="33" t="str">
        <f>IFERROR(INDEX(tbl_requisitos_emb[Tema],MATCH(B2013,tbl_requisitos_emb[ID_Req],0)),"")</f>
        <v>Materiais em contacto com alimentos</v>
      </c>
      <c r="D2013" s="33" t="str">
        <f>IFERROR(INDEX(tbl_recyclass[Segmento],MATCH(A2013,tbl_recyclass[ProductId],0)),"")</f>
        <v>Cosmética e higiene pessoal</v>
      </c>
      <c r="E2013" s="26" t="s">
        <v>904</v>
      </c>
      <c r="F2013" s="26" t="s">
        <v>1450</v>
      </c>
      <c r="G2013" s="26" t="s">
        <v>1143</v>
      </c>
      <c r="H2013" s="33" t="str">
        <f>IF(E2013="Não","Não aplicável",IFERROR(IF(B2013="EU-ENV-002",IF(INDEX(tbl_recyclass[Conforme_PPWR_2030],MATCH(A2013,tbl_recyclass[ProductId],0))="Sim","Conforme (autoavaliação)",IF(INDEX(tbl_recyclass[Conforme_PPWR_2030],MATCH(A2013,tbl_recyclass[ProductId],0))="Não","Não conforme em 2030","Isento até 2035")),IF(B2013="EU-ENV-003",IF(INDEX(tbl_recyclass[Conforme_Art7_2030],MATCH(A2013,tbl_recyclass[ProductId],0))="Sim","Conforme (meta 2030)",IF(INDEX(tbl_recyclass[Conforme_Art7_2030],MATCH(A2013,tbl_recyclass[ProductId],0))="Não","Lacuna face à meta 2030","Isento")),IF(B2013="EU-ENV-011",IF(INDEX(tbl_familias_ppwr[Metais_Pesados_Evidencia],MATCH(INDEX(tbl_recyclass[Familia_PPWR],MATCH(A2013,tbl_recyclass[ProductId],0)),tbl_familias_ppwr[ID_Familia],0))="Em falta","Lacuna","Conforme"),IF(B2013="EU-ENV-013",IF(INDEX(tbl_familias_ppwr[Declaracao_UE],MATCH(INDEX(tbl_recyclass[Familia_PPWR],MATCH(A2013,tbl_recyclass[ProductId],0)),tbl_familias_ppwr[ID_Familia],0))="Sim","Conforme","Lacuna"),G2013)))),G2013))</f>
        <v>Não aplicável</v>
      </c>
      <c r="I2013" s="33" t="str">
        <f t="shared" si="31"/>
        <v>Não aplicável</v>
      </c>
      <c r="J2013" s="26"/>
    </row>
    <row r="2014" spans="1:10" ht="16.05" customHeight="1" x14ac:dyDescent="0.3">
      <c r="A2014" s="26" t="s">
        <v>823</v>
      </c>
      <c r="B2014" s="26" t="s">
        <v>1170</v>
      </c>
      <c r="C2014" s="33" t="str">
        <f>IFERROR(INDEX(tbl_requisitos_emb[Tema],MATCH(B2014,tbl_requisitos_emb[ID_Req],0)),"")</f>
        <v>Boas práticas de fabrico FCM</v>
      </c>
      <c r="D2014" s="33" t="str">
        <f>IFERROR(INDEX(tbl_recyclass[Segmento],MATCH(A2014,tbl_recyclass[ProductId],0)),"")</f>
        <v>Cosmética e higiene pessoal</v>
      </c>
      <c r="E2014" s="26" t="s">
        <v>904</v>
      </c>
      <c r="F2014" s="26" t="s">
        <v>1450</v>
      </c>
      <c r="G2014" s="26" t="s">
        <v>1143</v>
      </c>
      <c r="H2014" s="33" t="str">
        <f>IF(E2014="Não","Não aplicável",IFERROR(IF(B2014="EU-ENV-002",IF(INDEX(tbl_recyclass[Conforme_PPWR_2030],MATCH(A2014,tbl_recyclass[ProductId],0))="Sim","Conforme (autoavaliação)",IF(INDEX(tbl_recyclass[Conforme_PPWR_2030],MATCH(A2014,tbl_recyclass[ProductId],0))="Não","Não conforme em 2030","Isento até 2035")),IF(B2014="EU-ENV-003",IF(INDEX(tbl_recyclass[Conforme_Art7_2030],MATCH(A2014,tbl_recyclass[ProductId],0))="Sim","Conforme (meta 2030)",IF(INDEX(tbl_recyclass[Conforme_Art7_2030],MATCH(A2014,tbl_recyclass[ProductId],0))="Não","Lacuna face à meta 2030","Isento")),IF(B2014="EU-ENV-011",IF(INDEX(tbl_familias_ppwr[Metais_Pesados_Evidencia],MATCH(INDEX(tbl_recyclass[Familia_PPWR],MATCH(A2014,tbl_recyclass[ProductId],0)),tbl_familias_ppwr[ID_Familia],0))="Em falta","Lacuna","Conforme"),IF(B2014="EU-ENV-013",IF(INDEX(tbl_familias_ppwr[Declaracao_UE],MATCH(INDEX(tbl_recyclass[Familia_PPWR],MATCH(A2014,tbl_recyclass[ProductId],0)),tbl_familias_ppwr[ID_Familia],0))="Sim","Conforme","Lacuna"),G2014)))),G2014))</f>
        <v>Não aplicável</v>
      </c>
      <c r="I2014" s="33" t="str">
        <f t="shared" si="31"/>
        <v>Não aplicável</v>
      </c>
      <c r="J2014" s="26"/>
    </row>
    <row r="2015" spans="1:10" ht="16.05" customHeight="1" x14ac:dyDescent="0.3">
      <c r="A2015" s="26" t="s">
        <v>823</v>
      </c>
      <c r="B2015" s="26" t="s">
        <v>1179</v>
      </c>
      <c r="C2015" s="33" t="str">
        <f>IFERROR(INDEX(tbl_requisitos_emb[Tema],MATCH(B2015,tbl_requisitos_emb[ID_Req],0)),"")</f>
        <v>Bisfenol A e bisfenóis perigosos</v>
      </c>
      <c r="D2015" s="33" t="str">
        <f>IFERROR(INDEX(tbl_recyclass[Segmento],MATCH(A2015,tbl_recyclass[ProductId],0)),"")</f>
        <v>Cosmética e higiene pessoal</v>
      </c>
      <c r="E2015" s="26" t="s">
        <v>904</v>
      </c>
      <c r="F2015" s="26" t="s">
        <v>1450</v>
      </c>
      <c r="G2015" s="26" t="s">
        <v>1143</v>
      </c>
      <c r="H2015" s="33" t="str">
        <f>IF(E2015="Não","Não aplicável",IFERROR(IF(B2015="EU-ENV-002",IF(INDEX(tbl_recyclass[Conforme_PPWR_2030],MATCH(A2015,tbl_recyclass[ProductId],0))="Sim","Conforme (autoavaliação)",IF(INDEX(tbl_recyclass[Conforme_PPWR_2030],MATCH(A2015,tbl_recyclass[ProductId],0))="Não","Não conforme em 2030","Isento até 2035")),IF(B2015="EU-ENV-003",IF(INDEX(tbl_recyclass[Conforme_Art7_2030],MATCH(A2015,tbl_recyclass[ProductId],0))="Sim","Conforme (meta 2030)",IF(INDEX(tbl_recyclass[Conforme_Art7_2030],MATCH(A2015,tbl_recyclass[ProductId],0))="Não","Lacuna face à meta 2030","Isento")),IF(B2015="EU-ENV-011",IF(INDEX(tbl_familias_ppwr[Metais_Pesados_Evidencia],MATCH(INDEX(tbl_recyclass[Familia_PPWR],MATCH(A2015,tbl_recyclass[ProductId],0)),tbl_familias_ppwr[ID_Familia],0))="Em falta","Lacuna","Conforme"),IF(B2015="EU-ENV-013",IF(INDEX(tbl_familias_ppwr[Declaracao_UE],MATCH(INDEX(tbl_recyclass[Familia_PPWR],MATCH(A2015,tbl_recyclass[ProductId],0)),tbl_familias_ppwr[ID_Familia],0))="Sim","Conforme","Lacuna"),G2015)))),G2015))</f>
        <v>Não aplicável</v>
      </c>
      <c r="I2015" s="33" t="str">
        <f t="shared" si="31"/>
        <v>Não aplicável</v>
      </c>
      <c r="J2015" s="26"/>
    </row>
    <row r="2016" spans="1:10" ht="16.05" customHeight="1" x14ac:dyDescent="0.3">
      <c r="A2016" s="26" t="s">
        <v>823</v>
      </c>
      <c r="B2016" s="26" t="s">
        <v>1188</v>
      </c>
      <c r="C2016" s="33" t="str">
        <f>IFERROR(INDEX(tbl_requisitos_emb[Tema],MATCH(B2016,tbl_requisitos_emb[ID_Req],0)),"")</f>
        <v>Plásticos em contacto com alimentos</v>
      </c>
      <c r="D2016" s="33" t="str">
        <f>IFERROR(INDEX(tbl_recyclass[Segmento],MATCH(A2016,tbl_recyclass[ProductId],0)),"")</f>
        <v>Cosmética e higiene pessoal</v>
      </c>
      <c r="E2016" s="26" t="s">
        <v>904</v>
      </c>
      <c r="F2016" s="26" t="s">
        <v>1450</v>
      </c>
      <c r="G2016" s="26" t="s">
        <v>1143</v>
      </c>
      <c r="H2016" s="33" t="str">
        <f>IF(E2016="Não","Não aplicável",IFERROR(IF(B2016="EU-ENV-002",IF(INDEX(tbl_recyclass[Conforme_PPWR_2030],MATCH(A2016,tbl_recyclass[ProductId],0))="Sim","Conforme (autoavaliação)",IF(INDEX(tbl_recyclass[Conforme_PPWR_2030],MATCH(A2016,tbl_recyclass[ProductId],0))="Não","Não conforme em 2030","Isento até 2035")),IF(B2016="EU-ENV-003",IF(INDEX(tbl_recyclass[Conforme_Art7_2030],MATCH(A2016,tbl_recyclass[ProductId],0))="Sim","Conforme (meta 2030)",IF(INDEX(tbl_recyclass[Conforme_Art7_2030],MATCH(A2016,tbl_recyclass[ProductId],0))="Não","Lacuna face à meta 2030","Isento")),IF(B2016="EU-ENV-011",IF(INDEX(tbl_familias_ppwr[Metais_Pesados_Evidencia],MATCH(INDEX(tbl_recyclass[Familia_PPWR],MATCH(A2016,tbl_recyclass[ProductId],0)),tbl_familias_ppwr[ID_Familia],0))="Em falta","Lacuna","Conforme"),IF(B2016="EU-ENV-013",IF(INDEX(tbl_familias_ppwr[Declaracao_UE],MATCH(INDEX(tbl_recyclass[Familia_PPWR],MATCH(A2016,tbl_recyclass[ProductId],0)),tbl_familias_ppwr[ID_Familia],0))="Sim","Conforme","Lacuna"),G2016)))),G2016))</f>
        <v>Não aplicável</v>
      </c>
      <c r="I2016" s="33" t="str">
        <f t="shared" si="31"/>
        <v>Não aplicável</v>
      </c>
      <c r="J2016" s="26"/>
    </row>
    <row r="2017" spans="1:10" ht="16.05" customHeight="1" x14ac:dyDescent="0.3">
      <c r="A2017" s="26" t="s">
        <v>823</v>
      </c>
      <c r="B2017" s="26" t="s">
        <v>1212</v>
      </c>
      <c r="C2017" s="33" t="str">
        <f>IFERROR(INDEX(tbl_requisitos_emb[Tema],MATCH(B2017,tbl_requisitos_emb[ID_Req],0)),"")</f>
        <v>Segurança do produto cosmético</v>
      </c>
      <c r="D2017" s="33" t="str">
        <f>IFERROR(INDEX(tbl_recyclass[Segmento],MATCH(A2017,tbl_recyclass[ProductId],0)),"")</f>
        <v>Cosmética e higiene pessoal</v>
      </c>
      <c r="E2017" s="26" t="s">
        <v>901</v>
      </c>
      <c r="F2017" s="26" t="s">
        <v>1449</v>
      </c>
      <c r="G2017" s="26" t="s">
        <v>1033</v>
      </c>
      <c r="H2017" s="33" t="str">
        <f>IF(E2017="Não","Não aplicável",IFERROR(IF(B2017="EU-ENV-002",IF(INDEX(tbl_recyclass[Conforme_PPWR_2030],MATCH(A2017,tbl_recyclass[ProductId],0))="Sim","Conforme (autoavaliação)",IF(INDEX(tbl_recyclass[Conforme_PPWR_2030],MATCH(A2017,tbl_recyclass[ProductId],0))="Não","Não conforme em 2030","Isento até 2035")),IF(B2017="EU-ENV-003",IF(INDEX(tbl_recyclass[Conforme_Art7_2030],MATCH(A2017,tbl_recyclass[ProductId],0))="Sim","Conforme (meta 2030)",IF(INDEX(tbl_recyclass[Conforme_Art7_2030],MATCH(A2017,tbl_recyclass[ProductId],0))="Não","Lacuna face à meta 2030","Isento")),IF(B2017="EU-ENV-011",IF(INDEX(tbl_familias_ppwr[Metais_Pesados_Evidencia],MATCH(INDEX(tbl_recyclass[Familia_PPWR],MATCH(A2017,tbl_recyclass[ProductId],0)),tbl_familias_ppwr[ID_Familia],0))="Em falta","Lacuna","Conforme"),IF(B2017="EU-ENV-013",IF(INDEX(tbl_familias_ppwr[Declaracao_UE],MATCH(INDEX(tbl_recyclass[Familia_PPWR],MATCH(A2017,tbl_recyclass[ProductId],0)),tbl_familias_ppwr[ID_Familia],0))="Sim","Conforme","Lacuna"),G2017)))),G2017))</f>
        <v>Conforme</v>
      </c>
      <c r="I2017" s="33" t="str">
        <f t="shared" si="31"/>
        <v>Conforme</v>
      </c>
      <c r="J2017" s="26" t="s">
        <v>1221</v>
      </c>
    </row>
    <row r="2018" spans="1:10" ht="16.05" customHeight="1" x14ac:dyDescent="0.3">
      <c r="A2018" s="26" t="s">
        <v>823</v>
      </c>
      <c r="B2018" s="26" t="s">
        <v>1224</v>
      </c>
      <c r="C2018" s="33" t="str">
        <f>IFERROR(INDEX(tbl_requisitos_emb[Tema],MATCH(B2018,tbl_requisitos_emb[ID_Req],0)),"")</f>
        <v>Materiais e impurezas</v>
      </c>
      <c r="D2018" s="33" t="str">
        <f>IFERROR(INDEX(tbl_recyclass[Segmento],MATCH(A2018,tbl_recyclass[ProductId],0)),"")</f>
        <v>Cosmética e higiene pessoal</v>
      </c>
      <c r="E2018" s="26" t="s">
        <v>901</v>
      </c>
      <c r="F2018" s="26" t="s">
        <v>1449</v>
      </c>
      <c r="G2018" s="26" t="s">
        <v>978</v>
      </c>
      <c r="H2018" s="33" t="str">
        <f>IF(E2018="Não","Não aplicável",IFERROR(IF(B2018="EU-ENV-002",IF(INDEX(tbl_recyclass[Conforme_PPWR_2030],MATCH(A2018,tbl_recyclass[ProductId],0))="Sim","Conforme (autoavaliação)",IF(INDEX(tbl_recyclass[Conforme_PPWR_2030],MATCH(A2018,tbl_recyclass[ProductId],0))="Não","Não conforme em 2030","Isento até 2035")),IF(B2018="EU-ENV-003",IF(INDEX(tbl_recyclass[Conforme_Art7_2030],MATCH(A2018,tbl_recyclass[ProductId],0))="Sim","Conforme (meta 2030)",IF(INDEX(tbl_recyclass[Conforme_Art7_2030],MATCH(A2018,tbl_recyclass[ProductId],0))="Não","Lacuna face à meta 2030","Isento")),IF(B2018="EU-ENV-011",IF(INDEX(tbl_familias_ppwr[Metais_Pesados_Evidencia],MATCH(INDEX(tbl_recyclass[Familia_PPWR],MATCH(A2018,tbl_recyclass[ProductId],0)),tbl_familias_ppwr[ID_Familia],0))="Em falta","Lacuna","Conforme"),IF(B2018="EU-ENV-013",IF(INDEX(tbl_familias_ppwr[Declaracao_UE],MATCH(INDEX(tbl_recyclass[Familia_PPWR],MATCH(A2018,tbl_recyclass[ProductId],0)),tbl_familias_ppwr[ID_Familia],0))="Sim","Conforme","Lacuna"),G2018)))),G2018))</f>
        <v>Parcial</v>
      </c>
      <c r="I2018" s="33" t="str">
        <f t="shared" si="31"/>
        <v>Parcial</v>
      </c>
      <c r="J2018" s="26" t="s">
        <v>1228</v>
      </c>
    </row>
    <row r="2019" spans="1:10" ht="16.05" customHeight="1" x14ac:dyDescent="0.3">
      <c r="A2019" s="26" t="s">
        <v>823</v>
      </c>
      <c r="B2019" s="26" t="s">
        <v>1240</v>
      </c>
      <c r="C2019" s="33" t="str">
        <f>IFERROR(INDEX(tbl_requisitos_emb[Tema],MATCH(B2019,tbl_requisitos_emb[ID_Req],0)),"")</f>
        <v>Compatibilidade embalagem–produto</v>
      </c>
      <c r="D2019" s="33" t="str">
        <f>IFERROR(INDEX(tbl_recyclass[Segmento],MATCH(A2019,tbl_recyclass[ProductId],0)),"")</f>
        <v>Cosmética e higiene pessoal</v>
      </c>
      <c r="E2019" s="26" t="s">
        <v>901</v>
      </c>
      <c r="F2019" s="26" t="s">
        <v>1449</v>
      </c>
      <c r="G2019" s="26" t="s">
        <v>1033</v>
      </c>
      <c r="H2019" s="33" t="str">
        <f>IF(E2019="Não","Não aplicável",IFERROR(IF(B2019="EU-ENV-002",IF(INDEX(tbl_recyclass[Conforme_PPWR_2030],MATCH(A2019,tbl_recyclass[ProductId],0))="Sim","Conforme (autoavaliação)",IF(INDEX(tbl_recyclass[Conforme_PPWR_2030],MATCH(A2019,tbl_recyclass[ProductId],0))="Não","Não conforme em 2030","Isento até 2035")),IF(B2019="EU-ENV-003",IF(INDEX(tbl_recyclass[Conforme_Art7_2030],MATCH(A2019,tbl_recyclass[ProductId],0))="Sim","Conforme (meta 2030)",IF(INDEX(tbl_recyclass[Conforme_Art7_2030],MATCH(A2019,tbl_recyclass[ProductId],0))="Não","Lacuna face à meta 2030","Isento")),IF(B2019="EU-ENV-011",IF(INDEX(tbl_familias_ppwr[Metais_Pesados_Evidencia],MATCH(INDEX(tbl_recyclass[Familia_PPWR],MATCH(A2019,tbl_recyclass[ProductId],0)),tbl_familias_ppwr[ID_Familia],0))="Em falta","Lacuna","Conforme"),IF(B2019="EU-ENV-013",IF(INDEX(tbl_familias_ppwr[Declaracao_UE],MATCH(INDEX(tbl_recyclass[Familia_PPWR],MATCH(A2019,tbl_recyclass[ProductId],0)),tbl_familias_ppwr[ID_Familia],0))="Sim","Conforme","Lacuna"),G2019)))),G2019))</f>
        <v>Conforme</v>
      </c>
      <c r="I2019" s="33" t="str">
        <f t="shared" si="31"/>
        <v>Conforme</v>
      </c>
      <c r="J2019" s="26" t="s">
        <v>1244</v>
      </c>
    </row>
    <row r="2020" spans="1:10" ht="16.05" customHeight="1" x14ac:dyDescent="0.3">
      <c r="A2020" s="26" t="s">
        <v>823</v>
      </c>
      <c r="B2020" s="26" t="s">
        <v>1252</v>
      </c>
      <c r="C2020" s="33" t="str">
        <f>IFERROR(INDEX(tbl_requisitos_emb[Tema],MATCH(B2020,tbl_requisitos_emb[ID_Req],0)),"")</f>
        <v>Medicamentos de uso humano</v>
      </c>
      <c r="D2020" s="33" t="str">
        <f>IFERROR(INDEX(tbl_recyclass[Segmento],MATCH(A2020,tbl_recyclass[ProductId],0)),"")</f>
        <v>Cosmética e higiene pessoal</v>
      </c>
      <c r="E2020" s="26" t="s">
        <v>904</v>
      </c>
      <c r="F2020" s="26" t="s">
        <v>1451</v>
      </c>
      <c r="G2020" s="26" t="s">
        <v>1143</v>
      </c>
      <c r="H2020" s="33" t="str">
        <f>IF(E2020="Não","Não aplicável",IFERROR(IF(B2020="EU-ENV-002",IF(INDEX(tbl_recyclass[Conforme_PPWR_2030],MATCH(A2020,tbl_recyclass[ProductId],0))="Sim","Conforme (autoavaliação)",IF(INDEX(tbl_recyclass[Conforme_PPWR_2030],MATCH(A2020,tbl_recyclass[ProductId],0))="Não","Não conforme em 2030","Isento até 2035")),IF(B2020="EU-ENV-003",IF(INDEX(tbl_recyclass[Conforme_Art7_2030],MATCH(A2020,tbl_recyclass[ProductId],0))="Sim","Conforme (meta 2030)",IF(INDEX(tbl_recyclass[Conforme_Art7_2030],MATCH(A2020,tbl_recyclass[ProductId],0))="Não","Lacuna face à meta 2030","Isento")),IF(B2020="EU-ENV-011",IF(INDEX(tbl_familias_ppwr[Metais_Pesados_Evidencia],MATCH(INDEX(tbl_recyclass[Familia_PPWR],MATCH(A2020,tbl_recyclass[ProductId],0)),tbl_familias_ppwr[ID_Familia],0))="Em falta","Lacuna","Conforme"),IF(B2020="EU-ENV-013",IF(INDEX(tbl_familias_ppwr[Declaracao_UE],MATCH(INDEX(tbl_recyclass[Familia_PPWR],MATCH(A2020,tbl_recyclass[ProductId],0)),tbl_familias_ppwr[ID_Familia],0))="Sim","Conforme","Lacuna"),G2020)))),G2020))</f>
        <v>Não aplicável</v>
      </c>
      <c r="I2020" s="33" t="str">
        <f t="shared" si="31"/>
        <v>Não aplicável</v>
      </c>
      <c r="J2020" s="26"/>
    </row>
    <row r="2021" spans="1:10" ht="16.05" customHeight="1" x14ac:dyDescent="0.3">
      <c r="A2021" s="26" t="s">
        <v>823</v>
      </c>
      <c r="B2021" s="26" t="s">
        <v>1268</v>
      </c>
      <c r="C2021" s="33" t="str">
        <f>IFERROR(INDEX(tbl_requisitos_emb[Tema],MATCH(B2021,tbl_requisitos_emb[ID_Req],0)),"")</f>
        <v>Dispositivos de segurança</v>
      </c>
      <c r="D2021" s="33" t="str">
        <f>IFERROR(INDEX(tbl_recyclass[Segmento],MATCH(A2021,tbl_recyclass[ProductId],0)),"")</f>
        <v>Cosmética e higiene pessoal</v>
      </c>
      <c r="E2021" s="26" t="s">
        <v>904</v>
      </c>
      <c r="F2021" s="26" t="s">
        <v>1451</v>
      </c>
      <c r="G2021" s="26" t="s">
        <v>1143</v>
      </c>
      <c r="H2021" s="33" t="str">
        <f>IF(E2021="Não","Não aplicável",IFERROR(IF(B2021="EU-ENV-002",IF(INDEX(tbl_recyclass[Conforme_PPWR_2030],MATCH(A2021,tbl_recyclass[ProductId],0))="Sim","Conforme (autoavaliação)",IF(INDEX(tbl_recyclass[Conforme_PPWR_2030],MATCH(A2021,tbl_recyclass[ProductId],0))="Não","Não conforme em 2030","Isento até 2035")),IF(B2021="EU-ENV-003",IF(INDEX(tbl_recyclass[Conforme_Art7_2030],MATCH(A2021,tbl_recyclass[ProductId],0))="Sim","Conforme (meta 2030)",IF(INDEX(tbl_recyclass[Conforme_Art7_2030],MATCH(A2021,tbl_recyclass[ProductId],0))="Não","Lacuna face à meta 2030","Isento")),IF(B2021="EU-ENV-011",IF(INDEX(tbl_familias_ppwr[Metais_Pesados_Evidencia],MATCH(INDEX(tbl_recyclass[Familia_PPWR],MATCH(A2021,tbl_recyclass[ProductId],0)),tbl_familias_ppwr[ID_Familia],0))="Em falta","Lacuna","Conforme"),IF(B2021="EU-ENV-013",IF(INDEX(tbl_familias_ppwr[Declaracao_UE],MATCH(INDEX(tbl_recyclass[Familia_PPWR],MATCH(A2021,tbl_recyclass[ProductId],0)),tbl_familias_ppwr[ID_Familia],0))="Sim","Conforme","Lacuna"),G2021)))),G2021))</f>
        <v>Não aplicável</v>
      </c>
      <c r="I2021" s="33" t="str">
        <f t="shared" si="31"/>
        <v>Não aplicável</v>
      </c>
      <c r="J2021" s="26"/>
    </row>
    <row r="2022" spans="1:10" ht="16.05" customHeight="1" x14ac:dyDescent="0.3">
      <c r="A2022" s="26" t="s">
        <v>823</v>
      </c>
      <c r="B2022" s="26" t="s">
        <v>1285</v>
      </c>
      <c r="C2022" s="33" t="str">
        <f>IFERROR(INDEX(tbl_requisitos_emb[Tema],MATCH(B2022,tbl_requisitos_emb[ID_Req],0)),"")</f>
        <v>Materiais plásticos de acondicionamento primário</v>
      </c>
      <c r="D2022" s="33" t="str">
        <f>IFERROR(INDEX(tbl_recyclass[Segmento],MATCH(A2022,tbl_recyclass[ProductId],0)),"")</f>
        <v>Cosmética e higiene pessoal</v>
      </c>
      <c r="E2022" s="26" t="s">
        <v>904</v>
      </c>
      <c r="F2022" s="26" t="s">
        <v>1451</v>
      </c>
      <c r="G2022" s="26" t="s">
        <v>1143</v>
      </c>
      <c r="H2022" s="33" t="str">
        <f>IF(E2022="Não","Não aplicável",IFERROR(IF(B2022="EU-ENV-002",IF(INDEX(tbl_recyclass[Conforme_PPWR_2030],MATCH(A2022,tbl_recyclass[ProductId],0))="Sim","Conforme (autoavaliação)",IF(INDEX(tbl_recyclass[Conforme_PPWR_2030],MATCH(A2022,tbl_recyclass[ProductId],0))="Não","Não conforme em 2030","Isento até 2035")),IF(B2022="EU-ENV-003",IF(INDEX(tbl_recyclass[Conforme_Art7_2030],MATCH(A2022,tbl_recyclass[ProductId],0))="Sim","Conforme (meta 2030)",IF(INDEX(tbl_recyclass[Conforme_Art7_2030],MATCH(A2022,tbl_recyclass[ProductId],0))="Não","Lacuna face à meta 2030","Isento")),IF(B2022="EU-ENV-011",IF(INDEX(tbl_familias_ppwr[Metais_Pesados_Evidencia],MATCH(INDEX(tbl_recyclass[Familia_PPWR],MATCH(A2022,tbl_recyclass[ProductId],0)),tbl_familias_ppwr[ID_Familia],0))="Em falta","Lacuna","Conforme"),IF(B2022="EU-ENV-013",IF(INDEX(tbl_familias_ppwr[Declaracao_UE],MATCH(INDEX(tbl_recyclass[Familia_PPWR],MATCH(A2022,tbl_recyclass[ProductId],0)),tbl_familias_ppwr[ID_Familia],0))="Sim","Conforme","Lacuna"),G2022)))),G2022))</f>
        <v>Não aplicável</v>
      </c>
      <c r="I2022" s="33" t="str">
        <f t="shared" si="31"/>
        <v>Não aplicável</v>
      </c>
      <c r="J2022" s="26"/>
    </row>
    <row r="2023" spans="1:10" ht="16.05" customHeight="1" x14ac:dyDescent="0.3">
      <c r="A2023" s="26" t="s">
        <v>823</v>
      </c>
      <c r="B2023" s="26" t="s">
        <v>1293</v>
      </c>
      <c r="C2023" s="33" t="str">
        <f>IFERROR(INDEX(tbl_requisitos_emb[Tema],MATCH(B2023,tbl_requisitos_emb[ID_Req],0)),"")</f>
        <v>Isenções PPWR</v>
      </c>
      <c r="D2023" s="33" t="str">
        <f>IFERROR(INDEX(tbl_recyclass[Segmento],MATCH(A2023,tbl_recyclass[ProductId],0)),"")</f>
        <v>Cosmética e higiene pessoal</v>
      </c>
      <c r="E2023" s="26" t="s">
        <v>904</v>
      </c>
      <c r="F2023" s="26" t="s">
        <v>1451</v>
      </c>
      <c r="G2023" s="26" t="s">
        <v>1143</v>
      </c>
      <c r="H2023" s="33" t="str">
        <f>IF(E2023="Não","Não aplicável",IFERROR(IF(B2023="EU-ENV-002",IF(INDEX(tbl_recyclass[Conforme_PPWR_2030],MATCH(A2023,tbl_recyclass[ProductId],0))="Sim","Conforme (autoavaliação)",IF(INDEX(tbl_recyclass[Conforme_PPWR_2030],MATCH(A2023,tbl_recyclass[ProductId],0))="Não","Não conforme em 2030","Isento até 2035")),IF(B2023="EU-ENV-003",IF(INDEX(tbl_recyclass[Conforme_Art7_2030],MATCH(A2023,tbl_recyclass[ProductId],0))="Sim","Conforme (meta 2030)",IF(INDEX(tbl_recyclass[Conforme_Art7_2030],MATCH(A2023,tbl_recyclass[ProductId],0))="Não","Lacuna face à meta 2030","Isento")),IF(B2023="EU-ENV-011",IF(INDEX(tbl_familias_ppwr[Metais_Pesados_Evidencia],MATCH(INDEX(tbl_recyclass[Familia_PPWR],MATCH(A2023,tbl_recyclass[ProductId],0)),tbl_familias_ppwr[ID_Familia],0))="Em falta","Lacuna","Conforme"),IF(B2023="EU-ENV-013",IF(INDEX(tbl_familias_ppwr[Declaracao_UE],MATCH(INDEX(tbl_recyclass[Familia_PPWR],MATCH(A2023,tbl_recyclass[ProductId],0)),tbl_familias_ppwr[ID_Familia],0))="Sim","Conforme","Lacuna"),G2023)))),G2023))</f>
        <v>Não aplicável</v>
      </c>
      <c r="I2023" s="33" t="str">
        <f t="shared" si="31"/>
        <v>Não aplicável</v>
      </c>
      <c r="J2023" s="26"/>
    </row>
    <row r="2024" spans="1:10" ht="16.05" customHeight="1" x14ac:dyDescent="0.3">
      <c r="A2024" s="26" t="s">
        <v>823</v>
      </c>
      <c r="B2024" s="26" t="s">
        <v>1357</v>
      </c>
      <c r="C2024" s="33" t="str">
        <f>IFERROR(INDEX(tbl_requisitos_emb[Tema],MATCH(B2024,tbl_requisitos_emb[ID_Req],0)),"")</f>
        <v>Identificação de plásticos</v>
      </c>
      <c r="D2024" s="33" t="str">
        <f>IFERROR(INDEX(tbl_recyclass[Segmento],MATCH(A2024,tbl_recyclass[ProductId],0)),"")</f>
        <v>Cosmética e higiene pessoal</v>
      </c>
      <c r="E2024" s="26" t="s">
        <v>901</v>
      </c>
      <c r="F2024" s="26" t="s">
        <v>1449</v>
      </c>
      <c r="G2024" s="26" t="s">
        <v>978</v>
      </c>
      <c r="H2024" s="33" t="str">
        <f>IF(E2024="Não","Não aplicável",IFERROR(IF(B2024="EU-ENV-002",IF(INDEX(tbl_recyclass[Conforme_PPWR_2030],MATCH(A2024,tbl_recyclass[ProductId],0))="Sim","Conforme (autoavaliação)",IF(INDEX(tbl_recyclass[Conforme_PPWR_2030],MATCH(A2024,tbl_recyclass[ProductId],0))="Não","Não conforme em 2030","Isento até 2035")),IF(B2024="EU-ENV-003",IF(INDEX(tbl_recyclass[Conforme_Art7_2030],MATCH(A2024,tbl_recyclass[ProductId],0))="Sim","Conforme (meta 2030)",IF(INDEX(tbl_recyclass[Conforme_Art7_2030],MATCH(A2024,tbl_recyclass[ProductId],0))="Não","Lacuna face à meta 2030","Isento")),IF(B2024="EU-ENV-011",IF(INDEX(tbl_familias_ppwr[Metais_Pesados_Evidencia],MATCH(INDEX(tbl_recyclass[Familia_PPWR],MATCH(A2024,tbl_recyclass[ProductId],0)),tbl_familias_ppwr[ID_Familia],0))="Em falta","Lacuna","Conforme"),IF(B2024="EU-ENV-013",IF(INDEX(tbl_familias_ppwr[Declaracao_UE],MATCH(INDEX(tbl_recyclass[Familia_PPWR],MATCH(A2024,tbl_recyclass[ProductId],0)),tbl_familias_ppwr[ID_Familia],0))="Sim","Conforme","Lacuna"),G2024)))),G2024))</f>
        <v>Parcial</v>
      </c>
      <c r="I2024" s="33" t="str">
        <f t="shared" si="31"/>
        <v>Parcial</v>
      </c>
      <c r="J2024" s="26" t="s">
        <v>1362</v>
      </c>
    </row>
    <row r="2025" spans="1:10" ht="16.05" customHeight="1" x14ac:dyDescent="0.3">
      <c r="A2025" s="26" t="s">
        <v>823</v>
      </c>
      <c r="B2025" s="26" t="s">
        <v>1385</v>
      </c>
      <c r="C2025" s="33" t="str">
        <f>IFERROR(INDEX(tbl_requisitos_emb[Tema],MATCH(B2025,tbl_requisitos_emb[ID_Req],0)),"")</f>
        <v>Reciclabilidade (voluntária)</v>
      </c>
      <c r="D2025" s="33" t="str">
        <f>IFERROR(INDEX(tbl_recyclass[Segmento],MATCH(A2025,tbl_recyclass[ProductId],0)),"")</f>
        <v>Cosmética e higiene pessoal</v>
      </c>
      <c r="E2025" s="26" t="s">
        <v>901</v>
      </c>
      <c r="F2025" s="26" t="s">
        <v>1449</v>
      </c>
      <c r="G2025" s="26" t="s">
        <v>978</v>
      </c>
      <c r="H2025" s="33" t="str">
        <f>IF(E2025="Não","Não aplicável",IFERROR(IF(B2025="EU-ENV-002",IF(INDEX(tbl_recyclass[Conforme_PPWR_2030],MATCH(A2025,tbl_recyclass[ProductId],0))="Sim","Conforme (autoavaliação)",IF(INDEX(tbl_recyclass[Conforme_PPWR_2030],MATCH(A2025,tbl_recyclass[ProductId],0))="Não","Não conforme em 2030","Isento até 2035")),IF(B2025="EU-ENV-003",IF(INDEX(tbl_recyclass[Conforme_Art7_2030],MATCH(A2025,tbl_recyclass[ProductId],0))="Sim","Conforme (meta 2030)",IF(INDEX(tbl_recyclass[Conforme_Art7_2030],MATCH(A2025,tbl_recyclass[ProductId],0))="Não","Lacuna face à meta 2030","Isento")),IF(B2025="EU-ENV-011",IF(INDEX(tbl_familias_ppwr[Metais_Pesados_Evidencia],MATCH(INDEX(tbl_recyclass[Familia_PPWR],MATCH(A2025,tbl_recyclass[ProductId],0)),tbl_familias_ppwr[ID_Familia],0))="Em falta","Lacuna","Conforme"),IF(B2025="EU-ENV-013",IF(INDEX(tbl_familias_ppwr[Declaracao_UE],MATCH(INDEX(tbl_recyclass[Familia_PPWR],MATCH(A2025,tbl_recyclass[ProductId],0)),tbl_familias_ppwr[ID_Familia],0))="Sim","Conforme","Lacuna"),G2025)))),G2025))</f>
        <v>Parcial</v>
      </c>
      <c r="I2025" s="33" t="str">
        <f t="shared" si="31"/>
        <v>Parcial</v>
      </c>
      <c r="J2025" s="26" t="s">
        <v>1389</v>
      </c>
    </row>
    <row r="2026" spans="1:10" ht="16.05" customHeight="1" x14ac:dyDescent="0.3">
      <c r="A2026" s="26" t="s">
        <v>825</v>
      </c>
      <c r="B2026" s="26" t="s">
        <v>984</v>
      </c>
      <c r="C2026" s="33" t="str">
        <f>IFERROR(INDEX(tbl_requisitos_emb[Tema],MATCH(B2026,tbl_requisitos_emb[ID_Req],0)),"")</f>
        <v>Conceção para reciclagem</v>
      </c>
      <c r="D2026" s="33" t="str">
        <f>IFERROR(INDEX(tbl_recyclass[Segmento],MATCH(A2026,tbl_recyclass[ProductId],0)),"")</f>
        <v>Cosmética e higiene pessoal</v>
      </c>
      <c r="E2026" s="26" t="s">
        <v>901</v>
      </c>
      <c r="F2026" s="26" t="s">
        <v>1449</v>
      </c>
      <c r="G2026" s="26" t="s">
        <v>978</v>
      </c>
      <c r="H2026" s="33" t="str">
        <f>IF(E2026="Não","Não aplicável",IFERROR(IF(B2026="EU-ENV-002",IF(INDEX(tbl_recyclass[Conforme_PPWR_2030],MATCH(A2026,tbl_recyclass[ProductId],0))="Sim","Conforme (autoavaliação)",IF(INDEX(tbl_recyclass[Conforme_PPWR_2030],MATCH(A2026,tbl_recyclass[ProductId],0))="Não","Não conforme em 2030","Isento até 2035")),IF(B2026="EU-ENV-003",IF(INDEX(tbl_recyclass[Conforme_Art7_2030],MATCH(A2026,tbl_recyclass[ProductId],0))="Sim","Conforme (meta 2030)",IF(INDEX(tbl_recyclass[Conforme_Art7_2030],MATCH(A2026,tbl_recyclass[ProductId],0))="Não","Lacuna face à meta 2030","Isento")),IF(B2026="EU-ENV-011",IF(INDEX(tbl_familias_ppwr[Metais_Pesados_Evidencia],MATCH(INDEX(tbl_recyclass[Familia_PPWR],MATCH(A2026,tbl_recyclass[ProductId],0)),tbl_familias_ppwr[ID_Familia],0))="Em falta","Lacuna","Conforme"),IF(B2026="EU-ENV-013",IF(INDEX(tbl_familias_ppwr[Declaracao_UE],MATCH(INDEX(tbl_recyclass[Familia_PPWR],MATCH(A2026,tbl_recyclass[ProductId],0)),tbl_familias_ppwr[ID_Familia],0))="Sim","Conforme","Lacuna"),G2026)))),G2026))</f>
        <v>Conforme (autoavaliação)</v>
      </c>
      <c r="I2026" s="33" t="str">
        <f t="shared" si="31"/>
        <v>Conforme</v>
      </c>
      <c r="J2026" s="26" t="s">
        <v>991</v>
      </c>
    </row>
    <row r="2027" spans="1:10" ht="16.05" customHeight="1" x14ac:dyDescent="0.3">
      <c r="A2027" s="26" t="s">
        <v>825</v>
      </c>
      <c r="B2027" s="26" t="s">
        <v>997</v>
      </c>
      <c r="C2027" s="33" t="str">
        <f>IFERROR(INDEX(tbl_requisitos_emb[Tema],MATCH(B2027,tbl_requisitos_emb[ID_Req],0)),"")</f>
        <v>Conteúdo reciclado</v>
      </c>
      <c r="D2027" s="33" t="str">
        <f>IFERROR(INDEX(tbl_recyclass[Segmento],MATCH(A2027,tbl_recyclass[ProductId],0)),"")</f>
        <v>Cosmética e higiene pessoal</v>
      </c>
      <c r="E2027" s="26" t="s">
        <v>901</v>
      </c>
      <c r="F2027" s="26" t="s">
        <v>1449</v>
      </c>
      <c r="G2027" s="26" t="s">
        <v>978</v>
      </c>
      <c r="H2027" s="33" t="str">
        <f>IF(E2027="Não","Não aplicável",IFERROR(IF(B2027="EU-ENV-002",IF(INDEX(tbl_recyclass[Conforme_PPWR_2030],MATCH(A2027,tbl_recyclass[ProductId],0))="Sim","Conforme (autoavaliação)",IF(INDEX(tbl_recyclass[Conforme_PPWR_2030],MATCH(A2027,tbl_recyclass[ProductId],0))="Não","Não conforme em 2030","Isento até 2035")),IF(B2027="EU-ENV-003",IF(INDEX(tbl_recyclass[Conforme_Art7_2030],MATCH(A2027,tbl_recyclass[ProductId],0))="Sim","Conforme (meta 2030)",IF(INDEX(tbl_recyclass[Conforme_Art7_2030],MATCH(A2027,tbl_recyclass[ProductId],0))="Não","Lacuna face à meta 2030","Isento")),IF(B2027="EU-ENV-011",IF(INDEX(tbl_familias_ppwr[Metais_Pesados_Evidencia],MATCH(INDEX(tbl_recyclass[Familia_PPWR],MATCH(A2027,tbl_recyclass[ProductId],0)),tbl_familias_ppwr[ID_Familia],0))="Em falta","Lacuna","Conforme"),IF(B2027="EU-ENV-013",IF(INDEX(tbl_familias_ppwr[Declaracao_UE],MATCH(INDEX(tbl_recyclass[Familia_PPWR],MATCH(A2027,tbl_recyclass[ProductId],0)),tbl_familias_ppwr[ID_Familia],0))="Sim","Conforme","Lacuna"),G2027)))),G2027))</f>
        <v>Lacuna face à meta 2030</v>
      </c>
      <c r="I2027" s="33" t="str">
        <f t="shared" si="31"/>
        <v>Lacuna</v>
      </c>
      <c r="J2027" s="26" t="s">
        <v>1001</v>
      </c>
    </row>
    <row r="2028" spans="1:10" ht="16.05" customHeight="1" x14ac:dyDescent="0.3">
      <c r="A2028" s="26" t="s">
        <v>825</v>
      </c>
      <c r="B2028" s="26" t="s">
        <v>1007</v>
      </c>
      <c r="C2028" s="33" t="str">
        <f>IFERROR(INDEX(tbl_requisitos_emb[Tema],MATCH(B2028,tbl_requisitos_emb[ID_Req],0)),"")</f>
        <v>Minimização</v>
      </c>
      <c r="D2028" s="33" t="str">
        <f>IFERROR(INDEX(tbl_recyclass[Segmento],MATCH(A2028,tbl_recyclass[ProductId],0)),"")</f>
        <v>Cosmética e higiene pessoal</v>
      </c>
      <c r="E2028" s="26" t="s">
        <v>901</v>
      </c>
      <c r="F2028" s="26" t="s">
        <v>1449</v>
      </c>
      <c r="G2028" s="26" t="s">
        <v>978</v>
      </c>
      <c r="H2028" s="33" t="str">
        <f>IF(E2028="Não","Não aplicável",IFERROR(IF(B2028="EU-ENV-002",IF(INDEX(tbl_recyclass[Conforme_PPWR_2030],MATCH(A2028,tbl_recyclass[ProductId],0))="Sim","Conforme (autoavaliação)",IF(INDEX(tbl_recyclass[Conforme_PPWR_2030],MATCH(A2028,tbl_recyclass[ProductId],0))="Não","Não conforme em 2030","Isento até 2035")),IF(B2028="EU-ENV-003",IF(INDEX(tbl_recyclass[Conforme_Art7_2030],MATCH(A2028,tbl_recyclass[ProductId],0))="Sim","Conforme (meta 2030)",IF(INDEX(tbl_recyclass[Conforme_Art7_2030],MATCH(A2028,tbl_recyclass[ProductId],0))="Não","Lacuna face à meta 2030","Isento")),IF(B2028="EU-ENV-011",IF(INDEX(tbl_familias_ppwr[Metais_Pesados_Evidencia],MATCH(INDEX(tbl_recyclass[Familia_PPWR],MATCH(A2028,tbl_recyclass[ProductId],0)),tbl_familias_ppwr[ID_Familia],0))="Em falta","Lacuna","Conforme"),IF(B2028="EU-ENV-013",IF(INDEX(tbl_familias_ppwr[Declaracao_UE],MATCH(INDEX(tbl_recyclass[Familia_PPWR],MATCH(A2028,tbl_recyclass[ProductId],0)),tbl_familias_ppwr[ID_Familia],0))="Sim","Conforme","Lacuna"),G2028)))),G2028))</f>
        <v>Parcial</v>
      </c>
      <c r="I2028" s="33" t="str">
        <f t="shared" si="31"/>
        <v>Parcial</v>
      </c>
      <c r="J2028" s="26" t="s">
        <v>1012</v>
      </c>
    </row>
    <row r="2029" spans="1:10" ht="16.05" customHeight="1" x14ac:dyDescent="0.3">
      <c r="A2029" s="26" t="s">
        <v>825</v>
      </c>
      <c r="B2029" s="26" t="s">
        <v>1016</v>
      </c>
      <c r="C2029" s="33" t="str">
        <f>IFERROR(INDEX(tbl_requisitos_emb[Tema],MATCH(B2029,tbl_requisitos_emb[ID_Req],0)),"")</f>
        <v>Rotulagem</v>
      </c>
      <c r="D2029" s="33" t="str">
        <f>IFERROR(INDEX(tbl_recyclass[Segmento],MATCH(A2029,tbl_recyclass[ProductId],0)),"")</f>
        <v>Cosmética e higiene pessoal</v>
      </c>
      <c r="E2029" s="26" t="s">
        <v>901</v>
      </c>
      <c r="F2029" s="26" t="s">
        <v>1449</v>
      </c>
      <c r="G2029" s="26" t="s">
        <v>990</v>
      </c>
      <c r="H2029" s="33" t="str">
        <f>IF(E2029="Não","Não aplicável",IFERROR(IF(B2029="EU-ENV-002",IF(INDEX(tbl_recyclass[Conforme_PPWR_2030],MATCH(A2029,tbl_recyclass[ProductId],0))="Sim","Conforme (autoavaliação)",IF(INDEX(tbl_recyclass[Conforme_PPWR_2030],MATCH(A2029,tbl_recyclass[ProductId],0))="Não","Não conforme em 2030","Isento até 2035")),IF(B2029="EU-ENV-003",IF(INDEX(tbl_recyclass[Conforme_Art7_2030],MATCH(A2029,tbl_recyclass[ProductId],0))="Sim","Conforme (meta 2030)",IF(INDEX(tbl_recyclass[Conforme_Art7_2030],MATCH(A2029,tbl_recyclass[ProductId],0))="Não","Lacuna face à meta 2030","Isento")),IF(B2029="EU-ENV-011",IF(INDEX(tbl_familias_ppwr[Metais_Pesados_Evidencia],MATCH(INDEX(tbl_recyclass[Familia_PPWR],MATCH(A2029,tbl_recyclass[ProductId],0)),tbl_familias_ppwr[ID_Familia],0))="Em falta","Lacuna","Conforme"),IF(B2029="EU-ENV-013",IF(INDEX(tbl_familias_ppwr[Declaracao_UE],MATCH(INDEX(tbl_recyclass[Familia_PPWR],MATCH(A2029,tbl_recyclass[ProductId],0)),tbl_familias_ppwr[ID_Familia],0))="Sim","Conforme","Lacuna"),G2029)))),G2029))</f>
        <v>Futuro</v>
      </c>
      <c r="I2029" s="33" t="str">
        <f t="shared" si="31"/>
        <v>Futuro</v>
      </c>
      <c r="J2029" s="26" t="s">
        <v>1021</v>
      </c>
    </row>
    <row r="2030" spans="1:10" ht="16.05" customHeight="1" x14ac:dyDescent="0.3">
      <c r="A2030" s="26" t="s">
        <v>825</v>
      </c>
      <c r="B2030" s="26" t="s">
        <v>1038</v>
      </c>
      <c r="C2030" s="33" t="str">
        <f>IFERROR(INDEX(tbl_requisitos_emb[Tema],MATCH(B2030,tbl_requisitos_emb[ID_Req],0)),"")</f>
        <v>Plásticos de utilização única</v>
      </c>
      <c r="D2030" s="33" t="str">
        <f>IFERROR(INDEX(tbl_recyclass[Segmento],MATCH(A2030,tbl_recyclass[ProductId],0)),"")</f>
        <v>Cosmética e higiene pessoal</v>
      </c>
      <c r="E2030" s="26" t="s">
        <v>904</v>
      </c>
      <c r="F2030" s="26" t="s">
        <v>1450</v>
      </c>
      <c r="G2030" s="26" t="s">
        <v>1143</v>
      </c>
      <c r="H2030" s="33" t="str">
        <f>IF(E2030="Não","Não aplicável",IFERROR(IF(B2030="EU-ENV-002",IF(INDEX(tbl_recyclass[Conforme_PPWR_2030],MATCH(A2030,tbl_recyclass[ProductId],0))="Sim","Conforme (autoavaliação)",IF(INDEX(tbl_recyclass[Conforme_PPWR_2030],MATCH(A2030,tbl_recyclass[ProductId],0))="Não","Não conforme em 2030","Isento até 2035")),IF(B2030="EU-ENV-003",IF(INDEX(tbl_recyclass[Conforme_Art7_2030],MATCH(A2030,tbl_recyclass[ProductId],0))="Sim","Conforme (meta 2030)",IF(INDEX(tbl_recyclass[Conforme_Art7_2030],MATCH(A2030,tbl_recyclass[ProductId],0))="Não","Lacuna face à meta 2030","Isento")),IF(B2030="EU-ENV-011",IF(INDEX(tbl_familias_ppwr[Metais_Pesados_Evidencia],MATCH(INDEX(tbl_recyclass[Familia_PPWR],MATCH(A2030,tbl_recyclass[ProductId],0)),tbl_familias_ppwr[ID_Familia],0))="Em falta","Lacuna","Conforme"),IF(B2030="EU-ENV-013",IF(INDEX(tbl_familias_ppwr[Declaracao_UE],MATCH(INDEX(tbl_recyclass[Familia_PPWR],MATCH(A2030,tbl_recyclass[ProductId],0)),tbl_familias_ppwr[ID_Familia],0))="Sim","Conforme","Lacuna"),G2030)))),G2030))</f>
        <v>Não aplicável</v>
      </c>
      <c r="I2030" s="33" t="str">
        <f t="shared" si="31"/>
        <v>Não aplicável</v>
      </c>
      <c r="J2030" s="26"/>
    </row>
    <row r="2031" spans="1:10" ht="16.05" customHeight="1" x14ac:dyDescent="0.3">
      <c r="A2031" s="26" t="s">
        <v>825</v>
      </c>
      <c r="B2031" s="26" t="s">
        <v>1078</v>
      </c>
      <c r="C2031" s="33" t="str">
        <f>IFERROR(INDEX(tbl_requisitos_emb[Tema],MATCH(B2031,tbl_requisitos_emb[ID_Req],0)),"")</f>
        <v>Reciclado à escala</v>
      </c>
      <c r="D2031" s="33" t="str">
        <f>IFERROR(INDEX(tbl_recyclass[Segmento],MATCH(A2031,tbl_recyclass[ProductId],0)),"")</f>
        <v>Cosmética e higiene pessoal</v>
      </c>
      <c r="E2031" s="26" t="s">
        <v>901</v>
      </c>
      <c r="F2031" s="26" t="s">
        <v>1449</v>
      </c>
      <c r="G2031" s="26" t="s">
        <v>990</v>
      </c>
      <c r="H2031" s="33" t="str">
        <f>IF(E2031="Não","Não aplicável",IFERROR(IF(B2031="EU-ENV-002",IF(INDEX(tbl_recyclass[Conforme_PPWR_2030],MATCH(A2031,tbl_recyclass[ProductId],0))="Sim","Conforme (autoavaliação)",IF(INDEX(tbl_recyclass[Conforme_PPWR_2030],MATCH(A2031,tbl_recyclass[ProductId],0))="Não","Não conforme em 2030","Isento até 2035")),IF(B2031="EU-ENV-003",IF(INDEX(tbl_recyclass[Conforme_Art7_2030],MATCH(A2031,tbl_recyclass[ProductId],0))="Sim","Conforme (meta 2030)",IF(INDEX(tbl_recyclass[Conforme_Art7_2030],MATCH(A2031,tbl_recyclass[ProductId],0))="Não","Lacuna face à meta 2030","Isento")),IF(B2031="EU-ENV-011",IF(INDEX(tbl_familias_ppwr[Metais_Pesados_Evidencia],MATCH(INDEX(tbl_recyclass[Familia_PPWR],MATCH(A2031,tbl_recyclass[ProductId],0)),tbl_familias_ppwr[ID_Familia],0))="Em falta","Lacuna","Conforme"),IF(B2031="EU-ENV-013",IF(INDEX(tbl_familias_ppwr[Declaracao_UE],MATCH(INDEX(tbl_recyclass[Familia_PPWR],MATCH(A2031,tbl_recyclass[ProductId],0)),tbl_familias_ppwr[ID_Familia],0))="Sim","Conforme","Lacuna"),G2031)))),G2031))</f>
        <v>Futuro</v>
      </c>
      <c r="I2031" s="33" t="str">
        <f t="shared" si="31"/>
        <v>Futuro</v>
      </c>
      <c r="J2031" s="26" t="s">
        <v>1082</v>
      </c>
    </row>
    <row r="2032" spans="1:10" ht="16.05" customHeight="1" x14ac:dyDescent="0.3">
      <c r="A2032" s="26" t="s">
        <v>825</v>
      </c>
      <c r="B2032" s="26" t="s">
        <v>1086</v>
      </c>
      <c r="C2032" s="33" t="str">
        <f>IFERROR(INDEX(tbl_requisitos_emb[Tema],MATCH(B2032,tbl_requisitos_emb[ID_Req],0)),"")</f>
        <v>Metais pesados</v>
      </c>
      <c r="D2032" s="33" t="str">
        <f>IFERROR(INDEX(tbl_recyclass[Segmento],MATCH(A2032,tbl_recyclass[ProductId],0)),"")</f>
        <v>Cosmética e higiene pessoal</v>
      </c>
      <c r="E2032" s="26" t="s">
        <v>901</v>
      </c>
      <c r="F2032" s="26" t="s">
        <v>1449</v>
      </c>
      <c r="G2032" s="26" t="s">
        <v>978</v>
      </c>
      <c r="H2032" s="33" t="str">
        <f>IF(E2032="Não","Não aplicável",IFERROR(IF(B2032="EU-ENV-002",IF(INDEX(tbl_recyclass[Conforme_PPWR_2030],MATCH(A2032,tbl_recyclass[ProductId],0))="Sim","Conforme (autoavaliação)",IF(INDEX(tbl_recyclass[Conforme_PPWR_2030],MATCH(A2032,tbl_recyclass[ProductId],0))="Não","Não conforme em 2030","Isento até 2035")),IF(B2032="EU-ENV-003",IF(INDEX(tbl_recyclass[Conforme_Art7_2030],MATCH(A2032,tbl_recyclass[ProductId],0))="Sim","Conforme (meta 2030)",IF(INDEX(tbl_recyclass[Conforme_Art7_2030],MATCH(A2032,tbl_recyclass[ProductId],0))="Não","Lacuna face à meta 2030","Isento")),IF(B2032="EU-ENV-011",IF(INDEX(tbl_familias_ppwr[Metais_Pesados_Evidencia],MATCH(INDEX(tbl_recyclass[Familia_PPWR],MATCH(A2032,tbl_recyclass[ProductId],0)),tbl_familias_ppwr[ID_Familia],0))="Em falta","Lacuna","Conforme"),IF(B2032="EU-ENV-013",IF(INDEX(tbl_familias_ppwr[Declaracao_UE],MATCH(INDEX(tbl_recyclass[Familia_PPWR],MATCH(A2032,tbl_recyclass[ProductId],0)),tbl_familias_ppwr[ID_Familia],0))="Sim","Conforme","Lacuna"),G2032)))),G2032))</f>
        <v>Conforme</v>
      </c>
      <c r="I2032" s="33" t="str">
        <f t="shared" si="31"/>
        <v>Conforme</v>
      </c>
      <c r="J2032" s="26" t="s">
        <v>1090</v>
      </c>
    </row>
    <row r="2033" spans="1:10" ht="16.05" customHeight="1" x14ac:dyDescent="0.3">
      <c r="A2033" s="26" t="s">
        <v>825</v>
      </c>
      <c r="B2033" s="26" t="s">
        <v>1094</v>
      </c>
      <c r="C2033" s="33" t="str">
        <f>IFERROR(INDEX(tbl_requisitos_emb[Tema],MATCH(B2033,tbl_requisitos_emb[ID_Req],0)),"")</f>
        <v>PFAS</v>
      </c>
      <c r="D2033" s="33" t="str">
        <f>IFERROR(INDEX(tbl_recyclass[Segmento],MATCH(A2033,tbl_recyclass[ProductId],0)),"")</f>
        <v>Cosmética e higiene pessoal</v>
      </c>
      <c r="E2033" s="26" t="s">
        <v>904</v>
      </c>
      <c r="F2033" s="26" t="s">
        <v>1450</v>
      </c>
      <c r="G2033" s="26" t="s">
        <v>1143</v>
      </c>
      <c r="H2033" s="33" t="str">
        <f>IF(E2033="Não","Não aplicável",IFERROR(IF(B2033="EU-ENV-002",IF(INDEX(tbl_recyclass[Conforme_PPWR_2030],MATCH(A2033,tbl_recyclass[ProductId],0))="Sim","Conforme (autoavaliação)",IF(INDEX(tbl_recyclass[Conforme_PPWR_2030],MATCH(A2033,tbl_recyclass[ProductId],0))="Não","Não conforme em 2030","Isento até 2035")),IF(B2033="EU-ENV-003",IF(INDEX(tbl_recyclass[Conforme_Art7_2030],MATCH(A2033,tbl_recyclass[ProductId],0))="Sim","Conforme (meta 2030)",IF(INDEX(tbl_recyclass[Conforme_Art7_2030],MATCH(A2033,tbl_recyclass[ProductId],0))="Não","Lacuna face à meta 2030","Isento")),IF(B2033="EU-ENV-011",IF(INDEX(tbl_familias_ppwr[Metais_Pesados_Evidencia],MATCH(INDEX(tbl_recyclass[Familia_PPWR],MATCH(A2033,tbl_recyclass[ProductId],0)),tbl_familias_ppwr[ID_Familia],0))="Em falta","Lacuna","Conforme"),IF(B2033="EU-ENV-013",IF(INDEX(tbl_familias_ppwr[Declaracao_UE],MATCH(INDEX(tbl_recyclass[Familia_PPWR],MATCH(A2033,tbl_recyclass[ProductId],0)),tbl_familias_ppwr[ID_Familia],0))="Sim","Conforme","Lacuna"),G2033)))),G2033))</f>
        <v>Não aplicável</v>
      </c>
      <c r="I2033" s="33" t="str">
        <f t="shared" si="31"/>
        <v>Não aplicável</v>
      </c>
      <c r="J2033" s="26"/>
    </row>
    <row r="2034" spans="1:10" ht="16.05" customHeight="1" x14ac:dyDescent="0.3">
      <c r="A2034" s="26" t="s">
        <v>825</v>
      </c>
      <c r="B2034" s="26" t="s">
        <v>1102</v>
      </c>
      <c r="C2034" s="33" t="str">
        <f>IFERROR(INDEX(tbl_requisitos_emb[Tema],MATCH(B2034,tbl_requisitos_emb[ID_Req],0)),"")</f>
        <v>Documentação técnica e declaração UE</v>
      </c>
      <c r="D2034" s="33" t="str">
        <f>IFERROR(INDEX(tbl_recyclass[Segmento],MATCH(A2034,tbl_recyclass[ProductId],0)),"")</f>
        <v>Cosmética e higiene pessoal</v>
      </c>
      <c r="E2034" s="26" t="s">
        <v>901</v>
      </c>
      <c r="F2034" s="26" t="s">
        <v>1449</v>
      </c>
      <c r="G2034" s="26" t="s">
        <v>978</v>
      </c>
      <c r="H2034" s="33" t="str">
        <f>IF(E2034="Não","Não aplicável",IFERROR(IF(B2034="EU-ENV-002",IF(INDEX(tbl_recyclass[Conforme_PPWR_2030],MATCH(A2034,tbl_recyclass[ProductId],0))="Sim","Conforme (autoavaliação)",IF(INDEX(tbl_recyclass[Conforme_PPWR_2030],MATCH(A2034,tbl_recyclass[ProductId],0))="Não","Não conforme em 2030","Isento até 2035")),IF(B2034="EU-ENV-003",IF(INDEX(tbl_recyclass[Conforme_Art7_2030],MATCH(A2034,tbl_recyclass[ProductId],0))="Sim","Conforme (meta 2030)",IF(INDEX(tbl_recyclass[Conforme_Art7_2030],MATCH(A2034,tbl_recyclass[ProductId],0))="Não","Lacuna face à meta 2030","Isento")),IF(B2034="EU-ENV-011",IF(INDEX(tbl_familias_ppwr[Metais_Pesados_Evidencia],MATCH(INDEX(tbl_recyclass[Familia_PPWR],MATCH(A2034,tbl_recyclass[ProductId],0)),tbl_familias_ppwr[ID_Familia],0))="Em falta","Lacuna","Conforme"),IF(B2034="EU-ENV-013",IF(INDEX(tbl_familias_ppwr[Declaracao_UE],MATCH(INDEX(tbl_recyclass[Familia_PPWR],MATCH(A2034,tbl_recyclass[ProductId],0)),tbl_familias_ppwr[ID_Familia],0))="Sim","Conforme","Lacuna"),G2034)))),G2034))</f>
        <v>Conforme</v>
      </c>
      <c r="I2034" s="33" t="str">
        <f t="shared" si="31"/>
        <v>Conforme</v>
      </c>
      <c r="J2034" s="26" t="s">
        <v>1106</v>
      </c>
    </row>
    <row r="2035" spans="1:10" ht="16.05" customHeight="1" x14ac:dyDescent="0.3">
      <c r="A2035" s="26" t="s">
        <v>825</v>
      </c>
      <c r="B2035" s="26" t="s">
        <v>1161</v>
      </c>
      <c r="C2035" s="33" t="str">
        <f>IFERROR(INDEX(tbl_requisitos_emb[Tema],MATCH(B2035,tbl_requisitos_emb[ID_Req],0)),"")</f>
        <v>Materiais em contacto com alimentos</v>
      </c>
      <c r="D2035" s="33" t="str">
        <f>IFERROR(INDEX(tbl_recyclass[Segmento],MATCH(A2035,tbl_recyclass[ProductId],0)),"")</f>
        <v>Cosmética e higiene pessoal</v>
      </c>
      <c r="E2035" s="26" t="s">
        <v>904</v>
      </c>
      <c r="F2035" s="26" t="s">
        <v>1450</v>
      </c>
      <c r="G2035" s="26" t="s">
        <v>1143</v>
      </c>
      <c r="H2035" s="33" t="str">
        <f>IF(E2035="Não","Não aplicável",IFERROR(IF(B2035="EU-ENV-002",IF(INDEX(tbl_recyclass[Conforme_PPWR_2030],MATCH(A2035,tbl_recyclass[ProductId],0))="Sim","Conforme (autoavaliação)",IF(INDEX(tbl_recyclass[Conforme_PPWR_2030],MATCH(A2035,tbl_recyclass[ProductId],0))="Não","Não conforme em 2030","Isento até 2035")),IF(B2035="EU-ENV-003",IF(INDEX(tbl_recyclass[Conforme_Art7_2030],MATCH(A2035,tbl_recyclass[ProductId],0))="Sim","Conforme (meta 2030)",IF(INDEX(tbl_recyclass[Conforme_Art7_2030],MATCH(A2035,tbl_recyclass[ProductId],0))="Não","Lacuna face à meta 2030","Isento")),IF(B2035="EU-ENV-011",IF(INDEX(tbl_familias_ppwr[Metais_Pesados_Evidencia],MATCH(INDEX(tbl_recyclass[Familia_PPWR],MATCH(A2035,tbl_recyclass[ProductId],0)),tbl_familias_ppwr[ID_Familia],0))="Em falta","Lacuna","Conforme"),IF(B2035="EU-ENV-013",IF(INDEX(tbl_familias_ppwr[Declaracao_UE],MATCH(INDEX(tbl_recyclass[Familia_PPWR],MATCH(A2035,tbl_recyclass[ProductId],0)),tbl_familias_ppwr[ID_Familia],0))="Sim","Conforme","Lacuna"),G2035)))),G2035))</f>
        <v>Não aplicável</v>
      </c>
      <c r="I2035" s="33" t="str">
        <f t="shared" si="31"/>
        <v>Não aplicável</v>
      </c>
      <c r="J2035" s="26"/>
    </row>
    <row r="2036" spans="1:10" ht="16.05" customHeight="1" x14ac:dyDescent="0.3">
      <c r="A2036" s="26" t="s">
        <v>825</v>
      </c>
      <c r="B2036" s="26" t="s">
        <v>1170</v>
      </c>
      <c r="C2036" s="33" t="str">
        <f>IFERROR(INDEX(tbl_requisitos_emb[Tema],MATCH(B2036,tbl_requisitos_emb[ID_Req],0)),"")</f>
        <v>Boas práticas de fabrico FCM</v>
      </c>
      <c r="D2036" s="33" t="str">
        <f>IFERROR(INDEX(tbl_recyclass[Segmento],MATCH(A2036,tbl_recyclass[ProductId],0)),"")</f>
        <v>Cosmética e higiene pessoal</v>
      </c>
      <c r="E2036" s="26" t="s">
        <v>904</v>
      </c>
      <c r="F2036" s="26" t="s">
        <v>1450</v>
      </c>
      <c r="G2036" s="26" t="s">
        <v>1143</v>
      </c>
      <c r="H2036" s="33" t="str">
        <f>IF(E2036="Não","Não aplicável",IFERROR(IF(B2036="EU-ENV-002",IF(INDEX(tbl_recyclass[Conforme_PPWR_2030],MATCH(A2036,tbl_recyclass[ProductId],0))="Sim","Conforme (autoavaliação)",IF(INDEX(tbl_recyclass[Conforme_PPWR_2030],MATCH(A2036,tbl_recyclass[ProductId],0))="Não","Não conforme em 2030","Isento até 2035")),IF(B2036="EU-ENV-003",IF(INDEX(tbl_recyclass[Conforme_Art7_2030],MATCH(A2036,tbl_recyclass[ProductId],0))="Sim","Conforme (meta 2030)",IF(INDEX(tbl_recyclass[Conforme_Art7_2030],MATCH(A2036,tbl_recyclass[ProductId],0))="Não","Lacuna face à meta 2030","Isento")),IF(B2036="EU-ENV-011",IF(INDEX(tbl_familias_ppwr[Metais_Pesados_Evidencia],MATCH(INDEX(tbl_recyclass[Familia_PPWR],MATCH(A2036,tbl_recyclass[ProductId],0)),tbl_familias_ppwr[ID_Familia],0))="Em falta","Lacuna","Conforme"),IF(B2036="EU-ENV-013",IF(INDEX(tbl_familias_ppwr[Declaracao_UE],MATCH(INDEX(tbl_recyclass[Familia_PPWR],MATCH(A2036,tbl_recyclass[ProductId],0)),tbl_familias_ppwr[ID_Familia],0))="Sim","Conforme","Lacuna"),G2036)))),G2036))</f>
        <v>Não aplicável</v>
      </c>
      <c r="I2036" s="33" t="str">
        <f t="shared" si="31"/>
        <v>Não aplicável</v>
      </c>
      <c r="J2036" s="26"/>
    </row>
    <row r="2037" spans="1:10" ht="16.05" customHeight="1" x14ac:dyDescent="0.3">
      <c r="A2037" s="26" t="s">
        <v>825</v>
      </c>
      <c r="B2037" s="26" t="s">
        <v>1179</v>
      </c>
      <c r="C2037" s="33" t="str">
        <f>IFERROR(INDEX(tbl_requisitos_emb[Tema],MATCH(B2037,tbl_requisitos_emb[ID_Req],0)),"")</f>
        <v>Bisfenol A e bisfenóis perigosos</v>
      </c>
      <c r="D2037" s="33" t="str">
        <f>IFERROR(INDEX(tbl_recyclass[Segmento],MATCH(A2037,tbl_recyclass[ProductId],0)),"")</f>
        <v>Cosmética e higiene pessoal</v>
      </c>
      <c r="E2037" s="26" t="s">
        <v>904</v>
      </c>
      <c r="F2037" s="26" t="s">
        <v>1450</v>
      </c>
      <c r="G2037" s="26" t="s">
        <v>1143</v>
      </c>
      <c r="H2037" s="33" t="str">
        <f>IF(E2037="Não","Não aplicável",IFERROR(IF(B2037="EU-ENV-002",IF(INDEX(tbl_recyclass[Conforme_PPWR_2030],MATCH(A2037,tbl_recyclass[ProductId],0))="Sim","Conforme (autoavaliação)",IF(INDEX(tbl_recyclass[Conforme_PPWR_2030],MATCH(A2037,tbl_recyclass[ProductId],0))="Não","Não conforme em 2030","Isento até 2035")),IF(B2037="EU-ENV-003",IF(INDEX(tbl_recyclass[Conforme_Art7_2030],MATCH(A2037,tbl_recyclass[ProductId],0))="Sim","Conforme (meta 2030)",IF(INDEX(tbl_recyclass[Conforme_Art7_2030],MATCH(A2037,tbl_recyclass[ProductId],0))="Não","Lacuna face à meta 2030","Isento")),IF(B2037="EU-ENV-011",IF(INDEX(tbl_familias_ppwr[Metais_Pesados_Evidencia],MATCH(INDEX(tbl_recyclass[Familia_PPWR],MATCH(A2037,tbl_recyclass[ProductId],0)),tbl_familias_ppwr[ID_Familia],0))="Em falta","Lacuna","Conforme"),IF(B2037="EU-ENV-013",IF(INDEX(tbl_familias_ppwr[Declaracao_UE],MATCH(INDEX(tbl_recyclass[Familia_PPWR],MATCH(A2037,tbl_recyclass[ProductId],0)),tbl_familias_ppwr[ID_Familia],0))="Sim","Conforme","Lacuna"),G2037)))),G2037))</f>
        <v>Não aplicável</v>
      </c>
      <c r="I2037" s="33" t="str">
        <f t="shared" si="31"/>
        <v>Não aplicável</v>
      </c>
      <c r="J2037" s="26"/>
    </row>
    <row r="2038" spans="1:10" ht="16.05" customHeight="1" x14ac:dyDescent="0.3">
      <c r="A2038" s="26" t="s">
        <v>825</v>
      </c>
      <c r="B2038" s="26" t="s">
        <v>1188</v>
      </c>
      <c r="C2038" s="33" t="str">
        <f>IFERROR(INDEX(tbl_requisitos_emb[Tema],MATCH(B2038,tbl_requisitos_emb[ID_Req],0)),"")</f>
        <v>Plásticos em contacto com alimentos</v>
      </c>
      <c r="D2038" s="33" t="str">
        <f>IFERROR(INDEX(tbl_recyclass[Segmento],MATCH(A2038,tbl_recyclass[ProductId],0)),"")</f>
        <v>Cosmética e higiene pessoal</v>
      </c>
      <c r="E2038" s="26" t="s">
        <v>904</v>
      </c>
      <c r="F2038" s="26" t="s">
        <v>1450</v>
      </c>
      <c r="G2038" s="26" t="s">
        <v>1143</v>
      </c>
      <c r="H2038" s="33" t="str">
        <f>IF(E2038="Não","Não aplicável",IFERROR(IF(B2038="EU-ENV-002",IF(INDEX(tbl_recyclass[Conforme_PPWR_2030],MATCH(A2038,tbl_recyclass[ProductId],0))="Sim","Conforme (autoavaliação)",IF(INDEX(tbl_recyclass[Conforme_PPWR_2030],MATCH(A2038,tbl_recyclass[ProductId],0))="Não","Não conforme em 2030","Isento até 2035")),IF(B2038="EU-ENV-003",IF(INDEX(tbl_recyclass[Conforme_Art7_2030],MATCH(A2038,tbl_recyclass[ProductId],0))="Sim","Conforme (meta 2030)",IF(INDEX(tbl_recyclass[Conforme_Art7_2030],MATCH(A2038,tbl_recyclass[ProductId],0))="Não","Lacuna face à meta 2030","Isento")),IF(B2038="EU-ENV-011",IF(INDEX(tbl_familias_ppwr[Metais_Pesados_Evidencia],MATCH(INDEX(tbl_recyclass[Familia_PPWR],MATCH(A2038,tbl_recyclass[ProductId],0)),tbl_familias_ppwr[ID_Familia],0))="Em falta","Lacuna","Conforme"),IF(B2038="EU-ENV-013",IF(INDEX(tbl_familias_ppwr[Declaracao_UE],MATCH(INDEX(tbl_recyclass[Familia_PPWR],MATCH(A2038,tbl_recyclass[ProductId],0)),tbl_familias_ppwr[ID_Familia],0))="Sim","Conforme","Lacuna"),G2038)))),G2038))</f>
        <v>Não aplicável</v>
      </c>
      <c r="I2038" s="33" t="str">
        <f t="shared" si="31"/>
        <v>Não aplicável</v>
      </c>
      <c r="J2038" s="26"/>
    </row>
    <row r="2039" spans="1:10" ht="16.05" customHeight="1" x14ac:dyDescent="0.3">
      <c r="A2039" s="26" t="s">
        <v>825</v>
      </c>
      <c r="B2039" s="26" t="s">
        <v>1212</v>
      </c>
      <c r="C2039" s="33" t="str">
        <f>IFERROR(INDEX(tbl_requisitos_emb[Tema],MATCH(B2039,tbl_requisitos_emb[ID_Req],0)),"")</f>
        <v>Segurança do produto cosmético</v>
      </c>
      <c r="D2039" s="33" t="str">
        <f>IFERROR(INDEX(tbl_recyclass[Segmento],MATCH(A2039,tbl_recyclass[ProductId],0)),"")</f>
        <v>Cosmética e higiene pessoal</v>
      </c>
      <c r="E2039" s="26" t="s">
        <v>901</v>
      </c>
      <c r="F2039" s="26" t="s">
        <v>1449</v>
      </c>
      <c r="G2039" s="26" t="s">
        <v>1033</v>
      </c>
      <c r="H2039" s="33" t="str">
        <f>IF(E2039="Não","Não aplicável",IFERROR(IF(B2039="EU-ENV-002",IF(INDEX(tbl_recyclass[Conforme_PPWR_2030],MATCH(A2039,tbl_recyclass[ProductId],0))="Sim","Conforme (autoavaliação)",IF(INDEX(tbl_recyclass[Conforme_PPWR_2030],MATCH(A2039,tbl_recyclass[ProductId],0))="Não","Não conforme em 2030","Isento até 2035")),IF(B2039="EU-ENV-003",IF(INDEX(tbl_recyclass[Conforme_Art7_2030],MATCH(A2039,tbl_recyclass[ProductId],0))="Sim","Conforme (meta 2030)",IF(INDEX(tbl_recyclass[Conforme_Art7_2030],MATCH(A2039,tbl_recyclass[ProductId],0))="Não","Lacuna face à meta 2030","Isento")),IF(B2039="EU-ENV-011",IF(INDEX(tbl_familias_ppwr[Metais_Pesados_Evidencia],MATCH(INDEX(tbl_recyclass[Familia_PPWR],MATCH(A2039,tbl_recyclass[ProductId],0)),tbl_familias_ppwr[ID_Familia],0))="Em falta","Lacuna","Conforme"),IF(B2039="EU-ENV-013",IF(INDEX(tbl_familias_ppwr[Declaracao_UE],MATCH(INDEX(tbl_recyclass[Familia_PPWR],MATCH(A2039,tbl_recyclass[ProductId],0)),tbl_familias_ppwr[ID_Familia],0))="Sim","Conforme","Lacuna"),G2039)))),G2039))</f>
        <v>Conforme</v>
      </c>
      <c r="I2039" s="33" t="str">
        <f t="shared" si="31"/>
        <v>Conforme</v>
      </c>
      <c r="J2039" s="26" t="s">
        <v>1221</v>
      </c>
    </row>
    <row r="2040" spans="1:10" ht="16.05" customHeight="1" x14ac:dyDescent="0.3">
      <c r="A2040" s="26" t="s">
        <v>825</v>
      </c>
      <c r="B2040" s="26" t="s">
        <v>1224</v>
      </c>
      <c r="C2040" s="33" t="str">
        <f>IFERROR(INDEX(tbl_requisitos_emb[Tema],MATCH(B2040,tbl_requisitos_emb[ID_Req],0)),"")</f>
        <v>Materiais e impurezas</v>
      </c>
      <c r="D2040" s="33" t="str">
        <f>IFERROR(INDEX(tbl_recyclass[Segmento],MATCH(A2040,tbl_recyclass[ProductId],0)),"")</f>
        <v>Cosmética e higiene pessoal</v>
      </c>
      <c r="E2040" s="26" t="s">
        <v>901</v>
      </c>
      <c r="F2040" s="26" t="s">
        <v>1449</v>
      </c>
      <c r="G2040" s="26" t="s">
        <v>978</v>
      </c>
      <c r="H2040" s="33" t="str">
        <f>IF(E2040="Não","Não aplicável",IFERROR(IF(B2040="EU-ENV-002",IF(INDEX(tbl_recyclass[Conforme_PPWR_2030],MATCH(A2040,tbl_recyclass[ProductId],0))="Sim","Conforme (autoavaliação)",IF(INDEX(tbl_recyclass[Conforme_PPWR_2030],MATCH(A2040,tbl_recyclass[ProductId],0))="Não","Não conforme em 2030","Isento até 2035")),IF(B2040="EU-ENV-003",IF(INDEX(tbl_recyclass[Conforme_Art7_2030],MATCH(A2040,tbl_recyclass[ProductId],0))="Sim","Conforme (meta 2030)",IF(INDEX(tbl_recyclass[Conforme_Art7_2030],MATCH(A2040,tbl_recyclass[ProductId],0))="Não","Lacuna face à meta 2030","Isento")),IF(B2040="EU-ENV-011",IF(INDEX(tbl_familias_ppwr[Metais_Pesados_Evidencia],MATCH(INDEX(tbl_recyclass[Familia_PPWR],MATCH(A2040,tbl_recyclass[ProductId],0)),tbl_familias_ppwr[ID_Familia],0))="Em falta","Lacuna","Conforme"),IF(B2040="EU-ENV-013",IF(INDEX(tbl_familias_ppwr[Declaracao_UE],MATCH(INDEX(tbl_recyclass[Familia_PPWR],MATCH(A2040,tbl_recyclass[ProductId],0)),tbl_familias_ppwr[ID_Familia],0))="Sim","Conforme","Lacuna"),G2040)))),G2040))</f>
        <v>Parcial</v>
      </c>
      <c r="I2040" s="33" t="str">
        <f t="shared" si="31"/>
        <v>Parcial</v>
      </c>
      <c r="J2040" s="26" t="s">
        <v>1228</v>
      </c>
    </row>
    <row r="2041" spans="1:10" ht="16.05" customHeight="1" x14ac:dyDescent="0.3">
      <c r="A2041" s="26" t="s">
        <v>825</v>
      </c>
      <c r="B2041" s="26" t="s">
        <v>1240</v>
      </c>
      <c r="C2041" s="33" t="str">
        <f>IFERROR(INDEX(tbl_requisitos_emb[Tema],MATCH(B2041,tbl_requisitos_emb[ID_Req],0)),"")</f>
        <v>Compatibilidade embalagem–produto</v>
      </c>
      <c r="D2041" s="33" t="str">
        <f>IFERROR(INDEX(tbl_recyclass[Segmento],MATCH(A2041,tbl_recyclass[ProductId],0)),"")</f>
        <v>Cosmética e higiene pessoal</v>
      </c>
      <c r="E2041" s="26" t="s">
        <v>901</v>
      </c>
      <c r="F2041" s="26" t="s">
        <v>1449</v>
      </c>
      <c r="G2041" s="26" t="s">
        <v>1033</v>
      </c>
      <c r="H2041" s="33" t="str">
        <f>IF(E2041="Não","Não aplicável",IFERROR(IF(B2041="EU-ENV-002",IF(INDEX(tbl_recyclass[Conforme_PPWR_2030],MATCH(A2041,tbl_recyclass[ProductId],0))="Sim","Conforme (autoavaliação)",IF(INDEX(tbl_recyclass[Conforme_PPWR_2030],MATCH(A2041,tbl_recyclass[ProductId],0))="Não","Não conforme em 2030","Isento até 2035")),IF(B2041="EU-ENV-003",IF(INDEX(tbl_recyclass[Conforme_Art7_2030],MATCH(A2041,tbl_recyclass[ProductId],0))="Sim","Conforme (meta 2030)",IF(INDEX(tbl_recyclass[Conforme_Art7_2030],MATCH(A2041,tbl_recyclass[ProductId],0))="Não","Lacuna face à meta 2030","Isento")),IF(B2041="EU-ENV-011",IF(INDEX(tbl_familias_ppwr[Metais_Pesados_Evidencia],MATCH(INDEX(tbl_recyclass[Familia_PPWR],MATCH(A2041,tbl_recyclass[ProductId],0)),tbl_familias_ppwr[ID_Familia],0))="Em falta","Lacuna","Conforme"),IF(B2041="EU-ENV-013",IF(INDEX(tbl_familias_ppwr[Declaracao_UE],MATCH(INDEX(tbl_recyclass[Familia_PPWR],MATCH(A2041,tbl_recyclass[ProductId],0)),tbl_familias_ppwr[ID_Familia],0))="Sim","Conforme","Lacuna"),G2041)))),G2041))</f>
        <v>Conforme</v>
      </c>
      <c r="I2041" s="33" t="str">
        <f t="shared" si="31"/>
        <v>Conforme</v>
      </c>
      <c r="J2041" s="26" t="s">
        <v>1244</v>
      </c>
    </row>
    <row r="2042" spans="1:10" ht="16.05" customHeight="1" x14ac:dyDescent="0.3">
      <c r="A2042" s="26" t="s">
        <v>825</v>
      </c>
      <c r="B2042" s="26" t="s">
        <v>1252</v>
      </c>
      <c r="C2042" s="33" t="str">
        <f>IFERROR(INDEX(tbl_requisitos_emb[Tema],MATCH(B2042,tbl_requisitos_emb[ID_Req],0)),"")</f>
        <v>Medicamentos de uso humano</v>
      </c>
      <c r="D2042" s="33" t="str">
        <f>IFERROR(INDEX(tbl_recyclass[Segmento],MATCH(A2042,tbl_recyclass[ProductId],0)),"")</f>
        <v>Cosmética e higiene pessoal</v>
      </c>
      <c r="E2042" s="26" t="s">
        <v>904</v>
      </c>
      <c r="F2042" s="26" t="s">
        <v>1451</v>
      </c>
      <c r="G2042" s="26" t="s">
        <v>1143</v>
      </c>
      <c r="H2042" s="33" t="str">
        <f>IF(E2042="Não","Não aplicável",IFERROR(IF(B2042="EU-ENV-002",IF(INDEX(tbl_recyclass[Conforme_PPWR_2030],MATCH(A2042,tbl_recyclass[ProductId],0))="Sim","Conforme (autoavaliação)",IF(INDEX(tbl_recyclass[Conforme_PPWR_2030],MATCH(A2042,tbl_recyclass[ProductId],0))="Não","Não conforme em 2030","Isento até 2035")),IF(B2042="EU-ENV-003",IF(INDEX(tbl_recyclass[Conforme_Art7_2030],MATCH(A2042,tbl_recyclass[ProductId],0))="Sim","Conforme (meta 2030)",IF(INDEX(tbl_recyclass[Conforme_Art7_2030],MATCH(A2042,tbl_recyclass[ProductId],0))="Não","Lacuna face à meta 2030","Isento")),IF(B2042="EU-ENV-011",IF(INDEX(tbl_familias_ppwr[Metais_Pesados_Evidencia],MATCH(INDEX(tbl_recyclass[Familia_PPWR],MATCH(A2042,tbl_recyclass[ProductId],0)),tbl_familias_ppwr[ID_Familia],0))="Em falta","Lacuna","Conforme"),IF(B2042="EU-ENV-013",IF(INDEX(tbl_familias_ppwr[Declaracao_UE],MATCH(INDEX(tbl_recyclass[Familia_PPWR],MATCH(A2042,tbl_recyclass[ProductId],0)),tbl_familias_ppwr[ID_Familia],0))="Sim","Conforme","Lacuna"),G2042)))),G2042))</f>
        <v>Não aplicável</v>
      </c>
      <c r="I2042" s="33" t="str">
        <f t="shared" si="31"/>
        <v>Não aplicável</v>
      </c>
      <c r="J2042" s="26"/>
    </row>
    <row r="2043" spans="1:10" ht="16.05" customHeight="1" x14ac:dyDescent="0.3">
      <c r="A2043" s="26" t="s">
        <v>825</v>
      </c>
      <c r="B2043" s="26" t="s">
        <v>1268</v>
      </c>
      <c r="C2043" s="33" t="str">
        <f>IFERROR(INDEX(tbl_requisitos_emb[Tema],MATCH(B2043,tbl_requisitos_emb[ID_Req],0)),"")</f>
        <v>Dispositivos de segurança</v>
      </c>
      <c r="D2043" s="33" t="str">
        <f>IFERROR(INDEX(tbl_recyclass[Segmento],MATCH(A2043,tbl_recyclass[ProductId],0)),"")</f>
        <v>Cosmética e higiene pessoal</v>
      </c>
      <c r="E2043" s="26" t="s">
        <v>904</v>
      </c>
      <c r="F2043" s="26" t="s">
        <v>1451</v>
      </c>
      <c r="G2043" s="26" t="s">
        <v>1143</v>
      </c>
      <c r="H2043" s="33" t="str">
        <f>IF(E2043="Não","Não aplicável",IFERROR(IF(B2043="EU-ENV-002",IF(INDEX(tbl_recyclass[Conforme_PPWR_2030],MATCH(A2043,tbl_recyclass[ProductId],0))="Sim","Conforme (autoavaliação)",IF(INDEX(tbl_recyclass[Conforme_PPWR_2030],MATCH(A2043,tbl_recyclass[ProductId],0))="Não","Não conforme em 2030","Isento até 2035")),IF(B2043="EU-ENV-003",IF(INDEX(tbl_recyclass[Conforme_Art7_2030],MATCH(A2043,tbl_recyclass[ProductId],0))="Sim","Conforme (meta 2030)",IF(INDEX(tbl_recyclass[Conforme_Art7_2030],MATCH(A2043,tbl_recyclass[ProductId],0))="Não","Lacuna face à meta 2030","Isento")),IF(B2043="EU-ENV-011",IF(INDEX(tbl_familias_ppwr[Metais_Pesados_Evidencia],MATCH(INDEX(tbl_recyclass[Familia_PPWR],MATCH(A2043,tbl_recyclass[ProductId],0)),tbl_familias_ppwr[ID_Familia],0))="Em falta","Lacuna","Conforme"),IF(B2043="EU-ENV-013",IF(INDEX(tbl_familias_ppwr[Declaracao_UE],MATCH(INDEX(tbl_recyclass[Familia_PPWR],MATCH(A2043,tbl_recyclass[ProductId],0)),tbl_familias_ppwr[ID_Familia],0))="Sim","Conforme","Lacuna"),G2043)))),G2043))</f>
        <v>Não aplicável</v>
      </c>
      <c r="I2043" s="33" t="str">
        <f t="shared" si="31"/>
        <v>Não aplicável</v>
      </c>
      <c r="J2043" s="26"/>
    </row>
    <row r="2044" spans="1:10" ht="16.05" customHeight="1" x14ac:dyDescent="0.3">
      <c r="A2044" s="26" t="s">
        <v>825</v>
      </c>
      <c r="B2044" s="26" t="s">
        <v>1285</v>
      </c>
      <c r="C2044" s="33" t="str">
        <f>IFERROR(INDEX(tbl_requisitos_emb[Tema],MATCH(B2044,tbl_requisitos_emb[ID_Req],0)),"")</f>
        <v>Materiais plásticos de acondicionamento primário</v>
      </c>
      <c r="D2044" s="33" t="str">
        <f>IFERROR(INDEX(tbl_recyclass[Segmento],MATCH(A2044,tbl_recyclass[ProductId],0)),"")</f>
        <v>Cosmética e higiene pessoal</v>
      </c>
      <c r="E2044" s="26" t="s">
        <v>904</v>
      </c>
      <c r="F2044" s="26" t="s">
        <v>1451</v>
      </c>
      <c r="G2044" s="26" t="s">
        <v>1143</v>
      </c>
      <c r="H2044" s="33" t="str">
        <f>IF(E2044="Não","Não aplicável",IFERROR(IF(B2044="EU-ENV-002",IF(INDEX(tbl_recyclass[Conforme_PPWR_2030],MATCH(A2044,tbl_recyclass[ProductId],0))="Sim","Conforme (autoavaliação)",IF(INDEX(tbl_recyclass[Conforme_PPWR_2030],MATCH(A2044,tbl_recyclass[ProductId],0))="Não","Não conforme em 2030","Isento até 2035")),IF(B2044="EU-ENV-003",IF(INDEX(tbl_recyclass[Conforme_Art7_2030],MATCH(A2044,tbl_recyclass[ProductId],0))="Sim","Conforme (meta 2030)",IF(INDEX(tbl_recyclass[Conforme_Art7_2030],MATCH(A2044,tbl_recyclass[ProductId],0))="Não","Lacuna face à meta 2030","Isento")),IF(B2044="EU-ENV-011",IF(INDEX(tbl_familias_ppwr[Metais_Pesados_Evidencia],MATCH(INDEX(tbl_recyclass[Familia_PPWR],MATCH(A2044,tbl_recyclass[ProductId],0)),tbl_familias_ppwr[ID_Familia],0))="Em falta","Lacuna","Conforme"),IF(B2044="EU-ENV-013",IF(INDEX(tbl_familias_ppwr[Declaracao_UE],MATCH(INDEX(tbl_recyclass[Familia_PPWR],MATCH(A2044,tbl_recyclass[ProductId],0)),tbl_familias_ppwr[ID_Familia],0))="Sim","Conforme","Lacuna"),G2044)))),G2044))</f>
        <v>Não aplicável</v>
      </c>
      <c r="I2044" s="33" t="str">
        <f t="shared" si="31"/>
        <v>Não aplicável</v>
      </c>
      <c r="J2044" s="26"/>
    </row>
    <row r="2045" spans="1:10" ht="16.05" customHeight="1" x14ac:dyDescent="0.3">
      <c r="A2045" s="26" t="s">
        <v>825</v>
      </c>
      <c r="B2045" s="26" t="s">
        <v>1293</v>
      </c>
      <c r="C2045" s="33" t="str">
        <f>IFERROR(INDEX(tbl_requisitos_emb[Tema],MATCH(B2045,tbl_requisitos_emb[ID_Req],0)),"")</f>
        <v>Isenções PPWR</v>
      </c>
      <c r="D2045" s="33" t="str">
        <f>IFERROR(INDEX(tbl_recyclass[Segmento],MATCH(A2045,tbl_recyclass[ProductId],0)),"")</f>
        <v>Cosmética e higiene pessoal</v>
      </c>
      <c r="E2045" s="26" t="s">
        <v>904</v>
      </c>
      <c r="F2045" s="26" t="s">
        <v>1451</v>
      </c>
      <c r="G2045" s="26" t="s">
        <v>1143</v>
      </c>
      <c r="H2045" s="33" t="str">
        <f>IF(E2045="Não","Não aplicável",IFERROR(IF(B2045="EU-ENV-002",IF(INDEX(tbl_recyclass[Conforme_PPWR_2030],MATCH(A2045,tbl_recyclass[ProductId],0))="Sim","Conforme (autoavaliação)",IF(INDEX(tbl_recyclass[Conforme_PPWR_2030],MATCH(A2045,tbl_recyclass[ProductId],0))="Não","Não conforme em 2030","Isento até 2035")),IF(B2045="EU-ENV-003",IF(INDEX(tbl_recyclass[Conforme_Art7_2030],MATCH(A2045,tbl_recyclass[ProductId],0))="Sim","Conforme (meta 2030)",IF(INDEX(tbl_recyclass[Conforme_Art7_2030],MATCH(A2045,tbl_recyclass[ProductId],0))="Não","Lacuna face à meta 2030","Isento")),IF(B2045="EU-ENV-011",IF(INDEX(tbl_familias_ppwr[Metais_Pesados_Evidencia],MATCH(INDEX(tbl_recyclass[Familia_PPWR],MATCH(A2045,tbl_recyclass[ProductId],0)),tbl_familias_ppwr[ID_Familia],0))="Em falta","Lacuna","Conforme"),IF(B2045="EU-ENV-013",IF(INDEX(tbl_familias_ppwr[Declaracao_UE],MATCH(INDEX(tbl_recyclass[Familia_PPWR],MATCH(A2045,tbl_recyclass[ProductId],0)),tbl_familias_ppwr[ID_Familia],0))="Sim","Conforme","Lacuna"),G2045)))),G2045))</f>
        <v>Não aplicável</v>
      </c>
      <c r="I2045" s="33" t="str">
        <f t="shared" si="31"/>
        <v>Não aplicável</v>
      </c>
      <c r="J2045" s="26"/>
    </row>
    <row r="2046" spans="1:10" ht="16.05" customHeight="1" x14ac:dyDescent="0.3">
      <c r="A2046" s="26" t="s">
        <v>825</v>
      </c>
      <c r="B2046" s="26" t="s">
        <v>1357</v>
      </c>
      <c r="C2046" s="33" t="str">
        <f>IFERROR(INDEX(tbl_requisitos_emb[Tema],MATCH(B2046,tbl_requisitos_emb[ID_Req],0)),"")</f>
        <v>Identificação de plásticos</v>
      </c>
      <c r="D2046" s="33" t="str">
        <f>IFERROR(INDEX(tbl_recyclass[Segmento],MATCH(A2046,tbl_recyclass[ProductId],0)),"")</f>
        <v>Cosmética e higiene pessoal</v>
      </c>
      <c r="E2046" s="26" t="s">
        <v>901</v>
      </c>
      <c r="F2046" s="26" t="s">
        <v>1449</v>
      </c>
      <c r="G2046" s="26" t="s">
        <v>978</v>
      </c>
      <c r="H2046" s="33" t="str">
        <f>IF(E2046="Não","Não aplicável",IFERROR(IF(B2046="EU-ENV-002",IF(INDEX(tbl_recyclass[Conforme_PPWR_2030],MATCH(A2046,tbl_recyclass[ProductId],0))="Sim","Conforme (autoavaliação)",IF(INDEX(tbl_recyclass[Conforme_PPWR_2030],MATCH(A2046,tbl_recyclass[ProductId],0))="Não","Não conforme em 2030","Isento até 2035")),IF(B2046="EU-ENV-003",IF(INDEX(tbl_recyclass[Conforme_Art7_2030],MATCH(A2046,tbl_recyclass[ProductId],0))="Sim","Conforme (meta 2030)",IF(INDEX(tbl_recyclass[Conforme_Art7_2030],MATCH(A2046,tbl_recyclass[ProductId],0))="Não","Lacuna face à meta 2030","Isento")),IF(B2046="EU-ENV-011",IF(INDEX(tbl_familias_ppwr[Metais_Pesados_Evidencia],MATCH(INDEX(tbl_recyclass[Familia_PPWR],MATCH(A2046,tbl_recyclass[ProductId],0)),tbl_familias_ppwr[ID_Familia],0))="Em falta","Lacuna","Conforme"),IF(B2046="EU-ENV-013",IF(INDEX(tbl_familias_ppwr[Declaracao_UE],MATCH(INDEX(tbl_recyclass[Familia_PPWR],MATCH(A2046,tbl_recyclass[ProductId],0)),tbl_familias_ppwr[ID_Familia],0))="Sim","Conforme","Lacuna"),G2046)))),G2046))</f>
        <v>Parcial</v>
      </c>
      <c r="I2046" s="33" t="str">
        <f t="shared" si="31"/>
        <v>Parcial</v>
      </c>
      <c r="J2046" s="26" t="s">
        <v>1362</v>
      </c>
    </row>
    <row r="2047" spans="1:10" ht="16.05" customHeight="1" x14ac:dyDescent="0.3">
      <c r="A2047" s="26" t="s">
        <v>825</v>
      </c>
      <c r="B2047" s="26" t="s">
        <v>1385</v>
      </c>
      <c r="C2047" s="33" t="str">
        <f>IFERROR(INDEX(tbl_requisitos_emb[Tema],MATCH(B2047,tbl_requisitos_emb[ID_Req],0)),"")</f>
        <v>Reciclabilidade (voluntária)</v>
      </c>
      <c r="D2047" s="33" t="str">
        <f>IFERROR(INDEX(tbl_recyclass[Segmento],MATCH(A2047,tbl_recyclass[ProductId],0)),"")</f>
        <v>Cosmética e higiene pessoal</v>
      </c>
      <c r="E2047" s="26" t="s">
        <v>901</v>
      </c>
      <c r="F2047" s="26" t="s">
        <v>1449</v>
      </c>
      <c r="G2047" s="26" t="s">
        <v>978</v>
      </c>
      <c r="H2047" s="33" t="str">
        <f>IF(E2047="Não","Não aplicável",IFERROR(IF(B2047="EU-ENV-002",IF(INDEX(tbl_recyclass[Conforme_PPWR_2030],MATCH(A2047,tbl_recyclass[ProductId],0))="Sim","Conforme (autoavaliação)",IF(INDEX(tbl_recyclass[Conforme_PPWR_2030],MATCH(A2047,tbl_recyclass[ProductId],0))="Não","Não conforme em 2030","Isento até 2035")),IF(B2047="EU-ENV-003",IF(INDEX(tbl_recyclass[Conforme_Art7_2030],MATCH(A2047,tbl_recyclass[ProductId],0))="Sim","Conforme (meta 2030)",IF(INDEX(tbl_recyclass[Conforme_Art7_2030],MATCH(A2047,tbl_recyclass[ProductId],0))="Não","Lacuna face à meta 2030","Isento")),IF(B2047="EU-ENV-011",IF(INDEX(tbl_familias_ppwr[Metais_Pesados_Evidencia],MATCH(INDEX(tbl_recyclass[Familia_PPWR],MATCH(A2047,tbl_recyclass[ProductId],0)),tbl_familias_ppwr[ID_Familia],0))="Em falta","Lacuna","Conforme"),IF(B2047="EU-ENV-013",IF(INDEX(tbl_familias_ppwr[Declaracao_UE],MATCH(INDEX(tbl_recyclass[Familia_PPWR],MATCH(A2047,tbl_recyclass[ProductId],0)),tbl_familias_ppwr[ID_Familia],0))="Sim","Conforme","Lacuna"),G2047)))),G2047))</f>
        <v>Parcial</v>
      </c>
      <c r="I2047" s="33" t="str">
        <f t="shared" si="31"/>
        <v>Parcial</v>
      </c>
      <c r="J2047" s="26" t="s">
        <v>1389</v>
      </c>
    </row>
    <row r="2048" spans="1:10" ht="16.05" customHeight="1" x14ac:dyDescent="0.3">
      <c r="A2048" s="26" t="s">
        <v>827</v>
      </c>
      <c r="B2048" s="26" t="s">
        <v>984</v>
      </c>
      <c r="C2048" s="33" t="str">
        <f>IFERROR(INDEX(tbl_requisitos_emb[Tema],MATCH(B2048,tbl_requisitos_emb[ID_Req],0)),"")</f>
        <v>Conceção para reciclagem</v>
      </c>
      <c r="D2048" s="33" t="str">
        <f>IFERROR(INDEX(tbl_recyclass[Segmento],MATCH(A2048,tbl_recyclass[ProductId],0)),"")</f>
        <v>Cosmética e higiene pessoal</v>
      </c>
      <c r="E2048" s="26" t="s">
        <v>901</v>
      </c>
      <c r="F2048" s="26" t="s">
        <v>1449</v>
      </c>
      <c r="G2048" s="26" t="s">
        <v>978</v>
      </c>
      <c r="H2048" s="33" t="str">
        <f>IF(E2048="Não","Não aplicável",IFERROR(IF(B2048="EU-ENV-002",IF(INDEX(tbl_recyclass[Conforme_PPWR_2030],MATCH(A2048,tbl_recyclass[ProductId],0))="Sim","Conforme (autoavaliação)",IF(INDEX(tbl_recyclass[Conforme_PPWR_2030],MATCH(A2048,tbl_recyclass[ProductId],0))="Não","Não conforme em 2030","Isento até 2035")),IF(B2048="EU-ENV-003",IF(INDEX(tbl_recyclass[Conforme_Art7_2030],MATCH(A2048,tbl_recyclass[ProductId],0))="Sim","Conforme (meta 2030)",IF(INDEX(tbl_recyclass[Conforme_Art7_2030],MATCH(A2048,tbl_recyclass[ProductId],0))="Não","Lacuna face à meta 2030","Isento")),IF(B2048="EU-ENV-011",IF(INDEX(tbl_familias_ppwr[Metais_Pesados_Evidencia],MATCH(INDEX(tbl_recyclass[Familia_PPWR],MATCH(A2048,tbl_recyclass[ProductId],0)),tbl_familias_ppwr[ID_Familia],0))="Em falta","Lacuna","Conforme"),IF(B2048="EU-ENV-013",IF(INDEX(tbl_familias_ppwr[Declaracao_UE],MATCH(INDEX(tbl_recyclass[Familia_PPWR],MATCH(A2048,tbl_recyclass[ProductId],0)),tbl_familias_ppwr[ID_Familia],0))="Sim","Conforme","Lacuna"),G2048)))),G2048))</f>
        <v>Conforme (autoavaliação)</v>
      </c>
      <c r="I2048" s="33" t="str">
        <f t="shared" si="31"/>
        <v>Conforme</v>
      </c>
      <c r="J2048" s="26" t="s">
        <v>991</v>
      </c>
    </row>
    <row r="2049" spans="1:10" ht="16.05" customHeight="1" x14ac:dyDescent="0.3">
      <c r="A2049" s="26" t="s">
        <v>827</v>
      </c>
      <c r="B2049" s="26" t="s">
        <v>997</v>
      </c>
      <c r="C2049" s="33" t="str">
        <f>IFERROR(INDEX(tbl_requisitos_emb[Tema],MATCH(B2049,tbl_requisitos_emb[ID_Req],0)),"")</f>
        <v>Conteúdo reciclado</v>
      </c>
      <c r="D2049" s="33" t="str">
        <f>IFERROR(INDEX(tbl_recyclass[Segmento],MATCH(A2049,tbl_recyclass[ProductId],0)),"")</f>
        <v>Cosmética e higiene pessoal</v>
      </c>
      <c r="E2049" s="26" t="s">
        <v>901</v>
      </c>
      <c r="F2049" s="26" t="s">
        <v>1449</v>
      </c>
      <c r="G2049" s="26" t="s">
        <v>978</v>
      </c>
      <c r="H2049" s="33" t="str">
        <f>IF(E2049="Não","Não aplicável",IFERROR(IF(B2049="EU-ENV-002",IF(INDEX(tbl_recyclass[Conforme_PPWR_2030],MATCH(A2049,tbl_recyclass[ProductId],0))="Sim","Conforme (autoavaliação)",IF(INDEX(tbl_recyclass[Conforme_PPWR_2030],MATCH(A2049,tbl_recyclass[ProductId],0))="Não","Não conforme em 2030","Isento até 2035")),IF(B2049="EU-ENV-003",IF(INDEX(tbl_recyclass[Conforme_Art7_2030],MATCH(A2049,tbl_recyclass[ProductId],0))="Sim","Conforme (meta 2030)",IF(INDEX(tbl_recyclass[Conforme_Art7_2030],MATCH(A2049,tbl_recyclass[ProductId],0))="Não","Lacuna face à meta 2030","Isento")),IF(B2049="EU-ENV-011",IF(INDEX(tbl_familias_ppwr[Metais_Pesados_Evidencia],MATCH(INDEX(tbl_recyclass[Familia_PPWR],MATCH(A2049,tbl_recyclass[ProductId],0)),tbl_familias_ppwr[ID_Familia],0))="Em falta","Lacuna","Conforme"),IF(B2049="EU-ENV-013",IF(INDEX(tbl_familias_ppwr[Declaracao_UE],MATCH(INDEX(tbl_recyclass[Familia_PPWR],MATCH(A2049,tbl_recyclass[ProductId],0)),tbl_familias_ppwr[ID_Familia],0))="Sim","Conforme","Lacuna"),G2049)))),G2049))</f>
        <v>Lacuna face à meta 2030</v>
      </c>
      <c r="I2049" s="33" t="str">
        <f t="shared" si="31"/>
        <v>Lacuna</v>
      </c>
      <c r="J2049" s="26" t="s">
        <v>1001</v>
      </c>
    </row>
    <row r="2050" spans="1:10" ht="16.05" customHeight="1" x14ac:dyDescent="0.3">
      <c r="A2050" s="26" t="s">
        <v>827</v>
      </c>
      <c r="B2050" s="26" t="s">
        <v>1007</v>
      </c>
      <c r="C2050" s="33" t="str">
        <f>IFERROR(INDEX(tbl_requisitos_emb[Tema],MATCH(B2050,tbl_requisitos_emb[ID_Req],0)),"")</f>
        <v>Minimização</v>
      </c>
      <c r="D2050" s="33" t="str">
        <f>IFERROR(INDEX(tbl_recyclass[Segmento],MATCH(A2050,tbl_recyclass[ProductId],0)),"")</f>
        <v>Cosmética e higiene pessoal</v>
      </c>
      <c r="E2050" s="26" t="s">
        <v>901</v>
      </c>
      <c r="F2050" s="26" t="s">
        <v>1449</v>
      </c>
      <c r="G2050" s="26" t="s">
        <v>978</v>
      </c>
      <c r="H2050" s="33" t="str">
        <f>IF(E2050="Não","Não aplicável",IFERROR(IF(B2050="EU-ENV-002",IF(INDEX(tbl_recyclass[Conforme_PPWR_2030],MATCH(A2050,tbl_recyclass[ProductId],0))="Sim","Conforme (autoavaliação)",IF(INDEX(tbl_recyclass[Conforme_PPWR_2030],MATCH(A2050,tbl_recyclass[ProductId],0))="Não","Não conforme em 2030","Isento até 2035")),IF(B2050="EU-ENV-003",IF(INDEX(tbl_recyclass[Conforme_Art7_2030],MATCH(A2050,tbl_recyclass[ProductId],0))="Sim","Conforme (meta 2030)",IF(INDEX(tbl_recyclass[Conforme_Art7_2030],MATCH(A2050,tbl_recyclass[ProductId],0))="Não","Lacuna face à meta 2030","Isento")),IF(B2050="EU-ENV-011",IF(INDEX(tbl_familias_ppwr[Metais_Pesados_Evidencia],MATCH(INDEX(tbl_recyclass[Familia_PPWR],MATCH(A2050,tbl_recyclass[ProductId],0)),tbl_familias_ppwr[ID_Familia],0))="Em falta","Lacuna","Conforme"),IF(B2050="EU-ENV-013",IF(INDEX(tbl_familias_ppwr[Declaracao_UE],MATCH(INDEX(tbl_recyclass[Familia_PPWR],MATCH(A2050,tbl_recyclass[ProductId],0)),tbl_familias_ppwr[ID_Familia],0))="Sim","Conforme","Lacuna"),G2050)))),G2050))</f>
        <v>Parcial</v>
      </c>
      <c r="I2050" s="33" t="str">
        <f t="shared" ref="I2050:I2113" si="32">IF(ISNUMBER(SEARCH("Não aplicável",H2050)),"Não aplicável",IF(ISNUMBER(SEARCH("Isento",H2050)),"Isento",IF(ISNUMBER(SEARCH("Não conforme",H2050)),"Não conforme",IF(ISNUMBER(SEARCH("Lacuna",H2050)),"Lacuna",IF(ISNUMBER(SEARCH("Conforme",H2050)),"Conforme",H2050)))))</f>
        <v>Parcial</v>
      </c>
      <c r="J2050" s="26" t="s">
        <v>1012</v>
      </c>
    </row>
    <row r="2051" spans="1:10" ht="16.05" customHeight="1" x14ac:dyDescent="0.3">
      <c r="A2051" s="26" t="s">
        <v>827</v>
      </c>
      <c r="B2051" s="26" t="s">
        <v>1016</v>
      </c>
      <c r="C2051" s="33" t="str">
        <f>IFERROR(INDEX(tbl_requisitos_emb[Tema],MATCH(B2051,tbl_requisitos_emb[ID_Req],0)),"")</f>
        <v>Rotulagem</v>
      </c>
      <c r="D2051" s="33" t="str">
        <f>IFERROR(INDEX(tbl_recyclass[Segmento],MATCH(A2051,tbl_recyclass[ProductId],0)),"")</f>
        <v>Cosmética e higiene pessoal</v>
      </c>
      <c r="E2051" s="26" t="s">
        <v>901</v>
      </c>
      <c r="F2051" s="26" t="s">
        <v>1449</v>
      </c>
      <c r="G2051" s="26" t="s">
        <v>990</v>
      </c>
      <c r="H2051" s="33" t="str">
        <f>IF(E2051="Não","Não aplicável",IFERROR(IF(B2051="EU-ENV-002",IF(INDEX(tbl_recyclass[Conforme_PPWR_2030],MATCH(A2051,tbl_recyclass[ProductId],0))="Sim","Conforme (autoavaliação)",IF(INDEX(tbl_recyclass[Conforme_PPWR_2030],MATCH(A2051,tbl_recyclass[ProductId],0))="Não","Não conforme em 2030","Isento até 2035")),IF(B2051="EU-ENV-003",IF(INDEX(tbl_recyclass[Conforme_Art7_2030],MATCH(A2051,tbl_recyclass[ProductId],0))="Sim","Conforme (meta 2030)",IF(INDEX(tbl_recyclass[Conforme_Art7_2030],MATCH(A2051,tbl_recyclass[ProductId],0))="Não","Lacuna face à meta 2030","Isento")),IF(B2051="EU-ENV-011",IF(INDEX(tbl_familias_ppwr[Metais_Pesados_Evidencia],MATCH(INDEX(tbl_recyclass[Familia_PPWR],MATCH(A2051,tbl_recyclass[ProductId],0)),tbl_familias_ppwr[ID_Familia],0))="Em falta","Lacuna","Conforme"),IF(B2051="EU-ENV-013",IF(INDEX(tbl_familias_ppwr[Declaracao_UE],MATCH(INDEX(tbl_recyclass[Familia_PPWR],MATCH(A2051,tbl_recyclass[ProductId],0)),tbl_familias_ppwr[ID_Familia],0))="Sim","Conforme","Lacuna"),G2051)))),G2051))</f>
        <v>Futuro</v>
      </c>
      <c r="I2051" s="33" t="str">
        <f t="shared" si="32"/>
        <v>Futuro</v>
      </c>
      <c r="J2051" s="26" t="s">
        <v>1021</v>
      </c>
    </row>
    <row r="2052" spans="1:10" ht="16.05" customHeight="1" x14ac:dyDescent="0.3">
      <c r="A2052" s="26" t="s">
        <v>827</v>
      </c>
      <c r="B2052" s="26" t="s">
        <v>1038</v>
      </c>
      <c r="C2052" s="33" t="str">
        <f>IFERROR(INDEX(tbl_requisitos_emb[Tema],MATCH(B2052,tbl_requisitos_emb[ID_Req],0)),"")</f>
        <v>Plásticos de utilização única</v>
      </c>
      <c r="D2052" s="33" t="str">
        <f>IFERROR(INDEX(tbl_recyclass[Segmento],MATCH(A2052,tbl_recyclass[ProductId],0)),"")</f>
        <v>Cosmética e higiene pessoal</v>
      </c>
      <c r="E2052" s="26" t="s">
        <v>904</v>
      </c>
      <c r="F2052" s="26" t="s">
        <v>1450</v>
      </c>
      <c r="G2052" s="26" t="s">
        <v>1143</v>
      </c>
      <c r="H2052" s="33" t="str">
        <f>IF(E2052="Não","Não aplicável",IFERROR(IF(B2052="EU-ENV-002",IF(INDEX(tbl_recyclass[Conforme_PPWR_2030],MATCH(A2052,tbl_recyclass[ProductId],0))="Sim","Conforme (autoavaliação)",IF(INDEX(tbl_recyclass[Conforme_PPWR_2030],MATCH(A2052,tbl_recyclass[ProductId],0))="Não","Não conforme em 2030","Isento até 2035")),IF(B2052="EU-ENV-003",IF(INDEX(tbl_recyclass[Conforme_Art7_2030],MATCH(A2052,tbl_recyclass[ProductId],0))="Sim","Conforme (meta 2030)",IF(INDEX(tbl_recyclass[Conforme_Art7_2030],MATCH(A2052,tbl_recyclass[ProductId],0))="Não","Lacuna face à meta 2030","Isento")),IF(B2052="EU-ENV-011",IF(INDEX(tbl_familias_ppwr[Metais_Pesados_Evidencia],MATCH(INDEX(tbl_recyclass[Familia_PPWR],MATCH(A2052,tbl_recyclass[ProductId],0)),tbl_familias_ppwr[ID_Familia],0))="Em falta","Lacuna","Conforme"),IF(B2052="EU-ENV-013",IF(INDEX(tbl_familias_ppwr[Declaracao_UE],MATCH(INDEX(tbl_recyclass[Familia_PPWR],MATCH(A2052,tbl_recyclass[ProductId],0)),tbl_familias_ppwr[ID_Familia],0))="Sim","Conforme","Lacuna"),G2052)))),G2052))</f>
        <v>Não aplicável</v>
      </c>
      <c r="I2052" s="33" t="str">
        <f t="shared" si="32"/>
        <v>Não aplicável</v>
      </c>
      <c r="J2052" s="26"/>
    </row>
    <row r="2053" spans="1:10" ht="16.05" customHeight="1" x14ac:dyDescent="0.3">
      <c r="A2053" s="26" t="s">
        <v>827</v>
      </c>
      <c r="B2053" s="26" t="s">
        <v>1078</v>
      </c>
      <c r="C2053" s="33" t="str">
        <f>IFERROR(INDEX(tbl_requisitos_emb[Tema],MATCH(B2053,tbl_requisitos_emb[ID_Req],0)),"")</f>
        <v>Reciclado à escala</v>
      </c>
      <c r="D2053" s="33" t="str">
        <f>IFERROR(INDEX(tbl_recyclass[Segmento],MATCH(A2053,tbl_recyclass[ProductId],0)),"")</f>
        <v>Cosmética e higiene pessoal</v>
      </c>
      <c r="E2053" s="26" t="s">
        <v>901</v>
      </c>
      <c r="F2053" s="26" t="s">
        <v>1449</v>
      </c>
      <c r="G2053" s="26" t="s">
        <v>990</v>
      </c>
      <c r="H2053" s="33" t="str">
        <f>IF(E2053="Não","Não aplicável",IFERROR(IF(B2053="EU-ENV-002",IF(INDEX(tbl_recyclass[Conforme_PPWR_2030],MATCH(A2053,tbl_recyclass[ProductId],0))="Sim","Conforme (autoavaliação)",IF(INDEX(tbl_recyclass[Conforme_PPWR_2030],MATCH(A2053,tbl_recyclass[ProductId],0))="Não","Não conforme em 2030","Isento até 2035")),IF(B2053="EU-ENV-003",IF(INDEX(tbl_recyclass[Conforme_Art7_2030],MATCH(A2053,tbl_recyclass[ProductId],0))="Sim","Conforme (meta 2030)",IF(INDEX(tbl_recyclass[Conforme_Art7_2030],MATCH(A2053,tbl_recyclass[ProductId],0))="Não","Lacuna face à meta 2030","Isento")),IF(B2053="EU-ENV-011",IF(INDEX(tbl_familias_ppwr[Metais_Pesados_Evidencia],MATCH(INDEX(tbl_recyclass[Familia_PPWR],MATCH(A2053,tbl_recyclass[ProductId],0)),tbl_familias_ppwr[ID_Familia],0))="Em falta","Lacuna","Conforme"),IF(B2053="EU-ENV-013",IF(INDEX(tbl_familias_ppwr[Declaracao_UE],MATCH(INDEX(tbl_recyclass[Familia_PPWR],MATCH(A2053,tbl_recyclass[ProductId],0)),tbl_familias_ppwr[ID_Familia],0))="Sim","Conforme","Lacuna"),G2053)))),G2053))</f>
        <v>Futuro</v>
      </c>
      <c r="I2053" s="33" t="str">
        <f t="shared" si="32"/>
        <v>Futuro</v>
      </c>
      <c r="J2053" s="26" t="s">
        <v>1082</v>
      </c>
    </row>
    <row r="2054" spans="1:10" ht="16.05" customHeight="1" x14ac:dyDescent="0.3">
      <c r="A2054" s="26" t="s">
        <v>827</v>
      </c>
      <c r="B2054" s="26" t="s">
        <v>1086</v>
      </c>
      <c r="C2054" s="33" t="str">
        <f>IFERROR(INDEX(tbl_requisitos_emb[Tema],MATCH(B2054,tbl_requisitos_emb[ID_Req],0)),"")</f>
        <v>Metais pesados</v>
      </c>
      <c r="D2054" s="33" t="str">
        <f>IFERROR(INDEX(tbl_recyclass[Segmento],MATCH(A2054,tbl_recyclass[ProductId],0)),"")</f>
        <v>Cosmética e higiene pessoal</v>
      </c>
      <c r="E2054" s="26" t="s">
        <v>901</v>
      </c>
      <c r="F2054" s="26" t="s">
        <v>1449</v>
      </c>
      <c r="G2054" s="26" t="s">
        <v>978</v>
      </c>
      <c r="H2054" s="33" t="str">
        <f>IF(E2054="Não","Não aplicável",IFERROR(IF(B2054="EU-ENV-002",IF(INDEX(tbl_recyclass[Conforme_PPWR_2030],MATCH(A2054,tbl_recyclass[ProductId],0))="Sim","Conforme (autoavaliação)",IF(INDEX(tbl_recyclass[Conforme_PPWR_2030],MATCH(A2054,tbl_recyclass[ProductId],0))="Não","Não conforme em 2030","Isento até 2035")),IF(B2054="EU-ENV-003",IF(INDEX(tbl_recyclass[Conforme_Art7_2030],MATCH(A2054,tbl_recyclass[ProductId],0))="Sim","Conforme (meta 2030)",IF(INDEX(tbl_recyclass[Conforme_Art7_2030],MATCH(A2054,tbl_recyclass[ProductId],0))="Não","Lacuna face à meta 2030","Isento")),IF(B2054="EU-ENV-011",IF(INDEX(tbl_familias_ppwr[Metais_Pesados_Evidencia],MATCH(INDEX(tbl_recyclass[Familia_PPWR],MATCH(A2054,tbl_recyclass[ProductId],0)),tbl_familias_ppwr[ID_Familia],0))="Em falta","Lacuna","Conforme"),IF(B2054="EU-ENV-013",IF(INDEX(tbl_familias_ppwr[Declaracao_UE],MATCH(INDEX(tbl_recyclass[Familia_PPWR],MATCH(A2054,tbl_recyclass[ProductId],0)),tbl_familias_ppwr[ID_Familia],0))="Sim","Conforme","Lacuna"),G2054)))),G2054))</f>
        <v>Conforme</v>
      </c>
      <c r="I2054" s="33" t="str">
        <f t="shared" si="32"/>
        <v>Conforme</v>
      </c>
      <c r="J2054" s="26" t="s">
        <v>1090</v>
      </c>
    </row>
    <row r="2055" spans="1:10" ht="16.05" customHeight="1" x14ac:dyDescent="0.3">
      <c r="A2055" s="26" t="s">
        <v>827</v>
      </c>
      <c r="B2055" s="26" t="s">
        <v>1094</v>
      </c>
      <c r="C2055" s="33" t="str">
        <f>IFERROR(INDEX(tbl_requisitos_emb[Tema],MATCH(B2055,tbl_requisitos_emb[ID_Req],0)),"")</f>
        <v>PFAS</v>
      </c>
      <c r="D2055" s="33" t="str">
        <f>IFERROR(INDEX(tbl_recyclass[Segmento],MATCH(A2055,tbl_recyclass[ProductId],0)),"")</f>
        <v>Cosmética e higiene pessoal</v>
      </c>
      <c r="E2055" s="26" t="s">
        <v>904</v>
      </c>
      <c r="F2055" s="26" t="s">
        <v>1450</v>
      </c>
      <c r="G2055" s="26" t="s">
        <v>1143</v>
      </c>
      <c r="H2055" s="33" t="str">
        <f>IF(E2055="Não","Não aplicável",IFERROR(IF(B2055="EU-ENV-002",IF(INDEX(tbl_recyclass[Conforme_PPWR_2030],MATCH(A2055,tbl_recyclass[ProductId],0))="Sim","Conforme (autoavaliação)",IF(INDEX(tbl_recyclass[Conforme_PPWR_2030],MATCH(A2055,tbl_recyclass[ProductId],0))="Não","Não conforme em 2030","Isento até 2035")),IF(B2055="EU-ENV-003",IF(INDEX(tbl_recyclass[Conforme_Art7_2030],MATCH(A2055,tbl_recyclass[ProductId],0))="Sim","Conforme (meta 2030)",IF(INDEX(tbl_recyclass[Conforme_Art7_2030],MATCH(A2055,tbl_recyclass[ProductId],0))="Não","Lacuna face à meta 2030","Isento")),IF(B2055="EU-ENV-011",IF(INDEX(tbl_familias_ppwr[Metais_Pesados_Evidencia],MATCH(INDEX(tbl_recyclass[Familia_PPWR],MATCH(A2055,tbl_recyclass[ProductId],0)),tbl_familias_ppwr[ID_Familia],0))="Em falta","Lacuna","Conforme"),IF(B2055="EU-ENV-013",IF(INDEX(tbl_familias_ppwr[Declaracao_UE],MATCH(INDEX(tbl_recyclass[Familia_PPWR],MATCH(A2055,tbl_recyclass[ProductId],0)),tbl_familias_ppwr[ID_Familia],0))="Sim","Conforme","Lacuna"),G2055)))),G2055))</f>
        <v>Não aplicável</v>
      </c>
      <c r="I2055" s="33" t="str">
        <f t="shared" si="32"/>
        <v>Não aplicável</v>
      </c>
      <c r="J2055" s="26"/>
    </row>
    <row r="2056" spans="1:10" ht="16.05" customHeight="1" x14ac:dyDescent="0.3">
      <c r="A2056" s="26" t="s">
        <v>827</v>
      </c>
      <c r="B2056" s="26" t="s">
        <v>1102</v>
      </c>
      <c r="C2056" s="33" t="str">
        <f>IFERROR(INDEX(tbl_requisitos_emb[Tema],MATCH(B2056,tbl_requisitos_emb[ID_Req],0)),"")</f>
        <v>Documentação técnica e declaração UE</v>
      </c>
      <c r="D2056" s="33" t="str">
        <f>IFERROR(INDEX(tbl_recyclass[Segmento],MATCH(A2056,tbl_recyclass[ProductId],0)),"")</f>
        <v>Cosmética e higiene pessoal</v>
      </c>
      <c r="E2056" s="26" t="s">
        <v>901</v>
      </c>
      <c r="F2056" s="26" t="s">
        <v>1449</v>
      </c>
      <c r="G2056" s="26" t="s">
        <v>978</v>
      </c>
      <c r="H2056" s="33" t="str">
        <f>IF(E2056="Não","Não aplicável",IFERROR(IF(B2056="EU-ENV-002",IF(INDEX(tbl_recyclass[Conforme_PPWR_2030],MATCH(A2056,tbl_recyclass[ProductId],0))="Sim","Conforme (autoavaliação)",IF(INDEX(tbl_recyclass[Conforme_PPWR_2030],MATCH(A2056,tbl_recyclass[ProductId],0))="Não","Não conforme em 2030","Isento até 2035")),IF(B2056="EU-ENV-003",IF(INDEX(tbl_recyclass[Conforme_Art7_2030],MATCH(A2056,tbl_recyclass[ProductId],0))="Sim","Conforme (meta 2030)",IF(INDEX(tbl_recyclass[Conforme_Art7_2030],MATCH(A2056,tbl_recyclass[ProductId],0))="Não","Lacuna face à meta 2030","Isento")),IF(B2056="EU-ENV-011",IF(INDEX(tbl_familias_ppwr[Metais_Pesados_Evidencia],MATCH(INDEX(tbl_recyclass[Familia_PPWR],MATCH(A2056,tbl_recyclass[ProductId],0)),tbl_familias_ppwr[ID_Familia],0))="Em falta","Lacuna","Conforme"),IF(B2056="EU-ENV-013",IF(INDEX(tbl_familias_ppwr[Declaracao_UE],MATCH(INDEX(tbl_recyclass[Familia_PPWR],MATCH(A2056,tbl_recyclass[ProductId],0)),tbl_familias_ppwr[ID_Familia],0))="Sim","Conforme","Lacuna"),G2056)))),G2056))</f>
        <v>Conforme</v>
      </c>
      <c r="I2056" s="33" t="str">
        <f t="shared" si="32"/>
        <v>Conforme</v>
      </c>
      <c r="J2056" s="26" t="s">
        <v>1106</v>
      </c>
    </row>
    <row r="2057" spans="1:10" ht="16.05" customHeight="1" x14ac:dyDescent="0.3">
      <c r="A2057" s="26" t="s">
        <v>827</v>
      </c>
      <c r="B2057" s="26" t="s">
        <v>1161</v>
      </c>
      <c r="C2057" s="33" t="str">
        <f>IFERROR(INDEX(tbl_requisitos_emb[Tema],MATCH(B2057,tbl_requisitos_emb[ID_Req],0)),"")</f>
        <v>Materiais em contacto com alimentos</v>
      </c>
      <c r="D2057" s="33" t="str">
        <f>IFERROR(INDEX(tbl_recyclass[Segmento],MATCH(A2057,tbl_recyclass[ProductId],0)),"")</f>
        <v>Cosmética e higiene pessoal</v>
      </c>
      <c r="E2057" s="26" t="s">
        <v>904</v>
      </c>
      <c r="F2057" s="26" t="s">
        <v>1450</v>
      </c>
      <c r="G2057" s="26" t="s">
        <v>1143</v>
      </c>
      <c r="H2057" s="33" t="str">
        <f>IF(E2057="Não","Não aplicável",IFERROR(IF(B2057="EU-ENV-002",IF(INDEX(tbl_recyclass[Conforme_PPWR_2030],MATCH(A2057,tbl_recyclass[ProductId],0))="Sim","Conforme (autoavaliação)",IF(INDEX(tbl_recyclass[Conforme_PPWR_2030],MATCH(A2057,tbl_recyclass[ProductId],0))="Não","Não conforme em 2030","Isento até 2035")),IF(B2057="EU-ENV-003",IF(INDEX(tbl_recyclass[Conforme_Art7_2030],MATCH(A2057,tbl_recyclass[ProductId],0))="Sim","Conforme (meta 2030)",IF(INDEX(tbl_recyclass[Conforme_Art7_2030],MATCH(A2057,tbl_recyclass[ProductId],0))="Não","Lacuna face à meta 2030","Isento")),IF(B2057="EU-ENV-011",IF(INDEX(tbl_familias_ppwr[Metais_Pesados_Evidencia],MATCH(INDEX(tbl_recyclass[Familia_PPWR],MATCH(A2057,tbl_recyclass[ProductId],0)),tbl_familias_ppwr[ID_Familia],0))="Em falta","Lacuna","Conforme"),IF(B2057="EU-ENV-013",IF(INDEX(tbl_familias_ppwr[Declaracao_UE],MATCH(INDEX(tbl_recyclass[Familia_PPWR],MATCH(A2057,tbl_recyclass[ProductId],0)),tbl_familias_ppwr[ID_Familia],0))="Sim","Conforme","Lacuna"),G2057)))),G2057))</f>
        <v>Não aplicável</v>
      </c>
      <c r="I2057" s="33" t="str">
        <f t="shared" si="32"/>
        <v>Não aplicável</v>
      </c>
      <c r="J2057" s="26"/>
    </row>
    <row r="2058" spans="1:10" ht="16.05" customHeight="1" x14ac:dyDescent="0.3">
      <c r="A2058" s="26" t="s">
        <v>827</v>
      </c>
      <c r="B2058" s="26" t="s">
        <v>1170</v>
      </c>
      <c r="C2058" s="33" t="str">
        <f>IFERROR(INDEX(tbl_requisitos_emb[Tema],MATCH(B2058,tbl_requisitos_emb[ID_Req],0)),"")</f>
        <v>Boas práticas de fabrico FCM</v>
      </c>
      <c r="D2058" s="33" t="str">
        <f>IFERROR(INDEX(tbl_recyclass[Segmento],MATCH(A2058,tbl_recyclass[ProductId],0)),"")</f>
        <v>Cosmética e higiene pessoal</v>
      </c>
      <c r="E2058" s="26" t="s">
        <v>904</v>
      </c>
      <c r="F2058" s="26" t="s">
        <v>1450</v>
      </c>
      <c r="G2058" s="26" t="s">
        <v>1143</v>
      </c>
      <c r="H2058" s="33" t="str">
        <f>IF(E2058="Não","Não aplicável",IFERROR(IF(B2058="EU-ENV-002",IF(INDEX(tbl_recyclass[Conforme_PPWR_2030],MATCH(A2058,tbl_recyclass[ProductId],0))="Sim","Conforme (autoavaliação)",IF(INDEX(tbl_recyclass[Conforme_PPWR_2030],MATCH(A2058,tbl_recyclass[ProductId],0))="Não","Não conforme em 2030","Isento até 2035")),IF(B2058="EU-ENV-003",IF(INDEX(tbl_recyclass[Conforme_Art7_2030],MATCH(A2058,tbl_recyclass[ProductId],0))="Sim","Conforme (meta 2030)",IF(INDEX(tbl_recyclass[Conforme_Art7_2030],MATCH(A2058,tbl_recyclass[ProductId],0))="Não","Lacuna face à meta 2030","Isento")),IF(B2058="EU-ENV-011",IF(INDEX(tbl_familias_ppwr[Metais_Pesados_Evidencia],MATCH(INDEX(tbl_recyclass[Familia_PPWR],MATCH(A2058,tbl_recyclass[ProductId],0)),tbl_familias_ppwr[ID_Familia],0))="Em falta","Lacuna","Conforme"),IF(B2058="EU-ENV-013",IF(INDEX(tbl_familias_ppwr[Declaracao_UE],MATCH(INDEX(tbl_recyclass[Familia_PPWR],MATCH(A2058,tbl_recyclass[ProductId],0)),tbl_familias_ppwr[ID_Familia],0))="Sim","Conforme","Lacuna"),G2058)))),G2058))</f>
        <v>Não aplicável</v>
      </c>
      <c r="I2058" s="33" t="str">
        <f t="shared" si="32"/>
        <v>Não aplicável</v>
      </c>
      <c r="J2058" s="26"/>
    </row>
    <row r="2059" spans="1:10" ht="16.05" customHeight="1" x14ac:dyDescent="0.3">
      <c r="A2059" s="26" t="s">
        <v>827</v>
      </c>
      <c r="B2059" s="26" t="s">
        <v>1179</v>
      </c>
      <c r="C2059" s="33" t="str">
        <f>IFERROR(INDEX(tbl_requisitos_emb[Tema],MATCH(B2059,tbl_requisitos_emb[ID_Req],0)),"")</f>
        <v>Bisfenol A e bisfenóis perigosos</v>
      </c>
      <c r="D2059" s="33" t="str">
        <f>IFERROR(INDEX(tbl_recyclass[Segmento],MATCH(A2059,tbl_recyclass[ProductId],0)),"")</f>
        <v>Cosmética e higiene pessoal</v>
      </c>
      <c r="E2059" s="26" t="s">
        <v>904</v>
      </c>
      <c r="F2059" s="26" t="s">
        <v>1450</v>
      </c>
      <c r="G2059" s="26" t="s">
        <v>1143</v>
      </c>
      <c r="H2059" s="33" t="str">
        <f>IF(E2059="Não","Não aplicável",IFERROR(IF(B2059="EU-ENV-002",IF(INDEX(tbl_recyclass[Conforme_PPWR_2030],MATCH(A2059,tbl_recyclass[ProductId],0))="Sim","Conforme (autoavaliação)",IF(INDEX(tbl_recyclass[Conforme_PPWR_2030],MATCH(A2059,tbl_recyclass[ProductId],0))="Não","Não conforme em 2030","Isento até 2035")),IF(B2059="EU-ENV-003",IF(INDEX(tbl_recyclass[Conforme_Art7_2030],MATCH(A2059,tbl_recyclass[ProductId],0))="Sim","Conforme (meta 2030)",IF(INDEX(tbl_recyclass[Conforme_Art7_2030],MATCH(A2059,tbl_recyclass[ProductId],0))="Não","Lacuna face à meta 2030","Isento")),IF(B2059="EU-ENV-011",IF(INDEX(tbl_familias_ppwr[Metais_Pesados_Evidencia],MATCH(INDEX(tbl_recyclass[Familia_PPWR],MATCH(A2059,tbl_recyclass[ProductId],0)),tbl_familias_ppwr[ID_Familia],0))="Em falta","Lacuna","Conforme"),IF(B2059="EU-ENV-013",IF(INDEX(tbl_familias_ppwr[Declaracao_UE],MATCH(INDEX(tbl_recyclass[Familia_PPWR],MATCH(A2059,tbl_recyclass[ProductId],0)),tbl_familias_ppwr[ID_Familia],0))="Sim","Conforme","Lacuna"),G2059)))),G2059))</f>
        <v>Não aplicável</v>
      </c>
      <c r="I2059" s="33" t="str">
        <f t="shared" si="32"/>
        <v>Não aplicável</v>
      </c>
      <c r="J2059" s="26"/>
    </row>
    <row r="2060" spans="1:10" ht="16.05" customHeight="1" x14ac:dyDescent="0.3">
      <c r="A2060" s="26" t="s">
        <v>827</v>
      </c>
      <c r="B2060" s="26" t="s">
        <v>1188</v>
      </c>
      <c r="C2060" s="33" t="str">
        <f>IFERROR(INDEX(tbl_requisitos_emb[Tema],MATCH(B2060,tbl_requisitos_emb[ID_Req],0)),"")</f>
        <v>Plásticos em contacto com alimentos</v>
      </c>
      <c r="D2060" s="33" t="str">
        <f>IFERROR(INDEX(tbl_recyclass[Segmento],MATCH(A2060,tbl_recyclass[ProductId],0)),"")</f>
        <v>Cosmética e higiene pessoal</v>
      </c>
      <c r="E2060" s="26" t="s">
        <v>904</v>
      </c>
      <c r="F2060" s="26" t="s">
        <v>1450</v>
      </c>
      <c r="G2060" s="26" t="s">
        <v>1143</v>
      </c>
      <c r="H2060" s="33" t="str">
        <f>IF(E2060="Não","Não aplicável",IFERROR(IF(B2060="EU-ENV-002",IF(INDEX(tbl_recyclass[Conforme_PPWR_2030],MATCH(A2060,tbl_recyclass[ProductId],0))="Sim","Conforme (autoavaliação)",IF(INDEX(tbl_recyclass[Conforme_PPWR_2030],MATCH(A2060,tbl_recyclass[ProductId],0))="Não","Não conforme em 2030","Isento até 2035")),IF(B2060="EU-ENV-003",IF(INDEX(tbl_recyclass[Conforme_Art7_2030],MATCH(A2060,tbl_recyclass[ProductId],0))="Sim","Conforme (meta 2030)",IF(INDEX(tbl_recyclass[Conforme_Art7_2030],MATCH(A2060,tbl_recyclass[ProductId],0))="Não","Lacuna face à meta 2030","Isento")),IF(B2060="EU-ENV-011",IF(INDEX(tbl_familias_ppwr[Metais_Pesados_Evidencia],MATCH(INDEX(tbl_recyclass[Familia_PPWR],MATCH(A2060,tbl_recyclass[ProductId],0)),tbl_familias_ppwr[ID_Familia],0))="Em falta","Lacuna","Conforme"),IF(B2060="EU-ENV-013",IF(INDEX(tbl_familias_ppwr[Declaracao_UE],MATCH(INDEX(tbl_recyclass[Familia_PPWR],MATCH(A2060,tbl_recyclass[ProductId],0)),tbl_familias_ppwr[ID_Familia],0))="Sim","Conforme","Lacuna"),G2060)))),G2060))</f>
        <v>Não aplicável</v>
      </c>
      <c r="I2060" s="33" t="str">
        <f t="shared" si="32"/>
        <v>Não aplicável</v>
      </c>
      <c r="J2060" s="26"/>
    </row>
    <row r="2061" spans="1:10" ht="16.05" customHeight="1" x14ac:dyDescent="0.3">
      <c r="A2061" s="26" t="s">
        <v>827</v>
      </c>
      <c r="B2061" s="26" t="s">
        <v>1212</v>
      </c>
      <c r="C2061" s="33" t="str">
        <f>IFERROR(INDEX(tbl_requisitos_emb[Tema],MATCH(B2061,tbl_requisitos_emb[ID_Req],0)),"")</f>
        <v>Segurança do produto cosmético</v>
      </c>
      <c r="D2061" s="33" t="str">
        <f>IFERROR(INDEX(tbl_recyclass[Segmento],MATCH(A2061,tbl_recyclass[ProductId],0)),"")</f>
        <v>Cosmética e higiene pessoal</v>
      </c>
      <c r="E2061" s="26" t="s">
        <v>901</v>
      </c>
      <c r="F2061" s="26" t="s">
        <v>1449</v>
      </c>
      <c r="G2061" s="26" t="s">
        <v>1033</v>
      </c>
      <c r="H2061" s="33" t="str">
        <f>IF(E2061="Não","Não aplicável",IFERROR(IF(B2061="EU-ENV-002",IF(INDEX(tbl_recyclass[Conforme_PPWR_2030],MATCH(A2061,tbl_recyclass[ProductId],0))="Sim","Conforme (autoavaliação)",IF(INDEX(tbl_recyclass[Conforme_PPWR_2030],MATCH(A2061,tbl_recyclass[ProductId],0))="Não","Não conforme em 2030","Isento até 2035")),IF(B2061="EU-ENV-003",IF(INDEX(tbl_recyclass[Conforme_Art7_2030],MATCH(A2061,tbl_recyclass[ProductId],0))="Sim","Conforme (meta 2030)",IF(INDEX(tbl_recyclass[Conforme_Art7_2030],MATCH(A2061,tbl_recyclass[ProductId],0))="Não","Lacuna face à meta 2030","Isento")),IF(B2061="EU-ENV-011",IF(INDEX(tbl_familias_ppwr[Metais_Pesados_Evidencia],MATCH(INDEX(tbl_recyclass[Familia_PPWR],MATCH(A2061,tbl_recyclass[ProductId],0)),tbl_familias_ppwr[ID_Familia],0))="Em falta","Lacuna","Conforme"),IF(B2061="EU-ENV-013",IF(INDEX(tbl_familias_ppwr[Declaracao_UE],MATCH(INDEX(tbl_recyclass[Familia_PPWR],MATCH(A2061,tbl_recyclass[ProductId],0)),tbl_familias_ppwr[ID_Familia],0))="Sim","Conforme","Lacuna"),G2061)))),G2061))</f>
        <v>Conforme</v>
      </c>
      <c r="I2061" s="33" t="str">
        <f t="shared" si="32"/>
        <v>Conforme</v>
      </c>
      <c r="J2061" s="26" t="s">
        <v>1221</v>
      </c>
    </row>
    <row r="2062" spans="1:10" ht="16.05" customHeight="1" x14ac:dyDescent="0.3">
      <c r="A2062" s="26" t="s">
        <v>827</v>
      </c>
      <c r="B2062" s="26" t="s">
        <v>1224</v>
      </c>
      <c r="C2062" s="33" t="str">
        <f>IFERROR(INDEX(tbl_requisitos_emb[Tema],MATCH(B2062,tbl_requisitos_emb[ID_Req],0)),"")</f>
        <v>Materiais e impurezas</v>
      </c>
      <c r="D2062" s="33" t="str">
        <f>IFERROR(INDEX(tbl_recyclass[Segmento],MATCH(A2062,tbl_recyclass[ProductId],0)),"")</f>
        <v>Cosmética e higiene pessoal</v>
      </c>
      <c r="E2062" s="26" t="s">
        <v>901</v>
      </c>
      <c r="F2062" s="26" t="s">
        <v>1449</v>
      </c>
      <c r="G2062" s="26" t="s">
        <v>978</v>
      </c>
      <c r="H2062" s="33" t="str">
        <f>IF(E2062="Não","Não aplicável",IFERROR(IF(B2062="EU-ENV-002",IF(INDEX(tbl_recyclass[Conforme_PPWR_2030],MATCH(A2062,tbl_recyclass[ProductId],0))="Sim","Conforme (autoavaliação)",IF(INDEX(tbl_recyclass[Conforme_PPWR_2030],MATCH(A2062,tbl_recyclass[ProductId],0))="Não","Não conforme em 2030","Isento até 2035")),IF(B2062="EU-ENV-003",IF(INDEX(tbl_recyclass[Conforme_Art7_2030],MATCH(A2062,tbl_recyclass[ProductId],0))="Sim","Conforme (meta 2030)",IF(INDEX(tbl_recyclass[Conforme_Art7_2030],MATCH(A2062,tbl_recyclass[ProductId],0))="Não","Lacuna face à meta 2030","Isento")),IF(B2062="EU-ENV-011",IF(INDEX(tbl_familias_ppwr[Metais_Pesados_Evidencia],MATCH(INDEX(tbl_recyclass[Familia_PPWR],MATCH(A2062,tbl_recyclass[ProductId],0)),tbl_familias_ppwr[ID_Familia],0))="Em falta","Lacuna","Conforme"),IF(B2062="EU-ENV-013",IF(INDEX(tbl_familias_ppwr[Declaracao_UE],MATCH(INDEX(tbl_recyclass[Familia_PPWR],MATCH(A2062,tbl_recyclass[ProductId],0)),tbl_familias_ppwr[ID_Familia],0))="Sim","Conforme","Lacuna"),G2062)))),G2062))</f>
        <v>Parcial</v>
      </c>
      <c r="I2062" s="33" t="str">
        <f t="shared" si="32"/>
        <v>Parcial</v>
      </c>
      <c r="J2062" s="26" t="s">
        <v>1228</v>
      </c>
    </row>
    <row r="2063" spans="1:10" ht="16.05" customHeight="1" x14ac:dyDescent="0.3">
      <c r="A2063" s="26" t="s">
        <v>827</v>
      </c>
      <c r="B2063" s="26" t="s">
        <v>1240</v>
      </c>
      <c r="C2063" s="33" t="str">
        <f>IFERROR(INDEX(tbl_requisitos_emb[Tema],MATCH(B2063,tbl_requisitos_emb[ID_Req],0)),"")</f>
        <v>Compatibilidade embalagem–produto</v>
      </c>
      <c r="D2063" s="33" t="str">
        <f>IFERROR(INDEX(tbl_recyclass[Segmento],MATCH(A2063,tbl_recyclass[ProductId],0)),"")</f>
        <v>Cosmética e higiene pessoal</v>
      </c>
      <c r="E2063" s="26" t="s">
        <v>901</v>
      </c>
      <c r="F2063" s="26" t="s">
        <v>1449</v>
      </c>
      <c r="G2063" s="26" t="s">
        <v>1033</v>
      </c>
      <c r="H2063" s="33" t="str">
        <f>IF(E2063="Não","Não aplicável",IFERROR(IF(B2063="EU-ENV-002",IF(INDEX(tbl_recyclass[Conforme_PPWR_2030],MATCH(A2063,tbl_recyclass[ProductId],0))="Sim","Conforme (autoavaliação)",IF(INDEX(tbl_recyclass[Conforme_PPWR_2030],MATCH(A2063,tbl_recyclass[ProductId],0))="Não","Não conforme em 2030","Isento até 2035")),IF(B2063="EU-ENV-003",IF(INDEX(tbl_recyclass[Conforme_Art7_2030],MATCH(A2063,tbl_recyclass[ProductId],0))="Sim","Conforme (meta 2030)",IF(INDEX(tbl_recyclass[Conforme_Art7_2030],MATCH(A2063,tbl_recyclass[ProductId],0))="Não","Lacuna face à meta 2030","Isento")),IF(B2063="EU-ENV-011",IF(INDEX(tbl_familias_ppwr[Metais_Pesados_Evidencia],MATCH(INDEX(tbl_recyclass[Familia_PPWR],MATCH(A2063,tbl_recyclass[ProductId],0)),tbl_familias_ppwr[ID_Familia],0))="Em falta","Lacuna","Conforme"),IF(B2063="EU-ENV-013",IF(INDEX(tbl_familias_ppwr[Declaracao_UE],MATCH(INDEX(tbl_recyclass[Familia_PPWR],MATCH(A2063,tbl_recyclass[ProductId],0)),tbl_familias_ppwr[ID_Familia],0))="Sim","Conforme","Lacuna"),G2063)))),G2063))</f>
        <v>Conforme</v>
      </c>
      <c r="I2063" s="33" t="str">
        <f t="shared" si="32"/>
        <v>Conforme</v>
      </c>
      <c r="J2063" s="26" t="s">
        <v>1244</v>
      </c>
    </row>
    <row r="2064" spans="1:10" ht="16.05" customHeight="1" x14ac:dyDescent="0.3">
      <c r="A2064" s="26" t="s">
        <v>827</v>
      </c>
      <c r="B2064" s="26" t="s">
        <v>1252</v>
      </c>
      <c r="C2064" s="33" t="str">
        <f>IFERROR(INDEX(tbl_requisitos_emb[Tema],MATCH(B2064,tbl_requisitos_emb[ID_Req],0)),"")</f>
        <v>Medicamentos de uso humano</v>
      </c>
      <c r="D2064" s="33" t="str">
        <f>IFERROR(INDEX(tbl_recyclass[Segmento],MATCH(A2064,tbl_recyclass[ProductId],0)),"")</f>
        <v>Cosmética e higiene pessoal</v>
      </c>
      <c r="E2064" s="26" t="s">
        <v>904</v>
      </c>
      <c r="F2064" s="26" t="s">
        <v>1451</v>
      </c>
      <c r="G2064" s="26" t="s">
        <v>1143</v>
      </c>
      <c r="H2064" s="33" t="str">
        <f>IF(E2064="Não","Não aplicável",IFERROR(IF(B2064="EU-ENV-002",IF(INDEX(tbl_recyclass[Conforme_PPWR_2030],MATCH(A2064,tbl_recyclass[ProductId],0))="Sim","Conforme (autoavaliação)",IF(INDEX(tbl_recyclass[Conforme_PPWR_2030],MATCH(A2064,tbl_recyclass[ProductId],0))="Não","Não conforme em 2030","Isento até 2035")),IF(B2064="EU-ENV-003",IF(INDEX(tbl_recyclass[Conforme_Art7_2030],MATCH(A2064,tbl_recyclass[ProductId],0))="Sim","Conforme (meta 2030)",IF(INDEX(tbl_recyclass[Conforme_Art7_2030],MATCH(A2064,tbl_recyclass[ProductId],0))="Não","Lacuna face à meta 2030","Isento")),IF(B2064="EU-ENV-011",IF(INDEX(tbl_familias_ppwr[Metais_Pesados_Evidencia],MATCH(INDEX(tbl_recyclass[Familia_PPWR],MATCH(A2064,tbl_recyclass[ProductId],0)),tbl_familias_ppwr[ID_Familia],0))="Em falta","Lacuna","Conforme"),IF(B2064="EU-ENV-013",IF(INDEX(tbl_familias_ppwr[Declaracao_UE],MATCH(INDEX(tbl_recyclass[Familia_PPWR],MATCH(A2064,tbl_recyclass[ProductId],0)),tbl_familias_ppwr[ID_Familia],0))="Sim","Conforme","Lacuna"),G2064)))),G2064))</f>
        <v>Não aplicável</v>
      </c>
      <c r="I2064" s="33" t="str">
        <f t="shared" si="32"/>
        <v>Não aplicável</v>
      </c>
      <c r="J2064" s="26"/>
    </row>
    <row r="2065" spans="1:10" ht="16.05" customHeight="1" x14ac:dyDescent="0.3">
      <c r="A2065" s="26" t="s">
        <v>827</v>
      </c>
      <c r="B2065" s="26" t="s">
        <v>1268</v>
      </c>
      <c r="C2065" s="33" t="str">
        <f>IFERROR(INDEX(tbl_requisitos_emb[Tema],MATCH(B2065,tbl_requisitos_emb[ID_Req],0)),"")</f>
        <v>Dispositivos de segurança</v>
      </c>
      <c r="D2065" s="33" t="str">
        <f>IFERROR(INDEX(tbl_recyclass[Segmento],MATCH(A2065,tbl_recyclass[ProductId],0)),"")</f>
        <v>Cosmética e higiene pessoal</v>
      </c>
      <c r="E2065" s="26" t="s">
        <v>904</v>
      </c>
      <c r="F2065" s="26" t="s">
        <v>1451</v>
      </c>
      <c r="G2065" s="26" t="s">
        <v>1143</v>
      </c>
      <c r="H2065" s="33" t="str">
        <f>IF(E2065="Não","Não aplicável",IFERROR(IF(B2065="EU-ENV-002",IF(INDEX(tbl_recyclass[Conforme_PPWR_2030],MATCH(A2065,tbl_recyclass[ProductId],0))="Sim","Conforme (autoavaliação)",IF(INDEX(tbl_recyclass[Conforme_PPWR_2030],MATCH(A2065,tbl_recyclass[ProductId],0))="Não","Não conforme em 2030","Isento até 2035")),IF(B2065="EU-ENV-003",IF(INDEX(tbl_recyclass[Conforme_Art7_2030],MATCH(A2065,tbl_recyclass[ProductId],0))="Sim","Conforme (meta 2030)",IF(INDEX(tbl_recyclass[Conforme_Art7_2030],MATCH(A2065,tbl_recyclass[ProductId],0))="Não","Lacuna face à meta 2030","Isento")),IF(B2065="EU-ENV-011",IF(INDEX(tbl_familias_ppwr[Metais_Pesados_Evidencia],MATCH(INDEX(tbl_recyclass[Familia_PPWR],MATCH(A2065,tbl_recyclass[ProductId],0)),tbl_familias_ppwr[ID_Familia],0))="Em falta","Lacuna","Conforme"),IF(B2065="EU-ENV-013",IF(INDEX(tbl_familias_ppwr[Declaracao_UE],MATCH(INDEX(tbl_recyclass[Familia_PPWR],MATCH(A2065,tbl_recyclass[ProductId],0)),tbl_familias_ppwr[ID_Familia],0))="Sim","Conforme","Lacuna"),G2065)))),G2065))</f>
        <v>Não aplicável</v>
      </c>
      <c r="I2065" s="33" t="str">
        <f t="shared" si="32"/>
        <v>Não aplicável</v>
      </c>
      <c r="J2065" s="26"/>
    </row>
    <row r="2066" spans="1:10" ht="16.05" customHeight="1" x14ac:dyDescent="0.3">
      <c r="A2066" s="26" t="s">
        <v>827</v>
      </c>
      <c r="B2066" s="26" t="s">
        <v>1285</v>
      </c>
      <c r="C2066" s="33" t="str">
        <f>IFERROR(INDEX(tbl_requisitos_emb[Tema],MATCH(B2066,tbl_requisitos_emb[ID_Req],0)),"")</f>
        <v>Materiais plásticos de acondicionamento primário</v>
      </c>
      <c r="D2066" s="33" t="str">
        <f>IFERROR(INDEX(tbl_recyclass[Segmento],MATCH(A2066,tbl_recyclass[ProductId],0)),"")</f>
        <v>Cosmética e higiene pessoal</v>
      </c>
      <c r="E2066" s="26" t="s">
        <v>904</v>
      </c>
      <c r="F2066" s="26" t="s">
        <v>1451</v>
      </c>
      <c r="G2066" s="26" t="s">
        <v>1143</v>
      </c>
      <c r="H2066" s="33" t="str">
        <f>IF(E2066="Não","Não aplicável",IFERROR(IF(B2066="EU-ENV-002",IF(INDEX(tbl_recyclass[Conforme_PPWR_2030],MATCH(A2066,tbl_recyclass[ProductId],0))="Sim","Conforme (autoavaliação)",IF(INDEX(tbl_recyclass[Conforme_PPWR_2030],MATCH(A2066,tbl_recyclass[ProductId],0))="Não","Não conforme em 2030","Isento até 2035")),IF(B2066="EU-ENV-003",IF(INDEX(tbl_recyclass[Conforme_Art7_2030],MATCH(A2066,tbl_recyclass[ProductId],0))="Sim","Conforme (meta 2030)",IF(INDEX(tbl_recyclass[Conforme_Art7_2030],MATCH(A2066,tbl_recyclass[ProductId],0))="Não","Lacuna face à meta 2030","Isento")),IF(B2066="EU-ENV-011",IF(INDEX(tbl_familias_ppwr[Metais_Pesados_Evidencia],MATCH(INDEX(tbl_recyclass[Familia_PPWR],MATCH(A2066,tbl_recyclass[ProductId],0)),tbl_familias_ppwr[ID_Familia],0))="Em falta","Lacuna","Conforme"),IF(B2066="EU-ENV-013",IF(INDEX(tbl_familias_ppwr[Declaracao_UE],MATCH(INDEX(tbl_recyclass[Familia_PPWR],MATCH(A2066,tbl_recyclass[ProductId],0)),tbl_familias_ppwr[ID_Familia],0))="Sim","Conforme","Lacuna"),G2066)))),G2066))</f>
        <v>Não aplicável</v>
      </c>
      <c r="I2066" s="33" t="str">
        <f t="shared" si="32"/>
        <v>Não aplicável</v>
      </c>
      <c r="J2066" s="26"/>
    </row>
    <row r="2067" spans="1:10" ht="16.05" customHeight="1" x14ac:dyDescent="0.3">
      <c r="A2067" s="26" t="s">
        <v>827</v>
      </c>
      <c r="B2067" s="26" t="s">
        <v>1293</v>
      </c>
      <c r="C2067" s="33" t="str">
        <f>IFERROR(INDEX(tbl_requisitos_emb[Tema],MATCH(B2067,tbl_requisitos_emb[ID_Req],0)),"")</f>
        <v>Isenções PPWR</v>
      </c>
      <c r="D2067" s="33" t="str">
        <f>IFERROR(INDEX(tbl_recyclass[Segmento],MATCH(A2067,tbl_recyclass[ProductId],0)),"")</f>
        <v>Cosmética e higiene pessoal</v>
      </c>
      <c r="E2067" s="26" t="s">
        <v>904</v>
      </c>
      <c r="F2067" s="26" t="s">
        <v>1451</v>
      </c>
      <c r="G2067" s="26" t="s">
        <v>1143</v>
      </c>
      <c r="H2067" s="33" t="str">
        <f>IF(E2067="Não","Não aplicável",IFERROR(IF(B2067="EU-ENV-002",IF(INDEX(tbl_recyclass[Conforme_PPWR_2030],MATCH(A2067,tbl_recyclass[ProductId],0))="Sim","Conforme (autoavaliação)",IF(INDEX(tbl_recyclass[Conforme_PPWR_2030],MATCH(A2067,tbl_recyclass[ProductId],0))="Não","Não conforme em 2030","Isento até 2035")),IF(B2067="EU-ENV-003",IF(INDEX(tbl_recyclass[Conforme_Art7_2030],MATCH(A2067,tbl_recyclass[ProductId],0))="Sim","Conforme (meta 2030)",IF(INDEX(tbl_recyclass[Conforme_Art7_2030],MATCH(A2067,tbl_recyclass[ProductId],0))="Não","Lacuna face à meta 2030","Isento")),IF(B2067="EU-ENV-011",IF(INDEX(tbl_familias_ppwr[Metais_Pesados_Evidencia],MATCH(INDEX(tbl_recyclass[Familia_PPWR],MATCH(A2067,tbl_recyclass[ProductId],0)),tbl_familias_ppwr[ID_Familia],0))="Em falta","Lacuna","Conforme"),IF(B2067="EU-ENV-013",IF(INDEX(tbl_familias_ppwr[Declaracao_UE],MATCH(INDEX(tbl_recyclass[Familia_PPWR],MATCH(A2067,tbl_recyclass[ProductId],0)),tbl_familias_ppwr[ID_Familia],0))="Sim","Conforme","Lacuna"),G2067)))),G2067))</f>
        <v>Não aplicável</v>
      </c>
      <c r="I2067" s="33" t="str">
        <f t="shared" si="32"/>
        <v>Não aplicável</v>
      </c>
      <c r="J2067" s="26"/>
    </row>
    <row r="2068" spans="1:10" ht="16.05" customHeight="1" x14ac:dyDescent="0.3">
      <c r="A2068" s="26" t="s">
        <v>827</v>
      </c>
      <c r="B2068" s="26" t="s">
        <v>1357</v>
      </c>
      <c r="C2068" s="33" t="str">
        <f>IFERROR(INDEX(tbl_requisitos_emb[Tema],MATCH(B2068,tbl_requisitos_emb[ID_Req],0)),"")</f>
        <v>Identificação de plásticos</v>
      </c>
      <c r="D2068" s="33" t="str">
        <f>IFERROR(INDEX(tbl_recyclass[Segmento],MATCH(A2068,tbl_recyclass[ProductId],0)),"")</f>
        <v>Cosmética e higiene pessoal</v>
      </c>
      <c r="E2068" s="26" t="s">
        <v>901</v>
      </c>
      <c r="F2068" s="26" t="s">
        <v>1449</v>
      </c>
      <c r="G2068" s="26" t="s">
        <v>978</v>
      </c>
      <c r="H2068" s="33" t="str">
        <f>IF(E2068="Não","Não aplicável",IFERROR(IF(B2068="EU-ENV-002",IF(INDEX(tbl_recyclass[Conforme_PPWR_2030],MATCH(A2068,tbl_recyclass[ProductId],0))="Sim","Conforme (autoavaliação)",IF(INDEX(tbl_recyclass[Conforme_PPWR_2030],MATCH(A2068,tbl_recyclass[ProductId],0))="Não","Não conforme em 2030","Isento até 2035")),IF(B2068="EU-ENV-003",IF(INDEX(tbl_recyclass[Conforme_Art7_2030],MATCH(A2068,tbl_recyclass[ProductId],0))="Sim","Conforme (meta 2030)",IF(INDEX(tbl_recyclass[Conforme_Art7_2030],MATCH(A2068,tbl_recyclass[ProductId],0))="Não","Lacuna face à meta 2030","Isento")),IF(B2068="EU-ENV-011",IF(INDEX(tbl_familias_ppwr[Metais_Pesados_Evidencia],MATCH(INDEX(tbl_recyclass[Familia_PPWR],MATCH(A2068,tbl_recyclass[ProductId],0)),tbl_familias_ppwr[ID_Familia],0))="Em falta","Lacuna","Conforme"),IF(B2068="EU-ENV-013",IF(INDEX(tbl_familias_ppwr[Declaracao_UE],MATCH(INDEX(tbl_recyclass[Familia_PPWR],MATCH(A2068,tbl_recyclass[ProductId],0)),tbl_familias_ppwr[ID_Familia],0))="Sim","Conforme","Lacuna"),G2068)))),G2068))</f>
        <v>Parcial</v>
      </c>
      <c r="I2068" s="33" t="str">
        <f t="shared" si="32"/>
        <v>Parcial</v>
      </c>
      <c r="J2068" s="26" t="s">
        <v>1362</v>
      </c>
    </row>
    <row r="2069" spans="1:10" ht="16.05" customHeight="1" x14ac:dyDescent="0.3">
      <c r="A2069" s="26" t="s">
        <v>827</v>
      </c>
      <c r="B2069" s="26" t="s">
        <v>1385</v>
      </c>
      <c r="C2069" s="33" t="str">
        <f>IFERROR(INDEX(tbl_requisitos_emb[Tema],MATCH(B2069,tbl_requisitos_emb[ID_Req],0)),"")</f>
        <v>Reciclabilidade (voluntária)</v>
      </c>
      <c r="D2069" s="33" t="str">
        <f>IFERROR(INDEX(tbl_recyclass[Segmento],MATCH(A2069,tbl_recyclass[ProductId],0)),"")</f>
        <v>Cosmética e higiene pessoal</v>
      </c>
      <c r="E2069" s="26" t="s">
        <v>901</v>
      </c>
      <c r="F2069" s="26" t="s">
        <v>1449</v>
      </c>
      <c r="G2069" s="26" t="s">
        <v>978</v>
      </c>
      <c r="H2069" s="33" t="str">
        <f>IF(E2069="Não","Não aplicável",IFERROR(IF(B2069="EU-ENV-002",IF(INDEX(tbl_recyclass[Conforme_PPWR_2030],MATCH(A2069,tbl_recyclass[ProductId],0))="Sim","Conforme (autoavaliação)",IF(INDEX(tbl_recyclass[Conforme_PPWR_2030],MATCH(A2069,tbl_recyclass[ProductId],0))="Não","Não conforme em 2030","Isento até 2035")),IF(B2069="EU-ENV-003",IF(INDEX(tbl_recyclass[Conforme_Art7_2030],MATCH(A2069,tbl_recyclass[ProductId],0))="Sim","Conforme (meta 2030)",IF(INDEX(tbl_recyclass[Conforme_Art7_2030],MATCH(A2069,tbl_recyclass[ProductId],0))="Não","Lacuna face à meta 2030","Isento")),IF(B2069="EU-ENV-011",IF(INDEX(tbl_familias_ppwr[Metais_Pesados_Evidencia],MATCH(INDEX(tbl_recyclass[Familia_PPWR],MATCH(A2069,tbl_recyclass[ProductId],0)),tbl_familias_ppwr[ID_Familia],0))="Em falta","Lacuna","Conforme"),IF(B2069="EU-ENV-013",IF(INDEX(tbl_familias_ppwr[Declaracao_UE],MATCH(INDEX(tbl_recyclass[Familia_PPWR],MATCH(A2069,tbl_recyclass[ProductId],0)),tbl_familias_ppwr[ID_Familia],0))="Sim","Conforme","Lacuna"),G2069)))),G2069))</f>
        <v>Parcial</v>
      </c>
      <c r="I2069" s="33" t="str">
        <f t="shared" si="32"/>
        <v>Parcial</v>
      </c>
      <c r="J2069" s="26" t="s">
        <v>1389</v>
      </c>
    </row>
    <row r="2070" spans="1:10" ht="16.05" customHeight="1" x14ac:dyDescent="0.3">
      <c r="A2070" s="26" t="s">
        <v>829</v>
      </c>
      <c r="B2070" s="26" t="s">
        <v>984</v>
      </c>
      <c r="C2070" s="33" t="str">
        <f>IFERROR(INDEX(tbl_requisitos_emb[Tema],MATCH(B2070,tbl_requisitos_emb[ID_Req],0)),"")</f>
        <v>Conceção para reciclagem</v>
      </c>
      <c r="D2070" s="33" t="str">
        <f>IFERROR(INDEX(tbl_recyclass[Segmento],MATCH(A2070,tbl_recyclass[ProductId],0)),"")</f>
        <v>Cosmética e higiene pessoal</v>
      </c>
      <c r="E2070" s="26" t="s">
        <v>901</v>
      </c>
      <c r="F2070" s="26" t="s">
        <v>1449</v>
      </c>
      <c r="G2070" s="26" t="s">
        <v>978</v>
      </c>
      <c r="H2070" s="33" t="str">
        <f>IF(E2070="Não","Não aplicável",IFERROR(IF(B2070="EU-ENV-002",IF(INDEX(tbl_recyclass[Conforme_PPWR_2030],MATCH(A2070,tbl_recyclass[ProductId],0))="Sim","Conforme (autoavaliação)",IF(INDEX(tbl_recyclass[Conforme_PPWR_2030],MATCH(A2070,tbl_recyclass[ProductId],0))="Não","Não conforme em 2030","Isento até 2035")),IF(B2070="EU-ENV-003",IF(INDEX(tbl_recyclass[Conforme_Art7_2030],MATCH(A2070,tbl_recyclass[ProductId],0))="Sim","Conforme (meta 2030)",IF(INDEX(tbl_recyclass[Conforme_Art7_2030],MATCH(A2070,tbl_recyclass[ProductId],0))="Não","Lacuna face à meta 2030","Isento")),IF(B2070="EU-ENV-011",IF(INDEX(tbl_familias_ppwr[Metais_Pesados_Evidencia],MATCH(INDEX(tbl_recyclass[Familia_PPWR],MATCH(A2070,tbl_recyclass[ProductId],0)),tbl_familias_ppwr[ID_Familia],0))="Em falta","Lacuna","Conforme"),IF(B2070="EU-ENV-013",IF(INDEX(tbl_familias_ppwr[Declaracao_UE],MATCH(INDEX(tbl_recyclass[Familia_PPWR],MATCH(A2070,tbl_recyclass[ProductId],0)),tbl_familias_ppwr[ID_Familia],0))="Sim","Conforme","Lacuna"),G2070)))),G2070))</f>
        <v>Não conforme em 2030</v>
      </c>
      <c r="I2070" s="33" t="str">
        <f t="shared" si="32"/>
        <v>Não conforme</v>
      </c>
      <c r="J2070" s="26" t="s">
        <v>991</v>
      </c>
    </row>
    <row r="2071" spans="1:10" ht="16.05" customHeight="1" x14ac:dyDescent="0.3">
      <c r="A2071" s="26" t="s">
        <v>829</v>
      </c>
      <c r="B2071" s="26" t="s">
        <v>997</v>
      </c>
      <c r="C2071" s="33" t="str">
        <f>IFERROR(INDEX(tbl_requisitos_emb[Tema],MATCH(B2071,tbl_requisitos_emb[ID_Req],0)),"")</f>
        <v>Conteúdo reciclado</v>
      </c>
      <c r="D2071" s="33" t="str">
        <f>IFERROR(INDEX(tbl_recyclass[Segmento],MATCH(A2071,tbl_recyclass[ProductId],0)),"")</f>
        <v>Cosmética e higiene pessoal</v>
      </c>
      <c r="E2071" s="26" t="s">
        <v>901</v>
      </c>
      <c r="F2071" s="26" t="s">
        <v>1449</v>
      </c>
      <c r="G2071" s="26" t="s">
        <v>978</v>
      </c>
      <c r="H2071" s="33" t="str">
        <f>IF(E2071="Não","Não aplicável",IFERROR(IF(B2071="EU-ENV-002",IF(INDEX(tbl_recyclass[Conforme_PPWR_2030],MATCH(A2071,tbl_recyclass[ProductId],0))="Sim","Conforme (autoavaliação)",IF(INDEX(tbl_recyclass[Conforme_PPWR_2030],MATCH(A2071,tbl_recyclass[ProductId],0))="Não","Não conforme em 2030","Isento até 2035")),IF(B2071="EU-ENV-003",IF(INDEX(tbl_recyclass[Conforme_Art7_2030],MATCH(A2071,tbl_recyclass[ProductId],0))="Sim","Conforme (meta 2030)",IF(INDEX(tbl_recyclass[Conforme_Art7_2030],MATCH(A2071,tbl_recyclass[ProductId],0))="Não","Lacuna face à meta 2030","Isento")),IF(B2071="EU-ENV-011",IF(INDEX(tbl_familias_ppwr[Metais_Pesados_Evidencia],MATCH(INDEX(tbl_recyclass[Familia_PPWR],MATCH(A2071,tbl_recyclass[ProductId],0)),tbl_familias_ppwr[ID_Familia],0))="Em falta","Lacuna","Conforme"),IF(B2071="EU-ENV-013",IF(INDEX(tbl_familias_ppwr[Declaracao_UE],MATCH(INDEX(tbl_recyclass[Familia_PPWR],MATCH(A2071,tbl_recyclass[ProductId],0)),tbl_familias_ppwr[ID_Familia],0))="Sim","Conforme","Lacuna"),G2071)))),G2071))</f>
        <v>Lacuna face à meta 2030</v>
      </c>
      <c r="I2071" s="33" t="str">
        <f t="shared" si="32"/>
        <v>Lacuna</v>
      </c>
      <c r="J2071" s="26" t="s">
        <v>1001</v>
      </c>
    </row>
    <row r="2072" spans="1:10" ht="16.05" customHeight="1" x14ac:dyDescent="0.3">
      <c r="A2072" s="26" t="s">
        <v>829</v>
      </c>
      <c r="B2072" s="26" t="s">
        <v>1007</v>
      </c>
      <c r="C2072" s="33" t="str">
        <f>IFERROR(INDEX(tbl_requisitos_emb[Tema],MATCH(B2072,tbl_requisitos_emb[ID_Req],0)),"")</f>
        <v>Minimização</v>
      </c>
      <c r="D2072" s="33" t="str">
        <f>IFERROR(INDEX(tbl_recyclass[Segmento],MATCH(A2072,tbl_recyclass[ProductId],0)),"")</f>
        <v>Cosmética e higiene pessoal</v>
      </c>
      <c r="E2072" s="26" t="s">
        <v>901</v>
      </c>
      <c r="F2072" s="26" t="s">
        <v>1449</v>
      </c>
      <c r="G2072" s="26" t="s">
        <v>978</v>
      </c>
      <c r="H2072" s="33" t="str">
        <f>IF(E2072="Não","Não aplicável",IFERROR(IF(B2072="EU-ENV-002",IF(INDEX(tbl_recyclass[Conforme_PPWR_2030],MATCH(A2072,tbl_recyclass[ProductId],0))="Sim","Conforme (autoavaliação)",IF(INDEX(tbl_recyclass[Conforme_PPWR_2030],MATCH(A2072,tbl_recyclass[ProductId],0))="Não","Não conforme em 2030","Isento até 2035")),IF(B2072="EU-ENV-003",IF(INDEX(tbl_recyclass[Conforme_Art7_2030],MATCH(A2072,tbl_recyclass[ProductId],0))="Sim","Conforme (meta 2030)",IF(INDEX(tbl_recyclass[Conforme_Art7_2030],MATCH(A2072,tbl_recyclass[ProductId],0))="Não","Lacuna face à meta 2030","Isento")),IF(B2072="EU-ENV-011",IF(INDEX(tbl_familias_ppwr[Metais_Pesados_Evidencia],MATCH(INDEX(tbl_recyclass[Familia_PPWR],MATCH(A2072,tbl_recyclass[ProductId],0)),tbl_familias_ppwr[ID_Familia],0))="Em falta","Lacuna","Conforme"),IF(B2072="EU-ENV-013",IF(INDEX(tbl_familias_ppwr[Declaracao_UE],MATCH(INDEX(tbl_recyclass[Familia_PPWR],MATCH(A2072,tbl_recyclass[ProductId],0)),tbl_familias_ppwr[ID_Familia],0))="Sim","Conforme","Lacuna"),G2072)))),G2072))</f>
        <v>Parcial</v>
      </c>
      <c r="I2072" s="33" t="str">
        <f t="shared" si="32"/>
        <v>Parcial</v>
      </c>
      <c r="J2072" s="26" t="s">
        <v>1012</v>
      </c>
    </row>
    <row r="2073" spans="1:10" ht="16.05" customHeight="1" x14ac:dyDescent="0.3">
      <c r="A2073" s="26" t="s">
        <v>829</v>
      </c>
      <c r="B2073" s="26" t="s">
        <v>1016</v>
      </c>
      <c r="C2073" s="33" t="str">
        <f>IFERROR(INDEX(tbl_requisitos_emb[Tema],MATCH(B2073,tbl_requisitos_emb[ID_Req],0)),"")</f>
        <v>Rotulagem</v>
      </c>
      <c r="D2073" s="33" t="str">
        <f>IFERROR(INDEX(tbl_recyclass[Segmento],MATCH(A2073,tbl_recyclass[ProductId],0)),"")</f>
        <v>Cosmética e higiene pessoal</v>
      </c>
      <c r="E2073" s="26" t="s">
        <v>901</v>
      </c>
      <c r="F2073" s="26" t="s">
        <v>1449</v>
      </c>
      <c r="G2073" s="26" t="s">
        <v>990</v>
      </c>
      <c r="H2073" s="33" t="str">
        <f>IF(E2073="Não","Não aplicável",IFERROR(IF(B2073="EU-ENV-002",IF(INDEX(tbl_recyclass[Conforme_PPWR_2030],MATCH(A2073,tbl_recyclass[ProductId],0))="Sim","Conforme (autoavaliação)",IF(INDEX(tbl_recyclass[Conforme_PPWR_2030],MATCH(A2073,tbl_recyclass[ProductId],0))="Não","Não conforme em 2030","Isento até 2035")),IF(B2073="EU-ENV-003",IF(INDEX(tbl_recyclass[Conforme_Art7_2030],MATCH(A2073,tbl_recyclass[ProductId],0))="Sim","Conforme (meta 2030)",IF(INDEX(tbl_recyclass[Conforme_Art7_2030],MATCH(A2073,tbl_recyclass[ProductId],0))="Não","Lacuna face à meta 2030","Isento")),IF(B2073="EU-ENV-011",IF(INDEX(tbl_familias_ppwr[Metais_Pesados_Evidencia],MATCH(INDEX(tbl_recyclass[Familia_PPWR],MATCH(A2073,tbl_recyclass[ProductId],0)),tbl_familias_ppwr[ID_Familia],0))="Em falta","Lacuna","Conforme"),IF(B2073="EU-ENV-013",IF(INDEX(tbl_familias_ppwr[Declaracao_UE],MATCH(INDEX(tbl_recyclass[Familia_PPWR],MATCH(A2073,tbl_recyclass[ProductId],0)),tbl_familias_ppwr[ID_Familia],0))="Sim","Conforme","Lacuna"),G2073)))),G2073))</f>
        <v>Futuro</v>
      </c>
      <c r="I2073" s="33" t="str">
        <f t="shared" si="32"/>
        <v>Futuro</v>
      </c>
      <c r="J2073" s="26" t="s">
        <v>1021</v>
      </c>
    </row>
    <row r="2074" spans="1:10" ht="16.05" customHeight="1" x14ac:dyDescent="0.3">
      <c r="A2074" s="26" t="s">
        <v>829</v>
      </c>
      <c r="B2074" s="26" t="s">
        <v>1038</v>
      </c>
      <c r="C2074" s="33" t="str">
        <f>IFERROR(INDEX(tbl_requisitos_emb[Tema],MATCH(B2074,tbl_requisitos_emb[ID_Req],0)),"")</f>
        <v>Plásticos de utilização única</v>
      </c>
      <c r="D2074" s="33" t="str">
        <f>IFERROR(INDEX(tbl_recyclass[Segmento],MATCH(A2074,tbl_recyclass[ProductId],0)),"")</f>
        <v>Cosmética e higiene pessoal</v>
      </c>
      <c r="E2074" s="26" t="s">
        <v>904</v>
      </c>
      <c r="F2074" s="26" t="s">
        <v>1450</v>
      </c>
      <c r="G2074" s="26" t="s">
        <v>1143</v>
      </c>
      <c r="H2074" s="33" t="str">
        <f>IF(E2074="Não","Não aplicável",IFERROR(IF(B2074="EU-ENV-002",IF(INDEX(tbl_recyclass[Conforme_PPWR_2030],MATCH(A2074,tbl_recyclass[ProductId],0))="Sim","Conforme (autoavaliação)",IF(INDEX(tbl_recyclass[Conforme_PPWR_2030],MATCH(A2074,tbl_recyclass[ProductId],0))="Não","Não conforme em 2030","Isento até 2035")),IF(B2074="EU-ENV-003",IF(INDEX(tbl_recyclass[Conforme_Art7_2030],MATCH(A2074,tbl_recyclass[ProductId],0))="Sim","Conforme (meta 2030)",IF(INDEX(tbl_recyclass[Conforme_Art7_2030],MATCH(A2074,tbl_recyclass[ProductId],0))="Não","Lacuna face à meta 2030","Isento")),IF(B2074="EU-ENV-011",IF(INDEX(tbl_familias_ppwr[Metais_Pesados_Evidencia],MATCH(INDEX(tbl_recyclass[Familia_PPWR],MATCH(A2074,tbl_recyclass[ProductId],0)),tbl_familias_ppwr[ID_Familia],0))="Em falta","Lacuna","Conforme"),IF(B2074="EU-ENV-013",IF(INDEX(tbl_familias_ppwr[Declaracao_UE],MATCH(INDEX(tbl_recyclass[Familia_PPWR],MATCH(A2074,tbl_recyclass[ProductId],0)),tbl_familias_ppwr[ID_Familia],0))="Sim","Conforme","Lacuna"),G2074)))),G2074))</f>
        <v>Não aplicável</v>
      </c>
      <c r="I2074" s="33" t="str">
        <f t="shared" si="32"/>
        <v>Não aplicável</v>
      </c>
      <c r="J2074" s="26"/>
    </row>
    <row r="2075" spans="1:10" ht="16.05" customHeight="1" x14ac:dyDescent="0.3">
      <c r="A2075" s="26" t="s">
        <v>829</v>
      </c>
      <c r="B2075" s="26" t="s">
        <v>1078</v>
      </c>
      <c r="C2075" s="33" t="str">
        <f>IFERROR(INDEX(tbl_requisitos_emb[Tema],MATCH(B2075,tbl_requisitos_emb[ID_Req],0)),"")</f>
        <v>Reciclado à escala</v>
      </c>
      <c r="D2075" s="33" t="str">
        <f>IFERROR(INDEX(tbl_recyclass[Segmento],MATCH(A2075,tbl_recyclass[ProductId],0)),"")</f>
        <v>Cosmética e higiene pessoal</v>
      </c>
      <c r="E2075" s="26" t="s">
        <v>901</v>
      </c>
      <c r="F2075" s="26" t="s">
        <v>1449</v>
      </c>
      <c r="G2075" s="26" t="s">
        <v>990</v>
      </c>
      <c r="H2075" s="33" t="str">
        <f>IF(E2075="Não","Não aplicável",IFERROR(IF(B2075="EU-ENV-002",IF(INDEX(tbl_recyclass[Conforme_PPWR_2030],MATCH(A2075,tbl_recyclass[ProductId],0))="Sim","Conforme (autoavaliação)",IF(INDEX(tbl_recyclass[Conforme_PPWR_2030],MATCH(A2075,tbl_recyclass[ProductId],0))="Não","Não conforme em 2030","Isento até 2035")),IF(B2075="EU-ENV-003",IF(INDEX(tbl_recyclass[Conforme_Art7_2030],MATCH(A2075,tbl_recyclass[ProductId],0))="Sim","Conforme (meta 2030)",IF(INDEX(tbl_recyclass[Conforme_Art7_2030],MATCH(A2075,tbl_recyclass[ProductId],0))="Não","Lacuna face à meta 2030","Isento")),IF(B2075="EU-ENV-011",IF(INDEX(tbl_familias_ppwr[Metais_Pesados_Evidencia],MATCH(INDEX(tbl_recyclass[Familia_PPWR],MATCH(A2075,tbl_recyclass[ProductId],0)),tbl_familias_ppwr[ID_Familia],0))="Em falta","Lacuna","Conforme"),IF(B2075="EU-ENV-013",IF(INDEX(tbl_familias_ppwr[Declaracao_UE],MATCH(INDEX(tbl_recyclass[Familia_PPWR],MATCH(A2075,tbl_recyclass[ProductId],0)),tbl_familias_ppwr[ID_Familia],0))="Sim","Conforme","Lacuna"),G2075)))),G2075))</f>
        <v>Futuro</v>
      </c>
      <c r="I2075" s="33" t="str">
        <f t="shared" si="32"/>
        <v>Futuro</v>
      </c>
      <c r="J2075" s="26" t="s">
        <v>1082</v>
      </c>
    </row>
    <row r="2076" spans="1:10" ht="16.05" customHeight="1" x14ac:dyDescent="0.3">
      <c r="A2076" s="26" t="s">
        <v>829</v>
      </c>
      <c r="B2076" s="26" t="s">
        <v>1086</v>
      </c>
      <c r="C2076" s="33" t="str">
        <f>IFERROR(INDEX(tbl_requisitos_emb[Tema],MATCH(B2076,tbl_requisitos_emb[ID_Req],0)),"")</f>
        <v>Metais pesados</v>
      </c>
      <c r="D2076" s="33" t="str">
        <f>IFERROR(INDEX(tbl_recyclass[Segmento],MATCH(A2076,tbl_recyclass[ProductId],0)),"")</f>
        <v>Cosmética e higiene pessoal</v>
      </c>
      <c r="E2076" s="26" t="s">
        <v>901</v>
      </c>
      <c r="F2076" s="26" t="s">
        <v>1449</v>
      </c>
      <c r="G2076" s="26" t="s">
        <v>978</v>
      </c>
      <c r="H2076" s="33" t="str">
        <f>IF(E2076="Não","Não aplicável",IFERROR(IF(B2076="EU-ENV-002",IF(INDEX(tbl_recyclass[Conforme_PPWR_2030],MATCH(A2076,tbl_recyclass[ProductId],0))="Sim","Conforme (autoavaliação)",IF(INDEX(tbl_recyclass[Conforme_PPWR_2030],MATCH(A2076,tbl_recyclass[ProductId],0))="Não","Não conforme em 2030","Isento até 2035")),IF(B2076="EU-ENV-003",IF(INDEX(tbl_recyclass[Conforme_Art7_2030],MATCH(A2076,tbl_recyclass[ProductId],0))="Sim","Conforme (meta 2030)",IF(INDEX(tbl_recyclass[Conforme_Art7_2030],MATCH(A2076,tbl_recyclass[ProductId],0))="Não","Lacuna face à meta 2030","Isento")),IF(B2076="EU-ENV-011",IF(INDEX(tbl_familias_ppwr[Metais_Pesados_Evidencia],MATCH(INDEX(tbl_recyclass[Familia_PPWR],MATCH(A2076,tbl_recyclass[ProductId],0)),tbl_familias_ppwr[ID_Familia],0))="Em falta","Lacuna","Conforme"),IF(B2076="EU-ENV-013",IF(INDEX(tbl_familias_ppwr[Declaracao_UE],MATCH(INDEX(tbl_recyclass[Familia_PPWR],MATCH(A2076,tbl_recyclass[ProductId],0)),tbl_familias_ppwr[ID_Familia],0))="Sim","Conforme","Lacuna"),G2076)))),G2076))</f>
        <v>Conforme</v>
      </c>
      <c r="I2076" s="33" t="str">
        <f t="shared" si="32"/>
        <v>Conforme</v>
      </c>
      <c r="J2076" s="26" t="s">
        <v>1090</v>
      </c>
    </row>
    <row r="2077" spans="1:10" ht="16.05" customHeight="1" x14ac:dyDescent="0.3">
      <c r="A2077" s="26" t="s">
        <v>829</v>
      </c>
      <c r="B2077" s="26" t="s">
        <v>1094</v>
      </c>
      <c r="C2077" s="33" t="str">
        <f>IFERROR(INDEX(tbl_requisitos_emb[Tema],MATCH(B2077,tbl_requisitos_emb[ID_Req],0)),"")</f>
        <v>PFAS</v>
      </c>
      <c r="D2077" s="33" t="str">
        <f>IFERROR(INDEX(tbl_recyclass[Segmento],MATCH(A2077,tbl_recyclass[ProductId],0)),"")</f>
        <v>Cosmética e higiene pessoal</v>
      </c>
      <c r="E2077" s="26" t="s">
        <v>904</v>
      </c>
      <c r="F2077" s="26" t="s">
        <v>1450</v>
      </c>
      <c r="G2077" s="26" t="s">
        <v>1143</v>
      </c>
      <c r="H2077" s="33" t="str">
        <f>IF(E2077="Não","Não aplicável",IFERROR(IF(B2077="EU-ENV-002",IF(INDEX(tbl_recyclass[Conforme_PPWR_2030],MATCH(A2077,tbl_recyclass[ProductId],0))="Sim","Conforme (autoavaliação)",IF(INDEX(tbl_recyclass[Conforme_PPWR_2030],MATCH(A2077,tbl_recyclass[ProductId],0))="Não","Não conforme em 2030","Isento até 2035")),IF(B2077="EU-ENV-003",IF(INDEX(tbl_recyclass[Conforme_Art7_2030],MATCH(A2077,tbl_recyclass[ProductId],0))="Sim","Conforme (meta 2030)",IF(INDEX(tbl_recyclass[Conforme_Art7_2030],MATCH(A2077,tbl_recyclass[ProductId],0))="Não","Lacuna face à meta 2030","Isento")),IF(B2077="EU-ENV-011",IF(INDEX(tbl_familias_ppwr[Metais_Pesados_Evidencia],MATCH(INDEX(tbl_recyclass[Familia_PPWR],MATCH(A2077,tbl_recyclass[ProductId],0)),tbl_familias_ppwr[ID_Familia],0))="Em falta","Lacuna","Conforme"),IF(B2077="EU-ENV-013",IF(INDEX(tbl_familias_ppwr[Declaracao_UE],MATCH(INDEX(tbl_recyclass[Familia_PPWR],MATCH(A2077,tbl_recyclass[ProductId],0)),tbl_familias_ppwr[ID_Familia],0))="Sim","Conforme","Lacuna"),G2077)))),G2077))</f>
        <v>Não aplicável</v>
      </c>
      <c r="I2077" s="33" t="str">
        <f t="shared" si="32"/>
        <v>Não aplicável</v>
      </c>
      <c r="J2077" s="26"/>
    </row>
    <row r="2078" spans="1:10" ht="16.05" customHeight="1" x14ac:dyDescent="0.3">
      <c r="A2078" s="26" t="s">
        <v>829</v>
      </c>
      <c r="B2078" s="26" t="s">
        <v>1102</v>
      </c>
      <c r="C2078" s="33" t="str">
        <f>IFERROR(INDEX(tbl_requisitos_emb[Tema],MATCH(B2078,tbl_requisitos_emb[ID_Req],0)),"")</f>
        <v>Documentação técnica e declaração UE</v>
      </c>
      <c r="D2078" s="33" t="str">
        <f>IFERROR(INDEX(tbl_recyclass[Segmento],MATCH(A2078,tbl_recyclass[ProductId],0)),"")</f>
        <v>Cosmética e higiene pessoal</v>
      </c>
      <c r="E2078" s="26" t="s">
        <v>901</v>
      </c>
      <c r="F2078" s="26" t="s">
        <v>1449</v>
      </c>
      <c r="G2078" s="26" t="s">
        <v>978</v>
      </c>
      <c r="H2078" s="33" t="str">
        <f>IF(E2078="Não","Não aplicável",IFERROR(IF(B2078="EU-ENV-002",IF(INDEX(tbl_recyclass[Conforme_PPWR_2030],MATCH(A2078,tbl_recyclass[ProductId],0))="Sim","Conforme (autoavaliação)",IF(INDEX(tbl_recyclass[Conforme_PPWR_2030],MATCH(A2078,tbl_recyclass[ProductId],0))="Não","Não conforme em 2030","Isento até 2035")),IF(B2078="EU-ENV-003",IF(INDEX(tbl_recyclass[Conforme_Art7_2030],MATCH(A2078,tbl_recyclass[ProductId],0))="Sim","Conforme (meta 2030)",IF(INDEX(tbl_recyclass[Conforme_Art7_2030],MATCH(A2078,tbl_recyclass[ProductId],0))="Não","Lacuna face à meta 2030","Isento")),IF(B2078="EU-ENV-011",IF(INDEX(tbl_familias_ppwr[Metais_Pesados_Evidencia],MATCH(INDEX(tbl_recyclass[Familia_PPWR],MATCH(A2078,tbl_recyclass[ProductId],0)),tbl_familias_ppwr[ID_Familia],0))="Em falta","Lacuna","Conforme"),IF(B2078="EU-ENV-013",IF(INDEX(tbl_familias_ppwr[Declaracao_UE],MATCH(INDEX(tbl_recyclass[Familia_PPWR],MATCH(A2078,tbl_recyclass[ProductId],0)),tbl_familias_ppwr[ID_Familia],0))="Sim","Conforme","Lacuna"),G2078)))),G2078))</f>
        <v>Conforme</v>
      </c>
      <c r="I2078" s="33" t="str">
        <f t="shared" si="32"/>
        <v>Conforme</v>
      </c>
      <c r="J2078" s="26" t="s">
        <v>1106</v>
      </c>
    </row>
    <row r="2079" spans="1:10" ht="16.05" customHeight="1" x14ac:dyDescent="0.3">
      <c r="A2079" s="26" t="s">
        <v>829</v>
      </c>
      <c r="B2079" s="26" t="s">
        <v>1161</v>
      </c>
      <c r="C2079" s="33" t="str">
        <f>IFERROR(INDEX(tbl_requisitos_emb[Tema],MATCH(B2079,tbl_requisitos_emb[ID_Req],0)),"")</f>
        <v>Materiais em contacto com alimentos</v>
      </c>
      <c r="D2079" s="33" t="str">
        <f>IFERROR(INDEX(tbl_recyclass[Segmento],MATCH(A2079,tbl_recyclass[ProductId],0)),"")</f>
        <v>Cosmética e higiene pessoal</v>
      </c>
      <c r="E2079" s="26" t="s">
        <v>904</v>
      </c>
      <c r="F2079" s="26" t="s">
        <v>1450</v>
      </c>
      <c r="G2079" s="26" t="s">
        <v>1143</v>
      </c>
      <c r="H2079" s="33" t="str">
        <f>IF(E2079="Não","Não aplicável",IFERROR(IF(B2079="EU-ENV-002",IF(INDEX(tbl_recyclass[Conforme_PPWR_2030],MATCH(A2079,tbl_recyclass[ProductId],0))="Sim","Conforme (autoavaliação)",IF(INDEX(tbl_recyclass[Conforme_PPWR_2030],MATCH(A2079,tbl_recyclass[ProductId],0))="Não","Não conforme em 2030","Isento até 2035")),IF(B2079="EU-ENV-003",IF(INDEX(tbl_recyclass[Conforme_Art7_2030],MATCH(A2079,tbl_recyclass[ProductId],0))="Sim","Conforme (meta 2030)",IF(INDEX(tbl_recyclass[Conforme_Art7_2030],MATCH(A2079,tbl_recyclass[ProductId],0))="Não","Lacuna face à meta 2030","Isento")),IF(B2079="EU-ENV-011",IF(INDEX(tbl_familias_ppwr[Metais_Pesados_Evidencia],MATCH(INDEX(tbl_recyclass[Familia_PPWR],MATCH(A2079,tbl_recyclass[ProductId],0)),tbl_familias_ppwr[ID_Familia],0))="Em falta","Lacuna","Conforme"),IF(B2079="EU-ENV-013",IF(INDEX(tbl_familias_ppwr[Declaracao_UE],MATCH(INDEX(tbl_recyclass[Familia_PPWR],MATCH(A2079,tbl_recyclass[ProductId],0)),tbl_familias_ppwr[ID_Familia],0))="Sim","Conforme","Lacuna"),G2079)))),G2079))</f>
        <v>Não aplicável</v>
      </c>
      <c r="I2079" s="33" t="str">
        <f t="shared" si="32"/>
        <v>Não aplicável</v>
      </c>
      <c r="J2079" s="26"/>
    </row>
    <row r="2080" spans="1:10" ht="16.05" customHeight="1" x14ac:dyDescent="0.3">
      <c r="A2080" s="26" t="s">
        <v>829</v>
      </c>
      <c r="B2080" s="26" t="s">
        <v>1170</v>
      </c>
      <c r="C2080" s="33" t="str">
        <f>IFERROR(INDEX(tbl_requisitos_emb[Tema],MATCH(B2080,tbl_requisitos_emb[ID_Req],0)),"")</f>
        <v>Boas práticas de fabrico FCM</v>
      </c>
      <c r="D2080" s="33" t="str">
        <f>IFERROR(INDEX(tbl_recyclass[Segmento],MATCH(A2080,tbl_recyclass[ProductId],0)),"")</f>
        <v>Cosmética e higiene pessoal</v>
      </c>
      <c r="E2080" s="26" t="s">
        <v>904</v>
      </c>
      <c r="F2080" s="26" t="s">
        <v>1450</v>
      </c>
      <c r="G2080" s="26" t="s">
        <v>1143</v>
      </c>
      <c r="H2080" s="33" t="str">
        <f>IF(E2080="Não","Não aplicável",IFERROR(IF(B2080="EU-ENV-002",IF(INDEX(tbl_recyclass[Conforme_PPWR_2030],MATCH(A2080,tbl_recyclass[ProductId],0))="Sim","Conforme (autoavaliação)",IF(INDEX(tbl_recyclass[Conforme_PPWR_2030],MATCH(A2080,tbl_recyclass[ProductId],0))="Não","Não conforme em 2030","Isento até 2035")),IF(B2080="EU-ENV-003",IF(INDEX(tbl_recyclass[Conforme_Art7_2030],MATCH(A2080,tbl_recyclass[ProductId],0))="Sim","Conforme (meta 2030)",IF(INDEX(tbl_recyclass[Conforme_Art7_2030],MATCH(A2080,tbl_recyclass[ProductId],0))="Não","Lacuna face à meta 2030","Isento")),IF(B2080="EU-ENV-011",IF(INDEX(tbl_familias_ppwr[Metais_Pesados_Evidencia],MATCH(INDEX(tbl_recyclass[Familia_PPWR],MATCH(A2080,tbl_recyclass[ProductId],0)),tbl_familias_ppwr[ID_Familia],0))="Em falta","Lacuna","Conforme"),IF(B2080="EU-ENV-013",IF(INDEX(tbl_familias_ppwr[Declaracao_UE],MATCH(INDEX(tbl_recyclass[Familia_PPWR],MATCH(A2080,tbl_recyclass[ProductId],0)),tbl_familias_ppwr[ID_Familia],0))="Sim","Conforme","Lacuna"),G2080)))),G2080))</f>
        <v>Não aplicável</v>
      </c>
      <c r="I2080" s="33" t="str">
        <f t="shared" si="32"/>
        <v>Não aplicável</v>
      </c>
      <c r="J2080" s="26"/>
    </row>
    <row r="2081" spans="1:10" ht="16.05" customHeight="1" x14ac:dyDescent="0.3">
      <c r="A2081" s="26" t="s">
        <v>829</v>
      </c>
      <c r="B2081" s="26" t="s">
        <v>1179</v>
      </c>
      <c r="C2081" s="33" t="str">
        <f>IFERROR(INDEX(tbl_requisitos_emb[Tema],MATCH(B2081,tbl_requisitos_emb[ID_Req],0)),"")</f>
        <v>Bisfenol A e bisfenóis perigosos</v>
      </c>
      <c r="D2081" s="33" t="str">
        <f>IFERROR(INDEX(tbl_recyclass[Segmento],MATCH(A2081,tbl_recyclass[ProductId],0)),"")</f>
        <v>Cosmética e higiene pessoal</v>
      </c>
      <c r="E2081" s="26" t="s">
        <v>904</v>
      </c>
      <c r="F2081" s="26" t="s">
        <v>1450</v>
      </c>
      <c r="G2081" s="26" t="s">
        <v>1143</v>
      </c>
      <c r="H2081" s="33" t="str">
        <f>IF(E2081="Não","Não aplicável",IFERROR(IF(B2081="EU-ENV-002",IF(INDEX(tbl_recyclass[Conforme_PPWR_2030],MATCH(A2081,tbl_recyclass[ProductId],0))="Sim","Conforme (autoavaliação)",IF(INDEX(tbl_recyclass[Conforme_PPWR_2030],MATCH(A2081,tbl_recyclass[ProductId],0))="Não","Não conforme em 2030","Isento até 2035")),IF(B2081="EU-ENV-003",IF(INDEX(tbl_recyclass[Conforme_Art7_2030],MATCH(A2081,tbl_recyclass[ProductId],0))="Sim","Conforme (meta 2030)",IF(INDEX(tbl_recyclass[Conforme_Art7_2030],MATCH(A2081,tbl_recyclass[ProductId],0))="Não","Lacuna face à meta 2030","Isento")),IF(B2081="EU-ENV-011",IF(INDEX(tbl_familias_ppwr[Metais_Pesados_Evidencia],MATCH(INDEX(tbl_recyclass[Familia_PPWR],MATCH(A2081,tbl_recyclass[ProductId],0)),tbl_familias_ppwr[ID_Familia],0))="Em falta","Lacuna","Conforme"),IF(B2081="EU-ENV-013",IF(INDEX(tbl_familias_ppwr[Declaracao_UE],MATCH(INDEX(tbl_recyclass[Familia_PPWR],MATCH(A2081,tbl_recyclass[ProductId],0)),tbl_familias_ppwr[ID_Familia],0))="Sim","Conforme","Lacuna"),G2081)))),G2081))</f>
        <v>Não aplicável</v>
      </c>
      <c r="I2081" s="33" t="str">
        <f t="shared" si="32"/>
        <v>Não aplicável</v>
      </c>
      <c r="J2081" s="26"/>
    </row>
    <row r="2082" spans="1:10" ht="16.05" customHeight="1" x14ac:dyDescent="0.3">
      <c r="A2082" s="26" t="s">
        <v>829</v>
      </c>
      <c r="B2082" s="26" t="s">
        <v>1188</v>
      </c>
      <c r="C2082" s="33" t="str">
        <f>IFERROR(INDEX(tbl_requisitos_emb[Tema],MATCH(B2082,tbl_requisitos_emb[ID_Req],0)),"")</f>
        <v>Plásticos em contacto com alimentos</v>
      </c>
      <c r="D2082" s="33" t="str">
        <f>IFERROR(INDEX(tbl_recyclass[Segmento],MATCH(A2082,tbl_recyclass[ProductId],0)),"")</f>
        <v>Cosmética e higiene pessoal</v>
      </c>
      <c r="E2082" s="26" t="s">
        <v>904</v>
      </c>
      <c r="F2082" s="26" t="s">
        <v>1450</v>
      </c>
      <c r="G2082" s="26" t="s">
        <v>1143</v>
      </c>
      <c r="H2082" s="33" t="str">
        <f>IF(E2082="Não","Não aplicável",IFERROR(IF(B2082="EU-ENV-002",IF(INDEX(tbl_recyclass[Conforme_PPWR_2030],MATCH(A2082,tbl_recyclass[ProductId],0))="Sim","Conforme (autoavaliação)",IF(INDEX(tbl_recyclass[Conforme_PPWR_2030],MATCH(A2082,tbl_recyclass[ProductId],0))="Não","Não conforme em 2030","Isento até 2035")),IF(B2082="EU-ENV-003",IF(INDEX(tbl_recyclass[Conforme_Art7_2030],MATCH(A2082,tbl_recyclass[ProductId],0))="Sim","Conforme (meta 2030)",IF(INDEX(tbl_recyclass[Conforme_Art7_2030],MATCH(A2082,tbl_recyclass[ProductId],0))="Não","Lacuna face à meta 2030","Isento")),IF(B2082="EU-ENV-011",IF(INDEX(tbl_familias_ppwr[Metais_Pesados_Evidencia],MATCH(INDEX(tbl_recyclass[Familia_PPWR],MATCH(A2082,tbl_recyclass[ProductId],0)),tbl_familias_ppwr[ID_Familia],0))="Em falta","Lacuna","Conforme"),IF(B2082="EU-ENV-013",IF(INDEX(tbl_familias_ppwr[Declaracao_UE],MATCH(INDEX(tbl_recyclass[Familia_PPWR],MATCH(A2082,tbl_recyclass[ProductId],0)),tbl_familias_ppwr[ID_Familia],0))="Sim","Conforme","Lacuna"),G2082)))),G2082))</f>
        <v>Não aplicável</v>
      </c>
      <c r="I2082" s="33" t="str">
        <f t="shared" si="32"/>
        <v>Não aplicável</v>
      </c>
      <c r="J2082" s="26"/>
    </row>
    <row r="2083" spans="1:10" ht="16.05" customHeight="1" x14ac:dyDescent="0.3">
      <c r="A2083" s="26" t="s">
        <v>829</v>
      </c>
      <c r="B2083" s="26" t="s">
        <v>1212</v>
      </c>
      <c r="C2083" s="33" t="str">
        <f>IFERROR(INDEX(tbl_requisitos_emb[Tema],MATCH(B2083,tbl_requisitos_emb[ID_Req],0)),"")</f>
        <v>Segurança do produto cosmético</v>
      </c>
      <c r="D2083" s="33" t="str">
        <f>IFERROR(INDEX(tbl_recyclass[Segmento],MATCH(A2083,tbl_recyclass[ProductId],0)),"")</f>
        <v>Cosmética e higiene pessoal</v>
      </c>
      <c r="E2083" s="26" t="s">
        <v>901</v>
      </c>
      <c r="F2083" s="26" t="s">
        <v>1449</v>
      </c>
      <c r="G2083" s="26" t="s">
        <v>1033</v>
      </c>
      <c r="H2083" s="33" t="str">
        <f>IF(E2083="Não","Não aplicável",IFERROR(IF(B2083="EU-ENV-002",IF(INDEX(tbl_recyclass[Conforme_PPWR_2030],MATCH(A2083,tbl_recyclass[ProductId],0))="Sim","Conforme (autoavaliação)",IF(INDEX(tbl_recyclass[Conforme_PPWR_2030],MATCH(A2083,tbl_recyclass[ProductId],0))="Não","Não conforme em 2030","Isento até 2035")),IF(B2083="EU-ENV-003",IF(INDEX(tbl_recyclass[Conforme_Art7_2030],MATCH(A2083,tbl_recyclass[ProductId],0))="Sim","Conforme (meta 2030)",IF(INDEX(tbl_recyclass[Conforme_Art7_2030],MATCH(A2083,tbl_recyclass[ProductId],0))="Não","Lacuna face à meta 2030","Isento")),IF(B2083="EU-ENV-011",IF(INDEX(tbl_familias_ppwr[Metais_Pesados_Evidencia],MATCH(INDEX(tbl_recyclass[Familia_PPWR],MATCH(A2083,tbl_recyclass[ProductId],0)),tbl_familias_ppwr[ID_Familia],0))="Em falta","Lacuna","Conforme"),IF(B2083="EU-ENV-013",IF(INDEX(tbl_familias_ppwr[Declaracao_UE],MATCH(INDEX(tbl_recyclass[Familia_PPWR],MATCH(A2083,tbl_recyclass[ProductId],0)),tbl_familias_ppwr[ID_Familia],0))="Sim","Conforme","Lacuna"),G2083)))),G2083))</f>
        <v>Conforme</v>
      </c>
      <c r="I2083" s="33" t="str">
        <f t="shared" si="32"/>
        <v>Conforme</v>
      </c>
      <c r="J2083" s="26" t="s">
        <v>1221</v>
      </c>
    </row>
    <row r="2084" spans="1:10" ht="16.05" customHeight="1" x14ac:dyDescent="0.3">
      <c r="A2084" s="26" t="s">
        <v>829</v>
      </c>
      <c r="B2084" s="26" t="s">
        <v>1224</v>
      </c>
      <c r="C2084" s="33" t="str">
        <f>IFERROR(INDEX(tbl_requisitos_emb[Tema],MATCH(B2084,tbl_requisitos_emb[ID_Req],0)),"")</f>
        <v>Materiais e impurezas</v>
      </c>
      <c r="D2084" s="33" t="str">
        <f>IFERROR(INDEX(tbl_recyclass[Segmento],MATCH(A2084,tbl_recyclass[ProductId],0)),"")</f>
        <v>Cosmética e higiene pessoal</v>
      </c>
      <c r="E2084" s="26" t="s">
        <v>901</v>
      </c>
      <c r="F2084" s="26" t="s">
        <v>1449</v>
      </c>
      <c r="G2084" s="26" t="s">
        <v>978</v>
      </c>
      <c r="H2084" s="33" t="str">
        <f>IF(E2084="Não","Não aplicável",IFERROR(IF(B2084="EU-ENV-002",IF(INDEX(tbl_recyclass[Conforme_PPWR_2030],MATCH(A2084,tbl_recyclass[ProductId],0))="Sim","Conforme (autoavaliação)",IF(INDEX(tbl_recyclass[Conforme_PPWR_2030],MATCH(A2084,tbl_recyclass[ProductId],0))="Não","Não conforme em 2030","Isento até 2035")),IF(B2084="EU-ENV-003",IF(INDEX(tbl_recyclass[Conforme_Art7_2030],MATCH(A2084,tbl_recyclass[ProductId],0))="Sim","Conforme (meta 2030)",IF(INDEX(tbl_recyclass[Conforme_Art7_2030],MATCH(A2084,tbl_recyclass[ProductId],0))="Não","Lacuna face à meta 2030","Isento")),IF(B2084="EU-ENV-011",IF(INDEX(tbl_familias_ppwr[Metais_Pesados_Evidencia],MATCH(INDEX(tbl_recyclass[Familia_PPWR],MATCH(A2084,tbl_recyclass[ProductId],0)),tbl_familias_ppwr[ID_Familia],0))="Em falta","Lacuna","Conforme"),IF(B2084="EU-ENV-013",IF(INDEX(tbl_familias_ppwr[Declaracao_UE],MATCH(INDEX(tbl_recyclass[Familia_PPWR],MATCH(A2084,tbl_recyclass[ProductId],0)),tbl_familias_ppwr[ID_Familia],0))="Sim","Conforme","Lacuna"),G2084)))),G2084))</f>
        <v>Parcial</v>
      </c>
      <c r="I2084" s="33" t="str">
        <f t="shared" si="32"/>
        <v>Parcial</v>
      </c>
      <c r="J2084" s="26" t="s">
        <v>1228</v>
      </c>
    </row>
    <row r="2085" spans="1:10" ht="16.05" customHeight="1" x14ac:dyDescent="0.3">
      <c r="A2085" s="26" t="s">
        <v>829</v>
      </c>
      <c r="B2085" s="26" t="s">
        <v>1240</v>
      </c>
      <c r="C2085" s="33" t="str">
        <f>IFERROR(INDEX(tbl_requisitos_emb[Tema],MATCH(B2085,tbl_requisitos_emb[ID_Req],0)),"")</f>
        <v>Compatibilidade embalagem–produto</v>
      </c>
      <c r="D2085" s="33" t="str">
        <f>IFERROR(INDEX(tbl_recyclass[Segmento],MATCH(A2085,tbl_recyclass[ProductId],0)),"")</f>
        <v>Cosmética e higiene pessoal</v>
      </c>
      <c r="E2085" s="26" t="s">
        <v>901</v>
      </c>
      <c r="F2085" s="26" t="s">
        <v>1449</v>
      </c>
      <c r="G2085" s="26" t="s">
        <v>1033</v>
      </c>
      <c r="H2085" s="33" t="str">
        <f>IF(E2085="Não","Não aplicável",IFERROR(IF(B2085="EU-ENV-002",IF(INDEX(tbl_recyclass[Conforme_PPWR_2030],MATCH(A2085,tbl_recyclass[ProductId],0))="Sim","Conforme (autoavaliação)",IF(INDEX(tbl_recyclass[Conforme_PPWR_2030],MATCH(A2085,tbl_recyclass[ProductId],0))="Não","Não conforme em 2030","Isento até 2035")),IF(B2085="EU-ENV-003",IF(INDEX(tbl_recyclass[Conforme_Art7_2030],MATCH(A2085,tbl_recyclass[ProductId],0))="Sim","Conforme (meta 2030)",IF(INDEX(tbl_recyclass[Conforme_Art7_2030],MATCH(A2085,tbl_recyclass[ProductId],0))="Não","Lacuna face à meta 2030","Isento")),IF(B2085="EU-ENV-011",IF(INDEX(tbl_familias_ppwr[Metais_Pesados_Evidencia],MATCH(INDEX(tbl_recyclass[Familia_PPWR],MATCH(A2085,tbl_recyclass[ProductId],0)),tbl_familias_ppwr[ID_Familia],0))="Em falta","Lacuna","Conforme"),IF(B2085="EU-ENV-013",IF(INDEX(tbl_familias_ppwr[Declaracao_UE],MATCH(INDEX(tbl_recyclass[Familia_PPWR],MATCH(A2085,tbl_recyclass[ProductId],0)),tbl_familias_ppwr[ID_Familia],0))="Sim","Conforme","Lacuna"),G2085)))),G2085))</f>
        <v>Conforme</v>
      </c>
      <c r="I2085" s="33" t="str">
        <f t="shared" si="32"/>
        <v>Conforme</v>
      </c>
      <c r="J2085" s="26" t="s">
        <v>1244</v>
      </c>
    </row>
    <row r="2086" spans="1:10" ht="16.05" customHeight="1" x14ac:dyDescent="0.3">
      <c r="A2086" s="26" t="s">
        <v>829</v>
      </c>
      <c r="B2086" s="26" t="s">
        <v>1252</v>
      </c>
      <c r="C2086" s="33" t="str">
        <f>IFERROR(INDEX(tbl_requisitos_emb[Tema],MATCH(B2086,tbl_requisitos_emb[ID_Req],0)),"")</f>
        <v>Medicamentos de uso humano</v>
      </c>
      <c r="D2086" s="33" t="str">
        <f>IFERROR(INDEX(tbl_recyclass[Segmento],MATCH(A2086,tbl_recyclass[ProductId],0)),"")</f>
        <v>Cosmética e higiene pessoal</v>
      </c>
      <c r="E2086" s="26" t="s">
        <v>904</v>
      </c>
      <c r="F2086" s="26" t="s">
        <v>1451</v>
      </c>
      <c r="G2086" s="26" t="s">
        <v>1143</v>
      </c>
      <c r="H2086" s="33" t="str">
        <f>IF(E2086="Não","Não aplicável",IFERROR(IF(B2086="EU-ENV-002",IF(INDEX(tbl_recyclass[Conforme_PPWR_2030],MATCH(A2086,tbl_recyclass[ProductId],0))="Sim","Conforme (autoavaliação)",IF(INDEX(tbl_recyclass[Conforme_PPWR_2030],MATCH(A2086,tbl_recyclass[ProductId],0))="Não","Não conforme em 2030","Isento até 2035")),IF(B2086="EU-ENV-003",IF(INDEX(tbl_recyclass[Conforme_Art7_2030],MATCH(A2086,tbl_recyclass[ProductId],0))="Sim","Conforme (meta 2030)",IF(INDEX(tbl_recyclass[Conforme_Art7_2030],MATCH(A2086,tbl_recyclass[ProductId],0))="Não","Lacuna face à meta 2030","Isento")),IF(B2086="EU-ENV-011",IF(INDEX(tbl_familias_ppwr[Metais_Pesados_Evidencia],MATCH(INDEX(tbl_recyclass[Familia_PPWR],MATCH(A2086,tbl_recyclass[ProductId],0)),tbl_familias_ppwr[ID_Familia],0))="Em falta","Lacuna","Conforme"),IF(B2086="EU-ENV-013",IF(INDEX(tbl_familias_ppwr[Declaracao_UE],MATCH(INDEX(tbl_recyclass[Familia_PPWR],MATCH(A2086,tbl_recyclass[ProductId],0)),tbl_familias_ppwr[ID_Familia],0))="Sim","Conforme","Lacuna"),G2086)))),G2086))</f>
        <v>Não aplicável</v>
      </c>
      <c r="I2086" s="33" t="str">
        <f t="shared" si="32"/>
        <v>Não aplicável</v>
      </c>
      <c r="J2086" s="26"/>
    </row>
    <row r="2087" spans="1:10" ht="16.05" customHeight="1" x14ac:dyDescent="0.3">
      <c r="A2087" s="26" t="s">
        <v>829</v>
      </c>
      <c r="B2087" s="26" t="s">
        <v>1268</v>
      </c>
      <c r="C2087" s="33" t="str">
        <f>IFERROR(INDEX(tbl_requisitos_emb[Tema],MATCH(B2087,tbl_requisitos_emb[ID_Req],0)),"")</f>
        <v>Dispositivos de segurança</v>
      </c>
      <c r="D2087" s="33" t="str">
        <f>IFERROR(INDEX(tbl_recyclass[Segmento],MATCH(A2087,tbl_recyclass[ProductId],0)),"")</f>
        <v>Cosmética e higiene pessoal</v>
      </c>
      <c r="E2087" s="26" t="s">
        <v>904</v>
      </c>
      <c r="F2087" s="26" t="s">
        <v>1451</v>
      </c>
      <c r="G2087" s="26" t="s">
        <v>1143</v>
      </c>
      <c r="H2087" s="33" t="str">
        <f>IF(E2087="Não","Não aplicável",IFERROR(IF(B2087="EU-ENV-002",IF(INDEX(tbl_recyclass[Conforme_PPWR_2030],MATCH(A2087,tbl_recyclass[ProductId],0))="Sim","Conforme (autoavaliação)",IF(INDEX(tbl_recyclass[Conforme_PPWR_2030],MATCH(A2087,tbl_recyclass[ProductId],0))="Não","Não conforme em 2030","Isento até 2035")),IF(B2087="EU-ENV-003",IF(INDEX(tbl_recyclass[Conforme_Art7_2030],MATCH(A2087,tbl_recyclass[ProductId],0))="Sim","Conforme (meta 2030)",IF(INDEX(tbl_recyclass[Conforme_Art7_2030],MATCH(A2087,tbl_recyclass[ProductId],0))="Não","Lacuna face à meta 2030","Isento")),IF(B2087="EU-ENV-011",IF(INDEX(tbl_familias_ppwr[Metais_Pesados_Evidencia],MATCH(INDEX(tbl_recyclass[Familia_PPWR],MATCH(A2087,tbl_recyclass[ProductId],0)),tbl_familias_ppwr[ID_Familia],0))="Em falta","Lacuna","Conforme"),IF(B2087="EU-ENV-013",IF(INDEX(tbl_familias_ppwr[Declaracao_UE],MATCH(INDEX(tbl_recyclass[Familia_PPWR],MATCH(A2087,tbl_recyclass[ProductId],0)),tbl_familias_ppwr[ID_Familia],0))="Sim","Conforme","Lacuna"),G2087)))),G2087))</f>
        <v>Não aplicável</v>
      </c>
      <c r="I2087" s="33" t="str">
        <f t="shared" si="32"/>
        <v>Não aplicável</v>
      </c>
      <c r="J2087" s="26"/>
    </row>
    <row r="2088" spans="1:10" ht="16.05" customHeight="1" x14ac:dyDescent="0.3">
      <c r="A2088" s="26" t="s">
        <v>829</v>
      </c>
      <c r="B2088" s="26" t="s">
        <v>1285</v>
      </c>
      <c r="C2088" s="33" t="str">
        <f>IFERROR(INDEX(tbl_requisitos_emb[Tema],MATCH(B2088,tbl_requisitos_emb[ID_Req],0)),"")</f>
        <v>Materiais plásticos de acondicionamento primário</v>
      </c>
      <c r="D2088" s="33" t="str">
        <f>IFERROR(INDEX(tbl_recyclass[Segmento],MATCH(A2088,tbl_recyclass[ProductId],0)),"")</f>
        <v>Cosmética e higiene pessoal</v>
      </c>
      <c r="E2088" s="26" t="s">
        <v>904</v>
      </c>
      <c r="F2088" s="26" t="s">
        <v>1451</v>
      </c>
      <c r="G2088" s="26" t="s">
        <v>1143</v>
      </c>
      <c r="H2088" s="33" t="str">
        <f>IF(E2088="Não","Não aplicável",IFERROR(IF(B2088="EU-ENV-002",IF(INDEX(tbl_recyclass[Conforme_PPWR_2030],MATCH(A2088,tbl_recyclass[ProductId],0))="Sim","Conforme (autoavaliação)",IF(INDEX(tbl_recyclass[Conforme_PPWR_2030],MATCH(A2088,tbl_recyclass[ProductId],0))="Não","Não conforme em 2030","Isento até 2035")),IF(B2088="EU-ENV-003",IF(INDEX(tbl_recyclass[Conforme_Art7_2030],MATCH(A2088,tbl_recyclass[ProductId],0))="Sim","Conforme (meta 2030)",IF(INDEX(tbl_recyclass[Conforme_Art7_2030],MATCH(A2088,tbl_recyclass[ProductId],0))="Não","Lacuna face à meta 2030","Isento")),IF(B2088="EU-ENV-011",IF(INDEX(tbl_familias_ppwr[Metais_Pesados_Evidencia],MATCH(INDEX(tbl_recyclass[Familia_PPWR],MATCH(A2088,tbl_recyclass[ProductId],0)),tbl_familias_ppwr[ID_Familia],0))="Em falta","Lacuna","Conforme"),IF(B2088="EU-ENV-013",IF(INDEX(tbl_familias_ppwr[Declaracao_UE],MATCH(INDEX(tbl_recyclass[Familia_PPWR],MATCH(A2088,tbl_recyclass[ProductId],0)),tbl_familias_ppwr[ID_Familia],0))="Sim","Conforme","Lacuna"),G2088)))),G2088))</f>
        <v>Não aplicável</v>
      </c>
      <c r="I2088" s="33" t="str">
        <f t="shared" si="32"/>
        <v>Não aplicável</v>
      </c>
      <c r="J2088" s="26"/>
    </row>
    <row r="2089" spans="1:10" ht="16.05" customHeight="1" x14ac:dyDescent="0.3">
      <c r="A2089" s="26" t="s">
        <v>829</v>
      </c>
      <c r="B2089" s="26" t="s">
        <v>1293</v>
      </c>
      <c r="C2089" s="33" t="str">
        <f>IFERROR(INDEX(tbl_requisitos_emb[Tema],MATCH(B2089,tbl_requisitos_emb[ID_Req],0)),"")</f>
        <v>Isenções PPWR</v>
      </c>
      <c r="D2089" s="33" t="str">
        <f>IFERROR(INDEX(tbl_recyclass[Segmento],MATCH(A2089,tbl_recyclass[ProductId],0)),"")</f>
        <v>Cosmética e higiene pessoal</v>
      </c>
      <c r="E2089" s="26" t="s">
        <v>904</v>
      </c>
      <c r="F2089" s="26" t="s">
        <v>1451</v>
      </c>
      <c r="G2089" s="26" t="s">
        <v>1143</v>
      </c>
      <c r="H2089" s="33" t="str">
        <f>IF(E2089="Não","Não aplicável",IFERROR(IF(B2089="EU-ENV-002",IF(INDEX(tbl_recyclass[Conforme_PPWR_2030],MATCH(A2089,tbl_recyclass[ProductId],0))="Sim","Conforme (autoavaliação)",IF(INDEX(tbl_recyclass[Conforme_PPWR_2030],MATCH(A2089,tbl_recyclass[ProductId],0))="Não","Não conforme em 2030","Isento até 2035")),IF(B2089="EU-ENV-003",IF(INDEX(tbl_recyclass[Conforme_Art7_2030],MATCH(A2089,tbl_recyclass[ProductId],0))="Sim","Conforme (meta 2030)",IF(INDEX(tbl_recyclass[Conforme_Art7_2030],MATCH(A2089,tbl_recyclass[ProductId],0))="Não","Lacuna face à meta 2030","Isento")),IF(B2089="EU-ENV-011",IF(INDEX(tbl_familias_ppwr[Metais_Pesados_Evidencia],MATCH(INDEX(tbl_recyclass[Familia_PPWR],MATCH(A2089,tbl_recyclass[ProductId],0)),tbl_familias_ppwr[ID_Familia],0))="Em falta","Lacuna","Conforme"),IF(B2089="EU-ENV-013",IF(INDEX(tbl_familias_ppwr[Declaracao_UE],MATCH(INDEX(tbl_recyclass[Familia_PPWR],MATCH(A2089,tbl_recyclass[ProductId],0)),tbl_familias_ppwr[ID_Familia],0))="Sim","Conforme","Lacuna"),G2089)))),G2089))</f>
        <v>Não aplicável</v>
      </c>
      <c r="I2089" s="33" t="str">
        <f t="shared" si="32"/>
        <v>Não aplicável</v>
      </c>
      <c r="J2089" s="26"/>
    </row>
    <row r="2090" spans="1:10" ht="16.05" customHeight="1" x14ac:dyDescent="0.3">
      <c r="A2090" s="26" t="s">
        <v>829</v>
      </c>
      <c r="B2090" s="26" t="s">
        <v>1357</v>
      </c>
      <c r="C2090" s="33" t="str">
        <f>IFERROR(INDEX(tbl_requisitos_emb[Tema],MATCH(B2090,tbl_requisitos_emb[ID_Req],0)),"")</f>
        <v>Identificação de plásticos</v>
      </c>
      <c r="D2090" s="33" t="str">
        <f>IFERROR(INDEX(tbl_recyclass[Segmento],MATCH(A2090,tbl_recyclass[ProductId],0)),"")</f>
        <v>Cosmética e higiene pessoal</v>
      </c>
      <c r="E2090" s="26" t="s">
        <v>901</v>
      </c>
      <c r="F2090" s="26" t="s">
        <v>1449</v>
      </c>
      <c r="G2090" s="26" t="s">
        <v>978</v>
      </c>
      <c r="H2090" s="33" t="str">
        <f>IF(E2090="Não","Não aplicável",IFERROR(IF(B2090="EU-ENV-002",IF(INDEX(tbl_recyclass[Conforme_PPWR_2030],MATCH(A2090,tbl_recyclass[ProductId],0))="Sim","Conforme (autoavaliação)",IF(INDEX(tbl_recyclass[Conforme_PPWR_2030],MATCH(A2090,tbl_recyclass[ProductId],0))="Não","Não conforme em 2030","Isento até 2035")),IF(B2090="EU-ENV-003",IF(INDEX(tbl_recyclass[Conforme_Art7_2030],MATCH(A2090,tbl_recyclass[ProductId],0))="Sim","Conforme (meta 2030)",IF(INDEX(tbl_recyclass[Conforme_Art7_2030],MATCH(A2090,tbl_recyclass[ProductId],0))="Não","Lacuna face à meta 2030","Isento")),IF(B2090="EU-ENV-011",IF(INDEX(tbl_familias_ppwr[Metais_Pesados_Evidencia],MATCH(INDEX(tbl_recyclass[Familia_PPWR],MATCH(A2090,tbl_recyclass[ProductId],0)),tbl_familias_ppwr[ID_Familia],0))="Em falta","Lacuna","Conforme"),IF(B2090="EU-ENV-013",IF(INDEX(tbl_familias_ppwr[Declaracao_UE],MATCH(INDEX(tbl_recyclass[Familia_PPWR],MATCH(A2090,tbl_recyclass[ProductId],0)),tbl_familias_ppwr[ID_Familia],0))="Sim","Conforme","Lacuna"),G2090)))),G2090))</f>
        <v>Parcial</v>
      </c>
      <c r="I2090" s="33" t="str">
        <f t="shared" si="32"/>
        <v>Parcial</v>
      </c>
      <c r="J2090" s="26" t="s">
        <v>1362</v>
      </c>
    </row>
    <row r="2091" spans="1:10" ht="16.05" customHeight="1" x14ac:dyDescent="0.3">
      <c r="A2091" s="26" t="s">
        <v>829</v>
      </c>
      <c r="B2091" s="26" t="s">
        <v>1385</v>
      </c>
      <c r="C2091" s="33" t="str">
        <f>IFERROR(INDEX(tbl_requisitos_emb[Tema],MATCH(B2091,tbl_requisitos_emb[ID_Req],0)),"")</f>
        <v>Reciclabilidade (voluntária)</v>
      </c>
      <c r="D2091" s="33" t="str">
        <f>IFERROR(INDEX(tbl_recyclass[Segmento],MATCH(A2091,tbl_recyclass[ProductId],0)),"")</f>
        <v>Cosmética e higiene pessoal</v>
      </c>
      <c r="E2091" s="26" t="s">
        <v>901</v>
      </c>
      <c r="F2091" s="26" t="s">
        <v>1449</v>
      </c>
      <c r="G2091" s="26" t="s">
        <v>978</v>
      </c>
      <c r="H2091" s="33" t="str">
        <f>IF(E2091="Não","Não aplicável",IFERROR(IF(B2091="EU-ENV-002",IF(INDEX(tbl_recyclass[Conforme_PPWR_2030],MATCH(A2091,tbl_recyclass[ProductId],0))="Sim","Conforme (autoavaliação)",IF(INDEX(tbl_recyclass[Conforme_PPWR_2030],MATCH(A2091,tbl_recyclass[ProductId],0))="Não","Não conforme em 2030","Isento até 2035")),IF(B2091="EU-ENV-003",IF(INDEX(tbl_recyclass[Conforme_Art7_2030],MATCH(A2091,tbl_recyclass[ProductId],0))="Sim","Conforme (meta 2030)",IF(INDEX(tbl_recyclass[Conforme_Art7_2030],MATCH(A2091,tbl_recyclass[ProductId],0))="Não","Lacuna face à meta 2030","Isento")),IF(B2091="EU-ENV-011",IF(INDEX(tbl_familias_ppwr[Metais_Pesados_Evidencia],MATCH(INDEX(tbl_recyclass[Familia_PPWR],MATCH(A2091,tbl_recyclass[ProductId],0)),tbl_familias_ppwr[ID_Familia],0))="Em falta","Lacuna","Conforme"),IF(B2091="EU-ENV-013",IF(INDEX(tbl_familias_ppwr[Declaracao_UE],MATCH(INDEX(tbl_recyclass[Familia_PPWR],MATCH(A2091,tbl_recyclass[ProductId],0)),tbl_familias_ppwr[ID_Familia],0))="Sim","Conforme","Lacuna"),G2091)))),G2091))</f>
        <v>Parcial</v>
      </c>
      <c r="I2091" s="33" t="str">
        <f t="shared" si="32"/>
        <v>Parcial</v>
      </c>
      <c r="J2091" s="26" t="s">
        <v>1389</v>
      </c>
    </row>
    <row r="2092" spans="1:10" ht="16.05" customHeight="1" x14ac:dyDescent="0.3">
      <c r="A2092" s="26" t="s">
        <v>831</v>
      </c>
      <c r="B2092" s="26" t="s">
        <v>984</v>
      </c>
      <c r="C2092" s="33" t="str">
        <f>IFERROR(INDEX(tbl_requisitos_emb[Tema],MATCH(B2092,tbl_requisitos_emb[ID_Req],0)),"")</f>
        <v>Conceção para reciclagem</v>
      </c>
      <c r="D2092" s="33" t="str">
        <f>IFERROR(INDEX(tbl_recyclass[Segmento],MATCH(A2092,tbl_recyclass[ProductId],0)),"")</f>
        <v>Cosmética e higiene pessoal</v>
      </c>
      <c r="E2092" s="26" t="s">
        <v>901</v>
      </c>
      <c r="F2092" s="26" t="s">
        <v>1449</v>
      </c>
      <c r="G2092" s="26" t="s">
        <v>978</v>
      </c>
      <c r="H2092" s="33" t="str">
        <f>IF(E2092="Não","Não aplicável",IFERROR(IF(B2092="EU-ENV-002",IF(INDEX(tbl_recyclass[Conforme_PPWR_2030],MATCH(A2092,tbl_recyclass[ProductId],0))="Sim","Conforme (autoavaliação)",IF(INDEX(tbl_recyclass[Conforme_PPWR_2030],MATCH(A2092,tbl_recyclass[ProductId],0))="Não","Não conforme em 2030","Isento até 2035")),IF(B2092="EU-ENV-003",IF(INDEX(tbl_recyclass[Conforme_Art7_2030],MATCH(A2092,tbl_recyclass[ProductId],0))="Sim","Conforme (meta 2030)",IF(INDEX(tbl_recyclass[Conforme_Art7_2030],MATCH(A2092,tbl_recyclass[ProductId],0))="Não","Lacuna face à meta 2030","Isento")),IF(B2092="EU-ENV-011",IF(INDEX(tbl_familias_ppwr[Metais_Pesados_Evidencia],MATCH(INDEX(tbl_recyclass[Familia_PPWR],MATCH(A2092,tbl_recyclass[ProductId],0)),tbl_familias_ppwr[ID_Familia],0))="Em falta","Lacuna","Conforme"),IF(B2092="EU-ENV-013",IF(INDEX(tbl_familias_ppwr[Declaracao_UE],MATCH(INDEX(tbl_recyclass[Familia_PPWR],MATCH(A2092,tbl_recyclass[ProductId],0)),tbl_familias_ppwr[ID_Familia],0))="Sim","Conforme","Lacuna"),G2092)))),G2092))</f>
        <v>Conforme (autoavaliação)</v>
      </c>
      <c r="I2092" s="33" t="str">
        <f t="shared" si="32"/>
        <v>Conforme</v>
      </c>
      <c r="J2092" s="26" t="s">
        <v>991</v>
      </c>
    </row>
    <row r="2093" spans="1:10" ht="16.05" customHeight="1" x14ac:dyDescent="0.3">
      <c r="A2093" s="26" t="s">
        <v>831</v>
      </c>
      <c r="B2093" s="26" t="s">
        <v>997</v>
      </c>
      <c r="C2093" s="33" t="str">
        <f>IFERROR(INDEX(tbl_requisitos_emb[Tema],MATCH(B2093,tbl_requisitos_emb[ID_Req],0)),"")</f>
        <v>Conteúdo reciclado</v>
      </c>
      <c r="D2093" s="33" t="str">
        <f>IFERROR(INDEX(tbl_recyclass[Segmento],MATCH(A2093,tbl_recyclass[ProductId],0)),"")</f>
        <v>Cosmética e higiene pessoal</v>
      </c>
      <c r="E2093" s="26" t="s">
        <v>901</v>
      </c>
      <c r="F2093" s="26" t="s">
        <v>1449</v>
      </c>
      <c r="G2093" s="26" t="s">
        <v>978</v>
      </c>
      <c r="H2093" s="33" t="str">
        <f>IF(E2093="Não","Não aplicável",IFERROR(IF(B2093="EU-ENV-002",IF(INDEX(tbl_recyclass[Conforme_PPWR_2030],MATCH(A2093,tbl_recyclass[ProductId],0))="Sim","Conforme (autoavaliação)",IF(INDEX(tbl_recyclass[Conforme_PPWR_2030],MATCH(A2093,tbl_recyclass[ProductId],0))="Não","Não conforme em 2030","Isento até 2035")),IF(B2093="EU-ENV-003",IF(INDEX(tbl_recyclass[Conforme_Art7_2030],MATCH(A2093,tbl_recyclass[ProductId],0))="Sim","Conforme (meta 2030)",IF(INDEX(tbl_recyclass[Conforme_Art7_2030],MATCH(A2093,tbl_recyclass[ProductId],0))="Não","Lacuna face à meta 2030","Isento")),IF(B2093="EU-ENV-011",IF(INDEX(tbl_familias_ppwr[Metais_Pesados_Evidencia],MATCH(INDEX(tbl_recyclass[Familia_PPWR],MATCH(A2093,tbl_recyclass[ProductId],0)),tbl_familias_ppwr[ID_Familia],0))="Em falta","Lacuna","Conforme"),IF(B2093="EU-ENV-013",IF(INDEX(tbl_familias_ppwr[Declaracao_UE],MATCH(INDEX(tbl_recyclass[Familia_PPWR],MATCH(A2093,tbl_recyclass[ProductId],0)),tbl_familias_ppwr[ID_Familia],0))="Sim","Conforme","Lacuna"),G2093)))),G2093))</f>
        <v>Lacuna face à meta 2030</v>
      </c>
      <c r="I2093" s="33" t="str">
        <f t="shared" si="32"/>
        <v>Lacuna</v>
      </c>
      <c r="J2093" s="26" t="s">
        <v>1001</v>
      </c>
    </row>
    <row r="2094" spans="1:10" ht="16.05" customHeight="1" x14ac:dyDescent="0.3">
      <c r="A2094" s="26" t="s">
        <v>831</v>
      </c>
      <c r="B2094" s="26" t="s">
        <v>1007</v>
      </c>
      <c r="C2094" s="33" t="str">
        <f>IFERROR(INDEX(tbl_requisitos_emb[Tema],MATCH(B2094,tbl_requisitos_emb[ID_Req],0)),"")</f>
        <v>Minimização</v>
      </c>
      <c r="D2094" s="33" t="str">
        <f>IFERROR(INDEX(tbl_recyclass[Segmento],MATCH(A2094,tbl_recyclass[ProductId],0)),"")</f>
        <v>Cosmética e higiene pessoal</v>
      </c>
      <c r="E2094" s="26" t="s">
        <v>901</v>
      </c>
      <c r="F2094" s="26" t="s">
        <v>1449</v>
      </c>
      <c r="G2094" s="26" t="s">
        <v>978</v>
      </c>
      <c r="H2094" s="33" t="str">
        <f>IF(E2094="Não","Não aplicável",IFERROR(IF(B2094="EU-ENV-002",IF(INDEX(tbl_recyclass[Conforme_PPWR_2030],MATCH(A2094,tbl_recyclass[ProductId],0))="Sim","Conforme (autoavaliação)",IF(INDEX(tbl_recyclass[Conforme_PPWR_2030],MATCH(A2094,tbl_recyclass[ProductId],0))="Não","Não conforme em 2030","Isento até 2035")),IF(B2094="EU-ENV-003",IF(INDEX(tbl_recyclass[Conforme_Art7_2030],MATCH(A2094,tbl_recyclass[ProductId],0))="Sim","Conforme (meta 2030)",IF(INDEX(tbl_recyclass[Conforme_Art7_2030],MATCH(A2094,tbl_recyclass[ProductId],0))="Não","Lacuna face à meta 2030","Isento")),IF(B2094="EU-ENV-011",IF(INDEX(tbl_familias_ppwr[Metais_Pesados_Evidencia],MATCH(INDEX(tbl_recyclass[Familia_PPWR],MATCH(A2094,tbl_recyclass[ProductId],0)),tbl_familias_ppwr[ID_Familia],0))="Em falta","Lacuna","Conforme"),IF(B2094="EU-ENV-013",IF(INDEX(tbl_familias_ppwr[Declaracao_UE],MATCH(INDEX(tbl_recyclass[Familia_PPWR],MATCH(A2094,tbl_recyclass[ProductId],0)),tbl_familias_ppwr[ID_Familia],0))="Sim","Conforme","Lacuna"),G2094)))),G2094))</f>
        <v>Parcial</v>
      </c>
      <c r="I2094" s="33" t="str">
        <f t="shared" si="32"/>
        <v>Parcial</v>
      </c>
      <c r="J2094" s="26" t="s">
        <v>1012</v>
      </c>
    </row>
    <row r="2095" spans="1:10" ht="16.05" customHeight="1" x14ac:dyDescent="0.3">
      <c r="A2095" s="26" t="s">
        <v>831</v>
      </c>
      <c r="B2095" s="26" t="s">
        <v>1016</v>
      </c>
      <c r="C2095" s="33" t="str">
        <f>IFERROR(INDEX(tbl_requisitos_emb[Tema],MATCH(B2095,tbl_requisitos_emb[ID_Req],0)),"")</f>
        <v>Rotulagem</v>
      </c>
      <c r="D2095" s="33" t="str">
        <f>IFERROR(INDEX(tbl_recyclass[Segmento],MATCH(A2095,tbl_recyclass[ProductId],0)),"")</f>
        <v>Cosmética e higiene pessoal</v>
      </c>
      <c r="E2095" s="26" t="s">
        <v>901</v>
      </c>
      <c r="F2095" s="26" t="s">
        <v>1449</v>
      </c>
      <c r="G2095" s="26" t="s">
        <v>990</v>
      </c>
      <c r="H2095" s="33" t="str">
        <f>IF(E2095="Não","Não aplicável",IFERROR(IF(B2095="EU-ENV-002",IF(INDEX(tbl_recyclass[Conforme_PPWR_2030],MATCH(A2095,tbl_recyclass[ProductId],0))="Sim","Conforme (autoavaliação)",IF(INDEX(tbl_recyclass[Conforme_PPWR_2030],MATCH(A2095,tbl_recyclass[ProductId],0))="Não","Não conforme em 2030","Isento até 2035")),IF(B2095="EU-ENV-003",IF(INDEX(tbl_recyclass[Conforme_Art7_2030],MATCH(A2095,tbl_recyclass[ProductId],0))="Sim","Conforme (meta 2030)",IF(INDEX(tbl_recyclass[Conforme_Art7_2030],MATCH(A2095,tbl_recyclass[ProductId],0))="Não","Lacuna face à meta 2030","Isento")),IF(B2095="EU-ENV-011",IF(INDEX(tbl_familias_ppwr[Metais_Pesados_Evidencia],MATCH(INDEX(tbl_recyclass[Familia_PPWR],MATCH(A2095,tbl_recyclass[ProductId],0)),tbl_familias_ppwr[ID_Familia],0))="Em falta","Lacuna","Conforme"),IF(B2095="EU-ENV-013",IF(INDEX(tbl_familias_ppwr[Declaracao_UE],MATCH(INDEX(tbl_recyclass[Familia_PPWR],MATCH(A2095,tbl_recyclass[ProductId],0)),tbl_familias_ppwr[ID_Familia],0))="Sim","Conforme","Lacuna"),G2095)))),G2095))</f>
        <v>Futuro</v>
      </c>
      <c r="I2095" s="33" t="str">
        <f t="shared" si="32"/>
        <v>Futuro</v>
      </c>
      <c r="J2095" s="26" t="s">
        <v>1021</v>
      </c>
    </row>
    <row r="2096" spans="1:10" ht="16.05" customHeight="1" x14ac:dyDescent="0.3">
      <c r="A2096" s="26" t="s">
        <v>831</v>
      </c>
      <c r="B2096" s="26" t="s">
        <v>1038</v>
      </c>
      <c r="C2096" s="33" t="str">
        <f>IFERROR(INDEX(tbl_requisitos_emb[Tema],MATCH(B2096,tbl_requisitos_emb[ID_Req],0)),"")</f>
        <v>Plásticos de utilização única</v>
      </c>
      <c r="D2096" s="33" t="str">
        <f>IFERROR(INDEX(tbl_recyclass[Segmento],MATCH(A2096,tbl_recyclass[ProductId],0)),"")</f>
        <v>Cosmética e higiene pessoal</v>
      </c>
      <c r="E2096" s="26" t="s">
        <v>904</v>
      </c>
      <c r="F2096" s="26" t="s">
        <v>1450</v>
      </c>
      <c r="G2096" s="26" t="s">
        <v>1143</v>
      </c>
      <c r="H2096" s="33" t="str">
        <f>IF(E2096="Não","Não aplicável",IFERROR(IF(B2096="EU-ENV-002",IF(INDEX(tbl_recyclass[Conforme_PPWR_2030],MATCH(A2096,tbl_recyclass[ProductId],0))="Sim","Conforme (autoavaliação)",IF(INDEX(tbl_recyclass[Conforme_PPWR_2030],MATCH(A2096,tbl_recyclass[ProductId],0))="Não","Não conforme em 2030","Isento até 2035")),IF(B2096="EU-ENV-003",IF(INDEX(tbl_recyclass[Conforme_Art7_2030],MATCH(A2096,tbl_recyclass[ProductId],0))="Sim","Conforme (meta 2030)",IF(INDEX(tbl_recyclass[Conforme_Art7_2030],MATCH(A2096,tbl_recyclass[ProductId],0))="Não","Lacuna face à meta 2030","Isento")),IF(B2096="EU-ENV-011",IF(INDEX(tbl_familias_ppwr[Metais_Pesados_Evidencia],MATCH(INDEX(tbl_recyclass[Familia_PPWR],MATCH(A2096,tbl_recyclass[ProductId],0)),tbl_familias_ppwr[ID_Familia],0))="Em falta","Lacuna","Conforme"),IF(B2096="EU-ENV-013",IF(INDEX(tbl_familias_ppwr[Declaracao_UE],MATCH(INDEX(tbl_recyclass[Familia_PPWR],MATCH(A2096,tbl_recyclass[ProductId],0)),tbl_familias_ppwr[ID_Familia],0))="Sim","Conforme","Lacuna"),G2096)))),G2096))</f>
        <v>Não aplicável</v>
      </c>
      <c r="I2096" s="33" t="str">
        <f t="shared" si="32"/>
        <v>Não aplicável</v>
      </c>
      <c r="J2096" s="26"/>
    </row>
    <row r="2097" spans="1:10" ht="16.05" customHeight="1" x14ac:dyDescent="0.3">
      <c r="A2097" s="26" t="s">
        <v>831</v>
      </c>
      <c r="B2097" s="26" t="s">
        <v>1078</v>
      </c>
      <c r="C2097" s="33" t="str">
        <f>IFERROR(INDEX(tbl_requisitos_emb[Tema],MATCH(B2097,tbl_requisitos_emb[ID_Req],0)),"")</f>
        <v>Reciclado à escala</v>
      </c>
      <c r="D2097" s="33" t="str">
        <f>IFERROR(INDEX(tbl_recyclass[Segmento],MATCH(A2097,tbl_recyclass[ProductId],0)),"")</f>
        <v>Cosmética e higiene pessoal</v>
      </c>
      <c r="E2097" s="26" t="s">
        <v>901</v>
      </c>
      <c r="F2097" s="26" t="s">
        <v>1449</v>
      </c>
      <c r="G2097" s="26" t="s">
        <v>990</v>
      </c>
      <c r="H2097" s="33" t="str">
        <f>IF(E2097="Não","Não aplicável",IFERROR(IF(B2097="EU-ENV-002",IF(INDEX(tbl_recyclass[Conforme_PPWR_2030],MATCH(A2097,tbl_recyclass[ProductId],0))="Sim","Conforme (autoavaliação)",IF(INDEX(tbl_recyclass[Conforme_PPWR_2030],MATCH(A2097,tbl_recyclass[ProductId],0))="Não","Não conforme em 2030","Isento até 2035")),IF(B2097="EU-ENV-003",IF(INDEX(tbl_recyclass[Conforme_Art7_2030],MATCH(A2097,tbl_recyclass[ProductId],0))="Sim","Conforme (meta 2030)",IF(INDEX(tbl_recyclass[Conforme_Art7_2030],MATCH(A2097,tbl_recyclass[ProductId],0))="Não","Lacuna face à meta 2030","Isento")),IF(B2097="EU-ENV-011",IF(INDEX(tbl_familias_ppwr[Metais_Pesados_Evidencia],MATCH(INDEX(tbl_recyclass[Familia_PPWR],MATCH(A2097,tbl_recyclass[ProductId],0)),tbl_familias_ppwr[ID_Familia],0))="Em falta","Lacuna","Conforme"),IF(B2097="EU-ENV-013",IF(INDEX(tbl_familias_ppwr[Declaracao_UE],MATCH(INDEX(tbl_recyclass[Familia_PPWR],MATCH(A2097,tbl_recyclass[ProductId],0)),tbl_familias_ppwr[ID_Familia],0))="Sim","Conforme","Lacuna"),G2097)))),G2097))</f>
        <v>Futuro</v>
      </c>
      <c r="I2097" s="33" t="str">
        <f t="shared" si="32"/>
        <v>Futuro</v>
      </c>
      <c r="J2097" s="26" t="s">
        <v>1082</v>
      </c>
    </row>
    <row r="2098" spans="1:10" ht="16.05" customHeight="1" x14ac:dyDescent="0.3">
      <c r="A2098" s="26" t="s">
        <v>831</v>
      </c>
      <c r="B2098" s="26" t="s">
        <v>1086</v>
      </c>
      <c r="C2098" s="33" t="str">
        <f>IFERROR(INDEX(tbl_requisitos_emb[Tema],MATCH(B2098,tbl_requisitos_emb[ID_Req],0)),"")</f>
        <v>Metais pesados</v>
      </c>
      <c r="D2098" s="33" t="str">
        <f>IFERROR(INDEX(tbl_recyclass[Segmento],MATCH(A2098,tbl_recyclass[ProductId],0)),"")</f>
        <v>Cosmética e higiene pessoal</v>
      </c>
      <c r="E2098" s="26" t="s">
        <v>901</v>
      </c>
      <c r="F2098" s="26" t="s">
        <v>1449</v>
      </c>
      <c r="G2098" s="26" t="s">
        <v>978</v>
      </c>
      <c r="H2098" s="33" t="str">
        <f>IF(E2098="Não","Não aplicável",IFERROR(IF(B2098="EU-ENV-002",IF(INDEX(tbl_recyclass[Conforme_PPWR_2030],MATCH(A2098,tbl_recyclass[ProductId],0))="Sim","Conforme (autoavaliação)",IF(INDEX(tbl_recyclass[Conforme_PPWR_2030],MATCH(A2098,tbl_recyclass[ProductId],0))="Não","Não conforme em 2030","Isento até 2035")),IF(B2098="EU-ENV-003",IF(INDEX(tbl_recyclass[Conforme_Art7_2030],MATCH(A2098,tbl_recyclass[ProductId],0))="Sim","Conforme (meta 2030)",IF(INDEX(tbl_recyclass[Conforme_Art7_2030],MATCH(A2098,tbl_recyclass[ProductId],0))="Não","Lacuna face à meta 2030","Isento")),IF(B2098="EU-ENV-011",IF(INDEX(tbl_familias_ppwr[Metais_Pesados_Evidencia],MATCH(INDEX(tbl_recyclass[Familia_PPWR],MATCH(A2098,tbl_recyclass[ProductId],0)),tbl_familias_ppwr[ID_Familia],0))="Em falta","Lacuna","Conforme"),IF(B2098="EU-ENV-013",IF(INDEX(tbl_familias_ppwr[Declaracao_UE],MATCH(INDEX(tbl_recyclass[Familia_PPWR],MATCH(A2098,tbl_recyclass[ProductId],0)),tbl_familias_ppwr[ID_Familia],0))="Sim","Conforme","Lacuna"),G2098)))),G2098))</f>
        <v>Conforme</v>
      </c>
      <c r="I2098" s="33" t="str">
        <f t="shared" si="32"/>
        <v>Conforme</v>
      </c>
      <c r="J2098" s="26" t="s">
        <v>1090</v>
      </c>
    </row>
    <row r="2099" spans="1:10" ht="16.05" customHeight="1" x14ac:dyDescent="0.3">
      <c r="A2099" s="26" t="s">
        <v>831</v>
      </c>
      <c r="B2099" s="26" t="s">
        <v>1094</v>
      </c>
      <c r="C2099" s="33" t="str">
        <f>IFERROR(INDEX(tbl_requisitos_emb[Tema],MATCH(B2099,tbl_requisitos_emb[ID_Req],0)),"")</f>
        <v>PFAS</v>
      </c>
      <c r="D2099" s="33" t="str">
        <f>IFERROR(INDEX(tbl_recyclass[Segmento],MATCH(A2099,tbl_recyclass[ProductId],0)),"")</f>
        <v>Cosmética e higiene pessoal</v>
      </c>
      <c r="E2099" s="26" t="s">
        <v>904</v>
      </c>
      <c r="F2099" s="26" t="s">
        <v>1450</v>
      </c>
      <c r="G2099" s="26" t="s">
        <v>1143</v>
      </c>
      <c r="H2099" s="33" t="str">
        <f>IF(E2099="Não","Não aplicável",IFERROR(IF(B2099="EU-ENV-002",IF(INDEX(tbl_recyclass[Conforme_PPWR_2030],MATCH(A2099,tbl_recyclass[ProductId],0))="Sim","Conforme (autoavaliação)",IF(INDEX(tbl_recyclass[Conforme_PPWR_2030],MATCH(A2099,tbl_recyclass[ProductId],0))="Não","Não conforme em 2030","Isento até 2035")),IF(B2099="EU-ENV-003",IF(INDEX(tbl_recyclass[Conforme_Art7_2030],MATCH(A2099,tbl_recyclass[ProductId],0))="Sim","Conforme (meta 2030)",IF(INDEX(tbl_recyclass[Conforme_Art7_2030],MATCH(A2099,tbl_recyclass[ProductId],0))="Não","Lacuna face à meta 2030","Isento")),IF(B2099="EU-ENV-011",IF(INDEX(tbl_familias_ppwr[Metais_Pesados_Evidencia],MATCH(INDEX(tbl_recyclass[Familia_PPWR],MATCH(A2099,tbl_recyclass[ProductId],0)),tbl_familias_ppwr[ID_Familia],0))="Em falta","Lacuna","Conforme"),IF(B2099="EU-ENV-013",IF(INDEX(tbl_familias_ppwr[Declaracao_UE],MATCH(INDEX(tbl_recyclass[Familia_PPWR],MATCH(A2099,tbl_recyclass[ProductId],0)),tbl_familias_ppwr[ID_Familia],0))="Sim","Conforme","Lacuna"),G2099)))),G2099))</f>
        <v>Não aplicável</v>
      </c>
      <c r="I2099" s="33" t="str">
        <f t="shared" si="32"/>
        <v>Não aplicável</v>
      </c>
      <c r="J2099" s="26"/>
    </row>
    <row r="2100" spans="1:10" ht="16.05" customHeight="1" x14ac:dyDescent="0.3">
      <c r="A2100" s="26" t="s">
        <v>831</v>
      </c>
      <c r="B2100" s="26" t="s">
        <v>1102</v>
      </c>
      <c r="C2100" s="33" t="str">
        <f>IFERROR(INDEX(tbl_requisitos_emb[Tema],MATCH(B2100,tbl_requisitos_emb[ID_Req],0)),"")</f>
        <v>Documentação técnica e declaração UE</v>
      </c>
      <c r="D2100" s="33" t="str">
        <f>IFERROR(INDEX(tbl_recyclass[Segmento],MATCH(A2100,tbl_recyclass[ProductId],0)),"")</f>
        <v>Cosmética e higiene pessoal</v>
      </c>
      <c r="E2100" s="26" t="s">
        <v>901</v>
      </c>
      <c r="F2100" s="26" t="s">
        <v>1449</v>
      </c>
      <c r="G2100" s="26" t="s">
        <v>978</v>
      </c>
      <c r="H2100" s="33" t="str">
        <f>IF(E2100="Não","Não aplicável",IFERROR(IF(B2100="EU-ENV-002",IF(INDEX(tbl_recyclass[Conforme_PPWR_2030],MATCH(A2100,tbl_recyclass[ProductId],0))="Sim","Conforme (autoavaliação)",IF(INDEX(tbl_recyclass[Conforme_PPWR_2030],MATCH(A2100,tbl_recyclass[ProductId],0))="Não","Não conforme em 2030","Isento até 2035")),IF(B2100="EU-ENV-003",IF(INDEX(tbl_recyclass[Conforme_Art7_2030],MATCH(A2100,tbl_recyclass[ProductId],0))="Sim","Conforme (meta 2030)",IF(INDEX(tbl_recyclass[Conforme_Art7_2030],MATCH(A2100,tbl_recyclass[ProductId],0))="Não","Lacuna face à meta 2030","Isento")),IF(B2100="EU-ENV-011",IF(INDEX(tbl_familias_ppwr[Metais_Pesados_Evidencia],MATCH(INDEX(tbl_recyclass[Familia_PPWR],MATCH(A2100,tbl_recyclass[ProductId],0)),tbl_familias_ppwr[ID_Familia],0))="Em falta","Lacuna","Conforme"),IF(B2100="EU-ENV-013",IF(INDEX(tbl_familias_ppwr[Declaracao_UE],MATCH(INDEX(tbl_recyclass[Familia_PPWR],MATCH(A2100,tbl_recyclass[ProductId],0)),tbl_familias_ppwr[ID_Familia],0))="Sim","Conforme","Lacuna"),G2100)))),G2100))</f>
        <v>Conforme</v>
      </c>
      <c r="I2100" s="33" t="str">
        <f t="shared" si="32"/>
        <v>Conforme</v>
      </c>
      <c r="J2100" s="26" t="s">
        <v>1106</v>
      </c>
    </row>
    <row r="2101" spans="1:10" ht="16.05" customHeight="1" x14ac:dyDescent="0.3">
      <c r="A2101" s="26" t="s">
        <v>831</v>
      </c>
      <c r="B2101" s="26" t="s">
        <v>1161</v>
      </c>
      <c r="C2101" s="33" t="str">
        <f>IFERROR(INDEX(tbl_requisitos_emb[Tema],MATCH(B2101,tbl_requisitos_emb[ID_Req],0)),"")</f>
        <v>Materiais em contacto com alimentos</v>
      </c>
      <c r="D2101" s="33" t="str">
        <f>IFERROR(INDEX(tbl_recyclass[Segmento],MATCH(A2101,tbl_recyclass[ProductId],0)),"")</f>
        <v>Cosmética e higiene pessoal</v>
      </c>
      <c r="E2101" s="26" t="s">
        <v>904</v>
      </c>
      <c r="F2101" s="26" t="s">
        <v>1450</v>
      </c>
      <c r="G2101" s="26" t="s">
        <v>1143</v>
      </c>
      <c r="H2101" s="33" t="str">
        <f>IF(E2101="Não","Não aplicável",IFERROR(IF(B2101="EU-ENV-002",IF(INDEX(tbl_recyclass[Conforme_PPWR_2030],MATCH(A2101,tbl_recyclass[ProductId],0))="Sim","Conforme (autoavaliação)",IF(INDEX(tbl_recyclass[Conforme_PPWR_2030],MATCH(A2101,tbl_recyclass[ProductId],0))="Não","Não conforme em 2030","Isento até 2035")),IF(B2101="EU-ENV-003",IF(INDEX(tbl_recyclass[Conforme_Art7_2030],MATCH(A2101,tbl_recyclass[ProductId],0))="Sim","Conforme (meta 2030)",IF(INDEX(tbl_recyclass[Conforme_Art7_2030],MATCH(A2101,tbl_recyclass[ProductId],0))="Não","Lacuna face à meta 2030","Isento")),IF(B2101="EU-ENV-011",IF(INDEX(tbl_familias_ppwr[Metais_Pesados_Evidencia],MATCH(INDEX(tbl_recyclass[Familia_PPWR],MATCH(A2101,tbl_recyclass[ProductId],0)),tbl_familias_ppwr[ID_Familia],0))="Em falta","Lacuna","Conforme"),IF(B2101="EU-ENV-013",IF(INDEX(tbl_familias_ppwr[Declaracao_UE],MATCH(INDEX(tbl_recyclass[Familia_PPWR],MATCH(A2101,tbl_recyclass[ProductId],0)),tbl_familias_ppwr[ID_Familia],0))="Sim","Conforme","Lacuna"),G2101)))),G2101))</f>
        <v>Não aplicável</v>
      </c>
      <c r="I2101" s="33" t="str">
        <f t="shared" si="32"/>
        <v>Não aplicável</v>
      </c>
      <c r="J2101" s="26"/>
    </row>
    <row r="2102" spans="1:10" ht="16.05" customHeight="1" x14ac:dyDescent="0.3">
      <c r="A2102" s="26" t="s">
        <v>831</v>
      </c>
      <c r="B2102" s="26" t="s">
        <v>1170</v>
      </c>
      <c r="C2102" s="33" t="str">
        <f>IFERROR(INDEX(tbl_requisitos_emb[Tema],MATCH(B2102,tbl_requisitos_emb[ID_Req],0)),"")</f>
        <v>Boas práticas de fabrico FCM</v>
      </c>
      <c r="D2102" s="33" t="str">
        <f>IFERROR(INDEX(tbl_recyclass[Segmento],MATCH(A2102,tbl_recyclass[ProductId],0)),"")</f>
        <v>Cosmética e higiene pessoal</v>
      </c>
      <c r="E2102" s="26" t="s">
        <v>904</v>
      </c>
      <c r="F2102" s="26" t="s">
        <v>1450</v>
      </c>
      <c r="G2102" s="26" t="s">
        <v>1143</v>
      </c>
      <c r="H2102" s="33" t="str">
        <f>IF(E2102="Não","Não aplicável",IFERROR(IF(B2102="EU-ENV-002",IF(INDEX(tbl_recyclass[Conforme_PPWR_2030],MATCH(A2102,tbl_recyclass[ProductId],0))="Sim","Conforme (autoavaliação)",IF(INDEX(tbl_recyclass[Conforme_PPWR_2030],MATCH(A2102,tbl_recyclass[ProductId],0))="Não","Não conforme em 2030","Isento até 2035")),IF(B2102="EU-ENV-003",IF(INDEX(tbl_recyclass[Conforme_Art7_2030],MATCH(A2102,tbl_recyclass[ProductId],0))="Sim","Conforme (meta 2030)",IF(INDEX(tbl_recyclass[Conforme_Art7_2030],MATCH(A2102,tbl_recyclass[ProductId],0))="Não","Lacuna face à meta 2030","Isento")),IF(B2102="EU-ENV-011",IF(INDEX(tbl_familias_ppwr[Metais_Pesados_Evidencia],MATCH(INDEX(tbl_recyclass[Familia_PPWR],MATCH(A2102,tbl_recyclass[ProductId],0)),tbl_familias_ppwr[ID_Familia],0))="Em falta","Lacuna","Conforme"),IF(B2102="EU-ENV-013",IF(INDEX(tbl_familias_ppwr[Declaracao_UE],MATCH(INDEX(tbl_recyclass[Familia_PPWR],MATCH(A2102,tbl_recyclass[ProductId],0)),tbl_familias_ppwr[ID_Familia],0))="Sim","Conforme","Lacuna"),G2102)))),G2102))</f>
        <v>Não aplicável</v>
      </c>
      <c r="I2102" s="33" t="str">
        <f t="shared" si="32"/>
        <v>Não aplicável</v>
      </c>
      <c r="J2102" s="26"/>
    </row>
    <row r="2103" spans="1:10" ht="16.05" customHeight="1" x14ac:dyDescent="0.3">
      <c r="A2103" s="26" t="s">
        <v>831</v>
      </c>
      <c r="B2103" s="26" t="s">
        <v>1179</v>
      </c>
      <c r="C2103" s="33" t="str">
        <f>IFERROR(INDEX(tbl_requisitos_emb[Tema],MATCH(B2103,tbl_requisitos_emb[ID_Req],0)),"")</f>
        <v>Bisfenol A e bisfenóis perigosos</v>
      </c>
      <c r="D2103" s="33" t="str">
        <f>IFERROR(INDEX(tbl_recyclass[Segmento],MATCH(A2103,tbl_recyclass[ProductId],0)),"")</f>
        <v>Cosmética e higiene pessoal</v>
      </c>
      <c r="E2103" s="26" t="s">
        <v>904</v>
      </c>
      <c r="F2103" s="26" t="s">
        <v>1450</v>
      </c>
      <c r="G2103" s="26" t="s">
        <v>1143</v>
      </c>
      <c r="H2103" s="33" t="str">
        <f>IF(E2103="Não","Não aplicável",IFERROR(IF(B2103="EU-ENV-002",IF(INDEX(tbl_recyclass[Conforme_PPWR_2030],MATCH(A2103,tbl_recyclass[ProductId],0))="Sim","Conforme (autoavaliação)",IF(INDEX(tbl_recyclass[Conforme_PPWR_2030],MATCH(A2103,tbl_recyclass[ProductId],0))="Não","Não conforme em 2030","Isento até 2035")),IF(B2103="EU-ENV-003",IF(INDEX(tbl_recyclass[Conforme_Art7_2030],MATCH(A2103,tbl_recyclass[ProductId],0))="Sim","Conforme (meta 2030)",IF(INDEX(tbl_recyclass[Conforme_Art7_2030],MATCH(A2103,tbl_recyclass[ProductId],0))="Não","Lacuna face à meta 2030","Isento")),IF(B2103="EU-ENV-011",IF(INDEX(tbl_familias_ppwr[Metais_Pesados_Evidencia],MATCH(INDEX(tbl_recyclass[Familia_PPWR],MATCH(A2103,tbl_recyclass[ProductId],0)),tbl_familias_ppwr[ID_Familia],0))="Em falta","Lacuna","Conforme"),IF(B2103="EU-ENV-013",IF(INDEX(tbl_familias_ppwr[Declaracao_UE],MATCH(INDEX(tbl_recyclass[Familia_PPWR],MATCH(A2103,tbl_recyclass[ProductId],0)),tbl_familias_ppwr[ID_Familia],0))="Sim","Conforme","Lacuna"),G2103)))),G2103))</f>
        <v>Não aplicável</v>
      </c>
      <c r="I2103" s="33" t="str">
        <f t="shared" si="32"/>
        <v>Não aplicável</v>
      </c>
      <c r="J2103" s="26"/>
    </row>
    <row r="2104" spans="1:10" ht="16.05" customHeight="1" x14ac:dyDescent="0.3">
      <c r="A2104" s="26" t="s">
        <v>831</v>
      </c>
      <c r="B2104" s="26" t="s">
        <v>1188</v>
      </c>
      <c r="C2104" s="33" t="str">
        <f>IFERROR(INDEX(tbl_requisitos_emb[Tema],MATCH(B2104,tbl_requisitos_emb[ID_Req],0)),"")</f>
        <v>Plásticos em contacto com alimentos</v>
      </c>
      <c r="D2104" s="33" t="str">
        <f>IFERROR(INDEX(tbl_recyclass[Segmento],MATCH(A2104,tbl_recyclass[ProductId],0)),"")</f>
        <v>Cosmética e higiene pessoal</v>
      </c>
      <c r="E2104" s="26" t="s">
        <v>904</v>
      </c>
      <c r="F2104" s="26" t="s">
        <v>1450</v>
      </c>
      <c r="G2104" s="26" t="s">
        <v>1143</v>
      </c>
      <c r="H2104" s="33" t="str">
        <f>IF(E2104="Não","Não aplicável",IFERROR(IF(B2104="EU-ENV-002",IF(INDEX(tbl_recyclass[Conforme_PPWR_2030],MATCH(A2104,tbl_recyclass[ProductId],0))="Sim","Conforme (autoavaliação)",IF(INDEX(tbl_recyclass[Conforme_PPWR_2030],MATCH(A2104,tbl_recyclass[ProductId],0))="Não","Não conforme em 2030","Isento até 2035")),IF(B2104="EU-ENV-003",IF(INDEX(tbl_recyclass[Conforme_Art7_2030],MATCH(A2104,tbl_recyclass[ProductId],0))="Sim","Conforme (meta 2030)",IF(INDEX(tbl_recyclass[Conforme_Art7_2030],MATCH(A2104,tbl_recyclass[ProductId],0))="Não","Lacuna face à meta 2030","Isento")),IF(B2104="EU-ENV-011",IF(INDEX(tbl_familias_ppwr[Metais_Pesados_Evidencia],MATCH(INDEX(tbl_recyclass[Familia_PPWR],MATCH(A2104,tbl_recyclass[ProductId],0)),tbl_familias_ppwr[ID_Familia],0))="Em falta","Lacuna","Conforme"),IF(B2104="EU-ENV-013",IF(INDEX(tbl_familias_ppwr[Declaracao_UE],MATCH(INDEX(tbl_recyclass[Familia_PPWR],MATCH(A2104,tbl_recyclass[ProductId],0)),tbl_familias_ppwr[ID_Familia],0))="Sim","Conforme","Lacuna"),G2104)))),G2104))</f>
        <v>Não aplicável</v>
      </c>
      <c r="I2104" s="33" t="str">
        <f t="shared" si="32"/>
        <v>Não aplicável</v>
      </c>
      <c r="J2104" s="26"/>
    </row>
    <row r="2105" spans="1:10" ht="16.05" customHeight="1" x14ac:dyDescent="0.3">
      <c r="A2105" s="26" t="s">
        <v>831</v>
      </c>
      <c r="B2105" s="26" t="s">
        <v>1212</v>
      </c>
      <c r="C2105" s="33" t="str">
        <f>IFERROR(INDEX(tbl_requisitos_emb[Tema],MATCH(B2105,tbl_requisitos_emb[ID_Req],0)),"")</f>
        <v>Segurança do produto cosmético</v>
      </c>
      <c r="D2105" s="33" t="str">
        <f>IFERROR(INDEX(tbl_recyclass[Segmento],MATCH(A2105,tbl_recyclass[ProductId],0)),"")</f>
        <v>Cosmética e higiene pessoal</v>
      </c>
      <c r="E2105" s="26" t="s">
        <v>901</v>
      </c>
      <c r="F2105" s="26" t="s">
        <v>1449</v>
      </c>
      <c r="G2105" s="26" t="s">
        <v>1033</v>
      </c>
      <c r="H2105" s="33" t="str">
        <f>IF(E2105="Não","Não aplicável",IFERROR(IF(B2105="EU-ENV-002",IF(INDEX(tbl_recyclass[Conforme_PPWR_2030],MATCH(A2105,tbl_recyclass[ProductId],0))="Sim","Conforme (autoavaliação)",IF(INDEX(tbl_recyclass[Conforme_PPWR_2030],MATCH(A2105,tbl_recyclass[ProductId],0))="Não","Não conforme em 2030","Isento até 2035")),IF(B2105="EU-ENV-003",IF(INDEX(tbl_recyclass[Conforme_Art7_2030],MATCH(A2105,tbl_recyclass[ProductId],0))="Sim","Conforme (meta 2030)",IF(INDEX(tbl_recyclass[Conforme_Art7_2030],MATCH(A2105,tbl_recyclass[ProductId],0))="Não","Lacuna face à meta 2030","Isento")),IF(B2105="EU-ENV-011",IF(INDEX(tbl_familias_ppwr[Metais_Pesados_Evidencia],MATCH(INDEX(tbl_recyclass[Familia_PPWR],MATCH(A2105,tbl_recyclass[ProductId],0)),tbl_familias_ppwr[ID_Familia],0))="Em falta","Lacuna","Conforme"),IF(B2105="EU-ENV-013",IF(INDEX(tbl_familias_ppwr[Declaracao_UE],MATCH(INDEX(tbl_recyclass[Familia_PPWR],MATCH(A2105,tbl_recyclass[ProductId],0)),tbl_familias_ppwr[ID_Familia],0))="Sim","Conforme","Lacuna"),G2105)))),G2105))</f>
        <v>Conforme</v>
      </c>
      <c r="I2105" s="33" t="str">
        <f t="shared" si="32"/>
        <v>Conforme</v>
      </c>
      <c r="J2105" s="26" t="s">
        <v>1221</v>
      </c>
    </row>
    <row r="2106" spans="1:10" ht="16.05" customHeight="1" x14ac:dyDescent="0.3">
      <c r="A2106" s="26" t="s">
        <v>831</v>
      </c>
      <c r="B2106" s="26" t="s">
        <v>1224</v>
      </c>
      <c r="C2106" s="33" t="str">
        <f>IFERROR(INDEX(tbl_requisitos_emb[Tema],MATCH(B2106,tbl_requisitos_emb[ID_Req],0)),"")</f>
        <v>Materiais e impurezas</v>
      </c>
      <c r="D2106" s="33" t="str">
        <f>IFERROR(INDEX(tbl_recyclass[Segmento],MATCH(A2106,tbl_recyclass[ProductId],0)),"")</f>
        <v>Cosmética e higiene pessoal</v>
      </c>
      <c r="E2106" s="26" t="s">
        <v>901</v>
      </c>
      <c r="F2106" s="26" t="s">
        <v>1449</v>
      </c>
      <c r="G2106" s="26" t="s">
        <v>978</v>
      </c>
      <c r="H2106" s="33" t="str">
        <f>IF(E2106="Não","Não aplicável",IFERROR(IF(B2106="EU-ENV-002",IF(INDEX(tbl_recyclass[Conforme_PPWR_2030],MATCH(A2106,tbl_recyclass[ProductId],0))="Sim","Conforme (autoavaliação)",IF(INDEX(tbl_recyclass[Conforme_PPWR_2030],MATCH(A2106,tbl_recyclass[ProductId],0))="Não","Não conforme em 2030","Isento até 2035")),IF(B2106="EU-ENV-003",IF(INDEX(tbl_recyclass[Conforme_Art7_2030],MATCH(A2106,tbl_recyclass[ProductId],0))="Sim","Conforme (meta 2030)",IF(INDEX(tbl_recyclass[Conforme_Art7_2030],MATCH(A2106,tbl_recyclass[ProductId],0))="Não","Lacuna face à meta 2030","Isento")),IF(B2106="EU-ENV-011",IF(INDEX(tbl_familias_ppwr[Metais_Pesados_Evidencia],MATCH(INDEX(tbl_recyclass[Familia_PPWR],MATCH(A2106,tbl_recyclass[ProductId],0)),tbl_familias_ppwr[ID_Familia],0))="Em falta","Lacuna","Conforme"),IF(B2106="EU-ENV-013",IF(INDEX(tbl_familias_ppwr[Declaracao_UE],MATCH(INDEX(tbl_recyclass[Familia_PPWR],MATCH(A2106,tbl_recyclass[ProductId],0)),tbl_familias_ppwr[ID_Familia],0))="Sim","Conforme","Lacuna"),G2106)))),G2106))</f>
        <v>Parcial</v>
      </c>
      <c r="I2106" s="33" t="str">
        <f t="shared" si="32"/>
        <v>Parcial</v>
      </c>
      <c r="J2106" s="26" t="s">
        <v>1228</v>
      </c>
    </row>
    <row r="2107" spans="1:10" ht="16.05" customHeight="1" x14ac:dyDescent="0.3">
      <c r="A2107" s="26" t="s">
        <v>831</v>
      </c>
      <c r="B2107" s="26" t="s">
        <v>1240</v>
      </c>
      <c r="C2107" s="33" t="str">
        <f>IFERROR(INDEX(tbl_requisitos_emb[Tema],MATCH(B2107,tbl_requisitos_emb[ID_Req],0)),"")</f>
        <v>Compatibilidade embalagem–produto</v>
      </c>
      <c r="D2107" s="33" t="str">
        <f>IFERROR(INDEX(tbl_recyclass[Segmento],MATCH(A2107,tbl_recyclass[ProductId],0)),"")</f>
        <v>Cosmética e higiene pessoal</v>
      </c>
      <c r="E2107" s="26" t="s">
        <v>901</v>
      </c>
      <c r="F2107" s="26" t="s">
        <v>1449</v>
      </c>
      <c r="G2107" s="26" t="s">
        <v>1033</v>
      </c>
      <c r="H2107" s="33" t="str">
        <f>IF(E2107="Não","Não aplicável",IFERROR(IF(B2107="EU-ENV-002",IF(INDEX(tbl_recyclass[Conforme_PPWR_2030],MATCH(A2107,tbl_recyclass[ProductId],0))="Sim","Conforme (autoavaliação)",IF(INDEX(tbl_recyclass[Conforme_PPWR_2030],MATCH(A2107,tbl_recyclass[ProductId],0))="Não","Não conforme em 2030","Isento até 2035")),IF(B2107="EU-ENV-003",IF(INDEX(tbl_recyclass[Conforme_Art7_2030],MATCH(A2107,tbl_recyclass[ProductId],0))="Sim","Conforme (meta 2030)",IF(INDEX(tbl_recyclass[Conforme_Art7_2030],MATCH(A2107,tbl_recyclass[ProductId],0))="Não","Lacuna face à meta 2030","Isento")),IF(B2107="EU-ENV-011",IF(INDEX(tbl_familias_ppwr[Metais_Pesados_Evidencia],MATCH(INDEX(tbl_recyclass[Familia_PPWR],MATCH(A2107,tbl_recyclass[ProductId],0)),tbl_familias_ppwr[ID_Familia],0))="Em falta","Lacuna","Conforme"),IF(B2107="EU-ENV-013",IF(INDEX(tbl_familias_ppwr[Declaracao_UE],MATCH(INDEX(tbl_recyclass[Familia_PPWR],MATCH(A2107,tbl_recyclass[ProductId],0)),tbl_familias_ppwr[ID_Familia],0))="Sim","Conforme","Lacuna"),G2107)))),G2107))</f>
        <v>Conforme</v>
      </c>
      <c r="I2107" s="33" t="str">
        <f t="shared" si="32"/>
        <v>Conforme</v>
      </c>
      <c r="J2107" s="26" t="s">
        <v>1244</v>
      </c>
    </row>
    <row r="2108" spans="1:10" ht="16.05" customHeight="1" x14ac:dyDescent="0.3">
      <c r="A2108" s="26" t="s">
        <v>831</v>
      </c>
      <c r="B2108" s="26" t="s">
        <v>1252</v>
      </c>
      <c r="C2108" s="33" t="str">
        <f>IFERROR(INDEX(tbl_requisitos_emb[Tema],MATCH(B2108,tbl_requisitos_emb[ID_Req],0)),"")</f>
        <v>Medicamentos de uso humano</v>
      </c>
      <c r="D2108" s="33" t="str">
        <f>IFERROR(INDEX(tbl_recyclass[Segmento],MATCH(A2108,tbl_recyclass[ProductId],0)),"")</f>
        <v>Cosmética e higiene pessoal</v>
      </c>
      <c r="E2108" s="26" t="s">
        <v>904</v>
      </c>
      <c r="F2108" s="26" t="s">
        <v>1451</v>
      </c>
      <c r="G2108" s="26" t="s">
        <v>1143</v>
      </c>
      <c r="H2108" s="33" t="str">
        <f>IF(E2108="Não","Não aplicável",IFERROR(IF(B2108="EU-ENV-002",IF(INDEX(tbl_recyclass[Conforme_PPWR_2030],MATCH(A2108,tbl_recyclass[ProductId],0))="Sim","Conforme (autoavaliação)",IF(INDEX(tbl_recyclass[Conforme_PPWR_2030],MATCH(A2108,tbl_recyclass[ProductId],0))="Não","Não conforme em 2030","Isento até 2035")),IF(B2108="EU-ENV-003",IF(INDEX(tbl_recyclass[Conforme_Art7_2030],MATCH(A2108,tbl_recyclass[ProductId],0))="Sim","Conforme (meta 2030)",IF(INDEX(tbl_recyclass[Conforme_Art7_2030],MATCH(A2108,tbl_recyclass[ProductId],0))="Não","Lacuna face à meta 2030","Isento")),IF(B2108="EU-ENV-011",IF(INDEX(tbl_familias_ppwr[Metais_Pesados_Evidencia],MATCH(INDEX(tbl_recyclass[Familia_PPWR],MATCH(A2108,tbl_recyclass[ProductId],0)),tbl_familias_ppwr[ID_Familia],0))="Em falta","Lacuna","Conforme"),IF(B2108="EU-ENV-013",IF(INDEX(tbl_familias_ppwr[Declaracao_UE],MATCH(INDEX(tbl_recyclass[Familia_PPWR],MATCH(A2108,tbl_recyclass[ProductId],0)),tbl_familias_ppwr[ID_Familia],0))="Sim","Conforme","Lacuna"),G2108)))),G2108))</f>
        <v>Não aplicável</v>
      </c>
      <c r="I2108" s="33" t="str">
        <f t="shared" si="32"/>
        <v>Não aplicável</v>
      </c>
      <c r="J2108" s="26"/>
    </row>
    <row r="2109" spans="1:10" ht="16.05" customHeight="1" x14ac:dyDescent="0.3">
      <c r="A2109" s="26" t="s">
        <v>831</v>
      </c>
      <c r="B2109" s="26" t="s">
        <v>1268</v>
      </c>
      <c r="C2109" s="33" t="str">
        <f>IFERROR(INDEX(tbl_requisitos_emb[Tema],MATCH(B2109,tbl_requisitos_emb[ID_Req],0)),"")</f>
        <v>Dispositivos de segurança</v>
      </c>
      <c r="D2109" s="33" t="str">
        <f>IFERROR(INDEX(tbl_recyclass[Segmento],MATCH(A2109,tbl_recyclass[ProductId],0)),"")</f>
        <v>Cosmética e higiene pessoal</v>
      </c>
      <c r="E2109" s="26" t="s">
        <v>904</v>
      </c>
      <c r="F2109" s="26" t="s">
        <v>1451</v>
      </c>
      <c r="G2109" s="26" t="s">
        <v>1143</v>
      </c>
      <c r="H2109" s="33" t="str">
        <f>IF(E2109="Não","Não aplicável",IFERROR(IF(B2109="EU-ENV-002",IF(INDEX(tbl_recyclass[Conforme_PPWR_2030],MATCH(A2109,tbl_recyclass[ProductId],0))="Sim","Conforme (autoavaliação)",IF(INDEX(tbl_recyclass[Conforme_PPWR_2030],MATCH(A2109,tbl_recyclass[ProductId],0))="Não","Não conforme em 2030","Isento até 2035")),IF(B2109="EU-ENV-003",IF(INDEX(tbl_recyclass[Conforme_Art7_2030],MATCH(A2109,tbl_recyclass[ProductId],0))="Sim","Conforme (meta 2030)",IF(INDEX(tbl_recyclass[Conforme_Art7_2030],MATCH(A2109,tbl_recyclass[ProductId],0))="Não","Lacuna face à meta 2030","Isento")),IF(B2109="EU-ENV-011",IF(INDEX(tbl_familias_ppwr[Metais_Pesados_Evidencia],MATCH(INDEX(tbl_recyclass[Familia_PPWR],MATCH(A2109,tbl_recyclass[ProductId],0)),tbl_familias_ppwr[ID_Familia],0))="Em falta","Lacuna","Conforme"),IF(B2109="EU-ENV-013",IF(INDEX(tbl_familias_ppwr[Declaracao_UE],MATCH(INDEX(tbl_recyclass[Familia_PPWR],MATCH(A2109,tbl_recyclass[ProductId],0)),tbl_familias_ppwr[ID_Familia],0))="Sim","Conforme","Lacuna"),G2109)))),G2109))</f>
        <v>Não aplicável</v>
      </c>
      <c r="I2109" s="33" t="str">
        <f t="shared" si="32"/>
        <v>Não aplicável</v>
      </c>
      <c r="J2109" s="26"/>
    </row>
    <row r="2110" spans="1:10" ht="16.05" customHeight="1" x14ac:dyDescent="0.3">
      <c r="A2110" s="26" t="s">
        <v>831</v>
      </c>
      <c r="B2110" s="26" t="s">
        <v>1285</v>
      </c>
      <c r="C2110" s="33" t="str">
        <f>IFERROR(INDEX(tbl_requisitos_emb[Tema],MATCH(B2110,tbl_requisitos_emb[ID_Req],0)),"")</f>
        <v>Materiais plásticos de acondicionamento primário</v>
      </c>
      <c r="D2110" s="33" t="str">
        <f>IFERROR(INDEX(tbl_recyclass[Segmento],MATCH(A2110,tbl_recyclass[ProductId],0)),"")</f>
        <v>Cosmética e higiene pessoal</v>
      </c>
      <c r="E2110" s="26" t="s">
        <v>904</v>
      </c>
      <c r="F2110" s="26" t="s">
        <v>1451</v>
      </c>
      <c r="G2110" s="26" t="s">
        <v>1143</v>
      </c>
      <c r="H2110" s="33" t="str">
        <f>IF(E2110="Não","Não aplicável",IFERROR(IF(B2110="EU-ENV-002",IF(INDEX(tbl_recyclass[Conforme_PPWR_2030],MATCH(A2110,tbl_recyclass[ProductId],0))="Sim","Conforme (autoavaliação)",IF(INDEX(tbl_recyclass[Conforme_PPWR_2030],MATCH(A2110,tbl_recyclass[ProductId],0))="Não","Não conforme em 2030","Isento até 2035")),IF(B2110="EU-ENV-003",IF(INDEX(tbl_recyclass[Conforme_Art7_2030],MATCH(A2110,tbl_recyclass[ProductId],0))="Sim","Conforme (meta 2030)",IF(INDEX(tbl_recyclass[Conforme_Art7_2030],MATCH(A2110,tbl_recyclass[ProductId],0))="Não","Lacuna face à meta 2030","Isento")),IF(B2110="EU-ENV-011",IF(INDEX(tbl_familias_ppwr[Metais_Pesados_Evidencia],MATCH(INDEX(tbl_recyclass[Familia_PPWR],MATCH(A2110,tbl_recyclass[ProductId],0)),tbl_familias_ppwr[ID_Familia],0))="Em falta","Lacuna","Conforme"),IF(B2110="EU-ENV-013",IF(INDEX(tbl_familias_ppwr[Declaracao_UE],MATCH(INDEX(tbl_recyclass[Familia_PPWR],MATCH(A2110,tbl_recyclass[ProductId],0)),tbl_familias_ppwr[ID_Familia],0))="Sim","Conforme","Lacuna"),G2110)))),G2110))</f>
        <v>Não aplicável</v>
      </c>
      <c r="I2110" s="33" t="str">
        <f t="shared" si="32"/>
        <v>Não aplicável</v>
      </c>
      <c r="J2110" s="26"/>
    </row>
    <row r="2111" spans="1:10" ht="16.05" customHeight="1" x14ac:dyDescent="0.3">
      <c r="A2111" s="26" t="s">
        <v>831</v>
      </c>
      <c r="B2111" s="26" t="s">
        <v>1293</v>
      </c>
      <c r="C2111" s="33" t="str">
        <f>IFERROR(INDEX(tbl_requisitos_emb[Tema],MATCH(B2111,tbl_requisitos_emb[ID_Req],0)),"")</f>
        <v>Isenções PPWR</v>
      </c>
      <c r="D2111" s="33" t="str">
        <f>IFERROR(INDEX(tbl_recyclass[Segmento],MATCH(A2111,tbl_recyclass[ProductId],0)),"")</f>
        <v>Cosmética e higiene pessoal</v>
      </c>
      <c r="E2111" s="26" t="s">
        <v>904</v>
      </c>
      <c r="F2111" s="26" t="s">
        <v>1451</v>
      </c>
      <c r="G2111" s="26" t="s">
        <v>1143</v>
      </c>
      <c r="H2111" s="33" t="str">
        <f>IF(E2111="Não","Não aplicável",IFERROR(IF(B2111="EU-ENV-002",IF(INDEX(tbl_recyclass[Conforme_PPWR_2030],MATCH(A2111,tbl_recyclass[ProductId],0))="Sim","Conforme (autoavaliação)",IF(INDEX(tbl_recyclass[Conforme_PPWR_2030],MATCH(A2111,tbl_recyclass[ProductId],0))="Não","Não conforme em 2030","Isento até 2035")),IF(B2111="EU-ENV-003",IF(INDEX(tbl_recyclass[Conforme_Art7_2030],MATCH(A2111,tbl_recyclass[ProductId],0))="Sim","Conforme (meta 2030)",IF(INDEX(tbl_recyclass[Conforme_Art7_2030],MATCH(A2111,tbl_recyclass[ProductId],0))="Não","Lacuna face à meta 2030","Isento")),IF(B2111="EU-ENV-011",IF(INDEX(tbl_familias_ppwr[Metais_Pesados_Evidencia],MATCH(INDEX(tbl_recyclass[Familia_PPWR],MATCH(A2111,tbl_recyclass[ProductId],0)),tbl_familias_ppwr[ID_Familia],0))="Em falta","Lacuna","Conforme"),IF(B2111="EU-ENV-013",IF(INDEX(tbl_familias_ppwr[Declaracao_UE],MATCH(INDEX(tbl_recyclass[Familia_PPWR],MATCH(A2111,tbl_recyclass[ProductId],0)),tbl_familias_ppwr[ID_Familia],0))="Sim","Conforme","Lacuna"),G2111)))),G2111))</f>
        <v>Não aplicável</v>
      </c>
      <c r="I2111" s="33" t="str">
        <f t="shared" si="32"/>
        <v>Não aplicável</v>
      </c>
      <c r="J2111" s="26"/>
    </row>
    <row r="2112" spans="1:10" ht="16.05" customHeight="1" x14ac:dyDescent="0.3">
      <c r="A2112" s="26" t="s">
        <v>831</v>
      </c>
      <c r="B2112" s="26" t="s">
        <v>1357</v>
      </c>
      <c r="C2112" s="33" t="str">
        <f>IFERROR(INDEX(tbl_requisitos_emb[Tema],MATCH(B2112,tbl_requisitos_emb[ID_Req],0)),"")</f>
        <v>Identificação de plásticos</v>
      </c>
      <c r="D2112" s="33" t="str">
        <f>IFERROR(INDEX(tbl_recyclass[Segmento],MATCH(A2112,tbl_recyclass[ProductId],0)),"")</f>
        <v>Cosmética e higiene pessoal</v>
      </c>
      <c r="E2112" s="26" t="s">
        <v>901</v>
      </c>
      <c r="F2112" s="26" t="s">
        <v>1449</v>
      </c>
      <c r="G2112" s="26" t="s">
        <v>978</v>
      </c>
      <c r="H2112" s="33" t="str">
        <f>IF(E2112="Não","Não aplicável",IFERROR(IF(B2112="EU-ENV-002",IF(INDEX(tbl_recyclass[Conforme_PPWR_2030],MATCH(A2112,tbl_recyclass[ProductId],0))="Sim","Conforme (autoavaliação)",IF(INDEX(tbl_recyclass[Conforme_PPWR_2030],MATCH(A2112,tbl_recyclass[ProductId],0))="Não","Não conforme em 2030","Isento até 2035")),IF(B2112="EU-ENV-003",IF(INDEX(tbl_recyclass[Conforme_Art7_2030],MATCH(A2112,tbl_recyclass[ProductId],0))="Sim","Conforme (meta 2030)",IF(INDEX(tbl_recyclass[Conforme_Art7_2030],MATCH(A2112,tbl_recyclass[ProductId],0))="Não","Lacuna face à meta 2030","Isento")),IF(B2112="EU-ENV-011",IF(INDEX(tbl_familias_ppwr[Metais_Pesados_Evidencia],MATCH(INDEX(tbl_recyclass[Familia_PPWR],MATCH(A2112,tbl_recyclass[ProductId],0)),tbl_familias_ppwr[ID_Familia],0))="Em falta","Lacuna","Conforme"),IF(B2112="EU-ENV-013",IF(INDEX(tbl_familias_ppwr[Declaracao_UE],MATCH(INDEX(tbl_recyclass[Familia_PPWR],MATCH(A2112,tbl_recyclass[ProductId],0)),tbl_familias_ppwr[ID_Familia],0))="Sim","Conforme","Lacuna"),G2112)))),G2112))</f>
        <v>Parcial</v>
      </c>
      <c r="I2112" s="33" t="str">
        <f t="shared" si="32"/>
        <v>Parcial</v>
      </c>
      <c r="J2112" s="26" t="s">
        <v>1362</v>
      </c>
    </row>
    <row r="2113" spans="1:10" ht="16.05" customHeight="1" x14ac:dyDescent="0.3">
      <c r="A2113" s="26" t="s">
        <v>831</v>
      </c>
      <c r="B2113" s="26" t="s">
        <v>1385</v>
      </c>
      <c r="C2113" s="33" t="str">
        <f>IFERROR(INDEX(tbl_requisitos_emb[Tema],MATCH(B2113,tbl_requisitos_emb[ID_Req],0)),"")</f>
        <v>Reciclabilidade (voluntária)</v>
      </c>
      <c r="D2113" s="33" t="str">
        <f>IFERROR(INDEX(tbl_recyclass[Segmento],MATCH(A2113,tbl_recyclass[ProductId],0)),"")</f>
        <v>Cosmética e higiene pessoal</v>
      </c>
      <c r="E2113" s="26" t="s">
        <v>901</v>
      </c>
      <c r="F2113" s="26" t="s">
        <v>1449</v>
      </c>
      <c r="G2113" s="26" t="s">
        <v>978</v>
      </c>
      <c r="H2113" s="33" t="str">
        <f>IF(E2113="Não","Não aplicável",IFERROR(IF(B2113="EU-ENV-002",IF(INDEX(tbl_recyclass[Conforme_PPWR_2030],MATCH(A2113,tbl_recyclass[ProductId],0))="Sim","Conforme (autoavaliação)",IF(INDEX(tbl_recyclass[Conforme_PPWR_2030],MATCH(A2113,tbl_recyclass[ProductId],0))="Não","Não conforme em 2030","Isento até 2035")),IF(B2113="EU-ENV-003",IF(INDEX(tbl_recyclass[Conforme_Art7_2030],MATCH(A2113,tbl_recyclass[ProductId],0))="Sim","Conforme (meta 2030)",IF(INDEX(tbl_recyclass[Conforme_Art7_2030],MATCH(A2113,tbl_recyclass[ProductId],0))="Não","Lacuna face à meta 2030","Isento")),IF(B2113="EU-ENV-011",IF(INDEX(tbl_familias_ppwr[Metais_Pesados_Evidencia],MATCH(INDEX(tbl_recyclass[Familia_PPWR],MATCH(A2113,tbl_recyclass[ProductId],0)),tbl_familias_ppwr[ID_Familia],0))="Em falta","Lacuna","Conforme"),IF(B2113="EU-ENV-013",IF(INDEX(tbl_familias_ppwr[Declaracao_UE],MATCH(INDEX(tbl_recyclass[Familia_PPWR],MATCH(A2113,tbl_recyclass[ProductId],0)),tbl_familias_ppwr[ID_Familia],0))="Sim","Conforme","Lacuna"),G2113)))),G2113))</f>
        <v>Parcial</v>
      </c>
      <c r="I2113" s="33" t="str">
        <f t="shared" si="32"/>
        <v>Parcial</v>
      </c>
      <c r="J2113" s="26" t="s">
        <v>1389</v>
      </c>
    </row>
    <row r="2114" spans="1:10" ht="16.05" customHeight="1" x14ac:dyDescent="0.3">
      <c r="A2114" s="26" t="s">
        <v>833</v>
      </c>
      <c r="B2114" s="26" t="s">
        <v>984</v>
      </c>
      <c r="C2114" s="33" t="str">
        <f>IFERROR(INDEX(tbl_requisitos_emb[Tema],MATCH(B2114,tbl_requisitos_emb[ID_Req],0)),"")</f>
        <v>Conceção para reciclagem</v>
      </c>
      <c r="D2114" s="33" t="str">
        <f>IFERROR(INDEX(tbl_recyclass[Segmento],MATCH(A2114,tbl_recyclass[ProductId],0)),"")</f>
        <v>Cosmética e higiene pessoal</v>
      </c>
      <c r="E2114" s="26" t="s">
        <v>901</v>
      </c>
      <c r="F2114" s="26" t="s">
        <v>1449</v>
      </c>
      <c r="G2114" s="26" t="s">
        <v>978</v>
      </c>
      <c r="H2114" s="33" t="str">
        <f>IF(E2114="Não","Não aplicável",IFERROR(IF(B2114="EU-ENV-002",IF(INDEX(tbl_recyclass[Conforme_PPWR_2030],MATCH(A2114,tbl_recyclass[ProductId],0))="Sim","Conforme (autoavaliação)",IF(INDEX(tbl_recyclass[Conforme_PPWR_2030],MATCH(A2114,tbl_recyclass[ProductId],0))="Não","Não conforme em 2030","Isento até 2035")),IF(B2114="EU-ENV-003",IF(INDEX(tbl_recyclass[Conforme_Art7_2030],MATCH(A2114,tbl_recyclass[ProductId],0))="Sim","Conforme (meta 2030)",IF(INDEX(tbl_recyclass[Conforme_Art7_2030],MATCH(A2114,tbl_recyclass[ProductId],0))="Não","Lacuna face à meta 2030","Isento")),IF(B2114="EU-ENV-011",IF(INDEX(tbl_familias_ppwr[Metais_Pesados_Evidencia],MATCH(INDEX(tbl_recyclass[Familia_PPWR],MATCH(A2114,tbl_recyclass[ProductId],0)),tbl_familias_ppwr[ID_Familia],0))="Em falta","Lacuna","Conforme"),IF(B2114="EU-ENV-013",IF(INDEX(tbl_familias_ppwr[Declaracao_UE],MATCH(INDEX(tbl_recyclass[Familia_PPWR],MATCH(A2114,tbl_recyclass[ProductId],0)),tbl_familias_ppwr[ID_Familia],0))="Sim","Conforme","Lacuna"),G2114)))),G2114))</f>
        <v>Não conforme em 2030</v>
      </c>
      <c r="I2114" s="33" t="str">
        <f t="shared" ref="I2114:I2177" si="33">IF(ISNUMBER(SEARCH("Não aplicável",H2114)),"Não aplicável",IF(ISNUMBER(SEARCH("Isento",H2114)),"Isento",IF(ISNUMBER(SEARCH("Não conforme",H2114)),"Não conforme",IF(ISNUMBER(SEARCH("Lacuna",H2114)),"Lacuna",IF(ISNUMBER(SEARCH("Conforme",H2114)),"Conforme",H2114)))))</f>
        <v>Não conforme</v>
      </c>
      <c r="J2114" s="26" t="s">
        <v>991</v>
      </c>
    </row>
    <row r="2115" spans="1:10" ht="16.05" customHeight="1" x14ac:dyDescent="0.3">
      <c r="A2115" s="26" t="s">
        <v>833</v>
      </c>
      <c r="B2115" s="26" t="s">
        <v>997</v>
      </c>
      <c r="C2115" s="33" t="str">
        <f>IFERROR(INDEX(tbl_requisitos_emb[Tema],MATCH(B2115,tbl_requisitos_emb[ID_Req],0)),"")</f>
        <v>Conteúdo reciclado</v>
      </c>
      <c r="D2115" s="33" t="str">
        <f>IFERROR(INDEX(tbl_recyclass[Segmento],MATCH(A2115,tbl_recyclass[ProductId],0)),"")</f>
        <v>Cosmética e higiene pessoal</v>
      </c>
      <c r="E2115" s="26" t="s">
        <v>901</v>
      </c>
      <c r="F2115" s="26" t="s">
        <v>1449</v>
      </c>
      <c r="G2115" s="26" t="s">
        <v>978</v>
      </c>
      <c r="H2115" s="33" t="str">
        <f>IF(E2115="Não","Não aplicável",IFERROR(IF(B2115="EU-ENV-002",IF(INDEX(tbl_recyclass[Conforme_PPWR_2030],MATCH(A2115,tbl_recyclass[ProductId],0))="Sim","Conforme (autoavaliação)",IF(INDEX(tbl_recyclass[Conforme_PPWR_2030],MATCH(A2115,tbl_recyclass[ProductId],0))="Não","Não conforme em 2030","Isento até 2035")),IF(B2115="EU-ENV-003",IF(INDEX(tbl_recyclass[Conforme_Art7_2030],MATCH(A2115,tbl_recyclass[ProductId],0))="Sim","Conforme (meta 2030)",IF(INDEX(tbl_recyclass[Conforme_Art7_2030],MATCH(A2115,tbl_recyclass[ProductId],0))="Não","Lacuna face à meta 2030","Isento")),IF(B2115="EU-ENV-011",IF(INDEX(tbl_familias_ppwr[Metais_Pesados_Evidencia],MATCH(INDEX(tbl_recyclass[Familia_PPWR],MATCH(A2115,tbl_recyclass[ProductId],0)),tbl_familias_ppwr[ID_Familia],0))="Em falta","Lacuna","Conforme"),IF(B2115="EU-ENV-013",IF(INDEX(tbl_familias_ppwr[Declaracao_UE],MATCH(INDEX(tbl_recyclass[Familia_PPWR],MATCH(A2115,tbl_recyclass[ProductId],0)),tbl_familias_ppwr[ID_Familia],0))="Sim","Conforme","Lacuna"),G2115)))),G2115))</f>
        <v>Lacuna face à meta 2030</v>
      </c>
      <c r="I2115" s="33" t="str">
        <f t="shared" si="33"/>
        <v>Lacuna</v>
      </c>
      <c r="J2115" s="26" t="s">
        <v>1001</v>
      </c>
    </row>
    <row r="2116" spans="1:10" ht="16.05" customHeight="1" x14ac:dyDescent="0.3">
      <c r="A2116" s="26" t="s">
        <v>833</v>
      </c>
      <c r="B2116" s="26" t="s">
        <v>1007</v>
      </c>
      <c r="C2116" s="33" t="str">
        <f>IFERROR(INDEX(tbl_requisitos_emb[Tema],MATCH(B2116,tbl_requisitos_emb[ID_Req],0)),"")</f>
        <v>Minimização</v>
      </c>
      <c r="D2116" s="33" t="str">
        <f>IFERROR(INDEX(tbl_recyclass[Segmento],MATCH(A2116,tbl_recyclass[ProductId],0)),"")</f>
        <v>Cosmética e higiene pessoal</v>
      </c>
      <c r="E2116" s="26" t="s">
        <v>901</v>
      </c>
      <c r="F2116" s="26" t="s">
        <v>1449</v>
      </c>
      <c r="G2116" s="26" t="s">
        <v>978</v>
      </c>
      <c r="H2116" s="33" t="str">
        <f>IF(E2116="Não","Não aplicável",IFERROR(IF(B2116="EU-ENV-002",IF(INDEX(tbl_recyclass[Conforme_PPWR_2030],MATCH(A2116,tbl_recyclass[ProductId],0))="Sim","Conforme (autoavaliação)",IF(INDEX(tbl_recyclass[Conforme_PPWR_2030],MATCH(A2116,tbl_recyclass[ProductId],0))="Não","Não conforme em 2030","Isento até 2035")),IF(B2116="EU-ENV-003",IF(INDEX(tbl_recyclass[Conforme_Art7_2030],MATCH(A2116,tbl_recyclass[ProductId],0))="Sim","Conforme (meta 2030)",IF(INDEX(tbl_recyclass[Conforme_Art7_2030],MATCH(A2116,tbl_recyclass[ProductId],0))="Não","Lacuna face à meta 2030","Isento")),IF(B2116="EU-ENV-011",IF(INDEX(tbl_familias_ppwr[Metais_Pesados_Evidencia],MATCH(INDEX(tbl_recyclass[Familia_PPWR],MATCH(A2116,tbl_recyclass[ProductId],0)),tbl_familias_ppwr[ID_Familia],0))="Em falta","Lacuna","Conforme"),IF(B2116="EU-ENV-013",IF(INDEX(tbl_familias_ppwr[Declaracao_UE],MATCH(INDEX(tbl_recyclass[Familia_PPWR],MATCH(A2116,tbl_recyclass[ProductId],0)),tbl_familias_ppwr[ID_Familia],0))="Sim","Conforme","Lacuna"),G2116)))),G2116))</f>
        <v>Parcial</v>
      </c>
      <c r="I2116" s="33" t="str">
        <f t="shared" si="33"/>
        <v>Parcial</v>
      </c>
      <c r="J2116" s="26" t="s">
        <v>1012</v>
      </c>
    </row>
    <row r="2117" spans="1:10" ht="16.05" customHeight="1" x14ac:dyDescent="0.3">
      <c r="A2117" s="26" t="s">
        <v>833</v>
      </c>
      <c r="B2117" s="26" t="s">
        <v>1016</v>
      </c>
      <c r="C2117" s="33" t="str">
        <f>IFERROR(INDEX(tbl_requisitos_emb[Tema],MATCH(B2117,tbl_requisitos_emb[ID_Req],0)),"")</f>
        <v>Rotulagem</v>
      </c>
      <c r="D2117" s="33" t="str">
        <f>IFERROR(INDEX(tbl_recyclass[Segmento],MATCH(A2117,tbl_recyclass[ProductId],0)),"")</f>
        <v>Cosmética e higiene pessoal</v>
      </c>
      <c r="E2117" s="26" t="s">
        <v>901</v>
      </c>
      <c r="F2117" s="26" t="s">
        <v>1449</v>
      </c>
      <c r="G2117" s="26" t="s">
        <v>990</v>
      </c>
      <c r="H2117" s="33" t="str">
        <f>IF(E2117="Não","Não aplicável",IFERROR(IF(B2117="EU-ENV-002",IF(INDEX(tbl_recyclass[Conforme_PPWR_2030],MATCH(A2117,tbl_recyclass[ProductId],0))="Sim","Conforme (autoavaliação)",IF(INDEX(tbl_recyclass[Conforme_PPWR_2030],MATCH(A2117,tbl_recyclass[ProductId],0))="Não","Não conforme em 2030","Isento até 2035")),IF(B2117="EU-ENV-003",IF(INDEX(tbl_recyclass[Conforme_Art7_2030],MATCH(A2117,tbl_recyclass[ProductId],0))="Sim","Conforme (meta 2030)",IF(INDEX(tbl_recyclass[Conforme_Art7_2030],MATCH(A2117,tbl_recyclass[ProductId],0))="Não","Lacuna face à meta 2030","Isento")),IF(B2117="EU-ENV-011",IF(INDEX(tbl_familias_ppwr[Metais_Pesados_Evidencia],MATCH(INDEX(tbl_recyclass[Familia_PPWR],MATCH(A2117,tbl_recyclass[ProductId],0)),tbl_familias_ppwr[ID_Familia],0))="Em falta","Lacuna","Conforme"),IF(B2117="EU-ENV-013",IF(INDEX(tbl_familias_ppwr[Declaracao_UE],MATCH(INDEX(tbl_recyclass[Familia_PPWR],MATCH(A2117,tbl_recyclass[ProductId],0)),tbl_familias_ppwr[ID_Familia],0))="Sim","Conforme","Lacuna"),G2117)))),G2117))</f>
        <v>Futuro</v>
      </c>
      <c r="I2117" s="33" t="str">
        <f t="shared" si="33"/>
        <v>Futuro</v>
      </c>
      <c r="J2117" s="26" t="s">
        <v>1021</v>
      </c>
    </row>
    <row r="2118" spans="1:10" ht="16.05" customHeight="1" x14ac:dyDescent="0.3">
      <c r="A2118" s="26" t="s">
        <v>833</v>
      </c>
      <c r="B2118" s="26" t="s">
        <v>1038</v>
      </c>
      <c r="C2118" s="33" t="str">
        <f>IFERROR(INDEX(tbl_requisitos_emb[Tema],MATCH(B2118,tbl_requisitos_emb[ID_Req],0)),"")</f>
        <v>Plásticos de utilização única</v>
      </c>
      <c r="D2118" s="33" t="str">
        <f>IFERROR(INDEX(tbl_recyclass[Segmento],MATCH(A2118,tbl_recyclass[ProductId],0)),"")</f>
        <v>Cosmética e higiene pessoal</v>
      </c>
      <c r="E2118" s="26" t="s">
        <v>904</v>
      </c>
      <c r="F2118" s="26" t="s">
        <v>1450</v>
      </c>
      <c r="G2118" s="26" t="s">
        <v>1143</v>
      </c>
      <c r="H2118" s="33" t="str">
        <f>IF(E2118="Não","Não aplicável",IFERROR(IF(B2118="EU-ENV-002",IF(INDEX(tbl_recyclass[Conforme_PPWR_2030],MATCH(A2118,tbl_recyclass[ProductId],0))="Sim","Conforme (autoavaliação)",IF(INDEX(tbl_recyclass[Conforme_PPWR_2030],MATCH(A2118,tbl_recyclass[ProductId],0))="Não","Não conforme em 2030","Isento até 2035")),IF(B2118="EU-ENV-003",IF(INDEX(tbl_recyclass[Conforme_Art7_2030],MATCH(A2118,tbl_recyclass[ProductId],0))="Sim","Conforme (meta 2030)",IF(INDEX(tbl_recyclass[Conforme_Art7_2030],MATCH(A2118,tbl_recyclass[ProductId],0))="Não","Lacuna face à meta 2030","Isento")),IF(B2118="EU-ENV-011",IF(INDEX(tbl_familias_ppwr[Metais_Pesados_Evidencia],MATCH(INDEX(tbl_recyclass[Familia_PPWR],MATCH(A2118,tbl_recyclass[ProductId],0)),tbl_familias_ppwr[ID_Familia],0))="Em falta","Lacuna","Conforme"),IF(B2118="EU-ENV-013",IF(INDEX(tbl_familias_ppwr[Declaracao_UE],MATCH(INDEX(tbl_recyclass[Familia_PPWR],MATCH(A2118,tbl_recyclass[ProductId],0)),tbl_familias_ppwr[ID_Familia],0))="Sim","Conforme","Lacuna"),G2118)))),G2118))</f>
        <v>Não aplicável</v>
      </c>
      <c r="I2118" s="33" t="str">
        <f t="shared" si="33"/>
        <v>Não aplicável</v>
      </c>
      <c r="J2118" s="26"/>
    </row>
    <row r="2119" spans="1:10" ht="16.05" customHeight="1" x14ac:dyDescent="0.3">
      <c r="A2119" s="26" t="s">
        <v>833</v>
      </c>
      <c r="B2119" s="26" t="s">
        <v>1078</v>
      </c>
      <c r="C2119" s="33" t="str">
        <f>IFERROR(INDEX(tbl_requisitos_emb[Tema],MATCH(B2119,tbl_requisitos_emb[ID_Req],0)),"")</f>
        <v>Reciclado à escala</v>
      </c>
      <c r="D2119" s="33" t="str">
        <f>IFERROR(INDEX(tbl_recyclass[Segmento],MATCH(A2119,tbl_recyclass[ProductId],0)),"")</f>
        <v>Cosmética e higiene pessoal</v>
      </c>
      <c r="E2119" s="26" t="s">
        <v>901</v>
      </c>
      <c r="F2119" s="26" t="s">
        <v>1449</v>
      </c>
      <c r="G2119" s="26" t="s">
        <v>990</v>
      </c>
      <c r="H2119" s="33" t="str">
        <f>IF(E2119="Não","Não aplicável",IFERROR(IF(B2119="EU-ENV-002",IF(INDEX(tbl_recyclass[Conforme_PPWR_2030],MATCH(A2119,tbl_recyclass[ProductId],0))="Sim","Conforme (autoavaliação)",IF(INDEX(tbl_recyclass[Conforme_PPWR_2030],MATCH(A2119,tbl_recyclass[ProductId],0))="Não","Não conforme em 2030","Isento até 2035")),IF(B2119="EU-ENV-003",IF(INDEX(tbl_recyclass[Conforme_Art7_2030],MATCH(A2119,tbl_recyclass[ProductId],0))="Sim","Conforme (meta 2030)",IF(INDEX(tbl_recyclass[Conforme_Art7_2030],MATCH(A2119,tbl_recyclass[ProductId],0))="Não","Lacuna face à meta 2030","Isento")),IF(B2119="EU-ENV-011",IF(INDEX(tbl_familias_ppwr[Metais_Pesados_Evidencia],MATCH(INDEX(tbl_recyclass[Familia_PPWR],MATCH(A2119,tbl_recyclass[ProductId],0)),tbl_familias_ppwr[ID_Familia],0))="Em falta","Lacuna","Conforme"),IF(B2119="EU-ENV-013",IF(INDEX(tbl_familias_ppwr[Declaracao_UE],MATCH(INDEX(tbl_recyclass[Familia_PPWR],MATCH(A2119,tbl_recyclass[ProductId],0)),tbl_familias_ppwr[ID_Familia],0))="Sim","Conforme","Lacuna"),G2119)))),G2119))</f>
        <v>Futuro</v>
      </c>
      <c r="I2119" s="33" t="str">
        <f t="shared" si="33"/>
        <v>Futuro</v>
      </c>
      <c r="J2119" s="26" t="s">
        <v>1082</v>
      </c>
    </row>
    <row r="2120" spans="1:10" ht="16.05" customHeight="1" x14ac:dyDescent="0.3">
      <c r="A2120" s="26" t="s">
        <v>833</v>
      </c>
      <c r="B2120" s="26" t="s">
        <v>1086</v>
      </c>
      <c r="C2120" s="33" t="str">
        <f>IFERROR(INDEX(tbl_requisitos_emb[Tema],MATCH(B2120,tbl_requisitos_emb[ID_Req],0)),"")</f>
        <v>Metais pesados</v>
      </c>
      <c r="D2120" s="33" t="str">
        <f>IFERROR(INDEX(tbl_recyclass[Segmento],MATCH(A2120,tbl_recyclass[ProductId],0)),"")</f>
        <v>Cosmética e higiene pessoal</v>
      </c>
      <c r="E2120" s="26" t="s">
        <v>901</v>
      </c>
      <c r="F2120" s="26" t="s">
        <v>1449</v>
      </c>
      <c r="G2120" s="26" t="s">
        <v>978</v>
      </c>
      <c r="H2120" s="33" t="str">
        <f>IF(E2120="Não","Não aplicável",IFERROR(IF(B2120="EU-ENV-002",IF(INDEX(tbl_recyclass[Conforme_PPWR_2030],MATCH(A2120,tbl_recyclass[ProductId],0))="Sim","Conforme (autoavaliação)",IF(INDEX(tbl_recyclass[Conforme_PPWR_2030],MATCH(A2120,tbl_recyclass[ProductId],0))="Não","Não conforme em 2030","Isento até 2035")),IF(B2120="EU-ENV-003",IF(INDEX(tbl_recyclass[Conforme_Art7_2030],MATCH(A2120,tbl_recyclass[ProductId],0))="Sim","Conforme (meta 2030)",IF(INDEX(tbl_recyclass[Conforme_Art7_2030],MATCH(A2120,tbl_recyclass[ProductId],0))="Não","Lacuna face à meta 2030","Isento")),IF(B2120="EU-ENV-011",IF(INDEX(tbl_familias_ppwr[Metais_Pesados_Evidencia],MATCH(INDEX(tbl_recyclass[Familia_PPWR],MATCH(A2120,tbl_recyclass[ProductId],0)),tbl_familias_ppwr[ID_Familia],0))="Em falta","Lacuna","Conforme"),IF(B2120="EU-ENV-013",IF(INDEX(tbl_familias_ppwr[Declaracao_UE],MATCH(INDEX(tbl_recyclass[Familia_PPWR],MATCH(A2120,tbl_recyclass[ProductId],0)),tbl_familias_ppwr[ID_Familia],0))="Sim","Conforme","Lacuna"),G2120)))),G2120))</f>
        <v>Lacuna</v>
      </c>
      <c r="I2120" s="33" t="str">
        <f t="shared" si="33"/>
        <v>Lacuna</v>
      </c>
      <c r="J2120" s="26" t="s">
        <v>1090</v>
      </c>
    </row>
    <row r="2121" spans="1:10" ht="16.05" customHeight="1" x14ac:dyDescent="0.3">
      <c r="A2121" s="26" t="s">
        <v>833</v>
      </c>
      <c r="B2121" s="26" t="s">
        <v>1094</v>
      </c>
      <c r="C2121" s="33" t="str">
        <f>IFERROR(INDEX(tbl_requisitos_emb[Tema],MATCH(B2121,tbl_requisitos_emb[ID_Req],0)),"")</f>
        <v>PFAS</v>
      </c>
      <c r="D2121" s="33" t="str">
        <f>IFERROR(INDEX(tbl_recyclass[Segmento],MATCH(A2121,tbl_recyclass[ProductId],0)),"")</f>
        <v>Cosmética e higiene pessoal</v>
      </c>
      <c r="E2121" s="26" t="s">
        <v>904</v>
      </c>
      <c r="F2121" s="26" t="s">
        <v>1450</v>
      </c>
      <c r="G2121" s="26" t="s">
        <v>1143</v>
      </c>
      <c r="H2121" s="33" t="str">
        <f>IF(E2121="Não","Não aplicável",IFERROR(IF(B2121="EU-ENV-002",IF(INDEX(tbl_recyclass[Conforme_PPWR_2030],MATCH(A2121,tbl_recyclass[ProductId],0))="Sim","Conforme (autoavaliação)",IF(INDEX(tbl_recyclass[Conforme_PPWR_2030],MATCH(A2121,tbl_recyclass[ProductId],0))="Não","Não conforme em 2030","Isento até 2035")),IF(B2121="EU-ENV-003",IF(INDEX(tbl_recyclass[Conforme_Art7_2030],MATCH(A2121,tbl_recyclass[ProductId],0))="Sim","Conforme (meta 2030)",IF(INDEX(tbl_recyclass[Conforme_Art7_2030],MATCH(A2121,tbl_recyclass[ProductId],0))="Não","Lacuna face à meta 2030","Isento")),IF(B2121="EU-ENV-011",IF(INDEX(tbl_familias_ppwr[Metais_Pesados_Evidencia],MATCH(INDEX(tbl_recyclass[Familia_PPWR],MATCH(A2121,tbl_recyclass[ProductId],0)),tbl_familias_ppwr[ID_Familia],0))="Em falta","Lacuna","Conforme"),IF(B2121="EU-ENV-013",IF(INDEX(tbl_familias_ppwr[Declaracao_UE],MATCH(INDEX(tbl_recyclass[Familia_PPWR],MATCH(A2121,tbl_recyclass[ProductId],0)),tbl_familias_ppwr[ID_Familia],0))="Sim","Conforme","Lacuna"),G2121)))),G2121))</f>
        <v>Não aplicável</v>
      </c>
      <c r="I2121" s="33" t="str">
        <f t="shared" si="33"/>
        <v>Não aplicável</v>
      </c>
      <c r="J2121" s="26"/>
    </row>
    <row r="2122" spans="1:10" ht="16.05" customHeight="1" x14ac:dyDescent="0.3">
      <c r="A2122" s="26" t="s">
        <v>833</v>
      </c>
      <c r="B2122" s="26" t="s">
        <v>1102</v>
      </c>
      <c r="C2122" s="33" t="str">
        <f>IFERROR(INDEX(tbl_requisitos_emb[Tema],MATCH(B2122,tbl_requisitos_emb[ID_Req],0)),"")</f>
        <v>Documentação técnica e declaração UE</v>
      </c>
      <c r="D2122" s="33" t="str">
        <f>IFERROR(INDEX(tbl_recyclass[Segmento],MATCH(A2122,tbl_recyclass[ProductId],0)),"")</f>
        <v>Cosmética e higiene pessoal</v>
      </c>
      <c r="E2122" s="26" t="s">
        <v>901</v>
      </c>
      <c r="F2122" s="26" t="s">
        <v>1449</v>
      </c>
      <c r="G2122" s="26" t="s">
        <v>978</v>
      </c>
      <c r="H2122" s="33" t="str">
        <f>IF(E2122="Não","Não aplicável",IFERROR(IF(B2122="EU-ENV-002",IF(INDEX(tbl_recyclass[Conforme_PPWR_2030],MATCH(A2122,tbl_recyclass[ProductId],0))="Sim","Conforme (autoavaliação)",IF(INDEX(tbl_recyclass[Conforme_PPWR_2030],MATCH(A2122,tbl_recyclass[ProductId],0))="Não","Não conforme em 2030","Isento até 2035")),IF(B2122="EU-ENV-003",IF(INDEX(tbl_recyclass[Conforme_Art7_2030],MATCH(A2122,tbl_recyclass[ProductId],0))="Sim","Conforme (meta 2030)",IF(INDEX(tbl_recyclass[Conforme_Art7_2030],MATCH(A2122,tbl_recyclass[ProductId],0))="Não","Lacuna face à meta 2030","Isento")),IF(B2122="EU-ENV-011",IF(INDEX(tbl_familias_ppwr[Metais_Pesados_Evidencia],MATCH(INDEX(tbl_recyclass[Familia_PPWR],MATCH(A2122,tbl_recyclass[ProductId],0)),tbl_familias_ppwr[ID_Familia],0))="Em falta","Lacuna","Conforme"),IF(B2122="EU-ENV-013",IF(INDEX(tbl_familias_ppwr[Declaracao_UE],MATCH(INDEX(tbl_recyclass[Familia_PPWR],MATCH(A2122,tbl_recyclass[ProductId],0)),tbl_familias_ppwr[ID_Familia],0))="Sim","Conforme","Lacuna"),G2122)))),G2122))</f>
        <v>Conforme</v>
      </c>
      <c r="I2122" s="33" t="str">
        <f t="shared" si="33"/>
        <v>Conforme</v>
      </c>
      <c r="J2122" s="26" t="s">
        <v>1106</v>
      </c>
    </row>
    <row r="2123" spans="1:10" ht="16.05" customHeight="1" x14ac:dyDescent="0.3">
      <c r="A2123" s="26" t="s">
        <v>833</v>
      </c>
      <c r="B2123" s="26" t="s">
        <v>1161</v>
      </c>
      <c r="C2123" s="33" t="str">
        <f>IFERROR(INDEX(tbl_requisitos_emb[Tema],MATCH(B2123,tbl_requisitos_emb[ID_Req],0)),"")</f>
        <v>Materiais em contacto com alimentos</v>
      </c>
      <c r="D2123" s="33" t="str">
        <f>IFERROR(INDEX(tbl_recyclass[Segmento],MATCH(A2123,tbl_recyclass[ProductId],0)),"")</f>
        <v>Cosmética e higiene pessoal</v>
      </c>
      <c r="E2123" s="26" t="s">
        <v>904</v>
      </c>
      <c r="F2123" s="26" t="s">
        <v>1450</v>
      </c>
      <c r="G2123" s="26" t="s">
        <v>1143</v>
      </c>
      <c r="H2123" s="33" t="str">
        <f>IF(E2123="Não","Não aplicável",IFERROR(IF(B2123="EU-ENV-002",IF(INDEX(tbl_recyclass[Conforme_PPWR_2030],MATCH(A2123,tbl_recyclass[ProductId],0))="Sim","Conforme (autoavaliação)",IF(INDEX(tbl_recyclass[Conforme_PPWR_2030],MATCH(A2123,tbl_recyclass[ProductId],0))="Não","Não conforme em 2030","Isento até 2035")),IF(B2123="EU-ENV-003",IF(INDEX(tbl_recyclass[Conforme_Art7_2030],MATCH(A2123,tbl_recyclass[ProductId],0))="Sim","Conforme (meta 2030)",IF(INDEX(tbl_recyclass[Conforme_Art7_2030],MATCH(A2123,tbl_recyclass[ProductId],0))="Não","Lacuna face à meta 2030","Isento")),IF(B2123="EU-ENV-011",IF(INDEX(tbl_familias_ppwr[Metais_Pesados_Evidencia],MATCH(INDEX(tbl_recyclass[Familia_PPWR],MATCH(A2123,tbl_recyclass[ProductId],0)),tbl_familias_ppwr[ID_Familia],0))="Em falta","Lacuna","Conforme"),IF(B2123="EU-ENV-013",IF(INDEX(tbl_familias_ppwr[Declaracao_UE],MATCH(INDEX(tbl_recyclass[Familia_PPWR],MATCH(A2123,tbl_recyclass[ProductId],0)),tbl_familias_ppwr[ID_Familia],0))="Sim","Conforme","Lacuna"),G2123)))),G2123))</f>
        <v>Não aplicável</v>
      </c>
      <c r="I2123" s="33" t="str">
        <f t="shared" si="33"/>
        <v>Não aplicável</v>
      </c>
      <c r="J2123" s="26"/>
    </row>
    <row r="2124" spans="1:10" ht="16.05" customHeight="1" x14ac:dyDescent="0.3">
      <c r="A2124" s="26" t="s">
        <v>833</v>
      </c>
      <c r="B2124" s="26" t="s">
        <v>1170</v>
      </c>
      <c r="C2124" s="33" t="str">
        <f>IFERROR(INDEX(tbl_requisitos_emb[Tema],MATCH(B2124,tbl_requisitos_emb[ID_Req],0)),"")</f>
        <v>Boas práticas de fabrico FCM</v>
      </c>
      <c r="D2124" s="33" t="str">
        <f>IFERROR(INDEX(tbl_recyclass[Segmento],MATCH(A2124,tbl_recyclass[ProductId],0)),"")</f>
        <v>Cosmética e higiene pessoal</v>
      </c>
      <c r="E2124" s="26" t="s">
        <v>904</v>
      </c>
      <c r="F2124" s="26" t="s">
        <v>1450</v>
      </c>
      <c r="G2124" s="26" t="s">
        <v>1143</v>
      </c>
      <c r="H2124" s="33" t="str">
        <f>IF(E2124="Não","Não aplicável",IFERROR(IF(B2124="EU-ENV-002",IF(INDEX(tbl_recyclass[Conforme_PPWR_2030],MATCH(A2124,tbl_recyclass[ProductId],0))="Sim","Conforme (autoavaliação)",IF(INDEX(tbl_recyclass[Conforme_PPWR_2030],MATCH(A2124,tbl_recyclass[ProductId],0))="Não","Não conforme em 2030","Isento até 2035")),IF(B2124="EU-ENV-003",IF(INDEX(tbl_recyclass[Conforme_Art7_2030],MATCH(A2124,tbl_recyclass[ProductId],0))="Sim","Conforme (meta 2030)",IF(INDEX(tbl_recyclass[Conforme_Art7_2030],MATCH(A2124,tbl_recyclass[ProductId],0))="Não","Lacuna face à meta 2030","Isento")),IF(B2124="EU-ENV-011",IF(INDEX(tbl_familias_ppwr[Metais_Pesados_Evidencia],MATCH(INDEX(tbl_recyclass[Familia_PPWR],MATCH(A2124,tbl_recyclass[ProductId],0)),tbl_familias_ppwr[ID_Familia],0))="Em falta","Lacuna","Conforme"),IF(B2124="EU-ENV-013",IF(INDEX(tbl_familias_ppwr[Declaracao_UE],MATCH(INDEX(tbl_recyclass[Familia_PPWR],MATCH(A2124,tbl_recyclass[ProductId],0)),tbl_familias_ppwr[ID_Familia],0))="Sim","Conforme","Lacuna"),G2124)))),G2124))</f>
        <v>Não aplicável</v>
      </c>
      <c r="I2124" s="33" t="str">
        <f t="shared" si="33"/>
        <v>Não aplicável</v>
      </c>
      <c r="J2124" s="26"/>
    </row>
    <row r="2125" spans="1:10" ht="16.05" customHeight="1" x14ac:dyDescent="0.3">
      <c r="A2125" s="26" t="s">
        <v>833</v>
      </c>
      <c r="B2125" s="26" t="s">
        <v>1179</v>
      </c>
      <c r="C2125" s="33" t="str">
        <f>IFERROR(INDEX(tbl_requisitos_emb[Tema],MATCH(B2125,tbl_requisitos_emb[ID_Req],0)),"")</f>
        <v>Bisfenol A e bisfenóis perigosos</v>
      </c>
      <c r="D2125" s="33" t="str">
        <f>IFERROR(INDEX(tbl_recyclass[Segmento],MATCH(A2125,tbl_recyclass[ProductId],0)),"")</f>
        <v>Cosmética e higiene pessoal</v>
      </c>
      <c r="E2125" s="26" t="s">
        <v>904</v>
      </c>
      <c r="F2125" s="26" t="s">
        <v>1450</v>
      </c>
      <c r="G2125" s="26" t="s">
        <v>1143</v>
      </c>
      <c r="H2125" s="33" t="str">
        <f>IF(E2125="Não","Não aplicável",IFERROR(IF(B2125="EU-ENV-002",IF(INDEX(tbl_recyclass[Conforme_PPWR_2030],MATCH(A2125,tbl_recyclass[ProductId],0))="Sim","Conforme (autoavaliação)",IF(INDEX(tbl_recyclass[Conforme_PPWR_2030],MATCH(A2125,tbl_recyclass[ProductId],0))="Não","Não conforme em 2030","Isento até 2035")),IF(B2125="EU-ENV-003",IF(INDEX(tbl_recyclass[Conforme_Art7_2030],MATCH(A2125,tbl_recyclass[ProductId],0))="Sim","Conforme (meta 2030)",IF(INDEX(tbl_recyclass[Conforme_Art7_2030],MATCH(A2125,tbl_recyclass[ProductId],0))="Não","Lacuna face à meta 2030","Isento")),IF(B2125="EU-ENV-011",IF(INDEX(tbl_familias_ppwr[Metais_Pesados_Evidencia],MATCH(INDEX(tbl_recyclass[Familia_PPWR],MATCH(A2125,tbl_recyclass[ProductId],0)),tbl_familias_ppwr[ID_Familia],0))="Em falta","Lacuna","Conforme"),IF(B2125="EU-ENV-013",IF(INDEX(tbl_familias_ppwr[Declaracao_UE],MATCH(INDEX(tbl_recyclass[Familia_PPWR],MATCH(A2125,tbl_recyclass[ProductId],0)),tbl_familias_ppwr[ID_Familia],0))="Sim","Conforme","Lacuna"),G2125)))),G2125))</f>
        <v>Não aplicável</v>
      </c>
      <c r="I2125" s="33" t="str">
        <f t="shared" si="33"/>
        <v>Não aplicável</v>
      </c>
      <c r="J2125" s="26"/>
    </row>
    <row r="2126" spans="1:10" ht="16.05" customHeight="1" x14ac:dyDescent="0.3">
      <c r="A2126" s="26" t="s">
        <v>833</v>
      </c>
      <c r="B2126" s="26" t="s">
        <v>1188</v>
      </c>
      <c r="C2126" s="33" t="str">
        <f>IFERROR(INDEX(tbl_requisitos_emb[Tema],MATCH(B2126,tbl_requisitos_emb[ID_Req],0)),"")</f>
        <v>Plásticos em contacto com alimentos</v>
      </c>
      <c r="D2126" s="33" t="str">
        <f>IFERROR(INDEX(tbl_recyclass[Segmento],MATCH(A2126,tbl_recyclass[ProductId],0)),"")</f>
        <v>Cosmética e higiene pessoal</v>
      </c>
      <c r="E2126" s="26" t="s">
        <v>904</v>
      </c>
      <c r="F2126" s="26" t="s">
        <v>1450</v>
      </c>
      <c r="G2126" s="26" t="s">
        <v>1143</v>
      </c>
      <c r="H2126" s="33" t="str">
        <f>IF(E2126="Não","Não aplicável",IFERROR(IF(B2126="EU-ENV-002",IF(INDEX(tbl_recyclass[Conforme_PPWR_2030],MATCH(A2126,tbl_recyclass[ProductId],0))="Sim","Conforme (autoavaliação)",IF(INDEX(tbl_recyclass[Conforme_PPWR_2030],MATCH(A2126,tbl_recyclass[ProductId],0))="Não","Não conforme em 2030","Isento até 2035")),IF(B2126="EU-ENV-003",IF(INDEX(tbl_recyclass[Conforme_Art7_2030],MATCH(A2126,tbl_recyclass[ProductId],0))="Sim","Conforme (meta 2030)",IF(INDEX(tbl_recyclass[Conforme_Art7_2030],MATCH(A2126,tbl_recyclass[ProductId],0))="Não","Lacuna face à meta 2030","Isento")),IF(B2126="EU-ENV-011",IF(INDEX(tbl_familias_ppwr[Metais_Pesados_Evidencia],MATCH(INDEX(tbl_recyclass[Familia_PPWR],MATCH(A2126,tbl_recyclass[ProductId],0)),tbl_familias_ppwr[ID_Familia],0))="Em falta","Lacuna","Conforme"),IF(B2126="EU-ENV-013",IF(INDEX(tbl_familias_ppwr[Declaracao_UE],MATCH(INDEX(tbl_recyclass[Familia_PPWR],MATCH(A2126,tbl_recyclass[ProductId],0)),tbl_familias_ppwr[ID_Familia],0))="Sim","Conforme","Lacuna"),G2126)))),G2126))</f>
        <v>Não aplicável</v>
      </c>
      <c r="I2126" s="33" t="str">
        <f t="shared" si="33"/>
        <v>Não aplicável</v>
      </c>
      <c r="J2126" s="26"/>
    </row>
    <row r="2127" spans="1:10" ht="16.05" customHeight="1" x14ac:dyDescent="0.3">
      <c r="A2127" s="26" t="s">
        <v>833</v>
      </c>
      <c r="B2127" s="26" t="s">
        <v>1212</v>
      </c>
      <c r="C2127" s="33" t="str">
        <f>IFERROR(INDEX(tbl_requisitos_emb[Tema],MATCH(B2127,tbl_requisitos_emb[ID_Req],0)),"")</f>
        <v>Segurança do produto cosmético</v>
      </c>
      <c r="D2127" s="33" t="str">
        <f>IFERROR(INDEX(tbl_recyclass[Segmento],MATCH(A2127,tbl_recyclass[ProductId],0)),"")</f>
        <v>Cosmética e higiene pessoal</v>
      </c>
      <c r="E2127" s="26" t="s">
        <v>901</v>
      </c>
      <c r="F2127" s="26" t="s">
        <v>1449</v>
      </c>
      <c r="G2127" s="26" t="s">
        <v>1033</v>
      </c>
      <c r="H2127" s="33" t="str">
        <f>IF(E2127="Não","Não aplicável",IFERROR(IF(B2127="EU-ENV-002",IF(INDEX(tbl_recyclass[Conforme_PPWR_2030],MATCH(A2127,tbl_recyclass[ProductId],0))="Sim","Conforme (autoavaliação)",IF(INDEX(tbl_recyclass[Conforme_PPWR_2030],MATCH(A2127,tbl_recyclass[ProductId],0))="Não","Não conforme em 2030","Isento até 2035")),IF(B2127="EU-ENV-003",IF(INDEX(tbl_recyclass[Conforme_Art7_2030],MATCH(A2127,tbl_recyclass[ProductId],0))="Sim","Conforme (meta 2030)",IF(INDEX(tbl_recyclass[Conforme_Art7_2030],MATCH(A2127,tbl_recyclass[ProductId],0))="Não","Lacuna face à meta 2030","Isento")),IF(B2127="EU-ENV-011",IF(INDEX(tbl_familias_ppwr[Metais_Pesados_Evidencia],MATCH(INDEX(tbl_recyclass[Familia_PPWR],MATCH(A2127,tbl_recyclass[ProductId],0)),tbl_familias_ppwr[ID_Familia],0))="Em falta","Lacuna","Conforme"),IF(B2127="EU-ENV-013",IF(INDEX(tbl_familias_ppwr[Declaracao_UE],MATCH(INDEX(tbl_recyclass[Familia_PPWR],MATCH(A2127,tbl_recyclass[ProductId],0)),tbl_familias_ppwr[ID_Familia],0))="Sim","Conforme","Lacuna"),G2127)))),G2127))</f>
        <v>Conforme</v>
      </c>
      <c r="I2127" s="33" t="str">
        <f t="shared" si="33"/>
        <v>Conforme</v>
      </c>
      <c r="J2127" s="26" t="s">
        <v>1221</v>
      </c>
    </row>
    <row r="2128" spans="1:10" ht="16.05" customHeight="1" x14ac:dyDescent="0.3">
      <c r="A2128" s="26" t="s">
        <v>833</v>
      </c>
      <c r="B2128" s="26" t="s">
        <v>1224</v>
      </c>
      <c r="C2128" s="33" t="str">
        <f>IFERROR(INDEX(tbl_requisitos_emb[Tema],MATCH(B2128,tbl_requisitos_emb[ID_Req],0)),"")</f>
        <v>Materiais e impurezas</v>
      </c>
      <c r="D2128" s="33" t="str">
        <f>IFERROR(INDEX(tbl_recyclass[Segmento],MATCH(A2128,tbl_recyclass[ProductId],0)),"")</f>
        <v>Cosmética e higiene pessoal</v>
      </c>
      <c r="E2128" s="26" t="s">
        <v>901</v>
      </c>
      <c r="F2128" s="26" t="s">
        <v>1449</v>
      </c>
      <c r="G2128" s="26" t="s">
        <v>978</v>
      </c>
      <c r="H2128" s="33" t="str">
        <f>IF(E2128="Não","Não aplicável",IFERROR(IF(B2128="EU-ENV-002",IF(INDEX(tbl_recyclass[Conforme_PPWR_2030],MATCH(A2128,tbl_recyclass[ProductId],0))="Sim","Conforme (autoavaliação)",IF(INDEX(tbl_recyclass[Conforme_PPWR_2030],MATCH(A2128,tbl_recyclass[ProductId],0))="Não","Não conforme em 2030","Isento até 2035")),IF(B2128="EU-ENV-003",IF(INDEX(tbl_recyclass[Conforme_Art7_2030],MATCH(A2128,tbl_recyclass[ProductId],0))="Sim","Conforme (meta 2030)",IF(INDEX(tbl_recyclass[Conforme_Art7_2030],MATCH(A2128,tbl_recyclass[ProductId],0))="Não","Lacuna face à meta 2030","Isento")),IF(B2128="EU-ENV-011",IF(INDEX(tbl_familias_ppwr[Metais_Pesados_Evidencia],MATCH(INDEX(tbl_recyclass[Familia_PPWR],MATCH(A2128,tbl_recyclass[ProductId],0)),tbl_familias_ppwr[ID_Familia],0))="Em falta","Lacuna","Conforme"),IF(B2128="EU-ENV-013",IF(INDEX(tbl_familias_ppwr[Declaracao_UE],MATCH(INDEX(tbl_recyclass[Familia_PPWR],MATCH(A2128,tbl_recyclass[ProductId],0)),tbl_familias_ppwr[ID_Familia],0))="Sim","Conforme","Lacuna"),G2128)))),G2128))</f>
        <v>Parcial</v>
      </c>
      <c r="I2128" s="33" t="str">
        <f t="shared" si="33"/>
        <v>Parcial</v>
      </c>
      <c r="J2128" s="26" t="s">
        <v>1228</v>
      </c>
    </row>
    <row r="2129" spans="1:10" ht="16.05" customHeight="1" x14ac:dyDescent="0.3">
      <c r="A2129" s="26" t="s">
        <v>833</v>
      </c>
      <c r="B2129" s="26" t="s">
        <v>1240</v>
      </c>
      <c r="C2129" s="33" t="str">
        <f>IFERROR(INDEX(tbl_requisitos_emb[Tema],MATCH(B2129,tbl_requisitos_emb[ID_Req],0)),"")</f>
        <v>Compatibilidade embalagem–produto</v>
      </c>
      <c r="D2129" s="33" t="str">
        <f>IFERROR(INDEX(tbl_recyclass[Segmento],MATCH(A2129,tbl_recyclass[ProductId],0)),"")</f>
        <v>Cosmética e higiene pessoal</v>
      </c>
      <c r="E2129" s="26" t="s">
        <v>901</v>
      </c>
      <c r="F2129" s="26" t="s">
        <v>1449</v>
      </c>
      <c r="G2129" s="26" t="s">
        <v>1033</v>
      </c>
      <c r="H2129" s="33" t="str">
        <f>IF(E2129="Não","Não aplicável",IFERROR(IF(B2129="EU-ENV-002",IF(INDEX(tbl_recyclass[Conforme_PPWR_2030],MATCH(A2129,tbl_recyclass[ProductId],0))="Sim","Conforme (autoavaliação)",IF(INDEX(tbl_recyclass[Conforme_PPWR_2030],MATCH(A2129,tbl_recyclass[ProductId],0))="Não","Não conforme em 2030","Isento até 2035")),IF(B2129="EU-ENV-003",IF(INDEX(tbl_recyclass[Conforme_Art7_2030],MATCH(A2129,tbl_recyclass[ProductId],0))="Sim","Conforme (meta 2030)",IF(INDEX(tbl_recyclass[Conforme_Art7_2030],MATCH(A2129,tbl_recyclass[ProductId],0))="Não","Lacuna face à meta 2030","Isento")),IF(B2129="EU-ENV-011",IF(INDEX(tbl_familias_ppwr[Metais_Pesados_Evidencia],MATCH(INDEX(tbl_recyclass[Familia_PPWR],MATCH(A2129,tbl_recyclass[ProductId],0)),tbl_familias_ppwr[ID_Familia],0))="Em falta","Lacuna","Conforme"),IF(B2129="EU-ENV-013",IF(INDEX(tbl_familias_ppwr[Declaracao_UE],MATCH(INDEX(tbl_recyclass[Familia_PPWR],MATCH(A2129,tbl_recyclass[ProductId],0)),tbl_familias_ppwr[ID_Familia],0))="Sim","Conforme","Lacuna"),G2129)))),G2129))</f>
        <v>Conforme</v>
      </c>
      <c r="I2129" s="33" t="str">
        <f t="shared" si="33"/>
        <v>Conforme</v>
      </c>
      <c r="J2129" s="26" t="s">
        <v>1244</v>
      </c>
    </row>
    <row r="2130" spans="1:10" ht="16.05" customHeight="1" x14ac:dyDescent="0.3">
      <c r="A2130" s="26" t="s">
        <v>833</v>
      </c>
      <c r="B2130" s="26" t="s">
        <v>1252</v>
      </c>
      <c r="C2130" s="33" t="str">
        <f>IFERROR(INDEX(tbl_requisitos_emb[Tema],MATCH(B2130,tbl_requisitos_emb[ID_Req],0)),"")</f>
        <v>Medicamentos de uso humano</v>
      </c>
      <c r="D2130" s="33" t="str">
        <f>IFERROR(INDEX(tbl_recyclass[Segmento],MATCH(A2130,tbl_recyclass[ProductId],0)),"")</f>
        <v>Cosmética e higiene pessoal</v>
      </c>
      <c r="E2130" s="26" t="s">
        <v>904</v>
      </c>
      <c r="F2130" s="26" t="s">
        <v>1451</v>
      </c>
      <c r="G2130" s="26" t="s">
        <v>1143</v>
      </c>
      <c r="H2130" s="33" t="str">
        <f>IF(E2130="Não","Não aplicável",IFERROR(IF(B2130="EU-ENV-002",IF(INDEX(tbl_recyclass[Conforme_PPWR_2030],MATCH(A2130,tbl_recyclass[ProductId],0))="Sim","Conforme (autoavaliação)",IF(INDEX(tbl_recyclass[Conforme_PPWR_2030],MATCH(A2130,tbl_recyclass[ProductId],0))="Não","Não conforme em 2030","Isento até 2035")),IF(B2130="EU-ENV-003",IF(INDEX(tbl_recyclass[Conforme_Art7_2030],MATCH(A2130,tbl_recyclass[ProductId],0))="Sim","Conforme (meta 2030)",IF(INDEX(tbl_recyclass[Conforme_Art7_2030],MATCH(A2130,tbl_recyclass[ProductId],0))="Não","Lacuna face à meta 2030","Isento")),IF(B2130="EU-ENV-011",IF(INDEX(tbl_familias_ppwr[Metais_Pesados_Evidencia],MATCH(INDEX(tbl_recyclass[Familia_PPWR],MATCH(A2130,tbl_recyclass[ProductId],0)),tbl_familias_ppwr[ID_Familia],0))="Em falta","Lacuna","Conforme"),IF(B2130="EU-ENV-013",IF(INDEX(tbl_familias_ppwr[Declaracao_UE],MATCH(INDEX(tbl_recyclass[Familia_PPWR],MATCH(A2130,tbl_recyclass[ProductId],0)),tbl_familias_ppwr[ID_Familia],0))="Sim","Conforme","Lacuna"),G2130)))),G2130))</f>
        <v>Não aplicável</v>
      </c>
      <c r="I2130" s="33" t="str">
        <f t="shared" si="33"/>
        <v>Não aplicável</v>
      </c>
      <c r="J2130" s="26"/>
    </row>
    <row r="2131" spans="1:10" ht="16.05" customHeight="1" x14ac:dyDescent="0.3">
      <c r="A2131" s="26" t="s">
        <v>833</v>
      </c>
      <c r="B2131" s="26" t="s">
        <v>1268</v>
      </c>
      <c r="C2131" s="33" t="str">
        <f>IFERROR(INDEX(tbl_requisitos_emb[Tema],MATCH(B2131,tbl_requisitos_emb[ID_Req],0)),"")</f>
        <v>Dispositivos de segurança</v>
      </c>
      <c r="D2131" s="33" t="str">
        <f>IFERROR(INDEX(tbl_recyclass[Segmento],MATCH(A2131,tbl_recyclass[ProductId],0)),"")</f>
        <v>Cosmética e higiene pessoal</v>
      </c>
      <c r="E2131" s="26" t="s">
        <v>904</v>
      </c>
      <c r="F2131" s="26" t="s">
        <v>1451</v>
      </c>
      <c r="G2131" s="26" t="s">
        <v>1143</v>
      </c>
      <c r="H2131" s="33" t="str">
        <f>IF(E2131="Não","Não aplicável",IFERROR(IF(B2131="EU-ENV-002",IF(INDEX(tbl_recyclass[Conforme_PPWR_2030],MATCH(A2131,tbl_recyclass[ProductId],0))="Sim","Conforme (autoavaliação)",IF(INDEX(tbl_recyclass[Conforme_PPWR_2030],MATCH(A2131,tbl_recyclass[ProductId],0))="Não","Não conforme em 2030","Isento até 2035")),IF(B2131="EU-ENV-003",IF(INDEX(tbl_recyclass[Conforme_Art7_2030],MATCH(A2131,tbl_recyclass[ProductId],0))="Sim","Conforme (meta 2030)",IF(INDEX(tbl_recyclass[Conforme_Art7_2030],MATCH(A2131,tbl_recyclass[ProductId],0))="Não","Lacuna face à meta 2030","Isento")),IF(B2131="EU-ENV-011",IF(INDEX(tbl_familias_ppwr[Metais_Pesados_Evidencia],MATCH(INDEX(tbl_recyclass[Familia_PPWR],MATCH(A2131,tbl_recyclass[ProductId],0)),tbl_familias_ppwr[ID_Familia],0))="Em falta","Lacuna","Conforme"),IF(B2131="EU-ENV-013",IF(INDEX(tbl_familias_ppwr[Declaracao_UE],MATCH(INDEX(tbl_recyclass[Familia_PPWR],MATCH(A2131,tbl_recyclass[ProductId],0)),tbl_familias_ppwr[ID_Familia],0))="Sim","Conforme","Lacuna"),G2131)))),G2131))</f>
        <v>Não aplicável</v>
      </c>
      <c r="I2131" s="33" t="str">
        <f t="shared" si="33"/>
        <v>Não aplicável</v>
      </c>
      <c r="J2131" s="26"/>
    </row>
    <row r="2132" spans="1:10" ht="16.05" customHeight="1" x14ac:dyDescent="0.3">
      <c r="A2132" s="26" t="s">
        <v>833</v>
      </c>
      <c r="B2132" s="26" t="s">
        <v>1285</v>
      </c>
      <c r="C2132" s="33" t="str">
        <f>IFERROR(INDEX(tbl_requisitos_emb[Tema],MATCH(B2132,tbl_requisitos_emb[ID_Req],0)),"")</f>
        <v>Materiais plásticos de acondicionamento primário</v>
      </c>
      <c r="D2132" s="33" t="str">
        <f>IFERROR(INDEX(tbl_recyclass[Segmento],MATCH(A2132,tbl_recyclass[ProductId],0)),"")</f>
        <v>Cosmética e higiene pessoal</v>
      </c>
      <c r="E2132" s="26" t="s">
        <v>904</v>
      </c>
      <c r="F2132" s="26" t="s">
        <v>1451</v>
      </c>
      <c r="G2132" s="26" t="s">
        <v>1143</v>
      </c>
      <c r="H2132" s="33" t="str">
        <f>IF(E2132="Não","Não aplicável",IFERROR(IF(B2132="EU-ENV-002",IF(INDEX(tbl_recyclass[Conforme_PPWR_2030],MATCH(A2132,tbl_recyclass[ProductId],0))="Sim","Conforme (autoavaliação)",IF(INDEX(tbl_recyclass[Conforme_PPWR_2030],MATCH(A2132,tbl_recyclass[ProductId],0))="Não","Não conforme em 2030","Isento até 2035")),IF(B2132="EU-ENV-003",IF(INDEX(tbl_recyclass[Conforme_Art7_2030],MATCH(A2132,tbl_recyclass[ProductId],0))="Sim","Conforme (meta 2030)",IF(INDEX(tbl_recyclass[Conforme_Art7_2030],MATCH(A2132,tbl_recyclass[ProductId],0))="Não","Lacuna face à meta 2030","Isento")),IF(B2132="EU-ENV-011",IF(INDEX(tbl_familias_ppwr[Metais_Pesados_Evidencia],MATCH(INDEX(tbl_recyclass[Familia_PPWR],MATCH(A2132,tbl_recyclass[ProductId],0)),tbl_familias_ppwr[ID_Familia],0))="Em falta","Lacuna","Conforme"),IF(B2132="EU-ENV-013",IF(INDEX(tbl_familias_ppwr[Declaracao_UE],MATCH(INDEX(tbl_recyclass[Familia_PPWR],MATCH(A2132,tbl_recyclass[ProductId],0)),tbl_familias_ppwr[ID_Familia],0))="Sim","Conforme","Lacuna"),G2132)))),G2132))</f>
        <v>Não aplicável</v>
      </c>
      <c r="I2132" s="33" t="str">
        <f t="shared" si="33"/>
        <v>Não aplicável</v>
      </c>
      <c r="J2132" s="26"/>
    </row>
    <row r="2133" spans="1:10" ht="16.05" customHeight="1" x14ac:dyDescent="0.3">
      <c r="A2133" s="26" t="s">
        <v>833</v>
      </c>
      <c r="B2133" s="26" t="s">
        <v>1293</v>
      </c>
      <c r="C2133" s="33" t="str">
        <f>IFERROR(INDEX(tbl_requisitos_emb[Tema],MATCH(B2133,tbl_requisitos_emb[ID_Req],0)),"")</f>
        <v>Isenções PPWR</v>
      </c>
      <c r="D2133" s="33" t="str">
        <f>IFERROR(INDEX(tbl_recyclass[Segmento],MATCH(A2133,tbl_recyclass[ProductId],0)),"")</f>
        <v>Cosmética e higiene pessoal</v>
      </c>
      <c r="E2133" s="26" t="s">
        <v>904</v>
      </c>
      <c r="F2133" s="26" t="s">
        <v>1451</v>
      </c>
      <c r="G2133" s="26" t="s">
        <v>1143</v>
      </c>
      <c r="H2133" s="33" t="str">
        <f>IF(E2133="Não","Não aplicável",IFERROR(IF(B2133="EU-ENV-002",IF(INDEX(tbl_recyclass[Conforme_PPWR_2030],MATCH(A2133,tbl_recyclass[ProductId],0))="Sim","Conforme (autoavaliação)",IF(INDEX(tbl_recyclass[Conforme_PPWR_2030],MATCH(A2133,tbl_recyclass[ProductId],0))="Não","Não conforme em 2030","Isento até 2035")),IF(B2133="EU-ENV-003",IF(INDEX(tbl_recyclass[Conforme_Art7_2030],MATCH(A2133,tbl_recyclass[ProductId],0))="Sim","Conforme (meta 2030)",IF(INDEX(tbl_recyclass[Conforme_Art7_2030],MATCH(A2133,tbl_recyclass[ProductId],0))="Não","Lacuna face à meta 2030","Isento")),IF(B2133="EU-ENV-011",IF(INDEX(tbl_familias_ppwr[Metais_Pesados_Evidencia],MATCH(INDEX(tbl_recyclass[Familia_PPWR],MATCH(A2133,tbl_recyclass[ProductId],0)),tbl_familias_ppwr[ID_Familia],0))="Em falta","Lacuna","Conforme"),IF(B2133="EU-ENV-013",IF(INDEX(tbl_familias_ppwr[Declaracao_UE],MATCH(INDEX(tbl_recyclass[Familia_PPWR],MATCH(A2133,tbl_recyclass[ProductId],0)),tbl_familias_ppwr[ID_Familia],0))="Sim","Conforme","Lacuna"),G2133)))),G2133))</f>
        <v>Não aplicável</v>
      </c>
      <c r="I2133" s="33" t="str">
        <f t="shared" si="33"/>
        <v>Não aplicável</v>
      </c>
      <c r="J2133" s="26"/>
    </row>
    <row r="2134" spans="1:10" ht="16.05" customHeight="1" x14ac:dyDescent="0.3">
      <c r="A2134" s="26" t="s">
        <v>833</v>
      </c>
      <c r="B2134" s="26" t="s">
        <v>1357</v>
      </c>
      <c r="C2134" s="33" t="str">
        <f>IFERROR(INDEX(tbl_requisitos_emb[Tema],MATCH(B2134,tbl_requisitos_emb[ID_Req],0)),"")</f>
        <v>Identificação de plásticos</v>
      </c>
      <c r="D2134" s="33" t="str">
        <f>IFERROR(INDEX(tbl_recyclass[Segmento],MATCH(A2134,tbl_recyclass[ProductId],0)),"")</f>
        <v>Cosmética e higiene pessoal</v>
      </c>
      <c r="E2134" s="26" t="s">
        <v>901</v>
      </c>
      <c r="F2134" s="26" t="s">
        <v>1449</v>
      </c>
      <c r="G2134" s="26" t="s">
        <v>978</v>
      </c>
      <c r="H2134" s="33" t="str">
        <f>IF(E2134="Não","Não aplicável",IFERROR(IF(B2134="EU-ENV-002",IF(INDEX(tbl_recyclass[Conforme_PPWR_2030],MATCH(A2134,tbl_recyclass[ProductId],0))="Sim","Conforme (autoavaliação)",IF(INDEX(tbl_recyclass[Conforme_PPWR_2030],MATCH(A2134,tbl_recyclass[ProductId],0))="Não","Não conforme em 2030","Isento até 2035")),IF(B2134="EU-ENV-003",IF(INDEX(tbl_recyclass[Conforme_Art7_2030],MATCH(A2134,tbl_recyclass[ProductId],0))="Sim","Conforme (meta 2030)",IF(INDEX(tbl_recyclass[Conforme_Art7_2030],MATCH(A2134,tbl_recyclass[ProductId],0))="Não","Lacuna face à meta 2030","Isento")),IF(B2134="EU-ENV-011",IF(INDEX(tbl_familias_ppwr[Metais_Pesados_Evidencia],MATCH(INDEX(tbl_recyclass[Familia_PPWR],MATCH(A2134,tbl_recyclass[ProductId],0)),tbl_familias_ppwr[ID_Familia],0))="Em falta","Lacuna","Conforme"),IF(B2134="EU-ENV-013",IF(INDEX(tbl_familias_ppwr[Declaracao_UE],MATCH(INDEX(tbl_recyclass[Familia_PPWR],MATCH(A2134,tbl_recyclass[ProductId],0)),tbl_familias_ppwr[ID_Familia],0))="Sim","Conforme","Lacuna"),G2134)))),G2134))</f>
        <v>Parcial</v>
      </c>
      <c r="I2134" s="33" t="str">
        <f t="shared" si="33"/>
        <v>Parcial</v>
      </c>
      <c r="J2134" s="26" t="s">
        <v>1362</v>
      </c>
    </row>
    <row r="2135" spans="1:10" ht="16.05" customHeight="1" x14ac:dyDescent="0.3">
      <c r="A2135" s="26" t="s">
        <v>833</v>
      </c>
      <c r="B2135" s="26" t="s">
        <v>1385</v>
      </c>
      <c r="C2135" s="33" t="str">
        <f>IFERROR(INDEX(tbl_requisitos_emb[Tema],MATCH(B2135,tbl_requisitos_emb[ID_Req],0)),"")</f>
        <v>Reciclabilidade (voluntária)</v>
      </c>
      <c r="D2135" s="33" t="str">
        <f>IFERROR(INDEX(tbl_recyclass[Segmento],MATCH(A2135,tbl_recyclass[ProductId],0)),"")</f>
        <v>Cosmética e higiene pessoal</v>
      </c>
      <c r="E2135" s="26" t="s">
        <v>901</v>
      </c>
      <c r="F2135" s="26" t="s">
        <v>1449</v>
      </c>
      <c r="G2135" s="26" t="s">
        <v>978</v>
      </c>
      <c r="H2135" s="33" t="str">
        <f>IF(E2135="Não","Não aplicável",IFERROR(IF(B2135="EU-ENV-002",IF(INDEX(tbl_recyclass[Conforme_PPWR_2030],MATCH(A2135,tbl_recyclass[ProductId],0))="Sim","Conforme (autoavaliação)",IF(INDEX(tbl_recyclass[Conforme_PPWR_2030],MATCH(A2135,tbl_recyclass[ProductId],0))="Não","Não conforme em 2030","Isento até 2035")),IF(B2135="EU-ENV-003",IF(INDEX(tbl_recyclass[Conforme_Art7_2030],MATCH(A2135,tbl_recyclass[ProductId],0))="Sim","Conforme (meta 2030)",IF(INDEX(tbl_recyclass[Conforme_Art7_2030],MATCH(A2135,tbl_recyclass[ProductId],0))="Não","Lacuna face à meta 2030","Isento")),IF(B2135="EU-ENV-011",IF(INDEX(tbl_familias_ppwr[Metais_Pesados_Evidencia],MATCH(INDEX(tbl_recyclass[Familia_PPWR],MATCH(A2135,tbl_recyclass[ProductId],0)),tbl_familias_ppwr[ID_Familia],0))="Em falta","Lacuna","Conforme"),IF(B2135="EU-ENV-013",IF(INDEX(tbl_familias_ppwr[Declaracao_UE],MATCH(INDEX(tbl_recyclass[Familia_PPWR],MATCH(A2135,tbl_recyclass[ProductId],0)),tbl_familias_ppwr[ID_Familia],0))="Sim","Conforme","Lacuna"),G2135)))),G2135))</f>
        <v>Parcial</v>
      </c>
      <c r="I2135" s="33" t="str">
        <f t="shared" si="33"/>
        <v>Parcial</v>
      </c>
      <c r="J2135" s="26" t="s">
        <v>1389</v>
      </c>
    </row>
    <row r="2136" spans="1:10" ht="16.05" customHeight="1" x14ac:dyDescent="0.3">
      <c r="A2136" s="26" t="s">
        <v>835</v>
      </c>
      <c r="B2136" s="26" t="s">
        <v>984</v>
      </c>
      <c r="C2136" s="33" t="str">
        <f>IFERROR(INDEX(tbl_requisitos_emb[Tema],MATCH(B2136,tbl_requisitos_emb[ID_Req],0)),"")</f>
        <v>Conceção para reciclagem</v>
      </c>
      <c r="D2136" s="33" t="str">
        <f>IFERROR(INDEX(tbl_recyclass[Segmento],MATCH(A2136,tbl_recyclass[ProductId],0)),"")</f>
        <v>Cosmética e higiene pessoal</v>
      </c>
      <c r="E2136" s="26" t="s">
        <v>901</v>
      </c>
      <c r="F2136" s="26" t="s">
        <v>1449</v>
      </c>
      <c r="G2136" s="26" t="s">
        <v>978</v>
      </c>
      <c r="H2136" s="33" t="str">
        <f>IF(E2136="Não","Não aplicável",IFERROR(IF(B2136="EU-ENV-002",IF(INDEX(tbl_recyclass[Conforme_PPWR_2030],MATCH(A2136,tbl_recyclass[ProductId],0))="Sim","Conforme (autoavaliação)",IF(INDEX(tbl_recyclass[Conforme_PPWR_2030],MATCH(A2136,tbl_recyclass[ProductId],0))="Não","Não conforme em 2030","Isento até 2035")),IF(B2136="EU-ENV-003",IF(INDEX(tbl_recyclass[Conforme_Art7_2030],MATCH(A2136,tbl_recyclass[ProductId],0))="Sim","Conforme (meta 2030)",IF(INDEX(tbl_recyclass[Conforme_Art7_2030],MATCH(A2136,tbl_recyclass[ProductId],0))="Não","Lacuna face à meta 2030","Isento")),IF(B2136="EU-ENV-011",IF(INDEX(tbl_familias_ppwr[Metais_Pesados_Evidencia],MATCH(INDEX(tbl_recyclass[Familia_PPWR],MATCH(A2136,tbl_recyclass[ProductId],0)),tbl_familias_ppwr[ID_Familia],0))="Em falta","Lacuna","Conforme"),IF(B2136="EU-ENV-013",IF(INDEX(tbl_familias_ppwr[Declaracao_UE],MATCH(INDEX(tbl_recyclass[Familia_PPWR],MATCH(A2136,tbl_recyclass[ProductId],0)),tbl_familias_ppwr[ID_Familia],0))="Sim","Conforme","Lacuna"),G2136)))),G2136))</f>
        <v>Conforme (autoavaliação)</v>
      </c>
      <c r="I2136" s="33" t="str">
        <f t="shared" si="33"/>
        <v>Conforme</v>
      </c>
      <c r="J2136" s="26" t="s">
        <v>991</v>
      </c>
    </row>
    <row r="2137" spans="1:10" ht="16.05" customHeight="1" x14ac:dyDescent="0.3">
      <c r="A2137" s="26" t="s">
        <v>835</v>
      </c>
      <c r="B2137" s="26" t="s">
        <v>997</v>
      </c>
      <c r="C2137" s="33" t="str">
        <f>IFERROR(INDEX(tbl_requisitos_emb[Tema],MATCH(B2137,tbl_requisitos_emb[ID_Req],0)),"")</f>
        <v>Conteúdo reciclado</v>
      </c>
      <c r="D2137" s="33" t="str">
        <f>IFERROR(INDEX(tbl_recyclass[Segmento],MATCH(A2137,tbl_recyclass[ProductId],0)),"")</f>
        <v>Cosmética e higiene pessoal</v>
      </c>
      <c r="E2137" s="26" t="s">
        <v>901</v>
      </c>
      <c r="F2137" s="26" t="s">
        <v>1449</v>
      </c>
      <c r="G2137" s="26" t="s">
        <v>978</v>
      </c>
      <c r="H2137" s="33" t="str">
        <f>IF(E2137="Não","Não aplicável",IFERROR(IF(B2137="EU-ENV-002",IF(INDEX(tbl_recyclass[Conforme_PPWR_2030],MATCH(A2137,tbl_recyclass[ProductId],0))="Sim","Conforme (autoavaliação)",IF(INDEX(tbl_recyclass[Conforme_PPWR_2030],MATCH(A2137,tbl_recyclass[ProductId],0))="Não","Não conforme em 2030","Isento até 2035")),IF(B2137="EU-ENV-003",IF(INDEX(tbl_recyclass[Conforme_Art7_2030],MATCH(A2137,tbl_recyclass[ProductId],0))="Sim","Conforme (meta 2030)",IF(INDEX(tbl_recyclass[Conforme_Art7_2030],MATCH(A2137,tbl_recyclass[ProductId],0))="Não","Lacuna face à meta 2030","Isento")),IF(B2137="EU-ENV-011",IF(INDEX(tbl_familias_ppwr[Metais_Pesados_Evidencia],MATCH(INDEX(tbl_recyclass[Familia_PPWR],MATCH(A2137,tbl_recyclass[ProductId],0)),tbl_familias_ppwr[ID_Familia],0))="Em falta","Lacuna","Conforme"),IF(B2137="EU-ENV-013",IF(INDEX(tbl_familias_ppwr[Declaracao_UE],MATCH(INDEX(tbl_recyclass[Familia_PPWR],MATCH(A2137,tbl_recyclass[ProductId],0)),tbl_familias_ppwr[ID_Familia],0))="Sim","Conforme","Lacuna"),G2137)))),G2137))</f>
        <v>Lacuna face à meta 2030</v>
      </c>
      <c r="I2137" s="33" t="str">
        <f t="shared" si="33"/>
        <v>Lacuna</v>
      </c>
      <c r="J2137" s="26" t="s">
        <v>1001</v>
      </c>
    </row>
    <row r="2138" spans="1:10" ht="16.05" customHeight="1" x14ac:dyDescent="0.3">
      <c r="A2138" s="26" t="s">
        <v>835</v>
      </c>
      <c r="B2138" s="26" t="s">
        <v>1007</v>
      </c>
      <c r="C2138" s="33" t="str">
        <f>IFERROR(INDEX(tbl_requisitos_emb[Tema],MATCH(B2138,tbl_requisitos_emb[ID_Req],0)),"")</f>
        <v>Minimização</v>
      </c>
      <c r="D2138" s="33" t="str">
        <f>IFERROR(INDEX(tbl_recyclass[Segmento],MATCH(A2138,tbl_recyclass[ProductId],0)),"")</f>
        <v>Cosmética e higiene pessoal</v>
      </c>
      <c r="E2138" s="26" t="s">
        <v>901</v>
      </c>
      <c r="F2138" s="26" t="s">
        <v>1449</v>
      </c>
      <c r="G2138" s="26" t="s">
        <v>978</v>
      </c>
      <c r="H2138" s="33" t="str">
        <f>IF(E2138="Não","Não aplicável",IFERROR(IF(B2138="EU-ENV-002",IF(INDEX(tbl_recyclass[Conforme_PPWR_2030],MATCH(A2138,tbl_recyclass[ProductId],0))="Sim","Conforme (autoavaliação)",IF(INDEX(tbl_recyclass[Conforme_PPWR_2030],MATCH(A2138,tbl_recyclass[ProductId],0))="Não","Não conforme em 2030","Isento até 2035")),IF(B2138="EU-ENV-003",IF(INDEX(tbl_recyclass[Conforme_Art7_2030],MATCH(A2138,tbl_recyclass[ProductId],0))="Sim","Conforme (meta 2030)",IF(INDEX(tbl_recyclass[Conforme_Art7_2030],MATCH(A2138,tbl_recyclass[ProductId],0))="Não","Lacuna face à meta 2030","Isento")),IF(B2138="EU-ENV-011",IF(INDEX(tbl_familias_ppwr[Metais_Pesados_Evidencia],MATCH(INDEX(tbl_recyclass[Familia_PPWR],MATCH(A2138,tbl_recyclass[ProductId],0)),tbl_familias_ppwr[ID_Familia],0))="Em falta","Lacuna","Conforme"),IF(B2138="EU-ENV-013",IF(INDEX(tbl_familias_ppwr[Declaracao_UE],MATCH(INDEX(tbl_recyclass[Familia_PPWR],MATCH(A2138,tbl_recyclass[ProductId],0)),tbl_familias_ppwr[ID_Familia],0))="Sim","Conforme","Lacuna"),G2138)))),G2138))</f>
        <v>Parcial</v>
      </c>
      <c r="I2138" s="33" t="str">
        <f t="shared" si="33"/>
        <v>Parcial</v>
      </c>
      <c r="J2138" s="26" t="s">
        <v>1012</v>
      </c>
    </row>
    <row r="2139" spans="1:10" ht="16.05" customHeight="1" x14ac:dyDescent="0.3">
      <c r="A2139" s="26" t="s">
        <v>835</v>
      </c>
      <c r="B2139" s="26" t="s">
        <v>1016</v>
      </c>
      <c r="C2139" s="33" t="str">
        <f>IFERROR(INDEX(tbl_requisitos_emb[Tema],MATCH(B2139,tbl_requisitos_emb[ID_Req],0)),"")</f>
        <v>Rotulagem</v>
      </c>
      <c r="D2139" s="33" t="str">
        <f>IFERROR(INDEX(tbl_recyclass[Segmento],MATCH(A2139,tbl_recyclass[ProductId],0)),"")</f>
        <v>Cosmética e higiene pessoal</v>
      </c>
      <c r="E2139" s="26" t="s">
        <v>901</v>
      </c>
      <c r="F2139" s="26" t="s">
        <v>1449</v>
      </c>
      <c r="G2139" s="26" t="s">
        <v>990</v>
      </c>
      <c r="H2139" s="33" t="str">
        <f>IF(E2139="Não","Não aplicável",IFERROR(IF(B2139="EU-ENV-002",IF(INDEX(tbl_recyclass[Conforme_PPWR_2030],MATCH(A2139,tbl_recyclass[ProductId],0))="Sim","Conforme (autoavaliação)",IF(INDEX(tbl_recyclass[Conforme_PPWR_2030],MATCH(A2139,tbl_recyclass[ProductId],0))="Não","Não conforme em 2030","Isento até 2035")),IF(B2139="EU-ENV-003",IF(INDEX(tbl_recyclass[Conforme_Art7_2030],MATCH(A2139,tbl_recyclass[ProductId],0))="Sim","Conforme (meta 2030)",IF(INDEX(tbl_recyclass[Conforme_Art7_2030],MATCH(A2139,tbl_recyclass[ProductId],0))="Não","Lacuna face à meta 2030","Isento")),IF(B2139="EU-ENV-011",IF(INDEX(tbl_familias_ppwr[Metais_Pesados_Evidencia],MATCH(INDEX(tbl_recyclass[Familia_PPWR],MATCH(A2139,tbl_recyclass[ProductId],0)),tbl_familias_ppwr[ID_Familia],0))="Em falta","Lacuna","Conforme"),IF(B2139="EU-ENV-013",IF(INDEX(tbl_familias_ppwr[Declaracao_UE],MATCH(INDEX(tbl_recyclass[Familia_PPWR],MATCH(A2139,tbl_recyclass[ProductId],0)),tbl_familias_ppwr[ID_Familia],0))="Sim","Conforme","Lacuna"),G2139)))),G2139))</f>
        <v>Futuro</v>
      </c>
      <c r="I2139" s="33" t="str">
        <f t="shared" si="33"/>
        <v>Futuro</v>
      </c>
      <c r="J2139" s="26" t="s">
        <v>1021</v>
      </c>
    </row>
    <row r="2140" spans="1:10" ht="16.05" customHeight="1" x14ac:dyDescent="0.3">
      <c r="A2140" s="26" t="s">
        <v>835</v>
      </c>
      <c r="B2140" s="26" t="s">
        <v>1038</v>
      </c>
      <c r="C2140" s="33" t="str">
        <f>IFERROR(INDEX(tbl_requisitos_emb[Tema],MATCH(B2140,tbl_requisitos_emb[ID_Req],0)),"")</f>
        <v>Plásticos de utilização única</v>
      </c>
      <c r="D2140" s="33" t="str">
        <f>IFERROR(INDEX(tbl_recyclass[Segmento],MATCH(A2140,tbl_recyclass[ProductId],0)),"")</f>
        <v>Cosmética e higiene pessoal</v>
      </c>
      <c r="E2140" s="26" t="s">
        <v>904</v>
      </c>
      <c r="F2140" s="26" t="s">
        <v>1450</v>
      </c>
      <c r="G2140" s="26" t="s">
        <v>1143</v>
      </c>
      <c r="H2140" s="33" t="str">
        <f>IF(E2140="Não","Não aplicável",IFERROR(IF(B2140="EU-ENV-002",IF(INDEX(tbl_recyclass[Conforme_PPWR_2030],MATCH(A2140,tbl_recyclass[ProductId],0))="Sim","Conforme (autoavaliação)",IF(INDEX(tbl_recyclass[Conforme_PPWR_2030],MATCH(A2140,tbl_recyclass[ProductId],0))="Não","Não conforme em 2030","Isento até 2035")),IF(B2140="EU-ENV-003",IF(INDEX(tbl_recyclass[Conforme_Art7_2030],MATCH(A2140,tbl_recyclass[ProductId],0))="Sim","Conforme (meta 2030)",IF(INDEX(tbl_recyclass[Conforme_Art7_2030],MATCH(A2140,tbl_recyclass[ProductId],0))="Não","Lacuna face à meta 2030","Isento")),IF(B2140="EU-ENV-011",IF(INDEX(tbl_familias_ppwr[Metais_Pesados_Evidencia],MATCH(INDEX(tbl_recyclass[Familia_PPWR],MATCH(A2140,tbl_recyclass[ProductId],0)),tbl_familias_ppwr[ID_Familia],0))="Em falta","Lacuna","Conforme"),IF(B2140="EU-ENV-013",IF(INDEX(tbl_familias_ppwr[Declaracao_UE],MATCH(INDEX(tbl_recyclass[Familia_PPWR],MATCH(A2140,tbl_recyclass[ProductId],0)),tbl_familias_ppwr[ID_Familia],0))="Sim","Conforme","Lacuna"),G2140)))),G2140))</f>
        <v>Não aplicável</v>
      </c>
      <c r="I2140" s="33" t="str">
        <f t="shared" si="33"/>
        <v>Não aplicável</v>
      </c>
      <c r="J2140" s="26"/>
    </row>
    <row r="2141" spans="1:10" ht="16.05" customHeight="1" x14ac:dyDescent="0.3">
      <c r="A2141" s="26" t="s">
        <v>835</v>
      </c>
      <c r="B2141" s="26" t="s">
        <v>1078</v>
      </c>
      <c r="C2141" s="33" t="str">
        <f>IFERROR(INDEX(tbl_requisitos_emb[Tema],MATCH(B2141,tbl_requisitos_emb[ID_Req],0)),"")</f>
        <v>Reciclado à escala</v>
      </c>
      <c r="D2141" s="33" t="str">
        <f>IFERROR(INDEX(tbl_recyclass[Segmento],MATCH(A2141,tbl_recyclass[ProductId],0)),"")</f>
        <v>Cosmética e higiene pessoal</v>
      </c>
      <c r="E2141" s="26" t="s">
        <v>901</v>
      </c>
      <c r="F2141" s="26" t="s">
        <v>1449</v>
      </c>
      <c r="G2141" s="26" t="s">
        <v>990</v>
      </c>
      <c r="H2141" s="33" t="str">
        <f>IF(E2141="Não","Não aplicável",IFERROR(IF(B2141="EU-ENV-002",IF(INDEX(tbl_recyclass[Conforme_PPWR_2030],MATCH(A2141,tbl_recyclass[ProductId],0))="Sim","Conforme (autoavaliação)",IF(INDEX(tbl_recyclass[Conforme_PPWR_2030],MATCH(A2141,tbl_recyclass[ProductId],0))="Não","Não conforme em 2030","Isento até 2035")),IF(B2141="EU-ENV-003",IF(INDEX(tbl_recyclass[Conforme_Art7_2030],MATCH(A2141,tbl_recyclass[ProductId],0))="Sim","Conforme (meta 2030)",IF(INDEX(tbl_recyclass[Conforme_Art7_2030],MATCH(A2141,tbl_recyclass[ProductId],0))="Não","Lacuna face à meta 2030","Isento")),IF(B2141="EU-ENV-011",IF(INDEX(tbl_familias_ppwr[Metais_Pesados_Evidencia],MATCH(INDEX(tbl_recyclass[Familia_PPWR],MATCH(A2141,tbl_recyclass[ProductId],0)),tbl_familias_ppwr[ID_Familia],0))="Em falta","Lacuna","Conforme"),IF(B2141="EU-ENV-013",IF(INDEX(tbl_familias_ppwr[Declaracao_UE],MATCH(INDEX(tbl_recyclass[Familia_PPWR],MATCH(A2141,tbl_recyclass[ProductId],0)),tbl_familias_ppwr[ID_Familia],0))="Sim","Conforme","Lacuna"),G2141)))),G2141))</f>
        <v>Futuro</v>
      </c>
      <c r="I2141" s="33" t="str">
        <f t="shared" si="33"/>
        <v>Futuro</v>
      </c>
      <c r="J2141" s="26" t="s">
        <v>1082</v>
      </c>
    </row>
    <row r="2142" spans="1:10" ht="16.05" customHeight="1" x14ac:dyDescent="0.3">
      <c r="A2142" s="26" t="s">
        <v>835</v>
      </c>
      <c r="B2142" s="26" t="s">
        <v>1086</v>
      </c>
      <c r="C2142" s="33" t="str">
        <f>IFERROR(INDEX(tbl_requisitos_emb[Tema],MATCH(B2142,tbl_requisitos_emb[ID_Req],0)),"")</f>
        <v>Metais pesados</v>
      </c>
      <c r="D2142" s="33" t="str">
        <f>IFERROR(INDEX(tbl_recyclass[Segmento],MATCH(A2142,tbl_recyclass[ProductId],0)),"")</f>
        <v>Cosmética e higiene pessoal</v>
      </c>
      <c r="E2142" s="26" t="s">
        <v>901</v>
      </c>
      <c r="F2142" s="26" t="s">
        <v>1449</v>
      </c>
      <c r="G2142" s="26" t="s">
        <v>978</v>
      </c>
      <c r="H2142" s="33" t="str">
        <f>IF(E2142="Não","Não aplicável",IFERROR(IF(B2142="EU-ENV-002",IF(INDEX(tbl_recyclass[Conforme_PPWR_2030],MATCH(A2142,tbl_recyclass[ProductId],0))="Sim","Conforme (autoavaliação)",IF(INDEX(tbl_recyclass[Conforme_PPWR_2030],MATCH(A2142,tbl_recyclass[ProductId],0))="Não","Não conforme em 2030","Isento até 2035")),IF(B2142="EU-ENV-003",IF(INDEX(tbl_recyclass[Conforme_Art7_2030],MATCH(A2142,tbl_recyclass[ProductId],0))="Sim","Conforme (meta 2030)",IF(INDEX(tbl_recyclass[Conforme_Art7_2030],MATCH(A2142,tbl_recyclass[ProductId],0))="Não","Lacuna face à meta 2030","Isento")),IF(B2142="EU-ENV-011",IF(INDEX(tbl_familias_ppwr[Metais_Pesados_Evidencia],MATCH(INDEX(tbl_recyclass[Familia_PPWR],MATCH(A2142,tbl_recyclass[ProductId],0)),tbl_familias_ppwr[ID_Familia],0))="Em falta","Lacuna","Conforme"),IF(B2142="EU-ENV-013",IF(INDEX(tbl_familias_ppwr[Declaracao_UE],MATCH(INDEX(tbl_recyclass[Familia_PPWR],MATCH(A2142,tbl_recyclass[ProductId],0)),tbl_familias_ppwr[ID_Familia],0))="Sim","Conforme","Lacuna"),G2142)))),G2142))</f>
        <v>Lacuna</v>
      </c>
      <c r="I2142" s="33" t="str">
        <f t="shared" si="33"/>
        <v>Lacuna</v>
      </c>
      <c r="J2142" s="26" t="s">
        <v>1090</v>
      </c>
    </row>
    <row r="2143" spans="1:10" ht="16.05" customHeight="1" x14ac:dyDescent="0.3">
      <c r="A2143" s="26" t="s">
        <v>835</v>
      </c>
      <c r="B2143" s="26" t="s">
        <v>1094</v>
      </c>
      <c r="C2143" s="33" t="str">
        <f>IFERROR(INDEX(tbl_requisitos_emb[Tema],MATCH(B2143,tbl_requisitos_emb[ID_Req],0)),"")</f>
        <v>PFAS</v>
      </c>
      <c r="D2143" s="33" t="str">
        <f>IFERROR(INDEX(tbl_recyclass[Segmento],MATCH(A2143,tbl_recyclass[ProductId],0)),"")</f>
        <v>Cosmética e higiene pessoal</v>
      </c>
      <c r="E2143" s="26" t="s">
        <v>904</v>
      </c>
      <c r="F2143" s="26" t="s">
        <v>1450</v>
      </c>
      <c r="G2143" s="26" t="s">
        <v>1143</v>
      </c>
      <c r="H2143" s="33" t="str">
        <f>IF(E2143="Não","Não aplicável",IFERROR(IF(B2143="EU-ENV-002",IF(INDEX(tbl_recyclass[Conforme_PPWR_2030],MATCH(A2143,tbl_recyclass[ProductId],0))="Sim","Conforme (autoavaliação)",IF(INDEX(tbl_recyclass[Conforme_PPWR_2030],MATCH(A2143,tbl_recyclass[ProductId],0))="Não","Não conforme em 2030","Isento até 2035")),IF(B2143="EU-ENV-003",IF(INDEX(tbl_recyclass[Conforme_Art7_2030],MATCH(A2143,tbl_recyclass[ProductId],0))="Sim","Conforme (meta 2030)",IF(INDEX(tbl_recyclass[Conforme_Art7_2030],MATCH(A2143,tbl_recyclass[ProductId],0))="Não","Lacuna face à meta 2030","Isento")),IF(B2143="EU-ENV-011",IF(INDEX(tbl_familias_ppwr[Metais_Pesados_Evidencia],MATCH(INDEX(tbl_recyclass[Familia_PPWR],MATCH(A2143,tbl_recyclass[ProductId],0)),tbl_familias_ppwr[ID_Familia],0))="Em falta","Lacuna","Conforme"),IF(B2143="EU-ENV-013",IF(INDEX(tbl_familias_ppwr[Declaracao_UE],MATCH(INDEX(tbl_recyclass[Familia_PPWR],MATCH(A2143,tbl_recyclass[ProductId],0)),tbl_familias_ppwr[ID_Familia],0))="Sim","Conforme","Lacuna"),G2143)))),G2143))</f>
        <v>Não aplicável</v>
      </c>
      <c r="I2143" s="33" t="str">
        <f t="shared" si="33"/>
        <v>Não aplicável</v>
      </c>
      <c r="J2143" s="26"/>
    </row>
    <row r="2144" spans="1:10" ht="16.05" customHeight="1" x14ac:dyDescent="0.3">
      <c r="A2144" s="26" t="s">
        <v>835</v>
      </c>
      <c r="B2144" s="26" t="s">
        <v>1102</v>
      </c>
      <c r="C2144" s="33" t="str">
        <f>IFERROR(INDEX(tbl_requisitos_emb[Tema],MATCH(B2144,tbl_requisitos_emb[ID_Req],0)),"")</f>
        <v>Documentação técnica e declaração UE</v>
      </c>
      <c r="D2144" s="33" t="str">
        <f>IFERROR(INDEX(tbl_recyclass[Segmento],MATCH(A2144,tbl_recyclass[ProductId],0)),"")</f>
        <v>Cosmética e higiene pessoal</v>
      </c>
      <c r="E2144" s="26" t="s">
        <v>901</v>
      </c>
      <c r="F2144" s="26" t="s">
        <v>1449</v>
      </c>
      <c r="G2144" s="26" t="s">
        <v>978</v>
      </c>
      <c r="H2144" s="33" t="str">
        <f>IF(E2144="Não","Não aplicável",IFERROR(IF(B2144="EU-ENV-002",IF(INDEX(tbl_recyclass[Conforme_PPWR_2030],MATCH(A2144,tbl_recyclass[ProductId],0))="Sim","Conforme (autoavaliação)",IF(INDEX(tbl_recyclass[Conforme_PPWR_2030],MATCH(A2144,tbl_recyclass[ProductId],0))="Não","Não conforme em 2030","Isento até 2035")),IF(B2144="EU-ENV-003",IF(INDEX(tbl_recyclass[Conforme_Art7_2030],MATCH(A2144,tbl_recyclass[ProductId],0))="Sim","Conforme (meta 2030)",IF(INDEX(tbl_recyclass[Conforme_Art7_2030],MATCH(A2144,tbl_recyclass[ProductId],0))="Não","Lacuna face à meta 2030","Isento")),IF(B2144="EU-ENV-011",IF(INDEX(tbl_familias_ppwr[Metais_Pesados_Evidencia],MATCH(INDEX(tbl_recyclass[Familia_PPWR],MATCH(A2144,tbl_recyclass[ProductId],0)),tbl_familias_ppwr[ID_Familia],0))="Em falta","Lacuna","Conforme"),IF(B2144="EU-ENV-013",IF(INDEX(tbl_familias_ppwr[Declaracao_UE],MATCH(INDEX(tbl_recyclass[Familia_PPWR],MATCH(A2144,tbl_recyclass[ProductId],0)),tbl_familias_ppwr[ID_Familia],0))="Sim","Conforme","Lacuna"),G2144)))),G2144))</f>
        <v>Conforme</v>
      </c>
      <c r="I2144" s="33" t="str">
        <f t="shared" si="33"/>
        <v>Conforme</v>
      </c>
      <c r="J2144" s="26" t="s">
        <v>1106</v>
      </c>
    </row>
    <row r="2145" spans="1:10" ht="16.05" customHeight="1" x14ac:dyDescent="0.3">
      <c r="A2145" s="26" t="s">
        <v>835</v>
      </c>
      <c r="B2145" s="26" t="s">
        <v>1161</v>
      </c>
      <c r="C2145" s="33" t="str">
        <f>IFERROR(INDEX(tbl_requisitos_emb[Tema],MATCH(B2145,tbl_requisitos_emb[ID_Req],0)),"")</f>
        <v>Materiais em contacto com alimentos</v>
      </c>
      <c r="D2145" s="33" t="str">
        <f>IFERROR(INDEX(tbl_recyclass[Segmento],MATCH(A2145,tbl_recyclass[ProductId],0)),"")</f>
        <v>Cosmética e higiene pessoal</v>
      </c>
      <c r="E2145" s="26" t="s">
        <v>904</v>
      </c>
      <c r="F2145" s="26" t="s">
        <v>1450</v>
      </c>
      <c r="G2145" s="26" t="s">
        <v>1143</v>
      </c>
      <c r="H2145" s="33" t="str">
        <f>IF(E2145="Não","Não aplicável",IFERROR(IF(B2145="EU-ENV-002",IF(INDEX(tbl_recyclass[Conforme_PPWR_2030],MATCH(A2145,tbl_recyclass[ProductId],0))="Sim","Conforme (autoavaliação)",IF(INDEX(tbl_recyclass[Conforme_PPWR_2030],MATCH(A2145,tbl_recyclass[ProductId],0))="Não","Não conforme em 2030","Isento até 2035")),IF(B2145="EU-ENV-003",IF(INDEX(tbl_recyclass[Conforme_Art7_2030],MATCH(A2145,tbl_recyclass[ProductId],0))="Sim","Conforme (meta 2030)",IF(INDEX(tbl_recyclass[Conforme_Art7_2030],MATCH(A2145,tbl_recyclass[ProductId],0))="Não","Lacuna face à meta 2030","Isento")),IF(B2145="EU-ENV-011",IF(INDEX(tbl_familias_ppwr[Metais_Pesados_Evidencia],MATCH(INDEX(tbl_recyclass[Familia_PPWR],MATCH(A2145,tbl_recyclass[ProductId],0)),tbl_familias_ppwr[ID_Familia],0))="Em falta","Lacuna","Conforme"),IF(B2145="EU-ENV-013",IF(INDEX(tbl_familias_ppwr[Declaracao_UE],MATCH(INDEX(tbl_recyclass[Familia_PPWR],MATCH(A2145,tbl_recyclass[ProductId],0)),tbl_familias_ppwr[ID_Familia],0))="Sim","Conforme","Lacuna"),G2145)))),G2145))</f>
        <v>Não aplicável</v>
      </c>
      <c r="I2145" s="33" t="str">
        <f t="shared" si="33"/>
        <v>Não aplicável</v>
      </c>
      <c r="J2145" s="26"/>
    </row>
    <row r="2146" spans="1:10" ht="16.05" customHeight="1" x14ac:dyDescent="0.3">
      <c r="A2146" s="26" t="s">
        <v>835</v>
      </c>
      <c r="B2146" s="26" t="s">
        <v>1170</v>
      </c>
      <c r="C2146" s="33" t="str">
        <f>IFERROR(INDEX(tbl_requisitos_emb[Tema],MATCH(B2146,tbl_requisitos_emb[ID_Req],0)),"")</f>
        <v>Boas práticas de fabrico FCM</v>
      </c>
      <c r="D2146" s="33" t="str">
        <f>IFERROR(INDEX(tbl_recyclass[Segmento],MATCH(A2146,tbl_recyclass[ProductId],0)),"")</f>
        <v>Cosmética e higiene pessoal</v>
      </c>
      <c r="E2146" s="26" t="s">
        <v>904</v>
      </c>
      <c r="F2146" s="26" t="s">
        <v>1450</v>
      </c>
      <c r="G2146" s="26" t="s">
        <v>1143</v>
      </c>
      <c r="H2146" s="33" t="str">
        <f>IF(E2146="Não","Não aplicável",IFERROR(IF(B2146="EU-ENV-002",IF(INDEX(tbl_recyclass[Conforme_PPWR_2030],MATCH(A2146,tbl_recyclass[ProductId],0))="Sim","Conforme (autoavaliação)",IF(INDEX(tbl_recyclass[Conforme_PPWR_2030],MATCH(A2146,tbl_recyclass[ProductId],0))="Não","Não conforme em 2030","Isento até 2035")),IF(B2146="EU-ENV-003",IF(INDEX(tbl_recyclass[Conforme_Art7_2030],MATCH(A2146,tbl_recyclass[ProductId],0))="Sim","Conforme (meta 2030)",IF(INDEX(tbl_recyclass[Conforme_Art7_2030],MATCH(A2146,tbl_recyclass[ProductId],0))="Não","Lacuna face à meta 2030","Isento")),IF(B2146="EU-ENV-011",IF(INDEX(tbl_familias_ppwr[Metais_Pesados_Evidencia],MATCH(INDEX(tbl_recyclass[Familia_PPWR],MATCH(A2146,tbl_recyclass[ProductId],0)),tbl_familias_ppwr[ID_Familia],0))="Em falta","Lacuna","Conforme"),IF(B2146="EU-ENV-013",IF(INDEX(tbl_familias_ppwr[Declaracao_UE],MATCH(INDEX(tbl_recyclass[Familia_PPWR],MATCH(A2146,tbl_recyclass[ProductId],0)),tbl_familias_ppwr[ID_Familia],0))="Sim","Conforme","Lacuna"),G2146)))),G2146))</f>
        <v>Não aplicável</v>
      </c>
      <c r="I2146" s="33" t="str">
        <f t="shared" si="33"/>
        <v>Não aplicável</v>
      </c>
      <c r="J2146" s="26"/>
    </row>
    <row r="2147" spans="1:10" ht="16.05" customHeight="1" x14ac:dyDescent="0.3">
      <c r="A2147" s="26" t="s">
        <v>835</v>
      </c>
      <c r="B2147" s="26" t="s">
        <v>1179</v>
      </c>
      <c r="C2147" s="33" t="str">
        <f>IFERROR(INDEX(tbl_requisitos_emb[Tema],MATCH(B2147,tbl_requisitos_emb[ID_Req],0)),"")</f>
        <v>Bisfenol A e bisfenóis perigosos</v>
      </c>
      <c r="D2147" s="33" t="str">
        <f>IFERROR(INDEX(tbl_recyclass[Segmento],MATCH(A2147,tbl_recyclass[ProductId],0)),"")</f>
        <v>Cosmética e higiene pessoal</v>
      </c>
      <c r="E2147" s="26" t="s">
        <v>904</v>
      </c>
      <c r="F2147" s="26" t="s">
        <v>1450</v>
      </c>
      <c r="G2147" s="26" t="s">
        <v>1143</v>
      </c>
      <c r="H2147" s="33" t="str">
        <f>IF(E2147="Não","Não aplicável",IFERROR(IF(B2147="EU-ENV-002",IF(INDEX(tbl_recyclass[Conforme_PPWR_2030],MATCH(A2147,tbl_recyclass[ProductId],0))="Sim","Conforme (autoavaliação)",IF(INDEX(tbl_recyclass[Conforme_PPWR_2030],MATCH(A2147,tbl_recyclass[ProductId],0))="Não","Não conforme em 2030","Isento até 2035")),IF(B2147="EU-ENV-003",IF(INDEX(tbl_recyclass[Conforme_Art7_2030],MATCH(A2147,tbl_recyclass[ProductId],0))="Sim","Conforme (meta 2030)",IF(INDEX(tbl_recyclass[Conforme_Art7_2030],MATCH(A2147,tbl_recyclass[ProductId],0))="Não","Lacuna face à meta 2030","Isento")),IF(B2147="EU-ENV-011",IF(INDEX(tbl_familias_ppwr[Metais_Pesados_Evidencia],MATCH(INDEX(tbl_recyclass[Familia_PPWR],MATCH(A2147,tbl_recyclass[ProductId],0)),tbl_familias_ppwr[ID_Familia],0))="Em falta","Lacuna","Conforme"),IF(B2147="EU-ENV-013",IF(INDEX(tbl_familias_ppwr[Declaracao_UE],MATCH(INDEX(tbl_recyclass[Familia_PPWR],MATCH(A2147,tbl_recyclass[ProductId],0)),tbl_familias_ppwr[ID_Familia],0))="Sim","Conforme","Lacuna"),G2147)))),G2147))</f>
        <v>Não aplicável</v>
      </c>
      <c r="I2147" s="33" t="str">
        <f t="shared" si="33"/>
        <v>Não aplicável</v>
      </c>
      <c r="J2147" s="26"/>
    </row>
    <row r="2148" spans="1:10" ht="16.05" customHeight="1" x14ac:dyDescent="0.3">
      <c r="A2148" s="26" t="s">
        <v>835</v>
      </c>
      <c r="B2148" s="26" t="s">
        <v>1188</v>
      </c>
      <c r="C2148" s="33" t="str">
        <f>IFERROR(INDEX(tbl_requisitos_emb[Tema],MATCH(B2148,tbl_requisitos_emb[ID_Req],0)),"")</f>
        <v>Plásticos em contacto com alimentos</v>
      </c>
      <c r="D2148" s="33" t="str">
        <f>IFERROR(INDEX(tbl_recyclass[Segmento],MATCH(A2148,tbl_recyclass[ProductId],0)),"")</f>
        <v>Cosmética e higiene pessoal</v>
      </c>
      <c r="E2148" s="26" t="s">
        <v>904</v>
      </c>
      <c r="F2148" s="26" t="s">
        <v>1450</v>
      </c>
      <c r="G2148" s="26" t="s">
        <v>1143</v>
      </c>
      <c r="H2148" s="33" t="str">
        <f>IF(E2148="Não","Não aplicável",IFERROR(IF(B2148="EU-ENV-002",IF(INDEX(tbl_recyclass[Conforme_PPWR_2030],MATCH(A2148,tbl_recyclass[ProductId],0))="Sim","Conforme (autoavaliação)",IF(INDEX(tbl_recyclass[Conforme_PPWR_2030],MATCH(A2148,tbl_recyclass[ProductId],0))="Não","Não conforme em 2030","Isento até 2035")),IF(B2148="EU-ENV-003",IF(INDEX(tbl_recyclass[Conforme_Art7_2030],MATCH(A2148,tbl_recyclass[ProductId],0))="Sim","Conforme (meta 2030)",IF(INDEX(tbl_recyclass[Conforme_Art7_2030],MATCH(A2148,tbl_recyclass[ProductId],0))="Não","Lacuna face à meta 2030","Isento")),IF(B2148="EU-ENV-011",IF(INDEX(tbl_familias_ppwr[Metais_Pesados_Evidencia],MATCH(INDEX(tbl_recyclass[Familia_PPWR],MATCH(A2148,tbl_recyclass[ProductId],0)),tbl_familias_ppwr[ID_Familia],0))="Em falta","Lacuna","Conforme"),IF(B2148="EU-ENV-013",IF(INDEX(tbl_familias_ppwr[Declaracao_UE],MATCH(INDEX(tbl_recyclass[Familia_PPWR],MATCH(A2148,tbl_recyclass[ProductId],0)),tbl_familias_ppwr[ID_Familia],0))="Sim","Conforme","Lacuna"),G2148)))),G2148))</f>
        <v>Não aplicável</v>
      </c>
      <c r="I2148" s="33" t="str">
        <f t="shared" si="33"/>
        <v>Não aplicável</v>
      </c>
      <c r="J2148" s="26"/>
    </row>
    <row r="2149" spans="1:10" ht="16.05" customHeight="1" x14ac:dyDescent="0.3">
      <c r="A2149" s="26" t="s">
        <v>835</v>
      </c>
      <c r="B2149" s="26" t="s">
        <v>1212</v>
      </c>
      <c r="C2149" s="33" t="str">
        <f>IFERROR(INDEX(tbl_requisitos_emb[Tema],MATCH(B2149,tbl_requisitos_emb[ID_Req],0)),"")</f>
        <v>Segurança do produto cosmético</v>
      </c>
      <c r="D2149" s="33" t="str">
        <f>IFERROR(INDEX(tbl_recyclass[Segmento],MATCH(A2149,tbl_recyclass[ProductId],0)),"")</f>
        <v>Cosmética e higiene pessoal</v>
      </c>
      <c r="E2149" s="26" t="s">
        <v>901</v>
      </c>
      <c r="F2149" s="26" t="s">
        <v>1449</v>
      </c>
      <c r="G2149" s="26" t="s">
        <v>1033</v>
      </c>
      <c r="H2149" s="33" t="str">
        <f>IF(E2149="Não","Não aplicável",IFERROR(IF(B2149="EU-ENV-002",IF(INDEX(tbl_recyclass[Conforme_PPWR_2030],MATCH(A2149,tbl_recyclass[ProductId],0))="Sim","Conforme (autoavaliação)",IF(INDEX(tbl_recyclass[Conforme_PPWR_2030],MATCH(A2149,tbl_recyclass[ProductId],0))="Não","Não conforme em 2030","Isento até 2035")),IF(B2149="EU-ENV-003",IF(INDEX(tbl_recyclass[Conforme_Art7_2030],MATCH(A2149,tbl_recyclass[ProductId],0))="Sim","Conforme (meta 2030)",IF(INDEX(tbl_recyclass[Conforme_Art7_2030],MATCH(A2149,tbl_recyclass[ProductId],0))="Não","Lacuna face à meta 2030","Isento")),IF(B2149="EU-ENV-011",IF(INDEX(tbl_familias_ppwr[Metais_Pesados_Evidencia],MATCH(INDEX(tbl_recyclass[Familia_PPWR],MATCH(A2149,tbl_recyclass[ProductId],0)),tbl_familias_ppwr[ID_Familia],0))="Em falta","Lacuna","Conforme"),IF(B2149="EU-ENV-013",IF(INDEX(tbl_familias_ppwr[Declaracao_UE],MATCH(INDEX(tbl_recyclass[Familia_PPWR],MATCH(A2149,tbl_recyclass[ProductId],0)),tbl_familias_ppwr[ID_Familia],0))="Sim","Conforme","Lacuna"),G2149)))),G2149))</f>
        <v>Conforme</v>
      </c>
      <c r="I2149" s="33" t="str">
        <f t="shared" si="33"/>
        <v>Conforme</v>
      </c>
      <c r="J2149" s="26" t="s">
        <v>1221</v>
      </c>
    </row>
    <row r="2150" spans="1:10" ht="16.05" customHeight="1" x14ac:dyDescent="0.3">
      <c r="A2150" s="26" t="s">
        <v>835</v>
      </c>
      <c r="B2150" s="26" t="s">
        <v>1224</v>
      </c>
      <c r="C2150" s="33" t="str">
        <f>IFERROR(INDEX(tbl_requisitos_emb[Tema],MATCH(B2150,tbl_requisitos_emb[ID_Req],0)),"")</f>
        <v>Materiais e impurezas</v>
      </c>
      <c r="D2150" s="33" t="str">
        <f>IFERROR(INDEX(tbl_recyclass[Segmento],MATCH(A2150,tbl_recyclass[ProductId],0)),"")</f>
        <v>Cosmética e higiene pessoal</v>
      </c>
      <c r="E2150" s="26" t="s">
        <v>901</v>
      </c>
      <c r="F2150" s="26" t="s">
        <v>1449</v>
      </c>
      <c r="G2150" s="26" t="s">
        <v>978</v>
      </c>
      <c r="H2150" s="33" t="str">
        <f>IF(E2150="Não","Não aplicável",IFERROR(IF(B2150="EU-ENV-002",IF(INDEX(tbl_recyclass[Conforme_PPWR_2030],MATCH(A2150,tbl_recyclass[ProductId],0))="Sim","Conforme (autoavaliação)",IF(INDEX(tbl_recyclass[Conforme_PPWR_2030],MATCH(A2150,tbl_recyclass[ProductId],0))="Não","Não conforme em 2030","Isento até 2035")),IF(B2150="EU-ENV-003",IF(INDEX(tbl_recyclass[Conforme_Art7_2030],MATCH(A2150,tbl_recyclass[ProductId],0))="Sim","Conforme (meta 2030)",IF(INDEX(tbl_recyclass[Conforme_Art7_2030],MATCH(A2150,tbl_recyclass[ProductId],0))="Não","Lacuna face à meta 2030","Isento")),IF(B2150="EU-ENV-011",IF(INDEX(tbl_familias_ppwr[Metais_Pesados_Evidencia],MATCH(INDEX(tbl_recyclass[Familia_PPWR],MATCH(A2150,tbl_recyclass[ProductId],0)),tbl_familias_ppwr[ID_Familia],0))="Em falta","Lacuna","Conforme"),IF(B2150="EU-ENV-013",IF(INDEX(tbl_familias_ppwr[Declaracao_UE],MATCH(INDEX(tbl_recyclass[Familia_PPWR],MATCH(A2150,tbl_recyclass[ProductId],0)),tbl_familias_ppwr[ID_Familia],0))="Sim","Conforme","Lacuna"),G2150)))),G2150))</f>
        <v>Parcial</v>
      </c>
      <c r="I2150" s="33" t="str">
        <f t="shared" si="33"/>
        <v>Parcial</v>
      </c>
      <c r="J2150" s="26" t="s">
        <v>1228</v>
      </c>
    </row>
    <row r="2151" spans="1:10" ht="16.05" customHeight="1" x14ac:dyDescent="0.3">
      <c r="A2151" s="26" t="s">
        <v>835</v>
      </c>
      <c r="B2151" s="26" t="s">
        <v>1240</v>
      </c>
      <c r="C2151" s="33" t="str">
        <f>IFERROR(INDEX(tbl_requisitos_emb[Tema],MATCH(B2151,tbl_requisitos_emb[ID_Req],0)),"")</f>
        <v>Compatibilidade embalagem–produto</v>
      </c>
      <c r="D2151" s="33" t="str">
        <f>IFERROR(INDEX(tbl_recyclass[Segmento],MATCH(A2151,tbl_recyclass[ProductId],0)),"")</f>
        <v>Cosmética e higiene pessoal</v>
      </c>
      <c r="E2151" s="26" t="s">
        <v>901</v>
      </c>
      <c r="F2151" s="26" t="s">
        <v>1449</v>
      </c>
      <c r="G2151" s="26" t="s">
        <v>1033</v>
      </c>
      <c r="H2151" s="33" t="str">
        <f>IF(E2151="Não","Não aplicável",IFERROR(IF(B2151="EU-ENV-002",IF(INDEX(tbl_recyclass[Conforme_PPWR_2030],MATCH(A2151,tbl_recyclass[ProductId],0))="Sim","Conforme (autoavaliação)",IF(INDEX(tbl_recyclass[Conforme_PPWR_2030],MATCH(A2151,tbl_recyclass[ProductId],0))="Não","Não conforme em 2030","Isento até 2035")),IF(B2151="EU-ENV-003",IF(INDEX(tbl_recyclass[Conforme_Art7_2030],MATCH(A2151,tbl_recyclass[ProductId],0))="Sim","Conforme (meta 2030)",IF(INDEX(tbl_recyclass[Conforme_Art7_2030],MATCH(A2151,tbl_recyclass[ProductId],0))="Não","Lacuna face à meta 2030","Isento")),IF(B2151="EU-ENV-011",IF(INDEX(tbl_familias_ppwr[Metais_Pesados_Evidencia],MATCH(INDEX(tbl_recyclass[Familia_PPWR],MATCH(A2151,tbl_recyclass[ProductId],0)),tbl_familias_ppwr[ID_Familia],0))="Em falta","Lacuna","Conforme"),IF(B2151="EU-ENV-013",IF(INDEX(tbl_familias_ppwr[Declaracao_UE],MATCH(INDEX(tbl_recyclass[Familia_PPWR],MATCH(A2151,tbl_recyclass[ProductId],0)),tbl_familias_ppwr[ID_Familia],0))="Sim","Conforme","Lacuna"),G2151)))),G2151))</f>
        <v>Conforme</v>
      </c>
      <c r="I2151" s="33" t="str">
        <f t="shared" si="33"/>
        <v>Conforme</v>
      </c>
      <c r="J2151" s="26" t="s">
        <v>1244</v>
      </c>
    </row>
    <row r="2152" spans="1:10" ht="16.05" customHeight="1" x14ac:dyDescent="0.3">
      <c r="A2152" s="26" t="s">
        <v>835</v>
      </c>
      <c r="B2152" s="26" t="s">
        <v>1252</v>
      </c>
      <c r="C2152" s="33" t="str">
        <f>IFERROR(INDEX(tbl_requisitos_emb[Tema],MATCH(B2152,tbl_requisitos_emb[ID_Req],0)),"")</f>
        <v>Medicamentos de uso humano</v>
      </c>
      <c r="D2152" s="33" t="str">
        <f>IFERROR(INDEX(tbl_recyclass[Segmento],MATCH(A2152,tbl_recyclass[ProductId],0)),"")</f>
        <v>Cosmética e higiene pessoal</v>
      </c>
      <c r="E2152" s="26" t="s">
        <v>904</v>
      </c>
      <c r="F2152" s="26" t="s">
        <v>1451</v>
      </c>
      <c r="G2152" s="26" t="s">
        <v>1143</v>
      </c>
      <c r="H2152" s="33" t="str">
        <f>IF(E2152="Não","Não aplicável",IFERROR(IF(B2152="EU-ENV-002",IF(INDEX(tbl_recyclass[Conforme_PPWR_2030],MATCH(A2152,tbl_recyclass[ProductId],0))="Sim","Conforme (autoavaliação)",IF(INDEX(tbl_recyclass[Conforme_PPWR_2030],MATCH(A2152,tbl_recyclass[ProductId],0))="Não","Não conforme em 2030","Isento até 2035")),IF(B2152="EU-ENV-003",IF(INDEX(tbl_recyclass[Conforme_Art7_2030],MATCH(A2152,tbl_recyclass[ProductId],0))="Sim","Conforme (meta 2030)",IF(INDEX(tbl_recyclass[Conforme_Art7_2030],MATCH(A2152,tbl_recyclass[ProductId],0))="Não","Lacuna face à meta 2030","Isento")),IF(B2152="EU-ENV-011",IF(INDEX(tbl_familias_ppwr[Metais_Pesados_Evidencia],MATCH(INDEX(tbl_recyclass[Familia_PPWR],MATCH(A2152,tbl_recyclass[ProductId],0)),tbl_familias_ppwr[ID_Familia],0))="Em falta","Lacuna","Conforme"),IF(B2152="EU-ENV-013",IF(INDEX(tbl_familias_ppwr[Declaracao_UE],MATCH(INDEX(tbl_recyclass[Familia_PPWR],MATCH(A2152,tbl_recyclass[ProductId],0)),tbl_familias_ppwr[ID_Familia],0))="Sim","Conforme","Lacuna"),G2152)))),G2152))</f>
        <v>Não aplicável</v>
      </c>
      <c r="I2152" s="33" t="str">
        <f t="shared" si="33"/>
        <v>Não aplicável</v>
      </c>
      <c r="J2152" s="26"/>
    </row>
    <row r="2153" spans="1:10" ht="16.05" customHeight="1" x14ac:dyDescent="0.3">
      <c r="A2153" s="26" t="s">
        <v>835</v>
      </c>
      <c r="B2153" s="26" t="s">
        <v>1268</v>
      </c>
      <c r="C2153" s="33" t="str">
        <f>IFERROR(INDEX(tbl_requisitos_emb[Tema],MATCH(B2153,tbl_requisitos_emb[ID_Req],0)),"")</f>
        <v>Dispositivos de segurança</v>
      </c>
      <c r="D2153" s="33" t="str">
        <f>IFERROR(INDEX(tbl_recyclass[Segmento],MATCH(A2153,tbl_recyclass[ProductId],0)),"")</f>
        <v>Cosmética e higiene pessoal</v>
      </c>
      <c r="E2153" s="26" t="s">
        <v>904</v>
      </c>
      <c r="F2153" s="26" t="s">
        <v>1451</v>
      </c>
      <c r="G2153" s="26" t="s">
        <v>1143</v>
      </c>
      <c r="H2153" s="33" t="str">
        <f>IF(E2153="Não","Não aplicável",IFERROR(IF(B2153="EU-ENV-002",IF(INDEX(tbl_recyclass[Conforme_PPWR_2030],MATCH(A2153,tbl_recyclass[ProductId],0))="Sim","Conforme (autoavaliação)",IF(INDEX(tbl_recyclass[Conforme_PPWR_2030],MATCH(A2153,tbl_recyclass[ProductId],0))="Não","Não conforme em 2030","Isento até 2035")),IF(B2153="EU-ENV-003",IF(INDEX(tbl_recyclass[Conforme_Art7_2030],MATCH(A2153,tbl_recyclass[ProductId],0))="Sim","Conforme (meta 2030)",IF(INDEX(tbl_recyclass[Conforme_Art7_2030],MATCH(A2153,tbl_recyclass[ProductId],0))="Não","Lacuna face à meta 2030","Isento")),IF(B2153="EU-ENV-011",IF(INDEX(tbl_familias_ppwr[Metais_Pesados_Evidencia],MATCH(INDEX(tbl_recyclass[Familia_PPWR],MATCH(A2153,tbl_recyclass[ProductId],0)),tbl_familias_ppwr[ID_Familia],0))="Em falta","Lacuna","Conforme"),IF(B2153="EU-ENV-013",IF(INDEX(tbl_familias_ppwr[Declaracao_UE],MATCH(INDEX(tbl_recyclass[Familia_PPWR],MATCH(A2153,tbl_recyclass[ProductId],0)),tbl_familias_ppwr[ID_Familia],0))="Sim","Conforme","Lacuna"),G2153)))),G2153))</f>
        <v>Não aplicável</v>
      </c>
      <c r="I2153" s="33" t="str">
        <f t="shared" si="33"/>
        <v>Não aplicável</v>
      </c>
      <c r="J2153" s="26"/>
    </row>
    <row r="2154" spans="1:10" ht="16.05" customHeight="1" x14ac:dyDescent="0.3">
      <c r="A2154" s="26" t="s">
        <v>835</v>
      </c>
      <c r="B2154" s="26" t="s">
        <v>1285</v>
      </c>
      <c r="C2154" s="33" t="str">
        <f>IFERROR(INDEX(tbl_requisitos_emb[Tema],MATCH(B2154,tbl_requisitos_emb[ID_Req],0)),"")</f>
        <v>Materiais plásticos de acondicionamento primário</v>
      </c>
      <c r="D2154" s="33" t="str">
        <f>IFERROR(INDEX(tbl_recyclass[Segmento],MATCH(A2154,tbl_recyclass[ProductId],0)),"")</f>
        <v>Cosmética e higiene pessoal</v>
      </c>
      <c r="E2154" s="26" t="s">
        <v>904</v>
      </c>
      <c r="F2154" s="26" t="s">
        <v>1451</v>
      </c>
      <c r="G2154" s="26" t="s">
        <v>1143</v>
      </c>
      <c r="H2154" s="33" t="str">
        <f>IF(E2154="Não","Não aplicável",IFERROR(IF(B2154="EU-ENV-002",IF(INDEX(tbl_recyclass[Conforme_PPWR_2030],MATCH(A2154,tbl_recyclass[ProductId],0))="Sim","Conforme (autoavaliação)",IF(INDEX(tbl_recyclass[Conforme_PPWR_2030],MATCH(A2154,tbl_recyclass[ProductId],0))="Não","Não conforme em 2030","Isento até 2035")),IF(B2154="EU-ENV-003",IF(INDEX(tbl_recyclass[Conforme_Art7_2030],MATCH(A2154,tbl_recyclass[ProductId],0))="Sim","Conforme (meta 2030)",IF(INDEX(tbl_recyclass[Conforme_Art7_2030],MATCH(A2154,tbl_recyclass[ProductId],0))="Não","Lacuna face à meta 2030","Isento")),IF(B2154="EU-ENV-011",IF(INDEX(tbl_familias_ppwr[Metais_Pesados_Evidencia],MATCH(INDEX(tbl_recyclass[Familia_PPWR],MATCH(A2154,tbl_recyclass[ProductId],0)),tbl_familias_ppwr[ID_Familia],0))="Em falta","Lacuna","Conforme"),IF(B2154="EU-ENV-013",IF(INDEX(tbl_familias_ppwr[Declaracao_UE],MATCH(INDEX(tbl_recyclass[Familia_PPWR],MATCH(A2154,tbl_recyclass[ProductId],0)),tbl_familias_ppwr[ID_Familia],0))="Sim","Conforme","Lacuna"),G2154)))),G2154))</f>
        <v>Não aplicável</v>
      </c>
      <c r="I2154" s="33" t="str">
        <f t="shared" si="33"/>
        <v>Não aplicável</v>
      </c>
      <c r="J2154" s="26"/>
    </row>
    <row r="2155" spans="1:10" ht="16.05" customHeight="1" x14ac:dyDescent="0.3">
      <c r="A2155" s="26" t="s">
        <v>835</v>
      </c>
      <c r="B2155" s="26" t="s">
        <v>1293</v>
      </c>
      <c r="C2155" s="33" t="str">
        <f>IFERROR(INDEX(tbl_requisitos_emb[Tema],MATCH(B2155,tbl_requisitos_emb[ID_Req],0)),"")</f>
        <v>Isenções PPWR</v>
      </c>
      <c r="D2155" s="33" t="str">
        <f>IFERROR(INDEX(tbl_recyclass[Segmento],MATCH(A2155,tbl_recyclass[ProductId],0)),"")</f>
        <v>Cosmética e higiene pessoal</v>
      </c>
      <c r="E2155" s="26" t="s">
        <v>904</v>
      </c>
      <c r="F2155" s="26" t="s">
        <v>1451</v>
      </c>
      <c r="G2155" s="26" t="s">
        <v>1143</v>
      </c>
      <c r="H2155" s="33" t="str">
        <f>IF(E2155="Não","Não aplicável",IFERROR(IF(B2155="EU-ENV-002",IF(INDEX(tbl_recyclass[Conforme_PPWR_2030],MATCH(A2155,tbl_recyclass[ProductId],0))="Sim","Conforme (autoavaliação)",IF(INDEX(tbl_recyclass[Conforme_PPWR_2030],MATCH(A2155,tbl_recyclass[ProductId],0))="Não","Não conforme em 2030","Isento até 2035")),IF(B2155="EU-ENV-003",IF(INDEX(tbl_recyclass[Conforme_Art7_2030],MATCH(A2155,tbl_recyclass[ProductId],0))="Sim","Conforme (meta 2030)",IF(INDEX(tbl_recyclass[Conforme_Art7_2030],MATCH(A2155,tbl_recyclass[ProductId],0))="Não","Lacuna face à meta 2030","Isento")),IF(B2155="EU-ENV-011",IF(INDEX(tbl_familias_ppwr[Metais_Pesados_Evidencia],MATCH(INDEX(tbl_recyclass[Familia_PPWR],MATCH(A2155,tbl_recyclass[ProductId],0)),tbl_familias_ppwr[ID_Familia],0))="Em falta","Lacuna","Conforme"),IF(B2155="EU-ENV-013",IF(INDEX(tbl_familias_ppwr[Declaracao_UE],MATCH(INDEX(tbl_recyclass[Familia_PPWR],MATCH(A2155,tbl_recyclass[ProductId],0)),tbl_familias_ppwr[ID_Familia],0))="Sim","Conforme","Lacuna"),G2155)))),G2155))</f>
        <v>Não aplicável</v>
      </c>
      <c r="I2155" s="33" t="str">
        <f t="shared" si="33"/>
        <v>Não aplicável</v>
      </c>
      <c r="J2155" s="26"/>
    </row>
    <row r="2156" spans="1:10" ht="16.05" customHeight="1" x14ac:dyDescent="0.3">
      <c r="A2156" s="26" t="s">
        <v>835</v>
      </c>
      <c r="B2156" s="26" t="s">
        <v>1357</v>
      </c>
      <c r="C2156" s="33" t="str">
        <f>IFERROR(INDEX(tbl_requisitos_emb[Tema],MATCH(B2156,tbl_requisitos_emb[ID_Req],0)),"")</f>
        <v>Identificação de plásticos</v>
      </c>
      <c r="D2156" s="33" t="str">
        <f>IFERROR(INDEX(tbl_recyclass[Segmento],MATCH(A2156,tbl_recyclass[ProductId],0)),"")</f>
        <v>Cosmética e higiene pessoal</v>
      </c>
      <c r="E2156" s="26" t="s">
        <v>901</v>
      </c>
      <c r="F2156" s="26" t="s">
        <v>1449</v>
      </c>
      <c r="G2156" s="26" t="s">
        <v>978</v>
      </c>
      <c r="H2156" s="33" t="str">
        <f>IF(E2156="Não","Não aplicável",IFERROR(IF(B2156="EU-ENV-002",IF(INDEX(tbl_recyclass[Conforme_PPWR_2030],MATCH(A2156,tbl_recyclass[ProductId],0))="Sim","Conforme (autoavaliação)",IF(INDEX(tbl_recyclass[Conforme_PPWR_2030],MATCH(A2156,tbl_recyclass[ProductId],0))="Não","Não conforme em 2030","Isento até 2035")),IF(B2156="EU-ENV-003",IF(INDEX(tbl_recyclass[Conforme_Art7_2030],MATCH(A2156,tbl_recyclass[ProductId],0))="Sim","Conforme (meta 2030)",IF(INDEX(tbl_recyclass[Conforme_Art7_2030],MATCH(A2156,tbl_recyclass[ProductId],0))="Não","Lacuna face à meta 2030","Isento")),IF(B2156="EU-ENV-011",IF(INDEX(tbl_familias_ppwr[Metais_Pesados_Evidencia],MATCH(INDEX(tbl_recyclass[Familia_PPWR],MATCH(A2156,tbl_recyclass[ProductId],0)),tbl_familias_ppwr[ID_Familia],0))="Em falta","Lacuna","Conforme"),IF(B2156="EU-ENV-013",IF(INDEX(tbl_familias_ppwr[Declaracao_UE],MATCH(INDEX(tbl_recyclass[Familia_PPWR],MATCH(A2156,tbl_recyclass[ProductId],0)),tbl_familias_ppwr[ID_Familia],0))="Sim","Conforme","Lacuna"),G2156)))),G2156))</f>
        <v>Parcial</v>
      </c>
      <c r="I2156" s="33" t="str">
        <f t="shared" si="33"/>
        <v>Parcial</v>
      </c>
      <c r="J2156" s="26" t="s">
        <v>1362</v>
      </c>
    </row>
    <row r="2157" spans="1:10" ht="16.05" customHeight="1" x14ac:dyDescent="0.3">
      <c r="A2157" s="26" t="s">
        <v>835</v>
      </c>
      <c r="B2157" s="26" t="s">
        <v>1385</v>
      </c>
      <c r="C2157" s="33" t="str">
        <f>IFERROR(INDEX(tbl_requisitos_emb[Tema],MATCH(B2157,tbl_requisitos_emb[ID_Req],0)),"")</f>
        <v>Reciclabilidade (voluntária)</v>
      </c>
      <c r="D2157" s="33" t="str">
        <f>IFERROR(INDEX(tbl_recyclass[Segmento],MATCH(A2157,tbl_recyclass[ProductId],0)),"")</f>
        <v>Cosmética e higiene pessoal</v>
      </c>
      <c r="E2157" s="26" t="s">
        <v>901</v>
      </c>
      <c r="F2157" s="26" t="s">
        <v>1449</v>
      </c>
      <c r="G2157" s="26" t="s">
        <v>978</v>
      </c>
      <c r="H2157" s="33" t="str">
        <f>IF(E2157="Não","Não aplicável",IFERROR(IF(B2157="EU-ENV-002",IF(INDEX(tbl_recyclass[Conforme_PPWR_2030],MATCH(A2157,tbl_recyclass[ProductId],0))="Sim","Conforme (autoavaliação)",IF(INDEX(tbl_recyclass[Conforme_PPWR_2030],MATCH(A2157,tbl_recyclass[ProductId],0))="Não","Não conforme em 2030","Isento até 2035")),IF(B2157="EU-ENV-003",IF(INDEX(tbl_recyclass[Conforme_Art7_2030],MATCH(A2157,tbl_recyclass[ProductId],0))="Sim","Conforme (meta 2030)",IF(INDEX(tbl_recyclass[Conforme_Art7_2030],MATCH(A2157,tbl_recyclass[ProductId],0))="Não","Lacuna face à meta 2030","Isento")),IF(B2157="EU-ENV-011",IF(INDEX(tbl_familias_ppwr[Metais_Pesados_Evidencia],MATCH(INDEX(tbl_recyclass[Familia_PPWR],MATCH(A2157,tbl_recyclass[ProductId],0)),tbl_familias_ppwr[ID_Familia],0))="Em falta","Lacuna","Conforme"),IF(B2157="EU-ENV-013",IF(INDEX(tbl_familias_ppwr[Declaracao_UE],MATCH(INDEX(tbl_recyclass[Familia_PPWR],MATCH(A2157,tbl_recyclass[ProductId],0)),tbl_familias_ppwr[ID_Familia],0))="Sim","Conforme","Lacuna"),G2157)))),G2157))</f>
        <v>Parcial</v>
      </c>
      <c r="I2157" s="33" t="str">
        <f t="shared" si="33"/>
        <v>Parcial</v>
      </c>
      <c r="J2157" s="26" t="s">
        <v>1389</v>
      </c>
    </row>
    <row r="2158" spans="1:10" ht="16.05" customHeight="1" x14ac:dyDescent="0.3">
      <c r="A2158" s="26" t="s">
        <v>837</v>
      </c>
      <c r="B2158" s="26" t="s">
        <v>984</v>
      </c>
      <c r="C2158" s="33" t="str">
        <f>IFERROR(INDEX(tbl_requisitos_emb[Tema],MATCH(B2158,tbl_requisitos_emb[ID_Req],0)),"")</f>
        <v>Conceção para reciclagem</v>
      </c>
      <c r="D2158" s="33" t="str">
        <f>IFERROR(INDEX(tbl_recyclass[Segmento],MATCH(A2158,tbl_recyclass[ProductId],0)),"")</f>
        <v>Cosmética e higiene pessoal</v>
      </c>
      <c r="E2158" s="26" t="s">
        <v>901</v>
      </c>
      <c r="F2158" s="26" t="s">
        <v>1449</v>
      </c>
      <c r="G2158" s="26" t="s">
        <v>978</v>
      </c>
      <c r="H2158" s="33" t="str">
        <f>IF(E2158="Não","Não aplicável",IFERROR(IF(B2158="EU-ENV-002",IF(INDEX(tbl_recyclass[Conforme_PPWR_2030],MATCH(A2158,tbl_recyclass[ProductId],0))="Sim","Conforme (autoavaliação)",IF(INDEX(tbl_recyclass[Conforme_PPWR_2030],MATCH(A2158,tbl_recyclass[ProductId],0))="Não","Não conforme em 2030","Isento até 2035")),IF(B2158="EU-ENV-003",IF(INDEX(tbl_recyclass[Conforme_Art7_2030],MATCH(A2158,tbl_recyclass[ProductId],0))="Sim","Conforme (meta 2030)",IF(INDEX(tbl_recyclass[Conforme_Art7_2030],MATCH(A2158,tbl_recyclass[ProductId],0))="Não","Lacuna face à meta 2030","Isento")),IF(B2158="EU-ENV-011",IF(INDEX(tbl_familias_ppwr[Metais_Pesados_Evidencia],MATCH(INDEX(tbl_recyclass[Familia_PPWR],MATCH(A2158,tbl_recyclass[ProductId],0)),tbl_familias_ppwr[ID_Familia],0))="Em falta","Lacuna","Conforme"),IF(B2158="EU-ENV-013",IF(INDEX(tbl_familias_ppwr[Declaracao_UE],MATCH(INDEX(tbl_recyclass[Familia_PPWR],MATCH(A2158,tbl_recyclass[ProductId],0)),tbl_familias_ppwr[ID_Familia],0))="Sim","Conforme","Lacuna"),G2158)))),G2158))</f>
        <v>Não conforme em 2030</v>
      </c>
      <c r="I2158" s="33" t="str">
        <f t="shared" si="33"/>
        <v>Não conforme</v>
      </c>
      <c r="J2158" s="26" t="s">
        <v>991</v>
      </c>
    </row>
    <row r="2159" spans="1:10" ht="16.05" customHeight="1" x14ac:dyDescent="0.3">
      <c r="A2159" s="26" t="s">
        <v>837</v>
      </c>
      <c r="B2159" s="26" t="s">
        <v>997</v>
      </c>
      <c r="C2159" s="33" t="str">
        <f>IFERROR(INDEX(tbl_requisitos_emb[Tema],MATCH(B2159,tbl_requisitos_emb[ID_Req],0)),"")</f>
        <v>Conteúdo reciclado</v>
      </c>
      <c r="D2159" s="33" t="str">
        <f>IFERROR(INDEX(tbl_recyclass[Segmento],MATCH(A2159,tbl_recyclass[ProductId],0)),"")</f>
        <v>Cosmética e higiene pessoal</v>
      </c>
      <c r="E2159" s="26" t="s">
        <v>901</v>
      </c>
      <c r="F2159" s="26" t="s">
        <v>1449</v>
      </c>
      <c r="G2159" s="26" t="s">
        <v>978</v>
      </c>
      <c r="H2159" s="33" t="str">
        <f>IF(E2159="Não","Não aplicável",IFERROR(IF(B2159="EU-ENV-002",IF(INDEX(tbl_recyclass[Conforme_PPWR_2030],MATCH(A2159,tbl_recyclass[ProductId],0))="Sim","Conforme (autoavaliação)",IF(INDEX(tbl_recyclass[Conforme_PPWR_2030],MATCH(A2159,tbl_recyclass[ProductId],0))="Não","Não conforme em 2030","Isento até 2035")),IF(B2159="EU-ENV-003",IF(INDEX(tbl_recyclass[Conforme_Art7_2030],MATCH(A2159,tbl_recyclass[ProductId],0))="Sim","Conforme (meta 2030)",IF(INDEX(tbl_recyclass[Conforme_Art7_2030],MATCH(A2159,tbl_recyclass[ProductId],0))="Não","Lacuna face à meta 2030","Isento")),IF(B2159="EU-ENV-011",IF(INDEX(tbl_familias_ppwr[Metais_Pesados_Evidencia],MATCH(INDEX(tbl_recyclass[Familia_PPWR],MATCH(A2159,tbl_recyclass[ProductId],0)),tbl_familias_ppwr[ID_Familia],0))="Em falta","Lacuna","Conforme"),IF(B2159="EU-ENV-013",IF(INDEX(tbl_familias_ppwr[Declaracao_UE],MATCH(INDEX(tbl_recyclass[Familia_PPWR],MATCH(A2159,tbl_recyclass[ProductId],0)),tbl_familias_ppwr[ID_Familia],0))="Sim","Conforme","Lacuna"),G2159)))),G2159))</f>
        <v>Lacuna face à meta 2030</v>
      </c>
      <c r="I2159" s="33" t="str">
        <f t="shared" si="33"/>
        <v>Lacuna</v>
      </c>
      <c r="J2159" s="26" t="s">
        <v>1001</v>
      </c>
    </row>
    <row r="2160" spans="1:10" ht="16.05" customHeight="1" x14ac:dyDescent="0.3">
      <c r="A2160" s="26" t="s">
        <v>837</v>
      </c>
      <c r="B2160" s="26" t="s">
        <v>1007</v>
      </c>
      <c r="C2160" s="33" t="str">
        <f>IFERROR(INDEX(tbl_requisitos_emb[Tema],MATCH(B2160,tbl_requisitos_emb[ID_Req],0)),"")</f>
        <v>Minimização</v>
      </c>
      <c r="D2160" s="33" t="str">
        <f>IFERROR(INDEX(tbl_recyclass[Segmento],MATCH(A2160,tbl_recyclass[ProductId],0)),"")</f>
        <v>Cosmética e higiene pessoal</v>
      </c>
      <c r="E2160" s="26" t="s">
        <v>901</v>
      </c>
      <c r="F2160" s="26" t="s">
        <v>1449</v>
      </c>
      <c r="G2160" s="26" t="s">
        <v>978</v>
      </c>
      <c r="H2160" s="33" t="str">
        <f>IF(E2160="Não","Não aplicável",IFERROR(IF(B2160="EU-ENV-002",IF(INDEX(tbl_recyclass[Conforme_PPWR_2030],MATCH(A2160,tbl_recyclass[ProductId],0))="Sim","Conforme (autoavaliação)",IF(INDEX(tbl_recyclass[Conforme_PPWR_2030],MATCH(A2160,tbl_recyclass[ProductId],0))="Não","Não conforme em 2030","Isento até 2035")),IF(B2160="EU-ENV-003",IF(INDEX(tbl_recyclass[Conforme_Art7_2030],MATCH(A2160,tbl_recyclass[ProductId],0))="Sim","Conforme (meta 2030)",IF(INDEX(tbl_recyclass[Conforme_Art7_2030],MATCH(A2160,tbl_recyclass[ProductId],0))="Não","Lacuna face à meta 2030","Isento")),IF(B2160="EU-ENV-011",IF(INDEX(tbl_familias_ppwr[Metais_Pesados_Evidencia],MATCH(INDEX(tbl_recyclass[Familia_PPWR],MATCH(A2160,tbl_recyclass[ProductId],0)),tbl_familias_ppwr[ID_Familia],0))="Em falta","Lacuna","Conforme"),IF(B2160="EU-ENV-013",IF(INDEX(tbl_familias_ppwr[Declaracao_UE],MATCH(INDEX(tbl_recyclass[Familia_PPWR],MATCH(A2160,tbl_recyclass[ProductId],0)),tbl_familias_ppwr[ID_Familia],0))="Sim","Conforme","Lacuna"),G2160)))),G2160))</f>
        <v>Parcial</v>
      </c>
      <c r="I2160" s="33" t="str">
        <f t="shared" si="33"/>
        <v>Parcial</v>
      </c>
      <c r="J2160" s="26" t="s">
        <v>1012</v>
      </c>
    </row>
    <row r="2161" spans="1:10" ht="16.05" customHeight="1" x14ac:dyDescent="0.3">
      <c r="A2161" s="26" t="s">
        <v>837</v>
      </c>
      <c r="B2161" s="26" t="s">
        <v>1016</v>
      </c>
      <c r="C2161" s="33" t="str">
        <f>IFERROR(INDEX(tbl_requisitos_emb[Tema],MATCH(B2161,tbl_requisitos_emb[ID_Req],0)),"")</f>
        <v>Rotulagem</v>
      </c>
      <c r="D2161" s="33" t="str">
        <f>IFERROR(INDEX(tbl_recyclass[Segmento],MATCH(A2161,tbl_recyclass[ProductId],0)),"")</f>
        <v>Cosmética e higiene pessoal</v>
      </c>
      <c r="E2161" s="26" t="s">
        <v>901</v>
      </c>
      <c r="F2161" s="26" t="s">
        <v>1449</v>
      </c>
      <c r="G2161" s="26" t="s">
        <v>990</v>
      </c>
      <c r="H2161" s="33" t="str">
        <f>IF(E2161="Não","Não aplicável",IFERROR(IF(B2161="EU-ENV-002",IF(INDEX(tbl_recyclass[Conforme_PPWR_2030],MATCH(A2161,tbl_recyclass[ProductId],0))="Sim","Conforme (autoavaliação)",IF(INDEX(tbl_recyclass[Conforme_PPWR_2030],MATCH(A2161,tbl_recyclass[ProductId],0))="Não","Não conforme em 2030","Isento até 2035")),IF(B2161="EU-ENV-003",IF(INDEX(tbl_recyclass[Conforme_Art7_2030],MATCH(A2161,tbl_recyclass[ProductId],0))="Sim","Conforme (meta 2030)",IF(INDEX(tbl_recyclass[Conforme_Art7_2030],MATCH(A2161,tbl_recyclass[ProductId],0))="Não","Lacuna face à meta 2030","Isento")),IF(B2161="EU-ENV-011",IF(INDEX(tbl_familias_ppwr[Metais_Pesados_Evidencia],MATCH(INDEX(tbl_recyclass[Familia_PPWR],MATCH(A2161,tbl_recyclass[ProductId],0)),tbl_familias_ppwr[ID_Familia],0))="Em falta","Lacuna","Conforme"),IF(B2161="EU-ENV-013",IF(INDEX(tbl_familias_ppwr[Declaracao_UE],MATCH(INDEX(tbl_recyclass[Familia_PPWR],MATCH(A2161,tbl_recyclass[ProductId],0)),tbl_familias_ppwr[ID_Familia],0))="Sim","Conforme","Lacuna"),G2161)))),G2161))</f>
        <v>Futuro</v>
      </c>
      <c r="I2161" s="33" t="str">
        <f t="shared" si="33"/>
        <v>Futuro</v>
      </c>
      <c r="J2161" s="26" t="s">
        <v>1021</v>
      </c>
    </row>
    <row r="2162" spans="1:10" ht="16.05" customHeight="1" x14ac:dyDescent="0.3">
      <c r="A2162" s="26" t="s">
        <v>837</v>
      </c>
      <c r="B2162" s="26" t="s">
        <v>1038</v>
      </c>
      <c r="C2162" s="33" t="str">
        <f>IFERROR(INDEX(tbl_requisitos_emb[Tema],MATCH(B2162,tbl_requisitos_emb[ID_Req],0)),"")</f>
        <v>Plásticos de utilização única</v>
      </c>
      <c r="D2162" s="33" t="str">
        <f>IFERROR(INDEX(tbl_recyclass[Segmento],MATCH(A2162,tbl_recyclass[ProductId],0)),"")</f>
        <v>Cosmética e higiene pessoal</v>
      </c>
      <c r="E2162" s="26" t="s">
        <v>904</v>
      </c>
      <c r="F2162" s="26" t="s">
        <v>1450</v>
      </c>
      <c r="G2162" s="26" t="s">
        <v>1143</v>
      </c>
      <c r="H2162" s="33" t="str">
        <f>IF(E2162="Não","Não aplicável",IFERROR(IF(B2162="EU-ENV-002",IF(INDEX(tbl_recyclass[Conforme_PPWR_2030],MATCH(A2162,tbl_recyclass[ProductId],0))="Sim","Conforme (autoavaliação)",IF(INDEX(tbl_recyclass[Conforme_PPWR_2030],MATCH(A2162,tbl_recyclass[ProductId],0))="Não","Não conforme em 2030","Isento até 2035")),IF(B2162="EU-ENV-003",IF(INDEX(tbl_recyclass[Conforme_Art7_2030],MATCH(A2162,tbl_recyclass[ProductId],0))="Sim","Conforme (meta 2030)",IF(INDEX(tbl_recyclass[Conforme_Art7_2030],MATCH(A2162,tbl_recyclass[ProductId],0))="Não","Lacuna face à meta 2030","Isento")),IF(B2162="EU-ENV-011",IF(INDEX(tbl_familias_ppwr[Metais_Pesados_Evidencia],MATCH(INDEX(tbl_recyclass[Familia_PPWR],MATCH(A2162,tbl_recyclass[ProductId],0)),tbl_familias_ppwr[ID_Familia],0))="Em falta","Lacuna","Conforme"),IF(B2162="EU-ENV-013",IF(INDEX(tbl_familias_ppwr[Declaracao_UE],MATCH(INDEX(tbl_recyclass[Familia_PPWR],MATCH(A2162,tbl_recyclass[ProductId],0)),tbl_familias_ppwr[ID_Familia],0))="Sim","Conforme","Lacuna"),G2162)))),G2162))</f>
        <v>Não aplicável</v>
      </c>
      <c r="I2162" s="33" t="str">
        <f t="shared" si="33"/>
        <v>Não aplicável</v>
      </c>
      <c r="J2162" s="26"/>
    </row>
    <row r="2163" spans="1:10" ht="16.05" customHeight="1" x14ac:dyDescent="0.3">
      <c r="A2163" s="26" t="s">
        <v>837</v>
      </c>
      <c r="B2163" s="26" t="s">
        <v>1078</v>
      </c>
      <c r="C2163" s="33" t="str">
        <f>IFERROR(INDEX(tbl_requisitos_emb[Tema],MATCH(B2163,tbl_requisitos_emb[ID_Req],0)),"")</f>
        <v>Reciclado à escala</v>
      </c>
      <c r="D2163" s="33" t="str">
        <f>IFERROR(INDEX(tbl_recyclass[Segmento],MATCH(A2163,tbl_recyclass[ProductId],0)),"")</f>
        <v>Cosmética e higiene pessoal</v>
      </c>
      <c r="E2163" s="26" t="s">
        <v>901</v>
      </c>
      <c r="F2163" s="26" t="s">
        <v>1449</v>
      </c>
      <c r="G2163" s="26" t="s">
        <v>990</v>
      </c>
      <c r="H2163" s="33" t="str">
        <f>IF(E2163="Não","Não aplicável",IFERROR(IF(B2163="EU-ENV-002",IF(INDEX(tbl_recyclass[Conforme_PPWR_2030],MATCH(A2163,tbl_recyclass[ProductId],0))="Sim","Conforme (autoavaliação)",IF(INDEX(tbl_recyclass[Conforme_PPWR_2030],MATCH(A2163,tbl_recyclass[ProductId],0))="Não","Não conforme em 2030","Isento até 2035")),IF(B2163="EU-ENV-003",IF(INDEX(tbl_recyclass[Conforme_Art7_2030],MATCH(A2163,tbl_recyclass[ProductId],0))="Sim","Conforme (meta 2030)",IF(INDEX(tbl_recyclass[Conforme_Art7_2030],MATCH(A2163,tbl_recyclass[ProductId],0))="Não","Lacuna face à meta 2030","Isento")),IF(B2163="EU-ENV-011",IF(INDEX(tbl_familias_ppwr[Metais_Pesados_Evidencia],MATCH(INDEX(tbl_recyclass[Familia_PPWR],MATCH(A2163,tbl_recyclass[ProductId],0)),tbl_familias_ppwr[ID_Familia],0))="Em falta","Lacuna","Conforme"),IF(B2163="EU-ENV-013",IF(INDEX(tbl_familias_ppwr[Declaracao_UE],MATCH(INDEX(tbl_recyclass[Familia_PPWR],MATCH(A2163,tbl_recyclass[ProductId],0)),tbl_familias_ppwr[ID_Familia],0))="Sim","Conforme","Lacuna"),G2163)))),G2163))</f>
        <v>Futuro</v>
      </c>
      <c r="I2163" s="33" t="str">
        <f t="shared" si="33"/>
        <v>Futuro</v>
      </c>
      <c r="J2163" s="26" t="s">
        <v>1082</v>
      </c>
    </row>
    <row r="2164" spans="1:10" ht="16.05" customHeight="1" x14ac:dyDescent="0.3">
      <c r="A2164" s="26" t="s">
        <v>837</v>
      </c>
      <c r="B2164" s="26" t="s">
        <v>1086</v>
      </c>
      <c r="C2164" s="33" t="str">
        <f>IFERROR(INDEX(tbl_requisitos_emb[Tema],MATCH(B2164,tbl_requisitos_emb[ID_Req],0)),"")</f>
        <v>Metais pesados</v>
      </c>
      <c r="D2164" s="33" t="str">
        <f>IFERROR(INDEX(tbl_recyclass[Segmento],MATCH(A2164,tbl_recyclass[ProductId],0)),"")</f>
        <v>Cosmética e higiene pessoal</v>
      </c>
      <c r="E2164" s="26" t="s">
        <v>901</v>
      </c>
      <c r="F2164" s="26" t="s">
        <v>1449</v>
      </c>
      <c r="G2164" s="26" t="s">
        <v>978</v>
      </c>
      <c r="H2164" s="33" t="str">
        <f>IF(E2164="Não","Não aplicável",IFERROR(IF(B2164="EU-ENV-002",IF(INDEX(tbl_recyclass[Conforme_PPWR_2030],MATCH(A2164,tbl_recyclass[ProductId],0))="Sim","Conforme (autoavaliação)",IF(INDEX(tbl_recyclass[Conforme_PPWR_2030],MATCH(A2164,tbl_recyclass[ProductId],0))="Não","Não conforme em 2030","Isento até 2035")),IF(B2164="EU-ENV-003",IF(INDEX(tbl_recyclass[Conforme_Art7_2030],MATCH(A2164,tbl_recyclass[ProductId],0))="Sim","Conforme (meta 2030)",IF(INDEX(tbl_recyclass[Conforme_Art7_2030],MATCH(A2164,tbl_recyclass[ProductId],0))="Não","Lacuna face à meta 2030","Isento")),IF(B2164="EU-ENV-011",IF(INDEX(tbl_familias_ppwr[Metais_Pesados_Evidencia],MATCH(INDEX(tbl_recyclass[Familia_PPWR],MATCH(A2164,tbl_recyclass[ProductId],0)),tbl_familias_ppwr[ID_Familia],0))="Em falta","Lacuna","Conforme"),IF(B2164="EU-ENV-013",IF(INDEX(tbl_familias_ppwr[Declaracao_UE],MATCH(INDEX(tbl_recyclass[Familia_PPWR],MATCH(A2164,tbl_recyclass[ProductId],0)),tbl_familias_ppwr[ID_Familia],0))="Sim","Conforme","Lacuna"),G2164)))),G2164))</f>
        <v>Conforme</v>
      </c>
      <c r="I2164" s="33" t="str">
        <f t="shared" si="33"/>
        <v>Conforme</v>
      </c>
      <c r="J2164" s="26" t="s">
        <v>1090</v>
      </c>
    </row>
    <row r="2165" spans="1:10" ht="16.05" customHeight="1" x14ac:dyDescent="0.3">
      <c r="A2165" s="26" t="s">
        <v>837</v>
      </c>
      <c r="B2165" s="26" t="s">
        <v>1094</v>
      </c>
      <c r="C2165" s="33" t="str">
        <f>IFERROR(INDEX(tbl_requisitos_emb[Tema],MATCH(B2165,tbl_requisitos_emb[ID_Req],0)),"")</f>
        <v>PFAS</v>
      </c>
      <c r="D2165" s="33" t="str">
        <f>IFERROR(INDEX(tbl_recyclass[Segmento],MATCH(A2165,tbl_recyclass[ProductId],0)),"")</f>
        <v>Cosmética e higiene pessoal</v>
      </c>
      <c r="E2165" s="26" t="s">
        <v>904</v>
      </c>
      <c r="F2165" s="26" t="s">
        <v>1450</v>
      </c>
      <c r="G2165" s="26" t="s">
        <v>1143</v>
      </c>
      <c r="H2165" s="33" t="str">
        <f>IF(E2165="Não","Não aplicável",IFERROR(IF(B2165="EU-ENV-002",IF(INDEX(tbl_recyclass[Conforme_PPWR_2030],MATCH(A2165,tbl_recyclass[ProductId],0))="Sim","Conforme (autoavaliação)",IF(INDEX(tbl_recyclass[Conforme_PPWR_2030],MATCH(A2165,tbl_recyclass[ProductId],0))="Não","Não conforme em 2030","Isento até 2035")),IF(B2165="EU-ENV-003",IF(INDEX(tbl_recyclass[Conforme_Art7_2030],MATCH(A2165,tbl_recyclass[ProductId],0))="Sim","Conforme (meta 2030)",IF(INDEX(tbl_recyclass[Conforme_Art7_2030],MATCH(A2165,tbl_recyclass[ProductId],0))="Não","Lacuna face à meta 2030","Isento")),IF(B2165="EU-ENV-011",IF(INDEX(tbl_familias_ppwr[Metais_Pesados_Evidencia],MATCH(INDEX(tbl_recyclass[Familia_PPWR],MATCH(A2165,tbl_recyclass[ProductId],0)),tbl_familias_ppwr[ID_Familia],0))="Em falta","Lacuna","Conforme"),IF(B2165="EU-ENV-013",IF(INDEX(tbl_familias_ppwr[Declaracao_UE],MATCH(INDEX(tbl_recyclass[Familia_PPWR],MATCH(A2165,tbl_recyclass[ProductId],0)),tbl_familias_ppwr[ID_Familia],0))="Sim","Conforme","Lacuna"),G2165)))),G2165))</f>
        <v>Não aplicável</v>
      </c>
      <c r="I2165" s="33" t="str">
        <f t="shared" si="33"/>
        <v>Não aplicável</v>
      </c>
      <c r="J2165" s="26"/>
    </row>
    <row r="2166" spans="1:10" ht="16.05" customHeight="1" x14ac:dyDescent="0.3">
      <c r="A2166" s="26" t="s">
        <v>837</v>
      </c>
      <c r="B2166" s="26" t="s">
        <v>1102</v>
      </c>
      <c r="C2166" s="33" t="str">
        <f>IFERROR(INDEX(tbl_requisitos_emb[Tema],MATCH(B2166,tbl_requisitos_emb[ID_Req],0)),"")</f>
        <v>Documentação técnica e declaração UE</v>
      </c>
      <c r="D2166" s="33" t="str">
        <f>IFERROR(INDEX(tbl_recyclass[Segmento],MATCH(A2166,tbl_recyclass[ProductId],0)),"")</f>
        <v>Cosmética e higiene pessoal</v>
      </c>
      <c r="E2166" s="26" t="s">
        <v>901</v>
      </c>
      <c r="F2166" s="26" t="s">
        <v>1449</v>
      </c>
      <c r="G2166" s="26" t="s">
        <v>978</v>
      </c>
      <c r="H2166" s="33" t="str">
        <f>IF(E2166="Não","Não aplicável",IFERROR(IF(B2166="EU-ENV-002",IF(INDEX(tbl_recyclass[Conforme_PPWR_2030],MATCH(A2166,tbl_recyclass[ProductId],0))="Sim","Conforme (autoavaliação)",IF(INDEX(tbl_recyclass[Conforme_PPWR_2030],MATCH(A2166,tbl_recyclass[ProductId],0))="Não","Não conforme em 2030","Isento até 2035")),IF(B2166="EU-ENV-003",IF(INDEX(tbl_recyclass[Conforme_Art7_2030],MATCH(A2166,tbl_recyclass[ProductId],0))="Sim","Conforme (meta 2030)",IF(INDEX(tbl_recyclass[Conforme_Art7_2030],MATCH(A2166,tbl_recyclass[ProductId],0))="Não","Lacuna face à meta 2030","Isento")),IF(B2166="EU-ENV-011",IF(INDEX(tbl_familias_ppwr[Metais_Pesados_Evidencia],MATCH(INDEX(tbl_recyclass[Familia_PPWR],MATCH(A2166,tbl_recyclass[ProductId],0)),tbl_familias_ppwr[ID_Familia],0))="Em falta","Lacuna","Conforme"),IF(B2166="EU-ENV-013",IF(INDEX(tbl_familias_ppwr[Declaracao_UE],MATCH(INDEX(tbl_recyclass[Familia_PPWR],MATCH(A2166,tbl_recyclass[ProductId],0)),tbl_familias_ppwr[ID_Familia],0))="Sim","Conforme","Lacuna"),G2166)))),G2166))</f>
        <v>Conforme</v>
      </c>
      <c r="I2166" s="33" t="str">
        <f t="shared" si="33"/>
        <v>Conforme</v>
      </c>
      <c r="J2166" s="26" t="s">
        <v>1106</v>
      </c>
    </row>
    <row r="2167" spans="1:10" ht="16.05" customHeight="1" x14ac:dyDescent="0.3">
      <c r="A2167" s="26" t="s">
        <v>837</v>
      </c>
      <c r="B2167" s="26" t="s">
        <v>1161</v>
      </c>
      <c r="C2167" s="33" t="str">
        <f>IFERROR(INDEX(tbl_requisitos_emb[Tema],MATCH(B2167,tbl_requisitos_emb[ID_Req],0)),"")</f>
        <v>Materiais em contacto com alimentos</v>
      </c>
      <c r="D2167" s="33" t="str">
        <f>IFERROR(INDEX(tbl_recyclass[Segmento],MATCH(A2167,tbl_recyclass[ProductId],0)),"")</f>
        <v>Cosmética e higiene pessoal</v>
      </c>
      <c r="E2167" s="26" t="s">
        <v>904</v>
      </c>
      <c r="F2167" s="26" t="s">
        <v>1450</v>
      </c>
      <c r="G2167" s="26" t="s">
        <v>1143</v>
      </c>
      <c r="H2167" s="33" t="str">
        <f>IF(E2167="Não","Não aplicável",IFERROR(IF(B2167="EU-ENV-002",IF(INDEX(tbl_recyclass[Conforme_PPWR_2030],MATCH(A2167,tbl_recyclass[ProductId],0))="Sim","Conforme (autoavaliação)",IF(INDEX(tbl_recyclass[Conforme_PPWR_2030],MATCH(A2167,tbl_recyclass[ProductId],0))="Não","Não conforme em 2030","Isento até 2035")),IF(B2167="EU-ENV-003",IF(INDEX(tbl_recyclass[Conforme_Art7_2030],MATCH(A2167,tbl_recyclass[ProductId],0))="Sim","Conforme (meta 2030)",IF(INDEX(tbl_recyclass[Conforme_Art7_2030],MATCH(A2167,tbl_recyclass[ProductId],0))="Não","Lacuna face à meta 2030","Isento")),IF(B2167="EU-ENV-011",IF(INDEX(tbl_familias_ppwr[Metais_Pesados_Evidencia],MATCH(INDEX(tbl_recyclass[Familia_PPWR],MATCH(A2167,tbl_recyclass[ProductId],0)),tbl_familias_ppwr[ID_Familia],0))="Em falta","Lacuna","Conforme"),IF(B2167="EU-ENV-013",IF(INDEX(tbl_familias_ppwr[Declaracao_UE],MATCH(INDEX(tbl_recyclass[Familia_PPWR],MATCH(A2167,tbl_recyclass[ProductId],0)),tbl_familias_ppwr[ID_Familia],0))="Sim","Conforme","Lacuna"),G2167)))),G2167))</f>
        <v>Não aplicável</v>
      </c>
      <c r="I2167" s="33" t="str">
        <f t="shared" si="33"/>
        <v>Não aplicável</v>
      </c>
      <c r="J2167" s="26"/>
    </row>
    <row r="2168" spans="1:10" ht="16.05" customHeight="1" x14ac:dyDescent="0.3">
      <c r="A2168" s="26" t="s">
        <v>837</v>
      </c>
      <c r="B2168" s="26" t="s">
        <v>1170</v>
      </c>
      <c r="C2168" s="33" t="str">
        <f>IFERROR(INDEX(tbl_requisitos_emb[Tema],MATCH(B2168,tbl_requisitos_emb[ID_Req],0)),"")</f>
        <v>Boas práticas de fabrico FCM</v>
      </c>
      <c r="D2168" s="33" t="str">
        <f>IFERROR(INDEX(tbl_recyclass[Segmento],MATCH(A2168,tbl_recyclass[ProductId],0)),"")</f>
        <v>Cosmética e higiene pessoal</v>
      </c>
      <c r="E2168" s="26" t="s">
        <v>904</v>
      </c>
      <c r="F2168" s="26" t="s">
        <v>1450</v>
      </c>
      <c r="G2168" s="26" t="s">
        <v>1143</v>
      </c>
      <c r="H2168" s="33" t="str">
        <f>IF(E2168="Não","Não aplicável",IFERROR(IF(B2168="EU-ENV-002",IF(INDEX(tbl_recyclass[Conforme_PPWR_2030],MATCH(A2168,tbl_recyclass[ProductId],0))="Sim","Conforme (autoavaliação)",IF(INDEX(tbl_recyclass[Conforme_PPWR_2030],MATCH(A2168,tbl_recyclass[ProductId],0))="Não","Não conforme em 2030","Isento até 2035")),IF(B2168="EU-ENV-003",IF(INDEX(tbl_recyclass[Conforme_Art7_2030],MATCH(A2168,tbl_recyclass[ProductId],0))="Sim","Conforme (meta 2030)",IF(INDEX(tbl_recyclass[Conforme_Art7_2030],MATCH(A2168,tbl_recyclass[ProductId],0))="Não","Lacuna face à meta 2030","Isento")),IF(B2168="EU-ENV-011",IF(INDEX(tbl_familias_ppwr[Metais_Pesados_Evidencia],MATCH(INDEX(tbl_recyclass[Familia_PPWR],MATCH(A2168,tbl_recyclass[ProductId],0)),tbl_familias_ppwr[ID_Familia],0))="Em falta","Lacuna","Conforme"),IF(B2168="EU-ENV-013",IF(INDEX(tbl_familias_ppwr[Declaracao_UE],MATCH(INDEX(tbl_recyclass[Familia_PPWR],MATCH(A2168,tbl_recyclass[ProductId],0)),tbl_familias_ppwr[ID_Familia],0))="Sim","Conforme","Lacuna"),G2168)))),G2168))</f>
        <v>Não aplicável</v>
      </c>
      <c r="I2168" s="33" t="str">
        <f t="shared" si="33"/>
        <v>Não aplicável</v>
      </c>
      <c r="J2168" s="26"/>
    </row>
    <row r="2169" spans="1:10" ht="16.05" customHeight="1" x14ac:dyDescent="0.3">
      <c r="A2169" s="26" t="s">
        <v>837</v>
      </c>
      <c r="B2169" s="26" t="s">
        <v>1179</v>
      </c>
      <c r="C2169" s="33" t="str">
        <f>IFERROR(INDEX(tbl_requisitos_emb[Tema],MATCH(B2169,tbl_requisitos_emb[ID_Req],0)),"")</f>
        <v>Bisfenol A e bisfenóis perigosos</v>
      </c>
      <c r="D2169" s="33" t="str">
        <f>IFERROR(INDEX(tbl_recyclass[Segmento],MATCH(A2169,tbl_recyclass[ProductId],0)),"")</f>
        <v>Cosmética e higiene pessoal</v>
      </c>
      <c r="E2169" s="26" t="s">
        <v>904</v>
      </c>
      <c r="F2169" s="26" t="s">
        <v>1450</v>
      </c>
      <c r="G2169" s="26" t="s">
        <v>1143</v>
      </c>
      <c r="H2169" s="33" t="str">
        <f>IF(E2169="Não","Não aplicável",IFERROR(IF(B2169="EU-ENV-002",IF(INDEX(tbl_recyclass[Conforme_PPWR_2030],MATCH(A2169,tbl_recyclass[ProductId],0))="Sim","Conforme (autoavaliação)",IF(INDEX(tbl_recyclass[Conforme_PPWR_2030],MATCH(A2169,tbl_recyclass[ProductId],0))="Não","Não conforme em 2030","Isento até 2035")),IF(B2169="EU-ENV-003",IF(INDEX(tbl_recyclass[Conforme_Art7_2030],MATCH(A2169,tbl_recyclass[ProductId],0))="Sim","Conforme (meta 2030)",IF(INDEX(tbl_recyclass[Conforme_Art7_2030],MATCH(A2169,tbl_recyclass[ProductId],0))="Não","Lacuna face à meta 2030","Isento")),IF(B2169="EU-ENV-011",IF(INDEX(tbl_familias_ppwr[Metais_Pesados_Evidencia],MATCH(INDEX(tbl_recyclass[Familia_PPWR],MATCH(A2169,tbl_recyclass[ProductId],0)),tbl_familias_ppwr[ID_Familia],0))="Em falta","Lacuna","Conforme"),IF(B2169="EU-ENV-013",IF(INDEX(tbl_familias_ppwr[Declaracao_UE],MATCH(INDEX(tbl_recyclass[Familia_PPWR],MATCH(A2169,tbl_recyclass[ProductId],0)),tbl_familias_ppwr[ID_Familia],0))="Sim","Conforme","Lacuna"),G2169)))),G2169))</f>
        <v>Não aplicável</v>
      </c>
      <c r="I2169" s="33" t="str">
        <f t="shared" si="33"/>
        <v>Não aplicável</v>
      </c>
      <c r="J2169" s="26"/>
    </row>
    <row r="2170" spans="1:10" ht="16.05" customHeight="1" x14ac:dyDescent="0.3">
      <c r="A2170" s="26" t="s">
        <v>837</v>
      </c>
      <c r="B2170" s="26" t="s">
        <v>1188</v>
      </c>
      <c r="C2170" s="33" t="str">
        <f>IFERROR(INDEX(tbl_requisitos_emb[Tema],MATCH(B2170,tbl_requisitos_emb[ID_Req],0)),"")</f>
        <v>Plásticos em contacto com alimentos</v>
      </c>
      <c r="D2170" s="33" t="str">
        <f>IFERROR(INDEX(tbl_recyclass[Segmento],MATCH(A2170,tbl_recyclass[ProductId],0)),"")</f>
        <v>Cosmética e higiene pessoal</v>
      </c>
      <c r="E2170" s="26" t="s">
        <v>904</v>
      </c>
      <c r="F2170" s="26" t="s">
        <v>1450</v>
      </c>
      <c r="G2170" s="26" t="s">
        <v>1143</v>
      </c>
      <c r="H2170" s="33" t="str">
        <f>IF(E2170="Não","Não aplicável",IFERROR(IF(B2170="EU-ENV-002",IF(INDEX(tbl_recyclass[Conforme_PPWR_2030],MATCH(A2170,tbl_recyclass[ProductId],0))="Sim","Conforme (autoavaliação)",IF(INDEX(tbl_recyclass[Conforme_PPWR_2030],MATCH(A2170,tbl_recyclass[ProductId],0))="Não","Não conforme em 2030","Isento até 2035")),IF(B2170="EU-ENV-003",IF(INDEX(tbl_recyclass[Conforme_Art7_2030],MATCH(A2170,tbl_recyclass[ProductId],0))="Sim","Conforme (meta 2030)",IF(INDEX(tbl_recyclass[Conforme_Art7_2030],MATCH(A2170,tbl_recyclass[ProductId],0))="Não","Lacuna face à meta 2030","Isento")),IF(B2170="EU-ENV-011",IF(INDEX(tbl_familias_ppwr[Metais_Pesados_Evidencia],MATCH(INDEX(tbl_recyclass[Familia_PPWR],MATCH(A2170,tbl_recyclass[ProductId],0)),tbl_familias_ppwr[ID_Familia],0))="Em falta","Lacuna","Conforme"),IF(B2170="EU-ENV-013",IF(INDEX(tbl_familias_ppwr[Declaracao_UE],MATCH(INDEX(tbl_recyclass[Familia_PPWR],MATCH(A2170,tbl_recyclass[ProductId],0)),tbl_familias_ppwr[ID_Familia],0))="Sim","Conforme","Lacuna"),G2170)))),G2170))</f>
        <v>Não aplicável</v>
      </c>
      <c r="I2170" s="33" t="str">
        <f t="shared" si="33"/>
        <v>Não aplicável</v>
      </c>
      <c r="J2170" s="26"/>
    </row>
    <row r="2171" spans="1:10" ht="16.05" customHeight="1" x14ac:dyDescent="0.3">
      <c r="A2171" s="26" t="s">
        <v>837</v>
      </c>
      <c r="B2171" s="26" t="s">
        <v>1212</v>
      </c>
      <c r="C2171" s="33" t="str">
        <f>IFERROR(INDEX(tbl_requisitos_emb[Tema],MATCH(B2171,tbl_requisitos_emb[ID_Req],0)),"")</f>
        <v>Segurança do produto cosmético</v>
      </c>
      <c r="D2171" s="33" t="str">
        <f>IFERROR(INDEX(tbl_recyclass[Segmento],MATCH(A2171,tbl_recyclass[ProductId],0)),"")</f>
        <v>Cosmética e higiene pessoal</v>
      </c>
      <c r="E2171" s="26" t="s">
        <v>901</v>
      </c>
      <c r="F2171" s="26" t="s">
        <v>1449</v>
      </c>
      <c r="G2171" s="26" t="s">
        <v>1033</v>
      </c>
      <c r="H2171" s="33" t="str">
        <f>IF(E2171="Não","Não aplicável",IFERROR(IF(B2171="EU-ENV-002",IF(INDEX(tbl_recyclass[Conforme_PPWR_2030],MATCH(A2171,tbl_recyclass[ProductId],0))="Sim","Conforme (autoavaliação)",IF(INDEX(tbl_recyclass[Conforme_PPWR_2030],MATCH(A2171,tbl_recyclass[ProductId],0))="Não","Não conforme em 2030","Isento até 2035")),IF(B2171="EU-ENV-003",IF(INDEX(tbl_recyclass[Conforme_Art7_2030],MATCH(A2171,tbl_recyclass[ProductId],0))="Sim","Conforme (meta 2030)",IF(INDEX(tbl_recyclass[Conforme_Art7_2030],MATCH(A2171,tbl_recyclass[ProductId],0))="Não","Lacuna face à meta 2030","Isento")),IF(B2171="EU-ENV-011",IF(INDEX(tbl_familias_ppwr[Metais_Pesados_Evidencia],MATCH(INDEX(tbl_recyclass[Familia_PPWR],MATCH(A2171,tbl_recyclass[ProductId],0)),tbl_familias_ppwr[ID_Familia],0))="Em falta","Lacuna","Conforme"),IF(B2171="EU-ENV-013",IF(INDEX(tbl_familias_ppwr[Declaracao_UE],MATCH(INDEX(tbl_recyclass[Familia_PPWR],MATCH(A2171,tbl_recyclass[ProductId],0)),tbl_familias_ppwr[ID_Familia],0))="Sim","Conforme","Lacuna"),G2171)))),G2171))</f>
        <v>Conforme</v>
      </c>
      <c r="I2171" s="33" t="str">
        <f t="shared" si="33"/>
        <v>Conforme</v>
      </c>
      <c r="J2171" s="26" t="s">
        <v>1221</v>
      </c>
    </row>
    <row r="2172" spans="1:10" ht="16.05" customHeight="1" x14ac:dyDescent="0.3">
      <c r="A2172" s="26" t="s">
        <v>837</v>
      </c>
      <c r="B2172" s="26" t="s">
        <v>1224</v>
      </c>
      <c r="C2172" s="33" t="str">
        <f>IFERROR(INDEX(tbl_requisitos_emb[Tema],MATCH(B2172,tbl_requisitos_emb[ID_Req],0)),"")</f>
        <v>Materiais e impurezas</v>
      </c>
      <c r="D2172" s="33" t="str">
        <f>IFERROR(INDEX(tbl_recyclass[Segmento],MATCH(A2172,tbl_recyclass[ProductId],0)),"")</f>
        <v>Cosmética e higiene pessoal</v>
      </c>
      <c r="E2172" s="26" t="s">
        <v>901</v>
      </c>
      <c r="F2172" s="26" t="s">
        <v>1449</v>
      </c>
      <c r="G2172" s="26" t="s">
        <v>978</v>
      </c>
      <c r="H2172" s="33" t="str">
        <f>IF(E2172="Não","Não aplicável",IFERROR(IF(B2172="EU-ENV-002",IF(INDEX(tbl_recyclass[Conforme_PPWR_2030],MATCH(A2172,tbl_recyclass[ProductId],0))="Sim","Conforme (autoavaliação)",IF(INDEX(tbl_recyclass[Conforme_PPWR_2030],MATCH(A2172,tbl_recyclass[ProductId],0))="Não","Não conforme em 2030","Isento até 2035")),IF(B2172="EU-ENV-003",IF(INDEX(tbl_recyclass[Conforme_Art7_2030],MATCH(A2172,tbl_recyclass[ProductId],0))="Sim","Conforme (meta 2030)",IF(INDEX(tbl_recyclass[Conforme_Art7_2030],MATCH(A2172,tbl_recyclass[ProductId],0))="Não","Lacuna face à meta 2030","Isento")),IF(B2172="EU-ENV-011",IF(INDEX(tbl_familias_ppwr[Metais_Pesados_Evidencia],MATCH(INDEX(tbl_recyclass[Familia_PPWR],MATCH(A2172,tbl_recyclass[ProductId],0)),tbl_familias_ppwr[ID_Familia],0))="Em falta","Lacuna","Conforme"),IF(B2172="EU-ENV-013",IF(INDEX(tbl_familias_ppwr[Declaracao_UE],MATCH(INDEX(tbl_recyclass[Familia_PPWR],MATCH(A2172,tbl_recyclass[ProductId],0)),tbl_familias_ppwr[ID_Familia],0))="Sim","Conforme","Lacuna"),G2172)))),G2172))</f>
        <v>Parcial</v>
      </c>
      <c r="I2172" s="33" t="str">
        <f t="shared" si="33"/>
        <v>Parcial</v>
      </c>
      <c r="J2172" s="26" t="s">
        <v>1228</v>
      </c>
    </row>
    <row r="2173" spans="1:10" ht="16.05" customHeight="1" x14ac:dyDescent="0.3">
      <c r="A2173" s="26" t="s">
        <v>837</v>
      </c>
      <c r="B2173" s="26" t="s">
        <v>1240</v>
      </c>
      <c r="C2173" s="33" t="str">
        <f>IFERROR(INDEX(tbl_requisitos_emb[Tema],MATCH(B2173,tbl_requisitos_emb[ID_Req],0)),"")</f>
        <v>Compatibilidade embalagem–produto</v>
      </c>
      <c r="D2173" s="33" t="str">
        <f>IFERROR(INDEX(tbl_recyclass[Segmento],MATCH(A2173,tbl_recyclass[ProductId],0)),"")</f>
        <v>Cosmética e higiene pessoal</v>
      </c>
      <c r="E2173" s="26" t="s">
        <v>901</v>
      </c>
      <c r="F2173" s="26" t="s">
        <v>1449</v>
      </c>
      <c r="G2173" s="26" t="s">
        <v>1033</v>
      </c>
      <c r="H2173" s="33" t="str">
        <f>IF(E2173="Não","Não aplicável",IFERROR(IF(B2173="EU-ENV-002",IF(INDEX(tbl_recyclass[Conforme_PPWR_2030],MATCH(A2173,tbl_recyclass[ProductId],0))="Sim","Conforme (autoavaliação)",IF(INDEX(tbl_recyclass[Conforme_PPWR_2030],MATCH(A2173,tbl_recyclass[ProductId],0))="Não","Não conforme em 2030","Isento até 2035")),IF(B2173="EU-ENV-003",IF(INDEX(tbl_recyclass[Conforme_Art7_2030],MATCH(A2173,tbl_recyclass[ProductId],0))="Sim","Conforme (meta 2030)",IF(INDEX(tbl_recyclass[Conforme_Art7_2030],MATCH(A2173,tbl_recyclass[ProductId],0))="Não","Lacuna face à meta 2030","Isento")),IF(B2173="EU-ENV-011",IF(INDEX(tbl_familias_ppwr[Metais_Pesados_Evidencia],MATCH(INDEX(tbl_recyclass[Familia_PPWR],MATCH(A2173,tbl_recyclass[ProductId],0)),tbl_familias_ppwr[ID_Familia],0))="Em falta","Lacuna","Conforme"),IF(B2173="EU-ENV-013",IF(INDEX(tbl_familias_ppwr[Declaracao_UE],MATCH(INDEX(tbl_recyclass[Familia_PPWR],MATCH(A2173,tbl_recyclass[ProductId],0)),tbl_familias_ppwr[ID_Familia],0))="Sim","Conforme","Lacuna"),G2173)))),G2173))</f>
        <v>Conforme</v>
      </c>
      <c r="I2173" s="33" t="str">
        <f t="shared" si="33"/>
        <v>Conforme</v>
      </c>
      <c r="J2173" s="26" t="s">
        <v>1244</v>
      </c>
    </row>
    <row r="2174" spans="1:10" ht="16.05" customHeight="1" x14ac:dyDescent="0.3">
      <c r="A2174" s="26" t="s">
        <v>837</v>
      </c>
      <c r="B2174" s="26" t="s">
        <v>1252</v>
      </c>
      <c r="C2174" s="33" t="str">
        <f>IFERROR(INDEX(tbl_requisitos_emb[Tema],MATCH(B2174,tbl_requisitos_emb[ID_Req],0)),"")</f>
        <v>Medicamentos de uso humano</v>
      </c>
      <c r="D2174" s="33" t="str">
        <f>IFERROR(INDEX(tbl_recyclass[Segmento],MATCH(A2174,tbl_recyclass[ProductId],0)),"")</f>
        <v>Cosmética e higiene pessoal</v>
      </c>
      <c r="E2174" s="26" t="s">
        <v>904</v>
      </c>
      <c r="F2174" s="26" t="s">
        <v>1451</v>
      </c>
      <c r="G2174" s="26" t="s">
        <v>1143</v>
      </c>
      <c r="H2174" s="33" t="str">
        <f>IF(E2174="Não","Não aplicável",IFERROR(IF(B2174="EU-ENV-002",IF(INDEX(tbl_recyclass[Conforme_PPWR_2030],MATCH(A2174,tbl_recyclass[ProductId],0))="Sim","Conforme (autoavaliação)",IF(INDEX(tbl_recyclass[Conforme_PPWR_2030],MATCH(A2174,tbl_recyclass[ProductId],0))="Não","Não conforme em 2030","Isento até 2035")),IF(B2174="EU-ENV-003",IF(INDEX(tbl_recyclass[Conforme_Art7_2030],MATCH(A2174,tbl_recyclass[ProductId],0))="Sim","Conforme (meta 2030)",IF(INDEX(tbl_recyclass[Conforme_Art7_2030],MATCH(A2174,tbl_recyclass[ProductId],0))="Não","Lacuna face à meta 2030","Isento")),IF(B2174="EU-ENV-011",IF(INDEX(tbl_familias_ppwr[Metais_Pesados_Evidencia],MATCH(INDEX(tbl_recyclass[Familia_PPWR],MATCH(A2174,tbl_recyclass[ProductId],0)),tbl_familias_ppwr[ID_Familia],0))="Em falta","Lacuna","Conforme"),IF(B2174="EU-ENV-013",IF(INDEX(tbl_familias_ppwr[Declaracao_UE],MATCH(INDEX(tbl_recyclass[Familia_PPWR],MATCH(A2174,tbl_recyclass[ProductId],0)),tbl_familias_ppwr[ID_Familia],0))="Sim","Conforme","Lacuna"),G2174)))),G2174))</f>
        <v>Não aplicável</v>
      </c>
      <c r="I2174" s="33" t="str">
        <f t="shared" si="33"/>
        <v>Não aplicável</v>
      </c>
      <c r="J2174" s="26"/>
    </row>
    <row r="2175" spans="1:10" ht="16.05" customHeight="1" x14ac:dyDescent="0.3">
      <c r="A2175" s="26" t="s">
        <v>837</v>
      </c>
      <c r="B2175" s="26" t="s">
        <v>1268</v>
      </c>
      <c r="C2175" s="33" t="str">
        <f>IFERROR(INDEX(tbl_requisitos_emb[Tema],MATCH(B2175,tbl_requisitos_emb[ID_Req],0)),"")</f>
        <v>Dispositivos de segurança</v>
      </c>
      <c r="D2175" s="33" t="str">
        <f>IFERROR(INDEX(tbl_recyclass[Segmento],MATCH(A2175,tbl_recyclass[ProductId],0)),"")</f>
        <v>Cosmética e higiene pessoal</v>
      </c>
      <c r="E2175" s="26" t="s">
        <v>904</v>
      </c>
      <c r="F2175" s="26" t="s">
        <v>1451</v>
      </c>
      <c r="G2175" s="26" t="s">
        <v>1143</v>
      </c>
      <c r="H2175" s="33" t="str">
        <f>IF(E2175="Não","Não aplicável",IFERROR(IF(B2175="EU-ENV-002",IF(INDEX(tbl_recyclass[Conforme_PPWR_2030],MATCH(A2175,tbl_recyclass[ProductId],0))="Sim","Conforme (autoavaliação)",IF(INDEX(tbl_recyclass[Conforme_PPWR_2030],MATCH(A2175,tbl_recyclass[ProductId],0))="Não","Não conforme em 2030","Isento até 2035")),IF(B2175="EU-ENV-003",IF(INDEX(tbl_recyclass[Conforme_Art7_2030],MATCH(A2175,tbl_recyclass[ProductId],0))="Sim","Conforme (meta 2030)",IF(INDEX(tbl_recyclass[Conforme_Art7_2030],MATCH(A2175,tbl_recyclass[ProductId],0))="Não","Lacuna face à meta 2030","Isento")),IF(B2175="EU-ENV-011",IF(INDEX(tbl_familias_ppwr[Metais_Pesados_Evidencia],MATCH(INDEX(tbl_recyclass[Familia_PPWR],MATCH(A2175,tbl_recyclass[ProductId],0)),tbl_familias_ppwr[ID_Familia],0))="Em falta","Lacuna","Conforme"),IF(B2175="EU-ENV-013",IF(INDEX(tbl_familias_ppwr[Declaracao_UE],MATCH(INDEX(tbl_recyclass[Familia_PPWR],MATCH(A2175,tbl_recyclass[ProductId],0)),tbl_familias_ppwr[ID_Familia],0))="Sim","Conforme","Lacuna"),G2175)))),G2175))</f>
        <v>Não aplicável</v>
      </c>
      <c r="I2175" s="33" t="str">
        <f t="shared" si="33"/>
        <v>Não aplicável</v>
      </c>
      <c r="J2175" s="26"/>
    </row>
    <row r="2176" spans="1:10" ht="16.05" customHeight="1" x14ac:dyDescent="0.3">
      <c r="A2176" s="26" t="s">
        <v>837</v>
      </c>
      <c r="B2176" s="26" t="s">
        <v>1285</v>
      </c>
      <c r="C2176" s="33" t="str">
        <f>IFERROR(INDEX(tbl_requisitos_emb[Tema],MATCH(B2176,tbl_requisitos_emb[ID_Req],0)),"")</f>
        <v>Materiais plásticos de acondicionamento primário</v>
      </c>
      <c r="D2176" s="33" t="str">
        <f>IFERROR(INDEX(tbl_recyclass[Segmento],MATCH(A2176,tbl_recyclass[ProductId],0)),"")</f>
        <v>Cosmética e higiene pessoal</v>
      </c>
      <c r="E2176" s="26" t="s">
        <v>904</v>
      </c>
      <c r="F2176" s="26" t="s">
        <v>1451</v>
      </c>
      <c r="G2176" s="26" t="s">
        <v>1143</v>
      </c>
      <c r="H2176" s="33" t="str">
        <f>IF(E2176="Não","Não aplicável",IFERROR(IF(B2176="EU-ENV-002",IF(INDEX(tbl_recyclass[Conforme_PPWR_2030],MATCH(A2176,tbl_recyclass[ProductId],0))="Sim","Conforme (autoavaliação)",IF(INDEX(tbl_recyclass[Conforme_PPWR_2030],MATCH(A2176,tbl_recyclass[ProductId],0))="Não","Não conforme em 2030","Isento até 2035")),IF(B2176="EU-ENV-003",IF(INDEX(tbl_recyclass[Conforme_Art7_2030],MATCH(A2176,tbl_recyclass[ProductId],0))="Sim","Conforme (meta 2030)",IF(INDEX(tbl_recyclass[Conforme_Art7_2030],MATCH(A2176,tbl_recyclass[ProductId],0))="Não","Lacuna face à meta 2030","Isento")),IF(B2176="EU-ENV-011",IF(INDEX(tbl_familias_ppwr[Metais_Pesados_Evidencia],MATCH(INDEX(tbl_recyclass[Familia_PPWR],MATCH(A2176,tbl_recyclass[ProductId],0)),tbl_familias_ppwr[ID_Familia],0))="Em falta","Lacuna","Conforme"),IF(B2176="EU-ENV-013",IF(INDEX(tbl_familias_ppwr[Declaracao_UE],MATCH(INDEX(tbl_recyclass[Familia_PPWR],MATCH(A2176,tbl_recyclass[ProductId],0)),tbl_familias_ppwr[ID_Familia],0))="Sim","Conforme","Lacuna"),G2176)))),G2176))</f>
        <v>Não aplicável</v>
      </c>
      <c r="I2176" s="33" t="str">
        <f t="shared" si="33"/>
        <v>Não aplicável</v>
      </c>
      <c r="J2176" s="26"/>
    </row>
    <row r="2177" spans="1:10" ht="16.05" customHeight="1" x14ac:dyDescent="0.3">
      <c r="A2177" s="26" t="s">
        <v>837</v>
      </c>
      <c r="B2177" s="26" t="s">
        <v>1293</v>
      </c>
      <c r="C2177" s="33" t="str">
        <f>IFERROR(INDEX(tbl_requisitos_emb[Tema],MATCH(B2177,tbl_requisitos_emb[ID_Req],0)),"")</f>
        <v>Isenções PPWR</v>
      </c>
      <c r="D2177" s="33" t="str">
        <f>IFERROR(INDEX(tbl_recyclass[Segmento],MATCH(A2177,tbl_recyclass[ProductId],0)),"")</f>
        <v>Cosmética e higiene pessoal</v>
      </c>
      <c r="E2177" s="26" t="s">
        <v>904</v>
      </c>
      <c r="F2177" s="26" t="s">
        <v>1451</v>
      </c>
      <c r="G2177" s="26" t="s">
        <v>1143</v>
      </c>
      <c r="H2177" s="33" t="str">
        <f>IF(E2177="Não","Não aplicável",IFERROR(IF(B2177="EU-ENV-002",IF(INDEX(tbl_recyclass[Conforme_PPWR_2030],MATCH(A2177,tbl_recyclass[ProductId],0))="Sim","Conforme (autoavaliação)",IF(INDEX(tbl_recyclass[Conforme_PPWR_2030],MATCH(A2177,tbl_recyclass[ProductId],0))="Não","Não conforme em 2030","Isento até 2035")),IF(B2177="EU-ENV-003",IF(INDEX(tbl_recyclass[Conforme_Art7_2030],MATCH(A2177,tbl_recyclass[ProductId],0))="Sim","Conforme (meta 2030)",IF(INDEX(tbl_recyclass[Conforme_Art7_2030],MATCH(A2177,tbl_recyclass[ProductId],0))="Não","Lacuna face à meta 2030","Isento")),IF(B2177="EU-ENV-011",IF(INDEX(tbl_familias_ppwr[Metais_Pesados_Evidencia],MATCH(INDEX(tbl_recyclass[Familia_PPWR],MATCH(A2177,tbl_recyclass[ProductId],0)),tbl_familias_ppwr[ID_Familia],0))="Em falta","Lacuna","Conforme"),IF(B2177="EU-ENV-013",IF(INDEX(tbl_familias_ppwr[Declaracao_UE],MATCH(INDEX(tbl_recyclass[Familia_PPWR],MATCH(A2177,tbl_recyclass[ProductId],0)),tbl_familias_ppwr[ID_Familia],0))="Sim","Conforme","Lacuna"),G2177)))),G2177))</f>
        <v>Não aplicável</v>
      </c>
      <c r="I2177" s="33" t="str">
        <f t="shared" si="33"/>
        <v>Não aplicável</v>
      </c>
      <c r="J2177" s="26"/>
    </row>
    <row r="2178" spans="1:10" ht="16.05" customHeight="1" x14ac:dyDescent="0.3">
      <c r="A2178" s="26" t="s">
        <v>837</v>
      </c>
      <c r="B2178" s="26" t="s">
        <v>1357</v>
      </c>
      <c r="C2178" s="33" t="str">
        <f>IFERROR(INDEX(tbl_requisitos_emb[Tema],MATCH(B2178,tbl_requisitos_emb[ID_Req],0)),"")</f>
        <v>Identificação de plásticos</v>
      </c>
      <c r="D2178" s="33" t="str">
        <f>IFERROR(INDEX(tbl_recyclass[Segmento],MATCH(A2178,tbl_recyclass[ProductId],0)),"")</f>
        <v>Cosmética e higiene pessoal</v>
      </c>
      <c r="E2178" s="26" t="s">
        <v>901</v>
      </c>
      <c r="F2178" s="26" t="s">
        <v>1449</v>
      </c>
      <c r="G2178" s="26" t="s">
        <v>978</v>
      </c>
      <c r="H2178" s="33" t="str">
        <f>IF(E2178="Não","Não aplicável",IFERROR(IF(B2178="EU-ENV-002",IF(INDEX(tbl_recyclass[Conforme_PPWR_2030],MATCH(A2178,tbl_recyclass[ProductId],0))="Sim","Conforme (autoavaliação)",IF(INDEX(tbl_recyclass[Conforme_PPWR_2030],MATCH(A2178,tbl_recyclass[ProductId],0))="Não","Não conforme em 2030","Isento até 2035")),IF(B2178="EU-ENV-003",IF(INDEX(tbl_recyclass[Conforme_Art7_2030],MATCH(A2178,tbl_recyclass[ProductId],0))="Sim","Conforme (meta 2030)",IF(INDEX(tbl_recyclass[Conforme_Art7_2030],MATCH(A2178,tbl_recyclass[ProductId],0))="Não","Lacuna face à meta 2030","Isento")),IF(B2178="EU-ENV-011",IF(INDEX(tbl_familias_ppwr[Metais_Pesados_Evidencia],MATCH(INDEX(tbl_recyclass[Familia_PPWR],MATCH(A2178,tbl_recyclass[ProductId],0)),tbl_familias_ppwr[ID_Familia],0))="Em falta","Lacuna","Conforme"),IF(B2178="EU-ENV-013",IF(INDEX(tbl_familias_ppwr[Declaracao_UE],MATCH(INDEX(tbl_recyclass[Familia_PPWR],MATCH(A2178,tbl_recyclass[ProductId],0)),tbl_familias_ppwr[ID_Familia],0))="Sim","Conforme","Lacuna"),G2178)))),G2178))</f>
        <v>Parcial</v>
      </c>
      <c r="I2178" s="33" t="str">
        <f t="shared" ref="I2178:I2241" si="34">IF(ISNUMBER(SEARCH("Não aplicável",H2178)),"Não aplicável",IF(ISNUMBER(SEARCH("Isento",H2178)),"Isento",IF(ISNUMBER(SEARCH("Não conforme",H2178)),"Não conforme",IF(ISNUMBER(SEARCH("Lacuna",H2178)),"Lacuna",IF(ISNUMBER(SEARCH("Conforme",H2178)),"Conforme",H2178)))))</f>
        <v>Parcial</v>
      </c>
      <c r="J2178" s="26" t="s">
        <v>1362</v>
      </c>
    </row>
    <row r="2179" spans="1:10" ht="16.05" customHeight="1" x14ac:dyDescent="0.3">
      <c r="A2179" s="26" t="s">
        <v>837</v>
      </c>
      <c r="B2179" s="26" t="s">
        <v>1385</v>
      </c>
      <c r="C2179" s="33" t="str">
        <f>IFERROR(INDEX(tbl_requisitos_emb[Tema],MATCH(B2179,tbl_requisitos_emb[ID_Req],0)),"")</f>
        <v>Reciclabilidade (voluntária)</v>
      </c>
      <c r="D2179" s="33" t="str">
        <f>IFERROR(INDEX(tbl_recyclass[Segmento],MATCH(A2179,tbl_recyclass[ProductId],0)),"")</f>
        <v>Cosmética e higiene pessoal</v>
      </c>
      <c r="E2179" s="26" t="s">
        <v>901</v>
      </c>
      <c r="F2179" s="26" t="s">
        <v>1449</v>
      </c>
      <c r="G2179" s="26" t="s">
        <v>978</v>
      </c>
      <c r="H2179" s="33" t="str">
        <f>IF(E2179="Não","Não aplicável",IFERROR(IF(B2179="EU-ENV-002",IF(INDEX(tbl_recyclass[Conforme_PPWR_2030],MATCH(A2179,tbl_recyclass[ProductId],0))="Sim","Conforme (autoavaliação)",IF(INDEX(tbl_recyclass[Conforme_PPWR_2030],MATCH(A2179,tbl_recyclass[ProductId],0))="Não","Não conforme em 2030","Isento até 2035")),IF(B2179="EU-ENV-003",IF(INDEX(tbl_recyclass[Conforme_Art7_2030],MATCH(A2179,tbl_recyclass[ProductId],0))="Sim","Conforme (meta 2030)",IF(INDEX(tbl_recyclass[Conforme_Art7_2030],MATCH(A2179,tbl_recyclass[ProductId],0))="Não","Lacuna face à meta 2030","Isento")),IF(B2179="EU-ENV-011",IF(INDEX(tbl_familias_ppwr[Metais_Pesados_Evidencia],MATCH(INDEX(tbl_recyclass[Familia_PPWR],MATCH(A2179,tbl_recyclass[ProductId],0)),tbl_familias_ppwr[ID_Familia],0))="Em falta","Lacuna","Conforme"),IF(B2179="EU-ENV-013",IF(INDEX(tbl_familias_ppwr[Declaracao_UE],MATCH(INDEX(tbl_recyclass[Familia_PPWR],MATCH(A2179,tbl_recyclass[ProductId],0)),tbl_familias_ppwr[ID_Familia],0))="Sim","Conforme","Lacuna"),G2179)))),G2179))</f>
        <v>Parcial</v>
      </c>
      <c r="I2179" s="33" t="str">
        <f t="shared" si="34"/>
        <v>Parcial</v>
      </c>
      <c r="J2179" s="26" t="s">
        <v>1389</v>
      </c>
    </row>
    <row r="2180" spans="1:10" ht="16.05" customHeight="1" x14ac:dyDescent="0.3">
      <c r="A2180" s="26" t="s">
        <v>839</v>
      </c>
      <c r="B2180" s="26" t="s">
        <v>984</v>
      </c>
      <c r="C2180" s="33" t="str">
        <f>IFERROR(INDEX(tbl_requisitos_emb[Tema],MATCH(B2180,tbl_requisitos_emb[ID_Req],0)),"")</f>
        <v>Conceção para reciclagem</v>
      </c>
      <c r="D2180" s="33" t="str">
        <f>IFERROR(INDEX(tbl_recyclass[Segmento],MATCH(A2180,tbl_recyclass[ProductId],0)),"")</f>
        <v>Cosmética e higiene pessoal</v>
      </c>
      <c r="E2180" s="26" t="s">
        <v>901</v>
      </c>
      <c r="F2180" s="26" t="s">
        <v>1449</v>
      </c>
      <c r="G2180" s="26" t="s">
        <v>978</v>
      </c>
      <c r="H2180" s="33" t="str">
        <f>IF(E2180="Não","Não aplicável",IFERROR(IF(B2180="EU-ENV-002",IF(INDEX(tbl_recyclass[Conforme_PPWR_2030],MATCH(A2180,tbl_recyclass[ProductId],0))="Sim","Conforme (autoavaliação)",IF(INDEX(tbl_recyclass[Conforme_PPWR_2030],MATCH(A2180,tbl_recyclass[ProductId],0))="Não","Não conforme em 2030","Isento até 2035")),IF(B2180="EU-ENV-003",IF(INDEX(tbl_recyclass[Conforme_Art7_2030],MATCH(A2180,tbl_recyclass[ProductId],0))="Sim","Conforme (meta 2030)",IF(INDEX(tbl_recyclass[Conforme_Art7_2030],MATCH(A2180,tbl_recyclass[ProductId],0))="Não","Lacuna face à meta 2030","Isento")),IF(B2180="EU-ENV-011",IF(INDEX(tbl_familias_ppwr[Metais_Pesados_Evidencia],MATCH(INDEX(tbl_recyclass[Familia_PPWR],MATCH(A2180,tbl_recyclass[ProductId],0)),tbl_familias_ppwr[ID_Familia],0))="Em falta","Lacuna","Conforme"),IF(B2180="EU-ENV-013",IF(INDEX(tbl_familias_ppwr[Declaracao_UE],MATCH(INDEX(tbl_recyclass[Familia_PPWR],MATCH(A2180,tbl_recyclass[ProductId],0)),tbl_familias_ppwr[ID_Familia],0))="Sim","Conforme","Lacuna"),G2180)))),G2180))</f>
        <v>Não conforme em 2030</v>
      </c>
      <c r="I2180" s="33" t="str">
        <f t="shared" si="34"/>
        <v>Não conforme</v>
      </c>
      <c r="J2180" s="26" t="s">
        <v>991</v>
      </c>
    </row>
    <row r="2181" spans="1:10" ht="16.05" customHeight="1" x14ac:dyDescent="0.3">
      <c r="A2181" s="26" t="s">
        <v>839</v>
      </c>
      <c r="B2181" s="26" t="s">
        <v>997</v>
      </c>
      <c r="C2181" s="33" t="str">
        <f>IFERROR(INDEX(tbl_requisitos_emb[Tema],MATCH(B2181,tbl_requisitos_emb[ID_Req],0)),"")</f>
        <v>Conteúdo reciclado</v>
      </c>
      <c r="D2181" s="33" t="str">
        <f>IFERROR(INDEX(tbl_recyclass[Segmento],MATCH(A2181,tbl_recyclass[ProductId],0)),"")</f>
        <v>Cosmética e higiene pessoal</v>
      </c>
      <c r="E2181" s="26" t="s">
        <v>901</v>
      </c>
      <c r="F2181" s="26" t="s">
        <v>1449</v>
      </c>
      <c r="G2181" s="26" t="s">
        <v>978</v>
      </c>
      <c r="H2181" s="33" t="str">
        <f>IF(E2181="Não","Não aplicável",IFERROR(IF(B2181="EU-ENV-002",IF(INDEX(tbl_recyclass[Conforme_PPWR_2030],MATCH(A2181,tbl_recyclass[ProductId],0))="Sim","Conforme (autoavaliação)",IF(INDEX(tbl_recyclass[Conforme_PPWR_2030],MATCH(A2181,tbl_recyclass[ProductId],0))="Não","Não conforme em 2030","Isento até 2035")),IF(B2181="EU-ENV-003",IF(INDEX(tbl_recyclass[Conforme_Art7_2030],MATCH(A2181,tbl_recyclass[ProductId],0))="Sim","Conforme (meta 2030)",IF(INDEX(tbl_recyclass[Conforme_Art7_2030],MATCH(A2181,tbl_recyclass[ProductId],0))="Não","Lacuna face à meta 2030","Isento")),IF(B2181="EU-ENV-011",IF(INDEX(tbl_familias_ppwr[Metais_Pesados_Evidencia],MATCH(INDEX(tbl_recyclass[Familia_PPWR],MATCH(A2181,tbl_recyclass[ProductId],0)),tbl_familias_ppwr[ID_Familia],0))="Em falta","Lacuna","Conforme"),IF(B2181="EU-ENV-013",IF(INDEX(tbl_familias_ppwr[Declaracao_UE],MATCH(INDEX(tbl_recyclass[Familia_PPWR],MATCH(A2181,tbl_recyclass[ProductId],0)),tbl_familias_ppwr[ID_Familia],0))="Sim","Conforme","Lacuna"),G2181)))),G2181))</f>
        <v>Lacuna face à meta 2030</v>
      </c>
      <c r="I2181" s="33" t="str">
        <f t="shared" si="34"/>
        <v>Lacuna</v>
      </c>
      <c r="J2181" s="26" t="s">
        <v>1001</v>
      </c>
    </row>
    <row r="2182" spans="1:10" ht="16.05" customHeight="1" x14ac:dyDescent="0.3">
      <c r="A2182" s="26" t="s">
        <v>839</v>
      </c>
      <c r="B2182" s="26" t="s">
        <v>1007</v>
      </c>
      <c r="C2182" s="33" t="str">
        <f>IFERROR(INDEX(tbl_requisitos_emb[Tema],MATCH(B2182,tbl_requisitos_emb[ID_Req],0)),"")</f>
        <v>Minimização</v>
      </c>
      <c r="D2182" s="33" t="str">
        <f>IFERROR(INDEX(tbl_recyclass[Segmento],MATCH(A2182,tbl_recyclass[ProductId],0)),"")</f>
        <v>Cosmética e higiene pessoal</v>
      </c>
      <c r="E2182" s="26" t="s">
        <v>901</v>
      </c>
      <c r="F2182" s="26" t="s">
        <v>1449</v>
      </c>
      <c r="G2182" s="26" t="s">
        <v>978</v>
      </c>
      <c r="H2182" s="33" t="str">
        <f>IF(E2182="Não","Não aplicável",IFERROR(IF(B2182="EU-ENV-002",IF(INDEX(tbl_recyclass[Conforme_PPWR_2030],MATCH(A2182,tbl_recyclass[ProductId],0))="Sim","Conforme (autoavaliação)",IF(INDEX(tbl_recyclass[Conforme_PPWR_2030],MATCH(A2182,tbl_recyclass[ProductId],0))="Não","Não conforme em 2030","Isento até 2035")),IF(B2182="EU-ENV-003",IF(INDEX(tbl_recyclass[Conforme_Art7_2030],MATCH(A2182,tbl_recyclass[ProductId],0))="Sim","Conforme (meta 2030)",IF(INDEX(tbl_recyclass[Conforme_Art7_2030],MATCH(A2182,tbl_recyclass[ProductId],0))="Não","Lacuna face à meta 2030","Isento")),IF(B2182="EU-ENV-011",IF(INDEX(tbl_familias_ppwr[Metais_Pesados_Evidencia],MATCH(INDEX(tbl_recyclass[Familia_PPWR],MATCH(A2182,tbl_recyclass[ProductId],0)),tbl_familias_ppwr[ID_Familia],0))="Em falta","Lacuna","Conforme"),IF(B2182="EU-ENV-013",IF(INDEX(tbl_familias_ppwr[Declaracao_UE],MATCH(INDEX(tbl_recyclass[Familia_PPWR],MATCH(A2182,tbl_recyclass[ProductId],0)),tbl_familias_ppwr[ID_Familia],0))="Sim","Conforme","Lacuna"),G2182)))),G2182))</f>
        <v>Parcial</v>
      </c>
      <c r="I2182" s="33" t="str">
        <f t="shared" si="34"/>
        <v>Parcial</v>
      </c>
      <c r="J2182" s="26" t="s">
        <v>1012</v>
      </c>
    </row>
    <row r="2183" spans="1:10" ht="16.05" customHeight="1" x14ac:dyDescent="0.3">
      <c r="A2183" s="26" t="s">
        <v>839</v>
      </c>
      <c r="B2183" s="26" t="s">
        <v>1016</v>
      </c>
      <c r="C2183" s="33" t="str">
        <f>IFERROR(INDEX(tbl_requisitos_emb[Tema],MATCH(B2183,tbl_requisitos_emb[ID_Req],0)),"")</f>
        <v>Rotulagem</v>
      </c>
      <c r="D2183" s="33" t="str">
        <f>IFERROR(INDEX(tbl_recyclass[Segmento],MATCH(A2183,tbl_recyclass[ProductId],0)),"")</f>
        <v>Cosmética e higiene pessoal</v>
      </c>
      <c r="E2183" s="26" t="s">
        <v>901</v>
      </c>
      <c r="F2183" s="26" t="s">
        <v>1449</v>
      </c>
      <c r="G2183" s="26" t="s">
        <v>990</v>
      </c>
      <c r="H2183" s="33" t="str">
        <f>IF(E2183="Não","Não aplicável",IFERROR(IF(B2183="EU-ENV-002",IF(INDEX(tbl_recyclass[Conforme_PPWR_2030],MATCH(A2183,tbl_recyclass[ProductId],0))="Sim","Conforme (autoavaliação)",IF(INDEX(tbl_recyclass[Conforme_PPWR_2030],MATCH(A2183,tbl_recyclass[ProductId],0))="Não","Não conforme em 2030","Isento até 2035")),IF(B2183="EU-ENV-003",IF(INDEX(tbl_recyclass[Conforme_Art7_2030],MATCH(A2183,tbl_recyclass[ProductId],0))="Sim","Conforme (meta 2030)",IF(INDEX(tbl_recyclass[Conforme_Art7_2030],MATCH(A2183,tbl_recyclass[ProductId],0))="Não","Lacuna face à meta 2030","Isento")),IF(B2183="EU-ENV-011",IF(INDEX(tbl_familias_ppwr[Metais_Pesados_Evidencia],MATCH(INDEX(tbl_recyclass[Familia_PPWR],MATCH(A2183,tbl_recyclass[ProductId],0)),tbl_familias_ppwr[ID_Familia],0))="Em falta","Lacuna","Conforme"),IF(B2183="EU-ENV-013",IF(INDEX(tbl_familias_ppwr[Declaracao_UE],MATCH(INDEX(tbl_recyclass[Familia_PPWR],MATCH(A2183,tbl_recyclass[ProductId],0)),tbl_familias_ppwr[ID_Familia],0))="Sim","Conforme","Lacuna"),G2183)))),G2183))</f>
        <v>Futuro</v>
      </c>
      <c r="I2183" s="33" t="str">
        <f t="shared" si="34"/>
        <v>Futuro</v>
      </c>
      <c r="J2183" s="26" t="s">
        <v>1021</v>
      </c>
    </row>
    <row r="2184" spans="1:10" ht="16.05" customHeight="1" x14ac:dyDescent="0.3">
      <c r="A2184" s="26" t="s">
        <v>839</v>
      </c>
      <c r="B2184" s="26" t="s">
        <v>1038</v>
      </c>
      <c r="C2184" s="33" t="str">
        <f>IFERROR(INDEX(tbl_requisitos_emb[Tema],MATCH(B2184,tbl_requisitos_emb[ID_Req],0)),"")</f>
        <v>Plásticos de utilização única</v>
      </c>
      <c r="D2184" s="33" t="str">
        <f>IFERROR(INDEX(tbl_recyclass[Segmento],MATCH(A2184,tbl_recyclass[ProductId],0)),"")</f>
        <v>Cosmética e higiene pessoal</v>
      </c>
      <c r="E2184" s="26" t="s">
        <v>904</v>
      </c>
      <c r="F2184" s="26" t="s">
        <v>1450</v>
      </c>
      <c r="G2184" s="26" t="s">
        <v>1143</v>
      </c>
      <c r="H2184" s="33" t="str">
        <f>IF(E2184="Não","Não aplicável",IFERROR(IF(B2184="EU-ENV-002",IF(INDEX(tbl_recyclass[Conforme_PPWR_2030],MATCH(A2184,tbl_recyclass[ProductId],0))="Sim","Conforme (autoavaliação)",IF(INDEX(tbl_recyclass[Conforme_PPWR_2030],MATCH(A2184,tbl_recyclass[ProductId],0))="Não","Não conforme em 2030","Isento até 2035")),IF(B2184="EU-ENV-003",IF(INDEX(tbl_recyclass[Conforme_Art7_2030],MATCH(A2184,tbl_recyclass[ProductId],0))="Sim","Conforme (meta 2030)",IF(INDEX(tbl_recyclass[Conforme_Art7_2030],MATCH(A2184,tbl_recyclass[ProductId],0))="Não","Lacuna face à meta 2030","Isento")),IF(B2184="EU-ENV-011",IF(INDEX(tbl_familias_ppwr[Metais_Pesados_Evidencia],MATCH(INDEX(tbl_recyclass[Familia_PPWR],MATCH(A2184,tbl_recyclass[ProductId],0)),tbl_familias_ppwr[ID_Familia],0))="Em falta","Lacuna","Conforme"),IF(B2184="EU-ENV-013",IF(INDEX(tbl_familias_ppwr[Declaracao_UE],MATCH(INDEX(tbl_recyclass[Familia_PPWR],MATCH(A2184,tbl_recyclass[ProductId],0)),tbl_familias_ppwr[ID_Familia],0))="Sim","Conforme","Lacuna"),G2184)))),G2184))</f>
        <v>Não aplicável</v>
      </c>
      <c r="I2184" s="33" t="str">
        <f t="shared" si="34"/>
        <v>Não aplicável</v>
      </c>
      <c r="J2184" s="26"/>
    </row>
    <row r="2185" spans="1:10" ht="16.05" customHeight="1" x14ac:dyDescent="0.3">
      <c r="A2185" s="26" t="s">
        <v>839</v>
      </c>
      <c r="B2185" s="26" t="s">
        <v>1078</v>
      </c>
      <c r="C2185" s="33" t="str">
        <f>IFERROR(INDEX(tbl_requisitos_emb[Tema],MATCH(B2185,tbl_requisitos_emb[ID_Req],0)),"")</f>
        <v>Reciclado à escala</v>
      </c>
      <c r="D2185" s="33" t="str">
        <f>IFERROR(INDEX(tbl_recyclass[Segmento],MATCH(A2185,tbl_recyclass[ProductId],0)),"")</f>
        <v>Cosmética e higiene pessoal</v>
      </c>
      <c r="E2185" s="26" t="s">
        <v>901</v>
      </c>
      <c r="F2185" s="26" t="s">
        <v>1449</v>
      </c>
      <c r="G2185" s="26" t="s">
        <v>990</v>
      </c>
      <c r="H2185" s="33" t="str">
        <f>IF(E2185="Não","Não aplicável",IFERROR(IF(B2185="EU-ENV-002",IF(INDEX(tbl_recyclass[Conforme_PPWR_2030],MATCH(A2185,tbl_recyclass[ProductId],0))="Sim","Conforme (autoavaliação)",IF(INDEX(tbl_recyclass[Conforme_PPWR_2030],MATCH(A2185,tbl_recyclass[ProductId],0))="Não","Não conforme em 2030","Isento até 2035")),IF(B2185="EU-ENV-003",IF(INDEX(tbl_recyclass[Conforme_Art7_2030],MATCH(A2185,tbl_recyclass[ProductId],0))="Sim","Conforme (meta 2030)",IF(INDEX(tbl_recyclass[Conforme_Art7_2030],MATCH(A2185,tbl_recyclass[ProductId],0))="Não","Lacuna face à meta 2030","Isento")),IF(B2185="EU-ENV-011",IF(INDEX(tbl_familias_ppwr[Metais_Pesados_Evidencia],MATCH(INDEX(tbl_recyclass[Familia_PPWR],MATCH(A2185,tbl_recyclass[ProductId],0)),tbl_familias_ppwr[ID_Familia],0))="Em falta","Lacuna","Conforme"),IF(B2185="EU-ENV-013",IF(INDEX(tbl_familias_ppwr[Declaracao_UE],MATCH(INDEX(tbl_recyclass[Familia_PPWR],MATCH(A2185,tbl_recyclass[ProductId],0)),tbl_familias_ppwr[ID_Familia],0))="Sim","Conforme","Lacuna"),G2185)))),G2185))</f>
        <v>Futuro</v>
      </c>
      <c r="I2185" s="33" t="str">
        <f t="shared" si="34"/>
        <v>Futuro</v>
      </c>
      <c r="J2185" s="26" t="s">
        <v>1082</v>
      </c>
    </row>
    <row r="2186" spans="1:10" ht="16.05" customHeight="1" x14ac:dyDescent="0.3">
      <c r="A2186" s="26" t="s">
        <v>839</v>
      </c>
      <c r="B2186" s="26" t="s">
        <v>1086</v>
      </c>
      <c r="C2186" s="33" t="str">
        <f>IFERROR(INDEX(tbl_requisitos_emb[Tema],MATCH(B2186,tbl_requisitos_emb[ID_Req],0)),"")</f>
        <v>Metais pesados</v>
      </c>
      <c r="D2186" s="33" t="str">
        <f>IFERROR(INDEX(tbl_recyclass[Segmento],MATCH(A2186,tbl_recyclass[ProductId],0)),"")</f>
        <v>Cosmética e higiene pessoal</v>
      </c>
      <c r="E2186" s="26" t="s">
        <v>901</v>
      </c>
      <c r="F2186" s="26" t="s">
        <v>1449</v>
      </c>
      <c r="G2186" s="26" t="s">
        <v>978</v>
      </c>
      <c r="H2186" s="33" t="str">
        <f>IF(E2186="Não","Não aplicável",IFERROR(IF(B2186="EU-ENV-002",IF(INDEX(tbl_recyclass[Conforme_PPWR_2030],MATCH(A2186,tbl_recyclass[ProductId],0))="Sim","Conforme (autoavaliação)",IF(INDEX(tbl_recyclass[Conforme_PPWR_2030],MATCH(A2186,tbl_recyclass[ProductId],0))="Não","Não conforme em 2030","Isento até 2035")),IF(B2186="EU-ENV-003",IF(INDEX(tbl_recyclass[Conforme_Art7_2030],MATCH(A2186,tbl_recyclass[ProductId],0))="Sim","Conforme (meta 2030)",IF(INDEX(tbl_recyclass[Conforme_Art7_2030],MATCH(A2186,tbl_recyclass[ProductId],0))="Não","Lacuna face à meta 2030","Isento")),IF(B2186="EU-ENV-011",IF(INDEX(tbl_familias_ppwr[Metais_Pesados_Evidencia],MATCH(INDEX(tbl_recyclass[Familia_PPWR],MATCH(A2186,tbl_recyclass[ProductId],0)),tbl_familias_ppwr[ID_Familia],0))="Em falta","Lacuna","Conforme"),IF(B2186="EU-ENV-013",IF(INDEX(tbl_familias_ppwr[Declaracao_UE],MATCH(INDEX(tbl_recyclass[Familia_PPWR],MATCH(A2186,tbl_recyclass[ProductId],0)),tbl_familias_ppwr[ID_Familia],0))="Sim","Conforme","Lacuna"),G2186)))),G2186))</f>
        <v>Conforme</v>
      </c>
      <c r="I2186" s="33" t="str">
        <f t="shared" si="34"/>
        <v>Conforme</v>
      </c>
      <c r="J2186" s="26" t="s">
        <v>1090</v>
      </c>
    </row>
    <row r="2187" spans="1:10" ht="16.05" customHeight="1" x14ac:dyDescent="0.3">
      <c r="A2187" s="26" t="s">
        <v>839</v>
      </c>
      <c r="B2187" s="26" t="s">
        <v>1094</v>
      </c>
      <c r="C2187" s="33" t="str">
        <f>IFERROR(INDEX(tbl_requisitos_emb[Tema],MATCH(B2187,tbl_requisitos_emb[ID_Req],0)),"")</f>
        <v>PFAS</v>
      </c>
      <c r="D2187" s="33" t="str">
        <f>IFERROR(INDEX(tbl_recyclass[Segmento],MATCH(A2187,tbl_recyclass[ProductId],0)),"")</f>
        <v>Cosmética e higiene pessoal</v>
      </c>
      <c r="E2187" s="26" t="s">
        <v>904</v>
      </c>
      <c r="F2187" s="26" t="s">
        <v>1450</v>
      </c>
      <c r="G2187" s="26" t="s">
        <v>1143</v>
      </c>
      <c r="H2187" s="33" t="str">
        <f>IF(E2187="Não","Não aplicável",IFERROR(IF(B2187="EU-ENV-002",IF(INDEX(tbl_recyclass[Conforme_PPWR_2030],MATCH(A2187,tbl_recyclass[ProductId],0))="Sim","Conforme (autoavaliação)",IF(INDEX(tbl_recyclass[Conforme_PPWR_2030],MATCH(A2187,tbl_recyclass[ProductId],0))="Não","Não conforme em 2030","Isento até 2035")),IF(B2187="EU-ENV-003",IF(INDEX(tbl_recyclass[Conforme_Art7_2030],MATCH(A2187,tbl_recyclass[ProductId],0))="Sim","Conforme (meta 2030)",IF(INDEX(tbl_recyclass[Conforme_Art7_2030],MATCH(A2187,tbl_recyclass[ProductId],0))="Não","Lacuna face à meta 2030","Isento")),IF(B2187="EU-ENV-011",IF(INDEX(tbl_familias_ppwr[Metais_Pesados_Evidencia],MATCH(INDEX(tbl_recyclass[Familia_PPWR],MATCH(A2187,tbl_recyclass[ProductId],0)),tbl_familias_ppwr[ID_Familia],0))="Em falta","Lacuna","Conforme"),IF(B2187="EU-ENV-013",IF(INDEX(tbl_familias_ppwr[Declaracao_UE],MATCH(INDEX(tbl_recyclass[Familia_PPWR],MATCH(A2187,tbl_recyclass[ProductId],0)),tbl_familias_ppwr[ID_Familia],0))="Sim","Conforme","Lacuna"),G2187)))),G2187))</f>
        <v>Não aplicável</v>
      </c>
      <c r="I2187" s="33" t="str">
        <f t="shared" si="34"/>
        <v>Não aplicável</v>
      </c>
      <c r="J2187" s="26"/>
    </row>
    <row r="2188" spans="1:10" ht="16.05" customHeight="1" x14ac:dyDescent="0.3">
      <c r="A2188" s="26" t="s">
        <v>839</v>
      </c>
      <c r="B2188" s="26" t="s">
        <v>1102</v>
      </c>
      <c r="C2188" s="33" t="str">
        <f>IFERROR(INDEX(tbl_requisitos_emb[Tema],MATCH(B2188,tbl_requisitos_emb[ID_Req],0)),"")</f>
        <v>Documentação técnica e declaração UE</v>
      </c>
      <c r="D2188" s="33" t="str">
        <f>IFERROR(INDEX(tbl_recyclass[Segmento],MATCH(A2188,tbl_recyclass[ProductId],0)),"")</f>
        <v>Cosmética e higiene pessoal</v>
      </c>
      <c r="E2188" s="26" t="s">
        <v>901</v>
      </c>
      <c r="F2188" s="26" t="s">
        <v>1449</v>
      </c>
      <c r="G2188" s="26" t="s">
        <v>978</v>
      </c>
      <c r="H2188" s="33" t="str">
        <f>IF(E2188="Não","Não aplicável",IFERROR(IF(B2188="EU-ENV-002",IF(INDEX(tbl_recyclass[Conforme_PPWR_2030],MATCH(A2188,tbl_recyclass[ProductId],0))="Sim","Conforme (autoavaliação)",IF(INDEX(tbl_recyclass[Conforme_PPWR_2030],MATCH(A2188,tbl_recyclass[ProductId],0))="Não","Não conforme em 2030","Isento até 2035")),IF(B2188="EU-ENV-003",IF(INDEX(tbl_recyclass[Conforme_Art7_2030],MATCH(A2188,tbl_recyclass[ProductId],0))="Sim","Conforme (meta 2030)",IF(INDEX(tbl_recyclass[Conforme_Art7_2030],MATCH(A2188,tbl_recyclass[ProductId],0))="Não","Lacuna face à meta 2030","Isento")),IF(B2188="EU-ENV-011",IF(INDEX(tbl_familias_ppwr[Metais_Pesados_Evidencia],MATCH(INDEX(tbl_recyclass[Familia_PPWR],MATCH(A2188,tbl_recyclass[ProductId],0)),tbl_familias_ppwr[ID_Familia],0))="Em falta","Lacuna","Conforme"),IF(B2188="EU-ENV-013",IF(INDEX(tbl_familias_ppwr[Declaracao_UE],MATCH(INDEX(tbl_recyclass[Familia_PPWR],MATCH(A2188,tbl_recyclass[ProductId],0)),tbl_familias_ppwr[ID_Familia],0))="Sim","Conforme","Lacuna"),G2188)))),G2188))</f>
        <v>Conforme</v>
      </c>
      <c r="I2188" s="33" t="str">
        <f t="shared" si="34"/>
        <v>Conforme</v>
      </c>
      <c r="J2188" s="26" t="s">
        <v>1106</v>
      </c>
    </row>
    <row r="2189" spans="1:10" ht="16.05" customHeight="1" x14ac:dyDescent="0.3">
      <c r="A2189" s="26" t="s">
        <v>839</v>
      </c>
      <c r="B2189" s="26" t="s">
        <v>1161</v>
      </c>
      <c r="C2189" s="33" t="str">
        <f>IFERROR(INDEX(tbl_requisitos_emb[Tema],MATCH(B2189,tbl_requisitos_emb[ID_Req],0)),"")</f>
        <v>Materiais em contacto com alimentos</v>
      </c>
      <c r="D2189" s="33" t="str">
        <f>IFERROR(INDEX(tbl_recyclass[Segmento],MATCH(A2189,tbl_recyclass[ProductId],0)),"")</f>
        <v>Cosmética e higiene pessoal</v>
      </c>
      <c r="E2189" s="26" t="s">
        <v>904</v>
      </c>
      <c r="F2189" s="26" t="s">
        <v>1450</v>
      </c>
      <c r="G2189" s="26" t="s">
        <v>1143</v>
      </c>
      <c r="H2189" s="33" t="str">
        <f>IF(E2189="Não","Não aplicável",IFERROR(IF(B2189="EU-ENV-002",IF(INDEX(tbl_recyclass[Conforme_PPWR_2030],MATCH(A2189,tbl_recyclass[ProductId],0))="Sim","Conforme (autoavaliação)",IF(INDEX(tbl_recyclass[Conforme_PPWR_2030],MATCH(A2189,tbl_recyclass[ProductId],0))="Não","Não conforme em 2030","Isento até 2035")),IF(B2189="EU-ENV-003",IF(INDEX(tbl_recyclass[Conforme_Art7_2030],MATCH(A2189,tbl_recyclass[ProductId],0))="Sim","Conforme (meta 2030)",IF(INDEX(tbl_recyclass[Conforme_Art7_2030],MATCH(A2189,tbl_recyclass[ProductId],0))="Não","Lacuna face à meta 2030","Isento")),IF(B2189="EU-ENV-011",IF(INDEX(tbl_familias_ppwr[Metais_Pesados_Evidencia],MATCH(INDEX(tbl_recyclass[Familia_PPWR],MATCH(A2189,tbl_recyclass[ProductId],0)),tbl_familias_ppwr[ID_Familia],0))="Em falta","Lacuna","Conforme"),IF(B2189="EU-ENV-013",IF(INDEX(tbl_familias_ppwr[Declaracao_UE],MATCH(INDEX(tbl_recyclass[Familia_PPWR],MATCH(A2189,tbl_recyclass[ProductId],0)),tbl_familias_ppwr[ID_Familia],0))="Sim","Conforme","Lacuna"),G2189)))),G2189))</f>
        <v>Não aplicável</v>
      </c>
      <c r="I2189" s="33" t="str">
        <f t="shared" si="34"/>
        <v>Não aplicável</v>
      </c>
      <c r="J2189" s="26"/>
    </row>
    <row r="2190" spans="1:10" ht="16.05" customHeight="1" x14ac:dyDescent="0.3">
      <c r="A2190" s="26" t="s">
        <v>839</v>
      </c>
      <c r="B2190" s="26" t="s">
        <v>1170</v>
      </c>
      <c r="C2190" s="33" t="str">
        <f>IFERROR(INDEX(tbl_requisitos_emb[Tema],MATCH(B2190,tbl_requisitos_emb[ID_Req],0)),"")</f>
        <v>Boas práticas de fabrico FCM</v>
      </c>
      <c r="D2190" s="33" t="str">
        <f>IFERROR(INDEX(tbl_recyclass[Segmento],MATCH(A2190,tbl_recyclass[ProductId],0)),"")</f>
        <v>Cosmética e higiene pessoal</v>
      </c>
      <c r="E2190" s="26" t="s">
        <v>904</v>
      </c>
      <c r="F2190" s="26" t="s">
        <v>1450</v>
      </c>
      <c r="G2190" s="26" t="s">
        <v>1143</v>
      </c>
      <c r="H2190" s="33" t="str">
        <f>IF(E2190="Não","Não aplicável",IFERROR(IF(B2190="EU-ENV-002",IF(INDEX(tbl_recyclass[Conforme_PPWR_2030],MATCH(A2190,tbl_recyclass[ProductId],0))="Sim","Conforme (autoavaliação)",IF(INDEX(tbl_recyclass[Conforme_PPWR_2030],MATCH(A2190,tbl_recyclass[ProductId],0))="Não","Não conforme em 2030","Isento até 2035")),IF(B2190="EU-ENV-003",IF(INDEX(tbl_recyclass[Conforme_Art7_2030],MATCH(A2190,tbl_recyclass[ProductId],0))="Sim","Conforme (meta 2030)",IF(INDEX(tbl_recyclass[Conforme_Art7_2030],MATCH(A2190,tbl_recyclass[ProductId],0))="Não","Lacuna face à meta 2030","Isento")),IF(B2190="EU-ENV-011",IF(INDEX(tbl_familias_ppwr[Metais_Pesados_Evidencia],MATCH(INDEX(tbl_recyclass[Familia_PPWR],MATCH(A2190,tbl_recyclass[ProductId],0)),tbl_familias_ppwr[ID_Familia],0))="Em falta","Lacuna","Conforme"),IF(B2190="EU-ENV-013",IF(INDEX(tbl_familias_ppwr[Declaracao_UE],MATCH(INDEX(tbl_recyclass[Familia_PPWR],MATCH(A2190,tbl_recyclass[ProductId],0)),tbl_familias_ppwr[ID_Familia],0))="Sim","Conforme","Lacuna"),G2190)))),G2190))</f>
        <v>Não aplicável</v>
      </c>
      <c r="I2190" s="33" t="str">
        <f t="shared" si="34"/>
        <v>Não aplicável</v>
      </c>
      <c r="J2190" s="26"/>
    </row>
    <row r="2191" spans="1:10" ht="16.05" customHeight="1" x14ac:dyDescent="0.3">
      <c r="A2191" s="26" t="s">
        <v>839</v>
      </c>
      <c r="B2191" s="26" t="s">
        <v>1179</v>
      </c>
      <c r="C2191" s="33" t="str">
        <f>IFERROR(INDEX(tbl_requisitos_emb[Tema],MATCH(B2191,tbl_requisitos_emb[ID_Req],0)),"")</f>
        <v>Bisfenol A e bisfenóis perigosos</v>
      </c>
      <c r="D2191" s="33" t="str">
        <f>IFERROR(INDEX(tbl_recyclass[Segmento],MATCH(A2191,tbl_recyclass[ProductId],0)),"")</f>
        <v>Cosmética e higiene pessoal</v>
      </c>
      <c r="E2191" s="26" t="s">
        <v>904</v>
      </c>
      <c r="F2191" s="26" t="s">
        <v>1450</v>
      </c>
      <c r="G2191" s="26" t="s">
        <v>1143</v>
      </c>
      <c r="H2191" s="33" t="str">
        <f>IF(E2191="Não","Não aplicável",IFERROR(IF(B2191="EU-ENV-002",IF(INDEX(tbl_recyclass[Conforme_PPWR_2030],MATCH(A2191,tbl_recyclass[ProductId],0))="Sim","Conforme (autoavaliação)",IF(INDEX(tbl_recyclass[Conforme_PPWR_2030],MATCH(A2191,tbl_recyclass[ProductId],0))="Não","Não conforme em 2030","Isento até 2035")),IF(B2191="EU-ENV-003",IF(INDEX(tbl_recyclass[Conforme_Art7_2030],MATCH(A2191,tbl_recyclass[ProductId],0))="Sim","Conforme (meta 2030)",IF(INDEX(tbl_recyclass[Conforme_Art7_2030],MATCH(A2191,tbl_recyclass[ProductId],0))="Não","Lacuna face à meta 2030","Isento")),IF(B2191="EU-ENV-011",IF(INDEX(tbl_familias_ppwr[Metais_Pesados_Evidencia],MATCH(INDEX(tbl_recyclass[Familia_PPWR],MATCH(A2191,tbl_recyclass[ProductId],0)),tbl_familias_ppwr[ID_Familia],0))="Em falta","Lacuna","Conforme"),IF(B2191="EU-ENV-013",IF(INDEX(tbl_familias_ppwr[Declaracao_UE],MATCH(INDEX(tbl_recyclass[Familia_PPWR],MATCH(A2191,tbl_recyclass[ProductId],0)),tbl_familias_ppwr[ID_Familia],0))="Sim","Conforme","Lacuna"),G2191)))),G2191))</f>
        <v>Não aplicável</v>
      </c>
      <c r="I2191" s="33" t="str">
        <f t="shared" si="34"/>
        <v>Não aplicável</v>
      </c>
      <c r="J2191" s="26"/>
    </row>
    <row r="2192" spans="1:10" ht="16.05" customHeight="1" x14ac:dyDescent="0.3">
      <c r="A2192" s="26" t="s">
        <v>839</v>
      </c>
      <c r="B2192" s="26" t="s">
        <v>1188</v>
      </c>
      <c r="C2192" s="33" t="str">
        <f>IFERROR(INDEX(tbl_requisitos_emb[Tema],MATCH(B2192,tbl_requisitos_emb[ID_Req],0)),"")</f>
        <v>Plásticos em contacto com alimentos</v>
      </c>
      <c r="D2192" s="33" t="str">
        <f>IFERROR(INDEX(tbl_recyclass[Segmento],MATCH(A2192,tbl_recyclass[ProductId],0)),"")</f>
        <v>Cosmética e higiene pessoal</v>
      </c>
      <c r="E2192" s="26" t="s">
        <v>904</v>
      </c>
      <c r="F2192" s="26" t="s">
        <v>1450</v>
      </c>
      <c r="G2192" s="26" t="s">
        <v>1143</v>
      </c>
      <c r="H2192" s="33" t="str">
        <f>IF(E2192="Não","Não aplicável",IFERROR(IF(B2192="EU-ENV-002",IF(INDEX(tbl_recyclass[Conforme_PPWR_2030],MATCH(A2192,tbl_recyclass[ProductId],0))="Sim","Conforme (autoavaliação)",IF(INDEX(tbl_recyclass[Conforme_PPWR_2030],MATCH(A2192,tbl_recyclass[ProductId],0))="Não","Não conforme em 2030","Isento até 2035")),IF(B2192="EU-ENV-003",IF(INDEX(tbl_recyclass[Conforme_Art7_2030],MATCH(A2192,tbl_recyclass[ProductId],0))="Sim","Conforme (meta 2030)",IF(INDEX(tbl_recyclass[Conforme_Art7_2030],MATCH(A2192,tbl_recyclass[ProductId],0))="Não","Lacuna face à meta 2030","Isento")),IF(B2192="EU-ENV-011",IF(INDEX(tbl_familias_ppwr[Metais_Pesados_Evidencia],MATCH(INDEX(tbl_recyclass[Familia_PPWR],MATCH(A2192,tbl_recyclass[ProductId],0)),tbl_familias_ppwr[ID_Familia],0))="Em falta","Lacuna","Conforme"),IF(B2192="EU-ENV-013",IF(INDEX(tbl_familias_ppwr[Declaracao_UE],MATCH(INDEX(tbl_recyclass[Familia_PPWR],MATCH(A2192,tbl_recyclass[ProductId],0)),tbl_familias_ppwr[ID_Familia],0))="Sim","Conforme","Lacuna"),G2192)))),G2192))</f>
        <v>Não aplicável</v>
      </c>
      <c r="I2192" s="33" t="str">
        <f t="shared" si="34"/>
        <v>Não aplicável</v>
      </c>
      <c r="J2192" s="26"/>
    </row>
    <row r="2193" spans="1:10" ht="16.05" customHeight="1" x14ac:dyDescent="0.3">
      <c r="A2193" s="26" t="s">
        <v>839</v>
      </c>
      <c r="B2193" s="26" t="s">
        <v>1212</v>
      </c>
      <c r="C2193" s="33" t="str">
        <f>IFERROR(INDEX(tbl_requisitos_emb[Tema],MATCH(B2193,tbl_requisitos_emb[ID_Req],0)),"")</f>
        <v>Segurança do produto cosmético</v>
      </c>
      <c r="D2193" s="33" t="str">
        <f>IFERROR(INDEX(tbl_recyclass[Segmento],MATCH(A2193,tbl_recyclass[ProductId],0)),"")</f>
        <v>Cosmética e higiene pessoal</v>
      </c>
      <c r="E2193" s="26" t="s">
        <v>901</v>
      </c>
      <c r="F2193" s="26" t="s">
        <v>1449</v>
      </c>
      <c r="G2193" s="26" t="s">
        <v>1033</v>
      </c>
      <c r="H2193" s="33" t="str">
        <f>IF(E2193="Não","Não aplicável",IFERROR(IF(B2193="EU-ENV-002",IF(INDEX(tbl_recyclass[Conforme_PPWR_2030],MATCH(A2193,tbl_recyclass[ProductId],0))="Sim","Conforme (autoavaliação)",IF(INDEX(tbl_recyclass[Conforme_PPWR_2030],MATCH(A2193,tbl_recyclass[ProductId],0))="Não","Não conforme em 2030","Isento até 2035")),IF(B2193="EU-ENV-003",IF(INDEX(tbl_recyclass[Conforme_Art7_2030],MATCH(A2193,tbl_recyclass[ProductId],0))="Sim","Conforme (meta 2030)",IF(INDEX(tbl_recyclass[Conforme_Art7_2030],MATCH(A2193,tbl_recyclass[ProductId],0))="Não","Lacuna face à meta 2030","Isento")),IF(B2193="EU-ENV-011",IF(INDEX(tbl_familias_ppwr[Metais_Pesados_Evidencia],MATCH(INDEX(tbl_recyclass[Familia_PPWR],MATCH(A2193,tbl_recyclass[ProductId],0)),tbl_familias_ppwr[ID_Familia],0))="Em falta","Lacuna","Conforme"),IF(B2193="EU-ENV-013",IF(INDEX(tbl_familias_ppwr[Declaracao_UE],MATCH(INDEX(tbl_recyclass[Familia_PPWR],MATCH(A2193,tbl_recyclass[ProductId],0)),tbl_familias_ppwr[ID_Familia],0))="Sim","Conforme","Lacuna"),G2193)))),G2193))</f>
        <v>Conforme</v>
      </c>
      <c r="I2193" s="33" t="str">
        <f t="shared" si="34"/>
        <v>Conforme</v>
      </c>
      <c r="J2193" s="26" t="s">
        <v>1221</v>
      </c>
    </row>
    <row r="2194" spans="1:10" ht="16.05" customHeight="1" x14ac:dyDescent="0.3">
      <c r="A2194" s="26" t="s">
        <v>839</v>
      </c>
      <c r="B2194" s="26" t="s">
        <v>1224</v>
      </c>
      <c r="C2194" s="33" t="str">
        <f>IFERROR(INDEX(tbl_requisitos_emb[Tema],MATCH(B2194,tbl_requisitos_emb[ID_Req],0)),"")</f>
        <v>Materiais e impurezas</v>
      </c>
      <c r="D2194" s="33" t="str">
        <f>IFERROR(INDEX(tbl_recyclass[Segmento],MATCH(A2194,tbl_recyclass[ProductId],0)),"")</f>
        <v>Cosmética e higiene pessoal</v>
      </c>
      <c r="E2194" s="26" t="s">
        <v>901</v>
      </c>
      <c r="F2194" s="26" t="s">
        <v>1449</v>
      </c>
      <c r="G2194" s="26" t="s">
        <v>978</v>
      </c>
      <c r="H2194" s="33" t="str">
        <f>IF(E2194="Não","Não aplicável",IFERROR(IF(B2194="EU-ENV-002",IF(INDEX(tbl_recyclass[Conforme_PPWR_2030],MATCH(A2194,tbl_recyclass[ProductId],0))="Sim","Conforme (autoavaliação)",IF(INDEX(tbl_recyclass[Conforme_PPWR_2030],MATCH(A2194,tbl_recyclass[ProductId],0))="Não","Não conforme em 2030","Isento até 2035")),IF(B2194="EU-ENV-003",IF(INDEX(tbl_recyclass[Conforme_Art7_2030],MATCH(A2194,tbl_recyclass[ProductId],0))="Sim","Conforme (meta 2030)",IF(INDEX(tbl_recyclass[Conforme_Art7_2030],MATCH(A2194,tbl_recyclass[ProductId],0))="Não","Lacuna face à meta 2030","Isento")),IF(B2194="EU-ENV-011",IF(INDEX(tbl_familias_ppwr[Metais_Pesados_Evidencia],MATCH(INDEX(tbl_recyclass[Familia_PPWR],MATCH(A2194,tbl_recyclass[ProductId],0)),tbl_familias_ppwr[ID_Familia],0))="Em falta","Lacuna","Conforme"),IF(B2194="EU-ENV-013",IF(INDEX(tbl_familias_ppwr[Declaracao_UE],MATCH(INDEX(tbl_recyclass[Familia_PPWR],MATCH(A2194,tbl_recyclass[ProductId],0)),tbl_familias_ppwr[ID_Familia],0))="Sim","Conforme","Lacuna"),G2194)))),G2194))</f>
        <v>Parcial</v>
      </c>
      <c r="I2194" s="33" t="str">
        <f t="shared" si="34"/>
        <v>Parcial</v>
      </c>
      <c r="J2194" s="26" t="s">
        <v>1228</v>
      </c>
    </row>
    <row r="2195" spans="1:10" ht="16.05" customHeight="1" x14ac:dyDescent="0.3">
      <c r="A2195" s="26" t="s">
        <v>839</v>
      </c>
      <c r="B2195" s="26" t="s">
        <v>1240</v>
      </c>
      <c r="C2195" s="33" t="str">
        <f>IFERROR(INDEX(tbl_requisitos_emb[Tema],MATCH(B2195,tbl_requisitos_emb[ID_Req],0)),"")</f>
        <v>Compatibilidade embalagem–produto</v>
      </c>
      <c r="D2195" s="33" t="str">
        <f>IFERROR(INDEX(tbl_recyclass[Segmento],MATCH(A2195,tbl_recyclass[ProductId],0)),"")</f>
        <v>Cosmética e higiene pessoal</v>
      </c>
      <c r="E2195" s="26" t="s">
        <v>901</v>
      </c>
      <c r="F2195" s="26" t="s">
        <v>1449</v>
      </c>
      <c r="G2195" s="26" t="s">
        <v>1033</v>
      </c>
      <c r="H2195" s="33" t="str">
        <f>IF(E2195="Não","Não aplicável",IFERROR(IF(B2195="EU-ENV-002",IF(INDEX(tbl_recyclass[Conforme_PPWR_2030],MATCH(A2195,tbl_recyclass[ProductId],0))="Sim","Conforme (autoavaliação)",IF(INDEX(tbl_recyclass[Conforme_PPWR_2030],MATCH(A2195,tbl_recyclass[ProductId],0))="Não","Não conforme em 2030","Isento até 2035")),IF(B2195="EU-ENV-003",IF(INDEX(tbl_recyclass[Conforme_Art7_2030],MATCH(A2195,tbl_recyclass[ProductId],0))="Sim","Conforme (meta 2030)",IF(INDEX(tbl_recyclass[Conforme_Art7_2030],MATCH(A2195,tbl_recyclass[ProductId],0))="Não","Lacuna face à meta 2030","Isento")),IF(B2195="EU-ENV-011",IF(INDEX(tbl_familias_ppwr[Metais_Pesados_Evidencia],MATCH(INDEX(tbl_recyclass[Familia_PPWR],MATCH(A2195,tbl_recyclass[ProductId],0)),tbl_familias_ppwr[ID_Familia],0))="Em falta","Lacuna","Conforme"),IF(B2195="EU-ENV-013",IF(INDEX(tbl_familias_ppwr[Declaracao_UE],MATCH(INDEX(tbl_recyclass[Familia_PPWR],MATCH(A2195,tbl_recyclass[ProductId],0)),tbl_familias_ppwr[ID_Familia],0))="Sim","Conforme","Lacuna"),G2195)))),G2195))</f>
        <v>Conforme</v>
      </c>
      <c r="I2195" s="33" t="str">
        <f t="shared" si="34"/>
        <v>Conforme</v>
      </c>
      <c r="J2195" s="26" t="s">
        <v>1244</v>
      </c>
    </row>
    <row r="2196" spans="1:10" ht="16.05" customHeight="1" x14ac:dyDescent="0.3">
      <c r="A2196" s="26" t="s">
        <v>839</v>
      </c>
      <c r="B2196" s="26" t="s">
        <v>1252</v>
      </c>
      <c r="C2196" s="33" t="str">
        <f>IFERROR(INDEX(tbl_requisitos_emb[Tema],MATCH(B2196,tbl_requisitos_emb[ID_Req],0)),"")</f>
        <v>Medicamentos de uso humano</v>
      </c>
      <c r="D2196" s="33" t="str">
        <f>IFERROR(INDEX(tbl_recyclass[Segmento],MATCH(A2196,tbl_recyclass[ProductId],0)),"")</f>
        <v>Cosmética e higiene pessoal</v>
      </c>
      <c r="E2196" s="26" t="s">
        <v>904</v>
      </c>
      <c r="F2196" s="26" t="s">
        <v>1451</v>
      </c>
      <c r="G2196" s="26" t="s">
        <v>1143</v>
      </c>
      <c r="H2196" s="33" t="str">
        <f>IF(E2196="Não","Não aplicável",IFERROR(IF(B2196="EU-ENV-002",IF(INDEX(tbl_recyclass[Conforme_PPWR_2030],MATCH(A2196,tbl_recyclass[ProductId],0))="Sim","Conforme (autoavaliação)",IF(INDEX(tbl_recyclass[Conforme_PPWR_2030],MATCH(A2196,tbl_recyclass[ProductId],0))="Não","Não conforme em 2030","Isento até 2035")),IF(B2196="EU-ENV-003",IF(INDEX(tbl_recyclass[Conforme_Art7_2030],MATCH(A2196,tbl_recyclass[ProductId],0))="Sim","Conforme (meta 2030)",IF(INDEX(tbl_recyclass[Conforme_Art7_2030],MATCH(A2196,tbl_recyclass[ProductId],0))="Não","Lacuna face à meta 2030","Isento")),IF(B2196="EU-ENV-011",IF(INDEX(tbl_familias_ppwr[Metais_Pesados_Evidencia],MATCH(INDEX(tbl_recyclass[Familia_PPWR],MATCH(A2196,tbl_recyclass[ProductId],0)),tbl_familias_ppwr[ID_Familia],0))="Em falta","Lacuna","Conforme"),IF(B2196="EU-ENV-013",IF(INDEX(tbl_familias_ppwr[Declaracao_UE],MATCH(INDEX(tbl_recyclass[Familia_PPWR],MATCH(A2196,tbl_recyclass[ProductId],0)),tbl_familias_ppwr[ID_Familia],0))="Sim","Conforme","Lacuna"),G2196)))),G2196))</f>
        <v>Não aplicável</v>
      </c>
      <c r="I2196" s="33" t="str">
        <f t="shared" si="34"/>
        <v>Não aplicável</v>
      </c>
      <c r="J2196" s="26"/>
    </row>
    <row r="2197" spans="1:10" ht="16.05" customHeight="1" x14ac:dyDescent="0.3">
      <c r="A2197" s="26" t="s">
        <v>839</v>
      </c>
      <c r="B2197" s="26" t="s">
        <v>1268</v>
      </c>
      <c r="C2197" s="33" t="str">
        <f>IFERROR(INDEX(tbl_requisitos_emb[Tema],MATCH(B2197,tbl_requisitos_emb[ID_Req],0)),"")</f>
        <v>Dispositivos de segurança</v>
      </c>
      <c r="D2197" s="33" t="str">
        <f>IFERROR(INDEX(tbl_recyclass[Segmento],MATCH(A2197,tbl_recyclass[ProductId],0)),"")</f>
        <v>Cosmética e higiene pessoal</v>
      </c>
      <c r="E2197" s="26" t="s">
        <v>904</v>
      </c>
      <c r="F2197" s="26" t="s">
        <v>1451</v>
      </c>
      <c r="G2197" s="26" t="s">
        <v>1143</v>
      </c>
      <c r="H2197" s="33" t="str">
        <f>IF(E2197="Não","Não aplicável",IFERROR(IF(B2197="EU-ENV-002",IF(INDEX(tbl_recyclass[Conforme_PPWR_2030],MATCH(A2197,tbl_recyclass[ProductId],0))="Sim","Conforme (autoavaliação)",IF(INDEX(tbl_recyclass[Conforme_PPWR_2030],MATCH(A2197,tbl_recyclass[ProductId],0))="Não","Não conforme em 2030","Isento até 2035")),IF(B2197="EU-ENV-003",IF(INDEX(tbl_recyclass[Conforme_Art7_2030],MATCH(A2197,tbl_recyclass[ProductId],0))="Sim","Conforme (meta 2030)",IF(INDEX(tbl_recyclass[Conforme_Art7_2030],MATCH(A2197,tbl_recyclass[ProductId],0))="Não","Lacuna face à meta 2030","Isento")),IF(B2197="EU-ENV-011",IF(INDEX(tbl_familias_ppwr[Metais_Pesados_Evidencia],MATCH(INDEX(tbl_recyclass[Familia_PPWR],MATCH(A2197,tbl_recyclass[ProductId],0)),tbl_familias_ppwr[ID_Familia],0))="Em falta","Lacuna","Conforme"),IF(B2197="EU-ENV-013",IF(INDEX(tbl_familias_ppwr[Declaracao_UE],MATCH(INDEX(tbl_recyclass[Familia_PPWR],MATCH(A2197,tbl_recyclass[ProductId],0)),tbl_familias_ppwr[ID_Familia],0))="Sim","Conforme","Lacuna"),G2197)))),G2197))</f>
        <v>Não aplicável</v>
      </c>
      <c r="I2197" s="33" t="str">
        <f t="shared" si="34"/>
        <v>Não aplicável</v>
      </c>
      <c r="J2197" s="26"/>
    </row>
    <row r="2198" spans="1:10" ht="16.05" customHeight="1" x14ac:dyDescent="0.3">
      <c r="A2198" s="26" t="s">
        <v>839</v>
      </c>
      <c r="B2198" s="26" t="s">
        <v>1285</v>
      </c>
      <c r="C2198" s="33" t="str">
        <f>IFERROR(INDEX(tbl_requisitos_emb[Tema],MATCH(B2198,tbl_requisitos_emb[ID_Req],0)),"")</f>
        <v>Materiais plásticos de acondicionamento primário</v>
      </c>
      <c r="D2198" s="33" t="str">
        <f>IFERROR(INDEX(tbl_recyclass[Segmento],MATCH(A2198,tbl_recyclass[ProductId],0)),"")</f>
        <v>Cosmética e higiene pessoal</v>
      </c>
      <c r="E2198" s="26" t="s">
        <v>904</v>
      </c>
      <c r="F2198" s="26" t="s">
        <v>1451</v>
      </c>
      <c r="G2198" s="26" t="s">
        <v>1143</v>
      </c>
      <c r="H2198" s="33" t="str">
        <f>IF(E2198="Não","Não aplicável",IFERROR(IF(B2198="EU-ENV-002",IF(INDEX(tbl_recyclass[Conforme_PPWR_2030],MATCH(A2198,tbl_recyclass[ProductId],0))="Sim","Conforme (autoavaliação)",IF(INDEX(tbl_recyclass[Conforme_PPWR_2030],MATCH(A2198,tbl_recyclass[ProductId],0))="Não","Não conforme em 2030","Isento até 2035")),IF(B2198="EU-ENV-003",IF(INDEX(tbl_recyclass[Conforme_Art7_2030],MATCH(A2198,tbl_recyclass[ProductId],0))="Sim","Conforme (meta 2030)",IF(INDEX(tbl_recyclass[Conforme_Art7_2030],MATCH(A2198,tbl_recyclass[ProductId],0))="Não","Lacuna face à meta 2030","Isento")),IF(B2198="EU-ENV-011",IF(INDEX(tbl_familias_ppwr[Metais_Pesados_Evidencia],MATCH(INDEX(tbl_recyclass[Familia_PPWR],MATCH(A2198,tbl_recyclass[ProductId],0)),tbl_familias_ppwr[ID_Familia],0))="Em falta","Lacuna","Conforme"),IF(B2198="EU-ENV-013",IF(INDEX(tbl_familias_ppwr[Declaracao_UE],MATCH(INDEX(tbl_recyclass[Familia_PPWR],MATCH(A2198,tbl_recyclass[ProductId],0)),tbl_familias_ppwr[ID_Familia],0))="Sim","Conforme","Lacuna"),G2198)))),G2198))</f>
        <v>Não aplicável</v>
      </c>
      <c r="I2198" s="33" t="str">
        <f t="shared" si="34"/>
        <v>Não aplicável</v>
      </c>
      <c r="J2198" s="26"/>
    </row>
    <row r="2199" spans="1:10" ht="16.05" customHeight="1" x14ac:dyDescent="0.3">
      <c r="A2199" s="26" t="s">
        <v>839</v>
      </c>
      <c r="B2199" s="26" t="s">
        <v>1293</v>
      </c>
      <c r="C2199" s="33" t="str">
        <f>IFERROR(INDEX(tbl_requisitos_emb[Tema],MATCH(B2199,tbl_requisitos_emb[ID_Req],0)),"")</f>
        <v>Isenções PPWR</v>
      </c>
      <c r="D2199" s="33" t="str">
        <f>IFERROR(INDEX(tbl_recyclass[Segmento],MATCH(A2199,tbl_recyclass[ProductId],0)),"")</f>
        <v>Cosmética e higiene pessoal</v>
      </c>
      <c r="E2199" s="26" t="s">
        <v>904</v>
      </c>
      <c r="F2199" s="26" t="s">
        <v>1451</v>
      </c>
      <c r="G2199" s="26" t="s">
        <v>1143</v>
      </c>
      <c r="H2199" s="33" t="str">
        <f>IF(E2199="Não","Não aplicável",IFERROR(IF(B2199="EU-ENV-002",IF(INDEX(tbl_recyclass[Conforme_PPWR_2030],MATCH(A2199,tbl_recyclass[ProductId],0))="Sim","Conforme (autoavaliação)",IF(INDEX(tbl_recyclass[Conforme_PPWR_2030],MATCH(A2199,tbl_recyclass[ProductId],0))="Não","Não conforme em 2030","Isento até 2035")),IF(B2199="EU-ENV-003",IF(INDEX(tbl_recyclass[Conforme_Art7_2030],MATCH(A2199,tbl_recyclass[ProductId],0))="Sim","Conforme (meta 2030)",IF(INDEX(tbl_recyclass[Conforme_Art7_2030],MATCH(A2199,tbl_recyclass[ProductId],0))="Não","Lacuna face à meta 2030","Isento")),IF(B2199="EU-ENV-011",IF(INDEX(tbl_familias_ppwr[Metais_Pesados_Evidencia],MATCH(INDEX(tbl_recyclass[Familia_PPWR],MATCH(A2199,tbl_recyclass[ProductId],0)),tbl_familias_ppwr[ID_Familia],0))="Em falta","Lacuna","Conforme"),IF(B2199="EU-ENV-013",IF(INDEX(tbl_familias_ppwr[Declaracao_UE],MATCH(INDEX(tbl_recyclass[Familia_PPWR],MATCH(A2199,tbl_recyclass[ProductId],0)),tbl_familias_ppwr[ID_Familia],0))="Sim","Conforme","Lacuna"),G2199)))),G2199))</f>
        <v>Não aplicável</v>
      </c>
      <c r="I2199" s="33" t="str">
        <f t="shared" si="34"/>
        <v>Não aplicável</v>
      </c>
      <c r="J2199" s="26"/>
    </row>
    <row r="2200" spans="1:10" ht="16.05" customHeight="1" x14ac:dyDescent="0.3">
      <c r="A2200" s="26" t="s">
        <v>839</v>
      </c>
      <c r="B2200" s="26" t="s">
        <v>1357</v>
      </c>
      <c r="C2200" s="33" t="str">
        <f>IFERROR(INDEX(tbl_requisitos_emb[Tema],MATCH(B2200,tbl_requisitos_emb[ID_Req],0)),"")</f>
        <v>Identificação de plásticos</v>
      </c>
      <c r="D2200" s="33" t="str">
        <f>IFERROR(INDEX(tbl_recyclass[Segmento],MATCH(A2200,tbl_recyclass[ProductId],0)),"")</f>
        <v>Cosmética e higiene pessoal</v>
      </c>
      <c r="E2200" s="26" t="s">
        <v>901</v>
      </c>
      <c r="F2200" s="26" t="s">
        <v>1449</v>
      </c>
      <c r="G2200" s="26" t="s">
        <v>978</v>
      </c>
      <c r="H2200" s="33" t="str">
        <f>IF(E2200="Não","Não aplicável",IFERROR(IF(B2200="EU-ENV-002",IF(INDEX(tbl_recyclass[Conforme_PPWR_2030],MATCH(A2200,tbl_recyclass[ProductId],0))="Sim","Conforme (autoavaliação)",IF(INDEX(tbl_recyclass[Conforme_PPWR_2030],MATCH(A2200,tbl_recyclass[ProductId],0))="Não","Não conforme em 2030","Isento até 2035")),IF(B2200="EU-ENV-003",IF(INDEX(tbl_recyclass[Conforme_Art7_2030],MATCH(A2200,tbl_recyclass[ProductId],0))="Sim","Conforme (meta 2030)",IF(INDEX(tbl_recyclass[Conforme_Art7_2030],MATCH(A2200,tbl_recyclass[ProductId],0))="Não","Lacuna face à meta 2030","Isento")),IF(B2200="EU-ENV-011",IF(INDEX(tbl_familias_ppwr[Metais_Pesados_Evidencia],MATCH(INDEX(tbl_recyclass[Familia_PPWR],MATCH(A2200,tbl_recyclass[ProductId],0)),tbl_familias_ppwr[ID_Familia],0))="Em falta","Lacuna","Conforme"),IF(B2200="EU-ENV-013",IF(INDEX(tbl_familias_ppwr[Declaracao_UE],MATCH(INDEX(tbl_recyclass[Familia_PPWR],MATCH(A2200,tbl_recyclass[ProductId],0)),tbl_familias_ppwr[ID_Familia],0))="Sim","Conforme","Lacuna"),G2200)))),G2200))</f>
        <v>Parcial</v>
      </c>
      <c r="I2200" s="33" t="str">
        <f t="shared" si="34"/>
        <v>Parcial</v>
      </c>
      <c r="J2200" s="26" t="s">
        <v>1362</v>
      </c>
    </row>
    <row r="2201" spans="1:10" ht="16.05" customHeight="1" x14ac:dyDescent="0.3">
      <c r="A2201" s="26" t="s">
        <v>839</v>
      </c>
      <c r="B2201" s="26" t="s">
        <v>1385</v>
      </c>
      <c r="C2201" s="33" t="str">
        <f>IFERROR(INDEX(tbl_requisitos_emb[Tema],MATCH(B2201,tbl_requisitos_emb[ID_Req],0)),"")</f>
        <v>Reciclabilidade (voluntária)</v>
      </c>
      <c r="D2201" s="33" t="str">
        <f>IFERROR(INDEX(tbl_recyclass[Segmento],MATCH(A2201,tbl_recyclass[ProductId],0)),"")</f>
        <v>Cosmética e higiene pessoal</v>
      </c>
      <c r="E2201" s="26" t="s">
        <v>901</v>
      </c>
      <c r="F2201" s="26" t="s">
        <v>1449</v>
      </c>
      <c r="G2201" s="26" t="s">
        <v>978</v>
      </c>
      <c r="H2201" s="33" t="str">
        <f>IF(E2201="Não","Não aplicável",IFERROR(IF(B2201="EU-ENV-002",IF(INDEX(tbl_recyclass[Conforme_PPWR_2030],MATCH(A2201,tbl_recyclass[ProductId],0))="Sim","Conforme (autoavaliação)",IF(INDEX(tbl_recyclass[Conforme_PPWR_2030],MATCH(A2201,tbl_recyclass[ProductId],0))="Não","Não conforme em 2030","Isento até 2035")),IF(B2201="EU-ENV-003",IF(INDEX(tbl_recyclass[Conforme_Art7_2030],MATCH(A2201,tbl_recyclass[ProductId],0))="Sim","Conforme (meta 2030)",IF(INDEX(tbl_recyclass[Conforme_Art7_2030],MATCH(A2201,tbl_recyclass[ProductId],0))="Não","Lacuna face à meta 2030","Isento")),IF(B2201="EU-ENV-011",IF(INDEX(tbl_familias_ppwr[Metais_Pesados_Evidencia],MATCH(INDEX(tbl_recyclass[Familia_PPWR],MATCH(A2201,tbl_recyclass[ProductId],0)),tbl_familias_ppwr[ID_Familia],0))="Em falta","Lacuna","Conforme"),IF(B2201="EU-ENV-013",IF(INDEX(tbl_familias_ppwr[Declaracao_UE],MATCH(INDEX(tbl_recyclass[Familia_PPWR],MATCH(A2201,tbl_recyclass[ProductId],0)),tbl_familias_ppwr[ID_Familia],0))="Sim","Conforme","Lacuna"),G2201)))),G2201))</f>
        <v>Parcial</v>
      </c>
      <c r="I2201" s="33" t="str">
        <f t="shared" si="34"/>
        <v>Parcial</v>
      </c>
      <c r="J2201" s="26" t="s">
        <v>1389</v>
      </c>
    </row>
    <row r="2202" spans="1:10" ht="16.05" customHeight="1" x14ac:dyDescent="0.3">
      <c r="A2202" s="26" t="s">
        <v>841</v>
      </c>
      <c r="B2202" s="26" t="s">
        <v>984</v>
      </c>
      <c r="C2202" s="33" t="str">
        <f>IFERROR(INDEX(tbl_requisitos_emb[Tema],MATCH(B2202,tbl_requisitos_emb[ID_Req],0)),"")</f>
        <v>Conceção para reciclagem</v>
      </c>
      <c r="D2202" s="33" t="str">
        <f>IFERROR(INDEX(tbl_recyclass[Segmento],MATCH(A2202,tbl_recyclass[ProductId],0)),"")</f>
        <v>Cosmética e higiene pessoal</v>
      </c>
      <c r="E2202" s="26" t="s">
        <v>901</v>
      </c>
      <c r="F2202" s="26" t="s">
        <v>1449</v>
      </c>
      <c r="G2202" s="26" t="s">
        <v>978</v>
      </c>
      <c r="H2202" s="33" t="str">
        <f>IF(E2202="Não","Não aplicável",IFERROR(IF(B2202="EU-ENV-002",IF(INDEX(tbl_recyclass[Conforme_PPWR_2030],MATCH(A2202,tbl_recyclass[ProductId],0))="Sim","Conforme (autoavaliação)",IF(INDEX(tbl_recyclass[Conforme_PPWR_2030],MATCH(A2202,tbl_recyclass[ProductId],0))="Não","Não conforme em 2030","Isento até 2035")),IF(B2202="EU-ENV-003",IF(INDEX(tbl_recyclass[Conforme_Art7_2030],MATCH(A2202,tbl_recyclass[ProductId],0))="Sim","Conforme (meta 2030)",IF(INDEX(tbl_recyclass[Conforme_Art7_2030],MATCH(A2202,tbl_recyclass[ProductId],0))="Não","Lacuna face à meta 2030","Isento")),IF(B2202="EU-ENV-011",IF(INDEX(tbl_familias_ppwr[Metais_Pesados_Evidencia],MATCH(INDEX(tbl_recyclass[Familia_PPWR],MATCH(A2202,tbl_recyclass[ProductId],0)),tbl_familias_ppwr[ID_Familia],0))="Em falta","Lacuna","Conforme"),IF(B2202="EU-ENV-013",IF(INDEX(tbl_familias_ppwr[Declaracao_UE],MATCH(INDEX(tbl_recyclass[Familia_PPWR],MATCH(A2202,tbl_recyclass[ProductId],0)),tbl_familias_ppwr[ID_Familia],0))="Sim","Conforme","Lacuna"),G2202)))),G2202))</f>
        <v>Não conforme em 2030</v>
      </c>
      <c r="I2202" s="33" t="str">
        <f t="shared" si="34"/>
        <v>Não conforme</v>
      </c>
      <c r="J2202" s="26" t="s">
        <v>991</v>
      </c>
    </row>
    <row r="2203" spans="1:10" ht="16.05" customHeight="1" x14ac:dyDescent="0.3">
      <c r="A2203" s="26" t="s">
        <v>841</v>
      </c>
      <c r="B2203" s="26" t="s">
        <v>997</v>
      </c>
      <c r="C2203" s="33" t="str">
        <f>IFERROR(INDEX(tbl_requisitos_emb[Tema],MATCH(B2203,tbl_requisitos_emb[ID_Req],0)),"")</f>
        <v>Conteúdo reciclado</v>
      </c>
      <c r="D2203" s="33" t="str">
        <f>IFERROR(INDEX(tbl_recyclass[Segmento],MATCH(A2203,tbl_recyclass[ProductId],0)),"")</f>
        <v>Cosmética e higiene pessoal</v>
      </c>
      <c r="E2203" s="26" t="s">
        <v>901</v>
      </c>
      <c r="F2203" s="26" t="s">
        <v>1449</v>
      </c>
      <c r="G2203" s="26" t="s">
        <v>978</v>
      </c>
      <c r="H2203" s="33" t="str">
        <f>IF(E2203="Não","Não aplicável",IFERROR(IF(B2203="EU-ENV-002",IF(INDEX(tbl_recyclass[Conforme_PPWR_2030],MATCH(A2203,tbl_recyclass[ProductId],0))="Sim","Conforme (autoavaliação)",IF(INDEX(tbl_recyclass[Conforme_PPWR_2030],MATCH(A2203,tbl_recyclass[ProductId],0))="Não","Não conforme em 2030","Isento até 2035")),IF(B2203="EU-ENV-003",IF(INDEX(tbl_recyclass[Conforme_Art7_2030],MATCH(A2203,tbl_recyclass[ProductId],0))="Sim","Conforme (meta 2030)",IF(INDEX(tbl_recyclass[Conforme_Art7_2030],MATCH(A2203,tbl_recyclass[ProductId],0))="Não","Lacuna face à meta 2030","Isento")),IF(B2203="EU-ENV-011",IF(INDEX(tbl_familias_ppwr[Metais_Pesados_Evidencia],MATCH(INDEX(tbl_recyclass[Familia_PPWR],MATCH(A2203,tbl_recyclass[ProductId],0)),tbl_familias_ppwr[ID_Familia],0))="Em falta","Lacuna","Conforme"),IF(B2203="EU-ENV-013",IF(INDEX(tbl_familias_ppwr[Declaracao_UE],MATCH(INDEX(tbl_recyclass[Familia_PPWR],MATCH(A2203,tbl_recyclass[ProductId],0)),tbl_familias_ppwr[ID_Familia],0))="Sim","Conforme","Lacuna"),G2203)))),G2203))</f>
        <v>Lacuna face à meta 2030</v>
      </c>
      <c r="I2203" s="33" t="str">
        <f t="shared" si="34"/>
        <v>Lacuna</v>
      </c>
      <c r="J2203" s="26" t="s">
        <v>1001</v>
      </c>
    </row>
    <row r="2204" spans="1:10" ht="16.05" customHeight="1" x14ac:dyDescent="0.3">
      <c r="A2204" s="26" t="s">
        <v>841</v>
      </c>
      <c r="B2204" s="26" t="s">
        <v>1007</v>
      </c>
      <c r="C2204" s="33" t="str">
        <f>IFERROR(INDEX(tbl_requisitos_emb[Tema],MATCH(B2204,tbl_requisitos_emb[ID_Req],0)),"")</f>
        <v>Minimização</v>
      </c>
      <c r="D2204" s="33" t="str">
        <f>IFERROR(INDEX(tbl_recyclass[Segmento],MATCH(A2204,tbl_recyclass[ProductId],0)),"")</f>
        <v>Cosmética e higiene pessoal</v>
      </c>
      <c r="E2204" s="26" t="s">
        <v>901</v>
      </c>
      <c r="F2204" s="26" t="s">
        <v>1449</v>
      </c>
      <c r="G2204" s="26" t="s">
        <v>978</v>
      </c>
      <c r="H2204" s="33" t="str">
        <f>IF(E2204="Não","Não aplicável",IFERROR(IF(B2204="EU-ENV-002",IF(INDEX(tbl_recyclass[Conforme_PPWR_2030],MATCH(A2204,tbl_recyclass[ProductId],0))="Sim","Conforme (autoavaliação)",IF(INDEX(tbl_recyclass[Conforme_PPWR_2030],MATCH(A2204,tbl_recyclass[ProductId],0))="Não","Não conforme em 2030","Isento até 2035")),IF(B2204="EU-ENV-003",IF(INDEX(tbl_recyclass[Conforme_Art7_2030],MATCH(A2204,tbl_recyclass[ProductId],0))="Sim","Conforme (meta 2030)",IF(INDEX(tbl_recyclass[Conforme_Art7_2030],MATCH(A2204,tbl_recyclass[ProductId],0))="Não","Lacuna face à meta 2030","Isento")),IF(B2204="EU-ENV-011",IF(INDEX(tbl_familias_ppwr[Metais_Pesados_Evidencia],MATCH(INDEX(tbl_recyclass[Familia_PPWR],MATCH(A2204,tbl_recyclass[ProductId],0)),tbl_familias_ppwr[ID_Familia],0))="Em falta","Lacuna","Conforme"),IF(B2204="EU-ENV-013",IF(INDEX(tbl_familias_ppwr[Declaracao_UE],MATCH(INDEX(tbl_recyclass[Familia_PPWR],MATCH(A2204,tbl_recyclass[ProductId],0)),tbl_familias_ppwr[ID_Familia],0))="Sim","Conforme","Lacuna"),G2204)))),G2204))</f>
        <v>Parcial</v>
      </c>
      <c r="I2204" s="33" t="str">
        <f t="shared" si="34"/>
        <v>Parcial</v>
      </c>
      <c r="J2204" s="26" t="s">
        <v>1012</v>
      </c>
    </row>
    <row r="2205" spans="1:10" ht="16.05" customHeight="1" x14ac:dyDescent="0.3">
      <c r="A2205" s="26" t="s">
        <v>841</v>
      </c>
      <c r="B2205" s="26" t="s">
        <v>1016</v>
      </c>
      <c r="C2205" s="33" t="str">
        <f>IFERROR(INDEX(tbl_requisitos_emb[Tema],MATCH(B2205,tbl_requisitos_emb[ID_Req],0)),"")</f>
        <v>Rotulagem</v>
      </c>
      <c r="D2205" s="33" t="str">
        <f>IFERROR(INDEX(tbl_recyclass[Segmento],MATCH(A2205,tbl_recyclass[ProductId],0)),"")</f>
        <v>Cosmética e higiene pessoal</v>
      </c>
      <c r="E2205" s="26" t="s">
        <v>901</v>
      </c>
      <c r="F2205" s="26" t="s">
        <v>1449</v>
      </c>
      <c r="G2205" s="26" t="s">
        <v>990</v>
      </c>
      <c r="H2205" s="33" t="str">
        <f>IF(E2205="Não","Não aplicável",IFERROR(IF(B2205="EU-ENV-002",IF(INDEX(tbl_recyclass[Conforme_PPWR_2030],MATCH(A2205,tbl_recyclass[ProductId],0))="Sim","Conforme (autoavaliação)",IF(INDEX(tbl_recyclass[Conforme_PPWR_2030],MATCH(A2205,tbl_recyclass[ProductId],0))="Não","Não conforme em 2030","Isento até 2035")),IF(B2205="EU-ENV-003",IF(INDEX(tbl_recyclass[Conforme_Art7_2030],MATCH(A2205,tbl_recyclass[ProductId],0))="Sim","Conforme (meta 2030)",IF(INDEX(tbl_recyclass[Conforme_Art7_2030],MATCH(A2205,tbl_recyclass[ProductId],0))="Não","Lacuna face à meta 2030","Isento")),IF(B2205="EU-ENV-011",IF(INDEX(tbl_familias_ppwr[Metais_Pesados_Evidencia],MATCH(INDEX(tbl_recyclass[Familia_PPWR],MATCH(A2205,tbl_recyclass[ProductId],0)),tbl_familias_ppwr[ID_Familia],0))="Em falta","Lacuna","Conforme"),IF(B2205="EU-ENV-013",IF(INDEX(tbl_familias_ppwr[Declaracao_UE],MATCH(INDEX(tbl_recyclass[Familia_PPWR],MATCH(A2205,tbl_recyclass[ProductId],0)),tbl_familias_ppwr[ID_Familia],0))="Sim","Conforme","Lacuna"),G2205)))),G2205))</f>
        <v>Futuro</v>
      </c>
      <c r="I2205" s="33" t="str">
        <f t="shared" si="34"/>
        <v>Futuro</v>
      </c>
      <c r="J2205" s="26" t="s">
        <v>1021</v>
      </c>
    </row>
    <row r="2206" spans="1:10" ht="16.05" customHeight="1" x14ac:dyDescent="0.3">
      <c r="A2206" s="26" t="s">
        <v>841</v>
      </c>
      <c r="B2206" s="26" t="s">
        <v>1038</v>
      </c>
      <c r="C2206" s="33" t="str">
        <f>IFERROR(INDEX(tbl_requisitos_emb[Tema],MATCH(B2206,tbl_requisitos_emb[ID_Req],0)),"")</f>
        <v>Plásticos de utilização única</v>
      </c>
      <c r="D2206" s="33" t="str">
        <f>IFERROR(INDEX(tbl_recyclass[Segmento],MATCH(A2206,tbl_recyclass[ProductId],0)),"")</f>
        <v>Cosmética e higiene pessoal</v>
      </c>
      <c r="E2206" s="26" t="s">
        <v>904</v>
      </c>
      <c r="F2206" s="26" t="s">
        <v>1450</v>
      </c>
      <c r="G2206" s="26" t="s">
        <v>1143</v>
      </c>
      <c r="H2206" s="33" t="str">
        <f>IF(E2206="Não","Não aplicável",IFERROR(IF(B2206="EU-ENV-002",IF(INDEX(tbl_recyclass[Conforme_PPWR_2030],MATCH(A2206,tbl_recyclass[ProductId],0))="Sim","Conforme (autoavaliação)",IF(INDEX(tbl_recyclass[Conforme_PPWR_2030],MATCH(A2206,tbl_recyclass[ProductId],0))="Não","Não conforme em 2030","Isento até 2035")),IF(B2206="EU-ENV-003",IF(INDEX(tbl_recyclass[Conforme_Art7_2030],MATCH(A2206,tbl_recyclass[ProductId],0))="Sim","Conforme (meta 2030)",IF(INDEX(tbl_recyclass[Conforme_Art7_2030],MATCH(A2206,tbl_recyclass[ProductId],0))="Não","Lacuna face à meta 2030","Isento")),IF(B2206="EU-ENV-011",IF(INDEX(tbl_familias_ppwr[Metais_Pesados_Evidencia],MATCH(INDEX(tbl_recyclass[Familia_PPWR],MATCH(A2206,tbl_recyclass[ProductId],0)),tbl_familias_ppwr[ID_Familia],0))="Em falta","Lacuna","Conforme"),IF(B2206="EU-ENV-013",IF(INDEX(tbl_familias_ppwr[Declaracao_UE],MATCH(INDEX(tbl_recyclass[Familia_PPWR],MATCH(A2206,tbl_recyclass[ProductId],0)),tbl_familias_ppwr[ID_Familia],0))="Sim","Conforme","Lacuna"),G2206)))),G2206))</f>
        <v>Não aplicável</v>
      </c>
      <c r="I2206" s="33" t="str">
        <f t="shared" si="34"/>
        <v>Não aplicável</v>
      </c>
      <c r="J2206" s="26"/>
    </row>
    <row r="2207" spans="1:10" ht="16.05" customHeight="1" x14ac:dyDescent="0.3">
      <c r="A2207" s="26" t="s">
        <v>841</v>
      </c>
      <c r="B2207" s="26" t="s">
        <v>1078</v>
      </c>
      <c r="C2207" s="33" t="str">
        <f>IFERROR(INDEX(tbl_requisitos_emb[Tema],MATCH(B2207,tbl_requisitos_emb[ID_Req],0)),"")</f>
        <v>Reciclado à escala</v>
      </c>
      <c r="D2207" s="33" t="str">
        <f>IFERROR(INDEX(tbl_recyclass[Segmento],MATCH(A2207,tbl_recyclass[ProductId],0)),"")</f>
        <v>Cosmética e higiene pessoal</v>
      </c>
      <c r="E2207" s="26" t="s">
        <v>901</v>
      </c>
      <c r="F2207" s="26" t="s">
        <v>1449</v>
      </c>
      <c r="G2207" s="26" t="s">
        <v>990</v>
      </c>
      <c r="H2207" s="33" t="str">
        <f>IF(E2207="Não","Não aplicável",IFERROR(IF(B2207="EU-ENV-002",IF(INDEX(tbl_recyclass[Conforme_PPWR_2030],MATCH(A2207,tbl_recyclass[ProductId],0))="Sim","Conforme (autoavaliação)",IF(INDEX(tbl_recyclass[Conforme_PPWR_2030],MATCH(A2207,tbl_recyclass[ProductId],0))="Não","Não conforme em 2030","Isento até 2035")),IF(B2207="EU-ENV-003",IF(INDEX(tbl_recyclass[Conforme_Art7_2030],MATCH(A2207,tbl_recyclass[ProductId],0))="Sim","Conforme (meta 2030)",IF(INDEX(tbl_recyclass[Conforme_Art7_2030],MATCH(A2207,tbl_recyclass[ProductId],0))="Não","Lacuna face à meta 2030","Isento")),IF(B2207="EU-ENV-011",IF(INDEX(tbl_familias_ppwr[Metais_Pesados_Evidencia],MATCH(INDEX(tbl_recyclass[Familia_PPWR],MATCH(A2207,tbl_recyclass[ProductId],0)),tbl_familias_ppwr[ID_Familia],0))="Em falta","Lacuna","Conforme"),IF(B2207="EU-ENV-013",IF(INDEX(tbl_familias_ppwr[Declaracao_UE],MATCH(INDEX(tbl_recyclass[Familia_PPWR],MATCH(A2207,tbl_recyclass[ProductId],0)),tbl_familias_ppwr[ID_Familia],0))="Sim","Conforme","Lacuna"),G2207)))),G2207))</f>
        <v>Futuro</v>
      </c>
      <c r="I2207" s="33" t="str">
        <f t="shared" si="34"/>
        <v>Futuro</v>
      </c>
      <c r="J2207" s="26" t="s">
        <v>1082</v>
      </c>
    </row>
    <row r="2208" spans="1:10" ht="16.05" customHeight="1" x14ac:dyDescent="0.3">
      <c r="A2208" s="26" t="s">
        <v>841</v>
      </c>
      <c r="B2208" s="26" t="s">
        <v>1086</v>
      </c>
      <c r="C2208" s="33" t="str">
        <f>IFERROR(INDEX(tbl_requisitos_emb[Tema],MATCH(B2208,tbl_requisitos_emb[ID_Req],0)),"")</f>
        <v>Metais pesados</v>
      </c>
      <c r="D2208" s="33" t="str">
        <f>IFERROR(INDEX(tbl_recyclass[Segmento],MATCH(A2208,tbl_recyclass[ProductId],0)),"")</f>
        <v>Cosmética e higiene pessoal</v>
      </c>
      <c r="E2208" s="26" t="s">
        <v>901</v>
      </c>
      <c r="F2208" s="26" t="s">
        <v>1449</v>
      </c>
      <c r="G2208" s="26" t="s">
        <v>978</v>
      </c>
      <c r="H2208" s="33" t="str">
        <f>IF(E2208="Não","Não aplicável",IFERROR(IF(B2208="EU-ENV-002",IF(INDEX(tbl_recyclass[Conforme_PPWR_2030],MATCH(A2208,tbl_recyclass[ProductId],0))="Sim","Conforme (autoavaliação)",IF(INDEX(tbl_recyclass[Conforme_PPWR_2030],MATCH(A2208,tbl_recyclass[ProductId],0))="Não","Não conforme em 2030","Isento até 2035")),IF(B2208="EU-ENV-003",IF(INDEX(tbl_recyclass[Conforme_Art7_2030],MATCH(A2208,tbl_recyclass[ProductId],0))="Sim","Conforme (meta 2030)",IF(INDEX(tbl_recyclass[Conforme_Art7_2030],MATCH(A2208,tbl_recyclass[ProductId],0))="Não","Lacuna face à meta 2030","Isento")),IF(B2208="EU-ENV-011",IF(INDEX(tbl_familias_ppwr[Metais_Pesados_Evidencia],MATCH(INDEX(tbl_recyclass[Familia_PPWR],MATCH(A2208,tbl_recyclass[ProductId],0)),tbl_familias_ppwr[ID_Familia],0))="Em falta","Lacuna","Conforme"),IF(B2208="EU-ENV-013",IF(INDEX(tbl_familias_ppwr[Declaracao_UE],MATCH(INDEX(tbl_recyclass[Familia_PPWR],MATCH(A2208,tbl_recyclass[ProductId],0)),tbl_familias_ppwr[ID_Familia],0))="Sim","Conforme","Lacuna"),G2208)))),G2208))</f>
        <v>Conforme</v>
      </c>
      <c r="I2208" s="33" t="str">
        <f t="shared" si="34"/>
        <v>Conforme</v>
      </c>
      <c r="J2208" s="26" t="s">
        <v>1090</v>
      </c>
    </row>
    <row r="2209" spans="1:10" ht="16.05" customHeight="1" x14ac:dyDescent="0.3">
      <c r="A2209" s="26" t="s">
        <v>841</v>
      </c>
      <c r="B2209" s="26" t="s">
        <v>1094</v>
      </c>
      <c r="C2209" s="33" t="str">
        <f>IFERROR(INDEX(tbl_requisitos_emb[Tema],MATCH(B2209,tbl_requisitos_emb[ID_Req],0)),"")</f>
        <v>PFAS</v>
      </c>
      <c r="D2209" s="33" t="str">
        <f>IFERROR(INDEX(tbl_recyclass[Segmento],MATCH(A2209,tbl_recyclass[ProductId],0)),"")</f>
        <v>Cosmética e higiene pessoal</v>
      </c>
      <c r="E2209" s="26" t="s">
        <v>904</v>
      </c>
      <c r="F2209" s="26" t="s">
        <v>1450</v>
      </c>
      <c r="G2209" s="26" t="s">
        <v>1143</v>
      </c>
      <c r="H2209" s="33" t="str">
        <f>IF(E2209="Não","Não aplicável",IFERROR(IF(B2209="EU-ENV-002",IF(INDEX(tbl_recyclass[Conforme_PPWR_2030],MATCH(A2209,tbl_recyclass[ProductId],0))="Sim","Conforme (autoavaliação)",IF(INDEX(tbl_recyclass[Conforme_PPWR_2030],MATCH(A2209,tbl_recyclass[ProductId],0))="Não","Não conforme em 2030","Isento até 2035")),IF(B2209="EU-ENV-003",IF(INDEX(tbl_recyclass[Conforme_Art7_2030],MATCH(A2209,tbl_recyclass[ProductId],0))="Sim","Conforme (meta 2030)",IF(INDEX(tbl_recyclass[Conforme_Art7_2030],MATCH(A2209,tbl_recyclass[ProductId],0))="Não","Lacuna face à meta 2030","Isento")),IF(B2209="EU-ENV-011",IF(INDEX(tbl_familias_ppwr[Metais_Pesados_Evidencia],MATCH(INDEX(tbl_recyclass[Familia_PPWR],MATCH(A2209,tbl_recyclass[ProductId],0)),tbl_familias_ppwr[ID_Familia],0))="Em falta","Lacuna","Conforme"),IF(B2209="EU-ENV-013",IF(INDEX(tbl_familias_ppwr[Declaracao_UE],MATCH(INDEX(tbl_recyclass[Familia_PPWR],MATCH(A2209,tbl_recyclass[ProductId],0)),tbl_familias_ppwr[ID_Familia],0))="Sim","Conforme","Lacuna"),G2209)))),G2209))</f>
        <v>Não aplicável</v>
      </c>
      <c r="I2209" s="33" t="str">
        <f t="shared" si="34"/>
        <v>Não aplicável</v>
      </c>
      <c r="J2209" s="26"/>
    </row>
    <row r="2210" spans="1:10" ht="16.05" customHeight="1" x14ac:dyDescent="0.3">
      <c r="A2210" s="26" t="s">
        <v>841</v>
      </c>
      <c r="B2210" s="26" t="s">
        <v>1102</v>
      </c>
      <c r="C2210" s="33" t="str">
        <f>IFERROR(INDEX(tbl_requisitos_emb[Tema],MATCH(B2210,tbl_requisitos_emb[ID_Req],0)),"")</f>
        <v>Documentação técnica e declaração UE</v>
      </c>
      <c r="D2210" s="33" t="str">
        <f>IFERROR(INDEX(tbl_recyclass[Segmento],MATCH(A2210,tbl_recyclass[ProductId],0)),"")</f>
        <v>Cosmética e higiene pessoal</v>
      </c>
      <c r="E2210" s="26" t="s">
        <v>901</v>
      </c>
      <c r="F2210" s="26" t="s">
        <v>1449</v>
      </c>
      <c r="G2210" s="26" t="s">
        <v>978</v>
      </c>
      <c r="H2210" s="33" t="str">
        <f>IF(E2210="Não","Não aplicável",IFERROR(IF(B2210="EU-ENV-002",IF(INDEX(tbl_recyclass[Conforme_PPWR_2030],MATCH(A2210,tbl_recyclass[ProductId],0))="Sim","Conforme (autoavaliação)",IF(INDEX(tbl_recyclass[Conforme_PPWR_2030],MATCH(A2210,tbl_recyclass[ProductId],0))="Não","Não conforme em 2030","Isento até 2035")),IF(B2210="EU-ENV-003",IF(INDEX(tbl_recyclass[Conforme_Art7_2030],MATCH(A2210,tbl_recyclass[ProductId],0))="Sim","Conforme (meta 2030)",IF(INDEX(tbl_recyclass[Conforme_Art7_2030],MATCH(A2210,tbl_recyclass[ProductId],0))="Não","Lacuna face à meta 2030","Isento")),IF(B2210="EU-ENV-011",IF(INDEX(tbl_familias_ppwr[Metais_Pesados_Evidencia],MATCH(INDEX(tbl_recyclass[Familia_PPWR],MATCH(A2210,tbl_recyclass[ProductId],0)),tbl_familias_ppwr[ID_Familia],0))="Em falta","Lacuna","Conforme"),IF(B2210="EU-ENV-013",IF(INDEX(tbl_familias_ppwr[Declaracao_UE],MATCH(INDEX(tbl_recyclass[Familia_PPWR],MATCH(A2210,tbl_recyclass[ProductId],0)),tbl_familias_ppwr[ID_Familia],0))="Sim","Conforme","Lacuna"),G2210)))),G2210))</f>
        <v>Conforme</v>
      </c>
      <c r="I2210" s="33" t="str">
        <f t="shared" si="34"/>
        <v>Conforme</v>
      </c>
      <c r="J2210" s="26" t="s">
        <v>1106</v>
      </c>
    </row>
    <row r="2211" spans="1:10" ht="16.05" customHeight="1" x14ac:dyDescent="0.3">
      <c r="A2211" s="26" t="s">
        <v>841</v>
      </c>
      <c r="B2211" s="26" t="s">
        <v>1161</v>
      </c>
      <c r="C2211" s="33" t="str">
        <f>IFERROR(INDEX(tbl_requisitos_emb[Tema],MATCH(B2211,tbl_requisitos_emb[ID_Req],0)),"")</f>
        <v>Materiais em contacto com alimentos</v>
      </c>
      <c r="D2211" s="33" t="str">
        <f>IFERROR(INDEX(tbl_recyclass[Segmento],MATCH(A2211,tbl_recyclass[ProductId],0)),"")</f>
        <v>Cosmética e higiene pessoal</v>
      </c>
      <c r="E2211" s="26" t="s">
        <v>904</v>
      </c>
      <c r="F2211" s="26" t="s">
        <v>1450</v>
      </c>
      <c r="G2211" s="26" t="s">
        <v>1143</v>
      </c>
      <c r="H2211" s="33" t="str">
        <f>IF(E2211="Não","Não aplicável",IFERROR(IF(B2211="EU-ENV-002",IF(INDEX(tbl_recyclass[Conforme_PPWR_2030],MATCH(A2211,tbl_recyclass[ProductId],0))="Sim","Conforme (autoavaliação)",IF(INDEX(tbl_recyclass[Conforme_PPWR_2030],MATCH(A2211,tbl_recyclass[ProductId],0))="Não","Não conforme em 2030","Isento até 2035")),IF(B2211="EU-ENV-003",IF(INDEX(tbl_recyclass[Conforme_Art7_2030],MATCH(A2211,tbl_recyclass[ProductId],0))="Sim","Conforme (meta 2030)",IF(INDEX(tbl_recyclass[Conforme_Art7_2030],MATCH(A2211,tbl_recyclass[ProductId],0))="Não","Lacuna face à meta 2030","Isento")),IF(B2211="EU-ENV-011",IF(INDEX(tbl_familias_ppwr[Metais_Pesados_Evidencia],MATCH(INDEX(tbl_recyclass[Familia_PPWR],MATCH(A2211,tbl_recyclass[ProductId],0)),tbl_familias_ppwr[ID_Familia],0))="Em falta","Lacuna","Conforme"),IF(B2211="EU-ENV-013",IF(INDEX(tbl_familias_ppwr[Declaracao_UE],MATCH(INDEX(tbl_recyclass[Familia_PPWR],MATCH(A2211,tbl_recyclass[ProductId],0)),tbl_familias_ppwr[ID_Familia],0))="Sim","Conforme","Lacuna"),G2211)))),G2211))</f>
        <v>Não aplicável</v>
      </c>
      <c r="I2211" s="33" t="str">
        <f t="shared" si="34"/>
        <v>Não aplicável</v>
      </c>
      <c r="J2211" s="26"/>
    </row>
    <row r="2212" spans="1:10" ht="16.05" customHeight="1" x14ac:dyDescent="0.3">
      <c r="A2212" s="26" t="s">
        <v>841</v>
      </c>
      <c r="B2212" s="26" t="s">
        <v>1170</v>
      </c>
      <c r="C2212" s="33" t="str">
        <f>IFERROR(INDEX(tbl_requisitos_emb[Tema],MATCH(B2212,tbl_requisitos_emb[ID_Req],0)),"")</f>
        <v>Boas práticas de fabrico FCM</v>
      </c>
      <c r="D2212" s="33" t="str">
        <f>IFERROR(INDEX(tbl_recyclass[Segmento],MATCH(A2212,tbl_recyclass[ProductId],0)),"")</f>
        <v>Cosmética e higiene pessoal</v>
      </c>
      <c r="E2212" s="26" t="s">
        <v>904</v>
      </c>
      <c r="F2212" s="26" t="s">
        <v>1450</v>
      </c>
      <c r="G2212" s="26" t="s">
        <v>1143</v>
      </c>
      <c r="H2212" s="33" t="str">
        <f>IF(E2212="Não","Não aplicável",IFERROR(IF(B2212="EU-ENV-002",IF(INDEX(tbl_recyclass[Conforme_PPWR_2030],MATCH(A2212,tbl_recyclass[ProductId],0))="Sim","Conforme (autoavaliação)",IF(INDEX(tbl_recyclass[Conforme_PPWR_2030],MATCH(A2212,tbl_recyclass[ProductId],0))="Não","Não conforme em 2030","Isento até 2035")),IF(B2212="EU-ENV-003",IF(INDEX(tbl_recyclass[Conforme_Art7_2030],MATCH(A2212,tbl_recyclass[ProductId],0))="Sim","Conforme (meta 2030)",IF(INDEX(tbl_recyclass[Conforme_Art7_2030],MATCH(A2212,tbl_recyclass[ProductId],0))="Não","Lacuna face à meta 2030","Isento")),IF(B2212="EU-ENV-011",IF(INDEX(tbl_familias_ppwr[Metais_Pesados_Evidencia],MATCH(INDEX(tbl_recyclass[Familia_PPWR],MATCH(A2212,tbl_recyclass[ProductId],0)),tbl_familias_ppwr[ID_Familia],0))="Em falta","Lacuna","Conforme"),IF(B2212="EU-ENV-013",IF(INDEX(tbl_familias_ppwr[Declaracao_UE],MATCH(INDEX(tbl_recyclass[Familia_PPWR],MATCH(A2212,tbl_recyclass[ProductId],0)),tbl_familias_ppwr[ID_Familia],0))="Sim","Conforme","Lacuna"),G2212)))),G2212))</f>
        <v>Não aplicável</v>
      </c>
      <c r="I2212" s="33" t="str">
        <f t="shared" si="34"/>
        <v>Não aplicável</v>
      </c>
      <c r="J2212" s="26"/>
    </row>
    <row r="2213" spans="1:10" ht="16.05" customHeight="1" x14ac:dyDescent="0.3">
      <c r="A2213" s="26" t="s">
        <v>841</v>
      </c>
      <c r="B2213" s="26" t="s">
        <v>1179</v>
      </c>
      <c r="C2213" s="33" t="str">
        <f>IFERROR(INDEX(tbl_requisitos_emb[Tema],MATCH(B2213,tbl_requisitos_emb[ID_Req],0)),"")</f>
        <v>Bisfenol A e bisfenóis perigosos</v>
      </c>
      <c r="D2213" s="33" t="str">
        <f>IFERROR(INDEX(tbl_recyclass[Segmento],MATCH(A2213,tbl_recyclass[ProductId],0)),"")</f>
        <v>Cosmética e higiene pessoal</v>
      </c>
      <c r="E2213" s="26" t="s">
        <v>904</v>
      </c>
      <c r="F2213" s="26" t="s">
        <v>1450</v>
      </c>
      <c r="G2213" s="26" t="s">
        <v>1143</v>
      </c>
      <c r="H2213" s="33" t="str">
        <f>IF(E2213="Não","Não aplicável",IFERROR(IF(B2213="EU-ENV-002",IF(INDEX(tbl_recyclass[Conforme_PPWR_2030],MATCH(A2213,tbl_recyclass[ProductId],0))="Sim","Conforme (autoavaliação)",IF(INDEX(tbl_recyclass[Conforme_PPWR_2030],MATCH(A2213,tbl_recyclass[ProductId],0))="Não","Não conforme em 2030","Isento até 2035")),IF(B2213="EU-ENV-003",IF(INDEX(tbl_recyclass[Conforme_Art7_2030],MATCH(A2213,tbl_recyclass[ProductId],0))="Sim","Conforme (meta 2030)",IF(INDEX(tbl_recyclass[Conforme_Art7_2030],MATCH(A2213,tbl_recyclass[ProductId],0))="Não","Lacuna face à meta 2030","Isento")),IF(B2213="EU-ENV-011",IF(INDEX(tbl_familias_ppwr[Metais_Pesados_Evidencia],MATCH(INDEX(tbl_recyclass[Familia_PPWR],MATCH(A2213,tbl_recyclass[ProductId],0)),tbl_familias_ppwr[ID_Familia],0))="Em falta","Lacuna","Conforme"),IF(B2213="EU-ENV-013",IF(INDEX(tbl_familias_ppwr[Declaracao_UE],MATCH(INDEX(tbl_recyclass[Familia_PPWR],MATCH(A2213,tbl_recyclass[ProductId],0)),tbl_familias_ppwr[ID_Familia],0))="Sim","Conforme","Lacuna"),G2213)))),G2213))</f>
        <v>Não aplicável</v>
      </c>
      <c r="I2213" s="33" t="str">
        <f t="shared" si="34"/>
        <v>Não aplicável</v>
      </c>
      <c r="J2213" s="26"/>
    </row>
    <row r="2214" spans="1:10" ht="16.05" customHeight="1" x14ac:dyDescent="0.3">
      <c r="A2214" s="26" t="s">
        <v>841</v>
      </c>
      <c r="B2214" s="26" t="s">
        <v>1188</v>
      </c>
      <c r="C2214" s="33" t="str">
        <f>IFERROR(INDEX(tbl_requisitos_emb[Tema],MATCH(B2214,tbl_requisitos_emb[ID_Req],0)),"")</f>
        <v>Plásticos em contacto com alimentos</v>
      </c>
      <c r="D2214" s="33" t="str">
        <f>IFERROR(INDEX(tbl_recyclass[Segmento],MATCH(A2214,tbl_recyclass[ProductId],0)),"")</f>
        <v>Cosmética e higiene pessoal</v>
      </c>
      <c r="E2214" s="26" t="s">
        <v>904</v>
      </c>
      <c r="F2214" s="26" t="s">
        <v>1450</v>
      </c>
      <c r="G2214" s="26" t="s">
        <v>1143</v>
      </c>
      <c r="H2214" s="33" t="str">
        <f>IF(E2214="Não","Não aplicável",IFERROR(IF(B2214="EU-ENV-002",IF(INDEX(tbl_recyclass[Conforme_PPWR_2030],MATCH(A2214,tbl_recyclass[ProductId],0))="Sim","Conforme (autoavaliação)",IF(INDEX(tbl_recyclass[Conforme_PPWR_2030],MATCH(A2214,tbl_recyclass[ProductId],0))="Não","Não conforme em 2030","Isento até 2035")),IF(B2214="EU-ENV-003",IF(INDEX(tbl_recyclass[Conforme_Art7_2030],MATCH(A2214,tbl_recyclass[ProductId],0))="Sim","Conforme (meta 2030)",IF(INDEX(tbl_recyclass[Conforme_Art7_2030],MATCH(A2214,tbl_recyclass[ProductId],0))="Não","Lacuna face à meta 2030","Isento")),IF(B2214="EU-ENV-011",IF(INDEX(tbl_familias_ppwr[Metais_Pesados_Evidencia],MATCH(INDEX(tbl_recyclass[Familia_PPWR],MATCH(A2214,tbl_recyclass[ProductId],0)),tbl_familias_ppwr[ID_Familia],0))="Em falta","Lacuna","Conforme"),IF(B2214="EU-ENV-013",IF(INDEX(tbl_familias_ppwr[Declaracao_UE],MATCH(INDEX(tbl_recyclass[Familia_PPWR],MATCH(A2214,tbl_recyclass[ProductId],0)),tbl_familias_ppwr[ID_Familia],0))="Sim","Conforme","Lacuna"),G2214)))),G2214))</f>
        <v>Não aplicável</v>
      </c>
      <c r="I2214" s="33" t="str">
        <f t="shared" si="34"/>
        <v>Não aplicável</v>
      </c>
      <c r="J2214" s="26"/>
    </row>
    <row r="2215" spans="1:10" ht="16.05" customHeight="1" x14ac:dyDescent="0.3">
      <c r="A2215" s="26" t="s">
        <v>841</v>
      </c>
      <c r="B2215" s="26" t="s">
        <v>1212</v>
      </c>
      <c r="C2215" s="33" t="str">
        <f>IFERROR(INDEX(tbl_requisitos_emb[Tema],MATCH(B2215,tbl_requisitos_emb[ID_Req],0)),"")</f>
        <v>Segurança do produto cosmético</v>
      </c>
      <c r="D2215" s="33" t="str">
        <f>IFERROR(INDEX(tbl_recyclass[Segmento],MATCH(A2215,tbl_recyclass[ProductId],0)),"")</f>
        <v>Cosmética e higiene pessoal</v>
      </c>
      <c r="E2215" s="26" t="s">
        <v>901</v>
      </c>
      <c r="F2215" s="26" t="s">
        <v>1449</v>
      </c>
      <c r="G2215" s="26" t="s">
        <v>1033</v>
      </c>
      <c r="H2215" s="33" t="str">
        <f>IF(E2215="Não","Não aplicável",IFERROR(IF(B2215="EU-ENV-002",IF(INDEX(tbl_recyclass[Conforme_PPWR_2030],MATCH(A2215,tbl_recyclass[ProductId],0))="Sim","Conforme (autoavaliação)",IF(INDEX(tbl_recyclass[Conforme_PPWR_2030],MATCH(A2215,tbl_recyclass[ProductId],0))="Não","Não conforme em 2030","Isento até 2035")),IF(B2215="EU-ENV-003",IF(INDEX(tbl_recyclass[Conforme_Art7_2030],MATCH(A2215,tbl_recyclass[ProductId],0))="Sim","Conforme (meta 2030)",IF(INDEX(tbl_recyclass[Conforme_Art7_2030],MATCH(A2215,tbl_recyclass[ProductId],0))="Não","Lacuna face à meta 2030","Isento")),IF(B2215="EU-ENV-011",IF(INDEX(tbl_familias_ppwr[Metais_Pesados_Evidencia],MATCH(INDEX(tbl_recyclass[Familia_PPWR],MATCH(A2215,tbl_recyclass[ProductId],0)),tbl_familias_ppwr[ID_Familia],0))="Em falta","Lacuna","Conforme"),IF(B2215="EU-ENV-013",IF(INDEX(tbl_familias_ppwr[Declaracao_UE],MATCH(INDEX(tbl_recyclass[Familia_PPWR],MATCH(A2215,tbl_recyclass[ProductId],0)),tbl_familias_ppwr[ID_Familia],0))="Sim","Conforme","Lacuna"),G2215)))),G2215))</f>
        <v>Conforme</v>
      </c>
      <c r="I2215" s="33" t="str">
        <f t="shared" si="34"/>
        <v>Conforme</v>
      </c>
      <c r="J2215" s="26" t="s">
        <v>1221</v>
      </c>
    </row>
    <row r="2216" spans="1:10" ht="16.05" customHeight="1" x14ac:dyDescent="0.3">
      <c r="A2216" s="26" t="s">
        <v>841</v>
      </c>
      <c r="B2216" s="26" t="s">
        <v>1224</v>
      </c>
      <c r="C2216" s="33" t="str">
        <f>IFERROR(INDEX(tbl_requisitos_emb[Tema],MATCH(B2216,tbl_requisitos_emb[ID_Req],0)),"")</f>
        <v>Materiais e impurezas</v>
      </c>
      <c r="D2216" s="33" t="str">
        <f>IFERROR(INDEX(tbl_recyclass[Segmento],MATCH(A2216,tbl_recyclass[ProductId],0)),"")</f>
        <v>Cosmética e higiene pessoal</v>
      </c>
      <c r="E2216" s="26" t="s">
        <v>901</v>
      </c>
      <c r="F2216" s="26" t="s">
        <v>1449</v>
      </c>
      <c r="G2216" s="26" t="s">
        <v>978</v>
      </c>
      <c r="H2216" s="33" t="str">
        <f>IF(E2216="Não","Não aplicável",IFERROR(IF(B2216="EU-ENV-002",IF(INDEX(tbl_recyclass[Conforme_PPWR_2030],MATCH(A2216,tbl_recyclass[ProductId],0))="Sim","Conforme (autoavaliação)",IF(INDEX(tbl_recyclass[Conforme_PPWR_2030],MATCH(A2216,tbl_recyclass[ProductId],0))="Não","Não conforme em 2030","Isento até 2035")),IF(B2216="EU-ENV-003",IF(INDEX(tbl_recyclass[Conforme_Art7_2030],MATCH(A2216,tbl_recyclass[ProductId],0))="Sim","Conforme (meta 2030)",IF(INDEX(tbl_recyclass[Conforme_Art7_2030],MATCH(A2216,tbl_recyclass[ProductId],0))="Não","Lacuna face à meta 2030","Isento")),IF(B2216="EU-ENV-011",IF(INDEX(tbl_familias_ppwr[Metais_Pesados_Evidencia],MATCH(INDEX(tbl_recyclass[Familia_PPWR],MATCH(A2216,tbl_recyclass[ProductId],0)),tbl_familias_ppwr[ID_Familia],0))="Em falta","Lacuna","Conforme"),IF(B2216="EU-ENV-013",IF(INDEX(tbl_familias_ppwr[Declaracao_UE],MATCH(INDEX(tbl_recyclass[Familia_PPWR],MATCH(A2216,tbl_recyclass[ProductId],0)),tbl_familias_ppwr[ID_Familia],0))="Sim","Conforme","Lacuna"),G2216)))),G2216))</f>
        <v>Parcial</v>
      </c>
      <c r="I2216" s="33" t="str">
        <f t="shared" si="34"/>
        <v>Parcial</v>
      </c>
      <c r="J2216" s="26" t="s">
        <v>1228</v>
      </c>
    </row>
    <row r="2217" spans="1:10" ht="16.05" customHeight="1" x14ac:dyDescent="0.3">
      <c r="A2217" s="26" t="s">
        <v>841</v>
      </c>
      <c r="B2217" s="26" t="s">
        <v>1240</v>
      </c>
      <c r="C2217" s="33" t="str">
        <f>IFERROR(INDEX(tbl_requisitos_emb[Tema],MATCH(B2217,tbl_requisitos_emb[ID_Req],0)),"")</f>
        <v>Compatibilidade embalagem–produto</v>
      </c>
      <c r="D2217" s="33" t="str">
        <f>IFERROR(INDEX(tbl_recyclass[Segmento],MATCH(A2217,tbl_recyclass[ProductId],0)),"")</f>
        <v>Cosmética e higiene pessoal</v>
      </c>
      <c r="E2217" s="26" t="s">
        <v>901</v>
      </c>
      <c r="F2217" s="26" t="s">
        <v>1449</v>
      </c>
      <c r="G2217" s="26" t="s">
        <v>1033</v>
      </c>
      <c r="H2217" s="33" t="str">
        <f>IF(E2217="Não","Não aplicável",IFERROR(IF(B2217="EU-ENV-002",IF(INDEX(tbl_recyclass[Conforme_PPWR_2030],MATCH(A2217,tbl_recyclass[ProductId],0))="Sim","Conforme (autoavaliação)",IF(INDEX(tbl_recyclass[Conforme_PPWR_2030],MATCH(A2217,tbl_recyclass[ProductId],0))="Não","Não conforme em 2030","Isento até 2035")),IF(B2217="EU-ENV-003",IF(INDEX(tbl_recyclass[Conforme_Art7_2030],MATCH(A2217,tbl_recyclass[ProductId],0))="Sim","Conforme (meta 2030)",IF(INDEX(tbl_recyclass[Conforme_Art7_2030],MATCH(A2217,tbl_recyclass[ProductId],0))="Não","Lacuna face à meta 2030","Isento")),IF(B2217="EU-ENV-011",IF(INDEX(tbl_familias_ppwr[Metais_Pesados_Evidencia],MATCH(INDEX(tbl_recyclass[Familia_PPWR],MATCH(A2217,tbl_recyclass[ProductId],0)),tbl_familias_ppwr[ID_Familia],0))="Em falta","Lacuna","Conforme"),IF(B2217="EU-ENV-013",IF(INDEX(tbl_familias_ppwr[Declaracao_UE],MATCH(INDEX(tbl_recyclass[Familia_PPWR],MATCH(A2217,tbl_recyclass[ProductId],0)),tbl_familias_ppwr[ID_Familia],0))="Sim","Conforme","Lacuna"),G2217)))),G2217))</f>
        <v>Conforme</v>
      </c>
      <c r="I2217" s="33" t="str">
        <f t="shared" si="34"/>
        <v>Conforme</v>
      </c>
      <c r="J2217" s="26" t="s">
        <v>1244</v>
      </c>
    </row>
    <row r="2218" spans="1:10" ht="16.05" customHeight="1" x14ac:dyDescent="0.3">
      <c r="A2218" s="26" t="s">
        <v>841</v>
      </c>
      <c r="B2218" s="26" t="s">
        <v>1252</v>
      </c>
      <c r="C2218" s="33" t="str">
        <f>IFERROR(INDEX(tbl_requisitos_emb[Tema],MATCH(B2218,tbl_requisitos_emb[ID_Req],0)),"")</f>
        <v>Medicamentos de uso humano</v>
      </c>
      <c r="D2218" s="33" t="str">
        <f>IFERROR(INDEX(tbl_recyclass[Segmento],MATCH(A2218,tbl_recyclass[ProductId],0)),"")</f>
        <v>Cosmética e higiene pessoal</v>
      </c>
      <c r="E2218" s="26" t="s">
        <v>904</v>
      </c>
      <c r="F2218" s="26" t="s">
        <v>1451</v>
      </c>
      <c r="G2218" s="26" t="s">
        <v>1143</v>
      </c>
      <c r="H2218" s="33" t="str">
        <f>IF(E2218="Não","Não aplicável",IFERROR(IF(B2218="EU-ENV-002",IF(INDEX(tbl_recyclass[Conforme_PPWR_2030],MATCH(A2218,tbl_recyclass[ProductId],0))="Sim","Conforme (autoavaliação)",IF(INDEX(tbl_recyclass[Conforme_PPWR_2030],MATCH(A2218,tbl_recyclass[ProductId],0))="Não","Não conforme em 2030","Isento até 2035")),IF(B2218="EU-ENV-003",IF(INDEX(tbl_recyclass[Conforme_Art7_2030],MATCH(A2218,tbl_recyclass[ProductId],0))="Sim","Conforme (meta 2030)",IF(INDEX(tbl_recyclass[Conforme_Art7_2030],MATCH(A2218,tbl_recyclass[ProductId],0))="Não","Lacuna face à meta 2030","Isento")),IF(B2218="EU-ENV-011",IF(INDEX(tbl_familias_ppwr[Metais_Pesados_Evidencia],MATCH(INDEX(tbl_recyclass[Familia_PPWR],MATCH(A2218,tbl_recyclass[ProductId],0)),tbl_familias_ppwr[ID_Familia],0))="Em falta","Lacuna","Conforme"),IF(B2218="EU-ENV-013",IF(INDEX(tbl_familias_ppwr[Declaracao_UE],MATCH(INDEX(tbl_recyclass[Familia_PPWR],MATCH(A2218,tbl_recyclass[ProductId],0)),tbl_familias_ppwr[ID_Familia],0))="Sim","Conforme","Lacuna"),G2218)))),G2218))</f>
        <v>Não aplicável</v>
      </c>
      <c r="I2218" s="33" t="str">
        <f t="shared" si="34"/>
        <v>Não aplicável</v>
      </c>
      <c r="J2218" s="26"/>
    </row>
    <row r="2219" spans="1:10" ht="16.05" customHeight="1" x14ac:dyDescent="0.3">
      <c r="A2219" s="26" t="s">
        <v>841</v>
      </c>
      <c r="B2219" s="26" t="s">
        <v>1268</v>
      </c>
      <c r="C2219" s="33" t="str">
        <f>IFERROR(INDEX(tbl_requisitos_emb[Tema],MATCH(B2219,tbl_requisitos_emb[ID_Req],0)),"")</f>
        <v>Dispositivos de segurança</v>
      </c>
      <c r="D2219" s="33" t="str">
        <f>IFERROR(INDEX(tbl_recyclass[Segmento],MATCH(A2219,tbl_recyclass[ProductId],0)),"")</f>
        <v>Cosmética e higiene pessoal</v>
      </c>
      <c r="E2219" s="26" t="s">
        <v>904</v>
      </c>
      <c r="F2219" s="26" t="s">
        <v>1451</v>
      </c>
      <c r="G2219" s="26" t="s">
        <v>1143</v>
      </c>
      <c r="H2219" s="33" t="str">
        <f>IF(E2219="Não","Não aplicável",IFERROR(IF(B2219="EU-ENV-002",IF(INDEX(tbl_recyclass[Conforme_PPWR_2030],MATCH(A2219,tbl_recyclass[ProductId],0))="Sim","Conforme (autoavaliação)",IF(INDEX(tbl_recyclass[Conforme_PPWR_2030],MATCH(A2219,tbl_recyclass[ProductId],0))="Não","Não conforme em 2030","Isento até 2035")),IF(B2219="EU-ENV-003",IF(INDEX(tbl_recyclass[Conforme_Art7_2030],MATCH(A2219,tbl_recyclass[ProductId],0))="Sim","Conforme (meta 2030)",IF(INDEX(tbl_recyclass[Conforme_Art7_2030],MATCH(A2219,tbl_recyclass[ProductId],0))="Não","Lacuna face à meta 2030","Isento")),IF(B2219="EU-ENV-011",IF(INDEX(tbl_familias_ppwr[Metais_Pesados_Evidencia],MATCH(INDEX(tbl_recyclass[Familia_PPWR],MATCH(A2219,tbl_recyclass[ProductId],0)),tbl_familias_ppwr[ID_Familia],0))="Em falta","Lacuna","Conforme"),IF(B2219="EU-ENV-013",IF(INDEX(tbl_familias_ppwr[Declaracao_UE],MATCH(INDEX(tbl_recyclass[Familia_PPWR],MATCH(A2219,tbl_recyclass[ProductId],0)),tbl_familias_ppwr[ID_Familia],0))="Sim","Conforme","Lacuna"),G2219)))),G2219))</f>
        <v>Não aplicável</v>
      </c>
      <c r="I2219" s="33" t="str">
        <f t="shared" si="34"/>
        <v>Não aplicável</v>
      </c>
      <c r="J2219" s="26"/>
    </row>
    <row r="2220" spans="1:10" ht="16.05" customHeight="1" x14ac:dyDescent="0.3">
      <c r="A2220" s="26" t="s">
        <v>841</v>
      </c>
      <c r="B2220" s="26" t="s">
        <v>1285</v>
      </c>
      <c r="C2220" s="33" t="str">
        <f>IFERROR(INDEX(tbl_requisitos_emb[Tema],MATCH(B2220,tbl_requisitos_emb[ID_Req],0)),"")</f>
        <v>Materiais plásticos de acondicionamento primário</v>
      </c>
      <c r="D2220" s="33" t="str">
        <f>IFERROR(INDEX(tbl_recyclass[Segmento],MATCH(A2220,tbl_recyclass[ProductId],0)),"")</f>
        <v>Cosmética e higiene pessoal</v>
      </c>
      <c r="E2220" s="26" t="s">
        <v>904</v>
      </c>
      <c r="F2220" s="26" t="s">
        <v>1451</v>
      </c>
      <c r="G2220" s="26" t="s">
        <v>1143</v>
      </c>
      <c r="H2220" s="33" t="str">
        <f>IF(E2220="Não","Não aplicável",IFERROR(IF(B2220="EU-ENV-002",IF(INDEX(tbl_recyclass[Conforme_PPWR_2030],MATCH(A2220,tbl_recyclass[ProductId],0))="Sim","Conforme (autoavaliação)",IF(INDEX(tbl_recyclass[Conforme_PPWR_2030],MATCH(A2220,tbl_recyclass[ProductId],0))="Não","Não conforme em 2030","Isento até 2035")),IF(B2220="EU-ENV-003",IF(INDEX(tbl_recyclass[Conforme_Art7_2030],MATCH(A2220,tbl_recyclass[ProductId],0))="Sim","Conforme (meta 2030)",IF(INDEX(tbl_recyclass[Conforme_Art7_2030],MATCH(A2220,tbl_recyclass[ProductId],0))="Não","Lacuna face à meta 2030","Isento")),IF(B2220="EU-ENV-011",IF(INDEX(tbl_familias_ppwr[Metais_Pesados_Evidencia],MATCH(INDEX(tbl_recyclass[Familia_PPWR],MATCH(A2220,tbl_recyclass[ProductId],0)),tbl_familias_ppwr[ID_Familia],0))="Em falta","Lacuna","Conforme"),IF(B2220="EU-ENV-013",IF(INDEX(tbl_familias_ppwr[Declaracao_UE],MATCH(INDEX(tbl_recyclass[Familia_PPWR],MATCH(A2220,tbl_recyclass[ProductId],0)),tbl_familias_ppwr[ID_Familia],0))="Sim","Conforme","Lacuna"),G2220)))),G2220))</f>
        <v>Não aplicável</v>
      </c>
      <c r="I2220" s="33" t="str">
        <f t="shared" si="34"/>
        <v>Não aplicável</v>
      </c>
      <c r="J2220" s="26"/>
    </row>
    <row r="2221" spans="1:10" ht="16.05" customHeight="1" x14ac:dyDescent="0.3">
      <c r="A2221" s="26" t="s">
        <v>841</v>
      </c>
      <c r="B2221" s="26" t="s">
        <v>1293</v>
      </c>
      <c r="C2221" s="33" t="str">
        <f>IFERROR(INDEX(tbl_requisitos_emb[Tema],MATCH(B2221,tbl_requisitos_emb[ID_Req],0)),"")</f>
        <v>Isenções PPWR</v>
      </c>
      <c r="D2221" s="33" t="str">
        <f>IFERROR(INDEX(tbl_recyclass[Segmento],MATCH(A2221,tbl_recyclass[ProductId],0)),"")</f>
        <v>Cosmética e higiene pessoal</v>
      </c>
      <c r="E2221" s="26" t="s">
        <v>904</v>
      </c>
      <c r="F2221" s="26" t="s">
        <v>1451</v>
      </c>
      <c r="G2221" s="26" t="s">
        <v>1143</v>
      </c>
      <c r="H2221" s="33" t="str">
        <f>IF(E2221="Não","Não aplicável",IFERROR(IF(B2221="EU-ENV-002",IF(INDEX(tbl_recyclass[Conforme_PPWR_2030],MATCH(A2221,tbl_recyclass[ProductId],0))="Sim","Conforme (autoavaliação)",IF(INDEX(tbl_recyclass[Conforme_PPWR_2030],MATCH(A2221,tbl_recyclass[ProductId],0))="Não","Não conforme em 2030","Isento até 2035")),IF(B2221="EU-ENV-003",IF(INDEX(tbl_recyclass[Conforme_Art7_2030],MATCH(A2221,tbl_recyclass[ProductId],0))="Sim","Conforme (meta 2030)",IF(INDEX(tbl_recyclass[Conforme_Art7_2030],MATCH(A2221,tbl_recyclass[ProductId],0))="Não","Lacuna face à meta 2030","Isento")),IF(B2221="EU-ENV-011",IF(INDEX(tbl_familias_ppwr[Metais_Pesados_Evidencia],MATCH(INDEX(tbl_recyclass[Familia_PPWR],MATCH(A2221,tbl_recyclass[ProductId],0)),tbl_familias_ppwr[ID_Familia],0))="Em falta","Lacuna","Conforme"),IF(B2221="EU-ENV-013",IF(INDEX(tbl_familias_ppwr[Declaracao_UE],MATCH(INDEX(tbl_recyclass[Familia_PPWR],MATCH(A2221,tbl_recyclass[ProductId],0)),tbl_familias_ppwr[ID_Familia],0))="Sim","Conforme","Lacuna"),G2221)))),G2221))</f>
        <v>Não aplicável</v>
      </c>
      <c r="I2221" s="33" t="str">
        <f t="shared" si="34"/>
        <v>Não aplicável</v>
      </c>
      <c r="J2221" s="26"/>
    </row>
    <row r="2222" spans="1:10" ht="16.05" customHeight="1" x14ac:dyDescent="0.3">
      <c r="A2222" s="26" t="s">
        <v>841</v>
      </c>
      <c r="B2222" s="26" t="s">
        <v>1357</v>
      </c>
      <c r="C2222" s="33" t="str">
        <f>IFERROR(INDEX(tbl_requisitos_emb[Tema],MATCH(B2222,tbl_requisitos_emb[ID_Req],0)),"")</f>
        <v>Identificação de plásticos</v>
      </c>
      <c r="D2222" s="33" t="str">
        <f>IFERROR(INDEX(tbl_recyclass[Segmento],MATCH(A2222,tbl_recyclass[ProductId],0)),"")</f>
        <v>Cosmética e higiene pessoal</v>
      </c>
      <c r="E2222" s="26" t="s">
        <v>901</v>
      </c>
      <c r="F2222" s="26" t="s">
        <v>1449</v>
      </c>
      <c r="G2222" s="26" t="s">
        <v>978</v>
      </c>
      <c r="H2222" s="33" t="str">
        <f>IF(E2222="Não","Não aplicável",IFERROR(IF(B2222="EU-ENV-002",IF(INDEX(tbl_recyclass[Conforme_PPWR_2030],MATCH(A2222,tbl_recyclass[ProductId],0))="Sim","Conforme (autoavaliação)",IF(INDEX(tbl_recyclass[Conforme_PPWR_2030],MATCH(A2222,tbl_recyclass[ProductId],0))="Não","Não conforme em 2030","Isento até 2035")),IF(B2222="EU-ENV-003",IF(INDEX(tbl_recyclass[Conforme_Art7_2030],MATCH(A2222,tbl_recyclass[ProductId],0))="Sim","Conforme (meta 2030)",IF(INDEX(tbl_recyclass[Conforme_Art7_2030],MATCH(A2222,tbl_recyclass[ProductId],0))="Não","Lacuna face à meta 2030","Isento")),IF(B2222="EU-ENV-011",IF(INDEX(tbl_familias_ppwr[Metais_Pesados_Evidencia],MATCH(INDEX(tbl_recyclass[Familia_PPWR],MATCH(A2222,tbl_recyclass[ProductId],0)),tbl_familias_ppwr[ID_Familia],0))="Em falta","Lacuna","Conforme"),IF(B2222="EU-ENV-013",IF(INDEX(tbl_familias_ppwr[Declaracao_UE],MATCH(INDEX(tbl_recyclass[Familia_PPWR],MATCH(A2222,tbl_recyclass[ProductId],0)),tbl_familias_ppwr[ID_Familia],0))="Sim","Conforme","Lacuna"),G2222)))),G2222))</f>
        <v>Parcial</v>
      </c>
      <c r="I2222" s="33" t="str">
        <f t="shared" si="34"/>
        <v>Parcial</v>
      </c>
      <c r="J2222" s="26" t="s">
        <v>1362</v>
      </c>
    </row>
    <row r="2223" spans="1:10" ht="16.05" customHeight="1" x14ac:dyDescent="0.3">
      <c r="A2223" s="26" t="s">
        <v>841</v>
      </c>
      <c r="B2223" s="26" t="s">
        <v>1385</v>
      </c>
      <c r="C2223" s="33" t="str">
        <f>IFERROR(INDEX(tbl_requisitos_emb[Tema],MATCH(B2223,tbl_requisitos_emb[ID_Req],0)),"")</f>
        <v>Reciclabilidade (voluntária)</v>
      </c>
      <c r="D2223" s="33" t="str">
        <f>IFERROR(INDEX(tbl_recyclass[Segmento],MATCH(A2223,tbl_recyclass[ProductId],0)),"")</f>
        <v>Cosmética e higiene pessoal</v>
      </c>
      <c r="E2223" s="26" t="s">
        <v>901</v>
      </c>
      <c r="F2223" s="26" t="s">
        <v>1449</v>
      </c>
      <c r="G2223" s="26" t="s">
        <v>978</v>
      </c>
      <c r="H2223" s="33" t="str">
        <f>IF(E2223="Não","Não aplicável",IFERROR(IF(B2223="EU-ENV-002",IF(INDEX(tbl_recyclass[Conforme_PPWR_2030],MATCH(A2223,tbl_recyclass[ProductId],0))="Sim","Conforme (autoavaliação)",IF(INDEX(tbl_recyclass[Conforme_PPWR_2030],MATCH(A2223,tbl_recyclass[ProductId],0))="Não","Não conforme em 2030","Isento até 2035")),IF(B2223="EU-ENV-003",IF(INDEX(tbl_recyclass[Conforme_Art7_2030],MATCH(A2223,tbl_recyclass[ProductId],0))="Sim","Conforme (meta 2030)",IF(INDEX(tbl_recyclass[Conforme_Art7_2030],MATCH(A2223,tbl_recyclass[ProductId],0))="Não","Lacuna face à meta 2030","Isento")),IF(B2223="EU-ENV-011",IF(INDEX(tbl_familias_ppwr[Metais_Pesados_Evidencia],MATCH(INDEX(tbl_recyclass[Familia_PPWR],MATCH(A2223,tbl_recyclass[ProductId],0)),tbl_familias_ppwr[ID_Familia],0))="Em falta","Lacuna","Conforme"),IF(B2223="EU-ENV-013",IF(INDEX(tbl_familias_ppwr[Declaracao_UE],MATCH(INDEX(tbl_recyclass[Familia_PPWR],MATCH(A2223,tbl_recyclass[ProductId],0)),tbl_familias_ppwr[ID_Familia],0))="Sim","Conforme","Lacuna"),G2223)))),G2223))</f>
        <v>Parcial</v>
      </c>
      <c r="I2223" s="33" t="str">
        <f t="shared" si="34"/>
        <v>Parcial</v>
      </c>
      <c r="J2223" s="26" t="s">
        <v>1389</v>
      </c>
    </row>
    <row r="2224" spans="1:10" ht="16.05" customHeight="1" x14ac:dyDescent="0.3">
      <c r="A2224" s="26" t="s">
        <v>843</v>
      </c>
      <c r="B2224" s="26" t="s">
        <v>984</v>
      </c>
      <c r="C2224" s="33" t="str">
        <f>IFERROR(INDEX(tbl_requisitos_emb[Tema],MATCH(B2224,tbl_requisitos_emb[ID_Req],0)),"")</f>
        <v>Conceção para reciclagem</v>
      </c>
      <c r="D2224" s="33" t="str">
        <f>IFERROR(INDEX(tbl_recyclass[Segmento],MATCH(A2224,tbl_recyclass[ProductId],0)),"")</f>
        <v>Alimentar</v>
      </c>
      <c r="E2224" s="26" t="s">
        <v>901</v>
      </c>
      <c r="F2224" s="26" t="s">
        <v>1452</v>
      </c>
      <c r="G2224" s="26" t="s">
        <v>978</v>
      </c>
      <c r="H2224" s="33" t="str">
        <f>IF(E2224="Não","Não aplicável",IFERROR(IF(B2224="EU-ENV-002",IF(INDEX(tbl_recyclass[Conforme_PPWR_2030],MATCH(A2224,tbl_recyclass[ProductId],0))="Sim","Conforme (autoavaliação)",IF(INDEX(tbl_recyclass[Conforme_PPWR_2030],MATCH(A2224,tbl_recyclass[ProductId],0))="Não","Não conforme em 2030","Isento até 2035")),IF(B2224="EU-ENV-003",IF(INDEX(tbl_recyclass[Conforme_Art7_2030],MATCH(A2224,tbl_recyclass[ProductId],0))="Sim","Conforme (meta 2030)",IF(INDEX(tbl_recyclass[Conforme_Art7_2030],MATCH(A2224,tbl_recyclass[ProductId],0))="Não","Lacuna face à meta 2030","Isento")),IF(B2224="EU-ENV-011",IF(INDEX(tbl_familias_ppwr[Metais_Pesados_Evidencia],MATCH(INDEX(tbl_recyclass[Familia_PPWR],MATCH(A2224,tbl_recyclass[ProductId],0)),tbl_familias_ppwr[ID_Familia],0))="Em falta","Lacuna","Conforme"),IF(B2224="EU-ENV-013",IF(INDEX(tbl_familias_ppwr[Declaracao_UE],MATCH(INDEX(tbl_recyclass[Familia_PPWR],MATCH(A2224,tbl_recyclass[ProductId],0)),tbl_familias_ppwr[ID_Familia],0))="Sim","Conforme","Lacuna"),G2224)))),G2224))</f>
        <v>Conforme (autoavaliação)</v>
      </c>
      <c r="I2224" s="33" t="str">
        <f t="shared" si="34"/>
        <v>Conforme</v>
      </c>
      <c r="J2224" s="26" t="s">
        <v>991</v>
      </c>
    </row>
    <row r="2225" spans="1:10" ht="16.05" customHeight="1" x14ac:dyDescent="0.3">
      <c r="A2225" s="26" t="s">
        <v>843</v>
      </c>
      <c r="B2225" s="26" t="s">
        <v>997</v>
      </c>
      <c r="C2225" s="33" t="str">
        <f>IFERROR(INDEX(tbl_requisitos_emb[Tema],MATCH(B2225,tbl_requisitos_emb[ID_Req],0)),"")</f>
        <v>Conteúdo reciclado</v>
      </c>
      <c r="D2225" s="33" t="str">
        <f>IFERROR(INDEX(tbl_recyclass[Segmento],MATCH(A2225,tbl_recyclass[ProductId],0)),"")</f>
        <v>Alimentar</v>
      </c>
      <c r="E2225" s="26" t="s">
        <v>901</v>
      </c>
      <c r="F2225" s="26" t="s">
        <v>1452</v>
      </c>
      <c r="G2225" s="26" t="s">
        <v>978</v>
      </c>
      <c r="H2225" s="33" t="str">
        <f>IF(E2225="Não","Não aplicável",IFERROR(IF(B2225="EU-ENV-002",IF(INDEX(tbl_recyclass[Conforme_PPWR_2030],MATCH(A2225,tbl_recyclass[ProductId],0))="Sim","Conforme (autoavaliação)",IF(INDEX(tbl_recyclass[Conforme_PPWR_2030],MATCH(A2225,tbl_recyclass[ProductId],0))="Não","Não conforme em 2030","Isento até 2035")),IF(B2225="EU-ENV-003",IF(INDEX(tbl_recyclass[Conforme_Art7_2030],MATCH(A2225,tbl_recyclass[ProductId],0))="Sim","Conforme (meta 2030)",IF(INDEX(tbl_recyclass[Conforme_Art7_2030],MATCH(A2225,tbl_recyclass[ProductId],0))="Não","Lacuna face à meta 2030","Isento")),IF(B2225="EU-ENV-011",IF(INDEX(tbl_familias_ppwr[Metais_Pesados_Evidencia],MATCH(INDEX(tbl_recyclass[Familia_PPWR],MATCH(A2225,tbl_recyclass[ProductId],0)),tbl_familias_ppwr[ID_Familia],0))="Em falta","Lacuna","Conforme"),IF(B2225="EU-ENV-013",IF(INDEX(tbl_familias_ppwr[Declaracao_UE],MATCH(INDEX(tbl_recyclass[Familia_PPWR],MATCH(A2225,tbl_recyclass[ProductId],0)),tbl_familias_ppwr[ID_Familia],0))="Sim","Conforme","Lacuna"),G2225)))),G2225))</f>
        <v>Lacuna face à meta 2030</v>
      </c>
      <c r="I2225" s="33" t="str">
        <f t="shared" si="34"/>
        <v>Lacuna</v>
      </c>
      <c r="J2225" s="26" t="s">
        <v>1001</v>
      </c>
    </row>
    <row r="2226" spans="1:10" ht="16.05" customHeight="1" x14ac:dyDescent="0.3">
      <c r="A2226" s="26" t="s">
        <v>843</v>
      </c>
      <c r="B2226" s="26" t="s">
        <v>1007</v>
      </c>
      <c r="C2226" s="33" t="str">
        <f>IFERROR(INDEX(tbl_requisitos_emb[Tema],MATCH(B2226,tbl_requisitos_emb[ID_Req],0)),"")</f>
        <v>Minimização</v>
      </c>
      <c r="D2226" s="33" t="str">
        <f>IFERROR(INDEX(tbl_recyclass[Segmento],MATCH(A2226,tbl_recyclass[ProductId],0)),"")</f>
        <v>Alimentar</v>
      </c>
      <c r="E2226" s="26" t="s">
        <v>901</v>
      </c>
      <c r="F2226" s="26" t="s">
        <v>1452</v>
      </c>
      <c r="G2226" s="26" t="s">
        <v>978</v>
      </c>
      <c r="H2226" s="33" t="str">
        <f>IF(E2226="Não","Não aplicável",IFERROR(IF(B2226="EU-ENV-002",IF(INDEX(tbl_recyclass[Conforme_PPWR_2030],MATCH(A2226,tbl_recyclass[ProductId],0))="Sim","Conforme (autoavaliação)",IF(INDEX(tbl_recyclass[Conforme_PPWR_2030],MATCH(A2226,tbl_recyclass[ProductId],0))="Não","Não conforme em 2030","Isento até 2035")),IF(B2226="EU-ENV-003",IF(INDEX(tbl_recyclass[Conforme_Art7_2030],MATCH(A2226,tbl_recyclass[ProductId],0))="Sim","Conforme (meta 2030)",IF(INDEX(tbl_recyclass[Conforme_Art7_2030],MATCH(A2226,tbl_recyclass[ProductId],0))="Não","Lacuna face à meta 2030","Isento")),IF(B2226="EU-ENV-011",IF(INDEX(tbl_familias_ppwr[Metais_Pesados_Evidencia],MATCH(INDEX(tbl_recyclass[Familia_PPWR],MATCH(A2226,tbl_recyclass[ProductId],0)),tbl_familias_ppwr[ID_Familia],0))="Em falta","Lacuna","Conforme"),IF(B2226="EU-ENV-013",IF(INDEX(tbl_familias_ppwr[Declaracao_UE],MATCH(INDEX(tbl_recyclass[Familia_PPWR],MATCH(A2226,tbl_recyclass[ProductId],0)),tbl_familias_ppwr[ID_Familia],0))="Sim","Conforme","Lacuna"),G2226)))),G2226))</f>
        <v>Parcial</v>
      </c>
      <c r="I2226" s="33" t="str">
        <f t="shared" si="34"/>
        <v>Parcial</v>
      </c>
      <c r="J2226" s="26" t="s">
        <v>1012</v>
      </c>
    </row>
    <row r="2227" spans="1:10" ht="16.05" customHeight="1" x14ac:dyDescent="0.3">
      <c r="A2227" s="26" t="s">
        <v>843</v>
      </c>
      <c r="B2227" s="26" t="s">
        <v>1016</v>
      </c>
      <c r="C2227" s="33" t="str">
        <f>IFERROR(INDEX(tbl_requisitos_emb[Tema],MATCH(B2227,tbl_requisitos_emb[ID_Req],0)),"")</f>
        <v>Rotulagem</v>
      </c>
      <c r="D2227" s="33" t="str">
        <f>IFERROR(INDEX(tbl_recyclass[Segmento],MATCH(A2227,tbl_recyclass[ProductId],0)),"")</f>
        <v>Alimentar</v>
      </c>
      <c r="E2227" s="26" t="s">
        <v>901</v>
      </c>
      <c r="F2227" s="26" t="s">
        <v>1452</v>
      </c>
      <c r="G2227" s="26" t="s">
        <v>990</v>
      </c>
      <c r="H2227" s="33" t="str">
        <f>IF(E2227="Não","Não aplicável",IFERROR(IF(B2227="EU-ENV-002",IF(INDEX(tbl_recyclass[Conforme_PPWR_2030],MATCH(A2227,tbl_recyclass[ProductId],0))="Sim","Conforme (autoavaliação)",IF(INDEX(tbl_recyclass[Conforme_PPWR_2030],MATCH(A2227,tbl_recyclass[ProductId],0))="Não","Não conforme em 2030","Isento até 2035")),IF(B2227="EU-ENV-003",IF(INDEX(tbl_recyclass[Conforme_Art7_2030],MATCH(A2227,tbl_recyclass[ProductId],0))="Sim","Conforme (meta 2030)",IF(INDEX(tbl_recyclass[Conforme_Art7_2030],MATCH(A2227,tbl_recyclass[ProductId],0))="Não","Lacuna face à meta 2030","Isento")),IF(B2227="EU-ENV-011",IF(INDEX(tbl_familias_ppwr[Metais_Pesados_Evidencia],MATCH(INDEX(tbl_recyclass[Familia_PPWR],MATCH(A2227,tbl_recyclass[ProductId],0)),tbl_familias_ppwr[ID_Familia],0))="Em falta","Lacuna","Conforme"),IF(B2227="EU-ENV-013",IF(INDEX(tbl_familias_ppwr[Declaracao_UE],MATCH(INDEX(tbl_recyclass[Familia_PPWR],MATCH(A2227,tbl_recyclass[ProductId],0)),tbl_familias_ppwr[ID_Familia],0))="Sim","Conforme","Lacuna"),G2227)))),G2227))</f>
        <v>Futuro</v>
      </c>
      <c r="I2227" s="33" t="str">
        <f t="shared" si="34"/>
        <v>Futuro</v>
      </c>
      <c r="J2227" s="26" t="s">
        <v>1021</v>
      </c>
    </row>
    <row r="2228" spans="1:10" ht="16.05" customHeight="1" x14ac:dyDescent="0.3">
      <c r="A2228" s="26" t="s">
        <v>843</v>
      </c>
      <c r="B2228" s="26" t="s">
        <v>1038</v>
      </c>
      <c r="C2228" s="33" t="str">
        <f>IFERROR(INDEX(tbl_requisitos_emb[Tema],MATCH(B2228,tbl_requisitos_emb[ID_Req],0)),"")</f>
        <v>Plásticos de utilização única</v>
      </c>
      <c r="D2228" s="33" t="str">
        <f>IFERROR(INDEX(tbl_recyclass[Segmento],MATCH(A2228,tbl_recyclass[ProductId],0)),"")</f>
        <v>Alimentar</v>
      </c>
      <c r="E2228" s="26" t="s">
        <v>901</v>
      </c>
      <c r="F2228" s="26" t="s">
        <v>1453</v>
      </c>
      <c r="G2228" s="26" t="s">
        <v>1033</v>
      </c>
      <c r="H2228" s="33" t="str">
        <f>IF(E2228="Não","Não aplicável",IFERROR(IF(B2228="EU-ENV-002",IF(INDEX(tbl_recyclass[Conforme_PPWR_2030],MATCH(A2228,tbl_recyclass[ProductId],0))="Sim","Conforme (autoavaliação)",IF(INDEX(tbl_recyclass[Conforme_PPWR_2030],MATCH(A2228,tbl_recyclass[ProductId],0))="Não","Não conforme em 2030","Isento até 2035")),IF(B2228="EU-ENV-003",IF(INDEX(tbl_recyclass[Conforme_Art7_2030],MATCH(A2228,tbl_recyclass[ProductId],0))="Sim","Conforme (meta 2030)",IF(INDEX(tbl_recyclass[Conforme_Art7_2030],MATCH(A2228,tbl_recyclass[ProductId],0))="Não","Lacuna face à meta 2030","Isento")),IF(B2228="EU-ENV-011",IF(INDEX(tbl_familias_ppwr[Metais_Pesados_Evidencia],MATCH(INDEX(tbl_recyclass[Familia_PPWR],MATCH(A2228,tbl_recyclass[ProductId],0)),tbl_familias_ppwr[ID_Familia],0))="Em falta","Lacuna","Conforme"),IF(B2228="EU-ENV-013",IF(INDEX(tbl_familias_ppwr[Declaracao_UE],MATCH(INDEX(tbl_recyclass[Familia_PPWR],MATCH(A2228,tbl_recyclass[ProductId],0)),tbl_familias_ppwr[ID_Familia],0))="Sim","Conforme","Lacuna"),G2228)))),G2228))</f>
        <v>Conforme</v>
      </c>
      <c r="I2228" s="33" t="str">
        <f t="shared" si="34"/>
        <v>Conforme</v>
      </c>
      <c r="J2228" s="26" t="s">
        <v>1046</v>
      </c>
    </row>
    <row r="2229" spans="1:10" ht="16.05" customHeight="1" x14ac:dyDescent="0.3">
      <c r="A2229" s="26" t="s">
        <v>843</v>
      </c>
      <c r="B2229" s="26" t="s">
        <v>1078</v>
      </c>
      <c r="C2229" s="33" t="str">
        <f>IFERROR(INDEX(tbl_requisitos_emb[Tema],MATCH(B2229,tbl_requisitos_emb[ID_Req],0)),"")</f>
        <v>Reciclado à escala</v>
      </c>
      <c r="D2229" s="33" t="str">
        <f>IFERROR(INDEX(tbl_recyclass[Segmento],MATCH(A2229,tbl_recyclass[ProductId],0)),"")</f>
        <v>Alimentar</v>
      </c>
      <c r="E2229" s="26" t="s">
        <v>901</v>
      </c>
      <c r="F2229" s="26" t="s">
        <v>1452</v>
      </c>
      <c r="G2229" s="26" t="s">
        <v>990</v>
      </c>
      <c r="H2229" s="33" t="str">
        <f>IF(E2229="Não","Não aplicável",IFERROR(IF(B2229="EU-ENV-002",IF(INDEX(tbl_recyclass[Conforme_PPWR_2030],MATCH(A2229,tbl_recyclass[ProductId],0))="Sim","Conforme (autoavaliação)",IF(INDEX(tbl_recyclass[Conforme_PPWR_2030],MATCH(A2229,tbl_recyclass[ProductId],0))="Não","Não conforme em 2030","Isento até 2035")),IF(B2229="EU-ENV-003",IF(INDEX(tbl_recyclass[Conforme_Art7_2030],MATCH(A2229,tbl_recyclass[ProductId],0))="Sim","Conforme (meta 2030)",IF(INDEX(tbl_recyclass[Conforme_Art7_2030],MATCH(A2229,tbl_recyclass[ProductId],0))="Não","Lacuna face à meta 2030","Isento")),IF(B2229="EU-ENV-011",IF(INDEX(tbl_familias_ppwr[Metais_Pesados_Evidencia],MATCH(INDEX(tbl_recyclass[Familia_PPWR],MATCH(A2229,tbl_recyclass[ProductId],0)),tbl_familias_ppwr[ID_Familia],0))="Em falta","Lacuna","Conforme"),IF(B2229="EU-ENV-013",IF(INDEX(tbl_familias_ppwr[Declaracao_UE],MATCH(INDEX(tbl_recyclass[Familia_PPWR],MATCH(A2229,tbl_recyclass[ProductId],0)),tbl_familias_ppwr[ID_Familia],0))="Sim","Conforme","Lacuna"),G2229)))),G2229))</f>
        <v>Futuro</v>
      </c>
      <c r="I2229" s="33" t="str">
        <f t="shared" si="34"/>
        <v>Futuro</v>
      </c>
      <c r="J2229" s="26" t="s">
        <v>1082</v>
      </c>
    </row>
    <row r="2230" spans="1:10" ht="16.05" customHeight="1" x14ac:dyDescent="0.3">
      <c r="A2230" s="26" t="s">
        <v>843</v>
      </c>
      <c r="B2230" s="26" t="s">
        <v>1086</v>
      </c>
      <c r="C2230" s="33" t="str">
        <f>IFERROR(INDEX(tbl_requisitos_emb[Tema],MATCH(B2230,tbl_requisitos_emb[ID_Req],0)),"")</f>
        <v>Metais pesados</v>
      </c>
      <c r="D2230" s="33" t="str">
        <f>IFERROR(INDEX(tbl_recyclass[Segmento],MATCH(A2230,tbl_recyclass[ProductId],0)),"")</f>
        <v>Alimentar</v>
      </c>
      <c r="E2230" s="26" t="s">
        <v>901</v>
      </c>
      <c r="F2230" s="26" t="s">
        <v>1452</v>
      </c>
      <c r="G2230" s="26" t="s">
        <v>978</v>
      </c>
      <c r="H2230" s="33" t="str">
        <f>IF(E2230="Não","Não aplicável",IFERROR(IF(B2230="EU-ENV-002",IF(INDEX(tbl_recyclass[Conforme_PPWR_2030],MATCH(A2230,tbl_recyclass[ProductId],0))="Sim","Conforme (autoavaliação)",IF(INDEX(tbl_recyclass[Conforme_PPWR_2030],MATCH(A2230,tbl_recyclass[ProductId],0))="Não","Não conforme em 2030","Isento até 2035")),IF(B2230="EU-ENV-003",IF(INDEX(tbl_recyclass[Conforme_Art7_2030],MATCH(A2230,tbl_recyclass[ProductId],0))="Sim","Conforme (meta 2030)",IF(INDEX(tbl_recyclass[Conforme_Art7_2030],MATCH(A2230,tbl_recyclass[ProductId],0))="Não","Lacuna face à meta 2030","Isento")),IF(B2230="EU-ENV-011",IF(INDEX(tbl_familias_ppwr[Metais_Pesados_Evidencia],MATCH(INDEX(tbl_recyclass[Familia_PPWR],MATCH(A2230,tbl_recyclass[ProductId],0)),tbl_familias_ppwr[ID_Familia],0))="Em falta","Lacuna","Conforme"),IF(B2230="EU-ENV-013",IF(INDEX(tbl_familias_ppwr[Declaracao_UE],MATCH(INDEX(tbl_recyclass[Familia_PPWR],MATCH(A2230,tbl_recyclass[ProductId],0)),tbl_familias_ppwr[ID_Familia],0))="Sim","Conforme","Lacuna"),G2230)))),G2230))</f>
        <v>Conforme</v>
      </c>
      <c r="I2230" s="33" t="str">
        <f t="shared" si="34"/>
        <v>Conforme</v>
      </c>
      <c r="J2230" s="26" t="s">
        <v>1090</v>
      </c>
    </row>
    <row r="2231" spans="1:10" ht="16.05" customHeight="1" x14ac:dyDescent="0.3">
      <c r="A2231" s="26" t="s">
        <v>843</v>
      </c>
      <c r="B2231" s="26" t="s">
        <v>1094</v>
      </c>
      <c r="C2231" s="33" t="str">
        <f>IFERROR(INDEX(tbl_requisitos_emb[Tema],MATCH(B2231,tbl_requisitos_emb[ID_Req],0)),"")</f>
        <v>PFAS</v>
      </c>
      <c r="D2231" s="33" t="str">
        <f>IFERROR(INDEX(tbl_recyclass[Segmento],MATCH(A2231,tbl_recyclass[ProductId],0)),"")</f>
        <v>Alimentar</v>
      </c>
      <c r="E2231" s="26" t="s">
        <v>901</v>
      </c>
      <c r="F2231" s="26" t="s">
        <v>1452</v>
      </c>
      <c r="G2231" s="26" t="s">
        <v>1033</v>
      </c>
      <c r="H2231" s="33" t="str">
        <f>IF(E2231="Não","Não aplicável",IFERROR(IF(B2231="EU-ENV-002",IF(INDEX(tbl_recyclass[Conforme_PPWR_2030],MATCH(A2231,tbl_recyclass[ProductId],0))="Sim","Conforme (autoavaliação)",IF(INDEX(tbl_recyclass[Conforme_PPWR_2030],MATCH(A2231,tbl_recyclass[ProductId],0))="Não","Não conforme em 2030","Isento até 2035")),IF(B2231="EU-ENV-003",IF(INDEX(tbl_recyclass[Conforme_Art7_2030],MATCH(A2231,tbl_recyclass[ProductId],0))="Sim","Conforme (meta 2030)",IF(INDEX(tbl_recyclass[Conforme_Art7_2030],MATCH(A2231,tbl_recyclass[ProductId],0))="Não","Lacuna face à meta 2030","Isento")),IF(B2231="EU-ENV-011",IF(INDEX(tbl_familias_ppwr[Metais_Pesados_Evidencia],MATCH(INDEX(tbl_recyclass[Familia_PPWR],MATCH(A2231,tbl_recyclass[ProductId],0)),tbl_familias_ppwr[ID_Familia],0))="Em falta","Lacuna","Conforme"),IF(B2231="EU-ENV-013",IF(INDEX(tbl_familias_ppwr[Declaracao_UE],MATCH(INDEX(tbl_recyclass[Familia_PPWR],MATCH(A2231,tbl_recyclass[ProductId],0)),tbl_familias_ppwr[ID_Familia],0))="Sim","Conforme","Lacuna"),G2231)))),G2231))</f>
        <v>Conforme</v>
      </c>
      <c r="I2231" s="33" t="str">
        <f t="shared" si="34"/>
        <v>Conforme</v>
      </c>
      <c r="J2231" s="26" t="s">
        <v>1098</v>
      </c>
    </row>
    <row r="2232" spans="1:10" ht="16.05" customHeight="1" x14ac:dyDescent="0.3">
      <c r="A2232" s="26" t="s">
        <v>843</v>
      </c>
      <c r="B2232" s="26" t="s">
        <v>1102</v>
      </c>
      <c r="C2232" s="33" t="str">
        <f>IFERROR(INDEX(tbl_requisitos_emb[Tema],MATCH(B2232,tbl_requisitos_emb[ID_Req],0)),"")</f>
        <v>Documentação técnica e declaração UE</v>
      </c>
      <c r="D2232" s="33" t="str">
        <f>IFERROR(INDEX(tbl_recyclass[Segmento],MATCH(A2232,tbl_recyclass[ProductId],0)),"")</f>
        <v>Alimentar</v>
      </c>
      <c r="E2232" s="26" t="s">
        <v>901</v>
      </c>
      <c r="F2232" s="26" t="s">
        <v>1452</v>
      </c>
      <c r="G2232" s="26" t="s">
        <v>978</v>
      </c>
      <c r="H2232" s="33" t="str">
        <f>IF(E2232="Não","Não aplicável",IFERROR(IF(B2232="EU-ENV-002",IF(INDEX(tbl_recyclass[Conforme_PPWR_2030],MATCH(A2232,tbl_recyclass[ProductId],0))="Sim","Conforme (autoavaliação)",IF(INDEX(tbl_recyclass[Conforme_PPWR_2030],MATCH(A2232,tbl_recyclass[ProductId],0))="Não","Não conforme em 2030","Isento até 2035")),IF(B2232="EU-ENV-003",IF(INDEX(tbl_recyclass[Conforme_Art7_2030],MATCH(A2232,tbl_recyclass[ProductId],0))="Sim","Conforme (meta 2030)",IF(INDEX(tbl_recyclass[Conforme_Art7_2030],MATCH(A2232,tbl_recyclass[ProductId],0))="Não","Lacuna face à meta 2030","Isento")),IF(B2232="EU-ENV-011",IF(INDEX(tbl_familias_ppwr[Metais_Pesados_Evidencia],MATCH(INDEX(tbl_recyclass[Familia_PPWR],MATCH(A2232,tbl_recyclass[ProductId],0)),tbl_familias_ppwr[ID_Familia],0))="Em falta","Lacuna","Conforme"),IF(B2232="EU-ENV-013",IF(INDEX(tbl_familias_ppwr[Declaracao_UE],MATCH(INDEX(tbl_recyclass[Familia_PPWR],MATCH(A2232,tbl_recyclass[ProductId],0)),tbl_familias_ppwr[ID_Familia],0))="Sim","Conforme","Lacuna"),G2232)))),G2232))</f>
        <v>Conforme</v>
      </c>
      <c r="I2232" s="33" t="str">
        <f t="shared" si="34"/>
        <v>Conforme</v>
      </c>
      <c r="J2232" s="26" t="s">
        <v>1106</v>
      </c>
    </row>
    <row r="2233" spans="1:10" ht="16.05" customHeight="1" x14ac:dyDescent="0.3">
      <c r="A2233" s="26" t="s">
        <v>843</v>
      </c>
      <c r="B2233" s="26" t="s">
        <v>1161</v>
      </c>
      <c r="C2233" s="33" t="str">
        <f>IFERROR(INDEX(tbl_requisitos_emb[Tema],MATCH(B2233,tbl_requisitos_emb[ID_Req],0)),"")</f>
        <v>Materiais em contacto com alimentos</v>
      </c>
      <c r="D2233" s="33" t="str">
        <f>IFERROR(INDEX(tbl_recyclass[Segmento],MATCH(A2233,tbl_recyclass[ProductId],0)),"")</f>
        <v>Alimentar</v>
      </c>
      <c r="E2233" s="26" t="s">
        <v>901</v>
      </c>
      <c r="F2233" s="26" t="s">
        <v>1452</v>
      </c>
      <c r="G2233" s="26" t="s">
        <v>1033</v>
      </c>
      <c r="H2233" s="33" t="str">
        <f>IF(E2233="Não","Não aplicável",IFERROR(IF(B2233="EU-ENV-002",IF(INDEX(tbl_recyclass[Conforme_PPWR_2030],MATCH(A2233,tbl_recyclass[ProductId],0))="Sim","Conforme (autoavaliação)",IF(INDEX(tbl_recyclass[Conforme_PPWR_2030],MATCH(A2233,tbl_recyclass[ProductId],0))="Não","Não conforme em 2030","Isento até 2035")),IF(B2233="EU-ENV-003",IF(INDEX(tbl_recyclass[Conforme_Art7_2030],MATCH(A2233,tbl_recyclass[ProductId],0))="Sim","Conforme (meta 2030)",IF(INDEX(tbl_recyclass[Conforme_Art7_2030],MATCH(A2233,tbl_recyclass[ProductId],0))="Não","Lacuna face à meta 2030","Isento")),IF(B2233="EU-ENV-011",IF(INDEX(tbl_familias_ppwr[Metais_Pesados_Evidencia],MATCH(INDEX(tbl_recyclass[Familia_PPWR],MATCH(A2233,tbl_recyclass[ProductId],0)),tbl_familias_ppwr[ID_Familia],0))="Em falta","Lacuna","Conforme"),IF(B2233="EU-ENV-013",IF(INDEX(tbl_familias_ppwr[Declaracao_UE],MATCH(INDEX(tbl_recyclass[Familia_PPWR],MATCH(A2233,tbl_recyclass[ProductId],0)),tbl_familias_ppwr[ID_Familia],0))="Sim","Conforme","Lacuna"),G2233)))),G2233))</f>
        <v>Conforme</v>
      </c>
      <c r="I2233" s="33" t="str">
        <f t="shared" si="34"/>
        <v>Conforme</v>
      </c>
      <c r="J2233" s="26" t="s">
        <v>1168</v>
      </c>
    </row>
    <row r="2234" spans="1:10" ht="16.05" customHeight="1" x14ac:dyDescent="0.3">
      <c r="A2234" s="26" t="s">
        <v>843</v>
      </c>
      <c r="B2234" s="26" t="s">
        <v>1170</v>
      </c>
      <c r="C2234" s="33" t="str">
        <f>IFERROR(INDEX(tbl_requisitos_emb[Tema],MATCH(B2234,tbl_requisitos_emb[ID_Req],0)),"")</f>
        <v>Boas práticas de fabrico FCM</v>
      </c>
      <c r="D2234" s="33" t="str">
        <f>IFERROR(INDEX(tbl_recyclass[Segmento],MATCH(A2234,tbl_recyclass[ProductId],0)),"")</f>
        <v>Alimentar</v>
      </c>
      <c r="E2234" s="26" t="s">
        <v>901</v>
      </c>
      <c r="F2234" s="26" t="s">
        <v>1452</v>
      </c>
      <c r="G2234" s="26" t="s">
        <v>978</v>
      </c>
      <c r="H2234" s="33" t="str">
        <f>IF(E2234="Não","Não aplicável",IFERROR(IF(B2234="EU-ENV-002",IF(INDEX(tbl_recyclass[Conforme_PPWR_2030],MATCH(A2234,tbl_recyclass[ProductId],0))="Sim","Conforme (autoavaliação)",IF(INDEX(tbl_recyclass[Conforme_PPWR_2030],MATCH(A2234,tbl_recyclass[ProductId],0))="Não","Não conforme em 2030","Isento até 2035")),IF(B2234="EU-ENV-003",IF(INDEX(tbl_recyclass[Conforme_Art7_2030],MATCH(A2234,tbl_recyclass[ProductId],0))="Sim","Conforme (meta 2030)",IF(INDEX(tbl_recyclass[Conforme_Art7_2030],MATCH(A2234,tbl_recyclass[ProductId],0))="Não","Lacuna face à meta 2030","Isento")),IF(B2234="EU-ENV-011",IF(INDEX(tbl_familias_ppwr[Metais_Pesados_Evidencia],MATCH(INDEX(tbl_recyclass[Familia_PPWR],MATCH(A2234,tbl_recyclass[ProductId],0)),tbl_familias_ppwr[ID_Familia],0))="Em falta","Lacuna","Conforme"),IF(B2234="EU-ENV-013",IF(INDEX(tbl_familias_ppwr[Declaracao_UE],MATCH(INDEX(tbl_recyclass[Familia_PPWR],MATCH(A2234,tbl_recyclass[ProductId],0)),tbl_familias_ppwr[ID_Familia],0))="Sim","Conforme","Lacuna"),G2234)))),G2234))</f>
        <v>Parcial</v>
      </c>
      <c r="I2234" s="33" t="str">
        <f t="shared" si="34"/>
        <v>Parcial</v>
      </c>
      <c r="J2234" s="26" t="s">
        <v>1175</v>
      </c>
    </row>
    <row r="2235" spans="1:10" ht="16.05" customHeight="1" x14ac:dyDescent="0.3">
      <c r="A2235" s="26" t="s">
        <v>843</v>
      </c>
      <c r="B2235" s="26" t="s">
        <v>1179</v>
      </c>
      <c r="C2235" s="33" t="str">
        <f>IFERROR(INDEX(tbl_requisitos_emb[Tema],MATCH(B2235,tbl_requisitos_emb[ID_Req],0)),"")</f>
        <v>Bisfenol A e bisfenóis perigosos</v>
      </c>
      <c r="D2235" s="33" t="str">
        <f>IFERROR(INDEX(tbl_recyclass[Segmento],MATCH(A2235,tbl_recyclass[ProductId],0)),"")</f>
        <v>Alimentar</v>
      </c>
      <c r="E2235" s="26" t="s">
        <v>901</v>
      </c>
      <c r="F2235" s="26" t="s">
        <v>1452</v>
      </c>
      <c r="G2235" s="26" t="s">
        <v>1033</v>
      </c>
      <c r="H2235" s="33" t="str">
        <f>IF(E2235="Não","Não aplicável",IFERROR(IF(B2235="EU-ENV-002",IF(INDEX(tbl_recyclass[Conforme_PPWR_2030],MATCH(A2235,tbl_recyclass[ProductId],0))="Sim","Conforme (autoavaliação)",IF(INDEX(tbl_recyclass[Conforme_PPWR_2030],MATCH(A2235,tbl_recyclass[ProductId],0))="Não","Não conforme em 2030","Isento até 2035")),IF(B2235="EU-ENV-003",IF(INDEX(tbl_recyclass[Conforme_Art7_2030],MATCH(A2235,tbl_recyclass[ProductId],0))="Sim","Conforme (meta 2030)",IF(INDEX(tbl_recyclass[Conforme_Art7_2030],MATCH(A2235,tbl_recyclass[ProductId],0))="Não","Lacuna face à meta 2030","Isento")),IF(B2235="EU-ENV-011",IF(INDEX(tbl_familias_ppwr[Metais_Pesados_Evidencia],MATCH(INDEX(tbl_recyclass[Familia_PPWR],MATCH(A2235,tbl_recyclass[ProductId],0)),tbl_familias_ppwr[ID_Familia],0))="Em falta","Lacuna","Conforme"),IF(B2235="EU-ENV-013",IF(INDEX(tbl_familias_ppwr[Declaracao_UE],MATCH(INDEX(tbl_recyclass[Familia_PPWR],MATCH(A2235,tbl_recyclass[ProductId],0)),tbl_familias_ppwr[ID_Familia],0))="Sim","Conforme","Lacuna"),G2235)))),G2235))</f>
        <v>Conforme</v>
      </c>
      <c r="I2235" s="33" t="str">
        <f t="shared" si="34"/>
        <v>Conforme</v>
      </c>
      <c r="J2235" s="26" t="s">
        <v>1185</v>
      </c>
    </row>
    <row r="2236" spans="1:10" ht="16.05" customHeight="1" x14ac:dyDescent="0.3">
      <c r="A2236" s="26" t="s">
        <v>843</v>
      </c>
      <c r="B2236" s="26" t="s">
        <v>1188</v>
      </c>
      <c r="C2236" s="33" t="str">
        <f>IFERROR(INDEX(tbl_requisitos_emb[Tema],MATCH(B2236,tbl_requisitos_emb[ID_Req],0)),"")</f>
        <v>Plásticos em contacto com alimentos</v>
      </c>
      <c r="D2236" s="33" t="str">
        <f>IFERROR(INDEX(tbl_recyclass[Segmento],MATCH(A2236,tbl_recyclass[ProductId],0)),"")</f>
        <v>Alimentar</v>
      </c>
      <c r="E2236" s="26" t="s">
        <v>901</v>
      </c>
      <c r="F2236" s="26" t="s">
        <v>1452</v>
      </c>
      <c r="G2236" s="26" t="s">
        <v>1033</v>
      </c>
      <c r="H2236" s="33" t="str">
        <f>IF(E2236="Não","Não aplicável",IFERROR(IF(B2236="EU-ENV-002",IF(INDEX(tbl_recyclass[Conforme_PPWR_2030],MATCH(A2236,tbl_recyclass[ProductId],0))="Sim","Conforme (autoavaliação)",IF(INDEX(tbl_recyclass[Conforme_PPWR_2030],MATCH(A2236,tbl_recyclass[ProductId],0))="Não","Não conforme em 2030","Isento até 2035")),IF(B2236="EU-ENV-003",IF(INDEX(tbl_recyclass[Conforme_Art7_2030],MATCH(A2236,tbl_recyclass[ProductId],0))="Sim","Conforme (meta 2030)",IF(INDEX(tbl_recyclass[Conforme_Art7_2030],MATCH(A2236,tbl_recyclass[ProductId],0))="Não","Lacuna face à meta 2030","Isento")),IF(B2236="EU-ENV-011",IF(INDEX(tbl_familias_ppwr[Metais_Pesados_Evidencia],MATCH(INDEX(tbl_recyclass[Familia_PPWR],MATCH(A2236,tbl_recyclass[ProductId],0)),tbl_familias_ppwr[ID_Familia],0))="Em falta","Lacuna","Conforme"),IF(B2236="EU-ENV-013",IF(INDEX(tbl_familias_ppwr[Declaracao_UE],MATCH(INDEX(tbl_recyclass[Familia_PPWR],MATCH(A2236,tbl_recyclass[ProductId],0)),tbl_familias_ppwr[ID_Familia],0))="Sim","Conforme","Lacuna"),G2236)))),G2236))</f>
        <v>Conforme</v>
      </c>
      <c r="I2236" s="33" t="str">
        <f t="shared" si="34"/>
        <v>Conforme</v>
      </c>
      <c r="J2236" s="26" t="s">
        <v>1193</v>
      </c>
    </row>
    <row r="2237" spans="1:10" ht="16.05" customHeight="1" x14ac:dyDescent="0.3">
      <c r="A2237" s="26" t="s">
        <v>843</v>
      </c>
      <c r="B2237" s="26" t="s">
        <v>1212</v>
      </c>
      <c r="C2237" s="33" t="str">
        <f>IFERROR(INDEX(tbl_requisitos_emb[Tema],MATCH(B2237,tbl_requisitos_emb[ID_Req],0)),"")</f>
        <v>Segurança do produto cosmético</v>
      </c>
      <c r="D2237" s="33" t="str">
        <f>IFERROR(INDEX(tbl_recyclass[Segmento],MATCH(A2237,tbl_recyclass[ProductId],0)),"")</f>
        <v>Alimentar</v>
      </c>
      <c r="E2237" s="26" t="s">
        <v>904</v>
      </c>
      <c r="F2237" s="26" t="s">
        <v>1454</v>
      </c>
      <c r="G2237" s="26" t="s">
        <v>1143</v>
      </c>
      <c r="H2237" s="33" t="str">
        <f>IF(E2237="Não","Não aplicável",IFERROR(IF(B2237="EU-ENV-002",IF(INDEX(tbl_recyclass[Conforme_PPWR_2030],MATCH(A2237,tbl_recyclass[ProductId],0))="Sim","Conforme (autoavaliação)",IF(INDEX(tbl_recyclass[Conforme_PPWR_2030],MATCH(A2237,tbl_recyclass[ProductId],0))="Não","Não conforme em 2030","Isento até 2035")),IF(B2237="EU-ENV-003",IF(INDEX(tbl_recyclass[Conforme_Art7_2030],MATCH(A2237,tbl_recyclass[ProductId],0))="Sim","Conforme (meta 2030)",IF(INDEX(tbl_recyclass[Conforme_Art7_2030],MATCH(A2237,tbl_recyclass[ProductId],0))="Não","Lacuna face à meta 2030","Isento")),IF(B2237="EU-ENV-011",IF(INDEX(tbl_familias_ppwr[Metais_Pesados_Evidencia],MATCH(INDEX(tbl_recyclass[Familia_PPWR],MATCH(A2237,tbl_recyclass[ProductId],0)),tbl_familias_ppwr[ID_Familia],0))="Em falta","Lacuna","Conforme"),IF(B2237="EU-ENV-013",IF(INDEX(tbl_familias_ppwr[Declaracao_UE],MATCH(INDEX(tbl_recyclass[Familia_PPWR],MATCH(A2237,tbl_recyclass[ProductId],0)),tbl_familias_ppwr[ID_Familia],0))="Sim","Conforme","Lacuna"),G2237)))),G2237))</f>
        <v>Não aplicável</v>
      </c>
      <c r="I2237" s="33" t="str">
        <f t="shared" si="34"/>
        <v>Não aplicável</v>
      </c>
      <c r="J2237" s="26"/>
    </row>
    <row r="2238" spans="1:10" ht="16.05" customHeight="1" x14ac:dyDescent="0.3">
      <c r="A2238" s="26" t="s">
        <v>843</v>
      </c>
      <c r="B2238" s="26" t="s">
        <v>1224</v>
      </c>
      <c r="C2238" s="33" t="str">
        <f>IFERROR(INDEX(tbl_requisitos_emb[Tema],MATCH(B2238,tbl_requisitos_emb[ID_Req],0)),"")</f>
        <v>Materiais e impurezas</v>
      </c>
      <c r="D2238" s="33" t="str">
        <f>IFERROR(INDEX(tbl_recyclass[Segmento],MATCH(A2238,tbl_recyclass[ProductId],0)),"")</f>
        <v>Alimentar</v>
      </c>
      <c r="E2238" s="26" t="s">
        <v>904</v>
      </c>
      <c r="F2238" s="26" t="s">
        <v>1454</v>
      </c>
      <c r="G2238" s="26" t="s">
        <v>1143</v>
      </c>
      <c r="H2238" s="33" t="str">
        <f>IF(E2238="Não","Não aplicável",IFERROR(IF(B2238="EU-ENV-002",IF(INDEX(tbl_recyclass[Conforme_PPWR_2030],MATCH(A2238,tbl_recyclass[ProductId],0))="Sim","Conforme (autoavaliação)",IF(INDEX(tbl_recyclass[Conforme_PPWR_2030],MATCH(A2238,tbl_recyclass[ProductId],0))="Não","Não conforme em 2030","Isento até 2035")),IF(B2238="EU-ENV-003",IF(INDEX(tbl_recyclass[Conforme_Art7_2030],MATCH(A2238,tbl_recyclass[ProductId],0))="Sim","Conforme (meta 2030)",IF(INDEX(tbl_recyclass[Conforme_Art7_2030],MATCH(A2238,tbl_recyclass[ProductId],0))="Não","Lacuna face à meta 2030","Isento")),IF(B2238="EU-ENV-011",IF(INDEX(tbl_familias_ppwr[Metais_Pesados_Evidencia],MATCH(INDEX(tbl_recyclass[Familia_PPWR],MATCH(A2238,tbl_recyclass[ProductId],0)),tbl_familias_ppwr[ID_Familia],0))="Em falta","Lacuna","Conforme"),IF(B2238="EU-ENV-013",IF(INDEX(tbl_familias_ppwr[Declaracao_UE],MATCH(INDEX(tbl_recyclass[Familia_PPWR],MATCH(A2238,tbl_recyclass[ProductId],0)),tbl_familias_ppwr[ID_Familia],0))="Sim","Conforme","Lacuna"),G2238)))),G2238))</f>
        <v>Não aplicável</v>
      </c>
      <c r="I2238" s="33" t="str">
        <f t="shared" si="34"/>
        <v>Não aplicável</v>
      </c>
      <c r="J2238" s="26"/>
    </row>
    <row r="2239" spans="1:10" ht="16.05" customHeight="1" x14ac:dyDescent="0.3">
      <c r="A2239" s="26" t="s">
        <v>843</v>
      </c>
      <c r="B2239" s="26" t="s">
        <v>1240</v>
      </c>
      <c r="C2239" s="33" t="str">
        <f>IFERROR(INDEX(tbl_requisitos_emb[Tema],MATCH(B2239,tbl_requisitos_emb[ID_Req],0)),"")</f>
        <v>Compatibilidade embalagem–produto</v>
      </c>
      <c r="D2239" s="33" t="str">
        <f>IFERROR(INDEX(tbl_recyclass[Segmento],MATCH(A2239,tbl_recyclass[ProductId],0)),"")</f>
        <v>Alimentar</v>
      </c>
      <c r="E2239" s="26" t="s">
        <v>904</v>
      </c>
      <c r="F2239" s="26" t="s">
        <v>1454</v>
      </c>
      <c r="G2239" s="26" t="s">
        <v>1143</v>
      </c>
      <c r="H2239" s="33" t="str">
        <f>IF(E2239="Não","Não aplicável",IFERROR(IF(B2239="EU-ENV-002",IF(INDEX(tbl_recyclass[Conforme_PPWR_2030],MATCH(A2239,tbl_recyclass[ProductId],0))="Sim","Conforme (autoavaliação)",IF(INDEX(tbl_recyclass[Conforme_PPWR_2030],MATCH(A2239,tbl_recyclass[ProductId],0))="Não","Não conforme em 2030","Isento até 2035")),IF(B2239="EU-ENV-003",IF(INDEX(tbl_recyclass[Conforme_Art7_2030],MATCH(A2239,tbl_recyclass[ProductId],0))="Sim","Conforme (meta 2030)",IF(INDEX(tbl_recyclass[Conforme_Art7_2030],MATCH(A2239,tbl_recyclass[ProductId],0))="Não","Lacuna face à meta 2030","Isento")),IF(B2239="EU-ENV-011",IF(INDEX(tbl_familias_ppwr[Metais_Pesados_Evidencia],MATCH(INDEX(tbl_recyclass[Familia_PPWR],MATCH(A2239,tbl_recyclass[ProductId],0)),tbl_familias_ppwr[ID_Familia],0))="Em falta","Lacuna","Conforme"),IF(B2239="EU-ENV-013",IF(INDEX(tbl_familias_ppwr[Declaracao_UE],MATCH(INDEX(tbl_recyclass[Familia_PPWR],MATCH(A2239,tbl_recyclass[ProductId],0)),tbl_familias_ppwr[ID_Familia],0))="Sim","Conforme","Lacuna"),G2239)))),G2239))</f>
        <v>Não aplicável</v>
      </c>
      <c r="I2239" s="33" t="str">
        <f t="shared" si="34"/>
        <v>Não aplicável</v>
      </c>
      <c r="J2239" s="26"/>
    </row>
    <row r="2240" spans="1:10" ht="16.05" customHeight="1" x14ac:dyDescent="0.3">
      <c r="A2240" s="26" t="s">
        <v>843</v>
      </c>
      <c r="B2240" s="26" t="s">
        <v>1252</v>
      </c>
      <c r="C2240" s="33" t="str">
        <f>IFERROR(INDEX(tbl_requisitos_emb[Tema],MATCH(B2240,tbl_requisitos_emb[ID_Req],0)),"")</f>
        <v>Medicamentos de uso humano</v>
      </c>
      <c r="D2240" s="33" t="str">
        <f>IFERROR(INDEX(tbl_recyclass[Segmento],MATCH(A2240,tbl_recyclass[ProductId],0)),"")</f>
        <v>Alimentar</v>
      </c>
      <c r="E2240" s="26" t="s">
        <v>904</v>
      </c>
      <c r="F2240" s="26" t="s">
        <v>1455</v>
      </c>
      <c r="G2240" s="26" t="s">
        <v>1143</v>
      </c>
      <c r="H2240" s="33" t="str">
        <f>IF(E2240="Não","Não aplicável",IFERROR(IF(B2240="EU-ENV-002",IF(INDEX(tbl_recyclass[Conforme_PPWR_2030],MATCH(A2240,tbl_recyclass[ProductId],0))="Sim","Conforme (autoavaliação)",IF(INDEX(tbl_recyclass[Conforme_PPWR_2030],MATCH(A2240,tbl_recyclass[ProductId],0))="Não","Não conforme em 2030","Isento até 2035")),IF(B2240="EU-ENV-003",IF(INDEX(tbl_recyclass[Conforme_Art7_2030],MATCH(A2240,tbl_recyclass[ProductId],0))="Sim","Conforme (meta 2030)",IF(INDEX(tbl_recyclass[Conforme_Art7_2030],MATCH(A2240,tbl_recyclass[ProductId],0))="Não","Lacuna face à meta 2030","Isento")),IF(B2240="EU-ENV-011",IF(INDEX(tbl_familias_ppwr[Metais_Pesados_Evidencia],MATCH(INDEX(tbl_recyclass[Familia_PPWR],MATCH(A2240,tbl_recyclass[ProductId],0)),tbl_familias_ppwr[ID_Familia],0))="Em falta","Lacuna","Conforme"),IF(B2240="EU-ENV-013",IF(INDEX(tbl_familias_ppwr[Declaracao_UE],MATCH(INDEX(tbl_recyclass[Familia_PPWR],MATCH(A2240,tbl_recyclass[ProductId],0)),tbl_familias_ppwr[ID_Familia],0))="Sim","Conforme","Lacuna"),G2240)))),G2240))</f>
        <v>Não aplicável</v>
      </c>
      <c r="I2240" s="33" t="str">
        <f t="shared" si="34"/>
        <v>Não aplicável</v>
      </c>
      <c r="J2240" s="26"/>
    </row>
    <row r="2241" spans="1:10" ht="16.05" customHeight="1" x14ac:dyDescent="0.3">
      <c r="A2241" s="26" t="s">
        <v>843</v>
      </c>
      <c r="B2241" s="26" t="s">
        <v>1268</v>
      </c>
      <c r="C2241" s="33" t="str">
        <f>IFERROR(INDEX(tbl_requisitos_emb[Tema],MATCH(B2241,tbl_requisitos_emb[ID_Req],0)),"")</f>
        <v>Dispositivos de segurança</v>
      </c>
      <c r="D2241" s="33" t="str">
        <f>IFERROR(INDEX(tbl_recyclass[Segmento],MATCH(A2241,tbl_recyclass[ProductId],0)),"")</f>
        <v>Alimentar</v>
      </c>
      <c r="E2241" s="26" t="s">
        <v>904</v>
      </c>
      <c r="F2241" s="26" t="s">
        <v>1455</v>
      </c>
      <c r="G2241" s="26" t="s">
        <v>1143</v>
      </c>
      <c r="H2241" s="33" t="str">
        <f>IF(E2241="Não","Não aplicável",IFERROR(IF(B2241="EU-ENV-002",IF(INDEX(tbl_recyclass[Conforme_PPWR_2030],MATCH(A2241,tbl_recyclass[ProductId],0))="Sim","Conforme (autoavaliação)",IF(INDEX(tbl_recyclass[Conforme_PPWR_2030],MATCH(A2241,tbl_recyclass[ProductId],0))="Não","Não conforme em 2030","Isento até 2035")),IF(B2241="EU-ENV-003",IF(INDEX(tbl_recyclass[Conforme_Art7_2030],MATCH(A2241,tbl_recyclass[ProductId],0))="Sim","Conforme (meta 2030)",IF(INDEX(tbl_recyclass[Conforme_Art7_2030],MATCH(A2241,tbl_recyclass[ProductId],0))="Não","Lacuna face à meta 2030","Isento")),IF(B2241="EU-ENV-011",IF(INDEX(tbl_familias_ppwr[Metais_Pesados_Evidencia],MATCH(INDEX(tbl_recyclass[Familia_PPWR],MATCH(A2241,tbl_recyclass[ProductId],0)),tbl_familias_ppwr[ID_Familia],0))="Em falta","Lacuna","Conforme"),IF(B2241="EU-ENV-013",IF(INDEX(tbl_familias_ppwr[Declaracao_UE],MATCH(INDEX(tbl_recyclass[Familia_PPWR],MATCH(A2241,tbl_recyclass[ProductId],0)),tbl_familias_ppwr[ID_Familia],0))="Sim","Conforme","Lacuna"),G2241)))),G2241))</f>
        <v>Não aplicável</v>
      </c>
      <c r="I2241" s="33" t="str">
        <f t="shared" si="34"/>
        <v>Não aplicável</v>
      </c>
      <c r="J2241" s="26"/>
    </row>
    <row r="2242" spans="1:10" ht="16.05" customHeight="1" x14ac:dyDescent="0.3">
      <c r="A2242" s="26" t="s">
        <v>843</v>
      </c>
      <c r="B2242" s="26" t="s">
        <v>1285</v>
      </c>
      <c r="C2242" s="33" t="str">
        <f>IFERROR(INDEX(tbl_requisitos_emb[Tema],MATCH(B2242,tbl_requisitos_emb[ID_Req],0)),"")</f>
        <v>Materiais plásticos de acondicionamento primário</v>
      </c>
      <c r="D2242" s="33" t="str">
        <f>IFERROR(INDEX(tbl_recyclass[Segmento],MATCH(A2242,tbl_recyclass[ProductId],0)),"")</f>
        <v>Alimentar</v>
      </c>
      <c r="E2242" s="26" t="s">
        <v>904</v>
      </c>
      <c r="F2242" s="26" t="s">
        <v>1455</v>
      </c>
      <c r="G2242" s="26" t="s">
        <v>1143</v>
      </c>
      <c r="H2242" s="33" t="str">
        <f>IF(E2242="Não","Não aplicável",IFERROR(IF(B2242="EU-ENV-002",IF(INDEX(tbl_recyclass[Conforme_PPWR_2030],MATCH(A2242,tbl_recyclass[ProductId],0))="Sim","Conforme (autoavaliação)",IF(INDEX(tbl_recyclass[Conforme_PPWR_2030],MATCH(A2242,tbl_recyclass[ProductId],0))="Não","Não conforme em 2030","Isento até 2035")),IF(B2242="EU-ENV-003",IF(INDEX(tbl_recyclass[Conforme_Art7_2030],MATCH(A2242,tbl_recyclass[ProductId],0))="Sim","Conforme (meta 2030)",IF(INDEX(tbl_recyclass[Conforme_Art7_2030],MATCH(A2242,tbl_recyclass[ProductId],0))="Não","Lacuna face à meta 2030","Isento")),IF(B2242="EU-ENV-011",IF(INDEX(tbl_familias_ppwr[Metais_Pesados_Evidencia],MATCH(INDEX(tbl_recyclass[Familia_PPWR],MATCH(A2242,tbl_recyclass[ProductId],0)),tbl_familias_ppwr[ID_Familia],0))="Em falta","Lacuna","Conforme"),IF(B2242="EU-ENV-013",IF(INDEX(tbl_familias_ppwr[Declaracao_UE],MATCH(INDEX(tbl_recyclass[Familia_PPWR],MATCH(A2242,tbl_recyclass[ProductId],0)),tbl_familias_ppwr[ID_Familia],0))="Sim","Conforme","Lacuna"),G2242)))),G2242))</f>
        <v>Não aplicável</v>
      </c>
      <c r="I2242" s="33" t="str">
        <f t="shared" ref="I2242:I2305" si="35">IF(ISNUMBER(SEARCH("Não aplicável",H2242)),"Não aplicável",IF(ISNUMBER(SEARCH("Isento",H2242)),"Isento",IF(ISNUMBER(SEARCH("Não conforme",H2242)),"Não conforme",IF(ISNUMBER(SEARCH("Lacuna",H2242)),"Lacuna",IF(ISNUMBER(SEARCH("Conforme",H2242)),"Conforme",H2242)))))</f>
        <v>Não aplicável</v>
      </c>
      <c r="J2242" s="26"/>
    </row>
    <row r="2243" spans="1:10" ht="16.05" customHeight="1" x14ac:dyDescent="0.3">
      <c r="A2243" s="26" t="s">
        <v>843</v>
      </c>
      <c r="B2243" s="26" t="s">
        <v>1293</v>
      </c>
      <c r="C2243" s="33" t="str">
        <f>IFERROR(INDEX(tbl_requisitos_emb[Tema],MATCH(B2243,tbl_requisitos_emb[ID_Req],0)),"")</f>
        <v>Isenções PPWR</v>
      </c>
      <c r="D2243" s="33" t="str">
        <f>IFERROR(INDEX(tbl_recyclass[Segmento],MATCH(A2243,tbl_recyclass[ProductId],0)),"")</f>
        <v>Alimentar</v>
      </c>
      <c r="E2243" s="26" t="s">
        <v>904</v>
      </c>
      <c r="F2243" s="26" t="s">
        <v>1455</v>
      </c>
      <c r="G2243" s="26" t="s">
        <v>1143</v>
      </c>
      <c r="H2243" s="33" t="str">
        <f>IF(E2243="Não","Não aplicável",IFERROR(IF(B2243="EU-ENV-002",IF(INDEX(tbl_recyclass[Conforme_PPWR_2030],MATCH(A2243,tbl_recyclass[ProductId],0))="Sim","Conforme (autoavaliação)",IF(INDEX(tbl_recyclass[Conforme_PPWR_2030],MATCH(A2243,tbl_recyclass[ProductId],0))="Não","Não conforme em 2030","Isento até 2035")),IF(B2243="EU-ENV-003",IF(INDEX(tbl_recyclass[Conforme_Art7_2030],MATCH(A2243,tbl_recyclass[ProductId],0))="Sim","Conforme (meta 2030)",IF(INDEX(tbl_recyclass[Conforme_Art7_2030],MATCH(A2243,tbl_recyclass[ProductId],0))="Não","Lacuna face à meta 2030","Isento")),IF(B2243="EU-ENV-011",IF(INDEX(tbl_familias_ppwr[Metais_Pesados_Evidencia],MATCH(INDEX(tbl_recyclass[Familia_PPWR],MATCH(A2243,tbl_recyclass[ProductId],0)),tbl_familias_ppwr[ID_Familia],0))="Em falta","Lacuna","Conforme"),IF(B2243="EU-ENV-013",IF(INDEX(tbl_familias_ppwr[Declaracao_UE],MATCH(INDEX(tbl_recyclass[Familia_PPWR],MATCH(A2243,tbl_recyclass[ProductId],0)),tbl_familias_ppwr[ID_Familia],0))="Sim","Conforme","Lacuna"),G2243)))),G2243))</f>
        <v>Não aplicável</v>
      </c>
      <c r="I2243" s="33" t="str">
        <f t="shared" si="35"/>
        <v>Não aplicável</v>
      </c>
      <c r="J2243" s="26"/>
    </row>
    <row r="2244" spans="1:10" ht="16.05" customHeight="1" x14ac:dyDescent="0.3">
      <c r="A2244" s="26" t="s">
        <v>843</v>
      </c>
      <c r="B2244" s="26" t="s">
        <v>1357</v>
      </c>
      <c r="C2244" s="33" t="str">
        <f>IFERROR(INDEX(tbl_requisitos_emb[Tema],MATCH(B2244,tbl_requisitos_emb[ID_Req],0)),"")</f>
        <v>Identificação de plásticos</v>
      </c>
      <c r="D2244" s="33" t="str">
        <f>IFERROR(INDEX(tbl_recyclass[Segmento],MATCH(A2244,tbl_recyclass[ProductId],0)),"")</f>
        <v>Alimentar</v>
      </c>
      <c r="E2244" s="26" t="s">
        <v>901</v>
      </c>
      <c r="F2244" s="26" t="s">
        <v>1452</v>
      </c>
      <c r="G2244" s="26" t="s">
        <v>978</v>
      </c>
      <c r="H2244" s="33" t="str">
        <f>IF(E2244="Não","Não aplicável",IFERROR(IF(B2244="EU-ENV-002",IF(INDEX(tbl_recyclass[Conforme_PPWR_2030],MATCH(A2244,tbl_recyclass[ProductId],0))="Sim","Conforme (autoavaliação)",IF(INDEX(tbl_recyclass[Conforme_PPWR_2030],MATCH(A2244,tbl_recyclass[ProductId],0))="Não","Não conforme em 2030","Isento até 2035")),IF(B2244="EU-ENV-003",IF(INDEX(tbl_recyclass[Conforme_Art7_2030],MATCH(A2244,tbl_recyclass[ProductId],0))="Sim","Conforme (meta 2030)",IF(INDEX(tbl_recyclass[Conforme_Art7_2030],MATCH(A2244,tbl_recyclass[ProductId],0))="Não","Lacuna face à meta 2030","Isento")),IF(B2244="EU-ENV-011",IF(INDEX(tbl_familias_ppwr[Metais_Pesados_Evidencia],MATCH(INDEX(tbl_recyclass[Familia_PPWR],MATCH(A2244,tbl_recyclass[ProductId],0)),tbl_familias_ppwr[ID_Familia],0))="Em falta","Lacuna","Conforme"),IF(B2244="EU-ENV-013",IF(INDEX(tbl_familias_ppwr[Declaracao_UE],MATCH(INDEX(tbl_recyclass[Familia_PPWR],MATCH(A2244,tbl_recyclass[ProductId],0)),tbl_familias_ppwr[ID_Familia],0))="Sim","Conforme","Lacuna"),G2244)))),G2244))</f>
        <v>Parcial</v>
      </c>
      <c r="I2244" s="33" t="str">
        <f t="shared" si="35"/>
        <v>Parcial</v>
      </c>
      <c r="J2244" s="26" t="s">
        <v>1362</v>
      </c>
    </row>
    <row r="2245" spans="1:10" ht="16.05" customHeight="1" x14ac:dyDescent="0.3">
      <c r="A2245" s="26" t="s">
        <v>843</v>
      </c>
      <c r="B2245" s="26" t="s">
        <v>1385</v>
      </c>
      <c r="C2245" s="33" t="str">
        <f>IFERROR(INDEX(tbl_requisitos_emb[Tema],MATCH(B2245,tbl_requisitos_emb[ID_Req],0)),"")</f>
        <v>Reciclabilidade (voluntária)</v>
      </c>
      <c r="D2245" s="33" t="str">
        <f>IFERROR(INDEX(tbl_recyclass[Segmento],MATCH(A2245,tbl_recyclass[ProductId],0)),"")</f>
        <v>Alimentar</v>
      </c>
      <c r="E2245" s="26" t="s">
        <v>901</v>
      </c>
      <c r="F2245" s="26" t="s">
        <v>1452</v>
      </c>
      <c r="G2245" s="26" t="s">
        <v>978</v>
      </c>
      <c r="H2245" s="33" t="str">
        <f>IF(E2245="Não","Não aplicável",IFERROR(IF(B2245="EU-ENV-002",IF(INDEX(tbl_recyclass[Conforme_PPWR_2030],MATCH(A2245,tbl_recyclass[ProductId],0))="Sim","Conforme (autoavaliação)",IF(INDEX(tbl_recyclass[Conforme_PPWR_2030],MATCH(A2245,tbl_recyclass[ProductId],0))="Não","Não conforme em 2030","Isento até 2035")),IF(B2245="EU-ENV-003",IF(INDEX(tbl_recyclass[Conforme_Art7_2030],MATCH(A2245,tbl_recyclass[ProductId],0))="Sim","Conforme (meta 2030)",IF(INDEX(tbl_recyclass[Conforme_Art7_2030],MATCH(A2245,tbl_recyclass[ProductId],0))="Não","Lacuna face à meta 2030","Isento")),IF(B2245="EU-ENV-011",IF(INDEX(tbl_familias_ppwr[Metais_Pesados_Evidencia],MATCH(INDEX(tbl_recyclass[Familia_PPWR],MATCH(A2245,tbl_recyclass[ProductId],0)),tbl_familias_ppwr[ID_Familia],0))="Em falta","Lacuna","Conforme"),IF(B2245="EU-ENV-013",IF(INDEX(tbl_familias_ppwr[Declaracao_UE],MATCH(INDEX(tbl_recyclass[Familia_PPWR],MATCH(A2245,tbl_recyclass[ProductId],0)),tbl_familias_ppwr[ID_Familia],0))="Sim","Conforme","Lacuna"),G2245)))),G2245))</f>
        <v>Parcial</v>
      </c>
      <c r="I2245" s="33" t="str">
        <f t="shared" si="35"/>
        <v>Parcial</v>
      </c>
      <c r="J2245" s="26" t="s">
        <v>1389</v>
      </c>
    </row>
    <row r="2246" spans="1:10" ht="16.05" customHeight="1" x14ac:dyDescent="0.3">
      <c r="A2246" s="26" t="s">
        <v>849</v>
      </c>
      <c r="B2246" s="26" t="s">
        <v>984</v>
      </c>
      <c r="C2246" s="33" t="str">
        <f>IFERROR(INDEX(tbl_requisitos_emb[Tema],MATCH(B2246,tbl_requisitos_emb[ID_Req],0)),"")</f>
        <v>Conceção para reciclagem</v>
      </c>
      <c r="D2246" s="33" t="str">
        <f>IFERROR(INDEX(tbl_recyclass[Segmento],MATCH(A2246,tbl_recyclass[ProductId],0)),"")</f>
        <v>Alimentar</v>
      </c>
      <c r="E2246" s="26" t="s">
        <v>901</v>
      </c>
      <c r="F2246" s="26" t="s">
        <v>1452</v>
      </c>
      <c r="G2246" s="26" t="s">
        <v>978</v>
      </c>
      <c r="H2246" s="33" t="str">
        <f>IF(E2246="Não","Não aplicável",IFERROR(IF(B2246="EU-ENV-002",IF(INDEX(tbl_recyclass[Conforme_PPWR_2030],MATCH(A2246,tbl_recyclass[ProductId],0))="Sim","Conforme (autoavaliação)",IF(INDEX(tbl_recyclass[Conforme_PPWR_2030],MATCH(A2246,tbl_recyclass[ProductId],0))="Não","Não conforme em 2030","Isento até 2035")),IF(B2246="EU-ENV-003",IF(INDEX(tbl_recyclass[Conforme_Art7_2030],MATCH(A2246,tbl_recyclass[ProductId],0))="Sim","Conforme (meta 2030)",IF(INDEX(tbl_recyclass[Conforme_Art7_2030],MATCH(A2246,tbl_recyclass[ProductId],0))="Não","Lacuna face à meta 2030","Isento")),IF(B2246="EU-ENV-011",IF(INDEX(tbl_familias_ppwr[Metais_Pesados_Evidencia],MATCH(INDEX(tbl_recyclass[Familia_PPWR],MATCH(A2246,tbl_recyclass[ProductId],0)),tbl_familias_ppwr[ID_Familia],0))="Em falta","Lacuna","Conforme"),IF(B2246="EU-ENV-013",IF(INDEX(tbl_familias_ppwr[Declaracao_UE],MATCH(INDEX(tbl_recyclass[Familia_PPWR],MATCH(A2246,tbl_recyclass[ProductId],0)),tbl_familias_ppwr[ID_Familia],0))="Sim","Conforme","Lacuna"),G2246)))),G2246))</f>
        <v>Conforme (autoavaliação)</v>
      </c>
      <c r="I2246" s="33" t="str">
        <f t="shared" si="35"/>
        <v>Conforme</v>
      </c>
      <c r="J2246" s="26" t="s">
        <v>991</v>
      </c>
    </row>
    <row r="2247" spans="1:10" ht="16.05" customHeight="1" x14ac:dyDescent="0.3">
      <c r="A2247" s="26" t="s">
        <v>849</v>
      </c>
      <c r="B2247" s="26" t="s">
        <v>997</v>
      </c>
      <c r="C2247" s="33" t="str">
        <f>IFERROR(INDEX(tbl_requisitos_emb[Tema],MATCH(B2247,tbl_requisitos_emb[ID_Req],0)),"")</f>
        <v>Conteúdo reciclado</v>
      </c>
      <c r="D2247" s="33" t="str">
        <f>IFERROR(INDEX(tbl_recyclass[Segmento],MATCH(A2247,tbl_recyclass[ProductId],0)),"")</f>
        <v>Alimentar</v>
      </c>
      <c r="E2247" s="26" t="s">
        <v>901</v>
      </c>
      <c r="F2247" s="26" t="s">
        <v>1452</v>
      </c>
      <c r="G2247" s="26" t="s">
        <v>978</v>
      </c>
      <c r="H2247" s="33" t="str">
        <f>IF(E2247="Não","Não aplicável",IFERROR(IF(B2247="EU-ENV-002",IF(INDEX(tbl_recyclass[Conforme_PPWR_2030],MATCH(A2247,tbl_recyclass[ProductId],0))="Sim","Conforme (autoavaliação)",IF(INDEX(tbl_recyclass[Conforme_PPWR_2030],MATCH(A2247,tbl_recyclass[ProductId],0))="Não","Não conforme em 2030","Isento até 2035")),IF(B2247="EU-ENV-003",IF(INDEX(tbl_recyclass[Conforme_Art7_2030],MATCH(A2247,tbl_recyclass[ProductId],0))="Sim","Conforme (meta 2030)",IF(INDEX(tbl_recyclass[Conforme_Art7_2030],MATCH(A2247,tbl_recyclass[ProductId],0))="Não","Lacuna face à meta 2030","Isento")),IF(B2247="EU-ENV-011",IF(INDEX(tbl_familias_ppwr[Metais_Pesados_Evidencia],MATCH(INDEX(tbl_recyclass[Familia_PPWR],MATCH(A2247,tbl_recyclass[ProductId],0)),tbl_familias_ppwr[ID_Familia],0))="Em falta","Lacuna","Conforme"),IF(B2247="EU-ENV-013",IF(INDEX(tbl_familias_ppwr[Declaracao_UE],MATCH(INDEX(tbl_recyclass[Familia_PPWR],MATCH(A2247,tbl_recyclass[ProductId],0)),tbl_familias_ppwr[ID_Familia],0))="Sim","Conforme","Lacuna"),G2247)))),G2247))</f>
        <v>Lacuna face à meta 2030</v>
      </c>
      <c r="I2247" s="33" t="str">
        <f t="shared" si="35"/>
        <v>Lacuna</v>
      </c>
      <c r="J2247" s="26" t="s">
        <v>1001</v>
      </c>
    </row>
    <row r="2248" spans="1:10" ht="16.05" customHeight="1" x14ac:dyDescent="0.3">
      <c r="A2248" s="26" t="s">
        <v>849</v>
      </c>
      <c r="B2248" s="26" t="s">
        <v>1007</v>
      </c>
      <c r="C2248" s="33" t="str">
        <f>IFERROR(INDEX(tbl_requisitos_emb[Tema],MATCH(B2248,tbl_requisitos_emb[ID_Req],0)),"")</f>
        <v>Minimização</v>
      </c>
      <c r="D2248" s="33" t="str">
        <f>IFERROR(INDEX(tbl_recyclass[Segmento],MATCH(A2248,tbl_recyclass[ProductId],0)),"")</f>
        <v>Alimentar</v>
      </c>
      <c r="E2248" s="26" t="s">
        <v>901</v>
      </c>
      <c r="F2248" s="26" t="s">
        <v>1452</v>
      </c>
      <c r="G2248" s="26" t="s">
        <v>978</v>
      </c>
      <c r="H2248" s="33" t="str">
        <f>IF(E2248="Não","Não aplicável",IFERROR(IF(B2248="EU-ENV-002",IF(INDEX(tbl_recyclass[Conforme_PPWR_2030],MATCH(A2248,tbl_recyclass[ProductId],0))="Sim","Conforme (autoavaliação)",IF(INDEX(tbl_recyclass[Conforme_PPWR_2030],MATCH(A2248,tbl_recyclass[ProductId],0))="Não","Não conforme em 2030","Isento até 2035")),IF(B2248="EU-ENV-003",IF(INDEX(tbl_recyclass[Conforme_Art7_2030],MATCH(A2248,tbl_recyclass[ProductId],0))="Sim","Conforme (meta 2030)",IF(INDEX(tbl_recyclass[Conforme_Art7_2030],MATCH(A2248,tbl_recyclass[ProductId],0))="Não","Lacuna face à meta 2030","Isento")),IF(B2248="EU-ENV-011",IF(INDEX(tbl_familias_ppwr[Metais_Pesados_Evidencia],MATCH(INDEX(tbl_recyclass[Familia_PPWR],MATCH(A2248,tbl_recyclass[ProductId],0)),tbl_familias_ppwr[ID_Familia],0))="Em falta","Lacuna","Conforme"),IF(B2248="EU-ENV-013",IF(INDEX(tbl_familias_ppwr[Declaracao_UE],MATCH(INDEX(tbl_recyclass[Familia_PPWR],MATCH(A2248,tbl_recyclass[ProductId],0)),tbl_familias_ppwr[ID_Familia],0))="Sim","Conforme","Lacuna"),G2248)))),G2248))</f>
        <v>Parcial</v>
      </c>
      <c r="I2248" s="33" t="str">
        <f t="shared" si="35"/>
        <v>Parcial</v>
      </c>
      <c r="J2248" s="26" t="s">
        <v>1012</v>
      </c>
    </row>
    <row r="2249" spans="1:10" ht="16.05" customHeight="1" x14ac:dyDescent="0.3">
      <c r="A2249" s="26" t="s">
        <v>849</v>
      </c>
      <c r="B2249" s="26" t="s">
        <v>1016</v>
      </c>
      <c r="C2249" s="33" t="str">
        <f>IFERROR(INDEX(tbl_requisitos_emb[Tema],MATCH(B2249,tbl_requisitos_emb[ID_Req],0)),"")</f>
        <v>Rotulagem</v>
      </c>
      <c r="D2249" s="33" t="str">
        <f>IFERROR(INDEX(tbl_recyclass[Segmento],MATCH(A2249,tbl_recyclass[ProductId],0)),"")</f>
        <v>Alimentar</v>
      </c>
      <c r="E2249" s="26" t="s">
        <v>901</v>
      </c>
      <c r="F2249" s="26" t="s">
        <v>1452</v>
      </c>
      <c r="G2249" s="26" t="s">
        <v>990</v>
      </c>
      <c r="H2249" s="33" t="str">
        <f>IF(E2249="Não","Não aplicável",IFERROR(IF(B2249="EU-ENV-002",IF(INDEX(tbl_recyclass[Conforme_PPWR_2030],MATCH(A2249,tbl_recyclass[ProductId],0))="Sim","Conforme (autoavaliação)",IF(INDEX(tbl_recyclass[Conforme_PPWR_2030],MATCH(A2249,tbl_recyclass[ProductId],0))="Não","Não conforme em 2030","Isento até 2035")),IF(B2249="EU-ENV-003",IF(INDEX(tbl_recyclass[Conforme_Art7_2030],MATCH(A2249,tbl_recyclass[ProductId],0))="Sim","Conforme (meta 2030)",IF(INDEX(tbl_recyclass[Conforme_Art7_2030],MATCH(A2249,tbl_recyclass[ProductId],0))="Não","Lacuna face à meta 2030","Isento")),IF(B2249="EU-ENV-011",IF(INDEX(tbl_familias_ppwr[Metais_Pesados_Evidencia],MATCH(INDEX(tbl_recyclass[Familia_PPWR],MATCH(A2249,tbl_recyclass[ProductId],0)),tbl_familias_ppwr[ID_Familia],0))="Em falta","Lacuna","Conforme"),IF(B2249="EU-ENV-013",IF(INDEX(tbl_familias_ppwr[Declaracao_UE],MATCH(INDEX(tbl_recyclass[Familia_PPWR],MATCH(A2249,tbl_recyclass[ProductId],0)),tbl_familias_ppwr[ID_Familia],0))="Sim","Conforme","Lacuna"),G2249)))),G2249))</f>
        <v>Futuro</v>
      </c>
      <c r="I2249" s="33" t="str">
        <f t="shared" si="35"/>
        <v>Futuro</v>
      </c>
      <c r="J2249" s="26" t="s">
        <v>1021</v>
      </c>
    </row>
    <row r="2250" spans="1:10" ht="16.05" customHeight="1" x14ac:dyDescent="0.3">
      <c r="A2250" s="26" t="s">
        <v>849</v>
      </c>
      <c r="B2250" s="26" t="s">
        <v>1038</v>
      </c>
      <c r="C2250" s="33" t="str">
        <f>IFERROR(INDEX(tbl_requisitos_emb[Tema],MATCH(B2250,tbl_requisitos_emb[ID_Req],0)),"")</f>
        <v>Plásticos de utilização única</v>
      </c>
      <c r="D2250" s="33" t="str">
        <f>IFERROR(INDEX(tbl_recyclass[Segmento],MATCH(A2250,tbl_recyclass[ProductId],0)),"")</f>
        <v>Alimentar</v>
      </c>
      <c r="E2250" s="26" t="s">
        <v>901</v>
      </c>
      <c r="F2250" s="26" t="s">
        <v>1453</v>
      </c>
      <c r="G2250" s="26" t="s">
        <v>1033</v>
      </c>
      <c r="H2250" s="33" t="str">
        <f>IF(E2250="Não","Não aplicável",IFERROR(IF(B2250="EU-ENV-002",IF(INDEX(tbl_recyclass[Conforme_PPWR_2030],MATCH(A2250,tbl_recyclass[ProductId],0))="Sim","Conforme (autoavaliação)",IF(INDEX(tbl_recyclass[Conforme_PPWR_2030],MATCH(A2250,tbl_recyclass[ProductId],0))="Não","Não conforme em 2030","Isento até 2035")),IF(B2250="EU-ENV-003",IF(INDEX(tbl_recyclass[Conforme_Art7_2030],MATCH(A2250,tbl_recyclass[ProductId],0))="Sim","Conforme (meta 2030)",IF(INDEX(tbl_recyclass[Conforme_Art7_2030],MATCH(A2250,tbl_recyclass[ProductId],0))="Não","Lacuna face à meta 2030","Isento")),IF(B2250="EU-ENV-011",IF(INDEX(tbl_familias_ppwr[Metais_Pesados_Evidencia],MATCH(INDEX(tbl_recyclass[Familia_PPWR],MATCH(A2250,tbl_recyclass[ProductId],0)),tbl_familias_ppwr[ID_Familia],0))="Em falta","Lacuna","Conforme"),IF(B2250="EU-ENV-013",IF(INDEX(tbl_familias_ppwr[Declaracao_UE],MATCH(INDEX(tbl_recyclass[Familia_PPWR],MATCH(A2250,tbl_recyclass[ProductId],0)),tbl_familias_ppwr[ID_Familia],0))="Sim","Conforme","Lacuna"),G2250)))),G2250))</f>
        <v>Conforme</v>
      </c>
      <c r="I2250" s="33" t="str">
        <f t="shared" si="35"/>
        <v>Conforme</v>
      </c>
      <c r="J2250" s="26" t="s">
        <v>1046</v>
      </c>
    </row>
    <row r="2251" spans="1:10" ht="16.05" customHeight="1" x14ac:dyDescent="0.3">
      <c r="A2251" s="26" t="s">
        <v>849</v>
      </c>
      <c r="B2251" s="26" t="s">
        <v>1078</v>
      </c>
      <c r="C2251" s="33" t="str">
        <f>IFERROR(INDEX(tbl_requisitos_emb[Tema],MATCH(B2251,tbl_requisitos_emb[ID_Req],0)),"")</f>
        <v>Reciclado à escala</v>
      </c>
      <c r="D2251" s="33" t="str">
        <f>IFERROR(INDEX(tbl_recyclass[Segmento],MATCH(A2251,tbl_recyclass[ProductId],0)),"")</f>
        <v>Alimentar</v>
      </c>
      <c r="E2251" s="26" t="s">
        <v>901</v>
      </c>
      <c r="F2251" s="26" t="s">
        <v>1452</v>
      </c>
      <c r="G2251" s="26" t="s">
        <v>990</v>
      </c>
      <c r="H2251" s="33" t="str">
        <f>IF(E2251="Não","Não aplicável",IFERROR(IF(B2251="EU-ENV-002",IF(INDEX(tbl_recyclass[Conforme_PPWR_2030],MATCH(A2251,tbl_recyclass[ProductId],0))="Sim","Conforme (autoavaliação)",IF(INDEX(tbl_recyclass[Conforme_PPWR_2030],MATCH(A2251,tbl_recyclass[ProductId],0))="Não","Não conforme em 2030","Isento até 2035")),IF(B2251="EU-ENV-003",IF(INDEX(tbl_recyclass[Conforme_Art7_2030],MATCH(A2251,tbl_recyclass[ProductId],0))="Sim","Conforme (meta 2030)",IF(INDEX(tbl_recyclass[Conforme_Art7_2030],MATCH(A2251,tbl_recyclass[ProductId],0))="Não","Lacuna face à meta 2030","Isento")),IF(B2251="EU-ENV-011",IF(INDEX(tbl_familias_ppwr[Metais_Pesados_Evidencia],MATCH(INDEX(tbl_recyclass[Familia_PPWR],MATCH(A2251,tbl_recyclass[ProductId],0)),tbl_familias_ppwr[ID_Familia],0))="Em falta","Lacuna","Conforme"),IF(B2251="EU-ENV-013",IF(INDEX(tbl_familias_ppwr[Declaracao_UE],MATCH(INDEX(tbl_recyclass[Familia_PPWR],MATCH(A2251,tbl_recyclass[ProductId],0)),tbl_familias_ppwr[ID_Familia],0))="Sim","Conforme","Lacuna"),G2251)))),G2251))</f>
        <v>Futuro</v>
      </c>
      <c r="I2251" s="33" t="str">
        <f t="shared" si="35"/>
        <v>Futuro</v>
      </c>
      <c r="J2251" s="26" t="s">
        <v>1082</v>
      </c>
    </row>
    <row r="2252" spans="1:10" ht="16.05" customHeight="1" x14ac:dyDescent="0.3">
      <c r="A2252" s="26" t="s">
        <v>849</v>
      </c>
      <c r="B2252" s="26" t="s">
        <v>1086</v>
      </c>
      <c r="C2252" s="33" t="str">
        <f>IFERROR(INDEX(tbl_requisitos_emb[Tema],MATCH(B2252,tbl_requisitos_emb[ID_Req],0)),"")</f>
        <v>Metais pesados</v>
      </c>
      <c r="D2252" s="33" t="str">
        <f>IFERROR(INDEX(tbl_recyclass[Segmento],MATCH(A2252,tbl_recyclass[ProductId],0)),"")</f>
        <v>Alimentar</v>
      </c>
      <c r="E2252" s="26" t="s">
        <v>901</v>
      </c>
      <c r="F2252" s="26" t="s">
        <v>1452</v>
      </c>
      <c r="G2252" s="26" t="s">
        <v>978</v>
      </c>
      <c r="H2252" s="33" t="str">
        <f>IF(E2252="Não","Não aplicável",IFERROR(IF(B2252="EU-ENV-002",IF(INDEX(tbl_recyclass[Conforme_PPWR_2030],MATCH(A2252,tbl_recyclass[ProductId],0))="Sim","Conforme (autoavaliação)",IF(INDEX(tbl_recyclass[Conforme_PPWR_2030],MATCH(A2252,tbl_recyclass[ProductId],0))="Não","Não conforme em 2030","Isento até 2035")),IF(B2252="EU-ENV-003",IF(INDEX(tbl_recyclass[Conforme_Art7_2030],MATCH(A2252,tbl_recyclass[ProductId],0))="Sim","Conforme (meta 2030)",IF(INDEX(tbl_recyclass[Conforme_Art7_2030],MATCH(A2252,tbl_recyclass[ProductId],0))="Não","Lacuna face à meta 2030","Isento")),IF(B2252="EU-ENV-011",IF(INDEX(tbl_familias_ppwr[Metais_Pesados_Evidencia],MATCH(INDEX(tbl_recyclass[Familia_PPWR],MATCH(A2252,tbl_recyclass[ProductId],0)),tbl_familias_ppwr[ID_Familia],0))="Em falta","Lacuna","Conforme"),IF(B2252="EU-ENV-013",IF(INDEX(tbl_familias_ppwr[Declaracao_UE],MATCH(INDEX(tbl_recyclass[Familia_PPWR],MATCH(A2252,tbl_recyclass[ProductId],0)),tbl_familias_ppwr[ID_Familia],0))="Sim","Conforme","Lacuna"),G2252)))),G2252))</f>
        <v>Conforme</v>
      </c>
      <c r="I2252" s="33" t="str">
        <f t="shared" si="35"/>
        <v>Conforme</v>
      </c>
      <c r="J2252" s="26" t="s">
        <v>1090</v>
      </c>
    </row>
    <row r="2253" spans="1:10" ht="16.05" customHeight="1" x14ac:dyDescent="0.3">
      <c r="A2253" s="26" t="s">
        <v>849</v>
      </c>
      <c r="B2253" s="26" t="s">
        <v>1094</v>
      </c>
      <c r="C2253" s="33" t="str">
        <f>IFERROR(INDEX(tbl_requisitos_emb[Tema],MATCH(B2253,tbl_requisitos_emb[ID_Req],0)),"")</f>
        <v>PFAS</v>
      </c>
      <c r="D2253" s="33" t="str">
        <f>IFERROR(INDEX(tbl_recyclass[Segmento],MATCH(A2253,tbl_recyclass[ProductId],0)),"")</f>
        <v>Alimentar</v>
      </c>
      <c r="E2253" s="26" t="s">
        <v>901</v>
      </c>
      <c r="F2253" s="26" t="s">
        <v>1452</v>
      </c>
      <c r="G2253" s="26" t="s">
        <v>1033</v>
      </c>
      <c r="H2253" s="33" t="str">
        <f>IF(E2253="Não","Não aplicável",IFERROR(IF(B2253="EU-ENV-002",IF(INDEX(tbl_recyclass[Conforme_PPWR_2030],MATCH(A2253,tbl_recyclass[ProductId],0))="Sim","Conforme (autoavaliação)",IF(INDEX(tbl_recyclass[Conforme_PPWR_2030],MATCH(A2253,tbl_recyclass[ProductId],0))="Não","Não conforme em 2030","Isento até 2035")),IF(B2253="EU-ENV-003",IF(INDEX(tbl_recyclass[Conforme_Art7_2030],MATCH(A2253,tbl_recyclass[ProductId],0))="Sim","Conforme (meta 2030)",IF(INDEX(tbl_recyclass[Conforme_Art7_2030],MATCH(A2253,tbl_recyclass[ProductId],0))="Não","Lacuna face à meta 2030","Isento")),IF(B2253="EU-ENV-011",IF(INDEX(tbl_familias_ppwr[Metais_Pesados_Evidencia],MATCH(INDEX(tbl_recyclass[Familia_PPWR],MATCH(A2253,tbl_recyclass[ProductId],0)),tbl_familias_ppwr[ID_Familia],0))="Em falta","Lacuna","Conforme"),IF(B2253="EU-ENV-013",IF(INDEX(tbl_familias_ppwr[Declaracao_UE],MATCH(INDEX(tbl_recyclass[Familia_PPWR],MATCH(A2253,tbl_recyclass[ProductId],0)),tbl_familias_ppwr[ID_Familia],0))="Sim","Conforme","Lacuna"),G2253)))),G2253))</f>
        <v>Conforme</v>
      </c>
      <c r="I2253" s="33" t="str">
        <f t="shared" si="35"/>
        <v>Conforme</v>
      </c>
      <c r="J2253" s="26" t="s">
        <v>1098</v>
      </c>
    </row>
    <row r="2254" spans="1:10" ht="16.05" customHeight="1" x14ac:dyDescent="0.3">
      <c r="A2254" s="26" t="s">
        <v>849</v>
      </c>
      <c r="B2254" s="26" t="s">
        <v>1102</v>
      </c>
      <c r="C2254" s="33" t="str">
        <f>IFERROR(INDEX(tbl_requisitos_emb[Tema],MATCH(B2254,tbl_requisitos_emb[ID_Req],0)),"")</f>
        <v>Documentação técnica e declaração UE</v>
      </c>
      <c r="D2254" s="33" t="str">
        <f>IFERROR(INDEX(tbl_recyclass[Segmento],MATCH(A2254,tbl_recyclass[ProductId],0)),"")</f>
        <v>Alimentar</v>
      </c>
      <c r="E2254" s="26" t="s">
        <v>901</v>
      </c>
      <c r="F2254" s="26" t="s">
        <v>1452</v>
      </c>
      <c r="G2254" s="26" t="s">
        <v>978</v>
      </c>
      <c r="H2254" s="33" t="str">
        <f>IF(E2254="Não","Não aplicável",IFERROR(IF(B2254="EU-ENV-002",IF(INDEX(tbl_recyclass[Conforme_PPWR_2030],MATCH(A2254,tbl_recyclass[ProductId],0))="Sim","Conforme (autoavaliação)",IF(INDEX(tbl_recyclass[Conforme_PPWR_2030],MATCH(A2254,tbl_recyclass[ProductId],0))="Não","Não conforme em 2030","Isento até 2035")),IF(B2254="EU-ENV-003",IF(INDEX(tbl_recyclass[Conforme_Art7_2030],MATCH(A2254,tbl_recyclass[ProductId],0))="Sim","Conforme (meta 2030)",IF(INDEX(tbl_recyclass[Conforme_Art7_2030],MATCH(A2254,tbl_recyclass[ProductId],0))="Não","Lacuna face à meta 2030","Isento")),IF(B2254="EU-ENV-011",IF(INDEX(tbl_familias_ppwr[Metais_Pesados_Evidencia],MATCH(INDEX(tbl_recyclass[Familia_PPWR],MATCH(A2254,tbl_recyclass[ProductId],0)),tbl_familias_ppwr[ID_Familia],0))="Em falta","Lacuna","Conforme"),IF(B2254="EU-ENV-013",IF(INDEX(tbl_familias_ppwr[Declaracao_UE],MATCH(INDEX(tbl_recyclass[Familia_PPWR],MATCH(A2254,tbl_recyclass[ProductId],0)),tbl_familias_ppwr[ID_Familia],0))="Sim","Conforme","Lacuna"),G2254)))),G2254))</f>
        <v>Conforme</v>
      </c>
      <c r="I2254" s="33" t="str">
        <f t="shared" si="35"/>
        <v>Conforme</v>
      </c>
      <c r="J2254" s="26" t="s">
        <v>1106</v>
      </c>
    </row>
    <row r="2255" spans="1:10" ht="16.05" customHeight="1" x14ac:dyDescent="0.3">
      <c r="A2255" s="26" t="s">
        <v>849</v>
      </c>
      <c r="B2255" s="26" t="s">
        <v>1161</v>
      </c>
      <c r="C2255" s="33" t="str">
        <f>IFERROR(INDEX(tbl_requisitos_emb[Tema],MATCH(B2255,tbl_requisitos_emb[ID_Req],0)),"")</f>
        <v>Materiais em contacto com alimentos</v>
      </c>
      <c r="D2255" s="33" t="str">
        <f>IFERROR(INDEX(tbl_recyclass[Segmento],MATCH(A2255,tbl_recyclass[ProductId],0)),"")</f>
        <v>Alimentar</v>
      </c>
      <c r="E2255" s="26" t="s">
        <v>901</v>
      </c>
      <c r="F2255" s="26" t="s">
        <v>1452</v>
      </c>
      <c r="G2255" s="26" t="s">
        <v>1033</v>
      </c>
      <c r="H2255" s="33" t="str">
        <f>IF(E2255="Não","Não aplicável",IFERROR(IF(B2255="EU-ENV-002",IF(INDEX(tbl_recyclass[Conforme_PPWR_2030],MATCH(A2255,tbl_recyclass[ProductId],0))="Sim","Conforme (autoavaliação)",IF(INDEX(tbl_recyclass[Conforme_PPWR_2030],MATCH(A2255,tbl_recyclass[ProductId],0))="Não","Não conforme em 2030","Isento até 2035")),IF(B2255="EU-ENV-003",IF(INDEX(tbl_recyclass[Conforme_Art7_2030],MATCH(A2255,tbl_recyclass[ProductId],0))="Sim","Conforme (meta 2030)",IF(INDEX(tbl_recyclass[Conforme_Art7_2030],MATCH(A2255,tbl_recyclass[ProductId],0))="Não","Lacuna face à meta 2030","Isento")),IF(B2255="EU-ENV-011",IF(INDEX(tbl_familias_ppwr[Metais_Pesados_Evidencia],MATCH(INDEX(tbl_recyclass[Familia_PPWR],MATCH(A2255,tbl_recyclass[ProductId],0)),tbl_familias_ppwr[ID_Familia],0))="Em falta","Lacuna","Conforme"),IF(B2255="EU-ENV-013",IF(INDEX(tbl_familias_ppwr[Declaracao_UE],MATCH(INDEX(tbl_recyclass[Familia_PPWR],MATCH(A2255,tbl_recyclass[ProductId],0)),tbl_familias_ppwr[ID_Familia],0))="Sim","Conforme","Lacuna"),G2255)))),G2255))</f>
        <v>Conforme</v>
      </c>
      <c r="I2255" s="33" t="str">
        <f t="shared" si="35"/>
        <v>Conforme</v>
      </c>
      <c r="J2255" s="26" t="s">
        <v>1168</v>
      </c>
    </row>
    <row r="2256" spans="1:10" ht="16.05" customHeight="1" x14ac:dyDescent="0.3">
      <c r="A2256" s="26" t="s">
        <v>849</v>
      </c>
      <c r="B2256" s="26" t="s">
        <v>1170</v>
      </c>
      <c r="C2256" s="33" t="str">
        <f>IFERROR(INDEX(tbl_requisitos_emb[Tema],MATCH(B2256,tbl_requisitos_emb[ID_Req],0)),"")</f>
        <v>Boas práticas de fabrico FCM</v>
      </c>
      <c r="D2256" s="33" t="str">
        <f>IFERROR(INDEX(tbl_recyclass[Segmento],MATCH(A2256,tbl_recyclass[ProductId],0)),"")</f>
        <v>Alimentar</v>
      </c>
      <c r="E2256" s="26" t="s">
        <v>901</v>
      </c>
      <c r="F2256" s="26" t="s">
        <v>1452</v>
      </c>
      <c r="G2256" s="26" t="s">
        <v>978</v>
      </c>
      <c r="H2256" s="33" t="str">
        <f>IF(E2256="Não","Não aplicável",IFERROR(IF(B2256="EU-ENV-002",IF(INDEX(tbl_recyclass[Conforme_PPWR_2030],MATCH(A2256,tbl_recyclass[ProductId],0))="Sim","Conforme (autoavaliação)",IF(INDEX(tbl_recyclass[Conforme_PPWR_2030],MATCH(A2256,tbl_recyclass[ProductId],0))="Não","Não conforme em 2030","Isento até 2035")),IF(B2256="EU-ENV-003",IF(INDEX(tbl_recyclass[Conforme_Art7_2030],MATCH(A2256,tbl_recyclass[ProductId],0))="Sim","Conforme (meta 2030)",IF(INDEX(tbl_recyclass[Conforme_Art7_2030],MATCH(A2256,tbl_recyclass[ProductId],0))="Não","Lacuna face à meta 2030","Isento")),IF(B2256="EU-ENV-011",IF(INDEX(tbl_familias_ppwr[Metais_Pesados_Evidencia],MATCH(INDEX(tbl_recyclass[Familia_PPWR],MATCH(A2256,tbl_recyclass[ProductId],0)),tbl_familias_ppwr[ID_Familia],0))="Em falta","Lacuna","Conforme"),IF(B2256="EU-ENV-013",IF(INDEX(tbl_familias_ppwr[Declaracao_UE],MATCH(INDEX(tbl_recyclass[Familia_PPWR],MATCH(A2256,tbl_recyclass[ProductId],0)),tbl_familias_ppwr[ID_Familia],0))="Sim","Conforme","Lacuna"),G2256)))),G2256))</f>
        <v>Parcial</v>
      </c>
      <c r="I2256" s="33" t="str">
        <f t="shared" si="35"/>
        <v>Parcial</v>
      </c>
      <c r="J2256" s="26" t="s">
        <v>1175</v>
      </c>
    </row>
    <row r="2257" spans="1:10" ht="16.05" customHeight="1" x14ac:dyDescent="0.3">
      <c r="A2257" s="26" t="s">
        <v>849</v>
      </c>
      <c r="B2257" s="26" t="s">
        <v>1179</v>
      </c>
      <c r="C2257" s="33" t="str">
        <f>IFERROR(INDEX(tbl_requisitos_emb[Tema],MATCH(B2257,tbl_requisitos_emb[ID_Req],0)),"")</f>
        <v>Bisfenol A e bisfenóis perigosos</v>
      </c>
      <c r="D2257" s="33" t="str">
        <f>IFERROR(INDEX(tbl_recyclass[Segmento],MATCH(A2257,tbl_recyclass[ProductId],0)),"")</f>
        <v>Alimentar</v>
      </c>
      <c r="E2257" s="26" t="s">
        <v>901</v>
      </c>
      <c r="F2257" s="26" t="s">
        <v>1452</v>
      </c>
      <c r="G2257" s="26" t="s">
        <v>1033</v>
      </c>
      <c r="H2257" s="33" t="str">
        <f>IF(E2257="Não","Não aplicável",IFERROR(IF(B2257="EU-ENV-002",IF(INDEX(tbl_recyclass[Conforme_PPWR_2030],MATCH(A2257,tbl_recyclass[ProductId],0))="Sim","Conforme (autoavaliação)",IF(INDEX(tbl_recyclass[Conforme_PPWR_2030],MATCH(A2257,tbl_recyclass[ProductId],0))="Não","Não conforme em 2030","Isento até 2035")),IF(B2257="EU-ENV-003",IF(INDEX(tbl_recyclass[Conforme_Art7_2030],MATCH(A2257,tbl_recyclass[ProductId],0))="Sim","Conforme (meta 2030)",IF(INDEX(tbl_recyclass[Conforme_Art7_2030],MATCH(A2257,tbl_recyclass[ProductId],0))="Não","Lacuna face à meta 2030","Isento")),IF(B2257="EU-ENV-011",IF(INDEX(tbl_familias_ppwr[Metais_Pesados_Evidencia],MATCH(INDEX(tbl_recyclass[Familia_PPWR],MATCH(A2257,tbl_recyclass[ProductId],0)),tbl_familias_ppwr[ID_Familia],0))="Em falta","Lacuna","Conforme"),IF(B2257="EU-ENV-013",IF(INDEX(tbl_familias_ppwr[Declaracao_UE],MATCH(INDEX(tbl_recyclass[Familia_PPWR],MATCH(A2257,tbl_recyclass[ProductId],0)),tbl_familias_ppwr[ID_Familia],0))="Sim","Conforme","Lacuna"),G2257)))),G2257))</f>
        <v>Conforme</v>
      </c>
      <c r="I2257" s="33" t="str">
        <f t="shared" si="35"/>
        <v>Conforme</v>
      </c>
      <c r="J2257" s="26" t="s">
        <v>1185</v>
      </c>
    </row>
    <row r="2258" spans="1:10" ht="16.05" customHeight="1" x14ac:dyDescent="0.3">
      <c r="A2258" s="26" t="s">
        <v>849</v>
      </c>
      <c r="B2258" s="26" t="s">
        <v>1188</v>
      </c>
      <c r="C2258" s="33" t="str">
        <f>IFERROR(INDEX(tbl_requisitos_emb[Tema],MATCH(B2258,tbl_requisitos_emb[ID_Req],0)),"")</f>
        <v>Plásticos em contacto com alimentos</v>
      </c>
      <c r="D2258" s="33" t="str">
        <f>IFERROR(INDEX(tbl_recyclass[Segmento],MATCH(A2258,tbl_recyclass[ProductId],0)),"")</f>
        <v>Alimentar</v>
      </c>
      <c r="E2258" s="26" t="s">
        <v>901</v>
      </c>
      <c r="F2258" s="26" t="s">
        <v>1452</v>
      </c>
      <c r="G2258" s="26" t="s">
        <v>1033</v>
      </c>
      <c r="H2258" s="33" t="str">
        <f>IF(E2258="Não","Não aplicável",IFERROR(IF(B2258="EU-ENV-002",IF(INDEX(tbl_recyclass[Conforme_PPWR_2030],MATCH(A2258,tbl_recyclass[ProductId],0))="Sim","Conforme (autoavaliação)",IF(INDEX(tbl_recyclass[Conforme_PPWR_2030],MATCH(A2258,tbl_recyclass[ProductId],0))="Não","Não conforme em 2030","Isento até 2035")),IF(B2258="EU-ENV-003",IF(INDEX(tbl_recyclass[Conforme_Art7_2030],MATCH(A2258,tbl_recyclass[ProductId],0))="Sim","Conforme (meta 2030)",IF(INDEX(tbl_recyclass[Conforme_Art7_2030],MATCH(A2258,tbl_recyclass[ProductId],0))="Não","Lacuna face à meta 2030","Isento")),IF(B2258="EU-ENV-011",IF(INDEX(tbl_familias_ppwr[Metais_Pesados_Evidencia],MATCH(INDEX(tbl_recyclass[Familia_PPWR],MATCH(A2258,tbl_recyclass[ProductId],0)),tbl_familias_ppwr[ID_Familia],0))="Em falta","Lacuna","Conforme"),IF(B2258="EU-ENV-013",IF(INDEX(tbl_familias_ppwr[Declaracao_UE],MATCH(INDEX(tbl_recyclass[Familia_PPWR],MATCH(A2258,tbl_recyclass[ProductId],0)),tbl_familias_ppwr[ID_Familia],0))="Sim","Conforme","Lacuna"),G2258)))),G2258))</f>
        <v>Conforme</v>
      </c>
      <c r="I2258" s="33" t="str">
        <f t="shared" si="35"/>
        <v>Conforme</v>
      </c>
      <c r="J2258" s="26" t="s">
        <v>1193</v>
      </c>
    </row>
    <row r="2259" spans="1:10" ht="16.05" customHeight="1" x14ac:dyDescent="0.3">
      <c r="A2259" s="26" t="s">
        <v>849</v>
      </c>
      <c r="B2259" s="26" t="s">
        <v>1212</v>
      </c>
      <c r="C2259" s="33" t="str">
        <f>IFERROR(INDEX(tbl_requisitos_emb[Tema],MATCH(B2259,tbl_requisitos_emb[ID_Req],0)),"")</f>
        <v>Segurança do produto cosmético</v>
      </c>
      <c r="D2259" s="33" t="str">
        <f>IFERROR(INDEX(tbl_recyclass[Segmento],MATCH(A2259,tbl_recyclass[ProductId],0)),"")</f>
        <v>Alimentar</v>
      </c>
      <c r="E2259" s="26" t="s">
        <v>904</v>
      </c>
      <c r="F2259" s="26" t="s">
        <v>1454</v>
      </c>
      <c r="G2259" s="26" t="s">
        <v>1143</v>
      </c>
      <c r="H2259" s="33" t="str">
        <f>IF(E2259="Não","Não aplicável",IFERROR(IF(B2259="EU-ENV-002",IF(INDEX(tbl_recyclass[Conforme_PPWR_2030],MATCH(A2259,tbl_recyclass[ProductId],0))="Sim","Conforme (autoavaliação)",IF(INDEX(tbl_recyclass[Conforme_PPWR_2030],MATCH(A2259,tbl_recyclass[ProductId],0))="Não","Não conforme em 2030","Isento até 2035")),IF(B2259="EU-ENV-003",IF(INDEX(tbl_recyclass[Conforme_Art7_2030],MATCH(A2259,tbl_recyclass[ProductId],0))="Sim","Conforme (meta 2030)",IF(INDEX(tbl_recyclass[Conforme_Art7_2030],MATCH(A2259,tbl_recyclass[ProductId],0))="Não","Lacuna face à meta 2030","Isento")),IF(B2259="EU-ENV-011",IF(INDEX(tbl_familias_ppwr[Metais_Pesados_Evidencia],MATCH(INDEX(tbl_recyclass[Familia_PPWR],MATCH(A2259,tbl_recyclass[ProductId],0)),tbl_familias_ppwr[ID_Familia],0))="Em falta","Lacuna","Conforme"),IF(B2259="EU-ENV-013",IF(INDEX(tbl_familias_ppwr[Declaracao_UE],MATCH(INDEX(tbl_recyclass[Familia_PPWR],MATCH(A2259,tbl_recyclass[ProductId],0)),tbl_familias_ppwr[ID_Familia],0))="Sim","Conforme","Lacuna"),G2259)))),G2259))</f>
        <v>Não aplicável</v>
      </c>
      <c r="I2259" s="33" t="str">
        <f t="shared" si="35"/>
        <v>Não aplicável</v>
      </c>
      <c r="J2259" s="26"/>
    </row>
    <row r="2260" spans="1:10" ht="16.05" customHeight="1" x14ac:dyDescent="0.3">
      <c r="A2260" s="26" t="s">
        <v>849</v>
      </c>
      <c r="B2260" s="26" t="s">
        <v>1224</v>
      </c>
      <c r="C2260" s="33" t="str">
        <f>IFERROR(INDEX(tbl_requisitos_emb[Tema],MATCH(B2260,tbl_requisitos_emb[ID_Req],0)),"")</f>
        <v>Materiais e impurezas</v>
      </c>
      <c r="D2260" s="33" t="str">
        <f>IFERROR(INDEX(tbl_recyclass[Segmento],MATCH(A2260,tbl_recyclass[ProductId],0)),"")</f>
        <v>Alimentar</v>
      </c>
      <c r="E2260" s="26" t="s">
        <v>904</v>
      </c>
      <c r="F2260" s="26" t="s">
        <v>1454</v>
      </c>
      <c r="G2260" s="26" t="s">
        <v>1143</v>
      </c>
      <c r="H2260" s="33" t="str">
        <f>IF(E2260="Não","Não aplicável",IFERROR(IF(B2260="EU-ENV-002",IF(INDEX(tbl_recyclass[Conforme_PPWR_2030],MATCH(A2260,tbl_recyclass[ProductId],0))="Sim","Conforme (autoavaliação)",IF(INDEX(tbl_recyclass[Conforme_PPWR_2030],MATCH(A2260,tbl_recyclass[ProductId],0))="Não","Não conforme em 2030","Isento até 2035")),IF(B2260="EU-ENV-003",IF(INDEX(tbl_recyclass[Conforme_Art7_2030],MATCH(A2260,tbl_recyclass[ProductId],0))="Sim","Conforme (meta 2030)",IF(INDEX(tbl_recyclass[Conforme_Art7_2030],MATCH(A2260,tbl_recyclass[ProductId],0))="Não","Lacuna face à meta 2030","Isento")),IF(B2260="EU-ENV-011",IF(INDEX(tbl_familias_ppwr[Metais_Pesados_Evidencia],MATCH(INDEX(tbl_recyclass[Familia_PPWR],MATCH(A2260,tbl_recyclass[ProductId],0)),tbl_familias_ppwr[ID_Familia],0))="Em falta","Lacuna","Conforme"),IF(B2260="EU-ENV-013",IF(INDEX(tbl_familias_ppwr[Declaracao_UE],MATCH(INDEX(tbl_recyclass[Familia_PPWR],MATCH(A2260,tbl_recyclass[ProductId],0)),tbl_familias_ppwr[ID_Familia],0))="Sim","Conforme","Lacuna"),G2260)))),G2260))</f>
        <v>Não aplicável</v>
      </c>
      <c r="I2260" s="33" t="str">
        <f t="shared" si="35"/>
        <v>Não aplicável</v>
      </c>
      <c r="J2260" s="26"/>
    </row>
    <row r="2261" spans="1:10" ht="16.05" customHeight="1" x14ac:dyDescent="0.3">
      <c r="A2261" s="26" t="s">
        <v>849</v>
      </c>
      <c r="B2261" s="26" t="s">
        <v>1240</v>
      </c>
      <c r="C2261" s="33" t="str">
        <f>IFERROR(INDEX(tbl_requisitos_emb[Tema],MATCH(B2261,tbl_requisitos_emb[ID_Req],0)),"")</f>
        <v>Compatibilidade embalagem–produto</v>
      </c>
      <c r="D2261" s="33" t="str">
        <f>IFERROR(INDEX(tbl_recyclass[Segmento],MATCH(A2261,tbl_recyclass[ProductId],0)),"")</f>
        <v>Alimentar</v>
      </c>
      <c r="E2261" s="26" t="s">
        <v>904</v>
      </c>
      <c r="F2261" s="26" t="s">
        <v>1454</v>
      </c>
      <c r="G2261" s="26" t="s">
        <v>1143</v>
      </c>
      <c r="H2261" s="33" t="str">
        <f>IF(E2261="Não","Não aplicável",IFERROR(IF(B2261="EU-ENV-002",IF(INDEX(tbl_recyclass[Conforme_PPWR_2030],MATCH(A2261,tbl_recyclass[ProductId],0))="Sim","Conforme (autoavaliação)",IF(INDEX(tbl_recyclass[Conforme_PPWR_2030],MATCH(A2261,tbl_recyclass[ProductId],0))="Não","Não conforme em 2030","Isento até 2035")),IF(B2261="EU-ENV-003",IF(INDEX(tbl_recyclass[Conforme_Art7_2030],MATCH(A2261,tbl_recyclass[ProductId],0))="Sim","Conforme (meta 2030)",IF(INDEX(tbl_recyclass[Conforme_Art7_2030],MATCH(A2261,tbl_recyclass[ProductId],0))="Não","Lacuna face à meta 2030","Isento")),IF(B2261="EU-ENV-011",IF(INDEX(tbl_familias_ppwr[Metais_Pesados_Evidencia],MATCH(INDEX(tbl_recyclass[Familia_PPWR],MATCH(A2261,tbl_recyclass[ProductId],0)),tbl_familias_ppwr[ID_Familia],0))="Em falta","Lacuna","Conforme"),IF(B2261="EU-ENV-013",IF(INDEX(tbl_familias_ppwr[Declaracao_UE],MATCH(INDEX(tbl_recyclass[Familia_PPWR],MATCH(A2261,tbl_recyclass[ProductId],0)),tbl_familias_ppwr[ID_Familia],0))="Sim","Conforme","Lacuna"),G2261)))),G2261))</f>
        <v>Não aplicável</v>
      </c>
      <c r="I2261" s="33" t="str">
        <f t="shared" si="35"/>
        <v>Não aplicável</v>
      </c>
      <c r="J2261" s="26"/>
    </row>
    <row r="2262" spans="1:10" ht="16.05" customHeight="1" x14ac:dyDescent="0.3">
      <c r="A2262" s="26" t="s">
        <v>849</v>
      </c>
      <c r="B2262" s="26" t="s">
        <v>1252</v>
      </c>
      <c r="C2262" s="33" t="str">
        <f>IFERROR(INDEX(tbl_requisitos_emb[Tema],MATCH(B2262,tbl_requisitos_emb[ID_Req],0)),"")</f>
        <v>Medicamentos de uso humano</v>
      </c>
      <c r="D2262" s="33" t="str">
        <f>IFERROR(INDEX(tbl_recyclass[Segmento],MATCH(A2262,tbl_recyclass[ProductId],0)),"")</f>
        <v>Alimentar</v>
      </c>
      <c r="E2262" s="26" t="s">
        <v>904</v>
      </c>
      <c r="F2262" s="26" t="s">
        <v>1455</v>
      </c>
      <c r="G2262" s="26" t="s">
        <v>1143</v>
      </c>
      <c r="H2262" s="33" t="str">
        <f>IF(E2262="Não","Não aplicável",IFERROR(IF(B2262="EU-ENV-002",IF(INDEX(tbl_recyclass[Conforme_PPWR_2030],MATCH(A2262,tbl_recyclass[ProductId],0))="Sim","Conforme (autoavaliação)",IF(INDEX(tbl_recyclass[Conforme_PPWR_2030],MATCH(A2262,tbl_recyclass[ProductId],0))="Não","Não conforme em 2030","Isento até 2035")),IF(B2262="EU-ENV-003",IF(INDEX(tbl_recyclass[Conforme_Art7_2030],MATCH(A2262,tbl_recyclass[ProductId],0))="Sim","Conforme (meta 2030)",IF(INDEX(tbl_recyclass[Conforme_Art7_2030],MATCH(A2262,tbl_recyclass[ProductId],0))="Não","Lacuna face à meta 2030","Isento")),IF(B2262="EU-ENV-011",IF(INDEX(tbl_familias_ppwr[Metais_Pesados_Evidencia],MATCH(INDEX(tbl_recyclass[Familia_PPWR],MATCH(A2262,tbl_recyclass[ProductId],0)),tbl_familias_ppwr[ID_Familia],0))="Em falta","Lacuna","Conforme"),IF(B2262="EU-ENV-013",IF(INDEX(tbl_familias_ppwr[Declaracao_UE],MATCH(INDEX(tbl_recyclass[Familia_PPWR],MATCH(A2262,tbl_recyclass[ProductId],0)),tbl_familias_ppwr[ID_Familia],0))="Sim","Conforme","Lacuna"),G2262)))),G2262))</f>
        <v>Não aplicável</v>
      </c>
      <c r="I2262" s="33" t="str">
        <f t="shared" si="35"/>
        <v>Não aplicável</v>
      </c>
      <c r="J2262" s="26"/>
    </row>
    <row r="2263" spans="1:10" ht="16.05" customHeight="1" x14ac:dyDescent="0.3">
      <c r="A2263" s="26" t="s">
        <v>849</v>
      </c>
      <c r="B2263" s="26" t="s">
        <v>1268</v>
      </c>
      <c r="C2263" s="33" t="str">
        <f>IFERROR(INDEX(tbl_requisitos_emb[Tema],MATCH(B2263,tbl_requisitos_emb[ID_Req],0)),"")</f>
        <v>Dispositivos de segurança</v>
      </c>
      <c r="D2263" s="33" t="str">
        <f>IFERROR(INDEX(tbl_recyclass[Segmento],MATCH(A2263,tbl_recyclass[ProductId],0)),"")</f>
        <v>Alimentar</v>
      </c>
      <c r="E2263" s="26" t="s">
        <v>904</v>
      </c>
      <c r="F2263" s="26" t="s">
        <v>1455</v>
      </c>
      <c r="G2263" s="26" t="s">
        <v>1143</v>
      </c>
      <c r="H2263" s="33" t="str">
        <f>IF(E2263="Não","Não aplicável",IFERROR(IF(B2263="EU-ENV-002",IF(INDEX(tbl_recyclass[Conforme_PPWR_2030],MATCH(A2263,tbl_recyclass[ProductId],0))="Sim","Conforme (autoavaliação)",IF(INDEX(tbl_recyclass[Conforme_PPWR_2030],MATCH(A2263,tbl_recyclass[ProductId],0))="Não","Não conforme em 2030","Isento até 2035")),IF(B2263="EU-ENV-003",IF(INDEX(tbl_recyclass[Conforme_Art7_2030],MATCH(A2263,tbl_recyclass[ProductId],0))="Sim","Conforme (meta 2030)",IF(INDEX(tbl_recyclass[Conforme_Art7_2030],MATCH(A2263,tbl_recyclass[ProductId],0))="Não","Lacuna face à meta 2030","Isento")),IF(B2263="EU-ENV-011",IF(INDEX(tbl_familias_ppwr[Metais_Pesados_Evidencia],MATCH(INDEX(tbl_recyclass[Familia_PPWR],MATCH(A2263,tbl_recyclass[ProductId],0)),tbl_familias_ppwr[ID_Familia],0))="Em falta","Lacuna","Conforme"),IF(B2263="EU-ENV-013",IF(INDEX(tbl_familias_ppwr[Declaracao_UE],MATCH(INDEX(tbl_recyclass[Familia_PPWR],MATCH(A2263,tbl_recyclass[ProductId],0)),tbl_familias_ppwr[ID_Familia],0))="Sim","Conforme","Lacuna"),G2263)))),G2263))</f>
        <v>Não aplicável</v>
      </c>
      <c r="I2263" s="33" t="str">
        <f t="shared" si="35"/>
        <v>Não aplicável</v>
      </c>
      <c r="J2263" s="26"/>
    </row>
    <row r="2264" spans="1:10" ht="16.05" customHeight="1" x14ac:dyDescent="0.3">
      <c r="A2264" s="26" t="s">
        <v>849</v>
      </c>
      <c r="B2264" s="26" t="s">
        <v>1285</v>
      </c>
      <c r="C2264" s="33" t="str">
        <f>IFERROR(INDEX(tbl_requisitos_emb[Tema],MATCH(B2264,tbl_requisitos_emb[ID_Req],0)),"")</f>
        <v>Materiais plásticos de acondicionamento primário</v>
      </c>
      <c r="D2264" s="33" t="str">
        <f>IFERROR(INDEX(tbl_recyclass[Segmento],MATCH(A2264,tbl_recyclass[ProductId],0)),"")</f>
        <v>Alimentar</v>
      </c>
      <c r="E2264" s="26" t="s">
        <v>904</v>
      </c>
      <c r="F2264" s="26" t="s">
        <v>1455</v>
      </c>
      <c r="G2264" s="26" t="s">
        <v>1143</v>
      </c>
      <c r="H2264" s="33" t="str">
        <f>IF(E2264="Não","Não aplicável",IFERROR(IF(B2264="EU-ENV-002",IF(INDEX(tbl_recyclass[Conforme_PPWR_2030],MATCH(A2264,tbl_recyclass[ProductId],0))="Sim","Conforme (autoavaliação)",IF(INDEX(tbl_recyclass[Conforme_PPWR_2030],MATCH(A2264,tbl_recyclass[ProductId],0))="Não","Não conforme em 2030","Isento até 2035")),IF(B2264="EU-ENV-003",IF(INDEX(tbl_recyclass[Conforme_Art7_2030],MATCH(A2264,tbl_recyclass[ProductId],0))="Sim","Conforme (meta 2030)",IF(INDEX(tbl_recyclass[Conforme_Art7_2030],MATCH(A2264,tbl_recyclass[ProductId],0))="Não","Lacuna face à meta 2030","Isento")),IF(B2264="EU-ENV-011",IF(INDEX(tbl_familias_ppwr[Metais_Pesados_Evidencia],MATCH(INDEX(tbl_recyclass[Familia_PPWR],MATCH(A2264,tbl_recyclass[ProductId],0)),tbl_familias_ppwr[ID_Familia],0))="Em falta","Lacuna","Conforme"),IF(B2264="EU-ENV-013",IF(INDEX(tbl_familias_ppwr[Declaracao_UE],MATCH(INDEX(tbl_recyclass[Familia_PPWR],MATCH(A2264,tbl_recyclass[ProductId],0)),tbl_familias_ppwr[ID_Familia],0))="Sim","Conforme","Lacuna"),G2264)))),G2264))</f>
        <v>Não aplicável</v>
      </c>
      <c r="I2264" s="33" t="str">
        <f t="shared" si="35"/>
        <v>Não aplicável</v>
      </c>
      <c r="J2264" s="26"/>
    </row>
    <row r="2265" spans="1:10" ht="16.05" customHeight="1" x14ac:dyDescent="0.3">
      <c r="A2265" s="26" t="s">
        <v>849</v>
      </c>
      <c r="B2265" s="26" t="s">
        <v>1293</v>
      </c>
      <c r="C2265" s="33" t="str">
        <f>IFERROR(INDEX(tbl_requisitos_emb[Tema],MATCH(B2265,tbl_requisitos_emb[ID_Req],0)),"")</f>
        <v>Isenções PPWR</v>
      </c>
      <c r="D2265" s="33" t="str">
        <f>IFERROR(INDEX(tbl_recyclass[Segmento],MATCH(A2265,tbl_recyclass[ProductId],0)),"")</f>
        <v>Alimentar</v>
      </c>
      <c r="E2265" s="26" t="s">
        <v>904</v>
      </c>
      <c r="F2265" s="26" t="s">
        <v>1455</v>
      </c>
      <c r="G2265" s="26" t="s">
        <v>1143</v>
      </c>
      <c r="H2265" s="33" t="str">
        <f>IF(E2265="Não","Não aplicável",IFERROR(IF(B2265="EU-ENV-002",IF(INDEX(tbl_recyclass[Conforme_PPWR_2030],MATCH(A2265,tbl_recyclass[ProductId],0))="Sim","Conforme (autoavaliação)",IF(INDEX(tbl_recyclass[Conforme_PPWR_2030],MATCH(A2265,tbl_recyclass[ProductId],0))="Não","Não conforme em 2030","Isento até 2035")),IF(B2265="EU-ENV-003",IF(INDEX(tbl_recyclass[Conforme_Art7_2030],MATCH(A2265,tbl_recyclass[ProductId],0))="Sim","Conforme (meta 2030)",IF(INDEX(tbl_recyclass[Conforme_Art7_2030],MATCH(A2265,tbl_recyclass[ProductId],0))="Não","Lacuna face à meta 2030","Isento")),IF(B2265="EU-ENV-011",IF(INDEX(tbl_familias_ppwr[Metais_Pesados_Evidencia],MATCH(INDEX(tbl_recyclass[Familia_PPWR],MATCH(A2265,tbl_recyclass[ProductId],0)),tbl_familias_ppwr[ID_Familia],0))="Em falta","Lacuna","Conforme"),IF(B2265="EU-ENV-013",IF(INDEX(tbl_familias_ppwr[Declaracao_UE],MATCH(INDEX(tbl_recyclass[Familia_PPWR],MATCH(A2265,tbl_recyclass[ProductId],0)),tbl_familias_ppwr[ID_Familia],0))="Sim","Conforme","Lacuna"),G2265)))),G2265))</f>
        <v>Não aplicável</v>
      </c>
      <c r="I2265" s="33" t="str">
        <f t="shared" si="35"/>
        <v>Não aplicável</v>
      </c>
      <c r="J2265" s="26"/>
    </row>
    <row r="2266" spans="1:10" ht="16.05" customHeight="1" x14ac:dyDescent="0.3">
      <c r="A2266" s="26" t="s">
        <v>849</v>
      </c>
      <c r="B2266" s="26" t="s">
        <v>1357</v>
      </c>
      <c r="C2266" s="33" t="str">
        <f>IFERROR(INDEX(tbl_requisitos_emb[Tema],MATCH(B2266,tbl_requisitos_emb[ID_Req],0)),"")</f>
        <v>Identificação de plásticos</v>
      </c>
      <c r="D2266" s="33" t="str">
        <f>IFERROR(INDEX(tbl_recyclass[Segmento],MATCH(A2266,tbl_recyclass[ProductId],0)),"")</f>
        <v>Alimentar</v>
      </c>
      <c r="E2266" s="26" t="s">
        <v>901</v>
      </c>
      <c r="F2266" s="26" t="s">
        <v>1452</v>
      </c>
      <c r="G2266" s="26" t="s">
        <v>978</v>
      </c>
      <c r="H2266" s="33" t="str">
        <f>IF(E2266="Não","Não aplicável",IFERROR(IF(B2266="EU-ENV-002",IF(INDEX(tbl_recyclass[Conforme_PPWR_2030],MATCH(A2266,tbl_recyclass[ProductId],0))="Sim","Conforme (autoavaliação)",IF(INDEX(tbl_recyclass[Conforme_PPWR_2030],MATCH(A2266,tbl_recyclass[ProductId],0))="Não","Não conforme em 2030","Isento até 2035")),IF(B2266="EU-ENV-003",IF(INDEX(tbl_recyclass[Conforme_Art7_2030],MATCH(A2266,tbl_recyclass[ProductId],0))="Sim","Conforme (meta 2030)",IF(INDEX(tbl_recyclass[Conforme_Art7_2030],MATCH(A2266,tbl_recyclass[ProductId],0))="Não","Lacuna face à meta 2030","Isento")),IF(B2266="EU-ENV-011",IF(INDEX(tbl_familias_ppwr[Metais_Pesados_Evidencia],MATCH(INDEX(tbl_recyclass[Familia_PPWR],MATCH(A2266,tbl_recyclass[ProductId],0)),tbl_familias_ppwr[ID_Familia],0))="Em falta","Lacuna","Conforme"),IF(B2266="EU-ENV-013",IF(INDEX(tbl_familias_ppwr[Declaracao_UE],MATCH(INDEX(tbl_recyclass[Familia_PPWR],MATCH(A2266,tbl_recyclass[ProductId],0)),tbl_familias_ppwr[ID_Familia],0))="Sim","Conforme","Lacuna"),G2266)))),G2266))</f>
        <v>Parcial</v>
      </c>
      <c r="I2266" s="33" t="str">
        <f t="shared" si="35"/>
        <v>Parcial</v>
      </c>
      <c r="J2266" s="26" t="s">
        <v>1362</v>
      </c>
    </row>
    <row r="2267" spans="1:10" ht="16.05" customHeight="1" x14ac:dyDescent="0.3">
      <c r="A2267" s="26" t="s">
        <v>849</v>
      </c>
      <c r="B2267" s="26" t="s">
        <v>1385</v>
      </c>
      <c r="C2267" s="33" t="str">
        <f>IFERROR(INDEX(tbl_requisitos_emb[Tema],MATCH(B2267,tbl_requisitos_emb[ID_Req],0)),"")</f>
        <v>Reciclabilidade (voluntária)</v>
      </c>
      <c r="D2267" s="33" t="str">
        <f>IFERROR(INDEX(tbl_recyclass[Segmento],MATCH(A2267,tbl_recyclass[ProductId],0)),"")</f>
        <v>Alimentar</v>
      </c>
      <c r="E2267" s="26" t="s">
        <v>901</v>
      </c>
      <c r="F2267" s="26" t="s">
        <v>1452</v>
      </c>
      <c r="G2267" s="26" t="s">
        <v>978</v>
      </c>
      <c r="H2267" s="33" t="str">
        <f>IF(E2267="Não","Não aplicável",IFERROR(IF(B2267="EU-ENV-002",IF(INDEX(tbl_recyclass[Conforme_PPWR_2030],MATCH(A2267,tbl_recyclass[ProductId],0))="Sim","Conforme (autoavaliação)",IF(INDEX(tbl_recyclass[Conforme_PPWR_2030],MATCH(A2267,tbl_recyclass[ProductId],0))="Não","Não conforme em 2030","Isento até 2035")),IF(B2267="EU-ENV-003",IF(INDEX(tbl_recyclass[Conforme_Art7_2030],MATCH(A2267,tbl_recyclass[ProductId],0))="Sim","Conforme (meta 2030)",IF(INDEX(tbl_recyclass[Conforme_Art7_2030],MATCH(A2267,tbl_recyclass[ProductId],0))="Não","Lacuna face à meta 2030","Isento")),IF(B2267="EU-ENV-011",IF(INDEX(tbl_familias_ppwr[Metais_Pesados_Evidencia],MATCH(INDEX(tbl_recyclass[Familia_PPWR],MATCH(A2267,tbl_recyclass[ProductId],0)),tbl_familias_ppwr[ID_Familia],0))="Em falta","Lacuna","Conforme"),IF(B2267="EU-ENV-013",IF(INDEX(tbl_familias_ppwr[Declaracao_UE],MATCH(INDEX(tbl_recyclass[Familia_PPWR],MATCH(A2267,tbl_recyclass[ProductId],0)),tbl_familias_ppwr[ID_Familia],0))="Sim","Conforme","Lacuna"),G2267)))),G2267))</f>
        <v>Parcial</v>
      </c>
      <c r="I2267" s="33" t="str">
        <f t="shared" si="35"/>
        <v>Parcial</v>
      </c>
      <c r="J2267" s="26" t="s">
        <v>1389</v>
      </c>
    </row>
    <row r="2268" spans="1:10" ht="16.05" customHeight="1" x14ac:dyDescent="0.3">
      <c r="A2268" s="26" t="s">
        <v>852</v>
      </c>
      <c r="B2268" s="26" t="s">
        <v>984</v>
      </c>
      <c r="C2268" s="33" t="str">
        <f>IFERROR(INDEX(tbl_requisitos_emb[Tema],MATCH(B2268,tbl_requisitos_emb[ID_Req],0)),"")</f>
        <v>Conceção para reciclagem</v>
      </c>
      <c r="D2268" s="33" t="str">
        <f>IFERROR(INDEX(tbl_recyclass[Segmento],MATCH(A2268,tbl_recyclass[ProductId],0)),"")</f>
        <v>Alimentar</v>
      </c>
      <c r="E2268" s="26" t="s">
        <v>901</v>
      </c>
      <c r="F2268" s="26" t="s">
        <v>1452</v>
      </c>
      <c r="G2268" s="26" t="s">
        <v>978</v>
      </c>
      <c r="H2268" s="33" t="str">
        <f>IF(E2268="Não","Não aplicável",IFERROR(IF(B2268="EU-ENV-002",IF(INDEX(tbl_recyclass[Conforme_PPWR_2030],MATCH(A2268,tbl_recyclass[ProductId],0))="Sim","Conforme (autoavaliação)",IF(INDEX(tbl_recyclass[Conforme_PPWR_2030],MATCH(A2268,tbl_recyclass[ProductId],0))="Não","Não conforme em 2030","Isento até 2035")),IF(B2268="EU-ENV-003",IF(INDEX(tbl_recyclass[Conforme_Art7_2030],MATCH(A2268,tbl_recyclass[ProductId],0))="Sim","Conforme (meta 2030)",IF(INDEX(tbl_recyclass[Conforme_Art7_2030],MATCH(A2268,tbl_recyclass[ProductId],0))="Não","Lacuna face à meta 2030","Isento")),IF(B2268="EU-ENV-011",IF(INDEX(tbl_familias_ppwr[Metais_Pesados_Evidencia],MATCH(INDEX(tbl_recyclass[Familia_PPWR],MATCH(A2268,tbl_recyclass[ProductId],0)),tbl_familias_ppwr[ID_Familia],0))="Em falta","Lacuna","Conforme"),IF(B2268="EU-ENV-013",IF(INDEX(tbl_familias_ppwr[Declaracao_UE],MATCH(INDEX(tbl_recyclass[Familia_PPWR],MATCH(A2268,tbl_recyclass[ProductId],0)),tbl_familias_ppwr[ID_Familia],0))="Sim","Conforme","Lacuna"),G2268)))),G2268))</f>
        <v>Conforme (autoavaliação)</v>
      </c>
      <c r="I2268" s="33" t="str">
        <f t="shared" si="35"/>
        <v>Conforme</v>
      </c>
      <c r="J2268" s="26" t="s">
        <v>991</v>
      </c>
    </row>
    <row r="2269" spans="1:10" ht="16.05" customHeight="1" x14ac:dyDescent="0.3">
      <c r="A2269" s="26" t="s">
        <v>852</v>
      </c>
      <c r="B2269" s="26" t="s">
        <v>997</v>
      </c>
      <c r="C2269" s="33" t="str">
        <f>IFERROR(INDEX(tbl_requisitos_emb[Tema],MATCH(B2269,tbl_requisitos_emb[ID_Req],0)),"")</f>
        <v>Conteúdo reciclado</v>
      </c>
      <c r="D2269" s="33" t="str">
        <f>IFERROR(INDEX(tbl_recyclass[Segmento],MATCH(A2269,tbl_recyclass[ProductId],0)),"")</f>
        <v>Alimentar</v>
      </c>
      <c r="E2269" s="26" t="s">
        <v>901</v>
      </c>
      <c r="F2269" s="26" t="s">
        <v>1452</v>
      </c>
      <c r="G2269" s="26" t="s">
        <v>978</v>
      </c>
      <c r="H2269" s="33" t="str">
        <f>IF(E2269="Não","Não aplicável",IFERROR(IF(B2269="EU-ENV-002",IF(INDEX(tbl_recyclass[Conforme_PPWR_2030],MATCH(A2269,tbl_recyclass[ProductId],0))="Sim","Conforme (autoavaliação)",IF(INDEX(tbl_recyclass[Conforme_PPWR_2030],MATCH(A2269,tbl_recyclass[ProductId],0))="Não","Não conforme em 2030","Isento até 2035")),IF(B2269="EU-ENV-003",IF(INDEX(tbl_recyclass[Conforme_Art7_2030],MATCH(A2269,tbl_recyclass[ProductId],0))="Sim","Conforme (meta 2030)",IF(INDEX(tbl_recyclass[Conforme_Art7_2030],MATCH(A2269,tbl_recyclass[ProductId],0))="Não","Lacuna face à meta 2030","Isento")),IF(B2269="EU-ENV-011",IF(INDEX(tbl_familias_ppwr[Metais_Pesados_Evidencia],MATCH(INDEX(tbl_recyclass[Familia_PPWR],MATCH(A2269,tbl_recyclass[ProductId],0)),tbl_familias_ppwr[ID_Familia],0))="Em falta","Lacuna","Conforme"),IF(B2269="EU-ENV-013",IF(INDEX(tbl_familias_ppwr[Declaracao_UE],MATCH(INDEX(tbl_recyclass[Familia_PPWR],MATCH(A2269,tbl_recyclass[ProductId],0)),tbl_familias_ppwr[ID_Familia],0))="Sim","Conforme","Lacuna"),G2269)))),G2269))</f>
        <v>Lacuna face à meta 2030</v>
      </c>
      <c r="I2269" s="33" t="str">
        <f t="shared" si="35"/>
        <v>Lacuna</v>
      </c>
      <c r="J2269" s="26" t="s">
        <v>1001</v>
      </c>
    </row>
    <row r="2270" spans="1:10" ht="16.05" customHeight="1" x14ac:dyDescent="0.3">
      <c r="A2270" s="26" t="s">
        <v>852</v>
      </c>
      <c r="B2270" s="26" t="s">
        <v>1007</v>
      </c>
      <c r="C2270" s="33" t="str">
        <f>IFERROR(INDEX(tbl_requisitos_emb[Tema],MATCH(B2270,tbl_requisitos_emb[ID_Req],0)),"")</f>
        <v>Minimização</v>
      </c>
      <c r="D2270" s="33" t="str">
        <f>IFERROR(INDEX(tbl_recyclass[Segmento],MATCH(A2270,tbl_recyclass[ProductId],0)),"")</f>
        <v>Alimentar</v>
      </c>
      <c r="E2270" s="26" t="s">
        <v>901</v>
      </c>
      <c r="F2270" s="26" t="s">
        <v>1452</v>
      </c>
      <c r="G2270" s="26" t="s">
        <v>978</v>
      </c>
      <c r="H2270" s="33" t="str">
        <f>IF(E2270="Não","Não aplicável",IFERROR(IF(B2270="EU-ENV-002",IF(INDEX(tbl_recyclass[Conforme_PPWR_2030],MATCH(A2270,tbl_recyclass[ProductId],0))="Sim","Conforme (autoavaliação)",IF(INDEX(tbl_recyclass[Conforme_PPWR_2030],MATCH(A2270,tbl_recyclass[ProductId],0))="Não","Não conforme em 2030","Isento até 2035")),IF(B2270="EU-ENV-003",IF(INDEX(tbl_recyclass[Conforme_Art7_2030],MATCH(A2270,tbl_recyclass[ProductId],0))="Sim","Conforme (meta 2030)",IF(INDEX(tbl_recyclass[Conforme_Art7_2030],MATCH(A2270,tbl_recyclass[ProductId],0))="Não","Lacuna face à meta 2030","Isento")),IF(B2270="EU-ENV-011",IF(INDEX(tbl_familias_ppwr[Metais_Pesados_Evidencia],MATCH(INDEX(tbl_recyclass[Familia_PPWR],MATCH(A2270,tbl_recyclass[ProductId],0)),tbl_familias_ppwr[ID_Familia],0))="Em falta","Lacuna","Conforme"),IF(B2270="EU-ENV-013",IF(INDEX(tbl_familias_ppwr[Declaracao_UE],MATCH(INDEX(tbl_recyclass[Familia_PPWR],MATCH(A2270,tbl_recyclass[ProductId],0)),tbl_familias_ppwr[ID_Familia],0))="Sim","Conforme","Lacuna"),G2270)))),G2270))</f>
        <v>Parcial</v>
      </c>
      <c r="I2270" s="33" t="str">
        <f t="shared" si="35"/>
        <v>Parcial</v>
      </c>
      <c r="J2270" s="26" t="s">
        <v>1012</v>
      </c>
    </row>
    <row r="2271" spans="1:10" ht="16.05" customHeight="1" x14ac:dyDescent="0.3">
      <c r="A2271" s="26" t="s">
        <v>852</v>
      </c>
      <c r="B2271" s="26" t="s">
        <v>1016</v>
      </c>
      <c r="C2271" s="33" t="str">
        <f>IFERROR(INDEX(tbl_requisitos_emb[Tema],MATCH(B2271,tbl_requisitos_emb[ID_Req],0)),"")</f>
        <v>Rotulagem</v>
      </c>
      <c r="D2271" s="33" t="str">
        <f>IFERROR(INDEX(tbl_recyclass[Segmento],MATCH(A2271,tbl_recyclass[ProductId],0)),"")</f>
        <v>Alimentar</v>
      </c>
      <c r="E2271" s="26" t="s">
        <v>901</v>
      </c>
      <c r="F2271" s="26" t="s">
        <v>1452</v>
      </c>
      <c r="G2271" s="26" t="s">
        <v>990</v>
      </c>
      <c r="H2271" s="33" t="str">
        <f>IF(E2271="Não","Não aplicável",IFERROR(IF(B2271="EU-ENV-002",IF(INDEX(tbl_recyclass[Conforme_PPWR_2030],MATCH(A2271,tbl_recyclass[ProductId],0))="Sim","Conforme (autoavaliação)",IF(INDEX(tbl_recyclass[Conforme_PPWR_2030],MATCH(A2271,tbl_recyclass[ProductId],0))="Não","Não conforme em 2030","Isento até 2035")),IF(B2271="EU-ENV-003",IF(INDEX(tbl_recyclass[Conforme_Art7_2030],MATCH(A2271,tbl_recyclass[ProductId],0))="Sim","Conforme (meta 2030)",IF(INDEX(tbl_recyclass[Conforme_Art7_2030],MATCH(A2271,tbl_recyclass[ProductId],0))="Não","Lacuna face à meta 2030","Isento")),IF(B2271="EU-ENV-011",IF(INDEX(tbl_familias_ppwr[Metais_Pesados_Evidencia],MATCH(INDEX(tbl_recyclass[Familia_PPWR],MATCH(A2271,tbl_recyclass[ProductId],0)),tbl_familias_ppwr[ID_Familia],0))="Em falta","Lacuna","Conforme"),IF(B2271="EU-ENV-013",IF(INDEX(tbl_familias_ppwr[Declaracao_UE],MATCH(INDEX(tbl_recyclass[Familia_PPWR],MATCH(A2271,tbl_recyclass[ProductId],0)),tbl_familias_ppwr[ID_Familia],0))="Sim","Conforme","Lacuna"),G2271)))),G2271))</f>
        <v>Futuro</v>
      </c>
      <c r="I2271" s="33" t="str">
        <f t="shared" si="35"/>
        <v>Futuro</v>
      </c>
      <c r="J2271" s="26" t="s">
        <v>1021</v>
      </c>
    </row>
    <row r="2272" spans="1:10" ht="16.05" customHeight="1" x14ac:dyDescent="0.3">
      <c r="A2272" s="26" t="s">
        <v>852</v>
      </c>
      <c r="B2272" s="26" t="s">
        <v>1038</v>
      </c>
      <c r="C2272" s="33" t="str">
        <f>IFERROR(INDEX(tbl_requisitos_emb[Tema],MATCH(B2272,tbl_requisitos_emb[ID_Req],0)),"")</f>
        <v>Plásticos de utilização única</v>
      </c>
      <c r="D2272" s="33" t="str">
        <f>IFERROR(INDEX(tbl_recyclass[Segmento],MATCH(A2272,tbl_recyclass[ProductId],0)),"")</f>
        <v>Alimentar</v>
      </c>
      <c r="E2272" s="26" t="s">
        <v>901</v>
      </c>
      <c r="F2272" s="26" t="s">
        <v>1453</v>
      </c>
      <c r="G2272" s="26" t="s">
        <v>1033</v>
      </c>
      <c r="H2272" s="33" t="str">
        <f>IF(E2272="Não","Não aplicável",IFERROR(IF(B2272="EU-ENV-002",IF(INDEX(tbl_recyclass[Conforme_PPWR_2030],MATCH(A2272,tbl_recyclass[ProductId],0))="Sim","Conforme (autoavaliação)",IF(INDEX(tbl_recyclass[Conforme_PPWR_2030],MATCH(A2272,tbl_recyclass[ProductId],0))="Não","Não conforme em 2030","Isento até 2035")),IF(B2272="EU-ENV-003",IF(INDEX(tbl_recyclass[Conforme_Art7_2030],MATCH(A2272,tbl_recyclass[ProductId],0))="Sim","Conforme (meta 2030)",IF(INDEX(tbl_recyclass[Conforme_Art7_2030],MATCH(A2272,tbl_recyclass[ProductId],0))="Não","Lacuna face à meta 2030","Isento")),IF(B2272="EU-ENV-011",IF(INDEX(tbl_familias_ppwr[Metais_Pesados_Evidencia],MATCH(INDEX(tbl_recyclass[Familia_PPWR],MATCH(A2272,tbl_recyclass[ProductId],0)),tbl_familias_ppwr[ID_Familia],0))="Em falta","Lacuna","Conforme"),IF(B2272="EU-ENV-013",IF(INDEX(tbl_familias_ppwr[Declaracao_UE],MATCH(INDEX(tbl_recyclass[Familia_PPWR],MATCH(A2272,tbl_recyclass[ProductId],0)),tbl_familias_ppwr[ID_Familia],0))="Sim","Conforme","Lacuna"),G2272)))),G2272))</f>
        <v>Conforme</v>
      </c>
      <c r="I2272" s="33" t="str">
        <f t="shared" si="35"/>
        <v>Conforme</v>
      </c>
      <c r="J2272" s="26" t="s">
        <v>1046</v>
      </c>
    </row>
    <row r="2273" spans="1:10" ht="16.05" customHeight="1" x14ac:dyDescent="0.3">
      <c r="A2273" s="26" t="s">
        <v>852</v>
      </c>
      <c r="B2273" s="26" t="s">
        <v>1078</v>
      </c>
      <c r="C2273" s="33" t="str">
        <f>IFERROR(INDEX(tbl_requisitos_emb[Tema],MATCH(B2273,tbl_requisitos_emb[ID_Req],0)),"")</f>
        <v>Reciclado à escala</v>
      </c>
      <c r="D2273" s="33" t="str">
        <f>IFERROR(INDEX(tbl_recyclass[Segmento],MATCH(A2273,tbl_recyclass[ProductId],0)),"")</f>
        <v>Alimentar</v>
      </c>
      <c r="E2273" s="26" t="s">
        <v>901</v>
      </c>
      <c r="F2273" s="26" t="s">
        <v>1452</v>
      </c>
      <c r="G2273" s="26" t="s">
        <v>990</v>
      </c>
      <c r="H2273" s="33" t="str">
        <f>IF(E2273="Não","Não aplicável",IFERROR(IF(B2273="EU-ENV-002",IF(INDEX(tbl_recyclass[Conforme_PPWR_2030],MATCH(A2273,tbl_recyclass[ProductId],0))="Sim","Conforme (autoavaliação)",IF(INDEX(tbl_recyclass[Conforme_PPWR_2030],MATCH(A2273,tbl_recyclass[ProductId],0))="Não","Não conforme em 2030","Isento até 2035")),IF(B2273="EU-ENV-003",IF(INDEX(tbl_recyclass[Conforme_Art7_2030],MATCH(A2273,tbl_recyclass[ProductId],0))="Sim","Conforme (meta 2030)",IF(INDEX(tbl_recyclass[Conforme_Art7_2030],MATCH(A2273,tbl_recyclass[ProductId],0))="Não","Lacuna face à meta 2030","Isento")),IF(B2273="EU-ENV-011",IF(INDEX(tbl_familias_ppwr[Metais_Pesados_Evidencia],MATCH(INDEX(tbl_recyclass[Familia_PPWR],MATCH(A2273,tbl_recyclass[ProductId],0)),tbl_familias_ppwr[ID_Familia],0))="Em falta","Lacuna","Conforme"),IF(B2273="EU-ENV-013",IF(INDEX(tbl_familias_ppwr[Declaracao_UE],MATCH(INDEX(tbl_recyclass[Familia_PPWR],MATCH(A2273,tbl_recyclass[ProductId],0)),tbl_familias_ppwr[ID_Familia],0))="Sim","Conforme","Lacuna"),G2273)))),G2273))</f>
        <v>Futuro</v>
      </c>
      <c r="I2273" s="33" t="str">
        <f t="shared" si="35"/>
        <v>Futuro</v>
      </c>
      <c r="J2273" s="26" t="s">
        <v>1082</v>
      </c>
    </row>
    <row r="2274" spans="1:10" ht="16.05" customHeight="1" x14ac:dyDescent="0.3">
      <c r="A2274" s="26" t="s">
        <v>852</v>
      </c>
      <c r="B2274" s="26" t="s">
        <v>1086</v>
      </c>
      <c r="C2274" s="33" t="str">
        <f>IFERROR(INDEX(tbl_requisitos_emb[Tema],MATCH(B2274,tbl_requisitos_emb[ID_Req],0)),"")</f>
        <v>Metais pesados</v>
      </c>
      <c r="D2274" s="33" t="str">
        <f>IFERROR(INDEX(tbl_recyclass[Segmento],MATCH(A2274,tbl_recyclass[ProductId],0)),"")</f>
        <v>Alimentar</v>
      </c>
      <c r="E2274" s="26" t="s">
        <v>901</v>
      </c>
      <c r="F2274" s="26" t="s">
        <v>1452</v>
      </c>
      <c r="G2274" s="26" t="s">
        <v>978</v>
      </c>
      <c r="H2274" s="33" t="str">
        <f>IF(E2274="Não","Não aplicável",IFERROR(IF(B2274="EU-ENV-002",IF(INDEX(tbl_recyclass[Conforme_PPWR_2030],MATCH(A2274,tbl_recyclass[ProductId],0))="Sim","Conforme (autoavaliação)",IF(INDEX(tbl_recyclass[Conforme_PPWR_2030],MATCH(A2274,tbl_recyclass[ProductId],0))="Não","Não conforme em 2030","Isento até 2035")),IF(B2274="EU-ENV-003",IF(INDEX(tbl_recyclass[Conforme_Art7_2030],MATCH(A2274,tbl_recyclass[ProductId],0))="Sim","Conforme (meta 2030)",IF(INDEX(tbl_recyclass[Conforme_Art7_2030],MATCH(A2274,tbl_recyclass[ProductId],0))="Não","Lacuna face à meta 2030","Isento")),IF(B2274="EU-ENV-011",IF(INDEX(tbl_familias_ppwr[Metais_Pesados_Evidencia],MATCH(INDEX(tbl_recyclass[Familia_PPWR],MATCH(A2274,tbl_recyclass[ProductId],0)),tbl_familias_ppwr[ID_Familia],0))="Em falta","Lacuna","Conforme"),IF(B2274="EU-ENV-013",IF(INDEX(tbl_familias_ppwr[Declaracao_UE],MATCH(INDEX(tbl_recyclass[Familia_PPWR],MATCH(A2274,tbl_recyclass[ProductId],0)),tbl_familias_ppwr[ID_Familia],0))="Sim","Conforme","Lacuna"),G2274)))),G2274))</f>
        <v>Conforme</v>
      </c>
      <c r="I2274" s="33" t="str">
        <f t="shared" si="35"/>
        <v>Conforme</v>
      </c>
      <c r="J2274" s="26" t="s">
        <v>1090</v>
      </c>
    </row>
    <row r="2275" spans="1:10" ht="16.05" customHeight="1" x14ac:dyDescent="0.3">
      <c r="A2275" s="26" t="s">
        <v>852</v>
      </c>
      <c r="B2275" s="26" t="s">
        <v>1094</v>
      </c>
      <c r="C2275" s="33" t="str">
        <f>IFERROR(INDEX(tbl_requisitos_emb[Tema],MATCH(B2275,tbl_requisitos_emb[ID_Req],0)),"")</f>
        <v>PFAS</v>
      </c>
      <c r="D2275" s="33" t="str">
        <f>IFERROR(INDEX(tbl_recyclass[Segmento],MATCH(A2275,tbl_recyclass[ProductId],0)),"")</f>
        <v>Alimentar</v>
      </c>
      <c r="E2275" s="26" t="s">
        <v>901</v>
      </c>
      <c r="F2275" s="26" t="s">
        <v>1452</v>
      </c>
      <c r="G2275" s="26" t="s">
        <v>1033</v>
      </c>
      <c r="H2275" s="33" t="str">
        <f>IF(E2275="Não","Não aplicável",IFERROR(IF(B2275="EU-ENV-002",IF(INDEX(tbl_recyclass[Conforme_PPWR_2030],MATCH(A2275,tbl_recyclass[ProductId],0))="Sim","Conforme (autoavaliação)",IF(INDEX(tbl_recyclass[Conforme_PPWR_2030],MATCH(A2275,tbl_recyclass[ProductId],0))="Não","Não conforme em 2030","Isento até 2035")),IF(B2275="EU-ENV-003",IF(INDEX(tbl_recyclass[Conforme_Art7_2030],MATCH(A2275,tbl_recyclass[ProductId],0))="Sim","Conforme (meta 2030)",IF(INDEX(tbl_recyclass[Conforme_Art7_2030],MATCH(A2275,tbl_recyclass[ProductId],0))="Não","Lacuna face à meta 2030","Isento")),IF(B2275="EU-ENV-011",IF(INDEX(tbl_familias_ppwr[Metais_Pesados_Evidencia],MATCH(INDEX(tbl_recyclass[Familia_PPWR],MATCH(A2275,tbl_recyclass[ProductId],0)),tbl_familias_ppwr[ID_Familia],0))="Em falta","Lacuna","Conforme"),IF(B2275="EU-ENV-013",IF(INDEX(tbl_familias_ppwr[Declaracao_UE],MATCH(INDEX(tbl_recyclass[Familia_PPWR],MATCH(A2275,tbl_recyclass[ProductId],0)),tbl_familias_ppwr[ID_Familia],0))="Sim","Conforme","Lacuna"),G2275)))),G2275))</f>
        <v>Conforme</v>
      </c>
      <c r="I2275" s="33" t="str">
        <f t="shared" si="35"/>
        <v>Conforme</v>
      </c>
      <c r="J2275" s="26" t="s">
        <v>1098</v>
      </c>
    </row>
    <row r="2276" spans="1:10" ht="16.05" customHeight="1" x14ac:dyDescent="0.3">
      <c r="A2276" s="26" t="s">
        <v>852</v>
      </c>
      <c r="B2276" s="26" t="s">
        <v>1102</v>
      </c>
      <c r="C2276" s="33" t="str">
        <f>IFERROR(INDEX(tbl_requisitos_emb[Tema],MATCH(B2276,tbl_requisitos_emb[ID_Req],0)),"")</f>
        <v>Documentação técnica e declaração UE</v>
      </c>
      <c r="D2276" s="33" t="str">
        <f>IFERROR(INDEX(tbl_recyclass[Segmento],MATCH(A2276,tbl_recyclass[ProductId],0)),"")</f>
        <v>Alimentar</v>
      </c>
      <c r="E2276" s="26" t="s">
        <v>901</v>
      </c>
      <c r="F2276" s="26" t="s">
        <v>1452</v>
      </c>
      <c r="G2276" s="26" t="s">
        <v>978</v>
      </c>
      <c r="H2276" s="33" t="str">
        <f>IF(E2276="Não","Não aplicável",IFERROR(IF(B2276="EU-ENV-002",IF(INDEX(tbl_recyclass[Conforme_PPWR_2030],MATCH(A2276,tbl_recyclass[ProductId],0))="Sim","Conforme (autoavaliação)",IF(INDEX(tbl_recyclass[Conforme_PPWR_2030],MATCH(A2276,tbl_recyclass[ProductId],0))="Não","Não conforme em 2030","Isento até 2035")),IF(B2276="EU-ENV-003",IF(INDEX(tbl_recyclass[Conforme_Art7_2030],MATCH(A2276,tbl_recyclass[ProductId],0))="Sim","Conforme (meta 2030)",IF(INDEX(tbl_recyclass[Conforme_Art7_2030],MATCH(A2276,tbl_recyclass[ProductId],0))="Não","Lacuna face à meta 2030","Isento")),IF(B2276="EU-ENV-011",IF(INDEX(tbl_familias_ppwr[Metais_Pesados_Evidencia],MATCH(INDEX(tbl_recyclass[Familia_PPWR],MATCH(A2276,tbl_recyclass[ProductId],0)),tbl_familias_ppwr[ID_Familia],0))="Em falta","Lacuna","Conforme"),IF(B2276="EU-ENV-013",IF(INDEX(tbl_familias_ppwr[Declaracao_UE],MATCH(INDEX(tbl_recyclass[Familia_PPWR],MATCH(A2276,tbl_recyclass[ProductId],0)),tbl_familias_ppwr[ID_Familia],0))="Sim","Conforme","Lacuna"),G2276)))),G2276))</f>
        <v>Conforme</v>
      </c>
      <c r="I2276" s="33" t="str">
        <f t="shared" si="35"/>
        <v>Conforme</v>
      </c>
      <c r="J2276" s="26" t="s">
        <v>1106</v>
      </c>
    </row>
    <row r="2277" spans="1:10" ht="16.05" customHeight="1" x14ac:dyDescent="0.3">
      <c r="A2277" s="26" t="s">
        <v>852</v>
      </c>
      <c r="B2277" s="26" t="s">
        <v>1161</v>
      </c>
      <c r="C2277" s="33" t="str">
        <f>IFERROR(INDEX(tbl_requisitos_emb[Tema],MATCH(B2277,tbl_requisitos_emb[ID_Req],0)),"")</f>
        <v>Materiais em contacto com alimentos</v>
      </c>
      <c r="D2277" s="33" t="str">
        <f>IFERROR(INDEX(tbl_recyclass[Segmento],MATCH(A2277,tbl_recyclass[ProductId],0)),"")</f>
        <v>Alimentar</v>
      </c>
      <c r="E2277" s="26" t="s">
        <v>901</v>
      </c>
      <c r="F2277" s="26" t="s">
        <v>1452</v>
      </c>
      <c r="G2277" s="26" t="s">
        <v>1033</v>
      </c>
      <c r="H2277" s="33" t="str">
        <f>IF(E2277="Não","Não aplicável",IFERROR(IF(B2277="EU-ENV-002",IF(INDEX(tbl_recyclass[Conforme_PPWR_2030],MATCH(A2277,tbl_recyclass[ProductId],0))="Sim","Conforme (autoavaliação)",IF(INDEX(tbl_recyclass[Conforme_PPWR_2030],MATCH(A2277,tbl_recyclass[ProductId],0))="Não","Não conforme em 2030","Isento até 2035")),IF(B2277="EU-ENV-003",IF(INDEX(tbl_recyclass[Conforme_Art7_2030],MATCH(A2277,tbl_recyclass[ProductId],0))="Sim","Conforme (meta 2030)",IF(INDEX(tbl_recyclass[Conforme_Art7_2030],MATCH(A2277,tbl_recyclass[ProductId],0))="Não","Lacuna face à meta 2030","Isento")),IF(B2277="EU-ENV-011",IF(INDEX(tbl_familias_ppwr[Metais_Pesados_Evidencia],MATCH(INDEX(tbl_recyclass[Familia_PPWR],MATCH(A2277,tbl_recyclass[ProductId],0)),tbl_familias_ppwr[ID_Familia],0))="Em falta","Lacuna","Conforme"),IF(B2277="EU-ENV-013",IF(INDEX(tbl_familias_ppwr[Declaracao_UE],MATCH(INDEX(tbl_recyclass[Familia_PPWR],MATCH(A2277,tbl_recyclass[ProductId],0)),tbl_familias_ppwr[ID_Familia],0))="Sim","Conforme","Lacuna"),G2277)))),G2277))</f>
        <v>Conforme</v>
      </c>
      <c r="I2277" s="33" t="str">
        <f t="shared" si="35"/>
        <v>Conforme</v>
      </c>
      <c r="J2277" s="26" t="s">
        <v>1168</v>
      </c>
    </row>
    <row r="2278" spans="1:10" ht="16.05" customHeight="1" x14ac:dyDescent="0.3">
      <c r="A2278" s="26" t="s">
        <v>852</v>
      </c>
      <c r="B2278" s="26" t="s">
        <v>1170</v>
      </c>
      <c r="C2278" s="33" t="str">
        <f>IFERROR(INDEX(tbl_requisitos_emb[Tema],MATCH(B2278,tbl_requisitos_emb[ID_Req],0)),"")</f>
        <v>Boas práticas de fabrico FCM</v>
      </c>
      <c r="D2278" s="33" t="str">
        <f>IFERROR(INDEX(tbl_recyclass[Segmento],MATCH(A2278,tbl_recyclass[ProductId],0)),"")</f>
        <v>Alimentar</v>
      </c>
      <c r="E2278" s="26" t="s">
        <v>901</v>
      </c>
      <c r="F2278" s="26" t="s">
        <v>1452</v>
      </c>
      <c r="G2278" s="26" t="s">
        <v>978</v>
      </c>
      <c r="H2278" s="33" t="str">
        <f>IF(E2278="Não","Não aplicável",IFERROR(IF(B2278="EU-ENV-002",IF(INDEX(tbl_recyclass[Conforme_PPWR_2030],MATCH(A2278,tbl_recyclass[ProductId],0))="Sim","Conforme (autoavaliação)",IF(INDEX(tbl_recyclass[Conforme_PPWR_2030],MATCH(A2278,tbl_recyclass[ProductId],0))="Não","Não conforme em 2030","Isento até 2035")),IF(B2278="EU-ENV-003",IF(INDEX(tbl_recyclass[Conforme_Art7_2030],MATCH(A2278,tbl_recyclass[ProductId],0))="Sim","Conforme (meta 2030)",IF(INDEX(tbl_recyclass[Conforme_Art7_2030],MATCH(A2278,tbl_recyclass[ProductId],0))="Não","Lacuna face à meta 2030","Isento")),IF(B2278="EU-ENV-011",IF(INDEX(tbl_familias_ppwr[Metais_Pesados_Evidencia],MATCH(INDEX(tbl_recyclass[Familia_PPWR],MATCH(A2278,tbl_recyclass[ProductId],0)),tbl_familias_ppwr[ID_Familia],0))="Em falta","Lacuna","Conforme"),IF(B2278="EU-ENV-013",IF(INDEX(tbl_familias_ppwr[Declaracao_UE],MATCH(INDEX(tbl_recyclass[Familia_PPWR],MATCH(A2278,tbl_recyclass[ProductId],0)),tbl_familias_ppwr[ID_Familia],0))="Sim","Conforme","Lacuna"),G2278)))),G2278))</f>
        <v>Parcial</v>
      </c>
      <c r="I2278" s="33" t="str">
        <f t="shared" si="35"/>
        <v>Parcial</v>
      </c>
      <c r="J2278" s="26" t="s">
        <v>1175</v>
      </c>
    </row>
    <row r="2279" spans="1:10" ht="16.05" customHeight="1" x14ac:dyDescent="0.3">
      <c r="A2279" s="26" t="s">
        <v>852</v>
      </c>
      <c r="B2279" s="26" t="s">
        <v>1179</v>
      </c>
      <c r="C2279" s="33" t="str">
        <f>IFERROR(INDEX(tbl_requisitos_emb[Tema],MATCH(B2279,tbl_requisitos_emb[ID_Req],0)),"")</f>
        <v>Bisfenol A e bisfenóis perigosos</v>
      </c>
      <c r="D2279" s="33" t="str">
        <f>IFERROR(INDEX(tbl_recyclass[Segmento],MATCH(A2279,tbl_recyclass[ProductId],0)),"")</f>
        <v>Alimentar</v>
      </c>
      <c r="E2279" s="26" t="s">
        <v>901</v>
      </c>
      <c r="F2279" s="26" t="s">
        <v>1452</v>
      </c>
      <c r="G2279" s="26" t="s">
        <v>1033</v>
      </c>
      <c r="H2279" s="33" t="str">
        <f>IF(E2279="Não","Não aplicável",IFERROR(IF(B2279="EU-ENV-002",IF(INDEX(tbl_recyclass[Conforme_PPWR_2030],MATCH(A2279,tbl_recyclass[ProductId],0))="Sim","Conforme (autoavaliação)",IF(INDEX(tbl_recyclass[Conforme_PPWR_2030],MATCH(A2279,tbl_recyclass[ProductId],0))="Não","Não conforme em 2030","Isento até 2035")),IF(B2279="EU-ENV-003",IF(INDEX(tbl_recyclass[Conforme_Art7_2030],MATCH(A2279,tbl_recyclass[ProductId],0))="Sim","Conforme (meta 2030)",IF(INDEX(tbl_recyclass[Conforme_Art7_2030],MATCH(A2279,tbl_recyclass[ProductId],0))="Não","Lacuna face à meta 2030","Isento")),IF(B2279="EU-ENV-011",IF(INDEX(tbl_familias_ppwr[Metais_Pesados_Evidencia],MATCH(INDEX(tbl_recyclass[Familia_PPWR],MATCH(A2279,tbl_recyclass[ProductId],0)),tbl_familias_ppwr[ID_Familia],0))="Em falta","Lacuna","Conforme"),IF(B2279="EU-ENV-013",IF(INDEX(tbl_familias_ppwr[Declaracao_UE],MATCH(INDEX(tbl_recyclass[Familia_PPWR],MATCH(A2279,tbl_recyclass[ProductId],0)),tbl_familias_ppwr[ID_Familia],0))="Sim","Conforme","Lacuna"),G2279)))),G2279))</f>
        <v>Conforme</v>
      </c>
      <c r="I2279" s="33" t="str">
        <f t="shared" si="35"/>
        <v>Conforme</v>
      </c>
      <c r="J2279" s="26" t="s">
        <v>1185</v>
      </c>
    </row>
    <row r="2280" spans="1:10" ht="16.05" customHeight="1" x14ac:dyDescent="0.3">
      <c r="A2280" s="26" t="s">
        <v>852</v>
      </c>
      <c r="B2280" s="26" t="s">
        <v>1188</v>
      </c>
      <c r="C2280" s="33" t="str">
        <f>IFERROR(INDEX(tbl_requisitos_emb[Tema],MATCH(B2280,tbl_requisitos_emb[ID_Req],0)),"")</f>
        <v>Plásticos em contacto com alimentos</v>
      </c>
      <c r="D2280" s="33" t="str">
        <f>IFERROR(INDEX(tbl_recyclass[Segmento],MATCH(A2280,tbl_recyclass[ProductId],0)),"")</f>
        <v>Alimentar</v>
      </c>
      <c r="E2280" s="26" t="s">
        <v>901</v>
      </c>
      <c r="F2280" s="26" t="s">
        <v>1452</v>
      </c>
      <c r="G2280" s="26" t="s">
        <v>1033</v>
      </c>
      <c r="H2280" s="33" t="str">
        <f>IF(E2280="Não","Não aplicável",IFERROR(IF(B2280="EU-ENV-002",IF(INDEX(tbl_recyclass[Conforme_PPWR_2030],MATCH(A2280,tbl_recyclass[ProductId],0))="Sim","Conforme (autoavaliação)",IF(INDEX(tbl_recyclass[Conforme_PPWR_2030],MATCH(A2280,tbl_recyclass[ProductId],0))="Não","Não conforme em 2030","Isento até 2035")),IF(B2280="EU-ENV-003",IF(INDEX(tbl_recyclass[Conforme_Art7_2030],MATCH(A2280,tbl_recyclass[ProductId],0))="Sim","Conforme (meta 2030)",IF(INDEX(tbl_recyclass[Conforme_Art7_2030],MATCH(A2280,tbl_recyclass[ProductId],0))="Não","Lacuna face à meta 2030","Isento")),IF(B2280="EU-ENV-011",IF(INDEX(tbl_familias_ppwr[Metais_Pesados_Evidencia],MATCH(INDEX(tbl_recyclass[Familia_PPWR],MATCH(A2280,tbl_recyclass[ProductId],0)),tbl_familias_ppwr[ID_Familia],0))="Em falta","Lacuna","Conforme"),IF(B2280="EU-ENV-013",IF(INDEX(tbl_familias_ppwr[Declaracao_UE],MATCH(INDEX(tbl_recyclass[Familia_PPWR],MATCH(A2280,tbl_recyclass[ProductId],0)),tbl_familias_ppwr[ID_Familia],0))="Sim","Conforme","Lacuna"),G2280)))),G2280))</f>
        <v>Conforme</v>
      </c>
      <c r="I2280" s="33" t="str">
        <f t="shared" si="35"/>
        <v>Conforme</v>
      </c>
      <c r="J2280" s="26" t="s">
        <v>1193</v>
      </c>
    </row>
    <row r="2281" spans="1:10" ht="16.05" customHeight="1" x14ac:dyDescent="0.3">
      <c r="A2281" s="26" t="s">
        <v>852</v>
      </c>
      <c r="B2281" s="26" t="s">
        <v>1212</v>
      </c>
      <c r="C2281" s="33" t="str">
        <f>IFERROR(INDEX(tbl_requisitos_emb[Tema],MATCH(B2281,tbl_requisitos_emb[ID_Req],0)),"")</f>
        <v>Segurança do produto cosmético</v>
      </c>
      <c r="D2281" s="33" t="str">
        <f>IFERROR(INDEX(tbl_recyclass[Segmento],MATCH(A2281,tbl_recyclass[ProductId],0)),"")</f>
        <v>Alimentar</v>
      </c>
      <c r="E2281" s="26" t="s">
        <v>904</v>
      </c>
      <c r="F2281" s="26" t="s">
        <v>1454</v>
      </c>
      <c r="G2281" s="26" t="s">
        <v>1143</v>
      </c>
      <c r="H2281" s="33" t="str">
        <f>IF(E2281="Não","Não aplicável",IFERROR(IF(B2281="EU-ENV-002",IF(INDEX(tbl_recyclass[Conforme_PPWR_2030],MATCH(A2281,tbl_recyclass[ProductId],0))="Sim","Conforme (autoavaliação)",IF(INDEX(tbl_recyclass[Conforme_PPWR_2030],MATCH(A2281,tbl_recyclass[ProductId],0))="Não","Não conforme em 2030","Isento até 2035")),IF(B2281="EU-ENV-003",IF(INDEX(tbl_recyclass[Conforme_Art7_2030],MATCH(A2281,tbl_recyclass[ProductId],0))="Sim","Conforme (meta 2030)",IF(INDEX(tbl_recyclass[Conforme_Art7_2030],MATCH(A2281,tbl_recyclass[ProductId],0))="Não","Lacuna face à meta 2030","Isento")),IF(B2281="EU-ENV-011",IF(INDEX(tbl_familias_ppwr[Metais_Pesados_Evidencia],MATCH(INDEX(tbl_recyclass[Familia_PPWR],MATCH(A2281,tbl_recyclass[ProductId],0)),tbl_familias_ppwr[ID_Familia],0))="Em falta","Lacuna","Conforme"),IF(B2281="EU-ENV-013",IF(INDEX(tbl_familias_ppwr[Declaracao_UE],MATCH(INDEX(tbl_recyclass[Familia_PPWR],MATCH(A2281,tbl_recyclass[ProductId],0)),tbl_familias_ppwr[ID_Familia],0))="Sim","Conforme","Lacuna"),G2281)))),G2281))</f>
        <v>Não aplicável</v>
      </c>
      <c r="I2281" s="33" t="str">
        <f t="shared" si="35"/>
        <v>Não aplicável</v>
      </c>
      <c r="J2281" s="26"/>
    </row>
    <row r="2282" spans="1:10" ht="16.05" customHeight="1" x14ac:dyDescent="0.3">
      <c r="A2282" s="26" t="s">
        <v>852</v>
      </c>
      <c r="B2282" s="26" t="s">
        <v>1224</v>
      </c>
      <c r="C2282" s="33" t="str">
        <f>IFERROR(INDEX(tbl_requisitos_emb[Tema],MATCH(B2282,tbl_requisitos_emb[ID_Req],0)),"")</f>
        <v>Materiais e impurezas</v>
      </c>
      <c r="D2282" s="33" t="str">
        <f>IFERROR(INDEX(tbl_recyclass[Segmento],MATCH(A2282,tbl_recyclass[ProductId],0)),"")</f>
        <v>Alimentar</v>
      </c>
      <c r="E2282" s="26" t="s">
        <v>904</v>
      </c>
      <c r="F2282" s="26" t="s">
        <v>1454</v>
      </c>
      <c r="G2282" s="26" t="s">
        <v>1143</v>
      </c>
      <c r="H2282" s="33" t="str">
        <f>IF(E2282="Não","Não aplicável",IFERROR(IF(B2282="EU-ENV-002",IF(INDEX(tbl_recyclass[Conforme_PPWR_2030],MATCH(A2282,tbl_recyclass[ProductId],0))="Sim","Conforme (autoavaliação)",IF(INDEX(tbl_recyclass[Conforme_PPWR_2030],MATCH(A2282,tbl_recyclass[ProductId],0))="Não","Não conforme em 2030","Isento até 2035")),IF(B2282="EU-ENV-003",IF(INDEX(tbl_recyclass[Conforme_Art7_2030],MATCH(A2282,tbl_recyclass[ProductId],0))="Sim","Conforme (meta 2030)",IF(INDEX(tbl_recyclass[Conforme_Art7_2030],MATCH(A2282,tbl_recyclass[ProductId],0))="Não","Lacuna face à meta 2030","Isento")),IF(B2282="EU-ENV-011",IF(INDEX(tbl_familias_ppwr[Metais_Pesados_Evidencia],MATCH(INDEX(tbl_recyclass[Familia_PPWR],MATCH(A2282,tbl_recyclass[ProductId],0)),tbl_familias_ppwr[ID_Familia],0))="Em falta","Lacuna","Conforme"),IF(B2282="EU-ENV-013",IF(INDEX(tbl_familias_ppwr[Declaracao_UE],MATCH(INDEX(tbl_recyclass[Familia_PPWR],MATCH(A2282,tbl_recyclass[ProductId],0)),tbl_familias_ppwr[ID_Familia],0))="Sim","Conforme","Lacuna"),G2282)))),G2282))</f>
        <v>Não aplicável</v>
      </c>
      <c r="I2282" s="33" t="str">
        <f t="shared" si="35"/>
        <v>Não aplicável</v>
      </c>
      <c r="J2282" s="26"/>
    </row>
    <row r="2283" spans="1:10" ht="16.05" customHeight="1" x14ac:dyDescent="0.3">
      <c r="A2283" s="26" t="s">
        <v>852</v>
      </c>
      <c r="B2283" s="26" t="s">
        <v>1240</v>
      </c>
      <c r="C2283" s="33" t="str">
        <f>IFERROR(INDEX(tbl_requisitos_emb[Tema],MATCH(B2283,tbl_requisitos_emb[ID_Req],0)),"")</f>
        <v>Compatibilidade embalagem–produto</v>
      </c>
      <c r="D2283" s="33" t="str">
        <f>IFERROR(INDEX(tbl_recyclass[Segmento],MATCH(A2283,tbl_recyclass[ProductId],0)),"")</f>
        <v>Alimentar</v>
      </c>
      <c r="E2283" s="26" t="s">
        <v>904</v>
      </c>
      <c r="F2283" s="26" t="s">
        <v>1454</v>
      </c>
      <c r="G2283" s="26" t="s">
        <v>1143</v>
      </c>
      <c r="H2283" s="33" t="str">
        <f>IF(E2283="Não","Não aplicável",IFERROR(IF(B2283="EU-ENV-002",IF(INDEX(tbl_recyclass[Conforme_PPWR_2030],MATCH(A2283,tbl_recyclass[ProductId],0))="Sim","Conforme (autoavaliação)",IF(INDEX(tbl_recyclass[Conforme_PPWR_2030],MATCH(A2283,tbl_recyclass[ProductId],0))="Não","Não conforme em 2030","Isento até 2035")),IF(B2283="EU-ENV-003",IF(INDEX(tbl_recyclass[Conforme_Art7_2030],MATCH(A2283,tbl_recyclass[ProductId],0))="Sim","Conforme (meta 2030)",IF(INDEX(tbl_recyclass[Conforme_Art7_2030],MATCH(A2283,tbl_recyclass[ProductId],0))="Não","Lacuna face à meta 2030","Isento")),IF(B2283="EU-ENV-011",IF(INDEX(tbl_familias_ppwr[Metais_Pesados_Evidencia],MATCH(INDEX(tbl_recyclass[Familia_PPWR],MATCH(A2283,tbl_recyclass[ProductId],0)),tbl_familias_ppwr[ID_Familia],0))="Em falta","Lacuna","Conforme"),IF(B2283="EU-ENV-013",IF(INDEX(tbl_familias_ppwr[Declaracao_UE],MATCH(INDEX(tbl_recyclass[Familia_PPWR],MATCH(A2283,tbl_recyclass[ProductId],0)),tbl_familias_ppwr[ID_Familia],0))="Sim","Conforme","Lacuna"),G2283)))),G2283))</f>
        <v>Não aplicável</v>
      </c>
      <c r="I2283" s="33" t="str">
        <f t="shared" si="35"/>
        <v>Não aplicável</v>
      </c>
      <c r="J2283" s="26"/>
    </row>
    <row r="2284" spans="1:10" ht="16.05" customHeight="1" x14ac:dyDescent="0.3">
      <c r="A2284" s="26" t="s">
        <v>852</v>
      </c>
      <c r="B2284" s="26" t="s">
        <v>1252</v>
      </c>
      <c r="C2284" s="33" t="str">
        <f>IFERROR(INDEX(tbl_requisitos_emb[Tema],MATCH(B2284,tbl_requisitos_emb[ID_Req],0)),"")</f>
        <v>Medicamentos de uso humano</v>
      </c>
      <c r="D2284" s="33" t="str">
        <f>IFERROR(INDEX(tbl_recyclass[Segmento],MATCH(A2284,tbl_recyclass[ProductId],0)),"")</f>
        <v>Alimentar</v>
      </c>
      <c r="E2284" s="26" t="s">
        <v>904</v>
      </c>
      <c r="F2284" s="26" t="s">
        <v>1455</v>
      </c>
      <c r="G2284" s="26" t="s">
        <v>1143</v>
      </c>
      <c r="H2284" s="33" t="str">
        <f>IF(E2284="Não","Não aplicável",IFERROR(IF(B2284="EU-ENV-002",IF(INDEX(tbl_recyclass[Conforme_PPWR_2030],MATCH(A2284,tbl_recyclass[ProductId],0))="Sim","Conforme (autoavaliação)",IF(INDEX(tbl_recyclass[Conforme_PPWR_2030],MATCH(A2284,tbl_recyclass[ProductId],0))="Não","Não conforme em 2030","Isento até 2035")),IF(B2284="EU-ENV-003",IF(INDEX(tbl_recyclass[Conforme_Art7_2030],MATCH(A2284,tbl_recyclass[ProductId],0))="Sim","Conforme (meta 2030)",IF(INDEX(tbl_recyclass[Conforme_Art7_2030],MATCH(A2284,tbl_recyclass[ProductId],0))="Não","Lacuna face à meta 2030","Isento")),IF(B2284="EU-ENV-011",IF(INDEX(tbl_familias_ppwr[Metais_Pesados_Evidencia],MATCH(INDEX(tbl_recyclass[Familia_PPWR],MATCH(A2284,tbl_recyclass[ProductId],0)),tbl_familias_ppwr[ID_Familia],0))="Em falta","Lacuna","Conforme"),IF(B2284="EU-ENV-013",IF(INDEX(tbl_familias_ppwr[Declaracao_UE],MATCH(INDEX(tbl_recyclass[Familia_PPWR],MATCH(A2284,tbl_recyclass[ProductId],0)),tbl_familias_ppwr[ID_Familia],0))="Sim","Conforme","Lacuna"),G2284)))),G2284))</f>
        <v>Não aplicável</v>
      </c>
      <c r="I2284" s="33" t="str">
        <f t="shared" si="35"/>
        <v>Não aplicável</v>
      </c>
      <c r="J2284" s="26"/>
    </row>
    <row r="2285" spans="1:10" ht="16.05" customHeight="1" x14ac:dyDescent="0.3">
      <c r="A2285" s="26" t="s">
        <v>852</v>
      </c>
      <c r="B2285" s="26" t="s">
        <v>1268</v>
      </c>
      <c r="C2285" s="33" t="str">
        <f>IFERROR(INDEX(tbl_requisitos_emb[Tema],MATCH(B2285,tbl_requisitos_emb[ID_Req],0)),"")</f>
        <v>Dispositivos de segurança</v>
      </c>
      <c r="D2285" s="33" t="str">
        <f>IFERROR(INDEX(tbl_recyclass[Segmento],MATCH(A2285,tbl_recyclass[ProductId],0)),"")</f>
        <v>Alimentar</v>
      </c>
      <c r="E2285" s="26" t="s">
        <v>904</v>
      </c>
      <c r="F2285" s="26" t="s">
        <v>1455</v>
      </c>
      <c r="G2285" s="26" t="s">
        <v>1143</v>
      </c>
      <c r="H2285" s="33" t="str">
        <f>IF(E2285="Não","Não aplicável",IFERROR(IF(B2285="EU-ENV-002",IF(INDEX(tbl_recyclass[Conforme_PPWR_2030],MATCH(A2285,tbl_recyclass[ProductId],0))="Sim","Conforme (autoavaliação)",IF(INDEX(tbl_recyclass[Conforme_PPWR_2030],MATCH(A2285,tbl_recyclass[ProductId],0))="Não","Não conforme em 2030","Isento até 2035")),IF(B2285="EU-ENV-003",IF(INDEX(tbl_recyclass[Conforme_Art7_2030],MATCH(A2285,tbl_recyclass[ProductId],0))="Sim","Conforme (meta 2030)",IF(INDEX(tbl_recyclass[Conforme_Art7_2030],MATCH(A2285,tbl_recyclass[ProductId],0))="Não","Lacuna face à meta 2030","Isento")),IF(B2285="EU-ENV-011",IF(INDEX(tbl_familias_ppwr[Metais_Pesados_Evidencia],MATCH(INDEX(tbl_recyclass[Familia_PPWR],MATCH(A2285,tbl_recyclass[ProductId],0)),tbl_familias_ppwr[ID_Familia],0))="Em falta","Lacuna","Conforme"),IF(B2285="EU-ENV-013",IF(INDEX(tbl_familias_ppwr[Declaracao_UE],MATCH(INDEX(tbl_recyclass[Familia_PPWR],MATCH(A2285,tbl_recyclass[ProductId],0)),tbl_familias_ppwr[ID_Familia],0))="Sim","Conforme","Lacuna"),G2285)))),G2285))</f>
        <v>Não aplicável</v>
      </c>
      <c r="I2285" s="33" t="str">
        <f t="shared" si="35"/>
        <v>Não aplicável</v>
      </c>
      <c r="J2285" s="26"/>
    </row>
    <row r="2286" spans="1:10" ht="16.05" customHeight="1" x14ac:dyDescent="0.3">
      <c r="A2286" s="26" t="s">
        <v>852</v>
      </c>
      <c r="B2286" s="26" t="s">
        <v>1285</v>
      </c>
      <c r="C2286" s="33" t="str">
        <f>IFERROR(INDEX(tbl_requisitos_emb[Tema],MATCH(B2286,tbl_requisitos_emb[ID_Req],0)),"")</f>
        <v>Materiais plásticos de acondicionamento primário</v>
      </c>
      <c r="D2286" s="33" t="str">
        <f>IFERROR(INDEX(tbl_recyclass[Segmento],MATCH(A2286,tbl_recyclass[ProductId],0)),"")</f>
        <v>Alimentar</v>
      </c>
      <c r="E2286" s="26" t="s">
        <v>904</v>
      </c>
      <c r="F2286" s="26" t="s">
        <v>1455</v>
      </c>
      <c r="G2286" s="26" t="s">
        <v>1143</v>
      </c>
      <c r="H2286" s="33" t="str">
        <f>IF(E2286="Não","Não aplicável",IFERROR(IF(B2286="EU-ENV-002",IF(INDEX(tbl_recyclass[Conforme_PPWR_2030],MATCH(A2286,tbl_recyclass[ProductId],0))="Sim","Conforme (autoavaliação)",IF(INDEX(tbl_recyclass[Conforme_PPWR_2030],MATCH(A2286,tbl_recyclass[ProductId],0))="Não","Não conforme em 2030","Isento até 2035")),IF(B2286="EU-ENV-003",IF(INDEX(tbl_recyclass[Conforme_Art7_2030],MATCH(A2286,tbl_recyclass[ProductId],0))="Sim","Conforme (meta 2030)",IF(INDEX(tbl_recyclass[Conforme_Art7_2030],MATCH(A2286,tbl_recyclass[ProductId],0))="Não","Lacuna face à meta 2030","Isento")),IF(B2286="EU-ENV-011",IF(INDEX(tbl_familias_ppwr[Metais_Pesados_Evidencia],MATCH(INDEX(tbl_recyclass[Familia_PPWR],MATCH(A2286,tbl_recyclass[ProductId],0)),tbl_familias_ppwr[ID_Familia],0))="Em falta","Lacuna","Conforme"),IF(B2286="EU-ENV-013",IF(INDEX(tbl_familias_ppwr[Declaracao_UE],MATCH(INDEX(tbl_recyclass[Familia_PPWR],MATCH(A2286,tbl_recyclass[ProductId],0)),tbl_familias_ppwr[ID_Familia],0))="Sim","Conforme","Lacuna"),G2286)))),G2286))</f>
        <v>Não aplicável</v>
      </c>
      <c r="I2286" s="33" t="str">
        <f t="shared" si="35"/>
        <v>Não aplicável</v>
      </c>
      <c r="J2286" s="26"/>
    </row>
    <row r="2287" spans="1:10" ht="16.05" customHeight="1" x14ac:dyDescent="0.3">
      <c r="A2287" s="26" t="s">
        <v>852</v>
      </c>
      <c r="B2287" s="26" t="s">
        <v>1293</v>
      </c>
      <c r="C2287" s="33" t="str">
        <f>IFERROR(INDEX(tbl_requisitos_emb[Tema],MATCH(B2287,tbl_requisitos_emb[ID_Req],0)),"")</f>
        <v>Isenções PPWR</v>
      </c>
      <c r="D2287" s="33" t="str">
        <f>IFERROR(INDEX(tbl_recyclass[Segmento],MATCH(A2287,tbl_recyclass[ProductId],0)),"")</f>
        <v>Alimentar</v>
      </c>
      <c r="E2287" s="26" t="s">
        <v>904</v>
      </c>
      <c r="F2287" s="26" t="s">
        <v>1455</v>
      </c>
      <c r="G2287" s="26" t="s">
        <v>1143</v>
      </c>
      <c r="H2287" s="33" t="str">
        <f>IF(E2287="Não","Não aplicável",IFERROR(IF(B2287="EU-ENV-002",IF(INDEX(tbl_recyclass[Conforme_PPWR_2030],MATCH(A2287,tbl_recyclass[ProductId],0))="Sim","Conforme (autoavaliação)",IF(INDEX(tbl_recyclass[Conforme_PPWR_2030],MATCH(A2287,tbl_recyclass[ProductId],0))="Não","Não conforme em 2030","Isento até 2035")),IF(B2287="EU-ENV-003",IF(INDEX(tbl_recyclass[Conforme_Art7_2030],MATCH(A2287,tbl_recyclass[ProductId],0))="Sim","Conforme (meta 2030)",IF(INDEX(tbl_recyclass[Conforme_Art7_2030],MATCH(A2287,tbl_recyclass[ProductId],0))="Não","Lacuna face à meta 2030","Isento")),IF(B2287="EU-ENV-011",IF(INDEX(tbl_familias_ppwr[Metais_Pesados_Evidencia],MATCH(INDEX(tbl_recyclass[Familia_PPWR],MATCH(A2287,tbl_recyclass[ProductId],0)),tbl_familias_ppwr[ID_Familia],0))="Em falta","Lacuna","Conforme"),IF(B2287="EU-ENV-013",IF(INDEX(tbl_familias_ppwr[Declaracao_UE],MATCH(INDEX(tbl_recyclass[Familia_PPWR],MATCH(A2287,tbl_recyclass[ProductId],0)),tbl_familias_ppwr[ID_Familia],0))="Sim","Conforme","Lacuna"),G2287)))),G2287))</f>
        <v>Não aplicável</v>
      </c>
      <c r="I2287" s="33" t="str">
        <f t="shared" si="35"/>
        <v>Não aplicável</v>
      </c>
      <c r="J2287" s="26"/>
    </row>
    <row r="2288" spans="1:10" ht="16.05" customHeight="1" x14ac:dyDescent="0.3">
      <c r="A2288" s="26" t="s">
        <v>852</v>
      </c>
      <c r="B2288" s="26" t="s">
        <v>1357</v>
      </c>
      <c r="C2288" s="33" t="str">
        <f>IFERROR(INDEX(tbl_requisitos_emb[Tema],MATCH(B2288,tbl_requisitos_emb[ID_Req],0)),"")</f>
        <v>Identificação de plásticos</v>
      </c>
      <c r="D2288" s="33" t="str">
        <f>IFERROR(INDEX(tbl_recyclass[Segmento],MATCH(A2288,tbl_recyclass[ProductId],0)),"")</f>
        <v>Alimentar</v>
      </c>
      <c r="E2288" s="26" t="s">
        <v>901</v>
      </c>
      <c r="F2288" s="26" t="s">
        <v>1452</v>
      </c>
      <c r="G2288" s="26" t="s">
        <v>978</v>
      </c>
      <c r="H2288" s="33" t="str">
        <f>IF(E2288="Não","Não aplicável",IFERROR(IF(B2288="EU-ENV-002",IF(INDEX(tbl_recyclass[Conforme_PPWR_2030],MATCH(A2288,tbl_recyclass[ProductId],0))="Sim","Conforme (autoavaliação)",IF(INDEX(tbl_recyclass[Conforme_PPWR_2030],MATCH(A2288,tbl_recyclass[ProductId],0))="Não","Não conforme em 2030","Isento até 2035")),IF(B2288="EU-ENV-003",IF(INDEX(tbl_recyclass[Conforme_Art7_2030],MATCH(A2288,tbl_recyclass[ProductId],0))="Sim","Conforme (meta 2030)",IF(INDEX(tbl_recyclass[Conforme_Art7_2030],MATCH(A2288,tbl_recyclass[ProductId],0))="Não","Lacuna face à meta 2030","Isento")),IF(B2288="EU-ENV-011",IF(INDEX(tbl_familias_ppwr[Metais_Pesados_Evidencia],MATCH(INDEX(tbl_recyclass[Familia_PPWR],MATCH(A2288,tbl_recyclass[ProductId],0)),tbl_familias_ppwr[ID_Familia],0))="Em falta","Lacuna","Conforme"),IF(B2288="EU-ENV-013",IF(INDEX(tbl_familias_ppwr[Declaracao_UE],MATCH(INDEX(tbl_recyclass[Familia_PPWR],MATCH(A2288,tbl_recyclass[ProductId],0)),tbl_familias_ppwr[ID_Familia],0))="Sim","Conforme","Lacuna"),G2288)))),G2288))</f>
        <v>Parcial</v>
      </c>
      <c r="I2288" s="33" t="str">
        <f t="shared" si="35"/>
        <v>Parcial</v>
      </c>
      <c r="J2288" s="26" t="s">
        <v>1362</v>
      </c>
    </row>
    <row r="2289" spans="1:10" ht="16.05" customHeight="1" x14ac:dyDescent="0.3">
      <c r="A2289" s="26" t="s">
        <v>852</v>
      </c>
      <c r="B2289" s="26" t="s">
        <v>1385</v>
      </c>
      <c r="C2289" s="33" t="str">
        <f>IFERROR(INDEX(tbl_requisitos_emb[Tema],MATCH(B2289,tbl_requisitos_emb[ID_Req],0)),"")</f>
        <v>Reciclabilidade (voluntária)</v>
      </c>
      <c r="D2289" s="33" t="str">
        <f>IFERROR(INDEX(tbl_recyclass[Segmento],MATCH(A2289,tbl_recyclass[ProductId],0)),"")</f>
        <v>Alimentar</v>
      </c>
      <c r="E2289" s="26" t="s">
        <v>901</v>
      </c>
      <c r="F2289" s="26" t="s">
        <v>1452</v>
      </c>
      <c r="G2289" s="26" t="s">
        <v>978</v>
      </c>
      <c r="H2289" s="33" t="str">
        <f>IF(E2289="Não","Não aplicável",IFERROR(IF(B2289="EU-ENV-002",IF(INDEX(tbl_recyclass[Conforme_PPWR_2030],MATCH(A2289,tbl_recyclass[ProductId],0))="Sim","Conforme (autoavaliação)",IF(INDEX(tbl_recyclass[Conforme_PPWR_2030],MATCH(A2289,tbl_recyclass[ProductId],0))="Não","Não conforme em 2030","Isento até 2035")),IF(B2289="EU-ENV-003",IF(INDEX(tbl_recyclass[Conforme_Art7_2030],MATCH(A2289,tbl_recyclass[ProductId],0))="Sim","Conforme (meta 2030)",IF(INDEX(tbl_recyclass[Conforme_Art7_2030],MATCH(A2289,tbl_recyclass[ProductId],0))="Não","Lacuna face à meta 2030","Isento")),IF(B2289="EU-ENV-011",IF(INDEX(tbl_familias_ppwr[Metais_Pesados_Evidencia],MATCH(INDEX(tbl_recyclass[Familia_PPWR],MATCH(A2289,tbl_recyclass[ProductId],0)),tbl_familias_ppwr[ID_Familia],0))="Em falta","Lacuna","Conforme"),IF(B2289="EU-ENV-013",IF(INDEX(tbl_familias_ppwr[Declaracao_UE],MATCH(INDEX(tbl_recyclass[Familia_PPWR],MATCH(A2289,tbl_recyclass[ProductId],0)),tbl_familias_ppwr[ID_Familia],0))="Sim","Conforme","Lacuna"),G2289)))),G2289))</f>
        <v>Parcial</v>
      </c>
      <c r="I2289" s="33" t="str">
        <f t="shared" si="35"/>
        <v>Parcial</v>
      </c>
      <c r="J2289" s="26" t="s">
        <v>1389</v>
      </c>
    </row>
    <row r="2290" spans="1:10" ht="16.05" customHeight="1" x14ac:dyDescent="0.3">
      <c r="A2290" s="26" t="s">
        <v>854</v>
      </c>
      <c r="B2290" s="26" t="s">
        <v>984</v>
      </c>
      <c r="C2290" s="33" t="str">
        <f>IFERROR(INDEX(tbl_requisitos_emb[Tema],MATCH(B2290,tbl_requisitos_emb[ID_Req],0)),"")</f>
        <v>Conceção para reciclagem</v>
      </c>
      <c r="D2290" s="33" t="str">
        <f>IFERROR(INDEX(tbl_recyclass[Segmento],MATCH(A2290,tbl_recyclass[ProductId],0)),"")</f>
        <v>Alimentar</v>
      </c>
      <c r="E2290" s="26" t="s">
        <v>901</v>
      </c>
      <c r="F2290" s="26" t="s">
        <v>1452</v>
      </c>
      <c r="G2290" s="26" t="s">
        <v>978</v>
      </c>
      <c r="H2290" s="33" t="str">
        <f>IF(E2290="Não","Não aplicável",IFERROR(IF(B2290="EU-ENV-002",IF(INDEX(tbl_recyclass[Conforme_PPWR_2030],MATCH(A2290,tbl_recyclass[ProductId],0))="Sim","Conforme (autoavaliação)",IF(INDEX(tbl_recyclass[Conforme_PPWR_2030],MATCH(A2290,tbl_recyclass[ProductId],0))="Não","Não conforme em 2030","Isento até 2035")),IF(B2290="EU-ENV-003",IF(INDEX(tbl_recyclass[Conforme_Art7_2030],MATCH(A2290,tbl_recyclass[ProductId],0))="Sim","Conforme (meta 2030)",IF(INDEX(tbl_recyclass[Conforme_Art7_2030],MATCH(A2290,tbl_recyclass[ProductId],0))="Não","Lacuna face à meta 2030","Isento")),IF(B2290="EU-ENV-011",IF(INDEX(tbl_familias_ppwr[Metais_Pesados_Evidencia],MATCH(INDEX(tbl_recyclass[Familia_PPWR],MATCH(A2290,tbl_recyclass[ProductId],0)),tbl_familias_ppwr[ID_Familia],0))="Em falta","Lacuna","Conforme"),IF(B2290="EU-ENV-013",IF(INDEX(tbl_familias_ppwr[Declaracao_UE],MATCH(INDEX(tbl_recyclass[Familia_PPWR],MATCH(A2290,tbl_recyclass[ProductId],0)),tbl_familias_ppwr[ID_Familia],0))="Sim","Conforme","Lacuna"),G2290)))),G2290))</f>
        <v>Conforme (autoavaliação)</v>
      </c>
      <c r="I2290" s="33" t="str">
        <f t="shared" si="35"/>
        <v>Conforme</v>
      </c>
      <c r="J2290" s="26" t="s">
        <v>991</v>
      </c>
    </row>
    <row r="2291" spans="1:10" ht="16.05" customHeight="1" x14ac:dyDescent="0.3">
      <c r="A2291" s="26" t="s">
        <v>854</v>
      </c>
      <c r="B2291" s="26" t="s">
        <v>997</v>
      </c>
      <c r="C2291" s="33" t="str">
        <f>IFERROR(INDEX(tbl_requisitos_emb[Tema],MATCH(B2291,tbl_requisitos_emb[ID_Req],0)),"")</f>
        <v>Conteúdo reciclado</v>
      </c>
      <c r="D2291" s="33" t="str">
        <f>IFERROR(INDEX(tbl_recyclass[Segmento],MATCH(A2291,tbl_recyclass[ProductId],0)),"")</f>
        <v>Alimentar</v>
      </c>
      <c r="E2291" s="26" t="s">
        <v>901</v>
      </c>
      <c r="F2291" s="26" t="s">
        <v>1452</v>
      </c>
      <c r="G2291" s="26" t="s">
        <v>978</v>
      </c>
      <c r="H2291" s="33" t="str">
        <f>IF(E2291="Não","Não aplicável",IFERROR(IF(B2291="EU-ENV-002",IF(INDEX(tbl_recyclass[Conforme_PPWR_2030],MATCH(A2291,tbl_recyclass[ProductId],0))="Sim","Conforme (autoavaliação)",IF(INDEX(tbl_recyclass[Conforme_PPWR_2030],MATCH(A2291,tbl_recyclass[ProductId],0))="Não","Não conforme em 2030","Isento até 2035")),IF(B2291="EU-ENV-003",IF(INDEX(tbl_recyclass[Conforme_Art7_2030],MATCH(A2291,tbl_recyclass[ProductId],0))="Sim","Conforme (meta 2030)",IF(INDEX(tbl_recyclass[Conforme_Art7_2030],MATCH(A2291,tbl_recyclass[ProductId],0))="Não","Lacuna face à meta 2030","Isento")),IF(B2291="EU-ENV-011",IF(INDEX(tbl_familias_ppwr[Metais_Pesados_Evidencia],MATCH(INDEX(tbl_recyclass[Familia_PPWR],MATCH(A2291,tbl_recyclass[ProductId],0)),tbl_familias_ppwr[ID_Familia],0))="Em falta","Lacuna","Conforme"),IF(B2291="EU-ENV-013",IF(INDEX(tbl_familias_ppwr[Declaracao_UE],MATCH(INDEX(tbl_recyclass[Familia_PPWR],MATCH(A2291,tbl_recyclass[ProductId],0)),tbl_familias_ppwr[ID_Familia],0))="Sim","Conforme","Lacuna"),G2291)))),G2291))</f>
        <v>Lacuna face à meta 2030</v>
      </c>
      <c r="I2291" s="33" t="str">
        <f t="shared" si="35"/>
        <v>Lacuna</v>
      </c>
      <c r="J2291" s="26" t="s">
        <v>1001</v>
      </c>
    </row>
    <row r="2292" spans="1:10" ht="16.05" customHeight="1" x14ac:dyDescent="0.3">
      <c r="A2292" s="26" t="s">
        <v>854</v>
      </c>
      <c r="B2292" s="26" t="s">
        <v>1007</v>
      </c>
      <c r="C2292" s="33" t="str">
        <f>IFERROR(INDEX(tbl_requisitos_emb[Tema],MATCH(B2292,tbl_requisitos_emb[ID_Req],0)),"")</f>
        <v>Minimização</v>
      </c>
      <c r="D2292" s="33" t="str">
        <f>IFERROR(INDEX(tbl_recyclass[Segmento],MATCH(A2292,tbl_recyclass[ProductId],0)),"")</f>
        <v>Alimentar</v>
      </c>
      <c r="E2292" s="26" t="s">
        <v>901</v>
      </c>
      <c r="F2292" s="26" t="s">
        <v>1452</v>
      </c>
      <c r="G2292" s="26" t="s">
        <v>978</v>
      </c>
      <c r="H2292" s="33" t="str">
        <f>IF(E2292="Não","Não aplicável",IFERROR(IF(B2292="EU-ENV-002",IF(INDEX(tbl_recyclass[Conforme_PPWR_2030],MATCH(A2292,tbl_recyclass[ProductId],0))="Sim","Conforme (autoavaliação)",IF(INDEX(tbl_recyclass[Conforme_PPWR_2030],MATCH(A2292,tbl_recyclass[ProductId],0))="Não","Não conforme em 2030","Isento até 2035")),IF(B2292="EU-ENV-003",IF(INDEX(tbl_recyclass[Conforme_Art7_2030],MATCH(A2292,tbl_recyclass[ProductId],0))="Sim","Conforme (meta 2030)",IF(INDEX(tbl_recyclass[Conforme_Art7_2030],MATCH(A2292,tbl_recyclass[ProductId],0))="Não","Lacuna face à meta 2030","Isento")),IF(B2292="EU-ENV-011",IF(INDEX(tbl_familias_ppwr[Metais_Pesados_Evidencia],MATCH(INDEX(tbl_recyclass[Familia_PPWR],MATCH(A2292,tbl_recyclass[ProductId],0)),tbl_familias_ppwr[ID_Familia],0))="Em falta","Lacuna","Conforme"),IF(B2292="EU-ENV-013",IF(INDEX(tbl_familias_ppwr[Declaracao_UE],MATCH(INDEX(tbl_recyclass[Familia_PPWR],MATCH(A2292,tbl_recyclass[ProductId],0)),tbl_familias_ppwr[ID_Familia],0))="Sim","Conforme","Lacuna"),G2292)))),G2292))</f>
        <v>Parcial</v>
      </c>
      <c r="I2292" s="33" t="str">
        <f t="shared" si="35"/>
        <v>Parcial</v>
      </c>
      <c r="J2292" s="26" t="s">
        <v>1012</v>
      </c>
    </row>
    <row r="2293" spans="1:10" ht="16.05" customHeight="1" x14ac:dyDescent="0.3">
      <c r="A2293" s="26" t="s">
        <v>854</v>
      </c>
      <c r="B2293" s="26" t="s">
        <v>1016</v>
      </c>
      <c r="C2293" s="33" t="str">
        <f>IFERROR(INDEX(tbl_requisitos_emb[Tema],MATCH(B2293,tbl_requisitos_emb[ID_Req],0)),"")</f>
        <v>Rotulagem</v>
      </c>
      <c r="D2293" s="33" t="str">
        <f>IFERROR(INDEX(tbl_recyclass[Segmento],MATCH(A2293,tbl_recyclass[ProductId],0)),"")</f>
        <v>Alimentar</v>
      </c>
      <c r="E2293" s="26" t="s">
        <v>901</v>
      </c>
      <c r="F2293" s="26" t="s">
        <v>1452</v>
      </c>
      <c r="G2293" s="26" t="s">
        <v>990</v>
      </c>
      <c r="H2293" s="33" t="str">
        <f>IF(E2293="Não","Não aplicável",IFERROR(IF(B2293="EU-ENV-002",IF(INDEX(tbl_recyclass[Conforme_PPWR_2030],MATCH(A2293,tbl_recyclass[ProductId],0))="Sim","Conforme (autoavaliação)",IF(INDEX(tbl_recyclass[Conforme_PPWR_2030],MATCH(A2293,tbl_recyclass[ProductId],0))="Não","Não conforme em 2030","Isento até 2035")),IF(B2293="EU-ENV-003",IF(INDEX(tbl_recyclass[Conforme_Art7_2030],MATCH(A2293,tbl_recyclass[ProductId],0))="Sim","Conforme (meta 2030)",IF(INDEX(tbl_recyclass[Conforme_Art7_2030],MATCH(A2293,tbl_recyclass[ProductId],0))="Não","Lacuna face à meta 2030","Isento")),IF(B2293="EU-ENV-011",IF(INDEX(tbl_familias_ppwr[Metais_Pesados_Evidencia],MATCH(INDEX(tbl_recyclass[Familia_PPWR],MATCH(A2293,tbl_recyclass[ProductId],0)),tbl_familias_ppwr[ID_Familia],0))="Em falta","Lacuna","Conforme"),IF(B2293="EU-ENV-013",IF(INDEX(tbl_familias_ppwr[Declaracao_UE],MATCH(INDEX(tbl_recyclass[Familia_PPWR],MATCH(A2293,tbl_recyclass[ProductId],0)),tbl_familias_ppwr[ID_Familia],0))="Sim","Conforme","Lacuna"),G2293)))),G2293))</f>
        <v>Futuro</v>
      </c>
      <c r="I2293" s="33" t="str">
        <f t="shared" si="35"/>
        <v>Futuro</v>
      </c>
      <c r="J2293" s="26" t="s">
        <v>1021</v>
      </c>
    </row>
    <row r="2294" spans="1:10" ht="16.05" customHeight="1" x14ac:dyDescent="0.3">
      <c r="A2294" s="26" t="s">
        <v>854</v>
      </c>
      <c r="B2294" s="26" t="s">
        <v>1038</v>
      </c>
      <c r="C2294" s="33" t="str">
        <f>IFERROR(INDEX(tbl_requisitos_emb[Tema],MATCH(B2294,tbl_requisitos_emb[ID_Req],0)),"")</f>
        <v>Plásticos de utilização única</v>
      </c>
      <c r="D2294" s="33" t="str">
        <f>IFERROR(INDEX(tbl_recyclass[Segmento],MATCH(A2294,tbl_recyclass[ProductId],0)),"")</f>
        <v>Alimentar</v>
      </c>
      <c r="E2294" s="26" t="s">
        <v>901</v>
      </c>
      <c r="F2294" s="26" t="s">
        <v>1453</v>
      </c>
      <c r="G2294" s="26" t="s">
        <v>1033</v>
      </c>
      <c r="H2294" s="33" t="str">
        <f>IF(E2294="Não","Não aplicável",IFERROR(IF(B2294="EU-ENV-002",IF(INDEX(tbl_recyclass[Conforme_PPWR_2030],MATCH(A2294,tbl_recyclass[ProductId],0))="Sim","Conforme (autoavaliação)",IF(INDEX(tbl_recyclass[Conforme_PPWR_2030],MATCH(A2294,tbl_recyclass[ProductId],0))="Não","Não conforme em 2030","Isento até 2035")),IF(B2294="EU-ENV-003",IF(INDEX(tbl_recyclass[Conforme_Art7_2030],MATCH(A2294,tbl_recyclass[ProductId],0))="Sim","Conforme (meta 2030)",IF(INDEX(tbl_recyclass[Conforme_Art7_2030],MATCH(A2294,tbl_recyclass[ProductId],0))="Não","Lacuna face à meta 2030","Isento")),IF(B2294="EU-ENV-011",IF(INDEX(tbl_familias_ppwr[Metais_Pesados_Evidencia],MATCH(INDEX(tbl_recyclass[Familia_PPWR],MATCH(A2294,tbl_recyclass[ProductId],0)),tbl_familias_ppwr[ID_Familia],0))="Em falta","Lacuna","Conforme"),IF(B2294="EU-ENV-013",IF(INDEX(tbl_familias_ppwr[Declaracao_UE],MATCH(INDEX(tbl_recyclass[Familia_PPWR],MATCH(A2294,tbl_recyclass[ProductId],0)),tbl_familias_ppwr[ID_Familia],0))="Sim","Conforme","Lacuna"),G2294)))),G2294))</f>
        <v>Conforme</v>
      </c>
      <c r="I2294" s="33" t="str">
        <f t="shared" si="35"/>
        <v>Conforme</v>
      </c>
      <c r="J2294" s="26" t="s">
        <v>1046</v>
      </c>
    </row>
    <row r="2295" spans="1:10" ht="16.05" customHeight="1" x14ac:dyDescent="0.3">
      <c r="A2295" s="26" t="s">
        <v>854</v>
      </c>
      <c r="B2295" s="26" t="s">
        <v>1078</v>
      </c>
      <c r="C2295" s="33" t="str">
        <f>IFERROR(INDEX(tbl_requisitos_emb[Tema],MATCH(B2295,tbl_requisitos_emb[ID_Req],0)),"")</f>
        <v>Reciclado à escala</v>
      </c>
      <c r="D2295" s="33" t="str">
        <f>IFERROR(INDEX(tbl_recyclass[Segmento],MATCH(A2295,tbl_recyclass[ProductId],0)),"")</f>
        <v>Alimentar</v>
      </c>
      <c r="E2295" s="26" t="s">
        <v>901</v>
      </c>
      <c r="F2295" s="26" t="s">
        <v>1452</v>
      </c>
      <c r="G2295" s="26" t="s">
        <v>990</v>
      </c>
      <c r="H2295" s="33" t="str">
        <f>IF(E2295="Não","Não aplicável",IFERROR(IF(B2295="EU-ENV-002",IF(INDEX(tbl_recyclass[Conforme_PPWR_2030],MATCH(A2295,tbl_recyclass[ProductId],0))="Sim","Conforme (autoavaliação)",IF(INDEX(tbl_recyclass[Conforme_PPWR_2030],MATCH(A2295,tbl_recyclass[ProductId],0))="Não","Não conforme em 2030","Isento até 2035")),IF(B2295="EU-ENV-003",IF(INDEX(tbl_recyclass[Conforme_Art7_2030],MATCH(A2295,tbl_recyclass[ProductId],0))="Sim","Conforme (meta 2030)",IF(INDEX(tbl_recyclass[Conforme_Art7_2030],MATCH(A2295,tbl_recyclass[ProductId],0))="Não","Lacuna face à meta 2030","Isento")),IF(B2295="EU-ENV-011",IF(INDEX(tbl_familias_ppwr[Metais_Pesados_Evidencia],MATCH(INDEX(tbl_recyclass[Familia_PPWR],MATCH(A2295,tbl_recyclass[ProductId],0)),tbl_familias_ppwr[ID_Familia],0))="Em falta","Lacuna","Conforme"),IF(B2295="EU-ENV-013",IF(INDEX(tbl_familias_ppwr[Declaracao_UE],MATCH(INDEX(tbl_recyclass[Familia_PPWR],MATCH(A2295,tbl_recyclass[ProductId],0)),tbl_familias_ppwr[ID_Familia],0))="Sim","Conforme","Lacuna"),G2295)))),G2295))</f>
        <v>Futuro</v>
      </c>
      <c r="I2295" s="33" t="str">
        <f t="shared" si="35"/>
        <v>Futuro</v>
      </c>
      <c r="J2295" s="26" t="s">
        <v>1082</v>
      </c>
    </row>
    <row r="2296" spans="1:10" ht="16.05" customHeight="1" x14ac:dyDescent="0.3">
      <c r="A2296" s="26" t="s">
        <v>854</v>
      </c>
      <c r="B2296" s="26" t="s">
        <v>1086</v>
      </c>
      <c r="C2296" s="33" t="str">
        <f>IFERROR(INDEX(tbl_requisitos_emb[Tema],MATCH(B2296,tbl_requisitos_emb[ID_Req],0)),"")</f>
        <v>Metais pesados</v>
      </c>
      <c r="D2296" s="33" t="str">
        <f>IFERROR(INDEX(tbl_recyclass[Segmento],MATCH(A2296,tbl_recyclass[ProductId],0)),"")</f>
        <v>Alimentar</v>
      </c>
      <c r="E2296" s="26" t="s">
        <v>901</v>
      </c>
      <c r="F2296" s="26" t="s">
        <v>1452</v>
      </c>
      <c r="G2296" s="26" t="s">
        <v>978</v>
      </c>
      <c r="H2296" s="33" t="str">
        <f>IF(E2296="Não","Não aplicável",IFERROR(IF(B2296="EU-ENV-002",IF(INDEX(tbl_recyclass[Conforme_PPWR_2030],MATCH(A2296,tbl_recyclass[ProductId],0))="Sim","Conforme (autoavaliação)",IF(INDEX(tbl_recyclass[Conforme_PPWR_2030],MATCH(A2296,tbl_recyclass[ProductId],0))="Não","Não conforme em 2030","Isento até 2035")),IF(B2296="EU-ENV-003",IF(INDEX(tbl_recyclass[Conforme_Art7_2030],MATCH(A2296,tbl_recyclass[ProductId],0))="Sim","Conforme (meta 2030)",IF(INDEX(tbl_recyclass[Conforme_Art7_2030],MATCH(A2296,tbl_recyclass[ProductId],0))="Não","Lacuna face à meta 2030","Isento")),IF(B2296="EU-ENV-011",IF(INDEX(tbl_familias_ppwr[Metais_Pesados_Evidencia],MATCH(INDEX(tbl_recyclass[Familia_PPWR],MATCH(A2296,tbl_recyclass[ProductId],0)),tbl_familias_ppwr[ID_Familia],0))="Em falta","Lacuna","Conforme"),IF(B2296="EU-ENV-013",IF(INDEX(tbl_familias_ppwr[Declaracao_UE],MATCH(INDEX(tbl_recyclass[Familia_PPWR],MATCH(A2296,tbl_recyclass[ProductId],0)),tbl_familias_ppwr[ID_Familia],0))="Sim","Conforme","Lacuna"),G2296)))),G2296))</f>
        <v>Conforme</v>
      </c>
      <c r="I2296" s="33" t="str">
        <f t="shared" si="35"/>
        <v>Conforme</v>
      </c>
      <c r="J2296" s="26" t="s">
        <v>1090</v>
      </c>
    </row>
    <row r="2297" spans="1:10" ht="16.05" customHeight="1" x14ac:dyDescent="0.3">
      <c r="A2297" s="26" t="s">
        <v>854</v>
      </c>
      <c r="B2297" s="26" t="s">
        <v>1094</v>
      </c>
      <c r="C2297" s="33" t="str">
        <f>IFERROR(INDEX(tbl_requisitos_emb[Tema],MATCH(B2297,tbl_requisitos_emb[ID_Req],0)),"")</f>
        <v>PFAS</v>
      </c>
      <c r="D2297" s="33" t="str">
        <f>IFERROR(INDEX(tbl_recyclass[Segmento],MATCH(A2297,tbl_recyclass[ProductId],0)),"")</f>
        <v>Alimentar</v>
      </c>
      <c r="E2297" s="26" t="s">
        <v>901</v>
      </c>
      <c r="F2297" s="26" t="s">
        <v>1452</v>
      </c>
      <c r="G2297" s="26" t="s">
        <v>1033</v>
      </c>
      <c r="H2297" s="33" t="str">
        <f>IF(E2297="Não","Não aplicável",IFERROR(IF(B2297="EU-ENV-002",IF(INDEX(tbl_recyclass[Conforme_PPWR_2030],MATCH(A2297,tbl_recyclass[ProductId],0))="Sim","Conforme (autoavaliação)",IF(INDEX(tbl_recyclass[Conforme_PPWR_2030],MATCH(A2297,tbl_recyclass[ProductId],0))="Não","Não conforme em 2030","Isento até 2035")),IF(B2297="EU-ENV-003",IF(INDEX(tbl_recyclass[Conforme_Art7_2030],MATCH(A2297,tbl_recyclass[ProductId],0))="Sim","Conforme (meta 2030)",IF(INDEX(tbl_recyclass[Conforme_Art7_2030],MATCH(A2297,tbl_recyclass[ProductId],0))="Não","Lacuna face à meta 2030","Isento")),IF(B2297="EU-ENV-011",IF(INDEX(tbl_familias_ppwr[Metais_Pesados_Evidencia],MATCH(INDEX(tbl_recyclass[Familia_PPWR],MATCH(A2297,tbl_recyclass[ProductId],0)),tbl_familias_ppwr[ID_Familia],0))="Em falta","Lacuna","Conforme"),IF(B2297="EU-ENV-013",IF(INDEX(tbl_familias_ppwr[Declaracao_UE],MATCH(INDEX(tbl_recyclass[Familia_PPWR],MATCH(A2297,tbl_recyclass[ProductId],0)),tbl_familias_ppwr[ID_Familia],0))="Sim","Conforme","Lacuna"),G2297)))),G2297))</f>
        <v>Conforme</v>
      </c>
      <c r="I2297" s="33" t="str">
        <f t="shared" si="35"/>
        <v>Conforme</v>
      </c>
      <c r="J2297" s="26" t="s">
        <v>1098</v>
      </c>
    </row>
    <row r="2298" spans="1:10" ht="16.05" customHeight="1" x14ac:dyDescent="0.3">
      <c r="A2298" s="26" t="s">
        <v>854</v>
      </c>
      <c r="B2298" s="26" t="s">
        <v>1102</v>
      </c>
      <c r="C2298" s="33" t="str">
        <f>IFERROR(INDEX(tbl_requisitos_emb[Tema],MATCH(B2298,tbl_requisitos_emb[ID_Req],0)),"")</f>
        <v>Documentação técnica e declaração UE</v>
      </c>
      <c r="D2298" s="33" t="str">
        <f>IFERROR(INDEX(tbl_recyclass[Segmento],MATCH(A2298,tbl_recyclass[ProductId],0)),"")</f>
        <v>Alimentar</v>
      </c>
      <c r="E2298" s="26" t="s">
        <v>901</v>
      </c>
      <c r="F2298" s="26" t="s">
        <v>1452</v>
      </c>
      <c r="G2298" s="26" t="s">
        <v>978</v>
      </c>
      <c r="H2298" s="33" t="str">
        <f>IF(E2298="Não","Não aplicável",IFERROR(IF(B2298="EU-ENV-002",IF(INDEX(tbl_recyclass[Conforme_PPWR_2030],MATCH(A2298,tbl_recyclass[ProductId],0))="Sim","Conforme (autoavaliação)",IF(INDEX(tbl_recyclass[Conforme_PPWR_2030],MATCH(A2298,tbl_recyclass[ProductId],0))="Não","Não conforme em 2030","Isento até 2035")),IF(B2298="EU-ENV-003",IF(INDEX(tbl_recyclass[Conforme_Art7_2030],MATCH(A2298,tbl_recyclass[ProductId],0))="Sim","Conforme (meta 2030)",IF(INDEX(tbl_recyclass[Conforme_Art7_2030],MATCH(A2298,tbl_recyclass[ProductId],0))="Não","Lacuna face à meta 2030","Isento")),IF(B2298="EU-ENV-011",IF(INDEX(tbl_familias_ppwr[Metais_Pesados_Evidencia],MATCH(INDEX(tbl_recyclass[Familia_PPWR],MATCH(A2298,tbl_recyclass[ProductId],0)),tbl_familias_ppwr[ID_Familia],0))="Em falta","Lacuna","Conforme"),IF(B2298="EU-ENV-013",IF(INDEX(tbl_familias_ppwr[Declaracao_UE],MATCH(INDEX(tbl_recyclass[Familia_PPWR],MATCH(A2298,tbl_recyclass[ProductId],0)),tbl_familias_ppwr[ID_Familia],0))="Sim","Conforme","Lacuna"),G2298)))),G2298))</f>
        <v>Conforme</v>
      </c>
      <c r="I2298" s="33" t="str">
        <f t="shared" si="35"/>
        <v>Conforme</v>
      </c>
      <c r="J2298" s="26" t="s">
        <v>1106</v>
      </c>
    </row>
    <row r="2299" spans="1:10" ht="16.05" customHeight="1" x14ac:dyDescent="0.3">
      <c r="A2299" s="26" t="s">
        <v>854</v>
      </c>
      <c r="B2299" s="26" t="s">
        <v>1161</v>
      </c>
      <c r="C2299" s="33" t="str">
        <f>IFERROR(INDEX(tbl_requisitos_emb[Tema],MATCH(B2299,tbl_requisitos_emb[ID_Req],0)),"")</f>
        <v>Materiais em contacto com alimentos</v>
      </c>
      <c r="D2299" s="33" t="str">
        <f>IFERROR(INDEX(tbl_recyclass[Segmento],MATCH(A2299,tbl_recyclass[ProductId],0)),"")</f>
        <v>Alimentar</v>
      </c>
      <c r="E2299" s="26" t="s">
        <v>901</v>
      </c>
      <c r="F2299" s="26" t="s">
        <v>1452</v>
      </c>
      <c r="G2299" s="26" t="s">
        <v>1033</v>
      </c>
      <c r="H2299" s="33" t="str">
        <f>IF(E2299="Não","Não aplicável",IFERROR(IF(B2299="EU-ENV-002",IF(INDEX(tbl_recyclass[Conforme_PPWR_2030],MATCH(A2299,tbl_recyclass[ProductId],0))="Sim","Conforme (autoavaliação)",IF(INDEX(tbl_recyclass[Conforme_PPWR_2030],MATCH(A2299,tbl_recyclass[ProductId],0))="Não","Não conforme em 2030","Isento até 2035")),IF(B2299="EU-ENV-003",IF(INDEX(tbl_recyclass[Conforme_Art7_2030],MATCH(A2299,tbl_recyclass[ProductId],0))="Sim","Conforme (meta 2030)",IF(INDEX(tbl_recyclass[Conforme_Art7_2030],MATCH(A2299,tbl_recyclass[ProductId],0))="Não","Lacuna face à meta 2030","Isento")),IF(B2299="EU-ENV-011",IF(INDEX(tbl_familias_ppwr[Metais_Pesados_Evidencia],MATCH(INDEX(tbl_recyclass[Familia_PPWR],MATCH(A2299,tbl_recyclass[ProductId],0)),tbl_familias_ppwr[ID_Familia],0))="Em falta","Lacuna","Conforme"),IF(B2299="EU-ENV-013",IF(INDEX(tbl_familias_ppwr[Declaracao_UE],MATCH(INDEX(tbl_recyclass[Familia_PPWR],MATCH(A2299,tbl_recyclass[ProductId],0)),tbl_familias_ppwr[ID_Familia],0))="Sim","Conforme","Lacuna"),G2299)))),G2299))</f>
        <v>Conforme</v>
      </c>
      <c r="I2299" s="33" t="str">
        <f t="shared" si="35"/>
        <v>Conforme</v>
      </c>
      <c r="J2299" s="26" t="s">
        <v>1168</v>
      </c>
    </row>
    <row r="2300" spans="1:10" ht="16.05" customHeight="1" x14ac:dyDescent="0.3">
      <c r="A2300" s="26" t="s">
        <v>854</v>
      </c>
      <c r="B2300" s="26" t="s">
        <v>1170</v>
      </c>
      <c r="C2300" s="33" t="str">
        <f>IFERROR(INDEX(tbl_requisitos_emb[Tema],MATCH(B2300,tbl_requisitos_emb[ID_Req],0)),"")</f>
        <v>Boas práticas de fabrico FCM</v>
      </c>
      <c r="D2300" s="33" t="str">
        <f>IFERROR(INDEX(tbl_recyclass[Segmento],MATCH(A2300,tbl_recyclass[ProductId],0)),"")</f>
        <v>Alimentar</v>
      </c>
      <c r="E2300" s="26" t="s">
        <v>901</v>
      </c>
      <c r="F2300" s="26" t="s">
        <v>1452</v>
      </c>
      <c r="G2300" s="26" t="s">
        <v>978</v>
      </c>
      <c r="H2300" s="33" t="str">
        <f>IF(E2300="Não","Não aplicável",IFERROR(IF(B2300="EU-ENV-002",IF(INDEX(tbl_recyclass[Conforme_PPWR_2030],MATCH(A2300,tbl_recyclass[ProductId],0))="Sim","Conforme (autoavaliação)",IF(INDEX(tbl_recyclass[Conforme_PPWR_2030],MATCH(A2300,tbl_recyclass[ProductId],0))="Não","Não conforme em 2030","Isento até 2035")),IF(B2300="EU-ENV-003",IF(INDEX(tbl_recyclass[Conforme_Art7_2030],MATCH(A2300,tbl_recyclass[ProductId],0))="Sim","Conforme (meta 2030)",IF(INDEX(tbl_recyclass[Conforme_Art7_2030],MATCH(A2300,tbl_recyclass[ProductId],0))="Não","Lacuna face à meta 2030","Isento")),IF(B2300="EU-ENV-011",IF(INDEX(tbl_familias_ppwr[Metais_Pesados_Evidencia],MATCH(INDEX(tbl_recyclass[Familia_PPWR],MATCH(A2300,tbl_recyclass[ProductId],0)),tbl_familias_ppwr[ID_Familia],0))="Em falta","Lacuna","Conforme"),IF(B2300="EU-ENV-013",IF(INDEX(tbl_familias_ppwr[Declaracao_UE],MATCH(INDEX(tbl_recyclass[Familia_PPWR],MATCH(A2300,tbl_recyclass[ProductId],0)),tbl_familias_ppwr[ID_Familia],0))="Sim","Conforme","Lacuna"),G2300)))),G2300))</f>
        <v>Parcial</v>
      </c>
      <c r="I2300" s="33" t="str">
        <f t="shared" si="35"/>
        <v>Parcial</v>
      </c>
      <c r="J2300" s="26" t="s">
        <v>1175</v>
      </c>
    </row>
    <row r="2301" spans="1:10" ht="16.05" customHeight="1" x14ac:dyDescent="0.3">
      <c r="A2301" s="26" t="s">
        <v>854</v>
      </c>
      <c r="B2301" s="26" t="s">
        <v>1179</v>
      </c>
      <c r="C2301" s="33" t="str">
        <f>IFERROR(INDEX(tbl_requisitos_emb[Tema],MATCH(B2301,tbl_requisitos_emb[ID_Req],0)),"")</f>
        <v>Bisfenol A e bisfenóis perigosos</v>
      </c>
      <c r="D2301" s="33" t="str">
        <f>IFERROR(INDEX(tbl_recyclass[Segmento],MATCH(A2301,tbl_recyclass[ProductId],0)),"")</f>
        <v>Alimentar</v>
      </c>
      <c r="E2301" s="26" t="s">
        <v>901</v>
      </c>
      <c r="F2301" s="26" t="s">
        <v>1452</v>
      </c>
      <c r="G2301" s="26" t="s">
        <v>1033</v>
      </c>
      <c r="H2301" s="33" t="str">
        <f>IF(E2301="Não","Não aplicável",IFERROR(IF(B2301="EU-ENV-002",IF(INDEX(tbl_recyclass[Conforme_PPWR_2030],MATCH(A2301,tbl_recyclass[ProductId],0))="Sim","Conforme (autoavaliação)",IF(INDEX(tbl_recyclass[Conforme_PPWR_2030],MATCH(A2301,tbl_recyclass[ProductId],0))="Não","Não conforme em 2030","Isento até 2035")),IF(B2301="EU-ENV-003",IF(INDEX(tbl_recyclass[Conforme_Art7_2030],MATCH(A2301,tbl_recyclass[ProductId],0))="Sim","Conforme (meta 2030)",IF(INDEX(tbl_recyclass[Conforme_Art7_2030],MATCH(A2301,tbl_recyclass[ProductId],0))="Não","Lacuna face à meta 2030","Isento")),IF(B2301="EU-ENV-011",IF(INDEX(tbl_familias_ppwr[Metais_Pesados_Evidencia],MATCH(INDEX(tbl_recyclass[Familia_PPWR],MATCH(A2301,tbl_recyclass[ProductId],0)),tbl_familias_ppwr[ID_Familia],0))="Em falta","Lacuna","Conforme"),IF(B2301="EU-ENV-013",IF(INDEX(tbl_familias_ppwr[Declaracao_UE],MATCH(INDEX(tbl_recyclass[Familia_PPWR],MATCH(A2301,tbl_recyclass[ProductId],0)),tbl_familias_ppwr[ID_Familia],0))="Sim","Conforme","Lacuna"),G2301)))),G2301))</f>
        <v>Conforme</v>
      </c>
      <c r="I2301" s="33" t="str">
        <f t="shared" si="35"/>
        <v>Conforme</v>
      </c>
      <c r="J2301" s="26" t="s">
        <v>1185</v>
      </c>
    </row>
    <row r="2302" spans="1:10" ht="16.05" customHeight="1" x14ac:dyDescent="0.3">
      <c r="A2302" s="26" t="s">
        <v>854</v>
      </c>
      <c r="B2302" s="26" t="s">
        <v>1188</v>
      </c>
      <c r="C2302" s="33" t="str">
        <f>IFERROR(INDEX(tbl_requisitos_emb[Tema],MATCH(B2302,tbl_requisitos_emb[ID_Req],0)),"")</f>
        <v>Plásticos em contacto com alimentos</v>
      </c>
      <c r="D2302" s="33" t="str">
        <f>IFERROR(INDEX(tbl_recyclass[Segmento],MATCH(A2302,tbl_recyclass[ProductId],0)),"")</f>
        <v>Alimentar</v>
      </c>
      <c r="E2302" s="26" t="s">
        <v>901</v>
      </c>
      <c r="F2302" s="26" t="s">
        <v>1452</v>
      </c>
      <c r="G2302" s="26" t="s">
        <v>1033</v>
      </c>
      <c r="H2302" s="33" t="str">
        <f>IF(E2302="Não","Não aplicável",IFERROR(IF(B2302="EU-ENV-002",IF(INDEX(tbl_recyclass[Conforme_PPWR_2030],MATCH(A2302,tbl_recyclass[ProductId],0))="Sim","Conforme (autoavaliação)",IF(INDEX(tbl_recyclass[Conforme_PPWR_2030],MATCH(A2302,tbl_recyclass[ProductId],0))="Não","Não conforme em 2030","Isento até 2035")),IF(B2302="EU-ENV-003",IF(INDEX(tbl_recyclass[Conforme_Art7_2030],MATCH(A2302,tbl_recyclass[ProductId],0))="Sim","Conforme (meta 2030)",IF(INDEX(tbl_recyclass[Conforme_Art7_2030],MATCH(A2302,tbl_recyclass[ProductId],0))="Não","Lacuna face à meta 2030","Isento")),IF(B2302="EU-ENV-011",IF(INDEX(tbl_familias_ppwr[Metais_Pesados_Evidencia],MATCH(INDEX(tbl_recyclass[Familia_PPWR],MATCH(A2302,tbl_recyclass[ProductId],0)),tbl_familias_ppwr[ID_Familia],0))="Em falta","Lacuna","Conforme"),IF(B2302="EU-ENV-013",IF(INDEX(tbl_familias_ppwr[Declaracao_UE],MATCH(INDEX(tbl_recyclass[Familia_PPWR],MATCH(A2302,tbl_recyclass[ProductId],0)),tbl_familias_ppwr[ID_Familia],0))="Sim","Conforme","Lacuna"),G2302)))),G2302))</f>
        <v>Conforme</v>
      </c>
      <c r="I2302" s="33" t="str">
        <f t="shared" si="35"/>
        <v>Conforme</v>
      </c>
      <c r="J2302" s="26" t="s">
        <v>1193</v>
      </c>
    </row>
    <row r="2303" spans="1:10" ht="16.05" customHeight="1" x14ac:dyDescent="0.3">
      <c r="A2303" s="26" t="s">
        <v>854</v>
      </c>
      <c r="B2303" s="26" t="s">
        <v>1212</v>
      </c>
      <c r="C2303" s="33" t="str">
        <f>IFERROR(INDEX(tbl_requisitos_emb[Tema],MATCH(B2303,tbl_requisitos_emb[ID_Req],0)),"")</f>
        <v>Segurança do produto cosmético</v>
      </c>
      <c r="D2303" s="33" t="str">
        <f>IFERROR(INDEX(tbl_recyclass[Segmento],MATCH(A2303,tbl_recyclass[ProductId],0)),"")</f>
        <v>Alimentar</v>
      </c>
      <c r="E2303" s="26" t="s">
        <v>904</v>
      </c>
      <c r="F2303" s="26" t="s">
        <v>1454</v>
      </c>
      <c r="G2303" s="26" t="s">
        <v>1143</v>
      </c>
      <c r="H2303" s="33" t="str">
        <f>IF(E2303="Não","Não aplicável",IFERROR(IF(B2303="EU-ENV-002",IF(INDEX(tbl_recyclass[Conforme_PPWR_2030],MATCH(A2303,tbl_recyclass[ProductId],0))="Sim","Conforme (autoavaliação)",IF(INDEX(tbl_recyclass[Conforme_PPWR_2030],MATCH(A2303,tbl_recyclass[ProductId],0))="Não","Não conforme em 2030","Isento até 2035")),IF(B2303="EU-ENV-003",IF(INDEX(tbl_recyclass[Conforme_Art7_2030],MATCH(A2303,tbl_recyclass[ProductId],0))="Sim","Conforme (meta 2030)",IF(INDEX(tbl_recyclass[Conforme_Art7_2030],MATCH(A2303,tbl_recyclass[ProductId],0))="Não","Lacuna face à meta 2030","Isento")),IF(B2303="EU-ENV-011",IF(INDEX(tbl_familias_ppwr[Metais_Pesados_Evidencia],MATCH(INDEX(tbl_recyclass[Familia_PPWR],MATCH(A2303,tbl_recyclass[ProductId],0)),tbl_familias_ppwr[ID_Familia],0))="Em falta","Lacuna","Conforme"),IF(B2303="EU-ENV-013",IF(INDEX(tbl_familias_ppwr[Declaracao_UE],MATCH(INDEX(tbl_recyclass[Familia_PPWR],MATCH(A2303,tbl_recyclass[ProductId],0)),tbl_familias_ppwr[ID_Familia],0))="Sim","Conforme","Lacuna"),G2303)))),G2303))</f>
        <v>Não aplicável</v>
      </c>
      <c r="I2303" s="33" t="str">
        <f t="shared" si="35"/>
        <v>Não aplicável</v>
      </c>
      <c r="J2303" s="26"/>
    </row>
    <row r="2304" spans="1:10" ht="16.05" customHeight="1" x14ac:dyDescent="0.3">
      <c r="A2304" s="26" t="s">
        <v>854</v>
      </c>
      <c r="B2304" s="26" t="s">
        <v>1224</v>
      </c>
      <c r="C2304" s="33" t="str">
        <f>IFERROR(INDEX(tbl_requisitos_emb[Tema],MATCH(B2304,tbl_requisitos_emb[ID_Req],0)),"")</f>
        <v>Materiais e impurezas</v>
      </c>
      <c r="D2304" s="33" t="str">
        <f>IFERROR(INDEX(tbl_recyclass[Segmento],MATCH(A2304,tbl_recyclass[ProductId],0)),"")</f>
        <v>Alimentar</v>
      </c>
      <c r="E2304" s="26" t="s">
        <v>904</v>
      </c>
      <c r="F2304" s="26" t="s">
        <v>1454</v>
      </c>
      <c r="G2304" s="26" t="s">
        <v>1143</v>
      </c>
      <c r="H2304" s="33" t="str">
        <f>IF(E2304="Não","Não aplicável",IFERROR(IF(B2304="EU-ENV-002",IF(INDEX(tbl_recyclass[Conforme_PPWR_2030],MATCH(A2304,tbl_recyclass[ProductId],0))="Sim","Conforme (autoavaliação)",IF(INDEX(tbl_recyclass[Conforme_PPWR_2030],MATCH(A2304,tbl_recyclass[ProductId],0))="Não","Não conforme em 2030","Isento até 2035")),IF(B2304="EU-ENV-003",IF(INDEX(tbl_recyclass[Conforme_Art7_2030],MATCH(A2304,tbl_recyclass[ProductId],0))="Sim","Conforme (meta 2030)",IF(INDEX(tbl_recyclass[Conforme_Art7_2030],MATCH(A2304,tbl_recyclass[ProductId],0))="Não","Lacuna face à meta 2030","Isento")),IF(B2304="EU-ENV-011",IF(INDEX(tbl_familias_ppwr[Metais_Pesados_Evidencia],MATCH(INDEX(tbl_recyclass[Familia_PPWR],MATCH(A2304,tbl_recyclass[ProductId],0)),tbl_familias_ppwr[ID_Familia],0))="Em falta","Lacuna","Conforme"),IF(B2304="EU-ENV-013",IF(INDEX(tbl_familias_ppwr[Declaracao_UE],MATCH(INDEX(tbl_recyclass[Familia_PPWR],MATCH(A2304,tbl_recyclass[ProductId],0)),tbl_familias_ppwr[ID_Familia],0))="Sim","Conforme","Lacuna"),G2304)))),G2304))</f>
        <v>Não aplicável</v>
      </c>
      <c r="I2304" s="33" t="str">
        <f t="shared" si="35"/>
        <v>Não aplicável</v>
      </c>
      <c r="J2304" s="26"/>
    </row>
    <row r="2305" spans="1:10" ht="16.05" customHeight="1" x14ac:dyDescent="0.3">
      <c r="A2305" s="26" t="s">
        <v>854</v>
      </c>
      <c r="B2305" s="26" t="s">
        <v>1240</v>
      </c>
      <c r="C2305" s="33" t="str">
        <f>IFERROR(INDEX(tbl_requisitos_emb[Tema],MATCH(B2305,tbl_requisitos_emb[ID_Req],0)),"")</f>
        <v>Compatibilidade embalagem–produto</v>
      </c>
      <c r="D2305" s="33" t="str">
        <f>IFERROR(INDEX(tbl_recyclass[Segmento],MATCH(A2305,tbl_recyclass[ProductId],0)),"")</f>
        <v>Alimentar</v>
      </c>
      <c r="E2305" s="26" t="s">
        <v>904</v>
      </c>
      <c r="F2305" s="26" t="s">
        <v>1454</v>
      </c>
      <c r="G2305" s="26" t="s">
        <v>1143</v>
      </c>
      <c r="H2305" s="33" t="str">
        <f>IF(E2305="Não","Não aplicável",IFERROR(IF(B2305="EU-ENV-002",IF(INDEX(tbl_recyclass[Conforme_PPWR_2030],MATCH(A2305,tbl_recyclass[ProductId],0))="Sim","Conforme (autoavaliação)",IF(INDEX(tbl_recyclass[Conforme_PPWR_2030],MATCH(A2305,tbl_recyclass[ProductId],0))="Não","Não conforme em 2030","Isento até 2035")),IF(B2305="EU-ENV-003",IF(INDEX(tbl_recyclass[Conforme_Art7_2030],MATCH(A2305,tbl_recyclass[ProductId],0))="Sim","Conforme (meta 2030)",IF(INDEX(tbl_recyclass[Conforme_Art7_2030],MATCH(A2305,tbl_recyclass[ProductId],0))="Não","Lacuna face à meta 2030","Isento")),IF(B2305="EU-ENV-011",IF(INDEX(tbl_familias_ppwr[Metais_Pesados_Evidencia],MATCH(INDEX(tbl_recyclass[Familia_PPWR],MATCH(A2305,tbl_recyclass[ProductId],0)),tbl_familias_ppwr[ID_Familia],0))="Em falta","Lacuna","Conforme"),IF(B2305="EU-ENV-013",IF(INDEX(tbl_familias_ppwr[Declaracao_UE],MATCH(INDEX(tbl_recyclass[Familia_PPWR],MATCH(A2305,tbl_recyclass[ProductId],0)),tbl_familias_ppwr[ID_Familia],0))="Sim","Conforme","Lacuna"),G2305)))),G2305))</f>
        <v>Não aplicável</v>
      </c>
      <c r="I2305" s="33" t="str">
        <f t="shared" si="35"/>
        <v>Não aplicável</v>
      </c>
      <c r="J2305" s="26"/>
    </row>
    <row r="2306" spans="1:10" ht="16.05" customHeight="1" x14ac:dyDescent="0.3">
      <c r="A2306" s="26" t="s">
        <v>854</v>
      </c>
      <c r="B2306" s="26" t="s">
        <v>1252</v>
      </c>
      <c r="C2306" s="33" t="str">
        <f>IFERROR(INDEX(tbl_requisitos_emb[Tema],MATCH(B2306,tbl_requisitos_emb[ID_Req],0)),"")</f>
        <v>Medicamentos de uso humano</v>
      </c>
      <c r="D2306" s="33" t="str">
        <f>IFERROR(INDEX(tbl_recyclass[Segmento],MATCH(A2306,tbl_recyclass[ProductId],0)),"")</f>
        <v>Alimentar</v>
      </c>
      <c r="E2306" s="26" t="s">
        <v>904</v>
      </c>
      <c r="F2306" s="26" t="s">
        <v>1455</v>
      </c>
      <c r="G2306" s="26" t="s">
        <v>1143</v>
      </c>
      <c r="H2306" s="33" t="str">
        <f>IF(E2306="Não","Não aplicável",IFERROR(IF(B2306="EU-ENV-002",IF(INDEX(tbl_recyclass[Conforme_PPWR_2030],MATCH(A2306,tbl_recyclass[ProductId],0))="Sim","Conforme (autoavaliação)",IF(INDEX(tbl_recyclass[Conforme_PPWR_2030],MATCH(A2306,tbl_recyclass[ProductId],0))="Não","Não conforme em 2030","Isento até 2035")),IF(B2306="EU-ENV-003",IF(INDEX(tbl_recyclass[Conforme_Art7_2030],MATCH(A2306,tbl_recyclass[ProductId],0))="Sim","Conforme (meta 2030)",IF(INDEX(tbl_recyclass[Conforme_Art7_2030],MATCH(A2306,tbl_recyclass[ProductId],0))="Não","Lacuna face à meta 2030","Isento")),IF(B2306="EU-ENV-011",IF(INDEX(tbl_familias_ppwr[Metais_Pesados_Evidencia],MATCH(INDEX(tbl_recyclass[Familia_PPWR],MATCH(A2306,tbl_recyclass[ProductId],0)),tbl_familias_ppwr[ID_Familia],0))="Em falta","Lacuna","Conforme"),IF(B2306="EU-ENV-013",IF(INDEX(tbl_familias_ppwr[Declaracao_UE],MATCH(INDEX(tbl_recyclass[Familia_PPWR],MATCH(A2306,tbl_recyclass[ProductId],0)),tbl_familias_ppwr[ID_Familia],0))="Sim","Conforme","Lacuna"),G2306)))),G2306))</f>
        <v>Não aplicável</v>
      </c>
      <c r="I2306" s="33" t="str">
        <f t="shared" ref="I2306:I2369" si="36">IF(ISNUMBER(SEARCH("Não aplicável",H2306)),"Não aplicável",IF(ISNUMBER(SEARCH("Isento",H2306)),"Isento",IF(ISNUMBER(SEARCH("Não conforme",H2306)),"Não conforme",IF(ISNUMBER(SEARCH("Lacuna",H2306)),"Lacuna",IF(ISNUMBER(SEARCH("Conforme",H2306)),"Conforme",H2306)))))</f>
        <v>Não aplicável</v>
      </c>
      <c r="J2306" s="26"/>
    </row>
    <row r="2307" spans="1:10" ht="16.05" customHeight="1" x14ac:dyDescent="0.3">
      <c r="A2307" s="26" t="s">
        <v>854</v>
      </c>
      <c r="B2307" s="26" t="s">
        <v>1268</v>
      </c>
      <c r="C2307" s="33" t="str">
        <f>IFERROR(INDEX(tbl_requisitos_emb[Tema],MATCH(B2307,tbl_requisitos_emb[ID_Req],0)),"")</f>
        <v>Dispositivos de segurança</v>
      </c>
      <c r="D2307" s="33" t="str">
        <f>IFERROR(INDEX(tbl_recyclass[Segmento],MATCH(A2307,tbl_recyclass[ProductId],0)),"")</f>
        <v>Alimentar</v>
      </c>
      <c r="E2307" s="26" t="s">
        <v>904</v>
      </c>
      <c r="F2307" s="26" t="s">
        <v>1455</v>
      </c>
      <c r="G2307" s="26" t="s">
        <v>1143</v>
      </c>
      <c r="H2307" s="33" t="str">
        <f>IF(E2307="Não","Não aplicável",IFERROR(IF(B2307="EU-ENV-002",IF(INDEX(tbl_recyclass[Conforme_PPWR_2030],MATCH(A2307,tbl_recyclass[ProductId],0))="Sim","Conforme (autoavaliação)",IF(INDEX(tbl_recyclass[Conforme_PPWR_2030],MATCH(A2307,tbl_recyclass[ProductId],0))="Não","Não conforme em 2030","Isento até 2035")),IF(B2307="EU-ENV-003",IF(INDEX(tbl_recyclass[Conforme_Art7_2030],MATCH(A2307,tbl_recyclass[ProductId],0))="Sim","Conforme (meta 2030)",IF(INDEX(tbl_recyclass[Conforme_Art7_2030],MATCH(A2307,tbl_recyclass[ProductId],0))="Não","Lacuna face à meta 2030","Isento")),IF(B2307="EU-ENV-011",IF(INDEX(tbl_familias_ppwr[Metais_Pesados_Evidencia],MATCH(INDEX(tbl_recyclass[Familia_PPWR],MATCH(A2307,tbl_recyclass[ProductId],0)),tbl_familias_ppwr[ID_Familia],0))="Em falta","Lacuna","Conforme"),IF(B2307="EU-ENV-013",IF(INDEX(tbl_familias_ppwr[Declaracao_UE],MATCH(INDEX(tbl_recyclass[Familia_PPWR],MATCH(A2307,tbl_recyclass[ProductId],0)),tbl_familias_ppwr[ID_Familia],0))="Sim","Conforme","Lacuna"),G2307)))),G2307))</f>
        <v>Não aplicável</v>
      </c>
      <c r="I2307" s="33" t="str">
        <f t="shared" si="36"/>
        <v>Não aplicável</v>
      </c>
      <c r="J2307" s="26"/>
    </row>
    <row r="2308" spans="1:10" ht="16.05" customHeight="1" x14ac:dyDescent="0.3">
      <c r="A2308" s="26" t="s">
        <v>854</v>
      </c>
      <c r="B2308" s="26" t="s">
        <v>1285</v>
      </c>
      <c r="C2308" s="33" t="str">
        <f>IFERROR(INDEX(tbl_requisitos_emb[Tema],MATCH(B2308,tbl_requisitos_emb[ID_Req],0)),"")</f>
        <v>Materiais plásticos de acondicionamento primário</v>
      </c>
      <c r="D2308" s="33" t="str">
        <f>IFERROR(INDEX(tbl_recyclass[Segmento],MATCH(A2308,tbl_recyclass[ProductId],0)),"")</f>
        <v>Alimentar</v>
      </c>
      <c r="E2308" s="26" t="s">
        <v>904</v>
      </c>
      <c r="F2308" s="26" t="s">
        <v>1455</v>
      </c>
      <c r="G2308" s="26" t="s">
        <v>1143</v>
      </c>
      <c r="H2308" s="33" t="str">
        <f>IF(E2308="Não","Não aplicável",IFERROR(IF(B2308="EU-ENV-002",IF(INDEX(tbl_recyclass[Conforme_PPWR_2030],MATCH(A2308,tbl_recyclass[ProductId],0))="Sim","Conforme (autoavaliação)",IF(INDEX(tbl_recyclass[Conforme_PPWR_2030],MATCH(A2308,tbl_recyclass[ProductId],0))="Não","Não conforme em 2030","Isento até 2035")),IF(B2308="EU-ENV-003",IF(INDEX(tbl_recyclass[Conforme_Art7_2030],MATCH(A2308,tbl_recyclass[ProductId],0))="Sim","Conforme (meta 2030)",IF(INDEX(tbl_recyclass[Conforme_Art7_2030],MATCH(A2308,tbl_recyclass[ProductId],0))="Não","Lacuna face à meta 2030","Isento")),IF(B2308="EU-ENV-011",IF(INDEX(tbl_familias_ppwr[Metais_Pesados_Evidencia],MATCH(INDEX(tbl_recyclass[Familia_PPWR],MATCH(A2308,tbl_recyclass[ProductId],0)),tbl_familias_ppwr[ID_Familia],0))="Em falta","Lacuna","Conforme"),IF(B2308="EU-ENV-013",IF(INDEX(tbl_familias_ppwr[Declaracao_UE],MATCH(INDEX(tbl_recyclass[Familia_PPWR],MATCH(A2308,tbl_recyclass[ProductId],0)),tbl_familias_ppwr[ID_Familia],0))="Sim","Conforme","Lacuna"),G2308)))),G2308))</f>
        <v>Não aplicável</v>
      </c>
      <c r="I2308" s="33" t="str">
        <f t="shared" si="36"/>
        <v>Não aplicável</v>
      </c>
      <c r="J2308" s="26"/>
    </row>
    <row r="2309" spans="1:10" ht="16.05" customHeight="1" x14ac:dyDescent="0.3">
      <c r="A2309" s="26" t="s">
        <v>854</v>
      </c>
      <c r="B2309" s="26" t="s">
        <v>1293</v>
      </c>
      <c r="C2309" s="33" t="str">
        <f>IFERROR(INDEX(tbl_requisitos_emb[Tema],MATCH(B2309,tbl_requisitos_emb[ID_Req],0)),"")</f>
        <v>Isenções PPWR</v>
      </c>
      <c r="D2309" s="33" t="str">
        <f>IFERROR(INDEX(tbl_recyclass[Segmento],MATCH(A2309,tbl_recyclass[ProductId],0)),"")</f>
        <v>Alimentar</v>
      </c>
      <c r="E2309" s="26" t="s">
        <v>904</v>
      </c>
      <c r="F2309" s="26" t="s">
        <v>1455</v>
      </c>
      <c r="G2309" s="26" t="s">
        <v>1143</v>
      </c>
      <c r="H2309" s="33" t="str">
        <f>IF(E2309="Não","Não aplicável",IFERROR(IF(B2309="EU-ENV-002",IF(INDEX(tbl_recyclass[Conforme_PPWR_2030],MATCH(A2309,tbl_recyclass[ProductId],0))="Sim","Conforme (autoavaliação)",IF(INDEX(tbl_recyclass[Conforme_PPWR_2030],MATCH(A2309,tbl_recyclass[ProductId],0))="Não","Não conforme em 2030","Isento até 2035")),IF(B2309="EU-ENV-003",IF(INDEX(tbl_recyclass[Conforme_Art7_2030],MATCH(A2309,tbl_recyclass[ProductId],0))="Sim","Conforme (meta 2030)",IF(INDEX(tbl_recyclass[Conforme_Art7_2030],MATCH(A2309,tbl_recyclass[ProductId],0))="Não","Lacuna face à meta 2030","Isento")),IF(B2309="EU-ENV-011",IF(INDEX(tbl_familias_ppwr[Metais_Pesados_Evidencia],MATCH(INDEX(tbl_recyclass[Familia_PPWR],MATCH(A2309,tbl_recyclass[ProductId],0)),tbl_familias_ppwr[ID_Familia],0))="Em falta","Lacuna","Conforme"),IF(B2309="EU-ENV-013",IF(INDEX(tbl_familias_ppwr[Declaracao_UE],MATCH(INDEX(tbl_recyclass[Familia_PPWR],MATCH(A2309,tbl_recyclass[ProductId],0)),tbl_familias_ppwr[ID_Familia],0))="Sim","Conforme","Lacuna"),G2309)))),G2309))</f>
        <v>Não aplicável</v>
      </c>
      <c r="I2309" s="33" t="str">
        <f t="shared" si="36"/>
        <v>Não aplicável</v>
      </c>
      <c r="J2309" s="26"/>
    </row>
    <row r="2310" spans="1:10" ht="16.05" customHeight="1" x14ac:dyDescent="0.3">
      <c r="A2310" s="26" t="s">
        <v>854</v>
      </c>
      <c r="B2310" s="26" t="s">
        <v>1357</v>
      </c>
      <c r="C2310" s="33" t="str">
        <f>IFERROR(INDEX(tbl_requisitos_emb[Tema],MATCH(B2310,tbl_requisitos_emb[ID_Req],0)),"")</f>
        <v>Identificação de plásticos</v>
      </c>
      <c r="D2310" s="33" t="str">
        <f>IFERROR(INDEX(tbl_recyclass[Segmento],MATCH(A2310,tbl_recyclass[ProductId],0)),"")</f>
        <v>Alimentar</v>
      </c>
      <c r="E2310" s="26" t="s">
        <v>901</v>
      </c>
      <c r="F2310" s="26" t="s">
        <v>1452</v>
      </c>
      <c r="G2310" s="26" t="s">
        <v>978</v>
      </c>
      <c r="H2310" s="33" t="str">
        <f>IF(E2310="Não","Não aplicável",IFERROR(IF(B2310="EU-ENV-002",IF(INDEX(tbl_recyclass[Conforme_PPWR_2030],MATCH(A2310,tbl_recyclass[ProductId],0))="Sim","Conforme (autoavaliação)",IF(INDEX(tbl_recyclass[Conforme_PPWR_2030],MATCH(A2310,tbl_recyclass[ProductId],0))="Não","Não conforme em 2030","Isento até 2035")),IF(B2310="EU-ENV-003",IF(INDEX(tbl_recyclass[Conforme_Art7_2030],MATCH(A2310,tbl_recyclass[ProductId],0))="Sim","Conforme (meta 2030)",IF(INDEX(tbl_recyclass[Conforme_Art7_2030],MATCH(A2310,tbl_recyclass[ProductId],0))="Não","Lacuna face à meta 2030","Isento")),IF(B2310="EU-ENV-011",IF(INDEX(tbl_familias_ppwr[Metais_Pesados_Evidencia],MATCH(INDEX(tbl_recyclass[Familia_PPWR],MATCH(A2310,tbl_recyclass[ProductId],0)),tbl_familias_ppwr[ID_Familia],0))="Em falta","Lacuna","Conforme"),IF(B2310="EU-ENV-013",IF(INDEX(tbl_familias_ppwr[Declaracao_UE],MATCH(INDEX(tbl_recyclass[Familia_PPWR],MATCH(A2310,tbl_recyclass[ProductId],0)),tbl_familias_ppwr[ID_Familia],0))="Sim","Conforme","Lacuna"),G2310)))),G2310))</f>
        <v>Parcial</v>
      </c>
      <c r="I2310" s="33" t="str">
        <f t="shared" si="36"/>
        <v>Parcial</v>
      </c>
      <c r="J2310" s="26" t="s">
        <v>1362</v>
      </c>
    </row>
    <row r="2311" spans="1:10" ht="16.05" customHeight="1" x14ac:dyDescent="0.3">
      <c r="A2311" s="26" t="s">
        <v>854</v>
      </c>
      <c r="B2311" s="26" t="s">
        <v>1385</v>
      </c>
      <c r="C2311" s="33" t="str">
        <f>IFERROR(INDEX(tbl_requisitos_emb[Tema],MATCH(B2311,tbl_requisitos_emb[ID_Req],0)),"")</f>
        <v>Reciclabilidade (voluntária)</v>
      </c>
      <c r="D2311" s="33" t="str">
        <f>IFERROR(INDEX(tbl_recyclass[Segmento],MATCH(A2311,tbl_recyclass[ProductId],0)),"")</f>
        <v>Alimentar</v>
      </c>
      <c r="E2311" s="26" t="s">
        <v>901</v>
      </c>
      <c r="F2311" s="26" t="s">
        <v>1452</v>
      </c>
      <c r="G2311" s="26" t="s">
        <v>978</v>
      </c>
      <c r="H2311" s="33" t="str">
        <f>IF(E2311="Não","Não aplicável",IFERROR(IF(B2311="EU-ENV-002",IF(INDEX(tbl_recyclass[Conforme_PPWR_2030],MATCH(A2311,tbl_recyclass[ProductId],0))="Sim","Conforme (autoavaliação)",IF(INDEX(tbl_recyclass[Conforme_PPWR_2030],MATCH(A2311,tbl_recyclass[ProductId],0))="Não","Não conforme em 2030","Isento até 2035")),IF(B2311="EU-ENV-003",IF(INDEX(tbl_recyclass[Conforme_Art7_2030],MATCH(A2311,tbl_recyclass[ProductId],0))="Sim","Conforme (meta 2030)",IF(INDEX(tbl_recyclass[Conforme_Art7_2030],MATCH(A2311,tbl_recyclass[ProductId],0))="Não","Lacuna face à meta 2030","Isento")),IF(B2311="EU-ENV-011",IF(INDEX(tbl_familias_ppwr[Metais_Pesados_Evidencia],MATCH(INDEX(tbl_recyclass[Familia_PPWR],MATCH(A2311,tbl_recyclass[ProductId],0)),tbl_familias_ppwr[ID_Familia],0))="Em falta","Lacuna","Conforme"),IF(B2311="EU-ENV-013",IF(INDEX(tbl_familias_ppwr[Declaracao_UE],MATCH(INDEX(tbl_recyclass[Familia_PPWR],MATCH(A2311,tbl_recyclass[ProductId],0)),tbl_familias_ppwr[ID_Familia],0))="Sim","Conforme","Lacuna"),G2311)))),G2311))</f>
        <v>Parcial</v>
      </c>
      <c r="I2311" s="33" t="str">
        <f t="shared" si="36"/>
        <v>Parcial</v>
      </c>
      <c r="J2311" s="26" t="s">
        <v>1389</v>
      </c>
    </row>
    <row r="2312" spans="1:10" ht="16.05" customHeight="1" x14ac:dyDescent="0.3">
      <c r="A2312" s="26" t="s">
        <v>856</v>
      </c>
      <c r="B2312" s="26" t="s">
        <v>984</v>
      </c>
      <c r="C2312" s="33" t="str">
        <f>IFERROR(INDEX(tbl_requisitos_emb[Tema],MATCH(B2312,tbl_requisitos_emb[ID_Req],0)),"")</f>
        <v>Conceção para reciclagem</v>
      </c>
      <c r="D2312" s="33" t="str">
        <f>IFERROR(INDEX(tbl_recyclass[Segmento],MATCH(A2312,tbl_recyclass[ProductId],0)),"")</f>
        <v>Farmacêutico</v>
      </c>
      <c r="E2312" s="26" t="s">
        <v>901</v>
      </c>
      <c r="F2312" s="26" t="s">
        <v>1456</v>
      </c>
      <c r="G2312" s="26" t="s">
        <v>978</v>
      </c>
      <c r="H2312" s="33" t="str">
        <f>IF(E2312="Não","Não aplicável",IFERROR(IF(B2312="EU-ENV-002",IF(INDEX(tbl_recyclass[Conforme_PPWR_2030],MATCH(A2312,tbl_recyclass[ProductId],0))="Sim","Conforme (autoavaliação)",IF(INDEX(tbl_recyclass[Conforme_PPWR_2030],MATCH(A2312,tbl_recyclass[ProductId],0))="Não","Não conforme em 2030","Isento até 2035")),IF(B2312="EU-ENV-003",IF(INDEX(tbl_recyclass[Conforme_Art7_2030],MATCH(A2312,tbl_recyclass[ProductId],0))="Sim","Conforme (meta 2030)",IF(INDEX(tbl_recyclass[Conforme_Art7_2030],MATCH(A2312,tbl_recyclass[ProductId],0))="Não","Lacuna face à meta 2030","Isento")),IF(B2312="EU-ENV-011",IF(INDEX(tbl_familias_ppwr[Metais_Pesados_Evidencia],MATCH(INDEX(tbl_recyclass[Familia_PPWR],MATCH(A2312,tbl_recyclass[ProductId],0)),tbl_familias_ppwr[ID_Familia],0))="Em falta","Lacuna","Conforme"),IF(B2312="EU-ENV-013",IF(INDEX(tbl_familias_ppwr[Declaracao_UE],MATCH(INDEX(tbl_recyclass[Familia_PPWR],MATCH(A2312,tbl_recyclass[ProductId],0)),tbl_familias_ppwr[ID_Familia],0))="Sim","Conforme","Lacuna"),G2312)))),G2312))</f>
        <v>Isento até 2035</v>
      </c>
      <c r="I2312" s="33" t="str">
        <f t="shared" si="36"/>
        <v>Isento</v>
      </c>
      <c r="J2312" s="26" t="s">
        <v>991</v>
      </c>
    </row>
    <row r="2313" spans="1:10" ht="16.05" customHeight="1" x14ac:dyDescent="0.3">
      <c r="A2313" s="26" t="s">
        <v>856</v>
      </c>
      <c r="B2313" s="26" t="s">
        <v>997</v>
      </c>
      <c r="C2313" s="33" t="str">
        <f>IFERROR(INDEX(tbl_requisitos_emb[Tema],MATCH(B2313,tbl_requisitos_emb[ID_Req],0)),"")</f>
        <v>Conteúdo reciclado</v>
      </c>
      <c r="D2313" s="33" t="str">
        <f>IFERROR(INDEX(tbl_recyclass[Segmento],MATCH(A2313,tbl_recyclass[ProductId],0)),"")</f>
        <v>Farmacêutico</v>
      </c>
      <c r="E2313" s="26" t="s">
        <v>901</v>
      </c>
      <c r="F2313" s="26" t="s">
        <v>1456</v>
      </c>
      <c r="G2313" s="26" t="s">
        <v>978</v>
      </c>
      <c r="H2313" s="33" t="str">
        <f>IF(E2313="Não","Não aplicável",IFERROR(IF(B2313="EU-ENV-002",IF(INDEX(tbl_recyclass[Conforme_PPWR_2030],MATCH(A2313,tbl_recyclass[ProductId],0))="Sim","Conforme (autoavaliação)",IF(INDEX(tbl_recyclass[Conforme_PPWR_2030],MATCH(A2313,tbl_recyclass[ProductId],0))="Não","Não conforme em 2030","Isento até 2035")),IF(B2313="EU-ENV-003",IF(INDEX(tbl_recyclass[Conforme_Art7_2030],MATCH(A2313,tbl_recyclass[ProductId],0))="Sim","Conforme (meta 2030)",IF(INDEX(tbl_recyclass[Conforme_Art7_2030],MATCH(A2313,tbl_recyclass[ProductId],0))="Não","Lacuna face à meta 2030","Isento")),IF(B2313="EU-ENV-011",IF(INDEX(tbl_familias_ppwr[Metais_Pesados_Evidencia],MATCH(INDEX(tbl_recyclass[Familia_PPWR],MATCH(A2313,tbl_recyclass[ProductId],0)),tbl_familias_ppwr[ID_Familia],0))="Em falta","Lacuna","Conforme"),IF(B2313="EU-ENV-013",IF(INDEX(tbl_familias_ppwr[Declaracao_UE],MATCH(INDEX(tbl_recyclass[Familia_PPWR],MATCH(A2313,tbl_recyclass[ProductId],0)),tbl_familias_ppwr[ID_Familia],0))="Sim","Conforme","Lacuna"),G2313)))),G2313))</f>
        <v>Isento</v>
      </c>
      <c r="I2313" s="33" t="str">
        <f t="shared" si="36"/>
        <v>Isento</v>
      </c>
      <c r="J2313" s="26" t="s">
        <v>1001</v>
      </c>
    </row>
    <row r="2314" spans="1:10" ht="16.05" customHeight="1" x14ac:dyDescent="0.3">
      <c r="A2314" s="26" t="s">
        <v>856</v>
      </c>
      <c r="B2314" s="26" t="s">
        <v>1007</v>
      </c>
      <c r="C2314" s="33" t="str">
        <f>IFERROR(INDEX(tbl_requisitos_emb[Tema],MATCH(B2314,tbl_requisitos_emb[ID_Req],0)),"")</f>
        <v>Minimização</v>
      </c>
      <c r="D2314" s="33" t="str">
        <f>IFERROR(INDEX(tbl_recyclass[Segmento],MATCH(A2314,tbl_recyclass[ProductId],0)),"")</f>
        <v>Farmacêutico</v>
      </c>
      <c r="E2314" s="26" t="s">
        <v>901</v>
      </c>
      <c r="F2314" s="26" t="s">
        <v>1456</v>
      </c>
      <c r="G2314" s="26" t="s">
        <v>978</v>
      </c>
      <c r="H2314" s="33" t="str">
        <f>IF(E2314="Não","Não aplicável",IFERROR(IF(B2314="EU-ENV-002",IF(INDEX(tbl_recyclass[Conforme_PPWR_2030],MATCH(A2314,tbl_recyclass[ProductId],0))="Sim","Conforme (autoavaliação)",IF(INDEX(tbl_recyclass[Conforme_PPWR_2030],MATCH(A2314,tbl_recyclass[ProductId],0))="Não","Não conforme em 2030","Isento até 2035")),IF(B2314="EU-ENV-003",IF(INDEX(tbl_recyclass[Conforme_Art7_2030],MATCH(A2314,tbl_recyclass[ProductId],0))="Sim","Conforme (meta 2030)",IF(INDEX(tbl_recyclass[Conforme_Art7_2030],MATCH(A2314,tbl_recyclass[ProductId],0))="Não","Lacuna face à meta 2030","Isento")),IF(B2314="EU-ENV-011",IF(INDEX(tbl_familias_ppwr[Metais_Pesados_Evidencia],MATCH(INDEX(tbl_recyclass[Familia_PPWR],MATCH(A2314,tbl_recyclass[ProductId],0)),tbl_familias_ppwr[ID_Familia],0))="Em falta","Lacuna","Conforme"),IF(B2314="EU-ENV-013",IF(INDEX(tbl_familias_ppwr[Declaracao_UE],MATCH(INDEX(tbl_recyclass[Familia_PPWR],MATCH(A2314,tbl_recyclass[ProductId],0)),tbl_familias_ppwr[ID_Familia],0))="Sim","Conforme","Lacuna"),G2314)))),G2314))</f>
        <v>Parcial</v>
      </c>
      <c r="I2314" s="33" t="str">
        <f t="shared" si="36"/>
        <v>Parcial</v>
      </c>
      <c r="J2314" s="26" t="s">
        <v>1012</v>
      </c>
    </row>
    <row r="2315" spans="1:10" ht="16.05" customHeight="1" x14ac:dyDescent="0.3">
      <c r="A2315" s="26" t="s">
        <v>856</v>
      </c>
      <c r="B2315" s="26" t="s">
        <v>1016</v>
      </c>
      <c r="C2315" s="33" t="str">
        <f>IFERROR(INDEX(tbl_requisitos_emb[Tema],MATCH(B2315,tbl_requisitos_emb[ID_Req],0)),"")</f>
        <v>Rotulagem</v>
      </c>
      <c r="D2315" s="33" t="str">
        <f>IFERROR(INDEX(tbl_recyclass[Segmento],MATCH(A2315,tbl_recyclass[ProductId],0)),"")</f>
        <v>Farmacêutico</v>
      </c>
      <c r="E2315" s="26" t="s">
        <v>901</v>
      </c>
      <c r="F2315" s="26" t="s">
        <v>1456</v>
      </c>
      <c r="G2315" s="26" t="s">
        <v>990</v>
      </c>
      <c r="H2315" s="33" t="str">
        <f>IF(E2315="Não","Não aplicável",IFERROR(IF(B2315="EU-ENV-002",IF(INDEX(tbl_recyclass[Conforme_PPWR_2030],MATCH(A2315,tbl_recyclass[ProductId],0))="Sim","Conforme (autoavaliação)",IF(INDEX(tbl_recyclass[Conforme_PPWR_2030],MATCH(A2315,tbl_recyclass[ProductId],0))="Não","Não conforme em 2030","Isento até 2035")),IF(B2315="EU-ENV-003",IF(INDEX(tbl_recyclass[Conforme_Art7_2030],MATCH(A2315,tbl_recyclass[ProductId],0))="Sim","Conforme (meta 2030)",IF(INDEX(tbl_recyclass[Conforme_Art7_2030],MATCH(A2315,tbl_recyclass[ProductId],0))="Não","Lacuna face à meta 2030","Isento")),IF(B2315="EU-ENV-011",IF(INDEX(tbl_familias_ppwr[Metais_Pesados_Evidencia],MATCH(INDEX(tbl_recyclass[Familia_PPWR],MATCH(A2315,tbl_recyclass[ProductId],0)),tbl_familias_ppwr[ID_Familia],0))="Em falta","Lacuna","Conforme"),IF(B2315="EU-ENV-013",IF(INDEX(tbl_familias_ppwr[Declaracao_UE],MATCH(INDEX(tbl_recyclass[Familia_PPWR],MATCH(A2315,tbl_recyclass[ProductId],0)),tbl_familias_ppwr[ID_Familia],0))="Sim","Conforme","Lacuna"),G2315)))),G2315))</f>
        <v>Futuro</v>
      </c>
      <c r="I2315" s="33" t="str">
        <f t="shared" si="36"/>
        <v>Futuro</v>
      </c>
      <c r="J2315" s="26" t="s">
        <v>1021</v>
      </c>
    </row>
    <row r="2316" spans="1:10" ht="16.05" customHeight="1" x14ac:dyDescent="0.3">
      <c r="A2316" s="26" t="s">
        <v>856</v>
      </c>
      <c r="B2316" s="26" t="s">
        <v>1038</v>
      </c>
      <c r="C2316" s="33" t="str">
        <f>IFERROR(INDEX(tbl_requisitos_emb[Tema],MATCH(B2316,tbl_requisitos_emb[ID_Req],0)),"")</f>
        <v>Plásticos de utilização única</v>
      </c>
      <c r="D2316" s="33" t="str">
        <f>IFERROR(INDEX(tbl_recyclass[Segmento],MATCH(A2316,tbl_recyclass[ProductId],0)),"")</f>
        <v>Farmacêutico</v>
      </c>
      <c r="E2316" s="26" t="s">
        <v>904</v>
      </c>
      <c r="F2316" s="26" t="s">
        <v>1457</v>
      </c>
      <c r="G2316" s="26" t="s">
        <v>1143</v>
      </c>
      <c r="H2316" s="33" t="str">
        <f>IF(E2316="Não","Não aplicável",IFERROR(IF(B2316="EU-ENV-002",IF(INDEX(tbl_recyclass[Conforme_PPWR_2030],MATCH(A2316,tbl_recyclass[ProductId],0))="Sim","Conforme (autoavaliação)",IF(INDEX(tbl_recyclass[Conforme_PPWR_2030],MATCH(A2316,tbl_recyclass[ProductId],0))="Não","Não conforme em 2030","Isento até 2035")),IF(B2316="EU-ENV-003",IF(INDEX(tbl_recyclass[Conforme_Art7_2030],MATCH(A2316,tbl_recyclass[ProductId],0))="Sim","Conforme (meta 2030)",IF(INDEX(tbl_recyclass[Conforme_Art7_2030],MATCH(A2316,tbl_recyclass[ProductId],0))="Não","Lacuna face à meta 2030","Isento")),IF(B2316="EU-ENV-011",IF(INDEX(tbl_familias_ppwr[Metais_Pesados_Evidencia],MATCH(INDEX(tbl_recyclass[Familia_PPWR],MATCH(A2316,tbl_recyclass[ProductId],0)),tbl_familias_ppwr[ID_Familia],0))="Em falta","Lacuna","Conforme"),IF(B2316="EU-ENV-013",IF(INDEX(tbl_familias_ppwr[Declaracao_UE],MATCH(INDEX(tbl_recyclass[Familia_PPWR],MATCH(A2316,tbl_recyclass[ProductId],0)),tbl_familias_ppwr[ID_Familia],0))="Sim","Conforme","Lacuna"),G2316)))),G2316))</f>
        <v>Não aplicável</v>
      </c>
      <c r="I2316" s="33" t="str">
        <f t="shared" si="36"/>
        <v>Não aplicável</v>
      </c>
      <c r="J2316" s="26"/>
    </row>
    <row r="2317" spans="1:10" ht="16.05" customHeight="1" x14ac:dyDescent="0.3">
      <c r="A2317" s="26" t="s">
        <v>856</v>
      </c>
      <c r="B2317" s="26" t="s">
        <v>1078</v>
      </c>
      <c r="C2317" s="33" t="str">
        <f>IFERROR(INDEX(tbl_requisitos_emb[Tema],MATCH(B2317,tbl_requisitos_emb[ID_Req],0)),"")</f>
        <v>Reciclado à escala</v>
      </c>
      <c r="D2317" s="33" t="str">
        <f>IFERROR(INDEX(tbl_recyclass[Segmento],MATCH(A2317,tbl_recyclass[ProductId],0)),"")</f>
        <v>Farmacêutico</v>
      </c>
      <c r="E2317" s="26" t="s">
        <v>901</v>
      </c>
      <c r="F2317" s="26" t="s">
        <v>1456</v>
      </c>
      <c r="G2317" s="26" t="s">
        <v>990</v>
      </c>
      <c r="H2317" s="33" t="str">
        <f>IF(E2317="Não","Não aplicável",IFERROR(IF(B2317="EU-ENV-002",IF(INDEX(tbl_recyclass[Conforme_PPWR_2030],MATCH(A2317,tbl_recyclass[ProductId],0))="Sim","Conforme (autoavaliação)",IF(INDEX(tbl_recyclass[Conforme_PPWR_2030],MATCH(A2317,tbl_recyclass[ProductId],0))="Não","Não conforme em 2030","Isento até 2035")),IF(B2317="EU-ENV-003",IF(INDEX(tbl_recyclass[Conforme_Art7_2030],MATCH(A2317,tbl_recyclass[ProductId],0))="Sim","Conforme (meta 2030)",IF(INDEX(tbl_recyclass[Conforme_Art7_2030],MATCH(A2317,tbl_recyclass[ProductId],0))="Não","Lacuna face à meta 2030","Isento")),IF(B2317="EU-ENV-011",IF(INDEX(tbl_familias_ppwr[Metais_Pesados_Evidencia],MATCH(INDEX(tbl_recyclass[Familia_PPWR],MATCH(A2317,tbl_recyclass[ProductId],0)),tbl_familias_ppwr[ID_Familia],0))="Em falta","Lacuna","Conforme"),IF(B2317="EU-ENV-013",IF(INDEX(tbl_familias_ppwr[Declaracao_UE],MATCH(INDEX(tbl_recyclass[Familia_PPWR],MATCH(A2317,tbl_recyclass[ProductId],0)),tbl_familias_ppwr[ID_Familia],0))="Sim","Conforme","Lacuna"),G2317)))),G2317))</f>
        <v>Futuro</v>
      </c>
      <c r="I2317" s="33" t="str">
        <f t="shared" si="36"/>
        <v>Futuro</v>
      </c>
      <c r="J2317" s="26" t="s">
        <v>1082</v>
      </c>
    </row>
    <row r="2318" spans="1:10" ht="16.05" customHeight="1" x14ac:dyDescent="0.3">
      <c r="A2318" s="26" t="s">
        <v>856</v>
      </c>
      <c r="B2318" s="26" t="s">
        <v>1086</v>
      </c>
      <c r="C2318" s="33" t="str">
        <f>IFERROR(INDEX(tbl_requisitos_emb[Tema],MATCH(B2318,tbl_requisitos_emb[ID_Req],0)),"")</f>
        <v>Metais pesados</v>
      </c>
      <c r="D2318" s="33" t="str">
        <f>IFERROR(INDEX(tbl_recyclass[Segmento],MATCH(A2318,tbl_recyclass[ProductId],0)),"")</f>
        <v>Farmacêutico</v>
      </c>
      <c r="E2318" s="26" t="s">
        <v>901</v>
      </c>
      <c r="F2318" s="26" t="s">
        <v>1456</v>
      </c>
      <c r="G2318" s="26" t="s">
        <v>978</v>
      </c>
      <c r="H2318" s="33" t="str">
        <f>IF(E2318="Não","Não aplicável",IFERROR(IF(B2318="EU-ENV-002",IF(INDEX(tbl_recyclass[Conforme_PPWR_2030],MATCH(A2318,tbl_recyclass[ProductId],0))="Sim","Conforme (autoavaliação)",IF(INDEX(tbl_recyclass[Conforme_PPWR_2030],MATCH(A2318,tbl_recyclass[ProductId],0))="Não","Não conforme em 2030","Isento até 2035")),IF(B2318="EU-ENV-003",IF(INDEX(tbl_recyclass[Conforme_Art7_2030],MATCH(A2318,tbl_recyclass[ProductId],0))="Sim","Conforme (meta 2030)",IF(INDEX(tbl_recyclass[Conforme_Art7_2030],MATCH(A2318,tbl_recyclass[ProductId],0))="Não","Lacuna face à meta 2030","Isento")),IF(B2318="EU-ENV-011",IF(INDEX(tbl_familias_ppwr[Metais_Pesados_Evidencia],MATCH(INDEX(tbl_recyclass[Familia_PPWR],MATCH(A2318,tbl_recyclass[ProductId],0)),tbl_familias_ppwr[ID_Familia],0))="Em falta","Lacuna","Conforme"),IF(B2318="EU-ENV-013",IF(INDEX(tbl_familias_ppwr[Declaracao_UE],MATCH(INDEX(tbl_recyclass[Familia_PPWR],MATCH(A2318,tbl_recyclass[ProductId],0)),tbl_familias_ppwr[ID_Familia],0))="Sim","Conforme","Lacuna"),G2318)))),G2318))</f>
        <v>Lacuna</v>
      </c>
      <c r="I2318" s="33" t="str">
        <f t="shared" si="36"/>
        <v>Lacuna</v>
      </c>
      <c r="J2318" s="26" t="s">
        <v>1090</v>
      </c>
    </row>
    <row r="2319" spans="1:10" ht="16.05" customHeight="1" x14ac:dyDescent="0.3">
      <c r="A2319" s="26" t="s">
        <v>856</v>
      </c>
      <c r="B2319" s="26" t="s">
        <v>1094</v>
      </c>
      <c r="C2319" s="33" t="str">
        <f>IFERROR(INDEX(tbl_requisitos_emb[Tema],MATCH(B2319,tbl_requisitos_emb[ID_Req],0)),"")</f>
        <v>PFAS</v>
      </c>
      <c r="D2319" s="33" t="str">
        <f>IFERROR(INDEX(tbl_recyclass[Segmento],MATCH(A2319,tbl_recyclass[ProductId],0)),"")</f>
        <v>Farmacêutico</v>
      </c>
      <c r="E2319" s="26" t="s">
        <v>904</v>
      </c>
      <c r="F2319" s="26" t="s">
        <v>1457</v>
      </c>
      <c r="G2319" s="26" t="s">
        <v>1143</v>
      </c>
      <c r="H2319" s="33" t="str">
        <f>IF(E2319="Não","Não aplicável",IFERROR(IF(B2319="EU-ENV-002",IF(INDEX(tbl_recyclass[Conforme_PPWR_2030],MATCH(A2319,tbl_recyclass[ProductId],0))="Sim","Conforme (autoavaliação)",IF(INDEX(tbl_recyclass[Conforme_PPWR_2030],MATCH(A2319,tbl_recyclass[ProductId],0))="Não","Não conforme em 2030","Isento até 2035")),IF(B2319="EU-ENV-003",IF(INDEX(tbl_recyclass[Conforme_Art7_2030],MATCH(A2319,tbl_recyclass[ProductId],0))="Sim","Conforme (meta 2030)",IF(INDEX(tbl_recyclass[Conforme_Art7_2030],MATCH(A2319,tbl_recyclass[ProductId],0))="Não","Lacuna face à meta 2030","Isento")),IF(B2319="EU-ENV-011",IF(INDEX(tbl_familias_ppwr[Metais_Pesados_Evidencia],MATCH(INDEX(tbl_recyclass[Familia_PPWR],MATCH(A2319,tbl_recyclass[ProductId],0)),tbl_familias_ppwr[ID_Familia],0))="Em falta","Lacuna","Conforme"),IF(B2319="EU-ENV-013",IF(INDEX(tbl_familias_ppwr[Declaracao_UE],MATCH(INDEX(tbl_recyclass[Familia_PPWR],MATCH(A2319,tbl_recyclass[ProductId],0)),tbl_familias_ppwr[ID_Familia],0))="Sim","Conforme","Lacuna"),G2319)))),G2319))</f>
        <v>Não aplicável</v>
      </c>
      <c r="I2319" s="33" t="str">
        <f t="shared" si="36"/>
        <v>Não aplicável</v>
      </c>
      <c r="J2319" s="26"/>
    </row>
    <row r="2320" spans="1:10" ht="16.05" customHeight="1" x14ac:dyDescent="0.3">
      <c r="A2320" s="26" t="s">
        <v>856</v>
      </c>
      <c r="B2320" s="26" t="s">
        <v>1102</v>
      </c>
      <c r="C2320" s="33" t="str">
        <f>IFERROR(INDEX(tbl_requisitos_emb[Tema],MATCH(B2320,tbl_requisitos_emb[ID_Req],0)),"")</f>
        <v>Documentação técnica e declaração UE</v>
      </c>
      <c r="D2320" s="33" t="str">
        <f>IFERROR(INDEX(tbl_recyclass[Segmento],MATCH(A2320,tbl_recyclass[ProductId],0)),"")</f>
        <v>Farmacêutico</v>
      </c>
      <c r="E2320" s="26" t="s">
        <v>901</v>
      </c>
      <c r="F2320" s="26" t="s">
        <v>1456</v>
      </c>
      <c r="G2320" s="26" t="s">
        <v>978</v>
      </c>
      <c r="H2320" s="33" t="str">
        <f>IF(E2320="Não","Não aplicável",IFERROR(IF(B2320="EU-ENV-002",IF(INDEX(tbl_recyclass[Conforme_PPWR_2030],MATCH(A2320,tbl_recyclass[ProductId],0))="Sim","Conforme (autoavaliação)",IF(INDEX(tbl_recyclass[Conforme_PPWR_2030],MATCH(A2320,tbl_recyclass[ProductId],0))="Não","Não conforme em 2030","Isento até 2035")),IF(B2320="EU-ENV-003",IF(INDEX(tbl_recyclass[Conforme_Art7_2030],MATCH(A2320,tbl_recyclass[ProductId],0))="Sim","Conforme (meta 2030)",IF(INDEX(tbl_recyclass[Conforme_Art7_2030],MATCH(A2320,tbl_recyclass[ProductId],0))="Não","Lacuna face à meta 2030","Isento")),IF(B2320="EU-ENV-011",IF(INDEX(tbl_familias_ppwr[Metais_Pesados_Evidencia],MATCH(INDEX(tbl_recyclass[Familia_PPWR],MATCH(A2320,tbl_recyclass[ProductId],0)),tbl_familias_ppwr[ID_Familia],0))="Em falta","Lacuna","Conforme"),IF(B2320="EU-ENV-013",IF(INDEX(tbl_familias_ppwr[Declaracao_UE],MATCH(INDEX(tbl_recyclass[Familia_PPWR],MATCH(A2320,tbl_recyclass[ProductId],0)),tbl_familias_ppwr[ID_Familia],0))="Sim","Conforme","Lacuna"),G2320)))),G2320))</f>
        <v>Lacuna</v>
      </c>
      <c r="I2320" s="33" t="str">
        <f t="shared" si="36"/>
        <v>Lacuna</v>
      </c>
      <c r="J2320" s="26" t="s">
        <v>1106</v>
      </c>
    </row>
    <row r="2321" spans="1:10" ht="16.05" customHeight="1" x14ac:dyDescent="0.3">
      <c r="A2321" s="26" t="s">
        <v>856</v>
      </c>
      <c r="B2321" s="26" t="s">
        <v>1161</v>
      </c>
      <c r="C2321" s="33" t="str">
        <f>IFERROR(INDEX(tbl_requisitos_emb[Tema],MATCH(B2321,tbl_requisitos_emb[ID_Req],0)),"")</f>
        <v>Materiais em contacto com alimentos</v>
      </c>
      <c r="D2321" s="33" t="str">
        <f>IFERROR(INDEX(tbl_recyclass[Segmento],MATCH(A2321,tbl_recyclass[ProductId],0)),"")</f>
        <v>Farmacêutico</v>
      </c>
      <c r="E2321" s="26" t="s">
        <v>904</v>
      </c>
      <c r="F2321" s="26" t="s">
        <v>1457</v>
      </c>
      <c r="G2321" s="26" t="s">
        <v>1143</v>
      </c>
      <c r="H2321" s="33" t="str">
        <f>IF(E2321="Não","Não aplicável",IFERROR(IF(B2321="EU-ENV-002",IF(INDEX(tbl_recyclass[Conforme_PPWR_2030],MATCH(A2321,tbl_recyclass[ProductId],0))="Sim","Conforme (autoavaliação)",IF(INDEX(tbl_recyclass[Conforme_PPWR_2030],MATCH(A2321,tbl_recyclass[ProductId],0))="Não","Não conforme em 2030","Isento até 2035")),IF(B2321="EU-ENV-003",IF(INDEX(tbl_recyclass[Conforme_Art7_2030],MATCH(A2321,tbl_recyclass[ProductId],0))="Sim","Conforme (meta 2030)",IF(INDEX(tbl_recyclass[Conforme_Art7_2030],MATCH(A2321,tbl_recyclass[ProductId],0))="Não","Lacuna face à meta 2030","Isento")),IF(B2321="EU-ENV-011",IF(INDEX(tbl_familias_ppwr[Metais_Pesados_Evidencia],MATCH(INDEX(tbl_recyclass[Familia_PPWR],MATCH(A2321,tbl_recyclass[ProductId],0)),tbl_familias_ppwr[ID_Familia],0))="Em falta","Lacuna","Conforme"),IF(B2321="EU-ENV-013",IF(INDEX(tbl_familias_ppwr[Declaracao_UE],MATCH(INDEX(tbl_recyclass[Familia_PPWR],MATCH(A2321,tbl_recyclass[ProductId],0)),tbl_familias_ppwr[ID_Familia],0))="Sim","Conforme","Lacuna"),G2321)))),G2321))</f>
        <v>Não aplicável</v>
      </c>
      <c r="I2321" s="33" t="str">
        <f t="shared" si="36"/>
        <v>Não aplicável</v>
      </c>
      <c r="J2321" s="26"/>
    </row>
    <row r="2322" spans="1:10" ht="16.05" customHeight="1" x14ac:dyDescent="0.3">
      <c r="A2322" s="26" t="s">
        <v>856</v>
      </c>
      <c r="B2322" s="26" t="s">
        <v>1170</v>
      </c>
      <c r="C2322" s="33" t="str">
        <f>IFERROR(INDEX(tbl_requisitos_emb[Tema],MATCH(B2322,tbl_requisitos_emb[ID_Req],0)),"")</f>
        <v>Boas práticas de fabrico FCM</v>
      </c>
      <c r="D2322" s="33" t="str">
        <f>IFERROR(INDEX(tbl_recyclass[Segmento],MATCH(A2322,tbl_recyclass[ProductId],0)),"")</f>
        <v>Farmacêutico</v>
      </c>
      <c r="E2322" s="26" t="s">
        <v>904</v>
      </c>
      <c r="F2322" s="26" t="s">
        <v>1457</v>
      </c>
      <c r="G2322" s="26" t="s">
        <v>1143</v>
      </c>
      <c r="H2322" s="33" t="str">
        <f>IF(E2322="Não","Não aplicável",IFERROR(IF(B2322="EU-ENV-002",IF(INDEX(tbl_recyclass[Conforme_PPWR_2030],MATCH(A2322,tbl_recyclass[ProductId],0))="Sim","Conforme (autoavaliação)",IF(INDEX(tbl_recyclass[Conforme_PPWR_2030],MATCH(A2322,tbl_recyclass[ProductId],0))="Não","Não conforme em 2030","Isento até 2035")),IF(B2322="EU-ENV-003",IF(INDEX(tbl_recyclass[Conforme_Art7_2030],MATCH(A2322,tbl_recyclass[ProductId],0))="Sim","Conforme (meta 2030)",IF(INDEX(tbl_recyclass[Conforme_Art7_2030],MATCH(A2322,tbl_recyclass[ProductId],0))="Não","Lacuna face à meta 2030","Isento")),IF(B2322="EU-ENV-011",IF(INDEX(tbl_familias_ppwr[Metais_Pesados_Evidencia],MATCH(INDEX(tbl_recyclass[Familia_PPWR],MATCH(A2322,tbl_recyclass[ProductId],0)),tbl_familias_ppwr[ID_Familia],0))="Em falta","Lacuna","Conforme"),IF(B2322="EU-ENV-013",IF(INDEX(tbl_familias_ppwr[Declaracao_UE],MATCH(INDEX(tbl_recyclass[Familia_PPWR],MATCH(A2322,tbl_recyclass[ProductId],0)),tbl_familias_ppwr[ID_Familia],0))="Sim","Conforme","Lacuna"),G2322)))),G2322))</f>
        <v>Não aplicável</v>
      </c>
      <c r="I2322" s="33" t="str">
        <f t="shared" si="36"/>
        <v>Não aplicável</v>
      </c>
      <c r="J2322" s="26"/>
    </row>
    <row r="2323" spans="1:10" ht="16.05" customHeight="1" x14ac:dyDescent="0.3">
      <c r="A2323" s="26" t="s">
        <v>856</v>
      </c>
      <c r="B2323" s="26" t="s">
        <v>1179</v>
      </c>
      <c r="C2323" s="33" t="str">
        <f>IFERROR(INDEX(tbl_requisitos_emb[Tema],MATCH(B2323,tbl_requisitos_emb[ID_Req],0)),"")</f>
        <v>Bisfenol A e bisfenóis perigosos</v>
      </c>
      <c r="D2323" s="33" t="str">
        <f>IFERROR(INDEX(tbl_recyclass[Segmento],MATCH(A2323,tbl_recyclass[ProductId],0)),"")</f>
        <v>Farmacêutico</v>
      </c>
      <c r="E2323" s="26" t="s">
        <v>904</v>
      </c>
      <c r="F2323" s="26" t="s">
        <v>1457</v>
      </c>
      <c r="G2323" s="26" t="s">
        <v>1143</v>
      </c>
      <c r="H2323" s="33" t="str">
        <f>IF(E2323="Não","Não aplicável",IFERROR(IF(B2323="EU-ENV-002",IF(INDEX(tbl_recyclass[Conforme_PPWR_2030],MATCH(A2323,tbl_recyclass[ProductId],0))="Sim","Conforme (autoavaliação)",IF(INDEX(tbl_recyclass[Conforme_PPWR_2030],MATCH(A2323,tbl_recyclass[ProductId],0))="Não","Não conforme em 2030","Isento até 2035")),IF(B2323="EU-ENV-003",IF(INDEX(tbl_recyclass[Conforme_Art7_2030],MATCH(A2323,tbl_recyclass[ProductId],0))="Sim","Conforme (meta 2030)",IF(INDEX(tbl_recyclass[Conforme_Art7_2030],MATCH(A2323,tbl_recyclass[ProductId],0))="Não","Lacuna face à meta 2030","Isento")),IF(B2323="EU-ENV-011",IF(INDEX(tbl_familias_ppwr[Metais_Pesados_Evidencia],MATCH(INDEX(tbl_recyclass[Familia_PPWR],MATCH(A2323,tbl_recyclass[ProductId],0)),tbl_familias_ppwr[ID_Familia],0))="Em falta","Lacuna","Conforme"),IF(B2323="EU-ENV-013",IF(INDEX(tbl_familias_ppwr[Declaracao_UE],MATCH(INDEX(tbl_recyclass[Familia_PPWR],MATCH(A2323,tbl_recyclass[ProductId],0)),tbl_familias_ppwr[ID_Familia],0))="Sim","Conforme","Lacuna"),G2323)))),G2323))</f>
        <v>Não aplicável</v>
      </c>
      <c r="I2323" s="33" t="str">
        <f t="shared" si="36"/>
        <v>Não aplicável</v>
      </c>
      <c r="J2323" s="26"/>
    </row>
    <row r="2324" spans="1:10" ht="16.05" customHeight="1" x14ac:dyDescent="0.3">
      <c r="A2324" s="26" t="s">
        <v>856</v>
      </c>
      <c r="B2324" s="26" t="s">
        <v>1188</v>
      </c>
      <c r="C2324" s="33" t="str">
        <f>IFERROR(INDEX(tbl_requisitos_emb[Tema],MATCH(B2324,tbl_requisitos_emb[ID_Req],0)),"")</f>
        <v>Plásticos em contacto com alimentos</v>
      </c>
      <c r="D2324" s="33" t="str">
        <f>IFERROR(INDEX(tbl_recyclass[Segmento],MATCH(A2324,tbl_recyclass[ProductId],0)),"")</f>
        <v>Farmacêutico</v>
      </c>
      <c r="E2324" s="26" t="s">
        <v>904</v>
      </c>
      <c r="F2324" s="26" t="s">
        <v>1457</v>
      </c>
      <c r="G2324" s="26" t="s">
        <v>1143</v>
      </c>
      <c r="H2324" s="33" t="str">
        <f>IF(E2324="Não","Não aplicável",IFERROR(IF(B2324="EU-ENV-002",IF(INDEX(tbl_recyclass[Conforme_PPWR_2030],MATCH(A2324,tbl_recyclass[ProductId],0))="Sim","Conforme (autoavaliação)",IF(INDEX(tbl_recyclass[Conforme_PPWR_2030],MATCH(A2324,tbl_recyclass[ProductId],0))="Não","Não conforme em 2030","Isento até 2035")),IF(B2324="EU-ENV-003",IF(INDEX(tbl_recyclass[Conforme_Art7_2030],MATCH(A2324,tbl_recyclass[ProductId],0))="Sim","Conforme (meta 2030)",IF(INDEX(tbl_recyclass[Conforme_Art7_2030],MATCH(A2324,tbl_recyclass[ProductId],0))="Não","Lacuna face à meta 2030","Isento")),IF(B2324="EU-ENV-011",IF(INDEX(tbl_familias_ppwr[Metais_Pesados_Evidencia],MATCH(INDEX(tbl_recyclass[Familia_PPWR],MATCH(A2324,tbl_recyclass[ProductId],0)),tbl_familias_ppwr[ID_Familia],0))="Em falta","Lacuna","Conforme"),IF(B2324="EU-ENV-013",IF(INDEX(tbl_familias_ppwr[Declaracao_UE],MATCH(INDEX(tbl_recyclass[Familia_PPWR],MATCH(A2324,tbl_recyclass[ProductId],0)),tbl_familias_ppwr[ID_Familia],0))="Sim","Conforme","Lacuna"),G2324)))),G2324))</f>
        <v>Não aplicável</v>
      </c>
      <c r="I2324" s="33" t="str">
        <f t="shared" si="36"/>
        <v>Não aplicável</v>
      </c>
      <c r="J2324" s="26"/>
    </row>
    <row r="2325" spans="1:10" ht="16.05" customHeight="1" x14ac:dyDescent="0.3">
      <c r="A2325" s="26" t="s">
        <v>856</v>
      </c>
      <c r="B2325" s="26" t="s">
        <v>1212</v>
      </c>
      <c r="C2325" s="33" t="str">
        <f>IFERROR(INDEX(tbl_requisitos_emb[Tema],MATCH(B2325,tbl_requisitos_emb[ID_Req],0)),"")</f>
        <v>Segurança do produto cosmético</v>
      </c>
      <c r="D2325" s="33" t="str">
        <f>IFERROR(INDEX(tbl_recyclass[Segmento],MATCH(A2325,tbl_recyclass[ProductId],0)),"")</f>
        <v>Farmacêutico</v>
      </c>
      <c r="E2325" s="26" t="s">
        <v>904</v>
      </c>
      <c r="F2325" s="26" t="s">
        <v>1458</v>
      </c>
      <c r="G2325" s="26" t="s">
        <v>1143</v>
      </c>
      <c r="H2325" s="33" t="str">
        <f>IF(E2325="Não","Não aplicável",IFERROR(IF(B2325="EU-ENV-002",IF(INDEX(tbl_recyclass[Conforme_PPWR_2030],MATCH(A2325,tbl_recyclass[ProductId],0))="Sim","Conforme (autoavaliação)",IF(INDEX(tbl_recyclass[Conforme_PPWR_2030],MATCH(A2325,tbl_recyclass[ProductId],0))="Não","Não conforme em 2030","Isento até 2035")),IF(B2325="EU-ENV-003",IF(INDEX(tbl_recyclass[Conforme_Art7_2030],MATCH(A2325,tbl_recyclass[ProductId],0))="Sim","Conforme (meta 2030)",IF(INDEX(tbl_recyclass[Conforme_Art7_2030],MATCH(A2325,tbl_recyclass[ProductId],0))="Não","Lacuna face à meta 2030","Isento")),IF(B2325="EU-ENV-011",IF(INDEX(tbl_familias_ppwr[Metais_Pesados_Evidencia],MATCH(INDEX(tbl_recyclass[Familia_PPWR],MATCH(A2325,tbl_recyclass[ProductId],0)),tbl_familias_ppwr[ID_Familia],0))="Em falta","Lacuna","Conforme"),IF(B2325="EU-ENV-013",IF(INDEX(tbl_familias_ppwr[Declaracao_UE],MATCH(INDEX(tbl_recyclass[Familia_PPWR],MATCH(A2325,tbl_recyclass[ProductId],0)),tbl_familias_ppwr[ID_Familia],0))="Sim","Conforme","Lacuna"),G2325)))),G2325))</f>
        <v>Não aplicável</v>
      </c>
      <c r="I2325" s="33" t="str">
        <f t="shared" si="36"/>
        <v>Não aplicável</v>
      </c>
      <c r="J2325" s="26"/>
    </row>
    <row r="2326" spans="1:10" ht="16.05" customHeight="1" x14ac:dyDescent="0.3">
      <c r="A2326" s="26" t="s">
        <v>856</v>
      </c>
      <c r="B2326" s="26" t="s">
        <v>1224</v>
      </c>
      <c r="C2326" s="33" t="str">
        <f>IFERROR(INDEX(tbl_requisitos_emb[Tema],MATCH(B2326,tbl_requisitos_emb[ID_Req],0)),"")</f>
        <v>Materiais e impurezas</v>
      </c>
      <c r="D2326" s="33" t="str">
        <f>IFERROR(INDEX(tbl_recyclass[Segmento],MATCH(A2326,tbl_recyclass[ProductId],0)),"")</f>
        <v>Farmacêutico</v>
      </c>
      <c r="E2326" s="26" t="s">
        <v>904</v>
      </c>
      <c r="F2326" s="26" t="s">
        <v>1458</v>
      </c>
      <c r="G2326" s="26" t="s">
        <v>1143</v>
      </c>
      <c r="H2326" s="33" t="str">
        <f>IF(E2326="Não","Não aplicável",IFERROR(IF(B2326="EU-ENV-002",IF(INDEX(tbl_recyclass[Conforme_PPWR_2030],MATCH(A2326,tbl_recyclass[ProductId],0))="Sim","Conforme (autoavaliação)",IF(INDEX(tbl_recyclass[Conforme_PPWR_2030],MATCH(A2326,tbl_recyclass[ProductId],0))="Não","Não conforme em 2030","Isento até 2035")),IF(B2326="EU-ENV-003",IF(INDEX(tbl_recyclass[Conforme_Art7_2030],MATCH(A2326,tbl_recyclass[ProductId],0))="Sim","Conforme (meta 2030)",IF(INDEX(tbl_recyclass[Conforme_Art7_2030],MATCH(A2326,tbl_recyclass[ProductId],0))="Não","Lacuna face à meta 2030","Isento")),IF(B2326="EU-ENV-011",IF(INDEX(tbl_familias_ppwr[Metais_Pesados_Evidencia],MATCH(INDEX(tbl_recyclass[Familia_PPWR],MATCH(A2326,tbl_recyclass[ProductId],0)),tbl_familias_ppwr[ID_Familia],0))="Em falta","Lacuna","Conforme"),IF(B2326="EU-ENV-013",IF(INDEX(tbl_familias_ppwr[Declaracao_UE],MATCH(INDEX(tbl_recyclass[Familia_PPWR],MATCH(A2326,tbl_recyclass[ProductId],0)),tbl_familias_ppwr[ID_Familia],0))="Sim","Conforme","Lacuna"),G2326)))),G2326))</f>
        <v>Não aplicável</v>
      </c>
      <c r="I2326" s="33" t="str">
        <f t="shared" si="36"/>
        <v>Não aplicável</v>
      </c>
      <c r="J2326" s="26"/>
    </row>
    <row r="2327" spans="1:10" ht="16.05" customHeight="1" x14ac:dyDescent="0.3">
      <c r="A2327" s="26" t="s">
        <v>856</v>
      </c>
      <c r="B2327" s="26" t="s">
        <v>1240</v>
      </c>
      <c r="C2327" s="33" t="str">
        <f>IFERROR(INDEX(tbl_requisitos_emb[Tema],MATCH(B2327,tbl_requisitos_emb[ID_Req],0)),"")</f>
        <v>Compatibilidade embalagem–produto</v>
      </c>
      <c r="D2327" s="33" t="str">
        <f>IFERROR(INDEX(tbl_recyclass[Segmento],MATCH(A2327,tbl_recyclass[ProductId],0)),"")</f>
        <v>Farmacêutico</v>
      </c>
      <c r="E2327" s="26" t="s">
        <v>904</v>
      </c>
      <c r="F2327" s="26" t="s">
        <v>1458</v>
      </c>
      <c r="G2327" s="26" t="s">
        <v>1143</v>
      </c>
      <c r="H2327" s="33" t="str">
        <f>IF(E2327="Não","Não aplicável",IFERROR(IF(B2327="EU-ENV-002",IF(INDEX(tbl_recyclass[Conforme_PPWR_2030],MATCH(A2327,tbl_recyclass[ProductId],0))="Sim","Conforme (autoavaliação)",IF(INDEX(tbl_recyclass[Conforme_PPWR_2030],MATCH(A2327,tbl_recyclass[ProductId],0))="Não","Não conforme em 2030","Isento até 2035")),IF(B2327="EU-ENV-003",IF(INDEX(tbl_recyclass[Conforme_Art7_2030],MATCH(A2327,tbl_recyclass[ProductId],0))="Sim","Conforme (meta 2030)",IF(INDEX(tbl_recyclass[Conforme_Art7_2030],MATCH(A2327,tbl_recyclass[ProductId],0))="Não","Lacuna face à meta 2030","Isento")),IF(B2327="EU-ENV-011",IF(INDEX(tbl_familias_ppwr[Metais_Pesados_Evidencia],MATCH(INDEX(tbl_recyclass[Familia_PPWR],MATCH(A2327,tbl_recyclass[ProductId],0)),tbl_familias_ppwr[ID_Familia],0))="Em falta","Lacuna","Conforme"),IF(B2327="EU-ENV-013",IF(INDEX(tbl_familias_ppwr[Declaracao_UE],MATCH(INDEX(tbl_recyclass[Familia_PPWR],MATCH(A2327,tbl_recyclass[ProductId],0)),tbl_familias_ppwr[ID_Familia],0))="Sim","Conforme","Lacuna"),G2327)))),G2327))</f>
        <v>Não aplicável</v>
      </c>
      <c r="I2327" s="33" t="str">
        <f t="shared" si="36"/>
        <v>Não aplicável</v>
      </c>
      <c r="J2327" s="26"/>
    </row>
    <row r="2328" spans="1:10" ht="16.05" customHeight="1" x14ac:dyDescent="0.3">
      <c r="A2328" s="26" t="s">
        <v>856</v>
      </c>
      <c r="B2328" s="26" t="s">
        <v>1252</v>
      </c>
      <c r="C2328" s="33" t="str">
        <f>IFERROR(INDEX(tbl_requisitos_emb[Tema],MATCH(B2328,tbl_requisitos_emb[ID_Req],0)),"")</f>
        <v>Medicamentos de uso humano</v>
      </c>
      <c r="D2328" s="33" t="str">
        <f>IFERROR(INDEX(tbl_recyclass[Segmento],MATCH(A2328,tbl_recyclass[ProductId],0)),"")</f>
        <v>Farmacêutico</v>
      </c>
      <c r="E2328" s="26" t="s">
        <v>901</v>
      </c>
      <c r="F2328" s="26" t="s">
        <v>1456</v>
      </c>
      <c r="G2328" s="26" t="s">
        <v>1033</v>
      </c>
      <c r="H2328" s="33" t="str">
        <f>IF(E2328="Não","Não aplicável",IFERROR(IF(B2328="EU-ENV-002",IF(INDEX(tbl_recyclass[Conforme_PPWR_2030],MATCH(A2328,tbl_recyclass[ProductId],0))="Sim","Conforme (autoavaliação)",IF(INDEX(tbl_recyclass[Conforme_PPWR_2030],MATCH(A2328,tbl_recyclass[ProductId],0))="Não","Não conforme em 2030","Isento até 2035")),IF(B2328="EU-ENV-003",IF(INDEX(tbl_recyclass[Conforme_Art7_2030],MATCH(A2328,tbl_recyclass[ProductId],0))="Sim","Conforme (meta 2030)",IF(INDEX(tbl_recyclass[Conforme_Art7_2030],MATCH(A2328,tbl_recyclass[ProductId],0))="Não","Lacuna face à meta 2030","Isento")),IF(B2328="EU-ENV-011",IF(INDEX(tbl_familias_ppwr[Metais_Pesados_Evidencia],MATCH(INDEX(tbl_recyclass[Familia_PPWR],MATCH(A2328,tbl_recyclass[ProductId],0)),tbl_familias_ppwr[ID_Familia],0))="Em falta","Lacuna","Conforme"),IF(B2328="EU-ENV-013",IF(INDEX(tbl_familias_ppwr[Declaracao_UE],MATCH(INDEX(tbl_recyclass[Familia_PPWR],MATCH(A2328,tbl_recyclass[ProductId],0)),tbl_familias_ppwr[ID_Familia],0))="Sim","Conforme","Lacuna"),G2328)))),G2328))</f>
        <v>Conforme</v>
      </c>
      <c r="I2328" s="33" t="str">
        <f t="shared" si="36"/>
        <v>Conforme</v>
      </c>
      <c r="J2328" s="26" t="s">
        <v>1259</v>
      </c>
    </row>
    <row r="2329" spans="1:10" ht="16.05" customHeight="1" x14ac:dyDescent="0.3">
      <c r="A2329" s="26" t="s">
        <v>856</v>
      </c>
      <c r="B2329" s="26" t="s">
        <v>1268</v>
      </c>
      <c r="C2329" s="33" t="str">
        <f>IFERROR(INDEX(tbl_requisitos_emb[Tema],MATCH(B2329,tbl_requisitos_emb[ID_Req],0)),"")</f>
        <v>Dispositivos de segurança</v>
      </c>
      <c r="D2329" s="33" t="str">
        <f>IFERROR(INDEX(tbl_recyclass[Segmento],MATCH(A2329,tbl_recyclass[ProductId],0)),"")</f>
        <v>Farmacêutico</v>
      </c>
      <c r="E2329" s="26" t="s">
        <v>901</v>
      </c>
      <c r="F2329" s="26" t="s">
        <v>1456</v>
      </c>
      <c r="G2329" s="26" t="s">
        <v>1033</v>
      </c>
      <c r="H2329" s="33" t="str">
        <f>IF(E2329="Não","Não aplicável",IFERROR(IF(B2329="EU-ENV-002",IF(INDEX(tbl_recyclass[Conforme_PPWR_2030],MATCH(A2329,tbl_recyclass[ProductId],0))="Sim","Conforme (autoavaliação)",IF(INDEX(tbl_recyclass[Conforme_PPWR_2030],MATCH(A2329,tbl_recyclass[ProductId],0))="Não","Não conforme em 2030","Isento até 2035")),IF(B2329="EU-ENV-003",IF(INDEX(tbl_recyclass[Conforme_Art7_2030],MATCH(A2329,tbl_recyclass[ProductId],0))="Sim","Conforme (meta 2030)",IF(INDEX(tbl_recyclass[Conforme_Art7_2030],MATCH(A2329,tbl_recyclass[ProductId],0))="Não","Lacuna face à meta 2030","Isento")),IF(B2329="EU-ENV-011",IF(INDEX(tbl_familias_ppwr[Metais_Pesados_Evidencia],MATCH(INDEX(tbl_recyclass[Familia_PPWR],MATCH(A2329,tbl_recyclass[ProductId],0)),tbl_familias_ppwr[ID_Familia],0))="Em falta","Lacuna","Conforme"),IF(B2329="EU-ENV-013",IF(INDEX(tbl_familias_ppwr[Declaracao_UE],MATCH(INDEX(tbl_recyclass[Familia_PPWR],MATCH(A2329,tbl_recyclass[ProductId],0)),tbl_familias_ppwr[ID_Familia],0))="Sim","Conforme","Lacuna"),G2329)))),G2329))</f>
        <v>Conforme</v>
      </c>
      <c r="I2329" s="33" t="str">
        <f t="shared" si="36"/>
        <v>Conforme</v>
      </c>
      <c r="J2329" s="26" t="s">
        <v>1274</v>
      </c>
    </row>
    <row r="2330" spans="1:10" ht="16.05" customHeight="1" x14ac:dyDescent="0.3">
      <c r="A2330" s="26" t="s">
        <v>856</v>
      </c>
      <c r="B2330" s="26" t="s">
        <v>1285</v>
      </c>
      <c r="C2330" s="33" t="str">
        <f>IFERROR(INDEX(tbl_requisitos_emb[Tema],MATCH(B2330,tbl_requisitos_emb[ID_Req],0)),"")</f>
        <v>Materiais plásticos de acondicionamento primário</v>
      </c>
      <c r="D2330" s="33" t="str">
        <f>IFERROR(INDEX(tbl_recyclass[Segmento],MATCH(A2330,tbl_recyclass[ProductId],0)),"")</f>
        <v>Farmacêutico</v>
      </c>
      <c r="E2330" s="26" t="s">
        <v>901</v>
      </c>
      <c r="F2330" s="26" t="s">
        <v>1456</v>
      </c>
      <c r="G2330" s="26" t="s">
        <v>978</v>
      </c>
      <c r="H2330" s="33" t="str">
        <f>IF(E2330="Não","Não aplicável",IFERROR(IF(B2330="EU-ENV-002",IF(INDEX(tbl_recyclass[Conforme_PPWR_2030],MATCH(A2330,tbl_recyclass[ProductId],0))="Sim","Conforme (autoavaliação)",IF(INDEX(tbl_recyclass[Conforme_PPWR_2030],MATCH(A2330,tbl_recyclass[ProductId],0))="Não","Não conforme em 2030","Isento até 2035")),IF(B2330="EU-ENV-003",IF(INDEX(tbl_recyclass[Conforme_Art7_2030],MATCH(A2330,tbl_recyclass[ProductId],0))="Sim","Conforme (meta 2030)",IF(INDEX(tbl_recyclass[Conforme_Art7_2030],MATCH(A2330,tbl_recyclass[ProductId],0))="Não","Lacuna face à meta 2030","Isento")),IF(B2330="EU-ENV-011",IF(INDEX(tbl_familias_ppwr[Metais_Pesados_Evidencia],MATCH(INDEX(tbl_recyclass[Familia_PPWR],MATCH(A2330,tbl_recyclass[ProductId],0)),tbl_familias_ppwr[ID_Familia],0))="Em falta","Lacuna","Conforme"),IF(B2330="EU-ENV-013",IF(INDEX(tbl_familias_ppwr[Declaracao_UE],MATCH(INDEX(tbl_recyclass[Familia_PPWR],MATCH(A2330,tbl_recyclass[ProductId],0)),tbl_familias_ppwr[ID_Familia],0))="Sim","Conforme","Lacuna"),G2330)))),G2330))</f>
        <v>Parcial</v>
      </c>
      <c r="I2330" s="33" t="str">
        <f t="shared" si="36"/>
        <v>Parcial</v>
      </c>
      <c r="J2330" s="26" t="s">
        <v>1290</v>
      </c>
    </row>
    <row r="2331" spans="1:10" ht="16.05" customHeight="1" x14ac:dyDescent="0.3">
      <c r="A2331" s="26" t="s">
        <v>856</v>
      </c>
      <c r="B2331" s="26" t="s">
        <v>1293</v>
      </c>
      <c r="C2331" s="33" t="str">
        <f>IFERROR(INDEX(tbl_requisitos_emb[Tema],MATCH(B2331,tbl_requisitos_emb[ID_Req],0)),"")</f>
        <v>Isenções PPWR</v>
      </c>
      <c r="D2331" s="33" t="str">
        <f>IFERROR(INDEX(tbl_recyclass[Segmento],MATCH(A2331,tbl_recyclass[ProductId],0)),"")</f>
        <v>Farmacêutico</v>
      </c>
      <c r="E2331" s="26" t="s">
        <v>901</v>
      </c>
      <c r="F2331" s="26" t="s">
        <v>1456</v>
      </c>
      <c r="G2331" s="26" t="s">
        <v>978</v>
      </c>
      <c r="H2331" s="33" t="str">
        <f>IF(E2331="Não","Não aplicável",IFERROR(IF(B2331="EU-ENV-002",IF(INDEX(tbl_recyclass[Conforme_PPWR_2030],MATCH(A2331,tbl_recyclass[ProductId],0))="Sim","Conforme (autoavaliação)",IF(INDEX(tbl_recyclass[Conforme_PPWR_2030],MATCH(A2331,tbl_recyclass[ProductId],0))="Não","Não conforme em 2030","Isento até 2035")),IF(B2331="EU-ENV-003",IF(INDEX(tbl_recyclass[Conforme_Art7_2030],MATCH(A2331,tbl_recyclass[ProductId],0))="Sim","Conforme (meta 2030)",IF(INDEX(tbl_recyclass[Conforme_Art7_2030],MATCH(A2331,tbl_recyclass[ProductId],0))="Não","Lacuna face à meta 2030","Isento")),IF(B2331="EU-ENV-011",IF(INDEX(tbl_familias_ppwr[Metais_Pesados_Evidencia],MATCH(INDEX(tbl_recyclass[Familia_PPWR],MATCH(A2331,tbl_recyclass[ProductId],0)),tbl_familias_ppwr[ID_Familia],0))="Em falta","Lacuna","Conforme"),IF(B2331="EU-ENV-013",IF(INDEX(tbl_familias_ppwr[Declaracao_UE],MATCH(INDEX(tbl_recyclass[Familia_PPWR],MATCH(A2331,tbl_recyclass[ProductId],0)),tbl_familias_ppwr[ID_Familia],0))="Sim","Conforme","Lacuna"),G2331)))),G2331))</f>
        <v>Parcial</v>
      </c>
      <c r="I2331" s="33" t="str">
        <f t="shared" si="36"/>
        <v>Parcial</v>
      </c>
      <c r="J2331" s="26" t="s">
        <v>1298</v>
      </c>
    </row>
    <row r="2332" spans="1:10" ht="16.05" customHeight="1" x14ac:dyDescent="0.3">
      <c r="A2332" s="26" t="s">
        <v>856</v>
      </c>
      <c r="B2332" s="26" t="s">
        <v>1357</v>
      </c>
      <c r="C2332" s="33" t="str">
        <f>IFERROR(INDEX(tbl_requisitos_emb[Tema],MATCH(B2332,tbl_requisitos_emb[ID_Req],0)),"")</f>
        <v>Identificação de plásticos</v>
      </c>
      <c r="D2332" s="33" t="str">
        <f>IFERROR(INDEX(tbl_recyclass[Segmento],MATCH(A2332,tbl_recyclass[ProductId],0)),"")</f>
        <v>Farmacêutico</v>
      </c>
      <c r="E2332" s="26" t="s">
        <v>901</v>
      </c>
      <c r="F2332" s="26" t="s">
        <v>1456</v>
      </c>
      <c r="G2332" s="26" t="s">
        <v>978</v>
      </c>
      <c r="H2332" s="33" t="str">
        <f>IF(E2332="Não","Não aplicável",IFERROR(IF(B2332="EU-ENV-002",IF(INDEX(tbl_recyclass[Conforme_PPWR_2030],MATCH(A2332,tbl_recyclass[ProductId],0))="Sim","Conforme (autoavaliação)",IF(INDEX(tbl_recyclass[Conforme_PPWR_2030],MATCH(A2332,tbl_recyclass[ProductId],0))="Não","Não conforme em 2030","Isento até 2035")),IF(B2332="EU-ENV-003",IF(INDEX(tbl_recyclass[Conforme_Art7_2030],MATCH(A2332,tbl_recyclass[ProductId],0))="Sim","Conforme (meta 2030)",IF(INDEX(tbl_recyclass[Conforme_Art7_2030],MATCH(A2332,tbl_recyclass[ProductId],0))="Não","Lacuna face à meta 2030","Isento")),IF(B2332="EU-ENV-011",IF(INDEX(tbl_familias_ppwr[Metais_Pesados_Evidencia],MATCH(INDEX(tbl_recyclass[Familia_PPWR],MATCH(A2332,tbl_recyclass[ProductId],0)),tbl_familias_ppwr[ID_Familia],0))="Em falta","Lacuna","Conforme"),IF(B2332="EU-ENV-013",IF(INDEX(tbl_familias_ppwr[Declaracao_UE],MATCH(INDEX(tbl_recyclass[Familia_PPWR],MATCH(A2332,tbl_recyclass[ProductId],0)),tbl_familias_ppwr[ID_Familia],0))="Sim","Conforme","Lacuna"),G2332)))),G2332))</f>
        <v>Parcial</v>
      </c>
      <c r="I2332" s="33" t="str">
        <f t="shared" si="36"/>
        <v>Parcial</v>
      </c>
      <c r="J2332" s="26" t="s">
        <v>1362</v>
      </c>
    </row>
    <row r="2333" spans="1:10" ht="16.05" customHeight="1" x14ac:dyDescent="0.3">
      <c r="A2333" s="26" t="s">
        <v>856</v>
      </c>
      <c r="B2333" s="26" t="s">
        <v>1385</v>
      </c>
      <c r="C2333" s="33" t="str">
        <f>IFERROR(INDEX(tbl_requisitos_emb[Tema],MATCH(B2333,tbl_requisitos_emb[ID_Req],0)),"")</f>
        <v>Reciclabilidade (voluntária)</v>
      </c>
      <c r="D2333" s="33" t="str">
        <f>IFERROR(INDEX(tbl_recyclass[Segmento],MATCH(A2333,tbl_recyclass[ProductId],0)),"")</f>
        <v>Farmacêutico</v>
      </c>
      <c r="E2333" s="26" t="s">
        <v>901</v>
      </c>
      <c r="F2333" s="26" t="s">
        <v>1456</v>
      </c>
      <c r="G2333" s="26" t="s">
        <v>978</v>
      </c>
      <c r="H2333" s="33" t="str">
        <f>IF(E2333="Não","Não aplicável",IFERROR(IF(B2333="EU-ENV-002",IF(INDEX(tbl_recyclass[Conforme_PPWR_2030],MATCH(A2333,tbl_recyclass[ProductId],0))="Sim","Conforme (autoavaliação)",IF(INDEX(tbl_recyclass[Conforme_PPWR_2030],MATCH(A2333,tbl_recyclass[ProductId],0))="Não","Não conforme em 2030","Isento até 2035")),IF(B2333="EU-ENV-003",IF(INDEX(tbl_recyclass[Conforme_Art7_2030],MATCH(A2333,tbl_recyclass[ProductId],0))="Sim","Conforme (meta 2030)",IF(INDEX(tbl_recyclass[Conforme_Art7_2030],MATCH(A2333,tbl_recyclass[ProductId],0))="Não","Lacuna face à meta 2030","Isento")),IF(B2333="EU-ENV-011",IF(INDEX(tbl_familias_ppwr[Metais_Pesados_Evidencia],MATCH(INDEX(tbl_recyclass[Familia_PPWR],MATCH(A2333,tbl_recyclass[ProductId],0)),tbl_familias_ppwr[ID_Familia],0))="Em falta","Lacuna","Conforme"),IF(B2333="EU-ENV-013",IF(INDEX(tbl_familias_ppwr[Declaracao_UE],MATCH(INDEX(tbl_recyclass[Familia_PPWR],MATCH(A2333,tbl_recyclass[ProductId],0)),tbl_familias_ppwr[ID_Familia],0))="Sim","Conforme","Lacuna"),G2333)))),G2333))</f>
        <v>Parcial</v>
      </c>
      <c r="I2333" s="33" t="str">
        <f t="shared" si="36"/>
        <v>Parcial</v>
      </c>
      <c r="J2333" s="26" t="s">
        <v>1389</v>
      </c>
    </row>
    <row r="2334" spans="1:10" ht="16.05" customHeight="1" x14ac:dyDescent="0.3">
      <c r="A2334" s="26" t="s">
        <v>863</v>
      </c>
      <c r="B2334" s="26" t="s">
        <v>984</v>
      </c>
      <c r="C2334" s="33" t="str">
        <f>IFERROR(INDEX(tbl_requisitos_emb[Tema],MATCH(B2334,tbl_requisitos_emb[ID_Req],0)),"")</f>
        <v>Conceção para reciclagem</v>
      </c>
      <c r="D2334" s="33" t="str">
        <f>IFERROR(INDEX(tbl_recyclass[Segmento],MATCH(A2334,tbl_recyclass[ProductId],0)),"")</f>
        <v>Farmacêutico</v>
      </c>
      <c r="E2334" s="26" t="s">
        <v>901</v>
      </c>
      <c r="F2334" s="26" t="s">
        <v>1456</v>
      </c>
      <c r="G2334" s="26" t="s">
        <v>978</v>
      </c>
      <c r="H2334" s="33" t="str">
        <f>IF(E2334="Não","Não aplicável",IFERROR(IF(B2334="EU-ENV-002",IF(INDEX(tbl_recyclass[Conforme_PPWR_2030],MATCH(A2334,tbl_recyclass[ProductId],0))="Sim","Conforme (autoavaliação)",IF(INDEX(tbl_recyclass[Conforme_PPWR_2030],MATCH(A2334,tbl_recyclass[ProductId],0))="Não","Não conforme em 2030","Isento até 2035")),IF(B2334="EU-ENV-003",IF(INDEX(tbl_recyclass[Conforme_Art7_2030],MATCH(A2334,tbl_recyclass[ProductId],0))="Sim","Conforme (meta 2030)",IF(INDEX(tbl_recyclass[Conforme_Art7_2030],MATCH(A2334,tbl_recyclass[ProductId],0))="Não","Lacuna face à meta 2030","Isento")),IF(B2334="EU-ENV-011",IF(INDEX(tbl_familias_ppwr[Metais_Pesados_Evidencia],MATCH(INDEX(tbl_recyclass[Familia_PPWR],MATCH(A2334,tbl_recyclass[ProductId],0)),tbl_familias_ppwr[ID_Familia],0))="Em falta","Lacuna","Conforme"),IF(B2334="EU-ENV-013",IF(INDEX(tbl_familias_ppwr[Declaracao_UE],MATCH(INDEX(tbl_recyclass[Familia_PPWR],MATCH(A2334,tbl_recyclass[ProductId],0)),tbl_familias_ppwr[ID_Familia],0))="Sim","Conforme","Lacuna"),G2334)))),G2334))</f>
        <v>Isento até 2035</v>
      </c>
      <c r="I2334" s="33" t="str">
        <f t="shared" si="36"/>
        <v>Isento</v>
      </c>
      <c r="J2334" s="26" t="s">
        <v>991</v>
      </c>
    </row>
    <row r="2335" spans="1:10" ht="16.05" customHeight="1" x14ac:dyDescent="0.3">
      <c r="A2335" s="26" t="s">
        <v>863</v>
      </c>
      <c r="B2335" s="26" t="s">
        <v>997</v>
      </c>
      <c r="C2335" s="33" t="str">
        <f>IFERROR(INDEX(tbl_requisitos_emb[Tema],MATCH(B2335,tbl_requisitos_emb[ID_Req],0)),"")</f>
        <v>Conteúdo reciclado</v>
      </c>
      <c r="D2335" s="33" t="str">
        <f>IFERROR(INDEX(tbl_recyclass[Segmento],MATCH(A2335,tbl_recyclass[ProductId],0)),"")</f>
        <v>Farmacêutico</v>
      </c>
      <c r="E2335" s="26" t="s">
        <v>901</v>
      </c>
      <c r="F2335" s="26" t="s">
        <v>1456</v>
      </c>
      <c r="G2335" s="26" t="s">
        <v>978</v>
      </c>
      <c r="H2335" s="33" t="str">
        <f>IF(E2335="Não","Não aplicável",IFERROR(IF(B2335="EU-ENV-002",IF(INDEX(tbl_recyclass[Conforme_PPWR_2030],MATCH(A2335,tbl_recyclass[ProductId],0))="Sim","Conforme (autoavaliação)",IF(INDEX(tbl_recyclass[Conforme_PPWR_2030],MATCH(A2335,tbl_recyclass[ProductId],0))="Não","Não conforme em 2030","Isento até 2035")),IF(B2335="EU-ENV-003",IF(INDEX(tbl_recyclass[Conforme_Art7_2030],MATCH(A2335,tbl_recyclass[ProductId],0))="Sim","Conforme (meta 2030)",IF(INDEX(tbl_recyclass[Conforme_Art7_2030],MATCH(A2335,tbl_recyclass[ProductId],0))="Não","Lacuna face à meta 2030","Isento")),IF(B2335="EU-ENV-011",IF(INDEX(tbl_familias_ppwr[Metais_Pesados_Evidencia],MATCH(INDEX(tbl_recyclass[Familia_PPWR],MATCH(A2335,tbl_recyclass[ProductId],0)),tbl_familias_ppwr[ID_Familia],0))="Em falta","Lacuna","Conforme"),IF(B2335="EU-ENV-013",IF(INDEX(tbl_familias_ppwr[Declaracao_UE],MATCH(INDEX(tbl_recyclass[Familia_PPWR],MATCH(A2335,tbl_recyclass[ProductId],0)),tbl_familias_ppwr[ID_Familia],0))="Sim","Conforme","Lacuna"),G2335)))),G2335))</f>
        <v>Isento</v>
      </c>
      <c r="I2335" s="33" t="str">
        <f t="shared" si="36"/>
        <v>Isento</v>
      </c>
      <c r="J2335" s="26" t="s">
        <v>1001</v>
      </c>
    </row>
    <row r="2336" spans="1:10" ht="16.05" customHeight="1" x14ac:dyDescent="0.3">
      <c r="A2336" s="26" t="s">
        <v>863</v>
      </c>
      <c r="B2336" s="26" t="s">
        <v>1007</v>
      </c>
      <c r="C2336" s="33" t="str">
        <f>IFERROR(INDEX(tbl_requisitos_emb[Tema],MATCH(B2336,tbl_requisitos_emb[ID_Req],0)),"")</f>
        <v>Minimização</v>
      </c>
      <c r="D2336" s="33" t="str">
        <f>IFERROR(INDEX(tbl_recyclass[Segmento],MATCH(A2336,tbl_recyclass[ProductId],0)),"")</f>
        <v>Farmacêutico</v>
      </c>
      <c r="E2336" s="26" t="s">
        <v>901</v>
      </c>
      <c r="F2336" s="26" t="s">
        <v>1456</v>
      </c>
      <c r="G2336" s="26" t="s">
        <v>978</v>
      </c>
      <c r="H2336" s="33" t="str">
        <f>IF(E2336="Não","Não aplicável",IFERROR(IF(B2336="EU-ENV-002",IF(INDEX(tbl_recyclass[Conforme_PPWR_2030],MATCH(A2336,tbl_recyclass[ProductId],0))="Sim","Conforme (autoavaliação)",IF(INDEX(tbl_recyclass[Conforme_PPWR_2030],MATCH(A2336,tbl_recyclass[ProductId],0))="Não","Não conforme em 2030","Isento até 2035")),IF(B2336="EU-ENV-003",IF(INDEX(tbl_recyclass[Conforme_Art7_2030],MATCH(A2336,tbl_recyclass[ProductId],0))="Sim","Conforme (meta 2030)",IF(INDEX(tbl_recyclass[Conforme_Art7_2030],MATCH(A2336,tbl_recyclass[ProductId],0))="Não","Lacuna face à meta 2030","Isento")),IF(B2336="EU-ENV-011",IF(INDEX(tbl_familias_ppwr[Metais_Pesados_Evidencia],MATCH(INDEX(tbl_recyclass[Familia_PPWR],MATCH(A2336,tbl_recyclass[ProductId],0)),tbl_familias_ppwr[ID_Familia],0))="Em falta","Lacuna","Conforme"),IF(B2336="EU-ENV-013",IF(INDEX(tbl_familias_ppwr[Declaracao_UE],MATCH(INDEX(tbl_recyclass[Familia_PPWR],MATCH(A2336,tbl_recyclass[ProductId],0)),tbl_familias_ppwr[ID_Familia],0))="Sim","Conforme","Lacuna"),G2336)))),G2336))</f>
        <v>Parcial</v>
      </c>
      <c r="I2336" s="33" t="str">
        <f t="shared" si="36"/>
        <v>Parcial</v>
      </c>
      <c r="J2336" s="26" t="s">
        <v>1012</v>
      </c>
    </row>
    <row r="2337" spans="1:10" ht="16.05" customHeight="1" x14ac:dyDescent="0.3">
      <c r="A2337" s="26" t="s">
        <v>863</v>
      </c>
      <c r="B2337" s="26" t="s">
        <v>1016</v>
      </c>
      <c r="C2337" s="33" t="str">
        <f>IFERROR(INDEX(tbl_requisitos_emb[Tema],MATCH(B2337,tbl_requisitos_emb[ID_Req],0)),"")</f>
        <v>Rotulagem</v>
      </c>
      <c r="D2337" s="33" t="str">
        <f>IFERROR(INDEX(tbl_recyclass[Segmento],MATCH(A2337,tbl_recyclass[ProductId],0)),"")</f>
        <v>Farmacêutico</v>
      </c>
      <c r="E2337" s="26" t="s">
        <v>901</v>
      </c>
      <c r="F2337" s="26" t="s">
        <v>1456</v>
      </c>
      <c r="G2337" s="26" t="s">
        <v>990</v>
      </c>
      <c r="H2337" s="33" t="str">
        <f>IF(E2337="Não","Não aplicável",IFERROR(IF(B2337="EU-ENV-002",IF(INDEX(tbl_recyclass[Conforme_PPWR_2030],MATCH(A2337,tbl_recyclass[ProductId],0))="Sim","Conforme (autoavaliação)",IF(INDEX(tbl_recyclass[Conforme_PPWR_2030],MATCH(A2337,tbl_recyclass[ProductId],0))="Não","Não conforme em 2030","Isento até 2035")),IF(B2337="EU-ENV-003",IF(INDEX(tbl_recyclass[Conforme_Art7_2030],MATCH(A2337,tbl_recyclass[ProductId],0))="Sim","Conforme (meta 2030)",IF(INDEX(tbl_recyclass[Conforme_Art7_2030],MATCH(A2337,tbl_recyclass[ProductId],0))="Não","Lacuna face à meta 2030","Isento")),IF(B2337="EU-ENV-011",IF(INDEX(tbl_familias_ppwr[Metais_Pesados_Evidencia],MATCH(INDEX(tbl_recyclass[Familia_PPWR],MATCH(A2337,tbl_recyclass[ProductId],0)),tbl_familias_ppwr[ID_Familia],0))="Em falta","Lacuna","Conforme"),IF(B2337="EU-ENV-013",IF(INDEX(tbl_familias_ppwr[Declaracao_UE],MATCH(INDEX(tbl_recyclass[Familia_PPWR],MATCH(A2337,tbl_recyclass[ProductId],0)),tbl_familias_ppwr[ID_Familia],0))="Sim","Conforme","Lacuna"),G2337)))),G2337))</f>
        <v>Futuro</v>
      </c>
      <c r="I2337" s="33" t="str">
        <f t="shared" si="36"/>
        <v>Futuro</v>
      </c>
      <c r="J2337" s="26" t="s">
        <v>1021</v>
      </c>
    </row>
    <row r="2338" spans="1:10" ht="16.05" customHeight="1" x14ac:dyDescent="0.3">
      <c r="A2338" s="26" t="s">
        <v>863</v>
      </c>
      <c r="B2338" s="26" t="s">
        <v>1038</v>
      </c>
      <c r="C2338" s="33" t="str">
        <f>IFERROR(INDEX(tbl_requisitos_emb[Tema],MATCH(B2338,tbl_requisitos_emb[ID_Req],0)),"")</f>
        <v>Plásticos de utilização única</v>
      </c>
      <c r="D2338" s="33" t="str">
        <f>IFERROR(INDEX(tbl_recyclass[Segmento],MATCH(A2338,tbl_recyclass[ProductId],0)),"")</f>
        <v>Farmacêutico</v>
      </c>
      <c r="E2338" s="26" t="s">
        <v>904</v>
      </c>
      <c r="F2338" s="26" t="s">
        <v>1457</v>
      </c>
      <c r="G2338" s="26" t="s">
        <v>1143</v>
      </c>
      <c r="H2338" s="33" t="str">
        <f>IF(E2338="Não","Não aplicável",IFERROR(IF(B2338="EU-ENV-002",IF(INDEX(tbl_recyclass[Conforme_PPWR_2030],MATCH(A2338,tbl_recyclass[ProductId],0))="Sim","Conforme (autoavaliação)",IF(INDEX(tbl_recyclass[Conforme_PPWR_2030],MATCH(A2338,tbl_recyclass[ProductId],0))="Não","Não conforme em 2030","Isento até 2035")),IF(B2338="EU-ENV-003",IF(INDEX(tbl_recyclass[Conforme_Art7_2030],MATCH(A2338,tbl_recyclass[ProductId],0))="Sim","Conforme (meta 2030)",IF(INDEX(tbl_recyclass[Conforme_Art7_2030],MATCH(A2338,tbl_recyclass[ProductId],0))="Não","Lacuna face à meta 2030","Isento")),IF(B2338="EU-ENV-011",IF(INDEX(tbl_familias_ppwr[Metais_Pesados_Evidencia],MATCH(INDEX(tbl_recyclass[Familia_PPWR],MATCH(A2338,tbl_recyclass[ProductId],0)),tbl_familias_ppwr[ID_Familia],0))="Em falta","Lacuna","Conforme"),IF(B2338="EU-ENV-013",IF(INDEX(tbl_familias_ppwr[Declaracao_UE],MATCH(INDEX(tbl_recyclass[Familia_PPWR],MATCH(A2338,tbl_recyclass[ProductId],0)),tbl_familias_ppwr[ID_Familia],0))="Sim","Conforme","Lacuna"),G2338)))),G2338))</f>
        <v>Não aplicável</v>
      </c>
      <c r="I2338" s="33" t="str">
        <f t="shared" si="36"/>
        <v>Não aplicável</v>
      </c>
      <c r="J2338" s="26"/>
    </row>
    <row r="2339" spans="1:10" ht="16.05" customHeight="1" x14ac:dyDescent="0.3">
      <c r="A2339" s="26" t="s">
        <v>863</v>
      </c>
      <c r="B2339" s="26" t="s">
        <v>1078</v>
      </c>
      <c r="C2339" s="33" t="str">
        <f>IFERROR(INDEX(tbl_requisitos_emb[Tema],MATCH(B2339,tbl_requisitos_emb[ID_Req],0)),"")</f>
        <v>Reciclado à escala</v>
      </c>
      <c r="D2339" s="33" t="str">
        <f>IFERROR(INDEX(tbl_recyclass[Segmento],MATCH(A2339,tbl_recyclass[ProductId],0)),"")</f>
        <v>Farmacêutico</v>
      </c>
      <c r="E2339" s="26" t="s">
        <v>901</v>
      </c>
      <c r="F2339" s="26" t="s">
        <v>1456</v>
      </c>
      <c r="G2339" s="26" t="s">
        <v>990</v>
      </c>
      <c r="H2339" s="33" t="str">
        <f>IF(E2339="Não","Não aplicável",IFERROR(IF(B2339="EU-ENV-002",IF(INDEX(tbl_recyclass[Conforme_PPWR_2030],MATCH(A2339,tbl_recyclass[ProductId],0))="Sim","Conforme (autoavaliação)",IF(INDEX(tbl_recyclass[Conforme_PPWR_2030],MATCH(A2339,tbl_recyclass[ProductId],0))="Não","Não conforme em 2030","Isento até 2035")),IF(B2339="EU-ENV-003",IF(INDEX(tbl_recyclass[Conforme_Art7_2030],MATCH(A2339,tbl_recyclass[ProductId],0))="Sim","Conforme (meta 2030)",IF(INDEX(tbl_recyclass[Conforme_Art7_2030],MATCH(A2339,tbl_recyclass[ProductId],0))="Não","Lacuna face à meta 2030","Isento")),IF(B2339="EU-ENV-011",IF(INDEX(tbl_familias_ppwr[Metais_Pesados_Evidencia],MATCH(INDEX(tbl_recyclass[Familia_PPWR],MATCH(A2339,tbl_recyclass[ProductId],0)),tbl_familias_ppwr[ID_Familia],0))="Em falta","Lacuna","Conforme"),IF(B2339="EU-ENV-013",IF(INDEX(tbl_familias_ppwr[Declaracao_UE],MATCH(INDEX(tbl_recyclass[Familia_PPWR],MATCH(A2339,tbl_recyclass[ProductId],0)),tbl_familias_ppwr[ID_Familia],0))="Sim","Conforme","Lacuna"),G2339)))),G2339))</f>
        <v>Futuro</v>
      </c>
      <c r="I2339" s="33" t="str">
        <f t="shared" si="36"/>
        <v>Futuro</v>
      </c>
      <c r="J2339" s="26" t="s">
        <v>1082</v>
      </c>
    </row>
    <row r="2340" spans="1:10" ht="16.05" customHeight="1" x14ac:dyDescent="0.3">
      <c r="A2340" s="26" t="s">
        <v>863</v>
      </c>
      <c r="B2340" s="26" t="s">
        <v>1086</v>
      </c>
      <c r="C2340" s="33" t="str">
        <f>IFERROR(INDEX(tbl_requisitos_emb[Tema],MATCH(B2340,tbl_requisitos_emb[ID_Req],0)),"")</f>
        <v>Metais pesados</v>
      </c>
      <c r="D2340" s="33" t="str">
        <f>IFERROR(INDEX(tbl_recyclass[Segmento],MATCH(A2340,tbl_recyclass[ProductId],0)),"")</f>
        <v>Farmacêutico</v>
      </c>
      <c r="E2340" s="26" t="s">
        <v>901</v>
      </c>
      <c r="F2340" s="26" t="s">
        <v>1456</v>
      </c>
      <c r="G2340" s="26" t="s">
        <v>978</v>
      </c>
      <c r="H2340" s="33" t="str">
        <f>IF(E2340="Não","Não aplicável",IFERROR(IF(B2340="EU-ENV-002",IF(INDEX(tbl_recyclass[Conforme_PPWR_2030],MATCH(A2340,tbl_recyclass[ProductId],0))="Sim","Conforme (autoavaliação)",IF(INDEX(tbl_recyclass[Conforme_PPWR_2030],MATCH(A2340,tbl_recyclass[ProductId],0))="Não","Não conforme em 2030","Isento até 2035")),IF(B2340="EU-ENV-003",IF(INDEX(tbl_recyclass[Conforme_Art7_2030],MATCH(A2340,tbl_recyclass[ProductId],0))="Sim","Conforme (meta 2030)",IF(INDEX(tbl_recyclass[Conforme_Art7_2030],MATCH(A2340,tbl_recyclass[ProductId],0))="Não","Lacuna face à meta 2030","Isento")),IF(B2340="EU-ENV-011",IF(INDEX(tbl_familias_ppwr[Metais_Pesados_Evidencia],MATCH(INDEX(tbl_recyclass[Familia_PPWR],MATCH(A2340,tbl_recyclass[ProductId],0)),tbl_familias_ppwr[ID_Familia],0))="Em falta","Lacuna","Conforme"),IF(B2340="EU-ENV-013",IF(INDEX(tbl_familias_ppwr[Declaracao_UE],MATCH(INDEX(tbl_recyclass[Familia_PPWR],MATCH(A2340,tbl_recyclass[ProductId],0)),tbl_familias_ppwr[ID_Familia],0))="Sim","Conforme","Lacuna"),G2340)))),G2340))</f>
        <v>Lacuna</v>
      </c>
      <c r="I2340" s="33" t="str">
        <f t="shared" si="36"/>
        <v>Lacuna</v>
      </c>
      <c r="J2340" s="26" t="s">
        <v>1090</v>
      </c>
    </row>
    <row r="2341" spans="1:10" ht="16.05" customHeight="1" x14ac:dyDescent="0.3">
      <c r="A2341" s="26" t="s">
        <v>863</v>
      </c>
      <c r="B2341" s="26" t="s">
        <v>1094</v>
      </c>
      <c r="C2341" s="33" t="str">
        <f>IFERROR(INDEX(tbl_requisitos_emb[Tema],MATCH(B2341,tbl_requisitos_emb[ID_Req],0)),"")</f>
        <v>PFAS</v>
      </c>
      <c r="D2341" s="33" t="str">
        <f>IFERROR(INDEX(tbl_recyclass[Segmento],MATCH(A2341,tbl_recyclass[ProductId],0)),"")</f>
        <v>Farmacêutico</v>
      </c>
      <c r="E2341" s="26" t="s">
        <v>904</v>
      </c>
      <c r="F2341" s="26" t="s">
        <v>1457</v>
      </c>
      <c r="G2341" s="26" t="s">
        <v>1143</v>
      </c>
      <c r="H2341" s="33" t="str">
        <f>IF(E2341="Não","Não aplicável",IFERROR(IF(B2341="EU-ENV-002",IF(INDEX(tbl_recyclass[Conforme_PPWR_2030],MATCH(A2341,tbl_recyclass[ProductId],0))="Sim","Conforme (autoavaliação)",IF(INDEX(tbl_recyclass[Conforme_PPWR_2030],MATCH(A2341,tbl_recyclass[ProductId],0))="Não","Não conforme em 2030","Isento até 2035")),IF(B2341="EU-ENV-003",IF(INDEX(tbl_recyclass[Conforme_Art7_2030],MATCH(A2341,tbl_recyclass[ProductId],0))="Sim","Conforme (meta 2030)",IF(INDEX(tbl_recyclass[Conforme_Art7_2030],MATCH(A2341,tbl_recyclass[ProductId],0))="Não","Lacuna face à meta 2030","Isento")),IF(B2341="EU-ENV-011",IF(INDEX(tbl_familias_ppwr[Metais_Pesados_Evidencia],MATCH(INDEX(tbl_recyclass[Familia_PPWR],MATCH(A2341,tbl_recyclass[ProductId],0)),tbl_familias_ppwr[ID_Familia],0))="Em falta","Lacuna","Conforme"),IF(B2341="EU-ENV-013",IF(INDEX(tbl_familias_ppwr[Declaracao_UE],MATCH(INDEX(tbl_recyclass[Familia_PPWR],MATCH(A2341,tbl_recyclass[ProductId],0)),tbl_familias_ppwr[ID_Familia],0))="Sim","Conforme","Lacuna"),G2341)))),G2341))</f>
        <v>Não aplicável</v>
      </c>
      <c r="I2341" s="33" t="str">
        <f t="shared" si="36"/>
        <v>Não aplicável</v>
      </c>
      <c r="J2341" s="26"/>
    </row>
    <row r="2342" spans="1:10" ht="16.05" customHeight="1" x14ac:dyDescent="0.3">
      <c r="A2342" s="26" t="s">
        <v>863</v>
      </c>
      <c r="B2342" s="26" t="s">
        <v>1102</v>
      </c>
      <c r="C2342" s="33" t="str">
        <f>IFERROR(INDEX(tbl_requisitos_emb[Tema],MATCH(B2342,tbl_requisitos_emb[ID_Req],0)),"")</f>
        <v>Documentação técnica e declaração UE</v>
      </c>
      <c r="D2342" s="33" t="str">
        <f>IFERROR(INDEX(tbl_recyclass[Segmento],MATCH(A2342,tbl_recyclass[ProductId],0)),"")</f>
        <v>Farmacêutico</v>
      </c>
      <c r="E2342" s="26" t="s">
        <v>901</v>
      </c>
      <c r="F2342" s="26" t="s">
        <v>1456</v>
      </c>
      <c r="G2342" s="26" t="s">
        <v>978</v>
      </c>
      <c r="H2342" s="33" t="str">
        <f>IF(E2342="Não","Não aplicável",IFERROR(IF(B2342="EU-ENV-002",IF(INDEX(tbl_recyclass[Conforme_PPWR_2030],MATCH(A2342,tbl_recyclass[ProductId],0))="Sim","Conforme (autoavaliação)",IF(INDEX(tbl_recyclass[Conforme_PPWR_2030],MATCH(A2342,tbl_recyclass[ProductId],0))="Não","Não conforme em 2030","Isento até 2035")),IF(B2342="EU-ENV-003",IF(INDEX(tbl_recyclass[Conforme_Art7_2030],MATCH(A2342,tbl_recyclass[ProductId],0))="Sim","Conforme (meta 2030)",IF(INDEX(tbl_recyclass[Conforme_Art7_2030],MATCH(A2342,tbl_recyclass[ProductId],0))="Não","Lacuna face à meta 2030","Isento")),IF(B2342="EU-ENV-011",IF(INDEX(tbl_familias_ppwr[Metais_Pesados_Evidencia],MATCH(INDEX(tbl_recyclass[Familia_PPWR],MATCH(A2342,tbl_recyclass[ProductId],0)),tbl_familias_ppwr[ID_Familia],0))="Em falta","Lacuna","Conforme"),IF(B2342="EU-ENV-013",IF(INDEX(tbl_familias_ppwr[Declaracao_UE],MATCH(INDEX(tbl_recyclass[Familia_PPWR],MATCH(A2342,tbl_recyclass[ProductId],0)),tbl_familias_ppwr[ID_Familia],0))="Sim","Conforme","Lacuna"),G2342)))),G2342))</f>
        <v>Lacuna</v>
      </c>
      <c r="I2342" s="33" t="str">
        <f t="shared" si="36"/>
        <v>Lacuna</v>
      </c>
      <c r="J2342" s="26" t="s">
        <v>1106</v>
      </c>
    </row>
    <row r="2343" spans="1:10" ht="16.05" customHeight="1" x14ac:dyDescent="0.3">
      <c r="A2343" s="26" t="s">
        <v>863</v>
      </c>
      <c r="B2343" s="26" t="s">
        <v>1161</v>
      </c>
      <c r="C2343" s="33" t="str">
        <f>IFERROR(INDEX(tbl_requisitos_emb[Tema],MATCH(B2343,tbl_requisitos_emb[ID_Req],0)),"")</f>
        <v>Materiais em contacto com alimentos</v>
      </c>
      <c r="D2343" s="33" t="str">
        <f>IFERROR(INDEX(tbl_recyclass[Segmento],MATCH(A2343,tbl_recyclass[ProductId],0)),"")</f>
        <v>Farmacêutico</v>
      </c>
      <c r="E2343" s="26" t="s">
        <v>904</v>
      </c>
      <c r="F2343" s="26" t="s">
        <v>1457</v>
      </c>
      <c r="G2343" s="26" t="s">
        <v>1143</v>
      </c>
      <c r="H2343" s="33" t="str">
        <f>IF(E2343="Não","Não aplicável",IFERROR(IF(B2343="EU-ENV-002",IF(INDEX(tbl_recyclass[Conforme_PPWR_2030],MATCH(A2343,tbl_recyclass[ProductId],0))="Sim","Conforme (autoavaliação)",IF(INDEX(tbl_recyclass[Conforme_PPWR_2030],MATCH(A2343,tbl_recyclass[ProductId],0))="Não","Não conforme em 2030","Isento até 2035")),IF(B2343="EU-ENV-003",IF(INDEX(tbl_recyclass[Conforme_Art7_2030],MATCH(A2343,tbl_recyclass[ProductId],0))="Sim","Conforme (meta 2030)",IF(INDEX(tbl_recyclass[Conforme_Art7_2030],MATCH(A2343,tbl_recyclass[ProductId],0))="Não","Lacuna face à meta 2030","Isento")),IF(B2343="EU-ENV-011",IF(INDEX(tbl_familias_ppwr[Metais_Pesados_Evidencia],MATCH(INDEX(tbl_recyclass[Familia_PPWR],MATCH(A2343,tbl_recyclass[ProductId],0)),tbl_familias_ppwr[ID_Familia],0))="Em falta","Lacuna","Conforme"),IF(B2343="EU-ENV-013",IF(INDEX(tbl_familias_ppwr[Declaracao_UE],MATCH(INDEX(tbl_recyclass[Familia_PPWR],MATCH(A2343,tbl_recyclass[ProductId],0)),tbl_familias_ppwr[ID_Familia],0))="Sim","Conforme","Lacuna"),G2343)))),G2343))</f>
        <v>Não aplicável</v>
      </c>
      <c r="I2343" s="33" t="str">
        <f t="shared" si="36"/>
        <v>Não aplicável</v>
      </c>
      <c r="J2343" s="26"/>
    </row>
    <row r="2344" spans="1:10" ht="16.05" customHeight="1" x14ac:dyDescent="0.3">
      <c r="A2344" s="26" t="s">
        <v>863</v>
      </c>
      <c r="B2344" s="26" t="s">
        <v>1170</v>
      </c>
      <c r="C2344" s="33" t="str">
        <f>IFERROR(INDEX(tbl_requisitos_emb[Tema],MATCH(B2344,tbl_requisitos_emb[ID_Req],0)),"")</f>
        <v>Boas práticas de fabrico FCM</v>
      </c>
      <c r="D2344" s="33" t="str">
        <f>IFERROR(INDEX(tbl_recyclass[Segmento],MATCH(A2344,tbl_recyclass[ProductId],0)),"")</f>
        <v>Farmacêutico</v>
      </c>
      <c r="E2344" s="26" t="s">
        <v>904</v>
      </c>
      <c r="F2344" s="26" t="s">
        <v>1457</v>
      </c>
      <c r="G2344" s="26" t="s">
        <v>1143</v>
      </c>
      <c r="H2344" s="33" t="str">
        <f>IF(E2344="Não","Não aplicável",IFERROR(IF(B2344="EU-ENV-002",IF(INDEX(tbl_recyclass[Conforme_PPWR_2030],MATCH(A2344,tbl_recyclass[ProductId],0))="Sim","Conforme (autoavaliação)",IF(INDEX(tbl_recyclass[Conforme_PPWR_2030],MATCH(A2344,tbl_recyclass[ProductId],0))="Não","Não conforme em 2030","Isento até 2035")),IF(B2344="EU-ENV-003",IF(INDEX(tbl_recyclass[Conforme_Art7_2030],MATCH(A2344,tbl_recyclass[ProductId],0))="Sim","Conforme (meta 2030)",IF(INDEX(tbl_recyclass[Conforme_Art7_2030],MATCH(A2344,tbl_recyclass[ProductId],0))="Não","Lacuna face à meta 2030","Isento")),IF(B2344="EU-ENV-011",IF(INDEX(tbl_familias_ppwr[Metais_Pesados_Evidencia],MATCH(INDEX(tbl_recyclass[Familia_PPWR],MATCH(A2344,tbl_recyclass[ProductId],0)),tbl_familias_ppwr[ID_Familia],0))="Em falta","Lacuna","Conforme"),IF(B2344="EU-ENV-013",IF(INDEX(tbl_familias_ppwr[Declaracao_UE],MATCH(INDEX(tbl_recyclass[Familia_PPWR],MATCH(A2344,tbl_recyclass[ProductId],0)),tbl_familias_ppwr[ID_Familia],0))="Sim","Conforme","Lacuna"),G2344)))),G2344))</f>
        <v>Não aplicável</v>
      </c>
      <c r="I2344" s="33" t="str">
        <f t="shared" si="36"/>
        <v>Não aplicável</v>
      </c>
      <c r="J2344" s="26"/>
    </row>
    <row r="2345" spans="1:10" ht="16.05" customHeight="1" x14ac:dyDescent="0.3">
      <c r="A2345" s="26" t="s">
        <v>863</v>
      </c>
      <c r="B2345" s="26" t="s">
        <v>1179</v>
      </c>
      <c r="C2345" s="33" t="str">
        <f>IFERROR(INDEX(tbl_requisitos_emb[Tema],MATCH(B2345,tbl_requisitos_emb[ID_Req],0)),"")</f>
        <v>Bisfenol A e bisfenóis perigosos</v>
      </c>
      <c r="D2345" s="33" t="str">
        <f>IFERROR(INDEX(tbl_recyclass[Segmento],MATCH(A2345,tbl_recyclass[ProductId],0)),"")</f>
        <v>Farmacêutico</v>
      </c>
      <c r="E2345" s="26" t="s">
        <v>904</v>
      </c>
      <c r="F2345" s="26" t="s">
        <v>1457</v>
      </c>
      <c r="G2345" s="26" t="s">
        <v>1143</v>
      </c>
      <c r="H2345" s="33" t="str">
        <f>IF(E2345="Não","Não aplicável",IFERROR(IF(B2345="EU-ENV-002",IF(INDEX(tbl_recyclass[Conforme_PPWR_2030],MATCH(A2345,tbl_recyclass[ProductId],0))="Sim","Conforme (autoavaliação)",IF(INDEX(tbl_recyclass[Conforme_PPWR_2030],MATCH(A2345,tbl_recyclass[ProductId],0))="Não","Não conforme em 2030","Isento até 2035")),IF(B2345="EU-ENV-003",IF(INDEX(tbl_recyclass[Conforme_Art7_2030],MATCH(A2345,tbl_recyclass[ProductId],0))="Sim","Conforme (meta 2030)",IF(INDEX(tbl_recyclass[Conforme_Art7_2030],MATCH(A2345,tbl_recyclass[ProductId],0))="Não","Lacuna face à meta 2030","Isento")),IF(B2345="EU-ENV-011",IF(INDEX(tbl_familias_ppwr[Metais_Pesados_Evidencia],MATCH(INDEX(tbl_recyclass[Familia_PPWR],MATCH(A2345,tbl_recyclass[ProductId],0)),tbl_familias_ppwr[ID_Familia],0))="Em falta","Lacuna","Conforme"),IF(B2345="EU-ENV-013",IF(INDEX(tbl_familias_ppwr[Declaracao_UE],MATCH(INDEX(tbl_recyclass[Familia_PPWR],MATCH(A2345,tbl_recyclass[ProductId],0)),tbl_familias_ppwr[ID_Familia],0))="Sim","Conforme","Lacuna"),G2345)))),G2345))</f>
        <v>Não aplicável</v>
      </c>
      <c r="I2345" s="33" t="str">
        <f t="shared" si="36"/>
        <v>Não aplicável</v>
      </c>
      <c r="J2345" s="26"/>
    </row>
    <row r="2346" spans="1:10" ht="16.05" customHeight="1" x14ac:dyDescent="0.3">
      <c r="A2346" s="26" t="s">
        <v>863</v>
      </c>
      <c r="B2346" s="26" t="s">
        <v>1188</v>
      </c>
      <c r="C2346" s="33" t="str">
        <f>IFERROR(INDEX(tbl_requisitos_emb[Tema],MATCH(B2346,tbl_requisitos_emb[ID_Req],0)),"")</f>
        <v>Plásticos em contacto com alimentos</v>
      </c>
      <c r="D2346" s="33" t="str">
        <f>IFERROR(INDEX(tbl_recyclass[Segmento],MATCH(A2346,tbl_recyclass[ProductId],0)),"")</f>
        <v>Farmacêutico</v>
      </c>
      <c r="E2346" s="26" t="s">
        <v>904</v>
      </c>
      <c r="F2346" s="26" t="s">
        <v>1457</v>
      </c>
      <c r="G2346" s="26" t="s">
        <v>1143</v>
      </c>
      <c r="H2346" s="33" t="str">
        <f>IF(E2346="Não","Não aplicável",IFERROR(IF(B2346="EU-ENV-002",IF(INDEX(tbl_recyclass[Conforme_PPWR_2030],MATCH(A2346,tbl_recyclass[ProductId],0))="Sim","Conforme (autoavaliação)",IF(INDEX(tbl_recyclass[Conforme_PPWR_2030],MATCH(A2346,tbl_recyclass[ProductId],0))="Não","Não conforme em 2030","Isento até 2035")),IF(B2346="EU-ENV-003",IF(INDEX(tbl_recyclass[Conforme_Art7_2030],MATCH(A2346,tbl_recyclass[ProductId],0))="Sim","Conforme (meta 2030)",IF(INDEX(tbl_recyclass[Conforme_Art7_2030],MATCH(A2346,tbl_recyclass[ProductId],0))="Não","Lacuna face à meta 2030","Isento")),IF(B2346="EU-ENV-011",IF(INDEX(tbl_familias_ppwr[Metais_Pesados_Evidencia],MATCH(INDEX(tbl_recyclass[Familia_PPWR],MATCH(A2346,tbl_recyclass[ProductId],0)),tbl_familias_ppwr[ID_Familia],0))="Em falta","Lacuna","Conforme"),IF(B2346="EU-ENV-013",IF(INDEX(tbl_familias_ppwr[Declaracao_UE],MATCH(INDEX(tbl_recyclass[Familia_PPWR],MATCH(A2346,tbl_recyclass[ProductId],0)),tbl_familias_ppwr[ID_Familia],0))="Sim","Conforme","Lacuna"),G2346)))),G2346))</f>
        <v>Não aplicável</v>
      </c>
      <c r="I2346" s="33" t="str">
        <f t="shared" si="36"/>
        <v>Não aplicável</v>
      </c>
      <c r="J2346" s="26"/>
    </row>
    <row r="2347" spans="1:10" ht="16.05" customHeight="1" x14ac:dyDescent="0.3">
      <c r="A2347" s="26" t="s">
        <v>863</v>
      </c>
      <c r="B2347" s="26" t="s">
        <v>1212</v>
      </c>
      <c r="C2347" s="33" t="str">
        <f>IFERROR(INDEX(tbl_requisitos_emb[Tema],MATCH(B2347,tbl_requisitos_emb[ID_Req],0)),"")</f>
        <v>Segurança do produto cosmético</v>
      </c>
      <c r="D2347" s="33" t="str">
        <f>IFERROR(INDEX(tbl_recyclass[Segmento],MATCH(A2347,tbl_recyclass[ProductId],0)),"")</f>
        <v>Farmacêutico</v>
      </c>
      <c r="E2347" s="26" t="s">
        <v>904</v>
      </c>
      <c r="F2347" s="26" t="s">
        <v>1458</v>
      </c>
      <c r="G2347" s="26" t="s">
        <v>1143</v>
      </c>
      <c r="H2347" s="33" t="str">
        <f>IF(E2347="Não","Não aplicável",IFERROR(IF(B2347="EU-ENV-002",IF(INDEX(tbl_recyclass[Conforme_PPWR_2030],MATCH(A2347,tbl_recyclass[ProductId],0))="Sim","Conforme (autoavaliação)",IF(INDEX(tbl_recyclass[Conforme_PPWR_2030],MATCH(A2347,tbl_recyclass[ProductId],0))="Não","Não conforme em 2030","Isento até 2035")),IF(B2347="EU-ENV-003",IF(INDEX(tbl_recyclass[Conforme_Art7_2030],MATCH(A2347,tbl_recyclass[ProductId],0))="Sim","Conforme (meta 2030)",IF(INDEX(tbl_recyclass[Conforme_Art7_2030],MATCH(A2347,tbl_recyclass[ProductId],0))="Não","Lacuna face à meta 2030","Isento")),IF(B2347="EU-ENV-011",IF(INDEX(tbl_familias_ppwr[Metais_Pesados_Evidencia],MATCH(INDEX(tbl_recyclass[Familia_PPWR],MATCH(A2347,tbl_recyclass[ProductId],0)),tbl_familias_ppwr[ID_Familia],0))="Em falta","Lacuna","Conforme"),IF(B2347="EU-ENV-013",IF(INDEX(tbl_familias_ppwr[Declaracao_UE],MATCH(INDEX(tbl_recyclass[Familia_PPWR],MATCH(A2347,tbl_recyclass[ProductId],0)),tbl_familias_ppwr[ID_Familia],0))="Sim","Conforme","Lacuna"),G2347)))),G2347))</f>
        <v>Não aplicável</v>
      </c>
      <c r="I2347" s="33" t="str">
        <f t="shared" si="36"/>
        <v>Não aplicável</v>
      </c>
      <c r="J2347" s="26"/>
    </row>
    <row r="2348" spans="1:10" ht="16.05" customHeight="1" x14ac:dyDescent="0.3">
      <c r="A2348" s="26" t="s">
        <v>863</v>
      </c>
      <c r="B2348" s="26" t="s">
        <v>1224</v>
      </c>
      <c r="C2348" s="33" t="str">
        <f>IFERROR(INDEX(tbl_requisitos_emb[Tema],MATCH(B2348,tbl_requisitos_emb[ID_Req],0)),"")</f>
        <v>Materiais e impurezas</v>
      </c>
      <c r="D2348" s="33" t="str">
        <f>IFERROR(INDEX(tbl_recyclass[Segmento],MATCH(A2348,tbl_recyclass[ProductId],0)),"")</f>
        <v>Farmacêutico</v>
      </c>
      <c r="E2348" s="26" t="s">
        <v>904</v>
      </c>
      <c r="F2348" s="26" t="s">
        <v>1458</v>
      </c>
      <c r="G2348" s="26" t="s">
        <v>1143</v>
      </c>
      <c r="H2348" s="33" t="str">
        <f>IF(E2348="Não","Não aplicável",IFERROR(IF(B2348="EU-ENV-002",IF(INDEX(tbl_recyclass[Conforme_PPWR_2030],MATCH(A2348,tbl_recyclass[ProductId],0))="Sim","Conforme (autoavaliação)",IF(INDEX(tbl_recyclass[Conforme_PPWR_2030],MATCH(A2348,tbl_recyclass[ProductId],0))="Não","Não conforme em 2030","Isento até 2035")),IF(B2348="EU-ENV-003",IF(INDEX(tbl_recyclass[Conforme_Art7_2030],MATCH(A2348,tbl_recyclass[ProductId],0))="Sim","Conforme (meta 2030)",IF(INDEX(tbl_recyclass[Conforme_Art7_2030],MATCH(A2348,tbl_recyclass[ProductId],0))="Não","Lacuna face à meta 2030","Isento")),IF(B2348="EU-ENV-011",IF(INDEX(tbl_familias_ppwr[Metais_Pesados_Evidencia],MATCH(INDEX(tbl_recyclass[Familia_PPWR],MATCH(A2348,tbl_recyclass[ProductId],0)),tbl_familias_ppwr[ID_Familia],0))="Em falta","Lacuna","Conforme"),IF(B2348="EU-ENV-013",IF(INDEX(tbl_familias_ppwr[Declaracao_UE],MATCH(INDEX(tbl_recyclass[Familia_PPWR],MATCH(A2348,tbl_recyclass[ProductId],0)),tbl_familias_ppwr[ID_Familia],0))="Sim","Conforme","Lacuna"),G2348)))),G2348))</f>
        <v>Não aplicável</v>
      </c>
      <c r="I2348" s="33" t="str">
        <f t="shared" si="36"/>
        <v>Não aplicável</v>
      </c>
      <c r="J2348" s="26"/>
    </row>
    <row r="2349" spans="1:10" ht="16.05" customHeight="1" x14ac:dyDescent="0.3">
      <c r="A2349" s="26" t="s">
        <v>863</v>
      </c>
      <c r="B2349" s="26" t="s">
        <v>1240</v>
      </c>
      <c r="C2349" s="33" t="str">
        <f>IFERROR(INDEX(tbl_requisitos_emb[Tema],MATCH(B2349,tbl_requisitos_emb[ID_Req],0)),"")</f>
        <v>Compatibilidade embalagem–produto</v>
      </c>
      <c r="D2349" s="33" t="str">
        <f>IFERROR(INDEX(tbl_recyclass[Segmento],MATCH(A2349,tbl_recyclass[ProductId],0)),"")</f>
        <v>Farmacêutico</v>
      </c>
      <c r="E2349" s="26" t="s">
        <v>904</v>
      </c>
      <c r="F2349" s="26" t="s">
        <v>1458</v>
      </c>
      <c r="G2349" s="26" t="s">
        <v>1143</v>
      </c>
      <c r="H2349" s="33" t="str">
        <f>IF(E2349="Não","Não aplicável",IFERROR(IF(B2349="EU-ENV-002",IF(INDEX(tbl_recyclass[Conforme_PPWR_2030],MATCH(A2349,tbl_recyclass[ProductId],0))="Sim","Conforme (autoavaliação)",IF(INDEX(tbl_recyclass[Conforme_PPWR_2030],MATCH(A2349,tbl_recyclass[ProductId],0))="Não","Não conforme em 2030","Isento até 2035")),IF(B2349="EU-ENV-003",IF(INDEX(tbl_recyclass[Conforme_Art7_2030],MATCH(A2349,tbl_recyclass[ProductId],0))="Sim","Conforme (meta 2030)",IF(INDEX(tbl_recyclass[Conforme_Art7_2030],MATCH(A2349,tbl_recyclass[ProductId],0))="Não","Lacuna face à meta 2030","Isento")),IF(B2349="EU-ENV-011",IF(INDEX(tbl_familias_ppwr[Metais_Pesados_Evidencia],MATCH(INDEX(tbl_recyclass[Familia_PPWR],MATCH(A2349,tbl_recyclass[ProductId],0)),tbl_familias_ppwr[ID_Familia],0))="Em falta","Lacuna","Conforme"),IF(B2349="EU-ENV-013",IF(INDEX(tbl_familias_ppwr[Declaracao_UE],MATCH(INDEX(tbl_recyclass[Familia_PPWR],MATCH(A2349,tbl_recyclass[ProductId],0)),tbl_familias_ppwr[ID_Familia],0))="Sim","Conforme","Lacuna"),G2349)))),G2349))</f>
        <v>Não aplicável</v>
      </c>
      <c r="I2349" s="33" t="str">
        <f t="shared" si="36"/>
        <v>Não aplicável</v>
      </c>
      <c r="J2349" s="26"/>
    </row>
    <row r="2350" spans="1:10" ht="16.05" customHeight="1" x14ac:dyDescent="0.3">
      <c r="A2350" s="26" t="s">
        <v>863</v>
      </c>
      <c r="B2350" s="26" t="s">
        <v>1252</v>
      </c>
      <c r="C2350" s="33" t="str">
        <f>IFERROR(INDEX(tbl_requisitos_emb[Tema],MATCH(B2350,tbl_requisitos_emb[ID_Req],0)),"")</f>
        <v>Medicamentos de uso humano</v>
      </c>
      <c r="D2350" s="33" t="str">
        <f>IFERROR(INDEX(tbl_recyclass[Segmento],MATCH(A2350,tbl_recyclass[ProductId],0)),"")</f>
        <v>Farmacêutico</v>
      </c>
      <c r="E2350" s="26" t="s">
        <v>901</v>
      </c>
      <c r="F2350" s="26" t="s">
        <v>1456</v>
      </c>
      <c r="G2350" s="26" t="s">
        <v>1033</v>
      </c>
      <c r="H2350" s="33" t="str">
        <f>IF(E2350="Não","Não aplicável",IFERROR(IF(B2350="EU-ENV-002",IF(INDEX(tbl_recyclass[Conforme_PPWR_2030],MATCH(A2350,tbl_recyclass[ProductId],0))="Sim","Conforme (autoavaliação)",IF(INDEX(tbl_recyclass[Conforme_PPWR_2030],MATCH(A2350,tbl_recyclass[ProductId],0))="Não","Não conforme em 2030","Isento até 2035")),IF(B2350="EU-ENV-003",IF(INDEX(tbl_recyclass[Conforme_Art7_2030],MATCH(A2350,tbl_recyclass[ProductId],0))="Sim","Conforme (meta 2030)",IF(INDEX(tbl_recyclass[Conforme_Art7_2030],MATCH(A2350,tbl_recyclass[ProductId],0))="Não","Lacuna face à meta 2030","Isento")),IF(B2350="EU-ENV-011",IF(INDEX(tbl_familias_ppwr[Metais_Pesados_Evidencia],MATCH(INDEX(tbl_recyclass[Familia_PPWR],MATCH(A2350,tbl_recyclass[ProductId],0)),tbl_familias_ppwr[ID_Familia],0))="Em falta","Lacuna","Conforme"),IF(B2350="EU-ENV-013",IF(INDEX(tbl_familias_ppwr[Declaracao_UE],MATCH(INDEX(tbl_recyclass[Familia_PPWR],MATCH(A2350,tbl_recyclass[ProductId],0)),tbl_familias_ppwr[ID_Familia],0))="Sim","Conforme","Lacuna"),G2350)))),G2350))</f>
        <v>Conforme</v>
      </c>
      <c r="I2350" s="33" t="str">
        <f t="shared" si="36"/>
        <v>Conforme</v>
      </c>
      <c r="J2350" s="26" t="s">
        <v>1259</v>
      </c>
    </row>
    <row r="2351" spans="1:10" ht="16.05" customHeight="1" x14ac:dyDescent="0.3">
      <c r="A2351" s="26" t="s">
        <v>863</v>
      </c>
      <c r="B2351" s="26" t="s">
        <v>1268</v>
      </c>
      <c r="C2351" s="33" t="str">
        <f>IFERROR(INDEX(tbl_requisitos_emb[Tema],MATCH(B2351,tbl_requisitos_emb[ID_Req],0)),"")</f>
        <v>Dispositivos de segurança</v>
      </c>
      <c r="D2351" s="33" t="str">
        <f>IFERROR(INDEX(tbl_recyclass[Segmento],MATCH(A2351,tbl_recyclass[ProductId],0)),"")</f>
        <v>Farmacêutico</v>
      </c>
      <c r="E2351" s="26" t="s">
        <v>901</v>
      </c>
      <c r="F2351" s="26" t="s">
        <v>1456</v>
      </c>
      <c r="G2351" s="26" t="s">
        <v>1033</v>
      </c>
      <c r="H2351" s="33" t="str">
        <f>IF(E2351="Não","Não aplicável",IFERROR(IF(B2351="EU-ENV-002",IF(INDEX(tbl_recyclass[Conforme_PPWR_2030],MATCH(A2351,tbl_recyclass[ProductId],0))="Sim","Conforme (autoavaliação)",IF(INDEX(tbl_recyclass[Conforme_PPWR_2030],MATCH(A2351,tbl_recyclass[ProductId],0))="Não","Não conforme em 2030","Isento até 2035")),IF(B2351="EU-ENV-003",IF(INDEX(tbl_recyclass[Conforme_Art7_2030],MATCH(A2351,tbl_recyclass[ProductId],0))="Sim","Conforme (meta 2030)",IF(INDEX(tbl_recyclass[Conforme_Art7_2030],MATCH(A2351,tbl_recyclass[ProductId],0))="Não","Lacuna face à meta 2030","Isento")),IF(B2351="EU-ENV-011",IF(INDEX(tbl_familias_ppwr[Metais_Pesados_Evidencia],MATCH(INDEX(tbl_recyclass[Familia_PPWR],MATCH(A2351,tbl_recyclass[ProductId],0)),tbl_familias_ppwr[ID_Familia],0))="Em falta","Lacuna","Conforme"),IF(B2351="EU-ENV-013",IF(INDEX(tbl_familias_ppwr[Declaracao_UE],MATCH(INDEX(tbl_recyclass[Familia_PPWR],MATCH(A2351,tbl_recyclass[ProductId],0)),tbl_familias_ppwr[ID_Familia],0))="Sim","Conforme","Lacuna"),G2351)))),G2351))</f>
        <v>Conforme</v>
      </c>
      <c r="I2351" s="33" t="str">
        <f t="shared" si="36"/>
        <v>Conforme</v>
      </c>
      <c r="J2351" s="26" t="s">
        <v>1274</v>
      </c>
    </row>
    <row r="2352" spans="1:10" ht="16.05" customHeight="1" x14ac:dyDescent="0.3">
      <c r="A2352" s="26" t="s">
        <v>863</v>
      </c>
      <c r="B2352" s="26" t="s">
        <v>1285</v>
      </c>
      <c r="C2352" s="33" t="str">
        <f>IFERROR(INDEX(tbl_requisitos_emb[Tema],MATCH(B2352,tbl_requisitos_emb[ID_Req],0)),"")</f>
        <v>Materiais plásticos de acondicionamento primário</v>
      </c>
      <c r="D2352" s="33" t="str">
        <f>IFERROR(INDEX(tbl_recyclass[Segmento],MATCH(A2352,tbl_recyclass[ProductId],0)),"")</f>
        <v>Farmacêutico</v>
      </c>
      <c r="E2352" s="26" t="s">
        <v>901</v>
      </c>
      <c r="F2352" s="26" t="s">
        <v>1456</v>
      </c>
      <c r="G2352" s="26" t="s">
        <v>978</v>
      </c>
      <c r="H2352" s="33" t="str">
        <f>IF(E2352="Não","Não aplicável",IFERROR(IF(B2352="EU-ENV-002",IF(INDEX(tbl_recyclass[Conforme_PPWR_2030],MATCH(A2352,tbl_recyclass[ProductId],0))="Sim","Conforme (autoavaliação)",IF(INDEX(tbl_recyclass[Conforme_PPWR_2030],MATCH(A2352,tbl_recyclass[ProductId],0))="Não","Não conforme em 2030","Isento até 2035")),IF(B2352="EU-ENV-003",IF(INDEX(tbl_recyclass[Conforme_Art7_2030],MATCH(A2352,tbl_recyclass[ProductId],0))="Sim","Conforme (meta 2030)",IF(INDEX(tbl_recyclass[Conforme_Art7_2030],MATCH(A2352,tbl_recyclass[ProductId],0))="Não","Lacuna face à meta 2030","Isento")),IF(B2352="EU-ENV-011",IF(INDEX(tbl_familias_ppwr[Metais_Pesados_Evidencia],MATCH(INDEX(tbl_recyclass[Familia_PPWR],MATCH(A2352,tbl_recyclass[ProductId],0)),tbl_familias_ppwr[ID_Familia],0))="Em falta","Lacuna","Conforme"),IF(B2352="EU-ENV-013",IF(INDEX(tbl_familias_ppwr[Declaracao_UE],MATCH(INDEX(tbl_recyclass[Familia_PPWR],MATCH(A2352,tbl_recyclass[ProductId],0)),tbl_familias_ppwr[ID_Familia],0))="Sim","Conforme","Lacuna"),G2352)))),G2352))</f>
        <v>Parcial</v>
      </c>
      <c r="I2352" s="33" t="str">
        <f t="shared" si="36"/>
        <v>Parcial</v>
      </c>
      <c r="J2352" s="26" t="s">
        <v>1290</v>
      </c>
    </row>
    <row r="2353" spans="1:10" ht="16.05" customHeight="1" x14ac:dyDescent="0.3">
      <c r="A2353" s="26" t="s">
        <v>863</v>
      </c>
      <c r="B2353" s="26" t="s">
        <v>1293</v>
      </c>
      <c r="C2353" s="33" t="str">
        <f>IFERROR(INDEX(tbl_requisitos_emb[Tema],MATCH(B2353,tbl_requisitos_emb[ID_Req],0)),"")</f>
        <v>Isenções PPWR</v>
      </c>
      <c r="D2353" s="33" t="str">
        <f>IFERROR(INDEX(tbl_recyclass[Segmento],MATCH(A2353,tbl_recyclass[ProductId],0)),"")</f>
        <v>Farmacêutico</v>
      </c>
      <c r="E2353" s="26" t="s">
        <v>901</v>
      </c>
      <c r="F2353" s="26" t="s">
        <v>1456</v>
      </c>
      <c r="G2353" s="26" t="s">
        <v>978</v>
      </c>
      <c r="H2353" s="33" t="str">
        <f>IF(E2353="Não","Não aplicável",IFERROR(IF(B2353="EU-ENV-002",IF(INDEX(tbl_recyclass[Conforme_PPWR_2030],MATCH(A2353,tbl_recyclass[ProductId],0))="Sim","Conforme (autoavaliação)",IF(INDEX(tbl_recyclass[Conforme_PPWR_2030],MATCH(A2353,tbl_recyclass[ProductId],0))="Não","Não conforme em 2030","Isento até 2035")),IF(B2353="EU-ENV-003",IF(INDEX(tbl_recyclass[Conforme_Art7_2030],MATCH(A2353,tbl_recyclass[ProductId],0))="Sim","Conforme (meta 2030)",IF(INDEX(tbl_recyclass[Conforme_Art7_2030],MATCH(A2353,tbl_recyclass[ProductId],0))="Não","Lacuna face à meta 2030","Isento")),IF(B2353="EU-ENV-011",IF(INDEX(tbl_familias_ppwr[Metais_Pesados_Evidencia],MATCH(INDEX(tbl_recyclass[Familia_PPWR],MATCH(A2353,tbl_recyclass[ProductId],0)),tbl_familias_ppwr[ID_Familia],0))="Em falta","Lacuna","Conforme"),IF(B2353="EU-ENV-013",IF(INDEX(tbl_familias_ppwr[Declaracao_UE],MATCH(INDEX(tbl_recyclass[Familia_PPWR],MATCH(A2353,tbl_recyclass[ProductId],0)),tbl_familias_ppwr[ID_Familia],0))="Sim","Conforme","Lacuna"),G2353)))),G2353))</f>
        <v>Parcial</v>
      </c>
      <c r="I2353" s="33" t="str">
        <f t="shared" si="36"/>
        <v>Parcial</v>
      </c>
      <c r="J2353" s="26" t="s">
        <v>1298</v>
      </c>
    </row>
    <row r="2354" spans="1:10" ht="16.05" customHeight="1" x14ac:dyDescent="0.3">
      <c r="A2354" s="26" t="s">
        <v>863</v>
      </c>
      <c r="B2354" s="26" t="s">
        <v>1357</v>
      </c>
      <c r="C2354" s="33" t="str">
        <f>IFERROR(INDEX(tbl_requisitos_emb[Tema],MATCH(B2354,tbl_requisitos_emb[ID_Req],0)),"")</f>
        <v>Identificação de plásticos</v>
      </c>
      <c r="D2354" s="33" t="str">
        <f>IFERROR(INDEX(tbl_recyclass[Segmento],MATCH(A2354,tbl_recyclass[ProductId],0)),"")</f>
        <v>Farmacêutico</v>
      </c>
      <c r="E2354" s="26" t="s">
        <v>901</v>
      </c>
      <c r="F2354" s="26" t="s">
        <v>1456</v>
      </c>
      <c r="G2354" s="26" t="s">
        <v>978</v>
      </c>
      <c r="H2354" s="33" t="str">
        <f>IF(E2354="Não","Não aplicável",IFERROR(IF(B2354="EU-ENV-002",IF(INDEX(tbl_recyclass[Conforme_PPWR_2030],MATCH(A2354,tbl_recyclass[ProductId],0))="Sim","Conforme (autoavaliação)",IF(INDEX(tbl_recyclass[Conforme_PPWR_2030],MATCH(A2354,tbl_recyclass[ProductId],0))="Não","Não conforme em 2030","Isento até 2035")),IF(B2354="EU-ENV-003",IF(INDEX(tbl_recyclass[Conforme_Art7_2030],MATCH(A2354,tbl_recyclass[ProductId],0))="Sim","Conforme (meta 2030)",IF(INDEX(tbl_recyclass[Conforme_Art7_2030],MATCH(A2354,tbl_recyclass[ProductId],0))="Não","Lacuna face à meta 2030","Isento")),IF(B2354="EU-ENV-011",IF(INDEX(tbl_familias_ppwr[Metais_Pesados_Evidencia],MATCH(INDEX(tbl_recyclass[Familia_PPWR],MATCH(A2354,tbl_recyclass[ProductId],0)),tbl_familias_ppwr[ID_Familia],0))="Em falta","Lacuna","Conforme"),IF(B2354="EU-ENV-013",IF(INDEX(tbl_familias_ppwr[Declaracao_UE],MATCH(INDEX(tbl_recyclass[Familia_PPWR],MATCH(A2354,tbl_recyclass[ProductId],0)),tbl_familias_ppwr[ID_Familia],0))="Sim","Conforme","Lacuna"),G2354)))),G2354))</f>
        <v>Parcial</v>
      </c>
      <c r="I2354" s="33" t="str">
        <f t="shared" si="36"/>
        <v>Parcial</v>
      </c>
      <c r="J2354" s="26" t="s">
        <v>1362</v>
      </c>
    </row>
    <row r="2355" spans="1:10" ht="16.05" customHeight="1" x14ac:dyDescent="0.3">
      <c r="A2355" s="26" t="s">
        <v>863</v>
      </c>
      <c r="B2355" s="26" t="s">
        <v>1385</v>
      </c>
      <c r="C2355" s="33" t="str">
        <f>IFERROR(INDEX(tbl_requisitos_emb[Tema],MATCH(B2355,tbl_requisitos_emb[ID_Req],0)),"")</f>
        <v>Reciclabilidade (voluntária)</v>
      </c>
      <c r="D2355" s="33" t="str">
        <f>IFERROR(INDEX(tbl_recyclass[Segmento],MATCH(A2355,tbl_recyclass[ProductId],0)),"")</f>
        <v>Farmacêutico</v>
      </c>
      <c r="E2355" s="26" t="s">
        <v>901</v>
      </c>
      <c r="F2355" s="26" t="s">
        <v>1456</v>
      </c>
      <c r="G2355" s="26" t="s">
        <v>978</v>
      </c>
      <c r="H2355" s="33" t="str">
        <f>IF(E2355="Não","Não aplicável",IFERROR(IF(B2355="EU-ENV-002",IF(INDEX(tbl_recyclass[Conforme_PPWR_2030],MATCH(A2355,tbl_recyclass[ProductId],0))="Sim","Conforme (autoavaliação)",IF(INDEX(tbl_recyclass[Conforme_PPWR_2030],MATCH(A2355,tbl_recyclass[ProductId],0))="Não","Não conforme em 2030","Isento até 2035")),IF(B2355="EU-ENV-003",IF(INDEX(tbl_recyclass[Conforme_Art7_2030],MATCH(A2355,tbl_recyclass[ProductId],0))="Sim","Conforme (meta 2030)",IF(INDEX(tbl_recyclass[Conforme_Art7_2030],MATCH(A2355,tbl_recyclass[ProductId],0))="Não","Lacuna face à meta 2030","Isento")),IF(B2355="EU-ENV-011",IF(INDEX(tbl_familias_ppwr[Metais_Pesados_Evidencia],MATCH(INDEX(tbl_recyclass[Familia_PPWR],MATCH(A2355,tbl_recyclass[ProductId],0)),tbl_familias_ppwr[ID_Familia],0))="Em falta","Lacuna","Conforme"),IF(B2355="EU-ENV-013",IF(INDEX(tbl_familias_ppwr[Declaracao_UE],MATCH(INDEX(tbl_recyclass[Familia_PPWR],MATCH(A2355,tbl_recyclass[ProductId],0)),tbl_familias_ppwr[ID_Familia],0))="Sim","Conforme","Lacuna"),G2355)))),G2355))</f>
        <v>Parcial</v>
      </c>
      <c r="I2355" s="33" t="str">
        <f t="shared" si="36"/>
        <v>Parcial</v>
      </c>
      <c r="J2355" s="26" t="s">
        <v>1389</v>
      </c>
    </row>
    <row r="2356" spans="1:10" ht="16.05" customHeight="1" x14ac:dyDescent="0.3">
      <c r="A2356" s="26" t="s">
        <v>866</v>
      </c>
      <c r="B2356" s="26" t="s">
        <v>984</v>
      </c>
      <c r="C2356" s="33" t="str">
        <f>IFERROR(INDEX(tbl_requisitos_emb[Tema],MATCH(B2356,tbl_requisitos_emb[ID_Req],0)),"")</f>
        <v>Conceção para reciclagem</v>
      </c>
      <c r="D2356" s="33" t="str">
        <f>IFERROR(INDEX(tbl_recyclass[Segmento],MATCH(A2356,tbl_recyclass[ProductId],0)),"")</f>
        <v>Farmacêutico</v>
      </c>
      <c r="E2356" s="26" t="s">
        <v>901</v>
      </c>
      <c r="F2356" s="26" t="s">
        <v>1456</v>
      </c>
      <c r="G2356" s="26" t="s">
        <v>978</v>
      </c>
      <c r="H2356" s="33" t="str">
        <f>IF(E2356="Não","Não aplicável",IFERROR(IF(B2356="EU-ENV-002",IF(INDEX(tbl_recyclass[Conforme_PPWR_2030],MATCH(A2356,tbl_recyclass[ProductId],0))="Sim","Conforme (autoavaliação)",IF(INDEX(tbl_recyclass[Conforme_PPWR_2030],MATCH(A2356,tbl_recyclass[ProductId],0))="Não","Não conforme em 2030","Isento até 2035")),IF(B2356="EU-ENV-003",IF(INDEX(tbl_recyclass[Conforme_Art7_2030],MATCH(A2356,tbl_recyclass[ProductId],0))="Sim","Conforme (meta 2030)",IF(INDEX(tbl_recyclass[Conforme_Art7_2030],MATCH(A2356,tbl_recyclass[ProductId],0))="Não","Lacuna face à meta 2030","Isento")),IF(B2356="EU-ENV-011",IF(INDEX(tbl_familias_ppwr[Metais_Pesados_Evidencia],MATCH(INDEX(tbl_recyclass[Familia_PPWR],MATCH(A2356,tbl_recyclass[ProductId],0)),tbl_familias_ppwr[ID_Familia],0))="Em falta","Lacuna","Conforme"),IF(B2356="EU-ENV-013",IF(INDEX(tbl_familias_ppwr[Declaracao_UE],MATCH(INDEX(tbl_recyclass[Familia_PPWR],MATCH(A2356,tbl_recyclass[ProductId],0)),tbl_familias_ppwr[ID_Familia],0))="Sim","Conforme","Lacuna"),G2356)))),G2356))</f>
        <v>Isento até 2035</v>
      </c>
      <c r="I2356" s="33" t="str">
        <f t="shared" si="36"/>
        <v>Isento</v>
      </c>
      <c r="J2356" s="26" t="s">
        <v>991</v>
      </c>
    </row>
    <row r="2357" spans="1:10" ht="16.05" customHeight="1" x14ac:dyDescent="0.3">
      <c r="A2357" s="26" t="s">
        <v>866</v>
      </c>
      <c r="B2357" s="26" t="s">
        <v>997</v>
      </c>
      <c r="C2357" s="33" t="str">
        <f>IFERROR(INDEX(tbl_requisitos_emb[Tema],MATCH(B2357,tbl_requisitos_emb[ID_Req],0)),"")</f>
        <v>Conteúdo reciclado</v>
      </c>
      <c r="D2357" s="33" t="str">
        <f>IFERROR(INDEX(tbl_recyclass[Segmento],MATCH(A2357,tbl_recyclass[ProductId],0)),"")</f>
        <v>Farmacêutico</v>
      </c>
      <c r="E2357" s="26" t="s">
        <v>901</v>
      </c>
      <c r="F2357" s="26" t="s">
        <v>1456</v>
      </c>
      <c r="G2357" s="26" t="s">
        <v>978</v>
      </c>
      <c r="H2357" s="33" t="str">
        <f>IF(E2357="Não","Não aplicável",IFERROR(IF(B2357="EU-ENV-002",IF(INDEX(tbl_recyclass[Conforme_PPWR_2030],MATCH(A2357,tbl_recyclass[ProductId],0))="Sim","Conforme (autoavaliação)",IF(INDEX(tbl_recyclass[Conforme_PPWR_2030],MATCH(A2357,tbl_recyclass[ProductId],0))="Não","Não conforme em 2030","Isento até 2035")),IF(B2357="EU-ENV-003",IF(INDEX(tbl_recyclass[Conforme_Art7_2030],MATCH(A2357,tbl_recyclass[ProductId],0))="Sim","Conforme (meta 2030)",IF(INDEX(tbl_recyclass[Conforme_Art7_2030],MATCH(A2357,tbl_recyclass[ProductId],0))="Não","Lacuna face à meta 2030","Isento")),IF(B2357="EU-ENV-011",IF(INDEX(tbl_familias_ppwr[Metais_Pesados_Evidencia],MATCH(INDEX(tbl_recyclass[Familia_PPWR],MATCH(A2357,tbl_recyclass[ProductId],0)),tbl_familias_ppwr[ID_Familia],0))="Em falta","Lacuna","Conforme"),IF(B2357="EU-ENV-013",IF(INDEX(tbl_familias_ppwr[Declaracao_UE],MATCH(INDEX(tbl_recyclass[Familia_PPWR],MATCH(A2357,tbl_recyclass[ProductId],0)),tbl_familias_ppwr[ID_Familia],0))="Sim","Conforme","Lacuna"),G2357)))),G2357))</f>
        <v>Isento</v>
      </c>
      <c r="I2357" s="33" t="str">
        <f t="shared" si="36"/>
        <v>Isento</v>
      </c>
      <c r="J2357" s="26" t="s">
        <v>1001</v>
      </c>
    </row>
    <row r="2358" spans="1:10" ht="16.05" customHeight="1" x14ac:dyDescent="0.3">
      <c r="A2358" s="26" t="s">
        <v>866</v>
      </c>
      <c r="B2358" s="26" t="s">
        <v>1007</v>
      </c>
      <c r="C2358" s="33" t="str">
        <f>IFERROR(INDEX(tbl_requisitos_emb[Tema],MATCH(B2358,tbl_requisitos_emb[ID_Req],0)),"")</f>
        <v>Minimização</v>
      </c>
      <c r="D2358" s="33" t="str">
        <f>IFERROR(INDEX(tbl_recyclass[Segmento],MATCH(A2358,tbl_recyclass[ProductId],0)),"")</f>
        <v>Farmacêutico</v>
      </c>
      <c r="E2358" s="26" t="s">
        <v>901</v>
      </c>
      <c r="F2358" s="26" t="s">
        <v>1456</v>
      </c>
      <c r="G2358" s="26" t="s">
        <v>978</v>
      </c>
      <c r="H2358" s="33" t="str">
        <f>IF(E2358="Não","Não aplicável",IFERROR(IF(B2358="EU-ENV-002",IF(INDEX(tbl_recyclass[Conforme_PPWR_2030],MATCH(A2358,tbl_recyclass[ProductId],0))="Sim","Conforme (autoavaliação)",IF(INDEX(tbl_recyclass[Conforme_PPWR_2030],MATCH(A2358,tbl_recyclass[ProductId],0))="Não","Não conforme em 2030","Isento até 2035")),IF(B2358="EU-ENV-003",IF(INDEX(tbl_recyclass[Conforme_Art7_2030],MATCH(A2358,tbl_recyclass[ProductId],0))="Sim","Conforme (meta 2030)",IF(INDEX(tbl_recyclass[Conforme_Art7_2030],MATCH(A2358,tbl_recyclass[ProductId],0))="Não","Lacuna face à meta 2030","Isento")),IF(B2358="EU-ENV-011",IF(INDEX(tbl_familias_ppwr[Metais_Pesados_Evidencia],MATCH(INDEX(tbl_recyclass[Familia_PPWR],MATCH(A2358,tbl_recyclass[ProductId],0)),tbl_familias_ppwr[ID_Familia],0))="Em falta","Lacuna","Conforme"),IF(B2358="EU-ENV-013",IF(INDEX(tbl_familias_ppwr[Declaracao_UE],MATCH(INDEX(tbl_recyclass[Familia_PPWR],MATCH(A2358,tbl_recyclass[ProductId],0)),tbl_familias_ppwr[ID_Familia],0))="Sim","Conforme","Lacuna"),G2358)))),G2358))</f>
        <v>Parcial</v>
      </c>
      <c r="I2358" s="33" t="str">
        <f t="shared" si="36"/>
        <v>Parcial</v>
      </c>
      <c r="J2358" s="26" t="s">
        <v>1012</v>
      </c>
    </row>
    <row r="2359" spans="1:10" ht="16.05" customHeight="1" x14ac:dyDescent="0.3">
      <c r="A2359" s="26" t="s">
        <v>866</v>
      </c>
      <c r="B2359" s="26" t="s">
        <v>1016</v>
      </c>
      <c r="C2359" s="33" t="str">
        <f>IFERROR(INDEX(tbl_requisitos_emb[Tema],MATCH(B2359,tbl_requisitos_emb[ID_Req],0)),"")</f>
        <v>Rotulagem</v>
      </c>
      <c r="D2359" s="33" t="str">
        <f>IFERROR(INDEX(tbl_recyclass[Segmento],MATCH(A2359,tbl_recyclass[ProductId],0)),"")</f>
        <v>Farmacêutico</v>
      </c>
      <c r="E2359" s="26" t="s">
        <v>901</v>
      </c>
      <c r="F2359" s="26" t="s">
        <v>1456</v>
      </c>
      <c r="G2359" s="26" t="s">
        <v>990</v>
      </c>
      <c r="H2359" s="33" t="str">
        <f>IF(E2359="Não","Não aplicável",IFERROR(IF(B2359="EU-ENV-002",IF(INDEX(tbl_recyclass[Conforme_PPWR_2030],MATCH(A2359,tbl_recyclass[ProductId],0))="Sim","Conforme (autoavaliação)",IF(INDEX(tbl_recyclass[Conforme_PPWR_2030],MATCH(A2359,tbl_recyclass[ProductId],0))="Não","Não conforme em 2030","Isento até 2035")),IF(B2359="EU-ENV-003",IF(INDEX(tbl_recyclass[Conforme_Art7_2030],MATCH(A2359,tbl_recyclass[ProductId],0))="Sim","Conforme (meta 2030)",IF(INDEX(tbl_recyclass[Conforme_Art7_2030],MATCH(A2359,tbl_recyclass[ProductId],0))="Não","Lacuna face à meta 2030","Isento")),IF(B2359="EU-ENV-011",IF(INDEX(tbl_familias_ppwr[Metais_Pesados_Evidencia],MATCH(INDEX(tbl_recyclass[Familia_PPWR],MATCH(A2359,tbl_recyclass[ProductId],0)),tbl_familias_ppwr[ID_Familia],0))="Em falta","Lacuna","Conforme"),IF(B2359="EU-ENV-013",IF(INDEX(tbl_familias_ppwr[Declaracao_UE],MATCH(INDEX(tbl_recyclass[Familia_PPWR],MATCH(A2359,tbl_recyclass[ProductId],0)),tbl_familias_ppwr[ID_Familia],0))="Sim","Conforme","Lacuna"),G2359)))),G2359))</f>
        <v>Futuro</v>
      </c>
      <c r="I2359" s="33" t="str">
        <f t="shared" si="36"/>
        <v>Futuro</v>
      </c>
      <c r="J2359" s="26" t="s">
        <v>1021</v>
      </c>
    </row>
    <row r="2360" spans="1:10" ht="16.05" customHeight="1" x14ac:dyDescent="0.3">
      <c r="A2360" s="26" t="s">
        <v>866</v>
      </c>
      <c r="B2360" s="26" t="s">
        <v>1038</v>
      </c>
      <c r="C2360" s="33" t="str">
        <f>IFERROR(INDEX(tbl_requisitos_emb[Tema],MATCH(B2360,tbl_requisitos_emb[ID_Req],0)),"")</f>
        <v>Plásticos de utilização única</v>
      </c>
      <c r="D2360" s="33" t="str">
        <f>IFERROR(INDEX(tbl_recyclass[Segmento],MATCH(A2360,tbl_recyclass[ProductId],0)),"")</f>
        <v>Farmacêutico</v>
      </c>
      <c r="E2360" s="26" t="s">
        <v>904</v>
      </c>
      <c r="F2360" s="26" t="s">
        <v>1457</v>
      </c>
      <c r="G2360" s="26" t="s">
        <v>1143</v>
      </c>
      <c r="H2360" s="33" t="str">
        <f>IF(E2360="Não","Não aplicável",IFERROR(IF(B2360="EU-ENV-002",IF(INDEX(tbl_recyclass[Conforme_PPWR_2030],MATCH(A2360,tbl_recyclass[ProductId],0))="Sim","Conforme (autoavaliação)",IF(INDEX(tbl_recyclass[Conforme_PPWR_2030],MATCH(A2360,tbl_recyclass[ProductId],0))="Não","Não conforme em 2030","Isento até 2035")),IF(B2360="EU-ENV-003",IF(INDEX(tbl_recyclass[Conforme_Art7_2030],MATCH(A2360,tbl_recyclass[ProductId],0))="Sim","Conforme (meta 2030)",IF(INDEX(tbl_recyclass[Conforme_Art7_2030],MATCH(A2360,tbl_recyclass[ProductId],0))="Não","Lacuna face à meta 2030","Isento")),IF(B2360="EU-ENV-011",IF(INDEX(tbl_familias_ppwr[Metais_Pesados_Evidencia],MATCH(INDEX(tbl_recyclass[Familia_PPWR],MATCH(A2360,tbl_recyclass[ProductId],0)),tbl_familias_ppwr[ID_Familia],0))="Em falta","Lacuna","Conforme"),IF(B2360="EU-ENV-013",IF(INDEX(tbl_familias_ppwr[Declaracao_UE],MATCH(INDEX(tbl_recyclass[Familia_PPWR],MATCH(A2360,tbl_recyclass[ProductId],0)),tbl_familias_ppwr[ID_Familia],0))="Sim","Conforme","Lacuna"),G2360)))),G2360))</f>
        <v>Não aplicável</v>
      </c>
      <c r="I2360" s="33" t="str">
        <f t="shared" si="36"/>
        <v>Não aplicável</v>
      </c>
      <c r="J2360" s="26"/>
    </row>
    <row r="2361" spans="1:10" ht="16.05" customHeight="1" x14ac:dyDescent="0.3">
      <c r="A2361" s="26" t="s">
        <v>866</v>
      </c>
      <c r="B2361" s="26" t="s">
        <v>1078</v>
      </c>
      <c r="C2361" s="33" t="str">
        <f>IFERROR(INDEX(tbl_requisitos_emb[Tema],MATCH(B2361,tbl_requisitos_emb[ID_Req],0)),"")</f>
        <v>Reciclado à escala</v>
      </c>
      <c r="D2361" s="33" t="str">
        <f>IFERROR(INDEX(tbl_recyclass[Segmento],MATCH(A2361,tbl_recyclass[ProductId],0)),"")</f>
        <v>Farmacêutico</v>
      </c>
      <c r="E2361" s="26" t="s">
        <v>901</v>
      </c>
      <c r="F2361" s="26" t="s">
        <v>1456</v>
      </c>
      <c r="G2361" s="26" t="s">
        <v>990</v>
      </c>
      <c r="H2361" s="33" t="str">
        <f>IF(E2361="Não","Não aplicável",IFERROR(IF(B2361="EU-ENV-002",IF(INDEX(tbl_recyclass[Conforme_PPWR_2030],MATCH(A2361,tbl_recyclass[ProductId],0))="Sim","Conforme (autoavaliação)",IF(INDEX(tbl_recyclass[Conforme_PPWR_2030],MATCH(A2361,tbl_recyclass[ProductId],0))="Não","Não conforme em 2030","Isento até 2035")),IF(B2361="EU-ENV-003",IF(INDEX(tbl_recyclass[Conforme_Art7_2030],MATCH(A2361,tbl_recyclass[ProductId],0))="Sim","Conforme (meta 2030)",IF(INDEX(tbl_recyclass[Conforme_Art7_2030],MATCH(A2361,tbl_recyclass[ProductId],0))="Não","Lacuna face à meta 2030","Isento")),IF(B2361="EU-ENV-011",IF(INDEX(tbl_familias_ppwr[Metais_Pesados_Evidencia],MATCH(INDEX(tbl_recyclass[Familia_PPWR],MATCH(A2361,tbl_recyclass[ProductId],0)),tbl_familias_ppwr[ID_Familia],0))="Em falta","Lacuna","Conforme"),IF(B2361="EU-ENV-013",IF(INDEX(tbl_familias_ppwr[Declaracao_UE],MATCH(INDEX(tbl_recyclass[Familia_PPWR],MATCH(A2361,tbl_recyclass[ProductId],0)),tbl_familias_ppwr[ID_Familia],0))="Sim","Conforme","Lacuna"),G2361)))),G2361))</f>
        <v>Futuro</v>
      </c>
      <c r="I2361" s="33" t="str">
        <f t="shared" si="36"/>
        <v>Futuro</v>
      </c>
      <c r="J2361" s="26" t="s">
        <v>1082</v>
      </c>
    </row>
    <row r="2362" spans="1:10" ht="16.05" customHeight="1" x14ac:dyDescent="0.3">
      <c r="A2362" s="26" t="s">
        <v>866</v>
      </c>
      <c r="B2362" s="26" t="s">
        <v>1086</v>
      </c>
      <c r="C2362" s="33" t="str">
        <f>IFERROR(INDEX(tbl_requisitos_emb[Tema],MATCH(B2362,tbl_requisitos_emb[ID_Req],0)),"")</f>
        <v>Metais pesados</v>
      </c>
      <c r="D2362" s="33" t="str">
        <f>IFERROR(INDEX(tbl_recyclass[Segmento],MATCH(A2362,tbl_recyclass[ProductId],0)),"")</f>
        <v>Farmacêutico</v>
      </c>
      <c r="E2362" s="26" t="s">
        <v>901</v>
      </c>
      <c r="F2362" s="26" t="s">
        <v>1456</v>
      </c>
      <c r="G2362" s="26" t="s">
        <v>978</v>
      </c>
      <c r="H2362" s="33" t="str">
        <f>IF(E2362="Não","Não aplicável",IFERROR(IF(B2362="EU-ENV-002",IF(INDEX(tbl_recyclass[Conforme_PPWR_2030],MATCH(A2362,tbl_recyclass[ProductId],0))="Sim","Conforme (autoavaliação)",IF(INDEX(tbl_recyclass[Conforme_PPWR_2030],MATCH(A2362,tbl_recyclass[ProductId],0))="Não","Não conforme em 2030","Isento até 2035")),IF(B2362="EU-ENV-003",IF(INDEX(tbl_recyclass[Conforme_Art7_2030],MATCH(A2362,tbl_recyclass[ProductId],0))="Sim","Conforme (meta 2030)",IF(INDEX(tbl_recyclass[Conforme_Art7_2030],MATCH(A2362,tbl_recyclass[ProductId],0))="Não","Lacuna face à meta 2030","Isento")),IF(B2362="EU-ENV-011",IF(INDEX(tbl_familias_ppwr[Metais_Pesados_Evidencia],MATCH(INDEX(tbl_recyclass[Familia_PPWR],MATCH(A2362,tbl_recyclass[ProductId],0)),tbl_familias_ppwr[ID_Familia],0))="Em falta","Lacuna","Conforme"),IF(B2362="EU-ENV-013",IF(INDEX(tbl_familias_ppwr[Declaracao_UE],MATCH(INDEX(tbl_recyclass[Familia_PPWR],MATCH(A2362,tbl_recyclass[ProductId],0)),tbl_familias_ppwr[ID_Familia],0))="Sim","Conforme","Lacuna"),G2362)))),G2362))</f>
        <v>Lacuna</v>
      </c>
      <c r="I2362" s="33" t="str">
        <f t="shared" si="36"/>
        <v>Lacuna</v>
      </c>
      <c r="J2362" s="26" t="s">
        <v>1090</v>
      </c>
    </row>
    <row r="2363" spans="1:10" ht="16.05" customHeight="1" x14ac:dyDescent="0.3">
      <c r="A2363" s="26" t="s">
        <v>866</v>
      </c>
      <c r="B2363" s="26" t="s">
        <v>1094</v>
      </c>
      <c r="C2363" s="33" t="str">
        <f>IFERROR(INDEX(tbl_requisitos_emb[Tema],MATCH(B2363,tbl_requisitos_emb[ID_Req],0)),"")</f>
        <v>PFAS</v>
      </c>
      <c r="D2363" s="33" t="str">
        <f>IFERROR(INDEX(tbl_recyclass[Segmento],MATCH(A2363,tbl_recyclass[ProductId],0)),"")</f>
        <v>Farmacêutico</v>
      </c>
      <c r="E2363" s="26" t="s">
        <v>904</v>
      </c>
      <c r="F2363" s="26" t="s">
        <v>1457</v>
      </c>
      <c r="G2363" s="26" t="s">
        <v>1143</v>
      </c>
      <c r="H2363" s="33" t="str">
        <f>IF(E2363="Não","Não aplicável",IFERROR(IF(B2363="EU-ENV-002",IF(INDEX(tbl_recyclass[Conforme_PPWR_2030],MATCH(A2363,tbl_recyclass[ProductId],0))="Sim","Conforme (autoavaliação)",IF(INDEX(tbl_recyclass[Conforme_PPWR_2030],MATCH(A2363,tbl_recyclass[ProductId],0))="Não","Não conforme em 2030","Isento até 2035")),IF(B2363="EU-ENV-003",IF(INDEX(tbl_recyclass[Conforme_Art7_2030],MATCH(A2363,tbl_recyclass[ProductId],0))="Sim","Conforme (meta 2030)",IF(INDEX(tbl_recyclass[Conforme_Art7_2030],MATCH(A2363,tbl_recyclass[ProductId],0))="Não","Lacuna face à meta 2030","Isento")),IF(B2363="EU-ENV-011",IF(INDEX(tbl_familias_ppwr[Metais_Pesados_Evidencia],MATCH(INDEX(tbl_recyclass[Familia_PPWR],MATCH(A2363,tbl_recyclass[ProductId],0)),tbl_familias_ppwr[ID_Familia],0))="Em falta","Lacuna","Conforme"),IF(B2363="EU-ENV-013",IF(INDEX(tbl_familias_ppwr[Declaracao_UE],MATCH(INDEX(tbl_recyclass[Familia_PPWR],MATCH(A2363,tbl_recyclass[ProductId],0)),tbl_familias_ppwr[ID_Familia],0))="Sim","Conforme","Lacuna"),G2363)))),G2363))</f>
        <v>Não aplicável</v>
      </c>
      <c r="I2363" s="33" t="str">
        <f t="shared" si="36"/>
        <v>Não aplicável</v>
      </c>
      <c r="J2363" s="26"/>
    </row>
    <row r="2364" spans="1:10" ht="16.05" customHeight="1" x14ac:dyDescent="0.3">
      <c r="A2364" s="26" t="s">
        <v>866</v>
      </c>
      <c r="B2364" s="26" t="s">
        <v>1102</v>
      </c>
      <c r="C2364" s="33" t="str">
        <f>IFERROR(INDEX(tbl_requisitos_emb[Tema],MATCH(B2364,tbl_requisitos_emb[ID_Req],0)),"")</f>
        <v>Documentação técnica e declaração UE</v>
      </c>
      <c r="D2364" s="33" t="str">
        <f>IFERROR(INDEX(tbl_recyclass[Segmento],MATCH(A2364,tbl_recyclass[ProductId],0)),"")</f>
        <v>Farmacêutico</v>
      </c>
      <c r="E2364" s="26" t="s">
        <v>901</v>
      </c>
      <c r="F2364" s="26" t="s">
        <v>1456</v>
      </c>
      <c r="G2364" s="26" t="s">
        <v>978</v>
      </c>
      <c r="H2364" s="33" t="str">
        <f>IF(E2364="Não","Não aplicável",IFERROR(IF(B2364="EU-ENV-002",IF(INDEX(tbl_recyclass[Conforme_PPWR_2030],MATCH(A2364,tbl_recyclass[ProductId],0))="Sim","Conforme (autoavaliação)",IF(INDEX(tbl_recyclass[Conforme_PPWR_2030],MATCH(A2364,tbl_recyclass[ProductId],0))="Não","Não conforme em 2030","Isento até 2035")),IF(B2364="EU-ENV-003",IF(INDEX(tbl_recyclass[Conforme_Art7_2030],MATCH(A2364,tbl_recyclass[ProductId],0))="Sim","Conforme (meta 2030)",IF(INDEX(tbl_recyclass[Conforme_Art7_2030],MATCH(A2364,tbl_recyclass[ProductId],0))="Não","Lacuna face à meta 2030","Isento")),IF(B2364="EU-ENV-011",IF(INDEX(tbl_familias_ppwr[Metais_Pesados_Evidencia],MATCH(INDEX(tbl_recyclass[Familia_PPWR],MATCH(A2364,tbl_recyclass[ProductId],0)),tbl_familias_ppwr[ID_Familia],0))="Em falta","Lacuna","Conforme"),IF(B2364="EU-ENV-013",IF(INDEX(tbl_familias_ppwr[Declaracao_UE],MATCH(INDEX(tbl_recyclass[Familia_PPWR],MATCH(A2364,tbl_recyclass[ProductId],0)),tbl_familias_ppwr[ID_Familia],0))="Sim","Conforme","Lacuna"),G2364)))),G2364))</f>
        <v>Lacuna</v>
      </c>
      <c r="I2364" s="33" t="str">
        <f t="shared" si="36"/>
        <v>Lacuna</v>
      </c>
      <c r="J2364" s="26" t="s">
        <v>1106</v>
      </c>
    </row>
    <row r="2365" spans="1:10" ht="16.05" customHeight="1" x14ac:dyDescent="0.3">
      <c r="A2365" s="26" t="s">
        <v>866</v>
      </c>
      <c r="B2365" s="26" t="s">
        <v>1161</v>
      </c>
      <c r="C2365" s="33" t="str">
        <f>IFERROR(INDEX(tbl_requisitos_emb[Tema],MATCH(B2365,tbl_requisitos_emb[ID_Req],0)),"")</f>
        <v>Materiais em contacto com alimentos</v>
      </c>
      <c r="D2365" s="33" t="str">
        <f>IFERROR(INDEX(tbl_recyclass[Segmento],MATCH(A2365,tbl_recyclass[ProductId],0)),"")</f>
        <v>Farmacêutico</v>
      </c>
      <c r="E2365" s="26" t="s">
        <v>904</v>
      </c>
      <c r="F2365" s="26" t="s">
        <v>1457</v>
      </c>
      <c r="G2365" s="26" t="s">
        <v>1143</v>
      </c>
      <c r="H2365" s="33" t="str">
        <f>IF(E2365="Não","Não aplicável",IFERROR(IF(B2365="EU-ENV-002",IF(INDEX(tbl_recyclass[Conforme_PPWR_2030],MATCH(A2365,tbl_recyclass[ProductId],0))="Sim","Conforme (autoavaliação)",IF(INDEX(tbl_recyclass[Conforme_PPWR_2030],MATCH(A2365,tbl_recyclass[ProductId],0))="Não","Não conforme em 2030","Isento até 2035")),IF(B2365="EU-ENV-003",IF(INDEX(tbl_recyclass[Conforme_Art7_2030],MATCH(A2365,tbl_recyclass[ProductId],0))="Sim","Conforme (meta 2030)",IF(INDEX(tbl_recyclass[Conforme_Art7_2030],MATCH(A2365,tbl_recyclass[ProductId],0))="Não","Lacuna face à meta 2030","Isento")),IF(B2365="EU-ENV-011",IF(INDEX(tbl_familias_ppwr[Metais_Pesados_Evidencia],MATCH(INDEX(tbl_recyclass[Familia_PPWR],MATCH(A2365,tbl_recyclass[ProductId],0)),tbl_familias_ppwr[ID_Familia],0))="Em falta","Lacuna","Conforme"),IF(B2365="EU-ENV-013",IF(INDEX(tbl_familias_ppwr[Declaracao_UE],MATCH(INDEX(tbl_recyclass[Familia_PPWR],MATCH(A2365,tbl_recyclass[ProductId],0)),tbl_familias_ppwr[ID_Familia],0))="Sim","Conforme","Lacuna"),G2365)))),G2365))</f>
        <v>Não aplicável</v>
      </c>
      <c r="I2365" s="33" t="str">
        <f t="shared" si="36"/>
        <v>Não aplicável</v>
      </c>
      <c r="J2365" s="26"/>
    </row>
    <row r="2366" spans="1:10" ht="16.05" customHeight="1" x14ac:dyDescent="0.3">
      <c r="A2366" s="26" t="s">
        <v>866</v>
      </c>
      <c r="B2366" s="26" t="s">
        <v>1170</v>
      </c>
      <c r="C2366" s="33" t="str">
        <f>IFERROR(INDEX(tbl_requisitos_emb[Tema],MATCH(B2366,tbl_requisitos_emb[ID_Req],0)),"")</f>
        <v>Boas práticas de fabrico FCM</v>
      </c>
      <c r="D2366" s="33" t="str">
        <f>IFERROR(INDEX(tbl_recyclass[Segmento],MATCH(A2366,tbl_recyclass[ProductId],0)),"")</f>
        <v>Farmacêutico</v>
      </c>
      <c r="E2366" s="26" t="s">
        <v>904</v>
      </c>
      <c r="F2366" s="26" t="s">
        <v>1457</v>
      </c>
      <c r="G2366" s="26" t="s">
        <v>1143</v>
      </c>
      <c r="H2366" s="33" t="str">
        <f>IF(E2366="Não","Não aplicável",IFERROR(IF(B2366="EU-ENV-002",IF(INDEX(tbl_recyclass[Conforme_PPWR_2030],MATCH(A2366,tbl_recyclass[ProductId],0))="Sim","Conforme (autoavaliação)",IF(INDEX(tbl_recyclass[Conforme_PPWR_2030],MATCH(A2366,tbl_recyclass[ProductId],0))="Não","Não conforme em 2030","Isento até 2035")),IF(B2366="EU-ENV-003",IF(INDEX(tbl_recyclass[Conforme_Art7_2030],MATCH(A2366,tbl_recyclass[ProductId],0))="Sim","Conforme (meta 2030)",IF(INDEX(tbl_recyclass[Conforme_Art7_2030],MATCH(A2366,tbl_recyclass[ProductId],0))="Não","Lacuna face à meta 2030","Isento")),IF(B2366="EU-ENV-011",IF(INDEX(tbl_familias_ppwr[Metais_Pesados_Evidencia],MATCH(INDEX(tbl_recyclass[Familia_PPWR],MATCH(A2366,tbl_recyclass[ProductId],0)),tbl_familias_ppwr[ID_Familia],0))="Em falta","Lacuna","Conforme"),IF(B2366="EU-ENV-013",IF(INDEX(tbl_familias_ppwr[Declaracao_UE],MATCH(INDEX(tbl_recyclass[Familia_PPWR],MATCH(A2366,tbl_recyclass[ProductId],0)),tbl_familias_ppwr[ID_Familia],0))="Sim","Conforme","Lacuna"),G2366)))),G2366))</f>
        <v>Não aplicável</v>
      </c>
      <c r="I2366" s="33" t="str">
        <f t="shared" si="36"/>
        <v>Não aplicável</v>
      </c>
      <c r="J2366" s="26"/>
    </row>
    <row r="2367" spans="1:10" ht="16.05" customHeight="1" x14ac:dyDescent="0.3">
      <c r="A2367" s="26" t="s">
        <v>866</v>
      </c>
      <c r="B2367" s="26" t="s">
        <v>1179</v>
      </c>
      <c r="C2367" s="33" t="str">
        <f>IFERROR(INDEX(tbl_requisitos_emb[Tema],MATCH(B2367,tbl_requisitos_emb[ID_Req],0)),"")</f>
        <v>Bisfenol A e bisfenóis perigosos</v>
      </c>
      <c r="D2367" s="33" t="str">
        <f>IFERROR(INDEX(tbl_recyclass[Segmento],MATCH(A2367,tbl_recyclass[ProductId],0)),"")</f>
        <v>Farmacêutico</v>
      </c>
      <c r="E2367" s="26" t="s">
        <v>904</v>
      </c>
      <c r="F2367" s="26" t="s">
        <v>1457</v>
      </c>
      <c r="G2367" s="26" t="s">
        <v>1143</v>
      </c>
      <c r="H2367" s="33" t="str">
        <f>IF(E2367="Não","Não aplicável",IFERROR(IF(B2367="EU-ENV-002",IF(INDEX(tbl_recyclass[Conforme_PPWR_2030],MATCH(A2367,tbl_recyclass[ProductId],0))="Sim","Conforme (autoavaliação)",IF(INDEX(tbl_recyclass[Conforme_PPWR_2030],MATCH(A2367,tbl_recyclass[ProductId],0))="Não","Não conforme em 2030","Isento até 2035")),IF(B2367="EU-ENV-003",IF(INDEX(tbl_recyclass[Conforme_Art7_2030],MATCH(A2367,tbl_recyclass[ProductId],0))="Sim","Conforme (meta 2030)",IF(INDEX(tbl_recyclass[Conforme_Art7_2030],MATCH(A2367,tbl_recyclass[ProductId],0))="Não","Lacuna face à meta 2030","Isento")),IF(B2367="EU-ENV-011",IF(INDEX(tbl_familias_ppwr[Metais_Pesados_Evidencia],MATCH(INDEX(tbl_recyclass[Familia_PPWR],MATCH(A2367,tbl_recyclass[ProductId],0)),tbl_familias_ppwr[ID_Familia],0))="Em falta","Lacuna","Conforme"),IF(B2367="EU-ENV-013",IF(INDEX(tbl_familias_ppwr[Declaracao_UE],MATCH(INDEX(tbl_recyclass[Familia_PPWR],MATCH(A2367,tbl_recyclass[ProductId],0)),tbl_familias_ppwr[ID_Familia],0))="Sim","Conforme","Lacuna"),G2367)))),G2367))</f>
        <v>Não aplicável</v>
      </c>
      <c r="I2367" s="33" t="str">
        <f t="shared" si="36"/>
        <v>Não aplicável</v>
      </c>
      <c r="J2367" s="26"/>
    </row>
    <row r="2368" spans="1:10" ht="16.05" customHeight="1" x14ac:dyDescent="0.3">
      <c r="A2368" s="26" t="s">
        <v>866</v>
      </c>
      <c r="B2368" s="26" t="s">
        <v>1188</v>
      </c>
      <c r="C2368" s="33" t="str">
        <f>IFERROR(INDEX(tbl_requisitos_emb[Tema],MATCH(B2368,tbl_requisitos_emb[ID_Req],0)),"")</f>
        <v>Plásticos em contacto com alimentos</v>
      </c>
      <c r="D2368" s="33" t="str">
        <f>IFERROR(INDEX(tbl_recyclass[Segmento],MATCH(A2368,tbl_recyclass[ProductId],0)),"")</f>
        <v>Farmacêutico</v>
      </c>
      <c r="E2368" s="26" t="s">
        <v>904</v>
      </c>
      <c r="F2368" s="26" t="s">
        <v>1457</v>
      </c>
      <c r="G2368" s="26" t="s">
        <v>1143</v>
      </c>
      <c r="H2368" s="33" t="str">
        <f>IF(E2368="Não","Não aplicável",IFERROR(IF(B2368="EU-ENV-002",IF(INDEX(tbl_recyclass[Conforme_PPWR_2030],MATCH(A2368,tbl_recyclass[ProductId],0))="Sim","Conforme (autoavaliação)",IF(INDEX(tbl_recyclass[Conforme_PPWR_2030],MATCH(A2368,tbl_recyclass[ProductId],0))="Não","Não conforme em 2030","Isento até 2035")),IF(B2368="EU-ENV-003",IF(INDEX(tbl_recyclass[Conforme_Art7_2030],MATCH(A2368,tbl_recyclass[ProductId],0))="Sim","Conforme (meta 2030)",IF(INDEX(tbl_recyclass[Conforme_Art7_2030],MATCH(A2368,tbl_recyclass[ProductId],0))="Não","Lacuna face à meta 2030","Isento")),IF(B2368="EU-ENV-011",IF(INDEX(tbl_familias_ppwr[Metais_Pesados_Evidencia],MATCH(INDEX(tbl_recyclass[Familia_PPWR],MATCH(A2368,tbl_recyclass[ProductId],0)),tbl_familias_ppwr[ID_Familia],0))="Em falta","Lacuna","Conforme"),IF(B2368="EU-ENV-013",IF(INDEX(tbl_familias_ppwr[Declaracao_UE],MATCH(INDEX(tbl_recyclass[Familia_PPWR],MATCH(A2368,tbl_recyclass[ProductId],0)),tbl_familias_ppwr[ID_Familia],0))="Sim","Conforme","Lacuna"),G2368)))),G2368))</f>
        <v>Não aplicável</v>
      </c>
      <c r="I2368" s="33" t="str">
        <f t="shared" si="36"/>
        <v>Não aplicável</v>
      </c>
      <c r="J2368" s="26"/>
    </row>
    <row r="2369" spans="1:10" ht="16.05" customHeight="1" x14ac:dyDescent="0.3">
      <c r="A2369" s="26" t="s">
        <v>866</v>
      </c>
      <c r="B2369" s="26" t="s">
        <v>1212</v>
      </c>
      <c r="C2369" s="33" t="str">
        <f>IFERROR(INDEX(tbl_requisitos_emb[Tema],MATCH(B2369,tbl_requisitos_emb[ID_Req],0)),"")</f>
        <v>Segurança do produto cosmético</v>
      </c>
      <c r="D2369" s="33" t="str">
        <f>IFERROR(INDEX(tbl_recyclass[Segmento],MATCH(A2369,tbl_recyclass[ProductId],0)),"")</f>
        <v>Farmacêutico</v>
      </c>
      <c r="E2369" s="26" t="s">
        <v>904</v>
      </c>
      <c r="F2369" s="26" t="s">
        <v>1458</v>
      </c>
      <c r="G2369" s="26" t="s">
        <v>1143</v>
      </c>
      <c r="H2369" s="33" t="str">
        <f>IF(E2369="Não","Não aplicável",IFERROR(IF(B2369="EU-ENV-002",IF(INDEX(tbl_recyclass[Conforme_PPWR_2030],MATCH(A2369,tbl_recyclass[ProductId],0))="Sim","Conforme (autoavaliação)",IF(INDEX(tbl_recyclass[Conforme_PPWR_2030],MATCH(A2369,tbl_recyclass[ProductId],0))="Não","Não conforme em 2030","Isento até 2035")),IF(B2369="EU-ENV-003",IF(INDEX(tbl_recyclass[Conforme_Art7_2030],MATCH(A2369,tbl_recyclass[ProductId],0))="Sim","Conforme (meta 2030)",IF(INDEX(tbl_recyclass[Conforme_Art7_2030],MATCH(A2369,tbl_recyclass[ProductId],0))="Não","Lacuna face à meta 2030","Isento")),IF(B2369="EU-ENV-011",IF(INDEX(tbl_familias_ppwr[Metais_Pesados_Evidencia],MATCH(INDEX(tbl_recyclass[Familia_PPWR],MATCH(A2369,tbl_recyclass[ProductId],0)),tbl_familias_ppwr[ID_Familia],0))="Em falta","Lacuna","Conforme"),IF(B2369="EU-ENV-013",IF(INDEX(tbl_familias_ppwr[Declaracao_UE],MATCH(INDEX(tbl_recyclass[Familia_PPWR],MATCH(A2369,tbl_recyclass[ProductId],0)),tbl_familias_ppwr[ID_Familia],0))="Sim","Conforme","Lacuna"),G2369)))),G2369))</f>
        <v>Não aplicável</v>
      </c>
      <c r="I2369" s="33" t="str">
        <f t="shared" si="36"/>
        <v>Não aplicável</v>
      </c>
      <c r="J2369" s="26"/>
    </row>
    <row r="2370" spans="1:10" ht="16.05" customHeight="1" x14ac:dyDescent="0.3">
      <c r="A2370" s="26" t="s">
        <v>866</v>
      </c>
      <c r="B2370" s="26" t="s">
        <v>1224</v>
      </c>
      <c r="C2370" s="33" t="str">
        <f>IFERROR(INDEX(tbl_requisitos_emb[Tema],MATCH(B2370,tbl_requisitos_emb[ID_Req],0)),"")</f>
        <v>Materiais e impurezas</v>
      </c>
      <c r="D2370" s="33" t="str">
        <f>IFERROR(INDEX(tbl_recyclass[Segmento],MATCH(A2370,tbl_recyclass[ProductId],0)),"")</f>
        <v>Farmacêutico</v>
      </c>
      <c r="E2370" s="26" t="s">
        <v>904</v>
      </c>
      <c r="F2370" s="26" t="s">
        <v>1458</v>
      </c>
      <c r="G2370" s="26" t="s">
        <v>1143</v>
      </c>
      <c r="H2370" s="33" t="str">
        <f>IF(E2370="Não","Não aplicável",IFERROR(IF(B2370="EU-ENV-002",IF(INDEX(tbl_recyclass[Conforme_PPWR_2030],MATCH(A2370,tbl_recyclass[ProductId],0))="Sim","Conforme (autoavaliação)",IF(INDEX(tbl_recyclass[Conforme_PPWR_2030],MATCH(A2370,tbl_recyclass[ProductId],0))="Não","Não conforme em 2030","Isento até 2035")),IF(B2370="EU-ENV-003",IF(INDEX(tbl_recyclass[Conforme_Art7_2030],MATCH(A2370,tbl_recyclass[ProductId],0))="Sim","Conforme (meta 2030)",IF(INDEX(tbl_recyclass[Conforme_Art7_2030],MATCH(A2370,tbl_recyclass[ProductId],0))="Não","Lacuna face à meta 2030","Isento")),IF(B2370="EU-ENV-011",IF(INDEX(tbl_familias_ppwr[Metais_Pesados_Evidencia],MATCH(INDEX(tbl_recyclass[Familia_PPWR],MATCH(A2370,tbl_recyclass[ProductId],0)),tbl_familias_ppwr[ID_Familia],0))="Em falta","Lacuna","Conforme"),IF(B2370="EU-ENV-013",IF(INDEX(tbl_familias_ppwr[Declaracao_UE],MATCH(INDEX(tbl_recyclass[Familia_PPWR],MATCH(A2370,tbl_recyclass[ProductId],0)),tbl_familias_ppwr[ID_Familia],0))="Sim","Conforme","Lacuna"),G2370)))),G2370))</f>
        <v>Não aplicável</v>
      </c>
      <c r="I2370" s="33" t="str">
        <f t="shared" ref="I2370:I2433" si="37">IF(ISNUMBER(SEARCH("Não aplicável",H2370)),"Não aplicável",IF(ISNUMBER(SEARCH("Isento",H2370)),"Isento",IF(ISNUMBER(SEARCH("Não conforme",H2370)),"Não conforme",IF(ISNUMBER(SEARCH("Lacuna",H2370)),"Lacuna",IF(ISNUMBER(SEARCH("Conforme",H2370)),"Conforme",H2370)))))</f>
        <v>Não aplicável</v>
      </c>
      <c r="J2370" s="26"/>
    </row>
    <row r="2371" spans="1:10" ht="16.05" customHeight="1" x14ac:dyDescent="0.3">
      <c r="A2371" s="26" t="s">
        <v>866</v>
      </c>
      <c r="B2371" s="26" t="s">
        <v>1240</v>
      </c>
      <c r="C2371" s="33" t="str">
        <f>IFERROR(INDEX(tbl_requisitos_emb[Tema],MATCH(B2371,tbl_requisitos_emb[ID_Req],0)),"")</f>
        <v>Compatibilidade embalagem–produto</v>
      </c>
      <c r="D2371" s="33" t="str">
        <f>IFERROR(INDEX(tbl_recyclass[Segmento],MATCH(A2371,tbl_recyclass[ProductId],0)),"")</f>
        <v>Farmacêutico</v>
      </c>
      <c r="E2371" s="26" t="s">
        <v>904</v>
      </c>
      <c r="F2371" s="26" t="s">
        <v>1458</v>
      </c>
      <c r="G2371" s="26" t="s">
        <v>1143</v>
      </c>
      <c r="H2371" s="33" t="str">
        <f>IF(E2371="Não","Não aplicável",IFERROR(IF(B2371="EU-ENV-002",IF(INDEX(tbl_recyclass[Conforme_PPWR_2030],MATCH(A2371,tbl_recyclass[ProductId],0))="Sim","Conforme (autoavaliação)",IF(INDEX(tbl_recyclass[Conforme_PPWR_2030],MATCH(A2371,tbl_recyclass[ProductId],0))="Não","Não conforme em 2030","Isento até 2035")),IF(B2371="EU-ENV-003",IF(INDEX(tbl_recyclass[Conforme_Art7_2030],MATCH(A2371,tbl_recyclass[ProductId],0))="Sim","Conforme (meta 2030)",IF(INDEX(tbl_recyclass[Conforme_Art7_2030],MATCH(A2371,tbl_recyclass[ProductId],0))="Não","Lacuna face à meta 2030","Isento")),IF(B2371="EU-ENV-011",IF(INDEX(tbl_familias_ppwr[Metais_Pesados_Evidencia],MATCH(INDEX(tbl_recyclass[Familia_PPWR],MATCH(A2371,tbl_recyclass[ProductId],0)),tbl_familias_ppwr[ID_Familia],0))="Em falta","Lacuna","Conforme"),IF(B2371="EU-ENV-013",IF(INDEX(tbl_familias_ppwr[Declaracao_UE],MATCH(INDEX(tbl_recyclass[Familia_PPWR],MATCH(A2371,tbl_recyclass[ProductId],0)),tbl_familias_ppwr[ID_Familia],0))="Sim","Conforme","Lacuna"),G2371)))),G2371))</f>
        <v>Não aplicável</v>
      </c>
      <c r="I2371" s="33" t="str">
        <f t="shared" si="37"/>
        <v>Não aplicável</v>
      </c>
      <c r="J2371" s="26"/>
    </row>
    <row r="2372" spans="1:10" ht="16.05" customHeight="1" x14ac:dyDescent="0.3">
      <c r="A2372" s="26" t="s">
        <v>866</v>
      </c>
      <c r="B2372" s="26" t="s">
        <v>1252</v>
      </c>
      <c r="C2372" s="33" t="str">
        <f>IFERROR(INDEX(tbl_requisitos_emb[Tema],MATCH(B2372,tbl_requisitos_emb[ID_Req],0)),"")</f>
        <v>Medicamentos de uso humano</v>
      </c>
      <c r="D2372" s="33" t="str">
        <f>IFERROR(INDEX(tbl_recyclass[Segmento],MATCH(A2372,tbl_recyclass[ProductId],0)),"")</f>
        <v>Farmacêutico</v>
      </c>
      <c r="E2372" s="26" t="s">
        <v>901</v>
      </c>
      <c r="F2372" s="26" t="s">
        <v>1456</v>
      </c>
      <c r="G2372" s="26" t="s">
        <v>1033</v>
      </c>
      <c r="H2372" s="33" t="str">
        <f>IF(E2372="Não","Não aplicável",IFERROR(IF(B2372="EU-ENV-002",IF(INDEX(tbl_recyclass[Conforme_PPWR_2030],MATCH(A2372,tbl_recyclass[ProductId],0))="Sim","Conforme (autoavaliação)",IF(INDEX(tbl_recyclass[Conforme_PPWR_2030],MATCH(A2372,tbl_recyclass[ProductId],0))="Não","Não conforme em 2030","Isento até 2035")),IF(B2372="EU-ENV-003",IF(INDEX(tbl_recyclass[Conforme_Art7_2030],MATCH(A2372,tbl_recyclass[ProductId],0))="Sim","Conforme (meta 2030)",IF(INDEX(tbl_recyclass[Conforme_Art7_2030],MATCH(A2372,tbl_recyclass[ProductId],0))="Não","Lacuna face à meta 2030","Isento")),IF(B2372="EU-ENV-011",IF(INDEX(tbl_familias_ppwr[Metais_Pesados_Evidencia],MATCH(INDEX(tbl_recyclass[Familia_PPWR],MATCH(A2372,tbl_recyclass[ProductId],0)),tbl_familias_ppwr[ID_Familia],0))="Em falta","Lacuna","Conforme"),IF(B2372="EU-ENV-013",IF(INDEX(tbl_familias_ppwr[Declaracao_UE],MATCH(INDEX(tbl_recyclass[Familia_PPWR],MATCH(A2372,tbl_recyclass[ProductId],0)),tbl_familias_ppwr[ID_Familia],0))="Sim","Conforme","Lacuna"),G2372)))),G2372))</f>
        <v>Conforme</v>
      </c>
      <c r="I2372" s="33" t="str">
        <f t="shared" si="37"/>
        <v>Conforme</v>
      </c>
      <c r="J2372" s="26" t="s">
        <v>1259</v>
      </c>
    </row>
    <row r="2373" spans="1:10" ht="16.05" customHeight="1" x14ac:dyDescent="0.3">
      <c r="A2373" s="26" t="s">
        <v>866</v>
      </c>
      <c r="B2373" s="26" t="s">
        <v>1268</v>
      </c>
      <c r="C2373" s="33" t="str">
        <f>IFERROR(INDEX(tbl_requisitos_emb[Tema],MATCH(B2373,tbl_requisitos_emb[ID_Req],0)),"")</f>
        <v>Dispositivos de segurança</v>
      </c>
      <c r="D2373" s="33" t="str">
        <f>IFERROR(INDEX(tbl_recyclass[Segmento],MATCH(A2373,tbl_recyclass[ProductId],0)),"")</f>
        <v>Farmacêutico</v>
      </c>
      <c r="E2373" s="26" t="s">
        <v>901</v>
      </c>
      <c r="F2373" s="26" t="s">
        <v>1456</v>
      </c>
      <c r="G2373" s="26" t="s">
        <v>1033</v>
      </c>
      <c r="H2373" s="33" t="str">
        <f>IF(E2373="Não","Não aplicável",IFERROR(IF(B2373="EU-ENV-002",IF(INDEX(tbl_recyclass[Conforme_PPWR_2030],MATCH(A2373,tbl_recyclass[ProductId],0))="Sim","Conforme (autoavaliação)",IF(INDEX(tbl_recyclass[Conforme_PPWR_2030],MATCH(A2373,tbl_recyclass[ProductId],0))="Não","Não conforme em 2030","Isento até 2035")),IF(B2373="EU-ENV-003",IF(INDEX(tbl_recyclass[Conforme_Art7_2030],MATCH(A2373,tbl_recyclass[ProductId],0))="Sim","Conforme (meta 2030)",IF(INDEX(tbl_recyclass[Conforme_Art7_2030],MATCH(A2373,tbl_recyclass[ProductId],0))="Não","Lacuna face à meta 2030","Isento")),IF(B2373="EU-ENV-011",IF(INDEX(tbl_familias_ppwr[Metais_Pesados_Evidencia],MATCH(INDEX(tbl_recyclass[Familia_PPWR],MATCH(A2373,tbl_recyclass[ProductId],0)),tbl_familias_ppwr[ID_Familia],0))="Em falta","Lacuna","Conforme"),IF(B2373="EU-ENV-013",IF(INDEX(tbl_familias_ppwr[Declaracao_UE],MATCH(INDEX(tbl_recyclass[Familia_PPWR],MATCH(A2373,tbl_recyclass[ProductId],0)),tbl_familias_ppwr[ID_Familia],0))="Sim","Conforme","Lacuna"),G2373)))),G2373))</f>
        <v>Conforme</v>
      </c>
      <c r="I2373" s="33" t="str">
        <f t="shared" si="37"/>
        <v>Conforme</v>
      </c>
      <c r="J2373" s="26" t="s">
        <v>1274</v>
      </c>
    </row>
    <row r="2374" spans="1:10" ht="16.05" customHeight="1" x14ac:dyDescent="0.3">
      <c r="A2374" s="26" t="s">
        <v>866</v>
      </c>
      <c r="B2374" s="26" t="s">
        <v>1285</v>
      </c>
      <c r="C2374" s="33" t="str">
        <f>IFERROR(INDEX(tbl_requisitos_emb[Tema],MATCH(B2374,tbl_requisitos_emb[ID_Req],0)),"")</f>
        <v>Materiais plásticos de acondicionamento primário</v>
      </c>
      <c r="D2374" s="33" t="str">
        <f>IFERROR(INDEX(tbl_recyclass[Segmento],MATCH(A2374,tbl_recyclass[ProductId],0)),"")</f>
        <v>Farmacêutico</v>
      </c>
      <c r="E2374" s="26" t="s">
        <v>901</v>
      </c>
      <c r="F2374" s="26" t="s">
        <v>1456</v>
      </c>
      <c r="G2374" s="26" t="s">
        <v>978</v>
      </c>
      <c r="H2374" s="33" t="str">
        <f>IF(E2374="Não","Não aplicável",IFERROR(IF(B2374="EU-ENV-002",IF(INDEX(tbl_recyclass[Conforme_PPWR_2030],MATCH(A2374,tbl_recyclass[ProductId],0))="Sim","Conforme (autoavaliação)",IF(INDEX(tbl_recyclass[Conforme_PPWR_2030],MATCH(A2374,tbl_recyclass[ProductId],0))="Não","Não conforme em 2030","Isento até 2035")),IF(B2374="EU-ENV-003",IF(INDEX(tbl_recyclass[Conforme_Art7_2030],MATCH(A2374,tbl_recyclass[ProductId],0))="Sim","Conforme (meta 2030)",IF(INDEX(tbl_recyclass[Conforme_Art7_2030],MATCH(A2374,tbl_recyclass[ProductId],0))="Não","Lacuna face à meta 2030","Isento")),IF(B2374="EU-ENV-011",IF(INDEX(tbl_familias_ppwr[Metais_Pesados_Evidencia],MATCH(INDEX(tbl_recyclass[Familia_PPWR],MATCH(A2374,tbl_recyclass[ProductId],0)),tbl_familias_ppwr[ID_Familia],0))="Em falta","Lacuna","Conforme"),IF(B2374="EU-ENV-013",IF(INDEX(tbl_familias_ppwr[Declaracao_UE],MATCH(INDEX(tbl_recyclass[Familia_PPWR],MATCH(A2374,tbl_recyclass[ProductId],0)),tbl_familias_ppwr[ID_Familia],0))="Sim","Conforme","Lacuna"),G2374)))),G2374))</f>
        <v>Parcial</v>
      </c>
      <c r="I2374" s="33" t="str">
        <f t="shared" si="37"/>
        <v>Parcial</v>
      </c>
      <c r="J2374" s="26" t="s">
        <v>1290</v>
      </c>
    </row>
    <row r="2375" spans="1:10" ht="16.05" customHeight="1" x14ac:dyDescent="0.3">
      <c r="A2375" s="26" t="s">
        <v>866</v>
      </c>
      <c r="B2375" s="26" t="s">
        <v>1293</v>
      </c>
      <c r="C2375" s="33" t="str">
        <f>IFERROR(INDEX(tbl_requisitos_emb[Tema],MATCH(B2375,tbl_requisitos_emb[ID_Req],0)),"")</f>
        <v>Isenções PPWR</v>
      </c>
      <c r="D2375" s="33" t="str">
        <f>IFERROR(INDEX(tbl_recyclass[Segmento],MATCH(A2375,tbl_recyclass[ProductId],0)),"")</f>
        <v>Farmacêutico</v>
      </c>
      <c r="E2375" s="26" t="s">
        <v>901</v>
      </c>
      <c r="F2375" s="26" t="s">
        <v>1456</v>
      </c>
      <c r="G2375" s="26" t="s">
        <v>978</v>
      </c>
      <c r="H2375" s="33" t="str">
        <f>IF(E2375="Não","Não aplicável",IFERROR(IF(B2375="EU-ENV-002",IF(INDEX(tbl_recyclass[Conforme_PPWR_2030],MATCH(A2375,tbl_recyclass[ProductId],0))="Sim","Conforme (autoavaliação)",IF(INDEX(tbl_recyclass[Conforme_PPWR_2030],MATCH(A2375,tbl_recyclass[ProductId],0))="Não","Não conforme em 2030","Isento até 2035")),IF(B2375="EU-ENV-003",IF(INDEX(tbl_recyclass[Conforme_Art7_2030],MATCH(A2375,tbl_recyclass[ProductId],0))="Sim","Conforme (meta 2030)",IF(INDEX(tbl_recyclass[Conforme_Art7_2030],MATCH(A2375,tbl_recyclass[ProductId],0))="Não","Lacuna face à meta 2030","Isento")),IF(B2375="EU-ENV-011",IF(INDEX(tbl_familias_ppwr[Metais_Pesados_Evidencia],MATCH(INDEX(tbl_recyclass[Familia_PPWR],MATCH(A2375,tbl_recyclass[ProductId],0)),tbl_familias_ppwr[ID_Familia],0))="Em falta","Lacuna","Conforme"),IF(B2375="EU-ENV-013",IF(INDEX(tbl_familias_ppwr[Declaracao_UE],MATCH(INDEX(tbl_recyclass[Familia_PPWR],MATCH(A2375,tbl_recyclass[ProductId],0)),tbl_familias_ppwr[ID_Familia],0))="Sim","Conforme","Lacuna"),G2375)))),G2375))</f>
        <v>Parcial</v>
      </c>
      <c r="I2375" s="33" t="str">
        <f t="shared" si="37"/>
        <v>Parcial</v>
      </c>
      <c r="J2375" s="26" t="s">
        <v>1298</v>
      </c>
    </row>
    <row r="2376" spans="1:10" ht="16.05" customHeight="1" x14ac:dyDescent="0.3">
      <c r="A2376" s="26" t="s">
        <v>866</v>
      </c>
      <c r="B2376" s="26" t="s">
        <v>1357</v>
      </c>
      <c r="C2376" s="33" t="str">
        <f>IFERROR(INDEX(tbl_requisitos_emb[Tema],MATCH(B2376,tbl_requisitos_emb[ID_Req],0)),"")</f>
        <v>Identificação de plásticos</v>
      </c>
      <c r="D2376" s="33" t="str">
        <f>IFERROR(INDEX(tbl_recyclass[Segmento],MATCH(A2376,tbl_recyclass[ProductId],0)),"")</f>
        <v>Farmacêutico</v>
      </c>
      <c r="E2376" s="26" t="s">
        <v>901</v>
      </c>
      <c r="F2376" s="26" t="s">
        <v>1456</v>
      </c>
      <c r="G2376" s="26" t="s">
        <v>978</v>
      </c>
      <c r="H2376" s="33" t="str">
        <f>IF(E2376="Não","Não aplicável",IFERROR(IF(B2376="EU-ENV-002",IF(INDEX(tbl_recyclass[Conforme_PPWR_2030],MATCH(A2376,tbl_recyclass[ProductId],0))="Sim","Conforme (autoavaliação)",IF(INDEX(tbl_recyclass[Conforme_PPWR_2030],MATCH(A2376,tbl_recyclass[ProductId],0))="Não","Não conforme em 2030","Isento até 2035")),IF(B2376="EU-ENV-003",IF(INDEX(tbl_recyclass[Conforme_Art7_2030],MATCH(A2376,tbl_recyclass[ProductId],0))="Sim","Conforme (meta 2030)",IF(INDEX(tbl_recyclass[Conforme_Art7_2030],MATCH(A2376,tbl_recyclass[ProductId],0))="Não","Lacuna face à meta 2030","Isento")),IF(B2376="EU-ENV-011",IF(INDEX(tbl_familias_ppwr[Metais_Pesados_Evidencia],MATCH(INDEX(tbl_recyclass[Familia_PPWR],MATCH(A2376,tbl_recyclass[ProductId],0)),tbl_familias_ppwr[ID_Familia],0))="Em falta","Lacuna","Conforme"),IF(B2376="EU-ENV-013",IF(INDEX(tbl_familias_ppwr[Declaracao_UE],MATCH(INDEX(tbl_recyclass[Familia_PPWR],MATCH(A2376,tbl_recyclass[ProductId],0)),tbl_familias_ppwr[ID_Familia],0))="Sim","Conforme","Lacuna"),G2376)))),G2376))</f>
        <v>Parcial</v>
      </c>
      <c r="I2376" s="33" t="str">
        <f t="shared" si="37"/>
        <v>Parcial</v>
      </c>
      <c r="J2376" s="26" t="s">
        <v>1362</v>
      </c>
    </row>
    <row r="2377" spans="1:10" ht="16.05" customHeight="1" x14ac:dyDescent="0.3">
      <c r="A2377" s="26" t="s">
        <v>866</v>
      </c>
      <c r="B2377" s="26" t="s">
        <v>1385</v>
      </c>
      <c r="C2377" s="33" t="str">
        <f>IFERROR(INDEX(tbl_requisitos_emb[Tema],MATCH(B2377,tbl_requisitos_emb[ID_Req],0)),"")</f>
        <v>Reciclabilidade (voluntária)</v>
      </c>
      <c r="D2377" s="33" t="str">
        <f>IFERROR(INDEX(tbl_recyclass[Segmento],MATCH(A2377,tbl_recyclass[ProductId],0)),"")</f>
        <v>Farmacêutico</v>
      </c>
      <c r="E2377" s="26" t="s">
        <v>901</v>
      </c>
      <c r="F2377" s="26" t="s">
        <v>1456</v>
      </c>
      <c r="G2377" s="26" t="s">
        <v>978</v>
      </c>
      <c r="H2377" s="33" t="str">
        <f>IF(E2377="Não","Não aplicável",IFERROR(IF(B2377="EU-ENV-002",IF(INDEX(tbl_recyclass[Conforme_PPWR_2030],MATCH(A2377,tbl_recyclass[ProductId],0))="Sim","Conforme (autoavaliação)",IF(INDEX(tbl_recyclass[Conforme_PPWR_2030],MATCH(A2377,tbl_recyclass[ProductId],0))="Não","Não conforme em 2030","Isento até 2035")),IF(B2377="EU-ENV-003",IF(INDEX(tbl_recyclass[Conforme_Art7_2030],MATCH(A2377,tbl_recyclass[ProductId],0))="Sim","Conforme (meta 2030)",IF(INDEX(tbl_recyclass[Conforme_Art7_2030],MATCH(A2377,tbl_recyclass[ProductId],0))="Não","Lacuna face à meta 2030","Isento")),IF(B2377="EU-ENV-011",IF(INDEX(tbl_familias_ppwr[Metais_Pesados_Evidencia],MATCH(INDEX(tbl_recyclass[Familia_PPWR],MATCH(A2377,tbl_recyclass[ProductId],0)),tbl_familias_ppwr[ID_Familia],0))="Em falta","Lacuna","Conforme"),IF(B2377="EU-ENV-013",IF(INDEX(tbl_familias_ppwr[Declaracao_UE],MATCH(INDEX(tbl_recyclass[Familia_PPWR],MATCH(A2377,tbl_recyclass[ProductId],0)),tbl_familias_ppwr[ID_Familia],0))="Sim","Conforme","Lacuna"),G2377)))),G2377))</f>
        <v>Parcial</v>
      </c>
      <c r="I2377" s="33" t="str">
        <f t="shared" si="37"/>
        <v>Parcial</v>
      </c>
      <c r="J2377" s="26" t="s">
        <v>1389</v>
      </c>
    </row>
    <row r="2378" spans="1:10" ht="16.05" customHeight="1" x14ac:dyDescent="0.3">
      <c r="A2378" s="26" t="s">
        <v>868</v>
      </c>
      <c r="B2378" s="26" t="s">
        <v>984</v>
      </c>
      <c r="C2378" s="33" t="str">
        <f>IFERROR(INDEX(tbl_requisitos_emb[Tema],MATCH(B2378,tbl_requisitos_emb[ID_Req],0)),"")</f>
        <v>Conceção para reciclagem</v>
      </c>
      <c r="D2378" s="33" t="str">
        <f>IFERROR(INDEX(tbl_recyclass[Segmento],MATCH(A2378,tbl_recyclass[ProductId],0)),"")</f>
        <v>Farmacêutico</v>
      </c>
      <c r="E2378" s="26" t="s">
        <v>901</v>
      </c>
      <c r="F2378" s="26" t="s">
        <v>1456</v>
      </c>
      <c r="G2378" s="26" t="s">
        <v>978</v>
      </c>
      <c r="H2378" s="33" t="str">
        <f>IF(E2378="Não","Não aplicável",IFERROR(IF(B2378="EU-ENV-002",IF(INDEX(tbl_recyclass[Conforme_PPWR_2030],MATCH(A2378,tbl_recyclass[ProductId],0))="Sim","Conforme (autoavaliação)",IF(INDEX(tbl_recyclass[Conforme_PPWR_2030],MATCH(A2378,tbl_recyclass[ProductId],0))="Não","Não conforme em 2030","Isento até 2035")),IF(B2378="EU-ENV-003",IF(INDEX(tbl_recyclass[Conforme_Art7_2030],MATCH(A2378,tbl_recyclass[ProductId],0))="Sim","Conforme (meta 2030)",IF(INDEX(tbl_recyclass[Conforme_Art7_2030],MATCH(A2378,tbl_recyclass[ProductId],0))="Não","Lacuna face à meta 2030","Isento")),IF(B2378="EU-ENV-011",IF(INDEX(tbl_familias_ppwr[Metais_Pesados_Evidencia],MATCH(INDEX(tbl_recyclass[Familia_PPWR],MATCH(A2378,tbl_recyclass[ProductId],0)),tbl_familias_ppwr[ID_Familia],0))="Em falta","Lacuna","Conforme"),IF(B2378="EU-ENV-013",IF(INDEX(tbl_familias_ppwr[Declaracao_UE],MATCH(INDEX(tbl_recyclass[Familia_PPWR],MATCH(A2378,tbl_recyclass[ProductId],0)),tbl_familias_ppwr[ID_Familia],0))="Sim","Conforme","Lacuna"),G2378)))),G2378))</f>
        <v>Isento até 2035</v>
      </c>
      <c r="I2378" s="33" t="str">
        <f t="shared" si="37"/>
        <v>Isento</v>
      </c>
      <c r="J2378" s="26" t="s">
        <v>991</v>
      </c>
    </row>
    <row r="2379" spans="1:10" ht="16.05" customHeight="1" x14ac:dyDescent="0.3">
      <c r="A2379" s="26" t="s">
        <v>868</v>
      </c>
      <c r="B2379" s="26" t="s">
        <v>997</v>
      </c>
      <c r="C2379" s="33" t="str">
        <f>IFERROR(INDEX(tbl_requisitos_emb[Tema],MATCH(B2379,tbl_requisitos_emb[ID_Req],0)),"")</f>
        <v>Conteúdo reciclado</v>
      </c>
      <c r="D2379" s="33" t="str">
        <f>IFERROR(INDEX(tbl_recyclass[Segmento],MATCH(A2379,tbl_recyclass[ProductId],0)),"")</f>
        <v>Farmacêutico</v>
      </c>
      <c r="E2379" s="26" t="s">
        <v>901</v>
      </c>
      <c r="F2379" s="26" t="s">
        <v>1456</v>
      </c>
      <c r="G2379" s="26" t="s">
        <v>978</v>
      </c>
      <c r="H2379" s="33" t="str">
        <f>IF(E2379="Não","Não aplicável",IFERROR(IF(B2379="EU-ENV-002",IF(INDEX(tbl_recyclass[Conforme_PPWR_2030],MATCH(A2379,tbl_recyclass[ProductId],0))="Sim","Conforme (autoavaliação)",IF(INDEX(tbl_recyclass[Conforme_PPWR_2030],MATCH(A2379,tbl_recyclass[ProductId],0))="Não","Não conforme em 2030","Isento até 2035")),IF(B2379="EU-ENV-003",IF(INDEX(tbl_recyclass[Conforme_Art7_2030],MATCH(A2379,tbl_recyclass[ProductId],0))="Sim","Conforme (meta 2030)",IF(INDEX(tbl_recyclass[Conforme_Art7_2030],MATCH(A2379,tbl_recyclass[ProductId],0))="Não","Lacuna face à meta 2030","Isento")),IF(B2379="EU-ENV-011",IF(INDEX(tbl_familias_ppwr[Metais_Pesados_Evidencia],MATCH(INDEX(tbl_recyclass[Familia_PPWR],MATCH(A2379,tbl_recyclass[ProductId],0)),tbl_familias_ppwr[ID_Familia],0))="Em falta","Lacuna","Conforme"),IF(B2379="EU-ENV-013",IF(INDEX(tbl_familias_ppwr[Declaracao_UE],MATCH(INDEX(tbl_recyclass[Familia_PPWR],MATCH(A2379,tbl_recyclass[ProductId],0)),tbl_familias_ppwr[ID_Familia],0))="Sim","Conforme","Lacuna"),G2379)))),G2379))</f>
        <v>Isento</v>
      </c>
      <c r="I2379" s="33" t="str">
        <f t="shared" si="37"/>
        <v>Isento</v>
      </c>
      <c r="J2379" s="26" t="s">
        <v>1001</v>
      </c>
    </row>
    <row r="2380" spans="1:10" ht="16.05" customHeight="1" x14ac:dyDescent="0.3">
      <c r="A2380" s="26" t="s">
        <v>868</v>
      </c>
      <c r="B2380" s="26" t="s">
        <v>1007</v>
      </c>
      <c r="C2380" s="33" t="str">
        <f>IFERROR(INDEX(tbl_requisitos_emb[Tema],MATCH(B2380,tbl_requisitos_emb[ID_Req],0)),"")</f>
        <v>Minimização</v>
      </c>
      <c r="D2380" s="33" t="str">
        <f>IFERROR(INDEX(tbl_recyclass[Segmento],MATCH(A2380,tbl_recyclass[ProductId],0)),"")</f>
        <v>Farmacêutico</v>
      </c>
      <c r="E2380" s="26" t="s">
        <v>901</v>
      </c>
      <c r="F2380" s="26" t="s">
        <v>1456</v>
      </c>
      <c r="G2380" s="26" t="s">
        <v>978</v>
      </c>
      <c r="H2380" s="33" t="str">
        <f>IF(E2380="Não","Não aplicável",IFERROR(IF(B2380="EU-ENV-002",IF(INDEX(tbl_recyclass[Conforme_PPWR_2030],MATCH(A2380,tbl_recyclass[ProductId],0))="Sim","Conforme (autoavaliação)",IF(INDEX(tbl_recyclass[Conforme_PPWR_2030],MATCH(A2380,tbl_recyclass[ProductId],0))="Não","Não conforme em 2030","Isento até 2035")),IF(B2380="EU-ENV-003",IF(INDEX(tbl_recyclass[Conforme_Art7_2030],MATCH(A2380,tbl_recyclass[ProductId],0))="Sim","Conforme (meta 2030)",IF(INDEX(tbl_recyclass[Conforme_Art7_2030],MATCH(A2380,tbl_recyclass[ProductId],0))="Não","Lacuna face à meta 2030","Isento")),IF(B2380="EU-ENV-011",IF(INDEX(tbl_familias_ppwr[Metais_Pesados_Evidencia],MATCH(INDEX(tbl_recyclass[Familia_PPWR],MATCH(A2380,tbl_recyclass[ProductId],0)),tbl_familias_ppwr[ID_Familia],0))="Em falta","Lacuna","Conforme"),IF(B2380="EU-ENV-013",IF(INDEX(tbl_familias_ppwr[Declaracao_UE],MATCH(INDEX(tbl_recyclass[Familia_PPWR],MATCH(A2380,tbl_recyclass[ProductId],0)),tbl_familias_ppwr[ID_Familia],0))="Sim","Conforme","Lacuna"),G2380)))),G2380))</f>
        <v>Parcial</v>
      </c>
      <c r="I2380" s="33" t="str">
        <f t="shared" si="37"/>
        <v>Parcial</v>
      </c>
      <c r="J2380" s="26" t="s">
        <v>1012</v>
      </c>
    </row>
    <row r="2381" spans="1:10" ht="16.05" customHeight="1" x14ac:dyDescent="0.3">
      <c r="A2381" s="26" t="s">
        <v>868</v>
      </c>
      <c r="B2381" s="26" t="s">
        <v>1016</v>
      </c>
      <c r="C2381" s="33" t="str">
        <f>IFERROR(INDEX(tbl_requisitos_emb[Tema],MATCH(B2381,tbl_requisitos_emb[ID_Req],0)),"")</f>
        <v>Rotulagem</v>
      </c>
      <c r="D2381" s="33" t="str">
        <f>IFERROR(INDEX(tbl_recyclass[Segmento],MATCH(A2381,tbl_recyclass[ProductId],0)),"")</f>
        <v>Farmacêutico</v>
      </c>
      <c r="E2381" s="26" t="s">
        <v>901</v>
      </c>
      <c r="F2381" s="26" t="s">
        <v>1456</v>
      </c>
      <c r="G2381" s="26" t="s">
        <v>990</v>
      </c>
      <c r="H2381" s="33" t="str">
        <f>IF(E2381="Não","Não aplicável",IFERROR(IF(B2381="EU-ENV-002",IF(INDEX(tbl_recyclass[Conforme_PPWR_2030],MATCH(A2381,tbl_recyclass[ProductId],0))="Sim","Conforme (autoavaliação)",IF(INDEX(tbl_recyclass[Conforme_PPWR_2030],MATCH(A2381,tbl_recyclass[ProductId],0))="Não","Não conforme em 2030","Isento até 2035")),IF(B2381="EU-ENV-003",IF(INDEX(tbl_recyclass[Conforme_Art7_2030],MATCH(A2381,tbl_recyclass[ProductId],0))="Sim","Conforme (meta 2030)",IF(INDEX(tbl_recyclass[Conforme_Art7_2030],MATCH(A2381,tbl_recyclass[ProductId],0))="Não","Lacuna face à meta 2030","Isento")),IF(B2381="EU-ENV-011",IF(INDEX(tbl_familias_ppwr[Metais_Pesados_Evidencia],MATCH(INDEX(tbl_recyclass[Familia_PPWR],MATCH(A2381,tbl_recyclass[ProductId],0)),tbl_familias_ppwr[ID_Familia],0))="Em falta","Lacuna","Conforme"),IF(B2381="EU-ENV-013",IF(INDEX(tbl_familias_ppwr[Declaracao_UE],MATCH(INDEX(tbl_recyclass[Familia_PPWR],MATCH(A2381,tbl_recyclass[ProductId],0)),tbl_familias_ppwr[ID_Familia],0))="Sim","Conforme","Lacuna"),G2381)))),G2381))</f>
        <v>Futuro</v>
      </c>
      <c r="I2381" s="33" t="str">
        <f t="shared" si="37"/>
        <v>Futuro</v>
      </c>
      <c r="J2381" s="26" t="s">
        <v>1021</v>
      </c>
    </row>
    <row r="2382" spans="1:10" ht="16.05" customHeight="1" x14ac:dyDescent="0.3">
      <c r="A2382" s="26" t="s">
        <v>868</v>
      </c>
      <c r="B2382" s="26" t="s">
        <v>1038</v>
      </c>
      <c r="C2382" s="33" t="str">
        <f>IFERROR(INDEX(tbl_requisitos_emb[Tema],MATCH(B2382,tbl_requisitos_emb[ID_Req],0)),"")</f>
        <v>Plásticos de utilização única</v>
      </c>
      <c r="D2382" s="33" t="str">
        <f>IFERROR(INDEX(tbl_recyclass[Segmento],MATCH(A2382,tbl_recyclass[ProductId],0)),"")</f>
        <v>Farmacêutico</v>
      </c>
      <c r="E2382" s="26" t="s">
        <v>904</v>
      </c>
      <c r="F2382" s="26" t="s">
        <v>1457</v>
      </c>
      <c r="G2382" s="26" t="s">
        <v>1143</v>
      </c>
      <c r="H2382" s="33" t="str">
        <f>IF(E2382="Não","Não aplicável",IFERROR(IF(B2382="EU-ENV-002",IF(INDEX(tbl_recyclass[Conforme_PPWR_2030],MATCH(A2382,tbl_recyclass[ProductId],0))="Sim","Conforme (autoavaliação)",IF(INDEX(tbl_recyclass[Conforme_PPWR_2030],MATCH(A2382,tbl_recyclass[ProductId],0))="Não","Não conforme em 2030","Isento até 2035")),IF(B2382="EU-ENV-003",IF(INDEX(tbl_recyclass[Conforme_Art7_2030],MATCH(A2382,tbl_recyclass[ProductId],0))="Sim","Conforme (meta 2030)",IF(INDEX(tbl_recyclass[Conforme_Art7_2030],MATCH(A2382,tbl_recyclass[ProductId],0))="Não","Lacuna face à meta 2030","Isento")),IF(B2382="EU-ENV-011",IF(INDEX(tbl_familias_ppwr[Metais_Pesados_Evidencia],MATCH(INDEX(tbl_recyclass[Familia_PPWR],MATCH(A2382,tbl_recyclass[ProductId],0)),tbl_familias_ppwr[ID_Familia],0))="Em falta","Lacuna","Conforme"),IF(B2382="EU-ENV-013",IF(INDEX(tbl_familias_ppwr[Declaracao_UE],MATCH(INDEX(tbl_recyclass[Familia_PPWR],MATCH(A2382,tbl_recyclass[ProductId],0)),tbl_familias_ppwr[ID_Familia],0))="Sim","Conforme","Lacuna"),G2382)))),G2382))</f>
        <v>Não aplicável</v>
      </c>
      <c r="I2382" s="33" t="str">
        <f t="shared" si="37"/>
        <v>Não aplicável</v>
      </c>
      <c r="J2382" s="26"/>
    </row>
    <row r="2383" spans="1:10" ht="16.05" customHeight="1" x14ac:dyDescent="0.3">
      <c r="A2383" s="26" t="s">
        <v>868</v>
      </c>
      <c r="B2383" s="26" t="s">
        <v>1078</v>
      </c>
      <c r="C2383" s="33" t="str">
        <f>IFERROR(INDEX(tbl_requisitos_emb[Tema],MATCH(B2383,tbl_requisitos_emb[ID_Req],0)),"")</f>
        <v>Reciclado à escala</v>
      </c>
      <c r="D2383" s="33" t="str">
        <f>IFERROR(INDEX(tbl_recyclass[Segmento],MATCH(A2383,tbl_recyclass[ProductId],0)),"")</f>
        <v>Farmacêutico</v>
      </c>
      <c r="E2383" s="26" t="s">
        <v>901</v>
      </c>
      <c r="F2383" s="26" t="s">
        <v>1456</v>
      </c>
      <c r="G2383" s="26" t="s">
        <v>990</v>
      </c>
      <c r="H2383" s="33" t="str">
        <f>IF(E2383="Não","Não aplicável",IFERROR(IF(B2383="EU-ENV-002",IF(INDEX(tbl_recyclass[Conforme_PPWR_2030],MATCH(A2383,tbl_recyclass[ProductId],0))="Sim","Conforme (autoavaliação)",IF(INDEX(tbl_recyclass[Conforme_PPWR_2030],MATCH(A2383,tbl_recyclass[ProductId],0))="Não","Não conforme em 2030","Isento até 2035")),IF(B2383="EU-ENV-003",IF(INDEX(tbl_recyclass[Conforme_Art7_2030],MATCH(A2383,tbl_recyclass[ProductId],0))="Sim","Conforme (meta 2030)",IF(INDEX(tbl_recyclass[Conforme_Art7_2030],MATCH(A2383,tbl_recyclass[ProductId],0))="Não","Lacuna face à meta 2030","Isento")),IF(B2383="EU-ENV-011",IF(INDEX(tbl_familias_ppwr[Metais_Pesados_Evidencia],MATCH(INDEX(tbl_recyclass[Familia_PPWR],MATCH(A2383,tbl_recyclass[ProductId],0)),tbl_familias_ppwr[ID_Familia],0))="Em falta","Lacuna","Conforme"),IF(B2383="EU-ENV-013",IF(INDEX(tbl_familias_ppwr[Declaracao_UE],MATCH(INDEX(tbl_recyclass[Familia_PPWR],MATCH(A2383,tbl_recyclass[ProductId],0)),tbl_familias_ppwr[ID_Familia],0))="Sim","Conforme","Lacuna"),G2383)))),G2383))</f>
        <v>Futuro</v>
      </c>
      <c r="I2383" s="33" t="str">
        <f t="shared" si="37"/>
        <v>Futuro</v>
      </c>
      <c r="J2383" s="26" t="s">
        <v>1082</v>
      </c>
    </row>
    <row r="2384" spans="1:10" ht="16.05" customHeight="1" x14ac:dyDescent="0.3">
      <c r="A2384" s="26" t="s">
        <v>868</v>
      </c>
      <c r="B2384" s="26" t="s">
        <v>1086</v>
      </c>
      <c r="C2384" s="33" t="str">
        <f>IFERROR(INDEX(tbl_requisitos_emb[Tema],MATCH(B2384,tbl_requisitos_emb[ID_Req],0)),"")</f>
        <v>Metais pesados</v>
      </c>
      <c r="D2384" s="33" t="str">
        <f>IFERROR(INDEX(tbl_recyclass[Segmento],MATCH(A2384,tbl_recyclass[ProductId],0)),"")</f>
        <v>Farmacêutico</v>
      </c>
      <c r="E2384" s="26" t="s">
        <v>901</v>
      </c>
      <c r="F2384" s="26" t="s">
        <v>1456</v>
      </c>
      <c r="G2384" s="26" t="s">
        <v>978</v>
      </c>
      <c r="H2384" s="33" t="str">
        <f>IF(E2384="Não","Não aplicável",IFERROR(IF(B2384="EU-ENV-002",IF(INDEX(tbl_recyclass[Conforme_PPWR_2030],MATCH(A2384,tbl_recyclass[ProductId],0))="Sim","Conforme (autoavaliação)",IF(INDEX(tbl_recyclass[Conforme_PPWR_2030],MATCH(A2384,tbl_recyclass[ProductId],0))="Não","Não conforme em 2030","Isento até 2035")),IF(B2384="EU-ENV-003",IF(INDEX(tbl_recyclass[Conforme_Art7_2030],MATCH(A2384,tbl_recyclass[ProductId],0))="Sim","Conforme (meta 2030)",IF(INDEX(tbl_recyclass[Conforme_Art7_2030],MATCH(A2384,tbl_recyclass[ProductId],0))="Não","Lacuna face à meta 2030","Isento")),IF(B2384="EU-ENV-011",IF(INDEX(tbl_familias_ppwr[Metais_Pesados_Evidencia],MATCH(INDEX(tbl_recyclass[Familia_PPWR],MATCH(A2384,tbl_recyclass[ProductId],0)),tbl_familias_ppwr[ID_Familia],0))="Em falta","Lacuna","Conforme"),IF(B2384="EU-ENV-013",IF(INDEX(tbl_familias_ppwr[Declaracao_UE],MATCH(INDEX(tbl_recyclass[Familia_PPWR],MATCH(A2384,tbl_recyclass[ProductId],0)),tbl_familias_ppwr[ID_Familia],0))="Sim","Conforme","Lacuna"),G2384)))),G2384))</f>
        <v>Lacuna</v>
      </c>
      <c r="I2384" s="33" t="str">
        <f t="shared" si="37"/>
        <v>Lacuna</v>
      </c>
      <c r="J2384" s="26" t="s">
        <v>1090</v>
      </c>
    </row>
    <row r="2385" spans="1:10" ht="16.05" customHeight="1" x14ac:dyDescent="0.3">
      <c r="A2385" s="26" t="s">
        <v>868</v>
      </c>
      <c r="B2385" s="26" t="s">
        <v>1094</v>
      </c>
      <c r="C2385" s="33" t="str">
        <f>IFERROR(INDEX(tbl_requisitos_emb[Tema],MATCH(B2385,tbl_requisitos_emb[ID_Req],0)),"")</f>
        <v>PFAS</v>
      </c>
      <c r="D2385" s="33" t="str">
        <f>IFERROR(INDEX(tbl_recyclass[Segmento],MATCH(A2385,tbl_recyclass[ProductId],0)),"")</f>
        <v>Farmacêutico</v>
      </c>
      <c r="E2385" s="26" t="s">
        <v>904</v>
      </c>
      <c r="F2385" s="26" t="s">
        <v>1457</v>
      </c>
      <c r="G2385" s="26" t="s">
        <v>1143</v>
      </c>
      <c r="H2385" s="33" t="str">
        <f>IF(E2385="Não","Não aplicável",IFERROR(IF(B2385="EU-ENV-002",IF(INDEX(tbl_recyclass[Conforme_PPWR_2030],MATCH(A2385,tbl_recyclass[ProductId],0))="Sim","Conforme (autoavaliação)",IF(INDEX(tbl_recyclass[Conforme_PPWR_2030],MATCH(A2385,tbl_recyclass[ProductId],0))="Não","Não conforme em 2030","Isento até 2035")),IF(B2385="EU-ENV-003",IF(INDEX(tbl_recyclass[Conforme_Art7_2030],MATCH(A2385,tbl_recyclass[ProductId],0))="Sim","Conforme (meta 2030)",IF(INDEX(tbl_recyclass[Conforme_Art7_2030],MATCH(A2385,tbl_recyclass[ProductId],0))="Não","Lacuna face à meta 2030","Isento")),IF(B2385="EU-ENV-011",IF(INDEX(tbl_familias_ppwr[Metais_Pesados_Evidencia],MATCH(INDEX(tbl_recyclass[Familia_PPWR],MATCH(A2385,tbl_recyclass[ProductId],0)),tbl_familias_ppwr[ID_Familia],0))="Em falta","Lacuna","Conforme"),IF(B2385="EU-ENV-013",IF(INDEX(tbl_familias_ppwr[Declaracao_UE],MATCH(INDEX(tbl_recyclass[Familia_PPWR],MATCH(A2385,tbl_recyclass[ProductId],0)),tbl_familias_ppwr[ID_Familia],0))="Sim","Conforme","Lacuna"),G2385)))),G2385))</f>
        <v>Não aplicável</v>
      </c>
      <c r="I2385" s="33" t="str">
        <f t="shared" si="37"/>
        <v>Não aplicável</v>
      </c>
      <c r="J2385" s="26"/>
    </row>
    <row r="2386" spans="1:10" ht="16.05" customHeight="1" x14ac:dyDescent="0.3">
      <c r="A2386" s="26" t="s">
        <v>868</v>
      </c>
      <c r="B2386" s="26" t="s">
        <v>1102</v>
      </c>
      <c r="C2386" s="33" t="str">
        <f>IFERROR(INDEX(tbl_requisitos_emb[Tema],MATCH(B2386,tbl_requisitos_emb[ID_Req],0)),"")</f>
        <v>Documentação técnica e declaração UE</v>
      </c>
      <c r="D2386" s="33" t="str">
        <f>IFERROR(INDEX(tbl_recyclass[Segmento],MATCH(A2386,tbl_recyclass[ProductId],0)),"")</f>
        <v>Farmacêutico</v>
      </c>
      <c r="E2386" s="26" t="s">
        <v>901</v>
      </c>
      <c r="F2386" s="26" t="s">
        <v>1456</v>
      </c>
      <c r="G2386" s="26" t="s">
        <v>978</v>
      </c>
      <c r="H2386" s="33" t="str">
        <f>IF(E2386="Não","Não aplicável",IFERROR(IF(B2386="EU-ENV-002",IF(INDEX(tbl_recyclass[Conforme_PPWR_2030],MATCH(A2386,tbl_recyclass[ProductId],0))="Sim","Conforme (autoavaliação)",IF(INDEX(tbl_recyclass[Conforme_PPWR_2030],MATCH(A2386,tbl_recyclass[ProductId],0))="Não","Não conforme em 2030","Isento até 2035")),IF(B2386="EU-ENV-003",IF(INDEX(tbl_recyclass[Conforme_Art7_2030],MATCH(A2386,tbl_recyclass[ProductId],0))="Sim","Conforme (meta 2030)",IF(INDEX(tbl_recyclass[Conforme_Art7_2030],MATCH(A2386,tbl_recyclass[ProductId],0))="Não","Lacuna face à meta 2030","Isento")),IF(B2386="EU-ENV-011",IF(INDEX(tbl_familias_ppwr[Metais_Pesados_Evidencia],MATCH(INDEX(tbl_recyclass[Familia_PPWR],MATCH(A2386,tbl_recyclass[ProductId],0)),tbl_familias_ppwr[ID_Familia],0))="Em falta","Lacuna","Conforme"),IF(B2386="EU-ENV-013",IF(INDEX(tbl_familias_ppwr[Declaracao_UE],MATCH(INDEX(tbl_recyclass[Familia_PPWR],MATCH(A2386,tbl_recyclass[ProductId],0)),tbl_familias_ppwr[ID_Familia],0))="Sim","Conforme","Lacuna"),G2386)))),G2386))</f>
        <v>Lacuna</v>
      </c>
      <c r="I2386" s="33" t="str">
        <f t="shared" si="37"/>
        <v>Lacuna</v>
      </c>
      <c r="J2386" s="26" t="s">
        <v>1106</v>
      </c>
    </row>
    <row r="2387" spans="1:10" ht="16.05" customHeight="1" x14ac:dyDescent="0.3">
      <c r="A2387" s="26" t="s">
        <v>868</v>
      </c>
      <c r="B2387" s="26" t="s">
        <v>1161</v>
      </c>
      <c r="C2387" s="33" t="str">
        <f>IFERROR(INDEX(tbl_requisitos_emb[Tema],MATCH(B2387,tbl_requisitos_emb[ID_Req],0)),"")</f>
        <v>Materiais em contacto com alimentos</v>
      </c>
      <c r="D2387" s="33" t="str">
        <f>IFERROR(INDEX(tbl_recyclass[Segmento],MATCH(A2387,tbl_recyclass[ProductId],0)),"")</f>
        <v>Farmacêutico</v>
      </c>
      <c r="E2387" s="26" t="s">
        <v>904</v>
      </c>
      <c r="F2387" s="26" t="s">
        <v>1457</v>
      </c>
      <c r="G2387" s="26" t="s">
        <v>1143</v>
      </c>
      <c r="H2387" s="33" t="str">
        <f>IF(E2387="Não","Não aplicável",IFERROR(IF(B2387="EU-ENV-002",IF(INDEX(tbl_recyclass[Conforme_PPWR_2030],MATCH(A2387,tbl_recyclass[ProductId],0))="Sim","Conforme (autoavaliação)",IF(INDEX(tbl_recyclass[Conforme_PPWR_2030],MATCH(A2387,tbl_recyclass[ProductId],0))="Não","Não conforme em 2030","Isento até 2035")),IF(B2387="EU-ENV-003",IF(INDEX(tbl_recyclass[Conforme_Art7_2030],MATCH(A2387,tbl_recyclass[ProductId],0))="Sim","Conforme (meta 2030)",IF(INDEX(tbl_recyclass[Conforme_Art7_2030],MATCH(A2387,tbl_recyclass[ProductId],0))="Não","Lacuna face à meta 2030","Isento")),IF(B2387="EU-ENV-011",IF(INDEX(tbl_familias_ppwr[Metais_Pesados_Evidencia],MATCH(INDEX(tbl_recyclass[Familia_PPWR],MATCH(A2387,tbl_recyclass[ProductId],0)),tbl_familias_ppwr[ID_Familia],0))="Em falta","Lacuna","Conforme"),IF(B2387="EU-ENV-013",IF(INDEX(tbl_familias_ppwr[Declaracao_UE],MATCH(INDEX(tbl_recyclass[Familia_PPWR],MATCH(A2387,tbl_recyclass[ProductId],0)),tbl_familias_ppwr[ID_Familia],0))="Sim","Conforme","Lacuna"),G2387)))),G2387))</f>
        <v>Não aplicável</v>
      </c>
      <c r="I2387" s="33" t="str">
        <f t="shared" si="37"/>
        <v>Não aplicável</v>
      </c>
      <c r="J2387" s="26"/>
    </row>
    <row r="2388" spans="1:10" ht="16.05" customHeight="1" x14ac:dyDescent="0.3">
      <c r="A2388" s="26" t="s">
        <v>868</v>
      </c>
      <c r="B2388" s="26" t="s">
        <v>1170</v>
      </c>
      <c r="C2388" s="33" t="str">
        <f>IFERROR(INDEX(tbl_requisitos_emb[Tema],MATCH(B2388,tbl_requisitos_emb[ID_Req],0)),"")</f>
        <v>Boas práticas de fabrico FCM</v>
      </c>
      <c r="D2388" s="33" t="str">
        <f>IFERROR(INDEX(tbl_recyclass[Segmento],MATCH(A2388,tbl_recyclass[ProductId],0)),"")</f>
        <v>Farmacêutico</v>
      </c>
      <c r="E2388" s="26" t="s">
        <v>904</v>
      </c>
      <c r="F2388" s="26" t="s">
        <v>1457</v>
      </c>
      <c r="G2388" s="26" t="s">
        <v>1143</v>
      </c>
      <c r="H2388" s="33" t="str">
        <f>IF(E2388="Não","Não aplicável",IFERROR(IF(B2388="EU-ENV-002",IF(INDEX(tbl_recyclass[Conforme_PPWR_2030],MATCH(A2388,tbl_recyclass[ProductId],0))="Sim","Conforme (autoavaliação)",IF(INDEX(tbl_recyclass[Conforme_PPWR_2030],MATCH(A2388,tbl_recyclass[ProductId],0))="Não","Não conforme em 2030","Isento até 2035")),IF(B2388="EU-ENV-003",IF(INDEX(tbl_recyclass[Conforme_Art7_2030],MATCH(A2388,tbl_recyclass[ProductId],0))="Sim","Conforme (meta 2030)",IF(INDEX(tbl_recyclass[Conforme_Art7_2030],MATCH(A2388,tbl_recyclass[ProductId],0))="Não","Lacuna face à meta 2030","Isento")),IF(B2388="EU-ENV-011",IF(INDEX(tbl_familias_ppwr[Metais_Pesados_Evidencia],MATCH(INDEX(tbl_recyclass[Familia_PPWR],MATCH(A2388,tbl_recyclass[ProductId],0)),tbl_familias_ppwr[ID_Familia],0))="Em falta","Lacuna","Conforme"),IF(B2388="EU-ENV-013",IF(INDEX(tbl_familias_ppwr[Declaracao_UE],MATCH(INDEX(tbl_recyclass[Familia_PPWR],MATCH(A2388,tbl_recyclass[ProductId],0)),tbl_familias_ppwr[ID_Familia],0))="Sim","Conforme","Lacuna"),G2388)))),G2388))</f>
        <v>Não aplicável</v>
      </c>
      <c r="I2388" s="33" t="str">
        <f t="shared" si="37"/>
        <v>Não aplicável</v>
      </c>
      <c r="J2388" s="26"/>
    </row>
    <row r="2389" spans="1:10" ht="16.05" customHeight="1" x14ac:dyDescent="0.3">
      <c r="A2389" s="26" t="s">
        <v>868</v>
      </c>
      <c r="B2389" s="26" t="s">
        <v>1179</v>
      </c>
      <c r="C2389" s="33" t="str">
        <f>IFERROR(INDEX(tbl_requisitos_emb[Tema],MATCH(B2389,tbl_requisitos_emb[ID_Req],0)),"")</f>
        <v>Bisfenol A e bisfenóis perigosos</v>
      </c>
      <c r="D2389" s="33" t="str">
        <f>IFERROR(INDEX(tbl_recyclass[Segmento],MATCH(A2389,tbl_recyclass[ProductId],0)),"")</f>
        <v>Farmacêutico</v>
      </c>
      <c r="E2389" s="26" t="s">
        <v>904</v>
      </c>
      <c r="F2389" s="26" t="s">
        <v>1457</v>
      </c>
      <c r="G2389" s="26" t="s">
        <v>1143</v>
      </c>
      <c r="H2389" s="33" t="str">
        <f>IF(E2389="Não","Não aplicável",IFERROR(IF(B2389="EU-ENV-002",IF(INDEX(tbl_recyclass[Conforme_PPWR_2030],MATCH(A2389,tbl_recyclass[ProductId],0))="Sim","Conforme (autoavaliação)",IF(INDEX(tbl_recyclass[Conforme_PPWR_2030],MATCH(A2389,tbl_recyclass[ProductId],0))="Não","Não conforme em 2030","Isento até 2035")),IF(B2389="EU-ENV-003",IF(INDEX(tbl_recyclass[Conforme_Art7_2030],MATCH(A2389,tbl_recyclass[ProductId],0))="Sim","Conforme (meta 2030)",IF(INDEX(tbl_recyclass[Conforme_Art7_2030],MATCH(A2389,tbl_recyclass[ProductId],0))="Não","Lacuna face à meta 2030","Isento")),IF(B2389="EU-ENV-011",IF(INDEX(tbl_familias_ppwr[Metais_Pesados_Evidencia],MATCH(INDEX(tbl_recyclass[Familia_PPWR],MATCH(A2389,tbl_recyclass[ProductId],0)),tbl_familias_ppwr[ID_Familia],0))="Em falta","Lacuna","Conforme"),IF(B2389="EU-ENV-013",IF(INDEX(tbl_familias_ppwr[Declaracao_UE],MATCH(INDEX(tbl_recyclass[Familia_PPWR],MATCH(A2389,tbl_recyclass[ProductId],0)),tbl_familias_ppwr[ID_Familia],0))="Sim","Conforme","Lacuna"),G2389)))),G2389))</f>
        <v>Não aplicável</v>
      </c>
      <c r="I2389" s="33" t="str">
        <f t="shared" si="37"/>
        <v>Não aplicável</v>
      </c>
      <c r="J2389" s="26"/>
    </row>
    <row r="2390" spans="1:10" ht="16.05" customHeight="1" x14ac:dyDescent="0.3">
      <c r="A2390" s="26" t="s">
        <v>868</v>
      </c>
      <c r="B2390" s="26" t="s">
        <v>1188</v>
      </c>
      <c r="C2390" s="33" t="str">
        <f>IFERROR(INDEX(tbl_requisitos_emb[Tema],MATCH(B2390,tbl_requisitos_emb[ID_Req],0)),"")</f>
        <v>Plásticos em contacto com alimentos</v>
      </c>
      <c r="D2390" s="33" t="str">
        <f>IFERROR(INDEX(tbl_recyclass[Segmento],MATCH(A2390,tbl_recyclass[ProductId],0)),"")</f>
        <v>Farmacêutico</v>
      </c>
      <c r="E2390" s="26" t="s">
        <v>904</v>
      </c>
      <c r="F2390" s="26" t="s">
        <v>1457</v>
      </c>
      <c r="G2390" s="26" t="s">
        <v>1143</v>
      </c>
      <c r="H2390" s="33" t="str">
        <f>IF(E2390="Não","Não aplicável",IFERROR(IF(B2390="EU-ENV-002",IF(INDEX(tbl_recyclass[Conforme_PPWR_2030],MATCH(A2390,tbl_recyclass[ProductId],0))="Sim","Conforme (autoavaliação)",IF(INDEX(tbl_recyclass[Conforme_PPWR_2030],MATCH(A2390,tbl_recyclass[ProductId],0))="Não","Não conforme em 2030","Isento até 2035")),IF(B2390="EU-ENV-003",IF(INDEX(tbl_recyclass[Conforme_Art7_2030],MATCH(A2390,tbl_recyclass[ProductId],0))="Sim","Conforme (meta 2030)",IF(INDEX(tbl_recyclass[Conforme_Art7_2030],MATCH(A2390,tbl_recyclass[ProductId],0))="Não","Lacuna face à meta 2030","Isento")),IF(B2390="EU-ENV-011",IF(INDEX(tbl_familias_ppwr[Metais_Pesados_Evidencia],MATCH(INDEX(tbl_recyclass[Familia_PPWR],MATCH(A2390,tbl_recyclass[ProductId],0)),tbl_familias_ppwr[ID_Familia],0))="Em falta","Lacuna","Conforme"),IF(B2390="EU-ENV-013",IF(INDEX(tbl_familias_ppwr[Declaracao_UE],MATCH(INDEX(tbl_recyclass[Familia_PPWR],MATCH(A2390,tbl_recyclass[ProductId],0)),tbl_familias_ppwr[ID_Familia],0))="Sim","Conforme","Lacuna"),G2390)))),G2390))</f>
        <v>Não aplicável</v>
      </c>
      <c r="I2390" s="33" t="str">
        <f t="shared" si="37"/>
        <v>Não aplicável</v>
      </c>
      <c r="J2390" s="26"/>
    </row>
    <row r="2391" spans="1:10" ht="16.05" customHeight="1" x14ac:dyDescent="0.3">
      <c r="A2391" s="26" t="s">
        <v>868</v>
      </c>
      <c r="B2391" s="26" t="s">
        <v>1212</v>
      </c>
      <c r="C2391" s="33" t="str">
        <f>IFERROR(INDEX(tbl_requisitos_emb[Tema],MATCH(B2391,tbl_requisitos_emb[ID_Req],0)),"")</f>
        <v>Segurança do produto cosmético</v>
      </c>
      <c r="D2391" s="33" t="str">
        <f>IFERROR(INDEX(tbl_recyclass[Segmento],MATCH(A2391,tbl_recyclass[ProductId],0)),"")</f>
        <v>Farmacêutico</v>
      </c>
      <c r="E2391" s="26" t="s">
        <v>904</v>
      </c>
      <c r="F2391" s="26" t="s">
        <v>1458</v>
      </c>
      <c r="G2391" s="26" t="s">
        <v>1143</v>
      </c>
      <c r="H2391" s="33" t="str">
        <f>IF(E2391="Não","Não aplicável",IFERROR(IF(B2391="EU-ENV-002",IF(INDEX(tbl_recyclass[Conforme_PPWR_2030],MATCH(A2391,tbl_recyclass[ProductId],0))="Sim","Conforme (autoavaliação)",IF(INDEX(tbl_recyclass[Conforme_PPWR_2030],MATCH(A2391,tbl_recyclass[ProductId],0))="Não","Não conforme em 2030","Isento até 2035")),IF(B2391="EU-ENV-003",IF(INDEX(tbl_recyclass[Conforme_Art7_2030],MATCH(A2391,tbl_recyclass[ProductId],0))="Sim","Conforme (meta 2030)",IF(INDEX(tbl_recyclass[Conforme_Art7_2030],MATCH(A2391,tbl_recyclass[ProductId],0))="Não","Lacuna face à meta 2030","Isento")),IF(B2391="EU-ENV-011",IF(INDEX(tbl_familias_ppwr[Metais_Pesados_Evidencia],MATCH(INDEX(tbl_recyclass[Familia_PPWR],MATCH(A2391,tbl_recyclass[ProductId],0)),tbl_familias_ppwr[ID_Familia],0))="Em falta","Lacuna","Conforme"),IF(B2391="EU-ENV-013",IF(INDEX(tbl_familias_ppwr[Declaracao_UE],MATCH(INDEX(tbl_recyclass[Familia_PPWR],MATCH(A2391,tbl_recyclass[ProductId],0)),tbl_familias_ppwr[ID_Familia],0))="Sim","Conforme","Lacuna"),G2391)))),G2391))</f>
        <v>Não aplicável</v>
      </c>
      <c r="I2391" s="33" t="str">
        <f t="shared" si="37"/>
        <v>Não aplicável</v>
      </c>
      <c r="J2391" s="26"/>
    </row>
    <row r="2392" spans="1:10" ht="16.05" customHeight="1" x14ac:dyDescent="0.3">
      <c r="A2392" s="26" t="s">
        <v>868</v>
      </c>
      <c r="B2392" s="26" t="s">
        <v>1224</v>
      </c>
      <c r="C2392" s="33" t="str">
        <f>IFERROR(INDEX(tbl_requisitos_emb[Tema],MATCH(B2392,tbl_requisitos_emb[ID_Req],0)),"")</f>
        <v>Materiais e impurezas</v>
      </c>
      <c r="D2392" s="33" t="str">
        <f>IFERROR(INDEX(tbl_recyclass[Segmento],MATCH(A2392,tbl_recyclass[ProductId],0)),"")</f>
        <v>Farmacêutico</v>
      </c>
      <c r="E2392" s="26" t="s">
        <v>904</v>
      </c>
      <c r="F2392" s="26" t="s">
        <v>1458</v>
      </c>
      <c r="G2392" s="26" t="s">
        <v>1143</v>
      </c>
      <c r="H2392" s="33" t="str">
        <f>IF(E2392="Não","Não aplicável",IFERROR(IF(B2392="EU-ENV-002",IF(INDEX(tbl_recyclass[Conforme_PPWR_2030],MATCH(A2392,tbl_recyclass[ProductId],0))="Sim","Conforme (autoavaliação)",IF(INDEX(tbl_recyclass[Conforme_PPWR_2030],MATCH(A2392,tbl_recyclass[ProductId],0))="Não","Não conforme em 2030","Isento até 2035")),IF(B2392="EU-ENV-003",IF(INDEX(tbl_recyclass[Conforme_Art7_2030],MATCH(A2392,tbl_recyclass[ProductId],0))="Sim","Conforme (meta 2030)",IF(INDEX(tbl_recyclass[Conforme_Art7_2030],MATCH(A2392,tbl_recyclass[ProductId],0))="Não","Lacuna face à meta 2030","Isento")),IF(B2392="EU-ENV-011",IF(INDEX(tbl_familias_ppwr[Metais_Pesados_Evidencia],MATCH(INDEX(tbl_recyclass[Familia_PPWR],MATCH(A2392,tbl_recyclass[ProductId],0)),tbl_familias_ppwr[ID_Familia],0))="Em falta","Lacuna","Conforme"),IF(B2392="EU-ENV-013",IF(INDEX(tbl_familias_ppwr[Declaracao_UE],MATCH(INDEX(tbl_recyclass[Familia_PPWR],MATCH(A2392,tbl_recyclass[ProductId],0)),tbl_familias_ppwr[ID_Familia],0))="Sim","Conforme","Lacuna"),G2392)))),G2392))</f>
        <v>Não aplicável</v>
      </c>
      <c r="I2392" s="33" t="str">
        <f t="shared" si="37"/>
        <v>Não aplicável</v>
      </c>
      <c r="J2392" s="26"/>
    </row>
    <row r="2393" spans="1:10" ht="16.05" customHeight="1" x14ac:dyDescent="0.3">
      <c r="A2393" s="26" t="s">
        <v>868</v>
      </c>
      <c r="B2393" s="26" t="s">
        <v>1240</v>
      </c>
      <c r="C2393" s="33" t="str">
        <f>IFERROR(INDEX(tbl_requisitos_emb[Tema],MATCH(B2393,tbl_requisitos_emb[ID_Req],0)),"")</f>
        <v>Compatibilidade embalagem–produto</v>
      </c>
      <c r="D2393" s="33" t="str">
        <f>IFERROR(INDEX(tbl_recyclass[Segmento],MATCH(A2393,tbl_recyclass[ProductId],0)),"")</f>
        <v>Farmacêutico</v>
      </c>
      <c r="E2393" s="26" t="s">
        <v>904</v>
      </c>
      <c r="F2393" s="26" t="s">
        <v>1458</v>
      </c>
      <c r="G2393" s="26" t="s">
        <v>1143</v>
      </c>
      <c r="H2393" s="33" t="str">
        <f>IF(E2393="Não","Não aplicável",IFERROR(IF(B2393="EU-ENV-002",IF(INDEX(tbl_recyclass[Conforme_PPWR_2030],MATCH(A2393,tbl_recyclass[ProductId],0))="Sim","Conforme (autoavaliação)",IF(INDEX(tbl_recyclass[Conforme_PPWR_2030],MATCH(A2393,tbl_recyclass[ProductId],0))="Não","Não conforme em 2030","Isento até 2035")),IF(B2393="EU-ENV-003",IF(INDEX(tbl_recyclass[Conforme_Art7_2030],MATCH(A2393,tbl_recyclass[ProductId],0))="Sim","Conforme (meta 2030)",IF(INDEX(tbl_recyclass[Conforme_Art7_2030],MATCH(A2393,tbl_recyclass[ProductId],0))="Não","Lacuna face à meta 2030","Isento")),IF(B2393="EU-ENV-011",IF(INDEX(tbl_familias_ppwr[Metais_Pesados_Evidencia],MATCH(INDEX(tbl_recyclass[Familia_PPWR],MATCH(A2393,tbl_recyclass[ProductId],0)),tbl_familias_ppwr[ID_Familia],0))="Em falta","Lacuna","Conforme"),IF(B2393="EU-ENV-013",IF(INDEX(tbl_familias_ppwr[Declaracao_UE],MATCH(INDEX(tbl_recyclass[Familia_PPWR],MATCH(A2393,tbl_recyclass[ProductId],0)),tbl_familias_ppwr[ID_Familia],0))="Sim","Conforme","Lacuna"),G2393)))),G2393))</f>
        <v>Não aplicável</v>
      </c>
      <c r="I2393" s="33" t="str">
        <f t="shared" si="37"/>
        <v>Não aplicável</v>
      </c>
      <c r="J2393" s="26"/>
    </row>
    <row r="2394" spans="1:10" ht="16.05" customHeight="1" x14ac:dyDescent="0.3">
      <c r="A2394" s="26" t="s">
        <v>868</v>
      </c>
      <c r="B2394" s="26" t="s">
        <v>1252</v>
      </c>
      <c r="C2394" s="33" t="str">
        <f>IFERROR(INDEX(tbl_requisitos_emb[Tema],MATCH(B2394,tbl_requisitos_emb[ID_Req],0)),"")</f>
        <v>Medicamentos de uso humano</v>
      </c>
      <c r="D2394" s="33" t="str">
        <f>IFERROR(INDEX(tbl_recyclass[Segmento],MATCH(A2394,tbl_recyclass[ProductId],0)),"")</f>
        <v>Farmacêutico</v>
      </c>
      <c r="E2394" s="26" t="s">
        <v>901</v>
      </c>
      <c r="F2394" s="26" t="s">
        <v>1456</v>
      </c>
      <c r="G2394" s="26" t="s">
        <v>1033</v>
      </c>
      <c r="H2394" s="33" t="str">
        <f>IF(E2394="Não","Não aplicável",IFERROR(IF(B2394="EU-ENV-002",IF(INDEX(tbl_recyclass[Conforme_PPWR_2030],MATCH(A2394,tbl_recyclass[ProductId],0))="Sim","Conforme (autoavaliação)",IF(INDEX(tbl_recyclass[Conforme_PPWR_2030],MATCH(A2394,tbl_recyclass[ProductId],0))="Não","Não conforme em 2030","Isento até 2035")),IF(B2394="EU-ENV-003",IF(INDEX(tbl_recyclass[Conforme_Art7_2030],MATCH(A2394,tbl_recyclass[ProductId],0))="Sim","Conforme (meta 2030)",IF(INDEX(tbl_recyclass[Conforme_Art7_2030],MATCH(A2394,tbl_recyclass[ProductId],0))="Não","Lacuna face à meta 2030","Isento")),IF(B2394="EU-ENV-011",IF(INDEX(tbl_familias_ppwr[Metais_Pesados_Evidencia],MATCH(INDEX(tbl_recyclass[Familia_PPWR],MATCH(A2394,tbl_recyclass[ProductId],0)),tbl_familias_ppwr[ID_Familia],0))="Em falta","Lacuna","Conforme"),IF(B2394="EU-ENV-013",IF(INDEX(tbl_familias_ppwr[Declaracao_UE],MATCH(INDEX(tbl_recyclass[Familia_PPWR],MATCH(A2394,tbl_recyclass[ProductId],0)),tbl_familias_ppwr[ID_Familia],0))="Sim","Conforme","Lacuna"),G2394)))),G2394))</f>
        <v>Conforme</v>
      </c>
      <c r="I2394" s="33" t="str">
        <f t="shared" si="37"/>
        <v>Conforme</v>
      </c>
      <c r="J2394" s="26" t="s">
        <v>1259</v>
      </c>
    </row>
    <row r="2395" spans="1:10" ht="16.05" customHeight="1" x14ac:dyDescent="0.3">
      <c r="A2395" s="26" t="s">
        <v>868</v>
      </c>
      <c r="B2395" s="26" t="s">
        <v>1268</v>
      </c>
      <c r="C2395" s="33" t="str">
        <f>IFERROR(INDEX(tbl_requisitos_emb[Tema],MATCH(B2395,tbl_requisitos_emb[ID_Req],0)),"")</f>
        <v>Dispositivos de segurança</v>
      </c>
      <c r="D2395" s="33" t="str">
        <f>IFERROR(INDEX(tbl_recyclass[Segmento],MATCH(A2395,tbl_recyclass[ProductId],0)),"")</f>
        <v>Farmacêutico</v>
      </c>
      <c r="E2395" s="26" t="s">
        <v>901</v>
      </c>
      <c r="F2395" s="26" t="s">
        <v>1456</v>
      </c>
      <c r="G2395" s="26" t="s">
        <v>1033</v>
      </c>
      <c r="H2395" s="33" t="str">
        <f>IF(E2395="Não","Não aplicável",IFERROR(IF(B2395="EU-ENV-002",IF(INDEX(tbl_recyclass[Conforme_PPWR_2030],MATCH(A2395,tbl_recyclass[ProductId],0))="Sim","Conforme (autoavaliação)",IF(INDEX(tbl_recyclass[Conforme_PPWR_2030],MATCH(A2395,tbl_recyclass[ProductId],0))="Não","Não conforme em 2030","Isento até 2035")),IF(B2395="EU-ENV-003",IF(INDEX(tbl_recyclass[Conforme_Art7_2030],MATCH(A2395,tbl_recyclass[ProductId],0))="Sim","Conforme (meta 2030)",IF(INDEX(tbl_recyclass[Conforme_Art7_2030],MATCH(A2395,tbl_recyclass[ProductId],0))="Não","Lacuna face à meta 2030","Isento")),IF(B2395="EU-ENV-011",IF(INDEX(tbl_familias_ppwr[Metais_Pesados_Evidencia],MATCH(INDEX(tbl_recyclass[Familia_PPWR],MATCH(A2395,tbl_recyclass[ProductId],0)),tbl_familias_ppwr[ID_Familia],0))="Em falta","Lacuna","Conforme"),IF(B2395="EU-ENV-013",IF(INDEX(tbl_familias_ppwr[Declaracao_UE],MATCH(INDEX(tbl_recyclass[Familia_PPWR],MATCH(A2395,tbl_recyclass[ProductId],0)),tbl_familias_ppwr[ID_Familia],0))="Sim","Conforme","Lacuna"),G2395)))),G2395))</f>
        <v>Conforme</v>
      </c>
      <c r="I2395" s="33" t="str">
        <f t="shared" si="37"/>
        <v>Conforme</v>
      </c>
      <c r="J2395" s="26" t="s">
        <v>1274</v>
      </c>
    </row>
    <row r="2396" spans="1:10" ht="16.05" customHeight="1" x14ac:dyDescent="0.3">
      <c r="A2396" s="26" t="s">
        <v>868</v>
      </c>
      <c r="B2396" s="26" t="s">
        <v>1285</v>
      </c>
      <c r="C2396" s="33" t="str">
        <f>IFERROR(INDEX(tbl_requisitos_emb[Tema],MATCH(B2396,tbl_requisitos_emb[ID_Req],0)),"")</f>
        <v>Materiais plásticos de acondicionamento primário</v>
      </c>
      <c r="D2396" s="33" t="str">
        <f>IFERROR(INDEX(tbl_recyclass[Segmento],MATCH(A2396,tbl_recyclass[ProductId],0)),"")</f>
        <v>Farmacêutico</v>
      </c>
      <c r="E2396" s="26" t="s">
        <v>901</v>
      </c>
      <c r="F2396" s="26" t="s">
        <v>1456</v>
      </c>
      <c r="G2396" s="26" t="s">
        <v>978</v>
      </c>
      <c r="H2396" s="33" t="str">
        <f>IF(E2396="Não","Não aplicável",IFERROR(IF(B2396="EU-ENV-002",IF(INDEX(tbl_recyclass[Conforme_PPWR_2030],MATCH(A2396,tbl_recyclass[ProductId],0))="Sim","Conforme (autoavaliação)",IF(INDEX(tbl_recyclass[Conforme_PPWR_2030],MATCH(A2396,tbl_recyclass[ProductId],0))="Não","Não conforme em 2030","Isento até 2035")),IF(B2396="EU-ENV-003",IF(INDEX(tbl_recyclass[Conforme_Art7_2030],MATCH(A2396,tbl_recyclass[ProductId],0))="Sim","Conforme (meta 2030)",IF(INDEX(tbl_recyclass[Conforme_Art7_2030],MATCH(A2396,tbl_recyclass[ProductId],0))="Não","Lacuna face à meta 2030","Isento")),IF(B2396="EU-ENV-011",IF(INDEX(tbl_familias_ppwr[Metais_Pesados_Evidencia],MATCH(INDEX(tbl_recyclass[Familia_PPWR],MATCH(A2396,tbl_recyclass[ProductId],0)),tbl_familias_ppwr[ID_Familia],0))="Em falta","Lacuna","Conforme"),IF(B2396="EU-ENV-013",IF(INDEX(tbl_familias_ppwr[Declaracao_UE],MATCH(INDEX(tbl_recyclass[Familia_PPWR],MATCH(A2396,tbl_recyclass[ProductId],0)),tbl_familias_ppwr[ID_Familia],0))="Sim","Conforme","Lacuna"),G2396)))),G2396))</f>
        <v>Parcial</v>
      </c>
      <c r="I2396" s="33" t="str">
        <f t="shared" si="37"/>
        <v>Parcial</v>
      </c>
      <c r="J2396" s="26" t="s">
        <v>1290</v>
      </c>
    </row>
    <row r="2397" spans="1:10" ht="16.05" customHeight="1" x14ac:dyDescent="0.3">
      <c r="A2397" s="26" t="s">
        <v>868</v>
      </c>
      <c r="B2397" s="26" t="s">
        <v>1293</v>
      </c>
      <c r="C2397" s="33" t="str">
        <f>IFERROR(INDEX(tbl_requisitos_emb[Tema],MATCH(B2397,tbl_requisitos_emb[ID_Req],0)),"")</f>
        <v>Isenções PPWR</v>
      </c>
      <c r="D2397" s="33" t="str">
        <f>IFERROR(INDEX(tbl_recyclass[Segmento],MATCH(A2397,tbl_recyclass[ProductId],0)),"")</f>
        <v>Farmacêutico</v>
      </c>
      <c r="E2397" s="26" t="s">
        <v>901</v>
      </c>
      <c r="F2397" s="26" t="s">
        <v>1456</v>
      </c>
      <c r="G2397" s="26" t="s">
        <v>978</v>
      </c>
      <c r="H2397" s="33" t="str">
        <f>IF(E2397="Não","Não aplicável",IFERROR(IF(B2397="EU-ENV-002",IF(INDEX(tbl_recyclass[Conforme_PPWR_2030],MATCH(A2397,tbl_recyclass[ProductId],0))="Sim","Conforme (autoavaliação)",IF(INDEX(tbl_recyclass[Conforme_PPWR_2030],MATCH(A2397,tbl_recyclass[ProductId],0))="Não","Não conforme em 2030","Isento até 2035")),IF(B2397="EU-ENV-003",IF(INDEX(tbl_recyclass[Conforme_Art7_2030],MATCH(A2397,tbl_recyclass[ProductId],0))="Sim","Conforme (meta 2030)",IF(INDEX(tbl_recyclass[Conforme_Art7_2030],MATCH(A2397,tbl_recyclass[ProductId],0))="Não","Lacuna face à meta 2030","Isento")),IF(B2397="EU-ENV-011",IF(INDEX(tbl_familias_ppwr[Metais_Pesados_Evidencia],MATCH(INDEX(tbl_recyclass[Familia_PPWR],MATCH(A2397,tbl_recyclass[ProductId],0)),tbl_familias_ppwr[ID_Familia],0))="Em falta","Lacuna","Conforme"),IF(B2397="EU-ENV-013",IF(INDEX(tbl_familias_ppwr[Declaracao_UE],MATCH(INDEX(tbl_recyclass[Familia_PPWR],MATCH(A2397,tbl_recyclass[ProductId],0)),tbl_familias_ppwr[ID_Familia],0))="Sim","Conforme","Lacuna"),G2397)))),G2397))</f>
        <v>Parcial</v>
      </c>
      <c r="I2397" s="33" t="str">
        <f t="shared" si="37"/>
        <v>Parcial</v>
      </c>
      <c r="J2397" s="26" t="s">
        <v>1298</v>
      </c>
    </row>
    <row r="2398" spans="1:10" ht="16.05" customHeight="1" x14ac:dyDescent="0.3">
      <c r="A2398" s="26" t="s">
        <v>868</v>
      </c>
      <c r="B2398" s="26" t="s">
        <v>1357</v>
      </c>
      <c r="C2398" s="33" t="str">
        <f>IFERROR(INDEX(tbl_requisitos_emb[Tema],MATCH(B2398,tbl_requisitos_emb[ID_Req],0)),"")</f>
        <v>Identificação de plásticos</v>
      </c>
      <c r="D2398" s="33" t="str">
        <f>IFERROR(INDEX(tbl_recyclass[Segmento],MATCH(A2398,tbl_recyclass[ProductId],0)),"")</f>
        <v>Farmacêutico</v>
      </c>
      <c r="E2398" s="26" t="s">
        <v>901</v>
      </c>
      <c r="F2398" s="26" t="s">
        <v>1456</v>
      </c>
      <c r="G2398" s="26" t="s">
        <v>978</v>
      </c>
      <c r="H2398" s="33" t="str">
        <f>IF(E2398="Não","Não aplicável",IFERROR(IF(B2398="EU-ENV-002",IF(INDEX(tbl_recyclass[Conforme_PPWR_2030],MATCH(A2398,tbl_recyclass[ProductId],0))="Sim","Conforme (autoavaliação)",IF(INDEX(tbl_recyclass[Conforme_PPWR_2030],MATCH(A2398,tbl_recyclass[ProductId],0))="Não","Não conforme em 2030","Isento até 2035")),IF(B2398="EU-ENV-003",IF(INDEX(tbl_recyclass[Conforme_Art7_2030],MATCH(A2398,tbl_recyclass[ProductId],0))="Sim","Conforme (meta 2030)",IF(INDEX(tbl_recyclass[Conforme_Art7_2030],MATCH(A2398,tbl_recyclass[ProductId],0))="Não","Lacuna face à meta 2030","Isento")),IF(B2398="EU-ENV-011",IF(INDEX(tbl_familias_ppwr[Metais_Pesados_Evidencia],MATCH(INDEX(tbl_recyclass[Familia_PPWR],MATCH(A2398,tbl_recyclass[ProductId],0)),tbl_familias_ppwr[ID_Familia],0))="Em falta","Lacuna","Conforme"),IF(B2398="EU-ENV-013",IF(INDEX(tbl_familias_ppwr[Declaracao_UE],MATCH(INDEX(tbl_recyclass[Familia_PPWR],MATCH(A2398,tbl_recyclass[ProductId],0)),tbl_familias_ppwr[ID_Familia],0))="Sim","Conforme","Lacuna"),G2398)))),G2398))</f>
        <v>Parcial</v>
      </c>
      <c r="I2398" s="33" t="str">
        <f t="shared" si="37"/>
        <v>Parcial</v>
      </c>
      <c r="J2398" s="26" t="s">
        <v>1362</v>
      </c>
    </row>
    <row r="2399" spans="1:10" ht="16.05" customHeight="1" x14ac:dyDescent="0.3">
      <c r="A2399" s="26" t="s">
        <v>868</v>
      </c>
      <c r="B2399" s="26" t="s">
        <v>1385</v>
      </c>
      <c r="C2399" s="33" t="str">
        <f>IFERROR(INDEX(tbl_requisitos_emb[Tema],MATCH(B2399,tbl_requisitos_emb[ID_Req],0)),"")</f>
        <v>Reciclabilidade (voluntária)</v>
      </c>
      <c r="D2399" s="33" t="str">
        <f>IFERROR(INDEX(tbl_recyclass[Segmento],MATCH(A2399,tbl_recyclass[ProductId],0)),"")</f>
        <v>Farmacêutico</v>
      </c>
      <c r="E2399" s="26" t="s">
        <v>901</v>
      </c>
      <c r="F2399" s="26" t="s">
        <v>1456</v>
      </c>
      <c r="G2399" s="26" t="s">
        <v>978</v>
      </c>
      <c r="H2399" s="33" t="str">
        <f>IF(E2399="Não","Não aplicável",IFERROR(IF(B2399="EU-ENV-002",IF(INDEX(tbl_recyclass[Conforme_PPWR_2030],MATCH(A2399,tbl_recyclass[ProductId],0))="Sim","Conforme (autoavaliação)",IF(INDEX(tbl_recyclass[Conforme_PPWR_2030],MATCH(A2399,tbl_recyclass[ProductId],0))="Não","Não conforme em 2030","Isento até 2035")),IF(B2399="EU-ENV-003",IF(INDEX(tbl_recyclass[Conforme_Art7_2030],MATCH(A2399,tbl_recyclass[ProductId],0))="Sim","Conforme (meta 2030)",IF(INDEX(tbl_recyclass[Conforme_Art7_2030],MATCH(A2399,tbl_recyclass[ProductId],0))="Não","Lacuna face à meta 2030","Isento")),IF(B2399="EU-ENV-011",IF(INDEX(tbl_familias_ppwr[Metais_Pesados_Evidencia],MATCH(INDEX(tbl_recyclass[Familia_PPWR],MATCH(A2399,tbl_recyclass[ProductId],0)),tbl_familias_ppwr[ID_Familia],0))="Em falta","Lacuna","Conforme"),IF(B2399="EU-ENV-013",IF(INDEX(tbl_familias_ppwr[Declaracao_UE],MATCH(INDEX(tbl_recyclass[Familia_PPWR],MATCH(A2399,tbl_recyclass[ProductId],0)),tbl_familias_ppwr[ID_Familia],0))="Sim","Conforme","Lacuna"),G2399)))),G2399))</f>
        <v>Parcial</v>
      </c>
      <c r="I2399" s="33" t="str">
        <f t="shared" si="37"/>
        <v>Parcial</v>
      </c>
      <c r="J2399" s="26" t="s">
        <v>1389</v>
      </c>
    </row>
    <row r="2400" spans="1:10" ht="16.05" customHeight="1" x14ac:dyDescent="0.3">
      <c r="A2400" s="26" t="s">
        <v>870</v>
      </c>
      <c r="B2400" s="26" t="s">
        <v>984</v>
      </c>
      <c r="C2400" s="33" t="str">
        <f>IFERROR(INDEX(tbl_requisitos_emb[Tema],MATCH(B2400,tbl_requisitos_emb[ID_Req],0)),"")</f>
        <v>Conceção para reciclagem</v>
      </c>
      <c r="D2400" s="33" t="str">
        <f>IFERROR(INDEX(tbl_recyclass[Segmento],MATCH(A2400,tbl_recyclass[ProductId],0)),"")</f>
        <v>Cosmética e higiene pessoal</v>
      </c>
      <c r="E2400" s="26" t="s">
        <v>901</v>
      </c>
      <c r="F2400" s="26" t="s">
        <v>1449</v>
      </c>
      <c r="G2400" s="26" t="s">
        <v>978</v>
      </c>
      <c r="H2400" s="33" t="str">
        <f>IF(E2400="Não","Não aplicável",IFERROR(IF(B2400="EU-ENV-002",IF(INDEX(tbl_recyclass[Conforme_PPWR_2030],MATCH(A2400,tbl_recyclass[ProductId],0))="Sim","Conforme (autoavaliação)",IF(INDEX(tbl_recyclass[Conforme_PPWR_2030],MATCH(A2400,tbl_recyclass[ProductId],0))="Não","Não conforme em 2030","Isento até 2035")),IF(B2400="EU-ENV-003",IF(INDEX(tbl_recyclass[Conforme_Art7_2030],MATCH(A2400,tbl_recyclass[ProductId],0))="Sim","Conforme (meta 2030)",IF(INDEX(tbl_recyclass[Conforme_Art7_2030],MATCH(A2400,tbl_recyclass[ProductId],0))="Não","Lacuna face à meta 2030","Isento")),IF(B2400="EU-ENV-011",IF(INDEX(tbl_familias_ppwr[Metais_Pesados_Evidencia],MATCH(INDEX(tbl_recyclass[Familia_PPWR],MATCH(A2400,tbl_recyclass[ProductId],0)),tbl_familias_ppwr[ID_Familia],0))="Em falta","Lacuna","Conforme"),IF(B2400="EU-ENV-013",IF(INDEX(tbl_familias_ppwr[Declaracao_UE],MATCH(INDEX(tbl_recyclass[Familia_PPWR],MATCH(A2400,tbl_recyclass[ProductId],0)),tbl_familias_ppwr[ID_Familia],0))="Sim","Conforme","Lacuna"),G2400)))),G2400))</f>
        <v>Conforme (autoavaliação)</v>
      </c>
      <c r="I2400" s="33" t="str">
        <f t="shared" si="37"/>
        <v>Conforme</v>
      </c>
      <c r="J2400" s="26" t="s">
        <v>991</v>
      </c>
    </row>
    <row r="2401" spans="1:10" ht="16.05" customHeight="1" x14ac:dyDescent="0.3">
      <c r="A2401" s="26" t="s">
        <v>870</v>
      </c>
      <c r="B2401" s="26" t="s">
        <v>997</v>
      </c>
      <c r="C2401" s="33" t="str">
        <f>IFERROR(INDEX(tbl_requisitos_emb[Tema],MATCH(B2401,tbl_requisitos_emb[ID_Req],0)),"")</f>
        <v>Conteúdo reciclado</v>
      </c>
      <c r="D2401" s="33" t="str">
        <f>IFERROR(INDEX(tbl_recyclass[Segmento],MATCH(A2401,tbl_recyclass[ProductId],0)),"")</f>
        <v>Cosmética e higiene pessoal</v>
      </c>
      <c r="E2401" s="26" t="s">
        <v>901</v>
      </c>
      <c r="F2401" s="26" t="s">
        <v>1449</v>
      </c>
      <c r="G2401" s="26" t="s">
        <v>978</v>
      </c>
      <c r="H2401" s="33" t="str">
        <f>IF(E2401="Não","Não aplicável",IFERROR(IF(B2401="EU-ENV-002",IF(INDEX(tbl_recyclass[Conforme_PPWR_2030],MATCH(A2401,tbl_recyclass[ProductId],0))="Sim","Conforme (autoavaliação)",IF(INDEX(tbl_recyclass[Conforme_PPWR_2030],MATCH(A2401,tbl_recyclass[ProductId],0))="Não","Não conforme em 2030","Isento até 2035")),IF(B2401="EU-ENV-003",IF(INDEX(tbl_recyclass[Conforme_Art7_2030],MATCH(A2401,tbl_recyclass[ProductId],0))="Sim","Conforme (meta 2030)",IF(INDEX(tbl_recyclass[Conforme_Art7_2030],MATCH(A2401,tbl_recyclass[ProductId],0))="Não","Lacuna face à meta 2030","Isento")),IF(B2401="EU-ENV-011",IF(INDEX(tbl_familias_ppwr[Metais_Pesados_Evidencia],MATCH(INDEX(tbl_recyclass[Familia_PPWR],MATCH(A2401,tbl_recyclass[ProductId],0)),tbl_familias_ppwr[ID_Familia],0))="Em falta","Lacuna","Conforme"),IF(B2401="EU-ENV-013",IF(INDEX(tbl_familias_ppwr[Declaracao_UE],MATCH(INDEX(tbl_recyclass[Familia_PPWR],MATCH(A2401,tbl_recyclass[ProductId],0)),tbl_familias_ppwr[ID_Familia],0))="Sim","Conforme","Lacuna"),G2401)))),G2401))</f>
        <v>Lacuna face à meta 2030</v>
      </c>
      <c r="I2401" s="33" t="str">
        <f t="shared" si="37"/>
        <v>Lacuna</v>
      </c>
      <c r="J2401" s="26" t="s">
        <v>1001</v>
      </c>
    </row>
    <row r="2402" spans="1:10" ht="16.05" customHeight="1" x14ac:dyDescent="0.3">
      <c r="A2402" s="26" t="s">
        <v>870</v>
      </c>
      <c r="B2402" s="26" t="s">
        <v>1007</v>
      </c>
      <c r="C2402" s="33" t="str">
        <f>IFERROR(INDEX(tbl_requisitos_emb[Tema],MATCH(B2402,tbl_requisitos_emb[ID_Req],0)),"")</f>
        <v>Minimização</v>
      </c>
      <c r="D2402" s="33" t="str">
        <f>IFERROR(INDEX(tbl_recyclass[Segmento],MATCH(A2402,tbl_recyclass[ProductId],0)),"")</f>
        <v>Cosmética e higiene pessoal</v>
      </c>
      <c r="E2402" s="26" t="s">
        <v>901</v>
      </c>
      <c r="F2402" s="26" t="s">
        <v>1449</v>
      </c>
      <c r="G2402" s="26" t="s">
        <v>978</v>
      </c>
      <c r="H2402" s="33" t="str">
        <f>IF(E2402="Não","Não aplicável",IFERROR(IF(B2402="EU-ENV-002",IF(INDEX(tbl_recyclass[Conforme_PPWR_2030],MATCH(A2402,tbl_recyclass[ProductId],0))="Sim","Conforme (autoavaliação)",IF(INDEX(tbl_recyclass[Conforme_PPWR_2030],MATCH(A2402,tbl_recyclass[ProductId],0))="Não","Não conforme em 2030","Isento até 2035")),IF(B2402="EU-ENV-003",IF(INDEX(tbl_recyclass[Conforme_Art7_2030],MATCH(A2402,tbl_recyclass[ProductId],0))="Sim","Conforme (meta 2030)",IF(INDEX(tbl_recyclass[Conforme_Art7_2030],MATCH(A2402,tbl_recyclass[ProductId],0))="Não","Lacuna face à meta 2030","Isento")),IF(B2402="EU-ENV-011",IF(INDEX(tbl_familias_ppwr[Metais_Pesados_Evidencia],MATCH(INDEX(tbl_recyclass[Familia_PPWR],MATCH(A2402,tbl_recyclass[ProductId],0)),tbl_familias_ppwr[ID_Familia],0))="Em falta","Lacuna","Conforme"),IF(B2402="EU-ENV-013",IF(INDEX(tbl_familias_ppwr[Declaracao_UE],MATCH(INDEX(tbl_recyclass[Familia_PPWR],MATCH(A2402,tbl_recyclass[ProductId],0)),tbl_familias_ppwr[ID_Familia],0))="Sim","Conforme","Lacuna"),G2402)))),G2402))</f>
        <v>Parcial</v>
      </c>
      <c r="I2402" s="33" t="str">
        <f t="shared" si="37"/>
        <v>Parcial</v>
      </c>
      <c r="J2402" s="26" t="s">
        <v>1012</v>
      </c>
    </row>
    <row r="2403" spans="1:10" ht="16.05" customHeight="1" x14ac:dyDescent="0.3">
      <c r="A2403" s="26" t="s">
        <v>870</v>
      </c>
      <c r="B2403" s="26" t="s">
        <v>1016</v>
      </c>
      <c r="C2403" s="33" t="str">
        <f>IFERROR(INDEX(tbl_requisitos_emb[Tema],MATCH(B2403,tbl_requisitos_emb[ID_Req],0)),"")</f>
        <v>Rotulagem</v>
      </c>
      <c r="D2403" s="33" t="str">
        <f>IFERROR(INDEX(tbl_recyclass[Segmento],MATCH(A2403,tbl_recyclass[ProductId],0)),"")</f>
        <v>Cosmética e higiene pessoal</v>
      </c>
      <c r="E2403" s="26" t="s">
        <v>901</v>
      </c>
      <c r="F2403" s="26" t="s">
        <v>1449</v>
      </c>
      <c r="G2403" s="26" t="s">
        <v>990</v>
      </c>
      <c r="H2403" s="33" t="str">
        <f>IF(E2403="Não","Não aplicável",IFERROR(IF(B2403="EU-ENV-002",IF(INDEX(tbl_recyclass[Conforme_PPWR_2030],MATCH(A2403,tbl_recyclass[ProductId],0))="Sim","Conforme (autoavaliação)",IF(INDEX(tbl_recyclass[Conforme_PPWR_2030],MATCH(A2403,tbl_recyclass[ProductId],0))="Não","Não conforme em 2030","Isento até 2035")),IF(B2403="EU-ENV-003",IF(INDEX(tbl_recyclass[Conforme_Art7_2030],MATCH(A2403,tbl_recyclass[ProductId],0))="Sim","Conforme (meta 2030)",IF(INDEX(tbl_recyclass[Conforme_Art7_2030],MATCH(A2403,tbl_recyclass[ProductId],0))="Não","Lacuna face à meta 2030","Isento")),IF(B2403="EU-ENV-011",IF(INDEX(tbl_familias_ppwr[Metais_Pesados_Evidencia],MATCH(INDEX(tbl_recyclass[Familia_PPWR],MATCH(A2403,tbl_recyclass[ProductId],0)),tbl_familias_ppwr[ID_Familia],0))="Em falta","Lacuna","Conforme"),IF(B2403="EU-ENV-013",IF(INDEX(tbl_familias_ppwr[Declaracao_UE],MATCH(INDEX(tbl_recyclass[Familia_PPWR],MATCH(A2403,tbl_recyclass[ProductId],0)),tbl_familias_ppwr[ID_Familia],0))="Sim","Conforme","Lacuna"),G2403)))),G2403))</f>
        <v>Futuro</v>
      </c>
      <c r="I2403" s="33" t="str">
        <f t="shared" si="37"/>
        <v>Futuro</v>
      </c>
      <c r="J2403" s="26" t="s">
        <v>1021</v>
      </c>
    </row>
    <row r="2404" spans="1:10" ht="16.05" customHeight="1" x14ac:dyDescent="0.3">
      <c r="A2404" s="26" t="s">
        <v>870</v>
      </c>
      <c r="B2404" s="26" t="s">
        <v>1038</v>
      </c>
      <c r="C2404" s="33" t="str">
        <f>IFERROR(INDEX(tbl_requisitos_emb[Tema],MATCH(B2404,tbl_requisitos_emb[ID_Req],0)),"")</f>
        <v>Plásticos de utilização única</v>
      </c>
      <c r="D2404" s="33" t="str">
        <f>IFERROR(INDEX(tbl_recyclass[Segmento],MATCH(A2404,tbl_recyclass[ProductId],0)),"")</f>
        <v>Cosmética e higiene pessoal</v>
      </c>
      <c r="E2404" s="26" t="s">
        <v>904</v>
      </c>
      <c r="F2404" s="26" t="s">
        <v>1450</v>
      </c>
      <c r="G2404" s="26" t="s">
        <v>1143</v>
      </c>
      <c r="H2404" s="33" t="str">
        <f>IF(E2404="Não","Não aplicável",IFERROR(IF(B2404="EU-ENV-002",IF(INDEX(tbl_recyclass[Conforme_PPWR_2030],MATCH(A2404,tbl_recyclass[ProductId],0))="Sim","Conforme (autoavaliação)",IF(INDEX(tbl_recyclass[Conforme_PPWR_2030],MATCH(A2404,tbl_recyclass[ProductId],0))="Não","Não conforme em 2030","Isento até 2035")),IF(B2404="EU-ENV-003",IF(INDEX(tbl_recyclass[Conforme_Art7_2030],MATCH(A2404,tbl_recyclass[ProductId],0))="Sim","Conforme (meta 2030)",IF(INDEX(tbl_recyclass[Conforme_Art7_2030],MATCH(A2404,tbl_recyclass[ProductId],0))="Não","Lacuna face à meta 2030","Isento")),IF(B2404="EU-ENV-011",IF(INDEX(tbl_familias_ppwr[Metais_Pesados_Evidencia],MATCH(INDEX(tbl_recyclass[Familia_PPWR],MATCH(A2404,tbl_recyclass[ProductId],0)),tbl_familias_ppwr[ID_Familia],0))="Em falta","Lacuna","Conforme"),IF(B2404="EU-ENV-013",IF(INDEX(tbl_familias_ppwr[Declaracao_UE],MATCH(INDEX(tbl_recyclass[Familia_PPWR],MATCH(A2404,tbl_recyclass[ProductId],0)),tbl_familias_ppwr[ID_Familia],0))="Sim","Conforme","Lacuna"),G2404)))),G2404))</f>
        <v>Não aplicável</v>
      </c>
      <c r="I2404" s="33" t="str">
        <f t="shared" si="37"/>
        <v>Não aplicável</v>
      </c>
      <c r="J2404" s="26"/>
    </row>
    <row r="2405" spans="1:10" ht="16.05" customHeight="1" x14ac:dyDescent="0.3">
      <c r="A2405" s="26" t="s">
        <v>870</v>
      </c>
      <c r="B2405" s="26" t="s">
        <v>1078</v>
      </c>
      <c r="C2405" s="33" t="str">
        <f>IFERROR(INDEX(tbl_requisitos_emb[Tema],MATCH(B2405,tbl_requisitos_emb[ID_Req],0)),"")</f>
        <v>Reciclado à escala</v>
      </c>
      <c r="D2405" s="33" t="str">
        <f>IFERROR(INDEX(tbl_recyclass[Segmento],MATCH(A2405,tbl_recyclass[ProductId],0)),"")</f>
        <v>Cosmética e higiene pessoal</v>
      </c>
      <c r="E2405" s="26" t="s">
        <v>901</v>
      </c>
      <c r="F2405" s="26" t="s">
        <v>1449</v>
      </c>
      <c r="G2405" s="26" t="s">
        <v>990</v>
      </c>
      <c r="H2405" s="33" t="str">
        <f>IF(E2405="Não","Não aplicável",IFERROR(IF(B2405="EU-ENV-002",IF(INDEX(tbl_recyclass[Conforme_PPWR_2030],MATCH(A2405,tbl_recyclass[ProductId],0))="Sim","Conforme (autoavaliação)",IF(INDEX(tbl_recyclass[Conforme_PPWR_2030],MATCH(A2405,tbl_recyclass[ProductId],0))="Não","Não conforme em 2030","Isento até 2035")),IF(B2405="EU-ENV-003",IF(INDEX(tbl_recyclass[Conforme_Art7_2030],MATCH(A2405,tbl_recyclass[ProductId],0))="Sim","Conforme (meta 2030)",IF(INDEX(tbl_recyclass[Conforme_Art7_2030],MATCH(A2405,tbl_recyclass[ProductId],0))="Não","Lacuna face à meta 2030","Isento")),IF(B2405="EU-ENV-011",IF(INDEX(tbl_familias_ppwr[Metais_Pesados_Evidencia],MATCH(INDEX(tbl_recyclass[Familia_PPWR],MATCH(A2405,tbl_recyclass[ProductId],0)),tbl_familias_ppwr[ID_Familia],0))="Em falta","Lacuna","Conforme"),IF(B2405="EU-ENV-013",IF(INDEX(tbl_familias_ppwr[Declaracao_UE],MATCH(INDEX(tbl_recyclass[Familia_PPWR],MATCH(A2405,tbl_recyclass[ProductId],0)),tbl_familias_ppwr[ID_Familia],0))="Sim","Conforme","Lacuna"),G2405)))),G2405))</f>
        <v>Futuro</v>
      </c>
      <c r="I2405" s="33" t="str">
        <f t="shared" si="37"/>
        <v>Futuro</v>
      </c>
      <c r="J2405" s="26" t="s">
        <v>1082</v>
      </c>
    </row>
    <row r="2406" spans="1:10" ht="16.05" customHeight="1" x14ac:dyDescent="0.3">
      <c r="A2406" s="26" t="s">
        <v>870</v>
      </c>
      <c r="B2406" s="26" t="s">
        <v>1086</v>
      </c>
      <c r="C2406" s="33" t="str">
        <f>IFERROR(INDEX(tbl_requisitos_emb[Tema],MATCH(B2406,tbl_requisitos_emb[ID_Req],0)),"")</f>
        <v>Metais pesados</v>
      </c>
      <c r="D2406" s="33" t="str">
        <f>IFERROR(INDEX(tbl_recyclass[Segmento],MATCH(A2406,tbl_recyclass[ProductId],0)),"")</f>
        <v>Cosmética e higiene pessoal</v>
      </c>
      <c r="E2406" s="26" t="s">
        <v>901</v>
      </c>
      <c r="F2406" s="26" t="s">
        <v>1449</v>
      </c>
      <c r="G2406" s="26" t="s">
        <v>978</v>
      </c>
      <c r="H2406" s="33" t="str">
        <f>IF(E2406="Não","Não aplicável",IFERROR(IF(B2406="EU-ENV-002",IF(INDEX(tbl_recyclass[Conforme_PPWR_2030],MATCH(A2406,tbl_recyclass[ProductId],0))="Sim","Conforme (autoavaliação)",IF(INDEX(tbl_recyclass[Conforme_PPWR_2030],MATCH(A2406,tbl_recyclass[ProductId],0))="Não","Não conforme em 2030","Isento até 2035")),IF(B2406="EU-ENV-003",IF(INDEX(tbl_recyclass[Conforme_Art7_2030],MATCH(A2406,tbl_recyclass[ProductId],0))="Sim","Conforme (meta 2030)",IF(INDEX(tbl_recyclass[Conforme_Art7_2030],MATCH(A2406,tbl_recyclass[ProductId],0))="Não","Lacuna face à meta 2030","Isento")),IF(B2406="EU-ENV-011",IF(INDEX(tbl_familias_ppwr[Metais_Pesados_Evidencia],MATCH(INDEX(tbl_recyclass[Familia_PPWR],MATCH(A2406,tbl_recyclass[ProductId],0)),tbl_familias_ppwr[ID_Familia],0))="Em falta","Lacuna","Conforme"),IF(B2406="EU-ENV-013",IF(INDEX(tbl_familias_ppwr[Declaracao_UE],MATCH(INDEX(tbl_recyclass[Familia_PPWR],MATCH(A2406,tbl_recyclass[ProductId],0)),tbl_familias_ppwr[ID_Familia],0))="Sim","Conforme","Lacuna"),G2406)))),G2406))</f>
        <v>Lacuna</v>
      </c>
      <c r="I2406" s="33" t="str">
        <f t="shared" si="37"/>
        <v>Lacuna</v>
      </c>
      <c r="J2406" s="26" t="s">
        <v>1090</v>
      </c>
    </row>
    <row r="2407" spans="1:10" ht="16.05" customHeight="1" x14ac:dyDescent="0.3">
      <c r="A2407" s="26" t="s">
        <v>870</v>
      </c>
      <c r="B2407" s="26" t="s">
        <v>1094</v>
      </c>
      <c r="C2407" s="33" t="str">
        <f>IFERROR(INDEX(tbl_requisitos_emb[Tema],MATCH(B2407,tbl_requisitos_emb[ID_Req],0)),"")</f>
        <v>PFAS</v>
      </c>
      <c r="D2407" s="33" t="str">
        <f>IFERROR(INDEX(tbl_recyclass[Segmento],MATCH(A2407,tbl_recyclass[ProductId],0)),"")</f>
        <v>Cosmética e higiene pessoal</v>
      </c>
      <c r="E2407" s="26" t="s">
        <v>904</v>
      </c>
      <c r="F2407" s="26" t="s">
        <v>1450</v>
      </c>
      <c r="G2407" s="26" t="s">
        <v>1143</v>
      </c>
      <c r="H2407" s="33" t="str">
        <f>IF(E2407="Não","Não aplicável",IFERROR(IF(B2407="EU-ENV-002",IF(INDEX(tbl_recyclass[Conforme_PPWR_2030],MATCH(A2407,tbl_recyclass[ProductId],0))="Sim","Conforme (autoavaliação)",IF(INDEX(tbl_recyclass[Conforme_PPWR_2030],MATCH(A2407,tbl_recyclass[ProductId],0))="Não","Não conforme em 2030","Isento até 2035")),IF(B2407="EU-ENV-003",IF(INDEX(tbl_recyclass[Conforme_Art7_2030],MATCH(A2407,tbl_recyclass[ProductId],0))="Sim","Conforme (meta 2030)",IF(INDEX(tbl_recyclass[Conforme_Art7_2030],MATCH(A2407,tbl_recyclass[ProductId],0))="Não","Lacuna face à meta 2030","Isento")),IF(B2407="EU-ENV-011",IF(INDEX(tbl_familias_ppwr[Metais_Pesados_Evidencia],MATCH(INDEX(tbl_recyclass[Familia_PPWR],MATCH(A2407,tbl_recyclass[ProductId],0)),tbl_familias_ppwr[ID_Familia],0))="Em falta","Lacuna","Conforme"),IF(B2407="EU-ENV-013",IF(INDEX(tbl_familias_ppwr[Declaracao_UE],MATCH(INDEX(tbl_recyclass[Familia_PPWR],MATCH(A2407,tbl_recyclass[ProductId],0)),tbl_familias_ppwr[ID_Familia],0))="Sim","Conforme","Lacuna"),G2407)))),G2407))</f>
        <v>Não aplicável</v>
      </c>
      <c r="I2407" s="33" t="str">
        <f t="shared" si="37"/>
        <v>Não aplicável</v>
      </c>
      <c r="J2407" s="26"/>
    </row>
    <row r="2408" spans="1:10" ht="16.05" customHeight="1" x14ac:dyDescent="0.3">
      <c r="A2408" s="26" t="s">
        <v>870</v>
      </c>
      <c r="B2408" s="26" t="s">
        <v>1102</v>
      </c>
      <c r="C2408" s="33" t="str">
        <f>IFERROR(INDEX(tbl_requisitos_emb[Tema],MATCH(B2408,tbl_requisitos_emb[ID_Req],0)),"")</f>
        <v>Documentação técnica e declaração UE</v>
      </c>
      <c r="D2408" s="33" t="str">
        <f>IFERROR(INDEX(tbl_recyclass[Segmento],MATCH(A2408,tbl_recyclass[ProductId],0)),"")</f>
        <v>Cosmética e higiene pessoal</v>
      </c>
      <c r="E2408" s="26" t="s">
        <v>901</v>
      </c>
      <c r="F2408" s="26" t="s">
        <v>1449</v>
      </c>
      <c r="G2408" s="26" t="s">
        <v>978</v>
      </c>
      <c r="H2408" s="33" t="str">
        <f>IF(E2408="Não","Não aplicável",IFERROR(IF(B2408="EU-ENV-002",IF(INDEX(tbl_recyclass[Conforme_PPWR_2030],MATCH(A2408,tbl_recyclass[ProductId],0))="Sim","Conforme (autoavaliação)",IF(INDEX(tbl_recyclass[Conforme_PPWR_2030],MATCH(A2408,tbl_recyclass[ProductId],0))="Não","Não conforme em 2030","Isento até 2035")),IF(B2408="EU-ENV-003",IF(INDEX(tbl_recyclass[Conforme_Art7_2030],MATCH(A2408,tbl_recyclass[ProductId],0))="Sim","Conforme (meta 2030)",IF(INDEX(tbl_recyclass[Conforme_Art7_2030],MATCH(A2408,tbl_recyclass[ProductId],0))="Não","Lacuna face à meta 2030","Isento")),IF(B2408="EU-ENV-011",IF(INDEX(tbl_familias_ppwr[Metais_Pesados_Evidencia],MATCH(INDEX(tbl_recyclass[Familia_PPWR],MATCH(A2408,tbl_recyclass[ProductId],0)),tbl_familias_ppwr[ID_Familia],0))="Em falta","Lacuna","Conforme"),IF(B2408="EU-ENV-013",IF(INDEX(tbl_familias_ppwr[Declaracao_UE],MATCH(INDEX(tbl_recyclass[Familia_PPWR],MATCH(A2408,tbl_recyclass[ProductId],0)),tbl_familias_ppwr[ID_Familia],0))="Sim","Conforme","Lacuna"),G2408)))),G2408))</f>
        <v>Conforme</v>
      </c>
      <c r="I2408" s="33" t="str">
        <f t="shared" si="37"/>
        <v>Conforme</v>
      </c>
      <c r="J2408" s="26" t="s">
        <v>1106</v>
      </c>
    </row>
    <row r="2409" spans="1:10" ht="16.05" customHeight="1" x14ac:dyDescent="0.3">
      <c r="A2409" s="26" t="s">
        <v>870</v>
      </c>
      <c r="B2409" s="26" t="s">
        <v>1161</v>
      </c>
      <c r="C2409" s="33" t="str">
        <f>IFERROR(INDEX(tbl_requisitos_emb[Tema],MATCH(B2409,tbl_requisitos_emb[ID_Req],0)),"")</f>
        <v>Materiais em contacto com alimentos</v>
      </c>
      <c r="D2409" s="33" t="str">
        <f>IFERROR(INDEX(tbl_recyclass[Segmento],MATCH(A2409,tbl_recyclass[ProductId],0)),"")</f>
        <v>Cosmética e higiene pessoal</v>
      </c>
      <c r="E2409" s="26" t="s">
        <v>904</v>
      </c>
      <c r="F2409" s="26" t="s">
        <v>1450</v>
      </c>
      <c r="G2409" s="26" t="s">
        <v>1143</v>
      </c>
      <c r="H2409" s="33" t="str">
        <f>IF(E2409="Não","Não aplicável",IFERROR(IF(B2409="EU-ENV-002",IF(INDEX(tbl_recyclass[Conforme_PPWR_2030],MATCH(A2409,tbl_recyclass[ProductId],0))="Sim","Conforme (autoavaliação)",IF(INDEX(tbl_recyclass[Conforme_PPWR_2030],MATCH(A2409,tbl_recyclass[ProductId],0))="Não","Não conforme em 2030","Isento até 2035")),IF(B2409="EU-ENV-003",IF(INDEX(tbl_recyclass[Conforme_Art7_2030],MATCH(A2409,tbl_recyclass[ProductId],0))="Sim","Conforme (meta 2030)",IF(INDEX(tbl_recyclass[Conforme_Art7_2030],MATCH(A2409,tbl_recyclass[ProductId],0))="Não","Lacuna face à meta 2030","Isento")),IF(B2409="EU-ENV-011",IF(INDEX(tbl_familias_ppwr[Metais_Pesados_Evidencia],MATCH(INDEX(tbl_recyclass[Familia_PPWR],MATCH(A2409,tbl_recyclass[ProductId],0)),tbl_familias_ppwr[ID_Familia],0))="Em falta","Lacuna","Conforme"),IF(B2409="EU-ENV-013",IF(INDEX(tbl_familias_ppwr[Declaracao_UE],MATCH(INDEX(tbl_recyclass[Familia_PPWR],MATCH(A2409,tbl_recyclass[ProductId],0)),tbl_familias_ppwr[ID_Familia],0))="Sim","Conforme","Lacuna"),G2409)))),G2409))</f>
        <v>Não aplicável</v>
      </c>
      <c r="I2409" s="33" t="str">
        <f t="shared" si="37"/>
        <v>Não aplicável</v>
      </c>
      <c r="J2409" s="26"/>
    </row>
    <row r="2410" spans="1:10" ht="16.05" customHeight="1" x14ac:dyDescent="0.3">
      <c r="A2410" s="26" t="s">
        <v>870</v>
      </c>
      <c r="B2410" s="26" t="s">
        <v>1170</v>
      </c>
      <c r="C2410" s="33" t="str">
        <f>IFERROR(INDEX(tbl_requisitos_emb[Tema],MATCH(B2410,tbl_requisitos_emb[ID_Req],0)),"")</f>
        <v>Boas práticas de fabrico FCM</v>
      </c>
      <c r="D2410" s="33" t="str">
        <f>IFERROR(INDEX(tbl_recyclass[Segmento],MATCH(A2410,tbl_recyclass[ProductId],0)),"")</f>
        <v>Cosmética e higiene pessoal</v>
      </c>
      <c r="E2410" s="26" t="s">
        <v>904</v>
      </c>
      <c r="F2410" s="26" t="s">
        <v>1450</v>
      </c>
      <c r="G2410" s="26" t="s">
        <v>1143</v>
      </c>
      <c r="H2410" s="33" t="str">
        <f>IF(E2410="Não","Não aplicável",IFERROR(IF(B2410="EU-ENV-002",IF(INDEX(tbl_recyclass[Conforme_PPWR_2030],MATCH(A2410,tbl_recyclass[ProductId],0))="Sim","Conforme (autoavaliação)",IF(INDEX(tbl_recyclass[Conforme_PPWR_2030],MATCH(A2410,tbl_recyclass[ProductId],0))="Não","Não conforme em 2030","Isento até 2035")),IF(B2410="EU-ENV-003",IF(INDEX(tbl_recyclass[Conforme_Art7_2030],MATCH(A2410,tbl_recyclass[ProductId],0))="Sim","Conforme (meta 2030)",IF(INDEX(tbl_recyclass[Conforme_Art7_2030],MATCH(A2410,tbl_recyclass[ProductId],0))="Não","Lacuna face à meta 2030","Isento")),IF(B2410="EU-ENV-011",IF(INDEX(tbl_familias_ppwr[Metais_Pesados_Evidencia],MATCH(INDEX(tbl_recyclass[Familia_PPWR],MATCH(A2410,tbl_recyclass[ProductId],0)),tbl_familias_ppwr[ID_Familia],0))="Em falta","Lacuna","Conforme"),IF(B2410="EU-ENV-013",IF(INDEX(tbl_familias_ppwr[Declaracao_UE],MATCH(INDEX(tbl_recyclass[Familia_PPWR],MATCH(A2410,tbl_recyclass[ProductId],0)),tbl_familias_ppwr[ID_Familia],0))="Sim","Conforme","Lacuna"),G2410)))),G2410))</f>
        <v>Não aplicável</v>
      </c>
      <c r="I2410" s="33" t="str">
        <f t="shared" si="37"/>
        <v>Não aplicável</v>
      </c>
      <c r="J2410" s="26"/>
    </row>
    <row r="2411" spans="1:10" ht="16.05" customHeight="1" x14ac:dyDescent="0.3">
      <c r="A2411" s="26" t="s">
        <v>870</v>
      </c>
      <c r="B2411" s="26" t="s">
        <v>1179</v>
      </c>
      <c r="C2411" s="33" t="str">
        <f>IFERROR(INDEX(tbl_requisitos_emb[Tema],MATCH(B2411,tbl_requisitos_emb[ID_Req],0)),"")</f>
        <v>Bisfenol A e bisfenóis perigosos</v>
      </c>
      <c r="D2411" s="33" t="str">
        <f>IFERROR(INDEX(tbl_recyclass[Segmento],MATCH(A2411,tbl_recyclass[ProductId],0)),"")</f>
        <v>Cosmética e higiene pessoal</v>
      </c>
      <c r="E2411" s="26" t="s">
        <v>904</v>
      </c>
      <c r="F2411" s="26" t="s">
        <v>1450</v>
      </c>
      <c r="G2411" s="26" t="s">
        <v>1143</v>
      </c>
      <c r="H2411" s="33" t="str">
        <f>IF(E2411="Não","Não aplicável",IFERROR(IF(B2411="EU-ENV-002",IF(INDEX(tbl_recyclass[Conforme_PPWR_2030],MATCH(A2411,tbl_recyclass[ProductId],0))="Sim","Conforme (autoavaliação)",IF(INDEX(tbl_recyclass[Conforme_PPWR_2030],MATCH(A2411,tbl_recyclass[ProductId],0))="Não","Não conforme em 2030","Isento até 2035")),IF(B2411="EU-ENV-003",IF(INDEX(tbl_recyclass[Conforme_Art7_2030],MATCH(A2411,tbl_recyclass[ProductId],0))="Sim","Conforme (meta 2030)",IF(INDEX(tbl_recyclass[Conforme_Art7_2030],MATCH(A2411,tbl_recyclass[ProductId],0))="Não","Lacuna face à meta 2030","Isento")),IF(B2411="EU-ENV-011",IF(INDEX(tbl_familias_ppwr[Metais_Pesados_Evidencia],MATCH(INDEX(tbl_recyclass[Familia_PPWR],MATCH(A2411,tbl_recyclass[ProductId],0)),tbl_familias_ppwr[ID_Familia],0))="Em falta","Lacuna","Conforme"),IF(B2411="EU-ENV-013",IF(INDEX(tbl_familias_ppwr[Declaracao_UE],MATCH(INDEX(tbl_recyclass[Familia_PPWR],MATCH(A2411,tbl_recyclass[ProductId],0)),tbl_familias_ppwr[ID_Familia],0))="Sim","Conforme","Lacuna"),G2411)))),G2411))</f>
        <v>Não aplicável</v>
      </c>
      <c r="I2411" s="33" t="str">
        <f t="shared" si="37"/>
        <v>Não aplicável</v>
      </c>
      <c r="J2411" s="26"/>
    </row>
    <row r="2412" spans="1:10" ht="16.05" customHeight="1" x14ac:dyDescent="0.3">
      <c r="A2412" s="26" t="s">
        <v>870</v>
      </c>
      <c r="B2412" s="26" t="s">
        <v>1188</v>
      </c>
      <c r="C2412" s="33" t="str">
        <f>IFERROR(INDEX(tbl_requisitos_emb[Tema],MATCH(B2412,tbl_requisitos_emb[ID_Req],0)),"")</f>
        <v>Plásticos em contacto com alimentos</v>
      </c>
      <c r="D2412" s="33" t="str">
        <f>IFERROR(INDEX(tbl_recyclass[Segmento],MATCH(A2412,tbl_recyclass[ProductId],0)),"")</f>
        <v>Cosmética e higiene pessoal</v>
      </c>
      <c r="E2412" s="26" t="s">
        <v>904</v>
      </c>
      <c r="F2412" s="26" t="s">
        <v>1450</v>
      </c>
      <c r="G2412" s="26" t="s">
        <v>1143</v>
      </c>
      <c r="H2412" s="33" t="str">
        <f>IF(E2412="Não","Não aplicável",IFERROR(IF(B2412="EU-ENV-002",IF(INDEX(tbl_recyclass[Conforme_PPWR_2030],MATCH(A2412,tbl_recyclass[ProductId],0))="Sim","Conforme (autoavaliação)",IF(INDEX(tbl_recyclass[Conforme_PPWR_2030],MATCH(A2412,tbl_recyclass[ProductId],0))="Não","Não conforme em 2030","Isento até 2035")),IF(B2412="EU-ENV-003",IF(INDEX(tbl_recyclass[Conforme_Art7_2030],MATCH(A2412,tbl_recyclass[ProductId],0))="Sim","Conforme (meta 2030)",IF(INDEX(tbl_recyclass[Conforme_Art7_2030],MATCH(A2412,tbl_recyclass[ProductId],0))="Não","Lacuna face à meta 2030","Isento")),IF(B2412="EU-ENV-011",IF(INDEX(tbl_familias_ppwr[Metais_Pesados_Evidencia],MATCH(INDEX(tbl_recyclass[Familia_PPWR],MATCH(A2412,tbl_recyclass[ProductId],0)),tbl_familias_ppwr[ID_Familia],0))="Em falta","Lacuna","Conforme"),IF(B2412="EU-ENV-013",IF(INDEX(tbl_familias_ppwr[Declaracao_UE],MATCH(INDEX(tbl_recyclass[Familia_PPWR],MATCH(A2412,tbl_recyclass[ProductId],0)),tbl_familias_ppwr[ID_Familia],0))="Sim","Conforme","Lacuna"),G2412)))),G2412))</f>
        <v>Não aplicável</v>
      </c>
      <c r="I2412" s="33" t="str">
        <f t="shared" si="37"/>
        <v>Não aplicável</v>
      </c>
      <c r="J2412" s="26"/>
    </row>
    <row r="2413" spans="1:10" ht="16.05" customHeight="1" x14ac:dyDescent="0.3">
      <c r="A2413" s="26" t="s">
        <v>870</v>
      </c>
      <c r="B2413" s="26" t="s">
        <v>1212</v>
      </c>
      <c r="C2413" s="33" t="str">
        <f>IFERROR(INDEX(tbl_requisitos_emb[Tema],MATCH(B2413,tbl_requisitos_emb[ID_Req],0)),"")</f>
        <v>Segurança do produto cosmético</v>
      </c>
      <c r="D2413" s="33" t="str">
        <f>IFERROR(INDEX(tbl_recyclass[Segmento],MATCH(A2413,tbl_recyclass[ProductId],0)),"")</f>
        <v>Cosmética e higiene pessoal</v>
      </c>
      <c r="E2413" s="26" t="s">
        <v>901</v>
      </c>
      <c r="F2413" s="26" t="s">
        <v>1449</v>
      </c>
      <c r="G2413" s="26" t="s">
        <v>1033</v>
      </c>
      <c r="H2413" s="33" t="str">
        <f>IF(E2413="Não","Não aplicável",IFERROR(IF(B2413="EU-ENV-002",IF(INDEX(tbl_recyclass[Conforme_PPWR_2030],MATCH(A2413,tbl_recyclass[ProductId],0))="Sim","Conforme (autoavaliação)",IF(INDEX(tbl_recyclass[Conforme_PPWR_2030],MATCH(A2413,tbl_recyclass[ProductId],0))="Não","Não conforme em 2030","Isento até 2035")),IF(B2413="EU-ENV-003",IF(INDEX(tbl_recyclass[Conforme_Art7_2030],MATCH(A2413,tbl_recyclass[ProductId],0))="Sim","Conforme (meta 2030)",IF(INDEX(tbl_recyclass[Conforme_Art7_2030],MATCH(A2413,tbl_recyclass[ProductId],0))="Não","Lacuna face à meta 2030","Isento")),IF(B2413="EU-ENV-011",IF(INDEX(tbl_familias_ppwr[Metais_Pesados_Evidencia],MATCH(INDEX(tbl_recyclass[Familia_PPWR],MATCH(A2413,tbl_recyclass[ProductId],0)),tbl_familias_ppwr[ID_Familia],0))="Em falta","Lacuna","Conforme"),IF(B2413="EU-ENV-013",IF(INDEX(tbl_familias_ppwr[Declaracao_UE],MATCH(INDEX(tbl_recyclass[Familia_PPWR],MATCH(A2413,tbl_recyclass[ProductId],0)),tbl_familias_ppwr[ID_Familia],0))="Sim","Conforme","Lacuna"),G2413)))),G2413))</f>
        <v>Conforme</v>
      </c>
      <c r="I2413" s="33" t="str">
        <f t="shared" si="37"/>
        <v>Conforme</v>
      </c>
      <c r="J2413" s="26" t="s">
        <v>1221</v>
      </c>
    </row>
    <row r="2414" spans="1:10" ht="16.05" customHeight="1" x14ac:dyDescent="0.3">
      <c r="A2414" s="26" t="s">
        <v>870</v>
      </c>
      <c r="B2414" s="26" t="s">
        <v>1224</v>
      </c>
      <c r="C2414" s="33" t="str">
        <f>IFERROR(INDEX(tbl_requisitos_emb[Tema],MATCH(B2414,tbl_requisitos_emb[ID_Req],0)),"")</f>
        <v>Materiais e impurezas</v>
      </c>
      <c r="D2414" s="33" t="str">
        <f>IFERROR(INDEX(tbl_recyclass[Segmento],MATCH(A2414,tbl_recyclass[ProductId],0)),"")</f>
        <v>Cosmética e higiene pessoal</v>
      </c>
      <c r="E2414" s="26" t="s">
        <v>901</v>
      </c>
      <c r="F2414" s="26" t="s">
        <v>1449</v>
      </c>
      <c r="G2414" s="26" t="s">
        <v>978</v>
      </c>
      <c r="H2414" s="33" t="str">
        <f>IF(E2414="Não","Não aplicável",IFERROR(IF(B2414="EU-ENV-002",IF(INDEX(tbl_recyclass[Conforme_PPWR_2030],MATCH(A2414,tbl_recyclass[ProductId],0))="Sim","Conforme (autoavaliação)",IF(INDEX(tbl_recyclass[Conforme_PPWR_2030],MATCH(A2414,tbl_recyclass[ProductId],0))="Não","Não conforme em 2030","Isento até 2035")),IF(B2414="EU-ENV-003",IF(INDEX(tbl_recyclass[Conforme_Art7_2030],MATCH(A2414,tbl_recyclass[ProductId],0))="Sim","Conforme (meta 2030)",IF(INDEX(tbl_recyclass[Conforme_Art7_2030],MATCH(A2414,tbl_recyclass[ProductId],0))="Não","Lacuna face à meta 2030","Isento")),IF(B2414="EU-ENV-011",IF(INDEX(tbl_familias_ppwr[Metais_Pesados_Evidencia],MATCH(INDEX(tbl_recyclass[Familia_PPWR],MATCH(A2414,tbl_recyclass[ProductId],0)),tbl_familias_ppwr[ID_Familia],0))="Em falta","Lacuna","Conforme"),IF(B2414="EU-ENV-013",IF(INDEX(tbl_familias_ppwr[Declaracao_UE],MATCH(INDEX(tbl_recyclass[Familia_PPWR],MATCH(A2414,tbl_recyclass[ProductId],0)),tbl_familias_ppwr[ID_Familia],0))="Sim","Conforme","Lacuna"),G2414)))),G2414))</f>
        <v>Parcial</v>
      </c>
      <c r="I2414" s="33" t="str">
        <f t="shared" si="37"/>
        <v>Parcial</v>
      </c>
      <c r="J2414" s="26" t="s">
        <v>1228</v>
      </c>
    </row>
    <row r="2415" spans="1:10" ht="16.05" customHeight="1" x14ac:dyDescent="0.3">
      <c r="A2415" s="26" t="s">
        <v>870</v>
      </c>
      <c r="B2415" s="26" t="s">
        <v>1240</v>
      </c>
      <c r="C2415" s="33" t="str">
        <f>IFERROR(INDEX(tbl_requisitos_emb[Tema],MATCH(B2415,tbl_requisitos_emb[ID_Req],0)),"")</f>
        <v>Compatibilidade embalagem–produto</v>
      </c>
      <c r="D2415" s="33" t="str">
        <f>IFERROR(INDEX(tbl_recyclass[Segmento],MATCH(A2415,tbl_recyclass[ProductId],0)),"")</f>
        <v>Cosmética e higiene pessoal</v>
      </c>
      <c r="E2415" s="26" t="s">
        <v>901</v>
      </c>
      <c r="F2415" s="26" t="s">
        <v>1449</v>
      </c>
      <c r="G2415" s="26" t="s">
        <v>1033</v>
      </c>
      <c r="H2415" s="33" t="str">
        <f>IF(E2415="Não","Não aplicável",IFERROR(IF(B2415="EU-ENV-002",IF(INDEX(tbl_recyclass[Conforme_PPWR_2030],MATCH(A2415,tbl_recyclass[ProductId],0))="Sim","Conforme (autoavaliação)",IF(INDEX(tbl_recyclass[Conforme_PPWR_2030],MATCH(A2415,tbl_recyclass[ProductId],0))="Não","Não conforme em 2030","Isento até 2035")),IF(B2415="EU-ENV-003",IF(INDEX(tbl_recyclass[Conforme_Art7_2030],MATCH(A2415,tbl_recyclass[ProductId],0))="Sim","Conforme (meta 2030)",IF(INDEX(tbl_recyclass[Conforme_Art7_2030],MATCH(A2415,tbl_recyclass[ProductId],0))="Não","Lacuna face à meta 2030","Isento")),IF(B2415="EU-ENV-011",IF(INDEX(tbl_familias_ppwr[Metais_Pesados_Evidencia],MATCH(INDEX(tbl_recyclass[Familia_PPWR],MATCH(A2415,tbl_recyclass[ProductId],0)),tbl_familias_ppwr[ID_Familia],0))="Em falta","Lacuna","Conforme"),IF(B2415="EU-ENV-013",IF(INDEX(tbl_familias_ppwr[Declaracao_UE],MATCH(INDEX(tbl_recyclass[Familia_PPWR],MATCH(A2415,tbl_recyclass[ProductId],0)),tbl_familias_ppwr[ID_Familia],0))="Sim","Conforme","Lacuna"),G2415)))),G2415))</f>
        <v>Conforme</v>
      </c>
      <c r="I2415" s="33" t="str">
        <f t="shared" si="37"/>
        <v>Conforme</v>
      </c>
      <c r="J2415" s="26" t="s">
        <v>1244</v>
      </c>
    </row>
    <row r="2416" spans="1:10" ht="16.05" customHeight="1" x14ac:dyDescent="0.3">
      <c r="A2416" s="26" t="s">
        <v>870</v>
      </c>
      <c r="B2416" s="26" t="s">
        <v>1252</v>
      </c>
      <c r="C2416" s="33" t="str">
        <f>IFERROR(INDEX(tbl_requisitos_emb[Tema],MATCH(B2416,tbl_requisitos_emb[ID_Req],0)),"")</f>
        <v>Medicamentos de uso humano</v>
      </c>
      <c r="D2416" s="33" t="str">
        <f>IFERROR(INDEX(tbl_recyclass[Segmento],MATCH(A2416,tbl_recyclass[ProductId],0)),"")</f>
        <v>Cosmética e higiene pessoal</v>
      </c>
      <c r="E2416" s="26" t="s">
        <v>904</v>
      </c>
      <c r="F2416" s="26" t="s">
        <v>1451</v>
      </c>
      <c r="G2416" s="26" t="s">
        <v>1143</v>
      </c>
      <c r="H2416" s="33" t="str">
        <f>IF(E2416="Não","Não aplicável",IFERROR(IF(B2416="EU-ENV-002",IF(INDEX(tbl_recyclass[Conforme_PPWR_2030],MATCH(A2416,tbl_recyclass[ProductId],0))="Sim","Conforme (autoavaliação)",IF(INDEX(tbl_recyclass[Conforme_PPWR_2030],MATCH(A2416,tbl_recyclass[ProductId],0))="Não","Não conforme em 2030","Isento até 2035")),IF(B2416="EU-ENV-003",IF(INDEX(tbl_recyclass[Conforme_Art7_2030],MATCH(A2416,tbl_recyclass[ProductId],0))="Sim","Conforme (meta 2030)",IF(INDEX(tbl_recyclass[Conforme_Art7_2030],MATCH(A2416,tbl_recyclass[ProductId],0))="Não","Lacuna face à meta 2030","Isento")),IF(B2416="EU-ENV-011",IF(INDEX(tbl_familias_ppwr[Metais_Pesados_Evidencia],MATCH(INDEX(tbl_recyclass[Familia_PPWR],MATCH(A2416,tbl_recyclass[ProductId],0)),tbl_familias_ppwr[ID_Familia],0))="Em falta","Lacuna","Conforme"),IF(B2416="EU-ENV-013",IF(INDEX(tbl_familias_ppwr[Declaracao_UE],MATCH(INDEX(tbl_recyclass[Familia_PPWR],MATCH(A2416,tbl_recyclass[ProductId],0)),tbl_familias_ppwr[ID_Familia],0))="Sim","Conforme","Lacuna"),G2416)))),G2416))</f>
        <v>Não aplicável</v>
      </c>
      <c r="I2416" s="33" t="str">
        <f t="shared" si="37"/>
        <v>Não aplicável</v>
      </c>
      <c r="J2416" s="26"/>
    </row>
    <row r="2417" spans="1:10" ht="16.05" customHeight="1" x14ac:dyDescent="0.3">
      <c r="A2417" s="26" t="s">
        <v>870</v>
      </c>
      <c r="B2417" s="26" t="s">
        <v>1268</v>
      </c>
      <c r="C2417" s="33" t="str">
        <f>IFERROR(INDEX(tbl_requisitos_emb[Tema],MATCH(B2417,tbl_requisitos_emb[ID_Req],0)),"")</f>
        <v>Dispositivos de segurança</v>
      </c>
      <c r="D2417" s="33" t="str">
        <f>IFERROR(INDEX(tbl_recyclass[Segmento],MATCH(A2417,tbl_recyclass[ProductId],0)),"")</f>
        <v>Cosmética e higiene pessoal</v>
      </c>
      <c r="E2417" s="26" t="s">
        <v>904</v>
      </c>
      <c r="F2417" s="26" t="s">
        <v>1451</v>
      </c>
      <c r="G2417" s="26" t="s">
        <v>1143</v>
      </c>
      <c r="H2417" s="33" t="str">
        <f>IF(E2417="Não","Não aplicável",IFERROR(IF(B2417="EU-ENV-002",IF(INDEX(tbl_recyclass[Conforme_PPWR_2030],MATCH(A2417,tbl_recyclass[ProductId],0))="Sim","Conforme (autoavaliação)",IF(INDEX(tbl_recyclass[Conforme_PPWR_2030],MATCH(A2417,tbl_recyclass[ProductId],0))="Não","Não conforme em 2030","Isento até 2035")),IF(B2417="EU-ENV-003",IF(INDEX(tbl_recyclass[Conforme_Art7_2030],MATCH(A2417,tbl_recyclass[ProductId],0))="Sim","Conforme (meta 2030)",IF(INDEX(tbl_recyclass[Conforme_Art7_2030],MATCH(A2417,tbl_recyclass[ProductId],0))="Não","Lacuna face à meta 2030","Isento")),IF(B2417="EU-ENV-011",IF(INDEX(tbl_familias_ppwr[Metais_Pesados_Evidencia],MATCH(INDEX(tbl_recyclass[Familia_PPWR],MATCH(A2417,tbl_recyclass[ProductId],0)),tbl_familias_ppwr[ID_Familia],0))="Em falta","Lacuna","Conforme"),IF(B2417="EU-ENV-013",IF(INDEX(tbl_familias_ppwr[Declaracao_UE],MATCH(INDEX(tbl_recyclass[Familia_PPWR],MATCH(A2417,tbl_recyclass[ProductId],0)),tbl_familias_ppwr[ID_Familia],0))="Sim","Conforme","Lacuna"),G2417)))),G2417))</f>
        <v>Não aplicável</v>
      </c>
      <c r="I2417" s="33" t="str">
        <f t="shared" si="37"/>
        <v>Não aplicável</v>
      </c>
      <c r="J2417" s="26"/>
    </row>
    <row r="2418" spans="1:10" ht="16.05" customHeight="1" x14ac:dyDescent="0.3">
      <c r="A2418" s="26" t="s">
        <v>870</v>
      </c>
      <c r="B2418" s="26" t="s">
        <v>1285</v>
      </c>
      <c r="C2418" s="33" t="str">
        <f>IFERROR(INDEX(tbl_requisitos_emb[Tema],MATCH(B2418,tbl_requisitos_emb[ID_Req],0)),"")</f>
        <v>Materiais plásticos de acondicionamento primário</v>
      </c>
      <c r="D2418" s="33" t="str">
        <f>IFERROR(INDEX(tbl_recyclass[Segmento],MATCH(A2418,tbl_recyclass[ProductId],0)),"")</f>
        <v>Cosmética e higiene pessoal</v>
      </c>
      <c r="E2418" s="26" t="s">
        <v>904</v>
      </c>
      <c r="F2418" s="26" t="s">
        <v>1451</v>
      </c>
      <c r="G2418" s="26" t="s">
        <v>1143</v>
      </c>
      <c r="H2418" s="33" t="str">
        <f>IF(E2418="Não","Não aplicável",IFERROR(IF(B2418="EU-ENV-002",IF(INDEX(tbl_recyclass[Conforme_PPWR_2030],MATCH(A2418,tbl_recyclass[ProductId],0))="Sim","Conforme (autoavaliação)",IF(INDEX(tbl_recyclass[Conforme_PPWR_2030],MATCH(A2418,tbl_recyclass[ProductId],0))="Não","Não conforme em 2030","Isento até 2035")),IF(B2418="EU-ENV-003",IF(INDEX(tbl_recyclass[Conforme_Art7_2030],MATCH(A2418,tbl_recyclass[ProductId],0))="Sim","Conforme (meta 2030)",IF(INDEX(tbl_recyclass[Conforme_Art7_2030],MATCH(A2418,tbl_recyclass[ProductId],0))="Não","Lacuna face à meta 2030","Isento")),IF(B2418="EU-ENV-011",IF(INDEX(tbl_familias_ppwr[Metais_Pesados_Evidencia],MATCH(INDEX(tbl_recyclass[Familia_PPWR],MATCH(A2418,tbl_recyclass[ProductId],0)),tbl_familias_ppwr[ID_Familia],0))="Em falta","Lacuna","Conforme"),IF(B2418="EU-ENV-013",IF(INDEX(tbl_familias_ppwr[Declaracao_UE],MATCH(INDEX(tbl_recyclass[Familia_PPWR],MATCH(A2418,tbl_recyclass[ProductId],0)),tbl_familias_ppwr[ID_Familia],0))="Sim","Conforme","Lacuna"),G2418)))),G2418))</f>
        <v>Não aplicável</v>
      </c>
      <c r="I2418" s="33" t="str">
        <f t="shared" si="37"/>
        <v>Não aplicável</v>
      </c>
      <c r="J2418" s="26"/>
    </row>
    <row r="2419" spans="1:10" ht="16.05" customHeight="1" x14ac:dyDescent="0.3">
      <c r="A2419" s="26" t="s">
        <v>870</v>
      </c>
      <c r="B2419" s="26" t="s">
        <v>1293</v>
      </c>
      <c r="C2419" s="33" t="str">
        <f>IFERROR(INDEX(tbl_requisitos_emb[Tema],MATCH(B2419,tbl_requisitos_emb[ID_Req],0)),"")</f>
        <v>Isenções PPWR</v>
      </c>
      <c r="D2419" s="33" t="str">
        <f>IFERROR(INDEX(tbl_recyclass[Segmento],MATCH(A2419,tbl_recyclass[ProductId],0)),"")</f>
        <v>Cosmética e higiene pessoal</v>
      </c>
      <c r="E2419" s="26" t="s">
        <v>904</v>
      </c>
      <c r="F2419" s="26" t="s">
        <v>1451</v>
      </c>
      <c r="G2419" s="26" t="s">
        <v>1143</v>
      </c>
      <c r="H2419" s="33" t="str">
        <f>IF(E2419="Não","Não aplicável",IFERROR(IF(B2419="EU-ENV-002",IF(INDEX(tbl_recyclass[Conforme_PPWR_2030],MATCH(A2419,tbl_recyclass[ProductId],0))="Sim","Conforme (autoavaliação)",IF(INDEX(tbl_recyclass[Conforme_PPWR_2030],MATCH(A2419,tbl_recyclass[ProductId],0))="Não","Não conforme em 2030","Isento até 2035")),IF(B2419="EU-ENV-003",IF(INDEX(tbl_recyclass[Conforme_Art7_2030],MATCH(A2419,tbl_recyclass[ProductId],0))="Sim","Conforme (meta 2030)",IF(INDEX(tbl_recyclass[Conforme_Art7_2030],MATCH(A2419,tbl_recyclass[ProductId],0))="Não","Lacuna face à meta 2030","Isento")),IF(B2419="EU-ENV-011",IF(INDEX(tbl_familias_ppwr[Metais_Pesados_Evidencia],MATCH(INDEX(tbl_recyclass[Familia_PPWR],MATCH(A2419,tbl_recyclass[ProductId],0)),tbl_familias_ppwr[ID_Familia],0))="Em falta","Lacuna","Conforme"),IF(B2419="EU-ENV-013",IF(INDEX(tbl_familias_ppwr[Declaracao_UE],MATCH(INDEX(tbl_recyclass[Familia_PPWR],MATCH(A2419,tbl_recyclass[ProductId],0)),tbl_familias_ppwr[ID_Familia],0))="Sim","Conforme","Lacuna"),G2419)))),G2419))</f>
        <v>Não aplicável</v>
      </c>
      <c r="I2419" s="33" t="str">
        <f t="shared" si="37"/>
        <v>Não aplicável</v>
      </c>
      <c r="J2419" s="26"/>
    </row>
    <row r="2420" spans="1:10" ht="16.05" customHeight="1" x14ac:dyDescent="0.3">
      <c r="A2420" s="26" t="s">
        <v>870</v>
      </c>
      <c r="B2420" s="26" t="s">
        <v>1357</v>
      </c>
      <c r="C2420" s="33" t="str">
        <f>IFERROR(INDEX(tbl_requisitos_emb[Tema],MATCH(B2420,tbl_requisitos_emb[ID_Req],0)),"")</f>
        <v>Identificação de plásticos</v>
      </c>
      <c r="D2420" s="33" t="str">
        <f>IFERROR(INDEX(tbl_recyclass[Segmento],MATCH(A2420,tbl_recyclass[ProductId],0)),"")</f>
        <v>Cosmética e higiene pessoal</v>
      </c>
      <c r="E2420" s="26" t="s">
        <v>901</v>
      </c>
      <c r="F2420" s="26" t="s">
        <v>1449</v>
      </c>
      <c r="G2420" s="26" t="s">
        <v>978</v>
      </c>
      <c r="H2420" s="33" t="str">
        <f>IF(E2420="Não","Não aplicável",IFERROR(IF(B2420="EU-ENV-002",IF(INDEX(tbl_recyclass[Conforme_PPWR_2030],MATCH(A2420,tbl_recyclass[ProductId],0))="Sim","Conforme (autoavaliação)",IF(INDEX(tbl_recyclass[Conforme_PPWR_2030],MATCH(A2420,tbl_recyclass[ProductId],0))="Não","Não conforme em 2030","Isento até 2035")),IF(B2420="EU-ENV-003",IF(INDEX(tbl_recyclass[Conforme_Art7_2030],MATCH(A2420,tbl_recyclass[ProductId],0))="Sim","Conforme (meta 2030)",IF(INDEX(tbl_recyclass[Conforme_Art7_2030],MATCH(A2420,tbl_recyclass[ProductId],0))="Não","Lacuna face à meta 2030","Isento")),IF(B2420="EU-ENV-011",IF(INDEX(tbl_familias_ppwr[Metais_Pesados_Evidencia],MATCH(INDEX(tbl_recyclass[Familia_PPWR],MATCH(A2420,tbl_recyclass[ProductId],0)),tbl_familias_ppwr[ID_Familia],0))="Em falta","Lacuna","Conforme"),IF(B2420="EU-ENV-013",IF(INDEX(tbl_familias_ppwr[Declaracao_UE],MATCH(INDEX(tbl_recyclass[Familia_PPWR],MATCH(A2420,tbl_recyclass[ProductId],0)),tbl_familias_ppwr[ID_Familia],0))="Sim","Conforme","Lacuna"),G2420)))),G2420))</f>
        <v>Parcial</v>
      </c>
      <c r="I2420" s="33" t="str">
        <f t="shared" si="37"/>
        <v>Parcial</v>
      </c>
      <c r="J2420" s="26" t="s">
        <v>1362</v>
      </c>
    </row>
    <row r="2421" spans="1:10" ht="16.05" customHeight="1" x14ac:dyDescent="0.3">
      <c r="A2421" s="26" t="s">
        <v>870</v>
      </c>
      <c r="B2421" s="26" t="s">
        <v>1385</v>
      </c>
      <c r="C2421" s="33" t="str">
        <f>IFERROR(INDEX(tbl_requisitos_emb[Tema],MATCH(B2421,tbl_requisitos_emb[ID_Req],0)),"")</f>
        <v>Reciclabilidade (voluntária)</v>
      </c>
      <c r="D2421" s="33" t="str">
        <f>IFERROR(INDEX(tbl_recyclass[Segmento],MATCH(A2421,tbl_recyclass[ProductId],0)),"")</f>
        <v>Cosmética e higiene pessoal</v>
      </c>
      <c r="E2421" s="26" t="s">
        <v>901</v>
      </c>
      <c r="F2421" s="26" t="s">
        <v>1449</v>
      </c>
      <c r="G2421" s="26" t="s">
        <v>978</v>
      </c>
      <c r="H2421" s="33" t="str">
        <f>IF(E2421="Não","Não aplicável",IFERROR(IF(B2421="EU-ENV-002",IF(INDEX(tbl_recyclass[Conforme_PPWR_2030],MATCH(A2421,tbl_recyclass[ProductId],0))="Sim","Conforme (autoavaliação)",IF(INDEX(tbl_recyclass[Conforme_PPWR_2030],MATCH(A2421,tbl_recyclass[ProductId],0))="Não","Não conforme em 2030","Isento até 2035")),IF(B2421="EU-ENV-003",IF(INDEX(tbl_recyclass[Conforme_Art7_2030],MATCH(A2421,tbl_recyclass[ProductId],0))="Sim","Conforme (meta 2030)",IF(INDEX(tbl_recyclass[Conforme_Art7_2030],MATCH(A2421,tbl_recyclass[ProductId],0))="Não","Lacuna face à meta 2030","Isento")),IF(B2421="EU-ENV-011",IF(INDEX(tbl_familias_ppwr[Metais_Pesados_Evidencia],MATCH(INDEX(tbl_recyclass[Familia_PPWR],MATCH(A2421,tbl_recyclass[ProductId],0)),tbl_familias_ppwr[ID_Familia],0))="Em falta","Lacuna","Conforme"),IF(B2421="EU-ENV-013",IF(INDEX(tbl_familias_ppwr[Declaracao_UE],MATCH(INDEX(tbl_recyclass[Familia_PPWR],MATCH(A2421,tbl_recyclass[ProductId],0)),tbl_familias_ppwr[ID_Familia],0))="Sim","Conforme","Lacuna"),G2421)))),G2421))</f>
        <v>Parcial</v>
      </c>
      <c r="I2421" s="33" t="str">
        <f t="shared" si="37"/>
        <v>Parcial</v>
      </c>
      <c r="J2421" s="26" t="s">
        <v>1389</v>
      </c>
    </row>
    <row r="2422" spans="1:10" ht="16.05" customHeight="1" x14ac:dyDescent="0.3">
      <c r="A2422" s="26" t="s">
        <v>876</v>
      </c>
      <c r="B2422" s="26" t="s">
        <v>984</v>
      </c>
      <c r="C2422" s="33" t="str">
        <f>IFERROR(INDEX(tbl_requisitos_emb[Tema],MATCH(B2422,tbl_requisitos_emb[ID_Req],0)),"")</f>
        <v>Conceção para reciclagem</v>
      </c>
      <c r="D2422" s="33" t="str">
        <f>IFERROR(INDEX(tbl_recyclass[Segmento],MATCH(A2422,tbl_recyclass[ProductId],0)),"")</f>
        <v>Farmacêutico</v>
      </c>
      <c r="E2422" s="26" t="s">
        <v>901</v>
      </c>
      <c r="F2422" s="26" t="s">
        <v>1456</v>
      </c>
      <c r="G2422" s="26" t="s">
        <v>978</v>
      </c>
      <c r="H2422" s="33" t="str">
        <f>IF(E2422="Não","Não aplicável",IFERROR(IF(B2422="EU-ENV-002",IF(INDEX(tbl_recyclass[Conforme_PPWR_2030],MATCH(A2422,tbl_recyclass[ProductId],0))="Sim","Conforme (autoavaliação)",IF(INDEX(tbl_recyclass[Conforme_PPWR_2030],MATCH(A2422,tbl_recyclass[ProductId],0))="Não","Não conforme em 2030","Isento até 2035")),IF(B2422="EU-ENV-003",IF(INDEX(tbl_recyclass[Conforme_Art7_2030],MATCH(A2422,tbl_recyclass[ProductId],0))="Sim","Conforme (meta 2030)",IF(INDEX(tbl_recyclass[Conforme_Art7_2030],MATCH(A2422,tbl_recyclass[ProductId],0))="Não","Lacuna face à meta 2030","Isento")),IF(B2422="EU-ENV-011",IF(INDEX(tbl_familias_ppwr[Metais_Pesados_Evidencia],MATCH(INDEX(tbl_recyclass[Familia_PPWR],MATCH(A2422,tbl_recyclass[ProductId],0)),tbl_familias_ppwr[ID_Familia],0))="Em falta","Lacuna","Conforme"),IF(B2422="EU-ENV-013",IF(INDEX(tbl_familias_ppwr[Declaracao_UE],MATCH(INDEX(tbl_recyclass[Familia_PPWR],MATCH(A2422,tbl_recyclass[ProductId],0)),tbl_familias_ppwr[ID_Familia],0))="Sim","Conforme","Lacuna"),G2422)))),G2422))</f>
        <v>Isento até 2035</v>
      </c>
      <c r="I2422" s="33" t="str">
        <f t="shared" si="37"/>
        <v>Isento</v>
      </c>
      <c r="J2422" s="26" t="s">
        <v>991</v>
      </c>
    </row>
    <row r="2423" spans="1:10" ht="16.05" customHeight="1" x14ac:dyDescent="0.3">
      <c r="A2423" s="26" t="s">
        <v>876</v>
      </c>
      <c r="B2423" s="26" t="s">
        <v>997</v>
      </c>
      <c r="C2423" s="33" t="str">
        <f>IFERROR(INDEX(tbl_requisitos_emb[Tema],MATCH(B2423,tbl_requisitos_emb[ID_Req],0)),"")</f>
        <v>Conteúdo reciclado</v>
      </c>
      <c r="D2423" s="33" t="str">
        <f>IFERROR(INDEX(tbl_recyclass[Segmento],MATCH(A2423,tbl_recyclass[ProductId],0)),"")</f>
        <v>Farmacêutico</v>
      </c>
      <c r="E2423" s="26" t="s">
        <v>901</v>
      </c>
      <c r="F2423" s="26" t="s">
        <v>1456</v>
      </c>
      <c r="G2423" s="26" t="s">
        <v>978</v>
      </c>
      <c r="H2423" s="33" t="str">
        <f>IF(E2423="Não","Não aplicável",IFERROR(IF(B2423="EU-ENV-002",IF(INDEX(tbl_recyclass[Conforme_PPWR_2030],MATCH(A2423,tbl_recyclass[ProductId],0))="Sim","Conforme (autoavaliação)",IF(INDEX(tbl_recyclass[Conforme_PPWR_2030],MATCH(A2423,tbl_recyclass[ProductId],0))="Não","Não conforme em 2030","Isento até 2035")),IF(B2423="EU-ENV-003",IF(INDEX(tbl_recyclass[Conforme_Art7_2030],MATCH(A2423,tbl_recyclass[ProductId],0))="Sim","Conforme (meta 2030)",IF(INDEX(tbl_recyclass[Conforme_Art7_2030],MATCH(A2423,tbl_recyclass[ProductId],0))="Não","Lacuna face à meta 2030","Isento")),IF(B2423="EU-ENV-011",IF(INDEX(tbl_familias_ppwr[Metais_Pesados_Evidencia],MATCH(INDEX(tbl_recyclass[Familia_PPWR],MATCH(A2423,tbl_recyclass[ProductId],0)),tbl_familias_ppwr[ID_Familia],0))="Em falta","Lacuna","Conforme"),IF(B2423="EU-ENV-013",IF(INDEX(tbl_familias_ppwr[Declaracao_UE],MATCH(INDEX(tbl_recyclass[Familia_PPWR],MATCH(A2423,tbl_recyclass[ProductId],0)),tbl_familias_ppwr[ID_Familia],0))="Sim","Conforme","Lacuna"),G2423)))),G2423))</f>
        <v>Isento</v>
      </c>
      <c r="I2423" s="33" t="str">
        <f t="shared" si="37"/>
        <v>Isento</v>
      </c>
      <c r="J2423" s="26" t="s">
        <v>1001</v>
      </c>
    </row>
    <row r="2424" spans="1:10" ht="16.05" customHeight="1" x14ac:dyDescent="0.3">
      <c r="A2424" s="26" t="s">
        <v>876</v>
      </c>
      <c r="B2424" s="26" t="s">
        <v>1007</v>
      </c>
      <c r="C2424" s="33" t="str">
        <f>IFERROR(INDEX(tbl_requisitos_emb[Tema],MATCH(B2424,tbl_requisitos_emb[ID_Req],0)),"")</f>
        <v>Minimização</v>
      </c>
      <c r="D2424" s="33" t="str">
        <f>IFERROR(INDEX(tbl_recyclass[Segmento],MATCH(A2424,tbl_recyclass[ProductId],0)),"")</f>
        <v>Farmacêutico</v>
      </c>
      <c r="E2424" s="26" t="s">
        <v>901</v>
      </c>
      <c r="F2424" s="26" t="s">
        <v>1456</v>
      </c>
      <c r="G2424" s="26" t="s">
        <v>978</v>
      </c>
      <c r="H2424" s="33" t="str">
        <f>IF(E2424="Não","Não aplicável",IFERROR(IF(B2424="EU-ENV-002",IF(INDEX(tbl_recyclass[Conforme_PPWR_2030],MATCH(A2424,tbl_recyclass[ProductId],0))="Sim","Conforme (autoavaliação)",IF(INDEX(tbl_recyclass[Conforme_PPWR_2030],MATCH(A2424,tbl_recyclass[ProductId],0))="Não","Não conforme em 2030","Isento até 2035")),IF(B2424="EU-ENV-003",IF(INDEX(tbl_recyclass[Conforme_Art7_2030],MATCH(A2424,tbl_recyclass[ProductId],0))="Sim","Conforme (meta 2030)",IF(INDEX(tbl_recyclass[Conforme_Art7_2030],MATCH(A2424,tbl_recyclass[ProductId],0))="Não","Lacuna face à meta 2030","Isento")),IF(B2424="EU-ENV-011",IF(INDEX(tbl_familias_ppwr[Metais_Pesados_Evidencia],MATCH(INDEX(tbl_recyclass[Familia_PPWR],MATCH(A2424,tbl_recyclass[ProductId],0)),tbl_familias_ppwr[ID_Familia],0))="Em falta","Lacuna","Conforme"),IF(B2424="EU-ENV-013",IF(INDEX(tbl_familias_ppwr[Declaracao_UE],MATCH(INDEX(tbl_recyclass[Familia_PPWR],MATCH(A2424,tbl_recyclass[ProductId],0)),tbl_familias_ppwr[ID_Familia],0))="Sim","Conforme","Lacuna"),G2424)))),G2424))</f>
        <v>Parcial</v>
      </c>
      <c r="I2424" s="33" t="str">
        <f t="shared" si="37"/>
        <v>Parcial</v>
      </c>
      <c r="J2424" s="26" t="s">
        <v>1012</v>
      </c>
    </row>
    <row r="2425" spans="1:10" ht="16.05" customHeight="1" x14ac:dyDescent="0.3">
      <c r="A2425" s="26" t="s">
        <v>876</v>
      </c>
      <c r="B2425" s="26" t="s">
        <v>1016</v>
      </c>
      <c r="C2425" s="33" t="str">
        <f>IFERROR(INDEX(tbl_requisitos_emb[Tema],MATCH(B2425,tbl_requisitos_emb[ID_Req],0)),"")</f>
        <v>Rotulagem</v>
      </c>
      <c r="D2425" s="33" t="str">
        <f>IFERROR(INDEX(tbl_recyclass[Segmento],MATCH(A2425,tbl_recyclass[ProductId],0)),"")</f>
        <v>Farmacêutico</v>
      </c>
      <c r="E2425" s="26" t="s">
        <v>901</v>
      </c>
      <c r="F2425" s="26" t="s">
        <v>1456</v>
      </c>
      <c r="G2425" s="26" t="s">
        <v>990</v>
      </c>
      <c r="H2425" s="33" t="str">
        <f>IF(E2425="Não","Não aplicável",IFERROR(IF(B2425="EU-ENV-002",IF(INDEX(tbl_recyclass[Conforme_PPWR_2030],MATCH(A2425,tbl_recyclass[ProductId],0))="Sim","Conforme (autoavaliação)",IF(INDEX(tbl_recyclass[Conforme_PPWR_2030],MATCH(A2425,tbl_recyclass[ProductId],0))="Não","Não conforme em 2030","Isento até 2035")),IF(B2425="EU-ENV-003",IF(INDEX(tbl_recyclass[Conforme_Art7_2030],MATCH(A2425,tbl_recyclass[ProductId],0))="Sim","Conforme (meta 2030)",IF(INDEX(tbl_recyclass[Conforme_Art7_2030],MATCH(A2425,tbl_recyclass[ProductId],0))="Não","Lacuna face à meta 2030","Isento")),IF(B2425="EU-ENV-011",IF(INDEX(tbl_familias_ppwr[Metais_Pesados_Evidencia],MATCH(INDEX(tbl_recyclass[Familia_PPWR],MATCH(A2425,tbl_recyclass[ProductId],0)),tbl_familias_ppwr[ID_Familia],0))="Em falta","Lacuna","Conforme"),IF(B2425="EU-ENV-013",IF(INDEX(tbl_familias_ppwr[Declaracao_UE],MATCH(INDEX(tbl_recyclass[Familia_PPWR],MATCH(A2425,tbl_recyclass[ProductId],0)),tbl_familias_ppwr[ID_Familia],0))="Sim","Conforme","Lacuna"),G2425)))),G2425))</f>
        <v>Futuro</v>
      </c>
      <c r="I2425" s="33" t="str">
        <f t="shared" si="37"/>
        <v>Futuro</v>
      </c>
      <c r="J2425" s="26" t="s">
        <v>1021</v>
      </c>
    </row>
    <row r="2426" spans="1:10" ht="16.05" customHeight="1" x14ac:dyDescent="0.3">
      <c r="A2426" s="26" t="s">
        <v>876</v>
      </c>
      <c r="B2426" s="26" t="s">
        <v>1038</v>
      </c>
      <c r="C2426" s="33" t="str">
        <f>IFERROR(INDEX(tbl_requisitos_emb[Tema],MATCH(B2426,tbl_requisitos_emb[ID_Req],0)),"")</f>
        <v>Plásticos de utilização única</v>
      </c>
      <c r="D2426" s="33" t="str">
        <f>IFERROR(INDEX(tbl_recyclass[Segmento],MATCH(A2426,tbl_recyclass[ProductId],0)),"")</f>
        <v>Farmacêutico</v>
      </c>
      <c r="E2426" s="26" t="s">
        <v>904</v>
      </c>
      <c r="F2426" s="26" t="s">
        <v>1457</v>
      </c>
      <c r="G2426" s="26" t="s">
        <v>1143</v>
      </c>
      <c r="H2426" s="33" t="str">
        <f>IF(E2426="Não","Não aplicável",IFERROR(IF(B2426="EU-ENV-002",IF(INDEX(tbl_recyclass[Conforme_PPWR_2030],MATCH(A2426,tbl_recyclass[ProductId],0))="Sim","Conforme (autoavaliação)",IF(INDEX(tbl_recyclass[Conforme_PPWR_2030],MATCH(A2426,tbl_recyclass[ProductId],0))="Não","Não conforme em 2030","Isento até 2035")),IF(B2426="EU-ENV-003",IF(INDEX(tbl_recyclass[Conforme_Art7_2030],MATCH(A2426,tbl_recyclass[ProductId],0))="Sim","Conforme (meta 2030)",IF(INDEX(tbl_recyclass[Conforme_Art7_2030],MATCH(A2426,tbl_recyclass[ProductId],0))="Não","Lacuna face à meta 2030","Isento")),IF(B2426="EU-ENV-011",IF(INDEX(tbl_familias_ppwr[Metais_Pesados_Evidencia],MATCH(INDEX(tbl_recyclass[Familia_PPWR],MATCH(A2426,tbl_recyclass[ProductId],0)),tbl_familias_ppwr[ID_Familia],0))="Em falta","Lacuna","Conforme"),IF(B2426="EU-ENV-013",IF(INDEX(tbl_familias_ppwr[Declaracao_UE],MATCH(INDEX(tbl_recyclass[Familia_PPWR],MATCH(A2426,tbl_recyclass[ProductId],0)),tbl_familias_ppwr[ID_Familia],0))="Sim","Conforme","Lacuna"),G2426)))),G2426))</f>
        <v>Não aplicável</v>
      </c>
      <c r="I2426" s="33" t="str">
        <f t="shared" si="37"/>
        <v>Não aplicável</v>
      </c>
      <c r="J2426" s="26"/>
    </row>
    <row r="2427" spans="1:10" ht="16.05" customHeight="1" x14ac:dyDescent="0.3">
      <c r="A2427" s="26" t="s">
        <v>876</v>
      </c>
      <c r="B2427" s="26" t="s">
        <v>1078</v>
      </c>
      <c r="C2427" s="33" t="str">
        <f>IFERROR(INDEX(tbl_requisitos_emb[Tema],MATCH(B2427,tbl_requisitos_emb[ID_Req],0)),"")</f>
        <v>Reciclado à escala</v>
      </c>
      <c r="D2427" s="33" t="str">
        <f>IFERROR(INDEX(tbl_recyclass[Segmento],MATCH(A2427,tbl_recyclass[ProductId],0)),"")</f>
        <v>Farmacêutico</v>
      </c>
      <c r="E2427" s="26" t="s">
        <v>901</v>
      </c>
      <c r="F2427" s="26" t="s">
        <v>1456</v>
      </c>
      <c r="G2427" s="26" t="s">
        <v>990</v>
      </c>
      <c r="H2427" s="33" t="str">
        <f>IF(E2427="Não","Não aplicável",IFERROR(IF(B2427="EU-ENV-002",IF(INDEX(tbl_recyclass[Conforme_PPWR_2030],MATCH(A2427,tbl_recyclass[ProductId],0))="Sim","Conforme (autoavaliação)",IF(INDEX(tbl_recyclass[Conforme_PPWR_2030],MATCH(A2427,tbl_recyclass[ProductId],0))="Não","Não conforme em 2030","Isento até 2035")),IF(B2427="EU-ENV-003",IF(INDEX(tbl_recyclass[Conforme_Art7_2030],MATCH(A2427,tbl_recyclass[ProductId],0))="Sim","Conforme (meta 2030)",IF(INDEX(tbl_recyclass[Conforme_Art7_2030],MATCH(A2427,tbl_recyclass[ProductId],0))="Não","Lacuna face à meta 2030","Isento")),IF(B2427="EU-ENV-011",IF(INDEX(tbl_familias_ppwr[Metais_Pesados_Evidencia],MATCH(INDEX(tbl_recyclass[Familia_PPWR],MATCH(A2427,tbl_recyclass[ProductId],0)),tbl_familias_ppwr[ID_Familia],0))="Em falta","Lacuna","Conforme"),IF(B2427="EU-ENV-013",IF(INDEX(tbl_familias_ppwr[Declaracao_UE],MATCH(INDEX(tbl_recyclass[Familia_PPWR],MATCH(A2427,tbl_recyclass[ProductId],0)),tbl_familias_ppwr[ID_Familia],0))="Sim","Conforme","Lacuna"),G2427)))),G2427))</f>
        <v>Futuro</v>
      </c>
      <c r="I2427" s="33" t="str">
        <f t="shared" si="37"/>
        <v>Futuro</v>
      </c>
      <c r="J2427" s="26" t="s">
        <v>1082</v>
      </c>
    </row>
    <row r="2428" spans="1:10" ht="16.05" customHeight="1" x14ac:dyDescent="0.3">
      <c r="A2428" s="26" t="s">
        <v>876</v>
      </c>
      <c r="B2428" s="26" t="s">
        <v>1086</v>
      </c>
      <c r="C2428" s="33" t="str">
        <f>IFERROR(INDEX(tbl_requisitos_emb[Tema],MATCH(B2428,tbl_requisitos_emb[ID_Req],0)),"")</f>
        <v>Metais pesados</v>
      </c>
      <c r="D2428" s="33" t="str">
        <f>IFERROR(INDEX(tbl_recyclass[Segmento],MATCH(A2428,tbl_recyclass[ProductId],0)),"")</f>
        <v>Farmacêutico</v>
      </c>
      <c r="E2428" s="26" t="s">
        <v>901</v>
      </c>
      <c r="F2428" s="26" t="s">
        <v>1456</v>
      </c>
      <c r="G2428" s="26" t="s">
        <v>978</v>
      </c>
      <c r="H2428" s="33" t="str">
        <f>IF(E2428="Não","Não aplicável",IFERROR(IF(B2428="EU-ENV-002",IF(INDEX(tbl_recyclass[Conforme_PPWR_2030],MATCH(A2428,tbl_recyclass[ProductId],0))="Sim","Conforme (autoavaliação)",IF(INDEX(tbl_recyclass[Conforme_PPWR_2030],MATCH(A2428,tbl_recyclass[ProductId],0))="Não","Não conforme em 2030","Isento até 2035")),IF(B2428="EU-ENV-003",IF(INDEX(tbl_recyclass[Conforme_Art7_2030],MATCH(A2428,tbl_recyclass[ProductId],0))="Sim","Conforme (meta 2030)",IF(INDEX(tbl_recyclass[Conforme_Art7_2030],MATCH(A2428,tbl_recyclass[ProductId],0))="Não","Lacuna face à meta 2030","Isento")),IF(B2428="EU-ENV-011",IF(INDEX(tbl_familias_ppwr[Metais_Pesados_Evidencia],MATCH(INDEX(tbl_recyclass[Familia_PPWR],MATCH(A2428,tbl_recyclass[ProductId],0)),tbl_familias_ppwr[ID_Familia],0))="Em falta","Lacuna","Conforme"),IF(B2428="EU-ENV-013",IF(INDEX(tbl_familias_ppwr[Declaracao_UE],MATCH(INDEX(tbl_recyclass[Familia_PPWR],MATCH(A2428,tbl_recyclass[ProductId],0)),tbl_familias_ppwr[ID_Familia],0))="Sim","Conforme","Lacuna"),G2428)))),G2428))</f>
        <v>Lacuna</v>
      </c>
      <c r="I2428" s="33" t="str">
        <f t="shared" si="37"/>
        <v>Lacuna</v>
      </c>
      <c r="J2428" s="26" t="s">
        <v>1090</v>
      </c>
    </row>
    <row r="2429" spans="1:10" ht="16.05" customHeight="1" x14ac:dyDescent="0.3">
      <c r="A2429" s="26" t="s">
        <v>876</v>
      </c>
      <c r="B2429" s="26" t="s">
        <v>1094</v>
      </c>
      <c r="C2429" s="33" t="str">
        <f>IFERROR(INDEX(tbl_requisitos_emb[Tema],MATCH(B2429,tbl_requisitos_emb[ID_Req],0)),"")</f>
        <v>PFAS</v>
      </c>
      <c r="D2429" s="33" t="str">
        <f>IFERROR(INDEX(tbl_recyclass[Segmento],MATCH(A2429,tbl_recyclass[ProductId],0)),"")</f>
        <v>Farmacêutico</v>
      </c>
      <c r="E2429" s="26" t="s">
        <v>904</v>
      </c>
      <c r="F2429" s="26" t="s">
        <v>1457</v>
      </c>
      <c r="G2429" s="26" t="s">
        <v>1143</v>
      </c>
      <c r="H2429" s="33" t="str">
        <f>IF(E2429="Não","Não aplicável",IFERROR(IF(B2429="EU-ENV-002",IF(INDEX(tbl_recyclass[Conforme_PPWR_2030],MATCH(A2429,tbl_recyclass[ProductId],0))="Sim","Conforme (autoavaliação)",IF(INDEX(tbl_recyclass[Conforme_PPWR_2030],MATCH(A2429,tbl_recyclass[ProductId],0))="Não","Não conforme em 2030","Isento até 2035")),IF(B2429="EU-ENV-003",IF(INDEX(tbl_recyclass[Conforme_Art7_2030],MATCH(A2429,tbl_recyclass[ProductId],0))="Sim","Conforme (meta 2030)",IF(INDEX(tbl_recyclass[Conforme_Art7_2030],MATCH(A2429,tbl_recyclass[ProductId],0))="Não","Lacuna face à meta 2030","Isento")),IF(B2429="EU-ENV-011",IF(INDEX(tbl_familias_ppwr[Metais_Pesados_Evidencia],MATCH(INDEX(tbl_recyclass[Familia_PPWR],MATCH(A2429,tbl_recyclass[ProductId],0)),tbl_familias_ppwr[ID_Familia],0))="Em falta","Lacuna","Conforme"),IF(B2429="EU-ENV-013",IF(INDEX(tbl_familias_ppwr[Declaracao_UE],MATCH(INDEX(tbl_recyclass[Familia_PPWR],MATCH(A2429,tbl_recyclass[ProductId],0)),tbl_familias_ppwr[ID_Familia],0))="Sim","Conforme","Lacuna"),G2429)))),G2429))</f>
        <v>Não aplicável</v>
      </c>
      <c r="I2429" s="33" t="str">
        <f t="shared" si="37"/>
        <v>Não aplicável</v>
      </c>
      <c r="J2429" s="26"/>
    </row>
    <row r="2430" spans="1:10" ht="16.05" customHeight="1" x14ac:dyDescent="0.3">
      <c r="A2430" s="26" t="s">
        <v>876</v>
      </c>
      <c r="B2430" s="26" t="s">
        <v>1102</v>
      </c>
      <c r="C2430" s="33" t="str">
        <f>IFERROR(INDEX(tbl_requisitos_emb[Tema],MATCH(B2430,tbl_requisitos_emb[ID_Req],0)),"")</f>
        <v>Documentação técnica e declaração UE</v>
      </c>
      <c r="D2430" s="33" t="str">
        <f>IFERROR(INDEX(tbl_recyclass[Segmento],MATCH(A2430,tbl_recyclass[ProductId],0)),"")</f>
        <v>Farmacêutico</v>
      </c>
      <c r="E2430" s="26" t="s">
        <v>901</v>
      </c>
      <c r="F2430" s="26" t="s">
        <v>1456</v>
      </c>
      <c r="G2430" s="26" t="s">
        <v>978</v>
      </c>
      <c r="H2430" s="33" t="str">
        <f>IF(E2430="Não","Não aplicável",IFERROR(IF(B2430="EU-ENV-002",IF(INDEX(tbl_recyclass[Conforme_PPWR_2030],MATCH(A2430,tbl_recyclass[ProductId],0))="Sim","Conforme (autoavaliação)",IF(INDEX(tbl_recyclass[Conforme_PPWR_2030],MATCH(A2430,tbl_recyclass[ProductId],0))="Não","Não conforme em 2030","Isento até 2035")),IF(B2430="EU-ENV-003",IF(INDEX(tbl_recyclass[Conforme_Art7_2030],MATCH(A2430,tbl_recyclass[ProductId],0))="Sim","Conforme (meta 2030)",IF(INDEX(tbl_recyclass[Conforme_Art7_2030],MATCH(A2430,tbl_recyclass[ProductId],0))="Não","Lacuna face à meta 2030","Isento")),IF(B2430="EU-ENV-011",IF(INDEX(tbl_familias_ppwr[Metais_Pesados_Evidencia],MATCH(INDEX(tbl_recyclass[Familia_PPWR],MATCH(A2430,tbl_recyclass[ProductId],0)),tbl_familias_ppwr[ID_Familia],0))="Em falta","Lacuna","Conforme"),IF(B2430="EU-ENV-013",IF(INDEX(tbl_familias_ppwr[Declaracao_UE],MATCH(INDEX(tbl_recyclass[Familia_PPWR],MATCH(A2430,tbl_recyclass[ProductId],0)),tbl_familias_ppwr[ID_Familia],0))="Sim","Conforme","Lacuna"),G2430)))),G2430))</f>
        <v>Conforme</v>
      </c>
      <c r="I2430" s="33" t="str">
        <f t="shared" si="37"/>
        <v>Conforme</v>
      </c>
      <c r="J2430" s="26" t="s">
        <v>1106</v>
      </c>
    </row>
    <row r="2431" spans="1:10" ht="16.05" customHeight="1" x14ac:dyDescent="0.3">
      <c r="A2431" s="26" t="s">
        <v>876</v>
      </c>
      <c r="B2431" s="26" t="s">
        <v>1161</v>
      </c>
      <c r="C2431" s="33" t="str">
        <f>IFERROR(INDEX(tbl_requisitos_emb[Tema],MATCH(B2431,tbl_requisitos_emb[ID_Req],0)),"")</f>
        <v>Materiais em contacto com alimentos</v>
      </c>
      <c r="D2431" s="33" t="str">
        <f>IFERROR(INDEX(tbl_recyclass[Segmento],MATCH(A2431,tbl_recyclass[ProductId],0)),"")</f>
        <v>Farmacêutico</v>
      </c>
      <c r="E2431" s="26" t="s">
        <v>904</v>
      </c>
      <c r="F2431" s="26" t="s">
        <v>1457</v>
      </c>
      <c r="G2431" s="26" t="s">
        <v>1143</v>
      </c>
      <c r="H2431" s="33" t="str">
        <f>IF(E2431="Não","Não aplicável",IFERROR(IF(B2431="EU-ENV-002",IF(INDEX(tbl_recyclass[Conforme_PPWR_2030],MATCH(A2431,tbl_recyclass[ProductId],0))="Sim","Conforme (autoavaliação)",IF(INDEX(tbl_recyclass[Conforme_PPWR_2030],MATCH(A2431,tbl_recyclass[ProductId],0))="Não","Não conforme em 2030","Isento até 2035")),IF(B2431="EU-ENV-003",IF(INDEX(tbl_recyclass[Conforme_Art7_2030],MATCH(A2431,tbl_recyclass[ProductId],0))="Sim","Conforme (meta 2030)",IF(INDEX(tbl_recyclass[Conforme_Art7_2030],MATCH(A2431,tbl_recyclass[ProductId],0))="Não","Lacuna face à meta 2030","Isento")),IF(B2431="EU-ENV-011",IF(INDEX(tbl_familias_ppwr[Metais_Pesados_Evidencia],MATCH(INDEX(tbl_recyclass[Familia_PPWR],MATCH(A2431,tbl_recyclass[ProductId],0)),tbl_familias_ppwr[ID_Familia],0))="Em falta","Lacuna","Conforme"),IF(B2431="EU-ENV-013",IF(INDEX(tbl_familias_ppwr[Declaracao_UE],MATCH(INDEX(tbl_recyclass[Familia_PPWR],MATCH(A2431,tbl_recyclass[ProductId],0)),tbl_familias_ppwr[ID_Familia],0))="Sim","Conforme","Lacuna"),G2431)))),G2431))</f>
        <v>Não aplicável</v>
      </c>
      <c r="I2431" s="33" t="str">
        <f t="shared" si="37"/>
        <v>Não aplicável</v>
      </c>
      <c r="J2431" s="26"/>
    </row>
    <row r="2432" spans="1:10" ht="16.05" customHeight="1" x14ac:dyDescent="0.3">
      <c r="A2432" s="26" t="s">
        <v>876</v>
      </c>
      <c r="B2432" s="26" t="s">
        <v>1170</v>
      </c>
      <c r="C2432" s="33" t="str">
        <f>IFERROR(INDEX(tbl_requisitos_emb[Tema],MATCH(B2432,tbl_requisitos_emb[ID_Req],0)),"")</f>
        <v>Boas práticas de fabrico FCM</v>
      </c>
      <c r="D2432" s="33" t="str">
        <f>IFERROR(INDEX(tbl_recyclass[Segmento],MATCH(A2432,tbl_recyclass[ProductId],0)),"")</f>
        <v>Farmacêutico</v>
      </c>
      <c r="E2432" s="26" t="s">
        <v>904</v>
      </c>
      <c r="F2432" s="26" t="s">
        <v>1457</v>
      </c>
      <c r="G2432" s="26" t="s">
        <v>1143</v>
      </c>
      <c r="H2432" s="33" t="str">
        <f>IF(E2432="Não","Não aplicável",IFERROR(IF(B2432="EU-ENV-002",IF(INDEX(tbl_recyclass[Conforme_PPWR_2030],MATCH(A2432,tbl_recyclass[ProductId],0))="Sim","Conforme (autoavaliação)",IF(INDEX(tbl_recyclass[Conforme_PPWR_2030],MATCH(A2432,tbl_recyclass[ProductId],0))="Não","Não conforme em 2030","Isento até 2035")),IF(B2432="EU-ENV-003",IF(INDEX(tbl_recyclass[Conforme_Art7_2030],MATCH(A2432,tbl_recyclass[ProductId],0))="Sim","Conforme (meta 2030)",IF(INDEX(tbl_recyclass[Conforme_Art7_2030],MATCH(A2432,tbl_recyclass[ProductId],0))="Não","Lacuna face à meta 2030","Isento")),IF(B2432="EU-ENV-011",IF(INDEX(tbl_familias_ppwr[Metais_Pesados_Evidencia],MATCH(INDEX(tbl_recyclass[Familia_PPWR],MATCH(A2432,tbl_recyclass[ProductId],0)),tbl_familias_ppwr[ID_Familia],0))="Em falta","Lacuna","Conforme"),IF(B2432="EU-ENV-013",IF(INDEX(tbl_familias_ppwr[Declaracao_UE],MATCH(INDEX(tbl_recyclass[Familia_PPWR],MATCH(A2432,tbl_recyclass[ProductId],0)),tbl_familias_ppwr[ID_Familia],0))="Sim","Conforme","Lacuna"),G2432)))),G2432))</f>
        <v>Não aplicável</v>
      </c>
      <c r="I2432" s="33" t="str">
        <f t="shared" si="37"/>
        <v>Não aplicável</v>
      </c>
      <c r="J2432" s="26"/>
    </row>
    <row r="2433" spans="1:10" ht="16.05" customHeight="1" x14ac:dyDescent="0.3">
      <c r="A2433" s="26" t="s">
        <v>876</v>
      </c>
      <c r="B2433" s="26" t="s">
        <v>1179</v>
      </c>
      <c r="C2433" s="33" t="str">
        <f>IFERROR(INDEX(tbl_requisitos_emb[Tema],MATCH(B2433,tbl_requisitos_emb[ID_Req],0)),"")</f>
        <v>Bisfenol A e bisfenóis perigosos</v>
      </c>
      <c r="D2433" s="33" t="str">
        <f>IFERROR(INDEX(tbl_recyclass[Segmento],MATCH(A2433,tbl_recyclass[ProductId],0)),"")</f>
        <v>Farmacêutico</v>
      </c>
      <c r="E2433" s="26" t="s">
        <v>904</v>
      </c>
      <c r="F2433" s="26" t="s">
        <v>1457</v>
      </c>
      <c r="G2433" s="26" t="s">
        <v>1143</v>
      </c>
      <c r="H2433" s="33" t="str">
        <f>IF(E2433="Não","Não aplicável",IFERROR(IF(B2433="EU-ENV-002",IF(INDEX(tbl_recyclass[Conforme_PPWR_2030],MATCH(A2433,tbl_recyclass[ProductId],0))="Sim","Conforme (autoavaliação)",IF(INDEX(tbl_recyclass[Conforme_PPWR_2030],MATCH(A2433,tbl_recyclass[ProductId],0))="Não","Não conforme em 2030","Isento até 2035")),IF(B2433="EU-ENV-003",IF(INDEX(tbl_recyclass[Conforme_Art7_2030],MATCH(A2433,tbl_recyclass[ProductId],0))="Sim","Conforme (meta 2030)",IF(INDEX(tbl_recyclass[Conforme_Art7_2030],MATCH(A2433,tbl_recyclass[ProductId],0))="Não","Lacuna face à meta 2030","Isento")),IF(B2433="EU-ENV-011",IF(INDEX(tbl_familias_ppwr[Metais_Pesados_Evidencia],MATCH(INDEX(tbl_recyclass[Familia_PPWR],MATCH(A2433,tbl_recyclass[ProductId],0)),tbl_familias_ppwr[ID_Familia],0))="Em falta","Lacuna","Conforme"),IF(B2433="EU-ENV-013",IF(INDEX(tbl_familias_ppwr[Declaracao_UE],MATCH(INDEX(tbl_recyclass[Familia_PPWR],MATCH(A2433,tbl_recyclass[ProductId],0)),tbl_familias_ppwr[ID_Familia],0))="Sim","Conforme","Lacuna"),G2433)))),G2433))</f>
        <v>Não aplicável</v>
      </c>
      <c r="I2433" s="33" t="str">
        <f t="shared" si="37"/>
        <v>Não aplicável</v>
      </c>
      <c r="J2433" s="26"/>
    </row>
    <row r="2434" spans="1:10" ht="16.05" customHeight="1" x14ac:dyDescent="0.3">
      <c r="A2434" s="26" t="s">
        <v>876</v>
      </c>
      <c r="B2434" s="26" t="s">
        <v>1188</v>
      </c>
      <c r="C2434" s="33" t="str">
        <f>IFERROR(INDEX(tbl_requisitos_emb[Tema],MATCH(B2434,tbl_requisitos_emb[ID_Req],0)),"")</f>
        <v>Plásticos em contacto com alimentos</v>
      </c>
      <c r="D2434" s="33" t="str">
        <f>IFERROR(INDEX(tbl_recyclass[Segmento],MATCH(A2434,tbl_recyclass[ProductId],0)),"")</f>
        <v>Farmacêutico</v>
      </c>
      <c r="E2434" s="26" t="s">
        <v>904</v>
      </c>
      <c r="F2434" s="26" t="s">
        <v>1457</v>
      </c>
      <c r="G2434" s="26" t="s">
        <v>1143</v>
      </c>
      <c r="H2434" s="33" t="str">
        <f>IF(E2434="Não","Não aplicável",IFERROR(IF(B2434="EU-ENV-002",IF(INDEX(tbl_recyclass[Conforme_PPWR_2030],MATCH(A2434,tbl_recyclass[ProductId],0))="Sim","Conforme (autoavaliação)",IF(INDEX(tbl_recyclass[Conforme_PPWR_2030],MATCH(A2434,tbl_recyclass[ProductId],0))="Não","Não conforme em 2030","Isento até 2035")),IF(B2434="EU-ENV-003",IF(INDEX(tbl_recyclass[Conforme_Art7_2030],MATCH(A2434,tbl_recyclass[ProductId],0))="Sim","Conforme (meta 2030)",IF(INDEX(tbl_recyclass[Conforme_Art7_2030],MATCH(A2434,tbl_recyclass[ProductId],0))="Não","Lacuna face à meta 2030","Isento")),IF(B2434="EU-ENV-011",IF(INDEX(tbl_familias_ppwr[Metais_Pesados_Evidencia],MATCH(INDEX(tbl_recyclass[Familia_PPWR],MATCH(A2434,tbl_recyclass[ProductId],0)),tbl_familias_ppwr[ID_Familia],0))="Em falta","Lacuna","Conforme"),IF(B2434="EU-ENV-013",IF(INDEX(tbl_familias_ppwr[Declaracao_UE],MATCH(INDEX(tbl_recyclass[Familia_PPWR],MATCH(A2434,tbl_recyclass[ProductId],0)),tbl_familias_ppwr[ID_Familia],0))="Sim","Conforme","Lacuna"),G2434)))),G2434))</f>
        <v>Não aplicável</v>
      </c>
      <c r="I2434" s="33" t="str">
        <f t="shared" ref="I2434:I2487" si="38">IF(ISNUMBER(SEARCH("Não aplicável",H2434)),"Não aplicável",IF(ISNUMBER(SEARCH("Isento",H2434)),"Isento",IF(ISNUMBER(SEARCH("Não conforme",H2434)),"Não conforme",IF(ISNUMBER(SEARCH("Lacuna",H2434)),"Lacuna",IF(ISNUMBER(SEARCH("Conforme",H2434)),"Conforme",H2434)))))</f>
        <v>Não aplicável</v>
      </c>
      <c r="J2434" s="26"/>
    </row>
    <row r="2435" spans="1:10" ht="16.05" customHeight="1" x14ac:dyDescent="0.3">
      <c r="A2435" s="26" t="s">
        <v>876</v>
      </c>
      <c r="B2435" s="26" t="s">
        <v>1212</v>
      </c>
      <c r="C2435" s="33" t="str">
        <f>IFERROR(INDEX(tbl_requisitos_emb[Tema],MATCH(B2435,tbl_requisitos_emb[ID_Req],0)),"")</f>
        <v>Segurança do produto cosmético</v>
      </c>
      <c r="D2435" s="33" t="str">
        <f>IFERROR(INDEX(tbl_recyclass[Segmento],MATCH(A2435,tbl_recyclass[ProductId],0)),"")</f>
        <v>Farmacêutico</v>
      </c>
      <c r="E2435" s="26" t="s">
        <v>904</v>
      </c>
      <c r="F2435" s="26" t="s">
        <v>1458</v>
      </c>
      <c r="G2435" s="26" t="s">
        <v>1143</v>
      </c>
      <c r="H2435" s="33" t="str">
        <f>IF(E2435="Não","Não aplicável",IFERROR(IF(B2435="EU-ENV-002",IF(INDEX(tbl_recyclass[Conforme_PPWR_2030],MATCH(A2435,tbl_recyclass[ProductId],0))="Sim","Conforme (autoavaliação)",IF(INDEX(tbl_recyclass[Conforme_PPWR_2030],MATCH(A2435,tbl_recyclass[ProductId],0))="Não","Não conforme em 2030","Isento até 2035")),IF(B2435="EU-ENV-003",IF(INDEX(tbl_recyclass[Conforme_Art7_2030],MATCH(A2435,tbl_recyclass[ProductId],0))="Sim","Conforme (meta 2030)",IF(INDEX(tbl_recyclass[Conforme_Art7_2030],MATCH(A2435,tbl_recyclass[ProductId],0))="Não","Lacuna face à meta 2030","Isento")),IF(B2435="EU-ENV-011",IF(INDEX(tbl_familias_ppwr[Metais_Pesados_Evidencia],MATCH(INDEX(tbl_recyclass[Familia_PPWR],MATCH(A2435,tbl_recyclass[ProductId],0)),tbl_familias_ppwr[ID_Familia],0))="Em falta","Lacuna","Conforme"),IF(B2435="EU-ENV-013",IF(INDEX(tbl_familias_ppwr[Declaracao_UE],MATCH(INDEX(tbl_recyclass[Familia_PPWR],MATCH(A2435,tbl_recyclass[ProductId],0)),tbl_familias_ppwr[ID_Familia],0))="Sim","Conforme","Lacuna"),G2435)))),G2435))</f>
        <v>Não aplicável</v>
      </c>
      <c r="I2435" s="33" t="str">
        <f t="shared" si="38"/>
        <v>Não aplicável</v>
      </c>
      <c r="J2435" s="26"/>
    </row>
    <row r="2436" spans="1:10" ht="16.05" customHeight="1" x14ac:dyDescent="0.3">
      <c r="A2436" s="26" t="s">
        <v>876</v>
      </c>
      <c r="B2436" s="26" t="s">
        <v>1224</v>
      </c>
      <c r="C2436" s="33" t="str">
        <f>IFERROR(INDEX(tbl_requisitos_emb[Tema],MATCH(B2436,tbl_requisitos_emb[ID_Req],0)),"")</f>
        <v>Materiais e impurezas</v>
      </c>
      <c r="D2436" s="33" t="str">
        <f>IFERROR(INDEX(tbl_recyclass[Segmento],MATCH(A2436,tbl_recyclass[ProductId],0)),"")</f>
        <v>Farmacêutico</v>
      </c>
      <c r="E2436" s="26" t="s">
        <v>904</v>
      </c>
      <c r="F2436" s="26" t="s">
        <v>1458</v>
      </c>
      <c r="G2436" s="26" t="s">
        <v>1143</v>
      </c>
      <c r="H2436" s="33" t="str">
        <f>IF(E2436="Não","Não aplicável",IFERROR(IF(B2436="EU-ENV-002",IF(INDEX(tbl_recyclass[Conforme_PPWR_2030],MATCH(A2436,tbl_recyclass[ProductId],0))="Sim","Conforme (autoavaliação)",IF(INDEX(tbl_recyclass[Conforme_PPWR_2030],MATCH(A2436,tbl_recyclass[ProductId],0))="Não","Não conforme em 2030","Isento até 2035")),IF(B2436="EU-ENV-003",IF(INDEX(tbl_recyclass[Conforme_Art7_2030],MATCH(A2436,tbl_recyclass[ProductId],0))="Sim","Conforme (meta 2030)",IF(INDEX(tbl_recyclass[Conforme_Art7_2030],MATCH(A2436,tbl_recyclass[ProductId],0))="Não","Lacuna face à meta 2030","Isento")),IF(B2436="EU-ENV-011",IF(INDEX(tbl_familias_ppwr[Metais_Pesados_Evidencia],MATCH(INDEX(tbl_recyclass[Familia_PPWR],MATCH(A2436,tbl_recyclass[ProductId],0)),tbl_familias_ppwr[ID_Familia],0))="Em falta","Lacuna","Conforme"),IF(B2436="EU-ENV-013",IF(INDEX(tbl_familias_ppwr[Declaracao_UE],MATCH(INDEX(tbl_recyclass[Familia_PPWR],MATCH(A2436,tbl_recyclass[ProductId],0)),tbl_familias_ppwr[ID_Familia],0))="Sim","Conforme","Lacuna"),G2436)))),G2436))</f>
        <v>Não aplicável</v>
      </c>
      <c r="I2436" s="33" t="str">
        <f t="shared" si="38"/>
        <v>Não aplicável</v>
      </c>
      <c r="J2436" s="26"/>
    </row>
    <row r="2437" spans="1:10" ht="16.05" customHeight="1" x14ac:dyDescent="0.3">
      <c r="A2437" s="26" t="s">
        <v>876</v>
      </c>
      <c r="B2437" s="26" t="s">
        <v>1240</v>
      </c>
      <c r="C2437" s="33" t="str">
        <f>IFERROR(INDEX(tbl_requisitos_emb[Tema],MATCH(B2437,tbl_requisitos_emb[ID_Req],0)),"")</f>
        <v>Compatibilidade embalagem–produto</v>
      </c>
      <c r="D2437" s="33" t="str">
        <f>IFERROR(INDEX(tbl_recyclass[Segmento],MATCH(A2437,tbl_recyclass[ProductId],0)),"")</f>
        <v>Farmacêutico</v>
      </c>
      <c r="E2437" s="26" t="s">
        <v>904</v>
      </c>
      <c r="F2437" s="26" t="s">
        <v>1458</v>
      </c>
      <c r="G2437" s="26" t="s">
        <v>1143</v>
      </c>
      <c r="H2437" s="33" t="str">
        <f>IF(E2437="Não","Não aplicável",IFERROR(IF(B2437="EU-ENV-002",IF(INDEX(tbl_recyclass[Conforme_PPWR_2030],MATCH(A2437,tbl_recyclass[ProductId],0))="Sim","Conforme (autoavaliação)",IF(INDEX(tbl_recyclass[Conforme_PPWR_2030],MATCH(A2437,tbl_recyclass[ProductId],0))="Não","Não conforme em 2030","Isento até 2035")),IF(B2437="EU-ENV-003",IF(INDEX(tbl_recyclass[Conforme_Art7_2030],MATCH(A2437,tbl_recyclass[ProductId],0))="Sim","Conforme (meta 2030)",IF(INDEX(tbl_recyclass[Conforme_Art7_2030],MATCH(A2437,tbl_recyclass[ProductId],0))="Não","Lacuna face à meta 2030","Isento")),IF(B2437="EU-ENV-011",IF(INDEX(tbl_familias_ppwr[Metais_Pesados_Evidencia],MATCH(INDEX(tbl_recyclass[Familia_PPWR],MATCH(A2437,tbl_recyclass[ProductId],0)),tbl_familias_ppwr[ID_Familia],0))="Em falta","Lacuna","Conforme"),IF(B2437="EU-ENV-013",IF(INDEX(tbl_familias_ppwr[Declaracao_UE],MATCH(INDEX(tbl_recyclass[Familia_PPWR],MATCH(A2437,tbl_recyclass[ProductId],0)),tbl_familias_ppwr[ID_Familia],0))="Sim","Conforme","Lacuna"),G2437)))),G2437))</f>
        <v>Não aplicável</v>
      </c>
      <c r="I2437" s="33" t="str">
        <f t="shared" si="38"/>
        <v>Não aplicável</v>
      </c>
      <c r="J2437" s="26"/>
    </row>
    <row r="2438" spans="1:10" ht="16.05" customHeight="1" x14ac:dyDescent="0.3">
      <c r="A2438" s="26" t="s">
        <v>876</v>
      </c>
      <c r="B2438" s="26" t="s">
        <v>1252</v>
      </c>
      <c r="C2438" s="33" t="str">
        <f>IFERROR(INDEX(tbl_requisitos_emb[Tema],MATCH(B2438,tbl_requisitos_emb[ID_Req],0)),"")</f>
        <v>Medicamentos de uso humano</v>
      </c>
      <c r="D2438" s="33" t="str">
        <f>IFERROR(INDEX(tbl_recyclass[Segmento],MATCH(A2438,tbl_recyclass[ProductId],0)),"")</f>
        <v>Farmacêutico</v>
      </c>
      <c r="E2438" s="26" t="s">
        <v>901</v>
      </c>
      <c r="F2438" s="26" t="s">
        <v>1456</v>
      </c>
      <c r="G2438" s="26" t="s">
        <v>1033</v>
      </c>
      <c r="H2438" s="33" t="str">
        <f>IF(E2438="Não","Não aplicável",IFERROR(IF(B2438="EU-ENV-002",IF(INDEX(tbl_recyclass[Conforme_PPWR_2030],MATCH(A2438,tbl_recyclass[ProductId],0))="Sim","Conforme (autoavaliação)",IF(INDEX(tbl_recyclass[Conforme_PPWR_2030],MATCH(A2438,tbl_recyclass[ProductId],0))="Não","Não conforme em 2030","Isento até 2035")),IF(B2438="EU-ENV-003",IF(INDEX(tbl_recyclass[Conforme_Art7_2030],MATCH(A2438,tbl_recyclass[ProductId],0))="Sim","Conforme (meta 2030)",IF(INDEX(tbl_recyclass[Conforme_Art7_2030],MATCH(A2438,tbl_recyclass[ProductId],0))="Não","Lacuna face à meta 2030","Isento")),IF(B2438="EU-ENV-011",IF(INDEX(tbl_familias_ppwr[Metais_Pesados_Evidencia],MATCH(INDEX(tbl_recyclass[Familia_PPWR],MATCH(A2438,tbl_recyclass[ProductId],0)),tbl_familias_ppwr[ID_Familia],0))="Em falta","Lacuna","Conforme"),IF(B2438="EU-ENV-013",IF(INDEX(tbl_familias_ppwr[Declaracao_UE],MATCH(INDEX(tbl_recyclass[Familia_PPWR],MATCH(A2438,tbl_recyclass[ProductId],0)),tbl_familias_ppwr[ID_Familia],0))="Sim","Conforme","Lacuna"),G2438)))),G2438))</f>
        <v>Conforme</v>
      </c>
      <c r="I2438" s="33" t="str">
        <f t="shared" si="38"/>
        <v>Conforme</v>
      </c>
      <c r="J2438" s="26" t="s">
        <v>1259</v>
      </c>
    </row>
    <row r="2439" spans="1:10" ht="16.05" customHeight="1" x14ac:dyDescent="0.3">
      <c r="A2439" s="26" t="s">
        <v>876</v>
      </c>
      <c r="B2439" s="26" t="s">
        <v>1268</v>
      </c>
      <c r="C2439" s="33" t="str">
        <f>IFERROR(INDEX(tbl_requisitos_emb[Tema],MATCH(B2439,tbl_requisitos_emb[ID_Req],0)),"")</f>
        <v>Dispositivos de segurança</v>
      </c>
      <c r="D2439" s="33" t="str">
        <f>IFERROR(INDEX(tbl_recyclass[Segmento],MATCH(A2439,tbl_recyclass[ProductId],0)),"")</f>
        <v>Farmacêutico</v>
      </c>
      <c r="E2439" s="26" t="s">
        <v>904</v>
      </c>
      <c r="F2439" s="26" t="s">
        <v>1459</v>
      </c>
      <c r="G2439" s="26" t="s">
        <v>1143</v>
      </c>
      <c r="H2439" s="33" t="str">
        <f>IF(E2439="Não","Não aplicável",IFERROR(IF(B2439="EU-ENV-002",IF(INDEX(tbl_recyclass[Conforme_PPWR_2030],MATCH(A2439,tbl_recyclass[ProductId],0))="Sim","Conforme (autoavaliação)",IF(INDEX(tbl_recyclass[Conforme_PPWR_2030],MATCH(A2439,tbl_recyclass[ProductId],0))="Não","Não conforme em 2030","Isento até 2035")),IF(B2439="EU-ENV-003",IF(INDEX(tbl_recyclass[Conforme_Art7_2030],MATCH(A2439,tbl_recyclass[ProductId],0))="Sim","Conforme (meta 2030)",IF(INDEX(tbl_recyclass[Conforme_Art7_2030],MATCH(A2439,tbl_recyclass[ProductId],0))="Não","Lacuna face à meta 2030","Isento")),IF(B2439="EU-ENV-011",IF(INDEX(tbl_familias_ppwr[Metais_Pesados_Evidencia],MATCH(INDEX(tbl_recyclass[Familia_PPWR],MATCH(A2439,tbl_recyclass[ProductId],0)),tbl_familias_ppwr[ID_Familia],0))="Em falta","Lacuna","Conforme"),IF(B2439="EU-ENV-013",IF(INDEX(tbl_familias_ppwr[Declaracao_UE],MATCH(INDEX(tbl_recyclass[Familia_PPWR],MATCH(A2439,tbl_recyclass[ProductId],0)),tbl_familias_ppwr[ID_Familia],0))="Sim","Conforme","Lacuna"),G2439)))),G2439))</f>
        <v>Não aplicável</v>
      </c>
      <c r="I2439" s="33" t="str">
        <f t="shared" si="38"/>
        <v>Não aplicável</v>
      </c>
      <c r="J2439" s="26"/>
    </row>
    <row r="2440" spans="1:10" ht="16.05" customHeight="1" x14ac:dyDescent="0.3">
      <c r="A2440" s="26" t="s">
        <v>876</v>
      </c>
      <c r="B2440" s="26" t="s">
        <v>1285</v>
      </c>
      <c r="C2440" s="33" t="str">
        <f>IFERROR(INDEX(tbl_requisitos_emb[Tema],MATCH(B2440,tbl_requisitos_emb[ID_Req],0)),"")</f>
        <v>Materiais plásticos de acondicionamento primário</v>
      </c>
      <c r="D2440" s="33" t="str">
        <f>IFERROR(INDEX(tbl_recyclass[Segmento],MATCH(A2440,tbl_recyclass[ProductId],0)),"")</f>
        <v>Farmacêutico</v>
      </c>
      <c r="E2440" s="26" t="s">
        <v>901</v>
      </c>
      <c r="F2440" s="26" t="s">
        <v>1456</v>
      </c>
      <c r="G2440" s="26" t="s">
        <v>978</v>
      </c>
      <c r="H2440" s="33" t="str">
        <f>IF(E2440="Não","Não aplicável",IFERROR(IF(B2440="EU-ENV-002",IF(INDEX(tbl_recyclass[Conforme_PPWR_2030],MATCH(A2440,tbl_recyclass[ProductId],0))="Sim","Conforme (autoavaliação)",IF(INDEX(tbl_recyclass[Conforme_PPWR_2030],MATCH(A2440,tbl_recyclass[ProductId],0))="Não","Não conforme em 2030","Isento até 2035")),IF(B2440="EU-ENV-003",IF(INDEX(tbl_recyclass[Conforme_Art7_2030],MATCH(A2440,tbl_recyclass[ProductId],0))="Sim","Conforme (meta 2030)",IF(INDEX(tbl_recyclass[Conforme_Art7_2030],MATCH(A2440,tbl_recyclass[ProductId],0))="Não","Lacuna face à meta 2030","Isento")),IF(B2440="EU-ENV-011",IF(INDEX(tbl_familias_ppwr[Metais_Pesados_Evidencia],MATCH(INDEX(tbl_recyclass[Familia_PPWR],MATCH(A2440,tbl_recyclass[ProductId],0)),tbl_familias_ppwr[ID_Familia],0))="Em falta","Lacuna","Conforme"),IF(B2440="EU-ENV-013",IF(INDEX(tbl_familias_ppwr[Declaracao_UE],MATCH(INDEX(tbl_recyclass[Familia_PPWR],MATCH(A2440,tbl_recyclass[ProductId],0)),tbl_familias_ppwr[ID_Familia],0))="Sim","Conforme","Lacuna"),G2440)))),G2440))</f>
        <v>Parcial</v>
      </c>
      <c r="I2440" s="33" t="str">
        <f t="shared" si="38"/>
        <v>Parcial</v>
      </c>
      <c r="J2440" s="26" t="s">
        <v>1290</v>
      </c>
    </row>
    <row r="2441" spans="1:10" ht="16.05" customHeight="1" x14ac:dyDescent="0.3">
      <c r="A2441" s="26" t="s">
        <v>876</v>
      </c>
      <c r="B2441" s="26" t="s">
        <v>1293</v>
      </c>
      <c r="C2441" s="33" t="str">
        <f>IFERROR(INDEX(tbl_requisitos_emb[Tema],MATCH(B2441,tbl_requisitos_emb[ID_Req],0)),"")</f>
        <v>Isenções PPWR</v>
      </c>
      <c r="D2441" s="33" t="str">
        <f>IFERROR(INDEX(tbl_recyclass[Segmento],MATCH(A2441,tbl_recyclass[ProductId],0)),"")</f>
        <v>Farmacêutico</v>
      </c>
      <c r="E2441" s="26" t="s">
        <v>901</v>
      </c>
      <c r="F2441" s="26" t="s">
        <v>1456</v>
      </c>
      <c r="G2441" s="26" t="s">
        <v>978</v>
      </c>
      <c r="H2441" s="33" t="str">
        <f>IF(E2441="Não","Não aplicável",IFERROR(IF(B2441="EU-ENV-002",IF(INDEX(tbl_recyclass[Conforme_PPWR_2030],MATCH(A2441,tbl_recyclass[ProductId],0))="Sim","Conforme (autoavaliação)",IF(INDEX(tbl_recyclass[Conforme_PPWR_2030],MATCH(A2441,tbl_recyclass[ProductId],0))="Não","Não conforme em 2030","Isento até 2035")),IF(B2441="EU-ENV-003",IF(INDEX(tbl_recyclass[Conforme_Art7_2030],MATCH(A2441,tbl_recyclass[ProductId],0))="Sim","Conforme (meta 2030)",IF(INDEX(tbl_recyclass[Conforme_Art7_2030],MATCH(A2441,tbl_recyclass[ProductId],0))="Não","Lacuna face à meta 2030","Isento")),IF(B2441="EU-ENV-011",IF(INDEX(tbl_familias_ppwr[Metais_Pesados_Evidencia],MATCH(INDEX(tbl_recyclass[Familia_PPWR],MATCH(A2441,tbl_recyclass[ProductId],0)),tbl_familias_ppwr[ID_Familia],0))="Em falta","Lacuna","Conforme"),IF(B2441="EU-ENV-013",IF(INDEX(tbl_familias_ppwr[Declaracao_UE],MATCH(INDEX(tbl_recyclass[Familia_PPWR],MATCH(A2441,tbl_recyclass[ProductId],0)),tbl_familias_ppwr[ID_Familia],0))="Sim","Conforme","Lacuna"),G2441)))),G2441))</f>
        <v>Parcial</v>
      </c>
      <c r="I2441" s="33" t="str">
        <f t="shared" si="38"/>
        <v>Parcial</v>
      </c>
      <c r="J2441" s="26" t="s">
        <v>1298</v>
      </c>
    </row>
    <row r="2442" spans="1:10" ht="16.05" customHeight="1" x14ac:dyDescent="0.3">
      <c r="A2442" s="26" t="s">
        <v>876</v>
      </c>
      <c r="B2442" s="26" t="s">
        <v>1357</v>
      </c>
      <c r="C2442" s="33" t="str">
        <f>IFERROR(INDEX(tbl_requisitos_emb[Tema],MATCH(B2442,tbl_requisitos_emb[ID_Req],0)),"")</f>
        <v>Identificação de plásticos</v>
      </c>
      <c r="D2442" s="33" t="str">
        <f>IFERROR(INDEX(tbl_recyclass[Segmento],MATCH(A2442,tbl_recyclass[ProductId],0)),"")</f>
        <v>Farmacêutico</v>
      </c>
      <c r="E2442" s="26" t="s">
        <v>901</v>
      </c>
      <c r="F2442" s="26" t="s">
        <v>1456</v>
      </c>
      <c r="G2442" s="26" t="s">
        <v>978</v>
      </c>
      <c r="H2442" s="33" t="str">
        <f>IF(E2442="Não","Não aplicável",IFERROR(IF(B2442="EU-ENV-002",IF(INDEX(tbl_recyclass[Conforme_PPWR_2030],MATCH(A2442,tbl_recyclass[ProductId],0))="Sim","Conforme (autoavaliação)",IF(INDEX(tbl_recyclass[Conforme_PPWR_2030],MATCH(A2442,tbl_recyclass[ProductId],0))="Não","Não conforme em 2030","Isento até 2035")),IF(B2442="EU-ENV-003",IF(INDEX(tbl_recyclass[Conforme_Art7_2030],MATCH(A2442,tbl_recyclass[ProductId],0))="Sim","Conforme (meta 2030)",IF(INDEX(tbl_recyclass[Conforme_Art7_2030],MATCH(A2442,tbl_recyclass[ProductId],0))="Não","Lacuna face à meta 2030","Isento")),IF(B2442="EU-ENV-011",IF(INDEX(tbl_familias_ppwr[Metais_Pesados_Evidencia],MATCH(INDEX(tbl_recyclass[Familia_PPWR],MATCH(A2442,tbl_recyclass[ProductId],0)),tbl_familias_ppwr[ID_Familia],0))="Em falta","Lacuna","Conforme"),IF(B2442="EU-ENV-013",IF(INDEX(tbl_familias_ppwr[Declaracao_UE],MATCH(INDEX(tbl_recyclass[Familia_PPWR],MATCH(A2442,tbl_recyclass[ProductId],0)),tbl_familias_ppwr[ID_Familia],0))="Sim","Conforme","Lacuna"),G2442)))),G2442))</f>
        <v>Parcial</v>
      </c>
      <c r="I2442" s="33" t="str">
        <f t="shared" si="38"/>
        <v>Parcial</v>
      </c>
      <c r="J2442" s="26" t="s">
        <v>1362</v>
      </c>
    </row>
    <row r="2443" spans="1:10" ht="16.05" customHeight="1" x14ac:dyDescent="0.3">
      <c r="A2443" s="26" t="s">
        <v>876</v>
      </c>
      <c r="B2443" s="26" t="s">
        <v>1385</v>
      </c>
      <c r="C2443" s="33" t="str">
        <f>IFERROR(INDEX(tbl_requisitos_emb[Tema],MATCH(B2443,tbl_requisitos_emb[ID_Req],0)),"")</f>
        <v>Reciclabilidade (voluntária)</v>
      </c>
      <c r="D2443" s="33" t="str">
        <f>IFERROR(INDEX(tbl_recyclass[Segmento],MATCH(A2443,tbl_recyclass[ProductId],0)),"")</f>
        <v>Farmacêutico</v>
      </c>
      <c r="E2443" s="26" t="s">
        <v>901</v>
      </c>
      <c r="F2443" s="26" t="s">
        <v>1456</v>
      </c>
      <c r="G2443" s="26" t="s">
        <v>978</v>
      </c>
      <c r="H2443" s="33" t="str">
        <f>IF(E2443="Não","Não aplicável",IFERROR(IF(B2443="EU-ENV-002",IF(INDEX(tbl_recyclass[Conforme_PPWR_2030],MATCH(A2443,tbl_recyclass[ProductId],0))="Sim","Conforme (autoavaliação)",IF(INDEX(tbl_recyclass[Conforme_PPWR_2030],MATCH(A2443,tbl_recyclass[ProductId],0))="Não","Não conforme em 2030","Isento até 2035")),IF(B2443="EU-ENV-003",IF(INDEX(tbl_recyclass[Conforme_Art7_2030],MATCH(A2443,tbl_recyclass[ProductId],0))="Sim","Conforme (meta 2030)",IF(INDEX(tbl_recyclass[Conforme_Art7_2030],MATCH(A2443,tbl_recyclass[ProductId],0))="Não","Lacuna face à meta 2030","Isento")),IF(B2443="EU-ENV-011",IF(INDEX(tbl_familias_ppwr[Metais_Pesados_Evidencia],MATCH(INDEX(tbl_recyclass[Familia_PPWR],MATCH(A2443,tbl_recyclass[ProductId],0)),tbl_familias_ppwr[ID_Familia],0))="Em falta","Lacuna","Conforme"),IF(B2443="EU-ENV-013",IF(INDEX(tbl_familias_ppwr[Declaracao_UE],MATCH(INDEX(tbl_recyclass[Familia_PPWR],MATCH(A2443,tbl_recyclass[ProductId],0)),tbl_familias_ppwr[ID_Familia],0))="Sim","Conforme","Lacuna"),G2443)))),G2443))</f>
        <v>Parcial</v>
      </c>
      <c r="I2443" s="33" t="str">
        <f t="shared" si="38"/>
        <v>Parcial</v>
      </c>
      <c r="J2443" s="26" t="s">
        <v>1389</v>
      </c>
    </row>
    <row r="2444" spans="1:10" ht="16.05" customHeight="1" x14ac:dyDescent="0.3">
      <c r="A2444" s="26" t="s">
        <v>878</v>
      </c>
      <c r="B2444" s="26" t="s">
        <v>984</v>
      </c>
      <c r="C2444" s="33" t="str">
        <f>IFERROR(INDEX(tbl_requisitos_emb[Tema],MATCH(B2444,tbl_requisitos_emb[ID_Req],0)),"")</f>
        <v>Conceção para reciclagem</v>
      </c>
      <c r="D2444" s="33" t="str">
        <f>IFERROR(INDEX(tbl_recyclass[Segmento],MATCH(A2444,tbl_recyclass[ProductId],0)),"")</f>
        <v>Cosmética e higiene pessoal</v>
      </c>
      <c r="E2444" s="26" t="s">
        <v>901</v>
      </c>
      <c r="F2444" s="26" t="s">
        <v>1449</v>
      </c>
      <c r="G2444" s="26" t="s">
        <v>978</v>
      </c>
      <c r="H2444" s="33" t="str">
        <f>IF(E2444="Não","Não aplicável",IFERROR(IF(B2444="EU-ENV-002",IF(INDEX(tbl_recyclass[Conforme_PPWR_2030],MATCH(A2444,tbl_recyclass[ProductId],0))="Sim","Conforme (autoavaliação)",IF(INDEX(tbl_recyclass[Conforme_PPWR_2030],MATCH(A2444,tbl_recyclass[ProductId],0))="Não","Não conforme em 2030","Isento até 2035")),IF(B2444="EU-ENV-003",IF(INDEX(tbl_recyclass[Conforme_Art7_2030],MATCH(A2444,tbl_recyclass[ProductId],0))="Sim","Conforme (meta 2030)",IF(INDEX(tbl_recyclass[Conforme_Art7_2030],MATCH(A2444,tbl_recyclass[ProductId],0))="Não","Lacuna face à meta 2030","Isento")),IF(B2444="EU-ENV-011",IF(INDEX(tbl_familias_ppwr[Metais_Pesados_Evidencia],MATCH(INDEX(tbl_recyclass[Familia_PPWR],MATCH(A2444,tbl_recyclass[ProductId],0)),tbl_familias_ppwr[ID_Familia],0))="Em falta","Lacuna","Conforme"),IF(B2444="EU-ENV-013",IF(INDEX(tbl_familias_ppwr[Declaracao_UE],MATCH(INDEX(tbl_recyclass[Familia_PPWR],MATCH(A2444,tbl_recyclass[ProductId],0)),tbl_familias_ppwr[ID_Familia],0))="Sim","Conforme","Lacuna"),G2444)))),G2444))</f>
        <v>Conforme (autoavaliação)</v>
      </c>
      <c r="I2444" s="33" t="str">
        <f t="shared" si="38"/>
        <v>Conforme</v>
      </c>
      <c r="J2444" s="26" t="s">
        <v>991</v>
      </c>
    </row>
    <row r="2445" spans="1:10" ht="16.05" customHeight="1" x14ac:dyDescent="0.3">
      <c r="A2445" s="26" t="s">
        <v>878</v>
      </c>
      <c r="B2445" s="26" t="s">
        <v>997</v>
      </c>
      <c r="C2445" s="33" t="str">
        <f>IFERROR(INDEX(tbl_requisitos_emb[Tema],MATCH(B2445,tbl_requisitos_emb[ID_Req],0)),"")</f>
        <v>Conteúdo reciclado</v>
      </c>
      <c r="D2445" s="33" t="str">
        <f>IFERROR(INDEX(tbl_recyclass[Segmento],MATCH(A2445,tbl_recyclass[ProductId],0)),"")</f>
        <v>Cosmética e higiene pessoal</v>
      </c>
      <c r="E2445" s="26" t="s">
        <v>901</v>
      </c>
      <c r="F2445" s="26" t="s">
        <v>1449</v>
      </c>
      <c r="G2445" s="26" t="s">
        <v>978</v>
      </c>
      <c r="H2445" s="33" t="str">
        <f>IF(E2445="Não","Não aplicável",IFERROR(IF(B2445="EU-ENV-002",IF(INDEX(tbl_recyclass[Conforme_PPWR_2030],MATCH(A2445,tbl_recyclass[ProductId],0))="Sim","Conforme (autoavaliação)",IF(INDEX(tbl_recyclass[Conforme_PPWR_2030],MATCH(A2445,tbl_recyclass[ProductId],0))="Não","Não conforme em 2030","Isento até 2035")),IF(B2445="EU-ENV-003",IF(INDEX(tbl_recyclass[Conforme_Art7_2030],MATCH(A2445,tbl_recyclass[ProductId],0))="Sim","Conforme (meta 2030)",IF(INDEX(tbl_recyclass[Conforme_Art7_2030],MATCH(A2445,tbl_recyclass[ProductId],0))="Não","Lacuna face à meta 2030","Isento")),IF(B2445="EU-ENV-011",IF(INDEX(tbl_familias_ppwr[Metais_Pesados_Evidencia],MATCH(INDEX(tbl_recyclass[Familia_PPWR],MATCH(A2445,tbl_recyclass[ProductId],0)),tbl_familias_ppwr[ID_Familia],0))="Em falta","Lacuna","Conforme"),IF(B2445="EU-ENV-013",IF(INDEX(tbl_familias_ppwr[Declaracao_UE],MATCH(INDEX(tbl_recyclass[Familia_PPWR],MATCH(A2445,tbl_recyclass[ProductId],0)),tbl_familias_ppwr[ID_Familia],0))="Sim","Conforme","Lacuna"),G2445)))),G2445))</f>
        <v>Lacuna face à meta 2030</v>
      </c>
      <c r="I2445" s="33" t="str">
        <f t="shared" si="38"/>
        <v>Lacuna</v>
      </c>
      <c r="J2445" s="26" t="s">
        <v>1001</v>
      </c>
    </row>
    <row r="2446" spans="1:10" ht="16.05" customHeight="1" x14ac:dyDescent="0.3">
      <c r="A2446" s="26" t="s">
        <v>878</v>
      </c>
      <c r="B2446" s="26" t="s">
        <v>1007</v>
      </c>
      <c r="C2446" s="33" t="str">
        <f>IFERROR(INDEX(tbl_requisitos_emb[Tema],MATCH(B2446,tbl_requisitos_emb[ID_Req],0)),"")</f>
        <v>Minimização</v>
      </c>
      <c r="D2446" s="33" t="str">
        <f>IFERROR(INDEX(tbl_recyclass[Segmento],MATCH(A2446,tbl_recyclass[ProductId],0)),"")</f>
        <v>Cosmética e higiene pessoal</v>
      </c>
      <c r="E2446" s="26" t="s">
        <v>901</v>
      </c>
      <c r="F2446" s="26" t="s">
        <v>1449</v>
      </c>
      <c r="G2446" s="26" t="s">
        <v>978</v>
      </c>
      <c r="H2446" s="33" t="str">
        <f>IF(E2446="Não","Não aplicável",IFERROR(IF(B2446="EU-ENV-002",IF(INDEX(tbl_recyclass[Conforme_PPWR_2030],MATCH(A2446,tbl_recyclass[ProductId],0))="Sim","Conforme (autoavaliação)",IF(INDEX(tbl_recyclass[Conforme_PPWR_2030],MATCH(A2446,tbl_recyclass[ProductId],0))="Não","Não conforme em 2030","Isento até 2035")),IF(B2446="EU-ENV-003",IF(INDEX(tbl_recyclass[Conforme_Art7_2030],MATCH(A2446,tbl_recyclass[ProductId],0))="Sim","Conforme (meta 2030)",IF(INDEX(tbl_recyclass[Conforme_Art7_2030],MATCH(A2446,tbl_recyclass[ProductId],0))="Não","Lacuna face à meta 2030","Isento")),IF(B2446="EU-ENV-011",IF(INDEX(tbl_familias_ppwr[Metais_Pesados_Evidencia],MATCH(INDEX(tbl_recyclass[Familia_PPWR],MATCH(A2446,tbl_recyclass[ProductId],0)),tbl_familias_ppwr[ID_Familia],0))="Em falta","Lacuna","Conforme"),IF(B2446="EU-ENV-013",IF(INDEX(tbl_familias_ppwr[Declaracao_UE],MATCH(INDEX(tbl_recyclass[Familia_PPWR],MATCH(A2446,tbl_recyclass[ProductId],0)),tbl_familias_ppwr[ID_Familia],0))="Sim","Conforme","Lacuna"),G2446)))),G2446))</f>
        <v>Parcial</v>
      </c>
      <c r="I2446" s="33" t="str">
        <f t="shared" si="38"/>
        <v>Parcial</v>
      </c>
      <c r="J2446" s="26" t="s">
        <v>1012</v>
      </c>
    </row>
    <row r="2447" spans="1:10" ht="16.05" customHeight="1" x14ac:dyDescent="0.3">
      <c r="A2447" s="26" t="s">
        <v>878</v>
      </c>
      <c r="B2447" s="26" t="s">
        <v>1016</v>
      </c>
      <c r="C2447" s="33" t="str">
        <f>IFERROR(INDEX(tbl_requisitos_emb[Tema],MATCH(B2447,tbl_requisitos_emb[ID_Req],0)),"")</f>
        <v>Rotulagem</v>
      </c>
      <c r="D2447" s="33" t="str">
        <f>IFERROR(INDEX(tbl_recyclass[Segmento],MATCH(A2447,tbl_recyclass[ProductId],0)),"")</f>
        <v>Cosmética e higiene pessoal</v>
      </c>
      <c r="E2447" s="26" t="s">
        <v>901</v>
      </c>
      <c r="F2447" s="26" t="s">
        <v>1449</v>
      </c>
      <c r="G2447" s="26" t="s">
        <v>990</v>
      </c>
      <c r="H2447" s="33" t="str">
        <f>IF(E2447="Não","Não aplicável",IFERROR(IF(B2447="EU-ENV-002",IF(INDEX(tbl_recyclass[Conforme_PPWR_2030],MATCH(A2447,tbl_recyclass[ProductId],0))="Sim","Conforme (autoavaliação)",IF(INDEX(tbl_recyclass[Conforme_PPWR_2030],MATCH(A2447,tbl_recyclass[ProductId],0))="Não","Não conforme em 2030","Isento até 2035")),IF(B2447="EU-ENV-003",IF(INDEX(tbl_recyclass[Conforme_Art7_2030],MATCH(A2447,tbl_recyclass[ProductId],0))="Sim","Conforme (meta 2030)",IF(INDEX(tbl_recyclass[Conforme_Art7_2030],MATCH(A2447,tbl_recyclass[ProductId],0))="Não","Lacuna face à meta 2030","Isento")),IF(B2447="EU-ENV-011",IF(INDEX(tbl_familias_ppwr[Metais_Pesados_Evidencia],MATCH(INDEX(tbl_recyclass[Familia_PPWR],MATCH(A2447,tbl_recyclass[ProductId],0)),tbl_familias_ppwr[ID_Familia],0))="Em falta","Lacuna","Conforme"),IF(B2447="EU-ENV-013",IF(INDEX(tbl_familias_ppwr[Declaracao_UE],MATCH(INDEX(tbl_recyclass[Familia_PPWR],MATCH(A2447,tbl_recyclass[ProductId],0)),tbl_familias_ppwr[ID_Familia],0))="Sim","Conforme","Lacuna"),G2447)))),G2447))</f>
        <v>Futuro</v>
      </c>
      <c r="I2447" s="33" t="str">
        <f t="shared" si="38"/>
        <v>Futuro</v>
      </c>
      <c r="J2447" s="26" t="s">
        <v>1021</v>
      </c>
    </row>
    <row r="2448" spans="1:10" ht="16.05" customHeight="1" x14ac:dyDescent="0.3">
      <c r="A2448" s="26" t="s">
        <v>878</v>
      </c>
      <c r="B2448" s="26" t="s">
        <v>1038</v>
      </c>
      <c r="C2448" s="33" t="str">
        <f>IFERROR(INDEX(tbl_requisitos_emb[Tema],MATCH(B2448,tbl_requisitos_emb[ID_Req],0)),"")</f>
        <v>Plásticos de utilização única</v>
      </c>
      <c r="D2448" s="33" t="str">
        <f>IFERROR(INDEX(tbl_recyclass[Segmento],MATCH(A2448,tbl_recyclass[ProductId],0)),"")</f>
        <v>Cosmética e higiene pessoal</v>
      </c>
      <c r="E2448" s="26" t="s">
        <v>904</v>
      </c>
      <c r="F2448" s="26" t="s">
        <v>1450</v>
      </c>
      <c r="G2448" s="26" t="s">
        <v>1143</v>
      </c>
      <c r="H2448" s="33" t="str">
        <f>IF(E2448="Não","Não aplicável",IFERROR(IF(B2448="EU-ENV-002",IF(INDEX(tbl_recyclass[Conforme_PPWR_2030],MATCH(A2448,tbl_recyclass[ProductId],0))="Sim","Conforme (autoavaliação)",IF(INDEX(tbl_recyclass[Conforme_PPWR_2030],MATCH(A2448,tbl_recyclass[ProductId],0))="Não","Não conforme em 2030","Isento até 2035")),IF(B2448="EU-ENV-003",IF(INDEX(tbl_recyclass[Conforme_Art7_2030],MATCH(A2448,tbl_recyclass[ProductId],0))="Sim","Conforme (meta 2030)",IF(INDEX(tbl_recyclass[Conforme_Art7_2030],MATCH(A2448,tbl_recyclass[ProductId],0))="Não","Lacuna face à meta 2030","Isento")),IF(B2448="EU-ENV-011",IF(INDEX(tbl_familias_ppwr[Metais_Pesados_Evidencia],MATCH(INDEX(tbl_recyclass[Familia_PPWR],MATCH(A2448,tbl_recyclass[ProductId],0)),tbl_familias_ppwr[ID_Familia],0))="Em falta","Lacuna","Conforme"),IF(B2448="EU-ENV-013",IF(INDEX(tbl_familias_ppwr[Declaracao_UE],MATCH(INDEX(tbl_recyclass[Familia_PPWR],MATCH(A2448,tbl_recyclass[ProductId],0)),tbl_familias_ppwr[ID_Familia],0))="Sim","Conforme","Lacuna"),G2448)))),G2448))</f>
        <v>Não aplicável</v>
      </c>
      <c r="I2448" s="33" t="str">
        <f t="shared" si="38"/>
        <v>Não aplicável</v>
      </c>
      <c r="J2448" s="26"/>
    </row>
    <row r="2449" spans="1:10" ht="16.05" customHeight="1" x14ac:dyDescent="0.3">
      <c r="A2449" s="26" t="s">
        <v>878</v>
      </c>
      <c r="B2449" s="26" t="s">
        <v>1078</v>
      </c>
      <c r="C2449" s="33" t="str">
        <f>IFERROR(INDEX(tbl_requisitos_emb[Tema],MATCH(B2449,tbl_requisitos_emb[ID_Req],0)),"")</f>
        <v>Reciclado à escala</v>
      </c>
      <c r="D2449" s="33" t="str">
        <f>IFERROR(INDEX(tbl_recyclass[Segmento],MATCH(A2449,tbl_recyclass[ProductId],0)),"")</f>
        <v>Cosmética e higiene pessoal</v>
      </c>
      <c r="E2449" s="26" t="s">
        <v>901</v>
      </c>
      <c r="F2449" s="26" t="s">
        <v>1449</v>
      </c>
      <c r="G2449" s="26" t="s">
        <v>990</v>
      </c>
      <c r="H2449" s="33" t="str">
        <f>IF(E2449="Não","Não aplicável",IFERROR(IF(B2449="EU-ENV-002",IF(INDEX(tbl_recyclass[Conforme_PPWR_2030],MATCH(A2449,tbl_recyclass[ProductId],0))="Sim","Conforme (autoavaliação)",IF(INDEX(tbl_recyclass[Conforme_PPWR_2030],MATCH(A2449,tbl_recyclass[ProductId],0))="Não","Não conforme em 2030","Isento até 2035")),IF(B2449="EU-ENV-003",IF(INDEX(tbl_recyclass[Conforme_Art7_2030],MATCH(A2449,tbl_recyclass[ProductId],0))="Sim","Conforme (meta 2030)",IF(INDEX(tbl_recyclass[Conforme_Art7_2030],MATCH(A2449,tbl_recyclass[ProductId],0))="Não","Lacuna face à meta 2030","Isento")),IF(B2449="EU-ENV-011",IF(INDEX(tbl_familias_ppwr[Metais_Pesados_Evidencia],MATCH(INDEX(tbl_recyclass[Familia_PPWR],MATCH(A2449,tbl_recyclass[ProductId],0)),tbl_familias_ppwr[ID_Familia],0))="Em falta","Lacuna","Conforme"),IF(B2449="EU-ENV-013",IF(INDEX(tbl_familias_ppwr[Declaracao_UE],MATCH(INDEX(tbl_recyclass[Familia_PPWR],MATCH(A2449,tbl_recyclass[ProductId],0)),tbl_familias_ppwr[ID_Familia],0))="Sim","Conforme","Lacuna"),G2449)))),G2449))</f>
        <v>Futuro</v>
      </c>
      <c r="I2449" s="33" t="str">
        <f t="shared" si="38"/>
        <v>Futuro</v>
      </c>
      <c r="J2449" s="26" t="s">
        <v>1082</v>
      </c>
    </row>
    <row r="2450" spans="1:10" ht="16.05" customHeight="1" x14ac:dyDescent="0.3">
      <c r="A2450" s="26" t="s">
        <v>878</v>
      </c>
      <c r="B2450" s="26" t="s">
        <v>1086</v>
      </c>
      <c r="C2450" s="33" t="str">
        <f>IFERROR(INDEX(tbl_requisitos_emb[Tema],MATCH(B2450,tbl_requisitos_emb[ID_Req],0)),"")</f>
        <v>Metais pesados</v>
      </c>
      <c r="D2450" s="33" t="str">
        <f>IFERROR(INDEX(tbl_recyclass[Segmento],MATCH(A2450,tbl_recyclass[ProductId],0)),"")</f>
        <v>Cosmética e higiene pessoal</v>
      </c>
      <c r="E2450" s="26" t="s">
        <v>901</v>
      </c>
      <c r="F2450" s="26" t="s">
        <v>1449</v>
      </c>
      <c r="G2450" s="26" t="s">
        <v>978</v>
      </c>
      <c r="H2450" s="33" t="str">
        <f>IF(E2450="Não","Não aplicável",IFERROR(IF(B2450="EU-ENV-002",IF(INDEX(tbl_recyclass[Conforme_PPWR_2030],MATCH(A2450,tbl_recyclass[ProductId],0))="Sim","Conforme (autoavaliação)",IF(INDEX(tbl_recyclass[Conforme_PPWR_2030],MATCH(A2450,tbl_recyclass[ProductId],0))="Não","Não conforme em 2030","Isento até 2035")),IF(B2450="EU-ENV-003",IF(INDEX(tbl_recyclass[Conforme_Art7_2030],MATCH(A2450,tbl_recyclass[ProductId],0))="Sim","Conforme (meta 2030)",IF(INDEX(tbl_recyclass[Conforme_Art7_2030],MATCH(A2450,tbl_recyclass[ProductId],0))="Não","Lacuna face à meta 2030","Isento")),IF(B2450="EU-ENV-011",IF(INDEX(tbl_familias_ppwr[Metais_Pesados_Evidencia],MATCH(INDEX(tbl_recyclass[Familia_PPWR],MATCH(A2450,tbl_recyclass[ProductId],0)),tbl_familias_ppwr[ID_Familia],0))="Em falta","Lacuna","Conforme"),IF(B2450="EU-ENV-013",IF(INDEX(tbl_familias_ppwr[Declaracao_UE],MATCH(INDEX(tbl_recyclass[Familia_PPWR],MATCH(A2450,tbl_recyclass[ProductId],0)),tbl_familias_ppwr[ID_Familia],0))="Sim","Conforme","Lacuna"),G2450)))),G2450))</f>
        <v>Lacuna</v>
      </c>
      <c r="I2450" s="33" t="str">
        <f t="shared" si="38"/>
        <v>Lacuna</v>
      </c>
      <c r="J2450" s="26" t="s">
        <v>1090</v>
      </c>
    </row>
    <row r="2451" spans="1:10" ht="16.05" customHeight="1" x14ac:dyDescent="0.3">
      <c r="A2451" s="26" t="s">
        <v>878</v>
      </c>
      <c r="B2451" s="26" t="s">
        <v>1094</v>
      </c>
      <c r="C2451" s="33" t="str">
        <f>IFERROR(INDEX(tbl_requisitos_emb[Tema],MATCH(B2451,tbl_requisitos_emb[ID_Req],0)),"")</f>
        <v>PFAS</v>
      </c>
      <c r="D2451" s="33" t="str">
        <f>IFERROR(INDEX(tbl_recyclass[Segmento],MATCH(A2451,tbl_recyclass[ProductId],0)),"")</f>
        <v>Cosmética e higiene pessoal</v>
      </c>
      <c r="E2451" s="26" t="s">
        <v>904</v>
      </c>
      <c r="F2451" s="26" t="s">
        <v>1450</v>
      </c>
      <c r="G2451" s="26" t="s">
        <v>1143</v>
      </c>
      <c r="H2451" s="33" t="str">
        <f>IF(E2451="Não","Não aplicável",IFERROR(IF(B2451="EU-ENV-002",IF(INDEX(tbl_recyclass[Conforme_PPWR_2030],MATCH(A2451,tbl_recyclass[ProductId],0))="Sim","Conforme (autoavaliação)",IF(INDEX(tbl_recyclass[Conforme_PPWR_2030],MATCH(A2451,tbl_recyclass[ProductId],0))="Não","Não conforme em 2030","Isento até 2035")),IF(B2451="EU-ENV-003",IF(INDEX(tbl_recyclass[Conforme_Art7_2030],MATCH(A2451,tbl_recyclass[ProductId],0))="Sim","Conforme (meta 2030)",IF(INDEX(tbl_recyclass[Conforme_Art7_2030],MATCH(A2451,tbl_recyclass[ProductId],0))="Não","Lacuna face à meta 2030","Isento")),IF(B2451="EU-ENV-011",IF(INDEX(tbl_familias_ppwr[Metais_Pesados_Evidencia],MATCH(INDEX(tbl_recyclass[Familia_PPWR],MATCH(A2451,tbl_recyclass[ProductId],0)),tbl_familias_ppwr[ID_Familia],0))="Em falta","Lacuna","Conforme"),IF(B2451="EU-ENV-013",IF(INDEX(tbl_familias_ppwr[Declaracao_UE],MATCH(INDEX(tbl_recyclass[Familia_PPWR],MATCH(A2451,tbl_recyclass[ProductId],0)),tbl_familias_ppwr[ID_Familia],0))="Sim","Conforme","Lacuna"),G2451)))),G2451))</f>
        <v>Não aplicável</v>
      </c>
      <c r="I2451" s="33" t="str">
        <f t="shared" si="38"/>
        <v>Não aplicável</v>
      </c>
      <c r="J2451" s="26"/>
    </row>
    <row r="2452" spans="1:10" ht="16.05" customHeight="1" x14ac:dyDescent="0.3">
      <c r="A2452" s="26" t="s">
        <v>878</v>
      </c>
      <c r="B2452" s="26" t="s">
        <v>1102</v>
      </c>
      <c r="C2452" s="33" t="str">
        <f>IFERROR(INDEX(tbl_requisitos_emb[Tema],MATCH(B2452,tbl_requisitos_emb[ID_Req],0)),"")</f>
        <v>Documentação técnica e declaração UE</v>
      </c>
      <c r="D2452" s="33" t="str">
        <f>IFERROR(INDEX(tbl_recyclass[Segmento],MATCH(A2452,tbl_recyclass[ProductId],0)),"")</f>
        <v>Cosmética e higiene pessoal</v>
      </c>
      <c r="E2452" s="26" t="s">
        <v>901</v>
      </c>
      <c r="F2452" s="26" t="s">
        <v>1449</v>
      </c>
      <c r="G2452" s="26" t="s">
        <v>978</v>
      </c>
      <c r="H2452" s="33" t="str">
        <f>IF(E2452="Não","Não aplicável",IFERROR(IF(B2452="EU-ENV-002",IF(INDEX(tbl_recyclass[Conforme_PPWR_2030],MATCH(A2452,tbl_recyclass[ProductId],0))="Sim","Conforme (autoavaliação)",IF(INDEX(tbl_recyclass[Conforme_PPWR_2030],MATCH(A2452,tbl_recyclass[ProductId],0))="Não","Não conforme em 2030","Isento até 2035")),IF(B2452="EU-ENV-003",IF(INDEX(tbl_recyclass[Conforme_Art7_2030],MATCH(A2452,tbl_recyclass[ProductId],0))="Sim","Conforme (meta 2030)",IF(INDEX(tbl_recyclass[Conforme_Art7_2030],MATCH(A2452,tbl_recyclass[ProductId],0))="Não","Lacuna face à meta 2030","Isento")),IF(B2452="EU-ENV-011",IF(INDEX(tbl_familias_ppwr[Metais_Pesados_Evidencia],MATCH(INDEX(tbl_recyclass[Familia_PPWR],MATCH(A2452,tbl_recyclass[ProductId],0)),tbl_familias_ppwr[ID_Familia],0))="Em falta","Lacuna","Conforme"),IF(B2452="EU-ENV-013",IF(INDEX(tbl_familias_ppwr[Declaracao_UE],MATCH(INDEX(tbl_recyclass[Familia_PPWR],MATCH(A2452,tbl_recyclass[ProductId],0)),tbl_familias_ppwr[ID_Familia],0))="Sim","Conforme","Lacuna"),G2452)))),G2452))</f>
        <v>Conforme</v>
      </c>
      <c r="I2452" s="33" t="str">
        <f t="shared" si="38"/>
        <v>Conforme</v>
      </c>
      <c r="J2452" s="26" t="s">
        <v>1106</v>
      </c>
    </row>
    <row r="2453" spans="1:10" ht="16.05" customHeight="1" x14ac:dyDescent="0.3">
      <c r="A2453" s="26" t="s">
        <v>878</v>
      </c>
      <c r="B2453" s="26" t="s">
        <v>1161</v>
      </c>
      <c r="C2453" s="33" t="str">
        <f>IFERROR(INDEX(tbl_requisitos_emb[Tema],MATCH(B2453,tbl_requisitos_emb[ID_Req],0)),"")</f>
        <v>Materiais em contacto com alimentos</v>
      </c>
      <c r="D2453" s="33" t="str">
        <f>IFERROR(INDEX(tbl_recyclass[Segmento],MATCH(A2453,tbl_recyclass[ProductId],0)),"")</f>
        <v>Cosmética e higiene pessoal</v>
      </c>
      <c r="E2453" s="26" t="s">
        <v>904</v>
      </c>
      <c r="F2453" s="26" t="s">
        <v>1450</v>
      </c>
      <c r="G2453" s="26" t="s">
        <v>1143</v>
      </c>
      <c r="H2453" s="33" t="str">
        <f>IF(E2453="Não","Não aplicável",IFERROR(IF(B2453="EU-ENV-002",IF(INDEX(tbl_recyclass[Conforme_PPWR_2030],MATCH(A2453,tbl_recyclass[ProductId],0))="Sim","Conforme (autoavaliação)",IF(INDEX(tbl_recyclass[Conforme_PPWR_2030],MATCH(A2453,tbl_recyclass[ProductId],0))="Não","Não conforme em 2030","Isento até 2035")),IF(B2453="EU-ENV-003",IF(INDEX(tbl_recyclass[Conforme_Art7_2030],MATCH(A2453,tbl_recyclass[ProductId],0))="Sim","Conforme (meta 2030)",IF(INDEX(tbl_recyclass[Conforme_Art7_2030],MATCH(A2453,tbl_recyclass[ProductId],0))="Não","Lacuna face à meta 2030","Isento")),IF(B2453="EU-ENV-011",IF(INDEX(tbl_familias_ppwr[Metais_Pesados_Evidencia],MATCH(INDEX(tbl_recyclass[Familia_PPWR],MATCH(A2453,tbl_recyclass[ProductId],0)),tbl_familias_ppwr[ID_Familia],0))="Em falta","Lacuna","Conforme"),IF(B2453="EU-ENV-013",IF(INDEX(tbl_familias_ppwr[Declaracao_UE],MATCH(INDEX(tbl_recyclass[Familia_PPWR],MATCH(A2453,tbl_recyclass[ProductId],0)),tbl_familias_ppwr[ID_Familia],0))="Sim","Conforme","Lacuna"),G2453)))),G2453))</f>
        <v>Não aplicável</v>
      </c>
      <c r="I2453" s="33" t="str">
        <f t="shared" si="38"/>
        <v>Não aplicável</v>
      </c>
      <c r="J2453" s="26"/>
    </row>
    <row r="2454" spans="1:10" ht="16.05" customHeight="1" x14ac:dyDescent="0.3">
      <c r="A2454" s="26" t="s">
        <v>878</v>
      </c>
      <c r="B2454" s="26" t="s">
        <v>1170</v>
      </c>
      <c r="C2454" s="33" t="str">
        <f>IFERROR(INDEX(tbl_requisitos_emb[Tema],MATCH(B2454,tbl_requisitos_emb[ID_Req],0)),"")</f>
        <v>Boas práticas de fabrico FCM</v>
      </c>
      <c r="D2454" s="33" t="str">
        <f>IFERROR(INDEX(tbl_recyclass[Segmento],MATCH(A2454,tbl_recyclass[ProductId],0)),"")</f>
        <v>Cosmética e higiene pessoal</v>
      </c>
      <c r="E2454" s="26" t="s">
        <v>904</v>
      </c>
      <c r="F2454" s="26" t="s">
        <v>1450</v>
      </c>
      <c r="G2454" s="26" t="s">
        <v>1143</v>
      </c>
      <c r="H2454" s="33" t="str">
        <f>IF(E2454="Não","Não aplicável",IFERROR(IF(B2454="EU-ENV-002",IF(INDEX(tbl_recyclass[Conforme_PPWR_2030],MATCH(A2454,tbl_recyclass[ProductId],0))="Sim","Conforme (autoavaliação)",IF(INDEX(tbl_recyclass[Conforme_PPWR_2030],MATCH(A2454,tbl_recyclass[ProductId],0))="Não","Não conforme em 2030","Isento até 2035")),IF(B2454="EU-ENV-003",IF(INDEX(tbl_recyclass[Conforme_Art7_2030],MATCH(A2454,tbl_recyclass[ProductId],0))="Sim","Conforme (meta 2030)",IF(INDEX(tbl_recyclass[Conforme_Art7_2030],MATCH(A2454,tbl_recyclass[ProductId],0))="Não","Lacuna face à meta 2030","Isento")),IF(B2454="EU-ENV-011",IF(INDEX(tbl_familias_ppwr[Metais_Pesados_Evidencia],MATCH(INDEX(tbl_recyclass[Familia_PPWR],MATCH(A2454,tbl_recyclass[ProductId],0)),tbl_familias_ppwr[ID_Familia],0))="Em falta","Lacuna","Conforme"),IF(B2454="EU-ENV-013",IF(INDEX(tbl_familias_ppwr[Declaracao_UE],MATCH(INDEX(tbl_recyclass[Familia_PPWR],MATCH(A2454,tbl_recyclass[ProductId],0)),tbl_familias_ppwr[ID_Familia],0))="Sim","Conforme","Lacuna"),G2454)))),G2454))</f>
        <v>Não aplicável</v>
      </c>
      <c r="I2454" s="33" t="str">
        <f t="shared" si="38"/>
        <v>Não aplicável</v>
      </c>
      <c r="J2454" s="26"/>
    </row>
    <row r="2455" spans="1:10" ht="16.05" customHeight="1" x14ac:dyDescent="0.3">
      <c r="A2455" s="26" t="s">
        <v>878</v>
      </c>
      <c r="B2455" s="26" t="s">
        <v>1179</v>
      </c>
      <c r="C2455" s="33" t="str">
        <f>IFERROR(INDEX(tbl_requisitos_emb[Tema],MATCH(B2455,tbl_requisitos_emb[ID_Req],0)),"")</f>
        <v>Bisfenol A e bisfenóis perigosos</v>
      </c>
      <c r="D2455" s="33" t="str">
        <f>IFERROR(INDEX(tbl_recyclass[Segmento],MATCH(A2455,tbl_recyclass[ProductId],0)),"")</f>
        <v>Cosmética e higiene pessoal</v>
      </c>
      <c r="E2455" s="26" t="s">
        <v>904</v>
      </c>
      <c r="F2455" s="26" t="s">
        <v>1450</v>
      </c>
      <c r="G2455" s="26" t="s">
        <v>1143</v>
      </c>
      <c r="H2455" s="33" t="str">
        <f>IF(E2455="Não","Não aplicável",IFERROR(IF(B2455="EU-ENV-002",IF(INDEX(tbl_recyclass[Conforme_PPWR_2030],MATCH(A2455,tbl_recyclass[ProductId],0))="Sim","Conforme (autoavaliação)",IF(INDEX(tbl_recyclass[Conforme_PPWR_2030],MATCH(A2455,tbl_recyclass[ProductId],0))="Não","Não conforme em 2030","Isento até 2035")),IF(B2455="EU-ENV-003",IF(INDEX(tbl_recyclass[Conforme_Art7_2030],MATCH(A2455,tbl_recyclass[ProductId],0))="Sim","Conforme (meta 2030)",IF(INDEX(tbl_recyclass[Conforme_Art7_2030],MATCH(A2455,tbl_recyclass[ProductId],0))="Não","Lacuna face à meta 2030","Isento")),IF(B2455="EU-ENV-011",IF(INDEX(tbl_familias_ppwr[Metais_Pesados_Evidencia],MATCH(INDEX(tbl_recyclass[Familia_PPWR],MATCH(A2455,tbl_recyclass[ProductId],0)),tbl_familias_ppwr[ID_Familia],0))="Em falta","Lacuna","Conforme"),IF(B2455="EU-ENV-013",IF(INDEX(tbl_familias_ppwr[Declaracao_UE],MATCH(INDEX(tbl_recyclass[Familia_PPWR],MATCH(A2455,tbl_recyclass[ProductId],0)),tbl_familias_ppwr[ID_Familia],0))="Sim","Conforme","Lacuna"),G2455)))),G2455))</f>
        <v>Não aplicável</v>
      </c>
      <c r="I2455" s="33" t="str">
        <f t="shared" si="38"/>
        <v>Não aplicável</v>
      </c>
      <c r="J2455" s="26"/>
    </row>
    <row r="2456" spans="1:10" ht="16.05" customHeight="1" x14ac:dyDescent="0.3">
      <c r="A2456" s="26" t="s">
        <v>878</v>
      </c>
      <c r="B2456" s="26" t="s">
        <v>1188</v>
      </c>
      <c r="C2456" s="33" t="str">
        <f>IFERROR(INDEX(tbl_requisitos_emb[Tema],MATCH(B2456,tbl_requisitos_emb[ID_Req],0)),"")</f>
        <v>Plásticos em contacto com alimentos</v>
      </c>
      <c r="D2456" s="33" t="str">
        <f>IFERROR(INDEX(tbl_recyclass[Segmento],MATCH(A2456,tbl_recyclass[ProductId],0)),"")</f>
        <v>Cosmética e higiene pessoal</v>
      </c>
      <c r="E2456" s="26" t="s">
        <v>904</v>
      </c>
      <c r="F2456" s="26" t="s">
        <v>1450</v>
      </c>
      <c r="G2456" s="26" t="s">
        <v>1143</v>
      </c>
      <c r="H2456" s="33" t="str">
        <f>IF(E2456="Não","Não aplicável",IFERROR(IF(B2456="EU-ENV-002",IF(INDEX(tbl_recyclass[Conforme_PPWR_2030],MATCH(A2456,tbl_recyclass[ProductId],0))="Sim","Conforme (autoavaliação)",IF(INDEX(tbl_recyclass[Conforme_PPWR_2030],MATCH(A2456,tbl_recyclass[ProductId],0))="Não","Não conforme em 2030","Isento até 2035")),IF(B2456="EU-ENV-003",IF(INDEX(tbl_recyclass[Conforme_Art7_2030],MATCH(A2456,tbl_recyclass[ProductId],0))="Sim","Conforme (meta 2030)",IF(INDEX(tbl_recyclass[Conforme_Art7_2030],MATCH(A2456,tbl_recyclass[ProductId],0))="Não","Lacuna face à meta 2030","Isento")),IF(B2456="EU-ENV-011",IF(INDEX(tbl_familias_ppwr[Metais_Pesados_Evidencia],MATCH(INDEX(tbl_recyclass[Familia_PPWR],MATCH(A2456,tbl_recyclass[ProductId],0)),tbl_familias_ppwr[ID_Familia],0))="Em falta","Lacuna","Conforme"),IF(B2456="EU-ENV-013",IF(INDEX(tbl_familias_ppwr[Declaracao_UE],MATCH(INDEX(tbl_recyclass[Familia_PPWR],MATCH(A2456,tbl_recyclass[ProductId],0)),tbl_familias_ppwr[ID_Familia],0))="Sim","Conforme","Lacuna"),G2456)))),G2456))</f>
        <v>Não aplicável</v>
      </c>
      <c r="I2456" s="33" t="str">
        <f t="shared" si="38"/>
        <v>Não aplicável</v>
      </c>
      <c r="J2456" s="26"/>
    </row>
    <row r="2457" spans="1:10" ht="16.05" customHeight="1" x14ac:dyDescent="0.3">
      <c r="A2457" s="26" t="s">
        <v>878</v>
      </c>
      <c r="B2457" s="26" t="s">
        <v>1212</v>
      </c>
      <c r="C2457" s="33" t="str">
        <f>IFERROR(INDEX(tbl_requisitos_emb[Tema],MATCH(B2457,tbl_requisitos_emb[ID_Req],0)),"")</f>
        <v>Segurança do produto cosmético</v>
      </c>
      <c r="D2457" s="33" t="str">
        <f>IFERROR(INDEX(tbl_recyclass[Segmento],MATCH(A2457,tbl_recyclass[ProductId],0)),"")</f>
        <v>Cosmética e higiene pessoal</v>
      </c>
      <c r="E2457" s="26" t="s">
        <v>901</v>
      </c>
      <c r="F2457" s="26" t="s">
        <v>1449</v>
      </c>
      <c r="G2457" s="26" t="s">
        <v>1033</v>
      </c>
      <c r="H2457" s="33" t="str">
        <f>IF(E2457="Não","Não aplicável",IFERROR(IF(B2457="EU-ENV-002",IF(INDEX(tbl_recyclass[Conforme_PPWR_2030],MATCH(A2457,tbl_recyclass[ProductId],0))="Sim","Conforme (autoavaliação)",IF(INDEX(tbl_recyclass[Conforme_PPWR_2030],MATCH(A2457,tbl_recyclass[ProductId],0))="Não","Não conforme em 2030","Isento até 2035")),IF(B2457="EU-ENV-003",IF(INDEX(tbl_recyclass[Conforme_Art7_2030],MATCH(A2457,tbl_recyclass[ProductId],0))="Sim","Conforme (meta 2030)",IF(INDEX(tbl_recyclass[Conforme_Art7_2030],MATCH(A2457,tbl_recyclass[ProductId],0))="Não","Lacuna face à meta 2030","Isento")),IF(B2457="EU-ENV-011",IF(INDEX(tbl_familias_ppwr[Metais_Pesados_Evidencia],MATCH(INDEX(tbl_recyclass[Familia_PPWR],MATCH(A2457,tbl_recyclass[ProductId],0)),tbl_familias_ppwr[ID_Familia],0))="Em falta","Lacuna","Conforme"),IF(B2457="EU-ENV-013",IF(INDEX(tbl_familias_ppwr[Declaracao_UE],MATCH(INDEX(tbl_recyclass[Familia_PPWR],MATCH(A2457,tbl_recyclass[ProductId],0)),tbl_familias_ppwr[ID_Familia],0))="Sim","Conforme","Lacuna"),G2457)))),G2457))</f>
        <v>Conforme</v>
      </c>
      <c r="I2457" s="33" t="str">
        <f t="shared" si="38"/>
        <v>Conforme</v>
      </c>
      <c r="J2457" s="26" t="s">
        <v>1221</v>
      </c>
    </row>
    <row r="2458" spans="1:10" ht="16.05" customHeight="1" x14ac:dyDescent="0.3">
      <c r="A2458" s="26" t="s">
        <v>878</v>
      </c>
      <c r="B2458" s="26" t="s">
        <v>1224</v>
      </c>
      <c r="C2458" s="33" t="str">
        <f>IFERROR(INDEX(tbl_requisitos_emb[Tema],MATCH(B2458,tbl_requisitos_emb[ID_Req],0)),"")</f>
        <v>Materiais e impurezas</v>
      </c>
      <c r="D2458" s="33" t="str">
        <f>IFERROR(INDEX(tbl_recyclass[Segmento],MATCH(A2458,tbl_recyclass[ProductId],0)),"")</f>
        <v>Cosmética e higiene pessoal</v>
      </c>
      <c r="E2458" s="26" t="s">
        <v>901</v>
      </c>
      <c r="F2458" s="26" t="s">
        <v>1449</v>
      </c>
      <c r="G2458" s="26" t="s">
        <v>978</v>
      </c>
      <c r="H2458" s="33" t="str">
        <f>IF(E2458="Não","Não aplicável",IFERROR(IF(B2458="EU-ENV-002",IF(INDEX(tbl_recyclass[Conforme_PPWR_2030],MATCH(A2458,tbl_recyclass[ProductId],0))="Sim","Conforme (autoavaliação)",IF(INDEX(tbl_recyclass[Conforme_PPWR_2030],MATCH(A2458,tbl_recyclass[ProductId],0))="Não","Não conforme em 2030","Isento até 2035")),IF(B2458="EU-ENV-003",IF(INDEX(tbl_recyclass[Conforme_Art7_2030],MATCH(A2458,tbl_recyclass[ProductId],0))="Sim","Conforme (meta 2030)",IF(INDEX(tbl_recyclass[Conforme_Art7_2030],MATCH(A2458,tbl_recyclass[ProductId],0))="Não","Lacuna face à meta 2030","Isento")),IF(B2458="EU-ENV-011",IF(INDEX(tbl_familias_ppwr[Metais_Pesados_Evidencia],MATCH(INDEX(tbl_recyclass[Familia_PPWR],MATCH(A2458,tbl_recyclass[ProductId],0)),tbl_familias_ppwr[ID_Familia],0))="Em falta","Lacuna","Conforme"),IF(B2458="EU-ENV-013",IF(INDEX(tbl_familias_ppwr[Declaracao_UE],MATCH(INDEX(tbl_recyclass[Familia_PPWR],MATCH(A2458,tbl_recyclass[ProductId],0)),tbl_familias_ppwr[ID_Familia],0))="Sim","Conforme","Lacuna"),G2458)))),G2458))</f>
        <v>Parcial</v>
      </c>
      <c r="I2458" s="33" t="str">
        <f t="shared" si="38"/>
        <v>Parcial</v>
      </c>
      <c r="J2458" s="26" t="s">
        <v>1228</v>
      </c>
    </row>
    <row r="2459" spans="1:10" ht="16.05" customHeight="1" x14ac:dyDescent="0.3">
      <c r="A2459" s="26" t="s">
        <v>878</v>
      </c>
      <c r="B2459" s="26" t="s">
        <v>1240</v>
      </c>
      <c r="C2459" s="33" t="str">
        <f>IFERROR(INDEX(tbl_requisitos_emb[Tema],MATCH(B2459,tbl_requisitos_emb[ID_Req],0)),"")</f>
        <v>Compatibilidade embalagem–produto</v>
      </c>
      <c r="D2459" s="33" t="str">
        <f>IFERROR(INDEX(tbl_recyclass[Segmento],MATCH(A2459,tbl_recyclass[ProductId],0)),"")</f>
        <v>Cosmética e higiene pessoal</v>
      </c>
      <c r="E2459" s="26" t="s">
        <v>901</v>
      </c>
      <c r="F2459" s="26" t="s">
        <v>1449</v>
      </c>
      <c r="G2459" s="26" t="s">
        <v>1033</v>
      </c>
      <c r="H2459" s="33" t="str">
        <f>IF(E2459="Não","Não aplicável",IFERROR(IF(B2459="EU-ENV-002",IF(INDEX(tbl_recyclass[Conforme_PPWR_2030],MATCH(A2459,tbl_recyclass[ProductId],0))="Sim","Conforme (autoavaliação)",IF(INDEX(tbl_recyclass[Conforme_PPWR_2030],MATCH(A2459,tbl_recyclass[ProductId],0))="Não","Não conforme em 2030","Isento até 2035")),IF(B2459="EU-ENV-003",IF(INDEX(tbl_recyclass[Conforme_Art7_2030],MATCH(A2459,tbl_recyclass[ProductId],0))="Sim","Conforme (meta 2030)",IF(INDEX(tbl_recyclass[Conforme_Art7_2030],MATCH(A2459,tbl_recyclass[ProductId],0))="Não","Lacuna face à meta 2030","Isento")),IF(B2459="EU-ENV-011",IF(INDEX(tbl_familias_ppwr[Metais_Pesados_Evidencia],MATCH(INDEX(tbl_recyclass[Familia_PPWR],MATCH(A2459,tbl_recyclass[ProductId],0)),tbl_familias_ppwr[ID_Familia],0))="Em falta","Lacuna","Conforme"),IF(B2459="EU-ENV-013",IF(INDEX(tbl_familias_ppwr[Declaracao_UE],MATCH(INDEX(tbl_recyclass[Familia_PPWR],MATCH(A2459,tbl_recyclass[ProductId],0)),tbl_familias_ppwr[ID_Familia],0))="Sim","Conforme","Lacuna"),G2459)))),G2459))</f>
        <v>Conforme</v>
      </c>
      <c r="I2459" s="33" t="str">
        <f t="shared" si="38"/>
        <v>Conforme</v>
      </c>
      <c r="J2459" s="26" t="s">
        <v>1244</v>
      </c>
    </row>
    <row r="2460" spans="1:10" ht="16.05" customHeight="1" x14ac:dyDescent="0.3">
      <c r="A2460" s="26" t="s">
        <v>878</v>
      </c>
      <c r="B2460" s="26" t="s">
        <v>1252</v>
      </c>
      <c r="C2460" s="33" t="str">
        <f>IFERROR(INDEX(tbl_requisitos_emb[Tema],MATCH(B2460,tbl_requisitos_emb[ID_Req],0)),"")</f>
        <v>Medicamentos de uso humano</v>
      </c>
      <c r="D2460" s="33" t="str">
        <f>IFERROR(INDEX(tbl_recyclass[Segmento],MATCH(A2460,tbl_recyclass[ProductId],0)),"")</f>
        <v>Cosmética e higiene pessoal</v>
      </c>
      <c r="E2460" s="26" t="s">
        <v>904</v>
      </c>
      <c r="F2460" s="26" t="s">
        <v>1451</v>
      </c>
      <c r="G2460" s="26" t="s">
        <v>1143</v>
      </c>
      <c r="H2460" s="33" t="str">
        <f>IF(E2460="Não","Não aplicável",IFERROR(IF(B2460="EU-ENV-002",IF(INDEX(tbl_recyclass[Conforme_PPWR_2030],MATCH(A2460,tbl_recyclass[ProductId],0))="Sim","Conforme (autoavaliação)",IF(INDEX(tbl_recyclass[Conforme_PPWR_2030],MATCH(A2460,tbl_recyclass[ProductId],0))="Não","Não conforme em 2030","Isento até 2035")),IF(B2460="EU-ENV-003",IF(INDEX(tbl_recyclass[Conforme_Art7_2030],MATCH(A2460,tbl_recyclass[ProductId],0))="Sim","Conforme (meta 2030)",IF(INDEX(tbl_recyclass[Conforme_Art7_2030],MATCH(A2460,tbl_recyclass[ProductId],0))="Não","Lacuna face à meta 2030","Isento")),IF(B2460="EU-ENV-011",IF(INDEX(tbl_familias_ppwr[Metais_Pesados_Evidencia],MATCH(INDEX(tbl_recyclass[Familia_PPWR],MATCH(A2460,tbl_recyclass[ProductId],0)),tbl_familias_ppwr[ID_Familia],0))="Em falta","Lacuna","Conforme"),IF(B2460="EU-ENV-013",IF(INDEX(tbl_familias_ppwr[Declaracao_UE],MATCH(INDEX(tbl_recyclass[Familia_PPWR],MATCH(A2460,tbl_recyclass[ProductId],0)),tbl_familias_ppwr[ID_Familia],0))="Sim","Conforme","Lacuna"),G2460)))),G2460))</f>
        <v>Não aplicável</v>
      </c>
      <c r="I2460" s="33" t="str">
        <f t="shared" si="38"/>
        <v>Não aplicável</v>
      </c>
      <c r="J2460" s="26"/>
    </row>
    <row r="2461" spans="1:10" ht="16.05" customHeight="1" x14ac:dyDescent="0.3">
      <c r="A2461" s="26" t="s">
        <v>878</v>
      </c>
      <c r="B2461" s="26" t="s">
        <v>1268</v>
      </c>
      <c r="C2461" s="33" t="str">
        <f>IFERROR(INDEX(tbl_requisitos_emb[Tema],MATCH(B2461,tbl_requisitos_emb[ID_Req],0)),"")</f>
        <v>Dispositivos de segurança</v>
      </c>
      <c r="D2461" s="33" t="str">
        <f>IFERROR(INDEX(tbl_recyclass[Segmento],MATCH(A2461,tbl_recyclass[ProductId],0)),"")</f>
        <v>Cosmética e higiene pessoal</v>
      </c>
      <c r="E2461" s="26" t="s">
        <v>904</v>
      </c>
      <c r="F2461" s="26" t="s">
        <v>1451</v>
      </c>
      <c r="G2461" s="26" t="s">
        <v>1143</v>
      </c>
      <c r="H2461" s="33" t="str">
        <f>IF(E2461="Não","Não aplicável",IFERROR(IF(B2461="EU-ENV-002",IF(INDEX(tbl_recyclass[Conforme_PPWR_2030],MATCH(A2461,tbl_recyclass[ProductId],0))="Sim","Conforme (autoavaliação)",IF(INDEX(tbl_recyclass[Conforme_PPWR_2030],MATCH(A2461,tbl_recyclass[ProductId],0))="Não","Não conforme em 2030","Isento até 2035")),IF(B2461="EU-ENV-003",IF(INDEX(tbl_recyclass[Conforme_Art7_2030],MATCH(A2461,tbl_recyclass[ProductId],0))="Sim","Conforme (meta 2030)",IF(INDEX(tbl_recyclass[Conforme_Art7_2030],MATCH(A2461,tbl_recyclass[ProductId],0))="Não","Lacuna face à meta 2030","Isento")),IF(B2461="EU-ENV-011",IF(INDEX(tbl_familias_ppwr[Metais_Pesados_Evidencia],MATCH(INDEX(tbl_recyclass[Familia_PPWR],MATCH(A2461,tbl_recyclass[ProductId],0)),tbl_familias_ppwr[ID_Familia],0))="Em falta","Lacuna","Conforme"),IF(B2461="EU-ENV-013",IF(INDEX(tbl_familias_ppwr[Declaracao_UE],MATCH(INDEX(tbl_recyclass[Familia_PPWR],MATCH(A2461,tbl_recyclass[ProductId],0)),tbl_familias_ppwr[ID_Familia],0))="Sim","Conforme","Lacuna"),G2461)))),G2461))</f>
        <v>Não aplicável</v>
      </c>
      <c r="I2461" s="33" t="str">
        <f t="shared" si="38"/>
        <v>Não aplicável</v>
      </c>
      <c r="J2461" s="26"/>
    </row>
    <row r="2462" spans="1:10" ht="16.05" customHeight="1" x14ac:dyDescent="0.3">
      <c r="A2462" s="26" t="s">
        <v>878</v>
      </c>
      <c r="B2462" s="26" t="s">
        <v>1285</v>
      </c>
      <c r="C2462" s="33" t="str">
        <f>IFERROR(INDEX(tbl_requisitos_emb[Tema],MATCH(B2462,tbl_requisitos_emb[ID_Req],0)),"")</f>
        <v>Materiais plásticos de acondicionamento primário</v>
      </c>
      <c r="D2462" s="33" t="str">
        <f>IFERROR(INDEX(tbl_recyclass[Segmento],MATCH(A2462,tbl_recyclass[ProductId],0)),"")</f>
        <v>Cosmética e higiene pessoal</v>
      </c>
      <c r="E2462" s="26" t="s">
        <v>904</v>
      </c>
      <c r="F2462" s="26" t="s">
        <v>1451</v>
      </c>
      <c r="G2462" s="26" t="s">
        <v>1143</v>
      </c>
      <c r="H2462" s="33" t="str">
        <f>IF(E2462="Não","Não aplicável",IFERROR(IF(B2462="EU-ENV-002",IF(INDEX(tbl_recyclass[Conforme_PPWR_2030],MATCH(A2462,tbl_recyclass[ProductId],0))="Sim","Conforme (autoavaliação)",IF(INDEX(tbl_recyclass[Conforme_PPWR_2030],MATCH(A2462,tbl_recyclass[ProductId],0))="Não","Não conforme em 2030","Isento até 2035")),IF(B2462="EU-ENV-003",IF(INDEX(tbl_recyclass[Conforme_Art7_2030],MATCH(A2462,tbl_recyclass[ProductId],0))="Sim","Conforme (meta 2030)",IF(INDEX(tbl_recyclass[Conforme_Art7_2030],MATCH(A2462,tbl_recyclass[ProductId],0))="Não","Lacuna face à meta 2030","Isento")),IF(B2462="EU-ENV-011",IF(INDEX(tbl_familias_ppwr[Metais_Pesados_Evidencia],MATCH(INDEX(tbl_recyclass[Familia_PPWR],MATCH(A2462,tbl_recyclass[ProductId],0)),tbl_familias_ppwr[ID_Familia],0))="Em falta","Lacuna","Conforme"),IF(B2462="EU-ENV-013",IF(INDEX(tbl_familias_ppwr[Declaracao_UE],MATCH(INDEX(tbl_recyclass[Familia_PPWR],MATCH(A2462,tbl_recyclass[ProductId],0)),tbl_familias_ppwr[ID_Familia],0))="Sim","Conforme","Lacuna"),G2462)))),G2462))</f>
        <v>Não aplicável</v>
      </c>
      <c r="I2462" s="33" t="str">
        <f t="shared" si="38"/>
        <v>Não aplicável</v>
      </c>
      <c r="J2462" s="26"/>
    </row>
    <row r="2463" spans="1:10" ht="16.05" customHeight="1" x14ac:dyDescent="0.3">
      <c r="A2463" s="26" t="s">
        <v>878</v>
      </c>
      <c r="B2463" s="26" t="s">
        <v>1293</v>
      </c>
      <c r="C2463" s="33" t="str">
        <f>IFERROR(INDEX(tbl_requisitos_emb[Tema],MATCH(B2463,tbl_requisitos_emb[ID_Req],0)),"")</f>
        <v>Isenções PPWR</v>
      </c>
      <c r="D2463" s="33" t="str">
        <f>IFERROR(INDEX(tbl_recyclass[Segmento],MATCH(A2463,tbl_recyclass[ProductId],0)),"")</f>
        <v>Cosmética e higiene pessoal</v>
      </c>
      <c r="E2463" s="26" t="s">
        <v>904</v>
      </c>
      <c r="F2463" s="26" t="s">
        <v>1451</v>
      </c>
      <c r="G2463" s="26" t="s">
        <v>1143</v>
      </c>
      <c r="H2463" s="33" t="str">
        <f>IF(E2463="Não","Não aplicável",IFERROR(IF(B2463="EU-ENV-002",IF(INDEX(tbl_recyclass[Conforme_PPWR_2030],MATCH(A2463,tbl_recyclass[ProductId],0))="Sim","Conforme (autoavaliação)",IF(INDEX(tbl_recyclass[Conforme_PPWR_2030],MATCH(A2463,tbl_recyclass[ProductId],0))="Não","Não conforme em 2030","Isento até 2035")),IF(B2463="EU-ENV-003",IF(INDEX(tbl_recyclass[Conforme_Art7_2030],MATCH(A2463,tbl_recyclass[ProductId],0))="Sim","Conforme (meta 2030)",IF(INDEX(tbl_recyclass[Conforme_Art7_2030],MATCH(A2463,tbl_recyclass[ProductId],0))="Não","Lacuna face à meta 2030","Isento")),IF(B2463="EU-ENV-011",IF(INDEX(tbl_familias_ppwr[Metais_Pesados_Evidencia],MATCH(INDEX(tbl_recyclass[Familia_PPWR],MATCH(A2463,tbl_recyclass[ProductId],0)),tbl_familias_ppwr[ID_Familia],0))="Em falta","Lacuna","Conforme"),IF(B2463="EU-ENV-013",IF(INDEX(tbl_familias_ppwr[Declaracao_UE],MATCH(INDEX(tbl_recyclass[Familia_PPWR],MATCH(A2463,tbl_recyclass[ProductId],0)),tbl_familias_ppwr[ID_Familia],0))="Sim","Conforme","Lacuna"),G2463)))),G2463))</f>
        <v>Não aplicável</v>
      </c>
      <c r="I2463" s="33" t="str">
        <f t="shared" si="38"/>
        <v>Não aplicável</v>
      </c>
      <c r="J2463" s="26"/>
    </row>
    <row r="2464" spans="1:10" ht="16.05" customHeight="1" x14ac:dyDescent="0.3">
      <c r="A2464" s="26" t="s">
        <v>878</v>
      </c>
      <c r="B2464" s="26" t="s">
        <v>1357</v>
      </c>
      <c r="C2464" s="33" t="str">
        <f>IFERROR(INDEX(tbl_requisitos_emb[Tema],MATCH(B2464,tbl_requisitos_emb[ID_Req],0)),"")</f>
        <v>Identificação de plásticos</v>
      </c>
      <c r="D2464" s="33" t="str">
        <f>IFERROR(INDEX(tbl_recyclass[Segmento],MATCH(A2464,tbl_recyclass[ProductId],0)),"")</f>
        <v>Cosmética e higiene pessoal</v>
      </c>
      <c r="E2464" s="26" t="s">
        <v>901</v>
      </c>
      <c r="F2464" s="26" t="s">
        <v>1449</v>
      </c>
      <c r="G2464" s="26" t="s">
        <v>978</v>
      </c>
      <c r="H2464" s="33" t="str">
        <f>IF(E2464="Não","Não aplicável",IFERROR(IF(B2464="EU-ENV-002",IF(INDEX(tbl_recyclass[Conforme_PPWR_2030],MATCH(A2464,tbl_recyclass[ProductId],0))="Sim","Conforme (autoavaliação)",IF(INDEX(tbl_recyclass[Conforme_PPWR_2030],MATCH(A2464,tbl_recyclass[ProductId],0))="Não","Não conforme em 2030","Isento até 2035")),IF(B2464="EU-ENV-003",IF(INDEX(tbl_recyclass[Conforme_Art7_2030],MATCH(A2464,tbl_recyclass[ProductId],0))="Sim","Conforme (meta 2030)",IF(INDEX(tbl_recyclass[Conforme_Art7_2030],MATCH(A2464,tbl_recyclass[ProductId],0))="Não","Lacuna face à meta 2030","Isento")),IF(B2464="EU-ENV-011",IF(INDEX(tbl_familias_ppwr[Metais_Pesados_Evidencia],MATCH(INDEX(tbl_recyclass[Familia_PPWR],MATCH(A2464,tbl_recyclass[ProductId],0)),tbl_familias_ppwr[ID_Familia],0))="Em falta","Lacuna","Conforme"),IF(B2464="EU-ENV-013",IF(INDEX(tbl_familias_ppwr[Declaracao_UE],MATCH(INDEX(tbl_recyclass[Familia_PPWR],MATCH(A2464,tbl_recyclass[ProductId],0)),tbl_familias_ppwr[ID_Familia],0))="Sim","Conforme","Lacuna"),G2464)))),G2464))</f>
        <v>Parcial</v>
      </c>
      <c r="I2464" s="33" t="str">
        <f t="shared" si="38"/>
        <v>Parcial</v>
      </c>
      <c r="J2464" s="26" t="s">
        <v>1362</v>
      </c>
    </row>
    <row r="2465" spans="1:10" ht="16.05" customHeight="1" x14ac:dyDescent="0.3">
      <c r="A2465" s="26" t="s">
        <v>878</v>
      </c>
      <c r="B2465" s="26" t="s">
        <v>1385</v>
      </c>
      <c r="C2465" s="33" t="str">
        <f>IFERROR(INDEX(tbl_requisitos_emb[Tema],MATCH(B2465,tbl_requisitos_emb[ID_Req],0)),"")</f>
        <v>Reciclabilidade (voluntária)</v>
      </c>
      <c r="D2465" s="33" t="str">
        <f>IFERROR(INDEX(tbl_recyclass[Segmento],MATCH(A2465,tbl_recyclass[ProductId],0)),"")</f>
        <v>Cosmética e higiene pessoal</v>
      </c>
      <c r="E2465" s="26" t="s">
        <v>901</v>
      </c>
      <c r="F2465" s="26" t="s">
        <v>1449</v>
      </c>
      <c r="G2465" s="26" t="s">
        <v>978</v>
      </c>
      <c r="H2465" s="33" t="str">
        <f>IF(E2465="Não","Não aplicável",IFERROR(IF(B2465="EU-ENV-002",IF(INDEX(tbl_recyclass[Conforme_PPWR_2030],MATCH(A2465,tbl_recyclass[ProductId],0))="Sim","Conforme (autoavaliação)",IF(INDEX(tbl_recyclass[Conforme_PPWR_2030],MATCH(A2465,tbl_recyclass[ProductId],0))="Não","Não conforme em 2030","Isento até 2035")),IF(B2465="EU-ENV-003",IF(INDEX(tbl_recyclass[Conforme_Art7_2030],MATCH(A2465,tbl_recyclass[ProductId],0))="Sim","Conforme (meta 2030)",IF(INDEX(tbl_recyclass[Conforme_Art7_2030],MATCH(A2465,tbl_recyclass[ProductId],0))="Não","Lacuna face à meta 2030","Isento")),IF(B2465="EU-ENV-011",IF(INDEX(tbl_familias_ppwr[Metais_Pesados_Evidencia],MATCH(INDEX(tbl_recyclass[Familia_PPWR],MATCH(A2465,tbl_recyclass[ProductId],0)),tbl_familias_ppwr[ID_Familia],0))="Em falta","Lacuna","Conforme"),IF(B2465="EU-ENV-013",IF(INDEX(tbl_familias_ppwr[Declaracao_UE],MATCH(INDEX(tbl_recyclass[Familia_PPWR],MATCH(A2465,tbl_recyclass[ProductId],0)),tbl_familias_ppwr[ID_Familia],0))="Sim","Conforme","Lacuna"),G2465)))),G2465))</f>
        <v>Parcial</v>
      </c>
      <c r="I2465" s="33" t="str">
        <f t="shared" si="38"/>
        <v>Parcial</v>
      </c>
      <c r="J2465" s="26" t="s">
        <v>1389</v>
      </c>
    </row>
    <row r="2466" spans="1:10" ht="16.05" customHeight="1" x14ac:dyDescent="0.3">
      <c r="A2466" s="26" t="s">
        <v>880</v>
      </c>
      <c r="B2466" s="26" t="s">
        <v>984</v>
      </c>
      <c r="C2466" s="33" t="str">
        <f>IFERROR(INDEX(tbl_requisitos_emb[Tema],MATCH(B2466,tbl_requisitos_emb[ID_Req],0)),"")</f>
        <v>Conceção para reciclagem</v>
      </c>
      <c r="D2466" s="33" t="str">
        <f>IFERROR(INDEX(tbl_recyclass[Segmento],MATCH(A2466,tbl_recyclass[ProductId],0)),"")</f>
        <v>Farmacêutico</v>
      </c>
      <c r="E2466" s="26" t="s">
        <v>901</v>
      </c>
      <c r="F2466" s="26" t="s">
        <v>1456</v>
      </c>
      <c r="G2466" s="26" t="s">
        <v>978</v>
      </c>
      <c r="H2466" s="33" t="str">
        <f>IF(E2466="Não","Não aplicável",IFERROR(IF(B2466="EU-ENV-002",IF(INDEX(tbl_recyclass[Conforme_PPWR_2030],MATCH(A2466,tbl_recyclass[ProductId],0))="Sim","Conforme (autoavaliação)",IF(INDEX(tbl_recyclass[Conforme_PPWR_2030],MATCH(A2466,tbl_recyclass[ProductId],0))="Não","Não conforme em 2030","Isento até 2035")),IF(B2466="EU-ENV-003",IF(INDEX(tbl_recyclass[Conforme_Art7_2030],MATCH(A2466,tbl_recyclass[ProductId],0))="Sim","Conforme (meta 2030)",IF(INDEX(tbl_recyclass[Conforme_Art7_2030],MATCH(A2466,tbl_recyclass[ProductId],0))="Não","Lacuna face à meta 2030","Isento")),IF(B2466="EU-ENV-011",IF(INDEX(tbl_familias_ppwr[Metais_Pesados_Evidencia],MATCH(INDEX(tbl_recyclass[Familia_PPWR],MATCH(A2466,tbl_recyclass[ProductId],0)),tbl_familias_ppwr[ID_Familia],0))="Em falta","Lacuna","Conforme"),IF(B2466="EU-ENV-013",IF(INDEX(tbl_familias_ppwr[Declaracao_UE],MATCH(INDEX(tbl_recyclass[Familia_PPWR],MATCH(A2466,tbl_recyclass[ProductId],0)),tbl_familias_ppwr[ID_Familia],0))="Sim","Conforme","Lacuna"),G2466)))),G2466))</f>
        <v>Isento até 2035</v>
      </c>
      <c r="I2466" s="33" t="str">
        <f t="shared" si="38"/>
        <v>Isento</v>
      </c>
      <c r="J2466" s="26" t="s">
        <v>991</v>
      </c>
    </row>
    <row r="2467" spans="1:10" ht="16.05" customHeight="1" x14ac:dyDescent="0.3">
      <c r="A2467" s="26" t="s">
        <v>880</v>
      </c>
      <c r="B2467" s="26" t="s">
        <v>997</v>
      </c>
      <c r="C2467" s="33" t="str">
        <f>IFERROR(INDEX(tbl_requisitos_emb[Tema],MATCH(B2467,tbl_requisitos_emb[ID_Req],0)),"")</f>
        <v>Conteúdo reciclado</v>
      </c>
      <c r="D2467" s="33" t="str">
        <f>IFERROR(INDEX(tbl_recyclass[Segmento],MATCH(A2467,tbl_recyclass[ProductId],0)),"")</f>
        <v>Farmacêutico</v>
      </c>
      <c r="E2467" s="26" t="s">
        <v>901</v>
      </c>
      <c r="F2467" s="26" t="s">
        <v>1456</v>
      </c>
      <c r="G2467" s="26" t="s">
        <v>978</v>
      </c>
      <c r="H2467" s="33" t="str">
        <f>IF(E2467="Não","Não aplicável",IFERROR(IF(B2467="EU-ENV-002",IF(INDEX(tbl_recyclass[Conforme_PPWR_2030],MATCH(A2467,tbl_recyclass[ProductId],0))="Sim","Conforme (autoavaliação)",IF(INDEX(tbl_recyclass[Conforme_PPWR_2030],MATCH(A2467,tbl_recyclass[ProductId],0))="Não","Não conforme em 2030","Isento até 2035")),IF(B2467="EU-ENV-003",IF(INDEX(tbl_recyclass[Conforme_Art7_2030],MATCH(A2467,tbl_recyclass[ProductId],0))="Sim","Conforme (meta 2030)",IF(INDEX(tbl_recyclass[Conforme_Art7_2030],MATCH(A2467,tbl_recyclass[ProductId],0))="Não","Lacuna face à meta 2030","Isento")),IF(B2467="EU-ENV-011",IF(INDEX(tbl_familias_ppwr[Metais_Pesados_Evidencia],MATCH(INDEX(tbl_recyclass[Familia_PPWR],MATCH(A2467,tbl_recyclass[ProductId],0)),tbl_familias_ppwr[ID_Familia],0))="Em falta","Lacuna","Conforme"),IF(B2467="EU-ENV-013",IF(INDEX(tbl_familias_ppwr[Declaracao_UE],MATCH(INDEX(tbl_recyclass[Familia_PPWR],MATCH(A2467,tbl_recyclass[ProductId],0)),tbl_familias_ppwr[ID_Familia],0))="Sim","Conforme","Lacuna"),G2467)))),G2467))</f>
        <v>Isento</v>
      </c>
      <c r="I2467" s="33" t="str">
        <f t="shared" si="38"/>
        <v>Isento</v>
      </c>
      <c r="J2467" s="26" t="s">
        <v>1001</v>
      </c>
    </row>
    <row r="2468" spans="1:10" ht="16.05" customHeight="1" x14ac:dyDescent="0.3">
      <c r="A2468" s="26" t="s">
        <v>880</v>
      </c>
      <c r="B2468" s="26" t="s">
        <v>1007</v>
      </c>
      <c r="C2468" s="33" t="str">
        <f>IFERROR(INDEX(tbl_requisitos_emb[Tema],MATCH(B2468,tbl_requisitos_emb[ID_Req],0)),"")</f>
        <v>Minimização</v>
      </c>
      <c r="D2468" s="33" t="str">
        <f>IFERROR(INDEX(tbl_recyclass[Segmento],MATCH(A2468,tbl_recyclass[ProductId],0)),"")</f>
        <v>Farmacêutico</v>
      </c>
      <c r="E2468" s="26" t="s">
        <v>901</v>
      </c>
      <c r="F2468" s="26" t="s">
        <v>1456</v>
      </c>
      <c r="G2468" s="26" t="s">
        <v>978</v>
      </c>
      <c r="H2468" s="33" t="str">
        <f>IF(E2468="Não","Não aplicável",IFERROR(IF(B2468="EU-ENV-002",IF(INDEX(tbl_recyclass[Conforme_PPWR_2030],MATCH(A2468,tbl_recyclass[ProductId],0))="Sim","Conforme (autoavaliação)",IF(INDEX(tbl_recyclass[Conforme_PPWR_2030],MATCH(A2468,tbl_recyclass[ProductId],0))="Não","Não conforme em 2030","Isento até 2035")),IF(B2468="EU-ENV-003",IF(INDEX(tbl_recyclass[Conforme_Art7_2030],MATCH(A2468,tbl_recyclass[ProductId],0))="Sim","Conforme (meta 2030)",IF(INDEX(tbl_recyclass[Conforme_Art7_2030],MATCH(A2468,tbl_recyclass[ProductId],0))="Não","Lacuna face à meta 2030","Isento")),IF(B2468="EU-ENV-011",IF(INDEX(tbl_familias_ppwr[Metais_Pesados_Evidencia],MATCH(INDEX(tbl_recyclass[Familia_PPWR],MATCH(A2468,tbl_recyclass[ProductId],0)),tbl_familias_ppwr[ID_Familia],0))="Em falta","Lacuna","Conforme"),IF(B2468="EU-ENV-013",IF(INDEX(tbl_familias_ppwr[Declaracao_UE],MATCH(INDEX(tbl_recyclass[Familia_PPWR],MATCH(A2468,tbl_recyclass[ProductId],0)),tbl_familias_ppwr[ID_Familia],0))="Sim","Conforme","Lacuna"),G2468)))),G2468))</f>
        <v>Parcial</v>
      </c>
      <c r="I2468" s="33" t="str">
        <f t="shared" si="38"/>
        <v>Parcial</v>
      </c>
      <c r="J2468" s="26" t="s">
        <v>1012</v>
      </c>
    </row>
    <row r="2469" spans="1:10" ht="16.05" customHeight="1" x14ac:dyDescent="0.3">
      <c r="A2469" s="26" t="s">
        <v>880</v>
      </c>
      <c r="B2469" s="26" t="s">
        <v>1016</v>
      </c>
      <c r="C2469" s="33" t="str">
        <f>IFERROR(INDEX(tbl_requisitos_emb[Tema],MATCH(B2469,tbl_requisitos_emb[ID_Req],0)),"")</f>
        <v>Rotulagem</v>
      </c>
      <c r="D2469" s="33" t="str">
        <f>IFERROR(INDEX(tbl_recyclass[Segmento],MATCH(A2469,tbl_recyclass[ProductId],0)),"")</f>
        <v>Farmacêutico</v>
      </c>
      <c r="E2469" s="26" t="s">
        <v>901</v>
      </c>
      <c r="F2469" s="26" t="s">
        <v>1456</v>
      </c>
      <c r="G2469" s="26" t="s">
        <v>990</v>
      </c>
      <c r="H2469" s="33" t="str">
        <f>IF(E2469="Não","Não aplicável",IFERROR(IF(B2469="EU-ENV-002",IF(INDEX(tbl_recyclass[Conforme_PPWR_2030],MATCH(A2469,tbl_recyclass[ProductId],0))="Sim","Conforme (autoavaliação)",IF(INDEX(tbl_recyclass[Conforme_PPWR_2030],MATCH(A2469,tbl_recyclass[ProductId],0))="Não","Não conforme em 2030","Isento até 2035")),IF(B2469="EU-ENV-003",IF(INDEX(tbl_recyclass[Conforme_Art7_2030],MATCH(A2469,tbl_recyclass[ProductId],0))="Sim","Conforme (meta 2030)",IF(INDEX(tbl_recyclass[Conforme_Art7_2030],MATCH(A2469,tbl_recyclass[ProductId],0))="Não","Lacuna face à meta 2030","Isento")),IF(B2469="EU-ENV-011",IF(INDEX(tbl_familias_ppwr[Metais_Pesados_Evidencia],MATCH(INDEX(tbl_recyclass[Familia_PPWR],MATCH(A2469,tbl_recyclass[ProductId],0)),tbl_familias_ppwr[ID_Familia],0))="Em falta","Lacuna","Conforme"),IF(B2469="EU-ENV-013",IF(INDEX(tbl_familias_ppwr[Declaracao_UE],MATCH(INDEX(tbl_recyclass[Familia_PPWR],MATCH(A2469,tbl_recyclass[ProductId],0)),tbl_familias_ppwr[ID_Familia],0))="Sim","Conforme","Lacuna"),G2469)))),G2469))</f>
        <v>Futuro</v>
      </c>
      <c r="I2469" s="33" t="str">
        <f t="shared" si="38"/>
        <v>Futuro</v>
      </c>
      <c r="J2469" s="26" t="s">
        <v>1021</v>
      </c>
    </row>
    <row r="2470" spans="1:10" ht="16.05" customHeight="1" x14ac:dyDescent="0.3">
      <c r="A2470" s="26" t="s">
        <v>880</v>
      </c>
      <c r="B2470" s="26" t="s">
        <v>1038</v>
      </c>
      <c r="C2470" s="33" t="str">
        <f>IFERROR(INDEX(tbl_requisitos_emb[Tema],MATCH(B2470,tbl_requisitos_emb[ID_Req],0)),"")</f>
        <v>Plásticos de utilização única</v>
      </c>
      <c r="D2470" s="33" t="str">
        <f>IFERROR(INDEX(tbl_recyclass[Segmento],MATCH(A2470,tbl_recyclass[ProductId],0)),"")</f>
        <v>Farmacêutico</v>
      </c>
      <c r="E2470" s="26" t="s">
        <v>904</v>
      </c>
      <c r="F2470" s="26" t="s">
        <v>1457</v>
      </c>
      <c r="G2470" s="26" t="s">
        <v>1143</v>
      </c>
      <c r="H2470" s="33" t="str">
        <f>IF(E2470="Não","Não aplicável",IFERROR(IF(B2470="EU-ENV-002",IF(INDEX(tbl_recyclass[Conforme_PPWR_2030],MATCH(A2470,tbl_recyclass[ProductId],0))="Sim","Conforme (autoavaliação)",IF(INDEX(tbl_recyclass[Conforme_PPWR_2030],MATCH(A2470,tbl_recyclass[ProductId],0))="Não","Não conforme em 2030","Isento até 2035")),IF(B2470="EU-ENV-003",IF(INDEX(tbl_recyclass[Conforme_Art7_2030],MATCH(A2470,tbl_recyclass[ProductId],0))="Sim","Conforme (meta 2030)",IF(INDEX(tbl_recyclass[Conforme_Art7_2030],MATCH(A2470,tbl_recyclass[ProductId],0))="Não","Lacuna face à meta 2030","Isento")),IF(B2470="EU-ENV-011",IF(INDEX(tbl_familias_ppwr[Metais_Pesados_Evidencia],MATCH(INDEX(tbl_recyclass[Familia_PPWR],MATCH(A2470,tbl_recyclass[ProductId],0)),tbl_familias_ppwr[ID_Familia],0))="Em falta","Lacuna","Conforme"),IF(B2470="EU-ENV-013",IF(INDEX(tbl_familias_ppwr[Declaracao_UE],MATCH(INDEX(tbl_recyclass[Familia_PPWR],MATCH(A2470,tbl_recyclass[ProductId],0)),tbl_familias_ppwr[ID_Familia],0))="Sim","Conforme","Lacuna"),G2470)))),G2470))</f>
        <v>Não aplicável</v>
      </c>
      <c r="I2470" s="33" t="str">
        <f t="shared" si="38"/>
        <v>Não aplicável</v>
      </c>
      <c r="J2470" s="26"/>
    </row>
    <row r="2471" spans="1:10" ht="16.05" customHeight="1" x14ac:dyDescent="0.3">
      <c r="A2471" s="26" t="s">
        <v>880</v>
      </c>
      <c r="B2471" s="26" t="s">
        <v>1078</v>
      </c>
      <c r="C2471" s="33" t="str">
        <f>IFERROR(INDEX(tbl_requisitos_emb[Tema],MATCH(B2471,tbl_requisitos_emb[ID_Req],0)),"")</f>
        <v>Reciclado à escala</v>
      </c>
      <c r="D2471" s="33" t="str">
        <f>IFERROR(INDEX(tbl_recyclass[Segmento],MATCH(A2471,tbl_recyclass[ProductId],0)),"")</f>
        <v>Farmacêutico</v>
      </c>
      <c r="E2471" s="26" t="s">
        <v>901</v>
      </c>
      <c r="F2471" s="26" t="s">
        <v>1456</v>
      </c>
      <c r="G2471" s="26" t="s">
        <v>990</v>
      </c>
      <c r="H2471" s="33" t="str">
        <f>IF(E2471="Não","Não aplicável",IFERROR(IF(B2471="EU-ENV-002",IF(INDEX(tbl_recyclass[Conforme_PPWR_2030],MATCH(A2471,tbl_recyclass[ProductId],0))="Sim","Conforme (autoavaliação)",IF(INDEX(tbl_recyclass[Conforme_PPWR_2030],MATCH(A2471,tbl_recyclass[ProductId],0))="Não","Não conforme em 2030","Isento até 2035")),IF(B2471="EU-ENV-003",IF(INDEX(tbl_recyclass[Conforme_Art7_2030],MATCH(A2471,tbl_recyclass[ProductId],0))="Sim","Conforme (meta 2030)",IF(INDEX(tbl_recyclass[Conforme_Art7_2030],MATCH(A2471,tbl_recyclass[ProductId],0))="Não","Lacuna face à meta 2030","Isento")),IF(B2471="EU-ENV-011",IF(INDEX(tbl_familias_ppwr[Metais_Pesados_Evidencia],MATCH(INDEX(tbl_recyclass[Familia_PPWR],MATCH(A2471,tbl_recyclass[ProductId],0)),tbl_familias_ppwr[ID_Familia],0))="Em falta","Lacuna","Conforme"),IF(B2471="EU-ENV-013",IF(INDEX(tbl_familias_ppwr[Declaracao_UE],MATCH(INDEX(tbl_recyclass[Familia_PPWR],MATCH(A2471,tbl_recyclass[ProductId],0)),tbl_familias_ppwr[ID_Familia],0))="Sim","Conforme","Lacuna"),G2471)))),G2471))</f>
        <v>Futuro</v>
      </c>
      <c r="I2471" s="33" t="str">
        <f t="shared" si="38"/>
        <v>Futuro</v>
      </c>
      <c r="J2471" s="26" t="s">
        <v>1082</v>
      </c>
    </row>
    <row r="2472" spans="1:10" ht="16.05" customHeight="1" x14ac:dyDescent="0.3">
      <c r="A2472" s="26" t="s">
        <v>880</v>
      </c>
      <c r="B2472" s="26" t="s">
        <v>1086</v>
      </c>
      <c r="C2472" s="33" t="str">
        <f>IFERROR(INDEX(tbl_requisitos_emb[Tema],MATCH(B2472,tbl_requisitos_emb[ID_Req],0)),"")</f>
        <v>Metais pesados</v>
      </c>
      <c r="D2472" s="33" t="str">
        <f>IFERROR(INDEX(tbl_recyclass[Segmento],MATCH(A2472,tbl_recyclass[ProductId],0)),"")</f>
        <v>Farmacêutico</v>
      </c>
      <c r="E2472" s="26" t="s">
        <v>901</v>
      </c>
      <c r="F2472" s="26" t="s">
        <v>1456</v>
      </c>
      <c r="G2472" s="26" t="s">
        <v>978</v>
      </c>
      <c r="H2472" s="33" t="str">
        <f>IF(E2472="Não","Não aplicável",IFERROR(IF(B2472="EU-ENV-002",IF(INDEX(tbl_recyclass[Conforme_PPWR_2030],MATCH(A2472,tbl_recyclass[ProductId],0))="Sim","Conforme (autoavaliação)",IF(INDEX(tbl_recyclass[Conforme_PPWR_2030],MATCH(A2472,tbl_recyclass[ProductId],0))="Não","Não conforme em 2030","Isento até 2035")),IF(B2472="EU-ENV-003",IF(INDEX(tbl_recyclass[Conforme_Art7_2030],MATCH(A2472,tbl_recyclass[ProductId],0))="Sim","Conforme (meta 2030)",IF(INDEX(tbl_recyclass[Conforme_Art7_2030],MATCH(A2472,tbl_recyclass[ProductId],0))="Não","Lacuna face à meta 2030","Isento")),IF(B2472="EU-ENV-011",IF(INDEX(tbl_familias_ppwr[Metais_Pesados_Evidencia],MATCH(INDEX(tbl_recyclass[Familia_PPWR],MATCH(A2472,tbl_recyclass[ProductId],0)),tbl_familias_ppwr[ID_Familia],0))="Em falta","Lacuna","Conforme"),IF(B2472="EU-ENV-013",IF(INDEX(tbl_familias_ppwr[Declaracao_UE],MATCH(INDEX(tbl_recyclass[Familia_PPWR],MATCH(A2472,tbl_recyclass[ProductId],0)),tbl_familias_ppwr[ID_Familia],0))="Sim","Conforme","Lacuna"),G2472)))),G2472))</f>
        <v>Lacuna</v>
      </c>
      <c r="I2472" s="33" t="str">
        <f t="shared" si="38"/>
        <v>Lacuna</v>
      </c>
      <c r="J2472" s="26" t="s">
        <v>1090</v>
      </c>
    </row>
    <row r="2473" spans="1:10" ht="16.05" customHeight="1" x14ac:dyDescent="0.3">
      <c r="A2473" s="26" t="s">
        <v>880</v>
      </c>
      <c r="B2473" s="26" t="s">
        <v>1094</v>
      </c>
      <c r="C2473" s="33" t="str">
        <f>IFERROR(INDEX(tbl_requisitos_emb[Tema],MATCH(B2473,tbl_requisitos_emb[ID_Req],0)),"")</f>
        <v>PFAS</v>
      </c>
      <c r="D2473" s="33" t="str">
        <f>IFERROR(INDEX(tbl_recyclass[Segmento],MATCH(A2473,tbl_recyclass[ProductId],0)),"")</f>
        <v>Farmacêutico</v>
      </c>
      <c r="E2473" s="26" t="s">
        <v>904</v>
      </c>
      <c r="F2473" s="26" t="s">
        <v>1457</v>
      </c>
      <c r="G2473" s="26" t="s">
        <v>1143</v>
      </c>
      <c r="H2473" s="33" t="str">
        <f>IF(E2473="Não","Não aplicável",IFERROR(IF(B2473="EU-ENV-002",IF(INDEX(tbl_recyclass[Conforme_PPWR_2030],MATCH(A2473,tbl_recyclass[ProductId],0))="Sim","Conforme (autoavaliação)",IF(INDEX(tbl_recyclass[Conforme_PPWR_2030],MATCH(A2473,tbl_recyclass[ProductId],0))="Não","Não conforme em 2030","Isento até 2035")),IF(B2473="EU-ENV-003",IF(INDEX(tbl_recyclass[Conforme_Art7_2030],MATCH(A2473,tbl_recyclass[ProductId],0))="Sim","Conforme (meta 2030)",IF(INDEX(tbl_recyclass[Conforme_Art7_2030],MATCH(A2473,tbl_recyclass[ProductId],0))="Não","Lacuna face à meta 2030","Isento")),IF(B2473="EU-ENV-011",IF(INDEX(tbl_familias_ppwr[Metais_Pesados_Evidencia],MATCH(INDEX(tbl_recyclass[Familia_PPWR],MATCH(A2473,tbl_recyclass[ProductId],0)),tbl_familias_ppwr[ID_Familia],0))="Em falta","Lacuna","Conforme"),IF(B2473="EU-ENV-013",IF(INDEX(tbl_familias_ppwr[Declaracao_UE],MATCH(INDEX(tbl_recyclass[Familia_PPWR],MATCH(A2473,tbl_recyclass[ProductId],0)),tbl_familias_ppwr[ID_Familia],0))="Sim","Conforme","Lacuna"),G2473)))),G2473))</f>
        <v>Não aplicável</v>
      </c>
      <c r="I2473" s="33" t="str">
        <f t="shared" si="38"/>
        <v>Não aplicável</v>
      </c>
      <c r="J2473" s="26"/>
    </row>
    <row r="2474" spans="1:10" ht="16.05" customHeight="1" x14ac:dyDescent="0.3">
      <c r="A2474" s="26" t="s">
        <v>880</v>
      </c>
      <c r="B2474" s="26" t="s">
        <v>1102</v>
      </c>
      <c r="C2474" s="33" t="str">
        <f>IFERROR(INDEX(tbl_requisitos_emb[Tema],MATCH(B2474,tbl_requisitos_emb[ID_Req],0)),"")</f>
        <v>Documentação técnica e declaração UE</v>
      </c>
      <c r="D2474" s="33" t="str">
        <f>IFERROR(INDEX(tbl_recyclass[Segmento],MATCH(A2474,tbl_recyclass[ProductId],0)),"")</f>
        <v>Farmacêutico</v>
      </c>
      <c r="E2474" s="26" t="s">
        <v>901</v>
      </c>
      <c r="F2474" s="26" t="s">
        <v>1456</v>
      </c>
      <c r="G2474" s="26" t="s">
        <v>978</v>
      </c>
      <c r="H2474" s="33" t="str">
        <f>IF(E2474="Não","Não aplicável",IFERROR(IF(B2474="EU-ENV-002",IF(INDEX(tbl_recyclass[Conforme_PPWR_2030],MATCH(A2474,tbl_recyclass[ProductId],0))="Sim","Conforme (autoavaliação)",IF(INDEX(tbl_recyclass[Conforme_PPWR_2030],MATCH(A2474,tbl_recyclass[ProductId],0))="Não","Não conforme em 2030","Isento até 2035")),IF(B2474="EU-ENV-003",IF(INDEX(tbl_recyclass[Conforme_Art7_2030],MATCH(A2474,tbl_recyclass[ProductId],0))="Sim","Conforme (meta 2030)",IF(INDEX(tbl_recyclass[Conforme_Art7_2030],MATCH(A2474,tbl_recyclass[ProductId],0))="Não","Lacuna face à meta 2030","Isento")),IF(B2474="EU-ENV-011",IF(INDEX(tbl_familias_ppwr[Metais_Pesados_Evidencia],MATCH(INDEX(tbl_recyclass[Familia_PPWR],MATCH(A2474,tbl_recyclass[ProductId],0)),tbl_familias_ppwr[ID_Familia],0))="Em falta","Lacuna","Conforme"),IF(B2474="EU-ENV-013",IF(INDEX(tbl_familias_ppwr[Declaracao_UE],MATCH(INDEX(tbl_recyclass[Familia_PPWR],MATCH(A2474,tbl_recyclass[ProductId],0)),tbl_familias_ppwr[ID_Familia],0))="Sim","Conforme","Lacuna"),G2474)))),G2474))</f>
        <v>Conforme</v>
      </c>
      <c r="I2474" s="33" t="str">
        <f t="shared" si="38"/>
        <v>Conforme</v>
      </c>
      <c r="J2474" s="26" t="s">
        <v>1106</v>
      </c>
    </row>
    <row r="2475" spans="1:10" ht="16.05" customHeight="1" x14ac:dyDescent="0.3">
      <c r="A2475" s="26" t="s">
        <v>880</v>
      </c>
      <c r="B2475" s="26" t="s">
        <v>1161</v>
      </c>
      <c r="C2475" s="33" t="str">
        <f>IFERROR(INDEX(tbl_requisitos_emb[Tema],MATCH(B2475,tbl_requisitos_emb[ID_Req],0)),"")</f>
        <v>Materiais em contacto com alimentos</v>
      </c>
      <c r="D2475" s="33" t="str">
        <f>IFERROR(INDEX(tbl_recyclass[Segmento],MATCH(A2475,tbl_recyclass[ProductId],0)),"")</f>
        <v>Farmacêutico</v>
      </c>
      <c r="E2475" s="26" t="s">
        <v>904</v>
      </c>
      <c r="F2475" s="26" t="s">
        <v>1457</v>
      </c>
      <c r="G2475" s="26" t="s">
        <v>1143</v>
      </c>
      <c r="H2475" s="33" t="str">
        <f>IF(E2475="Não","Não aplicável",IFERROR(IF(B2475="EU-ENV-002",IF(INDEX(tbl_recyclass[Conforme_PPWR_2030],MATCH(A2475,tbl_recyclass[ProductId],0))="Sim","Conforme (autoavaliação)",IF(INDEX(tbl_recyclass[Conforme_PPWR_2030],MATCH(A2475,tbl_recyclass[ProductId],0))="Não","Não conforme em 2030","Isento até 2035")),IF(B2475="EU-ENV-003",IF(INDEX(tbl_recyclass[Conforme_Art7_2030],MATCH(A2475,tbl_recyclass[ProductId],0))="Sim","Conforme (meta 2030)",IF(INDEX(tbl_recyclass[Conforme_Art7_2030],MATCH(A2475,tbl_recyclass[ProductId],0))="Não","Lacuna face à meta 2030","Isento")),IF(B2475="EU-ENV-011",IF(INDEX(tbl_familias_ppwr[Metais_Pesados_Evidencia],MATCH(INDEX(tbl_recyclass[Familia_PPWR],MATCH(A2475,tbl_recyclass[ProductId],0)),tbl_familias_ppwr[ID_Familia],0))="Em falta","Lacuna","Conforme"),IF(B2475="EU-ENV-013",IF(INDEX(tbl_familias_ppwr[Declaracao_UE],MATCH(INDEX(tbl_recyclass[Familia_PPWR],MATCH(A2475,tbl_recyclass[ProductId],0)),tbl_familias_ppwr[ID_Familia],0))="Sim","Conforme","Lacuna"),G2475)))),G2475))</f>
        <v>Não aplicável</v>
      </c>
      <c r="I2475" s="33" t="str">
        <f t="shared" si="38"/>
        <v>Não aplicável</v>
      </c>
      <c r="J2475" s="26"/>
    </row>
    <row r="2476" spans="1:10" ht="16.05" customHeight="1" x14ac:dyDescent="0.3">
      <c r="A2476" s="26" t="s">
        <v>880</v>
      </c>
      <c r="B2476" s="26" t="s">
        <v>1170</v>
      </c>
      <c r="C2476" s="33" t="str">
        <f>IFERROR(INDEX(tbl_requisitos_emb[Tema],MATCH(B2476,tbl_requisitos_emb[ID_Req],0)),"")</f>
        <v>Boas práticas de fabrico FCM</v>
      </c>
      <c r="D2476" s="33" t="str">
        <f>IFERROR(INDEX(tbl_recyclass[Segmento],MATCH(A2476,tbl_recyclass[ProductId],0)),"")</f>
        <v>Farmacêutico</v>
      </c>
      <c r="E2476" s="26" t="s">
        <v>904</v>
      </c>
      <c r="F2476" s="26" t="s">
        <v>1457</v>
      </c>
      <c r="G2476" s="26" t="s">
        <v>1143</v>
      </c>
      <c r="H2476" s="33" t="str">
        <f>IF(E2476="Não","Não aplicável",IFERROR(IF(B2476="EU-ENV-002",IF(INDEX(tbl_recyclass[Conforme_PPWR_2030],MATCH(A2476,tbl_recyclass[ProductId],0))="Sim","Conforme (autoavaliação)",IF(INDEX(tbl_recyclass[Conforme_PPWR_2030],MATCH(A2476,tbl_recyclass[ProductId],0))="Não","Não conforme em 2030","Isento até 2035")),IF(B2476="EU-ENV-003",IF(INDEX(tbl_recyclass[Conforme_Art7_2030],MATCH(A2476,tbl_recyclass[ProductId],0))="Sim","Conforme (meta 2030)",IF(INDEX(tbl_recyclass[Conforme_Art7_2030],MATCH(A2476,tbl_recyclass[ProductId],0))="Não","Lacuna face à meta 2030","Isento")),IF(B2476="EU-ENV-011",IF(INDEX(tbl_familias_ppwr[Metais_Pesados_Evidencia],MATCH(INDEX(tbl_recyclass[Familia_PPWR],MATCH(A2476,tbl_recyclass[ProductId],0)),tbl_familias_ppwr[ID_Familia],0))="Em falta","Lacuna","Conforme"),IF(B2476="EU-ENV-013",IF(INDEX(tbl_familias_ppwr[Declaracao_UE],MATCH(INDEX(tbl_recyclass[Familia_PPWR],MATCH(A2476,tbl_recyclass[ProductId],0)),tbl_familias_ppwr[ID_Familia],0))="Sim","Conforme","Lacuna"),G2476)))),G2476))</f>
        <v>Não aplicável</v>
      </c>
      <c r="I2476" s="33" t="str">
        <f t="shared" si="38"/>
        <v>Não aplicável</v>
      </c>
      <c r="J2476" s="26"/>
    </row>
    <row r="2477" spans="1:10" ht="16.05" customHeight="1" x14ac:dyDescent="0.3">
      <c r="A2477" s="26" t="s">
        <v>880</v>
      </c>
      <c r="B2477" s="26" t="s">
        <v>1179</v>
      </c>
      <c r="C2477" s="33" t="str">
        <f>IFERROR(INDEX(tbl_requisitos_emb[Tema],MATCH(B2477,tbl_requisitos_emb[ID_Req],0)),"")</f>
        <v>Bisfenol A e bisfenóis perigosos</v>
      </c>
      <c r="D2477" s="33" t="str">
        <f>IFERROR(INDEX(tbl_recyclass[Segmento],MATCH(A2477,tbl_recyclass[ProductId],0)),"")</f>
        <v>Farmacêutico</v>
      </c>
      <c r="E2477" s="26" t="s">
        <v>904</v>
      </c>
      <c r="F2477" s="26" t="s">
        <v>1457</v>
      </c>
      <c r="G2477" s="26" t="s">
        <v>1143</v>
      </c>
      <c r="H2477" s="33" t="str">
        <f>IF(E2477="Não","Não aplicável",IFERROR(IF(B2477="EU-ENV-002",IF(INDEX(tbl_recyclass[Conforme_PPWR_2030],MATCH(A2477,tbl_recyclass[ProductId],0))="Sim","Conforme (autoavaliação)",IF(INDEX(tbl_recyclass[Conforme_PPWR_2030],MATCH(A2477,tbl_recyclass[ProductId],0))="Não","Não conforme em 2030","Isento até 2035")),IF(B2477="EU-ENV-003",IF(INDEX(tbl_recyclass[Conforme_Art7_2030],MATCH(A2477,tbl_recyclass[ProductId],0))="Sim","Conforme (meta 2030)",IF(INDEX(tbl_recyclass[Conforme_Art7_2030],MATCH(A2477,tbl_recyclass[ProductId],0))="Não","Lacuna face à meta 2030","Isento")),IF(B2477="EU-ENV-011",IF(INDEX(tbl_familias_ppwr[Metais_Pesados_Evidencia],MATCH(INDEX(tbl_recyclass[Familia_PPWR],MATCH(A2477,tbl_recyclass[ProductId],0)),tbl_familias_ppwr[ID_Familia],0))="Em falta","Lacuna","Conforme"),IF(B2477="EU-ENV-013",IF(INDEX(tbl_familias_ppwr[Declaracao_UE],MATCH(INDEX(tbl_recyclass[Familia_PPWR],MATCH(A2477,tbl_recyclass[ProductId],0)),tbl_familias_ppwr[ID_Familia],0))="Sim","Conforme","Lacuna"),G2477)))),G2477))</f>
        <v>Não aplicável</v>
      </c>
      <c r="I2477" s="33" t="str">
        <f t="shared" si="38"/>
        <v>Não aplicável</v>
      </c>
      <c r="J2477" s="26"/>
    </row>
    <row r="2478" spans="1:10" ht="16.05" customHeight="1" x14ac:dyDescent="0.3">
      <c r="A2478" s="26" t="s">
        <v>880</v>
      </c>
      <c r="B2478" s="26" t="s">
        <v>1188</v>
      </c>
      <c r="C2478" s="33" t="str">
        <f>IFERROR(INDEX(tbl_requisitos_emb[Tema],MATCH(B2478,tbl_requisitos_emb[ID_Req],0)),"")</f>
        <v>Plásticos em contacto com alimentos</v>
      </c>
      <c r="D2478" s="33" t="str">
        <f>IFERROR(INDEX(tbl_recyclass[Segmento],MATCH(A2478,tbl_recyclass[ProductId],0)),"")</f>
        <v>Farmacêutico</v>
      </c>
      <c r="E2478" s="26" t="s">
        <v>904</v>
      </c>
      <c r="F2478" s="26" t="s">
        <v>1457</v>
      </c>
      <c r="G2478" s="26" t="s">
        <v>1143</v>
      </c>
      <c r="H2478" s="33" t="str">
        <f>IF(E2478="Não","Não aplicável",IFERROR(IF(B2478="EU-ENV-002",IF(INDEX(tbl_recyclass[Conforme_PPWR_2030],MATCH(A2478,tbl_recyclass[ProductId],0))="Sim","Conforme (autoavaliação)",IF(INDEX(tbl_recyclass[Conforme_PPWR_2030],MATCH(A2478,tbl_recyclass[ProductId],0))="Não","Não conforme em 2030","Isento até 2035")),IF(B2478="EU-ENV-003",IF(INDEX(tbl_recyclass[Conforme_Art7_2030],MATCH(A2478,tbl_recyclass[ProductId],0))="Sim","Conforme (meta 2030)",IF(INDEX(tbl_recyclass[Conforme_Art7_2030],MATCH(A2478,tbl_recyclass[ProductId],0))="Não","Lacuna face à meta 2030","Isento")),IF(B2478="EU-ENV-011",IF(INDEX(tbl_familias_ppwr[Metais_Pesados_Evidencia],MATCH(INDEX(tbl_recyclass[Familia_PPWR],MATCH(A2478,tbl_recyclass[ProductId],0)),tbl_familias_ppwr[ID_Familia],0))="Em falta","Lacuna","Conforme"),IF(B2478="EU-ENV-013",IF(INDEX(tbl_familias_ppwr[Declaracao_UE],MATCH(INDEX(tbl_recyclass[Familia_PPWR],MATCH(A2478,tbl_recyclass[ProductId],0)),tbl_familias_ppwr[ID_Familia],0))="Sim","Conforme","Lacuna"),G2478)))),G2478))</f>
        <v>Não aplicável</v>
      </c>
      <c r="I2478" s="33" t="str">
        <f t="shared" si="38"/>
        <v>Não aplicável</v>
      </c>
      <c r="J2478" s="26"/>
    </row>
    <row r="2479" spans="1:10" ht="16.05" customHeight="1" x14ac:dyDescent="0.3">
      <c r="A2479" s="26" t="s">
        <v>880</v>
      </c>
      <c r="B2479" s="26" t="s">
        <v>1212</v>
      </c>
      <c r="C2479" s="33" t="str">
        <f>IFERROR(INDEX(tbl_requisitos_emb[Tema],MATCH(B2479,tbl_requisitos_emb[ID_Req],0)),"")</f>
        <v>Segurança do produto cosmético</v>
      </c>
      <c r="D2479" s="33" t="str">
        <f>IFERROR(INDEX(tbl_recyclass[Segmento],MATCH(A2479,tbl_recyclass[ProductId],0)),"")</f>
        <v>Farmacêutico</v>
      </c>
      <c r="E2479" s="26" t="s">
        <v>904</v>
      </c>
      <c r="F2479" s="26" t="s">
        <v>1458</v>
      </c>
      <c r="G2479" s="26" t="s">
        <v>1143</v>
      </c>
      <c r="H2479" s="33" t="str">
        <f>IF(E2479="Não","Não aplicável",IFERROR(IF(B2479="EU-ENV-002",IF(INDEX(tbl_recyclass[Conforme_PPWR_2030],MATCH(A2479,tbl_recyclass[ProductId],0))="Sim","Conforme (autoavaliação)",IF(INDEX(tbl_recyclass[Conforme_PPWR_2030],MATCH(A2479,tbl_recyclass[ProductId],0))="Não","Não conforme em 2030","Isento até 2035")),IF(B2479="EU-ENV-003",IF(INDEX(tbl_recyclass[Conforme_Art7_2030],MATCH(A2479,tbl_recyclass[ProductId],0))="Sim","Conforme (meta 2030)",IF(INDEX(tbl_recyclass[Conforme_Art7_2030],MATCH(A2479,tbl_recyclass[ProductId],0))="Não","Lacuna face à meta 2030","Isento")),IF(B2479="EU-ENV-011",IF(INDEX(tbl_familias_ppwr[Metais_Pesados_Evidencia],MATCH(INDEX(tbl_recyclass[Familia_PPWR],MATCH(A2479,tbl_recyclass[ProductId],0)),tbl_familias_ppwr[ID_Familia],0))="Em falta","Lacuna","Conforme"),IF(B2479="EU-ENV-013",IF(INDEX(tbl_familias_ppwr[Declaracao_UE],MATCH(INDEX(tbl_recyclass[Familia_PPWR],MATCH(A2479,tbl_recyclass[ProductId],0)),tbl_familias_ppwr[ID_Familia],0))="Sim","Conforme","Lacuna"),G2479)))),G2479))</f>
        <v>Não aplicável</v>
      </c>
      <c r="I2479" s="33" t="str">
        <f t="shared" si="38"/>
        <v>Não aplicável</v>
      </c>
      <c r="J2479" s="26"/>
    </row>
    <row r="2480" spans="1:10" ht="16.05" customHeight="1" x14ac:dyDescent="0.3">
      <c r="A2480" s="26" t="s">
        <v>880</v>
      </c>
      <c r="B2480" s="26" t="s">
        <v>1224</v>
      </c>
      <c r="C2480" s="33" t="str">
        <f>IFERROR(INDEX(tbl_requisitos_emb[Tema],MATCH(B2480,tbl_requisitos_emb[ID_Req],0)),"")</f>
        <v>Materiais e impurezas</v>
      </c>
      <c r="D2480" s="33" t="str">
        <f>IFERROR(INDEX(tbl_recyclass[Segmento],MATCH(A2480,tbl_recyclass[ProductId],0)),"")</f>
        <v>Farmacêutico</v>
      </c>
      <c r="E2480" s="26" t="s">
        <v>904</v>
      </c>
      <c r="F2480" s="26" t="s">
        <v>1458</v>
      </c>
      <c r="G2480" s="26" t="s">
        <v>1143</v>
      </c>
      <c r="H2480" s="33" t="str">
        <f>IF(E2480="Não","Não aplicável",IFERROR(IF(B2480="EU-ENV-002",IF(INDEX(tbl_recyclass[Conforme_PPWR_2030],MATCH(A2480,tbl_recyclass[ProductId],0))="Sim","Conforme (autoavaliação)",IF(INDEX(tbl_recyclass[Conforme_PPWR_2030],MATCH(A2480,tbl_recyclass[ProductId],0))="Não","Não conforme em 2030","Isento até 2035")),IF(B2480="EU-ENV-003",IF(INDEX(tbl_recyclass[Conforme_Art7_2030],MATCH(A2480,tbl_recyclass[ProductId],0))="Sim","Conforme (meta 2030)",IF(INDEX(tbl_recyclass[Conforme_Art7_2030],MATCH(A2480,tbl_recyclass[ProductId],0))="Não","Lacuna face à meta 2030","Isento")),IF(B2480="EU-ENV-011",IF(INDEX(tbl_familias_ppwr[Metais_Pesados_Evidencia],MATCH(INDEX(tbl_recyclass[Familia_PPWR],MATCH(A2480,tbl_recyclass[ProductId],0)),tbl_familias_ppwr[ID_Familia],0))="Em falta","Lacuna","Conforme"),IF(B2480="EU-ENV-013",IF(INDEX(tbl_familias_ppwr[Declaracao_UE],MATCH(INDEX(tbl_recyclass[Familia_PPWR],MATCH(A2480,tbl_recyclass[ProductId],0)),tbl_familias_ppwr[ID_Familia],0))="Sim","Conforme","Lacuna"),G2480)))),G2480))</f>
        <v>Não aplicável</v>
      </c>
      <c r="I2480" s="33" t="str">
        <f t="shared" si="38"/>
        <v>Não aplicável</v>
      </c>
      <c r="J2480" s="26"/>
    </row>
    <row r="2481" spans="1:10" ht="16.05" customHeight="1" x14ac:dyDescent="0.3">
      <c r="A2481" s="26" t="s">
        <v>880</v>
      </c>
      <c r="B2481" s="26" t="s">
        <v>1240</v>
      </c>
      <c r="C2481" s="33" t="str">
        <f>IFERROR(INDEX(tbl_requisitos_emb[Tema],MATCH(B2481,tbl_requisitos_emb[ID_Req],0)),"")</f>
        <v>Compatibilidade embalagem–produto</v>
      </c>
      <c r="D2481" s="33" t="str">
        <f>IFERROR(INDEX(tbl_recyclass[Segmento],MATCH(A2481,tbl_recyclass[ProductId],0)),"")</f>
        <v>Farmacêutico</v>
      </c>
      <c r="E2481" s="26" t="s">
        <v>904</v>
      </c>
      <c r="F2481" s="26" t="s">
        <v>1458</v>
      </c>
      <c r="G2481" s="26" t="s">
        <v>1143</v>
      </c>
      <c r="H2481" s="33" t="str">
        <f>IF(E2481="Não","Não aplicável",IFERROR(IF(B2481="EU-ENV-002",IF(INDEX(tbl_recyclass[Conforme_PPWR_2030],MATCH(A2481,tbl_recyclass[ProductId],0))="Sim","Conforme (autoavaliação)",IF(INDEX(tbl_recyclass[Conforme_PPWR_2030],MATCH(A2481,tbl_recyclass[ProductId],0))="Não","Não conforme em 2030","Isento até 2035")),IF(B2481="EU-ENV-003",IF(INDEX(tbl_recyclass[Conforme_Art7_2030],MATCH(A2481,tbl_recyclass[ProductId],0))="Sim","Conforme (meta 2030)",IF(INDEX(tbl_recyclass[Conforme_Art7_2030],MATCH(A2481,tbl_recyclass[ProductId],0))="Não","Lacuna face à meta 2030","Isento")),IF(B2481="EU-ENV-011",IF(INDEX(tbl_familias_ppwr[Metais_Pesados_Evidencia],MATCH(INDEX(tbl_recyclass[Familia_PPWR],MATCH(A2481,tbl_recyclass[ProductId],0)),tbl_familias_ppwr[ID_Familia],0))="Em falta","Lacuna","Conforme"),IF(B2481="EU-ENV-013",IF(INDEX(tbl_familias_ppwr[Declaracao_UE],MATCH(INDEX(tbl_recyclass[Familia_PPWR],MATCH(A2481,tbl_recyclass[ProductId],0)),tbl_familias_ppwr[ID_Familia],0))="Sim","Conforme","Lacuna"),G2481)))),G2481))</f>
        <v>Não aplicável</v>
      </c>
      <c r="I2481" s="33" t="str">
        <f t="shared" si="38"/>
        <v>Não aplicável</v>
      </c>
      <c r="J2481" s="26"/>
    </row>
    <row r="2482" spans="1:10" ht="16.05" customHeight="1" x14ac:dyDescent="0.3">
      <c r="A2482" s="26" t="s">
        <v>880</v>
      </c>
      <c r="B2482" s="26" t="s">
        <v>1252</v>
      </c>
      <c r="C2482" s="33" t="str">
        <f>IFERROR(INDEX(tbl_requisitos_emb[Tema],MATCH(B2482,tbl_requisitos_emb[ID_Req],0)),"")</f>
        <v>Medicamentos de uso humano</v>
      </c>
      <c r="D2482" s="33" t="str">
        <f>IFERROR(INDEX(tbl_recyclass[Segmento],MATCH(A2482,tbl_recyclass[ProductId],0)),"")</f>
        <v>Farmacêutico</v>
      </c>
      <c r="E2482" s="26" t="s">
        <v>901</v>
      </c>
      <c r="F2482" s="26" t="s">
        <v>1456</v>
      </c>
      <c r="G2482" s="26" t="s">
        <v>1033</v>
      </c>
      <c r="H2482" s="33" t="str">
        <f>IF(E2482="Não","Não aplicável",IFERROR(IF(B2482="EU-ENV-002",IF(INDEX(tbl_recyclass[Conforme_PPWR_2030],MATCH(A2482,tbl_recyclass[ProductId],0))="Sim","Conforme (autoavaliação)",IF(INDEX(tbl_recyclass[Conforme_PPWR_2030],MATCH(A2482,tbl_recyclass[ProductId],0))="Não","Não conforme em 2030","Isento até 2035")),IF(B2482="EU-ENV-003",IF(INDEX(tbl_recyclass[Conforme_Art7_2030],MATCH(A2482,tbl_recyclass[ProductId],0))="Sim","Conforme (meta 2030)",IF(INDEX(tbl_recyclass[Conforme_Art7_2030],MATCH(A2482,tbl_recyclass[ProductId],0))="Não","Lacuna face à meta 2030","Isento")),IF(B2482="EU-ENV-011",IF(INDEX(tbl_familias_ppwr[Metais_Pesados_Evidencia],MATCH(INDEX(tbl_recyclass[Familia_PPWR],MATCH(A2482,tbl_recyclass[ProductId],0)),tbl_familias_ppwr[ID_Familia],0))="Em falta","Lacuna","Conforme"),IF(B2482="EU-ENV-013",IF(INDEX(tbl_familias_ppwr[Declaracao_UE],MATCH(INDEX(tbl_recyclass[Familia_PPWR],MATCH(A2482,tbl_recyclass[ProductId],0)),tbl_familias_ppwr[ID_Familia],0))="Sim","Conforme","Lacuna"),G2482)))),G2482))</f>
        <v>Conforme</v>
      </c>
      <c r="I2482" s="33" t="str">
        <f t="shared" si="38"/>
        <v>Conforme</v>
      </c>
      <c r="J2482" s="26" t="s">
        <v>1259</v>
      </c>
    </row>
    <row r="2483" spans="1:10" ht="16.05" customHeight="1" x14ac:dyDescent="0.3">
      <c r="A2483" s="26" t="s">
        <v>880</v>
      </c>
      <c r="B2483" s="26" t="s">
        <v>1268</v>
      </c>
      <c r="C2483" s="33" t="str">
        <f>IFERROR(INDEX(tbl_requisitos_emb[Tema],MATCH(B2483,tbl_requisitos_emb[ID_Req],0)),"")</f>
        <v>Dispositivos de segurança</v>
      </c>
      <c r="D2483" s="33" t="str">
        <f>IFERROR(INDEX(tbl_recyclass[Segmento],MATCH(A2483,tbl_recyclass[ProductId],0)),"")</f>
        <v>Farmacêutico</v>
      </c>
      <c r="E2483" s="26" t="s">
        <v>904</v>
      </c>
      <c r="F2483" s="26" t="s">
        <v>1459</v>
      </c>
      <c r="G2483" s="26" t="s">
        <v>1143</v>
      </c>
      <c r="H2483" s="33" t="str">
        <f>IF(E2483="Não","Não aplicável",IFERROR(IF(B2483="EU-ENV-002",IF(INDEX(tbl_recyclass[Conforme_PPWR_2030],MATCH(A2483,tbl_recyclass[ProductId],0))="Sim","Conforme (autoavaliação)",IF(INDEX(tbl_recyclass[Conforme_PPWR_2030],MATCH(A2483,tbl_recyclass[ProductId],0))="Não","Não conforme em 2030","Isento até 2035")),IF(B2483="EU-ENV-003",IF(INDEX(tbl_recyclass[Conforme_Art7_2030],MATCH(A2483,tbl_recyclass[ProductId],0))="Sim","Conforme (meta 2030)",IF(INDEX(tbl_recyclass[Conforme_Art7_2030],MATCH(A2483,tbl_recyclass[ProductId],0))="Não","Lacuna face à meta 2030","Isento")),IF(B2483="EU-ENV-011",IF(INDEX(tbl_familias_ppwr[Metais_Pesados_Evidencia],MATCH(INDEX(tbl_recyclass[Familia_PPWR],MATCH(A2483,tbl_recyclass[ProductId],0)),tbl_familias_ppwr[ID_Familia],0))="Em falta","Lacuna","Conforme"),IF(B2483="EU-ENV-013",IF(INDEX(tbl_familias_ppwr[Declaracao_UE],MATCH(INDEX(tbl_recyclass[Familia_PPWR],MATCH(A2483,tbl_recyclass[ProductId],0)),tbl_familias_ppwr[ID_Familia],0))="Sim","Conforme","Lacuna"),G2483)))),G2483))</f>
        <v>Não aplicável</v>
      </c>
      <c r="I2483" s="33" t="str">
        <f t="shared" si="38"/>
        <v>Não aplicável</v>
      </c>
      <c r="J2483" s="26"/>
    </row>
    <row r="2484" spans="1:10" ht="16.05" customHeight="1" x14ac:dyDescent="0.3">
      <c r="A2484" s="26" t="s">
        <v>880</v>
      </c>
      <c r="B2484" s="26" t="s">
        <v>1285</v>
      </c>
      <c r="C2484" s="33" t="str">
        <f>IFERROR(INDEX(tbl_requisitos_emb[Tema],MATCH(B2484,tbl_requisitos_emb[ID_Req],0)),"")</f>
        <v>Materiais plásticos de acondicionamento primário</v>
      </c>
      <c r="D2484" s="33" t="str">
        <f>IFERROR(INDEX(tbl_recyclass[Segmento],MATCH(A2484,tbl_recyclass[ProductId],0)),"")</f>
        <v>Farmacêutico</v>
      </c>
      <c r="E2484" s="26" t="s">
        <v>901</v>
      </c>
      <c r="F2484" s="26" t="s">
        <v>1456</v>
      </c>
      <c r="G2484" s="26" t="s">
        <v>978</v>
      </c>
      <c r="H2484" s="33" t="str">
        <f>IF(E2484="Não","Não aplicável",IFERROR(IF(B2484="EU-ENV-002",IF(INDEX(tbl_recyclass[Conforme_PPWR_2030],MATCH(A2484,tbl_recyclass[ProductId],0))="Sim","Conforme (autoavaliação)",IF(INDEX(tbl_recyclass[Conforme_PPWR_2030],MATCH(A2484,tbl_recyclass[ProductId],0))="Não","Não conforme em 2030","Isento até 2035")),IF(B2484="EU-ENV-003",IF(INDEX(tbl_recyclass[Conforme_Art7_2030],MATCH(A2484,tbl_recyclass[ProductId],0))="Sim","Conforme (meta 2030)",IF(INDEX(tbl_recyclass[Conforme_Art7_2030],MATCH(A2484,tbl_recyclass[ProductId],0))="Não","Lacuna face à meta 2030","Isento")),IF(B2484="EU-ENV-011",IF(INDEX(tbl_familias_ppwr[Metais_Pesados_Evidencia],MATCH(INDEX(tbl_recyclass[Familia_PPWR],MATCH(A2484,tbl_recyclass[ProductId],0)),tbl_familias_ppwr[ID_Familia],0))="Em falta","Lacuna","Conforme"),IF(B2484="EU-ENV-013",IF(INDEX(tbl_familias_ppwr[Declaracao_UE],MATCH(INDEX(tbl_recyclass[Familia_PPWR],MATCH(A2484,tbl_recyclass[ProductId],0)),tbl_familias_ppwr[ID_Familia],0))="Sim","Conforme","Lacuna"),G2484)))),G2484))</f>
        <v>Parcial</v>
      </c>
      <c r="I2484" s="33" t="str">
        <f t="shared" si="38"/>
        <v>Parcial</v>
      </c>
      <c r="J2484" s="26" t="s">
        <v>1290</v>
      </c>
    </row>
    <row r="2485" spans="1:10" ht="16.05" customHeight="1" x14ac:dyDescent="0.3">
      <c r="A2485" s="26" t="s">
        <v>880</v>
      </c>
      <c r="B2485" s="26" t="s">
        <v>1293</v>
      </c>
      <c r="C2485" s="33" t="str">
        <f>IFERROR(INDEX(tbl_requisitos_emb[Tema],MATCH(B2485,tbl_requisitos_emb[ID_Req],0)),"")</f>
        <v>Isenções PPWR</v>
      </c>
      <c r="D2485" s="33" t="str">
        <f>IFERROR(INDEX(tbl_recyclass[Segmento],MATCH(A2485,tbl_recyclass[ProductId],0)),"")</f>
        <v>Farmacêutico</v>
      </c>
      <c r="E2485" s="26" t="s">
        <v>901</v>
      </c>
      <c r="F2485" s="26" t="s">
        <v>1456</v>
      </c>
      <c r="G2485" s="26" t="s">
        <v>978</v>
      </c>
      <c r="H2485" s="33" t="str">
        <f>IF(E2485="Não","Não aplicável",IFERROR(IF(B2485="EU-ENV-002",IF(INDEX(tbl_recyclass[Conforme_PPWR_2030],MATCH(A2485,tbl_recyclass[ProductId],0))="Sim","Conforme (autoavaliação)",IF(INDEX(tbl_recyclass[Conforme_PPWR_2030],MATCH(A2485,tbl_recyclass[ProductId],0))="Não","Não conforme em 2030","Isento até 2035")),IF(B2485="EU-ENV-003",IF(INDEX(tbl_recyclass[Conforme_Art7_2030],MATCH(A2485,tbl_recyclass[ProductId],0))="Sim","Conforme (meta 2030)",IF(INDEX(tbl_recyclass[Conforme_Art7_2030],MATCH(A2485,tbl_recyclass[ProductId],0))="Não","Lacuna face à meta 2030","Isento")),IF(B2485="EU-ENV-011",IF(INDEX(tbl_familias_ppwr[Metais_Pesados_Evidencia],MATCH(INDEX(tbl_recyclass[Familia_PPWR],MATCH(A2485,tbl_recyclass[ProductId],0)),tbl_familias_ppwr[ID_Familia],0))="Em falta","Lacuna","Conforme"),IF(B2485="EU-ENV-013",IF(INDEX(tbl_familias_ppwr[Declaracao_UE],MATCH(INDEX(tbl_recyclass[Familia_PPWR],MATCH(A2485,tbl_recyclass[ProductId],0)),tbl_familias_ppwr[ID_Familia],0))="Sim","Conforme","Lacuna"),G2485)))),G2485))</f>
        <v>Parcial</v>
      </c>
      <c r="I2485" s="33" t="str">
        <f t="shared" si="38"/>
        <v>Parcial</v>
      </c>
      <c r="J2485" s="26" t="s">
        <v>1298</v>
      </c>
    </row>
    <row r="2486" spans="1:10" ht="16.05" customHeight="1" x14ac:dyDescent="0.3">
      <c r="A2486" s="26" t="s">
        <v>880</v>
      </c>
      <c r="B2486" s="26" t="s">
        <v>1357</v>
      </c>
      <c r="C2486" s="33" t="str">
        <f>IFERROR(INDEX(tbl_requisitos_emb[Tema],MATCH(B2486,tbl_requisitos_emb[ID_Req],0)),"")</f>
        <v>Identificação de plásticos</v>
      </c>
      <c r="D2486" s="33" t="str">
        <f>IFERROR(INDEX(tbl_recyclass[Segmento],MATCH(A2486,tbl_recyclass[ProductId],0)),"")</f>
        <v>Farmacêutico</v>
      </c>
      <c r="E2486" s="26" t="s">
        <v>901</v>
      </c>
      <c r="F2486" s="26" t="s">
        <v>1456</v>
      </c>
      <c r="G2486" s="26" t="s">
        <v>978</v>
      </c>
      <c r="H2486" s="33" t="str">
        <f>IF(E2486="Não","Não aplicável",IFERROR(IF(B2486="EU-ENV-002",IF(INDEX(tbl_recyclass[Conforme_PPWR_2030],MATCH(A2486,tbl_recyclass[ProductId],0))="Sim","Conforme (autoavaliação)",IF(INDEX(tbl_recyclass[Conforme_PPWR_2030],MATCH(A2486,tbl_recyclass[ProductId],0))="Não","Não conforme em 2030","Isento até 2035")),IF(B2486="EU-ENV-003",IF(INDEX(tbl_recyclass[Conforme_Art7_2030],MATCH(A2486,tbl_recyclass[ProductId],0))="Sim","Conforme (meta 2030)",IF(INDEX(tbl_recyclass[Conforme_Art7_2030],MATCH(A2486,tbl_recyclass[ProductId],0))="Não","Lacuna face à meta 2030","Isento")),IF(B2486="EU-ENV-011",IF(INDEX(tbl_familias_ppwr[Metais_Pesados_Evidencia],MATCH(INDEX(tbl_recyclass[Familia_PPWR],MATCH(A2486,tbl_recyclass[ProductId],0)),tbl_familias_ppwr[ID_Familia],0))="Em falta","Lacuna","Conforme"),IF(B2486="EU-ENV-013",IF(INDEX(tbl_familias_ppwr[Declaracao_UE],MATCH(INDEX(tbl_recyclass[Familia_PPWR],MATCH(A2486,tbl_recyclass[ProductId],0)),tbl_familias_ppwr[ID_Familia],0))="Sim","Conforme","Lacuna"),G2486)))),G2486))</f>
        <v>Parcial</v>
      </c>
      <c r="I2486" s="33" t="str">
        <f t="shared" si="38"/>
        <v>Parcial</v>
      </c>
      <c r="J2486" s="26" t="s">
        <v>1362</v>
      </c>
    </row>
    <row r="2487" spans="1:10" ht="16.05" customHeight="1" x14ac:dyDescent="0.3">
      <c r="A2487" s="26" t="s">
        <v>880</v>
      </c>
      <c r="B2487" s="26" t="s">
        <v>1385</v>
      </c>
      <c r="C2487" s="33" t="str">
        <f>IFERROR(INDEX(tbl_requisitos_emb[Tema],MATCH(B2487,tbl_requisitos_emb[ID_Req],0)),"")</f>
        <v>Reciclabilidade (voluntária)</v>
      </c>
      <c r="D2487" s="33" t="str">
        <f>IFERROR(INDEX(tbl_recyclass[Segmento],MATCH(A2487,tbl_recyclass[ProductId],0)),"")</f>
        <v>Farmacêutico</v>
      </c>
      <c r="E2487" s="26" t="s">
        <v>901</v>
      </c>
      <c r="F2487" s="26" t="s">
        <v>1456</v>
      </c>
      <c r="G2487" s="26" t="s">
        <v>978</v>
      </c>
      <c r="H2487" s="33" t="str">
        <f>IF(E2487="Não","Não aplicável",IFERROR(IF(B2487="EU-ENV-002",IF(INDEX(tbl_recyclass[Conforme_PPWR_2030],MATCH(A2487,tbl_recyclass[ProductId],0))="Sim","Conforme (autoavaliação)",IF(INDEX(tbl_recyclass[Conforme_PPWR_2030],MATCH(A2487,tbl_recyclass[ProductId],0))="Não","Não conforme em 2030","Isento até 2035")),IF(B2487="EU-ENV-003",IF(INDEX(tbl_recyclass[Conforme_Art7_2030],MATCH(A2487,tbl_recyclass[ProductId],0))="Sim","Conforme (meta 2030)",IF(INDEX(tbl_recyclass[Conforme_Art7_2030],MATCH(A2487,tbl_recyclass[ProductId],0))="Não","Lacuna face à meta 2030","Isento")),IF(B2487="EU-ENV-011",IF(INDEX(tbl_familias_ppwr[Metais_Pesados_Evidencia],MATCH(INDEX(tbl_recyclass[Familia_PPWR],MATCH(A2487,tbl_recyclass[ProductId],0)),tbl_familias_ppwr[ID_Familia],0))="Em falta","Lacuna","Conforme"),IF(B2487="EU-ENV-013",IF(INDEX(tbl_familias_ppwr[Declaracao_UE],MATCH(INDEX(tbl_recyclass[Familia_PPWR],MATCH(A2487,tbl_recyclass[ProductId],0)),tbl_familias_ppwr[ID_Familia],0))="Sim","Conforme","Lacuna"),G2487)))),G2487))</f>
        <v>Parcial</v>
      </c>
      <c r="I2487" s="33" t="str">
        <f t="shared" si="38"/>
        <v>Parcial</v>
      </c>
      <c r="J2487" s="26" t="s">
        <v>1389</v>
      </c>
    </row>
  </sheetData>
  <conditionalFormatting sqref="I2:I2687">
    <cfRule type="expression" dxfId="26" priority="1">
      <formula>ISNUMBER(SEARCH("Não conforme",I2))</formula>
    </cfRule>
    <cfRule type="expression" dxfId="25" priority="2">
      <formula>ISNUMBER(SEARCH("Lacuna",I2))</formula>
    </cfRule>
    <cfRule type="expression" dxfId="24" priority="3">
      <formula>ISNUMBER(SEARCH("Parcial",I2))</formula>
    </cfRule>
    <cfRule type="expression" dxfId="23" priority="4">
      <formula>ISNUMBER(SEARCH("Conforme",I2))</formula>
    </cfRule>
    <cfRule type="expression" dxfId="22" priority="5">
      <formula>ISNUMBER(SEARCH("Isento",I2))</formula>
    </cfRule>
    <cfRule type="expression" dxfId="21" priority="6">
      <formula>ISNUMBER(SEARCH("Em avaliação",I2))</formula>
    </cfRule>
    <cfRule type="expression" dxfId="20" priority="7">
      <formula>ISNUMBER(SEARCH("Futuro",I2))</formula>
    </cfRule>
  </conditionalFormatting>
  <dataValidations count="2">
    <dataValidation type="list" allowBlank="1" showErrorMessage="1" errorTitle="Valor inválido" error="Valor fora da lista controlada (ver folha Listas)." sqref="E2:E2687" xr:uid="{00000000-0002-0000-0B00-000000000000}">
      <formula1>lst_SimNao</formula1>
    </dataValidation>
    <dataValidation type="list" allowBlank="1" showErrorMessage="1" errorTitle="Valor inválido" error="Valor fora da lista controlada (ver folha Listas)." sqref="G2:G2687" xr:uid="{00000000-0002-0000-0B00-000001000000}">
      <formula1>lst_EstadoReq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M686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10" customWidth="1"/>
    <col min="3" max="3" width="5" customWidth="1"/>
    <col min="4" max="4" width="10" customWidth="1"/>
    <col min="5" max="5" width="7" customWidth="1"/>
    <col min="6" max="6" width="11" customWidth="1"/>
    <col min="7" max="7" width="8" customWidth="1"/>
    <col min="8" max="8" width="10" customWidth="1"/>
    <col min="9" max="9" width="7" customWidth="1"/>
    <col min="10" max="12" width="10" customWidth="1"/>
    <col min="13" max="13" width="12" customWidth="1"/>
  </cols>
  <sheetData>
    <row r="1" spans="1:13" ht="39.6" x14ac:dyDescent="0.3">
      <c r="A1" s="12" t="s">
        <v>513</v>
      </c>
      <c r="B1" s="12" t="s">
        <v>885</v>
      </c>
      <c r="C1" s="12" t="s">
        <v>1460</v>
      </c>
      <c r="D1" s="12" t="s">
        <v>1461</v>
      </c>
      <c r="E1" s="12" t="s">
        <v>1462</v>
      </c>
      <c r="F1" s="12" t="s">
        <v>1463</v>
      </c>
      <c r="G1" s="30" t="s">
        <v>1464</v>
      </c>
      <c r="H1" s="30" t="s">
        <v>1465</v>
      </c>
      <c r="I1" s="30" t="s">
        <v>218</v>
      </c>
      <c r="J1" s="30" t="s">
        <v>1466</v>
      </c>
      <c r="K1" s="30" t="s">
        <v>1467</v>
      </c>
      <c r="L1" s="30" t="s">
        <v>1468</v>
      </c>
      <c r="M1" s="30" t="s">
        <v>1469</v>
      </c>
    </row>
    <row r="2" spans="1:13" ht="16.05" customHeight="1" x14ac:dyDescent="0.3">
      <c r="A2" s="26" t="s">
        <v>843</v>
      </c>
      <c r="B2" s="26" t="s">
        <v>1470</v>
      </c>
      <c r="C2" s="26" t="s">
        <v>847</v>
      </c>
      <c r="D2" s="26" t="s">
        <v>1471</v>
      </c>
      <c r="E2" s="39">
        <v>2</v>
      </c>
      <c r="F2" s="37">
        <v>117654</v>
      </c>
      <c r="G2" s="38">
        <f>IFERROR(IF(B2="Tampa",INDEX(tbl_tampas[Massa_g],MATCH(A2,tbl_tampas[CapId],0)),INDEX(tbl_recyclass[Massa_Corpo_g],MATCH(A2,tbl_recyclass[ProductId],0))),0)</f>
        <v>49.1</v>
      </c>
      <c r="H2" s="32">
        <f t="shared" ref="H2:H65" si="0">F2*G2/1000</f>
        <v>5776.8114000000005</v>
      </c>
      <c r="I2" s="36">
        <f>IFERROR(IF(B2="Tampa",INDEX(tbl_tampas[Pct_PCR],MATCH(A2,tbl_tampas[CapId],0)),INDEX(tbl_recyclass[Pct_PCR_Corpo],MATCH(A2,tbl_recyclass[ProductId],0))),0)</f>
        <v>0</v>
      </c>
      <c r="J2" s="32">
        <f t="shared" ref="J2:J65" si="1">H2*I2</f>
        <v>0</v>
      </c>
      <c r="K2" s="32">
        <f t="shared" ref="K2:K65" si="2">H2-J2</f>
        <v>5776.8114000000005</v>
      </c>
      <c r="L2" s="43">
        <f>IF(C2="ES",K2*INDEX(tbl_param_emb[Valor],MATCH("P-01",tbl_param_emb[ID_Parametro],0)),0)</f>
        <v>0</v>
      </c>
      <c r="M2" s="33" t="str">
        <f>IF(B2="Tampa","Componente",IFERROR(INDEX(tbl_recyclass[Grau_PPWR_Indicativo],MATCH(A2,tbl_recyclass[ProductId],0)),""))</f>
        <v>A</v>
      </c>
    </row>
    <row r="3" spans="1:13" ht="16.05" customHeight="1" x14ac:dyDescent="0.3">
      <c r="A3" s="26" t="s">
        <v>849</v>
      </c>
      <c r="B3" s="26" t="s">
        <v>1470</v>
      </c>
      <c r="C3" s="26" t="s">
        <v>847</v>
      </c>
      <c r="D3" s="26" t="s">
        <v>1471</v>
      </c>
      <c r="E3" s="39">
        <v>2</v>
      </c>
      <c r="F3" s="37">
        <v>107903</v>
      </c>
      <c r="G3" s="38">
        <f>IFERROR(IF(B3="Tampa",INDEX(tbl_tampas[Massa_g],MATCH(A3,tbl_tampas[CapId],0)),INDEX(tbl_recyclass[Massa_Corpo_g],MATCH(A3,tbl_recyclass[ProductId],0))),0)</f>
        <v>49.1</v>
      </c>
      <c r="H3" s="32">
        <f t="shared" si="0"/>
        <v>5298.0373</v>
      </c>
      <c r="I3" s="36">
        <f>IFERROR(IF(B3="Tampa",INDEX(tbl_tampas[Pct_PCR],MATCH(A3,tbl_tampas[CapId],0)),INDEX(tbl_recyclass[Pct_PCR_Corpo],MATCH(A3,tbl_recyclass[ProductId],0))),0)</f>
        <v>0</v>
      </c>
      <c r="J3" s="32">
        <f t="shared" si="1"/>
        <v>0</v>
      </c>
      <c r="K3" s="32">
        <f t="shared" si="2"/>
        <v>5298.0373</v>
      </c>
      <c r="L3" s="43">
        <f>IF(C3="ES",K3*INDEX(tbl_param_emb[Valor],MATCH("P-01",tbl_param_emb[ID_Parametro],0)),0)</f>
        <v>0</v>
      </c>
      <c r="M3" s="33" t="str">
        <f>IF(B3="Tampa","Componente",IFERROR(INDEX(tbl_recyclass[Grau_PPWR_Indicativo],MATCH(A3,tbl_recyclass[ProductId],0)),""))</f>
        <v>A</v>
      </c>
    </row>
    <row r="4" spans="1:13" ht="16.05" customHeight="1" x14ac:dyDescent="0.3">
      <c r="A4" s="26" t="s">
        <v>852</v>
      </c>
      <c r="B4" s="26" t="s">
        <v>1470</v>
      </c>
      <c r="C4" s="26" t="s">
        <v>847</v>
      </c>
      <c r="D4" s="26" t="s">
        <v>1471</v>
      </c>
      <c r="E4" s="39">
        <v>2</v>
      </c>
      <c r="F4" s="37">
        <v>154593</v>
      </c>
      <c r="G4" s="38">
        <f>IFERROR(IF(B4="Tampa",INDEX(tbl_tampas[Massa_g],MATCH(A4,tbl_tampas[CapId],0)),INDEX(tbl_recyclass[Massa_Corpo_g],MATCH(A4,tbl_recyclass[ProductId],0))),0)</f>
        <v>30.9</v>
      </c>
      <c r="H4" s="32">
        <f t="shared" si="0"/>
        <v>4776.9237000000003</v>
      </c>
      <c r="I4" s="36">
        <f>IFERROR(IF(B4="Tampa",INDEX(tbl_tampas[Pct_PCR],MATCH(A4,tbl_tampas[CapId],0)),INDEX(tbl_recyclass[Pct_PCR_Corpo],MATCH(A4,tbl_recyclass[ProductId],0))),0)</f>
        <v>0</v>
      </c>
      <c r="J4" s="32">
        <f t="shared" si="1"/>
        <v>0</v>
      </c>
      <c r="K4" s="32">
        <f t="shared" si="2"/>
        <v>4776.9237000000003</v>
      </c>
      <c r="L4" s="43">
        <f>IF(C4="ES",K4*INDEX(tbl_param_emb[Valor],MATCH("P-01",tbl_param_emb[ID_Parametro],0)),0)</f>
        <v>0</v>
      </c>
      <c r="M4" s="33" t="str">
        <f>IF(B4="Tampa","Componente",IFERROR(INDEX(tbl_recyclass[Grau_PPWR_Indicativo],MATCH(A4,tbl_recyclass[ProductId],0)),""))</f>
        <v>A</v>
      </c>
    </row>
    <row r="5" spans="1:13" ht="16.05" customHeight="1" x14ac:dyDescent="0.3">
      <c r="A5" s="26" t="s">
        <v>854</v>
      </c>
      <c r="B5" s="26" t="s">
        <v>1470</v>
      </c>
      <c r="C5" s="26" t="s">
        <v>847</v>
      </c>
      <c r="D5" s="26" t="s">
        <v>1471</v>
      </c>
      <c r="E5" s="39">
        <v>2</v>
      </c>
      <c r="F5" s="37">
        <v>167250</v>
      </c>
      <c r="G5" s="38">
        <f>IFERROR(IF(B5="Tampa",INDEX(tbl_tampas[Massa_g],MATCH(A5,tbl_tampas[CapId],0)),INDEX(tbl_recyclass[Massa_Corpo_g],MATCH(A5,tbl_recyclass[ProductId],0))),0)</f>
        <v>30.9</v>
      </c>
      <c r="H5" s="32">
        <f t="shared" si="0"/>
        <v>5168.0249999999996</v>
      </c>
      <c r="I5" s="36">
        <f>IFERROR(IF(B5="Tampa",INDEX(tbl_tampas[Pct_PCR],MATCH(A5,tbl_tampas[CapId],0)),INDEX(tbl_recyclass[Pct_PCR_Corpo],MATCH(A5,tbl_recyclass[ProductId],0))),0)</f>
        <v>0</v>
      </c>
      <c r="J5" s="32">
        <f t="shared" si="1"/>
        <v>0</v>
      </c>
      <c r="K5" s="32">
        <f t="shared" si="2"/>
        <v>5168.0249999999996</v>
      </c>
      <c r="L5" s="43">
        <f>IF(C5="ES",K5*INDEX(tbl_param_emb[Valor],MATCH("P-01",tbl_param_emb[ID_Parametro],0)),0)</f>
        <v>0</v>
      </c>
      <c r="M5" s="33" t="str">
        <f>IF(B5="Tampa","Componente",IFERROR(INDEX(tbl_recyclass[Grau_PPWR_Indicativo],MATCH(A5,tbl_recyclass[ProductId],0)),""))</f>
        <v>A</v>
      </c>
    </row>
    <row r="6" spans="1:13" ht="16.05" customHeight="1" x14ac:dyDescent="0.3">
      <c r="A6" s="26" t="s">
        <v>863</v>
      </c>
      <c r="B6" s="26" t="s">
        <v>1470</v>
      </c>
      <c r="C6" s="26" t="s">
        <v>1472</v>
      </c>
      <c r="D6" s="26" t="s">
        <v>1473</v>
      </c>
      <c r="E6" s="39">
        <v>1</v>
      </c>
      <c r="F6" s="37">
        <v>102883</v>
      </c>
      <c r="G6" s="38">
        <f>IFERROR(IF(B6="Tampa",INDEX(tbl_tampas[Massa_g],MATCH(A6,tbl_tampas[CapId],0)),INDEX(tbl_recyclass[Massa_Corpo_g],MATCH(A6,tbl_recyclass[ProductId],0))),0)</f>
        <v>10.6</v>
      </c>
      <c r="H6" s="32">
        <f t="shared" si="0"/>
        <v>1090.5598</v>
      </c>
      <c r="I6" s="36">
        <f>IFERROR(IF(B6="Tampa",INDEX(tbl_tampas[Pct_PCR],MATCH(A6,tbl_tampas[CapId],0)),INDEX(tbl_recyclass[Pct_PCR_Corpo],MATCH(A6,tbl_recyclass[ProductId],0))),0)</f>
        <v>0</v>
      </c>
      <c r="J6" s="32">
        <f t="shared" si="1"/>
        <v>0</v>
      </c>
      <c r="K6" s="32">
        <f t="shared" si="2"/>
        <v>1090.5598</v>
      </c>
      <c r="L6" s="43">
        <f>IF(C6="ES",K6*INDEX(tbl_param_emb[Valor],MATCH("P-01",tbl_param_emb[ID_Parametro],0)),0)</f>
        <v>0</v>
      </c>
      <c r="M6" s="33" t="str">
        <f>IF(B6="Tampa","Componente",IFERROR(INDEX(tbl_recyclass[Grau_PPWR_Indicativo],MATCH(A6,tbl_recyclass[ProductId],0)),""))</f>
        <v>C</v>
      </c>
    </row>
    <row r="7" spans="1:13" ht="16.05" customHeight="1" x14ac:dyDescent="0.3">
      <c r="A7" s="26" t="s">
        <v>863</v>
      </c>
      <c r="B7" s="26" t="s">
        <v>1470</v>
      </c>
      <c r="C7" s="26" t="s">
        <v>1474</v>
      </c>
      <c r="D7" s="26" t="s">
        <v>1475</v>
      </c>
      <c r="E7" s="39">
        <v>1</v>
      </c>
      <c r="F7" s="37">
        <v>80426</v>
      </c>
      <c r="G7" s="38">
        <f>IFERROR(IF(B7="Tampa",INDEX(tbl_tampas[Massa_g],MATCH(A7,tbl_tampas[CapId],0)),INDEX(tbl_recyclass[Massa_Corpo_g],MATCH(A7,tbl_recyclass[ProductId],0))),0)</f>
        <v>10.6</v>
      </c>
      <c r="H7" s="32">
        <f t="shared" si="0"/>
        <v>852.51559999999995</v>
      </c>
      <c r="I7" s="36">
        <f>IFERROR(IF(B7="Tampa",INDEX(tbl_tampas[Pct_PCR],MATCH(A7,tbl_tampas[CapId],0)),INDEX(tbl_recyclass[Pct_PCR_Corpo],MATCH(A7,tbl_recyclass[ProductId],0))),0)</f>
        <v>0</v>
      </c>
      <c r="J7" s="32">
        <f t="shared" si="1"/>
        <v>0</v>
      </c>
      <c r="K7" s="32">
        <f t="shared" si="2"/>
        <v>852.51559999999995</v>
      </c>
      <c r="L7" s="43">
        <f>IF(C7="ES",K7*INDEX(tbl_param_emb[Valor],MATCH("P-01",tbl_param_emb[ID_Parametro],0)),0)</f>
        <v>383.63202000000001</v>
      </c>
      <c r="M7" s="33" t="str">
        <f>IF(B7="Tampa","Componente",IFERROR(INDEX(tbl_recyclass[Grau_PPWR_Indicativo],MATCH(A7,tbl_recyclass[ProductId],0)),""))</f>
        <v>C</v>
      </c>
    </row>
    <row r="8" spans="1:13" ht="16.05" customHeight="1" x14ac:dyDescent="0.3">
      <c r="A8" s="26" t="s">
        <v>856</v>
      </c>
      <c r="B8" s="26" t="s">
        <v>1470</v>
      </c>
      <c r="C8" s="26" t="s">
        <v>1472</v>
      </c>
      <c r="D8" s="26" t="s">
        <v>1473</v>
      </c>
      <c r="E8" s="39">
        <v>1</v>
      </c>
      <c r="F8" s="37">
        <v>91067</v>
      </c>
      <c r="G8" s="38">
        <f>IFERROR(IF(B8="Tampa",INDEX(tbl_tampas[Massa_g],MATCH(A8,tbl_tampas[CapId],0)),INDEX(tbl_recyclass[Massa_Corpo_g],MATCH(A8,tbl_recyclass[ProductId],0))),0)</f>
        <v>10.6</v>
      </c>
      <c r="H8" s="32">
        <f t="shared" si="0"/>
        <v>965.31020000000001</v>
      </c>
      <c r="I8" s="36">
        <f>IFERROR(IF(B8="Tampa",INDEX(tbl_tampas[Pct_PCR],MATCH(A8,tbl_tampas[CapId],0)),INDEX(tbl_recyclass[Pct_PCR_Corpo],MATCH(A8,tbl_recyclass[ProductId],0))),0)</f>
        <v>0</v>
      </c>
      <c r="J8" s="32">
        <f t="shared" si="1"/>
        <v>0</v>
      </c>
      <c r="K8" s="32">
        <f t="shared" si="2"/>
        <v>965.31020000000001</v>
      </c>
      <c r="L8" s="43">
        <f>IF(C8="ES",K8*INDEX(tbl_param_emb[Valor],MATCH("P-01",tbl_param_emb[ID_Parametro],0)),0)</f>
        <v>0</v>
      </c>
      <c r="M8" s="33" t="str">
        <f>IF(B8="Tampa","Componente",IFERROR(INDEX(tbl_recyclass[Grau_PPWR_Indicativo],MATCH(A8,tbl_recyclass[ProductId],0)),""))</f>
        <v>C</v>
      </c>
    </row>
    <row r="9" spans="1:13" ht="16.05" customHeight="1" x14ac:dyDescent="0.3">
      <c r="A9" s="26" t="s">
        <v>856</v>
      </c>
      <c r="B9" s="26" t="s">
        <v>1470</v>
      </c>
      <c r="C9" s="26" t="s">
        <v>1474</v>
      </c>
      <c r="D9" s="26" t="s">
        <v>1475</v>
      </c>
      <c r="E9" s="39">
        <v>1</v>
      </c>
      <c r="F9" s="37">
        <v>74929</v>
      </c>
      <c r="G9" s="38">
        <f>IFERROR(IF(B9="Tampa",INDEX(tbl_tampas[Massa_g],MATCH(A9,tbl_tampas[CapId],0)),INDEX(tbl_recyclass[Massa_Corpo_g],MATCH(A9,tbl_recyclass[ProductId],0))),0)</f>
        <v>10.6</v>
      </c>
      <c r="H9" s="32">
        <f t="shared" si="0"/>
        <v>794.24739999999997</v>
      </c>
      <c r="I9" s="36">
        <f>IFERROR(IF(B9="Tampa",INDEX(tbl_tampas[Pct_PCR],MATCH(A9,tbl_tampas[CapId],0)),INDEX(tbl_recyclass[Pct_PCR_Corpo],MATCH(A9,tbl_recyclass[ProductId],0))),0)</f>
        <v>0</v>
      </c>
      <c r="J9" s="32">
        <f t="shared" si="1"/>
        <v>0</v>
      </c>
      <c r="K9" s="32">
        <f t="shared" si="2"/>
        <v>794.24739999999997</v>
      </c>
      <c r="L9" s="43">
        <f>IF(C9="ES",K9*INDEX(tbl_param_emb[Valor],MATCH("P-01",tbl_param_emb[ID_Parametro],0)),0)</f>
        <v>357.41133000000002</v>
      </c>
      <c r="M9" s="33" t="str">
        <f>IF(B9="Tampa","Componente",IFERROR(INDEX(tbl_recyclass[Grau_PPWR_Indicativo],MATCH(A9,tbl_recyclass[ProductId],0)),""))</f>
        <v>C</v>
      </c>
    </row>
    <row r="10" spans="1:13" ht="16.05" customHeight="1" x14ac:dyDescent="0.3">
      <c r="A10" s="26" t="s">
        <v>868</v>
      </c>
      <c r="B10" s="26" t="s">
        <v>1470</v>
      </c>
      <c r="C10" s="26" t="s">
        <v>1472</v>
      </c>
      <c r="D10" s="26" t="s">
        <v>1473</v>
      </c>
      <c r="E10" s="39">
        <v>1</v>
      </c>
      <c r="F10" s="37">
        <v>64970</v>
      </c>
      <c r="G10" s="38">
        <f>IFERROR(IF(B10="Tampa",INDEX(tbl_tampas[Massa_g],MATCH(A10,tbl_tampas[CapId],0)),INDEX(tbl_recyclass[Massa_Corpo_g],MATCH(A10,tbl_recyclass[ProductId],0))),0)</f>
        <v>19.5</v>
      </c>
      <c r="H10" s="32">
        <f t="shared" si="0"/>
        <v>1266.915</v>
      </c>
      <c r="I10" s="36">
        <f>IFERROR(IF(B10="Tampa",INDEX(tbl_tampas[Pct_PCR],MATCH(A10,tbl_tampas[CapId],0)),INDEX(tbl_recyclass[Pct_PCR_Corpo],MATCH(A10,tbl_recyclass[ProductId],0))),0)</f>
        <v>0</v>
      </c>
      <c r="J10" s="32">
        <f t="shared" si="1"/>
        <v>0</v>
      </c>
      <c r="K10" s="32">
        <f t="shared" si="2"/>
        <v>1266.915</v>
      </c>
      <c r="L10" s="43">
        <f>IF(C10="ES",K10*INDEX(tbl_param_emb[Valor],MATCH("P-01",tbl_param_emb[ID_Parametro],0)),0)</f>
        <v>0</v>
      </c>
      <c r="M10" s="33" t="str">
        <f>IF(B10="Tampa","Componente",IFERROR(INDEX(tbl_recyclass[Grau_PPWR_Indicativo],MATCH(A10,tbl_recyclass[ProductId],0)),""))</f>
        <v>C</v>
      </c>
    </row>
    <row r="11" spans="1:13" ht="16.05" customHeight="1" x14ac:dyDescent="0.3">
      <c r="A11" s="26" t="s">
        <v>868</v>
      </c>
      <c r="B11" s="26" t="s">
        <v>1470</v>
      </c>
      <c r="C11" s="26" t="s">
        <v>1474</v>
      </c>
      <c r="D11" s="26" t="s">
        <v>1475</v>
      </c>
      <c r="E11" s="39">
        <v>1</v>
      </c>
      <c r="F11" s="37">
        <v>68137</v>
      </c>
      <c r="G11" s="38">
        <f>IFERROR(IF(B11="Tampa",INDEX(tbl_tampas[Massa_g],MATCH(A11,tbl_tampas[CapId],0)),INDEX(tbl_recyclass[Massa_Corpo_g],MATCH(A11,tbl_recyclass[ProductId],0))),0)</f>
        <v>19.5</v>
      </c>
      <c r="H11" s="32">
        <f t="shared" si="0"/>
        <v>1328.6714999999999</v>
      </c>
      <c r="I11" s="36">
        <f>IFERROR(IF(B11="Tampa",INDEX(tbl_tampas[Pct_PCR],MATCH(A11,tbl_tampas[CapId],0)),INDEX(tbl_recyclass[Pct_PCR_Corpo],MATCH(A11,tbl_recyclass[ProductId],0))),0)</f>
        <v>0</v>
      </c>
      <c r="J11" s="32">
        <f t="shared" si="1"/>
        <v>0</v>
      </c>
      <c r="K11" s="32">
        <f t="shared" si="2"/>
        <v>1328.6714999999999</v>
      </c>
      <c r="L11" s="43">
        <f>IF(C11="ES",K11*INDEX(tbl_param_emb[Valor],MATCH("P-01",tbl_param_emb[ID_Parametro],0)),0)</f>
        <v>597.90217499999994</v>
      </c>
      <c r="M11" s="33" t="str">
        <f>IF(B11="Tampa","Componente",IFERROR(INDEX(tbl_recyclass[Grau_PPWR_Indicativo],MATCH(A11,tbl_recyclass[ProductId],0)),""))</f>
        <v>C</v>
      </c>
    </row>
    <row r="12" spans="1:13" ht="16.05" customHeight="1" x14ac:dyDescent="0.3">
      <c r="A12" s="26" t="s">
        <v>866</v>
      </c>
      <c r="B12" s="26" t="s">
        <v>1470</v>
      </c>
      <c r="C12" s="26" t="s">
        <v>1472</v>
      </c>
      <c r="D12" s="26" t="s">
        <v>1473</v>
      </c>
      <c r="E12" s="39">
        <v>1</v>
      </c>
      <c r="F12" s="37">
        <v>43108</v>
      </c>
      <c r="G12" s="38">
        <f>IFERROR(IF(B12="Tampa",INDEX(tbl_tampas[Massa_g],MATCH(A12,tbl_tampas[CapId],0)),INDEX(tbl_recyclass[Massa_Corpo_g],MATCH(A12,tbl_recyclass[ProductId],0))),0)</f>
        <v>19.5</v>
      </c>
      <c r="H12" s="32">
        <f t="shared" si="0"/>
        <v>840.60599999999999</v>
      </c>
      <c r="I12" s="36">
        <f>IFERROR(IF(B12="Tampa",INDEX(tbl_tampas[Pct_PCR],MATCH(A12,tbl_tampas[CapId],0)),INDEX(tbl_recyclass[Pct_PCR_Corpo],MATCH(A12,tbl_recyclass[ProductId],0))),0)</f>
        <v>0</v>
      </c>
      <c r="J12" s="32">
        <f t="shared" si="1"/>
        <v>0</v>
      </c>
      <c r="K12" s="32">
        <f t="shared" si="2"/>
        <v>840.60599999999999</v>
      </c>
      <c r="L12" s="43">
        <f>IF(C12="ES",K12*INDEX(tbl_param_emb[Valor],MATCH("P-01",tbl_param_emb[ID_Parametro],0)),0)</f>
        <v>0</v>
      </c>
      <c r="M12" s="33" t="str">
        <f>IF(B12="Tampa","Componente",IFERROR(INDEX(tbl_recyclass[Grau_PPWR_Indicativo],MATCH(A12,tbl_recyclass[ProductId],0)),""))</f>
        <v>C</v>
      </c>
    </row>
    <row r="13" spans="1:13" ht="16.05" customHeight="1" x14ac:dyDescent="0.3">
      <c r="A13" s="26" t="s">
        <v>866</v>
      </c>
      <c r="B13" s="26" t="s">
        <v>1470</v>
      </c>
      <c r="C13" s="26" t="s">
        <v>1474</v>
      </c>
      <c r="D13" s="26" t="s">
        <v>1475</v>
      </c>
      <c r="E13" s="39">
        <v>1</v>
      </c>
      <c r="F13" s="37">
        <v>59542</v>
      </c>
      <c r="G13" s="38">
        <f>IFERROR(IF(B13="Tampa",INDEX(tbl_tampas[Massa_g],MATCH(A13,tbl_tampas[CapId],0)),INDEX(tbl_recyclass[Massa_Corpo_g],MATCH(A13,tbl_recyclass[ProductId],0))),0)</f>
        <v>19.5</v>
      </c>
      <c r="H13" s="32">
        <f t="shared" si="0"/>
        <v>1161.069</v>
      </c>
      <c r="I13" s="36">
        <f>IFERROR(IF(B13="Tampa",INDEX(tbl_tampas[Pct_PCR],MATCH(A13,tbl_tampas[CapId],0)),INDEX(tbl_recyclass[Pct_PCR_Corpo],MATCH(A13,tbl_recyclass[ProductId],0))),0)</f>
        <v>0</v>
      </c>
      <c r="J13" s="32">
        <f t="shared" si="1"/>
        <v>0</v>
      </c>
      <c r="K13" s="32">
        <f t="shared" si="2"/>
        <v>1161.069</v>
      </c>
      <c r="L13" s="43">
        <f>IF(C13="ES",K13*INDEX(tbl_param_emb[Valor],MATCH("P-01",tbl_param_emb[ID_Parametro],0)),0)</f>
        <v>522.48104999999998</v>
      </c>
      <c r="M13" s="33" t="str">
        <f>IF(B13="Tampa","Componente",IFERROR(INDEX(tbl_recyclass[Grau_PPWR_Indicativo],MATCH(A13,tbl_recyclass[ProductId],0)),""))</f>
        <v>C</v>
      </c>
    </row>
    <row r="14" spans="1:13" ht="16.05" customHeight="1" x14ac:dyDescent="0.3">
      <c r="A14" s="26" t="s">
        <v>585</v>
      </c>
      <c r="B14" s="26" t="s">
        <v>1470</v>
      </c>
      <c r="C14" s="26" t="s">
        <v>1476</v>
      </c>
      <c r="D14" s="26" t="s">
        <v>1477</v>
      </c>
      <c r="E14" s="39">
        <v>1</v>
      </c>
      <c r="F14" s="37">
        <v>25608</v>
      </c>
      <c r="G14" s="38">
        <f>IFERROR(IF(B14="Tampa",INDEX(tbl_tampas[Massa_g],MATCH(A14,tbl_tampas[CapId],0)),INDEX(tbl_recyclass[Massa_Corpo_g],MATCH(A14,tbl_recyclass[ProductId],0))),0)</f>
        <v>22</v>
      </c>
      <c r="H14" s="32">
        <f t="shared" si="0"/>
        <v>563.37599999999998</v>
      </c>
      <c r="I14" s="36">
        <f>IFERROR(IF(B14="Tampa",INDEX(tbl_tampas[Pct_PCR],MATCH(A14,tbl_tampas[CapId],0)),INDEX(tbl_recyclass[Pct_PCR_Corpo],MATCH(A14,tbl_recyclass[ProductId],0))),0)</f>
        <v>0</v>
      </c>
      <c r="J14" s="32">
        <f t="shared" si="1"/>
        <v>0</v>
      </c>
      <c r="K14" s="32">
        <f t="shared" si="2"/>
        <v>563.37599999999998</v>
      </c>
      <c r="L14" s="43">
        <f>IF(C14="ES",K14*INDEX(tbl_param_emb[Valor],MATCH("P-01",tbl_param_emb[ID_Parametro],0)),0)</f>
        <v>0</v>
      </c>
      <c r="M14" s="33" t="str">
        <f>IF(B14="Tampa","Componente",IFERROR(INDEX(tbl_recyclass[Grau_PPWR_Indicativo],MATCH(A14,tbl_recyclass[ProductId],0)),""))</f>
        <v>B</v>
      </c>
    </row>
    <row r="15" spans="1:13" ht="16.05" customHeight="1" x14ac:dyDescent="0.3">
      <c r="A15" s="26" t="s">
        <v>585</v>
      </c>
      <c r="B15" s="26" t="s">
        <v>1470</v>
      </c>
      <c r="C15" s="26" t="s">
        <v>1472</v>
      </c>
      <c r="D15" s="26" t="s">
        <v>1473</v>
      </c>
      <c r="E15" s="39">
        <v>1</v>
      </c>
      <c r="F15" s="37">
        <v>34059</v>
      </c>
      <c r="G15" s="38">
        <f>IFERROR(IF(B15="Tampa",INDEX(tbl_tampas[Massa_g],MATCH(A15,tbl_tampas[CapId],0)),INDEX(tbl_recyclass[Massa_Corpo_g],MATCH(A15,tbl_recyclass[ProductId],0))),0)</f>
        <v>22</v>
      </c>
      <c r="H15" s="32">
        <f t="shared" si="0"/>
        <v>749.298</v>
      </c>
      <c r="I15" s="36">
        <f>IFERROR(IF(B15="Tampa",INDEX(tbl_tampas[Pct_PCR],MATCH(A15,tbl_tampas[CapId],0)),INDEX(tbl_recyclass[Pct_PCR_Corpo],MATCH(A15,tbl_recyclass[ProductId],0))),0)</f>
        <v>0</v>
      </c>
      <c r="J15" s="32">
        <f t="shared" si="1"/>
        <v>0</v>
      </c>
      <c r="K15" s="32">
        <f t="shared" si="2"/>
        <v>749.298</v>
      </c>
      <c r="L15" s="43">
        <f>IF(C15="ES",K15*INDEX(tbl_param_emb[Valor],MATCH("P-01",tbl_param_emb[ID_Parametro],0)),0)</f>
        <v>0</v>
      </c>
      <c r="M15" s="33" t="str">
        <f>IF(B15="Tampa","Componente",IFERROR(INDEX(tbl_recyclass[Grau_PPWR_Indicativo],MATCH(A15,tbl_recyclass[ProductId],0)),""))</f>
        <v>B</v>
      </c>
    </row>
    <row r="16" spans="1:13" ht="16.05" customHeight="1" x14ac:dyDescent="0.3">
      <c r="A16" s="26" t="s">
        <v>585</v>
      </c>
      <c r="B16" s="26" t="s">
        <v>1470</v>
      </c>
      <c r="C16" s="26" t="s">
        <v>1478</v>
      </c>
      <c r="D16" s="26" t="s">
        <v>1479</v>
      </c>
      <c r="E16" s="39">
        <v>1</v>
      </c>
      <c r="F16" s="37">
        <v>48694</v>
      </c>
      <c r="G16" s="38">
        <f>IFERROR(IF(B16="Tampa",INDEX(tbl_tampas[Massa_g],MATCH(A16,tbl_tampas[CapId],0)),INDEX(tbl_recyclass[Massa_Corpo_g],MATCH(A16,tbl_recyclass[ProductId],0))),0)</f>
        <v>22</v>
      </c>
      <c r="H16" s="32">
        <f t="shared" si="0"/>
        <v>1071.268</v>
      </c>
      <c r="I16" s="36">
        <f>IFERROR(IF(B16="Tampa",INDEX(tbl_tampas[Pct_PCR],MATCH(A16,tbl_tampas[CapId],0)),INDEX(tbl_recyclass[Pct_PCR_Corpo],MATCH(A16,tbl_recyclass[ProductId],0))),0)</f>
        <v>0</v>
      </c>
      <c r="J16" s="32">
        <f t="shared" si="1"/>
        <v>0</v>
      </c>
      <c r="K16" s="32">
        <f t="shared" si="2"/>
        <v>1071.268</v>
      </c>
      <c r="L16" s="43">
        <f>IF(C16="ES",K16*INDEX(tbl_param_emb[Valor],MATCH("P-01",tbl_param_emb[ID_Parametro],0)),0)</f>
        <v>0</v>
      </c>
      <c r="M16" s="33" t="str">
        <f>IF(B16="Tampa","Componente",IFERROR(INDEX(tbl_recyclass[Grau_PPWR_Indicativo],MATCH(A16,tbl_recyclass[ProductId],0)),""))</f>
        <v>B</v>
      </c>
    </row>
    <row r="17" spans="1:13" ht="16.05" customHeight="1" x14ac:dyDescent="0.3">
      <c r="A17" s="26" t="s">
        <v>585</v>
      </c>
      <c r="B17" s="26" t="s">
        <v>1470</v>
      </c>
      <c r="C17" s="26" t="s">
        <v>1480</v>
      </c>
      <c r="D17" s="26" t="s">
        <v>1481</v>
      </c>
      <c r="E17" s="39">
        <v>1</v>
      </c>
      <c r="F17" s="37">
        <v>32507</v>
      </c>
      <c r="G17" s="38">
        <f>IFERROR(IF(B17="Tampa",INDEX(tbl_tampas[Massa_g],MATCH(A17,tbl_tampas[CapId],0)),INDEX(tbl_recyclass[Massa_Corpo_g],MATCH(A17,tbl_recyclass[ProductId],0))),0)</f>
        <v>22</v>
      </c>
      <c r="H17" s="32">
        <f t="shared" si="0"/>
        <v>715.154</v>
      </c>
      <c r="I17" s="36">
        <f>IFERROR(IF(B17="Tampa",INDEX(tbl_tampas[Pct_PCR],MATCH(A17,tbl_tampas[CapId],0)),INDEX(tbl_recyclass[Pct_PCR_Corpo],MATCH(A17,tbl_recyclass[ProductId],0))),0)</f>
        <v>0</v>
      </c>
      <c r="J17" s="32">
        <f t="shared" si="1"/>
        <v>0</v>
      </c>
      <c r="K17" s="32">
        <f t="shared" si="2"/>
        <v>715.154</v>
      </c>
      <c r="L17" s="43">
        <f>IF(C17="ES",K17*INDEX(tbl_param_emb[Valor],MATCH("P-01",tbl_param_emb[ID_Parametro],0)),0)</f>
        <v>0</v>
      </c>
      <c r="M17" s="33" t="str">
        <f>IF(B17="Tampa","Componente",IFERROR(INDEX(tbl_recyclass[Grau_PPWR_Indicativo],MATCH(A17,tbl_recyclass[ProductId],0)),""))</f>
        <v>B</v>
      </c>
    </row>
    <row r="18" spans="1:13" ht="16.05" customHeight="1" x14ac:dyDescent="0.3">
      <c r="A18" s="26" t="s">
        <v>585</v>
      </c>
      <c r="B18" s="26" t="s">
        <v>1470</v>
      </c>
      <c r="C18" s="26" t="s">
        <v>847</v>
      </c>
      <c r="D18" s="26" t="s">
        <v>1471</v>
      </c>
      <c r="E18" s="39">
        <v>8</v>
      </c>
      <c r="F18" s="37">
        <v>163837</v>
      </c>
      <c r="G18" s="38">
        <f>IFERROR(IF(B18="Tampa",INDEX(tbl_tampas[Massa_g],MATCH(A18,tbl_tampas[CapId],0)),INDEX(tbl_recyclass[Massa_Corpo_g],MATCH(A18,tbl_recyclass[ProductId],0))),0)</f>
        <v>22</v>
      </c>
      <c r="H18" s="32">
        <f t="shared" si="0"/>
        <v>3604.4140000000002</v>
      </c>
      <c r="I18" s="36">
        <f>IFERROR(IF(B18="Tampa",INDEX(tbl_tampas[Pct_PCR],MATCH(A18,tbl_tampas[CapId],0)),INDEX(tbl_recyclass[Pct_PCR_Corpo],MATCH(A18,tbl_recyclass[ProductId],0))),0)</f>
        <v>0</v>
      </c>
      <c r="J18" s="32">
        <f t="shared" si="1"/>
        <v>0</v>
      </c>
      <c r="K18" s="32">
        <f t="shared" si="2"/>
        <v>3604.4140000000002</v>
      </c>
      <c r="L18" s="43">
        <f>IF(C18="ES",K18*INDEX(tbl_param_emb[Valor],MATCH("P-01",tbl_param_emb[ID_Parametro],0)),0)</f>
        <v>0</v>
      </c>
      <c r="M18" s="33" t="str">
        <f>IF(B18="Tampa","Componente",IFERROR(INDEX(tbl_recyclass[Grau_PPWR_Indicativo],MATCH(A18,tbl_recyclass[ProductId],0)),""))</f>
        <v>B</v>
      </c>
    </row>
    <row r="19" spans="1:13" ht="16.05" customHeight="1" x14ac:dyDescent="0.3">
      <c r="A19" s="26" t="s">
        <v>585</v>
      </c>
      <c r="B19" s="26" t="s">
        <v>1470</v>
      </c>
      <c r="C19" s="26" t="s">
        <v>1474</v>
      </c>
      <c r="D19" s="26" t="s">
        <v>1475</v>
      </c>
      <c r="E19" s="39">
        <v>2</v>
      </c>
      <c r="F19" s="37">
        <v>58506</v>
      </c>
      <c r="G19" s="38">
        <f>IFERROR(IF(B19="Tampa",INDEX(tbl_tampas[Massa_g],MATCH(A19,tbl_tampas[CapId],0)),INDEX(tbl_recyclass[Massa_Corpo_g],MATCH(A19,tbl_recyclass[ProductId],0))),0)</f>
        <v>22</v>
      </c>
      <c r="H19" s="32">
        <f t="shared" si="0"/>
        <v>1287.1320000000001</v>
      </c>
      <c r="I19" s="36">
        <f>IFERROR(IF(B19="Tampa",INDEX(tbl_tampas[Pct_PCR],MATCH(A19,tbl_tampas[CapId],0)),INDEX(tbl_recyclass[Pct_PCR_Corpo],MATCH(A19,tbl_recyclass[ProductId],0))),0)</f>
        <v>0</v>
      </c>
      <c r="J19" s="32">
        <f t="shared" si="1"/>
        <v>0</v>
      </c>
      <c r="K19" s="32">
        <f t="shared" si="2"/>
        <v>1287.1320000000001</v>
      </c>
      <c r="L19" s="43">
        <f>IF(C19="ES",K19*INDEX(tbl_param_emb[Valor],MATCH("P-01",tbl_param_emb[ID_Parametro],0)),0)</f>
        <v>579.20940000000007</v>
      </c>
      <c r="M19" s="33" t="str">
        <f>IF(B19="Tampa","Componente",IFERROR(INDEX(tbl_recyclass[Grau_PPWR_Indicativo],MATCH(A19,tbl_recyclass[ProductId],0)),""))</f>
        <v>B</v>
      </c>
    </row>
    <row r="20" spans="1:13" ht="16.05" customHeight="1" x14ac:dyDescent="0.3">
      <c r="A20" s="26" t="s">
        <v>606</v>
      </c>
      <c r="B20" s="26" t="s">
        <v>1470</v>
      </c>
      <c r="C20" s="26" t="s">
        <v>1476</v>
      </c>
      <c r="D20" s="26" t="s">
        <v>1477</v>
      </c>
      <c r="E20" s="39">
        <v>1</v>
      </c>
      <c r="F20" s="37">
        <v>32607</v>
      </c>
      <c r="G20" s="38">
        <f>IFERROR(IF(B20="Tampa",INDEX(tbl_tampas[Massa_g],MATCH(A20,tbl_tampas[CapId],0)),INDEX(tbl_recyclass[Massa_Corpo_g],MATCH(A20,tbl_recyclass[ProductId],0))),0)</f>
        <v>22</v>
      </c>
      <c r="H20" s="32">
        <f t="shared" si="0"/>
        <v>717.35400000000004</v>
      </c>
      <c r="I20" s="36">
        <f>IFERROR(IF(B20="Tampa",INDEX(tbl_tampas[Pct_PCR],MATCH(A20,tbl_tampas[CapId],0)),INDEX(tbl_recyclass[Pct_PCR_Corpo],MATCH(A20,tbl_recyclass[ProductId],0))),0)</f>
        <v>0.3</v>
      </c>
      <c r="J20" s="32">
        <f t="shared" si="1"/>
        <v>215.2062</v>
      </c>
      <c r="K20" s="32">
        <f t="shared" si="2"/>
        <v>502.14780000000007</v>
      </c>
      <c r="L20" s="43">
        <f>IF(C20="ES",K20*INDEX(tbl_param_emb[Valor],MATCH("P-01",tbl_param_emb[ID_Parametro],0)),0)</f>
        <v>0</v>
      </c>
      <c r="M20" s="33" t="str">
        <f>IF(B20="Tampa","Componente",IFERROR(INDEX(tbl_recyclass[Grau_PPWR_Indicativo],MATCH(A20,tbl_recyclass[ProductId],0)),""))</f>
        <v>B</v>
      </c>
    </row>
    <row r="21" spans="1:13" ht="16.05" customHeight="1" x14ac:dyDescent="0.3">
      <c r="A21" s="26" t="s">
        <v>606</v>
      </c>
      <c r="B21" s="26" t="s">
        <v>1470</v>
      </c>
      <c r="C21" s="26" t="s">
        <v>1472</v>
      </c>
      <c r="D21" s="26" t="s">
        <v>1473</v>
      </c>
      <c r="E21" s="39">
        <v>1</v>
      </c>
      <c r="F21" s="37">
        <v>32087</v>
      </c>
      <c r="G21" s="38">
        <f>IFERROR(IF(B21="Tampa",INDEX(tbl_tampas[Massa_g],MATCH(A21,tbl_tampas[CapId],0)),INDEX(tbl_recyclass[Massa_Corpo_g],MATCH(A21,tbl_recyclass[ProductId],0))),0)</f>
        <v>22</v>
      </c>
      <c r="H21" s="32">
        <f t="shared" si="0"/>
        <v>705.91399999999999</v>
      </c>
      <c r="I21" s="36">
        <f>IFERROR(IF(B21="Tampa",INDEX(tbl_tampas[Pct_PCR],MATCH(A21,tbl_tampas[CapId],0)),INDEX(tbl_recyclass[Pct_PCR_Corpo],MATCH(A21,tbl_recyclass[ProductId],0))),0)</f>
        <v>0.3</v>
      </c>
      <c r="J21" s="32">
        <f t="shared" si="1"/>
        <v>211.77419999999998</v>
      </c>
      <c r="K21" s="32">
        <f t="shared" si="2"/>
        <v>494.13980000000004</v>
      </c>
      <c r="L21" s="43">
        <f>IF(C21="ES",K21*INDEX(tbl_param_emb[Valor],MATCH("P-01",tbl_param_emb[ID_Parametro],0)),0)</f>
        <v>0</v>
      </c>
      <c r="M21" s="33" t="str">
        <f>IF(B21="Tampa","Componente",IFERROR(INDEX(tbl_recyclass[Grau_PPWR_Indicativo],MATCH(A21,tbl_recyclass[ProductId],0)),""))</f>
        <v>B</v>
      </c>
    </row>
    <row r="22" spans="1:13" ht="16.05" customHeight="1" x14ac:dyDescent="0.3">
      <c r="A22" s="26" t="s">
        <v>606</v>
      </c>
      <c r="B22" s="26" t="s">
        <v>1470</v>
      </c>
      <c r="C22" s="26" t="s">
        <v>1478</v>
      </c>
      <c r="D22" s="26" t="s">
        <v>1479</v>
      </c>
      <c r="E22" s="39">
        <v>1</v>
      </c>
      <c r="F22" s="37">
        <v>19321</v>
      </c>
      <c r="G22" s="38">
        <f>IFERROR(IF(B22="Tampa",INDEX(tbl_tampas[Massa_g],MATCH(A22,tbl_tampas[CapId],0)),INDEX(tbl_recyclass[Massa_Corpo_g],MATCH(A22,tbl_recyclass[ProductId],0))),0)</f>
        <v>22</v>
      </c>
      <c r="H22" s="32">
        <f t="shared" si="0"/>
        <v>425.06200000000001</v>
      </c>
      <c r="I22" s="36">
        <f>IFERROR(IF(B22="Tampa",INDEX(tbl_tampas[Pct_PCR],MATCH(A22,tbl_tampas[CapId],0)),INDEX(tbl_recyclass[Pct_PCR_Corpo],MATCH(A22,tbl_recyclass[ProductId],0))),0)</f>
        <v>0.3</v>
      </c>
      <c r="J22" s="32">
        <f t="shared" si="1"/>
        <v>127.51859999999999</v>
      </c>
      <c r="K22" s="32">
        <f t="shared" si="2"/>
        <v>297.54340000000002</v>
      </c>
      <c r="L22" s="43">
        <f>IF(C22="ES",K22*INDEX(tbl_param_emb[Valor],MATCH("P-01",tbl_param_emb[ID_Parametro],0)),0)</f>
        <v>0</v>
      </c>
      <c r="M22" s="33" t="str">
        <f>IF(B22="Tampa","Componente",IFERROR(INDEX(tbl_recyclass[Grau_PPWR_Indicativo],MATCH(A22,tbl_recyclass[ProductId],0)),""))</f>
        <v>B</v>
      </c>
    </row>
    <row r="23" spans="1:13" ht="16.05" customHeight="1" x14ac:dyDescent="0.3">
      <c r="A23" s="26" t="s">
        <v>606</v>
      </c>
      <c r="B23" s="26" t="s">
        <v>1470</v>
      </c>
      <c r="C23" s="26" t="s">
        <v>1480</v>
      </c>
      <c r="D23" s="26" t="s">
        <v>1481</v>
      </c>
      <c r="E23" s="39">
        <v>1</v>
      </c>
      <c r="F23" s="37">
        <v>27139</v>
      </c>
      <c r="G23" s="38">
        <f>IFERROR(IF(B23="Tampa",INDEX(tbl_tampas[Massa_g],MATCH(A23,tbl_tampas[CapId],0)),INDEX(tbl_recyclass[Massa_Corpo_g],MATCH(A23,tbl_recyclass[ProductId],0))),0)</f>
        <v>22</v>
      </c>
      <c r="H23" s="32">
        <f t="shared" si="0"/>
        <v>597.05799999999999</v>
      </c>
      <c r="I23" s="36">
        <f>IFERROR(IF(B23="Tampa",INDEX(tbl_tampas[Pct_PCR],MATCH(A23,tbl_tampas[CapId],0)),INDEX(tbl_recyclass[Pct_PCR_Corpo],MATCH(A23,tbl_recyclass[ProductId],0))),0)</f>
        <v>0.3</v>
      </c>
      <c r="J23" s="32">
        <f t="shared" si="1"/>
        <v>179.1174</v>
      </c>
      <c r="K23" s="32">
        <f t="shared" si="2"/>
        <v>417.94060000000002</v>
      </c>
      <c r="L23" s="43">
        <f>IF(C23="ES",K23*INDEX(tbl_param_emb[Valor],MATCH("P-01",tbl_param_emb[ID_Parametro],0)),0)</f>
        <v>0</v>
      </c>
      <c r="M23" s="33" t="str">
        <f>IF(B23="Tampa","Componente",IFERROR(INDEX(tbl_recyclass[Grau_PPWR_Indicativo],MATCH(A23,tbl_recyclass[ProductId],0)),""))</f>
        <v>B</v>
      </c>
    </row>
    <row r="24" spans="1:13" ht="16.05" customHeight="1" x14ac:dyDescent="0.3">
      <c r="A24" s="26" t="s">
        <v>606</v>
      </c>
      <c r="B24" s="26" t="s">
        <v>1470</v>
      </c>
      <c r="C24" s="26" t="s">
        <v>847</v>
      </c>
      <c r="D24" s="26" t="s">
        <v>1471</v>
      </c>
      <c r="E24" s="39">
        <v>8</v>
      </c>
      <c r="F24" s="37">
        <v>266351</v>
      </c>
      <c r="G24" s="38">
        <f>IFERROR(IF(B24="Tampa",INDEX(tbl_tampas[Massa_g],MATCH(A24,tbl_tampas[CapId],0)),INDEX(tbl_recyclass[Massa_Corpo_g],MATCH(A24,tbl_recyclass[ProductId],0))),0)</f>
        <v>22</v>
      </c>
      <c r="H24" s="32">
        <f t="shared" si="0"/>
        <v>5859.7219999999998</v>
      </c>
      <c r="I24" s="36">
        <f>IFERROR(IF(B24="Tampa",INDEX(tbl_tampas[Pct_PCR],MATCH(A24,tbl_tampas[CapId],0)),INDEX(tbl_recyclass[Pct_PCR_Corpo],MATCH(A24,tbl_recyclass[ProductId],0))),0)</f>
        <v>0.3</v>
      </c>
      <c r="J24" s="32">
        <f t="shared" si="1"/>
        <v>1757.9165999999998</v>
      </c>
      <c r="K24" s="32">
        <f t="shared" si="2"/>
        <v>4101.8054000000002</v>
      </c>
      <c r="L24" s="43">
        <f>IF(C24="ES",K24*INDEX(tbl_param_emb[Valor],MATCH("P-01",tbl_param_emb[ID_Parametro],0)),0)</f>
        <v>0</v>
      </c>
      <c r="M24" s="33" t="str">
        <f>IF(B24="Tampa","Componente",IFERROR(INDEX(tbl_recyclass[Grau_PPWR_Indicativo],MATCH(A24,tbl_recyclass[ProductId],0)),""))</f>
        <v>B</v>
      </c>
    </row>
    <row r="25" spans="1:13" ht="16.05" customHeight="1" x14ac:dyDescent="0.3">
      <c r="A25" s="26" t="s">
        <v>606</v>
      </c>
      <c r="B25" s="26" t="s">
        <v>1470</v>
      </c>
      <c r="C25" s="26" t="s">
        <v>1474</v>
      </c>
      <c r="D25" s="26" t="s">
        <v>1475</v>
      </c>
      <c r="E25" s="39">
        <v>2</v>
      </c>
      <c r="F25" s="37">
        <v>46444</v>
      </c>
      <c r="G25" s="38">
        <f>IFERROR(IF(B25="Tampa",INDEX(tbl_tampas[Massa_g],MATCH(A25,tbl_tampas[CapId],0)),INDEX(tbl_recyclass[Massa_Corpo_g],MATCH(A25,tbl_recyclass[ProductId],0))),0)</f>
        <v>22</v>
      </c>
      <c r="H25" s="32">
        <f t="shared" si="0"/>
        <v>1021.768</v>
      </c>
      <c r="I25" s="36">
        <f>IFERROR(IF(B25="Tampa",INDEX(tbl_tampas[Pct_PCR],MATCH(A25,tbl_tampas[CapId],0)),INDEX(tbl_recyclass[Pct_PCR_Corpo],MATCH(A25,tbl_recyclass[ProductId],0))),0)</f>
        <v>0.3</v>
      </c>
      <c r="J25" s="32">
        <f t="shared" si="1"/>
        <v>306.53039999999999</v>
      </c>
      <c r="K25" s="32">
        <f t="shared" si="2"/>
        <v>715.23760000000004</v>
      </c>
      <c r="L25" s="43">
        <f>IF(C25="ES",K25*INDEX(tbl_param_emb[Valor],MATCH("P-01",tbl_param_emb[ID_Parametro],0)),0)</f>
        <v>321.85692</v>
      </c>
      <c r="M25" s="33" t="str">
        <f>IF(B25="Tampa","Componente",IFERROR(INDEX(tbl_recyclass[Grau_PPWR_Indicativo],MATCH(A25,tbl_recyclass[ProductId],0)),""))</f>
        <v>B</v>
      </c>
    </row>
    <row r="26" spans="1:13" ht="16.05" customHeight="1" x14ac:dyDescent="0.3">
      <c r="A26" s="26" t="s">
        <v>608</v>
      </c>
      <c r="B26" s="26" t="s">
        <v>1470</v>
      </c>
      <c r="C26" s="26" t="s">
        <v>1476</v>
      </c>
      <c r="D26" s="26" t="s">
        <v>1477</v>
      </c>
      <c r="E26" s="39">
        <v>1</v>
      </c>
      <c r="F26" s="37">
        <v>11139</v>
      </c>
      <c r="G26" s="38">
        <f>IFERROR(IF(B26="Tampa",INDEX(tbl_tampas[Massa_g],MATCH(A26,tbl_tampas[CapId],0)),INDEX(tbl_recyclass[Massa_Corpo_g],MATCH(A26,tbl_recyclass[ProductId],0))),0)</f>
        <v>22</v>
      </c>
      <c r="H26" s="32">
        <f t="shared" si="0"/>
        <v>245.05799999999999</v>
      </c>
      <c r="I26" s="36">
        <f>IFERROR(IF(B26="Tampa",INDEX(tbl_tampas[Pct_PCR],MATCH(A26,tbl_tampas[CapId],0)),INDEX(tbl_recyclass[Pct_PCR_Corpo],MATCH(A26,tbl_recyclass[ProductId],0))),0)</f>
        <v>0.5</v>
      </c>
      <c r="J26" s="32">
        <f t="shared" si="1"/>
        <v>122.529</v>
      </c>
      <c r="K26" s="32">
        <f t="shared" si="2"/>
        <v>122.529</v>
      </c>
      <c r="L26" s="43">
        <f>IF(C26="ES",K26*INDEX(tbl_param_emb[Valor],MATCH("P-01",tbl_param_emb[ID_Parametro],0)),0)</f>
        <v>0</v>
      </c>
      <c r="M26" s="33" t="str">
        <f>IF(B26="Tampa","Componente",IFERROR(INDEX(tbl_recyclass[Grau_PPWR_Indicativo],MATCH(A26,tbl_recyclass[ProductId],0)),""))</f>
        <v>Abaixo de C</v>
      </c>
    </row>
    <row r="27" spans="1:13" ht="16.05" customHeight="1" x14ac:dyDescent="0.3">
      <c r="A27" s="26" t="s">
        <v>608</v>
      </c>
      <c r="B27" s="26" t="s">
        <v>1470</v>
      </c>
      <c r="C27" s="26" t="s">
        <v>1472</v>
      </c>
      <c r="D27" s="26" t="s">
        <v>1473</v>
      </c>
      <c r="E27" s="39">
        <v>1</v>
      </c>
      <c r="F27" s="37">
        <v>31885</v>
      </c>
      <c r="G27" s="38">
        <f>IFERROR(IF(B27="Tampa",INDEX(tbl_tampas[Massa_g],MATCH(A27,tbl_tampas[CapId],0)),INDEX(tbl_recyclass[Massa_Corpo_g],MATCH(A27,tbl_recyclass[ProductId],0))),0)</f>
        <v>22</v>
      </c>
      <c r="H27" s="32">
        <f t="shared" si="0"/>
        <v>701.47</v>
      </c>
      <c r="I27" s="36">
        <f>IFERROR(IF(B27="Tampa",INDEX(tbl_tampas[Pct_PCR],MATCH(A27,tbl_tampas[CapId],0)),INDEX(tbl_recyclass[Pct_PCR_Corpo],MATCH(A27,tbl_recyclass[ProductId],0))),0)</f>
        <v>0.5</v>
      </c>
      <c r="J27" s="32">
        <f t="shared" si="1"/>
        <v>350.73500000000001</v>
      </c>
      <c r="K27" s="32">
        <f t="shared" si="2"/>
        <v>350.73500000000001</v>
      </c>
      <c r="L27" s="43">
        <f>IF(C27="ES",K27*INDEX(tbl_param_emb[Valor],MATCH("P-01",tbl_param_emb[ID_Parametro],0)),0)</f>
        <v>0</v>
      </c>
      <c r="M27" s="33" t="str">
        <f>IF(B27="Tampa","Componente",IFERROR(INDEX(tbl_recyclass[Grau_PPWR_Indicativo],MATCH(A27,tbl_recyclass[ProductId],0)),""))</f>
        <v>Abaixo de C</v>
      </c>
    </row>
    <row r="28" spans="1:13" ht="16.05" customHeight="1" x14ac:dyDescent="0.3">
      <c r="A28" s="26" t="s">
        <v>608</v>
      </c>
      <c r="B28" s="26" t="s">
        <v>1470</v>
      </c>
      <c r="C28" s="26" t="s">
        <v>1478</v>
      </c>
      <c r="D28" s="26" t="s">
        <v>1479</v>
      </c>
      <c r="E28" s="39">
        <v>1</v>
      </c>
      <c r="F28" s="37">
        <v>13324</v>
      </c>
      <c r="G28" s="38">
        <f>IFERROR(IF(B28="Tampa",INDEX(tbl_tampas[Massa_g],MATCH(A28,tbl_tampas[CapId],0)),INDEX(tbl_recyclass[Massa_Corpo_g],MATCH(A28,tbl_recyclass[ProductId],0))),0)</f>
        <v>22</v>
      </c>
      <c r="H28" s="32">
        <f t="shared" si="0"/>
        <v>293.12799999999999</v>
      </c>
      <c r="I28" s="36">
        <f>IFERROR(IF(B28="Tampa",INDEX(tbl_tampas[Pct_PCR],MATCH(A28,tbl_tampas[CapId],0)),INDEX(tbl_recyclass[Pct_PCR_Corpo],MATCH(A28,tbl_recyclass[ProductId],0))),0)</f>
        <v>0.5</v>
      </c>
      <c r="J28" s="32">
        <f t="shared" si="1"/>
        <v>146.56399999999999</v>
      </c>
      <c r="K28" s="32">
        <f t="shared" si="2"/>
        <v>146.56399999999999</v>
      </c>
      <c r="L28" s="43">
        <f>IF(C28="ES",K28*INDEX(tbl_param_emb[Valor],MATCH("P-01",tbl_param_emb[ID_Parametro],0)),0)</f>
        <v>0</v>
      </c>
      <c r="M28" s="33" t="str">
        <f>IF(B28="Tampa","Componente",IFERROR(INDEX(tbl_recyclass[Grau_PPWR_Indicativo],MATCH(A28,tbl_recyclass[ProductId],0)),""))</f>
        <v>Abaixo de C</v>
      </c>
    </row>
    <row r="29" spans="1:13" ht="16.05" customHeight="1" x14ac:dyDescent="0.3">
      <c r="A29" s="26" t="s">
        <v>608</v>
      </c>
      <c r="B29" s="26" t="s">
        <v>1470</v>
      </c>
      <c r="C29" s="26" t="s">
        <v>1480</v>
      </c>
      <c r="D29" s="26" t="s">
        <v>1481</v>
      </c>
      <c r="E29" s="39">
        <v>1</v>
      </c>
      <c r="F29" s="37">
        <v>33449</v>
      </c>
      <c r="G29" s="38">
        <f>IFERROR(IF(B29="Tampa",INDEX(tbl_tampas[Massa_g],MATCH(A29,tbl_tampas[CapId],0)),INDEX(tbl_recyclass[Massa_Corpo_g],MATCH(A29,tbl_recyclass[ProductId],0))),0)</f>
        <v>22</v>
      </c>
      <c r="H29" s="32">
        <f t="shared" si="0"/>
        <v>735.87800000000004</v>
      </c>
      <c r="I29" s="36">
        <f>IFERROR(IF(B29="Tampa",INDEX(tbl_tampas[Pct_PCR],MATCH(A29,tbl_tampas[CapId],0)),INDEX(tbl_recyclass[Pct_PCR_Corpo],MATCH(A29,tbl_recyclass[ProductId],0))),0)</f>
        <v>0.5</v>
      </c>
      <c r="J29" s="32">
        <f t="shared" si="1"/>
        <v>367.93900000000002</v>
      </c>
      <c r="K29" s="32">
        <f t="shared" si="2"/>
        <v>367.93900000000002</v>
      </c>
      <c r="L29" s="43">
        <f>IF(C29="ES",K29*INDEX(tbl_param_emb[Valor],MATCH("P-01",tbl_param_emb[ID_Parametro],0)),0)</f>
        <v>0</v>
      </c>
      <c r="M29" s="33" t="str">
        <f>IF(B29="Tampa","Componente",IFERROR(INDEX(tbl_recyclass[Grau_PPWR_Indicativo],MATCH(A29,tbl_recyclass[ProductId],0)),""))</f>
        <v>Abaixo de C</v>
      </c>
    </row>
    <row r="30" spans="1:13" ht="16.05" customHeight="1" x14ac:dyDescent="0.3">
      <c r="A30" s="26" t="s">
        <v>608</v>
      </c>
      <c r="B30" s="26" t="s">
        <v>1470</v>
      </c>
      <c r="C30" s="26" t="s">
        <v>847</v>
      </c>
      <c r="D30" s="26" t="s">
        <v>1471</v>
      </c>
      <c r="E30" s="39">
        <v>7</v>
      </c>
      <c r="F30" s="37">
        <v>178686</v>
      </c>
      <c r="G30" s="38">
        <f>IFERROR(IF(B30="Tampa",INDEX(tbl_tampas[Massa_g],MATCH(A30,tbl_tampas[CapId],0)),INDEX(tbl_recyclass[Massa_Corpo_g],MATCH(A30,tbl_recyclass[ProductId],0))),0)</f>
        <v>22</v>
      </c>
      <c r="H30" s="32">
        <f t="shared" si="0"/>
        <v>3931.0920000000001</v>
      </c>
      <c r="I30" s="36">
        <f>IFERROR(IF(B30="Tampa",INDEX(tbl_tampas[Pct_PCR],MATCH(A30,tbl_tampas[CapId],0)),INDEX(tbl_recyclass[Pct_PCR_Corpo],MATCH(A30,tbl_recyclass[ProductId],0))),0)</f>
        <v>0.5</v>
      </c>
      <c r="J30" s="32">
        <f t="shared" si="1"/>
        <v>1965.546</v>
      </c>
      <c r="K30" s="32">
        <f t="shared" si="2"/>
        <v>1965.546</v>
      </c>
      <c r="L30" s="43">
        <f>IF(C30="ES",K30*INDEX(tbl_param_emb[Valor],MATCH("P-01",tbl_param_emb[ID_Parametro],0)),0)</f>
        <v>0</v>
      </c>
      <c r="M30" s="33" t="str">
        <f>IF(B30="Tampa","Componente",IFERROR(INDEX(tbl_recyclass[Grau_PPWR_Indicativo],MATCH(A30,tbl_recyclass[ProductId],0)),""))</f>
        <v>Abaixo de C</v>
      </c>
    </row>
    <row r="31" spans="1:13" ht="16.05" customHeight="1" x14ac:dyDescent="0.3">
      <c r="A31" s="26" t="s">
        <v>608</v>
      </c>
      <c r="B31" s="26" t="s">
        <v>1470</v>
      </c>
      <c r="C31" s="26" t="s">
        <v>1474</v>
      </c>
      <c r="D31" s="26" t="s">
        <v>1475</v>
      </c>
      <c r="E31" s="39">
        <v>2</v>
      </c>
      <c r="F31" s="37">
        <v>42973</v>
      </c>
      <c r="G31" s="38">
        <f>IFERROR(IF(B31="Tampa",INDEX(tbl_tampas[Massa_g],MATCH(A31,tbl_tampas[CapId],0)),INDEX(tbl_recyclass[Massa_Corpo_g],MATCH(A31,tbl_recyclass[ProductId],0))),0)</f>
        <v>22</v>
      </c>
      <c r="H31" s="32">
        <f t="shared" si="0"/>
        <v>945.40599999999995</v>
      </c>
      <c r="I31" s="36">
        <f>IFERROR(IF(B31="Tampa",INDEX(tbl_tampas[Pct_PCR],MATCH(A31,tbl_tampas[CapId],0)),INDEX(tbl_recyclass[Pct_PCR_Corpo],MATCH(A31,tbl_recyclass[ProductId],0))),0)</f>
        <v>0.5</v>
      </c>
      <c r="J31" s="32">
        <f t="shared" si="1"/>
        <v>472.70299999999997</v>
      </c>
      <c r="K31" s="32">
        <f t="shared" si="2"/>
        <v>472.70299999999997</v>
      </c>
      <c r="L31" s="43">
        <f>IF(C31="ES",K31*INDEX(tbl_param_emb[Valor],MATCH("P-01",tbl_param_emb[ID_Parametro],0)),0)</f>
        <v>212.71635000000001</v>
      </c>
      <c r="M31" s="33" t="str">
        <f>IF(B31="Tampa","Componente",IFERROR(INDEX(tbl_recyclass[Grau_PPWR_Indicativo],MATCH(A31,tbl_recyclass[ProductId],0)),""))</f>
        <v>Abaixo de C</v>
      </c>
    </row>
    <row r="32" spans="1:13" ht="16.05" customHeight="1" x14ac:dyDescent="0.3">
      <c r="A32" s="26" t="s">
        <v>600</v>
      </c>
      <c r="B32" s="26" t="s">
        <v>1470</v>
      </c>
      <c r="C32" s="26" t="s">
        <v>1476</v>
      </c>
      <c r="D32" s="26" t="s">
        <v>1477</v>
      </c>
      <c r="E32" s="39">
        <v>1</v>
      </c>
      <c r="F32" s="37">
        <v>75172</v>
      </c>
      <c r="G32" s="38">
        <f>IFERROR(IF(B32="Tampa",INDEX(tbl_tampas[Massa_g],MATCH(A32,tbl_tampas[CapId],0)),INDEX(tbl_recyclass[Massa_Corpo_g],MATCH(A32,tbl_recyclass[ProductId],0))),0)</f>
        <v>22</v>
      </c>
      <c r="H32" s="32">
        <f t="shared" si="0"/>
        <v>1653.7840000000001</v>
      </c>
      <c r="I32" s="36">
        <f>IFERROR(IF(B32="Tampa",INDEX(tbl_tampas[Pct_PCR],MATCH(A32,tbl_tampas[CapId],0)),INDEX(tbl_recyclass[Pct_PCR_Corpo],MATCH(A32,tbl_recyclass[ProductId],0))),0)</f>
        <v>0.3</v>
      </c>
      <c r="J32" s="32">
        <f t="shared" si="1"/>
        <v>496.1352</v>
      </c>
      <c r="K32" s="32">
        <f t="shared" si="2"/>
        <v>1157.6488000000002</v>
      </c>
      <c r="L32" s="43">
        <f>IF(C32="ES",K32*INDEX(tbl_param_emb[Valor],MATCH("P-01",tbl_param_emb[ID_Parametro],0)),0)</f>
        <v>0</v>
      </c>
      <c r="M32" s="33" t="str">
        <f>IF(B32="Tampa","Componente",IFERROR(INDEX(tbl_recyclass[Grau_PPWR_Indicativo],MATCH(A32,tbl_recyclass[ProductId],0)),""))</f>
        <v>B</v>
      </c>
    </row>
    <row r="33" spans="1:13" ht="16.05" customHeight="1" x14ac:dyDescent="0.3">
      <c r="A33" s="26" t="s">
        <v>600</v>
      </c>
      <c r="B33" s="26" t="s">
        <v>1470</v>
      </c>
      <c r="C33" s="26" t="s">
        <v>1472</v>
      </c>
      <c r="D33" s="26" t="s">
        <v>1473</v>
      </c>
      <c r="E33" s="39">
        <v>1</v>
      </c>
      <c r="F33" s="37">
        <v>76530</v>
      </c>
      <c r="G33" s="38">
        <f>IFERROR(IF(B33="Tampa",INDEX(tbl_tampas[Massa_g],MATCH(A33,tbl_tampas[CapId],0)),INDEX(tbl_recyclass[Massa_Corpo_g],MATCH(A33,tbl_recyclass[ProductId],0))),0)</f>
        <v>22</v>
      </c>
      <c r="H33" s="32">
        <f t="shared" si="0"/>
        <v>1683.66</v>
      </c>
      <c r="I33" s="36">
        <f>IFERROR(IF(B33="Tampa",INDEX(tbl_tampas[Pct_PCR],MATCH(A33,tbl_tampas[CapId],0)),INDEX(tbl_recyclass[Pct_PCR_Corpo],MATCH(A33,tbl_recyclass[ProductId],0))),0)</f>
        <v>0.3</v>
      </c>
      <c r="J33" s="32">
        <f t="shared" si="1"/>
        <v>505.09800000000001</v>
      </c>
      <c r="K33" s="32">
        <f t="shared" si="2"/>
        <v>1178.5620000000001</v>
      </c>
      <c r="L33" s="43">
        <f>IF(C33="ES",K33*INDEX(tbl_param_emb[Valor],MATCH("P-01",tbl_param_emb[ID_Parametro],0)),0)</f>
        <v>0</v>
      </c>
      <c r="M33" s="33" t="str">
        <f>IF(B33="Tampa","Componente",IFERROR(INDEX(tbl_recyclass[Grau_PPWR_Indicativo],MATCH(A33,tbl_recyclass[ProductId],0)),""))</f>
        <v>B</v>
      </c>
    </row>
    <row r="34" spans="1:13" ht="16.05" customHeight="1" x14ac:dyDescent="0.3">
      <c r="A34" s="26" t="s">
        <v>600</v>
      </c>
      <c r="B34" s="26" t="s">
        <v>1470</v>
      </c>
      <c r="C34" s="26" t="s">
        <v>1478</v>
      </c>
      <c r="D34" s="26" t="s">
        <v>1479</v>
      </c>
      <c r="E34" s="39">
        <v>1</v>
      </c>
      <c r="F34" s="37">
        <v>111304</v>
      </c>
      <c r="G34" s="38">
        <f>IFERROR(IF(B34="Tampa",INDEX(tbl_tampas[Massa_g],MATCH(A34,tbl_tampas[CapId],0)),INDEX(tbl_recyclass[Massa_Corpo_g],MATCH(A34,tbl_recyclass[ProductId],0))),0)</f>
        <v>22</v>
      </c>
      <c r="H34" s="32">
        <f t="shared" si="0"/>
        <v>2448.6880000000001</v>
      </c>
      <c r="I34" s="36">
        <f>IFERROR(IF(B34="Tampa",INDEX(tbl_tampas[Pct_PCR],MATCH(A34,tbl_tampas[CapId],0)),INDEX(tbl_recyclass[Pct_PCR_Corpo],MATCH(A34,tbl_recyclass[ProductId],0))),0)</f>
        <v>0.3</v>
      </c>
      <c r="J34" s="32">
        <f t="shared" si="1"/>
        <v>734.60640000000001</v>
      </c>
      <c r="K34" s="32">
        <f t="shared" si="2"/>
        <v>1714.0816</v>
      </c>
      <c r="L34" s="43">
        <f>IF(C34="ES",K34*INDEX(tbl_param_emb[Valor],MATCH("P-01",tbl_param_emb[ID_Parametro],0)),0)</f>
        <v>0</v>
      </c>
      <c r="M34" s="33" t="str">
        <f>IF(B34="Tampa","Componente",IFERROR(INDEX(tbl_recyclass[Grau_PPWR_Indicativo],MATCH(A34,tbl_recyclass[ProductId],0)),""))</f>
        <v>B</v>
      </c>
    </row>
    <row r="35" spans="1:13" ht="16.05" customHeight="1" x14ac:dyDescent="0.3">
      <c r="A35" s="26" t="s">
        <v>600</v>
      </c>
      <c r="B35" s="26" t="s">
        <v>1470</v>
      </c>
      <c r="C35" s="26" t="s">
        <v>1480</v>
      </c>
      <c r="D35" s="26" t="s">
        <v>1481</v>
      </c>
      <c r="E35" s="39">
        <v>1</v>
      </c>
      <c r="F35" s="37">
        <v>88366</v>
      </c>
      <c r="G35" s="38">
        <f>IFERROR(IF(B35="Tampa",INDEX(tbl_tampas[Massa_g],MATCH(A35,tbl_tampas[CapId],0)),INDEX(tbl_recyclass[Massa_Corpo_g],MATCH(A35,tbl_recyclass[ProductId],0))),0)</f>
        <v>22</v>
      </c>
      <c r="H35" s="32">
        <f t="shared" si="0"/>
        <v>1944.0519999999999</v>
      </c>
      <c r="I35" s="36">
        <f>IFERROR(IF(B35="Tampa",INDEX(tbl_tampas[Pct_PCR],MATCH(A35,tbl_tampas[CapId],0)),INDEX(tbl_recyclass[Pct_PCR_Corpo],MATCH(A35,tbl_recyclass[ProductId],0))),0)</f>
        <v>0.3</v>
      </c>
      <c r="J35" s="32">
        <f t="shared" si="1"/>
        <v>583.21559999999999</v>
      </c>
      <c r="K35" s="32">
        <f t="shared" si="2"/>
        <v>1360.8363999999999</v>
      </c>
      <c r="L35" s="43">
        <f>IF(C35="ES",K35*INDEX(tbl_param_emb[Valor],MATCH("P-01",tbl_param_emb[ID_Parametro],0)),0)</f>
        <v>0</v>
      </c>
      <c r="M35" s="33" t="str">
        <f>IF(B35="Tampa","Componente",IFERROR(INDEX(tbl_recyclass[Grau_PPWR_Indicativo],MATCH(A35,tbl_recyclass[ProductId],0)),""))</f>
        <v>B</v>
      </c>
    </row>
    <row r="36" spans="1:13" ht="16.05" customHeight="1" x14ac:dyDescent="0.3">
      <c r="A36" s="26" t="s">
        <v>600</v>
      </c>
      <c r="B36" s="26" t="s">
        <v>1470</v>
      </c>
      <c r="C36" s="26" t="s">
        <v>847</v>
      </c>
      <c r="D36" s="26" t="s">
        <v>1471</v>
      </c>
      <c r="E36" s="39">
        <v>8</v>
      </c>
      <c r="F36" s="37">
        <v>683139</v>
      </c>
      <c r="G36" s="38">
        <f>IFERROR(IF(B36="Tampa",INDEX(tbl_tampas[Massa_g],MATCH(A36,tbl_tampas[CapId],0)),INDEX(tbl_recyclass[Massa_Corpo_g],MATCH(A36,tbl_recyclass[ProductId],0))),0)</f>
        <v>22</v>
      </c>
      <c r="H36" s="32">
        <f t="shared" si="0"/>
        <v>15029.058000000001</v>
      </c>
      <c r="I36" s="36">
        <f>IFERROR(IF(B36="Tampa",INDEX(tbl_tampas[Pct_PCR],MATCH(A36,tbl_tampas[CapId],0)),INDEX(tbl_recyclass[Pct_PCR_Corpo],MATCH(A36,tbl_recyclass[ProductId],0))),0)</f>
        <v>0.3</v>
      </c>
      <c r="J36" s="32">
        <f t="shared" si="1"/>
        <v>4508.7174000000005</v>
      </c>
      <c r="K36" s="32">
        <f t="shared" si="2"/>
        <v>10520.3406</v>
      </c>
      <c r="L36" s="43">
        <f>IF(C36="ES",K36*INDEX(tbl_param_emb[Valor],MATCH("P-01",tbl_param_emb[ID_Parametro],0)),0)</f>
        <v>0</v>
      </c>
      <c r="M36" s="33" t="str">
        <f>IF(B36="Tampa","Componente",IFERROR(INDEX(tbl_recyclass[Grau_PPWR_Indicativo],MATCH(A36,tbl_recyclass[ProductId],0)),""))</f>
        <v>B</v>
      </c>
    </row>
    <row r="37" spans="1:13" ht="16.05" customHeight="1" x14ac:dyDescent="0.3">
      <c r="A37" s="26" t="s">
        <v>600</v>
      </c>
      <c r="B37" s="26" t="s">
        <v>1470</v>
      </c>
      <c r="C37" s="26" t="s">
        <v>1474</v>
      </c>
      <c r="D37" s="26" t="s">
        <v>1475</v>
      </c>
      <c r="E37" s="39">
        <v>2</v>
      </c>
      <c r="F37" s="37">
        <v>201850</v>
      </c>
      <c r="G37" s="38">
        <f>IFERROR(IF(B37="Tampa",INDEX(tbl_tampas[Massa_g],MATCH(A37,tbl_tampas[CapId],0)),INDEX(tbl_recyclass[Massa_Corpo_g],MATCH(A37,tbl_recyclass[ProductId],0))),0)</f>
        <v>22</v>
      </c>
      <c r="H37" s="32">
        <f t="shared" si="0"/>
        <v>4440.7</v>
      </c>
      <c r="I37" s="36">
        <f>IFERROR(IF(B37="Tampa",INDEX(tbl_tampas[Pct_PCR],MATCH(A37,tbl_tampas[CapId],0)),INDEX(tbl_recyclass[Pct_PCR_Corpo],MATCH(A37,tbl_recyclass[ProductId],0))),0)</f>
        <v>0.3</v>
      </c>
      <c r="J37" s="32">
        <f t="shared" si="1"/>
        <v>1332.2099999999998</v>
      </c>
      <c r="K37" s="32">
        <f t="shared" si="2"/>
        <v>3108.49</v>
      </c>
      <c r="L37" s="43">
        <f>IF(C37="ES",K37*INDEX(tbl_param_emb[Valor],MATCH("P-01",tbl_param_emb[ID_Parametro],0)),0)</f>
        <v>1398.8205</v>
      </c>
      <c r="M37" s="33" t="str">
        <f>IF(B37="Tampa","Componente",IFERROR(INDEX(tbl_recyclass[Grau_PPWR_Indicativo],MATCH(A37,tbl_recyclass[ProductId],0)),""))</f>
        <v>B</v>
      </c>
    </row>
    <row r="38" spans="1:13" ht="16.05" customHeight="1" x14ac:dyDescent="0.3">
      <c r="A38" s="26" t="s">
        <v>613</v>
      </c>
      <c r="B38" s="26" t="s">
        <v>1470</v>
      </c>
      <c r="C38" s="26" t="s">
        <v>1476</v>
      </c>
      <c r="D38" s="26" t="s">
        <v>1477</v>
      </c>
      <c r="E38" s="39">
        <v>1</v>
      </c>
      <c r="F38" s="37">
        <v>24260</v>
      </c>
      <c r="G38" s="38">
        <f>IFERROR(IF(B38="Tampa",INDEX(tbl_tampas[Massa_g],MATCH(A38,tbl_tampas[CapId],0)),INDEX(tbl_recyclass[Massa_Corpo_g],MATCH(A38,tbl_recyclass[ProductId],0))),0)</f>
        <v>22</v>
      </c>
      <c r="H38" s="32">
        <f t="shared" si="0"/>
        <v>533.72</v>
      </c>
      <c r="I38" s="36">
        <f>IFERROR(IF(B38="Tampa",INDEX(tbl_tampas[Pct_PCR],MATCH(A38,tbl_tampas[CapId],0)),INDEX(tbl_recyclass[Pct_PCR_Corpo],MATCH(A38,tbl_recyclass[ProductId],0))),0)</f>
        <v>0.5</v>
      </c>
      <c r="J38" s="32">
        <f t="shared" si="1"/>
        <v>266.86</v>
      </c>
      <c r="K38" s="32">
        <f t="shared" si="2"/>
        <v>266.86</v>
      </c>
      <c r="L38" s="43">
        <f>IF(C38="ES",K38*INDEX(tbl_param_emb[Valor],MATCH("P-01",tbl_param_emb[ID_Parametro],0)),0)</f>
        <v>0</v>
      </c>
      <c r="M38" s="33" t="str">
        <f>IF(B38="Tampa","Componente",IFERROR(INDEX(tbl_recyclass[Grau_PPWR_Indicativo],MATCH(A38,tbl_recyclass[ProductId],0)),""))</f>
        <v>Abaixo de C</v>
      </c>
    </row>
    <row r="39" spans="1:13" ht="16.05" customHeight="1" x14ac:dyDescent="0.3">
      <c r="A39" s="26" t="s">
        <v>613</v>
      </c>
      <c r="B39" s="26" t="s">
        <v>1470</v>
      </c>
      <c r="C39" s="26" t="s">
        <v>1472</v>
      </c>
      <c r="D39" s="26" t="s">
        <v>1473</v>
      </c>
      <c r="E39" s="39">
        <v>1</v>
      </c>
      <c r="F39" s="37">
        <v>5388</v>
      </c>
      <c r="G39" s="38">
        <f>IFERROR(IF(B39="Tampa",INDEX(tbl_tampas[Massa_g],MATCH(A39,tbl_tampas[CapId],0)),INDEX(tbl_recyclass[Massa_Corpo_g],MATCH(A39,tbl_recyclass[ProductId],0))),0)</f>
        <v>22</v>
      </c>
      <c r="H39" s="32">
        <f t="shared" si="0"/>
        <v>118.536</v>
      </c>
      <c r="I39" s="36">
        <f>IFERROR(IF(B39="Tampa",INDEX(tbl_tampas[Pct_PCR],MATCH(A39,tbl_tampas[CapId],0)),INDEX(tbl_recyclass[Pct_PCR_Corpo],MATCH(A39,tbl_recyclass[ProductId],0))),0)</f>
        <v>0.5</v>
      </c>
      <c r="J39" s="32">
        <f t="shared" si="1"/>
        <v>59.268000000000001</v>
      </c>
      <c r="K39" s="32">
        <f t="shared" si="2"/>
        <v>59.268000000000001</v>
      </c>
      <c r="L39" s="43">
        <f>IF(C39="ES",K39*INDEX(tbl_param_emb[Valor],MATCH("P-01",tbl_param_emb[ID_Parametro],0)),0)</f>
        <v>0</v>
      </c>
      <c r="M39" s="33" t="str">
        <f>IF(B39="Tampa","Componente",IFERROR(INDEX(tbl_recyclass[Grau_PPWR_Indicativo],MATCH(A39,tbl_recyclass[ProductId],0)),""))</f>
        <v>Abaixo de C</v>
      </c>
    </row>
    <row r="40" spans="1:13" ht="16.05" customHeight="1" x14ac:dyDescent="0.3">
      <c r="A40" s="26" t="s">
        <v>613</v>
      </c>
      <c r="B40" s="26" t="s">
        <v>1470</v>
      </c>
      <c r="C40" s="26" t="s">
        <v>1478</v>
      </c>
      <c r="D40" s="26" t="s">
        <v>1479</v>
      </c>
      <c r="E40" s="39">
        <v>1</v>
      </c>
      <c r="F40" s="37">
        <v>16022</v>
      </c>
      <c r="G40" s="38">
        <f>IFERROR(IF(B40="Tampa",INDEX(tbl_tampas[Massa_g],MATCH(A40,tbl_tampas[CapId],0)),INDEX(tbl_recyclass[Massa_Corpo_g],MATCH(A40,tbl_recyclass[ProductId],0))),0)</f>
        <v>22</v>
      </c>
      <c r="H40" s="32">
        <f t="shared" si="0"/>
        <v>352.48399999999998</v>
      </c>
      <c r="I40" s="36">
        <f>IFERROR(IF(B40="Tampa",INDEX(tbl_tampas[Pct_PCR],MATCH(A40,tbl_tampas[CapId],0)),INDEX(tbl_recyclass[Pct_PCR_Corpo],MATCH(A40,tbl_recyclass[ProductId],0))),0)</f>
        <v>0.5</v>
      </c>
      <c r="J40" s="32">
        <f t="shared" si="1"/>
        <v>176.24199999999999</v>
      </c>
      <c r="K40" s="32">
        <f t="shared" si="2"/>
        <v>176.24199999999999</v>
      </c>
      <c r="L40" s="43">
        <f>IF(C40="ES",K40*INDEX(tbl_param_emb[Valor],MATCH("P-01",tbl_param_emb[ID_Parametro],0)),0)</f>
        <v>0</v>
      </c>
      <c r="M40" s="33" t="str">
        <f>IF(B40="Tampa","Componente",IFERROR(INDEX(tbl_recyclass[Grau_PPWR_Indicativo],MATCH(A40,tbl_recyclass[ProductId],0)),""))</f>
        <v>Abaixo de C</v>
      </c>
    </row>
    <row r="41" spans="1:13" ht="16.05" customHeight="1" x14ac:dyDescent="0.3">
      <c r="A41" s="26" t="s">
        <v>613</v>
      </c>
      <c r="B41" s="26" t="s">
        <v>1470</v>
      </c>
      <c r="C41" s="26" t="s">
        <v>1480</v>
      </c>
      <c r="D41" s="26" t="s">
        <v>1481</v>
      </c>
      <c r="E41" s="39">
        <v>1</v>
      </c>
      <c r="F41" s="37">
        <v>10324</v>
      </c>
      <c r="G41" s="38">
        <f>IFERROR(IF(B41="Tampa",INDEX(tbl_tampas[Massa_g],MATCH(A41,tbl_tampas[CapId],0)),INDEX(tbl_recyclass[Massa_Corpo_g],MATCH(A41,tbl_recyclass[ProductId],0))),0)</f>
        <v>22</v>
      </c>
      <c r="H41" s="32">
        <f t="shared" si="0"/>
        <v>227.12799999999999</v>
      </c>
      <c r="I41" s="36">
        <f>IFERROR(IF(B41="Tampa",INDEX(tbl_tampas[Pct_PCR],MATCH(A41,tbl_tampas[CapId],0)),INDEX(tbl_recyclass[Pct_PCR_Corpo],MATCH(A41,tbl_recyclass[ProductId],0))),0)</f>
        <v>0.5</v>
      </c>
      <c r="J41" s="32">
        <f t="shared" si="1"/>
        <v>113.56399999999999</v>
      </c>
      <c r="K41" s="32">
        <f t="shared" si="2"/>
        <v>113.56399999999999</v>
      </c>
      <c r="L41" s="43">
        <f>IF(C41="ES",K41*INDEX(tbl_param_emb[Valor],MATCH("P-01",tbl_param_emb[ID_Parametro],0)),0)</f>
        <v>0</v>
      </c>
      <c r="M41" s="33" t="str">
        <f>IF(B41="Tampa","Componente",IFERROR(INDEX(tbl_recyclass[Grau_PPWR_Indicativo],MATCH(A41,tbl_recyclass[ProductId],0)),""))</f>
        <v>Abaixo de C</v>
      </c>
    </row>
    <row r="42" spans="1:13" ht="16.05" customHeight="1" x14ac:dyDescent="0.3">
      <c r="A42" s="26" t="s">
        <v>613</v>
      </c>
      <c r="B42" s="26" t="s">
        <v>1470</v>
      </c>
      <c r="C42" s="26" t="s">
        <v>847</v>
      </c>
      <c r="D42" s="26" t="s">
        <v>1471</v>
      </c>
      <c r="E42" s="39">
        <v>8</v>
      </c>
      <c r="F42" s="37">
        <v>133310</v>
      </c>
      <c r="G42" s="38">
        <f>IFERROR(IF(B42="Tampa",INDEX(tbl_tampas[Massa_g],MATCH(A42,tbl_tampas[CapId],0)),INDEX(tbl_recyclass[Massa_Corpo_g],MATCH(A42,tbl_recyclass[ProductId],0))),0)</f>
        <v>22</v>
      </c>
      <c r="H42" s="32">
        <f t="shared" si="0"/>
        <v>2932.82</v>
      </c>
      <c r="I42" s="36">
        <f>IFERROR(IF(B42="Tampa",INDEX(tbl_tampas[Pct_PCR],MATCH(A42,tbl_tampas[CapId],0)),INDEX(tbl_recyclass[Pct_PCR_Corpo],MATCH(A42,tbl_recyclass[ProductId],0))),0)</f>
        <v>0.5</v>
      </c>
      <c r="J42" s="32">
        <f t="shared" si="1"/>
        <v>1466.41</v>
      </c>
      <c r="K42" s="32">
        <f t="shared" si="2"/>
        <v>1466.41</v>
      </c>
      <c r="L42" s="43">
        <f>IF(C42="ES",K42*INDEX(tbl_param_emb[Valor],MATCH("P-01",tbl_param_emb[ID_Parametro],0)),0)</f>
        <v>0</v>
      </c>
      <c r="M42" s="33" t="str">
        <f>IF(B42="Tampa","Componente",IFERROR(INDEX(tbl_recyclass[Grau_PPWR_Indicativo],MATCH(A42,tbl_recyclass[ProductId],0)),""))</f>
        <v>Abaixo de C</v>
      </c>
    </row>
    <row r="43" spans="1:13" ht="16.05" customHeight="1" x14ac:dyDescent="0.3">
      <c r="A43" s="26" t="s">
        <v>613</v>
      </c>
      <c r="B43" s="26" t="s">
        <v>1470</v>
      </c>
      <c r="C43" s="26" t="s">
        <v>1474</v>
      </c>
      <c r="D43" s="26" t="s">
        <v>1475</v>
      </c>
      <c r="E43" s="39">
        <v>2</v>
      </c>
      <c r="F43" s="37">
        <v>33478</v>
      </c>
      <c r="G43" s="38">
        <f>IFERROR(IF(B43="Tampa",INDEX(tbl_tampas[Massa_g],MATCH(A43,tbl_tampas[CapId],0)),INDEX(tbl_recyclass[Massa_Corpo_g],MATCH(A43,tbl_recyclass[ProductId],0))),0)</f>
        <v>22</v>
      </c>
      <c r="H43" s="32">
        <f t="shared" si="0"/>
        <v>736.51599999999996</v>
      </c>
      <c r="I43" s="36">
        <f>IFERROR(IF(B43="Tampa",INDEX(tbl_tampas[Pct_PCR],MATCH(A43,tbl_tampas[CapId],0)),INDEX(tbl_recyclass[Pct_PCR_Corpo],MATCH(A43,tbl_recyclass[ProductId],0))),0)</f>
        <v>0.5</v>
      </c>
      <c r="J43" s="32">
        <f t="shared" si="1"/>
        <v>368.25799999999998</v>
      </c>
      <c r="K43" s="32">
        <f t="shared" si="2"/>
        <v>368.25799999999998</v>
      </c>
      <c r="L43" s="43">
        <f>IF(C43="ES",K43*INDEX(tbl_param_emb[Valor],MATCH("P-01",tbl_param_emb[ID_Parametro],0)),0)</f>
        <v>165.71609999999998</v>
      </c>
      <c r="M43" s="33" t="str">
        <f>IF(B43="Tampa","Componente",IFERROR(INDEX(tbl_recyclass[Grau_PPWR_Indicativo],MATCH(A43,tbl_recyclass[ProductId],0)),""))</f>
        <v>Abaixo de C</v>
      </c>
    </row>
    <row r="44" spans="1:13" ht="16.05" customHeight="1" x14ac:dyDescent="0.3">
      <c r="A44" s="26" t="s">
        <v>615</v>
      </c>
      <c r="B44" s="26" t="s">
        <v>1470</v>
      </c>
      <c r="C44" s="26" t="s">
        <v>1476</v>
      </c>
      <c r="D44" s="26" t="s">
        <v>1477</v>
      </c>
      <c r="E44" s="39">
        <v>1</v>
      </c>
      <c r="F44" s="37">
        <v>26407</v>
      </c>
      <c r="G44" s="38">
        <f>IFERROR(IF(B44="Tampa",INDEX(tbl_tampas[Massa_g],MATCH(A44,tbl_tampas[CapId],0)),INDEX(tbl_recyclass[Massa_Corpo_g],MATCH(A44,tbl_recyclass[ProductId],0))),0)</f>
        <v>23.4</v>
      </c>
      <c r="H44" s="32">
        <f t="shared" si="0"/>
        <v>617.92379999999991</v>
      </c>
      <c r="I44" s="36">
        <f>IFERROR(IF(B44="Tampa",INDEX(tbl_tampas[Pct_PCR],MATCH(A44,tbl_tampas[CapId],0)),INDEX(tbl_recyclass[Pct_PCR_Corpo],MATCH(A44,tbl_recyclass[ProductId],0))),0)</f>
        <v>0.5</v>
      </c>
      <c r="J44" s="32">
        <f t="shared" si="1"/>
        <v>308.96189999999996</v>
      </c>
      <c r="K44" s="32">
        <f t="shared" si="2"/>
        <v>308.96189999999996</v>
      </c>
      <c r="L44" s="43">
        <f>IF(C44="ES",K44*INDEX(tbl_param_emb[Valor],MATCH("P-01",tbl_param_emb[ID_Parametro],0)),0)</f>
        <v>0</v>
      </c>
      <c r="M44" s="33" t="str">
        <f>IF(B44="Tampa","Componente",IFERROR(INDEX(tbl_recyclass[Grau_PPWR_Indicativo],MATCH(A44,tbl_recyclass[ProductId],0)),""))</f>
        <v>Abaixo de C</v>
      </c>
    </row>
    <row r="45" spans="1:13" ht="16.05" customHeight="1" x14ac:dyDescent="0.3">
      <c r="A45" s="26" t="s">
        <v>615</v>
      </c>
      <c r="B45" s="26" t="s">
        <v>1470</v>
      </c>
      <c r="C45" s="26" t="s">
        <v>1472</v>
      </c>
      <c r="D45" s="26" t="s">
        <v>1473</v>
      </c>
      <c r="E45" s="39">
        <v>1</v>
      </c>
      <c r="F45" s="37">
        <v>47245</v>
      </c>
      <c r="G45" s="38">
        <f>IFERROR(IF(B45="Tampa",INDEX(tbl_tampas[Massa_g],MATCH(A45,tbl_tampas[CapId],0)),INDEX(tbl_recyclass[Massa_Corpo_g],MATCH(A45,tbl_recyclass[ProductId],0))),0)</f>
        <v>23.4</v>
      </c>
      <c r="H45" s="32">
        <f t="shared" si="0"/>
        <v>1105.5329999999999</v>
      </c>
      <c r="I45" s="36">
        <f>IFERROR(IF(B45="Tampa",INDEX(tbl_tampas[Pct_PCR],MATCH(A45,tbl_tampas[CapId],0)),INDEX(tbl_recyclass[Pct_PCR_Corpo],MATCH(A45,tbl_recyclass[ProductId],0))),0)</f>
        <v>0.5</v>
      </c>
      <c r="J45" s="32">
        <f t="shared" si="1"/>
        <v>552.76649999999995</v>
      </c>
      <c r="K45" s="32">
        <f t="shared" si="2"/>
        <v>552.76649999999995</v>
      </c>
      <c r="L45" s="43">
        <f>IF(C45="ES",K45*INDEX(tbl_param_emb[Valor],MATCH("P-01",tbl_param_emb[ID_Parametro],0)),0)</f>
        <v>0</v>
      </c>
      <c r="M45" s="33" t="str">
        <f>IF(B45="Tampa","Componente",IFERROR(INDEX(tbl_recyclass[Grau_PPWR_Indicativo],MATCH(A45,tbl_recyclass[ProductId],0)),""))</f>
        <v>Abaixo de C</v>
      </c>
    </row>
    <row r="46" spans="1:13" ht="16.05" customHeight="1" x14ac:dyDescent="0.3">
      <c r="A46" s="26" t="s">
        <v>615</v>
      </c>
      <c r="B46" s="26" t="s">
        <v>1470</v>
      </c>
      <c r="C46" s="26" t="s">
        <v>1478</v>
      </c>
      <c r="D46" s="26" t="s">
        <v>1479</v>
      </c>
      <c r="E46" s="39">
        <v>1</v>
      </c>
      <c r="F46" s="37">
        <v>42997</v>
      </c>
      <c r="G46" s="38">
        <f>IFERROR(IF(B46="Tampa",INDEX(tbl_tampas[Massa_g],MATCH(A46,tbl_tampas[CapId],0)),INDEX(tbl_recyclass[Massa_Corpo_g],MATCH(A46,tbl_recyclass[ProductId],0))),0)</f>
        <v>23.4</v>
      </c>
      <c r="H46" s="32">
        <f t="shared" si="0"/>
        <v>1006.1297999999999</v>
      </c>
      <c r="I46" s="36">
        <f>IFERROR(IF(B46="Tampa",INDEX(tbl_tampas[Pct_PCR],MATCH(A46,tbl_tampas[CapId],0)),INDEX(tbl_recyclass[Pct_PCR_Corpo],MATCH(A46,tbl_recyclass[ProductId],0))),0)</f>
        <v>0.5</v>
      </c>
      <c r="J46" s="32">
        <f t="shared" si="1"/>
        <v>503.06489999999997</v>
      </c>
      <c r="K46" s="32">
        <f t="shared" si="2"/>
        <v>503.06489999999997</v>
      </c>
      <c r="L46" s="43">
        <f>IF(C46="ES",K46*INDEX(tbl_param_emb[Valor],MATCH("P-01",tbl_param_emb[ID_Parametro],0)),0)</f>
        <v>0</v>
      </c>
      <c r="M46" s="33" t="str">
        <f>IF(B46="Tampa","Componente",IFERROR(INDEX(tbl_recyclass[Grau_PPWR_Indicativo],MATCH(A46,tbl_recyclass[ProductId],0)),""))</f>
        <v>Abaixo de C</v>
      </c>
    </row>
    <row r="47" spans="1:13" ht="16.05" customHeight="1" x14ac:dyDescent="0.3">
      <c r="A47" s="26" t="s">
        <v>615</v>
      </c>
      <c r="B47" s="26" t="s">
        <v>1470</v>
      </c>
      <c r="C47" s="26" t="s">
        <v>1480</v>
      </c>
      <c r="D47" s="26" t="s">
        <v>1481</v>
      </c>
      <c r="E47" s="39">
        <v>1</v>
      </c>
      <c r="F47" s="37">
        <v>39367</v>
      </c>
      <c r="G47" s="38">
        <f>IFERROR(IF(B47="Tampa",INDEX(tbl_tampas[Massa_g],MATCH(A47,tbl_tampas[CapId],0)),INDEX(tbl_recyclass[Massa_Corpo_g],MATCH(A47,tbl_recyclass[ProductId],0))),0)</f>
        <v>23.4</v>
      </c>
      <c r="H47" s="32">
        <f t="shared" si="0"/>
        <v>921.18779999999992</v>
      </c>
      <c r="I47" s="36">
        <f>IFERROR(IF(B47="Tampa",INDEX(tbl_tampas[Pct_PCR],MATCH(A47,tbl_tampas[CapId],0)),INDEX(tbl_recyclass[Pct_PCR_Corpo],MATCH(A47,tbl_recyclass[ProductId],0))),0)</f>
        <v>0.5</v>
      </c>
      <c r="J47" s="32">
        <f t="shared" si="1"/>
        <v>460.59389999999996</v>
      </c>
      <c r="K47" s="32">
        <f t="shared" si="2"/>
        <v>460.59389999999996</v>
      </c>
      <c r="L47" s="43">
        <f>IF(C47="ES",K47*INDEX(tbl_param_emb[Valor],MATCH("P-01",tbl_param_emb[ID_Parametro],0)),0)</f>
        <v>0</v>
      </c>
      <c r="M47" s="33" t="str">
        <f>IF(B47="Tampa","Componente",IFERROR(INDEX(tbl_recyclass[Grau_PPWR_Indicativo],MATCH(A47,tbl_recyclass[ProductId],0)),""))</f>
        <v>Abaixo de C</v>
      </c>
    </row>
    <row r="48" spans="1:13" ht="16.05" customHeight="1" x14ac:dyDescent="0.3">
      <c r="A48" s="26" t="s">
        <v>615</v>
      </c>
      <c r="B48" s="26" t="s">
        <v>1470</v>
      </c>
      <c r="C48" s="26" t="s">
        <v>847</v>
      </c>
      <c r="D48" s="26" t="s">
        <v>1471</v>
      </c>
      <c r="E48" s="39">
        <v>8</v>
      </c>
      <c r="F48" s="37">
        <v>259571</v>
      </c>
      <c r="G48" s="38">
        <f>IFERROR(IF(B48="Tampa",INDEX(tbl_tampas[Massa_g],MATCH(A48,tbl_tampas[CapId],0)),INDEX(tbl_recyclass[Massa_Corpo_g],MATCH(A48,tbl_recyclass[ProductId],0))),0)</f>
        <v>23.4</v>
      </c>
      <c r="H48" s="32">
        <f t="shared" si="0"/>
        <v>6073.9613999999992</v>
      </c>
      <c r="I48" s="36">
        <f>IFERROR(IF(B48="Tampa",INDEX(tbl_tampas[Pct_PCR],MATCH(A48,tbl_tampas[CapId],0)),INDEX(tbl_recyclass[Pct_PCR_Corpo],MATCH(A48,tbl_recyclass[ProductId],0))),0)</f>
        <v>0.5</v>
      </c>
      <c r="J48" s="32">
        <f t="shared" si="1"/>
        <v>3036.9806999999996</v>
      </c>
      <c r="K48" s="32">
        <f t="shared" si="2"/>
        <v>3036.9806999999996</v>
      </c>
      <c r="L48" s="43">
        <f>IF(C48="ES",K48*INDEX(tbl_param_emb[Valor],MATCH("P-01",tbl_param_emb[ID_Parametro],0)),0)</f>
        <v>0</v>
      </c>
      <c r="M48" s="33" t="str">
        <f>IF(B48="Tampa","Componente",IFERROR(INDEX(tbl_recyclass[Grau_PPWR_Indicativo],MATCH(A48,tbl_recyclass[ProductId],0)),""))</f>
        <v>Abaixo de C</v>
      </c>
    </row>
    <row r="49" spans="1:13" ht="16.05" customHeight="1" x14ac:dyDescent="0.3">
      <c r="A49" s="26" t="s">
        <v>615</v>
      </c>
      <c r="B49" s="26" t="s">
        <v>1470</v>
      </c>
      <c r="C49" s="26" t="s">
        <v>1474</v>
      </c>
      <c r="D49" s="26" t="s">
        <v>1475</v>
      </c>
      <c r="E49" s="39">
        <v>2</v>
      </c>
      <c r="F49" s="37">
        <v>76318</v>
      </c>
      <c r="G49" s="38">
        <f>IFERROR(IF(B49="Tampa",INDEX(tbl_tampas[Massa_g],MATCH(A49,tbl_tampas[CapId],0)),INDEX(tbl_recyclass[Massa_Corpo_g],MATCH(A49,tbl_recyclass[ProductId],0))),0)</f>
        <v>23.4</v>
      </c>
      <c r="H49" s="32">
        <f t="shared" si="0"/>
        <v>1785.8411999999998</v>
      </c>
      <c r="I49" s="36">
        <f>IFERROR(IF(B49="Tampa",INDEX(tbl_tampas[Pct_PCR],MATCH(A49,tbl_tampas[CapId],0)),INDEX(tbl_recyclass[Pct_PCR_Corpo],MATCH(A49,tbl_recyclass[ProductId],0))),0)</f>
        <v>0.5</v>
      </c>
      <c r="J49" s="32">
        <f t="shared" si="1"/>
        <v>892.92059999999992</v>
      </c>
      <c r="K49" s="32">
        <f t="shared" si="2"/>
        <v>892.92059999999992</v>
      </c>
      <c r="L49" s="43">
        <f>IF(C49="ES",K49*INDEX(tbl_param_emb[Valor],MATCH("P-01",tbl_param_emb[ID_Parametro],0)),0)</f>
        <v>401.81426999999996</v>
      </c>
      <c r="M49" s="33" t="str">
        <f>IF(B49="Tampa","Componente",IFERROR(INDEX(tbl_recyclass[Grau_PPWR_Indicativo],MATCH(A49,tbl_recyclass[ProductId],0)),""))</f>
        <v>Abaixo de C</v>
      </c>
    </row>
    <row r="50" spans="1:13" ht="16.05" customHeight="1" x14ac:dyDescent="0.3">
      <c r="A50" s="26" t="s">
        <v>833</v>
      </c>
      <c r="B50" s="26" t="s">
        <v>1470</v>
      </c>
      <c r="C50" s="26" t="s">
        <v>1476</v>
      </c>
      <c r="D50" s="26" t="s">
        <v>1477</v>
      </c>
      <c r="E50" s="39">
        <v>1</v>
      </c>
      <c r="F50" s="37">
        <v>29327</v>
      </c>
      <c r="G50" s="38">
        <f>IFERROR(IF(B50="Tampa",INDEX(tbl_tampas[Massa_g],MATCH(A50,tbl_tampas[CapId],0)),INDEX(tbl_recyclass[Massa_Corpo_g],MATCH(A50,tbl_recyclass[ProductId],0))),0)</f>
        <v>23.4</v>
      </c>
      <c r="H50" s="32">
        <f t="shared" si="0"/>
        <v>686.25179999999989</v>
      </c>
      <c r="I50" s="36">
        <f>IFERROR(IF(B50="Tampa",INDEX(tbl_tampas[Pct_PCR],MATCH(A50,tbl_tampas[CapId],0)),INDEX(tbl_recyclass[Pct_PCR_Corpo],MATCH(A50,tbl_recyclass[ProductId],0))),0)</f>
        <v>0.5</v>
      </c>
      <c r="J50" s="32">
        <f t="shared" si="1"/>
        <v>343.12589999999994</v>
      </c>
      <c r="K50" s="32">
        <f t="shared" si="2"/>
        <v>343.12589999999994</v>
      </c>
      <c r="L50" s="43">
        <f>IF(C50="ES",K50*INDEX(tbl_param_emb[Valor],MATCH("P-01",tbl_param_emb[ID_Parametro],0)),0)</f>
        <v>0</v>
      </c>
      <c r="M50" s="33" t="str">
        <f>IF(B50="Tampa","Componente",IFERROR(INDEX(tbl_recyclass[Grau_PPWR_Indicativo],MATCH(A50,tbl_recyclass[ProductId],0)),""))</f>
        <v>Abaixo de C</v>
      </c>
    </row>
    <row r="51" spans="1:13" ht="16.05" customHeight="1" x14ac:dyDescent="0.3">
      <c r="A51" s="26" t="s">
        <v>833</v>
      </c>
      <c r="B51" s="26" t="s">
        <v>1470</v>
      </c>
      <c r="C51" s="26" t="s">
        <v>1472</v>
      </c>
      <c r="D51" s="26" t="s">
        <v>1473</v>
      </c>
      <c r="E51" s="39">
        <v>1</v>
      </c>
      <c r="F51" s="37">
        <v>70465</v>
      </c>
      <c r="G51" s="38">
        <f>IFERROR(IF(B51="Tampa",INDEX(tbl_tampas[Massa_g],MATCH(A51,tbl_tampas[CapId],0)),INDEX(tbl_recyclass[Massa_Corpo_g],MATCH(A51,tbl_recyclass[ProductId],0))),0)</f>
        <v>23.4</v>
      </c>
      <c r="H51" s="32">
        <f t="shared" si="0"/>
        <v>1648.8810000000001</v>
      </c>
      <c r="I51" s="36">
        <f>IFERROR(IF(B51="Tampa",INDEX(tbl_tampas[Pct_PCR],MATCH(A51,tbl_tampas[CapId],0)),INDEX(tbl_recyclass[Pct_PCR_Corpo],MATCH(A51,tbl_recyclass[ProductId],0))),0)</f>
        <v>0.5</v>
      </c>
      <c r="J51" s="32">
        <f t="shared" si="1"/>
        <v>824.44050000000004</v>
      </c>
      <c r="K51" s="32">
        <f t="shared" si="2"/>
        <v>824.44050000000004</v>
      </c>
      <c r="L51" s="43">
        <f>IF(C51="ES",K51*INDEX(tbl_param_emb[Valor],MATCH("P-01",tbl_param_emb[ID_Parametro],0)),0)</f>
        <v>0</v>
      </c>
      <c r="M51" s="33" t="str">
        <f>IF(B51="Tampa","Componente",IFERROR(INDEX(tbl_recyclass[Grau_PPWR_Indicativo],MATCH(A51,tbl_recyclass[ProductId],0)),""))</f>
        <v>Abaixo de C</v>
      </c>
    </row>
    <row r="52" spans="1:13" ht="16.05" customHeight="1" x14ac:dyDescent="0.3">
      <c r="A52" s="26" t="s">
        <v>833</v>
      </c>
      <c r="B52" s="26" t="s">
        <v>1470</v>
      </c>
      <c r="C52" s="26" t="s">
        <v>1478</v>
      </c>
      <c r="D52" s="26" t="s">
        <v>1479</v>
      </c>
      <c r="E52" s="39">
        <v>1</v>
      </c>
      <c r="F52" s="37">
        <v>60239</v>
      </c>
      <c r="G52" s="38">
        <f>IFERROR(IF(B52="Tampa",INDEX(tbl_tampas[Massa_g],MATCH(A52,tbl_tampas[CapId],0)),INDEX(tbl_recyclass[Massa_Corpo_g],MATCH(A52,tbl_recyclass[ProductId],0))),0)</f>
        <v>23.4</v>
      </c>
      <c r="H52" s="32">
        <f t="shared" si="0"/>
        <v>1409.5925999999999</v>
      </c>
      <c r="I52" s="36">
        <f>IFERROR(IF(B52="Tampa",INDEX(tbl_tampas[Pct_PCR],MATCH(A52,tbl_tampas[CapId],0)),INDEX(tbl_recyclass[Pct_PCR_Corpo],MATCH(A52,tbl_recyclass[ProductId],0))),0)</f>
        <v>0.5</v>
      </c>
      <c r="J52" s="32">
        <f t="shared" si="1"/>
        <v>704.79629999999997</v>
      </c>
      <c r="K52" s="32">
        <f t="shared" si="2"/>
        <v>704.79629999999997</v>
      </c>
      <c r="L52" s="43">
        <f>IF(C52="ES",K52*INDEX(tbl_param_emb[Valor],MATCH("P-01",tbl_param_emb[ID_Parametro],0)),0)</f>
        <v>0</v>
      </c>
      <c r="M52" s="33" t="str">
        <f>IF(B52="Tampa","Componente",IFERROR(INDEX(tbl_recyclass[Grau_PPWR_Indicativo],MATCH(A52,tbl_recyclass[ProductId],0)),""))</f>
        <v>Abaixo de C</v>
      </c>
    </row>
    <row r="53" spans="1:13" ht="16.05" customHeight="1" x14ac:dyDescent="0.3">
      <c r="A53" s="26" t="s">
        <v>833</v>
      </c>
      <c r="B53" s="26" t="s">
        <v>1470</v>
      </c>
      <c r="C53" s="26" t="s">
        <v>1480</v>
      </c>
      <c r="D53" s="26" t="s">
        <v>1481</v>
      </c>
      <c r="E53" s="39">
        <v>1</v>
      </c>
      <c r="F53" s="37">
        <v>71413</v>
      </c>
      <c r="G53" s="38">
        <f>IFERROR(IF(B53="Tampa",INDEX(tbl_tampas[Massa_g],MATCH(A53,tbl_tampas[CapId],0)),INDEX(tbl_recyclass[Massa_Corpo_g],MATCH(A53,tbl_recyclass[ProductId],0))),0)</f>
        <v>23.4</v>
      </c>
      <c r="H53" s="32">
        <f t="shared" si="0"/>
        <v>1671.0642</v>
      </c>
      <c r="I53" s="36">
        <f>IFERROR(IF(B53="Tampa",INDEX(tbl_tampas[Pct_PCR],MATCH(A53,tbl_tampas[CapId],0)),INDEX(tbl_recyclass[Pct_PCR_Corpo],MATCH(A53,tbl_recyclass[ProductId],0))),0)</f>
        <v>0.5</v>
      </c>
      <c r="J53" s="32">
        <f t="shared" si="1"/>
        <v>835.53210000000001</v>
      </c>
      <c r="K53" s="32">
        <f t="shared" si="2"/>
        <v>835.53210000000001</v>
      </c>
      <c r="L53" s="43">
        <f>IF(C53="ES",K53*INDEX(tbl_param_emb[Valor],MATCH("P-01",tbl_param_emb[ID_Parametro],0)),0)</f>
        <v>0</v>
      </c>
      <c r="M53" s="33" t="str">
        <f>IF(B53="Tampa","Componente",IFERROR(INDEX(tbl_recyclass[Grau_PPWR_Indicativo],MATCH(A53,tbl_recyclass[ProductId],0)),""))</f>
        <v>Abaixo de C</v>
      </c>
    </row>
    <row r="54" spans="1:13" ht="16.05" customHeight="1" x14ac:dyDescent="0.3">
      <c r="A54" s="26" t="s">
        <v>833</v>
      </c>
      <c r="B54" s="26" t="s">
        <v>1470</v>
      </c>
      <c r="C54" s="26" t="s">
        <v>847</v>
      </c>
      <c r="D54" s="26" t="s">
        <v>1471</v>
      </c>
      <c r="E54" s="39">
        <v>8</v>
      </c>
      <c r="F54" s="37">
        <v>383553</v>
      </c>
      <c r="G54" s="38">
        <f>IFERROR(IF(B54="Tampa",INDEX(tbl_tampas[Massa_g],MATCH(A54,tbl_tampas[CapId],0)),INDEX(tbl_recyclass[Massa_Corpo_g],MATCH(A54,tbl_recyclass[ProductId],0))),0)</f>
        <v>23.4</v>
      </c>
      <c r="H54" s="32">
        <f t="shared" si="0"/>
        <v>8975.1401999999998</v>
      </c>
      <c r="I54" s="36">
        <f>IFERROR(IF(B54="Tampa",INDEX(tbl_tampas[Pct_PCR],MATCH(A54,tbl_tampas[CapId],0)),INDEX(tbl_recyclass[Pct_PCR_Corpo],MATCH(A54,tbl_recyclass[ProductId],0))),0)</f>
        <v>0.5</v>
      </c>
      <c r="J54" s="32">
        <f t="shared" si="1"/>
        <v>4487.5700999999999</v>
      </c>
      <c r="K54" s="32">
        <f t="shared" si="2"/>
        <v>4487.5700999999999</v>
      </c>
      <c r="L54" s="43">
        <f>IF(C54="ES",K54*INDEX(tbl_param_emb[Valor],MATCH("P-01",tbl_param_emb[ID_Parametro],0)),0)</f>
        <v>0</v>
      </c>
      <c r="M54" s="33" t="str">
        <f>IF(B54="Tampa","Componente",IFERROR(INDEX(tbl_recyclass[Grau_PPWR_Indicativo],MATCH(A54,tbl_recyclass[ProductId],0)),""))</f>
        <v>Abaixo de C</v>
      </c>
    </row>
    <row r="55" spans="1:13" ht="16.05" customHeight="1" x14ac:dyDescent="0.3">
      <c r="A55" s="26" t="s">
        <v>833</v>
      </c>
      <c r="B55" s="26" t="s">
        <v>1470</v>
      </c>
      <c r="C55" s="26" t="s">
        <v>1474</v>
      </c>
      <c r="D55" s="26" t="s">
        <v>1475</v>
      </c>
      <c r="E55" s="39">
        <v>2</v>
      </c>
      <c r="F55" s="37">
        <v>74417</v>
      </c>
      <c r="G55" s="38">
        <f>IFERROR(IF(B55="Tampa",INDEX(tbl_tampas[Massa_g],MATCH(A55,tbl_tampas[CapId],0)),INDEX(tbl_recyclass[Massa_Corpo_g],MATCH(A55,tbl_recyclass[ProductId],0))),0)</f>
        <v>23.4</v>
      </c>
      <c r="H55" s="32">
        <f t="shared" si="0"/>
        <v>1741.3577999999998</v>
      </c>
      <c r="I55" s="36">
        <f>IFERROR(IF(B55="Tampa",INDEX(tbl_tampas[Pct_PCR],MATCH(A55,tbl_tampas[CapId],0)),INDEX(tbl_recyclass[Pct_PCR_Corpo],MATCH(A55,tbl_recyclass[ProductId],0))),0)</f>
        <v>0.5</v>
      </c>
      <c r="J55" s="32">
        <f t="shared" si="1"/>
        <v>870.67889999999989</v>
      </c>
      <c r="K55" s="32">
        <f t="shared" si="2"/>
        <v>870.67889999999989</v>
      </c>
      <c r="L55" s="43">
        <f>IF(C55="ES",K55*INDEX(tbl_param_emb[Valor],MATCH("P-01",tbl_param_emb[ID_Parametro],0)),0)</f>
        <v>391.80550499999998</v>
      </c>
      <c r="M55" s="33" t="str">
        <f>IF(B55="Tampa","Componente",IFERROR(INDEX(tbl_recyclass[Grau_PPWR_Indicativo],MATCH(A55,tbl_recyclass[ProductId],0)),""))</f>
        <v>Abaixo de C</v>
      </c>
    </row>
    <row r="56" spans="1:13" ht="16.05" customHeight="1" x14ac:dyDescent="0.3">
      <c r="A56" s="26" t="s">
        <v>835</v>
      </c>
      <c r="B56" s="26" t="s">
        <v>1470</v>
      </c>
      <c r="C56" s="26" t="s">
        <v>1476</v>
      </c>
      <c r="D56" s="26" t="s">
        <v>1477</v>
      </c>
      <c r="E56" s="39">
        <v>1</v>
      </c>
      <c r="F56" s="37">
        <v>21931</v>
      </c>
      <c r="G56" s="38">
        <f>IFERROR(IF(B56="Tampa",INDEX(tbl_tampas[Massa_g],MATCH(A56,tbl_tampas[CapId],0)),INDEX(tbl_recyclass[Massa_Corpo_g],MATCH(A56,tbl_recyclass[ProductId],0))),0)</f>
        <v>23.4</v>
      </c>
      <c r="H56" s="32">
        <f t="shared" si="0"/>
        <v>513.18539999999996</v>
      </c>
      <c r="I56" s="36">
        <f>IFERROR(IF(B56="Tampa",INDEX(tbl_tampas[Pct_PCR],MATCH(A56,tbl_tampas[CapId],0)),INDEX(tbl_recyclass[Pct_PCR_Corpo],MATCH(A56,tbl_recyclass[ProductId],0))),0)</f>
        <v>0.5</v>
      </c>
      <c r="J56" s="32">
        <f t="shared" si="1"/>
        <v>256.59269999999998</v>
      </c>
      <c r="K56" s="32">
        <f t="shared" si="2"/>
        <v>256.59269999999998</v>
      </c>
      <c r="L56" s="43">
        <f>IF(C56="ES",K56*INDEX(tbl_param_emb[Valor],MATCH("P-01",tbl_param_emb[ID_Parametro],0)),0)</f>
        <v>0</v>
      </c>
      <c r="M56" s="33" t="str">
        <f>IF(B56="Tampa","Componente",IFERROR(INDEX(tbl_recyclass[Grau_PPWR_Indicativo],MATCH(A56,tbl_recyclass[ProductId],0)),""))</f>
        <v>A</v>
      </c>
    </row>
    <row r="57" spans="1:13" ht="16.05" customHeight="1" x14ac:dyDescent="0.3">
      <c r="A57" s="26" t="s">
        <v>835</v>
      </c>
      <c r="B57" s="26" t="s">
        <v>1470</v>
      </c>
      <c r="C57" s="26" t="s">
        <v>1472</v>
      </c>
      <c r="D57" s="26" t="s">
        <v>1473</v>
      </c>
      <c r="E57" s="39">
        <v>1</v>
      </c>
      <c r="F57" s="37">
        <v>24718</v>
      </c>
      <c r="G57" s="38">
        <f>IFERROR(IF(B57="Tampa",INDEX(tbl_tampas[Massa_g],MATCH(A57,tbl_tampas[CapId],0)),INDEX(tbl_recyclass[Massa_Corpo_g],MATCH(A57,tbl_recyclass[ProductId],0))),0)</f>
        <v>23.4</v>
      </c>
      <c r="H57" s="32">
        <f t="shared" si="0"/>
        <v>578.4011999999999</v>
      </c>
      <c r="I57" s="36">
        <f>IFERROR(IF(B57="Tampa",INDEX(tbl_tampas[Pct_PCR],MATCH(A57,tbl_tampas[CapId],0)),INDEX(tbl_recyclass[Pct_PCR_Corpo],MATCH(A57,tbl_recyclass[ProductId],0))),0)</f>
        <v>0.5</v>
      </c>
      <c r="J57" s="32">
        <f t="shared" si="1"/>
        <v>289.20059999999995</v>
      </c>
      <c r="K57" s="32">
        <f t="shared" si="2"/>
        <v>289.20059999999995</v>
      </c>
      <c r="L57" s="43">
        <f>IF(C57="ES",K57*INDEX(tbl_param_emb[Valor],MATCH("P-01",tbl_param_emb[ID_Parametro],0)),0)</f>
        <v>0</v>
      </c>
      <c r="M57" s="33" t="str">
        <f>IF(B57="Tampa","Componente",IFERROR(INDEX(tbl_recyclass[Grau_PPWR_Indicativo],MATCH(A57,tbl_recyclass[ProductId],0)),""))</f>
        <v>A</v>
      </c>
    </row>
    <row r="58" spans="1:13" ht="16.05" customHeight="1" x14ac:dyDescent="0.3">
      <c r="A58" s="26" t="s">
        <v>835</v>
      </c>
      <c r="B58" s="26" t="s">
        <v>1470</v>
      </c>
      <c r="C58" s="26" t="s">
        <v>1478</v>
      </c>
      <c r="D58" s="26" t="s">
        <v>1479</v>
      </c>
      <c r="E58" s="39">
        <v>1</v>
      </c>
      <c r="F58" s="37">
        <v>13495</v>
      </c>
      <c r="G58" s="38">
        <f>IFERROR(IF(B58="Tampa",INDEX(tbl_tampas[Massa_g],MATCH(A58,tbl_tampas[CapId],0)),INDEX(tbl_recyclass[Massa_Corpo_g],MATCH(A58,tbl_recyclass[ProductId],0))),0)</f>
        <v>23.4</v>
      </c>
      <c r="H58" s="32">
        <f t="shared" si="0"/>
        <v>315.78300000000002</v>
      </c>
      <c r="I58" s="36">
        <f>IFERROR(IF(B58="Tampa",INDEX(tbl_tampas[Pct_PCR],MATCH(A58,tbl_tampas[CapId],0)),INDEX(tbl_recyclass[Pct_PCR_Corpo],MATCH(A58,tbl_recyclass[ProductId],0))),0)</f>
        <v>0.5</v>
      </c>
      <c r="J58" s="32">
        <f t="shared" si="1"/>
        <v>157.89150000000001</v>
      </c>
      <c r="K58" s="32">
        <f t="shared" si="2"/>
        <v>157.89150000000001</v>
      </c>
      <c r="L58" s="43">
        <f>IF(C58="ES",K58*INDEX(tbl_param_emb[Valor],MATCH("P-01",tbl_param_emb[ID_Parametro],0)),0)</f>
        <v>0</v>
      </c>
      <c r="M58" s="33" t="str">
        <f>IF(B58="Tampa","Componente",IFERROR(INDEX(tbl_recyclass[Grau_PPWR_Indicativo],MATCH(A58,tbl_recyclass[ProductId],0)),""))</f>
        <v>A</v>
      </c>
    </row>
    <row r="59" spans="1:13" ht="16.05" customHeight="1" x14ac:dyDescent="0.3">
      <c r="A59" s="26" t="s">
        <v>835</v>
      </c>
      <c r="B59" s="26" t="s">
        <v>1470</v>
      </c>
      <c r="C59" s="26" t="s">
        <v>1480</v>
      </c>
      <c r="D59" s="26" t="s">
        <v>1481</v>
      </c>
      <c r="E59" s="39">
        <v>1</v>
      </c>
      <c r="F59" s="37">
        <v>11553</v>
      </c>
      <c r="G59" s="38">
        <f>IFERROR(IF(B59="Tampa",INDEX(tbl_tampas[Massa_g],MATCH(A59,tbl_tampas[CapId],0)),INDEX(tbl_recyclass[Massa_Corpo_g],MATCH(A59,tbl_recyclass[ProductId],0))),0)</f>
        <v>23.4</v>
      </c>
      <c r="H59" s="32">
        <f t="shared" si="0"/>
        <v>270.34020000000004</v>
      </c>
      <c r="I59" s="36">
        <f>IFERROR(IF(B59="Tampa",INDEX(tbl_tampas[Pct_PCR],MATCH(A59,tbl_tampas[CapId],0)),INDEX(tbl_recyclass[Pct_PCR_Corpo],MATCH(A59,tbl_recyclass[ProductId],0))),0)</f>
        <v>0.5</v>
      </c>
      <c r="J59" s="32">
        <f t="shared" si="1"/>
        <v>135.17010000000002</v>
      </c>
      <c r="K59" s="32">
        <f t="shared" si="2"/>
        <v>135.17010000000002</v>
      </c>
      <c r="L59" s="43">
        <f>IF(C59="ES",K59*INDEX(tbl_param_emb[Valor],MATCH("P-01",tbl_param_emb[ID_Parametro],0)),0)</f>
        <v>0</v>
      </c>
      <c r="M59" s="33" t="str">
        <f>IF(B59="Tampa","Componente",IFERROR(INDEX(tbl_recyclass[Grau_PPWR_Indicativo],MATCH(A59,tbl_recyclass[ProductId],0)),""))</f>
        <v>A</v>
      </c>
    </row>
    <row r="60" spans="1:13" ht="16.05" customHeight="1" x14ac:dyDescent="0.3">
      <c r="A60" s="26" t="s">
        <v>835</v>
      </c>
      <c r="B60" s="26" t="s">
        <v>1470</v>
      </c>
      <c r="C60" s="26" t="s">
        <v>847</v>
      </c>
      <c r="D60" s="26" t="s">
        <v>1471</v>
      </c>
      <c r="E60" s="39">
        <v>8</v>
      </c>
      <c r="F60" s="37">
        <v>137684</v>
      </c>
      <c r="G60" s="38">
        <f>IFERROR(IF(B60="Tampa",INDEX(tbl_tampas[Massa_g],MATCH(A60,tbl_tampas[CapId],0)),INDEX(tbl_recyclass[Massa_Corpo_g],MATCH(A60,tbl_recyclass[ProductId],0))),0)</f>
        <v>23.4</v>
      </c>
      <c r="H60" s="32">
        <f t="shared" si="0"/>
        <v>3221.8055999999997</v>
      </c>
      <c r="I60" s="36">
        <f>IFERROR(IF(B60="Tampa",INDEX(tbl_tampas[Pct_PCR],MATCH(A60,tbl_tampas[CapId],0)),INDEX(tbl_recyclass[Pct_PCR_Corpo],MATCH(A60,tbl_recyclass[ProductId],0))),0)</f>
        <v>0.5</v>
      </c>
      <c r="J60" s="32">
        <f t="shared" si="1"/>
        <v>1610.9027999999998</v>
      </c>
      <c r="K60" s="32">
        <f t="shared" si="2"/>
        <v>1610.9027999999998</v>
      </c>
      <c r="L60" s="43">
        <f>IF(C60="ES",K60*INDEX(tbl_param_emb[Valor],MATCH("P-01",tbl_param_emb[ID_Parametro],0)),0)</f>
        <v>0</v>
      </c>
      <c r="M60" s="33" t="str">
        <f>IF(B60="Tampa","Componente",IFERROR(INDEX(tbl_recyclass[Grau_PPWR_Indicativo],MATCH(A60,tbl_recyclass[ProductId],0)),""))</f>
        <v>A</v>
      </c>
    </row>
    <row r="61" spans="1:13" ht="16.05" customHeight="1" x14ac:dyDescent="0.3">
      <c r="A61" s="26" t="s">
        <v>835</v>
      </c>
      <c r="B61" s="26" t="s">
        <v>1470</v>
      </c>
      <c r="C61" s="26" t="s">
        <v>1474</v>
      </c>
      <c r="D61" s="26" t="s">
        <v>1475</v>
      </c>
      <c r="E61" s="39">
        <v>2</v>
      </c>
      <c r="F61" s="37">
        <v>34512</v>
      </c>
      <c r="G61" s="38">
        <f>IFERROR(IF(B61="Tampa",INDEX(tbl_tampas[Massa_g],MATCH(A61,tbl_tampas[CapId],0)),INDEX(tbl_recyclass[Massa_Corpo_g],MATCH(A61,tbl_recyclass[ProductId],0))),0)</f>
        <v>23.4</v>
      </c>
      <c r="H61" s="32">
        <f t="shared" si="0"/>
        <v>807.58079999999995</v>
      </c>
      <c r="I61" s="36">
        <f>IFERROR(IF(B61="Tampa",INDEX(tbl_tampas[Pct_PCR],MATCH(A61,tbl_tampas[CapId],0)),INDEX(tbl_recyclass[Pct_PCR_Corpo],MATCH(A61,tbl_recyclass[ProductId],0))),0)</f>
        <v>0.5</v>
      </c>
      <c r="J61" s="32">
        <f t="shared" si="1"/>
        <v>403.79039999999998</v>
      </c>
      <c r="K61" s="32">
        <f t="shared" si="2"/>
        <v>403.79039999999998</v>
      </c>
      <c r="L61" s="43">
        <f>IF(C61="ES",K61*INDEX(tbl_param_emb[Valor],MATCH("P-01",tbl_param_emb[ID_Parametro],0)),0)</f>
        <v>181.70568</v>
      </c>
      <c r="M61" s="33" t="str">
        <f>IF(B61="Tampa","Componente",IFERROR(INDEX(tbl_recyclass[Grau_PPWR_Indicativo],MATCH(A61,tbl_recyclass[ProductId],0)),""))</f>
        <v>A</v>
      </c>
    </row>
    <row r="62" spans="1:13" ht="16.05" customHeight="1" x14ac:dyDescent="0.3">
      <c r="A62" s="26" t="s">
        <v>621</v>
      </c>
      <c r="B62" s="26" t="s">
        <v>1470</v>
      </c>
      <c r="C62" s="26" t="s">
        <v>1476</v>
      </c>
      <c r="D62" s="26" t="s">
        <v>1477</v>
      </c>
      <c r="E62" s="39">
        <v>1</v>
      </c>
      <c r="F62" s="37">
        <v>6450</v>
      </c>
      <c r="G62" s="38">
        <f>IFERROR(IF(B62="Tampa",INDEX(tbl_tampas[Massa_g],MATCH(A62,tbl_tampas[CapId],0)),INDEX(tbl_recyclass[Massa_Corpo_g],MATCH(A62,tbl_recyclass[ProductId],0))),0)</f>
        <v>24.4</v>
      </c>
      <c r="H62" s="32">
        <f t="shared" si="0"/>
        <v>157.38</v>
      </c>
      <c r="I62" s="36">
        <f>IFERROR(IF(B62="Tampa",INDEX(tbl_tampas[Pct_PCR],MATCH(A62,tbl_tampas[CapId],0)),INDEX(tbl_recyclass[Pct_PCR_Corpo],MATCH(A62,tbl_recyclass[ProductId],0))),0)</f>
        <v>0</v>
      </c>
      <c r="J62" s="32">
        <f t="shared" si="1"/>
        <v>0</v>
      </c>
      <c r="K62" s="32">
        <f t="shared" si="2"/>
        <v>157.38</v>
      </c>
      <c r="L62" s="43">
        <f>IF(C62="ES",K62*INDEX(tbl_param_emb[Valor],MATCH("P-01",tbl_param_emb[ID_Parametro],0)),0)</f>
        <v>0</v>
      </c>
      <c r="M62" s="33" t="str">
        <f>IF(B62="Tampa","Componente",IFERROR(INDEX(tbl_recyclass[Grau_PPWR_Indicativo],MATCH(A62,tbl_recyclass[ProductId],0)),""))</f>
        <v>C</v>
      </c>
    </row>
    <row r="63" spans="1:13" ht="16.05" customHeight="1" x14ac:dyDescent="0.3">
      <c r="A63" s="26" t="s">
        <v>621</v>
      </c>
      <c r="B63" s="26" t="s">
        <v>1470</v>
      </c>
      <c r="C63" s="26" t="s">
        <v>1472</v>
      </c>
      <c r="D63" s="26" t="s">
        <v>1473</v>
      </c>
      <c r="E63" s="39">
        <v>1</v>
      </c>
      <c r="F63" s="37">
        <v>12139</v>
      </c>
      <c r="G63" s="38">
        <f>IFERROR(IF(B63="Tampa",INDEX(tbl_tampas[Massa_g],MATCH(A63,tbl_tampas[CapId],0)),INDEX(tbl_recyclass[Massa_Corpo_g],MATCH(A63,tbl_recyclass[ProductId],0))),0)</f>
        <v>24.4</v>
      </c>
      <c r="H63" s="32">
        <f t="shared" si="0"/>
        <v>296.19159999999999</v>
      </c>
      <c r="I63" s="36">
        <f>IFERROR(IF(B63="Tampa",INDEX(tbl_tampas[Pct_PCR],MATCH(A63,tbl_tampas[CapId],0)),INDEX(tbl_recyclass[Pct_PCR_Corpo],MATCH(A63,tbl_recyclass[ProductId],0))),0)</f>
        <v>0</v>
      </c>
      <c r="J63" s="32">
        <f t="shared" si="1"/>
        <v>0</v>
      </c>
      <c r="K63" s="32">
        <f t="shared" si="2"/>
        <v>296.19159999999999</v>
      </c>
      <c r="L63" s="43">
        <f>IF(C63="ES",K63*INDEX(tbl_param_emb[Valor],MATCH("P-01",tbl_param_emb[ID_Parametro],0)),0)</f>
        <v>0</v>
      </c>
      <c r="M63" s="33" t="str">
        <f>IF(B63="Tampa","Componente",IFERROR(INDEX(tbl_recyclass[Grau_PPWR_Indicativo],MATCH(A63,tbl_recyclass[ProductId],0)),""))</f>
        <v>C</v>
      </c>
    </row>
    <row r="64" spans="1:13" ht="16.05" customHeight="1" x14ac:dyDescent="0.3">
      <c r="A64" s="26" t="s">
        <v>621</v>
      </c>
      <c r="B64" s="26" t="s">
        <v>1470</v>
      </c>
      <c r="C64" s="26" t="s">
        <v>1478</v>
      </c>
      <c r="D64" s="26" t="s">
        <v>1479</v>
      </c>
      <c r="E64" s="39">
        <v>1</v>
      </c>
      <c r="F64" s="37">
        <v>10730</v>
      </c>
      <c r="G64" s="38">
        <f>IFERROR(IF(B64="Tampa",INDEX(tbl_tampas[Massa_g],MATCH(A64,tbl_tampas[CapId],0)),INDEX(tbl_recyclass[Massa_Corpo_g],MATCH(A64,tbl_recyclass[ProductId],0))),0)</f>
        <v>24.4</v>
      </c>
      <c r="H64" s="32">
        <f t="shared" si="0"/>
        <v>261.81199999999995</v>
      </c>
      <c r="I64" s="36">
        <f>IFERROR(IF(B64="Tampa",INDEX(tbl_tampas[Pct_PCR],MATCH(A64,tbl_tampas[CapId],0)),INDEX(tbl_recyclass[Pct_PCR_Corpo],MATCH(A64,tbl_recyclass[ProductId],0))),0)</f>
        <v>0</v>
      </c>
      <c r="J64" s="32">
        <f t="shared" si="1"/>
        <v>0</v>
      </c>
      <c r="K64" s="32">
        <f t="shared" si="2"/>
        <v>261.81199999999995</v>
      </c>
      <c r="L64" s="43">
        <f>IF(C64="ES",K64*INDEX(tbl_param_emb[Valor],MATCH("P-01",tbl_param_emb[ID_Parametro],0)),0)</f>
        <v>0</v>
      </c>
      <c r="M64" s="33" t="str">
        <f>IF(B64="Tampa","Componente",IFERROR(INDEX(tbl_recyclass[Grau_PPWR_Indicativo],MATCH(A64,tbl_recyclass[ProductId],0)),""))</f>
        <v>C</v>
      </c>
    </row>
    <row r="65" spans="1:13" ht="16.05" customHeight="1" x14ac:dyDescent="0.3">
      <c r="A65" s="26" t="s">
        <v>621</v>
      </c>
      <c r="B65" s="26" t="s">
        <v>1470</v>
      </c>
      <c r="C65" s="26" t="s">
        <v>1480</v>
      </c>
      <c r="D65" s="26" t="s">
        <v>1481</v>
      </c>
      <c r="E65" s="39">
        <v>1</v>
      </c>
      <c r="F65" s="37">
        <v>3653</v>
      </c>
      <c r="G65" s="38">
        <f>IFERROR(IF(B65="Tampa",INDEX(tbl_tampas[Massa_g],MATCH(A65,tbl_tampas[CapId],0)),INDEX(tbl_recyclass[Massa_Corpo_g],MATCH(A65,tbl_recyclass[ProductId],0))),0)</f>
        <v>24.4</v>
      </c>
      <c r="H65" s="32">
        <f t="shared" si="0"/>
        <v>89.133200000000002</v>
      </c>
      <c r="I65" s="36">
        <f>IFERROR(IF(B65="Tampa",INDEX(tbl_tampas[Pct_PCR],MATCH(A65,tbl_tampas[CapId],0)),INDEX(tbl_recyclass[Pct_PCR_Corpo],MATCH(A65,tbl_recyclass[ProductId],0))),0)</f>
        <v>0</v>
      </c>
      <c r="J65" s="32">
        <f t="shared" si="1"/>
        <v>0</v>
      </c>
      <c r="K65" s="32">
        <f t="shared" si="2"/>
        <v>89.133200000000002</v>
      </c>
      <c r="L65" s="43">
        <f>IF(C65="ES",K65*INDEX(tbl_param_emb[Valor],MATCH("P-01",tbl_param_emb[ID_Parametro],0)),0)</f>
        <v>0</v>
      </c>
      <c r="M65" s="33" t="str">
        <f>IF(B65="Tampa","Componente",IFERROR(INDEX(tbl_recyclass[Grau_PPWR_Indicativo],MATCH(A65,tbl_recyclass[ProductId],0)),""))</f>
        <v>C</v>
      </c>
    </row>
    <row r="66" spans="1:13" ht="16.05" customHeight="1" x14ac:dyDescent="0.3">
      <c r="A66" s="26" t="s">
        <v>621</v>
      </c>
      <c r="B66" s="26" t="s">
        <v>1470</v>
      </c>
      <c r="C66" s="26" t="s">
        <v>847</v>
      </c>
      <c r="D66" s="26" t="s">
        <v>1471</v>
      </c>
      <c r="E66" s="39">
        <v>6</v>
      </c>
      <c r="F66" s="37">
        <v>71456</v>
      </c>
      <c r="G66" s="38">
        <f>IFERROR(IF(B66="Tampa",INDEX(tbl_tampas[Massa_g],MATCH(A66,tbl_tampas[CapId],0)),INDEX(tbl_recyclass[Massa_Corpo_g],MATCH(A66,tbl_recyclass[ProductId],0))),0)</f>
        <v>24.4</v>
      </c>
      <c r="H66" s="32">
        <f t="shared" ref="H66:H129" si="3">F66*G66/1000</f>
        <v>1743.5264</v>
      </c>
      <c r="I66" s="36">
        <f>IFERROR(IF(B66="Tampa",INDEX(tbl_tampas[Pct_PCR],MATCH(A66,tbl_tampas[CapId],0)),INDEX(tbl_recyclass[Pct_PCR_Corpo],MATCH(A66,tbl_recyclass[ProductId],0))),0)</f>
        <v>0</v>
      </c>
      <c r="J66" s="32">
        <f t="shared" ref="J66:J129" si="4">H66*I66</f>
        <v>0</v>
      </c>
      <c r="K66" s="32">
        <f t="shared" ref="K66:K129" si="5">H66-J66</f>
        <v>1743.5264</v>
      </c>
      <c r="L66" s="43">
        <f>IF(C66="ES",K66*INDEX(tbl_param_emb[Valor],MATCH("P-01",tbl_param_emb[ID_Parametro],0)),0)</f>
        <v>0</v>
      </c>
      <c r="M66" s="33" t="str">
        <f>IF(B66="Tampa","Componente",IFERROR(INDEX(tbl_recyclass[Grau_PPWR_Indicativo],MATCH(A66,tbl_recyclass[ProductId],0)),""))</f>
        <v>C</v>
      </c>
    </row>
    <row r="67" spans="1:13" ht="16.05" customHeight="1" x14ac:dyDescent="0.3">
      <c r="A67" s="26" t="s">
        <v>621</v>
      </c>
      <c r="B67" s="26" t="s">
        <v>1470</v>
      </c>
      <c r="C67" s="26" t="s">
        <v>1474</v>
      </c>
      <c r="D67" s="26" t="s">
        <v>1475</v>
      </c>
      <c r="E67" s="39">
        <v>1</v>
      </c>
      <c r="F67" s="37">
        <v>3768</v>
      </c>
      <c r="G67" s="38">
        <f>IFERROR(IF(B67="Tampa",INDEX(tbl_tampas[Massa_g],MATCH(A67,tbl_tampas[CapId],0)),INDEX(tbl_recyclass[Massa_Corpo_g],MATCH(A67,tbl_recyclass[ProductId],0))),0)</f>
        <v>24.4</v>
      </c>
      <c r="H67" s="32">
        <f t="shared" si="3"/>
        <v>91.9392</v>
      </c>
      <c r="I67" s="36">
        <f>IFERROR(IF(B67="Tampa",INDEX(tbl_tampas[Pct_PCR],MATCH(A67,tbl_tampas[CapId],0)),INDEX(tbl_recyclass[Pct_PCR_Corpo],MATCH(A67,tbl_recyclass[ProductId],0))),0)</f>
        <v>0</v>
      </c>
      <c r="J67" s="32">
        <f t="shared" si="4"/>
        <v>0</v>
      </c>
      <c r="K67" s="32">
        <f t="shared" si="5"/>
        <v>91.9392</v>
      </c>
      <c r="L67" s="43">
        <f>IF(C67="ES",K67*INDEX(tbl_param_emb[Valor],MATCH("P-01",tbl_param_emb[ID_Parametro],0)),0)</f>
        <v>41.372640000000004</v>
      </c>
      <c r="M67" s="33" t="str">
        <f>IF(B67="Tampa","Componente",IFERROR(INDEX(tbl_recyclass[Grau_PPWR_Indicativo],MATCH(A67,tbl_recyclass[ProductId],0)),""))</f>
        <v>C</v>
      </c>
    </row>
    <row r="68" spans="1:13" ht="16.05" customHeight="1" x14ac:dyDescent="0.3">
      <c r="A68" s="26" t="s">
        <v>630</v>
      </c>
      <c r="B68" s="26" t="s">
        <v>1470</v>
      </c>
      <c r="C68" s="26" t="s">
        <v>1476</v>
      </c>
      <c r="D68" s="26" t="s">
        <v>1477</v>
      </c>
      <c r="E68" s="39">
        <v>1</v>
      </c>
      <c r="F68" s="37">
        <v>15459</v>
      </c>
      <c r="G68" s="38">
        <f>IFERROR(IF(B68="Tampa",INDEX(tbl_tampas[Massa_g],MATCH(A68,tbl_tampas[CapId],0)),INDEX(tbl_recyclass[Massa_Corpo_g],MATCH(A68,tbl_recyclass[ProductId],0))),0)</f>
        <v>24.4</v>
      </c>
      <c r="H68" s="32">
        <f t="shared" si="3"/>
        <v>377.19959999999998</v>
      </c>
      <c r="I68" s="36">
        <f>IFERROR(IF(B68="Tampa",INDEX(tbl_tampas[Pct_PCR],MATCH(A68,tbl_tampas[CapId],0)),INDEX(tbl_recyclass[Pct_PCR_Corpo],MATCH(A68,tbl_recyclass[ProductId],0))),0)</f>
        <v>0.3</v>
      </c>
      <c r="J68" s="32">
        <f t="shared" si="4"/>
        <v>113.15987999999999</v>
      </c>
      <c r="K68" s="32">
        <f t="shared" si="5"/>
        <v>264.03971999999999</v>
      </c>
      <c r="L68" s="43">
        <f>IF(C68="ES",K68*INDEX(tbl_param_emb[Valor],MATCH("P-01",tbl_param_emb[ID_Parametro],0)),0)</f>
        <v>0</v>
      </c>
      <c r="M68" s="33" t="str">
        <f>IF(B68="Tampa","Componente",IFERROR(INDEX(tbl_recyclass[Grau_PPWR_Indicativo],MATCH(A68,tbl_recyclass[ProductId],0)),""))</f>
        <v>B</v>
      </c>
    </row>
    <row r="69" spans="1:13" ht="16.05" customHeight="1" x14ac:dyDescent="0.3">
      <c r="A69" s="26" t="s">
        <v>630</v>
      </c>
      <c r="B69" s="26" t="s">
        <v>1470</v>
      </c>
      <c r="C69" s="26" t="s">
        <v>1478</v>
      </c>
      <c r="D69" s="26" t="s">
        <v>1479</v>
      </c>
      <c r="E69" s="39">
        <v>1</v>
      </c>
      <c r="F69" s="37">
        <v>18985</v>
      </c>
      <c r="G69" s="38">
        <f>IFERROR(IF(B69="Tampa",INDEX(tbl_tampas[Massa_g],MATCH(A69,tbl_tampas[CapId],0)),INDEX(tbl_recyclass[Massa_Corpo_g],MATCH(A69,tbl_recyclass[ProductId],0))),0)</f>
        <v>24.4</v>
      </c>
      <c r="H69" s="32">
        <f t="shared" si="3"/>
        <v>463.23399999999998</v>
      </c>
      <c r="I69" s="36">
        <f>IFERROR(IF(B69="Tampa",INDEX(tbl_tampas[Pct_PCR],MATCH(A69,tbl_tampas[CapId],0)),INDEX(tbl_recyclass[Pct_PCR_Corpo],MATCH(A69,tbl_recyclass[ProductId],0))),0)</f>
        <v>0.3</v>
      </c>
      <c r="J69" s="32">
        <f t="shared" si="4"/>
        <v>138.97019999999998</v>
      </c>
      <c r="K69" s="32">
        <f t="shared" si="5"/>
        <v>324.2638</v>
      </c>
      <c r="L69" s="43">
        <f>IF(C69="ES",K69*INDEX(tbl_param_emb[Valor],MATCH("P-01",tbl_param_emb[ID_Parametro],0)),0)</f>
        <v>0</v>
      </c>
      <c r="M69" s="33" t="str">
        <f>IF(B69="Tampa","Componente",IFERROR(INDEX(tbl_recyclass[Grau_PPWR_Indicativo],MATCH(A69,tbl_recyclass[ProductId],0)),""))</f>
        <v>B</v>
      </c>
    </row>
    <row r="70" spans="1:13" ht="16.05" customHeight="1" x14ac:dyDescent="0.3">
      <c r="A70" s="26" t="s">
        <v>630</v>
      </c>
      <c r="B70" s="26" t="s">
        <v>1470</v>
      </c>
      <c r="C70" s="26" t="s">
        <v>1480</v>
      </c>
      <c r="D70" s="26" t="s">
        <v>1481</v>
      </c>
      <c r="E70" s="39">
        <v>1</v>
      </c>
      <c r="F70" s="37">
        <v>24105</v>
      </c>
      <c r="G70" s="38">
        <f>IFERROR(IF(B70="Tampa",INDEX(tbl_tampas[Massa_g],MATCH(A70,tbl_tampas[CapId],0)),INDEX(tbl_recyclass[Massa_Corpo_g],MATCH(A70,tbl_recyclass[ProductId],0))),0)</f>
        <v>24.4</v>
      </c>
      <c r="H70" s="32">
        <f t="shared" si="3"/>
        <v>588.16200000000003</v>
      </c>
      <c r="I70" s="36">
        <f>IFERROR(IF(B70="Tampa",INDEX(tbl_tampas[Pct_PCR],MATCH(A70,tbl_tampas[CapId],0)),INDEX(tbl_recyclass[Pct_PCR_Corpo],MATCH(A70,tbl_recyclass[ProductId],0))),0)</f>
        <v>0.3</v>
      </c>
      <c r="J70" s="32">
        <f t="shared" si="4"/>
        <v>176.4486</v>
      </c>
      <c r="K70" s="32">
        <f t="shared" si="5"/>
        <v>411.71340000000004</v>
      </c>
      <c r="L70" s="43">
        <f>IF(C70="ES",K70*INDEX(tbl_param_emb[Valor],MATCH("P-01",tbl_param_emb[ID_Parametro],0)),0)</f>
        <v>0</v>
      </c>
      <c r="M70" s="33" t="str">
        <f>IF(B70="Tampa","Componente",IFERROR(INDEX(tbl_recyclass[Grau_PPWR_Indicativo],MATCH(A70,tbl_recyclass[ProductId],0)),""))</f>
        <v>B</v>
      </c>
    </row>
    <row r="71" spans="1:13" ht="16.05" customHeight="1" x14ac:dyDescent="0.3">
      <c r="A71" s="26" t="s">
        <v>630</v>
      </c>
      <c r="B71" s="26" t="s">
        <v>1470</v>
      </c>
      <c r="C71" s="26" t="s">
        <v>847</v>
      </c>
      <c r="D71" s="26" t="s">
        <v>1471</v>
      </c>
      <c r="E71" s="39">
        <v>7</v>
      </c>
      <c r="F71" s="37">
        <v>85384</v>
      </c>
      <c r="G71" s="38">
        <f>IFERROR(IF(B71="Tampa",INDEX(tbl_tampas[Massa_g],MATCH(A71,tbl_tampas[CapId],0)),INDEX(tbl_recyclass[Massa_Corpo_g],MATCH(A71,tbl_recyclass[ProductId],0))),0)</f>
        <v>24.4</v>
      </c>
      <c r="H71" s="32">
        <f t="shared" si="3"/>
        <v>2083.3696</v>
      </c>
      <c r="I71" s="36">
        <f>IFERROR(IF(B71="Tampa",INDEX(tbl_tampas[Pct_PCR],MATCH(A71,tbl_tampas[CapId],0)),INDEX(tbl_recyclass[Pct_PCR_Corpo],MATCH(A71,tbl_recyclass[ProductId],0))),0)</f>
        <v>0.3</v>
      </c>
      <c r="J71" s="32">
        <f t="shared" si="4"/>
        <v>625.01087999999993</v>
      </c>
      <c r="K71" s="32">
        <f t="shared" si="5"/>
        <v>1458.3587200000002</v>
      </c>
      <c r="L71" s="43">
        <f>IF(C71="ES",K71*INDEX(tbl_param_emb[Valor],MATCH("P-01",tbl_param_emb[ID_Parametro],0)),0)</f>
        <v>0</v>
      </c>
      <c r="M71" s="33" t="str">
        <f>IF(B71="Tampa","Componente",IFERROR(INDEX(tbl_recyclass[Grau_PPWR_Indicativo],MATCH(A71,tbl_recyclass[ProductId],0)),""))</f>
        <v>B</v>
      </c>
    </row>
    <row r="72" spans="1:13" ht="16.05" customHeight="1" x14ac:dyDescent="0.3">
      <c r="A72" s="26" t="s">
        <v>630</v>
      </c>
      <c r="B72" s="26" t="s">
        <v>1470</v>
      </c>
      <c r="C72" s="26" t="s">
        <v>1474</v>
      </c>
      <c r="D72" s="26" t="s">
        <v>1475</v>
      </c>
      <c r="E72" s="39">
        <v>2</v>
      </c>
      <c r="F72" s="37">
        <v>16872</v>
      </c>
      <c r="G72" s="38">
        <f>IFERROR(IF(B72="Tampa",INDEX(tbl_tampas[Massa_g],MATCH(A72,tbl_tampas[CapId],0)),INDEX(tbl_recyclass[Massa_Corpo_g],MATCH(A72,tbl_recyclass[ProductId],0))),0)</f>
        <v>24.4</v>
      </c>
      <c r="H72" s="32">
        <f t="shared" si="3"/>
        <v>411.67680000000001</v>
      </c>
      <c r="I72" s="36">
        <f>IFERROR(IF(B72="Tampa",INDEX(tbl_tampas[Pct_PCR],MATCH(A72,tbl_tampas[CapId],0)),INDEX(tbl_recyclass[Pct_PCR_Corpo],MATCH(A72,tbl_recyclass[ProductId],0))),0)</f>
        <v>0.3</v>
      </c>
      <c r="J72" s="32">
        <f t="shared" si="4"/>
        <v>123.50304</v>
      </c>
      <c r="K72" s="32">
        <f t="shared" si="5"/>
        <v>288.17376000000002</v>
      </c>
      <c r="L72" s="43">
        <f>IF(C72="ES",K72*INDEX(tbl_param_emb[Valor],MATCH("P-01",tbl_param_emb[ID_Parametro],0)),0)</f>
        <v>129.67819200000002</v>
      </c>
      <c r="M72" s="33" t="str">
        <f>IF(B72="Tampa","Componente",IFERROR(INDEX(tbl_recyclass[Grau_PPWR_Indicativo],MATCH(A72,tbl_recyclass[ProductId],0)),""))</f>
        <v>B</v>
      </c>
    </row>
    <row r="73" spans="1:13" ht="16.05" customHeight="1" x14ac:dyDescent="0.3">
      <c r="A73" s="26" t="s">
        <v>649</v>
      </c>
      <c r="B73" s="26" t="s">
        <v>1470</v>
      </c>
      <c r="C73" s="26" t="s">
        <v>1476</v>
      </c>
      <c r="D73" s="26" t="s">
        <v>1477</v>
      </c>
      <c r="E73" s="39">
        <v>1</v>
      </c>
      <c r="F73" s="37">
        <v>9414</v>
      </c>
      <c r="G73" s="38">
        <f>IFERROR(IF(B73="Tampa",INDEX(tbl_tampas[Massa_g],MATCH(A73,tbl_tampas[CapId],0)),INDEX(tbl_recyclass[Massa_Corpo_g],MATCH(A73,tbl_recyclass[ProductId],0))),0)</f>
        <v>24.4</v>
      </c>
      <c r="H73" s="32">
        <f t="shared" si="3"/>
        <v>229.70159999999998</v>
      </c>
      <c r="I73" s="36">
        <f>IFERROR(IF(B73="Tampa",INDEX(tbl_tampas[Pct_PCR],MATCH(A73,tbl_tampas[CapId],0)),INDEX(tbl_recyclass[Pct_PCR_Corpo],MATCH(A73,tbl_recyclass[ProductId],0))),0)</f>
        <v>0</v>
      </c>
      <c r="J73" s="32">
        <f t="shared" si="4"/>
        <v>0</v>
      </c>
      <c r="K73" s="32">
        <f t="shared" si="5"/>
        <v>229.70159999999998</v>
      </c>
      <c r="L73" s="43">
        <f>IF(C73="ES",K73*INDEX(tbl_param_emb[Valor],MATCH("P-01",tbl_param_emb[ID_Parametro],0)),0)</f>
        <v>0</v>
      </c>
      <c r="M73" s="33" t="str">
        <f>IF(B73="Tampa","Componente",IFERROR(INDEX(tbl_recyclass[Grau_PPWR_Indicativo],MATCH(A73,tbl_recyclass[ProductId],0)),""))</f>
        <v>Não reciclável (F)</v>
      </c>
    </row>
    <row r="74" spans="1:13" ht="16.05" customHeight="1" x14ac:dyDescent="0.3">
      <c r="A74" s="26" t="s">
        <v>649</v>
      </c>
      <c r="B74" s="26" t="s">
        <v>1470</v>
      </c>
      <c r="C74" s="26" t="s">
        <v>1472</v>
      </c>
      <c r="D74" s="26" t="s">
        <v>1473</v>
      </c>
      <c r="E74" s="39">
        <v>1</v>
      </c>
      <c r="F74" s="37">
        <v>9556</v>
      </c>
      <c r="G74" s="38">
        <f>IFERROR(IF(B74="Tampa",INDEX(tbl_tampas[Massa_g],MATCH(A74,tbl_tampas[CapId],0)),INDEX(tbl_recyclass[Massa_Corpo_g],MATCH(A74,tbl_recyclass[ProductId],0))),0)</f>
        <v>24.4</v>
      </c>
      <c r="H74" s="32">
        <f t="shared" si="3"/>
        <v>233.16639999999998</v>
      </c>
      <c r="I74" s="36">
        <f>IFERROR(IF(B74="Tampa",INDEX(tbl_tampas[Pct_PCR],MATCH(A74,tbl_tampas[CapId],0)),INDEX(tbl_recyclass[Pct_PCR_Corpo],MATCH(A74,tbl_recyclass[ProductId],0))),0)</f>
        <v>0</v>
      </c>
      <c r="J74" s="32">
        <f t="shared" si="4"/>
        <v>0</v>
      </c>
      <c r="K74" s="32">
        <f t="shared" si="5"/>
        <v>233.16639999999998</v>
      </c>
      <c r="L74" s="43">
        <f>IF(C74="ES",K74*INDEX(tbl_param_emb[Valor],MATCH("P-01",tbl_param_emb[ID_Parametro],0)),0)</f>
        <v>0</v>
      </c>
      <c r="M74" s="33" t="str">
        <f>IF(B74="Tampa","Componente",IFERROR(INDEX(tbl_recyclass[Grau_PPWR_Indicativo],MATCH(A74,tbl_recyclass[ProductId],0)),""))</f>
        <v>Não reciclável (F)</v>
      </c>
    </row>
    <row r="75" spans="1:13" ht="16.05" customHeight="1" x14ac:dyDescent="0.3">
      <c r="A75" s="26" t="s">
        <v>649</v>
      </c>
      <c r="B75" s="26" t="s">
        <v>1470</v>
      </c>
      <c r="C75" s="26" t="s">
        <v>1478</v>
      </c>
      <c r="D75" s="26" t="s">
        <v>1479</v>
      </c>
      <c r="E75" s="39">
        <v>1</v>
      </c>
      <c r="F75" s="37">
        <v>23308</v>
      </c>
      <c r="G75" s="38">
        <f>IFERROR(IF(B75="Tampa",INDEX(tbl_tampas[Massa_g],MATCH(A75,tbl_tampas[CapId],0)),INDEX(tbl_recyclass[Massa_Corpo_g],MATCH(A75,tbl_recyclass[ProductId],0))),0)</f>
        <v>24.4</v>
      </c>
      <c r="H75" s="32">
        <f t="shared" si="3"/>
        <v>568.71519999999998</v>
      </c>
      <c r="I75" s="36">
        <f>IFERROR(IF(B75="Tampa",INDEX(tbl_tampas[Pct_PCR],MATCH(A75,tbl_tampas[CapId],0)),INDEX(tbl_recyclass[Pct_PCR_Corpo],MATCH(A75,tbl_recyclass[ProductId],0))),0)</f>
        <v>0</v>
      </c>
      <c r="J75" s="32">
        <f t="shared" si="4"/>
        <v>0</v>
      </c>
      <c r="K75" s="32">
        <f t="shared" si="5"/>
        <v>568.71519999999998</v>
      </c>
      <c r="L75" s="43">
        <f>IF(C75="ES",K75*INDEX(tbl_param_emb[Valor],MATCH("P-01",tbl_param_emb[ID_Parametro],0)),0)</f>
        <v>0</v>
      </c>
      <c r="M75" s="33" t="str">
        <f>IF(B75="Tampa","Componente",IFERROR(INDEX(tbl_recyclass[Grau_PPWR_Indicativo],MATCH(A75,tbl_recyclass[ProductId],0)),""))</f>
        <v>Não reciclável (F)</v>
      </c>
    </row>
    <row r="76" spans="1:13" ht="16.05" customHeight="1" x14ac:dyDescent="0.3">
      <c r="A76" s="26" t="s">
        <v>649</v>
      </c>
      <c r="B76" s="26" t="s">
        <v>1470</v>
      </c>
      <c r="C76" s="26" t="s">
        <v>1480</v>
      </c>
      <c r="D76" s="26" t="s">
        <v>1481</v>
      </c>
      <c r="E76" s="39">
        <v>1</v>
      </c>
      <c r="F76" s="37">
        <v>23080</v>
      </c>
      <c r="G76" s="38">
        <f>IFERROR(IF(B76="Tampa",INDEX(tbl_tampas[Massa_g],MATCH(A76,tbl_tampas[CapId],0)),INDEX(tbl_recyclass[Massa_Corpo_g],MATCH(A76,tbl_recyclass[ProductId],0))),0)</f>
        <v>24.4</v>
      </c>
      <c r="H76" s="32">
        <f t="shared" si="3"/>
        <v>563.15200000000004</v>
      </c>
      <c r="I76" s="36">
        <f>IFERROR(IF(B76="Tampa",INDEX(tbl_tampas[Pct_PCR],MATCH(A76,tbl_tampas[CapId],0)),INDEX(tbl_recyclass[Pct_PCR_Corpo],MATCH(A76,tbl_recyclass[ProductId],0))),0)</f>
        <v>0</v>
      </c>
      <c r="J76" s="32">
        <f t="shared" si="4"/>
        <v>0</v>
      </c>
      <c r="K76" s="32">
        <f t="shared" si="5"/>
        <v>563.15200000000004</v>
      </c>
      <c r="L76" s="43">
        <f>IF(C76="ES",K76*INDEX(tbl_param_emb[Valor],MATCH("P-01",tbl_param_emb[ID_Parametro],0)),0)</f>
        <v>0</v>
      </c>
      <c r="M76" s="33" t="str">
        <f>IF(B76="Tampa","Componente",IFERROR(INDEX(tbl_recyclass[Grau_PPWR_Indicativo],MATCH(A76,tbl_recyclass[ProductId],0)),""))</f>
        <v>Não reciclável (F)</v>
      </c>
    </row>
    <row r="77" spans="1:13" ht="16.05" customHeight="1" x14ac:dyDescent="0.3">
      <c r="A77" s="26" t="s">
        <v>649</v>
      </c>
      <c r="B77" s="26" t="s">
        <v>1470</v>
      </c>
      <c r="C77" s="26" t="s">
        <v>847</v>
      </c>
      <c r="D77" s="26" t="s">
        <v>1471</v>
      </c>
      <c r="E77" s="39">
        <v>8</v>
      </c>
      <c r="F77" s="37">
        <v>106629</v>
      </c>
      <c r="G77" s="38">
        <f>IFERROR(IF(B77="Tampa",INDEX(tbl_tampas[Massa_g],MATCH(A77,tbl_tampas[CapId],0)),INDEX(tbl_recyclass[Massa_Corpo_g],MATCH(A77,tbl_recyclass[ProductId],0))),0)</f>
        <v>24.4</v>
      </c>
      <c r="H77" s="32">
        <f t="shared" si="3"/>
        <v>2601.7475999999997</v>
      </c>
      <c r="I77" s="36">
        <f>IFERROR(IF(B77="Tampa",INDEX(tbl_tampas[Pct_PCR],MATCH(A77,tbl_tampas[CapId],0)),INDEX(tbl_recyclass[Pct_PCR_Corpo],MATCH(A77,tbl_recyclass[ProductId],0))),0)</f>
        <v>0</v>
      </c>
      <c r="J77" s="32">
        <f t="shared" si="4"/>
        <v>0</v>
      </c>
      <c r="K77" s="32">
        <f t="shared" si="5"/>
        <v>2601.7475999999997</v>
      </c>
      <c r="L77" s="43">
        <f>IF(C77="ES",K77*INDEX(tbl_param_emb[Valor],MATCH("P-01",tbl_param_emb[ID_Parametro],0)),0)</f>
        <v>0</v>
      </c>
      <c r="M77" s="33" t="str">
        <f>IF(B77="Tampa","Componente",IFERROR(INDEX(tbl_recyclass[Grau_PPWR_Indicativo],MATCH(A77,tbl_recyclass[ProductId],0)),""))</f>
        <v>Não reciclável (F)</v>
      </c>
    </row>
    <row r="78" spans="1:13" ht="16.05" customHeight="1" x14ac:dyDescent="0.3">
      <c r="A78" s="26" t="s">
        <v>649</v>
      </c>
      <c r="B78" s="26" t="s">
        <v>1470</v>
      </c>
      <c r="C78" s="26" t="s">
        <v>1474</v>
      </c>
      <c r="D78" s="26" t="s">
        <v>1475</v>
      </c>
      <c r="E78" s="39">
        <v>2</v>
      </c>
      <c r="F78" s="37">
        <v>28268</v>
      </c>
      <c r="G78" s="38">
        <f>IFERROR(IF(B78="Tampa",INDEX(tbl_tampas[Massa_g],MATCH(A78,tbl_tampas[CapId],0)),INDEX(tbl_recyclass[Massa_Corpo_g],MATCH(A78,tbl_recyclass[ProductId],0))),0)</f>
        <v>24.4</v>
      </c>
      <c r="H78" s="32">
        <f t="shared" si="3"/>
        <v>689.73919999999998</v>
      </c>
      <c r="I78" s="36">
        <f>IFERROR(IF(B78="Tampa",INDEX(tbl_tampas[Pct_PCR],MATCH(A78,tbl_tampas[CapId],0)),INDEX(tbl_recyclass[Pct_PCR_Corpo],MATCH(A78,tbl_recyclass[ProductId],0))),0)</f>
        <v>0</v>
      </c>
      <c r="J78" s="32">
        <f t="shared" si="4"/>
        <v>0</v>
      </c>
      <c r="K78" s="32">
        <f t="shared" si="5"/>
        <v>689.73919999999998</v>
      </c>
      <c r="L78" s="43">
        <f>IF(C78="ES",K78*INDEX(tbl_param_emb[Valor],MATCH("P-01",tbl_param_emb[ID_Parametro],0)),0)</f>
        <v>310.38263999999998</v>
      </c>
      <c r="M78" s="33" t="str">
        <f>IF(B78="Tampa","Componente",IFERROR(INDEX(tbl_recyclass[Grau_PPWR_Indicativo],MATCH(A78,tbl_recyclass[ProductId],0)),""))</f>
        <v>Não reciclável (F)</v>
      </c>
    </row>
    <row r="79" spans="1:13" ht="16.05" customHeight="1" x14ac:dyDescent="0.3">
      <c r="A79" s="26" t="s">
        <v>660</v>
      </c>
      <c r="B79" s="26" t="s">
        <v>1470</v>
      </c>
      <c r="C79" s="26" t="s">
        <v>1476</v>
      </c>
      <c r="D79" s="26" t="s">
        <v>1477</v>
      </c>
      <c r="E79" s="39">
        <v>1</v>
      </c>
      <c r="F79" s="37">
        <v>9515</v>
      </c>
      <c r="G79" s="38">
        <f>IFERROR(IF(B79="Tampa",INDEX(tbl_tampas[Massa_g],MATCH(A79,tbl_tampas[CapId],0)),INDEX(tbl_recyclass[Massa_Corpo_g],MATCH(A79,tbl_recyclass[ProductId],0))),0)</f>
        <v>24.4</v>
      </c>
      <c r="H79" s="32">
        <f t="shared" si="3"/>
        <v>232.166</v>
      </c>
      <c r="I79" s="36">
        <f>IFERROR(IF(B79="Tampa",INDEX(tbl_tampas[Pct_PCR],MATCH(A79,tbl_tampas[CapId],0)),INDEX(tbl_recyclass[Pct_PCR_Corpo],MATCH(A79,tbl_recyclass[ProductId],0))),0)</f>
        <v>0</v>
      </c>
      <c r="J79" s="32">
        <f t="shared" si="4"/>
        <v>0</v>
      </c>
      <c r="K79" s="32">
        <f t="shared" si="5"/>
        <v>232.166</v>
      </c>
      <c r="L79" s="43">
        <f>IF(C79="ES",K79*INDEX(tbl_param_emb[Valor],MATCH("P-01",tbl_param_emb[ID_Parametro],0)),0)</f>
        <v>0</v>
      </c>
      <c r="M79" s="33" t="str">
        <f>IF(B79="Tampa","Componente",IFERROR(INDEX(tbl_recyclass[Grau_PPWR_Indicativo],MATCH(A79,tbl_recyclass[ProductId],0)),""))</f>
        <v>B</v>
      </c>
    </row>
    <row r="80" spans="1:13" ht="16.05" customHeight="1" x14ac:dyDescent="0.3">
      <c r="A80" s="26" t="s">
        <v>660</v>
      </c>
      <c r="B80" s="26" t="s">
        <v>1470</v>
      </c>
      <c r="C80" s="26" t="s">
        <v>1472</v>
      </c>
      <c r="D80" s="26" t="s">
        <v>1473</v>
      </c>
      <c r="E80" s="39">
        <v>1</v>
      </c>
      <c r="F80" s="37">
        <v>2976</v>
      </c>
      <c r="G80" s="38">
        <f>IFERROR(IF(B80="Tampa",INDEX(tbl_tampas[Massa_g],MATCH(A80,tbl_tampas[CapId],0)),INDEX(tbl_recyclass[Massa_Corpo_g],MATCH(A80,tbl_recyclass[ProductId],0))),0)</f>
        <v>24.4</v>
      </c>
      <c r="H80" s="32">
        <f t="shared" si="3"/>
        <v>72.614399999999989</v>
      </c>
      <c r="I80" s="36">
        <f>IFERROR(IF(B80="Tampa",INDEX(tbl_tampas[Pct_PCR],MATCH(A80,tbl_tampas[CapId],0)),INDEX(tbl_recyclass[Pct_PCR_Corpo],MATCH(A80,tbl_recyclass[ProductId],0))),0)</f>
        <v>0</v>
      </c>
      <c r="J80" s="32">
        <f t="shared" si="4"/>
        <v>0</v>
      </c>
      <c r="K80" s="32">
        <f t="shared" si="5"/>
        <v>72.614399999999989</v>
      </c>
      <c r="L80" s="43">
        <f>IF(C80="ES",K80*INDEX(tbl_param_emb[Valor],MATCH("P-01",tbl_param_emb[ID_Parametro],0)),0)</f>
        <v>0</v>
      </c>
      <c r="M80" s="33" t="str">
        <f>IF(B80="Tampa","Componente",IFERROR(INDEX(tbl_recyclass[Grau_PPWR_Indicativo],MATCH(A80,tbl_recyclass[ProductId],0)),""))</f>
        <v>B</v>
      </c>
    </row>
    <row r="81" spans="1:13" ht="16.05" customHeight="1" x14ac:dyDescent="0.3">
      <c r="A81" s="26" t="s">
        <v>660</v>
      </c>
      <c r="B81" s="26" t="s">
        <v>1470</v>
      </c>
      <c r="C81" s="26" t="s">
        <v>1480</v>
      </c>
      <c r="D81" s="26" t="s">
        <v>1481</v>
      </c>
      <c r="E81" s="39">
        <v>1</v>
      </c>
      <c r="F81" s="37">
        <v>5744</v>
      </c>
      <c r="G81" s="38">
        <f>IFERROR(IF(B81="Tampa",INDEX(tbl_tampas[Massa_g],MATCH(A81,tbl_tampas[CapId],0)),INDEX(tbl_recyclass[Massa_Corpo_g],MATCH(A81,tbl_recyclass[ProductId],0))),0)</f>
        <v>24.4</v>
      </c>
      <c r="H81" s="32">
        <f t="shared" si="3"/>
        <v>140.15360000000001</v>
      </c>
      <c r="I81" s="36">
        <f>IFERROR(IF(B81="Tampa",INDEX(tbl_tampas[Pct_PCR],MATCH(A81,tbl_tampas[CapId],0)),INDEX(tbl_recyclass[Pct_PCR_Corpo],MATCH(A81,tbl_recyclass[ProductId],0))),0)</f>
        <v>0</v>
      </c>
      <c r="J81" s="32">
        <f t="shared" si="4"/>
        <v>0</v>
      </c>
      <c r="K81" s="32">
        <f t="shared" si="5"/>
        <v>140.15360000000001</v>
      </c>
      <c r="L81" s="43">
        <f>IF(C81="ES",K81*INDEX(tbl_param_emb[Valor],MATCH("P-01",tbl_param_emb[ID_Parametro],0)),0)</f>
        <v>0</v>
      </c>
      <c r="M81" s="33" t="str">
        <f>IF(B81="Tampa","Componente",IFERROR(INDEX(tbl_recyclass[Grau_PPWR_Indicativo],MATCH(A81,tbl_recyclass[ProductId],0)),""))</f>
        <v>B</v>
      </c>
    </row>
    <row r="82" spans="1:13" ht="16.05" customHeight="1" x14ac:dyDescent="0.3">
      <c r="A82" s="26" t="s">
        <v>660</v>
      </c>
      <c r="B82" s="26" t="s">
        <v>1470</v>
      </c>
      <c r="C82" s="26" t="s">
        <v>847</v>
      </c>
      <c r="D82" s="26" t="s">
        <v>1471</v>
      </c>
      <c r="E82" s="39">
        <v>4</v>
      </c>
      <c r="F82" s="37">
        <v>53065</v>
      </c>
      <c r="G82" s="38">
        <f>IFERROR(IF(B82="Tampa",INDEX(tbl_tampas[Massa_g],MATCH(A82,tbl_tampas[CapId],0)),INDEX(tbl_recyclass[Massa_Corpo_g],MATCH(A82,tbl_recyclass[ProductId],0))),0)</f>
        <v>24.4</v>
      </c>
      <c r="H82" s="32">
        <f t="shared" si="3"/>
        <v>1294.7860000000001</v>
      </c>
      <c r="I82" s="36">
        <f>IFERROR(IF(B82="Tampa",INDEX(tbl_tampas[Pct_PCR],MATCH(A82,tbl_tampas[CapId],0)),INDEX(tbl_recyclass[Pct_PCR_Corpo],MATCH(A82,tbl_recyclass[ProductId],0))),0)</f>
        <v>0</v>
      </c>
      <c r="J82" s="32">
        <f t="shared" si="4"/>
        <v>0</v>
      </c>
      <c r="K82" s="32">
        <f t="shared" si="5"/>
        <v>1294.7860000000001</v>
      </c>
      <c r="L82" s="43">
        <f>IF(C82="ES",K82*INDEX(tbl_param_emb[Valor],MATCH("P-01",tbl_param_emb[ID_Parametro],0)),0)</f>
        <v>0</v>
      </c>
      <c r="M82" s="33" t="str">
        <f>IF(B82="Tampa","Componente",IFERROR(INDEX(tbl_recyclass[Grau_PPWR_Indicativo],MATCH(A82,tbl_recyclass[ProductId],0)),""))</f>
        <v>B</v>
      </c>
    </row>
    <row r="83" spans="1:13" ht="16.05" customHeight="1" x14ac:dyDescent="0.3">
      <c r="A83" s="26" t="s">
        <v>660</v>
      </c>
      <c r="B83" s="26" t="s">
        <v>1470</v>
      </c>
      <c r="C83" s="26" t="s">
        <v>1474</v>
      </c>
      <c r="D83" s="26" t="s">
        <v>1475</v>
      </c>
      <c r="E83" s="39">
        <v>1</v>
      </c>
      <c r="F83" s="37">
        <v>11057</v>
      </c>
      <c r="G83" s="38">
        <f>IFERROR(IF(B83="Tampa",INDEX(tbl_tampas[Massa_g],MATCH(A83,tbl_tampas[CapId],0)),INDEX(tbl_recyclass[Massa_Corpo_g],MATCH(A83,tbl_recyclass[ProductId],0))),0)</f>
        <v>24.4</v>
      </c>
      <c r="H83" s="32">
        <f t="shared" si="3"/>
        <v>269.79079999999999</v>
      </c>
      <c r="I83" s="36">
        <f>IFERROR(IF(B83="Tampa",INDEX(tbl_tampas[Pct_PCR],MATCH(A83,tbl_tampas[CapId],0)),INDEX(tbl_recyclass[Pct_PCR_Corpo],MATCH(A83,tbl_recyclass[ProductId],0))),0)</f>
        <v>0</v>
      </c>
      <c r="J83" s="32">
        <f t="shared" si="4"/>
        <v>0</v>
      </c>
      <c r="K83" s="32">
        <f t="shared" si="5"/>
        <v>269.79079999999999</v>
      </c>
      <c r="L83" s="43">
        <f>IF(C83="ES",K83*INDEX(tbl_param_emb[Valor],MATCH("P-01",tbl_param_emb[ID_Parametro],0)),0)</f>
        <v>121.40586</v>
      </c>
      <c r="M83" s="33" t="str">
        <f>IF(B83="Tampa","Componente",IFERROR(INDEX(tbl_recyclass[Grau_PPWR_Indicativo],MATCH(A83,tbl_recyclass[ProductId],0)),""))</f>
        <v>B</v>
      </c>
    </row>
    <row r="84" spans="1:13" ht="16.05" customHeight="1" x14ac:dyDescent="0.3">
      <c r="A84" s="26" t="s">
        <v>666</v>
      </c>
      <c r="B84" s="26" t="s">
        <v>1470</v>
      </c>
      <c r="C84" s="26" t="s">
        <v>1476</v>
      </c>
      <c r="D84" s="26" t="s">
        <v>1477</v>
      </c>
      <c r="E84" s="39">
        <v>1</v>
      </c>
      <c r="F84" s="37">
        <v>4596</v>
      </c>
      <c r="G84" s="38">
        <f>IFERROR(IF(B84="Tampa",INDEX(tbl_tampas[Massa_g],MATCH(A84,tbl_tampas[CapId],0)),INDEX(tbl_recyclass[Massa_Corpo_g],MATCH(A84,tbl_recyclass[ProductId],0))),0)</f>
        <v>24.4</v>
      </c>
      <c r="H84" s="32">
        <f t="shared" si="3"/>
        <v>112.14239999999999</v>
      </c>
      <c r="I84" s="36">
        <f>IFERROR(IF(B84="Tampa",INDEX(tbl_tampas[Pct_PCR],MATCH(A84,tbl_tampas[CapId],0)),INDEX(tbl_recyclass[Pct_PCR_Corpo],MATCH(A84,tbl_recyclass[ProductId],0))),0)</f>
        <v>0.3</v>
      </c>
      <c r="J84" s="32">
        <f t="shared" si="4"/>
        <v>33.642719999999997</v>
      </c>
      <c r="K84" s="32">
        <f t="shared" si="5"/>
        <v>78.499679999999998</v>
      </c>
      <c r="L84" s="43">
        <f>IF(C84="ES",K84*INDEX(tbl_param_emb[Valor],MATCH("P-01",tbl_param_emb[ID_Parametro],0)),0)</f>
        <v>0</v>
      </c>
      <c r="M84" s="33" t="str">
        <f>IF(B84="Tampa","Componente",IFERROR(INDEX(tbl_recyclass[Grau_PPWR_Indicativo],MATCH(A84,tbl_recyclass[ProductId],0)),""))</f>
        <v>B</v>
      </c>
    </row>
    <row r="85" spans="1:13" ht="16.05" customHeight="1" x14ac:dyDescent="0.3">
      <c r="A85" s="26" t="s">
        <v>666</v>
      </c>
      <c r="B85" s="26" t="s">
        <v>1470</v>
      </c>
      <c r="C85" s="26" t="s">
        <v>1472</v>
      </c>
      <c r="D85" s="26" t="s">
        <v>1473</v>
      </c>
      <c r="E85" s="39">
        <v>1</v>
      </c>
      <c r="F85" s="37">
        <v>22478</v>
      </c>
      <c r="G85" s="38">
        <f>IFERROR(IF(B85="Tampa",INDEX(tbl_tampas[Massa_g],MATCH(A85,tbl_tampas[CapId],0)),INDEX(tbl_recyclass[Massa_Corpo_g],MATCH(A85,tbl_recyclass[ProductId],0))),0)</f>
        <v>24.4</v>
      </c>
      <c r="H85" s="32">
        <f t="shared" si="3"/>
        <v>548.46319999999992</v>
      </c>
      <c r="I85" s="36">
        <f>IFERROR(IF(B85="Tampa",INDEX(tbl_tampas[Pct_PCR],MATCH(A85,tbl_tampas[CapId],0)),INDEX(tbl_recyclass[Pct_PCR_Corpo],MATCH(A85,tbl_recyclass[ProductId],0))),0)</f>
        <v>0.3</v>
      </c>
      <c r="J85" s="32">
        <f t="shared" si="4"/>
        <v>164.53895999999997</v>
      </c>
      <c r="K85" s="32">
        <f t="shared" si="5"/>
        <v>383.92423999999994</v>
      </c>
      <c r="L85" s="43">
        <f>IF(C85="ES",K85*INDEX(tbl_param_emb[Valor],MATCH("P-01",tbl_param_emb[ID_Parametro],0)),0)</f>
        <v>0</v>
      </c>
      <c r="M85" s="33" t="str">
        <f>IF(B85="Tampa","Componente",IFERROR(INDEX(tbl_recyclass[Grau_PPWR_Indicativo],MATCH(A85,tbl_recyclass[ProductId],0)),""))</f>
        <v>B</v>
      </c>
    </row>
    <row r="86" spans="1:13" ht="16.05" customHeight="1" x14ac:dyDescent="0.3">
      <c r="A86" s="26" t="s">
        <v>666</v>
      </c>
      <c r="B86" s="26" t="s">
        <v>1470</v>
      </c>
      <c r="C86" s="26" t="s">
        <v>1478</v>
      </c>
      <c r="D86" s="26" t="s">
        <v>1479</v>
      </c>
      <c r="E86" s="39">
        <v>1</v>
      </c>
      <c r="F86" s="37">
        <v>21433</v>
      </c>
      <c r="G86" s="38">
        <f>IFERROR(IF(B86="Tampa",INDEX(tbl_tampas[Massa_g],MATCH(A86,tbl_tampas[CapId],0)),INDEX(tbl_recyclass[Massa_Corpo_g],MATCH(A86,tbl_recyclass[ProductId],0))),0)</f>
        <v>24.4</v>
      </c>
      <c r="H86" s="32">
        <f t="shared" si="3"/>
        <v>522.96519999999998</v>
      </c>
      <c r="I86" s="36">
        <f>IFERROR(IF(B86="Tampa",INDEX(tbl_tampas[Pct_PCR],MATCH(A86,tbl_tampas[CapId],0)),INDEX(tbl_recyclass[Pct_PCR_Corpo],MATCH(A86,tbl_recyclass[ProductId],0))),0)</f>
        <v>0.3</v>
      </c>
      <c r="J86" s="32">
        <f t="shared" si="4"/>
        <v>156.88955999999999</v>
      </c>
      <c r="K86" s="32">
        <f t="shared" si="5"/>
        <v>366.07564000000002</v>
      </c>
      <c r="L86" s="43">
        <f>IF(C86="ES",K86*INDEX(tbl_param_emb[Valor],MATCH("P-01",tbl_param_emb[ID_Parametro],0)),0)</f>
        <v>0</v>
      </c>
      <c r="M86" s="33" t="str">
        <f>IF(B86="Tampa","Componente",IFERROR(INDEX(tbl_recyclass[Grau_PPWR_Indicativo],MATCH(A86,tbl_recyclass[ProductId],0)),""))</f>
        <v>B</v>
      </c>
    </row>
    <row r="87" spans="1:13" ht="16.05" customHeight="1" x14ac:dyDescent="0.3">
      <c r="A87" s="26" t="s">
        <v>666</v>
      </c>
      <c r="B87" s="26" t="s">
        <v>1470</v>
      </c>
      <c r="C87" s="26" t="s">
        <v>1480</v>
      </c>
      <c r="D87" s="26" t="s">
        <v>1481</v>
      </c>
      <c r="E87" s="39">
        <v>1</v>
      </c>
      <c r="F87" s="37">
        <v>3710</v>
      </c>
      <c r="G87" s="38">
        <f>IFERROR(IF(B87="Tampa",INDEX(tbl_tampas[Massa_g],MATCH(A87,tbl_tampas[CapId],0)),INDEX(tbl_recyclass[Massa_Corpo_g],MATCH(A87,tbl_recyclass[ProductId],0))),0)</f>
        <v>24.4</v>
      </c>
      <c r="H87" s="32">
        <f t="shared" si="3"/>
        <v>90.524000000000001</v>
      </c>
      <c r="I87" s="36">
        <f>IFERROR(IF(B87="Tampa",INDEX(tbl_tampas[Pct_PCR],MATCH(A87,tbl_tampas[CapId],0)),INDEX(tbl_recyclass[Pct_PCR_Corpo],MATCH(A87,tbl_recyclass[ProductId],0))),0)</f>
        <v>0.3</v>
      </c>
      <c r="J87" s="32">
        <f t="shared" si="4"/>
        <v>27.1572</v>
      </c>
      <c r="K87" s="32">
        <f t="shared" si="5"/>
        <v>63.366799999999998</v>
      </c>
      <c r="L87" s="43">
        <f>IF(C87="ES",K87*INDEX(tbl_param_emb[Valor],MATCH("P-01",tbl_param_emb[ID_Parametro],0)),0)</f>
        <v>0</v>
      </c>
      <c r="M87" s="33" t="str">
        <f>IF(B87="Tampa","Componente",IFERROR(INDEX(tbl_recyclass[Grau_PPWR_Indicativo],MATCH(A87,tbl_recyclass[ProductId],0)),""))</f>
        <v>B</v>
      </c>
    </row>
    <row r="88" spans="1:13" ht="16.05" customHeight="1" x14ac:dyDescent="0.3">
      <c r="A88" s="26" t="s">
        <v>666</v>
      </c>
      <c r="B88" s="26" t="s">
        <v>1470</v>
      </c>
      <c r="C88" s="26" t="s">
        <v>847</v>
      </c>
      <c r="D88" s="26" t="s">
        <v>1471</v>
      </c>
      <c r="E88" s="39">
        <v>7</v>
      </c>
      <c r="F88" s="37">
        <v>72924</v>
      </c>
      <c r="G88" s="38">
        <f>IFERROR(IF(B88="Tampa",INDEX(tbl_tampas[Massa_g],MATCH(A88,tbl_tampas[CapId],0)),INDEX(tbl_recyclass[Massa_Corpo_g],MATCH(A88,tbl_recyclass[ProductId],0))),0)</f>
        <v>24.4</v>
      </c>
      <c r="H88" s="32">
        <f t="shared" si="3"/>
        <v>1779.3455999999999</v>
      </c>
      <c r="I88" s="36">
        <f>IFERROR(IF(B88="Tampa",INDEX(tbl_tampas[Pct_PCR],MATCH(A88,tbl_tampas[CapId],0)),INDEX(tbl_recyclass[Pct_PCR_Corpo],MATCH(A88,tbl_recyclass[ProductId],0))),0)</f>
        <v>0.3</v>
      </c>
      <c r="J88" s="32">
        <f t="shared" si="4"/>
        <v>533.80367999999999</v>
      </c>
      <c r="K88" s="32">
        <f t="shared" si="5"/>
        <v>1245.5419199999999</v>
      </c>
      <c r="L88" s="43">
        <f>IF(C88="ES",K88*INDEX(tbl_param_emb[Valor],MATCH("P-01",tbl_param_emb[ID_Parametro],0)),0)</f>
        <v>0</v>
      </c>
      <c r="M88" s="33" t="str">
        <f>IF(B88="Tampa","Componente",IFERROR(INDEX(tbl_recyclass[Grau_PPWR_Indicativo],MATCH(A88,tbl_recyclass[ProductId],0)),""))</f>
        <v>B</v>
      </c>
    </row>
    <row r="89" spans="1:13" ht="16.05" customHeight="1" x14ac:dyDescent="0.3">
      <c r="A89" s="26" t="s">
        <v>666</v>
      </c>
      <c r="B89" s="26" t="s">
        <v>1470</v>
      </c>
      <c r="C89" s="26" t="s">
        <v>1474</v>
      </c>
      <c r="D89" s="26" t="s">
        <v>1475</v>
      </c>
      <c r="E89" s="39">
        <v>2</v>
      </c>
      <c r="F89" s="37">
        <v>30969</v>
      </c>
      <c r="G89" s="38">
        <f>IFERROR(IF(B89="Tampa",INDEX(tbl_tampas[Massa_g],MATCH(A89,tbl_tampas[CapId],0)),INDEX(tbl_recyclass[Massa_Corpo_g],MATCH(A89,tbl_recyclass[ProductId],0))),0)</f>
        <v>24.4</v>
      </c>
      <c r="H89" s="32">
        <f t="shared" si="3"/>
        <v>755.64359999999999</v>
      </c>
      <c r="I89" s="36">
        <f>IFERROR(IF(B89="Tampa",INDEX(tbl_tampas[Pct_PCR],MATCH(A89,tbl_tampas[CapId],0)),INDEX(tbl_recyclass[Pct_PCR_Corpo],MATCH(A89,tbl_recyclass[ProductId],0))),0)</f>
        <v>0.3</v>
      </c>
      <c r="J89" s="32">
        <f t="shared" si="4"/>
        <v>226.69307999999998</v>
      </c>
      <c r="K89" s="32">
        <f t="shared" si="5"/>
        <v>528.95051999999998</v>
      </c>
      <c r="L89" s="43">
        <f>IF(C89="ES",K89*INDEX(tbl_param_emb[Valor],MATCH("P-01",tbl_param_emb[ID_Parametro],0)),0)</f>
        <v>238.02773400000001</v>
      </c>
      <c r="M89" s="33" t="str">
        <f>IF(B89="Tampa","Componente",IFERROR(INDEX(tbl_recyclass[Grau_PPWR_Indicativo],MATCH(A89,tbl_recyclass[ProductId],0)),""))</f>
        <v>B</v>
      </c>
    </row>
    <row r="90" spans="1:13" ht="16.05" customHeight="1" x14ac:dyDescent="0.3">
      <c r="A90" s="26" t="s">
        <v>668</v>
      </c>
      <c r="B90" s="26" t="s">
        <v>1470</v>
      </c>
      <c r="C90" s="26" t="s">
        <v>1476</v>
      </c>
      <c r="D90" s="26" t="s">
        <v>1477</v>
      </c>
      <c r="E90" s="39">
        <v>1</v>
      </c>
      <c r="F90" s="37">
        <v>31065</v>
      </c>
      <c r="G90" s="38">
        <f>IFERROR(IF(B90="Tampa",INDEX(tbl_tampas[Massa_g],MATCH(A90,tbl_tampas[CapId],0)),INDEX(tbl_recyclass[Massa_Corpo_g],MATCH(A90,tbl_recyclass[ProductId],0))),0)</f>
        <v>24.4</v>
      </c>
      <c r="H90" s="32">
        <f t="shared" si="3"/>
        <v>757.98599999999999</v>
      </c>
      <c r="I90" s="36">
        <f>IFERROR(IF(B90="Tampa",INDEX(tbl_tampas[Pct_PCR],MATCH(A90,tbl_tampas[CapId],0)),INDEX(tbl_recyclass[Pct_PCR_Corpo],MATCH(A90,tbl_recyclass[ProductId],0))),0)</f>
        <v>0</v>
      </c>
      <c r="J90" s="32">
        <f t="shared" si="4"/>
        <v>0</v>
      </c>
      <c r="K90" s="32">
        <f t="shared" si="5"/>
        <v>757.98599999999999</v>
      </c>
      <c r="L90" s="43">
        <f>IF(C90="ES",K90*INDEX(tbl_param_emb[Valor],MATCH("P-01",tbl_param_emb[ID_Parametro],0)),0)</f>
        <v>0</v>
      </c>
      <c r="M90" s="33" t="str">
        <f>IF(B90="Tampa","Componente",IFERROR(INDEX(tbl_recyclass[Grau_PPWR_Indicativo],MATCH(A90,tbl_recyclass[ProductId],0)),""))</f>
        <v>Não reciclável (F)</v>
      </c>
    </row>
    <row r="91" spans="1:13" ht="16.05" customHeight="1" x14ac:dyDescent="0.3">
      <c r="A91" s="26" t="s">
        <v>668</v>
      </c>
      <c r="B91" s="26" t="s">
        <v>1470</v>
      </c>
      <c r="C91" s="26" t="s">
        <v>1472</v>
      </c>
      <c r="D91" s="26" t="s">
        <v>1473</v>
      </c>
      <c r="E91" s="39">
        <v>1</v>
      </c>
      <c r="F91" s="37">
        <v>5324</v>
      </c>
      <c r="G91" s="38">
        <f>IFERROR(IF(B91="Tampa",INDEX(tbl_tampas[Massa_g],MATCH(A91,tbl_tampas[CapId],0)),INDEX(tbl_recyclass[Massa_Corpo_g],MATCH(A91,tbl_recyclass[ProductId],0))),0)</f>
        <v>24.4</v>
      </c>
      <c r="H91" s="32">
        <f t="shared" si="3"/>
        <v>129.90559999999999</v>
      </c>
      <c r="I91" s="36">
        <f>IFERROR(IF(B91="Tampa",INDEX(tbl_tampas[Pct_PCR],MATCH(A91,tbl_tampas[CapId],0)),INDEX(tbl_recyclass[Pct_PCR_Corpo],MATCH(A91,tbl_recyclass[ProductId],0))),0)</f>
        <v>0</v>
      </c>
      <c r="J91" s="32">
        <f t="shared" si="4"/>
        <v>0</v>
      </c>
      <c r="K91" s="32">
        <f t="shared" si="5"/>
        <v>129.90559999999999</v>
      </c>
      <c r="L91" s="43">
        <f>IF(C91="ES",K91*INDEX(tbl_param_emb[Valor],MATCH("P-01",tbl_param_emb[ID_Parametro],0)),0)</f>
        <v>0</v>
      </c>
      <c r="M91" s="33" t="str">
        <f>IF(B91="Tampa","Componente",IFERROR(INDEX(tbl_recyclass[Grau_PPWR_Indicativo],MATCH(A91,tbl_recyclass[ProductId],0)),""))</f>
        <v>Não reciclável (F)</v>
      </c>
    </row>
    <row r="92" spans="1:13" ht="16.05" customHeight="1" x14ac:dyDescent="0.3">
      <c r="A92" s="26" t="s">
        <v>668</v>
      </c>
      <c r="B92" s="26" t="s">
        <v>1470</v>
      </c>
      <c r="C92" s="26" t="s">
        <v>1478</v>
      </c>
      <c r="D92" s="26" t="s">
        <v>1479</v>
      </c>
      <c r="E92" s="39">
        <v>1</v>
      </c>
      <c r="F92" s="37">
        <v>5890</v>
      </c>
      <c r="G92" s="38">
        <f>IFERROR(IF(B92="Tampa",INDEX(tbl_tampas[Massa_g],MATCH(A92,tbl_tampas[CapId],0)),INDEX(tbl_recyclass[Massa_Corpo_g],MATCH(A92,tbl_recyclass[ProductId],0))),0)</f>
        <v>24.4</v>
      </c>
      <c r="H92" s="32">
        <f t="shared" si="3"/>
        <v>143.71600000000001</v>
      </c>
      <c r="I92" s="36">
        <f>IFERROR(IF(B92="Tampa",INDEX(tbl_tampas[Pct_PCR],MATCH(A92,tbl_tampas[CapId],0)),INDEX(tbl_recyclass[Pct_PCR_Corpo],MATCH(A92,tbl_recyclass[ProductId],0))),0)</f>
        <v>0</v>
      </c>
      <c r="J92" s="32">
        <f t="shared" si="4"/>
        <v>0</v>
      </c>
      <c r="K92" s="32">
        <f t="shared" si="5"/>
        <v>143.71600000000001</v>
      </c>
      <c r="L92" s="43">
        <f>IF(C92="ES",K92*INDEX(tbl_param_emb[Valor],MATCH("P-01",tbl_param_emb[ID_Parametro],0)),0)</f>
        <v>0</v>
      </c>
      <c r="M92" s="33" t="str">
        <f>IF(B92="Tampa","Componente",IFERROR(INDEX(tbl_recyclass[Grau_PPWR_Indicativo],MATCH(A92,tbl_recyclass[ProductId],0)),""))</f>
        <v>Não reciclável (F)</v>
      </c>
    </row>
    <row r="93" spans="1:13" ht="16.05" customHeight="1" x14ac:dyDescent="0.3">
      <c r="A93" s="26" t="s">
        <v>668</v>
      </c>
      <c r="B93" s="26" t="s">
        <v>1470</v>
      </c>
      <c r="C93" s="26" t="s">
        <v>1480</v>
      </c>
      <c r="D93" s="26" t="s">
        <v>1481</v>
      </c>
      <c r="E93" s="39">
        <v>1</v>
      </c>
      <c r="F93" s="37">
        <v>6792</v>
      </c>
      <c r="G93" s="38">
        <f>IFERROR(IF(B93="Tampa",INDEX(tbl_tampas[Massa_g],MATCH(A93,tbl_tampas[CapId],0)),INDEX(tbl_recyclass[Massa_Corpo_g],MATCH(A93,tbl_recyclass[ProductId],0))),0)</f>
        <v>24.4</v>
      </c>
      <c r="H93" s="32">
        <f t="shared" si="3"/>
        <v>165.72479999999999</v>
      </c>
      <c r="I93" s="36">
        <f>IFERROR(IF(B93="Tampa",INDEX(tbl_tampas[Pct_PCR],MATCH(A93,tbl_tampas[CapId],0)),INDEX(tbl_recyclass[Pct_PCR_Corpo],MATCH(A93,tbl_recyclass[ProductId],0))),0)</f>
        <v>0</v>
      </c>
      <c r="J93" s="32">
        <f t="shared" si="4"/>
        <v>0</v>
      </c>
      <c r="K93" s="32">
        <f t="shared" si="5"/>
        <v>165.72479999999999</v>
      </c>
      <c r="L93" s="43">
        <f>IF(C93="ES",K93*INDEX(tbl_param_emb[Valor],MATCH("P-01",tbl_param_emb[ID_Parametro],0)),0)</f>
        <v>0</v>
      </c>
      <c r="M93" s="33" t="str">
        <f>IF(B93="Tampa","Componente",IFERROR(INDEX(tbl_recyclass[Grau_PPWR_Indicativo],MATCH(A93,tbl_recyclass[ProductId],0)),""))</f>
        <v>Não reciclável (F)</v>
      </c>
    </row>
    <row r="94" spans="1:13" ht="16.05" customHeight="1" x14ac:dyDescent="0.3">
      <c r="A94" s="26" t="s">
        <v>668</v>
      </c>
      <c r="B94" s="26" t="s">
        <v>1470</v>
      </c>
      <c r="C94" s="26" t="s">
        <v>847</v>
      </c>
      <c r="D94" s="26" t="s">
        <v>1471</v>
      </c>
      <c r="E94" s="39">
        <v>6</v>
      </c>
      <c r="F94" s="37">
        <v>77485</v>
      </c>
      <c r="G94" s="38">
        <f>IFERROR(IF(B94="Tampa",INDEX(tbl_tampas[Massa_g],MATCH(A94,tbl_tampas[CapId],0)),INDEX(tbl_recyclass[Massa_Corpo_g],MATCH(A94,tbl_recyclass[ProductId],0))),0)</f>
        <v>24.4</v>
      </c>
      <c r="H94" s="32">
        <f t="shared" si="3"/>
        <v>1890.634</v>
      </c>
      <c r="I94" s="36">
        <f>IFERROR(IF(B94="Tampa",INDEX(tbl_tampas[Pct_PCR],MATCH(A94,tbl_tampas[CapId],0)),INDEX(tbl_recyclass[Pct_PCR_Corpo],MATCH(A94,tbl_recyclass[ProductId],0))),0)</f>
        <v>0</v>
      </c>
      <c r="J94" s="32">
        <f t="shared" si="4"/>
        <v>0</v>
      </c>
      <c r="K94" s="32">
        <f t="shared" si="5"/>
        <v>1890.634</v>
      </c>
      <c r="L94" s="43">
        <f>IF(C94="ES",K94*INDEX(tbl_param_emb[Valor],MATCH("P-01",tbl_param_emb[ID_Parametro],0)),0)</f>
        <v>0</v>
      </c>
      <c r="M94" s="33" t="str">
        <f>IF(B94="Tampa","Componente",IFERROR(INDEX(tbl_recyclass[Grau_PPWR_Indicativo],MATCH(A94,tbl_recyclass[ProductId],0)),""))</f>
        <v>Não reciclável (F)</v>
      </c>
    </row>
    <row r="95" spans="1:13" ht="16.05" customHeight="1" x14ac:dyDescent="0.3">
      <c r="A95" s="26" t="s">
        <v>668</v>
      </c>
      <c r="B95" s="26" t="s">
        <v>1470</v>
      </c>
      <c r="C95" s="26" t="s">
        <v>1474</v>
      </c>
      <c r="D95" s="26" t="s">
        <v>1475</v>
      </c>
      <c r="E95" s="39">
        <v>1</v>
      </c>
      <c r="F95" s="37">
        <v>20265</v>
      </c>
      <c r="G95" s="38">
        <f>IFERROR(IF(B95="Tampa",INDEX(tbl_tampas[Massa_g],MATCH(A95,tbl_tampas[CapId],0)),INDEX(tbl_recyclass[Massa_Corpo_g],MATCH(A95,tbl_recyclass[ProductId],0))),0)</f>
        <v>24.4</v>
      </c>
      <c r="H95" s="32">
        <f t="shared" si="3"/>
        <v>494.46600000000001</v>
      </c>
      <c r="I95" s="36">
        <f>IFERROR(IF(B95="Tampa",INDEX(tbl_tampas[Pct_PCR],MATCH(A95,tbl_tampas[CapId],0)),INDEX(tbl_recyclass[Pct_PCR_Corpo],MATCH(A95,tbl_recyclass[ProductId],0))),0)</f>
        <v>0</v>
      </c>
      <c r="J95" s="32">
        <f t="shared" si="4"/>
        <v>0</v>
      </c>
      <c r="K95" s="32">
        <f t="shared" si="5"/>
        <v>494.46600000000001</v>
      </c>
      <c r="L95" s="43">
        <f>IF(C95="ES",K95*INDEX(tbl_param_emb[Valor],MATCH("P-01",tbl_param_emb[ID_Parametro],0)),0)</f>
        <v>222.50970000000001</v>
      </c>
      <c r="M95" s="33" t="str">
        <f>IF(B95="Tampa","Componente",IFERROR(INDEX(tbl_recyclass[Grau_PPWR_Indicativo],MATCH(A95,tbl_recyclass[ProductId],0)),""))</f>
        <v>Não reciclável (F)</v>
      </c>
    </row>
    <row r="96" spans="1:13" ht="16.05" customHeight="1" x14ac:dyDescent="0.3">
      <c r="A96" s="26" t="s">
        <v>673</v>
      </c>
      <c r="B96" s="26" t="s">
        <v>1470</v>
      </c>
      <c r="C96" s="26" t="s">
        <v>1472</v>
      </c>
      <c r="D96" s="26" t="s">
        <v>1473</v>
      </c>
      <c r="E96" s="39">
        <v>1</v>
      </c>
      <c r="F96" s="37">
        <v>18341</v>
      </c>
      <c r="G96" s="38">
        <f>IFERROR(IF(B96="Tampa",INDEX(tbl_tampas[Massa_g],MATCH(A96,tbl_tampas[CapId],0)),INDEX(tbl_recyclass[Massa_Corpo_g],MATCH(A96,tbl_recyclass[ProductId],0))),0)</f>
        <v>24.4</v>
      </c>
      <c r="H96" s="32">
        <f t="shared" si="3"/>
        <v>447.52039999999994</v>
      </c>
      <c r="I96" s="36">
        <f>IFERROR(IF(B96="Tampa",INDEX(tbl_tampas[Pct_PCR],MATCH(A96,tbl_tampas[CapId],0)),INDEX(tbl_recyclass[Pct_PCR_Corpo],MATCH(A96,tbl_recyclass[ProductId],0))),0)</f>
        <v>0.5</v>
      </c>
      <c r="J96" s="32">
        <f t="shared" si="4"/>
        <v>223.76019999999997</v>
      </c>
      <c r="K96" s="32">
        <f t="shared" si="5"/>
        <v>223.76019999999997</v>
      </c>
      <c r="L96" s="43">
        <f>IF(C96="ES",K96*INDEX(tbl_param_emb[Valor],MATCH("P-01",tbl_param_emb[ID_Parametro],0)),0)</f>
        <v>0</v>
      </c>
      <c r="M96" s="33" t="str">
        <f>IF(B96="Tampa","Componente",IFERROR(INDEX(tbl_recyclass[Grau_PPWR_Indicativo],MATCH(A96,tbl_recyclass[ProductId],0)),""))</f>
        <v>Abaixo de C</v>
      </c>
    </row>
    <row r="97" spans="1:13" ht="16.05" customHeight="1" x14ac:dyDescent="0.3">
      <c r="A97" s="26" t="s">
        <v>673</v>
      </c>
      <c r="B97" s="26" t="s">
        <v>1470</v>
      </c>
      <c r="C97" s="26" t="s">
        <v>1478</v>
      </c>
      <c r="D97" s="26" t="s">
        <v>1479</v>
      </c>
      <c r="E97" s="39">
        <v>1</v>
      </c>
      <c r="F97" s="37">
        <v>19425</v>
      </c>
      <c r="G97" s="38">
        <f>IFERROR(IF(B97="Tampa",INDEX(tbl_tampas[Massa_g],MATCH(A97,tbl_tampas[CapId],0)),INDEX(tbl_recyclass[Massa_Corpo_g],MATCH(A97,tbl_recyclass[ProductId],0))),0)</f>
        <v>24.4</v>
      </c>
      <c r="H97" s="32">
        <f t="shared" si="3"/>
        <v>473.97</v>
      </c>
      <c r="I97" s="36">
        <f>IFERROR(IF(B97="Tampa",INDEX(tbl_tampas[Pct_PCR],MATCH(A97,tbl_tampas[CapId],0)),INDEX(tbl_recyclass[Pct_PCR_Corpo],MATCH(A97,tbl_recyclass[ProductId],0))),0)</f>
        <v>0.5</v>
      </c>
      <c r="J97" s="32">
        <f t="shared" si="4"/>
        <v>236.98500000000001</v>
      </c>
      <c r="K97" s="32">
        <f t="shared" si="5"/>
        <v>236.98500000000001</v>
      </c>
      <c r="L97" s="43">
        <f>IF(C97="ES",K97*INDEX(tbl_param_emb[Valor],MATCH("P-01",tbl_param_emb[ID_Parametro],0)),0)</f>
        <v>0</v>
      </c>
      <c r="M97" s="33" t="str">
        <f>IF(B97="Tampa","Componente",IFERROR(INDEX(tbl_recyclass[Grau_PPWR_Indicativo],MATCH(A97,tbl_recyclass[ProductId],0)),""))</f>
        <v>Abaixo de C</v>
      </c>
    </row>
    <row r="98" spans="1:13" ht="16.05" customHeight="1" x14ac:dyDescent="0.3">
      <c r="A98" s="26" t="s">
        <v>673</v>
      </c>
      <c r="B98" s="26" t="s">
        <v>1470</v>
      </c>
      <c r="C98" s="26" t="s">
        <v>1480</v>
      </c>
      <c r="D98" s="26" t="s">
        <v>1481</v>
      </c>
      <c r="E98" s="39">
        <v>1</v>
      </c>
      <c r="F98" s="37">
        <v>12745</v>
      </c>
      <c r="G98" s="38">
        <f>IFERROR(IF(B98="Tampa",INDEX(tbl_tampas[Massa_g],MATCH(A98,tbl_tampas[CapId],0)),INDEX(tbl_recyclass[Massa_Corpo_g],MATCH(A98,tbl_recyclass[ProductId],0))),0)</f>
        <v>24.4</v>
      </c>
      <c r="H98" s="32">
        <f t="shared" si="3"/>
        <v>310.97800000000001</v>
      </c>
      <c r="I98" s="36">
        <f>IFERROR(IF(B98="Tampa",INDEX(tbl_tampas[Pct_PCR],MATCH(A98,tbl_tampas[CapId],0)),INDEX(tbl_recyclass[Pct_PCR_Corpo],MATCH(A98,tbl_recyclass[ProductId],0))),0)</f>
        <v>0.5</v>
      </c>
      <c r="J98" s="32">
        <f t="shared" si="4"/>
        <v>155.489</v>
      </c>
      <c r="K98" s="32">
        <f t="shared" si="5"/>
        <v>155.489</v>
      </c>
      <c r="L98" s="43">
        <f>IF(C98="ES",K98*INDEX(tbl_param_emb[Valor],MATCH("P-01",tbl_param_emb[ID_Parametro],0)),0)</f>
        <v>0</v>
      </c>
      <c r="M98" s="33" t="str">
        <f>IF(B98="Tampa","Componente",IFERROR(INDEX(tbl_recyclass[Grau_PPWR_Indicativo],MATCH(A98,tbl_recyclass[ProductId],0)),""))</f>
        <v>Abaixo de C</v>
      </c>
    </row>
    <row r="99" spans="1:13" ht="16.05" customHeight="1" x14ac:dyDescent="0.3">
      <c r="A99" s="26" t="s">
        <v>673</v>
      </c>
      <c r="B99" s="26" t="s">
        <v>1470</v>
      </c>
      <c r="C99" s="26" t="s">
        <v>847</v>
      </c>
      <c r="D99" s="26" t="s">
        <v>1471</v>
      </c>
      <c r="E99" s="39">
        <v>7</v>
      </c>
      <c r="F99" s="37">
        <v>96554</v>
      </c>
      <c r="G99" s="38">
        <f>IFERROR(IF(B99="Tampa",INDEX(tbl_tampas[Massa_g],MATCH(A99,tbl_tampas[CapId],0)),INDEX(tbl_recyclass[Massa_Corpo_g],MATCH(A99,tbl_recyclass[ProductId],0))),0)</f>
        <v>24.4</v>
      </c>
      <c r="H99" s="32">
        <f t="shared" si="3"/>
        <v>2355.9176000000002</v>
      </c>
      <c r="I99" s="36">
        <f>IFERROR(IF(B99="Tampa",INDEX(tbl_tampas[Pct_PCR],MATCH(A99,tbl_tampas[CapId],0)),INDEX(tbl_recyclass[Pct_PCR_Corpo],MATCH(A99,tbl_recyclass[ProductId],0))),0)</f>
        <v>0.5</v>
      </c>
      <c r="J99" s="32">
        <f t="shared" si="4"/>
        <v>1177.9588000000001</v>
      </c>
      <c r="K99" s="32">
        <f t="shared" si="5"/>
        <v>1177.9588000000001</v>
      </c>
      <c r="L99" s="43">
        <f>IF(C99="ES",K99*INDEX(tbl_param_emb[Valor],MATCH("P-01",tbl_param_emb[ID_Parametro],0)),0)</f>
        <v>0</v>
      </c>
      <c r="M99" s="33" t="str">
        <f>IF(B99="Tampa","Componente",IFERROR(INDEX(tbl_recyclass[Grau_PPWR_Indicativo],MATCH(A99,tbl_recyclass[ProductId],0)),""))</f>
        <v>Abaixo de C</v>
      </c>
    </row>
    <row r="100" spans="1:13" ht="16.05" customHeight="1" x14ac:dyDescent="0.3">
      <c r="A100" s="26" t="s">
        <v>673</v>
      </c>
      <c r="B100" s="26" t="s">
        <v>1470</v>
      </c>
      <c r="C100" s="26" t="s">
        <v>1474</v>
      </c>
      <c r="D100" s="26" t="s">
        <v>1475</v>
      </c>
      <c r="E100" s="39">
        <v>1</v>
      </c>
      <c r="F100" s="37">
        <v>5654</v>
      </c>
      <c r="G100" s="38">
        <f>IFERROR(IF(B100="Tampa",INDEX(tbl_tampas[Massa_g],MATCH(A100,tbl_tampas[CapId],0)),INDEX(tbl_recyclass[Massa_Corpo_g],MATCH(A100,tbl_recyclass[ProductId],0))),0)</f>
        <v>24.4</v>
      </c>
      <c r="H100" s="32">
        <f t="shared" si="3"/>
        <v>137.95760000000001</v>
      </c>
      <c r="I100" s="36">
        <f>IFERROR(IF(B100="Tampa",INDEX(tbl_tampas[Pct_PCR],MATCH(A100,tbl_tampas[CapId],0)),INDEX(tbl_recyclass[Pct_PCR_Corpo],MATCH(A100,tbl_recyclass[ProductId],0))),0)</f>
        <v>0.5</v>
      </c>
      <c r="J100" s="32">
        <f t="shared" si="4"/>
        <v>68.978800000000007</v>
      </c>
      <c r="K100" s="32">
        <f t="shared" si="5"/>
        <v>68.978800000000007</v>
      </c>
      <c r="L100" s="43">
        <f>IF(C100="ES",K100*INDEX(tbl_param_emb[Valor],MATCH("P-01",tbl_param_emb[ID_Parametro],0)),0)</f>
        <v>31.040460000000003</v>
      </c>
      <c r="M100" s="33" t="str">
        <f>IF(B100="Tampa","Componente",IFERROR(INDEX(tbl_recyclass[Grau_PPWR_Indicativo],MATCH(A100,tbl_recyclass[ProductId],0)),""))</f>
        <v>Abaixo de C</v>
      </c>
    </row>
    <row r="101" spans="1:13" ht="16.05" customHeight="1" x14ac:dyDescent="0.3">
      <c r="A101" s="26" t="s">
        <v>617</v>
      </c>
      <c r="B101" s="26" t="s">
        <v>1470</v>
      </c>
      <c r="C101" s="26" t="s">
        <v>1476</v>
      </c>
      <c r="D101" s="26" t="s">
        <v>1477</v>
      </c>
      <c r="E101" s="39">
        <v>1</v>
      </c>
      <c r="F101" s="37">
        <v>6109</v>
      </c>
      <c r="G101" s="38">
        <f>IFERROR(IF(B101="Tampa",INDEX(tbl_tampas[Massa_g],MATCH(A101,tbl_tampas[CapId],0)),INDEX(tbl_recyclass[Massa_Corpo_g],MATCH(A101,tbl_recyclass[ProductId],0))),0)</f>
        <v>24.4</v>
      </c>
      <c r="H101" s="32">
        <f t="shared" si="3"/>
        <v>149.05960000000002</v>
      </c>
      <c r="I101" s="36">
        <f>IFERROR(IF(B101="Tampa",INDEX(tbl_tampas[Pct_PCR],MATCH(A101,tbl_tampas[CapId],0)),INDEX(tbl_recyclass[Pct_PCR_Corpo],MATCH(A101,tbl_recyclass[ProductId],0))),0)</f>
        <v>0</v>
      </c>
      <c r="J101" s="32">
        <f t="shared" si="4"/>
        <v>0</v>
      </c>
      <c r="K101" s="32">
        <f t="shared" si="5"/>
        <v>149.05960000000002</v>
      </c>
      <c r="L101" s="43">
        <f>IF(C101="ES",K101*INDEX(tbl_param_emb[Valor],MATCH("P-01",tbl_param_emb[ID_Parametro],0)),0)</f>
        <v>0</v>
      </c>
      <c r="M101" s="33" t="str">
        <f>IF(B101="Tampa","Componente",IFERROR(INDEX(tbl_recyclass[Grau_PPWR_Indicativo],MATCH(A101,tbl_recyclass[ProductId],0)),""))</f>
        <v>B</v>
      </c>
    </row>
    <row r="102" spans="1:13" ht="16.05" customHeight="1" x14ac:dyDescent="0.3">
      <c r="A102" s="26" t="s">
        <v>617</v>
      </c>
      <c r="B102" s="26" t="s">
        <v>1470</v>
      </c>
      <c r="C102" s="26" t="s">
        <v>1472</v>
      </c>
      <c r="D102" s="26" t="s">
        <v>1473</v>
      </c>
      <c r="E102" s="39">
        <v>1</v>
      </c>
      <c r="F102" s="37">
        <v>21527</v>
      </c>
      <c r="G102" s="38">
        <f>IFERROR(IF(B102="Tampa",INDEX(tbl_tampas[Massa_g],MATCH(A102,tbl_tampas[CapId],0)),INDEX(tbl_recyclass[Massa_Corpo_g],MATCH(A102,tbl_recyclass[ProductId],0))),0)</f>
        <v>24.4</v>
      </c>
      <c r="H102" s="32">
        <f t="shared" si="3"/>
        <v>525.25879999999995</v>
      </c>
      <c r="I102" s="36">
        <f>IFERROR(IF(B102="Tampa",INDEX(tbl_tampas[Pct_PCR],MATCH(A102,tbl_tampas[CapId],0)),INDEX(tbl_recyclass[Pct_PCR_Corpo],MATCH(A102,tbl_recyclass[ProductId],0))),0)</f>
        <v>0</v>
      </c>
      <c r="J102" s="32">
        <f t="shared" si="4"/>
        <v>0</v>
      </c>
      <c r="K102" s="32">
        <f t="shared" si="5"/>
        <v>525.25879999999995</v>
      </c>
      <c r="L102" s="43">
        <f>IF(C102="ES",K102*INDEX(tbl_param_emb[Valor],MATCH("P-01",tbl_param_emb[ID_Parametro],0)),0)</f>
        <v>0</v>
      </c>
      <c r="M102" s="33" t="str">
        <f>IF(B102="Tampa","Componente",IFERROR(INDEX(tbl_recyclass[Grau_PPWR_Indicativo],MATCH(A102,tbl_recyclass[ProductId],0)),""))</f>
        <v>B</v>
      </c>
    </row>
    <row r="103" spans="1:13" ht="16.05" customHeight="1" x14ac:dyDescent="0.3">
      <c r="A103" s="26" t="s">
        <v>617</v>
      </c>
      <c r="B103" s="26" t="s">
        <v>1470</v>
      </c>
      <c r="C103" s="26" t="s">
        <v>1478</v>
      </c>
      <c r="D103" s="26" t="s">
        <v>1479</v>
      </c>
      <c r="E103" s="39">
        <v>1</v>
      </c>
      <c r="F103" s="37">
        <v>6867</v>
      </c>
      <c r="G103" s="38">
        <f>IFERROR(IF(B103="Tampa",INDEX(tbl_tampas[Massa_g],MATCH(A103,tbl_tampas[CapId],0)),INDEX(tbl_recyclass[Massa_Corpo_g],MATCH(A103,tbl_recyclass[ProductId],0))),0)</f>
        <v>24.4</v>
      </c>
      <c r="H103" s="32">
        <f t="shared" si="3"/>
        <v>167.5548</v>
      </c>
      <c r="I103" s="36">
        <f>IFERROR(IF(B103="Tampa",INDEX(tbl_tampas[Pct_PCR],MATCH(A103,tbl_tampas[CapId],0)),INDEX(tbl_recyclass[Pct_PCR_Corpo],MATCH(A103,tbl_recyclass[ProductId],0))),0)</f>
        <v>0</v>
      </c>
      <c r="J103" s="32">
        <f t="shared" si="4"/>
        <v>0</v>
      </c>
      <c r="K103" s="32">
        <f t="shared" si="5"/>
        <v>167.5548</v>
      </c>
      <c r="L103" s="43">
        <f>IF(C103="ES",K103*INDEX(tbl_param_emb[Valor],MATCH("P-01",tbl_param_emb[ID_Parametro],0)),0)</f>
        <v>0</v>
      </c>
      <c r="M103" s="33" t="str">
        <f>IF(B103="Tampa","Componente",IFERROR(INDEX(tbl_recyclass[Grau_PPWR_Indicativo],MATCH(A103,tbl_recyclass[ProductId],0)),""))</f>
        <v>B</v>
      </c>
    </row>
    <row r="104" spans="1:13" ht="16.05" customHeight="1" x14ac:dyDescent="0.3">
      <c r="A104" s="26" t="s">
        <v>617</v>
      </c>
      <c r="B104" s="26" t="s">
        <v>1470</v>
      </c>
      <c r="C104" s="26" t="s">
        <v>847</v>
      </c>
      <c r="D104" s="26" t="s">
        <v>1471</v>
      </c>
      <c r="E104" s="39">
        <v>5</v>
      </c>
      <c r="F104" s="37">
        <v>46440</v>
      </c>
      <c r="G104" s="38">
        <f>IFERROR(IF(B104="Tampa",INDEX(tbl_tampas[Massa_g],MATCH(A104,tbl_tampas[CapId],0)),INDEX(tbl_recyclass[Massa_Corpo_g],MATCH(A104,tbl_recyclass[ProductId],0))),0)</f>
        <v>24.4</v>
      </c>
      <c r="H104" s="32">
        <f t="shared" si="3"/>
        <v>1133.136</v>
      </c>
      <c r="I104" s="36">
        <f>IFERROR(IF(B104="Tampa",INDEX(tbl_tampas[Pct_PCR],MATCH(A104,tbl_tampas[CapId],0)),INDEX(tbl_recyclass[Pct_PCR_Corpo],MATCH(A104,tbl_recyclass[ProductId],0))),0)</f>
        <v>0</v>
      </c>
      <c r="J104" s="32">
        <f t="shared" si="4"/>
        <v>0</v>
      </c>
      <c r="K104" s="32">
        <f t="shared" si="5"/>
        <v>1133.136</v>
      </c>
      <c r="L104" s="43">
        <f>IF(C104="ES",K104*INDEX(tbl_param_emb[Valor],MATCH("P-01",tbl_param_emb[ID_Parametro],0)),0)</f>
        <v>0</v>
      </c>
      <c r="M104" s="33" t="str">
        <f>IF(B104="Tampa","Componente",IFERROR(INDEX(tbl_recyclass[Grau_PPWR_Indicativo],MATCH(A104,tbl_recyclass[ProductId],0)),""))</f>
        <v>B</v>
      </c>
    </row>
    <row r="105" spans="1:13" ht="16.05" customHeight="1" x14ac:dyDescent="0.3">
      <c r="A105" s="26" t="s">
        <v>617</v>
      </c>
      <c r="B105" s="26" t="s">
        <v>1470</v>
      </c>
      <c r="C105" s="26" t="s">
        <v>1474</v>
      </c>
      <c r="D105" s="26" t="s">
        <v>1475</v>
      </c>
      <c r="E105" s="39">
        <v>2</v>
      </c>
      <c r="F105" s="37">
        <v>9208</v>
      </c>
      <c r="G105" s="38">
        <f>IFERROR(IF(B105="Tampa",INDEX(tbl_tampas[Massa_g],MATCH(A105,tbl_tampas[CapId],0)),INDEX(tbl_recyclass[Massa_Corpo_g],MATCH(A105,tbl_recyclass[ProductId],0))),0)</f>
        <v>24.4</v>
      </c>
      <c r="H105" s="32">
        <f t="shared" si="3"/>
        <v>224.67519999999999</v>
      </c>
      <c r="I105" s="36">
        <f>IFERROR(IF(B105="Tampa",INDEX(tbl_tampas[Pct_PCR],MATCH(A105,tbl_tampas[CapId],0)),INDEX(tbl_recyclass[Pct_PCR_Corpo],MATCH(A105,tbl_recyclass[ProductId],0))),0)</f>
        <v>0</v>
      </c>
      <c r="J105" s="32">
        <f t="shared" si="4"/>
        <v>0</v>
      </c>
      <c r="K105" s="32">
        <f t="shared" si="5"/>
        <v>224.67519999999999</v>
      </c>
      <c r="L105" s="43">
        <f>IF(C105="ES",K105*INDEX(tbl_param_emb[Valor],MATCH("P-01",tbl_param_emb[ID_Parametro],0)),0)</f>
        <v>101.10383999999999</v>
      </c>
      <c r="M105" s="33" t="str">
        <f>IF(B105="Tampa","Componente",IFERROR(INDEX(tbl_recyclass[Grau_PPWR_Indicativo],MATCH(A105,tbl_recyclass[ProductId],0)),""))</f>
        <v>B</v>
      </c>
    </row>
    <row r="106" spans="1:13" ht="16.05" customHeight="1" x14ac:dyDescent="0.3">
      <c r="A106" s="26" t="s">
        <v>627</v>
      </c>
      <c r="B106" s="26" t="s">
        <v>1470</v>
      </c>
      <c r="C106" s="26" t="s">
        <v>1472</v>
      </c>
      <c r="D106" s="26" t="s">
        <v>1473</v>
      </c>
      <c r="E106" s="39">
        <v>1</v>
      </c>
      <c r="F106" s="37">
        <v>18669</v>
      </c>
      <c r="G106" s="38">
        <f>IFERROR(IF(B106="Tampa",INDEX(tbl_tampas[Massa_g],MATCH(A106,tbl_tampas[CapId],0)),INDEX(tbl_recyclass[Massa_Corpo_g],MATCH(A106,tbl_recyclass[ProductId],0))),0)</f>
        <v>24.4</v>
      </c>
      <c r="H106" s="32">
        <f t="shared" si="3"/>
        <v>455.52359999999999</v>
      </c>
      <c r="I106" s="36">
        <f>IFERROR(IF(B106="Tampa",INDEX(tbl_tampas[Pct_PCR],MATCH(A106,tbl_tampas[CapId],0)),INDEX(tbl_recyclass[Pct_PCR_Corpo],MATCH(A106,tbl_recyclass[ProductId],0))),0)</f>
        <v>0.3</v>
      </c>
      <c r="J106" s="32">
        <f t="shared" si="4"/>
        <v>136.65707999999998</v>
      </c>
      <c r="K106" s="32">
        <f t="shared" si="5"/>
        <v>318.86652000000004</v>
      </c>
      <c r="L106" s="43">
        <f>IF(C106="ES",K106*INDEX(tbl_param_emb[Valor],MATCH("P-01",tbl_param_emb[ID_Parametro],0)),0)</f>
        <v>0</v>
      </c>
      <c r="M106" s="33" t="str">
        <f>IF(B106="Tampa","Componente",IFERROR(INDEX(tbl_recyclass[Grau_PPWR_Indicativo],MATCH(A106,tbl_recyclass[ProductId],0)),""))</f>
        <v>C</v>
      </c>
    </row>
    <row r="107" spans="1:13" ht="16.05" customHeight="1" x14ac:dyDescent="0.3">
      <c r="A107" s="26" t="s">
        <v>627</v>
      </c>
      <c r="B107" s="26" t="s">
        <v>1470</v>
      </c>
      <c r="C107" s="26" t="s">
        <v>1478</v>
      </c>
      <c r="D107" s="26" t="s">
        <v>1479</v>
      </c>
      <c r="E107" s="39">
        <v>1</v>
      </c>
      <c r="F107" s="37">
        <v>5149</v>
      </c>
      <c r="G107" s="38">
        <f>IFERROR(IF(B107="Tampa",INDEX(tbl_tampas[Massa_g],MATCH(A107,tbl_tampas[CapId],0)),INDEX(tbl_recyclass[Massa_Corpo_g],MATCH(A107,tbl_recyclass[ProductId],0))),0)</f>
        <v>24.4</v>
      </c>
      <c r="H107" s="32">
        <f t="shared" si="3"/>
        <v>125.6356</v>
      </c>
      <c r="I107" s="36">
        <f>IFERROR(IF(B107="Tampa",INDEX(tbl_tampas[Pct_PCR],MATCH(A107,tbl_tampas[CapId],0)),INDEX(tbl_recyclass[Pct_PCR_Corpo],MATCH(A107,tbl_recyclass[ProductId],0))),0)</f>
        <v>0.3</v>
      </c>
      <c r="J107" s="32">
        <f t="shared" si="4"/>
        <v>37.69068</v>
      </c>
      <c r="K107" s="32">
        <f t="shared" si="5"/>
        <v>87.944919999999996</v>
      </c>
      <c r="L107" s="43">
        <f>IF(C107="ES",K107*INDEX(tbl_param_emb[Valor],MATCH("P-01",tbl_param_emb[ID_Parametro],0)),0)</f>
        <v>0</v>
      </c>
      <c r="M107" s="33" t="str">
        <f>IF(B107="Tampa","Componente",IFERROR(INDEX(tbl_recyclass[Grau_PPWR_Indicativo],MATCH(A107,tbl_recyclass[ProductId],0)),""))</f>
        <v>C</v>
      </c>
    </row>
    <row r="108" spans="1:13" ht="16.05" customHeight="1" x14ac:dyDescent="0.3">
      <c r="A108" s="26" t="s">
        <v>627</v>
      </c>
      <c r="B108" s="26" t="s">
        <v>1470</v>
      </c>
      <c r="C108" s="26" t="s">
        <v>1480</v>
      </c>
      <c r="D108" s="26" t="s">
        <v>1481</v>
      </c>
      <c r="E108" s="39">
        <v>1</v>
      </c>
      <c r="F108" s="37">
        <v>12803</v>
      </c>
      <c r="G108" s="38">
        <f>IFERROR(IF(B108="Tampa",INDEX(tbl_tampas[Massa_g],MATCH(A108,tbl_tampas[CapId],0)),INDEX(tbl_recyclass[Massa_Corpo_g],MATCH(A108,tbl_recyclass[ProductId],0))),0)</f>
        <v>24.4</v>
      </c>
      <c r="H108" s="32">
        <f t="shared" si="3"/>
        <v>312.39319999999998</v>
      </c>
      <c r="I108" s="36">
        <f>IFERROR(IF(B108="Tampa",INDEX(tbl_tampas[Pct_PCR],MATCH(A108,tbl_tampas[CapId],0)),INDEX(tbl_recyclass[Pct_PCR_Corpo],MATCH(A108,tbl_recyclass[ProductId],0))),0)</f>
        <v>0.3</v>
      </c>
      <c r="J108" s="32">
        <f t="shared" si="4"/>
        <v>93.717959999999991</v>
      </c>
      <c r="K108" s="32">
        <f t="shared" si="5"/>
        <v>218.67523999999997</v>
      </c>
      <c r="L108" s="43">
        <f>IF(C108="ES",K108*INDEX(tbl_param_emb[Valor],MATCH("P-01",tbl_param_emb[ID_Parametro],0)),0)</f>
        <v>0</v>
      </c>
      <c r="M108" s="33" t="str">
        <f>IF(B108="Tampa","Componente",IFERROR(INDEX(tbl_recyclass[Grau_PPWR_Indicativo],MATCH(A108,tbl_recyclass[ProductId],0)),""))</f>
        <v>C</v>
      </c>
    </row>
    <row r="109" spans="1:13" ht="16.05" customHeight="1" x14ac:dyDescent="0.3">
      <c r="A109" s="26" t="s">
        <v>627</v>
      </c>
      <c r="B109" s="26" t="s">
        <v>1470</v>
      </c>
      <c r="C109" s="26" t="s">
        <v>847</v>
      </c>
      <c r="D109" s="26" t="s">
        <v>1471</v>
      </c>
      <c r="E109" s="39">
        <v>7</v>
      </c>
      <c r="F109" s="37">
        <v>54735</v>
      </c>
      <c r="G109" s="38">
        <f>IFERROR(IF(B109="Tampa",INDEX(tbl_tampas[Massa_g],MATCH(A109,tbl_tampas[CapId],0)),INDEX(tbl_recyclass[Massa_Corpo_g],MATCH(A109,tbl_recyclass[ProductId],0))),0)</f>
        <v>24.4</v>
      </c>
      <c r="H109" s="32">
        <f t="shared" si="3"/>
        <v>1335.5340000000001</v>
      </c>
      <c r="I109" s="36">
        <f>IFERROR(IF(B109="Tampa",INDEX(tbl_tampas[Pct_PCR],MATCH(A109,tbl_tampas[CapId],0)),INDEX(tbl_recyclass[Pct_PCR_Corpo],MATCH(A109,tbl_recyclass[ProductId],0))),0)</f>
        <v>0.3</v>
      </c>
      <c r="J109" s="32">
        <f t="shared" si="4"/>
        <v>400.66020000000003</v>
      </c>
      <c r="K109" s="32">
        <f t="shared" si="5"/>
        <v>934.87380000000007</v>
      </c>
      <c r="L109" s="43">
        <f>IF(C109="ES",K109*INDEX(tbl_param_emb[Valor],MATCH("P-01",tbl_param_emb[ID_Parametro],0)),0)</f>
        <v>0</v>
      </c>
      <c r="M109" s="33" t="str">
        <f>IF(B109="Tampa","Componente",IFERROR(INDEX(tbl_recyclass[Grau_PPWR_Indicativo],MATCH(A109,tbl_recyclass[ProductId],0)),""))</f>
        <v>C</v>
      </c>
    </row>
    <row r="110" spans="1:13" ht="16.05" customHeight="1" x14ac:dyDescent="0.3">
      <c r="A110" s="26" t="s">
        <v>627</v>
      </c>
      <c r="B110" s="26" t="s">
        <v>1470</v>
      </c>
      <c r="C110" s="26" t="s">
        <v>1474</v>
      </c>
      <c r="D110" s="26" t="s">
        <v>1475</v>
      </c>
      <c r="E110" s="39">
        <v>1</v>
      </c>
      <c r="F110" s="37">
        <v>18489</v>
      </c>
      <c r="G110" s="38">
        <f>IFERROR(IF(B110="Tampa",INDEX(tbl_tampas[Massa_g],MATCH(A110,tbl_tampas[CapId],0)),INDEX(tbl_recyclass[Massa_Corpo_g],MATCH(A110,tbl_recyclass[ProductId],0))),0)</f>
        <v>24.4</v>
      </c>
      <c r="H110" s="32">
        <f t="shared" si="3"/>
        <v>451.13159999999999</v>
      </c>
      <c r="I110" s="36">
        <f>IFERROR(IF(B110="Tampa",INDEX(tbl_tampas[Pct_PCR],MATCH(A110,tbl_tampas[CapId],0)),INDEX(tbl_recyclass[Pct_PCR_Corpo],MATCH(A110,tbl_recyclass[ProductId],0))),0)</f>
        <v>0.3</v>
      </c>
      <c r="J110" s="32">
        <f t="shared" si="4"/>
        <v>135.33947999999998</v>
      </c>
      <c r="K110" s="32">
        <f t="shared" si="5"/>
        <v>315.79212000000001</v>
      </c>
      <c r="L110" s="43">
        <f>IF(C110="ES",K110*INDEX(tbl_param_emb[Valor],MATCH("P-01",tbl_param_emb[ID_Parametro],0)),0)</f>
        <v>142.10645400000001</v>
      </c>
      <c r="M110" s="33" t="str">
        <f>IF(B110="Tampa","Componente",IFERROR(INDEX(tbl_recyclass[Grau_PPWR_Indicativo],MATCH(A110,tbl_recyclass[ProductId],0)),""))</f>
        <v>C</v>
      </c>
    </row>
    <row r="111" spans="1:13" ht="16.05" customHeight="1" x14ac:dyDescent="0.3">
      <c r="A111" s="26" t="s">
        <v>635</v>
      </c>
      <c r="B111" s="26" t="s">
        <v>1470</v>
      </c>
      <c r="C111" s="26" t="s">
        <v>1472</v>
      </c>
      <c r="D111" s="26" t="s">
        <v>1473</v>
      </c>
      <c r="E111" s="39">
        <v>1</v>
      </c>
      <c r="F111" s="37">
        <v>5165</v>
      </c>
      <c r="G111" s="38">
        <f>IFERROR(IF(B111="Tampa",INDEX(tbl_tampas[Massa_g],MATCH(A111,tbl_tampas[CapId],0)),INDEX(tbl_recyclass[Massa_Corpo_g],MATCH(A111,tbl_recyclass[ProductId],0))),0)</f>
        <v>24.4</v>
      </c>
      <c r="H111" s="32">
        <f t="shared" si="3"/>
        <v>126.02599999999998</v>
      </c>
      <c r="I111" s="36">
        <f>IFERROR(IF(B111="Tampa",INDEX(tbl_tampas[Pct_PCR],MATCH(A111,tbl_tampas[CapId],0)),INDEX(tbl_recyclass[Pct_PCR_Corpo],MATCH(A111,tbl_recyclass[ProductId],0))),0)</f>
        <v>0</v>
      </c>
      <c r="J111" s="32">
        <f t="shared" si="4"/>
        <v>0</v>
      </c>
      <c r="K111" s="32">
        <f t="shared" si="5"/>
        <v>126.02599999999998</v>
      </c>
      <c r="L111" s="43">
        <f>IF(C111="ES",K111*INDEX(tbl_param_emb[Valor],MATCH("P-01",tbl_param_emb[ID_Parametro],0)),0)</f>
        <v>0</v>
      </c>
      <c r="M111" s="33" t="str">
        <f>IF(B111="Tampa","Componente",IFERROR(INDEX(tbl_recyclass[Grau_PPWR_Indicativo],MATCH(A111,tbl_recyclass[ProductId],0)),""))</f>
        <v>C</v>
      </c>
    </row>
    <row r="112" spans="1:13" ht="16.05" customHeight="1" x14ac:dyDescent="0.3">
      <c r="A112" s="26" t="s">
        <v>635</v>
      </c>
      <c r="B112" s="26" t="s">
        <v>1470</v>
      </c>
      <c r="C112" s="26" t="s">
        <v>1478</v>
      </c>
      <c r="D112" s="26" t="s">
        <v>1479</v>
      </c>
      <c r="E112" s="39">
        <v>1</v>
      </c>
      <c r="F112" s="37">
        <v>19562</v>
      </c>
      <c r="G112" s="38">
        <f>IFERROR(IF(B112="Tampa",INDEX(tbl_tampas[Massa_g],MATCH(A112,tbl_tampas[CapId],0)),INDEX(tbl_recyclass[Massa_Corpo_g],MATCH(A112,tbl_recyclass[ProductId],0))),0)</f>
        <v>24.4</v>
      </c>
      <c r="H112" s="32">
        <f t="shared" si="3"/>
        <v>477.31279999999998</v>
      </c>
      <c r="I112" s="36">
        <f>IFERROR(IF(B112="Tampa",INDEX(tbl_tampas[Pct_PCR],MATCH(A112,tbl_tampas[CapId],0)),INDEX(tbl_recyclass[Pct_PCR_Corpo],MATCH(A112,tbl_recyclass[ProductId],0))),0)</f>
        <v>0</v>
      </c>
      <c r="J112" s="32">
        <f t="shared" si="4"/>
        <v>0</v>
      </c>
      <c r="K112" s="32">
        <f t="shared" si="5"/>
        <v>477.31279999999998</v>
      </c>
      <c r="L112" s="43">
        <f>IF(C112="ES",K112*INDEX(tbl_param_emb[Valor],MATCH("P-01",tbl_param_emb[ID_Parametro],0)),0)</f>
        <v>0</v>
      </c>
      <c r="M112" s="33" t="str">
        <f>IF(B112="Tampa","Componente",IFERROR(INDEX(tbl_recyclass[Grau_PPWR_Indicativo],MATCH(A112,tbl_recyclass[ProductId],0)),""))</f>
        <v>C</v>
      </c>
    </row>
    <row r="113" spans="1:13" ht="16.05" customHeight="1" x14ac:dyDescent="0.3">
      <c r="A113" s="26" t="s">
        <v>635</v>
      </c>
      <c r="B113" s="26" t="s">
        <v>1470</v>
      </c>
      <c r="C113" s="26" t="s">
        <v>1480</v>
      </c>
      <c r="D113" s="26" t="s">
        <v>1481</v>
      </c>
      <c r="E113" s="39">
        <v>1</v>
      </c>
      <c r="F113" s="37">
        <v>3785</v>
      </c>
      <c r="G113" s="38">
        <f>IFERROR(IF(B113="Tampa",INDEX(tbl_tampas[Massa_g],MATCH(A113,tbl_tampas[CapId],0)),INDEX(tbl_recyclass[Massa_Corpo_g],MATCH(A113,tbl_recyclass[ProductId],0))),0)</f>
        <v>24.4</v>
      </c>
      <c r="H113" s="32">
        <f t="shared" si="3"/>
        <v>92.353999999999999</v>
      </c>
      <c r="I113" s="36">
        <f>IFERROR(IF(B113="Tampa",INDEX(tbl_tampas[Pct_PCR],MATCH(A113,tbl_tampas[CapId],0)),INDEX(tbl_recyclass[Pct_PCR_Corpo],MATCH(A113,tbl_recyclass[ProductId],0))),0)</f>
        <v>0</v>
      </c>
      <c r="J113" s="32">
        <f t="shared" si="4"/>
        <v>0</v>
      </c>
      <c r="K113" s="32">
        <f t="shared" si="5"/>
        <v>92.353999999999999</v>
      </c>
      <c r="L113" s="43">
        <f>IF(C113="ES",K113*INDEX(tbl_param_emb[Valor],MATCH("P-01",tbl_param_emb[ID_Parametro],0)),0)</f>
        <v>0</v>
      </c>
      <c r="M113" s="33" t="str">
        <f>IF(B113="Tampa","Componente",IFERROR(INDEX(tbl_recyclass[Grau_PPWR_Indicativo],MATCH(A113,tbl_recyclass[ProductId],0)),""))</f>
        <v>C</v>
      </c>
    </row>
    <row r="114" spans="1:13" ht="16.05" customHeight="1" x14ac:dyDescent="0.3">
      <c r="A114" s="26" t="s">
        <v>635</v>
      </c>
      <c r="B114" s="26" t="s">
        <v>1470</v>
      </c>
      <c r="C114" s="26" t="s">
        <v>847</v>
      </c>
      <c r="D114" s="26" t="s">
        <v>1471</v>
      </c>
      <c r="E114" s="39">
        <v>5</v>
      </c>
      <c r="F114" s="37">
        <v>34051</v>
      </c>
      <c r="G114" s="38">
        <f>IFERROR(IF(B114="Tampa",INDEX(tbl_tampas[Massa_g],MATCH(A114,tbl_tampas[CapId],0)),INDEX(tbl_recyclass[Massa_Corpo_g],MATCH(A114,tbl_recyclass[ProductId],0))),0)</f>
        <v>24.4</v>
      </c>
      <c r="H114" s="32">
        <f t="shared" si="3"/>
        <v>830.84439999999995</v>
      </c>
      <c r="I114" s="36">
        <f>IFERROR(IF(B114="Tampa",INDEX(tbl_tampas[Pct_PCR],MATCH(A114,tbl_tampas[CapId],0)),INDEX(tbl_recyclass[Pct_PCR_Corpo],MATCH(A114,tbl_recyclass[ProductId],0))),0)</f>
        <v>0</v>
      </c>
      <c r="J114" s="32">
        <f t="shared" si="4"/>
        <v>0</v>
      </c>
      <c r="K114" s="32">
        <f t="shared" si="5"/>
        <v>830.84439999999995</v>
      </c>
      <c r="L114" s="43">
        <f>IF(C114="ES",K114*INDEX(tbl_param_emb[Valor],MATCH("P-01",tbl_param_emb[ID_Parametro],0)),0)</f>
        <v>0</v>
      </c>
      <c r="M114" s="33" t="str">
        <f>IF(B114="Tampa","Componente",IFERROR(INDEX(tbl_recyclass[Grau_PPWR_Indicativo],MATCH(A114,tbl_recyclass[ProductId],0)),""))</f>
        <v>C</v>
      </c>
    </row>
    <row r="115" spans="1:13" ht="16.05" customHeight="1" x14ac:dyDescent="0.3">
      <c r="A115" s="26" t="s">
        <v>635</v>
      </c>
      <c r="B115" s="26" t="s">
        <v>1470</v>
      </c>
      <c r="C115" s="26" t="s">
        <v>1474</v>
      </c>
      <c r="D115" s="26" t="s">
        <v>1475</v>
      </c>
      <c r="E115" s="39">
        <v>2</v>
      </c>
      <c r="F115" s="37">
        <v>7020</v>
      </c>
      <c r="G115" s="38">
        <f>IFERROR(IF(B115="Tampa",INDEX(tbl_tampas[Massa_g],MATCH(A115,tbl_tampas[CapId],0)),INDEX(tbl_recyclass[Massa_Corpo_g],MATCH(A115,tbl_recyclass[ProductId],0))),0)</f>
        <v>24.4</v>
      </c>
      <c r="H115" s="32">
        <f t="shared" si="3"/>
        <v>171.28800000000001</v>
      </c>
      <c r="I115" s="36">
        <f>IFERROR(IF(B115="Tampa",INDEX(tbl_tampas[Pct_PCR],MATCH(A115,tbl_tampas[CapId],0)),INDEX(tbl_recyclass[Pct_PCR_Corpo],MATCH(A115,tbl_recyclass[ProductId],0))),0)</f>
        <v>0</v>
      </c>
      <c r="J115" s="32">
        <f t="shared" si="4"/>
        <v>0</v>
      </c>
      <c r="K115" s="32">
        <f t="shared" si="5"/>
        <v>171.28800000000001</v>
      </c>
      <c r="L115" s="43">
        <f>IF(C115="ES",K115*INDEX(tbl_param_emb[Valor],MATCH("P-01",tbl_param_emb[ID_Parametro],0)),0)</f>
        <v>77.079600000000013</v>
      </c>
      <c r="M115" s="33" t="str">
        <f>IF(B115="Tampa","Componente",IFERROR(INDEX(tbl_recyclass[Grau_PPWR_Indicativo],MATCH(A115,tbl_recyclass[ProductId],0)),""))</f>
        <v>C</v>
      </c>
    </row>
    <row r="116" spans="1:13" ht="16.05" customHeight="1" x14ac:dyDescent="0.3">
      <c r="A116" s="26" t="s">
        <v>640</v>
      </c>
      <c r="B116" s="26" t="s">
        <v>1470</v>
      </c>
      <c r="C116" s="26" t="s">
        <v>1476</v>
      </c>
      <c r="D116" s="26" t="s">
        <v>1477</v>
      </c>
      <c r="E116" s="39">
        <v>1</v>
      </c>
      <c r="F116" s="37">
        <v>3200</v>
      </c>
      <c r="G116" s="38">
        <f>IFERROR(IF(B116="Tampa",INDEX(tbl_tampas[Massa_g],MATCH(A116,tbl_tampas[CapId],0)),INDEX(tbl_recyclass[Massa_Corpo_g],MATCH(A116,tbl_recyclass[ProductId],0))),0)</f>
        <v>24.4</v>
      </c>
      <c r="H116" s="32">
        <f t="shared" si="3"/>
        <v>78.08</v>
      </c>
      <c r="I116" s="36">
        <f>IFERROR(IF(B116="Tampa",INDEX(tbl_tampas[Pct_PCR],MATCH(A116,tbl_tampas[CapId],0)),INDEX(tbl_recyclass[Pct_PCR_Corpo],MATCH(A116,tbl_recyclass[ProductId],0))),0)</f>
        <v>0</v>
      </c>
      <c r="J116" s="32">
        <f t="shared" si="4"/>
        <v>0</v>
      </c>
      <c r="K116" s="32">
        <f t="shared" si="5"/>
        <v>78.08</v>
      </c>
      <c r="L116" s="43">
        <f>IF(C116="ES",K116*INDEX(tbl_param_emb[Valor],MATCH("P-01",tbl_param_emb[ID_Parametro],0)),0)</f>
        <v>0</v>
      </c>
      <c r="M116" s="33" t="str">
        <f>IF(B116="Tampa","Componente",IFERROR(INDEX(tbl_recyclass[Grau_PPWR_Indicativo],MATCH(A116,tbl_recyclass[ProductId],0)),""))</f>
        <v>A</v>
      </c>
    </row>
    <row r="117" spans="1:13" ht="16.05" customHeight="1" x14ac:dyDescent="0.3">
      <c r="A117" s="26" t="s">
        <v>640</v>
      </c>
      <c r="B117" s="26" t="s">
        <v>1470</v>
      </c>
      <c r="C117" s="26" t="s">
        <v>1478</v>
      </c>
      <c r="D117" s="26" t="s">
        <v>1479</v>
      </c>
      <c r="E117" s="39">
        <v>1</v>
      </c>
      <c r="F117" s="37">
        <v>14694</v>
      </c>
      <c r="G117" s="38">
        <f>IFERROR(IF(B117="Tampa",INDEX(tbl_tampas[Massa_g],MATCH(A117,tbl_tampas[CapId],0)),INDEX(tbl_recyclass[Massa_Corpo_g],MATCH(A117,tbl_recyclass[ProductId],0))),0)</f>
        <v>24.4</v>
      </c>
      <c r="H117" s="32">
        <f t="shared" si="3"/>
        <v>358.53359999999998</v>
      </c>
      <c r="I117" s="36">
        <f>IFERROR(IF(B117="Tampa",INDEX(tbl_tampas[Pct_PCR],MATCH(A117,tbl_tampas[CapId],0)),INDEX(tbl_recyclass[Pct_PCR_Corpo],MATCH(A117,tbl_recyclass[ProductId],0))),0)</f>
        <v>0</v>
      </c>
      <c r="J117" s="32">
        <f t="shared" si="4"/>
        <v>0</v>
      </c>
      <c r="K117" s="32">
        <f t="shared" si="5"/>
        <v>358.53359999999998</v>
      </c>
      <c r="L117" s="43">
        <f>IF(C117="ES",K117*INDEX(tbl_param_emb[Valor],MATCH("P-01",tbl_param_emb[ID_Parametro],0)),0)</f>
        <v>0</v>
      </c>
      <c r="M117" s="33" t="str">
        <f>IF(B117="Tampa","Componente",IFERROR(INDEX(tbl_recyclass[Grau_PPWR_Indicativo],MATCH(A117,tbl_recyclass[ProductId],0)),""))</f>
        <v>A</v>
      </c>
    </row>
    <row r="118" spans="1:13" ht="16.05" customHeight="1" x14ac:dyDescent="0.3">
      <c r="A118" s="26" t="s">
        <v>640</v>
      </c>
      <c r="B118" s="26" t="s">
        <v>1470</v>
      </c>
      <c r="C118" s="26" t="s">
        <v>847</v>
      </c>
      <c r="D118" s="26" t="s">
        <v>1471</v>
      </c>
      <c r="E118" s="39">
        <v>6</v>
      </c>
      <c r="F118" s="37">
        <v>71157</v>
      </c>
      <c r="G118" s="38">
        <f>IFERROR(IF(B118="Tampa",INDEX(tbl_tampas[Massa_g],MATCH(A118,tbl_tampas[CapId],0)),INDEX(tbl_recyclass[Massa_Corpo_g],MATCH(A118,tbl_recyclass[ProductId],0))),0)</f>
        <v>24.4</v>
      </c>
      <c r="H118" s="32">
        <f t="shared" si="3"/>
        <v>1736.2307999999998</v>
      </c>
      <c r="I118" s="36">
        <f>IFERROR(IF(B118="Tampa",INDEX(tbl_tampas[Pct_PCR],MATCH(A118,tbl_tampas[CapId],0)),INDEX(tbl_recyclass[Pct_PCR_Corpo],MATCH(A118,tbl_recyclass[ProductId],0))),0)</f>
        <v>0</v>
      </c>
      <c r="J118" s="32">
        <f t="shared" si="4"/>
        <v>0</v>
      </c>
      <c r="K118" s="32">
        <f t="shared" si="5"/>
        <v>1736.2307999999998</v>
      </c>
      <c r="L118" s="43">
        <f>IF(C118="ES",K118*INDEX(tbl_param_emb[Valor],MATCH("P-01",tbl_param_emb[ID_Parametro],0)),0)</f>
        <v>0</v>
      </c>
      <c r="M118" s="33" t="str">
        <f>IF(B118="Tampa","Componente",IFERROR(INDEX(tbl_recyclass[Grau_PPWR_Indicativo],MATCH(A118,tbl_recyclass[ProductId],0)),""))</f>
        <v>A</v>
      </c>
    </row>
    <row r="119" spans="1:13" ht="16.05" customHeight="1" x14ac:dyDescent="0.3">
      <c r="A119" s="26" t="s">
        <v>640</v>
      </c>
      <c r="B119" s="26" t="s">
        <v>1470</v>
      </c>
      <c r="C119" s="26" t="s">
        <v>1474</v>
      </c>
      <c r="D119" s="26" t="s">
        <v>1475</v>
      </c>
      <c r="E119" s="39">
        <v>2</v>
      </c>
      <c r="F119" s="37">
        <v>23496</v>
      </c>
      <c r="G119" s="38">
        <f>IFERROR(IF(B119="Tampa",INDEX(tbl_tampas[Massa_g],MATCH(A119,tbl_tampas[CapId],0)),INDEX(tbl_recyclass[Massa_Corpo_g],MATCH(A119,tbl_recyclass[ProductId],0))),0)</f>
        <v>24.4</v>
      </c>
      <c r="H119" s="32">
        <f t="shared" si="3"/>
        <v>573.30240000000003</v>
      </c>
      <c r="I119" s="36">
        <f>IFERROR(IF(B119="Tampa",INDEX(tbl_tampas[Pct_PCR],MATCH(A119,tbl_tampas[CapId],0)),INDEX(tbl_recyclass[Pct_PCR_Corpo],MATCH(A119,tbl_recyclass[ProductId],0))),0)</f>
        <v>0</v>
      </c>
      <c r="J119" s="32">
        <f t="shared" si="4"/>
        <v>0</v>
      </c>
      <c r="K119" s="32">
        <f t="shared" si="5"/>
        <v>573.30240000000003</v>
      </c>
      <c r="L119" s="43">
        <f>IF(C119="ES",K119*INDEX(tbl_param_emb[Valor],MATCH("P-01",tbl_param_emb[ID_Parametro],0)),0)</f>
        <v>257.98608000000002</v>
      </c>
      <c r="M119" s="33" t="str">
        <f>IF(B119="Tampa","Componente",IFERROR(INDEX(tbl_recyclass[Grau_PPWR_Indicativo],MATCH(A119,tbl_recyclass[ProductId],0)),""))</f>
        <v>A</v>
      </c>
    </row>
    <row r="120" spans="1:13" ht="16.05" customHeight="1" x14ac:dyDescent="0.3">
      <c r="A120" s="26" t="s">
        <v>646</v>
      </c>
      <c r="B120" s="26" t="s">
        <v>1470</v>
      </c>
      <c r="C120" s="26" t="s">
        <v>1472</v>
      </c>
      <c r="D120" s="26" t="s">
        <v>1473</v>
      </c>
      <c r="E120" s="39">
        <v>1</v>
      </c>
      <c r="F120" s="37">
        <v>2889</v>
      </c>
      <c r="G120" s="38">
        <f>IFERROR(IF(B120="Tampa",INDEX(tbl_tampas[Massa_g],MATCH(A120,tbl_tampas[CapId],0)),INDEX(tbl_recyclass[Massa_Corpo_g],MATCH(A120,tbl_recyclass[ProductId],0))),0)</f>
        <v>24.4</v>
      </c>
      <c r="H120" s="32">
        <f t="shared" si="3"/>
        <v>70.491599999999991</v>
      </c>
      <c r="I120" s="36">
        <f>IFERROR(IF(B120="Tampa",INDEX(tbl_tampas[Pct_PCR],MATCH(A120,tbl_tampas[CapId],0)),INDEX(tbl_recyclass[Pct_PCR_Corpo],MATCH(A120,tbl_recyclass[ProductId],0))),0)</f>
        <v>0</v>
      </c>
      <c r="J120" s="32">
        <f t="shared" si="4"/>
        <v>0</v>
      </c>
      <c r="K120" s="32">
        <f t="shared" si="5"/>
        <v>70.491599999999991</v>
      </c>
      <c r="L120" s="43">
        <f>IF(C120="ES",K120*INDEX(tbl_param_emb[Valor],MATCH("P-01",tbl_param_emb[ID_Parametro],0)),0)</f>
        <v>0</v>
      </c>
      <c r="M120" s="33" t="str">
        <f>IF(B120="Tampa","Componente",IFERROR(INDEX(tbl_recyclass[Grau_PPWR_Indicativo],MATCH(A120,tbl_recyclass[ProductId],0)),""))</f>
        <v>Não reciclável (F)</v>
      </c>
    </row>
    <row r="121" spans="1:13" ht="16.05" customHeight="1" x14ac:dyDescent="0.3">
      <c r="A121" s="26" t="s">
        <v>646</v>
      </c>
      <c r="B121" s="26" t="s">
        <v>1470</v>
      </c>
      <c r="C121" s="26" t="s">
        <v>1478</v>
      </c>
      <c r="D121" s="26" t="s">
        <v>1479</v>
      </c>
      <c r="E121" s="39">
        <v>1</v>
      </c>
      <c r="F121" s="37">
        <v>13691</v>
      </c>
      <c r="G121" s="38">
        <f>IFERROR(IF(B121="Tampa",INDEX(tbl_tampas[Massa_g],MATCH(A121,tbl_tampas[CapId],0)),INDEX(tbl_recyclass[Massa_Corpo_g],MATCH(A121,tbl_recyclass[ProductId],0))),0)</f>
        <v>24.4</v>
      </c>
      <c r="H121" s="32">
        <f t="shared" si="3"/>
        <v>334.06039999999996</v>
      </c>
      <c r="I121" s="36">
        <f>IFERROR(IF(B121="Tampa",INDEX(tbl_tampas[Pct_PCR],MATCH(A121,tbl_tampas[CapId],0)),INDEX(tbl_recyclass[Pct_PCR_Corpo],MATCH(A121,tbl_recyclass[ProductId],0))),0)</f>
        <v>0</v>
      </c>
      <c r="J121" s="32">
        <f t="shared" si="4"/>
        <v>0</v>
      </c>
      <c r="K121" s="32">
        <f t="shared" si="5"/>
        <v>334.06039999999996</v>
      </c>
      <c r="L121" s="43">
        <f>IF(C121="ES",K121*INDEX(tbl_param_emb[Valor],MATCH("P-01",tbl_param_emb[ID_Parametro],0)),0)</f>
        <v>0</v>
      </c>
      <c r="M121" s="33" t="str">
        <f>IF(B121="Tampa","Componente",IFERROR(INDEX(tbl_recyclass[Grau_PPWR_Indicativo],MATCH(A121,tbl_recyclass[ProductId],0)),""))</f>
        <v>Não reciclável (F)</v>
      </c>
    </row>
    <row r="122" spans="1:13" ht="16.05" customHeight="1" x14ac:dyDescent="0.3">
      <c r="A122" s="26" t="s">
        <v>646</v>
      </c>
      <c r="B122" s="26" t="s">
        <v>1470</v>
      </c>
      <c r="C122" s="26" t="s">
        <v>1480</v>
      </c>
      <c r="D122" s="26" t="s">
        <v>1481</v>
      </c>
      <c r="E122" s="39">
        <v>1</v>
      </c>
      <c r="F122" s="37">
        <v>4765</v>
      </c>
      <c r="G122" s="38">
        <f>IFERROR(IF(B122="Tampa",INDEX(tbl_tampas[Massa_g],MATCH(A122,tbl_tampas[CapId],0)),INDEX(tbl_recyclass[Massa_Corpo_g],MATCH(A122,tbl_recyclass[ProductId],0))),0)</f>
        <v>24.4</v>
      </c>
      <c r="H122" s="32">
        <f t="shared" si="3"/>
        <v>116.26600000000001</v>
      </c>
      <c r="I122" s="36">
        <f>IFERROR(IF(B122="Tampa",INDEX(tbl_tampas[Pct_PCR],MATCH(A122,tbl_tampas[CapId],0)),INDEX(tbl_recyclass[Pct_PCR_Corpo],MATCH(A122,tbl_recyclass[ProductId],0))),0)</f>
        <v>0</v>
      </c>
      <c r="J122" s="32">
        <f t="shared" si="4"/>
        <v>0</v>
      </c>
      <c r="K122" s="32">
        <f t="shared" si="5"/>
        <v>116.26600000000001</v>
      </c>
      <c r="L122" s="43">
        <f>IF(C122="ES",K122*INDEX(tbl_param_emb[Valor],MATCH("P-01",tbl_param_emb[ID_Parametro],0)),0)</f>
        <v>0</v>
      </c>
      <c r="M122" s="33" t="str">
        <f>IF(B122="Tampa","Componente",IFERROR(INDEX(tbl_recyclass[Grau_PPWR_Indicativo],MATCH(A122,tbl_recyclass[ProductId],0)),""))</f>
        <v>Não reciclável (F)</v>
      </c>
    </row>
    <row r="123" spans="1:13" ht="16.05" customHeight="1" x14ac:dyDescent="0.3">
      <c r="A123" s="26" t="s">
        <v>646</v>
      </c>
      <c r="B123" s="26" t="s">
        <v>1470</v>
      </c>
      <c r="C123" s="26" t="s">
        <v>847</v>
      </c>
      <c r="D123" s="26" t="s">
        <v>1471</v>
      </c>
      <c r="E123" s="39">
        <v>4</v>
      </c>
      <c r="F123" s="37">
        <v>35330</v>
      </c>
      <c r="G123" s="38">
        <f>IFERROR(IF(B123="Tampa",INDEX(tbl_tampas[Massa_g],MATCH(A123,tbl_tampas[CapId],0)),INDEX(tbl_recyclass[Massa_Corpo_g],MATCH(A123,tbl_recyclass[ProductId],0))),0)</f>
        <v>24.4</v>
      </c>
      <c r="H123" s="32">
        <f t="shared" si="3"/>
        <v>862.05200000000002</v>
      </c>
      <c r="I123" s="36">
        <f>IFERROR(IF(B123="Tampa",INDEX(tbl_tampas[Pct_PCR],MATCH(A123,tbl_tampas[CapId],0)),INDEX(tbl_recyclass[Pct_PCR_Corpo],MATCH(A123,tbl_recyclass[ProductId],0))),0)</f>
        <v>0</v>
      </c>
      <c r="J123" s="32">
        <f t="shared" si="4"/>
        <v>0</v>
      </c>
      <c r="K123" s="32">
        <f t="shared" si="5"/>
        <v>862.05200000000002</v>
      </c>
      <c r="L123" s="43">
        <f>IF(C123="ES",K123*INDEX(tbl_param_emb[Valor],MATCH("P-01",tbl_param_emb[ID_Parametro],0)),0)</f>
        <v>0</v>
      </c>
      <c r="M123" s="33" t="str">
        <f>IF(B123="Tampa","Componente",IFERROR(INDEX(tbl_recyclass[Grau_PPWR_Indicativo],MATCH(A123,tbl_recyclass[ProductId],0)),""))</f>
        <v>Não reciclável (F)</v>
      </c>
    </row>
    <row r="124" spans="1:13" ht="16.05" customHeight="1" x14ac:dyDescent="0.3">
      <c r="A124" s="26" t="s">
        <v>646</v>
      </c>
      <c r="B124" s="26" t="s">
        <v>1470</v>
      </c>
      <c r="C124" s="26" t="s">
        <v>1474</v>
      </c>
      <c r="D124" s="26" t="s">
        <v>1475</v>
      </c>
      <c r="E124" s="39">
        <v>1</v>
      </c>
      <c r="F124" s="37">
        <v>10521</v>
      </c>
      <c r="G124" s="38">
        <f>IFERROR(IF(B124="Tampa",INDEX(tbl_tampas[Massa_g],MATCH(A124,tbl_tampas[CapId],0)),INDEX(tbl_recyclass[Massa_Corpo_g],MATCH(A124,tbl_recyclass[ProductId],0))),0)</f>
        <v>24.4</v>
      </c>
      <c r="H124" s="32">
        <f t="shared" si="3"/>
        <v>256.7124</v>
      </c>
      <c r="I124" s="36">
        <f>IFERROR(IF(B124="Tampa",INDEX(tbl_tampas[Pct_PCR],MATCH(A124,tbl_tampas[CapId],0)),INDEX(tbl_recyclass[Pct_PCR_Corpo],MATCH(A124,tbl_recyclass[ProductId],0))),0)</f>
        <v>0</v>
      </c>
      <c r="J124" s="32">
        <f t="shared" si="4"/>
        <v>0</v>
      </c>
      <c r="K124" s="32">
        <f t="shared" si="5"/>
        <v>256.7124</v>
      </c>
      <c r="L124" s="43">
        <f>IF(C124="ES",K124*INDEX(tbl_param_emb[Valor],MATCH("P-01",tbl_param_emb[ID_Parametro],0)),0)</f>
        <v>115.52058000000001</v>
      </c>
      <c r="M124" s="33" t="str">
        <f>IF(B124="Tampa","Componente",IFERROR(INDEX(tbl_recyclass[Grau_PPWR_Indicativo],MATCH(A124,tbl_recyclass[ProductId],0)),""))</f>
        <v>Não reciclável (F)</v>
      </c>
    </row>
    <row r="125" spans="1:13" ht="16.05" customHeight="1" x14ac:dyDescent="0.3">
      <c r="A125" s="26" t="s">
        <v>654</v>
      </c>
      <c r="B125" s="26" t="s">
        <v>1470</v>
      </c>
      <c r="C125" s="26" t="s">
        <v>1476</v>
      </c>
      <c r="D125" s="26" t="s">
        <v>1477</v>
      </c>
      <c r="E125" s="39">
        <v>1</v>
      </c>
      <c r="F125" s="37">
        <v>3495</v>
      </c>
      <c r="G125" s="38">
        <f>IFERROR(IF(B125="Tampa",INDEX(tbl_tampas[Massa_g],MATCH(A125,tbl_tampas[CapId],0)),INDEX(tbl_recyclass[Massa_Corpo_g],MATCH(A125,tbl_recyclass[ProductId],0))),0)</f>
        <v>24.4</v>
      </c>
      <c r="H125" s="32">
        <f t="shared" si="3"/>
        <v>85.278000000000006</v>
      </c>
      <c r="I125" s="36">
        <f>IFERROR(IF(B125="Tampa",INDEX(tbl_tampas[Pct_PCR],MATCH(A125,tbl_tampas[CapId],0)),INDEX(tbl_recyclass[Pct_PCR_Corpo],MATCH(A125,tbl_recyclass[ProductId],0))),0)</f>
        <v>0</v>
      </c>
      <c r="J125" s="32">
        <f t="shared" si="4"/>
        <v>0</v>
      </c>
      <c r="K125" s="32">
        <f t="shared" si="5"/>
        <v>85.278000000000006</v>
      </c>
      <c r="L125" s="43">
        <f>IF(C125="ES",K125*INDEX(tbl_param_emb[Valor],MATCH("P-01",tbl_param_emb[ID_Parametro],0)),0)</f>
        <v>0</v>
      </c>
      <c r="M125" s="33" t="str">
        <f>IF(B125="Tampa","Componente",IFERROR(INDEX(tbl_recyclass[Grau_PPWR_Indicativo],MATCH(A125,tbl_recyclass[ProductId],0)),""))</f>
        <v>C</v>
      </c>
    </row>
    <row r="126" spans="1:13" ht="16.05" customHeight="1" x14ac:dyDescent="0.3">
      <c r="A126" s="26" t="s">
        <v>654</v>
      </c>
      <c r="B126" s="26" t="s">
        <v>1470</v>
      </c>
      <c r="C126" s="26" t="s">
        <v>1472</v>
      </c>
      <c r="D126" s="26" t="s">
        <v>1473</v>
      </c>
      <c r="E126" s="39">
        <v>1</v>
      </c>
      <c r="F126" s="37">
        <v>2302</v>
      </c>
      <c r="G126" s="38">
        <f>IFERROR(IF(B126="Tampa",INDEX(tbl_tampas[Massa_g],MATCH(A126,tbl_tampas[CapId],0)),INDEX(tbl_recyclass[Massa_Corpo_g],MATCH(A126,tbl_recyclass[ProductId],0))),0)</f>
        <v>24.4</v>
      </c>
      <c r="H126" s="32">
        <f t="shared" si="3"/>
        <v>56.168799999999997</v>
      </c>
      <c r="I126" s="36">
        <f>IFERROR(IF(B126="Tampa",INDEX(tbl_tampas[Pct_PCR],MATCH(A126,tbl_tampas[CapId],0)),INDEX(tbl_recyclass[Pct_PCR_Corpo],MATCH(A126,tbl_recyclass[ProductId],0))),0)</f>
        <v>0</v>
      </c>
      <c r="J126" s="32">
        <f t="shared" si="4"/>
        <v>0</v>
      </c>
      <c r="K126" s="32">
        <f t="shared" si="5"/>
        <v>56.168799999999997</v>
      </c>
      <c r="L126" s="43">
        <f>IF(C126="ES",K126*INDEX(tbl_param_emb[Valor],MATCH("P-01",tbl_param_emb[ID_Parametro],0)),0)</f>
        <v>0</v>
      </c>
      <c r="M126" s="33" t="str">
        <f>IF(B126="Tampa","Componente",IFERROR(INDEX(tbl_recyclass[Grau_PPWR_Indicativo],MATCH(A126,tbl_recyclass[ProductId],0)),""))</f>
        <v>C</v>
      </c>
    </row>
    <row r="127" spans="1:13" ht="16.05" customHeight="1" x14ac:dyDescent="0.3">
      <c r="A127" s="26" t="s">
        <v>654</v>
      </c>
      <c r="B127" s="26" t="s">
        <v>1470</v>
      </c>
      <c r="C127" s="26" t="s">
        <v>1480</v>
      </c>
      <c r="D127" s="26" t="s">
        <v>1481</v>
      </c>
      <c r="E127" s="39">
        <v>1</v>
      </c>
      <c r="F127" s="37">
        <v>1840</v>
      </c>
      <c r="G127" s="38">
        <f>IFERROR(IF(B127="Tampa",INDEX(tbl_tampas[Massa_g],MATCH(A127,tbl_tampas[CapId],0)),INDEX(tbl_recyclass[Massa_Corpo_g],MATCH(A127,tbl_recyclass[ProductId],0))),0)</f>
        <v>24.4</v>
      </c>
      <c r="H127" s="32">
        <f t="shared" si="3"/>
        <v>44.896000000000001</v>
      </c>
      <c r="I127" s="36">
        <f>IFERROR(IF(B127="Tampa",INDEX(tbl_tampas[Pct_PCR],MATCH(A127,tbl_tampas[CapId],0)),INDEX(tbl_recyclass[Pct_PCR_Corpo],MATCH(A127,tbl_recyclass[ProductId],0))),0)</f>
        <v>0</v>
      </c>
      <c r="J127" s="32">
        <f t="shared" si="4"/>
        <v>0</v>
      </c>
      <c r="K127" s="32">
        <f t="shared" si="5"/>
        <v>44.896000000000001</v>
      </c>
      <c r="L127" s="43">
        <f>IF(C127="ES",K127*INDEX(tbl_param_emb[Valor],MATCH("P-01",tbl_param_emb[ID_Parametro],0)),0)</f>
        <v>0</v>
      </c>
      <c r="M127" s="33" t="str">
        <f>IF(B127="Tampa","Componente",IFERROR(INDEX(tbl_recyclass[Grau_PPWR_Indicativo],MATCH(A127,tbl_recyclass[ProductId],0)),""))</f>
        <v>C</v>
      </c>
    </row>
    <row r="128" spans="1:13" ht="16.05" customHeight="1" x14ac:dyDescent="0.3">
      <c r="A128" s="26" t="s">
        <v>654</v>
      </c>
      <c r="B128" s="26" t="s">
        <v>1470</v>
      </c>
      <c r="C128" s="26" t="s">
        <v>847</v>
      </c>
      <c r="D128" s="26" t="s">
        <v>1471</v>
      </c>
      <c r="E128" s="39">
        <v>4</v>
      </c>
      <c r="F128" s="37">
        <v>21084</v>
      </c>
      <c r="G128" s="38">
        <f>IFERROR(IF(B128="Tampa",INDEX(tbl_tampas[Massa_g],MATCH(A128,tbl_tampas[CapId],0)),INDEX(tbl_recyclass[Massa_Corpo_g],MATCH(A128,tbl_recyclass[ProductId],0))),0)</f>
        <v>24.4</v>
      </c>
      <c r="H128" s="32">
        <f t="shared" si="3"/>
        <v>514.44960000000003</v>
      </c>
      <c r="I128" s="36">
        <f>IFERROR(IF(B128="Tampa",INDEX(tbl_tampas[Pct_PCR],MATCH(A128,tbl_tampas[CapId],0)),INDEX(tbl_recyclass[Pct_PCR_Corpo],MATCH(A128,tbl_recyclass[ProductId],0))),0)</f>
        <v>0</v>
      </c>
      <c r="J128" s="32">
        <f t="shared" si="4"/>
        <v>0</v>
      </c>
      <c r="K128" s="32">
        <f t="shared" si="5"/>
        <v>514.44960000000003</v>
      </c>
      <c r="L128" s="43">
        <f>IF(C128="ES",K128*INDEX(tbl_param_emb[Valor],MATCH("P-01",tbl_param_emb[ID_Parametro],0)),0)</f>
        <v>0</v>
      </c>
      <c r="M128" s="33" t="str">
        <f>IF(B128="Tampa","Componente",IFERROR(INDEX(tbl_recyclass[Grau_PPWR_Indicativo],MATCH(A128,tbl_recyclass[ProductId],0)),""))</f>
        <v>C</v>
      </c>
    </row>
    <row r="129" spans="1:13" ht="16.05" customHeight="1" x14ac:dyDescent="0.3">
      <c r="A129" s="26" t="s">
        <v>662</v>
      </c>
      <c r="B129" s="26" t="s">
        <v>1470</v>
      </c>
      <c r="C129" s="26" t="s">
        <v>1472</v>
      </c>
      <c r="D129" s="26" t="s">
        <v>1473</v>
      </c>
      <c r="E129" s="39">
        <v>1</v>
      </c>
      <c r="F129" s="37">
        <v>3480</v>
      </c>
      <c r="G129" s="38">
        <f>IFERROR(IF(B129="Tampa",INDEX(tbl_tampas[Massa_g],MATCH(A129,tbl_tampas[CapId],0)),INDEX(tbl_recyclass[Massa_Corpo_g],MATCH(A129,tbl_recyclass[ProductId],0))),0)</f>
        <v>24.4</v>
      </c>
      <c r="H129" s="32">
        <f t="shared" si="3"/>
        <v>84.912000000000006</v>
      </c>
      <c r="I129" s="36">
        <f>IFERROR(IF(B129="Tampa",INDEX(tbl_tampas[Pct_PCR],MATCH(A129,tbl_tampas[CapId],0)),INDEX(tbl_recyclass[Pct_PCR_Corpo],MATCH(A129,tbl_recyclass[ProductId],0))),0)</f>
        <v>0.3</v>
      </c>
      <c r="J129" s="32">
        <f t="shared" si="4"/>
        <v>25.473600000000001</v>
      </c>
      <c r="K129" s="32">
        <f t="shared" si="5"/>
        <v>59.438400000000001</v>
      </c>
      <c r="L129" s="43">
        <f>IF(C129="ES",K129*INDEX(tbl_param_emb[Valor],MATCH("P-01",tbl_param_emb[ID_Parametro],0)),0)</f>
        <v>0</v>
      </c>
      <c r="M129" s="33" t="str">
        <f>IF(B129="Tampa","Componente",IFERROR(INDEX(tbl_recyclass[Grau_PPWR_Indicativo],MATCH(A129,tbl_recyclass[ProductId],0)),""))</f>
        <v>B</v>
      </c>
    </row>
    <row r="130" spans="1:13" ht="16.05" customHeight="1" x14ac:dyDescent="0.3">
      <c r="A130" s="26" t="s">
        <v>662</v>
      </c>
      <c r="B130" s="26" t="s">
        <v>1470</v>
      </c>
      <c r="C130" s="26" t="s">
        <v>1478</v>
      </c>
      <c r="D130" s="26" t="s">
        <v>1479</v>
      </c>
      <c r="E130" s="39">
        <v>1</v>
      </c>
      <c r="F130" s="37">
        <v>13306</v>
      </c>
      <c r="G130" s="38">
        <f>IFERROR(IF(B130="Tampa",INDEX(tbl_tampas[Massa_g],MATCH(A130,tbl_tampas[CapId],0)),INDEX(tbl_recyclass[Massa_Corpo_g],MATCH(A130,tbl_recyclass[ProductId],0))),0)</f>
        <v>24.4</v>
      </c>
      <c r="H130" s="32">
        <f t="shared" ref="H130:H193" si="6">F130*G130/1000</f>
        <v>324.66639999999995</v>
      </c>
      <c r="I130" s="36">
        <f>IFERROR(IF(B130="Tampa",INDEX(tbl_tampas[Pct_PCR],MATCH(A130,tbl_tampas[CapId],0)),INDEX(tbl_recyclass[Pct_PCR_Corpo],MATCH(A130,tbl_recyclass[ProductId],0))),0)</f>
        <v>0.3</v>
      </c>
      <c r="J130" s="32">
        <f t="shared" ref="J130:J193" si="7">H130*I130</f>
        <v>97.39991999999998</v>
      </c>
      <c r="K130" s="32">
        <f t="shared" ref="K130:K193" si="8">H130-J130</f>
        <v>227.26647999999997</v>
      </c>
      <c r="L130" s="43">
        <f>IF(C130="ES",K130*INDEX(tbl_param_emb[Valor],MATCH("P-01",tbl_param_emb[ID_Parametro],0)),0)</f>
        <v>0</v>
      </c>
      <c r="M130" s="33" t="str">
        <f>IF(B130="Tampa","Componente",IFERROR(INDEX(tbl_recyclass[Grau_PPWR_Indicativo],MATCH(A130,tbl_recyclass[ProductId],0)),""))</f>
        <v>B</v>
      </c>
    </row>
    <row r="131" spans="1:13" ht="16.05" customHeight="1" x14ac:dyDescent="0.3">
      <c r="A131" s="26" t="s">
        <v>662</v>
      </c>
      <c r="B131" s="26" t="s">
        <v>1470</v>
      </c>
      <c r="C131" s="26" t="s">
        <v>847</v>
      </c>
      <c r="D131" s="26" t="s">
        <v>1471</v>
      </c>
      <c r="E131" s="39">
        <v>4</v>
      </c>
      <c r="F131" s="37">
        <v>44210</v>
      </c>
      <c r="G131" s="38">
        <f>IFERROR(IF(B131="Tampa",INDEX(tbl_tampas[Massa_g],MATCH(A131,tbl_tampas[CapId],0)),INDEX(tbl_recyclass[Massa_Corpo_g],MATCH(A131,tbl_recyclass[ProductId],0))),0)</f>
        <v>24.4</v>
      </c>
      <c r="H131" s="32">
        <f t="shared" si="6"/>
        <v>1078.7239999999999</v>
      </c>
      <c r="I131" s="36">
        <f>IFERROR(IF(B131="Tampa",INDEX(tbl_tampas[Pct_PCR],MATCH(A131,tbl_tampas[CapId],0)),INDEX(tbl_recyclass[Pct_PCR_Corpo],MATCH(A131,tbl_recyclass[ProductId],0))),0)</f>
        <v>0.3</v>
      </c>
      <c r="J131" s="32">
        <f t="shared" si="7"/>
        <v>323.61719999999997</v>
      </c>
      <c r="K131" s="32">
        <f t="shared" si="8"/>
        <v>755.10680000000002</v>
      </c>
      <c r="L131" s="43">
        <f>IF(C131="ES",K131*INDEX(tbl_param_emb[Valor],MATCH("P-01",tbl_param_emb[ID_Parametro],0)),0)</f>
        <v>0</v>
      </c>
      <c r="M131" s="33" t="str">
        <f>IF(B131="Tampa","Componente",IFERROR(INDEX(tbl_recyclass[Grau_PPWR_Indicativo],MATCH(A131,tbl_recyclass[ProductId],0)),""))</f>
        <v>B</v>
      </c>
    </row>
    <row r="132" spans="1:13" ht="16.05" customHeight="1" x14ac:dyDescent="0.3">
      <c r="A132" s="26" t="s">
        <v>662</v>
      </c>
      <c r="B132" s="26" t="s">
        <v>1470</v>
      </c>
      <c r="C132" s="26" t="s">
        <v>1474</v>
      </c>
      <c r="D132" s="26" t="s">
        <v>1475</v>
      </c>
      <c r="E132" s="39">
        <v>2</v>
      </c>
      <c r="F132" s="37">
        <v>4553</v>
      </c>
      <c r="G132" s="38">
        <f>IFERROR(IF(B132="Tampa",INDEX(tbl_tampas[Massa_g],MATCH(A132,tbl_tampas[CapId],0)),INDEX(tbl_recyclass[Massa_Corpo_g],MATCH(A132,tbl_recyclass[ProductId],0))),0)</f>
        <v>24.4</v>
      </c>
      <c r="H132" s="32">
        <f t="shared" si="6"/>
        <v>111.0932</v>
      </c>
      <c r="I132" s="36">
        <f>IFERROR(IF(B132="Tampa",INDEX(tbl_tampas[Pct_PCR],MATCH(A132,tbl_tampas[CapId],0)),INDEX(tbl_recyclass[Pct_PCR_Corpo],MATCH(A132,tbl_recyclass[ProductId],0))),0)</f>
        <v>0.3</v>
      </c>
      <c r="J132" s="32">
        <f t="shared" si="7"/>
        <v>33.327959999999997</v>
      </c>
      <c r="K132" s="32">
        <f t="shared" si="8"/>
        <v>77.765240000000006</v>
      </c>
      <c r="L132" s="43">
        <f>IF(C132="ES",K132*INDEX(tbl_param_emb[Valor],MATCH("P-01",tbl_param_emb[ID_Parametro],0)),0)</f>
        <v>34.994358000000005</v>
      </c>
      <c r="M132" s="33" t="str">
        <f>IF(B132="Tampa","Componente",IFERROR(INDEX(tbl_recyclass[Grau_PPWR_Indicativo],MATCH(A132,tbl_recyclass[ProductId],0)),""))</f>
        <v>B</v>
      </c>
    </row>
    <row r="133" spans="1:13" ht="16.05" customHeight="1" x14ac:dyDescent="0.3">
      <c r="A133" s="26" t="s">
        <v>671</v>
      </c>
      <c r="B133" s="26" t="s">
        <v>1470</v>
      </c>
      <c r="C133" s="26" t="s">
        <v>1476</v>
      </c>
      <c r="D133" s="26" t="s">
        <v>1477</v>
      </c>
      <c r="E133" s="39">
        <v>1</v>
      </c>
      <c r="F133" s="37">
        <v>11248</v>
      </c>
      <c r="G133" s="38">
        <f>IFERROR(IF(B133="Tampa",INDEX(tbl_tampas[Massa_g],MATCH(A133,tbl_tampas[CapId],0)),INDEX(tbl_recyclass[Massa_Corpo_g],MATCH(A133,tbl_recyclass[ProductId],0))),0)</f>
        <v>24.4</v>
      </c>
      <c r="H133" s="32">
        <f t="shared" si="6"/>
        <v>274.45120000000003</v>
      </c>
      <c r="I133" s="36">
        <f>IFERROR(IF(B133="Tampa",INDEX(tbl_tampas[Pct_PCR],MATCH(A133,tbl_tampas[CapId],0)),INDEX(tbl_recyclass[Pct_PCR_Corpo],MATCH(A133,tbl_recyclass[ProductId],0))),0)</f>
        <v>0.5</v>
      </c>
      <c r="J133" s="32">
        <f t="shared" si="7"/>
        <v>137.22560000000001</v>
      </c>
      <c r="K133" s="32">
        <f t="shared" si="8"/>
        <v>137.22560000000001</v>
      </c>
      <c r="L133" s="43">
        <f>IF(C133="ES",K133*INDEX(tbl_param_emb[Valor],MATCH("P-01",tbl_param_emb[ID_Parametro],0)),0)</f>
        <v>0</v>
      </c>
      <c r="M133" s="33" t="str">
        <f>IF(B133="Tampa","Componente",IFERROR(INDEX(tbl_recyclass[Grau_PPWR_Indicativo],MATCH(A133,tbl_recyclass[ProductId],0)),""))</f>
        <v>A</v>
      </c>
    </row>
    <row r="134" spans="1:13" ht="16.05" customHeight="1" x14ac:dyDescent="0.3">
      <c r="A134" s="26" t="s">
        <v>671</v>
      </c>
      <c r="B134" s="26" t="s">
        <v>1470</v>
      </c>
      <c r="C134" s="26" t="s">
        <v>1478</v>
      </c>
      <c r="D134" s="26" t="s">
        <v>1479</v>
      </c>
      <c r="E134" s="39">
        <v>1</v>
      </c>
      <c r="F134" s="37">
        <v>11660</v>
      </c>
      <c r="G134" s="38">
        <f>IFERROR(IF(B134="Tampa",INDEX(tbl_tampas[Massa_g],MATCH(A134,tbl_tampas[CapId],0)),INDEX(tbl_recyclass[Massa_Corpo_g],MATCH(A134,tbl_recyclass[ProductId],0))),0)</f>
        <v>24.4</v>
      </c>
      <c r="H134" s="32">
        <f t="shared" si="6"/>
        <v>284.50400000000002</v>
      </c>
      <c r="I134" s="36">
        <f>IFERROR(IF(B134="Tampa",INDEX(tbl_tampas[Pct_PCR],MATCH(A134,tbl_tampas[CapId],0)),INDEX(tbl_recyclass[Pct_PCR_Corpo],MATCH(A134,tbl_recyclass[ProductId],0))),0)</f>
        <v>0.5</v>
      </c>
      <c r="J134" s="32">
        <f t="shared" si="7"/>
        <v>142.25200000000001</v>
      </c>
      <c r="K134" s="32">
        <f t="shared" si="8"/>
        <v>142.25200000000001</v>
      </c>
      <c r="L134" s="43">
        <f>IF(C134="ES",K134*INDEX(tbl_param_emb[Valor],MATCH("P-01",tbl_param_emb[ID_Parametro],0)),0)</f>
        <v>0</v>
      </c>
      <c r="M134" s="33" t="str">
        <f>IF(B134="Tampa","Componente",IFERROR(INDEX(tbl_recyclass[Grau_PPWR_Indicativo],MATCH(A134,tbl_recyclass[ProductId],0)),""))</f>
        <v>A</v>
      </c>
    </row>
    <row r="135" spans="1:13" ht="16.05" customHeight="1" x14ac:dyDescent="0.3">
      <c r="A135" s="26" t="s">
        <v>671</v>
      </c>
      <c r="B135" s="26" t="s">
        <v>1470</v>
      </c>
      <c r="C135" s="26" t="s">
        <v>1480</v>
      </c>
      <c r="D135" s="26" t="s">
        <v>1481</v>
      </c>
      <c r="E135" s="39">
        <v>1</v>
      </c>
      <c r="F135" s="37">
        <v>8910</v>
      </c>
      <c r="G135" s="38">
        <f>IFERROR(IF(B135="Tampa",INDEX(tbl_tampas[Massa_g],MATCH(A135,tbl_tampas[CapId],0)),INDEX(tbl_recyclass[Massa_Corpo_g],MATCH(A135,tbl_recyclass[ProductId],0))),0)</f>
        <v>24.4</v>
      </c>
      <c r="H135" s="32">
        <f t="shared" si="6"/>
        <v>217.404</v>
      </c>
      <c r="I135" s="36">
        <f>IFERROR(IF(B135="Tampa",INDEX(tbl_tampas[Pct_PCR],MATCH(A135,tbl_tampas[CapId],0)),INDEX(tbl_recyclass[Pct_PCR_Corpo],MATCH(A135,tbl_recyclass[ProductId],0))),0)</f>
        <v>0.5</v>
      </c>
      <c r="J135" s="32">
        <f t="shared" si="7"/>
        <v>108.702</v>
      </c>
      <c r="K135" s="32">
        <f t="shared" si="8"/>
        <v>108.702</v>
      </c>
      <c r="L135" s="43">
        <f>IF(C135="ES",K135*INDEX(tbl_param_emb[Valor],MATCH("P-01",tbl_param_emb[ID_Parametro],0)),0)</f>
        <v>0</v>
      </c>
      <c r="M135" s="33" t="str">
        <f>IF(B135="Tampa","Componente",IFERROR(INDEX(tbl_recyclass[Grau_PPWR_Indicativo],MATCH(A135,tbl_recyclass[ProductId],0)),""))</f>
        <v>A</v>
      </c>
    </row>
    <row r="136" spans="1:13" ht="16.05" customHeight="1" x14ac:dyDescent="0.3">
      <c r="A136" s="26" t="s">
        <v>671</v>
      </c>
      <c r="B136" s="26" t="s">
        <v>1470</v>
      </c>
      <c r="C136" s="26" t="s">
        <v>847</v>
      </c>
      <c r="D136" s="26" t="s">
        <v>1471</v>
      </c>
      <c r="E136" s="39">
        <v>7</v>
      </c>
      <c r="F136" s="37">
        <v>54917</v>
      </c>
      <c r="G136" s="38">
        <f>IFERROR(IF(B136="Tampa",INDEX(tbl_tampas[Massa_g],MATCH(A136,tbl_tampas[CapId],0)),INDEX(tbl_recyclass[Massa_Corpo_g],MATCH(A136,tbl_recyclass[ProductId],0))),0)</f>
        <v>24.4</v>
      </c>
      <c r="H136" s="32">
        <f t="shared" si="6"/>
        <v>1339.9747999999997</v>
      </c>
      <c r="I136" s="36">
        <f>IFERROR(IF(B136="Tampa",INDEX(tbl_tampas[Pct_PCR],MATCH(A136,tbl_tampas[CapId],0)),INDEX(tbl_recyclass[Pct_PCR_Corpo],MATCH(A136,tbl_recyclass[ProductId],0))),0)</f>
        <v>0.5</v>
      </c>
      <c r="J136" s="32">
        <f t="shared" si="7"/>
        <v>669.98739999999987</v>
      </c>
      <c r="K136" s="32">
        <f t="shared" si="8"/>
        <v>669.98739999999987</v>
      </c>
      <c r="L136" s="43">
        <f>IF(C136="ES",K136*INDEX(tbl_param_emb[Valor],MATCH("P-01",tbl_param_emb[ID_Parametro],0)),0)</f>
        <v>0</v>
      </c>
      <c r="M136" s="33" t="str">
        <f>IF(B136="Tampa","Componente",IFERROR(INDEX(tbl_recyclass[Grau_PPWR_Indicativo],MATCH(A136,tbl_recyclass[ProductId],0)),""))</f>
        <v>A</v>
      </c>
    </row>
    <row r="137" spans="1:13" ht="16.05" customHeight="1" x14ac:dyDescent="0.3">
      <c r="A137" s="26" t="s">
        <v>671</v>
      </c>
      <c r="B137" s="26" t="s">
        <v>1470</v>
      </c>
      <c r="C137" s="26" t="s">
        <v>1474</v>
      </c>
      <c r="D137" s="26" t="s">
        <v>1475</v>
      </c>
      <c r="E137" s="39">
        <v>2</v>
      </c>
      <c r="F137" s="37">
        <v>5405</v>
      </c>
      <c r="G137" s="38">
        <f>IFERROR(IF(B137="Tampa",INDEX(tbl_tampas[Massa_g],MATCH(A137,tbl_tampas[CapId],0)),INDEX(tbl_recyclass[Massa_Corpo_g],MATCH(A137,tbl_recyclass[ProductId],0))),0)</f>
        <v>24.4</v>
      </c>
      <c r="H137" s="32">
        <f t="shared" si="6"/>
        <v>131.88200000000001</v>
      </c>
      <c r="I137" s="36">
        <f>IFERROR(IF(B137="Tampa",INDEX(tbl_tampas[Pct_PCR],MATCH(A137,tbl_tampas[CapId],0)),INDEX(tbl_recyclass[Pct_PCR_Corpo],MATCH(A137,tbl_recyclass[ProductId],0))),0)</f>
        <v>0.5</v>
      </c>
      <c r="J137" s="32">
        <f t="shared" si="7"/>
        <v>65.941000000000003</v>
      </c>
      <c r="K137" s="32">
        <f t="shared" si="8"/>
        <v>65.941000000000003</v>
      </c>
      <c r="L137" s="43">
        <f>IF(C137="ES",K137*INDEX(tbl_param_emb[Valor],MATCH("P-01",tbl_param_emb[ID_Parametro],0)),0)</f>
        <v>29.673450000000003</v>
      </c>
      <c r="M137" s="33" t="str">
        <f>IF(B137="Tampa","Componente",IFERROR(INDEX(tbl_recyclass[Grau_PPWR_Indicativo],MATCH(A137,tbl_recyclass[ProductId],0)),""))</f>
        <v>A</v>
      </c>
    </row>
    <row r="138" spans="1:13" ht="16.05" customHeight="1" x14ac:dyDescent="0.3">
      <c r="A138" s="26" t="s">
        <v>625</v>
      </c>
      <c r="B138" s="26" t="s">
        <v>1470</v>
      </c>
      <c r="C138" s="26" t="s">
        <v>1476</v>
      </c>
      <c r="D138" s="26" t="s">
        <v>1477</v>
      </c>
      <c r="E138" s="39">
        <v>1</v>
      </c>
      <c r="F138" s="37">
        <v>1491</v>
      </c>
      <c r="G138" s="38">
        <f>IFERROR(IF(B138="Tampa",INDEX(tbl_tampas[Massa_g],MATCH(A138,tbl_tampas[CapId],0)),INDEX(tbl_recyclass[Massa_Corpo_g],MATCH(A138,tbl_recyclass[ProductId],0))),0)</f>
        <v>24.4</v>
      </c>
      <c r="H138" s="32">
        <f t="shared" si="6"/>
        <v>36.380400000000002</v>
      </c>
      <c r="I138" s="36">
        <f>IFERROR(IF(B138="Tampa",INDEX(tbl_tampas[Pct_PCR],MATCH(A138,tbl_tampas[CapId],0)),INDEX(tbl_recyclass[Pct_PCR_Corpo],MATCH(A138,tbl_recyclass[ProductId],0))),0)</f>
        <v>0</v>
      </c>
      <c r="J138" s="32">
        <f t="shared" si="7"/>
        <v>0</v>
      </c>
      <c r="K138" s="32">
        <f t="shared" si="8"/>
        <v>36.380400000000002</v>
      </c>
      <c r="L138" s="43">
        <f>IF(C138="ES",K138*INDEX(tbl_param_emb[Valor],MATCH("P-01",tbl_param_emb[ID_Parametro],0)),0)</f>
        <v>0</v>
      </c>
      <c r="M138" s="33" t="str">
        <f>IF(B138="Tampa","Componente",IFERROR(INDEX(tbl_recyclass[Grau_PPWR_Indicativo],MATCH(A138,tbl_recyclass[ProductId],0)),""))</f>
        <v>B</v>
      </c>
    </row>
    <row r="139" spans="1:13" ht="16.05" customHeight="1" x14ac:dyDescent="0.3">
      <c r="A139" s="26" t="s">
        <v>625</v>
      </c>
      <c r="B139" s="26" t="s">
        <v>1470</v>
      </c>
      <c r="C139" s="26" t="s">
        <v>1472</v>
      </c>
      <c r="D139" s="26" t="s">
        <v>1473</v>
      </c>
      <c r="E139" s="39">
        <v>1</v>
      </c>
      <c r="F139" s="37">
        <v>1424</v>
      </c>
      <c r="G139" s="38">
        <f>IFERROR(IF(B139="Tampa",INDEX(tbl_tampas[Massa_g],MATCH(A139,tbl_tampas[CapId],0)),INDEX(tbl_recyclass[Massa_Corpo_g],MATCH(A139,tbl_recyclass[ProductId],0))),0)</f>
        <v>24.4</v>
      </c>
      <c r="H139" s="32">
        <f t="shared" si="6"/>
        <v>34.745599999999996</v>
      </c>
      <c r="I139" s="36">
        <f>IFERROR(IF(B139="Tampa",INDEX(tbl_tampas[Pct_PCR],MATCH(A139,tbl_tampas[CapId],0)),INDEX(tbl_recyclass[Pct_PCR_Corpo],MATCH(A139,tbl_recyclass[ProductId],0))),0)</f>
        <v>0</v>
      </c>
      <c r="J139" s="32">
        <f t="shared" si="7"/>
        <v>0</v>
      </c>
      <c r="K139" s="32">
        <f t="shared" si="8"/>
        <v>34.745599999999996</v>
      </c>
      <c r="L139" s="43">
        <f>IF(C139="ES",K139*INDEX(tbl_param_emb[Valor],MATCH("P-01",tbl_param_emb[ID_Parametro],0)),0)</f>
        <v>0</v>
      </c>
      <c r="M139" s="33" t="str">
        <f>IF(B139="Tampa","Componente",IFERROR(INDEX(tbl_recyclass[Grau_PPWR_Indicativo],MATCH(A139,tbl_recyclass[ProductId],0)),""))</f>
        <v>B</v>
      </c>
    </row>
    <row r="140" spans="1:13" ht="16.05" customHeight="1" x14ac:dyDescent="0.3">
      <c r="A140" s="26" t="s">
        <v>625</v>
      </c>
      <c r="B140" s="26" t="s">
        <v>1470</v>
      </c>
      <c r="C140" s="26" t="s">
        <v>1480</v>
      </c>
      <c r="D140" s="26" t="s">
        <v>1481</v>
      </c>
      <c r="E140" s="39">
        <v>1</v>
      </c>
      <c r="F140" s="37">
        <v>4328</v>
      </c>
      <c r="G140" s="38">
        <f>IFERROR(IF(B140="Tampa",INDEX(tbl_tampas[Massa_g],MATCH(A140,tbl_tampas[CapId],0)),INDEX(tbl_recyclass[Massa_Corpo_g],MATCH(A140,tbl_recyclass[ProductId],0))),0)</f>
        <v>24.4</v>
      </c>
      <c r="H140" s="32">
        <f t="shared" si="6"/>
        <v>105.6032</v>
      </c>
      <c r="I140" s="36">
        <f>IFERROR(IF(B140="Tampa",INDEX(tbl_tampas[Pct_PCR],MATCH(A140,tbl_tampas[CapId],0)),INDEX(tbl_recyclass[Pct_PCR_Corpo],MATCH(A140,tbl_recyclass[ProductId],0))),0)</f>
        <v>0</v>
      </c>
      <c r="J140" s="32">
        <f t="shared" si="7"/>
        <v>0</v>
      </c>
      <c r="K140" s="32">
        <f t="shared" si="8"/>
        <v>105.6032</v>
      </c>
      <c r="L140" s="43">
        <f>IF(C140="ES",K140*INDEX(tbl_param_emb[Valor],MATCH("P-01",tbl_param_emb[ID_Parametro],0)),0)</f>
        <v>0</v>
      </c>
      <c r="M140" s="33" t="str">
        <f>IF(B140="Tampa","Componente",IFERROR(INDEX(tbl_recyclass[Grau_PPWR_Indicativo],MATCH(A140,tbl_recyclass[ProductId],0)),""))</f>
        <v>B</v>
      </c>
    </row>
    <row r="141" spans="1:13" ht="16.05" customHeight="1" x14ac:dyDescent="0.3">
      <c r="A141" s="26" t="s">
        <v>625</v>
      </c>
      <c r="B141" s="26" t="s">
        <v>1470</v>
      </c>
      <c r="C141" s="26" t="s">
        <v>847</v>
      </c>
      <c r="D141" s="26" t="s">
        <v>1471</v>
      </c>
      <c r="E141" s="39">
        <v>6</v>
      </c>
      <c r="F141" s="37">
        <v>54458</v>
      </c>
      <c r="G141" s="38">
        <f>IFERROR(IF(B141="Tampa",INDEX(tbl_tampas[Massa_g],MATCH(A141,tbl_tampas[CapId],0)),INDEX(tbl_recyclass[Massa_Corpo_g],MATCH(A141,tbl_recyclass[ProductId],0))),0)</f>
        <v>24.4</v>
      </c>
      <c r="H141" s="32">
        <f t="shared" si="6"/>
        <v>1328.7752</v>
      </c>
      <c r="I141" s="36">
        <f>IFERROR(IF(B141="Tampa",INDEX(tbl_tampas[Pct_PCR],MATCH(A141,tbl_tampas[CapId],0)),INDEX(tbl_recyclass[Pct_PCR_Corpo],MATCH(A141,tbl_recyclass[ProductId],0))),0)</f>
        <v>0</v>
      </c>
      <c r="J141" s="32">
        <f t="shared" si="7"/>
        <v>0</v>
      </c>
      <c r="K141" s="32">
        <f t="shared" si="8"/>
        <v>1328.7752</v>
      </c>
      <c r="L141" s="43">
        <f>IF(C141="ES",K141*INDEX(tbl_param_emb[Valor],MATCH("P-01",tbl_param_emb[ID_Parametro],0)),0)</f>
        <v>0</v>
      </c>
      <c r="M141" s="33" t="str">
        <f>IF(B141="Tampa","Componente",IFERROR(INDEX(tbl_recyclass[Grau_PPWR_Indicativo],MATCH(A141,tbl_recyclass[ProductId],0)),""))</f>
        <v>B</v>
      </c>
    </row>
    <row r="142" spans="1:13" ht="16.05" customHeight="1" x14ac:dyDescent="0.3">
      <c r="A142" s="26" t="s">
        <v>625</v>
      </c>
      <c r="B142" s="26" t="s">
        <v>1470</v>
      </c>
      <c r="C142" s="26" t="s">
        <v>1474</v>
      </c>
      <c r="D142" s="26" t="s">
        <v>1475</v>
      </c>
      <c r="E142" s="39">
        <v>2</v>
      </c>
      <c r="F142" s="37">
        <v>10211</v>
      </c>
      <c r="G142" s="38">
        <f>IFERROR(IF(B142="Tampa",INDEX(tbl_tampas[Massa_g],MATCH(A142,tbl_tampas[CapId],0)),INDEX(tbl_recyclass[Massa_Corpo_g],MATCH(A142,tbl_recyclass[ProductId],0))),0)</f>
        <v>24.4</v>
      </c>
      <c r="H142" s="32">
        <f t="shared" si="6"/>
        <v>249.14839999999998</v>
      </c>
      <c r="I142" s="36">
        <f>IFERROR(IF(B142="Tampa",INDEX(tbl_tampas[Pct_PCR],MATCH(A142,tbl_tampas[CapId],0)),INDEX(tbl_recyclass[Pct_PCR_Corpo],MATCH(A142,tbl_recyclass[ProductId],0))),0)</f>
        <v>0</v>
      </c>
      <c r="J142" s="32">
        <f t="shared" si="7"/>
        <v>0</v>
      </c>
      <c r="K142" s="32">
        <f t="shared" si="8"/>
        <v>249.14839999999998</v>
      </c>
      <c r="L142" s="43">
        <f>IF(C142="ES",K142*INDEX(tbl_param_emb[Valor],MATCH("P-01",tbl_param_emb[ID_Parametro],0)),0)</f>
        <v>112.11677999999999</v>
      </c>
      <c r="M142" s="33" t="str">
        <f>IF(B142="Tampa","Componente",IFERROR(INDEX(tbl_recyclass[Grau_PPWR_Indicativo],MATCH(A142,tbl_recyclass[ProductId],0)),""))</f>
        <v>B</v>
      </c>
    </row>
    <row r="143" spans="1:13" ht="16.05" customHeight="1" x14ac:dyDescent="0.3">
      <c r="A143" s="26" t="s">
        <v>632</v>
      </c>
      <c r="B143" s="26" t="s">
        <v>1470</v>
      </c>
      <c r="C143" s="26" t="s">
        <v>1476</v>
      </c>
      <c r="D143" s="26" t="s">
        <v>1477</v>
      </c>
      <c r="E143" s="39">
        <v>1</v>
      </c>
      <c r="F143" s="37">
        <v>6167</v>
      </c>
      <c r="G143" s="38">
        <f>IFERROR(IF(B143="Tampa",INDEX(tbl_tampas[Massa_g],MATCH(A143,tbl_tampas[CapId],0)),INDEX(tbl_recyclass[Massa_Corpo_g],MATCH(A143,tbl_recyclass[ProductId],0))),0)</f>
        <v>24.4</v>
      </c>
      <c r="H143" s="32">
        <f t="shared" si="6"/>
        <v>150.47479999999999</v>
      </c>
      <c r="I143" s="36">
        <f>IFERROR(IF(B143="Tampa",INDEX(tbl_tampas[Pct_PCR],MATCH(A143,tbl_tampas[CapId],0)),INDEX(tbl_recyclass[Pct_PCR_Corpo],MATCH(A143,tbl_recyclass[ProductId],0))),0)</f>
        <v>0.3</v>
      </c>
      <c r="J143" s="32">
        <f t="shared" si="7"/>
        <v>45.142439999999993</v>
      </c>
      <c r="K143" s="32">
        <f t="shared" si="8"/>
        <v>105.33235999999999</v>
      </c>
      <c r="L143" s="43">
        <f>IF(C143="ES",K143*INDEX(tbl_param_emb[Valor],MATCH("P-01",tbl_param_emb[ID_Parametro],0)),0)</f>
        <v>0</v>
      </c>
      <c r="M143" s="33" t="str">
        <f>IF(B143="Tampa","Componente",IFERROR(INDEX(tbl_recyclass[Grau_PPWR_Indicativo],MATCH(A143,tbl_recyclass[ProductId],0)),""))</f>
        <v>B</v>
      </c>
    </row>
    <row r="144" spans="1:13" ht="16.05" customHeight="1" x14ac:dyDescent="0.3">
      <c r="A144" s="26" t="s">
        <v>632</v>
      </c>
      <c r="B144" s="26" t="s">
        <v>1470</v>
      </c>
      <c r="C144" s="26" t="s">
        <v>1472</v>
      </c>
      <c r="D144" s="26" t="s">
        <v>1473</v>
      </c>
      <c r="E144" s="39">
        <v>1</v>
      </c>
      <c r="F144" s="37">
        <v>4008</v>
      </c>
      <c r="G144" s="38">
        <f>IFERROR(IF(B144="Tampa",INDEX(tbl_tampas[Massa_g],MATCH(A144,tbl_tampas[CapId],0)),INDEX(tbl_recyclass[Massa_Corpo_g],MATCH(A144,tbl_recyclass[ProductId],0))),0)</f>
        <v>24.4</v>
      </c>
      <c r="H144" s="32">
        <f t="shared" si="6"/>
        <v>97.795199999999994</v>
      </c>
      <c r="I144" s="36">
        <f>IFERROR(IF(B144="Tampa",INDEX(tbl_tampas[Pct_PCR],MATCH(A144,tbl_tampas[CapId],0)),INDEX(tbl_recyclass[Pct_PCR_Corpo],MATCH(A144,tbl_recyclass[ProductId],0))),0)</f>
        <v>0.3</v>
      </c>
      <c r="J144" s="32">
        <f t="shared" si="7"/>
        <v>29.338559999999998</v>
      </c>
      <c r="K144" s="32">
        <f t="shared" si="8"/>
        <v>68.456639999999993</v>
      </c>
      <c r="L144" s="43">
        <f>IF(C144="ES",K144*INDEX(tbl_param_emb[Valor],MATCH("P-01",tbl_param_emb[ID_Parametro],0)),0)</f>
        <v>0</v>
      </c>
      <c r="M144" s="33" t="str">
        <f>IF(B144="Tampa","Componente",IFERROR(INDEX(tbl_recyclass[Grau_PPWR_Indicativo],MATCH(A144,tbl_recyclass[ProductId],0)),""))</f>
        <v>B</v>
      </c>
    </row>
    <row r="145" spans="1:13" ht="16.05" customHeight="1" x14ac:dyDescent="0.3">
      <c r="A145" s="26" t="s">
        <v>632</v>
      </c>
      <c r="B145" s="26" t="s">
        <v>1470</v>
      </c>
      <c r="C145" s="26" t="s">
        <v>847</v>
      </c>
      <c r="D145" s="26" t="s">
        <v>1471</v>
      </c>
      <c r="E145" s="39">
        <v>4</v>
      </c>
      <c r="F145" s="37">
        <v>17940</v>
      </c>
      <c r="G145" s="38">
        <f>IFERROR(IF(B145="Tampa",INDEX(tbl_tampas[Massa_g],MATCH(A145,tbl_tampas[CapId],0)),INDEX(tbl_recyclass[Massa_Corpo_g],MATCH(A145,tbl_recyclass[ProductId],0))),0)</f>
        <v>24.4</v>
      </c>
      <c r="H145" s="32">
        <f t="shared" si="6"/>
        <v>437.73599999999999</v>
      </c>
      <c r="I145" s="36">
        <f>IFERROR(IF(B145="Tampa",INDEX(tbl_tampas[Pct_PCR],MATCH(A145,tbl_tampas[CapId],0)),INDEX(tbl_recyclass[Pct_PCR_Corpo],MATCH(A145,tbl_recyclass[ProductId],0))),0)</f>
        <v>0.3</v>
      </c>
      <c r="J145" s="32">
        <f t="shared" si="7"/>
        <v>131.32079999999999</v>
      </c>
      <c r="K145" s="32">
        <f t="shared" si="8"/>
        <v>306.41520000000003</v>
      </c>
      <c r="L145" s="43">
        <f>IF(C145="ES",K145*INDEX(tbl_param_emb[Valor],MATCH("P-01",tbl_param_emb[ID_Parametro],0)),0)</f>
        <v>0</v>
      </c>
      <c r="M145" s="33" t="str">
        <f>IF(B145="Tampa","Componente",IFERROR(INDEX(tbl_recyclass[Grau_PPWR_Indicativo],MATCH(A145,tbl_recyclass[ProductId],0)),""))</f>
        <v>B</v>
      </c>
    </row>
    <row r="146" spans="1:13" ht="16.05" customHeight="1" x14ac:dyDescent="0.3">
      <c r="A146" s="26" t="s">
        <v>632</v>
      </c>
      <c r="B146" s="26" t="s">
        <v>1470</v>
      </c>
      <c r="C146" s="26" t="s">
        <v>1474</v>
      </c>
      <c r="D146" s="26" t="s">
        <v>1475</v>
      </c>
      <c r="E146" s="39">
        <v>1</v>
      </c>
      <c r="F146" s="37">
        <v>2673</v>
      </c>
      <c r="G146" s="38">
        <f>IFERROR(IF(B146="Tampa",INDEX(tbl_tampas[Massa_g],MATCH(A146,tbl_tampas[CapId],0)),INDEX(tbl_recyclass[Massa_Corpo_g],MATCH(A146,tbl_recyclass[ProductId],0))),0)</f>
        <v>24.4</v>
      </c>
      <c r="H146" s="32">
        <f t="shared" si="6"/>
        <v>65.221199999999996</v>
      </c>
      <c r="I146" s="36">
        <f>IFERROR(IF(B146="Tampa",INDEX(tbl_tampas[Pct_PCR],MATCH(A146,tbl_tampas[CapId],0)),INDEX(tbl_recyclass[Pct_PCR_Corpo],MATCH(A146,tbl_recyclass[ProductId],0))),0)</f>
        <v>0.3</v>
      </c>
      <c r="J146" s="32">
        <f t="shared" si="7"/>
        <v>19.56636</v>
      </c>
      <c r="K146" s="32">
        <f t="shared" si="8"/>
        <v>45.654839999999993</v>
      </c>
      <c r="L146" s="43">
        <f>IF(C146="ES",K146*INDEX(tbl_param_emb[Valor],MATCH("P-01",tbl_param_emb[ID_Parametro],0)),0)</f>
        <v>20.544677999999998</v>
      </c>
      <c r="M146" s="33" t="str">
        <f>IF(B146="Tampa","Componente",IFERROR(INDEX(tbl_recyclass[Grau_PPWR_Indicativo],MATCH(A146,tbl_recyclass[ProductId],0)),""))</f>
        <v>B</v>
      </c>
    </row>
    <row r="147" spans="1:13" ht="16.05" customHeight="1" x14ac:dyDescent="0.3">
      <c r="A147" s="26" t="s">
        <v>644</v>
      </c>
      <c r="B147" s="26" t="s">
        <v>1470</v>
      </c>
      <c r="C147" s="26" t="s">
        <v>1476</v>
      </c>
      <c r="D147" s="26" t="s">
        <v>1477</v>
      </c>
      <c r="E147" s="39">
        <v>1</v>
      </c>
      <c r="F147" s="37">
        <v>7135</v>
      </c>
      <c r="G147" s="38">
        <f>IFERROR(IF(B147="Tampa",INDEX(tbl_tampas[Massa_g],MATCH(A147,tbl_tampas[CapId],0)),INDEX(tbl_recyclass[Massa_Corpo_g],MATCH(A147,tbl_recyclass[ProductId],0))),0)</f>
        <v>24.4</v>
      </c>
      <c r="H147" s="32">
        <f t="shared" si="6"/>
        <v>174.09399999999999</v>
      </c>
      <c r="I147" s="36">
        <f>IFERROR(IF(B147="Tampa",INDEX(tbl_tampas[Pct_PCR],MATCH(A147,tbl_tampas[CapId],0)),INDEX(tbl_recyclass[Pct_PCR_Corpo],MATCH(A147,tbl_recyclass[ProductId],0))),0)</f>
        <v>0</v>
      </c>
      <c r="J147" s="32">
        <f t="shared" si="7"/>
        <v>0</v>
      </c>
      <c r="K147" s="32">
        <f t="shared" si="8"/>
        <v>174.09399999999999</v>
      </c>
      <c r="L147" s="43">
        <f>IF(C147="ES",K147*INDEX(tbl_param_emb[Valor],MATCH("P-01",tbl_param_emb[ID_Parametro],0)),0)</f>
        <v>0</v>
      </c>
      <c r="M147" s="33" t="str">
        <f>IF(B147="Tampa","Componente",IFERROR(INDEX(tbl_recyclass[Grau_PPWR_Indicativo],MATCH(A147,tbl_recyclass[ProductId],0)),""))</f>
        <v>Abaixo de C</v>
      </c>
    </row>
    <row r="148" spans="1:13" ht="16.05" customHeight="1" x14ac:dyDescent="0.3">
      <c r="A148" s="26" t="s">
        <v>644</v>
      </c>
      <c r="B148" s="26" t="s">
        <v>1470</v>
      </c>
      <c r="C148" s="26" t="s">
        <v>1472</v>
      </c>
      <c r="D148" s="26" t="s">
        <v>1473</v>
      </c>
      <c r="E148" s="39">
        <v>1</v>
      </c>
      <c r="F148" s="37">
        <v>11082</v>
      </c>
      <c r="G148" s="38">
        <f>IFERROR(IF(B148="Tampa",INDEX(tbl_tampas[Massa_g],MATCH(A148,tbl_tampas[CapId],0)),INDEX(tbl_recyclass[Massa_Corpo_g],MATCH(A148,tbl_recyclass[ProductId],0))),0)</f>
        <v>24.4</v>
      </c>
      <c r="H148" s="32">
        <f t="shared" si="6"/>
        <v>270.4008</v>
      </c>
      <c r="I148" s="36">
        <f>IFERROR(IF(B148="Tampa",INDEX(tbl_tampas[Pct_PCR],MATCH(A148,tbl_tampas[CapId],0)),INDEX(tbl_recyclass[Pct_PCR_Corpo],MATCH(A148,tbl_recyclass[ProductId],0))),0)</f>
        <v>0</v>
      </c>
      <c r="J148" s="32">
        <f t="shared" si="7"/>
        <v>0</v>
      </c>
      <c r="K148" s="32">
        <f t="shared" si="8"/>
        <v>270.4008</v>
      </c>
      <c r="L148" s="43">
        <f>IF(C148="ES",K148*INDEX(tbl_param_emb[Valor],MATCH("P-01",tbl_param_emb[ID_Parametro],0)),0)</f>
        <v>0</v>
      </c>
      <c r="M148" s="33" t="str">
        <f>IF(B148="Tampa","Componente",IFERROR(INDEX(tbl_recyclass[Grau_PPWR_Indicativo],MATCH(A148,tbl_recyclass[ProductId],0)),""))</f>
        <v>Abaixo de C</v>
      </c>
    </row>
    <row r="149" spans="1:13" ht="16.05" customHeight="1" x14ac:dyDescent="0.3">
      <c r="A149" s="26" t="s">
        <v>644</v>
      </c>
      <c r="B149" s="26" t="s">
        <v>1470</v>
      </c>
      <c r="C149" s="26" t="s">
        <v>1478</v>
      </c>
      <c r="D149" s="26" t="s">
        <v>1479</v>
      </c>
      <c r="E149" s="39">
        <v>1</v>
      </c>
      <c r="F149" s="37">
        <v>4365</v>
      </c>
      <c r="G149" s="38">
        <f>IFERROR(IF(B149="Tampa",INDEX(tbl_tampas[Massa_g],MATCH(A149,tbl_tampas[CapId],0)),INDEX(tbl_recyclass[Massa_Corpo_g],MATCH(A149,tbl_recyclass[ProductId],0))),0)</f>
        <v>24.4</v>
      </c>
      <c r="H149" s="32">
        <f t="shared" si="6"/>
        <v>106.506</v>
      </c>
      <c r="I149" s="36">
        <f>IFERROR(IF(B149="Tampa",INDEX(tbl_tampas[Pct_PCR],MATCH(A149,tbl_tampas[CapId],0)),INDEX(tbl_recyclass[Pct_PCR_Corpo],MATCH(A149,tbl_recyclass[ProductId],0))),0)</f>
        <v>0</v>
      </c>
      <c r="J149" s="32">
        <f t="shared" si="7"/>
        <v>0</v>
      </c>
      <c r="K149" s="32">
        <f t="shared" si="8"/>
        <v>106.506</v>
      </c>
      <c r="L149" s="43">
        <f>IF(C149="ES",K149*INDEX(tbl_param_emb[Valor],MATCH("P-01",tbl_param_emb[ID_Parametro],0)),0)</f>
        <v>0</v>
      </c>
      <c r="M149" s="33" t="str">
        <f>IF(B149="Tampa","Componente",IFERROR(INDEX(tbl_recyclass[Grau_PPWR_Indicativo],MATCH(A149,tbl_recyclass[ProductId],0)),""))</f>
        <v>Abaixo de C</v>
      </c>
    </row>
    <row r="150" spans="1:13" ht="16.05" customHeight="1" x14ac:dyDescent="0.3">
      <c r="A150" s="26" t="s">
        <v>644</v>
      </c>
      <c r="B150" s="26" t="s">
        <v>1470</v>
      </c>
      <c r="C150" s="26" t="s">
        <v>1480</v>
      </c>
      <c r="D150" s="26" t="s">
        <v>1481</v>
      </c>
      <c r="E150" s="39">
        <v>1</v>
      </c>
      <c r="F150" s="37">
        <v>7533</v>
      </c>
      <c r="G150" s="38">
        <f>IFERROR(IF(B150="Tampa",INDEX(tbl_tampas[Massa_g],MATCH(A150,tbl_tampas[CapId],0)),INDEX(tbl_recyclass[Massa_Corpo_g],MATCH(A150,tbl_recyclass[ProductId],0))),0)</f>
        <v>24.4</v>
      </c>
      <c r="H150" s="32">
        <f t="shared" si="6"/>
        <v>183.80519999999999</v>
      </c>
      <c r="I150" s="36">
        <f>IFERROR(IF(B150="Tampa",INDEX(tbl_tampas[Pct_PCR],MATCH(A150,tbl_tampas[CapId],0)),INDEX(tbl_recyclass[Pct_PCR_Corpo],MATCH(A150,tbl_recyclass[ProductId],0))),0)</f>
        <v>0</v>
      </c>
      <c r="J150" s="32">
        <f t="shared" si="7"/>
        <v>0</v>
      </c>
      <c r="K150" s="32">
        <f t="shared" si="8"/>
        <v>183.80519999999999</v>
      </c>
      <c r="L150" s="43">
        <f>IF(C150="ES",K150*INDEX(tbl_param_emb[Valor],MATCH("P-01",tbl_param_emb[ID_Parametro],0)),0)</f>
        <v>0</v>
      </c>
      <c r="M150" s="33" t="str">
        <f>IF(B150="Tampa","Componente",IFERROR(INDEX(tbl_recyclass[Grau_PPWR_Indicativo],MATCH(A150,tbl_recyclass[ProductId],0)),""))</f>
        <v>Abaixo de C</v>
      </c>
    </row>
    <row r="151" spans="1:13" ht="16.05" customHeight="1" x14ac:dyDescent="0.3">
      <c r="A151" s="26" t="s">
        <v>644</v>
      </c>
      <c r="B151" s="26" t="s">
        <v>1470</v>
      </c>
      <c r="C151" s="26" t="s">
        <v>847</v>
      </c>
      <c r="D151" s="26" t="s">
        <v>1471</v>
      </c>
      <c r="E151" s="39">
        <v>5</v>
      </c>
      <c r="F151" s="37">
        <v>33957</v>
      </c>
      <c r="G151" s="38">
        <f>IFERROR(IF(B151="Tampa",INDEX(tbl_tampas[Massa_g],MATCH(A151,tbl_tampas[CapId],0)),INDEX(tbl_recyclass[Massa_Corpo_g],MATCH(A151,tbl_recyclass[ProductId],0))),0)</f>
        <v>24.4</v>
      </c>
      <c r="H151" s="32">
        <f t="shared" si="6"/>
        <v>828.55079999999998</v>
      </c>
      <c r="I151" s="36">
        <f>IFERROR(IF(B151="Tampa",INDEX(tbl_tampas[Pct_PCR],MATCH(A151,tbl_tampas[CapId],0)),INDEX(tbl_recyclass[Pct_PCR_Corpo],MATCH(A151,tbl_recyclass[ProductId],0))),0)</f>
        <v>0</v>
      </c>
      <c r="J151" s="32">
        <f t="shared" si="7"/>
        <v>0</v>
      </c>
      <c r="K151" s="32">
        <f t="shared" si="8"/>
        <v>828.55079999999998</v>
      </c>
      <c r="L151" s="43">
        <f>IF(C151="ES",K151*INDEX(tbl_param_emb[Valor],MATCH("P-01",tbl_param_emb[ID_Parametro],0)),0)</f>
        <v>0</v>
      </c>
      <c r="M151" s="33" t="str">
        <f>IF(B151="Tampa","Componente",IFERROR(INDEX(tbl_recyclass[Grau_PPWR_Indicativo],MATCH(A151,tbl_recyclass[ProductId],0)),""))</f>
        <v>Abaixo de C</v>
      </c>
    </row>
    <row r="152" spans="1:13" ht="16.05" customHeight="1" x14ac:dyDescent="0.3">
      <c r="A152" s="26" t="s">
        <v>644</v>
      </c>
      <c r="B152" s="26" t="s">
        <v>1470</v>
      </c>
      <c r="C152" s="26" t="s">
        <v>1474</v>
      </c>
      <c r="D152" s="26" t="s">
        <v>1475</v>
      </c>
      <c r="E152" s="39">
        <v>1</v>
      </c>
      <c r="F152" s="37">
        <v>3711</v>
      </c>
      <c r="G152" s="38">
        <f>IFERROR(IF(B152="Tampa",INDEX(tbl_tampas[Massa_g],MATCH(A152,tbl_tampas[CapId],0)),INDEX(tbl_recyclass[Massa_Corpo_g],MATCH(A152,tbl_recyclass[ProductId],0))),0)</f>
        <v>24.4</v>
      </c>
      <c r="H152" s="32">
        <f t="shared" si="6"/>
        <v>90.548400000000001</v>
      </c>
      <c r="I152" s="36">
        <f>IFERROR(IF(B152="Tampa",INDEX(tbl_tampas[Pct_PCR],MATCH(A152,tbl_tampas[CapId],0)),INDEX(tbl_recyclass[Pct_PCR_Corpo],MATCH(A152,tbl_recyclass[ProductId],0))),0)</f>
        <v>0</v>
      </c>
      <c r="J152" s="32">
        <f t="shared" si="7"/>
        <v>0</v>
      </c>
      <c r="K152" s="32">
        <f t="shared" si="8"/>
        <v>90.548400000000001</v>
      </c>
      <c r="L152" s="43">
        <f>IF(C152="ES",K152*INDEX(tbl_param_emb[Valor],MATCH("P-01",tbl_param_emb[ID_Parametro],0)),0)</f>
        <v>40.746780000000001</v>
      </c>
      <c r="M152" s="33" t="str">
        <f>IF(B152="Tampa","Componente",IFERROR(INDEX(tbl_recyclass[Grau_PPWR_Indicativo],MATCH(A152,tbl_recyclass[ProductId],0)),""))</f>
        <v>Abaixo de C</v>
      </c>
    </row>
    <row r="153" spans="1:13" ht="16.05" customHeight="1" x14ac:dyDescent="0.3">
      <c r="A153" s="26" t="s">
        <v>651</v>
      </c>
      <c r="B153" s="26" t="s">
        <v>1470</v>
      </c>
      <c r="C153" s="26" t="s">
        <v>1472</v>
      </c>
      <c r="D153" s="26" t="s">
        <v>1473</v>
      </c>
      <c r="E153" s="39">
        <v>1</v>
      </c>
      <c r="F153" s="37">
        <v>1992</v>
      </c>
      <c r="G153" s="38">
        <f>IFERROR(IF(B153="Tampa",INDEX(tbl_tampas[Massa_g],MATCH(A153,tbl_tampas[CapId],0)),INDEX(tbl_recyclass[Massa_Corpo_g],MATCH(A153,tbl_recyclass[ProductId],0))),0)</f>
        <v>24.4</v>
      </c>
      <c r="H153" s="32">
        <f t="shared" si="6"/>
        <v>48.604799999999997</v>
      </c>
      <c r="I153" s="36">
        <f>IFERROR(IF(B153="Tampa",INDEX(tbl_tampas[Pct_PCR],MATCH(A153,tbl_tampas[CapId],0)),INDEX(tbl_recyclass[Pct_PCR_Corpo],MATCH(A153,tbl_recyclass[ProductId],0))),0)</f>
        <v>0</v>
      </c>
      <c r="J153" s="32">
        <f t="shared" si="7"/>
        <v>0</v>
      </c>
      <c r="K153" s="32">
        <f t="shared" si="8"/>
        <v>48.604799999999997</v>
      </c>
      <c r="L153" s="43">
        <f>IF(C153="ES",K153*INDEX(tbl_param_emb[Valor],MATCH("P-01",tbl_param_emb[ID_Parametro],0)),0)</f>
        <v>0</v>
      </c>
      <c r="M153" s="33" t="str">
        <f>IF(B153="Tampa","Componente",IFERROR(INDEX(tbl_recyclass[Grau_PPWR_Indicativo],MATCH(A153,tbl_recyclass[ProductId],0)),""))</f>
        <v>Não reciclável (F)</v>
      </c>
    </row>
    <row r="154" spans="1:13" ht="16.05" customHeight="1" x14ac:dyDescent="0.3">
      <c r="A154" s="26" t="s">
        <v>651</v>
      </c>
      <c r="B154" s="26" t="s">
        <v>1470</v>
      </c>
      <c r="C154" s="26" t="s">
        <v>1478</v>
      </c>
      <c r="D154" s="26" t="s">
        <v>1479</v>
      </c>
      <c r="E154" s="39">
        <v>1</v>
      </c>
      <c r="F154" s="37">
        <v>9212</v>
      </c>
      <c r="G154" s="38">
        <f>IFERROR(IF(B154="Tampa",INDEX(tbl_tampas[Massa_g],MATCH(A154,tbl_tampas[CapId],0)),INDEX(tbl_recyclass[Massa_Corpo_g],MATCH(A154,tbl_recyclass[ProductId],0))),0)</f>
        <v>24.4</v>
      </c>
      <c r="H154" s="32">
        <f t="shared" si="6"/>
        <v>224.77279999999999</v>
      </c>
      <c r="I154" s="36">
        <f>IFERROR(IF(B154="Tampa",INDEX(tbl_tampas[Pct_PCR],MATCH(A154,tbl_tampas[CapId],0)),INDEX(tbl_recyclass[Pct_PCR_Corpo],MATCH(A154,tbl_recyclass[ProductId],0))),0)</f>
        <v>0</v>
      </c>
      <c r="J154" s="32">
        <f t="shared" si="7"/>
        <v>0</v>
      </c>
      <c r="K154" s="32">
        <f t="shared" si="8"/>
        <v>224.77279999999999</v>
      </c>
      <c r="L154" s="43">
        <f>IF(C154="ES",K154*INDEX(tbl_param_emb[Valor],MATCH("P-01",tbl_param_emb[ID_Parametro],0)),0)</f>
        <v>0</v>
      </c>
      <c r="M154" s="33" t="str">
        <f>IF(B154="Tampa","Componente",IFERROR(INDEX(tbl_recyclass[Grau_PPWR_Indicativo],MATCH(A154,tbl_recyclass[ProductId],0)),""))</f>
        <v>Não reciclável (F)</v>
      </c>
    </row>
    <row r="155" spans="1:13" ht="16.05" customHeight="1" x14ac:dyDescent="0.3">
      <c r="A155" s="26" t="s">
        <v>651</v>
      </c>
      <c r="B155" s="26" t="s">
        <v>1470</v>
      </c>
      <c r="C155" s="26" t="s">
        <v>847</v>
      </c>
      <c r="D155" s="26" t="s">
        <v>1471</v>
      </c>
      <c r="E155" s="39">
        <v>4</v>
      </c>
      <c r="F155" s="37">
        <v>13959</v>
      </c>
      <c r="G155" s="38">
        <f>IFERROR(IF(B155="Tampa",INDEX(tbl_tampas[Massa_g],MATCH(A155,tbl_tampas[CapId],0)),INDEX(tbl_recyclass[Massa_Corpo_g],MATCH(A155,tbl_recyclass[ProductId],0))),0)</f>
        <v>24.4</v>
      </c>
      <c r="H155" s="32">
        <f t="shared" si="6"/>
        <v>340.59959999999995</v>
      </c>
      <c r="I155" s="36">
        <f>IFERROR(IF(B155="Tampa",INDEX(tbl_tampas[Pct_PCR],MATCH(A155,tbl_tampas[CapId],0)),INDEX(tbl_recyclass[Pct_PCR_Corpo],MATCH(A155,tbl_recyclass[ProductId],0))),0)</f>
        <v>0</v>
      </c>
      <c r="J155" s="32">
        <f t="shared" si="7"/>
        <v>0</v>
      </c>
      <c r="K155" s="32">
        <f t="shared" si="8"/>
        <v>340.59959999999995</v>
      </c>
      <c r="L155" s="43">
        <f>IF(C155="ES",K155*INDEX(tbl_param_emb[Valor],MATCH("P-01",tbl_param_emb[ID_Parametro],0)),0)</f>
        <v>0</v>
      </c>
      <c r="M155" s="33" t="str">
        <f>IF(B155="Tampa","Componente",IFERROR(INDEX(tbl_recyclass[Grau_PPWR_Indicativo],MATCH(A155,tbl_recyclass[ProductId],0)),""))</f>
        <v>Não reciclável (F)</v>
      </c>
    </row>
    <row r="156" spans="1:13" ht="16.05" customHeight="1" x14ac:dyDescent="0.3">
      <c r="A156" s="26" t="s">
        <v>675</v>
      </c>
      <c r="B156" s="26" t="s">
        <v>1470</v>
      </c>
      <c r="C156" s="26" t="s">
        <v>1476</v>
      </c>
      <c r="D156" s="26" t="s">
        <v>1477</v>
      </c>
      <c r="E156" s="39">
        <v>1</v>
      </c>
      <c r="F156" s="37">
        <v>3454</v>
      </c>
      <c r="G156" s="38">
        <f>IFERROR(IF(B156="Tampa",INDEX(tbl_tampas[Massa_g],MATCH(A156,tbl_tampas[CapId],0)),INDEX(tbl_recyclass[Massa_Corpo_g],MATCH(A156,tbl_recyclass[ProductId],0))),0)</f>
        <v>24.4</v>
      </c>
      <c r="H156" s="32">
        <f t="shared" si="6"/>
        <v>84.277599999999993</v>
      </c>
      <c r="I156" s="36">
        <f>IFERROR(IF(B156="Tampa",INDEX(tbl_tampas[Pct_PCR],MATCH(A156,tbl_tampas[CapId],0)),INDEX(tbl_recyclass[Pct_PCR_Corpo],MATCH(A156,tbl_recyclass[ProductId],0))),0)</f>
        <v>0.5</v>
      </c>
      <c r="J156" s="32">
        <f t="shared" si="7"/>
        <v>42.138799999999996</v>
      </c>
      <c r="K156" s="32">
        <f t="shared" si="8"/>
        <v>42.138799999999996</v>
      </c>
      <c r="L156" s="43">
        <f>IF(C156="ES",K156*INDEX(tbl_param_emb[Valor],MATCH("P-01",tbl_param_emb[ID_Parametro],0)),0)</f>
        <v>0</v>
      </c>
      <c r="M156" s="33" t="str">
        <f>IF(B156="Tampa","Componente",IFERROR(INDEX(tbl_recyclass[Grau_PPWR_Indicativo],MATCH(A156,tbl_recyclass[ProductId],0)),""))</f>
        <v>Abaixo de C</v>
      </c>
    </row>
    <row r="157" spans="1:13" ht="16.05" customHeight="1" x14ac:dyDescent="0.3">
      <c r="A157" s="26" t="s">
        <v>675</v>
      </c>
      <c r="B157" s="26" t="s">
        <v>1470</v>
      </c>
      <c r="C157" s="26" t="s">
        <v>1472</v>
      </c>
      <c r="D157" s="26" t="s">
        <v>1473</v>
      </c>
      <c r="E157" s="39">
        <v>1</v>
      </c>
      <c r="F157" s="37">
        <v>2952</v>
      </c>
      <c r="G157" s="38">
        <f>IFERROR(IF(B157="Tampa",INDEX(tbl_tampas[Massa_g],MATCH(A157,tbl_tampas[CapId],0)),INDEX(tbl_recyclass[Massa_Corpo_g],MATCH(A157,tbl_recyclass[ProductId],0))),0)</f>
        <v>24.4</v>
      </c>
      <c r="H157" s="32">
        <f t="shared" si="6"/>
        <v>72.028800000000004</v>
      </c>
      <c r="I157" s="36">
        <f>IFERROR(IF(B157="Tampa",INDEX(tbl_tampas[Pct_PCR],MATCH(A157,tbl_tampas[CapId],0)),INDEX(tbl_recyclass[Pct_PCR_Corpo],MATCH(A157,tbl_recyclass[ProductId],0))),0)</f>
        <v>0.5</v>
      </c>
      <c r="J157" s="32">
        <f t="shared" si="7"/>
        <v>36.014400000000002</v>
      </c>
      <c r="K157" s="32">
        <f t="shared" si="8"/>
        <v>36.014400000000002</v>
      </c>
      <c r="L157" s="43">
        <f>IF(C157="ES",K157*INDEX(tbl_param_emb[Valor],MATCH("P-01",tbl_param_emb[ID_Parametro],0)),0)</f>
        <v>0</v>
      </c>
      <c r="M157" s="33" t="str">
        <f>IF(B157="Tampa","Componente",IFERROR(INDEX(tbl_recyclass[Grau_PPWR_Indicativo],MATCH(A157,tbl_recyclass[ProductId],0)),""))</f>
        <v>Abaixo de C</v>
      </c>
    </row>
    <row r="158" spans="1:13" ht="16.05" customHeight="1" x14ac:dyDescent="0.3">
      <c r="A158" s="26" t="s">
        <v>675</v>
      </c>
      <c r="B158" s="26" t="s">
        <v>1470</v>
      </c>
      <c r="C158" s="26" t="s">
        <v>1480</v>
      </c>
      <c r="D158" s="26" t="s">
        <v>1481</v>
      </c>
      <c r="E158" s="39">
        <v>1</v>
      </c>
      <c r="F158" s="37">
        <v>9908</v>
      </c>
      <c r="G158" s="38">
        <f>IFERROR(IF(B158="Tampa",INDEX(tbl_tampas[Massa_g],MATCH(A158,tbl_tampas[CapId],0)),INDEX(tbl_recyclass[Massa_Corpo_g],MATCH(A158,tbl_recyclass[ProductId],0))),0)</f>
        <v>24.4</v>
      </c>
      <c r="H158" s="32">
        <f t="shared" si="6"/>
        <v>241.75519999999997</v>
      </c>
      <c r="I158" s="36">
        <f>IFERROR(IF(B158="Tampa",INDEX(tbl_tampas[Pct_PCR],MATCH(A158,tbl_tampas[CapId],0)),INDEX(tbl_recyclass[Pct_PCR_Corpo],MATCH(A158,tbl_recyclass[ProductId],0))),0)</f>
        <v>0.5</v>
      </c>
      <c r="J158" s="32">
        <f t="shared" si="7"/>
        <v>120.87759999999999</v>
      </c>
      <c r="K158" s="32">
        <f t="shared" si="8"/>
        <v>120.87759999999999</v>
      </c>
      <c r="L158" s="43">
        <f>IF(C158="ES",K158*INDEX(tbl_param_emb[Valor],MATCH("P-01",tbl_param_emb[ID_Parametro],0)),0)</f>
        <v>0</v>
      </c>
      <c r="M158" s="33" t="str">
        <f>IF(B158="Tampa","Componente",IFERROR(INDEX(tbl_recyclass[Grau_PPWR_Indicativo],MATCH(A158,tbl_recyclass[ProductId],0)),""))</f>
        <v>Abaixo de C</v>
      </c>
    </row>
    <row r="159" spans="1:13" ht="16.05" customHeight="1" x14ac:dyDescent="0.3">
      <c r="A159" s="26" t="s">
        <v>675</v>
      </c>
      <c r="B159" s="26" t="s">
        <v>1470</v>
      </c>
      <c r="C159" s="26" t="s">
        <v>847</v>
      </c>
      <c r="D159" s="26" t="s">
        <v>1471</v>
      </c>
      <c r="E159" s="39">
        <v>4</v>
      </c>
      <c r="F159" s="37">
        <v>17063</v>
      </c>
      <c r="G159" s="38">
        <f>IFERROR(IF(B159="Tampa",INDEX(tbl_tampas[Massa_g],MATCH(A159,tbl_tampas[CapId],0)),INDEX(tbl_recyclass[Massa_Corpo_g],MATCH(A159,tbl_recyclass[ProductId],0))),0)</f>
        <v>24.4</v>
      </c>
      <c r="H159" s="32">
        <f t="shared" si="6"/>
        <v>416.33719999999994</v>
      </c>
      <c r="I159" s="36">
        <f>IFERROR(IF(B159="Tampa",INDEX(tbl_tampas[Pct_PCR],MATCH(A159,tbl_tampas[CapId],0)),INDEX(tbl_recyclass[Pct_PCR_Corpo],MATCH(A159,tbl_recyclass[ProductId],0))),0)</f>
        <v>0.5</v>
      </c>
      <c r="J159" s="32">
        <f t="shared" si="7"/>
        <v>208.16859999999997</v>
      </c>
      <c r="K159" s="32">
        <f t="shared" si="8"/>
        <v>208.16859999999997</v>
      </c>
      <c r="L159" s="43">
        <f>IF(C159="ES",K159*INDEX(tbl_param_emb[Valor],MATCH("P-01",tbl_param_emb[ID_Parametro],0)),0)</f>
        <v>0</v>
      </c>
      <c r="M159" s="33" t="str">
        <f>IF(B159="Tampa","Componente",IFERROR(INDEX(tbl_recyclass[Grau_PPWR_Indicativo],MATCH(A159,tbl_recyclass[ProductId],0)),""))</f>
        <v>Abaixo de C</v>
      </c>
    </row>
    <row r="160" spans="1:13" ht="16.05" customHeight="1" x14ac:dyDescent="0.3">
      <c r="A160" s="26" t="s">
        <v>675</v>
      </c>
      <c r="B160" s="26" t="s">
        <v>1470</v>
      </c>
      <c r="C160" s="26" t="s">
        <v>1474</v>
      </c>
      <c r="D160" s="26" t="s">
        <v>1475</v>
      </c>
      <c r="E160" s="39">
        <v>2</v>
      </c>
      <c r="F160" s="37">
        <v>8411</v>
      </c>
      <c r="G160" s="38">
        <f>IFERROR(IF(B160="Tampa",INDEX(tbl_tampas[Massa_g],MATCH(A160,tbl_tampas[CapId],0)),INDEX(tbl_recyclass[Massa_Corpo_g],MATCH(A160,tbl_recyclass[ProductId],0))),0)</f>
        <v>24.4</v>
      </c>
      <c r="H160" s="32">
        <f t="shared" si="6"/>
        <v>205.22839999999999</v>
      </c>
      <c r="I160" s="36">
        <f>IFERROR(IF(B160="Tampa",INDEX(tbl_tampas[Pct_PCR],MATCH(A160,tbl_tampas[CapId],0)),INDEX(tbl_recyclass[Pct_PCR_Corpo],MATCH(A160,tbl_recyclass[ProductId],0))),0)</f>
        <v>0.5</v>
      </c>
      <c r="J160" s="32">
        <f t="shared" si="7"/>
        <v>102.6142</v>
      </c>
      <c r="K160" s="32">
        <f t="shared" si="8"/>
        <v>102.6142</v>
      </c>
      <c r="L160" s="43">
        <f>IF(C160="ES",K160*INDEX(tbl_param_emb[Valor],MATCH("P-01",tbl_param_emb[ID_Parametro],0)),0)</f>
        <v>46.176389999999998</v>
      </c>
      <c r="M160" s="33" t="str">
        <f>IF(B160="Tampa","Componente",IFERROR(INDEX(tbl_recyclass[Grau_PPWR_Indicativo],MATCH(A160,tbl_recyclass[ProductId],0)),""))</f>
        <v>Abaixo de C</v>
      </c>
    </row>
    <row r="161" spans="1:13" ht="16.05" customHeight="1" x14ac:dyDescent="0.3">
      <c r="A161" s="26" t="s">
        <v>677</v>
      </c>
      <c r="B161" s="26" t="s">
        <v>1470</v>
      </c>
      <c r="C161" s="26" t="s">
        <v>1476</v>
      </c>
      <c r="D161" s="26" t="s">
        <v>1477</v>
      </c>
      <c r="E161" s="39">
        <v>1</v>
      </c>
      <c r="F161" s="37">
        <v>27220</v>
      </c>
      <c r="G161" s="38">
        <f>IFERROR(IF(B161="Tampa",INDEX(tbl_tampas[Massa_g],MATCH(A161,tbl_tampas[CapId],0)),INDEX(tbl_recyclass[Massa_Corpo_g],MATCH(A161,tbl_recyclass[ProductId],0))),0)</f>
        <v>26.7</v>
      </c>
      <c r="H161" s="32">
        <f t="shared" si="6"/>
        <v>726.774</v>
      </c>
      <c r="I161" s="36">
        <f>IFERROR(IF(B161="Tampa",INDEX(tbl_tampas[Pct_PCR],MATCH(A161,tbl_tampas[CapId],0)),INDEX(tbl_recyclass[Pct_PCR_Corpo],MATCH(A161,tbl_recyclass[ProductId],0))),0)</f>
        <v>0</v>
      </c>
      <c r="J161" s="32">
        <f t="shared" si="7"/>
        <v>0</v>
      </c>
      <c r="K161" s="32">
        <f t="shared" si="8"/>
        <v>726.774</v>
      </c>
      <c r="L161" s="43">
        <f>IF(C161="ES",K161*INDEX(tbl_param_emb[Valor],MATCH("P-01",tbl_param_emb[ID_Parametro],0)),0)</f>
        <v>0</v>
      </c>
      <c r="M161" s="33" t="str">
        <f>IF(B161="Tampa","Componente",IFERROR(INDEX(tbl_recyclass[Grau_PPWR_Indicativo],MATCH(A161,tbl_recyclass[ProductId],0)),""))</f>
        <v>Abaixo de C</v>
      </c>
    </row>
    <row r="162" spans="1:13" ht="16.05" customHeight="1" x14ac:dyDescent="0.3">
      <c r="A162" s="26" t="s">
        <v>677</v>
      </c>
      <c r="B162" s="26" t="s">
        <v>1470</v>
      </c>
      <c r="C162" s="26" t="s">
        <v>1472</v>
      </c>
      <c r="D162" s="26" t="s">
        <v>1473</v>
      </c>
      <c r="E162" s="39">
        <v>1</v>
      </c>
      <c r="F162" s="37">
        <v>32655</v>
      </c>
      <c r="G162" s="38">
        <f>IFERROR(IF(B162="Tampa",INDEX(tbl_tampas[Massa_g],MATCH(A162,tbl_tampas[CapId],0)),INDEX(tbl_recyclass[Massa_Corpo_g],MATCH(A162,tbl_recyclass[ProductId],0))),0)</f>
        <v>26.7</v>
      </c>
      <c r="H162" s="32">
        <f t="shared" si="6"/>
        <v>871.88850000000002</v>
      </c>
      <c r="I162" s="36">
        <f>IFERROR(IF(B162="Tampa",INDEX(tbl_tampas[Pct_PCR],MATCH(A162,tbl_tampas[CapId],0)),INDEX(tbl_recyclass[Pct_PCR_Corpo],MATCH(A162,tbl_recyclass[ProductId],0))),0)</f>
        <v>0</v>
      </c>
      <c r="J162" s="32">
        <f t="shared" si="7"/>
        <v>0</v>
      </c>
      <c r="K162" s="32">
        <f t="shared" si="8"/>
        <v>871.88850000000002</v>
      </c>
      <c r="L162" s="43">
        <f>IF(C162="ES",K162*INDEX(tbl_param_emb[Valor],MATCH("P-01",tbl_param_emb[ID_Parametro],0)),0)</f>
        <v>0</v>
      </c>
      <c r="M162" s="33" t="str">
        <f>IF(B162="Tampa","Componente",IFERROR(INDEX(tbl_recyclass[Grau_PPWR_Indicativo],MATCH(A162,tbl_recyclass[ProductId],0)),""))</f>
        <v>Abaixo de C</v>
      </c>
    </row>
    <row r="163" spans="1:13" ht="16.05" customHeight="1" x14ac:dyDescent="0.3">
      <c r="A163" s="26" t="s">
        <v>677</v>
      </c>
      <c r="B163" s="26" t="s">
        <v>1470</v>
      </c>
      <c r="C163" s="26" t="s">
        <v>1478</v>
      </c>
      <c r="D163" s="26" t="s">
        <v>1479</v>
      </c>
      <c r="E163" s="39">
        <v>1</v>
      </c>
      <c r="F163" s="37">
        <v>37493</v>
      </c>
      <c r="G163" s="38">
        <f>IFERROR(IF(B163="Tampa",INDEX(tbl_tampas[Massa_g],MATCH(A163,tbl_tampas[CapId],0)),INDEX(tbl_recyclass[Massa_Corpo_g],MATCH(A163,tbl_recyclass[ProductId],0))),0)</f>
        <v>26.7</v>
      </c>
      <c r="H163" s="32">
        <f t="shared" si="6"/>
        <v>1001.0631</v>
      </c>
      <c r="I163" s="36">
        <f>IFERROR(IF(B163="Tampa",INDEX(tbl_tampas[Pct_PCR],MATCH(A163,tbl_tampas[CapId],0)),INDEX(tbl_recyclass[Pct_PCR_Corpo],MATCH(A163,tbl_recyclass[ProductId],0))),0)</f>
        <v>0</v>
      </c>
      <c r="J163" s="32">
        <f t="shared" si="7"/>
        <v>0</v>
      </c>
      <c r="K163" s="32">
        <f t="shared" si="8"/>
        <v>1001.0631</v>
      </c>
      <c r="L163" s="43">
        <f>IF(C163="ES",K163*INDEX(tbl_param_emb[Valor],MATCH("P-01",tbl_param_emb[ID_Parametro],0)),0)</f>
        <v>0</v>
      </c>
      <c r="M163" s="33" t="str">
        <f>IF(B163="Tampa","Componente",IFERROR(INDEX(tbl_recyclass[Grau_PPWR_Indicativo],MATCH(A163,tbl_recyclass[ProductId],0)),""))</f>
        <v>Abaixo de C</v>
      </c>
    </row>
    <row r="164" spans="1:13" ht="16.05" customHeight="1" x14ac:dyDescent="0.3">
      <c r="A164" s="26" t="s">
        <v>677</v>
      </c>
      <c r="B164" s="26" t="s">
        <v>1470</v>
      </c>
      <c r="C164" s="26" t="s">
        <v>1480</v>
      </c>
      <c r="D164" s="26" t="s">
        <v>1481</v>
      </c>
      <c r="E164" s="39">
        <v>1</v>
      </c>
      <c r="F164" s="37">
        <v>47892</v>
      </c>
      <c r="G164" s="38">
        <f>IFERROR(IF(B164="Tampa",INDEX(tbl_tampas[Massa_g],MATCH(A164,tbl_tampas[CapId],0)),INDEX(tbl_recyclass[Massa_Corpo_g],MATCH(A164,tbl_recyclass[ProductId],0))),0)</f>
        <v>26.7</v>
      </c>
      <c r="H164" s="32">
        <f t="shared" si="6"/>
        <v>1278.7163999999998</v>
      </c>
      <c r="I164" s="36">
        <f>IFERROR(IF(B164="Tampa",INDEX(tbl_tampas[Pct_PCR],MATCH(A164,tbl_tampas[CapId],0)),INDEX(tbl_recyclass[Pct_PCR_Corpo],MATCH(A164,tbl_recyclass[ProductId],0))),0)</f>
        <v>0</v>
      </c>
      <c r="J164" s="32">
        <f t="shared" si="7"/>
        <v>0</v>
      </c>
      <c r="K164" s="32">
        <f t="shared" si="8"/>
        <v>1278.7163999999998</v>
      </c>
      <c r="L164" s="43">
        <f>IF(C164="ES",K164*INDEX(tbl_param_emb[Valor],MATCH("P-01",tbl_param_emb[ID_Parametro],0)),0)</f>
        <v>0</v>
      </c>
      <c r="M164" s="33" t="str">
        <f>IF(B164="Tampa","Componente",IFERROR(INDEX(tbl_recyclass[Grau_PPWR_Indicativo],MATCH(A164,tbl_recyclass[ProductId],0)),""))</f>
        <v>Abaixo de C</v>
      </c>
    </row>
    <row r="165" spans="1:13" ht="16.05" customHeight="1" x14ac:dyDescent="0.3">
      <c r="A165" s="26" t="s">
        <v>677</v>
      </c>
      <c r="B165" s="26" t="s">
        <v>1470</v>
      </c>
      <c r="C165" s="26" t="s">
        <v>847</v>
      </c>
      <c r="D165" s="26" t="s">
        <v>1471</v>
      </c>
      <c r="E165" s="39">
        <v>8</v>
      </c>
      <c r="F165" s="37">
        <v>275787</v>
      </c>
      <c r="G165" s="38">
        <f>IFERROR(IF(B165="Tampa",INDEX(tbl_tampas[Massa_g],MATCH(A165,tbl_tampas[CapId],0)),INDEX(tbl_recyclass[Massa_Corpo_g],MATCH(A165,tbl_recyclass[ProductId],0))),0)</f>
        <v>26.7</v>
      </c>
      <c r="H165" s="32">
        <f t="shared" si="6"/>
        <v>7363.5128999999997</v>
      </c>
      <c r="I165" s="36">
        <f>IFERROR(IF(B165="Tampa",INDEX(tbl_tampas[Pct_PCR],MATCH(A165,tbl_tampas[CapId],0)),INDEX(tbl_recyclass[Pct_PCR_Corpo],MATCH(A165,tbl_recyclass[ProductId],0))),0)</f>
        <v>0</v>
      </c>
      <c r="J165" s="32">
        <f t="shared" si="7"/>
        <v>0</v>
      </c>
      <c r="K165" s="32">
        <f t="shared" si="8"/>
        <v>7363.5128999999997</v>
      </c>
      <c r="L165" s="43">
        <f>IF(C165="ES",K165*INDEX(tbl_param_emb[Valor],MATCH("P-01",tbl_param_emb[ID_Parametro],0)),0)</f>
        <v>0</v>
      </c>
      <c r="M165" s="33" t="str">
        <f>IF(B165="Tampa","Componente",IFERROR(INDEX(tbl_recyclass[Grau_PPWR_Indicativo],MATCH(A165,tbl_recyclass[ProductId],0)),""))</f>
        <v>Abaixo de C</v>
      </c>
    </row>
    <row r="166" spans="1:13" ht="16.05" customHeight="1" x14ac:dyDescent="0.3">
      <c r="A166" s="26" t="s">
        <v>677</v>
      </c>
      <c r="B166" s="26" t="s">
        <v>1470</v>
      </c>
      <c r="C166" s="26" t="s">
        <v>1474</v>
      </c>
      <c r="D166" s="26" t="s">
        <v>1475</v>
      </c>
      <c r="E166" s="39">
        <v>2</v>
      </c>
      <c r="F166" s="37">
        <v>56746</v>
      </c>
      <c r="G166" s="38">
        <f>IFERROR(IF(B166="Tampa",INDEX(tbl_tampas[Massa_g],MATCH(A166,tbl_tampas[CapId],0)),INDEX(tbl_recyclass[Massa_Corpo_g],MATCH(A166,tbl_recyclass[ProductId],0))),0)</f>
        <v>26.7</v>
      </c>
      <c r="H166" s="32">
        <f t="shared" si="6"/>
        <v>1515.1181999999999</v>
      </c>
      <c r="I166" s="36">
        <f>IFERROR(IF(B166="Tampa",INDEX(tbl_tampas[Pct_PCR],MATCH(A166,tbl_tampas[CapId],0)),INDEX(tbl_recyclass[Pct_PCR_Corpo],MATCH(A166,tbl_recyclass[ProductId],0))),0)</f>
        <v>0</v>
      </c>
      <c r="J166" s="32">
        <f t="shared" si="7"/>
        <v>0</v>
      </c>
      <c r="K166" s="32">
        <f t="shared" si="8"/>
        <v>1515.1181999999999</v>
      </c>
      <c r="L166" s="43">
        <f>IF(C166="ES",K166*INDEX(tbl_param_emb[Valor],MATCH("P-01",tbl_param_emb[ID_Parametro],0)),0)</f>
        <v>681.80318999999997</v>
      </c>
      <c r="M166" s="33" t="str">
        <f>IF(B166="Tampa","Componente",IFERROR(INDEX(tbl_recyclass[Grau_PPWR_Indicativo],MATCH(A166,tbl_recyclass[ProductId],0)),""))</f>
        <v>Abaixo de C</v>
      </c>
    </row>
    <row r="167" spans="1:13" ht="16.05" customHeight="1" x14ac:dyDescent="0.3">
      <c r="A167" s="26" t="s">
        <v>837</v>
      </c>
      <c r="B167" s="26" t="s">
        <v>1470</v>
      </c>
      <c r="C167" s="26" t="s">
        <v>1476</v>
      </c>
      <c r="D167" s="26" t="s">
        <v>1477</v>
      </c>
      <c r="E167" s="39">
        <v>1</v>
      </c>
      <c r="F167" s="37">
        <v>20556</v>
      </c>
      <c r="G167" s="38">
        <f>IFERROR(IF(B167="Tampa",INDEX(tbl_tampas[Massa_g],MATCH(A167,tbl_tampas[CapId],0)),INDEX(tbl_recyclass[Massa_Corpo_g],MATCH(A167,tbl_recyclass[ProductId],0))),0)</f>
        <v>26.7</v>
      </c>
      <c r="H167" s="32">
        <f t="shared" si="6"/>
        <v>548.84519999999998</v>
      </c>
      <c r="I167" s="36">
        <f>IFERROR(IF(B167="Tampa",INDEX(tbl_tampas[Pct_PCR],MATCH(A167,tbl_tampas[CapId],0)),INDEX(tbl_recyclass[Pct_PCR_Corpo],MATCH(A167,tbl_recyclass[ProductId],0))),0)</f>
        <v>0</v>
      </c>
      <c r="J167" s="32">
        <f t="shared" si="7"/>
        <v>0</v>
      </c>
      <c r="K167" s="32">
        <f t="shared" si="8"/>
        <v>548.84519999999998</v>
      </c>
      <c r="L167" s="43">
        <f>IF(C167="ES",K167*INDEX(tbl_param_emb[Valor],MATCH("P-01",tbl_param_emb[ID_Parametro],0)),0)</f>
        <v>0</v>
      </c>
      <c r="M167" s="33" t="str">
        <f>IF(B167="Tampa","Componente",IFERROR(INDEX(tbl_recyclass[Grau_PPWR_Indicativo],MATCH(A167,tbl_recyclass[ProductId],0)),""))</f>
        <v>Abaixo de C</v>
      </c>
    </row>
    <row r="168" spans="1:13" ht="16.05" customHeight="1" x14ac:dyDescent="0.3">
      <c r="A168" s="26" t="s">
        <v>837</v>
      </c>
      <c r="B168" s="26" t="s">
        <v>1470</v>
      </c>
      <c r="C168" s="26" t="s">
        <v>1472</v>
      </c>
      <c r="D168" s="26" t="s">
        <v>1473</v>
      </c>
      <c r="E168" s="39">
        <v>1</v>
      </c>
      <c r="F168" s="37">
        <v>23834</v>
      </c>
      <c r="G168" s="38">
        <f>IFERROR(IF(B168="Tampa",INDEX(tbl_tampas[Massa_g],MATCH(A168,tbl_tampas[CapId],0)),INDEX(tbl_recyclass[Massa_Corpo_g],MATCH(A168,tbl_recyclass[ProductId],0))),0)</f>
        <v>26.7</v>
      </c>
      <c r="H168" s="32">
        <f t="shared" si="6"/>
        <v>636.36779999999987</v>
      </c>
      <c r="I168" s="36">
        <f>IFERROR(IF(B168="Tampa",INDEX(tbl_tampas[Pct_PCR],MATCH(A168,tbl_tampas[CapId],0)),INDEX(tbl_recyclass[Pct_PCR_Corpo],MATCH(A168,tbl_recyclass[ProductId],0))),0)</f>
        <v>0</v>
      </c>
      <c r="J168" s="32">
        <f t="shared" si="7"/>
        <v>0</v>
      </c>
      <c r="K168" s="32">
        <f t="shared" si="8"/>
        <v>636.36779999999987</v>
      </c>
      <c r="L168" s="43">
        <f>IF(C168="ES",K168*INDEX(tbl_param_emb[Valor],MATCH("P-01",tbl_param_emb[ID_Parametro],0)),0)</f>
        <v>0</v>
      </c>
      <c r="M168" s="33" t="str">
        <f>IF(B168="Tampa","Componente",IFERROR(INDEX(tbl_recyclass[Grau_PPWR_Indicativo],MATCH(A168,tbl_recyclass[ProductId],0)),""))</f>
        <v>Abaixo de C</v>
      </c>
    </row>
    <row r="169" spans="1:13" ht="16.05" customHeight="1" x14ac:dyDescent="0.3">
      <c r="A169" s="26" t="s">
        <v>837</v>
      </c>
      <c r="B169" s="26" t="s">
        <v>1470</v>
      </c>
      <c r="C169" s="26" t="s">
        <v>1478</v>
      </c>
      <c r="D169" s="26" t="s">
        <v>1479</v>
      </c>
      <c r="E169" s="39">
        <v>1</v>
      </c>
      <c r="F169" s="37">
        <v>32293</v>
      </c>
      <c r="G169" s="38">
        <f>IFERROR(IF(B169="Tampa",INDEX(tbl_tampas[Massa_g],MATCH(A169,tbl_tampas[CapId],0)),INDEX(tbl_recyclass[Massa_Corpo_g],MATCH(A169,tbl_recyclass[ProductId],0))),0)</f>
        <v>26.7</v>
      </c>
      <c r="H169" s="32">
        <f t="shared" si="6"/>
        <v>862.22309999999993</v>
      </c>
      <c r="I169" s="36">
        <f>IFERROR(IF(B169="Tampa",INDEX(tbl_tampas[Pct_PCR],MATCH(A169,tbl_tampas[CapId],0)),INDEX(tbl_recyclass[Pct_PCR_Corpo],MATCH(A169,tbl_recyclass[ProductId],0))),0)</f>
        <v>0</v>
      </c>
      <c r="J169" s="32">
        <f t="shared" si="7"/>
        <v>0</v>
      </c>
      <c r="K169" s="32">
        <f t="shared" si="8"/>
        <v>862.22309999999993</v>
      </c>
      <c r="L169" s="43">
        <f>IF(C169="ES",K169*INDEX(tbl_param_emb[Valor],MATCH("P-01",tbl_param_emb[ID_Parametro],0)),0)</f>
        <v>0</v>
      </c>
      <c r="M169" s="33" t="str">
        <f>IF(B169="Tampa","Componente",IFERROR(INDEX(tbl_recyclass[Grau_PPWR_Indicativo],MATCH(A169,tbl_recyclass[ProductId],0)),""))</f>
        <v>Abaixo de C</v>
      </c>
    </row>
    <row r="170" spans="1:13" ht="16.05" customHeight="1" x14ac:dyDescent="0.3">
      <c r="A170" s="26" t="s">
        <v>837</v>
      </c>
      <c r="B170" s="26" t="s">
        <v>1470</v>
      </c>
      <c r="C170" s="26" t="s">
        <v>1480</v>
      </c>
      <c r="D170" s="26" t="s">
        <v>1481</v>
      </c>
      <c r="E170" s="39">
        <v>1</v>
      </c>
      <c r="F170" s="37">
        <v>38553</v>
      </c>
      <c r="G170" s="38">
        <f>IFERROR(IF(B170="Tampa",INDEX(tbl_tampas[Massa_g],MATCH(A170,tbl_tampas[CapId],0)),INDEX(tbl_recyclass[Massa_Corpo_g],MATCH(A170,tbl_recyclass[ProductId],0))),0)</f>
        <v>26.7</v>
      </c>
      <c r="H170" s="32">
        <f t="shared" si="6"/>
        <v>1029.3651</v>
      </c>
      <c r="I170" s="36">
        <f>IFERROR(IF(B170="Tampa",INDEX(tbl_tampas[Pct_PCR],MATCH(A170,tbl_tampas[CapId],0)),INDEX(tbl_recyclass[Pct_PCR_Corpo],MATCH(A170,tbl_recyclass[ProductId],0))),0)</f>
        <v>0</v>
      </c>
      <c r="J170" s="32">
        <f t="shared" si="7"/>
        <v>0</v>
      </c>
      <c r="K170" s="32">
        <f t="shared" si="8"/>
        <v>1029.3651</v>
      </c>
      <c r="L170" s="43">
        <f>IF(C170="ES",K170*INDEX(tbl_param_emb[Valor],MATCH("P-01",tbl_param_emb[ID_Parametro],0)),0)</f>
        <v>0</v>
      </c>
      <c r="M170" s="33" t="str">
        <f>IF(B170="Tampa","Componente",IFERROR(INDEX(tbl_recyclass[Grau_PPWR_Indicativo],MATCH(A170,tbl_recyclass[ProductId],0)),""))</f>
        <v>Abaixo de C</v>
      </c>
    </row>
    <row r="171" spans="1:13" ht="16.05" customHeight="1" x14ac:dyDescent="0.3">
      <c r="A171" s="26" t="s">
        <v>837</v>
      </c>
      <c r="B171" s="26" t="s">
        <v>1470</v>
      </c>
      <c r="C171" s="26" t="s">
        <v>847</v>
      </c>
      <c r="D171" s="26" t="s">
        <v>1471</v>
      </c>
      <c r="E171" s="39">
        <v>8</v>
      </c>
      <c r="F171" s="37">
        <v>258891</v>
      </c>
      <c r="G171" s="38">
        <f>IFERROR(IF(B171="Tampa",INDEX(tbl_tampas[Massa_g],MATCH(A171,tbl_tampas[CapId],0)),INDEX(tbl_recyclass[Massa_Corpo_g],MATCH(A171,tbl_recyclass[ProductId],0))),0)</f>
        <v>26.7</v>
      </c>
      <c r="H171" s="32">
        <f t="shared" si="6"/>
        <v>6912.3897000000006</v>
      </c>
      <c r="I171" s="36">
        <f>IFERROR(IF(B171="Tampa",INDEX(tbl_tampas[Pct_PCR],MATCH(A171,tbl_tampas[CapId],0)),INDEX(tbl_recyclass[Pct_PCR_Corpo],MATCH(A171,tbl_recyclass[ProductId],0))),0)</f>
        <v>0</v>
      </c>
      <c r="J171" s="32">
        <f t="shared" si="7"/>
        <v>0</v>
      </c>
      <c r="K171" s="32">
        <f t="shared" si="8"/>
        <v>6912.3897000000006</v>
      </c>
      <c r="L171" s="43">
        <f>IF(C171="ES",K171*INDEX(tbl_param_emb[Valor],MATCH("P-01",tbl_param_emb[ID_Parametro],0)),0)</f>
        <v>0</v>
      </c>
      <c r="M171" s="33" t="str">
        <f>IF(B171="Tampa","Componente",IFERROR(INDEX(tbl_recyclass[Grau_PPWR_Indicativo],MATCH(A171,tbl_recyclass[ProductId],0)),""))</f>
        <v>Abaixo de C</v>
      </c>
    </row>
    <row r="172" spans="1:13" ht="16.05" customHeight="1" x14ac:dyDescent="0.3">
      <c r="A172" s="26" t="s">
        <v>837</v>
      </c>
      <c r="B172" s="26" t="s">
        <v>1470</v>
      </c>
      <c r="C172" s="26" t="s">
        <v>1474</v>
      </c>
      <c r="D172" s="26" t="s">
        <v>1475</v>
      </c>
      <c r="E172" s="39">
        <v>2</v>
      </c>
      <c r="F172" s="37">
        <v>62530</v>
      </c>
      <c r="G172" s="38">
        <f>IFERROR(IF(B172="Tampa",INDEX(tbl_tampas[Massa_g],MATCH(A172,tbl_tampas[CapId],0)),INDEX(tbl_recyclass[Massa_Corpo_g],MATCH(A172,tbl_recyclass[ProductId],0))),0)</f>
        <v>26.7</v>
      </c>
      <c r="H172" s="32">
        <f t="shared" si="6"/>
        <v>1669.5509999999999</v>
      </c>
      <c r="I172" s="36">
        <f>IFERROR(IF(B172="Tampa",INDEX(tbl_tampas[Pct_PCR],MATCH(A172,tbl_tampas[CapId],0)),INDEX(tbl_recyclass[Pct_PCR_Corpo],MATCH(A172,tbl_recyclass[ProductId],0))),0)</f>
        <v>0</v>
      </c>
      <c r="J172" s="32">
        <f t="shared" si="7"/>
        <v>0</v>
      </c>
      <c r="K172" s="32">
        <f t="shared" si="8"/>
        <v>1669.5509999999999</v>
      </c>
      <c r="L172" s="43">
        <f>IF(C172="ES",K172*INDEX(tbl_param_emb[Valor],MATCH("P-01",tbl_param_emb[ID_Parametro],0)),0)</f>
        <v>751.29795000000001</v>
      </c>
      <c r="M172" s="33" t="str">
        <f>IF(B172="Tampa","Componente",IFERROR(INDEX(tbl_recyclass[Grau_PPWR_Indicativo],MATCH(A172,tbl_recyclass[ProductId],0)),""))</f>
        <v>Abaixo de C</v>
      </c>
    </row>
    <row r="173" spans="1:13" ht="16.05" customHeight="1" x14ac:dyDescent="0.3">
      <c r="A173" s="26" t="s">
        <v>839</v>
      </c>
      <c r="B173" s="26" t="s">
        <v>1470</v>
      </c>
      <c r="C173" s="26" t="s">
        <v>1476</v>
      </c>
      <c r="D173" s="26" t="s">
        <v>1477</v>
      </c>
      <c r="E173" s="39">
        <v>1</v>
      </c>
      <c r="F173" s="37">
        <v>19996</v>
      </c>
      <c r="G173" s="38">
        <f>IFERROR(IF(B173="Tampa",INDEX(tbl_tampas[Massa_g],MATCH(A173,tbl_tampas[CapId],0)),INDEX(tbl_recyclass[Massa_Corpo_g],MATCH(A173,tbl_recyclass[ProductId],0))),0)</f>
        <v>26.7</v>
      </c>
      <c r="H173" s="32">
        <f t="shared" si="6"/>
        <v>533.89319999999998</v>
      </c>
      <c r="I173" s="36">
        <f>IFERROR(IF(B173="Tampa",INDEX(tbl_tampas[Pct_PCR],MATCH(A173,tbl_tampas[CapId],0)),INDEX(tbl_recyclass[Pct_PCR_Corpo],MATCH(A173,tbl_recyclass[ProductId],0))),0)</f>
        <v>0</v>
      </c>
      <c r="J173" s="32">
        <f t="shared" si="7"/>
        <v>0</v>
      </c>
      <c r="K173" s="32">
        <f t="shared" si="8"/>
        <v>533.89319999999998</v>
      </c>
      <c r="L173" s="43">
        <f>IF(C173="ES",K173*INDEX(tbl_param_emb[Valor],MATCH("P-01",tbl_param_emb[ID_Parametro],0)),0)</f>
        <v>0</v>
      </c>
      <c r="M173" s="33" t="str">
        <f>IF(B173="Tampa","Componente",IFERROR(INDEX(tbl_recyclass[Grau_PPWR_Indicativo],MATCH(A173,tbl_recyclass[ProductId],0)),""))</f>
        <v>Abaixo de C</v>
      </c>
    </row>
    <row r="174" spans="1:13" ht="16.05" customHeight="1" x14ac:dyDescent="0.3">
      <c r="A174" s="26" t="s">
        <v>839</v>
      </c>
      <c r="B174" s="26" t="s">
        <v>1470</v>
      </c>
      <c r="C174" s="26" t="s">
        <v>1472</v>
      </c>
      <c r="D174" s="26" t="s">
        <v>1473</v>
      </c>
      <c r="E174" s="39">
        <v>1</v>
      </c>
      <c r="F174" s="37">
        <v>47076</v>
      </c>
      <c r="G174" s="38">
        <f>IFERROR(IF(B174="Tampa",INDEX(tbl_tampas[Massa_g],MATCH(A174,tbl_tampas[CapId],0)),INDEX(tbl_recyclass[Massa_Corpo_g],MATCH(A174,tbl_recyclass[ProductId],0))),0)</f>
        <v>26.7</v>
      </c>
      <c r="H174" s="32">
        <f t="shared" si="6"/>
        <v>1256.9292</v>
      </c>
      <c r="I174" s="36">
        <f>IFERROR(IF(B174="Tampa",INDEX(tbl_tampas[Pct_PCR],MATCH(A174,tbl_tampas[CapId],0)),INDEX(tbl_recyclass[Pct_PCR_Corpo],MATCH(A174,tbl_recyclass[ProductId],0))),0)</f>
        <v>0</v>
      </c>
      <c r="J174" s="32">
        <f t="shared" si="7"/>
        <v>0</v>
      </c>
      <c r="K174" s="32">
        <f t="shared" si="8"/>
        <v>1256.9292</v>
      </c>
      <c r="L174" s="43">
        <f>IF(C174="ES",K174*INDEX(tbl_param_emb[Valor],MATCH("P-01",tbl_param_emb[ID_Parametro],0)),0)</f>
        <v>0</v>
      </c>
      <c r="M174" s="33" t="str">
        <f>IF(B174="Tampa","Componente",IFERROR(INDEX(tbl_recyclass[Grau_PPWR_Indicativo],MATCH(A174,tbl_recyclass[ProductId],0)),""))</f>
        <v>Abaixo de C</v>
      </c>
    </row>
    <row r="175" spans="1:13" ht="16.05" customHeight="1" x14ac:dyDescent="0.3">
      <c r="A175" s="26" t="s">
        <v>839</v>
      </c>
      <c r="B175" s="26" t="s">
        <v>1470</v>
      </c>
      <c r="C175" s="26" t="s">
        <v>1478</v>
      </c>
      <c r="D175" s="26" t="s">
        <v>1479</v>
      </c>
      <c r="E175" s="39">
        <v>1</v>
      </c>
      <c r="F175" s="37">
        <v>49548</v>
      </c>
      <c r="G175" s="38">
        <f>IFERROR(IF(B175="Tampa",INDEX(tbl_tampas[Massa_g],MATCH(A175,tbl_tampas[CapId],0)),INDEX(tbl_recyclass[Massa_Corpo_g],MATCH(A175,tbl_recyclass[ProductId],0))),0)</f>
        <v>26.7</v>
      </c>
      <c r="H175" s="32">
        <f t="shared" si="6"/>
        <v>1322.9315999999999</v>
      </c>
      <c r="I175" s="36">
        <f>IFERROR(IF(B175="Tampa",INDEX(tbl_tampas[Pct_PCR],MATCH(A175,tbl_tampas[CapId],0)),INDEX(tbl_recyclass[Pct_PCR_Corpo],MATCH(A175,tbl_recyclass[ProductId],0))),0)</f>
        <v>0</v>
      </c>
      <c r="J175" s="32">
        <f t="shared" si="7"/>
        <v>0</v>
      </c>
      <c r="K175" s="32">
        <f t="shared" si="8"/>
        <v>1322.9315999999999</v>
      </c>
      <c r="L175" s="43">
        <f>IF(C175="ES",K175*INDEX(tbl_param_emb[Valor],MATCH("P-01",tbl_param_emb[ID_Parametro],0)),0)</f>
        <v>0</v>
      </c>
      <c r="M175" s="33" t="str">
        <f>IF(B175="Tampa","Componente",IFERROR(INDEX(tbl_recyclass[Grau_PPWR_Indicativo],MATCH(A175,tbl_recyclass[ProductId],0)),""))</f>
        <v>Abaixo de C</v>
      </c>
    </row>
    <row r="176" spans="1:13" ht="16.05" customHeight="1" x14ac:dyDescent="0.3">
      <c r="A176" s="26" t="s">
        <v>839</v>
      </c>
      <c r="B176" s="26" t="s">
        <v>1470</v>
      </c>
      <c r="C176" s="26" t="s">
        <v>1480</v>
      </c>
      <c r="D176" s="26" t="s">
        <v>1481</v>
      </c>
      <c r="E176" s="39">
        <v>1</v>
      </c>
      <c r="F176" s="37">
        <v>49557</v>
      </c>
      <c r="G176" s="38">
        <f>IFERROR(IF(B176="Tampa",INDEX(tbl_tampas[Massa_g],MATCH(A176,tbl_tampas[CapId],0)),INDEX(tbl_recyclass[Massa_Corpo_g],MATCH(A176,tbl_recyclass[ProductId],0))),0)</f>
        <v>26.7</v>
      </c>
      <c r="H176" s="32">
        <f t="shared" si="6"/>
        <v>1323.1718999999998</v>
      </c>
      <c r="I176" s="36">
        <f>IFERROR(IF(B176="Tampa",INDEX(tbl_tampas[Pct_PCR],MATCH(A176,tbl_tampas[CapId],0)),INDEX(tbl_recyclass[Pct_PCR_Corpo],MATCH(A176,tbl_recyclass[ProductId],0))),0)</f>
        <v>0</v>
      </c>
      <c r="J176" s="32">
        <f t="shared" si="7"/>
        <v>0</v>
      </c>
      <c r="K176" s="32">
        <f t="shared" si="8"/>
        <v>1323.1718999999998</v>
      </c>
      <c r="L176" s="43">
        <f>IF(C176="ES",K176*INDEX(tbl_param_emb[Valor],MATCH("P-01",tbl_param_emb[ID_Parametro],0)),0)</f>
        <v>0</v>
      </c>
      <c r="M176" s="33" t="str">
        <f>IF(B176="Tampa","Componente",IFERROR(INDEX(tbl_recyclass[Grau_PPWR_Indicativo],MATCH(A176,tbl_recyclass[ProductId],0)),""))</f>
        <v>Abaixo de C</v>
      </c>
    </row>
    <row r="177" spans="1:13" ht="16.05" customHeight="1" x14ac:dyDescent="0.3">
      <c r="A177" s="26" t="s">
        <v>839</v>
      </c>
      <c r="B177" s="26" t="s">
        <v>1470</v>
      </c>
      <c r="C177" s="26" t="s">
        <v>847</v>
      </c>
      <c r="D177" s="26" t="s">
        <v>1471</v>
      </c>
      <c r="E177" s="39">
        <v>8</v>
      </c>
      <c r="F177" s="37">
        <v>285290</v>
      </c>
      <c r="G177" s="38">
        <f>IFERROR(IF(B177="Tampa",INDEX(tbl_tampas[Massa_g],MATCH(A177,tbl_tampas[CapId],0)),INDEX(tbl_recyclass[Massa_Corpo_g],MATCH(A177,tbl_recyclass[ProductId],0))),0)</f>
        <v>26.7</v>
      </c>
      <c r="H177" s="32">
        <f t="shared" si="6"/>
        <v>7617.2430000000004</v>
      </c>
      <c r="I177" s="36">
        <f>IFERROR(IF(B177="Tampa",INDEX(tbl_tampas[Pct_PCR],MATCH(A177,tbl_tampas[CapId],0)),INDEX(tbl_recyclass[Pct_PCR_Corpo],MATCH(A177,tbl_recyclass[ProductId],0))),0)</f>
        <v>0</v>
      </c>
      <c r="J177" s="32">
        <f t="shared" si="7"/>
        <v>0</v>
      </c>
      <c r="K177" s="32">
        <f t="shared" si="8"/>
        <v>7617.2430000000004</v>
      </c>
      <c r="L177" s="43">
        <f>IF(C177="ES",K177*INDEX(tbl_param_emb[Valor],MATCH("P-01",tbl_param_emb[ID_Parametro],0)),0)</f>
        <v>0</v>
      </c>
      <c r="M177" s="33" t="str">
        <f>IF(B177="Tampa","Componente",IFERROR(INDEX(tbl_recyclass[Grau_PPWR_Indicativo],MATCH(A177,tbl_recyclass[ProductId],0)),""))</f>
        <v>Abaixo de C</v>
      </c>
    </row>
    <row r="178" spans="1:13" ht="16.05" customHeight="1" x14ac:dyDescent="0.3">
      <c r="A178" s="26" t="s">
        <v>839</v>
      </c>
      <c r="B178" s="26" t="s">
        <v>1470</v>
      </c>
      <c r="C178" s="26" t="s">
        <v>1474</v>
      </c>
      <c r="D178" s="26" t="s">
        <v>1475</v>
      </c>
      <c r="E178" s="39">
        <v>2</v>
      </c>
      <c r="F178" s="37">
        <v>86093</v>
      </c>
      <c r="G178" s="38">
        <f>IFERROR(IF(B178="Tampa",INDEX(tbl_tampas[Massa_g],MATCH(A178,tbl_tampas[CapId],0)),INDEX(tbl_recyclass[Massa_Corpo_g],MATCH(A178,tbl_recyclass[ProductId],0))),0)</f>
        <v>26.7</v>
      </c>
      <c r="H178" s="32">
        <f t="shared" si="6"/>
        <v>2298.6831000000002</v>
      </c>
      <c r="I178" s="36">
        <f>IFERROR(IF(B178="Tampa",INDEX(tbl_tampas[Pct_PCR],MATCH(A178,tbl_tampas[CapId],0)),INDEX(tbl_recyclass[Pct_PCR_Corpo],MATCH(A178,tbl_recyclass[ProductId],0))),0)</f>
        <v>0</v>
      </c>
      <c r="J178" s="32">
        <f t="shared" si="7"/>
        <v>0</v>
      </c>
      <c r="K178" s="32">
        <f t="shared" si="8"/>
        <v>2298.6831000000002</v>
      </c>
      <c r="L178" s="43">
        <f>IF(C178="ES",K178*INDEX(tbl_param_emb[Valor],MATCH("P-01",tbl_param_emb[ID_Parametro],0)),0)</f>
        <v>1034.4073950000002</v>
      </c>
      <c r="M178" s="33" t="str">
        <f>IF(B178="Tampa","Componente",IFERROR(INDEX(tbl_recyclass[Grau_PPWR_Indicativo],MATCH(A178,tbl_recyclass[ProductId],0)),""))</f>
        <v>Abaixo de C</v>
      </c>
    </row>
    <row r="179" spans="1:13" ht="16.05" customHeight="1" x14ac:dyDescent="0.3">
      <c r="A179" s="26" t="s">
        <v>681</v>
      </c>
      <c r="B179" s="26" t="s">
        <v>1470</v>
      </c>
      <c r="C179" s="26" t="s">
        <v>1476</v>
      </c>
      <c r="D179" s="26" t="s">
        <v>1477</v>
      </c>
      <c r="E179" s="39">
        <v>1</v>
      </c>
      <c r="F179" s="37">
        <v>7769</v>
      </c>
      <c r="G179" s="38">
        <f>IFERROR(IF(B179="Tampa",INDEX(tbl_tampas[Massa_g],MATCH(A179,tbl_tampas[CapId],0)),INDEX(tbl_recyclass[Massa_Corpo_g],MATCH(A179,tbl_recyclass[ProductId],0))),0)</f>
        <v>30.9</v>
      </c>
      <c r="H179" s="32">
        <f t="shared" si="6"/>
        <v>240.06209999999999</v>
      </c>
      <c r="I179" s="36">
        <f>IFERROR(IF(B179="Tampa",INDEX(tbl_tampas[Pct_PCR],MATCH(A179,tbl_tampas[CapId],0)),INDEX(tbl_recyclass[Pct_PCR_Corpo],MATCH(A179,tbl_recyclass[ProductId],0))),0)</f>
        <v>0</v>
      </c>
      <c r="J179" s="32">
        <f t="shared" si="7"/>
        <v>0</v>
      </c>
      <c r="K179" s="32">
        <f t="shared" si="8"/>
        <v>240.06209999999999</v>
      </c>
      <c r="L179" s="43">
        <f>IF(C179="ES",K179*INDEX(tbl_param_emb[Valor],MATCH("P-01",tbl_param_emb[ID_Parametro],0)),0)</f>
        <v>0</v>
      </c>
      <c r="M179" s="33" t="str">
        <f>IF(B179="Tampa","Componente",IFERROR(INDEX(tbl_recyclass[Grau_PPWR_Indicativo],MATCH(A179,tbl_recyclass[ProductId],0)),""))</f>
        <v>C</v>
      </c>
    </row>
    <row r="180" spans="1:13" ht="16.05" customHeight="1" x14ac:dyDescent="0.3">
      <c r="A180" s="26" t="s">
        <v>681</v>
      </c>
      <c r="B180" s="26" t="s">
        <v>1470</v>
      </c>
      <c r="C180" s="26" t="s">
        <v>1472</v>
      </c>
      <c r="D180" s="26" t="s">
        <v>1473</v>
      </c>
      <c r="E180" s="39">
        <v>1</v>
      </c>
      <c r="F180" s="37">
        <v>14587</v>
      </c>
      <c r="G180" s="38">
        <f>IFERROR(IF(B180="Tampa",INDEX(tbl_tampas[Massa_g],MATCH(A180,tbl_tampas[CapId],0)),INDEX(tbl_recyclass[Massa_Corpo_g],MATCH(A180,tbl_recyclass[ProductId],0))),0)</f>
        <v>30.9</v>
      </c>
      <c r="H180" s="32">
        <f t="shared" si="6"/>
        <v>450.73829999999998</v>
      </c>
      <c r="I180" s="36">
        <f>IFERROR(IF(B180="Tampa",INDEX(tbl_tampas[Pct_PCR],MATCH(A180,tbl_tampas[CapId],0)),INDEX(tbl_recyclass[Pct_PCR_Corpo],MATCH(A180,tbl_recyclass[ProductId],0))),0)</f>
        <v>0</v>
      </c>
      <c r="J180" s="32">
        <f t="shared" si="7"/>
        <v>0</v>
      </c>
      <c r="K180" s="32">
        <f t="shared" si="8"/>
        <v>450.73829999999998</v>
      </c>
      <c r="L180" s="43">
        <f>IF(C180="ES",K180*INDEX(tbl_param_emb[Valor],MATCH("P-01",tbl_param_emb[ID_Parametro],0)),0)</f>
        <v>0</v>
      </c>
      <c r="M180" s="33" t="str">
        <f>IF(B180="Tampa","Componente",IFERROR(INDEX(tbl_recyclass[Grau_PPWR_Indicativo],MATCH(A180,tbl_recyclass[ProductId],0)),""))</f>
        <v>C</v>
      </c>
    </row>
    <row r="181" spans="1:13" ht="16.05" customHeight="1" x14ac:dyDescent="0.3">
      <c r="A181" s="26" t="s">
        <v>681</v>
      </c>
      <c r="B181" s="26" t="s">
        <v>1470</v>
      </c>
      <c r="C181" s="26" t="s">
        <v>1478</v>
      </c>
      <c r="D181" s="26" t="s">
        <v>1479</v>
      </c>
      <c r="E181" s="39">
        <v>1</v>
      </c>
      <c r="F181" s="37">
        <v>11061</v>
      </c>
      <c r="G181" s="38">
        <f>IFERROR(IF(B181="Tampa",INDEX(tbl_tampas[Massa_g],MATCH(A181,tbl_tampas[CapId],0)),INDEX(tbl_recyclass[Massa_Corpo_g],MATCH(A181,tbl_recyclass[ProductId],0))),0)</f>
        <v>30.9</v>
      </c>
      <c r="H181" s="32">
        <f t="shared" si="6"/>
        <v>341.78489999999999</v>
      </c>
      <c r="I181" s="36">
        <f>IFERROR(IF(B181="Tampa",INDEX(tbl_tampas[Pct_PCR],MATCH(A181,tbl_tampas[CapId],0)),INDEX(tbl_recyclass[Pct_PCR_Corpo],MATCH(A181,tbl_recyclass[ProductId],0))),0)</f>
        <v>0</v>
      </c>
      <c r="J181" s="32">
        <f t="shared" si="7"/>
        <v>0</v>
      </c>
      <c r="K181" s="32">
        <f t="shared" si="8"/>
        <v>341.78489999999999</v>
      </c>
      <c r="L181" s="43">
        <f>IF(C181="ES",K181*INDEX(tbl_param_emb[Valor],MATCH("P-01",tbl_param_emb[ID_Parametro],0)),0)</f>
        <v>0</v>
      </c>
      <c r="M181" s="33" t="str">
        <f>IF(B181="Tampa","Componente",IFERROR(INDEX(tbl_recyclass[Grau_PPWR_Indicativo],MATCH(A181,tbl_recyclass[ProductId],0)),""))</f>
        <v>C</v>
      </c>
    </row>
    <row r="182" spans="1:13" ht="16.05" customHeight="1" x14ac:dyDescent="0.3">
      <c r="A182" s="26" t="s">
        <v>681</v>
      </c>
      <c r="B182" s="26" t="s">
        <v>1470</v>
      </c>
      <c r="C182" s="26" t="s">
        <v>1480</v>
      </c>
      <c r="D182" s="26" t="s">
        <v>1481</v>
      </c>
      <c r="E182" s="39">
        <v>1</v>
      </c>
      <c r="F182" s="37">
        <v>3784</v>
      </c>
      <c r="G182" s="38">
        <f>IFERROR(IF(B182="Tampa",INDEX(tbl_tampas[Massa_g],MATCH(A182,tbl_tampas[CapId],0)),INDEX(tbl_recyclass[Massa_Corpo_g],MATCH(A182,tbl_recyclass[ProductId],0))),0)</f>
        <v>30.9</v>
      </c>
      <c r="H182" s="32">
        <f t="shared" si="6"/>
        <v>116.92559999999999</v>
      </c>
      <c r="I182" s="36">
        <f>IFERROR(IF(B182="Tampa",INDEX(tbl_tampas[Pct_PCR],MATCH(A182,tbl_tampas[CapId],0)),INDEX(tbl_recyclass[Pct_PCR_Corpo],MATCH(A182,tbl_recyclass[ProductId],0))),0)</f>
        <v>0</v>
      </c>
      <c r="J182" s="32">
        <f t="shared" si="7"/>
        <v>0</v>
      </c>
      <c r="K182" s="32">
        <f t="shared" si="8"/>
        <v>116.92559999999999</v>
      </c>
      <c r="L182" s="43">
        <f>IF(C182="ES",K182*INDEX(tbl_param_emb[Valor],MATCH("P-01",tbl_param_emb[ID_Parametro],0)),0)</f>
        <v>0</v>
      </c>
      <c r="M182" s="33" t="str">
        <f>IF(B182="Tampa","Componente",IFERROR(INDEX(tbl_recyclass[Grau_PPWR_Indicativo],MATCH(A182,tbl_recyclass[ProductId],0)),""))</f>
        <v>C</v>
      </c>
    </row>
    <row r="183" spans="1:13" ht="16.05" customHeight="1" x14ac:dyDescent="0.3">
      <c r="A183" s="26" t="s">
        <v>681</v>
      </c>
      <c r="B183" s="26" t="s">
        <v>1470</v>
      </c>
      <c r="C183" s="26" t="s">
        <v>847</v>
      </c>
      <c r="D183" s="26" t="s">
        <v>1471</v>
      </c>
      <c r="E183" s="39">
        <v>6</v>
      </c>
      <c r="F183" s="37">
        <v>43562</v>
      </c>
      <c r="G183" s="38">
        <f>IFERROR(IF(B183="Tampa",INDEX(tbl_tampas[Massa_g],MATCH(A183,tbl_tampas[CapId],0)),INDEX(tbl_recyclass[Massa_Corpo_g],MATCH(A183,tbl_recyclass[ProductId],0))),0)</f>
        <v>30.9</v>
      </c>
      <c r="H183" s="32">
        <f t="shared" si="6"/>
        <v>1346.0658000000001</v>
      </c>
      <c r="I183" s="36">
        <f>IFERROR(IF(B183="Tampa",INDEX(tbl_tampas[Pct_PCR],MATCH(A183,tbl_tampas[CapId],0)),INDEX(tbl_recyclass[Pct_PCR_Corpo],MATCH(A183,tbl_recyclass[ProductId],0))),0)</f>
        <v>0</v>
      </c>
      <c r="J183" s="32">
        <f t="shared" si="7"/>
        <v>0</v>
      </c>
      <c r="K183" s="32">
        <f t="shared" si="8"/>
        <v>1346.0658000000001</v>
      </c>
      <c r="L183" s="43">
        <f>IF(C183="ES",K183*INDEX(tbl_param_emb[Valor],MATCH("P-01",tbl_param_emb[ID_Parametro],0)),0)</f>
        <v>0</v>
      </c>
      <c r="M183" s="33" t="str">
        <f>IF(B183="Tampa","Componente",IFERROR(INDEX(tbl_recyclass[Grau_PPWR_Indicativo],MATCH(A183,tbl_recyclass[ProductId],0)),""))</f>
        <v>C</v>
      </c>
    </row>
    <row r="184" spans="1:13" ht="16.05" customHeight="1" x14ac:dyDescent="0.3">
      <c r="A184" s="26" t="s">
        <v>681</v>
      </c>
      <c r="B184" s="26" t="s">
        <v>1470</v>
      </c>
      <c r="C184" s="26" t="s">
        <v>1474</v>
      </c>
      <c r="D184" s="26" t="s">
        <v>1475</v>
      </c>
      <c r="E184" s="39">
        <v>2</v>
      </c>
      <c r="F184" s="37">
        <v>32775</v>
      </c>
      <c r="G184" s="38">
        <f>IFERROR(IF(B184="Tampa",INDEX(tbl_tampas[Massa_g],MATCH(A184,tbl_tampas[CapId],0)),INDEX(tbl_recyclass[Massa_Corpo_g],MATCH(A184,tbl_recyclass[ProductId],0))),0)</f>
        <v>30.9</v>
      </c>
      <c r="H184" s="32">
        <f t="shared" si="6"/>
        <v>1012.7474999999999</v>
      </c>
      <c r="I184" s="36">
        <f>IFERROR(IF(B184="Tampa",INDEX(tbl_tampas[Pct_PCR],MATCH(A184,tbl_tampas[CapId],0)),INDEX(tbl_recyclass[Pct_PCR_Corpo],MATCH(A184,tbl_recyclass[ProductId],0))),0)</f>
        <v>0</v>
      </c>
      <c r="J184" s="32">
        <f t="shared" si="7"/>
        <v>0</v>
      </c>
      <c r="K184" s="32">
        <f t="shared" si="8"/>
        <v>1012.7474999999999</v>
      </c>
      <c r="L184" s="43">
        <f>IF(C184="ES",K184*INDEX(tbl_param_emb[Valor],MATCH("P-01",tbl_param_emb[ID_Parametro],0)),0)</f>
        <v>455.73637500000001</v>
      </c>
      <c r="M184" s="33" t="str">
        <f>IF(B184="Tampa","Componente",IFERROR(INDEX(tbl_recyclass[Grau_PPWR_Indicativo],MATCH(A184,tbl_recyclass[ProductId],0)),""))</f>
        <v>C</v>
      </c>
    </row>
    <row r="185" spans="1:13" ht="16.05" customHeight="1" x14ac:dyDescent="0.3">
      <c r="A185" s="26" t="s">
        <v>688</v>
      </c>
      <c r="B185" s="26" t="s">
        <v>1470</v>
      </c>
      <c r="C185" s="26" t="s">
        <v>1476</v>
      </c>
      <c r="D185" s="26" t="s">
        <v>1477</v>
      </c>
      <c r="E185" s="39">
        <v>1</v>
      </c>
      <c r="F185" s="37">
        <v>8583</v>
      </c>
      <c r="G185" s="38">
        <f>IFERROR(IF(B185="Tampa",INDEX(tbl_tampas[Massa_g],MATCH(A185,tbl_tampas[CapId],0)),INDEX(tbl_recyclass[Massa_Corpo_g],MATCH(A185,tbl_recyclass[ProductId],0))),0)</f>
        <v>30.9</v>
      </c>
      <c r="H185" s="32">
        <f t="shared" si="6"/>
        <v>265.21469999999999</v>
      </c>
      <c r="I185" s="36">
        <f>IFERROR(IF(B185="Tampa",INDEX(tbl_tampas[Pct_PCR],MATCH(A185,tbl_tampas[CapId],0)),INDEX(tbl_recyclass[Pct_PCR_Corpo],MATCH(A185,tbl_recyclass[ProductId],0))),0)</f>
        <v>0.3</v>
      </c>
      <c r="J185" s="32">
        <f t="shared" si="7"/>
        <v>79.564409999999995</v>
      </c>
      <c r="K185" s="32">
        <f t="shared" si="8"/>
        <v>185.65028999999998</v>
      </c>
      <c r="L185" s="43">
        <f>IF(C185="ES",K185*INDEX(tbl_param_emb[Valor],MATCH("P-01",tbl_param_emb[ID_Parametro],0)),0)</f>
        <v>0</v>
      </c>
      <c r="M185" s="33" t="str">
        <f>IF(B185="Tampa","Componente",IFERROR(INDEX(tbl_recyclass[Grau_PPWR_Indicativo],MATCH(A185,tbl_recyclass[ProductId],0)),""))</f>
        <v>B</v>
      </c>
    </row>
    <row r="186" spans="1:13" ht="16.05" customHeight="1" x14ac:dyDescent="0.3">
      <c r="A186" s="26" t="s">
        <v>688</v>
      </c>
      <c r="B186" s="26" t="s">
        <v>1470</v>
      </c>
      <c r="C186" s="26" t="s">
        <v>1472</v>
      </c>
      <c r="D186" s="26" t="s">
        <v>1473</v>
      </c>
      <c r="E186" s="39">
        <v>1</v>
      </c>
      <c r="F186" s="37">
        <v>4831</v>
      </c>
      <c r="G186" s="38">
        <f>IFERROR(IF(B186="Tampa",INDEX(tbl_tampas[Massa_g],MATCH(A186,tbl_tampas[CapId],0)),INDEX(tbl_recyclass[Massa_Corpo_g],MATCH(A186,tbl_recyclass[ProductId],0))),0)</f>
        <v>30.9</v>
      </c>
      <c r="H186" s="32">
        <f t="shared" si="6"/>
        <v>149.27789999999999</v>
      </c>
      <c r="I186" s="36">
        <f>IFERROR(IF(B186="Tampa",INDEX(tbl_tampas[Pct_PCR],MATCH(A186,tbl_tampas[CapId],0)),INDEX(tbl_recyclass[Pct_PCR_Corpo],MATCH(A186,tbl_recyclass[ProductId],0))),0)</f>
        <v>0.3</v>
      </c>
      <c r="J186" s="32">
        <f t="shared" si="7"/>
        <v>44.783369999999998</v>
      </c>
      <c r="K186" s="32">
        <f t="shared" si="8"/>
        <v>104.49453</v>
      </c>
      <c r="L186" s="43">
        <f>IF(C186="ES",K186*INDEX(tbl_param_emb[Valor],MATCH("P-01",tbl_param_emb[ID_Parametro],0)),0)</f>
        <v>0</v>
      </c>
      <c r="M186" s="33" t="str">
        <f>IF(B186="Tampa","Componente",IFERROR(INDEX(tbl_recyclass[Grau_PPWR_Indicativo],MATCH(A186,tbl_recyclass[ProductId],0)),""))</f>
        <v>B</v>
      </c>
    </row>
    <row r="187" spans="1:13" ht="16.05" customHeight="1" x14ac:dyDescent="0.3">
      <c r="A187" s="26" t="s">
        <v>688</v>
      </c>
      <c r="B187" s="26" t="s">
        <v>1470</v>
      </c>
      <c r="C187" s="26" t="s">
        <v>847</v>
      </c>
      <c r="D187" s="26" t="s">
        <v>1471</v>
      </c>
      <c r="E187" s="39">
        <v>4</v>
      </c>
      <c r="F187" s="37">
        <v>43864</v>
      </c>
      <c r="G187" s="38">
        <f>IFERROR(IF(B187="Tampa",INDEX(tbl_tampas[Massa_g],MATCH(A187,tbl_tampas[CapId],0)),INDEX(tbl_recyclass[Massa_Corpo_g],MATCH(A187,tbl_recyclass[ProductId],0))),0)</f>
        <v>30.9</v>
      </c>
      <c r="H187" s="32">
        <f t="shared" si="6"/>
        <v>1355.3975999999998</v>
      </c>
      <c r="I187" s="36">
        <f>IFERROR(IF(B187="Tampa",INDEX(tbl_tampas[Pct_PCR],MATCH(A187,tbl_tampas[CapId],0)),INDEX(tbl_recyclass[Pct_PCR_Corpo],MATCH(A187,tbl_recyclass[ProductId],0))),0)</f>
        <v>0.3</v>
      </c>
      <c r="J187" s="32">
        <f t="shared" si="7"/>
        <v>406.61927999999995</v>
      </c>
      <c r="K187" s="32">
        <f t="shared" si="8"/>
        <v>948.77831999999989</v>
      </c>
      <c r="L187" s="43">
        <f>IF(C187="ES",K187*INDEX(tbl_param_emb[Valor],MATCH("P-01",tbl_param_emb[ID_Parametro],0)),0)</f>
        <v>0</v>
      </c>
      <c r="M187" s="33" t="str">
        <f>IF(B187="Tampa","Componente",IFERROR(INDEX(tbl_recyclass[Grau_PPWR_Indicativo],MATCH(A187,tbl_recyclass[ProductId],0)),""))</f>
        <v>B</v>
      </c>
    </row>
    <row r="188" spans="1:13" ht="16.05" customHeight="1" x14ac:dyDescent="0.3">
      <c r="A188" s="26" t="s">
        <v>688</v>
      </c>
      <c r="B188" s="26" t="s">
        <v>1470</v>
      </c>
      <c r="C188" s="26" t="s">
        <v>1474</v>
      </c>
      <c r="D188" s="26" t="s">
        <v>1475</v>
      </c>
      <c r="E188" s="39">
        <v>1</v>
      </c>
      <c r="F188" s="37">
        <v>10224</v>
      </c>
      <c r="G188" s="38">
        <f>IFERROR(IF(B188="Tampa",INDEX(tbl_tampas[Massa_g],MATCH(A188,tbl_tampas[CapId],0)),INDEX(tbl_recyclass[Massa_Corpo_g],MATCH(A188,tbl_recyclass[ProductId],0))),0)</f>
        <v>30.9</v>
      </c>
      <c r="H188" s="32">
        <f t="shared" si="6"/>
        <v>315.92159999999996</v>
      </c>
      <c r="I188" s="36">
        <f>IFERROR(IF(B188="Tampa",INDEX(tbl_tampas[Pct_PCR],MATCH(A188,tbl_tampas[CapId],0)),INDEX(tbl_recyclass[Pct_PCR_Corpo],MATCH(A188,tbl_recyclass[ProductId],0))),0)</f>
        <v>0.3</v>
      </c>
      <c r="J188" s="32">
        <f t="shared" si="7"/>
        <v>94.776479999999978</v>
      </c>
      <c r="K188" s="32">
        <f t="shared" si="8"/>
        <v>221.14511999999996</v>
      </c>
      <c r="L188" s="43">
        <f>IF(C188="ES",K188*INDEX(tbl_param_emb[Valor],MATCH("P-01",tbl_param_emb[ID_Parametro],0)),0)</f>
        <v>99.515303999999986</v>
      </c>
      <c r="M188" s="33" t="str">
        <f>IF(B188="Tampa","Componente",IFERROR(INDEX(tbl_recyclass[Grau_PPWR_Indicativo],MATCH(A188,tbl_recyclass[ProductId],0)),""))</f>
        <v>B</v>
      </c>
    </row>
    <row r="189" spans="1:13" ht="16.05" customHeight="1" x14ac:dyDescent="0.3">
      <c r="A189" s="26" t="s">
        <v>692</v>
      </c>
      <c r="B189" s="26" t="s">
        <v>1470</v>
      </c>
      <c r="C189" s="26" t="s">
        <v>1472</v>
      </c>
      <c r="D189" s="26" t="s">
        <v>1473</v>
      </c>
      <c r="E189" s="39">
        <v>1</v>
      </c>
      <c r="F189" s="37">
        <v>14693</v>
      </c>
      <c r="G189" s="38">
        <f>IFERROR(IF(B189="Tampa",INDEX(tbl_tampas[Massa_g],MATCH(A189,tbl_tampas[CapId],0)),INDEX(tbl_recyclass[Massa_Corpo_g],MATCH(A189,tbl_recyclass[ProductId],0))),0)</f>
        <v>30.9</v>
      </c>
      <c r="H189" s="32">
        <f t="shared" si="6"/>
        <v>454.01369999999997</v>
      </c>
      <c r="I189" s="36">
        <f>IFERROR(IF(B189="Tampa",INDEX(tbl_tampas[Pct_PCR],MATCH(A189,tbl_tampas[CapId],0)),INDEX(tbl_recyclass[Pct_PCR_Corpo],MATCH(A189,tbl_recyclass[ProductId],0))),0)</f>
        <v>0</v>
      </c>
      <c r="J189" s="32">
        <f t="shared" si="7"/>
        <v>0</v>
      </c>
      <c r="K189" s="32">
        <f t="shared" si="8"/>
        <v>454.01369999999997</v>
      </c>
      <c r="L189" s="43">
        <f>IF(C189="ES",K189*INDEX(tbl_param_emb[Valor],MATCH("P-01",tbl_param_emb[ID_Parametro],0)),0)</f>
        <v>0</v>
      </c>
      <c r="M189" s="33" t="str">
        <f>IF(B189="Tampa","Componente",IFERROR(INDEX(tbl_recyclass[Grau_PPWR_Indicativo],MATCH(A189,tbl_recyclass[ProductId],0)),""))</f>
        <v>C</v>
      </c>
    </row>
    <row r="190" spans="1:13" ht="16.05" customHeight="1" x14ac:dyDescent="0.3">
      <c r="A190" s="26" t="s">
        <v>692</v>
      </c>
      <c r="B190" s="26" t="s">
        <v>1470</v>
      </c>
      <c r="C190" s="26" t="s">
        <v>847</v>
      </c>
      <c r="D190" s="26" t="s">
        <v>1471</v>
      </c>
      <c r="E190" s="39">
        <v>3</v>
      </c>
      <c r="F190" s="37">
        <v>28483</v>
      </c>
      <c r="G190" s="38">
        <f>IFERROR(IF(B190="Tampa",INDEX(tbl_tampas[Massa_g],MATCH(A190,tbl_tampas[CapId],0)),INDEX(tbl_recyclass[Massa_Corpo_g],MATCH(A190,tbl_recyclass[ProductId],0))),0)</f>
        <v>30.9</v>
      </c>
      <c r="H190" s="32">
        <f t="shared" si="6"/>
        <v>880.12469999999996</v>
      </c>
      <c r="I190" s="36">
        <f>IFERROR(IF(B190="Tampa",INDEX(tbl_tampas[Pct_PCR],MATCH(A190,tbl_tampas[CapId],0)),INDEX(tbl_recyclass[Pct_PCR_Corpo],MATCH(A190,tbl_recyclass[ProductId],0))),0)</f>
        <v>0</v>
      </c>
      <c r="J190" s="32">
        <f t="shared" si="7"/>
        <v>0</v>
      </c>
      <c r="K190" s="32">
        <f t="shared" si="8"/>
        <v>880.12469999999996</v>
      </c>
      <c r="L190" s="43">
        <f>IF(C190="ES",K190*INDEX(tbl_param_emb[Valor],MATCH("P-01",tbl_param_emb[ID_Parametro],0)),0)</f>
        <v>0</v>
      </c>
      <c r="M190" s="33" t="str">
        <f>IF(B190="Tampa","Componente",IFERROR(INDEX(tbl_recyclass[Grau_PPWR_Indicativo],MATCH(A190,tbl_recyclass[ProductId],0)),""))</f>
        <v>C</v>
      </c>
    </row>
    <row r="191" spans="1:13" ht="16.05" customHeight="1" x14ac:dyDescent="0.3">
      <c r="A191" s="26" t="s">
        <v>695</v>
      </c>
      <c r="B191" s="26" t="s">
        <v>1470</v>
      </c>
      <c r="C191" s="26" t="s">
        <v>1472</v>
      </c>
      <c r="D191" s="26" t="s">
        <v>1473</v>
      </c>
      <c r="E191" s="39">
        <v>1</v>
      </c>
      <c r="F191" s="37">
        <v>4525</v>
      </c>
      <c r="G191" s="38">
        <f>IFERROR(IF(B191="Tampa",INDEX(tbl_tampas[Massa_g],MATCH(A191,tbl_tampas[CapId],0)),INDEX(tbl_recyclass[Massa_Corpo_g],MATCH(A191,tbl_recyclass[ProductId],0))),0)</f>
        <v>30.9</v>
      </c>
      <c r="H191" s="32">
        <f t="shared" si="6"/>
        <v>139.82249999999999</v>
      </c>
      <c r="I191" s="36">
        <f>IFERROR(IF(B191="Tampa",INDEX(tbl_tampas[Pct_PCR],MATCH(A191,tbl_tampas[CapId],0)),INDEX(tbl_recyclass[Pct_PCR_Corpo],MATCH(A191,tbl_recyclass[ProductId],0))),0)</f>
        <v>0</v>
      </c>
      <c r="J191" s="32">
        <f t="shared" si="7"/>
        <v>0</v>
      </c>
      <c r="K191" s="32">
        <f t="shared" si="8"/>
        <v>139.82249999999999</v>
      </c>
      <c r="L191" s="43">
        <f>IF(C191="ES",K191*INDEX(tbl_param_emb[Valor],MATCH("P-01",tbl_param_emb[ID_Parametro],0)),0)</f>
        <v>0</v>
      </c>
      <c r="M191" s="33" t="str">
        <f>IF(B191="Tampa","Componente",IFERROR(INDEX(tbl_recyclass[Grau_PPWR_Indicativo],MATCH(A191,tbl_recyclass[ProductId],0)),""))</f>
        <v>Não reciclável (F)</v>
      </c>
    </row>
    <row r="192" spans="1:13" ht="16.05" customHeight="1" x14ac:dyDescent="0.3">
      <c r="A192" s="26" t="s">
        <v>695</v>
      </c>
      <c r="B192" s="26" t="s">
        <v>1470</v>
      </c>
      <c r="C192" s="26" t="s">
        <v>1480</v>
      </c>
      <c r="D192" s="26" t="s">
        <v>1481</v>
      </c>
      <c r="E192" s="39">
        <v>1</v>
      </c>
      <c r="F192" s="37">
        <v>2619</v>
      </c>
      <c r="G192" s="38">
        <f>IFERROR(IF(B192="Tampa",INDEX(tbl_tampas[Massa_g],MATCH(A192,tbl_tampas[CapId],0)),INDEX(tbl_recyclass[Massa_Corpo_g],MATCH(A192,tbl_recyclass[ProductId],0))),0)</f>
        <v>30.9</v>
      </c>
      <c r="H192" s="32">
        <f t="shared" si="6"/>
        <v>80.927099999999996</v>
      </c>
      <c r="I192" s="36">
        <f>IFERROR(IF(B192="Tampa",INDEX(tbl_tampas[Pct_PCR],MATCH(A192,tbl_tampas[CapId],0)),INDEX(tbl_recyclass[Pct_PCR_Corpo],MATCH(A192,tbl_recyclass[ProductId],0))),0)</f>
        <v>0</v>
      </c>
      <c r="J192" s="32">
        <f t="shared" si="7"/>
        <v>0</v>
      </c>
      <c r="K192" s="32">
        <f t="shared" si="8"/>
        <v>80.927099999999996</v>
      </c>
      <c r="L192" s="43">
        <f>IF(C192="ES",K192*INDEX(tbl_param_emb[Valor],MATCH("P-01",tbl_param_emb[ID_Parametro],0)),0)</f>
        <v>0</v>
      </c>
      <c r="M192" s="33" t="str">
        <f>IF(B192="Tampa","Componente",IFERROR(INDEX(tbl_recyclass[Grau_PPWR_Indicativo],MATCH(A192,tbl_recyclass[ProductId],0)),""))</f>
        <v>Não reciclável (F)</v>
      </c>
    </row>
    <row r="193" spans="1:13" ht="16.05" customHeight="1" x14ac:dyDescent="0.3">
      <c r="A193" s="26" t="s">
        <v>695</v>
      </c>
      <c r="B193" s="26" t="s">
        <v>1470</v>
      </c>
      <c r="C193" s="26" t="s">
        <v>847</v>
      </c>
      <c r="D193" s="26" t="s">
        <v>1471</v>
      </c>
      <c r="E193" s="39">
        <v>3</v>
      </c>
      <c r="F193" s="37">
        <v>26411</v>
      </c>
      <c r="G193" s="38">
        <f>IFERROR(IF(B193="Tampa",INDEX(tbl_tampas[Massa_g],MATCH(A193,tbl_tampas[CapId],0)),INDEX(tbl_recyclass[Massa_Corpo_g],MATCH(A193,tbl_recyclass[ProductId],0))),0)</f>
        <v>30.9</v>
      </c>
      <c r="H193" s="32">
        <f t="shared" si="6"/>
        <v>816.09989999999993</v>
      </c>
      <c r="I193" s="36">
        <f>IFERROR(IF(B193="Tampa",INDEX(tbl_tampas[Pct_PCR],MATCH(A193,tbl_tampas[CapId],0)),INDEX(tbl_recyclass[Pct_PCR_Corpo],MATCH(A193,tbl_recyclass[ProductId],0))),0)</f>
        <v>0</v>
      </c>
      <c r="J193" s="32">
        <f t="shared" si="7"/>
        <v>0</v>
      </c>
      <c r="K193" s="32">
        <f t="shared" si="8"/>
        <v>816.09989999999993</v>
      </c>
      <c r="L193" s="43">
        <f>IF(C193="ES",K193*INDEX(tbl_param_emb[Valor],MATCH("P-01",tbl_param_emb[ID_Parametro],0)),0)</f>
        <v>0</v>
      </c>
      <c r="M193" s="33" t="str">
        <f>IF(B193="Tampa","Componente",IFERROR(INDEX(tbl_recyclass[Grau_PPWR_Indicativo],MATCH(A193,tbl_recyclass[ProductId],0)),""))</f>
        <v>Não reciclável (F)</v>
      </c>
    </row>
    <row r="194" spans="1:13" ht="16.05" customHeight="1" x14ac:dyDescent="0.3">
      <c r="A194" s="26" t="s">
        <v>695</v>
      </c>
      <c r="B194" s="26" t="s">
        <v>1470</v>
      </c>
      <c r="C194" s="26" t="s">
        <v>1474</v>
      </c>
      <c r="D194" s="26" t="s">
        <v>1475</v>
      </c>
      <c r="E194" s="39">
        <v>2</v>
      </c>
      <c r="F194" s="37">
        <v>4525</v>
      </c>
      <c r="G194" s="38">
        <f>IFERROR(IF(B194="Tampa",INDEX(tbl_tampas[Massa_g],MATCH(A194,tbl_tampas[CapId],0)),INDEX(tbl_recyclass[Massa_Corpo_g],MATCH(A194,tbl_recyclass[ProductId],0))),0)</f>
        <v>30.9</v>
      </c>
      <c r="H194" s="32">
        <f t="shared" ref="H194:H257" si="9">F194*G194/1000</f>
        <v>139.82249999999999</v>
      </c>
      <c r="I194" s="36">
        <f>IFERROR(IF(B194="Tampa",INDEX(tbl_tampas[Pct_PCR],MATCH(A194,tbl_tampas[CapId],0)),INDEX(tbl_recyclass[Pct_PCR_Corpo],MATCH(A194,tbl_recyclass[ProductId],0))),0)</f>
        <v>0</v>
      </c>
      <c r="J194" s="32">
        <f t="shared" ref="J194:J257" si="10">H194*I194</f>
        <v>0</v>
      </c>
      <c r="K194" s="32">
        <f t="shared" ref="K194:K257" si="11">H194-J194</f>
        <v>139.82249999999999</v>
      </c>
      <c r="L194" s="43">
        <f>IF(C194="ES",K194*INDEX(tbl_param_emb[Valor],MATCH("P-01",tbl_param_emb[ID_Parametro],0)),0)</f>
        <v>62.920124999999999</v>
      </c>
      <c r="M194" s="33" t="str">
        <f>IF(B194="Tampa","Componente",IFERROR(INDEX(tbl_recyclass[Grau_PPWR_Indicativo],MATCH(A194,tbl_recyclass[ProductId],0)),""))</f>
        <v>Não reciclável (F)</v>
      </c>
    </row>
    <row r="195" spans="1:13" ht="16.05" customHeight="1" x14ac:dyDescent="0.3">
      <c r="A195" s="26" t="s">
        <v>701</v>
      </c>
      <c r="B195" s="26" t="s">
        <v>1470</v>
      </c>
      <c r="C195" s="26" t="s">
        <v>1472</v>
      </c>
      <c r="D195" s="26" t="s">
        <v>1473</v>
      </c>
      <c r="E195" s="39">
        <v>1</v>
      </c>
      <c r="F195" s="37">
        <v>6291</v>
      </c>
      <c r="G195" s="38">
        <f>IFERROR(IF(B195="Tampa",INDEX(tbl_tampas[Massa_g],MATCH(A195,tbl_tampas[CapId],0)),INDEX(tbl_recyclass[Massa_Corpo_g],MATCH(A195,tbl_recyclass[ProductId],0))),0)</f>
        <v>30.9</v>
      </c>
      <c r="H195" s="32">
        <f t="shared" si="9"/>
        <v>194.39189999999999</v>
      </c>
      <c r="I195" s="36">
        <f>IFERROR(IF(B195="Tampa",INDEX(tbl_tampas[Pct_PCR],MATCH(A195,tbl_tampas[CapId],0)),INDEX(tbl_recyclass[Pct_PCR_Corpo],MATCH(A195,tbl_recyclass[ProductId],0))),0)</f>
        <v>0</v>
      </c>
      <c r="J195" s="32">
        <f t="shared" si="10"/>
        <v>0</v>
      </c>
      <c r="K195" s="32">
        <f t="shared" si="11"/>
        <v>194.39189999999999</v>
      </c>
      <c r="L195" s="43">
        <f>IF(C195="ES",K195*INDEX(tbl_param_emb[Valor],MATCH("P-01",tbl_param_emb[ID_Parametro],0)),0)</f>
        <v>0</v>
      </c>
      <c r="M195" s="33" t="str">
        <f>IF(B195="Tampa","Componente",IFERROR(INDEX(tbl_recyclass[Grau_PPWR_Indicativo],MATCH(A195,tbl_recyclass[ProductId],0)),""))</f>
        <v>C</v>
      </c>
    </row>
    <row r="196" spans="1:13" ht="16.05" customHeight="1" x14ac:dyDescent="0.3">
      <c r="A196" s="26" t="s">
        <v>701</v>
      </c>
      <c r="B196" s="26" t="s">
        <v>1470</v>
      </c>
      <c r="C196" s="26" t="s">
        <v>1480</v>
      </c>
      <c r="D196" s="26" t="s">
        <v>1481</v>
      </c>
      <c r="E196" s="39">
        <v>1</v>
      </c>
      <c r="F196" s="37">
        <v>5524</v>
      </c>
      <c r="G196" s="38">
        <f>IFERROR(IF(B196="Tampa",INDEX(tbl_tampas[Massa_g],MATCH(A196,tbl_tampas[CapId],0)),INDEX(tbl_recyclass[Massa_Corpo_g],MATCH(A196,tbl_recyclass[ProductId],0))),0)</f>
        <v>30.9</v>
      </c>
      <c r="H196" s="32">
        <f t="shared" si="9"/>
        <v>170.69159999999999</v>
      </c>
      <c r="I196" s="36">
        <f>IFERROR(IF(B196="Tampa",INDEX(tbl_tampas[Pct_PCR],MATCH(A196,tbl_tampas[CapId],0)),INDEX(tbl_recyclass[Pct_PCR_Corpo],MATCH(A196,tbl_recyclass[ProductId],0))),0)</f>
        <v>0</v>
      </c>
      <c r="J196" s="32">
        <f t="shared" si="10"/>
        <v>0</v>
      </c>
      <c r="K196" s="32">
        <f t="shared" si="11"/>
        <v>170.69159999999999</v>
      </c>
      <c r="L196" s="43">
        <f>IF(C196="ES",K196*INDEX(tbl_param_emb[Valor],MATCH("P-01",tbl_param_emb[ID_Parametro],0)),0)</f>
        <v>0</v>
      </c>
      <c r="M196" s="33" t="str">
        <f>IF(B196="Tampa","Componente",IFERROR(INDEX(tbl_recyclass[Grau_PPWR_Indicativo],MATCH(A196,tbl_recyclass[ProductId],0)),""))</f>
        <v>C</v>
      </c>
    </row>
    <row r="197" spans="1:13" ht="16.05" customHeight="1" x14ac:dyDescent="0.3">
      <c r="A197" s="26" t="s">
        <v>701</v>
      </c>
      <c r="B197" s="26" t="s">
        <v>1470</v>
      </c>
      <c r="C197" s="26" t="s">
        <v>847</v>
      </c>
      <c r="D197" s="26" t="s">
        <v>1471</v>
      </c>
      <c r="E197" s="39">
        <v>5</v>
      </c>
      <c r="F197" s="37">
        <v>37047</v>
      </c>
      <c r="G197" s="38">
        <f>IFERROR(IF(B197="Tampa",INDEX(tbl_tampas[Massa_g],MATCH(A197,tbl_tampas[CapId],0)),INDEX(tbl_recyclass[Massa_Corpo_g],MATCH(A197,tbl_recyclass[ProductId],0))),0)</f>
        <v>30.9</v>
      </c>
      <c r="H197" s="32">
        <f t="shared" si="9"/>
        <v>1144.7523000000001</v>
      </c>
      <c r="I197" s="36">
        <f>IFERROR(IF(B197="Tampa",INDEX(tbl_tampas[Pct_PCR],MATCH(A197,tbl_tampas[CapId],0)),INDEX(tbl_recyclass[Pct_PCR_Corpo],MATCH(A197,tbl_recyclass[ProductId],0))),0)</f>
        <v>0</v>
      </c>
      <c r="J197" s="32">
        <f t="shared" si="10"/>
        <v>0</v>
      </c>
      <c r="K197" s="32">
        <f t="shared" si="11"/>
        <v>1144.7523000000001</v>
      </c>
      <c r="L197" s="43">
        <f>IF(C197="ES",K197*INDEX(tbl_param_emb[Valor],MATCH("P-01",tbl_param_emb[ID_Parametro],0)),0)</f>
        <v>0</v>
      </c>
      <c r="M197" s="33" t="str">
        <f>IF(B197="Tampa","Componente",IFERROR(INDEX(tbl_recyclass[Grau_PPWR_Indicativo],MATCH(A197,tbl_recyclass[ProductId],0)),""))</f>
        <v>C</v>
      </c>
    </row>
    <row r="198" spans="1:13" ht="16.05" customHeight="1" x14ac:dyDescent="0.3">
      <c r="A198" s="26" t="s">
        <v>701</v>
      </c>
      <c r="B198" s="26" t="s">
        <v>1470</v>
      </c>
      <c r="C198" s="26" t="s">
        <v>1474</v>
      </c>
      <c r="D198" s="26" t="s">
        <v>1475</v>
      </c>
      <c r="E198" s="39">
        <v>1</v>
      </c>
      <c r="F198" s="37">
        <v>9856</v>
      </c>
      <c r="G198" s="38">
        <f>IFERROR(IF(B198="Tampa",INDEX(tbl_tampas[Massa_g],MATCH(A198,tbl_tampas[CapId],0)),INDEX(tbl_recyclass[Massa_Corpo_g],MATCH(A198,tbl_recyclass[ProductId],0))),0)</f>
        <v>30.9</v>
      </c>
      <c r="H198" s="32">
        <f t="shared" si="9"/>
        <v>304.55039999999997</v>
      </c>
      <c r="I198" s="36">
        <f>IFERROR(IF(B198="Tampa",INDEX(tbl_tampas[Pct_PCR],MATCH(A198,tbl_tampas[CapId],0)),INDEX(tbl_recyclass[Pct_PCR_Corpo],MATCH(A198,tbl_recyclass[ProductId],0))),0)</f>
        <v>0</v>
      </c>
      <c r="J198" s="32">
        <f t="shared" si="10"/>
        <v>0</v>
      </c>
      <c r="K198" s="32">
        <f t="shared" si="11"/>
        <v>304.55039999999997</v>
      </c>
      <c r="L198" s="43">
        <f>IF(C198="ES",K198*INDEX(tbl_param_emb[Valor],MATCH("P-01",tbl_param_emb[ID_Parametro],0)),0)</f>
        <v>137.04767999999999</v>
      </c>
      <c r="M198" s="33" t="str">
        <f>IF(B198="Tampa","Componente",IFERROR(INDEX(tbl_recyclass[Grau_PPWR_Indicativo],MATCH(A198,tbl_recyclass[ProductId],0)),""))</f>
        <v>C</v>
      </c>
    </row>
    <row r="199" spans="1:13" ht="16.05" customHeight="1" x14ac:dyDescent="0.3">
      <c r="A199" s="26" t="s">
        <v>709</v>
      </c>
      <c r="B199" s="26" t="s">
        <v>1470</v>
      </c>
      <c r="C199" s="26" t="s">
        <v>1476</v>
      </c>
      <c r="D199" s="26" t="s">
        <v>1477</v>
      </c>
      <c r="E199" s="39">
        <v>1</v>
      </c>
      <c r="F199" s="37">
        <v>9111</v>
      </c>
      <c r="G199" s="38">
        <f>IFERROR(IF(B199="Tampa",INDEX(tbl_tampas[Massa_g],MATCH(A199,tbl_tampas[CapId],0)),INDEX(tbl_recyclass[Massa_Corpo_g],MATCH(A199,tbl_recyclass[ProductId],0))),0)</f>
        <v>30.9</v>
      </c>
      <c r="H199" s="32">
        <f t="shared" si="9"/>
        <v>281.52989999999994</v>
      </c>
      <c r="I199" s="36">
        <f>IFERROR(IF(B199="Tampa",INDEX(tbl_tampas[Pct_PCR],MATCH(A199,tbl_tampas[CapId],0)),INDEX(tbl_recyclass[Pct_PCR_Corpo],MATCH(A199,tbl_recyclass[ProductId],0))),0)</f>
        <v>0</v>
      </c>
      <c r="J199" s="32">
        <f t="shared" si="10"/>
        <v>0</v>
      </c>
      <c r="K199" s="32">
        <f t="shared" si="11"/>
        <v>281.52989999999994</v>
      </c>
      <c r="L199" s="43">
        <f>IF(C199="ES",K199*INDEX(tbl_param_emb[Valor],MATCH("P-01",tbl_param_emb[ID_Parametro],0)),0)</f>
        <v>0</v>
      </c>
      <c r="M199" s="33" t="str">
        <f>IF(B199="Tampa","Componente",IFERROR(INDEX(tbl_recyclass[Grau_PPWR_Indicativo],MATCH(A199,tbl_recyclass[ProductId],0)),""))</f>
        <v>Não reciclável (F)</v>
      </c>
    </row>
    <row r="200" spans="1:13" ht="16.05" customHeight="1" x14ac:dyDescent="0.3">
      <c r="A200" s="26" t="s">
        <v>709</v>
      </c>
      <c r="B200" s="26" t="s">
        <v>1470</v>
      </c>
      <c r="C200" s="26" t="s">
        <v>1472</v>
      </c>
      <c r="D200" s="26" t="s">
        <v>1473</v>
      </c>
      <c r="E200" s="39">
        <v>1</v>
      </c>
      <c r="F200" s="37">
        <v>3441</v>
      </c>
      <c r="G200" s="38">
        <f>IFERROR(IF(B200="Tampa",INDEX(tbl_tampas[Massa_g],MATCH(A200,tbl_tampas[CapId],0)),INDEX(tbl_recyclass[Massa_Corpo_g],MATCH(A200,tbl_recyclass[ProductId],0))),0)</f>
        <v>30.9</v>
      </c>
      <c r="H200" s="32">
        <f t="shared" si="9"/>
        <v>106.32689999999999</v>
      </c>
      <c r="I200" s="36">
        <f>IFERROR(IF(B200="Tampa",INDEX(tbl_tampas[Pct_PCR],MATCH(A200,tbl_tampas[CapId],0)),INDEX(tbl_recyclass[Pct_PCR_Corpo],MATCH(A200,tbl_recyclass[ProductId],0))),0)</f>
        <v>0</v>
      </c>
      <c r="J200" s="32">
        <f t="shared" si="10"/>
        <v>0</v>
      </c>
      <c r="K200" s="32">
        <f t="shared" si="11"/>
        <v>106.32689999999999</v>
      </c>
      <c r="L200" s="43">
        <f>IF(C200="ES",K200*INDEX(tbl_param_emb[Valor],MATCH("P-01",tbl_param_emb[ID_Parametro],0)),0)</f>
        <v>0</v>
      </c>
      <c r="M200" s="33" t="str">
        <f>IF(B200="Tampa","Componente",IFERROR(INDEX(tbl_recyclass[Grau_PPWR_Indicativo],MATCH(A200,tbl_recyclass[ProductId],0)),""))</f>
        <v>Não reciclável (F)</v>
      </c>
    </row>
    <row r="201" spans="1:13" ht="16.05" customHeight="1" x14ac:dyDescent="0.3">
      <c r="A201" s="26" t="s">
        <v>709</v>
      </c>
      <c r="B201" s="26" t="s">
        <v>1470</v>
      </c>
      <c r="C201" s="26" t="s">
        <v>1478</v>
      </c>
      <c r="D201" s="26" t="s">
        <v>1479</v>
      </c>
      <c r="E201" s="39">
        <v>1</v>
      </c>
      <c r="F201" s="37">
        <v>5513</v>
      </c>
      <c r="G201" s="38">
        <f>IFERROR(IF(B201="Tampa",INDEX(tbl_tampas[Massa_g],MATCH(A201,tbl_tampas[CapId],0)),INDEX(tbl_recyclass[Massa_Corpo_g],MATCH(A201,tbl_recyclass[ProductId],0))),0)</f>
        <v>30.9</v>
      </c>
      <c r="H201" s="32">
        <f t="shared" si="9"/>
        <v>170.35169999999999</v>
      </c>
      <c r="I201" s="36">
        <f>IFERROR(IF(B201="Tampa",INDEX(tbl_tampas[Pct_PCR],MATCH(A201,tbl_tampas[CapId],0)),INDEX(tbl_recyclass[Pct_PCR_Corpo],MATCH(A201,tbl_recyclass[ProductId],0))),0)</f>
        <v>0</v>
      </c>
      <c r="J201" s="32">
        <f t="shared" si="10"/>
        <v>0</v>
      </c>
      <c r="K201" s="32">
        <f t="shared" si="11"/>
        <v>170.35169999999999</v>
      </c>
      <c r="L201" s="43">
        <f>IF(C201="ES",K201*INDEX(tbl_param_emb[Valor],MATCH("P-01",tbl_param_emb[ID_Parametro],0)),0)</f>
        <v>0</v>
      </c>
      <c r="M201" s="33" t="str">
        <f>IF(B201="Tampa","Componente",IFERROR(INDEX(tbl_recyclass[Grau_PPWR_Indicativo],MATCH(A201,tbl_recyclass[ProductId],0)),""))</f>
        <v>Não reciclável (F)</v>
      </c>
    </row>
    <row r="202" spans="1:13" ht="16.05" customHeight="1" x14ac:dyDescent="0.3">
      <c r="A202" s="26" t="s">
        <v>709</v>
      </c>
      <c r="B202" s="26" t="s">
        <v>1470</v>
      </c>
      <c r="C202" s="26" t="s">
        <v>847</v>
      </c>
      <c r="D202" s="26" t="s">
        <v>1471</v>
      </c>
      <c r="E202" s="39">
        <v>3</v>
      </c>
      <c r="F202" s="37">
        <v>19238</v>
      </c>
      <c r="G202" s="38">
        <f>IFERROR(IF(B202="Tampa",INDEX(tbl_tampas[Massa_g],MATCH(A202,tbl_tampas[CapId],0)),INDEX(tbl_recyclass[Massa_Corpo_g],MATCH(A202,tbl_recyclass[ProductId],0))),0)</f>
        <v>30.9</v>
      </c>
      <c r="H202" s="32">
        <f t="shared" si="9"/>
        <v>594.4541999999999</v>
      </c>
      <c r="I202" s="36">
        <f>IFERROR(IF(B202="Tampa",INDEX(tbl_tampas[Pct_PCR],MATCH(A202,tbl_tampas[CapId],0)),INDEX(tbl_recyclass[Pct_PCR_Corpo],MATCH(A202,tbl_recyclass[ProductId],0))),0)</f>
        <v>0</v>
      </c>
      <c r="J202" s="32">
        <f t="shared" si="10"/>
        <v>0</v>
      </c>
      <c r="K202" s="32">
        <f t="shared" si="11"/>
        <v>594.4541999999999</v>
      </c>
      <c r="L202" s="43">
        <f>IF(C202="ES",K202*INDEX(tbl_param_emb[Valor],MATCH("P-01",tbl_param_emb[ID_Parametro],0)),0)</f>
        <v>0</v>
      </c>
      <c r="M202" s="33" t="str">
        <f>IF(B202="Tampa","Componente",IFERROR(INDEX(tbl_recyclass[Grau_PPWR_Indicativo],MATCH(A202,tbl_recyclass[ProductId],0)),""))</f>
        <v>Não reciclável (F)</v>
      </c>
    </row>
    <row r="203" spans="1:13" ht="16.05" customHeight="1" x14ac:dyDescent="0.3">
      <c r="A203" s="26" t="s">
        <v>709</v>
      </c>
      <c r="B203" s="26" t="s">
        <v>1470</v>
      </c>
      <c r="C203" s="26" t="s">
        <v>1474</v>
      </c>
      <c r="D203" s="26" t="s">
        <v>1475</v>
      </c>
      <c r="E203" s="39">
        <v>2</v>
      </c>
      <c r="F203" s="37">
        <v>12599</v>
      </c>
      <c r="G203" s="38">
        <f>IFERROR(IF(B203="Tampa",INDEX(tbl_tampas[Massa_g],MATCH(A203,tbl_tampas[CapId],0)),INDEX(tbl_recyclass[Massa_Corpo_g],MATCH(A203,tbl_recyclass[ProductId],0))),0)</f>
        <v>30.9</v>
      </c>
      <c r="H203" s="32">
        <f t="shared" si="9"/>
        <v>389.3091</v>
      </c>
      <c r="I203" s="36">
        <f>IFERROR(IF(B203="Tampa",INDEX(tbl_tampas[Pct_PCR],MATCH(A203,tbl_tampas[CapId],0)),INDEX(tbl_recyclass[Pct_PCR_Corpo],MATCH(A203,tbl_recyclass[ProductId],0))),0)</f>
        <v>0</v>
      </c>
      <c r="J203" s="32">
        <f t="shared" si="10"/>
        <v>0</v>
      </c>
      <c r="K203" s="32">
        <f t="shared" si="11"/>
        <v>389.3091</v>
      </c>
      <c r="L203" s="43">
        <f>IF(C203="ES",K203*INDEX(tbl_param_emb[Valor],MATCH("P-01",tbl_param_emb[ID_Parametro],0)),0)</f>
        <v>175.18909500000001</v>
      </c>
      <c r="M203" s="33" t="str">
        <f>IF(B203="Tampa","Componente",IFERROR(INDEX(tbl_recyclass[Grau_PPWR_Indicativo],MATCH(A203,tbl_recyclass[ProductId],0)),""))</f>
        <v>Não reciclável (F)</v>
      </c>
    </row>
    <row r="204" spans="1:13" ht="16.05" customHeight="1" x14ac:dyDescent="0.3">
      <c r="A204" s="26" t="s">
        <v>713</v>
      </c>
      <c r="B204" s="26" t="s">
        <v>1470</v>
      </c>
      <c r="C204" s="26" t="s">
        <v>1476</v>
      </c>
      <c r="D204" s="26" t="s">
        <v>1477</v>
      </c>
      <c r="E204" s="39">
        <v>1</v>
      </c>
      <c r="F204" s="37">
        <v>6267</v>
      </c>
      <c r="G204" s="38">
        <f>IFERROR(IF(B204="Tampa",INDEX(tbl_tampas[Massa_g],MATCH(A204,tbl_tampas[CapId],0)),INDEX(tbl_recyclass[Massa_Corpo_g],MATCH(A204,tbl_recyclass[ProductId],0))),0)</f>
        <v>30.9</v>
      </c>
      <c r="H204" s="32">
        <f t="shared" si="9"/>
        <v>193.65029999999999</v>
      </c>
      <c r="I204" s="36">
        <f>IFERROR(IF(B204="Tampa",INDEX(tbl_tampas[Pct_PCR],MATCH(A204,tbl_tampas[CapId],0)),INDEX(tbl_recyclass[Pct_PCR_Corpo],MATCH(A204,tbl_recyclass[ProductId],0))),0)</f>
        <v>0.3</v>
      </c>
      <c r="J204" s="32">
        <f t="shared" si="10"/>
        <v>58.095089999999992</v>
      </c>
      <c r="K204" s="32">
        <f t="shared" si="11"/>
        <v>135.55520999999999</v>
      </c>
      <c r="L204" s="43">
        <f>IF(C204="ES",K204*INDEX(tbl_param_emb[Valor],MATCH("P-01",tbl_param_emb[ID_Parametro],0)),0)</f>
        <v>0</v>
      </c>
      <c r="M204" s="33" t="str">
        <f>IF(B204="Tampa","Componente",IFERROR(INDEX(tbl_recyclass[Grau_PPWR_Indicativo],MATCH(A204,tbl_recyclass[ProductId],0)),""))</f>
        <v>C</v>
      </c>
    </row>
    <row r="205" spans="1:13" ht="16.05" customHeight="1" x14ac:dyDescent="0.3">
      <c r="A205" s="26" t="s">
        <v>713</v>
      </c>
      <c r="B205" s="26" t="s">
        <v>1470</v>
      </c>
      <c r="C205" s="26" t="s">
        <v>1472</v>
      </c>
      <c r="D205" s="26" t="s">
        <v>1473</v>
      </c>
      <c r="E205" s="39">
        <v>1</v>
      </c>
      <c r="F205" s="37">
        <v>5946</v>
      </c>
      <c r="G205" s="38">
        <f>IFERROR(IF(B205="Tampa",INDEX(tbl_tampas[Massa_g],MATCH(A205,tbl_tampas[CapId],0)),INDEX(tbl_recyclass[Massa_Corpo_g],MATCH(A205,tbl_recyclass[ProductId],0))),0)</f>
        <v>30.9</v>
      </c>
      <c r="H205" s="32">
        <f t="shared" si="9"/>
        <v>183.73140000000001</v>
      </c>
      <c r="I205" s="36">
        <f>IFERROR(IF(B205="Tampa",INDEX(tbl_tampas[Pct_PCR],MATCH(A205,tbl_tampas[CapId],0)),INDEX(tbl_recyclass[Pct_PCR_Corpo],MATCH(A205,tbl_recyclass[ProductId],0))),0)</f>
        <v>0.3</v>
      </c>
      <c r="J205" s="32">
        <f t="shared" si="10"/>
        <v>55.119419999999998</v>
      </c>
      <c r="K205" s="32">
        <f t="shared" si="11"/>
        <v>128.61198000000002</v>
      </c>
      <c r="L205" s="43">
        <f>IF(C205="ES",K205*INDEX(tbl_param_emb[Valor],MATCH("P-01",tbl_param_emb[ID_Parametro],0)),0)</f>
        <v>0</v>
      </c>
      <c r="M205" s="33" t="str">
        <f>IF(B205="Tampa","Componente",IFERROR(INDEX(tbl_recyclass[Grau_PPWR_Indicativo],MATCH(A205,tbl_recyclass[ProductId],0)),""))</f>
        <v>C</v>
      </c>
    </row>
    <row r="206" spans="1:13" ht="16.05" customHeight="1" x14ac:dyDescent="0.3">
      <c r="A206" s="26" t="s">
        <v>713</v>
      </c>
      <c r="B206" s="26" t="s">
        <v>1470</v>
      </c>
      <c r="C206" s="26" t="s">
        <v>847</v>
      </c>
      <c r="D206" s="26" t="s">
        <v>1471</v>
      </c>
      <c r="E206" s="39">
        <v>6</v>
      </c>
      <c r="F206" s="37">
        <v>61279</v>
      </c>
      <c r="G206" s="38">
        <f>IFERROR(IF(B206="Tampa",INDEX(tbl_tampas[Massa_g],MATCH(A206,tbl_tampas[CapId],0)),INDEX(tbl_recyclass[Massa_Corpo_g],MATCH(A206,tbl_recyclass[ProductId],0))),0)</f>
        <v>30.9</v>
      </c>
      <c r="H206" s="32">
        <f t="shared" si="9"/>
        <v>1893.5210999999999</v>
      </c>
      <c r="I206" s="36">
        <f>IFERROR(IF(B206="Tampa",INDEX(tbl_tampas[Pct_PCR],MATCH(A206,tbl_tampas[CapId],0)),INDEX(tbl_recyclass[Pct_PCR_Corpo],MATCH(A206,tbl_recyclass[ProductId],0))),0)</f>
        <v>0.3</v>
      </c>
      <c r="J206" s="32">
        <f t="shared" si="10"/>
        <v>568.05633</v>
      </c>
      <c r="K206" s="32">
        <f t="shared" si="11"/>
        <v>1325.46477</v>
      </c>
      <c r="L206" s="43">
        <f>IF(C206="ES",K206*INDEX(tbl_param_emb[Valor],MATCH("P-01",tbl_param_emb[ID_Parametro],0)),0)</f>
        <v>0</v>
      </c>
      <c r="M206" s="33" t="str">
        <f>IF(B206="Tampa","Componente",IFERROR(INDEX(tbl_recyclass[Grau_PPWR_Indicativo],MATCH(A206,tbl_recyclass[ProductId],0)),""))</f>
        <v>C</v>
      </c>
    </row>
    <row r="207" spans="1:13" ht="16.05" customHeight="1" x14ac:dyDescent="0.3">
      <c r="A207" s="26" t="s">
        <v>713</v>
      </c>
      <c r="B207" s="26" t="s">
        <v>1470</v>
      </c>
      <c r="C207" s="26" t="s">
        <v>1474</v>
      </c>
      <c r="D207" s="26" t="s">
        <v>1475</v>
      </c>
      <c r="E207" s="39">
        <v>1</v>
      </c>
      <c r="F207" s="37">
        <v>8656</v>
      </c>
      <c r="G207" s="38">
        <f>IFERROR(IF(B207="Tampa",INDEX(tbl_tampas[Massa_g],MATCH(A207,tbl_tampas[CapId],0)),INDEX(tbl_recyclass[Massa_Corpo_g],MATCH(A207,tbl_recyclass[ProductId],0))),0)</f>
        <v>30.9</v>
      </c>
      <c r="H207" s="32">
        <f t="shared" si="9"/>
        <v>267.47039999999998</v>
      </c>
      <c r="I207" s="36">
        <f>IFERROR(IF(B207="Tampa",INDEX(tbl_tampas[Pct_PCR],MATCH(A207,tbl_tampas[CapId],0)),INDEX(tbl_recyclass[Pct_PCR_Corpo],MATCH(A207,tbl_recyclass[ProductId],0))),0)</f>
        <v>0.3</v>
      </c>
      <c r="J207" s="32">
        <f t="shared" si="10"/>
        <v>80.241119999999995</v>
      </c>
      <c r="K207" s="32">
        <f t="shared" si="11"/>
        <v>187.22927999999999</v>
      </c>
      <c r="L207" s="43">
        <f>IF(C207="ES",K207*INDEX(tbl_param_emb[Valor],MATCH("P-01",tbl_param_emb[ID_Parametro],0)),0)</f>
        <v>84.253175999999996</v>
      </c>
      <c r="M207" s="33" t="str">
        <f>IF(B207="Tampa","Componente",IFERROR(INDEX(tbl_recyclass[Grau_PPWR_Indicativo],MATCH(A207,tbl_recyclass[ProductId],0)),""))</f>
        <v>C</v>
      </c>
    </row>
    <row r="208" spans="1:13" ht="16.05" customHeight="1" x14ac:dyDescent="0.3">
      <c r="A208" s="26" t="s">
        <v>715</v>
      </c>
      <c r="B208" s="26" t="s">
        <v>1470</v>
      </c>
      <c r="C208" s="26" t="s">
        <v>1476</v>
      </c>
      <c r="D208" s="26" t="s">
        <v>1477</v>
      </c>
      <c r="E208" s="39">
        <v>1</v>
      </c>
      <c r="F208" s="37">
        <v>4493</v>
      </c>
      <c r="G208" s="38">
        <f>IFERROR(IF(B208="Tampa",INDEX(tbl_tampas[Massa_g],MATCH(A208,tbl_tampas[CapId],0)),INDEX(tbl_recyclass[Massa_Corpo_g],MATCH(A208,tbl_recyclass[ProductId],0))),0)</f>
        <v>30.9</v>
      </c>
      <c r="H208" s="32">
        <f t="shared" si="9"/>
        <v>138.83369999999999</v>
      </c>
      <c r="I208" s="36">
        <f>IFERROR(IF(B208="Tampa",INDEX(tbl_tampas[Pct_PCR],MATCH(A208,tbl_tampas[CapId],0)),INDEX(tbl_recyclass[Pct_PCR_Corpo],MATCH(A208,tbl_recyclass[ProductId],0))),0)</f>
        <v>0</v>
      </c>
      <c r="J208" s="32">
        <f t="shared" si="10"/>
        <v>0</v>
      </c>
      <c r="K208" s="32">
        <f t="shared" si="11"/>
        <v>138.83369999999999</v>
      </c>
      <c r="L208" s="43">
        <f>IF(C208="ES",K208*INDEX(tbl_param_emb[Valor],MATCH("P-01",tbl_param_emb[ID_Parametro],0)),0)</f>
        <v>0</v>
      </c>
      <c r="M208" s="33" t="str">
        <f>IF(B208="Tampa","Componente",IFERROR(INDEX(tbl_recyclass[Grau_PPWR_Indicativo],MATCH(A208,tbl_recyclass[ProductId],0)),""))</f>
        <v>Não reciclável (F)</v>
      </c>
    </row>
    <row r="209" spans="1:13" ht="16.05" customHeight="1" x14ac:dyDescent="0.3">
      <c r="A209" s="26" t="s">
        <v>715</v>
      </c>
      <c r="B209" s="26" t="s">
        <v>1470</v>
      </c>
      <c r="C209" s="26" t="s">
        <v>1478</v>
      </c>
      <c r="D209" s="26" t="s">
        <v>1479</v>
      </c>
      <c r="E209" s="39">
        <v>1</v>
      </c>
      <c r="F209" s="37">
        <v>6898</v>
      </c>
      <c r="G209" s="38">
        <f>IFERROR(IF(B209="Tampa",INDEX(tbl_tampas[Massa_g],MATCH(A209,tbl_tampas[CapId],0)),INDEX(tbl_recyclass[Massa_Corpo_g],MATCH(A209,tbl_recyclass[ProductId],0))),0)</f>
        <v>30.9</v>
      </c>
      <c r="H209" s="32">
        <f t="shared" si="9"/>
        <v>213.14819999999997</v>
      </c>
      <c r="I209" s="36">
        <f>IFERROR(IF(B209="Tampa",INDEX(tbl_tampas[Pct_PCR],MATCH(A209,tbl_tampas[CapId],0)),INDEX(tbl_recyclass[Pct_PCR_Corpo],MATCH(A209,tbl_recyclass[ProductId],0))),0)</f>
        <v>0</v>
      </c>
      <c r="J209" s="32">
        <f t="shared" si="10"/>
        <v>0</v>
      </c>
      <c r="K209" s="32">
        <f t="shared" si="11"/>
        <v>213.14819999999997</v>
      </c>
      <c r="L209" s="43">
        <f>IF(C209="ES",K209*INDEX(tbl_param_emb[Valor],MATCH("P-01",tbl_param_emb[ID_Parametro],0)),0)</f>
        <v>0</v>
      </c>
      <c r="M209" s="33" t="str">
        <f>IF(B209="Tampa","Componente",IFERROR(INDEX(tbl_recyclass[Grau_PPWR_Indicativo],MATCH(A209,tbl_recyclass[ProductId],0)),""))</f>
        <v>Não reciclável (F)</v>
      </c>
    </row>
    <row r="210" spans="1:13" ht="16.05" customHeight="1" x14ac:dyDescent="0.3">
      <c r="A210" s="26" t="s">
        <v>715</v>
      </c>
      <c r="B210" s="26" t="s">
        <v>1470</v>
      </c>
      <c r="C210" s="26" t="s">
        <v>847</v>
      </c>
      <c r="D210" s="26" t="s">
        <v>1471</v>
      </c>
      <c r="E210" s="39">
        <v>8</v>
      </c>
      <c r="F210" s="37">
        <v>51224</v>
      </c>
      <c r="G210" s="38">
        <f>IFERROR(IF(B210="Tampa",INDEX(tbl_tampas[Massa_g],MATCH(A210,tbl_tampas[CapId],0)),INDEX(tbl_recyclass[Massa_Corpo_g],MATCH(A210,tbl_recyclass[ProductId],0))),0)</f>
        <v>30.9</v>
      </c>
      <c r="H210" s="32">
        <f t="shared" si="9"/>
        <v>1582.8215999999998</v>
      </c>
      <c r="I210" s="36">
        <f>IFERROR(IF(B210="Tampa",INDEX(tbl_tampas[Pct_PCR],MATCH(A210,tbl_tampas[CapId],0)),INDEX(tbl_recyclass[Pct_PCR_Corpo],MATCH(A210,tbl_recyclass[ProductId],0))),0)</f>
        <v>0</v>
      </c>
      <c r="J210" s="32">
        <f t="shared" si="10"/>
        <v>0</v>
      </c>
      <c r="K210" s="32">
        <f t="shared" si="11"/>
        <v>1582.8215999999998</v>
      </c>
      <c r="L210" s="43">
        <f>IF(C210="ES",K210*INDEX(tbl_param_emb[Valor],MATCH("P-01",tbl_param_emb[ID_Parametro],0)),0)</f>
        <v>0</v>
      </c>
      <c r="M210" s="33" t="str">
        <f>IF(B210="Tampa","Componente",IFERROR(INDEX(tbl_recyclass[Grau_PPWR_Indicativo],MATCH(A210,tbl_recyclass[ProductId],0)),""))</f>
        <v>Não reciclável (F)</v>
      </c>
    </row>
    <row r="211" spans="1:13" ht="16.05" customHeight="1" x14ac:dyDescent="0.3">
      <c r="A211" s="26" t="s">
        <v>715</v>
      </c>
      <c r="B211" s="26" t="s">
        <v>1470</v>
      </c>
      <c r="C211" s="26" t="s">
        <v>1474</v>
      </c>
      <c r="D211" s="26" t="s">
        <v>1475</v>
      </c>
      <c r="E211" s="39">
        <v>1</v>
      </c>
      <c r="F211" s="37">
        <v>5966</v>
      </c>
      <c r="G211" s="38">
        <f>IFERROR(IF(B211="Tampa",INDEX(tbl_tampas[Massa_g],MATCH(A211,tbl_tampas[CapId],0)),INDEX(tbl_recyclass[Massa_Corpo_g],MATCH(A211,tbl_recyclass[ProductId],0))),0)</f>
        <v>30.9</v>
      </c>
      <c r="H211" s="32">
        <f t="shared" si="9"/>
        <v>184.3494</v>
      </c>
      <c r="I211" s="36">
        <f>IFERROR(IF(B211="Tampa",INDEX(tbl_tampas[Pct_PCR],MATCH(A211,tbl_tampas[CapId],0)),INDEX(tbl_recyclass[Pct_PCR_Corpo],MATCH(A211,tbl_recyclass[ProductId],0))),0)</f>
        <v>0</v>
      </c>
      <c r="J211" s="32">
        <f t="shared" si="10"/>
        <v>0</v>
      </c>
      <c r="K211" s="32">
        <f t="shared" si="11"/>
        <v>184.3494</v>
      </c>
      <c r="L211" s="43">
        <f>IF(C211="ES",K211*INDEX(tbl_param_emb[Valor],MATCH("P-01",tbl_param_emb[ID_Parametro],0)),0)</f>
        <v>82.95723000000001</v>
      </c>
      <c r="M211" s="33" t="str">
        <f>IF(B211="Tampa","Componente",IFERROR(INDEX(tbl_recyclass[Grau_PPWR_Indicativo],MATCH(A211,tbl_recyclass[ProductId],0)),""))</f>
        <v>Não reciclável (F)</v>
      </c>
    </row>
    <row r="212" spans="1:13" ht="16.05" customHeight="1" x14ac:dyDescent="0.3">
      <c r="A212" s="26" t="s">
        <v>719</v>
      </c>
      <c r="B212" s="26" t="s">
        <v>1470</v>
      </c>
      <c r="C212" s="26" t="s">
        <v>847</v>
      </c>
      <c r="D212" s="26" t="s">
        <v>1471</v>
      </c>
      <c r="E212" s="39">
        <v>2</v>
      </c>
      <c r="F212" s="37">
        <v>8075</v>
      </c>
      <c r="G212" s="38">
        <f>IFERROR(IF(B212="Tampa",INDEX(tbl_tampas[Massa_g],MATCH(A212,tbl_tampas[CapId],0)),INDEX(tbl_recyclass[Massa_Corpo_g],MATCH(A212,tbl_recyclass[ProductId],0))),0)</f>
        <v>30.9</v>
      </c>
      <c r="H212" s="32">
        <f t="shared" si="9"/>
        <v>249.51750000000001</v>
      </c>
      <c r="I212" s="36">
        <f>IFERROR(IF(B212="Tampa",INDEX(tbl_tampas[Pct_PCR],MATCH(A212,tbl_tampas[CapId],0)),INDEX(tbl_recyclass[Pct_PCR_Corpo],MATCH(A212,tbl_recyclass[ProductId],0))),0)</f>
        <v>0.5</v>
      </c>
      <c r="J212" s="32">
        <f t="shared" si="10"/>
        <v>124.75875000000001</v>
      </c>
      <c r="K212" s="32">
        <f t="shared" si="11"/>
        <v>124.75875000000001</v>
      </c>
      <c r="L212" s="43">
        <f>IF(C212="ES",K212*INDEX(tbl_param_emb[Valor],MATCH("P-01",tbl_param_emb[ID_Parametro],0)),0)</f>
        <v>0</v>
      </c>
      <c r="M212" s="33" t="str">
        <f>IF(B212="Tampa","Componente",IFERROR(INDEX(tbl_recyclass[Grau_PPWR_Indicativo],MATCH(A212,tbl_recyclass[ProductId],0)),""))</f>
        <v>A</v>
      </c>
    </row>
    <row r="213" spans="1:13" ht="16.05" customHeight="1" x14ac:dyDescent="0.3">
      <c r="A213" s="26" t="s">
        <v>719</v>
      </c>
      <c r="B213" s="26" t="s">
        <v>1470</v>
      </c>
      <c r="C213" s="26" t="s">
        <v>1474</v>
      </c>
      <c r="D213" s="26" t="s">
        <v>1475</v>
      </c>
      <c r="E213" s="39">
        <v>2</v>
      </c>
      <c r="F213" s="37">
        <v>10413</v>
      </c>
      <c r="G213" s="38">
        <f>IFERROR(IF(B213="Tampa",INDEX(tbl_tampas[Massa_g],MATCH(A213,tbl_tampas[CapId],0)),INDEX(tbl_recyclass[Massa_Corpo_g],MATCH(A213,tbl_recyclass[ProductId],0))),0)</f>
        <v>30.9</v>
      </c>
      <c r="H213" s="32">
        <f t="shared" si="9"/>
        <v>321.76170000000002</v>
      </c>
      <c r="I213" s="36">
        <f>IFERROR(IF(B213="Tampa",INDEX(tbl_tampas[Pct_PCR],MATCH(A213,tbl_tampas[CapId],0)),INDEX(tbl_recyclass[Pct_PCR_Corpo],MATCH(A213,tbl_recyclass[ProductId],0))),0)</f>
        <v>0.5</v>
      </c>
      <c r="J213" s="32">
        <f t="shared" si="10"/>
        <v>160.88085000000001</v>
      </c>
      <c r="K213" s="32">
        <f t="shared" si="11"/>
        <v>160.88085000000001</v>
      </c>
      <c r="L213" s="43">
        <f>IF(C213="ES",K213*INDEX(tbl_param_emb[Valor],MATCH("P-01",tbl_param_emb[ID_Parametro],0)),0)</f>
        <v>72.396382500000001</v>
      </c>
      <c r="M213" s="33" t="str">
        <f>IF(B213="Tampa","Componente",IFERROR(INDEX(tbl_recyclass[Grau_PPWR_Indicativo],MATCH(A213,tbl_recyclass[ProductId],0)),""))</f>
        <v>A</v>
      </c>
    </row>
    <row r="214" spans="1:13" ht="16.05" customHeight="1" x14ac:dyDescent="0.3">
      <c r="A214" s="26" t="s">
        <v>679</v>
      </c>
      <c r="B214" s="26" t="s">
        <v>1470</v>
      </c>
      <c r="C214" s="26" t="s">
        <v>1476</v>
      </c>
      <c r="D214" s="26" t="s">
        <v>1477</v>
      </c>
      <c r="E214" s="39">
        <v>1</v>
      </c>
      <c r="F214" s="37">
        <v>4631</v>
      </c>
      <c r="G214" s="38">
        <f>IFERROR(IF(B214="Tampa",INDEX(tbl_tampas[Massa_g],MATCH(A214,tbl_tampas[CapId],0)),INDEX(tbl_recyclass[Massa_Corpo_g],MATCH(A214,tbl_recyclass[ProductId],0))),0)</f>
        <v>30.9</v>
      </c>
      <c r="H214" s="32">
        <f t="shared" si="9"/>
        <v>143.09789999999998</v>
      </c>
      <c r="I214" s="36">
        <f>IFERROR(IF(B214="Tampa",INDEX(tbl_tampas[Pct_PCR],MATCH(A214,tbl_tampas[CapId],0)),INDEX(tbl_recyclass[Pct_PCR_Corpo],MATCH(A214,tbl_recyclass[ProductId],0))),0)</f>
        <v>0</v>
      </c>
      <c r="J214" s="32">
        <f t="shared" si="10"/>
        <v>0</v>
      </c>
      <c r="K214" s="32">
        <f t="shared" si="11"/>
        <v>143.09789999999998</v>
      </c>
      <c r="L214" s="43">
        <f>IF(C214="ES",K214*INDEX(tbl_param_emb[Valor],MATCH("P-01",tbl_param_emb[ID_Parametro],0)),0)</f>
        <v>0</v>
      </c>
      <c r="M214" s="33" t="str">
        <f>IF(B214="Tampa","Componente",IFERROR(INDEX(tbl_recyclass[Grau_PPWR_Indicativo],MATCH(A214,tbl_recyclass[ProductId],0)),""))</f>
        <v>B</v>
      </c>
    </row>
    <row r="215" spans="1:13" ht="16.05" customHeight="1" x14ac:dyDescent="0.3">
      <c r="A215" s="26" t="s">
        <v>679</v>
      </c>
      <c r="B215" s="26" t="s">
        <v>1470</v>
      </c>
      <c r="C215" s="26" t="s">
        <v>1478</v>
      </c>
      <c r="D215" s="26" t="s">
        <v>1479</v>
      </c>
      <c r="E215" s="39">
        <v>1</v>
      </c>
      <c r="F215" s="37">
        <v>4634</v>
      </c>
      <c r="G215" s="38">
        <f>IFERROR(IF(B215="Tampa",INDEX(tbl_tampas[Massa_g],MATCH(A215,tbl_tampas[CapId],0)),INDEX(tbl_recyclass[Massa_Corpo_g],MATCH(A215,tbl_recyclass[ProductId],0))),0)</f>
        <v>30.9</v>
      </c>
      <c r="H215" s="32">
        <f t="shared" si="9"/>
        <v>143.19060000000002</v>
      </c>
      <c r="I215" s="36">
        <f>IFERROR(IF(B215="Tampa",INDEX(tbl_tampas[Pct_PCR],MATCH(A215,tbl_tampas[CapId],0)),INDEX(tbl_recyclass[Pct_PCR_Corpo],MATCH(A215,tbl_recyclass[ProductId],0))),0)</f>
        <v>0</v>
      </c>
      <c r="J215" s="32">
        <f t="shared" si="10"/>
        <v>0</v>
      </c>
      <c r="K215" s="32">
        <f t="shared" si="11"/>
        <v>143.19060000000002</v>
      </c>
      <c r="L215" s="43">
        <f>IF(C215="ES",K215*INDEX(tbl_param_emb[Valor],MATCH("P-01",tbl_param_emb[ID_Parametro],0)),0)</f>
        <v>0</v>
      </c>
      <c r="M215" s="33" t="str">
        <f>IF(B215="Tampa","Componente",IFERROR(INDEX(tbl_recyclass[Grau_PPWR_Indicativo],MATCH(A215,tbl_recyclass[ProductId],0)),""))</f>
        <v>B</v>
      </c>
    </row>
    <row r="216" spans="1:13" ht="16.05" customHeight="1" x14ac:dyDescent="0.3">
      <c r="A216" s="26" t="s">
        <v>679</v>
      </c>
      <c r="B216" s="26" t="s">
        <v>1470</v>
      </c>
      <c r="C216" s="26" t="s">
        <v>1480</v>
      </c>
      <c r="D216" s="26" t="s">
        <v>1481</v>
      </c>
      <c r="E216" s="39">
        <v>1</v>
      </c>
      <c r="F216" s="37">
        <v>6388</v>
      </c>
      <c r="G216" s="38">
        <f>IFERROR(IF(B216="Tampa",INDEX(tbl_tampas[Massa_g],MATCH(A216,tbl_tampas[CapId],0)),INDEX(tbl_recyclass[Massa_Corpo_g],MATCH(A216,tbl_recyclass[ProductId],0))),0)</f>
        <v>30.9</v>
      </c>
      <c r="H216" s="32">
        <f t="shared" si="9"/>
        <v>197.38919999999999</v>
      </c>
      <c r="I216" s="36">
        <f>IFERROR(IF(B216="Tampa",INDEX(tbl_tampas[Pct_PCR],MATCH(A216,tbl_tampas[CapId],0)),INDEX(tbl_recyclass[Pct_PCR_Corpo],MATCH(A216,tbl_recyclass[ProductId],0))),0)</f>
        <v>0</v>
      </c>
      <c r="J216" s="32">
        <f t="shared" si="10"/>
        <v>0</v>
      </c>
      <c r="K216" s="32">
        <f t="shared" si="11"/>
        <v>197.38919999999999</v>
      </c>
      <c r="L216" s="43">
        <f>IF(C216="ES",K216*INDEX(tbl_param_emb[Valor],MATCH("P-01",tbl_param_emb[ID_Parametro],0)),0)</f>
        <v>0</v>
      </c>
      <c r="M216" s="33" t="str">
        <f>IF(B216="Tampa","Componente",IFERROR(INDEX(tbl_recyclass[Grau_PPWR_Indicativo],MATCH(A216,tbl_recyclass[ProductId],0)),""))</f>
        <v>B</v>
      </c>
    </row>
    <row r="217" spans="1:13" ht="16.05" customHeight="1" x14ac:dyDescent="0.3">
      <c r="A217" s="26" t="s">
        <v>679</v>
      </c>
      <c r="B217" s="26" t="s">
        <v>1470</v>
      </c>
      <c r="C217" s="26" t="s">
        <v>847</v>
      </c>
      <c r="D217" s="26" t="s">
        <v>1471</v>
      </c>
      <c r="E217" s="39">
        <v>4</v>
      </c>
      <c r="F217" s="37">
        <v>39389</v>
      </c>
      <c r="G217" s="38">
        <f>IFERROR(IF(B217="Tampa",INDEX(tbl_tampas[Massa_g],MATCH(A217,tbl_tampas[CapId],0)),INDEX(tbl_recyclass[Massa_Corpo_g],MATCH(A217,tbl_recyclass[ProductId],0))),0)</f>
        <v>30.9</v>
      </c>
      <c r="H217" s="32">
        <f t="shared" si="9"/>
        <v>1217.1200999999999</v>
      </c>
      <c r="I217" s="36">
        <f>IFERROR(IF(B217="Tampa",INDEX(tbl_tampas[Pct_PCR],MATCH(A217,tbl_tampas[CapId],0)),INDEX(tbl_recyclass[Pct_PCR_Corpo],MATCH(A217,tbl_recyclass[ProductId],0))),0)</f>
        <v>0</v>
      </c>
      <c r="J217" s="32">
        <f t="shared" si="10"/>
        <v>0</v>
      </c>
      <c r="K217" s="32">
        <f t="shared" si="11"/>
        <v>1217.1200999999999</v>
      </c>
      <c r="L217" s="43">
        <f>IF(C217="ES",K217*INDEX(tbl_param_emb[Valor],MATCH("P-01",tbl_param_emb[ID_Parametro],0)),0)</f>
        <v>0</v>
      </c>
      <c r="M217" s="33" t="str">
        <f>IF(B217="Tampa","Componente",IFERROR(INDEX(tbl_recyclass[Grau_PPWR_Indicativo],MATCH(A217,tbl_recyclass[ProductId],0)),""))</f>
        <v>B</v>
      </c>
    </row>
    <row r="218" spans="1:13" ht="16.05" customHeight="1" x14ac:dyDescent="0.3">
      <c r="A218" s="26" t="s">
        <v>679</v>
      </c>
      <c r="B218" s="26" t="s">
        <v>1470</v>
      </c>
      <c r="C218" s="26" t="s">
        <v>1474</v>
      </c>
      <c r="D218" s="26" t="s">
        <v>1475</v>
      </c>
      <c r="E218" s="39">
        <v>2</v>
      </c>
      <c r="F218" s="37">
        <v>12079</v>
      </c>
      <c r="G218" s="38">
        <f>IFERROR(IF(B218="Tampa",INDEX(tbl_tampas[Massa_g],MATCH(A218,tbl_tampas[CapId],0)),INDEX(tbl_recyclass[Massa_Corpo_g],MATCH(A218,tbl_recyclass[ProductId],0))),0)</f>
        <v>30.9</v>
      </c>
      <c r="H218" s="32">
        <f t="shared" si="9"/>
        <v>373.24109999999996</v>
      </c>
      <c r="I218" s="36">
        <f>IFERROR(IF(B218="Tampa",INDEX(tbl_tampas[Pct_PCR],MATCH(A218,tbl_tampas[CapId],0)),INDEX(tbl_recyclass[Pct_PCR_Corpo],MATCH(A218,tbl_recyclass[ProductId],0))),0)</f>
        <v>0</v>
      </c>
      <c r="J218" s="32">
        <f t="shared" si="10"/>
        <v>0</v>
      </c>
      <c r="K218" s="32">
        <f t="shared" si="11"/>
        <v>373.24109999999996</v>
      </c>
      <c r="L218" s="43">
        <f>IF(C218="ES",K218*INDEX(tbl_param_emb[Valor],MATCH("P-01",tbl_param_emb[ID_Parametro],0)),0)</f>
        <v>167.958495</v>
      </c>
      <c r="M218" s="33" t="str">
        <f>IF(B218="Tampa","Componente",IFERROR(INDEX(tbl_recyclass[Grau_PPWR_Indicativo],MATCH(A218,tbl_recyclass[ProductId],0)),""))</f>
        <v>B</v>
      </c>
    </row>
    <row r="219" spans="1:13" ht="16.05" customHeight="1" x14ac:dyDescent="0.3">
      <c r="A219" s="26" t="s">
        <v>685</v>
      </c>
      <c r="B219" s="26" t="s">
        <v>1470</v>
      </c>
      <c r="C219" s="26" t="s">
        <v>1472</v>
      </c>
      <c r="D219" s="26" t="s">
        <v>1473</v>
      </c>
      <c r="E219" s="39">
        <v>1</v>
      </c>
      <c r="F219" s="37">
        <v>4885</v>
      </c>
      <c r="G219" s="38">
        <f>IFERROR(IF(B219="Tampa",INDEX(tbl_tampas[Massa_g],MATCH(A219,tbl_tampas[CapId],0)),INDEX(tbl_recyclass[Massa_Corpo_g],MATCH(A219,tbl_recyclass[ProductId],0))),0)</f>
        <v>30.9</v>
      </c>
      <c r="H219" s="32">
        <f t="shared" si="9"/>
        <v>150.94649999999999</v>
      </c>
      <c r="I219" s="36">
        <f>IFERROR(IF(B219="Tampa",INDEX(tbl_tampas[Pct_PCR],MATCH(A219,tbl_tampas[CapId],0)),INDEX(tbl_recyclass[Pct_PCR_Corpo],MATCH(A219,tbl_recyclass[ProductId],0))),0)</f>
        <v>0.3</v>
      </c>
      <c r="J219" s="32">
        <f t="shared" si="10"/>
        <v>45.283949999999997</v>
      </c>
      <c r="K219" s="32">
        <f t="shared" si="11"/>
        <v>105.66254999999998</v>
      </c>
      <c r="L219" s="43">
        <f>IF(C219="ES",K219*INDEX(tbl_param_emb[Valor],MATCH("P-01",tbl_param_emb[ID_Parametro],0)),0)</f>
        <v>0</v>
      </c>
      <c r="M219" s="33" t="str">
        <f>IF(B219="Tampa","Componente",IFERROR(INDEX(tbl_recyclass[Grau_PPWR_Indicativo],MATCH(A219,tbl_recyclass[ProductId],0)),""))</f>
        <v>B</v>
      </c>
    </row>
    <row r="220" spans="1:13" ht="16.05" customHeight="1" x14ac:dyDescent="0.3">
      <c r="A220" s="26" t="s">
        <v>685</v>
      </c>
      <c r="B220" s="26" t="s">
        <v>1470</v>
      </c>
      <c r="C220" s="26" t="s">
        <v>1478</v>
      </c>
      <c r="D220" s="26" t="s">
        <v>1479</v>
      </c>
      <c r="E220" s="39">
        <v>1</v>
      </c>
      <c r="F220" s="37">
        <v>11230</v>
      </c>
      <c r="G220" s="38">
        <f>IFERROR(IF(B220="Tampa",INDEX(tbl_tampas[Massa_g],MATCH(A220,tbl_tampas[CapId],0)),INDEX(tbl_recyclass[Massa_Corpo_g],MATCH(A220,tbl_recyclass[ProductId],0))),0)</f>
        <v>30.9</v>
      </c>
      <c r="H220" s="32">
        <f t="shared" si="9"/>
        <v>347.00700000000001</v>
      </c>
      <c r="I220" s="36">
        <f>IFERROR(IF(B220="Tampa",INDEX(tbl_tampas[Pct_PCR],MATCH(A220,tbl_tampas[CapId],0)),INDEX(tbl_recyclass[Pct_PCR_Corpo],MATCH(A220,tbl_recyclass[ProductId],0))),0)</f>
        <v>0.3</v>
      </c>
      <c r="J220" s="32">
        <f t="shared" si="10"/>
        <v>104.10209999999999</v>
      </c>
      <c r="K220" s="32">
        <f t="shared" si="11"/>
        <v>242.9049</v>
      </c>
      <c r="L220" s="43">
        <f>IF(C220="ES",K220*INDEX(tbl_param_emb[Valor],MATCH("P-01",tbl_param_emb[ID_Parametro],0)),0)</f>
        <v>0</v>
      </c>
      <c r="M220" s="33" t="str">
        <f>IF(B220="Tampa","Componente",IFERROR(INDEX(tbl_recyclass[Grau_PPWR_Indicativo],MATCH(A220,tbl_recyclass[ProductId],0)),""))</f>
        <v>B</v>
      </c>
    </row>
    <row r="221" spans="1:13" ht="16.05" customHeight="1" x14ac:dyDescent="0.3">
      <c r="A221" s="26" t="s">
        <v>685</v>
      </c>
      <c r="B221" s="26" t="s">
        <v>1470</v>
      </c>
      <c r="C221" s="26" t="s">
        <v>1480</v>
      </c>
      <c r="D221" s="26" t="s">
        <v>1481</v>
      </c>
      <c r="E221" s="39">
        <v>1</v>
      </c>
      <c r="F221" s="37">
        <v>4480</v>
      </c>
      <c r="G221" s="38">
        <f>IFERROR(IF(B221="Tampa",INDEX(tbl_tampas[Massa_g],MATCH(A221,tbl_tampas[CapId],0)),INDEX(tbl_recyclass[Massa_Corpo_g],MATCH(A221,tbl_recyclass[ProductId],0))),0)</f>
        <v>30.9</v>
      </c>
      <c r="H221" s="32">
        <f t="shared" si="9"/>
        <v>138.43199999999999</v>
      </c>
      <c r="I221" s="36">
        <f>IFERROR(IF(B221="Tampa",INDEX(tbl_tampas[Pct_PCR],MATCH(A221,tbl_tampas[CapId],0)),INDEX(tbl_recyclass[Pct_PCR_Corpo],MATCH(A221,tbl_recyclass[ProductId],0))),0)</f>
        <v>0.3</v>
      </c>
      <c r="J221" s="32">
        <f t="shared" si="10"/>
        <v>41.529599999999995</v>
      </c>
      <c r="K221" s="32">
        <f t="shared" si="11"/>
        <v>96.9024</v>
      </c>
      <c r="L221" s="43">
        <f>IF(C221="ES",K221*INDEX(tbl_param_emb[Valor],MATCH("P-01",tbl_param_emb[ID_Parametro],0)),0)</f>
        <v>0</v>
      </c>
      <c r="M221" s="33" t="str">
        <f>IF(B221="Tampa","Componente",IFERROR(INDEX(tbl_recyclass[Grau_PPWR_Indicativo],MATCH(A221,tbl_recyclass[ProductId],0)),""))</f>
        <v>B</v>
      </c>
    </row>
    <row r="222" spans="1:13" ht="16.05" customHeight="1" x14ac:dyDescent="0.3">
      <c r="A222" s="26" t="s">
        <v>685</v>
      </c>
      <c r="B222" s="26" t="s">
        <v>1470</v>
      </c>
      <c r="C222" s="26" t="s">
        <v>847</v>
      </c>
      <c r="D222" s="26" t="s">
        <v>1471</v>
      </c>
      <c r="E222" s="39">
        <v>7</v>
      </c>
      <c r="F222" s="37">
        <v>69159</v>
      </c>
      <c r="G222" s="38">
        <f>IFERROR(IF(B222="Tampa",INDEX(tbl_tampas[Massa_g],MATCH(A222,tbl_tampas[CapId],0)),INDEX(tbl_recyclass[Massa_Corpo_g],MATCH(A222,tbl_recyclass[ProductId],0))),0)</f>
        <v>30.9</v>
      </c>
      <c r="H222" s="32">
        <f t="shared" si="9"/>
        <v>2137.0131000000001</v>
      </c>
      <c r="I222" s="36">
        <f>IFERROR(IF(B222="Tampa",INDEX(tbl_tampas[Pct_PCR],MATCH(A222,tbl_tampas[CapId],0)),INDEX(tbl_recyclass[Pct_PCR_Corpo],MATCH(A222,tbl_recyclass[ProductId],0))),0)</f>
        <v>0.3</v>
      </c>
      <c r="J222" s="32">
        <f t="shared" si="10"/>
        <v>641.10392999999999</v>
      </c>
      <c r="K222" s="32">
        <f t="shared" si="11"/>
        <v>1495.9091700000001</v>
      </c>
      <c r="L222" s="43">
        <f>IF(C222="ES",K222*INDEX(tbl_param_emb[Valor],MATCH("P-01",tbl_param_emb[ID_Parametro],0)),0)</f>
        <v>0</v>
      </c>
      <c r="M222" s="33" t="str">
        <f>IF(B222="Tampa","Componente",IFERROR(INDEX(tbl_recyclass[Grau_PPWR_Indicativo],MATCH(A222,tbl_recyclass[ProductId],0)),""))</f>
        <v>B</v>
      </c>
    </row>
    <row r="223" spans="1:13" ht="16.05" customHeight="1" x14ac:dyDescent="0.3">
      <c r="A223" s="26" t="s">
        <v>703</v>
      </c>
      <c r="B223" s="26" t="s">
        <v>1470</v>
      </c>
      <c r="C223" s="26" t="s">
        <v>1472</v>
      </c>
      <c r="D223" s="26" t="s">
        <v>1473</v>
      </c>
      <c r="E223" s="39">
        <v>1</v>
      </c>
      <c r="F223" s="37">
        <v>5785</v>
      </c>
      <c r="G223" s="38">
        <f>IFERROR(IF(B223="Tampa",INDEX(tbl_tampas[Massa_g],MATCH(A223,tbl_tampas[CapId],0)),INDEX(tbl_recyclass[Massa_Corpo_g],MATCH(A223,tbl_recyclass[ProductId],0))),0)</f>
        <v>30.9</v>
      </c>
      <c r="H223" s="32">
        <f t="shared" si="9"/>
        <v>178.75649999999999</v>
      </c>
      <c r="I223" s="36">
        <f>IFERROR(IF(B223="Tampa",INDEX(tbl_tampas[Pct_PCR],MATCH(A223,tbl_tampas[CapId],0)),INDEX(tbl_recyclass[Pct_PCR_Corpo],MATCH(A223,tbl_recyclass[ProductId],0))),0)</f>
        <v>0</v>
      </c>
      <c r="J223" s="32">
        <f t="shared" si="10"/>
        <v>0</v>
      </c>
      <c r="K223" s="32">
        <f t="shared" si="11"/>
        <v>178.75649999999999</v>
      </c>
      <c r="L223" s="43">
        <f>IF(C223="ES",K223*INDEX(tbl_param_emb[Valor],MATCH("P-01",tbl_param_emb[ID_Parametro],0)),0)</f>
        <v>0</v>
      </c>
      <c r="M223" s="33" t="str">
        <f>IF(B223="Tampa","Componente",IFERROR(INDEX(tbl_recyclass[Grau_PPWR_Indicativo],MATCH(A223,tbl_recyclass[ProductId],0)),""))</f>
        <v>Não reciclável (F)</v>
      </c>
    </row>
    <row r="224" spans="1:13" ht="16.05" customHeight="1" x14ac:dyDescent="0.3">
      <c r="A224" s="26" t="s">
        <v>703</v>
      </c>
      <c r="B224" s="26" t="s">
        <v>1470</v>
      </c>
      <c r="C224" s="26" t="s">
        <v>1478</v>
      </c>
      <c r="D224" s="26" t="s">
        <v>1479</v>
      </c>
      <c r="E224" s="39">
        <v>1</v>
      </c>
      <c r="F224" s="37">
        <v>5297</v>
      </c>
      <c r="G224" s="38">
        <f>IFERROR(IF(B224="Tampa",INDEX(tbl_tampas[Massa_g],MATCH(A224,tbl_tampas[CapId],0)),INDEX(tbl_recyclass[Massa_Corpo_g],MATCH(A224,tbl_recyclass[ProductId],0))),0)</f>
        <v>30.9</v>
      </c>
      <c r="H224" s="32">
        <f t="shared" si="9"/>
        <v>163.6773</v>
      </c>
      <c r="I224" s="36">
        <f>IFERROR(IF(B224="Tampa",INDEX(tbl_tampas[Pct_PCR],MATCH(A224,tbl_tampas[CapId],0)),INDEX(tbl_recyclass[Pct_PCR_Corpo],MATCH(A224,tbl_recyclass[ProductId],0))),0)</f>
        <v>0</v>
      </c>
      <c r="J224" s="32">
        <f t="shared" si="10"/>
        <v>0</v>
      </c>
      <c r="K224" s="32">
        <f t="shared" si="11"/>
        <v>163.6773</v>
      </c>
      <c r="L224" s="43">
        <f>IF(C224="ES",K224*INDEX(tbl_param_emb[Valor],MATCH("P-01",tbl_param_emb[ID_Parametro],0)),0)</f>
        <v>0</v>
      </c>
      <c r="M224" s="33" t="str">
        <f>IF(B224="Tampa","Componente",IFERROR(INDEX(tbl_recyclass[Grau_PPWR_Indicativo],MATCH(A224,tbl_recyclass[ProductId],0)),""))</f>
        <v>Não reciclável (F)</v>
      </c>
    </row>
    <row r="225" spans="1:13" ht="16.05" customHeight="1" x14ac:dyDescent="0.3">
      <c r="A225" s="26" t="s">
        <v>703</v>
      </c>
      <c r="B225" s="26" t="s">
        <v>1470</v>
      </c>
      <c r="C225" s="26" t="s">
        <v>1480</v>
      </c>
      <c r="D225" s="26" t="s">
        <v>1481</v>
      </c>
      <c r="E225" s="39">
        <v>1</v>
      </c>
      <c r="F225" s="37">
        <v>3311</v>
      </c>
      <c r="G225" s="38">
        <f>IFERROR(IF(B225="Tampa",INDEX(tbl_tampas[Massa_g],MATCH(A225,tbl_tampas[CapId],0)),INDEX(tbl_recyclass[Massa_Corpo_g],MATCH(A225,tbl_recyclass[ProductId],0))),0)</f>
        <v>30.9</v>
      </c>
      <c r="H225" s="32">
        <f t="shared" si="9"/>
        <v>102.3099</v>
      </c>
      <c r="I225" s="36">
        <f>IFERROR(IF(B225="Tampa",INDEX(tbl_tampas[Pct_PCR],MATCH(A225,tbl_tampas[CapId],0)),INDEX(tbl_recyclass[Pct_PCR_Corpo],MATCH(A225,tbl_recyclass[ProductId],0))),0)</f>
        <v>0</v>
      </c>
      <c r="J225" s="32">
        <f t="shared" si="10"/>
        <v>0</v>
      </c>
      <c r="K225" s="32">
        <f t="shared" si="11"/>
        <v>102.3099</v>
      </c>
      <c r="L225" s="43">
        <f>IF(C225="ES",K225*INDEX(tbl_param_emb[Valor],MATCH("P-01",tbl_param_emb[ID_Parametro],0)),0)</f>
        <v>0</v>
      </c>
      <c r="M225" s="33" t="str">
        <f>IF(B225="Tampa","Componente",IFERROR(INDEX(tbl_recyclass[Grau_PPWR_Indicativo],MATCH(A225,tbl_recyclass[ProductId],0)),""))</f>
        <v>Não reciclável (F)</v>
      </c>
    </row>
    <row r="226" spans="1:13" ht="16.05" customHeight="1" x14ac:dyDescent="0.3">
      <c r="A226" s="26" t="s">
        <v>703</v>
      </c>
      <c r="B226" s="26" t="s">
        <v>1470</v>
      </c>
      <c r="C226" s="26" t="s">
        <v>847</v>
      </c>
      <c r="D226" s="26" t="s">
        <v>1471</v>
      </c>
      <c r="E226" s="39">
        <v>2</v>
      </c>
      <c r="F226" s="37">
        <v>11034</v>
      </c>
      <c r="G226" s="38">
        <f>IFERROR(IF(B226="Tampa",INDEX(tbl_tampas[Massa_g],MATCH(A226,tbl_tampas[CapId],0)),INDEX(tbl_recyclass[Massa_Corpo_g],MATCH(A226,tbl_recyclass[ProductId],0))),0)</f>
        <v>30.9</v>
      </c>
      <c r="H226" s="32">
        <f t="shared" si="9"/>
        <v>340.95059999999995</v>
      </c>
      <c r="I226" s="36">
        <f>IFERROR(IF(B226="Tampa",INDEX(tbl_tampas[Pct_PCR],MATCH(A226,tbl_tampas[CapId],0)),INDEX(tbl_recyclass[Pct_PCR_Corpo],MATCH(A226,tbl_recyclass[ProductId],0))),0)</f>
        <v>0</v>
      </c>
      <c r="J226" s="32">
        <f t="shared" si="10"/>
        <v>0</v>
      </c>
      <c r="K226" s="32">
        <f t="shared" si="11"/>
        <v>340.95059999999995</v>
      </c>
      <c r="L226" s="43">
        <f>IF(C226="ES",K226*INDEX(tbl_param_emb[Valor],MATCH("P-01",tbl_param_emb[ID_Parametro],0)),0)</f>
        <v>0</v>
      </c>
      <c r="M226" s="33" t="str">
        <f>IF(B226="Tampa","Componente",IFERROR(INDEX(tbl_recyclass[Grau_PPWR_Indicativo],MATCH(A226,tbl_recyclass[ProductId],0)),""))</f>
        <v>Não reciclável (F)</v>
      </c>
    </row>
    <row r="227" spans="1:13" ht="16.05" customHeight="1" x14ac:dyDescent="0.3">
      <c r="A227" s="26" t="s">
        <v>703</v>
      </c>
      <c r="B227" s="26" t="s">
        <v>1470</v>
      </c>
      <c r="C227" s="26" t="s">
        <v>1474</v>
      </c>
      <c r="D227" s="26" t="s">
        <v>1475</v>
      </c>
      <c r="E227" s="39">
        <v>1</v>
      </c>
      <c r="F227" s="37">
        <v>4293</v>
      </c>
      <c r="G227" s="38">
        <f>IFERROR(IF(B227="Tampa",INDEX(tbl_tampas[Massa_g],MATCH(A227,tbl_tampas[CapId],0)),INDEX(tbl_recyclass[Massa_Corpo_g],MATCH(A227,tbl_recyclass[ProductId],0))),0)</f>
        <v>30.9</v>
      </c>
      <c r="H227" s="32">
        <f t="shared" si="9"/>
        <v>132.65369999999999</v>
      </c>
      <c r="I227" s="36">
        <f>IFERROR(IF(B227="Tampa",INDEX(tbl_tampas[Pct_PCR],MATCH(A227,tbl_tampas[CapId],0)),INDEX(tbl_recyclass[Pct_PCR_Corpo],MATCH(A227,tbl_recyclass[ProductId],0))),0)</f>
        <v>0</v>
      </c>
      <c r="J227" s="32">
        <f t="shared" si="10"/>
        <v>0</v>
      </c>
      <c r="K227" s="32">
        <f t="shared" si="11"/>
        <v>132.65369999999999</v>
      </c>
      <c r="L227" s="43">
        <f>IF(C227="ES",K227*INDEX(tbl_param_emb[Valor],MATCH("P-01",tbl_param_emb[ID_Parametro],0)),0)</f>
        <v>59.694164999999998</v>
      </c>
      <c r="M227" s="33" t="str">
        <f>IF(B227="Tampa","Componente",IFERROR(INDEX(tbl_recyclass[Grau_PPWR_Indicativo],MATCH(A227,tbl_recyclass[ProductId],0)),""))</f>
        <v>Não reciclável (F)</v>
      </c>
    </row>
    <row r="228" spans="1:13" ht="16.05" customHeight="1" x14ac:dyDescent="0.3">
      <c r="A228" s="26" t="s">
        <v>707</v>
      </c>
      <c r="B228" s="26" t="s">
        <v>1470</v>
      </c>
      <c r="C228" s="26" t="s">
        <v>1476</v>
      </c>
      <c r="D228" s="26" t="s">
        <v>1477</v>
      </c>
      <c r="E228" s="39">
        <v>1</v>
      </c>
      <c r="F228" s="37">
        <v>5630</v>
      </c>
      <c r="G228" s="38">
        <f>IFERROR(IF(B228="Tampa",INDEX(tbl_tampas[Massa_g],MATCH(A228,tbl_tampas[CapId],0)),INDEX(tbl_recyclass[Massa_Corpo_g],MATCH(A228,tbl_recyclass[ProductId],0))),0)</f>
        <v>30.9</v>
      </c>
      <c r="H228" s="32">
        <f t="shared" si="9"/>
        <v>173.96700000000001</v>
      </c>
      <c r="I228" s="36">
        <f>IFERROR(IF(B228="Tampa",INDEX(tbl_tampas[Pct_PCR],MATCH(A228,tbl_tampas[CapId],0)),INDEX(tbl_recyclass[Pct_PCR_Corpo],MATCH(A228,tbl_recyclass[ProductId],0))),0)</f>
        <v>0</v>
      </c>
      <c r="J228" s="32">
        <f t="shared" si="10"/>
        <v>0</v>
      </c>
      <c r="K228" s="32">
        <f t="shared" si="11"/>
        <v>173.96700000000001</v>
      </c>
      <c r="L228" s="43">
        <f>IF(C228="ES",K228*INDEX(tbl_param_emb[Valor],MATCH("P-01",tbl_param_emb[ID_Parametro],0)),0)</f>
        <v>0</v>
      </c>
      <c r="M228" s="33" t="str">
        <f>IF(B228="Tampa","Componente",IFERROR(INDEX(tbl_recyclass[Grau_PPWR_Indicativo],MATCH(A228,tbl_recyclass[ProductId],0)),""))</f>
        <v>A</v>
      </c>
    </row>
    <row r="229" spans="1:13" ht="16.05" customHeight="1" x14ac:dyDescent="0.3">
      <c r="A229" s="26" t="s">
        <v>707</v>
      </c>
      <c r="B229" s="26" t="s">
        <v>1470</v>
      </c>
      <c r="C229" s="26" t="s">
        <v>1472</v>
      </c>
      <c r="D229" s="26" t="s">
        <v>1473</v>
      </c>
      <c r="E229" s="39">
        <v>1</v>
      </c>
      <c r="F229" s="37">
        <v>4326</v>
      </c>
      <c r="G229" s="38">
        <f>IFERROR(IF(B229="Tampa",INDEX(tbl_tampas[Massa_g],MATCH(A229,tbl_tampas[CapId],0)),INDEX(tbl_recyclass[Massa_Corpo_g],MATCH(A229,tbl_recyclass[ProductId],0))),0)</f>
        <v>30.9</v>
      </c>
      <c r="H229" s="32">
        <f t="shared" si="9"/>
        <v>133.67339999999999</v>
      </c>
      <c r="I229" s="36">
        <f>IFERROR(IF(B229="Tampa",INDEX(tbl_tampas[Pct_PCR],MATCH(A229,tbl_tampas[CapId],0)),INDEX(tbl_recyclass[Pct_PCR_Corpo],MATCH(A229,tbl_recyclass[ProductId],0))),0)</f>
        <v>0</v>
      </c>
      <c r="J229" s="32">
        <f t="shared" si="10"/>
        <v>0</v>
      </c>
      <c r="K229" s="32">
        <f t="shared" si="11"/>
        <v>133.67339999999999</v>
      </c>
      <c r="L229" s="43">
        <f>IF(C229="ES",K229*INDEX(tbl_param_emb[Valor],MATCH("P-01",tbl_param_emb[ID_Parametro],0)),0)</f>
        <v>0</v>
      </c>
      <c r="M229" s="33" t="str">
        <f>IF(B229="Tampa","Componente",IFERROR(INDEX(tbl_recyclass[Grau_PPWR_Indicativo],MATCH(A229,tbl_recyclass[ProductId],0)),""))</f>
        <v>A</v>
      </c>
    </row>
    <row r="230" spans="1:13" ht="16.05" customHeight="1" x14ac:dyDescent="0.3">
      <c r="A230" s="26" t="s">
        <v>707</v>
      </c>
      <c r="B230" s="26" t="s">
        <v>1470</v>
      </c>
      <c r="C230" s="26" t="s">
        <v>1478</v>
      </c>
      <c r="D230" s="26" t="s">
        <v>1479</v>
      </c>
      <c r="E230" s="39">
        <v>1</v>
      </c>
      <c r="F230" s="37">
        <v>14119</v>
      </c>
      <c r="G230" s="38">
        <f>IFERROR(IF(B230="Tampa",INDEX(tbl_tampas[Massa_g],MATCH(A230,tbl_tampas[CapId],0)),INDEX(tbl_recyclass[Massa_Corpo_g],MATCH(A230,tbl_recyclass[ProductId],0))),0)</f>
        <v>30.9</v>
      </c>
      <c r="H230" s="32">
        <f t="shared" si="9"/>
        <v>436.27709999999996</v>
      </c>
      <c r="I230" s="36">
        <f>IFERROR(IF(B230="Tampa",INDEX(tbl_tampas[Pct_PCR],MATCH(A230,tbl_tampas[CapId],0)),INDEX(tbl_recyclass[Pct_PCR_Corpo],MATCH(A230,tbl_recyclass[ProductId],0))),0)</f>
        <v>0</v>
      </c>
      <c r="J230" s="32">
        <f t="shared" si="10"/>
        <v>0</v>
      </c>
      <c r="K230" s="32">
        <f t="shared" si="11"/>
        <v>436.27709999999996</v>
      </c>
      <c r="L230" s="43">
        <f>IF(C230="ES",K230*INDEX(tbl_param_emb[Valor],MATCH("P-01",tbl_param_emb[ID_Parametro],0)),0)</f>
        <v>0</v>
      </c>
      <c r="M230" s="33" t="str">
        <f>IF(B230="Tampa","Componente",IFERROR(INDEX(tbl_recyclass[Grau_PPWR_Indicativo],MATCH(A230,tbl_recyclass[ProductId],0)),""))</f>
        <v>A</v>
      </c>
    </row>
    <row r="231" spans="1:13" ht="16.05" customHeight="1" x14ac:dyDescent="0.3">
      <c r="A231" s="26" t="s">
        <v>707</v>
      </c>
      <c r="B231" s="26" t="s">
        <v>1470</v>
      </c>
      <c r="C231" s="26" t="s">
        <v>1480</v>
      </c>
      <c r="D231" s="26" t="s">
        <v>1481</v>
      </c>
      <c r="E231" s="39">
        <v>1</v>
      </c>
      <c r="F231" s="37">
        <v>5430</v>
      </c>
      <c r="G231" s="38">
        <f>IFERROR(IF(B231="Tampa",INDEX(tbl_tampas[Massa_g],MATCH(A231,tbl_tampas[CapId],0)),INDEX(tbl_recyclass[Massa_Corpo_g],MATCH(A231,tbl_recyclass[ProductId],0))),0)</f>
        <v>30.9</v>
      </c>
      <c r="H231" s="32">
        <f t="shared" si="9"/>
        <v>167.78700000000001</v>
      </c>
      <c r="I231" s="36">
        <f>IFERROR(IF(B231="Tampa",INDEX(tbl_tampas[Pct_PCR],MATCH(A231,tbl_tampas[CapId],0)),INDEX(tbl_recyclass[Pct_PCR_Corpo],MATCH(A231,tbl_recyclass[ProductId],0))),0)</f>
        <v>0</v>
      </c>
      <c r="J231" s="32">
        <f t="shared" si="10"/>
        <v>0</v>
      </c>
      <c r="K231" s="32">
        <f t="shared" si="11"/>
        <v>167.78700000000001</v>
      </c>
      <c r="L231" s="43">
        <f>IF(C231="ES",K231*INDEX(tbl_param_emb[Valor],MATCH("P-01",tbl_param_emb[ID_Parametro],0)),0)</f>
        <v>0</v>
      </c>
      <c r="M231" s="33" t="str">
        <f>IF(B231="Tampa","Componente",IFERROR(INDEX(tbl_recyclass[Grau_PPWR_Indicativo],MATCH(A231,tbl_recyclass[ProductId],0)),""))</f>
        <v>A</v>
      </c>
    </row>
    <row r="232" spans="1:13" ht="16.05" customHeight="1" x14ac:dyDescent="0.3">
      <c r="A232" s="26" t="s">
        <v>707</v>
      </c>
      <c r="B232" s="26" t="s">
        <v>1470</v>
      </c>
      <c r="C232" s="26" t="s">
        <v>847</v>
      </c>
      <c r="D232" s="26" t="s">
        <v>1471</v>
      </c>
      <c r="E232" s="39">
        <v>7</v>
      </c>
      <c r="F232" s="37">
        <v>54822</v>
      </c>
      <c r="G232" s="38">
        <f>IFERROR(IF(B232="Tampa",INDEX(tbl_tampas[Massa_g],MATCH(A232,tbl_tampas[CapId],0)),INDEX(tbl_recyclass[Massa_Corpo_g],MATCH(A232,tbl_recyclass[ProductId],0))),0)</f>
        <v>30.9</v>
      </c>
      <c r="H232" s="32">
        <f t="shared" si="9"/>
        <v>1693.9997999999998</v>
      </c>
      <c r="I232" s="36">
        <f>IFERROR(IF(B232="Tampa",INDEX(tbl_tampas[Pct_PCR],MATCH(A232,tbl_tampas[CapId],0)),INDEX(tbl_recyclass[Pct_PCR_Corpo],MATCH(A232,tbl_recyclass[ProductId],0))),0)</f>
        <v>0</v>
      </c>
      <c r="J232" s="32">
        <f t="shared" si="10"/>
        <v>0</v>
      </c>
      <c r="K232" s="32">
        <f t="shared" si="11"/>
        <v>1693.9997999999998</v>
      </c>
      <c r="L232" s="43">
        <f>IF(C232="ES",K232*INDEX(tbl_param_emb[Valor],MATCH("P-01",tbl_param_emb[ID_Parametro],0)),0)</f>
        <v>0</v>
      </c>
      <c r="M232" s="33" t="str">
        <f>IF(B232="Tampa","Componente",IFERROR(INDEX(tbl_recyclass[Grau_PPWR_Indicativo],MATCH(A232,tbl_recyclass[ProductId],0)),""))</f>
        <v>A</v>
      </c>
    </row>
    <row r="233" spans="1:13" ht="16.05" customHeight="1" x14ac:dyDescent="0.3">
      <c r="A233" s="26" t="s">
        <v>707</v>
      </c>
      <c r="B233" s="26" t="s">
        <v>1470</v>
      </c>
      <c r="C233" s="26" t="s">
        <v>1474</v>
      </c>
      <c r="D233" s="26" t="s">
        <v>1475</v>
      </c>
      <c r="E233" s="39">
        <v>2</v>
      </c>
      <c r="F233" s="37">
        <v>11395</v>
      </c>
      <c r="G233" s="38">
        <f>IFERROR(IF(B233="Tampa",INDEX(tbl_tampas[Massa_g],MATCH(A233,tbl_tampas[CapId],0)),INDEX(tbl_recyclass[Massa_Corpo_g],MATCH(A233,tbl_recyclass[ProductId],0))),0)</f>
        <v>30.9</v>
      </c>
      <c r="H233" s="32">
        <f t="shared" si="9"/>
        <v>352.10550000000001</v>
      </c>
      <c r="I233" s="36">
        <f>IFERROR(IF(B233="Tampa",INDEX(tbl_tampas[Pct_PCR],MATCH(A233,tbl_tampas[CapId],0)),INDEX(tbl_recyclass[Pct_PCR_Corpo],MATCH(A233,tbl_recyclass[ProductId],0))),0)</f>
        <v>0</v>
      </c>
      <c r="J233" s="32">
        <f t="shared" si="10"/>
        <v>0</v>
      </c>
      <c r="K233" s="32">
        <f t="shared" si="11"/>
        <v>352.10550000000001</v>
      </c>
      <c r="L233" s="43">
        <f>IF(C233="ES",K233*INDEX(tbl_param_emb[Valor],MATCH("P-01",tbl_param_emb[ID_Parametro],0)),0)</f>
        <v>158.447475</v>
      </c>
      <c r="M233" s="33" t="str">
        <f>IF(B233="Tampa","Componente",IFERROR(INDEX(tbl_recyclass[Grau_PPWR_Indicativo],MATCH(A233,tbl_recyclass[ProductId],0)),""))</f>
        <v>A</v>
      </c>
    </row>
    <row r="234" spans="1:13" ht="16.05" customHeight="1" x14ac:dyDescent="0.3">
      <c r="A234" s="26" t="s">
        <v>711</v>
      </c>
      <c r="B234" s="26" t="s">
        <v>1470</v>
      </c>
      <c r="C234" s="26" t="s">
        <v>1476</v>
      </c>
      <c r="D234" s="26" t="s">
        <v>1477</v>
      </c>
      <c r="E234" s="39">
        <v>1</v>
      </c>
      <c r="F234" s="37">
        <v>4274</v>
      </c>
      <c r="G234" s="38">
        <f>IFERROR(IF(B234="Tampa",INDEX(tbl_tampas[Massa_g],MATCH(A234,tbl_tampas[CapId],0)),INDEX(tbl_recyclass[Massa_Corpo_g],MATCH(A234,tbl_recyclass[ProductId],0))),0)</f>
        <v>30.9</v>
      </c>
      <c r="H234" s="32">
        <f t="shared" si="9"/>
        <v>132.06659999999999</v>
      </c>
      <c r="I234" s="36">
        <f>IFERROR(IF(B234="Tampa",INDEX(tbl_tampas[Pct_PCR],MATCH(A234,tbl_tampas[CapId],0)),INDEX(tbl_recyclass[Pct_PCR_Corpo],MATCH(A234,tbl_recyclass[ProductId],0))),0)</f>
        <v>0.3</v>
      </c>
      <c r="J234" s="32">
        <f t="shared" si="10"/>
        <v>39.619979999999998</v>
      </c>
      <c r="K234" s="32">
        <f t="shared" si="11"/>
        <v>92.446619999999996</v>
      </c>
      <c r="L234" s="43">
        <f>IF(C234="ES",K234*INDEX(tbl_param_emb[Valor],MATCH("P-01",tbl_param_emb[ID_Parametro],0)),0)</f>
        <v>0</v>
      </c>
      <c r="M234" s="33" t="str">
        <f>IF(B234="Tampa","Componente",IFERROR(INDEX(tbl_recyclass[Grau_PPWR_Indicativo],MATCH(A234,tbl_recyclass[ProductId],0)),""))</f>
        <v>B</v>
      </c>
    </row>
    <row r="235" spans="1:13" ht="16.05" customHeight="1" x14ac:dyDescent="0.3">
      <c r="A235" s="26" t="s">
        <v>711</v>
      </c>
      <c r="B235" s="26" t="s">
        <v>1470</v>
      </c>
      <c r="C235" s="26" t="s">
        <v>1478</v>
      </c>
      <c r="D235" s="26" t="s">
        <v>1479</v>
      </c>
      <c r="E235" s="39">
        <v>1</v>
      </c>
      <c r="F235" s="37">
        <v>13837</v>
      </c>
      <c r="G235" s="38">
        <f>IFERROR(IF(B235="Tampa",INDEX(tbl_tampas[Massa_g],MATCH(A235,tbl_tampas[CapId],0)),INDEX(tbl_recyclass[Massa_Corpo_g],MATCH(A235,tbl_recyclass[ProductId],0))),0)</f>
        <v>30.9</v>
      </c>
      <c r="H235" s="32">
        <f t="shared" si="9"/>
        <v>427.56329999999997</v>
      </c>
      <c r="I235" s="36">
        <f>IFERROR(IF(B235="Tampa",INDEX(tbl_tampas[Pct_PCR],MATCH(A235,tbl_tampas[CapId],0)),INDEX(tbl_recyclass[Pct_PCR_Corpo],MATCH(A235,tbl_recyclass[ProductId],0))),0)</f>
        <v>0.3</v>
      </c>
      <c r="J235" s="32">
        <f t="shared" si="10"/>
        <v>128.26898999999997</v>
      </c>
      <c r="K235" s="32">
        <f t="shared" si="11"/>
        <v>299.29431</v>
      </c>
      <c r="L235" s="43">
        <f>IF(C235="ES",K235*INDEX(tbl_param_emb[Valor],MATCH("P-01",tbl_param_emb[ID_Parametro],0)),0)</f>
        <v>0</v>
      </c>
      <c r="M235" s="33" t="str">
        <f>IF(B235="Tampa","Componente",IFERROR(INDEX(tbl_recyclass[Grau_PPWR_Indicativo],MATCH(A235,tbl_recyclass[ProductId],0)),""))</f>
        <v>B</v>
      </c>
    </row>
    <row r="236" spans="1:13" ht="16.05" customHeight="1" x14ac:dyDescent="0.3">
      <c r="A236" s="26" t="s">
        <v>711</v>
      </c>
      <c r="B236" s="26" t="s">
        <v>1470</v>
      </c>
      <c r="C236" s="26" t="s">
        <v>847</v>
      </c>
      <c r="D236" s="26" t="s">
        <v>1471</v>
      </c>
      <c r="E236" s="39">
        <v>5</v>
      </c>
      <c r="F236" s="37">
        <v>28511</v>
      </c>
      <c r="G236" s="38">
        <f>IFERROR(IF(B236="Tampa",INDEX(tbl_tampas[Massa_g],MATCH(A236,tbl_tampas[CapId],0)),INDEX(tbl_recyclass[Massa_Corpo_g],MATCH(A236,tbl_recyclass[ProductId],0))),0)</f>
        <v>30.9</v>
      </c>
      <c r="H236" s="32">
        <f t="shared" si="9"/>
        <v>880.98989999999992</v>
      </c>
      <c r="I236" s="36">
        <f>IFERROR(IF(B236="Tampa",INDEX(tbl_tampas[Pct_PCR],MATCH(A236,tbl_tampas[CapId],0)),INDEX(tbl_recyclass[Pct_PCR_Corpo],MATCH(A236,tbl_recyclass[ProductId],0))),0)</f>
        <v>0.3</v>
      </c>
      <c r="J236" s="32">
        <f t="shared" si="10"/>
        <v>264.29696999999999</v>
      </c>
      <c r="K236" s="32">
        <f t="shared" si="11"/>
        <v>616.69292999999993</v>
      </c>
      <c r="L236" s="43">
        <f>IF(C236="ES",K236*INDEX(tbl_param_emb[Valor],MATCH("P-01",tbl_param_emb[ID_Parametro],0)),0)</f>
        <v>0</v>
      </c>
      <c r="M236" s="33" t="str">
        <f>IF(B236="Tampa","Componente",IFERROR(INDEX(tbl_recyclass[Grau_PPWR_Indicativo],MATCH(A236,tbl_recyclass[ProductId],0)),""))</f>
        <v>B</v>
      </c>
    </row>
    <row r="237" spans="1:13" ht="16.05" customHeight="1" x14ac:dyDescent="0.3">
      <c r="A237" s="26" t="s">
        <v>711</v>
      </c>
      <c r="B237" s="26" t="s">
        <v>1470</v>
      </c>
      <c r="C237" s="26" t="s">
        <v>1474</v>
      </c>
      <c r="D237" s="26" t="s">
        <v>1475</v>
      </c>
      <c r="E237" s="39">
        <v>1</v>
      </c>
      <c r="F237" s="37">
        <v>7924</v>
      </c>
      <c r="G237" s="38">
        <f>IFERROR(IF(B237="Tampa",INDEX(tbl_tampas[Massa_g],MATCH(A237,tbl_tampas[CapId],0)),INDEX(tbl_recyclass[Massa_Corpo_g],MATCH(A237,tbl_recyclass[ProductId],0))),0)</f>
        <v>30.9</v>
      </c>
      <c r="H237" s="32">
        <f t="shared" si="9"/>
        <v>244.85159999999999</v>
      </c>
      <c r="I237" s="36">
        <f>IFERROR(IF(B237="Tampa",INDEX(tbl_tampas[Pct_PCR],MATCH(A237,tbl_tampas[CapId],0)),INDEX(tbl_recyclass[Pct_PCR_Corpo],MATCH(A237,tbl_recyclass[ProductId],0))),0)</f>
        <v>0.3</v>
      </c>
      <c r="J237" s="32">
        <f t="shared" si="10"/>
        <v>73.455479999999994</v>
      </c>
      <c r="K237" s="32">
        <f t="shared" si="11"/>
        <v>171.39612</v>
      </c>
      <c r="L237" s="43">
        <f>IF(C237="ES",K237*INDEX(tbl_param_emb[Valor],MATCH("P-01",tbl_param_emb[ID_Parametro],0)),0)</f>
        <v>77.128253999999998</v>
      </c>
      <c r="M237" s="33" t="str">
        <f>IF(B237="Tampa","Componente",IFERROR(INDEX(tbl_recyclass[Grau_PPWR_Indicativo],MATCH(A237,tbl_recyclass[ProductId],0)),""))</f>
        <v>B</v>
      </c>
    </row>
    <row r="238" spans="1:13" ht="16.05" customHeight="1" x14ac:dyDescent="0.3">
      <c r="A238" s="26" t="s">
        <v>717</v>
      </c>
      <c r="B238" s="26" t="s">
        <v>1470</v>
      </c>
      <c r="C238" s="26" t="s">
        <v>1476</v>
      </c>
      <c r="D238" s="26" t="s">
        <v>1477</v>
      </c>
      <c r="E238" s="39">
        <v>1</v>
      </c>
      <c r="F238" s="37">
        <v>5829</v>
      </c>
      <c r="G238" s="38">
        <f>IFERROR(IF(B238="Tampa",INDEX(tbl_tampas[Massa_g],MATCH(A238,tbl_tampas[CapId],0)),INDEX(tbl_recyclass[Massa_Corpo_g],MATCH(A238,tbl_recyclass[ProductId],0))),0)</f>
        <v>30.9</v>
      </c>
      <c r="H238" s="32">
        <f t="shared" si="9"/>
        <v>180.11610000000002</v>
      </c>
      <c r="I238" s="36">
        <f>IFERROR(IF(B238="Tampa",INDEX(tbl_tampas[Pct_PCR],MATCH(A238,tbl_tampas[CapId],0)),INDEX(tbl_recyclass[Pct_PCR_Corpo],MATCH(A238,tbl_recyclass[ProductId],0))),0)</f>
        <v>0.5</v>
      </c>
      <c r="J238" s="32">
        <f t="shared" si="10"/>
        <v>90.058050000000009</v>
      </c>
      <c r="K238" s="32">
        <f t="shared" si="11"/>
        <v>90.058050000000009</v>
      </c>
      <c r="L238" s="43">
        <f>IF(C238="ES",K238*INDEX(tbl_param_emb[Valor],MATCH("P-01",tbl_param_emb[ID_Parametro],0)),0)</f>
        <v>0</v>
      </c>
      <c r="M238" s="33" t="str">
        <f>IF(B238="Tampa","Componente",IFERROR(INDEX(tbl_recyclass[Grau_PPWR_Indicativo],MATCH(A238,tbl_recyclass[ProductId],0)),""))</f>
        <v>Abaixo de C</v>
      </c>
    </row>
    <row r="239" spans="1:13" ht="16.05" customHeight="1" x14ac:dyDescent="0.3">
      <c r="A239" s="26" t="s">
        <v>717</v>
      </c>
      <c r="B239" s="26" t="s">
        <v>1470</v>
      </c>
      <c r="C239" s="26" t="s">
        <v>1472</v>
      </c>
      <c r="D239" s="26" t="s">
        <v>1473</v>
      </c>
      <c r="E239" s="39">
        <v>1</v>
      </c>
      <c r="F239" s="37">
        <v>4758</v>
      </c>
      <c r="G239" s="38">
        <f>IFERROR(IF(B239="Tampa",INDEX(tbl_tampas[Massa_g],MATCH(A239,tbl_tampas[CapId],0)),INDEX(tbl_recyclass[Massa_Corpo_g],MATCH(A239,tbl_recyclass[ProductId],0))),0)</f>
        <v>30.9</v>
      </c>
      <c r="H239" s="32">
        <f t="shared" si="9"/>
        <v>147.02219999999997</v>
      </c>
      <c r="I239" s="36">
        <f>IFERROR(IF(B239="Tampa",INDEX(tbl_tampas[Pct_PCR],MATCH(A239,tbl_tampas[CapId],0)),INDEX(tbl_recyclass[Pct_PCR_Corpo],MATCH(A239,tbl_recyclass[ProductId],0))),0)</f>
        <v>0.5</v>
      </c>
      <c r="J239" s="32">
        <f t="shared" si="10"/>
        <v>73.511099999999985</v>
      </c>
      <c r="K239" s="32">
        <f t="shared" si="11"/>
        <v>73.511099999999985</v>
      </c>
      <c r="L239" s="43">
        <f>IF(C239="ES",K239*INDEX(tbl_param_emb[Valor],MATCH("P-01",tbl_param_emb[ID_Parametro],0)),0)</f>
        <v>0</v>
      </c>
      <c r="M239" s="33" t="str">
        <f>IF(B239="Tampa","Componente",IFERROR(INDEX(tbl_recyclass[Grau_PPWR_Indicativo],MATCH(A239,tbl_recyclass[ProductId],0)),""))</f>
        <v>Abaixo de C</v>
      </c>
    </row>
    <row r="240" spans="1:13" ht="16.05" customHeight="1" x14ac:dyDescent="0.3">
      <c r="A240" s="26" t="s">
        <v>717</v>
      </c>
      <c r="B240" s="26" t="s">
        <v>1470</v>
      </c>
      <c r="C240" s="26" t="s">
        <v>1478</v>
      </c>
      <c r="D240" s="26" t="s">
        <v>1479</v>
      </c>
      <c r="E240" s="39">
        <v>1</v>
      </c>
      <c r="F240" s="37">
        <v>5377</v>
      </c>
      <c r="G240" s="38">
        <f>IFERROR(IF(B240="Tampa",INDEX(tbl_tampas[Massa_g],MATCH(A240,tbl_tampas[CapId],0)),INDEX(tbl_recyclass[Massa_Corpo_g],MATCH(A240,tbl_recyclass[ProductId],0))),0)</f>
        <v>30.9</v>
      </c>
      <c r="H240" s="32">
        <f t="shared" si="9"/>
        <v>166.14929999999998</v>
      </c>
      <c r="I240" s="36">
        <f>IFERROR(IF(B240="Tampa",INDEX(tbl_tampas[Pct_PCR],MATCH(A240,tbl_tampas[CapId],0)),INDEX(tbl_recyclass[Pct_PCR_Corpo],MATCH(A240,tbl_recyclass[ProductId],0))),0)</f>
        <v>0.5</v>
      </c>
      <c r="J240" s="32">
        <f t="shared" si="10"/>
        <v>83.074649999999991</v>
      </c>
      <c r="K240" s="32">
        <f t="shared" si="11"/>
        <v>83.074649999999991</v>
      </c>
      <c r="L240" s="43">
        <f>IF(C240="ES",K240*INDEX(tbl_param_emb[Valor],MATCH("P-01",tbl_param_emb[ID_Parametro],0)),0)</f>
        <v>0</v>
      </c>
      <c r="M240" s="33" t="str">
        <f>IF(B240="Tampa","Componente",IFERROR(INDEX(tbl_recyclass[Grau_PPWR_Indicativo],MATCH(A240,tbl_recyclass[ProductId],0)),""))</f>
        <v>Abaixo de C</v>
      </c>
    </row>
    <row r="241" spans="1:13" ht="16.05" customHeight="1" x14ac:dyDescent="0.3">
      <c r="A241" s="26" t="s">
        <v>717</v>
      </c>
      <c r="B241" s="26" t="s">
        <v>1470</v>
      </c>
      <c r="C241" s="26" t="s">
        <v>847</v>
      </c>
      <c r="D241" s="26" t="s">
        <v>1471</v>
      </c>
      <c r="E241" s="39">
        <v>2</v>
      </c>
      <c r="F241" s="37">
        <v>12706</v>
      </c>
      <c r="G241" s="38">
        <f>IFERROR(IF(B241="Tampa",INDEX(tbl_tampas[Massa_g],MATCH(A241,tbl_tampas[CapId],0)),INDEX(tbl_recyclass[Massa_Corpo_g],MATCH(A241,tbl_recyclass[ProductId],0))),0)</f>
        <v>30.9</v>
      </c>
      <c r="H241" s="32">
        <f t="shared" si="9"/>
        <v>392.61539999999997</v>
      </c>
      <c r="I241" s="36">
        <f>IFERROR(IF(B241="Tampa",INDEX(tbl_tampas[Pct_PCR],MATCH(A241,tbl_tampas[CapId],0)),INDEX(tbl_recyclass[Pct_PCR_Corpo],MATCH(A241,tbl_recyclass[ProductId],0))),0)</f>
        <v>0.5</v>
      </c>
      <c r="J241" s="32">
        <f t="shared" si="10"/>
        <v>196.30769999999998</v>
      </c>
      <c r="K241" s="32">
        <f t="shared" si="11"/>
        <v>196.30769999999998</v>
      </c>
      <c r="L241" s="43">
        <f>IF(C241="ES",K241*INDEX(tbl_param_emb[Valor],MATCH("P-01",tbl_param_emb[ID_Parametro],0)),0)</f>
        <v>0</v>
      </c>
      <c r="M241" s="33" t="str">
        <f>IF(B241="Tampa","Componente",IFERROR(INDEX(tbl_recyclass[Grau_PPWR_Indicativo],MATCH(A241,tbl_recyclass[ProductId],0)),""))</f>
        <v>Abaixo de C</v>
      </c>
    </row>
    <row r="242" spans="1:13" ht="16.05" customHeight="1" x14ac:dyDescent="0.3">
      <c r="A242" s="26" t="s">
        <v>717</v>
      </c>
      <c r="B242" s="26" t="s">
        <v>1470</v>
      </c>
      <c r="C242" s="26" t="s">
        <v>1474</v>
      </c>
      <c r="D242" s="26" t="s">
        <v>1475</v>
      </c>
      <c r="E242" s="39">
        <v>1</v>
      </c>
      <c r="F242" s="37">
        <v>3051</v>
      </c>
      <c r="G242" s="38">
        <f>IFERROR(IF(B242="Tampa",INDEX(tbl_tampas[Massa_g],MATCH(A242,tbl_tampas[CapId],0)),INDEX(tbl_recyclass[Massa_Corpo_g],MATCH(A242,tbl_recyclass[ProductId],0))),0)</f>
        <v>30.9</v>
      </c>
      <c r="H242" s="32">
        <f t="shared" si="9"/>
        <v>94.275899999999993</v>
      </c>
      <c r="I242" s="36">
        <f>IFERROR(IF(B242="Tampa",INDEX(tbl_tampas[Pct_PCR],MATCH(A242,tbl_tampas[CapId],0)),INDEX(tbl_recyclass[Pct_PCR_Corpo],MATCH(A242,tbl_recyclass[ProductId],0))),0)</f>
        <v>0.5</v>
      </c>
      <c r="J242" s="32">
        <f t="shared" si="10"/>
        <v>47.137949999999996</v>
      </c>
      <c r="K242" s="32">
        <f t="shared" si="11"/>
        <v>47.137949999999996</v>
      </c>
      <c r="L242" s="43">
        <f>IF(C242="ES",K242*INDEX(tbl_param_emb[Valor],MATCH("P-01",tbl_param_emb[ID_Parametro],0)),0)</f>
        <v>21.212077499999999</v>
      </c>
      <c r="M242" s="33" t="str">
        <f>IF(B242="Tampa","Componente",IFERROR(INDEX(tbl_recyclass[Grau_PPWR_Indicativo],MATCH(A242,tbl_recyclass[ProductId],0)),""))</f>
        <v>Abaixo de C</v>
      </c>
    </row>
    <row r="243" spans="1:13" ht="16.05" customHeight="1" x14ac:dyDescent="0.3">
      <c r="A243" s="26" t="s">
        <v>683</v>
      </c>
      <c r="B243" s="26" t="s">
        <v>1470</v>
      </c>
      <c r="C243" s="26" t="s">
        <v>1476</v>
      </c>
      <c r="D243" s="26" t="s">
        <v>1477</v>
      </c>
      <c r="E243" s="39">
        <v>1</v>
      </c>
      <c r="F243" s="37">
        <v>10760</v>
      </c>
      <c r="G243" s="38">
        <f>IFERROR(IF(B243="Tampa",INDEX(tbl_tampas[Massa_g],MATCH(A243,tbl_tampas[CapId],0)),INDEX(tbl_recyclass[Massa_Corpo_g],MATCH(A243,tbl_recyclass[ProductId],0))),0)</f>
        <v>30.9</v>
      </c>
      <c r="H243" s="32">
        <f t="shared" si="9"/>
        <v>332.48399999999998</v>
      </c>
      <c r="I243" s="36">
        <f>IFERROR(IF(B243="Tampa",INDEX(tbl_tampas[Pct_PCR],MATCH(A243,tbl_tampas[CapId],0)),INDEX(tbl_recyclass[Pct_PCR_Corpo],MATCH(A243,tbl_recyclass[ProductId],0))),0)</f>
        <v>0</v>
      </c>
      <c r="J243" s="32">
        <f t="shared" si="10"/>
        <v>0</v>
      </c>
      <c r="K243" s="32">
        <f t="shared" si="11"/>
        <v>332.48399999999998</v>
      </c>
      <c r="L243" s="43">
        <f>IF(C243="ES",K243*INDEX(tbl_param_emb[Valor],MATCH("P-01",tbl_param_emb[ID_Parametro],0)),0)</f>
        <v>0</v>
      </c>
      <c r="M243" s="33" t="str">
        <f>IF(B243="Tampa","Componente",IFERROR(INDEX(tbl_recyclass[Grau_PPWR_Indicativo],MATCH(A243,tbl_recyclass[ProductId],0)),""))</f>
        <v>C</v>
      </c>
    </row>
    <row r="244" spans="1:13" ht="16.05" customHeight="1" x14ac:dyDescent="0.3">
      <c r="A244" s="26" t="s">
        <v>683</v>
      </c>
      <c r="B244" s="26" t="s">
        <v>1470</v>
      </c>
      <c r="C244" s="26" t="s">
        <v>1472</v>
      </c>
      <c r="D244" s="26" t="s">
        <v>1473</v>
      </c>
      <c r="E244" s="39">
        <v>1</v>
      </c>
      <c r="F244" s="37">
        <v>7327</v>
      </c>
      <c r="G244" s="38">
        <f>IFERROR(IF(B244="Tampa",INDEX(tbl_tampas[Massa_g],MATCH(A244,tbl_tampas[CapId],0)),INDEX(tbl_recyclass[Massa_Corpo_g],MATCH(A244,tbl_recyclass[ProductId],0))),0)</f>
        <v>30.9</v>
      </c>
      <c r="H244" s="32">
        <f t="shared" si="9"/>
        <v>226.40429999999998</v>
      </c>
      <c r="I244" s="36">
        <f>IFERROR(IF(B244="Tampa",INDEX(tbl_tampas[Pct_PCR],MATCH(A244,tbl_tampas[CapId],0)),INDEX(tbl_recyclass[Pct_PCR_Corpo],MATCH(A244,tbl_recyclass[ProductId],0))),0)</f>
        <v>0</v>
      </c>
      <c r="J244" s="32">
        <f t="shared" si="10"/>
        <v>0</v>
      </c>
      <c r="K244" s="32">
        <f t="shared" si="11"/>
        <v>226.40429999999998</v>
      </c>
      <c r="L244" s="43">
        <f>IF(C244="ES",K244*INDEX(tbl_param_emb[Valor],MATCH("P-01",tbl_param_emb[ID_Parametro],0)),0)</f>
        <v>0</v>
      </c>
      <c r="M244" s="33" t="str">
        <f>IF(B244="Tampa","Componente",IFERROR(INDEX(tbl_recyclass[Grau_PPWR_Indicativo],MATCH(A244,tbl_recyclass[ProductId],0)),""))</f>
        <v>C</v>
      </c>
    </row>
    <row r="245" spans="1:13" ht="16.05" customHeight="1" x14ac:dyDescent="0.3">
      <c r="A245" s="26" t="s">
        <v>683</v>
      </c>
      <c r="B245" s="26" t="s">
        <v>1470</v>
      </c>
      <c r="C245" s="26" t="s">
        <v>1478</v>
      </c>
      <c r="D245" s="26" t="s">
        <v>1479</v>
      </c>
      <c r="E245" s="39">
        <v>1</v>
      </c>
      <c r="F245" s="37">
        <v>7240</v>
      </c>
      <c r="G245" s="38">
        <f>IFERROR(IF(B245="Tampa",INDEX(tbl_tampas[Massa_g],MATCH(A245,tbl_tampas[CapId],0)),INDEX(tbl_recyclass[Massa_Corpo_g],MATCH(A245,tbl_recyclass[ProductId],0))),0)</f>
        <v>30.9</v>
      </c>
      <c r="H245" s="32">
        <f t="shared" si="9"/>
        <v>223.71600000000001</v>
      </c>
      <c r="I245" s="36">
        <f>IFERROR(IF(B245="Tampa",INDEX(tbl_tampas[Pct_PCR],MATCH(A245,tbl_tampas[CapId],0)),INDEX(tbl_recyclass[Pct_PCR_Corpo],MATCH(A245,tbl_recyclass[ProductId],0))),0)</f>
        <v>0</v>
      </c>
      <c r="J245" s="32">
        <f t="shared" si="10"/>
        <v>0</v>
      </c>
      <c r="K245" s="32">
        <f t="shared" si="11"/>
        <v>223.71600000000001</v>
      </c>
      <c r="L245" s="43">
        <f>IF(C245="ES",K245*INDEX(tbl_param_emb[Valor],MATCH("P-01",tbl_param_emb[ID_Parametro],0)),0)</f>
        <v>0</v>
      </c>
      <c r="M245" s="33" t="str">
        <f>IF(B245="Tampa","Componente",IFERROR(INDEX(tbl_recyclass[Grau_PPWR_Indicativo],MATCH(A245,tbl_recyclass[ProductId],0)),""))</f>
        <v>C</v>
      </c>
    </row>
    <row r="246" spans="1:13" ht="16.05" customHeight="1" x14ac:dyDescent="0.3">
      <c r="A246" s="26" t="s">
        <v>683</v>
      </c>
      <c r="B246" s="26" t="s">
        <v>1470</v>
      </c>
      <c r="C246" s="26" t="s">
        <v>1480</v>
      </c>
      <c r="D246" s="26" t="s">
        <v>1481</v>
      </c>
      <c r="E246" s="39">
        <v>1</v>
      </c>
      <c r="F246" s="37">
        <v>17531</v>
      </c>
      <c r="G246" s="38">
        <f>IFERROR(IF(B246="Tampa",INDEX(tbl_tampas[Massa_g],MATCH(A246,tbl_tampas[CapId],0)),INDEX(tbl_recyclass[Massa_Corpo_g],MATCH(A246,tbl_recyclass[ProductId],0))),0)</f>
        <v>30.9</v>
      </c>
      <c r="H246" s="32">
        <f t="shared" si="9"/>
        <v>541.7079</v>
      </c>
      <c r="I246" s="36">
        <f>IFERROR(IF(B246="Tampa",INDEX(tbl_tampas[Pct_PCR],MATCH(A246,tbl_tampas[CapId],0)),INDEX(tbl_recyclass[Pct_PCR_Corpo],MATCH(A246,tbl_recyclass[ProductId],0))),0)</f>
        <v>0</v>
      </c>
      <c r="J246" s="32">
        <f t="shared" si="10"/>
        <v>0</v>
      </c>
      <c r="K246" s="32">
        <f t="shared" si="11"/>
        <v>541.7079</v>
      </c>
      <c r="L246" s="43">
        <f>IF(C246="ES",K246*INDEX(tbl_param_emb[Valor],MATCH("P-01",tbl_param_emb[ID_Parametro],0)),0)</f>
        <v>0</v>
      </c>
      <c r="M246" s="33" t="str">
        <f>IF(B246="Tampa","Componente",IFERROR(INDEX(tbl_recyclass[Grau_PPWR_Indicativo],MATCH(A246,tbl_recyclass[ProductId],0)),""))</f>
        <v>C</v>
      </c>
    </row>
    <row r="247" spans="1:13" ht="16.05" customHeight="1" x14ac:dyDescent="0.3">
      <c r="A247" s="26" t="s">
        <v>683</v>
      </c>
      <c r="B247" s="26" t="s">
        <v>1470</v>
      </c>
      <c r="C247" s="26" t="s">
        <v>847</v>
      </c>
      <c r="D247" s="26" t="s">
        <v>1471</v>
      </c>
      <c r="E247" s="39">
        <v>7</v>
      </c>
      <c r="F247" s="37">
        <v>49218</v>
      </c>
      <c r="G247" s="38">
        <f>IFERROR(IF(B247="Tampa",INDEX(tbl_tampas[Massa_g],MATCH(A247,tbl_tampas[CapId],0)),INDEX(tbl_recyclass[Massa_Corpo_g],MATCH(A247,tbl_recyclass[ProductId],0))),0)</f>
        <v>30.9</v>
      </c>
      <c r="H247" s="32">
        <f t="shared" si="9"/>
        <v>1520.8362</v>
      </c>
      <c r="I247" s="36">
        <f>IFERROR(IF(B247="Tampa",INDEX(tbl_tampas[Pct_PCR],MATCH(A247,tbl_tampas[CapId],0)),INDEX(tbl_recyclass[Pct_PCR_Corpo],MATCH(A247,tbl_recyclass[ProductId],0))),0)</f>
        <v>0</v>
      </c>
      <c r="J247" s="32">
        <f t="shared" si="10"/>
        <v>0</v>
      </c>
      <c r="K247" s="32">
        <f t="shared" si="11"/>
        <v>1520.8362</v>
      </c>
      <c r="L247" s="43">
        <f>IF(C247="ES",K247*INDEX(tbl_param_emb[Valor],MATCH("P-01",tbl_param_emb[ID_Parametro],0)),0)</f>
        <v>0</v>
      </c>
      <c r="M247" s="33" t="str">
        <f>IF(B247="Tampa","Componente",IFERROR(INDEX(tbl_recyclass[Grau_PPWR_Indicativo],MATCH(A247,tbl_recyclass[ProductId],0)),""))</f>
        <v>C</v>
      </c>
    </row>
    <row r="248" spans="1:13" ht="16.05" customHeight="1" x14ac:dyDescent="0.3">
      <c r="A248" s="26" t="s">
        <v>683</v>
      </c>
      <c r="B248" s="26" t="s">
        <v>1470</v>
      </c>
      <c r="C248" s="26" t="s">
        <v>1474</v>
      </c>
      <c r="D248" s="26" t="s">
        <v>1475</v>
      </c>
      <c r="E248" s="39">
        <v>2</v>
      </c>
      <c r="F248" s="37">
        <v>17697</v>
      </c>
      <c r="G248" s="38">
        <f>IFERROR(IF(B248="Tampa",INDEX(tbl_tampas[Massa_g],MATCH(A248,tbl_tampas[CapId],0)),INDEX(tbl_recyclass[Massa_Corpo_g],MATCH(A248,tbl_recyclass[ProductId],0))),0)</f>
        <v>30.9</v>
      </c>
      <c r="H248" s="32">
        <f t="shared" si="9"/>
        <v>546.83729999999991</v>
      </c>
      <c r="I248" s="36">
        <f>IFERROR(IF(B248="Tampa",INDEX(tbl_tampas[Pct_PCR],MATCH(A248,tbl_tampas[CapId],0)),INDEX(tbl_recyclass[Pct_PCR_Corpo],MATCH(A248,tbl_recyclass[ProductId],0))),0)</f>
        <v>0</v>
      </c>
      <c r="J248" s="32">
        <f t="shared" si="10"/>
        <v>0</v>
      </c>
      <c r="K248" s="32">
        <f t="shared" si="11"/>
        <v>546.83729999999991</v>
      </c>
      <c r="L248" s="43">
        <f>IF(C248="ES",K248*INDEX(tbl_param_emb[Valor],MATCH("P-01",tbl_param_emb[ID_Parametro],0)),0)</f>
        <v>246.07678499999997</v>
      </c>
      <c r="M248" s="33" t="str">
        <f>IF(B248="Tampa","Componente",IFERROR(INDEX(tbl_recyclass[Grau_PPWR_Indicativo],MATCH(A248,tbl_recyclass[ProductId],0)),""))</f>
        <v>C</v>
      </c>
    </row>
    <row r="249" spans="1:13" ht="16.05" customHeight="1" x14ac:dyDescent="0.3">
      <c r="A249" s="26" t="s">
        <v>690</v>
      </c>
      <c r="B249" s="26" t="s">
        <v>1470</v>
      </c>
      <c r="C249" s="26" t="s">
        <v>1472</v>
      </c>
      <c r="D249" s="26" t="s">
        <v>1473</v>
      </c>
      <c r="E249" s="39">
        <v>1</v>
      </c>
      <c r="F249" s="37">
        <v>12422</v>
      </c>
      <c r="G249" s="38">
        <f>IFERROR(IF(B249="Tampa",INDEX(tbl_tampas[Massa_g],MATCH(A249,tbl_tampas[CapId],0)),INDEX(tbl_recyclass[Massa_Corpo_g],MATCH(A249,tbl_recyclass[ProductId],0))),0)</f>
        <v>30.9</v>
      </c>
      <c r="H249" s="32">
        <f t="shared" si="9"/>
        <v>383.83979999999997</v>
      </c>
      <c r="I249" s="36">
        <f>IFERROR(IF(B249="Tampa",INDEX(tbl_tampas[Pct_PCR],MATCH(A249,tbl_tampas[CapId],0)),INDEX(tbl_recyclass[Pct_PCR_Corpo],MATCH(A249,tbl_recyclass[ProductId],0))),0)</f>
        <v>0.3</v>
      </c>
      <c r="J249" s="32">
        <f t="shared" si="10"/>
        <v>115.15193999999998</v>
      </c>
      <c r="K249" s="32">
        <f t="shared" si="11"/>
        <v>268.68786</v>
      </c>
      <c r="L249" s="43">
        <f>IF(C249="ES",K249*INDEX(tbl_param_emb[Valor],MATCH("P-01",tbl_param_emb[ID_Parametro],0)),0)</f>
        <v>0</v>
      </c>
      <c r="M249" s="33" t="str">
        <f>IF(B249="Tampa","Componente",IFERROR(INDEX(tbl_recyclass[Grau_PPWR_Indicativo],MATCH(A249,tbl_recyclass[ProductId],0)),""))</f>
        <v>B</v>
      </c>
    </row>
    <row r="250" spans="1:13" ht="16.05" customHeight="1" x14ac:dyDescent="0.3">
      <c r="A250" s="26" t="s">
        <v>690</v>
      </c>
      <c r="B250" s="26" t="s">
        <v>1470</v>
      </c>
      <c r="C250" s="26" t="s">
        <v>1478</v>
      </c>
      <c r="D250" s="26" t="s">
        <v>1479</v>
      </c>
      <c r="E250" s="39">
        <v>1</v>
      </c>
      <c r="F250" s="37">
        <v>9277</v>
      </c>
      <c r="G250" s="38">
        <f>IFERROR(IF(B250="Tampa",INDEX(tbl_tampas[Massa_g],MATCH(A250,tbl_tampas[CapId],0)),INDEX(tbl_recyclass[Massa_Corpo_g],MATCH(A250,tbl_recyclass[ProductId],0))),0)</f>
        <v>30.9</v>
      </c>
      <c r="H250" s="32">
        <f t="shared" si="9"/>
        <v>286.65929999999997</v>
      </c>
      <c r="I250" s="36">
        <f>IFERROR(IF(B250="Tampa",INDEX(tbl_tampas[Pct_PCR],MATCH(A250,tbl_tampas[CapId],0)),INDEX(tbl_recyclass[Pct_PCR_Corpo],MATCH(A250,tbl_recyclass[ProductId],0))),0)</f>
        <v>0.3</v>
      </c>
      <c r="J250" s="32">
        <f t="shared" si="10"/>
        <v>85.997789999999995</v>
      </c>
      <c r="K250" s="32">
        <f t="shared" si="11"/>
        <v>200.66150999999996</v>
      </c>
      <c r="L250" s="43">
        <f>IF(C250="ES",K250*INDEX(tbl_param_emb[Valor],MATCH("P-01",tbl_param_emb[ID_Parametro],0)),0)</f>
        <v>0</v>
      </c>
      <c r="M250" s="33" t="str">
        <f>IF(B250="Tampa","Componente",IFERROR(INDEX(tbl_recyclass[Grau_PPWR_Indicativo],MATCH(A250,tbl_recyclass[ProductId],0)),""))</f>
        <v>B</v>
      </c>
    </row>
    <row r="251" spans="1:13" ht="16.05" customHeight="1" x14ac:dyDescent="0.3">
      <c r="A251" s="26" t="s">
        <v>690</v>
      </c>
      <c r="B251" s="26" t="s">
        <v>1470</v>
      </c>
      <c r="C251" s="26" t="s">
        <v>1480</v>
      </c>
      <c r="D251" s="26" t="s">
        <v>1481</v>
      </c>
      <c r="E251" s="39">
        <v>1</v>
      </c>
      <c r="F251" s="37">
        <v>4673</v>
      </c>
      <c r="G251" s="38">
        <f>IFERROR(IF(B251="Tampa",INDEX(tbl_tampas[Massa_g],MATCH(A251,tbl_tampas[CapId],0)),INDEX(tbl_recyclass[Massa_Corpo_g],MATCH(A251,tbl_recyclass[ProductId],0))),0)</f>
        <v>30.9</v>
      </c>
      <c r="H251" s="32">
        <f t="shared" si="9"/>
        <v>144.39569999999998</v>
      </c>
      <c r="I251" s="36">
        <f>IFERROR(IF(B251="Tampa",INDEX(tbl_tampas[Pct_PCR],MATCH(A251,tbl_tampas[CapId],0)),INDEX(tbl_recyclass[Pct_PCR_Corpo],MATCH(A251,tbl_recyclass[ProductId],0))),0)</f>
        <v>0.3</v>
      </c>
      <c r="J251" s="32">
        <f t="shared" si="10"/>
        <v>43.318709999999989</v>
      </c>
      <c r="K251" s="32">
        <f t="shared" si="11"/>
        <v>101.07699</v>
      </c>
      <c r="L251" s="43">
        <f>IF(C251="ES",K251*INDEX(tbl_param_emb[Valor],MATCH("P-01",tbl_param_emb[ID_Parametro],0)),0)</f>
        <v>0</v>
      </c>
      <c r="M251" s="33" t="str">
        <f>IF(B251="Tampa","Componente",IFERROR(INDEX(tbl_recyclass[Grau_PPWR_Indicativo],MATCH(A251,tbl_recyclass[ProductId],0)),""))</f>
        <v>B</v>
      </c>
    </row>
    <row r="252" spans="1:13" ht="16.05" customHeight="1" x14ac:dyDescent="0.3">
      <c r="A252" s="26" t="s">
        <v>690</v>
      </c>
      <c r="B252" s="26" t="s">
        <v>1470</v>
      </c>
      <c r="C252" s="26" t="s">
        <v>847</v>
      </c>
      <c r="D252" s="26" t="s">
        <v>1471</v>
      </c>
      <c r="E252" s="39">
        <v>8</v>
      </c>
      <c r="F252" s="37">
        <v>29767</v>
      </c>
      <c r="G252" s="38">
        <f>IFERROR(IF(B252="Tampa",INDEX(tbl_tampas[Massa_g],MATCH(A252,tbl_tampas[CapId],0)),INDEX(tbl_recyclass[Massa_Corpo_g],MATCH(A252,tbl_recyclass[ProductId],0))),0)</f>
        <v>30.9</v>
      </c>
      <c r="H252" s="32">
        <f t="shared" si="9"/>
        <v>919.80029999999988</v>
      </c>
      <c r="I252" s="36">
        <f>IFERROR(IF(B252="Tampa",INDEX(tbl_tampas[Pct_PCR],MATCH(A252,tbl_tampas[CapId],0)),INDEX(tbl_recyclass[Pct_PCR_Corpo],MATCH(A252,tbl_recyclass[ProductId],0))),0)</f>
        <v>0.3</v>
      </c>
      <c r="J252" s="32">
        <f t="shared" si="10"/>
        <v>275.94008999999994</v>
      </c>
      <c r="K252" s="32">
        <f t="shared" si="11"/>
        <v>643.86020999999994</v>
      </c>
      <c r="L252" s="43">
        <f>IF(C252="ES",K252*INDEX(tbl_param_emb[Valor],MATCH("P-01",tbl_param_emb[ID_Parametro],0)),0)</f>
        <v>0</v>
      </c>
      <c r="M252" s="33" t="str">
        <f>IF(B252="Tampa","Componente",IFERROR(INDEX(tbl_recyclass[Grau_PPWR_Indicativo],MATCH(A252,tbl_recyclass[ProductId],0)),""))</f>
        <v>B</v>
      </c>
    </row>
    <row r="253" spans="1:13" ht="16.05" customHeight="1" x14ac:dyDescent="0.3">
      <c r="A253" s="26" t="s">
        <v>690</v>
      </c>
      <c r="B253" s="26" t="s">
        <v>1470</v>
      </c>
      <c r="C253" s="26" t="s">
        <v>1474</v>
      </c>
      <c r="D253" s="26" t="s">
        <v>1475</v>
      </c>
      <c r="E253" s="39">
        <v>2</v>
      </c>
      <c r="F253" s="37">
        <v>13295</v>
      </c>
      <c r="G253" s="38">
        <f>IFERROR(IF(B253="Tampa",INDEX(tbl_tampas[Massa_g],MATCH(A253,tbl_tampas[CapId],0)),INDEX(tbl_recyclass[Massa_Corpo_g],MATCH(A253,tbl_recyclass[ProductId],0))),0)</f>
        <v>30.9</v>
      </c>
      <c r="H253" s="32">
        <f t="shared" si="9"/>
        <v>410.81549999999999</v>
      </c>
      <c r="I253" s="36">
        <f>IFERROR(IF(B253="Tampa",INDEX(tbl_tampas[Pct_PCR],MATCH(A253,tbl_tampas[CapId],0)),INDEX(tbl_recyclass[Pct_PCR_Corpo],MATCH(A253,tbl_recyclass[ProductId],0))),0)</f>
        <v>0.3</v>
      </c>
      <c r="J253" s="32">
        <f t="shared" si="10"/>
        <v>123.24464999999999</v>
      </c>
      <c r="K253" s="32">
        <f t="shared" si="11"/>
        <v>287.57085000000001</v>
      </c>
      <c r="L253" s="43">
        <f>IF(C253="ES",K253*INDEX(tbl_param_emb[Valor],MATCH("P-01",tbl_param_emb[ID_Parametro],0)),0)</f>
        <v>129.40688249999999</v>
      </c>
      <c r="M253" s="33" t="str">
        <f>IF(B253="Tampa","Componente",IFERROR(INDEX(tbl_recyclass[Grau_PPWR_Indicativo],MATCH(A253,tbl_recyclass[ProductId],0)),""))</f>
        <v>B</v>
      </c>
    </row>
    <row r="254" spans="1:13" ht="16.05" customHeight="1" x14ac:dyDescent="0.3">
      <c r="A254" s="26" t="s">
        <v>705</v>
      </c>
      <c r="B254" s="26" t="s">
        <v>1470</v>
      </c>
      <c r="C254" s="26" t="s">
        <v>1476</v>
      </c>
      <c r="D254" s="26" t="s">
        <v>1477</v>
      </c>
      <c r="E254" s="39">
        <v>1</v>
      </c>
      <c r="F254" s="37">
        <v>6770</v>
      </c>
      <c r="G254" s="38">
        <f>IFERROR(IF(B254="Tampa",INDEX(tbl_tampas[Massa_g],MATCH(A254,tbl_tampas[CapId],0)),INDEX(tbl_recyclass[Massa_Corpo_g],MATCH(A254,tbl_recyclass[ProductId],0))),0)</f>
        <v>30.9</v>
      </c>
      <c r="H254" s="32">
        <f t="shared" si="9"/>
        <v>209.19300000000001</v>
      </c>
      <c r="I254" s="36">
        <f>IFERROR(IF(B254="Tampa",INDEX(tbl_tampas[Pct_PCR],MATCH(A254,tbl_tampas[CapId],0)),INDEX(tbl_recyclass[Pct_PCR_Corpo],MATCH(A254,tbl_recyclass[ProductId],0))),0)</f>
        <v>0</v>
      </c>
      <c r="J254" s="32">
        <f t="shared" si="10"/>
        <v>0</v>
      </c>
      <c r="K254" s="32">
        <f t="shared" si="11"/>
        <v>209.19300000000001</v>
      </c>
      <c r="L254" s="43">
        <f>IF(C254="ES",K254*INDEX(tbl_param_emb[Valor],MATCH("P-01",tbl_param_emb[ID_Parametro],0)),0)</f>
        <v>0</v>
      </c>
      <c r="M254" s="33" t="str">
        <f>IF(B254="Tampa","Componente",IFERROR(INDEX(tbl_recyclass[Grau_PPWR_Indicativo],MATCH(A254,tbl_recyclass[ProductId],0)),""))</f>
        <v>Não reciclável (F)</v>
      </c>
    </row>
    <row r="255" spans="1:13" ht="16.05" customHeight="1" x14ac:dyDescent="0.3">
      <c r="A255" s="26" t="s">
        <v>705</v>
      </c>
      <c r="B255" s="26" t="s">
        <v>1470</v>
      </c>
      <c r="C255" s="26" t="s">
        <v>1472</v>
      </c>
      <c r="D255" s="26" t="s">
        <v>1473</v>
      </c>
      <c r="E255" s="39">
        <v>1</v>
      </c>
      <c r="F255" s="37">
        <v>6710</v>
      </c>
      <c r="G255" s="38">
        <f>IFERROR(IF(B255="Tampa",INDEX(tbl_tampas[Massa_g],MATCH(A255,tbl_tampas[CapId],0)),INDEX(tbl_recyclass[Massa_Corpo_g],MATCH(A255,tbl_recyclass[ProductId],0))),0)</f>
        <v>30.9</v>
      </c>
      <c r="H255" s="32">
        <f t="shared" si="9"/>
        <v>207.339</v>
      </c>
      <c r="I255" s="36">
        <f>IFERROR(IF(B255="Tampa",INDEX(tbl_tampas[Pct_PCR],MATCH(A255,tbl_tampas[CapId],0)),INDEX(tbl_recyclass[Pct_PCR_Corpo],MATCH(A255,tbl_recyclass[ProductId],0))),0)</f>
        <v>0</v>
      </c>
      <c r="J255" s="32">
        <f t="shared" si="10"/>
        <v>0</v>
      </c>
      <c r="K255" s="32">
        <f t="shared" si="11"/>
        <v>207.339</v>
      </c>
      <c r="L255" s="43">
        <f>IF(C255="ES",K255*INDEX(tbl_param_emb[Valor],MATCH("P-01",tbl_param_emb[ID_Parametro],0)),0)</f>
        <v>0</v>
      </c>
      <c r="M255" s="33" t="str">
        <f>IF(B255="Tampa","Componente",IFERROR(INDEX(tbl_recyclass[Grau_PPWR_Indicativo],MATCH(A255,tbl_recyclass[ProductId],0)),""))</f>
        <v>Não reciclável (F)</v>
      </c>
    </row>
    <row r="256" spans="1:13" ht="16.05" customHeight="1" x14ac:dyDescent="0.3">
      <c r="A256" s="26" t="s">
        <v>705</v>
      </c>
      <c r="B256" s="26" t="s">
        <v>1470</v>
      </c>
      <c r="C256" s="26" t="s">
        <v>1478</v>
      </c>
      <c r="D256" s="26" t="s">
        <v>1479</v>
      </c>
      <c r="E256" s="39">
        <v>1</v>
      </c>
      <c r="F256" s="37">
        <v>7143</v>
      </c>
      <c r="G256" s="38">
        <f>IFERROR(IF(B256="Tampa",INDEX(tbl_tampas[Massa_g],MATCH(A256,tbl_tampas[CapId],0)),INDEX(tbl_recyclass[Massa_Corpo_g],MATCH(A256,tbl_recyclass[ProductId],0))),0)</f>
        <v>30.9</v>
      </c>
      <c r="H256" s="32">
        <f t="shared" si="9"/>
        <v>220.71869999999998</v>
      </c>
      <c r="I256" s="36">
        <f>IFERROR(IF(B256="Tampa",INDEX(tbl_tampas[Pct_PCR],MATCH(A256,tbl_tampas[CapId],0)),INDEX(tbl_recyclass[Pct_PCR_Corpo],MATCH(A256,tbl_recyclass[ProductId],0))),0)</f>
        <v>0</v>
      </c>
      <c r="J256" s="32">
        <f t="shared" si="10"/>
        <v>0</v>
      </c>
      <c r="K256" s="32">
        <f t="shared" si="11"/>
        <v>220.71869999999998</v>
      </c>
      <c r="L256" s="43">
        <f>IF(C256="ES",K256*INDEX(tbl_param_emb[Valor],MATCH("P-01",tbl_param_emb[ID_Parametro],0)),0)</f>
        <v>0</v>
      </c>
      <c r="M256" s="33" t="str">
        <f>IF(B256="Tampa","Componente",IFERROR(INDEX(tbl_recyclass[Grau_PPWR_Indicativo],MATCH(A256,tbl_recyclass[ProductId],0)),""))</f>
        <v>Não reciclável (F)</v>
      </c>
    </row>
    <row r="257" spans="1:13" ht="16.05" customHeight="1" x14ac:dyDescent="0.3">
      <c r="A257" s="26" t="s">
        <v>705</v>
      </c>
      <c r="B257" s="26" t="s">
        <v>1470</v>
      </c>
      <c r="C257" s="26" t="s">
        <v>847</v>
      </c>
      <c r="D257" s="26" t="s">
        <v>1471</v>
      </c>
      <c r="E257" s="39">
        <v>6</v>
      </c>
      <c r="F257" s="37">
        <v>41588</v>
      </c>
      <c r="G257" s="38">
        <f>IFERROR(IF(B257="Tampa",INDEX(tbl_tampas[Massa_g],MATCH(A257,tbl_tampas[CapId],0)),INDEX(tbl_recyclass[Massa_Corpo_g],MATCH(A257,tbl_recyclass[ProductId],0))),0)</f>
        <v>30.9</v>
      </c>
      <c r="H257" s="32">
        <f t="shared" si="9"/>
        <v>1285.0691999999999</v>
      </c>
      <c r="I257" s="36">
        <f>IFERROR(IF(B257="Tampa",INDEX(tbl_tampas[Pct_PCR],MATCH(A257,tbl_tampas[CapId],0)),INDEX(tbl_recyclass[Pct_PCR_Corpo],MATCH(A257,tbl_recyclass[ProductId],0))),0)</f>
        <v>0</v>
      </c>
      <c r="J257" s="32">
        <f t="shared" si="10"/>
        <v>0</v>
      </c>
      <c r="K257" s="32">
        <f t="shared" si="11"/>
        <v>1285.0691999999999</v>
      </c>
      <c r="L257" s="43">
        <f>IF(C257="ES",K257*INDEX(tbl_param_emb[Valor],MATCH("P-01",tbl_param_emb[ID_Parametro],0)),0)</f>
        <v>0</v>
      </c>
      <c r="M257" s="33" t="str">
        <f>IF(B257="Tampa","Componente",IFERROR(INDEX(tbl_recyclass[Grau_PPWR_Indicativo],MATCH(A257,tbl_recyclass[ProductId],0)),""))</f>
        <v>Não reciclável (F)</v>
      </c>
    </row>
    <row r="258" spans="1:13" ht="16.05" customHeight="1" x14ac:dyDescent="0.3">
      <c r="A258" s="26" t="s">
        <v>705</v>
      </c>
      <c r="B258" s="26" t="s">
        <v>1470</v>
      </c>
      <c r="C258" s="26" t="s">
        <v>1474</v>
      </c>
      <c r="D258" s="26" t="s">
        <v>1475</v>
      </c>
      <c r="E258" s="39">
        <v>1</v>
      </c>
      <c r="F258" s="37">
        <v>7826</v>
      </c>
      <c r="G258" s="38">
        <f>IFERROR(IF(B258="Tampa",INDEX(tbl_tampas[Massa_g],MATCH(A258,tbl_tampas[CapId],0)),INDEX(tbl_recyclass[Massa_Corpo_g],MATCH(A258,tbl_recyclass[ProductId],0))),0)</f>
        <v>30.9</v>
      </c>
      <c r="H258" s="32">
        <f t="shared" ref="H258:H321" si="12">F258*G258/1000</f>
        <v>241.82339999999999</v>
      </c>
      <c r="I258" s="36">
        <f>IFERROR(IF(B258="Tampa",INDEX(tbl_tampas[Pct_PCR],MATCH(A258,tbl_tampas[CapId],0)),INDEX(tbl_recyclass[Pct_PCR_Corpo],MATCH(A258,tbl_recyclass[ProductId],0))),0)</f>
        <v>0</v>
      </c>
      <c r="J258" s="32">
        <f t="shared" ref="J258:J321" si="13">H258*I258</f>
        <v>0</v>
      </c>
      <c r="K258" s="32">
        <f t="shared" ref="K258:K321" si="14">H258-J258</f>
        <v>241.82339999999999</v>
      </c>
      <c r="L258" s="43">
        <f>IF(C258="ES",K258*INDEX(tbl_param_emb[Valor],MATCH("P-01",tbl_param_emb[ID_Parametro],0)),0)</f>
        <v>108.82053000000001</v>
      </c>
      <c r="M258" s="33" t="str">
        <f>IF(B258="Tampa","Componente",IFERROR(INDEX(tbl_recyclass[Grau_PPWR_Indicativo],MATCH(A258,tbl_recyclass[ProductId],0)),""))</f>
        <v>Não reciclável (F)</v>
      </c>
    </row>
    <row r="259" spans="1:13" ht="16.05" customHeight="1" x14ac:dyDescent="0.3">
      <c r="A259" s="26" t="s">
        <v>721</v>
      </c>
      <c r="B259" s="26" t="s">
        <v>1470</v>
      </c>
      <c r="C259" s="26" t="s">
        <v>1476</v>
      </c>
      <c r="D259" s="26" t="s">
        <v>1477</v>
      </c>
      <c r="E259" s="39">
        <v>1</v>
      </c>
      <c r="F259" s="37">
        <v>1910</v>
      </c>
      <c r="G259" s="38">
        <f>IFERROR(IF(B259="Tampa",INDEX(tbl_tampas[Massa_g],MATCH(A259,tbl_tampas[CapId],0)),INDEX(tbl_recyclass[Massa_Corpo_g],MATCH(A259,tbl_recyclass[ProductId],0))),0)</f>
        <v>30.9</v>
      </c>
      <c r="H259" s="32">
        <f t="shared" si="12"/>
        <v>59.018999999999998</v>
      </c>
      <c r="I259" s="36">
        <f>IFERROR(IF(B259="Tampa",INDEX(tbl_tampas[Pct_PCR],MATCH(A259,tbl_tampas[CapId],0)),INDEX(tbl_recyclass[Pct_PCR_Corpo],MATCH(A259,tbl_recyclass[ProductId],0))),0)</f>
        <v>0.5</v>
      </c>
      <c r="J259" s="32">
        <f t="shared" si="13"/>
        <v>29.509499999999999</v>
      </c>
      <c r="K259" s="32">
        <f t="shared" si="14"/>
        <v>29.509499999999999</v>
      </c>
      <c r="L259" s="43">
        <f>IF(C259="ES",K259*INDEX(tbl_param_emb[Valor],MATCH("P-01",tbl_param_emb[ID_Parametro],0)),0)</f>
        <v>0</v>
      </c>
      <c r="M259" s="33" t="str">
        <f>IF(B259="Tampa","Componente",IFERROR(INDEX(tbl_recyclass[Grau_PPWR_Indicativo],MATCH(A259,tbl_recyclass[ProductId],0)),""))</f>
        <v>Abaixo de C</v>
      </c>
    </row>
    <row r="260" spans="1:13" ht="16.05" customHeight="1" x14ac:dyDescent="0.3">
      <c r="A260" s="26" t="s">
        <v>721</v>
      </c>
      <c r="B260" s="26" t="s">
        <v>1470</v>
      </c>
      <c r="C260" s="26" t="s">
        <v>1478</v>
      </c>
      <c r="D260" s="26" t="s">
        <v>1479</v>
      </c>
      <c r="E260" s="39">
        <v>1</v>
      </c>
      <c r="F260" s="37">
        <v>8037</v>
      </c>
      <c r="G260" s="38">
        <f>IFERROR(IF(B260="Tampa",INDEX(tbl_tampas[Massa_g],MATCH(A260,tbl_tampas[CapId],0)),INDEX(tbl_recyclass[Massa_Corpo_g],MATCH(A260,tbl_recyclass[ProductId],0))),0)</f>
        <v>30.9</v>
      </c>
      <c r="H260" s="32">
        <f t="shared" si="12"/>
        <v>248.3433</v>
      </c>
      <c r="I260" s="36">
        <f>IFERROR(IF(B260="Tampa",INDEX(tbl_tampas[Pct_PCR],MATCH(A260,tbl_tampas[CapId],0)),INDEX(tbl_recyclass[Pct_PCR_Corpo],MATCH(A260,tbl_recyclass[ProductId],0))),0)</f>
        <v>0.5</v>
      </c>
      <c r="J260" s="32">
        <f t="shared" si="13"/>
        <v>124.17165</v>
      </c>
      <c r="K260" s="32">
        <f t="shared" si="14"/>
        <v>124.17165</v>
      </c>
      <c r="L260" s="43">
        <f>IF(C260="ES",K260*INDEX(tbl_param_emb[Valor],MATCH("P-01",tbl_param_emb[ID_Parametro],0)),0)</f>
        <v>0</v>
      </c>
      <c r="M260" s="33" t="str">
        <f>IF(B260="Tampa","Componente",IFERROR(INDEX(tbl_recyclass[Grau_PPWR_Indicativo],MATCH(A260,tbl_recyclass[ProductId],0)),""))</f>
        <v>Abaixo de C</v>
      </c>
    </row>
    <row r="261" spans="1:13" ht="16.05" customHeight="1" x14ac:dyDescent="0.3">
      <c r="A261" s="26" t="s">
        <v>721</v>
      </c>
      <c r="B261" s="26" t="s">
        <v>1470</v>
      </c>
      <c r="C261" s="26" t="s">
        <v>1480</v>
      </c>
      <c r="D261" s="26" t="s">
        <v>1481</v>
      </c>
      <c r="E261" s="39">
        <v>1</v>
      </c>
      <c r="F261" s="37">
        <v>3121</v>
      </c>
      <c r="G261" s="38">
        <f>IFERROR(IF(B261="Tampa",INDEX(tbl_tampas[Massa_g],MATCH(A261,tbl_tampas[CapId],0)),INDEX(tbl_recyclass[Massa_Corpo_g],MATCH(A261,tbl_recyclass[ProductId],0))),0)</f>
        <v>30.9</v>
      </c>
      <c r="H261" s="32">
        <f t="shared" si="12"/>
        <v>96.43889999999999</v>
      </c>
      <c r="I261" s="36">
        <f>IFERROR(IF(B261="Tampa",INDEX(tbl_tampas[Pct_PCR],MATCH(A261,tbl_tampas[CapId],0)),INDEX(tbl_recyclass[Pct_PCR_Corpo],MATCH(A261,tbl_recyclass[ProductId],0))),0)</f>
        <v>0.5</v>
      </c>
      <c r="J261" s="32">
        <f t="shared" si="13"/>
        <v>48.219449999999995</v>
      </c>
      <c r="K261" s="32">
        <f t="shared" si="14"/>
        <v>48.219449999999995</v>
      </c>
      <c r="L261" s="43">
        <f>IF(C261="ES",K261*INDEX(tbl_param_emb[Valor],MATCH("P-01",tbl_param_emb[ID_Parametro],0)),0)</f>
        <v>0</v>
      </c>
      <c r="M261" s="33" t="str">
        <f>IF(B261="Tampa","Componente",IFERROR(INDEX(tbl_recyclass[Grau_PPWR_Indicativo],MATCH(A261,tbl_recyclass[ProductId],0)),""))</f>
        <v>Abaixo de C</v>
      </c>
    </row>
    <row r="262" spans="1:13" ht="16.05" customHeight="1" x14ac:dyDescent="0.3">
      <c r="A262" s="26" t="s">
        <v>721</v>
      </c>
      <c r="B262" s="26" t="s">
        <v>1470</v>
      </c>
      <c r="C262" s="26" t="s">
        <v>847</v>
      </c>
      <c r="D262" s="26" t="s">
        <v>1471</v>
      </c>
      <c r="E262" s="39">
        <v>6</v>
      </c>
      <c r="F262" s="37">
        <v>60830</v>
      </c>
      <c r="G262" s="38">
        <f>IFERROR(IF(B262="Tampa",INDEX(tbl_tampas[Massa_g],MATCH(A262,tbl_tampas[CapId],0)),INDEX(tbl_recyclass[Massa_Corpo_g],MATCH(A262,tbl_recyclass[ProductId],0))),0)</f>
        <v>30.9</v>
      </c>
      <c r="H262" s="32">
        <f t="shared" si="12"/>
        <v>1879.6469999999999</v>
      </c>
      <c r="I262" s="36">
        <f>IFERROR(IF(B262="Tampa",INDEX(tbl_tampas[Pct_PCR],MATCH(A262,tbl_tampas[CapId],0)),INDEX(tbl_recyclass[Pct_PCR_Corpo],MATCH(A262,tbl_recyclass[ProductId],0))),0)</f>
        <v>0.5</v>
      </c>
      <c r="J262" s="32">
        <f t="shared" si="13"/>
        <v>939.82349999999997</v>
      </c>
      <c r="K262" s="32">
        <f t="shared" si="14"/>
        <v>939.82349999999997</v>
      </c>
      <c r="L262" s="43">
        <f>IF(C262="ES",K262*INDEX(tbl_param_emb[Valor],MATCH("P-01",tbl_param_emb[ID_Parametro],0)),0)</f>
        <v>0</v>
      </c>
      <c r="M262" s="33" t="str">
        <f>IF(B262="Tampa","Componente",IFERROR(INDEX(tbl_recyclass[Grau_PPWR_Indicativo],MATCH(A262,tbl_recyclass[ProductId],0)),""))</f>
        <v>Abaixo de C</v>
      </c>
    </row>
    <row r="263" spans="1:13" ht="16.05" customHeight="1" x14ac:dyDescent="0.3">
      <c r="A263" s="26" t="s">
        <v>721</v>
      </c>
      <c r="B263" s="26" t="s">
        <v>1470</v>
      </c>
      <c r="C263" s="26" t="s">
        <v>1474</v>
      </c>
      <c r="D263" s="26" t="s">
        <v>1475</v>
      </c>
      <c r="E263" s="39">
        <v>2</v>
      </c>
      <c r="F263" s="37">
        <v>13474</v>
      </c>
      <c r="G263" s="38">
        <f>IFERROR(IF(B263="Tampa",INDEX(tbl_tampas[Massa_g],MATCH(A263,tbl_tampas[CapId],0)),INDEX(tbl_recyclass[Massa_Corpo_g],MATCH(A263,tbl_recyclass[ProductId],0))),0)</f>
        <v>30.9</v>
      </c>
      <c r="H263" s="32">
        <f t="shared" si="12"/>
        <v>416.34659999999997</v>
      </c>
      <c r="I263" s="36">
        <f>IFERROR(IF(B263="Tampa",INDEX(tbl_tampas[Pct_PCR],MATCH(A263,tbl_tampas[CapId],0)),INDEX(tbl_recyclass[Pct_PCR_Corpo],MATCH(A263,tbl_recyclass[ProductId],0))),0)</f>
        <v>0.5</v>
      </c>
      <c r="J263" s="32">
        <f t="shared" si="13"/>
        <v>208.17329999999998</v>
      </c>
      <c r="K263" s="32">
        <f t="shared" si="14"/>
        <v>208.17329999999998</v>
      </c>
      <c r="L263" s="43">
        <f>IF(C263="ES",K263*INDEX(tbl_param_emb[Valor],MATCH("P-01",tbl_param_emb[ID_Parametro],0)),0)</f>
        <v>93.677984999999993</v>
      </c>
      <c r="M263" s="33" t="str">
        <f>IF(B263="Tampa","Componente",IFERROR(INDEX(tbl_recyclass[Grau_PPWR_Indicativo],MATCH(A263,tbl_recyclass[ProductId],0)),""))</f>
        <v>Abaixo de C</v>
      </c>
    </row>
    <row r="264" spans="1:13" ht="16.05" customHeight="1" x14ac:dyDescent="0.3">
      <c r="A264" s="26" t="s">
        <v>841</v>
      </c>
      <c r="B264" s="26" t="s">
        <v>1470</v>
      </c>
      <c r="C264" s="26" t="s">
        <v>1476</v>
      </c>
      <c r="D264" s="26" t="s">
        <v>1477</v>
      </c>
      <c r="E264" s="39">
        <v>1</v>
      </c>
      <c r="F264" s="37">
        <v>49393</v>
      </c>
      <c r="G264" s="38">
        <f>IFERROR(IF(B264="Tampa",INDEX(tbl_tampas[Massa_g],MATCH(A264,tbl_tampas[CapId],0)),INDEX(tbl_recyclass[Massa_Corpo_g],MATCH(A264,tbl_recyclass[ProductId],0))),0)</f>
        <v>34.9</v>
      </c>
      <c r="H264" s="32">
        <f t="shared" si="12"/>
        <v>1723.8156999999999</v>
      </c>
      <c r="I264" s="36">
        <f>IFERROR(IF(B264="Tampa",INDEX(tbl_tampas[Pct_PCR],MATCH(A264,tbl_tampas[CapId],0)),INDEX(tbl_recyclass[Pct_PCR_Corpo],MATCH(A264,tbl_recyclass[ProductId],0))),0)</f>
        <v>0</v>
      </c>
      <c r="J264" s="32">
        <f t="shared" si="13"/>
        <v>0</v>
      </c>
      <c r="K264" s="32">
        <f t="shared" si="14"/>
        <v>1723.8156999999999</v>
      </c>
      <c r="L264" s="43">
        <f>IF(C264="ES",K264*INDEX(tbl_param_emb[Valor],MATCH("P-01",tbl_param_emb[ID_Parametro],0)),0)</f>
        <v>0</v>
      </c>
      <c r="M264" s="33" t="str">
        <f>IF(B264="Tampa","Componente",IFERROR(INDEX(tbl_recyclass[Grau_PPWR_Indicativo],MATCH(A264,tbl_recyclass[ProductId],0)),""))</f>
        <v>Não reciclável (F)</v>
      </c>
    </row>
    <row r="265" spans="1:13" ht="16.05" customHeight="1" x14ac:dyDescent="0.3">
      <c r="A265" s="26" t="s">
        <v>841</v>
      </c>
      <c r="B265" s="26" t="s">
        <v>1470</v>
      </c>
      <c r="C265" s="26" t="s">
        <v>1472</v>
      </c>
      <c r="D265" s="26" t="s">
        <v>1473</v>
      </c>
      <c r="E265" s="39">
        <v>1</v>
      </c>
      <c r="F265" s="37">
        <v>61046</v>
      </c>
      <c r="G265" s="38">
        <f>IFERROR(IF(B265="Tampa",INDEX(tbl_tampas[Massa_g],MATCH(A265,tbl_tampas[CapId],0)),INDEX(tbl_recyclass[Massa_Corpo_g],MATCH(A265,tbl_recyclass[ProductId],0))),0)</f>
        <v>34.9</v>
      </c>
      <c r="H265" s="32">
        <f t="shared" si="12"/>
        <v>2130.5054</v>
      </c>
      <c r="I265" s="36">
        <f>IFERROR(IF(B265="Tampa",INDEX(tbl_tampas[Pct_PCR],MATCH(A265,tbl_tampas[CapId],0)),INDEX(tbl_recyclass[Pct_PCR_Corpo],MATCH(A265,tbl_recyclass[ProductId],0))),0)</f>
        <v>0</v>
      </c>
      <c r="J265" s="32">
        <f t="shared" si="13"/>
        <v>0</v>
      </c>
      <c r="K265" s="32">
        <f t="shared" si="14"/>
        <v>2130.5054</v>
      </c>
      <c r="L265" s="43">
        <f>IF(C265="ES",K265*INDEX(tbl_param_emb[Valor],MATCH("P-01",tbl_param_emb[ID_Parametro],0)),0)</f>
        <v>0</v>
      </c>
      <c r="M265" s="33" t="str">
        <f>IF(B265="Tampa","Componente",IFERROR(INDEX(tbl_recyclass[Grau_PPWR_Indicativo],MATCH(A265,tbl_recyclass[ProductId],0)),""))</f>
        <v>Não reciclável (F)</v>
      </c>
    </row>
    <row r="266" spans="1:13" ht="16.05" customHeight="1" x14ac:dyDescent="0.3">
      <c r="A266" s="26" t="s">
        <v>841</v>
      </c>
      <c r="B266" s="26" t="s">
        <v>1470</v>
      </c>
      <c r="C266" s="26" t="s">
        <v>1478</v>
      </c>
      <c r="D266" s="26" t="s">
        <v>1479</v>
      </c>
      <c r="E266" s="39">
        <v>1</v>
      </c>
      <c r="F266" s="37">
        <v>40183</v>
      </c>
      <c r="G266" s="38">
        <f>IFERROR(IF(B266="Tampa",INDEX(tbl_tampas[Massa_g],MATCH(A266,tbl_tampas[CapId],0)),INDEX(tbl_recyclass[Massa_Corpo_g],MATCH(A266,tbl_recyclass[ProductId],0))),0)</f>
        <v>34.9</v>
      </c>
      <c r="H266" s="32">
        <f t="shared" si="12"/>
        <v>1402.3867</v>
      </c>
      <c r="I266" s="36">
        <f>IFERROR(IF(B266="Tampa",INDEX(tbl_tampas[Pct_PCR],MATCH(A266,tbl_tampas[CapId],0)),INDEX(tbl_recyclass[Pct_PCR_Corpo],MATCH(A266,tbl_recyclass[ProductId],0))),0)</f>
        <v>0</v>
      </c>
      <c r="J266" s="32">
        <f t="shared" si="13"/>
        <v>0</v>
      </c>
      <c r="K266" s="32">
        <f t="shared" si="14"/>
        <v>1402.3867</v>
      </c>
      <c r="L266" s="43">
        <f>IF(C266="ES",K266*INDEX(tbl_param_emb[Valor],MATCH("P-01",tbl_param_emb[ID_Parametro],0)),0)</f>
        <v>0</v>
      </c>
      <c r="M266" s="33" t="str">
        <f>IF(B266="Tampa","Componente",IFERROR(INDEX(tbl_recyclass[Grau_PPWR_Indicativo],MATCH(A266,tbl_recyclass[ProductId],0)),""))</f>
        <v>Não reciclável (F)</v>
      </c>
    </row>
    <row r="267" spans="1:13" ht="16.05" customHeight="1" x14ac:dyDescent="0.3">
      <c r="A267" s="26" t="s">
        <v>841</v>
      </c>
      <c r="B267" s="26" t="s">
        <v>1470</v>
      </c>
      <c r="C267" s="26" t="s">
        <v>1480</v>
      </c>
      <c r="D267" s="26" t="s">
        <v>1481</v>
      </c>
      <c r="E267" s="39">
        <v>1</v>
      </c>
      <c r="F267" s="37">
        <v>51518</v>
      </c>
      <c r="G267" s="38">
        <f>IFERROR(IF(B267="Tampa",INDEX(tbl_tampas[Massa_g],MATCH(A267,tbl_tampas[CapId],0)),INDEX(tbl_recyclass[Massa_Corpo_g],MATCH(A267,tbl_recyclass[ProductId],0))),0)</f>
        <v>34.9</v>
      </c>
      <c r="H267" s="32">
        <f t="shared" si="12"/>
        <v>1797.9782</v>
      </c>
      <c r="I267" s="36">
        <f>IFERROR(IF(B267="Tampa",INDEX(tbl_tampas[Pct_PCR],MATCH(A267,tbl_tampas[CapId],0)),INDEX(tbl_recyclass[Pct_PCR_Corpo],MATCH(A267,tbl_recyclass[ProductId],0))),0)</f>
        <v>0</v>
      </c>
      <c r="J267" s="32">
        <f t="shared" si="13"/>
        <v>0</v>
      </c>
      <c r="K267" s="32">
        <f t="shared" si="14"/>
        <v>1797.9782</v>
      </c>
      <c r="L267" s="43">
        <f>IF(C267="ES",K267*INDEX(tbl_param_emb[Valor],MATCH("P-01",tbl_param_emb[ID_Parametro],0)),0)</f>
        <v>0</v>
      </c>
      <c r="M267" s="33" t="str">
        <f>IF(B267="Tampa","Componente",IFERROR(INDEX(tbl_recyclass[Grau_PPWR_Indicativo],MATCH(A267,tbl_recyclass[ProductId],0)),""))</f>
        <v>Não reciclável (F)</v>
      </c>
    </row>
    <row r="268" spans="1:13" ht="16.05" customHeight="1" x14ac:dyDescent="0.3">
      <c r="A268" s="26" t="s">
        <v>841</v>
      </c>
      <c r="B268" s="26" t="s">
        <v>1470</v>
      </c>
      <c r="C268" s="26" t="s">
        <v>847</v>
      </c>
      <c r="D268" s="26" t="s">
        <v>1471</v>
      </c>
      <c r="E268" s="39">
        <v>8</v>
      </c>
      <c r="F268" s="37">
        <v>296158</v>
      </c>
      <c r="G268" s="38">
        <f>IFERROR(IF(B268="Tampa",INDEX(tbl_tampas[Massa_g],MATCH(A268,tbl_tampas[CapId],0)),INDEX(tbl_recyclass[Massa_Corpo_g],MATCH(A268,tbl_recyclass[ProductId],0))),0)</f>
        <v>34.9</v>
      </c>
      <c r="H268" s="32">
        <f t="shared" si="12"/>
        <v>10335.914199999999</v>
      </c>
      <c r="I268" s="36">
        <f>IFERROR(IF(B268="Tampa",INDEX(tbl_tampas[Pct_PCR],MATCH(A268,tbl_tampas[CapId],0)),INDEX(tbl_recyclass[Pct_PCR_Corpo],MATCH(A268,tbl_recyclass[ProductId],0))),0)</f>
        <v>0</v>
      </c>
      <c r="J268" s="32">
        <f t="shared" si="13"/>
        <v>0</v>
      </c>
      <c r="K268" s="32">
        <f t="shared" si="14"/>
        <v>10335.914199999999</v>
      </c>
      <c r="L268" s="43">
        <f>IF(C268="ES",K268*INDEX(tbl_param_emb[Valor],MATCH("P-01",tbl_param_emb[ID_Parametro],0)),0)</f>
        <v>0</v>
      </c>
      <c r="M268" s="33" t="str">
        <f>IF(B268="Tampa","Componente",IFERROR(INDEX(tbl_recyclass[Grau_PPWR_Indicativo],MATCH(A268,tbl_recyclass[ProductId],0)),""))</f>
        <v>Não reciclável (F)</v>
      </c>
    </row>
    <row r="269" spans="1:13" ht="16.05" customHeight="1" x14ac:dyDescent="0.3">
      <c r="A269" s="26" t="s">
        <v>841</v>
      </c>
      <c r="B269" s="26" t="s">
        <v>1470</v>
      </c>
      <c r="C269" s="26" t="s">
        <v>1474</v>
      </c>
      <c r="D269" s="26" t="s">
        <v>1475</v>
      </c>
      <c r="E269" s="39">
        <v>2</v>
      </c>
      <c r="F269" s="37">
        <v>84434</v>
      </c>
      <c r="G269" s="38">
        <f>IFERROR(IF(B269="Tampa",INDEX(tbl_tampas[Massa_g],MATCH(A269,tbl_tampas[CapId],0)),INDEX(tbl_recyclass[Massa_Corpo_g],MATCH(A269,tbl_recyclass[ProductId],0))),0)</f>
        <v>34.9</v>
      </c>
      <c r="H269" s="32">
        <f t="shared" si="12"/>
        <v>2946.7465999999999</v>
      </c>
      <c r="I269" s="36">
        <f>IFERROR(IF(B269="Tampa",INDEX(tbl_tampas[Pct_PCR],MATCH(A269,tbl_tampas[CapId],0)),INDEX(tbl_recyclass[Pct_PCR_Corpo],MATCH(A269,tbl_recyclass[ProductId],0))),0)</f>
        <v>0</v>
      </c>
      <c r="J269" s="32">
        <f t="shared" si="13"/>
        <v>0</v>
      </c>
      <c r="K269" s="32">
        <f t="shared" si="14"/>
        <v>2946.7465999999999</v>
      </c>
      <c r="L269" s="43">
        <f>IF(C269="ES",K269*INDEX(tbl_param_emb[Valor],MATCH("P-01",tbl_param_emb[ID_Parametro],0)),0)</f>
        <v>1326.0359699999999</v>
      </c>
      <c r="M269" s="33" t="str">
        <f>IF(B269="Tampa","Componente",IFERROR(INDEX(tbl_recyclass[Grau_PPWR_Indicativo],MATCH(A269,tbl_recyclass[ProductId],0)),""))</f>
        <v>Não reciclável (F)</v>
      </c>
    </row>
    <row r="270" spans="1:13" ht="16.05" customHeight="1" x14ac:dyDescent="0.3">
      <c r="A270" s="26" t="s">
        <v>725</v>
      </c>
      <c r="B270" s="26" t="s">
        <v>1470</v>
      </c>
      <c r="C270" s="26" t="s">
        <v>1472</v>
      </c>
      <c r="D270" s="26" t="s">
        <v>1473</v>
      </c>
      <c r="E270" s="39">
        <v>1</v>
      </c>
      <c r="F270" s="37">
        <v>7258</v>
      </c>
      <c r="G270" s="38">
        <f>IFERROR(IF(B270="Tampa",INDEX(tbl_tampas[Massa_g],MATCH(A270,tbl_tampas[CapId],0)),INDEX(tbl_recyclass[Massa_Corpo_g],MATCH(A270,tbl_recyclass[ProductId],0))),0)</f>
        <v>34.9</v>
      </c>
      <c r="H270" s="32">
        <f t="shared" si="12"/>
        <v>253.30419999999998</v>
      </c>
      <c r="I270" s="36">
        <f>IFERROR(IF(B270="Tampa",INDEX(tbl_tampas[Pct_PCR],MATCH(A270,tbl_tampas[CapId],0)),INDEX(tbl_recyclass[Pct_PCR_Corpo],MATCH(A270,tbl_recyclass[ProductId],0))),0)</f>
        <v>0</v>
      </c>
      <c r="J270" s="32">
        <f t="shared" si="13"/>
        <v>0</v>
      </c>
      <c r="K270" s="32">
        <f t="shared" si="14"/>
        <v>253.30419999999998</v>
      </c>
      <c r="L270" s="43">
        <f>IF(C270="ES",K270*INDEX(tbl_param_emb[Valor],MATCH("P-01",tbl_param_emb[ID_Parametro],0)),0)</f>
        <v>0</v>
      </c>
      <c r="M270" s="33" t="str">
        <f>IF(B270="Tampa","Componente",IFERROR(INDEX(tbl_recyclass[Grau_PPWR_Indicativo],MATCH(A270,tbl_recyclass[ProductId],0)),""))</f>
        <v>B</v>
      </c>
    </row>
    <row r="271" spans="1:13" ht="16.05" customHeight="1" x14ac:dyDescent="0.3">
      <c r="A271" s="26" t="s">
        <v>725</v>
      </c>
      <c r="B271" s="26" t="s">
        <v>1470</v>
      </c>
      <c r="C271" s="26" t="s">
        <v>1478</v>
      </c>
      <c r="D271" s="26" t="s">
        <v>1479</v>
      </c>
      <c r="E271" s="39">
        <v>1</v>
      </c>
      <c r="F271" s="37">
        <v>8749</v>
      </c>
      <c r="G271" s="38">
        <f>IFERROR(IF(B271="Tampa",INDEX(tbl_tampas[Massa_g],MATCH(A271,tbl_tampas[CapId],0)),INDEX(tbl_recyclass[Massa_Corpo_g],MATCH(A271,tbl_recyclass[ProductId],0))),0)</f>
        <v>34.9</v>
      </c>
      <c r="H271" s="32">
        <f t="shared" si="12"/>
        <v>305.34009999999995</v>
      </c>
      <c r="I271" s="36">
        <f>IFERROR(IF(B271="Tampa",INDEX(tbl_tampas[Pct_PCR],MATCH(A271,tbl_tampas[CapId],0)),INDEX(tbl_recyclass[Pct_PCR_Corpo],MATCH(A271,tbl_recyclass[ProductId],0))),0)</f>
        <v>0</v>
      </c>
      <c r="J271" s="32">
        <f t="shared" si="13"/>
        <v>0</v>
      </c>
      <c r="K271" s="32">
        <f t="shared" si="14"/>
        <v>305.34009999999995</v>
      </c>
      <c r="L271" s="43">
        <f>IF(C271="ES",K271*INDEX(tbl_param_emb[Valor],MATCH("P-01",tbl_param_emb[ID_Parametro],0)),0)</f>
        <v>0</v>
      </c>
      <c r="M271" s="33" t="str">
        <f>IF(B271="Tampa","Componente",IFERROR(INDEX(tbl_recyclass[Grau_PPWR_Indicativo],MATCH(A271,tbl_recyclass[ProductId],0)),""))</f>
        <v>B</v>
      </c>
    </row>
    <row r="272" spans="1:13" ht="16.05" customHeight="1" x14ac:dyDescent="0.3">
      <c r="A272" s="26" t="s">
        <v>725</v>
      </c>
      <c r="B272" s="26" t="s">
        <v>1470</v>
      </c>
      <c r="C272" s="26" t="s">
        <v>1480</v>
      </c>
      <c r="D272" s="26" t="s">
        <v>1481</v>
      </c>
      <c r="E272" s="39">
        <v>1</v>
      </c>
      <c r="F272" s="37">
        <v>18984</v>
      </c>
      <c r="G272" s="38">
        <f>IFERROR(IF(B272="Tampa",INDEX(tbl_tampas[Massa_g],MATCH(A272,tbl_tampas[CapId],0)),INDEX(tbl_recyclass[Massa_Corpo_g],MATCH(A272,tbl_recyclass[ProductId],0))),0)</f>
        <v>34.9</v>
      </c>
      <c r="H272" s="32">
        <f t="shared" si="12"/>
        <v>662.54160000000002</v>
      </c>
      <c r="I272" s="36">
        <f>IFERROR(IF(B272="Tampa",INDEX(tbl_tampas[Pct_PCR],MATCH(A272,tbl_tampas[CapId],0)),INDEX(tbl_recyclass[Pct_PCR_Corpo],MATCH(A272,tbl_recyclass[ProductId],0))),0)</f>
        <v>0</v>
      </c>
      <c r="J272" s="32">
        <f t="shared" si="13"/>
        <v>0</v>
      </c>
      <c r="K272" s="32">
        <f t="shared" si="14"/>
        <v>662.54160000000002</v>
      </c>
      <c r="L272" s="43">
        <f>IF(C272="ES",K272*INDEX(tbl_param_emb[Valor],MATCH("P-01",tbl_param_emb[ID_Parametro],0)),0)</f>
        <v>0</v>
      </c>
      <c r="M272" s="33" t="str">
        <f>IF(B272="Tampa","Componente",IFERROR(INDEX(tbl_recyclass[Grau_PPWR_Indicativo],MATCH(A272,tbl_recyclass[ProductId],0)),""))</f>
        <v>B</v>
      </c>
    </row>
    <row r="273" spans="1:13" ht="16.05" customHeight="1" x14ac:dyDescent="0.3">
      <c r="A273" s="26" t="s">
        <v>725</v>
      </c>
      <c r="B273" s="26" t="s">
        <v>1470</v>
      </c>
      <c r="C273" s="26" t="s">
        <v>847</v>
      </c>
      <c r="D273" s="26" t="s">
        <v>1471</v>
      </c>
      <c r="E273" s="39">
        <v>7</v>
      </c>
      <c r="F273" s="37">
        <v>44548</v>
      </c>
      <c r="G273" s="38">
        <f>IFERROR(IF(B273="Tampa",INDEX(tbl_tampas[Massa_g],MATCH(A273,tbl_tampas[CapId],0)),INDEX(tbl_recyclass[Massa_Corpo_g],MATCH(A273,tbl_recyclass[ProductId],0))),0)</f>
        <v>34.9</v>
      </c>
      <c r="H273" s="32">
        <f t="shared" si="12"/>
        <v>1554.7251999999999</v>
      </c>
      <c r="I273" s="36">
        <f>IFERROR(IF(B273="Tampa",INDEX(tbl_tampas[Pct_PCR],MATCH(A273,tbl_tampas[CapId],0)),INDEX(tbl_recyclass[Pct_PCR_Corpo],MATCH(A273,tbl_recyclass[ProductId],0))),0)</f>
        <v>0</v>
      </c>
      <c r="J273" s="32">
        <f t="shared" si="13"/>
        <v>0</v>
      </c>
      <c r="K273" s="32">
        <f t="shared" si="14"/>
        <v>1554.7251999999999</v>
      </c>
      <c r="L273" s="43">
        <f>IF(C273="ES",K273*INDEX(tbl_param_emb[Valor],MATCH("P-01",tbl_param_emb[ID_Parametro],0)),0)</f>
        <v>0</v>
      </c>
      <c r="M273" s="33" t="str">
        <f>IF(B273="Tampa","Componente",IFERROR(INDEX(tbl_recyclass[Grau_PPWR_Indicativo],MATCH(A273,tbl_recyclass[ProductId],0)),""))</f>
        <v>B</v>
      </c>
    </row>
    <row r="274" spans="1:13" ht="16.05" customHeight="1" x14ac:dyDescent="0.3">
      <c r="A274" s="26" t="s">
        <v>725</v>
      </c>
      <c r="B274" s="26" t="s">
        <v>1470</v>
      </c>
      <c r="C274" s="26" t="s">
        <v>1474</v>
      </c>
      <c r="D274" s="26" t="s">
        <v>1475</v>
      </c>
      <c r="E274" s="39">
        <v>2</v>
      </c>
      <c r="F274" s="37">
        <v>22760</v>
      </c>
      <c r="G274" s="38">
        <f>IFERROR(IF(B274="Tampa",INDEX(tbl_tampas[Massa_g],MATCH(A274,tbl_tampas[CapId],0)),INDEX(tbl_recyclass[Massa_Corpo_g],MATCH(A274,tbl_recyclass[ProductId],0))),0)</f>
        <v>34.9</v>
      </c>
      <c r="H274" s="32">
        <f t="shared" si="12"/>
        <v>794.32399999999996</v>
      </c>
      <c r="I274" s="36">
        <f>IFERROR(IF(B274="Tampa",INDEX(tbl_tampas[Pct_PCR],MATCH(A274,tbl_tampas[CapId],0)),INDEX(tbl_recyclass[Pct_PCR_Corpo],MATCH(A274,tbl_recyclass[ProductId],0))),0)</f>
        <v>0</v>
      </c>
      <c r="J274" s="32">
        <f t="shared" si="13"/>
        <v>0</v>
      </c>
      <c r="K274" s="32">
        <f t="shared" si="14"/>
        <v>794.32399999999996</v>
      </c>
      <c r="L274" s="43">
        <f>IF(C274="ES",K274*INDEX(tbl_param_emb[Valor],MATCH("P-01",tbl_param_emb[ID_Parametro],0)),0)</f>
        <v>357.44579999999996</v>
      </c>
      <c r="M274" s="33" t="str">
        <f>IF(B274="Tampa","Componente",IFERROR(INDEX(tbl_recyclass[Grau_PPWR_Indicativo],MATCH(A274,tbl_recyclass[ProductId],0)),""))</f>
        <v>B</v>
      </c>
    </row>
    <row r="275" spans="1:13" ht="16.05" customHeight="1" x14ac:dyDescent="0.3">
      <c r="A275" s="26" t="s">
        <v>732</v>
      </c>
      <c r="B275" s="26" t="s">
        <v>1470</v>
      </c>
      <c r="C275" s="26" t="s">
        <v>1476</v>
      </c>
      <c r="D275" s="26" t="s">
        <v>1477</v>
      </c>
      <c r="E275" s="39">
        <v>1</v>
      </c>
      <c r="F275" s="37">
        <v>8581</v>
      </c>
      <c r="G275" s="38">
        <f>IFERROR(IF(B275="Tampa",INDEX(tbl_tampas[Massa_g],MATCH(A275,tbl_tampas[CapId],0)),INDEX(tbl_recyclass[Massa_Corpo_g],MATCH(A275,tbl_recyclass[ProductId],0))),0)</f>
        <v>34.9</v>
      </c>
      <c r="H275" s="32">
        <f t="shared" si="12"/>
        <v>299.47689999999994</v>
      </c>
      <c r="I275" s="36">
        <f>IFERROR(IF(B275="Tampa",INDEX(tbl_tampas[Pct_PCR],MATCH(A275,tbl_tampas[CapId],0)),INDEX(tbl_recyclass[Pct_PCR_Corpo],MATCH(A275,tbl_recyclass[ProductId],0))),0)</f>
        <v>0.3</v>
      </c>
      <c r="J275" s="32">
        <f t="shared" si="13"/>
        <v>89.843069999999983</v>
      </c>
      <c r="K275" s="32">
        <f t="shared" si="14"/>
        <v>209.63382999999996</v>
      </c>
      <c r="L275" s="43">
        <f>IF(C275="ES",K275*INDEX(tbl_param_emb[Valor],MATCH("P-01",tbl_param_emb[ID_Parametro],0)),0)</f>
        <v>0</v>
      </c>
      <c r="M275" s="33" t="str">
        <f>IF(B275="Tampa","Componente",IFERROR(INDEX(tbl_recyclass[Grau_PPWR_Indicativo],MATCH(A275,tbl_recyclass[ProductId],0)),""))</f>
        <v>B</v>
      </c>
    </row>
    <row r="276" spans="1:13" ht="16.05" customHeight="1" x14ac:dyDescent="0.3">
      <c r="A276" s="26" t="s">
        <v>732</v>
      </c>
      <c r="B276" s="26" t="s">
        <v>1470</v>
      </c>
      <c r="C276" s="26" t="s">
        <v>1478</v>
      </c>
      <c r="D276" s="26" t="s">
        <v>1479</v>
      </c>
      <c r="E276" s="39">
        <v>1</v>
      </c>
      <c r="F276" s="37">
        <v>25951</v>
      </c>
      <c r="G276" s="38">
        <f>IFERROR(IF(B276="Tampa",INDEX(tbl_tampas[Massa_g],MATCH(A276,tbl_tampas[CapId],0)),INDEX(tbl_recyclass[Massa_Corpo_g],MATCH(A276,tbl_recyclass[ProductId],0))),0)</f>
        <v>34.9</v>
      </c>
      <c r="H276" s="32">
        <f t="shared" si="12"/>
        <v>905.68989999999985</v>
      </c>
      <c r="I276" s="36">
        <f>IFERROR(IF(B276="Tampa",INDEX(tbl_tampas[Pct_PCR],MATCH(A276,tbl_tampas[CapId],0)),INDEX(tbl_recyclass[Pct_PCR_Corpo],MATCH(A276,tbl_recyclass[ProductId],0))),0)</f>
        <v>0.3</v>
      </c>
      <c r="J276" s="32">
        <f t="shared" si="13"/>
        <v>271.70696999999996</v>
      </c>
      <c r="K276" s="32">
        <f t="shared" si="14"/>
        <v>633.9829299999999</v>
      </c>
      <c r="L276" s="43">
        <f>IF(C276="ES",K276*INDEX(tbl_param_emb[Valor],MATCH("P-01",tbl_param_emb[ID_Parametro],0)),0)</f>
        <v>0</v>
      </c>
      <c r="M276" s="33" t="str">
        <f>IF(B276="Tampa","Componente",IFERROR(INDEX(tbl_recyclass[Grau_PPWR_Indicativo],MATCH(A276,tbl_recyclass[ProductId],0)),""))</f>
        <v>B</v>
      </c>
    </row>
    <row r="277" spans="1:13" ht="16.05" customHeight="1" x14ac:dyDescent="0.3">
      <c r="A277" s="26" t="s">
        <v>732</v>
      </c>
      <c r="B277" s="26" t="s">
        <v>1470</v>
      </c>
      <c r="C277" s="26" t="s">
        <v>1480</v>
      </c>
      <c r="D277" s="26" t="s">
        <v>1481</v>
      </c>
      <c r="E277" s="39">
        <v>1</v>
      </c>
      <c r="F277" s="37">
        <v>2868</v>
      </c>
      <c r="G277" s="38">
        <f>IFERROR(IF(B277="Tampa",INDEX(tbl_tampas[Massa_g],MATCH(A277,tbl_tampas[CapId],0)),INDEX(tbl_recyclass[Massa_Corpo_g],MATCH(A277,tbl_recyclass[ProductId],0))),0)</f>
        <v>34.9</v>
      </c>
      <c r="H277" s="32">
        <f t="shared" si="12"/>
        <v>100.0932</v>
      </c>
      <c r="I277" s="36">
        <f>IFERROR(IF(B277="Tampa",INDEX(tbl_tampas[Pct_PCR],MATCH(A277,tbl_tampas[CapId],0)),INDEX(tbl_recyclass[Pct_PCR_Corpo],MATCH(A277,tbl_recyclass[ProductId],0))),0)</f>
        <v>0.3</v>
      </c>
      <c r="J277" s="32">
        <f t="shared" si="13"/>
        <v>30.027959999999997</v>
      </c>
      <c r="K277" s="32">
        <f t="shared" si="14"/>
        <v>70.065240000000003</v>
      </c>
      <c r="L277" s="43">
        <f>IF(C277="ES",K277*INDEX(tbl_param_emb[Valor],MATCH("P-01",tbl_param_emb[ID_Parametro],0)),0)</f>
        <v>0</v>
      </c>
      <c r="M277" s="33" t="str">
        <f>IF(B277="Tampa","Componente",IFERROR(INDEX(tbl_recyclass[Grau_PPWR_Indicativo],MATCH(A277,tbl_recyclass[ProductId],0)),""))</f>
        <v>B</v>
      </c>
    </row>
    <row r="278" spans="1:13" ht="16.05" customHeight="1" x14ac:dyDescent="0.3">
      <c r="A278" s="26" t="s">
        <v>732</v>
      </c>
      <c r="B278" s="26" t="s">
        <v>1470</v>
      </c>
      <c r="C278" s="26" t="s">
        <v>847</v>
      </c>
      <c r="D278" s="26" t="s">
        <v>1471</v>
      </c>
      <c r="E278" s="39">
        <v>5</v>
      </c>
      <c r="F278" s="37">
        <v>46608</v>
      </c>
      <c r="G278" s="38">
        <f>IFERROR(IF(B278="Tampa",INDEX(tbl_tampas[Massa_g],MATCH(A278,tbl_tampas[CapId],0)),INDEX(tbl_recyclass[Massa_Corpo_g],MATCH(A278,tbl_recyclass[ProductId],0))),0)</f>
        <v>34.9</v>
      </c>
      <c r="H278" s="32">
        <f t="shared" si="12"/>
        <v>1626.6191999999999</v>
      </c>
      <c r="I278" s="36">
        <f>IFERROR(IF(B278="Tampa",INDEX(tbl_tampas[Pct_PCR],MATCH(A278,tbl_tampas[CapId],0)),INDEX(tbl_recyclass[Pct_PCR_Corpo],MATCH(A278,tbl_recyclass[ProductId],0))),0)</f>
        <v>0.3</v>
      </c>
      <c r="J278" s="32">
        <f t="shared" si="13"/>
        <v>487.98575999999991</v>
      </c>
      <c r="K278" s="32">
        <f t="shared" si="14"/>
        <v>1138.6334400000001</v>
      </c>
      <c r="L278" s="43">
        <f>IF(C278="ES",K278*INDEX(tbl_param_emb[Valor],MATCH("P-01",tbl_param_emb[ID_Parametro],0)),0)</f>
        <v>0</v>
      </c>
      <c r="M278" s="33" t="str">
        <f>IF(B278="Tampa","Componente",IFERROR(INDEX(tbl_recyclass[Grau_PPWR_Indicativo],MATCH(A278,tbl_recyclass[ProductId],0)),""))</f>
        <v>B</v>
      </c>
    </row>
    <row r="279" spans="1:13" ht="16.05" customHeight="1" x14ac:dyDescent="0.3">
      <c r="A279" s="26" t="s">
        <v>732</v>
      </c>
      <c r="B279" s="26" t="s">
        <v>1470</v>
      </c>
      <c r="C279" s="26" t="s">
        <v>1474</v>
      </c>
      <c r="D279" s="26" t="s">
        <v>1475</v>
      </c>
      <c r="E279" s="39">
        <v>2</v>
      </c>
      <c r="F279" s="37">
        <v>23603</v>
      </c>
      <c r="G279" s="38">
        <f>IFERROR(IF(B279="Tampa",INDEX(tbl_tampas[Massa_g],MATCH(A279,tbl_tampas[CapId],0)),INDEX(tbl_recyclass[Massa_Corpo_g],MATCH(A279,tbl_recyclass[ProductId],0))),0)</f>
        <v>34.9</v>
      </c>
      <c r="H279" s="32">
        <f t="shared" si="12"/>
        <v>823.74469999999997</v>
      </c>
      <c r="I279" s="36">
        <f>IFERROR(IF(B279="Tampa",INDEX(tbl_tampas[Pct_PCR],MATCH(A279,tbl_tampas[CapId],0)),INDEX(tbl_recyclass[Pct_PCR_Corpo],MATCH(A279,tbl_recyclass[ProductId],0))),0)</f>
        <v>0.3</v>
      </c>
      <c r="J279" s="32">
        <f t="shared" si="13"/>
        <v>247.12340999999998</v>
      </c>
      <c r="K279" s="32">
        <f t="shared" si="14"/>
        <v>576.62129000000004</v>
      </c>
      <c r="L279" s="43">
        <f>IF(C279="ES",K279*INDEX(tbl_param_emb[Valor],MATCH("P-01",tbl_param_emb[ID_Parametro],0)),0)</f>
        <v>259.47958050000005</v>
      </c>
      <c r="M279" s="33" t="str">
        <f>IF(B279="Tampa","Componente",IFERROR(INDEX(tbl_recyclass[Grau_PPWR_Indicativo],MATCH(A279,tbl_recyclass[ProductId],0)),""))</f>
        <v>B</v>
      </c>
    </row>
    <row r="280" spans="1:13" ht="16.05" customHeight="1" x14ac:dyDescent="0.3">
      <c r="A280" s="26" t="s">
        <v>747</v>
      </c>
      <c r="B280" s="26" t="s">
        <v>1470</v>
      </c>
      <c r="C280" s="26" t="s">
        <v>1476</v>
      </c>
      <c r="D280" s="26" t="s">
        <v>1477</v>
      </c>
      <c r="E280" s="39">
        <v>1</v>
      </c>
      <c r="F280" s="37">
        <v>19612</v>
      </c>
      <c r="G280" s="38">
        <f>IFERROR(IF(B280="Tampa",INDEX(tbl_tampas[Massa_g],MATCH(A280,tbl_tampas[CapId],0)),INDEX(tbl_recyclass[Massa_Corpo_g],MATCH(A280,tbl_recyclass[ProductId],0))),0)</f>
        <v>34.9</v>
      </c>
      <c r="H280" s="32">
        <f t="shared" si="12"/>
        <v>684.45879999999988</v>
      </c>
      <c r="I280" s="36">
        <f>IFERROR(IF(B280="Tampa",INDEX(tbl_tampas[Pct_PCR],MATCH(A280,tbl_tampas[CapId],0)),INDEX(tbl_recyclass[Pct_PCR_Corpo],MATCH(A280,tbl_recyclass[ProductId],0))),0)</f>
        <v>0</v>
      </c>
      <c r="J280" s="32">
        <f t="shared" si="13"/>
        <v>0</v>
      </c>
      <c r="K280" s="32">
        <f t="shared" si="14"/>
        <v>684.45879999999988</v>
      </c>
      <c r="L280" s="43">
        <f>IF(C280="ES",K280*INDEX(tbl_param_emb[Valor],MATCH("P-01",tbl_param_emb[ID_Parametro],0)),0)</f>
        <v>0</v>
      </c>
      <c r="M280" s="33" t="str">
        <f>IF(B280="Tampa","Componente",IFERROR(INDEX(tbl_recyclass[Grau_PPWR_Indicativo],MATCH(A280,tbl_recyclass[ProductId],0)),""))</f>
        <v>B</v>
      </c>
    </row>
    <row r="281" spans="1:13" ht="16.05" customHeight="1" x14ac:dyDescent="0.3">
      <c r="A281" s="26" t="s">
        <v>747</v>
      </c>
      <c r="B281" s="26" t="s">
        <v>1470</v>
      </c>
      <c r="C281" s="26" t="s">
        <v>1472</v>
      </c>
      <c r="D281" s="26" t="s">
        <v>1473</v>
      </c>
      <c r="E281" s="39">
        <v>1</v>
      </c>
      <c r="F281" s="37">
        <v>12506</v>
      </c>
      <c r="G281" s="38">
        <f>IFERROR(IF(B281="Tampa",INDEX(tbl_tampas[Massa_g],MATCH(A281,tbl_tampas[CapId],0)),INDEX(tbl_recyclass[Massa_Corpo_g],MATCH(A281,tbl_recyclass[ProductId],0))),0)</f>
        <v>34.9</v>
      </c>
      <c r="H281" s="32">
        <f t="shared" si="12"/>
        <v>436.45939999999996</v>
      </c>
      <c r="I281" s="36">
        <f>IFERROR(IF(B281="Tampa",INDEX(tbl_tampas[Pct_PCR],MATCH(A281,tbl_tampas[CapId],0)),INDEX(tbl_recyclass[Pct_PCR_Corpo],MATCH(A281,tbl_recyclass[ProductId],0))),0)</f>
        <v>0</v>
      </c>
      <c r="J281" s="32">
        <f t="shared" si="13"/>
        <v>0</v>
      </c>
      <c r="K281" s="32">
        <f t="shared" si="14"/>
        <v>436.45939999999996</v>
      </c>
      <c r="L281" s="43">
        <f>IF(C281="ES",K281*INDEX(tbl_param_emb[Valor],MATCH("P-01",tbl_param_emb[ID_Parametro],0)),0)</f>
        <v>0</v>
      </c>
      <c r="M281" s="33" t="str">
        <f>IF(B281="Tampa","Componente",IFERROR(INDEX(tbl_recyclass[Grau_PPWR_Indicativo],MATCH(A281,tbl_recyclass[ProductId],0)),""))</f>
        <v>B</v>
      </c>
    </row>
    <row r="282" spans="1:13" ht="16.05" customHeight="1" x14ac:dyDescent="0.3">
      <c r="A282" s="26" t="s">
        <v>747</v>
      </c>
      <c r="B282" s="26" t="s">
        <v>1470</v>
      </c>
      <c r="C282" s="26" t="s">
        <v>1478</v>
      </c>
      <c r="D282" s="26" t="s">
        <v>1479</v>
      </c>
      <c r="E282" s="39">
        <v>1</v>
      </c>
      <c r="F282" s="37">
        <v>9470</v>
      </c>
      <c r="G282" s="38">
        <f>IFERROR(IF(B282="Tampa",INDEX(tbl_tampas[Massa_g],MATCH(A282,tbl_tampas[CapId],0)),INDEX(tbl_recyclass[Massa_Corpo_g],MATCH(A282,tbl_recyclass[ProductId],0))),0)</f>
        <v>34.9</v>
      </c>
      <c r="H282" s="32">
        <f t="shared" si="12"/>
        <v>330.50299999999999</v>
      </c>
      <c r="I282" s="36">
        <f>IFERROR(IF(B282="Tampa",INDEX(tbl_tampas[Pct_PCR],MATCH(A282,tbl_tampas[CapId],0)),INDEX(tbl_recyclass[Pct_PCR_Corpo],MATCH(A282,tbl_recyclass[ProductId],0))),0)</f>
        <v>0</v>
      </c>
      <c r="J282" s="32">
        <f t="shared" si="13"/>
        <v>0</v>
      </c>
      <c r="K282" s="32">
        <f t="shared" si="14"/>
        <v>330.50299999999999</v>
      </c>
      <c r="L282" s="43">
        <f>IF(C282="ES",K282*INDEX(tbl_param_emb[Valor],MATCH("P-01",tbl_param_emb[ID_Parametro],0)),0)</f>
        <v>0</v>
      </c>
      <c r="M282" s="33" t="str">
        <f>IF(B282="Tampa","Componente",IFERROR(INDEX(tbl_recyclass[Grau_PPWR_Indicativo],MATCH(A282,tbl_recyclass[ProductId],0)),""))</f>
        <v>B</v>
      </c>
    </row>
    <row r="283" spans="1:13" ht="16.05" customHeight="1" x14ac:dyDescent="0.3">
      <c r="A283" s="26" t="s">
        <v>747</v>
      </c>
      <c r="B283" s="26" t="s">
        <v>1470</v>
      </c>
      <c r="C283" s="26" t="s">
        <v>847</v>
      </c>
      <c r="D283" s="26" t="s">
        <v>1471</v>
      </c>
      <c r="E283" s="39">
        <v>8</v>
      </c>
      <c r="F283" s="37">
        <v>85649</v>
      </c>
      <c r="G283" s="38">
        <f>IFERROR(IF(B283="Tampa",INDEX(tbl_tampas[Massa_g],MATCH(A283,tbl_tampas[CapId],0)),INDEX(tbl_recyclass[Massa_Corpo_g],MATCH(A283,tbl_recyclass[ProductId],0))),0)</f>
        <v>34.9</v>
      </c>
      <c r="H283" s="32">
        <f t="shared" si="12"/>
        <v>2989.1501000000003</v>
      </c>
      <c r="I283" s="36">
        <f>IFERROR(IF(B283="Tampa",INDEX(tbl_tampas[Pct_PCR],MATCH(A283,tbl_tampas[CapId],0)),INDEX(tbl_recyclass[Pct_PCR_Corpo],MATCH(A283,tbl_recyclass[ProductId],0))),0)</f>
        <v>0</v>
      </c>
      <c r="J283" s="32">
        <f t="shared" si="13"/>
        <v>0</v>
      </c>
      <c r="K283" s="32">
        <f t="shared" si="14"/>
        <v>2989.1501000000003</v>
      </c>
      <c r="L283" s="43">
        <f>IF(C283="ES",K283*INDEX(tbl_param_emb[Valor],MATCH("P-01",tbl_param_emb[ID_Parametro],0)),0)</f>
        <v>0</v>
      </c>
      <c r="M283" s="33" t="str">
        <f>IF(B283="Tampa","Componente",IFERROR(INDEX(tbl_recyclass[Grau_PPWR_Indicativo],MATCH(A283,tbl_recyclass[ProductId],0)),""))</f>
        <v>B</v>
      </c>
    </row>
    <row r="284" spans="1:13" ht="16.05" customHeight="1" x14ac:dyDescent="0.3">
      <c r="A284" s="26" t="s">
        <v>747</v>
      </c>
      <c r="B284" s="26" t="s">
        <v>1470</v>
      </c>
      <c r="C284" s="26" t="s">
        <v>1474</v>
      </c>
      <c r="D284" s="26" t="s">
        <v>1475</v>
      </c>
      <c r="E284" s="39">
        <v>2</v>
      </c>
      <c r="F284" s="37">
        <v>7807</v>
      </c>
      <c r="G284" s="38">
        <f>IFERROR(IF(B284="Tampa",INDEX(tbl_tampas[Massa_g],MATCH(A284,tbl_tampas[CapId],0)),INDEX(tbl_recyclass[Massa_Corpo_g],MATCH(A284,tbl_recyclass[ProductId],0))),0)</f>
        <v>34.9</v>
      </c>
      <c r="H284" s="32">
        <f t="shared" si="12"/>
        <v>272.46429999999998</v>
      </c>
      <c r="I284" s="36">
        <f>IFERROR(IF(B284="Tampa",INDEX(tbl_tampas[Pct_PCR],MATCH(A284,tbl_tampas[CapId],0)),INDEX(tbl_recyclass[Pct_PCR_Corpo],MATCH(A284,tbl_recyclass[ProductId],0))),0)</f>
        <v>0</v>
      </c>
      <c r="J284" s="32">
        <f t="shared" si="13"/>
        <v>0</v>
      </c>
      <c r="K284" s="32">
        <f t="shared" si="14"/>
        <v>272.46429999999998</v>
      </c>
      <c r="L284" s="43">
        <f>IF(C284="ES",K284*INDEX(tbl_param_emb[Valor],MATCH("P-01",tbl_param_emb[ID_Parametro],0)),0)</f>
        <v>122.60893499999999</v>
      </c>
      <c r="M284" s="33" t="str">
        <f>IF(B284="Tampa","Componente",IFERROR(INDEX(tbl_recyclass[Grau_PPWR_Indicativo],MATCH(A284,tbl_recyclass[ProductId],0)),""))</f>
        <v>B</v>
      </c>
    </row>
    <row r="285" spans="1:13" ht="16.05" customHeight="1" x14ac:dyDescent="0.3">
      <c r="A285" s="26" t="s">
        <v>752</v>
      </c>
      <c r="B285" s="26" t="s">
        <v>1470</v>
      </c>
      <c r="C285" s="26" t="s">
        <v>1472</v>
      </c>
      <c r="D285" s="26" t="s">
        <v>1473</v>
      </c>
      <c r="E285" s="39">
        <v>1</v>
      </c>
      <c r="F285" s="37">
        <v>12570</v>
      </c>
      <c r="G285" s="38">
        <f>IFERROR(IF(B285="Tampa",INDEX(tbl_tampas[Massa_g],MATCH(A285,tbl_tampas[CapId],0)),INDEX(tbl_recyclass[Massa_Corpo_g],MATCH(A285,tbl_recyclass[ProductId],0))),0)</f>
        <v>34.9</v>
      </c>
      <c r="H285" s="32">
        <f t="shared" si="12"/>
        <v>438.69299999999998</v>
      </c>
      <c r="I285" s="36">
        <f>IFERROR(IF(B285="Tampa",INDEX(tbl_tampas[Pct_PCR],MATCH(A285,tbl_tampas[CapId],0)),INDEX(tbl_recyclass[Pct_PCR_Corpo],MATCH(A285,tbl_recyclass[ProductId],0))),0)</f>
        <v>0.3</v>
      </c>
      <c r="J285" s="32">
        <f t="shared" si="13"/>
        <v>131.6079</v>
      </c>
      <c r="K285" s="32">
        <f t="shared" si="14"/>
        <v>307.08510000000001</v>
      </c>
      <c r="L285" s="43">
        <f>IF(C285="ES",K285*INDEX(tbl_param_emb[Valor],MATCH("P-01",tbl_param_emb[ID_Parametro],0)),0)</f>
        <v>0</v>
      </c>
      <c r="M285" s="33" t="str">
        <f>IF(B285="Tampa","Componente",IFERROR(INDEX(tbl_recyclass[Grau_PPWR_Indicativo],MATCH(A285,tbl_recyclass[ProductId],0)),""))</f>
        <v>Não reciclável (F)</v>
      </c>
    </row>
    <row r="286" spans="1:13" ht="16.05" customHeight="1" x14ac:dyDescent="0.3">
      <c r="A286" s="26" t="s">
        <v>752</v>
      </c>
      <c r="B286" s="26" t="s">
        <v>1470</v>
      </c>
      <c r="C286" s="26" t="s">
        <v>1478</v>
      </c>
      <c r="D286" s="26" t="s">
        <v>1479</v>
      </c>
      <c r="E286" s="39">
        <v>1</v>
      </c>
      <c r="F286" s="37">
        <v>18405</v>
      </c>
      <c r="G286" s="38">
        <f>IFERROR(IF(B286="Tampa",INDEX(tbl_tampas[Massa_g],MATCH(A286,tbl_tampas[CapId],0)),INDEX(tbl_recyclass[Massa_Corpo_g],MATCH(A286,tbl_recyclass[ProductId],0))),0)</f>
        <v>34.9</v>
      </c>
      <c r="H286" s="32">
        <f t="shared" si="12"/>
        <v>642.33450000000005</v>
      </c>
      <c r="I286" s="36">
        <f>IFERROR(IF(B286="Tampa",INDEX(tbl_tampas[Pct_PCR],MATCH(A286,tbl_tampas[CapId],0)),INDEX(tbl_recyclass[Pct_PCR_Corpo],MATCH(A286,tbl_recyclass[ProductId],0))),0)</f>
        <v>0.3</v>
      </c>
      <c r="J286" s="32">
        <f t="shared" si="13"/>
        <v>192.70035000000001</v>
      </c>
      <c r="K286" s="32">
        <f t="shared" si="14"/>
        <v>449.63415000000003</v>
      </c>
      <c r="L286" s="43">
        <f>IF(C286="ES",K286*INDEX(tbl_param_emb[Valor],MATCH("P-01",tbl_param_emb[ID_Parametro],0)),0)</f>
        <v>0</v>
      </c>
      <c r="M286" s="33" t="str">
        <f>IF(B286="Tampa","Componente",IFERROR(INDEX(tbl_recyclass[Grau_PPWR_Indicativo],MATCH(A286,tbl_recyclass[ProductId],0)),""))</f>
        <v>Não reciclável (F)</v>
      </c>
    </row>
    <row r="287" spans="1:13" ht="16.05" customHeight="1" x14ac:dyDescent="0.3">
      <c r="A287" s="26" t="s">
        <v>752</v>
      </c>
      <c r="B287" s="26" t="s">
        <v>1470</v>
      </c>
      <c r="C287" s="26" t="s">
        <v>847</v>
      </c>
      <c r="D287" s="26" t="s">
        <v>1471</v>
      </c>
      <c r="E287" s="39">
        <v>8</v>
      </c>
      <c r="F287" s="37">
        <v>85364</v>
      </c>
      <c r="G287" s="38">
        <f>IFERROR(IF(B287="Tampa",INDEX(tbl_tampas[Massa_g],MATCH(A287,tbl_tampas[CapId],0)),INDEX(tbl_recyclass[Massa_Corpo_g],MATCH(A287,tbl_recyclass[ProductId],0))),0)</f>
        <v>34.9</v>
      </c>
      <c r="H287" s="32">
        <f t="shared" si="12"/>
        <v>2979.2036000000003</v>
      </c>
      <c r="I287" s="36">
        <f>IFERROR(IF(B287="Tampa",INDEX(tbl_tampas[Pct_PCR],MATCH(A287,tbl_tampas[CapId],0)),INDEX(tbl_recyclass[Pct_PCR_Corpo],MATCH(A287,tbl_recyclass[ProductId],0))),0)</f>
        <v>0.3</v>
      </c>
      <c r="J287" s="32">
        <f t="shared" si="13"/>
        <v>893.76108000000011</v>
      </c>
      <c r="K287" s="32">
        <f t="shared" si="14"/>
        <v>2085.4425200000001</v>
      </c>
      <c r="L287" s="43">
        <f>IF(C287="ES",K287*INDEX(tbl_param_emb[Valor],MATCH("P-01",tbl_param_emb[ID_Parametro],0)),0)</f>
        <v>0</v>
      </c>
      <c r="M287" s="33" t="str">
        <f>IF(B287="Tampa","Componente",IFERROR(INDEX(tbl_recyclass[Grau_PPWR_Indicativo],MATCH(A287,tbl_recyclass[ProductId],0)),""))</f>
        <v>Não reciclável (F)</v>
      </c>
    </row>
    <row r="288" spans="1:13" ht="16.05" customHeight="1" x14ac:dyDescent="0.3">
      <c r="A288" s="26" t="s">
        <v>752</v>
      </c>
      <c r="B288" s="26" t="s">
        <v>1470</v>
      </c>
      <c r="C288" s="26" t="s">
        <v>1474</v>
      </c>
      <c r="D288" s="26" t="s">
        <v>1475</v>
      </c>
      <c r="E288" s="39">
        <v>2</v>
      </c>
      <c r="F288" s="37">
        <v>49481</v>
      </c>
      <c r="G288" s="38">
        <f>IFERROR(IF(B288="Tampa",INDEX(tbl_tampas[Massa_g],MATCH(A288,tbl_tampas[CapId],0)),INDEX(tbl_recyclass[Massa_Corpo_g],MATCH(A288,tbl_recyclass[ProductId],0))),0)</f>
        <v>34.9</v>
      </c>
      <c r="H288" s="32">
        <f t="shared" si="12"/>
        <v>1726.8869</v>
      </c>
      <c r="I288" s="36">
        <f>IFERROR(IF(B288="Tampa",INDEX(tbl_tampas[Pct_PCR],MATCH(A288,tbl_tampas[CapId],0)),INDEX(tbl_recyclass[Pct_PCR_Corpo],MATCH(A288,tbl_recyclass[ProductId],0))),0)</f>
        <v>0.3</v>
      </c>
      <c r="J288" s="32">
        <f t="shared" si="13"/>
        <v>518.06606999999997</v>
      </c>
      <c r="K288" s="32">
        <f t="shared" si="14"/>
        <v>1208.8208300000001</v>
      </c>
      <c r="L288" s="43">
        <f>IF(C288="ES",K288*INDEX(tbl_param_emb[Valor],MATCH("P-01",tbl_param_emb[ID_Parametro],0)),0)</f>
        <v>543.96937350000007</v>
      </c>
      <c r="M288" s="33" t="str">
        <f>IF(B288="Tampa","Componente",IFERROR(INDEX(tbl_recyclass[Grau_PPWR_Indicativo],MATCH(A288,tbl_recyclass[ProductId],0)),""))</f>
        <v>Não reciclável (F)</v>
      </c>
    </row>
    <row r="289" spans="1:13" ht="16.05" customHeight="1" x14ac:dyDescent="0.3">
      <c r="A289" s="26" t="s">
        <v>756</v>
      </c>
      <c r="B289" s="26" t="s">
        <v>1470</v>
      </c>
      <c r="C289" s="26" t="s">
        <v>1472</v>
      </c>
      <c r="D289" s="26" t="s">
        <v>1473</v>
      </c>
      <c r="E289" s="39">
        <v>1</v>
      </c>
      <c r="F289" s="37">
        <v>12582</v>
      </c>
      <c r="G289" s="38">
        <f>IFERROR(IF(B289="Tampa",INDEX(tbl_tampas[Massa_g],MATCH(A289,tbl_tampas[CapId],0)),INDEX(tbl_recyclass[Massa_Corpo_g],MATCH(A289,tbl_recyclass[ProductId],0))),0)</f>
        <v>34.9</v>
      </c>
      <c r="H289" s="32">
        <f t="shared" si="12"/>
        <v>439.11180000000002</v>
      </c>
      <c r="I289" s="36">
        <f>IFERROR(IF(B289="Tampa",INDEX(tbl_tampas[Pct_PCR],MATCH(A289,tbl_tampas[CapId],0)),INDEX(tbl_recyclass[Pct_PCR_Corpo],MATCH(A289,tbl_recyclass[ProductId],0))),0)</f>
        <v>0.5</v>
      </c>
      <c r="J289" s="32">
        <f t="shared" si="13"/>
        <v>219.55590000000001</v>
      </c>
      <c r="K289" s="32">
        <f t="shared" si="14"/>
        <v>219.55590000000001</v>
      </c>
      <c r="L289" s="43">
        <f>IF(C289="ES",K289*INDEX(tbl_param_emb[Valor],MATCH("P-01",tbl_param_emb[ID_Parametro],0)),0)</f>
        <v>0</v>
      </c>
      <c r="M289" s="33" t="str">
        <f>IF(B289="Tampa","Componente",IFERROR(INDEX(tbl_recyclass[Grau_PPWR_Indicativo],MATCH(A289,tbl_recyclass[ProductId],0)),""))</f>
        <v>Abaixo de C</v>
      </c>
    </row>
    <row r="290" spans="1:13" ht="16.05" customHeight="1" x14ac:dyDescent="0.3">
      <c r="A290" s="26" t="s">
        <v>756</v>
      </c>
      <c r="B290" s="26" t="s">
        <v>1470</v>
      </c>
      <c r="C290" s="26" t="s">
        <v>1478</v>
      </c>
      <c r="D290" s="26" t="s">
        <v>1479</v>
      </c>
      <c r="E290" s="39">
        <v>1</v>
      </c>
      <c r="F290" s="37">
        <v>9766</v>
      </c>
      <c r="G290" s="38">
        <f>IFERROR(IF(B290="Tampa",INDEX(tbl_tampas[Massa_g],MATCH(A290,tbl_tampas[CapId],0)),INDEX(tbl_recyclass[Massa_Corpo_g],MATCH(A290,tbl_recyclass[ProductId],0))),0)</f>
        <v>34.9</v>
      </c>
      <c r="H290" s="32">
        <f t="shared" si="12"/>
        <v>340.83339999999998</v>
      </c>
      <c r="I290" s="36">
        <f>IFERROR(IF(B290="Tampa",INDEX(tbl_tampas[Pct_PCR],MATCH(A290,tbl_tampas[CapId],0)),INDEX(tbl_recyclass[Pct_PCR_Corpo],MATCH(A290,tbl_recyclass[ProductId],0))),0)</f>
        <v>0.5</v>
      </c>
      <c r="J290" s="32">
        <f t="shared" si="13"/>
        <v>170.41669999999999</v>
      </c>
      <c r="K290" s="32">
        <f t="shared" si="14"/>
        <v>170.41669999999999</v>
      </c>
      <c r="L290" s="43">
        <f>IF(C290="ES",K290*INDEX(tbl_param_emb[Valor],MATCH("P-01",tbl_param_emb[ID_Parametro],0)),0)</f>
        <v>0</v>
      </c>
      <c r="M290" s="33" t="str">
        <f>IF(B290="Tampa","Componente",IFERROR(INDEX(tbl_recyclass[Grau_PPWR_Indicativo],MATCH(A290,tbl_recyclass[ProductId],0)),""))</f>
        <v>Abaixo de C</v>
      </c>
    </row>
    <row r="291" spans="1:13" ht="16.05" customHeight="1" x14ac:dyDescent="0.3">
      <c r="A291" s="26" t="s">
        <v>756</v>
      </c>
      <c r="B291" s="26" t="s">
        <v>1470</v>
      </c>
      <c r="C291" s="26" t="s">
        <v>847</v>
      </c>
      <c r="D291" s="26" t="s">
        <v>1471</v>
      </c>
      <c r="E291" s="39">
        <v>7</v>
      </c>
      <c r="F291" s="37">
        <v>68687</v>
      </c>
      <c r="G291" s="38">
        <f>IFERROR(IF(B291="Tampa",INDEX(tbl_tampas[Massa_g],MATCH(A291,tbl_tampas[CapId],0)),INDEX(tbl_recyclass[Massa_Corpo_g],MATCH(A291,tbl_recyclass[ProductId],0))),0)</f>
        <v>34.9</v>
      </c>
      <c r="H291" s="32">
        <f t="shared" si="12"/>
        <v>2397.1762999999996</v>
      </c>
      <c r="I291" s="36">
        <f>IFERROR(IF(B291="Tampa",INDEX(tbl_tampas[Pct_PCR],MATCH(A291,tbl_tampas[CapId],0)),INDEX(tbl_recyclass[Pct_PCR_Corpo],MATCH(A291,tbl_recyclass[ProductId],0))),0)</f>
        <v>0.5</v>
      </c>
      <c r="J291" s="32">
        <f t="shared" si="13"/>
        <v>1198.5881499999998</v>
      </c>
      <c r="K291" s="32">
        <f t="shared" si="14"/>
        <v>1198.5881499999998</v>
      </c>
      <c r="L291" s="43">
        <f>IF(C291="ES",K291*INDEX(tbl_param_emb[Valor],MATCH("P-01",tbl_param_emb[ID_Parametro],0)),0)</f>
        <v>0</v>
      </c>
      <c r="M291" s="33" t="str">
        <f>IF(B291="Tampa","Componente",IFERROR(INDEX(tbl_recyclass[Grau_PPWR_Indicativo],MATCH(A291,tbl_recyclass[ProductId],0)),""))</f>
        <v>Abaixo de C</v>
      </c>
    </row>
    <row r="292" spans="1:13" ht="16.05" customHeight="1" x14ac:dyDescent="0.3">
      <c r="A292" s="26" t="s">
        <v>756</v>
      </c>
      <c r="B292" s="26" t="s">
        <v>1470</v>
      </c>
      <c r="C292" s="26" t="s">
        <v>1474</v>
      </c>
      <c r="D292" s="26" t="s">
        <v>1475</v>
      </c>
      <c r="E292" s="39">
        <v>1</v>
      </c>
      <c r="F292" s="37">
        <v>1560</v>
      </c>
      <c r="G292" s="38">
        <f>IFERROR(IF(B292="Tampa",INDEX(tbl_tampas[Massa_g],MATCH(A292,tbl_tampas[CapId],0)),INDEX(tbl_recyclass[Massa_Corpo_g],MATCH(A292,tbl_recyclass[ProductId],0))),0)</f>
        <v>34.9</v>
      </c>
      <c r="H292" s="32">
        <f t="shared" si="12"/>
        <v>54.444000000000003</v>
      </c>
      <c r="I292" s="36">
        <f>IFERROR(IF(B292="Tampa",INDEX(tbl_tampas[Pct_PCR],MATCH(A292,tbl_tampas[CapId],0)),INDEX(tbl_recyclass[Pct_PCR_Corpo],MATCH(A292,tbl_recyclass[ProductId],0))),0)</f>
        <v>0.5</v>
      </c>
      <c r="J292" s="32">
        <f t="shared" si="13"/>
        <v>27.222000000000001</v>
      </c>
      <c r="K292" s="32">
        <f t="shared" si="14"/>
        <v>27.222000000000001</v>
      </c>
      <c r="L292" s="43">
        <f>IF(C292="ES",K292*INDEX(tbl_param_emb[Valor],MATCH("P-01",tbl_param_emb[ID_Parametro],0)),0)</f>
        <v>12.2499</v>
      </c>
      <c r="M292" s="33" t="str">
        <f>IF(B292="Tampa","Componente",IFERROR(INDEX(tbl_recyclass[Grau_PPWR_Indicativo],MATCH(A292,tbl_recyclass[ProductId],0)),""))</f>
        <v>Abaixo de C</v>
      </c>
    </row>
    <row r="293" spans="1:13" ht="16.05" customHeight="1" x14ac:dyDescent="0.3">
      <c r="A293" s="26" t="s">
        <v>723</v>
      </c>
      <c r="B293" s="26" t="s">
        <v>1470</v>
      </c>
      <c r="C293" s="26" t="s">
        <v>1476</v>
      </c>
      <c r="D293" s="26" t="s">
        <v>1477</v>
      </c>
      <c r="E293" s="39">
        <v>1</v>
      </c>
      <c r="F293" s="37">
        <v>7438</v>
      </c>
      <c r="G293" s="38">
        <f>IFERROR(IF(B293="Tampa",INDEX(tbl_tampas[Massa_g],MATCH(A293,tbl_tampas[CapId],0)),INDEX(tbl_recyclass[Massa_Corpo_g],MATCH(A293,tbl_recyclass[ProductId],0))),0)</f>
        <v>34.9</v>
      </c>
      <c r="H293" s="32">
        <f t="shared" si="12"/>
        <v>259.58619999999996</v>
      </c>
      <c r="I293" s="36">
        <f>IFERROR(IF(B293="Tampa",INDEX(tbl_tampas[Pct_PCR],MATCH(A293,tbl_tampas[CapId],0)),INDEX(tbl_recyclass[Pct_PCR_Corpo],MATCH(A293,tbl_recyclass[ProductId],0))),0)</f>
        <v>0</v>
      </c>
      <c r="J293" s="32">
        <f t="shared" si="13"/>
        <v>0</v>
      </c>
      <c r="K293" s="32">
        <f t="shared" si="14"/>
        <v>259.58619999999996</v>
      </c>
      <c r="L293" s="43">
        <f>IF(C293="ES",K293*INDEX(tbl_param_emb[Valor],MATCH("P-01",tbl_param_emb[ID_Parametro],0)),0)</f>
        <v>0</v>
      </c>
      <c r="M293" s="33" t="str">
        <f>IF(B293="Tampa","Componente",IFERROR(INDEX(tbl_recyclass[Grau_PPWR_Indicativo],MATCH(A293,tbl_recyclass[ProductId],0)),""))</f>
        <v>C</v>
      </c>
    </row>
    <row r="294" spans="1:13" ht="16.05" customHeight="1" x14ac:dyDescent="0.3">
      <c r="A294" s="26" t="s">
        <v>723</v>
      </c>
      <c r="B294" s="26" t="s">
        <v>1470</v>
      </c>
      <c r="C294" s="26" t="s">
        <v>1472</v>
      </c>
      <c r="D294" s="26" t="s">
        <v>1473</v>
      </c>
      <c r="E294" s="39">
        <v>1</v>
      </c>
      <c r="F294" s="37">
        <v>4754</v>
      </c>
      <c r="G294" s="38">
        <f>IFERROR(IF(B294="Tampa",INDEX(tbl_tampas[Massa_g],MATCH(A294,tbl_tampas[CapId],0)),INDEX(tbl_recyclass[Massa_Corpo_g],MATCH(A294,tbl_recyclass[ProductId],0))),0)</f>
        <v>34.9</v>
      </c>
      <c r="H294" s="32">
        <f t="shared" si="12"/>
        <v>165.91460000000001</v>
      </c>
      <c r="I294" s="36">
        <f>IFERROR(IF(B294="Tampa",INDEX(tbl_tampas[Pct_PCR],MATCH(A294,tbl_tampas[CapId],0)),INDEX(tbl_recyclass[Pct_PCR_Corpo],MATCH(A294,tbl_recyclass[ProductId],0))),0)</f>
        <v>0</v>
      </c>
      <c r="J294" s="32">
        <f t="shared" si="13"/>
        <v>0</v>
      </c>
      <c r="K294" s="32">
        <f t="shared" si="14"/>
        <v>165.91460000000001</v>
      </c>
      <c r="L294" s="43">
        <f>IF(C294="ES",K294*INDEX(tbl_param_emb[Valor],MATCH("P-01",tbl_param_emb[ID_Parametro],0)),0)</f>
        <v>0</v>
      </c>
      <c r="M294" s="33" t="str">
        <f>IF(B294="Tampa","Componente",IFERROR(INDEX(tbl_recyclass[Grau_PPWR_Indicativo],MATCH(A294,tbl_recyclass[ProductId],0)),""))</f>
        <v>C</v>
      </c>
    </row>
    <row r="295" spans="1:13" ht="16.05" customHeight="1" x14ac:dyDescent="0.3">
      <c r="A295" s="26" t="s">
        <v>723</v>
      </c>
      <c r="B295" s="26" t="s">
        <v>1470</v>
      </c>
      <c r="C295" s="26" t="s">
        <v>1480</v>
      </c>
      <c r="D295" s="26" t="s">
        <v>1481</v>
      </c>
      <c r="E295" s="39">
        <v>1</v>
      </c>
      <c r="F295" s="37">
        <v>2511</v>
      </c>
      <c r="G295" s="38">
        <f>IFERROR(IF(B295="Tampa",INDEX(tbl_tampas[Massa_g],MATCH(A295,tbl_tampas[CapId],0)),INDEX(tbl_recyclass[Massa_Corpo_g],MATCH(A295,tbl_recyclass[ProductId],0))),0)</f>
        <v>34.9</v>
      </c>
      <c r="H295" s="32">
        <f t="shared" si="12"/>
        <v>87.633899999999997</v>
      </c>
      <c r="I295" s="36">
        <f>IFERROR(IF(B295="Tampa",INDEX(tbl_tampas[Pct_PCR],MATCH(A295,tbl_tampas[CapId],0)),INDEX(tbl_recyclass[Pct_PCR_Corpo],MATCH(A295,tbl_recyclass[ProductId],0))),0)</f>
        <v>0</v>
      </c>
      <c r="J295" s="32">
        <f t="shared" si="13"/>
        <v>0</v>
      </c>
      <c r="K295" s="32">
        <f t="shared" si="14"/>
        <v>87.633899999999997</v>
      </c>
      <c r="L295" s="43">
        <f>IF(C295="ES",K295*INDEX(tbl_param_emb[Valor],MATCH("P-01",tbl_param_emb[ID_Parametro],0)),0)</f>
        <v>0</v>
      </c>
      <c r="M295" s="33" t="str">
        <f>IF(B295="Tampa","Componente",IFERROR(INDEX(tbl_recyclass[Grau_PPWR_Indicativo],MATCH(A295,tbl_recyclass[ProductId],0)),""))</f>
        <v>C</v>
      </c>
    </row>
    <row r="296" spans="1:13" ht="16.05" customHeight="1" x14ac:dyDescent="0.3">
      <c r="A296" s="26" t="s">
        <v>723</v>
      </c>
      <c r="B296" s="26" t="s">
        <v>1470</v>
      </c>
      <c r="C296" s="26" t="s">
        <v>847</v>
      </c>
      <c r="D296" s="26" t="s">
        <v>1471</v>
      </c>
      <c r="E296" s="39">
        <v>7</v>
      </c>
      <c r="F296" s="37">
        <v>40166</v>
      </c>
      <c r="G296" s="38">
        <f>IFERROR(IF(B296="Tampa",INDEX(tbl_tampas[Massa_g],MATCH(A296,tbl_tampas[CapId],0)),INDEX(tbl_recyclass[Massa_Corpo_g],MATCH(A296,tbl_recyclass[ProductId],0))),0)</f>
        <v>34.9</v>
      </c>
      <c r="H296" s="32">
        <f t="shared" si="12"/>
        <v>1401.7934</v>
      </c>
      <c r="I296" s="36">
        <f>IFERROR(IF(B296="Tampa",INDEX(tbl_tampas[Pct_PCR],MATCH(A296,tbl_tampas[CapId],0)),INDEX(tbl_recyclass[Pct_PCR_Corpo],MATCH(A296,tbl_recyclass[ProductId],0))),0)</f>
        <v>0</v>
      </c>
      <c r="J296" s="32">
        <f t="shared" si="13"/>
        <v>0</v>
      </c>
      <c r="K296" s="32">
        <f t="shared" si="14"/>
        <v>1401.7934</v>
      </c>
      <c r="L296" s="43">
        <f>IF(C296="ES",K296*INDEX(tbl_param_emb[Valor],MATCH("P-01",tbl_param_emb[ID_Parametro],0)),0)</f>
        <v>0</v>
      </c>
      <c r="M296" s="33" t="str">
        <f>IF(B296="Tampa","Componente",IFERROR(INDEX(tbl_recyclass[Grau_PPWR_Indicativo],MATCH(A296,tbl_recyclass[ProductId],0)),""))</f>
        <v>C</v>
      </c>
    </row>
    <row r="297" spans="1:13" ht="16.05" customHeight="1" x14ac:dyDescent="0.3">
      <c r="A297" s="26" t="s">
        <v>730</v>
      </c>
      <c r="B297" s="26" t="s">
        <v>1470</v>
      </c>
      <c r="C297" s="26" t="s">
        <v>1476</v>
      </c>
      <c r="D297" s="26" t="s">
        <v>1477</v>
      </c>
      <c r="E297" s="39">
        <v>1</v>
      </c>
      <c r="F297" s="37">
        <v>6725</v>
      </c>
      <c r="G297" s="38">
        <f>IFERROR(IF(B297="Tampa",INDEX(tbl_tampas[Massa_g],MATCH(A297,tbl_tampas[CapId],0)),INDEX(tbl_recyclass[Massa_Corpo_g],MATCH(A297,tbl_recyclass[ProductId],0))),0)</f>
        <v>34.9</v>
      </c>
      <c r="H297" s="32">
        <f t="shared" si="12"/>
        <v>234.70249999999999</v>
      </c>
      <c r="I297" s="36">
        <f>IFERROR(IF(B297="Tampa",INDEX(tbl_tampas[Pct_PCR],MATCH(A297,tbl_tampas[CapId],0)),INDEX(tbl_recyclass[Pct_PCR_Corpo],MATCH(A297,tbl_recyclass[ProductId],0))),0)</f>
        <v>0.3</v>
      </c>
      <c r="J297" s="32">
        <f t="shared" si="13"/>
        <v>70.410749999999993</v>
      </c>
      <c r="K297" s="32">
        <f t="shared" si="14"/>
        <v>164.29174999999998</v>
      </c>
      <c r="L297" s="43">
        <f>IF(C297="ES",K297*INDEX(tbl_param_emb[Valor],MATCH("P-01",tbl_param_emb[ID_Parametro],0)),0)</f>
        <v>0</v>
      </c>
      <c r="M297" s="33" t="str">
        <f>IF(B297="Tampa","Componente",IFERROR(INDEX(tbl_recyclass[Grau_PPWR_Indicativo],MATCH(A297,tbl_recyclass[ProductId],0)),""))</f>
        <v>B</v>
      </c>
    </row>
    <row r="298" spans="1:13" ht="16.05" customHeight="1" x14ac:dyDescent="0.3">
      <c r="A298" s="26" t="s">
        <v>730</v>
      </c>
      <c r="B298" s="26" t="s">
        <v>1470</v>
      </c>
      <c r="C298" s="26" t="s">
        <v>1472</v>
      </c>
      <c r="D298" s="26" t="s">
        <v>1473</v>
      </c>
      <c r="E298" s="39">
        <v>1</v>
      </c>
      <c r="F298" s="37">
        <v>2333</v>
      </c>
      <c r="G298" s="38">
        <f>IFERROR(IF(B298="Tampa",INDEX(tbl_tampas[Massa_g],MATCH(A298,tbl_tampas[CapId],0)),INDEX(tbl_recyclass[Massa_Corpo_g],MATCH(A298,tbl_recyclass[ProductId],0))),0)</f>
        <v>34.9</v>
      </c>
      <c r="H298" s="32">
        <f t="shared" si="12"/>
        <v>81.421700000000001</v>
      </c>
      <c r="I298" s="36">
        <f>IFERROR(IF(B298="Tampa",INDEX(tbl_tampas[Pct_PCR],MATCH(A298,tbl_tampas[CapId],0)),INDEX(tbl_recyclass[Pct_PCR_Corpo],MATCH(A298,tbl_recyclass[ProductId],0))),0)</f>
        <v>0.3</v>
      </c>
      <c r="J298" s="32">
        <f t="shared" si="13"/>
        <v>24.42651</v>
      </c>
      <c r="K298" s="32">
        <f t="shared" si="14"/>
        <v>56.995190000000001</v>
      </c>
      <c r="L298" s="43">
        <f>IF(C298="ES",K298*INDEX(tbl_param_emb[Valor],MATCH("P-01",tbl_param_emb[ID_Parametro],0)),0)</f>
        <v>0</v>
      </c>
      <c r="M298" s="33" t="str">
        <f>IF(B298="Tampa","Componente",IFERROR(INDEX(tbl_recyclass[Grau_PPWR_Indicativo],MATCH(A298,tbl_recyclass[ProductId],0)),""))</f>
        <v>B</v>
      </c>
    </row>
    <row r="299" spans="1:13" ht="16.05" customHeight="1" x14ac:dyDescent="0.3">
      <c r="A299" s="26" t="s">
        <v>730</v>
      </c>
      <c r="B299" s="26" t="s">
        <v>1470</v>
      </c>
      <c r="C299" s="26" t="s">
        <v>1478</v>
      </c>
      <c r="D299" s="26" t="s">
        <v>1479</v>
      </c>
      <c r="E299" s="39">
        <v>1</v>
      </c>
      <c r="F299" s="37">
        <v>22076</v>
      </c>
      <c r="G299" s="38">
        <f>IFERROR(IF(B299="Tampa",INDEX(tbl_tampas[Massa_g],MATCH(A299,tbl_tampas[CapId],0)),INDEX(tbl_recyclass[Massa_Corpo_g],MATCH(A299,tbl_recyclass[ProductId],0))),0)</f>
        <v>34.9</v>
      </c>
      <c r="H299" s="32">
        <f t="shared" si="12"/>
        <v>770.45240000000001</v>
      </c>
      <c r="I299" s="36">
        <f>IFERROR(IF(B299="Tampa",INDEX(tbl_tampas[Pct_PCR],MATCH(A299,tbl_tampas[CapId],0)),INDEX(tbl_recyclass[Pct_PCR_Corpo],MATCH(A299,tbl_recyclass[ProductId],0))),0)</f>
        <v>0.3</v>
      </c>
      <c r="J299" s="32">
        <f t="shared" si="13"/>
        <v>231.13571999999999</v>
      </c>
      <c r="K299" s="32">
        <f t="shared" si="14"/>
        <v>539.31668000000002</v>
      </c>
      <c r="L299" s="43">
        <f>IF(C299="ES",K299*INDEX(tbl_param_emb[Valor],MATCH("P-01",tbl_param_emb[ID_Parametro],0)),0)</f>
        <v>0</v>
      </c>
      <c r="M299" s="33" t="str">
        <f>IF(B299="Tampa","Componente",IFERROR(INDEX(tbl_recyclass[Grau_PPWR_Indicativo],MATCH(A299,tbl_recyclass[ProductId],0)),""))</f>
        <v>B</v>
      </c>
    </row>
    <row r="300" spans="1:13" ht="16.05" customHeight="1" x14ac:dyDescent="0.3">
      <c r="A300" s="26" t="s">
        <v>730</v>
      </c>
      <c r="B300" s="26" t="s">
        <v>1470</v>
      </c>
      <c r="C300" s="26" t="s">
        <v>1480</v>
      </c>
      <c r="D300" s="26" t="s">
        <v>1481</v>
      </c>
      <c r="E300" s="39">
        <v>1</v>
      </c>
      <c r="F300" s="37">
        <v>15916</v>
      </c>
      <c r="G300" s="38">
        <f>IFERROR(IF(B300="Tampa",INDEX(tbl_tampas[Massa_g],MATCH(A300,tbl_tampas[CapId],0)),INDEX(tbl_recyclass[Massa_Corpo_g],MATCH(A300,tbl_recyclass[ProductId],0))),0)</f>
        <v>34.9</v>
      </c>
      <c r="H300" s="32">
        <f t="shared" si="12"/>
        <v>555.46839999999997</v>
      </c>
      <c r="I300" s="36">
        <f>IFERROR(IF(B300="Tampa",INDEX(tbl_tampas[Pct_PCR],MATCH(A300,tbl_tampas[CapId],0)),INDEX(tbl_recyclass[Pct_PCR_Corpo],MATCH(A300,tbl_recyclass[ProductId],0))),0)</f>
        <v>0.3</v>
      </c>
      <c r="J300" s="32">
        <f t="shared" si="13"/>
        <v>166.64051999999998</v>
      </c>
      <c r="K300" s="32">
        <f t="shared" si="14"/>
        <v>388.82787999999999</v>
      </c>
      <c r="L300" s="43">
        <f>IF(C300="ES",K300*INDEX(tbl_param_emb[Valor],MATCH("P-01",tbl_param_emb[ID_Parametro],0)),0)</f>
        <v>0</v>
      </c>
      <c r="M300" s="33" t="str">
        <f>IF(B300="Tampa","Componente",IFERROR(INDEX(tbl_recyclass[Grau_PPWR_Indicativo],MATCH(A300,tbl_recyclass[ProductId],0)),""))</f>
        <v>B</v>
      </c>
    </row>
    <row r="301" spans="1:13" ht="16.05" customHeight="1" x14ac:dyDescent="0.3">
      <c r="A301" s="26" t="s">
        <v>730</v>
      </c>
      <c r="B301" s="26" t="s">
        <v>1470</v>
      </c>
      <c r="C301" s="26" t="s">
        <v>847</v>
      </c>
      <c r="D301" s="26" t="s">
        <v>1471</v>
      </c>
      <c r="E301" s="39">
        <v>4</v>
      </c>
      <c r="F301" s="37">
        <v>27160</v>
      </c>
      <c r="G301" s="38">
        <f>IFERROR(IF(B301="Tampa",INDEX(tbl_tampas[Massa_g],MATCH(A301,tbl_tampas[CapId],0)),INDEX(tbl_recyclass[Massa_Corpo_g],MATCH(A301,tbl_recyclass[ProductId],0))),0)</f>
        <v>34.9</v>
      </c>
      <c r="H301" s="32">
        <f t="shared" si="12"/>
        <v>947.88400000000001</v>
      </c>
      <c r="I301" s="36">
        <f>IFERROR(IF(B301="Tampa",INDEX(tbl_tampas[Pct_PCR],MATCH(A301,tbl_tampas[CapId],0)),INDEX(tbl_recyclass[Pct_PCR_Corpo],MATCH(A301,tbl_recyclass[ProductId],0))),0)</f>
        <v>0.3</v>
      </c>
      <c r="J301" s="32">
        <f t="shared" si="13"/>
        <v>284.36520000000002</v>
      </c>
      <c r="K301" s="32">
        <f t="shared" si="14"/>
        <v>663.51880000000006</v>
      </c>
      <c r="L301" s="43">
        <f>IF(C301="ES",K301*INDEX(tbl_param_emb[Valor],MATCH("P-01",tbl_param_emb[ID_Parametro],0)),0)</f>
        <v>0</v>
      </c>
      <c r="M301" s="33" t="str">
        <f>IF(B301="Tampa","Componente",IFERROR(INDEX(tbl_recyclass[Grau_PPWR_Indicativo],MATCH(A301,tbl_recyclass[ProductId],0)),""))</f>
        <v>B</v>
      </c>
    </row>
    <row r="302" spans="1:13" ht="16.05" customHeight="1" x14ac:dyDescent="0.3">
      <c r="A302" s="26" t="s">
        <v>730</v>
      </c>
      <c r="B302" s="26" t="s">
        <v>1470</v>
      </c>
      <c r="C302" s="26" t="s">
        <v>1474</v>
      </c>
      <c r="D302" s="26" t="s">
        <v>1475</v>
      </c>
      <c r="E302" s="39">
        <v>1</v>
      </c>
      <c r="F302" s="37">
        <v>10310</v>
      </c>
      <c r="G302" s="38">
        <f>IFERROR(IF(B302="Tampa",INDEX(tbl_tampas[Massa_g],MATCH(A302,tbl_tampas[CapId],0)),INDEX(tbl_recyclass[Massa_Corpo_g],MATCH(A302,tbl_recyclass[ProductId],0))),0)</f>
        <v>34.9</v>
      </c>
      <c r="H302" s="32">
        <f t="shared" si="12"/>
        <v>359.81900000000002</v>
      </c>
      <c r="I302" s="36">
        <f>IFERROR(IF(B302="Tampa",INDEX(tbl_tampas[Pct_PCR],MATCH(A302,tbl_tampas[CapId],0)),INDEX(tbl_recyclass[Pct_PCR_Corpo],MATCH(A302,tbl_recyclass[ProductId],0))),0)</f>
        <v>0.3</v>
      </c>
      <c r="J302" s="32">
        <f t="shared" si="13"/>
        <v>107.9457</v>
      </c>
      <c r="K302" s="32">
        <f t="shared" si="14"/>
        <v>251.87330000000003</v>
      </c>
      <c r="L302" s="43">
        <f>IF(C302="ES",K302*INDEX(tbl_param_emb[Valor],MATCH("P-01",tbl_param_emb[ID_Parametro],0)),0)</f>
        <v>113.34298500000001</v>
      </c>
      <c r="M302" s="33" t="str">
        <f>IF(B302="Tampa","Componente",IFERROR(INDEX(tbl_recyclass[Grau_PPWR_Indicativo],MATCH(A302,tbl_recyclass[ProductId],0)),""))</f>
        <v>B</v>
      </c>
    </row>
    <row r="303" spans="1:13" ht="16.05" customHeight="1" x14ac:dyDescent="0.3">
      <c r="A303" s="26" t="s">
        <v>734</v>
      </c>
      <c r="B303" s="26" t="s">
        <v>1470</v>
      </c>
      <c r="C303" s="26" t="s">
        <v>1472</v>
      </c>
      <c r="D303" s="26" t="s">
        <v>1473</v>
      </c>
      <c r="E303" s="39">
        <v>1</v>
      </c>
      <c r="F303" s="37">
        <v>6037</v>
      </c>
      <c r="G303" s="38">
        <f>IFERROR(IF(B303="Tampa",INDEX(tbl_tampas[Massa_g],MATCH(A303,tbl_tampas[CapId],0)),INDEX(tbl_recyclass[Massa_Corpo_g],MATCH(A303,tbl_recyclass[ProductId],0))),0)</f>
        <v>34.9</v>
      </c>
      <c r="H303" s="32">
        <f t="shared" si="12"/>
        <v>210.69129999999998</v>
      </c>
      <c r="I303" s="36">
        <f>IFERROR(IF(B303="Tampa",INDEX(tbl_tampas[Pct_PCR],MATCH(A303,tbl_tampas[CapId],0)),INDEX(tbl_recyclass[Pct_PCR_Corpo],MATCH(A303,tbl_recyclass[ProductId],0))),0)</f>
        <v>0</v>
      </c>
      <c r="J303" s="32">
        <f t="shared" si="13"/>
        <v>0</v>
      </c>
      <c r="K303" s="32">
        <f t="shared" si="14"/>
        <v>210.69129999999998</v>
      </c>
      <c r="L303" s="43">
        <f>IF(C303="ES",K303*INDEX(tbl_param_emb[Valor],MATCH("P-01",tbl_param_emb[ID_Parametro],0)),0)</f>
        <v>0</v>
      </c>
      <c r="M303" s="33" t="str">
        <f>IF(B303="Tampa","Componente",IFERROR(INDEX(tbl_recyclass[Grau_PPWR_Indicativo],MATCH(A303,tbl_recyclass[ProductId],0)),""))</f>
        <v>B</v>
      </c>
    </row>
    <row r="304" spans="1:13" ht="16.05" customHeight="1" x14ac:dyDescent="0.3">
      <c r="A304" s="26" t="s">
        <v>734</v>
      </c>
      <c r="B304" s="26" t="s">
        <v>1470</v>
      </c>
      <c r="C304" s="26" t="s">
        <v>1478</v>
      </c>
      <c r="D304" s="26" t="s">
        <v>1479</v>
      </c>
      <c r="E304" s="39">
        <v>1</v>
      </c>
      <c r="F304" s="37">
        <v>795</v>
      </c>
      <c r="G304" s="38">
        <f>IFERROR(IF(B304="Tampa",INDEX(tbl_tampas[Massa_g],MATCH(A304,tbl_tampas[CapId],0)),INDEX(tbl_recyclass[Massa_Corpo_g],MATCH(A304,tbl_recyclass[ProductId],0))),0)</f>
        <v>34.9</v>
      </c>
      <c r="H304" s="32">
        <f t="shared" si="12"/>
        <v>27.7455</v>
      </c>
      <c r="I304" s="36">
        <f>IFERROR(IF(B304="Tampa",INDEX(tbl_tampas[Pct_PCR],MATCH(A304,tbl_tampas[CapId],0)),INDEX(tbl_recyclass[Pct_PCR_Corpo],MATCH(A304,tbl_recyclass[ProductId],0))),0)</f>
        <v>0</v>
      </c>
      <c r="J304" s="32">
        <f t="shared" si="13"/>
        <v>0</v>
      </c>
      <c r="K304" s="32">
        <f t="shared" si="14"/>
        <v>27.7455</v>
      </c>
      <c r="L304" s="43">
        <f>IF(C304="ES",K304*INDEX(tbl_param_emb[Valor],MATCH("P-01",tbl_param_emb[ID_Parametro],0)),0)</f>
        <v>0</v>
      </c>
      <c r="M304" s="33" t="str">
        <f>IF(B304="Tampa","Componente",IFERROR(INDEX(tbl_recyclass[Grau_PPWR_Indicativo],MATCH(A304,tbl_recyclass[ProductId],0)),""))</f>
        <v>B</v>
      </c>
    </row>
    <row r="305" spans="1:13" ht="16.05" customHeight="1" x14ac:dyDescent="0.3">
      <c r="A305" s="26" t="s">
        <v>734</v>
      </c>
      <c r="B305" s="26" t="s">
        <v>1470</v>
      </c>
      <c r="C305" s="26" t="s">
        <v>1480</v>
      </c>
      <c r="D305" s="26" t="s">
        <v>1481</v>
      </c>
      <c r="E305" s="39">
        <v>1</v>
      </c>
      <c r="F305" s="37">
        <v>4276</v>
      </c>
      <c r="G305" s="38">
        <f>IFERROR(IF(B305="Tampa",INDEX(tbl_tampas[Massa_g],MATCH(A305,tbl_tampas[CapId],0)),INDEX(tbl_recyclass[Massa_Corpo_g],MATCH(A305,tbl_recyclass[ProductId],0))),0)</f>
        <v>34.9</v>
      </c>
      <c r="H305" s="32">
        <f t="shared" si="12"/>
        <v>149.23239999999998</v>
      </c>
      <c r="I305" s="36">
        <f>IFERROR(IF(B305="Tampa",INDEX(tbl_tampas[Pct_PCR],MATCH(A305,tbl_tampas[CapId],0)),INDEX(tbl_recyclass[Pct_PCR_Corpo],MATCH(A305,tbl_recyclass[ProductId],0))),0)</f>
        <v>0</v>
      </c>
      <c r="J305" s="32">
        <f t="shared" si="13"/>
        <v>0</v>
      </c>
      <c r="K305" s="32">
        <f t="shared" si="14"/>
        <v>149.23239999999998</v>
      </c>
      <c r="L305" s="43">
        <f>IF(C305="ES",K305*INDEX(tbl_param_emb[Valor],MATCH("P-01",tbl_param_emb[ID_Parametro],0)),0)</f>
        <v>0</v>
      </c>
      <c r="M305" s="33" t="str">
        <f>IF(B305="Tampa","Componente",IFERROR(INDEX(tbl_recyclass[Grau_PPWR_Indicativo],MATCH(A305,tbl_recyclass[ProductId],0)),""))</f>
        <v>B</v>
      </c>
    </row>
    <row r="306" spans="1:13" ht="16.05" customHeight="1" x14ac:dyDescent="0.3">
      <c r="A306" s="26" t="s">
        <v>734</v>
      </c>
      <c r="B306" s="26" t="s">
        <v>1470</v>
      </c>
      <c r="C306" s="26" t="s">
        <v>847</v>
      </c>
      <c r="D306" s="26" t="s">
        <v>1471</v>
      </c>
      <c r="E306" s="39">
        <v>4</v>
      </c>
      <c r="F306" s="37">
        <v>41555</v>
      </c>
      <c r="G306" s="38">
        <f>IFERROR(IF(B306="Tampa",INDEX(tbl_tampas[Massa_g],MATCH(A306,tbl_tampas[CapId],0)),INDEX(tbl_recyclass[Massa_Corpo_g],MATCH(A306,tbl_recyclass[ProductId],0))),0)</f>
        <v>34.9</v>
      </c>
      <c r="H306" s="32">
        <f t="shared" si="12"/>
        <v>1450.2695000000001</v>
      </c>
      <c r="I306" s="36">
        <f>IFERROR(IF(B306="Tampa",INDEX(tbl_tampas[Pct_PCR],MATCH(A306,tbl_tampas[CapId],0)),INDEX(tbl_recyclass[Pct_PCR_Corpo],MATCH(A306,tbl_recyclass[ProductId],0))),0)</f>
        <v>0</v>
      </c>
      <c r="J306" s="32">
        <f t="shared" si="13"/>
        <v>0</v>
      </c>
      <c r="K306" s="32">
        <f t="shared" si="14"/>
        <v>1450.2695000000001</v>
      </c>
      <c r="L306" s="43">
        <f>IF(C306="ES",K306*INDEX(tbl_param_emb[Valor],MATCH("P-01",tbl_param_emb[ID_Parametro],0)),0)</f>
        <v>0</v>
      </c>
      <c r="M306" s="33" t="str">
        <f>IF(B306="Tampa","Componente",IFERROR(INDEX(tbl_recyclass[Grau_PPWR_Indicativo],MATCH(A306,tbl_recyclass[ProductId],0)),""))</f>
        <v>B</v>
      </c>
    </row>
    <row r="307" spans="1:13" ht="16.05" customHeight="1" x14ac:dyDescent="0.3">
      <c r="A307" s="26" t="s">
        <v>736</v>
      </c>
      <c r="B307" s="26" t="s">
        <v>1470</v>
      </c>
      <c r="C307" s="26" t="s">
        <v>1472</v>
      </c>
      <c r="D307" s="26" t="s">
        <v>1473</v>
      </c>
      <c r="E307" s="39">
        <v>1</v>
      </c>
      <c r="F307" s="37">
        <v>3516</v>
      </c>
      <c r="G307" s="38">
        <f>IFERROR(IF(B307="Tampa",INDEX(tbl_tampas[Massa_g],MATCH(A307,tbl_tampas[CapId],0)),INDEX(tbl_recyclass[Massa_Corpo_g],MATCH(A307,tbl_recyclass[ProductId],0))),0)</f>
        <v>34.9</v>
      </c>
      <c r="H307" s="32">
        <f t="shared" si="12"/>
        <v>122.7084</v>
      </c>
      <c r="I307" s="36">
        <f>IFERROR(IF(B307="Tampa",INDEX(tbl_tampas[Pct_PCR],MATCH(A307,tbl_tampas[CapId],0)),INDEX(tbl_recyclass[Pct_PCR_Corpo],MATCH(A307,tbl_recyclass[ProductId],0))),0)</f>
        <v>0</v>
      </c>
      <c r="J307" s="32">
        <f t="shared" si="13"/>
        <v>0</v>
      </c>
      <c r="K307" s="32">
        <f t="shared" si="14"/>
        <v>122.7084</v>
      </c>
      <c r="L307" s="43">
        <f>IF(C307="ES",K307*INDEX(tbl_param_emb[Valor],MATCH("P-01",tbl_param_emb[ID_Parametro],0)),0)</f>
        <v>0</v>
      </c>
      <c r="M307" s="33" t="str">
        <f>IF(B307="Tampa","Componente",IFERROR(INDEX(tbl_recyclass[Grau_PPWR_Indicativo],MATCH(A307,tbl_recyclass[ProductId],0)),""))</f>
        <v>C</v>
      </c>
    </row>
    <row r="308" spans="1:13" ht="16.05" customHeight="1" x14ac:dyDescent="0.3">
      <c r="A308" s="26" t="s">
        <v>736</v>
      </c>
      <c r="B308" s="26" t="s">
        <v>1470</v>
      </c>
      <c r="C308" s="26" t="s">
        <v>847</v>
      </c>
      <c r="D308" s="26" t="s">
        <v>1471</v>
      </c>
      <c r="E308" s="39">
        <v>2</v>
      </c>
      <c r="F308" s="37">
        <v>13802</v>
      </c>
      <c r="G308" s="38">
        <f>IFERROR(IF(B308="Tampa",INDEX(tbl_tampas[Massa_g],MATCH(A308,tbl_tampas[CapId],0)),INDEX(tbl_recyclass[Massa_Corpo_g],MATCH(A308,tbl_recyclass[ProductId],0))),0)</f>
        <v>34.9</v>
      </c>
      <c r="H308" s="32">
        <f t="shared" si="12"/>
        <v>481.68979999999999</v>
      </c>
      <c r="I308" s="36">
        <f>IFERROR(IF(B308="Tampa",INDEX(tbl_tampas[Pct_PCR],MATCH(A308,tbl_tampas[CapId],0)),INDEX(tbl_recyclass[Pct_PCR_Corpo],MATCH(A308,tbl_recyclass[ProductId],0))),0)</f>
        <v>0</v>
      </c>
      <c r="J308" s="32">
        <f t="shared" si="13"/>
        <v>0</v>
      </c>
      <c r="K308" s="32">
        <f t="shared" si="14"/>
        <v>481.68979999999999</v>
      </c>
      <c r="L308" s="43">
        <f>IF(C308="ES",K308*INDEX(tbl_param_emb[Valor],MATCH("P-01",tbl_param_emb[ID_Parametro],0)),0)</f>
        <v>0</v>
      </c>
      <c r="M308" s="33" t="str">
        <f>IF(B308="Tampa","Componente",IFERROR(INDEX(tbl_recyclass[Grau_PPWR_Indicativo],MATCH(A308,tbl_recyclass[ProductId],0)),""))</f>
        <v>C</v>
      </c>
    </row>
    <row r="309" spans="1:13" ht="16.05" customHeight="1" x14ac:dyDescent="0.3">
      <c r="A309" s="26" t="s">
        <v>736</v>
      </c>
      <c r="B309" s="26" t="s">
        <v>1470</v>
      </c>
      <c r="C309" s="26" t="s">
        <v>1474</v>
      </c>
      <c r="D309" s="26" t="s">
        <v>1475</v>
      </c>
      <c r="E309" s="39">
        <v>2</v>
      </c>
      <c r="F309" s="37">
        <v>19078</v>
      </c>
      <c r="G309" s="38">
        <f>IFERROR(IF(B309="Tampa",INDEX(tbl_tampas[Massa_g],MATCH(A309,tbl_tampas[CapId],0)),INDEX(tbl_recyclass[Massa_Corpo_g],MATCH(A309,tbl_recyclass[ProductId],0))),0)</f>
        <v>34.9</v>
      </c>
      <c r="H309" s="32">
        <f t="shared" si="12"/>
        <v>665.82219999999995</v>
      </c>
      <c r="I309" s="36">
        <f>IFERROR(IF(B309="Tampa",INDEX(tbl_tampas[Pct_PCR],MATCH(A309,tbl_tampas[CapId],0)),INDEX(tbl_recyclass[Pct_PCR_Corpo],MATCH(A309,tbl_recyclass[ProductId],0))),0)</f>
        <v>0</v>
      </c>
      <c r="J309" s="32">
        <f t="shared" si="13"/>
        <v>0</v>
      </c>
      <c r="K309" s="32">
        <f t="shared" si="14"/>
        <v>665.82219999999995</v>
      </c>
      <c r="L309" s="43">
        <f>IF(C309="ES",K309*INDEX(tbl_param_emb[Valor],MATCH("P-01",tbl_param_emb[ID_Parametro],0)),0)</f>
        <v>299.61998999999997</v>
      </c>
      <c r="M309" s="33" t="str">
        <f>IF(B309="Tampa","Componente",IFERROR(INDEX(tbl_recyclass[Grau_PPWR_Indicativo],MATCH(A309,tbl_recyclass[ProductId],0)),""))</f>
        <v>C</v>
      </c>
    </row>
    <row r="310" spans="1:13" ht="16.05" customHeight="1" x14ac:dyDescent="0.3">
      <c r="A310" s="26" t="s">
        <v>739</v>
      </c>
      <c r="B310" s="26" t="s">
        <v>1470</v>
      </c>
      <c r="C310" s="26" t="s">
        <v>847</v>
      </c>
      <c r="D310" s="26" t="s">
        <v>1471</v>
      </c>
      <c r="E310" s="39">
        <v>4</v>
      </c>
      <c r="F310" s="37">
        <v>24977</v>
      </c>
      <c r="G310" s="38">
        <f>IFERROR(IF(B310="Tampa",INDEX(tbl_tampas[Massa_g],MATCH(A310,tbl_tampas[CapId],0)),INDEX(tbl_recyclass[Massa_Corpo_g],MATCH(A310,tbl_recyclass[ProductId],0))),0)</f>
        <v>34.9</v>
      </c>
      <c r="H310" s="32">
        <f t="shared" si="12"/>
        <v>871.69729999999993</v>
      </c>
      <c r="I310" s="36">
        <f>IFERROR(IF(B310="Tampa",INDEX(tbl_tampas[Pct_PCR],MATCH(A310,tbl_tampas[CapId],0)),INDEX(tbl_recyclass[Pct_PCR_Corpo],MATCH(A310,tbl_recyclass[ProductId],0))),0)</f>
        <v>0</v>
      </c>
      <c r="J310" s="32">
        <f t="shared" si="13"/>
        <v>0</v>
      </c>
      <c r="K310" s="32">
        <f t="shared" si="14"/>
        <v>871.69729999999993</v>
      </c>
      <c r="L310" s="43">
        <f>IF(C310="ES",K310*INDEX(tbl_param_emb[Valor],MATCH("P-01",tbl_param_emb[ID_Parametro],0)),0)</f>
        <v>0</v>
      </c>
      <c r="M310" s="33" t="str">
        <f>IF(B310="Tampa","Componente",IFERROR(INDEX(tbl_recyclass[Grau_PPWR_Indicativo],MATCH(A310,tbl_recyclass[ProductId],0)),""))</f>
        <v>A</v>
      </c>
    </row>
    <row r="311" spans="1:13" ht="16.05" customHeight="1" x14ac:dyDescent="0.3">
      <c r="A311" s="26" t="s">
        <v>739</v>
      </c>
      <c r="B311" s="26" t="s">
        <v>1470</v>
      </c>
      <c r="C311" s="26" t="s">
        <v>1474</v>
      </c>
      <c r="D311" s="26" t="s">
        <v>1475</v>
      </c>
      <c r="E311" s="39">
        <v>2</v>
      </c>
      <c r="F311" s="37">
        <v>11126</v>
      </c>
      <c r="G311" s="38">
        <f>IFERROR(IF(B311="Tampa",INDEX(tbl_tampas[Massa_g],MATCH(A311,tbl_tampas[CapId],0)),INDEX(tbl_recyclass[Massa_Corpo_g],MATCH(A311,tbl_recyclass[ProductId],0))),0)</f>
        <v>34.9</v>
      </c>
      <c r="H311" s="32">
        <f t="shared" si="12"/>
        <v>388.29739999999998</v>
      </c>
      <c r="I311" s="36">
        <f>IFERROR(IF(B311="Tampa",INDEX(tbl_tampas[Pct_PCR],MATCH(A311,tbl_tampas[CapId],0)),INDEX(tbl_recyclass[Pct_PCR_Corpo],MATCH(A311,tbl_recyclass[ProductId],0))),0)</f>
        <v>0</v>
      </c>
      <c r="J311" s="32">
        <f t="shared" si="13"/>
        <v>0</v>
      </c>
      <c r="K311" s="32">
        <f t="shared" si="14"/>
        <v>388.29739999999998</v>
      </c>
      <c r="L311" s="43">
        <f>IF(C311="ES",K311*INDEX(tbl_param_emb[Valor],MATCH("P-01",tbl_param_emb[ID_Parametro],0)),0)</f>
        <v>174.73382999999998</v>
      </c>
      <c r="M311" s="33" t="str">
        <f>IF(B311="Tampa","Componente",IFERROR(INDEX(tbl_recyclass[Grau_PPWR_Indicativo],MATCH(A311,tbl_recyclass[ProductId],0)),""))</f>
        <v>A</v>
      </c>
    </row>
    <row r="312" spans="1:13" ht="16.05" customHeight="1" x14ac:dyDescent="0.3">
      <c r="A312" s="26" t="s">
        <v>743</v>
      </c>
      <c r="B312" s="26" t="s">
        <v>1470</v>
      </c>
      <c r="C312" s="26" t="s">
        <v>1472</v>
      </c>
      <c r="D312" s="26" t="s">
        <v>1473</v>
      </c>
      <c r="E312" s="39">
        <v>1</v>
      </c>
      <c r="F312" s="37">
        <v>11161</v>
      </c>
      <c r="G312" s="38">
        <f>IFERROR(IF(B312="Tampa",INDEX(tbl_tampas[Massa_g],MATCH(A312,tbl_tampas[CapId],0)),INDEX(tbl_recyclass[Massa_Corpo_g],MATCH(A312,tbl_recyclass[ProductId],0))),0)</f>
        <v>34.9</v>
      </c>
      <c r="H312" s="32">
        <f t="shared" si="12"/>
        <v>389.51889999999997</v>
      </c>
      <c r="I312" s="36">
        <f>IFERROR(IF(B312="Tampa",INDEX(tbl_tampas[Pct_PCR],MATCH(A312,tbl_tampas[CapId],0)),INDEX(tbl_recyclass[Pct_PCR_Corpo],MATCH(A312,tbl_recyclass[ProductId],0))),0)</f>
        <v>0</v>
      </c>
      <c r="J312" s="32">
        <f t="shared" si="13"/>
        <v>0</v>
      </c>
      <c r="K312" s="32">
        <f t="shared" si="14"/>
        <v>389.51889999999997</v>
      </c>
      <c r="L312" s="43">
        <f>IF(C312="ES",K312*INDEX(tbl_param_emb[Valor],MATCH("P-01",tbl_param_emb[ID_Parametro],0)),0)</f>
        <v>0</v>
      </c>
      <c r="M312" s="33" t="str">
        <f>IF(B312="Tampa","Componente",IFERROR(INDEX(tbl_recyclass[Grau_PPWR_Indicativo],MATCH(A312,tbl_recyclass[ProductId],0)),""))</f>
        <v>Não reciclável (F)</v>
      </c>
    </row>
    <row r="313" spans="1:13" ht="16.05" customHeight="1" x14ac:dyDescent="0.3">
      <c r="A313" s="26" t="s">
        <v>743</v>
      </c>
      <c r="B313" s="26" t="s">
        <v>1470</v>
      </c>
      <c r="C313" s="26" t="s">
        <v>1478</v>
      </c>
      <c r="D313" s="26" t="s">
        <v>1479</v>
      </c>
      <c r="E313" s="39">
        <v>1</v>
      </c>
      <c r="F313" s="37">
        <v>5857</v>
      </c>
      <c r="G313" s="38">
        <f>IFERROR(IF(B313="Tampa",INDEX(tbl_tampas[Massa_g],MATCH(A313,tbl_tampas[CapId],0)),INDEX(tbl_recyclass[Massa_Corpo_g],MATCH(A313,tbl_recyclass[ProductId],0))),0)</f>
        <v>34.9</v>
      </c>
      <c r="H313" s="32">
        <f t="shared" si="12"/>
        <v>204.4093</v>
      </c>
      <c r="I313" s="36">
        <f>IFERROR(IF(B313="Tampa",INDEX(tbl_tampas[Pct_PCR],MATCH(A313,tbl_tampas[CapId],0)),INDEX(tbl_recyclass[Pct_PCR_Corpo],MATCH(A313,tbl_recyclass[ProductId],0))),0)</f>
        <v>0</v>
      </c>
      <c r="J313" s="32">
        <f t="shared" si="13"/>
        <v>0</v>
      </c>
      <c r="K313" s="32">
        <f t="shared" si="14"/>
        <v>204.4093</v>
      </c>
      <c r="L313" s="43">
        <f>IF(C313="ES",K313*INDEX(tbl_param_emb[Valor],MATCH("P-01",tbl_param_emb[ID_Parametro],0)),0)</f>
        <v>0</v>
      </c>
      <c r="M313" s="33" t="str">
        <f>IF(B313="Tampa","Componente",IFERROR(INDEX(tbl_recyclass[Grau_PPWR_Indicativo],MATCH(A313,tbl_recyclass[ProductId],0)),""))</f>
        <v>Não reciclável (F)</v>
      </c>
    </row>
    <row r="314" spans="1:13" ht="16.05" customHeight="1" x14ac:dyDescent="0.3">
      <c r="A314" s="26" t="s">
        <v>743</v>
      </c>
      <c r="B314" s="26" t="s">
        <v>1470</v>
      </c>
      <c r="C314" s="26" t="s">
        <v>1480</v>
      </c>
      <c r="D314" s="26" t="s">
        <v>1481</v>
      </c>
      <c r="E314" s="39">
        <v>1</v>
      </c>
      <c r="F314" s="37">
        <v>1946</v>
      </c>
      <c r="G314" s="38">
        <f>IFERROR(IF(B314="Tampa",INDEX(tbl_tampas[Massa_g],MATCH(A314,tbl_tampas[CapId],0)),INDEX(tbl_recyclass[Massa_Corpo_g],MATCH(A314,tbl_recyclass[ProductId],0))),0)</f>
        <v>34.9</v>
      </c>
      <c r="H314" s="32">
        <f t="shared" si="12"/>
        <v>67.915399999999991</v>
      </c>
      <c r="I314" s="36">
        <f>IFERROR(IF(B314="Tampa",INDEX(tbl_tampas[Pct_PCR],MATCH(A314,tbl_tampas[CapId],0)),INDEX(tbl_recyclass[Pct_PCR_Corpo],MATCH(A314,tbl_recyclass[ProductId],0))),0)</f>
        <v>0</v>
      </c>
      <c r="J314" s="32">
        <f t="shared" si="13"/>
        <v>0</v>
      </c>
      <c r="K314" s="32">
        <f t="shared" si="14"/>
        <v>67.915399999999991</v>
      </c>
      <c r="L314" s="43">
        <f>IF(C314="ES",K314*INDEX(tbl_param_emb[Valor],MATCH("P-01",tbl_param_emb[ID_Parametro],0)),0)</f>
        <v>0</v>
      </c>
      <c r="M314" s="33" t="str">
        <f>IF(B314="Tampa","Componente",IFERROR(INDEX(tbl_recyclass[Grau_PPWR_Indicativo],MATCH(A314,tbl_recyclass[ProductId],0)),""))</f>
        <v>Não reciclável (F)</v>
      </c>
    </row>
    <row r="315" spans="1:13" ht="16.05" customHeight="1" x14ac:dyDescent="0.3">
      <c r="A315" s="26" t="s">
        <v>743</v>
      </c>
      <c r="B315" s="26" t="s">
        <v>1470</v>
      </c>
      <c r="C315" s="26" t="s">
        <v>847</v>
      </c>
      <c r="D315" s="26" t="s">
        <v>1471</v>
      </c>
      <c r="E315" s="39">
        <v>4</v>
      </c>
      <c r="F315" s="37">
        <v>25879</v>
      </c>
      <c r="G315" s="38">
        <f>IFERROR(IF(B315="Tampa",INDEX(tbl_tampas[Massa_g],MATCH(A315,tbl_tampas[CapId],0)),INDEX(tbl_recyclass[Massa_Corpo_g],MATCH(A315,tbl_recyclass[ProductId],0))),0)</f>
        <v>34.9</v>
      </c>
      <c r="H315" s="32">
        <f t="shared" si="12"/>
        <v>903.1771</v>
      </c>
      <c r="I315" s="36">
        <f>IFERROR(IF(B315="Tampa",INDEX(tbl_tampas[Pct_PCR],MATCH(A315,tbl_tampas[CapId],0)),INDEX(tbl_recyclass[Pct_PCR_Corpo],MATCH(A315,tbl_recyclass[ProductId],0))),0)</f>
        <v>0</v>
      </c>
      <c r="J315" s="32">
        <f t="shared" si="13"/>
        <v>0</v>
      </c>
      <c r="K315" s="32">
        <f t="shared" si="14"/>
        <v>903.1771</v>
      </c>
      <c r="L315" s="43">
        <f>IF(C315="ES",K315*INDEX(tbl_param_emb[Valor],MATCH("P-01",tbl_param_emb[ID_Parametro],0)),0)</f>
        <v>0</v>
      </c>
      <c r="M315" s="33" t="str">
        <f>IF(B315="Tampa","Componente",IFERROR(INDEX(tbl_recyclass[Grau_PPWR_Indicativo],MATCH(A315,tbl_recyclass[ProductId],0)),""))</f>
        <v>Não reciclável (F)</v>
      </c>
    </row>
    <row r="316" spans="1:13" ht="16.05" customHeight="1" x14ac:dyDescent="0.3">
      <c r="A316" s="26" t="s">
        <v>743</v>
      </c>
      <c r="B316" s="26" t="s">
        <v>1470</v>
      </c>
      <c r="C316" s="26" t="s">
        <v>1474</v>
      </c>
      <c r="D316" s="26" t="s">
        <v>1475</v>
      </c>
      <c r="E316" s="39">
        <v>1</v>
      </c>
      <c r="F316" s="37">
        <v>12410</v>
      </c>
      <c r="G316" s="38">
        <f>IFERROR(IF(B316="Tampa",INDEX(tbl_tampas[Massa_g],MATCH(A316,tbl_tampas[CapId],0)),INDEX(tbl_recyclass[Massa_Corpo_g],MATCH(A316,tbl_recyclass[ProductId],0))),0)</f>
        <v>34.9</v>
      </c>
      <c r="H316" s="32">
        <f t="shared" si="12"/>
        <v>433.10899999999998</v>
      </c>
      <c r="I316" s="36">
        <f>IFERROR(IF(B316="Tampa",INDEX(tbl_tampas[Pct_PCR],MATCH(A316,tbl_tampas[CapId],0)),INDEX(tbl_recyclass[Pct_PCR_Corpo],MATCH(A316,tbl_recyclass[ProductId],0))),0)</f>
        <v>0</v>
      </c>
      <c r="J316" s="32">
        <f t="shared" si="13"/>
        <v>0</v>
      </c>
      <c r="K316" s="32">
        <f t="shared" si="14"/>
        <v>433.10899999999998</v>
      </c>
      <c r="L316" s="43">
        <f>IF(C316="ES",K316*INDEX(tbl_param_emb[Valor],MATCH("P-01",tbl_param_emb[ID_Parametro],0)),0)</f>
        <v>194.89904999999999</v>
      </c>
      <c r="M316" s="33" t="str">
        <f>IF(B316="Tampa","Componente",IFERROR(INDEX(tbl_recyclass[Grau_PPWR_Indicativo],MATCH(A316,tbl_recyclass[ProductId],0)),""))</f>
        <v>Não reciclável (F)</v>
      </c>
    </row>
    <row r="317" spans="1:13" ht="16.05" customHeight="1" x14ac:dyDescent="0.3">
      <c r="A317" s="26" t="s">
        <v>745</v>
      </c>
      <c r="B317" s="26" t="s">
        <v>1470</v>
      </c>
      <c r="C317" s="26" t="s">
        <v>1480</v>
      </c>
      <c r="D317" s="26" t="s">
        <v>1481</v>
      </c>
      <c r="E317" s="39">
        <v>1</v>
      </c>
      <c r="F317" s="37">
        <v>5593</v>
      </c>
      <c r="G317" s="38">
        <f>IFERROR(IF(B317="Tampa",INDEX(tbl_tampas[Massa_g],MATCH(A317,tbl_tampas[CapId],0)),INDEX(tbl_recyclass[Massa_Corpo_g],MATCH(A317,tbl_recyclass[ProductId],0))),0)</f>
        <v>34.9</v>
      </c>
      <c r="H317" s="32">
        <f t="shared" si="12"/>
        <v>195.19569999999999</v>
      </c>
      <c r="I317" s="36">
        <f>IFERROR(IF(B317="Tampa",INDEX(tbl_tampas[Pct_PCR],MATCH(A317,tbl_tampas[CapId],0)),INDEX(tbl_recyclass[Pct_PCR_Corpo],MATCH(A317,tbl_recyclass[ProductId],0))),0)</f>
        <v>0</v>
      </c>
      <c r="J317" s="32">
        <f t="shared" si="13"/>
        <v>0</v>
      </c>
      <c r="K317" s="32">
        <f t="shared" si="14"/>
        <v>195.19569999999999</v>
      </c>
      <c r="L317" s="43">
        <f>IF(C317="ES",K317*INDEX(tbl_param_emb[Valor],MATCH("P-01",tbl_param_emb[ID_Parametro],0)),0)</f>
        <v>0</v>
      </c>
      <c r="M317" s="33" t="str">
        <f>IF(B317="Tampa","Componente",IFERROR(INDEX(tbl_recyclass[Grau_PPWR_Indicativo],MATCH(A317,tbl_recyclass[ProductId],0)),""))</f>
        <v>A</v>
      </c>
    </row>
    <row r="318" spans="1:13" ht="16.05" customHeight="1" x14ac:dyDescent="0.3">
      <c r="A318" s="26" t="s">
        <v>745</v>
      </c>
      <c r="B318" s="26" t="s">
        <v>1470</v>
      </c>
      <c r="C318" s="26" t="s">
        <v>847</v>
      </c>
      <c r="D318" s="26" t="s">
        <v>1471</v>
      </c>
      <c r="E318" s="39">
        <v>6</v>
      </c>
      <c r="F318" s="37">
        <v>32558</v>
      </c>
      <c r="G318" s="38">
        <f>IFERROR(IF(B318="Tampa",INDEX(tbl_tampas[Massa_g],MATCH(A318,tbl_tampas[CapId],0)),INDEX(tbl_recyclass[Massa_Corpo_g],MATCH(A318,tbl_recyclass[ProductId],0))),0)</f>
        <v>34.9</v>
      </c>
      <c r="H318" s="32">
        <f t="shared" si="12"/>
        <v>1136.2742000000001</v>
      </c>
      <c r="I318" s="36">
        <f>IFERROR(IF(B318="Tampa",INDEX(tbl_tampas[Pct_PCR],MATCH(A318,tbl_tampas[CapId],0)),INDEX(tbl_recyclass[Pct_PCR_Corpo],MATCH(A318,tbl_recyclass[ProductId],0))),0)</f>
        <v>0</v>
      </c>
      <c r="J318" s="32">
        <f t="shared" si="13"/>
        <v>0</v>
      </c>
      <c r="K318" s="32">
        <f t="shared" si="14"/>
        <v>1136.2742000000001</v>
      </c>
      <c r="L318" s="43">
        <f>IF(C318="ES",K318*INDEX(tbl_param_emb[Valor],MATCH("P-01",tbl_param_emb[ID_Parametro],0)),0)</f>
        <v>0</v>
      </c>
      <c r="M318" s="33" t="str">
        <f>IF(B318="Tampa","Componente",IFERROR(INDEX(tbl_recyclass[Grau_PPWR_Indicativo],MATCH(A318,tbl_recyclass[ProductId],0)),""))</f>
        <v>A</v>
      </c>
    </row>
    <row r="319" spans="1:13" ht="16.05" customHeight="1" x14ac:dyDescent="0.3">
      <c r="A319" s="26" t="s">
        <v>749</v>
      </c>
      <c r="B319" s="26" t="s">
        <v>1470</v>
      </c>
      <c r="C319" s="26" t="s">
        <v>1478</v>
      </c>
      <c r="D319" s="26" t="s">
        <v>1479</v>
      </c>
      <c r="E319" s="39">
        <v>1</v>
      </c>
      <c r="F319" s="37">
        <v>3463</v>
      </c>
      <c r="G319" s="38">
        <f>IFERROR(IF(B319="Tampa",INDEX(tbl_tampas[Massa_g],MATCH(A319,tbl_tampas[CapId],0)),INDEX(tbl_recyclass[Massa_Corpo_g],MATCH(A319,tbl_recyclass[ProductId],0))),0)</f>
        <v>34.9</v>
      </c>
      <c r="H319" s="32">
        <f t="shared" si="12"/>
        <v>120.8587</v>
      </c>
      <c r="I319" s="36">
        <f>IFERROR(IF(B319="Tampa",INDEX(tbl_tampas[Pct_PCR],MATCH(A319,tbl_tampas[CapId],0)),INDEX(tbl_recyclass[Pct_PCR_Corpo],MATCH(A319,tbl_recyclass[ProductId],0))),0)</f>
        <v>0.3</v>
      </c>
      <c r="J319" s="32">
        <f t="shared" si="13"/>
        <v>36.25761</v>
      </c>
      <c r="K319" s="32">
        <f t="shared" si="14"/>
        <v>84.601089999999999</v>
      </c>
      <c r="L319" s="43">
        <f>IF(C319="ES",K319*INDEX(tbl_param_emb[Valor],MATCH("P-01",tbl_param_emb[ID_Parametro],0)),0)</f>
        <v>0</v>
      </c>
      <c r="M319" s="33" t="str">
        <f>IF(B319="Tampa","Componente",IFERROR(INDEX(tbl_recyclass[Grau_PPWR_Indicativo],MATCH(A319,tbl_recyclass[ProductId],0)),""))</f>
        <v>A</v>
      </c>
    </row>
    <row r="320" spans="1:13" ht="16.05" customHeight="1" x14ac:dyDescent="0.3">
      <c r="A320" s="26" t="s">
        <v>749</v>
      </c>
      <c r="B320" s="26" t="s">
        <v>1470</v>
      </c>
      <c r="C320" s="26" t="s">
        <v>847</v>
      </c>
      <c r="D320" s="26" t="s">
        <v>1471</v>
      </c>
      <c r="E320" s="39">
        <v>4</v>
      </c>
      <c r="F320" s="37">
        <v>24633</v>
      </c>
      <c r="G320" s="38">
        <f>IFERROR(IF(B320="Tampa",INDEX(tbl_tampas[Massa_g],MATCH(A320,tbl_tampas[CapId],0)),INDEX(tbl_recyclass[Massa_Corpo_g],MATCH(A320,tbl_recyclass[ProductId],0))),0)</f>
        <v>34.9</v>
      </c>
      <c r="H320" s="32">
        <f t="shared" si="12"/>
        <v>859.69169999999997</v>
      </c>
      <c r="I320" s="36">
        <f>IFERROR(IF(B320="Tampa",INDEX(tbl_tampas[Pct_PCR],MATCH(A320,tbl_tampas[CapId],0)),INDEX(tbl_recyclass[Pct_PCR_Corpo],MATCH(A320,tbl_recyclass[ProductId],0))),0)</f>
        <v>0.3</v>
      </c>
      <c r="J320" s="32">
        <f t="shared" si="13"/>
        <v>257.90751</v>
      </c>
      <c r="K320" s="32">
        <f t="shared" si="14"/>
        <v>601.78418999999997</v>
      </c>
      <c r="L320" s="43">
        <f>IF(C320="ES",K320*INDEX(tbl_param_emb[Valor],MATCH("P-01",tbl_param_emb[ID_Parametro],0)),0)</f>
        <v>0</v>
      </c>
      <c r="M320" s="33" t="str">
        <f>IF(B320="Tampa","Componente",IFERROR(INDEX(tbl_recyclass[Grau_PPWR_Indicativo],MATCH(A320,tbl_recyclass[ProductId],0)),""))</f>
        <v>A</v>
      </c>
    </row>
    <row r="321" spans="1:13" ht="16.05" customHeight="1" x14ac:dyDescent="0.3">
      <c r="A321" s="26" t="s">
        <v>754</v>
      </c>
      <c r="B321" s="26" t="s">
        <v>1470</v>
      </c>
      <c r="C321" s="26" t="s">
        <v>1476</v>
      </c>
      <c r="D321" s="26" t="s">
        <v>1477</v>
      </c>
      <c r="E321" s="39">
        <v>1</v>
      </c>
      <c r="F321" s="37">
        <v>12421</v>
      </c>
      <c r="G321" s="38">
        <f>IFERROR(IF(B321="Tampa",INDEX(tbl_tampas[Massa_g],MATCH(A321,tbl_tampas[CapId],0)),INDEX(tbl_recyclass[Massa_Corpo_g],MATCH(A321,tbl_recyclass[ProductId],0))),0)</f>
        <v>34.9</v>
      </c>
      <c r="H321" s="32">
        <f t="shared" si="12"/>
        <v>433.49289999999996</v>
      </c>
      <c r="I321" s="36">
        <f>IFERROR(IF(B321="Tampa",INDEX(tbl_tampas[Pct_PCR],MATCH(A321,tbl_tampas[CapId],0)),INDEX(tbl_recyclass[Pct_PCR_Corpo],MATCH(A321,tbl_recyclass[ProductId],0))),0)</f>
        <v>0.5</v>
      </c>
      <c r="J321" s="32">
        <f t="shared" si="13"/>
        <v>216.74644999999998</v>
      </c>
      <c r="K321" s="32">
        <f t="shared" si="14"/>
        <v>216.74644999999998</v>
      </c>
      <c r="L321" s="43">
        <f>IF(C321="ES",K321*INDEX(tbl_param_emb[Valor],MATCH("P-01",tbl_param_emb[ID_Parametro],0)),0)</f>
        <v>0</v>
      </c>
      <c r="M321" s="33" t="str">
        <f>IF(B321="Tampa","Componente",IFERROR(INDEX(tbl_recyclass[Grau_PPWR_Indicativo],MATCH(A321,tbl_recyclass[ProductId],0)),""))</f>
        <v>A</v>
      </c>
    </row>
    <row r="322" spans="1:13" ht="16.05" customHeight="1" x14ac:dyDescent="0.3">
      <c r="A322" s="26" t="s">
        <v>754</v>
      </c>
      <c r="B322" s="26" t="s">
        <v>1470</v>
      </c>
      <c r="C322" s="26" t="s">
        <v>1478</v>
      </c>
      <c r="D322" s="26" t="s">
        <v>1479</v>
      </c>
      <c r="E322" s="39">
        <v>1</v>
      </c>
      <c r="F322" s="37">
        <v>4784</v>
      </c>
      <c r="G322" s="38">
        <f>IFERROR(IF(B322="Tampa",INDEX(tbl_tampas[Massa_g],MATCH(A322,tbl_tampas[CapId],0)),INDEX(tbl_recyclass[Massa_Corpo_g],MATCH(A322,tbl_recyclass[ProductId],0))),0)</f>
        <v>34.9</v>
      </c>
      <c r="H322" s="32">
        <f t="shared" ref="H322:H385" si="15">F322*G322/1000</f>
        <v>166.9616</v>
      </c>
      <c r="I322" s="36">
        <f>IFERROR(IF(B322="Tampa",INDEX(tbl_tampas[Pct_PCR],MATCH(A322,tbl_tampas[CapId],0)),INDEX(tbl_recyclass[Pct_PCR_Corpo],MATCH(A322,tbl_recyclass[ProductId],0))),0)</f>
        <v>0.5</v>
      </c>
      <c r="J322" s="32">
        <f t="shared" ref="J322:J385" si="16">H322*I322</f>
        <v>83.480800000000002</v>
      </c>
      <c r="K322" s="32">
        <f t="shared" ref="K322:K385" si="17">H322-J322</f>
        <v>83.480800000000002</v>
      </c>
      <c r="L322" s="43">
        <f>IF(C322="ES",K322*INDEX(tbl_param_emb[Valor],MATCH("P-01",tbl_param_emb[ID_Parametro],0)),0)</f>
        <v>0</v>
      </c>
      <c r="M322" s="33" t="str">
        <f>IF(B322="Tampa","Componente",IFERROR(INDEX(tbl_recyclass[Grau_PPWR_Indicativo],MATCH(A322,tbl_recyclass[ProductId],0)),""))</f>
        <v>A</v>
      </c>
    </row>
    <row r="323" spans="1:13" ht="16.05" customHeight="1" x14ac:dyDescent="0.3">
      <c r="A323" s="26" t="s">
        <v>754</v>
      </c>
      <c r="B323" s="26" t="s">
        <v>1470</v>
      </c>
      <c r="C323" s="26" t="s">
        <v>1480</v>
      </c>
      <c r="D323" s="26" t="s">
        <v>1481</v>
      </c>
      <c r="E323" s="39">
        <v>1</v>
      </c>
      <c r="F323" s="37">
        <v>6707</v>
      </c>
      <c r="G323" s="38">
        <f>IFERROR(IF(B323="Tampa",INDEX(tbl_tampas[Massa_g],MATCH(A323,tbl_tampas[CapId],0)),INDEX(tbl_recyclass[Massa_Corpo_g],MATCH(A323,tbl_recyclass[ProductId],0))),0)</f>
        <v>34.9</v>
      </c>
      <c r="H323" s="32">
        <f t="shared" si="15"/>
        <v>234.07429999999999</v>
      </c>
      <c r="I323" s="36">
        <f>IFERROR(IF(B323="Tampa",INDEX(tbl_tampas[Pct_PCR],MATCH(A323,tbl_tampas[CapId],0)),INDEX(tbl_recyclass[Pct_PCR_Corpo],MATCH(A323,tbl_recyclass[ProductId],0))),0)</f>
        <v>0.5</v>
      </c>
      <c r="J323" s="32">
        <f t="shared" si="16"/>
        <v>117.03715</v>
      </c>
      <c r="K323" s="32">
        <f t="shared" si="17"/>
        <v>117.03715</v>
      </c>
      <c r="L323" s="43">
        <f>IF(C323="ES",K323*INDEX(tbl_param_emb[Valor],MATCH("P-01",tbl_param_emb[ID_Parametro],0)),0)</f>
        <v>0</v>
      </c>
      <c r="M323" s="33" t="str">
        <f>IF(B323="Tampa","Componente",IFERROR(INDEX(tbl_recyclass[Grau_PPWR_Indicativo],MATCH(A323,tbl_recyclass[ProductId],0)),""))</f>
        <v>A</v>
      </c>
    </row>
    <row r="324" spans="1:13" ht="16.05" customHeight="1" x14ac:dyDescent="0.3">
      <c r="A324" s="26" t="s">
        <v>754</v>
      </c>
      <c r="B324" s="26" t="s">
        <v>1470</v>
      </c>
      <c r="C324" s="26" t="s">
        <v>847</v>
      </c>
      <c r="D324" s="26" t="s">
        <v>1471</v>
      </c>
      <c r="E324" s="39">
        <v>3</v>
      </c>
      <c r="F324" s="37">
        <v>32616</v>
      </c>
      <c r="G324" s="38">
        <f>IFERROR(IF(B324="Tampa",INDEX(tbl_tampas[Massa_g],MATCH(A324,tbl_tampas[CapId],0)),INDEX(tbl_recyclass[Massa_Corpo_g],MATCH(A324,tbl_recyclass[ProductId],0))),0)</f>
        <v>34.9</v>
      </c>
      <c r="H324" s="32">
        <f t="shared" si="15"/>
        <v>1138.2983999999999</v>
      </c>
      <c r="I324" s="36">
        <f>IFERROR(IF(B324="Tampa",INDEX(tbl_tampas[Pct_PCR],MATCH(A324,tbl_tampas[CapId],0)),INDEX(tbl_recyclass[Pct_PCR_Corpo],MATCH(A324,tbl_recyclass[ProductId],0))),0)</f>
        <v>0.5</v>
      </c>
      <c r="J324" s="32">
        <f t="shared" si="16"/>
        <v>569.14919999999995</v>
      </c>
      <c r="K324" s="32">
        <f t="shared" si="17"/>
        <v>569.14919999999995</v>
      </c>
      <c r="L324" s="43">
        <f>IF(C324="ES",K324*INDEX(tbl_param_emb[Valor],MATCH("P-01",tbl_param_emb[ID_Parametro],0)),0)</f>
        <v>0</v>
      </c>
      <c r="M324" s="33" t="str">
        <f>IF(B324="Tampa","Componente",IFERROR(INDEX(tbl_recyclass[Grau_PPWR_Indicativo],MATCH(A324,tbl_recyclass[ProductId],0)),""))</f>
        <v>A</v>
      </c>
    </row>
    <row r="325" spans="1:13" ht="16.05" customHeight="1" x14ac:dyDescent="0.3">
      <c r="A325" s="26" t="s">
        <v>754</v>
      </c>
      <c r="B325" s="26" t="s">
        <v>1470</v>
      </c>
      <c r="C325" s="26" t="s">
        <v>1474</v>
      </c>
      <c r="D325" s="26" t="s">
        <v>1475</v>
      </c>
      <c r="E325" s="39">
        <v>2</v>
      </c>
      <c r="F325" s="37">
        <v>13383</v>
      </c>
      <c r="G325" s="38">
        <f>IFERROR(IF(B325="Tampa",INDEX(tbl_tampas[Massa_g],MATCH(A325,tbl_tampas[CapId],0)),INDEX(tbl_recyclass[Massa_Corpo_g],MATCH(A325,tbl_recyclass[ProductId],0))),0)</f>
        <v>34.9</v>
      </c>
      <c r="H325" s="32">
        <f t="shared" si="15"/>
        <v>467.06669999999997</v>
      </c>
      <c r="I325" s="36">
        <f>IFERROR(IF(B325="Tampa",INDEX(tbl_tampas[Pct_PCR],MATCH(A325,tbl_tampas[CapId],0)),INDEX(tbl_recyclass[Pct_PCR_Corpo],MATCH(A325,tbl_recyclass[ProductId],0))),0)</f>
        <v>0.5</v>
      </c>
      <c r="J325" s="32">
        <f t="shared" si="16"/>
        <v>233.53334999999998</v>
      </c>
      <c r="K325" s="32">
        <f t="shared" si="17"/>
        <v>233.53334999999998</v>
      </c>
      <c r="L325" s="43">
        <f>IF(C325="ES",K325*INDEX(tbl_param_emb[Valor],MATCH("P-01",tbl_param_emb[ID_Parametro],0)),0)</f>
        <v>105.0900075</v>
      </c>
      <c r="M325" s="33" t="str">
        <f>IF(B325="Tampa","Componente",IFERROR(INDEX(tbl_recyclass[Grau_PPWR_Indicativo],MATCH(A325,tbl_recyclass[ProductId],0)),""))</f>
        <v>A</v>
      </c>
    </row>
    <row r="326" spans="1:13" ht="16.05" customHeight="1" x14ac:dyDescent="0.3">
      <c r="A326" s="26" t="s">
        <v>727</v>
      </c>
      <c r="B326" s="26" t="s">
        <v>1470</v>
      </c>
      <c r="C326" s="26" t="s">
        <v>1480</v>
      </c>
      <c r="D326" s="26" t="s">
        <v>1481</v>
      </c>
      <c r="E326" s="39">
        <v>1</v>
      </c>
      <c r="F326" s="37">
        <v>4479</v>
      </c>
      <c r="G326" s="38">
        <f>IFERROR(IF(B326="Tampa",INDEX(tbl_tampas[Massa_g],MATCH(A326,tbl_tampas[CapId],0)),INDEX(tbl_recyclass[Massa_Corpo_g],MATCH(A326,tbl_recyclass[ProductId],0))),0)</f>
        <v>34.9</v>
      </c>
      <c r="H326" s="32">
        <f t="shared" si="15"/>
        <v>156.31710000000001</v>
      </c>
      <c r="I326" s="36">
        <f>IFERROR(IF(B326="Tampa",INDEX(tbl_tampas[Pct_PCR],MATCH(A326,tbl_tampas[CapId],0)),INDEX(tbl_recyclass[Pct_PCR_Corpo],MATCH(A326,tbl_recyclass[ProductId],0))),0)</f>
        <v>0</v>
      </c>
      <c r="J326" s="32">
        <f t="shared" si="16"/>
        <v>0</v>
      </c>
      <c r="K326" s="32">
        <f t="shared" si="17"/>
        <v>156.31710000000001</v>
      </c>
      <c r="L326" s="43">
        <f>IF(C326="ES",K326*INDEX(tbl_param_emb[Valor],MATCH("P-01",tbl_param_emb[ID_Parametro],0)),0)</f>
        <v>0</v>
      </c>
      <c r="M326" s="33" t="str">
        <f>IF(B326="Tampa","Componente",IFERROR(INDEX(tbl_recyclass[Grau_PPWR_Indicativo],MATCH(A326,tbl_recyclass[ProductId],0)),""))</f>
        <v>C</v>
      </c>
    </row>
    <row r="327" spans="1:13" ht="16.05" customHeight="1" x14ac:dyDescent="0.3">
      <c r="A327" s="26" t="s">
        <v>727</v>
      </c>
      <c r="B327" s="26" t="s">
        <v>1470</v>
      </c>
      <c r="C327" s="26" t="s">
        <v>847</v>
      </c>
      <c r="D327" s="26" t="s">
        <v>1471</v>
      </c>
      <c r="E327" s="39">
        <v>6</v>
      </c>
      <c r="F327" s="37">
        <v>45291</v>
      </c>
      <c r="G327" s="38">
        <f>IFERROR(IF(B327="Tampa",INDEX(tbl_tampas[Massa_g],MATCH(A327,tbl_tampas[CapId],0)),INDEX(tbl_recyclass[Massa_Corpo_g],MATCH(A327,tbl_recyclass[ProductId],0))),0)</f>
        <v>34.9</v>
      </c>
      <c r="H327" s="32">
        <f t="shared" si="15"/>
        <v>1580.6559</v>
      </c>
      <c r="I327" s="36">
        <f>IFERROR(IF(B327="Tampa",INDEX(tbl_tampas[Pct_PCR],MATCH(A327,tbl_tampas[CapId],0)),INDEX(tbl_recyclass[Pct_PCR_Corpo],MATCH(A327,tbl_recyclass[ProductId],0))),0)</f>
        <v>0</v>
      </c>
      <c r="J327" s="32">
        <f t="shared" si="16"/>
        <v>0</v>
      </c>
      <c r="K327" s="32">
        <f t="shared" si="17"/>
        <v>1580.6559</v>
      </c>
      <c r="L327" s="43">
        <f>IF(C327="ES",K327*INDEX(tbl_param_emb[Valor],MATCH("P-01",tbl_param_emb[ID_Parametro],0)),0)</f>
        <v>0</v>
      </c>
      <c r="M327" s="33" t="str">
        <f>IF(B327="Tampa","Componente",IFERROR(INDEX(tbl_recyclass[Grau_PPWR_Indicativo],MATCH(A327,tbl_recyclass[ProductId],0)),""))</f>
        <v>C</v>
      </c>
    </row>
    <row r="328" spans="1:13" ht="16.05" customHeight="1" x14ac:dyDescent="0.3">
      <c r="A328" s="26" t="s">
        <v>762</v>
      </c>
      <c r="B328" s="26" t="s">
        <v>1470</v>
      </c>
      <c r="C328" s="26" t="s">
        <v>1476</v>
      </c>
      <c r="D328" s="26" t="s">
        <v>1477</v>
      </c>
      <c r="E328" s="39">
        <v>1</v>
      </c>
      <c r="F328" s="37">
        <v>6846</v>
      </c>
      <c r="G328" s="38">
        <f>IFERROR(IF(B328="Tampa",INDEX(tbl_tampas[Massa_g],MATCH(A328,tbl_tampas[CapId],0)),INDEX(tbl_recyclass[Massa_Corpo_g],MATCH(A328,tbl_recyclass[ProductId],0))),0)</f>
        <v>40.5</v>
      </c>
      <c r="H328" s="32">
        <f t="shared" si="15"/>
        <v>277.26299999999998</v>
      </c>
      <c r="I328" s="36">
        <f>IFERROR(IF(B328="Tampa",INDEX(tbl_tampas[Pct_PCR],MATCH(A328,tbl_tampas[CapId],0)),INDEX(tbl_recyclass[Pct_PCR_Corpo],MATCH(A328,tbl_recyclass[ProductId],0))),0)</f>
        <v>0</v>
      </c>
      <c r="J328" s="32">
        <f t="shared" si="16"/>
        <v>0</v>
      </c>
      <c r="K328" s="32">
        <f t="shared" si="17"/>
        <v>277.26299999999998</v>
      </c>
      <c r="L328" s="43">
        <f>IF(C328="ES",K328*INDEX(tbl_param_emb[Valor],MATCH("P-01",tbl_param_emb[ID_Parametro],0)),0)</f>
        <v>0</v>
      </c>
      <c r="M328" s="33" t="str">
        <f>IF(B328="Tampa","Componente",IFERROR(INDEX(tbl_recyclass[Grau_PPWR_Indicativo],MATCH(A328,tbl_recyclass[ProductId],0)),""))</f>
        <v>A</v>
      </c>
    </row>
    <row r="329" spans="1:13" ht="16.05" customHeight="1" x14ac:dyDescent="0.3">
      <c r="A329" s="26" t="s">
        <v>762</v>
      </c>
      <c r="B329" s="26" t="s">
        <v>1470</v>
      </c>
      <c r="C329" s="26" t="s">
        <v>847</v>
      </c>
      <c r="D329" s="26" t="s">
        <v>1471</v>
      </c>
      <c r="E329" s="39">
        <v>4</v>
      </c>
      <c r="F329" s="37">
        <v>31103</v>
      </c>
      <c r="G329" s="38">
        <f>IFERROR(IF(B329="Tampa",INDEX(tbl_tampas[Massa_g],MATCH(A329,tbl_tampas[CapId],0)),INDEX(tbl_recyclass[Massa_Corpo_g],MATCH(A329,tbl_recyclass[ProductId],0))),0)</f>
        <v>40.5</v>
      </c>
      <c r="H329" s="32">
        <f t="shared" si="15"/>
        <v>1259.6714999999999</v>
      </c>
      <c r="I329" s="36">
        <f>IFERROR(IF(B329="Tampa",INDEX(tbl_tampas[Pct_PCR],MATCH(A329,tbl_tampas[CapId],0)),INDEX(tbl_recyclass[Pct_PCR_Corpo],MATCH(A329,tbl_recyclass[ProductId],0))),0)</f>
        <v>0</v>
      </c>
      <c r="J329" s="32">
        <f t="shared" si="16"/>
        <v>0</v>
      </c>
      <c r="K329" s="32">
        <f t="shared" si="17"/>
        <v>1259.6714999999999</v>
      </c>
      <c r="L329" s="43">
        <f>IF(C329="ES",K329*INDEX(tbl_param_emb[Valor],MATCH("P-01",tbl_param_emb[ID_Parametro],0)),0)</f>
        <v>0</v>
      </c>
      <c r="M329" s="33" t="str">
        <f>IF(B329="Tampa","Componente",IFERROR(INDEX(tbl_recyclass[Grau_PPWR_Indicativo],MATCH(A329,tbl_recyclass[ProductId],0)),""))</f>
        <v>A</v>
      </c>
    </row>
    <row r="330" spans="1:13" ht="16.05" customHeight="1" x14ac:dyDescent="0.3">
      <c r="A330" s="26" t="s">
        <v>762</v>
      </c>
      <c r="B330" s="26" t="s">
        <v>1470</v>
      </c>
      <c r="C330" s="26" t="s">
        <v>1474</v>
      </c>
      <c r="D330" s="26" t="s">
        <v>1475</v>
      </c>
      <c r="E330" s="39">
        <v>2</v>
      </c>
      <c r="F330" s="37">
        <v>22255</v>
      </c>
      <c r="G330" s="38">
        <f>IFERROR(IF(B330="Tampa",INDEX(tbl_tampas[Massa_g],MATCH(A330,tbl_tampas[CapId],0)),INDEX(tbl_recyclass[Massa_Corpo_g],MATCH(A330,tbl_recyclass[ProductId],0))),0)</f>
        <v>40.5</v>
      </c>
      <c r="H330" s="32">
        <f t="shared" si="15"/>
        <v>901.32749999999999</v>
      </c>
      <c r="I330" s="36">
        <f>IFERROR(IF(B330="Tampa",INDEX(tbl_tampas[Pct_PCR],MATCH(A330,tbl_tampas[CapId],0)),INDEX(tbl_recyclass[Pct_PCR_Corpo],MATCH(A330,tbl_recyclass[ProductId],0))),0)</f>
        <v>0</v>
      </c>
      <c r="J330" s="32">
        <f t="shared" si="16"/>
        <v>0</v>
      </c>
      <c r="K330" s="32">
        <f t="shared" si="17"/>
        <v>901.32749999999999</v>
      </c>
      <c r="L330" s="43">
        <f>IF(C330="ES",K330*INDEX(tbl_param_emb[Valor],MATCH("P-01",tbl_param_emb[ID_Parametro],0)),0)</f>
        <v>405.597375</v>
      </c>
      <c r="M330" s="33" t="str">
        <f>IF(B330="Tampa","Componente",IFERROR(INDEX(tbl_recyclass[Grau_PPWR_Indicativo],MATCH(A330,tbl_recyclass[ProductId],0)),""))</f>
        <v>A</v>
      </c>
    </row>
    <row r="331" spans="1:13" ht="16.05" customHeight="1" x14ac:dyDescent="0.3">
      <c r="A331" s="26" t="s">
        <v>770</v>
      </c>
      <c r="B331" s="26" t="s">
        <v>1470</v>
      </c>
      <c r="C331" s="26" t="s">
        <v>1472</v>
      </c>
      <c r="D331" s="26" t="s">
        <v>1473</v>
      </c>
      <c r="E331" s="39">
        <v>1</v>
      </c>
      <c r="F331" s="37">
        <v>1578</v>
      </c>
      <c r="G331" s="38">
        <f>IFERROR(IF(B331="Tampa",INDEX(tbl_tampas[Massa_g],MATCH(A331,tbl_tampas[CapId],0)),INDEX(tbl_recyclass[Massa_Corpo_g],MATCH(A331,tbl_recyclass[ProductId],0))),0)</f>
        <v>40.5</v>
      </c>
      <c r="H331" s="32">
        <f t="shared" si="15"/>
        <v>63.908999999999999</v>
      </c>
      <c r="I331" s="36">
        <f>IFERROR(IF(B331="Tampa",INDEX(tbl_tampas[Pct_PCR],MATCH(A331,tbl_tampas[CapId],0)),INDEX(tbl_recyclass[Pct_PCR_Corpo],MATCH(A331,tbl_recyclass[ProductId],0))),0)</f>
        <v>0.3</v>
      </c>
      <c r="J331" s="32">
        <f t="shared" si="16"/>
        <v>19.172699999999999</v>
      </c>
      <c r="K331" s="32">
        <f t="shared" si="17"/>
        <v>44.7363</v>
      </c>
      <c r="L331" s="43">
        <f>IF(C331="ES",K331*INDEX(tbl_param_emb[Valor],MATCH("P-01",tbl_param_emb[ID_Parametro],0)),0)</f>
        <v>0</v>
      </c>
      <c r="M331" s="33" t="str">
        <f>IF(B331="Tampa","Componente",IFERROR(INDEX(tbl_recyclass[Grau_PPWR_Indicativo],MATCH(A331,tbl_recyclass[ProductId],0)),""))</f>
        <v>A</v>
      </c>
    </row>
    <row r="332" spans="1:13" ht="16.05" customHeight="1" x14ac:dyDescent="0.3">
      <c r="A332" s="26" t="s">
        <v>770</v>
      </c>
      <c r="B332" s="26" t="s">
        <v>1470</v>
      </c>
      <c r="C332" s="26" t="s">
        <v>847</v>
      </c>
      <c r="D332" s="26" t="s">
        <v>1471</v>
      </c>
      <c r="E332" s="39">
        <v>5</v>
      </c>
      <c r="F332" s="37">
        <v>33481</v>
      </c>
      <c r="G332" s="38">
        <f>IFERROR(IF(B332="Tampa",INDEX(tbl_tampas[Massa_g],MATCH(A332,tbl_tampas[CapId],0)),INDEX(tbl_recyclass[Massa_Corpo_g],MATCH(A332,tbl_recyclass[ProductId],0))),0)</f>
        <v>40.5</v>
      </c>
      <c r="H332" s="32">
        <f t="shared" si="15"/>
        <v>1355.9804999999999</v>
      </c>
      <c r="I332" s="36">
        <f>IFERROR(IF(B332="Tampa",INDEX(tbl_tampas[Pct_PCR],MATCH(A332,tbl_tampas[CapId],0)),INDEX(tbl_recyclass[Pct_PCR_Corpo],MATCH(A332,tbl_recyclass[ProductId],0))),0)</f>
        <v>0.3</v>
      </c>
      <c r="J332" s="32">
        <f t="shared" si="16"/>
        <v>406.79414999999995</v>
      </c>
      <c r="K332" s="32">
        <f t="shared" si="17"/>
        <v>949.18634999999995</v>
      </c>
      <c r="L332" s="43">
        <f>IF(C332="ES",K332*INDEX(tbl_param_emb[Valor],MATCH("P-01",tbl_param_emb[ID_Parametro],0)),0)</f>
        <v>0</v>
      </c>
      <c r="M332" s="33" t="str">
        <f>IF(B332="Tampa","Componente",IFERROR(INDEX(tbl_recyclass[Grau_PPWR_Indicativo],MATCH(A332,tbl_recyclass[ProductId],0)),""))</f>
        <v>A</v>
      </c>
    </row>
    <row r="333" spans="1:13" ht="16.05" customHeight="1" x14ac:dyDescent="0.3">
      <c r="A333" s="26" t="s">
        <v>770</v>
      </c>
      <c r="B333" s="26" t="s">
        <v>1470</v>
      </c>
      <c r="C333" s="26" t="s">
        <v>1474</v>
      </c>
      <c r="D333" s="26" t="s">
        <v>1475</v>
      </c>
      <c r="E333" s="39">
        <v>1</v>
      </c>
      <c r="F333" s="37">
        <v>6276</v>
      </c>
      <c r="G333" s="38">
        <f>IFERROR(IF(B333="Tampa",INDEX(tbl_tampas[Massa_g],MATCH(A333,tbl_tampas[CapId],0)),INDEX(tbl_recyclass[Massa_Corpo_g],MATCH(A333,tbl_recyclass[ProductId],0))),0)</f>
        <v>40.5</v>
      </c>
      <c r="H333" s="32">
        <f t="shared" si="15"/>
        <v>254.178</v>
      </c>
      <c r="I333" s="36">
        <f>IFERROR(IF(B333="Tampa",INDEX(tbl_tampas[Pct_PCR],MATCH(A333,tbl_tampas[CapId],0)),INDEX(tbl_recyclass[Pct_PCR_Corpo],MATCH(A333,tbl_recyclass[ProductId],0))),0)</f>
        <v>0.3</v>
      </c>
      <c r="J333" s="32">
        <f t="shared" si="16"/>
        <v>76.253399999999999</v>
      </c>
      <c r="K333" s="32">
        <f t="shared" si="17"/>
        <v>177.9246</v>
      </c>
      <c r="L333" s="43">
        <f>IF(C333="ES",K333*INDEX(tbl_param_emb[Valor],MATCH("P-01",tbl_param_emb[ID_Parametro],0)),0)</f>
        <v>80.066069999999996</v>
      </c>
      <c r="M333" s="33" t="str">
        <f>IF(B333="Tampa","Componente",IFERROR(INDEX(tbl_recyclass[Grau_PPWR_Indicativo],MATCH(A333,tbl_recyclass[ProductId],0)),""))</f>
        <v>A</v>
      </c>
    </row>
    <row r="334" spans="1:13" ht="16.05" customHeight="1" x14ac:dyDescent="0.3">
      <c r="A334" s="26" t="s">
        <v>772</v>
      </c>
      <c r="B334" s="26" t="s">
        <v>1470</v>
      </c>
      <c r="C334" s="26" t="s">
        <v>1476</v>
      </c>
      <c r="D334" s="26" t="s">
        <v>1477</v>
      </c>
      <c r="E334" s="39">
        <v>1</v>
      </c>
      <c r="F334" s="37">
        <v>7410</v>
      </c>
      <c r="G334" s="38">
        <f>IFERROR(IF(B334="Tampa",INDEX(tbl_tampas[Massa_g],MATCH(A334,tbl_tampas[CapId],0)),INDEX(tbl_recyclass[Massa_Corpo_g],MATCH(A334,tbl_recyclass[ProductId],0))),0)</f>
        <v>40.5</v>
      </c>
      <c r="H334" s="32">
        <f t="shared" si="15"/>
        <v>300.10500000000002</v>
      </c>
      <c r="I334" s="36">
        <f>IFERROR(IF(B334="Tampa",INDEX(tbl_tampas[Pct_PCR],MATCH(A334,tbl_tampas[CapId],0)),INDEX(tbl_recyclass[Pct_PCR_Corpo],MATCH(A334,tbl_recyclass[ProductId],0))),0)</f>
        <v>0</v>
      </c>
      <c r="J334" s="32">
        <f t="shared" si="16"/>
        <v>0</v>
      </c>
      <c r="K334" s="32">
        <f t="shared" si="17"/>
        <v>300.10500000000002</v>
      </c>
      <c r="L334" s="43">
        <f>IF(C334="ES",K334*INDEX(tbl_param_emb[Valor],MATCH("P-01",tbl_param_emb[ID_Parametro],0)),0)</f>
        <v>0</v>
      </c>
      <c r="M334" s="33" t="str">
        <f>IF(B334="Tampa","Componente",IFERROR(INDEX(tbl_recyclass[Grau_PPWR_Indicativo],MATCH(A334,tbl_recyclass[ProductId],0)),""))</f>
        <v>C</v>
      </c>
    </row>
    <row r="335" spans="1:13" ht="16.05" customHeight="1" x14ac:dyDescent="0.3">
      <c r="A335" s="26" t="s">
        <v>772</v>
      </c>
      <c r="B335" s="26" t="s">
        <v>1470</v>
      </c>
      <c r="C335" s="26" t="s">
        <v>1478</v>
      </c>
      <c r="D335" s="26" t="s">
        <v>1479</v>
      </c>
      <c r="E335" s="39">
        <v>1</v>
      </c>
      <c r="F335" s="37">
        <v>5876</v>
      </c>
      <c r="G335" s="38">
        <f>IFERROR(IF(B335="Tampa",INDEX(tbl_tampas[Massa_g],MATCH(A335,tbl_tampas[CapId],0)),INDEX(tbl_recyclass[Massa_Corpo_g],MATCH(A335,tbl_recyclass[ProductId],0))),0)</f>
        <v>40.5</v>
      </c>
      <c r="H335" s="32">
        <f t="shared" si="15"/>
        <v>237.97800000000001</v>
      </c>
      <c r="I335" s="36">
        <f>IFERROR(IF(B335="Tampa",INDEX(tbl_tampas[Pct_PCR],MATCH(A335,tbl_tampas[CapId],0)),INDEX(tbl_recyclass[Pct_PCR_Corpo],MATCH(A335,tbl_recyclass[ProductId],0))),0)</f>
        <v>0</v>
      </c>
      <c r="J335" s="32">
        <f t="shared" si="16"/>
        <v>0</v>
      </c>
      <c r="K335" s="32">
        <f t="shared" si="17"/>
        <v>237.97800000000001</v>
      </c>
      <c r="L335" s="43">
        <f>IF(C335="ES",K335*INDEX(tbl_param_emb[Valor],MATCH("P-01",tbl_param_emb[ID_Parametro],0)),0)</f>
        <v>0</v>
      </c>
      <c r="M335" s="33" t="str">
        <f>IF(B335="Tampa","Componente",IFERROR(INDEX(tbl_recyclass[Grau_PPWR_Indicativo],MATCH(A335,tbl_recyclass[ProductId],0)),""))</f>
        <v>C</v>
      </c>
    </row>
    <row r="336" spans="1:13" ht="16.05" customHeight="1" x14ac:dyDescent="0.3">
      <c r="A336" s="26" t="s">
        <v>772</v>
      </c>
      <c r="B336" s="26" t="s">
        <v>1470</v>
      </c>
      <c r="C336" s="26" t="s">
        <v>847</v>
      </c>
      <c r="D336" s="26" t="s">
        <v>1471</v>
      </c>
      <c r="E336" s="39">
        <v>5</v>
      </c>
      <c r="F336" s="37">
        <v>47221</v>
      </c>
      <c r="G336" s="38">
        <f>IFERROR(IF(B336="Tampa",INDEX(tbl_tampas[Massa_g],MATCH(A336,tbl_tampas[CapId],0)),INDEX(tbl_recyclass[Massa_Corpo_g],MATCH(A336,tbl_recyclass[ProductId],0))),0)</f>
        <v>40.5</v>
      </c>
      <c r="H336" s="32">
        <f t="shared" si="15"/>
        <v>1912.4504999999999</v>
      </c>
      <c r="I336" s="36">
        <f>IFERROR(IF(B336="Tampa",INDEX(tbl_tampas[Pct_PCR],MATCH(A336,tbl_tampas[CapId],0)),INDEX(tbl_recyclass[Pct_PCR_Corpo],MATCH(A336,tbl_recyclass[ProductId],0))),0)</f>
        <v>0</v>
      </c>
      <c r="J336" s="32">
        <f t="shared" si="16"/>
        <v>0</v>
      </c>
      <c r="K336" s="32">
        <f t="shared" si="17"/>
        <v>1912.4504999999999</v>
      </c>
      <c r="L336" s="43">
        <f>IF(C336="ES",K336*INDEX(tbl_param_emb[Valor],MATCH("P-01",tbl_param_emb[ID_Parametro],0)),0)</f>
        <v>0</v>
      </c>
      <c r="M336" s="33" t="str">
        <f>IF(B336="Tampa","Componente",IFERROR(INDEX(tbl_recyclass[Grau_PPWR_Indicativo],MATCH(A336,tbl_recyclass[ProductId],0)),""))</f>
        <v>C</v>
      </c>
    </row>
    <row r="337" spans="1:13" ht="16.05" customHeight="1" x14ac:dyDescent="0.3">
      <c r="A337" s="26" t="s">
        <v>741</v>
      </c>
      <c r="B337" s="26" t="s">
        <v>1470</v>
      </c>
      <c r="C337" s="26" t="s">
        <v>1476</v>
      </c>
      <c r="D337" s="26" t="s">
        <v>1477</v>
      </c>
      <c r="E337" s="39">
        <v>1</v>
      </c>
      <c r="F337" s="37">
        <v>16293</v>
      </c>
      <c r="G337" s="38">
        <f>IFERROR(IF(B337="Tampa",INDEX(tbl_tampas[Massa_g],MATCH(A337,tbl_tampas[CapId],0)),INDEX(tbl_recyclass[Massa_Corpo_g],MATCH(A337,tbl_recyclass[ProductId],0))),0)</f>
        <v>34.9</v>
      </c>
      <c r="H337" s="32">
        <f t="shared" si="15"/>
        <v>568.62569999999994</v>
      </c>
      <c r="I337" s="36">
        <f>IFERROR(IF(B337="Tampa",INDEX(tbl_tampas[Pct_PCR],MATCH(A337,tbl_tampas[CapId],0)),INDEX(tbl_recyclass[Pct_PCR_Corpo],MATCH(A337,tbl_recyclass[ProductId],0))),0)</f>
        <v>0</v>
      </c>
      <c r="J337" s="32">
        <f t="shared" si="16"/>
        <v>0</v>
      </c>
      <c r="K337" s="32">
        <f t="shared" si="17"/>
        <v>568.62569999999994</v>
      </c>
      <c r="L337" s="43">
        <f>IF(C337="ES",K337*INDEX(tbl_param_emb[Valor],MATCH("P-01",tbl_param_emb[ID_Parametro],0)),0)</f>
        <v>0</v>
      </c>
      <c r="M337" s="33" t="str">
        <f>IF(B337="Tampa","Componente",IFERROR(INDEX(tbl_recyclass[Grau_PPWR_Indicativo],MATCH(A337,tbl_recyclass[ProductId],0)),""))</f>
        <v>C</v>
      </c>
    </row>
    <row r="338" spans="1:13" ht="16.05" customHeight="1" x14ac:dyDescent="0.3">
      <c r="A338" s="26" t="s">
        <v>741</v>
      </c>
      <c r="B338" s="26" t="s">
        <v>1470</v>
      </c>
      <c r="C338" s="26" t="s">
        <v>1472</v>
      </c>
      <c r="D338" s="26" t="s">
        <v>1473</v>
      </c>
      <c r="E338" s="39">
        <v>1</v>
      </c>
      <c r="F338" s="37">
        <v>12124</v>
      </c>
      <c r="G338" s="38">
        <f>IFERROR(IF(B338="Tampa",INDEX(tbl_tampas[Massa_g],MATCH(A338,tbl_tampas[CapId],0)),INDEX(tbl_recyclass[Massa_Corpo_g],MATCH(A338,tbl_recyclass[ProductId],0))),0)</f>
        <v>34.9</v>
      </c>
      <c r="H338" s="32">
        <f t="shared" si="15"/>
        <v>423.12759999999997</v>
      </c>
      <c r="I338" s="36">
        <f>IFERROR(IF(B338="Tampa",INDEX(tbl_tampas[Pct_PCR],MATCH(A338,tbl_tampas[CapId],0)),INDEX(tbl_recyclass[Pct_PCR_Corpo],MATCH(A338,tbl_recyclass[ProductId],0))),0)</f>
        <v>0</v>
      </c>
      <c r="J338" s="32">
        <f t="shared" si="16"/>
        <v>0</v>
      </c>
      <c r="K338" s="32">
        <f t="shared" si="17"/>
        <v>423.12759999999997</v>
      </c>
      <c r="L338" s="43">
        <f>IF(C338="ES",K338*INDEX(tbl_param_emb[Valor],MATCH("P-01",tbl_param_emb[ID_Parametro],0)),0)</f>
        <v>0</v>
      </c>
      <c r="M338" s="33" t="str">
        <f>IF(B338="Tampa","Componente",IFERROR(INDEX(tbl_recyclass[Grau_PPWR_Indicativo],MATCH(A338,tbl_recyclass[ProductId],0)),""))</f>
        <v>C</v>
      </c>
    </row>
    <row r="339" spans="1:13" ht="16.05" customHeight="1" x14ac:dyDescent="0.3">
      <c r="A339" s="26" t="s">
        <v>741</v>
      </c>
      <c r="B339" s="26" t="s">
        <v>1470</v>
      </c>
      <c r="C339" s="26" t="s">
        <v>1478</v>
      </c>
      <c r="D339" s="26" t="s">
        <v>1479</v>
      </c>
      <c r="E339" s="39">
        <v>1</v>
      </c>
      <c r="F339" s="37">
        <v>5051</v>
      </c>
      <c r="G339" s="38">
        <f>IFERROR(IF(B339="Tampa",INDEX(tbl_tampas[Massa_g],MATCH(A339,tbl_tampas[CapId],0)),INDEX(tbl_recyclass[Massa_Corpo_g],MATCH(A339,tbl_recyclass[ProductId],0))),0)</f>
        <v>34.9</v>
      </c>
      <c r="H339" s="32">
        <f t="shared" si="15"/>
        <v>176.2799</v>
      </c>
      <c r="I339" s="36">
        <f>IFERROR(IF(B339="Tampa",INDEX(tbl_tampas[Pct_PCR],MATCH(A339,tbl_tampas[CapId],0)),INDEX(tbl_recyclass[Pct_PCR_Corpo],MATCH(A339,tbl_recyclass[ProductId],0))),0)</f>
        <v>0</v>
      </c>
      <c r="J339" s="32">
        <f t="shared" si="16"/>
        <v>0</v>
      </c>
      <c r="K339" s="32">
        <f t="shared" si="17"/>
        <v>176.2799</v>
      </c>
      <c r="L339" s="43">
        <f>IF(C339="ES",K339*INDEX(tbl_param_emb[Valor],MATCH("P-01",tbl_param_emb[ID_Parametro],0)),0)</f>
        <v>0</v>
      </c>
      <c r="M339" s="33" t="str">
        <f>IF(B339="Tampa","Componente",IFERROR(INDEX(tbl_recyclass[Grau_PPWR_Indicativo],MATCH(A339,tbl_recyclass[ProductId],0)),""))</f>
        <v>C</v>
      </c>
    </row>
    <row r="340" spans="1:13" ht="16.05" customHeight="1" x14ac:dyDescent="0.3">
      <c r="A340" s="26" t="s">
        <v>741</v>
      </c>
      <c r="B340" s="26" t="s">
        <v>1470</v>
      </c>
      <c r="C340" s="26" t="s">
        <v>847</v>
      </c>
      <c r="D340" s="26" t="s">
        <v>1471</v>
      </c>
      <c r="E340" s="39">
        <v>6</v>
      </c>
      <c r="F340" s="37">
        <v>63989</v>
      </c>
      <c r="G340" s="38">
        <f>IFERROR(IF(B340="Tampa",INDEX(tbl_tampas[Massa_g],MATCH(A340,tbl_tampas[CapId],0)),INDEX(tbl_recyclass[Massa_Corpo_g],MATCH(A340,tbl_recyclass[ProductId],0))),0)</f>
        <v>34.9</v>
      </c>
      <c r="H340" s="32">
        <f t="shared" si="15"/>
        <v>2233.2161000000001</v>
      </c>
      <c r="I340" s="36">
        <f>IFERROR(IF(B340="Tampa",INDEX(tbl_tampas[Pct_PCR],MATCH(A340,tbl_tampas[CapId],0)),INDEX(tbl_recyclass[Pct_PCR_Corpo],MATCH(A340,tbl_recyclass[ProductId],0))),0)</f>
        <v>0</v>
      </c>
      <c r="J340" s="32">
        <f t="shared" si="16"/>
        <v>0</v>
      </c>
      <c r="K340" s="32">
        <f t="shared" si="17"/>
        <v>2233.2161000000001</v>
      </c>
      <c r="L340" s="43">
        <f>IF(C340="ES",K340*INDEX(tbl_param_emb[Valor],MATCH("P-01",tbl_param_emb[ID_Parametro],0)),0)</f>
        <v>0</v>
      </c>
      <c r="M340" s="33" t="str">
        <f>IF(B340="Tampa","Componente",IFERROR(INDEX(tbl_recyclass[Grau_PPWR_Indicativo],MATCH(A340,tbl_recyclass[ProductId],0)),""))</f>
        <v>C</v>
      </c>
    </row>
    <row r="341" spans="1:13" ht="16.05" customHeight="1" x14ac:dyDescent="0.3">
      <c r="A341" s="26" t="s">
        <v>741</v>
      </c>
      <c r="B341" s="26" t="s">
        <v>1470</v>
      </c>
      <c r="C341" s="26" t="s">
        <v>1474</v>
      </c>
      <c r="D341" s="26" t="s">
        <v>1475</v>
      </c>
      <c r="E341" s="39">
        <v>1</v>
      </c>
      <c r="F341" s="37">
        <v>2623</v>
      </c>
      <c r="G341" s="38">
        <f>IFERROR(IF(B341="Tampa",INDEX(tbl_tampas[Massa_g],MATCH(A341,tbl_tampas[CapId],0)),INDEX(tbl_recyclass[Massa_Corpo_g],MATCH(A341,tbl_recyclass[ProductId],0))),0)</f>
        <v>34.9</v>
      </c>
      <c r="H341" s="32">
        <f t="shared" si="15"/>
        <v>91.542699999999996</v>
      </c>
      <c r="I341" s="36">
        <f>IFERROR(IF(B341="Tampa",INDEX(tbl_tampas[Pct_PCR],MATCH(A341,tbl_tampas[CapId],0)),INDEX(tbl_recyclass[Pct_PCR_Corpo],MATCH(A341,tbl_recyclass[ProductId],0))),0)</f>
        <v>0</v>
      </c>
      <c r="J341" s="32">
        <f t="shared" si="16"/>
        <v>0</v>
      </c>
      <c r="K341" s="32">
        <f t="shared" si="17"/>
        <v>91.542699999999996</v>
      </c>
      <c r="L341" s="43">
        <f>IF(C341="ES",K341*INDEX(tbl_param_emb[Valor],MATCH("P-01",tbl_param_emb[ID_Parametro],0)),0)</f>
        <v>41.194215</v>
      </c>
      <c r="M341" s="33" t="str">
        <f>IF(B341="Tampa","Componente",IFERROR(INDEX(tbl_recyclass[Grau_PPWR_Indicativo],MATCH(A341,tbl_recyclass[ProductId],0)),""))</f>
        <v>C</v>
      </c>
    </row>
    <row r="342" spans="1:13" ht="16.05" customHeight="1" x14ac:dyDescent="0.3">
      <c r="A342" s="26" t="s">
        <v>777</v>
      </c>
      <c r="B342" s="26" t="s">
        <v>1470</v>
      </c>
      <c r="C342" s="26" t="s">
        <v>1476</v>
      </c>
      <c r="D342" s="26" t="s">
        <v>1477</v>
      </c>
      <c r="E342" s="39">
        <v>1</v>
      </c>
      <c r="F342" s="37">
        <v>5006</v>
      </c>
      <c r="G342" s="38">
        <f>IFERROR(IF(B342="Tampa",INDEX(tbl_tampas[Massa_g],MATCH(A342,tbl_tampas[CapId],0)),INDEX(tbl_recyclass[Massa_Corpo_g],MATCH(A342,tbl_recyclass[ProductId],0))),0)</f>
        <v>40.5</v>
      </c>
      <c r="H342" s="32">
        <f t="shared" si="15"/>
        <v>202.74299999999999</v>
      </c>
      <c r="I342" s="36">
        <f>IFERROR(IF(B342="Tampa",INDEX(tbl_tampas[Pct_PCR],MATCH(A342,tbl_tampas[CapId],0)),INDEX(tbl_recyclass[Pct_PCR_Corpo],MATCH(A342,tbl_recyclass[ProductId],0))),0)</f>
        <v>0</v>
      </c>
      <c r="J342" s="32">
        <f t="shared" si="16"/>
        <v>0</v>
      </c>
      <c r="K342" s="32">
        <f t="shared" si="17"/>
        <v>202.74299999999999</v>
      </c>
      <c r="L342" s="43">
        <f>IF(C342="ES",K342*INDEX(tbl_param_emb[Valor],MATCH("P-01",tbl_param_emb[ID_Parametro],0)),0)</f>
        <v>0</v>
      </c>
      <c r="M342" s="33" t="str">
        <f>IF(B342="Tampa","Componente",IFERROR(INDEX(tbl_recyclass[Grau_PPWR_Indicativo],MATCH(A342,tbl_recyclass[ProductId],0)),""))</f>
        <v>C</v>
      </c>
    </row>
    <row r="343" spans="1:13" ht="16.05" customHeight="1" x14ac:dyDescent="0.3">
      <c r="A343" s="26" t="s">
        <v>777</v>
      </c>
      <c r="B343" s="26" t="s">
        <v>1470</v>
      </c>
      <c r="C343" s="26" t="s">
        <v>1472</v>
      </c>
      <c r="D343" s="26" t="s">
        <v>1473</v>
      </c>
      <c r="E343" s="39">
        <v>1</v>
      </c>
      <c r="F343" s="37">
        <v>7173</v>
      </c>
      <c r="G343" s="38">
        <f>IFERROR(IF(B343="Tampa",INDEX(tbl_tampas[Massa_g],MATCH(A343,tbl_tampas[CapId],0)),INDEX(tbl_recyclass[Massa_Corpo_g],MATCH(A343,tbl_recyclass[ProductId],0))),0)</f>
        <v>40.5</v>
      </c>
      <c r="H343" s="32">
        <f t="shared" si="15"/>
        <v>290.50650000000002</v>
      </c>
      <c r="I343" s="36">
        <f>IFERROR(IF(B343="Tampa",INDEX(tbl_tampas[Pct_PCR],MATCH(A343,tbl_tampas[CapId],0)),INDEX(tbl_recyclass[Pct_PCR_Corpo],MATCH(A343,tbl_recyclass[ProductId],0))),0)</f>
        <v>0</v>
      </c>
      <c r="J343" s="32">
        <f t="shared" si="16"/>
        <v>0</v>
      </c>
      <c r="K343" s="32">
        <f t="shared" si="17"/>
        <v>290.50650000000002</v>
      </c>
      <c r="L343" s="43">
        <f>IF(C343="ES",K343*INDEX(tbl_param_emb[Valor],MATCH("P-01",tbl_param_emb[ID_Parametro],0)),0)</f>
        <v>0</v>
      </c>
      <c r="M343" s="33" t="str">
        <f>IF(B343="Tampa","Componente",IFERROR(INDEX(tbl_recyclass[Grau_PPWR_Indicativo],MATCH(A343,tbl_recyclass[ProductId],0)),""))</f>
        <v>C</v>
      </c>
    </row>
    <row r="344" spans="1:13" ht="16.05" customHeight="1" x14ac:dyDescent="0.3">
      <c r="A344" s="26" t="s">
        <v>777</v>
      </c>
      <c r="B344" s="26" t="s">
        <v>1470</v>
      </c>
      <c r="C344" s="26" t="s">
        <v>1478</v>
      </c>
      <c r="D344" s="26" t="s">
        <v>1479</v>
      </c>
      <c r="E344" s="39">
        <v>1</v>
      </c>
      <c r="F344" s="37">
        <v>2473</v>
      </c>
      <c r="G344" s="38">
        <f>IFERROR(IF(B344="Tampa",INDEX(tbl_tampas[Massa_g],MATCH(A344,tbl_tampas[CapId],0)),INDEX(tbl_recyclass[Massa_Corpo_g],MATCH(A344,tbl_recyclass[ProductId],0))),0)</f>
        <v>40.5</v>
      </c>
      <c r="H344" s="32">
        <f t="shared" si="15"/>
        <v>100.15649999999999</v>
      </c>
      <c r="I344" s="36">
        <f>IFERROR(IF(B344="Tampa",INDEX(tbl_tampas[Pct_PCR],MATCH(A344,tbl_tampas[CapId],0)),INDEX(tbl_recyclass[Pct_PCR_Corpo],MATCH(A344,tbl_recyclass[ProductId],0))),0)</f>
        <v>0</v>
      </c>
      <c r="J344" s="32">
        <f t="shared" si="16"/>
        <v>0</v>
      </c>
      <c r="K344" s="32">
        <f t="shared" si="17"/>
        <v>100.15649999999999</v>
      </c>
      <c r="L344" s="43">
        <f>IF(C344="ES",K344*INDEX(tbl_param_emb[Valor],MATCH("P-01",tbl_param_emb[ID_Parametro],0)),0)</f>
        <v>0</v>
      </c>
      <c r="M344" s="33" t="str">
        <f>IF(B344="Tampa","Componente",IFERROR(INDEX(tbl_recyclass[Grau_PPWR_Indicativo],MATCH(A344,tbl_recyclass[ProductId],0)),""))</f>
        <v>C</v>
      </c>
    </row>
    <row r="345" spans="1:13" ht="16.05" customHeight="1" x14ac:dyDescent="0.3">
      <c r="A345" s="26" t="s">
        <v>777</v>
      </c>
      <c r="B345" s="26" t="s">
        <v>1470</v>
      </c>
      <c r="C345" s="26" t="s">
        <v>1480</v>
      </c>
      <c r="D345" s="26" t="s">
        <v>1481</v>
      </c>
      <c r="E345" s="39">
        <v>1</v>
      </c>
      <c r="F345" s="37">
        <v>3814</v>
      </c>
      <c r="G345" s="38">
        <f>IFERROR(IF(B345="Tampa",INDEX(tbl_tampas[Massa_g],MATCH(A345,tbl_tampas[CapId],0)),INDEX(tbl_recyclass[Massa_Corpo_g],MATCH(A345,tbl_recyclass[ProductId],0))),0)</f>
        <v>40.5</v>
      </c>
      <c r="H345" s="32">
        <f t="shared" si="15"/>
        <v>154.46700000000001</v>
      </c>
      <c r="I345" s="36">
        <f>IFERROR(IF(B345="Tampa",INDEX(tbl_tampas[Pct_PCR],MATCH(A345,tbl_tampas[CapId],0)),INDEX(tbl_recyclass[Pct_PCR_Corpo],MATCH(A345,tbl_recyclass[ProductId],0))),0)</f>
        <v>0</v>
      </c>
      <c r="J345" s="32">
        <f t="shared" si="16"/>
        <v>0</v>
      </c>
      <c r="K345" s="32">
        <f t="shared" si="17"/>
        <v>154.46700000000001</v>
      </c>
      <c r="L345" s="43">
        <f>IF(C345="ES",K345*INDEX(tbl_param_emb[Valor],MATCH("P-01",tbl_param_emb[ID_Parametro],0)),0)</f>
        <v>0</v>
      </c>
      <c r="M345" s="33" t="str">
        <f>IF(B345="Tampa","Componente",IFERROR(INDEX(tbl_recyclass[Grau_PPWR_Indicativo],MATCH(A345,tbl_recyclass[ProductId],0)),""))</f>
        <v>C</v>
      </c>
    </row>
    <row r="346" spans="1:13" ht="16.05" customHeight="1" x14ac:dyDescent="0.3">
      <c r="A346" s="26" t="s">
        <v>777</v>
      </c>
      <c r="B346" s="26" t="s">
        <v>1470</v>
      </c>
      <c r="C346" s="26" t="s">
        <v>847</v>
      </c>
      <c r="D346" s="26" t="s">
        <v>1471</v>
      </c>
      <c r="E346" s="39">
        <v>7</v>
      </c>
      <c r="F346" s="37">
        <v>47639</v>
      </c>
      <c r="G346" s="38">
        <f>IFERROR(IF(B346="Tampa",INDEX(tbl_tampas[Massa_g],MATCH(A346,tbl_tampas[CapId],0)),INDEX(tbl_recyclass[Massa_Corpo_g],MATCH(A346,tbl_recyclass[ProductId],0))),0)</f>
        <v>40.5</v>
      </c>
      <c r="H346" s="32">
        <f t="shared" si="15"/>
        <v>1929.3795</v>
      </c>
      <c r="I346" s="36">
        <f>IFERROR(IF(B346="Tampa",INDEX(tbl_tampas[Pct_PCR],MATCH(A346,tbl_tampas[CapId],0)),INDEX(tbl_recyclass[Pct_PCR_Corpo],MATCH(A346,tbl_recyclass[ProductId],0))),0)</f>
        <v>0</v>
      </c>
      <c r="J346" s="32">
        <f t="shared" si="16"/>
        <v>0</v>
      </c>
      <c r="K346" s="32">
        <f t="shared" si="17"/>
        <v>1929.3795</v>
      </c>
      <c r="L346" s="43">
        <f>IF(C346="ES",K346*INDEX(tbl_param_emb[Valor],MATCH("P-01",tbl_param_emb[ID_Parametro],0)),0)</f>
        <v>0</v>
      </c>
      <c r="M346" s="33" t="str">
        <f>IF(B346="Tampa","Componente",IFERROR(INDEX(tbl_recyclass[Grau_PPWR_Indicativo],MATCH(A346,tbl_recyclass[ProductId],0)),""))</f>
        <v>C</v>
      </c>
    </row>
    <row r="347" spans="1:13" ht="16.05" customHeight="1" x14ac:dyDescent="0.3">
      <c r="A347" s="26" t="s">
        <v>777</v>
      </c>
      <c r="B347" s="26" t="s">
        <v>1470</v>
      </c>
      <c r="C347" s="26" t="s">
        <v>1474</v>
      </c>
      <c r="D347" s="26" t="s">
        <v>1475</v>
      </c>
      <c r="E347" s="39">
        <v>2</v>
      </c>
      <c r="F347" s="37">
        <v>19162</v>
      </c>
      <c r="G347" s="38">
        <f>IFERROR(IF(B347="Tampa",INDEX(tbl_tampas[Massa_g],MATCH(A347,tbl_tampas[CapId],0)),INDEX(tbl_recyclass[Massa_Corpo_g],MATCH(A347,tbl_recyclass[ProductId],0))),0)</f>
        <v>40.5</v>
      </c>
      <c r="H347" s="32">
        <f t="shared" si="15"/>
        <v>776.06100000000004</v>
      </c>
      <c r="I347" s="36">
        <f>IFERROR(IF(B347="Tampa",INDEX(tbl_tampas[Pct_PCR],MATCH(A347,tbl_tampas[CapId],0)),INDEX(tbl_recyclass[Pct_PCR_Corpo],MATCH(A347,tbl_recyclass[ProductId],0))),0)</f>
        <v>0</v>
      </c>
      <c r="J347" s="32">
        <f t="shared" si="16"/>
        <v>0</v>
      </c>
      <c r="K347" s="32">
        <f t="shared" si="17"/>
        <v>776.06100000000004</v>
      </c>
      <c r="L347" s="43">
        <f>IF(C347="ES",K347*INDEX(tbl_param_emb[Valor],MATCH("P-01",tbl_param_emb[ID_Parametro],0)),0)</f>
        <v>349.22745000000003</v>
      </c>
      <c r="M347" s="33" t="str">
        <f>IF(B347="Tampa","Componente",IFERROR(INDEX(tbl_recyclass[Grau_PPWR_Indicativo],MATCH(A347,tbl_recyclass[ProductId],0)),""))</f>
        <v>C</v>
      </c>
    </row>
    <row r="348" spans="1:13" ht="16.05" customHeight="1" x14ac:dyDescent="0.3">
      <c r="A348" s="26" t="s">
        <v>779</v>
      </c>
      <c r="B348" s="26" t="s">
        <v>1470</v>
      </c>
      <c r="C348" s="26" t="s">
        <v>1472</v>
      </c>
      <c r="D348" s="26" t="s">
        <v>1473</v>
      </c>
      <c r="E348" s="39">
        <v>1</v>
      </c>
      <c r="F348" s="37">
        <v>5802</v>
      </c>
      <c r="G348" s="38">
        <f>IFERROR(IF(B348="Tampa",INDEX(tbl_tampas[Massa_g],MATCH(A348,tbl_tampas[CapId],0)),INDEX(tbl_recyclass[Massa_Corpo_g],MATCH(A348,tbl_recyclass[ProductId],0))),0)</f>
        <v>40.5</v>
      </c>
      <c r="H348" s="32">
        <f t="shared" si="15"/>
        <v>234.98099999999999</v>
      </c>
      <c r="I348" s="36">
        <f>IFERROR(IF(B348="Tampa",INDEX(tbl_tampas[Pct_PCR],MATCH(A348,tbl_tampas[CapId],0)),INDEX(tbl_recyclass[Pct_PCR_Corpo],MATCH(A348,tbl_recyclass[ProductId],0))),0)</f>
        <v>0</v>
      </c>
      <c r="J348" s="32">
        <f t="shared" si="16"/>
        <v>0</v>
      </c>
      <c r="K348" s="32">
        <f t="shared" si="17"/>
        <v>234.98099999999999</v>
      </c>
      <c r="L348" s="43">
        <f>IF(C348="ES",K348*INDEX(tbl_param_emb[Valor],MATCH("P-01",tbl_param_emb[ID_Parametro],0)),0)</f>
        <v>0</v>
      </c>
      <c r="M348" s="33" t="str">
        <f>IF(B348="Tampa","Componente",IFERROR(INDEX(tbl_recyclass[Grau_PPWR_Indicativo],MATCH(A348,tbl_recyclass[ProductId],0)),""))</f>
        <v>Não reciclável (F)</v>
      </c>
    </row>
    <row r="349" spans="1:13" ht="16.05" customHeight="1" x14ac:dyDescent="0.3">
      <c r="A349" s="26" t="s">
        <v>779</v>
      </c>
      <c r="B349" s="26" t="s">
        <v>1470</v>
      </c>
      <c r="C349" s="26" t="s">
        <v>847</v>
      </c>
      <c r="D349" s="26" t="s">
        <v>1471</v>
      </c>
      <c r="E349" s="39">
        <v>4</v>
      </c>
      <c r="F349" s="37">
        <v>32171</v>
      </c>
      <c r="G349" s="38">
        <f>IFERROR(IF(B349="Tampa",INDEX(tbl_tampas[Massa_g],MATCH(A349,tbl_tampas[CapId],0)),INDEX(tbl_recyclass[Massa_Corpo_g],MATCH(A349,tbl_recyclass[ProductId],0))),0)</f>
        <v>40.5</v>
      </c>
      <c r="H349" s="32">
        <f t="shared" si="15"/>
        <v>1302.9255000000001</v>
      </c>
      <c r="I349" s="36">
        <f>IFERROR(IF(B349="Tampa",INDEX(tbl_tampas[Pct_PCR],MATCH(A349,tbl_tampas[CapId],0)),INDEX(tbl_recyclass[Pct_PCR_Corpo],MATCH(A349,tbl_recyclass[ProductId],0))),0)</f>
        <v>0</v>
      </c>
      <c r="J349" s="32">
        <f t="shared" si="16"/>
        <v>0</v>
      </c>
      <c r="K349" s="32">
        <f t="shared" si="17"/>
        <v>1302.9255000000001</v>
      </c>
      <c r="L349" s="43">
        <f>IF(C349="ES",K349*INDEX(tbl_param_emb[Valor],MATCH("P-01",tbl_param_emb[ID_Parametro],0)),0)</f>
        <v>0</v>
      </c>
      <c r="M349" s="33" t="str">
        <f>IF(B349="Tampa","Componente",IFERROR(INDEX(tbl_recyclass[Grau_PPWR_Indicativo],MATCH(A349,tbl_recyclass[ProductId],0)),""))</f>
        <v>Não reciclável (F)</v>
      </c>
    </row>
    <row r="350" spans="1:13" ht="16.05" customHeight="1" x14ac:dyDescent="0.3">
      <c r="A350" s="26" t="s">
        <v>779</v>
      </c>
      <c r="B350" s="26" t="s">
        <v>1470</v>
      </c>
      <c r="C350" s="26" t="s">
        <v>1474</v>
      </c>
      <c r="D350" s="26" t="s">
        <v>1475</v>
      </c>
      <c r="E350" s="39">
        <v>1</v>
      </c>
      <c r="F350" s="37">
        <v>3475</v>
      </c>
      <c r="G350" s="38">
        <f>IFERROR(IF(B350="Tampa",INDEX(tbl_tampas[Massa_g],MATCH(A350,tbl_tampas[CapId],0)),INDEX(tbl_recyclass[Massa_Corpo_g],MATCH(A350,tbl_recyclass[ProductId],0))),0)</f>
        <v>40.5</v>
      </c>
      <c r="H350" s="32">
        <f t="shared" si="15"/>
        <v>140.73750000000001</v>
      </c>
      <c r="I350" s="36">
        <f>IFERROR(IF(B350="Tampa",INDEX(tbl_tampas[Pct_PCR],MATCH(A350,tbl_tampas[CapId],0)),INDEX(tbl_recyclass[Pct_PCR_Corpo],MATCH(A350,tbl_recyclass[ProductId],0))),0)</f>
        <v>0</v>
      </c>
      <c r="J350" s="32">
        <f t="shared" si="16"/>
        <v>0</v>
      </c>
      <c r="K350" s="32">
        <f t="shared" si="17"/>
        <v>140.73750000000001</v>
      </c>
      <c r="L350" s="43">
        <f>IF(C350="ES",K350*INDEX(tbl_param_emb[Valor],MATCH("P-01",tbl_param_emb[ID_Parametro],0)),0)</f>
        <v>63.331875000000004</v>
      </c>
      <c r="M350" s="33" t="str">
        <f>IF(B350="Tampa","Componente",IFERROR(INDEX(tbl_recyclass[Grau_PPWR_Indicativo],MATCH(A350,tbl_recyclass[ProductId],0)),""))</f>
        <v>Não reciclável (F)</v>
      </c>
    </row>
    <row r="351" spans="1:13" ht="16.05" customHeight="1" x14ac:dyDescent="0.3">
      <c r="A351" s="26" t="s">
        <v>783</v>
      </c>
      <c r="B351" s="26" t="s">
        <v>1470</v>
      </c>
      <c r="C351" s="26" t="s">
        <v>1476</v>
      </c>
      <c r="D351" s="26" t="s">
        <v>1477</v>
      </c>
      <c r="E351" s="39">
        <v>1</v>
      </c>
      <c r="F351" s="37">
        <v>13344</v>
      </c>
      <c r="G351" s="38">
        <f>IFERROR(IF(B351="Tampa",INDEX(tbl_tampas[Massa_g],MATCH(A351,tbl_tampas[CapId],0)),INDEX(tbl_recyclass[Massa_Corpo_g],MATCH(A351,tbl_recyclass[ProductId],0))),0)</f>
        <v>40.5</v>
      </c>
      <c r="H351" s="32">
        <f t="shared" si="15"/>
        <v>540.43200000000002</v>
      </c>
      <c r="I351" s="36">
        <f>IFERROR(IF(B351="Tampa",INDEX(tbl_tampas[Pct_PCR],MATCH(A351,tbl_tampas[CapId],0)),INDEX(tbl_recyclass[Pct_PCR_Corpo],MATCH(A351,tbl_recyclass[ProductId],0))),0)</f>
        <v>0</v>
      </c>
      <c r="J351" s="32">
        <f t="shared" si="16"/>
        <v>0</v>
      </c>
      <c r="K351" s="32">
        <f t="shared" si="17"/>
        <v>540.43200000000002</v>
      </c>
      <c r="L351" s="43">
        <f>IF(C351="ES",K351*INDEX(tbl_param_emb[Valor],MATCH("P-01",tbl_param_emb[ID_Parametro],0)),0)</f>
        <v>0</v>
      </c>
      <c r="M351" s="33" t="str">
        <f>IF(B351="Tampa","Componente",IFERROR(INDEX(tbl_recyclass[Grau_PPWR_Indicativo],MATCH(A351,tbl_recyclass[ProductId],0)),""))</f>
        <v>A</v>
      </c>
    </row>
    <row r="352" spans="1:13" ht="16.05" customHeight="1" x14ac:dyDescent="0.3">
      <c r="A352" s="26" t="s">
        <v>783</v>
      </c>
      <c r="B352" s="26" t="s">
        <v>1470</v>
      </c>
      <c r="C352" s="26" t="s">
        <v>1472</v>
      </c>
      <c r="D352" s="26" t="s">
        <v>1473</v>
      </c>
      <c r="E352" s="39">
        <v>1</v>
      </c>
      <c r="F352" s="37">
        <v>3945</v>
      </c>
      <c r="G352" s="38">
        <f>IFERROR(IF(B352="Tampa",INDEX(tbl_tampas[Massa_g],MATCH(A352,tbl_tampas[CapId],0)),INDEX(tbl_recyclass[Massa_Corpo_g],MATCH(A352,tbl_recyclass[ProductId],0))),0)</f>
        <v>40.5</v>
      </c>
      <c r="H352" s="32">
        <f t="shared" si="15"/>
        <v>159.77250000000001</v>
      </c>
      <c r="I352" s="36">
        <f>IFERROR(IF(B352="Tampa",INDEX(tbl_tampas[Pct_PCR],MATCH(A352,tbl_tampas[CapId],0)),INDEX(tbl_recyclass[Pct_PCR_Corpo],MATCH(A352,tbl_recyclass[ProductId],0))),0)</f>
        <v>0</v>
      </c>
      <c r="J352" s="32">
        <f t="shared" si="16"/>
        <v>0</v>
      </c>
      <c r="K352" s="32">
        <f t="shared" si="17"/>
        <v>159.77250000000001</v>
      </c>
      <c r="L352" s="43">
        <f>IF(C352="ES",K352*INDEX(tbl_param_emb[Valor],MATCH("P-01",tbl_param_emb[ID_Parametro],0)),0)</f>
        <v>0</v>
      </c>
      <c r="M352" s="33" t="str">
        <f>IF(B352="Tampa","Componente",IFERROR(INDEX(tbl_recyclass[Grau_PPWR_Indicativo],MATCH(A352,tbl_recyclass[ProductId],0)),""))</f>
        <v>A</v>
      </c>
    </row>
    <row r="353" spans="1:13" ht="16.05" customHeight="1" x14ac:dyDescent="0.3">
      <c r="A353" s="26" t="s">
        <v>783</v>
      </c>
      <c r="B353" s="26" t="s">
        <v>1470</v>
      </c>
      <c r="C353" s="26" t="s">
        <v>1478</v>
      </c>
      <c r="D353" s="26" t="s">
        <v>1479</v>
      </c>
      <c r="E353" s="39">
        <v>1</v>
      </c>
      <c r="F353" s="37">
        <v>4531</v>
      </c>
      <c r="G353" s="38">
        <f>IFERROR(IF(B353="Tampa",INDEX(tbl_tampas[Massa_g],MATCH(A353,tbl_tampas[CapId],0)),INDEX(tbl_recyclass[Massa_Corpo_g],MATCH(A353,tbl_recyclass[ProductId],0))),0)</f>
        <v>40.5</v>
      </c>
      <c r="H353" s="32">
        <f t="shared" si="15"/>
        <v>183.50550000000001</v>
      </c>
      <c r="I353" s="36">
        <f>IFERROR(IF(B353="Tampa",INDEX(tbl_tampas[Pct_PCR],MATCH(A353,tbl_tampas[CapId],0)),INDEX(tbl_recyclass[Pct_PCR_Corpo],MATCH(A353,tbl_recyclass[ProductId],0))),0)</f>
        <v>0</v>
      </c>
      <c r="J353" s="32">
        <f t="shared" si="16"/>
        <v>0</v>
      </c>
      <c r="K353" s="32">
        <f t="shared" si="17"/>
        <v>183.50550000000001</v>
      </c>
      <c r="L353" s="43">
        <f>IF(C353="ES",K353*INDEX(tbl_param_emb[Valor],MATCH("P-01",tbl_param_emb[ID_Parametro],0)),0)</f>
        <v>0</v>
      </c>
      <c r="M353" s="33" t="str">
        <f>IF(B353="Tampa","Componente",IFERROR(INDEX(tbl_recyclass[Grau_PPWR_Indicativo],MATCH(A353,tbl_recyclass[ProductId],0)),""))</f>
        <v>A</v>
      </c>
    </row>
    <row r="354" spans="1:13" ht="16.05" customHeight="1" x14ac:dyDescent="0.3">
      <c r="A354" s="26" t="s">
        <v>783</v>
      </c>
      <c r="B354" s="26" t="s">
        <v>1470</v>
      </c>
      <c r="C354" s="26" t="s">
        <v>1480</v>
      </c>
      <c r="D354" s="26" t="s">
        <v>1481</v>
      </c>
      <c r="E354" s="39">
        <v>1</v>
      </c>
      <c r="F354" s="37">
        <v>10344</v>
      </c>
      <c r="G354" s="38">
        <f>IFERROR(IF(B354="Tampa",INDEX(tbl_tampas[Massa_g],MATCH(A354,tbl_tampas[CapId],0)),INDEX(tbl_recyclass[Massa_Corpo_g],MATCH(A354,tbl_recyclass[ProductId],0))),0)</f>
        <v>40.5</v>
      </c>
      <c r="H354" s="32">
        <f t="shared" si="15"/>
        <v>418.93200000000002</v>
      </c>
      <c r="I354" s="36">
        <f>IFERROR(IF(B354="Tampa",INDEX(tbl_tampas[Pct_PCR],MATCH(A354,tbl_tampas[CapId],0)),INDEX(tbl_recyclass[Pct_PCR_Corpo],MATCH(A354,tbl_recyclass[ProductId],0))),0)</f>
        <v>0</v>
      </c>
      <c r="J354" s="32">
        <f t="shared" si="16"/>
        <v>0</v>
      </c>
      <c r="K354" s="32">
        <f t="shared" si="17"/>
        <v>418.93200000000002</v>
      </c>
      <c r="L354" s="43">
        <f>IF(C354="ES",K354*INDEX(tbl_param_emb[Valor],MATCH("P-01",tbl_param_emb[ID_Parametro],0)),0)</f>
        <v>0</v>
      </c>
      <c r="M354" s="33" t="str">
        <f>IF(B354="Tampa","Componente",IFERROR(INDEX(tbl_recyclass[Grau_PPWR_Indicativo],MATCH(A354,tbl_recyclass[ProductId],0)),""))</f>
        <v>A</v>
      </c>
    </row>
    <row r="355" spans="1:13" ht="16.05" customHeight="1" x14ac:dyDescent="0.3">
      <c r="A355" s="26" t="s">
        <v>783</v>
      </c>
      <c r="B355" s="26" t="s">
        <v>1470</v>
      </c>
      <c r="C355" s="26" t="s">
        <v>847</v>
      </c>
      <c r="D355" s="26" t="s">
        <v>1471</v>
      </c>
      <c r="E355" s="39">
        <v>6</v>
      </c>
      <c r="F355" s="37">
        <v>47234</v>
      </c>
      <c r="G355" s="38">
        <f>IFERROR(IF(B355="Tampa",INDEX(tbl_tampas[Massa_g],MATCH(A355,tbl_tampas[CapId],0)),INDEX(tbl_recyclass[Massa_Corpo_g],MATCH(A355,tbl_recyclass[ProductId],0))),0)</f>
        <v>40.5</v>
      </c>
      <c r="H355" s="32">
        <f t="shared" si="15"/>
        <v>1912.9770000000001</v>
      </c>
      <c r="I355" s="36">
        <f>IFERROR(IF(B355="Tampa",INDEX(tbl_tampas[Pct_PCR],MATCH(A355,tbl_tampas[CapId],0)),INDEX(tbl_recyclass[Pct_PCR_Corpo],MATCH(A355,tbl_recyclass[ProductId],0))),0)</f>
        <v>0</v>
      </c>
      <c r="J355" s="32">
        <f t="shared" si="16"/>
        <v>0</v>
      </c>
      <c r="K355" s="32">
        <f t="shared" si="17"/>
        <v>1912.9770000000001</v>
      </c>
      <c r="L355" s="43">
        <f>IF(C355="ES",K355*INDEX(tbl_param_emb[Valor],MATCH("P-01",tbl_param_emb[ID_Parametro],0)),0)</f>
        <v>0</v>
      </c>
      <c r="M355" s="33" t="str">
        <f>IF(B355="Tampa","Componente",IFERROR(INDEX(tbl_recyclass[Grau_PPWR_Indicativo],MATCH(A355,tbl_recyclass[ProductId],0)),""))</f>
        <v>A</v>
      </c>
    </row>
    <row r="356" spans="1:13" ht="16.05" customHeight="1" x14ac:dyDescent="0.3">
      <c r="A356" s="26" t="s">
        <v>783</v>
      </c>
      <c r="B356" s="26" t="s">
        <v>1470</v>
      </c>
      <c r="C356" s="26" t="s">
        <v>1474</v>
      </c>
      <c r="D356" s="26" t="s">
        <v>1475</v>
      </c>
      <c r="E356" s="39">
        <v>2</v>
      </c>
      <c r="F356" s="37">
        <v>13578</v>
      </c>
      <c r="G356" s="38">
        <f>IFERROR(IF(B356="Tampa",INDEX(tbl_tampas[Massa_g],MATCH(A356,tbl_tampas[CapId],0)),INDEX(tbl_recyclass[Massa_Corpo_g],MATCH(A356,tbl_recyclass[ProductId],0))),0)</f>
        <v>40.5</v>
      </c>
      <c r="H356" s="32">
        <f t="shared" si="15"/>
        <v>549.90899999999999</v>
      </c>
      <c r="I356" s="36">
        <f>IFERROR(IF(B356="Tampa",INDEX(tbl_tampas[Pct_PCR],MATCH(A356,tbl_tampas[CapId],0)),INDEX(tbl_recyclass[Pct_PCR_Corpo],MATCH(A356,tbl_recyclass[ProductId],0))),0)</f>
        <v>0</v>
      </c>
      <c r="J356" s="32">
        <f t="shared" si="16"/>
        <v>0</v>
      </c>
      <c r="K356" s="32">
        <f t="shared" si="17"/>
        <v>549.90899999999999</v>
      </c>
      <c r="L356" s="43">
        <f>IF(C356="ES",K356*INDEX(tbl_param_emb[Valor],MATCH("P-01",tbl_param_emb[ID_Parametro],0)),0)</f>
        <v>247.45904999999999</v>
      </c>
      <c r="M356" s="33" t="str">
        <f>IF(B356="Tampa","Componente",IFERROR(INDEX(tbl_recyclass[Grau_PPWR_Indicativo],MATCH(A356,tbl_recyclass[ProductId],0)),""))</f>
        <v>A</v>
      </c>
    </row>
    <row r="357" spans="1:13" ht="16.05" customHeight="1" x14ac:dyDescent="0.3">
      <c r="A357" s="26" t="s">
        <v>787</v>
      </c>
      <c r="B357" s="26" t="s">
        <v>1470</v>
      </c>
      <c r="C357" s="26" t="s">
        <v>1480</v>
      </c>
      <c r="D357" s="26" t="s">
        <v>1481</v>
      </c>
      <c r="E357" s="39">
        <v>1</v>
      </c>
      <c r="F357" s="37">
        <v>7576</v>
      </c>
      <c r="G357" s="38">
        <f>IFERROR(IF(B357="Tampa",INDEX(tbl_tampas[Massa_g],MATCH(A357,tbl_tampas[CapId],0)),INDEX(tbl_recyclass[Massa_Corpo_g],MATCH(A357,tbl_recyclass[ProductId],0))),0)</f>
        <v>40.5</v>
      </c>
      <c r="H357" s="32">
        <f t="shared" si="15"/>
        <v>306.82799999999997</v>
      </c>
      <c r="I357" s="36">
        <f>IFERROR(IF(B357="Tampa",INDEX(tbl_tampas[Pct_PCR],MATCH(A357,tbl_tampas[CapId],0)),INDEX(tbl_recyclass[Pct_PCR_Corpo],MATCH(A357,tbl_recyclass[ProductId],0))),0)</f>
        <v>0</v>
      </c>
      <c r="J357" s="32">
        <f t="shared" si="16"/>
        <v>0</v>
      </c>
      <c r="K357" s="32">
        <f t="shared" si="17"/>
        <v>306.82799999999997</v>
      </c>
      <c r="L357" s="43">
        <f>IF(C357="ES",K357*INDEX(tbl_param_emb[Valor],MATCH("P-01",tbl_param_emb[ID_Parametro],0)),0)</f>
        <v>0</v>
      </c>
      <c r="M357" s="33" t="str">
        <f>IF(B357="Tampa","Componente",IFERROR(INDEX(tbl_recyclass[Grau_PPWR_Indicativo],MATCH(A357,tbl_recyclass[ProductId],0)),""))</f>
        <v>Não reciclável (F)</v>
      </c>
    </row>
    <row r="358" spans="1:13" ht="16.05" customHeight="1" x14ac:dyDescent="0.3">
      <c r="A358" s="26" t="s">
        <v>787</v>
      </c>
      <c r="B358" s="26" t="s">
        <v>1470</v>
      </c>
      <c r="C358" s="26" t="s">
        <v>847</v>
      </c>
      <c r="D358" s="26" t="s">
        <v>1471</v>
      </c>
      <c r="E358" s="39">
        <v>4</v>
      </c>
      <c r="F358" s="37">
        <v>37160</v>
      </c>
      <c r="G358" s="38">
        <f>IFERROR(IF(B358="Tampa",INDEX(tbl_tampas[Massa_g],MATCH(A358,tbl_tampas[CapId],0)),INDEX(tbl_recyclass[Massa_Corpo_g],MATCH(A358,tbl_recyclass[ProductId],0))),0)</f>
        <v>40.5</v>
      </c>
      <c r="H358" s="32">
        <f t="shared" si="15"/>
        <v>1504.98</v>
      </c>
      <c r="I358" s="36">
        <f>IFERROR(IF(B358="Tampa",INDEX(tbl_tampas[Pct_PCR],MATCH(A358,tbl_tampas[CapId],0)),INDEX(tbl_recyclass[Pct_PCR_Corpo],MATCH(A358,tbl_recyclass[ProductId],0))),0)</f>
        <v>0</v>
      </c>
      <c r="J358" s="32">
        <f t="shared" si="16"/>
        <v>0</v>
      </c>
      <c r="K358" s="32">
        <f t="shared" si="17"/>
        <v>1504.98</v>
      </c>
      <c r="L358" s="43">
        <f>IF(C358="ES",K358*INDEX(tbl_param_emb[Valor],MATCH("P-01",tbl_param_emb[ID_Parametro],0)),0)</f>
        <v>0</v>
      </c>
      <c r="M358" s="33" t="str">
        <f>IF(B358="Tampa","Componente",IFERROR(INDEX(tbl_recyclass[Grau_PPWR_Indicativo],MATCH(A358,tbl_recyclass[ProductId],0)),""))</f>
        <v>Não reciclável (F)</v>
      </c>
    </row>
    <row r="359" spans="1:13" ht="16.05" customHeight="1" x14ac:dyDescent="0.3">
      <c r="A359" s="26" t="s">
        <v>787</v>
      </c>
      <c r="B359" s="26" t="s">
        <v>1470</v>
      </c>
      <c r="C359" s="26" t="s">
        <v>1474</v>
      </c>
      <c r="D359" s="26" t="s">
        <v>1475</v>
      </c>
      <c r="E359" s="39">
        <v>1</v>
      </c>
      <c r="F359" s="37">
        <v>7997</v>
      </c>
      <c r="G359" s="38">
        <f>IFERROR(IF(B359="Tampa",INDEX(tbl_tampas[Massa_g],MATCH(A359,tbl_tampas[CapId],0)),INDEX(tbl_recyclass[Massa_Corpo_g],MATCH(A359,tbl_recyclass[ProductId],0))),0)</f>
        <v>40.5</v>
      </c>
      <c r="H359" s="32">
        <f t="shared" si="15"/>
        <v>323.87849999999997</v>
      </c>
      <c r="I359" s="36">
        <f>IFERROR(IF(B359="Tampa",INDEX(tbl_tampas[Pct_PCR],MATCH(A359,tbl_tampas[CapId],0)),INDEX(tbl_recyclass[Pct_PCR_Corpo],MATCH(A359,tbl_recyclass[ProductId],0))),0)</f>
        <v>0</v>
      </c>
      <c r="J359" s="32">
        <f t="shared" si="16"/>
        <v>0</v>
      </c>
      <c r="K359" s="32">
        <f t="shared" si="17"/>
        <v>323.87849999999997</v>
      </c>
      <c r="L359" s="43">
        <f>IF(C359="ES",K359*INDEX(tbl_param_emb[Valor],MATCH("P-01",tbl_param_emb[ID_Parametro],0)),0)</f>
        <v>145.74532499999998</v>
      </c>
      <c r="M359" s="33" t="str">
        <f>IF(B359="Tampa","Componente",IFERROR(INDEX(tbl_recyclass[Grau_PPWR_Indicativo],MATCH(A359,tbl_recyclass[ProductId],0)),""))</f>
        <v>Não reciclável (F)</v>
      </c>
    </row>
    <row r="360" spans="1:13" ht="16.05" customHeight="1" x14ac:dyDescent="0.3">
      <c r="A360" s="26" t="s">
        <v>758</v>
      </c>
      <c r="B360" s="26" t="s">
        <v>1470</v>
      </c>
      <c r="C360" s="26" t="s">
        <v>1472</v>
      </c>
      <c r="D360" s="26" t="s">
        <v>1473</v>
      </c>
      <c r="E360" s="39">
        <v>1</v>
      </c>
      <c r="F360" s="37">
        <v>17331</v>
      </c>
      <c r="G360" s="38">
        <f>IFERROR(IF(B360="Tampa",INDEX(tbl_tampas[Massa_g],MATCH(A360,tbl_tampas[CapId],0)),INDEX(tbl_recyclass[Massa_Corpo_g],MATCH(A360,tbl_recyclass[ProductId],0))),0)</f>
        <v>34.9</v>
      </c>
      <c r="H360" s="32">
        <f t="shared" si="15"/>
        <v>604.8519</v>
      </c>
      <c r="I360" s="36">
        <f>IFERROR(IF(B360="Tampa",INDEX(tbl_tampas[Pct_PCR],MATCH(A360,tbl_tampas[CapId],0)),INDEX(tbl_recyclass[Pct_PCR_Corpo],MATCH(A360,tbl_recyclass[ProductId],0))),0)</f>
        <v>0.5</v>
      </c>
      <c r="J360" s="32">
        <f t="shared" si="16"/>
        <v>302.42595</v>
      </c>
      <c r="K360" s="32">
        <f t="shared" si="17"/>
        <v>302.42595</v>
      </c>
      <c r="L360" s="43">
        <f>IF(C360="ES",K360*INDEX(tbl_param_emb[Valor],MATCH("P-01",tbl_param_emb[ID_Parametro],0)),0)</f>
        <v>0</v>
      </c>
      <c r="M360" s="33" t="str">
        <f>IF(B360="Tampa","Componente",IFERROR(INDEX(tbl_recyclass[Grau_PPWR_Indicativo],MATCH(A360,tbl_recyclass[ProductId],0)),""))</f>
        <v>A</v>
      </c>
    </row>
    <row r="361" spans="1:13" ht="16.05" customHeight="1" x14ac:dyDescent="0.3">
      <c r="A361" s="26" t="s">
        <v>758</v>
      </c>
      <c r="B361" s="26" t="s">
        <v>1470</v>
      </c>
      <c r="C361" s="26" t="s">
        <v>847</v>
      </c>
      <c r="D361" s="26" t="s">
        <v>1471</v>
      </c>
      <c r="E361" s="39">
        <v>5</v>
      </c>
      <c r="F361" s="37">
        <v>43198</v>
      </c>
      <c r="G361" s="38">
        <f>IFERROR(IF(B361="Tampa",INDEX(tbl_tampas[Massa_g],MATCH(A361,tbl_tampas[CapId],0)),INDEX(tbl_recyclass[Massa_Corpo_g],MATCH(A361,tbl_recyclass[ProductId],0))),0)</f>
        <v>34.9</v>
      </c>
      <c r="H361" s="32">
        <f t="shared" si="15"/>
        <v>1507.6101999999998</v>
      </c>
      <c r="I361" s="36">
        <f>IFERROR(IF(B361="Tampa",INDEX(tbl_tampas[Pct_PCR],MATCH(A361,tbl_tampas[CapId],0)),INDEX(tbl_recyclass[Pct_PCR_Corpo],MATCH(A361,tbl_recyclass[ProductId],0))),0)</f>
        <v>0.5</v>
      </c>
      <c r="J361" s="32">
        <f t="shared" si="16"/>
        <v>753.80509999999992</v>
      </c>
      <c r="K361" s="32">
        <f t="shared" si="17"/>
        <v>753.80509999999992</v>
      </c>
      <c r="L361" s="43">
        <f>IF(C361="ES",K361*INDEX(tbl_param_emb[Valor],MATCH("P-01",tbl_param_emb[ID_Parametro],0)),0)</f>
        <v>0</v>
      </c>
      <c r="M361" s="33" t="str">
        <f>IF(B361="Tampa","Componente",IFERROR(INDEX(tbl_recyclass[Grau_PPWR_Indicativo],MATCH(A361,tbl_recyclass[ProductId],0)),""))</f>
        <v>A</v>
      </c>
    </row>
    <row r="362" spans="1:13" ht="16.05" customHeight="1" x14ac:dyDescent="0.3">
      <c r="A362" s="26" t="s">
        <v>758</v>
      </c>
      <c r="B362" s="26" t="s">
        <v>1470</v>
      </c>
      <c r="C362" s="26" t="s">
        <v>1474</v>
      </c>
      <c r="D362" s="26" t="s">
        <v>1475</v>
      </c>
      <c r="E362" s="39">
        <v>1</v>
      </c>
      <c r="F362" s="37">
        <v>3981</v>
      </c>
      <c r="G362" s="38">
        <f>IFERROR(IF(B362="Tampa",INDEX(tbl_tampas[Massa_g],MATCH(A362,tbl_tampas[CapId],0)),INDEX(tbl_recyclass[Massa_Corpo_g],MATCH(A362,tbl_recyclass[ProductId],0))),0)</f>
        <v>34.9</v>
      </c>
      <c r="H362" s="32">
        <f t="shared" si="15"/>
        <v>138.93689999999998</v>
      </c>
      <c r="I362" s="36">
        <f>IFERROR(IF(B362="Tampa",INDEX(tbl_tampas[Pct_PCR],MATCH(A362,tbl_tampas[CapId],0)),INDEX(tbl_recyclass[Pct_PCR_Corpo],MATCH(A362,tbl_recyclass[ProductId],0))),0)</f>
        <v>0.5</v>
      </c>
      <c r="J362" s="32">
        <f t="shared" si="16"/>
        <v>69.46844999999999</v>
      </c>
      <c r="K362" s="32">
        <f t="shared" si="17"/>
        <v>69.46844999999999</v>
      </c>
      <c r="L362" s="43">
        <f>IF(C362="ES",K362*INDEX(tbl_param_emb[Valor],MATCH("P-01",tbl_param_emb[ID_Parametro],0)),0)</f>
        <v>31.260802499999997</v>
      </c>
      <c r="M362" s="33" t="str">
        <f>IF(B362="Tampa","Componente",IFERROR(INDEX(tbl_recyclass[Grau_PPWR_Indicativo],MATCH(A362,tbl_recyclass[ProductId],0)),""))</f>
        <v>A</v>
      </c>
    </row>
    <row r="363" spans="1:13" ht="16.05" customHeight="1" x14ac:dyDescent="0.3">
      <c r="A363" s="26" t="s">
        <v>792</v>
      </c>
      <c r="B363" s="26" t="s">
        <v>1470</v>
      </c>
      <c r="C363" s="26" t="s">
        <v>1478</v>
      </c>
      <c r="D363" s="26" t="s">
        <v>1479</v>
      </c>
      <c r="E363" s="39">
        <v>1</v>
      </c>
      <c r="F363" s="37">
        <v>32097</v>
      </c>
      <c r="G363" s="38">
        <f>IFERROR(IF(B363="Tampa",INDEX(tbl_tampas[Massa_g],MATCH(A363,tbl_tampas[CapId],0)),INDEX(tbl_recyclass[Massa_Corpo_g],MATCH(A363,tbl_recyclass[ProductId],0))),0)</f>
        <v>40.5</v>
      </c>
      <c r="H363" s="32">
        <f t="shared" si="15"/>
        <v>1299.9285</v>
      </c>
      <c r="I363" s="36">
        <f>IFERROR(IF(B363="Tampa",INDEX(tbl_tampas[Pct_PCR],MATCH(A363,tbl_tampas[CapId],0)),INDEX(tbl_recyclass[Pct_PCR_Corpo],MATCH(A363,tbl_recyclass[ProductId],0))),0)</f>
        <v>0.5</v>
      </c>
      <c r="J363" s="32">
        <f t="shared" si="16"/>
        <v>649.96424999999999</v>
      </c>
      <c r="K363" s="32">
        <f t="shared" si="17"/>
        <v>649.96424999999999</v>
      </c>
      <c r="L363" s="43">
        <f>IF(C363="ES",K363*INDEX(tbl_param_emb[Valor],MATCH("P-01",tbl_param_emb[ID_Parametro],0)),0)</f>
        <v>0</v>
      </c>
      <c r="M363" s="33" t="str">
        <f>IF(B363="Tampa","Componente",IFERROR(INDEX(tbl_recyclass[Grau_PPWR_Indicativo],MATCH(A363,tbl_recyclass[ProductId],0)),""))</f>
        <v>A</v>
      </c>
    </row>
    <row r="364" spans="1:13" ht="16.05" customHeight="1" x14ac:dyDescent="0.3">
      <c r="A364" s="26" t="s">
        <v>792</v>
      </c>
      <c r="B364" s="26" t="s">
        <v>1470</v>
      </c>
      <c r="C364" s="26" t="s">
        <v>1480</v>
      </c>
      <c r="D364" s="26" t="s">
        <v>1481</v>
      </c>
      <c r="E364" s="39">
        <v>1</v>
      </c>
      <c r="F364" s="37">
        <v>1458</v>
      </c>
      <c r="G364" s="38">
        <f>IFERROR(IF(B364="Tampa",INDEX(tbl_tampas[Massa_g],MATCH(A364,tbl_tampas[CapId],0)),INDEX(tbl_recyclass[Massa_Corpo_g],MATCH(A364,tbl_recyclass[ProductId],0))),0)</f>
        <v>40.5</v>
      </c>
      <c r="H364" s="32">
        <f t="shared" si="15"/>
        <v>59.048999999999999</v>
      </c>
      <c r="I364" s="36">
        <f>IFERROR(IF(B364="Tampa",INDEX(tbl_tampas[Pct_PCR],MATCH(A364,tbl_tampas[CapId],0)),INDEX(tbl_recyclass[Pct_PCR_Corpo],MATCH(A364,tbl_recyclass[ProductId],0))),0)</f>
        <v>0.5</v>
      </c>
      <c r="J364" s="32">
        <f t="shared" si="16"/>
        <v>29.5245</v>
      </c>
      <c r="K364" s="32">
        <f t="shared" si="17"/>
        <v>29.5245</v>
      </c>
      <c r="L364" s="43">
        <f>IF(C364="ES",K364*INDEX(tbl_param_emb[Valor],MATCH("P-01",tbl_param_emb[ID_Parametro],0)),0)</f>
        <v>0</v>
      </c>
      <c r="M364" s="33" t="str">
        <f>IF(B364="Tampa","Componente",IFERROR(INDEX(tbl_recyclass[Grau_PPWR_Indicativo],MATCH(A364,tbl_recyclass[ProductId],0)),""))</f>
        <v>A</v>
      </c>
    </row>
    <row r="365" spans="1:13" ht="16.05" customHeight="1" x14ac:dyDescent="0.3">
      <c r="A365" s="26" t="s">
        <v>792</v>
      </c>
      <c r="B365" s="26" t="s">
        <v>1470</v>
      </c>
      <c r="C365" s="26" t="s">
        <v>847</v>
      </c>
      <c r="D365" s="26" t="s">
        <v>1471</v>
      </c>
      <c r="E365" s="39">
        <v>6</v>
      </c>
      <c r="F365" s="37">
        <v>33309</v>
      </c>
      <c r="G365" s="38">
        <f>IFERROR(IF(B365="Tampa",INDEX(tbl_tampas[Massa_g],MATCH(A365,tbl_tampas[CapId],0)),INDEX(tbl_recyclass[Massa_Corpo_g],MATCH(A365,tbl_recyclass[ProductId],0))),0)</f>
        <v>40.5</v>
      </c>
      <c r="H365" s="32">
        <f t="shared" si="15"/>
        <v>1349.0145</v>
      </c>
      <c r="I365" s="36">
        <f>IFERROR(IF(B365="Tampa",INDEX(tbl_tampas[Pct_PCR],MATCH(A365,tbl_tampas[CapId],0)),INDEX(tbl_recyclass[Pct_PCR_Corpo],MATCH(A365,tbl_recyclass[ProductId],0))),0)</f>
        <v>0.5</v>
      </c>
      <c r="J365" s="32">
        <f t="shared" si="16"/>
        <v>674.50725</v>
      </c>
      <c r="K365" s="32">
        <f t="shared" si="17"/>
        <v>674.50725</v>
      </c>
      <c r="L365" s="43">
        <f>IF(C365="ES",K365*INDEX(tbl_param_emb[Valor],MATCH("P-01",tbl_param_emb[ID_Parametro],0)),0)</f>
        <v>0</v>
      </c>
      <c r="M365" s="33" t="str">
        <f>IF(B365="Tampa","Componente",IFERROR(INDEX(tbl_recyclass[Grau_PPWR_Indicativo],MATCH(A365,tbl_recyclass[ProductId],0)),""))</f>
        <v>A</v>
      </c>
    </row>
    <row r="366" spans="1:13" ht="16.05" customHeight="1" x14ac:dyDescent="0.3">
      <c r="A366" s="26" t="s">
        <v>792</v>
      </c>
      <c r="B366" s="26" t="s">
        <v>1470</v>
      </c>
      <c r="C366" s="26" t="s">
        <v>1474</v>
      </c>
      <c r="D366" s="26" t="s">
        <v>1475</v>
      </c>
      <c r="E366" s="39">
        <v>1</v>
      </c>
      <c r="F366" s="37">
        <v>8894</v>
      </c>
      <c r="G366" s="38">
        <f>IFERROR(IF(B366="Tampa",INDEX(tbl_tampas[Massa_g],MATCH(A366,tbl_tampas[CapId],0)),INDEX(tbl_recyclass[Massa_Corpo_g],MATCH(A366,tbl_recyclass[ProductId],0))),0)</f>
        <v>40.5</v>
      </c>
      <c r="H366" s="32">
        <f t="shared" si="15"/>
        <v>360.20699999999999</v>
      </c>
      <c r="I366" s="36">
        <f>IFERROR(IF(B366="Tampa",INDEX(tbl_tampas[Pct_PCR],MATCH(A366,tbl_tampas[CapId],0)),INDEX(tbl_recyclass[Pct_PCR_Corpo],MATCH(A366,tbl_recyclass[ProductId],0))),0)</f>
        <v>0.5</v>
      </c>
      <c r="J366" s="32">
        <f t="shared" si="16"/>
        <v>180.1035</v>
      </c>
      <c r="K366" s="32">
        <f t="shared" si="17"/>
        <v>180.1035</v>
      </c>
      <c r="L366" s="43">
        <f>IF(C366="ES",K366*INDEX(tbl_param_emb[Valor],MATCH("P-01",tbl_param_emb[ID_Parametro],0)),0)</f>
        <v>81.046575000000004</v>
      </c>
      <c r="M366" s="33" t="str">
        <f>IF(B366="Tampa","Componente",IFERROR(INDEX(tbl_recyclass[Grau_PPWR_Indicativo],MATCH(A366,tbl_recyclass[ProductId],0)),""))</f>
        <v>A</v>
      </c>
    </row>
    <row r="367" spans="1:13" ht="16.05" customHeight="1" x14ac:dyDescent="0.3">
      <c r="A367" s="26" t="s">
        <v>760</v>
      </c>
      <c r="B367" s="26" t="s">
        <v>1470</v>
      </c>
      <c r="C367" s="26" t="s">
        <v>1476</v>
      </c>
      <c r="D367" s="26" t="s">
        <v>1477</v>
      </c>
      <c r="E367" s="39">
        <v>1</v>
      </c>
      <c r="F367" s="37">
        <v>5597</v>
      </c>
      <c r="G367" s="38">
        <f>IFERROR(IF(B367="Tampa",INDEX(tbl_tampas[Massa_g],MATCH(A367,tbl_tampas[CapId],0)),INDEX(tbl_recyclass[Massa_Corpo_g],MATCH(A367,tbl_recyclass[ProductId],0))),0)</f>
        <v>40.5</v>
      </c>
      <c r="H367" s="32">
        <f t="shared" si="15"/>
        <v>226.67850000000001</v>
      </c>
      <c r="I367" s="36">
        <f>IFERROR(IF(B367="Tampa",INDEX(tbl_tampas[Pct_PCR],MATCH(A367,tbl_tampas[CapId],0)),INDEX(tbl_recyclass[Pct_PCR_Corpo],MATCH(A367,tbl_recyclass[ProductId],0))),0)</f>
        <v>0</v>
      </c>
      <c r="J367" s="32">
        <f t="shared" si="16"/>
        <v>0</v>
      </c>
      <c r="K367" s="32">
        <f t="shared" si="17"/>
        <v>226.67850000000001</v>
      </c>
      <c r="L367" s="43">
        <f>IF(C367="ES",K367*INDEX(tbl_param_emb[Valor],MATCH("P-01",tbl_param_emb[ID_Parametro],0)),0)</f>
        <v>0</v>
      </c>
      <c r="M367" s="33" t="str">
        <f>IF(B367="Tampa","Componente",IFERROR(INDEX(tbl_recyclass[Grau_PPWR_Indicativo],MATCH(A367,tbl_recyclass[ProductId],0)),""))</f>
        <v>A</v>
      </c>
    </row>
    <row r="368" spans="1:13" ht="16.05" customHeight="1" x14ac:dyDescent="0.3">
      <c r="A368" s="26" t="s">
        <v>760</v>
      </c>
      <c r="B368" s="26" t="s">
        <v>1470</v>
      </c>
      <c r="C368" s="26" t="s">
        <v>1472</v>
      </c>
      <c r="D368" s="26" t="s">
        <v>1473</v>
      </c>
      <c r="E368" s="39">
        <v>1</v>
      </c>
      <c r="F368" s="37">
        <v>20319</v>
      </c>
      <c r="G368" s="38">
        <f>IFERROR(IF(B368="Tampa",INDEX(tbl_tampas[Massa_g],MATCH(A368,tbl_tampas[CapId],0)),INDEX(tbl_recyclass[Massa_Corpo_g],MATCH(A368,tbl_recyclass[ProductId],0))),0)</f>
        <v>40.5</v>
      </c>
      <c r="H368" s="32">
        <f t="shared" si="15"/>
        <v>822.91949999999997</v>
      </c>
      <c r="I368" s="36">
        <f>IFERROR(IF(B368="Tampa",INDEX(tbl_tampas[Pct_PCR],MATCH(A368,tbl_tampas[CapId],0)),INDEX(tbl_recyclass[Pct_PCR_Corpo],MATCH(A368,tbl_recyclass[ProductId],0))),0)</f>
        <v>0</v>
      </c>
      <c r="J368" s="32">
        <f t="shared" si="16"/>
        <v>0</v>
      </c>
      <c r="K368" s="32">
        <f t="shared" si="17"/>
        <v>822.91949999999997</v>
      </c>
      <c r="L368" s="43">
        <f>IF(C368="ES",K368*INDEX(tbl_param_emb[Valor],MATCH("P-01",tbl_param_emb[ID_Parametro],0)),0)</f>
        <v>0</v>
      </c>
      <c r="M368" s="33" t="str">
        <f>IF(B368="Tampa","Componente",IFERROR(INDEX(tbl_recyclass[Grau_PPWR_Indicativo],MATCH(A368,tbl_recyclass[ProductId],0)),""))</f>
        <v>A</v>
      </c>
    </row>
    <row r="369" spans="1:13" ht="16.05" customHeight="1" x14ac:dyDescent="0.3">
      <c r="A369" s="26" t="s">
        <v>760</v>
      </c>
      <c r="B369" s="26" t="s">
        <v>1470</v>
      </c>
      <c r="C369" s="26" t="s">
        <v>1478</v>
      </c>
      <c r="D369" s="26" t="s">
        <v>1479</v>
      </c>
      <c r="E369" s="39">
        <v>1</v>
      </c>
      <c r="F369" s="37">
        <v>4668</v>
      </c>
      <c r="G369" s="38">
        <f>IFERROR(IF(B369="Tampa",INDEX(tbl_tampas[Massa_g],MATCH(A369,tbl_tampas[CapId],0)),INDEX(tbl_recyclass[Massa_Corpo_g],MATCH(A369,tbl_recyclass[ProductId],0))),0)</f>
        <v>40.5</v>
      </c>
      <c r="H369" s="32">
        <f t="shared" si="15"/>
        <v>189.054</v>
      </c>
      <c r="I369" s="36">
        <f>IFERROR(IF(B369="Tampa",INDEX(tbl_tampas[Pct_PCR],MATCH(A369,tbl_tampas[CapId],0)),INDEX(tbl_recyclass[Pct_PCR_Corpo],MATCH(A369,tbl_recyclass[ProductId],0))),0)</f>
        <v>0</v>
      </c>
      <c r="J369" s="32">
        <f t="shared" si="16"/>
        <v>0</v>
      </c>
      <c r="K369" s="32">
        <f t="shared" si="17"/>
        <v>189.054</v>
      </c>
      <c r="L369" s="43">
        <f>IF(C369="ES",K369*INDEX(tbl_param_emb[Valor],MATCH("P-01",tbl_param_emb[ID_Parametro],0)),0)</f>
        <v>0</v>
      </c>
      <c r="M369" s="33" t="str">
        <f>IF(B369="Tampa","Componente",IFERROR(INDEX(tbl_recyclass[Grau_PPWR_Indicativo],MATCH(A369,tbl_recyclass[ProductId],0)),""))</f>
        <v>A</v>
      </c>
    </row>
    <row r="370" spans="1:13" ht="16.05" customHeight="1" x14ac:dyDescent="0.3">
      <c r="A370" s="26" t="s">
        <v>760</v>
      </c>
      <c r="B370" s="26" t="s">
        <v>1470</v>
      </c>
      <c r="C370" s="26" t="s">
        <v>1480</v>
      </c>
      <c r="D370" s="26" t="s">
        <v>1481</v>
      </c>
      <c r="E370" s="39">
        <v>1</v>
      </c>
      <c r="F370" s="37">
        <v>6869</v>
      </c>
      <c r="G370" s="38">
        <f>IFERROR(IF(B370="Tampa",INDEX(tbl_tampas[Massa_g],MATCH(A370,tbl_tampas[CapId],0)),INDEX(tbl_recyclass[Massa_Corpo_g],MATCH(A370,tbl_recyclass[ProductId],0))),0)</f>
        <v>40.5</v>
      </c>
      <c r="H370" s="32">
        <f t="shared" si="15"/>
        <v>278.19450000000001</v>
      </c>
      <c r="I370" s="36">
        <f>IFERROR(IF(B370="Tampa",INDEX(tbl_tampas[Pct_PCR],MATCH(A370,tbl_tampas[CapId],0)),INDEX(tbl_recyclass[Pct_PCR_Corpo],MATCH(A370,tbl_recyclass[ProductId],0))),0)</f>
        <v>0</v>
      </c>
      <c r="J370" s="32">
        <f t="shared" si="16"/>
        <v>0</v>
      </c>
      <c r="K370" s="32">
        <f t="shared" si="17"/>
        <v>278.19450000000001</v>
      </c>
      <c r="L370" s="43">
        <f>IF(C370="ES",K370*INDEX(tbl_param_emb[Valor],MATCH("P-01",tbl_param_emb[ID_Parametro],0)),0)</f>
        <v>0</v>
      </c>
      <c r="M370" s="33" t="str">
        <f>IF(B370="Tampa","Componente",IFERROR(INDEX(tbl_recyclass[Grau_PPWR_Indicativo],MATCH(A370,tbl_recyclass[ProductId],0)),""))</f>
        <v>A</v>
      </c>
    </row>
    <row r="371" spans="1:13" ht="16.05" customHeight="1" x14ac:dyDescent="0.3">
      <c r="A371" s="26" t="s">
        <v>760</v>
      </c>
      <c r="B371" s="26" t="s">
        <v>1470</v>
      </c>
      <c r="C371" s="26" t="s">
        <v>847</v>
      </c>
      <c r="D371" s="26" t="s">
        <v>1471</v>
      </c>
      <c r="E371" s="39">
        <v>6</v>
      </c>
      <c r="F371" s="37">
        <v>50117</v>
      </c>
      <c r="G371" s="38">
        <f>IFERROR(IF(B371="Tampa",INDEX(tbl_tampas[Massa_g],MATCH(A371,tbl_tampas[CapId],0)),INDEX(tbl_recyclass[Massa_Corpo_g],MATCH(A371,tbl_recyclass[ProductId],0))),0)</f>
        <v>40.5</v>
      </c>
      <c r="H371" s="32">
        <f t="shared" si="15"/>
        <v>2029.7384999999999</v>
      </c>
      <c r="I371" s="36">
        <f>IFERROR(IF(B371="Tampa",INDEX(tbl_tampas[Pct_PCR],MATCH(A371,tbl_tampas[CapId],0)),INDEX(tbl_recyclass[Pct_PCR_Corpo],MATCH(A371,tbl_recyclass[ProductId],0))),0)</f>
        <v>0</v>
      </c>
      <c r="J371" s="32">
        <f t="shared" si="16"/>
        <v>0</v>
      </c>
      <c r="K371" s="32">
        <f t="shared" si="17"/>
        <v>2029.7384999999999</v>
      </c>
      <c r="L371" s="43">
        <f>IF(C371="ES",K371*INDEX(tbl_param_emb[Valor],MATCH("P-01",tbl_param_emb[ID_Parametro],0)),0)</f>
        <v>0</v>
      </c>
      <c r="M371" s="33" t="str">
        <f>IF(B371="Tampa","Componente",IFERROR(INDEX(tbl_recyclass[Grau_PPWR_Indicativo],MATCH(A371,tbl_recyclass[ProductId],0)),""))</f>
        <v>A</v>
      </c>
    </row>
    <row r="372" spans="1:13" ht="16.05" customHeight="1" x14ac:dyDescent="0.3">
      <c r="A372" s="26" t="s">
        <v>760</v>
      </c>
      <c r="B372" s="26" t="s">
        <v>1470</v>
      </c>
      <c r="C372" s="26" t="s">
        <v>1474</v>
      </c>
      <c r="D372" s="26" t="s">
        <v>1475</v>
      </c>
      <c r="E372" s="39">
        <v>2</v>
      </c>
      <c r="F372" s="37">
        <v>9280</v>
      </c>
      <c r="G372" s="38">
        <f>IFERROR(IF(B372="Tampa",INDEX(tbl_tampas[Massa_g],MATCH(A372,tbl_tampas[CapId],0)),INDEX(tbl_recyclass[Massa_Corpo_g],MATCH(A372,tbl_recyclass[ProductId],0))),0)</f>
        <v>40.5</v>
      </c>
      <c r="H372" s="32">
        <f t="shared" si="15"/>
        <v>375.84</v>
      </c>
      <c r="I372" s="36">
        <f>IFERROR(IF(B372="Tampa",INDEX(tbl_tampas[Pct_PCR],MATCH(A372,tbl_tampas[CapId],0)),INDEX(tbl_recyclass[Pct_PCR_Corpo],MATCH(A372,tbl_recyclass[ProductId],0))),0)</f>
        <v>0</v>
      </c>
      <c r="J372" s="32">
        <f t="shared" si="16"/>
        <v>0</v>
      </c>
      <c r="K372" s="32">
        <f t="shared" si="17"/>
        <v>375.84</v>
      </c>
      <c r="L372" s="43">
        <f>IF(C372="ES",K372*INDEX(tbl_param_emb[Valor],MATCH("P-01",tbl_param_emb[ID_Parametro],0)),0)</f>
        <v>169.12799999999999</v>
      </c>
      <c r="M372" s="33" t="str">
        <f>IF(B372="Tampa","Componente",IFERROR(INDEX(tbl_recyclass[Grau_PPWR_Indicativo],MATCH(A372,tbl_recyclass[ProductId],0)),""))</f>
        <v>A</v>
      </c>
    </row>
    <row r="373" spans="1:13" ht="16.05" customHeight="1" x14ac:dyDescent="0.3">
      <c r="A373" s="26" t="s">
        <v>767</v>
      </c>
      <c r="B373" s="26" t="s">
        <v>1470</v>
      </c>
      <c r="C373" s="26" t="s">
        <v>1476</v>
      </c>
      <c r="D373" s="26" t="s">
        <v>1477</v>
      </c>
      <c r="E373" s="39">
        <v>1</v>
      </c>
      <c r="F373" s="37">
        <v>3940</v>
      </c>
      <c r="G373" s="38">
        <f>IFERROR(IF(B373="Tampa",INDEX(tbl_tampas[Massa_g],MATCH(A373,tbl_tampas[CapId],0)),INDEX(tbl_recyclass[Massa_Corpo_g],MATCH(A373,tbl_recyclass[ProductId],0))),0)</f>
        <v>40.5</v>
      </c>
      <c r="H373" s="32">
        <f t="shared" si="15"/>
        <v>159.57</v>
      </c>
      <c r="I373" s="36">
        <f>IFERROR(IF(B373="Tampa",INDEX(tbl_tampas[Pct_PCR],MATCH(A373,tbl_tampas[CapId],0)),INDEX(tbl_recyclass[Pct_PCR_Corpo],MATCH(A373,tbl_recyclass[ProductId],0))),0)</f>
        <v>0.3</v>
      </c>
      <c r="J373" s="32">
        <f t="shared" si="16"/>
        <v>47.870999999999995</v>
      </c>
      <c r="K373" s="32">
        <f t="shared" si="17"/>
        <v>111.699</v>
      </c>
      <c r="L373" s="43">
        <f>IF(C373="ES",K373*INDEX(tbl_param_emb[Valor],MATCH("P-01",tbl_param_emb[ID_Parametro],0)),0)</f>
        <v>0</v>
      </c>
      <c r="M373" s="33" t="str">
        <f>IF(B373="Tampa","Componente",IFERROR(INDEX(tbl_recyclass[Grau_PPWR_Indicativo],MATCH(A373,tbl_recyclass[ProductId],0)),""))</f>
        <v>B</v>
      </c>
    </row>
    <row r="374" spans="1:13" ht="16.05" customHeight="1" x14ac:dyDescent="0.3">
      <c r="A374" s="26" t="s">
        <v>767</v>
      </c>
      <c r="B374" s="26" t="s">
        <v>1470</v>
      </c>
      <c r="C374" s="26" t="s">
        <v>1472</v>
      </c>
      <c r="D374" s="26" t="s">
        <v>1473</v>
      </c>
      <c r="E374" s="39">
        <v>1</v>
      </c>
      <c r="F374" s="37">
        <v>14807</v>
      </c>
      <c r="G374" s="38">
        <f>IFERROR(IF(B374="Tampa",INDEX(tbl_tampas[Massa_g],MATCH(A374,tbl_tampas[CapId],0)),INDEX(tbl_recyclass[Massa_Corpo_g],MATCH(A374,tbl_recyclass[ProductId],0))),0)</f>
        <v>40.5</v>
      </c>
      <c r="H374" s="32">
        <f t="shared" si="15"/>
        <v>599.68349999999998</v>
      </c>
      <c r="I374" s="36">
        <f>IFERROR(IF(B374="Tampa",INDEX(tbl_tampas[Pct_PCR],MATCH(A374,tbl_tampas[CapId],0)),INDEX(tbl_recyclass[Pct_PCR_Corpo],MATCH(A374,tbl_recyclass[ProductId],0))),0)</f>
        <v>0.3</v>
      </c>
      <c r="J374" s="32">
        <f t="shared" si="16"/>
        <v>179.90504999999999</v>
      </c>
      <c r="K374" s="32">
        <f t="shared" si="17"/>
        <v>419.77845000000002</v>
      </c>
      <c r="L374" s="43">
        <f>IF(C374="ES",K374*INDEX(tbl_param_emb[Valor],MATCH("P-01",tbl_param_emb[ID_Parametro],0)),0)</f>
        <v>0</v>
      </c>
      <c r="M374" s="33" t="str">
        <f>IF(B374="Tampa","Componente",IFERROR(INDEX(tbl_recyclass[Grau_PPWR_Indicativo],MATCH(A374,tbl_recyclass[ProductId],0)),""))</f>
        <v>B</v>
      </c>
    </row>
    <row r="375" spans="1:13" ht="16.05" customHeight="1" x14ac:dyDescent="0.3">
      <c r="A375" s="26" t="s">
        <v>767</v>
      </c>
      <c r="B375" s="26" t="s">
        <v>1470</v>
      </c>
      <c r="C375" s="26" t="s">
        <v>1478</v>
      </c>
      <c r="D375" s="26" t="s">
        <v>1479</v>
      </c>
      <c r="E375" s="39">
        <v>1</v>
      </c>
      <c r="F375" s="37">
        <v>3192</v>
      </c>
      <c r="G375" s="38">
        <f>IFERROR(IF(B375="Tampa",INDEX(tbl_tampas[Massa_g],MATCH(A375,tbl_tampas[CapId],0)),INDEX(tbl_recyclass[Massa_Corpo_g],MATCH(A375,tbl_recyclass[ProductId],0))),0)</f>
        <v>40.5</v>
      </c>
      <c r="H375" s="32">
        <f t="shared" si="15"/>
        <v>129.27600000000001</v>
      </c>
      <c r="I375" s="36">
        <f>IFERROR(IF(B375="Tampa",INDEX(tbl_tampas[Pct_PCR],MATCH(A375,tbl_tampas[CapId],0)),INDEX(tbl_recyclass[Pct_PCR_Corpo],MATCH(A375,tbl_recyclass[ProductId],0))),0)</f>
        <v>0.3</v>
      </c>
      <c r="J375" s="32">
        <f t="shared" si="16"/>
        <v>38.782800000000002</v>
      </c>
      <c r="K375" s="32">
        <f t="shared" si="17"/>
        <v>90.493200000000002</v>
      </c>
      <c r="L375" s="43">
        <f>IF(C375="ES",K375*INDEX(tbl_param_emb[Valor],MATCH("P-01",tbl_param_emb[ID_Parametro],0)),0)</f>
        <v>0</v>
      </c>
      <c r="M375" s="33" t="str">
        <f>IF(B375="Tampa","Componente",IFERROR(INDEX(tbl_recyclass[Grau_PPWR_Indicativo],MATCH(A375,tbl_recyclass[ProductId],0)),""))</f>
        <v>B</v>
      </c>
    </row>
    <row r="376" spans="1:13" ht="16.05" customHeight="1" x14ac:dyDescent="0.3">
      <c r="A376" s="26" t="s">
        <v>767</v>
      </c>
      <c r="B376" s="26" t="s">
        <v>1470</v>
      </c>
      <c r="C376" s="26" t="s">
        <v>1480</v>
      </c>
      <c r="D376" s="26" t="s">
        <v>1481</v>
      </c>
      <c r="E376" s="39">
        <v>1</v>
      </c>
      <c r="F376" s="37">
        <v>6360</v>
      </c>
      <c r="G376" s="38">
        <f>IFERROR(IF(B376="Tampa",INDEX(tbl_tampas[Massa_g],MATCH(A376,tbl_tampas[CapId],0)),INDEX(tbl_recyclass[Massa_Corpo_g],MATCH(A376,tbl_recyclass[ProductId],0))),0)</f>
        <v>40.5</v>
      </c>
      <c r="H376" s="32">
        <f t="shared" si="15"/>
        <v>257.58</v>
      </c>
      <c r="I376" s="36">
        <f>IFERROR(IF(B376="Tampa",INDEX(tbl_tampas[Pct_PCR],MATCH(A376,tbl_tampas[CapId],0)),INDEX(tbl_recyclass[Pct_PCR_Corpo],MATCH(A376,tbl_recyclass[ProductId],0))),0)</f>
        <v>0.3</v>
      </c>
      <c r="J376" s="32">
        <f t="shared" si="16"/>
        <v>77.273999999999987</v>
      </c>
      <c r="K376" s="32">
        <f t="shared" si="17"/>
        <v>180.30599999999998</v>
      </c>
      <c r="L376" s="43">
        <f>IF(C376="ES",K376*INDEX(tbl_param_emb[Valor],MATCH("P-01",tbl_param_emb[ID_Parametro],0)),0)</f>
        <v>0</v>
      </c>
      <c r="M376" s="33" t="str">
        <f>IF(B376="Tampa","Componente",IFERROR(INDEX(tbl_recyclass[Grau_PPWR_Indicativo],MATCH(A376,tbl_recyclass[ProductId],0)),""))</f>
        <v>B</v>
      </c>
    </row>
    <row r="377" spans="1:13" ht="16.05" customHeight="1" x14ac:dyDescent="0.3">
      <c r="A377" s="26" t="s">
        <v>767</v>
      </c>
      <c r="B377" s="26" t="s">
        <v>1470</v>
      </c>
      <c r="C377" s="26" t="s">
        <v>847</v>
      </c>
      <c r="D377" s="26" t="s">
        <v>1471</v>
      </c>
      <c r="E377" s="39">
        <v>3</v>
      </c>
      <c r="F377" s="37">
        <v>13627</v>
      </c>
      <c r="G377" s="38">
        <f>IFERROR(IF(B377="Tampa",INDEX(tbl_tampas[Massa_g],MATCH(A377,tbl_tampas[CapId],0)),INDEX(tbl_recyclass[Massa_Corpo_g],MATCH(A377,tbl_recyclass[ProductId],0))),0)</f>
        <v>40.5</v>
      </c>
      <c r="H377" s="32">
        <f t="shared" si="15"/>
        <v>551.89350000000002</v>
      </c>
      <c r="I377" s="36">
        <f>IFERROR(IF(B377="Tampa",INDEX(tbl_tampas[Pct_PCR],MATCH(A377,tbl_tampas[CapId],0)),INDEX(tbl_recyclass[Pct_PCR_Corpo],MATCH(A377,tbl_recyclass[ProductId],0))),0)</f>
        <v>0.3</v>
      </c>
      <c r="J377" s="32">
        <f t="shared" si="16"/>
        <v>165.56805</v>
      </c>
      <c r="K377" s="32">
        <f t="shared" si="17"/>
        <v>386.32545000000005</v>
      </c>
      <c r="L377" s="43">
        <f>IF(C377="ES",K377*INDEX(tbl_param_emb[Valor],MATCH("P-01",tbl_param_emb[ID_Parametro],0)),0)</f>
        <v>0</v>
      </c>
      <c r="M377" s="33" t="str">
        <f>IF(B377="Tampa","Componente",IFERROR(INDEX(tbl_recyclass[Grau_PPWR_Indicativo],MATCH(A377,tbl_recyclass[ProductId],0)),""))</f>
        <v>B</v>
      </c>
    </row>
    <row r="378" spans="1:13" ht="16.05" customHeight="1" x14ac:dyDescent="0.3">
      <c r="A378" s="26" t="s">
        <v>775</v>
      </c>
      <c r="B378" s="26" t="s">
        <v>1470</v>
      </c>
      <c r="C378" s="26" t="s">
        <v>1476</v>
      </c>
      <c r="D378" s="26" t="s">
        <v>1477</v>
      </c>
      <c r="E378" s="39">
        <v>1</v>
      </c>
      <c r="F378" s="37">
        <v>3623</v>
      </c>
      <c r="G378" s="38">
        <f>IFERROR(IF(B378="Tampa",INDEX(tbl_tampas[Massa_g],MATCH(A378,tbl_tampas[CapId],0)),INDEX(tbl_recyclass[Massa_Corpo_g],MATCH(A378,tbl_recyclass[ProductId],0))),0)</f>
        <v>40.5</v>
      </c>
      <c r="H378" s="32">
        <f t="shared" si="15"/>
        <v>146.73150000000001</v>
      </c>
      <c r="I378" s="36">
        <f>IFERROR(IF(B378="Tampa",INDEX(tbl_tampas[Pct_PCR],MATCH(A378,tbl_tampas[CapId],0)),INDEX(tbl_recyclass[Pct_PCR_Corpo],MATCH(A378,tbl_recyclass[ProductId],0))),0)</f>
        <v>0</v>
      </c>
      <c r="J378" s="32">
        <f t="shared" si="16"/>
        <v>0</v>
      </c>
      <c r="K378" s="32">
        <f t="shared" si="17"/>
        <v>146.73150000000001</v>
      </c>
      <c r="L378" s="43">
        <f>IF(C378="ES",K378*INDEX(tbl_param_emb[Valor],MATCH("P-01",tbl_param_emb[ID_Parametro],0)),0)</f>
        <v>0</v>
      </c>
      <c r="M378" s="33" t="str">
        <f>IF(B378="Tampa","Componente",IFERROR(INDEX(tbl_recyclass[Grau_PPWR_Indicativo],MATCH(A378,tbl_recyclass[ProductId],0)),""))</f>
        <v>A</v>
      </c>
    </row>
    <row r="379" spans="1:13" ht="16.05" customHeight="1" x14ac:dyDescent="0.3">
      <c r="A379" s="26" t="s">
        <v>775</v>
      </c>
      <c r="B379" s="26" t="s">
        <v>1470</v>
      </c>
      <c r="C379" s="26" t="s">
        <v>1472</v>
      </c>
      <c r="D379" s="26" t="s">
        <v>1473</v>
      </c>
      <c r="E379" s="39">
        <v>1</v>
      </c>
      <c r="F379" s="37">
        <v>15587</v>
      </c>
      <c r="G379" s="38">
        <f>IFERROR(IF(B379="Tampa",INDEX(tbl_tampas[Massa_g],MATCH(A379,tbl_tampas[CapId],0)),INDEX(tbl_recyclass[Massa_Corpo_g],MATCH(A379,tbl_recyclass[ProductId],0))),0)</f>
        <v>40.5</v>
      </c>
      <c r="H379" s="32">
        <f t="shared" si="15"/>
        <v>631.27350000000001</v>
      </c>
      <c r="I379" s="36">
        <f>IFERROR(IF(B379="Tampa",INDEX(tbl_tampas[Pct_PCR],MATCH(A379,tbl_tampas[CapId],0)),INDEX(tbl_recyclass[Pct_PCR_Corpo],MATCH(A379,tbl_recyclass[ProductId],0))),0)</f>
        <v>0</v>
      </c>
      <c r="J379" s="32">
        <f t="shared" si="16"/>
        <v>0</v>
      </c>
      <c r="K379" s="32">
        <f t="shared" si="17"/>
        <v>631.27350000000001</v>
      </c>
      <c r="L379" s="43">
        <f>IF(C379="ES",K379*INDEX(tbl_param_emb[Valor],MATCH("P-01",tbl_param_emb[ID_Parametro],0)),0)</f>
        <v>0</v>
      </c>
      <c r="M379" s="33" t="str">
        <f>IF(B379="Tampa","Componente",IFERROR(INDEX(tbl_recyclass[Grau_PPWR_Indicativo],MATCH(A379,tbl_recyclass[ProductId],0)),""))</f>
        <v>A</v>
      </c>
    </row>
    <row r="380" spans="1:13" ht="16.05" customHeight="1" x14ac:dyDescent="0.3">
      <c r="A380" s="26" t="s">
        <v>775</v>
      </c>
      <c r="B380" s="26" t="s">
        <v>1470</v>
      </c>
      <c r="C380" s="26" t="s">
        <v>1478</v>
      </c>
      <c r="D380" s="26" t="s">
        <v>1479</v>
      </c>
      <c r="E380" s="39">
        <v>1</v>
      </c>
      <c r="F380" s="37">
        <v>14535</v>
      </c>
      <c r="G380" s="38">
        <f>IFERROR(IF(B380="Tampa",INDEX(tbl_tampas[Massa_g],MATCH(A380,tbl_tampas[CapId],0)),INDEX(tbl_recyclass[Massa_Corpo_g],MATCH(A380,tbl_recyclass[ProductId],0))),0)</f>
        <v>40.5</v>
      </c>
      <c r="H380" s="32">
        <f t="shared" si="15"/>
        <v>588.66750000000002</v>
      </c>
      <c r="I380" s="36">
        <f>IFERROR(IF(B380="Tampa",INDEX(tbl_tampas[Pct_PCR],MATCH(A380,tbl_tampas[CapId],0)),INDEX(tbl_recyclass[Pct_PCR_Corpo],MATCH(A380,tbl_recyclass[ProductId],0))),0)</f>
        <v>0</v>
      </c>
      <c r="J380" s="32">
        <f t="shared" si="16"/>
        <v>0</v>
      </c>
      <c r="K380" s="32">
        <f t="shared" si="17"/>
        <v>588.66750000000002</v>
      </c>
      <c r="L380" s="43">
        <f>IF(C380="ES",K380*INDEX(tbl_param_emb[Valor],MATCH("P-01",tbl_param_emb[ID_Parametro],0)),0)</f>
        <v>0</v>
      </c>
      <c r="M380" s="33" t="str">
        <f>IF(B380="Tampa","Componente",IFERROR(INDEX(tbl_recyclass[Grau_PPWR_Indicativo],MATCH(A380,tbl_recyclass[ProductId],0)),""))</f>
        <v>A</v>
      </c>
    </row>
    <row r="381" spans="1:13" ht="16.05" customHeight="1" x14ac:dyDescent="0.3">
      <c r="A381" s="26" t="s">
        <v>775</v>
      </c>
      <c r="B381" s="26" t="s">
        <v>1470</v>
      </c>
      <c r="C381" s="26" t="s">
        <v>847</v>
      </c>
      <c r="D381" s="26" t="s">
        <v>1471</v>
      </c>
      <c r="E381" s="39">
        <v>8</v>
      </c>
      <c r="F381" s="37">
        <v>49008</v>
      </c>
      <c r="G381" s="38">
        <f>IFERROR(IF(B381="Tampa",INDEX(tbl_tampas[Massa_g],MATCH(A381,tbl_tampas[CapId],0)),INDEX(tbl_recyclass[Massa_Corpo_g],MATCH(A381,tbl_recyclass[ProductId],0))),0)</f>
        <v>40.5</v>
      </c>
      <c r="H381" s="32">
        <f t="shared" si="15"/>
        <v>1984.8240000000001</v>
      </c>
      <c r="I381" s="36">
        <f>IFERROR(IF(B381="Tampa",INDEX(tbl_tampas[Pct_PCR],MATCH(A381,tbl_tampas[CapId],0)),INDEX(tbl_recyclass[Pct_PCR_Corpo],MATCH(A381,tbl_recyclass[ProductId],0))),0)</f>
        <v>0</v>
      </c>
      <c r="J381" s="32">
        <f t="shared" si="16"/>
        <v>0</v>
      </c>
      <c r="K381" s="32">
        <f t="shared" si="17"/>
        <v>1984.8240000000001</v>
      </c>
      <c r="L381" s="43">
        <f>IF(C381="ES",K381*INDEX(tbl_param_emb[Valor],MATCH("P-01",tbl_param_emb[ID_Parametro],0)),0)</f>
        <v>0</v>
      </c>
      <c r="M381" s="33" t="str">
        <f>IF(B381="Tampa","Componente",IFERROR(INDEX(tbl_recyclass[Grau_PPWR_Indicativo],MATCH(A381,tbl_recyclass[ProductId],0)),""))</f>
        <v>A</v>
      </c>
    </row>
    <row r="382" spans="1:13" ht="16.05" customHeight="1" x14ac:dyDescent="0.3">
      <c r="A382" s="26" t="s">
        <v>775</v>
      </c>
      <c r="B382" s="26" t="s">
        <v>1470</v>
      </c>
      <c r="C382" s="26" t="s">
        <v>1474</v>
      </c>
      <c r="D382" s="26" t="s">
        <v>1475</v>
      </c>
      <c r="E382" s="39">
        <v>2</v>
      </c>
      <c r="F382" s="37">
        <v>13221</v>
      </c>
      <c r="G382" s="38">
        <f>IFERROR(IF(B382="Tampa",INDEX(tbl_tampas[Massa_g],MATCH(A382,tbl_tampas[CapId],0)),INDEX(tbl_recyclass[Massa_Corpo_g],MATCH(A382,tbl_recyclass[ProductId],0))),0)</f>
        <v>40.5</v>
      </c>
      <c r="H382" s="32">
        <f t="shared" si="15"/>
        <v>535.45050000000003</v>
      </c>
      <c r="I382" s="36">
        <f>IFERROR(IF(B382="Tampa",INDEX(tbl_tampas[Pct_PCR],MATCH(A382,tbl_tampas[CapId],0)),INDEX(tbl_recyclass[Pct_PCR_Corpo],MATCH(A382,tbl_recyclass[ProductId],0))),0)</f>
        <v>0</v>
      </c>
      <c r="J382" s="32">
        <f t="shared" si="16"/>
        <v>0</v>
      </c>
      <c r="K382" s="32">
        <f t="shared" si="17"/>
        <v>535.45050000000003</v>
      </c>
      <c r="L382" s="43">
        <f>IF(C382="ES",K382*INDEX(tbl_param_emb[Valor],MATCH("P-01",tbl_param_emb[ID_Parametro],0)),0)</f>
        <v>240.95272500000002</v>
      </c>
      <c r="M382" s="33" t="str">
        <f>IF(B382="Tampa","Componente",IFERROR(INDEX(tbl_recyclass[Grau_PPWR_Indicativo],MATCH(A382,tbl_recyclass[ProductId],0)),""))</f>
        <v>A</v>
      </c>
    </row>
    <row r="383" spans="1:13" ht="16.05" customHeight="1" x14ac:dyDescent="0.3">
      <c r="A383" s="26" t="s">
        <v>781</v>
      </c>
      <c r="B383" s="26" t="s">
        <v>1470</v>
      </c>
      <c r="C383" s="26" t="s">
        <v>1476</v>
      </c>
      <c r="D383" s="26" t="s">
        <v>1477</v>
      </c>
      <c r="E383" s="39">
        <v>1</v>
      </c>
      <c r="F383" s="37">
        <v>4893</v>
      </c>
      <c r="G383" s="38">
        <f>IFERROR(IF(B383="Tampa",INDEX(tbl_tampas[Massa_g],MATCH(A383,tbl_tampas[CapId],0)),INDEX(tbl_recyclass[Massa_Corpo_g],MATCH(A383,tbl_recyclass[ProductId],0))),0)</f>
        <v>40.5</v>
      </c>
      <c r="H383" s="32">
        <f t="shared" si="15"/>
        <v>198.16650000000001</v>
      </c>
      <c r="I383" s="36">
        <f>IFERROR(IF(B383="Tampa",INDEX(tbl_tampas[Pct_PCR],MATCH(A383,tbl_tampas[CapId],0)),INDEX(tbl_recyclass[Pct_PCR_Corpo],MATCH(A383,tbl_recyclass[ProductId],0))),0)</f>
        <v>0</v>
      </c>
      <c r="J383" s="32">
        <f t="shared" si="16"/>
        <v>0</v>
      </c>
      <c r="K383" s="32">
        <f t="shared" si="17"/>
        <v>198.16650000000001</v>
      </c>
      <c r="L383" s="43">
        <f>IF(C383="ES",K383*INDEX(tbl_param_emb[Valor],MATCH("P-01",tbl_param_emb[ID_Parametro],0)),0)</f>
        <v>0</v>
      </c>
      <c r="M383" s="33" t="str">
        <f>IF(B383="Tampa","Componente",IFERROR(INDEX(tbl_recyclass[Grau_PPWR_Indicativo],MATCH(A383,tbl_recyclass[ProductId],0)),""))</f>
        <v>Não reciclável (F)</v>
      </c>
    </row>
    <row r="384" spans="1:13" ht="16.05" customHeight="1" x14ac:dyDescent="0.3">
      <c r="A384" s="26" t="s">
        <v>781</v>
      </c>
      <c r="B384" s="26" t="s">
        <v>1470</v>
      </c>
      <c r="C384" s="26" t="s">
        <v>1472</v>
      </c>
      <c r="D384" s="26" t="s">
        <v>1473</v>
      </c>
      <c r="E384" s="39">
        <v>1</v>
      </c>
      <c r="F384" s="37">
        <v>5284</v>
      </c>
      <c r="G384" s="38">
        <f>IFERROR(IF(B384="Tampa",INDEX(tbl_tampas[Massa_g],MATCH(A384,tbl_tampas[CapId],0)),INDEX(tbl_recyclass[Massa_Corpo_g],MATCH(A384,tbl_recyclass[ProductId],0))),0)</f>
        <v>40.5</v>
      </c>
      <c r="H384" s="32">
        <f t="shared" si="15"/>
        <v>214.00200000000001</v>
      </c>
      <c r="I384" s="36">
        <f>IFERROR(IF(B384="Tampa",INDEX(tbl_tampas[Pct_PCR],MATCH(A384,tbl_tampas[CapId],0)),INDEX(tbl_recyclass[Pct_PCR_Corpo],MATCH(A384,tbl_recyclass[ProductId],0))),0)</f>
        <v>0</v>
      </c>
      <c r="J384" s="32">
        <f t="shared" si="16"/>
        <v>0</v>
      </c>
      <c r="K384" s="32">
        <f t="shared" si="17"/>
        <v>214.00200000000001</v>
      </c>
      <c r="L384" s="43">
        <f>IF(C384="ES",K384*INDEX(tbl_param_emb[Valor],MATCH("P-01",tbl_param_emb[ID_Parametro],0)),0)</f>
        <v>0</v>
      </c>
      <c r="M384" s="33" t="str">
        <f>IF(B384="Tampa","Componente",IFERROR(INDEX(tbl_recyclass[Grau_PPWR_Indicativo],MATCH(A384,tbl_recyclass[ProductId],0)),""))</f>
        <v>Não reciclável (F)</v>
      </c>
    </row>
    <row r="385" spans="1:13" ht="16.05" customHeight="1" x14ac:dyDescent="0.3">
      <c r="A385" s="26" t="s">
        <v>781</v>
      </c>
      <c r="B385" s="26" t="s">
        <v>1470</v>
      </c>
      <c r="C385" s="26" t="s">
        <v>847</v>
      </c>
      <c r="D385" s="26" t="s">
        <v>1471</v>
      </c>
      <c r="E385" s="39">
        <v>6</v>
      </c>
      <c r="F385" s="37">
        <v>25375</v>
      </c>
      <c r="G385" s="38">
        <f>IFERROR(IF(B385="Tampa",INDEX(tbl_tampas[Massa_g],MATCH(A385,tbl_tampas[CapId],0)),INDEX(tbl_recyclass[Massa_Corpo_g],MATCH(A385,tbl_recyclass[ProductId],0))),0)</f>
        <v>40.5</v>
      </c>
      <c r="H385" s="32">
        <f t="shared" si="15"/>
        <v>1027.6875</v>
      </c>
      <c r="I385" s="36">
        <f>IFERROR(IF(B385="Tampa",INDEX(tbl_tampas[Pct_PCR],MATCH(A385,tbl_tampas[CapId],0)),INDEX(tbl_recyclass[Pct_PCR_Corpo],MATCH(A385,tbl_recyclass[ProductId],0))),0)</f>
        <v>0</v>
      </c>
      <c r="J385" s="32">
        <f t="shared" si="16"/>
        <v>0</v>
      </c>
      <c r="K385" s="32">
        <f t="shared" si="17"/>
        <v>1027.6875</v>
      </c>
      <c r="L385" s="43">
        <f>IF(C385="ES",K385*INDEX(tbl_param_emb[Valor],MATCH("P-01",tbl_param_emb[ID_Parametro],0)),0)</f>
        <v>0</v>
      </c>
      <c r="M385" s="33" t="str">
        <f>IF(B385="Tampa","Componente",IFERROR(INDEX(tbl_recyclass[Grau_PPWR_Indicativo],MATCH(A385,tbl_recyclass[ProductId],0)),""))</f>
        <v>Não reciclável (F)</v>
      </c>
    </row>
    <row r="386" spans="1:13" ht="16.05" customHeight="1" x14ac:dyDescent="0.3">
      <c r="A386" s="26" t="s">
        <v>781</v>
      </c>
      <c r="B386" s="26" t="s">
        <v>1470</v>
      </c>
      <c r="C386" s="26" t="s">
        <v>1474</v>
      </c>
      <c r="D386" s="26" t="s">
        <v>1475</v>
      </c>
      <c r="E386" s="39">
        <v>1</v>
      </c>
      <c r="F386" s="37">
        <v>13011</v>
      </c>
      <c r="G386" s="38">
        <f>IFERROR(IF(B386="Tampa",INDEX(tbl_tampas[Massa_g],MATCH(A386,tbl_tampas[CapId],0)),INDEX(tbl_recyclass[Massa_Corpo_g],MATCH(A386,tbl_recyclass[ProductId],0))),0)</f>
        <v>40.5</v>
      </c>
      <c r="H386" s="32">
        <f t="shared" ref="H386:H449" si="18">F386*G386/1000</f>
        <v>526.94550000000004</v>
      </c>
      <c r="I386" s="36">
        <f>IFERROR(IF(B386="Tampa",INDEX(tbl_tampas[Pct_PCR],MATCH(A386,tbl_tampas[CapId],0)),INDEX(tbl_recyclass[Pct_PCR_Corpo],MATCH(A386,tbl_recyclass[ProductId],0))),0)</f>
        <v>0</v>
      </c>
      <c r="J386" s="32">
        <f t="shared" ref="J386:J449" si="19">H386*I386</f>
        <v>0</v>
      </c>
      <c r="K386" s="32">
        <f t="shared" ref="K386:K449" si="20">H386-J386</f>
        <v>526.94550000000004</v>
      </c>
      <c r="L386" s="43">
        <f>IF(C386="ES",K386*INDEX(tbl_param_emb[Valor],MATCH("P-01",tbl_param_emb[ID_Parametro],0)),0)</f>
        <v>237.12547500000002</v>
      </c>
      <c r="M386" s="33" t="str">
        <f>IF(B386="Tampa","Componente",IFERROR(INDEX(tbl_recyclass[Grau_PPWR_Indicativo],MATCH(A386,tbl_recyclass[ProductId],0)),""))</f>
        <v>Não reciclável (F)</v>
      </c>
    </row>
    <row r="387" spans="1:13" ht="16.05" customHeight="1" x14ac:dyDescent="0.3">
      <c r="A387" s="26" t="s">
        <v>785</v>
      </c>
      <c r="B387" s="26" t="s">
        <v>1470</v>
      </c>
      <c r="C387" s="26" t="s">
        <v>1472</v>
      </c>
      <c r="D387" s="26" t="s">
        <v>1473</v>
      </c>
      <c r="E387" s="39">
        <v>1</v>
      </c>
      <c r="F387" s="37">
        <v>4594</v>
      </c>
      <c r="G387" s="38">
        <f>IFERROR(IF(B387="Tampa",INDEX(tbl_tampas[Massa_g],MATCH(A387,tbl_tampas[CapId],0)),INDEX(tbl_recyclass[Massa_Corpo_g],MATCH(A387,tbl_recyclass[ProductId],0))),0)</f>
        <v>40.5</v>
      </c>
      <c r="H387" s="32">
        <f t="shared" si="18"/>
        <v>186.05699999999999</v>
      </c>
      <c r="I387" s="36">
        <f>IFERROR(IF(B387="Tampa",INDEX(tbl_tampas[Pct_PCR],MATCH(A387,tbl_tampas[CapId],0)),INDEX(tbl_recyclass[Pct_PCR_Corpo],MATCH(A387,tbl_recyclass[ProductId],0))),0)</f>
        <v>0.3</v>
      </c>
      <c r="J387" s="32">
        <f t="shared" si="19"/>
        <v>55.817099999999996</v>
      </c>
      <c r="K387" s="32">
        <f t="shared" si="20"/>
        <v>130.23989999999998</v>
      </c>
      <c r="L387" s="43">
        <f>IF(C387="ES",K387*INDEX(tbl_param_emb[Valor],MATCH("P-01",tbl_param_emb[ID_Parametro],0)),0)</f>
        <v>0</v>
      </c>
      <c r="M387" s="33" t="str">
        <f>IF(B387="Tampa","Componente",IFERROR(INDEX(tbl_recyclass[Grau_PPWR_Indicativo],MATCH(A387,tbl_recyclass[ProductId],0)),""))</f>
        <v>B</v>
      </c>
    </row>
    <row r="388" spans="1:13" ht="16.05" customHeight="1" x14ac:dyDescent="0.3">
      <c r="A388" s="26" t="s">
        <v>785</v>
      </c>
      <c r="B388" s="26" t="s">
        <v>1470</v>
      </c>
      <c r="C388" s="26" t="s">
        <v>847</v>
      </c>
      <c r="D388" s="26" t="s">
        <v>1471</v>
      </c>
      <c r="E388" s="39">
        <v>4</v>
      </c>
      <c r="F388" s="37">
        <v>19605</v>
      </c>
      <c r="G388" s="38">
        <f>IFERROR(IF(B388="Tampa",INDEX(tbl_tampas[Massa_g],MATCH(A388,tbl_tampas[CapId],0)),INDEX(tbl_recyclass[Massa_Corpo_g],MATCH(A388,tbl_recyclass[ProductId],0))),0)</f>
        <v>40.5</v>
      </c>
      <c r="H388" s="32">
        <f t="shared" si="18"/>
        <v>794.00250000000005</v>
      </c>
      <c r="I388" s="36">
        <f>IFERROR(IF(B388="Tampa",INDEX(tbl_tampas[Pct_PCR],MATCH(A388,tbl_tampas[CapId],0)),INDEX(tbl_recyclass[Pct_PCR_Corpo],MATCH(A388,tbl_recyclass[ProductId],0))),0)</f>
        <v>0.3</v>
      </c>
      <c r="J388" s="32">
        <f t="shared" si="19"/>
        <v>238.20075</v>
      </c>
      <c r="K388" s="32">
        <f t="shared" si="20"/>
        <v>555.80175000000008</v>
      </c>
      <c r="L388" s="43">
        <f>IF(C388="ES",K388*INDEX(tbl_param_emb[Valor],MATCH("P-01",tbl_param_emb[ID_Parametro],0)),0)</f>
        <v>0</v>
      </c>
      <c r="M388" s="33" t="str">
        <f>IF(B388="Tampa","Componente",IFERROR(INDEX(tbl_recyclass[Grau_PPWR_Indicativo],MATCH(A388,tbl_recyclass[ProductId],0)),""))</f>
        <v>B</v>
      </c>
    </row>
    <row r="389" spans="1:13" ht="16.05" customHeight="1" x14ac:dyDescent="0.3">
      <c r="A389" s="26" t="s">
        <v>785</v>
      </c>
      <c r="B389" s="26" t="s">
        <v>1470</v>
      </c>
      <c r="C389" s="26" t="s">
        <v>1474</v>
      </c>
      <c r="D389" s="26" t="s">
        <v>1475</v>
      </c>
      <c r="E389" s="39">
        <v>2</v>
      </c>
      <c r="F389" s="37">
        <v>5127</v>
      </c>
      <c r="G389" s="38">
        <f>IFERROR(IF(B389="Tampa",INDEX(tbl_tampas[Massa_g],MATCH(A389,tbl_tampas[CapId],0)),INDEX(tbl_recyclass[Massa_Corpo_g],MATCH(A389,tbl_recyclass[ProductId],0))),0)</f>
        <v>40.5</v>
      </c>
      <c r="H389" s="32">
        <f t="shared" si="18"/>
        <v>207.64349999999999</v>
      </c>
      <c r="I389" s="36">
        <f>IFERROR(IF(B389="Tampa",INDEX(tbl_tampas[Pct_PCR],MATCH(A389,tbl_tampas[CapId],0)),INDEX(tbl_recyclass[Pct_PCR_Corpo],MATCH(A389,tbl_recyclass[ProductId],0))),0)</f>
        <v>0.3</v>
      </c>
      <c r="J389" s="32">
        <f t="shared" si="19"/>
        <v>62.293049999999994</v>
      </c>
      <c r="K389" s="32">
        <f t="shared" si="20"/>
        <v>145.35045</v>
      </c>
      <c r="L389" s="43">
        <f>IF(C389="ES",K389*INDEX(tbl_param_emb[Valor],MATCH("P-01",tbl_param_emb[ID_Parametro],0)),0)</f>
        <v>65.407702499999999</v>
      </c>
      <c r="M389" s="33" t="str">
        <f>IF(B389="Tampa","Componente",IFERROR(INDEX(tbl_recyclass[Grau_PPWR_Indicativo],MATCH(A389,tbl_recyclass[ProductId],0)),""))</f>
        <v>B</v>
      </c>
    </row>
    <row r="390" spans="1:13" ht="16.05" customHeight="1" x14ac:dyDescent="0.3">
      <c r="A390" s="26" t="s">
        <v>790</v>
      </c>
      <c r="B390" s="26" t="s">
        <v>1470</v>
      </c>
      <c r="C390" s="26" t="s">
        <v>1472</v>
      </c>
      <c r="D390" s="26" t="s">
        <v>1473</v>
      </c>
      <c r="E390" s="39">
        <v>1</v>
      </c>
      <c r="F390" s="37">
        <v>7773</v>
      </c>
      <c r="G390" s="38">
        <f>IFERROR(IF(B390="Tampa",INDEX(tbl_tampas[Massa_g],MATCH(A390,tbl_tampas[CapId],0)),INDEX(tbl_recyclass[Massa_Corpo_g],MATCH(A390,tbl_recyclass[ProductId],0))),0)</f>
        <v>40.5</v>
      </c>
      <c r="H390" s="32">
        <f t="shared" si="18"/>
        <v>314.80650000000003</v>
      </c>
      <c r="I390" s="36">
        <f>IFERROR(IF(B390="Tampa",INDEX(tbl_tampas[Pct_PCR],MATCH(A390,tbl_tampas[CapId],0)),INDEX(tbl_recyclass[Pct_PCR_Corpo],MATCH(A390,tbl_recyclass[ProductId],0))),0)</f>
        <v>0.5</v>
      </c>
      <c r="J390" s="32">
        <f t="shared" si="19"/>
        <v>157.40325000000001</v>
      </c>
      <c r="K390" s="32">
        <f t="shared" si="20"/>
        <v>157.40325000000001</v>
      </c>
      <c r="L390" s="43">
        <f>IF(C390="ES",K390*INDEX(tbl_param_emb[Valor],MATCH("P-01",tbl_param_emb[ID_Parametro],0)),0)</f>
        <v>0</v>
      </c>
      <c r="M390" s="33" t="str">
        <f>IF(B390="Tampa","Componente",IFERROR(INDEX(tbl_recyclass[Grau_PPWR_Indicativo],MATCH(A390,tbl_recyclass[ProductId],0)),""))</f>
        <v>Abaixo de C</v>
      </c>
    </row>
    <row r="391" spans="1:13" ht="16.05" customHeight="1" x14ac:dyDescent="0.3">
      <c r="A391" s="26" t="s">
        <v>790</v>
      </c>
      <c r="B391" s="26" t="s">
        <v>1470</v>
      </c>
      <c r="C391" s="26" t="s">
        <v>1478</v>
      </c>
      <c r="D391" s="26" t="s">
        <v>1479</v>
      </c>
      <c r="E391" s="39">
        <v>1</v>
      </c>
      <c r="F391" s="37">
        <v>4231</v>
      </c>
      <c r="G391" s="38">
        <f>IFERROR(IF(B391="Tampa",INDEX(tbl_tampas[Massa_g],MATCH(A391,tbl_tampas[CapId],0)),INDEX(tbl_recyclass[Massa_Corpo_g],MATCH(A391,tbl_recyclass[ProductId],0))),0)</f>
        <v>40.5</v>
      </c>
      <c r="H391" s="32">
        <f t="shared" si="18"/>
        <v>171.35550000000001</v>
      </c>
      <c r="I391" s="36">
        <f>IFERROR(IF(B391="Tampa",INDEX(tbl_tampas[Pct_PCR],MATCH(A391,tbl_tampas[CapId],0)),INDEX(tbl_recyclass[Pct_PCR_Corpo],MATCH(A391,tbl_recyclass[ProductId],0))),0)</f>
        <v>0.5</v>
      </c>
      <c r="J391" s="32">
        <f t="shared" si="19"/>
        <v>85.677750000000003</v>
      </c>
      <c r="K391" s="32">
        <f t="shared" si="20"/>
        <v>85.677750000000003</v>
      </c>
      <c r="L391" s="43">
        <f>IF(C391="ES",K391*INDEX(tbl_param_emb[Valor],MATCH("P-01",tbl_param_emb[ID_Parametro],0)),0)</f>
        <v>0</v>
      </c>
      <c r="M391" s="33" t="str">
        <f>IF(B391="Tampa","Componente",IFERROR(INDEX(tbl_recyclass[Grau_PPWR_Indicativo],MATCH(A391,tbl_recyclass[ProductId],0)),""))</f>
        <v>Abaixo de C</v>
      </c>
    </row>
    <row r="392" spans="1:13" ht="16.05" customHeight="1" x14ac:dyDescent="0.3">
      <c r="A392" s="26" t="s">
        <v>790</v>
      </c>
      <c r="B392" s="26" t="s">
        <v>1470</v>
      </c>
      <c r="C392" s="26" t="s">
        <v>847</v>
      </c>
      <c r="D392" s="26" t="s">
        <v>1471</v>
      </c>
      <c r="E392" s="39">
        <v>7</v>
      </c>
      <c r="F392" s="37">
        <v>52463</v>
      </c>
      <c r="G392" s="38">
        <f>IFERROR(IF(B392="Tampa",INDEX(tbl_tampas[Massa_g],MATCH(A392,tbl_tampas[CapId],0)),INDEX(tbl_recyclass[Massa_Corpo_g],MATCH(A392,tbl_recyclass[ProductId],0))),0)</f>
        <v>40.5</v>
      </c>
      <c r="H392" s="32">
        <f t="shared" si="18"/>
        <v>2124.7514999999999</v>
      </c>
      <c r="I392" s="36">
        <f>IFERROR(IF(B392="Tampa",INDEX(tbl_tampas[Pct_PCR],MATCH(A392,tbl_tampas[CapId],0)),INDEX(tbl_recyclass[Pct_PCR_Corpo],MATCH(A392,tbl_recyclass[ProductId],0))),0)</f>
        <v>0.5</v>
      </c>
      <c r="J392" s="32">
        <f t="shared" si="19"/>
        <v>1062.3757499999999</v>
      </c>
      <c r="K392" s="32">
        <f t="shared" si="20"/>
        <v>1062.3757499999999</v>
      </c>
      <c r="L392" s="43">
        <f>IF(C392="ES",K392*INDEX(tbl_param_emb[Valor],MATCH("P-01",tbl_param_emb[ID_Parametro],0)),0)</f>
        <v>0</v>
      </c>
      <c r="M392" s="33" t="str">
        <f>IF(B392="Tampa","Componente",IFERROR(INDEX(tbl_recyclass[Grau_PPWR_Indicativo],MATCH(A392,tbl_recyclass[ProductId],0)),""))</f>
        <v>Abaixo de C</v>
      </c>
    </row>
    <row r="393" spans="1:13" ht="16.05" customHeight="1" x14ac:dyDescent="0.3">
      <c r="A393" s="26" t="s">
        <v>790</v>
      </c>
      <c r="B393" s="26" t="s">
        <v>1470</v>
      </c>
      <c r="C393" s="26" t="s">
        <v>1474</v>
      </c>
      <c r="D393" s="26" t="s">
        <v>1475</v>
      </c>
      <c r="E393" s="39">
        <v>2</v>
      </c>
      <c r="F393" s="37">
        <v>16902</v>
      </c>
      <c r="G393" s="38">
        <f>IFERROR(IF(B393="Tampa",INDEX(tbl_tampas[Massa_g],MATCH(A393,tbl_tampas[CapId],0)),INDEX(tbl_recyclass[Massa_Corpo_g],MATCH(A393,tbl_recyclass[ProductId],0))),0)</f>
        <v>40.5</v>
      </c>
      <c r="H393" s="32">
        <f t="shared" si="18"/>
        <v>684.53099999999995</v>
      </c>
      <c r="I393" s="36">
        <f>IFERROR(IF(B393="Tampa",INDEX(tbl_tampas[Pct_PCR],MATCH(A393,tbl_tampas[CapId],0)),INDEX(tbl_recyclass[Pct_PCR_Corpo],MATCH(A393,tbl_recyclass[ProductId],0))),0)</f>
        <v>0.5</v>
      </c>
      <c r="J393" s="32">
        <f t="shared" si="19"/>
        <v>342.26549999999997</v>
      </c>
      <c r="K393" s="32">
        <f t="shared" si="20"/>
        <v>342.26549999999997</v>
      </c>
      <c r="L393" s="43">
        <f>IF(C393="ES",K393*INDEX(tbl_param_emb[Valor],MATCH("P-01",tbl_param_emb[ID_Parametro],0)),0)</f>
        <v>154.019475</v>
      </c>
      <c r="M393" s="33" t="str">
        <f>IF(B393="Tampa","Componente",IFERROR(INDEX(tbl_recyclass[Grau_PPWR_Indicativo],MATCH(A393,tbl_recyclass[ProductId],0)),""))</f>
        <v>Abaixo de C</v>
      </c>
    </row>
    <row r="394" spans="1:13" ht="16.05" customHeight="1" x14ac:dyDescent="0.3">
      <c r="A394" s="26" t="s">
        <v>765</v>
      </c>
      <c r="B394" s="26" t="s">
        <v>1470</v>
      </c>
      <c r="C394" s="26" t="s">
        <v>1476</v>
      </c>
      <c r="D394" s="26" t="s">
        <v>1477</v>
      </c>
      <c r="E394" s="39">
        <v>1</v>
      </c>
      <c r="F394" s="37">
        <v>8947</v>
      </c>
      <c r="G394" s="38">
        <f>IFERROR(IF(B394="Tampa",INDEX(tbl_tampas[Massa_g],MATCH(A394,tbl_tampas[CapId],0)),INDEX(tbl_recyclass[Massa_Corpo_g],MATCH(A394,tbl_recyclass[ProductId],0))),0)</f>
        <v>40.5</v>
      </c>
      <c r="H394" s="32">
        <f t="shared" si="18"/>
        <v>362.3535</v>
      </c>
      <c r="I394" s="36">
        <f>IFERROR(IF(B394="Tampa",INDEX(tbl_tampas[Pct_PCR],MATCH(A394,tbl_tampas[CapId],0)),INDEX(tbl_recyclass[Pct_PCR_Corpo],MATCH(A394,tbl_recyclass[ProductId],0))),0)</f>
        <v>0</v>
      </c>
      <c r="J394" s="32">
        <f t="shared" si="19"/>
        <v>0</v>
      </c>
      <c r="K394" s="32">
        <f t="shared" si="20"/>
        <v>362.3535</v>
      </c>
      <c r="L394" s="43">
        <f>IF(C394="ES",K394*INDEX(tbl_param_emb[Valor],MATCH("P-01",tbl_param_emb[ID_Parametro],0)),0)</f>
        <v>0</v>
      </c>
      <c r="M394" s="33" t="str">
        <f>IF(B394="Tampa","Componente",IFERROR(INDEX(tbl_recyclass[Grau_PPWR_Indicativo],MATCH(A394,tbl_recyclass[ProductId],0)),""))</f>
        <v>B</v>
      </c>
    </row>
    <row r="395" spans="1:13" ht="16.05" customHeight="1" x14ac:dyDescent="0.3">
      <c r="A395" s="26" t="s">
        <v>765</v>
      </c>
      <c r="B395" s="26" t="s">
        <v>1470</v>
      </c>
      <c r="C395" s="26" t="s">
        <v>1472</v>
      </c>
      <c r="D395" s="26" t="s">
        <v>1473</v>
      </c>
      <c r="E395" s="39">
        <v>1</v>
      </c>
      <c r="F395" s="37">
        <v>15356</v>
      </c>
      <c r="G395" s="38">
        <f>IFERROR(IF(B395="Tampa",INDEX(tbl_tampas[Massa_g],MATCH(A395,tbl_tampas[CapId],0)),INDEX(tbl_recyclass[Massa_Corpo_g],MATCH(A395,tbl_recyclass[ProductId],0))),0)</f>
        <v>40.5</v>
      </c>
      <c r="H395" s="32">
        <f t="shared" si="18"/>
        <v>621.91800000000001</v>
      </c>
      <c r="I395" s="36">
        <f>IFERROR(IF(B395="Tampa",INDEX(tbl_tampas[Pct_PCR],MATCH(A395,tbl_tampas[CapId],0)),INDEX(tbl_recyclass[Pct_PCR_Corpo],MATCH(A395,tbl_recyclass[ProductId],0))),0)</f>
        <v>0</v>
      </c>
      <c r="J395" s="32">
        <f t="shared" si="19"/>
        <v>0</v>
      </c>
      <c r="K395" s="32">
        <f t="shared" si="20"/>
        <v>621.91800000000001</v>
      </c>
      <c r="L395" s="43">
        <f>IF(C395="ES",K395*INDEX(tbl_param_emb[Valor],MATCH("P-01",tbl_param_emb[ID_Parametro],0)),0)</f>
        <v>0</v>
      </c>
      <c r="M395" s="33" t="str">
        <f>IF(B395="Tampa","Componente",IFERROR(INDEX(tbl_recyclass[Grau_PPWR_Indicativo],MATCH(A395,tbl_recyclass[ProductId],0)),""))</f>
        <v>B</v>
      </c>
    </row>
    <row r="396" spans="1:13" ht="16.05" customHeight="1" x14ac:dyDescent="0.3">
      <c r="A396" s="26" t="s">
        <v>765</v>
      </c>
      <c r="B396" s="26" t="s">
        <v>1470</v>
      </c>
      <c r="C396" s="26" t="s">
        <v>1478</v>
      </c>
      <c r="D396" s="26" t="s">
        <v>1479</v>
      </c>
      <c r="E396" s="39">
        <v>1</v>
      </c>
      <c r="F396" s="37">
        <v>4851</v>
      </c>
      <c r="G396" s="38">
        <f>IFERROR(IF(B396="Tampa",INDEX(tbl_tampas[Massa_g],MATCH(A396,tbl_tampas[CapId],0)),INDEX(tbl_recyclass[Massa_Corpo_g],MATCH(A396,tbl_recyclass[ProductId],0))),0)</f>
        <v>40.5</v>
      </c>
      <c r="H396" s="32">
        <f t="shared" si="18"/>
        <v>196.46549999999999</v>
      </c>
      <c r="I396" s="36">
        <f>IFERROR(IF(B396="Tampa",INDEX(tbl_tampas[Pct_PCR],MATCH(A396,tbl_tampas[CapId],0)),INDEX(tbl_recyclass[Pct_PCR_Corpo],MATCH(A396,tbl_recyclass[ProductId],0))),0)</f>
        <v>0</v>
      </c>
      <c r="J396" s="32">
        <f t="shared" si="19"/>
        <v>0</v>
      </c>
      <c r="K396" s="32">
        <f t="shared" si="20"/>
        <v>196.46549999999999</v>
      </c>
      <c r="L396" s="43">
        <f>IF(C396="ES",K396*INDEX(tbl_param_emb[Valor],MATCH("P-01",tbl_param_emb[ID_Parametro],0)),0)</f>
        <v>0</v>
      </c>
      <c r="M396" s="33" t="str">
        <f>IF(B396="Tampa","Componente",IFERROR(INDEX(tbl_recyclass[Grau_PPWR_Indicativo],MATCH(A396,tbl_recyclass[ProductId],0)),""))</f>
        <v>B</v>
      </c>
    </row>
    <row r="397" spans="1:13" ht="16.05" customHeight="1" x14ac:dyDescent="0.3">
      <c r="A397" s="26" t="s">
        <v>765</v>
      </c>
      <c r="B397" s="26" t="s">
        <v>1470</v>
      </c>
      <c r="C397" s="26" t="s">
        <v>1480</v>
      </c>
      <c r="D397" s="26" t="s">
        <v>1481</v>
      </c>
      <c r="E397" s="39">
        <v>1</v>
      </c>
      <c r="F397" s="37">
        <v>16250</v>
      </c>
      <c r="G397" s="38">
        <f>IFERROR(IF(B397="Tampa",INDEX(tbl_tampas[Massa_g],MATCH(A397,tbl_tampas[CapId],0)),INDEX(tbl_recyclass[Massa_Corpo_g],MATCH(A397,tbl_recyclass[ProductId],0))),0)</f>
        <v>40.5</v>
      </c>
      <c r="H397" s="32">
        <f t="shared" si="18"/>
        <v>658.125</v>
      </c>
      <c r="I397" s="36">
        <f>IFERROR(IF(B397="Tampa",INDEX(tbl_tampas[Pct_PCR],MATCH(A397,tbl_tampas[CapId],0)),INDEX(tbl_recyclass[Pct_PCR_Corpo],MATCH(A397,tbl_recyclass[ProductId],0))),0)</f>
        <v>0</v>
      </c>
      <c r="J397" s="32">
        <f t="shared" si="19"/>
        <v>0</v>
      </c>
      <c r="K397" s="32">
        <f t="shared" si="20"/>
        <v>658.125</v>
      </c>
      <c r="L397" s="43">
        <f>IF(C397="ES",K397*INDEX(tbl_param_emb[Valor],MATCH("P-01",tbl_param_emb[ID_Parametro],0)),0)</f>
        <v>0</v>
      </c>
      <c r="M397" s="33" t="str">
        <f>IF(B397="Tampa","Componente",IFERROR(INDEX(tbl_recyclass[Grau_PPWR_Indicativo],MATCH(A397,tbl_recyclass[ProductId],0)),""))</f>
        <v>B</v>
      </c>
    </row>
    <row r="398" spans="1:13" ht="16.05" customHeight="1" x14ac:dyDescent="0.3">
      <c r="A398" s="26" t="s">
        <v>765</v>
      </c>
      <c r="B398" s="26" t="s">
        <v>1470</v>
      </c>
      <c r="C398" s="26" t="s">
        <v>847</v>
      </c>
      <c r="D398" s="26" t="s">
        <v>1471</v>
      </c>
      <c r="E398" s="39">
        <v>7</v>
      </c>
      <c r="F398" s="37">
        <v>85706</v>
      </c>
      <c r="G398" s="38">
        <f>IFERROR(IF(B398="Tampa",INDEX(tbl_tampas[Massa_g],MATCH(A398,tbl_tampas[CapId],0)),INDEX(tbl_recyclass[Massa_Corpo_g],MATCH(A398,tbl_recyclass[ProductId],0))),0)</f>
        <v>40.5</v>
      </c>
      <c r="H398" s="32">
        <f t="shared" si="18"/>
        <v>3471.0929999999998</v>
      </c>
      <c r="I398" s="36">
        <f>IFERROR(IF(B398="Tampa",INDEX(tbl_tampas[Pct_PCR],MATCH(A398,tbl_tampas[CapId],0)),INDEX(tbl_recyclass[Pct_PCR_Corpo],MATCH(A398,tbl_recyclass[ProductId],0))),0)</f>
        <v>0</v>
      </c>
      <c r="J398" s="32">
        <f t="shared" si="19"/>
        <v>0</v>
      </c>
      <c r="K398" s="32">
        <f t="shared" si="20"/>
        <v>3471.0929999999998</v>
      </c>
      <c r="L398" s="43">
        <f>IF(C398="ES",K398*INDEX(tbl_param_emb[Valor],MATCH("P-01",tbl_param_emb[ID_Parametro],0)),0)</f>
        <v>0</v>
      </c>
      <c r="M398" s="33" t="str">
        <f>IF(B398="Tampa","Componente",IFERROR(INDEX(tbl_recyclass[Grau_PPWR_Indicativo],MATCH(A398,tbl_recyclass[ProductId],0)),""))</f>
        <v>B</v>
      </c>
    </row>
    <row r="399" spans="1:13" ht="16.05" customHeight="1" x14ac:dyDescent="0.3">
      <c r="A399" s="26" t="s">
        <v>765</v>
      </c>
      <c r="B399" s="26" t="s">
        <v>1470</v>
      </c>
      <c r="C399" s="26" t="s">
        <v>1474</v>
      </c>
      <c r="D399" s="26" t="s">
        <v>1475</v>
      </c>
      <c r="E399" s="39">
        <v>2</v>
      </c>
      <c r="F399" s="37">
        <v>17639</v>
      </c>
      <c r="G399" s="38">
        <f>IFERROR(IF(B399="Tampa",INDEX(tbl_tampas[Massa_g],MATCH(A399,tbl_tampas[CapId],0)),INDEX(tbl_recyclass[Massa_Corpo_g],MATCH(A399,tbl_recyclass[ProductId],0))),0)</f>
        <v>40.5</v>
      </c>
      <c r="H399" s="32">
        <f t="shared" si="18"/>
        <v>714.37950000000001</v>
      </c>
      <c r="I399" s="36">
        <f>IFERROR(IF(B399="Tampa",INDEX(tbl_tampas[Pct_PCR],MATCH(A399,tbl_tampas[CapId],0)),INDEX(tbl_recyclass[Pct_PCR_Corpo],MATCH(A399,tbl_recyclass[ProductId],0))),0)</f>
        <v>0</v>
      </c>
      <c r="J399" s="32">
        <f t="shared" si="19"/>
        <v>0</v>
      </c>
      <c r="K399" s="32">
        <f t="shared" si="20"/>
        <v>714.37950000000001</v>
      </c>
      <c r="L399" s="43">
        <f>IF(C399="ES",K399*INDEX(tbl_param_emb[Valor],MATCH("P-01",tbl_param_emb[ID_Parametro],0)),0)</f>
        <v>321.470775</v>
      </c>
      <c r="M399" s="33" t="str">
        <f>IF(B399="Tampa","Componente",IFERROR(INDEX(tbl_recyclass[Grau_PPWR_Indicativo],MATCH(A399,tbl_recyclass[ProductId],0)),""))</f>
        <v>B</v>
      </c>
    </row>
    <row r="400" spans="1:13" ht="16.05" customHeight="1" x14ac:dyDescent="0.3">
      <c r="A400" s="26" t="s">
        <v>795</v>
      </c>
      <c r="B400" s="26" t="s">
        <v>1470</v>
      </c>
      <c r="C400" s="26" t="s">
        <v>1476</v>
      </c>
      <c r="D400" s="26" t="s">
        <v>1477</v>
      </c>
      <c r="E400" s="39">
        <v>1</v>
      </c>
      <c r="F400" s="37">
        <v>8486</v>
      </c>
      <c r="G400" s="38">
        <f>IFERROR(IF(B400="Tampa",INDEX(tbl_tampas[Massa_g],MATCH(A400,tbl_tampas[CapId],0)),INDEX(tbl_recyclass[Massa_Corpo_g],MATCH(A400,tbl_recyclass[ProductId],0))),0)</f>
        <v>40.5</v>
      </c>
      <c r="H400" s="32">
        <f t="shared" si="18"/>
        <v>343.68299999999999</v>
      </c>
      <c r="I400" s="36">
        <f>IFERROR(IF(B400="Tampa",INDEX(tbl_tampas[Pct_PCR],MATCH(A400,tbl_tampas[CapId],0)),INDEX(tbl_recyclass[Pct_PCR_Corpo],MATCH(A400,tbl_recyclass[ProductId],0))),0)</f>
        <v>0.5</v>
      </c>
      <c r="J400" s="32">
        <f t="shared" si="19"/>
        <v>171.8415</v>
      </c>
      <c r="K400" s="32">
        <f t="shared" si="20"/>
        <v>171.8415</v>
      </c>
      <c r="L400" s="43">
        <f>IF(C400="ES",K400*INDEX(tbl_param_emb[Valor],MATCH("P-01",tbl_param_emb[ID_Parametro],0)),0)</f>
        <v>0</v>
      </c>
      <c r="M400" s="33" t="str">
        <f>IF(B400="Tampa","Componente",IFERROR(INDEX(tbl_recyclass[Grau_PPWR_Indicativo],MATCH(A400,tbl_recyclass[ProductId],0)),""))</f>
        <v>Abaixo de C</v>
      </c>
    </row>
    <row r="401" spans="1:13" ht="16.05" customHeight="1" x14ac:dyDescent="0.3">
      <c r="A401" s="26" t="s">
        <v>795</v>
      </c>
      <c r="B401" s="26" t="s">
        <v>1470</v>
      </c>
      <c r="C401" s="26" t="s">
        <v>1472</v>
      </c>
      <c r="D401" s="26" t="s">
        <v>1473</v>
      </c>
      <c r="E401" s="39">
        <v>1</v>
      </c>
      <c r="F401" s="37">
        <v>4554</v>
      </c>
      <c r="G401" s="38">
        <f>IFERROR(IF(B401="Tampa",INDEX(tbl_tampas[Massa_g],MATCH(A401,tbl_tampas[CapId],0)),INDEX(tbl_recyclass[Massa_Corpo_g],MATCH(A401,tbl_recyclass[ProductId],0))),0)</f>
        <v>40.5</v>
      </c>
      <c r="H401" s="32">
        <f t="shared" si="18"/>
        <v>184.43700000000001</v>
      </c>
      <c r="I401" s="36">
        <f>IFERROR(IF(B401="Tampa",INDEX(tbl_tampas[Pct_PCR],MATCH(A401,tbl_tampas[CapId],0)),INDEX(tbl_recyclass[Pct_PCR_Corpo],MATCH(A401,tbl_recyclass[ProductId],0))),0)</f>
        <v>0.5</v>
      </c>
      <c r="J401" s="32">
        <f t="shared" si="19"/>
        <v>92.218500000000006</v>
      </c>
      <c r="K401" s="32">
        <f t="shared" si="20"/>
        <v>92.218500000000006</v>
      </c>
      <c r="L401" s="43">
        <f>IF(C401="ES",K401*INDEX(tbl_param_emb[Valor],MATCH("P-01",tbl_param_emb[ID_Parametro],0)),0)</f>
        <v>0</v>
      </c>
      <c r="M401" s="33" t="str">
        <f>IF(B401="Tampa","Componente",IFERROR(INDEX(tbl_recyclass[Grau_PPWR_Indicativo],MATCH(A401,tbl_recyclass[ProductId],0)),""))</f>
        <v>Abaixo de C</v>
      </c>
    </row>
    <row r="402" spans="1:13" ht="16.05" customHeight="1" x14ac:dyDescent="0.3">
      <c r="A402" s="26" t="s">
        <v>795</v>
      </c>
      <c r="B402" s="26" t="s">
        <v>1470</v>
      </c>
      <c r="C402" s="26" t="s">
        <v>1478</v>
      </c>
      <c r="D402" s="26" t="s">
        <v>1479</v>
      </c>
      <c r="E402" s="39">
        <v>1</v>
      </c>
      <c r="F402" s="37">
        <v>5450</v>
      </c>
      <c r="G402" s="38">
        <f>IFERROR(IF(B402="Tampa",INDEX(tbl_tampas[Massa_g],MATCH(A402,tbl_tampas[CapId],0)),INDEX(tbl_recyclass[Massa_Corpo_g],MATCH(A402,tbl_recyclass[ProductId],0))),0)</f>
        <v>40.5</v>
      </c>
      <c r="H402" s="32">
        <f t="shared" si="18"/>
        <v>220.72499999999999</v>
      </c>
      <c r="I402" s="36">
        <f>IFERROR(IF(B402="Tampa",INDEX(tbl_tampas[Pct_PCR],MATCH(A402,tbl_tampas[CapId],0)),INDEX(tbl_recyclass[Pct_PCR_Corpo],MATCH(A402,tbl_recyclass[ProductId],0))),0)</f>
        <v>0.5</v>
      </c>
      <c r="J402" s="32">
        <f t="shared" si="19"/>
        <v>110.3625</v>
      </c>
      <c r="K402" s="32">
        <f t="shared" si="20"/>
        <v>110.3625</v>
      </c>
      <c r="L402" s="43">
        <f>IF(C402="ES",K402*INDEX(tbl_param_emb[Valor],MATCH("P-01",tbl_param_emb[ID_Parametro],0)),0)</f>
        <v>0</v>
      </c>
      <c r="M402" s="33" t="str">
        <f>IF(B402="Tampa","Componente",IFERROR(INDEX(tbl_recyclass[Grau_PPWR_Indicativo],MATCH(A402,tbl_recyclass[ProductId],0)),""))</f>
        <v>Abaixo de C</v>
      </c>
    </row>
    <row r="403" spans="1:13" ht="16.05" customHeight="1" x14ac:dyDescent="0.3">
      <c r="A403" s="26" t="s">
        <v>795</v>
      </c>
      <c r="B403" s="26" t="s">
        <v>1470</v>
      </c>
      <c r="C403" s="26" t="s">
        <v>1480</v>
      </c>
      <c r="D403" s="26" t="s">
        <v>1481</v>
      </c>
      <c r="E403" s="39">
        <v>1</v>
      </c>
      <c r="F403" s="37">
        <v>4212</v>
      </c>
      <c r="G403" s="38">
        <f>IFERROR(IF(B403="Tampa",INDEX(tbl_tampas[Massa_g],MATCH(A403,tbl_tampas[CapId],0)),INDEX(tbl_recyclass[Massa_Corpo_g],MATCH(A403,tbl_recyclass[ProductId],0))),0)</f>
        <v>40.5</v>
      </c>
      <c r="H403" s="32">
        <f t="shared" si="18"/>
        <v>170.58600000000001</v>
      </c>
      <c r="I403" s="36">
        <f>IFERROR(IF(B403="Tampa",INDEX(tbl_tampas[Pct_PCR],MATCH(A403,tbl_tampas[CapId],0)),INDEX(tbl_recyclass[Pct_PCR_Corpo],MATCH(A403,tbl_recyclass[ProductId],0))),0)</f>
        <v>0.5</v>
      </c>
      <c r="J403" s="32">
        <f t="shared" si="19"/>
        <v>85.293000000000006</v>
      </c>
      <c r="K403" s="32">
        <f t="shared" si="20"/>
        <v>85.293000000000006</v>
      </c>
      <c r="L403" s="43">
        <f>IF(C403="ES",K403*INDEX(tbl_param_emb[Valor],MATCH("P-01",tbl_param_emb[ID_Parametro],0)),0)</f>
        <v>0</v>
      </c>
      <c r="M403" s="33" t="str">
        <f>IF(B403="Tampa","Componente",IFERROR(INDEX(tbl_recyclass[Grau_PPWR_Indicativo],MATCH(A403,tbl_recyclass[ProductId],0)),""))</f>
        <v>Abaixo de C</v>
      </c>
    </row>
    <row r="404" spans="1:13" ht="16.05" customHeight="1" x14ac:dyDescent="0.3">
      <c r="A404" s="26" t="s">
        <v>795</v>
      </c>
      <c r="B404" s="26" t="s">
        <v>1470</v>
      </c>
      <c r="C404" s="26" t="s">
        <v>847</v>
      </c>
      <c r="D404" s="26" t="s">
        <v>1471</v>
      </c>
      <c r="E404" s="39">
        <v>7</v>
      </c>
      <c r="F404" s="37">
        <v>69250</v>
      </c>
      <c r="G404" s="38">
        <f>IFERROR(IF(B404="Tampa",INDEX(tbl_tampas[Massa_g],MATCH(A404,tbl_tampas[CapId],0)),INDEX(tbl_recyclass[Massa_Corpo_g],MATCH(A404,tbl_recyclass[ProductId],0))),0)</f>
        <v>40.5</v>
      </c>
      <c r="H404" s="32">
        <f t="shared" si="18"/>
        <v>2804.625</v>
      </c>
      <c r="I404" s="36">
        <f>IFERROR(IF(B404="Tampa",INDEX(tbl_tampas[Pct_PCR],MATCH(A404,tbl_tampas[CapId],0)),INDEX(tbl_recyclass[Pct_PCR_Corpo],MATCH(A404,tbl_recyclass[ProductId],0))),0)</f>
        <v>0.5</v>
      </c>
      <c r="J404" s="32">
        <f t="shared" si="19"/>
        <v>1402.3125</v>
      </c>
      <c r="K404" s="32">
        <f t="shared" si="20"/>
        <v>1402.3125</v>
      </c>
      <c r="L404" s="43">
        <f>IF(C404="ES",K404*INDEX(tbl_param_emb[Valor],MATCH("P-01",tbl_param_emb[ID_Parametro],0)),0)</f>
        <v>0</v>
      </c>
      <c r="M404" s="33" t="str">
        <f>IF(B404="Tampa","Componente",IFERROR(INDEX(tbl_recyclass[Grau_PPWR_Indicativo],MATCH(A404,tbl_recyclass[ProductId],0)),""))</f>
        <v>Abaixo de C</v>
      </c>
    </row>
    <row r="405" spans="1:13" ht="16.05" customHeight="1" x14ac:dyDescent="0.3">
      <c r="A405" s="26" t="s">
        <v>795</v>
      </c>
      <c r="B405" s="26" t="s">
        <v>1470</v>
      </c>
      <c r="C405" s="26" t="s">
        <v>1474</v>
      </c>
      <c r="D405" s="26" t="s">
        <v>1475</v>
      </c>
      <c r="E405" s="39">
        <v>1</v>
      </c>
      <c r="F405" s="37">
        <v>2783</v>
      </c>
      <c r="G405" s="38">
        <f>IFERROR(IF(B405="Tampa",INDEX(tbl_tampas[Massa_g],MATCH(A405,tbl_tampas[CapId],0)),INDEX(tbl_recyclass[Massa_Corpo_g],MATCH(A405,tbl_recyclass[ProductId],0))),0)</f>
        <v>40.5</v>
      </c>
      <c r="H405" s="32">
        <f t="shared" si="18"/>
        <v>112.7115</v>
      </c>
      <c r="I405" s="36">
        <f>IFERROR(IF(B405="Tampa",INDEX(tbl_tampas[Pct_PCR],MATCH(A405,tbl_tampas[CapId],0)),INDEX(tbl_recyclass[Pct_PCR_Corpo],MATCH(A405,tbl_recyclass[ProductId],0))),0)</f>
        <v>0.5</v>
      </c>
      <c r="J405" s="32">
        <f t="shared" si="19"/>
        <v>56.35575</v>
      </c>
      <c r="K405" s="32">
        <f t="shared" si="20"/>
        <v>56.35575</v>
      </c>
      <c r="L405" s="43">
        <f>IF(C405="ES",K405*INDEX(tbl_param_emb[Valor],MATCH("P-01",tbl_param_emb[ID_Parametro],0)),0)</f>
        <v>25.360087500000002</v>
      </c>
      <c r="M405" s="33" t="str">
        <f>IF(B405="Tampa","Componente",IFERROR(INDEX(tbl_recyclass[Grau_PPWR_Indicativo],MATCH(A405,tbl_recyclass[ProductId],0)),""))</f>
        <v>Abaixo de C</v>
      </c>
    </row>
    <row r="406" spans="1:13" ht="16.05" customHeight="1" x14ac:dyDescent="0.3">
      <c r="A406" s="26" t="s">
        <v>797</v>
      </c>
      <c r="B406" s="26" t="s">
        <v>1470</v>
      </c>
      <c r="C406" s="26" t="s">
        <v>1476</v>
      </c>
      <c r="D406" s="26" t="s">
        <v>1477</v>
      </c>
      <c r="E406" s="39">
        <v>1</v>
      </c>
      <c r="F406" s="37">
        <v>9459</v>
      </c>
      <c r="G406" s="38">
        <f>IFERROR(IF(B406="Tampa",INDEX(tbl_tampas[Massa_g],MATCH(A406,tbl_tampas[CapId],0)),INDEX(tbl_recyclass[Massa_Corpo_g],MATCH(A406,tbl_recyclass[ProductId],0))),0)</f>
        <v>49.1</v>
      </c>
      <c r="H406" s="32">
        <f t="shared" si="18"/>
        <v>464.43690000000004</v>
      </c>
      <c r="I406" s="36">
        <f>IFERROR(IF(B406="Tampa",INDEX(tbl_tampas[Pct_PCR],MATCH(A406,tbl_tampas[CapId],0)),INDEX(tbl_recyclass[Pct_PCR_Corpo],MATCH(A406,tbl_recyclass[ProductId],0))),0)</f>
        <v>0</v>
      </c>
      <c r="J406" s="32">
        <f t="shared" si="19"/>
        <v>0</v>
      </c>
      <c r="K406" s="32">
        <f t="shared" si="20"/>
        <v>464.43690000000004</v>
      </c>
      <c r="L406" s="43">
        <f>IF(C406="ES",K406*INDEX(tbl_param_emb[Valor],MATCH("P-01",tbl_param_emb[ID_Parametro],0)),0)</f>
        <v>0</v>
      </c>
      <c r="M406" s="33" t="str">
        <f>IF(B406="Tampa","Componente",IFERROR(INDEX(tbl_recyclass[Grau_PPWR_Indicativo],MATCH(A406,tbl_recyclass[ProductId],0)),""))</f>
        <v>Não reciclável (F)</v>
      </c>
    </row>
    <row r="407" spans="1:13" ht="16.05" customHeight="1" x14ac:dyDescent="0.3">
      <c r="A407" s="26" t="s">
        <v>797</v>
      </c>
      <c r="B407" s="26" t="s">
        <v>1470</v>
      </c>
      <c r="C407" s="26" t="s">
        <v>1472</v>
      </c>
      <c r="D407" s="26" t="s">
        <v>1473</v>
      </c>
      <c r="E407" s="39">
        <v>1</v>
      </c>
      <c r="F407" s="37">
        <v>6540</v>
      </c>
      <c r="G407" s="38">
        <f>IFERROR(IF(B407="Tampa",INDEX(tbl_tampas[Massa_g],MATCH(A407,tbl_tampas[CapId],0)),INDEX(tbl_recyclass[Massa_Corpo_g],MATCH(A407,tbl_recyclass[ProductId],0))),0)</f>
        <v>49.1</v>
      </c>
      <c r="H407" s="32">
        <f t="shared" si="18"/>
        <v>321.11399999999998</v>
      </c>
      <c r="I407" s="36">
        <f>IFERROR(IF(B407="Tampa",INDEX(tbl_tampas[Pct_PCR],MATCH(A407,tbl_tampas[CapId],0)),INDEX(tbl_recyclass[Pct_PCR_Corpo],MATCH(A407,tbl_recyclass[ProductId],0))),0)</f>
        <v>0</v>
      </c>
      <c r="J407" s="32">
        <f t="shared" si="19"/>
        <v>0</v>
      </c>
      <c r="K407" s="32">
        <f t="shared" si="20"/>
        <v>321.11399999999998</v>
      </c>
      <c r="L407" s="43">
        <f>IF(C407="ES",K407*INDEX(tbl_param_emb[Valor],MATCH("P-01",tbl_param_emb[ID_Parametro],0)),0)</f>
        <v>0</v>
      </c>
      <c r="M407" s="33" t="str">
        <f>IF(B407="Tampa","Componente",IFERROR(INDEX(tbl_recyclass[Grau_PPWR_Indicativo],MATCH(A407,tbl_recyclass[ProductId],0)),""))</f>
        <v>Não reciclável (F)</v>
      </c>
    </row>
    <row r="408" spans="1:13" ht="16.05" customHeight="1" x14ac:dyDescent="0.3">
      <c r="A408" s="26" t="s">
        <v>797</v>
      </c>
      <c r="B408" s="26" t="s">
        <v>1470</v>
      </c>
      <c r="C408" s="26" t="s">
        <v>1478</v>
      </c>
      <c r="D408" s="26" t="s">
        <v>1479</v>
      </c>
      <c r="E408" s="39">
        <v>1</v>
      </c>
      <c r="F408" s="37">
        <v>14701</v>
      </c>
      <c r="G408" s="38">
        <f>IFERROR(IF(B408="Tampa",INDEX(tbl_tampas[Massa_g],MATCH(A408,tbl_tampas[CapId],0)),INDEX(tbl_recyclass[Massa_Corpo_g],MATCH(A408,tbl_recyclass[ProductId],0))),0)</f>
        <v>49.1</v>
      </c>
      <c r="H408" s="32">
        <f t="shared" si="18"/>
        <v>721.81909999999993</v>
      </c>
      <c r="I408" s="36">
        <f>IFERROR(IF(B408="Tampa",INDEX(tbl_tampas[Pct_PCR],MATCH(A408,tbl_tampas[CapId],0)),INDEX(tbl_recyclass[Pct_PCR_Corpo],MATCH(A408,tbl_recyclass[ProductId],0))),0)</f>
        <v>0</v>
      </c>
      <c r="J408" s="32">
        <f t="shared" si="19"/>
        <v>0</v>
      </c>
      <c r="K408" s="32">
        <f t="shared" si="20"/>
        <v>721.81909999999993</v>
      </c>
      <c r="L408" s="43">
        <f>IF(C408="ES",K408*INDEX(tbl_param_emb[Valor],MATCH("P-01",tbl_param_emb[ID_Parametro],0)),0)</f>
        <v>0</v>
      </c>
      <c r="M408" s="33" t="str">
        <f>IF(B408="Tampa","Componente",IFERROR(INDEX(tbl_recyclass[Grau_PPWR_Indicativo],MATCH(A408,tbl_recyclass[ProductId],0)),""))</f>
        <v>Não reciclável (F)</v>
      </c>
    </row>
    <row r="409" spans="1:13" ht="16.05" customHeight="1" x14ac:dyDescent="0.3">
      <c r="A409" s="26" t="s">
        <v>797</v>
      </c>
      <c r="B409" s="26" t="s">
        <v>1470</v>
      </c>
      <c r="C409" s="26" t="s">
        <v>1480</v>
      </c>
      <c r="D409" s="26" t="s">
        <v>1481</v>
      </c>
      <c r="E409" s="39">
        <v>1</v>
      </c>
      <c r="F409" s="37">
        <v>4788</v>
      </c>
      <c r="G409" s="38">
        <f>IFERROR(IF(B409="Tampa",INDEX(tbl_tampas[Massa_g],MATCH(A409,tbl_tampas[CapId],0)),INDEX(tbl_recyclass[Massa_Corpo_g],MATCH(A409,tbl_recyclass[ProductId],0))),0)</f>
        <v>49.1</v>
      </c>
      <c r="H409" s="32">
        <f t="shared" si="18"/>
        <v>235.09080000000003</v>
      </c>
      <c r="I409" s="36">
        <f>IFERROR(IF(B409="Tampa",INDEX(tbl_tampas[Pct_PCR],MATCH(A409,tbl_tampas[CapId],0)),INDEX(tbl_recyclass[Pct_PCR_Corpo],MATCH(A409,tbl_recyclass[ProductId],0))),0)</f>
        <v>0</v>
      </c>
      <c r="J409" s="32">
        <f t="shared" si="19"/>
        <v>0</v>
      </c>
      <c r="K409" s="32">
        <f t="shared" si="20"/>
        <v>235.09080000000003</v>
      </c>
      <c r="L409" s="43">
        <f>IF(C409="ES",K409*INDEX(tbl_param_emb[Valor],MATCH("P-01",tbl_param_emb[ID_Parametro],0)),0)</f>
        <v>0</v>
      </c>
      <c r="M409" s="33" t="str">
        <f>IF(B409="Tampa","Componente",IFERROR(INDEX(tbl_recyclass[Grau_PPWR_Indicativo],MATCH(A409,tbl_recyclass[ProductId],0)),""))</f>
        <v>Não reciclável (F)</v>
      </c>
    </row>
    <row r="410" spans="1:13" ht="16.05" customHeight="1" x14ac:dyDescent="0.3">
      <c r="A410" s="26" t="s">
        <v>797</v>
      </c>
      <c r="B410" s="26" t="s">
        <v>1470</v>
      </c>
      <c r="C410" s="26" t="s">
        <v>847</v>
      </c>
      <c r="D410" s="26" t="s">
        <v>1471</v>
      </c>
      <c r="E410" s="39">
        <v>6</v>
      </c>
      <c r="F410" s="37">
        <v>23487</v>
      </c>
      <c r="G410" s="38">
        <f>IFERROR(IF(B410="Tampa",INDEX(tbl_tampas[Massa_g],MATCH(A410,tbl_tampas[CapId],0)),INDEX(tbl_recyclass[Massa_Corpo_g],MATCH(A410,tbl_recyclass[ProductId],0))),0)</f>
        <v>49.1</v>
      </c>
      <c r="H410" s="32">
        <f t="shared" si="18"/>
        <v>1153.2117000000001</v>
      </c>
      <c r="I410" s="36">
        <f>IFERROR(IF(B410="Tampa",INDEX(tbl_tampas[Pct_PCR],MATCH(A410,tbl_tampas[CapId],0)),INDEX(tbl_recyclass[Pct_PCR_Corpo],MATCH(A410,tbl_recyclass[ProductId],0))),0)</f>
        <v>0</v>
      </c>
      <c r="J410" s="32">
        <f t="shared" si="19"/>
        <v>0</v>
      </c>
      <c r="K410" s="32">
        <f t="shared" si="20"/>
        <v>1153.2117000000001</v>
      </c>
      <c r="L410" s="43">
        <f>IF(C410="ES",K410*INDEX(tbl_param_emb[Valor],MATCH("P-01",tbl_param_emb[ID_Parametro],0)),0)</f>
        <v>0</v>
      </c>
      <c r="M410" s="33" t="str">
        <f>IF(B410="Tampa","Componente",IFERROR(INDEX(tbl_recyclass[Grau_PPWR_Indicativo],MATCH(A410,tbl_recyclass[ProductId],0)),""))</f>
        <v>Não reciclável (F)</v>
      </c>
    </row>
    <row r="411" spans="1:13" ht="16.05" customHeight="1" x14ac:dyDescent="0.3">
      <c r="A411" s="26" t="s">
        <v>801</v>
      </c>
      <c r="B411" s="26" t="s">
        <v>1470</v>
      </c>
      <c r="C411" s="26" t="s">
        <v>1478</v>
      </c>
      <c r="D411" s="26" t="s">
        <v>1479</v>
      </c>
      <c r="E411" s="39">
        <v>1</v>
      </c>
      <c r="F411" s="37">
        <v>7669</v>
      </c>
      <c r="G411" s="38">
        <f>IFERROR(IF(B411="Tampa",INDEX(tbl_tampas[Massa_g],MATCH(A411,tbl_tampas[CapId],0)),INDEX(tbl_recyclass[Massa_Corpo_g],MATCH(A411,tbl_recyclass[ProductId],0))),0)</f>
        <v>49.1</v>
      </c>
      <c r="H411" s="32">
        <f t="shared" si="18"/>
        <v>376.54790000000003</v>
      </c>
      <c r="I411" s="36">
        <f>IFERROR(IF(B411="Tampa",INDEX(tbl_tampas[Pct_PCR],MATCH(A411,tbl_tampas[CapId],0)),INDEX(tbl_recyclass[Pct_PCR_Corpo],MATCH(A411,tbl_recyclass[ProductId],0))),0)</f>
        <v>0.3</v>
      </c>
      <c r="J411" s="32">
        <f t="shared" si="19"/>
        <v>112.96437</v>
      </c>
      <c r="K411" s="32">
        <f t="shared" si="20"/>
        <v>263.58353</v>
      </c>
      <c r="L411" s="43">
        <f>IF(C411="ES",K411*INDEX(tbl_param_emb[Valor],MATCH("P-01",tbl_param_emb[ID_Parametro],0)),0)</f>
        <v>0</v>
      </c>
      <c r="M411" s="33" t="str">
        <f>IF(B411="Tampa","Componente",IFERROR(INDEX(tbl_recyclass[Grau_PPWR_Indicativo],MATCH(A411,tbl_recyclass[ProductId],0)),""))</f>
        <v>C</v>
      </c>
    </row>
    <row r="412" spans="1:13" ht="16.05" customHeight="1" x14ac:dyDescent="0.3">
      <c r="A412" s="26" t="s">
        <v>801</v>
      </c>
      <c r="B412" s="26" t="s">
        <v>1470</v>
      </c>
      <c r="C412" s="26" t="s">
        <v>1480</v>
      </c>
      <c r="D412" s="26" t="s">
        <v>1481</v>
      </c>
      <c r="E412" s="39">
        <v>1</v>
      </c>
      <c r="F412" s="37">
        <v>2290</v>
      </c>
      <c r="G412" s="38">
        <f>IFERROR(IF(B412="Tampa",INDEX(tbl_tampas[Massa_g],MATCH(A412,tbl_tampas[CapId],0)),INDEX(tbl_recyclass[Massa_Corpo_g],MATCH(A412,tbl_recyclass[ProductId],0))),0)</f>
        <v>49.1</v>
      </c>
      <c r="H412" s="32">
        <f t="shared" si="18"/>
        <v>112.43899999999999</v>
      </c>
      <c r="I412" s="36">
        <f>IFERROR(IF(B412="Tampa",INDEX(tbl_tampas[Pct_PCR],MATCH(A412,tbl_tampas[CapId],0)),INDEX(tbl_recyclass[Pct_PCR_Corpo],MATCH(A412,tbl_recyclass[ProductId],0))),0)</f>
        <v>0.3</v>
      </c>
      <c r="J412" s="32">
        <f t="shared" si="19"/>
        <v>33.731699999999996</v>
      </c>
      <c r="K412" s="32">
        <f t="shared" si="20"/>
        <v>78.707300000000004</v>
      </c>
      <c r="L412" s="43">
        <f>IF(C412="ES",K412*INDEX(tbl_param_emb[Valor],MATCH("P-01",tbl_param_emb[ID_Parametro],0)),0)</f>
        <v>0</v>
      </c>
      <c r="M412" s="33" t="str">
        <f>IF(B412="Tampa","Componente",IFERROR(INDEX(tbl_recyclass[Grau_PPWR_Indicativo],MATCH(A412,tbl_recyclass[ProductId],0)),""))</f>
        <v>C</v>
      </c>
    </row>
    <row r="413" spans="1:13" ht="16.05" customHeight="1" x14ac:dyDescent="0.3">
      <c r="A413" s="26" t="s">
        <v>801</v>
      </c>
      <c r="B413" s="26" t="s">
        <v>1470</v>
      </c>
      <c r="C413" s="26" t="s">
        <v>847</v>
      </c>
      <c r="D413" s="26" t="s">
        <v>1471</v>
      </c>
      <c r="E413" s="39">
        <v>2</v>
      </c>
      <c r="F413" s="37">
        <v>14059</v>
      </c>
      <c r="G413" s="38">
        <f>IFERROR(IF(B413="Tampa",INDEX(tbl_tampas[Massa_g],MATCH(A413,tbl_tampas[CapId],0)),INDEX(tbl_recyclass[Massa_Corpo_g],MATCH(A413,tbl_recyclass[ProductId],0))),0)</f>
        <v>49.1</v>
      </c>
      <c r="H413" s="32">
        <f t="shared" si="18"/>
        <v>690.29690000000005</v>
      </c>
      <c r="I413" s="36">
        <f>IFERROR(IF(B413="Tampa",INDEX(tbl_tampas[Pct_PCR],MATCH(A413,tbl_tampas[CapId],0)),INDEX(tbl_recyclass[Pct_PCR_Corpo],MATCH(A413,tbl_recyclass[ProductId],0))),0)</f>
        <v>0.3</v>
      </c>
      <c r="J413" s="32">
        <f t="shared" si="19"/>
        <v>207.08907000000002</v>
      </c>
      <c r="K413" s="32">
        <f t="shared" si="20"/>
        <v>483.20783000000006</v>
      </c>
      <c r="L413" s="43">
        <f>IF(C413="ES",K413*INDEX(tbl_param_emb[Valor],MATCH("P-01",tbl_param_emb[ID_Parametro],0)),0)</f>
        <v>0</v>
      </c>
      <c r="M413" s="33" t="str">
        <f>IF(B413="Tampa","Componente",IFERROR(INDEX(tbl_recyclass[Grau_PPWR_Indicativo],MATCH(A413,tbl_recyclass[ProductId],0)),""))</f>
        <v>C</v>
      </c>
    </row>
    <row r="414" spans="1:13" ht="16.05" customHeight="1" x14ac:dyDescent="0.3">
      <c r="A414" s="26" t="s">
        <v>801</v>
      </c>
      <c r="B414" s="26" t="s">
        <v>1470</v>
      </c>
      <c r="C414" s="26" t="s">
        <v>1474</v>
      </c>
      <c r="D414" s="26" t="s">
        <v>1475</v>
      </c>
      <c r="E414" s="39">
        <v>2</v>
      </c>
      <c r="F414" s="37">
        <v>11629</v>
      </c>
      <c r="G414" s="38">
        <f>IFERROR(IF(B414="Tampa",INDEX(tbl_tampas[Massa_g],MATCH(A414,tbl_tampas[CapId],0)),INDEX(tbl_recyclass[Massa_Corpo_g],MATCH(A414,tbl_recyclass[ProductId],0))),0)</f>
        <v>49.1</v>
      </c>
      <c r="H414" s="32">
        <f t="shared" si="18"/>
        <v>570.98390000000006</v>
      </c>
      <c r="I414" s="36">
        <f>IFERROR(IF(B414="Tampa",INDEX(tbl_tampas[Pct_PCR],MATCH(A414,tbl_tampas[CapId],0)),INDEX(tbl_recyclass[Pct_PCR_Corpo],MATCH(A414,tbl_recyclass[ProductId],0))),0)</f>
        <v>0.3</v>
      </c>
      <c r="J414" s="32">
        <f t="shared" si="19"/>
        <v>171.29517000000001</v>
      </c>
      <c r="K414" s="32">
        <f t="shared" si="20"/>
        <v>399.68873000000008</v>
      </c>
      <c r="L414" s="43">
        <f>IF(C414="ES",K414*INDEX(tbl_param_emb[Valor],MATCH("P-01",tbl_param_emb[ID_Parametro],0)),0)</f>
        <v>179.85992850000005</v>
      </c>
      <c r="M414" s="33" t="str">
        <f>IF(B414="Tampa","Componente",IFERROR(INDEX(tbl_recyclass[Grau_PPWR_Indicativo],MATCH(A414,tbl_recyclass[ProductId],0)),""))</f>
        <v>C</v>
      </c>
    </row>
    <row r="415" spans="1:13" ht="16.05" customHeight="1" x14ac:dyDescent="0.3">
      <c r="A415" s="26" t="s">
        <v>803</v>
      </c>
      <c r="B415" s="26" t="s">
        <v>1470</v>
      </c>
      <c r="C415" s="26" t="s">
        <v>1476</v>
      </c>
      <c r="D415" s="26" t="s">
        <v>1477</v>
      </c>
      <c r="E415" s="39">
        <v>1</v>
      </c>
      <c r="F415" s="37">
        <v>2497</v>
      </c>
      <c r="G415" s="38">
        <f>IFERROR(IF(B415="Tampa",INDEX(tbl_tampas[Massa_g],MATCH(A415,tbl_tampas[CapId],0)),INDEX(tbl_recyclass[Massa_Corpo_g],MATCH(A415,tbl_recyclass[ProductId],0))),0)</f>
        <v>49.1</v>
      </c>
      <c r="H415" s="32">
        <f t="shared" si="18"/>
        <v>122.6027</v>
      </c>
      <c r="I415" s="36">
        <f>IFERROR(IF(B415="Tampa",INDEX(tbl_tampas[Pct_PCR],MATCH(A415,tbl_tampas[CapId],0)),INDEX(tbl_recyclass[Pct_PCR_Corpo],MATCH(A415,tbl_recyclass[ProductId],0))),0)</f>
        <v>0</v>
      </c>
      <c r="J415" s="32">
        <f t="shared" si="19"/>
        <v>0</v>
      </c>
      <c r="K415" s="32">
        <f t="shared" si="20"/>
        <v>122.6027</v>
      </c>
      <c r="L415" s="43">
        <f>IF(C415="ES",K415*INDEX(tbl_param_emb[Valor],MATCH("P-01",tbl_param_emb[ID_Parametro],0)),0)</f>
        <v>0</v>
      </c>
      <c r="M415" s="33" t="str">
        <f>IF(B415="Tampa","Componente",IFERROR(INDEX(tbl_recyclass[Grau_PPWR_Indicativo],MATCH(A415,tbl_recyclass[ProductId],0)),""))</f>
        <v>B</v>
      </c>
    </row>
    <row r="416" spans="1:13" ht="16.05" customHeight="1" x14ac:dyDescent="0.3">
      <c r="A416" s="26" t="s">
        <v>803</v>
      </c>
      <c r="B416" s="26" t="s">
        <v>1470</v>
      </c>
      <c r="C416" s="26" t="s">
        <v>1472</v>
      </c>
      <c r="D416" s="26" t="s">
        <v>1473</v>
      </c>
      <c r="E416" s="39">
        <v>1</v>
      </c>
      <c r="F416" s="37">
        <v>16645</v>
      </c>
      <c r="G416" s="38">
        <f>IFERROR(IF(B416="Tampa",INDEX(tbl_tampas[Massa_g],MATCH(A416,tbl_tampas[CapId],0)),INDEX(tbl_recyclass[Massa_Corpo_g],MATCH(A416,tbl_recyclass[ProductId],0))),0)</f>
        <v>49.1</v>
      </c>
      <c r="H416" s="32">
        <f t="shared" si="18"/>
        <v>817.26949999999999</v>
      </c>
      <c r="I416" s="36">
        <f>IFERROR(IF(B416="Tampa",INDEX(tbl_tampas[Pct_PCR],MATCH(A416,tbl_tampas[CapId],0)),INDEX(tbl_recyclass[Pct_PCR_Corpo],MATCH(A416,tbl_recyclass[ProductId],0))),0)</f>
        <v>0</v>
      </c>
      <c r="J416" s="32">
        <f t="shared" si="19"/>
        <v>0</v>
      </c>
      <c r="K416" s="32">
        <f t="shared" si="20"/>
        <v>817.26949999999999</v>
      </c>
      <c r="L416" s="43">
        <f>IF(C416="ES",K416*INDEX(tbl_param_emb[Valor],MATCH("P-01",tbl_param_emb[ID_Parametro],0)),0)</f>
        <v>0</v>
      </c>
      <c r="M416" s="33" t="str">
        <f>IF(B416="Tampa","Componente",IFERROR(INDEX(tbl_recyclass[Grau_PPWR_Indicativo],MATCH(A416,tbl_recyclass[ProductId],0)),""))</f>
        <v>B</v>
      </c>
    </row>
    <row r="417" spans="1:13" ht="16.05" customHeight="1" x14ac:dyDescent="0.3">
      <c r="A417" s="26" t="s">
        <v>803</v>
      </c>
      <c r="B417" s="26" t="s">
        <v>1470</v>
      </c>
      <c r="C417" s="26" t="s">
        <v>1478</v>
      </c>
      <c r="D417" s="26" t="s">
        <v>1479</v>
      </c>
      <c r="E417" s="39">
        <v>1</v>
      </c>
      <c r="F417" s="37">
        <v>6578</v>
      </c>
      <c r="G417" s="38">
        <f>IFERROR(IF(B417="Tampa",INDEX(tbl_tampas[Massa_g],MATCH(A417,tbl_tampas[CapId],0)),INDEX(tbl_recyclass[Massa_Corpo_g],MATCH(A417,tbl_recyclass[ProductId],0))),0)</f>
        <v>49.1</v>
      </c>
      <c r="H417" s="32">
        <f t="shared" si="18"/>
        <v>322.97980000000001</v>
      </c>
      <c r="I417" s="36">
        <f>IFERROR(IF(B417="Tampa",INDEX(tbl_tampas[Pct_PCR],MATCH(A417,tbl_tampas[CapId],0)),INDEX(tbl_recyclass[Pct_PCR_Corpo],MATCH(A417,tbl_recyclass[ProductId],0))),0)</f>
        <v>0</v>
      </c>
      <c r="J417" s="32">
        <f t="shared" si="19"/>
        <v>0</v>
      </c>
      <c r="K417" s="32">
        <f t="shared" si="20"/>
        <v>322.97980000000001</v>
      </c>
      <c r="L417" s="43">
        <f>IF(C417="ES",K417*INDEX(tbl_param_emb[Valor],MATCH("P-01",tbl_param_emb[ID_Parametro],0)),0)</f>
        <v>0</v>
      </c>
      <c r="M417" s="33" t="str">
        <f>IF(B417="Tampa","Componente",IFERROR(INDEX(tbl_recyclass[Grau_PPWR_Indicativo],MATCH(A417,tbl_recyclass[ProductId],0)),""))</f>
        <v>B</v>
      </c>
    </row>
    <row r="418" spans="1:13" ht="16.05" customHeight="1" x14ac:dyDescent="0.3">
      <c r="A418" s="26" t="s">
        <v>803</v>
      </c>
      <c r="B418" s="26" t="s">
        <v>1470</v>
      </c>
      <c r="C418" s="26" t="s">
        <v>1480</v>
      </c>
      <c r="D418" s="26" t="s">
        <v>1481</v>
      </c>
      <c r="E418" s="39">
        <v>1</v>
      </c>
      <c r="F418" s="37">
        <v>4215</v>
      </c>
      <c r="G418" s="38">
        <f>IFERROR(IF(B418="Tampa",INDEX(tbl_tampas[Massa_g],MATCH(A418,tbl_tampas[CapId],0)),INDEX(tbl_recyclass[Massa_Corpo_g],MATCH(A418,tbl_recyclass[ProductId],0))),0)</f>
        <v>49.1</v>
      </c>
      <c r="H418" s="32">
        <f t="shared" si="18"/>
        <v>206.95650000000001</v>
      </c>
      <c r="I418" s="36">
        <f>IFERROR(IF(B418="Tampa",INDEX(tbl_tampas[Pct_PCR],MATCH(A418,tbl_tampas[CapId],0)),INDEX(tbl_recyclass[Pct_PCR_Corpo],MATCH(A418,tbl_recyclass[ProductId],0))),0)</f>
        <v>0</v>
      </c>
      <c r="J418" s="32">
        <f t="shared" si="19"/>
        <v>0</v>
      </c>
      <c r="K418" s="32">
        <f t="shared" si="20"/>
        <v>206.95650000000001</v>
      </c>
      <c r="L418" s="43">
        <f>IF(C418="ES",K418*INDEX(tbl_param_emb[Valor],MATCH("P-01",tbl_param_emb[ID_Parametro],0)),0)</f>
        <v>0</v>
      </c>
      <c r="M418" s="33" t="str">
        <f>IF(B418="Tampa","Componente",IFERROR(INDEX(tbl_recyclass[Grau_PPWR_Indicativo],MATCH(A418,tbl_recyclass[ProductId],0)),""))</f>
        <v>B</v>
      </c>
    </row>
    <row r="419" spans="1:13" ht="16.05" customHeight="1" x14ac:dyDescent="0.3">
      <c r="A419" s="26" t="s">
        <v>803</v>
      </c>
      <c r="B419" s="26" t="s">
        <v>1470</v>
      </c>
      <c r="C419" s="26" t="s">
        <v>847</v>
      </c>
      <c r="D419" s="26" t="s">
        <v>1471</v>
      </c>
      <c r="E419" s="39">
        <v>1</v>
      </c>
      <c r="F419" s="37">
        <v>5200</v>
      </c>
      <c r="G419" s="38">
        <f>IFERROR(IF(B419="Tampa",INDEX(tbl_tampas[Massa_g],MATCH(A419,tbl_tampas[CapId],0)),INDEX(tbl_recyclass[Massa_Corpo_g],MATCH(A419,tbl_recyclass[ProductId],0))),0)</f>
        <v>49.1</v>
      </c>
      <c r="H419" s="32">
        <f t="shared" si="18"/>
        <v>255.32</v>
      </c>
      <c r="I419" s="36">
        <f>IFERROR(IF(B419="Tampa",INDEX(tbl_tampas[Pct_PCR],MATCH(A419,tbl_tampas[CapId],0)),INDEX(tbl_recyclass[Pct_PCR_Corpo],MATCH(A419,tbl_recyclass[ProductId],0))),0)</f>
        <v>0</v>
      </c>
      <c r="J419" s="32">
        <f t="shared" si="19"/>
        <v>0</v>
      </c>
      <c r="K419" s="32">
        <f t="shared" si="20"/>
        <v>255.32</v>
      </c>
      <c r="L419" s="43">
        <f>IF(C419="ES",K419*INDEX(tbl_param_emb[Valor],MATCH("P-01",tbl_param_emb[ID_Parametro],0)),0)</f>
        <v>0</v>
      </c>
      <c r="M419" s="33" t="str">
        <f>IF(B419="Tampa","Componente",IFERROR(INDEX(tbl_recyclass[Grau_PPWR_Indicativo],MATCH(A419,tbl_recyclass[ProductId],0)),""))</f>
        <v>B</v>
      </c>
    </row>
    <row r="420" spans="1:13" ht="16.05" customHeight="1" x14ac:dyDescent="0.3">
      <c r="A420" s="26" t="s">
        <v>809</v>
      </c>
      <c r="B420" s="26" t="s">
        <v>1470</v>
      </c>
      <c r="C420" s="26" t="s">
        <v>1476</v>
      </c>
      <c r="D420" s="26" t="s">
        <v>1477</v>
      </c>
      <c r="E420" s="39">
        <v>1</v>
      </c>
      <c r="F420" s="37">
        <v>4268</v>
      </c>
      <c r="G420" s="38">
        <f>IFERROR(IF(B420="Tampa",INDEX(tbl_tampas[Massa_g],MATCH(A420,tbl_tampas[CapId],0)),INDEX(tbl_recyclass[Massa_Corpo_g],MATCH(A420,tbl_recyclass[ProductId],0))),0)</f>
        <v>49.1</v>
      </c>
      <c r="H420" s="32">
        <f t="shared" si="18"/>
        <v>209.55880000000002</v>
      </c>
      <c r="I420" s="36">
        <f>IFERROR(IF(B420="Tampa",INDEX(tbl_tampas[Pct_PCR],MATCH(A420,tbl_tampas[CapId],0)),INDEX(tbl_recyclass[Pct_PCR_Corpo],MATCH(A420,tbl_recyclass[ProductId],0))),0)</f>
        <v>0</v>
      </c>
      <c r="J420" s="32">
        <f t="shared" si="19"/>
        <v>0</v>
      </c>
      <c r="K420" s="32">
        <f t="shared" si="20"/>
        <v>209.55880000000002</v>
      </c>
      <c r="L420" s="43">
        <f>IF(C420="ES",K420*INDEX(tbl_param_emb[Valor],MATCH("P-01",tbl_param_emb[ID_Parametro],0)),0)</f>
        <v>0</v>
      </c>
      <c r="M420" s="33" t="str">
        <f>IF(B420="Tampa","Componente",IFERROR(INDEX(tbl_recyclass[Grau_PPWR_Indicativo],MATCH(A420,tbl_recyclass[ProductId],0)),""))</f>
        <v>Abaixo de C</v>
      </c>
    </row>
    <row r="421" spans="1:13" ht="16.05" customHeight="1" x14ac:dyDescent="0.3">
      <c r="A421" s="26" t="s">
        <v>809</v>
      </c>
      <c r="B421" s="26" t="s">
        <v>1470</v>
      </c>
      <c r="C421" s="26" t="s">
        <v>1478</v>
      </c>
      <c r="D421" s="26" t="s">
        <v>1479</v>
      </c>
      <c r="E421" s="39">
        <v>1</v>
      </c>
      <c r="F421" s="37">
        <v>2489</v>
      </c>
      <c r="G421" s="38">
        <f>IFERROR(IF(B421="Tampa",INDEX(tbl_tampas[Massa_g],MATCH(A421,tbl_tampas[CapId],0)),INDEX(tbl_recyclass[Massa_Corpo_g],MATCH(A421,tbl_recyclass[ProductId],0))),0)</f>
        <v>49.1</v>
      </c>
      <c r="H421" s="32">
        <f t="shared" si="18"/>
        <v>122.2099</v>
      </c>
      <c r="I421" s="36">
        <f>IFERROR(IF(B421="Tampa",INDEX(tbl_tampas[Pct_PCR],MATCH(A421,tbl_tampas[CapId],0)),INDEX(tbl_recyclass[Pct_PCR_Corpo],MATCH(A421,tbl_recyclass[ProductId],0))),0)</f>
        <v>0</v>
      </c>
      <c r="J421" s="32">
        <f t="shared" si="19"/>
        <v>0</v>
      </c>
      <c r="K421" s="32">
        <f t="shared" si="20"/>
        <v>122.2099</v>
      </c>
      <c r="L421" s="43">
        <f>IF(C421="ES",K421*INDEX(tbl_param_emb[Valor],MATCH("P-01",tbl_param_emb[ID_Parametro],0)),0)</f>
        <v>0</v>
      </c>
      <c r="M421" s="33" t="str">
        <f>IF(B421="Tampa","Componente",IFERROR(INDEX(tbl_recyclass[Grau_PPWR_Indicativo],MATCH(A421,tbl_recyclass[ProductId],0)),""))</f>
        <v>Abaixo de C</v>
      </c>
    </row>
    <row r="422" spans="1:13" ht="16.05" customHeight="1" x14ac:dyDescent="0.3">
      <c r="A422" s="26" t="s">
        <v>809</v>
      </c>
      <c r="B422" s="26" t="s">
        <v>1470</v>
      </c>
      <c r="C422" s="26" t="s">
        <v>1480</v>
      </c>
      <c r="D422" s="26" t="s">
        <v>1481</v>
      </c>
      <c r="E422" s="39">
        <v>1</v>
      </c>
      <c r="F422" s="37">
        <v>13257</v>
      </c>
      <c r="G422" s="38">
        <f>IFERROR(IF(B422="Tampa",INDEX(tbl_tampas[Massa_g],MATCH(A422,tbl_tampas[CapId],0)),INDEX(tbl_recyclass[Massa_Corpo_g],MATCH(A422,tbl_recyclass[ProductId],0))),0)</f>
        <v>49.1</v>
      </c>
      <c r="H422" s="32">
        <f t="shared" si="18"/>
        <v>650.91870000000006</v>
      </c>
      <c r="I422" s="36">
        <f>IFERROR(IF(B422="Tampa",INDEX(tbl_tampas[Pct_PCR],MATCH(A422,tbl_tampas[CapId],0)),INDEX(tbl_recyclass[Pct_PCR_Corpo],MATCH(A422,tbl_recyclass[ProductId],0))),0)</f>
        <v>0</v>
      </c>
      <c r="J422" s="32">
        <f t="shared" si="19"/>
        <v>0</v>
      </c>
      <c r="K422" s="32">
        <f t="shared" si="20"/>
        <v>650.91870000000006</v>
      </c>
      <c r="L422" s="43">
        <f>IF(C422="ES",K422*INDEX(tbl_param_emb[Valor],MATCH("P-01",tbl_param_emb[ID_Parametro],0)),0)</f>
        <v>0</v>
      </c>
      <c r="M422" s="33" t="str">
        <f>IF(B422="Tampa","Componente",IFERROR(INDEX(tbl_recyclass[Grau_PPWR_Indicativo],MATCH(A422,tbl_recyclass[ProductId],0)),""))</f>
        <v>Abaixo de C</v>
      </c>
    </row>
    <row r="423" spans="1:13" ht="16.05" customHeight="1" x14ac:dyDescent="0.3">
      <c r="A423" s="26" t="s">
        <v>809</v>
      </c>
      <c r="B423" s="26" t="s">
        <v>1470</v>
      </c>
      <c r="C423" s="26" t="s">
        <v>847</v>
      </c>
      <c r="D423" s="26" t="s">
        <v>1471</v>
      </c>
      <c r="E423" s="39">
        <v>6</v>
      </c>
      <c r="F423" s="37">
        <v>28378</v>
      </c>
      <c r="G423" s="38">
        <f>IFERROR(IF(B423="Tampa",INDEX(tbl_tampas[Massa_g],MATCH(A423,tbl_tampas[CapId],0)),INDEX(tbl_recyclass[Massa_Corpo_g],MATCH(A423,tbl_recyclass[ProductId],0))),0)</f>
        <v>49.1</v>
      </c>
      <c r="H423" s="32">
        <f t="shared" si="18"/>
        <v>1393.3598</v>
      </c>
      <c r="I423" s="36">
        <f>IFERROR(IF(B423="Tampa",INDEX(tbl_tampas[Pct_PCR],MATCH(A423,tbl_tampas[CapId],0)),INDEX(tbl_recyclass[Pct_PCR_Corpo],MATCH(A423,tbl_recyclass[ProductId],0))),0)</f>
        <v>0</v>
      </c>
      <c r="J423" s="32">
        <f t="shared" si="19"/>
        <v>0</v>
      </c>
      <c r="K423" s="32">
        <f t="shared" si="20"/>
        <v>1393.3598</v>
      </c>
      <c r="L423" s="43">
        <f>IF(C423="ES",K423*INDEX(tbl_param_emb[Valor],MATCH("P-01",tbl_param_emb[ID_Parametro],0)),0)</f>
        <v>0</v>
      </c>
      <c r="M423" s="33" t="str">
        <f>IF(B423="Tampa","Componente",IFERROR(INDEX(tbl_recyclass[Grau_PPWR_Indicativo],MATCH(A423,tbl_recyclass[ProductId],0)),""))</f>
        <v>Abaixo de C</v>
      </c>
    </row>
    <row r="424" spans="1:13" ht="16.05" customHeight="1" x14ac:dyDescent="0.3">
      <c r="A424" s="26" t="s">
        <v>812</v>
      </c>
      <c r="B424" s="26" t="s">
        <v>1470</v>
      </c>
      <c r="C424" s="26" t="s">
        <v>1476</v>
      </c>
      <c r="D424" s="26" t="s">
        <v>1477</v>
      </c>
      <c r="E424" s="39">
        <v>1</v>
      </c>
      <c r="F424" s="37">
        <v>13493</v>
      </c>
      <c r="G424" s="38">
        <f>IFERROR(IF(B424="Tampa",INDEX(tbl_tampas[Massa_g],MATCH(A424,tbl_tampas[CapId],0)),INDEX(tbl_recyclass[Massa_Corpo_g],MATCH(A424,tbl_recyclass[ProductId],0))),0)</f>
        <v>49.1</v>
      </c>
      <c r="H424" s="32">
        <f t="shared" si="18"/>
        <v>662.50630000000001</v>
      </c>
      <c r="I424" s="36">
        <f>IFERROR(IF(B424="Tampa",INDEX(tbl_tampas[Pct_PCR],MATCH(A424,tbl_tampas[CapId],0)),INDEX(tbl_recyclass[Pct_PCR_Corpo],MATCH(A424,tbl_recyclass[ProductId],0))),0)</f>
        <v>0</v>
      </c>
      <c r="J424" s="32">
        <f t="shared" si="19"/>
        <v>0</v>
      </c>
      <c r="K424" s="32">
        <f t="shared" si="20"/>
        <v>662.50630000000001</v>
      </c>
      <c r="L424" s="43">
        <f>IF(C424="ES",K424*INDEX(tbl_param_emb[Valor],MATCH("P-01",tbl_param_emb[ID_Parametro],0)),0)</f>
        <v>0</v>
      </c>
      <c r="M424" s="33" t="str">
        <f>IF(B424="Tampa","Componente",IFERROR(INDEX(tbl_recyclass[Grau_PPWR_Indicativo],MATCH(A424,tbl_recyclass[ProductId],0)),""))</f>
        <v>Não reciclável (F)</v>
      </c>
    </row>
    <row r="425" spans="1:13" ht="16.05" customHeight="1" x14ac:dyDescent="0.3">
      <c r="A425" s="26" t="s">
        <v>812</v>
      </c>
      <c r="B425" s="26" t="s">
        <v>1470</v>
      </c>
      <c r="C425" s="26" t="s">
        <v>1472</v>
      </c>
      <c r="D425" s="26" t="s">
        <v>1473</v>
      </c>
      <c r="E425" s="39">
        <v>1</v>
      </c>
      <c r="F425" s="37">
        <v>3118</v>
      </c>
      <c r="G425" s="38">
        <f>IFERROR(IF(B425="Tampa",INDEX(tbl_tampas[Massa_g],MATCH(A425,tbl_tampas[CapId],0)),INDEX(tbl_recyclass[Massa_Corpo_g],MATCH(A425,tbl_recyclass[ProductId],0))),0)</f>
        <v>49.1</v>
      </c>
      <c r="H425" s="32">
        <f t="shared" si="18"/>
        <v>153.09380000000002</v>
      </c>
      <c r="I425" s="36">
        <f>IFERROR(IF(B425="Tampa",INDEX(tbl_tampas[Pct_PCR],MATCH(A425,tbl_tampas[CapId],0)),INDEX(tbl_recyclass[Pct_PCR_Corpo],MATCH(A425,tbl_recyclass[ProductId],0))),0)</f>
        <v>0</v>
      </c>
      <c r="J425" s="32">
        <f t="shared" si="19"/>
        <v>0</v>
      </c>
      <c r="K425" s="32">
        <f t="shared" si="20"/>
        <v>153.09380000000002</v>
      </c>
      <c r="L425" s="43">
        <f>IF(C425="ES",K425*INDEX(tbl_param_emb[Valor],MATCH("P-01",tbl_param_emb[ID_Parametro],0)),0)</f>
        <v>0</v>
      </c>
      <c r="M425" s="33" t="str">
        <f>IF(B425="Tampa","Componente",IFERROR(INDEX(tbl_recyclass[Grau_PPWR_Indicativo],MATCH(A425,tbl_recyclass[ProductId],0)),""))</f>
        <v>Não reciclável (F)</v>
      </c>
    </row>
    <row r="426" spans="1:13" ht="16.05" customHeight="1" x14ac:dyDescent="0.3">
      <c r="A426" s="26" t="s">
        <v>812</v>
      </c>
      <c r="B426" s="26" t="s">
        <v>1470</v>
      </c>
      <c r="C426" s="26" t="s">
        <v>1480</v>
      </c>
      <c r="D426" s="26" t="s">
        <v>1481</v>
      </c>
      <c r="E426" s="39">
        <v>1</v>
      </c>
      <c r="F426" s="37">
        <v>6699</v>
      </c>
      <c r="G426" s="38">
        <f>IFERROR(IF(B426="Tampa",INDEX(tbl_tampas[Massa_g],MATCH(A426,tbl_tampas[CapId],0)),INDEX(tbl_recyclass[Massa_Corpo_g],MATCH(A426,tbl_recyclass[ProductId],0))),0)</f>
        <v>49.1</v>
      </c>
      <c r="H426" s="32">
        <f t="shared" si="18"/>
        <v>328.92090000000002</v>
      </c>
      <c r="I426" s="36">
        <f>IFERROR(IF(B426="Tampa",INDEX(tbl_tampas[Pct_PCR],MATCH(A426,tbl_tampas[CapId],0)),INDEX(tbl_recyclass[Pct_PCR_Corpo],MATCH(A426,tbl_recyclass[ProductId],0))),0)</f>
        <v>0</v>
      </c>
      <c r="J426" s="32">
        <f t="shared" si="19"/>
        <v>0</v>
      </c>
      <c r="K426" s="32">
        <f t="shared" si="20"/>
        <v>328.92090000000002</v>
      </c>
      <c r="L426" s="43">
        <f>IF(C426="ES",K426*INDEX(tbl_param_emb[Valor],MATCH("P-01",tbl_param_emb[ID_Parametro],0)),0)</f>
        <v>0</v>
      </c>
      <c r="M426" s="33" t="str">
        <f>IF(B426="Tampa","Componente",IFERROR(INDEX(tbl_recyclass[Grau_PPWR_Indicativo],MATCH(A426,tbl_recyclass[ProductId],0)),""))</f>
        <v>Não reciclável (F)</v>
      </c>
    </row>
    <row r="427" spans="1:13" ht="16.05" customHeight="1" x14ac:dyDescent="0.3">
      <c r="A427" s="26" t="s">
        <v>812</v>
      </c>
      <c r="B427" s="26" t="s">
        <v>1470</v>
      </c>
      <c r="C427" s="26" t="s">
        <v>847</v>
      </c>
      <c r="D427" s="26" t="s">
        <v>1471</v>
      </c>
      <c r="E427" s="39">
        <v>6</v>
      </c>
      <c r="F427" s="37">
        <v>56273</v>
      </c>
      <c r="G427" s="38">
        <f>IFERROR(IF(B427="Tampa",INDEX(tbl_tampas[Massa_g],MATCH(A427,tbl_tampas[CapId],0)),INDEX(tbl_recyclass[Massa_Corpo_g],MATCH(A427,tbl_recyclass[ProductId],0))),0)</f>
        <v>49.1</v>
      </c>
      <c r="H427" s="32">
        <f t="shared" si="18"/>
        <v>2763.0043000000001</v>
      </c>
      <c r="I427" s="36">
        <f>IFERROR(IF(B427="Tampa",INDEX(tbl_tampas[Pct_PCR],MATCH(A427,tbl_tampas[CapId],0)),INDEX(tbl_recyclass[Pct_PCR_Corpo],MATCH(A427,tbl_recyclass[ProductId],0))),0)</f>
        <v>0</v>
      </c>
      <c r="J427" s="32">
        <f t="shared" si="19"/>
        <v>0</v>
      </c>
      <c r="K427" s="32">
        <f t="shared" si="20"/>
        <v>2763.0043000000001</v>
      </c>
      <c r="L427" s="43">
        <f>IF(C427="ES",K427*INDEX(tbl_param_emb[Valor],MATCH("P-01",tbl_param_emb[ID_Parametro],0)),0)</f>
        <v>0</v>
      </c>
      <c r="M427" s="33" t="str">
        <f>IF(B427="Tampa","Componente",IFERROR(INDEX(tbl_recyclass[Grau_PPWR_Indicativo],MATCH(A427,tbl_recyclass[ProductId],0)),""))</f>
        <v>Não reciclável (F)</v>
      </c>
    </row>
    <row r="428" spans="1:13" ht="16.05" customHeight="1" x14ac:dyDescent="0.3">
      <c r="A428" s="26" t="s">
        <v>812</v>
      </c>
      <c r="B428" s="26" t="s">
        <v>1470</v>
      </c>
      <c r="C428" s="26" t="s">
        <v>1474</v>
      </c>
      <c r="D428" s="26" t="s">
        <v>1475</v>
      </c>
      <c r="E428" s="39">
        <v>2</v>
      </c>
      <c r="F428" s="37">
        <v>13895</v>
      </c>
      <c r="G428" s="38">
        <f>IFERROR(IF(B428="Tampa",INDEX(tbl_tampas[Massa_g],MATCH(A428,tbl_tampas[CapId],0)),INDEX(tbl_recyclass[Massa_Corpo_g],MATCH(A428,tbl_recyclass[ProductId],0))),0)</f>
        <v>49.1</v>
      </c>
      <c r="H428" s="32">
        <f t="shared" si="18"/>
        <v>682.24450000000002</v>
      </c>
      <c r="I428" s="36">
        <f>IFERROR(IF(B428="Tampa",INDEX(tbl_tampas[Pct_PCR],MATCH(A428,tbl_tampas[CapId],0)),INDEX(tbl_recyclass[Pct_PCR_Corpo],MATCH(A428,tbl_recyclass[ProductId],0))),0)</f>
        <v>0</v>
      </c>
      <c r="J428" s="32">
        <f t="shared" si="19"/>
        <v>0</v>
      </c>
      <c r="K428" s="32">
        <f t="shared" si="20"/>
        <v>682.24450000000002</v>
      </c>
      <c r="L428" s="43">
        <f>IF(C428="ES",K428*INDEX(tbl_param_emb[Valor],MATCH("P-01",tbl_param_emb[ID_Parametro],0)),0)</f>
        <v>307.01002500000004</v>
      </c>
      <c r="M428" s="33" t="str">
        <f>IF(B428="Tampa","Componente",IFERROR(INDEX(tbl_recyclass[Grau_PPWR_Indicativo],MATCH(A428,tbl_recyclass[ProductId],0)),""))</f>
        <v>Não reciclável (F)</v>
      </c>
    </row>
    <row r="429" spans="1:13" ht="16.05" customHeight="1" x14ac:dyDescent="0.3">
      <c r="A429" s="26" t="s">
        <v>814</v>
      </c>
      <c r="B429" s="26" t="s">
        <v>1470</v>
      </c>
      <c r="C429" s="26" t="s">
        <v>1476</v>
      </c>
      <c r="D429" s="26" t="s">
        <v>1477</v>
      </c>
      <c r="E429" s="39">
        <v>1</v>
      </c>
      <c r="F429" s="37">
        <v>3396</v>
      </c>
      <c r="G429" s="38">
        <f>IFERROR(IF(B429="Tampa",INDEX(tbl_tampas[Massa_g],MATCH(A429,tbl_tampas[CapId],0)),INDEX(tbl_recyclass[Massa_Corpo_g],MATCH(A429,tbl_recyclass[ProductId],0))),0)</f>
        <v>49.1</v>
      </c>
      <c r="H429" s="32">
        <f t="shared" si="18"/>
        <v>166.74360000000001</v>
      </c>
      <c r="I429" s="36">
        <f>IFERROR(IF(B429="Tampa",INDEX(tbl_tampas[Pct_PCR],MATCH(A429,tbl_tampas[CapId],0)),INDEX(tbl_recyclass[Pct_PCR_Corpo],MATCH(A429,tbl_recyclass[ProductId],0))),0)</f>
        <v>0</v>
      </c>
      <c r="J429" s="32">
        <f t="shared" si="19"/>
        <v>0</v>
      </c>
      <c r="K429" s="32">
        <f t="shared" si="20"/>
        <v>166.74360000000001</v>
      </c>
      <c r="L429" s="43">
        <f>IF(C429="ES",K429*INDEX(tbl_param_emb[Valor],MATCH("P-01",tbl_param_emb[ID_Parametro],0)),0)</f>
        <v>0</v>
      </c>
      <c r="M429" s="33" t="str">
        <f>IF(B429="Tampa","Componente",IFERROR(INDEX(tbl_recyclass[Grau_PPWR_Indicativo],MATCH(A429,tbl_recyclass[ProductId],0)),""))</f>
        <v>A</v>
      </c>
    </row>
    <row r="430" spans="1:13" ht="16.05" customHeight="1" x14ac:dyDescent="0.3">
      <c r="A430" s="26" t="s">
        <v>814</v>
      </c>
      <c r="B430" s="26" t="s">
        <v>1470</v>
      </c>
      <c r="C430" s="26" t="s">
        <v>1478</v>
      </c>
      <c r="D430" s="26" t="s">
        <v>1479</v>
      </c>
      <c r="E430" s="39">
        <v>1</v>
      </c>
      <c r="F430" s="37">
        <v>4973</v>
      </c>
      <c r="G430" s="38">
        <f>IFERROR(IF(B430="Tampa",INDEX(tbl_tampas[Massa_g],MATCH(A430,tbl_tampas[CapId],0)),INDEX(tbl_recyclass[Massa_Corpo_g],MATCH(A430,tbl_recyclass[ProductId],0))),0)</f>
        <v>49.1</v>
      </c>
      <c r="H430" s="32">
        <f t="shared" si="18"/>
        <v>244.17430000000002</v>
      </c>
      <c r="I430" s="36">
        <f>IFERROR(IF(B430="Tampa",INDEX(tbl_tampas[Pct_PCR],MATCH(A430,tbl_tampas[CapId],0)),INDEX(tbl_recyclass[Pct_PCR_Corpo],MATCH(A430,tbl_recyclass[ProductId],0))),0)</f>
        <v>0</v>
      </c>
      <c r="J430" s="32">
        <f t="shared" si="19"/>
        <v>0</v>
      </c>
      <c r="K430" s="32">
        <f t="shared" si="20"/>
        <v>244.17430000000002</v>
      </c>
      <c r="L430" s="43">
        <f>IF(C430="ES",K430*INDEX(tbl_param_emb[Valor],MATCH("P-01",tbl_param_emb[ID_Parametro],0)),0)</f>
        <v>0</v>
      </c>
      <c r="M430" s="33" t="str">
        <f>IF(B430="Tampa","Componente",IFERROR(INDEX(tbl_recyclass[Grau_PPWR_Indicativo],MATCH(A430,tbl_recyclass[ProductId],0)),""))</f>
        <v>A</v>
      </c>
    </row>
    <row r="431" spans="1:13" ht="16.05" customHeight="1" x14ac:dyDescent="0.3">
      <c r="A431" s="26" t="s">
        <v>814</v>
      </c>
      <c r="B431" s="26" t="s">
        <v>1470</v>
      </c>
      <c r="C431" s="26" t="s">
        <v>1480</v>
      </c>
      <c r="D431" s="26" t="s">
        <v>1481</v>
      </c>
      <c r="E431" s="39">
        <v>1</v>
      </c>
      <c r="F431" s="37">
        <v>4443</v>
      </c>
      <c r="G431" s="38">
        <f>IFERROR(IF(B431="Tampa",INDEX(tbl_tampas[Massa_g],MATCH(A431,tbl_tampas[CapId],0)),INDEX(tbl_recyclass[Massa_Corpo_g],MATCH(A431,tbl_recyclass[ProductId],0))),0)</f>
        <v>49.1</v>
      </c>
      <c r="H431" s="32">
        <f t="shared" si="18"/>
        <v>218.15130000000002</v>
      </c>
      <c r="I431" s="36">
        <f>IFERROR(IF(B431="Tampa",INDEX(tbl_tampas[Pct_PCR],MATCH(A431,tbl_tampas[CapId],0)),INDEX(tbl_recyclass[Pct_PCR_Corpo],MATCH(A431,tbl_recyclass[ProductId],0))),0)</f>
        <v>0</v>
      </c>
      <c r="J431" s="32">
        <f t="shared" si="19"/>
        <v>0</v>
      </c>
      <c r="K431" s="32">
        <f t="shared" si="20"/>
        <v>218.15130000000002</v>
      </c>
      <c r="L431" s="43">
        <f>IF(C431="ES",K431*INDEX(tbl_param_emb[Valor],MATCH("P-01",tbl_param_emb[ID_Parametro],0)),0)</f>
        <v>0</v>
      </c>
      <c r="M431" s="33" t="str">
        <f>IF(B431="Tampa","Componente",IFERROR(INDEX(tbl_recyclass[Grau_PPWR_Indicativo],MATCH(A431,tbl_recyclass[ProductId],0)),""))</f>
        <v>A</v>
      </c>
    </row>
    <row r="432" spans="1:13" ht="16.05" customHeight="1" x14ac:dyDescent="0.3">
      <c r="A432" s="26" t="s">
        <v>814</v>
      </c>
      <c r="B432" s="26" t="s">
        <v>1470</v>
      </c>
      <c r="C432" s="26" t="s">
        <v>847</v>
      </c>
      <c r="D432" s="26" t="s">
        <v>1471</v>
      </c>
      <c r="E432" s="39">
        <v>6</v>
      </c>
      <c r="F432" s="37">
        <v>34136</v>
      </c>
      <c r="G432" s="38">
        <f>IFERROR(IF(B432="Tampa",INDEX(tbl_tampas[Massa_g],MATCH(A432,tbl_tampas[CapId],0)),INDEX(tbl_recyclass[Massa_Corpo_g],MATCH(A432,tbl_recyclass[ProductId],0))),0)</f>
        <v>49.1</v>
      </c>
      <c r="H432" s="32">
        <f t="shared" si="18"/>
        <v>1676.0776000000001</v>
      </c>
      <c r="I432" s="36">
        <f>IFERROR(IF(B432="Tampa",INDEX(tbl_tampas[Pct_PCR],MATCH(A432,tbl_tampas[CapId],0)),INDEX(tbl_recyclass[Pct_PCR_Corpo],MATCH(A432,tbl_recyclass[ProductId],0))),0)</f>
        <v>0</v>
      </c>
      <c r="J432" s="32">
        <f t="shared" si="19"/>
        <v>0</v>
      </c>
      <c r="K432" s="32">
        <f t="shared" si="20"/>
        <v>1676.0776000000001</v>
      </c>
      <c r="L432" s="43">
        <f>IF(C432="ES",K432*INDEX(tbl_param_emb[Valor],MATCH("P-01",tbl_param_emb[ID_Parametro],0)),0)</f>
        <v>0</v>
      </c>
      <c r="M432" s="33" t="str">
        <f>IF(B432="Tampa","Componente",IFERROR(INDEX(tbl_recyclass[Grau_PPWR_Indicativo],MATCH(A432,tbl_recyclass[ProductId],0)),""))</f>
        <v>A</v>
      </c>
    </row>
    <row r="433" spans="1:13" ht="16.05" customHeight="1" x14ac:dyDescent="0.3">
      <c r="A433" s="26" t="s">
        <v>814</v>
      </c>
      <c r="B433" s="26" t="s">
        <v>1470</v>
      </c>
      <c r="C433" s="26" t="s">
        <v>1474</v>
      </c>
      <c r="D433" s="26" t="s">
        <v>1475</v>
      </c>
      <c r="E433" s="39">
        <v>1</v>
      </c>
      <c r="F433" s="37">
        <v>3653</v>
      </c>
      <c r="G433" s="38">
        <f>IFERROR(IF(B433="Tampa",INDEX(tbl_tampas[Massa_g],MATCH(A433,tbl_tampas[CapId],0)),INDEX(tbl_recyclass[Massa_Corpo_g],MATCH(A433,tbl_recyclass[ProductId],0))),0)</f>
        <v>49.1</v>
      </c>
      <c r="H433" s="32">
        <f t="shared" si="18"/>
        <v>179.3623</v>
      </c>
      <c r="I433" s="36">
        <f>IFERROR(IF(B433="Tampa",INDEX(tbl_tampas[Pct_PCR],MATCH(A433,tbl_tampas[CapId],0)),INDEX(tbl_recyclass[Pct_PCR_Corpo],MATCH(A433,tbl_recyclass[ProductId],0))),0)</f>
        <v>0</v>
      </c>
      <c r="J433" s="32">
        <f t="shared" si="19"/>
        <v>0</v>
      </c>
      <c r="K433" s="32">
        <f t="shared" si="20"/>
        <v>179.3623</v>
      </c>
      <c r="L433" s="43">
        <f>IF(C433="ES",K433*INDEX(tbl_param_emb[Valor],MATCH("P-01",tbl_param_emb[ID_Parametro],0)),0)</f>
        <v>80.713035000000005</v>
      </c>
      <c r="M433" s="33" t="str">
        <f>IF(B433="Tampa","Componente",IFERROR(INDEX(tbl_recyclass[Grau_PPWR_Indicativo],MATCH(A433,tbl_recyclass[ProductId],0)),""))</f>
        <v>A</v>
      </c>
    </row>
    <row r="434" spans="1:13" ht="16.05" customHeight="1" x14ac:dyDescent="0.3">
      <c r="A434" s="26" t="s">
        <v>816</v>
      </c>
      <c r="B434" s="26" t="s">
        <v>1470</v>
      </c>
      <c r="C434" s="26" t="s">
        <v>1476</v>
      </c>
      <c r="D434" s="26" t="s">
        <v>1477</v>
      </c>
      <c r="E434" s="39">
        <v>1</v>
      </c>
      <c r="F434" s="37">
        <v>5962</v>
      </c>
      <c r="G434" s="38">
        <f>IFERROR(IF(B434="Tampa",INDEX(tbl_tampas[Massa_g],MATCH(A434,tbl_tampas[CapId],0)),INDEX(tbl_recyclass[Massa_Corpo_g],MATCH(A434,tbl_recyclass[ProductId],0))),0)</f>
        <v>49.1</v>
      </c>
      <c r="H434" s="32">
        <f t="shared" si="18"/>
        <v>292.73419999999999</v>
      </c>
      <c r="I434" s="36">
        <f>IFERROR(IF(B434="Tampa",INDEX(tbl_tampas[Pct_PCR],MATCH(A434,tbl_tampas[CapId],0)),INDEX(tbl_recyclass[Pct_PCR_Corpo],MATCH(A434,tbl_recyclass[ProductId],0))),0)</f>
        <v>0.3</v>
      </c>
      <c r="J434" s="32">
        <f t="shared" si="19"/>
        <v>87.82025999999999</v>
      </c>
      <c r="K434" s="32">
        <f t="shared" si="20"/>
        <v>204.91394</v>
      </c>
      <c r="L434" s="43">
        <f>IF(C434="ES",K434*INDEX(tbl_param_emb[Valor],MATCH("P-01",tbl_param_emb[ID_Parametro],0)),0)</f>
        <v>0</v>
      </c>
      <c r="M434" s="33" t="str">
        <f>IF(B434="Tampa","Componente",IFERROR(INDEX(tbl_recyclass[Grau_PPWR_Indicativo],MATCH(A434,tbl_recyclass[ProductId],0)),""))</f>
        <v>C</v>
      </c>
    </row>
    <row r="435" spans="1:13" ht="16.05" customHeight="1" x14ac:dyDescent="0.3">
      <c r="A435" s="26" t="s">
        <v>816</v>
      </c>
      <c r="B435" s="26" t="s">
        <v>1470</v>
      </c>
      <c r="C435" s="26" t="s">
        <v>1480</v>
      </c>
      <c r="D435" s="26" t="s">
        <v>1481</v>
      </c>
      <c r="E435" s="39">
        <v>1</v>
      </c>
      <c r="F435" s="37">
        <v>7145</v>
      </c>
      <c r="G435" s="38">
        <f>IFERROR(IF(B435="Tampa",INDEX(tbl_tampas[Massa_g],MATCH(A435,tbl_tampas[CapId],0)),INDEX(tbl_recyclass[Massa_Corpo_g],MATCH(A435,tbl_recyclass[ProductId],0))),0)</f>
        <v>49.1</v>
      </c>
      <c r="H435" s="32">
        <f t="shared" si="18"/>
        <v>350.81950000000001</v>
      </c>
      <c r="I435" s="36">
        <f>IFERROR(IF(B435="Tampa",INDEX(tbl_tampas[Pct_PCR],MATCH(A435,tbl_tampas[CapId],0)),INDEX(tbl_recyclass[Pct_PCR_Corpo],MATCH(A435,tbl_recyclass[ProductId],0))),0)</f>
        <v>0.3</v>
      </c>
      <c r="J435" s="32">
        <f t="shared" si="19"/>
        <v>105.24585</v>
      </c>
      <c r="K435" s="32">
        <f t="shared" si="20"/>
        <v>245.57364999999999</v>
      </c>
      <c r="L435" s="43">
        <f>IF(C435="ES",K435*INDEX(tbl_param_emb[Valor],MATCH("P-01",tbl_param_emb[ID_Parametro],0)),0)</f>
        <v>0</v>
      </c>
      <c r="M435" s="33" t="str">
        <f>IF(B435="Tampa","Componente",IFERROR(INDEX(tbl_recyclass[Grau_PPWR_Indicativo],MATCH(A435,tbl_recyclass[ProductId],0)),""))</f>
        <v>C</v>
      </c>
    </row>
    <row r="436" spans="1:13" ht="16.05" customHeight="1" x14ac:dyDescent="0.3">
      <c r="A436" s="26" t="s">
        <v>816</v>
      </c>
      <c r="B436" s="26" t="s">
        <v>1470</v>
      </c>
      <c r="C436" s="26" t="s">
        <v>847</v>
      </c>
      <c r="D436" s="26" t="s">
        <v>1471</v>
      </c>
      <c r="E436" s="39">
        <v>1</v>
      </c>
      <c r="F436" s="37">
        <v>10110</v>
      </c>
      <c r="G436" s="38">
        <f>IFERROR(IF(B436="Tampa",INDEX(tbl_tampas[Massa_g],MATCH(A436,tbl_tampas[CapId],0)),INDEX(tbl_recyclass[Massa_Corpo_g],MATCH(A436,tbl_recyclass[ProductId],0))),0)</f>
        <v>49.1</v>
      </c>
      <c r="H436" s="32">
        <f t="shared" si="18"/>
        <v>496.40100000000001</v>
      </c>
      <c r="I436" s="36">
        <f>IFERROR(IF(B436="Tampa",INDEX(tbl_tampas[Pct_PCR],MATCH(A436,tbl_tampas[CapId],0)),INDEX(tbl_recyclass[Pct_PCR_Corpo],MATCH(A436,tbl_recyclass[ProductId],0))),0)</f>
        <v>0.3</v>
      </c>
      <c r="J436" s="32">
        <f t="shared" si="19"/>
        <v>148.9203</v>
      </c>
      <c r="K436" s="32">
        <f t="shared" si="20"/>
        <v>347.48070000000001</v>
      </c>
      <c r="L436" s="43">
        <f>IF(C436="ES",K436*INDEX(tbl_param_emb[Valor],MATCH("P-01",tbl_param_emb[ID_Parametro],0)),0)</f>
        <v>0</v>
      </c>
      <c r="M436" s="33" t="str">
        <f>IF(B436="Tampa","Componente",IFERROR(INDEX(tbl_recyclass[Grau_PPWR_Indicativo],MATCH(A436,tbl_recyclass[ProductId],0)),""))</f>
        <v>C</v>
      </c>
    </row>
    <row r="437" spans="1:13" ht="16.05" customHeight="1" x14ac:dyDescent="0.3">
      <c r="A437" s="26" t="s">
        <v>819</v>
      </c>
      <c r="B437" s="26" t="s">
        <v>1470</v>
      </c>
      <c r="C437" s="26" t="s">
        <v>1476</v>
      </c>
      <c r="D437" s="26" t="s">
        <v>1477</v>
      </c>
      <c r="E437" s="39">
        <v>1</v>
      </c>
      <c r="F437" s="37">
        <v>3008</v>
      </c>
      <c r="G437" s="38">
        <f>IFERROR(IF(B437="Tampa",INDEX(tbl_tampas[Massa_g],MATCH(A437,tbl_tampas[CapId],0)),INDEX(tbl_recyclass[Massa_Corpo_g],MATCH(A437,tbl_recyclass[ProductId],0))),0)</f>
        <v>49.1</v>
      </c>
      <c r="H437" s="32">
        <f t="shared" si="18"/>
        <v>147.69280000000001</v>
      </c>
      <c r="I437" s="36">
        <f>IFERROR(IF(B437="Tampa",INDEX(tbl_tampas[Pct_PCR],MATCH(A437,tbl_tampas[CapId],0)),INDEX(tbl_recyclass[Pct_PCR_Corpo],MATCH(A437,tbl_recyclass[ProductId],0))),0)</f>
        <v>0</v>
      </c>
      <c r="J437" s="32">
        <f t="shared" si="19"/>
        <v>0</v>
      </c>
      <c r="K437" s="32">
        <f t="shared" si="20"/>
        <v>147.69280000000001</v>
      </c>
      <c r="L437" s="43">
        <f>IF(C437="ES",K437*INDEX(tbl_param_emb[Valor],MATCH("P-01",tbl_param_emb[ID_Parametro],0)),0)</f>
        <v>0</v>
      </c>
      <c r="M437" s="33" t="str">
        <f>IF(B437="Tampa","Componente",IFERROR(INDEX(tbl_recyclass[Grau_PPWR_Indicativo],MATCH(A437,tbl_recyclass[ProductId],0)),""))</f>
        <v>Não reciclável (F)</v>
      </c>
    </row>
    <row r="438" spans="1:13" ht="16.05" customHeight="1" x14ac:dyDescent="0.3">
      <c r="A438" s="26" t="s">
        <v>819</v>
      </c>
      <c r="B438" s="26" t="s">
        <v>1470</v>
      </c>
      <c r="C438" s="26" t="s">
        <v>1472</v>
      </c>
      <c r="D438" s="26" t="s">
        <v>1473</v>
      </c>
      <c r="E438" s="39">
        <v>1</v>
      </c>
      <c r="F438" s="37">
        <v>8355</v>
      </c>
      <c r="G438" s="38">
        <f>IFERROR(IF(B438="Tampa",INDEX(tbl_tampas[Massa_g],MATCH(A438,tbl_tampas[CapId],0)),INDEX(tbl_recyclass[Massa_Corpo_g],MATCH(A438,tbl_recyclass[ProductId],0))),0)</f>
        <v>49.1</v>
      </c>
      <c r="H438" s="32">
        <f t="shared" si="18"/>
        <v>410.23050000000001</v>
      </c>
      <c r="I438" s="36">
        <f>IFERROR(IF(B438="Tampa",INDEX(tbl_tampas[Pct_PCR],MATCH(A438,tbl_tampas[CapId],0)),INDEX(tbl_recyclass[Pct_PCR_Corpo],MATCH(A438,tbl_recyclass[ProductId],0))),0)</f>
        <v>0</v>
      </c>
      <c r="J438" s="32">
        <f t="shared" si="19"/>
        <v>0</v>
      </c>
      <c r="K438" s="32">
        <f t="shared" si="20"/>
        <v>410.23050000000001</v>
      </c>
      <c r="L438" s="43">
        <f>IF(C438="ES",K438*INDEX(tbl_param_emb[Valor],MATCH("P-01",tbl_param_emb[ID_Parametro],0)),0)</f>
        <v>0</v>
      </c>
      <c r="M438" s="33" t="str">
        <f>IF(B438="Tampa","Componente",IFERROR(INDEX(tbl_recyclass[Grau_PPWR_Indicativo],MATCH(A438,tbl_recyclass[ProductId],0)),""))</f>
        <v>Não reciclável (F)</v>
      </c>
    </row>
    <row r="439" spans="1:13" ht="16.05" customHeight="1" x14ac:dyDescent="0.3">
      <c r="A439" s="26" t="s">
        <v>819</v>
      </c>
      <c r="B439" s="26" t="s">
        <v>1470</v>
      </c>
      <c r="C439" s="26" t="s">
        <v>1478</v>
      </c>
      <c r="D439" s="26" t="s">
        <v>1479</v>
      </c>
      <c r="E439" s="39">
        <v>1</v>
      </c>
      <c r="F439" s="37">
        <v>3425</v>
      </c>
      <c r="G439" s="38">
        <f>IFERROR(IF(B439="Tampa",INDEX(tbl_tampas[Massa_g],MATCH(A439,tbl_tampas[CapId],0)),INDEX(tbl_recyclass[Massa_Corpo_g],MATCH(A439,tbl_recyclass[ProductId],0))),0)</f>
        <v>49.1</v>
      </c>
      <c r="H439" s="32">
        <f t="shared" si="18"/>
        <v>168.16749999999999</v>
      </c>
      <c r="I439" s="36">
        <f>IFERROR(IF(B439="Tampa",INDEX(tbl_tampas[Pct_PCR],MATCH(A439,tbl_tampas[CapId],0)),INDEX(tbl_recyclass[Pct_PCR_Corpo],MATCH(A439,tbl_recyclass[ProductId],0))),0)</f>
        <v>0</v>
      </c>
      <c r="J439" s="32">
        <f t="shared" si="19"/>
        <v>0</v>
      </c>
      <c r="K439" s="32">
        <f t="shared" si="20"/>
        <v>168.16749999999999</v>
      </c>
      <c r="L439" s="43">
        <f>IF(C439="ES",K439*INDEX(tbl_param_emb[Valor],MATCH("P-01",tbl_param_emb[ID_Parametro],0)),0)</f>
        <v>0</v>
      </c>
      <c r="M439" s="33" t="str">
        <f>IF(B439="Tampa","Componente",IFERROR(INDEX(tbl_recyclass[Grau_PPWR_Indicativo],MATCH(A439,tbl_recyclass[ProductId],0)),""))</f>
        <v>Não reciclável (F)</v>
      </c>
    </row>
    <row r="440" spans="1:13" ht="16.05" customHeight="1" x14ac:dyDescent="0.3">
      <c r="A440" s="26" t="s">
        <v>819</v>
      </c>
      <c r="B440" s="26" t="s">
        <v>1470</v>
      </c>
      <c r="C440" s="26" t="s">
        <v>1480</v>
      </c>
      <c r="D440" s="26" t="s">
        <v>1481</v>
      </c>
      <c r="E440" s="39">
        <v>1</v>
      </c>
      <c r="F440" s="37">
        <v>3809</v>
      </c>
      <c r="G440" s="38">
        <f>IFERROR(IF(B440="Tampa",INDEX(tbl_tampas[Massa_g],MATCH(A440,tbl_tampas[CapId],0)),INDEX(tbl_recyclass[Massa_Corpo_g],MATCH(A440,tbl_recyclass[ProductId],0))),0)</f>
        <v>49.1</v>
      </c>
      <c r="H440" s="32">
        <f t="shared" si="18"/>
        <v>187.02189999999999</v>
      </c>
      <c r="I440" s="36">
        <f>IFERROR(IF(B440="Tampa",INDEX(tbl_tampas[Pct_PCR],MATCH(A440,tbl_tampas[CapId],0)),INDEX(tbl_recyclass[Pct_PCR_Corpo],MATCH(A440,tbl_recyclass[ProductId],0))),0)</f>
        <v>0</v>
      </c>
      <c r="J440" s="32">
        <f t="shared" si="19"/>
        <v>0</v>
      </c>
      <c r="K440" s="32">
        <f t="shared" si="20"/>
        <v>187.02189999999999</v>
      </c>
      <c r="L440" s="43">
        <f>IF(C440="ES",K440*INDEX(tbl_param_emb[Valor],MATCH("P-01",tbl_param_emb[ID_Parametro],0)),0)</f>
        <v>0</v>
      </c>
      <c r="M440" s="33" t="str">
        <f>IF(B440="Tampa","Componente",IFERROR(INDEX(tbl_recyclass[Grau_PPWR_Indicativo],MATCH(A440,tbl_recyclass[ProductId],0)),""))</f>
        <v>Não reciclável (F)</v>
      </c>
    </row>
    <row r="441" spans="1:13" ht="16.05" customHeight="1" x14ac:dyDescent="0.3">
      <c r="A441" s="26" t="s">
        <v>819</v>
      </c>
      <c r="B441" s="26" t="s">
        <v>1470</v>
      </c>
      <c r="C441" s="26" t="s">
        <v>847</v>
      </c>
      <c r="D441" s="26" t="s">
        <v>1471</v>
      </c>
      <c r="E441" s="39">
        <v>4</v>
      </c>
      <c r="F441" s="37">
        <v>18324</v>
      </c>
      <c r="G441" s="38">
        <f>IFERROR(IF(B441="Tampa",INDEX(tbl_tampas[Massa_g],MATCH(A441,tbl_tampas[CapId],0)),INDEX(tbl_recyclass[Massa_Corpo_g],MATCH(A441,tbl_recyclass[ProductId],0))),0)</f>
        <v>49.1</v>
      </c>
      <c r="H441" s="32">
        <f t="shared" si="18"/>
        <v>899.70839999999998</v>
      </c>
      <c r="I441" s="36">
        <f>IFERROR(IF(B441="Tampa",INDEX(tbl_tampas[Pct_PCR],MATCH(A441,tbl_tampas[CapId],0)),INDEX(tbl_recyclass[Pct_PCR_Corpo],MATCH(A441,tbl_recyclass[ProductId],0))),0)</f>
        <v>0</v>
      </c>
      <c r="J441" s="32">
        <f t="shared" si="19"/>
        <v>0</v>
      </c>
      <c r="K441" s="32">
        <f t="shared" si="20"/>
        <v>899.70839999999998</v>
      </c>
      <c r="L441" s="43">
        <f>IF(C441="ES",K441*INDEX(tbl_param_emb[Valor],MATCH("P-01",tbl_param_emb[ID_Parametro],0)),0)</f>
        <v>0</v>
      </c>
      <c r="M441" s="33" t="str">
        <f>IF(B441="Tampa","Componente",IFERROR(INDEX(tbl_recyclass[Grau_PPWR_Indicativo],MATCH(A441,tbl_recyclass[ProductId],0)),""))</f>
        <v>Não reciclável (F)</v>
      </c>
    </row>
    <row r="442" spans="1:13" ht="16.05" customHeight="1" x14ac:dyDescent="0.3">
      <c r="A442" s="26" t="s">
        <v>819</v>
      </c>
      <c r="B442" s="26" t="s">
        <v>1470</v>
      </c>
      <c r="C442" s="26" t="s">
        <v>1474</v>
      </c>
      <c r="D442" s="26" t="s">
        <v>1475</v>
      </c>
      <c r="E442" s="39">
        <v>1</v>
      </c>
      <c r="F442" s="37">
        <v>9424</v>
      </c>
      <c r="G442" s="38">
        <f>IFERROR(IF(B442="Tampa",INDEX(tbl_tampas[Massa_g],MATCH(A442,tbl_tampas[CapId],0)),INDEX(tbl_recyclass[Massa_Corpo_g],MATCH(A442,tbl_recyclass[ProductId],0))),0)</f>
        <v>49.1</v>
      </c>
      <c r="H442" s="32">
        <f t="shared" si="18"/>
        <v>462.71840000000003</v>
      </c>
      <c r="I442" s="36">
        <f>IFERROR(IF(B442="Tampa",INDEX(tbl_tampas[Pct_PCR],MATCH(A442,tbl_tampas[CapId],0)),INDEX(tbl_recyclass[Pct_PCR_Corpo],MATCH(A442,tbl_recyclass[ProductId],0))),0)</f>
        <v>0</v>
      </c>
      <c r="J442" s="32">
        <f t="shared" si="19"/>
        <v>0</v>
      </c>
      <c r="K442" s="32">
        <f t="shared" si="20"/>
        <v>462.71840000000003</v>
      </c>
      <c r="L442" s="43">
        <f>IF(C442="ES",K442*INDEX(tbl_param_emb[Valor],MATCH("P-01",tbl_param_emb[ID_Parametro],0)),0)</f>
        <v>208.22328000000002</v>
      </c>
      <c r="M442" s="33" t="str">
        <f>IF(B442="Tampa","Componente",IFERROR(INDEX(tbl_recyclass[Grau_PPWR_Indicativo],MATCH(A442,tbl_recyclass[ProductId],0)),""))</f>
        <v>Não reciclável (F)</v>
      </c>
    </row>
    <row r="443" spans="1:13" ht="16.05" customHeight="1" x14ac:dyDescent="0.3">
      <c r="A443" s="26" t="s">
        <v>821</v>
      </c>
      <c r="B443" s="26" t="s">
        <v>1470</v>
      </c>
      <c r="C443" s="26" t="s">
        <v>1476</v>
      </c>
      <c r="D443" s="26" t="s">
        <v>1477</v>
      </c>
      <c r="E443" s="39">
        <v>1</v>
      </c>
      <c r="F443" s="37">
        <v>5352</v>
      </c>
      <c r="G443" s="38">
        <f>IFERROR(IF(B443="Tampa",INDEX(tbl_tampas[Massa_g],MATCH(A443,tbl_tampas[CapId],0)),INDEX(tbl_recyclass[Massa_Corpo_g],MATCH(A443,tbl_recyclass[ProductId],0))),0)</f>
        <v>49.1</v>
      </c>
      <c r="H443" s="32">
        <f t="shared" si="18"/>
        <v>262.78320000000002</v>
      </c>
      <c r="I443" s="36">
        <f>IFERROR(IF(B443="Tampa",INDEX(tbl_tampas[Pct_PCR],MATCH(A443,tbl_tampas[CapId],0)),INDEX(tbl_recyclass[Pct_PCR_Corpo],MATCH(A443,tbl_recyclass[ProductId],0))),0)</f>
        <v>0.5</v>
      </c>
      <c r="J443" s="32">
        <f t="shared" si="19"/>
        <v>131.39160000000001</v>
      </c>
      <c r="K443" s="32">
        <f t="shared" si="20"/>
        <v>131.39160000000001</v>
      </c>
      <c r="L443" s="43">
        <f>IF(C443="ES",K443*INDEX(tbl_param_emb[Valor],MATCH("P-01",tbl_param_emb[ID_Parametro],0)),0)</f>
        <v>0</v>
      </c>
      <c r="M443" s="33" t="str">
        <f>IF(B443="Tampa","Componente",IFERROR(INDEX(tbl_recyclass[Grau_PPWR_Indicativo],MATCH(A443,tbl_recyclass[ProductId],0)),""))</f>
        <v>A</v>
      </c>
    </row>
    <row r="444" spans="1:13" ht="16.05" customHeight="1" x14ac:dyDescent="0.3">
      <c r="A444" s="26" t="s">
        <v>821</v>
      </c>
      <c r="B444" s="26" t="s">
        <v>1470</v>
      </c>
      <c r="C444" s="26" t="s">
        <v>1478</v>
      </c>
      <c r="D444" s="26" t="s">
        <v>1479</v>
      </c>
      <c r="E444" s="39">
        <v>1</v>
      </c>
      <c r="F444" s="37">
        <v>18802</v>
      </c>
      <c r="G444" s="38">
        <f>IFERROR(IF(B444="Tampa",INDEX(tbl_tampas[Massa_g],MATCH(A444,tbl_tampas[CapId],0)),INDEX(tbl_recyclass[Massa_Corpo_g],MATCH(A444,tbl_recyclass[ProductId],0))),0)</f>
        <v>49.1</v>
      </c>
      <c r="H444" s="32">
        <f t="shared" si="18"/>
        <v>923.17820000000006</v>
      </c>
      <c r="I444" s="36">
        <f>IFERROR(IF(B444="Tampa",INDEX(tbl_tampas[Pct_PCR],MATCH(A444,tbl_tampas[CapId],0)),INDEX(tbl_recyclass[Pct_PCR_Corpo],MATCH(A444,tbl_recyclass[ProductId],0))),0)</f>
        <v>0.5</v>
      </c>
      <c r="J444" s="32">
        <f t="shared" si="19"/>
        <v>461.58910000000003</v>
      </c>
      <c r="K444" s="32">
        <f t="shared" si="20"/>
        <v>461.58910000000003</v>
      </c>
      <c r="L444" s="43">
        <f>IF(C444="ES",K444*INDEX(tbl_param_emb[Valor],MATCH("P-01",tbl_param_emb[ID_Parametro],0)),0)</f>
        <v>0</v>
      </c>
      <c r="M444" s="33" t="str">
        <f>IF(B444="Tampa","Componente",IFERROR(INDEX(tbl_recyclass[Grau_PPWR_Indicativo],MATCH(A444,tbl_recyclass[ProductId],0)),""))</f>
        <v>A</v>
      </c>
    </row>
    <row r="445" spans="1:13" ht="16.05" customHeight="1" x14ac:dyDescent="0.3">
      <c r="A445" s="26" t="s">
        <v>821</v>
      </c>
      <c r="B445" s="26" t="s">
        <v>1470</v>
      </c>
      <c r="C445" s="26" t="s">
        <v>1480</v>
      </c>
      <c r="D445" s="26" t="s">
        <v>1481</v>
      </c>
      <c r="E445" s="39">
        <v>1</v>
      </c>
      <c r="F445" s="37">
        <v>3809</v>
      </c>
      <c r="G445" s="38">
        <f>IFERROR(IF(B445="Tampa",INDEX(tbl_tampas[Massa_g],MATCH(A445,tbl_tampas[CapId],0)),INDEX(tbl_recyclass[Massa_Corpo_g],MATCH(A445,tbl_recyclass[ProductId],0))),0)</f>
        <v>49.1</v>
      </c>
      <c r="H445" s="32">
        <f t="shared" si="18"/>
        <v>187.02189999999999</v>
      </c>
      <c r="I445" s="36">
        <f>IFERROR(IF(B445="Tampa",INDEX(tbl_tampas[Pct_PCR],MATCH(A445,tbl_tampas[CapId],0)),INDEX(tbl_recyclass[Pct_PCR_Corpo],MATCH(A445,tbl_recyclass[ProductId],0))),0)</f>
        <v>0.5</v>
      </c>
      <c r="J445" s="32">
        <f t="shared" si="19"/>
        <v>93.510949999999994</v>
      </c>
      <c r="K445" s="32">
        <f t="shared" si="20"/>
        <v>93.510949999999994</v>
      </c>
      <c r="L445" s="43">
        <f>IF(C445="ES",K445*INDEX(tbl_param_emb[Valor],MATCH("P-01",tbl_param_emb[ID_Parametro],0)),0)</f>
        <v>0</v>
      </c>
      <c r="M445" s="33" t="str">
        <f>IF(B445="Tampa","Componente",IFERROR(INDEX(tbl_recyclass[Grau_PPWR_Indicativo],MATCH(A445,tbl_recyclass[ProductId],0)),""))</f>
        <v>A</v>
      </c>
    </row>
    <row r="446" spans="1:13" ht="16.05" customHeight="1" x14ac:dyDescent="0.3">
      <c r="A446" s="26" t="s">
        <v>821</v>
      </c>
      <c r="B446" s="26" t="s">
        <v>1470</v>
      </c>
      <c r="C446" s="26" t="s">
        <v>847</v>
      </c>
      <c r="D446" s="26" t="s">
        <v>1471</v>
      </c>
      <c r="E446" s="39">
        <v>6</v>
      </c>
      <c r="F446" s="37">
        <v>58608</v>
      </c>
      <c r="G446" s="38">
        <f>IFERROR(IF(B446="Tampa",INDEX(tbl_tampas[Massa_g],MATCH(A446,tbl_tampas[CapId],0)),INDEX(tbl_recyclass[Massa_Corpo_g],MATCH(A446,tbl_recyclass[ProductId],0))),0)</f>
        <v>49.1</v>
      </c>
      <c r="H446" s="32">
        <f t="shared" si="18"/>
        <v>2877.6528000000003</v>
      </c>
      <c r="I446" s="36">
        <f>IFERROR(IF(B446="Tampa",INDEX(tbl_tampas[Pct_PCR],MATCH(A446,tbl_tampas[CapId],0)),INDEX(tbl_recyclass[Pct_PCR_Corpo],MATCH(A446,tbl_recyclass[ProductId],0))),0)</f>
        <v>0.5</v>
      </c>
      <c r="J446" s="32">
        <f t="shared" si="19"/>
        <v>1438.8264000000001</v>
      </c>
      <c r="K446" s="32">
        <f t="shared" si="20"/>
        <v>1438.8264000000001</v>
      </c>
      <c r="L446" s="43">
        <f>IF(C446="ES",K446*INDEX(tbl_param_emb[Valor],MATCH("P-01",tbl_param_emb[ID_Parametro],0)),0)</f>
        <v>0</v>
      </c>
      <c r="M446" s="33" t="str">
        <f>IF(B446="Tampa","Componente",IFERROR(INDEX(tbl_recyclass[Grau_PPWR_Indicativo],MATCH(A446,tbl_recyclass[ProductId],0)),""))</f>
        <v>A</v>
      </c>
    </row>
    <row r="447" spans="1:13" ht="16.05" customHeight="1" x14ac:dyDescent="0.3">
      <c r="A447" s="26" t="s">
        <v>821</v>
      </c>
      <c r="B447" s="26" t="s">
        <v>1470</v>
      </c>
      <c r="C447" s="26" t="s">
        <v>1474</v>
      </c>
      <c r="D447" s="26" t="s">
        <v>1475</v>
      </c>
      <c r="E447" s="39">
        <v>1</v>
      </c>
      <c r="F447" s="37">
        <v>7957</v>
      </c>
      <c r="G447" s="38">
        <f>IFERROR(IF(B447="Tampa",INDEX(tbl_tampas[Massa_g],MATCH(A447,tbl_tampas[CapId],0)),INDEX(tbl_recyclass[Massa_Corpo_g],MATCH(A447,tbl_recyclass[ProductId],0))),0)</f>
        <v>49.1</v>
      </c>
      <c r="H447" s="32">
        <f t="shared" si="18"/>
        <v>390.68870000000004</v>
      </c>
      <c r="I447" s="36">
        <f>IFERROR(IF(B447="Tampa",INDEX(tbl_tampas[Pct_PCR],MATCH(A447,tbl_tampas[CapId],0)),INDEX(tbl_recyclass[Pct_PCR_Corpo],MATCH(A447,tbl_recyclass[ProductId],0))),0)</f>
        <v>0.5</v>
      </c>
      <c r="J447" s="32">
        <f t="shared" si="19"/>
        <v>195.34435000000002</v>
      </c>
      <c r="K447" s="32">
        <f t="shared" si="20"/>
        <v>195.34435000000002</v>
      </c>
      <c r="L447" s="43">
        <f>IF(C447="ES",K447*INDEX(tbl_param_emb[Valor],MATCH("P-01",tbl_param_emb[ID_Parametro],0)),0)</f>
        <v>87.904957500000009</v>
      </c>
      <c r="M447" s="33" t="str">
        <f>IF(B447="Tampa","Componente",IFERROR(INDEX(tbl_recyclass[Grau_PPWR_Indicativo],MATCH(A447,tbl_recyclass[ProductId],0)),""))</f>
        <v>A</v>
      </c>
    </row>
    <row r="448" spans="1:13" ht="16.05" customHeight="1" x14ac:dyDescent="0.3">
      <c r="A448" s="26" t="s">
        <v>799</v>
      </c>
      <c r="B448" s="26" t="s">
        <v>1470</v>
      </c>
      <c r="C448" s="26" t="s">
        <v>1476</v>
      </c>
      <c r="D448" s="26" t="s">
        <v>1477</v>
      </c>
      <c r="E448" s="39">
        <v>1</v>
      </c>
      <c r="F448" s="37">
        <v>4911</v>
      </c>
      <c r="G448" s="38">
        <f>IFERROR(IF(B448="Tampa",INDEX(tbl_tampas[Massa_g],MATCH(A448,tbl_tampas[CapId],0)),INDEX(tbl_recyclass[Massa_Corpo_g],MATCH(A448,tbl_recyclass[ProductId],0))),0)</f>
        <v>49.1</v>
      </c>
      <c r="H448" s="32">
        <f t="shared" si="18"/>
        <v>241.1301</v>
      </c>
      <c r="I448" s="36">
        <f>IFERROR(IF(B448="Tampa",INDEX(tbl_tampas[Pct_PCR],MATCH(A448,tbl_tampas[CapId],0)),INDEX(tbl_recyclass[Pct_PCR_Corpo],MATCH(A448,tbl_recyclass[ProductId],0))),0)</f>
        <v>0</v>
      </c>
      <c r="J448" s="32">
        <f t="shared" si="19"/>
        <v>0</v>
      </c>
      <c r="K448" s="32">
        <f t="shared" si="20"/>
        <v>241.1301</v>
      </c>
      <c r="L448" s="43">
        <f>IF(C448="ES",K448*INDEX(tbl_param_emb[Valor],MATCH("P-01",tbl_param_emb[ID_Parametro],0)),0)</f>
        <v>0</v>
      </c>
      <c r="M448" s="33" t="str">
        <f>IF(B448="Tampa","Componente",IFERROR(INDEX(tbl_recyclass[Grau_PPWR_Indicativo],MATCH(A448,tbl_recyclass[ProductId],0)),""))</f>
        <v>A</v>
      </c>
    </row>
    <row r="449" spans="1:13" ht="16.05" customHeight="1" x14ac:dyDescent="0.3">
      <c r="A449" s="26" t="s">
        <v>799</v>
      </c>
      <c r="B449" s="26" t="s">
        <v>1470</v>
      </c>
      <c r="C449" s="26" t="s">
        <v>1472</v>
      </c>
      <c r="D449" s="26" t="s">
        <v>1473</v>
      </c>
      <c r="E449" s="39">
        <v>1</v>
      </c>
      <c r="F449" s="37">
        <v>3352</v>
      </c>
      <c r="G449" s="38">
        <f>IFERROR(IF(B449="Tampa",INDEX(tbl_tampas[Massa_g],MATCH(A449,tbl_tampas[CapId],0)),INDEX(tbl_recyclass[Massa_Corpo_g],MATCH(A449,tbl_recyclass[ProductId],0))),0)</f>
        <v>49.1</v>
      </c>
      <c r="H449" s="32">
        <f t="shared" si="18"/>
        <v>164.58320000000001</v>
      </c>
      <c r="I449" s="36">
        <f>IFERROR(IF(B449="Tampa",INDEX(tbl_tampas[Pct_PCR],MATCH(A449,tbl_tampas[CapId],0)),INDEX(tbl_recyclass[Pct_PCR_Corpo],MATCH(A449,tbl_recyclass[ProductId],0))),0)</f>
        <v>0</v>
      </c>
      <c r="J449" s="32">
        <f t="shared" si="19"/>
        <v>0</v>
      </c>
      <c r="K449" s="32">
        <f t="shared" si="20"/>
        <v>164.58320000000001</v>
      </c>
      <c r="L449" s="43">
        <f>IF(C449="ES",K449*INDEX(tbl_param_emb[Valor],MATCH("P-01",tbl_param_emb[ID_Parametro],0)),0)</f>
        <v>0</v>
      </c>
      <c r="M449" s="33" t="str">
        <f>IF(B449="Tampa","Componente",IFERROR(INDEX(tbl_recyclass[Grau_PPWR_Indicativo],MATCH(A449,tbl_recyclass[ProductId],0)),""))</f>
        <v>A</v>
      </c>
    </row>
    <row r="450" spans="1:13" ht="16.05" customHeight="1" x14ac:dyDescent="0.3">
      <c r="A450" s="26" t="s">
        <v>799</v>
      </c>
      <c r="B450" s="26" t="s">
        <v>1470</v>
      </c>
      <c r="C450" s="26" t="s">
        <v>1478</v>
      </c>
      <c r="D450" s="26" t="s">
        <v>1479</v>
      </c>
      <c r="E450" s="39">
        <v>1</v>
      </c>
      <c r="F450" s="37">
        <v>6295</v>
      </c>
      <c r="G450" s="38">
        <f>IFERROR(IF(B450="Tampa",INDEX(tbl_tampas[Massa_g],MATCH(A450,tbl_tampas[CapId],0)),INDEX(tbl_recyclass[Massa_Corpo_g],MATCH(A450,tbl_recyclass[ProductId],0))),0)</f>
        <v>49.1</v>
      </c>
      <c r="H450" s="32">
        <f t="shared" ref="H450:H513" si="21">F450*G450/1000</f>
        <v>309.08449999999999</v>
      </c>
      <c r="I450" s="36">
        <f>IFERROR(IF(B450="Tampa",INDEX(tbl_tampas[Pct_PCR],MATCH(A450,tbl_tampas[CapId],0)),INDEX(tbl_recyclass[Pct_PCR_Corpo],MATCH(A450,tbl_recyclass[ProductId],0))),0)</f>
        <v>0</v>
      </c>
      <c r="J450" s="32">
        <f t="shared" ref="J450:J513" si="22">H450*I450</f>
        <v>0</v>
      </c>
      <c r="K450" s="32">
        <f t="shared" ref="K450:K513" si="23">H450-J450</f>
        <v>309.08449999999999</v>
      </c>
      <c r="L450" s="43">
        <f>IF(C450="ES",K450*INDEX(tbl_param_emb[Valor],MATCH("P-01",tbl_param_emb[ID_Parametro],0)),0)</f>
        <v>0</v>
      </c>
      <c r="M450" s="33" t="str">
        <f>IF(B450="Tampa","Componente",IFERROR(INDEX(tbl_recyclass[Grau_PPWR_Indicativo],MATCH(A450,tbl_recyclass[ProductId],0)),""))</f>
        <v>A</v>
      </c>
    </row>
    <row r="451" spans="1:13" ht="16.05" customHeight="1" x14ac:dyDescent="0.3">
      <c r="A451" s="26" t="s">
        <v>799</v>
      </c>
      <c r="B451" s="26" t="s">
        <v>1470</v>
      </c>
      <c r="C451" s="26" t="s">
        <v>1480</v>
      </c>
      <c r="D451" s="26" t="s">
        <v>1481</v>
      </c>
      <c r="E451" s="39">
        <v>1</v>
      </c>
      <c r="F451" s="37">
        <v>1022</v>
      </c>
      <c r="G451" s="38">
        <f>IFERROR(IF(B451="Tampa",INDEX(tbl_tampas[Massa_g],MATCH(A451,tbl_tampas[CapId],0)),INDEX(tbl_recyclass[Massa_Corpo_g],MATCH(A451,tbl_recyclass[ProductId],0))),0)</f>
        <v>49.1</v>
      </c>
      <c r="H451" s="32">
        <f t="shared" si="21"/>
        <v>50.180200000000006</v>
      </c>
      <c r="I451" s="36">
        <f>IFERROR(IF(B451="Tampa",INDEX(tbl_tampas[Pct_PCR],MATCH(A451,tbl_tampas[CapId],0)),INDEX(tbl_recyclass[Pct_PCR_Corpo],MATCH(A451,tbl_recyclass[ProductId],0))),0)</f>
        <v>0</v>
      </c>
      <c r="J451" s="32">
        <f t="shared" si="22"/>
        <v>0</v>
      </c>
      <c r="K451" s="32">
        <f t="shared" si="23"/>
        <v>50.180200000000006</v>
      </c>
      <c r="L451" s="43">
        <f>IF(C451="ES",K451*INDEX(tbl_param_emb[Valor],MATCH("P-01",tbl_param_emb[ID_Parametro],0)),0)</f>
        <v>0</v>
      </c>
      <c r="M451" s="33" t="str">
        <f>IF(B451="Tampa","Componente",IFERROR(INDEX(tbl_recyclass[Grau_PPWR_Indicativo],MATCH(A451,tbl_recyclass[ProductId],0)),""))</f>
        <v>A</v>
      </c>
    </row>
    <row r="452" spans="1:13" ht="16.05" customHeight="1" x14ac:dyDescent="0.3">
      <c r="A452" s="26" t="s">
        <v>799</v>
      </c>
      <c r="B452" s="26" t="s">
        <v>1470</v>
      </c>
      <c r="C452" s="26" t="s">
        <v>847</v>
      </c>
      <c r="D452" s="26" t="s">
        <v>1471</v>
      </c>
      <c r="E452" s="39">
        <v>8</v>
      </c>
      <c r="F452" s="37">
        <v>66908</v>
      </c>
      <c r="G452" s="38">
        <f>IFERROR(IF(B452="Tampa",INDEX(tbl_tampas[Massa_g],MATCH(A452,tbl_tampas[CapId],0)),INDEX(tbl_recyclass[Massa_Corpo_g],MATCH(A452,tbl_recyclass[ProductId],0))),0)</f>
        <v>49.1</v>
      </c>
      <c r="H452" s="32">
        <f t="shared" si="21"/>
        <v>3285.1828000000005</v>
      </c>
      <c r="I452" s="36">
        <f>IFERROR(IF(B452="Tampa",INDEX(tbl_tampas[Pct_PCR],MATCH(A452,tbl_tampas[CapId],0)),INDEX(tbl_recyclass[Pct_PCR_Corpo],MATCH(A452,tbl_recyclass[ProductId],0))),0)</f>
        <v>0</v>
      </c>
      <c r="J452" s="32">
        <f t="shared" si="22"/>
        <v>0</v>
      </c>
      <c r="K452" s="32">
        <f t="shared" si="23"/>
        <v>3285.1828000000005</v>
      </c>
      <c r="L452" s="43">
        <f>IF(C452="ES",K452*INDEX(tbl_param_emb[Valor],MATCH("P-01",tbl_param_emb[ID_Parametro],0)),0)</f>
        <v>0</v>
      </c>
      <c r="M452" s="33" t="str">
        <f>IF(B452="Tampa","Componente",IFERROR(INDEX(tbl_recyclass[Grau_PPWR_Indicativo],MATCH(A452,tbl_recyclass[ProductId],0)),""))</f>
        <v>A</v>
      </c>
    </row>
    <row r="453" spans="1:13" ht="16.05" customHeight="1" x14ac:dyDescent="0.3">
      <c r="A453" s="26" t="s">
        <v>799</v>
      </c>
      <c r="B453" s="26" t="s">
        <v>1470</v>
      </c>
      <c r="C453" s="26" t="s">
        <v>1474</v>
      </c>
      <c r="D453" s="26" t="s">
        <v>1475</v>
      </c>
      <c r="E453" s="39">
        <v>2</v>
      </c>
      <c r="F453" s="37">
        <v>16546</v>
      </c>
      <c r="G453" s="38">
        <f>IFERROR(IF(B453="Tampa",INDEX(tbl_tampas[Massa_g],MATCH(A453,tbl_tampas[CapId],0)),INDEX(tbl_recyclass[Massa_Corpo_g],MATCH(A453,tbl_recyclass[ProductId],0))),0)</f>
        <v>49.1</v>
      </c>
      <c r="H453" s="32">
        <f t="shared" si="21"/>
        <v>812.40859999999998</v>
      </c>
      <c r="I453" s="36">
        <f>IFERROR(IF(B453="Tampa",INDEX(tbl_tampas[Pct_PCR],MATCH(A453,tbl_tampas[CapId],0)),INDEX(tbl_recyclass[Pct_PCR_Corpo],MATCH(A453,tbl_recyclass[ProductId],0))),0)</f>
        <v>0</v>
      </c>
      <c r="J453" s="32">
        <f t="shared" si="22"/>
        <v>0</v>
      </c>
      <c r="K453" s="32">
        <f t="shared" si="23"/>
        <v>812.40859999999998</v>
      </c>
      <c r="L453" s="43">
        <f>IF(C453="ES",K453*INDEX(tbl_param_emb[Valor],MATCH("P-01",tbl_param_emb[ID_Parametro],0)),0)</f>
        <v>365.58386999999999</v>
      </c>
      <c r="M453" s="33" t="str">
        <f>IF(B453="Tampa","Componente",IFERROR(INDEX(tbl_recyclass[Grau_PPWR_Indicativo],MATCH(A453,tbl_recyclass[ProductId],0)),""))</f>
        <v>A</v>
      </c>
    </row>
    <row r="454" spans="1:13" ht="16.05" customHeight="1" x14ac:dyDescent="0.3">
      <c r="A454" s="26" t="s">
        <v>823</v>
      </c>
      <c r="B454" s="26" t="s">
        <v>1470</v>
      </c>
      <c r="C454" s="26" t="s">
        <v>1476</v>
      </c>
      <c r="D454" s="26" t="s">
        <v>1477</v>
      </c>
      <c r="E454" s="39">
        <v>1</v>
      </c>
      <c r="F454" s="37">
        <v>5221</v>
      </c>
      <c r="G454" s="38">
        <f>IFERROR(IF(B454="Tampa",INDEX(tbl_tampas[Massa_g],MATCH(A454,tbl_tampas[CapId],0)),INDEX(tbl_recyclass[Massa_Corpo_g],MATCH(A454,tbl_recyclass[ProductId],0))),0)</f>
        <v>49.1</v>
      </c>
      <c r="H454" s="32">
        <f t="shared" si="21"/>
        <v>256.35110000000003</v>
      </c>
      <c r="I454" s="36">
        <f>IFERROR(IF(B454="Tampa",INDEX(tbl_tampas[Pct_PCR],MATCH(A454,tbl_tampas[CapId],0)),INDEX(tbl_recyclass[Pct_PCR_Corpo],MATCH(A454,tbl_recyclass[ProductId],0))),0)</f>
        <v>0.5</v>
      </c>
      <c r="J454" s="32">
        <f t="shared" si="22"/>
        <v>128.17555000000002</v>
      </c>
      <c r="K454" s="32">
        <f t="shared" si="23"/>
        <v>128.17555000000002</v>
      </c>
      <c r="L454" s="43">
        <f>IF(C454="ES",K454*INDEX(tbl_param_emb[Valor],MATCH("P-01",tbl_param_emb[ID_Parametro],0)),0)</f>
        <v>0</v>
      </c>
      <c r="M454" s="33" t="str">
        <f>IF(B454="Tampa","Componente",IFERROR(INDEX(tbl_recyclass[Grau_PPWR_Indicativo],MATCH(A454,tbl_recyclass[ProductId],0)),""))</f>
        <v>A</v>
      </c>
    </row>
    <row r="455" spans="1:13" ht="16.05" customHeight="1" x14ac:dyDescent="0.3">
      <c r="A455" s="26" t="s">
        <v>823</v>
      </c>
      <c r="B455" s="26" t="s">
        <v>1470</v>
      </c>
      <c r="C455" s="26" t="s">
        <v>1472</v>
      </c>
      <c r="D455" s="26" t="s">
        <v>1473</v>
      </c>
      <c r="E455" s="39">
        <v>1</v>
      </c>
      <c r="F455" s="37">
        <v>16485</v>
      </c>
      <c r="G455" s="38">
        <f>IFERROR(IF(B455="Tampa",INDEX(tbl_tampas[Massa_g],MATCH(A455,tbl_tampas[CapId],0)),INDEX(tbl_recyclass[Massa_Corpo_g],MATCH(A455,tbl_recyclass[ProductId],0))),0)</f>
        <v>49.1</v>
      </c>
      <c r="H455" s="32">
        <f t="shared" si="21"/>
        <v>809.4135</v>
      </c>
      <c r="I455" s="36">
        <f>IFERROR(IF(B455="Tampa",INDEX(tbl_tampas[Pct_PCR],MATCH(A455,tbl_tampas[CapId],0)),INDEX(tbl_recyclass[Pct_PCR_Corpo],MATCH(A455,tbl_recyclass[ProductId],0))),0)</f>
        <v>0.5</v>
      </c>
      <c r="J455" s="32">
        <f t="shared" si="22"/>
        <v>404.70675</v>
      </c>
      <c r="K455" s="32">
        <f t="shared" si="23"/>
        <v>404.70675</v>
      </c>
      <c r="L455" s="43">
        <f>IF(C455="ES",K455*INDEX(tbl_param_emb[Valor],MATCH("P-01",tbl_param_emb[ID_Parametro],0)),0)</f>
        <v>0</v>
      </c>
      <c r="M455" s="33" t="str">
        <f>IF(B455="Tampa","Componente",IFERROR(INDEX(tbl_recyclass[Grau_PPWR_Indicativo],MATCH(A455,tbl_recyclass[ProductId],0)),""))</f>
        <v>A</v>
      </c>
    </row>
    <row r="456" spans="1:13" ht="16.05" customHeight="1" x14ac:dyDescent="0.3">
      <c r="A456" s="26" t="s">
        <v>823</v>
      </c>
      <c r="B456" s="26" t="s">
        <v>1470</v>
      </c>
      <c r="C456" s="26" t="s">
        <v>1480</v>
      </c>
      <c r="D456" s="26" t="s">
        <v>1481</v>
      </c>
      <c r="E456" s="39">
        <v>1</v>
      </c>
      <c r="F456" s="37">
        <v>9152</v>
      </c>
      <c r="G456" s="38">
        <f>IFERROR(IF(B456="Tampa",INDEX(tbl_tampas[Massa_g],MATCH(A456,tbl_tampas[CapId],0)),INDEX(tbl_recyclass[Massa_Corpo_g],MATCH(A456,tbl_recyclass[ProductId],0))),0)</f>
        <v>49.1</v>
      </c>
      <c r="H456" s="32">
        <f t="shared" si="21"/>
        <v>449.36320000000001</v>
      </c>
      <c r="I456" s="36">
        <f>IFERROR(IF(B456="Tampa",INDEX(tbl_tampas[Pct_PCR],MATCH(A456,tbl_tampas[CapId],0)),INDEX(tbl_recyclass[Pct_PCR_Corpo],MATCH(A456,tbl_recyclass[ProductId],0))),0)</f>
        <v>0.5</v>
      </c>
      <c r="J456" s="32">
        <f t="shared" si="22"/>
        <v>224.6816</v>
      </c>
      <c r="K456" s="32">
        <f t="shared" si="23"/>
        <v>224.6816</v>
      </c>
      <c r="L456" s="43">
        <f>IF(C456="ES",K456*INDEX(tbl_param_emb[Valor],MATCH("P-01",tbl_param_emb[ID_Parametro],0)),0)</f>
        <v>0</v>
      </c>
      <c r="M456" s="33" t="str">
        <f>IF(B456="Tampa","Componente",IFERROR(INDEX(tbl_recyclass[Grau_PPWR_Indicativo],MATCH(A456,tbl_recyclass[ProductId],0)),""))</f>
        <v>A</v>
      </c>
    </row>
    <row r="457" spans="1:13" ht="16.05" customHeight="1" x14ac:dyDescent="0.3">
      <c r="A457" s="26" t="s">
        <v>823</v>
      </c>
      <c r="B457" s="26" t="s">
        <v>1470</v>
      </c>
      <c r="C457" s="26" t="s">
        <v>847</v>
      </c>
      <c r="D457" s="26" t="s">
        <v>1471</v>
      </c>
      <c r="E457" s="39">
        <v>7</v>
      </c>
      <c r="F457" s="37">
        <v>50057</v>
      </c>
      <c r="G457" s="38">
        <f>IFERROR(IF(B457="Tampa",INDEX(tbl_tampas[Massa_g],MATCH(A457,tbl_tampas[CapId],0)),INDEX(tbl_recyclass[Massa_Corpo_g],MATCH(A457,tbl_recyclass[ProductId],0))),0)</f>
        <v>49.1</v>
      </c>
      <c r="H457" s="32">
        <f t="shared" si="21"/>
        <v>2457.7987000000003</v>
      </c>
      <c r="I457" s="36">
        <f>IFERROR(IF(B457="Tampa",INDEX(tbl_tampas[Pct_PCR],MATCH(A457,tbl_tampas[CapId],0)),INDEX(tbl_recyclass[Pct_PCR_Corpo],MATCH(A457,tbl_recyclass[ProductId],0))),0)</f>
        <v>0.5</v>
      </c>
      <c r="J457" s="32">
        <f t="shared" si="22"/>
        <v>1228.8993500000001</v>
      </c>
      <c r="K457" s="32">
        <f t="shared" si="23"/>
        <v>1228.8993500000001</v>
      </c>
      <c r="L457" s="43">
        <f>IF(C457="ES",K457*INDEX(tbl_param_emb[Valor],MATCH("P-01",tbl_param_emb[ID_Parametro],0)),0)</f>
        <v>0</v>
      </c>
      <c r="M457" s="33" t="str">
        <f>IF(B457="Tampa","Componente",IFERROR(INDEX(tbl_recyclass[Grau_PPWR_Indicativo],MATCH(A457,tbl_recyclass[ProductId],0)),""))</f>
        <v>A</v>
      </c>
    </row>
    <row r="458" spans="1:13" ht="16.05" customHeight="1" x14ac:dyDescent="0.3">
      <c r="A458" s="26" t="s">
        <v>823</v>
      </c>
      <c r="B458" s="26" t="s">
        <v>1470</v>
      </c>
      <c r="C458" s="26" t="s">
        <v>1474</v>
      </c>
      <c r="D458" s="26" t="s">
        <v>1475</v>
      </c>
      <c r="E458" s="39">
        <v>2</v>
      </c>
      <c r="F458" s="37">
        <v>12401</v>
      </c>
      <c r="G458" s="38">
        <f>IFERROR(IF(B458="Tampa",INDEX(tbl_tampas[Massa_g],MATCH(A458,tbl_tampas[CapId],0)),INDEX(tbl_recyclass[Massa_Corpo_g],MATCH(A458,tbl_recyclass[ProductId],0))),0)</f>
        <v>49.1</v>
      </c>
      <c r="H458" s="32">
        <f t="shared" si="21"/>
        <v>608.88909999999998</v>
      </c>
      <c r="I458" s="36">
        <f>IFERROR(IF(B458="Tampa",INDEX(tbl_tampas[Pct_PCR],MATCH(A458,tbl_tampas[CapId],0)),INDEX(tbl_recyclass[Pct_PCR_Corpo],MATCH(A458,tbl_recyclass[ProductId],0))),0)</f>
        <v>0.5</v>
      </c>
      <c r="J458" s="32">
        <f t="shared" si="22"/>
        <v>304.44454999999999</v>
      </c>
      <c r="K458" s="32">
        <f t="shared" si="23"/>
        <v>304.44454999999999</v>
      </c>
      <c r="L458" s="43">
        <f>IF(C458="ES",K458*INDEX(tbl_param_emb[Valor],MATCH("P-01",tbl_param_emb[ID_Parametro],0)),0)</f>
        <v>137.00004749999999</v>
      </c>
      <c r="M458" s="33" t="str">
        <f>IF(B458="Tampa","Componente",IFERROR(INDEX(tbl_recyclass[Grau_PPWR_Indicativo],MATCH(A458,tbl_recyclass[ProductId],0)),""))</f>
        <v>A</v>
      </c>
    </row>
    <row r="459" spans="1:13" ht="16.05" customHeight="1" x14ac:dyDescent="0.3">
      <c r="A459" s="26" t="s">
        <v>807</v>
      </c>
      <c r="B459" s="26" t="s">
        <v>1470</v>
      </c>
      <c r="C459" s="26" t="s">
        <v>1476</v>
      </c>
      <c r="D459" s="26" t="s">
        <v>1477</v>
      </c>
      <c r="E459" s="39">
        <v>1</v>
      </c>
      <c r="F459" s="37">
        <v>7640</v>
      </c>
      <c r="G459" s="38">
        <f>IFERROR(IF(B459="Tampa",INDEX(tbl_tampas[Massa_g],MATCH(A459,tbl_tampas[CapId],0)),INDEX(tbl_recyclass[Massa_Corpo_g],MATCH(A459,tbl_recyclass[ProductId],0))),0)</f>
        <v>49.1</v>
      </c>
      <c r="H459" s="32">
        <f t="shared" si="21"/>
        <v>375.12400000000002</v>
      </c>
      <c r="I459" s="36">
        <f>IFERROR(IF(B459="Tampa",INDEX(tbl_tampas[Pct_PCR],MATCH(A459,tbl_tampas[CapId],0)),INDEX(tbl_recyclass[Pct_PCR_Corpo],MATCH(A459,tbl_recyclass[ProductId],0))),0)</f>
        <v>0</v>
      </c>
      <c r="J459" s="32">
        <f t="shared" si="22"/>
        <v>0</v>
      </c>
      <c r="K459" s="32">
        <f t="shared" si="23"/>
        <v>375.12400000000002</v>
      </c>
      <c r="L459" s="43">
        <f>IF(C459="ES",K459*INDEX(tbl_param_emb[Valor],MATCH("P-01",tbl_param_emb[ID_Parametro],0)),0)</f>
        <v>0</v>
      </c>
      <c r="M459" s="33" t="str">
        <f>IF(B459="Tampa","Componente",IFERROR(INDEX(tbl_recyclass[Grau_PPWR_Indicativo],MATCH(A459,tbl_recyclass[ProductId],0)),""))</f>
        <v>Abaixo de C</v>
      </c>
    </row>
    <row r="460" spans="1:13" ht="16.05" customHeight="1" x14ac:dyDescent="0.3">
      <c r="A460" s="26" t="s">
        <v>807</v>
      </c>
      <c r="B460" s="26" t="s">
        <v>1470</v>
      </c>
      <c r="C460" s="26" t="s">
        <v>1472</v>
      </c>
      <c r="D460" s="26" t="s">
        <v>1473</v>
      </c>
      <c r="E460" s="39">
        <v>1</v>
      </c>
      <c r="F460" s="37">
        <v>7054</v>
      </c>
      <c r="G460" s="38">
        <f>IFERROR(IF(B460="Tampa",INDEX(tbl_tampas[Massa_g],MATCH(A460,tbl_tampas[CapId],0)),INDEX(tbl_recyclass[Massa_Corpo_g],MATCH(A460,tbl_recyclass[ProductId],0))),0)</f>
        <v>49.1</v>
      </c>
      <c r="H460" s="32">
        <f t="shared" si="21"/>
        <v>346.35140000000001</v>
      </c>
      <c r="I460" s="36">
        <f>IFERROR(IF(B460="Tampa",INDEX(tbl_tampas[Pct_PCR],MATCH(A460,tbl_tampas[CapId],0)),INDEX(tbl_recyclass[Pct_PCR_Corpo],MATCH(A460,tbl_recyclass[ProductId],0))),0)</f>
        <v>0</v>
      </c>
      <c r="J460" s="32">
        <f t="shared" si="22"/>
        <v>0</v>
      </c>
      <c r="K460" s="32">
        <f t="shared" si="23"/>
        <v>346.35140000000001</v>
      </c>
      <c r="L460" s="43">
        <f>IF(C460="ES",K460*INDEX(tbl_param_emb[Valor],MATCH("P-01",tbl_param_emb[ID_Parametro],0)),0)</f>
        <v>0</v>
      </c>
      <c r="M460" s="33" t="str">
        <f>IF(B460="Tampa","Componente",IFERROR(INDEX(tbl_recyclass[Grau_PPWR_Indicativo],MATCH(A460,tbl_recyclass[ProductId],0)),""))</f>
        <v>Abaixo de C</v>
      </c>
    </row>
    <row r="461" spans="1:13" ht="16.05" customHeight="1" x14ac:dyDescent="0.3">
      <c r="A461" s="26" t="s">
        <v>807</v>
      </c>
      <c r="B461" s="26" t="s">
        <v>1470</v>
      </c>
      <c r="C461" s="26" t="s">
        <v>1478</v>
      </c>
      <c r="D461" s="26" t="s">
        <v>1479</v>
      </c>
      <c r="E461" s="39">
        <v>1</v>
      </c>
      <c r="F461" s="37">
        <v>7699</v>
      </c>
      <c r="G461" s="38">
        <f>IFERROR(IF(B461="Tampa",INDEX(tbl_tampas[Massa_g],MATCH(A461,tbl_tampas[CapId],0)),INDEX(tbl_recyclass[Massa_Corpo_g],MATCH(A461,tbl_recyclass[ProductId],0))),0)</f>
        <v>49.1</v>
      </c>
      <c r="H461" s="32">
        <f t="shared" si="21"/>
        <v>378.02090000000004</v>
      </c>
      <c r="I461" s="36">
        <f>IFERROR(IF(B461="Tampa",INDEX(tbl_tampas[Pct_PCR],MATCH(A461,tbl_tampas[CapId],0)),INDEX(tbl_recyclass[Pct_PCR_Corpo],MATCH(A461,tbl_recyclass[ProductId],0))),0)</f>
        <v>0</v>
      </c>
      <c r="J461" s="32">
        <f t="shared" si="22"/>
        <v>0</v>
      </c>
      <c r="K461" s="32">
        <f t="shared" si="23"/>
        <v>378.02090000000004</v>
      </c>
      <c r="L461" s="43">
        <f>IF(C461="ES",K461*INDEX(tbl_param_emb[Valor],MATCH("P-01",tbl_param_emb[ID_Parametro],0)),0)</f>
        <v>0</v>
      </c>
      <c r="M461" s="33" t="str">
        <f>IF(B461="Tampa","Componente",IFERROR(INDEX(tbl_recyclass[Grau_PPWR_Indicativo],MATCH(A461,tbl_recyclass[ProductId],0)),""))</f>
        <v>Abaixo de C</v>
      </c>
    </row>
    <row r="462" spans="1:13" ht="16.05" customHeight="1" x14ac:dyDescent="0.3">
      <c r="A462" s="26" t="s">
        <v>807</v>
      </c>
      <c r="B462" s="26" t="s">
        <v>1470</v>
      </c>
      <c r="C462" s="26" t="s">
        <v>1480</v>
      </c>
      <c r="D462" s="26" t="s">
        <v>1481</v>
      </c>
      <c r="E462" s="39">
        <v>1</v>
      </c>
      <c r="F462" s="37">
        <v>28506</v>
      </c>
      <c r="G462" s="38">
        <f>IFERROR(IF(B462="Tampa",INDEX(tbl_tampas[Massa_g],MATCH(A462,tbl_tampas[CapId],0)),INDEX(tbl_recyclass[Massa_Corpo_g],MATCH(A462,tbl_recyclass[ProductId],0))),0)</f>
        <v>49.1</v>
      </c>
      <c r="H462" s="32">
        <f t="shared" si="21"/>
        <v>1399.6446000000001</v>
      </c>
      <c r="I462" s="36">
        <f>IFERROR(IF(B462="Tampa",INDEX(tbl_tampas[Pct_PCR],MATCH(A462,tbl_tampas[CapId],0)),INDEX(tbl_recyclass[Pct_PCR_Corpo],MATCH(A462,tbl_recyclass[ProductId],0))),0)</f>
        <v>0</v>
      </c>
      <c r="J462" s="32">
        <f t="shared" si="22"/>
        <v>0</v>
      </c>
      <c r="K462" s="32">
        <f t="shared" si="23"/>
        <v>1399.6446000000001</v>
      </c>
      <c r="L462" s="43">
        <f>IF(C462="ES",K462*INDEX(tbl_param_emb[Valor],MATCH("P-01",tbl_param_emb[ID_Parametro],0)),0)</f>
        <v>0</v>
      </c>
      <c r="M462" s="33" t="str">
        <f>IF(B462="Tampa","Componente",IFERROR(INDEX(tbl_recyclass[Grau_PPWR_Indicativo],MATCH(A462,tbl_recyclass[ProductId],0)),""))</f>
        <v>Abaixo de C</v>
      </c>
    </row>
    <row r="463" spans="1:13" ht="16.05" customHeight="1" x14ac:dyDescent="0.3">
      <c r="A463" s="26" t="s">
        <v>807</v>
      </c>
      <c r="B463" s="26" t="s">
        <v>1470</v>
      </c>
      <c r="C463" s="26" t="s">
        <v>847</v>
      </c>
      <c r="D463" s="26" t="s">
        <v>1471</v>
      </c>
      <c r="E463" s="39">
        <v>8</v>
      </c>
      <c r="F463" s="37">
        <v>129628</v>
      </c>
      <c r="G463" s="38">
        <f>IFERROR(IF(B463="Tampa",INDEX(tbl_tampas[Massa_g],MATCH(A463,tbl_tampas[CapId],0)),INDEX(tbl_recyclass[Massa_Corpo_g],MATCH(A463,tbl_recyclass[ProductId],0))),0)</f>
        <v>49.1</v>
      </c>
      <c r="H463" s="32">
        <f t="shared" si="21"/>
        <v>6364.7348000000002</v>
      </c>
      <c r="I463" s="36">
        <f>IFERROR(IF(B463="Tampa",INDEX(tbl_tampas[Pct_PCR],MATCH(A463,tbl_tampas[CapId],0)),INDEX(tbl_recyclass[Pct_PCR_Corpo],MATCH(A463,tbl_recyclass[ProductId],0))),0)</f>
        <v>0</v>
      </c>
      <c r="J463" s="32">
        <f t="shared" si="22"/>
        <v>0</v>
      </c>
      <c r="K463" s="32">
        <f t="shared" si="23"/>
        <v>6364.7348000000002</v>
      </c>
      <c r="L463" s="43">
        <f>IF(C463="ES",K463*INDEX(tbl_param_emb[Valor],MATCH("P-01",tbl_param_emb[ID_Parametro],0)),0)</f>
        <v>0</v>
      </c>
      <c r="M463" s="33" t="str">
        <f>IF(B463="Tampa","Componente",IFERROR(INDEX(tbl_recyclass[Grau_PPWR_Indicativo],MATCH(A463,tbl_recyclass[ProductId],0)),""))</f>
        <v>Abaixo de C</v>
      </c>
    </row>
    <row r="464" spans="1:13" ht="16.05" customHeight="1" x14ac:dyDescent="0.3">
      <c r="A464" s="26" t="s">
        <v>807</v>
      </c>
      <c r="B464" s="26" t="s">
        <v>1470</v>
      </c>
      <c r="C464" s="26" t="s">
        <v>1474</v>
      </c>
      <c r="D464" s="26" t="s">
        <v>1475</v>
      </c>
      <c r="E464" s="39">
        <v>2</v>
      </c>
      <c r="F464" s="37">
        <v>24172</v>
      </c>
      <c r="G464" s="38">
        <f>IFERROR(IF(B464="Tampa",INDEX(tbl_tampas[Massa_g],MATCH(A464,tbl_tampas[CapId],0)),INDEX(tbl_recyclass[Massa_Corpo_g],MATCH(A464,tbl_recyclass[ProductId],0))),0)</f>
        <v>49.1</v>
      </c>
      <c r="H464" s="32">
        <f t="shared" si="21"/>
        <v>1186.8452</v>
      </c>
      <c r="I464" s="36">
        <f>IFERROR(IF(B464="Tampa",INDEX(tbl_tampas[Pct_PCR],MATCH(A464,tbl_tampas[CapId],0)),INDEX(tbl_recyclass[Pct_PCR_Corpo],MATCH(A464,tbl_recyclass[ProductId],0))),0)</f>
        <v>0</v>
      </c>
      <c r="J464" s="32">
        <f t="shared" si="22"/>
        <v>0</v>
      </c>
      <c r="K464" s="32">
        <f t="shared" si="23"/>
        <v>1186.8452</v>
      </c>
      <c r="L464" s="43">
        <f>IF(C464="ES",K464*INDEX(tbl_param_emb[Valor],MATCH("P-01",tbl_param_emb[ID_Parametro],0)),0)</f>
        <v>534.08033999999998</v>
      </c>
      <c r="M464" s="33" t="str">
        <f>IF(B464="Tampa","Componente",IFERROR(INDEX(tbl_recyclass[Grau_PPWR_Indicativo],MATCH(A464,tbl_recyclass[ProductId],0)),""))</f>
        <v>Abaixo de C</v>
      </c>
    </row>
    <row r="465" spans="1:13" ht="16.05" customHeight="1" x14ac:dyDescent="0.3">
      <c r="A465" s="26" t="s">
        <v>805</v>
      </c>
      <c r="B465" s="26" t="s">
        <v>1470</v>
      </c>
      <c r="C465" s="26" t="s">
        <v>1476</v>
      </c>
      <c r="D465" s="26" t="s">
        <v>1477</v>
      </c>
      <c r="E465" s="39">
        <v>1</v>
      </c>
      <c r="F465" s="37">
        <v>3809</v>
      </c>
      <c r="G465" s="38">
        <f>IFERROR(IF(B465="Tampa",INDEX(tbl_tampas[Massa_g],MATCH(A465,tbl_tampas[CapId],0)),INDEX(tbl_recyclass[Massa_Corpo_g],MATCH(A465,tbl_recyclass[ProductId],0))),0)</f>
        <v>49.1</v>
      </c>
      <c r="H465" s="32">
        <f t="shared" si="21"/>
        <v>187.02189999999999</v>
      </c>
      <c r="I465" s="36">
        <f>IFERROR(IF(B465="Tampa",INDEX(tbl_tampas[Pct_PCR],MATCH(A465,tbl_tampas[CapId],0)),INDEX(tbl_recyclass[Pct_PCR_Corpo],MATCH(A465,tbl_recyclass[ProductId],0))),0)</f>
        <v>0</v>
      </c>
      <c r="J465" s="32">
        <f t="shared" si="22"/>
        <v>0</v>
      </c>
      <c r="K465" s="32">
        <f t="shared" si="23"/>
        <v>187.02189999999999</v>
      </c>
      <c r="L465" s="43">
        <f>IF(C465="ES",K465*INDEX(tbl_param_emb[Valor],MATCH("P-01",tbl_param_emb[ID_Parametro],0)),0)</f>
        <v>0</v>
      </c>
      <c r="M465" s="33" t="str">
        <f>IF(B465="Tampa","Componente",IFERROR(INDEX(tbl_recyclass[Grau_PPWR_Indicativo],MATCH(A465,tbl_recyclass[ProductId],0)),""))</f>
        <v>C</v>
      </c>
    </row>
    <row r="466" spans="1:13" ht="16.05" customHeight="1" x14ac:dyDescent="0.3">
      <c r="A466" s="26" t="s">
        <v>805</v>
      </c>
      <c r="B466" s="26" t="s">
        <v>1470</v>
      </c>
      <c r="C466" s="26" t="s">
        <v>1472</v>
      </c>
      <c r="D466" s="26" t="s">
        <v>1473</v>
      </c>
      <c r="E466" s="39">
        <v>1</v>
      </c>
      <c r="F466" s="37">
        <v>4860</v>
      </c>
      <c r="G466" s="38">
        <f>IFERROR(IF(B466="Tampa",INDEX(tbl_tampas[Massa_g],MATCH(A466,tbl_tampas[CapId],0)),INDEX(tbl_recyclass[Massa_Corpo_g],MATCH(A466,tbl_recyclass[ProductId],0))),0)</f>
        <v>49.1</v>
      </c>
      <c r="H466" s="32">
        <f t="shared" si="21"/>
        <v>238.626</v>
      </c>
      <c r="I466" s="36">
        <f>IFERROR(IF(B466="Tampa",INDEX(tbl_tampas[Pct_PCR],MATCH(A466,tbl_tampas[CapId],0)),INDEX(tbl_recyclass[Pct_PCR_Corpo],MATCH(A466,tbl_recyclass[ProductId],0))),0)</f>
        <v>0</v>
      </c>
      <c r="J466" s="32">
        <f t="shared" si="22"/>
        <v>0</v>
      </c>
      <c r="K466" s="32">
        <f t="shared" si="23"/>
        <v>238.626</v>
      </c>
      <c r="L466" s="43">
        <f>IF(C466="ES",K466*INDEX(tbl_param_emb[Valor],MATCH("P-01",tbl_param_emb[ID_Parametro],0)),0)</f>
        <v>0</v>
      </c>
      <c r="M466" s="33" t="str">
        <f>IF(B466="Tampa","Componente",IFERROR(INDEX(tbl_recyclass[Grau_PPWR_Indicativo],MATCH(A466,tbl_recyclass[ProductId],0)),""))</f>
        <v>C</v>
      </c>
    </row>
    <row r="467" spans="1:13" ht="16.05" customHeight="1" x14ac:dyDescent="0.3">
      <c r="A467" s="26" t="s">
        <v>805</v>
      </c>
      <c r="B467" s="26" t="s">
        <v>1470</v>
      </c>
      <c r="C467" s="26" t="s">
        <v>1478</v>
      </c>
      <c r="D467" s="26" t="s">
        <v>1479</v>
      </c>
      <c r="E467" s="39">
        <v>1</v>
      </c>
      <c r="F467" s="37">
        <v>9779</v>
      </c>
      <c r="G467" s="38">
        <f>IFERROR(IF(B467="Tampa",INDEX(tbl_tampas[Massa_g],MATCH(A467,tbl_tampas[CapId],0)),INDEX(tbl_recyclass[Massa_Corpo_g],MATCH(A467,tbl_recyclass[ProductId],0))),0)</f>
        <v>49.1</v>
      </c>
      <c r="H467" s="32">
        <f t="shared" si="21"/>
        <v>480.14890000000003</v>
      </c>
      <c r="I467" s="36">
        <f>IFERROR(IF(B467="Tampa",INDEX(tbl_tampas[Pct_PCR],MATCH(A467,tbl_tampas[CapId],0)),INDEX(tbl_recyclass[Pct_PCR_Corpo],MATCH(A467,tbl_recyclass[ProductId],0))),0)</f>
        <v>0</v>
      </c>
      <c r="J467" s="32">
        <f t="shared" si="22"/>
        <v>0</v>
      </c>
      <c r="K467" s="32">
        <f t="shared" si="23"/>
        <v>480.14890000000003</v>
      </c>
      <c r="L467" s="43">
        <f>IF(C467="ES",K467*INDEX(tbl_param_emb[Valor],MATCH("P-01",tbl_param_emb[ID_Parametro],0)),0)</f>
        <v>0</v>
      </c>
      <c r="M467" s="33" t="str">
        <f>IF(B467="Tampa","Componente",IFERROR(INDEX(tbl_recyclass[Grau_PPWR_Indicativo],MATCH(A467,tbl_recyclass[ProductId],0)),""))</f>
        <v>C</v>
      </c>
    </row>
    <row r="468" spans="1:13" ht="16.05" customHeight="1" x14ac:dyDescent="0.3">
      <c r="A468" s="26" t="s">
        <v>805</v>
      </c>
      <c r="B468" s="26" t="s">
        <v>1470</v>
      </c>
      <c r="C468" s="26" t="s">
        <v>1480</v>
      </c>
      <c r="D468" s="26" t="s">
        <v>1481</v>
      </c>
      <c r="E468" s="39">
        <v>1</v>
      </c>
      <c r="F468" s="37">
        <v>1360</v>
      </c>
      <c r="G468" s="38">
        <f>IFERROR(IF(B468="Tampa",INDEX(tbl_tampas[Massa_g],MATCH(A468,tbl_tampas[CapId],0)),INDEX(tbl_recyclass[Massa_Corpo_g],MATCH(A468,tbl_recyclass[ProductId],0))),0)</f>
        <v>49.1</v>
      </c>
      <c r="H468" s="32">
        <f t="shared" si="21"/>
        <v>66.775999999999996</v>
      </c>
      <c r="I468" s="36">
        <f>IFERROR(IF(B468="Tampa",INDEX(tbl_tampas[Pct_PCR],MATCH(A468,tbl_tampas[CapId],0)),INDEX(tbl_recyclass[Pct_PCR_Corpo],MATCH(A468,tbl_recyclass[ProductId],0))),0)</f>
        <v>0</v>
      </c>
      <c r="J468" s="32">
        <f t="shared" si="22"/>
        <v>0</v>
      </c>
      <c r="K468" s="32">
        <f t="shared" si="23"/>
        <v>66.775999999999996</v>
      </c>
      <c r="L468" s="43">
        <f>IF(C468="ES",K468*INDEX(tbl_param_emb[Valor],MATCH("P-01",tbl_param_emb[ID_Parametro],0)),0)</f>
        <v>0</v>
      </c>
      <c r="M468" s="33" t="str">
        <f>IF(B468="Tampa","Componente",IFERROR(INDEX(tbl_recyclass[Grau_PPWR_Indicativo],MATCH(A468,tbl_recyclass[ProductId],0)),""))</f>
        <v>C</v>
      </c>
    </row>
    <row r="469" spans="1:13" ht="16.05" customHeight="1" x14ac:dyDescent="0.3">
      <c r="A469" s="26" t="s">
        <v>805</v>
      </c>
      <c r="B469" s="26" t="s">
        <v>1470</v>
      </c>
      <c r="C469" s="26" t="s">
        <v>847</v>
      </c>
      <c r="D469" s="26" t="s">
        <v>1471</v>
      </c>
      <c r="E469" s="39">
        <v>8</v>
      </c>
      <c r="F469" s="37">
        <v>99204</v>
      </c>
      <c r="G469" s="38">
        <f>IFERROR(IF(B469="Tampa",INDEX(tbl_tampas[Massa_g],MATCH(A469,tbl_tampas[CapId],0)),INDEX(tbl_recyclass[Massa_Corpo_g],MATCH(A469,tbl_recyclass[ProductId],0))),0)</f>
        <v>49.1</v>
      </c>
      <c r="H469" s="32">
        <f t="shared" si="21"/>
        <v>4870.9164000000001</v>
      </c>
      <c r="I469" s="36">
        <f>IFERROR(IF(B469="Tampa",INDEX(tbl_tampas[Pct_PCR],MATCH(A469,tbl_tampas[CapId],0)),INDEX(tbl_recyclass[Pct_PCR_Corpo],MATCH(A469,tbl_recyclass[ProductId],0))),0)</f>
        <v>0</v>
      </c>
      <c r="J469" s="32">
        <f t="shared" si="22"/>
        <v>0</v>
      </c>
      <c r="K469" s="32">
        <f t="shared" si="23"/>
        <v>4870.9164000000001</v>
      </c>
      <c r="L469" s="43">
        <f>IF(C469="ES",K469*INDEX(tbl_param_emb[Valor],MATCH("P-01",tbl_param_emb[ID_Parametro],0)),0)</f>
        <v>0</v>
      </c>
      <c r="M469" s="33" t="str">
        <f>IF(B469="Tampa","Componente",IFERROR(INDEX(tbl_recyclass[Grau_PPWR_Indicativo],MATCH(A469,tbl_recyclass[ProductId],0)),""))</f>
        <v>C</v>
      </c>
    </row>
    <row r="470" spans="1:13" ht="16.05" customHeight="1" x14ac:dyDescent="0.3">
      <c r="A470" s="26" t="s">
        <v>805</v>
      </c>
      <c r="B470" s="26" t="s">
        <v>1470</v>
      </c>
      <c r="C470" s="26" t="s">
        <v>1474</v>
      </c>
      <c r="D470" s="26" t="s">
        <v>1475</v>
      </c>
      <c r="E470" s="39">
        <v>2</v>
      </c>
      <c r="F470" s="37">
        <v>29660</v>
      </c>
      <c r="G470" s="38">
        <f>IFERROR(IF(B470="Tampa",INDEX(tbl_tampas[Massa_g],MATCH(A470,tbl_tampas[CapId],0)),INDEX(tbl_recyclass[Massa_Corpo_g],MATCH(A470,tbl_recyclass[ProductId],0))),0)</f>
        <v>49.1</v>
      </c>
      <c r="H470" s="32">
        <f t="shared" si="21"/>
        <v>1456.306</v>
      </c>
      <c r="I470" s="36">
        <f>IFERROR(IF(B470="Tampa",INDEX(tbl_tampas[Pct_PCR],MATCH(A470,tbl_tampas[CapId],0)),INDEX(tbl_recyclass[Pct_PCR_Corpo],MATCH(A470,tbl_recyclass[ProductId],0))),0)</f>
        <v>0</v>
      </c>
      <c r="J470" s="32">
        <f t="shared" si="22"/>
        <v>0</v>
      </c>
      <c r="K470" s="32">
        <f t="shared" si="23"/>
        <v>1456.306</v>
      </c>
      <c r="L470" s="43">
        <f>IF(C470="ES",K470*INDEX(tbl_param_emb[Valor],MATCH("P-01",tbl_param_emb[ID_Parametro],0)),0)</f>
        <v>655.33770000000004</v>
      </c>
      <c r="M470" s="33" t="str">
        <f>IF(B470="Tampa","Componente",IFERROR(INDEX(tbl_recyclass[Grau_PPWR_Indicativo],MATCH(A470,tbl_recyclass[ProductId],0)),""))</f>
        <v>C</v>
      </c>
    </row>
    <row r="471" spans="1:13" ht="16.05" customHeight="1" x14ac:dyDescent="0.3">
      <c r="A471" s="26" t="s">
        <v>825</v>
      </c>
      <c r="B471" s="26" t="s">
        <v>1470</v>
      </c>
      <c r="C471" s="26" t="s">
        <v>1476</v>
      </c>
      <c r="D471" s="26" t="s">
        <v>1477</v>
      </c>
      <c r="E471" s="39">
        <v>1</v>
      </c>
      <c r="F471" s="37">
        <v>16772</v>
      </c>
      <c r="G471" s="38">
        <f>IFERROR(IF(B471="Tampa",INDEX(tbl_tampas[Massa_g],MATCH(A471,tbl_tampas[CapId],0)),INDEX(tbl_recyclass[Massa_Corpo_g],MATCH(A471,tbl_recyclass[ProductId],0))),0)</f>
        <v>123.7</v>
      </c>
      <c r="H471" s="32">
        <f t="shared" si="21"/>
        <v>2074.6964000000003</v>
      </c>
      <c r="I471" s="36">
        <f>IFERROR(IF(B471="Tampa",INDEX(tbl_tampas[Pct_PCR],MATCH(A471,tbl_tampas[CapId],0)),INDEX(tbl_recyclass[Pct_PCR_Corpo],MATCH(A471,tbl_recyclass[ProductId],0))),0)</f>
        <v>0</v>
      </c>
      <c r="J471" s="32">
        <f t="shared" si="22"/>
        <v>0</v>
      </c>
      <c r="K471" s="32">
        <f t="shared" si="23"/>
        <v>2074.6964000000003</v>
      </c>
      <c r="L471" s="43">
        <f>IF(C471="ES",K471*INDEX(tbl_param_emb[Valor],MATCH("P-01",tbl_param_emb[ID_Parametro],0)),0)</f>
        <v>0</v>
      </c>
      <c r="M471" s="33" t="str">
        <f>IF(B471="Tampa","Componente",IFERROR(INDEX(tbl_recyclass[Grau_PPWR_Indicativo],MATCH(A471,tbl_recyclass[ProductId],0)),""))</f>
        <v>C</v>
      </c>
    </row>
    <row r="472" spans="1:13" ht="16.05" customHeight="1" x14ac:dyDescent="0.3">
      <c r="A472" s="26" t="s">
        <v>825</v>
      </c>
      <c r="B472" s="26" t="s">
        <v>1470</v>
      </c>
      <c r="C472" s="26" t="s">
        <v>1472</v>
      </c>
      <c r="D472" s="26" t="s">
        <v>1473</v>
      </c>
      <c r="E472" s="39">
        <v>1</v>
      </c>
      <c r="F472" s="37">
        <v>16988</v>
      </c>
      <c r="G472" s="38">
        <f>IFERROR(IF(B472="Tampa",INDEX(tbl_tampas[Massa_g],MATCH(A472,tbl_tampas[CapId],0)),INDEX(tbl_recyclass[Massa_Corpo_g],MATCH(A472,tbl_recyclass[ProductId],0))),0)</f>
        <v>123.7</v>
      </c>
      <c r="H472" s="32">
        <f t="shared" si="21"/>
        <v>2101.4156000000003</v>
      </c>
      <c r="I472" s="36">
        <f>IFERROR(IF(B472="Tampa",INDEX(tbl_tampas[Pct_PCR],MATCH(A472,tbl_tampas[CapId],0)),INDEX(tbl_recyclass[Pct_PCR_Corpo],MATCH(A472,tbl_recyclass[ProductId],0))),0)</f>
        <v>0</v>
      </c>
      <c r="J472" s="32">
        <f t="shared" si="22"/>
        <v>0</v>
      </c>
      <c r="K472" s="32">
        <f t="shared" si="23"/>
        <v>2101.4156000000003</v>
      </c>
      <c r="L472" s="43">
        <f>IF(C472="ES",K472*INDEX(tbl_param_emb[Valor],MATCH("P-01",tbl_param_emb[ID_Parametro],0)),0)</f>
        <v>0</v>
      </c>
      <c r="M472" s="33" t="str">
        <f>IF(B472="Tampa","Componente",IFERROR(INDEX(tbl_recyclass[Grau_PPWR_Indicativo],MATCH(A472,tbl_recyclass[ProductId],0)),""))</f>
        <v>C</v>
      </c>
    </row>
    <row r="473" spans="1:13" ht="16.05" customHeight="1" x14ac:dyDescent="0.3">
      <c r="A473" s="26" t="s">
        <v>825</v>
      </c>
      <c r="B473" s="26" t="s">
        <v>1470</v>
      </c>
      <c r="C473" s="26" t="s">
        <v>1478</v>
      </c>
      <c r="D473" s="26" t="s">
        <v>1479</v>
      </c>
      <c r="E473" s="39">
        <v>1</v>
      </c>
      <c r="F473" s="37">
        <v>14142</v>
      </c>
      <c r="G473" s="38">
        <f>IFERROR(IF(B473="Tampa",INDEX(tbl_tampas[Massa_g],MATCH(A473,tbl_tampas[CapId],0)),INDEX(tbl_recyclass[Massa_Corpo_g],MATCH(A473,tbl_recyclass[ProductId],0))),0)</f>
        <v>123.7</v>
      </c>
      <c r="H473" s="32">
        <f t="shared" si="21"/>
        <v>1749.3654000000001</v>
      </c>
      <c r="I473" s="36">
        <f>IFERROR(IF(B473="Tampa",INDEX(tbl_tampas[Pct_PCR],MATCH(A473,tbl_tampas[CapId],0)),INDEX(tbl_recyclass[Pct_PCR_Corpo],MATCH(A473,tbl_recyclass[ProductId],0))),0)</f>
        <v>0</v>
      </c>
      <c r="J473" s="32">
        <f t="shared" si="22"/>
        <v>0</v>
      </c>
      <c r="K473" s="32">
        <f t="shared" si="23"/>
        <v>1749.3654000000001</v>
      </c>
      <c r="L473" s="43">
        <f>IF(C473="ES",K473*INDEX(tbl_param_emb[Valor],MATCH("P-01",tbl_param_emb[ID_Parametro],0)),0)</f>
        <v>0</v>
      </c>
      <c r="M473" s="33" t="str">
        <f>IF(B473="Tampa","Componente",IFERROR(INDEX(tbl_recyclass[Grau_PPWR_Indicativo],MATCH(A473,tbl_recyclass[ProductId],0)),""))</f>
        <v>C</v>
      </c>
    </row>
    <row r="474" spans="1:13" ht="16.05" customHeight="1" x14ac:dyDescent="0.3">
      <c r="A474" s="26" t="s">
        <v>825</v>
      </c>
      <c r="B474" s="26" t="s">
        <v>1470</v>
      </c>
      <c r="C474" s="26" t="s">
        <v>1480</v>
      </c>
      <c r="D474" s="26" t="s">
        <v>1481</v>
      </c>
      <c r="E474" s="39">
        <v>1</v>
      </c>
      <c r="F474" s="37">
        <v>11249</v>
      </c>
      <c r="G474" s="38">
        <f>IFERROR(IF(B474="Tampa",INDEX(tbl_tampas[Massa_g],MATCH(A474,tbl_tampas[CapId],0)),INDEX(tbl_recyclass[Massa_Corpo_g],MATCH(A474,tbl_recyclass[ProductId],0))),0)</f>
        <v>123.7</v>
      </c>
      <c r="H474" s="32">
        <f t="shared" si="21"/>
        <v>1391.5013000000001</v>
      </c>
      <c r="I474" s="36">
        <f>IFERROR(IF(B474="Tampa",INDEX(tbl_tampas[Pct_PCR],MATCH(A474,tbl_tampas[CapId],0)),INDEX(tbl_recyclass[Pct_PCR_Corpo],MATCH(A474,tbl_recyclass[ProductId],0))),0)</f>
        <v>0</v>
      </c>
      <c r="J474" s="32">
        <f t="shared" si="22"/>
        <v>0</v>
      </c>
      <c r="K474" s="32">
        <f t="shared" si="23"/>
        <v>1391.5013000000001</v>
      </c>
      <c r="L474" s="43">
        <f>IF(C474="ES",K474*INDEX(tbl_param_emb[Valor],MATCH("P-01",tbl_param_emb[ID_Parametro],0)),0)</f>
        <v>0</v>
      </c>
      <c r="M474" s="33" t="str">
        <f>IF(B474="Tampa","Componente",IFERROR(INDEX(tbl_recyclass[Grau_PPWR_Indicativo],MATCH(A474,tbl_recyclass[ProductId],0)),""))</f>
        <v>C</v>
      </c>
    </row>
    <row r="475" spans="1:13" ht="16.05" customHeight="1" x14ac:dyDescent="0.3">
      <c r="A475" s="26" t="s">
        <v>825</v>
      </c>
      <c r="B475" s="26" t="s">
        <v>1470</v>
      </c>
      <c r="C475" s="26" t="s">
        <v>847</v>
      </c>
      <c r="D475" s="26" t="s">
        <v>1471</v>
      </c>
      <c r="E475" s="39">
        <v>8</v>
      </c>
      <c r="F475" s="37">
        <v>119175</v>
      </c>
      <c r="G475" s="38">
        <f>IFERROR(IF(B475="Tampa",INDEX(tbl_tampas[Massa_g],MATCH(A475,tbl_tampas[CapId],0)),INDEX(tbl_recyclass[Massa_Corpo_g],MATCH(A475,tbl_recyclass[ProductId],0))),0)</f>
        <v>123.7</v>
      </c>
      <c r="H475" s="32">
        <f t="shared" si="21"/>
        <v>14741.9475</v>
      </c>
      <c r="I475" s="36">
        <f>IFERROR(IF(B475="Tampa",INDEX(tbl_tampas[Pct_PCR],MATCH(A475,tbl_tampas[CapId],0)),INDEX(tbl_recyclass[Pct_PCR_Corpo],MATCH(A475,tbl_recyclass[ProductId],0))),0)</f>
        <v>0</v>
      </c>
      <c r="J475" s="32">
        <f t="shared" si="22"/>
        <v>0</v>
      </c>
      <c r="K475" s="32">
        <f t="shared" si="23"/>
        <v>14741.9475</v>
      </c>
      <c r="L475" s="43">
        <f>IF(C475="ES",K475*INDEX(tbl_param_emb[Valor],MATCH("P-01",tbl_param_emb[ID_Parametro],0)),0)</f>
        <v>0</v>
      </c>
      <c r="M475" s="33" t="str">
        <f>IF(B475="Tampa","Componente",IFERROR(INDEX(tbl_recyclass[Grau_PPWR_Indicativo],MATCH(A475,tbl_recyclass[ProductId],0)),""))</f>
        <v>C</v>
      </c>
    </row>
    <row r="476" spans="1:13" ht="16.05" customHeight="1" x14ac:dyDescent="0.3">
      <c r="A476" s="26" t="s">
        <v>825</v>
      </c>
      <c r="B476" s="26" t="s">
        <v>1470</v>
      </c>
      <c r="C476" s="26" t="s">
        <v>1474</v>
      </c>
      <c r="D476" s="26" t="s">
        <v>1475</v>
      </c>
      <c r="E476" s="39">
        <v>2</v>
      </c>
      <c r="F476" s="37">
        <v>17459</v>
      </c>
      <c r="G476" s="38">
        <f>IFERROR(IF(B476="Tampa",INDEX(tbl_tampas[Massa_g],MATCH(A476,tbl_tampas[CapId],0)),INDEX(tbl_recyclass[Massa_Corpo_g],MATCH(A476,tbl_recyclass[ProductId],0))),0)</f>
        <v>123.7</v>
      </c>
      <c r="H476" s="32">
        <f t="shared" si="21"/>
        <v>2159.6783000000005</v>
      </c>
      <c r="I476" s="36">
        <f>IFERROR(IF(B476="Tampa",INDEX(tbl_tampas[Pct_PCR],MATCH(A476,tbl_tampas[CapId],0)),INDEX(tbl_recyclass[Pct_PCR_Corpo],MATCH(A476,tbl_recyclass[ProductId],0))),0)</f>
        <v>0</v>
      </c>
      <c r="J476" s="32">
        <f t="shared" si="22"/>
        <v>0</v>
      </c>
      <c r="K476" s="32">
        <f t="shared" si="23"/>
        <v>2159.6783000000005</v>
      </c>
      <c r="L476" s="43">
        <f>IF(C476="ES",K476*INDEX(tbl_param_emb[Valor],MATCH("P-01",tbl_param_emb[ID_Parametro],0)),0)</f>
        <v>971.85523500000022</v>
      </c>
      <c r="M476" s="33" t="str">
        <f>IF(B476="Tampa","Componente",IFERROR(INDEX(tbl_recyclass[Grau_PPWR_Indicativo],MATCH(A476,tbl_recyclass[ProductId],0)),""))</f>
        <v>C</v>
      </c>
    </row>
    <row r="477" spans="1:13" ht="16.05" customHeight="1" x14ac:dyDescent="0.3">
      <c r="A477" s="26" t="s">
        <v>827</v>
      </c>
      <c r="B477" s="26" t="s">
        <v>1470</v>
      </c>
      <c r="C477" s="26" t="s">
        <v>1476</v>
      </c>
      <c r="D477" s="26" t="s">
        <v>1477</v>
      </c>
      <c r="E477" s="39">
        <v>1</v>
      </c>
      <c r="F477" s="37">
        <v>4172</v>
      </c>
      <c r="G477" s="38">
        <f>IFERROR(IF(B477="Tampa",INDEX(tbl_tampas[Massa_g],MATCH(A477,tbl_tampas[CapId],0)),INDEX(tbl_recyclass[Massa_Corpo_g],MATCH(A477,tbl_recyclass[ProductId],0))),0)</f>
        <v>143.5</v>
      </c>
      <c r="H477" s="32">
        <f t="shared" si="21"/>
        <v>598.68200000000002</v>
      </c>
      <c r="I477" s="36">
        <f>IFERROR(IF(B477="Tampa",INDEX(tbl_tampas[Pct_PCR],MATCH(A477,tbl_tampas[CapId],0)),INDEX(tbl_recyclass[Pct_PCR_Corpo],MATCH(A477,tbl_recyclass[ProductId],0))),0)</f>
        <v>0</v>
      </c>
      <c r="J477" s="32">
        <f t="shared" si="22"/>
        <v>0</v>
      </c>
      <c r="K477" s="32">
        <f t="shared" si="23"/>
        <v>598.68200000000002</v>
      </c>
      <c r="L477" s="43">
        <f>IF(C477="ES",K477*INDEX(tbl_param_emb[Valor],MATCH("P-01",tbl_param_emb[ID_Parametro],0)),0)</f>
        <v>0</v>
      </c>
      <c r="M477" s="33" t="str">
        <f>IF(B477="Tampa","Componente",IFERROR(INDEX(tbl_recyclass[Grau_PPWR_Indicativo],MATCH(A477,tbl_recyclass[ProductId],0)),""))</f>
        <v>B</v>
      </c>
    </row>
    <row r="478" spans="1:13" ht="16.05" customHeight="1" x14ac:dyDescent="0.3">
      <c r="A478" s="26" t="s">
        <v>827</v>
      </c>
      <c r="B478" s="26" t="s">
        <v>1470</v>
      </c>
      <c r="C478" s="26" t="s">
        <v>1472</v>
      </c>
      <c r="D478" s="26" t="s">
        <v>1473</v>
      </c>
      <c r="E478" s="39">
        <v>1</v>
      </c>
      <c r="F478" s="37">
        <v>2181</v>
      </c>
      <c r="G478" s="38">
        <f>IFERROR(IF(B478="Tampa",INDEX(tbl_tampas[Massa_g],MATCH(A478,tbl_tampas[CapId],0)),INDEX(tbl_recyclass[Massa_Corpo_g],MATCH(A478,tbl_recyclass[ProductId],0))),0)</f>
        <v>143.5</v>
      </c>
      <c r="H478" s="32">
        <f t="shared" si="21"/>
        <v>312.9735</v>
      </c>
      <c r="I478" s="36">
        <f>IFERROR(IF(B478="Tampa",INDEX(tbl_tampas[Pct_PCR],MATCH(A478,tbl_tampas[CapId],0)),INDEX(tbl_recyclass[Pct_PCR_Corpo],MATCH(A478,tbl_recyclass[ProductId],0))),0)</f>
        <v>0</v>
      </c>
      <c r="J478" s="32">
        <f t="shared" si="22"/>
        <v>0</v>
      </c>
      <c r="K478" s="32">
        <f t="shared" si="23"/>
        <v>312.9735</v>
      </c>
      <c r="L478" s="43">
        <f>IF(C478="ES",K478*INDEX(tbl_param_emb[Valor],MATCH("P-01",tbl_param_emb[ID_Parametro],0)),0)</f>
        <v>0</v>
      </c>
      <c r="M478" s="33" t="str">
        <f>IF(B478="Tampa","Componente",IFERROR(INDEX(tbl_recyclass[Grau_PPWR_Indicativo],MATCH(A478,tbl_recyclass[ProductId],0)),""))</f>
        <v>B</v>
      </c>
    </row>
    <row r="479" spans="1:13" ht="16.05" customHeight="1" x14ac:dyDescent="0.3">
      <c r="A479" s="26" t="s">
        <v>827</v>
      </c>
      <c r="B479" s="26" t="s">
        <v>1470</v>
      </c>
      <c r="C479" s="26" t="s">
        <v>1478</v>
      </c>
      <c r="D479" s="26" t="s">
        <v>1479</v>
      </c>
      <c r="E479" s="39">
        <v>1</v>
      </c>
      <c r="F479" s="37">
        <v>5395</v>
      </c>
      <c r="G479" s="38">
        <f>IFERROR(IF(B479="Tampa",INDEX(tbl_tampas[Massa_g],MATCH(A479,tbl_tampas[CapId],0)),INDEX(tbl_recyclass[Massa_Corpo_g],MATCH(A479,tbl_recyclass[ProductId],0))),0)</f>
        <v>143.5</v>
      </c>
      <c r="H479" s="32">
        <f t="shared" si="21"/>
        <v>774.1825</v>
      </c>
      <c r="I479" s="36">
        <f>IFERROR(IF(B479="Tampa",INDEX(tbl_tampas[Pct_PCR],MATCH(A479,tbl_tampas[CapId],0)),INDEX(tbl_recyclass[Pct_PCR_Corpo],MATCH(A479,tbl_recyclass[ProductId],0))),0)</f>
        <v>0</v>
      </c>
      <c r="J479" s="32">
        <f t="shared" si="22"/>
        <v>0</v>
      </c>
      <c r="K479" s="32">
        <f t="shared" si="23"/>
        <v>774.1825</v>
      </c>
      <c r="L479" s="43">
        <f>IF(C479="ES",K479*INDEX(tbl_param_emb[Valor],MATCH("P-01",tbl_param_emb[ID_Parametro],0)),0)</f>
        <v>0</v>
      </c>
      <c r="M479" s="33" t="str">
        <f>IF(B479="Tampa","Componente",IFERROR(INDEX(tbl_recyclass[Grau_PPWR_Indicativo],MATCH(A479,tbl_recyclass[ProductId],0)),""))</f>
        <v>B</v>
      </c>
    </row>
    <row r="480" spans="1:13" ht="16.05" customHeight="1" x14ac:dyDescent="0.3">
      <c r="A480" s="26" t="s">
        <v>827</v>
      </c>
      <c r="B480" s="26" t="s">
        <v>1470</v>
      </c>
      <c r="C480" s="26" t="s">
        <v>1480</v>
      </c>
      <c r="D480" s="26" t="s">
        <v>1481</v>
      </c>
      <c r="E480" s="39">
        <v>1</v>
      </c>
      <c r="F480" s="37">
        <v>7922</v>
      </c>
      <c r="G480" s="38">
        <f>IFERROR(IF(B480="Tampa",INDEX(tbl_tampas[Massa_g],MATCH(A480,tbl_tampas[CapId],0)),INDEX(tbl_recyclass[Massa_Corpo_g],MATCH(A480,tbl_recyclass[ProductId],0))),0)</f>
        <v>143.5</v>
      </c>
      <c r="H480" s="32">
        <f t="shared" si="21"/>
        <v>1136.807</v>
      </c>
      <c r="I480" s="36">
        <f>IFERROR(IF(B480="Tampa",INDEX(tbl_tampas[Pct_PCR],MATCH(A480,tbl_tampas[CapId],0)),INDEX(tbl_recyclass[Pct_PCR_Corpo],MATCH(A480,tbl_recyclass[ProductId],0))),0)</f>
        <v>0</v>
      </c>
      <c r="J480" s="32">
        <f t="shared" si="22"/>
        <v>0</v>
      </c>
      <c r="K480" s="32">
        <f t="shared" si="23"/>
        <v>1136.807</v>
      </c>
      <c r="L480" s="43">
        <f>IF(C480="ES",K480*INDEX(tbl_param_emb[Valor],MATCH("P-01",tbl_param_emb[ID_Parametro],0)),0)</f>
        <v>0</v>
      </c>
      <c r="M480" s="33" t="str">
        <f>IF(B480="Tampa","Componente",IFERROR(INDEX(tbl_recyclass[Grau_PPWR_Indicativo],MATCH(A480,tbl_recyclass[ProductId],0)),""))</f>
        <v>B</v>
      </c>
    </row>
    <row r="481" spans="1:13" ht="16.05" customHeight="1" x14ac:dyDescent="0.3">
      <c r="A481" s="26" t="s">
        <v>827</v>
      </c>
      <c r="B481" s="26" t="s">
        <v>1470</v>
      </c>
      <c r="C481" s="26" t="s">
        <v>847</v>
      </c>
      <c r="D481" s="26" t="s">
        <v>1471</v>
      </c>
      <c r="E481" s="39">
        <v>8</v>
      </c>
      <c r="F481" s="37">
        <v>43857</v>
      </c>
      <c r="G481" s="38">
        <f>IFERROR(IF(B481="Tampa",INDEX(tbl_tampas[Massa_g],MATCH(A481,tbl_tampas[CapId],0)),INDEX(tbl_recyclass[Massa_Corpo_g],MATCH(A481,tbl_recyclass[ProductId],0))),0)</f>
        <v>143.5</v>
      </c>
      <c r="H481" s="32">
        <f t="shared" si="21"/>
        <v>6293.4795000000004</v>
      </c>
      <c r="I481" s="36">
        <f>IFERROR(IF(B481="Tampa",INDEX(tbl_tampas[Pct_PCR],MATCH(A481,tbl_tampas[CapId],0)),INDEX(tbl_recyclass[Pct_PCR_Corpo],MATCH(A481,tbl_recyclass[ProductId],0))),0)</f>
        <v>0</v>
      </c>
      <c r="J481" s="32">
        <f t="shared" si="22"/>
        <v>0</v>
      </c>
      <c r="K481" s="32">
        <f t="shared" si="23"/>
        <v>6293.4795000000004</v>
      </c>
      <c r="L481" s="43">
        <f>IF(C481="ES",K481*INDEX(tbl_param_emb[Valor],MATCH("P-01",tbl_param_emb[ID_Parametro],0)),0)</f>
        <v>0</v>
      </c>
      <c r="M481" s="33" t="str">
        <f>IF(B481="Tampa","Componente",IFERROR(INDEX(tbl_recyclass[Grau_PPWR_Indicativo],MATCH(A481,tbl_recyclass[ProductId],0)),""))</f>
        <v>B</v>
      </c>
    </row>
    <row r="482" spans="1:13" ht="16.05" customHeight="1" x14ac:dyDescent="0.3">
      <c r="A482" s="26" t="s">
        <v>827</v>
      </c>
      <c r="B482" s="26" t="s">
        <v>1470</v>
      </c>
      <c r="C482" s="26" t="s">
        <v>1474</v>
      </c>
      <c r="D482" s="26" t="s">
        <v>1475</v>
      </c>
      <c r="E482" s="39">
        <v>2</v>
      </c>
      <c r="F482" s="37">
        <v>10026</v>
      </c>
      <c r="G482" s="38">
        <f>IFERROR(IF(B482="Tampa",INDEX(tbl_tampas[Massa_g],MATCH(A482,tbl_tampas[CapId],0)),INDEX(tbl_recyclass[Massa_Corpo_g],MATCH(A482,tbl_recyclass[ProductId],0))),0)</f>
        <v>143.5</v>
      </c>
      <c r="H482" s="32">
        <f t="shared" si="21"/>
        <v>1438.731</v>
      </c>
      <c r="I482" s="36">
        <f>IFERROR(IF(B482="Tampa",INDEX(tbl_tampas[Pct_PCR],MATCH(A482,tbl_tampas[CapId],0)),INDEX(tbl_recyclass[Pct_PCR_Corpo],MATCH(A482,tbl_recyclass[ProductId],0))),0)</f>
        <v>0</v>
      </c>
      <c r="J482" s="32">
        <f t="shared" si="22"/>
        <v>0</v>
      </c>
      <c r="K482" s="32">
        <f t="shared" si="23"/>
        <v>1438.731</v>
      </c>
      <c r="L482" s="43">
        <f>IF(C482="ES",K482*INDEX(tbl_param_emb[Valor],MATCH("P-01",tbl_param_emb[ID_Parametro],0)),0)</f>
        <v>647.42894999999999</v>
      </c>
      <c r="M482" s="33" t="str">
        <f>IF(B482="Tampa","Componente",IFERROR(INDEX(tbl_recyclass[Grau_PPWR_Indicativo],MATCH(A482,tbl_recyclass[ProductId],0)),""))</f>
        <v>B</v>
      </c>
    </row>
    <row r="483" spans="1:13" ht="16.05" customHeight="1" x14ac:dyDescent="0.3">
      <c r="A483" s="26" t="s">
        <v>829</v>
      </c>
      <c r="B483" s="26" t="s">
        <v>1470</v>
      </c>
      <c r="C483" s="26" t="s">
        <v>1476</v>
      </c>
      <c r="D483" s="26" t="s">
        <v>1477</v>
      </c>
      <c r="E483" s="39">
        <v>1</v>
      </c>
      <c r="F483" s="37">
        <v>4681</v>
      </c>
      <c r="G483" s="38">
        <f>IFERROR(IF(B483="Tampa",INDEX(tbl_tampas[Massa_g],MATCH(A483,tbl_tampas[CapId],0)),INDEX(tbl_recyclass[Massa_Corpo_g],MATCH(A483,tbl_recyclass[ProductId],0))),0)</f>
        <v>143.5</v>
      </c>
      <c r="H483" s="32">
        <f t="shared" si="21"/>
        <v>671.72349999999994</v>
      </c>
      <c r="I483" s="36">
        <f>IFERROR(IF(B483="Tampa",INDEX(tbl_tampas[Pct_PCR],MATCH(A483,tbl_tampas[CapId],0)),INDEX(tbl_recyclass[Pct_PCR_Corpo],MATCH(A483,tbl_recyclass[ProductId],0))),0)</f>
        <v>0</v>
      </c>
      <c r="J483" s="32">
        <f t="shared" si="22"/>
        <v>0</v>
      </c>
      <c r="K483" s="32">
        <f t="shared" si="23"/>
        <v>671.72349999999994</v>
      </c>
      <c r="L483" s="43">
        <f>IF(C483="ES",K483*INDEX(tbl_param_emb[Valor],MATCH("P-01",tbl_param_emb[ID_Parametro],0)),0)</f>
        <v>0</v>
      </c>
      <c r="M483" s="33" t="str">
        <f>IF(B483="Tampa","Componente",IFERROR(INDEX(tbl_recyclass[Grau_PPWR_Indicativo],MATCH(A483,tbl_recyclass[ProductId],0)),""))</f>
        <v>Não reciclável (F)</v>
      </c>
    </row>
    <row r="484" spans="1:13" ht="16.05" customHeight="1" x14ac:dyDescent="0.3">
      <c r="A484" s="26" t="s">
        <v>829</v>
      </c>
      <c r="B484" s="26" t="s">
        <v>1470</v>
      </c>
      <c r="C484" s="26" t="s">
        <v>1472</v>
      </c>
      <c r="D484" s="26" t="s">
        <v>1473</v>
      </c>
      <c r="E484" s="39">
        <v>1</v>
      </c>
      <c r="F484" s="37">
        <v>8936</v>
      </c>
      <c r="G484" s="38">
        <f>IFERROR(IF(B484="Tampa",INDEX(tbl_tampas[Massa_g],MATCH(A484,tbl_tampas[CapId],0)),INDEX(tbl_recyclass[Massa_Corpo_g],MATCH(A484,tbl_recyclass[ProductId],0))),0)</f>
        <v>143.5</v>
      </c>
      <c r="H484" s="32">
        <f t="shared" si="21"/>
        <v>1282.316</v>
      </c>
      <c r="I484" s="36">
        <f>IFERROR(IF(B484="Tampa",INDEX(tbl_tampas[Pct_PCR],MATCH(A484,tbl_tampas[CapId],0)),INDEX(tbl_recyclass[Pct_PCR_Corpo],MATCH(A484,tbl_recyclass[ProductId],0))),0)</f>
        <v>0</v>
      </c>
      <c r="J484" s="32">
        <f t="shared" si="22"/>
        <v>0</v>
      </c>
      <c r="K484" s="32">
        <f t="shared" si="23"/>
        <v>1282.316</v>
      </c>
      <c r="L484" s="43">
        <f>IF(C484="ES",K484*INDEX(tbl_param_emb[Valor],MATCH("P-01",tbl_param_emb[ID_Parametro],0)),0)</f>
        <v>0</v>
      </c>
      <c r="M484" s="33" t="str">
        <f>IF(B484="Tampa","Componente",IFERROR(INDEX(tbl_recyclass[Grau_PPWR_Indicativo],MATCH(A484,tbl_recyclass[ProductId],0)),""))</f>
        <v>Não reciclável (F)</v>
      </c>
    </row>
    <row r="485" spans="1:13" ht="16.05" customHeight="1" x14ac:dyDescent="0.3">
      <c r="A485" s="26" t="s">
        <v>829</v>
      </c>
      <c r="B485" s="26" t="s">
        <v>1470</v>
      </c>
      <c r="C485" s="26" t="s">
        <v>1478</v>
      </c>
      <c r="D485" s="26" t="s">
        <v>1479</v>
      </c>
      <c r="E485" s="39">
        <v>1</v>
      </c>
      <c r="F485" s="37">
        <v>10593</v>
      </c>
      <c r="G485" s="38">
        <f>IFERROR(IF(B485="Tampa",INDEX(tbl_tampas[Massa_g],MATCH(A485,tbl_tampas[CapId],0)),INDEX(tbl_recyclass[Massa_Corpo_g],MATCH(A485,tbl_recyclass[ProductId],0))),0)</f>
        <v>143.5</v>
      </c>
      <c r="H485" s="32">
        <f t="shared" si="21"/>
        <v>1520.0954999999999</v>
      </c>
      <c r="I485" s="36">
        <f>IFERROR(IF(B485="Tampa",INDEX(tbl_tampas[Pct_PCR],MATCH(A485,tbl_tampas[CapId],0)),INDEX(tbl_recyclass[Pct_PCR_Corpo],MATCH(A485,tbl_recyclass[ProductId],0))),0)</f>
        <v>0</v>
      </c>
      <c r="J485" s="32">
        <f t="shared" si="22"/>
        <v>0</v>
      </c>
      <c r="K485" s="32">
        <f t="shared" si="23"/>
        <v>1520.0954999999999</v>
      </c>
      <c r="L485" s="43">
        <f>IF(C485="ES",K485*INDEX(tbl_param_emb[Valor],MATCH("P-01",tbl_param_emb[ID_Parametro],0)),0)</f>
        <v>0</v>
      </c>
      <c r="M485" s="33" t="str">
        <f>IF(B485="Tampa","Componente",IFERROR(INDEX(tbl_recyclass[Grau_PPWR_Indicativo],MATCH(A485,tbl_recyclass[ProductId],0)),""))</f>
        <v>Não reciclável (F)</v>
      </c>
    </row>
    <row r="486" spans="1:13" ht="16.05" customHeight="1" x14ac:dyDescent="0.3">
      <c r="A486" s="26" t="s">
        <v>829</v>
      </c>
      <c r="B486" s="26" t="s">
        <v>1470</v>
      </c>
      <c r="C486" s="26" t="s">
        <v>1480</v>
      </c>
      <c r="D486" s="26" t="s">
        <v>1481</v>
      </c>
      <c r="E486" s="39">
        <v>1</v>
      </c>
      <c r="F486" s="37">
        <v>6571</v>
      </c>
      <c r="G486" s="38">
        <f>IFERROR(IF(B486="Tampa",INDEX(tbl_tampas[Massa_g],MATCH(A486,tbl_tampas[CapId],0)),INDEX(tbl_recyclass[Massa_Corpo_g],MATCH(A486,tbl_recyclass[ProductId],0))),0)</f>
        <v>143.5</v>
      </c>
      <c r="H486" s="32">
        <f t="shared" si="21"/>
        <v>942.93849999999998</v>
      </c>
      <c r="I486" s="36">
        <f>IFERROR(IF(B486="Tampa",INDEX(tbl_tampas[Pct_PCR],MATCH(A486,tbl_tampas[CapId],0)),INDEX(tbl_recyclass[Pct_PCR_Corpo],MATCH(A486,tbl_recyclass[ProductId],0))),0)</f>
        <v>0</v>
      </c>
      <c r="J486" s="32">
        <f t="shared" si="22"/>
        <v>0</v>
      </c>
      <c r="K486" s="32">
        <f t="shared" si="23"/>
        <v>942.93849999999998</v>
      </c>
      <c r="L486" s="43">
        <f>IF(C486="ES",K486*INDEX(tbl_param_emb[Valor],MATCH("P-01",tbl_param_emb[ID_Parametro],0)),0)</f>
        <v>0</v>
      </c>
      <c r="M486" s="33" t="str">
        <f>IF(B486="Tampa","Componente",IFERROR(INDEX(tbl_recyclass[Grau_PPWR_Indicativo],MATCH(A486,tbl_recyclass[ProductId],0)),""))</f>
        <v>Não reciclável (F)</v>
      </c>
    </row>
    <row r="487" spans="1:13" ht="16.05" customHeight="1" x14ac:dyDescent="0.3">
      <c r="A487" s="26" t="s">
        <v>829</v>
      </c>
      <c r="B487" s="26" t="s">
        <v>1470</v>
      </c>
      <c r="C487" s="26" t="s">
        <v>847</v>
      </c>
      <c r="D487" s="26" t="s">
        <v>1471</v>
      </c>
      <c r="E487" s="39">
        <v>8</v>
      </c>
      <c r="F487" s="37">
        <v>29617</v>
      </c>
      <c r="G487" s="38">
        <f>IFERROR(IF(B487="Tampa",INDEX(tbl_tampas[Massa_g],MATCH(A487,tbl_tampas[CapId],0)),INDEX(tbl_recyclass[Massa_Corpo_g],MATCH(A487,tbl_recyclass[ProductId],0))),0)</f>
        <v>143.5</v>
      </c>
      <c r="H487" s="32">
        <f t="shared" si="21"/>
        <v>4250.0394999999999</v>
      </c>
      <c r="I487" s="36">
        <f>IFERROR(IF(B487="Tampa",INDEX(tbl_tampas[Pct_PCR],MATCH(A487,tbl_tampas[CapId],0)),INDEX(tbl_recyclass[Pct_PCR_Corpo],MATCH(A487,tbl_recyclass[ProductId],0))),0)</f>
        <v>0</v>
      </c>
      <c r="J487" s="32">
        <f t="shared" si="22"/>
        <v>0</v>
      </c>
      <c r="K487" s="32">
        <f t="shared" si="23"/>
        <v>4250.0394999999999</v>
      </c>
      <c r="L487" s="43">
        <f>IF(C487="ES",K487*INDEX(tbl_param_emb[Valor],MATCH("P-01",tbl_param_emb[ID_Parametro],0)),0)</f>
        <v>0</v>
      </c>
      <c r="M487" s="33" t="str">
        <f>IF(B487="Tampa","Componente",IFERROR(INDEX(tbl_recyclass[Grau_PPWR_Indicativo],MATCH(A487,tbl_recyclass[ProductId],0)),""))</f>
        <v>Não reciclável (F)</v>
      </c>
    </row>
    <row r="488" spans="1:13" ht="16.05" customHeight="1" x14ac:dyDescent="0.3">
      <c r="A488" s="26" t="s">
        <v>829</v>
      </c>
      <c r="B488" s="26" t="s">
        <v>1470</v>
      </c>
      <c r="C488" s="26" t="s">
        <v>1474</v>
      </c>
      <c r="D488" s="26" t="s">
        <v>1475</v>
      </c>
      <c r="E488" s="39">
        <v>2</v>
      </c>
      <c r="F488" s="37">
        <v>10740</v>
      </c>
      <c r="G488" s="38">
        <f>IFERROR(IF(B488="Tampa",INDEX(tbl_tampas[Massa_g],MATCH(A488,tbl_tampas[CapId],0)),INDEX(tbl_recyclass[Massa_Corpo_g],MATCH(A488,tbl_recyclass[ProductId],0))),0)</f>
        <v>143.5</v>
      </c>
      <c r="H488" s="32">
        <f t="shared" si="21"/>
        <v>1541.19</v>
      </c>
      <c r="I488" s="36">
        <f>IFERROR(IF(B488="Tampa",INDEX(tbl_tampas[Pct_PCR],MATCH(A488,tbl_tampas[CapId],0)),INDEX(tbl_recyclass[Pct_PCR_Corpo],MATCH(A488,tbl_recyclass[ProductId],0))),0)</f>
        <v>0</v>
      </c>
      <c r="J488" s="32">
        <f t="shared" si="22"/>
        <v>0</v>
      </c>
      <c r="K488" s="32">
        <f t="shared" si="23"/>
        <v>1541.19</v>
      </c>
      <c r="L488" s="43">
        <f>IF(C488="ES",K488*INDEX(tbl_param_emb[Valor],MATCH("P-01",tbl_param_emb[ID_Parametro],0)),0)</f>
        <v>693.53550000000007</v>
      </c>
      <c r="M488" s="33" t="str">
        <f>IF(B488="Tampa","Componente",IFERROR(INDEX(tbl_recyclass[Grau_PPWR_Indicativo],MATCH(A488,tbl_recyclass[ProductId],0)),""))</f>
        <v>Não reciclável (F)</v>
      </c>
    </row>
    <row r="489" spans="1:13" ht="16.05" customHeight="1" x14ac:dyDescent="0.3">
      <c r="A489" s="26" t="s">
        <v>831</v>
      </c>
      <c r="B489" s="26" t="s">
        <v>1470</v>
      </c>
      <c r="C489" s="26" t="s">
        <v>1476</v>
      </c>
      <c r="D489" s="26" t="s">
        <v>1477</v>
      </c>
      <c r="E489" s="39">
        <v>1</v>
      </c>
      <c r="F489" s="37">
        <v>7092</v>
      </c>
      <c r="G489" s="38">
        <f>IFERROR(IF(B489="Tampa",INDEX(tbl_tampas[Massa_g],MATCH(A489,tbl_tampas[CapId],0)),INDEX(tbl_recyclass[Massa_Corpo_g],MATCH(A489,tbl_recyclass[ProductId],0))),0)</f>
        <v>143.5</v>
      </c>
      <c r="H489" s="32">
        <f t="shared" si="21"/>
        <v>1017.702</v>
      </c>
      <c r="I489" s="36">
        <f>IFERROR(IF(B489="Tampa",INDEX(tbl_tampas[Pct_PCR],MATCH(A489,tbl_tampas[CapId],0)),INDEX(tbl_recyclass[Pct_PCR_Corpo],MATCH(A489,tbl_recyclass[ProductId],0))),0)</f>
        <v>0</v>
      </c>
      <c r="J489" s="32">
        <f t="shared" si="22"/>
        <v>0</v>
      </c>
      <c r="K489" s="32">
        <f t="shared" si="23"/>
        <v>1017.702</v>
      </c>
      <c r="L489" s="43">
        <f>IF(C489="ES",K489*INDEX(tbl_param_emb[Valor],MATCH("P-01",tbl_param_emb[ID_Parametro],0)),0)</f>
        <v>0</v>
      </c>
      <c r="M489" s="33" t="str">
        <f>IF(B489="Tampa","Componente",IFERROR(INDEX(tbl_recyclass[Grau_PPWR_Indicativo],MATCH(A489,tbl_recyclass[ProductId],0)),""))</f>
        <v>C</v>
      </c>
    </row>
    <row r="490" spans="1:13" ht="16.05" customHeight="1" x14ac:dyDescent="0.3">
      <c r="A490" s="26" t="s">
        <v>831</v>
      </c>
      <c r="B490" s="26" t="s">
        <v>1470</v>
      </c>
      <c r="C490" s="26" t="s">
        <v>1472</v>
      </c>
      <c r="D490" s="26" t="s">
        <v>1473</v>
      </c>
      <c r="E490" s="39">
        <v>1</v>
      </c>
      <c r="F490" s="37">
        <v>2958</v>
      </c>
      <c r="G490" s="38">
        <f>IFERROR(IF(B490="Tampa",INDEX(tbl_tampas[Massa_g],MATCH(A490,tbl_tampas[CapId],0)),INDEX(tbl_recyclass[Massa_Corpo_g],MATCH(A490,tbl_recyclass[ProductId],0))),0)</f>
        <v>143.5</v>
      </c>
      <c r="H490" s="32">
        <f t="shared" si="21"/>
        <v>424.47300000000001</v>
      </c>
      <c r="I490" s="36">
        <f>IFERROR(IF(B490="Tampa",INDEX(tbl_tampas[Pct_PCR],MATCH(A490,tbl_tampas[CapId],0)),INDEX(tbl_recyclass[Pct_PCR_Corpo],MATCH(A490,tbl_recyclass[ProductId],0))),0)</f>
        <v>0</v>
      </c>
      <c r="J490" s="32">
        <f t="shared" si="22"/>
        <v>0</v>
      </c>
      <c r="K490" s="32">
        <f t="shared" si="23"/>
        <v>424.47300000000001</v>
      </c>
      <c r="L490" s="43">
        <f>IF(C490="ES",K490*INDEX(tbl_param_emb[Valor],MATCH("P-01",tbl_param_emb[ID_Parametro],0)),0)</f>
        <v>0</v>
      </c>
      <c r="M490" s="33" t="str">
        <f>IF(B490="Tampa","Componente",IFERROR(INDEX(tbl_recyclass[Grau_PPWR_Indicativo],MATCH(A490,tbl_recyclass[ProductId],0)),""))</f>
        <v>C</v>
      </c>
    </row>
    <row r="491" spans="1:13" ht="16.05" customHeight="1" x14ac:dyDescent="0.3">
      <c r="A491" s="26" t="s">
        <v>831</v>
      </c>
      <c r="B491" s="26" t="s">
        <v>1470</v>
      </c>
      <c r="C491" s="26" t="s">
        <v>1478</v>
      </c>
      <c r="D491" s="26" t="s">
        <v>1479</v>
      </c>
      <c r="E491" s="39">
        <v>1</v>
      </c>
      <c r="F491" s="37">
        <v>8119</v>
      </c>
      <c r="G491" s="38">
        <f>IFERROR(IF(B491="Tampa",INDEX(tbl_tampas[Massa_g],MATCH(A491,tbl_tampas[CapId],0)),INDEX(tbl_recyclass[Massa_Corpo_g],MATCH(A491,tbl_recyclass[ProductId],0))),0)</f>
        <v>143.5</v>
      </c>
      <c r="H491" s="32">
        <f t="shared" si="21"/>
        <v>1165.0764999999999</v>
      </c>
      <c r="I491" s="36">
        <f>IFERROR(IF(B491="Tampa",INDEX(tbl_tampas[Pct_PCR],MATCH(A491,tbl_tampas[CapId],0)),INDEX(tbl_recyclass[Pct_PCR_Corpo],MATCH(A491,tbl_recyclass[ProductId],0))),0)</f>
        <v>0</v>
      </c>
      <c r="J491" s="32">
        <f t="shared" si="22"/>
        <v>0</v>
      </c>
      <c r="K491" s="32">
        <f t="shared" si="23"/>
        <v>1165.0764999999999</v>
      </c>
      <c r="L491" s="43">
        <f>IF(C491="ES",K491*INDEX(tbl_param_emb[Valor],MATCH("P-01",tbl_param_emb[ID_Parametro],0)),0)</f>
        <v>0</v>
      </c>
      <c r="M491" s="33" t="str">
        <f>IF(B491="Tampa","Componente",IFERROR(INDEX(tbl_recyclass[Grau_PPWR_Indicativo],MATCH(A491,tbl_recyclass[ProductId],0)),""))</f>
        <v>C</v>
      </c>
    </row>
    <row r="492" spans="1:13" ht="16.05" customHeight="1" x14ac:dyDescent="0.3">
      <c r="A492" s="26" t="s">
        <v>831</v>
      </c>
      <c r="B492" s="26" t="s">
        <v>1470</v>
      </c>
      <c r="C492" s="26" t="s">
        <v>1480</v>
      </c>
      <c r="D492" s="26" t="s">
        <v>1481</v>
      </c>
      <c r="E492" s="39">
        <v>1</v>
      </c>
      <c r="F492" s="37">
        <v>1775</v>
      </c>
      <c r="G492" s="38">
        <f>IFERROR(IF(B492="Tampa",INDEX(tbl_tampas[Massa_g],MATCH(A492,tbl_tampas[CapId],0)),INDEX(tbl_recyclass[Massa_Corpo_g],MATCH(A492,tbl_recyclass[ProductId],0))),0)</f>
        <v>143.5</v>
      </c>
      <c r="H492" s="32">
        <f t="shared" si="21"/>
        <v>254.71250000000001</v>
      </c>
      <c r="I492" s="36">
        <f>IFERROR(IF(B492="Tampa",INDEX(tbl_tampas[Pct_PCR],MATCH(A492,tbl_tampas[CapId],0)),INDEX(tbl_recyclass[Pct_PCR_Corpo],MATCH(A492,tbl_recyclass[ProductId],0))),0)</f>
        <v>0</v>
      </c>
      <c r="J492" s="32">
        <f t="shared" si="22"/>
        <v>0</v>
      </c>
      <c r="K492" s="32">
        <f t="shared" si="23"/>
        <v>254.71250000000001</v>
      </c>
      <c r="L492" s="43">
        <f>IF(C492="ES",K492*INDEX(tbl_param_emb[Valor],MATCH("P-01",tbl_param_emb[ID_Parametro],0)),0)</f>
        <v>0</v>
      </c>
      <c r="M492" s="33" t="str">
        <f>IF(B492="Tampa","Componente",IFERROR(INDEX(tbl_recyclass[Grau_PPWR_Indicativo],MATCH(A492,tbl_recyclass[ProductId],0)),""))</f>
        <v>C</v>
      </c>
    </row>
    <row r="493" spans="1:13" ht="16.05" customHeight="1" x14ac:dyDescent="0.3">
      <c r="A493" s="26" t="s">
        <v>831</v>
      </c>
      <c r="B493" s="26" t="s">
        <v>1470</v>
      </c>
      <c r="C493" s="26" t="s">
        <v>847</v>
      </c>
      <c r="D493" s="26" t="s">
        <v>1471</v>
      </c>
      <c r="E493" s="39">
        <v>8</v>
      </c>
      <c r="F493" s="37">
        <v>51564</v>
      </c>
      <c r="G493" s="38">
        <f>IFERROR(IF(B493="Tampa",INDEX(tbl_tampas[Massa_g],MATCH(A493,tbl_tampas[CapId],0)),INDEX(tbl_recyclass[Massa_Corpo_g],MATCH(A493,tbl_recyclass[ProductId],0))),0)</f>
        <v>143.5</v>
      </c>
      <c r="H493" s="32">
        <f t="shared" si="21"/>
        <v>7399.4340000000002</v>
      </c>
      <c r="I493" s="36">
        <f>IFERROR(IF(B493="Tampa",INDEX(tbl_tampas[Pct_PCR],MATCH(A493,tbl_tampas[CapId],0)),INDEX(tbl_recyclass[Pct_PCR_Corpo],MATCH(A493,tbl_recyclass[ProductId],0))),0)</f>
        <v>0</v>
      </c>
      <c r="J493" s="32">
        <f t="shared" si="22"/>
        <v>0</v>
      </c>
      <c r="K493" s="32">
        <f t="shared" si="23"/>
        <v>7399.4340000000002</v>
      </c>
      <c r="L493" s="43">
        <f>IF(C493="ES",K493*INDEX(tbl_param_emb[Valor],MATCH("P-01",tbl_param_emb[ID_Parametro],0)),0)</f>
        <v>0</v>
      </c>
      <c r="M493" s="33" t="str">
        <f>IF(B493="Tampa","Componente",IFERROR(INDEX(tbl_recyclass[Grau_PPWR_Indicativo],MATCH(A493,tbl_recyclass[ProductId],0)),""))</f>
        <v>C</v>
      </c>
    </row>
    <row r="494" spans="1:13" ht="16.05" customHeight="1" x14ac:dyDescent="0.3">
      <c r="A494" s="26" t="s">
        <v>831</v>
      </c>
      <c r="B494" s="26" t="s">
        <v>1470</v>
      </c>
      <c r="C494" s="26" t="s">
        <v>1474</v>
      </c>
      <c r="D494" s="26" t="s">
        <v>1475</v>
      </c>
      <c r="E494" s="39">
        <v>2</v>
      </c>
      <c r="F494" s="37">
        <v>8852</v>
      </c>
      <c r="G494" s="38">
        <f>IFERROR(IF(B494="Tampa",INDEX(tbl_tampas[Massa_g],MATCH(A494,tbl_tampas[CapId],0)),INDEX(tbl_recyclass[Massa_Corpo_g],MATCH(A494,tbl_recyclass[ProductId],0))),0)</f>
        <v>143.5</v>
      </c>
      <c r="H494" s="32">
        <f t="shared" si="21"/>
        <v>1270.2619999999999</v>
      </c>
      <c r="I494" s="36">
        <f>IFERROR(IF(B494="Tampa",INDEX(tbl_tampas[Pct_PCR],MATCH(A494,tbl_tampas[CapId],0)),INDEX(tbl_recyclass[Pct_PCR_Corpo],MATCH(A494,tbl_recyclass[ProductId],0))),0)</f>
        <v>0</v>
      </c>
      <c r="J494" s="32">
        <f t="shared" si="22"/>
        <v>0</v>
      </c>
      <c r="K494" s="32">
        <f t="shared" si="23"/>
        <v>1270.2619999999999</v>
      </c>
      <c r="L494" s="43">
        <f>IF(C494="ES",K494*INDEX(tbl_param_emb[Valor],MATCH("P-01",tbl_param_emb[ID_Parametro],0)),0)</f>
        <v>571.61789999999996</v>
      </c>
      <c r="M494" s="33" t="str">
        <f>IF(B494="Tampa","Componente",IFERROR(INDEX(tbl_recyclass[Grau_PPWR_Indicativo],MATCH(A494,tbl_recyclass[ProductId],0)),""))</f>
        <v>C</v>
      </c>
    </row>
    <row r="495" spans="1:13" ht="16.05" customHeight="1" x14ac:dyDescent="0.3">
      <c r="A495" s="26" t="s">
        <v>870</v>
      </c>
      <c r="B495" s="26" t="s">
        <v>1470</v>
      </c>
      <c r="C495" s="26" t="s">
        <v>847</v>
      </c>
      <c r="D495" s="26" t="s">
        <v>1471</v>
      </c>
      <c r="E495" s="39">
        <v>2</v>
      </c>
      <c r="F495" s="37">
        <v>176740</v>
      </c>
      <c r="G495" s="38">
        <f>IFERROR(IF(B495="Tampa",INDEX(tbl_tampas[Massa_g],MATCH(A495,tbl_tampas[CapId],0)),INDEX(tbl_recyclass[Massa_Corpo_g],MATCH(A495,tbl_recyclass[ProductId],0))),0)</f>
        <v>6.7</v>
      </c>
      <c r="H495" s="32">
        <f t="shared" si="21"/>
        <v>1184.1579999999999</v>
      </c>
      <c r="I495" s="36">
        <f>IFERROR(IF(B495="Tampa",INDEX(tbl_tampas[Pct_PCR],MATCH(A495,tbl_tampas[CapId],0)),INDEX(tbl_recyclass[Pct_PCR_Corpo],MATCH(A495,tbl_recyclass[ProductId],0))),0)</f>
        <v>0</v>
      </c>
      <c r="J495" s="32">
        <f t="shared" si="22"/>
        <v>0</v>
      </c>
      <c r="K495" s="32">
        <f t="shared" si="23"/>
        <v>1184.1579999999999</v>
      </c>
      <c r="L495" s="43">
        <f>IF(C495="ES",K495*INDEX(tbl_param_emb[Valor],MATCH("P-01",tbl_param_emb[ID_Parametro],0)),0)</f>
        <v>0</v>
      </c>
      <c r="M495" s="33" t="str">
        <f>IF(B495="Tampa","Componente",IFERROR(INDEX(tbl_recyclass[Grau_PPWR_Indicativo],MATCH(A495,tbl_recyclass[ProductId],0)),""))</f>
        <v>A</v>
      </c>
    </row>
    <row r="496" spans="1:13" ht="16.05" customHeight="1" x14ac:dyDescent="0.3">
      <c r="A496" s="26" t="s">
        <v>870</v>
      </c>
      <c r="B496" s="26" t="s">
        <v>1470</v>
      </c>
      <c r="C496" s="26" t="s">
        <v>1474</v>
      </c>
      <c r="D496" s="26" t="s">
        <v>1475</v>
      </c>
      <c r="E496" s="39">
        <v>1</v>
      </c>
      <c r="F496" s="37">
        <v>76327</v>
      </c>
      <c r="G496" s="38">
        <f>IFERROR(IF(B496="Tampa",INDEX(tbl_tampas[Massa_g],MATCH(A496,tbl_tampas[CapId],0)),INDEX(tbl_recyclass[Massa_Corpo_g],MATCH(A496,tbl_recyclass[ProductId],0))),0)</f>
        <v>6.7</v>
      </c>
      <c r="H496" s="32">
        <f t="shared" si="21"/>
        <v>511.39090000000004</v>
      </c>
      <c r="I496" s="36">
        <f>IFERROR(IF(B496="Tampa",INDEX(tbl_tampas[Pct_PCR],MATCH(A496,tbl_tampas[CapId],0)),INDEX(tbl_recyclass[Pct_PCR_Corpo],MATCH(A496,tbl_recyclass[ProductId],0))),0)</f>
        <v>0</v>
      </c>
      <c r="J496" s="32">
        <f t="shared" si="22"/>
        <v>0</v>
      </c>
      <c r="K496" s="32">
        <f t="shared" si="23"/>
        <v>511.39090000000004</v>
      </c>
      <c r="L496" s="43">
        <f>IF(C496="ES",K496*INDEX(tbl_param_emb[Valor],MATCH("P-01",tbl_param_emb[ID_Parametro],0)),0)</f>
        <v>230.12590500000002</v>
      </c>
      <c r="M496" s="33" t="str">
        <f>IF(B496="Tampa","Componente",IFERROR(INDEX(tbl_recyclass[Grau_PPWR_Indicativo],MATCH(A496,tbl_recyclass[ProductId],0)),""))</f>
        <v>A</v>
      </c>
    </row>
    <row r="497" spans="1:13" ht="16.05" customHeight="1" x14ac:dyDescent="0.3">
      <c r="A497" s="26" t="s">
        <v>876</v>
      </c>
      <c r="B497" s="26" t="s">
        <v>1470</v>
      </c>
      <c r="C497" s="26" t="s">
        <v>847</v>
      </c>
      <c r="D497" s="26" t="s">
        <v>1471</v>
      </c>
      <c r="E497" s="39">
        <v>2</v>
      </c>
      <c r="F497" s="37">
        <v>146340</v>
      </c>
      <c r="G497" s="38">
        <f>IFERROR(IF(B497="Tampa",INDEX(tbl_tampas[Massa_g],MATCH(A497,tbl_tampas[CapId],0)),INDEX(tbl_recyclass[Massa_Corpo_g],MATCH(A497,tbl_recyclass[ProductId],0))),0)</f>
        <v>6.7</v>
      </c>
      <c r="H497" s="32">
        <f t="shared" si="21"/>
        <v>980.47799999999995</v>
      </c>
      <c r="I497" s="36">
        <f>IFERROR(IF(B497="Tampa",INDEX(tbl_tampas[Pct_PCR],MATCH(A497,tbl_tampas[CapId],0)),INDEX(tbl_recyclass[Pct_PCR_Corpo],MATCH(A497,tbl_recyclass[ProductId],0))),0)</f>
        <v>0</v>
      </c>
      <c r="J497" s="32">
        <f t="shared" si="22"/>
        <v>0</v>
      </c>
      <c r="K497" s="32">
        <f t="shared" si="23"/>
        <v>980.47799999999995</v>
      </c>
      <c r="L497" s="43">
        <f>IF(C497="ES",K497*INDEX(tbl_param_emb[Valor],MATCH("P-01",tbl_param_emb[ID_Parametro],0)),0)</f>
        <v>0</v>
      </c>
      <c r="M497" s="33" t="str">
        <f>IF(B497="Tampa","Componente",IFERROR(INDEX(tbl_recyclass[Grau_PPWR_Indicativo],MATCH(A497,tbl_recyclass[ProductId],0)),""))</f>
        <v>C</v>
      </c>
    </row>
    <row r="498" spans="1:13" ht="16.05" customHeight="1" x14ac:dyDescent="0.3">
      <c r="A498" s="26" t="s">
        <v>876</v>
      </c>
      <c r="B498" s="26" t="s">
        <v>1470</v>
      </c>
      <c r="C498" s="26" t="s">
        <v>1474</v>
      </c>
      <c r="D498" s="26" t="s">
        <v>1475</v>
      </c>
      <c r="E498" s="39">
        <v>1</v>
      </c>
      <c r="F498" s="37">
        <v>74013</v>
      </c>
      <c r="G498" s="38">
        <f>IFERROR(IF(B498="Tampa",INDEX(tbl_tampas[Massa_g],MATCH(A498,tbl_tampas[CapId],0)),INDEX(tbl_recyclass[Massa_Corpo_g],MATCH(A498,tbl_recyclass[ProductId],0))),0)</f>
        <v>6.7</v>
      </c>
      <c r="H498" s="32">
        <f t="shared" si="21"/>
        <v>495.88710000000003</v>
      </c>
      <c r="I498" s="36">
        <f>IFERROR(IF(B498="Tampa",INDEX(tbl_tampas[Pct_PCR],MATCH(A498,tbl_tampas[CapId],0)),INDEX(tbl_recyclass[Pct_PCR_Corpo],MATCH(A498,tbl_recyclass[ProductId],0))),0)</f>
        <v>0</v>
      </c>
      <c r="J498" s="32">
        <f t="shared" si="22"/>
        <v>0</v>
      </c>
      <c r="K498" s="32">
        <f t="shared" si="23"/>
        <v>495.88710000000003</v>
      </c>
      <c r="L498" s="43">
        <f>IF(C498="ES",K498*INDEX(tbl_param_emb[Valor],MATCH("P-01",tbl_param_emb[ID_Parametro],0)),0)</f>
        <v>223.14919500000002</v>
      </c>
      <c r="M498" s="33" t="str">
        <f>IF(B498="Tampa","Componente",IFERROR(INDEX(tbl_recyclass[Grau_PPWR_Indicativo],MATCH(A498,tbl_recyclass[ProductId],0)),""))</f>
        <v>C</v>
      </c>
    </row>
    <row r="499" spans="1:13" ht="16.05" customHeight="1" x14ac:dyDescent="0.3">
      <c r="A499" s="26" t="s">
        <v>878</v>
      </c>
      <c r="B499" s="26" t="s">
        <v>1470</v>
      </c>
      <c r="C499" s="26" t="s">
        <v>847</v>
      </c>
      <c r="D499" s="26" t="s">
        <v>1471</v>
      </c>
      <c r="E499" s="39">
        <v>2</v>
      </c>
      <c r="F499" s="37">
        <v>153965</v>
      </c>
      <c r="G499" s="38">
        <f>IFERROR(IF(B499="Tampa",INDEX(tbl_tampas[Massa_g],MATCH(A499,tbl_tampas[CapId],0)),INDEX(tbl_recyclass[Massa_Corpo_g],MATCH(A499,tbl_recyclass[ProductId],0))),0)</f>
        <v>10.6</v>
      </c>
      <c r="H499" s="32">
        <f t="shared" si="21"/>
        <v>1632.029</v>
      </c>
      <c r="I499" s="36">
        <f>IFERROR(IF(B499="Tampa",INDEX(tbl_tampas[Pct_PCR],MATCH(A499,tbl_tampas[CapId],0)),INDEX(tbl_recyclass[Pct_PCR_Corpo],MATCH(A499,tbl_recyclass[ProductId],0))),0)</f>
        <v>0</v>
      </c>
      <c r="J499" s="32">
        <f t="shared" si="22"/>
        <v>0</v>
      </c>
      <c r="K499" s="32">
        <f t="shared" si="23"/>
        <v>1632.029</v>
      </c>
      <c r="L499" s="43">
        <f>IF(C499="ES",K499*INDEX(tbl_param_emb[Valor],MATCH("P-01",tbl_param_emb[ID_Parametro],0)),0)</f>
        <v>0</v>
      </c>
      <c r="M499" s="33" t="str">
        <f>IF(B499="Tampa","Componente",IFERROR(INDEX(tbl_recyclass[Grau_PPWR_Indicativo],MATCH(A499,tbl_recyclass[ProductId],0)),""))</f>
        <v>A</v>
      </c>
    </row>
    <row r="500" spans="1:13" ht="16.05" customHeight="1" x14ac:dyDescent="0.3">
      <c r="A500" s="26" t="s">
        <v>878</v>
      </c>
      <c r="B500" s="26" t="s">
        <v>1470</v>
      </c>
      <c r="C500" s="26" t="s">
        <v>1474</v>
      </c>
      <c r="D500" s="26" t="s">
        <v>1475</v>
      </c>
      <c r="E500" s="39">
        <v>1</v>
      </c>
      <c r="F500" s="37">
        <v>32550</v>
      </c>
      <c r="G500" s="38">
        <f>IFERROR(IF(B500="Tampa",INDEX(tbl_tampas[Massa_g],MATCH(A500,tbl_tampas[CapId],0)),INDEX(tbl_recyclass[Massa_Corpo_g],MATCH(A500,tbl_recyclass[ProductId],0))),0)</f>
        <v>10.6</v>
      </c>
      <c r="H500" s="32">
        <f t="shared" si="21"/>
        <v>345.03</v>
      </c>
      <c r="I500" s="36">
        <f>IFERROR(IF(B500="Tampa",INDEX(tbl_tampas[Pct_PCR],MATCH(A500,tbl_tampas[CapId],0)),INDEX(tbl_recyclass[Pct_PCR_Corpo],MATCH(A500,tbl_recyclass[ProductId],0))),0)</f>
        <v>0</v>
      </c>
      <c r="J500" s="32">
        <f t="shared" si="22"/>
        <v>0</v>
      </c>
      <c r="K500" s="32">
        <f t="shared" si="23"/>
        <v>345.03</v>
      </c>
      <c r="L500" s="43">
        <f>IF(C500="ES",K500*INDEX(tbl_param_emb[Valor],MATCH("P-01",tbl_param_emb[ID_Parametro],0)),0)</f>
        <v>155.26349999999999</v>
      </c>
      <c r="M500" s="33" t="str">
        <f>IF(B500="Tampa","Componente",IFERROR(INDEX(tbl_recyclass[Grau_PPWR_Indicativo],MATCH(A500,tbl_recyclass[ProductId],0)),""))</f>
        <v>A</v>
      </c>
    </row>
    <row r="501" spans="1:13" ht="16.05" customHeight="1" x14ac:dyDescent="0.3">
      <c r="A501" s="26" t="s">
        <v>880</v>
      </c>
      <c r="B501" s="26" t="s">
        <v>1470</v>
      </c>
      <c r="C501" s="26" t="s">
        <v>847</v>
      </c>
      <c r="D501" s="26" t="s">
        <v>1471</v>
      </c>
      <c r="E501" s="39">
        <v>2</v>
      </c>
      <c r="F501" s="37">
        <v>139024</v>
      </c>
      <c r="G501" s="38">
        <f>IFERROR(IF(B501="Tampa",INDEX(tbl_tampas[Massa_g],MATCH(A501,tbl_tampas[CapId],0)),INDEX(tbl_recyclass[Massa_Corpo_g],MATCH(A501,tbl_recyclass[ProductId],0))),0)</f>
        <v>10.6</v>
      </c>
      <c r="H501" s="32">
        <f t="shared" si="21"/>
        <v>1473.6543999999999</v>
      </c>
      <c r="I501" s="36">
        <f>IFERROR(IF(B501="Tampa",INDEX(tbl_tampas[Pct_PCR],MATCH(A501,tbl_tampas[CapId],0)),INDEX(tbl_recyclass[Pct_PCR_Corpo],MATCH(A501,tbl_recyclass[ProductId],0))),0)</f>
        <v>0</v>
      </c>
      <c r="J501" s="32">
        <f t="shared" si="22"/>
        <v>0</v>
      </c>
      <c r="K501" s="32">
        <f t="shared" si="23"/>
        <v>1473.6543999999999</v>
      </c>
      <c r="L501" s="43">
        <f>IF(C501="ES",K501*INDEX(tbl_param_emb[Valor],MATCH("P-01",tbl_param_emb[ID_Parametro],0)),0)</f>
        <v>0</v>
      </c>
      <c r="M501" s="33" t="str">
        <f>IF(B501="Tampa","Componente",IFERROR(INDEX(tbl_recyclass[Grau_PPWR_Indicativo],MATCH(A501,tbl_recyclass[ProductId],0)),""))</f>
        <v>C</v>
      </c>
    </row>
    <row r="502" spans="1:13" ht="16.05" customHeight="1" x14ac:dyDescent="0.3">
      <c r="A502" s="26" t="s">
        <v>880</v>
      </c>
      <c r="B502" s="26" t="s">
        <v>1470</v>
      </c>
      <c r="C502" s="26" t="s">
        <v>1474</v>
      </c>
      <c r="D502" s="26" t="s">
        <v>1475</v>
      </c>
      <c r="E502" s="39">
        <v>1</v>
      </c>
      <c r="F502" s="37">
        <v>63572</v>
      </c>
      <c r="G502" s="38">
        <f>IFERROR(IF(B502="Tampa",INDEX(tbl_tampas[Massa_g],MATCH(A502,tbl_tampas[CapId],0)),INDEX(tbl_recyclass[Massa_Corpo_g],MATCH(A502,tbl_recyclass[ProductId],0))),0)</f>
        <v>10.6</v>
      </c>
      <c r="H502" s="32">
        <f t="shared" si="21"/>
        <v>673.86320000000001</v>
      </c>
      <c r="I502" s="36">
        <f>IFERROR(IF(B502="Tampa",INDEX(tbl_tampas[Pct_PCR],MATCH(A502,tbl_tampas[CapId],0)),INDEX(tbl_recyclass[Pct_PCR_Corpo],MATCH(A502,tbl_recyclass[ProductId],0))),0)</f>
        <v>0</v>
      </c>
      <c r="J502" s="32">
        <f t="shared" si="22"/>
        <v>0</v>
      </c>
      <c r="K502" s="32">
        <f t="shared" si="23"/>
        <v>673.86320000000001</v>
      </c>
      <c r="L502" s="43">
        <f>IF(C502="ES",K502*INDEX(tbl_param_emb[Valor],MATCH("P-01",tbl_param_emb[ID_Parametro],0)),0)</f>
        <v>303.23844000000003</v>
      </c>
      <c r="M502" s="33" t="str">
        <f>IF(B502="Tampa","Componente",IFERROR(INDEX(tbl_recyclass[Grau_PPWR_Indicativo],MATCH(A502,tbl_recyclass[ProductId],0)),""))</f>
        <v>C</v>
      </c>
    </row>
    <row r="503" spans="1:13" ht="16.05" customHeight="1" x14ac:dyDescent="0.3">
      <c r="A503" s="26" t="s">
        <v>492</v>
      </c>
      <c r="B503" s="26" t="s">
        <v>931</v>
      </c>
      <c r="C503" s="26" t="s">
        <v>1472</v>
      </c>
      <c r="D503" s="26" t="s">
        <v>1473</v>
      </c>
      <c r="E503" s="39">
        <v>1</v>
      </c>
      <c r="F503" s="37">
        <v>90207</v>
      </c>
      <c r="G503" s="38">
        <f>IFERROR(IF(B503="Tampa",INDEX(tbl_tampas[Massa_g],MATCH(A503,tbl_tampas[CapId],0)),INDEX(tbl_recyclass[Massa_Corpo_g],MATCH(A503,tbl_recyclass[ProductId],0))),0)</f>
        <v>11.5</v>
      </c>
      <c r="H503" s="32">
        <f t="shared" si="21"/>
        <v>1037.3805</v>
      </c>
      <c r="I503" s="36">
        <f>IFERROR(IF(B503="Tampa",INDEX(tbl_tampas[Pct_PCR],MATCH(A503,tbl_tampas[CapId],0)),INDEX(tbl_recyclass[Pct_PCR_Corpo],MATCH(A503,tbl_recyclass[ProductId],0))),0)</f>
        <v>0</v>
      </c>
      <c r="J503" s="32">
        <f t="shared" si="22"/>
        <v>0</v>
      </c>
      <c r="K503" s="32">
        <f t="shared" si="23"/>
        <v>1037.3805</v>
      </c>
      <c r="L503" s="43">
        <f>IF(C503="ES",K503*INDEX(tbl_param_emb[Valor],MATCH("P-01",tbl_param_emb[ID_Parametro],0)),0)</f>
        <v>0</v>
      </c>
      <c r="M503" s="33" t="str">
        <f>IF(B503="Tampa","Componente",IFERROR(INDEX(tbl_recyclass[Grau_PPWR_Indicativo],MATCH(A503,tbl_recyclass[ProductId],0)),""))</f>
        <v>Componente</v>
      </c>
    </row>
    <row r="504" spans="1:13" ht="16.05" customHeight="1" x14ac:dyDescent="0.3">
      <c r="A504" s="26" t="s">
        <v>492</v>
      </c>
      <c r="B504" s="26" t="s">
        <v>931</v>
      </c>
      <c r="C504" s="26" t="s">
        <v>1474</v>
      </c>
      <c r="D504" s="26" t="s">
        <v>1475</v>
      </c>
      <c r="E504" s="39">
        <v>1</v>
      </c>
      <c r="F504" s="37">
        <v>91679</v>
      </c>
      <c r="G504" s="38">
        <f>IFERROR(IF(B504="Tampa",INDEX(tbl_tampas[Massa_g],MATCH(A504,tbl_tampas[CapId],0)),INDEX(tbl_recyclass[Massa_Corpo_g],MATCH(A504,tbl_recyclass[ProductId],0))),0)</f>
        <v>11.5</v>
      </c>
      <c r="H504" s="32">
        <f t="shared" si="21"/>
        <v>1054.3085000000001</v>
      </c>
      <c r="I504" s="36">
        <f>IFERROR(IF(B504="Tampa",INDEX(tbl_tampas[Pct_PCR],MATCH(A504,tbl_tampas[CapId],0)),INDEX(tbl_recyclass[Pct_PCR_Corpo],MATCH(A504,tbl_recyclass[ProductId],0))),0)</f>
        <v>0</v>
      </c>
      <c r="J504" s="32">
        <f t="shared" si="22"/>
        <v>0</v>
      </c>
      <c r="K504" s="32">
        <f t="shared" si="23"/>
        <v>1054.3085000000001</v>
      </c>
      <c r="L504" s="43">
        <f>IF(C504="ES",K504*INDEX(tbl_param_emb[Valor],MATCH("P-01",tbl_param_emb[ID_Parametro],0)),0)</f>
        <v>474.43882500000007</v>
      </c>
      <c r="M504" s="33" t="str">
        <f>IF(B504="Tampa","Componente",IFERROR(INDEX(tbl_recyclass[Grau_PPWR_Indicativo],MATCH(A504,tbl_recyclass[ProductId],0)),""))</f>
        <v>Componente</v>
      </c>
    </row>
    <row r="505" spans="1:13" ht="16.05" customHeight="1" x14ac:dyDescent="0.3">
      <c r="A505" s="26" t="s">
        <v>465</v>
      </c>
      <c r="B505" s="26" t="s">
        <v>931</v>
      </c>
      <c r="C505" s="26" t="s">
        <v>1476</v>
      </c>
      <c r="D505" s="26" t="s">
        <v>1477</v>
      </c>
      <c r="E505" s="39">
        <v>1</v>
      </c>
      <c r="F505" s="37">
        <v>25341</v>
      </c>
      <c r="G505" s="38">
        <f>IFERROR(IF(B505="Tampa",INDEX(tbl_tampas[Massa_g],MATCH(A505,tbl_tampas[CapId],0)),INDEX(tbl_recyclass[Massa_Corpo_g],MATCH(A505,tbl_recyclass[ProductId],0))),0)</f>
        <v>15.5</v>
      </c>
      <c r="H505" s="32">
        <f t="shared" si="21"/>
        <v>392.78550000000001</v>
      </c>
      <c r="I505" s="36">
        <f>IFERROR(IF(B505="Tampa",INDEX(tbl_tampas[Pct_PCR],MATCH(A505,tbl_tampas[CapId],0)),INDEX(tbl_recyclass[Pct_PCR_Corpo],MATCH(A505,tbl_recyclass[ProductId],0))),0)</f>
        <v>0</v>
      </c>
      <c r="J505" s="32">
        <f t="shared" si="22"/>
        <v>0</v>
      </c>
      <c r="K505" s="32">
        <f t="shared" si="23"/>
        <v>392.78550000000001</v>
      </c>
      <c r="L505" s="43">
        <f>IF(C505="ES",K505*INDEX(tbl_param_emb[Valor],MATCH("P-01",tbl_param_emb[ID_Parametro],0)),0)</f>
        <v>0</v>
      </c>
      <c r="M505" s="33" t="str">
        <f>IF(B505="Tampa","Componente",IFERROR(INDEX(tbl_recyclass[Grau_PPWR_Indicativo],MATCH(A505,tbl_recyclass[ProductId],0)),""))</f>
        <v>Componente</v>
      </c>
    </row>
    <row r="506" spans="1:13" ht="16.05" customHeight="1" x14ac:dyDescent="0.3">
      <c r="A506" s="26" t="s">
        <v>465</v>
      </c>
      <c r="B506" s="26" t="s">
        <v>931</v>
      </c>
      <c r="C506" s="26" t="s">
        <v>1472</v>
      </c>
      <c r="D506" s="26" t="s">
        <v>1473</v>
      </c>
      <c r="E506" s="39">
        <v>1</v>
      </c>
      <c r="F506" s="37">
        <v>64197</v>
      </c>
      <c r="G506" s="38">
        <f>IFERROR(IF(B506="Tampa",INDEX(tbl_tampas[Massa_g],MATCH(A506,tbl_tampas[CapId],0)),INDEX(tbl_recyclass[Massa_Corpo_g],MATCH(A506,tbl_recyclass[ProductId],0))),0)</f>
        <v>15.5</v>
      </c>
      <c r="H506" s="32">
        <f t="shared" si="21"/>
        <v>995.05349999999999</v>
      </c>
      <c r="I506" s="36">
        <f>IFERROR(IF(B506="Tampa",INDEX(tbl_tampas[Pct_PCR],MATCH(A506,tbl_tampas[CapId],0)),INDEX(tbl_recyclass[Pct_PCR_Corpo],MATCH(A506,tbl_recyclass[ProductId],0))),0)</f>
        <v>0</v>
      </c>
      <c r="J506" s="32">
        <f t="shared" si="22"/>
        <v>0</v>
      </c>
      <c r="K506" s="32">
        <f t="shared" si="23"/>
        <v>995.05349999999999</v>
      </c>
      <c r="L506" s="43">
        <f>IF(C506="ES",K506*INDEX(tbl_param_emb[Valor],MATCH("P-01",tbl_param_emb[ID_Parametro],0)),0)</f>
        <v>0</v>
      </c>
      <c r="M506" s="33" t="str">
        <f>IF(B506="Tampa","Componente",IFERROR(INDEX(tbl_recyclass[Grau_PPWR_Indicativo],MATCH(A506,tbl_recyclass[ProductId],0)),""))</f>
        <v>Componente</v>
      </c>
    </row>
    <row r="507" spans="1:13" ht="16.05" customHeight="1" x14ac:dyDescent="0.3">
      <c r="A507" s="26" t="s">
        <v>465</v>
      </c>
      <c r="B507" s="26" t="s">
        <v>931</v>
      </c>
      <c r="C507" s="26" t="s">
        <v>1478</v>
      </c>
      <c r="D507" s="26" t="s">
        <v>1479</v>
      </c>
      <c r="E507" s="39">
        <v>1</v>
      </c>
      <c r="F507" s="37">
        <v>23865</v>
      </c>
      <c r="G507" s="38">
        <f>IFERROR(IF(B507="Tampa",INDEX(tbl_tampas[Massa_g],MATCH(A507,tbl_tampas[CapId],0)),INDEX(tbl_recyclass[Massa_Corpo_g],MATCH(A507,tbl_recyclass[ProductId],0))),0)</f>
        <v>15.5</v>
      </c>
      <c r="H507" s="32">
        <f t="shared" si="21"/>
        <v>369.90750000000003</v>
      </c>
      <c r="I507" s="36">
        <f>IFERROR(IF(B507="Tampa",INDEX(tbl_tampas[Pct_PCR],MATCH(A507,tbl_tampas[CapId],0)),INDEX(tbl_recyclass[Pct_PCR_Corpo],MATCH(A507,tbl_recyclass[ProductId],0))),0)</f>
        <v>0</v>
      </c>
      <c r="J507" s="32">
        <f t="shared" si="22"/>
        <v>0</v>
      </c>
      <c r="K507" s="32">
        <f t="shared" si="23"/>
        <v>369.90750000000003</v>
      </c>
      <c r="L507" s="43">
        <f>IF(C507="ES",K507*INDEX(tbl_param_emb[Valor],MATCH("P-01",tbl_param_emb[ID_Parametro],0)),0)</f>
        <v>0</v>
      </c>
      <c r="M507" s="33" t="str">
        <f>IF(B507="Tampa","Componente",IFERROR(INDEX(tbl_recyclass[Grau_PPWR_Indicativo],MATCH(A507,tbl_recyclass[ProductId],0)),""))</f>
        <v>Componente</v>
      </c>
    </row>
    <row r="508" spans="1:13" ht="16.05" customHeight="1" x14ac:dyDescent="0.3">
      <c r="A508" s="26" t="s">
        <v>465</v>
      </c>
      <c r="B508" s="26" t="s">
        <v>931</v>
      </c>
      <c r="C508" s="26" t="s">
        <v>1480</v>
      </c>
      <c r="D508" s="26" t="s">
        <v>1481</v>
      </c>
      <c r="E508" s="39">
        <v>1</v>
      </c>
      <c r="F508" s="37">
        <v>36049</v>
      </c>
      <c r="G508" s="38">
        <f>IFERROR(IF(B508="Tampa",INDEX(tbl_tampas[Massa_g],MATCH(A508,tbl_tampas[CapId],0)),INDEX(tbl_recyclass[Massa_Corpo_g],MATCH(A508,tbl_recyclass[ProductId],0))),0)</f>
        <v>15.5</v>
      </c>
      <c r="H508" s="32">
        <f t="shared" si="21"/>
        <v>558.7595</v>
      </c>
      <c r="I508" s="36">
        <f>IFERROR(IF(B508="Tampa",INDEX(tbl_tampas[Pct_PCR],MATCH(A508,tbl_tampas[CapId],0)),INDEX(tbl_recyclass[Pct_PCR_Corpo],MATCH(A508,tbl_recyclass[ProductId],0))),0)</f>
        <v>0</v>
      </c>
      <c r="J508" s="32">
        <f t="shared" si="22"/>
        <v>0</v>
      </c>
      <c r="K508" s="32">
        <f t="shared" si="23"/>
        <v>558.7595</v>
      </c>
      <c r="L508" s="43">
        <f>IF(C508="ES",K508*INDEX(tbl_param_emb[Valor],MATCH("P-01",tbl_param_emb[ID_Parametro],0)),0)</f>
        <v>0</v>
      </c>
      <c r="M508" s="33" t="str">
        <f>IF(B508="Tampa","Componente",IFERROR(INDEX(tbl_recyclass[Grau_PPWR_Indicativo],MATCH(A508,tbl_recyclass[ProductId],0)),""))</f>
        <v>Componente</v>
      </c>
    </row>
    <row r="509" spans="1:13" ht="16.05" customHeight="1" x14ac:dyDescent="0.3">
      <c r="A509" s="26" t="s">
        <v>465</v>
      </c>
      <c r="B509" s="26" t="s">
        <v>931</v>
      </c>
      <c r="C509" s="26" t="s">
        <v>847</v>
      </c>
      <c r="D509" s="26" t="s">
        <v>1471</v>
      </c>
      <c r="E509" s="39">
        <v>8</v>
      </c>
      <c r="F509" s="37">
        <v>251335</v>
      </c>
      <c r="G509" s="38">
        <f>IFERROR(IF(B509="Tampa",INDEX(tbl_tampas[Massa_g],MATCH(A509,tbl_tampas[CapId],0)),INDEX(tbl_recyclass[Massa_Corpo_g],MATCH(A509,tbl_recyclass[ProductId],0))),0)</f>
        <v>15.5</v>
      </c>
      <c r="H509" s="32">
        <f t="shared" si="21"/>
        <v>3895.6925000000001</v>
      </c>
      <c r="I509" s="36">
        <f>IFERROR(IF(B509="Tampa",INDEX(tbl_tampas[Pct_PCR],MATCH(A509,tbl_tampas[CapId],0)),INDEX(tbl_recyclass[Pct_PCR_Corpo],MATCH(A509,tbl_recyclass[ProductId],0))),0)</f>
        <v>0</v>
      </c>
      <c r="J509" s="32">
        <f t="shared" si="22"/>
        <v>0</v>
      </c>
      <c r="K509" s="32">
        <f t="shared" si="23"/>
        <v>3895.6925000000001</v>
      </c>
      <c r="L509" s="43">
        <f>IF(C509="ES",K509*INDEX(tbl_param_emb[Valor],MATCH("P-01",tbl_param_emb[ID_Parametro],0)),0)</f>
        <v>0</v>
      </c>
      <c r="M509" s="33" t="str">
        <f>IF(B509="Tampa","Componente",IFERROR(INDEX(tbl_recyclass[Grau_PPWR_Indicativo],MATCH(A509,tbl_recyclass[ProductId],0)),""))</f>
        <v>Componente</v>
      </c>
    </row>
    <row r="510" spans="1:13" ht="16.05" customHeight="1" x14ac:dyDescent="0.3">
      <c r="A510" s="26" t="s">
        <v>465</v>
      </c>
      <c r="B510" s="26" t="s">
        <v>931</v>
      </c>
      <c r="C510" s="26" t="s">
        <v>1474</v>
      </c>
      <c r="D510" s="26" t="s">
        <v>1475</v>
      </c>
      <c r="E510" s="39">
        <v>2</v>
      </c>
      <c r="F510" s="37">
        <v>54724</v>
      </c>
      <c r="G510" s="38">
        <f>IFERROR(IF(B510="Tampa",INDEX(tbl_tampas[Massa_g],MATCH(A510,tbl_tampas[CapId],0)),INDEX(tbl_recyclass[Massa_Corpo_g],MATCH(A510,tbl_recyclass[ProductId],0))),0)</f>
        <v>15.5</v>
      </c>
      <c r="H510" s="32">
        <f t="shared" si="21"/>
        <v>848.22199999999998</v>
      </c>
      <c r="I510" s="36">
        <f>IFERROR(IF(B510="Tampa",INDEX(tbl_tampas[Pct_PCR],MATCH(A510,tbl_tampas[CapId],0)),INDEX(tbl_recyclass[Pct_PCR_Corpo],MATCH(A510,tbl_recyclass[ProductId],0))),0)</f>
        <v>0</v>
      </c>
      <c r="J510" s="32">
        <f t="shared" si="22"/>
        <v>0</v>
      </c>
      <c r="K510" s="32">
        <f t="shared" si="23"/>
        <v>848.22199999999998</v>
      </c>
      <c r="L510" s="43">
        <f>IF(C510="ES",K510*INDEX(tbl_param_emb[Valor],MATCH("P-01",tbl_param_emb[ID_Parametro],0)),0)</f>
        <v>381.69990000000001</v>
      </c>
      <c r="M510" s="33" t="str">
        <f>IF(B510="Tampa","Componente",IFERROR(INDEX(tbl_recyclass[Grau_PPWR_Indicativo],MATCH(A510,tbl_recyclass[ProductId],0)),""))</f>
        <v>Componente</v>
      </c>
    </row>
    <row r="511" spans="1:13" ht="16.05" customHeight="1" x14ac:dyDescent="0.3">
      <c r="A511" s="26" t="s">
        <v>460</v>
      </c>
      <c r="B511" s="26" t="s">
        <v>931</v>
      </c>
      <c r="C511" s="26" t="s">
        <v>1476</v>
      </c>
      <c r="D511" s="26" t="s">
        <v>1477</v>
      </c>
      <c r="E511" s="39">
        <v>1</v>
      </c>
      <c r="F511" s="37">
        <v>25773</v>
      </c>
      <c r="G511" s="38">
        <f>IFERROR(IF(B511="Tampa",INDEX(tbl_tampas[Massa_g],MATCH(A511,tbl_tampas[CapId],0)),INDEX(tbl_recyclass[Massa_Corpo_g],MATCH(A511,tbl_recyclass[ProductId],0))),0)</f>
        <v>13.9</v>
      </c>
      <c r="H511" s="32">
        <f t="shared" si="21"/>
        <v>358.24470000000002</v>
      </c>
      <c r="I511" s="36">
        <f>IFERROR(IF(B511="Tampa",INDEX(tbl_tampas[Pct_PCR],MATCH(A511,tbl_tampas[CapId],0)),INDEX(tbl_recyclass[Pct_PCR_Corpo],MATCH(A511,tbl_recyclass[ProductId],0))),0)</f>
        <v>0</v>
      </c>
      <c r="J511" s="32">
        <f t="shared" si="22"/>
        <v>0</v>
      </c>
      <c r="K511" s="32">
        <f t="shared" si="23"/>
        <v>358.24470000000002</v>
      </c>
      <c r="L511" s="43">
        <f>IF(C511="ES",K511*INDEX(tbl_param_emb[Valor],MATCH("P-01",tbl_param_emb[ID_Parametro],0)),0)</f>
        <v>0</v>
      </c>
      <c r="M511" s="33" t="str">
        <f>IF(B511="Tampa","Componente",IFERROR(INDEX(tbl_recyclass[Grau_PPWR_Indicativo],MATCH(A511,tbl_recyclass[ProductId],0)),""))</f>
        <v>Componente</v>
      </c>
    </row>
    <row r="512" spans="1:13" ht="16.05" customHeight="1" x14ac:dyDescent="0.3">
      <c r="A512" s="26" t="s">
        <v>460</v>
      </c>
      <c r="B512" s="26" t="s">
        <v>931</v>
      </c>
      <c r="C512" s="26" t="s">
        <v>1472</v>
      </c>
      <c r="D512" s="26" t="s">
        <v>1473</v>
      </c>
      <c r="E512" s="39">
        <v>1</v>
      </c>
      <c r="F512" s="37">
        <v>19214</v>
      </c>
      <c r="G512" s="38">
        <f>IFERROR(IF(B512="Tampa",INDEX(tbl_tampas[Massa_g],MATCH(A512,tbl_tampas[CapId],0)),INDEX(tbl_recyclass[Massa_Corpo_g],MATCH(A512,tbl_recyclass[ProductId],0))),0)</f>
        <v>13.9</v>
      </c>
      <c r="H512" s="32">
        <f t="shared" si="21"/>
        <v>267.07460000000003</v>
      </c>
      <c r="I512" s="36">
        <f>IFERROR(IF(B512="Tampa",INDEX(tbl_tampas[Pct_PCR],MATCH(A512,tbl_tampas[CapId],0)),INDEX(tbl_recyclass[Pct_PCR_Corpo],MATCH(A512,tbl_recyclass[ProductId],0))),0)</f>
        <v>0</v>
      </c>
      <c r="J512" s="32">
        <f t="shared" si="22"/>
        <v>0</v>
      </c>
      <c r="K512" s="32">
        <f t="shared" si="23"/>
        <v>267.07460000000003</v>
      </c>
      <c r="L512" s="43">
        <f>IF(C512="ES",K512*INDEX(tbl_param_emb[Valor],MATCH("P-01",tbl_param_emb[ID_Parametro],0)),0)</f>
        <v>0</v>
      </c>
      <c r="M512" s="33" t="str">
        <f>IF(B512="Tampa","Componente",IFERROR(INDEX(tbl_recyclass[Grau_PPWR_Indicativo],MATCH(A512,tbl_recyclass[ProductId],0)),""))</f>
        <v>Componente</v>
      </c>
    </row>
    <row r="513" spans="1:13" ht="16.05" customHeight="1" x14ac:dyDescent="0.3">
      <c r="A513" s="26" t="s">
        <v>460</v>
      </c>
      <c r="B513" s="26" t="s">
        <v>931</v>
      </c>
      <c r="C513" s="26" t="s">
        <v>1478</v>
      </c>
      <c r="D513" s="26" t="s">
        <v>1479</v>
      </c>
      <c r="E513" s="39">
        <v>1</v>
      </c>
      <c r="F513" s="37">
        <v>17884</v>
      </c>
      <c r="G513" s="38">
        <f>IFERROR(IF(B513="Tampa",INDEX(tbl_tampas[Massa_g],MATCH(A513,tbl_tampas[CapId],0)),INDEX(tbl_recyclass[Massa_Corpo_g],MATCH(A513,tbl_recyclass[ProductId],0))),0)</f>
        <v>13.9</v>
      </c>
      <c r="H513" s="32">
        <f t="shared" si="21"/>
        <v>248.58760000000001</v>
      </c>
      <c r="I513" s="36">
        <f>IFERROR(IF(B513="Tampa",INDEX(tbl_tampas[Pct_PCR],MATCH(A513,tbl_tampas[CapId],0)),INDEX(tbl_recyclass[Pct_PCR_Corpo],MATCH(A513,tbl_recyclass[ProductId],0))),0)</f>
        <v>0</v>
      </c>
      <c r="J513" s="32">
        <f t="shared" si="22"/>
        <v>0</v>
      </c>
      <c r="K513" s="32">
        <f t="shared" si="23"/>
        <v>248.58760000000001</v>
      </c>
      <c r="L513" s="43">
        <f>IF(C513="ES",K513*INDEX(tbl_param_emb[Valor],MATCH("P-01",tbl_param_emb[ID_Parametro],0)),0)</f>
        <v>0</v>
      </c>
      <c r="M513" s="33" t="str">
        <f>IF(B513="Tampa","Componente",IFERROR(INDEX(tbl_recyclass[Grau_PPWR_Indicativo],MATCH(A513,tbl_recyclass[ProductId],0)),""))</f>
        <v>Componente</v>
      </c>
    </row>
    <row r="514" spans="1:13" ht="16.05" customHeight="1" x14ac:dyDescent="0.3">
      <c r="A514" s="26" t="s">
        <v>460</v>
      </c>
      <c r="B514" s="26" t="s">
        <v>931</v>
      </c>
      <c r="C514" s="26" t="s">
        <v>1480</v>
      </c>
      <c r="D514" s="26" t="s">
        <v>1481</v>
      </c>
      <c r="E514" s="39">
        <v>1</v>
      </c>
      <c r="F514" s="37">
        <v>10702</v>
      </c>
      <c r="G514" s="38">
        <f>IFERROR(IF(B514="Tampa",INDEX(tbl_tampas[Massa_g],MATCH(A514,tbl_tampas[CapId],0)),INDEX(tbl_recyclass[Massa_Corpo_g],MATCH(A514,tbl_recyclass[ProductId],0))),0)</f>
        <v>13.9</v>
      </c>
      <c r="H514" s="32">
        <f t="shared" ref="H514:H577" si="24">F514*G514/1000</f>
        <v>148.75780000000003</v>
      </c>
      <c r="I514" s="36">
        <f>IFERROR(IF(B514="Tampa",INDEX(tbl_tampas[Pct_PCR],MATCH(A514,tbl_tampas[CapId],0)),INDEX(tbl_recyclass[Pct_PCR_Corpo],MATCH(A514,tbl_recyclass[ProductId],0))),0)</f>
        <v>0</v>
      </c>
      <c r="J514" s="32">
        <f t="shared" ref="J514:J577" si="25">H514*I514</f>
        <v>0</v>
      </c>
      <c r="K514" s="32">
        <f t="shared" ref="K514:K577" si="26">H514-J514</f>
        <v>148.75780000000003</v>
      </c>
      <c r="L514" s="43">
        <f>IF(C514="ES",K514*INDEX(tbl_param_emb[Valor],MATCH("P-01",tbl_param_emb[ID_Parametro],0)),0)</f>
        <v>0</v>
      </c>
      <c r="M514" s="33" t="str">
        <f>IF(B514="Tampa","Componente",IFERROR(INDEX(tbl_recyclass[Grau_PPWR_Indicativo],MATCH(A514,tbl_recyclass[ProductId],0)),""))</f>
        <v>Componente</v>
      </c>
    </row>
    <row r="515" spans="1:13" ht="16.05" customHeight="1" x14ac:dyDescent="0.3">
      <c r="A515" s="26" t="s">
        <v>460</v>
      </c>
      <c r="B515" s="26" t="s">
        <v>931</v>
      </c>
      <c r="C515" s="26" t="s">
        <v>847</v>
      </c>
      <c r="D515" s="26" t="s">
        <v>1471</v>
      </c>
      <c r="E515" s="39">
        <v>8</v>
      </c>
      <c r="F515" s="37">
        <v>280188</v>
      </c>
      <c r="G515" s="38">
        <f>IFERROR(IF(B515="Tampa",INDEX(tbl_tampas[Massa_g],MATCH(A515,tbl_tampas[CapId],0)),INDEX(tbl_recyclass[Massa_Corpo_g],MATCH(A515,tbl_recyclass[ProductId],0))),0)</f>
        <v>13.9</v>
      </c>
      <c r="H515" s="32">
        <f t="shared" si="24"/>
        <v>3894.6132000000002</v>
      </c>
      <c r="I515" s="36">
        <f>IFERROR(IF(B515="Tampa",INDEX(tbl_tampas[Pct_PCR],MATCH(A515,tbl_tampas[CapId],0)),INDEX(tbl_recyclass[Pct_PCR_Corpo],MATCH(A515,tbl_recyclass[ProductId],0))),0)</f>
        <v>0</v>
      </c>
      <c r="J515" s="32">
        <f t="shared" si="25"/>
        <v>0</v>
      </c>
      <c r="K515" s="32">
        <f t="shared" si="26"/>
        <v>3894.6132000000002</v>
      </c>
      <c r="L515" s="43">
        <f>IF(C515="ES",K515*INDEX(tbl_param_emb[Valor],MATCH("P-01",tbl_param_emb[ID_Parametro],0)),0)</f>
        <v>0</v>
      </c>
      <c r="M515" s="33" t="str">
        <f>IF(B515="Tampa","Componente",IFERROR(INDEX(tbl_recyclass[Grau_PPWR_Indicativo],MATCH(A515,tbl_recyclass[ProductId],0)),""))</f>
        <v>Componente</v>
      </c>
    </row>
    <row r="516" spans="1:13" ht="16.05" customHeight="1" x14ac:dyDescent="0.3">
      <c r="A516" s="26" t="s">
        <v>460</v>
      </c>
      <c r="B516" s="26" t="s">
        <v>931</v>
      </c>
      <c r="C516" s="26" t="s">
        <v>1474</v>
      </c>
      <c r="D516" s="26" t="s">
        <v>1475</v>
      </c>
      <c r="E516" s="39">
        <v>2</v>
      </c>
      <c r="F516" s="37">
        <v>52345</v>
      </c>
      <c r="G516" s="38">
        <f>IFERROR(IF(B516="Tampa",INDEX(tbl_tampas[Massa_g],MATCH(A516,tbl_tampas[CapId],0)),INDEX(tbl_recyclass[Massa_Corpo_g],MATCH(A516,tbl_recyclass[ProductId],0))),0)</f>
        <v>13.9</v>
      </c>
      <c r="H516" s="32">
        <f t="shared" si="24"/>
        <v>727.59550000000002</v>
      </c>
      <c r="I516" s="36">
        <f>IFERROR(IF(B516="Tampa",INDEX(tbl_tampas[Pct_PCR],MATCH(A516,tbl_tampas[CapId],0)),INDEX(tbl_recyclass[Pct_PCR_Corpo],MATCH(A516,tbl_recyclass[ProductId],0))),0)</f>
        <v>0</v>
      </c>
      <c r="J516" s="32">
        <f t="shared" si="25"/>
        <v>0</v>
      </c>
      <c r="K516" s="32">
        <f t="shared" si="26"/>
        <v>727.59550000000002</v>
      </c>
      <c r="L516" s="43">
        <f>IF(C516="ES",K516*INDEX(tbl_param_emb[Valor],MATCH("P-01",tbl_param_emb[ID_Parametro],0)),0)</f>
        <v>327.41797500000001</v>
      </c>
      <c r="M516" s="33" t="str">
        <f>IF(B516="Tampa","Componente",IFERROR(INDEX(tbl_recyclass[Grau_PPWR_Indicativo],MATCH(A516,tbl_recyclass[ProductId],0)),""))</f>
        <v>Componente</v>
      </c>
    </row>
    <row r="517" spans="1:13" ht="16.05" customHeight="1" x14ac:dyDescent="0.3">
      <c r="A517" s="26" t="s">
        <v>463</v>
      </c>
      <c r="B517" s="26" t="s">
        <v>931</v>
      </c>
      <c r="C517" s="26" t="s">
        <v>1476</v>
      </c>
      <c r="D517" s="26" t="s">
        <v>1477</v>
      </c>
      <c r="E517" s="39">
        <v>1</v>
      </c>
      <c r="F517" s="37">
        <v>17880</v>
      </c>
      <c r="G517" s="38">
        <f>IFERROR(IF(B517="Tampa",INDEX(tbl_tampas[Massa_g],MATCH(A517,tbl_tampas[CapId],0)),INDEX(tbl_recyclass[Massa_Corpo_g],MATCH(A517,tbl_recyclass[ProductId],0))),0)</f>
        <v>13.9</v>
      </c>
      <c r="H517" s="32">
        <f t="shared" si="24"/>
        <v>248.53200000000001</v>
      </c>
      <c r="I517" s="36">
        <f>IFERROR(IF(B517="Tampa",INDEX(tbl_tampas[Pct_PCR],MATCH(A517,tbl_tampas[CapId],0)),INDEX(tbl_recyclass[Pct_PCR_Corpo],MATCH(A517,tbl_recyclass[ProductId],0))),0)</f>
        <v>0.3</v>
      </c>
      <c r="J517" s="32">
        <f t="shared" si="25"/>
        <v>74.559600000000003</v>
      </c>
      <c r="K517" s="32">
        <f t="shared" si="26"/>
        <v>173.97239999999999</v>
      </c>
      <c r="L517" s="43">
        <f>IF(C517="ES",K517*INDEX(tbl_param_emb[Valor],MATCH("P-01",tbl_param_emb[ID_Parametro],0)),0)</f>
        <v>0</v>
      </c>
      <c r="M517" s="33" t="str">
        <f>IF(B517="Tampa","Componente",IFERROR(INDEX(tbl_recyclass[Grau_PPWR_Indicativo],MATCH(A517,tbl_recyclass[ProductId],0)),""))</f>
        <v>Componente</v>
      </c>
    </row>
    <row r="518" spans="1:13" ht="16.05" customHeight="1" x14ac:dyDescent="0.3">
      <c r="A518" s="26" t="s">
        <v>463</v>
      </c>
      <c r="B518" s="26" t="s">
        <v>931</v>
      </c>
      <c r="C518" s="26" t="s">
        <v>1472</v>
      </c>
      <c r="D518" s="26" t="s">
        <v>1473</v>
      </c>
      <c r="E518" s="39">
        <v>1</v>
      </c>
      <c r="F518" s="37">
        <v>18442</v>
      </c>
      <c r="G518" s="38">
        <f>IFERROR(IF(B518="Tampa",INDEX(tbl_tampas[Massa_g],MATCH(A518,tbl_tampas[CapId],0)),INDEX(tbl_recyclass[Massa_Corpo_g],MATCH(A518,tbl_recyclass[ProductId],0))),0)</f>
        <v>13.9</v>
      </c>
      <c r="H518" s="32">
        <f t="shared" si="24"/>
        <v>256.34380000000004</v>
      </c>
      <c r="I518" s="36">
        <f>IFERROR(IF(B518="Tampa",INDEX(tbl_tampas[Pct_PCR],MATCH(A518,tbl_tampas[CapId],0)),INDEX(tbl_recyclass[Pct_PCR_Corpo],MATCH(A518,tbl_recyclass[ProductId],0))),0)</f>
        <v>0.3</v>
      </c>
      <c r="J518" s="32">
        <f t="shared" si="25"/>
        <v>76.903140000000008</v>
      </c>
      <c r="K518" s="32">
        <f t="shared" si="26"/>
        <v>179.44066000000004</v>
      </c>
      <c r="L518" s="43">
        <f>IF(C518="ES",K518*INDEX(tbl_param_emb[Valor],MATCH("P-01",tbl_param_emb[ID_Parametro],0)),0)</f>
        <v>0</v>
      </c>
      <c r="M518" s="33" t="str">
        <f>IF(B518="Tampa","Componente",IFERROR(INDEX(tbl_recyclass[Grau_PPWR_Indicativo],MATCH(A518,tbl_recyclass[ProductId],0)),""))</f>
        <v>Componente</v>
      </c>
    </row>
    <row r="519" spans="1:13" ht="16.05" customHeight="1" x14ac:dyDescent="0.3">
      <c r="A519" s="26" t="s">
        <v>463</v>
      </c>
      <c r="B519" s="26" t="s">
        <v>931</v>
      </c>
      <c r="C519" s="26" t="s">
        <v>1478</v>
      </c>
      <c r="D519" s="26" t="s">
        <v>1479</v>
      </c>
      <c r="E519" s="39">
        <v>1</v>
      </c>
      <c r="F519" s="37">
        <v>18466</v>
      </c>
      <c r="G519" s="38">
        <f>IFERROR(IF(B519="Tampa",INDEX(tbl_tampas[Massa_g],MATCH(A519,tbl_tampas[CapId],0)),INDEX(tbl_recyclass[Massa_Corpo_g],MATCH(A519,tbl_recyclass[ProductId],0))),0)</f>
        <v>13.9</v>
      </c>
      <c r="H519" s="32">
        <f t="shared" si="24"/>
        <v>256.67739999999998</v>
      </c>
      <c r="I519" s="36">
        <f>IFERROR(IF(B519="Tampa",INDEX(tbl_tampas[Pct_PCR],MATCH(A519,tbl_tampas[CapId],0)),INDEX(tbl_recyclass[Pct_PCR_Corpo],MATCH(A519,tbl_recyclass[ProductId],0))),0)</f>
        <v>0.3</v>
      </c>
      <c r="J519" s="32">
        <f t="shared" si="25"/>
        <v>77.003219999999985</v>
      </c>
      <c r="K519" s="32">
        <f t="shared" si="26"/>
        <v>179.67417999999998</v>
      </c>
      <c r="L519" s="43">
        <f>IF(C519="ES",K519*INDEX(tbl_param_emb[Valor],MATCH("P-01",tbl_param_emb[ID_Parametro],0)),0)</f>
        <v>0</v>
      </c>
      <c r="M519" s="33" t="str">
        <f>IF(B519="Tampa","Componente",IFERROR(INDEX(tbl_recyclass[Grau_PPWR_Indicativo],MATCH(A519,tbl_recyclass[ProductId],0)),""))</f>
        <v>Componente</v>
      </c>
    </row>
    <row r="520" spans="1:13" ht="16.05" customHeight="1" x14ac:dyDescent="0.3">
      <c r="A520" s="26" t="s">
        <v>463</v>
      </c>
      <c r="B520" s="26" t="s">
        <v>931</v>
      </c>
      <c r="C520" s="26" t="s">
        <v>1480</v>
      </c>
      <c r="D520" s="26" t="s">
        <v>1481</v>
      </c>
      <c r="E520" s="39">
        <v>1</v>
      </c>
      <c r="F520" s="37">
        <v>51387</v>
      </c>
      <c r="G520" s="38">
        <f>IFERROR(IF(B520="Tampa",INDEX(tbl_tampas[Massa_g],MATCH(A520,tbl_tampas[CapId],0)),INDEX(tbl_recyclass[Massa_Corpo_g],MATCH(A520,tbl_recyclass[ProductId],0))),0)</f>
        <v>13.9</v>
      </c>
      <c r="H520" s="32">
        <f t="shared" si="24"/>
        <v>714.27930000000003</v>
      </c>
      <c r="I520" s="36">
        <f>IFERROR(IF(B520="Tampa",INDEX(tbl_tampas[Pct_PCR],MATCH(A520,tbl_tampas[CapId],0)),INDEX(tbl_recyclass[Pct_PCR_Corpo],MATCH(A520,tbl_recyclass[ProductId],0))),0)</f>
        <v>0.3</v>
      </c>
      <c r="J520" s="32">
        <f t="shared" si="25"/>
        <v>214.28379000000001</v>
      </c>
      <c r="K520" s="32">
        <f t="shared" si="26"/>
        <v>499.99551000000002</v>
      </c>
      <c r="L520" s="43">
        <f>IF(C520="ES",K520*INDEX(tbl_param_emb[Valor],MATCH("P-01",tbl_param_emb[ID_Parametro],0)),0)</f>
        <v>0</v>
      </c>
      <c r="M520" s="33" t="str">
        <f>IF(B520="Tampa","Componente",IFERROR(INDEX(tbl_recyclass[Grau_PPWR_Indicativo],MATCH(A520,tbl_recyclass[ProductId],0)),""))</f>
        <v>Componente</v>
      </c>
    </row>
    <row r="521" spans="1:13" ht="16.05" customHeight="1" x14ac:dyDescent="0.3">
      <c r="A521" s="26" t="s">
        <v>463</v>
      </c>
      <c r="B521" s="26" t="s">
        <v>931</v>
      </c>
      <c r="C521" s="26" t="s">
        <v>847</v>
      </c>
      <c r="D521" s="26" t="s">
        <v>1471</v>
      </c>
      <c r="E521" s="39">
        <v>8</v>
      </c>
      <c r="F521" s="37">
        <v>243290</v>
      </c>
      <c r="G521" s="38">
        <f>IFERROR(IF(B521="Tampa",INDEX(tbl_tampas[Massa_g],MATCH(A521,tbl_tampas[CapId],0)),INDEX(tbl_recyclass[Massa_Corpo_g],MATCH(A521,tbl_recyclass[ProductId],0))),0)</f>
        <v>13.9</v>
      </c>
      <c r="H521" s="32">
        <f t="shared" si="24"/>
        <v>3381.7310000000002</v>
      </c>
      <c r="I521" s="36">
        <f>IFERROR(IF(B521="Tampa",INDEX(tbl_tampas[Pct_PCR],MATCH(A521,tbl_tampas[CapId],0)),INDEX(tbl_recyclass[Pct_PCR_Corpo],MATCH(A521,tbl_recyclass[ProductId],0))),0)</f>
        <v>0.3</v>
      </c>
      <c r="J521" s="32">
        <f t="shared" si="25"/>
        <v>1014.5193</v>
      </c>
      <c r="K521" s="32">
        <f t="shared" si="26"/>
        <v>2367.2117000000003</v>
      </c>
      <c r="L521" s="43">
        <f>IF(C521="ES",K521*INDEX(tbl_param_emb[Valor],MATCH("P-01",tbl_param_emb[ID_Parametro],0)),0)</f>
        <v>0</v>
      </c>
      <c r="M521" s="33" t="str">
        <f>IF(B521="Tampa","Componente",IFERROR(INDEX(tbl_recyclass[Grau_PPWR_Indicativo],MATCH(A521,tbl_recyclass[ProductId],0)),""))</f>
        <v>Componente</v>
      </c>
    </row>
    <row r="522" spans="1:13" ht="16.05" customHeight="1" x14ac:dyDescent="0.3">
      <c r="A522" s="26" t="s">
        <v>463</v>
      </c>
      <c r="B522" s="26" t="s">
        <v>931</v>
      </c>
      <c r="C522" s="26" t="s">
        <v>1474</v>
      </c>
      <c r="D522" s="26" t="s">
        <v>1475</v>
      </c>
      <c r="E522" s="39">
        <v>2</v>
      </c>
      <c r="F522" s="37">
        <v>60892</v>
      </c>
      <c r="G522" s="38">
        <f>IFERROR(IF(B522="Tampa",INDEX(tbl_tampas[Massa_g],MATCH(A522,tbl_tampas[CapId],0)),INDEX(tbl_recyclass[Massa_Corpo_g],MATCH(A522,tbl_recyclass[ProductId],0))),0)</f>
        <v>13.9</v>
      </c>
      <c r="H522" s="32">
        <f t="shared" si="24"/>
        <v>846.39880000000005</v>
      </c>
      <c r="I522" s="36">
        <f>IFERROR(IF(B522="Tampa",INDEX(tbl_tampas[Pct_PCR],MATCH(A522,tbl_tampas[CapId],0)),INDEX(tbl_recyclass[Pct_PCR_Corpo],MATCH(A522,tbl_recyclass[ProductId],0))),0)</f>
        <v>0.3</v>
      </c>
      <c r="J522" s="32">
        <f t="shared" si="25"/>
        <v>253.91964000000002</v>
      </c>
      <c r="K522" s="32">
        <f t="shared" si="26"/>
        <v>592.47916000000009</v>
      </c>
      <c r="L522" s="43">
        <f>IF(C522="ES",K522*INDEX(tbl_param_emb[Valor],MATCH("P-01",tbl_param_emb[ID_Parametro],0)),0)</f>
        <v>266.61562200000003</v>
      </c>
      <c r="M522" s="33" t="str">
        <f>IF(B522="Tampa","Componente",IFERROR(INDEX(tbl_recyclass[Grau_PPWR_Indicativo],MATCH(A522,tbl_recyclass[ProductId],0)),""))</f>
        <v>Componente</v>
      </c>
    </row>
    <row r="523" spans="1:13" ht="16.05" customHeight="1" x14ac:dyDescent="0.3">
      <c r="A523" s="26" t="s">
        <v>471</v>
      </c>
      <c r="B523" s="26" t="s">
        <v>931</v>
      </c>
      <c r="C523" s="26" t="s">
        <v>1476</v>
      </c>
      <c r="D523" s="26" t="s">
        <v>1477</v>
      </c>
      <c r="E523" s="39">
        <v>1</v>
      </c>
      <c r="F523" s="37">
        <v>26947</v>
      </c>
      <c r="G523" s="38">
        <f>IFERROR(IF(B523="Tampa",INDEX(tbl_tampas[Massa_g],MATCH(A523,tbl_tampas[CapId],0)),INDEX(tbl_recyclass[Massa_Corpo_g],MATCH(A523,tbl_recyclass[ProductId],0))),0)</f>
        <v>15.5</v>
      </c>
      <c r="H523" s="32">
        <f t="shared" si="24"/>
        <v>417.67849999999999</v>
      </c>
      <c r="I523" s="36">
        <f>IFERROR(IF(B523="Tampa",INDEX(tbl_tampas[Pct_PCR],MATCH(A523,tbl_tampas[CapId],0)),INDEX(tbl_recyclass[Pct_PCR_Corpo],MATCH(A523,tbl_recyclass[ProductId],0))),0)</f>
        <v>0</v>
      </c>
      <c r="J523" s="32">
        <f t="shared" si="25"/>
        <v>0</v>
      </c>
      <c r="K523" s="32">
        <f t="shared" si="26"/>
        <v>417.67849999999999</v>
      </c>
      <c r="L523" s="43">
        <f>IF(C523="ES",K523*INDEX(tbl_param_emb[Valor],MATCH("P-01",tbl_param_emb[ID_Parametro],0)),0)</f>
        <v>0</v>
      </c>
      <c r="M523" s="33" t="str">
        <f>IF(B523="Tampa","Componente",IFERROR(INDEX(tbl_recyclass[Grau_PPWR_Indicativo],MATCH(A523,tbl_recyclass[ProductId],0)),""))</f>
        <v>Componente</v>
      </c>
    </row>
    <row r="524" spans="1:13" ht="16.05" customHeight="1" x14ac:dyDescent="0.3">
      <c r="A524" s="26" t="s">
        <v>471</v>
      </c>
      <c r="B524" s="26" t="s">
        <v>931</v>
      </c>
      <c r="C524" s="26" t="s">
        <v>1472</v>
      </c>
      <c r="D524" s="26" t="s">
        <v>1473</v>
      </c>
      <c r="E524" s="39">
        <v>1</v>
      </c>
      <c r="F524" s="37">
        <v>16233</v>
      </c>
      <c r="G524" s="38">
        <f>IFERROR(IF(B524="Tampa",INDEX(tbl_tampas[Massa_g],MATCH(A524,tbl_tampas[CapId],0)),INDEX(tbl_recyclass[Massa_Corpo_g],MATCH(A524,tbl_recyclass[ProductId],0))),0)</f>
        <v>15.5</v>
      </c>
      <c r="H524" s="32">
        <f t="shared" si="24"/>
        <v>251.61150000000001</v>
      </c>
      <c r="I524" s="36">
        <f>IFERROR(IF(B524="Tampa",INDEX(tbl_tampas[Pct_PCR],MATCH(A524,tbl_tampas[CapId],0)),INDEX(tbl_recyclass[Pct_PCR_Corpo],MATCH(A524,tbl_recyclass[ProductId],0))),0)</f>
        <v>0</v>
      </c>
      <c r="J524" s="32">
        <f t="shared" si="25"/>
        <v>0</v>
      </c>
      <c r="K524" s="32">
        <f t="shared" si="26"/>
        <v>251.61150000000001</v>
      </c>
      <c r="L524" s="43">
        <f>IF(C524="ES",K524*INDEX(tbl_param_emb[Valor],MATCH("P-01",tbl_param_emb[ID_Parametro],0)),0)</f>
        <v>0</v>
      </c>
      <c r="M524" s="33" t="str">
        <f>IF(B524="Tampa","Componente",IFERROR(INDEX(tbl_recyclass[Grau_PPWR_Indicativo],MATCH(A524,tbl_recyclass[ProductId],0)),""))</f>
        <v>Componente</v>
      </c>
    </row>
    <row r="525" spans="1:13" ht="16.05" customHeight="1" x14ac:dyDescent="0.3">
      <c r="A525" s="26" t="s">
        <v>471</v>
      </c>
      <c r="B525" s="26" t="s">
        <v>931</v>
      </c>
      <c r="C525" s="26" t="s">
        <v>1478</v>
      </c>
      <c r="D525" s="26" t="s">
        <v>1479</v>
      </c>
      <c r="E525" s="39">
        <v>1</v>
      </c>
      <c r="F525" s="37">
        <v>8101</v>
      </c>
      <c r="G525" s="38">
        <f>IFERROR(IF(B525="Tampa",INDEX(tbl_tampas[Massa_g],MATCH(A525,tbl_tampas[CapId],0)),INDEX(tbl_recyclass[Massa_Corpo_g],MATCH(A525,tbl_recyclass[ProductId],0))),0)</f>
        <v>15.5</v>
      </c>
      <c r="H525" s="32">
        <f t="shared" si="24"/>
        <v>125.5655</v>
      </c>
      <c r="I525" s="36">
        <f>IFERROR(IF(B525="Tampa",INDEX(tbl_tampas[Pct_PCR],MATCH(A525,tbl_tampas[CapId],0)),INDEX(tbl_recyclass[Pct_PCR_Corpo],MATCH(A525,tbl_recyclass[ProductId],0))),0)</f>
        <v>0</v>
      </c>
      <c r="J525" s="32">
        <f t="shared" si="25"/>
        <v>0</v>
      </c>
      <c r="K525" s="32">
        <f t="shared" si="26"/>
        <v>125.5655</v>
      </c>
      <c r="L525" s="43">
        <f>IF(C525="ES",K525*INDEX(tbl_param_emb[Valor],MATCH("P-01",tbl_param_emb[ID_Parametro],0)),0)</f>
        <v>0</v>
      </c>
      <c r="M525" s="33" t="str">
        <f>IF(B525="Tampa","Componente",IFERROR(INDEX(tbl_recyclass[Grau_PPWR_Indicativo],MATCH(A525,tbl_recyclass[ProductId],0)),""))</f>
        <v>Componente</v>
      </c>
    </row>
    <row r="526" spans="1:13" ht="16.05" customHeight="1" x14ac:dyDescent="0.3">
      <c r="A526" s="26" t="s">
        <v>471</v>
      </c>
      <c r="B526" s="26" t="s">
        <v>931</v>
      </c>
      <c r="C526" s="26" t="s">
        <v>1480</v>
      </c>
      <c r="D526" s="26" t="s">
        <v>1481</v>
      </c>
      <c r="E526" s="39">
        <v>1</v>
      </c>
      <c r="F526" s="37">
        <v>5530</v>
      </c>
      <c r="G526" s="38">
        <f>IFERROR(IF(B526="Tampa",INDEX(tbl_tampas[Massa_g],MATCH(A526,tbl_tampas[CapId],0)),INDEX(tbl_recyclass[Massa_Corpo_g],MATCH(A526,tbl_recyclass[ProductId],0))),0)</f>
        <v>15.5</v>
      </c>
      <c r="H526" s="32">
        <f t="shared" si="24"/>
        <v>85.715000000000003</v>
      </c>
      <c r="I526" s="36">
        <f>IFERROR(IF(B526="Tampa",INDEX(tbl_tampas[Pct_PCR],MATCH(A526,tbl_tampas[CapId],0)),INDEX(tbl_recyclass[Pct_PCR_Corpo],MATCH(A526,tbl_recyclass[ProductId],0))),0)</f>
        <v>0</v>
      </c>
      <c r="J526" s="32">
        <f t="shared" si="25"/>
        <v>0</v>
      </c>
      <c r="K526" s="32">
        <f t="shared" si="26"/>
        <v>85.715000000000003</v>
      </c>
      <c r="L526" s="43">
        <f>IF(C526="ES",K526*INDEX(tbl_param_emb[Valor],MATCH("P-01",tbl_param_emb[ID_Parametro],0)),0)</f>
        <v>0</v>
      </c>
      <c r="M526" s="33" t="str">
        <f>IF(B526="Tampa","Componente",IFERROR(INDEX(tbl_recyclass[Grau_PPWR_Indicativo],MATCH(A526,tbl_recyclass[ProductId],0)),""))</f>
        <v>Componente</v>
      </c>
    </row>
    <row r="527" spans="1:13" ht="16.05" customHeight="1" x14ac:dyDescent="0.3">
      <c r="A527" s="26" t="s">
        <v>471</v>
      </c>
      <c r="B527" s="26" t="s">
        <v>931</v>
      </c>
      <c r="C527" s="26" t="s">
        <v>847</v>
      </c>
      <c r="D527" s="26" t="s">
        <v>1471</v>
      </c>
      <c r="E527" s="39">
        <v>8</v>
      </c>
      <c r="F527" s="37">
        <v>151174</v>
      </c>
      <c r="G527" s="38">
        <f>IFERROR(IF(B527="Tampa",INDEX(tbl_tampas[Massa_g],MATCH(A527,tbl_tampas[CapId],0)),INDEX(tbl_recyclass[Massa_Corpo_g],MATCH(A527,tbl_recyclass[ProductId],0))),0)</f>
        <v>15.5</v>
      </c>
      <c r="H527" s="32">
        <f t="shared" si="24"/>
        <v>2343.1970000000001</v>
      </c>
      <c r="I527" s="36">
        <f>IFERROR(IF(B527="Tampa",INDEX(tbl_tampas[Pct_PCR],MATCH(A527,tbl_tampas[CapId],0)),INDEX(tbl_recyclass[Pct_PCR_Corpo],MATCH(A527,tbl_recyclass[ProductId],0))),0)</f>
        <v>0</v>
      </c>
      <c r="J527" s="32">
        <f t="shared" si="25"/>
        <v>0</v>
      </c>
      <c r="K527" s="32">
        <f t="shared" si="26"/>
        <v>2343.1970000000001</v>
      </c>
      <c r="L527" s="43">
        <f>IF(C527="ES",K527*INDEX(tbl_param_emb[Valor],MATCH("P-01",tbl_param_emb[ID_Parametro],0)),0)</f>
        <v>0</v>
      </c>
      <c r="M527" s="33" t="str">
        <f>IF(B527="Tampa","Componente",IFERROR(INDEX(tbl_recyclass[Grau_PPWR_Indicativo],MATCH(A527,tbl_recyclass[ProductId],0)),""))</f>
        <v>Componente</v>
      </c>
    </row>
    <row r="528" spans="1:13" ht="16.05" customHeight="1" x14ac:dyDescent="0.3">
      <c r="A528" s="26" t="s">
        <v>471</v>
      </c>
      <c r="B528" s="26" t="s">
        <v>931</v>
      </c>
      <c r="C528" s="26" t="s">
        <v>1474</v>
      </c>
      <c r="D528" s="26" t="s">
        <v>1475</v>
      </c>
      <c r="E528" s="39">
        <v>2</v>
      </c>
      <c r="F528" s="37">
        <v>13940</v>
      </c>
      <c r="G528" s="38">
        <f>IFERROR(IF(B528="Tampa",INDEX(tbl_tampas[Massa_g],MATCH(A528,tbl_tampas[CapId],0)),INDEX(tbl_recyclass[Massa_Corpo_g],MATCH(A528,tbl_recyclass[ProductId],0))),0)</f>
        <v>15.5</v>
      </c>
      <c r="H528" s="32">
        <f t="shared" si="24"/>
        <v>216.07</v>
      </c>
      <c r="I528" s="36">
        <f>IFERROR(IF(B528="Tampa",INDEX(tbl_tampas[Pct_PCR],MATCH(A528,tbl_tampas[CapId],0)),INDEX(tbl_recyclass[Pct_PCR_Corpo],MATCH(A528,tbl_recyclass[ProductId],0))),0)</f>
        <v>0</v>
      </c>
      <c r="J528" s="32">
        <f t="shared" si="25"/>
        <v>0</v>
      </c>
      <c r="K528" s="32">
        <f t="shared" si="26"/>
        <v>216.07</v>
      </c>
      <c r="L528" s="43">
        <f>IF(C528="ES",K528*INDEX(tbl_param_emb[Valor],MATCH("P-01",tbl_param_emb[ID_Parametro],0)),0)</f>
        <v>97.231499999999997</v>
      </c>
      <c r="M528" s="33" t="str">
        <f>IF(B528="Tampa","Componente",IFERROR(INDEX(tbl_recyclass[Grau_PPWR_Indicativo],MATCH(A528,tbl_recyclass[ProductId],0)),""))</f>
        <v>Componente</v>
      </c>
    </row>
    <row r="529" spans="1:13" ht="16.05" customHeight="1" x14ac:dyDescent="0.3">
      <c r="A529" s="26" t="s">
        <v>467</v>
      </c>
      <c r="B529" s="26" t="s">
        <v>931</v>
      </c>
      <c r="C529" s="26" t="s">
        <v>1476</v>
      </c>
      <c r="D529" s="26" t="s">
        <v>1477</v>
      </c>
      <c r="E529" s="39">
        <v>1</v>
      </c>
      <c r="F529" s="37">
        <v>4172</v>
      </c>
      <c r="G529" s="38">
        <f>IFERROR(IF(B529="Tampa",INDEX(tbl_tampas[Massa_g],MATCH(A529,tbl_tampas[CapId],0)),INDEX(tbl_recyclass[Massa_Corpo_g],MATCH(A529,tbl_recyclass[ProductId],0))),0)</f>
        <v>13.9</v>
      </c>
      <c r="H529" s="32">
        <f t="shared" si="24"/>
        <v>57.9908</v>
      </c>
      <c r="I529" s="36">
        <f>IFERROR(IF(B529="Tampa",INDEX(tbl_tampas[Pct_PCR],MATCH(A529,tbl_tampas[CapId],0)),INDEX(tbl_recyclass[Pct_PCR_Corpo],MATCH(A529,tbl_recyclass[ProductId],0))),0)</f>
        <v>0</v>
      </c>
      <c r="J529" s="32">
        <f t="shared" si="25"/>
        <v>0</v>
      </c>
      <c r="K529" s="32">
        <f t="shared" si="26"/>
        <v>57.9908</v>
      </c>
      <c r="L529" s="43">
        <f>IF(C529="ES",K529*INDEX(tbl_param_emb[Valor],MATCH("P-01",tbl_param_emb[ID_Parametro],0)),0)</f>
        <v>0</v>
      </c>
      <c r="M529" s="33" t="str">
        <f>IF(B529="Tampa","Componente",IFERROR(INDEX(tbl_recyclass[Grau_PPWR_Indicativo],MATCH(A529,tbl_recyclass[ProductId],0)),""))</f>
        <v>Componente</v>
      </c>
    </row>
    <row r="530" spans="1:13" ht="16.05" customHeight="1" x14ac:dyDescent="0.3">
      <c r="A530" s="26" t="s">
        <v>467</v>
      </c>
      <c r="B530" s="26" t="s">
        <v>931</v>
      </c>
      <c r="C530" s="26" t="s">
        <v>1472</v>
      </c>
      <c r="D530" s="26" t="s">
        <v>1473</v>
      </c>
      <c r="E530" s="39">
        <v>1</v>
      </c>
      <c r="F530" s="37">
        <v>10535</v>
      </c>
      <c r="G530" s="38">
        <f>IFERROR(IF(B530="Tampa",INDEX(tbl_tampas[Massa_g],MATCH(A530,tbl_tampas[CapId],0)),INDEX(tbl_recyclass[Massa_Corpo_g],MATCH(A530,tbl_recyclass[ProductId],0))),0)</f>
        <v>13.9</v>
      </c>
      <c r="H530" s="32">
        <f t="shared" si="24"/>
        <v>146.4365</v>
      </c>
      <c r="I530" s="36">
        <f>IFERROR(IF(B530="Tampa",INDEX(tbl_tampas[Pct_PCR],MATCH(A530,tbl_tampas[CapId],0)),INDEX(tbl_recyclass[Pct_PCR_Corpo],MATCH(A530,tbl_recyclass[ProductId],0))),0)</f>
        <v>0</v>
      </c>
      <c r="J530" s="32">
        <f t="shared" si="25"/>
        <v>0</v>
      </c>
      <c r="K530" s="32">
        <f t="shared" si="26"/>
        <v>146.4365</v>
      </c>
      <c r="L530" s="43">
        <f>IF(C530="ES",K530*INDEX(tbl_param_emb[Valor],MATCH("P-01",tbl_param_emb[ID_Parametro],0)),0)</f>
        <v>0</v>
      </c>
      <c r="M530" s="33" t="str">
        <f>IF(B530="Tampa","Componente",IFERROR(INDEX(tbl_recyclass[Grau_PPWR_Indicativo],MATCH(A530,tbl_recyclass[ProductId],0)),""))</f>
        <v>Componente</v>
      </c>
    </row>
    <row r="531" spans="1:13" ht="16.05" customHeight="1" x14ac:dyDescent="0.3">
      <c r="A531" s="26" t="s">
        <v>467</v>
      </c>
      <c r="B531" s="26" t="s">
        <v>931</v>
      </c>
      <c r="C531" s="26" t="s">
        <v>1478</v>
      </c>
      <c r="D531" s="26" t="s">
        <v>1479</v>
      </c>
      <c r="E531" s="39">
        <v>1</v>
      </c>
      <c r="F531" s="37">
        <v>10410</v>
      </c>
      <c r="G531" s="38">
        <f>IFERROR(IF(B531="Tampa",INDEX(tbl_tampas[Massa_g],MATCH(A531,tbl_tampas[CapId],0)),INDEX(tbl_recyclass[Massa_Corpo_g],MATCH(A531,tbl_recyclass[ProductId],0))),0)</f>
        <v>13.9</v>
      </c>
      <c r="H531" s="32">
        <f t="shared" si="24"/>
        <v>144.69900000000001</v>
      </c>
      <c r="I531" s="36">
        <f>IFERROR(IF(B531="Tampa",INDEX(tbl_tampas[Pct_PCR],MATCH(A531,tbl_tampas[CapId],0)),INDEX(tbl_recyclass[Pct_PCR_Corpo],MATCH(A531,tbl_recyclass[ProductId],0))),0)</f>
        <v>0</v>
      </c>
      <c r="J531" s="32">
        <f t="shared" si="25"/>
        <v>0</v>
      </c>
      <c r="K531" s="32">
        <f t="shared" si="26"/>
        <v>144.69900000000001</v>
      </c>
      <c r="L531" s="43">
        <f>IF(C531="ES",K531*INDEX(tbl_param_emb[Valor],MATCH("P-01",tbl_param_emb[ID_Parametro],0)),0)</f>
        <v>0</v>
      </c>
      <c r="M531" s="33" t="str">
        <f>IF(B531="Tampa","Componente",IFERROR(INDEX(tbl_recyclass[Grau_PPWR_Indicativo],MATCH(A531,tbl_recyclass[ProductId],0)),""))</f>
        <v>Componente</v>
      </c>
    </row>
    <row r="532" spans="1:13" ht="16.05" customHeight="1" x14ac:dyDescent="0.3">
      <c r="A532" s="26" t="s">
        <v>467</v>
      </c>
      <c r="B532" s="26" t="s">
        <v>931</v>
      </c>
      <c r="C532" s="26" t="s">
        <v>1480</v>
      </c>
      <c r="D532" s="26" t="s">
        <v>1481</v>
      </c>
      <c r="E532" s="39">
        <v>1</v>
      </c>
      <c r="F532" s="37">
        <v>11170</v>
      </c>
      <c r="G532" s="38">
        <f>IFERROR(IF(B532="Tampa",INDEX(tbl_tampas[Massa_g],MATCH(A532,tbl_tampas[CapId],0)),INDEX(tbl_recyclass[Massa_Corpo_g],MATCH(A532,tbl_recyclass[ProductId],0))),0)</f>
        <v>13.9</v>
      </c>
      <c r="H532" s="32">
        <f t="shared" si="24"/>
        <v>155.26300000000001</v>
      </c>
      <c r="I532" s="36">
        <f>IFERROR(IF(B532="Tampa",INDEX(tbl_tampas[Pct_PCR],MATCH(A532,tbl_tampas[CapId],0)),INDEX(tbl_recyclass[Pct_PCR_Corpo],MATCH(A532,tbl_recyclass[ProductId],0))),0)</f>
        <v>0</v>
      </c>
      <c r="J532" s="32">
        <f t="shared" si="25"/>
        <v>0</v>
      </c>
      <c r="K532" s="32">
        <f t="shared" si="26"/>
        <v>155.26300000000001</v>
      </c>
      <c r="L532" s="43">
        <f>IF(C532="ES",K532*INDEX(tbl_param_emb[Valor],MATCH("P-01",tbl_param_emb[ID_Parametro],0)),0)</f>
        <v>0</v>
      </c>
      <c r="M532" s="33" t="str">
        <f>IF(B532="Tampa","Componente",IFERROR(INDEX(tbl_recyclass[Grau_PPWR_Indicativo],MATCH(A532,tbl_recyclass[ProductId],0)),""))</f>
        <v>Componente</v>
      </c>
    </row>
    <row r="533" spans="1:13" ht="16.05" customHeight="1" x14ac:dyDescent="0.3">
      <c r="A533" s="26" t="s">
        <v>467</v>
      </c>
      <c r="B533" s="26" t="s">
        <v>931</v>
      </c>
      <c r="C533" s="26" t="s">
        <v>847</v>
      </c>
      <c r="D533" s="26" t="s">
        <v>1471</v>
      </c>
      <c r="E533" s="39">
        <v>8</v>
      </c>
      <c r="F533" s="37">
        <v>74737</v>
      </c>
      <c r="G533" s="38">
        <f>IFERROR(IF(B533="Tampa",INDEX(tbl_tampas[Massa_g],MATCH(A533,tbl_tampas[CapId],0)),INDEX(tbl_recyclass[Massa_Corpo_g],MATCH(A533,tbl_recyclass[ProductId],0))),0)</f>
        <v>13.9</v>
      </c>
      <c r="H533" s="32">
        <f t="shared" si="24"/>
        <v>1038.8443</v>
      </c>
      <c r="I533" s="36">
        <f>IFERROR(IF(B533="Tampa",INDEX(tbl_tampas[Pct_PCR],MATCH(A533,tbl_tampas[CapId],0)),INDEX(tbl_recyclass[Pct_PCR_Corpo],MATCH(A533,tbl_recyclass[ProductId],0))),0)</f>
        <v>0</v>
      </c>
      <c r="J533" s="32">
        <f t="shared" si="25"/>
        <v>0</v>
      </c>
      <c r="K533" s="32">
        <f t="shared" si="26"/>
        <v>1038.8443</v>
      </c>
      <c r="L533" s="43">
        <f>IF(C533="ES",K533*INDEX(tbl_param_emb[Valor],MATCH("P-01",tbl_param_emb[ID_Parametro],0)),0)</f>
        <v>0</v>
      </c>
      <c r="M533" s="33" t="str">
        <f>IF(B533="Tampa","Componente",IFERROR(INDEX(tbl_recyclass[Grau_PPWR_Indicativo],MATCH(A533,tbl_recyclass[ProductId],0)),""))</f>
        <v>Componente</v>
      </c>
    </row>
    <row r="534" spans="1:13" ht="16.05" customHeight="1" x14ac:dyDescent="0.3">
      <c r="A534" s="26" t="s">
        <v>467</v>
      </c>
      <c r="B534" s="26" t="s">
        <v>931</v>
      </c>
      <c r="C534" s="26" t="s">
        <v>1474</v>
      </c>
      <c r="D534" s="26" t="s">
        <v>1475</v>
      </c>
      <c r="E534" s="39">
        <v>2</v>
      </c>
      <c r="F534" s="37">
        <v>35408</v>
      </c>
      <c r="G534" s="38">
        <f>IFERROR(IF(B534="Tampa",INDEX(tbl_tampas[Massa_g],MATCH(A534,tbl_tampas[CapId],0)),INDEX(tbl_recyclass[Massa_Corpo_g],MATCH(A534,tbl_recyclass[ProductId],0))),0)</f>
        <v>13.9</v>
      </c>
      <c r="H534" s="32">
        <f t="shared" si="24"/>
        <v>492.1712</v>
      </c>
      <c r="I534" s="36">
        <f>IFERROR(IF(B534="Tampa",INDEX(tbl_tampas[Pct_PCR],MATCH(A534,tbl_tampas[CapId],0)),INDEX(tbl_recyclass[Pct_PCR_Corpo],MATCH(A534,tbl_recyclass[ProductId],0))),0)</f>
        <v>0</v>
      </c>
      <c r="J534" s="32">
        <f t="shared" si="25"/>
        <v>0</v>
      </c>
      <c r="K534" s="32">
        <f t="shared" si="26"/>
        <v>492.1712</v>
      </c>
      <c r="L534" s="43">
        <f>IF(C534="ES",K534*INDEX(tbl_param_emb[Valor],MATCH("P-01",tbl_param_emb[ID_Parametro],0)),0)</f>
        <v>221.47704000000002</v>
      </c>
      <c r="M534" s="33" t="str">
        <f>IF(B534="Tampa","Componente",IFERROR(INDEX(tbl_recyclass[Grau_PPWR_Indicativo],MATCH(A534,tbl_recyclass[ProductId],0)),""))</f>
        <v>Componente</v>
      </c>
    </row>
    <row r="535" spans="1:13" ht="16.05" customHeight="1" x14ac:dyDescent="0.3">
      <c r="A535" s="26" t="s">
        <v>469</v>
      </c>
      <c r="B535" s="26" t="s">
        <v>931</v>
      </c>
      <c r="C535" s="26" t="s">
        <v>1476</v>
      </c>
      <c r="D535" s="26" t="s">
        <v>1477</v>
      </c>
      <c r="E535" s="39">
        <v>1</v>
      </c>
      <c r="F535" s="37">
        <v>23853</v>
      </c>
      <c r="G535" s="38">
        <f>IFERROR(IF(B535="Tampa",INDEX(tbl_tampas[Massa_g],MATCH(A535,tbl_tampas[CapId],0)),INDEX(tbl_recyclass[Massa_Corpo_g],MATCH(A535,tbl_recyclass[ProductId],0))),0)</f>
        <v>13.9</v>
      </c>
      <c r="H535" s="32">
        <f t="shared" si="24"/>
        <v>331.55670000000003</v>
      </c>
      <c r="I535" s="36">
        <f>IFERROR(IF(B535="Tampa",INDEX(tbl_tampas[Pct_PCR],MATCH(A535,tbl_tampas[CapId],0)),INDEX(tbl_recyclass[Pct_PCR_Corpo],MATCH(A535,tbl_recyclass[ProductId],0))),0)</f>
        <v>0.3</v>
      </c>
      <c r="J535" s="32">
        <f t="shared" si="25"/>
        <v>99.467010000000002</v>
      </c>
      <c r="K535" s="32">
        <f t="shared" si="26"/>
        <v>232.08969000000002</v>
      </c>
      <c r="L535" s="43">
        <f>IF(C535="ES",K535*INDEX(tbl_param_emb[Valor],MATCH("P-01",tbl_param_emb[ID_Parametro],0)),0)</f>
        <v>0</v>
      </c>
      <c r="M535" s="33" t="str">
        <f>IF(B535="Tampa","Componente",IFERROR(INDEX(tbl_recyclass[Grau_PPWR_Indicativo],MATCH(A535,tbl_recyclass[ProductId],0)),""))</f>
        <v>Componente</v>
      </c>
    </row>
    <row r="536" spans="1:13" ht="16.05" customHeight="1" x14ac:dyDescent="0.3">
      <c r="A536" s="26" t="s">
        <v>469</v>
      </c>
      <c r="B536" s="26" t="s">
        <v>931</v>
      </c>
      <c r="C536" s="26" t="s">
        <v>1472</v>
      </c>
      <c r="D536" s="26" t="s">
        <v>1473</v>
      </c>
      <c r="E536" s="39">
        <v>1</v>
      </c>
      <c r="F536" s="37">
        <v>13025</v>
      </c>
      <c r="G536" s="38">
        <f>IFERROR(IF(B536="Tampa",INDEX(tbl_tampas[Massa_g],MATCH(A536,tbl_tampas[CapId],0)),INDEX(tbl_recyclass[Massa_Corpo_g],MATCH(A536,tbl_recyclass[ProductId],0))),0)</f>
        <v>13.9</v>
      </c>
      <c r="H536" s="32">
        <f t="shared" si="24"/>
        <v>181.04750000000001</v>
      </c>
      <c r="I536" s="36">
        <f>IFERROR(IF(B536="Tampa",INDEX(tbl_tampas[Pct_PCR],MATCH(A536,tbl_tampas[CapId],0)),INDEX(tbl_recyclass[Pct_PCR_Corpo],MATCH(A536,tbl_recyclass[ProductId],0))),0)</f>
        <v>0.3</v>
      </c>
      <c r="J536" s="32">
        <f t="shared" si="25"/>
        <v>54.314250000000001</v>
      </c>
      <c r="K536" s="32">
        <f t="shared" si="26"/>
        <v>126.73325000000001</v>
      </c>
      <c r="L536" s="43">
        <f>IF(C536="ES",K536*INDEX(tbl_param_emb[Valor],MATCH("P-01",tbl_param_emb[ID_Parametro],0)),0)</f>
        <v>0</v>
      </c>
      <c r="M536" s="33" t="str">
        <f>IF(B536="Tampa","Componente",IFERROR(INDEX(tbl_recyclass[Grau_PPWR_Indicativo],MATCH(A536,tbl_recyclass[ProductId],0)),""))</f>
        <v>Componente</v>
      </c>
    </row>
    <row r="537" spans="1:13" ht="16.05" customHeight="1" x14ac:dyDescent="0.3">
      <c r="A537" s="26" t="s">
        <v>469</v>
      </c>
      <c r="B537" s="26" t="s">
        <v>931</v>
      </c>
      <c r="C537" s="26" t="s">
        <v>1478</v>
      </c>
      <c r="D537" s="26" t="s">
        <v>1479</v>
      </c>
      <c r="E537" s="39">
        <v>1</v>
      </c>
      <c r="F537" s="37">
        <v>7850</v>
      </c>
      <c r="G537" s="38">
        <f>IFERROR(IF(B537="Tampa",INDEX(tbl_tampas[Massa_g],MATCH(A537,tbl_tampas[CapId],0)),INDEX(tbl_recyclass[Massa_Corpo_g],MATCH(A537,tbl_recyclass[ProductId],0))),0)</f>
        <v>13.9</v>
      </c>
      <c r="H537" s="32">
        <f t="shared" si="24"/>
        <v>109.11499999999999</v>
      </c>
      <c r="I537" s="36">
        <f>IFERROR(IF(B537="Tampa",INDEX(tbl_tampas[Pct_PCR],MATCH(A537,tbl_tampas[CapId],0)),INDEX(tbl_recyclass[Pct_PCR_Corpo],MATCH(A537,tbl_recyclass[ProductId],0))),0)</f>
        <v>0.3</v>
      </c>
      <c r="J537" s="32">
        <f t="shared" si="25"/>
        <v>32.734499999999997</v>
      </c>
      <c r="K537" s="32">
        <f t="shared" si="26"/>
        <v>76.380499999999998</v>
      </c>
      <c r="L537" s="43">
        <f>IF(C537="ES",K537*INDEX(tbl_param_emb[Valor],MATCH("P-01",tbl_param_emb[ID_Parametro],0)),0)</f>
        <v>0</v>
      </c>
      <c r="M537" s="33" t="str">
        <f>IF(B537="Tampa","Componente",IFERROR(INDEX(tbl_recyclass[Grau_PPWR_Indicativo],MATCH(A537,tbl_recyclass[ProductId],0)),""))</f>
        <v>Componente</v>
      </c>
    </row>
    <row r="538" spans="1:13" ht="16.05" customHeight="1" x14ac:dyDescent="0.3">
      <c r="A538" s="26" t="s">
        <v>469</v>
      </c>
      <c r="B538" s="26" t="s">
        <v>931</v>
      </c>
      <c r="C538" s="26" t="s">
        <v>1480</v>
      </c>
      <c r="D538" s="26" t="s">
        <v>1481</v>
      </c>
      <c r="E538" s="39">
        <v>1</v>
      </c>
      <c r="F538" s="37">
        <v>21466</v>
      </c>
      <c r="G538" s="38">
        <f>IFERROR(IF(B538="Tampa",INDEX(tbl_tampas[Massa_g],MATCH(A538,tbl_tampas[CapId],0)),INDEX(tbl_recyclass[Massa_Corpo_g],MATCH(A538,tbl_recyclass[ProductId],0))),0)</f>
        <v>13.9</v>
      </c>
      <c r="H538" s="32">
        <f t="shared" si="24"/>
        <v>298.37740000000002</v>
      </c>
      <c r="I538" s="36">
        <f>IFERROR(IF(B538="Tampa",INDEX(tbl_tampas[Pct_PCR],MATCH(A538,tbl_tampas[CapId],0)),INDEX(tbl_recyclass[Pct_PCR_Corpo],MATCH(A538,tbl_recyclass[ProductId],0))),0)</f>
        <v>0.3</v>
      </c>
      <c r="J538" s="32">
        <f t="shared" si="25"/>
        <v>89.513220000000004</v>
      </c>
      <c r="K538" s="32">
        <f t="shared" si="26"/>
        <v>208.86418000000003</v>
      </c>
      <c r="L538" s="43">
        <f>IF(C538="ES",K538*INDEX(tbl_param_emb[Valor],MATCH("P-01",tbl_param_emb[ID_Parametro],0)),0)</f>
        <v>0</v>
      </c>
      <c r="M538" s="33" t="str">
        <f>IF(B538="Tampa","Componente",IFERROR(INDEX(tbl_recyclass[Grau_PPWR_Indicativo],MATCH(A538,tbl_recyclass[ProductId],0)),""))</f>
        <v>Componente</v>
      </c>
    </row>
    <row r="539" spans="1:13" ht="16.05" customHeight="1" x14ac:dyDescent="0.3">
      <c r="A539" s="26" t="s">
        <v>469</v>
      </c>
      <c r="B539" s="26" t="s">
        <v>931</v>
      </c>
      <c r="C539" s="26" t="s">
        <v>847</v>
      </c>
      <c r="D539" s="26" t="s">
        <v>1471</v>
      </c>
      <c r="E539" s="39">
        <v>8</v>
      </c>
      <c r="F539" s="37">
        <v>118006</v>
      </c>
      <c r="G539" s="38">
        <f>IFERROR(IF(B539="Tampa",INDEX(tbl_tampas[Massa_g],MATCH(A539,tbl_tampas[CapId],0)),INDEX(tbl_recyclass[Massa_Corpo_g],MATCH(A539,tbl_recyclass[ProductId],0))),0)</f>
        <v>13.9</v>
      </c>
      <c r="H539" s="32">
        <f t="shared" si="24"/>
        <v>1640.2834</v>
      </c>
      <c r="I539" s="36">
        <f>IFERROR(IF(B539="Tampa",INDEX(tbl_tampas[Pct_PCR],MATCH(A539,tbl_tampas[CapId],0)),INDEX(tbl_recyclass[Pct_PCR_Corpo],MATCH(A539,tbl_recyclass[ProductId],0))),0)</f>
        <v>0.3</v>
      </c>
      <c r="J539" s="32">
        <f t="shared" si="25"/>
        <v>492.08501999999999</v>
      </c>
      <c r="K539" s="32">
        <f t="shared" si="26"/>
        <v>1148.19838</v>
      </c>
      <c r="L539" s="43">
        <f>IF(C539="ES",K539*INDEX(tbl_param_emb[Valor],MATCH("P-01",tbl_param_emb[ID_Parametro],0)),0)</f>
        <v>0</v>
      </c>
      <c r="M539" s="33" t="str">
        <f>IF(B539="Tampa","Componente",IFERROR(INDEX(tbl_recyclass[Grau_PPWR_Indicativo],MATCH(A539,tbl_recyclass[ProductId],0)),""))</f>
        <v>Componente</v>
      </c>
    </row>
    <row r="540" spans="1:13" ht="16.05" customHeight="1" x14ac:dyDescent="0.3">
      <c r="A540" s="26" t="s">
        <v>469</v>
      </c>
      <c r="B540" s="26" t="s">
        <v>931</v>
      </c>
      <c r="C540" s="26" t="s">
        <v>1474</v>
      </c>
      <c r="D540" s="26" t="s">
        <v>1475</v>
      </c>
      <c r="E540" s="39">
        <v>2</v>
      </c>
      <c r="F540" s="37">
        <v>41765</v>
      </c>
      <c r="G540" s="38">
        <f>IFERROR(IF(B540="Tampa",INDEX(tbl_tampas[Massa_g],MATCH(A540,tbl_tampas[CapId],0)),INDEX(tbl_recyclass[Massa_Corpo_g],MATCH(A540,tbl_recyclass[ProductId],0))),0)</f>
        <v>13.9</v>
      </c>
      <c r="H540" s="32">
        <f t="shared" si="24"/>
        <v>580.5335</v>
      </c>
      <c r="I540" s="36">
        <f>IFERROR(IF(B540="Tampa",INDEX(tbl_tampas[Pct_PCR],MATCH(A540,tbl_tampas[CapId],0)),INDEX(tbl_recyclass[Pct_PCR_Corpo],MATCH(A540,tbl_recyclass[ProductId],0))),0)</f>
        <v>0.3</v>
      </c>
      <c r="J540" s="32">
        <f t="shared" si="25"/>
        <v>174.16004999999998</v>
      </c>
      <c r="K540" s="32">
        <f t="shared" si="26"/>
        <v>406.37345000000005</v>
      </c>
      <c r="L540" s="43">
        <f>IF(C540="ES",K540*INDEX(tbl_param_emb[Valor],MATCH("P-01",tbl_param_emb[ID_Parametro],0)),0)</f>
        <v>182.86805250000003</v>
      </c>
      <c r="M540" s="33" t="str">
        <f>IF(B540="Tampa","Componente",IFERROR(INDEX(tbl_recyclass[Grau_PPWR_Indicativo],MATCH(A540,tbl_recyclass[ProductId],0)),""))</f>
        <v>Componente</v>
      </c>
    </row>
    <row r="541" spans="1:13" ht="16.05" customHeight="1" x14ac:dyDescent="0.3">
      <c r="A541" s="26" t="s">
        <v>478</v>
      </c>
      <c r="B541" s="26" t="s">
        <v>931</v>
      </c>
      <c r="C541" s="26" t="s">
        <v>1476</v>
      </c>
      <c r="D541" s="26" t="s">
        <v>1477</v>
      </c>
      <c r="E541" s="39">
        <v>1</v>
      </c>
      <c r="F541" s="37">
        <v>4513</v>
      </c>
      <c r="G541" s="38">
        <f>IFERROR(IF(B541="Tampa",INDEX(tbl_tampas[Massa_g],MATCH(A541,tbl_tampas[CapId],0)),INDEX(tbl_recyclass[Massa_Corpo_g],MATCH(A541,tbl_recyclass[ProductId],0))),0)</f>
        <v>21.4</v>
      </c>
      <c r="H541" s="32">
        <f t="shared" si="24"/>
        <v>96.578199999999995</v>
      </c>
      <c r="I541" s="36">
        <f>IFERROR(IF(B541="Tampa",INDEX(tbl_tampas[Pct_PCR],MATCH(A541,tbl_tampas[CapId],0)),INDEX(tbl_recyclass[Pct_PCR_Corpo],MATCH(A541,tbl_recyclass[ProductId],0))),0)</f>
        <v>0</v>
      </c>
      <c r="J541" s="32">
        <f t="shared" si="25"/>
        <v>0</v>
      </c>
      <c r="K541" s="32">
        <f t="shared" si="26"/>
        <v>96.578199999999995</v>
      </c>
      <c r="L541" s="43">
        <f>IF(C541="ES",K541*INDEX(tbl_param_emb[Valor],MATCH("P-01",tbl_param_emb[ID_Parametro],0)),0)</f>
        <v>0</v>
      </c>
      <c r="M541" s="33" t="str">
        <f>IF(B541="Tampa","Componente",IFERROR(INDEX(tbl_recyclass[Grau_PPWR_Indicativo],MATCH(A541,tbl_recyclass[ProductId],0)),""))</f>
        <v>Componente</v>
      </c>
    </row>
    <row r="542" spans="1:13" ht="16.05" customHeight="1" x14ac:dyDescent="0.3">
      <c r="A542" s="26" t="s">
        <v>478</v>
      </c>
      <c r="B542" s="26" t="s">
        <v>931</v>
      </c>
      <c r="C542" s="26" t="s">
        <v>1480</v>
      </c>
      <c r="D542" s="26" t="s">
        <v>1481</v>
      </c>
      <c r="E542" s="39">
        <v>1</v>
      </c>
      <c r="F542" s="37">
        <v>6036</v>
      </c>
      <c r="G542" s="38">
        <f>IFERROR(IF(B542="Tampa",INDEX(tbl_tampas[Massa_g],MATCH(A542,tbl_tampas[CapId],0)),INDEX(tbl_recyclass[Massa_Corpo_g],MATCH(A542,tbl_recyclass[ProductId],0))),0)</f>
        <v>21.4</v>
      </c>
      <c r="H542" s="32">
        <f t="shared" si="24"/>
        <v>129.1704</v>
      </c>
      <c r="I542" s="36">
        <f>IFERROR(IF(B542="Tampa",INDEX(tbl_tampas[Pct_PCR],MATCH(A542,tbl_tampas[CapId],0)),INDEX(tbl_recyclass[Pct_PCR_Corpo],MATCH(A542,tbl_recyclass[ProductId],0))),0)</f>
        <v>0</v>
      </c>
      <c r="J542" s="32">
        <f t="shared" si="25"/>
        <v>0</v>
      </c>
      <c r="K542" s="32">
        <f t="shared" si="26"/>
        <v>129.1704</v>
      </c>
      <c r="L542" s="43">
        <f>IF(C542="ES",K542*INDEX(tbl_param_emb[Valor],MATCH("P-01",tbl_param_emb[ID_Parametro],0)),0)</f>
        <v>0</v>
      </c>
      <c r="M542" s="33" t="str">
        <f>IF(B542="Tampa","Componente",IFERROR(INDEX(tbl_recyclass[Grau_PPWR_Indicativo],MATCH(A542,tbl_recyclass[ProductId],0)),""))</f>
        <v>Componente</v>
      </c>
    </row>
    <row r="543" spans="1:13" ht="16.05" customHeight="1" x14ac:dyDescent="0.3">
      <c r="A543" s="26" t="s">
        <v>478</v>
      </c>
      <c r="B543" s="26" t="s">
        <v>931</v>
      </c>
      <c r="C543" s="26" t="s">
        <v>847</v>
      </c>
      <c r="D543" s="26" t="s">
        <v>1471</v>
      </c>
      <c r="E543" s="39">
        <v>8</v>
      </c>
      <c r="F543" s="37">
        <v>58078</v>
      </c>
      <c r="G543" s="38">
        <f>IFERROR(IF(B543="Tampa",INDEX(tbl_tampas[Massa_g],MATCH(A543,tbl_tampas[CapId],0)),INDEX(tbl_recyclass[Massa_Corpo_g],MATCH(A543,tbl_recyclass[ProductId],0))),0)</f>
        <v>21.4</v>
      </c>
      <c r="H543" s="32">
        <f t="shared" si="24"/>
        <v>1242.8691999999999</v>
      </c>
      <c r="I543" s="36">
        <f>IFERROR(IF(B543="Tampa",INDEX(tbl_tampas[Pct_PCR],MATCH(A543,tbl_tampas[CapId],0)),INDEX(tbl_recyclass[Pct_PCR_Corpo],MATCH(A543,tbl_recyclass[ProductId],0))),0)</f>
        <v>0</v>
      </c>
      <c r="J543" s="32">
        <f t="shared" si="25"/>
        <v>0</v>
      </c>
      <c r="K543" s="32">
        <f t="shared" si="26"/>
        <v>1242.8691999999999</v>
      </c>
      <c r="L543" s="43">
        <f>IF(C543="ES",K543*INDEX(tbl_param_emb[Valor],MATCH("P-01",tbl_param_emb[ID_Parametro],0)),0)</f>
        <v>0</v>
      </c>
      <c r="M543" s="33" t="str">
        <f>IF(B543="Tampa","Componente",IFERROR(INDEX(tbl_recyclass[Grau_PPWR_Indicativo],MATCH(A543,tbl_recyclass[ProductId],0)),""))</f>
        <v>Componente</v>
      </c>
    </row>
    <row r="544" spans="1:13" ht="16.05" customHeight="1" x14ac:dyDescent="0.3">
      <c r="A544" s="26" t="s">
        <v>478</v>
      </c>
      <c r="B544" s="26" t="s">
        <v>931</v>
      </c>
      <c r="C544" s="26" t="s">
        <v>1474</v>
      </c>
      <c r="D544" s="26" t="s">
        <v>1475</v>
      </c>
      <c r="E544" s="39">
        <v>2</v>
      </c>
      <c r="F544" s="37">
        <v>14597</v>
      </c>
      <c r="G544" s="38">
        <f>IFERROR(IF(B544="Tampa",INDEX(tbl_tampas[Massa_g],MATCH(A544,tbl_tampas[CapId],0)),INDEX(tbl_recyclass[Massa_Corpo_g],MATCH(A544,tbl_recyclass[ProductId],0))),0)</f>
        <v>21.4</v>
      </c>
      <c r="H544" s="32">
        <f t="shared" si="24"/>
        <v>312.37579999999997</v>
      </c>
      <c r="I544" s="36">
        <f>IFERROR(IF(B544="Tampa",INDEX(tbl_tampas[Pct_PCR],MATCH(A544,tbl_tampas[CapId],0)),INDEX(tbl_recyclass[Pct_PCR_Corpo],MATCH(A544,tbl_recyclass[ProductId],0))),0)</f>
        <v>0</v>
      </c>
      <c r="J544" s="32">
        <f t="shared" si="25"/>
        <v>0</v>
      </c>
      <c r="K544" s="32">
        <f t="shared" si="26"/>
        <v>312.37579999999997</v>
      </c>
      <c r="L544" s="43">
        <f>IF(C544="ES",K544*INDEX(tbl_param_emb[Valor],MATCH("P-01",tbl_param_emb[ID_Parametro],0)),0)</f>
        <v>140.56910999999999</v>
      </c>
      <c r="M544" s="33" t="str">
        <f>IF(B544="Tampa","Componente",IFERROR(INDEX(tbl_recyclass[Grau_PPWR_Indicativo],MATCH(A544,tbl_recyclass[ProductId],0)),""))</f>
        <v>Componente</v>
      </c>
    </row>
    <row r="545" spans="1:13" ht="16.05" customHeight="1" x14ac:dyDescent="0.3">
      <c r="A545" s="26" t="s">
        <v>473</v>
      </c>
      <c r="B545" s="26" t="s">
        <v>931</v>
      </c>
      <c r="C545" s="26" t="s">
        <v>1476</v>
      </c>
      <c r="D545" s="26" t="s">
        <v>1477</v>
      </c>
      <c r="E545" s="39">
        <v>1</v>
      </c>
      <c r="F545" s="37">
        <v>24831</v>
      </c>
      <c r="G545" s="38">
        <f>IFERROR(IF(B545="Tampa",INDEX(tbl_tampas[Massa_g],MATCH(A545,tbl_tampas[CapId],0)),INDEX(tbl_recyclass[Massa_Corpo_g],MATCH(A545,tbl_recyclass[ProductId],0))),0)</f>
        <v>19.3</v>
      </c>
      <c r="H545" s="32">
        <f t="shared" si="24"/>
        <v>479.23830000000004</v>
      </c>
      <c r="I545" s="36">
        <f>IFERROR(IF(B545="Tampa",INDEX(tbl_tampas[Pct_PCR],MATCH(A545,tbl_tampas[CapId],0)),INDEX(tbl_recyclass[Pct_PCR_Corpo],MATCH(A545,tbl_recyclass[ProductId],0))),0)</f>
        <v>0</v>
      </c>
      <c r="J545" s="32">
        <f t="shared" si="25"/>
        <v>0</v>
      </c>
      <c r="K545" s="32">
        <f t="shared" si="26"/>
        <v>479.23830000000004</v>
      </c>
      <c r="L545" s="43">
        <f>IF(C545="ES",K545*INDEX(tbl_param_emb[Valor],MATCH("P-01",tbl_param_emb[ID_Parametro],0)),0)</f>
        <v>0</v>
      </c>
      <c r="M545" s="33" t="str">
        <f>IF(B545="Tampa","Componente",IFERROR(INDEX(tbl_recyclass[Grau_PPWR_Indicativo],MATCH(A545,tbl_recyclass[ProductId],0)),""))</f>
        <v>Componente</v>
      </c>
    </row>
    <row r="546" spans="1:13" ht="16.05" customHeight="1" x14ac:dyDescent="0.3">
      <c r="A546" s="26" t="s">
        <v>473</v>
      </c>
      <c r="B546" s="26" t="s">
        <v>931</v>
      </c>
      <c r="C546" s="26" t="s">
        <v>1472</v>
      </c>
      <c r="D546" s="26" t="s">
        <v>1473</v>
      </c>
      <c r="E546" s="39">
        <v>1</v>
      </c>
      <c r="F546" s="37">
        <v>4298</v>
      </c>
      <c r="G546" s="38">
        <f>IFERROR(IF(B546="Tampa",INDEX(tbl_tampas[Massa_g],MATCH(A546,tbl_tampas[CapId],0)),INDEX(tbl_recyclass[Massa_Corpo_g],MATCH(A546,tbl_recyclass[ProductId],0))),0)</f>
        <v>19.3</v>
      </c>
      <c r="H546" s="32">
        <f t="shared" si="24"/>
        <v>82.951400000000007</v>
      </c>
      <c r="I546" s="36">
        <f>IFERROR(IF(B546="Tampa",INDEX(tbl_tampas[Pct_PCR],MATCH(A546,tbl_tampas[CapId],0)),INDEX(tbl_recyclass[Pct_PCR_Corpo],MATCH(A546,tbl_recyclass[ProductId],0))),0)</f>
        <v>0</v>
      </c>
      <c r="J546" s="32">
        <f t="shared" si="25"/>
        <v>0</v>
      </c>
      <c r="K546" s="32">
        <f t="shared" si="26"/>
        <v>82.951400000000007</v>
      </c>
      <c r="L546" s="43">
        <f>IF(C546="ES",K546*INDEX(tbl_param_emb[Valor],MATCH("P-01",tbl_param_emb[ID_Parametro],0)),0)</f>
        <v>0</v>
      </c>
      <c r="M546" s="33" t="str">
        <f>IF(B546="Tampa","Componente",IFERROR(INDEX(tbl_recyclass[Grau_PPWR_Indicativo],MATCH(A546,tbl_recyclass[ProductId],0)),""))</f>
        <v>Componente</v>
      </c>
    </row>
    <row r="547" spans="1:13" ht="16.05" customHeight="1" x14ac:dyDescent="0.3">
      <c r="A547" s="26" t="s">
        <v>473</v>
      </c>
      <c r="B547" s="26" t="s">
        <v>931</v>
      </c>
      <c r="C547" s="26" t="s">
        <v>1478</v>
      </c>
      <c r="D547" s="26" t="s">
        <v>1479</v>
      </c>
      <c r="E547" s="39">
        <v>1</v>
      </c>
      <c r="F547" s="37">
        <v>29980</v>
      </c>
      <c r="G547" s="38">
        <f>IFERROR(IF(B547="Tampa",INDEX(tbl_tampas[Massa_g],MATCH(A547,tbl_tampas[CapId],0)),INDEX(tbl_recyclass[Massa_Corpo_g],MATCH(A547,tbl_recyclass[ProductId],0))),0)</f>
        <v>19.3</v>
      </c>
      <c r="H547" s="32">
        <f t="shared" si="24"/>
        <v>578.61400000000003</v>
      </c>
      <c r="I547" s="36">
        <f>IFERROR(IF(B547="Tampa",INDEX(tbl_tampas[Pct_PCR],MATCH(A547,tbl_tampas[CapId],0)),INDEX(tbl_recyclass[Pct_PCR_Corpo],MATCH(A547,tbl_recyclass[ProductId],0))),0)</f>
        <v>0</v>
      </c>
      <c r="J547" s="32">
        <f t="shared" si="25"/>
        <v>0</v>
      </c>
      <c r="K547" s="32">
        <f t="shared" si="26"/>
        <v>578.61400000000003</v>
      </c>
      <c r="L547" s="43">
        <f>IF(C547="ES",K547*INDEX(tbl_param_emb[Valor],MATCH("P-01",tbl_param_emb[ID_Parametro],0)),0)</f>
        <v>0</v>
      </c>
      <c r="M547" s="33" t="str">
        <f>IF(B547="Tampa","Componente",IFERROR(INDEX(tbl_recyclass[Grau_PPWR_Indicativo],MATCH(A547,tbl_recyclass[ProductId],0)),""))</f>
        <v>Componente</v>
      </c>
    </row>
    <row r="548" spans="1:13" ht="16.05" customHeight="1" x14ac:dyDescent="0.3">
      <c r="A548" s="26" t="s">
        <v>473</v>
      </c>
      <c r="B548" s="26" t="s">
        <v>931</v>
      </c>
      <c r="C548" s="26" t="s">
        <v>1480</v>
      </c>
      <c r="D548" s="26" t="s">
        <v>1481</v>
      </c>
      <c r="E548" s="39">
        <v>1</v>
      </c>
      <c r="F548" s="37">
        <v>6427</v>
      </c>
      <c r="G548" s="38">
        <f>IFERROR(IF(B548="Tampa",INDEX(tbl_tampas[Massa_g],MATCH(A548,tbl_tampas[CapId],0)),INDEX(tbl_recyclass[Massa_Corpo_g],MATCH(A548,tbl_recyclass[ProductId],0))),0)</f>
        <v>19.3</v>
      </c>
      <c r="H548" s="32">
        <f t="shared" si="24"/>
        <v>124.0411</v>
      </c>
      <c r="I548" s="36">
        <f>IFERROR(IF(B548="Tampa",INDEX(tbl_tampas[Pct_PCR],MATCH(A548,tbl_tampas[CapId],0)),INDEX(tbl_recyclass[Pct_PCR_Corpo],MATCH(A548,tbl_recyclass[ProductId],0))),0)</f>
        <v>0</v>
      </c>
      <c r="J548" s="32">
        <f t="shared" si="25"/>
        <v>0</v>
      </c>
      <c r="K548" s="32">
        <f t="shared" si="26"/>
        <v>124.0411</v>
      </c>
      <c r="L548" s="43">
        <f>IF(C548="ES",K548*INDEX(tbl_param_emb[Valor],MATCH("P-01",tbl_param_emb[ID_Parametro],0)),0)</f>
        <v>0</v>
      </c>
      <c r="M548" s="33" t="str">
        <f>IF(B548="Tampa","Componente",IFERROR(INDEX(tbl_recyclass[Grau_PPWR_Indicativo],MATCH(A548,tbl_recyclass[ProductId],0)),""))</f>
        <v>Componente</v>
      </c>
    </row>
    <row r="549" spans="1:13" ht="16.05" customHeight="1" x14ac:dyDescent="0.3">
      <c r="A549" s="26" t="s">
        <v>473</v>
      </c>
      <c r="B549" s="26" t="s">
        <v>931</v>
      </c>
      <c r="C549" s="26" t="s">
        <v>847</v>
      </c>
      <c r="D549" s="26" t="s">
        <v>1471</v>
      </c>
      <c r="E549" s="39">
        <v>8</v>
      </c>
      <c r="F549" s="37">
        <v>89770</v>
      </c>
      <c r="G549" s="38">
        <f>IFERROR(IF(B549="Tampa",INDEX(tbl_tampas[Massa_g],MATCH(A549,tbl_tampas[CapId],0)),INDEX(tbl_recyclass[Massa_Corpo_g],MATCH(A549,tbl_recyclass[ProductId],0))),0)</f>
        <v>19.3</v>
      </c>
      <c r="H549" s="32">
        <f t="shared" si="24"/>
        <v>1732.5609999999999</v>
      </c>
      <c r="I549" s="36">
        <f>IFERROR(IF(B549="Tampa",INDEX(tbl_tampas[Pct_PCR],MATCH(A549,tbl_tampas[CapId],0)),INDEX(tbl_recyclass[Pct_PCR_Corpo],MATCH(A549,tbl_recyclass[ProductId],0))),0)</f>
        <v>0</v>
      </c>
      <c r="J549" s="32">
        <f t="shared" si="25"/>
        <v>0</v>
      </c>
      <c r="K549" s="32">
        <f t="shared" si="26"/>
        <v>1732.5609999999999</v>
      </c>
      <c r="L549" s="43">
        <f>IF(C549="ES",K549*INDEX(tbl_param_emb[Valor],MATCH("P-01",tbl_param_emb[ID_Parametro],0)),0)</f>
        <v>0</v>
      </c>
      <c r="M549" s="33" t="str">
        <f>IF(B549="Tampa","Componente",IFERROR(INDEX(tbl_recyclass[Grau_PPWR_Indicativo],MATCH(A549,tbl_recyclass[ProductId],0)),""))</f>
        <v>Componente</v>
      </c>
    </row>
    <row r="550" spans="1:13" ht="16.05" customHeight="1" x14ac:dyDescent="0.3">
      <c r="A550" s="26" t="s">
        <v>473</v>
      </c>
      <c r="B550" s="26" t="s">
        <v>931</v>
      </c>
      <c r="C550" s="26" t="s">
        <v>1474</v>
      </c>
      <c r="D550" s="26" t="s">
        <v>1475</v>
      </c>
      <c r="E550" s="39">
        <v>2</v>
      </c>
      <c r="F550" s="37">
        <v>27443</v>
      </c>
      <c r="G550" s="38">
        <f>IFERROR(IF(B550="Tampa",INDEX(tbl_tampas[Massa_g],MATCH(A550,tbl_tampas[CapId],0)),INDEX(tbl_recyclass[Massa_Corpo_g],MATCH(A550,tbl_recyclass[ProductId],0))),0)</f>
        <v>19.3</v>
      </c>
      <c r="H550" s="32">
        <f t="shared" si="24"/>
        <v>529.6499</v>
      </c>
      <c r="I550" s="36">
        <f>IFERROR(IF(B550="Tampa",INDEX(tbl_tampas[Pct_PCR],MATCH(A550,tbl_tampas[CapId],0)),INDEX(tbl_recyclass[Pct_PCR_Corpo],MATCH(A550,tbl_recyclass[ProductId],0))),0)</f>
        <v>0</v>
      </c>
      <c r="J550" s="32">
        <f t="shared" si="25"/>
        <v>0</v>
      </c>
      <c r="K550" s="32">
        <f t="shared" si="26"/>
        <v>529.6499</v>
      </c>
      <c r="L550" s="43">
        <f>IF(C550="ES",K550*INDEX(tbl_param_emb[Valor],MATCH("P-01",tbl_param_emb[ID_Parametro],0)),0)</f>
        <v>238.342455</v>
      </c>
      <c r="M550" s="33" t="str">
        <f>IF(B550="Tampa","Componente",IFERROR(INDEX(tbl_recyclass[Grau_PPWR_Indicativo],MATCH(A550,tbl_recyclass[ProductId],0)),""))</f>
        <v>Componente</v>
      </c>
    </row>
    <row r="551" spans="1:13" ht="16.05" customHeight="1" x14ac:dyDescent="0.3">
      <c r="A551" s="26" t="s">
        <v>475</v>
      </c>
      <c r="B551" s="26" t="s">
        <v>931</v>
      </c>
      <c r="C551" s="26" t="s">
        <v>1478</v>
      </c>
      <c r="D551" s="26" t="s">
        <v>1479</v>
      </c>
      <c r="E551" s="39">
        <v>1</v>
      </c>
      <c r="F551" s="37">
        <v>21119</v>
      </c>
      <c r="G551" s="38">
        <f>IFERROR(IF(B551="Tampa",INDEX(tbl_tampas[Massa_g],MATCH(A551,tbl_tampas[CapId],0)),INDEX(tbl_recyclass[Massa_Corpo_g],MATCH(A551,tbl_recyclass[ProductId],0))),0)</f>
        <v>19.3</v>
      </c>
      <c r="H551" s="32">
        <f t="shared" si="24"/>
        <v>407.5967</v>
      </c>
      <c r="I551" s="36">
        <f>IFERROR(IF(B551="Tampa",INDEX(tbl_tampas[Pct_PCR],MATCH(A551,tbl_tampas[CapId],0)),INDEX(tbl_recyclass[Pct_PCR_Corpo],MATCH(A551,tbl_recyclass[ProductId],0))),0)</f>
        <v>0.3</v>
      </c>
      <c r="J551" s="32">
        <f t="shared" si="25"/>
        <v>122.27901</v>
      </c>
      <c r="K551" s="32">
        <f t="shared" si="26"/>
        <v>285.31768999999997</v>
      </c>
      <c r="L551" s="43">
        <f>IF(C551="ES",K551*INDEX(tbl_param_emb[Valor],MATCH("P-01",tbl_param_emb[ID_Parametro],0)),0)</f>
        <v>0</v>
      </c>
      <c r="M551" s="33" t="str">
        <f>IF(B551="Tampa","Componente",IFERROR(INDEX(tbl_recyclass[Grau_PPWR_Indicativo],MATCH(A551,tbl_recyclass[ProductId],0)),""))</f>
        <v>Componente</v>
      </c>
    </row>
    <row r="552" spans="1:13" ht="16.05" customHeight="1" x14ac:dyDescent="0.3">
      <c r="A552" s="26" t="s">
        <v>475</v>
      </c>
      <c r="B552" s="26" t="s">
        <v>931</v>
      </c>
      <c r="C552" s="26" t="s">
        <v>847</v>
      </c>
      <c r="D552" s="26" t="s">
        <v>1471</v>
      </c>
      <c r="E552" s="39">
        <v>5</v>
      </c>
      <c r="F552" s="37">
        <v>43572</v>
      </c>
      <c r="G552" s="38">
        <f>IFERROR(IF(B552="Tampa",INDEX(tbl_tampas[Massa_g],MATCH(A552,tbl_tampas[CapId],0)),INDEX(tbl_recyclass[Massa_Corpo_g],MATCH(A552,tbl_recyclass[ProductId],0))),0)</f>
        <v>19.3</v>
      </c>
      <c r="H552" s="32">
        <f t="shared" si="24"/>
        <v>840.93959999999993</v>
      </c>
      <c r="I552" s="36">
        <f>IFERROR(IF(B552="Tampa",INDEX(tbl_tampas[Pct_PCR],MATCH(A552,tbl_tampas[CapId],0)),INDEX(tbl_recyclass[Pct_PCR_Corpo],MATCH(A552,tbl_recyclass[ProductId],0))),0)</f>
        <v>0.3</v>
      </c>
      <c r="J552" s="32">
        <f t="shared" si="25"/>
        <v>252.28187999999997</v>
      </c>
      <c r="K552" s="32">
        <f t="shared" si="26"/>
        <v>588.65771999999993</v>
      </c>
      <c r="L552" s="43">
        <f>IF(C552="ES",K552*INDEX(tbl_param_emb[Valor],MATCH("P-01",tbl_param_emb[ID_Parametro],0)),0)</f>
        <v>0</v>
      </c>
      <c r="M552" s="33" t="str">
        <f>IF(B552="Tampa","Componente",IFERROR(INDEX(tbl_recyclass[Grau_PPWR_Indicativo],MATCH(A552,tbl_recyclass[ProductId],0)),""))</f>
        <v>Componente</v>
      </c>
    </row>
    <row r="553" spans="1:13" ht="16.05" customHeight="1" x14ac:dyDescent="0.3">
      <c r="A553" s="26" t="s">
        <v>475</v>
      </c>
      <c r="B553" s="26" t="s">
        <v>931</v>
      </c>
      <c r="C553" s="26" t="s">
        <v>1474</v>
      </c>
      <c r="D553" s="26" t="s">
        <v>1475</v>
      </c>
      <c r="E553" s="39">
        <v>1</v>
      </c>
      <c r="F553" s="37">
        <v>4302</v>
      </c>
      <c r="G553" s="38">
        <f>IFERROR(IF(B553="Tampa",INDEX(tbl_tampas[Massa_g],MATCH(A553,tbl_tampas[CapId],0)),INDEX(tbl_recyclass[Massa_Corpo_g],MATCH(A553,tbl_recyclass[ProductId],0))),0)</f>
        <v>19.3</v>
      </c>
      <c r="H553" s="32">
        <f t="shared" si="24"/>
        <v>83.028600000000012</v>
      </c>
      <c r="I553" s="36">
        <f>IFERROR(IF(B553="Tampa",INDEX(tbl_tampas[Pct_PCR],MATCH(A553,tbl_tampas[CapId],0)),INDEX(tbl_recyclass[Pct_PCR_Corpo],MATCH(A553,tbl_recyclass[ProductId],0))),0)</f>
        <v>0.3</v>
      </c>
      <c r="J553" s="32">
        <f t="shared" si="25"/>
        <v>24.908580000000004</v>
      </c>
      <c r="K553" s="32">
        <f t="shared" si="26"/>
        <v>58.120020000000011</v>
      </c>
      <c r="L553" s="43">
        <f>IF(C553="ES",K553*INDEX(tbl_param_emb[Valor],MATCH("P-01",tbl_param_emb[ID_Parametro],0)),0)</f>
        <v>26.154009000000006</v>
      </c>
      <c r="M553" s="33" t="str">
        <f>IF(B553="Tampa","Componente",IFERROR(INDEX(tbl_recyclass[Grau_PPWR_Indicativo],MATCH(A553,tbl_recyclass[ProductId],0)),""))</f>
        <v>Componente</v>
      </c>
    </row>
    <row r="554" spans="1:13" ht="16.05" customHeight="1" x14ac:dyDescent="0.3">
      <c r="A554" s="26" t="s">
        <v>484</v>
      </c>
      <c r="B554" s="26" t="s">
        <v>931</v>
      </c>
      <c r="C554" s="26" t="s">
        <v>1476</v>
      </c>
      <c r="D554" s="26" t="s">
        <v>1477</v>
      </c>
      <c r="E554" s="39">
        <v>1</v>
      </c>
      <c r="F554" s="37">
        <v>34923</v>
      </c>
      <c r="G554" s="38">
        <f>IFERROR(IF(B554="Tampa",INDEX(tbl_tampas[Massa_g],MATCH(A554,tbl_tampas[CapId],0)),INDEX(tbl_recyclass[Massa_Corpo_g],MATCH(A554,tbl_recyclass[ProductId],0))),0)</f>
        <v>21.4</v>
      </c>
      <c r="H554" s="32">
        <f t="shared" si="24"/>
        <v>747.35219999999993</v>
      </c>
      <c r="I554" s="36">
        <f>IFERROR(IF(B554="Tampa",INDEX(tbl_tampas[Pct_PCR],MATCH(A554,tbl_tampas[CapId],0)),INDEX(tbl_recyclass[Pct_PCR_Corpo],MATCH(A554,tbl_recyclass[ProductId],0))),0)</f>
        <v>0</v>
      </c>
      <c r="J554" s="32">
        <f t="shared" si="25"/>
        <v>0</v>
      </c>
      <c r="K554" s="32">
        <f t="shared" si="26"/>
        <v>747.35219999999993</v>
      </c>
      <c r="L554" s="43">
        <f>IF(C554="ES",K554*INDEX(tbl_param_emb[Valor],MATCH("P-01",tbl_param_emb[ID_Parametro],0)),0)</f>
        <v>0</v>
      </c>
      <c r="M554" s="33" t="str">
        <f>IF(B554="Tampa","Componente",IFERROR(INDEX(tbl_recyclass[Grau_PPWR_Indicativo],MATCH(A554,tbl_recyclass[ProductId],0)),""))</f>
        <v>Componente</v>
      </c>
    </row>
    <row r="555" spans="1:13" ht="16.05" customHeight="1" x14ac:dyDescent="0.3">
      <c r="A555" s="26" t="s">
        <v>484</v>
      </c>
      <c r="B555" s="26" t="s">
        <v>931</v>
      </c>
      <c r="C555" s="26" t="s">
        <v>1472</v>
      </c>
      <c r="D555" s="26" t="s">
        <v>1473</v>
      </c>
      <c r="E555" s="39">
        <v>1</v>
      </c>
      <c r="F555" s="37">
        <v>56331</v>
      </c>
      <c r="G555" s="38">
        <f>IFERROR(IF(B555="Tampa",INDEX(tbl_tampas[Massa_g],MATCH(A555,tbl_tampas[CapId],0)),INDEX(tbl_recyclass[Massa_Corpo_g],MATCH(A555,tbl_recyclass[ProductId],0))),0)</f>
        <v>21.4</v>
      </c>
      <c r="H555" s="32">
        <f t="shared" si="24"/>
        <v>1205.4833999999998</v>
      </c>
      <c r="I555" s="36">
        <f>IFERROR(IF(B555="Tampa",INDEX(tbl_tampas[Pct_PCR],MATCH(A555,tbl_tampas[CapId],0)),INDEX(tbl_recyclass[Pct_PCR_Corpo],MATCH(A555,tbl_recyclass[ProductId],0))),0)</f>
        <v>0</v>
      </c>
      <c r="J555" s="32">
        <f t="shared" si="25"/>
        <v>0</v>
      </c>
      <c r="K555" s="32">
        <f t="shared" si="26"/>
        <v>1205.4833999999998</v>
      </c>
      <c r="L555" s="43">
        <f>IF(C555="ES",K555*INDEX(tbl_param_emb[Valor],MATCH("P-01",tbl_param_emb[ID_Parametro],0)),0)</f>
        <v>0</v>
      </c>
      <c r="M555" s="33" t="str">
        <f>IF(B555="Tampa","Componente",IFERROR(INDEX(tbl_recyclass[Grau_PPWR_Indicativo],MATCH(A555,tbl_recyclass[ProductId],0)),""))</f>
        <v>Componente</v>
      </c>
    </row>
    <row r="556" spans="1:13" ht="16.05" customHeight="1" x14ac:dyDescent="0.3">
      <c r="A556" s="26" t="s">
        <v>484</v>
      </c>
      <c r="B556" s="26" t="s">
        <v>931</v>
      </c>
      <c r="C556" s="26" t="s">
        <v>1478</v>
      </c>
      <c r="D556" s="26" t="s">
        <v>1479</v>
      </c>
      <c r="E556" s="39">
        <v>1</v>
      </c>
      <c r="F556" s="37">
        <v>45277</v>
      </c>
      <c r="G556" s="38">
        <f>IFERROR(IF(B556="Tampa",INDEX(tbl_tampas[Massa_g],MATCH(A556,tbl_tampas[CapId],0)),INDEX(tbl_recyclass[Massa_Corpo_g],MATCH(A556,tbl_recyclass[ProductId],0))),0)</f>
        <v>21.4</v>
      </c>
      <c r="H556" s="32">
        <f t="shared" si="24"/>
        <v>968.92779999999993</v>
      </c>
      <c r="I556" s="36">
        <f>IFERROR(IF(B556="Tampa",INDEX(tbl_tampas[Pct_PCR],MATCH(A556,tbl_tampas[CapId],0)),INDEX(tbl_recyclass[Pct_PCR_Corpo],MATCH(A556,tbl_recyclass[ProductId],0))),0)</f>
        <v>0</v>
      </c>
      <c r="J556" s="32">
        <f t="shared" si="25"/>
        <v>0</v>
      </c>
      <c r="K556" s="32">
        <f t="shared" si="26"/>
        <v>968.92779999999993</v>
      </c>
      <c r="L556" s="43">
        <f>IF(C556="ES",K556*INDEX(tbl_param_emb[Valor],MATCH("P-01",tbl_param_emb[ID_Parametro],0)),0)</f>
        <v>0</v>
      </c>
      <c r="M556" s="33" t="str">
        <f>IF(B556="Tampa","Componente",IFERROR(INDEX(tbl_recyclass[Grau_PPWR_Indicativo],MATCH(A556,tbl_recyclass[ProductId],0)),""))</f>
        <v>Componente</v>
      </c>
    </row>
    <row r="557" spans="1:13" ht="16.05" customHeight="1" x14ac:dyDescent="0.3">
      <c r="A557" s="26" t="s">
        <v>484</v>
      </c>
      <c r="B557" s="26" t="s">
        <v>931</v>
      </c>
      <c r="C557" s="26" t="s">
        <v>1480</v>
      </c>
      <c r="D557" s="26" t="s">
        <v>1481</v>
      </c>
      <c r="E557" s="39">
        <v>1</v>
      </c>
      <c r="F557" s="37">
        <v>41940</v>
      </c>
      <c r="G557" s="38">
        <f>IFERROR(IF(B557="Tampa",INDEX(tbl_tampas[Massa_g],MATCH(A557,tbl_tampas[CapId],0)),INDEX(tbl_recyclass[Massa_Corpo_g],MATCH(A557,tbl_recyclass[ProductId],0))),0)</f>
        <v>21.4</v>
      </c>
      <c r="H557" s="32">
        <f t="shared" si="24"/>
        <v>897.51599999999985</v>
      </c>
      <c r="I557" s="36">
        <f>IFERROR(IF(B557="Tampa",INDEX(tbl_tampas[Pct_PCR],MATCH(A557,tbl_tampas[CapId],0)),INDEX(tbl_recyclass[Pct_PCR_Corpo],MATCH(A557,tbl_recyclass[ProductId],0))),0)</f>
        <v>0</v>
      </c>
      <c r="J557" s="32">
        <f t="shared" si="25"/>
        <v>0</v>
      </c>
      <c r="K557" s="32">
        <f t="shared" si="26"/>
        <v>897.51599999999985</v>
      </c>
      <c r="L557" s="43">
        <f>IF(C557="ES",K557*INDEX(tbl_param_emb[Valor],MATCH("P-01",tbl_param_emb[ID_Parametro],0)),0)</f>
        <v>0</v>
      </c>
      <c r="M557" s="33" t="str">
        <f>IF(B557="Tampa","Componente",IFERROR(INDEX(tbl_recyclass[Grau_PPWR_Indicativo],MATCH(A557,tbl_recyclass[ProductId],0)),""))</f>
        <v>Componente</v>
      </c>
    </row>
    <row r="558" spans="1:13" ht="16.05" customHeight="1" x14ac:dyDescent="0.3">
      <c r="A558" s="26" t="s">
        <v>484</v>
      </c>
      <c r="B558" s="26" t="s">
        <v>931</v>
      </c>
      <c r="C558" s="26" t="s">
        <v>847</v>
      </c>
      <c r="D558" s="26" t="s">
        <v>1471</v>
      </c>
      <c r="E558" s="39">
        <v>8</v>
      </c>
      <c r="F558" s="37">
        <v>334890</v>
      </c>
      <c r="G558" s="38">
        <f>IFERROR(IF(B558="Tampa",INDEX(tbl_tampas[Massa_g],MATCH(A558,tbl_tampas[CapId],0)),INDEX(tbl_recyclass[Massa_Corpo_g],MATCH(A558,tbl_recyclass[ProductId],0))),0)</f>
        <v>21.4</v>
      </c>
      <c r="H558" s="32">
        <f t="shared" si="24"/>
        <v>7166.6459999999988</v>
      </c>
      <c r="I558" s="36">
        <f>IFERROR(IF(B558="Tampa",INDEX(tbl_tampas[Pct_PCR],MATCH(A558,tbl_tampas[CapId],0)),INDEX(tbl_recyclass[Pct_PCR_Corpo],MATCH(A558,tbl_recyclass[ProductId],0))),0)</f>
        <v>0</v>
      </c>
      <c r="J558" s="32">
        <f t="shared" si="25"/>
        <v>0</v>
      </c>
      <c r="K558" s="32">
        <f t="shared" si="26"/>
        <v>7166.6459999999988</v>
      </c>
      <c r="L558" s="43">
        <f>IF(C558="ES",K558*INDEX(tbl_param_emb[Valor],MATCH("P-01",tbl_param_emb[ID_Parametro],0)),0)</f>
        <v>0</v>
      </c>
      <c r="M558" s="33" t="str">
        <f>IF(B558="Tampa","Componente",IFERROR(INDEX(tbl_recyclass[Grau_PPWR_Indicativo],MATCH(A558,tbl_recyclass[ProductId],0)),""))</f>
        <v>Componente</v>
      </c>
    </row>
    <row r="559" spans="1:13" ht="16.05" customHeight="1" x14ac:dyDescent="0.3">
      <c r="A559" s="26" t="s">
        <v>484</v>
      </c>
      <c r="B559" s="26" t="s">
        <v>931</v>
      </c>
      <c r="C559" s="26" t="s">
        <v>1474</v>
      </c>
      <c r="D559" s="26" t="s">
        <v>1475</v>
      </c>
      <c r="E559" s="39">
        <v>2</v>
      </c>
      <c r="F559" s="37">
        <v>95787</v>
      </c>
      <c r="G559" s="38">
        <f>IFERROR(IF(B559="Tampa",INDEX(tbl_tampas[Massa_g],MATCH(A559,tbl_tampas[CapId],0)),INDEX(tbl_recyclass[Massa_Corpo_g],MATCH(A559,tbl_recyclass[ProductId],0))),0)</f>
        <v>21.4</v>
      </c>
      <c r="H559" s="32">
        <f t="shared" si="24"/>
        <v>2049.8417999999997</v>
      </c>
      <c r="I559" s="36">
        <f>IFERROR(IF(B559="Tampa",INDEX(tbl_tampas[Pct_PCR],MATCH(A559,tbl_tampas[CapId],0)),INDEX(tbl_recyclass[Pct_PCR_Corpo],MATCH(A559,tbl_recyclass[ProductId],0))),0)</f>
        <v>0</v>
      </c>
      <c r="J559" s="32">
        <f t="shared" si="25"/>
        <v>0</v>
      </c>
      <c r="K559" s="32">
        <f t="shared" si="26"/>
        <v>2049.8417999999997</v>
      </c>
      <c r="L559" s="43">
        <f>IF(C559="ES",K559*INDEX(tbl_param_emb[Valor],MATCH("P-01",tbl_param_emb[ID_Parametro],0)),0)</f>
        <v>922.42880999999988</v>
      </c>
      <c r="M559" s="33" t="str">
        <f>IF(B559="Tampa","Componente",IFERROR(INDEX(tbl_recyclass[Grau_PPWR_Indicativo],MATCH(A559,tbl_recyclass[ProductId],0)),""))</f>
        <v>Componente</v>
      </c>
    </row>
    <row r="560" spans="1:13" ht="16.05" customHeight="1" x14ac:dyDescent="0.3">
      <c r="A560" s="26" t="s">
        <v>481</v>
      </c>
      <c r="B560" s="26" t="s">
        <v>931</v>
      </c>
      <c r="C560" s="26" t="s">
        <v>1476</v>
      </c>
      <c r="D560" s="26" t="s">
        <v>1477</v>
      </c>
      <c r="E560" s="39">
        <v>1</v>
      </c>
      <c r="F560" s="37">
        <v>34489</v>
      </c>
      <c r="G560" s="38">
        <f>IFERROR(IF(B560="Tampa",INDEX(tbl_tampas[Massa_g],MATCH(A560,tbl_tampas[CapId],0)),INDEX(tbl_recyclass[Massa_Corpo_g],MATCH(A560,tbl_recyclass[ProductId],0))),0)</f>
        <v>19.3</v>
      </c>
      <c r="H560" s="32">
        <f t="shared" si="24"/>
        <v>665.63770000000011</v>
      </c>
      <c r="I560" s="36">
        <f>IFERROR(IF(B560="Tampa",INDEX(tbl_tampas[Pct_PCR],MATCH(A560,tbl_tampas[CapId],0)),INDEX(tbl_recyclass[Pct_PCR_Corpo],MATCH(A560,tbl_recyclass[ProductId],0))),0)</f>
        <v>0</v>
      </c>
      <c r="J560" s="32">
        <f t="shared" si="25"/>
        <v>0</v>
      </c>
      <c r="K560" s="32">
        <f t="shared" si="26"/>
        <v>665.63770000000011</v>
      </c>
      <c r="L560" s="43">
        <f>IF(C560="ES",K560*INDEX(tbl_param_emb[Valor],MATCH("P-01",tbl_param_emb[ID_Parametro],0)),0)</f>
        <v>0</v>
      </c>
      <c r="M560" s="33" t="str">
        <f>IF(B560="Tampa","Componente",IFERROR(INDEX(tbl_recyclass[Grau_PPWR_Indicativo],MATCH(A560,tbl_recyclass[ProductId],0)),""))</f>
        <v>Componente</v>
      </c>
    </row>
    <row r="561" spans="1:13" ht="16.05" customHeight="1" x14ac:dyDescent="0.3">
      <c r="A561" s="26" t="s">
        <v>481</v>
      </c>
      <c r="B561" s="26" t="s">
        <v>931</v>
      </c>
      <c r="C561" s="26" t="s">
        <v>1478</v>
      </c>
      <c r="D561" s="26" t="s">
        <v>1479</v>
      </c>
      <c r="E561" s="39">
        <v>1</v>
      </c>
      <c r="F561" s="37">
        <v>62644</v>
      </c>
      <c r="G561" s="38">
        <f>IFERROR(IF(B561="Tampa",INDEX(tbl_tampas[Massa_g],MATCH(A561,tbl_tampas[CapId],0)),INDEX(tbl_recyclass[Massa_Corpo_g],MATCH(A561,tbl_recyclass[ProductId],0))),0)</f>
        <v>19.3</v>
      </c>
      <c r="H561" s="32">
        <f t="shared" si="24"/>
        <v>1209.0291999999999</v>
      </c>
      <c r="I561" s="36">
        <f>IFERROR(IF(B561="Tampa",INDEX(tbl_tampas[Pct_PCR],MATCH(A561,tbl_tampas[CapId],0)),INDEX(tbl_recyclass[Pct_PCR_Corpo],MATCH(A561,tbl_recyclass[ProductId],0))),0)</f>
        <v>0</v>
      </c>
      <c r="J561" s="32">
        <f t="shared" si="25"/>
        <v>0</v>
      </c>
      <c r="K561" s="32">
        <f t="shared" si="26"/>
        <v>1209.0291999999999</v>
      </c>
      <c r="L561" s="43">
        <f>IF(C561="ES",K561*INDEX(tbl_param_emb[Valor],MATCH("P-01",tbl_param_emb[ID_Parametro],0)),0)</f>
        <v>0</v>
      </c>
      <c r="M561" s="33" t="str">
        <f>IF(B561="Tampa","Componente",IFERROR(INDEX(tbl_recyclass[Grau_PPWR_Indicativo],MATCH(A561,tbl_recyclass[ProductId],0)),""))</f>
        <v>Componente</v>
      </c>
    </row>
    <row r="562" spans="1:13" ht="16.05" customHeight="1" x14ac:dyDescent="0.3">
      <c r="A562" s="26" t="s">
        <v>481</v>
      </c>
      <c r="B562" s="26" t="s">
        <v>931</v>
      </c>
      <c r="C562" s="26" t="s">
        <v>1480</v>
      </c>
      <c r="D562" s="26" t="s">
        <v>1481</v>
      </c>
      <c r="E562" s="39">
        <v>1</v>
      </c>
      <c r="F562" s="37">
        <v>36800</v>
      </c>
      <c r="G562" s="38">
        <f>IFERROR(IF(B562="Tampa",INDEX(tbl_tampas[Massa_g],MATCH(A562,tbl_tampas[CapId],0)),INDEX(tbl_recyclass[Massa_Corpo_g],MATCH(A562,tbl_recyclass[ProductId],0))),0)</f>
        <v>19.3</v>
      </c>
      <c r="H562" s="32">
        <f t="shared" si="24"/>
        <v>710.24</v>
      </c>
      <c r="I562" s="36">
        <f>IFERROR(IF(B562="Tampa",INDEX(tbl_tampas[Pct_PCR],MATCH(A562,tbl_tampas[CapId],0)),INDEX(tbl_recyclass[Pct_PCR_Corpo],MATCH(A562,tbl_recyclass[ProductId],0))),0)</f>
        <v>0</v>
      </c>
      <c r="J562" s="32">
        <f t="shared" si="25"/>
        <v>0</v>
      </c>
      <c r="K562" s="32">
        <f t="shared" si="26"/>
        <v>710.24</v>
      </c>
      <c r="L562" s="43">
        <f>IF(C562="ES",K562*INDEX(tbl_param_emb[Valor],MATCH("P-01",tbl_param_emb[ID_Parametro],0)),0)</f>
        <v>0</v>
      </c>
      <c r="M562" s="33" t="str">
        <f>IF(B562="Tampa","Componente",IFERROR(INDEX(tbl_recyclass[Grau_PPWR_Indicativo],MATCH(A562,tbl_recyclass[ProductId],0)),""))</f>
        <v>Componente</v>
      </c>
    </row>
    <row r="563" spans="1:13" ht="16.05" customHeight="1" x14ac:dyDescent="0.3">
      <c r="A563" s="26" t="s">
        <v>481</v>
      </c>
      <c r="B563" s="26" t="s">
        <v>931</v>
      </c>
      <c r="C563" s="26" t="s">
        <v>847</v>
      </c>
      <c r="D563" s="26" t="s">
        <v>1471</v>
      </c>
      <c r="E563" s="39">
        <v>8</v>
      </c>
      <c r="F563" s="37">
        <v>235866</v>
      </c>
      <c r="G563" s="38">
        <f>IFERROR(IF(B563="Tampa",INDEX(tbl_tampas[Massa_g],MATCH(A563,tbl_tampas[CapId],0)),INDEX(tbl_recyclass[Massa_Corpo_g],MATCH(A563,tbl_recyclass[ProductId],0))),0)</f>
        <v>19.3</v>
      </c>
      <c r="H563" s="32">
        <f t="shared" si="24"/>
        <v>4552.2137999999995</v>
      </c>
      <c r="I563" s="36">
        <f>IFERROR(IF(B563="Tampa",INDEX(tbl_tampas[Pct_PCR],MATCH(A563,tbl_tampas[CapId],0)),INDEX(tbl_recyclass[Pct_PCR_Corpo],MATCH(A563,tbl_recyclass[ProductId],0))),0)</f>
        <v>0</v>
      </c>
      <c r="J563" s="32">
        <f t="shared" si="25"/>
        <v>0</v>
      </c>
      <c r="K563" s="32">
        <f t="shared" si="26"/>
        <v>4552.2137999999995</v>
      </c>
      <c r="L563" s="43">
        <f>IF(C563="ES",K563*INDEX(tbl_param_emb[Valor],MATCH("P-01",tbl_param_emb[ID_Parametro],0)),0)</f>
        <v>0</v>
      </c>
      <c r="M563" s="33" t="str">
        <f>IF(B563="Tampa","Componente",IFERROR(INDEX(tbl_recyclass[Grau_PPWR_Indicativo],MATCH(A563,tbl_recyclass[ProductId],0)),""))</f>
        <v>Componente</v>
      </c>
    </row>
    <row r="564" spans="1:13" ht="16.05" customHeight="1" x14ac:dyDescent="0.3">
      <c r="A564" s="26" t="s">
        <v>481</v>
      </c>
      <c r="B564" s="26" t="s">
        <v>931</v>
      </c>
      <c r="C564" s="26" t="s">
        <v>1474</v>
      </c>
      <c r="D564" s="26" t="s">
        <v>1475</v>
      </c>
      <c r="E564" s="39">
        <v>2</v>
      </c>
      <c r="F564" s="37">
        <v>96977</v>
      </c>
      <c r="G564" s="38">
        <f>IFERROR(IF(B564="Tampa",INDEX(tbl_tampas[Massa_g],MATCH(A564,tbl_tampas[CapId],0)),INDEX(tbl_recyclass[Massa_Corpo_g],MATCH(A564,tbl_recyclass[ProductId],0))),0)</f>
        <v>19.3</v>
      </c>
      <c r="H564" s="32">
        <f t="shared" si="24"/>
        <v>1871.6561000000002</v>
      </c>
      <c r="I564" s="36">
        <f>IFERROR(IF(B564="Tampa",INDEX(tbl_tampas[Pct_PCR],MATCH(A564,tbl_tampas[CapId],0)),INDEX(tbl_recyclass[Pct_PCR_Corpo],MATCH(A564,tbl_recyclass[ProductId],0))),0)</f>
        <v>0</v>
      </c>
      <c r="J564" s="32">
        <f t="shared" si="25"/>
        <v>0</v>
      </c>
      <c r="K564" s="32">
        <f t="shared" si="26"/>
        <v>1871.6561000000002</v>
      </c>
      <c r="L564" s="43">
        <f>IF(C564="ES",K564*INDEX(tbl_param_emb[Valor],MATCH("P-01",tbl_param_emb[ID_Parametro],0)),0)</f>
        <v>842.24524500000007</v>
      </c>
      <c r="M564" s="33" t="str">
        <f>IF(B564="Tampa","Componente",IFERROR(INDEX(tbl_recyclass[Grau_PPWR_Indicativo],MATCH(A564,tbl_recyclass[ProductId],0)),""))</f>
        <v>Componente</v>
      </c>
    </row>
    <row r="565" spans="1:13" ht="16.05" customHeight="1" x14ac:dyDescent="0.3">
      <c r="A565" s="26" t="s">
        <v>483</v>
      </c>
      <c r="B565" s="26" t="s">
        <v>931</v>
      </c>
      <c r="C565" s="26" t="s">
        <v>1476</v>
      </c>
      <c r="D565" s="26" t="s">
        <v>1477</v>
      </c>
      <c r="E565" s="39">
        <v>1</v>
      </c>
      <c r="F565" s="37">
        <v>6157</v>
      </c>
      <c r="G565" s="38">
        <f>IFERROR(IF(B565="Tampa",INDEX(tbl_tampas[Massa_g],MATCH(A565,tbl_tampas[CapId],0)),INDEX(tbl_recyclass[Massa_Corpo_g],MATCH(A565,tbl_recyclass[ProductId],0))),0)</f>
        <v>19.3</v>
      </c>
      <c r="H565" s="32">
        <f t="shared" si="24"/>
        <v>118.8301</v>
      </c>
      <c r="I565" s="36">
        <f>IFERROR(IF(B565="Tampa",INDEX(tbl_tampas[Pct_PCR],MATCH(A565,tbl_tampas[CapId],0)),INDEX(tbl_recyclass[Pct_PCR_Corpo],MATCH(A565,tbl_recyclass[ProductId],0))),0)</f>
        <v>0.3</v>
      </c>
      <c r="J565" s="32">
        <f t="shared" si="25"/>
        <v>35.649029999999996</v>
      </c>
      <c r="K565" s="32">
        <f t="shared" si="26"/>
        <v>83.181070000000005</v>
      </c>
      <c r="L565" s="43">
        <f>IF(C565="ES",K565*INDEX(tbl_param_emb[Valor],MATCH("P-01",tbl_param_emb[ID_Parametro],0)),0)</f>
        <v>0</v>
      </c>
      <c r="M565" s="33" t="str">
        <f>IF(B565="Tampa","Componente",IFERROR(INDEX(tbl_recyclass[Grau_PPWR_Indicativo],MATCH(A565,tbl_recyclass[ProductId],0)),""))</f>
        <v>Componente</v>
      </c>
    </row>
    <row r="566" spans="1:13" ht="16.05" customHeight="1" x14ac:dyDescent="0.3">
      <c r="A566" s="26" t="s">
        <v>483</v>
      </c>
      <c r="B566" s="26" t="s">
        <v>931</v>
      </c>
      <c r="C566" s="26" t="s">
        <v>1472</v>
      </c>
      <c r="D566" s="26" t="s">
        <v>1473</v>
      </c>
      <c r="E566" s="39">
        <v>1</v>
      </c>
      <c r="F566" s="37">
        <v>21574</v>
      </c>
      <c r="G566" s="38">
        <f>IFERROR(IF(B566="Tampa",INDEX(tbl_tampas[Massa_g],MATCH(A566,tbl_tampas[CapId],0)),INDEX(tbl_recyclass[Massa_Corpo_g],MATCH(A566,tbl_recyclass[ProductId],0))),0)</f>
        <v>19.3</v>
      </c>
      <c r="H566" s="32">
        <f t="shared" si="24"/>
        <v>416.37819999999999</v>
      </c>
      <c r="I566" s="36">
        <f>IFERROR(IF(B566="Tampa",INDEX(tbl_tampas[Pct_PCR],MATCH(A566,tbl_tampas[CapId],0)),INDEX(tbl_recyclass[Pct_PCR_Corpo],MATCH(A566,tbl_recyclass[ProductId],0))),0)</f>
        <v>0.3</v>
      </c>
      <c r="J566" s="32">
        <f t="shared" si="25"/>
        <v>124.91345999999999</v>
      </c>
      <c r="K566" s="32">
        <f t="shared" si="26"/>
        <v>291.46474000000001</v>
      </c>
      <c r="L566" s="43">
        <f>IF(C566="ES",K566*INDEX(tbl_param_emb[Valor],MATCH("P-01",tbl_param_emb[ID_Parametro],0)),0)</f>
        <v>0</v>
      </c>
      <c r="M566" s="33" t="str">
        <f>IF(B566="Tampa","Componente",IFERROR(INDEX(tbl_recyclass[Grau_PPWR_Indicativo],MATCH(A566,tbl_recyclass[ProductId],0)),""))</f>
        <v>Componente</v>
      </c>
    </row>
    <row r="567" spans="1:13" ht="16.05" customHeight="1" x14ac:dyDescent="0.3">
      <c r="A567" s="26" t="s">
        <v>483</v>
      </c>
      <c r="B567" s="26" t="s">
        <v>931</v>
      </c>
      <c r="C567" s="26" t="s">
        <v>1478</v>
      </c>
      <c r="D567" s="26" t="s">
        <v>1479</v>
      </c>
      <c r="E567" s="39">
        <v>1</v>
      </c>
      <c r="F567" s="37">
        <v>36990</v>
      </c>
      <c r="G567" s="38">
        <f>IFERROR(IF(B567="Tampa",INDEX(tbl_tampas[Massa_g],MATCH(A567,tbl_tampas[CapId],0)),INDEX(tbl_recyclass[Massa_Corpo_g],MATCH(A567,tbl_recyclass[ProductId],0))),0)</f>
        <v>19.3</v>
      </c>
      <c r="H567" s="32">
        <f t="shared" si="24"/>
        <v>713.90700000000004</v>
      </c>
      <c r="I567" s="36">
        <f>IFERROR(IF(B567="Tampa",INDEX(tbl_tampas[Pct_PCR],MATCH(A567,tbl_tampas[CapId],0)),INDEX(tbl_recyclass[Pct_PCR_Corpo],MATCH(A567,tbl_recyclass[ProductId],0))),0)</f>
        <v>0.3</v>
      </c>
      <c r="J567" s="32">
        <f t="shared" si="25"/>
        <v>214.1721</v>
      </c>
      <c r="K567" s="32">
        <f t="shared" si="26"/>
        <v>499.73490000000004</v>
      </c>
      <c r="L567" s="43">
        <f>IF(C567="ES",K567*INDEX(tbl_param_emb[Valor],MATCH("P-01",tbl_param_emb[ID_Parametro],0)),0)</f>
        <v>0</v>
      </c>
      <c r="M567" s="33" t="str">
        <f>IF(B567="Tampa","Componente",IFERROR(INDEX(tbl_recyclass[Grau_PPWR_Indicativo],MATCH(A567,tbl_recyclass[ProductId],0)),""))</f>
        <v>Componente</v>
      </c>
    </row>
    <row r="568" spans="1:13" ht="16.05" customHeight="1" x14ac:dyDescent="0.3">
      <c r="A568" s="26" t="s">
        <v>483</v>
      </c>
      <c r="B568" s="26" t="s">
        <v>931</v>
      </c>
      <c r="C568" s="26" t="s">
        <v>1480</v>
      </c>
      <c r="D568" s="26" t="s">
        <v>1481</v>
      </c>
      <c r="E568" s="39">
        <v>1</v>
      </c>
      <c r="F568" s="37">
        <v>40257</v>
      </c>
      <c r="G568" s="38">
        <f>IFERROR(IF(B568="Tampa",INDEX(tbl_tampas[Massa_g],MATCH(A568,tbl_tampas[CapId],0)),INDEX(tbl_recyclass[Massa_Corpo_g],MATCH(A568,tbl_recyclass[ProductId],0))),0)</f>
        <v>19.3</v>
      </c>
      <c r="H568" s="32">
        <f t="shared" si="24"/>
        <v>776.96010000000001</v>
      </c>
      <c r="I568" s="36">
        <f>IFERROR(IF(B568="Tampa",INDEX(tbl_tampas[Pct_PCR],MATCH(A568,tbl_tampas[CapId],0)),INDEX(tbl_recyclass[Pct_PCR_Corpo],MATCH(A568,tbl_recyclass[ProductId],0))),0)</f>
        <v>0.3</v>
      </c>
      <c r="J568" s="32">
        <f t="shared" si="25"/>
        <v>233.08803</v>
      </c>
      <c r="K568" s="32">
        <f t="shared" si="26"/>
        <v>543.87207000000001</v>
      </c>
      <c r="L568" s="43">
        <f>IF(C568="ES",K568*INDEX(tbl_param_emb[Valor],MATCH("P-01",tbl_param_emb[ID_Parametro],0)),0)</f>
        <v>0</v>
      </c>
      <c r="M568" s="33" t="str">
        <f>IF(B568="Tampa","Componente",IFERROR(INDEX(tbl_recyclass[Grau_PPWR_Indicativo],MATCH(A568,tbl_recyclass[ProductId],0)),""))</f>
        <v>Componente</v>
      </c>
    </row>
    <row r="569" spans="1:13" ht="16.05" customHeight="1" x14ac:dyDescent="0.3">
      <c r="A569" s="26" t="s">
        <v>483</v>
      </c>
      <c r="B569" s="26" t="s">
        <v>931</v>
      </c>
      <c r="C569" s="26" t="s">
        <v>847</v>
      </c>
      <c r="D569" s="26" t="s">
        <v>1471</v>
      </c>
      <c r="E569" s="39">
        <v>8</v>
      </c>
      <c r="F569" s="37">
        <v>147400</v>
      </c>
      <c r="G569" s="38">
        <f>IFERROR(IF(B569="Tampa",INDEX(tbl_tampas[Massa_g],MATCH(A569,tbl_tampas[CapId],0)),INDEX(tbl_recyclass[Massa_Corpo_g],MATCH(A569,tbl_recyclass[ProductId],0))),0)</f>
        <v>19.3</v>
      </c>
      <c r="H569" s="32">
        <f t="shared" si="24"/>
        <v>2844.82</v>
      </c>
      <c r="I569" s="36">
        <f>IFERROR(IF(B569="Tampa",INDEX(tbl_tampas[Pct_PCR],MATCH(A569,tbl_tampas[CapId],0)),INDEX(tbl_recyclass[Pct_PCR_Corpo],MATCH(A569,tbl_recyclass[ProductId],0))),0)</f>
        <v>0.3</v>
      </c>
      <c r="J569" s="32">
        <f t="shared" si="25"/>
        <v>853.44600000000003</v>
      </c>
      <c r="K569" s="32">
        <f t="shared" si="26"/>
        <v>1991.3740000000003</v>
      </c>
      <c r="L569" s="43">
        <f>IF(C569="ES",K569*INDEX(tbl_param_emb[Valor],MATCH("P-01",tbl_param_emb[ID_Parametro],0)),0)</f>
        <v>0</v>
      </c>
      <c r="M569" s="33" t="str">
        <f>IF(B569="Tampa","Componente",IFERROR(INDEX(tbl_recyclass[Grau_PPWR_Indicativo],MATCH(A569,tbl_recyclass[ProductId],0)),""))</f>
        <v>Componente</v>
      </c>
    </row>
    <row r="570" spans="1:13" ht="16.05" customHeight="1" x14ac:dyDescent="0.3">
      <c r="A570" s="26" t="s">
        <v>483</v>
      </c>
      <c r="B570" s="26" t="s">
        <v>931</v>
      </c>
      <c r="C570" s="26" t="s">
        <v>1474</v>
      </c>
      <c r="D570" s="26" t="s">
        <v>1475</v>
      </c>
      <c r="E570" s="39">
        <v>2</v>
      </c>
      <c r="F570" s="37">
        <v>54309</v>
      </c>
      <c r="G570" s="38">
        <f>IFERROR(IF(B570="Tampa",INDEX(tbl_tampas[Massa_g],MATCH(A570,tbl_tampas[CapId],0)),INDEX(tbl_recyclass[Massa_Corpo_g],MATCH(A570,tbl_recyclass[ProductId],0))),0)</f>
        <v>19.3</v>
      </c>
      <c r="H570" s="32">
        <f t="shared" si="24"/>
        <v>1048.1637000000001</v>
      </c>
      <c r="I570" s="36">
        <f>IFERROR(IF(B570="Tampa",INDEX(tbl_tampas[Pct_PCR],MATCH(A570,tbl_tampas[CapId],0)),INDEX(tbl_recyclass[Pct_PCR_Corpo],MATCH(A570,tbl_recyclass[ProductId],0))),0)</f>
        <v>0.3</v>
      </c>
      <c r="J570" s="32">
        <f t="shared" si="25"/>
        <v>314.44911000000002</v>
      </c>
      <c r="K570" s="32">
        <f t="shared" si="26"/>
        <v>733.71459000000004</v>
      </c>
      <c r="L570" s="43">
        <f>IF(C570="ES",K570*INDEX(tbl_param_emb[Valor],MATCH("P-01",tbl_param_emb[ID_Parametro],0)),0)</f>
        <v>330.17156550000004</v>
      </c>
      <c r="M570" s="33" t="str">
        <f>IF(B570="Tampa","Componente",IFERROR(INDEX(tbl_recyclass[Grau_PPWR_Indicativo],MATCH(A570,tbl_recyclass[ProductId],0)),""))</f>
        <v>Componente</v>
      </c>
    </row>
    <row r="571" spans="1:13" ht="16.05" customHeight="1" x14ac:dyDescent="0.3">
      <c r="A571" s="26" t="s">
        <v>490</v>
      </c>
      <c r="B571" s="26" t="s">
        <v>931</v>
      </c>
      <c r="C571" s="26" t="s">
        <v>1476</v>
      </c>
      <c r="D571" s="26" t="s">
        <v>1477</v>
      </c>
      <c r="E571" s="39">
        <v>1</v>
      </c>
      <c r="F571" s="37">
        <v>14107</v>
      </c>
      <c r="G571" s="38">
        <f>IFERROR(IF(B571="Tampa",INDEX(tbl_tampas[Massa_g],MATCH(A571,tbl_tampas[CapId],0)),INDEX(tbl_recyclass[Massa_Corpo_g],MATCH(A571,tbl_recyclass[ProductId],0))),0)</f>
        <v>21.4</v>
      </c>
      <c r="H571" s="32">
        <f t="shared" si="24"/>
        <v>301.88979999999998</v>
      </c>
      <c r="I571" s="36">
        <f>IFERROR(IF(B571="Tampa",INDEX(tbl_tampas[Pct_PCR],MATCH(A571,tbl_tampas[CapId],0)),INDEX(tbl_recyclass[Pct_PCR_Corpo],MATCH(A571,tbl_recyclass[ProductId],0))),0)</f>
        <v>0</v>
      </c>
      <c r="J571" s="32">
        <f t="shared" si="25"/>
        <v>0</v>
      </c>
      <c r="K571" s="32">
        <f t="shared" si="26"/>
        <v>301.88979999999998</v>
      </c>
      <c r="L571" s="43">
        <f>IF(C571="ES",K571*INDEX(tbl_param_emb[Valor],MATCH("P-01",tbl_param_emb[ID_Parametro],0)),0)</f>
        <v>0</v>
      </c>
      <c r="M571" s="33" t="str">
        <f>IF(B571="Tampa","Componente",IFERROR(INDEX(tbl_recyclass[Grau_PPWR_Indicativo],MATCH(A571,tbl_recyclass[ProductId],0)),""))</f>
        <v>Componente</v>
      </c>
    </row>
    <row r="572" spans="1:13" ht="16.05" customHeight="1" x14ac:dyDescent="0.3">
      <c r="A572" s="26" t="s">
        <v>490</v>
      </c>
      <c r="B572" s="26" t="s">
        <v>931</v>
      </c>
      <c r="C572" s="26" t="s">
        <v>1472</v>
      </c>
      <c r="D572" s="26" t="s">
        <v>1473</v>
      </c>
      <c r="E572" s="39">
        <v>1</v>
      </c>
      <c r="F572" s="37">
        <v>58883</v>
      </c>
      <c r="G572" s="38">
        <f>IFERROR(IF(B572="Tampa",INDEX(tbl_tampas[Massa_g],MATCH(A572,tbl_tampas[CapId],0)),INDEX(tbl_recyclass[Massa_Corpo_g],MATCH(A572,tbl_recyclass[ProductId],0))),0)</f>
        <v>21.4</v>
      </c>
      <c r="H572" s="32">
        <f t="shared" si="24"/>
        <v>1260.0962</v>
      </c>
      <c r="I572" s="36">
        <f>IFERROR(IF(B572="Tampa",INDEX(tbl_tampas[Pct_PCR],MATCH(A572,tbl_tampas[CapId],0)),INDEX(tbl_recyclass[Pct_PCR_Corpo],MATCH(A572,tbl_recyclass[ProductId],0))),0)</f>
        <v>0</v>
      </c>
      <c r="J572" s="32">
        <f t="shared" si="25"/>
        <v>0</v>
      </c>
      <c r="K572" s="32">
        <f t="shared" si="26"/>
        <v>1260.0962</v>
      </c>
      <c r="L572" s="43">
        <f>IF(C572="ES",K572*INDEX(tbl_param_emb[Valor],MATCH("P-01",tbl_param_emb[ID_Parametro],0)),0)</f>
        <v>0</v>
      </c>
      <c r="M572" s="33" t="str">
        <f>IF(B572="Tampa","Componente",IFERROR(INDEX(tbl_recyclass[Grau_PPWR_Indicativo],MATCH(A572,tbl_recyclass[ProductId],0)),""))</f>
        <v>Componente</v>
      </c>
    </row>
    <row r="573" spans="1:13" ht="16.05" customHeight="1" x14ac:dyDescent="0.3">
      <c r="A573" s="26" t="s">
        <v>490</v>
      </c>
      <c r="B573" s="26" t="s">
        <v>931</v>
      </c>
      <c r="C573" s="26" t="s">
        <v>1478</v>
      </c>
      <c r="D573" s="26" t="s">
        <v>1479</v>
      </c>
      <c r="E573" s="39">
        <v>1</v>
      </c>
      <c r="F573" s="37">
        <v>39074</v>
      </c>
      <c r="G573" s="38">
        <f>IFERROR(IF(B573="Tampa",INDEX(tbl_tampas[Massa_g],MATCH(A573,tbl_tampas[CapId],0)),INDEX(tbl_recyclass[Massa_Corpo_g],MATCH(A573,tbl_recyclass[ProductId],0))),0)</f>
        <v>21.4</v>
      </c>
      <c r="H573" s="32">
        <f t="shared" si="24"/>
        <v>836.18359999999996</v>
      </c>
      <c r="I573" s="36">
        <f>IFERROR(IF(B573="Tampa",INDEX(tbl_tampas[Pct_PCR],MATCH(A573,tbl_tampas[CapId],0)),INDEX(tbl_recyclass[Pct_PCR_Corpo],MATCH(A573,tbl_recyclass[ProductId],0))),0)</f>
        <v>0</v>
      </c>
      <c r="J573" s="32">
        <f t="shared" si="25"/>
        <v>0</v>
      </c>
      <c r="K573" s="32">
        <f t="shared" si="26"/>
        <v>836.18359999999996</v>
      </c>
      <c r="L573" s="43">
        <f>IF(C573="ES",K573*INDEX(tbl_param_emb[Valor],MATCH("P-01",tbl_param_emb[ID_Parametro],0)),0)</f>
        <v>0</v>
      </c>
      <c r="M573" s="33" t="str">
        <f>IF(B573="Tampa","Componente",IFERROR(INDEX(tbl_recyclass[Grau_PPWR_Indicativo],MATCH(A573,tbl_recyclass[ProductId],0)),""))</f>
        <v>Componente</v>
      </c>
    </row>
    <row r="574" spans="1:13" ht="16.05" customHeight="1" x14ac:dyDescent="0.3">
      <c r="A574" s="26" t="s">
        <v>490</v>
      </c>
      <c r="B574" s="26" t="s">
        <v>931</v>
      </c>
      <c r="C574" s="26" t="s">
        <v>1480</v>
      </c>
      <c r="D574" s="26" t="s">
        <v>1481</v>
      </c>
      <c r="E574" s="39">
        <v>1</v>
      </c>
      <c r="F574" s="37">
        <v>23107</v>
      </c>
      <c r="G574" s="38">
        <f>IFERROR(IF(B574="Tampa",INDEX(tbl_tampas[Massa_g],MATCH(A574,tbl_tampas[CapId],0)),INDEX(tbl_recyclass[Massa_Corpo_g],MATCH(A574,tbl_recyclass[ProductId],0))),0)</f>
        <v>21.4</v>
      </c>
      <c r="H574" s="32">
        <f t="shared" si="24"/>
        <v>494.4898</v>
      </c>
      <c r="I574" s="36">
        <f>IFERROR(IF(B574="Tampa",INDEX(tbl_tampas[Pct_PCR],MATCH(A574,tbl_tampas[CapId],0)),INDEX(tbl_recyclass[Pct_PCR_Corpo],MATCH(A574,tbl_recyclass[ProductId],0))),0)</f>
        <v>0</v>
      </c>
      <c r="J574" s="32">
        <f t="shared" si="25"/>
        <v>0</v>
      </c>
      <c r="K574" s="32">
        <f t="shared" si="26"/>
        <v>494.4898</v>
      </c>
      <c r="L574" s="43">
        <f>IF(C574="ES",K574*INDEX(tbl_param_emb[Valor],MATCH("P-01",tbl_param_emb[ID_Parametro],0)),0)</f>
        <v>0</v>
      </c>
      <c r="M574" s="33" t="str">
        <f>IF(B574="Tampa","Componente",IFERROR(INDEX(tbl_recyclass[Grau_PPWR_Indicativo],MATCH(A574,tbl_recyclass[ProductId],0)),""))</f>
        <v>Componente</v>
      </c>
    </row>
    <row r="575" spans="1:13" ht="16.05" customHeight="1" x14ac:dyDescent="0.3">
      <c r="A575" s="26" t="s">
        <v>490</v>
      </c>
      <c r="B575" s="26" t="s">
        <v>931</v>
      </c>
      <c r="C575" s="26" t="s">
        <v>847</v>
      </c>
      <c r="D575" s="26" t="s">
        <v>1471</v>
      </c>
      <c r="E575" s="39">
        <v>8</v>
      </c>
      <c r="F575" s="37">
        <v>128975</v>
      </c>
      <c r="G575" s="38">
        <f>IFERROR(IF(B575="Tampa",INDEX(tbl_tampas[Massa_g],MATCH(A575,tbl_tampas[CapId],0)),INDEX(tbl_recyclass[Massa_Corpo_g],MATCH(A575,tbl_recyclass[ProductId],0))),0)</f>
        <v>21.4</v>
      </c>
      <c r="H575" s="32">
        <f t="shared" si="24"/>
        <v>2760.0650000000001</v>
      </c>
      <c r="I575" s="36">
        <f>IFERROR(IF(B575="Tampa",INDEX(tbl_tampas[Pct_PCR],MATCH(A575,tbl_tampas[CapId],0)),INDEX(tbl_recyclass[Pct_PCR_Corpo],MATCH(A575,tbl_recyclass[ProductId],0))),0)</f>
        <v>0</v>
      </c>
      <c r="J575" s="32">
        <f t="shared" si="25"/>
        <v>0</v>
      </c>
      <c r="K575" s="32">
        <f t="shared" si="26"/>
        <v>2760.0650000000001</v>
      </c>
      <c r="L575" s="43">
        <f>IF(C575="ES",K575*INDEX(tbl_param_emb[Valor],MATCH("P-01",tbl_param_emb[ID_Parametro],0)),0)</f>
        <v>0</v>
      </c>
      <c r="M575" s="33" t="str">
        <f>IF(B575="Tampa","Componente",IFERROR(INDEX(tbl_recyclass[Grau_PPWR_Indicativo],MATCH(A575,tbl_recyclass[ProductId],0)),""))</f>
        <v>Componente</v>
      </c>
    </row>
    <row r="576" spans="1:13" ht="16.05" customHeight="1" x14ac:dyDescent="0.3">
      <c r="A576" s="26" t="s">
        <v>490</v>
      </c>
      <c r="B576" s="26" t="s">
        <v>931</v>
      </c>
      <c r="C576" s="26" t="s">
        <v>1474</v>
      </c>
      <c r="D576" s="26" t="s">
        <v>1475</v>
      </c>
      <c r="E576" s="39">
        <v>2</v>
      </c>
      <c r="F576" s="37">
        <v>38312</v>
      </c>
      <c r="G576" s="38">
        <f>IFERROR(IF(B576="Tampa",INDEX(tbl_tampas[Massa_g],MATCH(A576,tbl_tampas[CapId],0)),INDEX(tbl_recyclass[Massa_Corpo_g],MATCH(A576,tbl_recyclass[ProductId],0))),0)</f>
        <v>21.4</v>
      </c>
      <c r="H576" s="32">
        <f t="shared" si="24"/>
        <v>819.87679999999989</v>
      </c>
      <c r="I576" s="36">
        <f>IFERROR(IF(B576="Tampa",INDEX(tbl_tampas[Pct_PCR],MATCH(A576,tbl_tampas[CapId],0)),INDEX(tbl_recyclass[Pct_PCR_Corpo],MATCH(A576,tbl_recyclass[ProductId],0))),0)</f>
        <v>0</v>
      </c>
      <c r="J576" s="32">
        <f t="shared" si="25"/>
        <v>0</v>
      </c>
      <c r="K576" s="32">
        <f t="shared" si="26"/>
        <v>819.87679999999989</v>
      </c>
      <c r="L576" s="43">
        <f>IF(C576="ES",K576*INDEX(tbl_param_emb[Valor],MATCH("P-01",tbl_param_emb[ID_Parametro],0)),0)</f>
        <v>368.94455999999997</v>
      </c>
      <c r="M576" s="33" t="str">
        <f>IF(B576="Tampa","Componente",IFERROR(INDEX(tbl_recyclass[Grau_PPWR_Indicativo],MATCH(A576,tbl_recyclass[ProductId],0)),""))</f>
        <v>Componente</v>
      </c>
    </row>
    <row r="577" spans="1:13" ht="16.05" customHeight="1" x14ac:dyDescent="0.3">
      <c r="A577" s="26" t="s">
        <v>485</v>
      </c>
      <c r="B577" s="26" t="s">
        <v>931</v>
      </c>
      <c r="C577" s="26" t="s">
        <v>1476</v>
      </c>
      <c r="D577" s="26" t="s">
        <v>1477</v>
      </c>
      <c r="E577" s="39">
        <v>1</v>
      </c>
      <c r="F577" s="37">
        <v>19960</v>
      </c>
      <c r="G577" s="38">
        <f>IFERROR(IF(B577="Tampa",INDEX(tbl_tampas[Massa_g],MATCH(A577,tbl_tampas[CapId],0)),INDEX(tbl_recyclass[Massa_Corpo_g],MATCH(A577,tbl_recyclass[ProductId],0))),0)</f>
        <v>19.3</v>
      </c>
      <c r="H577" s="32">
        <f t="shared" si="24"/>
        <v>385.22800000000001</v>
      </c>
      <c r="I577" s="36">
        <f>IFERROR(IF(B577="Tampa",INDEX(tbl_tampas[Pct_PCR],MATCH(A577,tbl_tampas[CapId],0)),INDEX(tbl_recyclass[Pct_PCR_Corpo],MATCH(A577,tbl_recyclass[ProductId],0))),0)</f>
        <v>0</v>
      </c>
      <c r="J577" s="32">
        <f t="shared" si="25"/>
        <v>0</v>
      </c>
      <c r="K577" s="32">
        <f t="shared" si="26"/>
        <v>385.22800000000001</v>
      </c>
      <c r="L577" s="43">
        <f>IF(C577="ES",K577*INDEX(tbl_param_emb[Valor],MATCH("P-01",tbl_param_emb[ID_Parametro],0)),0)</f>
        <v>0</v>
      </c>
      <c r="M577" s="33" t="str">
        <f>IF(B577="Tampa","Componente",IFERROR(INDEX(tbl_recyclass[Grau_PPWR_Indicativo],MATCH(A577,tbl_recyclass[ProductId],0)),""))</f>
        <v>Componente</v>
      </c>
    </row>
    <row r="578" spans="1:13" ht="16.05" customHeight="1" x14ac:dyDescent="0.3">
      <c r="A578" s="26" t="s">
        <v>485</v>
      </c>
      <c r="B578" s="26" t="s">
        <v>931</v>
      </c>
      <c r="C578" s="26" t="s">
        <v>1472</v>
      </c>
      <c r="D578" s="26" t="s">
        <v>1473</v>
      </c>
      <c r="E578" s="39">
        <v>1</v>
      </c>
      <c r="F578" s="37">
        <v>47258</v>
      </c>
      <c r="G578" s="38">
        <f>IFERROR(IF(B578="Tampa",INDEX(tbl_tampas[Massa_g],MATCH(A578,tbl_tampas[CapId],0)),INDEX(tbl_recyclass[Massa_Corpo_g],MATCH(A578,tbl_recyclass[ProductId],0))),0)</f>
        <v>19.3</v>
      </c>
      <c r="H578" s="32">
        <f t="shared" ref="H578:H641" si="27">F578*G578/1000</f>
        <v>912.07940000000008</v>
      </c>
      <c r="I578" s="36">
        <f>IFERROR(IF(B578="Tampa",INDEX(tbl_tampas[Pct_PCR],MATCH(A578,tbl_tampas[CapId],0)),INDEX(tbl_recyclass[Pct_PCR_Corpo],MATCH(A578,tbl_recyclass[ProductId],0))),0)</f>
        <v>0</v>
      </c>
      <c r="J578" s="32">
        <f t="shared" ref="J578:J641" si="28">H578*I578</f>
        <v>0</v>
      </c>
      <c r="K578" s="32">
        <f t="shared" ref="K578:K641" si="29">H578-J578</f>
        <v>912.07940000000008</v>
      </c>
      <c r="L578" s="43">
        <f>IF(C578="ES",K578*INDEX(tbl_param_emb[Valor],MATCH("P-01",tbl_param_emb[ID_Parametro],0)),0)</f>
        <v>0</v>
      </c>
      <c r="M578" s="33" t="str">
        <f>IF(B578="Tampa","Componente",IFERROR(INDEX(tbl_recyclass[Grau_PPWR_Indicativo],MATCH(A578,tbl_recyclass[ProductId],0)),""))</f>
        <v>Componente</v>
      </c>
    </row>
    <row r="579" spans="1:13" ht="16.05" customHeight="1" x14ac:dyDescent="0.3">
      <c r="A579" s="26" t="s">
        <v>485</v>
      </c>
      <c r="B579" s="26" t="s">
        <v>931</v>
      </c>
      <c r="C579" s="26" t="s">
        <v>1478</v>
      </c>
      <c r="D579" s="26" t="s">
        <v>1479</v>
      </c>
      <c r="E579" s="39">
        <v>1</v>
      </c>
      <c r="F579" s="37">
        <v>15299</v>
      </c>
      <c r="G579" s="38">
        <f>IFERROR(IF(B579="Tampa",INDEX(tbl_tampas[Massa_g],MATCH(A579,tbl_tampas[CapId],0)),INDEX(tbl_recyclass[Massa_Corpo_g],MATCH(A579,tbl_recyclass[ProductId],0))),0)</f>
        <v>19.3</v>
      </c>
      <c r="H579" s="32">
        <f t="shared" si="27"/>
        <v>295.27070000000003</v>
      </c>
      <c r="I579" s="36">
        <f>IFERROR(IF(B579="Tampa",INDEX(tbl_tampas[Pct_PCR],MATCH(A579,tbl_tampas[CapId],0)),INDEX(tbl_recyclass[Pct_PCR_Corpo],MATCH(A579,tbl_recyclass[ProductId],0))),0)</f>
        <v>0</v>
      </c>
      <c r="J579" s="32">
        <f t="shared" si="28"/>
        <v>0</v>
      </c>
      <c r="K579" s="32">
        <f t="shared" si="29"/>
        <v>295.27070000000003</v>
      </c>
      <c r="L579" s="43">
        <f>IF(C579="ES",K579*INDEX(tbl_param_emb[Valor],MATCH("P-01",tbl_param_emb[ID_Parametro],0)),0)</f>
        <v>0</v>
      </c>
      <c r="M579" s="33" t="str">
        <f>IF(B579="Tampa","Componente",IFERROR(INDEX(tbl_recyclass[Grau_PPWR_Indicativo],MATCH(A579,tbl_recyclass[ProductId],0)),""))</f>
        <v>Componente</v>
      </c>
    </row>
    <row r="580" spans="1:13" ht="16.05" customHeight="1" x14ac:dyDescent="0.3">
      <c r="A580" s="26" t="s">
        <v>485</v>
      </c>
      <c r="B580" s="26" t="s">
        <v>931</v>
      </c>
      <c r="C580" s="26" t="s">
        <v>1480</v>
      </c>
      <c r="D580" s="26" t="s">
        <v>1481</v>
      </c>
      <c r="E580" s="39">
        <v>1</v>
      </c>
      <c r="F580" s="37">
        <v>23288</v>
      </c>
      <c r="G580" s="38">
        <f>IFERROR(IF(B580="Tampa",INDEX(tbl_tampas[Massa_g],MATCH(A580,tbl_tampas[CapId],0)),INDEX(tbl_recyclass[Massa_Corpo_g],MATCH(A580,tbl_recyclass[ProductId],0))),0)</f>
        <v>19.3</v>
      </c>
      <c r="H580" s="32">
        <f t="shared" si="27"/>
        <v>449.45840000000004</v>
      </c>
      <c r="I580" s="36">
        <f>IFERROR(IF(B580="Tampa",INDEX(tbl_tampas[Pct_PCR],MATCH(A580,tbl_tampas[CapId],0)),INDEX(tbl_recyclass[Pct_PCR_Corpo],MATCH(A580,tbl_recyclass[ProductId],0))),0)</f>
        <v>0</v>
      </c>
      <c r="J580" s="32">
        <f t="shared" si="28"/>
        <v>0</v>
      </c>
      <c r="K580" s="32">
        <f t="shared" si="29"/>
        <v>449.45840000000004</v>
      </c>
      <c r="L580" s="43">
        <f>IF(C580="ES",K580*INDEX(tbl_param_emb[Valor],MATCH("P-01",tbl_param_emb[ID_Parametro],0)),0)</f>
        <v>0</v>
      </c>
      <c r="M580" s="33" t="str">
        <f>IF(B580="Tampa","Componente",IFERROR(INDEX(tbl_recyclass[Grau_PPWR_Indicativo],MATCH(A580,tbl_recyclass[ProductId],0)),""))</f>
        <v>Componente</v>
      </c>
    </row>
    <row r="581" spans="1:13" ht="16.05" customHeight="1" x14ac:dyDescent="0.3">
      <c r="A581" s="26" t="s">
        <v>485</v>
      </c>
      <c r="B581" s="26" t="s">
        <v>931</v>
      </c>
      <c r="C581" s="26" t="s">
        <v>847</v>
      </c>
      <c r="D581" s="26" t="s">
        <v>1471</v>
      </c>
      <c r="E581" s="39">
        <v>7</v>
      </c>
      <c r="F581" s="37">
        <v>173478</v>
      </c>
      <c r="G581" s="38">
        <f>IFERROR(IF(B581="Tampa",INDEX(tbl_tampas[Massa_g],MATCH(A581,tbl_tampas[CapId],0)),INDEX(tbl_recyclass[Massa_Corpo_g],MATCH(A581,tbl_recyclass[ProductId],0))),0)</f>
        <v>19.3</v>
      </c>
      <c r="H581" s="32">
        <f t="shared" si="27"/>
        <v>3348.1253999999999</v>
      </c>
      <c r="I581" s="36">
        <f>IFERROR(IF(B581="Tampa",INDEX(tbl_tampas[Pct_PCR],MATCH(A581,tbl_tampas[CapId],0)),INDEX(tbl_recyclass[Pct_PCR_Corpo],MATCH(A581,tbl_recyclass[ProductId],0))),0)</f>
        <v>0</v>
      </c>
      <c r="J581" s="32">
        <f t="shared" si="28"/>
        <v>0</v>
      </c>
      <c r="K581" s="32">
        <f t="shared" si="29"/>
        <v>3348.1253999999999</v>
      </c>
      <c r="L581" s="43">
        <f>IF(C581="ES",K581*INDEX(tbl_param_emb[Valor],MATCH("P-01",tbl_param_emb[ID_Parametro],0)),0)</f>
        <v>0</v>
      </c>
      <c r="M581" s="33" t="str">
        <f>IF(B581="Tampa","Componente",IFERROR(INDEX(tbl_recyclass[Grau_PPWR_Indicativo],MATCH(A581,tbl_recyclass[ProductId],0)),""))</f>
        <v>Componente</v>
      </c>
    </row>
    <row r="582" spans="1:13" ht="16.05" customHeight="1" x14ac:dyDescent="0.3">
      <c r="A582" s="26" t="s">
        <v>485</v>
      </c>
      <c r="B582" s="26" t="s">
        <v>931</v>
      </c>
      <c r="C582" s="26" t="s">
        <v>1474</v>
      </c>
      <c r="D582" s="26" t="s">
        <v>1475</v>
      </c>
      <c r="E582" s="39">
        <v>2</v>
      </c>
      <c r="F582" s="37">
        <v>41887</v>
      </c>
      <c r="G582" s="38">
        <f>IFERROR(IF(B582="Tampa",INDEX(tbl_tampas[Massa_g],MATCH(A582,tbl_tampas[CapId],0)),INDEX(tbl_recyclass[Massa_Corpo_g],MATCH(A582,tbl_recyclass[ProductId],0))),0)</f>
        <v>19.3</v>
      </c>
      <c r="H582" s="32">
        <f t="shared" si="27"/>
        <v>808.41909999999996</v>
      </c>
      <c r="I582" s="36">
        <f>IFERROR(IF(B582="Tampa",INDEX(tbl_tampas[Pct_PCR],MATCH(A582,tbl_tampas[CapId],0)),INDEX(tbl_recyclass[Pct_PCR_Corpo],MATCH(A582,tbl_recyclass[ProductId],0))),0)</f>
        <v>0</v>
      </c>
      <c r="J582" s="32">
        <f t="shared" si="28"/>
        <v>0</v>
      </c>
      <c r="K582" s="32">
        <f t="shared" si="29"/>
        <v>808.41909999999996</v>
      </c>
      <c r="L582" s="43">
        <f>IF(C582="ES",K582*INDEX(tbl_param_emb[Valor],MATCH("P-01",tbl_param_emb[ID_Parametro],0)),0)</f>
        <v>363.78859499999999</v>
      </c>
      <c r="M582" s="33" t="str">
        <f>IF(B582="Tampa","Componente",IFERROR(INDEX(tbl_recyclass[Grau_PPWR_Indicativo],MATCH(A582,tbl_recyclass[ProductId],0)),""))</f>
        <v>Componente</v>
      </c>
    </row>
    <row r="583" spans="1:13" ht="16.05" customHeight="1" x14ac:dyDescent="0.3">
      <c r="A583" s="26" t="s">
        <v>488</v>
      </c>
      <c r="B583" s="26" t="s">
        <v>931</v>
      </c>
      <c r="C583" s="26" t="s">
        <v>1476</v>
      </c>
      <c r="D583" s="26" t="s">
        <v>1477</v>
      </c>
      <c r="E583" s="39">
        <v>1</v>
      </c>
      <c r="F583" s="37">
        <v>45571</v>
      </c>
      <c r="G583" s="38">
        <f>IFERROR(IF(B583="Tampa",INDEX(tbl_tampas[Massa_g],MATCH(A583,tbl_tampas[CapId],0)),INDEX(tbl_recyclass[Massa_Corpo_g],MATCH(A583,tbl_recyclass[ProductId],0))),0)</f>
        <v>19.3</v>
      </c>
      <c r="H583" s="32">
        <f t="shared" si="27"/>
        <v>879.52030000000002</v>
      </c>
      <c r="I583" s="36">
        <f>IFERROR(IF(B583="Tampa",INDEX(tbl_tampas[Pct_PCR],MATCH(A583,tbl_tampas[CapId],0)),INDEX(tbl_recyclass[Pct_PCR_Corpo],MATCH(A583,tbl_recyclass[ProductId],0))),0)</f>
        <v>0.3</v>
      </c>
      <c r="J583" s="32">
        <f t="shared" si="28"/>
        <v>263.85608999999999</v>
      </c>
      <c r="K583" s="32">
        <f t="shared" si="29"/>
        <v>615.66421000000003</v>
      </c>
      <c r="L583" s="43">
        <f>IF(C583="ES",K583*INDEX(tbl_param_emb[Valor],MATCH("P-01",tbl_param_emb[ID_Parametro],0)),0)</f>
        <v>0</v>
      </c>
      <c r="M583" s="33" t="str">
        <f>IF(B583="Tampa","Componente",IFERROR(INDEX(tbl_recyclass[Grau_PPWR_Indicativo],MATCH(A583,tbl_recyclass[ProductId],0)),""))</f>
        <v>Componente</v>
      </c>
    </row>
    <row r="584" spans="1:13" ht="16.05" customHeight="1" x14ac:dyDescent="0.3">
      <c r="A584" s="26" t="s">
        <v>488</v>
      </c>
      <c r="B584" s="26" t="s">
        <v>931</v>
      </c>
      <c r="C584" s="26" t="s">
        <v>1472</v>
      </c>
      <c r="D584" s="26" t="s">
        <v>1473</v>
      </c>
      <c r="E584" s="39">
        <v>1</v>
      </c>
      <c r="F584" s="37">
        <v>36427</v>
      </c>
      <c r="G584" s="38">
        <f>IFERROR(IF(B584="Tampa",INDEX(tbl_tampas[Massa_g],MATCH(A584,tbl_tampas[CapId],0)),INDEX(tbl_recyclass[Massa_Corpo_g],MATCH(A584,tbl_recyclass[ProductId],0))),0)</f>
        <v>19.3</v>
      </c>
      <c r="H584" s="32">
        <f t="shared" si="27"/>
        <v>703.04110000000003</v>
      </c>
      <c r="I584" s="36">
        <f>IFERROR(IF(B584="Tampa",INDEX(tbl_tampas[Pct_PCR],MATCH(A584,tbl_tampas[CapId],0)),INDEX(tbl_recyclass[Pct_PCR_Corpo],MATCH(A584,tbl_recyclass[ProductId],0))),0)</f>
        <v>0.3</v>
      </c>
      <c r="J584" s="32">
        <f t="shared" si="28"/>
        <v>210.91233</v>
      </c>
      <c r="K584" s="32">
        <f t="shared" si="29"/>
        <v>492.12877000000003</v>
      </c>
      <c r="L584" s="43">
        <f>IF(C584="ES",K584*INDEX(tbl_param_emb[Valor],MATCH("P-01",tbl_param_emb[ID_Parametro],0)),0)</f>
        <v>0</v>
      </c>
      <c r="M584" s="33" t="str">
        <f>IF(B584="Tampa","Componente",IFERROR(INDEX(tbl_recyclass[Grau_PPWR_Indicativo],MATCH(A584,tbl_recyclass[ProductId],0)),""))</f>
        <v>Componente</v>
      </c>
    </row>
    <row r="585" spans="1:13" ht="16.05" customHeight="1" x14ac:dyDescent="0.3">
      <c r="A585" s="26" t="s">
        <v>488</v>
      </c>
      <c r="B585" s="26" t="s">
        <v>931</v>
      </c>
      <c r="C585" s="26" t="s">
        <v>1478</v>
      </c>
      <c r="D585" s="26" t="s">
        <v>1479</v>
      </c>
      <c r="E585" s="39">
        <v>1</v>
      </c>
      <c r="F585" s="37">
        <v>24974</v>
      </c>
      <c r="G585" s="38">
        <f>IFERROR(IF(B585="Tampa",INDEX(tbl_tampas[Massa_g],MATCH(A585,tbl_tampas[CapId],0)),INDEX(tbl_recyclass[Massa_Corpo_g],MATCH(A585,tbl_recyclass[ProductId],0))),0)</f>
        <v>19.3</v>
      </c>
      <c r="H585" s="32">
        <f t="shared" si="27"/>
        <v>481.9982</v>
      </c>
      <c r="I585" s="36">
        <f>IFERROR(IF(B585="Tampa",INDEX(tbl_tampas[Pct_PCR],MATCH(A585,tbl_tampas[CapId],0)),INDEX(tbl_recyclass[Pct_PCR_Corpo],MATCH(A585,tbl_recyclass[ProductId],0))),0)</f>
        <v>0.3</v>
      </c>
      <c r="J585" s="32">
        <f t="shared" si="28"/>
        <v>144.59945999999999</v>
      </c>
      <c r="K585" s="32">
        <f t="shared" si="29"/>
        <v>337.39873999999998</v>
      </c>
      <c r="L585" s="43">
        <f>IF(C585="ES",K585*INDEX(tbl_param_emb[Valor],MATCH("P-01",tbl_param_emb[ID_Parametro],0)),0)</f>
        <v>0</v>
      </c>
      <c r="M585" s="33" t="str">
        <f>IF(B585="Tampa","Componente",IFERROR(INDEX(tbl_recyclass[Grau_PPWR_Indicativo],MATCH(A585,tbl_recyclass[ProductId],0)),""))</f>
        <v>Componente</v>
      </c>
    </row>
    <row r="586" spans="1:13" ht="16.05" customHeight="1" x14ac:dyDescent="0.3">
      <c r="A586" s="26" t="s">
        <v>488</v>
      </c>
      <c r="B586" s="26" t="s">
        <v>931</v>
      </c>
      <c r="C586" s="26" t="s">
        <v>1480</v>
      </c>
      <c r="D586" s="26" t="s">
        <v>1481</v>
      </c>
      <c r="E586" s="39">
        <v>1</v>
      </c>
      <c r="F586" s="37">
        <v>32543</v>
      </c>
      <c r="G586" s="38">
        <f>IFERROR(IF(B586="Tampa",INDEX(tbl_tampas[Massa_g],MATCH(A586,tbl_tampas[CapId],0)),INDEX(tbl_recyclass[Massa_Corpo_g],MATCH(A586,tbl_recyclass[ProductId],0))),0)</f>
        <v>19.3</v>
      </c>
      <c r="H586" s="32">
        <f t="shared" si="27"/>
        <v>628.07990000000007</v>
      </c>
      <c r="I586" s="36">
        <f>IFERROR(IF(B586="Tampa",INDEX(tbl_tampas[Pct_PCR],MATCH(A586,tbl_tampas[CapId],0)),INDEX(tbl_recyclass[Pct_PCR_Corpo],MATCH(A586,tbl_recyclass[ProductId],0))),0)</f>
        <v>0.3</v>
      </c>
      <c r="J586" s="32">
        <f t="shared" si="28"/>
        <v>188.42397000000003</v>
      </c>
      <c r="K586" s="32">
        <f t="shared" si="29"/>
        <v>439.65593000000001</v>
      </c>
      <c r="L586" s="43">
        <f>IF(C586="ES",K586*INDEX(tbl_param_emb[Valor],MATCH("P-01",tbl_param_emb[ID_Parametro],0)),0)</f>
        <v>0</v>
      </c>
      <c r="M586" s="33" t="str">
        <f>IF(B586="Tampa","Componente",IFERROR(INDEX(tbl_recyclass[Grau_PPWR_Indicativo],MATCH(A586,tbl_recyclass[ProductId],0)),""))</f>
        <v>Componente</v>
      </c>
    </row>
    <row r="587" spans="1:13" ht="16.05" customHeight="1" x14ac:dyDescent="0.3">
      <c r="A587" s="26" t="s">
        <v>488</v>
      </c>
      <c r="B587" s="26" t="s">
        <v>931</v>
      </c>
      <c r="C587" s="26" t="s">
        <v>847</v>
      </c>
      <c r="D587" s="26" t="s">
        <v>1471</v>
      </c>
      <c r="E587" s="39">
        <v>8</v>
      </c>
      <c r="F587" s="37">
        <v>210759</v>
      </c>
      <c r="G587" s="38">
        <f>IFERROR(IF(B587="Tampa",INDEX(tbl_tampas[Massa_g],MATCH(A587,tbl_tampas[CapId],0)),INDEX(tbl_recyclass[Massa_Corpo_g],MATCH(A587,tbl_recyclass[ProductId],0))),0)</f>
        <v>19.3</v>
      </c>
      <c r="H587" s="32">
        <f t="shared" si="27"/>
        <v>4067.6487000000002</v>
      </c>
      <c r="I587" s="36">
        <f>IFERROR(IF(B587="Tampa",INDEX(tbl_tampas[Pct_PCR],MATCH(A587,tbl_tampas[CapId],0)),INDEX(tbl_recyclass[Pct_PCR_Corpo],MATCH(A587,tbl_recyclass[ProductId],0))),0)</f>
        <v>0.3</v>
      </c>
      <c r="J587" s="32">
        <f t="shared" si="28"/>
        <v>1220.2946099999999</v>
      </c>
      <c r="K587" s="32">
        <f t="shared" si="29"/>
        <v>2847.3540900000003</v>
      </c>
      <c r="L587" s="43">
        <f>IF(C587="ES",K587*INDEX(tbl_param_emb[Valor],MATCH("P-01",tbl_param_emb[ID_Parametro],0)),0)</f>
        <v>0</v>
      </c>
      <c r="M587" s="33" t="str">
        <f>IF(B587="Tampa","Componente",IFERROR(INDEX(tbl_recyclass[Grau_PPWR_Indicativo],MATCH(A587,tbl_recyclass[ProductId],0)),""))</f>
        <v>Componente</v>
      </c>
    </row>
    <row r="588" spans="1:13" ht="16.05" customHeight="1" x14ac:dyDescent="0.3">
      <c r="A588" s="26" t="s">
        <v>488</v>
      </c>
      <c r="B588" s="26" t="s">
        <v>931</v>
      </c>
      <c r="C588" s="26" t="s">
        <v>1474</v>
      </c>
      <c r="D588" s="26" t="s">
        <v>1475</v>
      </c>
      <c r="E588" s="39">
        <v>2</v>
      </c>
      <c r="F588" s="37">
        <v>57111</v>
      </c>
      <c r="G588" s="38">
        <f>IFERROR(IF(B588="Tampa",INDEX(tbl_tampas[Massa_g],MATCH(A588,tbl_tampas[CapId],0)),INDEX(tbl_recyclass[Massa_Corpo_g],MATCH(A588,tbl_recyclass[ProductId],0))),0)</f>
        <v>19.3</v>
      </c>
      <c r="H588" s="32">
        <f t="shared" si="27"/>
        <v>1102.2423000000001</v>
      </c>
      <c r="I588" s="36">
        <f>IFERROR(IF(B588="Tampa",INDEX(tbl_tampas[Pct_PCR],MATCH(A588,tbl_tampas[CapId],0)),INDEX(tbl_recyclass[Pct_PCR_Corpo],MATCH(A588,tbl_recyclass[ProductId],0))),0)</f>
        <v>0.3</v>
      </c>
      <c r="J588" s="32">
        <f t="shared" si="28"/>
        <v>330.67269000000005</v>
      </c>
      <c r="K588" s="32">
        <f t="shared" si="29"/>
        <v>771.56961000000001</v>
      </c>
      <c r="L588" s="43">
        <f>IF(C588="ES",K588*INDEX(tbl_param_emb[Valor],MATCH("P-01",tbl_param_emb[ID_Parametro],0)),0)</f>
        <v>347.20632449999999</v>
      </c>
      <c r="M588" s="33" t="str">
        <f>IF(B588="Tampa","Componente",IFERROR(INDEX(tbl_recyclass[Grau_PPWR_Indicativo],MATCH(A588,tbl_recyclass[ProductId],0)),""))</f>
        <v>Componente</v>
      </c>
    </row>
    <row r="589" spans="1:13" ht="16.05" customHeight="1" x14ac:dyDescent="0.3">
      <c r="A589" s="26" t="s">
        <v>497</v>
      </c>
      <c r="B589" s="26" t="s">
        <v>931</v>
      </c>
      <c r="C589" s="26" t="s">
        <v>847</v>
      </c>
      <c r="D589" s="26" t="s">
        <v>1471</v>
      </c>
      <c r="E589" s="39">
        <v>1</v>
      </c>
      <c r="F589" s="37">
        <v>120859</v>
      </c>
      <c r="G589" s="38">
        <f>IFERROR(IF(B589="Tampa",INDEX(tbl_tampas[Massa_g],MATCH(A589,tbl_tampas[CapId],0)),INDEX(tbl_recyclass[Massa_Corpo_g],MATCH(A589,tbl_recyclass[ProductId],0))),0)</f>
        <v>16.5</v>
      </c>
      <c r="H589" s="32">
        <f t="shared" si="27"/>
        <v>1994.1735000000001</v>
      </c>
      <c r="I589" s="36">
        <f>IFERROR(IF(B589="Tampa",INDEX(tbl_tampas[Pct_PCR],MATCH(A589,tbl_tampas[CapId],0)),INDEX(tbl_recyclass[Pct_PCR_Corpo],MATCH(A589,tbl_recyclass[ProductId],0))),0)</f>
        <v>0</v>
      </c>
      <c r="J589" s="32">
        <f t="shared" si="28"/>
        <v>0</v>
      </c>
      <c r="K589" s="32">
        <f t="shared" si="29"/>
        <v>1994.1735000000001</v>
      </c>
      <c r="L589" s="43">
        <f>IF(C589="ES",K589*INDEX(tbl_param_emb[Valor],MATCH("P-01",tbl_param_emb[ID_Parametro],0)),0)</f>
        <v>0</v>
      </c>
      <c r="M589" s="33" t="str">
        <f>IF(B589="Tampa","Componente",IFERROR(INDEX(tbl_recyclass[Grau_PPWR_Indicativo],MATCH(A589,tbl_recyclass[ProductId],0)),""))</f>
        <v>Componente</v>
      </c>
    </row>
    <row r="590" spans="1:13" ht="16.05" customHeight="1" x14ac:dyDescent="0.3">
      <c r="A590" s="26" t="s">
        <v>497</v>
      </c>
      <c r="B590" s="26" t="s">
        <v>931</v>
      </c>
      <c r="C590" s="26" t="s">
        <v>1474</v>
      </c>
      <c r="D590" s="26" t="s">
        <v>1475</v>
      </c>
      <c r="E590" s="39">
        <v>1</v>
      </c>
      <c r="F590" s="37">
        <v>66055</v>
      </c>
      <c r="G590" s="38">
        <f>IFERROR(IF(B590="Tampa",INDEX(tbl_tampas[Massa_g],MATCH(A590,tbl_tampas[CapId],0)),INDEX(tbl_recyclass[Massa_Corpo_g],MATCH(A590,tbl_recyclass[ProductId],0))),0)</f>
        <v>16.5</v>
      </c>
      <c r="H590" s="32">
        <f t="shared" si="27"/>
        <v>1089.9075</v>
      </c>
      <c r="I590" s="36">
        <f>IFERROR(IF(B590="Tampa",INDEX(tbl_tampas[Pct_PCR],MATCH(A590,tbl_tampas[CapId],0)),INDEX(tbl_recyclass[Pct_PCR_Corpo],MATCH(A590,tbl_recyclass[ProductId],0))),0)</f>
        <v>0</v>
      </c>
      <c r="J590" s="32">
        <f t="shared" si="28"/>
        <v>0</v>
      </c>
      <c r="K590" s="32">
        <f t="shared" si="29"/>
        <v>1089.9075</v>
      </c>
      <c r="L590" s="43">
        <f>IF(C590="ES",K590*INDEX(tbl_param_emb[Valor],MATCH("P-01",tbl_param_emb[ID_Parametro],0)),0)</f>
        <v>490.45837500000005</v>
      </c>
      <c r="M590" s="33" t="str">
        <f>IF(B590="Tampa","Componente",IFERROR(INDEX(tbl_recyclass[Grau_PPWR_Indicativo],MATCH(A590,tbl_recyclass[ProductId],0)),""))</f>
        <v>Componente</v>
      </c>
    </row>
    <row r="591" spans="1:13" ht="16.05" customHeight="1" x14ac:dyDescent="0.3">
      <c r="A591" s="26" t="s">
        <v>502</v>
      </c>
      <c r="B591" s="26" t="s">
        <v>931</v>
      </c>
      <c r="C591" s="26" t="s">
        <v>847</v>
      </c>
      <c r="D591" s="26" t="s">
        <v>1471</v>
      </c>
      <c r="E591" s="39">
        <v>1</v>
      </c>
      <c r="F591" s="37">
        <v>88426</v>
      </c>
      <c r="G591" s="38">
        <f>IFERROR(IF(B591="Tampa",INDEX(tbl_tampas[Massa_g],MATCH(A591,tbl_tampas[CapId],0)),INDEX(tbl_recyclass[Massa_Corpo_g],MATCH(A591,tbl_recyclass[ProductId],0))),0)</f>
        <v>16.5</v>
      </c>
      <c r="H591" s="32">
        <f t="shared" si="27"/>
        <v>1459.029</v>
      </c>
      <c r="I591" s="36">
        <f>IFERROR(IF(B591="Tampa",INDEX(tbl_tampas[Pct_PCR],MATCH(A591,tbl_tampas[CapId],0)),INDEX(tbl_recyclass[Pct_PCR_Corpo],MATCH(A591,tbl_recyclass[ProductId],0))),0)</f>
        <v>0</v>
      </c>
      <c r="J591" s="32">
        <f t="shared" si="28"/>
        <v>0</v>
      </c>
      <c r="K591" s="32">
        <f t="shared" si="29"/>
        <v>1459.029</v>
      </c>
      <c r="L591" s="43">
        <f>IF(C591="ES",K591*INDEX(tbl_param_emb[Valor],MATCH("P-01",tbl_param_emb[ID_Parametro],0)),0)</f>
        <v>0</v>
      </c>
      <c r="M591" s="33" t="str">
        <f>IF(B591="Tampa","Componente",IFERROR(INDEX(tbl_recyclass[Grau_PPWR_Indicativo],MATCH(A591,tbl_recyclass[ProductId],0)),""))</f>
        <v>Componente</v>
      </c>
    </row>
    <row r="592" spans="1:13" ht="16.05" customHeight="1" x14ac:dyDescent="0.3">
      <c r="A592" s="26" t="s">
        <v>502</v>
      </c>
      <c r="B592" s="26" t="s">
        <v>931</v>
      </c>
      <c r="C592" s="26" t="s">
        <v>1474</v>
      </c>
      <c r="D592" s="26" t="s">
        <v>1475</v>
      </c>
      <c r="E592" s="39">
        <v>1</v>
      </c>
      <c r="F592" s="37">
        <v>129579</v>
      </c>
      <c r="G592" s="38">
        <f>IFERROR(IF(B592="Tampa",INDEX(tbl_tampas[Massa_g],MATCH(A592,tbl_tampas[CapId],0)),INDEX(tbl_recyclass[Massa_Corpo_g],MATCH(A592,tbl_recyclass[ProductId],0))),0)</f>
        <v>16.5</v>
      </c>
      <c r="H592" s="32">
        <f t="shared" si="27"/>
        <v>2138.0535</v>
      </c>
      <c r="I592" s="36">
        <f>IFERROR(IF(B592="Tampa",INDEX(tbl_tampas[Pct_PCR],MATCH(A592,tbl_tampas[CapId],0)),INDEX(tbl_recyclass[Pct_PCR_Corpo],MATCH(A592,tbl_recyclass[ProductId],0))),0)</f>
        <v>0</v>
      </c>
      <c r="J592" s="32">
        <f t="shared" si="28"/>
        <v>0</v>
      </c>
      <c r="K592" s="32">
        <f t="shared" si="29"/>
        <v>2138.0535</v>
      </c>
      <c r="L592" s="43">
        <f>IF(C592="ES",K592*INDEX(tbl_param_emb[Valor],MATCH("P-01",tbl_param_emb[ID_Parametro],0)),0)</f>
        <v>962.12407500000006</v>
      </c>
      <c r="M592" s="33" t="str">
        <f>IF(B592="Tampa","Componente",IFERROR(INDEX(tbl_recyclass[Grau_PPWR_Indicativo],MATCH(A592,tbl_recyclass[ProductId],0)),""))</f>
        <v>Componente</v>
      </c>
    </row>
    <row r="593" spans="1:13" ht="16.05" customHeight="1" x14ac:dyDescent="0.3">
      <c r="A593" s="26" t="s">
        <v>421</v>
      </c>
      <c r="B593" s="26" t="s">
        <v>931</v>
      </c>
      <c r="C593" s="26" t="s">
        <v>1476</v>
      </c>
      <c r="D593" s="26" t="s">
        <v>1477</v>
      </c>
      <c r="E593" s="39">
        <v>1</v>
      </c>
      <c r="F593" s="37">
        <v>56295</v>
      </c>
      <c r="G593" s="38">
        <f>IFERROR(IF(B593="Tampa",INDEX(tbl_tampas[Massa_g],MATCH(A593,tbl_tampas[CapId],0)),INDEX(tbl_recyclass[Massa_Corpo_g],MATCH(A593,tbl_recyclass[ProductId],0))),0)</f>
        <v>11.5</v>
      </c>
      <c r="H593" s="32">
        <f t="shared" si="27"/>
        <v>647.39250000000004</v>
      </c>
      <c r="I593" s="36">
        <f>IFERROR(IF(B593="Tampa",INDEX(tbl_tampas[Pct_PCR],MATCH(A593,tbl_tampas[CapId],0)),INDEX(tbl_recyclass[Pct_PCR_Corpo],MATCH(A593,tbl_recyclass[ProductId],0))),0)</f>
        <v>0</v>
      </c>
      <c r="J593" s="32">
        <f t="shared" si="28"/>
        <v>0</v>
      </c>
      <c r="K593" s="32">
        <f t="shared" si="29"/>
        <v>647.39250000000004</v>
      </c>
      <c r="L593" s="43">
        <f>IF(C593="ES",K593*INDEX(tbl_param_emb[Valor],MATCH("P-01",tbl_param_emb[ID_Parametro],0)),0)</f>
        <v>0</v>
      </c>
      <c r="M593" s="33" t="str">
        <f>IF(B593="Tampa","Componente",IFERROR(INDEX(tbl_recyclass[Grau_PPWR_Indicativo],MATCH(A593,tbl_recyclass[ProductId],0)),""))</f>
        <v>Componente</v>
      </c>
    </row>
    <row r="594" spans="1:13" ht="16.05" customHeight="1" x14ac:dyDescent="0.3">
      <c r="A594" s="26" t="s">
        <v>421</v>
      </c>
      <c r="B594" s="26" t="s">
        <v>931</v>
      </c>
      <c r="C594" s="26" t="s">
        <v>1472</v>
      </c>
      <c r="D594" s="26" t="s">
        <v>1473</v>
      </c>
      <c r="E594" s="39">
        <v>1</v>
      </c>
      <c r="F594" s="37">
        <v>138003</v>
      </c>
      <c r="G594" s="38">
        <f>IFERROR(IF(B594="Tampa",INDEX(tbl_tampas[Massa_g],MATCH(A594,tbl_tampas[CapId],0)),INDEX(tbl_recyclass[Massa_Corpo_g],MATCH(A594,tbl_recyclass[ProductId],0))),0)</f>
        <v>11.5</v>
      </c>
      <c r="H594" s="32">
        <f t="shared" si="27"/>
        <v>1587.0345</v>
      </c>
      <c r="I594" s="36">
        <f>IFERROR(IF(B594="Tampa",INDEX(tbl_tampas[Pct_PCR],MATCH(A594,tbl_tampas[CapId],0)),INDEX(tbl_recyclass[Pct_PCR_Corpo],MATCH(A594,tbl_recyclass[ProductId],0))),0)</f>
        <v>0</v>
      </c>
      <c r="J594" s="32">
        <f t="shared" si="28"/>
        <v>0</v>
      </c>
      <c r="K594" s="32">
        <f t="shared" si="29"/>
        <v>1587.0345</v>
      </c>
      <c r="L594" s="43">
        <f>IF(C594="ES",K594*INDEX(tbl_param_emb[Valor],MATCH("P-01",tbl_param_emb[ID_Parametro],0)),0)</f>
        <v>0</v>
      </c>
      <c r="M594" s="33" t="str">
        <f>IF(B594="Tampa","Componente",IFERROR(INDEX(tbl_recyclass[Grau_PPWR_Indicativo],MATCH(A594,tbl_recyclass[ProductId],0)),""))</f>
        <v>Componente</v>
      </c>
    </row>
    <row r="595" spans="1:13" ht="16.05" customHeight="1" x14ac:dyDescent="0.3">
      <c r="A595" s="26" t="s">
        <v>421</v>
      </c>
      <c r="B595" s="26" t="s">
        <v>931</v>
      </c>
      <c r="C595" s="26" t="s">
        <v>1478</v>
      </c>
      <c r="D595" s="26" t="s">
        <v>1479</v>
      </c>
      <c r="E595" s="39">
        <v>1</v>
      </c>
      <c r="F595" s="37">
        <v>121677</v>
      </c>
      <c r="G595" s="38">
        <f>IFERROR(IF(B595="Tampa",INDEX(tbl_tampas[Massa_g],MATCH(A595,tbl_tampas[CapId],0)),INDEX(tbl_recyclass[Massa_Corpo_g],MATCH(A595,tbl_recyclass[ProductId],0))),0)</f>
        <v>11.5</v>
      </c>
      <c r="H595" s="32">
        <f t="shared" si="27"/>
        <v>1399.2855</v>
      </c>
      <c r="I595" s="36">
        <f>IFERROR(IF(B595="Tampa",INDEX(tbl_tampas[Pct_PCR],MATCH(A595,tbl_tampas[CapId],0)),INDEX(tbl_recyclass[Pct_PCR_Corpo],MATCH(A595,tbl_recyclass[ProductId],0))),0)</f>
        <v>0</v>
      </c>
      <c r="J595" s="32">
        <f t="shared" si="28"/>
        <v>0</v>
      </c>
      <c r="K595" s="32">
        <f t="shared" si="29"/>
        <v>1399.2855</v>
      </c>
      <c r="L595" s="43">
        <f>IF(C595="ES",K595*INDEX(tbl_param_emb[Valor],MATCH("P-01",tbl_param_emb[ID_Parametro],0)),0)</f>
        <v>0</v>
      </c>
      <c r="M595" s="33" t="str">
        <f>IF(B595="Tampa","Componente",IFERROR(INDEX(tbl_recyclass[Grau_PPWR_Indicativo],MATCH(A595,tbl_recyclass[ProductId],0)),""))</f>
        <v>Componente</v>
      </c>
    </row>
    <row r="596" spans="1:13" ht="16.05" customHeight="1" x14ac:dyDescent="0.3">
      <c r="A596" s="26" t="s">
        <v>421</v>
      </c>
      <c r="B596" s="26" t="s">
        <v>931</v>
      </c>
      <c r="C596" s="26" t="s">
        <v>1480</v>
      </c>
      <c r="D596" s="26" t="s">
        <v>1481</v>
      </c>
      <c r="E596" s="39">
        <v>1</v>
      </c>
      <c r="F596" s="37">
        <v>91345</v>
      </c>
      <c r="G596" s="38">
        <f>IFERROR(IF(B596="Tampa",INDEX(tbl_tampas[Massa_g],MATCH(A596,tbl_tampas[CapId],0)),INDEX(tbl_recyclass[Massa_Corpo_g],MATCH(A596,tbl_recyclass[ProductId],0))),0)</f>
        <v>11.5</v>
      </c>
      <c r="H596" s="32">
        <f t="shared" si="27"/>
        <v>1050.4675</v>
      </c>
      <c r="I596" s="36">
        <f>IFERROR(IF(B596="Tampa",INDEX(tbl_tampas[Pct_PCR],MATCH(A596,tbl_tampas[CapId],0)),INDEX(tbl_recyclass[Pct_PCR_Corpo],MATCH(A596,tbl_recyclass[ProductId],0))),0)</f>
        <v>0</v>
      </c>
      <c r="J596" s="32">
        <f t="shared" si="28"/>
        <v>0</v>
      </c>
      <c r="K596" s="32">
        <f t="shared" si="29"/>
        <v>1050.4675</v>
      </c>
      <c r="L596" s="43">
        <f>IF(C596="ES",K596*INDEX(tbl_param_emb[Valor],MATCH("P-01",tbl_param_emb[ID_Parametro],0)),0)</f>
        <v>0</v>
      </c>
      <c r="M596" s="33" t="str">
        <f>IF(B596="Tampa","Componente",IFERROR(INDEX(tbl_recyclass[Grau_PPWR_Indicativo],MATCH(A596,tbl_recyclass[ProductId],0)),""))</f>
        <v>Componente</v>
      </c>
    </row>
    <row r="597" spans="1:13" ht="16.05" customHeight="1" x14ac:dyDescent="0.3">
      <c r="A597" s="26" t="s">
        <v>421</v>
      </c>
      <c r="B597" s="26" t="s">
        <v>931</v>
      </c>
      <c r="C597" s="26" t="s">
        <v>847</v>
      </c>
      <c r="D597" s="26" t="s">
        <v>1471</v>
      </c>
      <c r="E597" s="39">
        <v>8</v>
      </c>
      <c r="F597" s="37">
        <v>961480</v>
      </c>
      <c r="G597" s="38">
        <f>IFERROR(IF(B597="Tampa",INDEX(tbl_tampas[Massa_g],MATCH(A597,tbl_tampas[CapId],0)),INDEX(tbl_recyclass[Massa_Corpo_g],MATCH(A597,tbl_recyclass[ProductId],0))),0)</f>
        <v>11.5</v>
      </c>
      <c r="H597" s="32">
        <f t="shared" si="27"/>
        <v>11057.02</v>
      </c>
      <c r="I597" s="36">
        <f>IFERROR(IF(B597="Tampa",INDEX(tbl_tampas[Pct_PCR],MATCH(A597,tbl_tampas[CapId],0)),INDEX(tbl_recyclass[Pct_PCR_Corpo],MATCH(A597,tbl_recyclass[ProductId],0))),0)</f>
        <v>0</v>
      </c>
      <c r="J597" s="32">
        <f t="shared" si="28"/>
        <v>0</v>
      </c>
      <c r="K597" s="32">
        <f t="shared" si="29"/>
        <v>11057.02</v>
      </c>
      <c r="L597" s="43">
        <f>IF(C597="ES",K597*INDEX(tbl_param_emb[Valor],MATCH("P-01",tbl_param_emb[ID_Parametro],0)),0)</f>
        <v>0</v>
      </c>
      <c r="M597" s="33" t="str">
        <f>IF(B597="Tampa","Componente",IFERROR(INDEX(tbl_recyclass[Grau_PPWR_Indicativo],MATCH(A597,tbl_recyclass[ProductId],0)),""))</f>
        <v>Componente</v>
      </c>
    </row>
    <row r="598" spans="1:13" ht="16.05" customHeight="1" x14ac:dyDescent="0.3">
      <c r="A598" s="26" t="s">
        <v>421</v>
      </c>
      <c r="B598" s="26" t="s">
        <v>931</v>
      </c>
      <c r="C598" s="26" t="s">
        <v>1474</v>
      </c>
      <c r="D598" s="26" t="s">
        <v>1475</v>
      </c>
      <c r="E598" s="39">
        <v>2</v>
      </c>
      <c r="F598" s="37">
        <v>226647</v>
      </c>
      <c r="G598" s="38">
        <f>IFERROR(IF(B598="Tampa",INDEX(tbl_tampas[Massa_g],MATCH(A598,tbl_tampas[CapId],0)),INDEX(tbl_recyclass[Massa_Corpo_g],MATCH(A598,tbl_recyclass[ProductId],0))),0)</f>
        <v>11.5</v>
      </c>
      <c r="H598" s="32">
        <f t="shared" si="27"/>
        <v>2606.4405000000002</v>
      </c>
      <c r="I598" s="36">
        <f>IFERROR(IF(B598="Tampa",INDEX(tbl_tampas[Pct_PCR],MATCH(A598,tbl_tampas[CapId],0)),INDEX(tbl_recyclass[Pct_PCR_Corpo],MATCH(A598,tbl_recyclass[ProductId],0))),0)</f>
        <v>0</v>
      </c>
      <c r="J598" s="32">
        <f t="shared" si="28"/>
        <v>0</v>
      </c>
      <c r="K598" s="32">
        <f t="shared" si="29"/>
        <v>2606.4405000000002</v>
      </c>
      <c r="L598" s="43">
        <f>IF(C598="ES",K598*INDEX(tbl_param_emb[Valor],MATCH("P-01",tbl_param_emb[ID_Parametro],0)),0)</f>
        <v>1172.8982250000001</v>
      </c>
      <c r="M598" s="33" t="str">
        <f>IF(B598="Tampa","Componente",IFERROR(INDEX(tbl_recyclass[Grau_PPWR_Indicativo],MATCH(A598,tbl_recyclass[ProductId],0)),""))</f>
        <v>Componente</v>
      </c>
    </row>
    <row r="599" spans="1:13" ht="16.05" customHeight="1" x14ac:dyDescent="0.3">
      <c r="A599" s="26" t="s">
        <v>433</v>
      </c>
      <c r="B599" s="26" t="s">
        <v>931</v>
      </c>
      <c r="C599" s="26" t="s">
        <v>1476</v>
      </c>
      <c r="D599" s="26" t="s">
        <v>1477</v>
      </c>
      <c r="E599" s="39">
        <v>1</v>
      </c>
      <c r="F599" s="37">
        <v>56689</v>
      </c>
      <c r="G599" s="38">
        <f>IFERROR(IF(B599="Tampa",INDEX(tbl_tampas[Massa_g],MATCH(A599,tbl_tampas[CapId],0)),INDEX(tbl_recyclass[Massa_Corpo_g],MATCH(A599,tbl_recyclass[ProductId],0))),0)</f>
        <v>12.1</v>
      </c>
      <c r="H599" s="32">
        <f t="shared" si="27"/>
        <v>685.93690000000004</v>
      </c>
      <c r="I599" s="36">
        <f>IFERROR(IF(B599="Tampa",INDEX(tbl_tampas[Pct_PCR],MATCH(A599,tbl_tampas[CapId],0)),INDEX(tbl_recyclass[Pct_PCR_Corpo],MATCH(A599,tbl_recyclass[ProductId],0))),0)</f>
        <v>0</v>
      </c>
      <c r="J599" s="32">
        <f t="shared" si="28"/>
        <v>0</v>
      </c>
      <c r="K599" s="32">
        <f t="shared" si="29"/>
        <v>685.93690000000004</v>
      </c>
      <c r="L599" s="43">
        <f>IF(C599="ES",K599*INDEX(tbl_param_emb[Valor],MATCH("P-01",tbl_param_emb[ID_Parametro],0)),0)</f>
        <v>0</v>
      </c>
      <c r="M599" s="33" t="str">
        <f>IF(B599="Tampa","Componente",IFERROR(INDEX(tbl_recyclass[Grau_PPWR_Indicativo],MATCH(A599,tbl_recyclass[ProductId],0)),""))</f>
        <v>Componente</v>
      </c>
    </row>
    <row r="600" spans="1:13" ht="16.05" customHeight="1" x14ac:dyDescent="0.3">
      <c r="A600" s="26" t="s">
        <v>433</v>
      </c>
      <c r="B600" s="26" t="s">
        <v>931</v>
      </c>
      <c r="C600" s="26" t="s">
        <v>1472</v>
      </c>
      <c r="D600" s="26" t="s">
        <v>1473</v>
      </c>
      <c r="E600" s="39">
        <v>1</v>
      </c>
      <c r="F600" s="37">
        <v>122127</v>
      </c>
      <c r="G600" s="38">
        <f>IFERROR(IF(B600="Tampa",INDEX(tbl_tampas[Massa_g],MATCH(A600,tbl_tampas[CapId],0)),INDEX(tbl_recyclass[Massa_Corpo_g],MATCH(A600,tbl_recyclass[ProductId],0))),0)</f>
        <v>12.1</v>
      </c>
      <c r="H600" s="32">
        <f t="shared" si="27"/>
        <v>1477.7366999999999</v>
      </c>
      <c r="I600" s="36">
        <f>IFERROR(IF(B600="Tampa",INDEX(tbl_tampas[Pct_PCR],MATCH(A600,tbl_tampas[CapId],0)),INDEX(tbl_recyclass[Pct_PCR_Corpo],MATCH(A600,tbl_recyclass[ProductId],0))),0)</f>
        <v>0</v>
      </c>
      <c r="J600" s="32">
        <f t="shared" si="28"/>
        <v>0</v>
      </c>
      <c r="K600" s="32">
        <f t="shared" si="29"/>
        <v>1477.7366999999999</v>
      </c>
      <c r="L600" s="43">
        <f>IF(C600="ES",K600*INDEX(tbl_param_emb[Valor],MATCH("P-01",tbl_param_emb[ID_Parametro],0)),0)</f>
        <v>0</v>
      </c>
      <c r="M600" s="33" t="str">
        <f>IF(B600="Tampa","Componente",IFERROR(INDEX(tbl_recyclass[Grau_PPWR_Indicativo],MATCH(A600,tbl_recyclass[ProductId],0)),""))</f>
        <v>Componente</v>
      </c>
    </row>
    <row r="601" spans="1:13" ht="16.05" customHeight="1" x14ac:dyDescent="0.3">
      <c r="A601" s="26" t="s">
        <v>433</v>
      </c>
      <c r="B601" s="26" t="s">
        <v>931</v>
      </c>
      <c r="C601" s="26" t="s">
        <v>1478</v>
      </c>
      <c r="D601" s="26" t="s">
        <v>1479</v>
      </c>
      <c r="E601" s="39">
        <v>1</v>
      </c>
      <c r="F601" s="37">
        <v>87041</v>
      </c>
      <c r="G601" s="38">
        <f>IFERROR(IF(B601="Tampa",INDEX(tbl_tampas[Massa_g],MATCH(A601,tbl_tampas[CapId],0)),INDEX(tbl_recyclass[Massa_Corpo_g],MATCH(A601,tbl_recyclass[ProductId],0))),0)</f>
        <v>12.1</v>
      </c>
      <c r="H601" s="32">
        <f t="shared" si="27"/>
        <v>1053.1960999999999</v>
      </c>
      <c r="I601" s="36">
        <f>IFERROR(IF(B601="Tampa",INDEX(tbl_tampas[Pct_PCR],MATCH(A601,tbl_tampas[CapId],0)),INDEX(tbl_recyclass[Pct_PCR_Corpo],MATCH(A601,tbl_recyclass[ProductId],0))),0)</f>
        <v>0</v>
      </c>
      <c r="J601" s="32">
        <f t="shared" si="28"/>
        <v>0</v>
      </c>
      <c r="K601" s="32">
        <f t="shared" si="29"/>
        <v>1053.1960999999999</v>
      </c>
      <c r="L601" s="43">
        <f>IF(C601="ES",K601*INDEX(tbl_param_emb[Valor],MATCH("P-01",tbl_param_emb[ID_Parametro],0)),0)</f>
        <v>0</v>
      </c>
      <c r="M601" s="33" t="str">
        <f>IF(B601="Tampa","Componente",IFERROR(INDEX(tbl_recyclass[Grau_PPWR_Indicativo],MATCH(A601,tbl_recyclass[ProductId],0)),""))</f>
        <v>Componente</v>
      </c>
    </row>
    <row r="602" spans="1:13" ht="16.05" customHeight="1" x14ac:dyDescent="0.3">
      <c r="A602" s="26" t="s">
        <v>433</v>
      </c>
      <c r="B602" s="26" t="s">
        <v>931</v>
      </c>
      <c r="C602" s="26" t="s">
        <v>1480</v>
      </c>
      <c r="D602" s="26" t="s">
        <v>1481</v>
      </c>
      <c r="E602" s="39">
        <v>1</v>
      </c>
      <c r="F602" s="37">
        <v>123439</v>
      </c>
      <c r="G602" s="38">
        <f>IFERROR(IF(B602="Tampa",INDEX(tbl_tampas[Massa_g],MATCH(A602,tbl_tampas[CapId],0)),INDEX(tbl_recyclass[Massa_Corpo_g],MATCH(A602,tbl_recyclass[ProductId],0))),0)</f>
        <v>12.1</v>
      </c>
      <c r="H602" s="32">
        <f t="shared" si="27"/>
        <v>1493.6118999999999</v>
      </c>
      <c r="I602" s="36">
        <f>IFERROR(IF(B602="Tampa",INDEX(tbl_tampas[Pct_PCR],MATCH(A602,tbl_tampas[CapId],0)),INDEX(tbl_recyclass[Pct_PCR_Corpo],MATCH(A602,tbl_recyclass[ProductId],0))),0)</f>
        <v>0</v>
      </c>
      <c r="J602" s="32">
        <f t="shared" si="28"/>
        <v>0</v>
      </c>
      <c r="K602" s="32">
        <f t="shared" si="29"/>
        <v>1493.6118999999999</v>
      </c>
      <c r="L602" s="43">
        <f>IF(C602="ES",K602*INDEX(tbl_param_emb[Valor],MATCH("P-01",tbl_param_emb[ID_Parametro],0)),0)</f>
        <v>0</v>
      </c>
      <c r="M602" s="33" t="str">
        <f>IF(B602="Tampa","Componente",IFERROR(INDEX(tbl_recyclass[Grau_PPWR_Indicativo],MATCH(A602,tbl_recyclass[ProductId],0)),""))</f>
        <v>Componente</v>
      </c>
    </row>
    <row r="603" spans="1:13" ht="16.05" customHeight="1" x14ac:dyDescent="0.3">
      <c r="A603" s="26" t="s">
        <v>433</v>
      </c>
      <c r="B603" s="26" t="s">
        <v>931</v>
      </c>
      <c r="C603" s="26" t="s">
        <v>847</v>
      </c>
      <c r="D603" s="26" t="s">
        <v>1471</v>
      </c>
      <c r="E603" s="39">
        <v>8</v>
      </c>
      <c r="F603" s="37">
        <v>831135</v>
      </c>
      <c r="G603" s="38">
        <f>IFERROR(IF(B603="Tampa",INDEX(tbl_tampas[Massa_g],MATCH(A603,tbl_tampas[CapId],0)),INDEX(tbl_recyclass[Massa_Corpo_g],MATCH(A603,tbl_recyclass[ProductId],0))),0)</f>
        <v>12.1</v>
      </c>
      <c r="H603" s="32">
        <f t="shared" si="27"/>
        <v>10056.7335</v>
      </c>
      <c r="I603" s="36">
        <f>IFERROR(IF(B603="Tampa",INDEX(tbl_tampas[Pct_PCR],MATCH(A603,tbl_tampas[CapId],0)),INDEX(tbl_recyclass[Pct_PCR_Corpo],MATCH(A603,tbl_recyclass[ProductId],0))),0)</f>
        <v>0</v>
      </c>
      <c r="J603" s="32">
        <f t="shared" si="28"/>
        <v>0</v>
      </c>
      <c r="K603" s="32">
        <f t="shared" si="29"/>
        <v>10056.7335</v>
      </c>
      <c r="L603" s="43">
        <f>IF(C603="ES",K603*INDEX(tbl_param_emb[Valor],MATCH("P-01",tbl_param_emb[ID_Parametro],0)),0)</f>
        <v>0</v>
      </c>
      <c r="M603" s="33" t="str">
        <f>IF(B603="Tampa","Componente",IFERROR(INDEX(tbl_recyclass[Grau_PPWR_Indicativo],MATCH(A603,tbl_recyclass[ProductId],0)),""))</f>
        <v>Componente</v>
      </c>
    </row>
    <row r="604" spans="1:13" ht="16.05" customHeight="1" x14ac:dyDescent="0.3">
      <c r="A604" s="26" t="s">
        <v>433</v>
      </c>
      <c r="B604" s="26" t="s">
        <v>931</v>
      </c>
      <c r="C604" s="26" t="s">
        <v>1474</v>
      </c>
      <c r="D604" s="26" t="s">
        <v>1475</v>
      </c>
      <c r="E604" s="39">
        <v>2</v>
      </c>
      <c r="F604" s="37">
        <v>160209</v>
      </c>
      <c r="G604" s="38">
        <f>IFERROR(IF(B604="Tampa",INDEX(tbl_tampas[Massa_g],MATCH(A604,tbl_tampas[CapId],0)),INDEX(tbl_recyclass[Massa_Corpo_g],MATCH(A604,tbl_recyclass[ProductId],0))),0)</f>
        <v>12.1</v>
      </c>
      <c r="H604" s="32">
        <f t="shared" si="27"/>
        <v>1938.5288999999998</v>
      </c>
      <c r="I604" s="36">
        <f>IFERROR(IF(B604="Tampa",INDEX(tbl_tampas[Pct_PCR],MATCH(A604,tbl_tampas[CapId],0)),INDEX(tbl_recyclass[Pct_PCR_Corpo],MATCH(A604,tbl_recyclass[ProductId],0))),0)</f>
        <v>0</v>
      </c>
      <c r="J604" s="32">
        <f t="shared" si="28"/>
        <v>0</v>
      </c>
      <c r="K604" s="32">
        <f t="shared" si="29"/>
        <v>1938.5288999999998</v>
      </c>
      <c r="L604" s="43">
        <f>IF(C604="ES",K604*INDEX(tbl_param_emb[Valor],MATCH("P-01",tbl_param_emb[ID_Parametro],0)),0)</f>
        <v>872.33800499999995</v>
      </c>
      <c r="M604" s="33" t="str">
        <f>IF(B604="Tampa","Componente",IFERROR(INDEX(tbl_recyclass[Grau_PPWR_Indicativo],MATCH(A604,tbl_recyclass[ProductId],0)),""))</f>
        <v>Componente</v>
      </c>
    </row>
    <row r="605" spans="1:13" ht="16.05" customHeight="1" x14ac:dyDescent="0.3">
      <c r="A605" s="26" t="s">
        <v>427</v>
      </c>
      <c r="B605" s="26" t="s">
        <v>931</v>
      </c>
      <c r="C605" s="26" t="s">
        <v>1476</v>
      </c>
      <c r="D605" s="26" t="s">
        <v>1477</v>
      </c>
      <c r="E605" s="39">
        <v>1</v>
      </c>
      <c r="F605" s="37">
        <v>118529</v>
      </c>
      <c r="G605" s="38">
        <f>IFERROR(IF(B605="Tampa",INDEX(tbl_tampas[Massa_g],MATCH(A605,tbl_tampas[CapId],0)),INDEX(tbl_recyclass[Massa_Corpo_g],MATCH(A605,tbl_recyclass[ProductId],0))),0)</f>
        <v>10.3</v>
      </c>
      <c r="H605" s="32">
        <f t="shared" si="27"/>
        <v>1220.8487000000002</v>
      </c>
      <c r="I605" s="36">
        <f>IFERROR(IF(B605="Tampa",INDEX(tbl_tampas[Pct_PCR],MATCH(A605,tbl_tampas[CapId],0)),INDEX(tbl_recyclass[Pct_PCR_Corpo],MATCH(A605,tbl_recyclass[ProductId],0))),0)</f>
        <v>0</v>
      </c>
      <c r="J605" s="32">
        <f t="shared" si="28"/>
        <v>0</v>
      </c>
      <c r="K605" s="32">
        <f t="shared" si="29"/>
        <v>1220.8487000000002</v>
      </c>
      <c r="L605" s="43">
        <f>IF(C605="ES",K605*INDEX(tbl_param_emb[Valor],MATCH("P-01",tbl_param_emb[ID_Parametro],0)),0)</f>
        <v>0</v>
      </c>
      <c r="M605" s="33" t="str">
        <f>IF(B605="Tampa","Componente",IFERROR(INDEX(tbl_recyclass[Grau_PPWR_Indicativo],MATCH(A605,tbl_recyclass[ProductId],0)),""))</f>
        <v>Componente</v>
      </c>
    </row>
    <row r="606" spans="1:13" ht="16.05" customHeight="1" x14ac:dyDescent="0.3">
      <c r="A606" s="26" t="s">
        <v>427</v>
      </c>
      <c r="B606" s="26" t="s">
        <v>931</v>
      </c>
      <c r="C606" s="26" t="s">
        <v>1472</v>
      </c>
      <c r="D606" s="26" t="s">
        <v>1473</v>
      </c>
      <c r="E606" s="39">
        <v>1</v>
      </c>
      <c r="F606" s="37">
        <v>98130</v>
      </c>
      <c r="G606" s="38">
        <f>IFERROR(IF(B606="Tampa",INDEX(tbl_tampas[Massa_g],MATCH(A606,tbl_tampas[CapId],0)),INDEX(tbl_recyclass[Massa_Corpo_g],MATCH(A606,tbl_recyclass[ProductId],0))),0)</f>
        <v>10.3</v>
      </c>
      <c r="H606" s="32">
        <f t="shared" si="27"/>
        <v>1010.7390000000001</v>
      </c>
      <c r="I606" s="36">
        <f>IFERROR(IF(B606="Tampa",INDEX(tbl_tampas[Pct_PCR],MATCH(A606,tbl_tampas[CapId],0)),INDEX(tbl_recyclass[Pct_PCR_Corpo],MATCH(A606,tbl_recyclass[ProductId],0))),0)</f>
        <v>0</v>
      </c>
      <c r="J606" s="32">
        <f t="shared" si="28"/>
        <v>0</v>
      </c>
      <c r="K606" s="32">
        <f t="shared" si="29"/>
        <v>1010.7390000000001</v>
      </c>
      <c r="L606" s="43">
        <f>IF(C606="ES",K606*INDEX(tbl_param_emb[Valor],MATCH("P-01",tbl_param_emb[ID_Parametro],0)),0)</f>
        <v>0</v>
      </c>
      <c r="M606" s="33" t="str">
        <f>IF(B606="Tampa","Componente",IFERROR(INDEX(tbl_recyclass[Grau_PPWR_Indicativo],MATCH(A606,tbl_recyclass[ProductId],0)),""))</f>
        <v>Componente</v>
      </c>
    </row>
    <row r="607" spans="1:13" ht="16.05" customHeight="1" x14ac:dyDescent="0.3">
      <c r="A607" s="26" t="s">
        <v>427</v>
      </c>
      <c r="B607" s="26" t="s">
        <v>931</v>
      </c>
      <c r="C607" s="26" t="s">
        <v>1478</v>
      </c>
      <c r="D607" s="26" t="s">
        <v>1479</v>
      </c>
      <c r="E607" s="39">
        <v>1</v>
      </c>
      <c r="F607" s="37">
        <v>134667</v>
      </c>
      <c r="G607" s="38">
        <f>IFERROR(IF(B607="Tampa",INDEX(tbl_tampas[Massa_g],MATCH(A607,tbl_tampas[CapId],0)),INDEX(tbl_recyclass[Massa_Corpo_g],MATCH(A607,tbl_recyclass[ProductId],0))),0)</f>
        <v>10.3</v>
      </c>
      <c r="H607" s="32">
        <f t="shared" si="27"/>
        <v>1387.0701000000001</v>
      </c>
      <c r="I607" s="36">
        <f>IFERROR(IF(B607="Tampa",INDEX(tbl_tampas[Pct_PCR],MATCH(A607,tbl_tampas[CapId],0)),INDEX(tbl_recyclass[Pct_PCR_Corpo],MATCH(A607,tbl_recyclass[ProductId],0))),0)</f>
        <v>0</v>
      </c>
      <c r="J607" s="32">
        <f t="shared" si="28"/>
        <v>0</v>
      </c>
      <c r="K607" s="32">
        <f t="shared" si="29"/>
        <v>1387.0701000000001</v>
      </c>
      <c r="L607" s="43">
        <f>IF(C607="ES",K607*INDEX(tbl_param_emb[Valor],MATCH("P-01",tbl_param_emb[ID_Parametro],0)),0)</f>
        <v>0</v>
      </c>
      <c r="M607" s="33" t="str">
        <f>IF(B607="Tampa","Componente",IFERROR(INDEX(tbl_recyclass[Grau_PPWR_Indicativo],MATCH(A607,tbl_recyclass[ProductId],0)),""))</f>
        <v>Componente</v>
      </c>
    </row>
    <row r="608" spans="1:13" ht="16.05" customHeight="1" x14ac:dyDescent="0.3">
      <c r="A608" s="26" t="s">
        <v>427</v>
      </c>
      <c r="B608" s="26" t="s">
        <v>931</v>
      </c>
      <c r="C608" s="26" t="s">
        <v>1480</v>
      </c>
      <c r="D608" s="26" t="s">
        <v>1481</v>
      </c>
      <c r="E608" s="39">
        <v>1</v>
      </c>
      <c r="F608" s="37">
        <v>127926</v>
      </c>
      <c r="G608" s="38">
        <f>IFERROR(IF(B608="Tampa",INDEX(tbl_tampas[Massa_g],MATCH(A608,tbl_tampas[CapId],0)),INDEX(tbl_recyclass[Massa_Corpo_g],MATCH(A608,tbl_recyclass[ProductId],0))),0)</f>
        <v>10.3</v>
      </c>
      <c r="H608" s="32">
        <f t="shared" si="27"/>
        <v>1317.6378</v>
      </c>
      <c r="I608" s="36">
        <f>IFERROR(IF(B608="Tampa",INDEX(tbl_tampas[Pct_PCR],MATCH(A608,tbl_tampas[CapId],0)),INDEX(tbl_recyclass[Pct_PCR_Corpo],MATCH(A608,tbl_recyclass[ProductId],0))),0)</f>
        <v>0</v>
      </c>
      <c r="J608" s="32">
        <f t="shared" si="28"/>
        <v>0</v>
      </c>
      <c r="K608" s="32">
        <f t="shared" si="29"/>
        <v>1317.6378</v>
      </c>
      <c r="L608" s="43">
        <f>IF(C608="ES",K608*INDEX(tbl_param_emb[Valor],MATCH("P-01",tbl_param_emb[ID_Parametro],0)),0)</f>
        <v>0</v>
      </c>
      <c r="M608" s="33" t="str">
        <f>IF(B608="Tampa","Componente",IFERROR(INDEX(tbl_recyclass[Grau_PPWR_Indicativo],MATCH(A608,tbl_recyclass[ProductId],0)),""))</f>
        <v>Componente</v>
      </c>
    </row>
    <row r="609" spans="1:13" ht="16.05" customHeight="1" x14ac:dyDescent="0.3">
      <c r="A609" s="26" t="s">
        <v>427</v>
      </c>
      <c r="B609" s="26" t="s">
        <v>931</v>
      </c>
      <c r="C609" s="26" t="s">
        <v>847</v>
      </c>
      <c r="D609" s="26" t="s">
        <v>1471</v>
      </c>
      <c r="E609" s="39">
        <v>8</v>
      </c>
      <c r="F609" s="37">
        <v>845732</v>
      </c>
      <c r="G609" s="38">
        <f>IFERROR(IF(B609="Tampa",INDEX(tbl_tampas[Massa_g],MATCH(A609,tbl_tampas[CapId],0)),INDEX(tbl_recyclass[Massa_Corpo_g],MATCH(A609,tbl_recyclass[ProductId],0))),0)</f>
        <v>10.3</v>
      </c>
      <c r="H609" s="32">
        <f t="shared" si="27"/>
        <v>8711.0396000000019</v>
      </c>
      <c r="I609" s="36">
        <f>IFERROR(IF(B609="Tampa",INDEX(tbl_tampas[Pct_PCR],MATCH(A609,tbl_tampas[CapId],0)),INDEX(tbl_recyclass[Pct_PCR_Corpo],MATCH(A609,tbl_recyclass[ProductId],0))),0)</f>
        <v>0</v>
      </c>
      <c r="J609" s="32">
        <f t="shared" si="28"/>
        <v>0</v>
      </c>
      <c r="K609" s="32">
        <f t="shared" si="29"/>
        <v>8711.0396000000019</v>
      </c>
      <c r="L609" s="43">
        <f>IF(C609="ES",K609*INDEX(tbl_param_emb[Valor],MATCH("P-01",tbl_param_emb[ID_Parametro],0)),0)</f>
        <v>0</v>
      </c>
      <c r="M609" s="33" t="str">
        <f>IF(B609="Tampa","Componente",IFERROR(INDEX(tbl_recyclass[Grau_PPWR_Indicativo],MATCH(A609,tbl_recyclass[ProductId],0)),""))</f>
        <v>Componente</v>
      </c>
    </row>
    <row r="610" spans="1:13" ht="16.05" customHeight="1" x14ac:dyDescent="0.3">
      <c r="A610" s="26" t="s">
        <v>427</v>
      </c>
      <c r="B610" s="26" t="s">
        <v>931</v>
      </c>
      <c r="C610" s="26" t="s">
        <v>1474</v>
      </c>
      <c r="D610" s="26" t="s">
        <v>1475</v>
      </c>
      <c r="E610" s="39">
        <v>2</v>
      </c>
      <c r="F610" s="37">
        <v>214989</v>
      </c>
      <c r="G610" s="38">
        <f>IFERROR(IF(B610="Tampa",INDEX(tbl_tampas[Massa_g],MATCH(A610,tbl_tampas[CapId],0)),INDEX(tbl_recyclass[Massa_Corpo_g],MATCH(A610,tbl_recyclass[ProductId],0))),0)</f>
        <v>10.3</v>
      </c>
      <c r="H610" s="32">
        <f t="shared" si="27"/>
        <v>2214.3867</v>
      </c>
      <c r="I610" s="36">
        <f>IFERROR(IF(B610="Tampa",INDEX(tbl_tampas[Pct_PCR],MATCH(A610,tbl_tampas[CapId],0)),INDEX(tbl_recyclass[Pct_PCR_Corpo],MATCH(A610,tbl_recyclass[ProductId],0))),0)</f>
        <v>0</v>
      </c>
      <c r="J610" s="32">
        <f t="shared" si="28"/>
        <v>0</v>
      </c>
      <c r="K610" s="32">
        <f t="shared" si="29"/>
        <v>2214.3867</v>
      </c>
      <c r="L610" s="43">
        <f>IF(C610="ES",K610*INDEX(tbl_param_emb[Valor],MATCH("P-01",tbl_param_emb[ID_Parametro],0)),0)</f>
        <v>996.47401500000001</v>
      </c>
      <c r="M610" s="33" t="str">
        <f>IF(B610="Tampa","Componente",IFERROR(INDEX(tbl_recyclass[Grau_PPWR_Indicativo],MATCH(A610,tbl_recyclass[ProductId],0)),""))</f>
        <v>Componente</v>
      </c>
    </row>
    <row r="611" spans="1:13" ht="16.05" customHeight="1" x14ac:dyDescent="0.3">
      <c r="A611" s="26" t="s">
        <v>430</v>
      </c>
      <c r="B611" s="26" t="s">
        <v>931</v>
      </c>
      <c r="C611" s="26" t="s">
        <v>1476</v>
      </c>
      <c r="D611" s="26" t="s">
        <v>1477</v>
      </c>
      <c r="E611" s="39">
        <v>1</v>
      </c>
      <c r="F611" s="37">
        <v>54585</v>
      </c>
      <c r="G611" s="38">
        <f>IFERROR(IF(B611="Tampa",INDEX(tbl_tampas[Massa_g],MATCH(A611,tbl_tampas[CapId],0)),INDEX(tbl_recyclass[Massa_Corpo_g],MATCH(A611,tbl_recyclass[ProductId],0))),0)</f>
        <v>10.3</v>
      </c>
      <c r="H611" s="32">
        <f t="shared" si="27"/>
        <v>562.22550000000001</v>
      </c>
      <c r="I611" s="36">
        <f>IFERROR(IF(B611="Tampa",INDEX(tbl_tampas[Pct_PCR],MATCH(A611,tbl_tampas[CapId],0)),INDEX(tbl_recyclass[Pct_PCR_Corpo],MATCH(A611,tbl_recyclass[ProductId],0))),0)</f>
        <v>0.3</v>
      </c>
      <c r="J611" s="32">
        <f t="shared" si="28"/>
        <v>168.66765000000001</v>
      </c>
      <c r="K611" s="32">
        <f t="shared" si="29"/>
        <v>393.55785000000003</v>
      </c>
      <c r="L611" s="43">
        <f>IF(C611="ES",K611*INDEX(tbl_param_emb[Valor],MATCH("P-01",tbl_param_emb[ID_Parametro],0)),0)</f>
        <v>0</v>
      </c>
      <c r="M611" s="33" t="str">
        <f>IF(B611="Tampa","Componente",IFERROR(INDEX(tbl_recyclass[Grau_PPWR_Indicativo],MATCH(A611,tbl_recyclass[ProductId],0)),""))</f>
        <v>Componente</v>
      </c>
    </row>
    <row r="612" spans="1:13" ht="16.05" customHeight="1" x14ac:dyDescent="0.3">
      <c r="A612" s="26" t="s">
        <v>430</v>
      </c>
      <c r="B612" s="26" t="s">
        <v>931</v>
      </c>
      <c r="C612" s="26" t="s">
        <v>1472</v>
      </c>
      <c r="D612" s="26" t="s">
        <v>1473</v>
      </c>
      <c r="E612" s="39">
        <v>1</v>
      </c>
      <c r="F612" s="37">
        <v>84490</v>
      </c>
      <c r="G612" s="38">
        <f>IFERROR(IF(B612="Tampa",INDEX(tbl_tampas[Massa_g],MATCH(A612,tbl_tampas[CapId],0)),INDEX(tbl_recyclass[Massa_Corpo_g],MATCH(A612,tbl_recyclass[ProductId],0))),0)</f>
        <v>10.3</v>
      </c>
      <c r="H612" s="32">
        <f t="shared" si="27"/>
        <v>870.24700000000007</v>
      </c>
      <c r="I612" s="36">
        <f>IFERROR(IF(B612="Tampa",INDEX(tbl_tampas[Pct_PCR],MATCH(A612,tbl_tampas[CapId],0)),INDEX(tbl_recyclass[Pct_PCR_Corpo],MATCH(A612,tbl_recyclass[ProductId],0))),0)</f>
        <v>0.3</v>
      </c>
      <c r="J612" s="32">
        <f t="shared" si="28"/>
        <v>261.07409999999999</v>
      </c>
      <c r="K612" s="32">
        <f t="shared" si="29"/>
        <v>609.17290000000003</v>
      </c>
      <c r="L612" s="43">
        <f>IF(C612="ES",K612*INDEX(tbl_param_emb[Valor],MATCH("P-01",tbl_param_emb[ID_Parametro],0)),0)</f>
        <v>0</v>
      </c>
      <c r="M612" s="33" t="str">
        <f>IF(B612="Tampa","Componente",IFERROR(INDEX(tbl_recyclass[Grau_PPWR_Indicativo],MATCH(A612,tbl_recyclass[ProductId],0)),""))</f>
        <v>Componente</v>
      </c>
    </row>
    <row r="613" spans="1:13" ht="16.05" customHeight="1" x14ac:dyDescent="0.3">
      <c r="A613" s="26" t="s">
        <v>430</v>
      </c>
      <c r="B613" s="26" t="s">
        <v>931</v>
      </c>
      <c r="C613" s="26" t="s">
        <v>1478</v>
      </c>
      <c r="D613" s="26" t="s">
        <v>1479</v>
      </c>
      <c r="E613" s="39">
        <v>1</v>
      </c>
      <c r="F613" s="37">
        <v>124651</v>
      </c>
      <c r="G613" s="38">
        <f>IFERROR(IF(B613="Tampa",INDEX(tbl_tampas[Massa_g],MATCH(A613,tbl_tampas[CapId],0)),INDEX(tbl_recyclass[Massa_Corpo_g],MATCH(A613,tbl_recyclass[ProductId],0))),0)</f>
        <v>10.3</v>
      </c>
      <c r="H613" s="32">
        <f t="shared" si="27"/>
        <v>1283.9053000000001</v>
      </c>
      <c r="I613" s="36">
        <f>IFERROR(IF(B613="Tampa",INDEX(tbl_tampas[Pct_PCR],MATCH(A613,tbl_tampas[CapId],0)),INDEX(tbl_recyclass[Pct_PCR_Corpo],MATCH(A613,tbl_recyclass[ProductId],0))),0)</f>
        <v>0.3</v>
      </c>
      <c r="J613" s="32">
        <f t="shared" si="28"/>
        <v>385.17159000000004</v>
      </c>
      <c r="K613" s="32">
        <f t="shared" si="29"/>
        <v>898.73371000000009</v>
      </c>
      <c r="L613" s="43">
        <f>IF(C613="ES",K613*INDEX(tbl_param_emb[Valor],MATCH("P-01",tbl_param_emb[ID_Parametro],0)),0)</f>
        <v>0</v>
      </c>
      <c r="M613" s="33" t="str">
        <f>IF(B613="Tampa","Componente",IFERROR(INDEX(tbl_recyclass[Grau_PPWR_Indicativo],MATCH(A613,tbl_recyclass[ProductId],0)),""))</f>
        <v>Componente</v>
      </c>
    </row>
    <row r="614" spans="1:13" ht="16.05" customHeight="1" x14ac:dyDescent="0.3">
      <c r="A614" s="26" t="s">
        <v>430</v>
      </c>
      <c r="B614" s="26" t="s">
        <v>931</v>
      </c>
      <c r="C614" s="26" t="s">
        <v>1480</v>
      </c>
      <c r="D614" s="26" t="s">
        <v>1481</v>
      </c>
      <c r="E614" s="39">
        <v>1</v>
      </c>
      <c r="F614" s="37">
        <v>63010</v>
      </c>
      <c r="G614" s="38">
        <f>IFERROR(IF(B614="Tampa",INDEX(tbl_tampas[Massa_g],MATCH(A614,tbl_tampas[CapId],0)),INDEX(tbl_recyclass[Massa_Corpo_g],MATCH(A614,tbl_recyclass[ProductId],0))),0)</f>
        <v>10.3</v>
      </c>
      <c r="H614" s="32">
        <f t="shared" si="27"/>
        <v>649.00300000000004</v>
      </c>
      <c r="I614" s="36">
        <f>IFERROR(IF(B614="Tampa",INDEX(tbl_tampas[Pct_PCR],MATCH(A614,tbl_tampas[CapId],0)),INDEX(tbl_recyclass[Pct_PCR_Corpo],MATCH(A614,tbl_recyclass[ProductId],0))),0)</f>
        <v>0.3</v>
      </c>
      <c r="J614" s="32">
        <f t="shared" si="28"/>
        <v>194.70090000000002</v>
      </c>
      <c r="K614" s="32">
        <f t="shared" si="29"/>
        <v>454.3021</v>
      </c>
      <c r="L614" s="43">
        <f>IF(C614="ES",K614*INDEX(tbl_param_emb[Valor],MATCH("P-01",tbl_param_emb[ID_Parametro],0)),0)</f>
        <v>0</v>
      </c>
      <c r="M614" s="33" t="str">
        <f>IF(B614="Tampa","Componente",IFERROR(INDEX(tbl_recyclass[Grau_PPWR_Indicativo],MATCH(A614,tbl_recyclass[ProductId],0)),""))</f>
        <v>Componente</v>
      </c>
    </row>
    <row r="615" spans="1:13" ht="16.05" customHeight="1" x14ac:dyDescent="0.3">
      <c r="A615" s="26" t="s">
        <v>430</v>
      </c>
      <c r="B615" s="26" t="s">
        <v>931</v>
      </c>
      <c r="C615" s="26" t="s">
        <v>847</v>
      </c>
      <c r="D615" s="26" t="s">
        <v>1471</v>
      </c>
      <c r="E615" s="39">
        <v>8</v>
      </c>
      <c r="F615" s="37">
        <v>683125</v>
      </c>
      <c r="G615" s="38">
        <f>IFERROR(IF(B615="Tampa",INDEX(tbl_tampas[Massa_g],MATCH(A615,tbl_tampas[CapId],0)),INDEX(tbl_recyclass[Massa_Corpo_g],MATCH(A615,tbl_recyclass[ProductId],0))),0)</f>
        <v>10.3</v>
      </c>
      <c r="H615" s="32">
        <f t="shared" si="27"/>
        <v>7036.1875000000009</v>
      </c>
      <c r="I615" s="36">
        <f>IFERROR(IF(B615="Tampa",INDEX(tbl_tampas[Pct_PCR],MATCH(A615,tbl_tampas[CapId],0)),INDEX(tbl_recyclass[Pct_PCR_Corpo],MATCH(A615,tbl_recyclass[ProductId],0))),0)</f>
        <v>0.3</v>
      </c>
      <c r="J615" s="32">
        <f t="shared" si="28"/>
        <v>2110.8562500000003</v>
      </c>
      <c r="K615" s="32">
        <f t="shared" si="29"/>
        <v>4925.3312500000011</v>
      </c>
      <c r="L615" s="43">
        <f>IF(C615="ES",K615*INDEX(tbl_param_emb[Valor],MATCH("P-01",tbl_param_emb[ID_Parametro],0)),0)</f>
        <v>0</v>
      </c>
      <c r="M615" s="33" t="str">
        <f>IF(B615="Tampa","Componente",IFERROR(INDEX(tbl_recyclass[Grau_PPWR_Indicativo],MATCH(A615,tbl_recyclass[ProductId],0)),""))</f>
        <v>Componente</v>
      </c>
    </row>
    <row r="616" spans="1:13" ht="16.05" customHeight="1" x14ac:dyDescent="0.3">
      <c r="A616" s="26" t="s">
        <v>430</v>
      </c>
      <c r="B616" s="26" t="s">
        <v>931</v>
      </c>
      <c r="C616" s="26" t="s">
        <v>1474</v>
      </c>
      <c r="D616" s="26" t="s">
        <v>1475</v>
      </c>
      <c r="E616" s="39">
        <v>2</v>
      </c>
      <c r="F616" s="37">
        <v>187392</v>
      </c>
      <c r="G616" s="38">
        <f>IFERROR(IF(B616="Tampa",INDEX(tbl_tampas[Massa_g],MATCH(A616,tbl_tampas[CapId],0)),INDEX(tbl_recyclass[Massa_Corpo_g],MATCH(A616,tbl_recyclass[ProductId],0))),0)</f>
        <v>10.3</v>
      </c>
      <c r="H616" s="32">
        <f t="shared" si="27"/>
        <v>1930.1376</v>
      </c>
      <c r="I616" s="36">
        <f>IFERROR(IF(B616="Tampa",INDEX(tbl_tampas[Pct_PCR],MATCH(A616,tbl_tampas[CapId],0)),INDEX(tbl_recyclass[Pct_PCR_Corpo],MATCH(A616,tbl_recyclass[ProductId],0))),0)</f>
        <v>0.3</v>
      </c>
      <c r="J616" s="32">
        <f t="shared" si="28"/>
        <v>579.04128000000003</v>
      </c>
      <c r="K616" s="32">
        <f t="shared" si="29"/>
        <v>1351.0963200000001</v>
      </c>
      <c r="L616" s="43">
        <f>IF(C616="ES",K616*INDEX(tbl_param_emb[Valor],MATCH("P-01",tbl_param_emb[ID_Parametro],0)),0)</f>
        <v>607.99334400000009</v>
      </c>
      <c r="M616" s="33" t="str">
        <f>IF(B616="Tampa","Componente",IFERROR(INDEX(tbl_recyclass[Grau_PPWR_Indicativo],MATCH(A616,tbl_recyclass[ProductId],0)),""))</f>
        <v>Componente</v>
      </c>
    </row>
    <row r="617" spans="1:13" ht="16.05" customHeight="1" x14ac:dyDescent="0.3">
      <c r="A617" s="26" t="s">
        <v>436</v>
      </c>
      <c r="B617" s="26" t="s">
        <v>931</v>
      </c>
      <c r="C617" s="26" t="s">
        <v>1476</v>
      </c>
      <c r="D617" s="26" t="s">
        <v>1477</v>
      </c>
      <c r="E617" s="39">
        <v>1</v>
      </c>
      <c r="F617" s="37">
        <v>52203</v>
      </c>
      <c r="G617" s="38">
        <f>IFERROR(IF(B617="Tampa",INDEX(tbl_tampas[Massa_g],MATCH(A617,tbl_tampas[CapId],0)),INDEX(tbl_recyclass[Massa_Corpo_g],MATCH(A617,tbl_recyclass[ProductId],0))),0)</f>
        <v>11.5</v>
      </c>
      <c r="H617" s="32">
        <f t="shared" si="27"/>
        <v>600.33450000000005</v>
      </c>
      <c r="I617" s="36">
        <f>IFERROR(IF(B617="Tampa",INDEX(tbl_tampas[Pct_PCR],MATCH(A617,tbl_tampas[CapId],0)),INDEX(tbl_recyclass[Pct_PCR_Corpo],MATCH(A617,tbl_recyclass[ProductId],0))),0)</f>
        <v>0</v>
      </c>
      <c r="J617" s="32">
        <f t="shared" si="28"/>
        <v>0</v>
      </c>
      <c r="K617" s="32">
        <f t="shared" si="29"/>
        <v>600.33450000000005</v>
      </c>
      <c r="L617" s="43">
        <f>IF(C617="ES",K617*INDEX(tbl_param_emb[Valor],MATCH("P-01",tbl_param_emb[ID_Parametro],0)),0)</f>
        <v>0</v>
      </c>
      <c r="M617" s="33" t="str">
        <f>IF(B617="Tampa","Componente",IFERROR(INDEX(tbl_recyclass[Grau_PPWR_Indicativo],MATCH(A617,tbl_recyclass[ProductId],0)),""))</f>
        <v>Componente</v>
      </c>
    </row>
    <row r="618" spans="1:13" ht="16.05" customHeight="1" x14ac:dyDescent="0.3">
      <c r="A618" s="26" t="s">
        <v>436</v>
      </c>
      <c r="B618" s="26" t="s">
        <v>931</v>
      </c>
      <c r="C618" s="26" t="s">
        <v>1472</v>
      </c>
      <c r="D618" s="26" t="s">
        <v>1473</v>
      </c>
      <c r="E618" s="39">
        <v>1</v>
      </c>
      <c r="F618" s="37">
        <v>28576</v>
      </c>
      <c r="G618" s="38">
        <f>IFERROR(IF(B618="Tampa",INDEX(tbl_tampas[Massa_g],MATCH(A618,tbl_tampas[CapId],0)),INDEX(tbl_recyclass[Massa_Corpo_g],MATCH(A618,tbl_recyclass[ProductId],0))),0)</f>
        <v>11.5</v>
      </c>
      <c r="H618" s="32">
        <f t="shared" si="27"/>
        <v>328.62400000000002</v>
      </c>
      <c r="I618" s="36">
        <f>IFERROR(IF(B618="Tampa",INDEX(tbl_tampas[Pct_PCR],MATCH(A618,tbl_tampas[CapId],0)),INDEX(tbl_recyclass[Pct_PCR_Corpo],MATCH(A618,tbl_recyclass[ProductId],0))),0)</f>
        <v>0</v>
      </c>
      <c r="J618" s="32">
        <f t="shared" si="28"/>
        <v>0</v>
      </c>
      <c r="K618" s="32">
        <f t="shared" si="29"/>
        <v>328.62400000000002</v>
      </c>
      <c r="L618" s="43">
        <f>IF(C618="ES",K618*INDEX(tbl_param_emb[Valor],MATCH("P-01",tbl_param_emb[ID_Parametro],0)),0)</f>
        <v>0</v>
      </c>
      <c r="M618" s="33" t="str">
        <f>IF(B618="Tampa","Componente",IFERROR(INDEX(tbl_recyclass[Grau_PPWR_Indicativo],MATCH(A618,tbl_recyclass[ProductId],0)),""))</f>
        <v>Componente</v>
      </c>
    </row>
    <row r="619" spans="1:13" ht="16.05" customHeight="1" x14ac:dyDescent="0.3">
      <c r="A619" s="26" t="s">
        <v>436</v>
      </c>
      <c r="B619" s="26" t="s">
        <v>931</v>
      </c>
      <c r="C619" s="26" t="s">
        <v>1478</v>
      </c>
      <c r="D619" s="26" t="s">
        <v>1479</v>
      </c>
      <c r="E619" s="39">
        <v>1</v>
      </c>
      <c r="F619" s="37">
        <v>27283</v>
      </c>
      <c r="G619" s="38">
        <f>IFERROR(IF(B619="Tampa",INDEX(tbl_tampas[Massa_g],MATCH(A619,tbl_tampas[CapId],0)),INDEX(tbl_recyclass[Massa_Corpo_g],MATCH(A619,tbl_recyclass[ProductId],0))),0)</f>
        <v>11.5</v>
      </c>
      <c r="H619" s="32">
        <f t="shared" si="27"/>
        <v>313.75450000000001</v>
      </c>
      <c r="I619" s="36">
        <f>IFERROR(IF(B619="Tampa",INDEX(tbl_tampas[Pct_PCR],MATCH(A619,tbl_tampas[CapId],0)),INDEX(tbl_recyclass[Pct_PCR_Corpo],MATCH(A619,tbl_recyclass[ProductId],0))),0)</f>
        <v>0</v>
      </c>
      <c r="J619" s="32">
        <f t="shared" si="28"/>
        <v>0</v>
      </c>
      <c r="K619" s="32">
        <f t="shared" si="29"/>
        <v>313.75450000000001</v>
      </c>
      <c r="L619" s="43">
        <f>IF(C619="ES",K619*INDEX(tbl_param_emb[Valor],MATCH("P-01",tbl_param_emb[ID_Parametro],0)),0)</f>
        <v>0</v>
      </c>
      <c r="M619" s="33" t="str">
        <f>IF(B619="Tampa","Componente",IFERROR(INDEX(tbl_recyclass[Grau_PPWR_Indicativo],MATCH(A619,tbl_recyclass[ProductId],0)),""))</f>
        <v>Componente</v>
      </c>
    </row>
    <row r="620" spans="1:13" ht="16.05" customHeight="1" x14ac:dyDescent="0.3">
      <c r="A620" s="26" t="s">
        <v>436</v>
      </c>
      <c r="B620" s="26" t="s">
        <v>931</v>
      </c>
      <c r="C620" s="26" t="s">
        <v>1480</v>
      </c>
      <c r="D620" s="26" t="s">
        <v>1481</v>
      </c>
      <c r="E620" s="39">
        <v>1</v>
      </c>
      <c r="F620" s="37">
        <v>28962</v>
      </c>
      <c r="G620" s="38">
        <f>IFERROR(IF(B620="Tampa",INDEX(tbl_tampas[Massa_g],MATCH(A620,tbl_tampas[CapId],0)),INDEX(tbl_recyclass[Massa_Corpo_g],MATCH(A620,tbl_recyclass[ProductId],0))),0)</f>
        <v>11.5</v>
      </c>
      <c r="H620" s="32">
        <f t="shared" si="27"/>
        <v>333.06299999999999</v>
      </c>
      <c r="I620" s="36">
        <f>IFERROR(IF(B620="Tampa",INDEX(tbl_tampas[Pct_PCR],MATCH(A620,tbl_tampas[CapId],0)),INDEX(tbl_recyclass[Pct_PCR_Corpo],MATCH(A620,tbl_recyclass[ProductId],0))),0)</f>
        <v>0</v>
      </c>
      <c r="J620" s="32">
        <f t="shared" si="28"/>
        <v>0</v>
      </c>
      <c r="K620" s="32">
        <f t="shared" si="29"/>
        <v>333.06299999999999</v>
      </c>
      <c r="L620" s="43">
        <f>IF(C620="ES",K620*INDEX(tbl_param_emb[Valor],MATCH("P-01",tbl_param_emb[ID_Parametro],0)),0)</f>
        <v>0</v>
      </c>
      <c r="M620" s="33" t="str">
        <f>IF(B620="Tampa","Componente",IFERROR(INDEX(tbl_recyclass[Grau_PPWR_Indicativo],MATCH(A620,tbl_recyclass[ProductId],0)),""))</f>
        <v>Componente</v>
      </c>
    </row>
    <row r="621" spans="1:13" ht="16.05" customHeight="1" x14ac:dyDescent="0.3">
      <c r="A621" s="26" t="s">
        <v>436</v>
      </c>
      <c r="B621" s="26" t="s">
        <v>931</v>
      </c>
      <c r="C621" s="26" t="s">
        <v>847</v>
      </c>
      <c r="D621" s="26" t="s">
        <v>1471</v>
      </c>
      <c r="E621" s="39">
        <v>8</v>
      </c>
      <c r="F621" s="37">
        <v>385505</v>
      </c>
      <c r="G621" s="38">
        <f>IFERROR(IF(B621="Tampa",INDEX(tbl_tampas[Massa_g],MATCH(A621,tbl_tampas[CapId],0)),INDEX(tbl_recyclass[Massa_Corpo_g],MATCH(A621,tbl_recyclass[ProductId],0))),0)</f>
        <v>11.5</v>
      </c>
      <c r="H621" s="32">
        <f t="shared" si="27"/>
        <v>4433.3074999999999</v>
      </c>
      <c r="I621" s="36">
        <f>IFERROR(IF(B621="Tampa",INDEX(tbl_tampas[Pct_PCR],MATCH(A621,tbl_tampas[CapId],0)),INDEX(tbl_recyclass[Pct_PCR_Corpo],MATCH(A621,tbl_recyclass[ProductId],0))),0)</f>
        <v>0</v>
      </c>
      <c r="J621" s="32">
        <f t="shared" si="28"/>
        <v>0</v>
      </c>
      <c r="K621" s="32">
        <f t="shared" si="29"/>
        <v>4433.3074999999999</v>
      </c>
      <c r="L621" s="43">
        <f>IF(C621="ES",K621*INDEX(tbl_param_emb[Valor],MATCH("P-01",tbl_param_emb[ID_Parametro],0)),0)</f>
        <v>0</v>
      </c>
      <c r="M621" s="33" t="str">
        <f>IF(B621="Tampa","Componente",IFERROR(INDEX(tbl_recyclass[Grau_PPWR_Indicativo],MATCH(A621,tbl_recyclass[ProductId],0)),""))</f>
        <v>Componente</v>
      </c>
    </row>
    <row r="622" spans="1:13" ht="16.05" customHeight="1" x14ac:dyDescent="0.3">
      <c r="A622" s="26" t="s">
        <v>436</v>
      </c>
      <c r="B622" s="26" t="s">
        <v>931</v>
      </c>
      <c r="C622" s="26" t="s">
        <v>1474</v>
      </c>
      <c r="D622" s="26" t="s">
        <v>1475</v>
      </c>
      <c r="E622" s="39">
        <v>2</v>
      </c>
      <c r="F622" s="37">
        <v>94552</v>
      </c>
      <c r="G622" s="38">
        <f>IFERROR(IF(B622="Tampa",INDEX(tbl_tampas[Massa_g],MATCH(A622,tbl_tampas[CapId],0)),INDEX(tbl_recyclass[Massa_Corpo_g],MATCH(A622,tbl_recyclass[ProductId],0))),0)</f>
        <v>11.5</v>
      </c>
      <c r="H622" s="32">
        <f t="shared" si="27"/>
        <v>1087.348</v>
      </c>
      <c r="I622" s="36">
        <f>IFERROR(IF(B622="Tampa",INDEX(tbl_tampas[Pct_PCR],MATCH(A622,tbl_tampas[CapId],0)),INDEX(tbl_recyclass[Pct_PCR_Corpo],MATCH(A622,tbl_recyclass[ProductId],0))),0)</f>
        <v>0</v>
      </c>
      <c r="J622" s="32">
        <f t="shared" si="28"/>
        <v>0</v>
      </c>
      <c r="K622" s="32">
        <f t="shared" si="29"/>
        <v>1087.348</v>
      </c>
      <c r="L622" s="43">
        <f>IF(C622="ES",K622*INDEX(tbl_param_emb[Valor],MATCH("P-01",tbl_param_emb[ID_Parametro],0)),0)</f>
        <v>489.3066</v>
      </c>
      <c r="M622" s="33" t="str">
        <f>IF(B622="Tampa","Componente",IFERROR(INDEX(tbl_recyclass[Grau_PPWR_Indicativo],MATCH(A622,tbl_recyclass[ProductId],0)),""))</f>
        <v>Componente</v>
      </c>
    </row>
    <row r="623" spans="1:13" ht="16.05" customHeight="1" x14ac:dyDescent="0.3">
      <c r="A623" s="26" t="s">
        <v>439</v>
      </c>
      <c r="B623" s="26" t="s">
        <v>931</v>
      </c>
      <c r="C623" s="26" t="s">
        <v>1476</v>
      </c>
      <c r="D623" s="26" t="s">
        <v>1477</v>
      </c>
      <c r="E623" s="39">
        <v>1</v>
      </c>
      <c r="F623" s="37">
        <v>51089</v>
      </c>
      <c r="G623" s="38">
        <f>IFERROR(IF(B623="Tampa",INDEX(tbl_tampas[Massa_g],MATCH(A623,tbl_tampas[CapId],0)),INDEX(tbl_recyclass[Massa_Corpo_g],MATCH(A623,tbl_recyclass[ProductId],0))),0)</f>
        <v>12.1</v>
      </c>
      <c r="H623" s="32">
        <f t="shared" si="27"/>
        <v>618.17690000000005</v>
      </c>
      <c r="I623" s="36">
        <f>IFERROR(IF(B623="Tampa",INDEX(tbl_tampas[Pct_PCR],MATCH(A623,tbl_tampas[CapId],0)),INDEX(tbl_recyclass[Pct_PCR_Corpo],MATCH(A623,tbl_recyclass[ProductId],0))),0)</f>
        <v>0</v>
      </c>
      <c r="J623" s="32">
        <f t="shared" si="28"/>
        <v>0</v>
      </c>
      <c r="K623" s="32">
        <f t="shared" si="29"/>
        <v>618.17690000000005</v>
      </c>
      <c r="L623" s="43">
        <f>IF(C623="ES",K623*INDEX(tbl_param_emb[Valor],MATCH("P-01",tbl_param_emb[ID_Parametro],0)),0)</f>
        <v>0</v>
      </c>
      <c r="M623" s="33" t="str">
        <f>IF(B623="Tampa","Componente",IFERROR(INDEX(tbl_recyclass[Grau_PPWR_Indicativo],MATCH(A623,tbl_recyclass[ProductId],0)),""))</f>
        <v>Componente</v>
      </c>
    </row>
    <row r="624" spans="1:13" ht="16.05" customHeight="1" x14ac:dyDescent="0.3">
      <c r="A624" s="26" t="s">
        <v>439</v>
      </c>
      <c r="B624" s="26" t="s">
        <v>931</v>
      </c>
      <c r="C624" s="26" t="s">
        <v>1472</v>
      </c>
      <c r="D624" s="26" t="s">
        <v>1473</v>
      </c>
      <c r="E624" s="39">
        <v>1</v>
      </c>
      <c r="F624" s="37">
        <v>40060</v>
      </c>
      <c r="G624" s="38">
        <f>IFERROR(IF(B624="Tampa",INDEX(tbl_tampas[Massa_g],MATCH(A624,tbl_tampas[CapId],0)),INDEX(tbl_recyclass[Massa_Corpo_g],MATCH(A624,tbl_recyclass[ProductId],0))),0)</f>
        <v>12.1</v>
      </c>
      <c r="H624" s="32">
        <f t="shared" si="27"/>
        <v>484.726</v>
      </c>
      <c r="I624" s="36">
        <f>IFERROR(IF(B624="Tampa",INDEX(tbl_tampas[Pct_PCR],MATCH(A624,tbl_tampas[CapId],0)),INDEX(tbl_recyclass[Pct_PCR_Corpo],MATCH(A624,tbl_recyclass[ProductId],0))),0)</f>
        <v>0</v>
      </c>
      <c r="J624" s="32">
        <f t="shared" si="28"/>
        <v>0</v>
      </c>
      <c r="K624" s="32">
        <f t="shared" si="29"/>
        <v>484.726</v>
      </c>
      <c r="L624" s="43">
        <f>IF(C624="ES",K624*INDEX(tbl_param_emb[Valor],MATCH("P-01",tbl_param_emb[ID_Parametro],0)),0)</f>
        <v>0</v>
      </c>
      <c r="M624" s="33" t="str">
        <f>IF(B624="Tampa","Componente",IFERROR(INDEX(tbl_recyclass[Grau_PPWR_Indicativo],MATCH(A624,tbl_recyclass[ProductId],0)),""))</f>
        <v>Componente</v>
      </c>
    </row>
    <row r="625" spans="1:13" ht="16.05" customHeight="1" x14ac:dyDescent="0.3">
      <c r="A625" s="26" t="s">
        <v>439</v>
      </c>
      <c r="B625" s="26" t="s">
        <v>931</v>
      </c>
      <c r="C625" s="26" t="s">
        <v>1478</v>
      </c>
      <c r="D625" s="26" t="s">
        <v>1479</v>
      </c>
      <c r="E625" s="39">
        <v>1</v>
      </c>
      <c r="F625" s="37">
        <v>50556</v>
      </c>
      <c r="G625" s="38">
        <f>IFERROR(IF(B625="Tampa",INDEX(tbl_tampas[Massa_g],MATCH(A625,tbl_tampas[CapId],0)),INDEX(tbl_recyclass[Massa_Corpo_g],MATCH(A625,tbl_recyclass[ProductId],0))),0)</f>
        <v>12.1</v>
      </c>
      <c r="H625" s="32">
        <f t="shared" si="27"/>
        <v>611.72759999999994</v>
      </c>
      <c r="I625" s="36">
        <f>IFERROR(IF(B625="Tampa",INDEX(tbl_tampas[Pct_PCR],MATCH(A625,tbl_tampas[CapId],0)),INDEX(tbl_recyclass[Pct_PCR_Corpo],MATCH(A625,tbl_recyclass[ProductId],0))),0)</f>
        <v>0</v>
      </c>
      <c r="J625" s="32">
        <f t="shared" si="28"/>
        <v>0</v>
      </c>
      <c r="K625" s="32">
        <f t="shared" si="29"/>
        <v>611.72759999999994</v>
      </c>
      <c r="L625" s="43">
        <f>IF(C625="ES",K625*INDEX(tbl_param_emb[Valor],MATCH("P-01",tbl_param_emb[ID_Parametro],0)),0)</f>
        <v>0</v>
      </c>
      <c r="M625" s="33" t="str">
        <f>IF(B625="Tampa","Componente",IFERROR(INDEX(tbl_recyclass[Grau_PPWR_Indicativo],MATCH(A625,tbl_recyclass[ProductId],0)),""))</f>
        <v>Componente</v>
      </c>
    </row>
    <row r="626" spans="1:13" ht="16.05" customHeight="1" x14ac:dyDescent="0.3">
      <c r="A626" s="26" t="s">
        <v>439</v>
      </c>
      <c r="B626" s="26" t="s">
        <v>931</v>
      </c>
      <c r="C626" s="26" t="s">
        <v>1480</v>
      </c>
      <c r="D626" s="26" t="s">
        <v>1481</v>
      </c>
      <c r="E626" s="39">
        <v>1</v>
      </c>
      <c r="F626" s="37">
        <v>78759</v>
      </c>
      <c r="G626" s="38">
        <f>IFERROR(IF(B626="Tampa",INDEX(tbl_tampas[Massa_g],MATCH(A626,tbl_tampas[CapId],0)),INDEX(tbl_recyclass[Massa_Corpo_g],MATCH(A626,tbl_recyclass[ProductId],0))),0)</f>
        <v>12.1</v>
      </c>
      <c r="H626" s="32">
        <f t="shared" si="27"/>
        <v>952.98390000000006</v>
      </c>
      <c r="I626" s="36">
        <f>IFERROR(IF(B626="Tampa",INDEX(tbl_tampas[Pct_PCR],MATCH(A626,tbl_tampas[CapId],0)),INDEX(tbl_recyclass[Pct_PCR_Corpo],MATCH(A626,tbl_recyclass[ProductId],0))),0)</f>
        <v>0</v>
      </c>
      <c r="J626" s="32">
        <f t="shared" si="28"/>
        <v>0</v>
      </c>
      <c r="K626" s="32">
        <f t="shared" si="29"/>
        <v>952.98390000000006</v>
      </c>
      <c r="L626" s="43">
        <f>IF(C626="ES",K626*INDEX(tbl_param_emb[Valor],MATCH("P-01",tbl_param_emb[ID_Parametro],0)),0)</f>
        <v>0</v>
      </c>
      <c r="M626" s="33" t="str">
        <f>IF(B626="Tampa","Componente",IFERROR(INDEX(tbl_recyclass[Grau_PPWR_Indicativo],MATCH(A626,tbl_recyclass[ProductId],0)),""))</f>
        <v>Componente</v>
      </c>
    </row>
    <row r="627" spans="1:13" ht="16.05" customHeight="1" x14ac:dyDescent="0.3">
      <c r="A627" s="26" t="s">
        <v>439</v>
      </c>
      <c r="B627" s="26" t="s">
        <v>931</v>
      </c>
      <c r="C627" s="26" t="s">
        <v>847</v>
      </c>
      <c r="D627" s="26" t="s">
        <v>1471</v>
      </c>
      <c r="E627" s="39">
        <v>8</v>
      </c>
      <c r="F627" s="37">
        <v>243151</v>
      </c>
      <c r="G627" s="38">
        <f>IFERROR(IF(B627="Tampa",INDEX(tbl_tampas[Massa_g],MATCH(A627,tbl_tampas[CapId],0)),INDEX(tbl_recyclass[Massa_Corpo_g],MATCH(A627,tbl_recyclass[ProductId],0))),0)</f>
        <v>12.1</v>
      </c>
      <c r="H627" s="32">
        <f t="shared" si="27"/>
        <v>2942.1271000000002</v>
      </c>
      <c r="I627" s="36">
        <f>IFERROR(IF(B627="Tampa",INDEX(tbl_tampas[Pct_PCR],MATCH(A627,tbl_tampas[CapId],0)),INDEX(tbl_recyclass[Pct_PCR_Corpo],MATCH(A627,tbl_recyclass[ProductId],0))),0)</f>
        <v>0</v>
      </c>
      <c r="J627" s="32">
        <f t="shared" si="28"/>
        <v>0</v>
      </c>
      <c r="K627" s="32">
        <f t="shared" si="29"/>
        <v>2942.1271000000002</v>
      </c>
      <c r="L627" s="43">
        <f>IF(C627="ES",K627*INDEX(tbl_param_emb[Valor],MATCH("P-01",tbl_param_emb[ID_Parametro],0)),0)</f>
        <v>0</v>
      </c>
      <c r="M627" s="33" t="str">
        <f>IF(B627="Tampa","Componente",IFERROR(INDEX(tbl_recyclass[Grau_PPWR_Indicativo],MATCH(A627,tbl_recyclass[ProductId],0)),""))</f>
        <v>Componente</v>
      </c>
    </row>
    <row r="628" spans="1:13" ht="16.05" customHeight="1" x14ac:dyDescent="0.3">
      <c r="A628" s="26" t="s">
        <v>439</v>
      </c>
      <c r="B628" s="26" t="s">
        <v>931</v>
      </c>
      <c r="C628" s="26" t="s">
        <v>1474</v>
      </c>
      <c r="D628" s="26" t="s">
        <v>1475</v>
      </c>
      <c r="E628" s="39">
        <v>2</v>
      </c>
      <c r="F628" s="37">
        <v>69889</v>
      </c>
      <c r="G628" s="38">
        <f>IFERROR(IF(B628="Tampa",INDEX(tbl_tampas[Massa_g],MATCH(A628,tbl_tampas[CapId],0)),INDEX(tbl_recyclass[Massa_Corpo_g],MATCH(A628,tbl_recyclass[ProductId],0))),0)</f>
        <v>12.1</v>
      </c>
      <c r="H628" s="32">
        <f t="shared" si="27"/>
        <v>845.65690000000006</v>
      </c>
      <c r="I628" s="36">
        <f>IFERROR(IF(B628="Tampa",INDEX(tbl_tampas[Pct_PCR],MATCH(A628,tbl_tampas[CapId],0)),INDEX(tbl_recyclass[Pct_PCR_Corpo],MATCH(A628,tbl_recyclass[ProductId],0))),0)</f>
        <v>0</v>
      </c>
      <c r="J628" s="32">
        <f t="shared" si="28"/>
        <v>0</v>
      </c>
      <c r="K628" s="32">
        <f t="shared" si="29"/>
        <v>845.65690000000006</v>
      </c>
      <c r="L628" s="43">
        <f>IF(C628="ES",K628*INDEX(tbl_param_emb[Valor],MATCH("P-01",tbl_param_emb[ID_Parametro],0)),0)</f>
        <v>380.54560500000002</v>
      </c>
      <c r="M628" s="33" t="str">
        <f>IF(B628="Tampa","Componente",IFERROR(INDEX(tbl_recyclass[Grau_PPWR_Indicativo],MATCH(A628,tbl_recyclass[ProductId],0)),""))</f>
        <v>Componente</v>
      </c>
    </row>
    <row r="629" spans="1:13" ht="16.05" customHeight="1" x14ac:dyDescent="0.3">
      <c r="A629" s="26" t="s">
        <v>437</v>
      </c>
      <c r="B629" s="26" t="s">
        <v>931</v>
      </c>
      <c r="C629" s="26" t="s">
        <v>1476</v>
      </c>
      <c r="D629" s="26" t="s">
        <v>1477</v>
      </c>
      <c r="E629" s="39">
        <v>1</v>
      </c>
      <c r="F629" s="37">
        <v>31367</v>
      </c>
      <c r="G629" s="38">
        <f>IFERROR(IF(B629="Tampa",INDEX(tbl_tampas[Massa_g],MATCH(A629,tbl_tampas[CapId],0)),INDEX(tbl_recyclass[Massa_Corpo_g],MATCH(A629,tbl_recyclass[ProductId],0))),0)</f>
        <v>10.3</v>
      </c>
      <c r="H629" s="32">
        <f t="shared" si="27"/>
        <v>323.08010000000002</v>
      </c>
      <c r="I629" s="36">
        <f>IFERROR(IF(B629="Tampa",INDEX(tbl_tampas[Pct_PCR],MATCH(A629,tbl_tampas[CapId],0)),INDEX(tbl_recyclass[Pct_PCR_Corpo],MATCH(A629,tbl_recyclass[ProductId],0))),0)</f>
        <v>0</v>
      </c>
      <c r="J629" s="32">
        <f t="shared" si="28"/>
        <v>0</v>
      </c>
      <c r="K629" s="32">
        <f t="shared" si="29"/>
        <v>323.08010000000002</v>
      </c>
      <c r="L629" s="43">
        <f>IF(C629="ES",K629*INDEX(tbl_param_emb[Valor],MATCH("P-01",tbl_param_emb[ID_Parametro],0)),0)</f>
        <v>0</v>
      </c>
      <c r="M629" s="33" t="str">
        <f>IF(B629="Tampa","Componente",IFERROR(INDEX(tbl_recyclass[Grau_PPWR_Indicativo],MATCH(A629,tbl_recyclass[ProductId],0)),""))</f>
        <v>Componente</v>
      </c>
    </row>
    <row r="630" spans="1:13" ht="16.05" customHeight="1" x14ac:dyDescent="0.3">
      <c r="A630" s="26" t="s">
        <v>437</v>
      </c>
      <c r="B630" s="26" t="s">
        <v>931</v>
      </c>
      <c r="C630" s="26" t="s">
        <v>1472</v>
      </c>
      <c r="D630" s="26" t="s">
        <v>1473</v>
      </c>
      <c r="E630" s="39">
        <v>1</v>
      </c>
      <c r="F630" s="37">
        <v>48768</v>
      </c>
      <c r="G630" s="38">
        <f>IFERROR(IF(B630="Tampa",INDEX(tbl_tampas[Massa_g],MATCH(A630,tbl_tampas[CapId],0)),INDEX(tbl_recyclass[Massa_Corpo_g],MATCH(A630,tbl_recyclass[ProductId],0))),0)</f>
        <v>10.3</v>
      </c>
      <c r="H630" s="32">
        <f t="shared" si="27"/>
        <v>502.31040000000002</v>
      </c>
      <c r="I630" s="36">
        <f>IFERROR(IF(B630="Tampa",INDEX(tbl_tampas[Pct_PCR],MATCH(A630,tbl_tampas[CapId],0)),INDEX(tbl_recyclass[Pct_PCR_Corpo],MATCH(A630,tbl_recyclass[ProductId],0))),0)</f>
        <v>0</v>
      </c>
      <c r="J630" s="32">
        <f t="shared" si="28"/>
        <v>0</v>
      </c>
      <c r="K630" s="32">
        <f t="shared" si="29"/>
        <v>502.31040000000002</v>
      </c>
      <c r="L630" s="43">
        <f>IF(C630="ES",K630*INDEX(tbl_param_emb[Valor],MATCH("P-01",tbl_param_emb[ID_Parametro],0)),0)</f>
        <v>0</v>
      </c>
      <c r="M630" s="33" t="str">
        <f>IF(B630="Tampa","Componente",IFERROR(INDEX(tbl_recyclass[Grau_PPWR_Indicativo],MATCH(A630,tbl_recyclass[ProductId],0)),""))</f>
        <v>Componente</v>
      </c>
    </row>
    <row r="631" spans="1:13" ht="16.05" customHeight="1" x14ac:dyDescent="0.3">
      <c r="A631" s="26" t="s">
        <v>437</v>
      </c>
      <c r="B631" s="26" t="s">
        <v>931</v>
      </c>
      <c r="C631" s="26" t="s">
        <v>1478</v>
      </c>
      <c r="D631" s="26" t="s">
        <v>1479</v>
      </c>
      <c r="E631" s="39">
        <v>1</v>
      </c>
      <c r="F631" s="37">
        <v>25748</v>
      </c>
      <c r="G631" s="38">
        <f>IFERROR(IF(B631="Tampa",INDEX(tbl_tampas[Massa_g],MATCH(A631,tbl_tampas[CapId],0)),INDEX(tbl_recyclass[Massa_Corpo_g],MATCH(A631,tbl_recyclass[ProductId],0))),0)</f>
        <v>10.3</v>
      </c>
      <c r="H631" s="32">
        <f t="shared" si="27"/>
        <v>265.20440000000002</v>
      </c>
      <c r="I631" s="36">
        <f>IFERROR(IF(B631="Tampa",INDEX(tbl_tampas[Pct_PCR],MATCH(A631,tbl_tampas[CapId],0)),INDEX(tbl_recyclass[Pct_PCR_Corpo],MATCH(A631,tbl_recyclass[ProductId],0))),0)</f>
        <v>0</v>
      </c>
      <c r="J631" s="32">
        <f t="shared" si="28"/>
        <v>0</v>
      </c>
      <c r="K631" s="32">
        <f t="shared" si="29"/>
        <v>265.20440000000002</v>
      </c>
      <c r="L631" s="43">
        <f>IF(C631="ES",K631*INDEX(tbl_param_emb[Valor],MATCH("P-01",tbl_param_emb[ID_Parametro],0)),0)</f>
        <v>0</v>
      </c>
      <c r="M631" s="33" t="str">
        <f>IF(B631="Tampa","Componente",IFERROR(INDEX(tbl_recyclass[Grau_PPWR_Indicativo],MATCH(A631,tbl_recyclass[ProductId],0)),""))</f>
        <v>Componente</v>
      </c>
    </row>
    <row r="632" spans="1:13" ht="16.05" customHeight="1" x14ac:dyDescent="0.3">
      <c r="A632" s="26" t="s">
        <v>437</v>
      </c>
      <c r="B632" s="26" t="s">
        <v>931</v>
      </c>
      <c r="C632" s="26" t="s">
        <v>1480</v>
      </c>
      <c r="D632" s="26" t="s">
        <v>1481</v>
      </c>
      <c r="E632" s="39">
        <v>1</v>
      </c>
      <c r="F632" s="37">
        <v>20733</v>
      </c>
      <c r="G632" s="38">
        <f>IFERROR(IF(B632="Tampa",INDEX(tbl_tampas[Massa_g],MATCH(A632,tbl_tampas[CapId],0)),INDEX(tbl_recyclass[Massa_Corpo_g],MATCH(A632,tbl_recyclass[ProductId],0))),0)</f>
        <v>10.3</v>
      </c>
      <c r="H632" s="32">
        <f t="shared" si="27"/>
        <v>213.54990000000004</v>
      </c>
      <c r="I632" s="36">
        <f>IFERROR(IF(B632="Tampa",INDEX(tbl_tampas[Pct_PCR],MATCH(A632,tbl_tampas[CapId],0)),INDEX(tbl_recyclass[Pct_PCR_Corpo],MATCH(A632,tbl_recyclass[ProductId],0))),0)</f>
        <v>0</v>
      </c>
      <c r="J632" s="32">
        <f t="shared" si="28"/>
        <v>0</v>
      </c>
      <c r="K632" s="32">
        <f t="shared" si="29"/>
        <v>213.54990000000004</v>
      </c>
      <c r="L632" s="43">
        <f>IF(C632="ES",K632*INDEX(tbl_param_emb[Valor],MATCH("P-01",tbl_param_emb[ID_Parametro],0)),0)</f>
        <v>0</v>
      </c>
      <c r="M632" s="33" t="str">
        <f>IF(B632="Tampa","Componente",IFERROR(INDEX(tbl_recyclass[Grau_PPWR_Indicativo],MATCH(A632,tbl_recyclass[ProductId],0)),""))</f>
        <v>Componente</v>
      </c>
    </row>
    <row r="633" spans="1:13" ht="16.05" customHeight="1" x14ac:dyDescent="0.3">
      <c r="A633" s="26" t="s">
        <v>437</v>
      </c>
      <c r="B633" s="26" t="s">
        <v>931</v>
      </c>
      <c r="C633" s="26" t="s">
        <v>847</v>
      </c>
      <c r="D633" s="26" t="s">
        <v>1471</v>
      </c>
      <c r="E633" s="39">
        <v>8</v>
      </c>
      <c r="F633" s="37">
        <v>296919</v>
      </c>
      <c r="G633" s="38">
        <f>IFERROR(IF(B633="Tampa",INDEX(tbl_tampas[Massa_g],MATCH(A633,tbl_tampas[CapId],0)),INDEX(tbl_recyclass[Massa_Corpo_g],MATCH(A633,tbl_recyclass[ProductId],0))),0)</f>
        <v>10.3</v>
      </c>
      <c r="H633" s="32">
        <f t="shared" si="27"/>
        <v>3058.2657000000004</v>
      </c>
      <c r="I633" s="36">
        <f>IFERROR(IF(B633="Tampa",INDEX(tbl_tampas[Pct_PCR],MATCH(A633,tbl_tampas[CapId],0)),INDEX(tbl_recyclass[Pct_PCR_Corpo],MATCH(A633,tbl_recyclass[ProductId],0))),0)</f>
        <v>0</v>
      </c>
      <c r="J633" s="32">
        <f t="shared" si="28"/>
        <v>0</v>
      </c>
      <c r="K633" s="32">
        <f t="shared" si="29"/>
        <v>3058.2657000000004</v>
      </c>
      <c r="L633" s="43">
        <f>IF(C633="ES",K633*INDEX(tbl_param_emb[Valor],MATCH("P-01",tbl_param_emb[ID_Parametro],0)),0)</f>
        <v>0</v>
      </c>
      <c r="M633" s="33" t="str">
        <f>IF(B633="Tampa","Componente",IFERROR(INDEX(tbl_recyclass[Grau_PPWR_Indicativo],MATCH(A633,tbl_recyclass[ProductId],0)),""))</f>
        <v>Componente</v>
      </c>
    </row>
    <row r="634" spans="1:13" ht="16.05" customHeight="1" x14ac:dyDescent="0.3">
      <c r="A634" s="26" t="s">
        <v>437</v>
      </c>
      <c r="B634" s="26" t="s">
        <v>931</v>
      </c>
      <c r="C634" s="26" t="s">
        <v>1474</v>
      </c>
      <c r="D634" s="26" t="s">
        <v>1475</v>
      </c>
      <c r="E634" s="39">
        <v>2</v>
      </c>
      <c r="F634" s="37">
        <v>83833</v>
      </c>
      <c r="G634" s="38">
        <f>IFERROR(IF(B634="Tampa",INDEX(tbl_tampas[Massa_g],MATCH(A634,tbl_tampas[CapId],0)),INDEX(tbl_recyclass[Massa_Corpo_g],MATCH(A634,tbl_recyclass[ProductId],0))),0)</f>
        <v>10.3</v>
      </c>
      <c r="H634" s="32">
        <f t="shared" si="27"/>
        <v>863.47990000000004</v>
      </c>
      <c r="I634" s="36">
        <f>IFERROR(IF(B634="Tampa",INDEX(tbl_tampas[Pct_PCR],MATCH(A634,tbl_tampas[CapId],0)),INDEX(tbl_recyclass[Pct_PCR_Corpo],MATCH(A634,tbl_recyclass[ProductId],0))),0)</f>
        <v>0</v>
      </c>
      <c r="J634" s="32">
        <f t="shared" si="28"/>
        <v>0</v>
      </c>
      <c r="K634" s="32">
        <f t="shared" si="29"/>
        <v>863.47990000000004</v>
      </c>
      <c r="L634" s="43">
        <f>IF(C634="ES",K634*INDEX(tbl_param_emb[Valor],MATCH("P-01",tbl_param_emb[ID_Parametro],0)),0)</f>
        <v>388.56595500000003</v>
      </c>
      <c r="M634" s="33" t="str">
        <f>IF(B634="Tampa","Componente",IFERROR(INDEX(tbl_recyclass[Grau_PPWR_Indicativo],MATCH(A634,tbl_recyclass[ProductId],0)),""))</f>
        <v>Componente</v>
      </c>
    </row>
    <row r="635" spans="1:13" ht="16.05" customHeight="1" x14ac:dyDescent="0.3">
      <c r="A635" s="26" t="s">
        <v>438</v>
      </c>
      <c r="B635" s="26" t="s">
        <v>931</v>
      </c>
      <c r="C635" s="26" t="s">
        <v>1476</v>
      </c>
      <c r="D635" s="26" t="s">
        <v>1477</v>
      </c>
      <c r="E635" s="39">
        <v>1</v>
      </c>
      <c r="F635" s="37">
        <v>50377</v>
      </c>
      <c r="G635" s="38">
        <f>IFERROR(IF(B635="Tampa",INDEX(tbl_tampas[Massa_g],MATCH(A635,tbl_tampas[CapId],0)),INDEX(tbl_recyclass[Massa_Corpo_g],MATCH(A635,tbl_recyclass[ProductId],0))),0)</f>
        <v>10.3</v>
      </c>
      <c r="H635" s="32">
        <f t="shared" si="27"/>
        <v>518.88310000000001</v>
      </c>
      <c r="I635" s="36">
        <f>IFERROR(IF(B635="Tampa",INDEX(tbl_tampas[Pct_PCR],MATCH(A635,tbl_tampas[CapId],0)),INDEX(tbl_recyclass[Pct_PCR_Corpo],MATCH(A635,tbl_recyclass[ProductId],0))),0)</f>
        <v>0.3</v>
      </c>
      <c r="J635" s="32">
        <f t="shared" si="28"/>
        <v>155.66493</v>
      </c>
      <c r="K635" s="32">
        <f t="shared" si="29"/>
        <v>363.21816999999999</v>
      </c>
      <c r="L635" s="43">
        <f>IF(C635="ES",K635*INDEX(tbl_param_emb[Valor],MATCH("P-01",tbl_param_emb[ID_Parametro],0)),0)</f>
        <v>0</v>
      </c>
      <c r="M635" s="33" t="str">
        <f>IF(B635="Tampa","Componente",IFERROR(INDEX(tbl_recyclass[Grau_PPWR_Indicativo],MATCH(A635,tbl_recyclass[ProductId],0)),""))</f>
        <v>Componente</v>
      </c>
    </row>
    <row r="636" spans="1:13" ht="16.05" customHeight="1" x14ac:dyDescent="0.3">
      <c r="A636" s="26" t="s">
        <v>438</v>
      </c>
      <c r="B636" s="26" t="s">
        <v>931</v>
      </c>
      <c r="C636" s="26" t="s">
        <v>1472</v>
      </c>
      <c r="D636" s="26" t="s">
        <v>1473</v>
      </c>
      <c r="E636" s="39">
        <v>1</v>
      </c>
      <c r="F636" s="37">
        <v>13089</v>
      </c>
      <c r="G636" s="38">
        <f>IFERROR(IF(B636="Tampa",INDEX(tbl_tampas[Massa_g],MATCH(A636,tbl_tampas[CapId],0)),INDEX(tbl_recyclass[Massa_Corpo_g],MATCH(A636,tbl_recyclass[ProductId],0))),0)</f>
        <v>10.3</v>
      </c>
      <c r="H636" s="32">
        <f t="shared" si="27"/>
        <v>134.81670000000003</v>
      </c>
      <c r="I636" s="36">
        <f>IFERROR(IF(B636="Tampa",INDEX(tbl_tampas[Pct_PCR],MATCH(A636,tbl_tampas[CapId],0)),INDEX(tbl_recyclass[Pct_PCR_Corpo],MATCH(A636,tbl_recyclass[ProductId],0))),0)</f>
        <v>0.3</v>
      </c>
      <c r="J636" s="32">
        <f t="shared" si="28"/>
        <v>40.445010000000003</v>
      </c>
      <c r="K636" s="32">
        <f t="shared" si="29"/>
        <v>94.371690000000029</v>
      </c>
      <c r="L636" s="43">
        <f>IF(C636="ES",K636*INDEX(tbl_param_emb[Valor],MATCH("P-01",tbl_param_emb[ID_Parametro],0)),0)</f>
        <v>0</v>
      </c>
      <c r="M636" s="33" t="str">
        <f>IF(B636="Tampa","Componente",IFERROR(INDEX(tbl_recyclass[Grau_PPWR_Indicativo],MATCH(A636,tbl_recyclass[ProductId],0)),""))</f>
        <v>Componente</v>
      </c>
    </row>
    <row r="637" spans="1:13" ht="16.05" customHeight="1" x14ac:dyDescent="0.3">
      <c r="A637" s="26" t="s">
        <v>438</v>
      </c>
      <c r="B637" s="26" t="s">
        <v>931</v>
      </c>
      <c r="C637" s="26" t="s">
        <v>1478</v>
      </c>
      <c r="D637" s="26" t="s">
        <v>1479</v>
      </c>
      <c r="E637" s="39">
        <v>1</v>
      </c>
      <c r="F637" s="37">
        <v>33730</v>
      </c>
      <c r="G637" s="38">
        <f>IFERROR(IF(B637="Tampa",INDEX(tbl_tampas[Massa_g],MATCH(A637,tbl_tampas[CapId],0)),INDEX(tbl_recyclass[Massa_Corpo_g],MATCH(A637,tbl_recyclass[ProductId],0))),0)</f>
        <v>10.3</v>
      </c>
      <c r="H637" s="32">
        <f t="shared" si="27"/>
        <v>347.41899999999998</v>
      </c>
      <c r="I637" s="36">
        <f>IFERROR(IF(B637="Tampa",INDEX(tbl_tampas[Pct_PCR],MATCH(A637,tbl_tampas[CapId],0)),INDEX(tbl_recyclass[Pct_PCR_Corpo],MATCH(A637,tbl_recyclass[ProductId],0))),0)</f>
        <v>0.3</v>
      </c>
      <c r="J637" s="32">
        <f t="shared" si="28"/>
        <v>104.22569999999999</v>
      </c>
      <c r="K637" s="32">
        <f t="shared" si="29"/>
        <v>243.19329999999999</v>
      </c>
      <c r="L637" s="43">
        <f>IF(C637="ES",K637*INDEX(tbl_param_emb[Valor],MATCH("P-01",tbl_param_emb[ID_Parametro],0)),0)</f>
        <v>0</v>
      </c>
      <c r="M637" s="33" t="str">
        <f>IF(B637="Tampa","Componente",IFERROR(INDEX(tbl_recyclass[Grau_PPWR_Indicativo],MATCH(A637,tbl_recyclass[ProductId],0)),""))</f>
        <v>Componente</v>
      </c>
    </row>
    <row r="638" spans="1:13" ht="16.05" customHeight="1" x14ac:dyDescent="0.3">
      <c r="A638" s="26" t="s">
        <v>438</v>
      </c>
      <c r="B638" s="26" t="s">
        <v>931</v>
      </c>
      <c r="C638" s="26" t="s">
        <v>1480</v>
      </c>
      <c r="D638" s="26" t="s">
        <v>1481</v>
      </c>
      <c r="E638" s="39">
        <v>1</v>
      </c>
      <c r="F638" s="37">
        <v>48311</v>
      </c>
      <c r="G638" s="38">
        <f>IFERROR(IF(B638="Tampa",INDEX(tbl_tampas[Massa_g],MATCH(A638,tbl_tampas[CapId],0)),INDEX(tbl_recyclass[Massa_Corpo_g],MATCH(A638,tbl_recyclass[ProductId],0))),0)</f>
        <v>10.3</v>
      </c>
      <c r="H638" s="32">
        <f t="shared" si="27"/>
        <v>497.60330000000005</v>
      </c>
      <c r="I638" s="36">
        <f>IFERROR(IF(B638="Tampa",INDEX(tbl_tampas[Pct_PCR],MATCH(A638,tbl_tampas[CapId],0)),INDEX(tbl_recyclass[Pct_PCR_Corpo],MATCH(A638,tbl_recyclass[ProductId],0))),0)</f>
        <v>0.3</v>
      </c>
      <c r="J638" s="32">
        <f t="shared" si="28"/>
        <v>149.28099</v>
      </c>
      <c r="K638" s="32">
        <f t="shared" si="29"/>
        <v>348.32231000000002</v>
      </c>
      <c r="L638" s="43">
        <f>IF(C638="ES",K638*INDEX(tbl_param_emb[Valor],MATCH("P-01",tbl_param_emb[ID_Parametro],0)),0)</f>
        <v>0</v>
      </c>
      <c r="M638" s="33" t="str">
        <f>IF(B638="Tampa","Componente",IFERROR(INDEX(tbl_recyclass[Grau_PPWR_Indicativo],MATCH(A638,tbl_recyclass[ProductId],0)),""))</f>
        <v>Componente</v>
      </c>
    </row>
    <row r="639" spans="1:13" ht="16.05" customHeight="1" x14ac:dyDescent="0.3">
      <c r="A639" s="26" t="s">
        <v>438</v>
      </c>
      <c r="B639" s="26" t="s">
        <v>931</v>
      </c>
      <c r="C639" s="26" t="s">
        <v>847</v>
      </c>
      <c r="D639" s="26" t="s">
        <v>1471</v>
      </c>
      <c r="E639" s="39">
        <v>8</v>
      </c>
      <c r="F639" s="37">
        <v>293908</v>
      </c>
      <c r="G639" s="38">
        <f>IFERROR(IF(B639="Tampa",INDEX(tbl_tampas[Massa_g],MATCH(A639,tbl_tampas[CapId],0)),INDEX(tbl_recyclass[Massa_Corpo_g],MATCH(A639,tbl_recyclass[ProductId],0))),0)</f>
        <v>10.3</v>
      </c>
      <c r="H639" s="32">
        <f t="shared" si="27"/>
        <v>3027.2524000000003</v>
      </c>
      <c r="I639" s="36">
        <f>IFERROR(IF(B639="Tampa",INDEX(tbl_tampas[Pct_PCR],MATCH(A639,tbl_tampas[CapId],0)),INDEX(tbl_recyclass[Pct_PCR_Corpo],MATCH(A639,tbl_recyclass[ProductId],0))),0)</f>
        <v>0.3</v>
      </c>
      <c r="J639" s="32">
        <f t="shared" si="28"/>
        <v>908.17572000000007</v>
      </c>
      <c r="K639" s="32">
        <f t="shared" si="29"/>
        <v>2119.0766800000001</v>
      </c>
      <c r="L639" s="43">
        <f>IF(C639="ES",K639*INDEX(tbl_param_emb[Valor],MATCH("P-01",tbl_param_emb[ID_Parametro],0)),0)</f>
        <v>0</v>
      </c>
      <c r="M639" s="33" t="str">
        <f>IF(B639="Tampa","Componente",IFERROR(INDEX(tbl_recyclass[Grau_PPWR_Indicativo],MATCH(A639,tbl_recyclass[ProductId],0)),""))</f>
        <v>Componente</v>
      </c>
    </row>
    <row r="640" spans="1:13" ht="16.05" customHeight="1" x14ac:dyDescent="0.3">
      <c r="A640" s="26" t="s">
        <v>438</v>
      </c>
      <c r="B640" s="26" t="s">
        <v>931</v>
      </c>
      <c r="C640" s="26" t="s">
        <v>1474</v>
      </c>
      <c r="D640" s="26" t="s">
        <v>1475</v>
      </c>
      <c r="E640" s="39">
        <v>2</v>
      </c>
      <c r="F640" s="37">
        <v>49319</v>
      </c>
      <c r="G640" s="38">
        <f>IFERROR(IF(B640="Tampa",INDEX(tbl_tampas[Massa_g],MATCH(A640,tbl_tampas[CapId],0)),INDEX(tbl_recyclass[Massa_Corpo_g],MATCH(A640,tbl_recyclass[ProductId],0))),0)</f>
        <v>10.3</v>
      </c>
      <c r="H640" s="32">
        <f t="shared" si="27"/>
        <v>507.98570000000001</v>
      </c>
      <c r="I640" s="36">
        <f>IFERROR(IF(B640="Tampa",INDEX(tbl_tampas[Pct_PCR],MATCH(A640,tbl_tampas[CapId],0)),INDEX(tbl_recyclass[Pct_PCR_Corpo],MATCH(A640,tbl_recyclass[ProductId],0))),0)</f>
        <v>0.3</v>
      </c>
      <c r="J640" s="32">
        <f t="shared" si="28"/>
        <v>152.39571000000001</v>
      </c>
      <c r="K640" s="32">
        <f t="shared" si="29"/>
        <v>355.58999</v>
      </c>
      <c r="L640" s="43">
        <f>IF(C640="ES",K640*INDEX(tbl_param_emb[Valor],MATCH("P-01",tbl_param_emb[ID_Parametro],0)),0)</f>
        <v>160.01549550000001</v>
      </c>
      <c r="M640" s="33" t="str">
        <f>IF(B640="Tampa","Componente",IFERROR(INDEX(tbl_recyclass[Grau_PPWR_Indicativo],MATCH(A640,tbl_recyclass[ProductId],0)),""))</f>
        <v>Componente</v>
      </c>
    </row>
    <row r="641" spans="1:13" ht="16.05" customHeight="1" x14ac:dyDescent="0.3">
      <c r="A641" s="26" t="s">
        <v>440</v>
      </c>
      <c r="B641" s="26" t="s">
        <v>931</v>
      </c>
      <c r="C641" s="26" t="s">
        <v>1476</v>
      </c>
      <c r="D641" s="26" t="s">
        <v>1477</v>
      </c>
      <c r="E641" s="39">
        <v>1</v>
      </c>
      <c r="F641" s="37">
        <v>40351</v>
      </c>
      <c r="G641" s="38">
        <f>IFERROR(IF(B641="Tampa",INDEX(tbl_tampas[Massa_g],MATCH(A641,tbl_tampas[CapId],0)),INDEX(tbl_recyclass[Massa_Corpo_g],MATCH(A641,tbl_recyclass[ProductId],0))),0)</f>
        <v>11.5</v>
      </c>
      <c r="H641" s="32">
        <f t="shared" si="27"/>
        <v>464.03649999999999</v>
      </c>
      <c r="I641" s="36">
        <f>IFERROR(IF(B641="Tampa",INDEX(tbl_tampas[Pct_PCR],MATCH(A641,tbl_tampas[CapId],0)),INDEX(tbl_recyclass[Pct_PCR_Corpo],MATCH(A641,tbl_recyclass[ProductId],0))),0)</f>
        <v>0</v>
      </c>
      <c r="J641" s="32">
        <f t="shared" si="28"/>
        <v>0</v>
      </c>
      <c r="K641" s="32">
        <f t="shared" si="29"/>
        <v>464.03649999999999</v>
      </c>
      <c r="L641" s="43">
        <f>IF(C641="ES",K641*INDEX(tbl_param_emb[Valor],MATCH("P-01",tbl_param_emb[ID_Parametro],0)),0)</f>
        <v>0</v>
      </c>
      <c r="M641" s="33" t="str">
        <f>IF(B641="Tampa","Componente",IFERROR(INDEX(tbl_recyclass[Grau_PPWR_Indicativo],MATCH(A641,tbl_recyclass[ProductId],0)),""))</f>
        <v>Componente</v>
      </c>
    </row>
    <row r="642" spans="1:13" ht="16.05" customHeight="1" x14ac:dyDescent="0.3">
      <c r="A642" s="26" t="s">
        <v>440</v>
      </c>
      <c r="B642" s="26" t="s">
        <v>931</v>
      </c>
      <c r="C642" s="26" t="s">
        <v>1472</v>
      </c>
      <c r="D642" s="26" t="s">
        <v>1473</v>
      </c>
      <c r="E642" s="39">
        <v>1</v>
      </c>
      <c r="F642" s="37">
        <v>23322</v>
      </c>
      <c r="G642" s="38">
        <f>IFERROR(IF(B642="Tampa",INDEX(tbl_tampas[Massa_g],MATCH(A642,tbl_tampas[CapId],0)),INDEX(tbl_recyclass[Massa_Corpo_g],MATCH(A642,tbl_recyclass[ProductId],0))),0)</f>
        <v>11.5</v>
      </c>
      <c r="H642" s="32">
        <f t="shared" ref="H642:H686" si="30">F642*G642/1000</f>
        <v>268.20299999999997</v>
      </c>
      <c r="I642" s="36">
        <f>IFERROR(IF(B642="Tampa",INDEX(tbl_tampas[Pct_PCR],MATCH(A642,tbl_tampas[CapId],0)),INDEX(tbl_recyclass[Pct_PCR_Corpo],MATCH(A642,tbl_recyclass[ProductId],0))),0)</f>
        <v>0</v>
      </c>
      <c r="J642" s="32">
        <f t="shared" ref="J642:J686" si="31">H642*I642</f>
        <v>0</v>
      </c>
      <c r="K642" s="32">
        <f t="shared" ref="K642:K686" si="32">H642-J642</f>
        <v>268.20299999999997</v>
      </c>
      <c r="L642" s="43">
        <f>IF(C642="ES",K642*INDEX(tbl_param_emb[Valor],MATCH("P-01",tbl_param_emb[ID_Parametro],0)),0)</f>
        <v>0</v>
      </c>
      <c r="M642" s="33" t="str">
        <f>IF(B642="Tampa","Componente",IFERROR(INDEX(tbl_recyclass[Grau_PPWR_Indicativo],MATCH(A642,tbl_recyclass[ProductId],0)),""))</f>
        <v>Componente</v>
      </c>
    </row>
    <row r="643" spans="1:13" ht="16.05" customHeight="1" x14ac:dyDescent="0.3">
      <c r="A643" s="26" t="s">
        <v>440</v>
      </c>
      <c r="B643" s="26" t="s">
        <v>931</v>
      </c>
      <c r="C643" s="26" t="s">
        <v>1478</v>
      </c>
      <c r="D643" s="26" t="s">
        <v>1479</v>
      </c>
      <c r="E643" s="39">
        <v>1</v>
      </c>
      <c r="F643" s="37">
        <v>59119</v>
      </c>
      <c r="G643" s="38">
        <f>IFERROR(IF(B643="Tampa",INDEX(tbl_tampas[Massa_g],MATCH(A643,tbl_tampas[CapId],0)),INDEX(tbl_recyclass[Massa_Corpo_g],MATCH(A643,tbl_recyclass[ProductId],0))),0)</f>
        <v>11.5</v>
      </c>
      <c r="H643" s="32">
        <f t="shared" si="30"/>
        <v>679.86850000000004</v>
      </c>
      <c r="I643" s="36">
        <f>IFERROR(IF(B643="Tampa",INDEX(tbl_tampas[Pct_PCR],MATCH(A643,tbl_tampas[CapId],0)),INDEX(tbl_recyclass[Pct_PCR_Corpo],MATCH(A643,tbl_recyclass[ProductId],0))),0)</f>
        <v>0</v>
      </c>
      <c r="J643" s="32">
        <f t="shared" si="31"/>
        <v>0</v>
      </c>
      <c r="K643" s="32">
        <f t="shared" si="32"/>
        <v>679.86850000000004</v>
      </c>
      <c r="L643" s="43">
        <f>IF(C643="ES",K643*INDEX(tbl_param_emb[Valor],MATCH("P-01",tbl_param_emb[ID_Parametro],0)),0)</f>
        <v>0</v>
      </c>
      <c r="M643" s="33" t="str">
        <f>IF(B643="Tampa","Componente",IFERROR(INDEX(tbl_recyclass[Grau_PPWR_Indicativo],MATCH(A643,tbl_recyclass[ProductId],0)),""))</f>
        <v>Componente</v>
      </c>
    </row>
    <row r="644" spans="1:13" ht="16.05" customHeight="1" x14ac:dyDescent="0.3">
      <c r="A644" s="26" t="s">
        <v>440</v>
      </c>
      <c r="B644" s="26" t="s">
        <v>931</v>
      </c>
      <c r="C644" s="26" t="s">
        <v>1480</v>
      </c>
      <c r="D644" s="26" t="s">
        <v>1481</v>
      </c>
      <c r="E644" s="39">
        <v>1</v>
      </c>
      <c r="F644" s="37">
        <v>69823</v>
      </c>
      <c r="G644" s="38">
        <f>IFERROR(IF(B644="Tampa",INDEX(tbl_tampas[Massa_g],MATCH(A644,tbl_tampas[CapId],0)),INDEX(tbl_recyclass[Massa_Corpo_g],MATCH(A644,tbl_recyclass[ProductId],0))),0)</f>
        <v>11.5</v>
      </c>
      <c r="H644" s="32">
        <f t="shared" si="30"/>
        <v>802.96450000000004</v>
      </c>
      <c r="I644" s="36">
        <f>IFERROR(IF(B644="Tampa",INDEX(tbl_tampas[Pct_PCR],MATCH(A644,tbl_tampas[CapId],0)),INDEX(tbl_recyclass[Pct_PCR_Corpo],MATCH(A644,tbl_recyclass[ProductId],0))),0)</f>
        <v>0</v>
      </c>
      <c r="J644" s="32">
        <f t="shared" si="31"/>
        <v>0</v>
      </c>
      <c r="K644" s="32">
        <f t="shared" si="32"/>
        <v>802.96450000000004</v>
      </c>
      <c r="L644" s="43">
        <f>IF(C644="ES",K644*INDEX(tbl_param_emb[Valor],MATCH("P-01",tbl_param_emb[ID_Parametro],0)),0)</f>
        <v>0</v>
      </c>
      <c r="M644" s="33" t="str">
        <f>IF(B644="Tampa","Componente",IFERROR(INDEX(tbl_recyclass[Grau_PPWR_Indicativo],MATCH(A644,tbl_recyclass[ProductId],0)),""))</f>
        <v>Componente</v>
      </c>
    </row>
    <row r="645" spans="1:13" ht="16.05" customHeight="1" x14ac:dyDescent="0.3">
      <c r="A645" s="26" t="s">
        <v>440</v>
      </c>
      <c r="B645" s="26" t="s">
        <v>931</v>
      </c>
      <c r="C645" s="26" t="s">
        <v>847</v>
      </c>
      <c r="D645" s="26" t="s">
        <v>1471</v>
      </c>
      <c r="E645" s="39">
        <v>8</v>
      </c>
      <c r="F645" s="37">
        <v>408808</v>
      </c>
      <c r="G645" s="38">
        <f>IFERROR(IF(B645="Tampa",INDEX(tbl_tampas[Massa_g],MATCH(A645,tbl_tampas[CapId],0)),INDEX(tbl_recyclass[Massa_Corpo_g],MATCH(A645,tbl_recyclass[ProductId],0))),0)</f>
        <v>11.5</v>
      </c>
      <c r="H645" s="32">
        <f t="shared" si="30"/>
        <v>4701.2920000000004</v>
      </c>
      <c r="I645" s="36">
        <f>IFERROR(IF(B645="Tampa",INDEX(tbl_tampas[Pct_PCR],MATCH(A645,tbl_tampas[CapId],0)),INDEX(tbl_recyclass[Pct_PCR_Corpo],MATCH(A645,tbl_recyclass[ProductId],0))),0)</f>
        <v>0</v>
      </c>
      <c r="J645" s="32">
        <f t="shared" si="31"/>
        <v>0</v>
      </c>
      <c r="K645" s="32">
        <f t="shared" si="32"/>
        <v>4701.2920000000004</v>
      </c>
      <c r="L645" s="43">
        <f>IF(C645="ES",K645*INDEX(tbl_param_emb[Valor],MATCH("P-01",tbl_param_emb[ID_Parametro],0)),0)</f>
        <v>0</v>
      </c>
      <c r="M645" s="33" t="str">
        <f>IF(B645="Tampa","Componente",IFERROR(INDEX(tbl_recyclass[Grau_PPWR_Indicativo],MATCH(A645,tbl_recyclass[ProductId],0)),""))</f>
        <v>Componente</v>
      </c>
    </row>
    <row r="646" spans="1:13" ht="16.05" customHeight="1" x14ac:dyDescent="0.3">
      <c r="A646" s="26" t="s">
        <v>440</v>
      </c>
      <c r="B646" s="26" t="s">
        <v>931</v>
      </c>
      <c r="C646" s="26" t="s">
        <v>1474</v>
      </c>
      <c r="D646" s="26" t="s">
        <v>1475</v>
      </c>
      <c r="E646" s="39">
        <v>2</v>
      </c>
      <c r="F646" s="37">
        <v>55144</v>
      </c>
      <c r="G646" s="38">
        <f>IFERROR(IF(B646="Tampa",INDEX(tbl_tampas[Massa_g],MATCH(A646,tbl_tampas[CapId],0)),INDEX(tbl_recyclass[Massa_Corpo_g],MATCH(A646,tbl_recyclass[ProductId],0))),0)</f>
        <v>11.5</v>
      </c>
      <c r="H646" s="32">
        <f t="shared" si="30"/>
        <v>634.15599999999995</v>
      </c>
      <c r="I646" s="36">
        <f>IFERROR(IF(B646="Tampa",INDEX(tbl_tampas[Pct_PCR],MATCH(A646,tbl_tampas[CapId],0)),INDEX(tbl_recyclass[Pct_PCR_Corpo],MATCH(A646,tbl_recyclass[ProductId],0))),0)</f>
        <v>0</v>
      </c>
      <c r="J646" s="32">
        <f t="shared" si="31"/>
        <v>0</v>
      </c>
      <c r="K646" s="32">
        <f t="shared" si="32"/>
        <v>634.15599999999995</v>
      </c>
      <c r="L646" s="43">
        <f>IF(C646="ES",K646*INDEX(tbl_param_emb[Valor],MATCH("P-01",tbl_param_emb[ID_Parametro],0)),0)</f>
        <v>285.37020000000001</v>
      </c>
      <c r="M646" s="33" t="str">
        <f>IF(B646="Tampa","Componente",IFERROR(INDEX(tbl_recyclass[Grau_PPWR_Indicativo],MATCH(A646,tbl_recyclass[ProductId],0)),""))</f>
        <v>Componente</v>
      </c>
    </row>
    <row r="647" spans="1:13" ht="16.05" customHeight="1" x14ac:dyDescent="0.3">
      <c r="A647" s="26" t="s">
        <v>447</v>
      </c>
      <c r="B647" s="26" t="s">
        <v>931</v>
      </c>
      <c r="C647" s="26" t="s">
        <v>1476</v>
      </c>
      <c r="D647" s="26" t="s">
        <v>1477</v>
      </c>
      <c r="E647" s="39">
        <v>1</v>
      </c>
      <c r="F647" s="37">
        <v>67370</v>
      </c>
      <c r="G647" s="38">
        <f>IFERROR(IF(B647="Tampa",INDEX(tbl_tampas[Massa_g],MATCH(A647,tbl_tampas[CapId],0)),INDEX(tbl_recyclass[Massa_Corpo_g],MATCH(A647,tbl_recyclass[ProductId],0))),0)</f>
        <v>12.1</v>
      </c>
      <c r="H647" s="32">
        <f t="shared" si="30"/>
        <v>815.17700000000002</v>
      </c>
      <c r="I647" s="36">
        <f>IFERROR(IF(B647="Tampa",INDEX(tbl_tampas[Pct_PCR],MATCH(A647,tbl_tampas[CapId],0)),INDEX(tbl_recyclass[Pct_PCR_Corpo],MATCH(A647,tbl_recyclass[ProductId],0))),0)</f>
        <v>0</v>
      </c>
      <c r="J647" s="32">
        <f t="shared" si="31"/>
        <v>0</v>
      </c>
      <c r="K647" s="32">
        <f t="shared" si="32"/>
        <v>815.17700000000002</v>
      </c>
      <c r="L647" s="43">
        <f>IF(C647="ES",K647*INDEX(tbl_param_emb[Valor],MATCH("P-01",tbl_param_emb[ID_Parametro],0)),0)</f>
        <v>0</v>
      </c>
      <c r="M647" s="33" t="str">
        <f>IF(B647="Tampa","Componente",IFERROR(INDEX(tbl_recyclass[Grau_PPWR_Indicativo],MATCH(A647,tbl_recyclass[ProductId],0)),""))</f>
        <v>Componente</v>
      </c>
    </row>
    <row r="648" spans="1:13" ht="16.05" customHeight="1" x14ac:dyDescent="0.3">
      <c r="A648" s="26" t="s">
        <v>447</v>
      </c>
      <c r="B648" s="26" t="s">
        <v>931</v>
      </c>
      <c r="C648" s="26" t="s">
        <v>1472</v>
      </c>
      <c r="D648" s="26" t="s">
        <v>1473</v>
      </c>
      <c r="E648" s="39">
        <v>1</v>
      </c>
      <c r="F648" s="37">
        <v>103329</v>
      </c>
      <c r="G648" s="38">
        <f>IFERROR(IF(B648="Tampa",INDEX(tbl_tampas[Massa_g],MATCH(A648,tbl_tampas[CapId],0)),INDEX(tbl_recyclass[Massa_Corpo_g],MATCH(A648,tbl_recyclass[ProductId],0))),0)</f>
        <v>12.1</v>
      </c>
      <c r="H648" s="32">
        <f t="shared" si="30"/>
        <v>1250.2809</v>
      </c>
      <c r="I648" s="36">
        <f>IFERROR(IF(B648="Tampa",INDEX(tbl_tampas[Pct_PCR],MATCH(A648,tbl_tampas[CapId],0)),INDEX(tbl_recyclass[Pct_PCR_Corpo],MATCH(A648,tbl_recyclass[ProductId],0))),0)</f>
        <v>0</v>
      </c>
      <c r="J648" s="32">
        <f t="shared" si="31"/>
        <v>0</v>
      </c>
      <c r="K648" s="32">
        <f t="shared" si="32"/>
        <v>1250.2809</v>
      </c>
      <c r="L648" s="43">
        <f>IF(C648="ES",K648*INDEX(tbl_param_emb[Valor],MATCH("P-01",tbl_param_emb[ID_Parametro],0)),0)</f>
        <v>0</v>
      </c>
      <c r="M648" s="33" t="str">
        <f>IF(B648="Tampa","Componente",IFERROR(INDEX(tbl_recyclass[Grau_PPWR_Indicativo],MATCH(A648,tbl_recyclass[ProductId],0)),""))</f>
        <v>Componente</v>
      </c>
    </row>
    <row r="649" spans="1:13" ht="16.05" customHeight="1" x14ac:dyDescent="0.3">
      <c r="A649" s="26" t="s">
        <v>447</v>
      </c>
      <c r="B649" s="26" t="s">
        <v>931</v>
      </c>
      <c r="C649" s="26" t="s">
        <v>1478</v>
      </c>
      <c r="D649" s="26" t="s">
        <v>1479</v>
      </c>
      <c r="E649" s="39">
        <v>1</v>
      </c>
      <c r="F649" s="37">
        <v>32649</v>
      </c>
      <c r="G649" s="38">
        <f>IFERROR(IF(B649="Tampa",INDEX(tbl_tampas[Massa_g],MATCH(A649,tbl_tampas[CapId],0)),INDEX(tbl_recyclass[Massa_Corpo_g],MATCH(A649,tbl_recyclass[ProductId],0))),0)</f>
        <v>12.1</v>
      </c>
      <c r="H649" s="32">
        <f t="shared" si="30"/>
        <v>395.05289999999997</v>
      </c>
      <c r="I649" s="36">
        <f>IFERROR(IF(B649="Tampa",INDEX(tbl_tampas[Pct_PCR],MATCH(A649,tbl_tampas[CapId],0)),INDEX(tbl_recyclass[Pct_PCR_Corpo],MATCH(A649,tbl_recyclass[ProductId],0))),0)</f>
        <v>0</v>
      </c>
      <c r="J649" s="32">
        <f t="shared" si="31"/>
        <v>0</v>
      </c>
      <c r="K649" s="32">
        <f t="shared" si="32"/>
        <v>395.05289999999997</v>
      </c>
      <c r="L649" s="43">
        <f>IF(C649="ES",K649*INDEX(tbl_param_emb[Valor],MATCH("P-01",tbl_param_emb[ID_Parametro],0)),0)</f>
        <v>0</v>
      </c>
      <c r="M649" s="33" t="str">
        <f>IF(B649="Tampa","Componente",IFERROR(INDEX(tbl_recyclass[Grau_PPWR_Indicativo],MATCH(A649,tbl_recyclass[ProductId],0)),""))</f>
        <v>Componente</v>
      </c>
    </row>
    <row r="650" spans="1:13" ht="16.05" customHeight="1" x14ac:dyDescent="0.3">
      <c r="A650" s="26" t="s">
        <v>447</v>
      </c>
      <c r="B650" s="26" t="s">
        <v>931</v>
      </c>
      <c r="C650" s="26" t="s">
        <v>1480</v>
      </c>
      <c r="D650" s="26" t="s">
        <v>1481</v>
      </c>
      <c r="E650" s="39">
        <v>1</v>
      </c>
      <c r="F650" s="37">
        <v>126001</v>
      </c>
      <c r="G650" s="38">
        <f>IFERROR(IF(B650="Tampa",INDEX(tbl_tampas[Massa_g],MATCH(A650,tbl_tampas[CapId],0)),INDEX(tbl_recyclass[Massa_Corpo_g],MATCH(A650,tbl_recyclass[ProductId],0))),0)</f>
        <v>12.1</v>
      </c>
      <c r="H650" s="32">
        <f t="shared" si="30"/>
        <v>1524.6120999999998</v>
      </c>
      <c r="I650" s="36">
        <f>IFERROR(IF(B650="Tampa",INDEX(tbl_tampas[Pct_PCR],MATCH(A650,tbl_tampas[CapId],0)),INDEX(tbl_recyclass[Pct_PCR_Corpo],MATCH(A650,tbl_recyclass[ProductId],0))),0)</f>
        <v>0</v>
      </c>
      <c r="J650" s="32">
        <f t="shared" si="31"/>
        <v>0</v>
      </c>
      <c r="K650" s="32">
        <f t="shared" si="32"/>
        <v>1524.6120999999998</v>
      </c>
      <c r="L650" s="43">
        <f>IF(C650="ES",K650*INDEX(tbl_param_emb[Valor],MATCH("P-01",tbl_param_emb[ID_Parametro],0)),0)</f>
        <v>0</v>
      </c>
      <c r="M650" s="33" t="str">
        <f>IF(B650="Tampa","Componente",IFERROR(INDEX(tbl_recyclass[Grau_PPWR_Indicativo],MATCH(A650,tbl_recyclass[ProductId],0)),""))</f>
        <v>Componente</v>
      </c>
    </row>
    <row r="651" spans="1:13" ht="16.05" customHeight="1" x14ac:dyDescent="0.3">
      <c r="A651" s="26" t="s">
        <v>447</v>
      </c>
      <c r="B651" s="26" t="s">
        <v>931</v>
      </c>
      <c r="C651" s="26" t="s">
        <v>847</v>
      </c>
      <c r="D651" s="26" t="s">
        <v>1471</v>
      </c>
      <c r="E651" s="39">
        <v>8</v>
      </c>
      <c r="F651" s="37">
        <v>364420</v>
      </c>
      <c r="G651" s="38">
        <f>IFERROR(IF(B651="Tampa",INDEX(tbl_tampas[Massa_g],MATCH(A651,tbl_tampas[CapId],0)),INDEX(tbl_recyclass[Massa_Corpo_g],MATCH(A651,tbl_recyclass[ProductId],0))),0)</f>
        <v>12.1</v>
      </c>
      <c r="H651" s="32">
        <f t="shared" si="30"/>
        <v>4409.482</v>
      </c>
      <c r="I651" s="36">
        <f>IFERROR(IF(B651="Tampa",INDEX(tbl_tampas[Pct_PCR],MATCH(A651,tbl_tampas[CapId],0)),INDEX(tbl_recyclass[Pct_PCR_Corpo],MATCH(A651,tbl_recyclass[ProductId],0))),0)</f>
        <v>0</v>
      </c>
      <c r="J651" s="32">
        <f t="shared" si="31"/>
        <v>0</v>
      </c>
      <c r="K651" s="32">
        <f t="shared" si="32"/>
        <v>4409.482</v>
      </c>
      <c r="L651" s="43">
        <f>IF(C651="ES",K651*INDEX(tbl_param_emb[Valor],MATCH("P-01",tbl_param_emb[ID_Parametro],0)),0)</f>
        <v>0</v>
      </c>
      <c r="M651" s="33" t="str">
        <f>IF(B651="Tampa","Componente",IFERROR(INDEX(tbl_recyclass[Grau_PPWR_Indicativo],MATCH(A651,tbl_recyclass[ProductId],0)),""))</f>
        <v>Componente</v>
      </c>
    </row>
    <row r="652" spans="1:13" ht="16.05" customHeight="1" x14ac:dyDescent="0.3">
      <c r="A652" s="26" t="s">
        <v>447</v>
      </c>
      <c r="B652" s="26" t="s">
        <v>931</v>
      </c>
      <c r="C652" s="26" t="s">
        <v>1474</v>
      </c>
      <c r="D652" s="26" t="s">
        <v>1475</v>
      </c>
      <c r="E652" s="39">
        <v>2</v>
      </c>
      <c r="F652" s="37">
        <v>81988</v>
      </c>
      <c r="G652" s="38">
        <f>IFERROR(IF(B652="Tampa",INDEX(tbl_tampas[Massa_g],MATCH(A652,tbl_tampas[CapId],0)),INDEX(tbl_recyclass[Massa_Corpo_g],MATCH(A652,tbl_recyclass[ProductId],0))),0)</f>
        <v>12.1</v>
      </c>
      <c r="H652" s="32">
        <f t="shared" si="30"/>
        <v>992.05479999999989</v>
      </c>
      <c r="I652" s="36">
        <f>IFERROR(IF(B652="Tampa",INDEX(tbl_tampas[Pct_PCR],MATCH(A652,tbl_tampas[CapId],0)),INDEX(tbl_recyclass[Pct_PCR_Corpo],MATCH(A652,tbl_recyclass[ProductId],0))),0)</f>
        <v>0</v>
      </c>
      <c r="J652" s="32">
        <f t="shared" si="31"/>
        <v>0</v>
      </c>
      <c r="K652" s="32">
        <f t="shared" si="32"/>
        <v>992.05479999999989</v>
      </c>
      <c r="L652" s="43">
        <f>IF(C652="ES",K652*INDEX(tbl_param_emb[Valor],MATCH("P-01",tbl_param_emb[ID_Parametro],0)),0)</f>
        <v>446.42465999999996</v>
      </c>
      <c r="M652" s="33" t="str">
        <f>IF(B652="Tampa","Componente",IFERROR(INDEX(tbl_recyclass[Grau_PPWR_Indicativo],MATCH(A652,tbl_recyclass[ProductId],0)),""))</f>
        <v>Componente</v>
      </c>
    </row>
    <row r="653" spans="1:13" ht="16.05" customHeight="1" x14ac:dyDescent="0.3">
      <c r="A653" s="26" t="s">
        <v>443</v>
      </c>
      <c r="B653" s="26" t="s">
        <v>931</v>
      </c>
      <c r="C653" s="26" t="s">
        <v>1476</v>
      </c>
      <c r="D653" s="26" t="s">
        <v>1477</v>
      </c>
      <c r="E653" s="39">
        <v>1</v>
      </c>
      <c r="F653" s="37">
        <v>85255</v>
      </c>
      <c r="G653" s="38">
        <f>IFERROR(IF(B653="Tampa",INDEX(tbl_tampas[Massa_g],MATCH(A653,tbl_tampas[CapId],0)),INDEX(tbl_recyclass[Massa_Corpo_g],MATCH(A653,tbl_recyclass[ProductId],0))),0)</f>
        <v>10.3</v>
      </c>
      <c r="H653" s="32">
        <f t="shared" si="30"/>
        <v>878.12650000000008</v>
      </c>
      <c r="I653" s="36">
        <f>IFERROR(IF(B653="Tampa",INDEX(tbl_tampas[Pct_PCR],MATCH(A653,tbl_tampas[CapId],0)),INDEX(tbl_recyclass[Pct_PCR_Corpo],MATCH(A653,tbl_recyclass[ProductId],0))),0)</f>
        <v>0</v>
      </c>
      <c r="J653" s="32">
        <f t="shared" si="31"/>
        <v>0</v>
      </c>
      <c r="K653" s="32">
        <f t="shared" si="32"/>
        <v>878.12650000000008</v>
      </c>
      <c r="L653" s="43">
        <f>IF(C653="ES",K653*INDEX(tbl_param_emb[Valor],MATCH("P-01",tbl_param_emb[ID_Parametro],0)),0)</f>
        <v>0</v>
      </c>
      <c r="M653" s="33" t="str">
        <f>IF(B653="Tampa","Componente",IFERROR(INDEX(tbl_recyclass[Grau_PPWR_Indicativo],MATCH(A653,tbl_recyclass[ProductId],0)),""))</f>
        <v>Componente</v>
      </c>
    </row>
    <row r="654" spans="1:13" ht="16.05" customHeight="1" x14ac:dyDescent="0.3">
      <c r="A654" s="26" t="s">
        <v>443</v>
      </c>
      <c r="B654" s="26" t="s">
        <v>931</v>
      </c>
      <c r="C654" s="26" t="s">
        <v>1472</v>
      </c>
      <c r="D654" s="26" t="s">
        <v>1473</v>
      </c>
      <c r="E654" s="39">
        <v>1</v>
      </c>
      <c r="F654" s="37">
        <v>79606</v>
      </c>
      <c r="G654" s="38">
        <f>IFERROR(IF(B654="Tampa",INDEX(tbl_tampas[Massa_g],MATCH(A654,tbl_tampas[CapId],0)),INDEX(tbl_recyclass[Massa_Corpo_g],MATCH(A654,tbl_recyclass[ProductId],0))),0)</f>
        <v>10.3</v>
      </c>
      <c r="H654" s="32">
        <f t="shared" si="30"/>
        <v>819.94180000000006</v>
      </c>
      <c r="I654" s="36">
        <f>IFERROR(IF(B654="Tampa",INDEX(tbl_tampas[Pct_PCR],MATCH(A654,tbl_tampas[CapId],0)),INDEX(tbl_recyclass[Pct_PCR_Corpo],MATCH(A654,tbl_recyclass[ProductId],0))),0)</f>
        <v>0</v>
      </c>
      <c r="J654" s="32">
        <f t="shared" si="31"/>
        <v>0</v>
      </c>
      <c r="K654" s="32">
        <f t="shared" si="32"/>
        <v>819.94180000000006</v>
      </c>
      <c r="L654" s="43">
        <f>IF(C654="ES",K654*INDEX(tbl_param_emb[Valor],MATCH("P-01",tbl_param_emb[ID_Parametro],0)),0)</f>
        <v>0</v>
      </c>
      <c r="M654" s="33" t="str">
        <f>IF(B654="Tampa","Componente",IFERROR(INDEX(tbl_recyclass[Grau_PPWR_Indicativo],MATCH(A654,tbl_recyclass[ProductId],0)),""))</f>
        <v>Componente</v>
      </c>
    </row>
    <row r="655" spans="1:13" ht="16.05" customHeight="1" x14ac:dyDescent="0.3">
      <c r="A655" s="26" t="s">
        <v>443</v>
      </c>
      <c r="B655" s="26" t="s">
        <v>931</v>
      </c>
      <c r="C655" s="26" t="s">
        <v>1478</v>
      </c>
      <c r="D655" s="26" t="s">
        <v>1479</v>
      </c>
      <c r="E655" s="39">
        <v>1</v>
      </c>
      <c r="F655" s="37">
        <v>89558</v>
      </c>
      <c r="G655" s="38">
        <f>IFERROR(IF(B655="Tampa",INDEX(tbl_tampas[Massa_g],MATCH(A655,tbl_tampas[CapId],0)),INDEX(tbl_recyclass[Massa_Corpo_g],MATCH(A655,tbl_recyclass[ProductId],0))),0)</f>
        <v>10.3</v>
      </c>
      <c r="H655" s="32">
        <f t="shared" si="30"/>
        <v>922.44740000000002</v>
      </c>
      <c r="I655" s="36">
        <f>IFERROR(IF(B655="Tampa",INDEX(tbl_tampas[Pct_PCR],MATCH(A655,tbl_tampas[CapId],0)),INDEX(tbl_recyclass[Pct_PCR_Corpo],MATCH(A655,tbl_recyclass[ProductId],0))),0)</f>
        <v>0</v>
      </c>
      <c r="J655" s="32">
        <f t="shared" si="31"/>
        <v>0</v>
      </c>
      <c r="K655" s="32">
        <f t="shared" si="32"/>
        <v>922.44740000000002</v>
      </c>
      <c r="L655" s="43">
        <f>IF(C655="ES",K655*INDEX(tbl_param_emb[Valor],MATCH("P-01",tbl_param_emb[ID_Parametro],0)),0)</f>
        <v>0</v>
      </c>
      <c r="M655" s="33" t="str">
        <f>IF(B655="Tampa","Componente",IFERROR(INDEX(tbl_recyclass[Grau_PPWR_Indicativo],MATCH(A655,tbl_recyclass[ProductId],0)),""))</f>
        <v>Componente</v>
      </c>
    </row>
    <row r="656" spans="1:13" ht="16.05" customHeight="1" x14ac:dyDescent="0.3">
      <c r="A656" s="26" t="s">
        <v>443</v>
      </c>
      <c r="B656" s="26" t="s">
        <v>931</v>
      </c>
      <c r="C656" s="26" t="s">
        <v>1480</v>
      </c>
      <c r="D656" s="26" t="s">
        <v>1481</v>
      </c>
      <c r="E656" s="39">
        <v>1</v>
      </c>
      <c r="F656" s="37">
        <v>28934</v>
      </c>
      <c r="G656" s="38">
        <f>IFERROR(IF(B656="Tampa",INDEX(tbl_tampas[Massa_g],MATCH(A656,tbl_tampas[CapId],0)),INDEX(tbl_recyclass[Massa_Corpo_g],MATCH(A656,tbl_recyclass[ProductId],0))),0)</f>
        <v>10.3</v>
      </c>
      <c r="H656" s="32">
        <f t="shared" si="30"/>
        <v>298.02019999999999</v>
      </c>
      <c r="I656" s="36">
        <f>IFERROR(IF(B656="Tampa",INDEX(tbl_tampas[Pct_PCR],MATCH(A656,tbl_tampas[CapId],0)),INDEX(tbl_recyclass[Pct_PCR_Corpo],MATCH(A656,tbl_recyclass[ProductId],0))),0)</f>
        <v>0</v>
      </c>
      <c r="J656" s="32">
        <f t="shared" si="31"/>
        <v>0</v>
      </c>
      <c r="K656" s="32">
        <f t="shared" si="32"/>
        <v>298.02019999999999</v>
      </c>
      <c r="L656" s="43">
        <f>IF(C656="ES",K656*INDEX(tbl_param_emb[Valor],MATCH("P-01",tbl_param_emb[ID_Parametro],0)),0)</f>
        <v>0</v>
      </c>
      <c r="M656" s="33" t="str">
        <f>IF(B656="Tampa","Componente",IFERROR(INDEX(tbl_recyclass[Grau_PPWR_Indicativo],MATCH(A656,tbl_recyclass[ProductId],0)),""))</f>
        <v>Componente</v>
      </c>
    </row>
    <row r="657" spans="1:13" ht="16.05" customHeight="1" x14ac:dyDescent="0.3">
      <c r="A657" s="26" t="s">
        <v>443</v>
      </c>
      <c r="B657" s="26" t="s">
        <v>931</v>
      </c>
      <c r="C657" s="26" t="s">
        <v>847</v>
      </c>
      <c r="D657" s="26" t="s">
        <v>1471</v>
      </c>
      <c r="E657" s="39">
        <v>8</v>
      </c>
      <c r="F657" s="37">
        <v>359860</v>
      </c>
      <c r="G657" s="38">
        <f>IFERROR(IF(B657="Tampa",INDEX(tbl_tampas[Massa_g],MATCH(A657,tbl_tampas[CapId],0)),INDEX(tbl_recyclass[Massa_Corpo_g],MATCH(A657,tbl_recyclass[ProductId],0))),0)</f>
        <v>10.3</v>
      </c>
      <c r="H657" s="32">
        <f t="shared" si="30"/>
        <v>3706.5580000000004</v>
      </c>
      <c r="I657" s="36">
        <f>IFERROR(IF(B657="Tampa",INDEX(tbl_tampas[Pct_PCR],MATCH(A657,tbl_tampas[CapId],0)),INDEX(tbl_recyclass[Pct_PCR_Corpo],MATCH(A657,tbl_recyclass[ProductId],0))),0)</f>
        <v>0</v>
      </c>
      <c r="J657" s="32">
        <f t="shared" si="31"/>
        <v>0</v>
      </c>
      <c r="K657" s="32">
        <f t="shared" si="32"/>
        <v>3706.5580000000004</v>
      </c>
      <c r="L657" s="43">
        <f>IF(C657="ES",K657*INDEX(tbl_param_emb[Valor],MATCH("P-01",tbl_param_emb[ID_Parametro],0)),0)</f>
        <v>0</v>
      </c>
      <c r="M657" s="33" t="str">
        <f>IF(B657="Tampa","Componente",IFERROR(INDEX(tbl_recyclass[Grau_PPWR_Indicativo],MATCH(A657,tbl_recyclass[ProductId],0)),""))</f>
        <v>Componente</v>
      </c>
    </row>
    <row r="658" spans="1:13" ht="16.05" customHeight="1" x14ac:dyDescent="0.3">
      <c r="A658" s="26" t="s">
        <v>443</v>
      </c>
      <c r="B658" s="26" t="s">
        <v>931</v>
      </c>
      <c r="C658" s="26" t="s">
        <v>1474</v>
      </c>
      <c r="D658" s="26" t="s">
        <v>1475</v>
      </c>
      <c r="E658" s="39">
        <v>2</v>
      </c>
      <c r="F658" s="37">
        <v>25695</v>
      </c>
      <c r="G658" s="38">
        <f>IFERROR(IF(B658="Tampa",INDEX(tbl_tampas[Massa_g],MATCH(A658,tbl_tampas[CapId],0)),INDEX(tbl_recyclass[Massa_Corpo_g],MATCH(A658,tbl_recyclass[ProductId],0))),0)</f>
        <v>10.3</v>
      </c>
      <c r="H658" s="32">
        <f t="shared" si="30"/>
        <v>264.6585</v>
      </c>
      <c r="I658" s="36">
        <f>IFERROR(IF(B658="Tampa",INDEX(tbl_tampas[Pct_PCR],MATCH(A658,tbl_tampas[CapId],0)),INDEX(tbl_recyclass[Pct_PCR_Corpo],MATCH(A658,tbl_recyclass[ProductId],0))),0)</f>
        <v>0</v>
      </c>
      <c r="J658" s="32">
        <f t="shared" si="31"/>
        <v>0</v>
      </c>
      <c r="K658" s="32">
        <f t="shared" si="32"/>
        <v>264.6585</v>
      </c>
      <c r="L658" s="43">
        <f>IF(C658="ES",K658*INDEX(tbl_param_emb[Valor],MATCH("P-01",tbl_param_emb[ID_Parametro],0)),0)</f>
        <v>119.09632500000001</v>
      </c>
      <c r="M658" s="33" t="str">
        <f>IF(B658="Tampa","Componente",IFERROR(INDEX(tbl_recyclass[Grau_PPWR_Indicativo],MATCH(A658,tbl_recyclass[ProductId],0)),""))</f>
        <v>Componente</v>
      </c>
    </row>
    <row r="659" spans="1:13" ht="16.05" customHeight="1" x14ac:dyDescent="0.3">
      <c r="A659" s="26" t="s">
        <v>445</v>
      </c>
      <c r="B659" s="26" t="s">
        <v>931</v>
      </c>
      <c r="C659" s="26" t="s">
        <v>1476</v>
      </c>
      <c r="D659" s="26" t="s">
        <v>1477</v>
      </c>
      <c r="E659" s="39">
        <v>1</v>
      </c>
      <c r="F659" s="37">
        <v>83745</v>
      </c>
      <c r="G659" s="38">
        <f>IFERROR(IF(B659="Tampa",INDEX(tbl_tampas[Massa_g],MATCH(A659,tbl_tampas[CapId],0)),INDEX(tbl_recyclass[Massa_Corpo_g],MATCH(A659,tbl_recyclass[ProductId],0))),0)</f>
        <v>10.3</v>
      </c>
      <c r="H659" s="32">
        <f t="shared" si="30"/>
        <v>862.57350000000008</v>
      </c>
      <c r="I659" s="36">
        <f>IFERROR(IF(B659="Tampa",INDEX(tbl_tampas[Pct_PCR],MATCH(A659,tbl_tampas[CapId],0)),INDEX(tbl_recyclass[Pct_PCR_Corpo],MATCH(A659,tbl_recyclass[ProductId],0))),0)</f>
        <v>0.3</v>
      </c>
      <c r="J659" s="32">
        <f t="shared" si="31"/>
        <v>258.77205000000004</v>
      </c>
      <c r="K659" s="32">
        <f t="shared" si="32"/>
        <v>603.80145000000005</v>
      </c>
      <c r="L659" s="43">
        <f>IF(C659="ES",K659*INDEX(tbl_param_emb[Valor],MATCH("P-01",tbl_param_emb[ID_Parametro],0)),0)</f>
        <v>0</v>
      </c>
      <c r="M659" s="33" t="str">
        <f>IF(B659="Tampa","Componente",IFERROR(INDEX(tbl_recyclass[Grau_PPWR_Indicativo],MATCH(A659,tbl_recyclass[ProductId],0)),""))</f>
        <v>Componente</v>
      </c>
    </row>
    <row r="660" spans="1:13" ht="16.05" customHeight="1" x14ac:dyDescent="0.3">
      <c r="A660" s="26" t="s">
        <v>445</v>
      </c>
      <c r="B660" s="26" t="s">
        <v>931</v>
      </c>
      <c r="C660" s="26" t="s">
        <v>1472</v>
      </c>
      <c r="D660" s="26" t="s">
        <v>1473</v>
      </c>
      <c r="E660" s="39">
        <v>1</v>
      </c>
      <c r="F660" s="37">
        <v>65992</v>
      </c>
      <c r="G660" s="38">
        <f>IFERROR(IF(B660="Tampa",INDEX(tbl_tampas[Massa_g],MATCH(A660,tbl_tampas[CapId],0)),INDEX(tbl_recyclass[Massa_Corpo_g],MATCH(A660,tbl_recyclass[ProductId],0))),0)</f>
        <v>10.3</v>
      </c>
      <c r="H660" s="32">
        <f t="shared" si="30"/>
        <v>679.71760000000006</v>
      </c>
      <c r="I660" s="36">
        <f>IFERROR(IF(B660="Tampa",INDEX(tbl_tampas[Pct_PCR],MATCH(A660,tbl_tampas[CapId],0)),INDEX(tbl_recyclass[Pct_PCR_Corpo],MATCH(A660,tbl_recyclass[ProductId],0))),0)</f>
        <v>0.3</v>
      </c>
      <c r="J660" s="32">
        <f t="shared" si="31"/>
        <v>203.91528000000002</v>
      </c>
      <c r="K660" s="32">
        <f t="shared" si="32"/>
        <v>475.80232000000001</v>
      </c>
      <c r="L660" s="43">
        <f>IF(C660="ES",K660*INDEX(tbl_param_emb[Valor],MATCH("P-01",tbl_param_emb[ID_Parametro],0)),0)</f>
        <v>0</v>
      </c>
      <c r="M660" s="33" t="str">
        <f>IF(B660="Tampa","Componente",IFERROR(INDEX(tbl_recyclass[Grau_PPWR_Indicativo],MATCH(A660,tbl_recyclass[ProductId],0)),""))</f>
        <v>Componente</v>
      </c>
    </row>
    <row r="661" spans="1:13" ht="16.05" customHeight="1" x14ac:dyDescent="0.3">
      <c r="A661" s="26" t="s">
        <v>445</v>
      </c>
      <c r="B661" s="26" t="s">
        <v>931</v>
      </c>
      <c r="C661" s="26" t="s">
        <v>1478</v>
      </c>
      <c r="D661" s="26" t="s">
        <v>1479</v>
      </c>
      <c r="E661" s="39">
        <v>1</v>
      </c>
      <c r="F661" s="37">
        <v>34480</v>
      </c>
      <c r="G661" s="38">
        <f>IFERROR(IF(B661="Tampa",INDEX(tbl_tampas[Massa_g],MATCH(A661,tbl_tampas[CapId],0)),INDEX(tbl_recyclass[Massa_Corpo_g],MATCH(A661,tbl_recyclass[ProductId],0))),0)</f>
        <v>10.3</v>
      </c>
      <c r="H661" s="32">
        <f t="shared" si="30"/>
        <v>355.14400000000001</v>
      </c>
      <c r="I661" s="36">
        <f>IFERROR(IF(B661="Tampa",INDEX(tbl_tampas[Pct_PCR],MATCH(A661,tbl_tampas[CapId],0)),INDEX(tbl_recyclass[Pct_PCR_Corpo],MATCH(A661,tbl_recyclass[ProductId],0))),0)</f>
        <v>0.3</v>
      </c>
      <c r="J661" s="32">
        <f t="shared" si="31"/>
        <v>106.5432</v>
      </c>
      <c r="K661" s="32">
        <f t="shared" si="32"/>
        <v>248.60079999999999</v>
      </c>
      <c r="L661" s="43">
        <f>IF(C661="ES",K661*INDEX(tbl_param_emb[Valor],MATCH("P-01",tbl_param_emb[ID_Parametro],0)),0)</f>
        <v>0</v>
      </c>
      <c r="M661" s="33" t="str">
        <f>IF(B661="Tampa","Componente",IFERROR(INDEX(tbl_recyclass[Grau_PPWR_Indicativo],MATCH(A661,tbl_recyclass[ProductId],0)),""))</f>
        <v>Componente</v>
      </c>
    </row>
    <row r="662" spans="1:13" ht="16.05" customHeight="1" x14ac:dyDescent="0.3">
      <c r="A662" s="26" t="s">
        <v>445</v>
      </c>
      <c r="B662" s="26" t="s">
        <v>931</v>
      </c>
      <c r="C662" s="26" t="s">
        <v>1480</v>
      </c>
      <c r="D662" s="26" t="s">
        <v>1481</v>
      </c>
      <c r="E662" s="39">
        <v>1</v>
      </c>
      <c r="F662" s="37">
        <v>25858</v>
      </c>
      <c r="G662" s="38">
        <f>IFERROR(IF(B662="Tampa",INDEX(tbl_tampas[Massa_g],MATCH(A662,tbl_tampas[CapId],0)),INDEX(tbl_recyclass[Massa_Corpo_g],MATCH(A662,tbl_recyclass[ProductId],0))),0)</f>
        <v>10.3</v>
      </c>
      <c r="H662" s="32">
        <f t="shared" si="30"/>
        <v>266.3374</v>
      </c>
      <c r="I662" s="36">
        <f>IFERROR(IF(B662="Tampa",INDEX(tbl_tampas[Pct_PCR],MATCH(A662,tbl_tampas[CapId],0)),INDEX(tbl_recyclass[Pct_PCR_Corpo],MATCH(A662,tbl_recyclass[ProductId],0))),0)</f>
        <v>0.3</v>
      </c>
      <c r="J662" s="32">
        <f t="shared" si="31"/>
        <v>79.901219999999995</v>
      </c>
      <c r="K662" s="32">
        <f t="shared" si="32"/>
        <v>186.43618000000001</v>
      </c>
      <c r="L662" s="43">
        <f>IF(C662="ES",K662*INDEX(tbl_param_emb[Valor],MATCH("P-01",tbl_param_emb[ID_Parametro],0)),0)</f>
        <v>0</v>
      </c>
      <c r="M662" s="33" t="str">
        <f>IF(B662="Tampa","Componente",IFERROR(INDEX(tbl_recyclass[Grau_PPWR_Indicativo],MATCH(A662,tbl_recyclass[ProductId],0)),""))</f>
        <v>Componente</v>
      </c>
    </row>
    <row r="663" spans="1:13" ht="16.05" customHeight="1" x14ac:dyDescent="0.3">
      <c r="A663" s="26" t="s">
        <v>445</v>
      </c>
      <c r="B663" s="26" t="s">
        <v>931</v>
      </c>
      <c r="C663" s="26" t="s">
        <v>847</v>
      </c>
      <c r="D663" s="26" t="s">
        <v>1471</v>
      </c>
      <c r="E663" s="39">
        <v>8</v>
      </c>
      <c r="F663" s="37">
        <v>373332</v>
      </c>
      <c r="G663" s="38">
        <f>IFERROR(IF(B663="Tampa",INDEX(tbl_tampas[Massa_g],MATCH(A663,tbl_tampas[CapId],0)),INDEX(tbl_recyclass[Massa_Corpo_g],MATCH(A663,tbl_recyclass[ProductId],0))),0)</f>
        <v>10.3</v>
      </c>
      <c r="H663" s="32">
        <f t="shared" si="30"/>
        <v>3845.3196000000003</v>
      </c>
      <c r="I663" s="36">
        <f>IFERROR(IF(B663="Tampa",INDEX(tbl_tampas[Pct_PCR],MATCH(A663,tbl_tampas[CapId],0)),INDEX(tbl_recyclass[Pct_PCR_Corpo],MATCH(A663,tbl_recyclass[ProductId],0))),0)</f>
        <v>0.3</v>
      </c>
      <c r="J663" s="32">
        <f t="shared" si="31"/>
        <v>1153.5958800000001</v>
      </c>
      <c r="K663" s="32">
        <f t="shared" si="32"/>
        <v>2691.72372</v>
      </c>
      <c r="L663" s="43">
        <f>IF(C663="ES",K663*INDEX(tbl_param_emb[Valor],MATCH("P-01",tbl_param_emb[ID_Parametro],0)),0)</f>
        <v>0</v>
      </c>
      <c r="M663" s="33" t="str">
        <f>IF(B663="Tampa","Componente",IFERROR(INDEX(tbl_recyclass[Grau_PPWR_Indicativo],MATCH(A663,tbl_recyclass[ProductId],0)),""))</f>
        <v>Componente</v>
      </c>
    </row>
    <row r="664" spans="1:13" ht="16.05" customHeight="1" x14ac:dyDescent="0.3">
      <c r="A664" s="26" t="s">
        <v>445</v>
      </c>
      <c r="B664" s="26" t="s">
        <v>931</v>
      </c>
      <c r="C664" s="26" t="s">
        <v>1474</v>
      </c>
      <c r="D664" s="26" t="s">
        <v>1475</v>
      </c>
      <c r="E664" s="39">
        <v>2</v>
      </c>
      <c r="F664" s="37">
        <v>122508</v>
      </c>
      <c r="G664" s="38">
        <f>IFERROR(IF(B664="Tampa",INDEX(tbl_tampas[Massa_g],MATCH(A664,tbl_tampas[CapId],0)),INDEX(tbl_recyclass[Massa_Corpo_g],MATCH(A664,tbl_recyclass[ProductId],0))),0)</f>
        <v>10.3</v>
      </c>
      <c r="H664" s="32">
        <f t="shared" si="30"/>
        <v>1261.8324000000002</v>
      </c>
      <c r="I664" s="36">
        <f>IFERROR(IF(B664="Tampa",INDEX(tbl_tampas[Pct_PCR],MATCH(A664,tbl_tampas[CapId],0)),INDEX(tbl_recyclass[Pct_PCR_Corpo],MATCH(A664,tbl_recyclass[ProductId],0))),0)</f>
        <v>0.3</v>
      </c>
      <c r="J664" s="32">
        <f t="shared" si="31"/>
        <v>378.54972000000004</v>
      </c>
      <c r="K664" s="32">
        <f t="shared" si="32"/>
        <v>883.28268000000025</v>
      </c>
      <c r="L664" s="43">
        <f>IF(C664="ES",K664*INDEX(tbl_param_emb[Valor],MATCH("P-01",tbl_param_emb[ID_Parametro],0)),0)</f>
        <v>397.47720600000014</v>
      </c>
      <c r="M664" s="33" t="str">
        <f>IF(B664="Tampa","Componente",IFERROR(INDEX(tbl_recyclass[Grau_PPWR_Indicativo],MATCH(A664,tbl_recyclass[ProductId],0)),""))</f>
        <v>Componente</v>
      </c>
    </row>
    <row r="665" spans="1:13" ht="16.05" customHeight="1" x14ac:dyDescent="0.3">
      <c r="A665" s="26" t="s">
        <v>449</v>
      </c>
      <c r="B665" s="26" t="s">
        <v>931</v>
      </c>
      <c r="C665" s="26" t="s">
        <v>1476</v>
      </c>
      <c r="D665" s="26" t="s">
        <v>1477</v>
      </c>
      <c r="E665" s="39">
        <v>1</v>
      </c>
      <c r="F665" s="37">
        <v>16929</v>
      </c>
      <c r="G665" s="38">
        <f>IFERROR(IF(B665="Tampa",INDEX(tbl_tampas[Massa_g],MATCH(A665,tbl_tampas[CapId],0)),INDEX(tbl_recyclass[Massa_Corpo_g],MATCH(A665,tbl_recyclass[ProductId],0))),0)</f>
        <v>15.9</v>
      </c>
      <c r="H665" s="32">
        <f t="shared" si="30"/>
        <v>269.17110000000002</v>
      </c>
      <c r="I665" s="36">
        <f>IFERROR(IF(B665="Tampa",INDEX(tbl_tampas[Pct_PCR],MATCH(A665,tbl_tampas[CapId],0)),INDEX(tbl_recyclass[Pct_PCR_Corpo],MATCH(A665,tbl_recyclass[ProductId],0))),0)</f>
        <v>0</v>
      </c>
      <c r="J665" s="32">
        <f t="shared" si="31"/>
        <v>0</v>
      </c>
      <c r="K665" s="32">
        <f t="shared" si="32"/>
        <v>269.17110000000002</v>
      </c>
      <c r="L665" s="43">
        <f>IF(C665="ES",K665*INDEX(tbl_param_emb[Valor],MATCH("P-01",tbl_param_emb[ID_Parametro],0)),0)</f>
        <v>0</v>
      </c>
      <c r="M665" s="33" t="str">
        <f>IF(B665="Tampa","Componente",IFERROR(INDEX(tbl_recyclass[Grau_PPWR_Indicativo],MATCH(A665,tbl_recyclass[ProductId],0)),""))</f>
        <v>Componente</v>
      </c>
    </row>
    <row r="666" spans="1:13" ht="16.05" customHeight="1" x14ac:dyDescent="0.3">
      <c r="A666" s="26" t="s">
        <v>449</v>
      </c>
      <c r="B666" s="26" t="s">
        <v>931</v>
      </c>
      <c r="C666" s="26" t="s">
        <v>1472</v>
      </c>
      <c r="D666" s="26" t="s">
        <v>1473</v>
      </c>
      <c r="E666" s="39">
        <v>1</v>
      </c>
      <c r="F666" s="37">
        <v>7675</v>
      </c>
      <c r="G666" s="38">
        <f>IFERROR(IF(B666="Tampa",INDEX(tbl_tampas[Massa_g],MATCH(A666,tbl_tampas[CapId],0)),INDEX(tbl_recyclass[Massa_Corpo_g],MATCH(A666,tbl_recyclass[ProductId],0))),0)</f>
        <v>15.9</v>
      </c>
      <c r="H666" s="32">
        <f t="shared" si="30"/>
        <v>122.0325</v>
      </c>
      <c r="I666" s="36">
        <f>IFERROR(IF(B666="Tampa",INDEX(tbl_tampas[Pct_PCR],MATCH(A666,tbl_tampas[CapId],0)),INDEX(tbl_recyclass[Pct_PCR_Corpo],MATCH(A666,tbl_recyclass[ProductId],0))),0)</f>
        <v>0</v>
      </c>
      <c r="J666" s="32">
        <f t="shared" si="31"/>
        <v>0</v>
      </c>
      <c r="K666" s="32">
        <f t="shared" si="32"/>
        <v>122.0325</v>
      </c>
      <c r="L666" s="43">
        <f>IF(C666="ES",K666*INDEX(tbl_param_emb[Valor],MATCH("P-01",tbl_param_emb[ID_Parametro],0)),0)</f>
        <v>0</v>
      </c>
      <c r="M666" s="33" t="str">
        <f>IF(B666="Tampa","Componente",IFERROR(INDEX(tbl_recyclass[Grau_PPWR_Indicativo],MATCH(A666,tbl_recyclass[ProductId],0)),""))</f>
        <v>Componente</v>
      </c>
    </row>
    <row r="667" spans="1:13" ht="16.05" customHeight="1" x14ac:dyDescent="0.3">
      <c r="A667" s="26" t="s">
        <v>449</v>
      </c>
      <c r="B667" s="26" t="s">
        <v>931</v>
      </c>
      <c r="C667" s="26" t="s">
        <v>1478</v>
      </c>
      <c r="D667" s="26" t="s">
        <v>1479</v>
      </c>
      <c r="E667" s="39">
        <v>1</v>
      </c>
      <c r="F667" s="37">
        <v>28575</v>
      </c>
      <c r="G667" s="38">
        <f>IFERROR(IF(B667="Tampa",INDEX(tbl_tampas[Massa_g],MATCH(A667,tbl_tampas[CapId],0)),INDEX(tbl_recyclass[Massa_Corpo_g],MATCH(A667,tbl_recyclass[ProductId],0))),0)</f>
        <v>15.9</v>
      </c>
      <c r="H667" s="32">
        <f t="shared" si="30"/>
        <v>454.34249999999997</v>
      </c>
      <c r="I667" s="36">
        <f>IFERROR(IF(B667="Tampa",INDEX(tbl_tampas[Pct_PCR],MATCH(A667,tbl_tampas[CapId],0)),INDEX(tbl_recyclass[Pct_PCR_Corpo],MATCH(A667,tbl_recyclass[ProductId],0))),0)</f>
        <v>0</v>
      </c>
      <c r="J667" s="32">
        <f t="shared" si="31"/>
        <v>0</v>
      </c>
      <c r="K667" s="32">
        <f t="shared" si="32"/>
        <v>454.34249999999997</v>
      </c>
      <c r="L667" s="43">
        <f>IF(C667="ES",K667*INDEX(tbl_param_emb[Valor],MATCH("P-01",tbl_param_emb[ID_Parametro],0)),0)</f>
        <v>0</v>
      </c>
      <c r="M667" s="33" t="str">
        <f>IF(B667="Tampa","Componente",IFERROR(INDEX(tbl_recyclass[Grau_PPWR_Indicativo],MATCH(A667,tbl_recyclass[ProductId],0)),""))</f>
        <v>Componente</v>
      </c>
    </row>
    <row r="668" spans="1:13" ht="16.05" customHeight="1" x14ac:dyDescent="0.3">
      <c r="A668" s="26" t="s">
        <v>449</v>
      </c>
      <c r="B668" s="26" t="s">
        <v>931</v>
      </c>
      <c r="C668" s="26" t="s">
        <v>1480</v>
      </c>
      <c r="D668" s="26" t="s">
        <v>1481</v>
      </c>
      <c r="E668" s="39">
        <v>1</v>
      </c>
      <c r="F668" s="37">
        <v>25743</v>
      </c>
      <c r="G668" s="38">
        <f>IFERROR(IF(B668="Tampa",INDEX(tbl_tampas[Massa_g],MATCH(A668,tbl_tampas[CapId],0)),INDEX(tbl_recyclass[Massa_Corpo_g],MATCH(A668,tbl_recyclass[ProductId],0))),0)</f>
        <v>15.9</v>
      </c>
      <c r="H668" s="32">
        <f t="shared" si="30"/>
        <v>409.31370000000004</v>
      </c>
      <c r="I668" s="36">
        <f>IFERROR(IF(B668="Tampa",INDEX(tbl_tampas[Pct_PCR],MATCH(A668,tbl_tampas[CapId],0)),INDEX(tbl_recyclass[Pct_PCR_Corpo],MATCH(A668,tbl_recyclass[ProductId],0))),0)</f>
        <v>0</v>
      </c>
      <c r="J668" s="32">
        <f t="shared" si="31"/>
        <v>0</v>
      </c>
      <c r="K668" s="32">
        <f t="shared" si="32"/>
        <v>409.31370000000004</v>
      </c>
      <c r="L668" s="43">
        <f>IF(C668="ES",K668*INDEX(tbl_param_emb[Valor],MATCH("P-01",tbl_param_emb[ID_Parametro],0)),0)</f>
        <v>0</v>
      </c>
      <c r="M668" s="33" t="str">
        <f>IF(B668="Tampa","Componente",IFERROR(INDEX(tbl_recyclass[Grau_PPWR_Indicativo],MATCH(A668,tbl_recyclass[ProductId],0)),""))</f>
        <v>Componente</v>
      </c>
    </row>
    <row r="669" spans="1:13" ht="16.05" customHeight="1" x14ac:dyDescent="0.3">
      <c r="A669" s="26" t="s">
        <v>449</v>
      </c>
      <c r="B669" s="26" t="s">
        <v>931</v>
      </c>
      <c r="C669" s="26" t="s">
        <v>847</v>
      </c>
      <c r="D669" s="26" t="s">
        <v>1471</v>
      </c>
      <c r="E669" s="39">
        <v>7</v>
      </c>
      <c r="F669" s="37">
        <v>107615</v>
      </c>
      <c r="G669" s="38">
        <f>IFERROR(IF(B669="Tampa",INDEX(tbl_tampas[Massa_g],MATCH(A669,tbl_tampas[CapId],0)),INDEX(tbl_recyclass[Massa_Corpo_g],MATCH(A669,tbl_recyclass[ProductId],0))),0)</f>
        <v>15.9</v>
      </c>
      <c r="H669" s="32">
        <f t="shared" si="30"/>
        <v>1711.0785000000001</v>
      </c>
      <c r="I669" s="36">
        <f>IFERROR(IF(B669="Tampa",INDEX(tbl_tampas[Pct_PCR],MATCH(A669,tbl_tampas[CapId],0)),INDEX(tbl_recyclass[Pct_PCR_Corpo],MATCH(A669,tbl_recyclass[ProductId],0))),0)</f>
        <v>0</v>
      </c>
      <c r="J669" s="32">
        <f t="shared" si="31"/>
        <v>0</v>
      </c>
      <c r="K669" s="32">
        <f t="shared" si="32"/>
        <v>1711.0785000000001</v>
      </c>
      <c r="L669" s="43">
        <f>IF(C669="ES",K669*INDEX(tbl_param_emb[Valor],MATCH("P-01",tbl_param_emb[ID_Parametro],0)),0)</f>
        <v>0</v>
      </c>
      <c r="M669" s="33" t="str">
        <f>IF(B669="Tampa","Componente",IFERROR(INDEX(tbl_recyclass[Grau_PPWR_Indicativo],MATCH(A669,tbl_recyclass[ProductId],0)),""))</f>
        <v>Componente</v>
      </c>
    </row>
    <row r="670" spans="1:13" ht="16.05" customHeight="1" x14ac:dyDescent="0.3">
      <c r="A670" s="26" t="s">
        <v>449</v>
      </c>
      <c r="B670" s="26" t="s">
        <v>931</v>
      </c>
      <c r="C670" s="26" t="s">
        <v>1474</v>
      </c>
      <c r="D670" s="26" t="s">
        <v>1475</v>
      </c>
      <c r="E670" s="39">
        <v>2</v>
      </c>
      <c r="F670" s="37">
        <v>78245</v>
      </c>
      <c r="G670" s="38">
        <f>IFERROR(IF(B670="Tampa",INDEX(tbl_tampas[Massa_g],MATCH(A670,tbl_tampas[CapId],0)),INDEX(tbl_recyclass[Massa_Corpo_g],MATCH(A670,tbl_recyclass[ProductId],0))),0)</f>
        <v>15.9</v>
      </c>
      <c r="H670" s="32">
        <f t="shared" si="30"/>
        <v>1244.0954999999999</v>
      </c>
      <c r="I670" s="36">
        <f>IFERROR(IF(B670="Tampa",INDEX(tbl_tampas[Pct_PCR],MATCH(A670,tbl_tampas[CapId],0)),INDEX(tbl_recyclass[Pct_PCR_Corpo],MATCH(A670,tbl_recyclass[ProductId],0))),0)</f>
        <v>0</v>
      </c>
      <c r="J670" s="32">
        <f t="shared" si="31"/>
        <v>0</v>
      </c>
      <c r="K670" s="32">
        <f t="shared" si="32"/>
        <v>1244.0954999999999</v>
      </c>
      <c r="L670" s="43">
        <f>IF(C670="ES",K670*INDEX(tbl_param_emb[Valor],MATCH("P-01",tbl_param_emb[ID_Parametro],0)),0)</f>
        <v>559.84297500000002</v>
      </c>
      <c r="M670" s="33" t="str">
        <f>IF(B670="Tampa","Componente",IFERROR(INDEX(tbl_recyclass[Grau_PPWR_Indicativo],MATCH(A670,tbl_recyclass[ProductId],0)),""))</f>
        <v>Componente</v>
      </c>
    </row>
    <row r="671" spans="1:13" ht="16.05" customHeight="1" x14ac:dyDescent="0.3">
      <c r="A671" s="26" t="s">
        <v>458</v>
      </c>
      <c r="B671" s="26" t="s">
        <v>931</v>
      </c>
      <c r="C671" s="26" t="s">
        <v>1476</v>
      </c>
      <c r="D671" s="26" t="s">
        <v>1477</v>
      </c>
      <c r="E671" s="39">
        <v>1</v>
      </c>
      <c r="F671" s="37">
        <v>12275</v>
      </c>
      <c r="G671" s="38">
        <f>IFERROR(IF(B671="Tampa",INDEX(tbl_tampas[Massa_g],MATCH(A671,tbl_tampas[CapId],0)),INDEX(tbl_recyclass[Massa_Corpo_g],MATCH(A671,tbl_recyclass[ProductId],0))),0)</f>
        <v>16.7</v>
      </c>
      <c r="H671" s="32">
        <f t="shared" si="30"/>
        <v>204.99250000000001</v>
      </c>
      <c r="I671" s="36">
        <f>IFERROR(IF(B671="Tampa",INDEX(tbl_tampas[Pct_PCR],MATCH(A671,tbl_tampas[CapId],0)),INDEX(tbl_recyclass[Pct_PCR_Corpo],MATCH(A671,tbl_recyclass[ProductId],0))),0)</f>
        <v>0</v>
      </c>
      <c r="J671" s="32">
        <f t="shared" si="31"/>
        <v>0</v>
      </c>
      <c r="K671" s="32">
        <f t="shared" si="32"/>
        <v>204.99250000000001</v>
      </c>
      <c r="L671" s="43">
        <f>IF(C671="ES",K671*INDEX(tbl_param_emb[Valor],MATCH("P-01",tbl_param_emb[ID_Parametro],0)),0)</f>
        <v>0</v>
      </c>
      <c r="M671" s="33" t="str">
        <f>IF(B671="Tampa","Componente",IFERROR(INDEX(tbl_recyclass[Grau_PPWR_Indicativo],MATCH(A671,tbl_recyclass[ProductId],0)),""))</f>
        <v>Componente</v>
      </c>
    </row>
    <row r="672" spans="1:13" ht="16.05" customHeight="1" x14ac:dyDescent="0.3">
      <c r="A672" s="26" t="s">
        <v>458</v>
      </c>
      <c r="B672" s="26" t="s">
        <v>931</v>
      </c>
      <c r="C672" s="26" t="s">
        <v>1472</v>
      </c>
      <c r="D672" s="26" t="s">
        <v>1473</v>
      </c>
      <c r="E672" s="39">
        <v>1</v>
      </c>
      <c r="F672" s="37">
        <v>20438</v>
      </c>
      <c r="G672" s="38">
        <f>IFERROR(IF(B672="Tampa",INDEX(tbl_tampas[Massa_g],MATCH(A672,tbl_tampas[CapId],0)),INDEX(tbl_recyclass[Massa_Corpo_g],MATCH(A672,tbl_recyclass[ProductId],0))),0)</f>
        <v>16.7</v>
      </c>
      <c r="H672" s="32">
        <f t="shared" si="30"/>
        <v>341.31459999999998</v>
      </c>
      <c r="I672" s="36">
        <f>IFERROR(IF(B672="Tampa",INDEX(tbl_tampas[Pct_PCR],MATCH(A672,tbl_tampas[CapId],0)),INDEX(tbl_recyclass[Pct_PCR_Corpo],MATCH(A672,tbl_recyclass[ProductId],0))),0)</f>
        <v>0</v>
      </c>
      <c r="J672" s="32">
        <f t="shared" si="31"/>
        <v>0</v>
      </c>
      <c r="K672" s="32">
        <f t="shared" si="32"/>
        <v>341.31459999999998</v>
      </c>
      <c r="L672" s="43">
        <f>IF(C672="ES",K672*INDEX(tbl_param_emb[Valor],MATCH("P-01",tbl_param_emb[ID_Parametro],0)),0)</f>
        <v>0</v>
      </c>
      <c r="M672" s="33" t="str">
        <f>IF(B672="Tampa","Componente",IFERROR(INDEX(tbl_recyclass[Grau_PPWR_Indicativo],MATCH(A672,tbl_recyclass[ProductId],0)),""))</f>
        <v>Componente</v>
      </c>
    </row>
    <row r="673" spans="1:13" ht="16.05" customHeight="1" x14ac:dyDescent="0.3">
      <c r="A673" s="26" t="s">
        <v>458</v>
      </c>
      <c r="B673" s="26" t="s">
        <v>931</v>
      </c>
      <c r="C673" s="26" t="s">
        <v>1478</v>
      </c>
      <c r="D673" s="26" t="s">
        <v>1479</v>
      </c>
      <c r="E673" s="39">
        <v>1</v>
      </c>
      <c r="F673" s="37">
        <v>20778</v>
      </c>
      <c r="G673" s="38">
        <f>IFERROR(IF(B673="Tampa",INDEX(tbl_tampas[Massa_g],MATCH(A673,tbl_tampas[CapId],0)),INDEX(tbl_recyclass[Massa_Corpo_g],MATCH(A673,tbl_recyclass[ProductId],0))),0)</f>
        <v>16.7</v>
      </c>
      <c r="H673" s="32">
        <f t="shared" si="30"/>
        <v>346.99259999999998</v>
      </c>
      <c r="I673" s="36">
        <f>IFERROR(IF(B673="Tampa",INDEX(tbl_tampas[Pct_PCR],MATCH(A673,tbl_tampas[CapId],0)),INDEX(tbl_recyclass[Pct_PCR_Corpo],MATCH(A673,tbl_recyclass[ProductId],0))),0)</f>
        <v>0</v>
      </c>
      <c r="J673" s="32">
        <f t="shared" si="31"/>
        <v>0</v>
      </c>
      <c r="K673" s="32">
        <f t="shared" si="32"/>
        <v>346.99259999999998</v>
      </c>
      <c r="L673" s="43">
        <f>IF(C673="ES",K673*INDEX(tbl_param_emb[Valor],MATCH("P-01",tbl_param_emb[ID_Parametro],0)),0)</f>
        <v>0</v>
      </c>
      <c r="M673" s="33" t="str">
        <f>IF(B673="Tampa","Componente",IFERROR(INDEX(tbl_recyclass[Grau_PPWR_Indicativo],MATCH(A673,tbl_recyclass[ProductId],0)),""))</f>
        <v>Componente</v>
      </c>
    </row>
    <row r="674" spans="1:13" ht="16.05" customHeight="1" x14ac:dyDescent="0.3">
      <c r="A674" s="26" t="s">
        <v>458</v>
      </c>
      <c r="B674" s="26" t="s">
        <v>931</v>
      </c>
      <c r="C674" s="26" t="s">
        <v>1480</v>
      </c>
      <c r="D674" s="26" t="s">
        <v>1481</v>
      </c>
      <c r="E674" s="39">
        <v>1</v>
      </c>
      <c r="F674" s="37">
        <v>21705</v>
      </c>
      <c r="G674" s="38">
        <f>IFERROR(IF(B674="Tampa",INDEX(tbl_tampas[Massa_g],MATCH(A674,tbl_tampas[CapId],0)),INDEX(tbl_recyclass[Massa_Corpo_g],MATCH(A674,tbl_recyclass[ProductId],0))),0)</f>
        <v>16.7</v>
      </c>
      <c r="H674" s="32">
        <f t="shared" si="30"/>
        <v>362.4735</v>
      </c>
      <c r="I674" s="36">
        <f>IFERROR(IF(B674="Tampa",INDEX(tbl_tampas[Pct_PCR],MATCH(A674,tbl_tampas[CapId],0)),INDEX(tbl_recyclass[Pct_PCR_Corpo],MATCH(A674,tbl_recyclass[ProductId],0))),0)</f>
        <v>0</v>
      </c>
      <c r="J674" s="32">
        <f t="shared" si="31"/>
        <v>0</v>
      </c>
      <c r="K674" s="32">
        <f t="shared" si="32"/>
        <v>362.4735</v>
      </c>
      <c r="L674" s="43">
        <f>IF(C674="ES",K674*INDEX(tbl_param_emb[Valor],MATCH("P-01",tbl_param_emb[ID_Parametro],0)),0)</f>
        <v>0</v>
      </c>
      <c r="M674" s="33" t="str">
        <f>IF(B674="Tampa","Componente",IFERROR(INDEX(tbl_recyclass[Grau_PPWR_Indicativo],MATCH(A674,tbl_recyclass[ProductId],0)),""))</f>
        <v>Componente</v>
      </c>
    </row>
    <row r="675" spans="1:13" ht="16.05" customHeight="1" x14ac:dyDescent="0.3">
      <c r="A675" s="26" t="s">
        <v>458</v>
      </c>
      <c r="B675" s="26" t="s">
        <v>931</v>
      </c>
      <c r="C675" s="26" t="s">
        <v>847</v>
      </c>
      <c r="D675" s="26" t="s">
        <v>1471</v>
      </c>
      <c r="E675" s="39">
        <v>4</v>
      </c>
      <c r="F675" s="37">
        <v>70165</v>
      </c>
      <c r="G675" s="38">
        <f>IFERROR(IF(B675="Tampa",INDEX(tbl_tampas[Massa_g],MATCH(A675,tbl_tampas[CapId],0)),INDEX(tbl_recyclass[Massa_Corpo_g],MATCH(A675,tbl_recyclass[ProductId],0))),0)</f>
        <v>16.7</v>
      </c>
      <c r="H675" s="32">
        <f t="shared" si="30"/>
        <v>1171.7555</v>
      </c>
      <c r="I675" s="36">
        <f>IFERROR(IF(B675="Tampa",INDEX(tbl_tampas[Pct_PCR],MATCH(A675,tbl_tampas[CapId],0)),INDEX(tbl_recyclass[Pct_PCR_Corpo],MATCH(A675,tbl_recyclass[ProductId],0))),0)</f>
        <v>0</v>
      </c>
      <c r="J675" s="32">
        <f t="shared" si="31"/>
        <v>0</v>
      </c>
      <c r="K675" s="32">
        <f t="shared" si="32"/>
        <v>1171.7555</v>
      </c>
      <c r="L675" s="43">
        <f>IF(C675="ES",K675*INDEX(tbl_param_emb[Valor],MATCH("P-01",tbl_param_emb[ID_Parametro],0)),0)</f>
        <v>0</v>
      </c>
      <c r="M675" s="33" t="str">
        <f>IF(B675="Tampa","Componente",IFERROR(INDEX(tbl_recyclass[Grau_PPWR_Indicativo],MATCH(A675,tbl_recyclass[ProductId],0)),""))</f>
        <v>Componente</v>
      </c>
    </row>
    <row r="676" spans="1:13" ht="16.05" customHeight="1" x14ac:dyDescent="0.3">
      <c r="A676" s="26" t="s">
        <v>458</v>
      </c>
      <c r="B676" s="26" t="s">
        <v>931</v>
      </c>
      <c r="C676" s="26" t="s">
        <v>1474</v>
      </c>
      <c r="D676" s="26" t="s">
        <v>1475</v>
      </c>
      <c r="E676" s="39">
        <v>1</v>
      </c>
      <c r="F676" s="37">
        <v>17334</v>
      </c>
      <c r="G676" s="38">
        <f>IFERROR(IF(B676="Tampa",INDEX(tbl_tampas[Massa_g],MATCH(A676,tbl_tampas[CapId],0)),INDEX(tbl_recyclass[Massa_Corpo_g],MATCH(A676,tbl_recyclass[ProductId],0))),0)</f>
        <v>16.7</v>
      </c>
      <c r="H676" s="32">
        <f t="shared" si="30"/>
        <v>289.4778</v>
      </c>
      <c r="I676" s="36">
        <f>IFERROR(IF(B676="Tampa",INDEX(tbl_tampas[Pct_PCR],MATCH(A676,tbl_tampas[CapId],0)),INDEX(tbl_recyclass[Pct_PCR_Corpo],MATCH(A676,tbl_recyclass[ProductId],0))),0)</f>
        <v>0</v>
      </c>
      <c r="J676" s="32">
        <f t="shared" si="31"/>
        <v>0</v>
      </c>
      <c r="K676" s="32">
        <f t="shared" si="32"/>
        <v>289.4778</v>
      </c>
      <c r="L676" s="43">
        <f>IF(C676="ES",K676*INDEX(tbl_param_emb[Valor],MATCH("P-01",tbl_param_emb[ID_Parametro],0)),0)</f>
        <v>130.26501000000002</v>
      </c>
      <c r="M676" s="33" t="str">
        <f>IF(B676="Tampa","Componente",IFERROR(INDEX(tbl_recyclass[Grau_PPWR_Indicativo],MATCH(A676,tbl_recyclass[ProductId],0)),""))</f>
        <v>Componente</v>
      </c>
    </row>
    <row r="677" spans="1:13" ht="16.05" customHeight="1" x14ac:dyDescent="0.3">
      <c r="A677" s="26" t="s">
        <v>452</v>
      </c>
      <c r="B677" s="26" t="s">
        <v>931</v>
      </c>
      <c r="C677" s="26" t="s">
        <v>1476</v>
      </c>
      <c r="D677" s="26" t="s">
        <v>1477</v>
      </c>
      <c r="E677" s="39">
        <v>1</v>
      </c>
      <c r="F677" s="37">
        <v>9605</v>
      </c>
      <c r="G677" s="38">
        <f>IFERROR(IF(B677="Tampa",INDEX(tbl_tampas[Massa_g],MATCH(A677,tbl_tampas[CapId],0)),INDEX(tbl_recyclass[Massa_Corpo_g],MATCH(A677,tbl_recyclass[ProductId],0))),0)</f>
        <v>14.3</v>
      </c>
      <c r="H677" s="32">
        <f t="shared" si="30"/>
        <v>137.35149999999999</v>
      </c>
      <c r="I677" s="36">
        <f>IFERROR(IF(B677="Tampa",INDEX(tbl_tampas[Pct_PCR],MATCH(A677,tbl_tampas[CapId],0)),INDEX(tbl_recyclass[Pct_PCR_Corpo],MATCH(A677,tbl_recyclass[ProductId],0))),0)</f>
        <v>0</v>
      </c>
      <c r="J677" s="32">
        <f t="shared" si="31"/>
        <v>0</v>
      </c>
      <c r="K677" s="32">
        <f t="shared" si="32"/>
        <v>137.35149999999999</v>
      </c>
      <c r="L677" s="43">
        <f>IF(C677="ES",K677*INDEX(tbl_param_emb[Valor],MATCH("P-01",tbl_param_emb[ID_Parametro],0)),0)</f>
        <v>0</v>
      </c>
      <c r="M677" s="33" t="str">
        <f>IF(B677="Tampa","Componente",IFERROR(INDEX(tbl_recyclass[Grau_PPWR_Indicativo],MATCH(A677,tbl_recyclass[ProductId],0)),""))</f>
        <v>Componente</v>
      </c>
    </row>
    <row r="678" spans="1:13" ht="16.05" customHeight="1" x14ac:dyDescent="0.3">
      <c r="A678" s="26" t="s">
        <v>452</v>
      </c>
      <c r="B678" s="26" t="s">
        <v>931</v>
      </c>
      <c r="C678" s="26" t="s">
        <v>1472</v>
      </c>
      <c r="D678" s="26" t="s">
        <v>1473</v>
      </c>
      <c r="E678" s="39">
        <v>1</v>
      </c>
      <c r="F678" s="37">
        <v>7745</v>
      </c>
      <c r="G678" s="38">
        <f>IFERROR(IF(B678="Tampa",INDEX(tbl_tampas[Massa_g],MATCH(A678,tbl_tampas[CapId],0)),INDEX(tbl_recyclass[Massa_Corpo_g],MATCH(A678,tbl_recyclass[ProductId],0))),0)</f>
        <v>14.3</v>
      </c>
      <c r="H678" s="32">
        <f t="shared" si="30"/>
        <v>110.7535</v>
      </c>
      <c r="I678" s="36">
        <f>IFERROR(IF(B678="Tampa",INDEX(tbl_tampas[Pct_PCR],MATCH(A678,tbl_tampas[CapId],0)),INDEX(tbl_recyclass[Pct_PCR_Corpo],MATCH(A678,tbl_recyclass[ProductId],0))),0)</f>
        <v>0</v>
      </c>
      <c r="J678" s="32">
        <f t="shared" si="31"/>
        <v>0</v>
      </c>
      <c r="K678" s="32">
        <f t="shared" si="32"/>
        <v>110.7535</v>
      </c>
      <c r="L678" s="43">
        <f>IF(C678="ES",K678*INDEX(tbl_param_emb[Valor],MATCH("P-01",tbl_param_emb[ID_Parametro],0)),0)</f>
        <v>0</v>
      </c>
      <c r="M678" s="33" t="str">
        <f>IF(B678="Tampa","Componente",IFERROR(INDEX(tbl_recyclass[Grau_PPWR_Indicativo],MATCH(A678,tbl_recyclass[ProductId],0)),""))</f>
        <v>Componente</v>
      </c>
    </row>
    <row r="679" spans="1:13" ht="16.05" customHeight="1" x14ac:dyDescent="0.3">
      <c r="A679" s="26" t="s">
        <v>452</v>
      </c>
      <c r="B679" s="26" t="s">
        <v>931</v>
      </c>
      <c r="C679" s="26" t="s">
        <v>1480</v>
      </c>
      <c r="D679" s="26" t="s">
        <v>1481</v>
      </c>
      <c r="E679" s="39">
        <v>1</v>
      </c>
      <c r="F679" s="37">
        <v>7217</v>
      </c>
      <c r="G679" s="38">
        <f>IFERROR(IF(B679="Tampa",INDEX(tbl_tampas[Massa_g],MATCH(A679,tbl_tampas[CapId],0)),INDEX(tbl_recyclass[Massa_Corpo_g],MATCH(A679,tbl_recyclass[ProductId],0))),0)</f>
        <v>14.3</v>
      </c>
      <c r="H679" s="32">
        <f t="shared" si="30"/>
        <v>103.20310000000001</v>
      </c>
      <c r="I679" s="36">
        <f>IFERROR(IF(B679="Tampa",INDEX(tbl_tampas[Pct_PCR],MATCH(A679,tbl_tampas[CapId],0)),INDEX(tbl_recyclass[Pct_PCR_Corpo],MATCH(A679,tbl_recyclass[ProductId],0))),0)</f>
        <v>0</v>
      </c>
      <c r="J679" s="32">
        <f t="shared" si="31"/>
        <v>0</v>
      </c>
      <c r="K679" s="32">
        <f t="shared" si="32"/>
        <v>103.20310000000001</v>
      </c>
      <c r="L679" s="43">
        <f>IF(C679="ES",K679*INDEX(tbl_param_emb[Valor],MATCH("P-01",tbl_param_emb[ID_Parametro],0)),0)</f>
        <v>0</v>
      </c>
      <c r="M679" s="33" t="str">
        <f>IF(B679="Tampa","Componente",IFERROR(INDEX(tbl_recyclass[Grau_PPWR_Indicativo],MATCH(A679,tbl_recyclass[ProductId],0)),""))</f>
        <v>Componente</v>
      </c>
    </row>
    <row r="680" spans="1:13" ht="16.05" customHeight="1" x14ac:dyDescent="0.3">
      <c r="A680" s="26" t="s">
        <v>452</v>
      </c>
      <c r="B680" s="26" t="s">
        <v>931</v>
      </c>
      <c r="C680" s="26" t="s">
        <v>847</v>
      </c>
      <c r="D680" s="26" t="s">
        <v>1471</v>
      </c>
      <c r="E680" s="39">
        <v>5</v>
      </c>
      <c r="F680" s="37">
        <v>77625</v>
      </c>
      <c r="G680" s="38">
        <f>IFERROR(IF(B680="Tampa",INDEX(tbl_tampas[Massa_g],MATCH(A680,tbl_tampas[CapId],0)),INDEX(tbl_recyclass[Massa_Corpo_g],MATCH(A680,tbl_recyclass[ProductId],0))),0)</f>
        <v>14.3</v>
      </c>
      <c r="H680" s="32">
        <f t="shared" si="30"/>
        <v>1110.0374999999999</v>
      </c>
      <c r="I680" s="36">
        <f>IFERROR(IF(B680="Tampa",INDEX(tbl_tampas[Pct_PCR],MATCH(A680,tbl_tampas[CapId],0)),INDEX(tbl_recyclass[Pct_PCR_Corpo],MATCH(A680,tbl_recyclass[ProductId],0))),0)</f>
        <v>0</v>
      </c>
      <c r="J680" s="32">
        <f t="shared" si="31"/>
        <v>0</v>
      </c>
      <c r="K680" s="32">
        <f t="shared" si="32"/>
        <v>1110.0374999999999</v>
      </c>
      <c r="L680" s="43">
        <f>IF(C680="ES",K680*INDEX(tbl_param_emb[Valor],MATCH("P-01",tbl_param_emb[ID_Parametro],0)),0)</f>
        <v>0</v>
      </c>
      <c r="M680" s="33" t="str">
        <f>IF(B680="Tampa","Componente",IFERROR(INDEX(tbl_recyclass[Grau_PPWR_Indicativo],MATCH(A680,tbl_recyclass[ProductId],0)),""))</f>
        <v>Componente</v>
      </c>
    </row>
    <row r="681" spans="1:13" ht="16.05" customHeight="1" x14ac:dyDescent="0.3">
      <c r="A681" s="26" t="s">
        <v>452</v>
      </c>
      <c r="B681" s="26" t="s">
        <v>931</v>
      </c>
      <c r="C681" s="26" t="s">
        <v>1474</v>
      </c>
      <c r="D681" s="26" t="s">
        <v>1475</v>
      </c>
      <c r="E681" s="39">
        <v>2</v>
      </c>
      <c r="F681" s="37">
        <v>16857</v>
      </c>
      <c r="G681" s="38">
        <f>IFERROR(IF(B681="Tampa",INDEX(tbl_tampas[Massa_g],MATCH(A681,tbl_tampas[CapId],0)),INDEX(tbl_recyclass[Massa_Corpo_g],MATCH(A681,tbl_recyclass[ProductId],0))),0)</f>
        <v>14.3</v>
      </c>
      <c r="H681" s="32">
        <f t="shared" si="30"/>
        <v>241.05510000000001</v>
      </c>
      <c r="I681" s="36">
        <f>IFERROR(IF(B681="Tampa",INDEX(tbl_tampas[Pct_PCR],MATCH(A681,tbl_tampas[CapId],0)),INDEX(tbl_recyclass[Pct_PCR_Corpo],MATCH(A681,tbl_recyclass[ProductId],0))),0)</f>
        <v>0</v>
      </c>
      <c r="J681" s="32">
        <f t="shared" si="31"/>
        <v>0</v>
      </c>
      <c r="K681" s="32">
        <f t="shared" si="32"/>
        <v>241.05510000000001</v>
      </c>
      <c r="L681" s="43">
        <f>IF(C681="ES",K681*INDEX(tbl_param_emb[Valor],MATCH("P-01",tbl_param_emb[ID_Parametro],0)),0)</f>
        <v>108.474795</v>
      </c>
      <c r="M681" s="33" t="str">
        <f>IF(B681="Tampa","Componente",IFERROR(INDEX(tbl_recyclass[Grau_PPWR_Indicativo],MATCH(A681,tbl_recyclass[ProductId],0)),""))</f>
        <v>Componente</v>
      </c>
    </row>
    <row r="682" spans="1:13" ht="16.05" customHeight="1" x14ac:dyDescent="0.3">
      <c r="A682" s="26" t="s">
        <v>455</v>
      </c>
      <c r="B682" s="26" t="s">
        <v>931</v>
      </c>
      <c r="C682" s="26" t="s">
        <v>1476</v>
      </c>
      <c r="D682" s="26" t="s">
        <v>1477</v>
      </c>
      <c r="E682" s="39">
        <v>1</v>
      </c>
      <c r="F682" s="37">
        <v>22240</v>
      </c>
      <c r="G682" s="38">
        <f>IFERROR(IF(B682="Tampa",INDEX(tbl_tampas[Massa_g],MATCH(A682,tbl_tampas[CapId],0)),INDEX(tbl_recyclass[Massa_Corpo_g],MATCH(A682,tbl_recyclass[ProductId],0))),0)</f>
        <v>14.3</v>
      </c>
      <c r="H682" s="32">
        <f t="shared" si="30"/>
        <v>318.03199999999998</v>
      </c>
      <c r="I682" s="36">
        <f>IFERROR(IF(B682="Tampa",INDEX(tbl_tampas[Pct_PCR],MATCH(A682,tbl_tampas[CapId],0)),INDEX(tbl_recyclass[Pct_PCR_Corpo],MATCH(A682,tbl_recyclass[ProductId],0))),0)</f>
        <v>0.3</v>
      </c>
      <c r="J682" s="32">
        <f t="shared" si="31"/>
        <v>95.409599999999998</v>
      </c>
      <c r="K682" s="32">
        <f t="shared" si="32"/>
        <v>222.62239999999997</v>
      </c>
      <c r="L682" s="43">
        <f>IF(C682="ES",K682*INDEX(tbl_param_emb[Valor],MATCH("P-01",tbl_param_emb[ID_Parametro],0)),0)</f>
        <v>0</v>
      </c>
      <c r="M682" s="33" t="str">
        <f>IF(B682="Tampa","Componente",IFERROR(INDEX(tbl_recyclass[Grau_PPWR_Indicativo],MATCH(A682,tbl_recyclass[ProductId],0)),""))</f>
        <v>Componente</v>
      </c>
    </row>
    <row r="683" spans="1:13" ht="16.05" customHeight="1" x14ac:dyDescent="0.3">
      <c r="A683" s="26" t="s">
        <v>455</v>
      </c>
      <c r="B683" s="26" t="s">
        <v>931</v>
      </c>
      <c r="C683" s="26" t="s">
        <v>1472</v>
      </c>
      <c r="D683" s="26" t="s">
        <v>1473</v>
      </c>
      <c r="E683" s="39">
        <v>1</v>
      </c>
      <c r="F683" s="37">
        <v>41900</v>
      </c>
      <c r="G683" s="38">
        <f>IFERROR(IF(B683="Tampa",INDEX(tbl_tampas[Massa_g],MATCH(A683,tbl_tampas[CapId],0)),INDEX(tbl_recyclass[Massa_Corpo_g],MATCH(A683,tbl_recyclass[ProductId],0))),0)</f>
        <v>14.3</v>
      </c>
      <c r="H683" s="32">
        <f t="shared" si="30"/>
        <v>599.16999999999996</v>
      </c>
      <c r="I683" s="36">
        <f>IFERROR(IF(B683="Tampa",INDEX(tbl_tampas[Pct_PCR],MATCH(A683,tbl_tampas[CapId],0)),INDEX(tbl_recyclass[Pct_PCR_Corpo],MATCH(A683,tbl_recyclass[ProductId],0))),0)</f>
        <v>0.3</v>
      </c>
      <c r="J683" s="32">
        <f t="shared" si="31"/>
        <v>179.75099999999998</v>
      </c>
      <c r="K683" s="32">
        <f t="shared" si="32"/>
        <v>419.41899999999998</v>
      </c>
      <c r="L683" s="43">
        <f>IF(C683="ES",K683*INDEX(tbl_param_emb[Valor],MATCH("P-01",tbl_param_emb[ID_Parametro],0)),0)</f>
        <v>0</v>
      </c>
      <c r="M683" s="33" t="str">
        <f>IF(B683="Tampa","Componente",IFERROR(INDEX(tbl_recyclass[Grau_PPWR_Indicativo],MATCH(A683,tbl_recyclass[ProductId],0)),""))</f>
        <v>Componente</v>
      </c>
    </row>
    <row r="684" spans="1:13" ht="16.05" customHeight="1" x14ac:dyDescent="0.3">
      <c r="A684" s="26" t="s">
        <v>455</v>
      </c>
      <c r="B684" s="26" t="s">
        <v>931</v>
      </c>
      <c r="C684" s="26" t="s">
        <v>1478</v>
      </c>
      <c r="D684" s="26" t="s">
        <v>1479</v>
      </c>
      <c r="E684" s="39">
        <v>1</v>
      </c>
      <c r="F684" s="37">
        <v>19717</v>
      </c>
      <c r="G684" s="38">
        <f>IFERROR(IF(B684="Tampa",INDEX(tbl_tampas[Massa_g],MATCH(A684,tbl_tampas[CapId],0)),INDEX(tbl_recyclass[Massa_Corpo_g],MATCH(A684,tbl_recyclass[ProductId],0))),0)</f>
        <v>14.3</v>
      </c>
      <c r="H684" s="32">
        <f t="shared" si="30"/>
        <v>281.95310000000006</v>
      </c>
      <c r="I684" s="36">
        <f>IFERROR(IF(B684="Tampa",INDEX(tbl_tampas[Pct_PCR],MATCH(A684,tbl_tampas[CapId],0)),INDEX(tbl_recyclass[Pct_PCR_Corpo],MATCH(A684,tbl_recyclass[ProductId],0))),0)</f>
        <v>0.3</v>
      </c>
      <c r="J684" s="32">
        <f t="shared" si="31"/>
        <v>84.585930000000019</v>
      </c>
      <c r="K684" s="32">
        <f t="shared" si="32"/>
        <v>197.36717000000004</v>
      </c>
      <c r="L684" s="43">
        <f>IF(C684="ES",K684*INDEX(tbl_param_emb[Valor],MATCH("P-01",tbl_param_emb[ID_Parametro],0)),0)</f>
        <v>0</v>
      </c>
      <c r="M684" s="33" t="str">
        <f>IF(B684="Tampa","Componente",IFERROR(INDEX(tbl_recyclass[Grau_PPWR_Indicativo],MATCH(A684,tbl_recyclass[ProductId],0)),""))</f>
        <v>Componente</v>
      </c>
    </row>
    <row r="685" spans="1:13" ht="16.05" customHeight="1" x14ac:dyDescent="0.3">
      <c r="A685" s="26" t="s">
        <v>455</v>
      </c>
      <c r="B685" s="26" t="s">
        <v>931</v>
      </c>
      <c r="C685" s="26" t="s">
        <v>847</v>
      </c>
      <c r="D685" s="26" t="s">
        <v>1471</v>
      </c>
      <c r="E685" s="39">
        <v>7</v>
      </c>
      <c r="F685" s="37">
        <v>114762</v>
      </c>
      <c r="G685" s="38">
        <f>IFERROR(IF(B685="Tampa",INDEX(tbl_tampas[Massa_g],MATCH(A685,tbl_tampas[CapId],0)),INDEX(tbl_recyclass[Massa_Corpo_g],MATCH(A685,tbl_recyclass[ProductId],0))),0)</f>
        <v>14.3</v>
      </c>
      <c r="H685" s="32">
        <f t="shared" si="30"/>
        <v>1641.0966000000001</v>
      </c>
      <c r="I685" s="36">
        <f>IFERROR(IF(B685="Tampa",INDEX(tbl_tampas[Pct_PCR],MATCH(A685,tbl_tampas[CapId],0)),INDEX(tbl_recyclass[Pct_PCR_Corpo],MATCH(A685,tbl_recyclass[ProductId],0))),0)</f>
        <v>0.3</v>
      </c>
      <c r="J685" s="32">
        <f t="shared" si="31"/>
        <v>492.32898</v>
      </c>
      <c r="K685" s="32">
        <f t="shared" si="32"/>
        <v>1148.7676200000001</v>
      </c>
      <c r="L685" s="43">
        <f>IF(C685="ES",K685*INDEX(tbl_param_emb[Valor],MATCH("P-01",tbl_param_emb[ID_Parametro],0)),0)</f>
        <v>0</v>
      </c>
      <c r="M685" s="33" t="str">
        <f>IF(B685="Tampa","Componente",IFERROR(INDEX(tbl_recyclass[Grau_PPWR_Indicativo],MATCH(A685,tbl_recyclass[ProductId],0)),""))</f>
        <v>Componente</v>
      </c>
    </row>
    <row r="686" spans="1:13" ht="16.05" customHeight="1" x14ac:dyDescent="0.3">
      <c r="A686" s="26" t="s">
        <v>455</v>
      </c>
      <c r="B686" s="26" t="s">
        <v>931</v>
      </c>
      <c r="C686" s="26" t="s">
        <v>1474</v>
      </c>
      <c r="D686" s="26" t="s">
        <v>1475</v>
      </c>
      <c r="E686" s="39">
        <v>1</v>
      </c>
      <c r="F686" s="37">
        <v>24476</v>
      </c>
      <c r="G686" s="38">
        <f>IFERROR(IF(B686="Tampa",INDEX(tbl_tampas[Massa_g],MATCH(A686,tbl_tampas[CapId],0)),INDEX(tbl_recyclass[Massa_Corpo_g],MATCH(A686,tbl_recyclass[ProductId],0))),0)</f>
        <v>14.3</v>
      </c>
      <c r="H686" s="32">
        <f t="shared" si="30"/>
        <v>350.0068</v>
      </c>
      <c r="I686" s="36">
        <f>IFERROR(IF(B686="Tampa",INDEX(tbl_tampas[Pct_PCR],MATCH(A686,tbl_tampas[CapId],0)),INDEX(tbl_recyclass[Pct_PCR_Corpo],MATCH(A686,tbl_recyclass[ProductId],0))),0)</f>
        <v>0.3</v>
      </c>
      <c r="J686" s="32">
        <f t="shared" si="31"/>
        <v>105.00203999999999</v>
      </c>
      <c r="K686" s="32">
        <f t="shared" si="32"/>
        <v>245.00476</v>
      </c>
      <c r="L686" s="43">
        <f>IF(C686="ES",K686*INDEX(tbl_param_emb[Valor],MATCH("P-01",tbl_param_emb[ID_Parametro],0)),0)</f>
        <v>110.25214200000001</v>
      </c>
      <c r="M686" s="33" t="str">
        <f>IF(B686="Tampa","Componente",IFERROR(INDEX(tbl_recyclass[Grau_PPWR_Indicativo],MATCH(A686,tbl_recyclass[ProductId],0)),""))</f>
        <v>Componente</v>
      </c>
    </row>
  </sheetData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H217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2" width="5" customWidth="1"/>
    <col min="3" max="3" width="26" customWidth="1"/>
    <col min="4" max="4" width="9" customWidth="1"/>
    <col min="5" max="5" width="10" customWidth="1"/>
    <col min="6" max="6" width="40" customWidth="1"/>
    <col min="7" max="7" width="8" customWidth="1"/>
    <col min="8" max="8" width="10" customWidth="1"/>
  </cols>
  <sheetData>
    <row r="1" spans="1:8" ht="39.6" x14ac:dyDescent="0.3">
      <c r="A1" s="12" t="s">
        <v>1482</v>
      </c>
      <c r="B1" s="12" t="s">
        <v>1460</v>
      </c>
      <c r="C1" s="12" t="s">
        <v>1483</v>
      </c>
      <c r="D1" s="12" t="s">
        <v>1484</v>
      </c>
      <c r="E1" s="12" t="s">
        <v>1465</v>
      </c>
      <c r="F1" s="30" t="s">
        <v>1485</v>
      </c>
      <c r="G1" s="12" t="s">
        <v>1486</v>
      </c>
      <c r="H1" s="30" t="s">
        <v>1487</v>
      </c>
    </row>
    <row r="2" spans="1:8" ht="16.05" customHeight="1" x14ac:dyDescent="0.3">
      <c r="A2" s="41">
        <v>46023</v>
      </c>
      <c r="B2" s="26" t="s">
        <v>1476</v>
      </c>
      <c r="C2" s="26" t="s">
        <v>1488</v>
      </c>
      <c r="D2" s="26" t="s">
        <v>1489</v>
      </c>
      <c r="E2" s="34">
        <v>146.1</v>
      </c>
      <c r="F2" s="33" t="str">
        <f t="shared" ref="F2:F65" si="0">IF(B2="PT","SIGRE — embalagens não urbanas (Plasticom embalador)","Regime do país de destino — confirmar quem é o produtor (PPWR art. 44.º)")</f>
        <v>Regime do país de destino — confirmar quem é o produtor (PPWR art. 44.º)</v>
      </c>
      <c r="G2" s="26" t="s">
        <v>189</v>
      </c>
      <c r="H2" s="43">
        <f>IF(B2="PT",E2*INDEX(tbl_param_emb[Valor],MATCH(G2,tbl_param_emb[ID_Parametro],0)),0)</f>
        <v>0</v>
      </c>
    </row>
    <row r="3" spans="1:8" ht="16.05" customHeight="1" x14ac:dyDescent="0.3">
      <c r="A3" s="41">
        <v>46023</v>
      </c>
      <c r="B3" s="26" t="s">
        <v>1476</v>
      </c>
      <c r="C3" s="26" t="s">
        <v>1490</v>
      </c>
      <c r="D3" s="26" t="s">
        <v>1491</v>
      </c>
      <c r="E3" s="34">
        <v>2.4</v>
      </c>
      <c r="F3" s="33" t="str">
        <f t="shared" si="0"/>
        <v>Regime do país de destino — confirmar quem é o produtor (PPWR art. 44.º)</v>
      </c>
      <c r="G3" s="26" t="s">
        <v>193</v>
      </c>
      <c r="H3" s="43">
        <f>IF(B3="PT",E3*INDEX(tbl_param_emb[Valor],MATCH(G3,tbl_param_emb[ID_Parametro],0)),0)</f>
        <v>0</v>
      </c>
    </row>
    <row r="4" spans="1:8" ht="16.05" customHeight="1" x14ac:dyDescent="0.3">
      <c r="A4" s="41">
        <v>46023</v>
      </c>
      <c r="B4" s="26" t="s">
        <v>1476</v>
      </c>
      <c r="C4" s="26" t="s">
        <v>1492</v>
      </c>
      <c r="D4" s="26" t="s">
        <v>1493</v>
      </c>
      <c r="E4" s="34">
        <v>178.5</v>
      </c>
      <c r="F4" s="33" t="str">
        <f t="shared" si="0"/>
        <v>Regime do país de destino — confirmar quem é o produtor (PPWR art. 44.º)</v>
      </c>
      <c r="G4" s="26" t="s">
        <v>195</v>
      </c>
      <c r="H4" s="43">
        <f>IF(B4="PT",E4*INDEX(tbl_param_emb[Valor],MATCH(G4,tbl_param_emb[ID_Parametro],0)),0)</f>
        <v>0</v>
      </c>
    </row>
    <row r="5" spans="1:8" ht="16.05" customHeight="1" x14ac:dyDescent="0.3">
      <c r="A5" s="41">
        <v>46023</v>
      </c>
      <c r="B5" s="26" t="s">
        <v>1472</v>
      </c>
      <c r="C5" s="26" t="s">
        <v>1488</v>
      </c>
      <c r="D5" s="26" t="s">
        <v>1489</v>
      </c>
      <c r="E5" s="34">
        <v>248.1</v>
      </c>
      <c r="F5" s="33" t="str">
        <f t="shared" si="0"/>
        <v>Regime do país de destino — confirmar quem é o produtor (PPWR art. 44.º)</v>
      </c>
      <c r="G5" s="26" t="s">
        <v>189</v>
      </c>
      <c r="H5" s="43">
        <f>IF(B5="PT",E5*INDEX(tbl_param_emb[Valor],MATCH(G5,tbl_param_emb[ID_Parametro],0)),0)</f>
        <v>0</v>
      </c>
    </row>
    <row r="6" spans="1:8" ht="16.05" customHeight="1" x14ac:dyDescent="0.3">
      <c r="A6" s="41">
        <v>46023</v>
      </c>
      <c r="B6" s="26" t="s">
        <v>1472</v>
      </c>
      <c r="C6" s="26" t="s">
        <v>1490</v>
      </c>
      <c r="D6" s="26" t="s">
        <v>1491</v>
      </c>
      <c r="E6" s="34">
        <v>4.0999999999999996</v>
      </c>
      <c r="F6" s="33" t="str">
        <f t="shared" si="0"/>
        <v>Regime do país de destino — confirmar quem é o produtor (PPWR art. 44.º)</v>
      </c>
      <c r="G6" s="26" t="s">
        <v>193</v>
      </c>
      <c r="H6" s="43">
        <f>IF(B6="PT",E6*INDEX(tbl_param_emb[Valor],MATCH(G6,tbl_param_emb[ID_Parametro],0)),0)</f>
        <v>0</v>
      </c>
    </row>
    <row r="7" spans="1:8" ht="16.05" customHeight="1" x14ac:dyDescent="0.3">
      <c r="A7" s="41">
        <v>46023</v>
      </c>
      <c r="B7" s="26" t="s">
        <v>1472</v>
      </c>
      <c r="C7" s="26" t="s">
        <v>1492</v>
      </c>
      <c r="D7" s="26" t="s">
        <v>1493</v>
      </c>
      <c r="E7" s="34">
        <v>303.3</v>
      </c>
      <c r="F7" s="33" t="str">
        <f t="shared" si="0"/>
        <v>Regime do país de destino — confirmar quem é o produtor (PPWR art. 44.º)</v>
      </c>
      <c r="G7" s="26" t="s">
        <v>195</v>
      </c>
      <c r="H7" s="43">
        <f>IF(B7="PT",E7*INDEX(tbl_param_emb[Valor],MATCH(G7,tbl_param_emb[ID_Parametro],0)),0)</f>
        <v>0</v>
      </c>
    </row>
    <row r="8" spans="1:8" ht="16.05" customHeight="1" x14ac:dyDescent="0.3">
      <c r="A8" s="41">
        <v>46023</v>
      </c>
      <c r="B8" s="26" t="s">
        <v>1478</v>
      </c>
      <c r="C8" s="26" t="s">
        <v>1488</v>
      </c>
      <c r="D8" s="26" t="s">
        <v>1489</v>
      </c>
      <c r="E8" s="34">
        <v>225.8</v>
      </c>
      <c r="F8" s="33" t="str">
        <f t="shared" si="0"/>
        <v>Regime do país de destino — confirmar quem é o produtor (PPWR art. 44.º)</v>
      </c>
      <c r="G8" s="26" t="s">
        <v>189</v>
      </c>
      <c r="H8" s="43">
        <f>IF(B8="PT",E8*INDEX(tbl_param_emb[Valor],MATCH(G8,tbl_param_emb[ID_Parametro],0)),0)</f>
        <v>0</v>
      </c>
    </row>
    <row r="9" spans="1:8" ht="16.05" customHeight="1" x14ac:dyDescent="0.3">
      <c r="A9" s="41">
        <v>46023</v>
      </c>
      <c r="B9" s="26" t="s">
        <v>1478</v>
      </c>
      <c r="C9" s="26" t="s">
        <v>1490</v>
      </c>
      <c r="D9" s="26" t="s">
        <v>1491</v>
      </c>
      <c r="E9" s="34">
        <v>3.8</v>
      </c>
      <c r="F9" s="33" t="str">
        <f t="shared" si="0"/>
        <v>Regime do país de destino — confirmar quem é o produtor (PPWR art. 44.º)</v>
      </c>
      <c r="G9" s="26" t="s">
        <v>193</v>
      </c>
      <c r="H9" s="43">
        <f>IF(B9="PT",E9*INDEX(tbl_param_emb[Valor],MATCH(G9,tbl_param_emb[ID_Parametro],0)),0)</f>
        <v>0</v>
      </c>
    </row>
    <row r="10" spans="1:8" ht="16.05" customHeight="1" x14ac:dyDescent="0.3">
      <c r="A10" s="41">
        <v>46023</v>
      </c>
      <c r="B10" s="26" t="s">
        <v>1478</v>
      </c>
      <c r="C10" s="26" t="s">
        <v>1492</v>
      </c>
      <c r="D10" s="26" t="s">
        <v>1493</v>
      </c>
      <c r="E10" s="34">
        <v>275.89999999999998</v>
      </c>
      <c r="F10" s="33" t="str">
        <f t="shared" si="0"/>
        <v>Regime do país de destino — confirmar quem é o produtor (PPWR art. 44.º)</v>
      </c>
      <c r="G10" s="26" t="s">
        <v>195</v>
      </c>
      <c r="H10" s="43">
        <f>IF(B10="PT",E10*INDEX(tbl_param_emb[Valor],MATCH(G10,tbl_param_emb[ID_Parametro],0)),0)</f>
        <v>0</v>
      </c>
    </row>
    <row r="11" spans="1:8" ht="16.05" customHeight="1" x14ac:dyDescent="0.3">
      <c r="A11" s="41">
        <v>46023</v>
      </c>
      <c r="B11" s="26" t="s">
        <v>1480</v>
      </c>
      <c r="C11" s="26" t="s">
        <v>1488</v>
      </c>
      <c r="D11" s="26" t="s">
        <v>1489</v>
      </c>
      <c r="E11" s="34">
        <v>133.69999999999999</v>
      </c>
      <c r="F11" s="33" t="str">
        <f t="shared" si="0"/>
        <v>Regime do país de destino — confirmar quem é o produtor (PPWR art. 44.º)</v>
      </c>
      <c r="G11" s="26" t="s">
        <v>189</v>
      </c>
      <c r="H11" s="43">
        <f>IF(B11="PT",E11*INDEX(tbl_param_emb[Valor],MATCH(G11,tbl_param_emb[ID_Parametro],0)),0)</f>
        <v>0</v>
      </c>
    </row>
    <row r="12" spans="1:8" ht="16.05" customHeight="1" x14ac:dyDescent="0.3">
      <c r="A12" s="41">
        <v>46023</v>
      </c>
      <c r="B12" s="26" t="s">
        <v>1480</v>
      </c>
      <c r="C12" s="26" t="s">
        <v>1490</v>
      </c>
      <c r="D12" s="26" t="s">
        <v>1491</v>
      </c>
      <c r="E12" s="34">
        <v>2.2000000000000002</v>
      </c>
      <c r="F12" s="33" t="str">
        <f t="shared" si="0"/>
        <v>Regime do país de destino — confirmar quem é o produtor (PPWR art. 44.º)</v>
      </c>
      <c r="G12" s="26" t="s">
        <v>193</v>
      </c>
      <c r="H12" s="43">
        <f>IF(B12="PT",E12*INDEX(tbl_param_emb[Valor],MATCH(G12,tbl_param_emb[ID_Parametro],0)),0)</f>
        <v>0</v>
      </c>
    </row>
    <row r="13" spans="1:8" ht="16.05" customHeight="1" x14ac:dyDescent="0.3">
      <c r="A13" s="41">
        <v>46023</v>
      </c>
      <c r="B13" s="26" t="s">
        <v>1480</v>
      </c>
      <c r="C13" s="26" t="s">
        <v>1492</v>
      </c>
      <c r="D13" s="26" t="s">
        <v>1493</v>
      </c>
      <c r="E13" s="34">
        <v>163.5</v>
      </c>
      <c r="F13" s="33" t="str">
        <f t="shared" si="0"/>
        <v>Regime do país de destino — confirmar quem é o produtor (PPWR art. 44.º)</v>
      </c>
      <c r="G13" s="26" t="s">
        <v>195</v>
      </c>
      <c r="H13" s="43">
        <f>IF(B13="PT",E13*INDEX(tbl_param_emb[Valor],MATCH(G13,tbl_param_emb[ID_Parametro],0)),0)</f>
        <v>0</v>
      </c>
    </row>
    <row r="14" spans="1:8" ht="16.05" customHeight="1" x14ac:dyDescent="0.3">
      <c r="A14" s="41">
        <v>46023</v>
      </c>
      <c r="B14" s="26" t="s">
        <v>847</v>
      </c>
      <c r="C14" s="26" t="s">
        <v>1488</v>
      </c>
      <c r="D14" s="26" t="s">
        <v>1489</v>
      </c>
      <c r="E14" s="34">
        <v>1561.6</v>
      </c>
      <c r="F14" s="33" t="str">
        <f t="shared" si="0"/>
        <v>SIGRE — embalagens não urbanas (Plasticom embalador)</v>
      </c>
      <c r="G14" s="26" t="s">
        <v>189</v>
      </c>
      <c r="H14" s="43">
        <f>IF(B14="PT",E14*INDEX(tbl_param_emb[Valor],MATCH(G14,tbl_param_emb[ID_Parametro],0)),0)</f>
        <v>46.847999999999999</v>
      </c>
    </row>
    <row r="15" spans="1:8" ht="16.05" customHeight="1" x14ac:dyDescent="0.3">
      <c r="A15" s="41">
        <v>46023</v>
      </c>
      <c r="B15" s="26" t="s">
        <v>847</v>
      </c>
      <c r="C15" s="26" t="s">
        <v>1490</v>
      </c>
      <c r="D15" s="26" t="s">
        <v>1491</v>
      </c>
      <c r="E15" s="34">
        <v>26</v>
      </c>
      <c r="F15" s="33" t="str">
        <f t="shared" si="0"/>
        <v>SIGRE — embalagens não urbanas (Plasticom embalador)</v>
      </c>
      <c r="G15" s="26" t="s">
        <v>193</v>
      </c>
      <c r="H15" s="43">
        <f>IF(B15="PT",E15*INDEX(tbl_param_emb[Valor],MATCH(G15,tbl_param_emb[ID_Parametro],0)),0)</f>
        <v>2.6</v>
      </c>
    </row>
    <row r="16" spans="1:8" ht="16.05" customHeight="1" x14ac:dyDescent="0.3">
      <c r="A16" s="41">
        <v>46023</v>
      </c>
      <c r="B16" s="26" t="s">
        <v>847</v>
      </c>
      <c r="C16" s="26" t="s">
        <v>1492</v>
      </c>
      <c r="D16" s="26" t="s">
        <v>1493</v>
      </c>
      <c r="E16" s="34">
        <v>1908.6</v>
      </c>
      <c r="F16" s="33" t="str">
        <f t="shared" si="0"/>
        <v>SIGRE — embalagens não urbanas (Plasticom embalador)</v>
      </c>
      <c r="G16" s="26" t="s">
        <v>195</v>
      </c>
      <c r="H16" s="43">
        <f>IF(B16="PT",E16*INDEX(tbl_param_emb[Valor],MATCH(G16,tbl_param_emb[ID_Parametro],0)),0)</f>
        <v>19.085999999999999</v>
      </c>
    </row>
    <row r="17" spans="1:8" ht="16.05" customHeight="1" x14ac:dyDescent="0.3">
      <c r="A17" s="41">
        <v>46023</v>
      </c>
      <c r="B17" s="26" t="s">
        <v>1474</v>
      </c>
      <c r="C17" s="26" t="s">
        <v>1488</v>
      </c>
      <c r="D17" s="26" t="s">
        <v>1489</v>
      </c>
      <c r="E17" s="34">
        <v>368</v>
      </c>
      <c r="F17" s="33" t="str">
        <f t="shared" si="0"/>
        <v>Regime do país de destino — confirmar quem é o produtor (PPWR art. 44.º)</v>
      </c>
      <c r="G17" s="26" t="s">
        <v>189</v>
      </c>
      <c r="H17" s="43">
        <f>IF(B17="PT",E17*INDEX(tbl_param_emb[Valor],MATCH(G17,tbl_param_emb[ID_Parametro],0)),0)</f>
        <v>0</v>
      </c>
    </row>
    <row r="18" spans="1:8" ht="16.05" customHeight="1" x14ac:dyDescent="0.3">
      <c r="A18" s="41">
        <v>46023</v>
      </c>
      <c r="B18" s="26" t="s">
        <v>1474</v>
      </c>
      <c r="C18" s="26" t="s">
        <v>1490</v>
      </c>
      <c r="D18" s="26" t="s">
        <v>1491</v>
      </c>
      <c r="E18" s="34">
        <v>6.1</v>
      </c>
      <c r="F18" s="33" t="str">
        <f t="shared" si="0"/>
        <v>Regime do país de destino — confirmar quem é o produtor (PPWR art. 44.º)</v>
      </c>
      <c r="G18" s="26" t="s">
        <v>193</v>
      </c>
      <c r="H18" s="43">
        <f>IF(B18="PT",E18*INDEX(tbl_param_emb[Valor],MATCH(G18,tbl_param_emb[ID_Parametro],0)),0)</f>
        <v>0</v>
      </c>
    </row>
    <row r="19" spans="1:8" ht="16.05" customHeight="1" x14ac:dyDescent="0.3">
      <c r="A19" s="41">
        <v>46023</v>
      </c>
      <c r="B19" s="26" t="s">
        <v>1474</v>
      </c>
      <c r="C19" s="26" t="s">
        <v>1492</v>
      </c>
      <c r="D19" s="26" t="s">
        <v>1493</v>
      </c>
      <c r="E19" s="34">
        <v>449.8</v>
      </c>
      <c r="F19" s="33" t="str">
        <f t="shared" si="0"/>
        <v>Regime do país de destino — confirmar quem é o produtor (PPWR art. 44.º)</v>
      </c>
      <c r="G19" s="26" t="s">
        <v>195</v>
      </c>
      <c r="H19" s="43">
        <f>IF(B19="PT",E19*INDEX(tbl_param_emb[Valor],MATCH(G19,tbl_param_emb[ID_Parametro],0)),0)</f>
        <v>0</v>
      </c>
    </row>
    <row r="20" spans="1:8" ht="16.05" customHeight="1" x14ac:dyDescent="0.3">
      <c r="A20" s="41">
        <v>46054</v>
      </c>
      <c r="B20" s="26" t="s">
        <v>1476</v>
      </c>
      <c r="C20" s="26" t="s">
        <v>1488</v>
      </c>
      <c r="D20" s="26" t="s">
        <v>1489</v>
      </c>
      <c r="E20" s="34">
        <v>124.6</v>
      </c>
      <c r="F20" s="33" t="str">
        <f t="shared" si="0"/>
        <v>Regime do país de destino — confirmar quem é o produtor (PPWR art. 44.º)</v>
      </c>
      <c r="G20" s="26" t="s">
        <v>189</v>
      </c>
      <c r="H20" s="43">
        <f>IF(B20="PT",E20*INDEX(tbl_param_emb[Valor],MATCH(G20,tbl_param_emb[ID_Parametro],0)),0)</f>
        <v>0</v>
      </c>
    </row>
    <row r="21" spans="1:8" ht="16.05" customHeight="1" x14ac:dyDescent="0.3">
      <c r="A21" s="41">
        <v>46054</v>
      </c>
      <c r="B21" s="26" t="s">
        <v>1476</v>
      </c>
      <c r="C21" s="26" t="s">
        <v>1490</v>
      </c>
      <c r="D21" s="26" t="s">
        <v>1491</v>
      </c>
      <c r="E21" s="34">
        <v>2.1</v>
      </c>
      <c r="F21" s="33" t="str">
        <f t="shared" si="0"/>
        <v>Regime do país de destino — confirmar quem é o produtor (PPWR art. 44.º)</v>
      </c>
      <c r="G21" s="26" t="s">
        <v>193</v>
      </c>
      <c r="H21" s="43">
        <f>IF(B21="PT",E21*INDEX(tbl_param_emb[Valor],MATCH(G21,tbl_param_emb[ID_Parametro],0)),0)</f>
        <v>0</v>
      </c>
    </row>
    <row r="22" spans="1:8" ht="16.05" customHeight="1" x14ac:dyDescent="0.3">
      <c r="A22" s="41">
        <v>46054</v>
      </c>
      <c r="B22" s="26" t="s">
        <v>1476</v>
      </c>
      <c r="C22" s="26" t="s">
        <v>1492</v>
      </c>
      <c r="D22" s="26" t="s">
        <v>1493</v>
      </c>
      <c r="E22" s="34">
        <v>152.30000000000001</v>
      </c>
      <c r="F22" s="33" t="str">
        <f t="shared" si="0"/>
        <v>Regime do país de destino — confirmar quem é o produtor (PPWR art. 44.º)</v>
      </c>
      <c r="G22" s="26" t="s">
        <v>195</v>
      </c>
      <c r="H22" s="43">
        <f>IF(B22="PT",E22*INDEX(tbl_param_emb[Valor],MATCH(G22,tbl_param_emb[ID_Parametro],0)),0)</f>
        <v>0</v>
      </c>
    </row>
    <row r="23" spans="1:8" ht="16.05" customHeight="1" x14ac:dyDescent="0.3">
      <c r="A23" s="41">
        <v>46054</v>
      </c>
      <c r="B23" s="26" t="s">
        <v>1472</v>
      </c>
      <c r="C23" s="26" t="s">
        <v>1488</v>
      </c>
      <c r="D23" s="26" t="s">
        <v>1489</v>
      </c>
      <c r="E23" s="34">
        <v>200.1</v>
      </c>
      <c r="F23" s="33" t="str">
        <f t="shared" si="0"/>
        <v>Regime do país de destino — confirmar quem é o produtor (PPWR art. 44.º)</v>
      </c>
      <c r="G23" s="26" t="s">
        <v>189</v>
      </c>
      <c r="H23" s="43">
        <f>IF(B23="PT",E23*INDEX(tbl_param_emb[Valor],MATCH(G23,tbl_param_emb[ID_Parametro],0)),0)</f>
        <v>0</v>
      </c>
    </row>
    <row r="24" spans="1:8" ht="16.05" customHeight="1" x14ac:dyDescent="0.3">
      <c r="A24" s="41">
        <v>46054</v>
      </c>
      <c r="B24" s="26" t="s">
        <v>1472</v>
      </c>
      <c r="C24" s="26" t="s">
        <v>1490</v>
      </c>
      <c r="D24" s="26" t="s">
        <v>1491</v>
      </c>
      <c r="E24" s="34">
        <v>3.3</v>
      </c>
      <c r="F24" s="33" t="str">
        <f t="shared" si="0"/>
        <v>Regime do país de destino — confirmar quem é o produtor (PPWR art. 44.º)</v>
      </c>
      <c r="G24" s="26" t="s">
        <v>193</v>
      </c>
      <c r="H24" s="43">
        <f>IF(B24="PT",E24*INDEX(tbl_param_emb[Valor],MATCH(G24,tbl_param_emb[ID_Parametro],0)),0)</f>
        <v>0</v>
      </c>
    </row>
    <row r="25" spans="1:8" ht="16.05" customHeight="1" x14ac:dyDescent="0.3">
      <c r="A25" s="41">
        <v>46054</v>
      </c>
      <c r="B25" s="26" t="s">
        <v>1472</v>
      </c>
      <c r="C25" s="26" t="s">
        <v>1492</v>
      </c>
      <c r="D25" s="26" t="s">
        <v>1493</v>
      </c>
      <c r="E25" s="34">
        <v>244.5</v>
      </c>
      <c r="F25" s="33" t="str">
        <f t="shared" si="0"/>
        <v>Regime do país de destino — confirmar quem é o produtor (PPWR art. 44.º)</v>
      </c>
      <c r="G25" s="26" t="s">
        <v>195</v>
      </c>
      <c r="H25" s="43">
        <f>IF(B25="PT",E25*INDEX(tbl_param_emb[Valor],MATCH(G25,tbl_param_emb[ID_Parametro],0)),0)</f>
        <v>0</v>
      </c>
    </row>
    <row r="26" spans="1:8" ht="16.05" customHeight="1" x14ac:dyDescent="0.3">
      <c r="A26" s="41">
        <v>46054</v>
      </c>
      <c r="B26" s="26" t="s">
        <v>1478</v>
      </c>
      <c r="C26" s="26" t="s">
        <v>1488</v>
      </c>
      <c r="D26" s="26" t="s">
        <v>1489</v>
      </c>
      <c r="E26" s="34">
        <v>244.2</v>
      </c>
      <c r="F26" s="33" t="str">
        <f t="shared" si="0"/>
        <v>Regime do país de destino — confirmar quem é o produtor (PPWR art. 44.º)</v>
      </c>
      <c r="G26" s="26" t="s">
        <v>189</v>
      </c>
      <c r="H26" s="43">
        <f>IF(B26="PT",E26*INDEX(tbl_param_emb[Valor],MATCH(G26,tbl_param_emb[ID_Parametro],0)),0)</f>
        <v>0</v>
      </c>
    </row>
    <row r="27" spans="1:8" ht="16.05" customHeight="1" x14ac:dyDescent="0.3">
      <c r="A27" s="41">
        <v>46054</v>
      </c>
      <c r="B27" s="26" t="s">
        <v>1478</v>
      </c>
      <c r="C27" s="26" t="s">
        <v>1490</v>
      </c>
      <c r="D27" s="26" t="s">
        <v>1491</v>
      </c>
      <c r="E27" s="34">
        <v>4.0999999999999996</v>
      </c>
      <c r="F27" s="33" t="str">
        <f t="shared" si="0"/>
        <v>Regime do país de destino — confirmar quem é o produtor (PPWR art. 44.º)</v>
      </c>
      <c r="G27" s="26" t="s">
        <v>193</v>
      </c>
      <c r="H27" s="43">
        <f>IF(B27="PT",E27*INDEX(tbl_param_emb[Valor],MATCH(G27,tbl_param_emb[ID_Parametro],0)),0)</f>
        <v>0</v>
      </c>
    </row>
    <row r="28" spans="1:8" ht="16.05" customHeight="1" x14ac:dyDescent="0.3">
      <c r="A28" s="41">
        <v>46054</v>
      </c>
      <c r="B28" s="26" t="s">
        <v>1478</v>
      </c>
      <c r="C28" s="26" t="s">
        <v>1492</v>
      </c>
      <c r="D28" s="26" t="s">
        <v>1493</v>
      </c>
      <c r="E28" s="34">
        <v>298.5</v>
      </c>
      <c r="F28" s="33" t="str">
        <f t="shared" si="0"/>
        <v>Regime do país de destino — confirmar quem é o produtor (PPWR art. 44.º)</v>
      </c>
      <c r="G28" s="26" t="s">
        <v>195</v>
      </c>
      <c r="H28" s="43">
        <f>IF(B28="PT",E28*INDEX(tbl_param_emb[Valor],MATCH(G28,tbl_param_emb[ID_Parametro],0)),0)</f>
        <v>0</v>
      </c>
    </row>
    <row r="29" spans="1:8" ht="16.05" customHeight="1" x14ac:dyDescent="0.3">
      <c r="A29" s="41">
        <v>46054</v>
      </c>
      <c r="B29" s="26" t="s">
        <v>1480</v>
      </c>
      <c r="C29" s="26" t="s">
        <v>1488</v>
      </c>
      <c r="D29" s="26" t="s">
        <v>1489</v>
      </c>
      <c r="E29" s="34">
        <v>167.8</v>
      </c>
      <c r="F29" s="33" t="str">
        <f t="shared" si="0"/>
        <v>Regime do país de destino — confirmar quem é o produtor (PPWR art. 44.º)</v>
      </c>
      <c r="G29" s="26" t="s">
        <v>189</v>
      </c>
      <c r="H29" s="43">
        <f>IF(B29="PT",E29*INDEX(tbl_param_emb[Valor],MATCH(G29,tbl_param_emb[ID_Parametro],0)),0)</f>
        <v>0</v>
      </c>
    </row>
    <row r="30" spans="1:8" ht="16.05" customHeight="1" x14ac:dyDescent="0.3">
      <c r="A30" s="41">
        <v>46054</v>
      </c>
      <c r="B30" s="26" t="s">
        <v>1480</v>
      </c>
      <c r="C30" s="26" t="s">
        <v>1490</v>
      </c>
      <c r="D30" s="26" t="s">
        <v>1491</v>
      </c>
      <c r="E30" s="34">
        <v>2.8</v>
      </c>
      <c r="F30" s="33" t="str">
        <f t="shared" si="0"/>
        <v>Regime do país de destino — confirmar quem é o produtor (PPWR art. 44.º)</v>
      </c>
      <c r="G30" s="26" t="s">
        <v>193</v>
      </c>
      <c r="H30" s="43">
        <f>IF(B30="PT",E30*INDEX(tbl_param_emb[Valor],MATCH(G30,tbl_param_emb[ID_Parametro],0)),0)</f>
        <v>0</v>
      </c>
    </row>
    <row r="31" spans="1:8" ht="16.05" customHeight="1" x14ac:dyDescent="0.3">
      <c r="A31" s="41">
        <v>46054</v>
      </c>
      <c r="B31" s="26" t="s">
        <v>1480</v>
      </c>
      <c r="C31" s="26" t="s">
        <v>1492</v>
      </c>
      <c r="D31" s="26" t="s">
        <v>1493</v>
      </c>
      <c r="E31" s="34">
        <v>205.1</v>
      </c>
      <c r="F31" s="33" t="str">
        <f t="shared" si="0"/>
        <v>Regime do país de destino — confirmar quem é o produtor (PPWR art. 44.º)</v>
      </c>
      <c r="G31" s="26" t="s">
        <v>195</v>
      </c>
      <c r="H31" s="43">
        <f>IF(B31="PT",E31*INDEX(tbl_param_emb[Valor],MATCH(G31,tbl_param_emb[ID_Parametro],0)),0)</f>
        <v>0</v>
      </c>
    </row>
    <row r="32" spans="1:8" ht="16.05" customHeight="1" x14ac:dyDescent="0.3">
      <c r="A32" s="41">
        <v>46054</v>
      </c>
      <c r="B32" s="26" t="s">
        <v>847</v>
      </c>
      <c r="C32" s="26" t="s">
        <v>1488</v>
      </c>
      <c r="D32" s="26" t="s">
        <v>1489</v>
      </c>
      <c r="E32" s="34">
        <v>1315.1</v>
      </c>
      <c r="F32" s="33" t="str">
        <f t="shared" si="0"/>
        <v>SIGRE — embalagens não urbanas (Plasticom embalador)</v>
      </c>
      <c r="G32" s="26" t="s">
        <v>189</v>
      </c>
      <c r="H32" s="43">
        <f>IF(B32="PT",E32*INDEX(tbl_param_emb[Valor],MATCH(G32,tbl_param_emb[ID_Parametro],0)),0)</f>
        <v>39.452999999999996</v>
      </c>
    </row>
    <row r="33" spans="1:8" ht="16.05" customHeight="1" x14ac:dyDescent="0.3">
      <c r="A33" s="41">
        <v>46054</v>
      </c>
      <c r="B33" s="26" t="s">
        <v>847</v>
      </c>
      <c r="C33" s="26" t="s">
        <v>1490</v>
      </c>
      <c r="D33" s="26" t="s">
        <v>1491</v>
      </c>
      <c r="E33" s="34">
        <v>21.9</v>
      </c>
      <c r="F33" s="33" t="str">
        <f t="shared" si="0"/>
        <v>SIGRE — embalagens não urbanas (Plasticom embalador)</v>
      </c>
      <c r="G33" s="26" t="s">
        <v>193</v>
      </c>
      <c r="H33" s="43">
        <f>IF(B33="PT",E33*INDEX(tbl_param_emb[Valor],MATCH(G33,tbl_param_emb[ID_Parametro],0)),0)</f>
        <v>2.19</v>
      </c>
    </row>
    <row r="34" spans="1:8" ht="16.05" customHeight="1" x14ac:dyDescent="0.3">
      <c r="A34" s="41">
        <v>46054</v>
      </c>
      <c r="B34" s="26" t="s">
        <v>847</v>
      </c>
      <c r="C34" s="26" t="s">
        <v>1492</v>
      </c>
      <c r="D34" s="26" t="s">
        <v>1493</v>
      </c>
      <c r="E34" s="34">
        <v>1607.3</v>
      </c>
      <c r="F34" s="33" t="str">
        <f t="shared" si="0"/>
        <v>SIGRE — embalagens não urbanas (Plasticom embalador)</v>
      </c>
      <c r="G34" s="26" t="s">
        <v>195</v>
      </c>
      <c r="H34" s="43">
        <f>IF(B34="PT",E34*INDEX(tbl_param_emb[Valor],MATCH(G34,tbl_param_emb[ID_Parametro],0)),0)</f>
        <v>16.073</v>
      </c>
    </row>
    <row r="35" spans="1:8" ht="16.05" customHeight="1" x14ac:dyDescent="0.3">
      <c r="A35" s="41">
        <v>46054</v>
      </c>
      <c r="B35" s="26" t="s">
        <v>1474</v>
      </c>
      <c r="C35" s="26" t="s">
        <v>1488</v>
      </c>
      <c r="D35" s="26" t="s">
        <v>1489</v>
      </c>
      <c r="E35" s="34">
        <v>340.1</v>
      </c>
      <c r="F35" s="33" t="str">
        <f t="shared" si="0"/>
        <v>Regime do país de destino — confirmar quem é o produtor (PPWR art. 44.º)</v>
      </c>
      <c r="G35" s="26" t="s">
        <v>189</v>
      </c>
      <c r="H35" s="43">
        <f>IF(B35="PT",E35*INDEX(tbl_param_emb[Valor],MATCH(G35,tbl_param_emb[ID_Parametro],0)),0)</f>
        <v>0</v>
      </c>
    </row>
    <row r="36" spans="1:8" ht="16.05" customHeight="1" x14ac:dyDescent="0.3">
      <c r="A36" s="41">
        <v>46054</v>
      </c>
      <c r="B36" s="26" t="s">
        <v>1474</v>
      </c>
      <c r="C36" s="26" t="s">
        <v>1490</v>
      </c>
      <c r="D36" s="26" t="s">
        <v>1491</v>
      </c>
      <c r="E36" s="34">
        <v>5.7</v>
      </c>
      <c r="F36" s="33" t="str">
        <f t="shared" si="0"/>
        <v>Regime do país de destino — confirmar quem é o produtor (PPWR art. 44.º)</v>
      </c>
      <c r="G36" s="26" t="s">
        <v>193</v>
      </c>
      <c r="H36" s="43">
        <f>IF(B36="PT",E36*INDEX(tbl_param_emb[Valor],MATCH(G36,tbl_param_emb[ID_Parametro],0)),0)</f>
        <v>0</v>
      </c>
    </row>
    <row r="37" spans="1:8" ht="16.05" customHeight="1" x14ac:dyDescent="0.3">
      <c r="A37" s="41">
        <v>46054</v>
      </c>
      <c r="B37" s="26" t="s">
        <v>1474</v>
      </c>
      <c r="C37" s="26" t="s">
        <v>1492</v>
      </c>
      <c r="D37" s="26" t="s">
        <v>1493</v>
      </c>
      <c r="E37" s="34">
        <v>415.7</v>
      </c>
      <c r="F37" s="33" t="str">
        <f t="shared" si="0"/>
        <v>Regime do país de destino — confirmar quem é o produtor (PPWR art. 44.º)</v>
      </c>
      <c r="G37" s="26" t="s">
        <v>195</v>
      </c>
      <c r="H37" s="43">
        <f>IF(B37="PT",E37*INDEX(tbl_param_emb[Valor],MATCH(G37,tbl_param_emb[ID_Parametro],0)),0)</f>
        <v>0</v>
      </c>
    </row>
    <row r="38" spans="1:8" ht="16.05" customHeight="1" x14ac:dyDescent="0.3">
      <c r="A38" s="41">
        <v>46082</v>
      </c>
      <c r="B38" s="26" t="s">
        <v>1476</v>
      </c>
      <c r="C38" s="26" t="s">
        <v>1488</v>
      </c>
      <c r="D38" s="26" t="s">
        <v>1489</v>
      </c>
      <c r="E38" s="34">
        <v>125.7</v>
      </c>
      <c r="F38" s="33" t="str">
        <f t="shared" si="0"/>
        <v>Regime do país de destino — confirmar quem é o produtor (PPWR art. 44.º)</v>
      </c>
      <c r="G38" s="26" t="s">
        <v>189</v>
      </c>
      <c r="H38" s="43">
        <f>IF(B38="PT",E38*INDEX(tbl_param_emb[Valor],MATCH(G38,tbl_param_emb[ID_Parametro],0)),0)</f>
        <v>0</v>
      </c>
    </row>
    <row r="39" spans="1:8" ht="16.05" customHeight="1" x14ac:dyDescent="0.3">
      <c r="A39" s="41">
        <v>46082</v>
      </c>
      <c r="B39" s="26" t="s">
        <v>1476</v>
      </c>
      <c r="C39" s="26" t="s">
        <v>1490</v>
      </c>
      <c r="D39" s="26" t="s">
        <v>1491</v>
      </c>
      <c r="E39" s="34">
        <v>2.1</v>
      </c>
      <c r="F39" s="33" t="str">
        <f t="shared" si="0"/>
        <v>Regime do país de destino — confirmar quem é o produtor (PPWR art. 44.º)</v>
      </c>
      <c r="G39" s="26" t="s">
        <v>193</v>
      </c>
      <c r="H39" s="43">
        <f>IF(B39="PT",E39*INDEX(tbl_param_emb[Valor],MATCH(G39,tbl_param_emb[ID_Parametro],0)),0)</f>
        <v>0</v>
      </c>
    </row>
    <row r="40" spans="1:8" ht="16.05" customHeight="1" x14ac:dyDescent="0.3">
      <c r="A40" s="41">
        <v>46082</v>
      </c>
      <c r="B40" s="26" t="s">
        <v>1476</v>
      </c>
      <c r="C40" s="26" t="s">
        <v>1492</v>
      </c>
      <c r="D40" s="26" t="s">
        <v>1493</v>
      </c>
      <c r="E40" s="34">
        <v>153.6</v>
      </c>
      <c r="F40" s="33" t="str">
        <f t="shared" si="0"/>
        <v>Regime do país de destino — confirmar quem é o produtor (PPWR art. 44.º)</v>
      </c>
      <c r="G40" s="26" t="s">
        <v>195</v>
      </c>
      <c r="H40" s="43">
        <f>IF(B40="PT",E40*INDEX(tbl_param_emb[Valor],MATCH(G40,tbl_param_emb[ID_Parametro],0)),0)</f>
        <v>0</v>
      </c>
    </row>
    <row r="41" spans="1:8" ht="16.05" customHeight="1" x14ac:dyDescent="0.3">
      <c r="A41" s="41">
        <v>46082</v>
      </c>
      <c r="B41" s="26" t="s">
        <v>1472</v>
      </c>
      <c r="C41" s="26" t="s">
        <v>1488</v>
      </c>
      <c r="D41" s="26" t="s">
        <v>1489</v>
      </c>
      <c r="E41" s="34">
        <v>223.2</v>
      </c>
      <c r="F41" s="33" t="str">
        <f t="shared" si="0"/>
        <v>Regime do país de destino — confirmar quem é o produtor (PPWR art. 44.º)</v>
      </c>
      <c r="G41" s="26" t="s">
        <v>189</v>
      </c>
      <c r="H41" s="43">
        <f>IF(B41="PT",E41*INDEX(tbl_param_emb[Valor],MATCH(G41,tbl_param_emb[ID_Parametro],0)),0)</f>
        <v>0</v>
      </c>
    </row>
    <row r="42" spans="1:8" ht="16.05" customHeight="1" x14ac:dyDescent="0.3">
      <c r="A42" s="41">
        <v>46082</v>
      </c>
      <c r="B42" s="26" t="s">
        <v>1472</v>
      </c>
      <c r="C42" s="26" t="s">
        <v>1490</v>
      </c>
      <c r="D42" s="26" t="s">
        <v>1491</v>
      </c>
      <c r="E42" s="34">
        <v>3.7</v>
      </c>
      <c r="F42" s="33" t="str">
        <f t="shared" si="0"/>
        <v>Regime do país de destino — confirmar quem é o produtor (PPWR art. 44.º)</v>
      </c>
      <c r="G42" s="26" t="s">
        <v>193</v>
      </c>
      <c r="H42" s="43">
        <f>IF(B42="PT",E42*INDEX(tbl_param_emb[Valor],MATCH(G42,tbl_param_emb[ID_Parametro],0)),0)</f>
        <v>0</v>
      </c>
    </row>
    <row r="43" spans="1:8" ht="16.05" customHeight="1" x14ac:dyDescent="0.3">
      <c r="A43" s="41">
        <v>46082</v>
      </c>
      <c r="B43" s="26" t="s">
        <v>1472</v>
      </c>
      <c r="C43" s="26" t="s">
        <v>1492</v>
      </c>
      <c r="D43" s="26" t="s">
        <v>1493</v>
      </c>
      <c r="E43" s="34">
        <v>272.8</v>
      </c>
      <c r="F43" s="33" t="str">
        <f t="shared" si="0"/>
        <v>Regime do país de destino — confirmar quem é o produtor (PPWR art. 44.º)</v>
      </c>
      <c r="G43" s="26" t="s">
        <v>195</v>
      </c>
      <c r="H43" s="43">
        <f>IF(B43="PT",E43*INDEX(tbl_param_emb[Valor],MATCH(G43,tbl_param_emb[ID_Parametro],0)),0)</f>
        <v>0</v>
      </c>
    </row>
    <row r="44" spans="1:8" ht="16.05" customHeight="1" x14ac:dyDescent="0.3">
      <c r="A44" s="41">
        <v>46082</v>
      </c>
      <c r="B44" s="26" t="s">
        <v>1478</v>
      </c>
      <c r="C44" s="26" t="s">
        <v>1488</v>
      </c>
      <c r="D44" s="26" t="s">
        <v>1489</v>
      </c>
      <c r="E44" s="34">
        <v>301.10000000000002</v>
      </c>
      <c r="F44" s="33" t="str">
        <f t="shared" si="0"/>
        <v>Regime do país de destino — confirmar quem é o produtor (PPWR art. 44.º)</v>
      </c>
      <c r="G44" s="26" t="s">
        <v>189</v>
      </c>
      <c r="H44" s="43">
        <f>IF(B44="PT",E44*INDEX(tbl_param_emb[Valor],MATCH(G44,tbl_param_emb[ID_Parametro],0)),0)</f>
        <v>0</v>
      </c>
    </row>
    <row r="45" spans="1:8" ht="16.05" customHeight="1" x14ac:dyDescent="0.3">
      <c r="A45" s="41">
        <v>46082</v>
      </c>
      <c r="B45" s="26" t="s">
        <v>1478</v>
      </c>
      <c r="C45" s="26" t="s">
        <v>1490</v>
      </c>
      <c r="D45" s="26" t="s">
        <v>1491</v>
      </c>
      <c r="E45" s="34">
        <v>5</v>
      </c>
      <c r="F45" s="33" t="str">
        <f t="shared" si="0"/>
        <v>Regime do país de destino — confirmar quem é o produtor (PPWR art. 44.º)</v>
      </c>
      <c r="G45" s="26" t="s">
        <v>193</v>
      </c>
      <c r="H45" s="43">
        <f>IF(B45="PT",E45*INDEX(tbl_param_emb[Valor],MATCH(G45,tbl_param_emb[ID_Parametro],0)),0)</f>
        <v>0</v>
      </c>
    </row>
    <row r="46" spans="1:8" ht="16.05" customHeight="1" x14ac:dyDescent="0.3">
      <c r="A46" s="41">
        <v>46082</v>
      </c>
      <c r="B46" s="26" t="s">
        <v>1478</v>
      </c>
      <c r="C46" s="26" t="s">
        <v>1492</v>
      </c>
      <c r="D46" s="26" t="s">
        <v>1493</v>
      </c>
      <c r="E46" s="34">
        <v>368.1</v>
      </c>
      <c r="F46" s="33" t="str">
        <f t="shared" si="0"/>
        <v>Regime do país de destino — confirmar quem é o produtor (PPWR art. 44.º)</v>
      </c>
      <c r="G46" s="26" t="s">
        <v>195</v>
      </c>
      <c r="H46" s="43">
        <f>IF(B46="PT",E46*INDEX(tbl_param_emb[Valor],MATCH(G46,tbl_param_emb[ID_Parametro],0)),0)</f>
        <v>0</v>
      </c>
    </row>
    <row r="47" spans="1:8" ht="16.05" customHeight="1" x14ac:dyDescent="0.3">
      <c r="A47" s="41">
        <v>46082</v>
      </c>
      <c r="B47" s="26" t="s">
        <v>1480</v>
      </c>
      <c r="C47" s="26" t="s">
        <v>1488</v>
      </c>
      <c r="D47" s="26" t="s">
        <v>1489</v>
      </c>
      <c r="E47" s="34">
        <v>170.2</v>
      </c>
      <c r="F47" s="33" t="str">
        <f t="shared" si="0"/>
        <v>Regime do país de destino — confirmar quem é o produtor (PPWR art. 44.º)</v>
      </c>
      <c r="G47" s="26" t="s">
        <v>189</v>
      </c>
      <c r="H47" s="43">
        <f>IF(B47="PT",E47*INDEX(tbl_param_emb[Valor],MATCH(G47,tbl_param_emb[ID_Parametro],0)),0)</f>
        <v>0</v>
      </c>
    </row>
    <row r="48" spans="1:8" ht="16.05" customHeight="1" x14ac:dyDescent="0.3">
      <c r="A48" s="41">
        <v>46082</v>
      </c>
      <c r="B48" s="26" t="s">
        <v>1480</v>
      </c>
      <c r="C48" s="26" t="s">
        <v>1490</v>
      </c>
      <c r="D48" s="26" t="s">
        <v>1491</v>
      </c>
      <c r="E48" s="34">
        <v>2.8</v>
      </c>
      <c r="F48" s="33" t="str">
        <f t="shared" si="0"/>
        <v>Regime do país de destino — confirmar quem é o produtor (PPWR art. 44.º)</v>
      </c>
      <c r="G48" s="26" t="s">
        <v>193</v>
      </c>
      <c r="H48" s="43">
        <f>IF(B48="PT",E48*INDEX(tbl_param_emb[Valor],MATCH(G48,tbl_param_emb[ID_Parametro],0)),0)</f>
        <v>0</v>
      </c>
    </row>
    <row r="49" spans="1:8" ht="16.05" customHeight="1" x14ac:dyDescent="0.3">
      <c r="A49" s="41">
        <v>46082</v>
      </c>
      <c r="B49" s="26" t="s">
        <v>1480</v>
      </c>
      <c r="C49" s="26" t="s">
        <v>1492</v>
      </c>
      <c r="D49" s="26" t="s">
        <v>1493</v>
      </c>
      <c r="E49" s="34">
        <v>208</v>
      </c>
      <c r="F49" s="33" t="str">
        <f t="shared" si="0"/>
        <v>Regime do país de destino — confirmar quem é o produtor (PPWR art. 44.º)</v>
      </c>
      <c r="G49" s="26" t="s">
        <v>195</v>
      </c>
      <c r="H49" s="43">
        <f>IF(B49="PT",E49*INDEX(tbl_param_emb[Valor],MATCH(G49,tbl_param_emb[ID_Parametro],0)),0)</f>
        <v>0</v>
      </c>
    </row>
    <row r="50" spans="1:8" ht="16.05" customHeight="1" x14ac:dyDescent="0.3">
      <c r="A50" s="41">
        <v>46082</v>
      </c>
      <c r="B50" s="26" t="s">
        <v>847</v>
      </c>
      <c r="C50" s="26" t="s">
        <v>1488</v>
      </c>
      <c r="D50" s="26" t="s">
        <v>1489</v>
      </c>
      <c r="E50" s="34">
        <v>1362.9</v>
      </c>
      <c r="F50" s="33" t="str">
        <f t="shared" si="0"/>
        <v>SIGRE — embalagens não urbanas (Plasticom embalador)</v>
      </c>
      <c r="G50" s="26" t="s">
        <v>189</v>
      </c>
      <c r="H50" s="43">
        <f>IF(B50="PT",E50*INDEX(tbl_param_emb[Valor],MATCH(G50,tbl_param_emb[ID_Parametro],0)),0)</f>
        <v>40.887</v>
      </c>
    </row>
    <row r="51" spans="1:8" ht="16.05" customHeight="1" x14ac:dyDescent="0.3">
      <c r="A51" s="41">
        <v>46082</v>
      </c>
      <c r="B51" s="26" t="s">
        <v>847</v>
      </c>
      <c r="C51" s="26" t="s">
        <v>1490</v>
      </c>
      <c r="D51" s="26" t="s">
        <v>1491</v>
      </c>
      <c r="E51" s="34">
        <v>22.7</v>
      </c>
      <c r="F51" s="33" t="str">
        <f t="shared" si="0"/>
        <v>SIGRE — embalagens não urbanas (Plasticom embalador)</v>
      </c>
      <c r="G51" s="26" t="s">
        <v>193</v>
      </c>
      <c r="H51" s="43">
        <f>IF(B51="PT",E51*INDEX(tbl_param_emb[Valor],MATCH(G51,tbl_param_emb[ID_Parametro],0)),0)</f>
        <v>2.27</v>
      </c>
    </row>
    <row r="52" spans="1:8" ht="16.05" customHeight="1" x14ac:dyDescent="0.3">
      <c r="A52" s="41">
        <v>46082</v>
      </c>
      <c r="B52" s="26" t="s">
        <v>847</v>
      </c>
      <c r="C52" s="26" t="s">
        <v>1492</v>
      </c>
      <c r="D52" s="26" t="s">
        <v>1493</v>
      </c>
      <c r="E52" s="34">
        <v>1665.8</v>
      </c>
      <c r="F52" s="33" t="str">
        <f t="shared" si="0"/>
        <v>SIGRE — embalagens não urbanas (Plasticom embalador)</v>
      </c>
      <c r="G52" s="26" t="s">
        <v>195</v>
      </c>
      <c r="H52" s="43">
        <f>IF(B52="PT",E52*INDEX(tbl_param_emb[Valor],MATCH(G52,tbl_param_emb[ID_Parametro],0)),0)</f>
        <v>16.658000000000001</v>
      </c>
    </row>
    <row r="53" spans="1:8" ht="16.05" customHeight="1" x14ac:dyDescent="0.3">
      <c r="A53" s="41">
        <v>46082</v>
      </c>
      <c r="B53" s="26" t="s">
        <v>1474</v>
      </c>
      <c r="C53" s="26" t="s">
        <v>1488</v>
      </c>
      <c r="D53" s="26" t="s">
        <v>1489</v>
      </c>
      <c r="E53" s="34">
        <v>338</v>
      </c>
      <c r="F53" s="33" t="str">
        <f t="shared" si="0"/>
        <v>Regime do país de destino — confirmar quem é o produtor (PPWR art. 44.º)</v>
      </c>
      <c r="G53" s="26" t="s">
        <v>189</v>
      </c>
      <c r="H53" s="43">
        <f>IF(B53="PT",E53*INDEX(tbl_param_emb[Valor],MATCH(G53,tbl_param_emb[ID_Parametro],0)),0)</f>
        <v>0</v>
      </c>
    </row>
    <row r="54" spans="1:8" ht="16.05" customHeight="1" x14ac:dyDescent="0.3">
      <c r="A54" s="41">
        <v>46082</v>
      </c>
      <c r="B54" s="26" t="s">
        <v>1474</v>
      </c>
      <c r="C54" s="26" t="s">
        <v>1490</v>
      </c>
      <c r="D54" s="26" t="s">
        <v>1491</v>
      </c>
      <c r="E54" s="34">
        <v>5.6</v>
      </c>
      <c r="F54" s="33" t="str">
        <f t="shared" si="0"/>
        <v>Regime do país de destino — confirmar quem é o produtor (PPWR art. 44.º)</v>
      </c>
      <c r="G54" s="26" t="s">
        <v>193</v>
      </c>
      <c r="H54" s="43">
        <f>IF(B54="PT",E54*INDEX(tbl_param_emb[Valor],MATCH(G54,tbl_param_emb[ID_Parametro],0)),0)</f>
        <v>0</v>
      </c>
    </row>
    <row r="55" spans="1:8" ht="16.05" customHeight="1" x14ac:dyDescent="0.3">
      <c r="A55" s="41">
        <v>46082</v>
      </c>
      <c r="B55" s="26" t="s">
        <v>1474</v>
      </c>
      <c r="C55" s="26" t="s">
        <v>1492</v>
      </c>
      <c r="D55" s="26" t="s">
        <v>1493</v>
      </c>
      <c r="E55" s="34">
        <v>413.1</v>
      </c>
      <c r="F55" s="33" t="str">
        <f t="shared" si="0"/>
        <v>Regime do país de destino — confirmar quem é o produtor (PPWR art. 44.º)</v>
      </c>
      <c r="G55" s="26" t="s">
        <v>195</v>
      </c>
      <c r="H55" s="43">
        <f>IF(B55="PT",E55*INDEX(tbl_param_emb[Valor],MATCH(G55,tbl_param_emb[ID_Parametro],0)),0)</f>
        <v>0</v>
      </c>
    </row>
    <row r="56" spans="1:8" ht="16.05" customHeight="1" x14ac:dyDescent="0.3">
      <c r="A56" s="41">
        <v>46113</v>
      </c>
      <c r="B56" s="26" t="s">
        <v>1476</v>
      </c>
      <c r="C56" s="26" t="s">
        <v>1488</v>
      </c>
      <c r="D56" s="26" t="s">
        <v>1489</v>
      </c>
      <c r="E56" s="34">
        <v>132.9</v>
      </c>
      <c r="F56" s="33" t="str">
        <f t="shared" si="0"/>
        <v>Regime do país de destino — confirmar quem é o produtor (PPWR art. 44.º)</v>
      </c>
      <c r="G56" s="26" t="s">
        <v>189</v>
      </c>
      <c r="H56" s="43">
        <f>IF(B56="PT",E56*INDEX(tbl_param_emb[Valor],MATCH(G56,tbl_param_emb[ID_Parametro],0)),0)</f>
        <v>0</v>
      </c>
    </row>
    <row r="57" spans="1:8" ht="16.05" customHeight="1" x14ac:dyDescent="0.3">
      <c r="A57" s="41">
        <v>46113</v>
      </c>
      <c r="B57" s="26" t="s">
        <v>1476</v>
      </c>
      <c r="C57" s="26" t="s">
        <v>1490</v>
      </c>
      <c r="D57" s="26" t="s">
        <v>1491</v>
      </c>
      <c r="E57" s="34">
        <v>2.2000000000000002</v>
      </c>
      <c r="F57" s="33" t="str">
        <f t="shared" si="0"/>
        <v>Regime do país de destino — confirmar quem é o produtor (PPWR art. 44.º)</v>
      </c>
      <c r="G57" s="26" t="s">
        <v>193</v>
      </c>
      <c r="H57" s="43">
        <f>IF(B57="PT",E57*INDEX(tbl_param_emb[Valor],MATCH(G57,tbl_param_emb[ID_Parametro],0)),0)</f>
        <v>0</v>
      </c>
    </row>
    <row r="58" spans="1:8" ht="16.05" customHeight="1" x14ac:dyDescent="0.3">
      <c r="A58" s="41">
        <v>46113</v>
      </c>
      <c r="B58" s="26" t="s">
        <v>1476</v>
      </c>
      <c r="C58" s="26" t="s">
        <v>1492</v>
      </c>
      <c r="D58" s="26" t="s">
        <v>1493</v>
      </c>
      <c r="E58" s="34">
        <v>162.4</v>
      </c>
      <c r="F58" s="33" t="str">
        <f t="shared" si="0"/>
        <v>Regime do país de destino — confirmar quem é o produtor (PPWR art. 44.º)</v>
      </c>
      <c r="G58" s="26" t="s">
        <v>195</v>
      </c>
      <c r="H58" s="43">
        <f>IF(B58="PT",E58*INDEX(tbl_param_emb[Valor],MATCH(G58,tbl_param_emb[ID_Parametro],0)),0)</f>
        <v>0</v>
      </c>
    </row>
    <row r="59" spans="1:8" ht="16.05" customHeight="1" x14ac:dyDescent="0.3">
      <c r="A59" s="41">
        <v>46113</v>
      </c>
      <c r="B59" s="26" t="s">
        <v>1472</v>
      </c>
      <c r="C59" s="26" t="s">
        <v>1488</v>
      </c>
      <c r="D59" s="26" t="s">
        <v>1489</v>
      </c>
      <c r="E59" s="34">
        <v>197.4</v>
      </c>
      <c r="F59" s="33" t="str">
        <f t="shared" si="0"/>
        <v>Regime do país de destino — confirmar quem é o produtor (PPWR art. 44.º)</v>
      </c>
      <c r="G59" s="26" t="s">
        <v>189</v>
      </c>
      <c r="H59" s="43">
        <f>IF(B59="PT",E59*INDEX(tbl_param_emb[Valor],MATCH(G59,tbl_param_emb[ID_Parametro],0)),0)</f>
        <v>0</v>
      </c>
    </row>
    <row r="60" spans="1:8" ht="16.05" customHeight="1" x14ac:dyDescent="0.3">
      <c r="A60" s="41">
        <v>46113</v>
      </c>
      <c r="B60" s="26" t="s">
        <v>1472</v>
      </c>
      <c r="C60" s="26" t="s">
        <v>1490</v>
      </c>
      <c r="D60" s="26" t="s">
        <v>1491</v>
      </c>
      <c r="E60" s="34">
        <v>3.3</v>
      </c>
      <c r="F60" s="33" t="str">
        <f t="shared" si="0"/>
        <v>Regime do país de destino — confirmar quem é o produtor (PPWR art. 44.º)</v>
      </c>
      <c r="G60" s="26" t="s">
        <v>193</v>
      </c>
      <c r="H60" s="43">
        <f>IF(B60="PT",E60*INDEX(tbl_param_emb[Valor],MATCH(G60,tbl_param_emb[ID_Parametro],0)),0)</f>
        <v>0</v>
      </c>
    </row>
    <row r="61" spans="1:8" ht="16.05" customHeight="1" x14ac:dyDescent="0.3">
      <c r="A61" s="41">
        <v>46113</v>
      </c>
      <c r="B61" s="26" t="s">
        <v>1472</v>
      </c>
      <c r="C61" s="26" t="s">
        <v>1492</v>
      </c>
      <c r="D61" s="26" t="s">
        <v>1493</v>
      </c>
      <c r="E61" s="34">
        <v>241.2</v>
      </c>
      <c r="F61" s="33" t="str">
        <f t="shared" si="0"/>
        <v>Regime do país de destino — confirmar quem é o produtor (PPWR art. 44.º)</v>
      </c>
      <c r="G61" s="26" t="s">
        <v>195</v>
      </c>
      <c r="H61" s="43">
        <f>IF(B61="PT",E61*INDEX(tbl_param_emb[Valor],MATCH(G61,tbl_param_emb[ID_Parametro],0)),0)</f>
        <v>0</v>
      </c>
    </row>
    <row r="62" spans="1:8" ht="16.05" customHeight="1" x14ac:dyDescent="0.3">
      <c r="A62" s="41">
        <v>46113</v>
      </c>
      <c r="B62" s="26" t="s">
        <v>1478</v>
      </c>
      <c r="C62" s="26" t="s">
        <v>1488</v>
      </c>
      <c r="D62" s="26" t="s">
        <v>1489</v>
      </c>
      <c r="E62" s="34">
        <v>131.4</v>
      </c>
      <c r="F62" s="33" t="str">
        <f t="shared" si="0"/>
        <v>Regime do país de destino — confirmar quem é o produtor (PPWR art. 44.º)</v>
      </c>
      <c r="G62" s="26" t="s">
        <v>189</v>
      </c>
      <c r="H62" s="43">
        <f>IF(B62="PT",E62*INDEX(tbl_param_emb[Valor],MATCH(G62,tbl_param_emb[ID_Parametro],0)),0)</f>
        <v>0</v>
      </c>
    </row>
    <row r="63" spans="1:8" ht="16.05" customHeight="1" x14ac:dyDescent="0.3">
      <c r="A63" s="41">
        <v>46113</v>
      </c>
      <c r="B63" s="26" t="s">
        <v>1478</v>
      </c>
      <c r="C63" s="26" t="s">
        <v>1490</v>
      </c>
      <c r="D63" s="26" t="s">
        <v>1491</v>
      </c>
      <c r="E63" s="34">
        <v>2.2000000000000002</v>
      </c>
      <c r="F63" s="33" t="str">
        <f t="shared" si="0"/>
        <v>Regime do país de destino — confirmar quem é o produtor (PPWR art. 44.º)</v>
      </c>
      <c r="G63" s="26" t="s">
        <v>193</v>
      </c>
      <c r="H63" s="43">
        <f>IF(B63="PT",E63*INDEX(tbl_param_emb[Valor],MATCH(G63,tbl_param_emb[ID_Parametro],0)),0)</f>
        <v>0</v>
      </c>
    </row>
    <row r="64" spans="1:8" ht="16.05" customHeight="1" x14ac:dyDescent="0.3">
      <c r="A64" s="41">
        <v>46113</v>
      </c>
      <c r="B64" s="26" t="s">
        <v>1478</v>
      </c>
      <c r="C64" s="26" t="s">
        <v>1492</v>
      </c>
      <c r="D64" s="26" t="s">
        <v>1493</v>
      </c>
      <c r="E64" s="34">
        <v>160.6</v>
      </c>
      <c r="F64" s="33" t="str">
        <f t="shared" si="0"/>
        <v>Regime do país de destino — confirmar quem é o produtor (PPWR art. 44.º)</v>
      </c>
      <c r="G64" s="26" t="s">
        <v>195</v>
      </c>
      <c r="H64" s="43">
        <f>IF(B64="PT",E64*INDEX(tbl_param_emb[Valor],MATCH(G64,tbl_param_emb[ID_Parametro],0)),0)</f>
        <v>0</v>
      </c>
    </row>
    <row r="65" spans="1:8" ht="16.05" customHeight="1" x14ac:dyDescent="0.3">
      <c r="A65" s="41">
        <v>46113</v>
      </c>
      <c r="B65" s="26" t="s">
        <v>1480</v>
      </c>
      <c r="C65" s="26" t="s">
        <v>1488</v>
      </c>
      <c r="D65" s="26" t="s">
        <v>1489</v>
      </c>
      <c r="E65" s="34">
        <v>269.7</v>
      </c>
      <c r="F65" s="33" t="str">
        <f t="shared" si="0"/>
        <v>Regime do país de destino — confirmar quem é o produtor (PPWR art. 44.º)</v>
      </c>
      <c r="G65" s="26" t="s">
        <v>189</v>
      </c>
      <c r="H65" s="43">
        <f>IF(B65="PT",E65*INDEX(tbl_param_emb[Valor],MATCH(G65,tbl_param_emb[ID_Parametro],0)),0)</f>
        <v>0</v>
      </c>
    </row>
    <row r="66" spans="1:8" ht="16.05" customHeight="1" x14ac:dyDescent="0.3">
      <c r="A66" s="41">
        <v>46113</v>
      </c>
      <c r="B66" s="26" t="s">
        <v>1480</v>
      </c>
      <c r="C66" s="26" t="s">
        <v>1490</v>
      </c>
      <c r="D66" s="26" t="s">
        <v>1491</v>
      </c>
      <c r="E66" s="34">
        <v>4.5</v>
      </c>
      <c r="F66" s="33" t="str">
        <f t="shared" ref="F66:F129" si="1">IF(B66="PT","SIGRE — embalagens não urbanas (Plasticom embalador)","Regime do país de destino — confirmar quem é o produtor (PPWR art. 44.º)")</f>
        <v>Regime do país de destino — confirmar quem é o produtor (PPWR art. 44.º)</v>
      </c>
      <c r="G66" s="26" t="s">
        <v>193</v>
      </c>
      <c r="H66" s="43">
        <f>IF(B66="PT",E66*INDEX(tbl_param_emb[Valor],MATCH(G66,tbl_param_emb[ID_Parametro],0)),0)</f>
        <v>0</v>
      </c>
    </row>
    <row r="67" spans="1:8" ht="16.05" customHeight="1" x14ac:dyDescent="0.3">
      <c r="A67" s="41">
        <v>46113</v>
      </c>
      <c r="B67" s="26" t="s">
        <v>1480</v>
      </c>
      <c r="C67" s="26" t="s">
        <v>1492</v>
      </c>
      <c r="D67" s="26" t="s">
        <v>1493</v>
      </c>
      <c r="E67" s="34">
        <v>329.7</v>
      </c>
      <c r="F67" s="33" t="str">
        <f t="shared" si="1"/>
        <v>Regime do país de destino — confirmar quem é o produtor (PPWR art. 44.º)</v>
      </c>
      <c r="G67" s="26" t="s">
        <v>195</v>
      </c>
      <c r="H67" s="43">
        <f>IF(B67="PT",E67*INDEX(tbl_param_emb[Valor],MATCH(G67,tbl_param_emb[ID_Parametro],0)),0)</f>
        <v>0</v>
      </c>
    </row>
    <row r="68" spans="1:8" ht="16.05" customHeight="1" x14ac:dyDescent="0.3">
      <c r="A68" s="41">
        <v>46113</v>
      </c>
      <c r="B68" s="26" t="s">
        <v>847</v>
      </c>
      <c r="C68" s="26" t="s">
        <v>1488</v>
      </c>
      <c r="D68" s="26" t="s">
        <v>1489</v>
      </c>
      <c r="E68" s="34">
        <v>1479.8</v>
      </c>
      <c r="F68" s="33" t="str">
        <f t="shared" si="1"/>
        <v>SIGRE — embalagens não urbanas (Plasticom embalador)</v>
      </c>
      <c r="G68" s="26" t="s">
        <v>189</v>
      </c>
      <c r="H68" s="43">
        <f>IF(B68="PT",E68*INDEX(tbl_param_emb[Valor],MATCH(G68,tbl_param_emb[ID_Parametro],0)),0)</f>
        <v>44.393999999999998</v>
      </c>
    </row>
    <row r="69" spans="1:8" ht="16.05" customHeight="1" x14ac:dyDescent="0.3">
      <c r="A69" s="41">
        <v>46113</v>
      </c>
      <c r="B69" s="26" t="s">
        <v>847</v>
      </c>
      <c r="C69" s="26" t="s">
        <v>1490</v>
      </c>
      <c r="D69" s="26" t="s">
        <v>1491</v>
      </c>
      <c r="E69" s="34">
        <v>24.7</v>
      </c>
      <c r="F69" s="33" t="str">
        <f t="shared" si="1"/>
        <v>SIGRE — embalagens não urbanas (Plasticom embalador)</v>
      </c>
      <c r="G69" s="26" t="s">
        <v>193</v>
      </c>
      <c r="H69" s="43">
        <f>IF(B69="PT",E69*INDEX(tbl_param_emb[Valor],MATCH(G69,tbl_param_emb[ID_Parametro],0)),0)</f>
        <v>2.4700000000000002</v>
      </c>
    </row>
    <row r="70" spans="1:8" ht="16.05" customHeight="1" x14ac:dyDescent="0.3">
      <c r="A70" s="41">
        <v>46113</v>
      </c>
      <c r="B70" s="26" t="s">
        <v>847</v>
      </c>
      <c r="C70" s="26" t="s">
        <v>1492</v>
      </c>
      <c r="D70" s="26" t="s">
        <v>1493</v>
      </c>
      <c r="E70" s="34">
        <v>1808.6</v>
      </c>
      <c r="F70" s="33" t="str">
        <f t="shared" si="1"/>
        <v>SIGRE — embalagens não urbanas (Plasticom embalador)</v>
      </c>
      <c r="G70" s="26" t="s">
        <v>195</v>
      </c>
      <c r="H70" s="43">
        <f>IF(B70="PT",E70*INDEX(tbl_param_emb[Valor],MATCH(G70,tbl_param_emb[ID_Parametro],0)),0)</f>
        <v>18.085999999999999</v>
      </c>
    </row>
    <row r="71" spans="1:8" ht="16.05" customHeight="1" x14ac:dyDescent="0.3">
      <c r="A71" s="41">
        <v>46113</v>
      </c>
      <c r="B71" s="26" t="s">
        <v>1474</v>
      </c>
      <c r="C71" s="26" t="s">
        <v>1488</v>
      </c>
      <c r="D71" s="26" t="s">
        <v>1489</v>
      </c>
      <c r="E71" s="34">
        <v>337.9</v>
      </c>
      <c r="F71" s="33" t="str">
        <f t="shared" si="1"/>
        <v>Regime do país de destino — confirmar quem é o produtor (PPWR art. 44.º)</v>
      </c>
      <c r="G71" s="26" t="s">
        <v>189</v>
      </c>
      <c r="H71" s="43">
        <f>IF(B71="PT",E71*INDEX(tbl_param_emb[Valor],MATCH(G71,tbl_param_emb[ID_Parametro],0)),0)</f>
        <v>0</v>
      </c>
    </row>
    <row r="72" spans="1:8" ht="16.05" customHeight="1" x14ac:dyDescent="0.3">
      <c r="A72" s="41">
        <v>46113</v>
      </c>
      <c r="B72" s="26" t="s">
        <v>1474</v>
      </c>
      <c r="C72" s="26" t="s">
        <v>1490</v>
      </c>
      <c r="D72" s="26" t="s">
        <v>1491</v>
      </c>
      <c r="E72" s="34">
        <v>5.6</v>
      </c>
      <c r="F72" s="33" t="str">
        <f t="shared" si="1"/>
        <v>Regime do país de destino — confirmar quem é o produtor (PPWR art. 44.º)</v>
      </c>
      <c r="G72" s="26" t="s">
        <v>193</v>
      </c>
      <c r="H72" s="43">
        <f>IF(B72="PT",E72*INDEX(tbl_param_emb[Valor],MATCH(G72,tbl_param_emb[ID_Parametro],0)),0)</f>
        <v>0</v>
      </c>
    </row>
    <row r="73" spans="1:8" ht="16.05" customHeight="1" x14ac:dyDescent="0.3">
      <c r="A73" s="41">
        <v>46113</v>
      </c>
      <c r="B73" s="26" t="s">
        <v>1474</v>
      </c>
      <c r="C73" s="26" t="s">
        <v>1492</v>
      </c>
      <c r="D73" s="26" t="s">
        <v>1493</v>
      </c>
      <c r="E73" s="34">
        <v>413</v>
      </c>
      <c r="F73" s="33" t="str">
        <f t="shared" si="1"/>
        <v>Regime do país de destino — confirmar quem é o produtor (PPWR art. 44.º)</v>
      </c>
      <c r="G73" s="26" t="s">
        <v>195</v>
      </c>
      <c r="H73" s="43">
        <f>IF(B73="PT",E73*INDEX(tbl_param_emb[Valor],MATCH(G73,tbl_param_emb[ID_Parametro],0)),0)</f>
        <v>0</v>
      </c>
    </row>
    <row r="74" spans="1:8" ht="16.05" customHeight="1" x14ac:dyDescent="0.3">
      <c r="A74" s="41">
        <v>46143</v>
      </c>
      <c r="B74" s="26" t="s">
        <v>1476</v>
      </c>
      <c r="C74" s="26" t="s">
        <v>1488</v>
      </c>
      <c r="D74" s="26" t="s">
        <v>1489</v>
      </c>
      <c r="E74" s="34">
        <v>148.9</v>
      </c>
      <c r="F74" s="33" t="str">
        <f t="shared" si="1"/>
        <v>Regime do país de destino — confirmar quem é o produtor (PPWR art. 44.º)</v>
      </c>
      <c r="G74" s="26" t="s">
        <v>189</v>
      </c>
      <c r="H74" s="43">
        <f>IF(B74="PT",E74*INDEX(tbl_param_emb[Valor],MATCH(G74,tbl_param_emb[ID_Parametro],0)),0)</f>
        <v>0</v>
      </c>
    </row>
    <row r="75" spans="1:8" ht="16.05" customHeight="1" x14ac:dyDescent="0.3">
      <c r="A75" s="41">
        <v>46143</v>
      </c>
      <c r="B75" s="26" t="s">
        <v>1476</v>
      </c>
      <c r="C75" s="26" t="s">
        <v>1490</v>
      </c>
      <c r="D75" s="26" t="s">
        <v>1491</v>
      </c>
      <c r="E75" s="34">
        <v>2.5</v>
      </c>
      <c r="F75" s="33" t="str">
        <f t="shared" si="1"/>
        <v>Regime do país de destino — confirmar quem é o produtor (PPWR art. 44.º)</v>
      </c>
      <c r="G75" s="26" t="s">
        <v>193</v>
      </c>
      <c r="H75" s="43">
        <f>IF(B75="PT",E75*INDEX(tbl_param_emb[Valor],MATCH(G75,tbl_param_emb[ID_Parametro],0)),0)</f>
        <v>0</v>
      </c>
    </row>
    <row r="76" spans="1:8" ht="16.05" customHeight="1" x14ac:dyDescent="0.3">
      <c r="A76" s="41">
        <v>46143</v>
      </c>
      <c r="B76" s="26" t="s">
        <v>1476</v>
      </c>
      <c r="C76" s="26" t="s">
        <v>1492</v>
      </c>
      <c r="D76" s="26" t="s">
        <v>1493</v>
      </c>
      <c r="E76" s="34">
        <v>182</v>
      </c>
      <c r="F76" s="33" t="str">
        <f t="shared" si="1"/>
        <v>Regime do país de destino — confirmar quem é o produtor (PPWR art. 44.º)</v>
      </c>
      <c r="G76" s="26" t="s">
        <v>195</v>
      </c>
      <c r="H76" s="43">
        <f>IF(B76="PT",E76*INDEX(tbl_param_emb[Valor],MATCH(G76,tbl_param_emb[ID_Parametro],0)),0)</f>
        <v>0</v>
      </c>
    </row>
    <row r="77" spans="1:8" ht="16.05" customHeight="1" x14ac:dyDescent="0.3">
      <c r="A77" s="41">
        <v>46143</v>
      </c>
      <c r="B77" s="26" t="s">
        <v>1472</v>
      </c>
      <c r="C77" s="26" t="s">
        <v>1488</v>
      </c>
      <c r="D77" s="26" t="s">
        <v>1489</v>
      </c>
      <c r="E77" s="34">
        <v>170.5</v>
      </c>
      <c r="F77" s="33" t="str">
        <f t="shared" si="1"/>
        <v>Regime do país de destino — confirmar quem é o produtor (PPWR art. 44.º)</v>
      </c>
      <c r="G77" s="26" t="s">
        <v>189</v>
      </c>
      <c r="H77" s="43">
        <f>IF(B77="PT",E77*INDEX(tbl_param_emb[Valor],MATCH(G77,tbl_param_emb[ID_Parametro],0)),0)</f>
        <v>0</v>
      </c>
    </row>
    <row r="78" spans="1:8" ht="16.05" customHeight="1" x14ac:dyDescent="0.3">
      <c r="A78" s="41">
        <v>46143</v>
      </c>
      <c r="B78" s="26" t="s">
        <v>1472</v>
      </c>
      <c r="C78" s="26" t="s">
        <v>1490</v>
      </c>
      <c r="D78" s="26" t="s">
        <v>1491</v>
      </c>
      <c r="E78" s="34">
        <v>2.8</v>
      </c>
      <c r="F78" s="33" t="str">
        <f t="shared" si="1"/>
        <v>Regime do país de destino — confirmar quem é o produtor (PPWR art. 44.º)</v>
      </c>
      <c r="G78" s="26" t="s">
        <v>193</v>
      </c>
      <c r="H78" s="43">
        <f>IF(B78="PT",E78*INDEX(tbl_param_emb[Valor],MATCH(G78,tbl_param_emb[ID_Parametro],0)),0)</f>
        <v>0</v>
      </c>
    </row>
    <row r="79" spans="1:8" ht="16.05" customHeight="1" x14ac:dyDescent="0.3">
      <c r="A79" s="41">
        <v>46143</v>
      </c>
      <c r="B79" s="26" t="s">
        <v>1472</v>
      </c>
      <c r="C79" s="26" t="s">
        <v>1492</v>
      </c>
      <c r="D79" s="26" t="s">
        <v>1493</v>
      </c>
      <c r="E79" s="34">
        <v>208.4</v>
      </c>
      <c r="F79" s="33" t="str">
        <f t="shared" si="1"/>
        <v>Regime do país de destino — confirmar quem é o produtor (PPWR art. 44.º)</v>
      </c>
      <c r="G79" s="26" t="s">
        <v>195</v>
      </c>
      <c r="H79" s="43">
        <f>IF(B79="PT",E79*INDEX(tbl_param_emb[Valor],MATCH(G79,tbl_param_emb[ID_Parametro],0)),0)</f>
        <v>0</v>
      </c>
    </row>
    <row r="80" spans="1:8" ht="16.05" customHeight="1" x14ac:dyDescent="0.3">
      <c r="A80" s="41">
        <v>46143</v>
      </c>
      <c r="B80" s="26" t="s">
        <v>1478</v>
      </c>
      <c r="C80" s="26" t="s">
        <v>1488</v>
      </c>
      <c r="D80" s="26" t="s">
        <v>1489</v>
      </c>
      <c r="E80" s="34">
        <v>196.8</v>
      </c>
      <c r="F80" s="33" t="str">
        <f t="shared" si="1"/>
        <v>Regime do país de destino — confirmar quem é o produtor (PPWR art. 44.º)</v>
      </c>
      <c r="G80" s="26" t="s">
        <v>189</v>
      </c>
      <c r="H80" s="43">
        <f>IF(B80="PT",E80*INDEX(tbl_param_emb[Valor],MATCH(G80,tbl_param_emb[ID_Parametro],0)),0)</f>
        <v>0</v>
      </c>
    </row>
    <row r="81" spans="1:8" ht="16.05" customHeight="1" x14ac:dyDescent="0.3">
      <c r="A81" s="41">
        <v>46143</v>
      </c>
      <c r="B81" s="26" t="s">
        <v>1478</v>
      </c>
      <c r="C81" s="26" t="s">
        <v>1490</v>
      </c>
      <c r="D81" s="26" t="s">
        <v>1491</v>
      </c>
      <c r="E81" s="34">
        <v>3.3</v>
      </c>
      <c r="F81" s="33" t="str">
        <f t="shared" si="1"/>
        <v>Regime do país de destino — confirmar quem é o produtor (PPWR art. 44.º)</v>
      </c>
      <c r="G81" s="26" t="s">
        <v>193</v>
      </c>
      <c r="H81" s="43">
        <f>IF(B81="PT",E81*INDEX(tbl_param_emb[Valor],MATCH(G81,tbl_param_emb[ID_Parametro],0)),0)</f>
        <v>0</v>
      </c>
    </row>
    <row r="82" spans="1:8" ht="16.05" customHeight="1" x14ac:dyDescent="0.3">
      <c r="A82" s="41">
        <v>46143</v>
      </c>
      <c r="B82" s="26" t="s">
        <v>1478</v>
      </c>
      <c r="C82" s="26" t="s">
        <v>1492</v>
      </c>
      <c r="D82" s="26" t="s">
        <v>1493</v>
      </c>
      <c r="E82" s="34">
        <v>240.5</v>
      </c>
      <c r="F82" s="33" t="str">
        <f t="shared" si="1"/>
        <v>Regime do país de destino — confirmar quem é o produtor (PPWR art. 44.º)</v>
      </c>
      <c r="G82" s="26" t="s">
        <v>195</v>
      </c>
      <c r="H82" s="43">
        <f>IF(B82="PT",E82*INDEX(tbl_param_emb[Valor],MATCH(G82,tbl_param_emb[ID_Parametro],0)),0)</f>
        <v>0</v>
      </c>
    </row>
    <row r="83" spans="1:8" ht="16.05" customHeight="1" x14ac:dyDescent="0.3">
      <c r="A83" s="41">
        <v>46143</v>
      </c>
      <c r="B83" s="26" t="s">
        <v>1480</v>
      </c>
      <c r="C83" s="26" t="s">
        <v>1488</v>
      </c>
      <c r="D83" s="26" t="s">
        <v>1489</v>
      </c>
      <c r="E83" s="34">
        <v>228.6</v>
      </c>
      <c r="F83" s="33" t="str">
        <f t="shared" si="1"/>
        <v>Regime do país de destino — confirmar quem é o produtor (PPWR art. 44.º)</v>
      </c>
      <c r="G83" s="26" t="s">
        <v>189</v>
      </c>
      <c r="H83" s="43">
        <f>IF(B83="PT",E83*INDEX(tbl_param_emb[Valor],MATCH(G83,tbl_param_emb[ID_Parametro],0)),0)</f>
        <v>0</v>
      </c>
    </row>
    <row r="84" spans="1:8" ht="16.05" customHeight="1" x14ac:dyDescent="0.3">
      <c r="A84" s="41">
        <v>46143</v>
      </c>
      <c r="B84" s="26" t="s">
        <v>1480</v>
      </c>
      <c r="C84" s="26" t="s">
        <v>1490</v>
      </c>
      <c r="D84" s="26" t="s">
        <v>1491</v>
      </c>
      <c r="E84" s="34">
        <v>3.8</v>
      </c>
      <c r="F84" s="33" t="str">
        <f t="shared" si="1"/>
        <v>Regime do país de destino — confirmar quem é o produtor (PPWR art. 44.º)</v>
      </c>
      <c r="G84" s="26" t="s">
        <v>193</v>
      </c>
      <c r="H84" s="43">
        <f>IF(B84="PT",E84*INDEX(tbl_param_emb[Valor],MATCH(G84,tbl_param_emb[ID_Parametro],0)),0)</f>
        <v>0</v>
      </c>
    </row>
    <row r="85" spans="1:8" ht="16.05" customHeight="1" x14ac:dyDescent="0.3">
      <c r="A85" s="41">
        <v>46143</v>
      </c>
      <c r="B85" s="26" t="s">
        <v>1480</v>
      </c>
      <c r="C85" s="26" t="s">
        <v>1492</v>
      </c>
      <c r="D85" s="26" t="s">
        <v>1493</v>
      </c>
      <c r="E85" s="34">
        <v>279.39999999999998</v>
      </c>
      <c r="F85" s="33" t="str">
        <f t="shared" si="1"/>
        <v>Regime do país de destino — confirmar quem é o produtor (PPWR art. 44.º)</v>
      </c>
      <c r="G85" s="26" t="s">
        <v>195</v>
      </c>
      <c r="H85" s="43">
        <f>IF(B85="PT",E85*INDEX(tbl_param_emb[Valor],MATCH(G85,tbl_param_emb[ID_Parametro],0)),0)</f>
        <v>0</v>
      </c>
    </row>
    <row r="86" spans="1:8" ht="16.05" customHeight="1" x14ac:dyDescent="0.3">
      <c r="A86" s="41">
        <v>46143</v>
      </c>
      <c r="B86" s="26" t="s">
        <v>847</v>
      </c>
      <c r="C86" s="26" t="s">
        <v>1488</v>
      </c>
      <c r="D86" s="26" t="s">
        <v>1489</v>
      </c>
      <c r="E86" s="34">
        <v>1432.5</v>
      </c>
      <c r="F86" s="33" t="str">
        <f t="shared" si="1"/>
        <v>SIGRE — embalagens não urbanas (Plasticom embalador)</v>
      </c>
      <c r="G86" s="26" t="s">
        <v>189</v>
      </c>
      <c r="H86" s="43">
        <f>IF(B86="PT",E86*INDEX(tbl_param_emb[Valor],MATCH(G86,tbl_param_emb[ID_Parametro],0)),0)</f>
        <v>42.975000000000001</v>
      </c>
    </row>
    <row r="87" spans="1:8" ht="16.05" customHeight="1" x14ac:dyDescent="0.3">
      <c r="A87" s="41">
        <v>46143</v>
      </c>
      <c r="B87" s="26" t="s">
        <v>847</v>
      </c>
      <c r="C87" s="26" t="s">
        <v>1490</v>
      </c>
      <c r="D87" s="26" t="s">
        <v>1491</v>
      </c>
      <c r="E87" s="34">
        <v>23.9</v>
      </c>
      <c r="F87" s="33" t="str">
        <f t="shared" si="1"/>
        <v>SIGRE — embalagens não urbanas (Plasticom embalador)</v>
      </c>
      <c r="G87" s="26" t="s">
        <v>193</v>
      </c>
      <c r="H87" s="43">
        <f>IF(B87="PT",E87*INDEX(tbl_param_emb[Valor],MATCH(G87,tbl_param_emb[ID_Parametro],0)),0)</f>
        <v>2.39</v>
      </c>
    </row>
    <row r="88" spans="1:8" ht="16.05" customHeight="1" x14ac:dyDescent="0.3">
      <c r="A88" s="41">
        <v>46143</v>
      </c>
      <c r="B88" s="26" t="s">
        <v>847</v>
      </c>
      <c r="C88" s="26" t="s">
        <v>1492</v>
      </c>
      <c r="D88" s="26" t="s">
        <v>1493</v>
      </c>
      <c r="E88" s="34">
        <v>1750.8</v>
      </c>
      <c r="F88" s="33" t="str">
        <f t="shared" si="1"/>
        <v>SIGRE — embalagens não urbanas (Plasticom embalador)</v>
      </c>
      <c r="G88" s="26" t="s">
        <v>195</v>
      </c>
      <c r="H88" s="43">
        <f>IF(B88="PT",E88*INDEX(tbl_param_emb[Valor],MATCH(G88,tbl_param_emb[ID_Parametro],0)),0)</f>
        <v>17.507999999999999</v>
      </c>
    </row>
    <row r="89" spans="1:8" ht="16.05" customHeight="1" x14ac:dyDescent="0.3">
      <c r="A89" s="41">
        <v>46143</v>
      </c>
      <c r="B89" s="26" t="s">
        <v>1474</v>
      </c>
      <c r="C89" s="26" t="s">
        <v>1488</v>
      </c>
      <c r="D89" s="26" t="s">
        <v>1489</v>
      </c>
      <c r="E89" s="34">
        <v>299.89999999999998</v>
      </c>
      <c r="F89" s="33" t="str">
        <f t="shared" si="1"/>
        <v>Regime do país de destino — confirmar quem é o produtor (PPWR art. 44.º)</v>
      </c>
      <c r="G89" s="26" t="s">
        <v>189</v>
      </c>
      <c r="H89" s="43">
        <f>IF(B89="PT",E89*INDEX(tbl_param_emb[Valor],MATCH(G89,tbl_param_emb[ID_Parametro],0)),0)</f>
        <v>0</v>
      </c>
    </row>
    <row r="90" spans="1:8" ht="16.05" customHeight="1" x14ac:dyDescent="0.3">
      <c r="A90" s="41">
        <v>46143</v>
      </c>
      <c r="B90" s="26" t="s">
        <v>1474</v>
      </c>
      <c r="C90" s="26" t="s">
        <v>1490</v>
      </c>
      <c r="D90" s="26" t="s">
        <v>1491</v>
      </c>
      <c r="E90" s="34">
        <v>5</v>
      </c>
      <c r="F90" s="33" t="str">
        <f t="shared" si="1"/>
        <v>Regime do país de destino — confirmar quem é o produtor (PPWR art. 44.º)</v>
      </c>
      <c r="G90" s="26" t="s">
        <v>193</v>
      </c>
      <c r="H90" s="43">
        <f>IF(B90="PT",E90*INDEX(tbl_param_emb[Valor],MATCH(G90,tbl_param_emb[ID_Parametro],0)),0)</f>
        <v>0</v>
      </c>
    </row>
    <row r="91" spans="1:8" ht="16.05" customHeight="1" x14ac:dyDescent="0.3">
      <c r="A91" s="41">
        <v>46143</v>
      </c>
      <c r="B91" s="26" t="s">
        <v>1474</v>
      </c>
      <c r="C91" s="26" t="s">
        <v>1492</v>
      </c>
      <c r="D91" s="26" t="s">
        <v>1493</v>
      </c>
      <c r="E91" s="34">
        <v>366.6</v>
      </c>
      <c r="F91" s="33" t="str">
        <f t="shared" si="1"/>
        <v>Regime do país de destino — confirmar quem é o produtor (PPWR art. 44.º)</v>
      </c>
      <c r="G91" s="26" t="s">
        <v>195</v>
      </c>
      <c r="H91" s="43">
        <f>IF(B91="PT",E91*INDEX(tbl_param_emb[Valor],MATCH(G91,tbl_param_emb[ID_Parametro],0)),0)</f>
        <v>0</v>
      </c>
    </row>
    <row r="92" spans="1:8" ht="16.05" customHeight="1" x14ac:dyDescent="0.3">
      <c r="A92" s="41">
        <v>46174</v>
      </c>
      <c r="B92" s="26" t="s">
        <v>1476</v>
      </c>
      <c r="C92" s="26" t="s">
        <v>1488</v>
      </c>
      <c r="D92" s="26" t="s">
        <v>1489</v>
      </c>
      <c r="E92" s="34">
        <v>185.3</v>
      </c>
      <c r="F92" s="33" t="str">
        <f t="shared" si="1"/>
        <v>Regime do país de destino — confirmar quem é o produtor (PPWR art. 44.º)</v>
      </c>
      <c r="G92" s="26" t="s">
        <v>189</v>
      </c>
      <c r="H92" s="43">
        <f>IF(B92="PT",E92*INDEX(tbl_param_emb[Valor],MATCH(G92,tbl_param_emb[ID_Parametro],0)),0)</f>
        <v>0</v>
      </c>
    </row>
    <row r="93" spans="1:8" ht="16.05" customHeight="1" x14ac:dyDescent="0.3">
      <c r="A93" s="41">
        <v>46174</v>
      </c>
      <c r="B93" s="26" t="s">
        <v>1476</v>
      </c>
      <c r="C93" s="26" t="s">
        <v>1490</v>
      </c>
      <c r="D93" s="26" t="s">
        <v>1491</v>
      </c>
      <c r="E93" s="34">
        <v>3.1</v>
      </c>
      <c r="F93" s="33" t="str">
        <f t="shared" si="1"/>
        <v>Regime do país de destino — confirmar quem é o produtor (PPWR art. 44.º)</v>
      </c>
      <c r="G93" s="26" t="s">
        <v>193</v>
      </c>
      <c r="H93" s="43">
        <f>IF(B93="PT",E93*INDEX(tbl_param_emb[Valor],MATCH(G93,tbl_param_emb[ID_Parametro],0)),0)</f>
        <v>0</v>
      </c>
    </row>
    <row r="94" spans="1:8" ht="16.05" customHeight="1" x14ac:dyDescent="0.3">
      <c r="A94" s="41">
        <v>46174</v>
      </c>
      <c r="B94" s="26" t="s">
        <v>1476</v>
      </c>
      <c r="C94" s="26" t="s">
        <v>1492</v>
      </c>
      <c r="D94" s="26" t="s">
        <v>1493</v>
      </c>
      <c r="E94" s="34">
        <v>226.5</v>
      </c>
      <c r="F94" s="33" t="str">
        <f t="shared" si="1"/>
        <v>Regime do país de destino — confirmar quem é o produtor (PPWR art. 44.º)</v>
      </c>
      <c r="G94" s="26" t="s">
        <v>195</v>
      </c>
      <c r="H94" s="43">
        <f>IF(B94="PT",E94*INDEX(tbl_param_emb[Valor],MATCH(G94,tbl_param_emb[ID_Parametro],0)),0)</f>
        <v>0</v>
      </c>
    </row>
    <row r="95" spans="1:8" ht="16.05" customHeight="1" x14ac:dyDescent="0.3">
      <c r="A95" s="41">
        <v>46174</v>
      </c>
      <c r="B95" s="26" t="s">
        <v>1472</v>
      </c>
      <c r="C95" s="26" t="s">
        <v>1488</v>
      </c>
      <c r="D95" s="26" t="s">
        <v>1489</v>
      </c>
      <c r="E95" s="34">
        <v>187</v>
      </c>
      <c r="F95" s="33" t="str">
        <f t="shared" si="1"/>
        <v>Regime do país de destino — confirmar quem é o produtor (PPWR art. 44.º)</v>
      </c>
      <c r="G95" s="26" t="s">
        <v>189</v>
      </c>
      <c r="H95" s="43">
        <f>IF(B95="PT",E95*INDEX(tbl_param_emb[Valor],MATCH(G95,tbl_param_emb[ID_Parametro],0)),0)</f>
        <v>0</v>
      </c>
    </row>
    <row r="96" spans="1:8" ht="16.05" customHeight="1" x14ac:dyDescent="0.3">
      <c r="A96" s="41">
        <v>46174</v>
      </c>
      <c r="B96" s="26" t="s">
        <v>1472</v>
      </c>
      <c r="C96" s="26" t="s">
        <v>1490</v>
      </c>
      <c r="D96" s="26" t="s">
        <v>1491</v>
      </c>
      <c r="E96" s="34">
        <v>3.1</v>
      </c>
      <c r="F96" s="33" t="str">
        <f t="shared" si="1"/>
        <v>Regime do país de destino — confirmar quem é o produtor (PPWR art. 44.º)</v>
      </c>
      <c r="G96" s="26" t="s">
        <v>193</v>
      </c>
      <c r="H96" s="43">
        <f>IF(B96="PT",E96*INDEX(tbl_param_emb[Valor],MATCH(G96,tbl_param_emb[ID_Parametro],0)),0)</f>
        <v>0</v>
      </c>
    </row>
    <row r="97" spans="1:8" ht="16.05" customHeight="1" x14ac:dyDescent="0.3">
      <c r="A97" s="41">
        <v>46174</v>
      </c>
      <c r="B97" s="26" t="s">
        <v>1472</v>
      </c>
      <c r="C97" s="26" t="s">
        <v>1492</v>
      </c>
      <c r="D97" s="26" t="s">
        <v>1493</v>
      </c>
      <c r="E97" s="34">
        <v>228.6</v>
      </c>
      <c r="F97" s="33" t="str">
        <f t="shared" si="1"/>
        <v>Regime do país de destino — confirmar quem é o produtor (PPWR art. 44.º)</v>
      </c>
      <c r="G97" s="26" t="s">
        <v>195</v>
      </c>
      <c r="H97" s="43">
        <f>IF(B97="PT",E97*INDEX(tbl_param_emb[Valor],MATCH(G97,tbl_param_emb[ID_Parametro],0)),0)</f>
        <v>0</v>
      </c>
    </row>
    <row r="98" spans="1:8" ht="16.05" customHeight="1" x14ac:dyDescent="0.3">
      <c r="A98" s="41">
        <v>46174</v>
      </c>
      <c r="B98" s="26" t="s">
        <v>1478</v>
      </c>
      <c r="C98" s="26" t="s">
        <v>1488</v>
      </c>
      <c r="D98" s="26" t="s">
        <v>1489</v>
      </c>
      <c r="E98" s="34">
        <v>236.6</v>
      </c>
      <c r="F98" s="33" t="str">
        <f t="shared" si="1"/>
        <v>Regime do país de destino — confirmar quem é o produtor (PPWR art. 44.º)</v>
      </c>
      <c r="G98" s="26" t="s">
        <v>189</v>
      </c>
      <c r="H98" s="43">
        <f>IF(B98="PT",E98*INDEX(tbl_param_emb[Valor],MATCH(G98,tbl_param_emb[ID_Parametro],0)),0)</f>
        <v>0</v>
      </c>
    </row>
    <row r="99" spans="1:8" ht="16.05" customHeight="1" x14ac:dyDescent="0.3">
      <c r="A99" s="41">
        <v>46174</v>
      </c>
      <c r="B99" s="26" t="s">
        <v>1478</v>
      </c>
      <c r="C99" s="26" t="s">
        <v>1490</v>
      </c>
      <c r="D99" s="26" t="s">
        <v>1491</v>
      </c>
      <c r="E99" s="34">
        <v>3.9</v>
      </c>
      <c r="F99" s="33" t="str">
        <f t="shared" si="1"/>
        <v>Regime do país de destino — confirmar quem é o produtor (PPWR art. 44.º)</v>
      </c>
      <c r="G99" s="26" t="s">
        <v>193</v>
      </c>
      <c r="H99" s="43">
        <f>IF(B99="PT",E99*INDEX(tbl_param_emb[Valor],MATCH(G99,tbl_param_emb[ID_Parametro],0)),0)</f>
        <v>0</v>
      </c>
    </row>
    <row r="100" spans="1:8" ht="16.05" customHeight="1" x14ac:dyDescent="0.3">
      <c r="A100" s="41">
        <v>46174</v>
      </c>
      <c r="B100" s="26" t="s">
        <v>1478</v>
      </c>
      <c r="C100" s="26" t="s">
        <v>1492</v>
      </c>
      <c r="D100" s="26" t="s">
        <v>1493</v>
      </c>
      <c r="E100" s="34">
        <v>289.2</v>
      </c>
      <c r="F100" s="33" t="str">
        <f t="shared" si="1"/>
        <v>Regime do país de destino — confirmar quem é o produtor (PPWR art. 44.º)</v>
      </c>
      <c r="G100" s="26" t="s">
        <v>195</v>
      </c>
      <c r="H100" s="43">
        <f>IF(B100="PT",E100*INDEX(tbl_param_emb[Valor],MATCH(G100,tbl_param_emb[ID_Parametro],0)),0)</f>
        <v>0</v>
      </c>
    </row>
    <row r="101" spans="1:8" ht="16.05" customHeight="1" x14ac:dyDescent="0.3">
      <c r="A101" s="41">
        <v>46174</v>
      </c>
      <c r="B101" s="26" t="s">
        <v>1480</v>
      </c>
      <c r="C101" s="26" t="s">
        <v>1488</v>
      </c>
      <c r="D101" s="26" t="s">
        <v>1489</v>
      </c>
      <c r="E101" s="34">
        <v>159.1</v>
      </c>
      <c r="F101" s="33" t="str">
        <f t="shared" si="1"/>
        <v>Regime do país de destino — confirmar quem é o produtor (PPWR art. 44.º)</v>
      </c>
      <c r="G101" s="26" t="s">
        <v>189</v>
      </c>
      <c r="H101" s="43">
        <f>IF(B101="PT",E101*INDEX(tbl_param_emb[Valor],MATCH(G101,tbl_param_emb[ID_Parametro],0)),0)</f>
        <v>0</v>
      </c>
    </row>
    <row r="102" spans="1:8" ht="16.05" customHeight="1" x14ac:dyDescent="0.3">
      <c r="A102" s="41">
        <v>46174</v>
      </c>
      <c r="B102" s="26" t="s">
        <v>1480</v>
      </c>
      <c r="C102" s="26" t="s">
        <v>1490</v>
      </c>
      <c r="D102" s="26" t="s">
        <v>1491</v>
      </c>
      <c r="E102" s="34">
        <v>2.7</v>
      </c>
      <c r="F102" s="33" t="str">
        <f t="shared" si="1"/>
        <v>Regime do país de destino — confirmar quem é o produtor (PPWR art. 44.º)</v>
      </c>
      <c r="G102" s="26" t="s">
        <v>193</v>
      </c>
      <c r="H102" s="43">
        <f>IF(B102="PT",E102*INDEX(tbl_param_emb[Valor],MATCH(G102,tbl_param_emb[ID_Parametro],0)),0)</f>
        <v>0</v>
      </c>
    </row>
    <row r="103" spans="1:8" ht="16.05" customHeight="1" x14ac:dyDescent="0.3">
      <c r="A103" s="41">
        <v>46174</v>
      </c>
      <c r="B103" s="26" t="s">
        <v>1480</v>
      </c>
      <c r="C103" s="26" t="s">
        <v>1492</v>
      </c>
      <c r="D103" s="26" t="s">
        <v>1493</v>
      </c>
      <c r="E103" s="34">
        <v>194.5</v>
      </c>
      <c r="F103" s="33" t="str">
        <f t="shared" si="1"/>
        <v>Regime do país de destino — confirmar quem é o produtor (PPWR art. 44.º)</v>
      </c>
      <c r="G103" s="26" t="s">
        <v>195</v>
      </c>
      <c r="H103" s="43">
        <f>IF(B103="PT",E103*INDEX(tbl_param_emb[Valor],MATCH(G103,tbl_param_emb[ID_Parametro],0)),0)</f>
        <v>0</v>
      </c>
    </row>
    <row r="104" spans="1:8" ht="16.05" customHeight="1" x14ac:dyDescent="0.3">
      <c r="A104" s="41">
        <v>46174</v>
      </c>
      <c r="B104" s="26" t="s">
        <v>847</v>
      </c>
      <c r="C104" s="26" t="s">
        <v>1488</v>
      </c>
      <c r="D104" s="26" t="s">
        <v>1489</v>
      </c>
      <c r="E104" s="34">
        <v>1635.1</v>
      </c>
      <c r="F104" s="33" t="str">
        <f t="shared" si="1"/>
        <v>SIGRE — embalagens não urbanas (Plasticom embalador)</v>
      </c>
      <c r="G104" s="26" t="s">
        <v>189</v>
      </c>
      <c r="H104" s="43">
        <f>IF(B104="PT",E104*INDEX(tbl_param_emb[Valor],MATCH(G104,tbl_param_emb[ID_Parametro],0)),0)</f>
        <v>49.052999999999997</v>
      </c>
    </row>
    <row r="105" spans="1:8" ht="16.05" customHeight="1" x14ac:dyDescent="0.3">
      <c r="A105" s="41">
        <v>46174</v>
      </c>
      <c r="B105" s="26" t="s">
        <v>847</v>
      </c>
      <c r="C105" s="26" t="s">
        <v>1490</v>
      </c>
      <c r="D105" s="26" t="s">
        <v>1491</v>
      </c>
      <c r="E105" s="34">
        <v>27.3</v>
      </c>
      <c r="F105" s="33" t="str">
        <f t="shared" si="1"/>
        <v>SIGRE — embalagens não urbanas (Plasticom embalador)</v>
      </c>
      <c r="G105" s="26" t="s">
        <v>193</v>
      </c>
      <c r="H105" s="43">
        <f>IF(B105="PT",E105*INDEX(tbl_param_emb[Valor],MATCH(G105,tbl_param_emb[ID_Parametro],0)),0)</f>
        <v>2.7300000000000004</v>
      </c>
    </row>
    <row r="106" spans="1:8" ht="16.05" customHeight="1" x14ac:dyDescent="0.3">
      <c r="A106" s="41">
        <v>46174</v>
      </c>
      <c r="B106" s="26" t="s">
        <v>847</v>
      </c>
      <c r="C106" s="26" t="s">
        <v>1492</v>
      </c>
      <c r="D106" s="26" t="s">
        <v>1493</v>
      </c>
      <c r="E106" s="34">
        <v>1998.5</v>
      </c>
      <c r="F106" s="33" t="str">
        <f t="shared" si="1"/>
        <v>SIGRE — embalagens não urbanas (Plasticom embalador)</v>
      </c>
      <c r="G106" s="26" t="s">
        <v>195</v>
      </c>
      <c r="H106" s="43">
        <f>IF(B106="PT",E106*INDEX(tbl_param_emb[Valor],MATCH(G106,tbl_param_emb[ID_Parametro],0)),0)</f>
        <v>19.984999999999999</v>
      </c>
    </row>
    <row r="107" spans="1:8" ht="16.05" customHeight="1" x14ac:dyDescent="0.3">
      <c r="A107" s="41">
        <v>46174</v>
      </c>
      <c r="B107" s="26" t="s">
        <v>1474</v>
      </c>
      <c r="C107" s="26" t="s">
        <v>1488</v>
      </c>
      <c r="D107" s="26" t="s">
        <v>1489</v>
      </c>
      <c r="E107" s="34">
        <v>351</v>
      </c>
      <c r="F107" s="33" t="str">
        <f t="shared" si="1"/>
        <v>Regime do país de destino — confirmar quem é o produtor (PPWR art. 44.º)</v>
      </c>
      <c r="G107" s="26" t="s">
        <v>189</v>
      </c>
      <c r="H107" s="43">
        <f>IF(B107="PT",E107*INDEX(tbl_param_emb[Valor],MATCH(G107,tbl_param_emb[ID_Parametro],0)),0)</f>
        <v>0</v>
      </c>
    </row>
    <row r="108" spans="1:8" ht="16.05" customHeight="1" x14ac:dyDescent="0.3">
      <c r="A108" s="41">
        <v>46174</v>
      </c>
      <c r="B108" s="26" t="s">
        <v>1474</v>
      </c>
      <c r="C108" s="26" t="s">
        <v>1490</v>
      </c>
      <c r="D108" s="26" t="s">
        <v>1491</v>
      </c>
      <c r="E108" s="34">
        <v>5.8</v>
      </c>
      <c r="F108" s="33" t="str">
        <f t="shared" si="1"/>
        <v>Regime do país de destino — confirmar quem é o produtor (PPWR art. 44.º)</v>
      </c>
      <c r="G108" s="26" t="s">
        <v>193</v>
      </c>
      <c r="H108" s="43">
        <f>IF(B108="PT",E108*INDEX(tbl_param_emb[Valor],MATCH(G108,tbl_param_emb[ID_Parametro],0)),0)</f>
        <v>0</v>
      </c>
    </row>
    <row r="109" spans="1:8" ht="16.05" customHeight="1" x14ac:dyDescent="0.3">
      <c r="A109" s="41">
        <v>46174</v>
      </c>
      <c r="B109" s="26" t="s">
        <v>1474</v>
      </c>
      <c r="C109" s="26" t="s">
        <v>1492</v>
      </c>
      <c r="D109" s="26" t="s">
        <v>1493</v>
      </c>
      <c r="E109" s="34">
        <v>428.9</v>
      </c>
      <c r="F109" s="33" t="str">
        <f t="shared" si="1"/>
        <v>Regime do país de destino — confirmar quem é o produtor (PPWR art. 44.º)</v>
      </c>
      <c r="G109" s="26" t="s">
        <v>195</v>
      </c>
      <c r="H109" s="43">
        <f>IF(B109="PT",E109*INDEX(tbl_param_emb[Valor],MATCH(G109,tbl_param_emb[ID_Parametro],0)),0)</f>
        <v>0</v>
      </c>
    </row>
    <row r="110" spans="1:8" ht="16.05" customHeight="1" x14ac:dyDescent="0.3">
      <c r="A110" s="41">
        <v>46204</v>
      </c>
      <c r="B110" s="26" t="s">
        <v>1476</v>
      </c>
      <c r="C110" s="26" t="s">
        <v>1488</v>
      </c>
      <c r="D110" s="26" t="s">
        <v>1489</v>
      </c>
      <c r="E110" s="34">
        <v>243.6</v>
      </c>
      <c r="F110" s="33" t="str">
        <f t="shared" si="1"/>
        <v>Regime do país de destino — confirmar quem é o produtor (PPWR art. 44.º)</v>
      </c>
      <c r="G110" s="26" t="s">
        <v>189</v>
      </c>
      <c r="H110" s="43">
        <f>IF(B110="PT",E110*INDEX(tbl_param_emb[Valor],MATCH(G110,tbl_param_emb[ID_Parametro],0)),0)</f>
        <v>0</v>
      </c>
    </row>
    <row r="111" spans="1:8" ht="16.05" customHeight="1" x14ac:dyDescent="0.3">
      <c r="A111" s="41">
        <v>46204</v>
      </c>
      <c r="B111" s="26" t="s">
        <v>1476</v>
      </c>
      <c r="C111" s="26" t="s">
        <v>1490</v>
      </c>
      <c r="D111" s="26" t="s">
        <v>1491</v>
      </c>
      <c r="E111" s="34">
        <v>4.0999999999999996</v>
      </c>
      <c r="F111" s="33" t="str">
        <f t="shared" si="1"/>
        <v>Regime do país de destino — confirmar quem é o produtor (PPWR art. 44.º)</v>
      </c>
      <c r="G111" s="26" t="s">
        <v>193</v>
      </c>
      <c r="H111" s="43">
        <f>IF(B111="PT",E111*INDEX(tbl_param_emb[Valor],MATCH(G111,tbl_param_emb[ID_Parametro],0)),0)</f>
        <v>0</v>
      </c>
    </row>
    <row r="112" spans="1:8" ht="16.05" customHeight="1" x14ac:dyDescent="0.3">
      <c r="A112" s="41">
        <v>46204</v>
      </c>
      <c r="B112" s="26" t="s">
        <v>1476</v>
      </c>
      <c r="C112" s="26" t="s">
        <v>1492</v>
      </c>
      <c r="D112" s="26" t="s">
        <v>1493</v>
      </c>
      <c r="E112" s="34">
        <v>297.7</v>
      </c>
      <c r="F112" s="33" t="str">
        <f t="shared" si="1"/>
        <v>Regime do país de destino — confirmar quem é o produtor (PPWR art. 44.º)</v>
      </c>
      <c r="G112" s="26" t="s">
        <v>195</v>
      </c>
      <c r="H112" s="43">
        <f>IF(B112="PT",E112*INDEX(tbl_param_emb[Valor],MATCH(G112,tbl_param_emb[ID_Parametro],0)),0)</f>
        <v>0</v>
      </c>
    </row>
    <row r="113" spans="1:8" ht="16.05" customHeight="1" x14ac:dyDescent="0.3">
      <c r="A113" s="41">
        <v>46204</v>
      </c>
      <c r="B113" s="26" t="s">
        <v>1472</v>
      </c>
      <c r="C113" s="26" t="s">
        <v>1488</v>
      </c>
      <c r="D113" s="26" t="s">
        <v>1489</v>
      </c>
      <c r="E113" s="34">
        <v>187</v>
      </c>
      <c r="F113" s="33" t="str">
        <f t="shared" si="1"/>
        <v>Regime do país de destino — confirmar quem é o produtor (PPWR art. 44.º)</v>
      </c>
      <c r="G113" s="26" t="s">
        <v>189</v>
      </c>
      <c r="H113" s="43">
        <f>IF(B113="PT",E113*INDEX(tbl_param_emb[Valor],MATCH(G113,tbl_param_emb[ID_Parametro],0)),0)</f>
        <v>0</v>
      </c>
    </row>
    <row r="114" spans="1:8" ht="16.05" customHeight="1" x14ac:dyDescent="0.3">
      <c r="A114" s="41">
        <v>46204</v>
      </c>
      <c r="B114" s="26" t="s">
        <v>1472</v>
      </c>
      <c r="C114" s="26" t="s">
        <v>1490</v>
      </c>
      <c r="D114" s="26" t="s">
        <v>1491</v>
      </c>
      <c r="E114" s="34">
        <v>3.1</v>
      </c>
      <c r="F114" s="33" t="str">
        <f t="shared" si="1"/>
        <v>Regime do país de destino — confirmar quem é o produtor (PPWR art. 44.º)</v>
      </c>
      <c r="G114" s="26" t="s">
        <v>193</v>
      </c>
      <c r="H114" s="43">
        <f>IF(B114="PT",E114*INDEX(tbl_param_emb[Valor],MATCH(G114,tbl_param_emb[ID_Parametro],0)),0)</f>
        <v>0</v>
      </c>
    </row>
    <row r="115" spans="1:8" ht="16.05" customHeight="1" x14ac:dyDescent="0.3">
      <c r="A115" s="41">
        <v>46204</v>
      </c>
      <c r="B115" s="26" t="s">
        <v>1472</v>
      </c>
      <c r="C115" s="26" t="s">
        <v>1492</v>
      </c>
      <c r="D115" s="26" t="s">
        <v>1493</v>
      </c>
      <c r="E115" s="34">
        <v>228.5</v>
      </c>
      <c r="F115" s="33" t="str">
        <f t="shared" si="1"/>
        <v>Regime do país de destino — confirmar quem é o produtor (PPWR art. 44.º)</v>
      </c>
      <c r="G115" s="26" t="s">
        <v>195</v>
      </c>
      <c r="H115" s="43">
        <f>IF(B115="PT",E115*INDEX(tbl_param_emb[Valor],MATCH(G115,tbl_param_emb[ID_Parametro],0)),0)</f>
        <v>0</v>
      </c>
    </row>
    <row r="116" spans="1:8" ht="16.05" customHeight="1" x14ac:dyDescent="0.3">
      <c r="A116" s="41">
        <v>46204</v>
      </c>
      <c r="B116" s="26" t="s">
        <v>1478</v>
      </c>
      <c r="C116" s="26" t="s">
        <v>1488</v>
      </c>
      <c r="D116" s="26" t="s">
        <v>1489</v>
      </c>
      <c r="E116" s="34">
        <v>198.9</v>
      </c>
      <c r="F116" s="33" t="str">
        <f t="shared" si="1"/>
        <v>Regime do país de destino — confirmar quem é o produtor (PPWR art. 44.º)</v>
      </c>
      <c r="G116" s="26" t="s">
        <v>189</v>
      </c>
      <c r="H116" s="43">
        <f>IF(B116="PT",E116*INDEX(tbl_param_emb[Valor],MATCH(G116,tbl_param_emb[ID_Parametro],0)),0)</f>
        <v>0</v>
      </c>
    </row>
    <row r="117" spans="1:8" ht="16.05" customHeight="1" x14ac:dyDescent="0.3">
      <c r="A117" s="41">
        <v>46204</v>
      </c>
      <c r="B117" s="26" t="s">
        <v>1478</v>
      </c>
      <c r="C117" s="26" t="s">
        <v>1490</v>
      </c>
      <c r="D117" s="26" t="s">
        <v>1491</v>
      </c>
      <c r="E117" s="34">
        <v>3.3</v>
      </c>
      <c r="F117" s="33" t="str">
        <f t="shared" si="1"/>
        <v>Regime do país de destino — confirmar quem é o produtor (PPWR art. 44.º)</v>
      </c>
      <c r="G117" s="26" t="s">
        <v>193</v>
      </c>
      <c r="H117" s="43">
        <f>IF(B117="PT",E117*INDEX(tbl_param_emb[Valor],MATCH(G117,tbl_param_emb[ID_Parametro],0)),0)</f>
        <v>0</v>
      </c>
    </row>
    <row r="118" spans="1:8" ht="16.05" customHeight="1" x14ac:dyDescent="0.3">
      <c r="A118" s="41">
        <v>46204</v>
      </c>
      <c r="B118" s="26" t="s">
        <v>1478</v>
      </c>
      <c r="C118" s="26" t="s">
        <v>1492</v>
      </c>
      <c r="D118" s="26" t="s">
        <v>1493</v>
      </c>
      <c r="E118" s="34">
        <v>243.1</v>
      </c>
      <c r="F118" s="33" t="str">
        <f t="shared" si="1"/>
        <v>Regime do país de destino — confirmar quem é o produtor (PPWR art. 44.º)</v>
      </c>
      <c r="G118" s="26" t="s">
        <v>195</v>
      </c>
      <c r="H118" s="43">
        <f>IF(B118="PT",E118*INDEX(tbl_param_emb[Valor],MATCH(G118,tbl_param_emb[ID_Parametro],0)),0)</f>
        <v>0</v>
      </c>
    </row>
    <row r="119" spans="1:8" ht="16.05" customHeight="1" x14ac:dyDescent="0.3">
      <c r="A119" s="41">
        <v>46204</v>
      </c>
      <c r="B119" s="26" t="s">
        <v>1480</v>
      </c>
      <c r="C119" s="26" t="s">
        <v>1488</v>
      </c>
      <c r="D119" s="26" t="s">
        <v>1489</v>
      </c>
      <c r="E119" s="34">
        <v>174.7</v>
      </c>
      <c r="F119" s="33" t="str">
        <f t="shared" si="1"/>
        <v>Regime do país de destino — confirmar quem é o produtor (PPWR art. 44.º)</v>
      </c>
      <c r="G119" s="26" t="s">
        <v>189</v>
      </c>
      <c r="H119" s="43">
        <f>IF(B119="PT",E119*INDEX(tbl_param_emb[Valor],MATCH(G119,tbl_param_emb[ID_Parametro],0)),0)</f>
        <v>0</v>
      </c>
    </row>
    <row r="120" spans="1:8" ht="16.05" customHeight="1" x14ac:dyDescent="0.3">
      <c r="A120" s="41">
        <v>46204</v>
      </c>
      <c r="B120" s="26" t="s">
        <v>1480</v>
      </c>
      <c r="C120" s="26" t="s">
        <v>1490</v>
      </c>
      <c r="D120" s="26" t="s">
        <v>1491</v>
      </c>
      <c r="E120" s="34">
        <v>2.9</v>
      </c>
      <c r="F120" s="33" t="str">
        <f t="shared" si="1"/>
        <v>Regime do país de destino — confirmar quem é o produtor (PPWR art. 44.º)</v>
      </c>
      <c r="G120" s="26" t="s">
        <v>193</v>
      </c>
      <c r="H120" s="43">
        <f>IF(B120="PT",E120*INDEX(tbl_param_emb[Valor],MATCH(G120,tbl_param_emb[ID_Parametro],0)),0)</f>
        <v>0</v>
      </c>
    </row>
    <row r="121" spans="1:8" ht="16.05" customHeight="1" x14ac:dyDescent="0.3">
      <c r="A121" s="41">
        <v>46204</v>
      </c>
      <c r="B121" s="26" t="s">
        <v>1480</v>
      </c>
      <c r="C121" s="26" t="s">
        <v>1492</v>
      </c>
      <c r="D121" s="26" t="s">
        <v>1493</v>
      </c>
      <c r="E121" s="34">
        <v>213.5</v>
      </c>
      <c r="F121" s="33" t="str">
        <f t="shared" si="1"/>
        <v>Regime do país de destino — confirmar quem é o produtor (PPWR art. 44.º)</v>
      </c>
      <c r="G121" s="26" t="s">
        <v>195</v>
      </c>
      <c r="H121" s="43">
        <f>IF(B121="PT",E121*INDEX(tbl_param_emb[Valor],MATCH(G121,tbl_param_emb[ID_Parametro],0)),0)</f>
        <v>0</v>
      </c>
    </row>
    <row r="122" spans="1:8" ht="16.05" customHeight="1" x14ac:dyDescent="0.3">
      <c r="A122" s="41">
        <v>46204</v>
      </c>
      <c r="B122" s="26" t="s">
        <v>847</v>
      </c>
      <c r="C122" s="26" t="s">
        <v>1488</v>
      </c>
      <c r="D122" s="26" t="s">
        <v>1489</v>
      </c>
      <c r="E122" s="34">
        <v>1690.5</v>
      </c>
      <c r="F122" s="33" t="str">
        <f t="shared" si="1"/>
        <v>SIGRE — embalagens não urbanas (Plasticom embalador)</v>
      </c>
      <c r="G122" s="26" t="s">
        <v>189</v>
      </c>
      <c r="H122" s="43">
        <f>IF(B122="PT",E122*INDEX(tbl_param_emb[Valor],MATCH(G122,tbl_param_emb[ID_Parametro],0)),0)</f>
        <v>50.714999999999996</v>
      </c>
    </row>
    <row r="123" spans="1:8" ht="16.05" customHeight="1" x14ac:dyDescent="0.3">
      <c r="A123" s="41">
        <v>46204</v>
      </c>
      <c r="B123" s="26" t="s">
        <v>847</v>
      </c>
      <c r="C123" s="26" t="s">
        <v>1490</v>
      </c>
      <c r="D123" s="26" t="s">
        <v>1491</v>
      </c>
      <c r="E123" s="34">
        <v>28.2</v>
      </c>
      <c r="F123" s="33" t="str">
        <f t="shared" si="1"/>
        <v>SIGRE — embalagens não urbanas (Plasticom embalador)</v>
      </c>
      <c r="G123" s="26" t="s">
        <v>193</v>
      </c>
      <c r="H123" s="43">
        <f>IF(B123="PT",E123*INDEX(tbl_param_emb[Valor],MATCH(G123,tbl_param_emb[ID_Parametro],0)),0)</f>
        <v>2.8200000000000003</v>
      </c>
    </row>
    <row r="124" spans="1:8" ht="16.05" customHeight="1" x14ac:dyDescent="0.3">
      <c r="A124" s="41">
        <v>46204</v>
      </c>
      <c r="B124" s="26" t="s">
        <v>847</v>
      </c>
      <c r="C124" s="26" t="s">
        <v>1492</v>
      </c>
      <c r="D124" s="26" t="s">
        <v>1493</v>
      </c>
      <c r="E124" s="34">
        <v>2066.1</v>
      </c>
      <c r="F124" s="33" t="str">
        <f t="shared" si="1"/>
        <v>SIGRE — embalagens não urbanas (Plasticom embalador)</v>
      </c>
      <c r="G124" s="26" t="s">
        <v>195</v>
      </c>
      <c r="H124" s="43">
        <f>IF(B124="PT",E124*INDEX(tbl_param_emb[Valor],MATCH(G124,tbl_param_emb[ID_Parametro],0)),0)</f>
        <v>20.660999999999998</v>
      </c>
    </row>
    <row r="125" spans="1:8" ht="16.05" customHeight="1" x14ac:dyDescent="0.3">
      <c r="A125" s="41">
        <v>46204</v>
      </c>
      <c r="B125" s="26" t="s">
        <v>1474</v>
      </c>
      <c r="C125" s="26" t="s">
        <v>1488</v>
      </c>
      <c r="D125" s="26" t="s">
        <v>1489</v>
      </c>
      <c r="E125" s="34">
        <v>392.3</v>
      </c>
      <c r="F125" s="33" t="str">
        <f t="shared" si="1"/>
        <v>Regime do país de destino — confirmar quem é o produtor (PPWR art. 44.º)</v>
      </c>
      <c r="G125" s="26" t="s">
        <v>189</v>
      </c>
      <c r="H125" s="43">
        <f>IF(B125="PT",E125*INDEX(tbl_param_emb[Valor],MATCH(G125,tbl_param_emb[ID_Parametro],0)),0)</f>
        <v>0</v>
      </c>
    </row>
    <row r="126" spans="1:8" ht="16.05" customHeight="1" x14ac:dyDescent="0.3">
      <c r="A126" s="41">
        <v>46204</v>
      </c>
      <c r="B126" s="26" t="s">
        <v>1474</v>
      </c>
      <c r="C126" s="26" t="s">
        <v>1490</v>
      </c>
      <c r="D126" s="26" t="s">
        <v>1491</v>
      </c>
      <c r="E126" s="34">
        <v>6.5</v>
      </c>
      <c r="F126" s="33" t="str">
        <f t="shared" si="1"/>
        <v>Regime do país de destino — confirmar quem é o produtor (PPWR art. 44.º)</v>
      </c>
      <c r="G126" s="26" t="s">
        <v>193</v>
      </c>
      <c r="H126" s="43">
        <f>IF(B126="PT",E126*INDEX(tbl_param_emb[Valor],MATCH(G126,tbl_param_emb[ID_Parametro],0)),0)</f>
        <v>0</v>
      </c>
    </row>
    <row r="127" spans="1:8" ht="16.05" customHeight="1" x14ac:dyDescent="0.3">
      <c r="A127" s="41">
        <v>46204</v>
      </c>
      <c r="B127" s="26" t="s">
        <v>1474</v>
      </c>
      <c r="C127" s="26" t="s">
        <v>1492</v>
      </c>
      <c r="D127" s="26" t="s">
        <v>1493</v>
      </c>
      <c r="E127" s="34">
        <v>479.5</v>
      </c>
      <c r="F127" s="33" t="str">
        <f t="shared" si="1"/>
        <v>Regime do país de destino — confirmar quem é o produtor (PPWR art. 44.º)</v>
      </c>
      <c r="G127" s="26" t="s">
        <v>195</v>
      </c>
      <c r="H127" s="43">
        <f>IF(B127="PT",E127*INDEX(tbl_param_emb[Valor],MATCH(G127,tbl_param_emb[ID_Parametro],0)),0)</f>
        <v>0</v>
      </c>
    </row>
    <row r="128" spans="1:8" ht="16.05" customHeight="1" x14ac:dyDescent="0.3">
      <c r="A128" s="41">
        <v>46235</v>
      </c>
      <c r="B128" s="26" t="s">
        <v>1476</v>
      </c>
      <c r="C128" s="26" t="s">
        <v>1488</v>
      </c>
      <c r="D128" s="26" t="s">
        <v>1489</v>
      </c>
      <c r="E128" s="34">
        <v>168.3</v>
      </c>
      <c r="F128" s="33" t="str">
        <f t="shared" si="1"/>
        <v>Regime do país de destino — confirmar quem é o produtor (PPWR art. 44.º)</v>
      </c>
      <c r="G128" s="26" t="s">
        <v>189</v>
      </c>
      <c r="H128" s="43">
        <f>IF(B128="PT",E128*INDEX(tbl_param_emb[Valor],MATCH(G128,tbl_param_emb[ID_Parametro],0)),0)</f>
        <v>0</v>
      </c>
    </row>
    <row r="129" spans="1:8" ht="16.05" customHeight="1" x14ac:dyDescent="0.3">
      <c r="A129" s="41">
        <v>46235</v>
      </c>
      <c r="B129" s="26" t="s">
        <v>1476</v>
      </c>
      <c r="C129" s="26" t="s">
        <v>1490</v>
      </c>
      <c r="D129" s="26" t="s">
        <v>1491</v>
      </c>
      <c r="E129" s="34">
        <v>2.8</v>
      </c>
      <c r="F129" s="33" t="str">
        <f t="shared" si="1"/>
        <v>Regime do país de destino — confirmar quem é o produtor (PPWR art. 44.º)</v>
      </c>
      <c r="G129" s="26" t="s">
        <v>193</v>
      </c>
      <c r="H129" s="43">
        <f>IF(B129="PT",E129*INDEX(tbl_param_emb[Valor],MATCH(G129,tbl_param_emb[ID_Parametro],0)),0)</f>
        <v>0</v>
      </c>
    </row>
    <row r="130" spans="1:8" ht="16.05" customHeight="1" x14ac:dyDescent="0.3">
      <c r="A130" s="41">
        <v>46235</v>
      </c>
      <c r="B130" s="26" t="s">
        <v>1476</v>
      </c>
      <c r="C130" s="26" t="s">
        <v>1492</v>
      </c>
      <c r="D130" s="26" t="s">
        <v>1493</v>
      </c>
      <c r="E130" s="34">
        <v>205.7</v>
      </c>
      <c r="F130" s="33" t="str">
        <f t="shared" ref="F130:F193" si="2">IF(B130="PT","SIGRE — embalagens não urbanas (Plasticom embalador)","Regime do país de destino — confirmar quem é o produtor (PPWR art. 44.º)")</f>
        <v>Regime do país de destino — confirmar quem é o produtor (PPWR art. 44.º)</v>
      </c>
      <c r="G130" s="26" t="s">
        <v>195</v>
      </c>
      <c r="H130" s="43">
        <f>IF(B130="PT",E130*INDEX(tbl_param_emb[Valor],MATCH(G130,tbl_param_emb[ID_Parametro],0)),0)</f>
        <v>0</v>
      </c>
    </row>
    <row r="131" spans="1:8" ht="16.05" customHeight="1" x14ac:dyDescent="0.3">
      <c r="A131" s="41">
        <v>46235</v>
      </c>
      <c r="B131" s="26" t="s">
        <v>1472</v>
      </c>
      <c r="C131" s="26" t="s">
        <v>1488</v>
      </c>
      <c r="D131" s="26" t="s">
        <v>1489</v>
      </c>
      <c r="E131" s="34">
        <v>326.10000000000002</v>
      </c>
      <c r="F131" s="33" t="str">
        <f t="shared" si="2"/>
        <v>Regime do país de destino — confirmar quem é o produtor (PPWR art. 44.º)</v>
      </c>
      <c r="G131" s="26" t="s">
        <v>189</v>
      </c>
      <c r="H131" s="43">
        <f>IF(B131="PT",E131*INDEX(tbl_param_emb[Valor],MATCH(G131,tbl_param_emb[ID_Parametro],0)),0)</f>
        <v>0</v>
      </c>
    </row>
    <row r="132" spans="1:8" ht="16.05" customHeight="1" x14ac:dyDescent="0.3">
      <c r="A132" s="41">
        <v>46235</v>
      </c>
      <c r="B132" s="26" t="s">
        <v>1472</v>
      </c>
      <c r="C132" s="26" t="s">
        <v>1490</v>
      </c>
      <c r="D132" s="26" t="s">
        <v>1491</v>
      </c>
      <c r="E132" s="34">
        <v>5.4</v>
      </c>
      <c r="F132" s="33" t="str">
        <f t="shared" si="2"/>
        <v>Regime do país de destino — confirmar quem é o produtor (PPWR art. 44.º)</v>
      </c>
      <c r="G132" s="26" t="s">
        <v>193</v>
      </c>
      <c r="H132" s="43">
        <f>IF(B132="PT",E132*INDEX(tbl_param_emb[Valor],MATCH(G132,tbl_param_emb[ID_Parametro],0)),0)</f>
        <v>0</v>
      </c>
    </row>
    <row r="133" spans="1:8" ht="16.05" customHeight="1" x14ac:dyDescent="0.3">
      <c r="A133" s="41">
        <v>46235</v>
      </c>
      <c r="B133" s="26" t="s">
        <v>1472</v>
      </c>
      <c r="C133" s="26" t="s">
        <v>1492</v>
      </c>
      <c r="D133" s="26" t="s">
        <v>1493</v>
      </c>
      <c r="E133" s="34">
        <v>398.6</v>
      </c>
      <c r="F133" s="33" t="str">
        <f t="shared" si="2"/>
        <v>Regime do país de destino — confirmar quem é o produtor (PPWR art. 44.º)</v>
      </c>
      <c r="G133" s="26" t="s">
        <v>195</v>
      </c>
      <c r="H133" s="43">
        <f>IF(B133="PT",E133*INDEX(tbl_param_emb[Valor],MATCH(G133,tbl_param_emb[ID_Parametro],0)),0)</f>
        <v>0</v>
      </c>
    </row>
    <row r="134" spans="1:8" ht="16.05" customHeight="1" x14ac:dyDescent="0.3">
      <c r="A134" s="41">
        <v>46235</v>
      </c>
      <c r="B134" s="26" t="s">
        <v>1478</v>
      </c>
      <c r="C134" s="26" t="s">
        <v>1488</v>
      </c>
      <c r="D134" s="26" t="s">
        <v>1489</v>
      </c>
      <c r="E134" s="34">
        <v>208.6</v>
      </c>
      <c r="F134" s="33" t="str">
        <f t="shared" si="2"/>
        <v>Regime do país de destino — confirmar quem é o produtor (PPWR art. 44.º)</v>
      </c>
      <c r="G134" s="26" t="s">
        <v>189</v>
      </c>
      <c r="H134" s="43">
        <f>IF(B134="PT",E134*INDEX(tbl_param_emb[Valor],MATCH(G134,tbl_param_emb[ID_Parametro],0)),0)</f>
        <v>0</v>
      </c>
    </row>
    <row r="135" spans="1:8" ht="16.05" customHeight="1" x14ac:dyDescent="0.3">
      <c r="A135" s="41">
        <v>46235</v>
      </c>
      <c r="B135" s="26" t="s">
        <v>1478</v>
      </c>
      <c r="C135" s="26" t="s">
        <v>1490</v>
      </c>
      <c r="D135" s="26" t="s">
        <v>1491</v>
      </c>
      <c r="E135" s="34">
        <v>3.5</v>
      </c>
      <c r="F135" s="33" t="str">
        <f t="shared" si="2"/>
        <v>Regime do país de destino — confirmar quem é o produtor (PPWR art. 44.º)</v>
      </c>
      <c r="G135" s="26" t="s">
        <v>193</v>
      </c>
      <c r="H135" s="43">
        <f>IF(B135="PT",E135*INDEX(tbl_param_emb[Valor],MATCH(G135,tbl_param_emb[ID_Parametro],0)),0)</f>
        <v>0</v>
      </c>
    </row>
    <row r="136" spans="1:8" ht="16.05" customHeight="1" x14ac:dyDescent="0.3">
      <c r="A136" s="41">
        <v>46235</v>
      </c>
      <c r="B136" s="26" t="s">
        <v>1478</v>
      </c>
      <c r="C136" s="26" t="s">
        <v>1492</v>
      </c>
      <c r="D136" s="26" t="s">
        <v>1493</v>
      </c>
      <c r="E136" s="34">
        <v>254.9</v>
      </c>
      <c r="F136" s="33" t="str">
        <f t="shared" si="2"/>
        <v>Regime do país de destino — confirmar quem é o produtor (PPWR art. 44.º)</v>
      </c>
      <c r="G136" s="26" t="s">
        <v>195</v>
      </c>
      <c r="H136" s="43">
        <f>IF(B136="PT",E136*INDEX(tbl_param_emb[Valor],MATCH(G136,tbl_param_emb[ID_Parametro],0)),0)</f>
        <v>0</v>
      </c>
    </row>
    <row r="137" spans="1:8" ht="16.05" customHeight="1" x14ac:dyDescent="0.3">
      <c r="A137" s="41">
        <v>46235</v>
      </c>
      <c r="B137" s="26" t="s">
        <v>1480</v>
      </c>
      <c r="C137" s="26" t="s">
        <v>1488</v>
      </c>
      <c r="D137" s="26" t="s">
        <v>1489</v>
      </c>
      <c r="E137" s="34">
        <v>237.5</v>
      </c>
      <c r="F137" s="33" t="str">
        <f t="shared" si="2"/>
        <v>Regime do país de destino — confirmar quem é o produtor (PPWR art. 44.º)</v>
      </c>
      <c r="G137" s="26" t="s">
        <v>189</v>
      </c>
      <c r="H137" s="43">
        <f>IF(B137="PT",E137*INDEX(tbl_param_emb[Valor],MATCH(G137,tbl_param_emb[ID_Parametro],0)),0)</f>
        <v>0</v>
      </c>
    </row>
    <row r="138" spans="1:8" ht="16.05" customHeight="1" x14ac:dyDescent="0.3">
      <c r="A138" s="41">
        <v>46235</v>
      </c>
      <c r="B138" s="26" t="s">
        <v>1480</v>
      </c>
      <c r="C138" s="26" t="s">
        <v>1490</v>
      </c>
      <c r="D138" s="26" t="s">
        <v>1491</v>
      </c>
      <c r="E138" s="34">
        <v>4</v>
      </c>
      <c r="F138" s="33" t="str">
        <f t="shared" si="2"/>
        <v>Regime do país de destino — confirmar quem é o produtor (PPWR art. 44.º)</v>
      </c>
      <c r="G138" s="26" t="s">
        <v>193</v>
      </c>
      <c r="H138" s="43">
        <f>IF(B138="PT",E138*INDEX(tbl_param_emb[Valor],MATCH(G138,tbl_param_emb[ID_Parametro],0)),0)</f>
        <v>0</v>
      </c>
    </row>
    <row r="139" spans="1:8" ht="16.05" customHeight="1" x14ac:dyDescent="0.3">
      <c r="A139" s="41">
        <v>46235</v>
      </c>
      <c r="B139" s="26" t="s">
        <v>1480</v>
      </c>
      <c r="C139" s="26" t="s">
        <v>1492</v>
      </c>
      <c r="D139" s="26" t="s">
        <v>1493</v>
      </c>
      <c r="E139" s="34">
        <v>290.3</v>
      </c>
      <c r="F139" s="33" t="str">
        <f t="shared" si="2"/>
        <v>Regime do país de destino — confirmar quem é o produtor (PPWR art. 44.º)</v>
      </c>
      <c r="G139" s="26" t="s">
        <v>195</v>
      </c>
      <c r="H139" s="43">
        <f>IF(B139="PT",E139*INDEX(tbl_param_emb[Valor],MATCH(G139,tbl_param_emb[ID_Parametro],0)),0)</f>
        <v>0</v>
      </c>
    </row>
    <row r="140" spans="1:8" ht="16.05" customHeight="1" x14ac:dyDescent="0.3">
      <c r="A140" s="41">
        <v>46235</v>
      </c>
      <c r="B140" s="26" t="s">
        <v>847</v>
      </c>
      <c r="C140" s="26" t="s">
        <v>1488</v>
      </c>
      <c r="D140" s="26" t="s">
        <v>1489</v>
      </c>
      <c r="E140" s="34">
        <v>1657.9</v>
      </c>
      <c r="F140" s="33" t="str">
        <f t="shared" si="2"/>
        <v>SIGRE — embalagens não urbanas (Plasticom embalador)</v>
      </c>
      <c r="G140" s="26" t="s">
        <v>189</v>
      </c>
      <c r="H140" s="43">
        <f>IF(B140="PT",E140*INDEX(tbl_param_emb[Valor],MATCH(G140,tbl_param_emb[ID_Parametro],0)),0)</f>
        <v>49.737000000000002</v>
      </c>
    </row>
    <row r="141" spans="1:8" ht="16.05" customHeight="1" x14ac:dyDescent="0.3">
      <c r="A141" s="41">
        <v>46235</v>
      </c>
      <c r="B141" s="26" t="s">
        <v>847</v>
      </c>
      <c r="C141" s="26" t="s">
        <v>1490</v>
      </c>
      <c r="D141" s="26" t="s">
        <v>1491</v>
      </c>
      <c r="E141" s="34">
        <v>27.6</v>
      </c>
      <c r="F141" s="33" t="str">
        <f t="shared" si="2"/>
        <v>SIGRE — embalagens não urbanas (Plasticom embalador)</v>
      </c>
      <c r="G141" s="26" t="s">
        <v>193</v>
      </c>
      <c r="H141" s="43">
        <f>IF(B141="PT",E141*INDEX(tbl_param_emb[Valor],MATCH(G141,tbl_param_emb[ID_Parametro],0)),0)</f>
        <v>2.7600000000000002</v>
      </c>
    </row>
    <row r="142" spans="1:8" ht="16.05" customHeight="1" x14ac:dyDescent="0.3">
      <c r="A142" s="41">
        <v>46235</v>
      </c>
      <c r="B142" s="26" t="s">
        <v>847</v>
      </c>
      <c r="C142" s="26" t="s">
        <v>1492</v>
      </c>
      <c r="D142" s="26" t="s">
        <v>1493</v>
      </c>
      <c r="E142" s="34">
        <v>2026.3</v>
      </c>
      <c r="F142" s="33" t="str">
        <f t="shared" si="2"/>
        <v>SIGRE — embalagens não urbanas (Plasticom embalador)</v>
      </c>
      <c r="G142" s="26" t="s">
        <v>195</v>
      </c>
      <c r="H142" s="43">
        <f>IF(B142="PT",E142*INDEX(tbl_param_emb[Valor],MATCH(G142,tbl_param_emb[ID_Parametro],0)),0)</f>
        <v>20.263000000000002</v>
      </c>
    </row>
    <row r="143" spans="1:8" ht="16.05" customHeight="1" x14ac:dyDescent="0.3">
      <c r="A143" s="41">
        <v>46235</v>
      </c>
      <c r="B143" s="26" t="s">
        <v>1474</v>
      </c>
      <c r="C143" s="26" t="s">
        <v>1488</v>
      </c>
      <c r="D143" s="26" t="s">
        <v>1489</v>
      </c>
      <c r="E143" s="34">
        <v>549.20000000000005</v>
      </c>
      <c r="F143" s="33" t="str">
        <f t="shared" si="2"/>
        <v>Regime do país de destino — confirmar quem é o produtor (PPWR art. 44.º)</v>
      </c>
      <c r="G143" s="26" t="s">
        <v>189</v>
      </c>
      <c r="H143" s="43">
        <f>IF(B143="PT",E143*INDEX(tbl_param_emb[Valor],MATCH(G143,tbl_param_emb[ID_Parametro],0)),0)</f>
        <v>0</v>
      </c>
    </row>
    <row r="144" spans="1:8" ht="16.05" customHeight="1" x14ac:dyDescent="0.3">
      <c r="A144" s="41">
        <v>46235</v>
      </c>
      <c r="B144" s="26" t="s">
        <v>1474</v>
      </c>
      <c r="C144" s="26" t="s">
        <v>1490</v>
      </c>
      <c r="D144" s="26" t="s">
        <v>1491</v>
      </c>
      <c r="E144" s="34">
        <v>9.1999999999999993</v>
      </c>
      <c r="F144" s="33" t="str">
        <f t="shared" si="2"/>
        <v>Regime do país de destino — confirmar quem é o produtor (PPWR art. 44.º)</v>
      </c>
      <c r="G144" s="26" t="s">
        <v>193</v>
      </c>
      <c r="H144" s="43">
        <f>IF(B144="PT",E144*INDEX(tbl_param_emb[Valor],MATCH(G144,tbl_param_emb[ID_Parametro],0)),0)</f>
        <v>0</v>
      </c>
    </row>
    <row r="145" spans="1:8" ht="16.05" customHeight="1" x14ac:dyDescent="0.3">
      <c r="A145" s="41">
        <v>46235</v>
      </c>
      <c r="B145" s="26" t="s">
        <v>1474</v>
      </c>
      <c r="C145" s="26" t="s">
        <v>1492</v>
      </c>
      <c r="D145" s="26" t="s">
        <v>1493</v>
      </c>
      <c r="E145" s="34">
        <v>671.3</v>
      </c>
      <c r="F145" s="33" t="str">
        <f t="shared" si="2"/>
        <v>Regime do país de destino — confirmar quem é o produtor (PPWR art. 44.º)</v>
      </c>
      <c r="G145" s="26" t="s">
        <v>195</v>
      </c>
      <c r="H145" s="43">
        <f>IF(B145="PT",E145*INDEX(tbl_param_emb[Valor],MATCH(G145,tbl_param_emb[ID_Parametro],0)),0)</f>
        <v>0</v>
      </c>
    </row>
    <row r="146" spans="1:8" ht="16.05" customHeight="1" x14ac:dyDescent="0.3">
      <c r="A146" s="41">
        <v>46266</v>
      </c>
      <c r="B146" s="26" t="s">
        <v>1476</v>
      </c>
      <c r="C146" s="26" t="s">
        <v>1488</v>
      </c>
      <c r="D146" s="26" t="s">
        <v>1489</v>
      </c>
      <c r="E146" s="34">
        <v>178.2</v>
      </c>
      <c r="F146" s="33" t="str">
        <f t="shared" si="2"/>
        <v>Regime do país de destino — confirmar quem é o produtor (PPWR art. 44.º)</v>
      </c>
      <c r="G146" s="26" t="s">
        <v>189</v>
      </c>
      <c r="H146" s="43">
        <f>IF(B146="PT",E146*INDEX(tbl_param_emb[Valor],MATCH(G146,tbl_param_emb[ID_Parametro],0)),0)</f>
        <v>0</v>
      </c>
    </row>
    <row r="147" spans="1:8" ht="16.05" customHeight="1" x14ac:dyDescent="0.3">
      <c r="A147" s="41">
        <v>46266</v>
      </c>
      <c r="B147" s="26" t="s">
        <v>1476</v>
      </c>
      <c r="C147" s="26" t="s">
        <v>1490</v>
      </c>
      <c r="D147" s="26" t="s">
        <v>1491</v>
      </c>
      <c r="E147" s="34">
        <v>3</v>
      </c>
      <c r="F147" s="33" t="str">
        <f t="shared" si="2"/>
        <v>Regime do país de destino — confirmar quem é o produtor (PPWR art. 44.º)</v>
      </c>
      <c r="G147" s="26" t="s">
        <v>193</v>
      </c>
      <c r="H147" s="43">
        <f>IF(B147="PT",E147*INDEX(tbl_param_emb[Valor],MATCH(G147,tbl_param_emb[ID_Parametro],0)),0)</f>
        <v>0</v>
      </c>
    </row>
    <row r="148" spans="1:8" ht="16.05" customHeight="1" x14ac:dyDescent="0.3">
      <c r="A148" s="41">
        <v>46266</v>
      </c>
      <c r="B148" s="26" t="s">
        <v>1476</v>
      </c>
      <c r="C148" s="26" t="s">
        <v>1492</v>
      </c>
      <c r="D148" s="26" t="s">
        <v>1493</v>
      </c>
      <c r="E148" s="34">
        <v>217.8</v>
      </c>
      <c r="F148" s="33" t="str">
        <f t="shared" si="2"/>
        <v>Regime do país de destino — confirmar quem é o produtor (PPWR art. 44.º)</v>
      </c>
      <c r="G148" s="26" t="s">
        <v>195</v>
      </c>
      <c r="H148" s="43">
        <f>IF(B148="PT",E148*INDEX(tbl_param_emb[Valor],MATCH(G148,tbl_param_emb[ID_Parametro],0)),0)</f>
        <v>0</v>
      </c>
    </row>
    <row r="149" spans="1:8" ht="16.05" customHeight="1" x14ac:dyDescent="0.3">
      <c r="A149" s="41">
        <v>46266</v>
      </c>
      <c r="B149" s="26" t="s">
        <v>1472</v>
      </c>
      <c r="C149" s="26" t="s">
        <v>1488</v>
      </c>
      <c r="D149" s="26" t="s">
        <v>1489</v>
      </c>
      <c r="E149" s="34">
        <v>319.2</v>
      </c>
      <c r="F149" s="33" t="str">
        <f t="shared" si="2"/>
        <v>Regime do país de destino — confirmar quem é o produtor (PPWR art. 44.º)</v>
      </c>
      <c r="G149" s="26" t="s">
        <v>189</v>
      </c>
      <c r="H149" s="43">
        <f>IF(B149="PT",E149*INDEX(tbl_param_emb[Valor],MATCH(G149,tbl_param_emb[ID_Parametro],0)),0)</f>
        <v>0</v>
      </c>
    </row>
    <row r="150" spans="1:8" ht="16.05" customHeight="1" x14ac:dyDescent="0.3">
      <c r="A150" s="41">
        <v>46266</v>
      </c>
      <c r="B150" s="26" t="s">
        <v>1472</v>
      </c>
      <c r="C150" s="26" t="s">
        <v>1490</v>
      </c>
      <c r="D150" s="26" t="s">
        <v>1491</v>
      </c>
      <c r="E150" s="34">
        <v>5.3</v>
      </c>
      <c r="F150" s="33" t="str">
        <f t="shared" si="2"/>
        <v>Regime do país de destino — confirmar quem é o produtor (PPWR art. 44.º)</v>
      </c>
      <c r="G150" s="26" t="s">
        <v>193</v>
      </c>
      <c r="H150" s="43">
        <f>IF(B150="PT",E150*INDEX(tbl_param_emb[Valor],MATCH(G150,tbl_param_emb[ID_Parametro],0)),0)</f>
        <v>0</v>
      </c>
    </row>
    <row r="151" spans="1:8" ht="16.05" customHeight="1" x14ac:dyDescent="0.3">
      <c r="A151" s="41">
        <v>46266</v>
      </c>
      <c r="B151" s="26" t="s">
        <v>1472</v>
      </c>
      <c r="C151" s="26" t="s">
        <v>1492</v>
      </c>
      <c r="D151" s="26" t="s">
        <v>1493</v>
      </c>
      <c r="E151" s="34">
        <v>390.2</v>
      </c>
      <c r="F151" s="33" t="str">
        <f t="shared" si="2"/>
        <v>Regime do país de destino — confirmar quem é o produtor (PPWR art. 44.º)</v>
      </c>
      <c r="G151" s="26" t="s">
        <v>195</v>
      </c>
      <c r="H151" s="43">
        <f>IF(B151="PT",E151*INDEX(tbl_param_emb[Valor],MATCH(G151,tbl_param_emb[ID_Parametro],0)),0)</f>
        <v>0</v>
      </c>
    </row>
    <row r="152" spans="1:8" ht="16.05" customHeight="1" x14ac:dyDescent="0.3">
      <c r="A152" s="41">
        <v>46266</v>
      </c>
      <c r="B152" s="26" t="s">
        <v>1478</v>
      </c>
      <c r="C152" s="26" t="s">
        <v>1488</v>
      </c>
      <c r="D152" s="26" t="s">
        <v>1489</v>
      </c>
      <c r="E152" s="34">
        <v>201.4</v>
      </c>
      <c r="F152" s="33" t="str">
        <f t="shared" si="2"/>
        <v>Regime do país de destino — confirmar quem é o produtor (PPWR art. 44.º)</v>
      </c>
      <c r="G152" s="26" t="s">
        <v>189</v>
      </c>
      <c r="H152" s="43">
        <f>IF(B152="PT",E152*INDEX(tbl_param_emb[Valor],MATCH(G152,tbl_param_emb[ID_Parametro],0)),0)</f>
        <v>0</v>
      </c>
    </row>
    <row r="153" spans="1:8" ht="16.05" customHeight="1" x14ac:dyDescent="0.3">
      <c r="A153" s="41">
        <v>46266</v>
      </c>
      <c r="B153" s="26" t="s">
        <v>1478</v>
      </c>
      <c r="C153" s="26" t="s">
        <v>1490</v>
      </c>
      <c r="D153" s="26" t="s">
        <v>1491</v>
      </c>
      <c r="E153" s="34">
        <v>3.4</v>
      </c>
      <c r="F153" s="33" t="str">
        <f t="shared" si="2"/>
        <v>Regime do país de destino — confirmar quem é o produtor (PPWR art. 44.º)</v>
      </c>
      <c r="G153" s="26" t="s">
        <v>193</v>
      </c>
      <c r="H153" s="43">
        <f>IF(B153="PT",E153*INDEX(tbl_param_emb[Valor],MATCH(G153,tbl_param_emb[ID_Parametro],0)),0)</f>
        <v>0</v>
      </c>
    </row>
    <row r="154" spans="1:8" ht="16.05" customHeight="1" x14ac:dyDescent="0.3">
      <c r="A154" s="41">
        <v>46266</v>
      </c>
      <c r="B154" s="26" t="s">
        <v>1478</v>
      </c>
      <c r="C154" s="26" t="s">
        <v>1492</v>
      </c>
      <c r="D154" s="26" t="s">
        <v>1493</v>
      </c>
      <c r="E154" s="34">
        <v>246.2</v>
      </c>
      <c r="F154" s="33" t="str">
        <f t="shared" si="2"/>
        <v>Regime do país de destino — confirmar quem é o produtor (PPWR art. 44.º)</v>
      </c>
      <c r="G154" s="26" t="s">
        <v>195</v>
      </c>
      <c r="H154" s="43">
        <f>IF(B154="PT",E154*INDEX(tbl_param_emb[Valor],MATCH(G154,tbl_param_emb[ID_Parametro],0)),0)</f>
        <v>0</v>
      </c>
    </row>
    <row r="155" spans="1:8" ht="16.05" customHeight="1" x14ac:dyDescent="0.3">
      <c r="A155" s="41">
        <v>46266</v>
      </c>
      <c r="B155" s="26" t="s">
        <v>1480</v>
      </c>
      <c r="C155" s="26" t="s">
        <v>1488</v>
      </c>
      <c r="D155" s="26" t="s">
        <v>1489</v>
      </c>
      <c r="E155" s="34">
        <v>174.2</v>
      </c>
      <c r="F155" s="33" t="str">
        <f t="shared" si="2"/>
        <v>Regime do país de destino — confirmar quem é o produtor (PPWR art. 44.º)</v>
      </c>
      <c r="G155" s="26" t="s">
        <v>189</v>
      </c>
      <c r="H155" s="43">
        <f>IF(B155="PT",E155*INDEX(tbl_param_emb[Valor],MATCH(G155,tbl_param_emb[ID_Parametro],0)),0)</f>
        <v>0</v>
      </c>
    </row>
    <row r="156" spans="1:8" ht="16.05" customHeight="1" x14ac:dyDescent="0.3">
      <c r="A156" s="41">
        <v>46266</v>
      </c>
      <c r="B156" s="26" t="s">
        <v>1480</v>
      </c>
      <c r="C156" s="26" t="s">
        <v>1490</v>
      </c>
      <c r="D156" s="26" t="s">
        <v>1491</v>
      </c>
      <c r="E156" s="34">
        <v>2.9</v>
      </c>
      <c r="F156" s="33" t="str">
        <f t="shared" si="2"/>
        <v>Regime do país de destino — confirmar quem é o produtor (PPWR art. 44.º)</v>
      </c>
      <c r="G156" s="26" t="s">
        <v>193</v>
      </c>
      <c r="H156" s="43">
        <f>IF(B156="PT",E156*INDEX(tbl_param_emb[Valor],MATCH(G156,tbl_param_emb[ID_Parametro],0)),0)</f>
        <v>0</v>
      </c>
    </row>
    <row r="157" spans="1:8" ht="16.05" customHeight="1" x14ac:dyDescent="0.3">
      <c r="A157" s="41">
        <v>46266</v>
      </c>
      <c r="B157" s="26" t="s">
        <v>1480</v>
      </c>
      <c r="C157" s="26" t="s">
        <v>1492</v>
      </c>
      <c r="D157" s="26" t="s">
        <v>1493</v>
      </c>
      <c r="E157" s="34">
        <v>212.9</v>
      </c>
      <c r="F157" s="33" t="str">
        <f t="shared" si="2"/>
        <v>Regime do país de destino — confirmar quem é o produtor (PPWR art. 44.º)</v>
      </c>
      <c r="G157" s="26" t="s">
        <v>195</v>
      </c>
      <c r="H157" s="43">
        <f>IF(B157="PT",E157*INDEX(tbl_param_emb[Valor],MATCH(G157,tbl_param_emb[ID_Parametro],0)),0)</f>
        <v>0</v>
      </c>
    </row>
    <row r="158" spans="1:8" ht="16.05" customHeight="1" x14ac:dyDescent="0.3">
      <c r="A158" s="41">
        <v>46266</v>
      </c>
      <c r="B158" s="26" t="s">
        <v>847</v>
      </c>
      <c r="C158" s="26" t="s">
        <v>1488</v>
      </c>
      <c r="D158" s="26" t="s">
        <v>1489</v>
      </c>
      <c r="E158" s="34">
        <v>1657</v>
      </c>
      <c r="F158" s="33" t="str">
        <f t="shared" si="2"/>
        <v>SIGRE — embalagens não urbanas (Plasticom embalador)</v>
      </c>
      <c r="G158" s="26" t="s">
        <v>189</v>
      </c>
      <c r="H158" s="43">
        <f>IF(B158="PT",E158*INDEX(tbl_param_emb[Valor],MATCH(G158,tbl_param_emb[ID_Parametro],0)),0)</f>
        <v>49.71</v>
      </c>
    </row>
    <row r="159" spans="1:8" ht="16.05" customHeight="1" x14ac:dyDescent="0.3">
      <c r="A159" s="41">
        <v>46266</v>
      </c>
      <c r="B159" s="26" t="s">
        <v>847</v>
      </c>
      <c r="C159" s="26" t="s">
        <v>1490</v>
      </c>
      <c r="D159" s="26" t="s">
        <v>1491</v>
      </c>
      <c r="E159" s="34">
        <v>27.6</v>
      </c>
      <c r="F159" s="33" t="str">
        <f t="shared" si="2"/>
        <v>SIGRE — embalagens não urbanas (Plasticom embalador)</v>
      </c>
      <c r="G159" s="26" t="s">
        <v>193</v>
      </c>
      <c r="H159" s="43">
        <f>IF(B159="PT",E159*INDEX(tbl_param_emb[Valor],MATCH(G159,tbl_param_emb[ID_Parametro],0)),0)</f>
        <v>2.7600000000000002</v>
      </c>
    </row>
    <row r="160" spans="1:8" ht="16.05" customHeight="1" x14ac:dyDescent="0.3">
      <c r="A160" s="41">
        <v>46266</v>
      </c>
      <c r="B160" s="26" t="s">
        <v>847</v>
      </c>
      <c r="C160" s="26" t="s">
        <v>1492</v>
      </c>
      <c r="D160" s="26" t="s">
        <v>1493</v>
      </c>
      <c r="E160" s="34">
        <v>2025.2</v>
      </c>
      <c r="F160" s="33" t="str">
        <f t="shared" si="2"/>
        <v>SIGRE — embalagens não urbanas (Plasticom embalador)</v>
      </c>
      <c r="G160" s="26" t="s">
        <v>195</v>
      </c>
      <c r="H160" s="43">
        <f>IF(B160="PT",E160*INDEX(tbl_param_emb[Valor],MATCH(G160,tbl_param_emb[ID_Parametro],0)),0)</f>
        <v>20.252000000000002</v>
      </c>
    </row>
    <row r="161" spans="1:8" ht="16.05" customHeight="1" x14ac:dyDescent="0.3">
      <c r="A161" s="41">
        <v>46266</v>
      </c>
      <c r="B161" s="26" t="s">
        <v>1474</v>
      </c>
      <c r="C161" s="26" t="s">
        <v>1488</v>
      </c>
      <c r="D161" s="26" t="s">
        <v>1489</v>
      </c>
      <c r="E161" s="34">
        <v>546.20000000000005</v>
      </c>
      <c r="F161" s="33" t="str">
        <f t="shared" si="2"/>
        <v>Regime do país de destino — confirmar quem é o produtor (PPWR art. 44.º)</v>
      </c>
      <c r="G161" s="26" t="s">
        <v>189</v>
      </c>
      <c r="H161" s="43">
        <f>IF(B161="PT",E161*INDEX(tbl_param_emb[Valor],MATCH(G161,tbl_param_emb[ID_Parametro],0)),0)</f>
        <v>0</v>
      </c>
    </row>
    <row r="162" spans="1:8" ht="16.05" customHeight="1" x14ac:dyDescent="0.3">
      <c r="A162" s="41">
        <v>46266</v>
      </c>
      <c r="B162" s="26" t="s">
        <v>1474</v>
      </c>
      <c r="C162" s="26" t="s">
        <v>1490</v>
      </c>
      <c r="D162" s="26" t="s">
        <v>1491</v>
      </c>
      <c r="E162" s="34">
        <v>9.1</v>
      </c>
      <c r="F162" s="33" t="str">
        <f t="shared" si="2"/>
        <v>Regime do país de destino — confirmar quem é o produtor (PPWR art. 44.º)</v>
      </c>
      <c r="G162" s="26" t="s">
        <v>193</v>
      </c>
      <c r="H162" s="43">
        <f>IF(B162="PT",E162*INDEX(tbl_param_emb[Valor],MATCH(G162,tbl_param_emb[ID_Parametro],0)),0)</f>
        <v>0</v>
      </c>
    </row>
    <row r="163" spans="1:8" ht="16.05" customHeight="1" x14ac:dyDescent="0.3">
      <c r="A163" s="41">
        <v>46266</v>
      </c>
      <c r="B163" s="26" t="s">
        <v>1474</v>
      </c>
      <c r="C163" s="26" t="s">
        <v>1492</v>
      </c>
      <c r="D163" s="26" t="s">
        <v>1493</v>
      </c>
      <c r="E163" s="34">
        <v>667.6</v>
      </c>
      <c r="F163" s="33" t="str">
        <f t="shared" si="2"/>
        <v>Regime do país de destino — confirmar quem é o produtor (PPWR art. 44.º)</v>
      </c>
      <c r="G163" s="26" t="s">
        <v>195</v>
      </c>
      <c r="H163" s="43">
        <f>IF(B163="PT",E163*INDEX(tbl_param_emb[Valor],MATCH(G163,tbl_param_emb[ID_Parametro],0)),0)</f>
        <v>0</v>
      </c>
    </row>
    <row r="164" spans="1:8" ht="16.05" customHeight="1" x14ac:dyDescent="0.3">
      <c r="A164" s="41">
        <v>46296</v>
      </c>
      <c r="B164" s="26" t="s">
        <v>1476</v>
      </c>
      <c r="C164" s="26" t="s">
        <v>1488</v>
      </c>
      <c r="D164" s="26" t="s">
        <v>1489</v>
      </c>
      <c r="E164" s="34">
        <v>196.8</v>
      </c>
      <c r="F164" s="33" t="str">
        <f t="shared" si="2"/>
        <v>Regime do país de destino — confirmar quem é o produtor (PPWR art. 44.º)</v>
      </c>
      <c r="G164" s="26" t="s">
        <v>189</v>
      </c>
      <c r="H164" s="43">
        <f>IF(B164="PT",E164*INDEX(tbl_param_emb[Valor],MATCH(G164,tbl_param_emb[ID_Parametro],0)),0)</f>
        <v>0</v>
      </c>
    </row>
    <row r="165" spans="1:8" ht="16.05" customHeight="1" x14ac:dyDescent="0.3">
      <c r="A165" s="41">
        <v>46296</v>
      </c>
      <c r="B165" s="26" t="s">
        <v>1476</v>
      </c>
      <c r="C165" s="26" t="s">
        <v>1490</v>
      </c>
      <c r="D165" s="26" t="s">
        <v>1491</v>
      </c>
      <c r="E165" s="34">
        <v>3.3</v>
      </c>
      <c r="F165" s="33" t="str">
        <f t="shared" si="2"/>
        <v>Regime do país de destino — confirmar quem é o produtor (PPWR art. 44.º)</v>
      </c>
      <c r="G165" s="26" t="s">
        <v>193</v>
      </c>
      <c r="H165" s="43">
        <f>IF(B165="PT",E165*INDEX(tbl_param_emb[Valor],MATCH(G165,tbl_param_emb[ID_Parametro],0)),0)</f>
        <v>0</v>
      </c>
    </row>
    <row r="166" spans="1:8" ht="16.05" customHeight="1" x14ac:dyDescent="0.3">
      <c r="A166" s="41">
        <v>46296</v>
      </c>
      <c r="B166" s="26" t="s">
        <v>1476</v>
      </c>
      <c r="C166" s="26" t="s">
        <v>1492</v>
      </c>
      <c r="D166" s="26" t="s">
        <v>1493</v>
      </c>
      <c r="E166" s="34">
        <v>240.5</v>
      </c>
      <c r="F166" s="33" t="str">
        <f t="shared" si="2"/>
        <v>Regime do país de destino — confirmar quem é o produtor (PPWR art. 44.º)</v>
      </c>
      <c r="G166" s="26" t="s">
        <v>195</v>
      </c>
      <c r="H166" s="43">
        <f>IF(B166="PT",E166*INDEX(tbl_param_emb[Valor],MATCH(G166,tbl_param_emb[ID_Parametro],0)),0)</f>
        <v>0</v>
      </c>
    </row>
    <row r="167" spans="1:8" ht="16.05" customHeight="1" x14ac:dyDescent="0.3">
      <c r="A167" s="41">
        <v>46296</v>
      </c>
      <c r="B167" s="26" t="s">
        <v>1472</v>
      </c>
      <c r="C167" s="26" t="s">
        <v>1488</v>
      </c>
      <c r="D167" s="26" t="s">
        <v>1489</v>
      </c>
      <c r="E167" s="34">
        <v>334.4</v>
      </c>
      <c r="F167" s="33" t="str">
        <f t="shared" si="2"/>
        <v>Regime do país de destino — confirmar quem é o produtor (PPWR art. 44.º)</v>
      </c>
      <c r="G167" s="26" t="s">
        <v>189</v>
      </c>
      <c r="H167" s="43">
        <f>IF(B167="PT",E167*INDEX(tbl_param_emb[Valor],MATCH(G167,tbl_param_emb[ID_Parametro],0)),0)</f>
        <v>0</v>
      </c>
    </row>
    <row r="168" spans="1:8" ht="16.05" customHeight="1" x14ac:dyDescent="0.3">
      <c r="A168" s="41">
        <v>46296</v>
      </c>
      <c r="B168" s="26" t="s">
        <v>1472</v>
      </c>
      <c r="C168" s="26" t="s">
        <v>1490</v>
      </c>
      <c r="D168" s="26" t="s">
        <v>1491</v>
      </c>
      <c r="E168" s="34">
        <v>5.6</v>
      </c>
      <c r="F168" s="33" t="str">
        <f t="shared" si="2"/>
        <v>Regime do país de destino — confirmar quem é o produtor (PPWR art. 44.º)</v>
      </c>
      <c r="G168" s="26" t="s">
        <v>193</v>
      </c>
      <c r="H168" s="43">
        <f>IF(B168="PT",E168*INDEX(tbl_param_emb[Valor],MATCH(G168,tbl_param_emb[ID_Parametro],0)),0)</f>
        <v>0</v>
      </c>
    </row>
    <row r="169" spans="1:8" ht="16.05" customHeight="1" x14ac:dyDescent="0.3">
      <c r="A169" s="41">
        <v>46296</v>
      </c>
      <c r="B169" s="26" t="s">
        <v>1472</v>
      </c>
      <c r="C169" s="26" t="s">
        <v>1492</v>
      </c>
      <c r="D169" s="26" t="s">
        <v>1493</v>
      </c>
      <c r="E169" s="34">
        <v>408.8</v>
      </c>
      <c r="F169" s="33" t="str">
        <f t="shared" si="2"/>
        <v>Regime do país de destino — confirmar quem é o produtor (PPWR art. 44.º)</v>
      </c>
      <c r="G169" s="26" t="s">
        <v>195</v>
      </c>
      <c r="H169" s="43">
        <f>IF(B169="PT",E169*INDEX(tbl_param_emb[Valor],MATCH(G169,tbl_param_emb[ID_Parametro],0)),0)</f>
        <v>0</v>
      </c>
    </row>
    <row r="170" spans="1:8" ht="16.05" customHeight="1" x14ac:dyDescent="0.3">
      <c r="A170" s="41">
        <v>46296</v>
      </c>
      <c r="B170" s="26" t="s">
        <v>1478</v>
      </c>
      <c r="C170" s="26" t="s">
        <v>1488</v>
      </c>
      <c r="D170" s="26" t="s">
        <v>1489</v>
      </c>
      <c r="E170" s="34">
        <v>228</v>
      </c>
      <c r="F170" s="33" t="str">
        <f t="shared" si="2"/>
        <v>Regime do país de destino — confirmar quem é o produtor (PPWR art. 44.º)</v>
      </c>
      <c r="G170" s="26" t="s">
        <v>189</v>
      </c>
      <c r="H170" s="43">
        <f>IF(B170="PT",E170*INDEX(tbl_param_emb[Valor],MATCH(G170,tbl_param_emb[ID_Parametro],0)),0)</f>
        <v>0</v>
      </c>
    </row>
    <row r="171" spans="1:8" ht="16.05" customHeight="1" x14ac:dyDescent="0.3">
      <c r="A171" s="41">
        <v>46296</v>
      </c>
      <c r="B171" s="26" t="s">
        <v>1478</v>
      </c>
      <c r="C171" s="26" t="s">
        <v>1490</v>
      </c>
      <c r="D171" s="26" t="s">
        <v>1491</v>
      </c>
      <c r="E171" s="34">
        <v>3.8</v>
      </c>
      <c r="F171" s="33" t="str">
        <f t="shared" si="2"/>
        <v>Regime do país de destino — confirmar quem é o produtor (PPWR art. 44.º)</v>
      </c>
      <c r="G171" s="26" t="s">
        <v>193</v>
      </c>
      <c r="H171" s="43">
        <f>IF(B171="PT",E171*INDEX(tbl_param_emb[Valor],MATCH(G171,tbl_param_emb[ID_Parametro],0)),0)</f>
        <v>0</v>
      </c>
    </row>
    <row r="172" spans="1:8" ht="16.05" customHeight="1" x14ac:dyDescent="0.3">
      <c r="A172" s="41">
        <v>46296</v>
      </c>
      <c r="B172" s="26" t="s">
        <v>1478</v>
      </c>
      <c r="C172" s="26" t="s">
        <v>1492</v>
      </c>
      <c r="D172" s="26" t="s">
        <v>1493</v>
      </c>
      <c r="E172" s="34">
        <v>278.60000000000002</v>
      </c>
      <c r="F172" s="33" t="str">
        <f t="shared" si="2"/>
        <v>Regime do país de destino — confirmar quem é o produtor (PPWR art. 44.º)</v>
      </c>
      <c r="G172" s="26" t="s">
        <v>195</v>
      </c>
      <c r="H172" s="43">
        <f>IF(B172="PT",E172*INDEX(tbl_param_emb[Valor],MATCH(G172,tbl_param_emb[ID_Parametro],0)),0)</f>
        <v>0</v>
      </c>
    </row>
    <row r="173" spans="1:8" ht="16.05" customHeight="1" x14ac:dyDescent="0.3">
      <c r="A173" s="41">
        <v>46296</v>
      </c>
      <c r="B173" s="26" t="s">
        <v>1480</v>
      </c>
      <c r="C173" s="26" t="s">
        <v>1488</v>
      </c>
      <c r="D173" s="26" t="s">
        <v>1489</v>
      </c>
      <c r="E173" s="34">
        <v>203.2</v>
      </c>
      <c r="F173" s="33" t="str">
        <f t="shared" si="2"/>
        <v>Regime do país de destino — confirmar quem é o produtor (PPWR art. 44.º)</v>
      </c>
      <c r="G173" s="26" t="s">
        <v>189</v>
      </c>
      <c r="H173" s="43">
        <f>IF(B173="PT",E173*INDEX(tbl_param_emb[Valor],MATCH(G173,tbl_param_emb[ID_Parametro],0)),0)</f>
        <v>0</v>
      </c>
    </row>
    <row r="174" spans="1:8" ht="16.05" customHeight="1" x14ac:dyDescent="0.3">
      <c r="A174" s="41">
        <v>46296</v>
      </c>
      <c r="B174" s="26" t="s">
        <v>1480</v>
      </c>
      <c r="C174" s="26" t="s">
        <v>1490</v>
      </c>
      <c r="D174" s="26" t="s">
        <v>1491</v>
      </c>
      <c r="E174" s="34">
        <v>3.4</v>
      </c>
      <c r="F174" s="33" t="str">
        <f t="shared" si="2"/>
        <v>Regime do país de destino — confirmar quem é o produtor (PPWR art. 44.º)</v>
      </c>
      <c r="G174" s="26" t="s">
        <v>193</v>
      </c>
      <c r="H174" s="43">
        <f>IF(B174="PT",E174*INDEX(tbl_param_emb[Valor],MATCH(G174,tbl_param_emb[ID_Parametro],0)),0)</f>
        <v>0</v>
      </c>
    </row>
    <row r="175" spans="1:8" ht="16.05" customHeight="1" x14ac:dyDescent="0.3">
      <c r="A175" s="41">
        <v>46296</v>
      </c>
      <c r="B175" s="26" t="s">
        <v>1480</v>
      </c>
      <c r="C175" s="26" t="s">
        <v>1492</v>
      </c>
      <c r="D175" s="26" t="s">
        <v>1493</v>
      </c>
      <c r="E175" s="34">
        <v>248.3</v>
      </c>
      <c r="F175" s="33" t="str">
        <f t="shared" si="2"/>
        <v>Regime do país de destino — confirmar quem é o produtor (PPWR art. 44.º)</v>
      </c>
      <c r="G175" s="26" t="s">
        <v>195</v>
      </c>
      <c r="H175" s="43">
        <f>IF(B175="PT",E175*INDEX(tbl_param_emb[Valor],MATCH(G175,tbl_param_emb[ID_Parametro],0)),0)</f>
        <v>0</v>
      </c>
    </row>
    <row r="176" spans="1:8" ht="16.05" customHeight="1" x14ac:dyDescent="0.3">
      <c r="A176" s="41">
        <v>46296</v>
      </c>
      <c r="B176" s="26" t="s">
        <v>847</v>
      </c>
      <c r="C176" s="26" t="s">
        <v>1488</v>
      </c>
      <c r="D176" s="26" t="s">
        <v>1489</v>
      </c>
      <c r="E176" s="34">
        <v>1988.7</v>
      </c>
      <c r="F176" s="33" t="str">
        <f t="shared" si="2"/>
        <v>SIGRE — embalagens não urbanas (Plasticom embalador)</v>
      </c>
      <c r="G176" s="26" t="s">
        <v>189</v>
      </c>
      <c r="H176" s="43">
        <f>IF(B176="PT",E176*INDEX(tbl_param_emb[Valor],MATCH(G176,tbl_param_emb[ID_Parametro],0)),0)</f>
        <v>59.661000000000001</v>
      </c>
    </row>
    <row r="177" spans="1:8" ht="16.05" customHeight="1" x14ac:dyDescent="0.3">
      <c r="A177" s="41">
        <v>46296</v>
      </c>
      <c r="B177" s="26" t="s">
        <v>847</v>
      </c>
      <c r="C177" s="26" t="s">
        <v>1490</v>
      </c>
      <c r="D177" s="26" t="s">
        <v>1491</v>
      </c>
      <c r="E177" s="34">
        <v>33.1</v>
      </c>
      <c r="F177" s="33" t="str">
        <f t="shared" si="2"/>
        <v>SIGRE — embalagens não urbanas (Plasticom embalador)</v>
      </c>
      <c r="G177" s="26" t="s">
        <v>193</v>
      </c>
      <c r="H177" s="43">
        <f>IF(B177="PT",E177*INDEX(tbl_param_emb[Valor],MATCH(G177,tbl_param_emb[ID_Parametro],0)),0)</f>
        <v>3.3100000000000005</v>
      </c>
    </row>
    <row r="178" spans="1:8" ht="16.05" customHeight="1" x14ac:dyDescent="0.3">
      <c r="A178" s="41">
        <v>46296</v>
      </c>
      <c r="B178" s="26" t="s">
        <v>847</v>
      </c>
      <c r="C178" s="26" t="s">
        <v>1492</v>
      </c>
      <c r="D178" s="26" t="s">
        <v>1493</v>
      </c>
      <c r="E178" s="34">
        <v>2430.6</v>
      </c>
      <c r="F178" s="33" t="str">
        <f t="shared" si="2"/>
        <v>SIGRE — embalagens não urbanas (Plasticom embalador)</v>
      </c>
      <c r="G178" s="26" t="s">
        <v>195</v>
      </c>
      <c r="H178" s="43">
        <f>IF(B178="PT",E178*INDEX(tbl_param_emb[Valor],MATCH(G178,tbl_param_emb[ID_Parametro],0)),0)</f>
        <v>24.306000000000001</v>
      </c>
    </row>
    <row r="179" spans="1:8" ht="16.05" customHeight="1" x14ac:dyDescent="0.3">
      <c r="A179" s="41">
        <v>46296</v>
      </c>
      <c r="B179" s="26" t="s">
        <v>1474</v>
      </c>
      <c r="C179" s="26" t="s">
        <v>1488</v>
      </c>
      <c r="D179" s="26" t="s">
        <v>1489</v>
      </c>
      <c r="E179" s="34">
        <v>654.79999999999995</v>
      </c>
      <c r="F179" s="33" t="str">
        <f t="shared" si="2"/>
        <v>Regime do país de destino — confirmar quem é o produtor (PPWR art. 44.º)</v>
      </c>
      <c r="G179" s="26" t="s">
        <v>189</v>
      </c>
      <c r="H179" s="43">
        <f>IF(B179="PT",E179*INDEX(tbl_param_emb[Valor],MATCH(G179,tbl_param_emb[ID_Parametro],0)),0)</f>
        <v>0</v>
      </c>
    </row>
    <row r="180" spans="1:8" ht="16.05" customHeight="1" x14ac:dyDescent="0.3">
      <c r="A180" s="41">
        <v>46296</v>
      </c>
      <c r="B180" s="26" t="s">
        <v>1474</v>
      </c>
      <c r="C180" s="26" t="s">
        <v>1490</v>
      </c>
      <c r="D180" s="26" t="s">
        <v>1491</v>
      </c>
      <c r="E180" s="34">
        <v>10.9</v>
      </c>
      <c r="F180" s="33" t="str">
        <f t="shared" si="2"/>
        <v>Regime do país de destino — confirmar quem é o produtor (PPWR art. 44.º)</v>
      </c>
      <c r="G180" s="26" t="s">
        <v>193</v>
      </c>
      <c r="H180" s="43">
        <f>IF(B180="PT",E180*INDEX(tbl_param_emb[Valor],MATCH(G180,tbl_param_emb[ID_Parametro],0)),0)</f>
        <v>0</v>
      </c>
    </row>
    <row r="181" spans="1:8" ht="16.05" customHeight="1" x14ac:dyDescent="0.3">
      <c r="A181" s="41">
        <v>46296</v>
      </c>
      <c r="B181" s="26" t="s">
        <v>1474</v>
      </c>
      <c r="C181" s="26" t="s">
        <v>1492</v>
      </c>
      <c r="D181" s="26" t="s">
        <v>1493</v>
      </c>
      <c r="E181" s="34">
        <v>800.4</v>
      </c>
      <c r="F181" s="33" t="str">
        <f t="shared" si="2"/>
        <v>Regime do país de destino — confirmar quem é o produtor (PPWR art. 44.º)</v>
      </c>
      <c r="G181" s="26" t="s">
        <v>195</v>
      </c>
      <c r="H181" s="43">
        <f>IF(B181="PT",E181*INDEX(tbl_param_emb[Valor],MATCH(G181,tbl_param_emb[ID_Parametro],0)),0)</f>
        <v>0</v>
      </c>
    </row>
    <row r="182" spans="1:8" ht="16.05" customHeight="1" x14ac:dyDescent="0.3">
      <c r="A182" s="41">
        <v>46327</v>
      </c>
      <c r="B182" s="26" t="s">
        <v>1476</v>
      </c>
      <c r="C182" s="26" t="s">
        <v>1488</v>
      </c>
      <c r="D182" s="26" t="s">
        <v>1489</v>
      </c>
      <c r="E182" s="34">
        <v>101.9</v>
      </c>
      <c r="F182" s="33" t="str">
        <f t="shared" si="2"/>
        <v>Regime do país de destino — confirmar quem é o produtor (PPWR art. 44.º)</v>
      </c>
      <c r="G182" s="26" t="s">
        <v>189</v>
      </c>
      <c r="H182" s="43">
        <f>IF(B182="PT",E182*INDEX(tbl_param_emb[Valor],MATCH(G182,tbl_param_emb[ID_Parametro],0)),0)</f>
        <v>0</v>
      </c>
    </row>
    <row r="183" spans="1:8" ht="16.05" customHeight="1" x14ac:dyDescent="0.3">
      <c r="A183" s="41">
        <v>46327</v>
      </c>
      <c r="B183" s="26" t="s">
        <v>1476</v>
      </c>
      <c r="C183" s="26" t="s">
        <v>1490</v>
      </c>
      <c r="D183" s="26" t="s">
        <v>1491</v>
      </c>
      <c r="E183" s="34">
        <v>1.7</v>
      </c>
      <c r="F183" s="33" t="str">
        <f t="shared" si="2"/>
        <v>Regime do país de destino — confirmar quem é o produtor (PPWR art. 44.º)</v>
      </c>
      <c r="G183" s="26" t="s">
        <v>193</v>
      </c>
      <c r="H183" s="43">
        <f>IF(B183="PT",E183*INDEX(tbl_param_emb[Valor],MATCH(G183,tbl_param_emb[ID_Parametro],0)),0)</f>
        <v>0</v>
      </c>
    </row>
    <row r="184" spans="1:8" ht="16.05" customHeight="1" x14ac:dyDescent="0.3">
      <c r="A184" s="41">
        <v>46327</v>
      </c>
      <c r="B184" s="26" t="s">
        <v>1476</v>
      </c>
      <c r="C184" s="26" t="s">
        <v>1492</v>
      </c>
      <c r="D184" s="26" t="s">
        <v>1493</v>
      </c>
      <c r="E184" s="34">
        <v>124.6</v>
      </c>
      <c r="F184" s="33" t="str">
        <f t="shared" si="2"/>
        <v>Regime do país de destino — confirmar quem é o produtor (PPWR art. 44.º)</v>
      </c>
      <c r="G184" s="26" t="s">
        <v>195</v>
      </c>
      <c r="H184" s="43">
        <f>IF(B184="PT",E184*INDEX(tbl_param_emb[Valor],MATCH(G184,tbl_param_emb[ID_Parametro],0)),0)</f>
        <v>0</v>
      </c>
    </row>
    <row r="185" spans="1:8" ht="16.05" customHeight="1" x14ac:dyDescent="0.3">
      <c r="A185" s="41">
        <v>46327</v>
      </c>
      <c r="B185" s="26" t="s">
        <v>1472</v>
      </c>
      <c r="C185" s="26" t="s">
        <v>1488</v>
      </c>
      <c r="D185" s="26" t="s">
        <v>1489</v>
      </c>
      <c r="E185" s="34">
        <v>382</v>
      </c>
      <c r="F185" s="33" t="str">
        <f t="shared" si="2"/>
        <v>Regime do país de destino — confirmar quem é o produtor (PPWR art. 44.º)</v>
      </c>
      <c r="G185" s="26" t="s">
        <v>189</v>
      </c>
      <c r="H185" s="43">
        <f>IF(B185="PT",E185*INDEX(tbl_param_emb[Valor],MATCH(G185,tbl_param_emb[ID_Parametro],0)),0)</f>
        <v>0</v>
      </c>
    </row>
    <row r="186" spans="1:8" ht="16.05" customHeight="1" x14ac:dyDescent="0.3">
      <c r="A186" s="41">
        <v>46327</v>
      </c>
      <c r="B186" s="26" t="s">
        <v>1472</v>
      </c>
      <c r="C186" s="26" t="s">
        <v>1490</v>
      </c>
      <c r="D186" s="26" t="s">
        <v>1491</v>
      </c>
      <c r="E186" s="34">
        <v>6.4</v>
      </c>
      <c r="F186" s="33" t="str">
        <f t="shared" si="2"/>
        <v>Regime do país de destino — confirmar quem é o produtor (PPWR art. 44.º)</v>
      </c>
      <c r="G186" s="26" t="s">
        <v>193</v>
      </c>
      <c r="H186" s="43">
        <f>IF(B186="PT",E186*INDEX(tbl_param_emb[Valor],MATCH(G186,tbl_param_emb[ID_Parametro],0)),0)</f>
        <v>0</v>
      </c>
    </row>
    <row r="187" spans="1:8" ht="16.05" customHeight="1" x14ac:dyDescent="0.3">
      <c r="A187" s="41">
        <v>46327</v>
      </c>
      <c r="B187" s="26" t="s">
        <v>1472</v>
      </c>
      <c r="C187" s="26" t="s">
        <v>1492</v>
      </c>
      <c r="D187" s="26" t="s">
        <v>1493</v>
      </c>
      <c r="E187" s="34">
        <v>466.9</v>
      </c>
      <c r="F187" s="33" t="str">
        <f t="shared" si="2"/>
        <v>Regime do país de destino — confirmar quem é o produtor (PPWR art. 44.º)</v>
      </c>
      <c r="G187" s="26" t="s">
        <v>195</v>
      </c>
      <c r="H187" s="43">
        <f>IF(B187="PT",E187*INDEX(tbl_param_emb[Valor],MATCH(G187,tbl_param_emb[ID_Parametro],0)),0)</f>
        <v>0</v>
      </c>
    </row>
    <row r="188" spans="1:8" ht="16.05" customHeight="1" x14ac:dyDescent="0.3">
      <c r="A188" s="41">
        <v>46327</v>
      </c>
      <c r="B188" s="26" t="s">
        <v>1478</v>
      </c>
      <c r="C188" s="26" t="s">
        <v>1488</v>
      </c>
      <c r="D188" s="26" t="s">
        <v>1489</v>
      </c>
      <c r="E188" s="34">
        <v>225.8</v>
      </c>
      <c r="F188" s="33" t="str">
        <f t="shared" si="2"/>
        <v>Regime do país de destino — confirmar quem é o produtor (PPWR art. 44.º)</v>
      </c>
      <c r="G188" s="26" t="s">
        <v>189</v>
      </c>
      <c r="H188" s="43">
        <f>IF(B188="PT",E188*INDEX(tbl_param_emb[Valor],MATCH(G188,tbl_param_emb[ID_Parametro],0)),0)</f>
        <v>0</v>
      </c>
    </row>
    <row r="189" spans="1:8" ht="16.05" customHeight="1" x14ac:dyDescent="0.3">
      <c r="A189" s="41">
        <v>46327</v>
      </c>
      <c r="B189" s="26" t="s">
        <v>1478</v>
      </c>
      <c r="C189" s="26" t="s">
        <v>1490</v>
      </c>
      <c r="D189" s="26" t="s">
        <v>1491</v>
      </c>
      <c r="E189" s="34">
        <v>3.8</v>
      </c>
      <c r="F189" s="33" t="str">
        <f t="shared" si="2"/>
        <v>Regime do país de destino — confirmar quem é o produtor (PPWR art. 44.º)</v>
      </c>
      <c r="G189" s="26" t="s">
        <v>193</v>
      </c>
      <c r="H189" s="43">
        <f>IF(B189="PT",E189*INDEX(tbl_param_emb[Valor],MATCH(G189,tbl_param_emb[ID_Parametro],0)),0)</f>
        <v>0</v>
      </c>
    </row>
    <row r="190" spans="1:8" ht="16.05" customHeight="1" x14ac:dyDescent="0.3">
      <c r="A190" s="41">
        <v>46327</v>
      </c>
      <c r="B190" s="26" t="s">
        <v>1478</v>
      </c>
      <c r="C190" s="26" t="s">
        <v>1492</v>
      </c>
      <c r="D190" s="26" t="s">
        <v>1493</v>
      </c>
      <c r="E190" s="34">
        <v>276</v>
      </c>
      <c r="F190" s="33" t="str">
        <f t="shared" si="2"/>
        <v>Regime do país de destino — confirmar quem é o produtor (PPWR art. 44.º)</v>
      </c>
      <c r="G190" s="26" t="s">
        <v>195</v>
      </c>
      <c r="H190" s="43">
        <f>IF(B190="PT",E190*INDEX(tbl_param_emb[Valor],MATCH(G190,tbl_param_emb[ID_Parametro],0)),0)</f>
        <v>0</v>
      </c>
    </row>
    <row r="191" spans="1:8" ht="16.05" customHeight="1" x14ac:dyDescent="0.3">
      <c r="A191" s="41">
        <v>46327</v>
      </c>
      <c r="B191" s="26" t="s">
        <v>1480</v>
      </c>
      <c r="C191" s="26" t="s">
        <v>1488</v>
      </c>
      <c r="D191" s="26" t="s">
        <v>1489</v>
      </c>
      <c r="E191" s="34">
        <v>175.8</v>
      </c>
      <c r="F191" s="33" t="str">
        <f t="shared" si="2"/>
        <v>Regime do país de destino — confirmar quem é o produtor (PPWR art. 44.º)</v>
      </c>
      <c r="G191" s="26" t="s">
        <v>189</v>
      </c>
      <c r="H191" s="43">
        <f>IF(B191="PT",E191*INDEX(tbl_param_emb[Valor],MATCH(G191,tbl_param_emb[ID_Parametro],0)),0)</f>
        <v>0</v>
      </c>
    </row>
    <row r="192" spans="1:8" ht="16.05" customHeight="1" x14ac:dyDescent="0.3">
      <c r="A192" s="41">
        <v>46327</v>
      </c>
      <c r="B192" s="26" t="s">
        <v>1480</v>
      </c>
      <c r="C192" s="26" t="s">
        <v>1490</v>
      </c>
      <c r="D192" s="26" t="s">
        <v>1491</v>
      </c>
      <c r="E192" s="34">
        <v>2.9</v>
      </c>
      <c r="F192" s="33" t="str">
        <f t="shared" si="2"/>
        <v>Regime do país de destino — confirmar quem é o produtor (PPWR art. 44.º)</v>
      </c>
      <c r="G192" s="26" t="s">
        <v>193</v>
      </c>
      <c r="H192" s="43">
        <f>IF(B192="PT",E192*INDEX(tbl_param_emb[Valor],MATCH(G192,tbl_param_emb[ID_Parametro],0)),0)</f>
        <v>0</v>
      </c>
    </row>
    <row r="193" spans="1:8" ht="16.05" customHeight="1" x14ac:dyDescent="0.3">
      <c r="A193" s="41">
        <v>46327</v>
      </c>
      <c r="B193" s="26" t="s">
        <v>1480</v>
      </c>
      <c r="C193" s="26" t="s">
        <v>1492</v>
      </c>
      <c r="D193" s="26" t="s">
        <v>1493</v>
      </c>
      <c r="E193" s="34">
        <v>214.8</v>
      </c>
      <c r="F193" s="33" t="str">
        <f t="shared" si="2"/>
        <v>Regime do país de destino — confirmar quem é o produtor (PPWR art. 44.º)</v>
      </c>
      <c r="G193" s="26" t="s">
        <v>195</v>
      </c>
      <c r="H193" s="43">
        <f>IF(B193="PT",E193*INDEX(tbl_param_emb[Valor],MATCH(G193,tbl_param_emb[ID_Parametro],0)),0)</f>
        <v>0</v>
      </c>
    </row>
    <row r="194" spans="1:8" ht="16.05" customHeight="1" x14ac:dyDescent="0.3">
      <c r="A194" s="41">
        <v>46327</v>
      </c>
      <c r="B194" s="26" t="s">
        <v>847</v>
      </c>
      <c r="C194" s="26" t="s">
        <v>1488</v>
      </c>
      <c r="D194" s="26" t="s">
        <v>1489</v>
      </c>
      <c r="E194" s="34">
        <v>1920.5</v>
      </c>
      <c r="F194" s="33" t="str">
        <f t="shared" ref="F194:F217" si="3">IF(B194="PT","SIGRE — embalagens não urbanas (Plasticom embalador)","Regime do país de destino — confirmar quem é o produtor (PPWR art. 44.º)")</f>
        <v>SIGRE — embalagens não urbanas (Plasticom embalador)</v>
      </c>
      <c r="G194" s="26" t="s">
        <v>189</v>
      </c>
      <c r="H194" s="43">
        <f>IF(B194="PT",E194*INDEX(tbl_param_emb[Valor],MATCH(G194,tbl_param_emb[ID_Parametro],0)),0)</f>
        <v>57.614999999999995</v>
      </c>
    </row>
    <row r="195" spans="1:8" ht="16.05" customHeight="1" x14ac:dyDescent="0.3">
      <c r="A195" s="41">
        <v>46327</v>
      </c>
      <c r="B195" s="26" t="s">
        <v>847</v>
      </c>
      <c r="C195" s="26" t="s">
        <v>1490</v>
      </c>
      <c r="D195" s="26" t="s">
        <v>1491</v>
      </c>
      <c r="E195" s="34">
        <v>32</v>
      </c>
      <c r="F195" s="33" t="str">
        <f t="shared" si="3"/>
        <v>SIGRE — embalagens não urbanas (Plasticom embalador)</v>
      </c>
      <c r="G195" s="26" t="s">
        <v>193</v>
      </c>
      <c r="H195" s="43">
        <f>IF(B195="PT",E195*INDEX(tbl_param_emb[Valor],MATCH(G195,tbl_param_emb[ID_Parametro],0)),0)</f>
        <v>3.2</v>
      </c>
    </row>
    <row r="196" spans="1:8" ht="16.05" customHeight="1" x14ac:dyDescent="0.3">
      <c r="A196" s="41">
        <v>46327</v>
      </c>
      <c r="B196" s="26" t="s">
        <v>847</v>
      </c>
      <c r="C196" s="26" t="s">
        <v>1492</v>
      </c>
      <c r="D196" s="26" t="s">
        <v>1493</v>
      </c>
      <c r="E196" s="34">
        <v>2347.1999999999998</v>
      </c>
      <c r="F196" s="33" t="str">
        <f t="shared" si="3"/>
        <v>SIGRE — embalagens não urbanas (Plasticom embalador)</v>
      </c>
      <c r="G196" s="26" t="s">
        <v>195</v>
      </c>
      <c r="H196" s="43">
        <f>IF(B196="PT",E196*INDEX(tbl_param_emb[Valor],MATCH(G196,tbl_param_emb[ID_Parametro],0)),0)</f>
        <v>23.471999999999998</v>
      </c>
    </row>
    <row r="197" spans="1:8" ht="16.05" customHeight="1" x14ac:dyDescent="0.3">
      <c r="A197" s="41">
        <v>46327</v>
      </c>
      <c r="B197" s="26" t="s">
        <v>1474</v>
      </c>
      <c r="C197" s="26" t="s">
        <v>1488</v>
      </c>
      <c r="D197" s="26" t="s">
        <v>1489</v>
      </c>
      <c r="E197" s="34">
        <v>572.5</v>
      </c>
      <c r="F197" s="33" t="str">
        <f t="shared" si="3"/>
        <v>Regime do país de destino — confirmar quem é o produtor (PPWR art. 44.º)</v>
      </c>
      <c r="G197" s="26" t="s">
        <v>189</v>
      </c>
      <c r="H197" s="43">
        <f>IF(B197="PT",E197*INDEX(tbl_param_emb[Valor],MATCH(G197,tbl_param_emb[ID_Parametro],0)),0)</f>
        <v>0</v>
      </c>
    </row>
    <row r="198" spans="1:8" ht="16.05" customHeight="1" x14ac:dyDescent="0.3">
      <c r="A198" s="41">
        <v>46327</v>
      </c>
      <c r="B198" s="26" t="s">
        <v>1474</v>
      </c>
      <c r="C198" s="26" t="s">
        <v>1490</v>
      </c>
      <c r="D198" s="26" t="s">
        <v>1491</v>
      </c>
      <c r="E198" s="34">
        <v>9.5</v>
      </c>
      <c r="F198" s="33" t="str">
        <f t="shared" si="3"/>
        <v>Regime do país de destino — confirmar quem é o produtor (PPWR art. 44.º)</v>
      </c>
      <c r="G198" s="26" t="s">
        <v>193</v>
      </c>
      <c r="H198" s="43">
        <f>IF(B198="PT",E198*INDEX(tbl_param_emb[Valor],MATCH(G198,tbl_param_emb[ID_Parametro],0)),0)</f>
        <v>0</v>
      </c>
    </row>
    <row r="199" spans="1:8" ht="16.05" customHeight="1" x14ac:dyDescent="0.3">
      <c r="A199" s="41">
        <v>46327</v>
      </c>
      <c r="B199" s="26" t="s">
        <v>1474</v>
      </c>
      <c r="C199" s="26" t="s">
        <v>1492</v>
      </c>
      <c r="D199" s="26" t="s">
        <v>1493</v>
      </c>
      <c r="E199" s="34">
        <v>699.7</v>
      </c>
      <c r="F199" s="33" t="str">
        <f t="shared" si="3"/>
        <v>Regime do país de destino — confirmar quem é o produtor (PPWR art. 44.º)</v>
      </c>
      <c r="G199" s="26" t="s">
        <v>195</v>
      </c>
      <c r="H199" s="43">
        <f>IF(B199="PT",E199*INDEX(tbl_param_emb[Valor],MATCH(G199,tbl_param_emb[ID_Parametro],0)),0)</f>
        <v>0</v>
      </c>
    </row>
    <row r="200" spans="1:8" ht="16.05" customHeight="1" x14ac:dyDescent="0.3">
      <c r="A200" s="41">
        <v>46357</v>
      </c>
      <c r="B200" s="26" t="s">
        <v>1476</v>
      </c>
      <c r="C200" s="26" t="s">
        <v>1488</v>
      </c>
      <c r="D200" s="26" t="s">
        <v>1489</v>
      </c>
      <c r="E200" s="34">
        <v>189.4</v>
      </c>
      <c r="F200" s="33" t="str">
        <f t="shared" si="3"/>
        <v>Regime do país de destino — confirmar quem é o produtor (PPWR art. 44.º)</v>
      </c>
      <c r="G200" s="26" t="s">
        <v>189</v>
      </c>
      <c r="H200" s="43">
        <f>IF(B200="PT",E200*INDEX(tbl_param_emb[Valor],MATCH(G200,tbl_param_emb[ID_Parametro],0)),0)</f>
        <v>0</v>
      </c>
    </row>
    <row r="201" spans="1:8" ht="16.05" customHeight="1" x14ac:dyDescent="0.3">
      <c r="A201" s="41">
        <v>46357</v>
      </c>
      <c r="B201" s="26" t="s">
        <v>1476</v>
      </c>
      <c r="C201" s="26" t="s">
        <v>1490</v>
      </c>
      <c r="D201" s="26" t="s">
        <v>1491</v>
      </c>
      <c r="E201" s="34">
        <v>3.2</v>
      </c>
      <c r="F201" s="33" t="str">
        <f t="shared" si="3"/>
        <v>Regime do país de destino — confirmar quem é o produtor (PPWR art. 44.º)</v>
      </c>
      <c r="G201" s="26" t="s">
        <v>193</v>
      </c>
      <c r="H201" s="43">
        <f>IF(B201="PT",E201*INDEX(tbl_param_emb[Valor],MATCH(G201,tbl_param_emb[ID_Parametro],0)),0)</f>
        <v>0</v>
      </c>
    </row>
    <row r="202" spans="1:8" ht="16.05" customHeight="1" x14ac:dyDescent="0.3">
      <c r="A202" s="41">
        <v>46357</v>
      </c>
      <c r="B202" s="26" t="s">
        <v>1476</v>
      </c>
      <c r="C202" s="26" t="s">
        <v>1492</v>
      </c>
      <c r="D202" s="26" t="s">
        <v>1493</v>
      </c>
      <c r="E202" s="34">
        <v>231.5</v>
      </c>
      <c r="F202" s="33" t="str">
        <f t="shared" si="3"/>
        <v>Regime do país de destino — confirmar quem é o produtor (PPWR art. 44.º)</v>
      </c>
      <c r="G202" s="26" t="s">
        <v>195</v>
      </c>
      <c r="H202" s="43">
        <f>IF(B202="PT",E202*INDEX(tbl_param_emb[Valor],MATCH(G202,tbl_param_emb[ID_Parametro],0)),0)</f>
        <v>0</v>
      </c>
    </row>
    <row r="203" spans="1:8" ht="16.05" customHeight="1" x14ac:dyDescent="0.3">
      <c r="A203" s="41">
        <v>46357</v>
      </c>
      <c r="B203" s="26" t="s">
        <v>1472</v>
      </c>
      <c r="C203" s="26" t="s">
        <v>1488</v>
      </c>
      <c r="D203" s="26" t="s">
        <v>1489</v>
      </c>
      <c r="E203" s="34">
        <v>262</v>
      </c>
      <c r="F203" s="33" t="str">
        <f t="shared" si="3"/>
        <v>Regime do país de destino — confirmar quem é o produtor (PPWR art. 44.º)</v>
      </c>
      <c r="G203" s="26" t="s">
        <v>189</v>
      </c>
      <c r="H203" s="43">
        <f>IF(B203="PT",E203*INDEX(tbl_param_emb[Valor],MATCH(G203,tbl_param_emb[ID_Parametro],0)),0)</f>
        <v>0</v>
      </c>
    </row>
    <row r="204" spans="1:8" ht="16.05" customHeight="1" x14ac:dyDescent="0.3">
      <c r="A204" s="41">
        <v>46357</v>
      </c>
      <c r="B204" s="26" t="s">
        <v>1472</v>
      </c>
      <c r="C204" s="26" t="s">
        <v>1490</v>
      </c>
      <c r="D204" s="26" t="s">
        <v>1491</v>
      </c>
      <c r="E204" s="34">
        <v>4.4000000000000004</v>
      </c>
      <c r="F204" s="33" t="str">
        <f t="shared" si="3"/>
        <v>Regime do país de destino — confirmar quem é o produtor (PPWR art. 44.º)</v>
      </c>
      <c r="G204" s="26" t="s">
        <v>193</v>
      </c>
      <c r="H204" s="43">
        <f>IF(B204="PT",E204*INDEX(tbl_param_emb[Valor],MATCH(G204,tbl_param_emb[ID_Parametro],0)),0)</f>
        <v>0</v>
      </c>
    </row>
    <row r="205" spans="1:8" ht="16.05" customHeight="1" x14ac:dyDescent="0.3">
      <c r="A205" s="41">
        <v>46357</v>
      </c>
      <c r="B205" s="26" t="s">
        <v>1472</v>
      </c>
      <c r="C205" s="26" t="s">
        <v>1492</v>
      </c>
      <c r="D205" s="26" t="s">
        <v>1493</v>
      </c>
      <c r="E205" s="34">
        <v>320.2</v>
      </c>
      <c r="F205" s="33" t="str">
        <f t="shared" si="3"/>
        <v>Regime do país de destino — confirmar quem é o produtor (PPWR art. 44.º)</v>
      </c>
      <c r="G205" s="26" t="s">
        <v>195</v>
      </c>
      <c r="H205" s="43">
        <f>IF(B205="PT",E205*INDEX(tbl_param_emb[Valor],MATCH(G205,tbl_param_emb[ID_Parametro],0)),0)</f>
        <v>0</v>
      </c>
    </row>
    <row r="206" spans="1:8" ht="16.05" customHeight="1" x14ac:dyDescent="0.3">
      <c r="A206" s="41">
        <v>46357</v>
      </c>
      <c r="B206" s="26" t="s">
        <v>1478</v>
      </c>
      <c r="C206" s="26" t="s">
        <v>1488</v>
      </c>
      <c r="D206" s="26" t="s">
        <v>1489</v>
      </c>
      <c r="E206" s="34">
        <v>162.4</v>
      </c>
      <c r="F206" s="33" t="str">
        <f t="shared" si="3"/>
        <v>Regime do país de destino — confirmar quem é o produtor (PPWR art. 44.º)</v>
      </c>
      <c r="G206" s="26" t="s">
        <v>189</v>
      </c>
      <c r="H206" s="43">
        <f>IF(B206="PT",E206*INDEX(tbl_param_emb[Valor],MATCH(G206,tbl_param_emb[ID_Parametro],0)),0)</f>
        <v>0</v>
      </c>
    </row>
    <row r="207" spans="1:8" ht="16.05" customHeight="1" x14ac:dyDescent="0.3">
      <c r="A207" s="41">
        <v>46357</v>
      </c>
      <c r="B207" s="26" t="s">
        <v>1478</v>
      </c>
      <c r="C207" s="26" t="s">
        <v>1490</v>
      </c>
      <c r="D207" s="26" t="s">
        <v>1491</v>
      </c>
      <c r="E207" s="34">
        <v>2.7</v>
      </c>
      <c r="F207" s="33" t="str">
        <f t="shared" si="3"/>
        <v>Regime do país de destino — confirmar quem é o produtor (PPWR art. 44.º)</v>
      </c>
      <c r="G207" s="26" t="s">
        <v>193</v>
      </c>
      <c r="H207" s="43">
        <f>IF(B207="PT",E207*INDEX(tbl_param_emb[Valor],MATCH(G207,tbl_param_emb[ID_Parametro],0)),0)</f>
        <v>0</v>
      </c>
    </row>
    <row r="208" spans="1:8" ht="16.05" customHeight="1" x14ac:dyDescent="0.3">
      <c r="A208" s="41">
        <v>46357</v>
      </c>
      <c r="B208" s="26" t="s">
        <v>1478</v>
      </c>
      <c r="C208" s="26" t="s">
        <v>1492</v>
      </c>
      <c r="D208" s="26" t="s">
        <v>1493</v>
      </c>
      <c r="E208" s="34">
        <v>198.5</v>
      </c>
      <c r="F208" s="33" t="str">
        <f t="shared" si="3"/>
        <v>Regime do país de destino — confirmar quem é o produtor (PPWR art. 44.º)</v>
      </c>
      <c r="G208" s="26" t="s">
        <v>195</v>
      </c>
      <c r="H208" s="43">
        <f>IF(B208="PT",E208*INDEX(tbl_param_emb[Valor],MATCH(G208,tbl_param_emb[ID_Parametro],0)),0)</f>
        <v>0</v>
      </c>
    </row>
    <row r="209" spans="1:8" ht="16.05" customHeight="1" x14ac:dyDescent="0.3">
      <c r="A209" s="41">
        <v>46357</v>
      </c>
      <c r="B209" s="26" t="s">
        <v>1480</v>
      </c>
      <c r="C209" s="26" t="s">
        <v>1488</v>
      </c>
      <c r="D209" s="26" t="s">
        <v>1489</v>
      </c>
      <c r="E209" s="34">
        <v>135.6</v>
      </c>
      <c r="F209" s="33" t="str">
        <f t="shared" si="3"/>
        <v>Regime do país de destino — confirmar quem é o produtor (PPWR art. 44.º)</v>
      </c>
      <c r="G209" s="26" t="s">
        <v>189</v>
      </c>
      <c r="H209" s="43">
        <f>IF(B209="PT",E209*INDEX(tbl_param_emb[Valor],MATCH(G209,tbl_param_emb[ID_Parametro],0)),0)</f>
        <v>0</v>
      </c>
    </row>
    <row r="210" spans="1:8" ht="16.05" customHeight="1" x14ac:dyDescent="0.3">
      <c r="A210" s="41">
        <v>46357</v>
      </c>
      <c r="B210" s="26" t="s">
        <v>1480</v>
      </c>
      <c r="C210" s="26" t="s">
        <v>1490</v>
      </c>
      <c r="D210" s="26" t="s">
        <v>1491</v>
      </c>
      <c r="E210" s="34">
        <v>2.2999999999999998</v>
      </c>
      <c r="F210" s="33" t="str">
        <f t="shared" si="3"/>
        <v>Regime do país de destino — confirmar quem é o produtor (PPWR art. 44.º)</v>
      </c>
      <c r="G210" s="26" t="s">
        <v>193</v>
      </c>
      <c r="H210" s="43">
        <f>IF(B210="PT",E210*INDEX(tbl_param_emb[Valor],MATCH(G210,tbl_param_emb[ID_Parametro],0)),0)</f>
        <v>0</v>
      </c>
    </row>
    <row r="211" spans="1:8" ht="16.05" customHeight="1" x14ac:dyDescent="0.3">
      <c r="A211" s="41">
        <v>46357</v>
      </c>
      <c r="B211" s="26" t="s">
        <v>1480</v>
      </c>
      <c r="C211" s="26" t="s">
        <v>1492</v>
      </c>
      <c r="D211" s="26" t="s">
        <v>1493</v>
      </c>
      <c r="E211" s="34">
        <v>165.8</v>
      </c>
      <c r="F211" s="33" t="str">
        <f t="shared" si="3"/>
        <v>Regime do país de destino — confirmar quem é o produtor (PPWR art. 44.º)</v>
      </c>
      <c r="G211" s="26" t="s">
        <v>195</v>
      </c>
      <c r="H211" s="43">
        <f>IF(B211="PT",E211*INDEX(tbl_param_emb[Valor],MATCH(G211,tbl_param_emb[ID_Parametro],0)),0)</f>
        <v>0</v>
      </c>
    </row>
    <row r="212" spans="1:8" ht="16.05" customHeight="1" x14ac:dyDescent="0.3">
      <c r="A212" s="41">
        <v>46357</v>
      </c>
      <c r="B212" s="26" t="s">
        <v>847</v>
      </c>
      <c r="C212" s="26" t="s">
        <v>1488</v>
      </c>
      <c r="D212" s="26" t="s">
        <v>1489</v>
      </c>
      <c r="E212" s="34">
        <v>1768.4</v>
      </c>
      <c r="F212" s="33" t="str">
        <f t="shared" si="3"/>
        <v>SIGRE — embalagens não urbanas (Plasticom embalador)</v>
      </c>
      <c r="G212" s="26" t="s">
        <v>189</v>
      </c>
      <c r="H212" s="43">
        <f>IF(B212="PT",E212*INDEX(tbl_param_emb[Valor],MATCH(G212,tbl_param_emb[ID_Parametro],0)),0)</f>
        <v>53.052</v>
      </c>
    </row>
    <row r="213" spans="1:8" ht="16.05" customHeight="1" x14ac:dyDescent="0.3">
      <c r="A213" s="41">
        <v>46357</v>
      </c>
      <c r="B213" s="26" t="s">
        <v>847</v>
      </c>
      <c r="C213" s="26" t="s">
        <v>1490</v>
      </c>
      <c r="D213" s="26" t="s">
        <v>1491</v>
      </c>
      <c r="E213" s="34">
        <v>29.5</v>
      </c>
      <c r="F213" s="33" t="str">
        <f t="shared" si="3"/>
        <v>SIGRE — embalagens não urbanas (Plasticom embalador)</v>
      </c>
      <c r="G213" s="26" t="s">
        <v>193</v>
      </c>
      <c r="H213" s="43">
        <f>IF(B213="PT",E213*INDEX(tbl_param_emb[Valor],MATCH(G213,tbl_param_emb[ID_Parametro],0)),0)</f>
        <v>2.95</v>
      </c>
    </row>
    <row r="214" spans="1:8" ht="16.05" customHeight="1" x14ac:dyDescent="0.3">
      <c r="A214" s="41">
        <v>46357</v>
      </c>
      <c r="B214" s="26" t="s">
        <v>847</v>
      </c>
      <c r="C214" s="26" t="s">
        <v>1492</v>
      </c>
      <c r="D214" s="26" t="s">
        <v>1493</v>
      </c>
      <c r="E214" s="34">
        <v>2161.4</v>
      </c>
      <c r="F214" s="33" t="str">
        <f t="shared" si="3"/>
        <v>SIGRE — embalagens não urbanas (Plasticom embalador)</v>
      </c>
      <c r="G214" s="26" t="s">
        <v>195</v>
      </c>
      <c r="H214" s="43">
        <f>IF(B214="PT",E214*INDEX(tbl_param_emb[Valor],MATCH(G214,tbl_param_emb[ID_Parametro],0)),0)</f>
        <v>21.614000000000001</v>
      </c>
    </row>
    <row r="215" spans="1:8" ht="16.05" customHeight="1" x14ac:dyDescent="0.3">
      <c r="A215" s="41">
        <v>46357</v>
      </c>
      <c r="B215" s="26" t="s">
        <v>1474</v>
      </c>
      <c r="C215" s="26" t="s">
        <v>1488</v>
      </c>
      <c r="D215" s="26" t="s">
        <v>1489</v>
      </c>
      <c r="E215" s="34">
        <v>524.1</v>
      </c>
      <c r="F215" s="33" t="str">
        <f t="shared" si="3"/>
        <v>Regime do país de destino — confirmar quem é o produtor (PPWR art. 44.º)</v>
      </c>
      <c r="G215" s="26" t="s">
        <v>189</v>
      </c>
      <c r="H215" s="43">
        <f>IF(B215="PT",E215*INDEX(tbl_param_emb[Valor],MATCH(G215,tbl_param_emb[ID_Parametro],0)),0)</f>
        <v>0</v>
      </c>
    </row>
    <row r="216" spans="1:8" ht="16.05" customHeight="1" x14ac:dyDescent="0.3">
      <c r="A216" s="41">
        <v>46357</v>
      </c>
      <c r="B216" s="26" t="s">
        <v>1474</v>
      </c>
      <c r="C216" s="26" t="s">
        <v>1490</v>
      </c>
      <c r="D216" s="26" t="s">
        <v>1491</v>
      </c>
      <c r="E216" s="34">
        <v>8.6999999999999993</v>
      </c>
      <c r="F216" s="33" t="str">
        <f t="shared" si="3"/>
        <v>Regime do país de destino — confirmar quem é o produtor (PPWR art. 44.º)</v>
      </c>
      <c r="G216" s="26" t="s">
        <v>193</v>
      </c>
      <c r="H216" s="43">
        <f>IF(B216="PT",E216*INDEX(tbl_param_emb[Valor],MATCH(G216,tbl_param_emb[ID_Parametro],0)),0)</f>
        <v>0</v>
      </c>
    </row>
    <row r="217" spans="1:8" ht="16.05" customHeight="1" x14ac:dyDescent="0.3">
      <c r="A217" s="41">
        <v>46357</v>
      </c>
      <c r="B217" s="26" t="s">
        <v>1474</v>
      </c>
      <c r="C217" s="26" t="s">
        <v>1492</v>
      </c>
      <c r="D217" s="26" t="s">
        <v>1493</v>
      </c>
      <c r="E217" s="34">
        <v>640.6</v>
      </c>
      <c r="F217" s="33" t="str">
        <f t="shared" si="3"/>
        <v>Regime do país de destino — confirmar quem é o produtor (PPWR art. 44.º)</v>
      </c>
      <c r="G217" s="26" t="s">
        <v>195</v>
      </c>
      <c r="H217" s="43">
        <f>IF(B217="PT",E217*INDEX(tbl_param_emb[Valor],MATCH(G217,tbl_param_emb[ID_Parametro],0)),0)</f>
        <v>0</v>
      </c>
    </row>
  </sheetData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M13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5" customWidth="1"/>
    <col min="3" max="3" width="22" customWidth="1"/>
    <col min="4" max="4" width="60" customWidth="1"/>
    <col min="5" max="5" width="26" customWidth="1"/>
    <col min="6" max="6" width="34" customWidth="1"/>
    <col min="7" max="7" width="22" customWidth="1"/>
    <col min="8" max="8" width="30" customWidth="1"/>
    <col min="9" max="9" width="18" customWidth="1"/>
    <col min="10" max="10" width="11" customWidth="1"/>
    <col min="11" max="11" width="7" customWidth="1"/>
    <col min="12" max="13" width="11" customWidth="1"/>
  </cols>
  <sheetData>
    <row r="1" spans="1:13" ht="26.4" x14ac:dyDescent="0.3">
      <c r="A1" s="12" t="s">
        <v>1494</v>
      </c>
      <c r="B1" s="12" t="s">
        <v>1460</v>
      </c>
      <c r="C1" s="12" t="s">
        <v>944</v>
      </c>
      <c r="D1" s="12" t="s">
        <v>945</v>
      </c>
      <c r="E1" s="12" t="s">
        <v>947</v>
      </c>
      <c r="F1" s="12" t="s">
        <v>1495</v>
      </c>
      <c r="G1" s="12" t="s">
        <v>1496</v>
      </c>
      <c r="H1" s="12" t="s">
        <v>1497</v>
      </c>
      <c r="I1" s="12" t="s">
        <v>946</v>
      </c>
      <c r="J1" s="12" t="s">
        <v>14</v>
      </c>
      <c r="K1" s="12" t="s">
        <v>1462</v>
      </c>
      <c r="L1" s="30" t="s">
        <v>1498</v>
      </c>
      <c r="M1" s="30" t="s">
        <v>1466</v>
      </c>
    </row>
    <row r="2" spans="1:13" ht="45" customHeight="1" x14ac:dyDescent="0.3">
      <c r="A2" s="26" t="s">
        <v>1499</v>
      </c>
      <c r="B2" s="26" t="s">
        <v>847</v>
      </c>
      <c r="C2" s="26" t="s">
        <v>1500</v>
      </c>
      <c r="D2" s="26" t="s">
        <v>1501</v>
      </c>
      <c r="E2" s="26" t="s">
        <v>1502</v>
      </c>
      <c r="F2" s="26" t="s">
        <v>1503</v>
      </c>
      <c r="G2" s="26" t="s">
        <v>1504</v>
      </c>
      <c r="H2" s="26" t="s">
        <v>1505</v>
      </c>
      <c r="I2" s="26" t="s">
        <v>971</v>
      </c>
      <c r="J2" s="26" t="s">
        <v>1033</v>
      </c>
      <c r="K2" s="39">
        <v>10</v>
      </c>
      <c r="L2" s="32">
        <f>SUMIFS(tbl_vendas_embalagem[Massa_kg],tbl_vendas_embalagem[Pais],B2)</f>
        <v>392275.95510000014</v>
      </c>
      <c r="M2" s="32">
        <f>SUMIFS(tbl_vendas_embalagem[Massa_Reciclado_kg],tbl_vendas_embalagem[Pais],B2)</f>
        <v>46238.11692</v>
      </c>
    </row>
    <row r="3" spans="1:13" ht="45" customHeight="1" x14ac:dyDescent="0.3">
      <c r="A3" s="26" t="s">
        <v>1506</v>
      </c>
      <c r="B3" s="26" t="s">
        <v>847</v>
      </c>
      <c r="C3" s="26" t="s">
        <v>1507</v>
      </c>
      <c r="D3" s="26" t="s">
        <v>1508</v>
      </c>
      <c r="E3" s="26" t="s">
        <v>1421</v>
      </c>
      <c r="F3" s="26" t="s">
        <v>1509</v>
      </c>
      <c r="G3" s="26" t="s">
        <v>1510</v>
      </c>
      <c r="H3" s="26" t="s">
        <v>1505</v>
      </c>
      <c r="I3" s="26" t="s">
        <v>971</v>
      </c>
      <c r="J3" s="26" t="s">
        <v>1033</v>
      </c>
      <c r="K3" s="39">
        <v>10</v>
      </c>
      <c r="L3" s="32">
        <f>SUMIFS(tbl_vendas_embalagem[Massa_kg],tbl_vendas_embalagem[Pais],B3)</f>
        <v>392275.95510000014</v>
      </c>
      <c r="M3" s="32">
        <f>SUMIFS(tbl_vendas_embalagem[Massa_Reciclado_kg],tbl_vendas_embalagem[Pais],B3)</f>
        <v>46238.11692</v>
      </c>
    </row>
    <row r="4" spans="1:13" ht="45" customHeight="1" x14ac:dyDescent="0.3">
      <c r="A4" s="26" t="s">
        <v>1511</v>
      </c>
      <c r="B4" s="26" t="s">
        <v>1474</v>
      </c>
      <c r="C4" s="26" t="s">
        <v>1500</v>
      </c>
      <c r="D4" s="26" t="s">
        <v>1512</v>
      </c>
      <c r="E4" s="26" t="s">
        <v>1513</v>
      </c>
      <c r="F4" s="26" t="s">
        <v>1514</v>
      </c>
      <c r="G4" s="26" t="s">
        <v>1515</v>
      </c>
      <c r="H4" s="26" t="s">
        <v>1516</v>
      </c>
      <c r="I4" s="26" t="s">
        <v>971</v>
      </c>
      <c r="J4" s="26" t="s">
        <v>1517</v>
      </c>
      <c r="K4" s="39">
        <v>3</v>
      </c>
      <c r="L4" s="32">
        <f>SUMIFS(tbl_vendas_embalagem[Massa_kg],tbl_vendas_embalagem[Pais],B4)</f>
        <v>97819.784500000009</v>
      </c>
      <c r="M4" s="32">
        <f>SUMIFS(tbl_vendas_embalagem[Massa_Reciclado_kg],tbl_vendas_embalagem[Pais],B4)</f>
        <v>11115.778119999995</v>
      </c>
    </row>
    <row r="5" spans="1:13" ht="45" customHeight="1" x14ac:dyDescent="0.3">
      <c r="A5" s="26" t="s">
        <v>1518</v>
      </c>
      <c r="B5" s="26" t="s">
        <v>1474</v>
      </c>
      <c r="C5" s="26" t="s">
        <v>1519</v>
      </c>
      <c r="D5" s="26" t="s">
        <v>1520</v>
      </c>
      <c r="E5" s="26" t="s">
        <v>1513</v>
      </c>
      <c r="F5" s="26" t="s">
        <v>1521</v>
      </c>
      <c r="G5" s="26" t="s">
        <v>1522</v>
      </c>
      <c r="H5" s="26" t="s">
        <v>1523</v>
      </c>
      <c r="I5" s="26" t="s">
        <v>1218</v>
      </c>
      <c r="J5" s="26" t="s">
        <v>978</v>
      </c>
      <c r="K5" s="39">
        <v>3</v>
      </c>
      <c r="L5" s="32">
        <f>SUMIFS(tbl_vendas_embalagem[Massa_kg],tbl_vendas_embalagem[Pais],B5)</f>
        <v>97819.784500000009</v>
      </c>
      <c r="M5" s="32">
        <f>SUMIFS(tbl_vendas_embalagem[Massa_Reciclado_kg],tbl_vendas_embalagem[Pais],B5)</f>
        <v>11115.778119999995</v>
      </c>
    </row>
    <row r="6" spans="1:13" ht="45" customHeight="1" x14ac:dyDescent="0.3">
      <c r="A6" s="26" t="s">
        <v>1524</v>
      </c>
      <c r="B6" s="26" t="s">
        <v>1476</v>
      </c>
      <c r="C6" s="26" t="s">
        <v>1525</v>
      </c>
      <c r="D6" s="26" t="s">
        <v>1526</v>
      </c>
      <c r="E6" s="26" t="s">
        <v>1527</v>
      </c>
      <c r="F6" s="26" t="s">
        <v>1528</v>
      </c>
      <c r="G6" s="26" t="s">
        <v>1529</v>
      </c>
      <c r="H6" s="26" t="s">
        <v>1530</v>
      </c>
      <c r="I6" s="26" t="s">
        <v>1218</v>
      </c>
      <c r="J6" s="26" t="s">
        <v>1033</v>
      </c>
      <c r="K6" s="39">
        <v>1</v>
      </c>
      <c r="L6" s="32">
        <f>SUMIFS(tbl_vendas_embalagem[Massa_kg],tbl_vendas_embalagem[Pais],B6)</f>
        <v>41908.846699999995</v>
      </c>
      <c r="M6" s="32">
        <f>SUMIFS(tbl_vendas_embalagem[Massa_Reciclado_kg],tbl_vendas_embalagem[Pais],B6)</f>
        <v>4773.7135100000005</v>
      </c>
    </row>
    <row r="7" spans="1:13" ht="45" customHeight="1" x14ac:dyDescent="0.3">
      <c r="A7" s="26" t="s">
        <v>1531</v>
      </c>
      <c r="B7" s="26" t="s">
        <v>1476</v>
      </c>
      <c r="C7" s="26" t="s">
        <v>1532</v>
      </c>
      <c r="D7" s="26" t="s">
        <v>1533</v>
      </c>
      <c r="E7" s="26" t="s">
        <v>1534</v>
      </c>
      <c r="F7" s="26" t="s">
        <v>1535</v>
      </c>
      <c r="G7" s="26" t="s">
        <v>1536</v>
      </c>
      <c r="H7" s="26" t="s">
        <v>1537</v>
      </c>
      <c r="I7" s="26" t="s">
        <v>1043</v>
      </c>
      <c r="J7" s="26" t="s">
        <v>1517</v>
      </c>
      <c r="K7" s="39">
        <v>1</v>
      </c>
      <c r="L7" s="32">
        <f>SUMIFS(tbl_vendas_embalagem[Massa_kg],tbl_vendas_embalagem[Pais],B7)</f>
        <v>41908.846699999995</v>
      </c>
      <c r="M7" s="32">
        <f>SUMIFS(tbl_vendas_embalagem[Massa_Reciclado_kg],tbl_vendas_embalagem[Pais],B7)</f>
        <v>4773.7135100000005</v>
      </c>
    </row>
    <row r="8" spans="1:13" ht="45" customHeight="1" x14ac:dyDescent="0.3">
      <c r="A8" s="26" t="s">
        <v>1538</v>
      </c>
      <c r="B8" s="26" t="s">
        <v>1476</v>
      </c>
      <c r="C8" s="26" t="s">
        <v>1151</v>
      </c>
      <c r="D8" s="26" t="s">
        <v>1539</v>
      </c>
      <c r="E8" s="26" t="s">
        <v>1540</v>
      </c>
      <c r="F8" s="26" t="s">
        <v>1541</v>
      </c>
      <c r="G8" s="26" t="s">
        <v>1536</v>
      </c>
      <c r="H8" s="26" t="s">
        <v>1542</v>
      </c>
      <c r="I8" s="26" t="s">
        <v>971</v>
      </c>
      <c r="J8" s="26" t="s">
        <v>978</v>
      </c>
      <c r="K8" s="39">
        <v>1</v>
      </c>
      <c r="L8" s="32">
        <f>SUMIFS(tbl_vendas_embalagem[Massa_kg],tbl_vendas_embalagem[Pais],B8)</f>
        <v>41908.846699999995</v>
      </c>
      <c r="M8" s="32">
        <f>SUMIFS(tbl_vendas_embalagem[Massa_Reciclado_kg],tbl_vendas_embalagem[Pais],B8)</f>
        <v>4773.7135100000005</v>
      </c>
    </row>
    <row r="9" spans="1:13" ht="45" customHeight="1" x14ac:dyDescent="0.3">
      <c r="A9" s="26" t="s">
        <v>1543</v>
      </c>
      <c r="B9" s="26" t="s">
        <v>1478</v>
      </c>
      <c r="C9" s="26" t="s">
        <v>1544</v>
      </c>
      <c r="D9" s="26" t="s">
        <v>1545</v>
      </c>
      <c r="E9" s="26" t="s">
        <v>1546</v>
      </c>
      <c r="F9" s="26" t="s">
        <v>1547</v>
      </c>
      <c r="G9" s="26" t="s">
        <v>1548</v>
      </c>
      <c r="H9" s="26" t="s">
        <v>1549</v>
      </c>
      <c r="I9" s="26" t="s">
        <v>971</v>
      </c>
      <c r="J9" s="26" t="s">
        <v>978</v>
      </c>
      <c r="K9" s="39">
        <v>1</v>
      </c>
      <c r="L9" s="32">
        <f>SUMIFS(tbl_vendas_embalagem[Massa_kg],tbl_vendas_embalagem[Pais],B9)</f>
        <v>53544.299299999999</v>
      </c>
      <c r="M9" s="32">
        <f>SUMIFS(tbl_vendas_embalagem[Massa_Reciclado_kg],tbl_vendas_embalagem[Pais],B9)</f>
        <v>7602.8398699999998</v>
      </c>
    </row>
    <row r="10" spans="1:13" ht="45" customHeight="1" x14ac:dyDescent="0.3">
      <c r="A10" s="26" t="s">
        <v>1550</v>
      </c>
      <c r="B10" s="26" t="s">
        <v>1478</v>
      </c>
      <c r="C10" s="26" t="s">
        <v>1551</v>
      </c>
      <c r="D10" s="26" t="s">
        <v>1552</v>
      </c>
      <c r="E10" s="26" t="s">
        <v>1553</v>
      </c>
      <c r="F10" s="26" t="s">
        <v>1554</v>
      </c>
      <c r="G10" s="26" t="s">
        <v>1551</v>
      </c>
      <c r="H10" s="26" t="s">
        <v>1555</v>
      </c>
      <c r="I10" s="26" t="s">
        <v>1218</v>
      </c>
      <c r="J10" s="26" t="s">
        <v>1033</v>
      </c>
      <c r="K10" s="39">
        <v>1</v>
      </c>
      <c r="L10" s="32">
        <f>SUMIFS(tbl_vendas_embalagem[Massa_kg],tbl_vendas_embalagem[Pais],B10)</f>
        <v>53544.299299999999</v>
      </c>
      <c r="M10" s="32">
        <f>SUMIFS(tbl_vendas_embalagem[Massa_Reciclado_kg],tbl_vendas_embalagem[Pais],B10)</f>
        <v>7602.8398699999998</v>
      </c>
    </row>
    <row r="11" spans="1:13" ht="45" customHeight="1" x14ac:dyDescent="0.3">
      <c r="A11" s="26" t="s">
        <v>1556</v>
      </c>
      <c r="B11" s="26" t="s">
        <v>1478</v>
      </c>
      <c r="C11" s="26" t="s">
        <v>1557</v>
      </c>
      <c r="D11" s="26" t="s">
        <v>1558</v>
      </c>
      <c r="E11" s="26" t="s">
        <v>1527</v>
      </c>
      <c r="F11" s="26" t="s">
        <v>1559</v>
      </c>
      <c r="G11" s="26" t="s">
        <v>1560</v>
      </c>
      <c r="H11" s="26" t="s">
        <v>1561</v>
      </c>
      <c r="I11" s="26" t="s">
        <v>1043</v>
      </c>
      <c r="J11" s="26" t="s">
        <v>1517</v>
      </c>
      <c r="K11" s="39">
        <v>1</v>
      </c>
      <c r="L11" s="32">
        <f>SUMIFS(tbl_vendas_embalagem[Massa_kg],tbl_vendas_embalagem[Pais],B11)</f>
        <v>53544.299299999999</v>
      </c>
      <c r="M11" s="32">
        <f>SUMIFS(tbl_vendas_embalagem[Massa_Reciclado_kg],tbl_vendas_embalagem[Pais],B11)</f>
        <v>7602.8398699999998</v>
      </c>
    </row>
    <row r="12" spans="1:13" ht="45" customHeight="1" x14ac:dyDescent="0.3">
      <c r="A12" s="26" t="s">
        <v>1562</v>
      </c>
      <c r="B12" s="26" t="s">
        <v>1472</v>
      </c>
      <c r="C12" s="26" t="s">
        <v>1563</v>
      </c>
      <c r="D12" s="26" t="s">
        <v>1564</v>
      </c>
      <c r="E12" s="26" t="s">
        <v>1527</v>
      </c>
      <c r="F12" s="26" t="s">
        <v>1565</v>
      </c>
      <c r="G12" s="26" t="s">
        <v>1566</v>
      </c>
      <c r="H12" s="26" t="s">
        <v>1567</v>
      </c>
      <c r="I12" s="26" t="s">
        <v>1218</v>
      </c>
      <c r="J12" s="26" t="s">
        <v>978</v>
      </c>
      <c r="K12" s="39">
        <v>2</v>
      </c>
      <c r="L12" s="32">
        <f>SUMIFS(tbl_vendas_embalagem[Massa_kg],tbl_vendas_embalagem[Pais],B12)</f>
        <v>56601.431600000004</v>
      </c>
      <c r="M12" s="32">
        <f>SUMIFS(tbl_vendas_embalagem[Massa_Reciclado_kg],tbl_vendas_embalagem[Pais],B12)</f>
        <v>6482.383560000002</v>
      </c>
    </row>
    <row r="13" spans="1:13" ht="45" customHeight="1" x14ac:dyDescent="0.3">
      <c r="A13" s="26" t="s">
        <v>1568</v>
      </c>
      <c r="B13" s="26" t="s">
        <v>1480</v>
      </c>
      <c r="C13" s="26" t="s">
        <v>1569</v>
      </c>
      <c r="D13" s="26" t="s">
        <v>1570</v>
      </c>
      <c r="E13" s="26" t="s">
        <v>1527</v>
      </c>
      <c r="F13" s="26" t="s">
        <v>1571</v>
      </c>
      <c r="G13" s="26" t="s">
        <v>1572</v>
      </c>
      <c r="H13" s="26" t="s">
        <v>1573</v>
      </c>
      <c r="I13" s="26" t="s">
        <v>1218</v>
      </c>
      <c r="J13" s="26" t="s">
        <v>1033</v>
      </c>
      <c r="K13" s="39">
        <v>1</v>
      </c>
      <c r="L13" s="32">
        <f>SUMIFS(tbl_vendas_embalagem[Massa_kg],tbl_vendas_embalagem[Pais],B13)</f>
        <v>46657.852899999998</v>
      </c>
      <c r="M13" s="32">
        <f>SUMIFS(tbl_vendas_embalagem[Massa_Reciclado_kg],tbl_vendas_embalagem[Pais],B13)</f>
        <v>5602.7515699999985</v>
      </c>
    </row>
  </sheetData>
  <conditionalFormatting sqref="I2:I213">
    <cfRule type="expression" dxfId="19" priority="4">
      <formula>ISNUMBER(SEARCH("verificação",I2))</formula>
    </cfRule>
  </conditionalFormatting>
  <conditionalFormatting sqref="J2:J213">
    <cfRule type="expression" dxfId="18" priority="1">
      <formula>ISNUMBER(SEARCH("Parcial",J2))</formula>
    </cfRule>
    <cfRule type="expression" dxfId="17" priority="2">
      <formula>ISNUMBER(SEARCH("Conforme",J2))</formula>
    </cfRule>
    <cfRule type="expression" dxfId="16" priority="3">
      <formula>ISNUMBER(SEARCH("Em avaliação",J2))</formula>
    </cfRule>
  </conditionalFormatting>
  <dataValidations count="2">
    <dataValidation type="list" allowBlank="1" showErrorMessage="1" errorTitle="Valor inválido" error="Valor fora da lista controlada (ver folha Listas)." sqref="I2:I213" xr:uid="{00000000-0002-0000-0E00-000000000000}">
      <formula1>lst_Natureza</formula1>
    </dataValidation>
    <dataValidation type="list" allowBlank="1" showErrorMessage="1" errorTitle="Valor inválido" error="Valor fora da lista controlada (ver folha Listas)." sqref="J2:J213" xr:uid="{00000000-0002-0000-0E00-000001000000}">
      <formula1>lst_EstadoReq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N5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10" customWidth="1"/>
    <col min="3" max="3" width="18" customWidth="1"/>
    <col min="4" max="4" width="26" customWidth="1"/>
    <col min="5" max="6" width="16" customWidth="1"/>
    <col min="7" max="7" width="9" customWidth="1"/>
    <col min="8" max="8" width="16" customWidth="1"/>
    <col min="9" max="10" width="11" customWidth="1"/>
    <col min="11" max="11" width="16" customWidth="1"/>
    <col min="12" max="12" width="40" customWidth="1"/>
    <col min="13" max="13" width="9" customWidth="1"/>
    <col min="14" max="14" width="14" customWidth="1"/>
  </cols>
  <sheetData>
    <row r="1" spans="1:14" ht="39.6" x14ac:dyDescent="0.3">
      <c r="A1" s="12" t="s">
        <v>1574</v>
      </c>
      <c r="B1" s="12" t="s">
        <v>220</v>
      </c>
      <c r="C1" s="12" t="s">
        <v>213</v>
      </c>
      <c r="D1" s="12" t="s">
        <v>1575</v>
      </c>
      <c r="E1" s="12" t="s">
        <v>1576</v>
      </c>
      <c r="F1" s="12" t="s">
        <v>1577</v>
      </c>
      <c r="G1" s="12" t="s">
        <v>1578</v>
      </c>
      <c r="H1" s="12" t="s">
        <v>1579</v>
      </c>
      <c r="I1" s="12" t="s">
        <v>1580</v>
      </c>
      <c r="J1" s="12" t="s">
        <v>1581</v>
      </c>
      <c r="K1" s="12" t="s">
        <v>1582</v>
      </c>
      <c r="L1" s="12" t="s">
        <v>202</v>
      </c>
      <c r="M1" s="30" t="s">
        <v>1583</v>
      </c>
      <c r="N1" s="30" t="s">
        <v>14</v>
      </c>
    </row>
    <row r="2" spans="1:14" ht="30" customHeight="1" x14ac:dyDescent="0.3">
      <c r="A2" s="26" t="s">
        <v>1584</v>
      </c>
      <c r="B2" s="26" t="s">
        <v>243</v>
      </c>
      <c r="C2" s="26" t="s">
        <v>244</v>
      </c>
      <c r="D2" s="26" t="s">
        <v>1585</v>
      </c>
      <c r="E2" s="26" t="s">
        <v>1586</v>
      </c>
      <c r="F2" s="26" t="s">
        <v>1587</v>
      </c>
      <c r="G2" s="29">
        <v>0.3</v>
      </c>
      <c r="H2" s="26" t="s">
        <v>1588</v>
      </c>
      <c r="I2" s="41">
        <v>45748</v>
      </c>
      <c r="J2" s="41">
        <v>46477</v>
      </c>
      <c r="K2" s="26" t="s">
        <v>904</v>
      </c>
      <c r="L2" s="26"/>
      <c r="M2" s="31">
        <f>IF(J2="","",J2-DataRef)</f>
        <v>90</v>
      </c>
      <c r="N2" s="33" t="str">
        <f>IF(J2="","Sem certificado",IF(M2&lt;0,"Expirado",IF(M2&lt;=90,"Expira ≤ 90 dias","Válido")))</f>
        <v>Expira ≤ 90 dias</v>
      </c>
    </row>
    <row r="3" spans="1:14" ht="30" customHeight="1" x14ac:dyDescent="0.3">
      <c r="A3" s="26" t="s">
        <v>1589</v>
      </c>
      <c r="B3" s="26" t="s">
        <v>231</v>
      </c>
      <c r="C3" s="26" t="s">
        <v>229</v>
      </c>
      <c r="D3" s="26" t="s">
        <v>1590</v>
      </c>
      <c r="E3" s="26" t="s">
        <v>1591</v>
      </c>
      <c r="F3" s="26" t="s">
        <v>1587</v>
      </c>
      <c r="G3" s="29">
        <v>0.3</v>
      </c>
      <c r="H3" s="26" t="s">
        <v>1588</v>
      </c>
      <c r="I3" s="41">
        <v>46366</v>
      </c>
      <c r="J3" s="41">
        <v>47096</v>
      </c>
      <c r="K3" s="26" t="s">
        <v>904</v>
      </c>
      <c r="L3" s="26" t="s">
        <v>1592</v>
      </c>
      <c r="M3" s="31">
        <f>IF(J3="","",J3-DataRef)</f>
        <v>709</v>
      </c>
      <c r="N3" s="33" t="str">
        <f>IF(J3="","Sem certificado",IF(M3&lt;0,"Expirado",IF(M3&lt;=90,"Expira ≤ 90 dias","Válido")))</f>
        <v>Válido</v>
      </c>
    </row>
    <row r="4" spans="1:14" ht="30" customHeight="1" x14ac:dyDescent="0.3">
      <c r="A4" s="26" t="s">
        <v>1593</v>
      </c>
      <c r="B4" s="26" t="s">
        <v>231</v>
      </c>
      <c r="C4" s="26" t="s">
        <v>253</v>
      </c>
      <c r="D4" s="26" t="s">
        <v>1590</v>
      </c>
      <c r="E4" s="26" t="s">
        <v>1594</v>
      </c>
      <c r="F4" s="26" t="s">
        <v>1587</v>
      </c>
      <c r="G4" s="29">
        <v>0.5</v>
      </c>
      <c r="H4" s="26" t="s">
        <v>1588</v>
      </c>
      <c r="I4" s="41">
        <v>46346</v>
      </c>
      <c r="J4" s="41">
        <v>47076</v>
      </c>
      <c r="K4" s="26" t="s">
        <v>904</v>
      </c>
      <c r="L4" s="26" t="s">
        <v>1595</v>
      </c>
      <c r="M4" s="31">
        <f>IF(J4="","",J4-DataRef)</f>
        <v>689</v>
      </c>
      <c r="N4" s="33" t="str">
        <f>IF(J4="","Sem certificado",IF(M4&lt;0,"Expirado",IF(M4&lt;=90,"Expira ≤ 90 dias","Válido")))</f>
        <v>Válido</v>
      </c>
    </row>
    <row r="5" spans="1:14" ht="30" customHeight="1" x14ac:dyDescent="0.3">
      <c r="A5" s="26" t="s">
        <v>1596</v>
      </c>
      <c r="B5" s="26" t="s">
        <v>239</v>
      </c>
      <c r="C5" s="26" t="s">
        <v>1597</v>
      </c>
      <c r="D5" s="26" t="s">
        <v>1598</v>
      </c>
      <c r="E5" s="26"/>
      <c r="F5" s="26" t="s">
        <v>1599</v>
      </c>
      <c r="G5" s="29"/>
      <c r="H5" s="26" t="s">
        <v>1600</v>
      </c>
      <c r="I5" s="41"/>
      <c r="J5" s="41"/>
      <c r="K5" s="26" t="s">
        <v>1601</v>
      </c>
      <c r="L5" s="26" t="s">
        <v>1602</v>
      </c>
      <c r="M5" s="31" t="str">
        <f>IF(J5="","",J5-DataRef)</f>
        <v/>
      </c>
      <c r="N5" s="33" t="str">
        <f>IF(J5="","Sem certificado",IF(M5&lt;0,"Expirado",IF(M5&lt;=90,"Expira ≤ 90 dias","Válido")))</f>
        <v>Sem certificado</v>
      </c>
    </row>
  </sheetData>
  <conditionalFormatting sqref="N2:N205">
    <cfRule type="expression" dxfId="15" priority="1">
      <formula>ISNUMBER(SEARCH("Expirado",N2))</formula>
    </cfRule>
    <cfRule type="expression" dxfId="14" priority="2">
      <formula>ISNUMBER(SEARCH("Sem",N2))</formula>
    </cfRule>
    <cfRule type="expression" dxfId="13" priority="3">
      <formula>ISNUMBER(SEARCH("90",N2))</formula>
    </cfRule>
    <cfRule type="expression" dxfId="12" priority="4">
      <formula>ISNUMBER(SEARCH("Válido",N2))</formula>
    </cfRule>
  </conditionalFormatting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M11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40" customWidth="1"/>
    <col min="3" max="3" width="16" customWidth="1"/>
    <col min="4" max="4" width="22" customWidth="1"/>
    <col min="5" max="5" width="18" customWidth="1"/>
    <col min="6" max="6" width="26" customWidth="1"/>
    <col min="7" max="7" width="40" customWidth="1"/>
    <col min="8" max="10" width="11" customWidth="1"/>
    <col min="11" max="11" width="24" customWidth="1"/>
    <col min="12" max="12" width="10" customWidth="1"/>
    <col min="13" max="13" width="20" customWidth="1"/>
  </cols>
  <sheetData>
    <row r="1" spans="1:13" ht="26.4" x14ac:dyDescent="0.3">
      <c r="A1" s="12" t="s">
        <v>1603</v>
      </c>
      <c r="B1" s="12" t="s">
        <v>1604</v>
      </c>
      <c r="C1" s="12" t="s">
        <v>885</v>
      </c>
      <c r="D1" s="12" t="s">
        <v>949</v>
      </c>
      <c r="E1" s="12" t="s">
        <v>1605</v>
      </c>
      <c r="F1" s="12" t="s">
        <v>1606</v>
      </c>
      <c r="G1" s="12" t="s">
        <v>1448</v>
      </c>
      <c r="H1" s="12" t="s">
        <v>14</v>
      </c>
      <c r="I1" s="12" t="s">
        <v>961</v>
      </c>
      <c r="J1" s="12" t="s">
        <v>1607</v>
      </c>
      <c r="K1" s="12" t="s">
        <v>957</v>
      </c>
      <c r="L1" s="12" t="s">
        <v>899</v>
      </c>
      <c r="M1" s="30" t="s">
        <v>964</v>
      </c>
    </row>
    <row r="2" spans="1:13" ht="30" customHeight="1" x14ac:dyDescent="0.3">
      <c r="A2" s="26" t="s">
        <v>1608</v>
      </c>
      <c r="B2" s="26" t="s">
        <v>1609</v>
      </c>
      <c r="C2" s="26" t="s">
        <v>1610</v>
      </c>
      <c r="D2" s="26" t="s">
        <v>1611</v>
      </c>
      <c r="E2" s="26" t="s">
        <v>1612</v>
      </c>
      <c r="F2" s="26" t="s">
        <v>1613</v>
      </c>
      <c r="G2" s="26" t="s">
        <v>1614</v>
      </c>
      <c r="H2" s="26" t="s">
        <v>1615</v>
      </c>
      <c r="I2" s="41">
        <v>46287</v>
      </c>
      <c r="J2" s="41">
        <v>46292</v>
      </c>
      <c r="K2" s="26" t="s">
        <v>1158</v>
      </c>
      <c r="L2" s="26" t="s">
        <v>1157</v>
      </c>
      <c r="M2" s="33" t="str">
        <f t="shared" ref="M2:M11" si="0">IF(OR(H2="Retirar",H2="Proibida",H2="Suspensa"),IF(J2&lt;=DataRef+7,"RETIRAR JÁ","Retirar até ao prazo"),IF(J2&lt;DataRef,"Revisão vencida","OK"))</f>
        <v>RETIRAR JÁ</v>
      </c>
    </row>
    <row r="3" spans="1:13" ht="30" customHeight="1" x14ac:dyDescent="0.3">
      <c r="A3" s="26" t="s">
        <v>1616</v>
      </c>
      <c r="B3" s="26" t="s">
        <v>1617</v>
      </c>
      <c r="C3" s="26" t="s">
        <v>1618</v>
      </c>
      <c r="D3" s="26" t="s">
        <v>1619</v>
      </c>
      <c r="E3" s="26" t="s">
        <v>1620</v>
      </c>
      <c r="F3" s="26" t="s">
        <v>1621</v>
      </c>
      <c r="G3" s="26" t="s">
        <v>1622</v>
      </c>
      <c r="H3" s="26" t="s">
        <v>1623</v>
      </c>
      <c r="I3" s="41">
        <v>46287</v>
      </c>
      <c r="J3" s="41">
        <v>46292</v>
      </c>
      <c r="K3" s="26" t="s">
        <v>1158</v>
      </c>
      <c r="L3" s="26" t="s">
        <v>1157</v>
      </c>
      <c r="M3" s="33" t="str">
        <f t="shared" si="0"/>
        <v>RETIRAR JÁ</v>
      </c>
    </row>
    <row r="4" spans="1:13" ht="30" customHeight="1" x14ac:dyDescent="0.3">
      <c r="A4" s="26" t="s">
        <v>1624</v>
      </c>
      <c r="B4" s="26" t="s">
        <v>1625</v>
      </c>
      <c r="C4" s="26" t="s">
        <v>999</v>
      </c>
      <c r="D4" s="26" t="s">
        <v>1626</v>
      </c>
      <c r="E4" s="26" t="s">
        <v>1627</v>
      </c>
      <c r="F4" s="26" t="s">
        <v>1628</v>
      </c>
      <c r="G4" s="26" t="s">
        <v>1629</v>
      </c>
      <c r="H4" s="26" t="s">
        <v>1630</v>
      </c>
      <c r="I4" s="41">
        <v>46287</v>
      </c>
      <c r="J4" s="41">
        <v>46477</v>
      </c>
      <c r="K4" s="26" t="s">
        <v>596</v>
      </c>
      <c r="L4" s="26"/>
      <c r="M4" s="33" t="str">
        <f t="shared" si="0"/>
        <v>OK</v>
      </c>
    </row>
    <row r="5" spans="1:13" ht="30" customHeight="1" x14ac:dyDescent="0.3">
      <c r="A5" s="26" t="s">
        <v>1631</v>
      </c>
      <c r="B5" s="26" t="s">
        <v>1632</v>
      </c>
      <c r="C5" s="26" t="s">
        <v>999</v>
      </c>
      <c r="D5" s="26" t="s">
        <v>1633</v>
      </c>
      <c r="E5" s="26" t="s">
        <v>1627</v>
      </c>
      <c r="F5" s="26" t="s">
        <v>1628</v>
      </c>
      <c r="G5" s="26" t="s">
        <v>1634</v>
      </c>
      <c r="H5" s="26" t="s">
        <v>1630</v>
      </c>
      <c r="I5" s="41">
        <v>46366</v>
      </c>
      <c r="J5" s="41">
        <v>46548</v>
      </c>
      <c r="K5" s="26" t="s">
        <v>596</v>
      </c>
      <c r="L5" s="26" t="s">
        <v>1004</v>
      </c>
      <c r="M5" s="33" t="str">
        <f t="shared" si="0"/>
        <v>OK</v>
      </c>
    </row>
    <row r="6" spans="1:13" ht="30" customHeight="1" x14ac:dyDescent="0.3">
      <c r="A6" s="26" t="s">
        <v>1635</v>
      </c>
      <c r="B6" s="26" t="s">
        <v>1636</v>
      </c>
      <c r="C6" s="26" t="s">
        <v>999</v>
      </c>
      <c r="D6" s="26" t="s">
        <v>1637</v>
      </c>
      <c r="E6" s="26" t="s">
        <v>1638</v>
      </c>
      <c r="F6" s="26" t="s">
        <v>1628</v>
      </c>
      <c r="G6" s="26" t="s">
        <v>1639</v>
      </c>
      <c r="H6" s="26" t="s">
        <v>1640</v>
      </c>
      <c r="I6" s="41">
        <v>46287</v>
      </c>
      <c r="J6" s="41">
        <v>46326</v>
      </c>
      <c r="K6" s="26" t="s">
        <v>1005</v>
      </c>
      <c r="L6" s="26" t="s">
        <v>1004</v>
      </c>
      <c r="M6" s="33" t="str">
        <f t="shared" si="0"/>
        <v>RETIRAR JÁ</v>
      </c>
    </row>
    <row r="7" spans="1:13" ht="30" customHeight="1" x14ac:dyDescent="0.3">
      <c r="A7" s="26" t="s">
        <v>1641</v>
      </c>
      <c r="B7" s="26" t="s">
        <v>1642</v>
      </c>
      <c r="C7" s="26" t="s">
        <v>1610</v>
      </c>
      <c r="D7" s="26" t="s">
        <v>1643</v>
      </c>
      <c r="E7" s="26" t="s">
        <v>1627</v>
      </c>
      <c r="F7" s="26" t="s">
        <v>1644</v>
      </c>
      <c r="G7" s="26" t="s">
        <v>1645</v>
      </c>
      <c r="H7" s="26" t="s">
        <v>1646</v>
      </c>
      <c r="I7" s="41">
        <v>46287</v>
      </c>
      <c r="J7" s="41">
        <v>46477</v>
      </c>
      <c r="K7" s="26" t="s">
        <v>596</v>
      </c>
      <c r="L7" s="26" t="s">
        <v>1391</v>
      </c>
      <c r="M7" s="33" t="str">
        <f t="shared" si="0"/>
        <v>OK</v>
      </c>
    </row>
    <row r="8" spans="1:13" ht="30" customHeight="1" x14ac:dyDescent="0.3">
      <c r="A8" s="26" t="s">
        <v>1647</v>
      </c>
      <c r="B8" s="26" t="s">
        <v>1648</v>
      </c>
      <c r="C8" s="26" t="s">
        <v>1649</v>
      </c>
      <c r="D8" s="26" t="s">
        <v>1650</v>
      </c>
      <c r="E8" s="26" t="s">
        <v>1651</v>
      </c>
      <c r="F8" s="26" t="s">
        <v>1652</v>
      </c>
      <c r="G8" s="26" t="s">
        <v>1653</v>
      </c>
      <c r="H8" s="26" t="s">
        <v>1646</v>
      </c>
      <c r="I8" s="41">
        <v>46287</v>
      </c>
      <c r="J8" s="41">
        <v>46568</v>
      </c>
      <c r="K8" s="26" t="s">
        <v>1035</v>
      </c>
      <c r="L8" s="26"/>
      <c r="M8" s="33" t="str">
        <f t="shared" si="0"/>
        <v>OK</v>
      </c>
    </row>
    <row r="9" spans="1:13" ht="30" customHeight="1" x14ac:dyDescent="0.3">
      <c r="A9" s="26" t="s">
        <v>1654</v>
      </c>
      <c r="B9" s="26" t="s">
        <v>1655</v>
      </c>
      <c r="C9" s="26" t="s">
        <v>1656</v>
      </c>
      <c r="D9" s="26" t="s">
        <v>1141</v>
      </c>
      <c r="E9" s="26" t="s">
        <v>1140</v>
      </c>
      <c r="F9" s="26" t="s">
        <v>1657</v>
      </c>
      <c r="G9" s="26" t="s">
        <v>1658</v>
      </c>
      <c r="H9" s="26" t="s">
        <v>1623</v>
      </c>
      <c r="I9" s="41">
        <v>46287</v>
      </c>
      <c r="J9" s="41">
        <v>46292</v>
      </c>
      <c r="K9" s="26" t="s">
        <v>1158</v>
      </c>
      <c r="L9" s="26" t="s">
        <v>1157</v>
      </c>
      <c r="M9" s="33" t="str">
        <f t="shared" si="0"/>
        <v>RETIRAR JÁ</v>
      </c>
    </row>
    <row r="10" spans="1:13" ht="30" customHeight="1" x14ac:dyDescent="0.3">
      <c r="A10" s="26" t="s">
        <v>1659</v>
      </c>
      <c r="B10" s="26" t="s">
        <v>1660</v>
      </c>
      <c r="C10" s="26" t="s">
        <v>1610</v>
      </c>
      <c r="D10" s="26" t="s">
        <v>1661</v>
      </c>
      <c r="E10" s="26" t="s">
        <v>1627</v>
      </c>
      <c r="F10" s="26" t="s">
        <v>1662</v>
      </c>
      <c r="G10" s="26" t="s">
        <v>1663</v>
      </c>
      <c r="H10" s="26" t="s">
        <v>1630</v>
      </c>
      <c r="I10" s="41">
        <v>46287</v>
      </c>
      <c r="J10" s="41">
        <v>46652</v>
      </c>
      <c r="K10" s="26" t="s">
        <v>596</v>
      </c>
      <c r="L10" s="26"/>
      <c r="M10" s="33" t="str">
        <f t="shared" si="0"/>
        <v>OK</v>
      </c>
    </row>
    <row r="11" spans="1:13" ht="30" customHeight="1" x14ac:dyDescent="0.3">
      <c r="A11" s="26" t="s">
        <v>1664</v>
      </c>
      <c r="B11" s="26" t="s">
        <v>1665</v>
      </c>
      <c r="C11" s="26" t="s">
        <v>1666</v>
      </c>
      <c r="D11" s="26" t="s">
        <v>1667</v>
      </c>
      <c r="E11" s="26" t="s">
        <v>1627</v>
      </c>
      <c r="F11" s="26" t="s">
        <v>1668</v>
      </c>
      <c r="G11" s="26" t="s">
        <v>912</v>
      </c>
      <c r="H11" s="26" t="s">
        <v>1630</v>
      </c>
      <c r="I11" s="41">
        <v>46287</v>
      </c>
      <c r="J11" s="41">
        <v>46611</v>
      </c>
      <c r="K11" s="26" t="s">
        <v>1092</v>
      </c>
      <c r="L11" s="26"/>
      <c r="M11" s="33" t="str">
        <f t="shared" si="0"/>
        <v>OK</v>
      </c>
    </row>
  </sheetData>
  <conditionalFormatting sqref="H2:H211">
    <cfRule type="expression" dxfId="11" priority="1">
      <formula>ISNUMBER(SEARCH("Proibida",H2))</formula>
    </cfRule>
    <cfRule type="expression" dxfId="10" priority="2">
      <formula>ISNUMBER(SEARCH("Retirar",H2))</formula>
    </cfRule>
    <cfRule type="expression" dxfId="9" priority="3">
      <formula>ISNUMBER(SEARCH("Suspensa",H2))</formula>
    </cfRule>
    <cfRule type="expression" dxfId="8" priority="4">
      <formula>ISNUMBER(SEARCH("revisão",H2))</formula>
    </cfRule>
    <cfRule type="expression" dxfId="7" priority="5">
      <formula>ISNUMBER(SEARCH("Aprovada",H2))</formula>
    </cfRule>
  </conditionalFormatting>
  <conditionalFormatting sqref="M2:M211">
    <cfRule type="expression" dxfId="6" priority="6">
      <formula>ISNUMBER(SEARCH("JÁ",M2))</formula>
    </cfRule>
    <cfRule type="expression" dxfId="5" priority="7">
      <formula>ISNUMBER(SEARCH("Retirar",M2))</formula>
    </cfRule>
    <cfRule type="expression" dxfId="4" priority="8">
      <formula>ISNUMBER(SEARCH("vencida",M2))</formula>
    </cfRule>
    <cfRule type="expression" dxfId="3" priority="9">
      <formula>ISNUMBER(SEARCH("OK",M2))</formula>
    </cfRule>
  </conditionalFormatting>
  <dataValidations count="2">
    <dataValidation type="list" allowBlank="1" showErrorMessage="1" errorTitle="Valor inválido" error="Valor fora da lista controlada (ver folha Listas)." sqref="H2:H211" xr:uid="{00000000-0002-0000-1000-000000000000}">
      <formula1>lst_EstadoAlegacao</formula1>
    </dataValidation>
    <dataValidation type="list" allowBlank="1" showErrorMessage="1" errorTitle="Valor inválido" error="Valor fora da lista controlada (ver folha Listas)." sqref="K2:K211" xr:uid="{00000000-0002-0000-1000-000001000000}">
      <formula1>lst_Funcao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E17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50" customWidth="1"/>
    <col min="3" max="3" width="12" customWidth="1"/>
    <col min="4" max="4" width="60" customWidth="1"/>
    <col min="5" max="5" width="10" customWidth="1"/>
  </cols>
  <sheetData>
    <row r="1" spans="1:5" x14ac:dyDescent="0.3">
      <c r="A1" s="12" t="s">
        <v>1669</v>
      </c>
      <c r="B1" s="12" t="s">
        <v>1670</v>
      </c>
      <c r="C1" s="12" t="s">
        <v>14</v>
      </c>
      <c r="D1" s="12" t="s">
        <v>952</v>
      </c>
      <c r="E1" s="12" t="s">
        <v>899</v>
      </c>
    </row>
    <row r="2" spans="1:5" ht="30" customHeight="1" x14ac:dyDescent="0.3">
      <c r="A2" s="26" t="s">
        <v>1671</v>
      </c>
      <c r="B2" s="26" t="s">
        <v>1672</v>
      </c>
      <c r="C2" s="26" t="s">
        <v>1673</v>
      </c>
      <c r="D2" s="26" t="s">
        <v>1674</v>
      </c>
      <c r="E2" s="26"/>
    </row>
    <row r="3" spans="1:5" ht="30" customHeight="1" x14ac:dyDescent="0.3">
      <c r="A3" s="26" t="s">
        <v>1675</v>
      </c>
      <c r="B3" s="26" t="s">
        <v>1676</v>
      </c>
      <c r="C3" s="26" t="s">
        <v>1673</v>
      </c>
      <c r="D3" s="26" t="s">
        <v>1677</v>
      </c>
      <c r="E3" s="26"/>
    </row>
    <row r="4" spans="1:5" ht="30" customHeight="1" x14ac:dyDescent="0.3">
      <c r="A4" s="26" t="s">
        <v>1678</v>
      </c>
      <c r="B4" s="26" t="s">
        <v>1679</v>
      </c>
      <c r="C4" s="26" t="s">
        <v>1673</v>
      </c>
      <c r="D4" s="26" t="s">
        <v>1680</v>
      </c>
      <c r="E4" s="26"/>
    </row>
    <row r="5" spans="1:5" ht="30" customHeight="1" x14ac:dyDescent="0.3">
      <c r="A5" s="26" t="s">
        <v>1681</v>
      </c>
      <c r="B5" s="26" t="s">
        <v>1682</v>
      </c>
      <c r="C5" s="26" t="s">
        <v>978</v>
      </c>
      <c r="D5" s="26" t="s">
        <v>1683</v>
      </c>
      <c r="E5" s="26" t="s">
        <v>906</v>
      </c>
    </row>
    <row r="6" spans="1:5" ht="30" customHeight="1" x14ac:dyDescent="0.3">
      <c r="A6" s="26" t="s">
        <v>1684</v>
      </c>
      <c r="B6" s="26" t="s">
        <v>1685</v>
      </c>
      <c r="C6" s="26" t="s">
        <v>978</v>
      </c>
      <c r="D6" s="26" t="s">
        <v>1686</v>
      </c>
      <c r="E6" s="26" t="s">
        <v>1391</v>
      </c>
    </row>
    <row r="7" spans="1:5" ht="30" customHeight="1" x14ac:dyDescent="0.3">
      <c r="A7" s="26" t="s">
        <v>1687</v>
      </c>
      <c r="B7" s="26" t="s">
        <v>1688</v>
      </c>
      <c r="C7" s="26" t="s">
        <v>1673</v>
      </c>
      <c r="D7" s="26" t="s">
        <v>1689</v>
      </c>
      <c r="E7" s="26"/>
    </row>
    <row r="8" spans="1:5" ht="30" customHeight="1" x14ac:dyDescent="0.3">
      <c r="A8" s="26" t="s">
        <v>1690</v>
      </c>
      <c r="B8" s="26" t="s">
        <v>1691</v>
      </c>
      <c r="C8" s="26" t="s">
        <v>1673</v>
      </c>
      <c r="D8" s="26" t="s">
        <v>1692</v>
      </c>
      <c r="E8" s="26"/>
    </row>
    <row r="9" spans="1:5" ht="30" customHeight="1" x14ac:dyDescent="0.3">
      <c r="A9" s="26" t="s">
        <v>1693</v>
      </c>
      <c r="B9" s="26" t="s">
        <v>1694</v>
      </c>
      <c r="C9" s="26" t="s">
        <v>1673</v>
      </c>
      <c r="D9" s="26" t="s">
        <v>1695</v>
      </c>
      <c r="E9" s="26"/>
    </row>
    <row r="10" spans="1:5" ht="30" customHeight="1" x14ac:dyDescent="0.3">
      <c r="A10" s="26" t="s">
        <v>1696</v>
      </c>
      <c r="B10" s="26" t="s">
        <v>1697</v>
      </c>
      <c r="C10" s="26" t="s">
        <v>978</v>
      </c>
      <c r="D10" s="26" t="s">
        <v>1698</v>
      </c>
      <c r="E10" s="26"/>
    </row>
    <row r="11" spans="1:5" ht="30" customHeight="1" x14ac:dyDescent="0.3">
      <c r="A11" s="26" t="s">
        <v>1699</v>
      </c>
      <c r="B11" s="26" t="s">
        <v>1700</v>
      </c>
      <c r="C11" s="26" t="s">
        <v>1673</v>
      </c>
      <c r="D11" s="26" t="s">
        <v>1701</v>
      </c>
      <c r="E11" s="26"/>
    </row>
    <row r="12" spans="1:5" ht="30" customHeight="1" x14ac:dyDescent="0.3">
      <c r="A12" s="26" t="s">
        <v>1702</v>
      </c>
      <c r="B12" s="26" t="s">
        <v>1703</v>
      </c>
      <c r="C12" s="26" t="s">
        <v>978</v>
      </c>
      <c r="D12" s="26" t="s">
        <v>1704</v>
      </c>
      <c r="E12" s="26" t="s">
        <v>1050</v>
      </c>
    </row>
    <row r="13" spans="1:5" ht="30" customHeight="1" x14ac:dyDescent="0.3">
      <c r="A13" s="26" t="s">
        <v>1705</v>
      </c>
      <c r="B13" s="26" t="s">
        <v>1706</v>
      </c>
      <c r="C13" s="26" t="s">
        <v>1673</v>
      </c>
      <c r="D13" s="26" t="s">
        <v>1707</v>
      </c>
      <c r="E13" s="26"/>
    </row>
    <row r="14" spans="1:5" ht="30" customHeight="1" x14ac:dyDescent="0.3">
      <c r="A14" s="26" t="s">
        <v>1708</v>
      </c>
      <c r="B14" s="26" t="s">
        <v>1709</v>
      </c>
      <c r="C14" s="26" t="s">
        <v>1673</v>
      </c>
      <c r="D14" s="26" t="s">
        <v>1710</v>
      </c>
      <c r="E14" s="26"/>
    </row>
    <row r="15" spans="1:5" ht="30" customHeight="1" x14ac:dyDescent="0.3">
      <c r="A15" s="26" t="s">
        <v>1711</v>
      </c>
      <c r="B15" s="26" t="s">
        <v>1712</v>
      </c>
      <c r="C15" s="26" t="s">
        <v>1673</v>
      </c>
      <c r="D15" s="26" t="s">
        <v>1713</v>
      </c>
      <c r="E15" s="26"/>
    </row>
    <row r="16" spans="1:5" ht="30" customHeight="1" x14ac:dyDescent="0.3">
      <c r="A16" s="26" t="s">
        <v>1714</v>
      </c>
      <c r="B16" s="26" t="s">
        <v>1715</v>
      </c>
      <c r="C16" s="26" t="s">
        <v>1673</v>
      </c>
      <c r="D16" s="26" t="s">
        <v>1716</v>
      </c>
      <c r="E16" s="26"/>
    </row>
    <row r="17" spans="1:5" ht="30" customHeight="1" x14ac:dyDescent="0.3">
      <c r="A17" s="26" t="s">
        <v>1717</v>
      </c>
      <c r="B17" s="26" t="s">
        <v>1718</v>
      </c>
      <c r="C17" s="26" t="s">
        <v>1673</v>
      </c>
      <c r="D17" s="26" t="s">
        <v>1719</v>
      </c>
      <c r="E17" s="26"/>
    </row>
  </sheetData>
  <conditionalFormatting sqref="C2:C217">
    <cfRule type="expression" dxfId="2" priority="1">
      <formula>ISNUMBER(SEARCH("Implementado",C2))</formula>
    </cfRule>
    <cfRule type="expression" dxfId="1" priority="2">
      <formula>ISNUMBER(SEARCH("Parcial",C2))</formula>
    </cfRule>
    <cfRule type="expression" dxfId="0" priority="3">
      <formula>ISNUMBER(SEARCH("Lacuna",C2))</formula>
    </cfRule>
  </conditionalFormatting>
  <dataValidations count="1">
    <dataValidation type="list" allowBlank="1" showErrorMessage="1" errorTitle="Valor inválido" error="Valor fora da lista controlada (ver folha Listas)." sqref="C2:C217" xr:uid="{00000000-0002-0000-1100-000000000000}">
      <formula1>lst_Maturidade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70C0"/>
  </sheetPr>
  <dimension ref="A1:C40"/>
  <sheetViews>
    <sheetView showGridLines="0" workbookViewId="0"/>
  </sheetViews>
  <sheetFormatPr defaultRowHeight="14.4" x14ac:dyDescent="0.3"/>
  <cols>
    <col min="1" max="1" width="44" customWidth="1"/>
    <col min="2" max="3" width="60" customWidth="1"/>
  </cols>
  <sheetData>
    <row r="1" spans="1:3" ht="17.399999999999999" x14ac:dyDescent="0.3">
      <c r="A1" s="1" t="s">
        <v>1720</v>
      </c>
    </row>
    <row r="2" spans="1:3" x14ac:dyDescent="0.3">
      <c r="A2" s="2" t="s">
        <v>1721</v>
      </c>
    </row>
    <row r="4" spans="1:3" x14ac:dyDescent="0.3">
      <c r="A4" s="28" t="s">
        <v>1722</v>
      </c>
      <c r="B4" s="44" t="s">
        <v>649</v>
      </c>
    </row>
    <row r="6" spans="1:3" x14ac:dyDescent="0.3">
      <c r="A6" s="3" t="s">
        <v>1723</v>
      </c>
      <c r="B6" s="4"/>
      <c r="C6" s="4"/>
    </row>
    <row r="7" spans="1:3" x14ac:dyDescent="0.3">
      <c r="A7" s="45" t="s">
        <v>1724</v>
      </c>
      <c r="B7" s="13" t="str">
        <f>IFERROR(INDEX(Avaliacao_RecyClass!$M$5:$M$117,MATCH($B$4,Avaliacao_RecyClass!$B$5:$B$117,0)),"")</f>
        <v>Sem categoria RecyClass (PETG)</v>
      </c>
    </row>
    <row r="8" spans="1:3" x14ac:dyDescent="0.3">
      <c r="A8" s="45" t="s">
        <v>1725</v>
      </c>
      <c r="B8" s="13" t="str">
        <f>IFERROR(INDEX(Avaliacao_RecyClass!$C$5:$C$117,MATCH($B$4,Avaliacao_RecyClass!$B$5:$B$117,0)),"")</f>
        <v>Frasco</v>
      </c>
      <c r="C8" s="13" t="str">
        <f>IFERROR(INDEX(Avaliacao_RecyClass!$D$5:$D$117,MATCH($B$4,Avaliacao_RecyClass!$B$5:$B$117,0)),"")</f>
        <v>Cosmética e higiene pessoal</v>
      </c>
    </row>
    <row r="9" spans="1:3" x14ac:dyDescent="0.3">
      <c r="A9" s="45" t="s">
        <v>1726</v>
      </c>
      <c r="B9" s="13">
        <f>IFERROR(INDEX(Avaliacao_RecyClass!$H$5:$H$117,MATCH($B$4,Avaliacao_RecyClass!$B$5:$B$117,0)),"")</f>
        <v>350</v>
      </c>
      <c r="C9" s="13">
        <f>IFERROR(INDEX(Avaliacao_RecyClass!$I$5:$I$117,MATCH($B$4,Avaliacao_RecyClass!$B$5:$B$117,0)),"")</f>
        <v>121</v>
      </c>
    </row>
    <row r="10" spans="1:3" x14ac:dyDescent="0.3">
      <c r="A10" s="45" t="s">
        <v>1727</v>
      </c>
      <c r="B10" s="13">
        <f>IFERROR(INDEX(Avaliacao_RecyClass!$AY$5:$AY$117,MATCH($B$4,Avaliacao_RecyClass!$B$5:$B$117,0)),"")</f>
        <v>36.58</v>
      </c>
    </row>
    <row r="11" spans="1:3" x14ac:dyDescent="0.3">
      <c r="A11" s="3" t="s">
        <v>1728</v>
      </c>
      <c r="B11" s="4"/>
      <c r="C11" s="4"/>
    </row>
    <row r="12" spans="1:3" x14ac:dyDescent="0.3">
      <c r="A12" s="45" t="s">
        <v>1729</v>
      </c>
      <c r="B12" s="13" t="str">
        <f>IFERROR(INDEX(Avaliacao_RecyClass!$J$5:$J$117,MATCH($B$4,Avaliacao_RecyClass!$B$5:$B$117,0)),"")</f>
        <v>PETG</v>
      </c>
      <c r="C12" s="13" t="str">
        <f>IFERROR(INDEX(Avaliacao_RecyClass!$K$5:$K$117,MATCH($B$4,Avaliacao_RecyClass!$B$5:$B$117,0)),"")</f>
        <v>PETG</v>
      </c>
    </row>
    <row r="13" spans="1:3" x14ac:dyDescent="0.3">
      <c r="A13" s="45" t="s">
        <v>1730</v>
      </c>
      <c r="B13" s="13" t="str">
        <f>IFERROR(INDEX(Avaliacao_RecyClass!$O$5:$O$117,MATCH($B$4,Avaliacao_RecyClass!$B$5:$B$117,0)),"")</f>
        <v>Natural / incolor</v>
      </c>
      <c r="C13" s="13" t="str">
        <f>IFERROR(INDEX(Avaliacao_RecyClass!$N$5:$N$117,MATCH($B$4,Avaliacao_RecyClass!$B$5:$B$117,0)),"")</f>
        <v>Natural (Uncolored)</v>
      </c>
    </row>
    <row r="14" spans="1:3" x14ac:dyDescent="0.3">
      <c r="A14" s="45" t="s">
        <v>1731</v>
      </c>
      <c r="B14" s="13" t="str">
        <f>IFERROR(INDEX(Avaliacao_RecyClass!$P$5:$P$117,MATCH($B$4,Avaliacao_RecyClass!$B$5:$B$117,0)),"")</f>
        <v>No Masterbatch</v>
      </c>
      <c r="C14" s="29">
        <f>IFERROR(INDEX(Avaliacao_RecyClass!$Q$5:$Q$117,MATCH($B$4,Avaliacao_RecyClass!$B$5:$B$117,0)),"")</f>
        <v>0</v>
      </c>
    </row>
    <row r="15" spans="1:3" x14ac:dyDescent="0.3">
      <c r="A15" s="45" t="s">
        <v>1732</v>
      </c>
      <c r="B15" s="13">
        <f>IFERROR(INDEX(Avaliacao_RecyClass!$R$5:$R$117,MATCH($B$4,Avaliacao_RecyClass!$B$5:$B$117,0)),"")</f>
        <v>1.27</v>
      </c>
    </row>
    <row r="16" spans="1:3" x14ac:dyDescent="0.3">
      <c r="A16" s="45" t="s">
        <v>301</v>
      </c>
      <c r="B16" s="13" t="str">
        <f>IFERROR(INDEX(Avaliacao_RecyClass!$S$5:$S$117,MATCH($B$4,Avaliacao_RecyClass!$B$5:$B$117,0)),"")</f>
        <v>Nenhuma</v>
      </c>
    </row>
    <row r="17" spans="1:3" x14ac:dyDescent="0.3">
      <c r="A17" s="45" t="s">
        <v>1733</v>
      </c>
      <c r="B17" s="13">
        <f>IFERROR(INDEX(Avaliacao_RecyClass!$T$5:$T$117,MATCH($B$4,Avaliacao_RecyClass!$B$5:$B$117,0)),"")</f>
        <v>24.4</v>
      </c>
      <c r="C17" s="13" t="str">
        <f>IFERROR(INDEX(Avaliacao_RecyClass!$U$5:$U$117,MATCH($B$4,Avaliacao_RecyClass!$B$5:$B$117,0)),"")</f>
        <v>Estimada (22 g a 300 ml, escala ^2/3)</v>
      </c>
    </row>
    <row r="18" spans="1:3" x14ac:dyDescent="0.3">
      <c r="A18" s="3" t="s">
        <v>1734</v>
      </c>
      <c r="B18" s="4"/>
      <c r="C18" s="4"/>
    </row>
    <row r="19" spans="1:3" x14ac:dyDescent="0.3">
      <c r="A19" s="45" t="s">
        <v>1735</v>
      </c>
      <c r="B19" s="13" t="str">
        <f>IFERROR(INDEX(Avaliacao_RecyClass!$V$5:$V$117,MATCH($B$4,Avaliacao_RecyClass!$B$5:$B$117,0)),"")</f>
        <v>TR-001-PETG-24410</v>
      </c>
      <c r="C19" s="13" t="str">
        <f>IFERROR(INDEX(Avaliacao_RecyClass!$W$5:$W$117,MATCH($B$4,Avaliacao_RecyClass!$B$5:$B$117,0)),"")</f>
        <v>PETG</v>
      </c>
    </row>
    <row r="20" spans="1:3" x14ac:dyDescent="0.3">
      <c r="A20" s="45" t="s">
        <v>1736</v>
      </c>
      <c r="B20" s="13">
        <f>IFERROR(INDEX(Avaliacao_RecyClass!$Y$5:$Y$117,MATCH($B$4,Avaliacao_RecyClass!$B$5:$B$117,0)),"")</f>
        <v>12.1</v>
      </c>
    </row>
    <row r="21" spans="1:3" x14ac:dyDescent="0.3">
      <c r="A21" s="45" t="s">
        <v>1737</v>
      </c>
      <c r="B21" s="13" t="str">
        <f>IFERROR(INDEX(Avaliacao_RecyClass!$Z$5:$Z$117,MATCH($B$4,Avaliacao_RecyClass!$B$5:$B$117,0)),"")</f>
        <v>Sem vedante</v>
      </c>
    </row>
    <row r="22" spans="1:3" x14ac:dyDescent="0.3">
      <c r="A22" s="3" t="s">
        <v>1738</v>
      </c>
      <c r="B22" s="4"/>
      <c r="C22" s="4"/>
    </row>
    <row r="23" spans="1:3" x14ac:dyDescent="0.3">
      <c r="A23" s="45" t="s">
        <v>325</v>
      </c>
      <c r="B23" s="13" t="str">
        <f>IFERROR(INDEX(Avaliacao_RecyClass!$AA$5:$AA$117,MATCH($B$4,Avaliacao_RecyClass!$B$5:$B$117,0)),"")</f>
        <v>Sem rótulo</v>
      </c>
      <c r="C23" s="13" t="str">
        <f>IFERROR(INDEX(Avaliacao_RecyClass!$AE$5:$AE$117,MATCH($B$4,Avaliacao_RecyClass!$B$5:$B$117,0)),"")</f>
        <v>Sem rótulo (decoração direta Plasticom)</v>
      </c>
    </row>
    <row r="24" spans="1:3" x14ac:dyDescent="0.3">
      <c r="A24" s="45" t="s">
        <v>1739</v>
      </c>
      <c r="B24" s="13" t="str">
        <f>IFERROR(INDEX(Avaliacao_RecyClass!$AB$5:$AB$117,MATCH($B$4,Avaliacao_RecyClass!$B$5:$B$117,0)),"")</f>
        <v>Sem adesivo</v>
      </c>
    </row>
    <row r="25" spans="1:3" x14ac:dyDescent="0.3">
      <c r="A25" s="45" t="s">
        <v>1740</v>
      </c>
      <c r="B25" s="29">
        <f>IFERROR(INDEX(Avaliacao_RecyClass!$AC$5:$AC$117,MATCH($B$4,Avaliacao_RecyClass!$B$5:$B$117,0)),"")</f>
        <v>0</v>
      </c>
    </row>
    <row r="26" spans="1:3" x14ac:dyDescent="0.3">
      <c r="A26" s="45" t="s">
        <v>1741</v>
      </c>
      <c r="B26" s="13">
        <f>IFERROR(INDEX(Avaliacao_RecyClass!$AD$5:$AD$117,MATCH($B$4,Avaliacao_RecyClass!$B$5:$B$117,0)),"")</f>
        <v>0</v>
      </c>
    </row>
    <row r="27" spans="1:3" x14ac:dyDescent="0.3">
      <c r="A27" s="3" t="s">
        <v>1742</v>
      </c>
      <c r="B27" s="4"/>
      <c r="C27" s="4"/>
    </row>
    <row r="28" spans="1:3" x14ac:dyDescent="0.3">
      <c r="A28" s="45" t="s">
        <v>1743</v>
      </c>
      <c r="B28" s="13" t="str">
        <f>IFERROR(INDEX(Avaliacao_RecyClass!$AF$5:$AF$117,MATCH($B$4,Avaliacao_RecyClass!$B$5:$B$117,0)),"")</f>
        <v>Serigrafia</v>
      </c>
      <c r="C28" s="13">
        <f>IFERROR(INDEX(Avaliacao_RecyClass!$AG$5:$AG$117,MATCH($B$4,Avaliacao_RecyClass!$B$5:$B$117,0)),"")</f>
        <v>1</v>
      </c>
    </row>
    <row r="29" spans="1:3" x14ac:dyDescent="0.3">
      <c r="A29" s="45" t="s">
        <v>1744</v>
      </c>
      <c r="B29" s="13">
        <f>IFERROR(INDEX(Avaliacao_RecyClass!$AI$5:$AI$117,MATCH($B$4,Avaliacao_RecyClass!$B$5:$B$117,0)),"")</f>
        <v>0.08</v>
      </c>
    </row>
    <row r="30" spans="1:3" x14ac:dyDescent="0.3">
      <c r="A30" s="3" t="s">
        <v>1745</v>
      </c>
      <c r="B30" s="4"/>
      <c r="C30" s="4"/>
    </row>
    <row r="31" spans="1:3" x14ac:dyDescent="0.3">
      <c r="A31" s="45" t="s">
        <v>1746</v>
      </c>
      <c r="B31" s="13" t="str">
        <f>IFERROR(INDEX(Avaliacao_RecyClass!$AU$5:$AU$117,MATCH($B$4,Avaliacao_RecyClass!$B$5:$B$117,0)),"")</f>
        <v>F</v>
      </c>
      <c r="C31" s="13" t="str">
        <f>IFERROR(INDEX(Avaliacao_RecyClass!$AW$5:$AW$117,MATCH($B$4,Avaliacao_RecyClass!$B$5:$B$117,0)),"")</f>
        <v>Fluxo</v>
      </c>
    </row>
    <row r="32" spans="1:3" ht="26.4" x14ac:dyDescent="0.3">
      <c r="A32" s="45" t="s">
        <v>1747</v>
      </c>
      <c r="B32" s="13" t="str">
        <f>IFERROR(INDEX(Avaliacao_RecyClass!$AX$5:$AX$117,MATCH($B$4,Avaliacao_RecyClass!$B$5:$B$117,0)),"")</f>
        <v>Mudar o corpo para PET (ou PP/PE) — PETG não passa a grau C em 2030.</v>
      </c>
    </row>
    <row r="33" spans="1:3" x14ac:dyDescent="0.3">
      <c r="A33" s="45" t="s">
        <v>1748</v>
      </c>
      <c r="B33" s="29">
        <f>IFERROR(INDEX(Avaliacao_RecyClass!$BD$5:$BD$117,MATCH($B$4,Avaliacao_RecyClass!$B$5:$B$117,0)),"")</f>
        <v>0</v>
      </c>
      <c r="C33" s="13" t="str">
        <f>IFERROR(INDEX(Avaliacao_RecyClass!$BE$5:$BE$117,MATCH($B$4,Avaliacao_RecyClass!$B$5:$B$117,0)),"")</f>
        <v>&lt; 70%</v>
      </c>
    </row>
    <row r="34" spans="1:3" x14ac:dyDescent="0.3">
      <c r="A34" s="45" t="s">
        <v>1749</v>
      </c>
      <c r="B34" s="13" t="str">
        <f>IFERROR(INDEX(Avaliacao_RecyClass!$BF$5:$BF$117,MATCH($B$4,Avaliacao_RecyClass!$B$5:$B$117,0)),"")</f>
        <v>Não reciclável (F)</v>
      </c>
      <c r="C34" s="13" t="str">
        <f>IFERROR(INDEX(Avaliacao_RecyClass!$BG$5:$BG$117,MATCH($B$4,Avaliacao_RecyClass!$B$5:$B$117,0)),"")</f>
        <v>—</v>
      </c>
    </row>
    <row r="35" spans="1:3" x14ac:dyDescent="0.3">
      <c r="A35" s="45" t="s">
        <v>1750</v>
      </c>
      <c r="B35" s="13" t="str">
        <f>IFERROR(INDEX(Avaliacao_RecyClass!$BH$5:$BH$117,MATCH($B$4,Avaliacao_RecyClass!$B$5:$B$117,0)),"")</f>
        <v>Não</v>
      </c>
      <c r="C35" s="13" t="str">
        <f>IFERROR(INDEX(Avaliacao_RecyClass!$BI$5:$BI$117,MATCH($B$4,Avaliacao_RecyClass!$B$5:$B$117,0)),"")</f>
        <v>Não</v>
      </c>
    </row>
    <row r="36" spans="1:3" x14ac:dyDescent="0.3">
      <c r="A36" s="45" t="s">
        <v>1751</v>
      </c>
      <c r="B36" s="29">
        <f>IFERROR(INDEX(Avaliacao_RecyClass!$BL$5:$BL$117,MATCH($B$4,Avaliacao_RecyClass!$B$5:$B$117,0)),"")</f>
        <v>0</v>
      </c>
      <c r="C36" s="29">
        <f>IFERROR(INDEX(Avaliacao_RecyClass!$BN$5:$BN$117,MATCH($B$4,Avaliacao_RecyClass!$B$5:$B$117,0)),"")</f>
        <v>0.35</v>
      </c>
    </row>
    <row r="37" spans="1:3" x14ac:dyDescent="0.3">
      <c r="A37" s="45" t="s">
        <v>1752</v>
      </c>
      <c r="B37" s="13" t="str">
        <f>IFERROR(INDEX(Avaliacao_RecyClass!$BQ$5:$BQ$117,MATCH($B$4,Avaliacao_RecyClass!$B$5:$B$117,0)),"")</f>
        <v>Monomaterial (mesma família)</v>
      </c>
    </row>
    <row r="38" spans="1:3" x14ac:dyDescent="0.3">
      <c r="A38" s="45" t="s">
        <v>1753</v>
      </c>
      <c r="B38" s="13" t="str">
        <f>IFERROR(INDEX(Avaliacao_RecyClass!$BT$5:$BT$117,MATCH($B$4,Avaliacao_RecyClass!$B$5:$B$117,0)),"")</f>
        <v>DE; ES; FR; IT; PL; PT</v>
      </c>
      <c r="C38" s="13">
        <f>IFERROR(INDEX(Avaliacao_RecyClass!$BV$5:$BV$117,MATCH($B$4,Avaliacao_RecyClass!$B$5:$B$117,0)),"")</f>
        <v>12</v>
      </c>
    </row>
    <row r="40" spans="1:3" ht="43.2" x14ac:dyDescent="0.3">
      <c r="A40" s="28" t="s">
        <v>202</v>
      </c>
      <c r="B40" s="10" t="s">
        <v>1754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1200-000000000000}">
          <x14:formula1>
            <xm:f>Avaliacao_RecyClass!$B$5:$B$117</xm:f>
          </x14:formula1>
          <xm:sqref>B4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T24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2" width="16" customWidth="1"/>
    <col min="3" max="3" width="34" customWidth="1"/>
    <col min="4" max="4" width="36" customWidth="1"/>
    <col min="5" max="5" width="21" customWidth="1"/>
    <col min="6" max="6" width="27" customWidth="1"/>
    <col min="7" max="7" width="28" customWidth="1"/>
    <col min="8" max="8" width="24" customWidth="1"/>
    <col min="9" max="9" width="29" customWidth="1"/>
    <col min="10" max="10" width="16" customWidth="1"/>
    <col min="11" max="11" width="26" customWidth="1"/>
    <col min="12" max="18" width="16" customWidth="1"/>
    <col min="19" max="19" width="48" customWidth="1"/>
    <col min="20" max="20" width="36" customWidth="1"/>
  </cols>
  <sheetData>
    <row r="1" spans="1:20" x14ac:dyDescent="0.3">
      <c r="A1" s="28" t="s">
        <v>1755</v>
      </c>
    </row>
    <row r="2" spans="1:20" x14ac:dyDescent="0.3">
      <c r="A2" s="46" t="s">
        <v>1756</v>
      </c>
      <c r="B2" s="46" t="s">
        <v>213</v>
      </c>
      <c r="C2" s="46" t="s">
        <v>1757</v>
      </c>
      <c r="D2" s="46" t="s">
        <v>1758</v>
      </c>
      <c r="E2" s="46" t="s">
        <v>417</v>
      </c>
      <c r="F2" s="46" t="s">
        <v>1759</v>
      </c>
      <c r="G2" s="46" t="s">
        <v>1739</v>
      </c>
      <c r="H2" s="46" t="s">
        <v>1760</v>
      </c>
      <c r="I2" s="46" t="s">
        <v>515</v>
      </c>
      <c r="J2" s="46" t="s">
        <v>112</v>
      </c>
      <c r="K2" s="46" t="s">
        <v>1761</v>
      </c>
      <c r="L2" s="46" t="s">
        <v>951</v>
      </c>
      <c r="M2" s="46" t="s">
        <v>1762</v>
      </c>
      <c r="N2" s="46" t="s">
        <v>955</v>
      </c>
      <c r="O2" s="46" t="s">
        <v>1763</v>
      </c>
      <c r="P2" s="46" t="s">
        <v>1764</v>
      </c>
      <c r="Q2" s="46" t="s">
        <v>1765</v>
      </c>
      <c r="R2" s="46" t="s">
        <v>58</v>
      </c>
      <c r="S2" s="46" t="s">
        <v>1766</v>
      </c>
      <c r="T2" s="46" t="s">
        <v>1767</v>
      </c>
    </row>
    <row r="3" spans="1:20" x14ac:dyDescent="0.3">
      <c r="A3" s="47">
        <v>46387</v>
      </c>
      <c r="B3" s="6" t="s">
        <v>223</v>
      </c>
      <c r="C3" s="6" t="s">
        <v>279</v>
      </c>
      <c r="D3" s="6" t="s">
        <v>307</v>
      </c>
      <c r="E3" s="6" t="s">
        <v>319</v>
      </c>
      <c r="F3" s="6" t="s">
        <v>327</v>
      </c>
      <c r="G3" s="6" t="s">
        <v>342</v>
      </c>
      <c r="H3" s="6" t="s">
        <v>302</v>
      </c>
      <c r="I3" s="6" t="s">
        <v>587</v>
      </c>
      <c r="J3" s="6" t="s">
        <v>117</v>
      </c>
      <c r="K3" s="6" t="s">
        <v>971</v>
      </c>
      <c r="L3" s="6" t="s">
        <v>901</v>
      </c>
      <c r="M3" s="6" t="s">
        <v>1033</v>
      </c>
      <c r="N3" s="6" t="s">
        <v>979</v>
      </c>
      <c r="O3" s="6" t="s">
        <v>981</v>
      </c>
      <c r="P3" s="6" t="s">
        <v>901</v>
      </c>
      <c r="Q3" s="6" t="s">
        <v>1630</v>
      </c>
      <c r="R3" s="6" t="s">
        <v>1673</v>
      </c>
      <c r="S3" s="6" t="s">
        <v>1158</v>
      </c>
      <c r="T3" s="6" t="s">
        <v>597</v>
      </c>
    </row>
    <row r="4" spans="1:20" x14ac:dyDescent="0.3">
      <c r="B4" s="6" t="s">
        <v>229</v>
      </c>
      <c r="C4" s="6" t="s">
        <v>281</v>
      </c>
      <c r="D4" s="6" t="s">
        <v>304</v>
      </c>
      <c r="E4" s="6" t="s">
        <v>320</v>
      </c>
      <c r="F4" s="6" t="s">
        <v>331</v>
      </c>
      <c r="G4" s="6" t="s">
        <v>344</v>
      </c>
      <c r="H4" s="6" t="s">
        <v>595</v>
      </c>
      <c r="I4" s="6" t="s">
        <v>844</v>
      </c>
      <c r="J4" s="6" t="s">
        <v>118</v>
      </c>
      <c r="K4" s="6" t="s">
        <v>1235</v>
      </c>
      <c r="L4" s="6" t="s">
        <v>1045</v>
      </c>
      <c r="M4" s="6" t="s">
        <v>978</v>
      </c>
      <c r="N4" s="6" t="s">
        <v>1014</v>
      </c>
      <c r="O4" s="6" t="s">
        <v>995</v>
      </c>
      <c r="P4" s="6" t="s">
        <v>904</v>
      </c>
      <c r="Q4" s="6" t="s">
        <v>1646</v>
      </c>
      <c r="R4" s="6" t="s">
        <v>978</v>
      </c>
      <c r="S4" s="6" t="s">
        <v>1768</v>
      </c>
      <c r="T4" s="6" t="s">
        <v>1769</v>
      </c>
    </row>
    <row r="5" spans="1:20" x14ac:dyDescent="0.3">
      <c r="B5" s="6" t="s">
        <v>232</v>
      </c>
      <c r="C5" s="6" t="s">
        <v>283</v>
      </c>
      <c r="D5" s="6" t="s">
        <v>302</v>
      </c>
      <c r="E5" s="6" t="s">
        <v>322</v>
      </c>
      <c r="F5" s="6" t="s">
        <v>334</v>
      </c>
      <c r="G5" s="6" t="s">
        <v>343</v>
      </c>
      <c r="H5" s="6" t="s">
        <v>359</v>
      </c>
      <c r="I5" s="6" t="s">
        <v>857</v>
      </c>
      <c r="J5" s="6" t="s">
        <v>119</v>
      </c>
      <c r="K5" s="6" t="s">
        <v>1218</v>
      </c>
      <c r="L5" s="6" t="s">
        <v>904</v>
      </c>
      <c r="M5" s="6" t="s">
        <v>1124</v>
      </c>
      <c r="N5" s="6" t="s">
        <v>1074</v>
      </c>
      <c r="O5" s="6" t="s">
        <v>1144</v>
      </c>
      <c r="Q5" s="6" t="s">
        <v>1640</v>
      </c>
      <c r="R5" s="6" t="s">
        <v>1124</v>
      </c>
      <c r="S5" s="6" t="s">
        <v>1035</v>
      </c>
      <c r="T5" s="6" t="s">
        <v>1770</v>
      </c>
    </row>
    <row r="6" spans="1:20" x14ac:dyDescent="0.3">
      <c r="B6" s="6" t="s">
        <v>234</v>
      </c>
      <c r="C6" s="6" t="s">
        <v>286</v>
      </c>
      <c r="D6" s="6" t="s">
        <v>379</v>
      </c>
      <c r="F6" s="6" t="s">
        <v>329</v>
      </c>
      <c r="G6" s="6" t="s">
        <v>340</v>
      </c>
      <c r="H6" s="6" t="s">
        <v>351</v>
      </c>
      <c r="J6" s="6" t="s">
        <v>120</v>
      </c>
      <c r="K6" s="6" t="s">
        <v>1306</v>
      </c>
      <c r="L6" s="6" t="s">
        <v>990</v>
      </c>
      <c r="M6" s="6" t="s">
        <v>1517</v>
      </c>
      <c r="O6" s="6" t="s">
        <v>1084</v>
      </c>
      <c r="Q6" s="6" t="s">
        <v>1615</v>
      </c>
      <c r="S6" s="6" t="s">
        <v>1771</v>
      </c>
    </row>
    <row r="7" spans="1:20" x14ac:dyDescent="0.3">
      <c r="B7" s="6" t="s">
        <v>237</v>
      </c>
      <c r="C7" s="6" t="s">
        <v>289</v>
      </c>
      <c r="F7" s="6" t="s">
        <v>336</v>
      </c>
      <c r="J7" s="6" t="s">
        <v>121</v>
      </c>
      <c r="K7" s="6" t="s">
        <v>1043</v>
      </c>
      <c r="M7" s="6" t="s">
        <v>990</v>
      </c>
      <c r="Q7" s="6" t="s">
        <v>1623</v>
      </c>
      <c r="S7" s="6" t="s">
        <v>1772</v>
      </c>
    </row>
    <row r="8" spans="1:20" x14ac:dyDescent="0.3">
      <c r="B8" s="6" t="s">
        <v>240</v>
      </c>
      <c r="C8" s="6" t="s">
        <v>292</v>
      </c>
      <c r="F8" s="6" t="s">
        <v>326</v>
      </c>
      <c r="J8" s="6" t="s">
        <v>122</v>
      </c>
      <c r="M8" s="6" t="s">
        <v>1143</v>
      </c>
      <c r="S8" s="6" t="s">
        <v>1092</v>
      </c>
    </row>
    <row r="9" spans="1:20" x14ac:dyDescent="0.3">
      <c r="B9" s="6" t="s">
        <v>244</v>
      </c>
      <c r="S9" s="6" t="s">
        <v>1075</v>
      </c>
    </row>
    <row r="10" spans="1:20" x14ac:dyDescent="0.3">
      <c r="B10" s="6" t="s">
        <v>245</v>
      </c>
      <c r="S10" s="6" t="s">
        <v>1005</v>
      </c>
    </row>
    <row r="11" spans="1:20" x14ac:dyDescent="0.3">
      <c r="B11" s="6" t="s">
        <v>246</v>
      </c>
      <c r="S11" s="6" t="s">
        <v>596</v>
      </c>
    </row>
    <row r="12" spans="1:20" x14ac:dyDescent="0.3">
      <c r="B12" s="6" t="s">
        <v>249</v>
      </c>
      <c r="S12" s="6" t="s">
        <v>1773</v>
      </c>
    </row>
    <row r="13" spans="1:20" x14ac:dyDescent="0.3">
      <c r="B13" s="6" t="s">
        <v>253</v>
      </c>
      <c r="S13" s="6" t="s">
        <v>1133</v>
      </c>
    </row>
    <row r="14" spans="1:20" x14ac:dyDescent="0.3">
      <c r="B14" s="6" t="s">
        <v>254</v>
      </c>
      <c r="S14" s="6" t="s">
        <v>1774</v>
      </c>
    </row>
    <row r="15" spans="1:20" x14ac:dyDescent="0.3">
      <c r="B15" s="6" t="s">
        <v>255</v>
      </c>
      <c r="S15" s="6" t="s">
        <v>1775</v>
      </c>
    </row>
    <row r="16" spans="1:20" x14ac:dyDescent="0.3">
      <c r="B16" s="6" t="s">
        <v>258</v>
      </c>
      <c r="S16" s="6" t="s">
        <v>1776</v>
      </c>
    </row>
    <row r="17" spans="19:19" x14ac:dyDescent="0.3">
      <c r="S17" s="6" t="s">
        <v>1777</v>
      </c>
    </row>
    <row r="18" spans="19:19" x14ac:dyDescent="0.3">
      <c r="S18" s="6" t="s">
        <v>1778</v>
      </c>
    </row>
    <row r="19" spans="19:19" x14ac:dyDescent="0.3">
      <c r="S19" s="6" t="s">
        <v>1779</v>
      </c>
    </row>
    <row r="20" spans="19:19" x14ac:dyDescent="0.3">
      <c r="S20" s="6" t="s">
        <v>1780</v>
      </c>
    </row>
    <row r="21" spans="19:19" x14ac:dyDescent="0.3">
      <c r="S21" s="6" t="s">
        <v>1781</v>
      </c>
    </row>
    <row r="22" spans="19:19" x14ac:dyDescent="0.3">
      <c r="S22" s="6" t="s">
        <v>1782</v>
      </c>
    </row>
    <row r="23" spans="19:19" x14ac:dyDescent="0.3">
      <c r="S23" s="6" t="s">
        <v>1783</v>
      </c>
    </row>
    <row r="24" spans="19:19" x14ac:dyDescent="0.3">
      <c r="S24" s="6" t="s">
        <v>1784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55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24" customWidth="1"/>
    <col min="3" max="3" width="30" customWidth="1"/>
    <col min="4" max="4" width="16" customWidth="1"/>
    <col min="5" max="5" width="18" customWidth="1"/>
    <col min="6" max="6" width="70" customWidth="1"/>
    <col min="7" max="7" width="36" customWidth="1"/>
    <col min="8" max="8" width="11" customWidth="1"/>
    <col min="9" max="9" width="12" customWidth="1"/>
  </cols>
  <sheetData>
    <row r="1" spans="1:9" x14ac:dyDescent="0.3">
      <c r="A1" s="12" t="s">
        <v>1785</v>
      </c>
      <c r="B1" s="12" t="s">
        <v>1786</v>
      </c>
      <c r="C1" s="12" t="s">
        <v>1787</v>
      </c>
      <c r="D1" s="12" t="s">
        <v>885</v>
      </c>
      <c r="E1" s="12" t="s">
        <v>1579</v>
      </c>
      <c r="F1" s="12" t="s">
        <v>412</v>
      </c>
      <c r="G1" s="12" t="s">
        <v>1788</v>
      </c>
      <c r="H1" s="12" t="s">
        <v>1789</v>
      </c>
      <c r="I1" s="12" t="s">
        <v>264</v>
      </c>
    </row>
    <row r="2" spans="1:9" x14ac:dyDescent="0.3">
      <c r="A2" s="13" t="s">
        <v>28</v>
      </c>
      <c r="B2" s="13" t="s">
        <v>1790</v>
      </c>
      <c r="C2" s="13" t="s">
        <v>140</v>
      </c>
      <c r="D2" s="13" t="s">
        <v>1791</v>
      </c>
      <c r="E2" s="13" t="s">
        <v>1792</v>
      </c>
      <c r="F2" s="13" t="s">
        <v>1793</v>
      </c>
      <c r="G2" s="13"/>
      <c r="H2" s="13" t="s">
        <v>901</v>
      </c>
      <c r="I2" s="13" t="s">
        <v>1794</v>
      </c>
    </row>
    <row r="3" spans="1:9" x14ac:dyDescent="0.3">
      <c r="A3" s="13" t="s">
        <v>28</v>
      </c>
      <c r="B3" s="13" t="s">
        <v>1790</v>
      </c>
      <c r="C3" s="13" t="s">
        <v>141</v>
      </c>
      <c r="D3" s="13" t="s">
        <v>1791</v>
      </c>
      <c r="E3" s="13" t="s">
        <v>1792</v>
      </c>
      <c r="F3" s="13" t="s">
        <v>1795</v>
      </c>
      <c r="G3" s="13"/>
      <c r="H3" s="13" t="s">
        <v>901</v>
      </c>
      <c r="I3" s="13"/>
    </row>
    <row r="4" spans="1:9" x14ac:dyDescent="0.3">
      <c r="A4" s="13" t="s">
        <v>28</v>
      </c>
      <c r="B4" s="13" t="s">
        <v>1790</v>
      </c>
      <c r="C4" s="13" t="s">
        <v>97</v>
      </c>
      <c r="D4" s="13" t="s">
        <v>1796</v>
      </c>
      <c r="E4" s="13" t="s">
        <v>1792</v>
      </c>
      <c r="F4" s="13" t="s">
        <v>1797</v>
      </c>
      <c r="G4" s="13"/>
      <c r="H4" s="13" t="s">
        <v>901</v>
      </c>
      <c r="I4" s="13"/>
    </row>
    <row r="5" spans="1:9" x14ac:dyDescent="0.3">
      <c r="A5" s="13" t="s">
        <v>28</v>
      </c>
      <c r="B5" s="13" t="s">
        <v>1790</v>
      </c>
      <c r="C5" s="13" t="s">
        <v>142</v>
      </c>
      <c r="D5" s="13" t="s">
        <v>1791</v>
      </c>
      <c r="E5" s="13" t="s">
        <v>1792</v>
      </c>
      <c r="F5" s="13" t="s">
        <v>1798</v>
      </c>
      <c r="G5" s="13"/>
      <c r="H5" s="13" t="s">
        <v>901</v>
      </c>
      <c r="I5" s="13"/>
    </row>
    <row r="6" spans="1:9" x14ac:dyDescent="0.3">
      <c r="A6" s="13" t="s">
        <v>28</v>
      </c>
      <c r="B6" s="13" t="s">
        <v>1790</v>
      </c>
      <c r="C6" s="13" t="s">
        <v>143</v>
      </c>
      <c r="D6" s="13" t="s">
        <v>1791</v>
      </c>
      <c r="E6" s="13" t="s">
        <v>1792</v>
      </c>
      <c r="F6" s="13" t="s">
        <v>1799</v>
      </c>
      <c r="G6" s="13"/>
      <c r="H6" s="13" t="s">
        <v>901</v>
      </c>
      <c r="I6" s="13"/>
    </row>
    <row r="7" spans="1:9" x14ac:dyDescent="0.3">
      <c r="A7" s="13" t="s">
        <v>30</v>
      </c>
      <c r="B7" s="13" t="s">
        <v>1800</v>
      </c>
      <c r="C7" s="13" t="s">
        <v>198</v>
      </c>
      <c r="D7" s="13" t="s">
        <v>1791</v>
      </c>
      <c r="E7" s="13" t="s">
        <v>1792</v>
      </c>
      <c r="F7" s="13" t="s">
        <v>1801</v>
      </c>
      <c r="G7" s="13"/>
      <c r="H7" s="13" t="s">
        <v>901</v>
      </c>
      <c r="I7" s="13" t="s">
        <v>1794</v>
      </c>
    </row>
    <row r="8" spans="1:9" ht="26.4" x14ac:dyDescent="0.3">
      <c r="A8" s="13" t="s">
        <v>30</v>
      </c>
      <c r="B8" s="13" t="s">
        <v>1800</v>
      </c>
      <c r="C8" s="13" t="s">
        <v>199</v>
      </c>
      <c r="D8" s="13" t="s">
        <v>1802</v>
      </c>
      <c r="E8" s="13" t="s">
        <v>1792</v>
      </c>
      <c r="F8" s="13" t="s">
        <v>1803</v>
      </c>
      <c r="G8" s="13"/>
      <c r="H8" s="13" t="s">
        <v>904</v>
      </c>
      <c r="I8" s="13"/>
    </row>
    <row r="9" spans="1:9" ht="26.4" x14ac:dyDescent="0.3">
      <c r="A9" s="13" t="s">
        <v>30</v>
      </c>
      <c r="B9" s="13" t="s">
        <v>1800</v>
      </c>
      <c r="C9" s="13" t="s">
        <v>200</v>
      </c>
      <c r="D9" s="13" t="s">
        <v>1802</v>
      </c>
      <c r="E9" s="13" t="s">
        <v>1792</v>
      </c>
      <c r="F9" s="13" t="s">
        <v>1804</v>
      </c>
      <c r="G9" s="13"/>
      <c r="H9" s="13" t="s">
        <v>904</v>
      </c>
      <c r="I9" s="13"/>
    </row>
    <row r="10" spans="1:9" x14ac:dyDescent="0.3">
      <c r="A10" s="13" t="s">
        <v>30</v>
      </c>
      <c r="B10" s="13" t="s">
        <v>1800</v>
      </c>
      <c r="C10" s="13" t="s">
        <v>201</v>
      </c>
      <c r="D10" s="13" t="s">
        <v>1791</v>
      </c>
      <c r="E10" s="13" t="s">
        <v>1792</v>
      </c>
      <c r="F10" s="13" t="s">
        <v>1805</v>
      </c>
      <c r="G10" s="13"/>
      <c r="H10" s="13" t="s">
        <v>901</v>
      </c>
      <c r="I10" s="13"/>
    </row>
    <row r="11" spans="1:9" x14ac:dyDescent="0.3">
      <c r="A11" s="13" t="s">
        <v>30</v>
      </c>
      <c r="B11" s="13" t="s">
        <v>1800</v>
      </c>
      <c r="C11" s="13" t="s">
        <v>202</v>
      </c>
      <c r="D11" s="13" t="s">
        <v>1791</v>
      </c>
      <c r="E11" s="13" t="s">
        <v>1792</v>
      </c>
      <c r="F11" s="13" t="s">
        <v>1806</v>
      </c>
      <c r="G11" s="13"/>
      <c r="H11" s="13" t="s">
        <v>901</v>
      </c>
      <c r="I11" s="13"/>
    </row>
    <row r="12" spans="1:9" x14ac:dyDescent="0.3">
      <c r="A12" s="13" t="s">
        <v>32</v>
      </c>
      <c r="B12" s="13" t="s">
        <v>1807</v>
      </c>
      <c r="C12" s="13" t="s">
        <v>213</v>
      </c>
      <c r="D12" s="13" t="s">
        <v>1791</v>
      </c>
      <c r="E12" s="13" t="s">
        <v>1792</v>
      </c>
      <c r="F12" s="13" t="s">
        <v>1808</v>
      </c>
      <c r="G12" s="13"/>
      <c r="H12" s="13" t="s">
        <v>901</v>
      </c>
      <c r="I12" s="13" t="s">
        <v>1794</v>
      </c>
    </row>
    <row r="13" spans="1:9" x14ac:dyDescent="0.3">
      <c r="A13" s="13" t="s">
        <v>32</v>
      </c>
      <c r="B13" s="13" t="s">
        <v>1807</v>
      </c>
      <c r="C13" s="13" t="s">
        <v>214</v>
      </c>
      <c r="D13" s="13" t="s">
        <v>1791</v>
      </c>
      <c r="E13" s="13" t="s">
        <v>1792</v>
      </c>
      <c r="F13" s="13" t="s">
        <v>1809</v>
      </c>
      <c r="G13" s="13"/>
      <c r="H13" s="13" t="s">
        <v>901</v>
      </c>
      <c r="I13" s="13"/>
    </row>
    <row r="14" spans="1:9" x14ac:dyDescent="0.3">
      <c r="A14" s="13" t="s">
        <v>32</v>
      </c>
      <c r="B14" s="13" t="s">
        <v>1807</v>
      </c>
      <c r="C14" s="13" t="s">
        <v>215</v>
      </c>
      <c r="D14" s="13" t="s">
        <v>1791</v>
      </c>
      <c r="E14" s="13" t="s">
        <v>1792</v>
      </c>
      <c r="F14" s="13" t="s">
        <v>1810</v>
      </c>
      <c r="G14" s="13"/>
      <c r="H14" s="13" t="s">
        <v>901</v>
      </c>
      <c r="I14" s="13"/>
    </row>
    <row r="15" spans="1:9" x14ac:dyDescent="0.3">
      <c r="A15" s="13" t="s">
        <v>32</v>
      </c>
      <c r="B15" s="13" t="s">
        <v>1807</v>
      </c>
      <c r="C15" s="13" t="s">
        <v>216</v>
      </c>
      <c r="D15" s="13" t="s">
        <v>1796</v>
      </c>
      <c r="E15" s="13" t="s">
        <v>1792</v>
      </c>
      <c r="F15" s="13" t="s">
        <v>1811</v>
      </c>
      <c r="G15" s="13"/>
      <c r="H15" s="13" t="s">
        <v>901</v>
      </c>
      <c r="I15" s="13"/>
    </row>
    <row r="16" spans="1:9" x14ac:dyDescent="0.3">
      <c r="A16" s="13" t="s">
        <v>32</v>
      </c>
      <c r="B16" s="13" t="s">
        <v>1807</v>
      </c>
      <c r="C16" s="13" t="s">
        <v>217</v>
      </c>
      <c r="D16" s="13" t="s">
        <v>1791</v>
      </c>
      <c r="E16" s="13" t="s">
        <v>1792</v>
      </c>
      <c r="F16" s="13" t="s">
        <v>1812</v>
      </c>
      <c r="G16" s="13"/>
      <c r="H16" s="13" t="s">
        <v>901</v>
      </c>
      <c r="I16" s="13"/>
    </row>
    <row r="17" spans="1:9" ht="26.4" x14ac:dyDescent="0.3">
      <c r="A17" s="13" t="s">
        <v>32</v>
      </c>
      <c r="B17" s="13" t="s">
        <v>1807</v>
      </c>
      <c r="C17" s="13" t="s">
        <v>218</v>
      </c>
      <c r="D17" s="13" t="s">
        <v>1802</v>
      </c>
      <c r="E17" s="13" t="s">
        <v>1792</v>
      </c>
      <c r="F17" s="13" t="s">
        <v>1813</v>
      </c>
      <c r="G17" s="13"/>
      <c r="H17" s="13" t="s">
        <v>901</v>
      </c>
      <c r="I17" s="13"/>
    </row>
    <row r="18" spans="1:9" x14ac:dyDescent="0.3">
      <c r="A18" s="13" t="s">
        <v>32</v>
      </c>
      <c r="B18" s="13" t="s">
        <v>1807</v>
      </c>
      <c r="C18" s="13" t="s">
        <v>219</v>
      </c>
      <c r="D18" s="13" t="s">
        <v>1791</v>
      </c>
      <c r="E18" s="13" t="s">
        <v>1792</v>
      </c>
      <c r="F18" s="13" t="s">
        <v>1814</v>
      </c>
      <c r="G18" s="13"/>
      <c r="H18" s="13" t="s">
        <v>901</v>
      </c>
      <c r="I18" s="13"/>
    </row>
    <row r="19" spans="1:9" ht="26.4" x14ac:dyDescent="0.3">
      <c r="A19" s="13" t="s">
        <v>32</v>
      </c>
      <c r="B19" s="13" t="s">
        <v>1807</v>
      </c>
      <c r="C19" s="13" t="s">
        <v>220</v>
      </c>
      <c r="D19" s="13" t="s">
        <v>1791</v>
      </c>
      <c r="E19" s="13" t="s">
        <v>1792</v>
      </c>
      <c r="F19" s="13" t="s">
        <v>1815</v>
      </c>
      <c r="G19" s="13"/>
      <c r="H19" s="13" t="s">
        <v>901</v>
      </c>
      <c r="I19" s="13" t="s">
        <v>1816</v>
      </c>
    </row>
    <row r="20" spans="1:9" x14ac:dyDescent="0.3">
      <c r="A20" s="13" t="s">
        <v>32</v>
      </c>
      <c r="B20" s="13" t="s">
        <v>1807</v>
      </c>
      <c r="C20" s="13" t="s">
        <v>221</v>
      </c>
      <c r="D20" s="13" t="s">
        <v>1817</v>
      </c>
      <c r="E20" s="13" t="s">
        <v>1818</v>
      </c>
      <c r="F20" s="13" t="s">
        <v>1819</v>
      </c>
      <c r="G20" s="13"/>
      <c r="H20" s="13" t="s">
        <v>901</v>
      </c>
      <c r="I20" s="13"/>
    </row>
    <row r="21" spans="1:9" x14ac:dyDescent="0.3">
      <c r="A21" s="13" t="s">
        <v>32</v>
      </c>
      <c r="B21" s="13" t="s">
        <v>1807</v>
      </c>
      <c r="C21" s="13" t="s">
        <v>222</v>
      </c>
      <c r="D21" s="13" t="s">
        <v>1796</v>
      </c>
      <c r="E21" s="13" t="s">
        <v>1818</v>
      </c>
      <c r="F21" s="13" t="s">
        <v>1820</v>
      </c>
      <c r="G21" s="13"/>
      <c r="H21" s="13" t="s">
        <v>901</v>
      </c>
      <c r="I21" s="13"/>
    </row>
    <row r="22" spans="1:9" x14ac:dyDescent="0.3">
      <c r="A22" s="13" t="s">
        <v>34</v>
      </c>
      <c r="B22" s="13" t="s">
        <v>1821</v>
      </c>
      <c r="C22" s="13" t="s">
        <v>264</v>
      </c>
      <c r="D22" s="13" t="s">
        <v>1791</v>
      </c>
      <c r="E22" s="13" t="s">
        <v>1818</v>
      </c>
      <c r="F22" s="13" t="s">
        <v>1822</v>
      </c>
      <c r="G22" s="13"/>
      <c r="H22" s="13" t="s">
        <v>901</v>
      </c>
      <c r="I22" s="13" t="s">
        <v>1794</v>
      </c>
    </row>
    <row r="23" spans="1:9" x14ac:dyDescent="0.3">
      <c r="A23" s="13" t="s">
        <v>34</v>
      </c>
      <c r="B23" s="13" t="s">
        <v>1821</v>
      </c>
      <c r="C23" s="13" t="s">
        <v>265</v>
      </c>
      <c r="D23" s="13" t="s">
        <v>1791</v>
      </c>
      <c r="E23" s="13" t="s">
        <v>1792</v>
      </c>
      <c r="F23" s="13" t="s">
        <v>1823</v>
      </c>
      <c r="G23" s="13"/>
      <c r="H23" s="13" t="s">
        <v>901</v>
      </c>
      <c r="I23" s="13"/>
    </row>
    <row r="24" spans="1:9" x14ac:dyDescent="0.3">
      <c r="A24" s="13" t="s">
        <v>34</v>
      </c>
      <c r="B24" s="13" t="s">
        <v>1821</v>
      </c>
      <c r="C24" s="13" t="s">
        <v>266</v>
      </c>
      <c r="D24" s="13" t="s">
        <v>1791</v>
      </c>
      <c r="E24" s="13" t="s">
        <v>1792</v>
      </c>
      <c r="F24" s="13" t="s">
        <v>1824</v>
      </c>
      <c r="G24" s="13"/>
      <c r="H24" s="13" t="s">
        <v>901</v>
      </c>
      <c r="I24" s="13"/>
    </row>
    <row r="25" spans="1:9" x14ac:dyDescent="0.3">
      <c r="A25" s="13" t="s">
        <v>34</v>
      </c>
      <c r="B25" s="13" t="s">
        <v>1821</v>
      </c>
      <c r="C25" s="13" t="s">
        <v>97</v>
      </c>
      <c r="D25" s="13" t="s">
        <v>1791</v>
      </c>
      <c r="E25" s="13" t="s">
        <v>1792</v>
      </c>
      <c r="F25" s="13" t="s">
        <v>1825</v>
      </c>
      <c r="G25" s="13"/>
      <c r="H25" s="13" t="s">
        <v>901</v>
      </c>
      <c r="I25" s="13"/>
    </row>
    <row r="26" spans="1:9" x14ac:dyDescent="0.3">
      <c r="A26" s="13" t="s">
        <v>34</v>
      </c>
      <c r="B26" s="13" t="s">
        <v>1821</v>
      </c>
      <c r="C26" s="13" t="s">
        <v>112</v>
      </c>
      <c r="D26" s="13" t="s">
        <v>1791</v>
      </c>
      <c r="E26" s="13" t="s">
        <v>1792</v>
      </c>
      <c r="F26" s="13" t="s">
        <v>1826</v>
      </c>
      <c r="G26" s="13" t="s">
        <v>1827</v>
      </c>
      <c r="H26" s="13" t="s">
        <v>901</v>
      </c>
      <c r="I26" s="13"/>
    </row>
    <row r="27" spans="1:9" x14ac:dyDescent="0.3">
      <c r="A27" s="13" t="s">
        <v>34</v>
      </c>
      <c r="B27" s="13" t="s">
        <v>1821</v>
      </c>
      <c r="C27" s="13" t="s">
        <v>267</v>
      </c>
      <c r="D27" s="13" t="s">
        <v>1791</v>
      </c>
      <c r="E27" s="13" t="s">
        <v>1818</v>
      </c>
      <c r="F27" s="13" t="s">
        <v>1828</v>
      </c>
      <c r="G27" s="13"/>
      <c r="H27" s="13" t="s">
        <v>901</v>
      </c>
      <c r="I27" s="13"/>
    </row>
    <row r="28" spans="1:9" ht="26.4" x14ac:dyDescent="0.3">
      <c r="A28" s="13" t="s">
        <v>34</v>
      </c>
      <c r="B28" s="13" t="s">
        <v>1821</v>
      </c>
      <c r="C28" s="13" t="s">
        <v>268</v>
      </c>
      <c r="D28" s="13" t="s">
        <v>1802</v>
      </c>
      <c r="E28" s="13" t="s">
        <v>1792</v>
      </c>
      <c r="F28" s="13" t="s">
        <v>1829</v>
      </c>
      <c r="G28" s="13"/>
      <c r="H28" s="13" t="s">
        <v>901</v>
      </c>
      <c r="I28" s="13"/>
    </row>
    <row r="29" spans="1:9" x14ac:dyDescent="0.3">
      <c r="A29" s="13" t="s">
        <v>34</v>
      </c>
      <c r="B29" s="13" t="s">
        <v>1821</v>
      </c>
      <c r="C29" s="13" t="s">
        <v>269</v>
      </c>
      <c r="D29" s="13" t="s">
        <v>1791</v>
      </c>
      <c r="E29" s="13" t="s">
        <v>1792</v>
      </c>
      <c r="F29" s="13" t="s">
        <v>1830</v>
      </c>
      <c r="G29" s="13"/>
      <c r="H29" s="13" t="s">
        <v>901</v>
      </c>
      <c r="I29" s="13"/>
    </row>
    <row r="30" spans="1:9" x14ac:dyDescent="0.3">
      <c r="A30" s="13" t="s">
        <v>34</v>
      </c>
      <c r="B30" s="13" t="s">
        <v>1821</v>
      </c>
      <c r="C30" s="13" t="s">
        <v>270</v>
      </c>
      <c r="D30" s="13" t="s">
        <v>1791</v>
      </c>
      <c r="E30" s="13" t="s">
        <v>1792</v>
      </c>
      <c r="F30" s="13" t="s">
        <v>1831</v>
      </c>
      <c r="G30" s="13"/>
      <c r="H30" s="13" t="s">
        <v>901</v>
      </c>
      <c r="I30" s="13"/>
    </row>
    <row r="31" spans="1:9" x14ac:dyDescent="0.3">
      <c r="A31" s="13" t="s">
        <v>36</v>
      </c>
      <c r="B31" s="13" t="s">
        <v>1832</v>
      </c>
      <c r="C31" s="13" t="s">
        <v>411</v>
      </c>
      <c r="D31" s="13" t="s">
        <v>1791</v>
      </c>
      <c r="E31" s="13" t="s">
        <v>1792</v>
      </c>
      <c r="F31" s="13" t="s">
        <v>1833</v>
      </c>
      <c r="G31" s="13"/>
      <c r="H31" s="13" t="s">
        <v>901</v>
      </c>
      <c r="I31" s="13" t="s">
        <v>1794</v>
      </c>
    </row>
    <row r="32" spans="1:9" x14ac:dyDescent="0.3">
      <c r="A32" s="13" t="s">
        <v>36</v>
      </c>
      <c r="B32" s="13" t="s">
        <v>1832</v>
      </c>
      <c r="C32" s="13" t="s">
        <v>412</v>
      </c>
      <c r="D32" s="13" t="s">
        <v>1791</v>
      </c>
      <c r="E32" s="13" t="s">
        <v>1792</v>
      </c>
      <c r="F32" s="13" t="s">
        <v>1834</v>
      </c>
      <c r="G32" s="13"/>
      <c r="H32" s="13" t="s">
        <v>901</v>
      </c>
      <c r="I32" s="13"/>
    </row>
    <row r="33" spans="1:9" x14ac:dyDescent="0.3">
      <c r="A33" s="13" t="s">
        <v>36</v>
      </c>
      <c r="B33" s="13" t="s">
        <v>1832</v>
      </c>
      <c r="C33" s="13" t="s">
        <v>413</v>
      </c>
      <c r="D33" s="13" t="s">
        <v>1791</v>
      </c>
      <c r="E33" s="13" t="s">
        <v>1792</v>
      </c>
      <c r="F33" s="13" t="s">
        <v>1835</v>
      </c>
      <c r="G33" s="13"/>
      <c r="H33" s="13" t="s">
        <v>901</v>
      </c>
      <c r="I33" s="13"/>
    </row>
    <row r="34" spans="1:9" x14ac:dyDescent="0.3">
      <c r="A34" s="13" t="s">
        <v>36</v>
      </c>
      <c r="B34" s="13" t="s">
        <v>1832</v>
      </c>
      <c r="C34" s="13" t="s">
        <v>213</v>
      </c>
      <c r="D34" s="13" t="s">
        <v>1791</v>
      </c>
      <c r="E34" s="13" t="s">
        <v>1792</v>
      </c>
      <c r="F34" s="13" t="s">
        <v>1836</v>
      </c>
      <c r="G34" s="13" t="s">
        <v>1837</v>
      </c>
      <c r="H34" s="13" t="s">
        <v>901</v>
      </c>
      <c r="I34" s="13"/>
    </row>
    <row r="35" spans="1:9" x14ac:dyDescent="0.3">
      <c r="A35" s="13" t="s">
        <v>36</v>
      </c>
      <c r="B35" s="13" t="s">
        <v>1832</v>
      </c>
      <c r="C35" s="13" t="s">
        <v>214</v>
      </c>
      <c r="D35" s="13" t="s">
        <v>1791</v>
      </c>
      <c r="E35" s="13" t="s">
        <v>1818</v>
      </c>
      <c r="F35" s="13" t="s">
        <v>1838</v>
      </c>
      <c r="G35" s="13"/>
      <c r="H35" s="13" t="s">
        <v>901</v>
      </c>
      <c r="I35" s="13"/>
    </row>
    <row r="36" spans="1:9" x14ac:dyDescent="0.3">
      <c r="A36" s="13" t="s">
        <v>36</v>
      </c>
      <c r="B36" s="13" t="s">
        <v>1832</v>
      </c>
      <c r="C36" s="13" t="s">
        <v>414</v>
      </c>
      <c r="D36" s="13" t="s">
        <v>1796</v>
      </c>
      <c r="E36" s="13" t="s">
        <v>1792</v>
      </c>
      <c r="F36" s="13" t="s">
        <v>1839</v>
      </c>
      <c r="G36" s="13"/>
      <c r="H36" s="13" t="s">
        <v>901</v>
      </c>
      <c r="I36" s="13"/>
    </row>
    <row r="37" spans="1:9" x14ac:dyDescent="0.3">
      <c r="A37" s="13" t="s">
        <v>36</v>
      </c>
      <c r="B37" s="13" t="s">
        <v>1832</v>
      </c>
      <c r="C37" s="13" t="s">
        <v>216</v>
      </c>
      <c r="D37" s="13" t="s">
        <v>1796</v>
      </c>
      <c r="E37" s="13" t="s">
        <v>1818</v>
      </c>
      <c r="F37" s="13" t="s">
        <v>1840</v>
      </c>
      <c r="G37" s="13"/>
      <c r="H37" s="13" t="s">
        <v>901</v>
      </c>
      <c r="I37" s="13"/>
    </row>
    <row r="38" spans="1:9" x14ac:dyDescent="0.3">
      <c r="A38" s="13" t="s">
        <v>36</v>
      </c>
      <c r="B38" s="13" t="s">
        <v>1832</v>
      </c>
      <c r="C38" s="13" t="s">
        <v>415</v>
      </c>
      <c r="D38" s="13" t="s">
        <v>1791</v>
      </c>
      <c r="E38" s="13" t="s">
        <v>1818</v>
      </c>
      <c r="F38" s="13" t="s">
        <v>1841</v>
      </c>
      <c r="G38" s="13"/>
      <c r="H38" s="13" t="s">
        <v>901</v>
      </c>
      <c r="I38" s="13"/>
    </row>
    <row r="39" spans="1:9" x14ac:dyDescent="0.3">
      <c r="A39" s="13" t="s">
        <v>36</v>
      </c>
      <c r="B39" s="13" t="s">
        <v>1832</v>
      </c>
      <c r="C39" s="13" t="s">
        <v>416</v>
      </c>
      <c r="D39" s="13" t="s">
        <v>1791</v>
      </c>
      <c r="E39" s="13" t="s">
        <v>1792</v>
      </c>
      <c r="F39" s="13" t="s">
        <v>1842</v>
      </c>
      <c r="G39" s="13"/>
      <c r="H39" s="13" t="s">
        <v>901</v>
      </c>
      <c r="I39" s="13"/>
    </row>
    <row r="40" spans="1:9" x14ac:dyDescent="0.3">
      <c r="A40" s="13" t="s">
        <v>36</v>
      </c>
      <c r="B40" s="13" t="s">
        <v>1832</v>
      </c>
      <c r="C40" s="13" t="s">
        <v>417</v>
      </c>
      <c r="D40" s="13" t="s">
        <v>1791</v>
      </c>
      <c r="E40" s="13" t="s">
        <v>1792</v>
      </c>
      <c r="F40" s="13" t="s">
        <v>1843</v>
      </c>
      <c r="G40" s="13" t="s">
        <v>1844</v>
      </c>
      <c r="H40" s="13" t="s">
        <v>901</v>
      </c>
      <c r="I40" s="13"/>
    </row>
    <row r="41" spans="1:9" ht="26.4" x14ac:dyDescent="0.3">
      <c r="A41" s="13" t="s">
        <v>36</v>
      </c>
      <c r="B41" s="13" t="s">
        <v>1832</v>
      </c>
      <c r="C41" s="13" t="s">
        <v>218</v>
      </c>
      <c r="D41" s="13" t="s">
        <v>1802</v>
      </c>
      <c r="E41" s="13" t="s">
        <v>1818</v>
      </c>
      <c r="F41" s="13" t="s">
        <v>1845</v>
      </c>
      <c r="G41" s="13"/>
      <c r="H41" s="13" t="s">
        <v>901</v>
      </c>
      <c r="I41" s="13"/>
    </row>
    <row r="42" spans="1:9" ht="39.6" x14ac:dyDescent="0.3">
      <c r="A42" s="13" t="s">
        <v>36</v>
      </c>
      <c r="B42" s="13" t="s">
        <v>1832</v>
      </c>
      <c r="C42" s="13" t="s">
        <v>418</v>
      </c>
      <c r="D42" s="13" t="s">
        <v>1791</v>
      </c>
      <c r="E42" s="13" t="s">
        <v>1792</v>
      </c>
      <c r="F42" s="13" t="s">
        <v>1846</v>
      </c>
      <c r="G42" s="13"/>
      <c r="H42" s="13" t="s">
        <v>901</v>
      </c>
      <c r="I42" s="13" t="s">
        <v>1847</v>
      </c>
    </row>
    <row r="43" spans="1:9" x14ac:dyDescent="0.3">
      <c r="A43" s="13" t="s">
        <v>36</v>
      </c>
      <c r="B43" s="13" t="s">
        <v>1832</v>
      </c>
      <c r="C43" s="13" t="s">
        <v>419</v>
      </c>
      <c r="D43" s="13" t="s">
        <v>1796</v>
      </c>
      <c r="E43" s="13" t="s">
        <v>1792</v>
      </c>
      <c r="F43" s="13" t="s">
        <v>1848</v>
      </c>
      <c r="G43" s="13"/>
      <c r="H43" s="13" t="s">
        <v>901</v>
      </c>
      <c r="I43" s="13"/>
    </row>
    <row r="44" spans="1:9" x14ac:dyDescent="0.3">
      <c r="A44" s="13" t="s">
        <v>36</v>
      </c>
      <c r="B44" s="13" t="s">
        <v>1832</v>
      </c>
      <c r="C44" s="13" t="s">
        <v>420</v>
      </c>
      <c r="D44" s="13" t="s">
        <v>1791</v>
      </c>
      <c r="E44" s="13" t="s">
        <v>1792</v>
      </c>
      <c r="F44" s="13" t="s">
        <v>1849</v>
      </c>
      <c r="G44" s="13"/>
      <c r="H44" s="13" t="s">
        <v>901</v>
      </c>
      <c r="I44" s="13"/>
    </row>
    <row r="45" spans="1:9" x14ac:dyDescent="0.3">
      <c r="A45" s="13" t="s">
        <v>36</v>
      </c>
      <c r="B45" s="13" t="s">
        <v>1832</v>
      </c>
      <c r="C45" s="13" t="s">
        <v>222</v>
      </c>
      <c r="D45" s="13" t="s">
        <v>1796</v>
      </c>
      <c r="E45" s="13" t="s">
        <v>1818</v>
      </c>
      <c r="F45" s="13" t="s">
        <v>1850</v>
      </c>
      <c r="G45" s="13"/>
      <c r="H45" s="13" t="s">
        <v>901</v>
      </c>
      <c r="I45" s="13"/>
    </row>
    <row r="46" spans="1:9" x14ac:dyDescent="0.3">
      <c r="A46" s="13" t="s">
        <v>38</v>
      </c>
      <c r="B46" s="13" t="s">
        <v>1851</v>
      </c>
      <c r="C46" s="13" t="s">
        <v>512</v>
      </c>
      <c r="D46" s="13" t="s">
        <v>1791</v>
      </c>
      <c r="E46" s="13" t="s">
        <v>1792</v>
      </c>
      <c r="F46" s="13" t="s">
        <v>1852</v>
      </c>
      <c r="G46" s="13"/>
      <c r="H46" s="13" t="s">
        <v>901</v>
      </c>
      <c r="I46" s="13" t="s">
        <v>1794</v>
      </c>
    </row>
    <row r="47" spans="1:9" ht="26.4" x14ac:dyDescent="0.3">
      <c r="A47" s="13" t="s">
        <v>38</v>
      </c>
      <c r="B47" s="13" t="s">
        <v>1851</v>
      </c>
      <c r="C47" s="13" t="s">
        <v>513</v>
      </c>
      <c r="D47" s="13" t="s">
        <v>1791</v>
      </c>
      <c r="E47" s="13" t="s">
        <v>1792</v>
      </c>
      <c r="F47" s="13" t="s">
        <v>1853</v>
      </c>
      <c r="G47" s="13"/>
      <c r="H47" s="13" t="s">
        <v>901</v>
      </c>
      <c r="I47" s="13" t="s">
        <v>1854</v>
      </c>
    </row>
    <row r="48" spans="1:9" x14ac:dyDescent="0.3">
      <c r="A48" s="13" t="s">
        <v>38</v>
      </c>
      <c r="B48" s="13" t="s">
        <v>1851</v>
      </c>
      <c r="C48" s="13" t="s">
        <v>514</v>
      </c>
      <c r="D48" s="13" t="s">
        <v>1791</v>
      </c>
      <c r="E48" s="13" t="s">
        <v>1792</v>
      </c>
      <c r="F48" s="13" t="s">
        <v>1855</v>
      </c>
      <c r="G48" s="13"/>
      <c r="H48" s="13" t="s">
        <v>901</v>
      </c>
      <c r="I48" s="13"/>
    </row>
    <row r="49" spans="1:9" x14ac:dyDescent="0.3">
      <c r="A49" s="13" t="s">
        <v>38</v>
      </c>
      <c r="B49" s="13" t="s">
        <v>1851</v>
      </c>
      <c r="C49" s="13" t="s">
        <v>515</v>
      </c>
      <c r="D49" s="13" t="s">
        <v>1791</v>
      </c>
      <c r="E49" s="13" t="s">
        <v>1792</v>
      </c>
      <c r="F49" s="13" t="s">
        <v>1856</v>
      </c>
      <c r="G49" s="13" t="s">
        <v>1857</v>
      </c>
      <c r="H49" s="13" t="s">
        <v>901</v>
      </c>
      <c r="I49" s="13"/>
    </row>
    <row r="50" spans="1:9" x14ac:dyDescent="0.3">
      <c r="A50" s="13" t="s">
        <v>38</v>
      </c>
      <c r="B50" s="13" t="s">
        <v>1851</v>
      </c>
      <c r="C50" s="13" t="s">
        <v>516</v>
      </c>
      <c r="D50" s="13" t="s">
        <v>1791</v>
      </c>
      <c r="E50" s="13" t="s">
        <v>1792</v>
      </c>
      <c r="F50" s="13" t="s">
        <v>1858</v>
      </c>
      <c r="G50" s="13"/>
      <c r="H50" s="13" t="s">
        <v>901</v>
      </c>
      <c r="I50" s="13"/>
    </row>
    <row r="51" spans="1:9" x14ac:dyDescent="0.3">
      <c r="A51" s="13" t="s">
        <v>38</v>
      </c>
      <c r="B51" s="13" t="s">
        <v>1851</v>
      </c>
      <c r="C51" s="13" t="s">
        <v>517</v>
      </c>
      <c r="D51" s="13" t="s">
        <v>1791</v>
      </c>
      <c r="E51" s="13" t="s">
        <v>1792</v>
      </c>
      <c r="F51" s="13" t="s">
        <v>1859</v>
      </c>
      <c r="G51" s="13"/>
      <c r="H51" s="13" t="s">
        <v>901</v>
      </c>
      <c r="I51" s="13"/>
    </row>
    <row r="52" spans="1:9" ht="39.6" x14ac:dyDescent="0.3">
      <c r="A52" s="13" t="s">
        <v>38</v>
      </c>
      <c r="B52" s="13" t="s">
        <v>1851</v>
      </c>
      <c r="C52" s="13" t="s">
        <v>418</v>
      </c>
      <c r="D52" s="13" t="s">
        <v>1791</v>
      </c>
      <c r="E52" s="13" t="s">
        <v>1792</v>
      </c>
      <c r="F52" s="13" t="s">
        <v>1860</v>
      </c>
      <c r="G52" s="13"/>
      <c r="H52" s="13" t="s">
        <v>901</v>
      </c>
      <c r="I52" s="13" t="s">
        <v>1847</v>
      </c>
    </row>
    <row r="53" spans="1:9" x14ac:dyDescent="0.3">
      <c r="A53" s="13" t="s">
        <v>38</v>
      </c>
      <c r="B53" s="13" t="s">
        <v>1851</v>
      </c>
      <c r="C53" s="13" t="s">
        <v>518</v>
      </c>
      <c r="D53" s="13" t="s">
        <v>1796</v>
      </c>
      <c r="E53" s="13" t="s">
        <v>1792</v>
      </c>
      <c r="F53" s="13" t="s">
        <v>1861</v>
      </c>
      <c r="G53" s="13"/>
      <c r="H53" s="13" t="s">
        <v>901</v>
      </c>
      <c r="I53" s="13"/>
    </row>
    <row r="54" spans="1:9" ht="26.4" x14ac:dyDescent="0.3">
      <c r="A54" s="13" t="s">
        <v>38</v>
      </c>
      <c r="B54" s="13" t="s">
        <v>1851</v>
      </c>
      <c r="C54" s="13" t="s">
        <v>519</v>
      </c>
      <c r="D54" s="13" t="s">
        <v>1796</v>
      </c>
      <c r="E54" s="13" t="s">
        <v>1792</v>
      </c>
      <c r="F54" s="13" t="s">
        <v>1862</v>
      </c>
      <c r="G54" s="13"/>
      <c r="H54" s="13" t="s">
        <v>901</v>
      </c>
      <c r="I54" s="13"/>
    </row>
    <row r="55" spans="1:9" x14ac:dyDescent="0.3">
      <c r="A55" s="13" t="s">
        <v>38</v>
      </c>
      <c r="B55" s="13" t="s">
        <v>1851</v>
      </c>
      <c r="C55" s="13" t="s">
        <v>520</v>
      </c>
      <c r="D55" s="13" t="s">
        <v>1791</v>
      </c>
      <c r="E55" s="13" t="s">
        <v>1792</v>
      </c>
      <c r="F55" s="13" t="s">
        <v>1863</v>
      </c>
      <c r="G55" s="13" t="s">
        <v>1837</v>
      </c>
      <c r="H55" s="13" t="s">
        <v>901</v>
      </c>
      <c r="I55" s="13"/>
    </row>
    <row r="56" spans="1:9" x14ac:dyDescent="0.3">
      <c r="A56" s="13" t="s">
        <v>38</v>
      </c>
      <c r="B56" s="13" t="s">
        <v>1851</v>
      </c>
      <c r="C56" s="13" t="s">
        <v>521</v>
      </c>
      <c r="D56" s="13" t="s">
        <v>1791</v>
      </c>
      <c r="E56" s="13" t="s">
        <v>1818</v>
      </c>
      <c r="F56" s="13" t="s">
        <v>1864</v>
      </c>
      <c r="G56" s="13"/>
      <c r="H56" s="13" t="s">
        <v>901</v>
      </c>
      <c r="I56" s="13"/>
    </row>
    <row r="57" spans="1:9" x14ac:dyDescent="0.3">
      <c r="A57" s="13" t="s">
        <v>38</v>
      </c>
      <c r="B57" s="13" t="s">
        <v>1851</v>
      </c>
      <c r="C57" s="13" t="s">
        <v>215</v>
      </c>
      <c r="D57" s="13" t="s">
        <v>1791</v>
      </c>
      <c r="E57" s="13" t="s">
        <v>1818</v>
      </c>
      <c r="F57" s="13" t="s">
        <v>1865</v>
      </c>
      <c r="G57" s="13"/>
      <c r="H57" s="13" t="s">
        <v>901</v>
      </c>
      <c r="I57" s="13"/>
    </row>
    <row r="58" spans="1:9" x14ac:dyDescent="0.3">
      <c r="A58" s="13" t="s">
        <v>38</v>
      </c>
      <c r="B58" s="13" t="s">
        <v>1851</v>
      </c>
      <c r="C58" s="13" t="s">
        <v>522</v>
      </c>
      <c r="D58" s="13" t="s">
        <v>1791</v>
      </c>
      <c r="E58" s="13" t="s">
        <v>1818</v>
      </c>
      <c r="F58" s="13" t="s">
        <v>1866</v>
      </c>
      <c r="G58" s="13"/>
      <c r="H58" s="13" t="s">
        <v>901</v>
      </c>
      <c r="I58" s="13"/>
    </row>
    <row r="59" spans="1:9" x14ac:dyDescent="0.3">
      <c r="A59" s="13" t="s">
        <v>38</v>
      </c>
      <c r="B59" s="13" t="s">
        <v>1851</v>
      </c>
      <c r="C59" s="13" t="s">
        <v>523</v>
      </c>
      <c r="D59" s="13" t="s">
        <v>1791</v>
      </c>
      <c r="E59" s="13" t="s">
        <v>1792</v>
      </c>
      <c r="F59" s="13" t="s">
        <v>1867</v>
      </c>
      <c r="G59" s="13"/>
      <c r="H59" s="13" t="s">
        <v>901</v>
      </c>
      <c r="I59" s="13"/>
    </row>
    <row r="60" spans="1:9" x14ac:dyDescent="0.3">
      <c r="A60" s="13" t="s">
        <v>38</v>
      </c>
      <c r="B60" s="13" t="s">
        <v>1851</v>
      </c>
      <c r="C60" s="13" t="s">
        <v>524</v>
      </c>
      <c r="D60" s="13" t="s">
        <v>1791</v>
      </c>
      <c r="E60" s="13" t="s">
        <v>1792</v>
      </c>
      <c r="F60" s="13" t="s">
        <v>1868</v>
      </c>
      <c r="G60" s="13" t="s">
        <v>1869</v>
      </c>
      <c r="H60" s="13" t="s">
        <v>901</v>
      </c>
      <c r="I60" s="13"/>
    </row>
    <row r="61" spans="1:9" x14ac:dyDescent="0.3">
      <c r="A61" s="13" t="s">
        <v>38</v>
      </c>
      <c r="B61" s="13" t="s">
        <v>1851</v>
      </c>
      <c r="C61" s="13" t="s">
        <v>525</v>
      </c>
      <c r="D61" s="13" t="s">
        <v>1791</v>
      </c>
      <c r="E61" s="13" t="s">
        <v>1792</v>
      </c>
      <c r="F61" s="13" t="s">
        <v>1870</v>
      </c>
      <c r="G61" s="13"/>
      <c r="H61" s="13" t="s">
        <v>901</v>
      </c>
      <c r="I61" s="13"/>
    </row>
    <row r="62" spans="1:9" ht="26.4" x14ac:dyDescent="0.3">
      <c r="A62" s="13" t="s">
        <v>38</v>
      </c>
      <c r="B62" s="13" t="s">
        <v>1851</v>
      </c>
      <c r="C62" s="13" t="s">
        <v>526</v>
      </c>
      <c r="D62" s="13" t="s">
        <v>1802</v>
      </c>
      <c r="E62" s="13" t="s">
        <v>1792</v>
      </c>
      <c r="F62" s="13" t="s">
        <v>1871</v>
      </c>
      <c r="G62" s="13"/>
      <c r="H62" s="13" t="s">
        <v>901</v>
      </c>
      <c r="I62" s="13"/>
    </row>
    <row r="63" spans="1:9" x14ac:dyDescent="0.3">
      <c r="A63" s="13" t="s">
        <v>38</v>
      </c>
      <c r="B63" s="13" t="s">
        <v>1851</v>
      </c>
      <c r="C63" s="13" t="s">
        <v>527</v>
      </c>
      <c r="D63" s="13" t="s">
        <v>1796</v>
      </c>
      <c r="E63" s="13" t="s">
        <v>1818</v>
      </c>
      <c r="F63" s="13" t="s">
        <v>1872</v>
      </c>
      <c r="G63" s="13"/>
      <c r="H63" s="13" t="s">
        <v>901</v>
      </c>
      <c r="I63" s="13"/>
    </row>
    <row r="64" spans="1:9" x14ac:dyDescent="0.3">
      <c r="A64" s="13" t="s">
        <v>38</v>
      </c>
      <c r="B64" s="13" t="s">
        <v>1851</v>
      </c>
      <c r="C64" s="13" t="s">
        <v>528</v>
      </c>
      <c r="D64" s="13" t="s">
        <v>1791</v>
      </c>
      <c r="E64" s="13" t="s">
        <v>1792</v>
      </c>
      <c r="F64" s="13" t="s">
        <v>1873</v>
      </c>
      <c r="G64" s="13" t="s">
        <v>1874</v>
      </c>
      <c r="H64" s="13" t="s">
        <v>901</v>
      </c>
      <c r="I64" s="13"/>
    </row>
    <row r="65" spans="1:9" x14ac:dyDescent="0.3">
      <c r="A65" s="13" t="s">
        <v>38</v>
      </c>
      <c r="B65" s="13" t="s">
        <v>1851</v>
      </c>
      <c r="C65" s="13" t="s">
        <v>529</v>
      </c>
      <c r="D65" s="13" t="s">
        <v>1796</v>
      </c>
      <c r="E65" s="13" t="s">
        <v>1792</v>
      </c>
      <c r="F65" s="13" t="s">
        <v>1875</v>
      </c>
      <c r="G65" s="13"/>
      <c r="H65" s="13" t="s">
        <v>901</v>
      </c>
      <c r="I65" s="13"/>
    </row>
    <row r="66" spans="1:9" x14ac:dyDescent="0.3">
      <c r="A66" s="13" t="s">
        <v>38</v>
      </c>
      <c r="B66" s="13" t="s">
        <v>1851</v>
      </c>
      <c r="C66" s="13" t="s">
        <v>530</v>
      </c>
      <c r="D66" s="13" t="s">
        <v>1791</v>
      </c>
      <c r="E66" s="13" t="s">
        <v>1792</v>
      </c>
      <c r="F66" s="13" t="s">
        <v>1876</v>
      </c>
      <c r="G66" s="13"/>
      <c r="H66" s="13" t="s">
        <v>901</v>
      </c>
      <c r="I66" s="13"/>
    </row>
    <row r="67" spans="1:9" ht="26.4" x14ac:dyDescent="0.3">
      <c r="A67" s="13" t="s">
        <v>38</v>
      </c>
      <c r="B67" s="13" t="s">
        <v>1851</v>
      </c>
      <c r="C67" s="13" t="s">
        <v>531</v>
      </c>
      <c r="D67" s="13" t="s">
        <v>1791</v>
      </c>
      <c r="E67" s="13" t="s">
        <v>1792</v>
      </c>
      <c r="F67" s="13" t="s">
        <v>1877</v>
      </c>
      <c r="G67" s="13"/>
      <c r="H67" s="13" t="s">
        <v>901</v>
      </c>
      <c r="I67" s="13" t="s">
        <v>1878</v>
      </c>
    </row>
    <row r="68" spans="1:9" x14ac:dyDescent="0.3">
      <c r="A68" s="13" t="s">
        <v>38</v>
      </c>
      <c r="B68" s="13" t="s">
        <v>1851</v>
      </c>
      <c r="C68" s="13" t="s">
        <v>532</v>
      </c>
      <c r="D68" s="13" t="s">
        <v>1791</v>
      </c>
      <c r="E68" s="13" t="s">
        <v>1818</v>
      </c>
      <c r="F68" s="13" t="s">
        <v>1879</v>
      </c>
      <c r="G68" s="13"/>
      <c r="H68" s="13" t="s">
        <v>901</v>
      </c>
      <c r="I68" s="13"/>
    </row>
    <row r="69" spans="1:9" x14ac:dyDescent="0.3">
      <c r="A69" s="13" t="s">
        <v>38</v>
      </c>
      <c r="B69" s="13" t="s">
        <v>1851</v>
      </c>
      <c r="C69" s="13" t="s">
        <v>533</v>
      </c>
      <c r="D69" s="13" t="s">
        <v>1791</v>
      </c>
      <c r="E69" s="13" t="s">
        <v>1818</v>
      </c>
      <c r="F69" s="13" t="s">
        <v>1880</v>
      </c>
      <c r="G69" s="13"/>
      <c r="H69" s="13" t="s">
        <v>901</v>
      </c>
      <c r="I69" s="13"/>
    </row>
    <row r="70" spans="1:9" x14ac:dyDescent="0.3">
      <c r="A70" s="13" t="s">
        <v>38</v>
      </c>
      <c r="B70" s="13" t="s">
        <v>1851</v>
      </c>
      <c r="C70" s="13" t="s">
        <v>534</v>
      </c>
      <c r="D70" s="13" t="s">
        <v>1796</v>
      </c>
      <c r="E70" s="13" t="s">
        <v>1818</v>
      </c>
      <c r="F70" s="13" t="s">
        <v>1881</v>
      </c>
      <c r="G70" s="13"/>
      <c r="H70" s="13" t="s">
        <v>901</v>
      </c>
      <c r="I70" s="13"/>
    </row>
    <row r="71" spans="1:9" x14ac:dyDescent="0.3">
      <c r="A71" s="13" t="s">
        <v>38</v>
      </c>
      <c r="B71" s="13" t="s">
        <v>1851</v>
      </c>
      <c r="C71" s="13" t="s">
        <v>535</v>
      </c>
      <c r="D71" s="13" t="s">
        <v>1791</v>
      </c>
      <c r="E71" s="13" t="s">
        <v>1792</v>
      </c>
      <c r="F71" s="13" t="s">
        <v>1882</v>
      </c>
      <c r="G71" s="13" t="s">
        <v>1844</v>
      </c>
      <c r="H71" s="13" t="s">
        <v>901</v>
      </c>
      <c r="I71" s="13"/>
    </row>
    <row r="72" spans="1:9" x14ac:dyDescent="0.3">
      <c r="A72" s="13" t="s">
        <v>38</v>
      </c>
      <c r="B72" s="13" t="s">
        <v>1851</v>
      </c>
      <c r="C72" s="13" t="s">
        <v>536</v>
      </c>
      <c r="D72" s="13" t="s">
        <v>1791</v>
      </c>
      <c r="E72" s="13" t="s">
        <v>1792</v>
      </c>
      <c r="F72" s="13" t="s">
        <v>1883</v>
      </c>
      <c r="G72" s="13" t="s">
        <v>1884</v>
      </c>
      <c r="H72" s="13" t="s">
        <v>901</v>
      </c>
      <c r="I72" s="13"/>
    </row>
    <row r="73" spans="1:9" x14ac:dyDescent="0.3">
      <c r="A73" s="13" t="s">
        <v>38</v>
      </c>
      <c r="B73" s="13" t="s">
        <v>1851</v>
      </c>
      <c r="C73" s="13" t="s">
        <v>537</v>
      </c>
      <c r="D73" s="13" t="s">
        <v>1791</v>
      </c>
      <c r="E73" s="13" t="s">
        <v>1792</v>
      </c>
      <c r="F73" s="13" t="s">
        <v>1885</v>
      </c>
      <c r="G73" s="13" t="s">
        <v>1886</v>
      </c>
      <c r="H73" s="13" t="s">
        <v>901</v>
      </c>
      <c r="I73" s="13"/>
    </row>
    <row r="74" spans="1:9" ht="26.4" x14ac:dyDescent="0.3">
      <c r="A74" s="13" t="s">
        <v>38</v>
      </c>
      <c r="B74" s="13" t="s">
        <v>1851</v>
      </c>
      <c r="C74" s="13" t="s">
        <v>538</v>
      </c>
      <c r="D74" s="13" t="s">
        <v>1802</v>
      </c>
      <c r="E74" s="13" t="s">
        <v>1792</v>
      </c>
      <c r="F74" s="13" t="s">
        <v>1887</v>
      </c>
      <c r="G74" s="13"/>
      <c r="H74" s="13" t="s">
        <v>901</v>
      </c>
      <c r="I74" s="13"/>
    </row>
    <row r="75" spans="1:9" x14ac:dyDescent="0.3">
      <c r="A75" s="13" t="s">
        <v>38</v>
      </c>
      <c r="B75" s="13" t="s">
        <v>1851</v>
      </c>
      <c r="C75" s="13" t="s">
        <v>539</v>
      </c>
      <c r="D75" s="13" t="s">
        <v>1796</v>
      </c>
      <c r="E75" s="13" t="s">
        <v>1792</v>
      </c>
      <c r="F75" s="13" t="s">
        <v>1888</v>
      </c>
      <c r="G75" s="13"/>
      <c r="H75" s="13" t="s">
        <v>901</v>
      </c>
      <c r="I75" s="13"/>
    </row>
    <row r="76" spans="1:9" x14ac:dyDescent="0.3">
      <c r="A76" s="13" t="s">
        <v>38</v>
      </c>
      <c r="B76" s="13" t="s">
        <v>1851</v>
      </c>
      <c r="C76" s="13" t="s">
        <v>540</v>
      </c>
      <c r="D76" s="13" t="s">
        <v>1791</v>
      </c>
      <c r="E76" s="13" t="s">
        <v>1792</v>
      </c>
      <c r="F76" s="13" t="s">
        <v>1889</v>
      </c>
      <c r="G76" s="13"/>
      <c r="H76" s="13" t="s">
        <v>901</v>
      </c>
      <c r="I76" s="13"/>
    </row>
    <row r="77" spans="1:9" x14ac:dyDescent="0.3">
      <c r="A77" s="13" t="s">
        <v>38</v>
      </c>
      <c r="B77" s="13" t="s">
        <v>1851</v>
      </c>
      <c r="C77" s="13" t="s">
        <v>541</v>
      </c>
      <c r="D77" s="13" t="s">
        <v>1791</v>
      </c>
      <c r="E77" s="13" t="s">
        <v>1792</v>
      </c>
      <c r="F77" s="13" t="s">
        <v>1890</v>
      </c>
      <c r="G77" s="13" t="s">
        <v>1891</v>
      </c>
      <c r="H77" s="13" t="s">
        <v>901</v>
      </c>
      <c r="I77" s="13"/>
    </row>
    <row r="78" spans="1:9" x14ac:dyDescent="0.3">
      <c r="A78" s="13" t="s">
        <v>38</v>
      </c>
      <c r="B78" s="13" t="s">
        <v>1851</v>
      </c>
      <c r="C78" s="13" t="s">
        <v>542</v>
      </c>
      <c r="D78" s="13" t="s">
        <v>1817</v>
      </c>
      <c r="E78" s="13" t="s">
        <v>1792</v>
      </c>
      <c r="F78" s="13" t="s">
        <v>1892</v>
      </c>
      <c r="G78" s="13"/>
      <c r="H78" s="13" t="s">
        <v>901</v>
      </c>
      <c r="I78" s="13"/>
    </row>
    <row r="79" spans="1:9" x14ac:dyDescent="0.3">
      <c r="A79" s="13" t="s">
        <v>38</v>
      </c>
      <c r="B79" s="13" t="s">
        <v>1851</v>
      </c>
      <c r="C79" s="13" t="s">
        <v>543</v>
      </c>
      <c r="D79" s="13" t="s">
        <v>1791</v>
      </c>
      <c r="E79" s="13" t="s">
        <v>1818</v>
      </c>
      <c r="F79" s="13" t="s">
        <v>1893</v>
      </c>
      <c r="G79" s="13"/>
      <c r="H79" s="13" t="s">
        <v>901</v>
      </c>
      <c r="I79" s="13"/>
    </row>
    <row r="80" spans="1:9" x14ac:dyDescent="0.3">
      <c r="A80" s="13" t="s">
        <v>38</v>
      </c>
      <c r="B80" s="13" t="s">
        <v>1851</v>
      </c>
      <c r="C80" s="13" t="s">
        <v>544</v>
      </c>
      <c r="D80" s="13" t="s">
        <v>1796</v>
      </c>
      <c r="E80" s="13" t="s">
        <v>1792</v>
      </c>
      <c r="F80" s="13" t="s">
        <v>1894</v>
      </c>
      <c r="G80" s="13"/>
      <c r="H80" s="13" t="s">
        <v>901</v>
      </c>
      <c r="I80" s="13"/>
    </row>
    <row r="81" spans="1:9" x14ac:dyDescent="0.3">
      <c r="A81" s="13" t="s">
        <v>38</v>
      </c>
      <c r="B81" s="13" t="s">
        <v>1851</v>
      </c>
      <c r="C81" s="13" t="s">
        <v>545</v>
      </c>
      <c r="D81" s="13" t="s">
        <v>1791</v>
      </c>
      <c r="E81" s="13" t="s">
        <v>1818</v>
      </c>
      <c r="F81" s="13" t="s">
        <v>1895</v>
      </c>
      <c r="G81" s="13"/>
      <c r="H81" s="13" t="s">
        <v>901</v>
      </c>
      <c r="I81" s="13"/>
    </row>
    <row r="82" spans="1:9" x14ac:dyDescent="0.3">
      <c r="A82" s="13" t="s">
        <v>38</v>
      </c>
      <c r="B82" s="13" t="s">
        <v>1851</v>
      </c>
      <c r="C82" s="13" t="s">
        <v>546</v>
      </c>
      <c r="D82" s="13" t="s">
        <v>1791</v>
      </c>
      <c r="E82" s="13" t="s">
        <v>1818</v>
      </c>
      <c r="F82" s="13" t="s">
        <v>1896</v>
      </c>
      <c r="G82" s="13"/>
      <c r="H82" s="13" t="s">
        <v>901</v>
      </c>
      <c r="I82" s="13"/>
    </row>
    <row r="83" spans="1:9" x14ac:dyDescent="0.3">
      <c r="A83" s="13" t="s">
        <v>38</v>
      </c>
      <c r="B83" s="13" t="s">
        <v>1851</v>
      </c>
      <c r="C83" s="13" t="s">
        <v>547</v>
      </c>
      <c r="D83" s="13" t="s">
        <v>1791</v>
      </c>
      <c r="E83" s="13" t="s">
        <v>1818</v>
      </c>
      <c r="F83" s="13" t="s">
        <v>1897</v>
      </c>
      <c r="G83" s="13"/>
      <c r="H83" s="13" t="s">
        <v>901</v>
      </c>
      <c r="I83" s="13"/>
    </row>
    <row r="84" spans="1:9" x14ac:dyDescent="0.3">
      <c r="A84" s="13" t="s">
        <v>38</v>
      </c>
      <c r="B84" s="13" t="s">
        <v>1851</v>
      </c>
      <c r="C84" s="13" t="s">
        <v>548</v>
      </c>
      <c r="D84" s="13" t="s">
        <v>1791</v>
      </c>
      <c r="E84" s="13" t="s">
        <v>1818</v>
      </c>
      <c r="F84" s="13" t="s">
        <v>1898</v>
      </c>
      <c r="G84" s="13"/>
      <c r="H84" s="13" t="s">
        <v>901</v>
      </c>
      <c r="I84" s="13"/>
    </row>
    <row r="85" spans="1:9" x14ac:dyDescent="0.3">
      <c r="A85" s="13" t="s">
        <v>38</v>
      </c>
      <c r="B85" s="13" t="s">
        <v>1851</v>
      </c>
      <c r="C85" s="13" t="s">
        <v>549</v>
      </c>
      <c r="D85" s="13" t="s">
        <v>1791</v>
      </c>
      <c r="E85" s="13" t="s">
        <v>1818</v>
      </c>
      <c r="F85" s="13" t="s">
        <v>1899</v>
      </c>
      <c r="G85" s="13"/>
      <c r="H85" s="13" t="s">
        <v>901</v>
      </c>
      <c r="I85" s="13"/>
    </row>
    <row r="86" spans="1:9" x14ac:dyDescent="0.3">
      <c r="A86" s="13" t="s">
        <v>38</v>
      </c>
      <c r="B86" s="13" t="s">
        <v>1851</v>
      </c>
      <c r="C86" s="13" t="s">
        <v>550</v>
      </c>
      <c r="D86" s="13" t="s">
        <v>1791</v>
      </c>
      <c r="E86" s="13" t="s">
        <v>1818</v>
      </c>
      <c r="F86" s="13" t="s">
        <v>1900</v>
      </c>
      <c r="G86" s="13"/>
      <c r="H86" s="13" t="s">
        <v>901</v>
      </c>
      <c r="I86" s="13"/>
    </row>
    <row r="87" spans="1:9" x14ac:dyDescent="0.3">
      <c r="A87" s="13" t="s">
        <v>38</v>
      </c>
      <c r="B87" s="13" t="s">
        <v>1851</v>
      </c>
      <c r="C87" s="13" t="s">
        <v>551</v>
      </c>
      <c r="D87" s="13" t="s">
        <v>1791</v>
      </c>
      <c r="E87" s="13" t="s">
        <v>1818</v>
      </c>
      <c r="F87" s="13" t="s">
        <v>1901</v>
      </c>
      <c r="G87" s="13"/>
      <c r="H87" s="13" t="s">
        <v>901</v>
      </c>
      <c r="I87" s="13"/>
    </row>
    <row r="88" spans="1:9" x14ac:dyDescent="0.3">
      <c r="A88" s="13" t="s">
        <v>38</v>
      </c>
      <c r="B88" s="13" t="s">
        <v>1851</v>
      </c>
      <c r="C88" s="13" t="s">
        <v>552</v>
      </c>
      <c r="D88" s="13" t="s">
        <v>1791</v>
      </c>
      <c r="E88" s="13" t="s">
        <v>1818</v>
      </c>
      <c r="F88" s="13" t="s">
        <v>1902</v>
      </c>
      <c r="G88" s="13"/>
      <c r="H88" s="13" t="s">
        <v>901</v>
      </c>
      <c r="I88" s="13"/>
    </row>
    <row r="89" spans="1:9" x14ac:dyDescent="0.3">
      <c r="A89" s="13" t="s">
        <v>38</v>
      </c>
      <c r="B89" s="13" t="s">
        <v>1851</v>
      </c>
      <c r="C89" s="13" t="s">
        <v>553</v>
      </c>
      <c r="D89" s="13" t="s">
        <v>1791</v>
      </c>
      <c r="E89" s="13" t="s">
        <v>1818</v>
      </c>
      <c r="F89" s="13" t="s">
        <v>1903</v>
      </c>
      <c r="G89" s="13"/>
      <c r="H89" s="13" t="s">
        <v>901</v>
      </c>
      <c r="I89" s="13"/>
    </row>
    <row r="90" spans="1:9" x14ac:dyDescent="0.3">
      <c r="A90" s="13" t="s">
        <v>38</v>
      </c>
      <c r="B90" s="13" t="s">
        <v>1851</v>
      </c>
      <c r="C90" s="13" t="s">
        <v>554</v>
      </c>
      <c r="D90" s="13" t="s">
        <v>1791</v>
      </c>
      <c r="E90" s="13" t="s">
        <v>1818</v>
      </c>
      <c r="F90" s="13" t="s">
        <v>1904</v>
      </c>
      <c r="G90" s="13"/>
      <c r="H90" s="13" t="s">
        <v>901</v>
      </c>
      <c r="I90" s="13"/>
    </row>
    <row r="91" spans="1:9" x14ac:dyDescent="0.3">
      <c r="A91" s="13" t="s">
        <v>38</v>
      </c>
      <c r="B91" s="13" t="s">
        <v>1851</v>
      </c>
      <c r="C91" s="13" t="s">
        <v>555</v>
      </c>
      <c r="D91" s="13" t="s">
        <v>1817</v>
      </c>
      <c r="E91" s="13" t="s">
        <v>1818</v>
      </c>
      <c r="F91" s="13" t="s">
        <v>1905</v>
      </c>
      <c r="G91" s="13"/>
      <c r="H91" s="13" t="s">
        <v>901</v>
      </c>
      <c r="I91" s="13"/>
    </row>
    <row r="92" spans="1:9" x14ac:dyDescent="0.3">
      <c r="A92" s="13" t="s">
        <v>38</v>
      </c>
      <c r="B92" s="13" t="s">
        <v>1851</v>
      </c>
      <c r="C92" s="13" t="s">
        <v>556</v>
      </c>
      <c r="D92" s="13" t="s">
        <v>1791</v>
      </c>
      <c r="E92" s="13" t="s">
        <v>1818</v>
      </c>
      <c r="F92" s="13" t="s">
        <v>1906</v>
      </c>
      <c r="G92" s="13"/>
      <c r="H92" s="13" t="s">
        <v>901</v>
      </c>
      <c r="I92" s="13"/>
    </row>
    <row r="93" spans="1:9" x14ac:dyDescent="0.3">
      <c r="A93" s="13" t="s">
        <v>38</v>
      </c>
      <c r="B93" s="13" t="s">
        <v>1851</v>
      </c>
      <c r="C93" s="13" t="s">
        <v>557</v>
      </c>
      <c r="D93" s="13" t="s">
        <v>1817</v>
      </c>
      <c r="E93" s="13" t="s">
        <v>1818</v>
      </c>
      <c r="F93" s="13" t="s">
        <v>1907</v>
      </c>
      <c r="G93" s="13"/>
      <c r="H93" s="13" t="s">
        <v>901</v>
      </c>
      <c r="I93" s="13"/>
    </row>
    <row r="94" spans="1:9" x14ac:dyDescent="0.3">
      <c r="A94" s="13" t="s">
        <v>38</v>
      </c>
      <c r="B94" s="13" t="s">
        <v>1851</v>
      </c>
      <c r="C94" s="13" t="s">
        <v>558</v>
      </c>
      <c r="D94" s="13" t="s">
        <v>1791</v>
      </c>
      <c r="E94" s="13" t="s">
        <v>1818</v>
      </c>
      <c r="F94" s="13" t="s">
        <v>1908</v>
      </c>
      <c r="G94" s="13"/>
      <c r="H94" s="13" t="s">
        <v>901</v>
      </c>
      <c r="I94" s="13"/>
    </row>
    <row r="95" spans="1:9" x14ac:dyDescent="0.3">
      <c r="A95" s="13" t="s">
        <v>38</v>
      </c>
      <c r="B95" s="13" t="s">
        <v>1851</v>
      </c>
      <c r="C95" s="13" t="s">
        <v>270</v>
      </c>
      <c r="D95" s="13" t="s">
        <v>1791</v>
      </c>
      <c r="E95" s="13" t="s">
        <v>1818</v>
      </c>
      <c r="F95" s="13" t="s">
        <v>1909</v>
      </c>
      <c r="G95" s="13"/>
      <c r="H95" s="13" t="s">
        <v>901</v>
      </c>
      <c r="I95" s="13"/>
    </row>
    <row r="96" spans="1:9" x14ac:dyDescent="0.3">
      <c r="A96" s="13" t="s">
        <v>38</v>
      </c>
      <c r="B96" s="13" t="s">
        <v>1851</v>
      </c>
      <c r="C96" s="13" t="s">
        <v>559</v>
      </c>
      <c r="D96" s="13" t="s">
        <v>1796</v>
      </c>
      <c r="E96" s="13" t="s">
        <v>1818</v>
      </c>
      <c r="F96" s="13" t="s">
        <v>1910</v>
      </c>
      <c r="G96" s="13"/>
      <c r="H96" s="13" t="s">
        <v>901</v>
      </c>
      <c r="I96" s="13"/>
    </row>
    <row r="97" spans="1:9" ht="26.4" x14ac:dyDescent="0.3">
      <c r="A97" s="13" t="s">
        <v>38</v>
      </c>
      <c r="B97" s="13" t="s">
        <v>1851</v>
      </c>
      <c r="C97" s="13" t="s">
        <v>560</v>
      </c>
      <c r="D97" s="13" t="s">
        <v>1802</v>
      </c>
      <c r="E97" s="13" t="s">
        <v>1818</v>
      </c>
      <c r="F97" s="13" t="s">
        <v>1911</v>
      </c>
      <c r="G97" s="13"/>
      <c r="H97" s="13" t="s">
        <v>901</v>
      </c>
      <c r="I97" s="13"/>
    </row>
    <row r="98" spans="1:9" ht="26.4" x14ac:dyDescent="0.3">
      <c r="A98" s="13" t="s">
        <v>38</v>
      </c>
      <c r="B98" s="13" t="s">
        <v>1851</v>
      </c>
      <c r="C98" s="13" t="s">
        <v>561</v>
      </c>
      <c r="D98" s="13" t="s">
        <v>1802</v>
      </c>
      <c r="E98" s="13" t="s">
        <v>1818</v>
      </c>
      <c r="F98" s="13" t="s">
        <v>1912</v>
      </c>
      <c r="G98" s="13"/>
      <c r="H98" s="13" t="s">
        <v>901</v>
      </c>
      <c r="I98" s="13"/>
    </row>
    <row r="99" spans="1:9" ht="26.4" x14ac:dyDescent="0.3">
      <c r="A99" s="13" t="s">
        <v>38</v>
      </c>
      <c r="B99" s="13" t="s">
        <v>1851</v>
      </c>
      <c r="C99" s="13" t="s">
        <v>562</v>
      </c>
      <c r="D99" s="13" t="s">
        <v>1802</v>
      </c>
      <c r="E99" s="13" t="s">
        <v>1818</v>
      </c>
      <c r="F99" s="13" t="s">
        <v>1913</v>
      </c>
      <c r="G99" s="13"/>
      <c r="H99" s="13" t="s">
        <v>901</v>
      </c>
      <c r="I99" s="13"/>
    </row>
    <row r="100" spans="1:9" x14ac:dyDescent="0.3">
      <c r="A100" s="13" t="s">
        <v>38</v>
      </c>
      <c r="B100" s="13" t="s">
        <v>1851</v>
      </c>
      <c r="C100" s="13" t="s">
        <v>563</v>
      </c>
      <c r="D100" s="13" t="s">
        <v>1796</v>
      </c>
      <c r="E100" s="13" t="s">
        <v>1818</v>
      </c>
      <c r="F100" s="13" t="s">
        <v>1914</v>
      </c>
      <c r="G100" s="13"/>
      <c r="H100" s="13" t="s">
        <v>901</v>
      </c>
      <c r="I100" s="13"/>
    </row>
    <row r="101" spans="1:9" ht="26.4" x14ac:dyDescent="0.3">
      <c r="A101" s="13" t="s">
        <v>38</v>
      </c>
      <c r="B101" s="13" t="s">
        <v>1851</v>
      </c>
      <c r="C101" s="13" t="s">
        <v>564</v>
      </c>
      <c r="D101" s="13" t="s">
        <v>1802</v>
      </c>
      <c r="E101" s="13" t="s">
        <v>1818</v>
      </c>
      <c r="F101" s="13" t="s">
        <v>1915</v>
      </c>
      <c r="G101" s="13"/>
      <c r="H101" s="13" t="s">
        <v>901</v>
      </c>
      <c r="I101" s="13"/>
    </row>
    <row r="102" spans="1:9" x14ac:dyDescent="0.3">
      <c r="A102" s="13" t="s">
        <v>38</v>
      </c>
      <c r="B102" s="13" t="s">
        <v>1851</v>
      </c>
      <c r="C102" s="13" t="s">
        <v>565</v>
      </c>
      <c r="D102" s="13" t="s">
        <v>1791</v>
      </c>
      <c r="E102" s="13" t="s">
        <v>1818</v>
      </c>
      <c r="F102" s="13" t="s">
        <v>1916</v>
      </c>
      <c r="G102" s="13"/>
      <c r="H102" s="13" t="s">
        <v>901</v>
      </c>
      <c r="I102" s="13"/>
    </row>
    <row r="103" spans="1:9" ht="26.4" x14ac:dyDescent="0.3">
      <c r="A103" s="13" t="s">
        <v>38</v>
      </c>
      <c r="B103" s="13" t="s">
        <v>1851</v>
      </c>
      <c r="C103" s="13" t="s">
        <v>566</v>
      </c>
      <c r="D103" s="13" t="s">
        <v>1791</v>
      </c>
      <c r="E103" s="13" t="s">
        <v>1818</v>
      </c>
      <c r="F103" s="13" t="s">
        <v>1917</v>
      </c>
      <c r="G103" s="13"/>
      <c r="H103" s="13" t="s">
        <v>901</v>
      </c>
      <c r="I103" s="13"/>
    </row>
    <row r="104" spans="1:9" x14ac:dyDescent="0.3">
      <c r="A104" s="13" t="s">
        <v>38</v>
      </c>
      <c r="B104" s="13" t="s">
        <v>1851</v>
      </c>
      <c r="C104" s="13" t="s">
        <v>567</v>
      </c>
      <c r="D104" s="13" t="s">
        <v>1791</v>
      </c>
      <c r="E104" s="13" t="s">
        <v>1818</v>
      </c>
      <c r="F104" s="13" t="s">
        <v>1918</v>
      </c>
      <c r="G104" s="13"/>
      <c r="H104" s="13" t="s">
        <v>901</v>
      </c>
      <c r="I104" s="13"/>
    </row>
    <row r="105" spans="1:9" x14ac:dyDescent="0.3">
      <c r="A105" s="13" t="s">
        <v>38</v>
      </c>
      <c r="B105" s="13" t="s">
        <v>1851</v>
      </c>
      <c r="C105" s="13" t="s">
        <v>568</v>
      </c>
      <c r="D105" s="13" t="s">
        <v>1791</v>
      </c>
      <c r="E105" s="13" t="s">
        <v>1818</v>
      </c>
      <c r="F105" s="13" t="s">
        <v>1919</v>
      </c>
      <c r="G105" s="13"/>
      <c r="H105" s="13" t="s">
        <v>901</v>
      </c>
      <c r="I105" s="13"/>
    </row>
    <row r="106" spans="1:9" x14ac:dyDescent="0.3">
      <c r="A106" s="13" t="s">
        <v>38</v>
      </c>
      <c r="B106" s="13" t="s">
        <v>1851</v>
      </c>
      <c r="C106" s="13" t="s">
        <v>569</v>
      </c>
      <c r="D106" s="13" t="s">
        <v>1791</v>
      </c>
      <c r="E106" s="13" t="s">
        <v>1818</v>
      </c>
      <c r="F106" s="13" t="s">
        <v>1920</v>
      </c>
      <c r="G106" s="13"/>
      <c r="H106" s="13" t="s">
        <v>901</v>
      </c>
      <c r="I106" s="13"/>
    </row>
    <row r="107" spans="1:9" ht="26.4" x14ac:dyDescent="0.3">
      <c r="A107" s="13" t="s">
        <v>38</v>
      </c>
      <c r="B107" s="13" t="s">
        <v>1851</v>
      </c>
      <c r="C107" s="13" t="s">
        <v>570</v>
      </c>
      <c r="D107" s="13" t="s">
        <v>1802</v>
      </c>
      <c r="E107" s="13" t="s">
        <v>1818</v>
      </c>
      <c r="F107" s="13" t="s">
        <v>1921</v>
      </c>
      <c r="G107" s="13"/>
      <c r="H107" s="13" t="s">
        <v>901</v>
      </c>
      <c r="I107" s="13"/>
    </row>
    <row r="108" spans="1:9" ht="26.4" x14ac:dyDescent="0.3">
      <c r="A108" s="13" t="s">
        <v>38</v>
      </c>
      <c r="B108" s="13" t="s">
        <v>1851</v>
      </c>
      <c r="C108" s="13" t="s">
        <v>571</v>
      </c>
      <c r="D108" s="13" t="s">
        <v>1802</v>
      </c>
      <c r="E108" s="13" t="s">
        <v>1818</v>
      </c>
      <c r="F108" s="13" t="s">
        <v>1922</v>
      </c>
      <c r="G108" s="13"/>
      <c r="H108" s="13" t="s">
        <v>901</v>
      </c>
      <c r="I108" s="13"/>
    </row>
    <row r="109" spans="1:9" ht="26.4" x14ac:dyDescent="0.3">
      <c r="A109" s="13" t="s">
        <v>38</v>
      </c>
      <c r="B109" s="13" t="s">
        <v>1851</v>
      </c>
      <c r="C109" s="13" t="s">
        <v>572</v>
      </c>
      <c r="D109" s="13" t="s">
        <v>1802</v>
      </c>
      <c r="E109" s="13" t="s">
        <v>1818</v>
      </c>
      <c r="F109" s="13" t="s">
        <v>1923</v>
      </c>
      <c r="G109" s="13"/>
      <c r="H109" s="13" t="s">
        <v>901</v>
      </c>
      <c r="I109" s="13"/>
    </row>
    <row r="110" spans="1:9" x14ac:dyDescent="0.3">
      <c r="A110" s="13" t="s">
        <v>38</v>
      </c>
      <c r="B110" s="13" t="s">
        <v>1851</v>
      </c>
      <c r="C110" s="13" t="s">
        <v>198</v>
      </c>
      <c r="D110" s="13" t="s">
        <v>1791</v>
      </c>
      <c r="E110" s="13" t="s">
        <v>1818</v>
      </c>
      <c r="F110" s="13" t="s">
        <v>1924</v>
      </c>
      <c r="G110" s="13"/>
      <c r="H110" s="13" t="s">
        <v>901</v>
      </c>
      <c r="I110" s="13"/>
    </row>
    <row r="111" spans="1:9" ht="26.4" x14ac:dyDescent="0.3">
      <c r="A111" s="13" t="s">
        <v>38</v>
      </c>
      <c r="B111" s="13" t="s">
        <v>1851</v>
      </c>
      <c r="C111" s="13" t="s">
        <v>199</v>
      </c>
      <c r="D111" s="13" t="s">
        <v>1802</v>
      </c>
      <c r="E111" s="13" t="s">
        <v>1818</v>
      </c>
      <c r="F111" s="13" t="s">
        <v>1925</v>
      </c>
      <c r="G111" s="13"/>
      <c r="H111" s="13" t="s">
        <v>901</v>
      </c>
      <c r="I111" s="13"/>
    </row>
    <row r="112" spans="1:9" ht="26.4" x14ac:dyDescent="0.3">
      <c r="A112" s="13" t="s">
        <v>38</v>
      </c>
      <c r="B112" s="13" t="s">
        <v>1851</v>
      </c>
      <c r="C112" s="13" t="s">
        <v>573</v>
      </c>
      <c r="D112" s="13" t="s">
        <v>1802</v>
      </c>
      <c r="E112" s="13" t="s">
        <v>1818</v>
      </c>
      <c r="F112" s="13" t="s">
        <v>1926</v>
      </c>
      <c r="G112" s="13"/>
      <c r="H112" s="13" t="s">
        <v>901</v>
      </c>
      <c r="I112" s="13"/>
    </row>
    <row r="113" spans="1:9" x14ac:dyDescent="0.3">
      <c r="A113" s="13" t="s">
        <v>38</v>
      </c>
      <c r="B113" s="13" t="s">
        <v>1851</v>
      </c>
      <c r="C113" s="13" t="s">
        <v>574</v>
      </c>
      <c r="D113" s="13" t="s">
        <v>1791</v>
      </c>
      <c r="E113" s="13" t="s">
        <v>1818</v>
      </c>
      <c r="F113" s="13" t="s">
        <v>1927</v>
      </c>
      <c r="G113" s="13"/>
      <c r="H113" s="13" t="s">
        <v>901</v>
      </c>
      <c r="I113" s="13"/>
    </row>
    <row r="114" spans="1:9" x14ac:dyDescent="0.3">
      <c r="A114" s="13" t="s">
        <v>38</v>
      </c>
      <c r="B114" s="13" t="s">
        <v>1851</v>
      </c>
      <c r="C114" s="13" t="s">
        <v>575</v>
      </c>
      <c r="D114" s="13" t="s">
        <v>1791</v>
      </c>
      <c r="E114" s="13" t="s">
        <v>1818</v>
      </c>
      <c r="F114" s="13" t="s">
        <v>1928</v>
      </c>
      <c r="G114" s="13"/>
      <c r="H114" s="13" t="s">
        <v>901</v>
      </c>
      <c r="I114" s="13"/>
    </row>
    <row r="115" spans="1:9" x14ac:dyDescent="0.3">
      <c r="A115" s="13" t="s">
        <v>38</v>
      </c>
      <c r="B115" s="13" t="s">
        <v>1851</v>
      </c>
      <c r="C115" s="13" t="s">
        <v>419</v>
      </c>
      <c r="D115" s="13" t="s">
        <v>1796</v>
      </c>
      <c r="E115" s="13" t="s">
        <v>1792</v>
      </c>
      <c r="F115" s="13" t="s">
        <v>1848</v>
      </c>
      <c r="G115" s="13"/>
      <c r="H115" s="13" t="s">
        <v>901</v>
      </c>
      <c r="I115" s="13"/>
    </row>
    <row r="116" spans="1:9" x14ac:dyDescent="0.3">
      <c r="A116" s="13" t="s">
        <v>38</v>
      </c>
      <c r="B116" s="13" t="s">
        <v>1851</v>
      </c>
      <c r="C116" s="13" t="s">
        <v>576</v>
      </c>
      <c r="D116" s="13" t="s">
        <v>1817</v>
      </c>
      <c r="E116" s="13" t="s">
        <v>1792</v>
      </c>
      <c r="F116" s="13" t="s">
        <v>1929</v>
      </c>
      <c r="G116" s="13"/>
      <c r="H116" s="13" t="s">
        <v>901</v>
      </c>
      <c r="I116" s="13"/>
    </row>
    <row r="117" spans="1:9" x14ac:dyDescent="0.3">
      <c r="A117" s="13" t="s">
        <v>38</v>
      </c>
      <c r="B117" s="13" t="s">
        <v>1851</v>
      </c>
      <c r="C117" s="13" t="s">
        <v>420</v>
      </c>
      <c r="D117" s="13" t="s">
        <v>1791</v>
      </c>
      <c r="E117" s="13" t="s">
        <v>1792</v>
      </c>
      <c r="F117" s="13" t="s">
        <v>1930</v>
      </c>
      <c r="G117" s="13"/>
      <c r="H117" s="13" t="s">
        <v>901</v>
      </c>
      <c r="I117" s="13"/>
    </row>
    <row r="118" spans="1:9" x14ac:dyDescent="0.3">
      <c r="A118" s="13" t="s">
        <v>38</v>
      </c>
      <c r="B118" s="13" t="s">
        <v>1851</v>
      </c>
      <c r="C118" s="13" t="s">
        <v>222</v>
      </c>
      <c r="D118" s="13" t="s">
        <v>1796</v>
      </c>
      <c r="E118" s="13" t="s">
        <v>1818</v>
      </c>
      <c r="F118" s="13" t="s">
        <v>1931</v>
      </c>
      <c r="G118" s="13"/>
      <c r="H118" s="13" t="s">
        <v>901</v>
      </c>
      <c r="I118" s="13"/>
    </row>
    <row r="119" spans="1:9" x14ac:dyDescent="0.3">
      <c r="A119" s="13" t="s">
        <v>38</v>
      </c>
      <c r="B119" s="13" t="s">
        <v>1851</v>
      </c>
      <c r="C119" s="13" t="s">
        <v>577</v>
      </c>
      <c r="D119" s="13" t="s">
        <v>1817</v>
      </c>
      <c r="E119" s="13" t="s">
        <v>1818</v>
      </c>
      <c r="F119" s="13" t="s">
        <v>1932</v>
      </c>
      <c r="G119" s="13"/>
      <c r="H119" s="13" t="s">
        <v>901</v>
      </c>
      <c r="I119" s="13"/>
    </row>
    <row r="120" spans="1:9" x14ac:dyDescent="0.3">
      <c r="A120" s="13" t="s">
        <v>38</v>
      </c>
      <c r="B120" s="13" t="s">
        <v>1851</v>
      </c>
      <c r="C120" s="13" t="s">
        <v>578</v>
      </c>
      <c r="D120" s="13" t="s">
        <v>1817</v>
      </c>
      <c r="E120" s="13" t="s">
        <v>1818</v>
      </c>
      <c r="F120" s="13" t="s">
        <v>1933</v>
      </c>
      <c r="G120" s="13"/>
      <c r="H120" s="13" t="s">
        <v>901</v>
      </c>
      <c r="I120" s="13"/>
    </row>
    <row r="121" spans="1:9" ht="26.4" x14ac:dyDescent="0.3">
      <c r="A121" s="13" t="s">
        <v>38</v>
      </c>
      <c r="B121" s="13" t="s">
        <v>1851</v>
      </c>
      <c r="C121" s="13" t="s">
        <v>579</v>
      </c>
      <c r="D121" s="13" t="s">
        <v>1934</v>
      </c>
      <c r="E121" s="13" t="s">
        <v>1792</v>
      </c>
      <c r="F121" s="13" t="s">
        <v>1935</v>
      </c>
      <c r="G121" s="13"/>
      <c r="H121" s="13" t="s">
        <v>901</v>
      </c>
      <c r="I121" s="13"/>
    </row>
    <row r="122" spans="1:9" ht="26.4" x14ac:dyDescent="0.3">
      <c r="A122" s="13" t="s">
        <v>38</v>
      </c>
      <c r="B122" s="13" t="s">
        <v>1851</v>
      </c>
      <c r="C122" s="13" t="s">
        <v>580</v>
      </c>
      <c r="D122" s="13" t="s">
        <v>1934</v>
      </c>
      <c r="E122" s="13" t="s">
        <v>1818</v>
      </c>
      <c r="F122" s="13" t="s">
        <v>1936</v>
      </c>
      <c r="G122" s="13"/>
      <c r="H122" s="13" t="s">
        <v>901</v>
      </c>
      <c r="I122" s="13"/>
    </row>
    <row r="123" spans="1:9" x14ac:dyDescent="0.3">
      <c r="A123" s="13" t="s">
        <v>38</v>
      </c>
      <c r="B123" s="13" t="s">
        <v>1851</v>
      </c>
      <c r="C123" s="13" t="s">
        <v>581</v>
      </c>
      <c r="D123" s="13" t="s">
        <v>1791</v>
      </c>
      <c r="E123" s="13" t="s">
        <v>1792</v>
      </c>
      <c r="F123" s="13" t="s">
        <v>1937</v>
      </c>
      <c r="G123" s="13" t="s">
        <v>1938</v>
      </c>
      <c r="H123" s="13" t="s">
        <v>901</v>
      </c>
      <c r="I123" s="13"/>
    </row>
    <row r="124" spans="1:9" x14ac:dyDescent="0.3">
      <c r="A124" s="13" t="s">
        <v>38</v>
      </c>
      <c r="B124" s="13" t="s">
        <v>1851</v>
      </c>
      <c r="C124" s="13" t="s">
        <v>582</v>
      </c>
      <c r="D124" s="13" t="s">
        <v>1791</v>
      </c>
      <c r="E124" s="13" t="s">
        <v>1792</v>
      </c>
      <c r="F124" s="13" t="s">
        <v>1939</v>
      </c>
      <c r="G124" s="13" t="s">
        <v>1940</v>
      </c>
      <c r="H124" s="13" t="s">
        <v>901</v>
      </c>
      <c r="I124" s="13"/>
    </row>
    <row r="125" spans="1:9" x14ac:dyDescent="0.3">
      <c r="A125" s="13" t="s">
        <v>38</v>
      </c>
      <c r="B125" s="13" t="s">
        <v>1851</v>
      </c>
      <c r="C125" s="13" t="s">
        <v>583</v>
      </c>
      <c r="D125" s="13" t="s">
        <v>1791</v>
      </c>
      <c r="E125" s="13" t="s">
        <v>1792</v>
      </c>
      <c r="F125" s="13" t="s">
        <v>1941</v>
      </c>
      <c r="G125" s="13"/>
      <c r="H125" s="13" t="s">
        <v>901</v>
      </c>
      <c r="I125" s="13"/>
    </row>
    <row r="126" spans="1:9" ht="26.4" x14ac:dyDescent="0.3">
      <c r="A126" s="13" t="s">
        <v>40</v>
      </c>
      <c r="B126" s="13" t="s">
        <v>1942</v>
      </c>
      <c r="C126" s="13" t="s">
        <v>411</v>
      </c>
      <c r="D126" s="13" t="s">
        <v>1791</v>
      </c>
      <c r="E126" s="13" t="s">
        <v>1792</v>
      </c>
      <c r="F126" s="13" t="s">
        <v>1943</v>
      </c>
      <c r="G126" s="13"/>
      <c r="H126" s="13" t="s">
        <v>901</v>
      </c>
      <c r="I126" s="13" t="s">
        <v>1878</v>
      </c>
    </row>
    <row r="127" spans="1:9" x14ac:dyDescent="0.3">
      <c r="A127" s="13" t="s">
        <v>40</v>
      </c>
      <c r="B127" s="13" t="s">
        <v>1942</v>
      </c>
      <c r="C127" s="13" t="s">
        <v>881</v>
      </c>
      <c r="D127" s="13" t="s">
        <v>1791</v>
      </c>
      <c r="E127" s="13" t="s">
        <v>1792</v>
      </c>
      <c r="F127" s="13" t="s">
        <v>1944</v>
      </c>
      <c r="G127" s="13"/>
      <c r="H127" s="13" t="s">
        <v>901</v>
      </c>
      <c r="I127" s="13"/>
    </row>
    <row r="128" spans="1:9" x14ac:dyDescent="0.3">
      <c r="A128" s="13" t="s">
        <v>40</v>
      </c>
      <c r="B128" s="13" t="s">
        <v>1942</v>
      </c>
      <c r="C128" s="13" t="s">
        <v>533</v>
      </c>
      <c r="D128" s="13" t="s">
        <v>1791</v>
      </c>
      <c r="E128" s="13" t="s">
        <v>1818</v>
      </c>
      <c r="F128" s="13" t="s">
        <v>1838</v>
      </c>
      <c r="G128" s="13"/>
      <c r="H128" s="13" t="s">
        <v>901</v>
      </c>
      <c r="I128" s="13"/>
    </row>
    <row r="129" spans="1:9" x14ac:dyDescent="0.3">
      <c r="A129" s="13" t="s">
        <v>40</v>
      </c>
      <c r="B129" s="13" t="s">
        <v>1942</v>
      </c>
      <c r="C129" s="13" t="s">
        <v>112</v>
      </c>
      <c r="D129" s="13" t="s">
        <v>1791</v>
      </c>
      <c r="E129" s="13" t="s">
        <v>1818</v>
      </c>
      <c r="F129" s="13" t="s">
        <v>1945</v>
      </c>
      <c r="G129" s="13"/>
      <c r="H129" s="13" t="s">
        <v>901</v>
      </c>
      <c r="I129" s="13"/>
    </row>
    <row r="130" spans="1:9" ht="26.4" x14ac:dyDescent="0.3">
      <c r="A130" s="13" t="s">
        <v>40</v>
      </c>
      <c r="B130" s="13" t="s">
        <v>1942</v>
      </c>
      <c r="C130" s="13" t="s">
        <v>268</v>
      </c>
      <c r="D130" s="13" t="s">
        <v>1802</v>
      </c>
      <c r="E130" s="13" t="s">
        <v>1818</v>
      </c>
      <c r="F130" s="13" t="s">
        <v>1946</v>
      </c>
      <c r="G130" s="13"/>
      <c r="H130" s="13" t="s">
        <v>901</v>
      </c>
      <c r="I130" s="13"/>
    </row>
    <row r="131" spans="1:9" x14ac:dyDescent="0.3">
      <c r="A131" s="13" t="s">
        <v>40</v>
      </c>
      <c r="B131" s="13" t="s">
        <v>1942</v>
      </c>
      <c r="C131" s="13" t="s">
        <v>269</v>
      </c>
      <c r="D131" s="13" t="s">
        <v>1791</v>
      </c>
      <c r="E131" s="13" t="s">
        <v>1818</v>
      </c>
      <c r="F131" s="13" t="s">
        <v>1947</v>
      </c>
      <c r="G131" s="13"/>
      <c r="H131" s="13" t="s">
        <v>901</v>
      </c>
      <c r="I131" s="13"/>
    </row>
    <row r="132" spans="1:9" x14ac:dyDescent="0.3">
      <c r="A132" s="13" t="s">
        <v>40</v>
      </c>
      <c r="B132" s="13" t="s">
        <v>1942</v>
      </c>
      <c r="C132" s="13" t="s">
        <v>882</v>
      </c>
      <c r="D132" s="13" t="s">
        <v>1791</v>
      </c>
      <c r="E132" s="13" t="s">
        <v>1818</v>
      </c>
      <c r="F132" s="13" t="s">
        <v>1948</v>
      </c>
      <c r="G132" s="13"/>
      <c r="H132" s="13" t="s">
        <v>901</v>
      </c>
      <c r="I132" s="13"/>
    </row>
    <row r="133" spans="1:9" x14ac:dyDescent="0.3">
      <c r="A133" s="13" t="s">
        <v>42</v>
      </c>
      <c r="B133" s="13" t="s">
        <v>1949</v>
      </c>
      <c r="C133" s="13" t="s">
        <v>883</v>
      </c>
      <c r="D133" s="13" t="s">
        <v>1791</v>
      </c>
      <c r="E133" s="13" t="s">
        <v>1792</v>
      </c>
      <c r="F133" s="13" t="s">
        <v>1950</v>
      </c>
      <c r="G133" s="13"/>
      <c r="H133" s="13" t="s">
        <v>901</v>
      </c>
      <c r="I133" s="13" t="s">
        <v>1794</v>
      </c>
    </row>
    <row r="134" spans="1:9" x14ac:dyDescent="0.3">
      <c r="A134" s="13" t="s">
        <v>42</v>
      </c>
      <c r="B134" s="13" t="s">
        <v>1949</v>
      </c>
      <c r="C134" s="13" t="s">
        <v>884</v>
      </c>
      <c r="D134" s="13" t="s">
        <v>1791</v>
      </c>
      <c r="E134" s="13" t="s">
        <v>1792</v>
      </c>
      <c r="F134" s="13" t="s">
        <v>1951</v>
      </c>
      <c r="G134" s="13"/>
      <c r="H134" s="13" t="s">
        <v>901</v>
      </c>
      <c r="I134" s="13"/>
    </row>
    <row r="135" spans="1:9" x14ac:dyDescent="0.3">
      <c r="A135" s="13" t="s">
        <v>42</v>
      </c>
      <c r="B135" s="13" t="s">
        <v>1949</v>
      </c>
      <c r="C135" s="13" t="s">
        <v>885</v>
      </c>
      <c r="D135" s="13" t="s">
        <v>1791</v>
      </c>
      <c r="E135" s="13" t="s">
        <v>1792</v>
      </c>
      <c r="F135" s="13" t="s">
        <v>1952</v>
      </c>
      <c r="G135" s="13"/>
      <c r="H135" s="13" t="s">
        <v>901</v>
      </c>
      <c r="I135" s="13"/>
    </row>
    <row r="136" spans="1:9" x14ac:dyDescent="0.3">
      <c r="A136" s="13" t="s">
        <v>42</v>
      </c>
      <c r="B136" s="13" t="s">
        <v>1949</v>
      </c>
      <c r="C136" s="13" t="s">
        <v>213</v>
      </c>
      <c r="D136" s="13" t="s">
        <v>1791</v>
      </c>
      <c r="E136" s="13" t="s">
        <v>1792</v>
      </c>
      <c r="F136" s="13" t="s">
        <v>1836</v>
      </c>
      <c r="G136" s="13" t="s">
        <v>1837</v>
      </c>
      <c r="H136" s="13" t="s">
        <v>901</v>
      </c>
      <c r="I136" s="13"/>
    </row>
    <row r="137" spans="1:9" x14ac:dyDescent="0.3">
      <c r="A137" s="13" t="s">
        <v>42</v>
      </c>
      <c r="B137" s="13" t="s">
        <v>1949</v>
      </c>
      <c r="C137" s="13" t="s">
        <v>886</v>
      </c>
      <c r="D137" s="13" t="s">
        <v>1817</v>
      </c>
      <c r="E137" s="13" t="s">
        <v>1818</v>
      </c>
      <c r="F137" s="13" t="s">
        <v>1953</v>
      </c>
      <c r="G137" s="13"/>
      <c r="H137" s="13" t="s">
        <v>901</v>
      </c>
      <c r="I137" s="13"/>
    </row>
    <row r="138" spans="1:9" x14ac:dyDescent="0.3">
      <c r="A138" s="13" t="s">
        <v>42</v>
      </c>
      <c r="B138" s="13" t="s">
        <v>1949</v>
      </c>
      <c r="C138" s="13" t="s">
        <v>887</v>
      </c>
      <c r="D138" s="13" t="s">
        <v>1791</v>
      </c>
      <c r="E138" s="13" t="s">
        <v>1792</v>
      </c>
      <c r="F138" s="13" t="s">
        <v>1954</v>
      </c>
      <c r="G138" s="13" t="s">
        <v>1955</v>
      </c>
      <c r="H138" s="13" t="s">
        <v>901</v>
      </c>
      <c r="I138" s="13"/>
    </row>
    <row r="139" spans="1:9" x14ac:dyDescent="0.3">
      <c r="A139" s="13" t="s">
        <v>42</v>
      </c>
      <c r="B139" s="13" t="s">
        <v>1949</v>
      </c>
      <c r="C139" s="13" t="s">
        <v>888</v>
      </c>
      <c r="D139" s="13" t="s">
        <v>1791</v>
      </c>
      <c r="E139" s="13" t="s">
        <v>1792</v>
      </c>
      <c r="F139" s="13" t="s">
        <v>1956</v>
      </c>
      <c r="G139" s="13" t="s">
        <v>1955</v>
      </c>
      <c r="H139" s="13" t="s">
        <v>901</v>
      </c>
      <c r="I139" s="13"/>
    </row>
    <row r="140" spans="1:9" ht="26.4" x14ac:dyDescent="0.3">
      <c r="A140" s="13" t="s">
        <v>42</v>
      </c>
      <c r="B140" s="13" t="s">
        <v>1949</v>
      </c>
      <c r="C140" s="13" t="s">
        <v>889</v>
      </c>
      <c r="D140" s="13" t="s">
        <v>1934</v>
      </c>
      <c r="E140" s="13" t="s">
        <v>1792</v>
      </c>
      <c r="F140" s="13" t="s">
        <v>1957</v>
      </c>
      <c r="G140" s="13"/>
      <c r="H140" s="13" t="s">
        <v>904</v>
      </c>
      <c r="I140" s="13"/>
    </row>
    <row r="141" spans="1:9" x14ac:dyDescent="0.3">
      <c r="A141" s="13" t="s">
        <v>42</v>
      </c>
      <c r="B141" s="13" t="s">
        <v>1949</v>
      </c>
      <c r="C141" s="13" t="s">
        <v>890</v>
      </c>
      <c r="D141" s="13" t="s">
        <v>1791</v>
      </c>
      <c r="E141" s="13" t="s">
        <v>1792</v>
      </c>
      <c r="F141" s="13" t="s">
        <v>1958</v>
      </c>
      <c r="G141" s="13"/>
      <c r="H141" s="13" t="s">
        <v>901</v>
      </c>
      <c r="I141" s="13"/>
    </row>
    <row r="142" spans="1:9" x14ac:dyDescent="0.3">
      <c r="A142" s="13" t="s">
        <v>42</v>
      </c>
      <c r="B142" s="13" t="s">
        <v>1949</v>
      </c>
      <c r="C142" s="13" t="s">
        <v>891</v>
      </c>
      <c r="D142" s="13" t="s">
        <v>1796</v>
      </c>
      <c r="E142" s="13" t="s">
        <v>1792</v>
      </c>
      <c r="F142" s="13" t="s">
        <v>1959</v>
      </c>
      <c r="G142" s="13"/>
      <c r="H142" s="13" t="s">
        <v>904</v>
      </c>
      <c r="I142" s="13"/>
    </row>
    <row r="143" spans="1:9" x14ac:dyDescent="0.3">
      <c r="A143" s="13" t="s">
        <v>42</v>
      </c>
      <c r="B143" s="13" t="s">
        <v>1949</v>
      </c>
      <c r="C143" s="13" t="s">
        <v>892</v>
      </c>
      <c r="D143" s="13" t="s">
        <v>1791</v>
      </c>
      <c r="E143" s="13" t="s">
        <v>1792</v>
      </c>
      <c r="F143" s="13" t="s">
        <v>1960</v>
      </c>
      <c r="G143" s="13"/>
      <c r="H143" s="13" t="s">
        <v>901</v>
      </c>
      <c r="I143" s="13"/>
    </row>
    <row r="144" spans="1:9" ht="26.4" x14ac:dyDescent="0.3">
      <c r="A144" s="13" t="s">
        <v>42</v>
      </c>
      <c r="B144" s="13" t="s">
        <v>1949</v>
      </c>
      <c r="C144" s="13" t="s">
        <v>893</v>
      </c>
      <c r="D144" s="13" t="s">
        <v>1791</v>
      </c>
      <c r="E144" s="13" t="s">
        <v>1792</v>
      </c>
      <c r="F144" s="13" t="s">
        <v>1961</v>
      </c>
      <c r="G144" s="13"/>
      <c r="H144" s="13" t="s">
        <v>901</v>
      </c>
      <c r="I144" s="13"/>
    </row>
    <row r="145" spans="1:9" ht="26.4" x14ac:dyDescent="0.3">
      <c r="A145" s="13" t="s">
        <v>42</v>
      </c>
      <c r="B145" s="13" t="s">
        <v>1949</v>
      </c>
      <c r="C145" s="13" t="s">
        <v>894</v>
      </c>
      <c r="D145" s="13" t="s">
        <v>1791</v>
      </c>
      <c r="E145" s="13" t="s">
        <v>1792</v>
      </c>
      <c r="F145" s="13" t="s">
        <v>1962</v>
      </c>
      <c r="G145" s="13"/>
      <c r="H145" s="13" t="s">
        <v>901</v>
      </c>
      <c r="I145" s="13"/>
    </row>
    <row r="146" spans="1:9" x14ac:dyDescent="0.3">
      <c r="A146" s="13" t="s">
        <v>42</v>
      </c>
      <c r="B146" s="13" t="s">
        <v>1949</v>
      </c>
      <c r="C146" s="13" t="s">
        <v>895</v>
      </c>
      <c r="D146" s="13" t="s">
        <v>1791</v>
      </c>
      <c r="E146" s="13" t="s">
        <v>1818</v>
      </c>
      <c r="F146" s="13" t="s">
        <v>1963</v>
      </c>
      <c r="G146" s="13"/>
      <c r="H146" s="13" t="s">
        <v>901</v>
      </c>
      <c r="I146" s="13"/>
    </row>
    <row r="147" spans="1:9" x14ac:dyDescent="0.3">
      <c r="A147" s="13" t="s">
        <v>42</v>
      </c>
      <c r="B147" s="13" t="s">
        <v>1949</v>
      </c>
      <c r="C147" s="13" t="s">
        <v>896</v>
      </c>
      <c r="D147" s="13" t="s">
        <v>1791</v>
      </c>
      <c r="E147" s="13" t="s">
        <v>1818</v>
      </c>
      <c r="F147" s="13" t="s">
        <v>1964</v>
      </c>
      <c r="G147" s="13"/>
      <c r="H147" s="13" t="s">
        <v>901</v>
      </c>
      <c r="I147" s="13"/>
    </row>
    <row r="148" spans="1:9" x14ac:dyDescent="0.3">
      <c r="A148" s="13" t="s">
        <v>42</v>
      </c>
      <c r="B148" s="13" t="s">
        <v>1949</v>
      </c>
      <c r="C148" s="13" t="s">
        <v>897</v>
      </c>
      <c r="D148" s="13" t="s">
        <v>1817</v>
      </c>
      <c r="E148" s="13" t="s">
        <v>1818</v>
      </c>
      <c r="F148" s="13" t="s">
        <v>1965</v>
      </c>
      <c r="G148" s="13"/>
      <c r="H148" s="13" t="s">
        <v>901</v>
      </c>
      <c r="I148" s="13"/>
    </row>
    <row r="149" spans="1:9" x14ac:dyDescent="0.3">
      <c r="A149" s="13" t="s">
        <v>42</v>
      </c>
      <c r="B149" s="13" t="s">
        <v>1949</v>
      </c>
      <c r="C149" s="13" t="s">
        <v>14</v>
      </c>
      <c r="D149" s="13" t="s">
        <v>1791</v>
      </c>
      <c r="E149" s="13" t="s">
        <v>1818</v>
      </c>
      <c r="F149" s="13" t="s">
        <v>1966</v>
      </c>
      <c r="G149" s="13"/>
      <c r="H149" s="13" t="s">
        <v>901</v>
      </c>
      <c r="I149" s="13"/>
    </row>
    <row r="150" spans="1:9" ht="26.4" x14ac:dyDescent="0.3">
      <c r="A150" s="13" t="s">
        <v>42</v>
      </c>
      <c r="B150" s="13" t="s">
        <v>1949</v>
      </c>
      <c r="C150" s="13" t="s">
        <v>898</v>
      </c>
      <c r="D150" s="13" t="s">
        <v>1934</v>
      </c>
      <c r="E150" s="13" t="s">
        <v>1792</v>
      </c>
      <c r="F150" s="13" t="s">
        <v>1967</v>
      </c>
      <c r="G150" s="13"/>
      <c r="H150" s="13" t="s">
        <v>901</v>
      </c>
      <c r="I150" s="13"/>
    </row>
    <row r="151" spans="1:9" ht="26.4" x14ac:dyDescent="0.3">
      <c r="A151" s="13" t="s">
        <v>42</v>
      </c>
      <c r="B151" s="13" t="s">
        <v>1949</v>
      </c>
      <c r="C151" s="13" t="s">
        <v>899</v>
      </c>
      <c r="D151" s="13" t="s">
        <v>1791</v>
      </c>
      <c r="E151" s="13" t="s">
        <v>1792</v>
      </c>
      <c r="F151" s="13" t="s">
        <v>1968</v>
      </c>
      <c r="G151" s="13"/>
      <c r="H151" s="13" t="s">
        <v>901</v>
      </c>
      <c r="I151" s="13" t="s">
        <v>1969</v>
      </c>
    </row>
    <row r="152" spans="1:9" x14ac:dyDescent="0.3">
      <c r="A152" s="13" t="s">
        <v>44</v>
      </c>
      <c r="B152" s="13" t="s">
        <v>1970</v>
      </c>
      <c r="C152" s="13" t="s">
        <v>941</v>
      </c>
      <c r="D152" s="13" t="s">
        <v>1791</v>
      </c>
      <c r="E152" s="13" t="s">
        <v>1792</v>
      </c>
      <c r="F152" s="13" t="s">
        <v>1971</v>
      </c>
      <c r="G152" s="13"/>
      <c r="H152" s="13" t="s">
        <v>901</v>
      </c>
      <c r="I152" s="13" t="s">
        <v>1794</v>
      </c>
    </row>
    <row r="153" spans="1:9" x14ac:dyDescent="0.3">
      <c r="A153" s="13" t="s">
        <v>44</v>
      </c>
      <c r="B153" s="13" t="s">
        <v>1970</v>
      </c>
      <c r="C153" s="13" t="s">
        <v>942</v>
      </c>
      <c r="D153" s="13" t="s">
        <v>1791</v>
      </c>
      <c r="E153" s="13" t="s">
        <v>1792</v>
      </c>
      <c r="F153" s="13" t="s">
        <v>1972</v>
      </c>
      <c r="G153" s="13"/>
      <c r="H153" s="13" t="s">
        <v>901</v>
      </c>
      <c r="I153" s="13"/>
    </row>
    <row r="154" spans="1:9" x14ac:dyDescent="0.3">
      <c r="A154" s="13" t="s">
        <v>44</v>
      </c>
      <c r="B154" s="13" t="s">
        <v>1970</v>
      </c>
      <c r="C154" s="13" t="s">
        <v>143</v>
      </c>
      <c r="D154" s="13" t="s">
        <v>1791</v>
      </c>
      <c r="E154" s="13" t="s">
        <v>1792</v>
      </c>
      <c r="F154" s="13" t="s">
        <v>1973</v>
      </c>
      <c r="G154" s="13"/>
      <c r="H154" s="13" t="s">
        <v>901</v>
      </c>
      <c r="I154" s="13"/>
    </row>
    <row r="155" spans="1:9" x14ac:dyDescent="0.3">
      <c r="A155" s="13" t="s">
        <v>44</v>
      </c>
      <c r="B155" s="13" t="s">
        <v>1970</v>
      </c>
      <c r="C155" s="13" t="s">
        <v>943</v>
      </c>
      <c r="D155" s="13" t="s">
        <v>1791</v>
      </c>
      <c r="E155" s="13" t="s">
        <v>1792</v>
      </c>
      <c r="F155" s="13" t="s">
        <v>1974</v>
      </c>
      <c r="G155" s="13"/>
      <c r="H155" s="13" t="s">
        <v>901</v>
      </c>
      <c r="I155" s="13"/>
    </row>
    <row r="156" spans="1:9" x14ac:dyDescent="0.3">
      <c r="A156" s="13" t="s">
        <v>44</v>
      </c>
      <c r="B156" s="13" t="s">
        <v>1970</v>
      </c>
      <c r="C156" s="13" t="s">
        <v>944</v>
      </c>
      <c r="D156" s="13" t="s">
        <v>1791</v>
      </c>
      <c r="E156" s="13" t="s">
        <v>1792</v>
      </c>
      <c r="F156" s="13" t="s">
        <v>1975</v>
      </c>
      <c r="G156" s="13"/>
      <c r="H156" s="13" t="s">
        <v>901</v>
      </c>
      <c r="I156" s="13"/>
    </row>
    <row r="157" spans="1:9" x14ac:dyDescent="0.3">
      <c r="A157" s="13" t="s">
        <v>44</v>
      </c>
      <c r="B157" s="13" t="s">
        <v>1970</v>
      </c>
      <c r="C157" s="13" t="s">
        <v>945</v>
      </c>
      <c r="D157" s="13" t="s">
        <v>1791</v>
      </c>
      <c r="E157" s="13" t="s">
        <v>1792</v>
      </c>
      <c r="F157" s="13" t="s">
        <v>1976</v>
      </c>
      <c r="G157" s="13"/>
      <c r="H157" s="13" t="s">
        <v>901</v>
      </c>
      <c r="I157" s="13"/>
    </row>
    <row r="158" spans="1:9" x14ac:dyDescent="0.3">
      <c r="A158" s="13" t="s">
        <v>44</v>
      </c>
      <c r="B158" s="13" t="s">
        <v>1970</v>
      </c>
      <c r="C158" s="13" t="s">
        <v>946</v>
      </c>
      <c r="D158" s="13" t="s">
        <v>1791</v>
      </c>
      <c r="E158" s="13" t="s">
        <v>1792</v>
      </c>
      <c r="F158" s="13" t="s">
        <v>1977</v>
      </c>
      <c r="G158" s="13" t="s">
        <v>1978</v>
      </c>
      <c r="H158" s="13" t="s">
        <v>901</v>
      </c>
      <c r="I158" s="13"/>
    </row>
    <row r="159" spans="1:9" x14ac:dyDescent="0.3">
      <c r="A159" s="13" t="s">
        <v>44</v>
      </c>
      <c r="B159" s="13" t="s">
        <v>1970</v>
      </c>
      <c r="C159" s="13" t="s">
        <v>947</v>
      </c>
      <c r="D159" s="13" t="s">
        <v>1791</v>
      </c>
      <c r="E159" s="13" t="s">
        <v>1792</v>
      </c>
      <c r="F159" s="13" t="s">
        <v>1979</v>
      </c>
      <c r="G159" s="13"/>
      <c r="H159" s="13" t="s">
        <v>901</v>
      </c>
      <c r="I159" s="13"/>
    </row>
    <row r="160" spans="1:9" x14ac:dyDescent="0.3">
      <c r="A160" s="13" t="s">
        <v>44</v>
      </c>
      <c r="B160" s="13" t="s">
        <v>1970</v>
      </c>
      <c r="C160" s="13" t="s">
        <v>948</v>
      </c>
      <c r="D160" s="13" t="s">
        <v>1791</v>
      </c>
      <c r="E160" s="13" t="s">
        <v>1792</v>
      </c>
      <c r="F160" s="13" t="s">
        <v>1980</v>
      </c>
      <c r="G160" s="13"/>
      <c r="H160" s="13" t="s">
        <v>901</v>
      </c>
      <c r="I160" s="13"/>
    </row>
    <row r="161" spans="1:9" x14ac:dyDescent="0.3">
      <c r="A161" s="13" t="s">
        <v>44</v>
      </c>
      <c r="B161" s="13" t="s">
        <v>1970</v>
      </c>
      <c r="C161" s="13" t="s">
        <v>949</v>
      </c>
      <c r="D161" s="13" t="s">
        <v>1791</v>
      </c>
      <c r="E161" s="13" t="s">
        <v>1792</v>
      </c>
      <c r="F161" s="13" t="s">
        <v>1981</v>
      </c>
      <c r="G161" s="13"/>
      <c r="H161" s="13" t="s">
        <v>901</v>
      </c>
      <c r="I161" s="13"/>
    </row>
    <row r="162" spans="1:9" ht="26.4" x14ac:dyDescent="0.3">
      <c r="A162" s="13" t="s">
        <v>44</v>
      </c>
      <c r="B162" s="13" t="s">
        <v>1970</v>
      </c>
      <c r="C162" s="13" t="s">
        <v>950</v>
      </c>
      <c r="D162" s="13" t="s">
        <v>1934</v>
      </c>
      <c r="E162" s="13" t="s">
        <v>1792</v>
      </c>
      <c r="F162" s="13" t="s">
        <v>1982</v>
      </c>
      <c r="G162" s="13"/>
      <c r="H162" s="13" t="s">
        <v>904</v>
      </c>
      <c r="I162" s="13"/>
    </row>
    <row r="163" spans="1:9" x14ac:dyDescent="0.3">
      <c r="A163" s="13" t="s">
        <v>44</v>
      </c>
      <c r="B163" s="13" t="s">
        <v>1970</v>
      </c>
      <c r="C163" s="13" t="s">
        <v>951</v>
      </c>
      <c r="D163" s="13" t="s">
        <v>1791</v>
      </c>
      <c r="E163" s="13" t="s">
        <v>1792</v>
      </c>
      <c r="F163" s="13" t="s">
        <v>1983</v>
      </c>
      <c r="G163" s="13" t="s">
        <v>1984</v>
      </c>
      <c r="H163" s="13" t="s">
        <v>901</v>
      </c>
      <c r="I163" s="13"/>
    </row>
    <row r="164" spans="1:9" x14ac:dyDescent="0.3">
      <c r="A164" s="13" t="s">
        <v>44</v>
      </c>
      <c r="B164" s="13" t="s">
        <v>1970</v>
      </c>
      <c r="C164" s="13" t="s">
        <v>952</v>
      </c>
      <c r="D164" s="13" t="s">
        <v>1791</v>
      </c>
      <c r="E164" s="13" t="s">
        <v>1792</v>
      </c>
      <c r="F164" s="13" t="s">
        <v>1985</v>
      </c>
      <c r="G164" s="13"/>
      <c r="H164" s="13" t="s">
        <v>901</v>
      </c>
      <c r="I164" s="13"/>
    </row>
    <row r="165" spans="1:9" x14ac:dyDescent="0.3">
      <c r="A165" s="13" t="s">
        <v>44</v>
      </c>
      <c r="B165" s="13" t="s">
        <v>1970</v>
      </c>
      <c r="C165" s="13" t="s">
        <v>953</v>
      </c>
      <c r="D165" s="13" t="s">
        <v>1791</v>
      </c>
      <c r="E165" s="13" t="s">
        <v>1792</v>
      </c>
      <c r="F165" s="13" t="s">
        <v>1986</v>
      </c>
      <c r="G165" s="13"/>
      <c r="H165" s="13" t="s">
        <v>901</v>
      </c>
      <c r="I165" s="13"/>
    </row>
    <row r="166" spans="1:9" x14ac:dyDescent="0.3">
      <c r="A166" s="13" t="s">
        <v>44</v>
      </c>
      <c r="B166" s="13" t="s">
        <v>1970</v>
      </c>
      <c r="C166" s="13" t="s">
        <v>954</v>
      </c>
      <c r="D166" s="13" t="s">
        <v>1791</v>
      </c>
      <c r="E166" s="13" t="s">
        <v>1792</v>
      </c>
      <c r="F166" s="13" t="s">
        <v>1987</v>
      </c>
      <c r="G166" s="13"/>
      <c r="H166" s="13" t="s">
        <v>901</v>
      </c>
      <c r="I166" s="13"/>
    </row>
    <row r="167" spans="1:9" x14ac:dyDescent="0.3">
      <c r="A167" s="13" t="s">
        <v>44</v>
      </c>
      <c r="B167" s="13" t="s">
        <v>1970</v>
      </c>
      <c r="C167" s="13" t="s">
        <v>14</v>
      </c>
      <c r="D167" s="13" t="s">
        <v>1791</v>
      </c>
      <c r="E167" s="13" t="s">
        <v>1792</v>
      </c>
      <c r="F167" s="13" t="s">
        <v>1988</v>
      </c>
      <c r="G167" s="13" t="s">
        <v>1989</v>
      </c>
      <c r="H167" s="13" t="s">
        <v>901</v>
      </c>
      <c r="I167" s="13"/>
    </row>
    <row r="168" spans="1:9" x14ac:dyDescent="0.3">
      <c r="A168" s="13" t="s">
        <v>44</v>
      </c>
      <c r="B168" s="13" t="s">
        <v>1970</v>
      </c>
      <c r="C168" s="13" t="s">
        <v>955</v>
      </c>
      <c r="D168" s="13" t="s">
        <v>1791</v>
      </c>
      <c r="E168" s="13" t="s">
        <v>1792</v>
      </c>
      <c r="F168" s="13" t="s">
        <v>1990</v>
      </c>
      <c r="G168" s="13" t="s">
        <v>1991</v>
      </c>
      <c r="H168" s="13" t="s">
        <v>901</v>
      </c>
      <c r="I168" s="13"/>
    </row>
    <row r="169" spans="1:9" ht="26.4" x14ac:dyDescent="0.3">
      <c r="A169" s="13" t="s">
        <v>44</v>
      </c>
      <c r="B169" s="13" t="s">
        <v>1970</v>
      </c>
      <c r="C169" s="13" t="s">
        <v>956</v>
      </c>
      <c r="D169" s="13" t="s">
        <v>1791</v>
      </c>
      <c r="E169" s="13" t="s">
        <v>1792</v>
      </c>
      <c r="F169" s="13" t="s">
        <v>1992</v>
      </c>
      <c r="G169" s="13"/>
      <c r="H169" s="13" t="s">
        <v>904</v>
      </c>
      <c r="I169" s="13" t="s">
        <v>1993</v>
      </c>
    </row>
    <row r="170" spans="1:9" ht="26.4" x14ac:dyDescent="0.3">
      <c r="A170" s="13" t="s">
        <v>44</v>
      </c>
      <c r="B170" s="13" t="s">
        <v>1970</v>
      </c>
      <c r="C170" s="13" t="s">
        <v>899</v>
      </c>
      <c r="D170" s="13" t="s">
        <v>1791</v>
      </c>
      <c r="E170" s="13" t="s">
        <v>1792</v>
      </c>
      <c r="F170" s="13" t="s">
        <v>1968</v>
      </c>
      <c r="G170" s="13"/>
      <c r="H170" s="13" t="s">
        <v>904</v>
      </c>
      <c r="I170" s="13" t="s">
        <v>1969</v>
      </c>
    </row>
    <row r="171" spans="1:9" x14ac:dyDescent="0.3">
      <c r="A171" s="13" t="s">
        <v>44</v>
      </c>
      <c r="B171" s="13" t="s">
        <v>1970</v>
      </c>
      <c r="C171" s="13" t="s">
        <v>957</v>
      </c>
      <c r="D171" s="13" t="s">
        <v>1791</v>
      </c>
      <c r="E171" s="13" t="s">
        <v>1792</v>
      </c>
      <c r="F171" s="13" t="s">
        <v>1937</v>
      </c>
      <c r="G171" s="13" t="s">
        <v>1938</v>
      </c>
      <c r="H171" s="13" t="s">
        <v>901</v>
      </c>
      <c r="I171" s="13"/>
    </row>
    <row r="172" spans="1:9" ht="26.4" x14ac:dyDescent="0.3">
      <c r="A172" s="13" t="s">
        <v>44</v>
      </c>
      <c r="B172" s="13" t="s">
        <v>1970</v>
      </c>
      <c r="C172" s="13" t="s">
        <v>898</v>
      </c>
      <c r="D172" s="13" t="s">
        <v>1934</v>
      </c>
      <c r="E172" s="13" t="s">
        <v>1792</v>
      </c>
      <c r="F172" s="13" t="s">
        <v>1994</v>
      </c>
      <c r="G172" s="13"/>
      <c r="H172" s="13" t="s">
        <v>904</v>
      </c>
      <c r="I172" s="13"/>
    </row>
    <row r="173" spans="1:9" x14ac:dyDescent="0.3">
      <c r="A173" s="13" t="s">
        <v>44</v>
      </c>
      <c r="B173" s="13" t="s">
        <v>1970</v>
      </c>
      <c r="C173" s="13" t="s">
        <v>958</v>
      </c>
      <c r="D173" s="13" t="s">
        <v>1791</v>
      </c>
      <c r="E173" s="13" t="s">
        <v>1792</v>
      </c>
      <c r="F173" s="13" t="s">
        <v>1995</v>
      </c>
      <c r="G173" s="13" t="s">
        <v>1996</v>
      </c>
      <c r="H173" s="13" t="s">
        <v>901</v>
      </c>
      <c r="I173" s="13"/>
    </row>
    <row r="174" spans="1:9" x14ac:dyDescent="0.3">
      <c r="A174" s="13" t="s">
        <v>44</v>
      </c>
      <c r="B174" s="13" t="s">
        <v>1970</v>
      </c>
      <c r="C174" s="13" t="s">
        <v>959</v>
      </c>
      <c r="D174" s="13" t="s">
        <v>1791</v>
      </c>
      <c r="E174" s="13" t="s">
        <v>1792</v>
      </c>
      <c r="F174" s="13" t="s">
        <v>1997</v>
      </c>
      <c r="G174" s="13"/>
      <c r="H174" s="13" t="s">
        <v>904</v>
      </c>
      <c r="I174" s="13"/>
    </row>
    <row r="175" spans="1:9" x14ac:dyDescent="0.3">
      <c r="A175" s="13" t="s">
        <v>44</v>
      </c>
      <c r="B175" s="13" t="s">
        <v>1970</v>
      </c>
      <c r="C175" s="13" t="s">
        <v>960</v>
      </c>
      <c r="D175" s="13" t="s">
        <v>1791</v>
      </c>
      <c r="E175" s="13" t="s">
        <v>1792</v>
      </c>
      <c r="F175" s="13" t="s">
        <v>1998</v>
      </c>
      <c r="G175" s="13"/>
      <c r="H175" s="13" t="s">
        <v>904</v>
      </c>
      <c r="I175" s="13"/>
    </row>
    <row r="176" spans="1:9" ht="26.4" x14ac:dyDescent="0.3">
      <c r="A176" s="13" t="s">
        <v>44</v>
      </c>
      <c r="B176" s="13" t="s">
        <v>1970</v>
      </c>
      <c r="C176" s="13" t="s">
        <v>961</v>
      </c>
      <c r="D176" s="13" t="s">
        <v>1934</v>
      </c>
      <c r="E176" s="13" t="s">
        <v>1792</v>
      </c>
      <c r="F176" s="13" t="s">
        <v>1999</v>
      </c>
      <c r="G176" s="13"/>
      <c r="H176" s="13" t="s">
        <v>901</v>
      </c>
      <c r="I176" s="13"/>
    </row>
    <row r="177" spans="1:9" x14ac:dyDescent="0.3">
      <c r="A177" s="13" t="s">
        <v>44</v>
      </c>
      <c r="B177" s="13" t="s">
        <v>1970</v>
      </c>
      <c r="C177" s="13" t="s">
        <v>962</v>
      </c>
      <c r="D177" s="13" t="s">
        <v>1817</v>
      </c>
      <c r="E177" s="13" t="s">
        <v>1818</v>
      </c>
      <c r="F177" s="13" t="s">
        <v>2000</v>
      </c>
      <c r="G177" s="13"/>
      <c r="H177" s="13" t="s">
        <v>901</v>
      </c>
      <c r="I177" s="13"/>
    </row>
    <row r="178" spans="1:9" x14ac:dyDescent="0.3">
      <c r="A178" s="13" t="s">
        <v>44</v>
      </c>
      <c r="B178" s="13" t="s">
        <v>1970</v>
      </c>
      <c r="C178" s="13" t="s">
        <v>963</v>
      </c>
      <c r="D178" s="13" t="s">
        <v>1817</v>
      </c>
      <c r="E178" s="13" t="s">
        <v>1818</v>
      </c>
      <c r="F178" s="13" t="s">
        <v>2001</v>
      </c>
      <c r="G178" s="13"/>
      <c r="H178" s="13" t="s">
        <v>901</v>
      </c>
      <c r="I178" s="13"/>
    </row>
    <row r="179" spans="1:9" x14ac:dyDescent="0.3">
      <c r="A179" s="13" t="s">
        <v>44</v>
      </c>
      <c r="B179" s="13" t="s">
        <v>1970</v>
      </c>
      <c r="C179" s="13" t="s">
        <v>964</v>
      </c>
      <c r="D179" s="13" t="s">
        <v>1791</v>
      </c>
      <c r="E179" s="13" t="s">
        <v>1818</v>
      </c>
      <c r="F179" s="13" t="s">
        <v>2002</v>
      </c>
      <c r="G179" s="13"/>
      <c r="H179" s="13" t="s">
        <v>901</v>
      </c>
      <c r="I179" s="13"/>
    </row>
    <row r="180" spans="1:9" ht="26.4" x14ac:dyDescent="0.3">
      <c r="A180" s="13" t="s">
        <v>46</v>
      </c>
      <c r="B180" s="13" t="s">
        <v>2003</v>
      </c>
      <c r="C180" s="13" t="s">
        <v>513</v>
      </c>
      <c r="D180" s="13" t="s">
        <v>1791</v>
      </c>
      <c r="E180" s="13" t="s">
        <v>1792</v>
      </c>
      <c r="F180" s="13" t="s">
        <v>2004</v>
      </c>
      <c r="G180" s="13"/>
      <c r="H180" s="13" t="s">
        <v>901</v>
      </c>
      <c r="I180" s="13" t="s">
        <v>2005</v>
      </c>
    </row>
    <row r="181" spans="1:9" ht="39.6" x14ac:dyDescent="0.3">
      <c r="A181" s="13" t="s">
        <v>46</v>
      </c>
      <c r="B181" s="13" t="s">
        <v>2003</v>
      </c>
      <c r="C181" s="13" t="s">
        <v>941</v>
      </c>
      <c r="D181" s="13" t="s">
        <v>1791</v>
      </c>
      <c r="E181" s="13" t="s">
        <v>1792</v>
      </c>
      <c r="F181" s="13" t="s">
        <v>2006</v>
      </c>
      <c r="G181" s="13"/>
      <c r="H181" s="13" t="s">
        <v>901</v>
      </c>
      <c r="I181" s="13" t="s">
        <v>2007</v>
      </c>
    </row>
    <row r="182" spans="1:9" x14ac:dyDescent="0.3">
      <c r="A182" s="13" t="s">
        <v>46</v>
      </c>
      <c r="B182" s="13" t="s">
        <v>2003</v>
      </c>
      <c r="C182" s="13" t="s">
        <v>944</v>
      </c>
      <c r="D182" s="13" t="s">
        <v>1791</v>
      </c>
      <c r="E182" s="13" t="s">
        <v>1818</v>
      </c>
      <c r="F182" s="13" t="s">
        <v>1975</v>
      </c>
      <c r="G182" s="13"/>
      <c r="H182" s="13" t="s">
        <v>901</v>
      </c>
      <c r="I182" s="13"/>
    </row>
    <row r="183" spans="1:9" x14ac:dyDescent="0.3">
      <c r="A183" s="13" t="s">
        <v>46</v>
      </c>
      <c r="B183" s="13" t="s">
        <v>2003</v>
      </c>
      <c r="C183" s="13" t="s">
        <v>515</v>
      </c>
      <c r="D183" s="13" t="s">
        <v>1791</v>
      </c>
      <c r="E183" s="13" t="s">
        <v>1818</v>
      </c>
      <c r="F183" s="13" t="s">
        <v>2008</v>
      </c>
      <c r="G183" s="13"/>
      <c r="H183" s="13" t="s">
        <v>901</v>
      </c>
      <c r="I183" s="13"/>
    </row>
    <row r="184" spans="1:9" x14ac:dyDescent="0.3">
      <c r="A184" s="13" t="s">
        <v>46</v>
      </c>
      <c r="B184" s="13" t="s">
        <v>2003</v>
      </c>
      <c r="C184" s="13" t="s">
        <v>1444</v>
      </c>
      <c r="D184" s="13" t="s">
        <v>1791</v>
      </c>
      <c r="E184" s="13" t="s">
        <v>1792</v>
      </c>
      <c r="F184" s="13" t="s">
        <v>2009</v>
      </c>
      <c r="G184" s="13" t="s">
        <v>1955</v>
      </c>
      <c r="H184" s="13" t="s">
        <v>901</v>
      </c>
      <c r="I184" s="13"/>
    </row>
    <row r="185" spans="1:9" x14ac:dyDescent="0.3">
      <c r="A185" s="13" t="s">
        <v>46</v>
      </c>
      <c r="B185" s="13" t="s">
        <v>2003</v>
      </c>
      <c r="C185" s="13" t="s">
        <v>1445</v>
      </c>
      <c r="D185" s="13" t="s">
        <v>1791</v>
      </c>
      <c r="E185" s="13" t="s">
        <v>1792</v>
      </c>
      <c r="F185" s="13" t="s">
        <v>2010</v>
      </c>
      <c r="G185" s="13"/>
      <c r="H185" s="13" t="s">
        <v>901</v>
      </c>
      <c r="I185" s="13"/>
    </row>
    <row r="186" spans="1:9" x14ac:dyDescent="0.3">
      <c r="A186" s="13" t="s">
        <v>46</v>
      </c>
      <c r="B186" s="13" t="s">
        <v>2003</v>
      </c>
      <c r="C186" s="13" t="s">
        <v>1446</v>
      </c>
      <c r="D186" s="13" t="s">
        <v>1791</v>
      </c>
      <c r="E186" s="13" t="s">
        <v>1792</v>
      </c>
      <c r="F186" s="13" t="s">
        <v>2011</v>
      </c>
      <c r="G186" s="13" t="s">
        <v>1989</v>
      </c>
      <c r="H186" s="13" t="s">
        <v>901</v>
      </c>
      <c r="I186" s="13"/>
    </row>
    <row r="187" spans="1:9" x14ac:dyDescent="0.3">
      <c r="A187" s="13" t="s">
        <v>46</v>
      </c>
      <c r="B187" s="13" t="s">
        <v>2003</v>
      </c>
      <c r="C187" s="13" t="s">
        <v>14</v>
      </c>
      <c r="D187" s="13" t="s">
        <v>1791</v>
      </c>
      <c r="E187" s="13" t="s">
        <v>1818</v>
      </c>
      <c r="F187" s="13" t="s">
        <v>2012</v>
      </c>
      <c r="G187" s="13"/>
      <c r="H187" s="13" t="s">
        <v>901</v>
      </c>
      <c r="I187" s="13"/>
    </row>
    <row r="188" spans="1:9" x14ac:dyDescent="0.3">
      <c r="A188" s="13" t="s">
        <v>46</v>
      </c>
      <c r="B188" s="13" t="s">
        <v>2003</v>
      </c>
      <c r="C188" s="13" t="s">
        <v>1447</v>
      </c>
      <c r="D188" s="13" t="s">
        <v>1791</v>
      </c>
      <c r="E188" s="13" t="s">
        <v>1818</v>
      </c>
      <c r="F188" s="13" t="s">
        <v>2013</v>
      </c>
      <c r="G188" s="13"/>
      <c r="H188" s="13" t="s">
        <v>901</v>
      </c>
      <c r="I188" s="13"/>
    </row>
    <row r="189" spans="1:9" x14ac:dyDescent="0.3">
      <c r="A189" s="13" t="s">
        <v>46</v>
      </c>
      <c r="B189" s="13" t="s">
        <v>2003</v>
      </c>
      <c r="C189" s="13" t="s">
        <v>1448</v>
      </c>
      <c r="D189" s="13" t="s">
        <v>1791</v>
      </c>
      <c r="E189" s="13" t="s">
        <v>1792</v>
      </c>
      <c r="F189" s="13" t="s">
        <v>2014</v>
      </c>
      <c r="G189" s="13"/>
      <c r="H189" s="13" t="s">
        <v>904</v>
      </c>
      <c r="I189" s="13"/>
    </row>
    <row r="190" spans="1:9" ht="39.6" x14ac:dyDescent="0.3">
      <c r="A190" s="13" t="s">
        <v>48</v>
      </c>
      <c r="B190" s="13" t="s">
        <v>2015</v>
      </c>
      <c r="C190" s="13" t="s">
        <v>513</v>
      </c>
      <c r="D190" s="13" t="s">
        <v>1791</v>
      </c>
      <c r="E190" s="13" t="s">
        <v>1792</v>
      </c>
      <c r="F190" s="13" t="s">
        <v>2004</v>
      </c>
      <c r="G190" s="13"/>
      <c r="H190" s="13" t="s">
        <v>901</v>
      </c>
      <c r="I190" s="13" t="s">
        <v>2016</v>
      </c>
    </row>
    <row r="191" spans="1:9" x14ac:dyDescent="0.3">
      <c r="A191" s="13" t="s">
        <v>48</v>
      </c>
      <c r="B191" s="13" t="s">
        <v>2015</v>
      </c>
      <c r="C191" s="13" t="s">
        <v>885</v>
      </c>
      <c r="D191" s="13" t="s">
        <v>1791</v>
      </c>
      <c r="E191" s="13" t="s">
        <v>1792</v>
      </c>
      <c r="F191" s="13" t="s">
        <v>2017</v>
      </c>
      <c r="G191" s="13"/>
      <c r="H191" s="13" t="s">
        <v>901</v>
      </c>
      <c r="I191" s="13"/>
    </row>
    <row r="192" spans="1:9" x14ac:dyDescent="0.3">
      <c r="A192" s="13" t="s">
        <v>48</v>
      </c>
      <c r="B192" s="13" t="s">
        <v>2015</v>
      </c>
      <c r="C192" s="13" t="s">
        <v>1460</v>
      </c>
      <c r="D192" s="13" t="s">
        <v>1791</v>
      </c>
      <c r="E192" s="13" t="s">
        <v>1792</v>
      </c>
      <c r="F192" s="13" t="s">
        <v>2018</v>
      </c>
      <c r="G192" s="13"/>
      <c r="H192" s="13" t="s">
        <v>901</v>
      </c>
      <c r="I192" s="13"/>
    </row>
    <row r="193" spans="1:9" x14ac:dyDescent="0.3">
      <c r="A193" s="13" t="s">
        <v>48</v>
      </c>
      <c r="B193" s="13" t="s">
        <v>2015</v>
      </c>
      <c r="C193" s="13" t="s">
        <v>1461</v>
      </c>
      <c r="D193" s="13" t="s">
        <v>1791</v>
      </c>
      <c r="E193" s="13" t="s">
        <v>1792</v>
      </c>
      <c r="F193" s="13" t="s">
        <v>2019</v>
      </c>
      <c r="G193" s="13"/>
      <c r="H193" s="13" t="s">
        <v>901</v>
      </c>
      <c r="I193" s="13"/>
    </row>
    <row r="194" spans="1:9" x14ac:dyDescent="0.3">
      <c r="A194" s="13" t="s">
        <v>48</v>
      </c>
      <c r="B194" s="13" t="s">
        <v>2015</v>
      </c>
      <c r="C194" s="13" t="s">
        <v>1462</v>
      </c>
      <c r="D194" s="13" t="s">
        <v>1817</v>
      </c>
      <c r="E194" s="13" t="s">
        <v>1792</v>
      </c>
      <c r="F194" s="13" t="s">
        <v>1929</v>
      </c>
      <c r="G194" s="13"/>
      <c r="H194" s="13" t="s">
        <v>901</v>
      </c>
      <c r="I194" s="13"/>
    </row>
    <row r="195" spans="1:9" x14ac:dyDescent="0.3">
      <c r="A195" s="13" t="s">
        <v>48</v>
      </c>
      <c r="B195" s="13" t="s">
        <v>2015</v>
      </c>
      <c r="C195" s="13" t="s">
        <v>1463</v>
      </c>
      <c r="D195" s="13" t="s">
        <v>1796</v>
      </c>
      <c r="E195" s="13" t="s">
        <v>1792</v>
      </c>
      <c r="F195" s="13" t="s">
        <v>2020</v>
      </c>
      <c r="G195" s="13"/>
      <c r="H195" s="13" t="s">
        <v>901</v>
      </c>
      <c r="I195" s="13"/>
    </row>
    <row r="196" spans="1:9" x14ac:dyDescent="0.3">
      <c r="A196" s="13" t="s">
        <v>48</v>
      </c>
      <c r="B196" s="13" t="s">
        <v>2015</v>
      </c>
      <c r="C196" s="13" t="s">
        <v>1464</v>
      </c>
      <c r="D196" s="13" t="s">
        <v>1796</v>
      </c>
      <c r="E196" s="13" t="s">
        <v>1818</v>
      </c>
      <c r="F196" s="13" t="s">
        <v>2021</v>
      </c>
      <c r="G196" s="13"/>
      <c r="H196" s="13" t="s">
        <v>901</v>
      </c>
      <c r="I196" s="13"/>
    </row>
    <row r="197" spans="1:9" x14ac:dyDescent="0.3">
      <c r="A197" s="13" t="s">
        <v>48</v>
      </c>
      <c r="B197" s="13" t="s">
        <v>2015</v>
      </c>
      <c r="C197" s="13" t="s">
        <v>1465</v>
      </c>
      <c r="D197" s="13" t="s">
        <v>1796</v>
      </c>
      <c r="E197" s="13" t="s">
        <v>1818</v>
      </c>
      <c r="F197" s="13" t="s">
        <v>2022</v>
      </c>
      <c r="G197" s="13"/>
      <c r="H197" s="13" t="s">
        <v>901</v>
      </c>
      <c r="I197" s="13"/>
    </row>
    <row r="198" spans="1:9" ht="26.4" x14ac:dyDescent="0.3">
      <c r="A198" s="13" t="s">
        <v>48</v>
      </c>
      <c r="B198" s="13" t="s">
        <v>2015</v>
      </c>
      <c r="C198" s="13" t="s">
        <v>218</v>
      </c>
      <c r="D198" s="13" t="s">
        <v>1802</v>
      </c>
      <c r="E198" s="13" t="s">
        <v>1818</v>
      </c>
      <c r="F198" s="13" t="s">
        <v>2023</v>
      </c>
      <c r="G198" s="13"/>
      <c r="H198" s="13" t="s">
        <v>901</v>
      </c>
      <c r="I198" s="13"/>
    </row>
    <row r="199" spans="1:9" x14ac:dyDescent="0.3">
      <c r="A199" s="13" t="s">
        <v>48</v>
      </c>
      <c r="B199" s="13" t="s">
        <v>2015</v>
      </c>
      <c r="C199" s="13" t="s">
        <v>1466</v>
      </c>
      <c r="D199" s="13" t="s">
        <v>1796</v>
      </c>
      <c r="E199" s="13" t="s">
        <v>1818</v>
      </c>
      <c r="F199" s="13" t="s">
        <v>2024</v>
      </c>
      <c r="G199" s="13"/>
      <c r="H199" s="13" t="s">
        <v>901</v>
      </c>
      <c r="I199" s="13"/>
    </row>
    <row r="200" spans="1:9" x14ac:dyDescent="0.3">
      <c r="A200" s="13" t="s">
        <v>48</v>
      </c>
      <c r="B200" s="13" t="s">
        <v>2015</v>
      </c>
      <c r="C200" s="13" t="s">
        <v>1467</v>
      </c>
      <c r="D200" s="13" t="s">
        <v>1796</v>
      </c>
      <c r="E200" s="13" t="s">
        <v>1818</v>
      </c>
      <c r="F200" s="13" t="s">
        <v>2025</v>
      </c>
      <c r="G200" s="13"/>
      <c r="H200" s="13" t="s">
        <v>901</v>
      </c>
      <c r="I200" s="13"/>
    </row>
    <row r="201" spans="1:9" x14ac:dyDescent="0.3">
      <c r="A201" s="13" t="s">
        <v>48</v>
      </c>
      <c r="B201" s="13" t="s">
        <v>2015</v>
      </c>
      <c r="C201" s="13" t="s">
        <v>1468</v>
      </c>
      <c r="D201" s="13" t="s">
        <v>2026</v>
      </c>
      <c r="E201" s="13" t="s">
        <v>1818</v>
      </c>
      <c r="F201" s="13" t="s">
        <v>2027</v>
      </c>
      <c r="G201" s="13"/>
      <c r="H201" s="13" t="s">
        <v>901</v>
      </c>
      <c r="I201" s="13"/>
    </row>
    <row r="202" spans="1:9" x14ac:dyDescent="0.3">
      <c r="A202" s="13" t="s">
        <v>48</v>
      </c>
      <c r="B202" s="13" t="s">
        <v>2015</v>
      </c>
      <c r="C202" s="13" t="s">
        <v>1469</v>
      </c>
      <c r="D202" s="13" t="s">
        <v>1791</v>
      </c>
      <c r="E202" s="13" t="s">
        <v>1818</v>
      </c>
      <c r="F202" s="13" t="s">
        <v>2028</v>
      </c>
      <c r="G202" s="13"/>
      <c r="H202" s="13" t="s">
        <v>901</v>
      </c>
      <c r="I202" s="13"/>
    </row>
    <row r="203" spans="1:9" ht="26.4" x14ac:dyDescent="0.3">
      <c r="A203" s="13" t="s">
        <v>50</v>
      </c>
      <c r="B203" s="13" t="s">
        <v>1509</v>
      </c>
      <c r="C203" s="13" t="s">
        <v>1482</v>
      </c>
      <c r="D203" s="13" t="s">
        <v>1934</v>
      </c>
      <c r="E203" s="13" t="s">
        <v>1792</v>
      </c>
      <c r="F203" s="13" t="s">
        <v>2029</v>
      </c>
      <c r="G203" s="13"/>
      <c r="H203" s="13" t="s">
        <v>901</v>
      </c>
      <c r="I203" s="13"/>
    </row>
    <row r="204" spans="1:9" x14ac:dyDescent="0.3">
      <c r="A204" s="13" t="s">
        <v>50</v>
      </c>
      <c r="B204" s="13" t="s">
        <v>1509</v>
      </c>
      <c r="C204" s="13" t="s">
        <v>1460</v>
      </c>
      <c r="D204" s="13" t="s">
        <v>1791</v>
      </c>
      <c r="E204" s="13" t="s">
        <v>1792</v>
      </c>
      <c r="F204" s="13" t="s">
        <v>2030</v>
      </c>
      <c r="G204" s="13"/>
      <c r="H204" s="13" t="s">
        <v>901</v>
      </c>
      <c r="I204" s="13"/>
    </row>
    <row r="205" spans="1:9" x14ac:dyDescent="0.3">
      <c r="A205" s="13" t="s">
        <v>50</v>
      </c>
      <c r="B205" s="13" t="s">
        <v>1509</v>
      </c>
      <c r="C205" s="13" t="s">
        <v>1483</v>
      </c>
      <c r="D205" s="13" t="s">
        <v>1791</v>
      </c>
      <c r="E205" s="13" t="s">
        <v>1792</v>
      </c>
      <c r="F205" s="13" t="s">
        <v>2031</v>
      </c>
      <c r="G205" s="13"/>
      <c r="H205" s="13" t="s">
        <v>901</v>
      </c>
      <c r="I205" s="13"/>
    </row>
    <row r="206" spans="1:9" x14ac:dyDescent="0.3">
      <c r="A206" s="13" t="s">
        <v>50</v>
      </c>
      <c r="B206" s="13" t="s">
        <v>1509</v>
      </c>
      <c r="C206" s="13" t="s">
        <v>1484</v>
      </c>
      <c r="D206" s="13" t="s">
        <v>1791</v>
      </c>
      <c r="E206" s="13" t="s">
        <v>1792</v>
      </c>
      <c r="F206" s="13" t="s">
        <v>2032</v>
      </c>
      <c r="G206" s="13"/>
      <c r="H206" s="13" t="s">
        <v>901</v>
      </c>
      <c r="I206" s="13"/>
    </row>
    <row r="207" spans="1:9" x14ac:dyDescent="0.3">
      <c r="A207" s="13" t="s">
        <v>50</v>
      </c>
      <c r="B207" s="13" t="s">
        <v>1509</v>
      </c>
      <c r="C207" s="13" t="s">
        <v>1465</v>
      </c>
      <c r="D207" s="13" t="s">
        <v>1796</v>
      </c>
      <c r="E207" s="13" t="s">
        <v>1792</v>
      </c>
      <c r="F207" s="13" t="s">
        <v>2033</v>
      </c>
      <c r="G207" s="13"/>
      <c r="H207" s="13" t="s">
        <v>901</v>
      </c>
      <c r="I207" s="13"/>
    </row>
    <row r="208" spans="1:9" x14ac:dyDescent="0.3">
      <c r="A208" s="13" t="s">
        <v>50</v>
      </c>
      <c r="B208" s="13" t="s">
        <v>1509</v>
      </c>
      <c r="C208" s="13" t="s">
        <v>1485</v>
      </c>
      <c r="D208" s="13" t="s">
        <v>1791</v>
      </c>
      <c r="E208" s="13" t="s">
        <v>1818</v>
      </c>
      <c r="F208" s="13" t="s">
        <v>2034</v>
      </c>
      <c r="G208" s="13"/>
      <c r="H208" s="13" t="s">
        <v>901</v>
      </c>
      <c r="I208" s="13"/>
    </row>
    <row r="209" spans="1:9" x14ac:dyDescent="0.3">
      <c r="A209" s="13" t="s">
        <v>50</v>
      </c>
      <c r="B209" s="13" t="s">
        <v>1509</v>
      </c>
      <c r="C209" s="13" t="s">
        <v>1486</v>
      </c>
      <c r="D209" s="13" t="s">
        <v>1791</v>
      </c>
      <c r="E209" s="13" t="s">
        <v>1792</v>
      </c>
      <c r="F209" s="13" t="s">
        <v>2035</v>
      </c>
      <c r="G209" s="13"/>
      <c r="H209" s="13" t="s">
        <v>901</v>
      </c>
      <c r="I209" s="13"/>
    </row>
    <row r="210" spans="1:9" x14ac:dyDescent="0.3">
      <c r="A210" s="13" t="s">
        <v>50</v>
      </c>
      <c r="B210" s="13" t="s">
        <v>1509</v>
      </c>
      <c r="C210" s="13" t="s">
        <v>1487</v>
      </c>
      <c r="D210" s="13" t="s">
        <v>2026</v>
      </c>
      <c r="E210" s="13" t="s">
        <v>1818</v>
      </c>
      <c r="F210" s="13" t="s">
        <v>2036</v>
      </c>
      <c r="G210" s="13"/>
      <c r="H210" s="13" t="s">
        <v>901</v>
      </c>
      <c r="I210" s="13"/>
    </row>
    <row r="211" spans="1:9" x14ac:dyDescent="0.3">
      <c r="A211" s="13" t="s">
        <v>52</v>
      </c>
      <c r="B211" s="13" t="s">
        <v>2037</v>
      </c>
      <c r="C211" s="13" t="s">
        <v>1494</v>
      </c>
      <c r="D211" s="13" t="s">
        <v>1791</v>
      </c>
      <c r="E211" s="13" t="s">
        <v>1792</v>
      </c>
      <c r="F211" s="13" t="s">
        <v>1793</v>
      </c>
      <c r="G211" s="13"/>
      <c r="H211" s="13" t="s">
        <v>901</v>
      </c>
      <c r="I211" s="13" t="s">
        <v>1794</v>
      </c>
    </row>
    <row r="212" spans="1:9" x14ac:dyDescent="0.3">
      <c r="A212" s="13" t="s">
        <v>52</v>
      </c>
      <c r="B212" s="13" t="s">
        <v>2037</v>
      </c>
      <c r="C212" s="13" t="s">
        <v>1460</v>
      </c>
      <c r="D212" s="13" t="s">
        <v>1791</v>
      </c>
      <c r="E212" s="13" t="s">
        <v>1792</v>
      </c>
      <c r="F212" s="13" t="s">
        <v>2018</v>
      </c>
      <c r="G212" s="13"/>
      <c r="H212" s="13" t="s">
        <v>901</v>
      </c>
      <c r="I212" s="13"/>
    </row>
    <row r="213" spans="1:9" x14ac:dyDescent="0.3">
      <c r="A213" s="13" t="s">
        <v>52</v>
      </c>
      <c r="B213" s="13" t="s">
        <v>2037</v>
      </c>
      <c r="C213" s="13" t="s">
        <v>944</v>
      </c>
      <c r="D213" s="13" t="s">
        <v>1791</v>
      </c>
      <c r="E213" s="13" t="s">
        <v>1792</v>
      </c>
      <c r="F213" s="13" t="s">
        <v>1975</v>
      </c>
      <c r="G213" s="13"/>
      <c r="H213" s="13" t="s">
        <v>901</v>
      </c>
      <c r="I213" s="13"/>
    </row>
    <row r="214" spans="1:9" x14ac:dyDescent="0.3">
      <c r="A214" s="13" t="s">
        <v>52</v>
      </c>
      <c r="B214" s="13" t="s">
        <v>2037</v>
      </c>
      <c r="C214" s="13" t="s">
        <v>945</v>
      </c>
      <c r="D214" s="13" t="s">
        <v>1791</v>
      </c>
      <c r="E214" s="13" t="s">
        <v>1792</v>
      </c>
      <c r="F214" s="13" t="s">
        <v>2038</v>
      </c>
      <c r="G214" s="13"/>
      <c r="H214" s="13" t="s">
        <v>901</v>
      </c>
      <c r="I214" s="13"/>
    </row>
    <row r="215" spans="1:9" x14ac:dyDescent="0.3">
      <c r="A215" s="13" t="s">
        <v>52</v>
      </c>
      <c r="B215" s="13" t="s">
        <v>2037</v>
      </c>
      <c r="C215" s="13" t="s">
        <v>947</v>
      </c>
      <c r="D215" s="13" t="s">
        <v>1791</v>
      </c>
      <c r="E215" s="13" t="s">
        <v>1792</v>
      </c>
      <c r="F215" s="13" t="s">
        <v>2039</v>
      </c>
      <c r="G215" s="13"/>
      <c r="H215" s="13" t="s">
        <v>901</v>
      </c>
      <c r="I215" s="13"/>
    </row>
    <row r="216" spans="1:9" x14ac:dyDescent="0.3">
      <c r="A216" s="13" t="s">
        <v>52</v>
      </c>
      <c r="B216" s="13" t="s">
        <v>2037</v>
      </c>
      <c r="C216" s="13" t="s">
        <v>1495</v>
      </c>
      <c r="D216" s="13" t="s">
        <v>1791</v>
      </c>
      <c r="E216" s="13" t="s">
        <v>1792</v>
      </c>
      <c r="F216" s="13" t="s">
        <v>2040</v>
      </c>
      <c r="G216" s="13"/>
      <c r="H216" s="13" t="s">
        <v>901</v>
      </c>
      <c r="I216" s="13"/>
    </row>
    <row r="217" spans="1:9" x14ac:dyDescent="0.3">
      <c r="A217" s="13" t="s">
        <v>52</v>
      </c>
      <c r="B217" s="13" t="s">
        <v>2037</v>
      </c>
      <c r="C217" s="13" t="s">
        <v>1496</v>
      </c>
      <c r="D217" s="13" t="s">
        <v>1791</v>
      </c>
      <c r="E217" s="13" t="s">
        <v>1792</v>
      </c>
      <c r="F217" s="13" t="s">
        <v>2041</v>
      </c>
      <c r="G217" s="13"/>
      <c r="H217" s="13" t="s">
        <v>901</v>
      </c>
      <c r="I217" s="13"/>
    </row>
    <row r="218" spans="1:9" x14ac:dyDescent="0.3">
      <c r="A218" s="13" t="s">
        <v>52</v>
      </c>
      <c r="B218" s="13" t="s">
        <v>2037</v>
      </c>
      <c r="C218" s="13" t="s">
        <v>1497</v>
      </c>
      <c r="D218" s="13" t="s">
        <v>1791</v>
      </c>
      <c r="E218" s="13" t="s">
        <v>1792</v>
      </c>
      <c r="F218" s="13" t="s">
        <v>2042</v>
      </c>
      <c r="G218" s="13"/>
      <c r="H218" s="13" t="s">
        <v>901</v>
      </c>
      <c r="I218" s="13"/>
    </row>
    <row r="219" spans="1:9" x14ac:dyDescent="0.3">
      <c r="A219" s="13" t="s">
        <v>52</v>
      </c>
      <c r="B219" s="13" t="s">
        <v>2037</v>
      </c>
      <c r="C219" s="13" t="s">
        <v>946</v>
      </c>
      <c r="D219" s="13" t="s">
        <v>1791</v>
      </c>
      <c r="E219" s="13" t="s">
        <v>1792</v>
      </c>
      <c r="F219" s="13" t="s">
        <v>2043</v>
      </c>
      <c r="G219" s="13" t="s">
        <v>1978</v>
      </c>
      <c r="H219" s="13" t="s">
        <v>901</v>
      </c>
      <c r="I219" s="13"/>
    </row>
    <row r="220" spans="1:9" x14ac:dyDescent="0.3">
      <c r="A220" s="13" t="s">
        <v>52</v>
      </c>
      <c r="B220" s="13" t="s">
        <v>2037</v>
      </c>
      <c r="C220" s="13" t="s">
        <v>14</v>
      </c>
      <c r="D220" s="13" t="s">
        <v>1791</v>
      </c>
      <c r="E220" s="13" t="s">
        <v>1792</v>
      </c>
      <c r="F220" s="13" t="s">
        <v>2044</v>
      </c>
      <c r="G220" s="13" t="s">
        <v>1989</v>
      </c>
      <c r="H220" s="13" t="s">
        <v>901</v>
      </c>
      <c r="I220" s="13"/>
    </row>
    <row r="221" spans="1:9" x14ac:dyDescent="0.3">
      <c r="A221" s="13" t="s">
        <v>52</v>
      </c>
      <c r="B221" s="13" t="s">
        <v>2037</v>
      </c>
      <c r="C221" s="13" t="s">
        <v>1462</v>
      </c>
      <c r="D221" s="13" t="s">
        <v>1817</v>
      </c>
      <c r="E221" s="13" t="s">
        <v>1792</v>
      </c>
      <c r="F221" s="13" t="s">
        <v>2045</v>
      </c>
      <c r="G221" s="13"/>
      <c r="H221" s="13" t="s">
        <v>901</v>
      </c>
      <c r="I221" s="13"/>
    </row>
    <row r="222" spans="1:9" x14ac:dyDescent="0.3">
      <c r="A222" s="13" t="s">
        <v>52</v>
      </c>
      <c r="B222" s="13" t="s">
        <v>2037</v>
      </c>
      <c r="C222" s="13" t="s">
        <v>1498</v>
      </c>
      <c r="D222" s="13" t="s">
        <v>1796</v>
      </c>
      <c r="E222" s="13" t="s">
        <v>1818</v>
      </c>
      <c r="F222" s="13" t="s">
        <v>2046</v>
      </c>
      <c r="G222" s="13"/>
      <c r="H222" s="13" t="s">
        <v>901</v>
      </c>
      <c r="I222" s="13"/>
    </row>
    <row r="223" spans="1:9" x14ac:dyDescent="0.3">
      <c r="A223" s="13" t="s">
        <v>52</v>
      </c>
      <c r="B223" s="13" t="s">
        <v>2037</v>
      </c>
      <c r="C223" s="13" t="s">
        <v>1466</v>
      </c>
      <c r="D223" s="13" t="s">
        <v>1796</v>
      </c>
      <c r="E223" s="13" t="s">
        <v>1818</v>
      </c>
      <c r="F223" s="13" t="s">
        <v>2023</v>
      </c>
      <c r="G223" s="13"/>
      <c r="H223" s="13" t="s">
        <v>901</v>
      </c>
      <c r="I223" s="13"/>
    </row>
    <row r="224" spans="1:9" x14ac:dyDescent="0.3">
      <c r="A224" s="13" t="s">
        <v>54</v>
      </c>
      <c r="B224" s="13" t="s">
        <v>2047</v>
      </c>
      <c r="C224" s="13" t="s">
        <v>1574</v>
      </c>
      <c r="D224" s="13" t="s">
        <v>1791</v>
      </c>
      <c r="E224" s="13" t="s">
        <v>1792</v>
      </c>
      <c r="F224" s="13" t="s">
        <v>1793</v>
      </c>
      <c r="G224" s="13"/>
      <c r="H224" s="13" t="s">
        <v>901</v>
      </c>
      <c r="I224" s="13" t="s">
        <v>1794</v>
      </c>
    </row>
    <row r="225" spans="1:9" ht="26.4" x14ac:dyDescent="0.3">
      <c r="A225" s="13" t="s">
        <v>54</v>
      </c>
      <c r="B225" s="13" t="s">
        <v>2047</v>
      </c>
      <c r="C225" s="13" t="s">
        <v>220</v>
      </c>
      <c r="D225" s="13" t="s">
        <v>1791</v>
      </c>
      <c r="E225" s="13" t="s">
        <v>1792</v>
      </c>
      <c r="F225" s="13" t="s">
        <v>2048</v>
      </c>
      <c r="G225" s="13"/>
      <c r="H225" s="13" t="s">
        <v>901</v>
      </c>
      <c r="I225" s="13" t="s">
        <v>1816</v>
      </c>
    </row>
    <row r="226" spans="1:9" x14ac:dyDescent="0.3">
      <c r="A226" s="13" t="s">
        <v>54</v>
      </c>
      <c r="B226" s="13" t="s">
        <v>2047</v>
      </c>
      <c r="C226" s="13" t="s">
        <v>213</v>
      </c>
      <c r="D226" s="13" t="s">
        <v>1791</v>
      </c>
      <c r="E226" s="13" t="s">
        <v>1792</v>
      </c>
      <c r="F226" s="13" t="s">
        <v>1836</v>
      </c>
      <c r="G226" s="13"/>
      <c r="H226" s="13" t="s">
        <v>901</v>
      </c>
      <c r="I226" s="13"/>
    </row>
    <row r="227" spans="1:9" x14ac:dyDescent="0.3">
      <c r="A227" s="13" t="s">
        <v>54</v>
      </c>
      <c r="B227" s="13" t="s">
        <v>2047</v>
      </c>
      <c r="C227" s="13" t="s">
        <v>1575</v>
      </c>
      <c r="D227" s="13" t="s">
        <v>1791</v>
      </c>
      <c r="E227" s="13" t="s">
        <v>1792</v>
      </c>
      <c r="F227" s="13" t="s">
        <v>2049</v>
      </c>
      <c r="G227" s="13"/>
      <c r="H227" s="13" t="s">
        <v>901</v>
      </c>
      <c r="I227" s="13"/>
    </row>
    <row r="228" spans="1:9" x14ac:dyDescent="0.3">
      <c r="A228" s="13" t="s">
        <v>54</v>
      </c>
      <c r="B228" s="13" t="s">
        <v>2047</v>
      </c>
      <c r="C228" s="13" t="s">
        <v>1576</v>
      </c>
      <c r="D228" s="13" t="s">
        <v>1791</v>
      </c>
      <c r="E228" s="13" t="s">
        <v>1792</v>
      </c>
      <c r="F228" s="13" t="s">
        <v>2050</v>
      </c>
      <c r="G228" s="13"/>
      <c r="H228" s="13" t="s">
        <v>904</v>
      </c>
      <c r="I228" s="13"/>
    </row>
    <row r="229" spans="1:9" x14ac:dyDescent="0.3">
      <c r="A229" s="13" t="s">
        <v>54</v>
      </c>
      <c r="B229" s="13" t="s">
        <v>2047</v>
      </c>
      <c r="C229" s="13" t="s">
        <v>1577</v>
      </c>
      <c r="D229" s="13" t="s">
        <v>1791</v>
      </c>
      <c r="E229" s="13" t="s">
        <v>1792</v>
      </c>
      <c r="F229" s="13" t="s">
        <v>2051</v>
      </c>
      <c r="G229" s="13"/>
      <c r="H229" s="13" t="s">
        <v>901</v>
      </c>
      <c r="I229" s="13"/>
    </row>
    <row r="230" spans="1:9" ht="26.4" x14ac:dyDescent="0.3">
      <c r="A230" s="13" t="s">
        <v>54</v>
      </c>
      <c r="B230" s="13" t="s">
        <v>2047</v>
      </c>
      <c r="C230" s="13" t="s">
        <v>1578</v>
      </c>
      <c r="D230" s="13" t="s">
        <v>1802</v>
      </c>
      <c r="E230" s="13" t="s">
        <v>1792</v>
      </c>
      <c r="F230" s="13" t="s">
        <v>2052</v>
      </c>
      <c r="G230" s="13"/>
      <c r="H230" s="13" t="s">
        <v>904</v>
      </c>
      <c r="I230" s="13"/>
    </row>
    <row r="231" spans="1:9" x14ac:dyDescent="0.3">
      <c r="A231" s="13" t="s">
        <v>54</v>
      </c>
      <c r="B231" s="13" t="s">
        <v>2047</v>
      </c>
      <c r="C231" s="13" t="s">
        <v>1579</v>
      </c>
      <c r="D231" s="13" t="s">
        <v>1791</v>
      </c>
      <c r="E231" s="13" t="s">
        <v>1792</v>
      </c>
      <c r="F231" s="13" t="s">
        <v>2053</v>
      </c>
      <c r="G231" s="13"/>
      <c r="H231" s="13" t="s">
        <v>901</v>
      </c>
      <c r="I231" s="13"/>
    </row>
    <row r="232" spans="1:9" ht="26.4" x14ac:dyDescent="0.3">
      <c r="A232" s="13" t="s">
        <v>54</v>
      </c>
      <c r="B232" s="13" t="s">
        <v>2047</v>
      </c>
      <c r="C232" s="13" t="s">
        <v>1580</v>
      </c>
      <c r="D232" s="13" t="s">
        <v>1934</v>
      </c>
      <c r="E232" s="13" t="s">
        <v>1792</v>
      </c>
      <c r="F232" s="13" t="s">
        <v>2054</v>
      </c>
      <c r="G232" s="13"/>
      <c r="H232" s="13" t="s">
        <v>904</v>
      </c>
      <c r="I232" s="13"/>
    </row>
    <row r="233" spans="1:9" ht="26.4" x14ac:dyDescent="0.3">
      <c r="A233" s="13" t="s">
        <v>54</v>
      </c>
      <c r="B233" s="13" t="s">
        <v>2047</v>
      </c>
      <c r="C233" s="13" t="s">
        <v>1581</v>
      </c>
      <c r="D233" s="13" t="s">
        <v>1934</v>
      </c>
      <c r="E233" s="13" t="s">
        <v>1792</v>
      </c>
      <c r="F233" s="13" t="s">
        <v>2055</v>
      </c>
      <c r="G233" s="13"/>
      <c r="H233" s="13" t="s">
        <v>904</v>
      </c>
      <c r="I233" s="13"/>
    </row>
    <row r="234" spans="1:9" x14ac:dyDescent="0.3">
      <c r="A234" s="13" t="s">
        <v>54</v>
      </c>
      <c r="B234" s="13" t="s">
        <v>2047</v>
      </c>
      <c r="C234" s="13" t="s">
        <v>1582</v>
      </c>
      <c r="D234" s="13" t="s">
        <v>1791</v>
      </c>
      <c r="E234" s="13" t="s">
        <v>1792</v>
      </c>
      <c r="F234" s="13" t="s">
        <v>2056</v>
      </c>
      <c r="G234" s="13"/>
      <c r="H234" s="13" t="s">
        <v>901</v>
      </c>
      <c r="I234" s="13"/>
    </row>
    <row r="235" spans="1:9" x14ac:dyDescent="0.3">
      <c r="A235" s="13" t="s">
        <v>54</v>
      </c>
      <c r="B235" s="13" t="s">
        <v>2047</v>
      </c>
      <c r="C235" s="13" t="s">
        <v>202</v>
      </c>
      <c r="D235" s="13" t="s">
        <v>1791</v>
      </c>
      <c r="E235" s="13" t="s">
        <v>1792</v>
      </c>
      <c r="F235" s="13" t="s">
        <v>2057</v>
      </c>
      <c r="G235" s="13"/>
      <c r="H235" s="13" t="s">
        <v>904</v>
      </c>
      <c r="I235" s="13"/>
    </row>
    <row r="236" spans="1:9" x14ac:dyDescent="0.3">
      <c r="A236" s="13" t="s">
        <v>54</v>
      </c>
      <c r="B236" s="13" t="s">
        <v>2047</v>
      </c>
      <c r="C236" s="13" t="s">
        <v>1583</v>
      </c>
      <c r="D236" s="13" t="s">
        <v>1817</v>
      </c>
      <c r="E236" s="13" t="s">
        <v>1818</v>
      </c>
      <c r="F236" s="13" t="s">
        <v>2058</v>
      </c>
      <c r="G236" s="13"/>
      <c r="H236" s="13" t="s">
        <v>901</v>
      </c>
      <c r="I236" s="13"/>
    </row>
    <row r="237" spans="1:9" x14ac:dyDescent="0.3">
      <c r="A237" s="13" t="s">
        <v>54</v>
      </c>
      <c r="B237" s="13" t="s">
        <v>2047</v>
      </c>
      <c r="C237" s="13" t="s">
        <v>14</v>
      </c>
      <c r="D237" s="13" t="s">
        <v>1791</v>
      </c>
      <c r="E237" s="13" t="s">
        <v>1818</v>
      </c>
      <c r="F237" s="13" t="s">
        <v>2044</v>
      </c>
      <c r="G237" s="13"/>
      <c r="H237" s="13" t="s">
        <v>901</v>
      </c>
      <c r="I237" s="13"/>
    </row>
    <row r="238" spans="1:9" x14ac:dyDescent="0.3">
      <c r="A238" s="13" t="s">
        <v>56</v>
      </c>
      <c r="B238" s="13" t="s">
        <v>1541</v>
      </c>
      <c r="C238" s="13" t="s">
        <v>1603</v>
      </c>
      <c r="D238" s="13" t="s">
        <v>1791</v>
      </c>
      <c r="E238" s="13" t="s">
        <v>1792</v>
      </c>
      <c r="F238" s="13" t="s">
        <v>1793</v>
      </c>
      <c r="G238" s="13"/>
      <c r="H238" s="13" t="s">
        <v>901</v>
      </c>
      <c r="I238" s="13" t="s">
        <v>1794</v>
      </c>
    </row>
    <row r="239" spans="1:9" x14ac:dyDescent="0.3">
      <c r="A239" s="13" t="s">
        <v>56</v>
      </c>
      <c r="B239" s="13" t="s">
        <v>1541</v>
      </c>
      <c r="C239" s="13" t="s">
        <v>1604</v>
      </c>
      <c r="D239" s="13" t="s">
        <v>1791</v>
      </c>
      <c r="E239" s="13" t="s">
        <v>1792</v>
      </c>
      <c r="F239" s="13" t="s">
        <v>2059</v>
      </c>
      <c r="G239" s="13"/>
      <c r="H239" s="13" t="s">
        <v>901</v>
      </c>
      <c r="I239" s="13"/>
    </row>
    <row r="240" spans="1:9" x14ac:dyDescent="0.3">
      <c r="A240" s="13" t="s">
        <v>56</v>
      </c>
      <c r="B240" s="13" t="s">
        <v>1541</v>
      </c>
      <c r="C240" s="13" t="s">
        <v>885</v>
      </c>
      <c r="D240" s="13" t="s">
        <v>1791</v>
      </c>
      <c r="E240" s="13" t="s">
        <v>1792</v>
      </c>
      <c r="F240" s="13" t="s">
        <v>2060</v>
      </c>
      <c r="G240" s="13"/>
      <c r="H240" s="13" t="s">
        <v>901</v>
      </c>
      <c r="I240" s="13"/>
    </row>
    <row r="241" spans="1:9" x14ac:dyDescent="0.3">
      <c r="A241" s="13" t="s">
        <v>56</v>
      </c>
      <c r="B241" s="13" t="s">
        <v>1541</v>
      </c>
      <c r="C241" s="13" t="s">
        <v>949</v>
      </c>
      <c r="D241" s="13" t="s">
        <v>1791</v>
      </c>
      <c r="E241" s="13" t="s">
        <v>1792</v>
      </c>
      <c r="F241" s="13" t="s">
        <v>2061</v>
      </c>
      <c r="G241" s="13"/>
      <c r="H241" s="13" t="s">
        <v>901</v>
      </c>
      <c r="I241" s="13"/>
    </row>
    <row r="242" spans="1:9" x14ac:dyDescent="0.3">
      <c r="A242" s="13" t="s">
        <v>56</v>
      </c>
      <c r="B242" s="13" t="s">
        <v>1541</v>
      </c>
      <c r="C242" s="13" t="s">
        <v>1605</v>
      </c>
      <c r="D242" s="13" t="s">
        <v>1791</v>
      </c>
      <c r="E242" s="13" t="s">
        <v>1792</v>
      </c>
      <c r="F242" s="13" t="s">
        <v>2062</v>
      </c>
      <c r="G242" s="13"/>
      <c r="H242" s="13" t="s">
        <v>901</v>
      </c>
      <c r="I242" s="13"/>
    </row>
    <row r="243" spans="1:9" x14ac:dyDescent="0.3">
      <c r="A243" s="13" t="s">
        <v>56</v>
      </c>
      <c r="B243" s="13" t="s">
        <v>1541</v>
      </c>
      <c r="C243" s="13" t="s">
        <v>1606</v>
      </c>
      <c r="D243" s="13" t="s">
        <v>1791</v>
      </c>
      <c r="E243" s="13" t="s">
        <v>1792</v>
      </c>
      <c r="F243" s="13" t="s">
        <v>2063</v>
      </c>
      <c r="G243" s="13"/>
      <c r="H243" s="13" t="s">
        <v>901</v>
      </c>
      <c r="I243" s="13"/>
    </row>
    <row r="244" spans="1:9" x14ac:dyDescent="0.3">
      <c r="A244" s="13" t="s">
        <v>56</v>
      </c>
      <c r="B244" s="13" t="s">
        <v>1541</v>
      </c>
      <c r="C244" s="13" t="s">
        <v>1448</v>
      </c>
      <c r="D244" s="13" t="s">
        <v>1791</v>
      </c>
      <c r="E244" s="13" t="s">
        <v>1792</v>
      </c>
      <c r="F244" s="13" t="s">
        <v>2064</v>
      </c>
      <c r="G244" s="13"/>
      <c r="H244" s="13" t="s">
        <v>901</v>
      </c>
      <c r="I244" s="13"/>
    </row>
    <row r="245" spans="1:9" x14ac:dyDescent="0.3">
      <c r="A245" s="13" t="s">
        <v>56</v>
      </c>
      <c r="B245" s="13" t="s">
        <v>1541</v>
      </c>
      <c r="C245" s="13" t="s">
        <v>14</v>
      </c>
      <c r="D245" s="13" t="s">
        <v>1791</v>
      </c>
      <c r="E245" s="13" t="s">
        <v>1792</v>
      </c>
      <c r="F245" s="13" t="s">
        <v>2044</v>
      </c>
      <c r="G245" s="13" t="s">
        <v>2065</v>
      </c>
      <c r="H245" s="13" t="s">
        <v>901</v>
      </c>
      <c r="I245" s="13"/>
    </row>
    <row r="246" spans="1:9" ht="26.4" x14ac:dyDescent="0.3">
      <c r="A246" s="13" t="s">
        <v>56</v>
      </c>
      <c r="B246" s="13" t="s">
        <v>1541</v>
      </c>
      <c r="C246" s="13" t="s">
        <v>961</v>
      </c>
      <c r="D246" s="13" t="s">
        <v>1934</v>
      </c>
      <c r="E246" s="13" t="s">
        <v>1792</v>
      </c>
      <c r="F246" s="13" t="s">
        <v>2066</v>
      </c>
      <c r="G246" s="13"/>
      <c r="H246" s="13" t="s">
        <v>901</v>
      </c>
      <c r="I246" s="13"/>
    </row>
    <row r="247" spans="1:9" ht="26.4" x14ac:dyDescent="0.3">
      <c r="A247" s="13" t="s">
        <v>56</v>
      </c>
      <c r="B247" s="13" t="s">
        <v>1541</v>
      </c>
      <c r="C247" s="13" t="s">
        <v>1607</v>
      </c>
      <c r="D247" s="13" t="s">
        <v>1934</v>
      </c>
      <c r="E247" s="13" t="s">
        <v>1792</v>
      </c>
      <c r="F247" s="13" t="s">
        <v>2067</v>
      </c>
      <c r="G247" s="13"/>
      <c r="H247" s="13" t="s">
        <v>901</v>
      </c>
      <c r="I247" s="13"/>
    </row>
    <row r="248" spans="1:9" x14ac:dyDescent="0.3">
      <c r="A248" s="13" t="s">
        <v>56</v>
      </c>
      <c r="B248" s="13" t="s">
        <v>1541</v>
      </c>
      <c r="C248" s="13" t="s">
        <v>957</v>
      </c>
      <c r="D248" s="13" t="s">
        <v>1791</v>
      </c>
      <c r="E248" s="13" t="s">
        <v>1792</v>
      </c>
      <c r="F248" s="13" t="s">
        <v>1937</v>
      </c>
      <c r="G248" s="13" t="s">
        <v>1938</v>
      </c>
      <c r="H248" s="13" t="s">
        <v>901</v>
      </c>
      <c r="I248" s="13"/>
    </row>
    <row r="249" spans="1:9" ht="26.4" x14ac:dyDescent="0.3">
      <c r="A249" s="13" t="s">
        <v>56</v>
      </c>
      <c r="B249" s="13" t="s">
        <v>1541</v>
      </c>
      <c r="C249" s="13" t="s">
        <v>899</v>
      </c>
      <c r="D249" s="13" t="s">
        <v>1791</v>
      </c>
      <c r="E249" s="13" t="s">
        <v>1792</v>
      </c>
      <c r="F249" s="13" t="s">
        <v>1968</v>
      </c>
      <c r="G249" s="13"/>
      <c r="H249" s="13" t="s">
        <v>904</v>
      </c>
      <c r="I249" s="13" t="s">
        <v>1969</v>
      </c>
    </row>
    <row r="250" spans="1:9" x14ac:dyDescent="0.3">
      <c r="A250" s="13" t="s">
        <v>56</v>
      </c>
      <c r="B250" s="13" t="s">
        <v>1541</v>
      </c>
      <c r="C250" s="13" t="s">
        <v>964</v>
      </c>
      <c r="D250" s="13" t="s">
        <v>1791</v>
      </c>
      <c r="E250" s="13" t="s">
        <v>1818</v>
      </c>
      <c r="F250" s="13" t="s">
        <v>2068</v>
      </c>
      <c r="G250" s="13"/>
      <c r="H250" s="13" t="s">
        <v>901</v>
      </c>
      <c r="I250" s="13"/>
    </row>
    <row r="251" spans="1:9" x14ac:dyDescent="0.3">
      <c r="A251" s="13" t="s">
        <v>58</v>
      </c>
      <c r="B251" s="13" t="s">
        <v>2069</v>
      </c>
      <c r="C251" s="13" t="s">
        <v>1669</v>
      </c>
      <c r="D251" s="13" t="s">
        <v>1791</v>
      </c>
      <c r="E251" s="13" t="s">
        <v>1792</v>
      </c>
      <c r="F251" s="13" t="s">
        <v>2070</v>
      </c>
      <c r="G251" s="13"/>
      <c r="H251" s="13" t="s">
        <v>901</v>
      </c>
      <c r="I251" s="13" t="s">
        <v>1794</v>
      </c>
    </row>
    <row r="252" spans="1:9" x14ac:dyDescent="0.3">
      <c r="A252" s="13" t="s">
        <v>58</v>
      </c>
      <c r="B252" s="13" t="s">
        <v>2069</v>
      </c>
      <c r="C252" s="13" t="s">
        <v>1670</v>
      </c>
      <c r="D252" s="13" t="s">
        <v>1791</v>
      </c>
      <c r="E252" s="13" t="s">
        <v>1792</v>
      </c>
      <c r="F252" s="13" t="s">
        <v>2071</v>
      </c>
      <c r="G252" s="13"/>
      <c r="H252" s="13" t="s">
        <v>901</v>
      </c>
      <c r="I252" s="13"/>
    </row>
    <row r="253" spans="1:9" x14ac:dyDescent="0.3">
      <c r="A253" s="13" t="s">
        <v>58</v>
      </c>
      <c r="B253" s="13" t="s">
        <v>2069</v>
      </c>
      <c r="C253" s="13" t="s">
        <v>14</v>
      </c>
      <c r="D253" s="13" t="s">
        <v>1791</v>
      </c>
      <c r="E253" s="13" t="s">
        <v>1792</v>
      </c>
      <c r="F253" s="13" t="s">
        <v>2072</v>
      </c>
      <c r="G253" s="13" t="s">
        <v>2073</v>
      </c>
      <c r="H253" s="13" t="s">
        <v>901</v>
      </c>
      <c r="I253" s="13"/>
    </row>
    <row r="254" spans="1:9" x14ac:dyDescent="0.3">
      <c r="A254" s="13" t="s">
        <v>58</v>
      </c>
      <c r="B254" s="13" t="s">
        <v>2069</v>
      </c>
      <c r="C254" s="13" t="s">
        <v>952</v>
      </c>
      <c r="D254" s="13" t="s">
        <v>1791</v>
      </c>
      <c r="E254" s="13" t="s">
        <v>1792</v>
      </c>
      <c r="F254" s="13" t="s">
        <v>2074</v>
      </c>
      <c r="G254" s="13"/>
      <c r="H254" s="13" t="s">
        <v>901</v>
      </c>
      <c r="I254" s="13"/>
    </row>
    <row r="255" spans="1:9" x14ac:dyDescent="0.3">
      <c r="A255" s="13" t="s">
        <v>58</v>
      </c>
      <c r="B255" s="13" t="s">
        <v>2069</v>
      </c>
      <c r="C255" s="13" t="s">
        <v>899</v>
      </c>
      <c r="D255" s="13" t="s">
        <v>1791</v>
      </c>
      <c r="E255" s="13" t="s">
        <v>1792</v>
      </c>
      <c r="F255" s="13" t="s">
        <v>1968</v>
      </c>
      <c r="G255" s="13"/>
      <c r="H255" s="13" t="s">
        <v>904</v>
      </c>
      <c r="I255" s="13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21</vt:i4>
      </vt:variant>
      <vt:variant>
        <vt:lpstr>Intervalos com Nome</vt:lpstr>
      </vt:variant>
      <vt:variant>
        <vt:i4>37</vt:i4>
      </vt:variant>
    </vt:vector>
  </HeadingPairs>
  <TitlesOfParts>
    <vt:vector size="58" baseType="lpstr">
      <vt:lpstr>00_LEIA-ME</vt:lpstr>
      <vt:lpstr>Painel</vt:lpstr>
      <vt:lpstr>Parametros</vt:lpstr>
      <vt:lpstr>Metas_Art7</vt:lpstr>
      <vt:lpstr>Materiais</vt:lpstr>
      <vt:lpstr>Regras_DfR</vt:lpstr>
      <vt:lpstr>Tampas</vt:lpstr>
      <vt:lpstr>Avaliacao_RecyClass</vt:lpstr>
      <vt:lpstr>Compat_Tampas</vt:lpstr>
      <vt:lpstr>Familias_PPWR</vt:lpstr>
      <vt:lpstr>Requisitos_Embalagem</vt:lpstr>
      <vt:lpstr>Aplicabilidade_Produto</vt:lpstr>
      <vt:lpstr>Vendas_Pais</vt:lpstr>
      <vt:lpstr>Embalagens_Expedicao</vt:lpstr>
      <vt:lpstr>Requisitos_Pais</vt:lpstr>
      <vt:lpstr>Certificados_PCR</vt:lpstr>
      <vt:lpstr>Alegacoes</vt:lpstr>
      <vt:lpstr>Maturidade</vt:lpstr>
      <vt:lpstr>Formulario_RecyClass</vt:lpstr>
      <vt:lpstr>Listas</vt:lpstr>
      <vt:lpstr>Dicionario_Dados</vt:lpstr>
      <vt:lpstr>DataRef</vt:lpstr>
      <vt:lpstr>lst_Adesivo</vt:lpstr>
      <vt:lpstr>lst_Aplicabilidade</vt:lpstr>
      <vt:lpstr>lst_Barreira</vt:lpstr>
      <vt:lpstr>lst_Classe</vt:lpstr>
      <vt:lpstr>lst_CorCorpo</vt:lpstr>
      <vt:lpstr>lst_DataReferencia</vt:lpstr>
      <vt:lpstr>lst_Decoracao</vt:lpstr>
      <vt:lpstr>lst_EstadoAlegacao</vt:lpstr>
      <vt:lpstr>lst_EstadoAval</vt:lpstr>
      <vt:lpstr>lst_EstadoReq</vt:lpstr>
      <vt:lpstr>lst_Funcao</vt:lpstr>
      <vt:lpstr>lst_Material</vt:lpstr>
      <vt:lpstr>lst_Maturidade</vt:lpstr>
      <vt:lpstr>lst_Natureza</vt:lpstr>
      <vt:lpstr>lst_Risco</vt:lpstr>
      <vt:lpstr>lst_Rotulo</vt:lpstr>
      <vt:lpstr>lst_Segmento</vt:lpstr>
      <vt:lpstr>lst_SimNao</vt:lpstr>
      <vt:lpstr>lst_Vedante</vt:lpstr>
      <vt:lpstr>lst_Verificacao</vt:lpstr>
      <vt:lpstr>Alegacoes!Títulos_de_Impressão</vt:lpstr>
      <vt:lpstr>Aplicabilidade_Produto!Títulos_de_Impressão</vt:lpstr>
      <vt:lpstr>Avaliacao_RecyClass!Títulos_de_Impressão</vt:lpstr>
      <vt:lpstr>Certificados_PCR!Títulos_de_Impressão</vt:lpstr>
      <vt:lpstr>Compat_Tampas!Títulos_de_Impressão</vt:lpstr>
      <vt:lpstr>Embalagens_Expedicao!Títulos_de_Impressão</vt:lpstr>
      <vt:lpstr>Familias_PPWR!Títulos_de_Impressão</vt:lpstr>
      <vt:lpstr>Materiais!Títulos_de_Impressão</vt:lpstr>
      <vt:lpstr>Maturidade!Títulos_de_Impressão</vt:lpstr>
      <vt:lpstr>Metas_Art7!Títulos_de_Impressão</vt:lpstr>
      <vt:lpstr>Parametros!Títulos_de_Impressão</vt:lpstr>
      <vt:lpstr>Regras_DfR!Títulos_de_Impressão</vt:lpstr>
      <vt:lpstr>Requisitos_Embalagem!Títulos_de_Impressão</vt:lpstr>
      <vt:lpstr>Requisitos_Pais!Títulos_de_Impressão</vt:lpstr>
      <vt:lpstr>Tampas!Títulos_de_Impressão</vt:lpstr>
      <vt:lpstr>Vendas_Pais!Títulos_de_Impressão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RG-SGA-20 Reciclabilidade e Conformidade de Embalagens (RecyClass / PPWR)</dc:title>
  <dc:subject>SGA NP EN ISO 14001:2026 — Plasticom</dc:subject>
  <dc:creator>Gestor(a) do SGA / EHS</dc:creator>
  <cp:lastModifiedBy>Aline Meireles</cp:lastModifiedBy>
  <dcterms:created xsi:type="dcterms:W3CDTF">2026-09-30T16:48:51Z</dcterms:created>
  <dcterms:modified xsi:type="dcterms:W3CDTF">2026-09-30T16:49:11Z</dcterms:modified>
</cp:coreProperties>
</file>