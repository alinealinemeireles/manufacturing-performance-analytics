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2D15C38F-AC19-4B86-8400-9608AEC31FB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ontos_Controlo" sheetId="2" r:id="rId2"/>
    <sheet name="Execucao_Rondas" sheetId="3" r:id="rId3"/>
    <sheet name="Indicadores_Mensais" sheetId="4" r:id="rId4"/>
    <sheet name="Checklist_Ronda_Impressao" sheetId="5" r:id="rId5"/>
    <sheet name="Manutencao_Ambiental" sheetId="6" r:id="rId6"/>
    <sheet name="Listas" sheetId="7" r:id="rId7"/>
    <sheet name="Dicionario_Dados" sheetId="8" r:id="rId8"/>
  </sheets>
  <definedNames>
    <definedName name="DataRef">Listas!$A$3</definedName>
    <definedName name="lst_Categoria">Listas!$B$3:$B$7</definedName>
    <definedName name="lst_DataReferencia">Listas!$A$3:$A$3</definedName>
    <definedName name="lst_Funcao">Listas!$D$3:$D$24</definedName>
    <definedName name="lst_MA_Exec">Listas!$H$3:$H$4</definedName>
    <definedName name="lst_MA_Res">Listas!$I$3:$I$5</definedName>
    <definedName name="lst_MA_SimNao">Listas!$J$3:$J$4</definedName>
    <definedName name="lst_MA_Tipo">Listas!$G$3:$G$8</definedName>
    <definedName name="lst_Processo">Listas!$C$3:$C$18</definedName>
    <definedName name="lst_Resultado">Listas!$E$3:$E$5</definedName>
    <definedName name="lst_SimNao">Listas!$F$3:$F$4</definedName>
    <definedName name="_xlnm.Print_Titles" localSheetId="2">Execucao_Rondas!$1:$1</definedName>
    <definedName name="_xlnm.Print_Titles" localSheetId="5">Manutencao_Ambiental!$4:$4</definedName>
    <definedName name="_xlnm.Print_Titles" localSheetId="1">Pontos_Controlo!$4:$4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7" i="6" l="1"/>
  <c r="P77" i="6"/>
  <c r="Q76" i="6"/>
  <c r="P76" i="6"/>
  <c r="Q75" i="6"/>
  <c r="P75" i="6"/>
  <c r="Q74" i="6"/>
  <c r="P74" i="6"/>
  <c r="Q73" i="6"/>
  <c r="P73" i="6"/>
  <c r="Q72" i="6"/>
  <c r="P72" i="6"/>
  <c r="Q71" i="6"/>
  <c r="P71" i="6"/>
  <c r="Q70" i="6"/>
  <c r="P70" i="6"/>
  <c r="Q69" i="6"/>
  <c r="P69" i="6"/>
  <c r="Q68" i="6"/>
  <c r="P68" i="6"/>
  <c r="Q67" i="6"/>
  <c r="P67" i="6"/>
  <c r="Q66" i="6"/>
  <c r="P66" i="6"/>
  <c r="Q65" i="6"/>
  <c r="P65" i="6"/>
  <c r="Q64" i="6"/>
  <c r="P64" i="6"/>
  <c r="Q63" i="6"/>
  <c r="P63" i="6"/>
  <c r="Q62" i="6"/>
  <c r="P62" i="6"/>
  <c r="Q61" i="6"/>
  <c r="P61" i="6"/>
  <c r="Q60" i="6"/>
  <c r="P60" i="6"/>
  <c r="Q59" i="6"/>
  <c r="P59" i="6"/>
  <c r="Q58" i="6"/>
  <c r="P58" i="6"/>
  <c r="Q57" i="6"/>
  <c r="P57" i="6"/>
  <c r="Q56" i="6"/>
  <c r="P56" i="6"/>
  <c r="Q55" i="6"/>
  <c r="P55" i="6"/>
  <c r="Q54" i="6"/>
  <c r="P54" i="6"/>
  <c r="Q53" i="6"/>
  <c r="P53" i="6"/>
  <c r="Q52" i="6"/>
  <c r="P52" i="6"/>
  <c r="Q51" i="6"/>
  <c r="P51" i="6"/>
  <c r="Q50" i="6"/>
  <c r="P50" i="6"/>
  <c r="Q49" i="6"/>
  <c r="P49" i="6"/>
  <c r="Q48" i="6"/>
  <c r="P48" i="6"/>
  <c r="Q47" i="6"/>
  <c r="P47" i="6"/>
  <c r="Q46" i="6"/>
  <c r="P46" i="6"/>
  <c r="Q45" i="6"/>
  <c r="P45" i="6"/>
  <c r="Q44" i="6"/>
  <c r="P44" i="6"/>
  <c r="Q43" i="6"/>
  <c r="P43" i="6"/>
  <c r="Q42" i="6"/>
  <c r="P42" i="6"/>
  <c r="Q41" i="6"/>
  <c r="P41" i="6"/>
  <c r="Q40" i="6"/>
  <c r="P40" i="6"/>
  <c r="Q39" i="6"/>
  <c r="P39" i="6"/>
  <c r="Q38" i="6"/>
  <c r="P38" i="6"/>
  <c r="Q37" i="6"/>
  <c r="P37" i="6"/>
  <c r="Q36" i="6"/>
  <c r="P36" i="6"/>
  <c r="Q35" i="6"/>
  <c r="P35" i="6"/>
  <c r="Q34" i="6"/>
  <c r="P34" i="6"/>
  <c r="Q33" i="6"/>
  <c r="P33" i="6"/>
  <c r="Q32" i="6"/>
  <c r="P32" i="6"/>
  <c r="Q31" i="6"/>
  <c r="P31" i="6"/>
  <c r="Q30" i="6"/>
  <c r="P30" i="6"/>
  <c r="Q29" i="6"/>
  <c r="P29" i="6"/>
  <c r="Q28" i="6"/>
  <c r="P28" i="6"/>
  <c r="Q27" i="6"/>
  <c r="P27" i="6"/>
  <c r="Q26" i="6"/>
  <c r="P26" i="6"/>
  <c r="Q25" i="6"/>
  <c r="P25" i="6"/>
  <c r="Q24" i="6"/>
  <c r="P24" i="6"/>
  <c r="Q23" i="6"/>
  <c r="P23" i="6"/>
  <c r="Q22" i="6"/>
  <c r="P22" i="6"/>
  <c r="Q21" i="6"/>
  <c r="P21" i="6"/>
  <c r="Q20" i="6"/>
  <c r="P20" i="6"/>
  <c r="Q19" i="6"/>
  <c r="P19" i="6"/>
  <c r="Q18" i="6"/>
  <c r="P18" i="6"/>
  <c r="Q17" i="6"/>
  <c r="P17" i="6"/>
  <c r="Q16" i="6"/>
  <c r="P16" i="6"/>
  <c r="Q15" i="6"/>
  <c r="P15" i="6"/>
  <c r="Q14" i="6"/>
  <c r="P14" i="6"/>
  <c r="Q13" i="6"/>
  <c r="P13" i="6"/>
  <c r="Q12" i="6"/>
  <c r="P12" i="6"/>
  <c r="Q11" i="6"/>
  <c r="P11" i="6"/>
  <c r="Q10" i="6"/>
  <c r="P10" i="6"/>
  <c r="Q9" i="6"/>
  <c r="P9" i="6"/>
  <c r="Q8" i="6"/>
  <c r="P8" i="6"/>
  <c r="Q7" i="6"/>
  <c r="P7" i="6"/>
  <c r="Q6" i="6"/>
  <c r="P6" i="6"/>
  <c r="Q5" i="6"/>
  <c r="P5" i="6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B6" i="5"/>
  <c r="A6" i="5"/>
  <c r="N9" i="4"/>
  <c r="M456" i="3"/>
  <c r="F456" i="3"/>
  <c r="C456" i="3"/>
  <c r="M455" i="3"/>
  <c r="F455" i="3"/>
  <c r="C455" i="3"/>
  <c r="M454" i="3"/>
  <c r="F454" i="3"/>
  <c r="C454" i="3"/>
  <c r="M453" i="3"/>
  <c r="F453" i="3"/>
  <c r="C453" i="3"/>
  <c r="M452" i="3"/>
  <c r="F452" i="3"/>
  <c r="C452" i="3"/>
  <c r="M451" i="3"/>
  <c r="F451" i="3"/>
  <c r="C451" i="3"/>
  <c r="M450" i="3"/>
  <c r="F450" i="3"/>
  <c r="C450" i="3"/>
  <c r="M449" i="3"/>
  <c r="F449" i="3"/>
  <c r="C449" i="3"/>
  <c r="M448" i="3"/>
  <c r="F448" i="3"/>
  <c r="C448" i="3"/>
  <c r="M447" i="3"/>
  <c r="F447" i="3"/>
  <c r="C447" i="3"/>
  <c r="M446" i="3"/>
  <c r="F446" i="3"/>
  <c r="C446" i="3"/>
  <c r="M445" i="3"/>
  <c r="F445" i="3"/>
  <c r="C445" i="3"/>
  <c r="M444" i="3"/>
  <c r="F444" i="3"/>
  <c r="C444" i="3"/>
  <c r="M443" i="3"/>
  <c r="F443" i="3"/>
  <c r="C443" i="3"/>
  <c r="M442" i="3"/>
  <c r="F442" i="3"/>
  <c r="C442" i="3"/>
  <c r="M441" i="3"/>
  <c r="F441" i="3"/>
  <c r="C441" i="3"/>
  <c r="M440" i="3"/>
  <c r="F440" i="3"/>
  <c r="C440" i="3"/>
  <c r="M439" i="3"/>
  <c r="F439" i="3"/>
  <c r="C439" i="3"/>
  <c r="M438" i="3"/>
  <c r="F438" i="3"/>
  <c r="C438" i="3"/>
  <c r="M437" i="3"/>
  <c r="F437" i="3"/>
  <c r="C437" i="3"/>
  <c r="M436" i="3"/>
  <c r="F436" i="3"/>
  <c r="C436" i="3"/>
  <c r="M435" i="3"/>
  <c r="F435" i="3"/>
  <c r="C435" i="3"/>
  <c r="M434" i="3"/>
  <c r="F434" i="3"/>
  <c r="C434" i="3"/>
  <c r="M433" i="3"/>
  <c r="F433" i="3"/>
  <c r="C433" i="3"/>
  <c r="M432" i="3"/>
  <c r="F432" i="3"/>
  <c r="C432" i="3"/>
  <c r="M431" i="3"/>
  <c r="F431" i="3"/>
  <c r="C431" i="3"/>
  <c r="M430" i="3"/>
  <c r="F430" i="3"/>
  <c r="C430" i="3"/>
  <c r="M429" i="3"/>
  <c r="F429" i="3"/>
  <c r="C429" i="3"/>
  <c r="M428" i="3"/>
  <c r="F428" i="3"/>
  <c r="C428" i="3"/>
  <c r="M427" i="3"/>
  <c r="F427" i="3"/>
  <c r="C427" i="3"/>
  <c r="M426" i="3"/>
  <c r="F426" i="3"/>
  <c r="C426" i="3"/>
  <c r="M425" i="3"/>
  <c r="F425" i="3"/>
  <c r="C425" i="3"/>
  <c r="M424" i="3"/>
  <c r="F424" i="3"/>
  <c r="C424" i="3"/>
  <c r="M423" i="3"/>
  <c r="F423" i="3"/>
  <c r="C423" i="3"/>
  <c r="M422" i="3"/>
  <c r="F422" i="3"/>
  <c r="C422" i="3"/>
  <c r="M421" i="3"/>
  <c r="F421" i="3"/>
  <c r="C421" i="3"/>
  <c r="M420" i="3"/>
  <c r="F420" i="3"/>
  <c r="C420" i="3"/>
  <c r="M419" i="3"/>
  <c r="F419" i="3"/>
  <c r="C419" i="3"/>
  <c r="M418" i="3"/>
  <c r="F418" i="3"/>
  <c r="C418" i="3"/>
  <c r="M417" i="3"/>
  <c r="F417" i="3"/>
  <c r="C417" i="3"/>
  <c r="M416" i="3"/>
  <c r="F416" i="3"/>
  <c r="C416" i="3"/>
  <c r="M415" i="3"/>
  <c r="F415" i="3"/>
  <c r="C415" i="3"/>
  <c r="M414" i="3"/>
  <c r="F414" i="3"/>
  <c r="C414" i="3"/>
  <c r="M413" i="3"/>
  <c r="F413" i="3"/>
  <c r="C413" i="3"/>
  <c r="M412" i="3"/>
  <c r="F412" i="3"/>
  <c r="C412" i="3"/>
  <c r="M411" i="3"/>
  <c r="F411" i="3"/>
  <c r="C411" i="3"/>
  <c r="M410" i="3"/>
  <c r="F410" i="3"/>
  <c r="C410" i="3"/>
  <c r="M409" i="3"/>
  <c r="F409" i="3"/>
  <c r="C409" i="3"/>
  <c r="M408" i="3"/>
  <c r="F408" i="3"/>
  <c r="C408" i="3"/>
  <c r="M407" i="3"/>
  <c r="F407" i="3"/>
  <c r="C407" i="3"/>
  <c r="M406" i="3"/>
  <c r="F406" i="3"/>
  <c r="C406" i="3"/>
  <c r="M405" i="3"/>
  <c r="F405" i="3"/>
  <c r="C405" i="3"/>
  <c r="M404" i="3"/>
  <c r="F404" i="3"/>
  <c r="C404" i="3"/>
  <c r="M403" i="3"/>
  <c r="F403" i="3"/>
  <c r="C403" i="3"/>
  <c r="M402" i="3"/>
  <c r="F402" i="3"/>
  <c r="C402" i="3"/>
  <c r="M401" i="3"/>
  <c r="F401" i="3"/>
  <c r="C401" i="3"/>
  <c r="M400" i="3"/>
  <c r="F400" i="3"/>
  <c r="C400" i="3"/>
  <c r="M399" i="3"/>
  <c r="F399" i="3"/>
  <c r="C399" i="3"/>
  <c r="M398" i="3"/>
  <c r="F398" i="3"/>
  <c r="C398" i="3"/>
  <c r="M397" i="3"/>
  <c r="F397" i="3"/>
  <c r="C397" i="3"/>
  <c r="M396" i="3"/>
  <c r="F396" i="3"/>
  <c r="C396" i="3"/>
  <c r="M395" i="3"/>
  <c r="F395" i="3"/>
  <c r="C395" i="3"/>
  <c r="M394" i="3"/>
  <c r="F394" i="3"/>
  <c r="C394" i="3"/>
  <c r="M393" i="3"/>
  <c r="F393" i="3"/>
  <c r="C393" i="3"/>
  <c r="M392" i="3"/>
  <c r="F392" i="3"/>
  <c r="C392" i="3"/>
  <c r="M391" i="3"/>
  <c r="F391" i="3"/>
  <c r="C391" i="3"/>
  <c r="M390" i="3"/>
  <c r="F390" i="3"/>
  <c r="C390" i="3"/>
  <c r="M389" i="3"/>
  <c r="F389" i="3"/>
  <c r="C389" i="3"/>
  <c r="M388" i="3"/>
  <c r="F388" i="3"/>
  <c r="C388" i="3"/>
  <c r="M387" i="3"/>
  <c r="F387" i="3"/>
  <c r="C387" i="3"/>
  <c r="M386" i="3"/>
  <c r="F386" i="3"/>
  <c r="C386" i="3"/>
  <c r="M385" i="3"/>
  <c r="F385" i="3"/>
  <c r="C385" i="3"/>
  <c r="M384" i="3"/>
  <c r="F384" i="3"/>
  <c r="C384" i="3"/>
  <c r="M383" i="3"/>
  <c r="F383" i="3"/>
  <c r="C383" i="3"/>
  <c r="M382" i="3"/>
  <c r="F382" i="3"/>
  <c r="C382" i="3"/>
  <c r="M381" i="3"/>
  <c r="F381" i="3"/>
  <c r="C381" i="3"/>
  <c r="M380" i="3"/>
  <c r="F380" i="3"/>
  <c r="C380" i="3"/>
  <c r="M379" i="3"/>
  <c r="F379" i="3"/>
  <c r="C379" i="3"/>
  <c r="M378" i="3"/>
  <c r="F378" i="3"/>
  <c r="C378" i="3"/>
  <c r="M377" i="3"/>
  <c r="F377" i="3"/>
  <c r="C377" i="3"/>
  <c r="M376" i="3"/>
  <c r="F376" i="3"/>
  <c r="C376" i="3"/>
  <c r="M375" i="3"/>
  <c r="F375" i="3"/>
  <c r="C375" i="3"/>
  <c r="M374" i="3"/>
  <c r="F374" i="3"/>
  <c r="C374" i="3"/>
  <c r="M373" i="3"/>
  <c r="F373" i="3"/>
  <c r="C373" i="3"/>
  <c r="M372" i="3"/>
  <c r="F372" i="3"/>
  <c r="C372" i="3"/>
  <c r="M371" i="3"/>
  <c r="F371" i="3"/>
  <c r="C371" i="3"/>
  <c r="M370" i="3"/>
  <c r="F370" i="3"/>
  <c r="C370" i="3"/>
  <c r="M369" i="3"/>
  <c r="F369" i="3"/>
  <c r="C369" i="3"/>
  <c r="M368" i="3"/>
  <c r="F368" i="3"/>
  <c r="C368" i="3"/>
  <c r="M367" i="3"/>
  <c r="F367" i="3"/>
  <c r="C367" i="3"/>
  <c r="M366" i="3"/>
  <c r="F366" i="3"/>
  <c r="C366" i="3"/>
  <c r="M365" i="3"/>
  <c r="F365" i="3"/>
  <c r="C365" i="3"/>
  <c r="M364" i="3"/>
  <c r="F364" i="3"/>
  <c r="C364" i="3"/>
  <c r="M363" i="3"/>
  <c r="F363" i="3"/>
  <c r="C363" i="3"/>
  <c r="M362" i="3"/>
  <c r="F362" i="3"/>
  <c r="C362" i="3"/>
  <c r="M361" i="3"/>
  <c r="F361" i="3"/>
  <c r="C361" i="3"/>
  <c r="M360" i="3"/>
  <c r="F360" i="3"/>
  <c r="C360" i="3"/>
  <c r="M359" i="3"/>
  <c r="F359" i="3"/>
  <c r="C359" i="3"/>
  <c r="M358" i="3"/>
  <c r="F358" i="3"/>
  <c r="C358" i="3"/>
  <c r="M357" i="3"/>
  <c r="F357" i="3"/>
  <c r="C357" i="3"/>
  <c r="M356" i="3"/>
  <c r="F356" i="3"/>
  <c r="C356" i="3"/>
  <c r="M355" i="3"/>
  <c r="F355" i="3"/>
  <c r="C355" i="3"/>
  <c r="M354" i="3"/>
  <c r="F354" i="3"/>
  <c r="C354" i="3"/>
  <c r="M353" i="3"/>
  <c r="F353" i="3"/>
  <c r="C353" i="3"/>
  <c r="M352" i="3"/>
  <c r="F352" i="3"/>
  <c r="C352" i="3"/>
  <c r="M351" i="3"/>
  <c r="F351" i="3"/>
  <c r="C351" i="3"/>
  <c r="M350" i="3"/>
  <c r="F350" i="3"/>
  <c r="C350" i="3"/>
  <c r="M349" i="3"/>
  <c r="F349" i="3"/>
  <c r="C349" i="3"/>
  <c r="M348" i="3"/>
  <c r="F348" i="3"/>
  <c r="C348" i="3"/>
  <c r="M347" i="3"/>
  <c r="F347" i="3"/>
  <c r="C347" i="3"/>
  <c r="M346" i="3"/>
  <c r="F346" i="3"/>
  <c r="C346" i="3"/>
  <c r="M345" i="3"/>
  <c r="F345" i="3"/>
  <c r="C345" i="3"/>
  <c r="M344" i="3"/>
  <c r="F344" i="3"/>
  <c r="C344" i="3"/>
  <c r="M343" i="3"/>
  <c r="F343" i="3"/>
  <c r="C343" i="3"/>
  <c r="M342" i="3"/>
  <c r="F342" i="3"/>
  <c r="C342" i="3"/>
  <c r="M341" i="3"/>
  <c r="F341" i="3"/>
  <c r="C341" i="3"/>
  <c r="M340" i="3"/>
  <c r="F340" i="3"/>
  <c r="C340" i="3"/>
  <c r="M339" i="3"/>
  <c r="F339" i="3"/>
  <c r="C339" i="3"/>
  <c r="M338" i="3"/>
  <c r="F338" i="3"/>
  <c r="C338" i="3"/>
  <c r="M337" i="3"/>
  <c r="F337" i="3"/>
  <c r="C337" i="3"/>
  <c r="M336" i="3"/>
  <c r="F336" i="3"/>
  <c r="C336" i="3"/>
  <c r="M335" i="3"/>
  <c r="F335" i="3"/>
  <c r="C335" i="3"/>
  <c r="M334" i="3"/>
  <c r="F334" i="3"/>
  <c r="C334" i="3"/>
  <c r="M333" i="3"/>
  <c r="F333" i="3"/>
  <c r="C333" i="3"/>
  <c r="M332" i="3"/>
  <c r="F332" i="3"/>
  <c r="C332" i="3"/>
  <c r="M331" i="3"/>
  <c r="F331" i="3"/>
  <c r="C331" i="3"/>
  <c r="M330" i="3"/>
  <c r="F330" i="3"/>
  <c r="C330" i="3"/>
  <c r="M329" i="3"/>
  <c r="F329" i="3"/>
  <c r="C329" i="3"/>
  <c r="M328" i="3"/>
  <c r="F328" i="3"/>
  <c r="C328" i="3"/>
  <c r="M327" i="3"/>
  <c r="F327" i="3"/>
  <c r="C327" i="3"/>
  <c r="M326" i="3"/>
  <c r="F326" i="3"/>
  <c r="C326" i="3"/>
  <c r="M325" i="3"/>
  <c r="F325" i="3"/>
  <c r="C325" i="3"/>
  <c r="M324" i="3"/>
  <c r="F324" i="3"/>
  <c r="C324" i="3"/>
  <c r="M323" i="3"/>
  <c r="F323" i="3"/>
  <c r="C323" i="3"/>
  <c r="M322" i="3"/>
  <c r="F322" i="3"/>
  <c r="C322" i="3"/>
  <c r="M321" i="3"/>
  <c r="F321" i="3"/>
  <c r="C321" i="3"/>
  <c r="M320" i="3"/>
  <c r="F320" i="3"/>
  <c r="C320" i="3"/>
  <c r="M319" i="3"/>
  <c r="F319" i="3"/>
  <c r="C319" i="3"/>
  <c r="M318" i="3"/>
  <c r="F318" i="3"/>
  <c r="C318" i="3"/>
  <c r="M317" i="3"/>
  <c r="F317" i="3"/>
  <c r="C317" i="3"/>
  <c r="M316" i="3"/>
  <c r="F316" i="3"/>
  <c r="C316" i="3"/>
  <c r="M315" i="3"/>
  <c r="F315" i="3"/>
  <c r="C315" i="3"/>
  <c r="M314" i="3"/>
  <c r="F314" i="3"/>
  <c r="C314" i="3"/>
  <c r="M313" i="3"/>
  <c r="F313" i="3"/>
  <c r="C313" i="3"/>
  <c r="M312" i="3"/>
  <c r="F312" i="3"/>
  <c r="C312" i="3"/>
  <c r="M311" i="3"/>
  <c r="F311" i="3"/>
  <c r="C311" i="3"/>
  <c r="M310" i="3"/>
  <c r="F310" i="3"/>
  <c r="C310" i="3"/>
  <c r="M309" i="3"/>
  <c r="F309" i="3"/>
  <c r="C309" i="3"/>
  <c r="M308" i="3"/>
  <c r="F308" i="3"/>
  <c r="C308" i="3"/>
  <c r="M307" i="3"/>
  <c r="F307" i="3"/>
  <c r="C307" i="3"/>
  <c r="M306" i="3"/>
  <c r="F306" i="3"/>
  <c r="C306" i="3"/>
  <c r="M305" i="3"/>
  <c r="F305" i="3"/>
  <c r="C305" i="3"/>
  <c r="M304" i="3"/>
  <c r="F304" i="3"/>
  <c r="C304" i="3"/>
  <c r="M303" i="3"/>
  <c r="F303" i="3"/>
  <c r="C303" i="3"/>
  <c r="M302" i="3"/>
  <c r="F302" i="3"/>
  <c r="C302" i="3"/>
  <c r="M301" i="3"/>
  <c r="F301" i="3"/>
  <c r="C301" i="3"/>
  <c r="M300" i="3"/>
  <c r="F300" i="3"/>
  <c r="C300" i="3"/>
  <c r="M299" i="3"/>
  <c r="F299" i="3"/>
  <c r="C299" i="3"/>
  <c r="M298" i="3"/>
  <c r="F298" i="3"/>
  <c r="C298" i="3"/>
  <c r="M297" i="3"/>
  <c r="F297" i="3"/>
  <c r="C297" i="3"/>
  <c r="M296" i="3"/>
  <c r="F296" i="3"/>
  <c r="C296" i="3"/>
  <c r="M295" i="3"/>
  <c r="F295" i="3"/>
  <c r="C295" i="3"/>
  <c r="M294" i="3"/>
  <c r="F294" i="3"/>
  <c r="C294" i="3"/>
  <c r="M293" i="3"/>
  <c r="F293" i="3"/>
  <c r="C293" i="3"/>
  <c r="M292" i="3"/>
  <c r="F292" i="3"/>
  <c r="C292" i="3"/>
  <c r="M291" i="3"/>
  <c r="F291" i="3"/>
  <c r="C291" i="3"/>
  <c r="M290" i="3"/>
  <c r="F290" i="3"/>
  <c r="C290" i="3"/>
  <c r="M289" i="3"/>
  <c r="F289" i="3"/>
  <c r="C289" i="3"/>
  <c r="M288" i="3"/>
  <c r="F288" i="3"/>
  <c r="C288" i="3"/>
  <c r="M287" i="3"/>
  <c r="F287" i="3"/>
  <c r="C287" i="3"/>
  <c r="M286" i="3"/>
  <c r="F286" i="3"/>
  <c r="C286" i="3"/>
  <c r="M285" i="3"/>
  <c r="F285" i="3"/>
  <c r="C285" i="3"/>
  <c r="M284" i="3"/>
  <c r="F284" i="3"/>
  <c r="C284" i="3"/>
  <c r="M283" i="3"/>
  <c r="F283" i="3"/>
  <c r="C283" i="3"/>
  <c r="M282" i="3"/>
  <c r="F282" i="3"/>
  <c r="C282" i="3"/>
  <c r="M281" i="3"/>
  <c r="F281" i="3"/>
  <c r="C281" i="3"/>
  <c r="M280" i="3"/>
  <c r="F280" i="3"/>
  <c r="C280" i="3"/>
  <c r="M279" i="3"/>
  <c r="F279" i="3"/>
  <c r="C279" i="3"/>
  <c r="M278" i="3"/>
  <c r="F278" i="3"/>
  <c r="C278" i="3"/>
  <c r="M277" i="3"/>
  <c r="F277" i="3"/>
  <c r="C277" i="3"/>
  <c r="M276" i="3"/>
  <c r="F276" i="3"/>
  <c r="C276" i="3"/>
  <c r="M275" i="3"/>
  <c r="F275" i="3"/>
  <c r="C275" i="3"/>
  <c r="M274" i="3"/>
  <c r="F274" i="3"/>
  <c r="C274" i="3"/>
  <c r="M273" i="3"/>
  <c r="F273" i="3"/>
  <c r="C273" i="3"/>
  <c r="M272" i="3"/>
  <c r="F272" i="3"/>
  <c r="C272" i="3"/>
  <c r="M271" i="3"/>
  <c r="F271" i="3"/>
  <c r="C271" i="3"/>
  <c r="M270" i="3"/>
  <c r="F270" i="3"/>
  <c r="C270" i="3"/>
  <c r="M269" i="3"/>
  <c r="F269" i="3"/>
  <c r="C269" i="3"/>
  <c r="M268" i="3"/>
  <c r="F268" i="3"/>
  <c r="C268" i="3"/>
  <c r="M267" i="3"/>
  <c r="F267" i="3"/>
  <c r="C267" i="3"/>
  <c r="M266" i="3"/>
  <c r="F266" i="3"/>
  <c r="C266" i="3"/>
  <c r="M265" i="3"/>
  <c r="F265" i="3"/>
  <c r="C265" i="3"/>
  <c r="M264" i="3"/>
  <c r="F264" i="3"/>
  <c r="C264" i="3"/>
  <c r="M263" i="3"/>
  <c r="F263" i="3"/>
  <c r="C263" i="3"/>
  <c r="M262" i="3"/>
  <c r="F262" i="3"/>
  <c r="C262" i="3"/>
  <c r="M261" i="3"/>
  <c r="F261" i="3"/>
  <c r="C261" i="3"/>
  <c r="M260" i="3"/>
  <c r="F260" i="3"/>
  <c r="C260" i="3"/>
  <c r="M259" i="3"/>
  <c r="F259" i="3"/>
  <c r="C259" i="3"/>
  <c r="M258" i="3"/>
  <c r="F258" i="3"/>
  <c r="C258" i="3"/>
  <c r="M257" i="3"/>
  <c r="F257" i="3"/>
  <c r="C257" i="3"/>
  <c r="M256" i="3"/>
  <c r="F256" i="3"/>
  <c r="C256" i="3"/>
  <c r="M255" i="3"/>
  <c r="F255" i="3"/>
  <c r="C255" i="3"/>
  <c r="M254" i="3"/>
  <c r="F254" i="3"/>
  <c r="C254" i="3"/>
  <c r="M253" i="3"/>
  <c r="F253" i="3"/>
  <c r="C253" i="3"/>
  <c r="M252" i="3"/>
  <c r="F252" i="3"/>
  <c r="C252" i="3"/>
  <c r="M251" i="3"/>
  <c r="F251" i="3"/>
  <c r="C251" i="3"/>
  <c r="M250" i="3"/>
  <c r="F250" i="3"/>
  <c r="C250" i="3"/>
  <c r="M249" i="3"/>
  <c r="F249" i="3"/>
  <c r="C249" i="3"/>
  <c r="M248" i="3"/>
  <c r="F248" i="3"/>
  <c r="C248" i="3"/>
  <c r="M247" i="3"/>
  <c r="F247" i="3"/>
  <c r="C247" i="3"/>
  <c r="M246" i="3"/>
  <c r="F246" i="3"/>
  <c r="C246" i="3"/>
  <c r="M245" i="3"/>
  <c r="F245" i="3"/>
  <c r="C245" i="3"/>
  <c r="M244" i="3"/>
  <c r="F244" i="3"/>
  <c r="C244" i="3"/>
  <c r="M243" i="3"/>
  <c r="F243" i="3"/>
  <c r="C243" i="3"/>
  <c r="M242" i="3"/>
  <c r="F242" i="3"/>
  <c r="C242" i="3"/>
  <c r="M241" i="3"/>
  <c r="F241" i="3"/>
  <c r="C241" i="3"/>
  <c r="M240" i="3"/>
  <c r="F240" i="3"/>
  <c r="C240" i="3"/>
  <c r="M239" i="3"/>
  <c r="F239" i="3"/>
  <c r="C239" i="3"/>
  <c r="M238" i="3"/>
  <c r="F238" i="3"/>
  <c r="C238" i="3"/>
  <c r="M237" i="3"/>
  <c r="F237" i="3"/>
  <c r="C237" i="3"/>
  <c r="M236" i="3"/>
  <c r="F236" i="3"/>
  <c r="C236" i="3"/>
  <c r="M235" i="3"/>
  <c r="F235" i="3"/>
  <c r="C235" i="3"/>
  <c r="M234" i="3"/>
  <c r="F234" i="3"/>
  <c r="C234" i="3"/>
  <c r="M233" i="3"/>
  <c r="F233" i="3"/>
  <c r="C233" i="3"/>
  <c r="M232" i="3"/>
  <c r="F232" i="3"/>
  <c r="C232" i="3"/>
  <c r="M231" i="3"/>
  <c r="F231" i="3"/>
  <c r="C231" i="3"/>
  <c r="M230" i="3"/>
  <c r="F230" i="3"/>
  <c r="C230" i="3"/>
  <c r="M229" i="3"/>
  <c r="F229" i="3"/>
  <c r="C229" i="3"/>
  <c r="M228" i="3"/>
  <c r="F228" i="3"/>
  <c r="C228" i="3"/>
  <c r="M227" i="3"/>
  <c r="F227" i="3"/>
  <c r="C227" i="3"/>
  <c r="M226" i="3"/>
  <c r="F226" i="3"/>
  <c r="C226" i="3"/>
  <c r="M225" i="3"/>
  <c r="F225" i="3"/>
  <c r="C225" i="3"/>
  <c r="M224" i="3"/>
  <c r="F224" i="3"/>
  <c r="C224" i="3"/>
  <c r="M223" i="3"/>
  <c r="F223" i="3"/>
  <c r="C223" i="3"/>
  <c r="M222" i="3"/>
  <c r="F222" i="3"/>
  <c r="C222" i="3"/>
  <c r="M221" i="3"/>
  <c r="F221" i="3"/>
  <c r="C221" i="3"/>
  <c r="M220" i="3"/>
  <c r="F220" i="3"/>
  <c r="C220" i="3"/>
  <c r="M219" i="3"/>
  <c r="F219" i="3"/>
  <c r="C219" i="3"/>
  <c r="M218" i="3"/>
  <c r="F218" i="3"/>
  <c r="C218" i="3"/>
  <c r="M217" i="3"/>
  <c r="F217" i="3"/>
  <c r="C217" i="3"/>
  <c r="M216" i="3"/>
  <c r="F216" i="3"/>
  <c r="C216" i="3"/>
  <c r="M215" i="3"/>
  <c r="F215" i="3"/>
  <c r="C215" i="3"/>
  <c r="M214" i="3"/>
  <c r="F214" i="3"/>
  <c r="C214" i="3"/>
  <c r="M213" i="3"/>
  <c r="F213" i="3"/>
  <c r="C213" i="3"/>
  <c r="M212" i="3"/>
  <c r="F212" i="3"/>
  <c r="C212" i="3"/>
  <c r="M211" i="3"/>
  <c r="F211" i="3"/>
  <c r="C211" i="3"/>
  <c r="M210" i="3"/>
  <c r="F210" i="3"/>
  <c r="C210" i="3"/>
  <c r="M209" i="3"/>
  <c r="F209" i="3"/>
  <c r="C209" i="3"/>
  <c r="M208" i="3"/>
  <c r="F208" i="3"/>
  <c r="C208" i="3"/>
  <c r="M207" i="3"/>
  <c r="F207" i="3"/>
  <c r="C207" i="3"/>
  <c r="M206" i="3"/>
  <c r="F206" i="3"/>
  <c r="C206" i="3"/>
  <c r="M205" i="3"/>
  <c r="F205" i="3"/>
  <c r="C205" i="3"/>
  <c r="M204" i="3"/>
  <c r="F204" i="3"/>
  <c r="C204" i="3"/>
  <c r="M203" i="3"/>
  <c r="F203" i="3"/>
  <c r="C203" i="3"/>
  <c r="M202" i="3"/>
  <c r="F202" i="3"/>
  <c r="C202" i="3"/>
  <c r="M201" i="3"/>
  <c r="F201" i="3"/>
  <c r="C201" i="3"/>
  <c r="M200" i="3"/>
  <c r="F200" i="3"/>
  <c r="C200" i="3"/>
  <c r="M199" i="3"/>
  <c r="F199" i="3"/>
  <c r="C199" i="3"/>
  <c r="M198" i="3"/>
  <c r="F198" i="3"/>
  <c r="C198" i="3"/>
  <c r="M197" i="3"/>
  <c r="F197" i="3"/>
  <c r="C197" i="3"/>
  <c r="M196" i="3"/>
  <c r="F196" i="3"/>
  <c r="C196" i="3"/>
  <c r="M195" i="3"/>
  <c r="F195" i="3"/>
  <c r="C195" i="3"/>
  <c r="M194" i="3"/>
  <c r="F194" i="3"/>
  <c r="C194" i="3"/>
  <c r="M193" i="3"/>
  <c r="F193" i="3"/>
  <c r="C193" i="3"/>
  <c r="M192" i="3"/>
  <c r="F192" i="3"/>
  <c r="C192" i="3"/>
  <c r="M191" i="3"/>
  <c r="F191" i="3"/>
  <c r="C191" i="3"/>
  <c r="M190" i="3"/>
  <c r="F190" i="3"/>
  <c r="C190" i="3"/>
  <c r="M189" i="3"/>
  <c r="F189" i="3"/>
  <c r="C189" i="3"/>
  <c r="M188" i="3"/>
  <c r="F188" i="3"/>
  <c r="C188" i="3"/>
  <c r="M187" i="3"/>
  <c r="F187" i="3"/>
  <c r="C187" i="3"/>
  <c r="M186" i="3"/>
  <c r="F186" i="3"/>
  <c r="C186" i="3"/>
  <c r="M185" i="3"/>
  <c r="F185" i="3"/>
  <c r="C185" i="3"/>
  <c r="M184" i="3"/>
  <c r="F184" i="3"/>
  <c r="C184" i="3"/>
  <c r="M183" i="3"/>
  <c r="F183" i="3"/>
  <c r="C183" i="3"/>
  <c r="M182" i="3"/>
  <c r="F182" i="3"/>
  <c r="C182" i="3"/>
  <c r="M181" i="3"/>
  <c r="F181" i="3"/>
  <c r="C181" i="3"/>
  <c r="M180" i="3"/>
  <c r="F180" i="3"/>
  <c r="C180" i="3"/>
  <c r="M179" i="3"/>
  <c r="F179" i="3"/>
  <c r="C179" i="3"/>
  <c r="M178" i="3"/>
  <c r="F178" i="3"/>
  <c r="C178" i="3"/>
  <c r="M177" i="3"/>
  <c r="F177" i="3"/>
  <c r="C177" i="3"/>
  <c r="M176" i="3"/>
  <c r="F176" i="3"/>
  <c r="C176" i="3"/>
  <c r="M175" i="3"/>
  <c r="F175" i="3"/>
  <c r="C175" i="3"/>
  <c r="M174" i="3"/>
  <c r="F174" i="3"/>
  <c r="C174" i="3"/>
  <c r="M173" i="3"/>
  <c r="F173" i="3"/>
  <c r="C173" i="3"/>
  <c r="M172" i="3"/>
  <c r="F172" i="3"/>
  <c r="C172" i="3"/>
  <c r="M171" i="3"/>
  <c r="F171" i="3"/>
  <c r="C171" i="3"/>
  <c r="M170" i="3"/>
  <c r="F170" i="3"/>
  <c r="C170" i="3"/>
  <c r="M169" i="3"/>
  <c r="F169" i="3"/>
  <c r="C169" i="3"/>
  <c r="M168" i="3"/>
  <c r="F168" i="3"/>
  <c r="C168" i="3"/>
  <c r="M167" i="3"/>
  <c r="F167" i="3"/>
  <c r="C167" i="3"/>
  <c r="M166" i="3"/>
  <c r="F166" i="3"/>
  <c r="C166" i="3"/>
  <c r="M165" i="3"/>
  <c r="F165" i="3"/>
  <c r="C165" i="3"/>
  <c r="M164" i="3"/>
  <c r="F164" i="3"/>
  <c r="C164" i="3"/>
  <c r="M163" i="3"/>
  <c r="F163" i="3"/>
  <c r="C163" i="3"/>
  <c r="M162" i="3"/>
  <c r="F162" i="3"/>
  <c r="C162" i="3"/>
  <c r="M161" i="3"/>
  <c r="F161" i="3"/>
  <c r="C161" i="3"/>
  <c r="M160" i="3"/>
  <c r="F160" i="3"/>
  <c r="C160" i="3"/>
  <c r="M159" i="3"/>
  <c r="F159" i="3"/>
  <c r="C159" i="3"/>
  <c r="M158" i="3"/>
  <c r="F158" i="3"/>
  <c r="C158" i="3"/>
  <c r="M157" i="3"/>
  <c r="F157" i="3"/>
  <c r="C157" i="3"/>
  <c r="M156" i="3"/>
  <c r="F156" i="3"/>
  <c r="C156" i="3"/>
  <c r="M155" i="3"/>
  <c r="F155" i="3"/>
  <c r="C155" i="3"/>
  <c r="M154" i="3"/>
  <c r="F154" i="3"/>
  <c r="C154" i="3"/>
  <c r="M153" i="3"/>
  <c r="F153" i="3"/>
  <c r="C153" i="3"/>
  <c r="M152" i="3"/>
  <c r="F152" i="3"/>
  <c r="C152" i="3"/>
  <c r="M151" i="3"/>
  <c r="F151" i="3"/>
  <c r="C151" i="3"/>
  <c r="M150" i="3"/>
  <c r="F150" i="3"/>
  <c r="C150" i="3"/>
  <c r="M149" i="3"/>
  <c r="F149" i="3"/>
  <c r="C149" i="3"/>
  <c r="M148" i="3"/>
  <c r="F148" i="3"/>
  <c r="C148" i="3"/>
  <c r="M147" i="3"/>
  <c r="F147" i="3"/>
  <c r="C147" i="3"/>
  <c r="M146" i="3"/>
  <c r="F146" i="3"/>
  <c r="C146" i="3"/>
  <c r="M145" i="3"/>
  <c r="F145" i="3"/>
  <c r="C145" i="3"/>
  <c r="M144" i="3"/>
  <c r="F144" i="3"/>
  <c r="C144" i="3"/>
  <c r="M143" i="3"/>
  <c r="F143" i="3"/>
  <c r="C143" i="3"/>
  <c r="M142" i="3"/>
  <c r="F142" i="3"/>
  <c r="C142" i="3"/>
  <c r="M141" i="3"/>
  <c r="F141" i="3"/>
  <c r="C141" i="3"/>
  <c r="M140" i="3"/>
  <c r="F140" i="3"/>
  <c r="C140" i="3"/>
  <c r="M139" i="3"/>
  <c r="F139" i="3"/>
  <c r="C139" i="3"/>
  <c r="M138" i="3"/>
  <c r="F138" i="3"/>
  <c r="C138" i="3"/>
  <c r="M137" i="3"/>
  <c r="F137" i="3"/>
  <c r="C137" i="3"/>
  <c r="M136" i="3"/>
  <c r="F136" i="3"/>
  <c r="C136" i="3"/>
  <c r="M135" i="3"/>
  <c r="F135" i="3"/>
  <c r="C135" i="3"/>
  <c r="M134" i="3"/>
  <c r="F134" i="3"/>
  <c r="C134" i="3"/>
  <c r="M133" i="3"/>
  <c r="F133" i="3"/>
  <c r="C133" i="3"/>
  <c r="M132" i="3"/>
  <c r="F132" i="3"/>
  <c r="C132" i="3"/>
  <c r="M131" i="3"/>
  <c r="F131" i="3"/>
  <c r="C131" i="3"/>
  <c r="M130" i="3"/>
  <c r="F130" i="3"/>
  <c r="C130" i="3"/>
  <c r="M129" i="3"/>
  <c r="F129" i="3"/>
  <c r="C129" i="3"/>
  <c r="M128" i="3"/>
  <c r="F128" i="3"/>
  <c r="C128" i="3"/>
  <c r="M127" i="3"/>
  <c r="F127" i="3"/>
  <c r="C127" i="3"/>
  <c r="M126" i="3"/>
  <c r="F126" i="3"/>
  <c r="C126" i="3"/>
  <c r="M125" i="3"/>
  <c r="F125" i="3"/>
  <c r="C125" i="3"/>
  <c r="M124" i="3"/>
  <c r="F124" i="3"/>
  <c r="C124" i="3"/>
  <c r="M123" i="3"/>
  <c r="F123" i="3"/>
  <c r="C123" i="3"/>
  <c r="M122" i="3"/>
  <c r="F122" i="3"/>
  <c r="C122" i="3"/>
  <c r="M121" i="3"/>
  <c r="F121" i="3"/>
  <c r="C121" i="3"/>
  <c r="M120" i="3"/>
  <c r="F120" i="3"/>
  <c r="C120" i="3"/>
  <c r="M119" i="3"/>
  <c r="F119" i="3"/>
  <c r="C119" i="3"/>
  <c r="M118" i="3"/>
  <c r="F118" i="3"/>
  <c r="C118" i="3"/>
  <c r="M117" i="3"/>
  <c r="F117" i="3"/>
  <c r="C117" i="3"/>
  <c r="M116" i="3"/>
  <c r="F116" i="3"/>
  <c r="C116" i="3"/>
  <c r="M115" i="3"/>
  <c r="F115" i="3"/>
  <c r="C115" i="3"/>
  <c r="M114" i="3"/>
  <c r="F114" i="3"/>
  <c r="C114" i="3"/>
  <c r="M113" i="3"/>
  <c r="F113" i="3"/>
  <c r="C113" i="3"/>
  <c r="M112" i="3"/>
  <c r="F112" i="3"/>
  <c r="C112" i="3"/>
  <c r="M111" i="3"/>
  <c r="F111" i="3"/>
  <c r="C111" i="3"/>
  <c r="M110" i="3"/>
  <c r="F110" i="3"/>
  <c r="C110" i="3"/>
  <c r="M109" i="3"/>
  <c r="F109" i="3"/>
  <c r="C109" i="3"/>
  <c r="M108" i="3"/>
  <c r="F108" i="3"/>
  <c r="C108" i="3"/>
  <c r="M107" i="3"/>
  <c r="F107" i="3"/>
  <c r="C107" i="3"/>
  <c r="M106" i="3"/>
  <c r="F106" i="3"/>
  <c r="C106" i="3"/>
  <c r="M105" i="3"/>
  <c r="F105" i="3"/>
  <c r="C105" i="3"/>
  <c r="M104" i="3"/>
  <c r="F104" i="3"/>
  <c r="C104" i="3"/>
  <c r="M103" i="3"/>
  <c r="F103" i="3"/>
  <c r="C103" i="3"/>
  <c r="M102" i="3"/>
  <c r="F102" i="3"/>
  <c r="C102" i="3"/>
  <c r="M101" i="3"/>
  <c r="F101" i="3"/>
  <c r="C101" i="3"/>
  <c r="M100" i="3"/>
  <c r="F100" i="3"/>
  <c r="C100" i="3"/>
  <c r="M99" i="3"/>
  <c r="F99" i="3"/>
  <c r="C99" i="3"/>
  <c r="M98" i="3"/>
  <c r="F98" i="3"/>
  <c r="C98" i="3"/>
  <c r="M97" i="3"/>
  <c r="F97" i="3"/>
  <c r="C97" i="3"/>
  <c r="M96" i="3"/>
  <c r="F96" i="3"/>
  <c r="C96" i="3"/>
  <c r="M95" i="3"/>
  <c r="F95" i="3"/>
  <c r="C95" i="3"/>
  <c r="M94" i="3"/>
  <c r="F94" i="3"/>
  <c r="C94" i="3"/>
  <c r="M93" i="3"/>
  <c r="F93" i="3"/>
  <c r="C93" i="3"/>
  <c r="M92" i="3"/>
  <c r="F92" i="3"/>
  <c r="C92" i="3"/>
  <c r="M91" i="3"/>
  <c r="F91" i="3"/>
  <c r="C91" i="3"/>
  <c r="M90" i="3"/>
  <c r="F90" i="3"/>
  <c r="C90" i="3"/>
  <c r="M89" i="3"/>
  <c r="F89" i="3"/>
  <c r="C89" i="3"/>
  <c r="M88" i="3"/>
  <c r="F88" i="3"/>
  <c r="C88" i="3"/>
  <c r="M87" i="3"/>
  <c r="F87" i="3"/>
  <c r="C87" i="3"/>
  <c r="M86" i="3"/>
  <c r="F86" i="3"/>
  <c r="C86" i="3"/>
  <c r="M85" i="3"/>
  <c r="F85" i="3"/>
  <c r="C85" i="3"/>
  <c r="M84" i="3"/>
  <c r="F84" i="3"/>
  <c r="C84" i="3"/>
  <c r="M83" i="3"/>
  <c r="F83" i="3"/>
  <c r="C83" i="3"/>
  <c r="M82" i="3"/>
  <c r="F82" i="3"/>
  <c r="C82" i="3"/>
  <c r="M81" i="3"/>
  <c r="F81" i="3"/>
  <c r="C81" i="3"/>
  <c r="M80" i="3"/>
  <c r="F80" i="3"/>
  <c r="C80" i="3"/>
  <c r="M79" i="3"/>
  <c r="F79" i="3"/>
  <c r="C79" i="3"/>
  <c r="M78" i="3"/>
  <c r="F78" i="3"/>
  <c r="C78" i="3"/>
  <c r="M77" i="3"/>
  <c r="F77" i="3"/>
  <c r="C77" i="3"/>
  <c r="M76" i="3"/>
  <c r="F76" i="3"/>
  <c r="C76" i="3"/>
  <c r="M75" i="3"/>
  <c r="F75" i="3"/>
  <c r="C75" i="3"/>
  <c r="M74" i="3"/>
  <c r="F74" i="3"/>
  <c r="C74" i="3"/>
  <c r="M73" i="3"/>
  <c r="F73" i="3"/>
  <c r="C73" i="3"/>
  <c r="M72" i="3"/>
  <c r="F72" i="3"/>
  <c r="C72" i="3"/>
  <c r="M71" i="3"/>
  <c r="F71" i="3"/>
  <c r="C71" i="3"/>
  <c r="M70" i="3"/>
  <c r="F70" i="3"/>
  <c r="C70" i="3"/>
  <c r="M69" i="3"/>
  <c r="F69" i="3"/>
  <c r="C69" i="3"/>
  <c r="M68" i="3"/>
  <c r="F68" i="3"/>
  <c r="C68" i="3"/>
  <c r="M67" i="3"/>
  <c r="F67" i="3"/>
  <c r="C67" i="3"/>
  <c r="M66" i="3"/>
  <c r="F66" i="3"/>
  <c r="C66" i="3"/>
  <c r="M65" i="3"/>
  <c r="F65" i="3"/>
  <c r="C65" i="3"/>
  <c r="M64" i="3"/>
  <c r="F64" i="3"/>
  <c r="C64" i="3"/>
  <c r="M63" i="3"/>
  <c r="F63" i="3"/>
  <c r="C63" i="3"/>
  <c r="M62" i="3"/>
  <c r="F62" i="3"/>
  <c r="C62" i="3"/>
  <c r="M61" i="3"/>
  <c r="F61" i="3"/>
  <c r="C61" i="3"/>
  <c r="M60" i="3"/>
  <c r="F60" i="3"/>
  <c r="C60" i="3"/>
  <c r="M59" i="3"/>
  <c r="F59" i="3"/>
  <c r="C59" i="3"/>
  <c r="M58" i="3"/>
  <c r="F58" i="3"/>
  <c r="C58" i="3"/>
  <c r="M57" i="3"/>
  <c r="F57" i="3"/>
  <c r="C57" i="3"/>
  <c r="M56" i="3"/>
  <c r="F56" i="3"/>
  <c r="C56" i="3"/>
  <c r="M55" i="3"/>
  <c r="F55" i="3"/>
  <c r="C55" i="3"/>
  <c r="M54" i="3"/>
  <c r="F54" i="3"/>
  <c r="C54" i="3"/>
  <c r="M53" i="3"/>
  <c r="F53" i="3"/>
  <c r="C53" i="3"/>
  <c r="M52" i="3"/>
  <c r="F52" i="3"/>
  <c r="C52" i="3"/>
  <c r="M51" i="3"/>
  <c r="F51" i="3"/>
  <c r="C51" i="3"/>
  <c r="M50" i="3"/>
  <c r="F50" i="3"/>
  <c r="C50" i="3"/>
  <c r="M49" i="3"/>
  <c r="F49" i="3"/>
  <c r="C49" i="3"/>
  <c r="M48" i="3"/>
  <c r="F48" i="3"/>
  <c r="C48" i="3"/>
  <c r="M47" i="3"/>
  <c r="F47" i="3"/>
  <c r="C47" i="3"/>
  <c r="M46" i="3"/>
  <c r="F46" i="3"/>
  <c r="C46" i="3"/>
  <c r="M45" i="3"/>
  <c r="F45" i="3"/>
  <c r="C45" i="3"/>
  <c r="M44" i="3"/>
  <c r="F44" i="3"/>
  <c r="C44" i="3"/>
  <c r="M43" i="3"/>
  <c r="F43" i="3"/>
  <c r="C43" i="3"/>
  <c r="M42" i="3"/>
  <c r="F42" i="3"/>
  <c r="C42" i="3"/>
  <c r="M41" i="3"/>
  <c r="F41" i="3"/>
  <c r="C41" i="3"/>
  <c r="M40" i="3"/>
  <c r="F40" i="3"/>
  <c r="C40" i="3"/>
  <c r="M39" i="3"/>
  <c r="F39" i="3"/>
  <c r="C39" i="3"/>
  <c r="M38" i="3"/>
  <c r="F38" i="3"/>
  <c r="C38" i="3"/>
  <c r="M37" i="3"/>
  <c r="F37" i="3"/>
  <c r="C37" i="3"/>
  <c r="M36" i="3"/>
  <c r="F36" i="3"/>
  <c r="C36" i="3"/>
  <c r="M35" i="3"/>
  <c r="F35" i="3"/>
  <c r="C35" i="3"/>
  <c r="M34" i="3"/>
  <c r="F34" i="3"/>
  <c r="C34" i="3"/>
  <c r="M33" i="3"/>
  <c r="F33" i="3"/>
  <c r="C33" i="3"/>
  <c r="M32" i="3"/>
  <c r="F32" i="3"/>
  <c r="C32" i="3"/>
  <c r="M31" i="3"/>
  <c r="F31" i="3"/>
  <c r="C31" i="3"/>
  <c r="M30" i="3"/>
  <c r="F30" i="3"/>
  <c r="C30" i="3"/>
  <c r="M29" i="3"/>
  <c r="F29" i="3"/>
  <c r="C29" i="3"/>
  <c r="M28" i="3"/>
  <c r="F28" i="3"/>
  <c r="C28" i="3"/>
  <c r="M27" i="3"/>
  <c r="F27" i="3"/>
  <c r="C27" i="3"/>
  <c r="M26" i="3"/>
  <c r="F26" i="3"/>
  <c r="C26" i="3"/>
  <c r="M25" i="3"/>
  <c r="F25" i="3"/>
  <c r="C25" i="3"/>
  <c r="M24" i="3"/>
  <c r="F24" i="3"/>
  <c r="C24" i="3"/>
  <c r="M23" i="3"/>
  <c r="F23" i="3"/>
  <c r="C23" i="3"/>
  <c r="M22" i="3"/>
  <c r="F22" i="3"/>
  <c r="C22" i="3"/>
  <c r="M21" i="3"/>
  <c r="F21" i="3"/>
  <c r="C21" i="3"/>
  <c r="M20" i="3"/>
  <c r="F20" i="3"/>
  <c r="C20" i="3"/>
  <c r="M19" i="3"/>
  <c r="F19" i="3"/>
  <c r="C19" i="3"/>
  <c r="M18" i="3"/>
  <c r="F18" i="3"/>
  <c r="C18" i="3"/>
  <c r="M17" i="3"/>
  <c r="F17" i="3"/>
  <c r="C17" i="3"/>
  <c r="M16" i="3"/>
  <c r="F16" i="3"/>
  <c r="C16" i="3"/>
  <c r="M15" i="3"/>
  <c r="F15" i="3"/>
  <c r="C15" i="3"/>
  <c r="M14" i="3"/>
  <c r="F14" i="3"/>
  <c r="C14" i="3"/>
  <c r="M13" i="3"/>
  <c r="F13" i="3"/>
  <c r="C13" i="3"/>
  <c r="M12" i="3"/>
  <c r="F12" i="3"/>
  <c r="C12" i="3"/>
  <c r="M11" i="3"/>
  <c r="F11" i="3"/>
  <c r="C11" i="3"/>
  <c r="M10" i="3"/>
  <c r="F10" i="3"/>
  <c r="C10" i="3"/>
  <c r="M9" i="3"/>
  <c r="F9" i="3"/>
  <c r="C9" i="3"/>
  <c r="M8" i="3"/>
  <c r="F8" i="3"/>
  <c r="C8" i="3"/>
  <c r="M7" i="3"/>
  <c r="F7" i="3"/>
  <c r="C7" i="3"/>
  <c r="M6" i="3"/>
  <c r="F6" i="3"/>
  <c r="C6" i="3"/>
  <c r="M5" i="3"/>
  <c r="F5" i="3"/>
  <c r="C5" i="3"/>
  <c r="M4" i="3"/>
  <c r="F4" i="3"/>
  <c r="C4" i="3"/>
  <c r="M3" i="3"/>
  <c r="F3" i="3"/>
  <c r="C3" i="3"/>
  <c r="M2" i="3"/>
  <c r="F2" i="3"/>
  <c r="N8" i="4" s="1"/>
  <c r="C2" i="3"/>
  <c r="N15" i="2"/>
  <c r="L15" i="2"/>
  <c r="M15" i="2" s="1"/>
  <c r="N14" i="2"/>
  <c r="O14" i="2" s="1"/>
  <c r="L14" i="2"/>
  <c r="M14" i="2" s="1"/>
  <c r="N13" i="2"/>
  <c r="L13" i="2"/>
  <c r="M13" i="2" s="1"/>
  <c r="N12" i="2"/>
  <c r="O12" i="2" s="1"/>
  <c r="L12" i="2"/>
  <c r="M12" i="2" s="1"/>
  <c r="N11" i="2"/>
  <c r="L11" i="2"/>
  <c r="M11" i="2" s="1"/>
  <c r="N10" i="2"/>
  <c r="O10" i="2" s="1"/>
  <c r="L10" i="2"/>
  <c r="M10" i="2" s="1"/>
  <c r="N9" i="2"/>
  <c r="L9" i="2"/>
  <c r="M9" i="2" s="1"/>
  <c r="N8" i="2"/>
  <c r="O8" i="2" s="1"/>
  <c r="L8" i="2"/>
  <c r="M8" i="2" s="1"/>
  <c r="N7" i="2"/>
  <c r="L7" i="2"/>
  <c r="M7" i="2" s="1"/>
  <c r="N6" i="2"/>
  <c r="O6" i="2" s="1"/>
  <c r="L6" i="2"/>
  <c r="M6" i="2" s="1"/>
  <c r="N5" i="2"/>
  <c r="L5" i="2"/>
  <c r="M5" i="2" s="1"/>
  <c r="F5" i="4" l="1"/>
  <c r="G4" i="4"/>
  <c r="M9" i="4"/>
  <c r="O5" i="2"/>
  <c r="O7" i="2"/>
  <c r="O9" i="2"/>
  <c r="O11" i="2"/>
  <c r="O13" i="2"/>
  <c r="O15" i="2"/>
  <c r="C4" i="4"/>
  <c r="K4" i="4"/>
  <c r="B5" i="4"/>
  <c r="J5" i="4"/>
  <c r="N5" i="4"/>
  <c r="E6" i="4"/>
  <c r="I6" i="4"/>
  <c r="M6" i="4"/>
  <c r="D7" i="4"/>
  <c r="H7" i="4"/>
  <c r="L7" i="4"/>
  <c r="C8" i="4"/>
  <c r="G8" i="4"/>
  <c r="K8" i="4"/>
  <c r="B9" i="4"/>
  <c r="F9" i="4"/>
  <c r="J9" i="4"/>
  <c r="D4" i="4"/>
  <c r="H4" i="4"/>
  <c r="L4" i="4"/>
  <c r="C5" i="4"/>
  <c r="G5" i="4"/>
  <c r="K5" i="4"/>
  <c r="B6" i="4"/>
  <c r="F6" i="4"/>
  <c r="J6" i="4"/>
  <c r="N6" i="4"/>
  <c r="E7" i="4"/>
  <c r="I7" i="4"/>
  <c r="M7" i="4"/>
  <c r="D8" i="4"/>
  <c r="H8" i="4"/>
  <c r="L8" i="4"/>
  <c r="C9" i="4"/>
  <c r="G9" i="4"/>
  <c r="K9" i="4"/>
  <c r="E4" i="4"/>
  <c r="I4" i="4"/>
  <c r="M4" i="4"/>
  <c r="D5" i="4"/>
  <c r="H5" i="4"/>
  <c r="L5" i="4"/>
  <c r="C6" i="4"/>
  <c r="G6" i="4"/>
  <c r="K6" i="4"/>
  <c r="B7" i="4"/>
  <c r="F7" i="4"/>
  <c r="J7" i="4"/>
  <c r="N7" i="4"/>
  <c r="E8" i="4"/>
  <c r="I8" i="4"/>
  <c r="M8" i="4"/>
  <c r="D9" i="4"/>
  <c r="H9" i="4"/>
  <c r="L9" i="4"/>
  <c r="B4" i="4"/>
  <c r="F4" i="4"/>
  <c r="J4" i="4"/>
  <c r="N4" i="4"/>
  <c r="E5" i="4"/>
  <c r="I5" i="4"/>
  <c r="M5" i="4"/>
  <c r="D6" i="4"/>
  <c r="H6" i="4"/>
  <c r="L6" i="4"/>
  <c r="C7" i="4"/>
  <c r="G7" i="4"/>
  <c r="K7" i="4"/>
  <c r="B8" i="4"/>
  <c r="F8" i="4"/>
  <c r="J8" i="4"/>
  <c r="E9" i="4"/>
  <c r="I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Ponto de controlo.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Categoria de inspeção.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Área/processo.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O que verificar?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Quando está OK? (critério objetivo)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Como verificar.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Quem verifica.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Aspeto controlado.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Requisito.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Ponto da checklist da Atividade 4.3.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N.º de verificações em 2026.
[calculado]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% conforme em 2026.
[calculado]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% conforme nas últimas 8 semanas.
[calculado]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Comparação últimas 8 semanas vs ano.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Ronda (semana).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Data da ronda.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Mês AAAAMM (chave numérica para agregação, independente do idioma do Excel).
[calculado]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Turno em que foi feita.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Ponto verificado.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Categoria do ponto.
[calculado]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Conforme / Não conforme / Não aplicável.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Descrição do desvio.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Ação no momento.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NC aberta.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Ficheiro de fotografia.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Quem fez a ronda.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1 = não conforme (variável alvo para modelos).
[calculado]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Ordem de trabalho.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Data da intervenção.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Equipamento.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Descrição do equipamento.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Tipo de intervenção.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Trabalho realizado.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Interno ou empresa externa.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Empresa e certificação (F-gas: técnico certificado obrigatório).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Resultado.</t>
        </r>
      </text>
    </comment>
    <comment ref="J4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Se foi detetada fuga (gás, ar, óleo).</t>
        </r>
      </text>
    </comment>
    <comment ref="K4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Gás fluorado recarregado (kg).</t>
        </r>
      </text>
    </comment>
    <comment ref="L4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Horas de trabalho.</t>
        </r>
      </text>
    </comment>
    <comment ref="M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Custo.</t>
        </r>
      </text>
    </comment>
    <comment ref="N4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Requisito legal associado.</t>
        </r>
      </text>
    </comment>
    <comment ref="O4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Incidente associado.</t>
        </r>
      </text>
    </comment>
    <comment ref="P4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Emissão equivalente da recarga (R410A, GWP 2.088).
[calculado]</t>
        </r>
      </text>
    </comment>
    <comment ref="Q4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Próxima intervenção periódica (F-gas e desinfeção 6 meses; preventiva 3; inspeção 12).
[calculado]</t>
        </r>
      </text>
    </comment>
  </commentList>
</comments>
</file>

<file path=xl/sharedStrings.xml><?xml version="1.0" encoding="utf-8"?>
<sst xmlns="http://schemas.openxmlformats.org/spreadsheetml/2006/main" count="3006" uniqueCount="562">
  <si>
    <t>RG-SGA-10 — Controlo Operacional — Checklist de Supervisão e Registo de Rondas Ambientais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</si>
  <si>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</si>
  <si>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</si>
  <si>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</si>
  <si>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RG-SGA-10</t>
  </si>
  <si>
    <t>Título</t>
  </si>
  <si>
    <t>Controlo Operacional — Checklist de Supervisão e Registo de Rondas Ambientais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</si>
  <si>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</si>
  <si>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</si>
  <si>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</si>
  <si>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</si>
  <si>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</si>
  <si>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</si>
  <si>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</si>
  <si>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</si>
  <si>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</si>
  <si>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</si>
  <si>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</si>
  <si>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</si>
  <si>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</si>
  <si>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</si>
  <si>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</si>
  <si>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Definir os pontos de controlo com critério de aceitação objetivo (quando está OK?) e registar cada ronda ponto a ponto, com evidência e ligação às NC. O histórico semanal de 2026 permite medir a taxa de conformidade por ponto, área e mês e prever onde os desvios vão ocorrer.</t>
  </si>
  <si>
    <t>Atividades do curso</t>
  </si>
  <si>
    <t>Atividade 4.3 — Criação de Checklist de Supervisão Operacional (Ronda Ambiental): 4 categorias × 2 pontos de controlo (+ 2 pontos extra).</t>
  </si>
  <si>
    <t>Requisitos ISO 14001:2026</t>
  </si>
  <si>
    <t>8.1 Planeamento e controlo operacional; 8.2 (meios de emergência); 9.1.1 (monitorização)</t>
  </si>
  <si>
    <t>ESTRUTURA DO FICHEIRO</t>
  </si>
  <si>
    <t>Pontos_Controlo</t>
  </si>
  <si>
    <t>Checklist de supervisão: pontos de controlo e critérios de aceitação, com desempenho calculado.</t>
  </si>
  <si>
    <t>Execucao_Rondas</t>
  </si>
  <si>
    <t>Registo das rondas (1 linha por ronda × ponto) — série temporal para análise.</t>
  </si>
  <si>
    <t>Indicadores_Mensais</t>
  </si>
  <si>
    <t>Taxa de conformidade mensal por categoria (calculada) — KPI-10.</t>
  </si>
  <si>
    <t>Checklist_Ronda_Impressao</t>
  </si>
  <si>
    <t>Checklist de ronda para imprimir e levar para o terreno (pontos e critérios calculados a partir da tabela).</t>
  </si>
  <si>
    <t>Manutencao_Ambiental</t>
  </si>
  <si>
    <t>Manutenção de equipamentos com relevância ambiental: controlo de fugas F-gas, torre (Legionella), compressores, exaustão, meios de emergência (7.1, 8.1).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</si>
  <si>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</si>
  <si>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</si>
  <si>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</si>
  <si>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</si>
  <si>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</si>
  <si>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</si>
  <si>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</si>
  <si>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</si>
  <si>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</si>
  <si>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</si>
  <si>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</si>
  <si>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</si>
  <si>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</si>
  <si>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</si>
  <si>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</si>
  <si>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</si>
  <si>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</si>
  <si>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</si>
  <si>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RG-SGA-03 Aspetos</t>
  </si>
  <si>
    <t>ID_Aspeto: aspeto que o ponto controla.</t>
  </si>
  <si>
    <t>RG-SGA-07 NC</t>
  </si>
  <si>
    <t>ID_NC: não conformidade aberta a partir da ronda.</t>
  </si>
  <si>
    <t>CHECKLIST DE SUPERVISÃO OPERACIONAL (RONDA AMBIENTAL) — PLASTICOM</t>
  </si>
  <si>
    <t>Categoria → Ponto de controlo (o que verificar?) → Critério de aceitação (quando está OK?) · Desempenho calculado a partir das rondas de 2026</t>
  </si>
  <si>
    <t>ID_Ponto</t>
  </si>
  <si>
    <t>Categoria</t>
  </si>
  <si>
    <t>Area</t>
  </si>
  <si>
    <t>Ponto_Controlo</t>
  </si>
  <si>
    <t>Criterio_Aceitacao</t>
  </si>
  <si>
    <t>Metodo</t>
  </si>
  <si>
    <t>Frequencia</t>
  </si>
  <si>
    <t>Responsavel</t>
  </si>
  <si>
    <t>ID_Aspeto</t>
  </si>
  <si>
    <t>Clausula</t>
  </si>
  <si>
    <t>Selecionado_Atv_4_3</t>
  </si>
  <si>
    <t>N_Verificacoes</t>
  </si>
  <si>
    <t>Taxa_Conformidade</t>
  </si>
  <si>
    <t>Taxa_Ultimas_8</t>
  </si>
  <si>
    <t>Tendencia</t>
  </si>
  <si>
    <t>RON-01</t>
  </si>
  <si>
    <t>1. Gestão de Produtos Químicos</t>
  </si>
  <si>
    <t>SER</t>
  </si>
  <si>
    <t>Recipientes de tinta e solvente no posto de serigrafia.</t>
  </si>
  <si>
    <t>Todos os recipientes fechados quando não estão em uso imediato; rótulo CLP legível; solvente só em dispensador de segurança.</t>
  </si>
  <si>
    <t>Observação direta</t>
  </si>
  <si>
    <t>Semanal</t>
  </si>
  <si>
    <t>Gestor do SGA / EHS (Responsável Ambiental)</t>
  </si>
  <si>
    <t>AA-014</t>
  </si>
  <si>
    <t>8.1</t>
  </si>
  <si>
    <t>Sim</t>
  </si>
  <si>
    <t>RON-02</t>
  </si>
  <si>
    <t>ARQ</t>
  </si>
  <si>
    <t>Armazenagem de bidões e embalagens de químicos no armazém.</t>
  </si>
  <si>
    <t>100% dos recipientes &gt; 20 L sobre bacia de retenção (capacidade ≥ maior recipiente); incompatíveis separados; FDS acessíveis.</t>
  </si>
  <si>
    <t>Observação + contagem</t>
  </si>
  <si>
    <t>Responsável de Armazém e Logística</t>
  </si>
  <si>
    <t>AA-005</t>
  </si>
  <si>
    <t>RON-03</t>
  </si>
  <si>
    <t>2. Eficiência e Manutenção</t>
  </si>
  <si>
    <t>UTL</t>
  </si>
  <si>
    <t>Rede de ar comprimido (ligações rápidas, mangueiras, purgadores).</t>
  </si>
  <si>
    <t>Sem silvos (fugas audíveis); cada fuga detetada tem etiqueta e ordem de trabalho com prazo ≤ 15 dias.</t>
  </si>
  <si>
    <t>Escuta + detetor ultrassónico mensal</t>
  </si>
  <si>
    <t>Técnico de Manutenção</t>
  </si>
  <si>
    <t>AA-021</t>
  </si>
  <si>
    <t>RON-04</t>
  </si>
  <si>
    <t>INJ</t>
  </si>
  <si>
    <t>Máquinas de injeção/sopro: fugas de óleo e água e registos de manutenção.</t>
  </si>
  <si>
    <t>Piso seco sob as máquinas; tabuleiros de retenção sem óleo acumulado; plano de manutenção preventiva sem atrasos &gt; 7 dias.</t>
  </si>
  <si>
    <t>Observação + consulta do registo de manutenção</t>
  </si>
  <si>
    <t>AA-009</t>
  </si>
  <si>
    <t>RON-05</t>
  </si>
  <si>
    <t>3. Emergência</t>
  </si>
  <si>
    <t>GER</t>
  </si>
  <si>
    <t>Válvula de corte da rede pluvial e sarjetas.</t>
  </si>
  <si>
    <t>Válvula acessível, sinalizada e operacional (manobra de teste); sarjetas sem obstrução; bacias de retenção secas, limpas e sem lixo.</t>
  </si>
  <si>
    <t>Manobra de teste + observação</t>
  </si>
  <si>
    <t>Mensal</t>
  </si>
  <si>
    <t>Técnico de Utilidades</t>
  </si>
  <si>
    <t>AA-034</t>
  </si>
  <si>
    <t>8.2</t>
  </si>
  <si>
    <t>RON-06</t>
  </si>
  <si>
    <t>Kits antipoluição (KIT-01 a KIT-05).</t>
  </si>
  <si>
    <t>Selo intacto com n.º registado; conteúdo completo (12 almofadas, 2 barreiras, luvas, óculos, sacos, instrução IT-SGA-01); acessível e sinalizado.</t>
  </si>
  <si>
    <t>Verificação do selo e do conteúdo</t>
  </si>
  <si>
    <t>Semanal (mensal até set/2026)</t>
  </si>
  <si>
    <t>RON-07</t>
  </si>
  <si>
    <t>4. Gestão de Resíduos</t>
  </si>
  <si>
    <t>PRS</t>
  </si>
  <si>
    <t>Segregação e identificação dos resíduos no parque e nas áreas.</t>
  </si>
  <si>
    <t>Cada contentor com etiqueta de código LER; sem mistura de fluxos; scrap limpo separado por cor/polímero.</t>
  </si>
  <si>
    <t>Observação</t>
  </si>
  <si>
    <t>AA-029</t>
  </si>
  <si>
    <t>RON-08</t>
  </si>
  <si>
    <t>Acondicionamento dos resíduos perigosos.</t>
  </si>
  <si>
    <t>Contentores fechados com tampa, identificados, em bacia e sob cobertura; zona limpa; e-GAR do último envio confirmada.</t>
  </si>
  <si>
    <t>Observação + SILiAmb</t>
  </si>
  <si>
    <t>AA-016</t>
  </si>
  <si>
    <t>RON-09</t>
  </si>
  <si>
    <t>5. Perdas de granulado e energia (extra)</t>
  </si>
  <si>
    <t>REC</t>
  </si>
  <si>
    <t>Perdas de granulado nos silos, zona de descarga e sarjetas exteriores.</t>
  </si>
  <si>
    <t>Sem grânulos visíveis no pavimento exterior nem nos filtros das sarjetas; tabuleiros de descarga em uso.</t>
  </si>
  <si>
    <t>Operador de Armazém / Empilhador</t>
  </si>
  <si>
    <t>AA-003</t>
  </si>
  <si>
    <t>Não</t>
  </si>
  <si>
    <t>RON-11</t>
  </si>
  <si>
    <t>Armazenagem de químicos fora do armazém (torre TR-01, oficina, parque de gases, depósito de gasóleo, laboratório, sala de baterias).</t>
  </si>
  <si>
    <t>Recipientes em bacia com capacidade suficiente; incompatíveis separados (hipoclorito × ácidos; oxigénio × gases inflamáveis); kit acessível; FDS disponíveis; sem fugas.</t>
  </si>
  <si>
    <t>Observação + contagem (locais ARM-04 a ARM-09 do RG-SGA-21)</t>
  </si>
  <si>
    <t>RON-10</t>
  </si>
  <si>
    <t>Máquinas e iluminação em paragens.</t>
  </si>
  <si>
    <t>Máquinas paradas &gt; 30 min em standby; iluminação desligada em zonas sem atividade.</t>
  </si>
  <si>
    <t>Chefe de Turno</t>
  </si>
  <si>
    <t>AA-007</t>
  </si>
  <si>
    <t>ID_Ronda</t>
  </si>
  <si>
    <t>Data</t>
  </si>
  <si>
    <t>Ano_Mes</t>
  </si>
  <si>
    <t>Turno</t>
  </si>
  <si>
    <t>Resultado</t>
  </si>
  <si>
    <t>Observacao</t>
  </si>
  <si>
    <t>Acao_Imediata</t>
  </si>
  <si>
    <t>ID_NC</t>
  </si>
  <si>
    <t>Evidencia_Foto</t>
  </si>
  <si>
    <t>Verificador</t>
  </si>
  <si>
    <t>NC_Flag</t>
  </si>
  <si>
    <t>RND-26-01</t>
  </si>
  <si>
    <t>Conforme</t>
  </si>
  <si>
    <t>Não conforme</t>
  </si>
  <si>
    <t>Máquina parada sem standby.</t>
  </si>
  <si>
    <t>Corrigido no momento</t>
  </si>
  <si>
    <t>RND-26-01-RON-10.jpg</t>
  </si>
  <si>
    <t>RND-26-02</t>
  </si>
  <si>
    <t>Grânulos no pavimento junto aos silos.</t>
  </si>
  <si>
    <t>Pedido de reposição / ordem de trabalho</t>
  </si>
  <si>
    <t>RND-26-02-RON-09.jpg</t>
  </si>
  <si>
    <t>RND-26-03</t>
  </si>
  <si>
    <t>Recipiente fora de bacia.</t>
  </si>
  <si>
    <t>RND-26-03-RON-02.jpg</t>
  </si>
  <si>
    <t>RND-26-04</t>
  </si>
  <si>
    <t>Fuga audível sem etiqueta.</t>
  </si>
  <si>
    <t>RND-26-04-RON-03.jpg</t>
  </si>
  <si>
    <t>Contentor sem etiqueta LER / mistura.</t>
  </si>
  <si>
    <t>RND-26-04-RON-07.jpg</t>
  </si>
  <si>
    <t>RND-26-05</t>
  </si>
  <si>
    <t>RND-26-05-RON-02.jpg</t>
  </si>
  <si>
    <t>RND-26-05-RON-03.jpg</t>
  </si>
  <si>
    <t>RND-26-05-RON-07.jpg</t>
  </si>
  <si>
    <t>RND-26-06</t>
  </si>
  <si>
    <t>RND-26-06-RON-09.jpg</t>
  </si>
  <si>
    <t>RND-26-06-RON-10.jpg</t>
  </si>
  <si>
    <t>RND-26-07</t>
  </si>
  <si>
    <t>RND-26-08</t>
  </si>
  <si>
    <t>RND-26-09</t>
  </si>
  <si>
    <t>RND-26-09-RON-03.jpg</t>
  </si>
  <si>
    <t>RND-26-09-RON-09.jpg</t>
  </si>
  <si>
    <t>RND-26-10</t>
  </si>
  <si>
    <t>RND-26-11</t>
  </si>
  <si>
    <t>RND-26-11-RON-02.jpg</t>
  </si>
  <si>
    <t>RND-26-11-RON-09.jpg</t>
  </si>
  <si>
    <t>RND-26-12</t>
  </si>
  <si>
    <t>RND-26-12-RON-02.jpg</t>
  </si>
  <si>
    <t>RND-26-12-RON-09.jpg</t>
  </si>
  <si>
    <t>RND-26-12-RON-10.jpg</t>
  </si>
  <si>
    <t>RND-26-13</t>
  </si>
  <si>
    <t>RND-26-13-RON-09.jpg</t>
  </si>
  <si>
    <t>RND-26-14</t>
  </si>
  <si>
    <t>RND-26-14-RON-07.jpg</t>
  </si>
  <si>
    <t>RND-26-14-RON-09.jpg</t>
  </si>
  <si>
    <t>RND-26-15</t>
  </si>
  <si>
    <t>RND-26-15-RON-09.jpg</t>
  </si>
  <si>
    <t>RND-26-16</t>
  </si>
  <si>
    <t>RND-26-16-RON-02.jpg</t>
  </si>
  <si>
    <t>RND-26-16-RON-09.jpg</t>
  </si>
  <si>
    <t>RND-26-17</t>
  </si>
  <si>
    <t>RND-26-18</t>
  </si>
  <si>
    <t>RND-26-18-RON-02.jpg</t>
  </si>
  <si>
    <t>RND-26-18-RON-09.jpg</t>
  </si>
  <si>
    <t>RND-26-19</t>
  </si>
  <si>
    <t>RND-26-19-RON-09.jpg</t>
  </si>
  <si>
    <t>RND-26-20</t>
  </si>
  <si>
    <t>RND-26-20-RON-09.jpg</t>
  </si>
  <si>
    <t>RND-26-20-RON-10.jpg</t>
  </si>
  <si>
    <t>RND-26-21</t>
  </si>
  <si>
    <t>RND-26-21-RON-03.jpg</t>
  </si>
  <si>
    <t>RND-26-21-RON-09.jpg</t>
  </si>
  <si>
    <t>RND-26-22</t>
  </si>
  <si>
    <t>Lata(s) de solvente aberta(s) no posto.</t>
  </si>
  <si>
    <t>RND-26-22-RON-01.jpg</t>
  </si>
  <si>
    <t>Sarjeta parcialmente obstruída.</t>
  </si>
  <si>
    <t>RND-26-22-RON-05.jpg</t>
  </si>
  <si>
    <t>RND-26-22-RON-09.jpg</t>
  </si>
  <si>
    <t>RND-26-23</t>
  </si>
  <si>
    <t>RND-26-23-RON-01.jpg</t>
  </si>
  <si>
    <t>RND-26-23-RON-09.jpg</t>
  </si>
  <si>
    <t>RND-26-24</t>
  </si>
  <si>
    <t>RND-26-24-RON-03.jpg</t>
  </si>
  <si>
    <t>RND-26-24-RON-09.jpg</t>
  </si>
  <si>
    <t>RND-26-25</t>
  </si>
  <si>
    <t>RND-26-25-RON-01.jpg</t>
  </si>
  <si>
    <t>Óleo acumulado no tabuleiro.</t>
  </si>
  <si>
    <t>RND-26-25-RON-04.jpg</t>
  </si>
  <si>
    <t>RND-26-26</t>
  </si>
  <si>
    <t>RND-26-26-RON-02.jpg</t>
  </si>
  <si>
    <t>RND-26-26-RON-09.jpg</t>
  </si>
  <si>
    <t>RND-26-27</t>
  </si>
  <si>
    <t>RND-26-27-RON-09.jpg</t>
  </si>
  <si>
    <t>RND-26-27-RON-10.jpg</t>
  </si>
  <si>
    <t>RND-26-28</t>
  </si>
  <si>
    <t>RND-26-28-RON-01.jpg</t>
  </si>
  <si>
    <t>RND-26-28-RON-10.jpg</t>
  </si>
  <si>
    <t>RND-26-29</t>
  </si>
  <si>
    <t>RND-26-29-RON-09.jpg</t>
  </si>
  <si>
    <t>RND-26-30</t>
  </si>
  <si>
    <t>RND-26-30-RON-01.jpg</t>
  </si>
  <si>
    <t>RND-26-31</t>
  </si>
  <si>
    <t>RND-26-32</t>
  </si>
  <si>
    <t>RND-26-32-RON-10.jpg</t>
  </si>
  <si>
    <t>RND-26-33</t>
  </si>
  <si>
    <t>RND-26-33-RON-02.jpg</t>
  </si>
  <si>
    <t>RND-26-33-RON-09.jpg</t>
  </si>
  <si>
    <t>RND-26-34</t>
  </si>
  <si>
    <t>RND-26-34-RON-01.jpg</t>
  </si>
  <si>
    <t>RND-26-35</t>
  </si>
  <si>
    <t>RND-26-35-RON-01.jpg</t>
  </si>
  <si>
    <t>RND-26-35-RON-03.jpg</t>
  </si>
  <si>
    <t>RND-26-36</t>
  </si>
  <si>
    <t>RND-26-36-RON-02.jpg</t>
  </si>
  <si>
    <t>RND-26-37</t>
  </si>
  <si>
    <t>KIT-03 com selo partido e quase vazio, sem registo de utilização.</t>
  </si>
  <si>
    <t>NC-SGA-26-03</t>
  </si>
  <si>
    <t>RND-26-37-RON-06.jpg</t>
  </si>
  <si>
    <t>RND-26-37-RON-10.jpg</t>
  </si>
  <si>
    <t>RND-26-38</t>
  </si>
  <si>
    <t>RND-26-39</t>
  </si>
  <si>
    <t>RND-26-39-RON-01.jpg</t>
  </si>
  <si>
    <t>RND-26-39-RON-10.jpg</t>
  </si>
  <si>
    <t>RND-26-40</t>
  </si>
  <si>
    <t>RND-26-41</t>
  </si>
  <si>
    <t>RND-26-41-RON-02.jpg</t>
  </si>
  <si>
    <t>RND-26-41-RON-03.jpg</t>
  </si>
  <si>
    <t>RND-26-42</t>
  </si>
  <si>
    <t>RND-26-43</t>
  </si>
  <si>
    <t>RND-26-43-RON-07.jpg</t>
  </si>
  <si>
    <t>RND-26-44</t>
  </si>
  <si>
    <t>RND-26-45</t>
  </si>
  <si>
    <t>RND-26-46</t>
  </si>
  <si>
    <t>RND-26-47</t>
  </si>
  <si>
    <t>RND-26-47-RON-07.jpg</t>
  </si>
  <si>
    <t>RND-26-48</t>
  </si>
  <si>
    <t>RND-26-49</t>
  </si>
  <si>
    <t>RND-26-49-RON-02.jpg</t>
  </si>
  <si>
    <t>RND-26-50</t>
  </si>
  <si>
    <t>RND-26-50-RON-02.jpg</t>
  </si>
  <si>
    <t>RND-26-51</t>
  </si>
  <si>
    <t>RND-26-52</t>
  </si>
  <si>
    <t>RND-26-52-RON-04.jpg</t>
  </si>
  <si>
    <t>TAXA DE CONFORMIDADE DAS RONDAS POR MÊS E CATEGORIA (KPI-10)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</si>
  <si>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</si>
  <si>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</si>
  <si>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</si>
  <si>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</si>
  <si>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</si>
  <si>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</si>
  <si>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</si>
  <si>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</si>
  <si>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</si>
  <si>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</si>
  <si>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</si>
  <si>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</si>
  <si>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</t>
  </si>
  <si>
    <t>TOTAL</t>
  </si>
  <si>
    <t>PLASTICOM</t>
  </si>
  <si>
    <t>CHECKLIST DE SUPERVISÃO OPERACIONAL — RONDA AMBIENTAL</t>
  </si>
  <si>
    <t>Mod. RON-SGA</t>
  </si>
  <si>
    <t>Plasticom — Unidade 1 (Marinha Grande, Portugal) · NP EN ISO 14001:2026</t>
  </si>
  <si>
    <t>Rev. 01 · 31/12/2026</t>
  </si>
  <si>
    <t>Data: ____/____/______     Turno: ____     Verificador: ______________________     Ronda n.º: RND-26-____</t>
  </si>
  <si>
    <t>Ponto de controlo (O que verificar?)</t>
  </si>
  <si>
    <t>Critério de aceitação (Quando está OK?)</t>
  </si>
  <si>
    <t>C</t>
  </si>
  <si>
    <t>NC</t>
  </si>
  <si>
    <t>NA</t>
  </si>
  <si>
    <t>Observação / evidência / ação</t>
  </si>
  <si>
    <t>Regra: qualquer 'NC' exige ação imediata registada e, se não for corrigível no momento, abertura de RNC (RG-SGA-07).</t>
  </si>
  <si>
    <t>MANUTENÇÃO DE EQUIPAMENTOS COM RELEVÂNCIA AMBIENTAL (7.1 · 8.1 · F-gas)</t>
  </si>
  <si>
    <t>Controlo de fugas do CH-01 semestral (Reg. (UE) 2024/573) · Torre TR-01: limpeza/desinfeção semestral e Legionella trimestral (Lei 52/2018)</t>
  </si>
  <si>
    <t>ID_OT</t>
  </si>
  <si>
    <t>ID_Equipamento</t>
  </si>
  <si>
    <t>Equipamento</t>
  </si>
  <si>
    <t>Tipo_Intervencao</t>
  </si>
  <si>
    <t>Descricao</t>
  </si>
  <si>
    <t>Executante</t>
  </si>
  <si>
    <t>Empresa_Tecnico</t>
  </si>
  <si>
    <t>Fuga_Detetada</t>
  </si>
  <si>
    <t>Fluido_Recarregado_kg</t>
  </si>
  <si>
    <t>Horas</t>
  </si>
  <si>
    <t>Custo_EUR</t>
  </si>
  <si>
    <t>ID_Legal</t>
  </si>
  <si>
    <t>ID_Incidente</t>
  </si>
  <si>
    <t>tCO2e_Fuga</t>
  </si>
  <si>
    <t>Proxima_Intervencao</t>
  </si>
  <si>
    <t>OT-2025-03</t>
  </si>
  <si>
    <t>CH-01</t>
  </si>
  <si>
    <t>Chiller CH-01 (30 kg R410A)</t>
  </si>
  <si>
    <t>Controlo de fugas F-gas</t>
  </si>
  <si>
    <t>Controlo semestral de fugas (≥ 50 tCO2e).</t>
  </si>
  <si>
    <t>Empresa externa</t>
  </si>
  <si>
    <t>FrioTec — técnico certificado F-gas (cat. I)</t>
  </si>
  <si>
    <t>LEG-07</t>
  </si>
  <si>
    <t>OT-2025-04</t>
  </si>
  <si>
    <t>TR-01</t>
  </si>
  <si>
    <t>Torre de arrefecimento TR-01</t>
  </si>
  <si>
    <t>Limpeza e desinfeção</t>
  </si>
  <si>
    <t>Limpeza e desinfeção semestral; análise de Legionella.</t>
  </si>
  <si>
    <t>AquaHigiene Lda.</t>
  </si>
  <si>
    <t>LEG-15</t>
  </si>
  <si>
    <t>OT-2025-05</t>
  </si>
  <si>
    <t>CMP-01</t>
  </si>
  <si>
    <t>Compressor CMP-01</t>
  </si>
  <si>
    <t>Preventiva</t>
  </si>
  <si>
    <t>Manutenção 4.000 h do compressor antigo.</t>
  </si>
  <si>
    <t>Atlas Service PT</t>
  </si>
  <si>
    <t>OT-2025-07</t>
  </si>
  <si>
    <t>EX-FP1</t>
  </si>
  <si>
    <t>Exaustão / chaminé FP1 da serigrafia</t>
  </si>
  <si>
    <t>Substituição de filtros da exaustão da serigrafia.</t>
  </si>
  <si>
    <t>Interno</t>
  </si>
  <si>
    <t>LEG-12</t>
  </si>
  <si>
    <t>OT-2025-09</t>
  </si>
  <si>
    <t>REDE-AR</t>
  </si>
  <si>
    <t>Rede de ar comprimido</t>
  </si>
  <si>
    <t>Inspeção</t>
  </si>
  <si>
    <t>Deteção de fugas por ultrassons (12 fugas etiquetadas).</t>
  </si>
  <si>
    <t>LEG-08</t>
  </si>
  <si>
    <t>OT-2025-11</t>
  </si>
  <si>
    <t>Corretiva</t>
  </si>
  <si>
    <t>Reparação de 10 das 12 fugas de ar comprimido.</t>
  </si>
  <si>
    <t>Corrigido</t>
  </si>
  <si>
    <t>OT-2025-14</t>
  </si>
  <si>
    <t>DB-01</t>
  </si>
  <si>
    <t>Bomba doseadora de biocida DB-01</t>
  </si>
  <si>
    <t>Substituição da bomba doseadora avariada (sobredosagem).</t>
  </si>
  <si>
    <t>LEG-03</t>
  </si>
  <si>
    <t>INC-2025-06</t>
  </si>
  <si>
    <t>OT-2025-15</t>
  </si>
  <si>
    <t>BR-01</t>
  </si>
  <si>
    <t>Bacia de retenção de águas de combate</t>
  </si>
  <si>
    <t>Inspeção da bacia de retenção (estanquidade e limpeza).</t>
  </si>
  <si>
    <t>LEG-11</t>
  </si>
  <si>
    <t>OT-2025-16</t>
  </si>
  <si>
    <t>VC-01</t>
  </si>
  <si>
    <t>Válvula de corte da rede pluvial</t>
  </si>
  <si>
    <t>Teste de manobra da válvula de corte pluvial.</t>
  </si>
  <si>
    <t>OT-2025-17</t>
  </si>
  <si>
    <t>OT-2025-19</t>
  </si>
  <si>
    <t>Controlo semestral: fuga detetada; reparação da brasagem e recarga.</t>
  </si>
  <si>
    <t>INC-2025-07</t>
  </si>
  <si>
    <t>OT-2025-20</t>
  </si>
  <si>
    <t>Verificação pós-reparação (≤ 1 mês após a reparação).</t>
  </si>
  <si>
    <t>OT-2025-21</t>
  </si>
  <si>
    <t>OT-2026-01</t>
  </si>
  <si>
    <t>OT-2026-02</t>
  </si>
  <si>
    <t>Instalação</t>
  </si>
  <si>
    <t>Substituição dos compressores CMP-01/02 por unidades de velocidade variável (ALT-2026-01).</t>
  </si>
  <si>
    <t>LEG-02; LEG-05</t>
  </si>
  <si>
    <t>OT-2026-04</t>
  </si>
  <si>
    <t>ISBM-005</t>
  </si>
  <si>
    <t>ISBM-005 (hidráulica)</t>
  </si>
  <si>
    <t>Substituição da mangueira hidráulica e plano de substituição por horas.</t>
  </si>
  <si>
    <t>INC-2026-02</t>
  </si>
  <si>
    <t>OT-2026-06</t>
  </si>
  <si>
    <t>Substituição preventiva de mangueiras hidráulicas (&gt; 20.000 h).</t>
  </si>
  <si>
    <t>OT-2026-08</t>
  </si>
  <si>
    <t>OT-2026-10</t>
  </si>
  <si>
    <t>Controlo semestral de fugas.</t>
  </si>
  <si>
    <t>OT-2026-11</t>
  </si>
  <si>
    <t>OT-2026-13</t>
  </si>
  <si>
    <t>CMP-02</t>
  </si>
  <si>
    <t>Compressor CMP-02</t>
  </si>
  <si>
    <t>Manutenção 2.000 h dos compressores novos.</t>
  </si>
  <si>
    <t>OT-2026-15</t>
  </si>
  <si>
    <t>Deteção de fugas por ultrassons (9 fugas etiquetadas).</t>
  </si>
  <si>
    <t>OT-2026-17</t>
  </si>
  <si>
    <t>Substituição de mangueira com fuga e reparação de 5 fugas.</t>
  </si>
  <si>
    <t>INC-2026-10</t>
  </si>
  <si>
    <t>OT-2026-18</t>
  </si>
  <si>
    <t>OT-2026-19</t>
  </si>
  <si>
    <t>Inspeção da bacia de retenção (seca e limpa).</t>
  </si>
  <si>
    <t>OT-2026-20</t>
  </si>
  <si>
    <t>Teste de manobra da válvula de corte (3 min).</t>
  </si>
  <si>
    <t>OT-2026-21</t>
  </si>
  <si>
    <t>OT-2026-22</t>
  </si>
  <si>
    <t>OT-2026-23</t>
  </si>
  <si>
    <t>Controlo semestral de fugas (sem fugas).</t>
  </si>
  <si>
    <t>OT-2026-24</t>
  </si>
  <si>
    <t>IM-004</t>
  </si>
  <si>
    <t>Injetora IM-004 (hidráulica)</t>
  </si>
  <si>
    <t>Substituição da mangueira hidráulica rompida; tabuleiro de retenção sob a unidade hidráulica.</t>
  </si>
  <si>
    <t>INC-2026-12</t>
  </si>
  <si>
    <t>OT-2026-25</t>
  </si>
  <si>
    <t>Deteção de fugas por ultrassons (3 fugas etiquetadas e reparadas).</t>
  </si>
  <si>
    <t>OT-2026-26</t>
  </si>
  <si>
    <t>Teste de manobra da válvula de corte no simulacro (4 min).</t>
  </si>
  <si>
    <t>OT-2026-27</t>
  </si>
  <si>
    <t>QGBT</t>
  </si>
  <si>
    <t>Quadros elétricos (QGBT e quadros dos USE)</t>
  </si>
  <si>
    <t>Instalação de 6 analisadores de energia e 3 contadores de água com telemetria (PAM-26-02).</t>
  </si>
  <si>
    <t>Instalador certificado</t>
  </si>
  <si>
    <t>LISTAS CONTROLADAS (domínios de validação de dados) — editar aqui para alterar opções</t>
  </si>
  <si>
    <t>DataReferencia</t>
  </si>
  <si>
    <t>Processo</t>
  </si>
  <si>
    <t>Funcao</t>
  </si>
  <si>
    <t>SimNao</t>
  </si>
  <si>
    <t>MA_Tipo</t>
  </si>
  <si>
    <t>MA_Exec</t>
  </si>
  <si>
    <t>MA_Res</t>
  </si>
  <si>
    <t>MA_SimNao</t>
  </si>
  <si>
    <t>Diretor Geral (Gestão de Topo)</t>
  </si>
  <si>
    <t>Diretor Industrial</t>
  </si>
  <si>
    <t>Não aplicável</t>
  </si>
  <si>
    <t>SOP</t>
  </si>
  <si>
    <t>Gerente de Produção</t>
  </si>
  <si>
    <t>Gerente de Manutenção</t>
  </si>
  <si>
    <t>HFS</t>
  </si>
  <si>
    <t>Gerente da Qualidade</t>
  </si>
  <si>
    <t>MOA</t>
  </si>
  <si>
    <t>Responsável de Compras</t>
  </si>
  <si>
    <t>MAN</t>
  </si>
  <si>
    <t>Responsável de R&amp;D</t>
  </si>
  <si>
    <t>Responsável de Recursos Humanos</t>
  </si>
  <si>
    <t>EXP</t>
  </si>
  <si>
    <t>Diretor Financeiro</t>
  </si>
  <si>
    <t>LAB</t>
  </si>
  <si>
    <t>Operador de Serigrafia</t>
  </si>
  <si>
    <t>RD</t>
  </si>
  <si>
    <t>Operador de Injeção</t>
  </si>
  <si>
    <t>CMP</t>
  </si>
  <si>
    <t>Operador de Sopro (ISBM)</t>
  </si>
  <si>
    <t>ADM</t>
  </si>
  <si>
    <t>Operador de Hot Foil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</si>
  <si>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</si>
  <si>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</si>
  <si>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</si>
  <si>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</si>
  <si>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</si>
  <si>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</si>
  <si>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Tipo</t>
  </si>
  <si>
    <t>Origem</t>
  </si>
  <si>
    <t>Dominio_Unidade</t>
  </si>
  <si>
    <t>Obrigatorio</t>
  </si>
  <si>
    <t>Chave</t>
  </si>
  <si>
    <t>tbl_pontos</t>
  </si>
  <si>
    <t>Texto</t>
  </si>
  <si>
    <t>Entrada</t>
  </si>
  <si>
    <t>Ponto de controlo.</t>
  </si>
  <si>
    <t>PK</t>
  </si>
  <si>
    <t>Categoria de inspeção.</t>
  </si>
  <si>
    <t>Lista lst_Categoria</t>
  </si>
  <si>
    <t>Área/processo.</t>
  </si>
  <si>
    <t>Lista lst_Processo</t>
  </si>
  <si>
    <t>O que verificar?</t>
  </si>
  <si>
    <t>Quando está OK? (critério objetivo)</t>
  </si>
  <si>
    <t>Como verificar.</t>
  </si>
  <si>
    <t>Frequência.</t>
  </si>
  <si>
    <t>Quem verifica.</t>
  </si>
  <si>
    <t>Lista lst_Funcao</t>
  </si>
  <si>
    <t>Aspeto controlado.</t>
  </si>
  <si>
    <t>FK → RG-SGA-03</t>
  </si>
  <si>
    <t>Requisito.</t>
  </si>
  <si>
    <t>Ponto da checklist da Atividade 4.3.</t>
  </si>
  <si>
    <t>Lista lst_SimNao</t>
  </si>
  <si>
    <t>Inteiro</t>
  </si>
  <si>
    <t>Calculado (fórmula)</t>
  </si>
  <si>
    <t>N.º de verificações em 2026.</t>
  </si>
  <si>
    <t>Percentagem (fração 0-1)</t>
  </si>
  <si>
    <t>% conforme em 2026.</t>
  </si>
  <si>
    <t>% conforme nas últimas 8 semanas.</t>
  </si>
  <si>
    <t>Comparação últimas 8 semanas vs ano.</t>
  </si>
  <si>
    <t>tbl_execucao_rondas</t>
  </si>
  <si>
    <t>Ronda (semana).</t>
  </si>
  <si>
    <t>PK (com ID_Ponto)</t>
  </si>
  <si>
    <t>Data (aaaa-mm-dd)</t>
  </si>
  <si>
    <t>Data da ronda.</t>
  </si>
  <si>
    <t>Mês AAAAMM (chave numérica para agregação, independente do idioma do Excel).</t>
  </si>
  <si>
    <t>Turno em que foi feita.</t>
  </si>
  <si>
    <t>Ponto verificado.</t>
  </si>
  <si>
    <t>FK → tbl_pontos</t>
  </si>
  <si>
    <t>Categoria do ponto.</t>
  </si>
  <si>
    <t>Conforme / Não conforme / Não aplicável.</t>
  </si>
  <si>
    <t>Lista lst_Resultado</t>
  </si>
  <si>
    <t>Descrição do desvio.</t>
  </si>
  <si>
    <t>Ação no momento.</t>
  </si>
  <si>
    <t>NC aberta.</t>
  </si>
  <si>
    <t>FK → RG-SGA-07</t>
  </si>
  <si>
    <t>Ficheiro de fotografia.</t>
  </si>
  <si>
    <t>Quem fez a ronda.</t>
  </si>
  <si>
    <t>1 = não conforme (variável alvo para modelos).</t>
  </si>
  <si>
    <t>tbl_manutencao_ambiental</t>
  </si>
  <si>
    <t>Ordem de trabalho.</t>
  </si>
  <si>
    <t>Data da intervenção.</t>
  </si>
  <si>
    <t>Equipamento.</t>
  </si>
  <si>
    <t>Descrição do equipamento.</t>
  </si>
  <si>
    <t>Tipo de intervenção.</t>
  </si>
  <si>
    <t>Lista lst_MA_Tipo</t>
  </si>
  <si>
    <t>Trabalho realizado.</t>
  </si>
  <si>
    <t>Interno ou empresa externa.</t>
  </si>
  <si>
    <t>Lista lst_MA_Exec</t>
  </si>
  <si>
    <t>Empresa e certificação (F-gas: técnico certificado obrigatório).</t>
  </si>
  <si>
    <t>Resultado.</t>
  </si>
  <si>
    <t>Lista lst_MA_Res</t>
  </si>
  <si>
    <t>Se foi detetada fuga (gás, ar, óleo).</t>
  </si>
  <si>
    <t>Lista lst_MA_SimNao</t>
  </si>
  <si>
    <t>Decimal</t>
  </si>
  <si>
    <t>Gás fluorado recarregado (kg).</t>
  </si>
  <si>
    <t>Horas de trabalho.</t>
  </si>
  <si>
    <t>Moeda (EUR)</t>
  </si>
  <si>
    <t>Custo.</t>
  </si>
  <si>
    <t>Requisito legal associado.</t>
  </si>
  <si>
    <t>FK → tbl_legal</t>
  </si>
  <si>
    <t>Incidente associado.</t>
  </si>
  <si>
    <t>FK → tbl_incidentes (RG-SGA-07)</t>
  </si>
  <si>
    <t>Emissão equivalente da recarga (R410A, GWP 2.088).</t>
  </si>
  <si>
    <t>Próxima intervenção periódica (F-gas e desinfeção 6 meses; preventiva 3; inspeção 12).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</si>
</sst>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€"/>
  </numFmts>
  <fonts count="9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6"/>
      <color rgb="FF1F4E5F"/>
      <name val="Arial"/>
    </font>
    <font>
      <b/>
      <sz val="13"/>
      <color rgb="FF0F2F3A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3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  <border>
      <left/>
      <right/>
      <top/>
      <bottom style="medium">
        <color rgb="FF1F4E5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4" fillId="0" borderId="0" xfId="0" applyFont="1"/>
    <xf numFmtId="9" fontId="0" fillId="0" borderId="1" xfId="0" applyNumberForma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2" xfId="0" applyBorder="1"/>
    <xf numFmtId="0" fontId="8" fillId="0" borderId="1" xfId="0" applyFont="1" applyBorder="1" applyAlignment="1">
      <alignment vertical="top" wrapText="1"/>
    </xf>
    <xf numFmtId="0" fontId="0" fillId="0" borderId="1" xfId="0" applyBorder="1"/>
    <xf numFmtId="4" fontId="4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3"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ill>
        <patternFill patternType="solid">
          <fgColor rgb="FFCDEBD3"/>
        </patternFill>
      </fill>
    </dxf>
    <dxf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ontos" displayName="tbl_pontos" ref="A4:O15">
  <autoFilter ref="A4:O15" xr:uid="{00000000-0009-0000-0100-000001000000}"/>
  <tableColumns count="15">
    <tableColumn id="1" xr3:uid="{00000000-0010-0000-0000-000001000000}" name="ID_Ponto"/>
    <tableColumn id="2" xr3:uid="{00000000-0010-0000-0000-000002000000}" name="Categoria"/>
    <tableColumn id="3" xr3:uid="{00000000-0010-0000-0000-000003000000}" name="Area"/>
    <tableColumn id="4" xr3:uid="{00000000-0010-0000-0000-000004000000}" name="Ponto_Controlo"/>
    <tableColumn id="5" xr3:uid="{00000000-0010-0000-0000-000005000000}" name="Criterio_Aceitacao"/>
    <tableColumn id="6" xr3:uid="{00000000-0010-0000-0000-000006000000}" name="Metodo"/>
    <tableColumn id="7" xr3:uid="{00000000-0010-0000-0000-000007000000}" name="Frequencia"/>
    <tableColumn id="8" xr3:uid="{00000000-0010-0000-0000-000008000000}" name="Responsavel"/>
    <tableColumn id="9" xr3:uid="{00000000-0010-0000-0000-000009000000}" name="ID_Aspeto"/>
    <tableColumn id="10" xr3:uid="{00000000-0010-0000-0000-00000A000000}" name="Clausula"/>
    <tableColumn id="11" xr3:uid="{00000000-0010-0000-0000-00000B000000}" name="Selecionado_Atv_4_3"/>
    <tableColumn id="12" xr3:uid="{00000000-0010-0000-0000-00000C000000}" name="N_Verificacoes"/>
    <tableColumn id="13" xr3:uid="{00000000-0010-0000-0000-00000D000000}" name="Taxa_Conformidade"/>
    <tableColumn id="14" xr3:uid="{00000000-0010-0000-0000-00000E000000}" name="Taxa_Ultimas_8"/>
    <tableColumn id="15" xr3:uid="{00000000-0010-0000-0000-00000F000000}" name="Tendenci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execucao_rondas" displayName="tbl_execucao_rondas" ref="A1:M456">
  <autoFilter ref="A1:M456" xr:uid="{00000000-0009-0000-0100-000002000000}"/>
  <tableColumns count="13">
    <tableColumn id="1" xr3:uid="{00000000-0010-0000-0100-000001000000}" name="ID_Ronda"/>
    <tableColumn id="2" xr3:uid="{00000000-0010-0000-0100-000002000000}" name="Data"/>
    <tableColumn id="3" xr3:uid="{00000000-0010-0000-0100-000003000000}" name="Ano_Mes"/>
    <tableColumn id="4" xr3:uid="{00000000-0010-0000-0100-000004000000}" name="Turno"/>
    <tableColumn id="5" xr3:uid="{00000000-0010-0000-0100-000005000000}" name="ID_Ponto"/>
    <tableColumn id="6" xr3:uid="{00000000-0010-0000-0100-000006000000}" name="Categoria"/>
    <tableColumn id="7" xr3:uid="{00000000-0010-0000-0100-000007000000}" name="Resultado"/>
    <tableColumn id="8" xr3:uid="{00000000-0010-0000-0100-000008000000}" name="Observacao"/>
    <tableColumn id="9" xr3:uid="{00000000-0010-0000-0100-000009000000}" name="Acao_Imediata"/>
    <tableColumn id="10" xr3:uid="{00000000-0010-0000-0100-00000A000000}" name="ID_NC"/>
    <tableColumn id="11" xr3:uid="{00000000-0010-0000-0100-00000B000000}" name="Evidencia_Foto"/>
    <tableColumn id="12" xr3:uid="{00000000-0010-0000-0100-00000C000000}" name="Verificador"/>
    <tableColumn id="13" xr3:uid="{00000000-0010-0000-0100-00000D000000}" name="NC_Fl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nutencao_ambiental" displayName="tbl_manutencao_ambiental" ref="A4:Q77">
  <autoFilter ref="A4:Q77" xr:uid="{00000000-0009-0000-0100-000003000000}"/>
  <tableColumns count="17">
    <tableColumn id="1" xr3:uid="{00000000-0010-0000-0200-000001000000}" name="ID_OT"/>
    <tableColumn id="2" xr3:uid="{00000000-0010-0000-0200-000002000000}" name="Data"/>
    <tableColumn id="3" xr3:uid="{00000000-0010-0000-0200-000003000000}" name="ID_Equipamento"/>
    <tableColumn id="4" xr3:uid="{00000000-0010-0000-0200-000004000000}" name="Equipamento"/>
    <tableColumn id="5" xr3:uid="{00000000-0010-0000-0200-000005000000}" name="Tipo_Intervencao"/>
    <tableColumn id="6" xr3:uid="{00000000-0010-0000-0200-000006000000}" name="Descricao"/>
    <tableColumn id="7" xr3:uid="{00000000-0010-0000-0200-000007000000}" name="Executante"/>
    <tableColumn id="8" xr3:uid="{00000000-0010-0000-0200-000008000000}" name="Empresa_Tecnico"/>
    <tableColumn id="9" xr3:uid="{00000000-0010-0000-0200-000009000000}" name="Resultado"/>
    <tableColumn id="10" xr3:uid="{00000000-0010-0000-0200-00000A000000}" name="Fuga_Detetada"/>
    <tableColumn id="11" xr3:uid="{00000000-0010-0000-0200-00000B000000}" name="Fluido_Recarregado_kg"/>
    <tableColumn id="12" xr3:uid="{00000000-0010-0000-0200-00000C000000}" name="Horas"/>
    <tableColumn id="13" xr3:uid="{00000000-0010-0000-0200-00000D000000}" name="Custo_EUR"/>
    <tableColumn id="14" xr3:uid="{00000000-0010-0000-0200-00000E000000}" name="ID_Legal"/>
    <tableColumn id="15" xr3:uid="{00000000-0010-0000-0200-00000F000000}" name="ID_Incidente"/>
    <tableColumn id="16" xr3:uid="{00000000-0010-0000-0200-000010000000}" name="tCO2e_Fuga"/>
    <tableColumn id="17" xr3:uid="{00000000-0010-0000-0200-000011000000}" name="Proxima_Intervencao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dicionario" displayName="tbl_dicionario" ref="A1:I46">
  <autoFilter ref="A1:I46" xr:uid="{00000000-0009-0000-0100-000004000000}"/>
  <tableColumns count="9">
    <tableColumn id="1" xr3:uid="{00000000-0010-0000-0300-000001000000}" name="Folha"/>
    <tableColumn id="2" xr3:uid="{00000000-0010-0000-0300-000002000000}" name="Tabela"/>
    <tableColumn id="3" xr3:uid="{00000000-0010-0000-0300-000003000000}" name="Coluna"/>
    <tableColumn id="4" xr3:uid="{00000000-0010-0000-0300-000004000000}" name="Tipo"/>
    <tableColumn id="5" xr3:uid="{00000000-0010-0000-0300-000005000000}" name="Origem"/>
    <tableColumn id="6" xr3:uid="{00000000-0010-0000-0300-000006000000}" name="Descricao"/>
    <tableColumn id="7" xr3:uid="{00000000-0010-0000-0300-000007000000}" name="Dominio_Unidade"/>
    <tableColumn id="8" xr3:uid="{00000000-0010-0000-0300-000008000000}" name="Obrigatorio"/>
    <tableColumn id="9" xr3:uid="{00000000-0010-0000-03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9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ht="26.4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9" spans="1:2" x14ac:dyDescent="0.3">
      <c r="A29" s="3" t="s">
        <v>42</v>
      </c>
      <c r="B29" s="4"/>
    </row>
    <row r="30" spans="1:2" ht="26.4" x14ac:dyDescent="0.3">
      <c r="A30" s="5" t="s">
        <v>43</v>
      </c>
      <c r="B30" s="6" t="s">
        <v>44</v>
      </c>
    </row>
    <row r="31" spans="1:2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7" spans="1:2" x14ac:dyDescent="0.3">
      <c r="A37" s="3" t="s">
        <v>55</v>
      </c>
      <c r="B37" s="4"/>
    </row>
    <row r="38" spans="1:2" x14ac:dyDescent="0.3">
      <c r="A38" s="5" t="s">
        <v>56</v>
      </c>
      <c r="B38" s="6" t="s">
        <v>57</v>
      </c>
    </row>
    <row r="39" spans="1:2" x14ac:dyDescent="0.3">
      <c r="A39" s="5" t="s">
        <v>58</v>
      </c>
      <c r="B39" s="6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4" customWidth="1"/>
    <col min="3" max="3" width="7" customWidth="1"/>
    <col min="4" max="4" width="40" customWidth="1"/>
    <col min="5" max="5" width="56" customWidth="1"/>
    <col min="6" max="6" width="22" customWidth="1"/>
    <col min="7" max="7" width="14" customWidth="1"/>
    <col min="8" max="8" width="24" customWidth="1"/>
    <col min="9" max="9" width="8" customWidth="1"/>
    <col min="10" max="10" width="7" customWidth="1"/>
    <col min="11" max="11" width="10" customWidth="1"/>
    <col min="12" max="12" width="9" customWidth="1"/>
    <col min="13" max="14" width="10" customWidth="1"/>
    <col min="15" max="15" width="12" customWidth="1"/>
  </cols>
  <sheetData>
    <row r="1" spans="1:15" ht="17.399999999999999" x14ac:dyDescent="0.3">
      <c r="A1" s="1" t="s">
        <v>60</v>
      </c>
    </row>
    <row r="2" spans="1:15" x14ac:dyDescent="0.3">
      <c r="A2" s="2" t="s">
        <v>61</v>
      </c>
    </row>
    <row r="4" spans="1:15" ht="39.6" x14ac:dyDescent="0.3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72</v>
      </c>
      <c r="L4" s="9" t="s">
        <v>73</v>
      </c>
      <c r="M4" s="9" t="s">
        <v>74</v>
      </c>
      <c r="N4" s="9" t="s">
        <v>75</v>
      </c>
      <c r="O4" s="9" t="s">
        <v>76</v>
      </c>
    </row>
    <row r="5" spans="1:15" ht="61.95" customHeight="1" x14ac:dyDescent="0.3">
      <c r="A5" s="10" t="s">
        <v>77</v>
      </c>
      <c r="B5" s="10" t="s">
        <v>78</v>
      </c>
      <c r="C5" s="10" t="s">
        <v>79</v>
      </c>
      <c r="D5" s="10" t="s">
        <v>80</v>
      </c>
      <c r="E5" s="10" t="s">
        <v>81</v>
      </c>
      <c r="F5" s="10" t="s">
        <v>82</v>
      </c>
      <c r="G5" s="10" t="s">
        <v>83</v>
      </c>
      <c r="H5" s="10" t="s">
        <v>84</v>
      </c>
      <c r="I5" s="10" t="s">
        <v>85</v>
      </c>
      <c r="J5" s="10" t="s">
        <v>86</v>
      </c>
      <c r="K5" s="10" t="s">
        <v>87</v>
      </c>
      <c r="L5" s="11">
        <f>COUNTIF(tbl_execucao_rondas[ID_Ponto],A5)</f>
        <v>52</v>
      </c>
      <c r="M5" s="12">
        <f>IFERROR(COUNTIFS(tbl_execucao_rondas[ID_Ponto],A5,tbl_execucao_rondas[Resultado],"Conforme")/L5,"")</f>
        <v>0.84615384615384615</v>
      </c>
      <c r="N5" s="12">
        <f>IFERROR(COUNTIFS(tbl_execucao_rondas[ID_Ponto],A5,tbl_execucao_rondas[Resultado],"Conforme",tbl_execucao_rondas[Data],"&gt;="&amp;(DataRef-56))/COUNTIFS(tbl_execucao_rondas[ID_Ponto],A5,tbl_execucao_rondas[Data],"&gt;="&amp;(DataRef-56)),"")</f>
        <v>1</v>
      </c>
      <c r="O5" s="13" t="str">
        <f t="shared" ref="O5:O15" si="0">IF(OR(N5="",M5=""),"",IF(N5-M5&gt;=0.05,"▲ Melhoria",IF(M5-N5&gt;=0.05,"▼ Degradação","≈ Estável")))</f>
        <v>▲ Melhoria</v>
      </c>
    </row>
    <row r="6" spans="1:15" ht="61.95" customHeight="1" x14ac:dyDescent="0.3">
      <c r="A6" s="10" t="s">
        <v>88</v>
      </c>
      <c r="B6" s="10" t="s">
        <v>78</v>
      </c>
      <c r="C6" s="10" t="s">
        <v>89</v>
      </c>
      <c r="D6" s="10" t="s">
        <v>90</v>
      </c>
      <c r="E6" s="10" t="s">
        <v>91</v>
      </c>
      <c r="F6" s="10" t="s">
        <v>92</v>
      </c>
      <c r="G6" s="10" t="s">
        <v>83</v>
      </c>
      <c r="H6" s="10" t="s">
        <v>93</v>
      </c>
      <c r="I6" s="10" t="s">
        <v>94</v>
      </c>
      <c r="J6" s="10" t="s">
        <v>86</v>
      </c>
      <c r="K6" s="10" t="s">
        <v>87</v>
      </c>
      <c r="L6" s="11">
        <f>COUNTIF(tbl_execucao_rondas[ID_Ponto],A6)</f>
        <v>52</v>
      </c>
      <c r="M6" s="12">
        <f>IFERROR(COUNTIFS(tbl_execucao_rondas[ID_Ponto],A6,tbl_execucao_rondas[Resultado],"Conforme")/L6,"")</f>
        <v>0.76923076923076927</v>
      </c>
      <c r="N6" s="12">
        <f>IFERROR(COUNTIFS(tbl_execucao_rondas[ID_Ponto],A6,tbl_execucao_rondas[Resultado],"Conforme",tbl_execucao_rondas[Data],"&gt;="&amp;(DataRef-56))/COUNTIFS(tbl_execucao_rondas[ID_Ponto],A6,tbl_execucao_rondas[Data],"&gt;="&amp;(DataRef-56)),"")</f>
        <v>0.75</v>
      </c>
      <c r="O6" s="13" t="str">
        <f t="shared" si="0"/>
        <v>≈ Estável</v>
      </c>
    </row>
    <row r="7" spans="1:15" ht="61.95" customHeight="1" x14ac:dyDescent="0.3">
      <c r="A7" s="10" t="s">
        <v>95</v>
      </c>
      <c r="B7" s="10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83</v>
      </c>
      <c r="H7" s="10" t="s">
        <v>101</v>
      </c>
      <c r="I7" s="10" t="s">
        <v>102</v>
      </c>
      <c r="J7" s="10" t="s">
        <v>86</v>
      </c>
      <c r="K7" s="10" t="s">
        <v>87</v>
      </c>
      <c r="L7" s="11">
        <f>COUNTIF(tbl_execucao_rondas[ID_Ponto],A7)</f>
        <v>52</v>
      </c>
      <c r="M7" s="12">
        <f>IFERROR(COUNTIFS(tbl_execucao_rondas[ID_Ponto],A7,tbl_execucao_rondas[Resultado],"Conforme")/L7,"")</f>
        <v>0.86538461538461542</v>
      </c>
      <c r="N7" s="12">
        <f>IFERROR(COUNTIFS(tbl_execucao_rondas[ID_Ponto],A7,tbl_execucao_rondas[Resultado],"Conforme",tbl_execucao_rondas[Data],"&gt;="&amp;(DataRef-56))/COUNTIFS(tbl_execucao_rondas[ID_Ponto],A7,tbl_execucao_rondas[Data],"&gt;="&amp;(DataRef-56)),"")</f>
        <v>1</v>
      </c>
      <c r="O7" s="13" t="str">
        <f t="shared" si="0"/>
        <v>▲ Melhoria</v>
      </c>
    </row>
    <row r="8" spans="1:15" ht="61.95" customHeight="1" x14ac:dyDescent="0.3">
      <c r="A8" s="10" t="s">
        <v>103</v>
      </c>
      <c r="B8" s="10" t="s">
        <v>96</v>
      </c>
      <c r="C8" s="10" t="s">
        <v>104</v>
      </c>
      <c r="D8" s="10" t="s">
        <v>105</v>
      </c>
      <c r="E8" s="10" t="s">
        <v>106</v>
      </c>
      <c r="F8" s="10" t="s">
        <v>107</v>
      </c>
      <c r="G8" s="10" t="s">
        <v>83</v>
      </c>
      <c r="H8" s="10" t="s">
        <v>101</v>
      </c>
      <c r="I8" s="10" t="s">
        <v>108</v>
      </c>
      <c r="J8" s="10" t="s">
        <v>86</v>
      </c>
      <c r="K8" s="10" t="s">
        <v>87</v>
      </c>
      <c r="L8" s="11">
        <f>COUNTIF(tbl_execucao_rondas[ID_Ponto],A8)</f>
        <v>52</v>
      </c>
      <c r="M8" s="12">
        <f>IFERROR(COUNTIFS(tbl_execucao_rondas[ID_Ponto],A8,tbl_execucao_rondas[Resultado],"Conforme")/L8,"")</f>
        <v>0.96153846153846156</v>
      </c>
      <c r="N8" s="12">
        <f>IFERROR(COUNTIFS(tbl_execucao_rondas[ID_Ponto],A8,tbl_execucao_rondas[Resultado],"Conforme",tbl_execucao_rondas[Data],"&gt;="&amp;(DataRef-56))/COUNTIFS(tbl_execucao_rondas[ID_Ponto],A8,tbl_execucao_rondas[Data],"&gt;="&amp;(DataRef-56)),"")</f>
        <v>0.875</v>
      </c>
      <c r="O8" s="13" t="str">
        <f t="shared" si="0"/>
        <v>▼ Degradação</v>
      </c>
    </row>
    <row r="9" spans="1:15" ht="61.95" customHeight="1" x14ac:dyDescent="0.3">
      <c r="A9" s="10" t="s">
        <v>109</v>
      </c>
      <c r="B9" s="10" t="s">
        <v>110</v>
      </c>
      <c r="C9" s="10" t="s">
        <v>111</v>
      </c>
      <c r="D9" s="10" t="s">
        <v>112</v>
      </c>
      <c r="E9" s="10" t="s">
        <v>113</v>
      </c>
      <c r="F9" s="10" t="s">
        <v>114</v>
      </c>
      <c r="G9" s="10" t="s">
        <v>115</v>
      </c>
      <c r="H9" s="10" t="s">
        <v>116</v>
      </c>
      <c r="I9" s="10" t="s">
        <v>117</v>
      </c>
      <c r="J9" s="10" t="s">
        <v>118</v>
      </c>
      <c r="K9" s="10" t="s">
        <v>87</v>
      </c>
      <c r="L9" s="11">
        <f>COUNTIF(tbl_execucao_rondas[ID_Ponto],A9)</f>
        <v>13</v>
      </c>
      <c r="M9" s="12">
        <f>IFERROR(COUNTIFS(tbl_execucao_rondas[ID_Ponto],A9,tbl_execucao_rondas[Resultado],"Conforme")/L9,"")</f>
        <v>0.92307692307692313</v>
      </c>
      <c r="N9" s="12">
        <f>IFERROR(COUNTIFS(tbl_execucao_rondas[ID_Ponto],A9,tbl_execucao_rondas[Resultado],"Conforme",tbl_execucao_rondas[Data],"&gt;="&amp;(DataRef-56))/COUNTIFS(tbl_execucao_rondas[ID_Ponto],A9,tbl_execucao_rondas[Data],"&gt;="&amp;(DataRef-56)),"")</f>
        <v>1</v>
      </c>
      <c r="O9" s="13" t="str">
        <f t="shared" si="0"/>
        <v>▲ Melhoria</v>
      </c>
    </row>
    <row r="10" spans="1:15" ht="61.95" customHeight="1" x14ac:dyDescent="0.3">
      <c r="A10" s="10" t="s">
        <v>119</v>
      </c>
      <c r="B10" s="10" t="s">
        <v>110</v>
      </c>
      <c r="C10" s="10" t="s">
        <v>111</v>
      </c>
      <c r="D10" s="10" t="s">
        <v>120</v>
      </c>
      <c r="E10" s="10" t="s">
        <v>121</v>
      </c>
      <c r="F10" s="10" t="s">
        <v>122</v>
      </c>
      <c r="G10" s="10" t="s">
        <v>123</v>
      </c>
      <c r="H10" s="10" t="s">
        <v>93</v>
      </c>
      <c r="I10" s="10" t="s">
        <v>94</v>
      </c>
      <c r="J10" s="10" t="s">
        <v>118</v>
      </c>
      <c r="K10" s="10" t="s">
        <v>87</v>
      </c>
      <c r="L10" s="11">
        <f>COUNTIF(tbl_execucao_rondas[ID_Ponto],A10)</f>
        <v>13</v>
      </c>
      <c r="M10" s="12">
        <f>IFERROR(COUNTIFS(tbl_execucao_rondas[ID_Ponto],A10,tbl_execucao_rondas[Resultado],"Conforme")/L10,"")</f>
        <v>0.92307692307692313</v>
      </c>
      <c r="N10" s="12">
        <f>IFERROR(COUNTIFS(tbl_execucao_rondas[ID_Ponto],A10,tbl_execucao_rondas[Resultado],"Conforme",tbl_execucao_rondas[Data],"&gt;="&amp;(DataRef-56))/COUNTIFS(tbl_execucao_rondas[ID_Ponto],A10,tbl_execucao_rondas[Data],"&gt;="&amp;(DataRef-56)),"")</f>
        <v>1</v>
      </c>
      <c r="O10" s="13" t="str">
        <f t="shared" si="0"/>
        <v>▲ Melhoria</v>
      </c>
    </row>
    <row r="11" spans="1:15" ht="61.95" customHeight="1" x14ac:dyDescent="0.3">
      <c r="A11" s="10" t="s">
        <v>124</v>
      </c>
      <c r="B11" s="10" t="s">
        <v>125</v>
      </c>
      <c r="C11" s="10" t="s">
        <v>126</v>
      </c>
      <c r="D11" s="10" t="s">
        <v>127</v>
      </c>
      <c r="E11" s="10" t="s">
        <v>128</v>
      </c>
      <c r="F11" s="10" t="s">
        <v>129</v>
      </c>
      <c r="G11" s="10" t="s">
        <v>83</v>
      </c>
      <c r="H11" s="10" t="s">
        <v>93</v>
      </c>
      <c r="I11" s="10" t="s">
        <v>130</v>
      </c>
      <c r="J11" s="10" t="s">
        <v>86</v>
      </c>
      <c r="K11" s="10" t="s">
        <v>87</v>
      </c>
      <c r="L11" s="11">
        <f>COUNTIF(tbl_execucao_rondas[ID_Ponto],A11)</f>
        <v>52</v>
      </c>
      <c r="M11" s="12">
        <f>IFERROR(COUNTIFS(tbl_execucao_rondas[ID_Ponto],A11,tbl_execucao_rondas[Resultado],"Conforme")/L11,"")</f>
        <v>0.90384615384615385</v>
      </c>
      <c r="N11" s="12">
        <f>IFERROR(COUNTIFS(tbl_execucao_rondas[ID_Ponto],A11,tbl_execucao_rondas[Resultado],"Conforme",tbl_execucao_rondas[Data],"&gt;="&amp;(DataRef-56))/COUNTIFS(tbl_execucao_rondas[ID_Ponto],A11,tbl_execucao_rondas[Data],"&gt;="&amp;(DataRef-56)),"")</f>
        <v>0.875</v>
      </c>
      <c r="O11" s="13" t="str">
        <f t="shared" si="0"/>
        <v>≈ Estável</v>
      </c>
    </row>
    <row r="12" spans="1:15" ht="61.95" customHeight="1" x14ac:dyDescent="0.3">
      <c r="A12" s="10" t="s">
        <v>131</v>
      </c>
      <c r="B12" s="10" t="s">
        <v>125</v>
      </c>
      <c r="C12" s="10" t="s">
        <v>126</v>
      </c>
      <c r="D12" s="10" t="s">
        <v>132</v>
      </c>
      <c r="E12" s="10" t="s">
        <v>133</v>
      </c>
      <c r="F12" s="10" t="s">
        <v>134</v>
      </c>
      <c r="G12" s="10" t="s">
        <v>83</v>
      </c>
      <c r="H12" s="10" t="s">
        <v>93</v>
      </c>
      <c r="I12" s="10" t="s">
        <v>135</v>
      </c>
      <c r="J12" s="10" t="s">
        <v>86</v>
      </c>
      <c r="K12" s="10" t="s">
        <v>87</v>
      </c>
      <c r="L12" s="11">
        <f>COUNTIF(tbl_execucao_rondas[ID_Ponto],A12)</f>
        <v>52</v>
      </c>
      <c r="M12" s="12">
        <f>IFERROR(COUNTIFS(tbl_execucao_rondas[ID_Ponto],A12,tbl_execucao_rondas[Resultado],"Conforme")/L12,"")</f>
        <v>1</v>
      </c>
      <c r="N12" s="12">
        <f>IFERROR(COUNTIFS(tbl_execucao_rondas[ID_Ponto],A12,tbl_execucao_rondas[Resultado],"Conforme",tbl_execucao_rondas[Data],"&gt;="&amp;(DataRef-56))/COUNTIFS(tbl_execucao_rondas[ID_Ponto],A12,tbl_execucao_rondas[Data],"&gt;="&amp;(DataRef-56)),"")</f>
        <v>1</v>
      </c>
      <c r="O12" s="13" t="str">
        <f t="shared" si="0"/>
        <v>≈ Estável</v>
      </c>
    </row>
    <row r="13" spans="1:15" ht="61.95" customHeight="1" x14ac:dyDescent="0.3">
      <c r="A13" s="10" t="s">
        <v>136</v>
      </c>
      <c r="B13" s="10" t="s">
        <v>137</v>
      </c>
      <c r="C13" s="10" t="s">
        <v>138</v>
      </c>
      <c r="D13" s="10" t="s">
        <v>139</v>
      </c>
      <c r="E13" s="10" t="s">
        <v>140</v>
      </c>
      <c r="F13" s="10" t="s">
        <v>129</v>
      </c>
      <c r="G13" s="10" t="s">
        <v>83</v>
      </c>
      <c r="H13" s="10" t="s">
        <v>141</v>
      </c>
      <c r="I13" s="10" t="s">
        <v>142</v>
      </c>
      <c r="J13" s="10" t="s">
        <v>86</v>
      </c>
      <c r="K13" s="10" t="s">
        <v>143</v>
      </c>
      <c r="L13" s="11">
        <f>COUNTIF(tbl_execucao_rondas[ID_Ponto],A13)</f>
        <v>52</v>
      </c>
      <c r="M13" s="12">
        <f>IFERROR(COUNTIFS(tbl_execucao_rondas[ID_Ponto],A13,tbl_execucao_rondas[Resultado],"Conforme")/L13,"")</f>
        <v>0.61538461538461542</v>
      </c>
      <c r="N13" s="12">
        <f>IFERROR(COUNTIFS(tbl_execucao_rondas[ID_Ponto],A13,tbl_execucao_rondas[Resultado],"Conforme",tbl_execucao_rondas[Data],"&gt;="&amp;(DataRef-56))/COUNTIFS(tbl_execucao_rondas[ID_Ponto],A13,tbl_execucao_rondas[Data],"&gt;="&amp;(DataRef-56)),"")</f>
        <v>1</v>
      </c>
      <c r="O13" s="13" t="str">
        <f t="shared" si="0"/>
        <v>▲ Melhoria</v>
      </c>
    </row>
    <row r="14" spans="1:15" ht="61.95" customHeight="1" x14ac:dyDescent="0.3">
      <c r="A14" s="10" t="s">
        <v>144</v>
      </c>
      <c r="B14" s="10" t="s">
        <v>78</v>
      </c>
      <c r="C14" s="10" t="s">
        <v>111</v>
      </c>
      <c r="D14" s="10" t="s">
        <v>145</v>
      </c>
      <c r="E14" s="10" t="s">
        <v>146</v>
      </c>
      <c r="F14" s="10" t="s">
        <v>147</v>
      </c>
      <c r="G14" s="10" t="s">
        <v>115</v>
      </c>
      <c r="H14" s="10" t="s">
        <v>93</v>
      </c>
      <c r="I14" s="10" t="s">
        <v>94</v>
      </c>
      <c r="J14" s="10" t="s">
        <v>86</v>
      </c>
      <c r="K14" s="10" t="s">
        <v>143</v>
      </c>
      <c r="L14" s="11">
        <f>COUNTIF(tbl_execucao_rondas[ID_Ponto],A14)</f>
        <v>13</v>
      </c>
      <c r="M14" s="12">
        <f>IFERROR(COUNTIFS(tbl_execucao_rondas[ID_Ponto],A14,tbl_execucao_rondas[Resultado],"Conforme")/L14,"")</f>
        <v>1</v>
      </c>
      <c r="N14" s="12">
        <f>IFERROR(COUNTIFS(tbl_execucao_rondas[ID_Ponto],A14,tbl_execucao_rondas[Resultado],"Conforme",tbl_execucao_rondas[Data],"&gt;="&amp;(DataRef-56))/COUNTIFS(tbl_execucao_rondas[ID_Ponto],A14,tbl_execucao_rondas[Data],"&gt;="&amp;(DataRef-56)),"")</f>
        <v>1</v>
      </c>
      <c r="O14" s="13" t="str">
        <f t="shared" si="0"/>
        <v>≈ Estável</v>
      </c>
    </row>
    <row r="15" spans="1:15" ht="61.95" customHeight="1" x14ac:dyDescent="0.3">
      <c r="A15" s="10" t="s">
        <v>148</v>
      </c>
      <c r="B15" s="10" t="s">
        <v>137</v>
      </c>
      <c r="C15" s="10" t="s">
        <v>104</v>
      </c>
      <c r="D15" s="10" t="s">
        <v>149</v>
      </c>
      <c r="E15" s="10" t="s">
        <v>150</v>
      </c>
      <c r="F15" s="10" t="s">
        <v>129</v>
      </c>
      <c r="G15" s="10" t="s">
        <v>83</v>
      </c>
      <c r="H15" s="10" t="s">
        <v>151</v>
      </c>
      <c r="I15" s="10" t="s">
        <v>152</v>
      </c>
      <c r="J15" s="10" t="s">
        <v>86</v>
      </c>
      <c r="K15" s="10" t="s">
        <v>143</v>
      </c>
      <c r="L15" s="11">
        <f>COUNTIF(tbl_execucao_rondas[ID_Ponto],A15)</f>
        <v>52</v>
      </c>
      <c r="M15" s="12">
        <f>IFERROR(COUNTIFS(tbl_execucao_rondas[ID_Ponto],A15,tbl_execucao_rondas[Resultado],"Conforme")/L15,"")</f>
        <v>0.82692307692307687</v>
      </c>
      <c r="N15" s="12">
        <f>IFERROR(COUNTIFS(tbl_execucao_rondas[ID_Ponto],A15,tbl_execucao_rondas[Resultado],"Conforme",tbl_execucao_rondas[Data],"&gt;="&amp;(DataRef-56))/COUNTIFS(tbl_execucao_rondas[ID_Ponto],A15,tbl_execucao_rondas[Data],"&gt;="&amp;(DataRef-56)),"")</f>
        <v>1</v>
      </c>
      <c r="O15" s="13" t="str">
        <f t="shared" si="0"/>
        <v>▲ Melhoria</v>
      </c>
    </row>
  </sheetData>
  <conditionalFormatting sqref="B5:B215">
    <cfRule type="expression" dxfId="12" priority="5">
      <formula>ISNUMBER(SEARCH("extra",B5))</formula>
    </cfRule>
  </conditionalFormatting>
  <conditionalFormatting sqref="M5:M215">
    <cfRule type="expression" dxfId="11" priority="4">
      <formula>AND(ISNUMBER(M5),M5&lt;0.8)</formula>
    </cfRule>
  </conditionalFormatting>
  <conditionalFormatting sqref="O5:O215">
    <cfRule type="expression" dxfId="10" priority="1">
      <formula>ISNUMBER(SEARCH("Melhoria",O5))</formula>
    </cfRule>
    <cfRule type="expression" dxfId="9" priority="2">
      <formula>ISNUMBER(SEARCH("Degradação",O5))</formula>
    </cfRule>
    <cfRule type="expression" dxfId="8" priority="3">
      <formula>ISNUMBER(SEARCH("Estável",O5))</formula>
    </cfRule>
  </conditionalFormatting>
  <dataValidations count="4">
    <dataValidation type="list" allowBlank="1" showErrorMessage="1" errorTitle="Valor inválido" error="Valor fora da lista controlada (ver folha Listas)." sqref="B5:B215" xr:uid="{00000000-0002-0000-0100-000000000000}">
      <formula1>lst_Categoria</formula1>
    </dataValidation>
    <dataValidation type="list" allowBlank="1" showErrorMessage="1" errorTitle="Valor inválido" error="Valor fora da lista controlada (ver folha Listas)." sqref="C5:C215" xr:uid="{00000000-0002-0000-0100-000001000000}">
      <formula1>lst_Processo</formula1>
    </dataValidation>
    <dataValidation type="list" allowBlank="1" showErrorMessage="1" errorTitle="Valor inválido" error="Valor fora da lista controlada (ver folha Listas)." sqref="H5:H215" xr:uid="{00000000-0002-0000-0100-000002000000}">
      <formula1>lst_Funcao</formula1>
    </dataValidation>
    <dataValidation type="list" allowBlank="1" showErrorMessage="1" errorTitle="Valor inválido" error="Valor fora da lista controlada (ver folha Listas)." sqref="K5:K215" xr:uid="{00000000-0002-0000-0100-000003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56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8" customWidth="1"/>
    <col min="4" max="4" width="6" customWidth="1"/>
    <col min="5" max="5" width="8" customWidth="1"/>
    <col min="6" max="6" width="24" customWidth="1"/>
    <col min="7" max="7" width="12" customWidth="1"/>
    <col min="8" max="8" width="40" customWidth="1"/>
    <col min="9" max="9" width="28" customWidth="1"/>
    <col min="10" max="10" width="12" customWidth="1"/>
    <col min="11" max="11" width="18" customWidth="1"/>
    <col min="12" max="12" width="26" customWidth="1"/>
    <col min="13" max="13" width="7" customWidth="1"/>
  </cols>
  <sheetData>
    <row r="1" spans="1:13" ht="26.4" x14ac:dyDescent="0.3">
      <c r="A1" s="8" t="s">
        <v>153</v>
      </c>
      <c r="B1" s="8" t="s">
        <v>154</v>
      </c>
      <c r="C1" s="9" t="s">
        <v>155</v>
      </c>
      <c r="D1" s="8" t="s">
        <v>156</v>
      </c>
      <c r="E1" s="8" t="s">
        <v>62</v>
      </c>
      <c r="F1" s="9" t="s">
        <v>63</v>
      </c>
      <c r="G1" s="8" t="s">
        <v>157</v>
      </c>
      <c r="H1" s="8" t="s">
        <v>158</v>
      </c>
      <c r="I1" s="8" t="s">
        <v>159</v>
      </c>
      <c r="J1" s="8" t="s">
        <v>160</v>
      </c>
      <c r="K1" s="8" t="s">
        <v>161</v>
      </c>
      <c r="L1" s="8" t="s">
        <v>162</v>
      </c>
      <c r="M1" s="9" t="s">
        <v>163</v>
      </c>
    </row>
    <row r="2" spans="1:13" ht="26.4" x14ac:dyDescent="0.3">
      <c r="A2" s="10" t="s">
        <v>164</v>
      </c>
      <c r="B2" s="14">
        <v>46027</v>
      </c>
      <c r="C2" s="11">
        <f t="shared" ref="C2:C65" si="0">YEAR(B2)*100+MONTH(B2)</f>
        <v>202601</v>
      </c>
      <c r="D2" s="15">
        <v>1</v>
      </c>
      <c r="E2" s="10" t="s">
        <v>77</v>
      </c>
      <c r="F2" s="13" t="str">
        <f>IFERROR(INDEX(tbl_pontos[Categoria],MATCH(E2,tbl_pontos[ID_Ponto],0)),"")</f>
        <v>1. Gestão de Produtos Químicos</v>
      </c>
      <c r="G2" s="10" t="s">
        <v>165</v>
      </c>
      <c r="H2" s="10"/>
      <c r="I2" s="10"/>
      <c r="J2" s="10"/>
      <c r="K2" s="10"/>
      <c r="L2" s="10" t="s">
        <v>84</v>
      </c>
      <c r="M2" s="11">
        <f t="shared" ref="M2:M65" si="1">IF(G2="Não conforme",1,0)</f>
        <v>0</v>
      </c>
    </row>
    <row r="3" spans="1:13" ht="26.4" x14ac:dyDescent="0.3">
      <c r="A3" s="10" t="s">
        <v>164</v>
      </c>
      <c r="B3" s="14">
        <v>46027</v>
      </c>
      <c r="C3" s="11">
        <f t="shared" si="0"/>
        <v>202601</v>
      </c>
      <c r="D3" s="15">
        <v>3</v>
      </c>
      <c r="E3" s="10" t="s">
        <v>88</v>
      </c>
      <c r="F3" s="13" t="str">
        <f>IFERROR(INDEX(tbl_pontos[Categoria],MATCH(E3,tbl_pontos[ID_Ponto],0)),"")</f>
        <v>1. Gestão de Produtos Químicos</v>
      </c>
      <c r="G3" s="10" t="s">
        <v>165</v>
      </c>
      <c r="H3" s="10"/>
      <c r="I3" s="10"/>
      <c r="J3" s="10"/>
      <c r="K3" s="10"/>
      <c r="L3" s="10" t="s">
        <v>84</v>
      </c>
      <c r="M3" s="11">
        <f t="shared" si="1"/>
        <v>0</v>
      </c>
    </row>
    <row r="4" spans="1:13" ht="26.4" x14ac:dyDescent="0.3">
      <c r="A4" s="10" t="s">
        <v>164</v>
      </c>
      <c r="B4" s="14">
        <v>46027</v>
      </c>
      <c r="C4" s="11">
        <f t="shared" si="0"/>
        <v>202601</v>
      </c>
      <c r="D4" s="15">
        <v>2</v>
      </c>
      <c r="E4" s="10" t="s">
        <v>95</v>
      </c>
      <c r="F4" s="13" t="str">
        <f>IFERROR(INDEX(tbl_pontos[Categoria],MATCH(E4,tbl_pontos[ID_Ponto],0)),"")</f>
        <v>2. Eficiência e Manutenção</v>
      </c>
      <c r="G4" s="10" t="s">
        <v>165</v>
      </c>
      <c r="H4" s="10"/>
      <c r="I4" s="10"/>
      <c r="J4" s="10"/>
      <c r="K4" s="10"/>
      <c r="L4" s="10" t="s">
        <v>84</v>
      </c>
      <c r="M4" s="11">
        <f t="shared" si="1"/>
        <v>0</v>
      </c>
    </row>
    <row r="5" spans="1:13" ht="26.4" x14ac:dyDescent="0.3">
      <c r="A5" s="10" t="s">
        <v>164</v>
      </c>
      <c r="B5" s="14">
        <v>46027</v>
      </c>
      <c r="C5" s="11">
        <f t="shared" si="0"/>
        <v>202601</v>
      </c>
      <c r="D5" s="15">
        <v>2</v>
      </c>
      <c r="E5" s="10" t="s">
        <v>103</v>
      </c>
      <c r="F5" s="13" t="str">
        <f>IFERROR(INDEX(tbl_pontos[Categoria],MATCH(E5,tbl_pontos[ID_Ponto],0)),"")</f>
        <v>2. Eficiência e Manutenção</v>
      </c>
      <c r="G5" s="10" t="s">
        <v>165</v>
      </c>
      <c r="H5" s="10"/>
      <c r="I5" s="10"/>
      <c r="J5" s="10"/>
      <c r="K5" s="10"/>
      <c r="L5" s="10" t="s">
        <v>84</v>
      </c>
      <c r="M5" s="11">
        <f t="shared" si="1"/>
        <v>0</v>
      </c>
    </row>
    <row r="6" spans="1:13" ht="26.4" x14ac:dyDescent="0.3">
      <c r="A6" s="10" t="s">
        <v>164</v>
      </c>
      <c r="B6" s="14">
        <v>46027</v>
      </c>
      <c r="C6" s="11">
        <f t="shared" si="0"/>
        <v>202601</v>
      </c>
      <c r="D6" s="15">
        <v>1</v>
      </c>
      <c r="E6" s="10" t="s">
        <v>109</v>
      </c>
      <c r="F6" s="13" t="str">
        <f>IFERROR(INDEX(tbl_pontos[Categoria],MATCH(E6,tbl_pontos[ID_Ponto],0)),"")</f>
        <v>3. Emergência</v>
      </c>
      <c r="G6" s="10" t="s">
        <v>165</v>
      </c>
      <c r="H6" s="10"/>
      <c r="I6" s="10"/>
      <c r="J6" s="10"/>
      <c r="K6" s="10"/>
      <c r="L6" s="10" t="s">
        <v>84</v>
      </c>
      <c r="M6" s="11">
        <f t="shared" si="1"/>
        <v>0</v>
      </c>
    </row>
    <row r="7" spans="1:13" ht="26.4" x14ac:dyDescent="0.3">
      <c r="A7" s="10" t="s">
        <v>164</v>
      </c>
      <c r="B7" s="14">
        <v>46027</v>
      </c>
      <c r="C7" s="11">
        <f t="shared" si="0"/>
        <v>202601</v>
      </c>
      <c r="D7" s="15">
        <v>1</v>
      </c>
      <c r="E7" s="10" t="s">
        <v>119</v>
      </c>
      <c r="F7" s="13" t="str">
        <f>IFERROR(INDEX(tbl_pontos[Categoria],MATCH(E7,tbl_pontos[ID_Ponto],0)),"")</f>
        <v>3. Emergência</v>
      </c>
      <c r="G7" s="10" t="s">
        <v>165</v>
      </c>
      <c r="H7" s="10"/>
      <c r="I7" s="10"/>
      <c r="J7" s="10"/>
      <c r="K7" s="10"/>
      <c r="L7" s="10" t="s">
        <v>84</v>
      </c>
      <c r="M7" s="11">
        <f t="shared" si="1"/>
        <v>0</v>
      </c>
    </row>
    <row r="8" spans="1:13" ht="26.4" x14ac:dyDescent="0.3">
      <c r="A8" s="10" t="s">
        <v>164</v>
      </c>
      <c r="B8" s="14">
        <v>46027</v>
      </c>
      <c r="C8" s="11">
        <f t="shared" si="0"/>
        <v>202601</v>
      </c>
      <c r="D8" s="15">
        <v>1</v>
      </c>
      <c r="E8" s="10" t="s">
        <v>124</v>
      </c>
      <c r="F8" s="13" t="str">
        <f>IFERROR(INDEX(tbl_pontos[Categoria],MATCH(E8,tbl_pontos[ID_Ponto],0)),"")</f>
        <v>4. Gestão de Resíduos</v>
      </c>
      <c r="G8" s="10" t="s">
        <v>165</v>
      </c>
      <c r="H8" s="10"/>
      <c r="I8" s="10"/>
      <c r="J8" s="10"/>
      <c r="K8" s="10"/>
      <c r="L8" s="10" t="s">
        <v>84</v>
      </c>
      <c r="M8" s="11">
        <f t="shared" si="1"/>
        <v>0</v>
      </c>
    </row>
    <row r="9" spans="1:13" ht="26.4" x14ac:dyDescent="0.3">
      <c r="A9" s="10" t="s">
        <v>164</v>
      </c>
      <c r="B9" s="14">
        <v>46027</v>
      </c>
      <c r="C9" s="11">
        <f t="shared" si="0"/>
        <v>202601</v>
      </c>
      <c r="D9" s="15">
        <v>1</v>
      </c>
      <c r="E9" s="10" t="s">
        <v>131</v>
      </c>
      <c r="F9" s="13" t="str">
        <f>IFERROR(INDEX(tbl_pontos[Categoria],MATCH(E9,tbl_pontos[ID_Ponto],0)),"")</f>
        <v>4. Gestão de Resíduos</v>
      </c>
      <c r="G9" s="10" t="s">
        <v>165</v>
      </c>
      <c r="H9" s="10"/>
      <c r="I9" s="10"/>
      <c r="J9" s="10"/>
      <c r="K9" s="10"/>
      <c r="L9" s="10" t="s">
        <v>84</v>
      </c>
      <c r="M9" s="11">
        <f t="shared" si="1"/>
        <v>0</v>
      </c>
    </row>
    <row r="10" spans="1:13" ht="26.4" x14ac:dyDescent="0.3">
      <c r="A10" s="10" t="s">
        <v>164</v>
      </c>
      <c r="B10" s="14">
        <v>46027</v>
      </c>
      <c r="C10" s="11">
        <f t="shared" si="0"/>
        <v>202601</v>
      </c>
      <c r="D10" s="15">
        <v>2</v>
      </c>
      <c r="E10" s="10" t="s">
        <v>136</v>
      </c>
      <c r="F10" s="13" t="str">
        <f>IFERROR(INDEX(tbl_pontos[Categoria],MATCH(E10,tbl_pontos[ID_Ponto],0)),"")</f>
        <v>5. Perdas de granulado e energia (extra)</v>
      </c>
      <c r="G10" s="10" t="s">
        <v>165</v>
      </c>
      <c r="H10" s="10"/>
      <c r="I10" s="10"/>
      <c r="J10" s="10"/>
      <c r="K10" s="10"/>
      <c r="L10" s="10" t="s">
        <v>84</v>
      </c>
      <c r="M10" s="11">
        <f t="shared" si="1"/>
        <v>0</v>
      </c>
    </row>
    <row r="11" spans="1:13" ht="26.4" x14ac:dyDescent="0.3">
      <c r="A11" s="10" t="s">
        <v>164</v>
      </c>
      <c r="B11" s="14">
        <v>46027</v>
      </c>
      <c r="C11" s="11">
        <f t="shared" si="0"/>
        <v>202601</v>
      </c>
      <c r="D11" s="15">
        <v>1</v>
      </c>
      <c r="E11" s="10" t="s">
        <v>148</v>
      </c>
      <c r="F11" s="13" t="str">
        <f>IFERROR(INDEX(tbl_pontos[Categoria],MATCH(E11,tbl_pontos[ID_Ponto],0)),"")</f>
        <v>5. Perdas de granulado e energia (extra)</v>
      </c>
      <c r="G11" s="10" t="s">
        <v>166</v>
      </c>
      <c r="H11" s="10" t="s">
        <v>167</v>
      </c>
      <c r="I11" s="10" t="s">
        <v>168</v>
      </c>
      <c r="J11" s="10"/>
      <c r="K11" s="10" t="s">
        <v>169</v>
      </c>
      <c r="L11" s="10" t="s">
        <v>84</v>
      </c>
      <c r="M11" s="11">
        <f t="shared" si="1"/>
        <v>1</v>
      </c>
    </row>
    <row r="12" spans="1:13" ht="26.4" x14ac:dyDescent="0.3">
      <c r="A12" s="10" t="s">
        <v>170</v>
      </c>
      <c r="B12" s="14">
        <v>46034</v>
      </c>
      <c r="C12" s="11">
        <f t="shared" si="0"/>
        <v>202601</v>
      </c>
      <c r="D12" s="15">
        <v>1</v>
      </c>
      <c r="E12" s="10" t="s">
        <v>77</v>
      </c>
      <c r="F12" s="13" t="str">
        <f>IFERROR(INDEX(tbl_pontos[Categoria],MATCH(E12,tbl_pontos[ID_Ponto],0)),"")</f>
        <v>1. Gestão de Produtos Químicos</v>
      </c>
      <c r="G12" s="10" t="s">
        <v>165</v>
      </c>
      <c r="H12" s="10"/>
      <c r="I12" s="10"/>
      <c r="J12" s="10"/>
      <c r="K12" s="10"/>
      <c r="L12" s="10" t="s">
        <v>151</v>
      </c>
      <c r="M12" s="11">
        <f t="shared" si="1"/>
        <v>0</v>
      </c>
    </row>
    <row r="13" spans="1:13" ht="26.4" x14ac:dyDescent="0.3">
      <c r="A13" s="10" t="s">
        <v>170</v>
      </c>
      <c r="B13" s="14">
        <v>46034</v>
      </c>
      <c r="C13" s="11">
        <f t="shared" si="0"/>
        <v>202601</v>
      </c>
      <c r="D13" s="15">
        <v>2</v>
      </c>
      <c r="E13" s="10" t="s">
        <v>88</v>
      </c>
      <c r="F13" s="13" t="str">
        <f>IFERROR(INDEX(tbl_pontos[Categoria],MATCH(E13,tbl_pontos[ID_Ponto],0)),"")</f>
        <v>1. Gestão de Produtos Químicos</v>
      </c>
      <c r="G13" s="10" t="s">
        <v>165</v>
      </c>
      <c r="H13" s="10"/>
      <c r="I13" s="10"/>
      <c r="J13" s="10"/>
      <c r="K13" s="10"/>
      <c r="L13" s="10" t="s">
        <v>151</v>
      </c>
      <c r="M13" s="11">
        <f t="shared" si="1"/>
        <v>0</v>
      </c>
    </row>
    <row r="14" spans="1:13" ht="26.4" x14ac:dyDescent="0.3">
      <c r="A14" s="10" t="s">
        <v>170</v>
      </c>
      <c r="B14" s="14">
        <v>46034</v>
      </c>
      <c r="C14" s="11">
        <f t="shared" si="0"/>
        <v>202601</v>
      </c>
      <c r="D14" s="15">
        <v>1</v>
      </c>
      <c r="E14" s="10" t="s">
        <v>95</v>
      </c>
      <c r="F14" s="13" t="str">
        <f>IFERROR(INDEX(tbl_pontos[Categoria],MATCH(E14,tbl_pontos[ID_Ponto],0)),"")</f>
        <v>2. Eficiência e Manutenção</v>
      </c>
      <c r="G14" s="10" t="s">
        <v>165</v>
      </c>
      <c r="H14" s="10"/>
      <c r="I14" s="10"/>
      <c r="J14" s="10"/>
      <c r="K14" s="10"/>
      <c r="L14" s="10" t="s">
        <v>151</v>
      </c>
      <c r="M14" s="11">
        <f t="shared" si="1"/>
        <v>0</v>
      </c>
    </row>
    <row r="15" spans="1:13" ht="26.4" x14ac:dyDescent="0.3">
      <c r="A15" s="10" t="s">
        <v>170</v>
      </c>
      <c r="B15" s="14">
        <v>46034</v>
      </c>
      <c r="C15" s="11">
        <f t="shared" si="0"/>
        <v>202601</v>
      </c>
      <c r="D15" s="15">
        <v>3</v>
      </c>
      <c r="E15" s="10" t="s">
        <v>103</v>
      </c>
      <c r="F15" s="13" t="str">
        <f>IFERROR(INDEX(tbl_pontos[Categoria],MATCH(E15,tbl_pontos[ID_Ponto],0)),"")</f>
        <v>2. Eficiência e Manutenção</v>
      </c>
      <c r="G15" s="10" t="s">
        <v>165</v>
      </c>
      <c r="H15" s="10"/>
      <c r="I15" s="10"/>
      <c r="J15" s="10"/>
      <c r="K15" s="10"/>
      <c r="L15" s="10" t="s">
        <v>151</v>
      </c>
      <c r="M15" s="11">
        <f t="shared" si="1"/>
        <v>0</v>
      </c>
    </row>
    <row r="16" spans="1:13" ht="26.4" x14ac:dyDescent="0.3">
      <c r="A16" s="10" t="s">
        <v>170</v>
      </c>
      <c r="B16" s="14">
        <v>46034</v>
      </c>
      <c r="C16" s="11">
        <f t="shared" si="0"/>
        <v>202601</v>
      </c>
      <c r="D16" s="15">
        <v>1</v>
      </c>
      <c r="E16" s="10" t="s">
        <v>124</v>
      </c>
      <c r="F16" s="13" t="str">
        <f>IFERROR(INDEX(tbl_pontos[Categoria],MATCH(E16,tbl_pontos[ID_Ponto],0)),"")</f>
        <v>4. Gestão de Resíduos</v>
      </c>
      <c r="G16" s="10" t="s">
        <v>165</v>
      </c>
      <c r="H16" s="10"/>
      <c r="I16" s="10"/>
      <c r="J16" s="10"/>
      <c r="K16" s="10"/>
      <c r="L16" s="10" t="s">
        <v>151</v>
      </c>
      <c r="M16" s="11">
        <f t="shared" si="1"/>
        <v>0</v>
      </c>
    </row>
    <row r="17" spans="1:13" ht="26.4" x14ac:dyDescent="0.3">
      <c r="A17" s="10" t="s">
        <v>170</v>
      </c>
      <c r="B17" s="14">
        <v>46034</v>
      </c>
      <c r="C17" s="11">
        <f t="shared" si="0"/>
        <v>202601</v>
      </c>
      <c r="D17" s="15">
        <v>1</v>
      </c>
      <c r="E17" s="10" t="s">
        <v>131</v>
      </c>
      <c r="F17" s="13" t="str">
        <f>IFERROR(INDEX(tbl_pontos[Categoria],MATCH(E17,tbl_pontos[ID_Ponto],0)),"")</f>
        <v>4. Gestão de Resíduos</v>
      </c>
      <c r="G17" s="10" t="s">
        <v>165</v>
      </c>
      <c r="H17" s="10"/>
      <c r="I17" s="10"/>
      <c r="J17" s="10"/>
      <c r="K17" s="10"/>
      <c r="L17" s="10" t="s">
        <v>151</v>
      </c>
      <c r="M17" s="11">
        <f t="shared" si="1"/>
        <v>0</v>
      </c>
    </row>
    <row r="18" spans="1:13" ht="26.4" x14ac:dyDescent="0.3">
      <c r="A18" s="10" t="s">
        <v>170</v>
      </c>
      <c r="B18" s="14">
        <v>46034</v>
      </c>
      <c r="C18" s="11">
        <f t="shared" si="0"/>
        <v>202601</v>
      </c>
      <c r="D18" s="15">
        <v>2</v>
      </c>
      <c r="E18" s="10" t="s">
        <v>136</v>
      </c>
      <c r="F18" s="13" t="str">
        <f>IFERROR(INDEX(tbl_pontos[Categoria],MATCH(E18,tbl_pontos[ID_Ponto],0)),"")</f>
        <v>5. Perdas de granulado e energia (extra)</v>
      </c>
      <c r="G18" s="10" t="s">
        <v>166</v>
      </c>
      <c r="H18" s="10" t="s">
        <v>171</v>
      </c>
      <c r="I18" s="10" t="s">
        <v>172</v>
      </c>
      <c r="J18" s="10"/>
      <c r="K18" s="10" t="s">
        <v>173</v>
      </c>
      <c r="L18" s="10" t="s">
        <v>151</v>
      </c>
      <c r="M18" s="11">
        <f t="shared" si="1"/>
        <v>1</v>
      </c>
    </row>
    <row r="19" spans="1:13" ht="26.4" x14ac:dyDescent="0.3">
      <c r="A19" s="10" t="s">
        <v>170</v>
      </c>
      <c r="B19" s="14">
        <v>46034</v>
      </c>
      <c r="C19" s="11">
        <f t="shared" si="0"/>
        <v>202601</v>
      </c>
      <c r="D19" s="15">
        <v>1</v>
      </c>
      <c r="E19" s="10" t="s">
        <v>148</v>
      </c>
      <c r="F19" s="13" t="str">
        <f>IFERROR(INDEX(tbl_pontos[Categoria],MATCH(E19,tbl_pontos[ID_Ponto],0)),"")</f>
        <v>5. Perdas de granulado e energia (extra)</v>
      </c>
      <c r="G19" s="10" t="s">
        <v>165</v>
      </c>
      <c r="H19" s="10"/>
      <c r="I19" s="10"/>
      <c r="J19" s="10"/>
      <c r="K19" s="10"/>
      <c r="L19" s="10" t="s">
        <v>151</v>
      </c>
      <c r="M19" s="11">
        <f t="shared" si="1"/>
        <v>0</v>
      </c>
    </row>
    <row r="20" spans="1:13" ht="26.4" x14ac:dyDescent="0.3">
      <c r="A20" s="10" t="s">
        <v>174</v>
      </c>
      <c r="B20" s="14">
        <v>46041</v>
      </c>
      <c r="C20" s="11">
        <f t="shared" si="0"/>
        <v>202601</v>
      </c>
      <c r="D20" s="15">
        <v>1</v>
      </c>
      <c r="E20" s="10" t="s">
        <v>77</v>
      </c>
      <c r="F20" s="13" t="str">
        <f>IFERROR(INDEX(tbl_pontos[Categoria],MATCH(E20,tbl_pontos[ID_Ponto],0)),"")</f>
        <v>1. Gestão de Produtos Químicos</v>
      </c>
      <c r="G20" s="10" t="s">
        <v>165</v>
      </c>
      <c r="H20" s="10"/>
      <c r="I20" s="10"/>
      <c r="J20" s="10"/>
      <c r="K20" s="10"/>
      <c r="L20" s="10" t="s">
        <v>84</v>
      </c>
      <c r="M20" s="11">
        <f t="shared" si="1"/>
        <v>0</v>
      </c>
    </row>
    <row r="21" spans="1:13" ht="26.4" x14ac:dyDescent="0.3">
      <c r="A21" s="10" t="s">
        <v>174</v>
      </c>
      <c r="B21" s="14">
        <v>46041</v>
      </c>
      <c r="C21" s="11">
        <f t="shared" si="0"/>
        <v>202601</v>
      </c>
      <c r="D21" s="15">
        <v>1</v>
      </c>
      <c r="E21" s="10" t="s">
        <v>88</v>
      </c>
      <c r="F21" s="13" t="str">
        <f>IFERROR(INDEX(tbl_pontos[Categoria],MATCH(E21,tbl_pontos[ID_Ponto],0)),"")</f>
        <v>1. Gestão de Produtos Químicos</v>
      </c>
      <c r="G21" s="10" t="s">
        <v>166</v>
      </c>
      <c r="H21" s="10" t="s">
        <v>175</v>
      </c>
      <c r="I21" s="10" t="s">
        <v>172</v>
      </c>
      <c r="J21" s="10"/>
      <c r="K21" s="10" t="s">
        <v>176</v>
      </c>
      <c r="L21" s="10" t="s">
        <v>84</v>
      </c>
      <c r="M21" s="11">
        <f t="shared" si="1"/>
        <v>1</v>
      </c>
    </row>
    <row r="22" spans="1:13" ht="26.4" x14ac:dyDescent="0.3">
      <c r="A22" s="10" t="s">
        <v>174</v>
      </c>
      <c r="B22" s="14">
        <v>46041</v>
      </c>
      <c r="C22" s="11">
        <f t="shared" si="0"/>
        <v>202601</v>
      </c>
      <c r="D22" s="15">
        <v>1</v>
      </c>
      <c r="E22" s="10" t="s">
        <v>95</v>
      </c>
      <c r="F22" s="13" t="str">
        <f>IFERROR(INDEX(tbl_pontos[Categoria],MATCH(E22,tbl_pontos[ID_Ponto],0)),"")</f>
        <v>2. Eficiência e Manutenção</v>
      </c>
      <c r="G22" s="10" t="s">
        <v>165</v>
      </c>
      <c r="H22" s="10"/>
      <c r="I22" s="10"/>
      <c r="J22" s="10"/>
      <c r="K22" s="10"/>
      <c r="L22" s="10" t="s">
        <v>84</v>
      </c>
      <c r="M22" s="11">
        <f t="shared" si="1"/>
        <v>0</v>
      </c>
    </row>
    <row r="23" spans="1:13" ht="26.4" x14ac:dyDescent="0.3">
      <c r="A23" s="10" t="s">
        <v>174</v>
      </c>
      <c r="B23" s="14">
        <v>46041</v>
      </c>
      <c r="C23" s="11">
        <f t="shared" si="0"/>
        <v>202601</v>
      </c>
      <c r="D23" s="15">
        <v>1</v>
      </c>
      <c r="E23" s="10" t="s">
        <v>103</v>
      </c>
      <c r="F23" s="13" t="str">
        <f>IFERROR(INDEX(tbl_pontos[Categoria],MATCH(E23,tbl_pontos[ID_Ponto],0)),"")</f>
        <v>2. Eficiência e Manutenção</v>
      </c>
      <c r="G23" s="10" t="s">
        <v>165</v>
      </c>
      <c r="H23" s="10"/>
      <c r="I23" s="10"/>
      <c r="J23" s="10"/>
      <c r="K23" s="10"/>
      <c r="L23" s="10" t="s">
        <v>84</v>
      </c>
      <c r="M23" s="11">
        <f t="shared" si="1"/>
        <v>0</v>
      </c>
    </row>
    <row r="24" spans="1:13" ht="26.4" x14ac:dyDescent="0.3">
      <c r="A24" s="10" t="s">
        <v>174</v>
      </c>
      <c r="B24" s="14">
        <v>46041</v>
      </c>
      <c r="C24" s="11">
        <f t="shared" si="0"/>
        <v>202601</v>
      </c>
      <c r="D24" s="15">
        <v>1</v>
      </c>
      <c r="E24" s="10" t="s">
        <v>124</v>
      </c>
      <c r="F24" s="13" t="str">
        <f>IFERROR(INDEX(tbl_pontos[Categoria],MATCH(E24,tbl_pontos[ID_Ponto],0)),"")</f>
        <v>4. Gestão de Resíduos</v>
      </c>
      <c r="G24" s="10" t="s">
        <v>165</v>
      </c>
      <c r="H24" s="10"/>
      <c r="I24" s="10"/>
      <c r="J24" s="10"/>
      <c r="K24" s="10"/>
      <c r="L24" s="10" t="s">
        <v>84</v>
      </c>
      <c r="M24" s="11">
        <f t="shared" si="1"/>
        <v>0</v>
      </c>
    </row>
    <row r="25" spans="1:13" ht="26.4" x14ac:dyDescent="0.3">
      <c r="A25" s="10" t="s">
        <v>174</v>
      </c>
      <c r="B25" s="14">
        <v>46041</v>
      </c>
      <c r="C25" s="11">
        <f t="shared" si="0"/>
        <v>202601</v>
      </c>
      <c r="D25" s="15">
        <v>1</v>
      </c>
      <c r="E25" s="10" t="s">
        <v>131</v>
      </c>
      <c r="F25" s="13" t="str">
        <f>IFERROR(INDEX(tbl_pontos[Categoria],MATCH(E25,tbl_pontos[ID_Ponto],0)),"")</f>
        <v>4. Gestão de Resíduos</v>
      </c>
      <c r="G25" s="10" t="s">
        <v>165</v>
      </c>
      <c r="H25" s="10"/>
      <c r="I25" s="10"/>
      <c r="J25" s="10"/>
      <c r="K25" s="10"/>
      <c r="L25" s="10" t="s">
        <v>84</v>
      </c>
      <c r="M25" s="11">
        <f t="shared" si="1"/>
        <v>0</v>
      </c>
    </row>
    <row r="26" spans="1:13" ht="26.4" x14ac:dyDescent="0.3">
      <c r="A26" s="10" t="s">
        <v>174</v>
      </c>
      <c r="B26" s="14">
        <v>46041</v>
      </c>
      <c r="C26" s="11">
        <f t="shared" si="0"/>
        <v>202601</v>
      </c>
      <c r="D26" s="15">
        <v>2</v>
      </c>
      <c r="E26" s="10" t="s">
        <v>136</v>
      </c>
      <c r="F26" s="13" t="str">
        <f>IFERROR(INDEX(tbl_pontos[Categoria],MATCH(E26,tbl_pontos[ID_Ponto],0)),"")</f>
        <v>5. Perdas de granulado e energia (extra)</v>
      </c>
      <c r="G26" s="10" t="s">
        <v>165</v>
      </c>
      <c r="H26" s="10"/>
      <c r="I26" s="10"/>
      <c r="J26" s="10"/>
      <c r="K26" s="10"/>
      <c r="L26" s="10" t="s">
        <v>84</v>
      </c>
      <c r="M26" s="11">
        <f t="shared" si="1"/>
        <v>0</v>
      </c>
    </row>
    <row r="27" spans="1:13" ht="26.4" x14ac:dyDescent="0.3">
      <c r="A27" s="10" t="s">
        <v>174</v>
      </c>
      <c r="B27" s="14">
        <v>46041</v>
      </c>
      <c r="C27" s="11">
        <f t="shared" si="0"/>
        <v>202601</v>
      </c>
      <c r="D27" s="15">
        <v>1</v>
      </c>
      <c r="E27" s="10" t="s">
        <v>148</v>
      </c>
      <c r="F27" s="13" t="str">
        <f>IFERROR(INDEX(tbl_pontos[Categoria],MATCH(E27,tbl_pontos[ID_Ponto],0)),"")</f>
        <v>5. Perdas de granulado e energia (extra)</v>
      </c>
      <c r="G27" s="10" t="s">
        <v>165</v>
      </c>
      <c r="H27" s="10"/>
      <c r="I27" s="10"/>
      <c r="J27" s="10"/>
      <c r="K27" s="10"/>
      <c r="L27" s="10" t="s">
        <v>84</v>
      </c>
      <c r="M27" s="11">
        <f t="shared" si="1"/>
        <v>0</v>
      </c>
    </row>
    <row r="28" spans="1:13" ht="26.4" x14ac:dyDescent="0.3">
      <c r="A28" s="10" t="s">
        <v>177</v>
      </c>
      <c r="B28" s="14">
        <v>46048</v>
      </c>
      <c r="C28" s="11">
        <f t="shared" si="0"/>
        <v>202601</v>
      </c>
      <c r="D28" s="15">
        <v>2</v>
      </c>
      <c r="E28" s="10" t="s">
        <v>77</v>
      </c>
      <c r="F28" s="13" t="str">
        <f>IFERROR(INDEX(tbl_pontos[Categoria],MATCH(E28,tbl_pontos[ID_Ponto],0)),"")</f>
        <v>1. Gestão de Produtos Químicos</v>
      </c>
      <c r="G28" s="10" t="s">
        <v>165</v>
      </c>
      <c r="H28" s="10"/>
      <c r="I28" s="10"/>
      <c r="J28" s="10"/>
      <c r="K28" s="10"/>
      <c r="L28" s="10" t="s">
        <v>151</v>
      </c>
      <c r="M28" s="11">
        <f t="shared" si="1"/>
        <v>0</v>
      </c>
    </row>
    <row r="29" spans="1:13" ht="26.4" x14ac:dyDescent="0.3">
      <c r="A29" s="10" t="s">
        <v>177</v>
      </c>
      <c r="B29" s="14">
        <v>46048</v>
      </c>
      <c r="C29" s="11">
        <f t="shared" si="0"/>
        <v>202601</v>
      </c>
      <c r="D29" s="15">
        <v>1</v>
      </c>
      <c r="E29" s="10" t="s">
        <v>88</v>
      </c>
      <c r="F29" s="13" t="str">
        <f>IFERROR(INDEX(tbl_pontos[Categoria],MATCH(E29,tbl_pontos[ID_Ponto],0)),"")</f>
        <v>1. Gestão de Produtos Químicos</v>
      </c>
      <c r="G29" s="10" t="s">
        <v>165</v>
      </c>
      <c r="H29" s="10"/>
      <c r="I29" s="10"/>
      <c r="J29" s="10"/>
      <c r="K29" s="10"/>
      <c r="L29" s="10" t="s">
        <v>151</v>
      </c>
      <c r="M29" s="11">
        <f t="shared" si="1"/>
        <v>0</v>
      </c>
    </row>
    <row r="30" spans="1:13" ht="26.4" x14ac:dyDescent="0.3">
      <c r="A30" s="10" t="s">
        <v>177</v>
      </c>
      <c r="B30" s="14">
        <v>46048</v>
      </c>
      <c r="C30" s="11">
        <f t="shared" si="0"/>
        <v>202601</v>
      </c>
      <c r="D30" s="15">
        <v>2</v>
      </c>
      <c r="E30" s="10" t="s">
        <v>95</v>
      </c>
      <c r="F30" s="13" t="str">
        <f>IFERROR(INDEX(tbl_pontos[Categoria],MATCH(E30,tbl_pontos[ID_Ponto],0)),"")</f>
        <v>2. Eficiência e Manutenção</v>
      </c>
      <c r="G30" s="10" t="s">
        <v>166</v>
      </c>
      <c r="H30" s="10" t="s">
        <v>178</v>
      </c>
      <c r="I30" s="10" t="s">
        <v>172</v>
      </c>
      <c r="J30" s="10"/>
      <c r="K30" s="10" t="s">
        <v>179</v>
      </c>
      <c r="L30" s="10" t="s">
        <v>151</v>
      </c>
      <c r="M30" s="11">
        <f t="shared" si="1"/>
        <v>1</v>
      </c>
    </row>
    <row r="31" spans="1:13" ht="26.4" x14ac:dyDescent="0.3">
      <c r="A31" s="10" t="s">
        <v>177</v>
      </c>
      <c r="B31" s="14">
        <v>46048</v>
      </c>
      <c r="C31" s="11">
        <f t="shared" si="0"/>
        <v>202601</v>
      </c>
      <c r="D31" s="15">
        <v>3</v>
      </c>
      <c r="E31" s="10" t="s">
        <v>103</v>
      </c>
      <c r="F31" s="13" t="str">
        <f>IFERROR(INDEX(tbl_pontos[Categoria],MATCH(E31,tbl_pontos[ID_Ponto],0)),"")</f>
        <v>2. Eficiência e Manutenção</v>
      </c>
      <c r="G31" s="10" t="s">
        <v>165</v>
      </c>
      <c r="H31" s="10"/>
      <c r="I31" s="10"/>
      <c r="J31" s="10"/>
      <c r="K31" s="10"/>
      <c r="L31" s="10" t="s">
        <v>151</v>
      </c>
      <c r="M31" s="11">
        <f t="shared" si="1"/>
        <v>0</v>
      </c>
    </row>
    <row r="32" spans="1:13" ht="26.4" x14ac:dyDescent="0.3">
      <c r="A32" s="10" t="s">
        <v>177</v>
      </c>
      <c r="B32" s="14">
        <v>46048</v>
      </c>
      <c r="C32" s="11">
        <f t="shared" si="0"/>
        <v>202601</v>
      </c>
      <c r="D32" s="15">
        <v>3</v>
      </c>
      <c r="E32" s="10" t="s">
        <v>124</v>
      </c>
      <c r="F32" s="13" t="str">
        <f>IFERROR(INDEX(tbl_pontos[Categoria],MATCH(E32,tbl_pontos[ID_Ponto],0)),"")</f>
        <v>4. Gestão de Resíduos</v>
      </c>
      <c r="G32" s="10" t="s">
        <v>166</v>
      </c>
      <c r="H32" s="10" t="s">
        <v>180</v>
      </c>
      <c r="I32" s="10" t="s">
        <v>172</v>
      </c>
      <c r="J32" s="10"/>
      <c r="K32" s="10" t="s">
        <v>181</v>
      </c>
      <c r="L32" s="10" t="s">
        <v>151</v>
      </c>
      <c r="M32" s="11">
        <f t="shared" si="1"/>
        <v>1</v>
      </c>
    </row>
    <row r="33" spans="1:13" ht="26.4" x14ac:dyDescent="0.3">
      <c r="A33" s="10" t="s">
        <v>177</v>
      </c>
      <c r="B33" s="14">
        <v>46048</v>
      </c>
      <c r="C33" s="11">
        <f t="shared" si="0"/>
        <v>202601</v>
      </c>
      <c r="D33" s="15">
        <v>2</v>
      </c>
      <c r="E33" s="10" t="s">
        <v>131</v>
      </c>
      <c r="F33" s="13" t="str">
        <f>IFERROR(INDEX(tbl_pontos[Categoria],MATCH(E33,tbl_pontos[ID_Ponto],0)),"")</f>
        <v>4. Gestão de Resíduos</v>
      </c>
      <c r="G33" s="10" t="s">
        <v>165</v>
      </c>
      <c r="H33" s="10"/>
      <c r="I33" s="10"/>
      <c r="J33" s="10"/>
      <c r="K33" s="10"/>
      <c r="L33" s="10" t="s">
        <v>151</v>
      </c>
      <c r="M33" s="11">
        <f t="shared" si="1"/>
        <v>0</v>
      </c>
    </row>
    <row r="34" spans="1:13" ht="26.4" x14ac:dyDescent="0.3">
      <c r="A34" s="10" t="s">
        <v>177</v>
      </c>
      <c r="B34" s="14">
        <v>46048</v>
      </c>
      <c r="C34" s="11">
        <f t="shared" si="0"/>
        <v>202601</v>
      </c>
      <c r="D34" s="15">
        <v>1</v>
      </c>
      <c r="E34" s="10" t="s">
        <v>136</v>
      </c>
      <c r="F34" s="13" t="str">
        <f>IFERROR(INDEX(tbl_pontos[Categoria],MATCH(E34,tbl_pontos[ID_Ponto],0)),"")</f>
        <v>5. Perdas de granulado e energia (extra)</v>
      </c>
      <c r="G34" s="10" t="s">
        <v>165</v>
      </c>
      <c r="H34" s="10"/>
      <c r="I34" s="10"/>
      <c r="J34" s="10"/>
      <c r="K34" s="10"/>
      <c r="L34" s="10" t="s">
        <v>151</v>
      </c>
      <c r="M34" s="11">
        <f t="shared" si="1"/>
        <v>0</v>
      </c>
    </row>
    <row r="35" spans="1:13" ht="26.4" x14ac:dyDescent="0.3">
      <c r="A35" s="10" t="s">
        <v>177</v>
      </c>
      <c r="B35" s="14">
        <v>46048</v>
      </c>
      <c r="C35" s="11">
        <f t="shared" si="0"/>
        <v>202601</v>
      </c>
      <c r="D35" s="15">
        <v>1</v>
      </c>
      <c r="E35" s="10" t="s">
        <v>148</v>
      </c>
      <c r="F35" s="13" t="str">
        <f>IFERROR(INDEX(tbl_pontos[Categoria],MATCH(E35,tbl_pontos[ID_Ponto],0)),"")</f>
        <v>5. Perdas de granulado e energia (extra)</v>
      </c>
      <c r="G35" s="10" t="s">
        <v>165</v>
      </c>
      <c r="H35" s="10"/>
      <c r="I35" s="10"/>
      <c r="J35" s="10"/>
      <c r="K35" s="10"/>
      <c r="L35" s="10" t="s">
        <v>151</v>
      </c>
      <c r="M35" s="11">
        <f t="shared" si="1"/>
        <v>0</v>
      </c>
    </row>
    <row r="36" spans="1:13" ht="26.4" x14ac:dyDescent="0.3">
      <c r="A36" s="10" t="s">
        <v>182</v>
      </c>
      <c r="B36" s="14">
        <v>46055</v>
      </c>
      <c r="C36" s="11">
        <f t="shared" si="0"/>
        <v>202602</v>
      </c>
      <c r="D36" s="15">
        <v>2</v>
      </c>
      <c r="E36" s="10" t="s">
        <v>77</v>
      </c>
      <c r="F36" s="13" t="str">
        <f>IFERROR(INDEX(tbl_pontos[Categoria],MATCH(E36,tbl_pontos[ID_Ponto],0)),"")</f>
        <v>1. Gestão de Produtos Químicos</v>
      </c>
      <c r="G36" s="10" t="s">
        <v>165</v>
      </c>
      <c r="H36" s="10"/>
      <c r="I36" s="10"/>
      <c r="J36" s="10"/>
      <c r="K36" s="10"/>
      <c r="L36" s="10" t="s">
        <v>84</v>
      </c>
      <c r="M36" s="11">
        <f t="shared" si="1"/>
        <v>0</v>
      </c>
    </row>
    <row r="37" spans="1:13" ht="26.4" x14ac:dyDescent="0.3">
      <c r="A37" s="10" t="s">
        <v>182</v>
      </c>
      <c r="B37" s="14">
        <v>46055</v>
      </c>
      <c r="C37" s="11">
        <f t="shared" si="0"/>
        <v>202602</v>
      </c>
      <c r="D37" s="15">
        <v>1</v>
      </c>
      <c r="E37" s="10" t="s">
        <v>88</v>
      </c>
      <c r="F37" s="13" t="str">
        <f>IFERROR(INDEX(tbl_pontos[Categoria],MATCH(E37,tbl_pontos[ID_Ponto],0)),"")</f>
        <v>1. Gestão de Produtos Químicos</v>
      </c>
      <c r="G37" s="10" t="s">
        <v>166</v>
      </c>
      <c r="H37" s="10" t="s">
        <v>175</v>
      </c>
      <c r="I37" s="10" t="s">
        <v>172</v>
      </c>
      <c r="J37" s="10"/>
      <c r="K37" s="10" t="s">
        <v>183</v>
      </c>
      <c r="L37" s="10" t="s">
        <v>84</v>
      </c>
      <c r="M37" s="11">
        <f t="shared" si="1"/>
        <v>1</v>
      </c>
    </row>
    <row r="38" spans="1:13" ht="26.4" x14ac:dyDescent="0.3">
      <c r="A38" s="10" t="s">
        <v>182</v>
      </c>
      <c r="B38" s="14">
        <v>46055</v>
      </c>
      <c r="C38" s="11">
        <f t="shared" si="0"/>
        <v>202602</v>
      </c>
      <c r="D38" s="15">
        <v>1</v>
      </c>
      <c r="E38" s="10" t="s">
        <v>95</v>
      </c>
      <c r="F38" s="13" t="str">
        <f>IFERROR(INDEX(tbl_pontos[Categoria],MATCH(E38,tbl_pontos[ID_Ponto],0)),"")</f>
        <v>2. Eficiência e Manutenção</v>
      </c>
      <c r="G38" s="10" t="s">
        <v>166</v>
      </c>
      <c r="H38" s="10" t="s">
        <v>178</v>
      </c>
      <c r="I38" s="10" t="s">
        <v>172</v>
      </c>
      <c r="J38" s="10"/>
      <c r="K38" s="10" t="s">
        <v>184</v>
      </c>
      <c r="L38" s="10" t="s">
        <v>84</v>
      </c>
      <c r="M38" s="11">
        <f t="shared" si="1"/>
        <v>1</v>
      </c>
    </row>
    <row r="39" spans="1:13" ht="26.4" x14ac:dyDescent="0.3">
      <c r="A39" s="10" t="s">
        <v>182</v>
      </c>
      <c r="B39" s="14">
        <v>46055</v>
      </c>
      <c r="C39" s="11">
        <f t="shared" si="0"/>
        <v>202602</v>
      </c>
      <c r="D39" s="15">
        <v>1</v>
      </c>
      <c r="E39" s="10" t="s">
        <v>103</v>
      </c>
      <c r="F39" s="13" t="str">
        <f>IFERROR(INDEX(tbl_pontos[Categoria],MATCH(E39,tbl_pontos[ID_Ponto],0)),"")</f>
        <v>2. Eficiência e Manutenção</v>
      </c>
      <c r="G39" s="10" t="s">
        <v>165</v>
      </c>
      <c r="H39" s="10"/>
      <c r="I39" s="10"/>
      <c r="J39" s="10"/>
      <c r="K39" s="10"/>
      <c r="L39" s="10" t="s">
        <v>84</v>
      </c>
      <c r="M39" s="11">
        <f t="shared" si="1"/>
        <v>0</v>
      </c>
    </row>
    <row r="40" spans="1:13" ht="26.4" x14ac:dyDescent="0.3">
      <c r="A40" s="10" t="s">
        <v>182</v>
      </c>
      <c r="B40" s="14">
        <v>46055</v>
      </c>
      <c r="C40" s="11">
        <f t="shared" si="0"/>
        <v>202602</v>
      </c>
      <c r="D40" s="15">
        <v>1</v>
      </c>
      <c r="E40" s="10" t="s">
        <v>109</v>
      </c>
      <c r="F40" s="13" t="str">
        <f>IFERROR(INDEX(tbl_pontos[Categoria],MATCH(E40,tbl_pontos[ID_Ponto],0)),"")</f>
        <v>3. Emergência</v>
      </c>
      <c r="G40" s="10" t="s">
        <v>165</v>
      </c>
      <c r="H40" s="10"/>
      <c r="I40" s="10"/>
      <c r="J40" s="10"/>
      <c r="K40" s="10"/>
      <c r="L40" s="10" t="s">
        <v>84</v>
      </c>
      <c r="M40" s="11">
        <f t="shared" si="1"/>
        <v>0</v>
      </c>
    </row>
    <row r="41" spans="1:13" ht="26.4" x14ac:dyDescent="0.3">
      <c r="A41" s="10" t="s">
        <v>182</v>
      </c>
      <c r="B41" s="14">
        <v>46055</v>
      </c>
      <c r="C41" s="11">
        <f t="shared" si="0"/>
        <v>202602</v>
      </c>
      <c r="D41" s="15">
        <v>2</v>
      </c>
      <c r="E41" s="10" t="s">
        <v>119</v>
      </c>
      <c r="F41" s="13" t="str">
        <f>IFERROR(INDEX(tbl_pontos[Categoria],MATCH(E41,tbl_pontos[ID_Ponto],0)),"")</f>
        <v>3. Emergência</v>
      </c>
      <c r="G41" s="10" t="s">
        <v>165</v>
      </c>
      <c r="H41" s="10"/>
      <c r="I41" s="10"/>
      <c r="J41" s="10"/>
      <c r="K41" s="10"/>
      <c r="L41" s="10" t="s">
        <v>84</v>
      </c>
      <c r="M41" s="11">
        <f t="shared" si="1"/>
        <v>0</v>
      </c>
    </row>
    <row r="42" spans="1:13" ht="26.4" x14ac:dyDescent="0.3">
      <c r="A42" s="10" t="s">
        <v>182</v>
      </c>
      <c r="B42" s="14">
        <v>46055</v>
      </c>
      <c r="C42" s="11">
        <f t="shared" si="0"/>
        <v>202602</v>
      </c>
      <c r="D42" s="15">
        <v>2</v>
      </c>
      <c r="E42" s="10" t="s">
        <v>124</v>
      </c>
      <c r="F42" s="13" t="str">
        <f>IFERROR(INDEX(tbl_pontos[Categoria],MATCH(E42,tbl_pontos[ID_Ponto],0)),"")</f>
        <v>4. Gestão de Resíduos</v>
      </c>
      <c r="G42" s="10" t="s">
        <v>166</v>
      </c>
      <c r="H42" s="10" t="s">
        <v>180</v>
      </c>
      <c r="I42" s="10" t="s">
        <v>172</v>
      </c>
      <c r="J42" s="10"/>
      <c r="K42" s="10" t="s">
        <v>185</v>
      </c>
      <c r="L42" s="10" t="s">
        <v>84</v>
      </c>
      <c r="M42" s="11">
        <f t="shared" si="1"/>
        <v>1</v>
      </c>
    </row>
    <row r="43" spans="1:13" ht="26.4" x14ac:dyDescent="0.3">
      <c r="A43" s="10" t="s">
        <v>182</v>
      </c>
      <c r="B43" s="14">
        <v>46055</v>
      </c>
      <c r="C43" s="11">
        <f t="shared" si="0"/>
        <v>202602</v>
      </c>
      <c r="D43" s="15">
        <v>1</v>
      </c>
      <c r="E43" s="10" t="s">
        <v>131</v>
      </c>
      <c r="F43" s="13" t="str">
        <f>IFERROR(INDEX(tbl_pontos[Categoria],MATCH(E43,tbl_pontos[ID_Ponto],0)),"")</f>
        <v>4. Gestão de Resíduos</v>
      </c>
      <c r="G43" s="10" t="s">
        <v>165</v>
      </c>
      <c r="H43" s="10"/>
      <c r="I43" s="10"/>
      <c r="J43" s="10"/>
      <c r="K43" s="10"/>
      <c r="L43" s="10" t="s">
        <v>84</v>
      </c>
      <c r="M43" s="11">
        <f t="shared" si="1"/>
        <v>0</v>
      </c>
    </row>
    <row r="44" spans="1:13" ht="26.4" x14ac:dyDescent="0.3">
      <c r="A44" s="10" t="s">
        <v>182</v>
      </c>
      <c r="B44" s="14">
        <v>46055</v>
      </c>
      <c r="C44" s="11">
        <f t="shared" si="0"/>
        <v>202602</v>
      </c>
      <c r="D44" s="15">
        <v>1</v>
      </c>
      <c r="E44" s="10" t="s">
        <v>136</v>
      </c>
      <c r="F44" s="13" t="str">
        <f>IFERROR(INDEX(tbl_pontos[Categoria],MATCH(E44,tbl_pontos[ID_Ponto],0)),"")</f>
        <v>5. Perdas de granulado e energia (extra)</v>
      </c>
      <c r="G44" s="10" t="s">
        <v>165</v>
      </c>
      <c r="H44" s="10"/>
      <c r="I44" s="10"/>
      <c r="J44" s="10"/>
      <c r="K44" s="10"/>
      <c r="L44" s="10" t="s">
        <v>84</v>
      </c>
      <c r="M44" s="11">
        <f t="shared" si="1"/>
        <v>0</v>
      </c>
    </row>
    <row r="45" spans="1:13" ht="26.4" x14ac:dyDescent="0.3">
      <c r="A45" s="10" t="s">
        <v>182</v>
      </c>
      <c r="B45" s="14">
        <v>46055</v>
      </c>
      <c r="C45" s="11">
        <f t="shared" si="0"/>
        <v>202602</v>
      </c>
      <c r="D45" s="15">
        <v>2</v>
      </c>
      <c r="E45" s="10" t="s">
        <v>148</v>
      </c>
      <c r="F45" s="13" t="str">
        <f>IFERROR(INDEX(tbl_pontos[Categoria],MATCH(E45,tbl_pontos[ID_Ponto],0)),"")</f>
        <v>5. Perdas de granulado e energia (extra)</v>
      </c>
      <c r="G45" s="10" t="s">
        <v>165</v>
      </c>
      <c r="H45" s="10"/>
      <c r="I45" s="10"/>
      <c r="J45" s="10"/>
      <c r="K45" s="10"/>
      <c r="L45" s="10" t="s">
        <v>84</v>
      </c>
      <c r="M45" s="11">
        <f t="shared" si="1"/>
        <v>0</v>
      </c>
    </row>
    <row r="46" spans="1:13" ht="26.4" x14ac:dyDescent="0.3">
      <c r="A46" s="10" t="s">
        <v>186</v>
      </c>
      <c r="B46" s="14">
        <v>46062</v>
      </c>
      <c r="C46" s="11">
        <f t="shared" si="0"/>
        <v>202602</v>
      </c>
      <c r="D46" s="15">
        <v>1</v>
      </c>
      <c r="E46" s="10" t="s">
        <v>77</v>
      </c>
      <c r="F46" s="13" t="str">
        <f>IFERROR(INDEX(tbl_pontos[Categoria],MATCH(E46,tbl_pontos[ID_Ponto],0)),"")</f>
        <v>1. Gestão de Produtos Químicos</v>
      </c>
      <c r="G46" s="10" t="s">
        <v>165</v>
      </c>
      <c r="H46" s="10"/>
      <c r="I46" s="10"/>
      <c r="J46" s="10"/>
      <c r="K46" s="10"/>
      <c r="L46" s="10" t="s">
        <v>151</v>
      </c>
      <c r="M46" s="11">
        <f t="shared" si="1"/>
        <v>0</v>
      </c>
    </row>
    <row r="47" spans="1:13" ht="26.4" x14ac:dyDescent="0.3">
      <c r="A47" s="10" t="s">
        <v>186</v>
      </c>
      <c r="B47" s="14">
        <v>46062</v>
      </c>
      <c r="C47" s="11">
        <f t="shared" si="0"/>
        <v>202602</v>
      </c>
      <c r="D47" s="15">
        <v>1</v>
      </c>
      <c r="E47" s="10" t="s">
        <v>88</v>
      </c>
      <c r="F47" s="13" t="str">
        <f>IFERROR(INDEX(tbl_pontos[Categoria],MATCH(E47,tbl_pontos[ID_Ponto],0)),"")</f>
        <v>1. Gestão de Produtos Químicos</v>
      </c>
      <c r="G47" s="10" t="s">
        <v>165</v>
      </c>
      <c r="H47" s="10"/>
      <c r="I47" s="10"/>
      <c r="J47" s="10"/>
      <c r="K47" s="10"/>
      <c r="L47" s="10" t="s">
        <v>151</v>
      </c>
      <c r="M47" s="11">
        <f t="shared" si="1"/>
        <v>0</v>
      </c>
    </row>
    <row r="48" spans="1:13" ht="26.4" x14ac:dyDescent="0.3">
      <c r="A48" s="10" t="s">
        <v>186</v>
      </c>
      <c r="B48" s="14">
        <v>46062</v>
      </c>
      <c r="C48" s="11">
        <f t="shared" si="0"/>
        <v>202602</v>
      </c>
      <c r="D48" s="15">
        <v>1</v>
      </c>
      <c r="E48" s="10" t="s">
        <v>95</v>
      </c>
      <c r="F48" s="13" t="str">
        <f>IFERROR(INDEX(tbl_pontos[Categoria],MATCH(E48,tbl_pontos[ID_Ponto],0)),"")</f>
        <v>2. Eficiência e Manutenção</v>
      </c>
      <c r="G48" s="10" t="s">
        <v>165</v>
      </c>
      <c r="H48" s="10"/>
      <c r="I48" s="10"/>
      <c r="J48" s="10"/>
      <c r="K48" s="10"/>
      <c r="L48" s="10" t="s">
        <v>151</v>
      </c>
      <c r="M48" s="11">
        <f t="shared" si="1"/>
        <v>0</v>
      </c>
    </row>
    <row r="49" spans="1:13" ht="26.4" x14ac:dyDescent="0.3">
      <c r="A49" s="10" t="s">
        <v>186</v>
      </c>
      <c r="B49" s="14">
        <v>46062</v>
      </c>
      <c r="C49" s="11">
        <f t="shared" si="0"/>
        <v>202602</v>
      </c>
      <c r="D49" s="15">
        <v>1</v>
      </c>
      <c r="E49" s="10" t="s">
        <v>103</v>
      </c>
      <c r="F49" s="13" t="str">
        <f>IFERROR(INDEX(tbl_pontos[Categoria],MATCH(E49,tbl_pontos[ID_Ponto],0)),"")</f>
        <v>2. Eficiência e Manutenção</v>
      </c>
      <c r="G49" s="10" t="s">
        <v>165</v>
      </c>
      <c r="H49" s="10"/>
      <c r="I49" s="10"/>
      <c r="J49" s="10"/>
      <c r="K49" s="10"/>
      <c r="L49" s="10" t="s">
        <v>151</v>
      </c>
      <c r="M49" s="11">
        <f t="shared" si="1"/>
        <v>0</v>
      </c>
    </row>
    <row r="50" spans="1:13" ht="26.4" x14ac:dyDescent="0.3">
      <c r="A50" s="10" t="s">
        <v>186</v>
      </c>
      <c r="B50" s="14">
        <v>46062</v>
      </c>
      <c r="C50" s="11">
        <f t="shared" si="0"/>
        <v>202602</v>
      </c>
      <c r="D50" s="15">
        <v>1</v>
      </c>
      <c r="E50" s="10" t="s">
        <v>124</v>
      </c>
      <c r="F50" s="13" t="str">
        <f>IFERROR(INDEX(tbl_pontos[Categoria],MATCH(E50,tbl_pontos[ID_Ponto],0)),"")</f>
        <v>4. Gestão de Resíduos</v>
      </c>
      <c r="G50" s="10" t="s">
        <v>165</v>
      </c>
      <c r="H50" s="10"/>
      <c r="I50" s="10"/>
      <c r="J50" s="10"/>
      <c r="K50" s="10"/>
      <c r="L50" s="10" t="s">
        <v>151</v>
      </c>
      <c r="M50" s="11">
        <f t="shared" si="1"/>
        <v>0</v>
      </c>
    </row>
    <row r="51" spans="1:13" ht="26.4" x14ac:dyDescent="0.3">
      <c r="A51" s="10" t="s">
        <v>186</v>
      </c>
      <c r="B51" s="14">
        <v>46062</v>
      </c>
      <c r="C51" s="11">
        <f t="shared" si="0"/>
        <v>202602</v>
      </c>
      <c r="D51" s="15">
        <v>1</v>
      </c>
      <c r="E51" s="10" t="s">
        <v>131</v>
      </c>
      <c r="F51" s="13" t="str">
        <f>IFERROR(INDEX(tbl_pontos[Categoria],MATCH(E51,tbl_pontos[ID_Ponto],0)),"")</f>
        <v>4. Gestão de Resíduos</v>
      </c>
      <c r="G51" s="10" t="s">
        <v>165</v>
      </c>
      <c r="H51" s="10"/>
      <c r="I51" s="10"/>
      <c r="J51" s="10"/>
      <c r="K51" s="10"/>
      <c r="L51" s="10" t="s">
        <v>151</v>
      </c>
      <c r="M51" s="11">
        <f t="shared" si="1"/>
        <v>0</v>
      </c>
    </row>
    <row r="52" spans="1:13" ht="26.4" x14ac:dyDescent="0.3">
      <c r="A52" s="10" t="s">
        <v>186</v>
      </c>
      <c r="B52" s="14">
        <v>46062</v>
      </c>
      <c r="C52" s="11">
        <f t="shared" si="0"/>
        <v>202602</v>
      </c>
      <c r="D52" s="15">
        <v>2</v>
      </c>
      <c r="E52" s="10" t="s">
        <v>136</v>
      </c>
      <c r="F52" s="13" t="str">
        <f>IFERROR(INDEX(tbl_pontos[Categoria],MATCH(E52,tbl_pontos[ID_Ponto],0)),"")</f>
        <v>5. Perdas de granulado e energia (extra)</v>
      </c>
      <c r="G52" s="10" t="s">
        <v>166</v>
      </c>
      <c r="H52" s="10" t="s">
        <v>171</v>
      </c>
      <c r="I52" s="10" t="s">
        <v>172</v>
      </c>
      <c r="J52" s="10"/>
      <c r="K52" s="10" t="s">
        <v>187</v>
      </c>
      <c r="L52" s="10" t="s">
        <v>151</v>
      </c>
      <c r="M52" s="11">
        <f t="shared" si="1"/>
        <v>1</v>
      </c>
    </row>
    <row r="53" spans="1:13" ht="26.4" x14ac:dyDescent="0.3">
      <c r="A53" s="10" t="s">
        <v>186</v>
      </c>
      <c r="B53" s="14">
        <v>46062</v>
      </c>
      <c r="C53" s="11">
        <f t="shared" si="0"/>
        <v>202602</v>
      </c>
      <c r="D53" s="15">
        <v>1</v>
      </c>
      <c r="E53" s="10" t="s">
        <v>148</v>
      </c>
      <c r="F53" s="13" t="str">
        <f>IFERROR(INDEX(tbl_pontos[Categoria],MATCH(E53,tbl_pontos[ID_Ponto],0)),"")</f>
        <v>5. Perdas de granulado e energia (extra)</v>
      </c>
      <c r="G53" s="10" t="s">
        <v>166</v>
      </c>
      <c r="H53" s="10" t="s">
        <v>167</v>
      </c>
      <c r="I53" s="10" t="s">
        <v>168</v>
      </c>
      <c r="J53" s="10"/>
      <c r="K53" s="10" t="s">
        <v>188</v>
      </c>
      <c r="L53" s="10" t="s">
        <v>151</v>
      </c>
      <c r="M53" s="11">
        <f t="shared" si="1"/>
        <v>1</v>
      </c>
    </row>
    <row r="54" spans="1:13" ht="26.4" x14ac:dyDescent="0.3">
      <c r="A54" s="10" t="s">
        <v>189</v>
      </c>
      <c r="B54" s="14">
        <v>46069</v>
      </c>
      <c r="C54" s="11">
        <f t="shared" si="0"/>
        <v>202602</v>
      </c>
      <c r="D54" s="15">
        <v>2</v>
      </c>
      <c r="E54" s="10" t="s">
        <v>77</v>
      </c>
      <c r="F54" s="13" t="str">
        <f>IFERROR(INDEX(tbl_pontos[Categoria],MATCH(E54,tbl_pontos[ID_Ponto],0)),"")</f>
        <v>1. Gestão de Produtos Químicos</v>
      </c>
      <c r="G54" s="10" t="s">
        <v>165</v>
      </c>
      <c r="H54" s="10"/>
      <c r="I54" s="10"/>
      <c r="J54" s="10"/>
      <c r="K54" s="10"/>
      <c r="L54" s="10" t="s">
        <v>84</v>
      </c>
      <c r="M54" s="11">
        <f t="shared" si="1"/>
        <v>0</v>
      </c>
    </row>
    <row r="55" spans="1:13" ht="26.4" x14ac:dyDescent="0.3">
      <c r="A55" s="10" t="s">
        <v>189</v>
      </c>
      <c r="B55" s="14">
        <v>46069</v>
      </c>
      <c r="C55" s="11">
        <f t="shared" si="0"/>
        <v>202602</v>
      </c>
      <c r="D55" s="15">
        <v>2</v>
      </c>
      <c r="E55" s="10" t="s">
        <v>88</v>
      </c>
      <c r="F55" s="13" t="str">
        <f>IFERROR(INDEX(tbl_pontos[Categoria],MATCH(E55,tbl_pontos[ID_Ponto],0)),"")</f>
        <v>1. Gestão de Produtos Químicos</v>
      </c>
      <c r="G55" s="10" t="s">
        <v>165</v>
      </c>
      <c r="H55" s="10"/>
      <c r="I55" s="10"/>
      <c r="J55" s="10"/>
      <c r="K55" s="10"/>
      <c r="L55" s="10" t="s">
        <v>84</v>
      </c>
      <c r="M55" s="11">
        <f t="shared" si="1"/>
        <v>0</v>
      </c>
    </row>
    <row r="56" spans="1:13" ht="26.4" x14ac:dyDescent="0.3">
      <c r="A56" s="10" t="s">
        <v>189</v>
      </c>
      <c r="B56" s="14">
        <v>46069</v>
      </c>
      <c r="C56" s="11">
        <f t="shared" si="0"/>
        <v>202602</v>
      </c>
      <c r="D56" s="15">
        <v>1</v>
      </c>
      <c r="E56" s="10" t="s">
        <v>95</v>
      </c>
      <c r="F56" s="13" t="str">
        <f>IFERROR(INDEX(tbl_pontos[Categoria],MATCH(E56,tbl_pontos[ID_Ponto],0)),"")</f>
        <v>2. Eficiência e Manutenção</v>
      </c>
      <c r="G56" s="10" t="s">
        <v>165</v>
      </c>
      <c r="H56" s="10"/>
      <c r="I56" s="10"/>
      <c r="J56" s="10"/>
      <c r="K56" s="10"/>
      <c r="L56" s="10" t="s">
        <v>84</v>
      </c>
      <c r="M56" s="11">
        <f t="shared" si="1"/>
        <v>0</v>
      </c>
    </row>
    <row r="57" spans="1:13" ht="26.4" x14ac:dyDescent="0.3">
      <c r="A57" s="10" t="s">
        <v>189</v>
      </c>
      <c r="B57" s="14">
        <v>46069</v>
      </c>
      <c r="C57" s="11">
        <f t="shared" si="0"/>
        <v>202602</v>
      </c>
      <c r="D57" s="15">
        <v>3</v>
      </c>
      <c r="E57" s="10" t="s">
        <v>103</v>
      </c>
      <c r="F57" s="13" t="str">
        <f>IFERROR(INDEX(tbl_pontos[Categoria],MATCH(E57,tbl_pontos[ID_Ponto],0)),"")</f>
        <v>2. Eficiência e Manutenção</v>
      </c>
      <c r="G57" s="10" t="s">
        <v>165</v>
      </c>
      <c r="H57" s="10"/>
      <c r="I57" s="10"/>
      <c r="J57" s="10"/>
      <c r="K57" s="10"/>
      <c r="L57" s="10" t="s">
        <v>84</v>
      </c>
      <c r="M57" s="11">
        <f t="shared" si="1"/>
        <v>0</v>
      </c>
    </row>
    <row r="58" spans="1:13" ht="26.4" x14ac:dyDescent="0.3">
      <c r="A58" s="10" t="s">
        <v>189</v>
      </c>
      <c r="B58" s="14">
        <v>46069</v>
      </c>
      <c r="C58" s="11">
        <f t="shared" si="0"/>
        <v>202602</v>
      </c>
      <c r="D58" s="15">
        <v>1</v>
      </c>
      <c r="E58" s="10" t="s">
        <v>124</v>
      </c>
      <c r="F58" s="13" t="str">
        <f>IFERROR(INDEX(tbl_pontos[Categoria],MATCH(E58,tbl_pontos[ID_Ponto],0)),"")</f>
        <v>4. Gestão de Resíduos</v>
      </c>
      <c r="G58" s="10" t="s">
        <v>165</v>
      </c>
      <c r="H58" s="10"/>
      <c r="I58" s="10"/>
      <c r="J58" s="10"/>
      <c r="K58" s="10"/>
      <c r="L58" s="10" t="s">
        <v>84</v>
      </c>
      <c r="M58" s="11">
        <f t="shared" si="1"/>
        <v>0</v>
      </c>
    </row>
    <row r="59" spans="1:13" ht="26.4" x14ac:dyDescent="0.3">
      <c r="A59" s="10" t="s">
        <v>189</v>
      </c>
      <c r="B59" s="14">
        <v>46069</v>
      </c>
      <c r="C59" s="11">
        <f t="shared" si="0"/>
        <v>202602</v>
      </c>
      <c r="D59" s="15">
        <v>2</v>
      </c>
      <c r="E59" s="10" t="s">
        <v>131</v>
      </c>
      <c r="F59" s="13" t="str">
        <f>IFERROR(INDEX(tbl_pontos[Categoria],MATCH(E59,tbl_pontos[ID_Ponto],0)),"")</f>
        <v>4. Gestão de Resíduos</v>
      </c>
      <c r="G59" s="10" t="s">
        <v>165</v>
      </c>
      <c r="H59" s="10"/>
      <c r="I59" s="10"/>
      <c r="J59" s="10"/>
      <c r="K59" s="10"/>
      <c r="L59" s="10" t="s">
        <v>84</v>
      </c>
      <c r="M59" s="11">
        <f t="shared" si="1"/>
        <v>0</v>
      </c>
    </row>
    <row r="60" spans="1:13" ht="26.4" x14ac:dyDescent="0.3">
      <c r="A60" s="10" t="s">
        <v>189</v>
      </c>
      <c r="B60" s="14">
        <v>46069</v>
      </c>
      <c r="C60" s="11">
        <f t="shared" si="0"/>
        <v>202602</v>
      </c>
      <c r="D60" s="15">
        <v>1</v>
      </c>
      <c r="E60" s="10" t="s">
        <v>136</v>
      </c>
      <c r="F60" s="13" t="str">
        <f>IFERROR(INDEX(tbl_pontos[Categoria],MATCH(E60,tbl_pontos[ID_Ponto],0)),"")</f>
        <v>5. Perdas de granulado e energia (extra)</v>
      </c>
      <c r="G60" s="10" t="s">
        <v>165</v>
      </c>
      <c r="H60" s="10"/>
      <c r="I60" s="10"/>
      <c r="J60" s="10"/>
      <c r="K60" s="10"/>
      <c r="L60" s="10" t="s">
        <v>84</v>
      </c>
      <c r="M60" s="11">
        <f t="shared" si="1"/>
        <v>0</v>
      </c>
    </row>
    <row r="61" spans="1:13" ht="26.4" x14ac:dyDescent="0.3">
      <c r="A61" s="10" t="s">
        <v>189</v>
      </c>
      <c r="B61" s="14">
        <v>46069</v>
      </c>
      <c r="C61" s="11">
        <f t="shared" si="0"/>
        <v>202602</v>
      </c>
      <c r="D61" s="15">
        <v>1</v>
      </c>
      <c r="E61" s="10" t="s">
        <v>148</v>
      </c>
      <c r="F61" s="13" t="str">
        <f>IFERROR(INDEX(tbl_pontos[Categoria],MATCH(E61,tbl_pontos[ID_Ponto],0)),"")</f>
        <v>5. Perdas de granulado e energia (extra)</v>
      </c>
      <c r="G61" s="10" t="s">
        <v>165</v>
      </c>
      <c r="H61" s="10"/>
      <c r="I61" s="10"/>
      <c r="J61" s="10"/>
      <c r="K61" s="10"/>
      <c r="L61" s="10" t="s">
        <v>84</v>
      </c>
      <c r="M61" s="11">
        <f t="shared" si="1"/>
        <v>0</v>
      </c>
    </row>
    <row r="62" spans="1:13" ht="26.4" x14ac:dyDescent="0.3">
      <c r="A62" s="10" t="s">
        <v>190</v>
      </c>
      <c r="B62" s="14">
        <v>46076</v>
      </c>
      <c r="C62" s="11">
        <f t="shared" si="0"/>
        <v>202602</v>
      </c>
      <c r="D62" s="15">
        <v>1</v>
      </c>
      <c r="E62" s="10" t="s">
        <v>77</v>
      </c>
      <c r="F62" s="13" t="str">
        <f>IFERROR(INDEX(tbl_pontos[Categoria],MATCH(E62,tbl_pontos[ID_Ponto],0)),"")</f>
        <v>1. Gestão de Produtos Químicos</v>
      </c>
      <c r="G62" s="10" t="s">
        <v>165</v>
      </c>
      <c r="H62" s="10"/>
      <c r="I62" s="10"/>
      <c r="J62" s="10"/>
      <c r="K62" s="10"/>
      <c r="L62" s="10" t="s">
        <v>151</v>
      </c>
      <c r="M62" s="11">
        <f t="shared" si="1"/>
        <v>0</v>
      </c>
    </row>
    <row r="63" spans="1:13" ht="26.4" x14ac:dyDescent="0.3">
      <c r="A63" s="10" t="s">
        <v>190</v>
      </c>
      <c r="B63" s="14">
        <v>46076</v>
      </c>
      <c r="C63" s="11">
        <f t="shared" si="0"/>
        <v>202602</v>
      </c>
      <c r="D63" s="15">
        <v>1</v>
      </c>
      <c r="E63" s="10" t="s">
        <v>88</v>
      </c>
      <c r="F63" s="13" t="str">
        <f>IFERROR(INDEX(tbl_pontos[Categoria],MATCH(E63,tbl_pontos[ID_Ponto],0)),"")</f>
        <v>1. Gestão de Produtos Químicos</v>
      </c>
      <c r="G63" s="10" t="s">
        <v>165</v>
      </c>
      <c r="H63" s="10"/>
      <c r="I63" s="10"/>
      <c r="J63" s="10"/>
      <c r="K63" s="10"/>
      <c r="L63" s="10" t="s">
        <v>151</v>
      </c>
      <c r="M63" s="11">
        <f t="shared" si="1"/>
        <v>0</v>
      </c>
    </row>
    <row r="64" spans="1:13" ht="26.4" x14ac:dyDescent="0.3">
      <c r="A64" s="10" t="s">
        <v>190</v>
      </c>
      <c r="B64" s="14">
        <v>46076</v>
      </c>
      <c r="C64" s="11">
        <f t="shared" si="0"/>
        <v>202602</v>
      </c>
      <c r="D64" s="15">
        <v>2</v>
      </c>
      <c r="E64" s="10" t="s">
        <v>95</v>
      </c>
      <c r="F64" s="13" t="str">
        <f>IFERROR(INDEX(tbl_pontos[Categoria],MATCH(E64,tbl_pontos[ID_Ponto],0)),"")</f>
        <v>2. Eficiência e Manutenção</v>
      </c>
      <c r="G64" s="10" t="s">
        <v>165</v>
      </c>
      <c r="H64" s="10"/>
      <c r="I64" s="10"/>
      <c r="J64" s="10"/>
      <c r="K64" s="10"/>
      <c r="L64" s="10" t="s">
        <v>151</v>
      </c>
      <c r="M64" s="11">
        <f t="shared" si="1"/>
        <v>0</v>
      </c>
    </row>
    <row r="65" spans="1:13" ht="26.4" x14ac:dyDescent="0.3">
      <c r="A65" s="10" t="s">
        <v>190</v>
      </c>
      <c r="B65" s="14">
        <v>46076</v>
      </c>
      <c r="C65" s="11">
        <f t="shared" si="0"/>
        <v>202602</v>
      </c>
      <c r="D65" s="15">
        <v>3</v>
      </c>
      <c r="E65" s="10" t="s">
        <v>103</v>
      </c>
      <c r="F65" s="13" t="str">
        <f>IFERROR(INDEX(tbl_pontos[Categoria],MATCH(E65,tbl_pontos[ID_Ponto],0)),"")</f>
        <v>2. Eficiência e Manutenção</v>
      </c>
      <c r="G65" s="10" t="s">
        <v>165</v>
      </c>
      <c r="H65" s="10"/>
      <c r="I65" s="10"/>
      <c r="J65" s="10"/>
      <c r="K65" s="10"/>
      <c r="L65" s="10" t="s">
        <v>151</v>
      </c>
      <c r="M65" s="11">
        <f t="shared" si="1"/>
        <v>0</v>
      </c>
    </row>
    <row r="66" spans="1:13" ht="26.4" x14ac:dyDescent="0.3">
      <c r="A66" s="10" t="s">
        <v>190</v>
      </c>
      <c r="B66" s="14">
        <v>46076</v>
      </c>
      <c r="C66" s="11">
        <f t="shared" ref="C66:C129" si="2">YEAR(B66)*100+MONTH(B66)</f>
        <v>202602</v>
      </c>
      <c r="D66" s="15">
        <v>1</v>
      </c>
      <c r="E66" s="10" t="s">
        <v>124</v>
      </c>
      <c r="F66" s="13" t="str">
        <f>IFERROR(INDEX(tbl_pontos[Categoria],MATCH(E66,tbl_pontos[ID_Ponto],0)),"")</f>
        <v>4. Gestão de Resíduos</v>
      </c>
      <c r="G66" s="10" t="s">
        <v>165</v>
      </c>
      <c r="H66" s="10"/>
      <c r="I66" s="10"/>
      <c r="J66" s="10"/>
      <c r="K66" s="10"/>
      <c r="L66" s="10" t="s">
        <v>151</v>
      </c>
      <c r="M66" s="11">
        <f t="shared" ref="M66:M129" si="3">IF(G66="Não conforme",1,0)</f>
        <v>0</v>
      </c>
    </row>
    <row r="67" spans="1:13" ht="26.4" x14ac:dyDescent="0.3">
      <c r="A67" s="10" t="s">
        <v>190</v>
      </c>
      <c r="B67" s="14">
        <v>46076</v>
      </c>
      <c r="C67" s="11">
        <f t="shared" si="2"/>
        <v>202602</v>
      </c>
      <c r="D67" s="15">
        <v>1</v>
      </c>
      <c r="E67" s="10" t="s">
        <v>131</v>
      </c>
      <c r="F67" s="13" t="str">
        <f>IFERROR(INDEX(tbl_pontos[Categoria],MATCH(E67,tbl_pontos[ID_Ponto],0)),"")</f>
        <v>4. Gestão de Resíduos</v>
      </c>
      <c r="G67" s="10" t="s">
        <v>165</v>
      </c>
      <c r="H67" s="10"/>
      <c r="I67" s="10"/>
      <c r="J67" s="10"/>
      <c r="K67" s="10"/>
      <c r="L67" s="10" t="s">
        <v>151</v>
      </c>
      <c r="M67" s="11">
        <f t="shared" si="3"/>
        <v>0</v>
      </c>
    </row>
    <row r="68" spans="1:13" ht="26.4" x14ac:dyDescent="0.3">
      <c r="A68" s="10" t="s">
        <v>190</v>
      </c>
      <c r="B68" s="14">
        <v>46076</v>
      </c>
      <c r="C68" s="11">
        <f t="shared" si="2"/>
        <v>202602</v>
      </c>
      <c r="D68" s="15">
        <v>1</v>
      </c>
      <c r="E68" s="10" t="s">
        <v>136</v>
      </c>
      <c r="F68" s="13" t="str">
        <f>IFERROR(INDEX(tbl_pontos[Categoria],MATCH(E68,tbl_pontos[ID_Ponto],0)),"")</f>
        <v>5. Perdas de granulado e energia (extra)</v>
      </c>
      <c r="G68" s="10" t="s">
        <v>165</v>
      </c>
      <c r="H68" s="10"/>
      <c r="I68" s="10"/>
      <c r="J68" s="10"/>
      <c r="K68" s="10"/>
      <c r="L68" s="10" t="s">
        <v>151</v>
      </c>
      <c r="M68" s="11">
        <f t="shared" si="3"/>
        <v>0</v>
      </c>
    </row>
    <row r="69" spans="1:13" ht="26.4" x14ac:dyDescent="0.3">
      <c r="A69" s="10" t="s">
        <v>190</v>
      </c>
      <c r="B69" s="14">
        <v>46076</v>
      </c>
      <c r="C69" s="11">
        <f t="shared" si="2"/>
        <v>202602</v>
      </c>
      <c r="D69" s="15">
        <v>2</v>
      </c>
      <c r="E69" s="10" t="s">
        <v>148</v>
      </c>
      <c r="F69" s="13" t="str">
        <f>IFERROR(INDEX(tbl_pontos[Categoria],MATCH(E69,tbl_pontos[ID_Ponto],0)),"")</f>
        <v>5. Perdas de granulado e energia (extra)</v>
      </c>
      <c r="G69" s="10" t="s">
        <v>165</v>
      </c>
      <c r="H69" s="10"/>
      <c r="I69" s="10"/>
      <c r="J69" s="10"/>
      <c r="K69" s="10"/>
      <c r="L69" s="10" t="s">
        <v>151</v>
      </c>
      <c r="M69" s="11">
        <f t="shared" si="3"/>
        <v>0</v>
      </c>
    </row>
    <row r="70" spans="1:13" ht="26.4" x14ac:dyDescent="0.3">
      <c r="A70" s="10" t="s">
        <v>191</v>
      </c>
      <c r="B70" s="14">
        <v>46083</v>
      </c>
      <c r="C70" s="11">
        <f t="shared" si="2"/>
        <v>202603</v>
      </c>
      <c r="D70" s="15">
        <v>1</v>
      </c>
      <c r="E70" s="10" t="s">
        <v>77</v>
      </c>
      <c r="F70" s="13" t="str">
        <f>IFERROR(INDEX(tbl_pontos[Categoria],MATCH(E70,tbl_pontos[ID_Ponto],0)),"")</f>
        <v>1. Gestão de Produtos Químicos</v>
      </c>
      <c r="G70" s="10" t="s">
        <v>165</v>
      </c>
      <c r="H70" s="10"/>
      <c r="I70" s="10"/>
      <c r="J70" s="10"/>
      <c r="K70" s="10"/>
      <c r="L70" s="10" t="s">
        <v>84</v>
      </c>
      <c r="M70" s="11">
        <f t="shared" si="3"/>
        <v>0</v>
      </c>
    </row>
    <row r="71" spans="1:13" ht="26.4" x14ac:dyDescent="0.3">
      <c r="A71" s="10" t="s">
        <v>191</v>
      </c>
      <c r="B71" s="14">
        <v>46083</v>
      </c>
      <c r="C71" s="11">
        <f t="shared" si="2"/>
        <v>202603</v>
      </c>
      <c r="D71" s="15">
        <v>2</v>
      </c>
      <c r="E71" s="10" t="s">
        <v>88</v>
      </c>
      <c r="F71" s="13" t="str">
        <f>IFERROR(INDEX(tbl_pontos[Categoria],MATCH(E71,tbl_pontos[ID_Ponto],0)),"")</f>
        <v>1. Gestão de Produtos Químicos</v>
      </c>
      <c r="G71" s="10" t="s">
        <v>165</v>
      </c>
      <c r="H71" s="10"/>
      <c r="I71" s="10"/>
      <c r="J71" s="10"/>
      <c r="K71" s="10"/>
      <c r="L71" s="10" t="s">
        <v>84</v>
      </c>
      <c r="M71" s="11">
        <f t="shared" si="3"/>
        <v>0</v>
      </c>
    </row>
    <row r="72" spans="1:13" ht="26.4" x14ac:dyDescent="0.3">
      <c r="A72" s="10" t="s">
        <v>191</v>
      </c>
      <c r="B72" s="14">
        <v>46083</v>
      </c>
      <c r="C72" s="11">
        <f t="shared" si="2"/>
        <v>202603</v>
      </c>
      <c r="D72" s="15">
        <v>1</v>
      </c>
      <c r="E72" s="10" t="s">
        <v>95</v>
      </c>
      <c r="F72" s="13" t="str">
        <f>IFERROR(INDEX(tbl_pontos[Categoria],MATCH(E72,tbl_pontos[ID_Ponto],0)),"")</f>
        <v>2. Eficiência e Manutenção</v>
      </c>
      <c r="G72" s="10" t="s">
        <v>166</v>
      </c>
      <c r="H72" s="10" t="s">
        <v>178</v>
      </c>
      <c r="I72" s="10" t="s">
        <v>172</v>
      </c>
      <c r="J72" s="10"/>
      <c r="K72" s="10" t="s">
        <v>192</v>
      </c>
      <c r="L72" s="10" t="s">
        <v>84</v>
      </c>
      <c r="M72" s="11">
        <f t="shared" si="3"/>
        <v>1</v>
      </c>
    </row>
    <row r="73" spans="1:13" ht="26.4" x14ac:dyDescent="0.3">
      <c r="A73" s="10" t="s">
        <v>191</v>
      </c>
      <c r="B73" s="14">
        <v>46083</v>
      </c>
      <c r="C73" s="11">
        <f t="shared" si="2"/>
        <v>202603</v>
      </c>
      <c r="D73" s="15">
        <v>2</v>
      </c>
      <c r="E73" s="10" t="s">
        <v>103</v>
      </c>
      <c r="F73" s="13" t="str">
        <f>IFERROR(INDEX(tbl_pontos[Categoria],MATCH(E73,tbl_pontos[ID_Ponto],0)),"")</f>
        <v>2. Eficiência e Manutenção</v>
      </c>
      <c r="G73" s="10" t="s">
        <v>165</v>
      </c>
      <c r="H73" s="10"/>
      <c r="I73" s="10"/>
      <c r="J73" s="10"/>
      <c r="K73" s="10"/>
      <c r="L73" s="10" t="s">
        <v>84</v>
      </c>
      <c r="M73" s="11">
        <f t="shared" si="3"/>
        <v>0</v>
      </c>
    </row>
    <row r="74" spans="1:13" ht="26.4" x14ac:dyDescent="0.3">
      <c r="A74" s="10" t="s">
        <v>191</v>
      </c>
      <c r="B74" s="14">
        <v>46083</v>
      </c>
      <c r="C74" s="11">
        <f t="shared" si="2"/>
        <v>202603</v>
      </c>
      <c r="D74" s="15">
        <v>2</v>
      </c>
      <c r="E74" s="10" t="s">
        <v>109</v>
      </c>
      <c r="F74" s="13" t="str">
        <f>IFERROR(INDEX(tbl_pontos[Categoria],MATCH(E74,tbl_pontos[ID_Ponto],0)),"")</f>
        <v>3. Emergência</v>
      </c>
      <c r="G74" s="10" t="s">
        <v>165</v>
      </c>
      <c r="H74" s="10"/>
      <c r="I74" s="10"/>
      <c r="J74" s="10"/>
      <c r="K74" s="10"/>
      <c r="L74" s="10" t="s">
        <v>84</v>
      </c>
      <c r="M74" s="11">
        <f t="shared" si="3"/>
        <v>0</v>
      </c>
    </row>
    <row r="75" spans="1:13" ht="26.4" x14ac:dyDescent="0.3">
      <c r="A75" s="10" t="s">
        <v>191</v>
      </c>
      <c r="B75" s="14">
        <v>46083</v>
      </c>
      <c r="C75" s="11">
        <f t="shared" si="2"/>
        <v>202603</v>
      </c>
      <c r="D75" s="15">
        <v>1</v>
      </c>
      <c r="E75" s="10" t="s">
        <v>119</v>
      </c>
      <c r="F75" s="13" t="str">
        <f>IFERROR(INDEX(tbl_pontos[Categoria],MATCH(E75,tbl_pontos[ID_Ponto],0)),"")</f>
        <v>3. Emergência</v>
      </c>
      <c r="G75" s="10" t="s">
        <v>165</v>
      </c>
      <c r="H75" s="10"/>
      <c r="I75" s="10"/>
      <c r="J75" s="10"/>
      <c r="K75" s="10"/>
      <c r="L75" s="10" t="s">
        <v>84</v>
      </c>
      <c r="M75" s="11">
        <f t="shared" si="3"/>
        <v>0</v>
      </c>
    </row>
    <row r="76" spans="1:13" ht="26.4" x14ac:dyDescent="0.3">
      <c r="A76" s="10" t="s">
        <v>191</v>
      </c>
      <c r="B76" s="14">
        <v>46083</v>
      </c>
      <c r="C76" s="11">
        <f t="shared" si="2"/>
        <v>202603</v>
      </c>
      <c r="D76" s="15">
        <v>1</v>
      </c>
      <c r="E76" s="10" t="s">
        <v>124</v>
      </c>
      <c r="F76" s="13" t="str">
        <f>IFERROR(INDEX(tbl_pontos[Categoria],MATCH(E76,tbl_pontos[ID_Ponto],0)),"")</f>
        <v>4. Gestão de Resíduos</v>
      </c>
      <c r="G76" s="10" t="s">
        <v>165</v>
      </c>
      <c r="H76" s="10"/>
      <c r="I76" s="10"/>
      <c r="J76" s="10"/>
      <c r="K76" s="10"/>
      <c r="L76" s="10" t="s">
        <v>84</v>
      </c>
      <c r="M76" s="11">
        <f t="shared" si="3"/>
        <v>0</v>
      </c>
    </row>
    <row r="77" spans="1:13" ht="26.4" x14ac:dyDescent="0.3">
      <c r="A77" s="10" t="s">
        <v>191</v>
      </c>
      <c r="B77" s="14">
        <v>46083</v>
      </c>
      <c r="C77" s="11">
        <f t="shared" si="2"/>
        <v>202603</v>
      </c>
      <c r="D77" s="15">
        <v>3</v>
      </c>
      <c r="E77" s="10" t="s">
        <v>131</v>
      </c>
      <c r="F77" s="13" t="str">
        <f>IFERROR(INDEX(tbl_pontos[Categoria],MATCH(E77,tbl_pontos[ID_Ponto],0)),"")</f>
        <v>4. Gestão de Resíduos</v>
      </c>
      <c r="G77" s="10" t="s">
        <v>165</v>
      </c>
      <c r="H77" s="10"/>
      <c r="I77" s="10"/>
      <c r="J77" s="10"/>
      <c r="K77" s="10"/>
      <c r="L77" s="10" t="s">
        <v>84</v>
      </c>
      <c r="M77" s="11">
        <f t="shared" si="3"/>
        <v>0</v>
      </c>
    </row>
    <row r="78" spans="1:13" ht="26.4" x14ac:dyDescent="0.3">
      <c r="A78" s="10" t="s">
        <v>191</v>
      </c>
      <c r="B78" s="14">
        <v>46083</v>
      </c>
      <c r="C78" s="11">
        <f t="shared" si="2"/>
        <v>202603</v>
      </c>
      <c r="D78" s="15">
        <v>1</v>
      </c>
      <c r="E78" s="10" t="s">
        <v>136</v>
      </c>
      <c r="F78" s="13" t="str">
        <f>IFERROR(INDEX(tbl_pontos[Categoria],MATCH(E78,tbl_pontos[ID_Ponto],0)),"")</f>
        <v>5. Perdas de granulado e energia (extra)</v>
      </c>
      <c r="G78" s="10" t="s">
        <v>166</v>
      </c>
      <c r="H78" s="10" t="s">
        <v>171</v>
      </c>
      <c r="I78" s="10" t="s">
        <v>172</v>
      </c>
      <c r="J78" s="10"/>
      <c r="K78" s="10" t="s">
        <v>193</v>
      </c>
      <c r="L78" s="10" t="s">
        <v>84</v>
      </c>
      <c r="M78" s="11">
        <f t="shared" si="3"/>
        <v>1</v>
      </c>
    </row>
    <row r="79" spans="1:13" ht="26.4" x14ac:dyDescent="0.3">
      <c r="A79" s="10" t="s">
        <v>191</v>
      </c>
      <c r="B79" s="14">
        <v>46083</v>
      </c>
      <c r="C79" s="11">
        <f t="shared" si="2"/>
        <v>202603</v>
      </c>
      <c r="D79" s="15">
        <v>2</v>
      </c>
      <c r="E79" s="10" t="s">
        <v>148</v>
      </c>
      <c r="F79" s="13" t="str">
        <f>IFERROR(INDEX(tbl_pontos[Categoria],MATCH(E79,tbl_pontos[ID_Ponto],0)),"")</f>
        <v>5. Perdas de granulado e energia (extra)</v>
      </c>
      <c r="G79" s="10" t="s">
        <v>165</v>
      </c>
      <c r="H79" s="10"/>
      <c r="I79" s="10"/>
      <c r="J79" s="10"/>
      <c r="K79" s="10"/>
      <c r="L79" s="10" t="s">
        <v>84</v>
      </c>
      <c r="M79" s="11">
        <f t="shared" si="3"/>
        <v>0</v>
      </c>
    </row>
    <row r="80" spans="1:13" ht="26.4" x14ac:dyDescent="0.3">
      <c r="A80" s="10" t="s">
        <v>194</v>
      </c>
      <c r="B80" s="14">
        <v>46090</v>
      </c>
      <c r="C80" s="11">
        <f t="shared" si="2"/>
        <v>202603</v>
      </c>
      <c r="D80" s="15">
        <v>3</v>
      </c>
      <c r="E80" s="10" t="s">
        <v>77</v>
      </c>
      <c r="F80" s="13" t="str">
        <f>IFERROR(INDEX(tbl_pontos[Categoria],MATCH(E80,tbl_pontos[ID_Ponto],0)),"")</f>
        <v>1. Gestão de Produtos Químicos</v>
      </c>
      <c r="G80" s="10" t="s">
        <v>165</v>
      </c>
      <c r="H80" s="10"/>
      <c r="I80" s="10"/>
      <c r="J80" s="10"/>
      <c r="K80" s="10"/>
      <c r="L80" s="10" t="s">
        <v>151</v>
      </c>
      <c r="M80" s="11">
        <f t="shared" si="3"/>
        <v>0</v>
      </c>
    </row>
    <row r="81" spans="1:13" ht="26.4" x14ac:dyDescent="0.3">
      <c r="A81" s="10" t="s">
        <v>194</v>
      </c>
      <c r="B81" s="14">
        <v>46090</v>
      </c>
      <c r="C81" s="11">
        <f t="shared" si="2"/>
        <v>202603</v>
      </c>
      <c r="D81" s="15">
        <v>1</v>
      </c>
      <c r="E81" s="10" t="s">
        <v>88</v>
      </c>
      <c r="F81" s="13" t="str">
        <f>IFERROR(INDEX(tbl_pontos[Categoria],MATCH(E81,tbl_pontos[ID_Ponto],0)),"")</f>
        <v>1. Gestão de Produtos Químicos</v>
      </c>
      <c r="G81" s="10" t="s">
        <v>165</v>
      </c>
      <c r="H81" s="10"/>
      <c r="I81" s="10"/>
      <c r="J81" s="10"/>
      <c r="K81" s="10"/>
      <c r="L81" s="10" t="s">
        <v>151</v>
      </c>
      <c r="M81" s="11">
        <f t="shared" si="3"/>
        <v>0</v>
      </c>
    </row>
    <row r="82" spans="1:13" ht="26.4" x14ac:dyDescent="0.3">
      <c r="A82" s="10" t="s">
        <v>194</v>
      </c>
      <c r="B82" s="14">
        <v>46090</v>
      </c>
      <c r="C82" s="11">
        <f t="shared" si="2"/>
        <v>202603</v>
      </c>
      <c r="D82" s="15">
        <v>1</v>
      </c>
      <c r="E82" s="10" t="s">
        <v>95</v>
      </c>
      <c r="F82" s="13" t="str">
        <f>IFERROR(INDEX(tbl_pontos[Categoria],MATCH(E82,tbl_pontos[ID_Ponto],0)),"")</f>
        <v>2. Eficiência e Manutenção</v>
      </c>
      <c r="G82" s="10" t="s">
        <v>165</v>
      </c>
      <c r="H82" s="10"/>
      <c r="I82" s="10"/>
      <c r="J82" s="10"/>
      <c r="K82" s="10"/>
      <c r="L82" s="10" t="s">
        <v>151</v>
      </c>
      <c r="M82" s="11">
        <f t="shared" si="3"/>
        <v>0</v>
      </c>
    </row>
    <row r="83" spans="1:13" ht="26.4" x14ac:dyDescent="0.3">
      <c r="A83" s="10" t="s">
        <v>194</v>
      </c>
      <c r="B83" s="14">
        <v>46090</v>
      </c>
      <c r="C83" s="11">
        <f t="shared" si="2"/>
        <v>202603</v>
      </c>
      <c r="D83" s="15">
        <v>1</v>
      </c>
      <c r="E83" s="10" t="s">
        <v>103</v>
      </c>
      <c r="F83" s="13" t="str">
        <f>IFERROR(INDEX(tbl_pontos[Categoria],MATCH(E83,tbl_pontos[ID_Ponto],0)),"")</f>
        <v>2. Eficiência e Manutenção</v>
      </c>
      <c r="G83" s="10" t="s">
        <v>165</v>
      </c>
      <c r="H83" s="10"/>
      <c r="I83" s="10"/>
      <c r="J83" s="10"/>
      <c r="K83" s="10"/>
      <c r="L83" s="10" t="s">
        <v>151</v>
      </c>
      <c r="M83" s="11">
        <f t="shared" si="3"/>
        <v>0</v>
      </c>
    </row>
    <row r="84" spans="1:13" ht="26.4" x14ac:dyDescent="0.3">
      <c r="A84" s="10" t="s">
        <v>194</v>
      </c>
      <c r="B84" s="14">
        <v>46090</v>
      </c>
      <c r="C84" s="11">
        <f t="shared" si="2"/>
        <v>202603</v>
      </c>
      <c r="D84" s="15">
        <v>1</v>
      </c>
      <c r="E84" s="10" t="s">
        <v>124</v>
      </c>
      <c r="F84" s="13" t="str">
        <f>IFERROR(INDEX(tbl_pontos[Categoria],MATCH(E84,tbl_pontos[ID_Ponto],0)),"")</f>
        <v>4. Gestão de Resíduos</v>
      </c>
      <c r="G84" s="10" t="s">
        <v>165</v>
      </c>
      <c r="H84" s="10"/>
      <c r="I84" s="10"/>
      <c r="J84" s="10"/>
      <c r="K84" s="10"/>
      <c r="L84" s="10" t="s">
        <v>151</v>
      </c>
      <c r="M84" s="11">
        <f t="shared" si="3"/>
        <v>0</v>
      </c>
    </row>
    <row r="85" spans="1:13" ht="26.4" x14ac:dyDescent="0.3">
      <c r="A85" s="10" t="s">
        <v>194</v>
      </c>
      <c r="B85" s="14">
        <v>46090</v>
      </c>
      <c r="C85" s="11">
        <f t="shared" si="2"/>
        <v>202603</v>
      </c>
      <c r="D85" s="15">
        <v>1</v>
      </c>
      <c r="E85" s="10" t="s">
        <v>131</v>
      </c>
      <c r="F85" s="13" t="str">
        <f>IFERROR(INDEX(tbl_pontos[Categoria],MATCH(E85,tbl_pontos[ID_Ponto],0)),"")</f>
        <v>4. Gestão de Resíduos</v>
      </c>
      <c r="G85" s="10" t="s">
        <v>165</v>
      </c>
      <c r="H85" s="10"/>
      <c r="I85" s="10"/>
      <c r="J85" s="10"/>
      <c r="K85" s="10"/>
      <c r="L85" s="10" t="s">
        <v>151</v>
      </c>
      <c r="M85" s="11">
        <f t="shared" si="3"/>
        <v>0</v>
      </c>
    </row>
    <row r="86" spans="1:13" ht="26.4" x14ac:dyDescent="0.3">
      <c r="A86" s="10" t="s">
        <v>194</v>
      </c>
      <c r="B86" s="14">
        <v>46090</v>
      </c>
      <c r="C86" s="11">
        <f t="shared" si="2"/>
        <v>202603</v>
      </c>
      <c r="D86" s="15">
        <v>1</v>
      </c>
      <c r="E86" s="10" t="s">
        <v>136</v>
      </c>
      <c r="F86" s="13" t="str">
        <f>IFERROR(INDEX(tbl_pontos[Categoria],MATCH(E86,tbl_pontos[ID_Ponto],0)),"")</f>
        <v>5. Perdas de granulado e energia (extra)</v>
      </c>
      <c r="G86" s="10" t="s">
        <v>165</v>
      </c>
      <c r="H86" s="10"/>
      <c r="I86" s="10"/>
      <c r="J86" s="10"/>
      <c r="K86" s="10"/>
      <c r="L86" s="10" t="s">
        <v>151</v>
      </c>
      <c r="M86" s="11">
        <f t="shared" si="3"/>
        <v>0</v>
      </c>
    </row>
    <row r="87" spans="1:13" ht="26.4" x14ac:dyDescent="0.3">
      <c r="A87" s="10" t="s">
        <v>194</v>
      </c>
      <c r="B87" s="14">
        <v>46090</v>
      </c>
      <c r="C87" s="11">
        <f t="shared" si="2"/>
        <v>202603</v>
      </c>
      <c r="D87" s="15">
        <v>1</v>
      </c>
      <c r="E87" s="10" t="s">
        <v>148</v>
      </c>
      <c r="F87" s="13" t="str">
        <f>IFERROR(INDEX(tbl_pontos[Categoria],MATCH(E87,tbl_pontos[ID_Ponto],0)),"")</f>
        <v>5. Perdas de granulado e energia (extra)</v>
      </c>
      <c r="G87" s="10" t="s">
        <v>165</v>
      </c>
      <c r="H87" s="10"/>
      <c r="I87" s="10"/>
      <c r="J87" s="10"/>
      <c r="K87" s="10"/>
      <c r="L87" s="10" t="s">
        <v>151</v>
      </c>
      <c r="M87" s="11">
        <f t="shared" si="3"/>
        <v>0</v>
      </c>
    </row>
    <row r="88" spans="1:13" ht="26.4" x14ac:dyDescent="0.3">
      <c r="A88" s="10" t="s">
        <v>195</v>
      </c>
      <c r="B88" s="14">
        <v>46097</v>
      </c>
      <c r="C88" s="11">
        <f t="shared" si="2"/>
        <v>202603</v>
      </c>
      <c r="D88" s="15">
        <v>1</v>
      </c>
      <c r="E88" s="10" t="s">
        <v>77</v>
      </c>
      <c r="F88" s="13" t="str">
        <f>IFERROR(INDEX(tbl_pontos[Categoria],MATCH(E88,tbl_pontos[ID_Ponto],0)),"")</f>
        <v>1. Gestão de Produtos Químicos</v>
      </c>
      <c r="G88" s="10" t="s">
        <v>165</v>
      </c>
      <c r="H88" s="10"/>
      <c r="I88" s="10"/>
      <c r="J88" s="10"/>
      <c r="K88" s="10"/>
      <c r="L88" s="10" t="s">
        <v>84</v>
      </c>
      <c r="M88" s="11">
        <f t="shared" si="3"/>
        <v>0</v>
      </c>
    </row>
    <row r="89" spans="1:13" ht="26.4" x14ac:dyDescent="0.3">
      <c r="A89" s="10" t="s">
        <v>195</v>
      </c>
      <c r="B89" s="14">
        <v>46097</v>
      </c>
      <c r="C89" s="11">
        <f t="shared" si="2"/>
        <v>202603</v>
      </c>
      <c r="D89" s="15">
        <v>1</v>
      </c>
      <c r="E89" s="10" t="s">
        <v>88</v>
      </c>
      <c r="F89" s="13" t="str">
        <f>IFERROR(INDEX(tbl_pontos[Categoria],MATCH(E89,tbl_pontos[ID_Ponto],0)),"")</f>
        <v>1. Gestão de Produtos Químicos</v>
      </c>
      <c r="G89" s="10" t="s">
        <v>166</v>
      </c>
      <c r="H89" s="10" t="s">
        <v>175</v>
      </c>
      <c r="I89" s="10" t="s">
        <v>172</v>
      </c>
      <c r="J89" s="10"/>
      <c r="K89" s="10" t="s">
        <v>196</v>
      </c>
      <c r="L89" s="10" t="s">
        <v>84</v>
      </c>
      <c r="M89" s="11">
        <f t="shared" si="3"/>
        <v>1</v>
      </c>
    </row>
    <row r="90" spans="1:13" ht="26.4" x14ac:dyDescent="0.3">
      <c r="A90" s="10" t="s">
        <v>195</v>
      </c>
      <c r="B90" s="14">
        <v>46097</v>
      </c>
      <c r="C90" s="11">
        <f t="shared" si="2"/>
        <v>202603</v>
      </c>
      <c r="D90" s="15">
        <v>1</v>
      </c>
      <c r="E90" s="10" t="s">
        <v>95</v>
      </c>
      <c r="F90" s="13" t="str">
        <f>IFERROR(INDEX(tbl_pontos[Categoria],MATCH(E90,tbl_pontos[ID_Ponto],0)),"")</f>
        <v>2. Eficiência e Manutenção</v>
      </c>
      <c r="G90" s="10" t="s">
        <v>165</v>
      </c>
      <c r="H90" s="10"/>
      <c r="I90" s="10"/>
      <c r="J90" s="10"/>
      <c r="K90" s="10"/>
      <c r="L90" s="10" t="s">
        <v>84</v>
      </c>
      <c r="M90" s="11">
        <f t="shared" si="3"/>
        <v>0</v>
      </c>
    </row>
    <row r="91" spans="1:13" ht="26.4" x14ac:dyDescent="0.3">
      <c r="A91" s="10" t="s">
        <v>195</v>
      </c>
      <c r="B91" s="14">
        <v>46097</v>
      </c>
      <c r="C91" s="11">
        <f t="shared" si="2"/>
        <v>202603</v>
      </c>
      <c r="D91" s="15">
        <v>3</v>
      </c>
      <c r="E91" s="10" t="s">
        <v>103</v>
      </c>
      <c r="F91" s="13" t="str">
        <f>IFERROR(INDEX(tbl_pontos[Categoria],MATCH(E91,tbl_pontos[ID_Ponto],0)),"")</f>
        <v>2. Eficiência e Manutenção</v>
      </c>
      <c r="G91" s="10" t="s">
        <v>165</v>
      </c>
      <c r="H91" s="10"/>
      <c r="I91" s="10"/>
      <c r="J91" s="10"/>
      <c r="K91" s="10"/>
      <c r="L91" s="10" t="s">
        <v>84</v>
      </c>
      <c r="M91" s="11">
        <f t="shared" si="3"/>
        <v>0</v>
      </c>
    </row>
    <row r="92" spans="1:13" ht="26.4" x14ac:dyDescent="0.3">
      <c r="A92" s="10" t="s">
        <v>195</v>
      </c>
      <c r="B92" s="14">
        <v>46097</v>
      </c>
      <c r="C92" s="11">
        <f t="shared" si="2"/>
        <v>202603</v>
      </c>
      <c r="D92" s="15">
        <v>1</v>
      </c>
      <c r="E92" s="10" t="s">
        <v>124</v>
      </c>
      <c r="F92" s="13" t="str">
        <f>IFERROR(INDEX(tbl_pontos[Categoria],MATCH(E92,tbl_pontos[ID_Ponto],0)),"")</f>
        <v>4. Gestão de Resíduos</v>
      </c>
      <c r="G92" s="10" t="s">
        <v>165</v>
      </c>
      <c r="H92" s="10"/>
      <c r="I92" s="10"/>
      <c r="J92" s="10"/>
      <c r="K92" s="10"/>
      <c r="L92" s="10" t="s">
        <v>84</v>
      </c>
      <c r="M92" s="11">
        <f t="shared" si="3"/>
        <v>0</v>
      </c>
    </row>
    <row r="93" spans="1:13" ht="26.4" x14ac:dyDescent="0.3">
      <c r="A93" s="10" t="s">
        <v>195</v>
      </c>
      <c r="B93" s="14">
        <v>46097</v>
      </c>
      <c r="C93" s="11">
        <f t="shared" si="2"/>
        <v>202603</v>
      </c>
      <c r="D93" s="15">
        <v>1</v>
      </c>
      <c r="E93" s="10" t="s">
        <v>131</v>
      </c>
      <c r="F93" s="13" t="str">
        <f>IFERROR(INDEX(tbl_pontos[Categoria],MATCH(E93,tbl_pontos[ID_Ponto],0)),"")</f>
        <v>4. Gestão de Resíduos</v>
      </c>
      <c r="G93" s="10" t="s">
        <v>165</v>
      </c>
      <c r="H93" s="10"/>
      <c r="I93" s="10"/>
      <c r="J93" s="10"/>
      <c r="K93" s="10"/>
      <c r="L93" s="10" t="s">
        <v>84</v>
      </c>
      <c r="M93" s="11">
        <f t="shared" si="3"/>
        <v>0</v>
      </c>
    </row>
    <row r="94" spans="1:13" ht="26.4" x14ac:dyDescent="0.3">
      <c r="A94" s="10" t="s">
        <v>195</v>
      </c>
      <c r="B94" s="14">
        <v>46097</v>
      </c>
      <c r="C94" s="11">
        <f t="shared" si="2"/>
        <v>202603</v>
      </c>
      <c r="D94" s="15">
        <v>2</v>
      </c>
      <c r="E94" s="10" t="s">
        <v>136</v>
      </c>
      <c r="F94" s="13" t="str">
        <f>IFERROR(INDEX(tbl_pontos[Categoria],MATCH(E94,tbl_pontos[ID_Ponto],0)),"")</f>
        <v>5. Perdas de granulado e energia (extra)</v>
      </c>
      <c r="G94" s="10" t="s">
        <v>166</v>
      </c>
      <c r="H94" s="10" t="s">
        <v>171</v>
      </c>
      <c r="I94" s="10" t="s">
        <v>172</v>
      </c>
      <c r="J94" s="10"/>
      <c r="K94" s="10" t="s">
        <v>197</v>
      </c>
      <c r="L94" s="10" t="s">
        <v>84</v>
      </c>
      <c r="M94" s="11">
        <f t="shared" si="3"/>
        <v>1</v>
      </c>
    </row>
    <row r="95" spans="1:13" ht="26.4" x14ac:dyDescent="0.3">
      <c r="A95" s="10" t="s">
        <v>195</v>
      </c>
      <c r="B95" s="14">
        <v>46097</v>
      </c>
      <c r="C95" s="11">
        <f t="shared" si="2"/>
        <v>202603</v>
      </c>
      <c r="D95" s="15">
        <v>1</v>
      </c>
      <c r="E95" s="10" t="s">
        <v>148</v>
      </c>
      <c r="F95" s="13" t="str">
        <f>IFERROR(INDEX(tbl_pontos[Categoria],MATCH(E95,tbl_pontos[ID_Ponto],0)),"")</f>
        <v>5. Perdas de granulado e energia (extra)</v>
      </c>
      <c r="G95" s="10" t="s">
        <v>165</v>
      </c>
      <c r="H95" s="10"/>
      <c r="I95" s="10"/>
      <c r="J95" s="10"/>
      <c r="K95" s="10"/>
      <c r="L95" s="10" t="s">
        <v>84</v>
      </c>
      <c r="M95" s="11">
        <f t="shared" si="3"/>
        <v>0</v>
      </c>
    </row>
    <row r="96" spans="1:13" ht="26.4" x14ac:dyDescent="0.3">
      <c r="A96" s="10" t="s">
        <v>198</v>
      </c>
      <c r="B96" s="14">
        <v>46104</v>
      </c>
      <c r="C96" s="11">
        <f t="shared" si="2"/>
        <v>202603</v>
      </c>
      <c r="D96" s="15">
        <v>2</v>
      </c>
      <c r="E96" s="10" t="s">
        <v>77</v>
      </c>
      <c r="F96" s="13" t="str">
        <f>IFERROR(INDEX(tbl_pontos[Categoria],MATCH(E96,tbl_pontos[ID_Ponto],0)),"")</f>
        <v>1. Gestão de Produtos Químicos</v>
      </c>
      <c r="G96" s="10" t="s">
        <v>165</v>
      </c>
      <c r="H96" s="10"/>
      <c r="I96" s="10"/>
      <c r="J96" s="10"/>
      <c r="K96" s="10"/>
      <c r="L96" s="10" t="s">
        <v>151</v>
      </c>
      <c r="M96" s="11">
        <f t="shared" si="3"/>
        <v>0</v>
      </c>
    </row>
    <row r="97" spans="1:13" ht="26.4" x14ac:dyDescent="0.3">
      <c r="A97" s="10" t="s">
        <v>198</v>
      </c>
      <c r="B97" s="14">
        <v>46104</v>
      </c>
      <c r="C97" s="11">
        <f t="shared" si="2"/>
        <v>202603</v>
      </c>
      <c r="D97" s="15">
        <v>1</v>
      </c>
      <c r="E97" s="10" t="s">
        <v>88</v>
      </c>
      <c r="F97" s="13" t="str">
        <f>IFERROR(INDEX(tbl_pontos[Categoria],MATCH(E97,tbl_pontos[ID_Ponto],0)),"")</f>
        <v>1. Gestão de Produtos Químicos</v>
      </c>
      <c r="G97" s="10" t="s">
        <v>166</v>
      </c>
      <c r="H97" s="10" t="s">
        <v>175</v>
      </c>
      <c r="I97" s="10" t="s">
        <v>172</v>
      </c>
      <c r="J97" s="10"/>
      <c r="K97" s="10" t="s">
        <v>199</v>
      </c>
      <c r="L97" s="10" t="s">
        <v>151</v>
      </c>
      <c r="M97" s="11">
        <f t="shared" si="3"/>
        <v>1</v>
      </c>
    </row>
    <row r="98" spans="1:13" ht="26.4" x14ac:dyDescent="0.3">
      <c r="A98" s="10" t="s">
        <v>198</v>
      </c>
      <c r="B98" s="14">
        <v>46104</v>
      </c>
      <c r="C98" s="11">
        <f t="shared" si="2"/>
        <v>202603</v>
      </c>
      <c r="D98" s="15">
        <v>3</v>
      </c>
      <c r="E98" s="10" t="s">
        <v>95</v>
      </c>
      <c r="F98" s="13" t="str">
        <f>IFERROR(INDEX(tbl_pontos[Categoria],MATCH(E98,tbl_pontos[ID_Ponto],0)),"")</f>
        <v>2. Eficiência e Manutenção</v>
      </c>
      <c r="G98" s="10" t="s">
        <v>165</v>
      </c>
      <c r="H98" s="10"/>
      <c r="I98" s="10"/>
      <c r="J98" s="10"/>
      <c r="K98" s="10"/>
      <c r="L98" s="10" t="s">
        <v>151</v>
      </c>
      <c r="M98" s="11">
        <f t="shared" si="3"/>
        <v>0</v>
      </c>
    </row>
    <row r="99" spans="1:13" ht="26.4" x14ac:dyDescent="0.3">
      <c r="A99" s="10" t="s">
        <v>198</v>
      </c>
      <c r="B99" s="14">
        <v>46104</v>
      </c>
      <c r="C99" s="11">
        <f t="shared" si="2"/>
        <v>202603</v>
      </c>
      <c r="D99" s="15">
        <v>2</v>
      </c>
      <c r="E99" s="10" t="s">
        <v>103</v>
      </c>
      <c r="F99" s="13" t="str">
        <f>IFERROR(INDEX(tbl_pontos[Categoria],MATCH(E99,tbl_pontos[ID_Ponto],0)),"")</f>
        <v>2. Eficiência e Manutenção</v>
      </c>
      <c r="G99" s="10" t="s">
        <v>165</v>
      </c>
      <c r="H99" s="10"/>
      <c r="I99" s="10"/>
      <c r="J99" s="10"/>
      <c r="K99" s="10"/>
      <c r="L99" s="10" t="s">
        <v>151</v>
      </c>
      <c r="M99" s="11">
        <f t="shared" si="3"/>
        <v>0</v>
      </c>
    </row>
    <row r="100" spans="1:13" ht="26.4" x14ac:dyDescent="0.3">
      <c r="A100" s="10" t="s">
        <v>198</v>
      </c>
      <c r="B100" s="14">
        <v>46104</v>
      </c>
      <c r="C100" s="11">
        <f t="shared" si="2"/>
        <v>202603</v>
      </c>
      <c r="D100" s="15">
        <v>1</v>
      </c>
      <c r="E100" s="10" t="s">
        <v>124</v>
      </c>
      <c r="F100" s="13" t="str">
        <f>IFERROR(INDEX(tbl_pontos[Categoria],MATCH(E100,tbl_pontos[ID_Ponto],0)),"")</f>
        <v>4. Gestão de Resíduos</v>
      </c>
      <c r="G100" s="10" t="s">
        <v>165</v>
      </c>
      <c r="H100" s="10"/>
      <c r="I100" s="10"/>
      <c r="J100" s="10"/>
      <c r="K100" s="10"/>
      <c r="L100" s="10" t="s">
        <v>151</v>
      </c>
      <c r="M100" s="11">
        <f t="shared" si="3"/>
        <v>0</v>
      </c>
    </row>
    <row r="101" spans="1:13" ht="26.4" x14ac:dyDescent="0.3">
      <c r="A101" s="10" t="s">
        <v>198</v>
      </c>
      <c r="B101" s="14">
        <v>46104</v>
      </c>
      <c r="C101" s="11">
        <f t="shared" si="2"/>
        <v>202603</v>
      </c>
      <c r="D101" s="15">
        <v>2</v>
      </c>
      <c r="E101" s="10" t="s">
        <v>131</v>
      </c>
      <c r="F101" s="13" t="str">
        <f>IFERROR(INDEX(tbl_pontos[Categoria],MATCH(E101,tbl_pontos[ID_Ponto],0)),"")</f>
        <v>4. Gestão de Resíduos</v>
      </c>
      <c r="G101" s="10" t="s">
        <v>165</v>
      </c>
      <c r="H101" s="10"/>
      <c r="I101" s="10"/>
      <c r="J101" s="10"/>
      <c r="K101" s="10"/>
      <c r="L101" s="10" t="s">
        <v>151</v>
      </c>
      <c r="M101" s="11">
        <f t="shared" si="3"/>
        <v>0</v>
      </c>
    </row>
    <row r="102" spans="1:13" ht="26.4" x14ac:dyDescent="0.3">
      <c r="A102" s="10" t="s">
        <v>198</v>
      </c>
      <c r="B102" s="14">
        <v>46104</v>
      </c>
      <c r="C102" s="11">
        <f t="shared" si="2"/>
        <v>202603</v>
      </c>
      <c r="D102" s="15">
        <v>2</v>
      </c>
      <c r="E102" s="10" t="s">
        <v>136</v>
      </c>
      <c r="F102" s="13" t="str">
        <f>IFERROR(INDEX(tbl_pontos[Categoria],MATCH(E102,tbl_pontos[ID_Ponto],0)),"")</f>
        <v>5. Perdas de granulado e energia (extra)</v>
      </c>
      <c r="G102" s="10" t="s">
        <v>166</v>
      </c>
      <c r="H102" s="10" t="s">
        <v>171</v>
      </c>
      <c r="I102" s="10" t="s">
        <v>172</v>
      </c>
      <c r="J102" s="10"/>
      <c r="K102" s="10" t="s">
        <v>200</v>
      </c>
      <c r="L102" s="10" t="s">
        <v>151</v>
      </c>
      <c r="M102" s="11">
        <f t="shared" si="3"/>
        <v>1</v>
      </c>
    </row>
    <row r="103" spans="1:13" ht="26.4" x14ac:dyDescent="0.3">
      <c r="A103" s="10" t="s">
        <v>198</v>
      </c>
      <c r="B103" s="14">
        <v>46104</v>
      </c>
      <c r="C103" s="11">
        <f t="shared" si="2"/>
        <v>202603</v>
      </c>
      <c r="D103" s="15">
        <v>1</v>
      </c>
      <c r="E103" s="10" t="s">
        <v>148</v>
      </c>
      <c r="F103" s="13" t="str">
        <f>IFERROR(INDEX(tbl_pontos[Categoria],MATCH(E103,tbl_pontos[ID_Ponto],0)),"")</f>
        <v>5. Perdas de granulado e energia (extra)</v>
      </c>
      <c r="G103" s="10" t="s">
        <v>166</v>
      </c>
      <c r="H103" s="10" t="s">
        <v>167</v>
      </c>
      <c r="I103" s="10" t="s">
        <v>168</v>
      </c>
      <c r="J103" s="10"/>
      <c r="K103" s="10" t="s">
        <v>201</v>
      </c>
      <c r="L103" s="10" t="s">
        <v>151</v>
      </c>
      <c r="M103" s="11">
        <f t="shared" si="3"/>
        <v>1</v>
      </c>
    </row>
    <row r="104" spans="1:13" ht="26.4" x14ac:dyDescent="0.3">
      <c r="A104" s="10" t="s">
        <v>202</v>
      </c>
      <c r="B104" s="14">
        <v>46111</v>
      </c>
      <c r="C104" s="11">
        <f t="shared" si="2"/>
        <v>202603</v>
      </c>
      <c r="D104" s="15">
        <v>1</v>
      </c>
      <c r="E104" s="10" t="s">
        <v>77</v>
      </c>
      <c r="F104" s="13" t="str">
        <f>IFERROR(INDEX(tbl_pontos[Categoria],MATCH(E104,tbl_pontos[ID_Ponto],0)),"")</f>
        <v>1. Gestão de Produtos Químicos</v>
      </c>
      <c r="G104" s="10" t="s">
        <v>165</v>
      </c>
      <c r="H104" s="10"/>
      <c r="I104" s="10"/>
      <c r="J104" s="10"/>
      <c r="K104" s="10"/>
      <c r="L104" s="10" t="s">
        <v>84</v>
      </c>
      <c r="M104" s="11">
        <f t="shared" si="3"/>
        <v>0</v>
      </c>
    </row>
    <row r="105" spans="1:13" ht="26.4" x14ac:dyDescent="0.3">
      <c r="A105" s="10" t="s">
        <v>202</v>
      </c>
      <c r="B105" s="14">
        <v>46111</v>
      </c>
      <c r="C105" s="11">
        <f t="shared" si="2"/>
        <v>202603</v>
      </c>
      <c r="D105" s="15">
        <v>1</v>
      </c>
      <c r="E105" s="10" t="s">
        <v>88</v>
      </c>
      <c r="F105" s="13" t="str">
        <f>IFERROR(INDEX(tbl_pontos[Categoria],MATCH(E105,tbl_pontos[ID_Ponto],0)),"")</f>
        <v>1. Gestão de Produtos Químicos</v>
      </c>
      <c r="G105" s="10" t="s">
        <v>165</v>
      </c>
      <c r="H105" s="10"/>
      <c r="I105" s="10"/>
      <c r="J105" s="10"/>
      <c r="K105" s="10"/>
      <c r="L105" s="10" t="s">
        <v>84</v>
      </c>
      <c r="M105" s="11">
        <f t="shared" si="3"/>
        <v>0</v>
      </c>
    </row>
    <row r="106" spans="1:13" ht="26.4" x14ac:dyDescent="0.3">
      <c r="A106" s="10" t="s">
        <v>202</v>
      </c>
      <c r="B106" s="14">
        <v>46111</v>
      </c>
      <c r="C106" s="11">
        <f t="shared" si="2"/>
        <v>202603</v>
      </c>
      <c r="D106" s="15">
        <v>1</v>
      </c>
      <c r="E106" s="10" t="s">
        <v>95</v>
      </c>
      <c r="F106" s="13" t="str">
        <f>IFERROR(INDEX(tbl_pontos[Categoria],MATCH(E106,tbl_pontos[ID_Ponto],0)),"")</f>
        <v>2. Eficiência e Manutenção</v>
      </c>
      <c r="G106" s="10" t="s">
        <v>165</v>
      </c>
      <c r="H106" s="10"/>
      <c r="I106" s="10"/>
      <c r="J106" s="10"/>
      <c r="K106" s="10"/>
      <c r="L106" s="10" t="s">
        <v>84</v>
      </c>
      <c r="M106" s="11">
        <f t="shared" si="3"/>
        <v>0</v>
      </c>
    </row>
    <row r="107" spans="1:13" ht="26.4" x14ac:dyDescent="0.3">
      <c r="A107" s="10" t="s">
        <v>202</v>
      </c>
      <c r="B107" s="14">
        <v>46111</v>
      </c>
      <c r="C107" s="11">
        <f t="shared" si="2"/>
        <v>202603</v>
      </c>
      <c r="D107" s="15">
        <v>1</v>
      </c>
      <c r="E107" s="10" t="s">
        <v>103</v>
      </c>
      <c r="F107" s="13" t="str">
        <f>IFERROR(INDEX(tbl_pontos[Categoria],MATCH(E107,tbl_pontos[ID_Ponto],0)),"")</f>
        <v>2. Eficiência e Manutenção</v>
      </c>
      <c r="G107" s="10" t="s">
        <v>165</v>
      </c>
      <c r="H107" s="10"/>
      <c r="I107" s="10"/>
      <c r="J107" s="10"/>
      <c r="K107" s="10"/>
      <c r="L107" s="10" t="s">
        <v>84</v>
      </c>
      <c r="M107" s="11">
        <f t="shared" si="3"/>
        <v>0</v>
      </c>
    </row>
    <row r="108" spans="1:13" ht="26.4" x14ac:dyDescent="0.3">
      <c r="A108" s="10" t="s">
        <v>202</v>
      </c>
      <c r="B108" s="14">
        <v>46111</v>
      </c>
      <c r="C108" s="11">
        <f t="shared" si="2"/>
        <v>202603</v>
      </c>
      <c r="D108" s="15">
        <v>3</v>
      </c>
      <c r="E108" s="10" t="s">
        <v>124</v>
      </c>
      <c r="F108" s="13" t="str">
        <f>IFERROR(INDEX(tbl_pontos[Categoria],MATCH(E108,tbl_pontos[ID_Ponto],0)),"")</f>
        <v>4. Gestão de Resíduos</v>
      </c>
      <c r="G108" s="10" t="s">
        <v>165</v>
      </c>
      <c r="H108" s="10"/>
      <c r="I108" s="10"/>
      <c r="J108" s="10"/>
      <c r="K108" s="10"/>
      <c r="L108" s="10" t="s">
        <v>84</v>
      </c>
      <c r="M108" s="11">
        <f t="shared" si="3"/>
        <v>0</v>
      </c>
    </row>
    <row r="109" spans="1:13" ht="26.4" x14ac:dyDescent="0.3">
      <c r="A109" s="10" t="s">
        <v>202</v>
      </c>
      <c r="B109" s="14">
        <v>46111</v>
      </c>
      <c r="C109" s="11">
        <f t="shared" si="2"/>
        <v>202603</v>
      </c>
      <c r="D109" s="15">
        <v>1</v>
      </c>
      <c r="E109" s="10" t="s">
        <v>131</v>
      </c>
      <c r="F109" s="13" t="str">
        <f>IFERROR(INDEX(tbl_pontos[Categoria],MATCH(E109,tbl_pontos[ID_Ponto],0)),"")</f>
        <v>4. Gestão de Resíduos</v>
      </c>
      <c r="G109" s="10" t="s">
        <v>165</v>
      </c>
      <c r="H109" s="10"/>
      <c r="I109" s="10"/>
      <c r="J109" s="10"/>
      <c r="K109" s="10"/>
      <c r="L109" s="10" t="s">
        <v>84</v>
      </c>
      <c r="M109" s="11">
        <f t="shared" si="3"/>
        <v>0</v>
      </c>
    </row>
    <row r="110" spans="1:13" ht="26.4" x14ac:dyDescent="0.3">
      <c r="A110" s="10" t="s">
        <v>202</v>
      </c>
      <c r="B110" s="14">
        <v>46111</v>
      </c>
      <c r="C110" s="11">
        <f t="shared" si="2"/>
        <v>202603</v>
      </c>
      <c r="D110" s="15">
        <v>1</v>
      </c>
      <c r="E110" s="10" t="s">
        <v>136</v>
      </c>
      <c r="F110" s="13" t="str">
        <f>IFERROR(INDEX(tbl_pontos[Categoria],MATCH(E110,tbl_pontos[ID_Ponto],0)),"")</f>
        <v>5. Perdas de granulado e energia (extra)</v>
      </c>
      <c r="G110" s="10" t="s">
        <v>166</v>
      </c>
      <c r="H110" s="10" t="s">
        <v>171</v>
      </c>
      <c r="I110" s="10" t="s">
        <v>172</v>
      </c>
      <c r="J110" s="10"/>
      <c r="K110" s="10" t="s">
        <v>203</v>
      </c>
      <c r="L110" s="10" t="s">
        <v>84</v>
      </c>
      <c r="M110" s="11">
        <f t="shared" si="3"/>
        <v>1</v>
      </c>
    </row>
    <row r="111" spans="1:13" ht="26.4" x14ac:dyDescent="0.3">
      <c r="A111" s="10" t="s">
        <v>202</v>
      </c>
      <c r="B111" s="14">
        <v>46111</v>
      </c>
      <c r="C111" s="11">
        <f t="shared" si="2"/>
        <v>202603</v>
      </c>
      <c r="D111" s="15">
        <v>1</v>
      </c>
      <c r="E111" s="10" t="s">
        <v>148</v>
      </c>
      <c r="F111" s="13" t="str">
        <f>IFERROR(INDEX(tbl_pontos[Categoria],MATCH(E111,tbl_pontos[ID_Ponto],0)),"")</f>
        <v>5. Perdas de granulado e energia (extra)</v>
      </c>
      <c r="G111" s="10" t="s">
        <v>165</v>
      </c>
      <c r="H111" s="10"/>
      <c r="I111" s="10"/>
      <c r="J111" s="10"/>
      <c r="K111" s="10"/>
      <c r="L111" s="10" t="s">
        <v>84</v>
      </c>
      <c r="M111" s="11">
        <f t="shared" si="3"/>
        <v>0</v>
      </c>
    </row>
    <row r="112" spans="1:13" ht="26.4" x14ac:dyDescent="0.3">
      <c r="A112" s="10" t="s">
        <v>204</v>
      </c>
      <c r="B112" s="14">
        <v>46118</v>
      </c>
      <c r="C112" s="11">
        <f t="shared" si="2"/>
        <v>202604</v>
      </c>
      <c r="D112" s="15">
        <v>2</v>
      </c>
      <c r="E112" s="10" t="s">
        <v>77</v>
      </c>
      <c r="F112" s="13" t="str">
        <f>IFERROR(INDEX(tbl_pontos[Categoria],MATCH(E112,tbl_pontos[ID_Ponto],0)),"")</f>
        <v>1. Gestão de Produtos Químicos</v>
      </c>
      <c r="G112" s="10" t="s">
        <v>165</v>
      </c>
      <c r="H112" s="10"/>
      <c r="I112" s="10"/>
      <c r="J112" s="10"/>
      <c r="K112" s="10"/>
      <c r="L112" s="10" t="s">
        <v>151</v>
      </c>
      <c r="M112" s="11">
        <f t="shared" si="3"/>
        <v>0</v>
      </c>
    </row>
    <row r="113" spans="1:13" ht="26.4" x14ac:dyDescent="0.3">
      <c r="A113" s="10" t="s">
        <v>204</v>
      </c>
      <c r="B113" s="14">
        <v>46118</v>
      </c>
      <c r="C113" s="11">
        <f t="shared" si="2"/>
        <v>202604</v>
      </c>
      <c r="D113" s="15">
        <v>1</v>
      </c>
      <c r="E113" s="10" t="s">
        <v>88</v>
      </c>
      <c r="F113" s="13" t="str">
        <f>IFERROR(INDEX(tbl_pontos[Categoria],MATCH(E113,tbl_pontos[ID_Ponto],0)),"")</f>
        <v>1. Gestão de Produtos Químicos</v>
      </c>
      <c r="G113" s="10" t="s">
        <v>165</v>
      </c>
      <c r="H113" s="10"/>
      <c r="I113" s="10"/>
      <c r="J113" s="10"/>
      <c r="K113" s="10"/>
      <c r="L113" s="10" t="s">
        <v>151</v>
      </c>
      <c r="M113" s="11">
        <f t="shared" si="3"/>
        <v>0</v>
      </c>
    </row>
    <row r="114" spans="1:13" ht="26.4" x14ac:dyDescent="0.3">
      <c r="A114" s="10" t="s">
        <v>204</v>
      </c>
      <c r="B114" s="14">
        <v>46118</v>
      </c>
      <c r="C114" s="11">
        <f t="shared" si="2"/>
        <v>202604</v>
      </c>
      <c r="D114" s="15">
        <v>2</v>
      </c>
      <c r="E114" s="10" t="s">
        <v>95</v>
      </c>
      <c r="F114" s="13" t="str">
        <f>IFERROR(INDEX(tbl_pontos[Categoria],MATCH(E114,tbl_pontos[ID_Ponto],0)),"")</f>
        <v>2. Eficiência e Manutenção</v>
      </c>
      <c r="G114" s="10" t="s">
        <v>165</v>
      </c>
      <c r="H114" s="10"/>
      <c r="I114" s="10"/>
      <c r="J114" s="10"/>
      <c r="K114" s="10"/>
      <c r="L114" s="10" t="s">
        <v>151</v>
      </c>
      <c r="M114" s="11">
        <f t="shared" si="3"/>
        <v>0</v>
      </c>
    </row>
    <row r="115" spans="1:13" ht="26.4" x14ac:dyDescent="0.3">
      <c r="A115" s="10" t="s">
        <v>204</v>
      </c>
      <c r="B115" s="14">
        <v>46118</v>
      </c>
      <c r="C115" s="11">
        <f t="shared" si="2"/>
        <v>202604</v>
      </c>
      <c r="D115" s="15">
        <v>2</v>
      </c>
      <c r="E115" s="10" t="s">
        <v>103</v>
      </c>
      <c r="F115" s="13" t="str">
        <f>IFERROR(INDEX(tbl_pontos[Categoria],MATCH(E115,tbl_pontos[ID_Ponto],0)),"")</f>
        <v>2. Eficiência e Manutenção</v>
      </c>
      <c r="G115" s="10" t="s">
        <v>165</v>
      </c>
      <c r="H115" s="10"/>
      <c r="I115" s="10"/>
      <c r="J115" s="10"/>
      <c r="K115" s="10"/>
      <c r="L115" s="10" t="s">
        <v>151</v>
      </c>
      <c r="M115" s="11">
        <f t="shared" si="3"/>
        <v>0</v>
      </c>
    </row>
    <row r="116" spans="1:13" ht="26.4" x14ac:dyDescent="0.3">
      <c r="A116" s="10" t="s">
        <v>204</v>
      </c>
      <c r="B116" s="14">
        <v>46118</v>
      </c>
      <c r="C116" s="11">
        <f t="shared" si="2"/>
        <v>202604</v>
      </c>
      <c r="D116" s="15">
        <v>2</v>
      </c>
      <c r="E116" s="10" t="s">
        <v>109</v>
      </c>
      <c r="F116" s="13" t="str">
        <f>IFERROR(INDEX(tbl_pontos[Categoria],MATCH(E116,tbl_pontos[ID_Ponto],0)),"")</f>
        <v>3. Emergência</v>
      </c>
      <c r="G116" s="10" t="s">
        <v>165</v>
      </c>
      <c r="H116" s="10"/>
      <c r="I116" s="10"/>
      <c r="J116" s="10"/>
      <c r="K116" s="10"/>
      <c r="L116" s="10" t="s">
        <v>151</v>
      </c>
      <c r="M116" s="11">
        <f t="shared" si="3"/>
        <v>0</v>
      </c>
    </row>
    <row r="117" spans="1:13" ht="26.4" x14ac:dyDescent="0.3">
      <c r="A117" s="10" t="s">
        <v>204</v>
      </c>
      <c r="B117" s="14">
        <v>46118</v>
      </c>
      <c r="C117" s="11">
        <f t="shared" si="2"/>
        <v>202604</v>
      </c>
      <c r="D117" s="15">
        <v>2</v>
      </c>
      <c r="E117" s="10" t="s">
        <v>119</v>
      </c>
      <c r="F117" s="13" t="str">
        <f>IFERROR(INDEX(tbl_pontos[Categoria],MATCH(E117,tbl_pontos[ID_Ponto],0)),"")</f>
        <v>3. Emergência</v>
      </c>
      <c r="G117" s="10" t="s">
        <v>165</v>
      </c>
      <c r="H117" s="10"/>
      <c r="I117" s="10"/>
      <c r="J117" s="10"/>
      <c r="K117" s="10"/>
      <c r="L117" s="10" t="s">
        <v>151</v>
      </c>
      <c r="M117" s="11">
        <f t="shared" si="3"/>
        <v>0</v>
      </c>
    </row>
    <row r="118" spans="1:13" ht="26.4" x14ac:dyDescent="0.3">
      <c r="A118" s="10" t="s">
        <v>204</v>
      </c>
      <c r="B118" s="14">
        <v>46118</v>
      </c>
      <c r="C118" s="11">
        <f t="shared" si="2"/>
        <v>202604</v>
      </c>
      <c r="D118" s="15">
        <v>1</v>
      </c>
      <c r="E118" s="10" t="s">
        <v>124</v>
      </c>
      <c r="F118" s="13" t="str">
        <f>IFERROR(INDEX(tbl_pontos[Categoria],MATCH(E118,tbl_pontos[ID_Ponto],0)),"")</f>
        <v>4. Gestão de Resíduos</v>
      </c>
      <c r="G118" s="10" t="s">
        <v>166</v>
      </c>
      <c r="H118" s="10" t="s">
        <v>180</v>
      </c>
      <c r="I118" s="10" t="s">
        <v>172</v>
      </c>
      <c r="J118" s="10"/>
      <c r="K118" s="10" t="s">
        <v>205</v>
      </c>
      <c r="L118" s="10" t="s">
        <v>151</v>
      </c>
      <c r="M118" s="11">
        <f t="shared" si="3"/>
        <v>1</v>
      </c>
    </row>
    <row r="119" spans="1:13" ht="26.4" x14ac:dyDescent="0.3">
      <c r="A119" s="10" t="s">
        <v>204</v>
      </c>
      <c r="B119" s="14">
        <v>46118</v>
      </c>
      <c r="C119" s="11">
        <f t="shared" si="2"/>
        <v>202604</v>
      </c>
      <c r="D119" s="15">
        <v>2</v>
      </c>
      <c r="E119" s="10" t="s">
        <v>131</v>
      </c>
      <c r="F119" s="13" t="str">
        <f>IFERROR(INDEX(tbl_pontos[Categoria],MATCH(E119,tbl_pontos[ID_Ponto],0)),"")</f>
        <v>4. Gestão de Resíduos</v>
      </c>
      <c r="G119" s="10" t="s">
        <v>165</v>
      </c>
      <c r="H119" s="10"/>
      <c r="I119" s="10"/>
      <c r="J119" s="10"/>
      <c r="K119" s="10"/>
      <c r="L119" s="10" t="s">
        <v>151</v>
      </c>
      <c r="M119" s="11">
        <f t="shared" si="3"/>
        <v>0</v>
      </c>
    </row>
    <row r="120" spans="1:13" ht="26.4" x14ac:dyDescent="0.3">
      <c r="A120" s="10" t="s">
        <v>204</v>
      </c>
      <c r="B120" s="14">
        <v>46118</v>
      </c>
      <c r="C120" s="11">
        <f t="shared" si="2"/>
        <v>202604</v>
      </c>
      <c r="D120" s="15">
        <v>2</v>
      </c>
      <c r="E120" s="10" t="s">
        <v>136</v>
      </c>
      <c r="F120" s="13" t="str">
        <f>IFERROR(INDEX(tbl_pontos[Categoria],MATCH(E120,tbl_pontos[ID_Ponto],0)),"")</f>
        <v>5. Perdas de granulado e energia (extra)</v>
      </c>
      <c r="G120" s="10" t="s">
        <v>166</v>
      </c>
      <c r="H120" s="10" t="s">
        <v>171</v>
      </c>
      <c r="I120" s="10" t="s">
        <v>172</v>
      </c>
      <c r="J120" s="10"/>
      <c r="K120" s="10" t="s">
        <v>206</v>
      </c>
      <c r="L120" s="10" t="s">
        <v>151</v>
      </c>
      <c r="M120" s="11">
        <f t="shared" si="3"/>
        <v>1</v>
      </c>
    </row>
    <row r="121" spans="1:13" ht="26.4" x14ac:dyDescent="0.3">
      <c r="A121" s="10" t="s">
        <v>204</v>
      </c>
      <c r="B121" s="14">
        <v>46118</v>
      </c>
      <c r="C121" s="11">
        <f t="shared" si="2"/>
        <v>202604</v>
      </c>
      <c r="D121" s="15">
        <v>1</v>
      </c>
      <c r="E121" s="10" t="s">
        <v>148</v>
      </c>
      <c r="F121" s="13" t="str">
        <f>IFERROR(INDEX(tbl_pontos[Categoria],MATCH(E121,tbl_pontos[ID_Ponto],0)),"")</f>
        <v>5. Perdas de granulado e energia (extra)</v>
      </c>
      <c r="G121" s="10" t="s">
        <v>165</v>
      </c>
      <c r="H121" s="10"/>
      <c r="I121" s="10"/>
      <c r="J121" s="10"/>
      <c r="K121" s="10"/>
      <c r="L121" s="10" t="s">
        <v>151</v>
      </c>
      <c r="M121" s="11">
        <f t="shared" si="3"/>
        <v>0</v>
      </c>
    </row>
    <row r="122" spans="1:13" ht="26.4" x14ac:dyDescent="0.3">
      <c r="A122" s="10" t="s">
        <v>207</v>
      </c>
      <c r="B122" s="14">
        <v>46125</v>
      </c>
      <c r="C122" s="11">
        <f t="shared" si="2"/>
        <v>202604</v>
      </c>
      <c r="D122" s="15">
        <v>1</v>
      </c>
      <c r="E122" s="10" t="s">
        <v>77</v>
      </c>
      <c r="F122" s="13" t="str">
        <f>IFERROR(INDEX(tbl_pontos[Categoria],MATCH(E122,tbl_pontos[ID_Ponto],0)),"")</f>
        <v>1. Gestão de Produtos Químicos</v>
      </c>
      <c r="G122" s="10" t="s">
        <v>165</v>
      </c>
      <c r="H122" s="10"/>
      <c r="I122" s="10"/>
      <c r="J122" s="10"/>
      <c r="K122" s="10"/>
      <c r="L122" s="10" t="s">
        <v>84</v>
      </c>
      <c r="M122" s="11">
        <f t="shared" si="3"/>
        <v>0</v>
      </c>
    </row>
    <row r="123" spans="1:13" ht="26.4" x14ac:dyDescent="0.3">
      <c r="A123" s="10" t="s">
        <v>207</v>
      </c>
      <c r="B123" s="14">
        <v>46125</v>
      </c>
      <c r="C123" s="11">
        <f t="shared" si="2"/>
        <v>202604</v>
      </c>
      <c r="D123" s="15">
        <v>1</v>
      </c>
      <c r="E123" s="10" t="s">
        <v>88</v>
      </c>
      <c r="F123" s="13" t="str">
        <f>IFERROR(INDEX(tbl_pontos[Categoria],MATCH(E123,tbl_pontos[ID_Ponto],0)),"")</f>
        <v>1. Gestão de Produtos Químicos</v>
      </c>
      <c r="G123" s="10" t="s">
        <v>165</v>
      </c>
      <c r="H123" s="10"/>
      <c r="I123" s="10"/>
      <c r="J123" s="10"/>
      <c r="K123" s="10"/>
      <c r="L123" s="10" t="s">
        <v>84</v>
      </c>
      <c r="M123" s="11">
        <f t="shared" si="3"/>
        <v>0</v>
      </c>
    </row>
    <row r="124" spans="1:13" ht="26.4" x14ac:dyDescent="0.3">
      <c r="A124" s="10" t="s">
        <v>207</v>
      </c>
      <c r="B124" s="14">
        <v>46125</v>
      </c>
      <c r="C124" s="11">
        <f t="shared" si="2"/>
        <v>202604</v>
      </c>
      <c r="D124" s="15">
        <v>1</v>
      </c>
      <c r="E124" s="10" t="s">
        <v>95</v>
      </c>
      <c r="F124" s="13" t="str">
        <f>IFERROR(INDEX(tbl_pontos[Categoria],MATCH(E124,tbl_pontos[ID_Ponto],0)),"")</f>
        <v>2. Eficiência e Manutenção</v>
      </c>
      <c r="G124" s="10" t="s">
        <v>165</v>
      </c>
      <c r="H124" s="10"/>
      <c r="I124" s="10"/>
      <c r="J124" s="10"/>
      <c r="K124" s="10"/>
      <c r="L124" s="10" t="s">
        <v>84</v>
      </c>
      <c r="M124" s="11">
        <f t="shared" si="3"/>
        <v>0</v>
      </c>
    </row>
    <row r="125" spans="1:13" ht="26.4" x14ac:dyDescent="0.3">
      <c r="A125" s="10" t="s">
        <v>207</v>
      </c>
      <c r="B125" s="14">
        <v>46125</v>
      </c>
      <c r="C125" s="11">
        <f t="shared" si="2"/>
        <v>202604</v>
      </c>
      <c r="D125" s="15">
        <v>3</v>
      </c>
      <c r="E125" s="10" t="s">
        <v>103</v>
      </c>
      <c r="F125" s="13" t="str">
        <f>IFERROR(INDEX(tbl_pontos[Categoria],MATCH(E125,tbl_pontos[ID_Ponto],0)),"")</f>
        <v>2. Eficiência e Manutenção</v>
      </c>
      <c r="G125" s="10" t="s">
        <v>165</v>
      </c>
      <c r="H125" s="10"/>
      <c r="I125" s="10"/>
      <c r="J125" s="10"/>
      <c r="K125" s="10"/>
      <c r="L125" s="10" t="s">
        <v>84</v>
      </c>
      <c r="M125" s="11">
        <f t="shared" si="3"/>
        <v>0</v>
      </c>
    </row>
    <row r="126" spans="1:13" ht="26.4" x14ac:dyDescent="0.3">
      <c r="A126" s="10" t="s">
        <v>207</v>
      </c>
      <c r="B126" s="14">
        <v>46125</v>
      </c>
      <c r="C126" s="11">
        <f t="shared" si="2"/>
        <v>202604</v>
      </c>
      <c r="D126" s="15">
        <v>1</v>
      </c>
      <c r="E126" s="10" t="s">
        <v>124</v>
      </c>
      <c r="F126" s="13" t="str">
        <f>IFERROR(INDEX(tbl_pontos[Categoria],MATCH(E126,tbl_pontos[ID_Ponto],0)),"")</f>
        <v>4. Gestão de Resíduos</v>
      </c>
      <c r="G126" s="10" t="s">
        <v>165</v>
      </c>
      <c r="H126" s="10"/>
      <c r="I126" s="10"/>
      <c r="J126" s="10"/>
      <c r="K126" s="10"/>
      <c r="L126" s="10" t="s">
        <v>84</v>
      </c>
      <c r="M126" s="11">
        <f t="shared" si="3"/>
        <v>0</v>
      </c>
    </row>
    <row r="127" spans="1:13" ht="26.4" x14ac:dyDescent="0.3">
      <c r="A127" s="10" t="s">
        <v>207</v>
      </c>
      <c r="B127" s="14">
        <v>46125</v>
      </c>
      <c r="C127" s="11">
        <f t="shared" si="2"/>
        <v>202604</v>
      </c>
      <c r="D127" s="15">
        <v>3</v>
      </c>
      <c r="E127" s="10" t="s">
        <v>131</v>
      </c>
      <c r="F127" s="13" t="str">
        <f>IFERROR(INDEX(tbl_pontos[Categoria],MATCH(E127,tbl_pontos[ID_Ponto],0)),"")</f>
        <v>4. Gestão de Resíduos</v>
      </c>
      <c r="G127" s="10" t="s">
        <v>165</v>
      </c>
      <c r="H127" s="10"/>
      <c r="I127" s="10"/>
      <c r="J127" s="10"/>
      <c r="K127" s="10"/>
      <c r="L127" s="10" t="s">
        <v>84</v>
      </c>
      <c r="M127" s="11">
        <f t="shared" si="3"/>
        <v>0</v>
      </c>
    </row>
    <row r="128" spans="1:13" ht="26.4" x14ac:dyDescent="0.3">
      <c r="A128" s="10" t="s">
        <v>207</v>
      </c>
      <c r="B128" s="14">
        <v>46125</v>
      </c>
      <c r="C128" s="11">
        <f t="shared" si="2"/>
        <v>202604</v>
      </c>
      <c r="D128" s="15">
        <v>3</v>
      </c>
      <c r="E128" s="10" t="s">
        <v>136</v>
      </c>
      <c r="F128" s="13" t="str">
        <f>IFERROR(INDEX(tbl_pontos[Categoria],MATCH(E128,tbl_pontos[ID_Ponto],0)),"")</f>
        <v>5. Perdas de granulado e energia (extra)</v>
      </c>
      <c r="G128" s="10" t="s">
        <v>166</v>
      </c>
      <c r="H128" s="10" t="s">
        <v>171</v>
      </c>
      <c r="I128" s="10" t="s">
        <v>172</v>
      </c>
      <c r="J128" s="10"/>
      <c r="K128" s="10" t="s">
        <v>208</v>
      </c>
      <c r="L128" s="10" t="s">
        <v>84</v>
      </c>
      <c r="M128" s="11">
        <f t="shared" si="3"/>
        <v>1</v>
      </c>
    </row>
    <row r="129" spans="1:13" ht="26.4" x14ac:dyDescent="0.3">
      <c r="A129" s="10" t="s">
        <v>207</v>
      </c>
      <c r="B129" s="14">
        <v>46125</v>
      </c>
      <c r="C129" s="11">
        <f t="shared" si="2"/>
        <v>202604</v>
      </c>
      <c r="D129" s="15">
        <v>1</v>
      </c>
      <c r="E129" s="10" t="s">
        <v>148</v>
      </c>
      <c r="F129" s="13" t="str">
        <f>IFERROR(INDEX(tbl_pontos[Categoria],MATCH(E129,tbl_pontos[ID_Ponto],0)),"")</f>
        <v>5. Perdas de granulado e energia (extra)</v>
      </c>
      <c r="G129" s="10" t="s">
        <v>165</v>
      </c>
      <c r="H129" s="10"/>
      <c r="I129" s="10"/>
      <c r="J129" s="10"/>
      <c r="K129" s="10"/>
      <c r="L129" s="10" t="s">
        <v>84</v>
      </c>
      <c r="M129" s="11">
        <f t="shared" si="3"/>
        <v>0</v>
      </c>
    </row>
    <row r="130" spans="1:13" ht="26.4" x14ac:dyDescent="0.3">
      <c r="A130" s="10" t="s">
        <v>209</v>
      </c>
      <c r="B130" s="14">
        <v>46132</v>
      </c>
      <c r="C130" s="11">
        <f t="shared" ref="C130:C193" si="4">YEAR(B130)*100+MONTH(B130)</f>
        <v>202604</v>
      </c>
      <c r="D130" s="15">
        <v>1</v>
      </c>
      <c r="E130" s="10" t="s">
        <v>77</v>
      </c>
      <c r="F130" s="13" t="str">
        <f>IFERROR(INDEX(tbl_pontos[Categoria],MATCH(E130,tbl_pontos[ID_Ponto],0)),"")</f>
        <v>1. Gestão de Produtos Químicos</v>
      </c>
      <c r="G130" s="10" t="s">
        <v>165</v>
      </c>
      <c r="H130" s="10"/>
      <c r="I130" s="10"/>
      <c r="J130" s="10"/>
      <c r="K130" s="10"/>
      <c r="L130" s="10" t="s">
        <v>151</v>
      </c>
      <c r="M130" s="11">
        <f t="shared" ref="M130:M193" si="5">IF(G130="Não conforme",1,0)</f>
        <v>0</v>
      </c>
    </row>
    <row r="131" spans="1:13" ht="26.4" x14ac:dyDescent="0.3">
      <c r="A131" s="10" t="s">
        <v>209</v>
      </c>
      <c r="B131" s="14">
        <v>46132</v>
      </c>
      <c r="C131" s="11">
        <f t="shared" si="4"/>
        <v>202604</v>
      </c>
      <c r="D131" s="15">
        <v>2</v>
      </c>
      <c r="E131" s="10" t="s">
        <v>88</v>
      </c>
      <c r="F131" s="13" t="str">
        <f>IFERROR(INDEX(tbl_pontos[Categoria],MATCH(E131,tbl_pontos[ID_Ponto],0)),"")</f>
        <v>1. Gestão de Produtos Químicos</v>
      </c>
      <c r="G131" s="10" t="s">
        <v>166</v>
      </c>
      <c r="H131" s="10" t="s">
        <v>175</v>
      </c>
      <c r="I131" s="10" t="s">
        <v>172</v>
      </c>
      <c r="J131" s="10"/>
      <c r="K131" s="10" t="s">
        <v>210</v>
      </c>
      <c r="L131" s="10" t="s">
        <v>151</v>
      </c>
      <c r="M131" s="11">
        <f t="shared" si="5"/>
        <v>1</v>
      </c>
    </row>
    <row r="132" spans="1:13" ht="26.4" x14ac:dyDescent="0.3">
      <c r="A132" s="10" t="s">
        <v>209</v>
      </c>
      <c r="B132" s="14">
        <v>46132</v>
      </c>
      <c r="C132" s="11">
        <f t="shared" si="4"/>
        <v>202604</v>
      </c>
      <c r="D132" s="15">
        <v>1</v>
      </c>
      <c r="E132" s="10" t="s">
        <v>95</v>
      </c>
      <c r="F132" s="13" t="str">
        <f>IFERROR(INDEX(tbl_pontos[Categoria],MATCH(E132,tbl_pontos[ID_Ponto],0)),"")</f>
        <v>2. Eficiência e Manutenção</v>
      </c>
      <c r="G132" s="10" t="s">
        <v>165</v>
      </c>
      <c r="H132" s="10"/>
      <c r="I132" s="10"/>
      <c r="J132" s="10"/>
      <c r="K132" s="10"/>
      <c r="L132" s="10" t="s">
        <v>151</v>
      </c>
      <c r="M132" s="11">
        <f t="shared" si="5"/>
        <v>0</v>
      </c>
    </row>
    <row r="133" spans="1:13" ht="26.4" x14ac:dyDescent="0.3">
      <c r="A133" s="10" t="s">
        <v>209</v>
      </c>
      <c r="B133" s="14">
        <v>46132</v>
      </c>
      <c r="C133" s="11">
        <f t="shared" si="4"/>
        <v>202604</v>
      </c>
      <c r="D133" s="15">
        <v>1</v>
      </c>
      <c r="E133" s="10" t="s">
        <v>103</v>
      </c>
      <c r="F133" s="13" t="str">
        <f>IFERROR(INDEX(tbl_pontos[Categoria],MATCH(E133,tbl_pontos[ID_Ponto],0)),"")</f>
        <v>2. Eficiência e Manutenção</v>
      </c>
      <c r="G133" s="10" t="s">
        <v>165</v>
      </c>
      <c r="H133" s="10"/>
      <c r="I133" s="10"/>
      <c r="J133" s="10"/>
      <c r="K133" s="10"/>
      <c r="L133" s="10" t="s">
        <v>151</v>
      </c>
      <c r="M133" s="11">
        <f t="shared" si="5"/>
        <v>0</v>
      </c>
    </row>
    <row r="134" spans="1:13" ht="26.4" x14ac:dyDescent="0.3">
      <c r="A134" s="10" t="s">
        <v>209</v>
      </c>
      <c r="B134" s="14">
        <v>46132</v>
      </c>
      <c r="C134" s="11">
        <f t="shared" si="4"/>
        <v>202604</v>
      </c>
      <c r="D134" s="15">
        <v>1</v>
      </c>
      <c r="E134" s="10" t="s">
        <v>124</v>
      </c>
      <c r="F134" s="13" t="str">
        <f>IFERROR(INDEX(tbl_pontos[Categoria],MATCH(E134,tbl_pontos[ID_Ponto],0)),"")</f>
        <v>4. Gestão de Resíduos</v>
      </c>
      <c r="G134" s="10" t="s">
        <v>165</v>
      </c>
      <c r="H134" s="10"/>
      <c r="I134" s="10"/>
      <c r="J134" s="10"/>
      <c r="K134" s="10"/>
      <c r="L134" s="10" t="s">
        <v>151</v>
      </c>
      <c r="M134" s="11">
        <f t="shared" si="5"/>
        <v>0</v>
      </c>
    </row>
    <row r="135" spans="1:13" ht="26.4" x14ac:dyDescent="0.3">
      <c r="A135" s="10" t="s">
        <v>209</v>
      </c>
      <c r="B135" s="14">
        <v>46132</v>
      </c>
      <c r="C135" s="11">
        <f t="shared" si="4"/>
        <v>202604</v>
      </c>
      <c r="D135" s="15">
        <v>1</v>
      </c>
      <c r="E135" s="10" t="s">
        <v>131</v>
      </c>
      <c r="F135" s="13" t="str">
        <f>IFERROR(INDEX(tbl_pontos[Categoria],MATCH(E135,tbl_pontos[ID_Ponto],0)),"")</f>
        <v>4. Gestão de Resíduos</v>
      </c>
      <c r="G135" s="10" t="s">
        <v>165</v>
      </c>
      <c r="H135" s="10"/>
      <c r="I135" s="10"/>
      <c r="J135" s="10"/>
      <c r="K135" s="10"/>
      <c r="L135" s="10" t="s">
        <v>151</v>
      </c>
      <c r="M135" s="11">
        <f t="shared" si="5"/>
        <v>0</v>
      </c>
    </row>
    <row r="136" spans="1:13" ht="26.4" x14ac:dyDescent="0.3">
      <c r="A136" s="10" t="s">
        <v>209</v>
      </c>
      <c r="B136" s="14">
        <v>46132</v>
      </c>
      <c r="C136" s="11">
        <f t="shared" si="4"/>
        <v>202604</v>
      </c>
      <c r="D136" s="15">
        <v>1</v>
      </c>
      <c r="E136" s="10" t="s">
        <v>136</v>
      </c>
      <c r="F136" s="13" t="str">
        <f>IFERROR(INDEX(tbl_pontos[Categoria],MATCH(E136,tbl_pontos[ID_Ponto],0)),"")</f>
        <v>5. Perdas de granulado e energia (extra)</v>
      </c>
      <c r="G136" s="10" t="s">
        <v>166</v>
      </c>
      <c r="H136" s="10" t="s">
        <v>171</v>
      </c>
      <c r="I136" s="10" t="s">
        <v>172</v>
      </c>
      <c r="J136" s="10"/>
      <c r="K136" s="10" t="s">
        <v>211</v>
      </c>
      <c r="L136" s="10" t="s">
        <v>151</v>
      </c>
      <c r="M136" s="11">
        <f t="shared" si="5"/>
        <v>1</v>
      </c>
    </row>
    <row r="137" spans="1:13" ht="26.4" x14ac:dyDescent="0.3">
      <c r="A137" s="10" t="s">
        <v>209</v>
      </c>
      <c r="B137" s="14">
        <v>46132</v>
      </c>
      <c r="C137" s="11">
        <f t="shared" si="4"/>
        <v>202604</v>
      </c>
      <c r="D137" s="15">
        <v>1</v>
      </c>
      <c r="E137" s="10" t="s">
        <v>148</v>
      </c>
      <c r="F137" s="13" t="str">
        <f>IFERROR(INDEX(tbl_pontos[Categoria],MATCH(E137,tbl_pontos[ID_Ponto],0)),"")</f>
        <v>5. Perdas de granulado e energia (extra)</v>
      </c>
      <c r="G137" s="10" t="s">
        <v>165</v>
      </c>
      <c r="H137" s="10"/>
      <c r="I137" s="10"/>
      <c r="J137" s="10"/>
      <c r="K137" s="10"/>
      <c r="L137" s="10" t="s">
        <v>151</v>
      </c>
      <c r="M137" s="11">
        <f t="shared" si="5"/>
        <v>0</v>
      </c>
    </row>
    <row r="138" spans="1:13" ht="26.4" x14ac:dyDescent="0.3">
      <c r="A138" s="10" t="s">
        <v>212</v>
      </c>
      <c r="B138" s="14">
        <v>46139</v>
      </c>
      <c r="C138" s="11">
        <f t="shared" si="4"/>
        <v>202604</v>
      </c>
      <c r="D138" s="15">
        <v>1</v>
      </c>
      <c r="E138" s="10" t="s">
        <v>77</v>
      </c>
      <c r="F138" s="13" t="str">
        <f>IFERROR(INDEX(tbl_pontos[Categoria],MATCH(E138,tbl_pontos[ID_Ponto],0)),"")</f>
        <v>1. Gestão de Produtos Químicos</v>
      </c>
      <c r="G138" s="10" t="s">
        <v>165</v>
      </c>
      <c r="H138" s="10"/>
      <c r="I138" s="10"/>
      <c r="J138" s="10"/>
      <c r="K138" s="10"/>
      <c r="L138" s="10" t="s">
        <v>84</v>
      </c>
      <c r="M138" s="11">
        <f t="shared" si="5"/>
        <v>0</v>
      </c>
    </row>
    <row r="139" spans="1:13" ht="26.4" x14ac:dyDescent="0.3">
      <c r="A139" s="10" t="s">
        <v>212</v>
      </c>
      <c r="B139" s="14">
        <v>46139</v>
      </c>
      <c r="C139" s="11">
        <f t="shared" si="4"/>
        <v>202604</v>
      </c>
      <c r="D139" s="15">
        <v>2</v>
      </c>
      <c r="E139" s="10" t="s">
        <v>88</v>
      </c>
      <c r="F139" s="13" t="str">
        <f>IFERROR(INDEX(tbl_pontos[Categoria],MATCH(E139,tbl_pontos[ID_Ponto],0)),"")</f>
        <v>1. Gestão de Produtos Químicos</v>
      </c>
      <c r="G139" s="10" t="s">
        <v>165</v>
      </c>
      <c r="H139" s="10"/>
      <c r="I139" s="10"/>
      <c r="J139" s="10"/>
      <c r="K139" s="10"/>
      <c r="L139" s="10" t="s">
        <v>84</v>
      </c>
      <c r="M139" s="11">
        <f t="shared" si="5"/>
        <v>0</v>
      </c>
    </row>
    <row r="140" spans="1:13" ht="26.4" x14ac:dyDescent="0.3">
      <c r="A140" s="10" t="s">
        <v>212</v>
      </c>
      <c r="B140" s="14">
        <v>46139</v>
      </c>
      <c r="C140" s="11">
        <f t="shared" si="4"/>
        <v>202604</v>
      </c>
      <c r="D140" s="15">
        <v>3</v>
      </c>
      <c r="E140" s="10" t="s">
        <v>95</v>
      </c>
      <c r="F140" s="13" t="str">
        <f>IFERROR(INDEX(tbl_pontos[Categoria],MATCH(E140,tbl_pontos[ID_Ponto],0)),"")</f>
        <v>2. Eficiência e Manutenção</v>
      </c>
      <c r="G140" s="10" t="s">
        <v>165</v>
      </c>
      <c r="H140" s="10"/>
      <c r="I140" s="10"/>
      <c r="J140" s="10"/>
      <c r="K140" s="10"/>
      <c r="L140" s="10" t="s">
        <v>84</v>
      </c>
      <c r="M140" s="11">
        <f t="shared" si="5"/>
        <v>0</v>
      </c>
    </row>
    <row r="141" spans="1:13" ht="26.4" x14ac:dyDescent="0.3">
      <c r="A141" s="10" t="s">
        <v>212</v>
      </c>
      <c r="B141" s="14">
        <v>46139</v>
      </c>
      <c r="C141" s="11">
        <f t="shared" si="4"/>
        <v>202604</v>
      </c>
      <c r="D141" s="15">
        <v>2</v>
      </c>
      <c r="E141" s="10" t="s">
        <v>103</v>
      </c>
      <c r="F141" s="13" t="str">
        <f>IFERROR(INDEX(tbl_pontos[Categoria],MATCH(E141,tbl_pontos[ID_Ponto],0)),"")</f>
        <v>2. Eficiência e Manutenção</v>
      </c>
      <c r="G141" s="10" t="s">
        <v>165</v>
      </c>
      <c r="H141" s="10"/>
      <c r="I141" s="10"/>
      <c r="J141" s="10"/>
      <c r="K141" s="10"/>
      <c r="L141" s="10" t="s">
        <v>84</v>
      </c>
      <c r="M141" s="11">
        <f t="shared" si="5"/>
        <v>0</v>
      </c>
    </row>
    <row r="142" spans="1:13" ht="26.4" x14ac:dyDescent="0.3">
      <c r="A142" s="10" t="s">
        <v>212</v>
      </c>
      <c r="B142" s="14">
        <v>46139</v>
      </c>
      <c r="C142" s="11">
        <f t="shared" si="4"/>
        <v>202604</v>
      </c>
      <c r="D142" s="15">
        <v>1</v>
      </c>
      <c r="E142" s="10" t="s">
        <v>124</v>
      </c>
      <c r="F142" s="13" t="str">
        <f>IFERROR(INDEX(tbl_pontos[Categoria],MATCH(E142,tbl_pontos[ID_Ponto],0)),"")</f>
        <v>4. Gestão de Resíduos</v>
      </c>
      <c r="G142" s="10" t="s">
        <v>165</v>
      </c>
      <c r="H142" s="10"/>
      <c r="I142" s="10"/>
      <c r="J142" s="10"/>
      <c r="K142" s="10"/>
      <c r="L142" s="10" t="s">
        <v>84</v>
      </c>
      <c r="M142" s="11">
        <f t="shared" si="5"/>
        <v>0</v>
      </c>
    </row>
    <row r="143" spans="1:13" ht="26.4" x14ac:dyDescent="0.3">
      <c r="A143" s="10" t="s">
        <v>212</v>
      </c>
      <c r="B143" s="14">
        <v>46139</v>
      </c>
      <c r="C143" s="11">
        <f t="shared" si="4"/>
        <v>202604</v>
      </c>
      <c r="D143" s="15">
        <v>2</v>
      </c>
      <c r="E143" s="10" t="s">
        <v>131</v>
      </c>
      <c r="F143" s="13" t="str">
        <f>IFERROR(INDEX(tbl_pontos[Categoria],MATCH(E143,tbl_pontos[ID_Ponto],0)),"")</f>
        <v>4. Gestão de Resíduos</v>
      </c>
      <c r="G143" s="10" t="s">
        <v>165</v>
      </c>
      <c r="H143" s="10"/>
      <c r="I143" s="10"/>
      <c r="J143" s="10"/>
      <c r="K143" s="10"/>
      <c r="L143" s="10" t="s">
        <v>84</v>
      </c>
      <c r="M143" s="11">
        <f t="shared" si="5"/>
        <v>0</v>
      </c>
    </row>
    <row r="144" spans="1:13" ht="26.4" x14ac:dyDescent="0.3">
      <c r="A144" s="10" t="s">
        <v>212</v>
      </c>
      <c r="B144" s="14">
        <v>46139</v>
      </c>
      <c r="C144" s="11">
        <f t="shared" si="4"/>
        <v>202604</v>
      </c>
      <c r="D144" s="15">
        <v>1</v>
      </c>
      <c r="E144" s="10" t="s">
        <v>136</v>
      </c>
      <c r="F144" s="13" t="str">
        <f>IFERROR(INDEX(tbl_pontos[Categoria],MATCH(E144,tbl_pontos[ID_Ponto],0)),"")</f>
        <v>5. Perdas de granulado e energia (extra)</v>
      </c>
      <c r="G144" s="10" t="s">
        <v>165</v>
      </c>
      <c r="H144" s="10"/>
      <c r="I144" s="10"/>
      <c r="J144" s="10"/>
      <c r="K144" s="10"/>
      <c r="L144" s="10" t="s">
        <v>84</v>
      </c>
      <c r="M144" s="11">
        <f t="shared" si="5"/>
        <v>0</v>
      </c>
    </row>
    <row r="145" spans="1:13" ht="26.4" x14ac:dyDescent="0.3">
      <c r="A145" s="10" t="s">
        <v>212</v>
      </c>
      <c r="B145" s="14">
        <v>46139</v>
      </c>
      <c r="C145" s="11">
        <f t="shared" si="4"/>
        <v>202604</v>
      </c>
      <c r="D145" s="15">
        <v>1</v>
      </c>
      <c r="E145" s="10" t="s">
        <v>148</v>
      </c>
      <c r="F145" s="13" t="str">
        <f>IFERROR(INDEX(tbl_pontos[Categoria],MATCH(E145,tbl_pontos[ID_Ponto],0)),"")</f>
        <v>5. Perdas de granulado e energia (extra)</v>
      </c>
      <c r="G145" s="10" t="s">
        <v>165</v>
      </c>
      <c r="H145" s="10"/>
      <c r="I145" s="10"/>
      <c r="J145" s="10"/>
      <c r="K145" s="10"/>
      <c r="L145" s="10" t="s">
        <v>84</v>
      </c>
      <c r="M145" s="11">
        <f t="shared" si="5"/>
        <v>0</v>
      </c>
    </row>
    <row r="146" spans="1:13" ht="26.4" x14ac:dyDescent="0.3">
      <c r="A146" s="10" t="s">
        <v>213</v>
      </c>
      <c r="B146" s="14">
        <v>46146</v>
      </c>
      <c r="C146" s="11">
        <f t="shared" si="4"/>
        <v>202605</v>
      </c>
      <c r="D146" s="15">
        <v>2</v>
      </c>
      <c r="E146" s="10" t="s">
        <v>77</v>
      </c>
      <c r="F146" s="13" t="str">
        <f>IFERROR(INDEX(tbl_pontos[Categoria],MATCH(E146,tbl_pontos[ID_Ponto],0)),"")</f>
        <v>1. Gestão de Produtos Químicos</v>
      </c>
      <c r="G146" s="10" t="s">
        <v>165</v>
      </c>
      <c r="H146" s="10"/>
      <c r="I146" s="10"/>
      <c r="J146" s="10"/>
      <c r="K146" s="10"/>
      <c r="L146" s="10" t="s">
        <v>151</v>
      </c>
      <c r="M146" s="11">
        <f t="shared" si="5"/>
        <v>0</v>
      </c>
    </row>
    <row r="147" spans="1:13" ht="26.4" x14ac:dyDescent="0.3">
      <c r="A147" s="10" t="s">
        <v>213</v>
      </c>
      <c r="B147" s="14">
        <v>46146</v>
      </c>
      <c r="C147" s="11">
        <f t="shared" si="4"/>
        <v>202605</v>
      </c>
      <c r="D147" s="15">
        <v>1</v>
      </c>
      <c r="E147" s="10" t="s">
        <v>88</v>
      </c>
      <c r="F147" s="13" t="str">
        <f>IFERROR(INDEX(tbl_pontos[Categoria],MATCH(E147,tbl_pontos[ID_Ponto],0)),"")</f>
        <v>1. Gestão de Produtos Químicos</v>
      </c>
      <c r="G147" s="10" t="s">
        <v>166</v>
      </c>
      <c r="H147" s="10" t="s">
        <v>175</v>
      </c>
      <c r="I147" s="10" t="s">
        <v>172</v>
      </c>
      <c r="J147" s="10"/>
      <c r="K147" s="10" t="s">
        <v>214</v>
      </c>
      <c r="L147" s="10" t="s">
        <v>151</v>
      </c>
      <c r="M147" s="11">
        <f t="shared" si="5"/>
        <v>1</v>
      </c>
    </row>
    <row r="148" spans="1:13" ht="26.4" x14ac:dyDescent="0.3">
      <c r="A148" s="10" t="s">
        <v>213</v>
      </c>
      <c r="B148" s="14">
        <v>46146</v>
      </c>
      <c r="C148" s="11">
        <f t="shared" si="4"/>
        <v>202605</v>
      </c>
      <c r="D148" s="15">
        <v>1</v>
      </c>
      <c r="E148" s="10" t="s">
        <v>95</v>
      </c>
      <c r="F148" s="13" t="str">
        <f>IFERROR(INDEX(tbl_pontos[Categoria],MATCH(E148,tbl_pontos[ID_Ponto],0)),"")</f>
        <v>2. Eficiência e Manutenção</v>
      </c>
      <c r="G148" s="10" t="s">
        <v>165</v>
      </c>
      <c r="H148" s="10"/>
      <c r="I148" s="10"/>
      <c r="J148" s="10"/>
      <c r="K148" s="10"/>
      <c r="L148" s="10" t="s">
        <v>151</v>
      </c>
      <c r="M148" s="11">
        <f t="shared" si="5"/>
        <v>0</v>
      </c>
    </row>
    <row r="149" spans="1:13" ht="26.4" x14ac:dyDescent="0.3">
      <c r="A149" s="10" t="s">
        <v>213</v>
      </c>
      <c r="B149" s="14">
        <v>46146</v>
      </c>
      <c r="C149" s="11">
        <f t="shared" si="4"/>
        <v>202605</v>
      </c>
      <c r="D149" s="15">
        <v>1</v>
      </c>
      <c r="E149" s="10" t="s">
        <v>103</v>
      </c>
      <c r="F149" s="13" t="str">
        <f>IFERROR(INDEX(tbl_pontos[Categoria],MATCH(E149,tbl_pontos[ID_Ponto],0)),"")</f>
        <v>2. Eficiência e Manutenção</v>
      </c>
      <c r="G149" s="10" t="s">
        <v>165</v>
      </c>
      <c r="H149" s="10"/>
      <c r="I149" s="10"/>
      <c r="J149" s="10"/>
      <c r="K149" s="10"/>
      <c r="L149" s="10" t="s">
        <v>151</v>
      </c>
      <c r="M149" s="11">
        <f t="shared" si="5"/>
        <v>0</v>
      </c>
    </row>
    <row r="150" spans="1:13" ht="26.4" x14ac:dyDescent="0.3">
      <c r="A150" s="10" t="s">
        <v>213</v>
      </c>
      <c r="B150" s="14">
        <v>46146</v>
      </c>
      <c r="C150" s="11">
        <f t="shared" si="4"/>
        <v>202605</v>
      </c>
      <c r="D150" s="15">
        <v>2</v>
      </c>
      <c r="E150" s="10" t="s">
        <v>109</v>
      </c>
      <c r="F150" s="13" t="str">
        <f>IFERROR(INDEX(tbl_pontos[Categoria],MATCH(E150,tbl_pontos[ID_Ponto],0)),"")</f>
        <v>3. Emergência</v>
      </c>
      <c r="G150" s="10" t="s">
        <v>165</v>
      </c>
      <c r="H150" s="10"/>
      <c r="I150" s="10"/>
      <c r="J150" s="10"/>
      <c r="K150" s="10"/>
      <c r="L150" s="10" t="s">
        <v>151</v>
      </c>
      <c r="M150" s="11">
        <f t="shared" si="5"/>
        <v>0</v>
      </c>
    </row>
    <row r="151" spans="1:13" ht="26.4" x14ac:dyDescent="0.3">
      <c r="A151" s="10" t="s">
        <v>213</v>
      </c>
      <c r="B151" s="14">
        <v>46146</v>
      </c>
      <c r="C151" s="11">
        <f t="shared" si="4"/>
        <v>202605</v>
      </c>
      <c r="D151" s="15">
        <v>1</v>
      </c>
      <c r="E151" s="10" t="s">
        <v>119</v>
      </c>
      <c r="F151" s="13" t="str">
        <f>IFERROR(INDEX(tbl_pontos[Categoria],MATCH(E151,tbl_pontos[ID_Ponto],0)),"")</f>
        <v>3. Emergência</v>
      </c>
      <c r="G151" s="10" t="s">
        <v>165</v>
      </c>
      <c r="H151" s="10"/>
      <c r="I151" s="10"/>
      <c r="J151" s="10"/>
      <c r="K151" s="10"/>
      <c r="L151" s="10" t="s">
        <v>151</v>
      </c>
      <c r="M151" s="11">
        <f t="shared" si="5"/>
        <v>0</v>
      </c>
    </row>
    <row r="152" spans="1:13" ht="26.4" x14ac:dyDescent="0.3">
      <c r="A152" s="10" t="s">
        <v>213</v>
      </c>
      <c r="B152" s="14">
        <v>46146</v>
      </c>
      <c r="C152" s="11">
        <f t="shared" si="4"/>
        <v>202605</v>
      </c>
      <c r="D152" s="15">
        <v>1</v>
      </c>
      <c r="E152" s="10" t="s">
        <v>124</v>
      </c>
      <c r="F152" s="13" t="str">
        <f>IFERROR(INDEX(tbl_pontos[Categoria],MATCH(E152,tbl_pontos[ID_Ponto],0)),"")</f>
        <v>4. Gestão de Resíduos</v>
      </c>
      <c r="G152" s="10" t="s">
        <v>165</v>
      </c>
      <c r="H152" s="10"/>
      <c r="I152" s="10"/>
      <c r="J152" s="10"/>
      <c r="K152" s="10"/>
      <c r="L152" s="10" t="s">
        <v>151</v>
      </c>
      <c r="M152" s="11">
        <f t="shared" si="5"/>
        <v>0</v>
      </c>
    </row>
    <row r="153" spans="1:13" ht="26.4" x14ac:dyDescent="0.3">
      <c r="A153" s="10" t="s">
        <v>213</v>
      </c>
      <c r="B153" s="14">
        <v>46146</v>
      </c>
      <c r="C153" s="11">
        <f t="shared" si="4"/>
        <v>202605</v>
      </c>
      <c r="D153" s="15">
        <v>1</v>
      </c>
      <c r="E153" s="10" t="s">
        <v>131</v>
      </c>
      <c r="F153" s="13" t="str">
        <f>IFERROR(INDEX(tbl_pontos[Categoria],MATCH(E153,tbl_pontos[ID_Ponto],0)),"")</f>
        <v>4. Gestão de Resíduos</v>
      </c>
      <c r="G153" s="10" t="s">
        <v>165</v>
      </c>
      <c r="H153" s="10"/>
      <c r="I153" s="10"/>
      <c r="J153" s="10"/>
      <c r="K153" s="10"/>
      <c r="L153" s="10" t="s">
        <v>151</v>
      </c>
      <c r="M153" s="11">
        <f t="shared" si="5"/>
        <v>0</v>
      </c>
    </row>
    <row r="154" spans="1:13" ht="26.4" x14ac:dyDescent="0.3">
      <c r="A154" s="10" t="s">
        <v>213</v>
      </c>
      <c r="B154" s="14">
        <v>46146</v>
      </c>
      <c r="C154" s="11">
        <f t="shared" si="4"/>
        <v>202605</v>
      </c>
      <c r="D154" s="15">
        <v>1</v>
      </c>
      <c r="E154" s="10" t="s">
        <v>136</v>
      </c>
      <c r="F154" s="13" t="str">
        <f>IFERROR(INDEX(tbl_pontos[Categoria],MATCH(E154,tbl_pontos[ID_Ponto],0)),"")</f>
        <v>5. Perdas de granulado e energia (extra)</v>
      </c>
      <c r="G154" s="10" t="s">
        <v>166</v>
      </c>
      <c r="H154" s="10" t="s">
        <v>171</v>
      </c>
      <c r="I154" s="10" t="s">
        <v>172</v>
      </c>
      <c r="J154" s="10"/>
      <c r="K154" s="10" t="s">
        <v>215</v>
      </c>
      <c r="L154" s="10" t="s">
        <v>151</v>
      </c>
      <c r="M154" s="11">
        <f t="shared" si="5"/>
        <v>1</v>
      </c>
    </row>
    <row r="155" spans="1:13" ht="26.4" x14ac:dyDescent="0.3">
      <c r="A155" s="10" t="s">
        <v>213</v>
      </c>
      <c r="B155" s="14">
        <v>46146</v>
      </c>
      <c r="C155" s="11">
        <f t="shared" si="4"/>
        <v>202605</v>
      </c>
      <c r="D155" s="15">
        <v>1</v>
      </c>
      <c r="E155" s="10" t="s">
        <v>148</v>
      </c>
      <c r="F155" s="13" t="str">
        <f>IFERROR(INDEX(tbl_pontos[Categoria],MATCH(E155,tbl_pontos[ID_Ponto],0)),"")</f>
        <v>5. Perdas de granulado e energia (extra)</v>
      </c>
      <c r="G155" s="10" t="s">
        <v>165</v>
      </c>
      <c r="H155" s="10"/>
      <c r="I155" s="10"/>
      <c r="J155" s="10"/>
      <c r="K155" s="10"/>
      <c r="L155" s="10" t="s">
        <v>151</v>
      </c>
      <c r="M155" s="11">
        <f t="shared" si="5"/>
        <v>0</v>
      </c>
    </row>
    <row r="156" spans="1:13" ht="26.4" x14ac:dyDescent="0.3">
      <c r="A156" s="10" t="s">
        <v>216</v>
      </c>
      <c r="B156" s="14">
        <v>46153</v>
      </c>
      <c r="C156" s="11">
        <f t="shared" si="4"/>
        <v>202605</v>
      </c>
      <c r="D156" s="15">
        <v>1</v>
      </c>
      <c r="E156" s="10" t="s">
        <v>77</v>
      </c>
      <c r="F156" s="13" t="str">
        <f>IFERROR(INDEX(tbl_pontos[Categoria],MATCH(E156,tbl_pontos[ID_Ponto],0)),"")</f>
        <v>1. Gestão de Produtos Químicos</v>
      </c>
      <c r="G156" s="10" t="s">
        <v>165</v>
      </c>
      <c r="H156" s="10"/>
      <c r="I156" s="10"/>
      <c r="J156" s="10"/>
      <c r="K156" s="10"/>
      <c r="L156" s="10" t="s">
        <v>84</v>
      </c>
      <c r="M156" s="11">
        <f t="shared" si="5"/>
        <v>0</v>
      </c>
    </row>
    <row r="157" spans="1:13" ht="26.4" x14ac:dyDescent="0.3">
      <c r="A157" s="10" t="s">
        <v>216</v>
      </c>
      <c r="B157" s="14">
        <v>46153</v>
      </c>
      <c r="C157" s="11">
        <f t="shared" si="4"/>
        <v>202605</v>
      </c>
      <c r="D157" s="15">
        <v>2</v>
      </c>
      <c r="E157" s="10" t="s">
        <v>88</v>
      </c>
      <c r="F157" s="13" t="str">
        <f>IFERROR(INDEX(tbl_pontos[Categoria],MATCH(E157,tbl_pontos[ID_Ponto],0)),"")</f>
        <v>1. Gestão de Produtos Químicos</v>
      </c>
      <c r="G157" s="10" t="s">
        <v>165</v>
      </c>
      <c r="H157" s="10"/>
      <c r="I157" s="10"/>
      <c r="J157" s="10"/>
      <c r="K157" s="10"/>
      <c r="L157" s="10" t="s">
        <v>84</v>
      </c>
      <c r="M157" s="11">
        <f t="shared" si="5"/>
        <v>0</v>
      </c>
    </row>
    <row r="158" spans="1:13" ht="26.4" x14ac:dyDescent="0.3">
      <c r="A158" s="10" t="s">
        <v>216</v>
      </c>
      <c r="B158" s="14">
        <v>46153</v>
      </c>
      <c r="C158" s="11">
        <f t="shared" si="4"/>
        <v>202605</v>
      </c>
      <c r="D158" s="15">
        <v>1</v>
      </c>
      <c r="E158" s="10" t="s">
        <v>95</v>
      </c>
      <c r="F158" s="13" t="str">
        <f>IFERROR(INDEX(tbl_pontos[Categoria],MATCH(E158,tbl_pontos[ID_Ponto],0)),"")</f>
        <v>2. Eficiência e Manutenção</v>
      </c>
      <c r="G158" s="10" t="s">
        <v>165</v>
      </c>
      <c r="H158" s="10"/>
      <c r="I158" s="10"/>
      <c r="J158" s="10"/>
      <c r="K158" s="10"/>
      <c r="L158" s="10" t="s">
        <v>84</v>
      </c>
      <c r="M158" s="11">
        <f t="shared" si="5"/>
        <v>0</v>
      </c>
    </row>
    <row r="159" spans="1:13" ht="26.4" x14ac:dyDescent="0.3">
      <c r="A159" s="10" t="s">
        <v>216</v>
      </c>
      <c r="B159" s="14">
        <v>46153</v>
      </c>
      <c r="C159" s="11">
        <f t="shared" si="4"/>
        <v>202605</v>
      </c>
      <c r="D159" s="15">
        <v>2</v>
      </c>
      <c r="E159" s="10" t="s">
        <v>103</v>
      </c>
      <c r="F159" s="13" t="str">
        <f>IFERROR(INDEX(tbl_pontos[Categoria],MATCH(E159,tbl_pontos[ID_Ponto],0)),"")</f>
        <v>2. Eficiência e Manutenção</v>
      </c>
      <c r="G159" s="10" t="s">
        <v>165</v>
      </c>
      <c r="H159" s="10"/>
      <c r="I159" s="10"/>
      <c r="J159" s="10"/>
      <c r="K159" s="10"/>
      <c r="L159" s="10" t="s">
        <v>84</v>
      </c>
      <c r="M159" s="11">
        <f t="shared" si="5"/>
        <v>0</v>
      </c>
    </row>
    <row r="160" spans="1:13" ht="26.4" x14ac:dyDescent="0.3">
      <c r="A160" s="10" t="s">
        <v>216</v>
      </c>
      <c r="B160" s="14">
        <v>46153</v>
      </c>
      <c r="C160" s="11">
        <f t="shared" si="4"/>
        <v>202605</v>
      </c>
      <c r="D160" s="15">
        <v>1</v>
      </c>
      <c r="E160" s="10" t="s">
        <v>124</v>
      </c>
      <c r="F160" s="13" t="str">
        <f>IFERROR(INDEX(tbl_pontos[Categoria],MATCH(E160,tbl_pontos[ID_Ponto],0)),"")</f>
        <v>4. Gestão de Resíduos</v>
      </c>
      <c r="G160" s="10" t="s">
        <v>165</v>
      </c>
      <c r="H160" s="10"/>
      <c r="I160" s="10"/>
      <c r="J160" s="10"/>
      <c r="K160" s="10"/>
      <c r="L160" s="10" t="s">
        <v>84</v>
      </c>
      <c r="M160" s="11">
        <f t="shared" si="5"/>
        <v>0</v>
      </c>
    </row>
    <row r="161" spans="1:13" ht="26.4" x14ac:dyDescent="0.3">
      <c r="A161" s="10" t="s">
        <v>216</v>
      </c>
      <c r="B161" s="14">
        <v>46153</v>
      </c>
      <c r="C161" s="11">
        <f t="shared" si="4"/>
        <v>202605</v>
      </c>
      <c r="D161" s="15">
        <v>1</v>
      </c>
      <c r="E161" s="10" t="s">
        <v>131</v>
      </c>
      <c r="F161" s="13" t="str">
        <f>IFERROR(INDEX(tbl_pontos[Categoria],MATCH(E161,tbl_pontos[ID_Ponto],0)),"")</f>
        <v>4. Gestão de Resíduos</v>
      </c>
      <c r="G161" s="10" t="s">
        <v>165</v>
      </c>
      <c r="H161" s="10"/>
      <c r="I161" s="10"/>
      <c r="J161" s="10"/>
      <c r="K161" s="10"/>
      <c r="L161" s="10" t="s">
        <v>84</v>
      </c>
      <c r="M161" s="11">
        <f t="shared" si="5"/>
        <v>0</v>
      </c>
    </row>
    <row r="162" spans="1:13" ht="26.4" x14ac:dyDescent="0.3">
      <c r="A162" s="10" t="s">
        <v>216</v>
      </c>
      <c r="B162" s="14">
        <v>46153</v>
      </c>
      <c r="C162" s="11">
        <f t="shared" si="4"/>
        <v>202605</v>
      </c>
      <c r="D162" s="15">
        <v>3</v>
      </c>
      <c r="E162" s="10" t="s">
        <v>136</v>
      </c>
      <c r="F162" s="13" t="str">
        <f>IFERROR(INDEX(tbl_pontos[Categoria],MATCH(E162,tbl_pontos[ID_Ponto],0)),"")</f>
        <v>5. Perdas de granulado e energia (extra)</v>
      </c>
      <c r="G162" s="10" t="s">
        <v>166</v>
      </c>
      <c r="H162" s="10" t="s">
        <v>171</v>
      </c>
      <c r="I162" s="10" t="s">
        <v>172</v>
      </c>
      <c r="J162" s="10"/>
      <c r="K162" s="10" t="s">
        <v>217</v>
      </c>
      <c r="L162" s="10" t="s">
        <v>84</v>
      </c>
      <c r="M162" s="11">
        <f t="shared" si="5"/>
        <v>1</v>
      </c>
    </row>
    <row r="163" spans="1:13" ht="26.4" x14ac:dyDescent="0.3">
      <c r="A163" s="10" t="s">
        <v>216</v>
      </c>
      <c r="B163" s="14">
        <v>46153</v>
      </c>
      <c r="C163" s="11">
        <f t="shared" si="4"/>
        <v>202605</v>
      </c>
      <c r="D163" s="15">
        <v>2</v>
      </c>
      <c r="E163" s="10" t="s">
        <v>148</v>
      </c>
      <c r="F163" s="13" t="str">
        <f>IFERROR(INDEX(tbl_pontos[Categoria],MATCH(E163,tbl_pontos[ID_Ponto],0)),"")</f>
        <v>5. Perdas de granulado e energia (extra)</v>
      </c>
      <c r="G163" s="10" t="s">
        <v>165</v>
      </c>
      <c r="H163" s="10"/>
      <c r="I163" s="10"/>
      <c r="J163" s="10"/>
      <c r="K163" s="10"/>
      <c r="L163" s="10" t="s">
        <v>84</v>
      </c>
      <c r="M163" s="11">
        <f t="shared" si="5"/>
        <v>0</v>
      </c>
    </row>
    <row r="164" spans="1:13" ht="26.4" x14ac:dyDescent="0.3">
      <c r="A164" s="10" t="s">
        <v>218</v>
      </c>
      <c r="B164" s="14">
        <v>46160</v>
      </c>
      <c r="C164" s="11">
        <f t="shared" si="4"/>
        <v>202605</v>
      </c>
      <c r="D164" s="15">
        <v>2</v>
      </c>
      <c r="E164" s="10" t="s">
        <v>77</v>
      </c>
      <c r="F164" s="13" t="str">
        <f>IFERROR(INDEX(tbl_pontos[Categoria],MATCH(E164,tbl_pontos[ID_Ponto],0)),"")</f>
        <v>1. Gestão de Produtos Químicos</v>
      </c>
      <c r="G164" s="10" t="s">
        <v>165</v>
      </c>
      <c r="H164" s="10"/>
      <c r="I164" s="10"/>
      <c r="J164" s="10"/>
      <c r="K164" s="10"/>
      <c r="L164" s="10" t="s">
        <v>151</v>
      </c>
      <c r="M164" s="11">
        <f t="shared" si="5"/>
        <v>0</v>
      </c>
    </row>
    <row r="165" spans="1:13" ht="26.4" x14ac:dyDescent="0.3">
      <c r="A165" s="10" t="s">
        <v>218</v>
      </c>
      <c r="B165" s="14">
        <v>46160</v>
      </c>
      <c r="C165" s="11">
        <f t="shared" si="4"/>
        <v>202605</v>
      </c>
      <c r="D165" s="15">
        <v>1</v>
      </c>
      <c r="E165" s="10" t="s">
        <v>88</v>
      </c>
      <c r="F165" s="13" t="str">
        <f>IFERROR(INDEX(tbl_pontos[Categoria],MATCH(E165,tbl_pontos[ID_Ponto],0)),"")</f>
        <v>1. Gestão de Produtos Químicos</v>
      </c>
      <c r="G165" s="10" t="s">
        <v>165</v>
      </c>
      <c r="H165" s="10"/>
      <c r="I165" s="10"/>
      <c r="J165" s="10"/>
      <c r="K165" s="10"/>
      <c r="L165" s="10" t="s">
        <v>151</v>
      </c>
      <c r="M165" s="11">
        <f t="shared" si="5"/>
        <v>0</v>
      </c>
    </row>
    <row r="166" spans="1:13" ht="26.4" x14ac:dyDescent="0.3">
      <c r="A166" s="10" t="s">
        <v>218</v>
      </c>
      <c r="B166" s="14">
        <v>46160</v>
      </c>
      <c r="C166" s="11">
        <f t="shared" si="4"/>
        <v>202605</v>
      </c>
      <c r="D166" s="15">
        <v>2</v>
      </c>
      <c r="E166" s="10" t="s">
        <v>95</v>
      </c>
      <c r="F166" s="13" t="str">
        <f>IFERROR(INDEX(tbl_pontos[Categoria],MATCH(E166,tbl_pontos[ID_Ponto],0)),"")</f>
        <v>2. Eficiência e Manutenção</v>
      </c>
      <c r="G166" s="10" t="s">
        <v>165</v>
      </c>
      <c r="H166" s="10"/>
      <c r="I166" s="10"/>
      <c r="J166" s="10"/>
      <c r="K166" s="10"/>
      <c r="L166" s="10" t="s">
        <v>151</v>
      </c>
      <c r="M166" s="11">
        <f t="shared" si="5"/>
        <v>0</v>
      </c>
    </row>
    <row r="167" spans="1:13" ht="26.4" x14ac:dyDescent="0.3">
      <c r="A167" s="10" t="s">
        <v>218</v>
      </c>
      <c r="B167" s="14">
        <v>46160</v>
      </c>
      <c r="C167" s="11">
        <f t="shared" si="4"/>
        <v>202605</v>
      </c>
      <c r="D167" s="15">
        <v>1</v>
      </c>
      <c r="E167" s="10" t="s">
        <v>103</v>
      </c>
      <c r="F167" s="13" t="str">
        <f>IFERROR(INDEX(tbl_pontos[Categoria],MATCH(E167,tbl_pontos[ID_Ponto],0)),"")</f>
        <v>2. Eficiência e Manutenção</v>
      </c>
      <c r="G167" s="10" t="s">
        <v>165</v>
      </c>
      <c r="H167" s="10"/>
      <c r="I167" s="10"/>
      <c r="J167" s="10"/>
      <c r="K167" s="10"/>
      <c r="L167" s="10" t="s">
        <v>151</v>
      </c>
      <c r="M167" s="11">
        <f t="shared" si="5"/>
        <v>0</v>
      </c>
    </row>
    <row r="168" spans="1:13" ht="26.4" x14ac:dyDescent="0.3">
      <c r="A168" s="10" t="s">
        <v>218</v>
      </c>
      <c r="B168" s="14">
        <v>46160</v>
      </c>
      <c r="C168" s="11">
        <f t="shared" si="4"/>
        <v>202605</v>
      </c>
      <c r="D168" s="15">
        <v>1</v>
      </c>
      <c r="E168" s="10" t="s">
        <v>124</v>
      </c>
      <c r="F168" s="13" t="str">
        <f>IFERROR(INDEX(tbl_pontos[Categoria],MATCH(E168,tbl_pontos[ID_Ponto],0)),"")</f>
        <v>4. Gestão de Resíduos</v>
      </c>
      <c r="G168" s="10" t="s">
        <v>165</v>
      </c>
      <c r="H168" s="10"/>
      <c r="I168" s="10"/>
      <c r="J168" s="10"/>
      <c r="K168" s="10"/>
      <c r="L168" s="10" t="s">
        <v>151</v>
      </c>
      <c r="M168" s="11">
        <f t="shared" si="5"/>
        <v>0</v>
      </c>
    </row>
    <row r="169" spans="1:13" ht="26.4" x14ac:dyDescent="0.3">
      <c r="A169" s="10" t="s">
        <v>218</v>
      </c>
      <c r="B169" s="14">
        <v>46160</v>
      </c>
      <c r="C169" s="11">
        <f t="shared" si="4"/>
        <v>202605</v>
      </c>
      <c r="D169" s="15">
        <v>2</v>
      </c>
      <c r="E169" s="10" t="s">
        <v>131</v>
      </c>
      <c r="F169" s="13" t="str">
        <f>IFERROR(INDEX(tbl_pontos[Categoria],MATCH(E169,tbl_pontos[ID_Ponto],0)),"")</f>
        <v>4. Gestão de Resíduos</v>
      </c>
      <c r="G169" s="10" t="s">
        <v>165</v>
      </c>
      <c r="H169" s="10"/>
      <c r="I169" s="10"/>
      <c r="J169" s="10"/>
      <c r="K169" s="10"/>
      <c r="L169" s="10" t="s">
        <v>151</v>
      </c>
      <c r="M169" s="11">
        <f t="shared" si="5"/>
        <v>0</v>
      </c>
    </row>
    <row r="170" spans="1:13" ht="26.4" x14ac:dyDescent="0.3">
      <c r="A170" s="10" t="s">
        <v>218</v>
      </c>
      <c r="B170" s="14">
        <v>46160</v>
      </c>
      <c r="C170" s="11">
        <f t="shared" si="4"/>
        <v>202605</v>
      </c>
      <c r="D170" s="15">
        <v>3</v>
      </c>
      <c r="E170" s="10" t="s">
        <v>136</v>
      </c>
      <c r="F170" s="13" t="str">
        <f>IFERROR(INDEX(tbl_pontos[Categoria],MATCH(E170,tbl_pontos[ID_Ponto],0)),"")</f>
        <v>5. Perdas de granulado e energia (extra)</v>
      </c>
      <c r="G170" s="10" t="s">
        <v>166</v>
      </c>
      <c r="H170" s="10" t="s">
        <v>171</v>
      </c>
      <c r="I170" s="10" t="s">
        <v>172</v>
      </c>
      <c r="J170" s="10"/>
      <c r="K170" s="10" t="s">
        <v>219</v>
      </c>
      <c r="L170" s="10" t="s">
        <v>151</v>
      </c>
      <c r="M170" s="11">
        <f t="shared" si="5"/>
        <v>1</v>
      </c>
    </row>
    <row r="171" spans="1:13" ht="26.4" x14ac:dyDescent="0.3">
      <c r="A171" s="10" t="s">
        <v>218</v>
      </c>
      <c r="B171" s="14">
        <v>46160</v>
      </c>
      <c r="C171" s="11">
        <f t="shared" si="4"/>
        <v>202605</v>
      </c>
      <c r="D171" s="15">
        <v>2</v>
      </c>
      <c r="E171" s="10" t="s">
        <v>148</v>
      </c>
      <c r="F171" s="13" t="str">
        <f>IFERROR(INDEX(tbl_pontos[Categoria],MATCH(E171,tbl_pontos[ID_Ponto],0)),"")</f>
        <v>5. Perdas de granulado e energia (extra)</v>
      </c>
      <c r="G171" s="10" t="s">
        <v>166</v>
      </c>
      <c r="H171" s="10" t="s">
        <v>167</v>
      </c>
      <c r="I171" s="10" t="s">
        <v>168</v>
      </c>
      <c r="J171" s="10"/>
      <c r="K171" s="10" t="s">
        <v>220</v>
      </c>
      <c r="L171" s="10" t="s">
        <v>151</v>
      </c>
      <c r="M171" s="11">
        <f t="shared" si="5"/>
        <v>1</v>
      </c>
    </row>
    <row r="172" spans="1:13" ht="26.4" x14ac:dyDescent="0.3">
      <c r="A172" s="10" t="s">
        <v>221</v>
      </c>
      <c r="B172" s="14">
        <v>46167</v>
      </c>
      <c r="C172" s="11">
        <f t="shared" si="4"/>
        <v>202605</v>
      </c>
      <c r="D172" s="15">
        <v>3</v>
      </c>
      <c r="E172" s="10" t="s">
        <v>77</v>
      </c>
      <c r="F172" s="13" t="str">
        <f>IFERROR(INDEX(tbl_pontos[Categoria],MATCH(E172,tbl_pontos[ID_Ponto],0)),"")</f>
        <v>1. Gestão de Produtos Químicos</v>
      </c>
      <c r="G172" s="10" t="s">
        <v>165</v>
      </c>
      <c r="H172" s="10"/>
      <c r="I172" s="10"/>
      <c r="J172" s="10"/>
      <c r="K172" s="10"/>
      <c r="L172" s="10" t="s">
        <v>84</v>
      </c>
      <c r="M172" s="11">
        <f t="shared" si="5"/>
        <v>0</v>
      </c>
    </row>
    <row r="173" spans="1:13" ht="26.4" x14ac:dyDescent="0.3">
      <c r="A173" s="10" t="s">
        <v>221</v>
      </c>
      <c r="B173" s="14">
        <v>46167</v>
      </c>
      <c r="C173" s="11">
        <f t="shared" si="4"/>
        <v>202605</v>
      </c>
      <c r="D173" s="15">
        <v>2</v>
      </c>
      <c r="E173" s="10" t="s">
        <v>88</v>
      </c>
      <c r="F173" s="13" t="str">
        <f>IFERROR(INDEX(tbl_pontos[Categoria],MATCH(E173,tbl_pontos[ID_Ponto],0)),"")</f>
        <v>1. Gestão de Produtos Químicos</v>
      </c>
      <c r="G173" s="10" t="s">
        <v>165</v>
      </c>
      <c r="H173" s="10"/>
      <c r="I173" s="10"/>
      <c r="J173" s="10"/>
      <c r="K173" s="10"/>
      <c r="L173" s="10" t="s">
        <v>84</v>
      </c>
      <c r="M173" s="11">
        <f t="shared" si="5"/>
        <v>0</v>
      </c>
    </row>
    <row r="174" spans="1:13" ht="26.4" x14ac:dyDescent="0.3">
      <c r="A174" s="10" t="s">
        <v>221</v>
      </c>
      <c r="B174" s="14">
        <v>46167</v>
      </c>
      <c r="C174" s="11">
        <f t="shared" si="4"/>
        <v>202605</v>
      </c>
      <c r="D174" s="15">
        <v>3</v>
      </c>
      <c r="E174" s="10" t="s">
        <v>95</v>
      </c>
      <c r="F174" s="13" t="str">
        <f>IFERROR(INDEX(tbl_pontos[Categoria],MATCH(E174,tbl_pontos[ID_Ponto],0)),"")</f>
        <v>2. Eficiência e Manutenção</v>
      </c>
      <c r="G174" s="10" t="s">
        <v>166</v>
      </c>
      <c r="H174" s="10" t="s">
        <v>178</v>
      </c>
      <c r="I174" s="10" t="s">
        <v>172</v>
      </c>
      <c r="J174" s="10"/>
      <c r="K174" s="10" t="s">
        <v>222</v>
      </c>
      <c r="L174" s="10" t="s">
        <v>84</v>
      </c>
      <c r="M174" s="11">
        <f t="shared" si="5"/>
        <v>1</v>
      </c>
    </row>
    <row r="175" spans="1:13" ht="26.4" x14ac:dyDescent="0.3">
      <c r="A175" s="10" t="s">
        <v>221</v>
      </c>
      <c r="B175" s="14">
        <v>46167</v>
      </c>
      <c r="C175" s="11">
        <f t="shared" si="4"/>
        <v>202605</v>
      </c>
      <c r="D175" s="15">
        <v>1</v>
      </c>
      <c r="E175" s="10" t="s">
        <v>103</v>
      </c>
      <c r="F175" s="13" t="str">
        <f>IFERROR(INDEX(tbl_pontos[Categoria],MATCH(E175,tbl_pontos[ID_Ponto],0)),"")</f>
        <v>2. Eficiência e Manutenção</v>
      </c>
      <c r="G175" s="10" t="s">
        <v>165</v>
      </c>
      <c r="H175" s="10"/>
      <c r="I175" s="10"/>
      <c r="J175" s="10"/>
      <c r="K175" s="10"/>
      <c r="L175" s="10" t="s">
        <v>84</v>
      </c>
      <c r="M175" s="11">
        <f t="shared" si="5"/>
        <v>0</v>
      </c>
    </row>
    <row r="176" spans="1:13" ht="26.4" x14ac:dyDescent="0.3">
      <c r="A176" s="10" t="s">
        <v>221</v>
      </c>
      <c r="B176" s="14">
        <v>46167</v>
      </c>
      <c r="C176" s="11">
        <f t="shared" si="4"/>
        <v>202605</v>
      </c>
      <c r="D176" s="15">
        <v>2</v>
      </c>
      <c r="E176" s="10" t="s">
        <v>124</v>
      </c>
      <c r="F176" s="13" t="str">
        <f>IFERROR(INDEX(tbl_pontos[Categoria],MATCH(E176,tbl_pontos[ID_Ponto],0)),"")</f>
        <v>4. Gestão de Resíduos</v>
      </c>
      <c r="G176" s="10" t="s">
        <v>165</v>
      </c>
      <c r="H176" s="10"/>
      <c r="I176" s="10"/>
      <c r="J176" s="10"/>
      <c r="K176" s="10"/>
      <c r="L176" s="10" t="s">
        <v>84</v>
      </c>
      <c r="M176" s="11">
        <f t="shared" si="5"/>
        <v>0</v>
      </c>
    </row>
    <row r="177" spans="1:13" ht="26.4" x14ac:dyDescent="0.3">
      <c r="A177" s="10" t="s">
        <v>221</v>
      </c>
      <c r="B177" s="14">
        <v>46167</v>
      </c>
      <c r="C177" s="11">
        <f t="shared" si="4"/>
        <v>202605</v>
      </c>
      <c r="D177" s="15">
        <v>1</v>
      </c>
      <c r="E177" s="10" t="s">
        <v>131</v>
      </c>
      <c r="F177" s="13" t="str">
        <f>IFERROR(INDEX(tbl_pontos[Categoria],MATCH(E177,tbl_pontos[ID_Ponto],0)),"")</f>
        <v>4. Gestão de Resíduos</v>
      </c>
      <c r="G177" s="10" t="s">
        <v>165</v>
      </c>
      <c r="H177" s="10"/>
      <c r="I177" s="10"/>
      <c r="J177" s="10"/>
      <c r="K177" s="10"/>
      <c r="L177" s="10" t="s">
        <v>84</v>
      </c>
      <c r="M177" s="11">
        <f t="shared" si="5"/>
        <v>0</v>
      </c>
    </row>
    <row r="178" spans="1:13" ht="26.4" x14ac:dyDescent="0.3">
      <c r="A178" s="10" t="s">
        <v>221</v>
      </c>
      <c r="B178" s="14">
        <v>46167</v>
      </c>
      <c r="C178" s="11">
        <f t="shared" si="4"/>
        <v>202605</v>
      </c>
      <c r="D178" s="15">
        <v>1</v>
      </c>
      <c r="E178" s="10" t="s">
        <v>136</v>
      </c>
      <c r="F178" s="13" t="str">
        <f>IFERROR(INDEX(tbl_pontos[Categoria],MATCH(E178,tbl_pontos[ID_Ponto],0)),"")</f>
        <v>5. Perdas de granulado e energia (extra)</v>
      </c>
      <c r="G178" s="10" t="s">
        <v>166</v>
      </c>
      <c r="H178" s="10" t="s">
        <v>171</v>
      </c>
      <c r="I178" s="10" t="s">
        <v>172</v>
      </c>
      <c r="J178" s="10"/>
      <c r="K178" s="10" t="s">
        <v>223</v>
      </c>
      <c r="L178" s="10" t="s">
        <v>84</v>
      </c>
      <c r="M178" s="11">
        <f t="shared" si="5"/>
        <v>1</v>
      </c>
    </row>
    <row r="179" spans="1:13" ht="26.4" x14ac:dyDescent="0.3">
      <c r="A179" s="10" t="s">
        <v>221</v>
      </c>
      <c r="B179" s="14">
        <v>46167</v>
      </c>
      <c r="C179" s="11">
        <f t="shared" si="4"/>
        <v>202605</v>
      </c>
      <c r="D179" s="15">
        <v>1</v>
      </c>
      <c r="E179" s="10" t="s">
        <v>148</v>
      </c>
      <c r="F179" s="13" t="str">
        <f>IFERROR(INDEX(tbl_pontos[Categoria],MATCH(E179,tbl_pontos[ID_Ponto],0)),"")</f>
        <v>5. Perdas de granulado e energia (extra)</v>
      </c>
      <c r="G179" s="10" t="s">
        <v>165</v>
      </c>
      <c r="H179" s="10"/>
      <c r="I179" s="10"/>
      <c r="J179" s="10"/>
      <c r="K179" s="10"/>
      <c r="L179" s="10" t="s">
        <v>84</v>
      </c>
      <c r="M179" s="11">
        <f t="shared" si="5"/>
        <v>0</v>
      </c>
    </row>
    <row r="180" spans="1:13" ht="26.4" x14ac:dyDescent="0.3">
      <c r="A180" s="10" t="s">
        <v>224</v>
      </c>
      <c r="B180" s="14">
        <v>46174</v>
      </c>
      <c r="C180" s="11">
        <f t="shared" si="4"/>
        <v>202606</v>
      </c>
      <c r="D180" s="15">
        <v>2</v>
      </c>
      <c r="E180" s="10" t="s">
        <v>77</v>
      </c>
      <c r="F180" s="13" t="str">
        <f>IFERROR(INDEX(tbl_pontos[Categoria],MATCH(E180,tbl_pontos[ID_Ponto],0)),"")</f>
        <v>1. Gestão de Produtos Químicos</v>
      </c>
      <c r="G180" s="10" t="s">
        <v>166</v>
      </c>
      <c r="H180" s="10" t="s">
        <v>225</v>
      </c>
      <c r="I180" s="10" t="s">
        <v>168</v>
      </c>
      <c r="J180" s="10"/>
      <c r="K180" s="10" t="s">
        <v>226</v>
      </c>
      <c r="L180" s="10" t="s">
        <v>151</v>
      </c>
      <c r="M180" s="11">
        <f t="shared" si="5"/>
        <v>1</v>
      </c>
    </row>
    <row r="181" spans="1:13" ht="26.4" x14ac:dyDescent="0.3">
      <c r="A181" s="10" t="s">
        <v>224</v>
      </c>
      <c r="B181" s="14">
        <v>46174</v>
      </c>
      <c r="C181" s="11">
        <f t="shared" si="4"/>
        <v>202606</v>
      </c>
      <c r="D181" s="15">
        <v>1</v>
      </c>
      <c r="E181" s="10" t="s">
        <v>88</v>
      </c>
      <c r="F181" s="13" t="str">
        <f>IFERROR(INDEX(tbl_pontos[Categoria],MATCH(E181,tbl_pontos[ID_Ponto],0)),"")</f>
        <v>1. Gestão de Produtos Químicos</v>
      </c>
      <c r="G181" s="10" t="s">
        <v>165</v>
      </c>
      <c r="H181" s="10"/>
      <c r="I181" s="10"/>
      <c r="J181" s="10"/>
      <c r="K181" s="10"/>
      <c r="L181" s="10" t="s">
        <v>151</v>
      </c>
      <c r="M181" s="11">
        <f t="shared" si="5"/>
        <v>0</v>
      </c>
    </row>
    <row r="182" spans="1:13" ht="26.4" x14ac:dyDescent="0.3">
      <c r="A182" s="10" t="s">
        <v>224</v>
      </c>
      <c r="B182" s="14">
        <v>46174</v>
      </c>
      <c r="C182" s="11">
        <f t="shared" si="4"/>
        <v>202606</v>
      </c>
      <c r="D182" s="15">
        <v>1</v>
      </c>
      <c r="E182" s="10" t="s">
        <v>95</v>
      </c>
      <c r="F182" s="13" t="str">
        <f>IFERROR(INDEX(tbl_pontos[Categoria],MATCH(E182,tbl_pontos[ID_Ponto],0)),"")</f>
        <v>2. Eficiência e Manutenção</v>
      </c>
      <c r="G182" s="10" t="s">
        <v>165</v>
      </c>
      <c r="H182" s="10"/>
      <c r="I182" s="10"/>
      <c r="J182" s="10"/>
      <c r="K182" s="10"/>
      <c r="L182" s="10" t="s">
        <v>151</v>
      </c>
      <c r="M182" s="11">
        <f t="shared" si="5"/>
        <v>0</v>
      </c>
    </row>
    <row r="183" spans="1:13" ht="26.4" x14ac:dyDescent="0.3">
      <c r="A183" s="10" t="s">
        <v>224</v>
      </c>
      <c r="B183" s="14">
        <v>46174</v>
      </c>
      <c r="C183" s="11">
        <f t="shared" si="4"/>
        <v>202606</v>
      </c>
      <c r="D183" s="15">
        <v>1</v>
      </c>
      <c r="E183" s="10" t="s">
        <v>103</v>
      </c>
      <c r="F183" s="13" t="str">
        <f>IFERROR(INDEX(tbl_pontos[Categoria],MATCH(E183,tbl_pontos[ID_Ponto],0)),"")</f>
        <v>2. Eficiência e Manutenção</v>
      </c>
      <c r="G183" s="10" t="s">
        <v>165</v>
      </c>
      <c r="H183" s="10"/>
      <c r="I183" s="10"/>
      <c r="J183" s="10"/>
      <c r="K183" s="10"/>
      <c r="L183" s="10" t="s">
        <v>151</v>
      </c>
      <c r="M183" s="11">
        <f t="shared" si="5"/>
        <v>0</v>
      </c>
    </row>
    <row r="184" spans="1:13" ht="26.4" x14ac:dyDescent="0.3">
      <c r="A184" s="10" t="s">
        <v>224</v>
      </c>
      <c r="B184" s="14">
        <v>46174</v>
      </c>
      <c r="C184" s="11">
        <f t="shared" si="4"/>
        <v>202606</v>
      </c>
      <c r="D184" s="15">
        <v>1</v>
      </c>
      <c r="E184" s="10" t="s">
        <v>109</v>
      </c>
      <c r="F184" s="13" t="str">
        <f>IFERROR(INDEX(tbl_pontos[Categoria],MATCH(E184,tbl_pontos[ID_Ponto],0)),"")</f>
        <v>3. Emergência</v>
      </c>
      <c r="G184" s="10" t="s">
        <v>166</v>
      </c>
      <c r="H184" s="10" t="s">
        <v>227</v>
      </c>
      <c r="I184" s="10" t="s">
        <v>172</v>
      </c>
      <c r="J184" s="10"/>
      <c r="K184" s="10" t="s">
        <v>228</v>
      </c>
      <c r="L184" s="10" t="s">
        <v>151</v>
      </c>
      <c r="M184" s="11">
        <f t="shared" si="5"/>
        <v>1</v>
      </c>
    </row>
    <row r="185" spans="1:13" ht="26.4" x14ac:dyDescent="0.3">
      <c r="A185" s="10" t="s">
        <v>224</v>
      </c>
      <c r="B185" s="14">
        <v>46174</v>
      </c>
      <c r="C185" s="11">
        <f t="shared" si="4"/>
        <v>202606</v>
      </c>
      <c r="D185" s="15">
        <v>1</v>
      </c>
      <c r="E185" s="10" t="s">
        <v>119</v>
      </c>
      <c r="F185" s="13" t="str">
        <f>IFERROR(INDEX(tbl_pontos[Categoria],MATCH(E185,tbl_pontos[ID_Ponto],0)),"")</f>
        <v>3. Emergência</v>
      </c>
      <c r="G185" s="10" t="s">
        <v>165</v>
      </c>
      <c r="H185" s="10"/>
      <c r="I185" s="10"/>
      <c r="J185" s="10"/>
      <c r="K185" s="10"/>
      <c r="L185" s="10" t="s">
        <v>151</v>
      </c>
      <c r="M185" s="11">
        <f t="shared" si="5"/>
        <v>0</v>
      </c>
    </row>
    <row r="186" spans="1:13" ht="26.4" x14ac:dyDescent="0.3">
      <c r="A186" s="10" t="s">
        <v>224</v>
      </c>
      <c r="B186" s="14">
        <v>46174</v>
      </c>
      <c r="C186" s="11">
        <f t="shared" si="4"/>
        <v>202606</v>
      </c>
      <c r="D186" s="15">
        <v>1</v>
      </c>
      <c r="E186" s="10" t="s">
        <v>124</v>
      </c>
      <c r="F186" s="13" t="str">
        <f>IFERROR(INDEX(tbl_pontos[Categoria],MATCH(E186,tbl_pontos[ID_Ponto],0)),"")</f>
        <v>4. Gestão de Resíduos</v>
      </c>
      <c r="G186" s="10" t="s">
        <v>165</v>
      </c>
      <c r="H186" s="10"/>
      <c r="I186" s="10"/>
      <c r="J186" s="10"/>
      <c r="K186" s="10"/>
      <c r="L186" s="10" t="s">
        <v>151</v>
      </c>
      <c r="M186" s="11">
        <f t="shared" si="5"/>
        <v>0</v>
      </c>
    </row>
    <row r="187" spans="1:13" ht="26.4" x14ac:dyDescent="0.3">
      <c r="A187" s="10" t="s">
        <v>224</v>
      </c>
      <c r="B187" s="14">
        <v>46174</v>
      </c>
      <c r="C187" s="11">
        <f t="shared" si="4"/>
        <v>202606</v>
      </c>
      <c r="D187" s="15">
        <v>3</v>
      </c>
      <c r="E187" s="10" t="s">
        <v>131</v>
      </c>
      <c r="F187" s="13" t="str">
        <f>IFERROR(INDEX(tbl_pontos[Categoria],MATCH(E187,tbl_pontos[ID_Ponto],0)),"")</f>
        <v>4. Gestão de Resíduos</v>
      </c>
      <c r="G187" s="10" t="s">
        <v>165</v>
      </c>
      <c r="H187" s="10"/>
      <c r="I187" s="10"/>
      <c r="J187" s="10"/>
      <c r="K187" s="10"/>
      <c r="L187" s="10" t="s">
        <v>151</v>
      </c>
      <c r="M187" s="11">
        <f t="shared" si="5"/>
        <v>0</v>
      </c>
    </row>
    <row r="188" spans="1:13" ht="26.4" x14ac:dyDescent="0.3">
      <c r="A188" s="10" t="s">
        <v>224</v>
      </c>
      <c r="B188" s="14">
        <v>46174</v>
      </c>
      <c r="C188" s="11">
        <f t="shared" si="4"/>
        <v>202606</v>
      </c>
      <c r="D188" s="15">
        <v>3</v>
      </c>
      <c r="E188" s="10" t="s">
        <v>136</v>
      </c>
      <c r="F188" s="13" t="str">
        <f>IFERROR(INDEX(tbl_pontos[Categoria],MATCH(E188,tbl_pontos[ID_Ponto],0)),"")</f>
        <v>5. Perdas de granulado e energia (extra)</v>
      </c>
      <c r="G188" s="10" t="s">
        <v>166</v>
      </c>
      <c r="H188" s="10" t="s">
        <v>171</v>
      </c>
      <c r="I188" s="10" t="s">
        <v>172</v>
      </c>
      <c r="J188" s="10"/>
      <c r="K188" s="10" t="s">
        <v>229</v>
      </c>
      <c r="L188" s="10" t="s">
        <v>151</v>
      </c>
      <c r="M188" s="11">
        <f t="shared" si="5"/>
        <v>1</v>
      </c>
    </row>
    <row r="189" spans="1:13" ht="26.4" x14ac:dyDescent="0.3">
      <c r="A189" s="10" t="s">
        <v>224</v>
      </c>
      <c r="B189" s="14">
        <v>46174</v>
      </c>
      <c r="C189" s="11">
        <f t="shared" si="4"/>
        <v>202606</v>
      </c>
      <c r="D189" s="15">
        <v>1</v>
      </c>
      <c r="E189" s="10" t="s">
        <v>148</v>
      </c>
      <c r="F189" s="13" t="str">
        <f>IFERROR(INDEX(tbl_pontos[Categoria],MATCH(E189,tbl_pontos[ID_Ponto],0)),"")</f>
        <v>5. Perdas de granulado e energia (extra)</v>
      </c>
      <c r="G189" s="10" t="s">
        <v>165</v>
      </c>
      <c r="H189" s="10"/>
      <c r="I189" s="10"/>
      <c r="J189" s="10"/>
      <c r="K189" s="10"/>
      <c r="L189" s="10" t="s">
        <v>151</v>
      </c>
      <c r="M189" s="11">
        <f t="shared" si="5"/>
        <v>0</v>
      </c>
    </row>
    <row r="190" spans="1:13" ht="26.4" x14ac:dyDescent="0.3">
      <c r="A190" s="10" t="s">
        <v>230</v>
      </c>
      <c r="B190" s="14">
        <v>46181</v>
      </c>
      <c r="C190" s="11">
        <f t="shared" si="4"/>
        <v>202606</v>
      </c>
      <c r="D190" s="15">
        <v>3</v>
      </c>
      <c r="E190" s="10" t="s">
        <v>77</v>
      </c>
      <c r="F190" s="13" t="str">
        <f>IFERROR(INDEX(tbl_pontos[Categoria],MATCH(E190,tbl_pontos[ID_Ponto],0)),"")</f>
        <v>1. Gestão de Produtos Químicos</v>
      </c>
      <c r="G190" s="10" t="s">
        <v>166</v>
      </c>
      <c r="H190" s="10" t="s">
        <v>225</v>
      </c>
      <c r="I190" s="10" t="s">
        <v>168</v>
      </c>
      <c r="J190" s="10"/>
      <c r="K190" s="10" t="s">
        <v>231</v>
      </c>
      <c r="L190" s="10" t="s">
        <v>84</v>
      </c>
      <c r="M190" s="11">
        <f t="shared" si="5"/>
        <v>1</v>
      </c>
    </row>
    <row r="191" spans="1:13" ht="26.4" x14ac:dyDescent="0.3">
      <c r="A191" s="10" t="s">
        <v>230</v>
      </c>
      <c r="B191" s="14">
        <v>46181</v>
      </c>
      <c r="C191" s="11">
        <f t="shared" si="4"/>
        <v>202606</v>
      </c>
      <c r="D191" s="15">
        <v>2</v>
      </c>
      <c r="E191" s="10" t="s">
        <v>88</v>
      </c>
      <c r="F191" s="13" t="str">
        <f>IFERROR(INDEX(tbl_pontos[Categoria],MATCH(E191,tbl_pontos[ID_Ponto],0)),"")</f>
        <v>1. Gestão de Produtos Químicos</v>
      </c>
      <c r="G191" s="10" t="s">
        <v>165</v>
      </c>
      <c r="H191" s="10"/>
      <c r="I191" s="10"/>
      <c r="J191" s="10"/>
      <c r="K191" s="10"/>
      <c r="L191" s="10" t="s">
        <v>84</v>
      </c>
      <c r="M191" s="11">
        <f t="shared" si="5"/>
        <v>0</v>
      </c>
    </row>
    <row r="192" spans="1:13" ht="26.4" x14ac:dyDescent="0.3">
      <c r="A192" s="10" t="s">
        <v>230</v>
      </c>
      <c r="B192" s="14">
        <v>46181</v>
      </c>
      <c r="C192" s="11">
        <f t="shared" si="4"/>
        <v>202606</v>
      </c>
      <c r="D192" s="15">
        <v>2</v>
      </c>
      <c r="E192" s="10" t="s">
        <v>95</v>
      </c>
      <c r="F192" s="13" t="str">
        <f>IFERROR(INDEX(tbl_pontos[Categoria],MATCH(E192,tbl_pontos[ID_Ponto],0)),"")</f>
        <v>2. Eficiência e Manutenção</v>
      </c>
      <c r="G192" s="10" t="s">
        <v>165</v>
      </c>
      <c r="H192" s="10"/>
      <c r="I192" s="10"/>
      <c r="J192" s="10"/>
      <c r="K192" s="10"/>
      <c r="L192" s="10" t="s">
        <v>84</v>
      </c>
      <c r="M192" s="11">
        <f t="shared" si="5"/>
        <v>0</v>
      </c>
    </row>
    <row r="193" spans="1:13" ht="26.4" x14ac:dyDescent="0.3">
      <c r="A193" s="10" t="s">
        <v>230</v>
      </c>
      <c r="B193" s="14">
        <v>46181</v>
      </c>
      <c r="C193" s="11">
        <f t="shared" si="4"/>
        <v>202606</v>
      </c>
      <c r="D193" s="15">
        <v>1</v>
      </c>
      <c r="E193" s="10" t="s">
        <v>103</v>
      </c>
      <c r="F193" s="13" t="str">
        <f>IFERROR(INDEX(tbl_pontos[Categoria],MATCH(E193,tbl_pontos[ID_Ponto],0)),"")</f>
        <v>2. Eficiência e Manutenção</v>
      </c>
      <c r="G193" s="10" t="s">
        <v>165</v>
      </c>
      <c r="H193" s="10"/>
      <c r="I193" s="10"/>
      <c r="J193" s="10"/>
      <c r="K193" s="10"/>
      <c r="L193" s="10" t="s">
        <v>84</v>
      </c>
      <c r="M193" s="11">
        <f t="shared" si="5"/>
        <v>0</v>
      </c>
    </row>
    <row r="194" spans="1:13" ht="26.4" x14ac:dyDescent="0.3">
      <c r="A194" s="10" t="s">
        <v>230</v>
      </c>
      <c r="B194" s="14">
        <v>46181</v>
      </c>
      <c r="C194" s="11">
        <f t="shared" ref="C194:C257" si="6">YEAR(B194)*100+MONTH(B194)</f>
        <v>202606</v>
      </c>
      <c r="D194" s="15">
        <v>1</v>
      </c>
      <c r="E194" s="10" t="s">
        <v>124</v>
      </c>
      <c r="F194" s="13" t="str">
        <f>IFERROR(INDEX(tbl_pontos[Categoria],MATCH(E194,tbl_pontos[ID_Ponto],0)),"")</f>
        <v>4. Gestão de Resíduos</v>
      </c>
      <c r="G194" s="10" t="s">
        <v>165</v>
      </c>
      <c r="H194" s="10"/>
      <c r="I194" s="10"/>
      <c r="J194" s="10"/>
      <c r="K194" s="10"/>
      <c r="L194" s="10" t="s">
        <v>84</v>
      </c>
      <c r="M194" s="11">
        <f t="shared" ref="M194:M257" si="7">IF(G194="Não conforme",1,0)</f>
        <v>0</v>
      </c>
    </row>
    <row r="195" spans="1:13" ht="26.4" x14ac:dyDescent="0.3">
      <c r="A195" s="10" t="s">
        <v>230</v>
      </c>
      <c r="B195" s="14">
        <v>46181</v>
      </c>
      <c r="C195" s="11">
        <f t="shared" si="6"/>
        <v>202606</v>
      </c>
      <c r="D195" s="15">
        <v>1</v>
      </c>
      <c r="E195" s="10" t="s">
        <v>131</v>
      </c>
      <c r="F195" s="13" t="str">
        <f>IFERROR(INDEX(tbl_pontos[Categoria],MATCH(E195,tbl_pontos[ID_Ponto],0)),"")</f>
        <v>4. Gestão de Resíduos</v>
      </c>
      <c r="G195" s="10" t="s">
        <v>165</v>
      </c>
      <c r="H195" s="10"/>
      <c r="I195" s="10"/>
      <c r="J195" s="10"/>
      <c r="K195" s="10"/>
      <c r="L195" s="10" t="s">
        <v>84</v>
      </c>
      <c r="M195" s="11">
        <f t="shared" si="7"/>
        <v>0</v>
      </c>
    </row>
    <row r="196" spans="1:13" ht="26.4" x14ac:dyDescent="0.3">
      <c r="A196" s="10" t="s">
        <v>230</v>
      </c>
      <c r="B196" s="14">
        <v>46181</v>
      </c>
      <c r="C196" s="11">
        <f t="shared" si="6"/>
        <v>202606</v>
      </c>
      <c r="D196" s="15">
        <v>1</v>
      </c>
      <c r="E196" s="10" t="s">
        <v>136</v>
      </c>
      <c r="F196" s="13" t="str">
        <f>IFERROR(INDEX(tbl_pontos[Categoria],MATCH(E196,tbl_pontos[ID_Ponto],0)),"")</f>
        <v>5. Perdas de granulado e energia (extra)</v>
      </c>
      <c r="G196" s="10" t="s">
        <v>166</v>
      </c>
      <c r="H196" s="10" t="s">
        <v>171</v>
      </c>
      <c r="I196" s="10" t="s">
        <v>172</v>
      </c>
      <c r="J196" s="10"/>
      <c r="K196" s="10" t="s">
        <v>232</v>
      </c>
      <c r="L196" s="10" t="s">
        <v>84</v>
      </c>
      <c r="M196" s="11">
        <f t="shared" si="7"/>
        <v>1</v>
      </c>
    </row>
    <row r="197" spans="1:13" ht="26.4" x14ac:dyDescent="0.3">
      <c r="A197" s="10" t="s">
        <v>230</v>
      </c>
      <c r="B197" s="14">
        <v>46181</v>
      </c>
      <c r="C197" s="11">
        <f t="shared" si="6"/>
        <v>202606</v>
      </c>
      <c r="D197" s="15">
        <v>1</v>
      </c>
      <c r="E197" s="10" t="s">
        <v>148</v>
      </c>
      <c r="F197" s="13" t="str">
        <f>IFERROR(INDEX(tbl_pontos[Categoria],MATCH(E197,tbl_pontos[ID_Ponto],0)),"")</f>
        <v>5. Perdas de granulado e energia (extra)</v>
      </c>
      <c r="G197" s="10" t="s">
        <v>165</v>
      </c>
      <c r="H197" s="10"/>
      <c r="I197" s="10"/>
      <c r="J197" s="10"/>
      <c r="K197" s="10"/>
      <c r="L197" s="10" t="s">
        <v>84</v>
      </c>
      <c r="M197" s="11">
        <f t="shared" si="7"/>
        <v>0</v>
      </c>
    </row>
    <row r="198" spans="1:13" ht="26.4" x14ac:dyDescent="0.3">
      <c r="A198" s="10" t="s">
        <v>233</v>
      </c>
      <c r="B198" s="14">
        <v>46188</v>
      </c>
      <c r="C198" s="11">
        <f t="shared" si="6"/>
        <v>202606</v>
      </c>
      <c r="D198" s="15">
        <v>2</v>
      </c>
      <c r="E198" s="10" t="s">
        <v>77</v>
      </c>
      <c r="F198" s="13" t="str">
        <f>IFERROR(INDEX(tbl_pontos[Categoria],MATCH(E198,tbl_pontos[ID_Ponto],0)),"")</f>
        <v>1. Gestão de Produtos Químicos</v>
      </c>
      <c r="G198" s="10" t="s">
        <v>165</v>
      </c>
      <c r="H198" s="10"/>
      <c r="I198" s="10"/>
      <c r="J198" s="10"/>
      <c r="K198" s="10"/>
      <c r="L198" s="10" t="s">
        <v>151</v>
      </c>
      <c r="M198" s="11">
        <f t="shared" si="7"/>
        <v>0</v>
      </c>
    </row>
    <row r="199" spans="1:13" ht="26.4" x14ac:dyDescent="0.3">
      <c r="A199" s="10" t="s">
        <v>233</v>
      </c>
      <c r="B199" s="14">
        <v>46188</v>
      </c>
      <c r="C199" s="11">
        <f t="shared" si="6"/>
        <v>202606</v>
      </c>
      <c r="D199" s="15">
        <v>2</v>
      </c>
      <c r="E199" s="10" t="s">
        <v>88</v>
      </c>
      <c r="F199" s="13" t="str">
        <f>IFERROR(INDEX(tbl_pontos[Categoria],MATCH(E199,tbl_pontos[ID_Ponto],0)),"")</f>
        <v>1. Gestão de Produtos Químicos</v>
      </c>
      <c r="G199" s="10" t="s">
        <v>165</v>
      </c>
      <c r="H199" s="10"/>
      <c r="I199" s="10"/>
      <c r="J199" s="10"/>
      <c r="K199" s="10"/>
      <c r="L199" s="10" t="s">
        <v>151</v>
      </c>
      <c r="M199" s="11">
        <f t="shared" si="7"/>
        <v>0</v>
      </c>
    </row>
    <row r="200" spans="1:13" ht="26.4" x14ac:dyDescent="0.3">
      <c r="A200" s="10" t="s">
        <v>233</v>
      </c>
      <c r="B200" s="14">
        <v>46188</v>
      </c>
      <c r="C200" s="11">
        <f t="shared" si="6"/>
        <v>202606</v>
      </c>
      <c r="D200" s="15">
        <v>1</v>
      </c>
      <c r="E200" s="10" t="s">
        <v>95</v>
      </c>
      <c r="F200" s="13" t="str">
        <f>IFERROR(INDEX(tbl_pontos[Categoria],MATCH(E200,tbl_pontos[ID_Ponto],0)),"")</f>
        <v>2. Eficiência e Manutenção</v>
      </c>
      <c r="G200" s="10" t="s">
        <v>166</v>
      </c>
      <c r="H200" s="10" t="s">
        <v>178</v>
      </c>
      <c r="I200" s="10" t="s">
        <v>172</v>
      </c>
      <c r="J200" s="10"/>
      <c r="K200" s="10" t="s">
        <v>234</v>
      </c>
      <c r="L200" s="10" t="s">
        <v>151</v>
      </c>
      <c r="M200" s="11">
        <f t="shared" si="7"/>
        <v>1</v>
      </c>
    </row>
    <row r="201" spans="1:13" ht="26.4" x14ac:dyDescent="0.3">
      <c r="A201" s="10" t="s">
        <v>233</v>
      </c>
      <c r="B201" s="14">
        <v>46188</v>
      </c>
      <c r="C201" s="11">
        <f t="shared" si="6"/>
        <v>202606</v>
      </c>
      <c r="D201" s="15">
        <v>2</v>
      </c>
      <c r="E201" s="10" t="s">
        <v>103</v>
      </c>
      <c r="F201" s="13" t="str">
        <f>IFERROR(INDEX(tbl_pontos[Categoria],MATCH(E201,tbl_pontos[ID_Ponto],0)),"")</f>
        <v>2. Eficiência e Manutenção</v>
      </c>
      <c r="G201" s="10" t="s">
        <v>165</v>
      </c>
      <c r="H201" s="10"/>
      <c r="I201" s="10"/>
      <c r="J201" s="10"/>
      <c r="K201" s="10"/>
      <c r="L201" s="10" t="s">
        <v>151</v>
      </c>
      <c r="M201" s="11">
        <f t="shared" si="7"/>
        <v>0</v>
      </c>
    </row>
    <row r="202" spans="1:13" ht="26.4" x14ac:dyDescent="0.3">
      <c r="A202" s="10" t="s">
        <v>233</v>
      </c>
      <c r="B202" s="14">
        <v>46188</v>
      </c>
      <c r="C202" s="11">
        <f t="shared" si="6"/>
        <v>202606</v>
      </c>
      <c r="D202" s="15">
        <v>3</v>
      </c>
      <c r="E202" s="10" t="s">
        <v>124</v>
      </c>
      <c r="F202" s="13" t="str">
        <f>IFERROR(INDEX(tbl_pontos[Categoria],MATCH(E202,tbl_pontos[ID_Ponto],0)),"")</f>
        <v>4. Gestão de Resíduos</v>
      </c>
      <c r="G202" s="10" t="s">
        <v>165</v>
      </c>
      <c r="H202" s="10"/>
      <c r="I202" s="10"/>
      <c r="J202" s="10"/>
      <c r="K202" s="10"/>
      <c r="L202" s="10" t="s">
        <v>151</v>
      </c>
      <c r="M202" s="11">
        <f t="shared" si="7"/>
        <v>0</v>
      </c>
    </row>
    <row r="203" spans="1:13" ht="26.4" x14ac:dyDescent="0.3">
      <c r="A203" s="10" t="s">
        <v>233</v>
      </c>
      <c r="B203" s="14">
        <v>46188</v>
      </c>
      <c r="C203" s="11">
        <f t="shared" si="6"/>
        <v>202606</v>
      </c>
      <c r="D203" s="15">
        <v>2</v>
      </c>
      <c r="E203" s="10" t="s">
        <v>131</v>
      </c>
      <c r="F203" s="13" t="str">
        <f>IFERROR(INDEX(tbl_pontos[Categoria],MATCH(E203,tbl_pontos[ID_Ponto],0)),"")</f>
        <v>4. Gestão de Resíduos</v>
      </c>
      <c r="G203" s="10" t="s">
        <v>165</v>
      </c>
      <c r="H203" s="10"/>
      <c r="I203" s="10"/>
      <c r="J203" s="10"/>
      <c r="K203" s="10"/>
      <c r="L203" s="10" t="s">
        <v>151</v>
      </c>
      <c r="M203" s="11">
        <f t="shared" si="7"/>
        <v>0</v>
      </c>
    </row>
    <row r="204" spans="1:13" ht="26.4" x14ac:dyDescent="0.3">
      <c r="A204" s="10" t="s">
        <v>233</v>
      </c>
      <c r="B204" s="14">
        <v>46188</v>
      </c>
      <c r="C204" s="11">
        <f t="shared" si="6"/>
        <v>202606</v>
      </c>
      <c r="D204" s="15">
        <v>2</v>
      </c>
      <c r="E204" s="10" t="s">
        <v>136</v>
      </c>
      <c r="F204" s="13" t="str">
        <f>IFERROR(INDEX(tbl_pontos[Categoria],MATCH(E204,tbl_pontos[ID_Ponto],0)),"")</f>
        <v>5. Perdas de granulado e energia (extra)</v>
      </c>
      <c r="G204" s="10" t="s">
        <v>166</v>
      </c>
      <c r="H204" s="10" t="s">
        <v>171</v>
      </c>
      <c r="I204" s="10" t="s">
        <v>172</v>
      </c>
      <c r="J204" s="10"/>
      <c r="K204" s="10" t="s">
        <v>235</v>
      </c>
      <c r="L204" s="10" t="s">
        <v>151</v>
      </c>
      <c r="M204" s="11">
        <f t="shared" si="7"/>
        <v>1</v>
      </c>
    </row>
    <row r="205" spans="1:13" ht="26.4" x14ac:dyDescent="0.3">
      <c r="A205" s="10" t="s">
        <v>233</v>
      </c>
      <c r="B205" s="14">
        <v>46188</v>
      </c>
      <c r="C205" s="11">
        <f t="shared" si="6"/>
        <v>202606</v>
      </c>
      <c r="D205" s="15">
        <v>2</v>
      </c>
      <c r="E205" s="10" t="s">
        <v>148</v>
      </c>
      <c r="F205" s="13" t="str">
        <f>IFERROR(INDEX(tbl_pontos[Categoria],MATCH(E205,tbl_pontos[ID_Ponto],0)),"")</f>
        <v>5. Perdas de granulado e energia (extra)</v>
      </c>
      <c r="G205" s="10" t="s">
        <v>165</v>
      </c>
      <c r="H205" s="10"/>
      <c r="I205" s="10"/>
      <c r="J205" s="10"/>
      <c r="K205" s="10"/>
      <c r="L205" s="10" t="s">
        <v>151</v>
      </c>
      <c r="M205" s="11">
        <f t="shared" si="7"/>
        <v>0</v>
      </c>
    </row>
    <row r="206" spans="1:13" ht="26.4" x14ac:dyDescent="0.3">
      <c r="A206" s="10" t="s">
        <v>236</v>
      </c>
      <c r="B206" s="14">
        <v>46195</v>
      </c>
      <c r="C206" s="11">
        <f t="shared" si="6"/>
        <v>202606</v>
      </c>
      <c r="D206" s="15">
        <v>1</v>
      </c>
      <c r="E206" s="10" t="s">
        <v>77</v>
      </c>
      <c r="F206" s="13" t="str">
        <f>IFERROR(INDEX(tbl_pontos[Categoria],MATCH(E206,tbl_pontos[ID_Ponto],0)),"")</f>
        <v>1. Gestão de Produtos Químicos</v>
      </c>
      <c r="G206" s="10" t="s">
        <v>166</v>
      </c>
      <c r="H206" s="10" t="s">
        <v>225</v>
      </c>
      <c r="I206" s="10" t="s">
        <v>168</v>
      </c>
      <c r="J206" s="10"/>
      <c r="K206" s="10" t="s">
        <v>237</v>
      </c>
      <c r="L206" s="10" t="s">
        <v>84</v>
      </c>
      <c r="M206" s="11">
        <f t="shared" si="7"/>
        <v>1</v>
      </c>
    </row>
    <row r="207" spans="1:13" ht="26.4" x14ac:dyDescent="0.3">
      <c r="A207" s="10" t="s">
        <v>236</v>
      </c>
      <c r="B207" s="14">
        <v>46195</v>
      </c>
      <c r="C207" s="11">
        <f t="shared" si="6"/>
        <v>202606</v>
      </c>
      <c r="D207" s="15">
        <v>2</v>
      </c>
      <c r="E207" s="10" t="s">
        <v>88</v>
      </c>
      <c r="F207" s="13" t="str">
        <f>IFERROR(INDEX(tbl_pontos[Categoria],MATCH(E207,tbl_pontos[ID_Ponto],0)),"")</f>
        <v>1. Gestão de Produtos Químicos</v>
      </c>
      <c r="G207" s="10" t="s">
        <v>165</v>
      </c>
      <c r="H207" s="10"/>
      <c r="I207" s="10"/>
      <c r="J207" s="10"/>
      <c r="K207" s="10"/>
      <c r="L207" s="10" t="s">
        <v>84</v>
      </c>
      <c r="M207" s="11">
        <f t="shared" si="7"/>
        <v>0</v>
      </c>
    </row>
    <row r="208" spans="1:13" ht="26.4" x14ac:dyDescent="0.3">
      <c r="A208" s="10" t="s">
        <v>236</v>
      </c>
      <c r="B208" s="14">
        <v>46195</v>
      </c>
      <c r="C208" s="11">
        <f t="shared" si="6"/>
        <v>202606</v>
      </c>
      <c r="D208" s="15">
        <v>1</v>
      </c>
      <c r="E208" s="10" t="s">
        <v>95</v>
      </c>
      <c r="F208" s="13" t="str">
        <f>IFERROR(INDEX(tbl_pontos[Categoria],MATCH(E208,tbl_pontos[ID_Ponto],0)),"")</f>
        <v>2. Eficiência e Manutenção</v>
      </c>
      <c r="G208" s="10" t="s">
        <v>165</v>
      </c>
      <c r="H208" s="10"/>
      <c r="I208" s="10"/>
      <c r="J208" s="10"/>
      <c r="K208" s="10"/>
      <c r="L208" s="10" t="s">
        <v>84</v>
      </c>
      <c r="M208" s="11">
        <f t="shared" si="7"/>
        <v>0</v>
      </c>
    </row>
    <row r="209" spans="1:13" ht="26.4" x14ac:dyDescent="0.3">
      <c r="A209" s="10" t="s">
        <v>236</v>
      </c>
      <c r="B209" s="14">
        <v>46195</v>
      </c>
      <c r="C209" s="11">
        <f t="shared" si="6"/>
        <v>202606</v>
      </c>
      <c r="D209" s="15">
        <v>1</v>
      </c>
      <c r="E209" s="10" t="s">
        <v>103</v>
      </c>
      <c r="F209" s="13" t="str">
        <f>IFERROR(INDEX(tbl_pontos[Categoria],MATCH(E209,tbl_pontos[ID_Ponto],0)),"")</f>
        <v>2. Eficiência e Manutenção</v>
      </c>
      <c r="G209" s="10" t="s">
        <v>166</v>
      </c>
      <c r="H209" s="10" t="s">
        <v>238</v>
      </c>
      <c r="I209" s="10" t="s">
        <v>172</v>
      </c>
      <c r="J209" s="10"/>
      <c r="K209" s="10" t="s">
        <v>239</v>
      </c>
      <c r="L209" s="10" t="s">
        <v>84</v>
      </c>
      <c r="M209" s="11">
        <f t="shared" si="7"/>
        <v>1</v>
      </c>
    </row>
    <row r="210" spans="1:13" ht="26.4" x14ac:dyDescent="0.3">
      <c r="A210" s="10" t="s">
        <v>236</v>
      </c>
      <c r="B210" s="14">
        <v>46195</v>
      </c>
      <c r="C210" s="11">
        <f t="shared" si="6"/>
        <v>202606</v>
      </c>
      <c r="D210" s="15">
        <v>1</v>
      </c>
      <c r="E210" s="10" t="s">
        <v>124</v>
      </c>
      <c r="F210" s="13" t="str">
        <f>IFERROR(INDEX(tbl_pontos[Categoria],MATCH(E210,tbl_pontos[ID_Ponto],0)),"")</f>
        <v>4. Gestão de Resíduos</v>
      </c>
      <c r="G210" s="10" t="s">
        <v>165</v>
      </c>
      <c r="H210" s="10"/>
      <c r="I210" s="10"/>
      <c r="J210" s="10"/>
      <c r="K210" s="10"/>
      <c r="L210" s="10" t="s">
        <v>84</v>
      </c>
      <c r="M210" s="11">
        <f t="shared" si="7"/>
        <v>0</v>
      </c>
    </row>
    <row r="211" spans="1:13" ht="26.4" x14ac:dyDescent="0.3">
      <c r="A211" s="10" t="s">
        <v>236</v>
      </c>
      <c r="B211" s="14">
        <v>46195</v>
      </c>
      <c r="C211" s="11">
        <f t="shared" si="6"/>
        <v>202606</v>
      </c>
      <c r="D211" s="15">
        <v>2</v>
      </c>
      <c r="E211" s="10" t="s">
        <v>131</v>
      </c>
      <c r="F211" s="13" t="str">
        <f>IFERROR(INDEX(tbl_pontos[Categoria],MATCH(E211,tbl_pontos[ID_Ponto],0)),"")</f>
        <v>4. Gestão de Resíduos</v>
      </c>
      <c r="G211" s="10" t="s">
        <v>165</v>
      </c>
      <c r="H211" s="10"/>
      <c r="I211" s="10"/>
      <c r="J211" s="10"/>
      <c r="K211" s="10"/>
      <c r="L211" s="10" t="s">
        <v>84</v>
      </c>
      <c r="M211" s="11">
        <f t="shared" si="7"/>
        <v>0</v>
      </c>
    </row>
    <row r="212" spans="1:13" ht="26.4" x14ac:dyDescent="0.3">
      <c r="A212" s="10" t="s">
        <v>236</v>
      </c>
      <c r="B212" s="14">
        <v>46195</v>
      </c>
      <c r="C212" s="11">
        <f t="shared" si="6"/>
        <v>202606</v>
      </c>
      <c r="D212" s="15">
        <v>1</v>
      </c>
      <c r="E212" s="10" t="s">
        <v>136</v>
      </c>
      <c r="F212" s="13" t="str">
        <f>IFERROR(INDEX(tbl_pontos[Categoria],MATCH(E212,tbl_pontos[ID_Ponto],0)),"")</f>
        <v>5. Perdas de granulado e energia (extra)</v>
      </c>
      <c r="G212" s="10" t="s">
        <v>165</v>
      </c>
      <c r="H212" s="10"/>
      <c r="I212" s="10"/>
      <c r="J212" s="10"/>
      <c r="K212" s="10"/>
      <c r="L212" s="10" t="s">
        <v>84</v>
      </c>
      <c r="M212" s="11">
        <f t="shared" si="7"/>
        <v>0</v>
      </c>
    </row>
    <row r="213" spans="1:13" ht="26.4" x14ac:dyDescent="0.3">
      <c r="A213" s="10" t="s">
        <v>236</v>
      </c>
      <c r="B213" s="14">
        <v>46195</v>
      </c>
      <c r="C213" s="11">
        <f t="shared" si="6"/>
        <v>202606</v>
      </c>
      <c r="D213" s="15">
        <v>1</v>
      </c>
      <c r="E213" s="10" t="s">
        <v>148</v>
      </c>
      <c r="F213" s="13" t="str">
        <f>IFERROR(INDEX(tbl_pontos[Categoria],MATCH(E213,tbl_pontos[ID_Ponto],0)),"")</f>
        <v>5. Perdas de granulado e energia (extra)</v>
      </c>
      <c r="G213" s="10" t="s">
        <v>165</v>
      </c>
      <c r="H213" s="10"/>
      <c r="I213" s="10"/>
      <c r="J213" s="10"/>
      <c r="K213" s="10"/>
      <c r="L213" s="10" t="s">
        <v>84</v>
      </c>
      <c r="M213" s="11">
        <f t="shared" si="7"/>
        <v>0</v>
      </c>
    </row>
    <row r="214" spans="1:13" ht="26.4" x14ac:dyDescent="0.3">
      <c r="A214" s="10" t="s">
        <v>240</v>
      </c>
      <c r="B214" s="14">
        <v>46202</v>
      </c>
      <c r="C214" s="11">
        <f t="shared" si="6"/>
        <v>202606</v>
      </c>
      <c r="D214" s="15">
        <v>1</v>
      </c>
      <c r="E214" s="10" t="s">
        <v>77</v>
      </c>
      <c r="F214" s="13" t="str">
        <f>IFERROR(INDEX(tbl_pontos[Categoria],MATCH(E214,tbl_pontos[ID_Ponto],0)),"")</f>
        <v>1. Gestão de Produtos Químicos</v>
      </c>
      <c r="G214" s="10" t="s">
        <v>165</v>
      </c>
      <c r="H214" s="10"/>
      <c r="I214" s="10"/>
      <c r="J214" s="10"/>
      <c r="K214" s="10"/>
      <c r="L214" s="10" t="s">
        <v>151</v>
      </c>
      <c r="M214" s="11">
        <f t="shared" si="7"/>
        <v>0</v>
      </c>
    </row>
    <row r="215" spans="1:13" ht="26.4" x14ac:dyDescent="0.3">
      <c r="A215" s="10" t="s">
        <v>240</v>
      </c>
      <c r="B215" s="14">
        <v>46202</v>
      </c>
      <c r="C215" s="11">
        <f t="shared" si="6"/>
        <v>202606</v>
      </c>
      <c r="D215" s="15">
        <v>1</v>
      </c>
      <c r="E215" s="10" t="s">
        <v>88</v>
      </c>
      <c r="F215" s="13" t="str">
        <f>IFERROR(INDEX(tbl_pontos[Categoria],MATCH(E215,tbl_pontos[ID_Ponto],0)),"")</f>
        <v>1. Gestão de Produtos Químicos</v>
      </c>
      <c r="G215" s="10" t="s">
        <v>166</v>
      </c>
      <c r="H215" s="10" t="s">
        <v>175</v>
      </c>
      <c r="I215" s="10" t="s">
        <v>172</v>
      </c>
      <c r="J215" s="10"/>
      <c r="K215" s="10" t="s">
        <v>241</v>
      </c>
      <c r="L215" s="10" t="s">
        <v>151</v>
      </c>
      <c r="M215" s="11">
        <f t="shared" si="7"/>
        <v>1</v>
      </c>
    </row>
    <row r="216" spans="1:13" ht="26.4" x14ac:dyDescent="0.3">
      <c r="A216" s="10" t="s">
        <v>240</v>
      </c>
      <c r="B216" s="14">
        <v>46202</v>
      </c>
      <c r="C216" s="11">
        <f t="shared" si="6"/>
        <v>202606</v>
      </c>
      <c r="D216" s="15">
        <v>1</v>
      </c>
      <c r="E216" s="10" t="s">
        <v>95</v>
      </c>
      <c r="F216" s="13" t="str">
        <f>IFERROR(INDEX(tbl_pontos[Categoria],MATCH(E216,tbl_pontos[ID_Ponto],0)),"")</f>
        <v>2. Eficiência e Manutenção</v>
      </c>
      <c r="G216" s="10" t="s">
        <v>165</v>
      </c>
      <c r="H216" s="10"/>
      <c r="I216" s="10"/>
      <c r="J216" s="10"/>
      <c r="K216" s="10"/>
      <c r="L216" s="10" t="s">
        <v>151</v>
      </c>
      <c r="M216" s="11">
        <f t="shared" si="7"/>
        <v>0</v>
      </c>
    </row>
    <row r="217" spans="1:13" ht="26.4" x14ac:dyDescent="0.3">
      <c r="A217" s="10" t="s">
        <v>240</v>
      </c>
      <c r="B217" s="14">
        <v>46202</v>
      </c>
      <c r="C217" s="11">
        <f t="shared" si="6"/>
        <v>202606</v>
      </c>
      <c r="D217" s="15">
        <v>2</v>
      </c>
      <c r="E217" s="10" t="s">
        <v>103</v>
      </c>
      <c r="F217" s="13" t="str">
        <f>IFERROR(INDEX(tbl_pontos[Categoria],MATCH(E217,tbl_pontos[ID_Ponto],0)),"")</f>
        <v>2. Eficiência e Manutenção</v>
      </c>
      <c r="G217" s="10" t="s">
        <v>165</v>
      </c>
      <c r="H217" s="10"/>
      <c r="I217" s="10"/>
      <c r="J217" s="10"/>
      <c r="K217" s="10"/>
      <c r="L217" s="10" t="s">
        <v>151</v>
      </c>
      <c r="M217" s="11">
        <f t="shared" si="7"/>
        <v>0</v>
      </c>
    </row>
    <row r="218" spans="1:13" ht="26.4" x14ac:dyDescent="0.3">
      <c r="A218" s="10" t="s">
        <v>240</v>
      </c>
      <c r="B218" s="14">
        <v>46202</v>
      </c>
      <c r="C218" s="11">
        <f t="shared" si="6"/>
        <v>202606</v>
      </c>
      <c r="D218" s="15">
        <v>1</v>
      </c>
      <c r="E218" s="10" t="s">
        <v>124</v>
      </c>
      <c r="F218" s="13" t="str">
        <f>IFERROR(INDEX(tbl_pontos[Categoria],MATCH(E218,tbl_pontos[ID_Ponto],0)),"")</f>
        <v>4. Gestão de Resíduos</v>
      </c>
      <c r="G218" s="10" t="s">
        <v>165</v>
      </c>
      <c r="H218" s="10"/>
      <c r="I218" s="10"/>
      <c r="J218" s="10"/>
      <c r="K218" s="10"/>
      <c r="L218" s="10" t="s">
        <v>151</v>
      </c>
      <c r="M218" s="11">
        <f t="shared" si="7"/>
        <v>0</v>
      </c>
    </row>
    <row r="219" spans="1:13" ht="26.4" x14ac:dyDescent="0.3">
      <c r="A219" s="10" t="s">
        <v>240</v>
      </c>
      <c r="B219" s="14">
        <v>46202</v>
      </c>
      <c r="C219" s="11">
        <f t="shared" si="6"/>
        <v>202606</v>
      </c>
      <c r="D219" s="15">
        <v>1</v>
      </c>
      <c r="E219" s="10" t="s">
        <v>131</v>
      </c>
      <c r="F219" s="13" t="str">
        <f>IFERROR(INDEX(tbl_pontos[Categoria],MATCH(E219,tbl_pontos[ID_Ponto],0)),"")</f>
        <v>4. Gestão de Resíduos</v>
      </c>
      <c r="G219" s="10" t="s">
        <v>165</v>
      </c>
      <c r="H219" s="10"/>
      <c r="I219" s="10"/>
      <c r="J219" s="10"/>
      <c r="K219" s="10"/>
      <c r="L219" s="10" t="s">
        <v>151</v>
      </c>
      <c r="M219" s="11">
        <f t="shared" si="7"/>
        <v>0</v>
      </c>
    </row>
    <row r="220" spans="1:13" ht="26.4" x14ac:dyDescent="0.3">
      <c r="A220" s="10" t="s">
        <v>240</v>
      </c>
      <c r="B220" s="14">
        <v>46202</v>
      </c>
      <c r="C220" s="11">
        <f t="shared" si="6"/>
        <v>202606</v>
      </c>
      <c r="D220" s="15">
        <v>1</v>
      </c>
      <c r="E220" s="10" t="s">
        <v>136</v>
      </c>
      <c r="F220" s="13" t="str">
        <f>IFERROR(INDEX(tbl_pontos[Categoria],MATCH(E220,tbl_pontos[ID_Ponto],0)),"")</f>
        <v>5. Perdas de granulado e energia (extra)</v>
      </c>
      <c r="G220" s="10" t="s">
        <v>166</v>
      </c>
      <c r="H220" s="10" t="s">
        <v>171</v>
      </c>
      <c r="I220" s="10" t="s">
        <v>172</v>
      </c>
      <c r="J220" s="10"/>
      <c r="K220" s="10" t="s">
        <v>242</v>
      </c>
      <c r="L220" s="10" t="s">
        <v>151</v>
      </c>
      <c r="M220" s="11">
        <f t="shared" si="7"/>
        <v>1</v>
      </c>
    </row>
    <row r="221" spans="1:13" ht="26.4" x14ac:dyDescent="0.3">
      <c r="A221" s="10" t="s">
        <v>240</v>
      </c>
      <c r="B221" s="14">
        <v>46202</v>
      </c>
      <c r="C221" s="11">
        <f t="shared" si="6"/>
        <v>202606</v>
      </c>
      <c r="D221" s="15">
        <v>1</v>
      </c>
      <c r="E221" s="10" t="s">
        <v>148</v>
      </c>
      <c r="F221" s="13" t="str">
        <f>IFERROR(INDEX(tbl_pontos[Categoria],MATCH(E221,tbl_pontos[ID_Ponto],0)),"")</f>
        <v>5. Perdas de granulado e energia (extra)</v>
      </c>
      <c r="G221" s="10" t="s">
        <v>165</v>
      </c>
      <c r="H221" s="10"/>
      <c r="I221" s="10"/>
      <c r="J221" s="10"/>
      <c r="K221" s="10"/>
      <c r="L221" s="10" t="s">
        <v>151</v>
      </c>
      <c r="M221" s="11">
        <f t="shared" si="7"/>
        <v>0</v>
      </c>
    </row>
    <row r="222" spans="1:13" ht="26.4" x14ac:dyDescent="0.3">
      <c r="A222" s="10" t="s">
        <v>243</v>
      </c>
      <c r="B222" s="14">
        <v>46209</v>
      </c>
      <c r="C222" s="11">
        <f t="shared" si="6"/>
        <v>202607</v>
      </c>
      <c r="D222" s="15">
        <v>2</v>
      </c>
      <c r="E222" s="10" t="s">
        <v>77</v>
      </c>
      <c r="F222" s="13" t="str">
        <f>IFERROR(INDEX(tbl_pontos[Categoria],MATCH(E222,tbl_pontos[ID_Ponto],0)),"")</f>
        <v>1. Gestão de Produtos Químicos</v>
      </c>
      <c r="G222" s="10" t="s">
        <v>165</v>
      </c>
      <c r="H222" s="10"/>
      <c r="I222" s="10"/>
      <c r="J222" s="10"/>
      <c r="K222" s="10"/>
      <c r="L222" s="10" t="s">
        <v>84</v>
      </c>
      <c r="M222" s="11">
        <f t="shared" si="7"/>
        <v>0</v>
      </c>
    </row>
    <row r="223" spans="1:13" ht="26.4" x14ac:dyDescent="0.3">
      <c r="A223" s="10" t="s">
        <v>243</v>
      </c>
      <c r="B223" s="14">
        <v>46209</v>
      </c>
      <c r="C223" s="11">
        <f t="shared" si="6"/>
        <v>202607</v>
      </c>
      <c r="D223" s="15">
        <v>1</v>
      </c>
      <c r="E223" s="10" t="s">
        <v>88</v>
      </c>
      <c r="F223" s="13" t="str">
        <f>IFERROR(INDEX(tbl_pontos[Categoria],MATCH(E223,tbl_pontos[ID_Ponto],0)),"")</f>
        <v>1. Gestão de Produtos Químicos</v>
      </c>
      <c r="G223" s="10" t="s">
        <v>165</v>
      </c>
      <c r="H223" s="10"/>
      <c r="I223" s="10"/>
      <c r="J223" s="10"/>
      <c r="K223" s="10"/>
      <c r="L223" s="10" t="s">
        <v>84</v>
      </c>
      <c r="M223" s="11">
        <f t="shared" si="7"/>
        <v>0</v>
      </c>
    </row>
    <row r="224" spans="1:13" ht="26.4" x14ac:dyDescent="0.3">
      <c r="A224" s="10" t="s">
        <v>243</v>
      </c>
      <c r="B224" s="14">
        <v>46209</v>
      </c>
      <c r="C224" s="11">
        <f t="shared" si="6"/>
        <v>202607</v>
      </c>
      <c r="D224" s="15">
        <v>1</v>
      </c>
      <c r="E224" s="10" t="s">
        <v>95</v>
      </c>
      <c r="F224" s="13" t="str">
        <f>IFERROR(INDEX(tbl_pontos[Categoria],MATCH(E224,tbl_pontos[ID_Ponto],0)),"")</f>
        <v>2. Eficiência e Manutenção</v>
      </c>
      <c r="G224" s="10" t="s">
        <v>165</v>
      </c>
      <c r="H224" s="10"/>
      <c r="I224" s="10"/>
      <c r="J224" s="10"/>
      <c r="K224" s="10"/>
      <c r="L224" s="10" t="s">
        <v>84</v>
      </c>
      <c r="M224" s="11">
        <f t="shared" si="7"/>
        <v>0</v>
      </c>
    </row>
    <row r="225" spans="1:13" ht="26.4" x14ac:dyDescent="0.3">
      <c r="A225" s="10" t="s">
        <v>243</v>
      </c>
      <c r="B225" s="14">
        <v>46209</v>
      </c>
      <c r="C225" s="11">
        <f t="shared" si="6"/>
        <v>202607</v>
      </c>
      <c r="D225" s="15">
        <v>1</v>
      </c>
      <c r="E225" s="10" t="s">
        <v>103</v>
      </c>
      <c r="F225" s="13" t="str">
        <f>IFERROR(INDEX(tbl_pontos[Categoria],MATCH(E225,tbl_pontos[ID_Ponto],0)),"")</f>
        <v>2. Eficiência e Manutenção</v>
      </c>
      <c r="G225" s="10" t="s">
        <v>165</v>
      </c>
      <c r="H225" s="10"/>
      <c r="I225" s="10"/>
      <c r="J225" s="10"/>
      <c r="K225" s="10"/>
      <c r="L225" s="10" t="s">
        <v>84</v>
      </c>
      <c r="M225" s="11">
        <f t="shared" si="7"/>
        <v>0</v>
      </c>
    </row>
    <row r="226" spans="1:13" ht="26.4" x14ac:dyDescent="0.3">
      <c r="A226" s="10" t="s">
        <v>243</v>
      </c>
      <c r="B226" s="14">
        <v>46209</v>
      </c>
      <c r="C226" s="11">
        <f t="shared" si="6"/>
        <v>202607</v>
      </c>
      <c r="D226" s="15">
        <v>1</v>
      </c>
      <c r="E226" s="10" t="s">
        <v>109</v>
      </c>
      <c r="F226" s="13" t="str">
        <f>IFERROR(INDEX(tbl_pontos[Categoria],MATCH(E226,tbl_pontos[ID_Ponto],0)),"")</f>
        <v>3. Emergência</v>
      </c>
      <c r="G226" s="10" t="s">
        <v>165</v>
      </c>
      <c r="H226" s="10"/>
      <c r="I226" s="10"/>
      <c r="J226" s="10"/>
      <c r="K226" s="10"/>
      <c r="L226" s="10" t="s">
        <v>84</v>
      </c>
      <c r="M226" s="11">
        <f t="shared" si="7"/>
        <v>0</v>
      </c>
    </row>
    <row r="227" spans="1:13" ht="26.4" x14ac:dyDescent="0.3">
      <c r="A227" s="10" t="s">
        <v>243</v>
      </c>
      <c r="B227" s="14">
        <v>46209</v>
      </c>
      <c r="C227" s="11">
        <f t="shared" si="6"/>
        <v>202607</v>
      </c>
      <c r="D227" s="15">
        <v>1</v>
      </c>
      <c r="E227" s="10" t="s">
        <v>119</v>
      </c>
      <c r="F227" s="13" t="str">
        <f>IFERROR(INDEX(tbl_pontos[Categoria],MATCH(E227,tbl_pontos[ID_Ponto],0)),"")</f>
        <v>3. Emergência</v>
      </c>
      <c r="G227" s="10" t="s">
        <v>165</v>
      </c>
      <c r="H227" s="10"/>
      <c r="I227" s="10"/>
      <c r="J227" s="10"/>
      <c r="K227" s="10"/>
      <c r="L227" s="10" t="s">
        <v>84</v>
      </c>
      <c r="M227" s="11">
        <f t="shared" si="7"/>
        <v>0</v>
      </c>
    </row>
    <row r="228" spans="1:13" ht="26.4" x14ac:dyDescent="0.3">
      <c r="A228" s="10" t="s">
        <v>243</v>
      </c>
      <c r="B228" s="14">
        <v>46209</v>
      </c>
      <c r="C228" s="11">
        <f t="shared" si="6"/>
        <v>202607</v>
      </c>
      <c r="D228" s="15">
        <v>1</v>
      </c>
      <c r="E228" s="10" t="s">
        <v>124</v>
      </c>
      <c r="F228" s="13" t="str">
        <f>IFERROR(INDEX(tbl_pontos[Categoria],MATCH(E228,tbl_pontos[ID_Ponto],0)),"")</f>
        <v>4. Gestão de Resíduos</v>
      </c>
      <c r="G228" s="10" t="s">
        <v>165</v>
      </c>
      <c r="H228" s="10"/>
      <c r="I228" s="10"/>
      <c r="J228" s="10"/>
      <c r="K228" s="10"/>
      <c r="L228" s="10" t="s">
        <v>84</v>
      </c>
      <c r="M228" s="11">
        <f t="shared" si="7"/>
        <v>0</v>
      </c>
    </row>
    <row r="229" spans="1:13" ht="26.4" x14ac:dyDescent="0.3">
      <c r="A229" s="10" t="s">
        <v>243</v>
      </c>
      <c r="B229" s="14">
        <v>46209</v>
      </c>
      <c r="C229" s="11">
        <f t="shared" si="6"/>
        <v>202607</v>
      </c>
      <c r="D229" s="15">
        <v>1</v>
      </c>
      <c r="E229" s="10" t="s">
        <v>131</v>
      </c>
      <c r="F229" s="13" t="str">
        <f>IFERROR(INDEX(tbl_pontos[Categoria],MATCH(E229,tbl_pontos[ID_Ponto],0)),"")</f>
        <v>4. Gestão de Resíduos</v>
      </c>
      <c r="G229" s="10" t="s">
        <v>165</v>
      </c>
      <c r="H229" s="10"/>
      <c r="I229" s="10"/>
      <c r="J229" s="10"/>
      <c r="K229" s="10"/>
      <c r="L229" s="10" t="s">
        <v>84</v>
      </c>
      <c r="M229" s="11">
        <f t="shared" si="7"/>
        <v>0</v>
      </c>
    </row>
    <row r="230" spans="1:13" ht="26.4" x14ac:dyDescent="0.3">
      <c r="A230" s="10" t="s">
        <v>243</v>
      </c>
      <c r="B230" s="14">
        <v>46209</v>
      </c>
      <c r="C230" s="11">
        <f t="shared" si="6"/>
        <v>202607</v>
      </c>
      <c r="D230" s="15">
        <v>1</v>
      </c>
      <c r="E230" s="10" t="s">
        <v>136</v>
      </c>
      <c r="F230" s="13" t="str">
        <f>IFERROR(INDEX(tbl_pontos[Categoria],MATCH(E230,tbl_pontos[ID_Ponto],0)),"")</f>
        <v>5. Perdas de granulado e energia (extra)</v>
      </c>
      <c r="G230" s="10" t="s">
        <v>166</v>
      </c>
      <c r="H230" s="10" t="s">
        <v>171</v>
      </c>
      <c r="I230" s="10" t="s">
        <v>172</v>
      </c>
      <c r="J230" s="10"/>
      <c r="K230" s="10" t="s">
        <v>244</v>
      </c>
      <c r="L230" s="10" t="s">
        <v>84</v>
      </c>
      <c r="M230" s="11">
        <f t="shared" si="7"/>
        <v>1</v>
      </c>
    </row>
    <row r="231" spans="1:13" ht="26.4" x14ac:dyDescent="0.3">
      <c r="A231" s="10" t="s">
        <v>243</v>
      </c>
      <c r="B231" s="14">
        <v>46209</v>
      </c>
      <c r="C231" s="11">
        <f t="shared" si="6"/>
        <v>202607</v>
      </c>
      <c r="D231" s="15">
        <v>1</v>
      </c>
      <c r="E231" s="10" t="s">
        <v>148</v>
      </c>
      <c r="F231" s="13" t="str">
        <f>IFERROR(INDEX(tbl_pontos[Categoria],MATCH(E231,tbl_pontos[ID_Ponto],0)),"")</f>
        <v>5. Perdas de granulado e energia (extra)</v>
      </c>
      <c r="G231" s="10" t="s">
        <v>166</v>
      </c>
      <c r="H231" s="10" t="s">
        <v>167</v>
      </c>
      <c r="I231" s="10" t="s">
        <v>168</v>
      </c>
      <c r="J231" s="10"/>
      <c r="K231" s="10" t="s">
        <v>245</v>
      </c>
      <c r="L231" s="10" t="s">
        <v>84</v>
      </c>
      <c r="M231" s="11">
        <f t="shared" si="7"/>
        <v>1</v>
      </c>
    </row>
    <row r="232" spans="1:13" ht="26.4" x14ac:dyDescent="0.3">
      <c r="A232" s="10" t="s">
        <v>246</v>
      </c>
      <c r="B232" s="14">
        <v>46216</v>
      </c>
      <c r="C232" s="11">
        <f t="shared" si="6"/>
        <v>202607</v>
      </c>
      <c r="D232" s="15">
        <v>2</v>
      </c>
      <c r="E232" s="10" t="s">
        <v>77</v>
      </c>
      <c r="F232" s="13" t="str">
        <f>IFERROR(INDEX(tbl_pontos[Categoria],MATCH(E232,tbl_pontos[ID_Ponto],0)),"")</f>
        <v>1. Gestão de Produtos Químicos</v>
      </c>
      <c r="G232" s="10" t="s">
        <v>166</v>
      </c>
      <c r="H232" s="10" t="s">
        <v>225</v>
      </c>
      <c r="I232" s="10" t="s">
        <v>168</v>
      </c>
      <c r="J232" s="10"/>
      <c r="K232" s="10" t="s">
        <v>247</v>
      </c>
      <c r="L232" s="10" t="s">
        <v>151</v>
      </c>
      <c r="M232" s="11">
        <f t="shared" si="7"/>
        <v>1</v>
      </c>
    </row>
    <row r="233" spans="1:13" ht="26.4" x14ac:dyDescent="0.3">
      <c r="A233" s="10" t="s">
        <v>246</v>
      </c>
      <c r="B233" s="14">
        <v>46216</v>
      </c>
      <c r="C233" s="11">
        <f t="shared" si="6"/>
        <v>202607</v>
      </c>
      <c r="D233" s="15">
        <v>2</v>
      </c>
      <c r="E233" s="10" t="s">
        <v>88</v>
      </c>
      <c r="F233" s="13" t="str">
        <f>IFERROR(INDEX(tbl_pontos[Categoria],MATCH(E233,tbl_pontos[ID_Ponto],0)),"")</f>
        <v>1. Gestão de Produtos Químicos</v>
      </c>
      <c r="G233" s="10" t="s">
        <v>165</v>
      </c>
      <c r="H233" s="10"/>
      <c r="I233" s="10"/>
      <c r="J233" s="10"/>
      <c r="K233" s="10"/>
      <c r="L233" s="10" t="s">
        <v>151</v>
      </c>
      <c r="M233" s="11">
        <f t="shared" si="7"/>
        <v>0</v>
      </c>
    </row>
    <row r="234" spans="1:13" ht="26.4" x14ac:dyDescent="0.3">
      <c r="A234" s="10" t="s">
        <v>246</v>
      </c>
      <c r="B234" s="14">
        <v>46216</v>
      </c>
      <c r="C234" s="11">
        <f t="shared" si="6"/>
        <v>202607</v>
      </c>
      <c r="D234" s="15">
        <v>2</v>
      </c>
      <c r="E234" s="10" t="s">
        <v>95</v>
      </c>
      <c r="F234" s="13" t="str">
        <f>IFERROR(INDEX(tbl_pontos[Categoria],MATCH(E234,tbl_pontos[ID_Ponto],0)),"")</f>
        <v>2. Eficiência e Manutenção</v>
      </c>
      <c r="G234" s="10" t="s">
        <v>165</v>
      </c>
      <c r="H234" s="10"/>
      <c r="I234" s="10"/>
      <c r="J234" s="10"/>
      <c r="K234" s="10"/>
      <c r="L234" s="10" t="s">
        <v>151</v>
      </c>
      <c r="M234" s="11">
        <f t="shared" si="7"/>
        <v>0</v>
      </c>
    </row>
    <row r="235" spans="1:13" ht="26.4" x14ac:dyDescent="0.3">
      <c r="A235" s="10" t="s">
        <v>246</v>
      </c>
      <c r="B235" s="14">
        <v>46216</v>
      </c>
      <c r="C235" s="11">
        <f t="shared" si="6"/>
        <v>202607</v>
      </c>
      <c r="D235" s="15">
        <v>1</v>
      </c>
      <c r="E235" s="10" t="s">
        <v>103</v>
      </c>
      <c r="F235" s="13" t="str">
        <f>IFERROR(INDEX(tbl_pontos[Categoria],MATCH(E235,tbl_pontos[ID_Ponto],0)),"")</f>
        <v>2. Eficiência e Manutenção</v>
      </c>
      <c r="G235" s="10" t="s">
        <v>165</v>
      </c>
      <c r="H235" s="10"/>
      <c r="I235" s="10"/>
      <c r="J235" s="10"/>
      <c r="K235" s="10"/>
      <c r="L235" s="10" t="s">
        <v>151</v>
      </c>
      <c r="M235" s="11">
        <f t="shared" si="7"/>
        <v>0</v>
      </c>
    </row>
    <row r="236" spans="1:13" ht="26.4" x14ac:dyDescent="0.3">
      <c r="A236" s="10" t="s">
        <v>246</v>
      </c>
      <c r="B236" s="14">
        <v>46216</v>
      </c>
      <c r="C236" s="11">
        <f t="shared" si="6"/>
        <v>202607</v>
      </c>
      <c r="D236" s="15">
        <v>1</v>
      </c>
      <c r="E236" s="10" t="s">
        <v>124</v>
      </c>
      <c r="F236" s="13" t="str">
        <f>IFERROR(INDEX(tbl_pontos[Categoria],MATCH(E236,tbl_pontos[ID_Ponto],0)),"")</f>
        <v>4. Gestão de Resíduos</v>
      </c>
      <c r="G236" s="10" t="s">
        <v>165</v>
      </c>
      <c r="H236" s="10"/>
      <c r="I236" s="10"/>
      <c r="J236" s="10"/>
      <c r="K236" s="10"/>
      <c r="L236" s="10" t="s">
        <v>151</v>
      </c>
      <c r="M236" s="11">
        <f t="shared" si="7"/>
        <v>0</v>
      </c>
    </row>
    <row r="237" spans="1:13" ht="26.4" x14ac:dyDescent="0.3">
      <c r="A237" s="10" t="s">
        <v>246</v>
      </c>
      <c r="B237" s="14">
        <v>46216</v>
      </c>
      <c r="C237" s="11">
        <f t="shared" si="6"/>
        <v>202607</v>
      </c>
      <c r="D237" s="15">
        <v>3</v>
      </c>
      <c r="E237" s="10" t="s">
        <v>131</v>
      </c>
      <c r="F237" s="13" t="str">
        <f>IFERROR(INDEX(tbl_pontos[Categoria],MATCH(E237,tbl_pontos[ID_Ponto],0)),"")</f>
        <v>4. Gestão de Resíduos</v>
      </c>
      <c r="G237" s="10" t="s">
        <v>165</v>
      </c>
      <c r="H237" s="10"/>
      <c r="I237" s="10"/>
      <c r="J237" s="10"/>
      <c r="K237" s="10"/>
      <c r="L237" s="10" t="s">
        <v>151</v>
      </c>
      <c r="M237" s="11">
        <f t="shared" si="7"/>
        <v>0</v>
      </c>
    </row>
    <row r="238" spans="1:13" ht="26.4" x14ac:dyDescent="0.3">
      <c r="A238" s="10" t="s">
        <v>246</v>
      </c>
      <c r="B238" s="14">
        <v>46216</v>
      </c>
      <c r="C238" s="11">
        <f t="shared" si="6"/>
        <v>202607</v>
      </c>
      <c r="D238" s="15">
        <v>2</v>
      </c>
      <c r="E238" s="10" t="s">
        <v>136</v>
      </c>
      <c r="F238" s="13" t="str">
        <f>IFERROR(INDEX(tbl_pontos[Categoria],MATCH(E238,tbl_pontos[ID_Ponto],0)),"")</f>
        <v>5. Perdas de granulado e energia (extra)</v>
      </c>
      <c r="G238" s="10" t="s">
        <v>165</v>
      </c>
      <c r="H238" s="10"/>
      <c r="I238" s="10"/>
      <c r="J238" s="10"/>
      <c r="K238" s="10"/>
      <c r="L238" s="10" t="s">
        <v>151</v>
      </c>
      <c r="M238" s="11">
        <f t="shared" si="7"/>
        <v>0</v>
      </c>
    </row>
    <row r="239" spans="1:13" ht="26.4" x14ac:dyDescent="0.3">
      <c r="A239" s="10" t="s">
        <v>246</v>
      </c>
      <c r="B239" s="14">
        <v>46216</v>
      </c>
      <c r="C239" s="11">
        <f t="shared" si="6"/>
        <v>202607</v>
      </c>
      <c r="D239" s="15">
        <v>1</v>
      </c>
      <c r="E239" s="10" t="s">
        <v>148</v>
      </c>
      <c r="F239" s="13" t="str">
        <f>IFERROR(INDEX(tbl_pontos[Categoria],MATCH(E239,tbl_pontos[ID_Ponto],0)),"")</f>
        <v>5. Perdas de granulado e energia (extra)</v>
      </c>
      <c r="G239" s="10" t="s">
        <v>166</v>
      </c>
      <c r="H239" s="10" t="s">
        <v>167</v>
      </c>
      <c r="I239" s="10" t="s">
        <v>168</v>
      </c>
      <c r="J239" s="10"/>
      <c r="K239" s="10" t="s">
        <v>248</v>
      </c>
      <c r="L239" s="10" t="s">
        <v>151</v>
      </c>
      <c r="M239" s="11">
        <f t="shared" si="7"/>
        <v>1</v>
      </c>
    </row>
    <row r="240" spans="1:13" ht="26.4" x14ac:dyDescent="0.3">
      <c r="A240" s="10" t="s">
        <v>249</v>
      </c>
      <c r="B240" s="14">
        <v>46223</v>
      </c>
      <c r="C240" s="11">
        <f t="shared" si="6"/>
        <v>202607</v>
      </c>
      <c r="D240" s="15">
        <v>1</v>
      </c>
      <c r="E240" s="10" t="s">
        <v>77</v>
      </c>
      <c r="F240" s="13" t="str">
        <f>IFERROR(INDEX(tbl_pontos[Categoria],MATCH(E240,tbl_pontos[ID_Ponto],0)),"")</f>
        <v>1. Gestão de Produtos Químicos</v>
      </c>
      <c r="G240" s="10" t="s">
        <v>165</v>
      </c>
      <c r="H240" s="10"/>
      <c r="I240" s="10"/>
      <c r="J240" s="10"/>
      <c r="K240" s="10"/>
      <c r="L240" s="10" t="s">
        <v>84</v>
      </c>
      <c r="M240" s="11">
        <f t="shared" si="7"/>
        <v>0</v>
      </c>
    </row>
    <row r="241" spans="1:13" ht="26.4" x14ac:dyDescent="0.3">
      <c r="A241" s="10" t="s">
        <v>249</v>
      </c>
      <c r="B241" s="14">
        <v>46223</v>
      </c>
      <c r="C241" s="11">
        <f t="shared" si="6"/>
        <v>202607</v>
      </c>
      <c r="D241" s="15">
        <v>1</v>
      </c>
      <c r="E241" s="10" t="s">
        <v>88</v>
      </c>
      <c r="F241" s="13" t="str">
        <f>IFERROR(INDEX(tbl_pontos[Categoria],MATCH(E241,tbl_pontos[ID_Ponto],0)),"")</f>
        <v>1. Gestão de Produtos Químicos</v>
      </c>
      <c r="G241" s="10" t="s">
        <v>165</v>
      </c>
      <c r="H241" s="10"/>
      <c r="I241" s="10"/>
      <c r="J241" s="10"/>
      <c r="K241" s="10"/>
      <c r="L241" s="10" t="s">
        <v>84</v>
      </c>
      <c r="M241" s="11">
        <f t="shared" si="7"/>
        <v>0</v>
      </c>
    </row>
    <row r="242" spans="1:13" ht="26.4" x14ac:dyDescent="0.3">
      <c r="A242" s="10" t="s">
        <v>249</v>
      </c>
      <c r="B242" s="14">
        <v>46223</v>
      </c>
      <c r="C242" s="11">
        <f t="shared" si="6"/>
        <v>202607</v>
      </c>
      <c r="D242" s="15">
        <v>2</v>
      </c>
      <c r="E242" s="10" t="s">
        <v>95</v>
      </c>
      <c r="F242" s="13" t="str">
        <f>IFERROR(INDEX(tbl_pontos[Categoria],MATCH(E242,tbl_pontos[ID_Ponto],0)),"")</f>
        <v>2. Eficiência e Manutenção</v>
      </c>
      <c r="G242" s="10" t="s">
        <v>165</v>
      </c>
      <c r="H242" s="10"/>
      <c r="I242" s="10"/>
      <c r="J242" s="10"/>
      <c r="K242" s="10"/>
      <c r="L242" s="10" t="s">
        <v>84</v>
      </c>
      <c r="M242" s="11">
        <f t="shared" si="7"/>
        <v>0</v>
      </c>
    </row>
    <row r="243" spans="1:13" ht="26.4" x14ac:dyDescent="0.3">
      <c r="A243" s="10" t="s">
        <v>249</v>
      </c>
      <c r="B243" s="14">
        <v>46223</v>
      </c>
      <c r="C243" s="11">
        <f t="shared" si="6"/>
        <v>202607</v>
      </c>
      <c r="D243" s="15">
        <v>1</v>
      </c>
      <c r="E243" s="10" t="s">
        <v>103</v>
      </c>
      <c r="F243" s="13" t="str">
        <f>IFERROR(INDEX(tbl_pontos[Categoria],MATCH(E243,tbl_pontos[ID_Ponto],0)),"")</f>
        <v>2. Eficiência e Manutenção</v>
      </c>
      <c r="G243" s="10" t="s">
        <v>165</v>
      </c>
      <c r="H243" s="10"/>
      <c r="I243" s="10"/>
      <c r="J243" s="10"/>
      <c r="K243" s="10"/>
      <c r="L243" s="10" t="s">
        <v>84</v>
      </c>
      <c r="M243" s="11">
        <f t="shared" si="7"/>
        <v>0</v>
      </c>
    </row>
    <row r="244" spans="1:13" ht="26.4" x14ac:dyDescent="0.3">
      <c r="A244" s="10" t="s">
        <v>249</v>
      </c>
      <c r="B244" s="14">
        <v>46223</v>
      </c>
      <c r="C244" s="11">
        <f t="shared" si="6"/>
        <v>202607</v>
      </c>
      <c r="D244" s="15">
        <v>1</v>
      </c>
      <c r="E244" s="10" t="s">
        <v>124</v>
      </c>
      <c r="F244" s="13" t="str">
        <f>IFERROR(INDEX(tbl_pontos[Categoria],MATCH(E244,tbl_pontos[ID_Ponto],0)),"")</f>
        <v>4. Gestão de Resíduos</v>
      </c>
      <c r="G244" s="10" t="s">
        <v>165</v>
      </c>
      <c r="H244" s="10"/>
      <c r="I244" s="10"/>
      <c r="J244" s="10"/>
      <c r="K244" s="10"/>
      <c r="L244" s="10" t="s">
        <v>84</v>
      </c>
      <c r="M244" s="11">
        <f t="shared" si="7"/>
        <v>0</v>
      </c>
    </row>
    <row r="245" spans="1:13" ht="26.4" x14ac:dyDescent="0.3">
      <c r="A245" s="10" t="s">
        <v>249</v>
      </c>
      <c r="B245" s="14">
        <v>46223</v>
      </c>
      <c r="C245" s="11">
        <f t="shared" si="6"/>
        <v>202607</v>
      </c>
      <c r="D245" s="15">
        <v>1</v>
      </c>
      <c r="E245" s="10" t="s">
        <v>131</v>
      </c>
      <c r="F245" s="13" t="str">
        <f>IFERROR(INDEX(tbl_pontos[Categoria],MATCH(E245,tbl_pontos[ID_Ponto],0)),"")</f>
        <v>4. Gestão de Resíduos</v>
      </c>
      <c r="G245" s="10" t="s">
        <v>165</v>
      </c>
      <c r="H245" s="10"/>
      <c r="I245" s="10"/>
      <c r="J245" s="10"/>
      <c r="K245" s="10"/>
      <c r="L245" s="10" t="s">
        <v>84</v>
      </c>
      <c r="M245" s="11">
        <f t="shared" si="7"/>
        <v>0</v>
      </c>
    </row>
    <row r="246" spans="1:13" ht="26.4" x14ac:dyDescent="0.3">
      <c r="A246" s="10" t="s">
        <v>249</v>
      </c>
      <c r="B246" s="14">
        <v>46223</v>
      </c>
      <c r="C246" s="11">
        <f t="shared" si="6"/>
        <v>202607</v>
      </c>
      <c r="D246" s="15">
        <v>2</v>
      </c>
      <c r="E246" s="10" t="s">
        <v>136</v>
      </c>
      <c r="F246" s="13" t="str">
        <f>IFERROR(INDEX(tbl_pontos[Categoria],MATCH(E246,tbl_pontos[ID_Ponto],0)),"")</f>
        <v>5. Perdas de granulado e energia (extra)</v>
      </c>
      <c r="G246" s="10" t="s">
        <v>166</v>
      </c>
      <c r="H246" s="10" t="s">
        <v>171</v>
      </c>
      <c r="I246" s="10" t="s">
        <v>172</v>
      </c>
      <c r="J246" s="10"/>
      <c r="K246" s="10" t="s">
        <v>250</v>
      </c>
      <c r="L246" s="10" t="s">
        <v>84</v>
      </c>
      <c r="M246" s="11">
        <f t="shared" si="7"/>
        <v>1</v>
      </c>
    </row>
    <row r="247" spans="1:13" ht="26.4" x14ac:dyDescent="0.3">
      <c r="A247" s="10" t="s">
        <v>249</v>
      </c>
      <c r="B247" s="14">
        <v>46223</v>
      </c>
      <c r="C247" s="11">
        <f t="shared" si="6"/>
        <v>202607</v>
      </c>
      <c r="D247" s="15">
        <v>2</v>
      </c>
      <c r="E247" s="10" t="s">
        <v>148</v>
      </c>
      <c r="F247" s="13" t="str">
        <f>IFERROR(INDEX(tbl_pontos[Categoria],MATCH(E247,tbl_pontos[ID_Ponto],0)),"")</f>
        <v>5. Perdas de granulado e energia (extra)</v>
      </c>
      <c r="G247" s="10" t="s">
        <v>165</v>
      </c>
      <c r="H247" s="10"/>
      <c r="I247" s="10"/>
      <c r="J247" s="10"/>
      <c r="K247" s="10"/>
      <c r="L247" s="10" t="s">
        <v>84</v>
      </c>
      <c r="M247" s="11">
        <f t="shared" si="7"/>
        <v>0</v>
      </c>
    </row>
    <row r="248" spans="1:13" ht="26.4" x14ac:dyDescent="0.3">
      <c r="A248" s="10" t="s">
        <v>251</v>
      </c>
      <c r="B248" s="14">
        <v>46230</v>
      </c>
      <c r="C248" s="11">
        <f t="shared" si="6"/>
        <v>202607</v>
      </c>
      <c r="D248" s="15">
        <v>1</v>
      </c>
      <c r="E248" s="10" t="s">
        <v>77</v>
      </c>
      <c r="F248" s="13" t="str">
        <f>IFERROR(INDEX(tbl_pontos[Categoria],MATCH(E248,tbl_pontos[ID_Ponto],0)),"")</f>
        <v>1. Gestão de Produtos Químicos</v>
      </c>
      <c r="G248" s="10" t="s">
        <v>166</v>
      </c>
      <c r="H248" s="10" t="s">
        <v>225</v>
      </c>
      <c r="I248" s="10" t="s">
        <v>168</v>
      </c>
      <c r="J248" s="10"/>
      <c r="K248" s="10" t="s">
        <v>252</v>
      </c>
      <c r="L248" s="10" t="s">
        <v>151</v>
      </c>
      <c r="M248" s="11">
        <f t="shared" si="7"/>
        <v>1</v>
      </c>
    </row>
    <row r="249" spans="1:13" ht="26.4" x14ac:dyDescent="0.3">
      <c r="A249" s="10" t="s">
        <v>251</v>
      </c>
      <c r="B249" s="14">
        <v>46230</v>
      </c>
      <c r="C249" s="11">
        <f t="shared" si="6"/>
        <v>202607</v>
      </c>
      <c r="D249" s="15">
        <v>2</v>
      </c>
      <c r="E249" s="10" t="s">
        <v>88</v>
      </c>
      <c r="F249" s="13" t="str">
        <f>IFERROR(INDEX(tbl_pontos[Categoria],MATCH(E249,tbl_pontos[ID_Ponto],0)),"")</f>
        <v>1. Gestão de Produtos Químicos</v>
      </c>
      <c r="G249" s="10" t="s">
        <v>165</v>
      </c>
      <c r="H249" s="10"/>
      <c r="I249" s="10"/>
      <c r="J249" s="10"/>
      <c r="K249" s="10"/>
      <c r="L249" s="10" t="s">
        <v>151</v>
      </c>
      <c r="M249" s="11">
        <f t="shared" si="7"/>
        <v>0</v>
      </c>
    </row>
    <row r="250" spans="1:13" ht="26.4" x14ac:dyDescent="0.3">
      <c r="A250" s="10" t="s">
        <v>251</v>
      </c>
      <c r="B250" s="14">
        <v>46230</v>
      </c>
      <c r="C250" s="11">
        <f t="shared" si="6"/>
        <v>202607</v>
      </c>
      <c r="D250" s="15">
        <v>2</v>
      </c>
      <c r="E250" s="10" t="s">
        <v>95</v>
      </c>
      <c r="F250" s="13" t="str">
        <f>IFERROR(INDEX(tbl_pontos[Categoria],MATCH(E250,tbl_pontos[ID_Ponto],0)),"")</f>
        <v>2. Eficiência e Manutenção</v>
      </c>
      <c r="G250" s="10" t="s">
        <v>165</v>
      </c>
      <c r="H250" s="10"/>
      <c r="I250" s="10"/>
      <c r="J250" s="10"/>
      <c r="K250" s="10"/>
      <c r="L250" s="10" t="s">
        <v>151</v>
      </c>
      <c r="M250" s="11">
        <f t="shared" si="7"/>
        <v>0</v>
      </c>
    </row>
    <row r="251" spans="1:13" ht="26.4" x14ac:dyDescent="0.3">
      <c r="A251" s="10" t="s">
        <v>251</v>
      </c>
      <c r="B251" s="14">
        <v>46230</v>
      </c>
      <c r="C251" s="11">
        <f t="shared" si="6"/>
        <v>202607</v>
      </c>
      <c r="D251" s="15">
        <v>1</v>
      </c>
      <c r="E251" s="10" t="s">
        <v>103</v>
      </c>
      <c r="F251" s="13" t="str">
        <f>IFERROR(INDEX(tbl_pontos[Categoria],MATCH(E251,tbl_pontos[ID_Ponto],0)),"")</f>
        <v>2. Eficiência e Manutenção</v>
      </c>
      <c r="G251" s="10" t="s">
        <v>165</v>
      </c>
      <c r="H251" s="10"/>
      <c r="I251" s="10"/>
      <c r="J251" s="10"/>
      <c r="K251" s="10"/>
      <c r="L251" s="10" t="s">
        <v>151</v>
      </c>
      <c r="M251" s="11">
        <f t="shared" si="7"/>
        <v>0</v>
      </c>
    </row>
    <row r="252" spans="1:13" ht="26.4" x14ac:dyDescent="0.3">
      <c r="A252" s="10" t="s">
        <v>251</v>
      </c>
      <c r="B252" s="14">
        <v>46230</v>
      </c>
      <c r="C252" s="11">
        <f t="shared" si="6"/>
        <v>202607</v>
      </c>
      <c r="D252" s="15">
        <v>1</v>
      </c>
      <c r="E252" s="10" t="s">
        <v>124</v>
      </c>
      <c r="F252" s="13" t="str">
        <f>IFERROR(INDEX(tbl_pontos[Categoria],MATCH(E252,tbl_pontos[ID_Ponto],0)),"")</f>
        <v>4. Gestão de Resíduos</v>
      </c>
      <c r="G252" s="10" t="s">
        <v>165</v>
      </c>
      <c r="H252" s="10"/>
      <c r="I252" s="10"/>
      <c r="J252" s="10"/>
      <c r="K252" s="10"/>
      <c r="L252" s="10" t="s">
        <v>151</v>
      </c>
      <c r="M252" s="11">
        <f t="shared" si="7"/>
        <v>0</v>
      </c>
    </row>
    <row r="253" spans="1:13" ht="26.4" x14ac:dyDescent="0.3">
      <c r="A253" s="10" t="s">
        <v>251</v>
      </c>
      <c r="B253" s="14">
        <v>46230</v>
      </c>
      <c r="C253" s="11">
        <f t="shared" si="6"/>
        <v>202607</v>
      </c>
      <c r="D253" s="15">
        <v>2</v>
      </c>
      <c r="E253" s="10" t="s">
        <v>131</v>
      </c>
      <c r="F253" s="13" t="str">
        <f>IFERROR(INDEX(tbl_pontos[Categoria],MATCH(E253,tbl_pontos[ID_Ponto],0)),"")</f>
        <v>4. Gestão de Resíduos</v>
      </c>
      <c r="G253" s="10" t="s">
        <v>165</v>
      </c>
      <c r="H253" s="10"/>
      <c r="I253" s="10"/>
      <c r="J253" s="10"/>
      <c r="K253" s="10"/>
      <c r="L253" s="10" t="s">
        <v>151</v>
      </c>
      <c r="M253" s="11">
        <f t="shared" si="7"/>
        <v>0</v>
      </c>
    </row>
    <row r="254" spans="1:13" ht="26.4" x14ac:dyDescent="0.3">
      <c r="A254" s="10" t="s">
        <v>251</v>
      </c>
      <c r="B254" s="14">
        <v>46230</v>
      </c>
      <c r="C254" s="11">
        <f t="shared" si="6"/>
        <v>202607</v>
      </c>
      <c r="D254" s="15">
        <v>2</v>
      </c>
      <c r="E254" s="10" t="s">
        <v>136</v>
      </c>
      <c r="F254" s="13" t="str">
        <f>IFERROR(INDEX(tbl_pontos[Categoria],MATCH(E254,tbl_pontos[ID_Ponto],0)),"")</f>
        <v>5. Perdas de granulado e energia (extra)</v>
      </c>
      <c r="G254" s="10" t="s">
        <v>165</v>
      </c>
      <c r="H254" s="10"/>
      <c r="I254" s="10"/>
      <c r="J254" s="10"/>
      <c r="K254" s="10"/>
      <c r="L254" s="10" t="s">
        <v>151</v>
      </c>
      <c r="M254" s="11">
        <f t="shared" si="7"/>
        <v>0</v>
      </c>
    </row>
    <row r="255" spans="1:13" ht="26.4" x14ac:dyDescent="0.3">
      <c r="A255" s="10" t="s">
        <v>251</v>
      </c>
      <c r="B255" s="14">
        <v>46230</v>
      </c>
      <c r="C255" s="11">
        <f t="shared" si="6"/>
        <v>202607</v>
      </c>
      <c r="D255" s="15">
        <v>3</v>
      </c>
      <c r="E255" s="10" t="s">
        <v>148</v>
      </c>
      <c r="F255" s="13" t="str">
        <f>IFERROR(INDEX(tbl_pontos[Categoria],MATCH(E255,tbl_pontos[ID_Ponto],0)),"")</f>
        <v>5. Perdas de granulado e energia (extra)</v>
      </c>
      <c r="G255" s="10" t="s">
        <v>165</v>
      </c>
      <c r="H255" s="10"/>
      <c r="I255" s="10"/>
      <c r="J255" s="10"/>
      <c r="K255" s="10"/>
      <c r="L255" s="10" t="s">
        <v>151</v>
      </c>
      <c r="M255" s="11">
        <f t="shared" si="7"/>
        <v>0</v>
      </c>
    </row>
    <row r="256" spans="1:13" ht="26.4" x14ac:dyDescent="0.3">
      <c r="A256" s="10" t="s">
        <v>253</v>
      </c>
      <c r="B256" s="14">
        <v>46237</v>
      </c>
      <c r="C256" s="11">
        <f t="shared" si="6"/>
        <v>202608</v>
      </c>
      <c r="D256" s="15">
        <v>2</v>
      </c>
      <c r="E256" s="10" t="s">
        <v>77</v>
      </c>
      <c r="F256" s="13" t="str">
        <f>IFERROR(INDEX(tbl_pontos[Categoria],MATCH(E256,tbl_pontos[ID_Ponto],0)),"")</f>
        <v>1. Gestão de Produtos Químicos</v>
      </c>
      <c r="G256" s="10" t="s">
        <v>165</v>
      </c>
      <c r="H256" s="10"/>
      <c r="I256" s="10"/>
      <c r="J256" s="10"/>
      <c r="K256" s="10"/>
      <c r="L256" s="10" t="s">
        <v>84</v>
      </c>
      <c r="M256" s="11">
        <f t="shared" si="7"/>
        <v>0</v>
      </c>
    </row>
    <row r="257" spans="1:13" ht="26.4" x14ac:dyDescent="0.3">
      <c r="A257" s="10" t="s">
        <v>253</v>
      </c>
      <c r="B257" s="14">
        <v>46237</v>
      </c>
      <c r="C257" s="11">
        <f t="shared" si="6"/>
        <v>202608</v>
      </c>
      <c r="D257" s="15">
        <v>3</v>
      </c>
      <c r="E257" s="10" t="s">
        <v>88</v>
      </c>
      <c r="F257" s="13" t="str">
        <f>IFERROR(INDEX(tbl_pontos[Categoria],MATCH(E257,tbl_pontos[ID_Ponto],0)),"")</f>
        <v>1. Gestão de Produtos Químicos</v>
      </c>
      <c r="G257" s="10" t="s">
        <v>165</v>
      </c>
      <c r="H257" s="10"/>
      <c r="I257" s="10"/>
      <c r="J257" s="10"/>
      <c r="K257" s="10"/>
      <c r="L257" s="10" t="s">
        <v>84</v>
      </c>
      <c r="M257" s="11">
        <f t="shared" si="7"/>
        <v>0</v>
      </c>
    </row>
    <row r="258" spans="1:13" ht="26.4" x14ac:dyDescent="0.3">
      <c r="A258" s="10" t="s">
        <v>253</v>
      </c>
      <c r="B258" s="14">
        <v>46237</v>
      </c>
      <c r="C258" s="11">
        <f t="shared" ref="C258:C321" si="8">YEAR(B258)*100+MONTH(B258)</f>
        <v>202608</v>
      </c>
      <c r="D258" s="15">
        <v>2</v>
      </c>
      <c r="E258" s="10" t="s">
        <v>95</v>
      </c>
      <c r="F258" s="13" t="str">
        <f>IFERROR(INDEX(tbl_pontos[Categoria],MATCH(E258,tbl_pontos[ID_Ponto],0)),"")</f>
        <v>2. Eficiência e Manutenção</v>
      </c>
      <c r="G258" s="10" t="s">
        <v>165</v>
      </c>
      <c r="H258" s="10"/>
      <c r="I258" s="10"/>
      <c r="J258" s="10"/>
      <c r="K258" s="10"/>
      <c r="L258" s="10" t="s">
        <v>84</v>
      </c>
      <c r="M258" s="11">
        <f t="shared" ref="M258:M321" si="9">IF(G258="Não conforme",1,0)</f>
        <v>0</v>
      </c>
    </row>
    <row r="259" spans="1:13" ht="26.4" x14ac:dyDescent="0.3">
      <c r="A259" s="10" t="s">
        <v>253</v>
      </c>
      <c r="B259" s="14">
        <v>46237</v>
      </c>
      <c r="C259" s="11">
        <f t="shared" si="8"/>
        <v>202608</v>
      </c>
      <c r="D259" s="15">
        <v>1</v>
      </c>
      <c r="E259" s="10" t="s">
        <v>103</v>
      </c>
      <c r="F259" s="13" t="str">
        <f>IFERROR(INDEX(tbl_pontos[Categoria],MATCH(E259,tbl_pontos[ID_Ponto],0)),"")</f>
        <v>2. Eficiência e Manutenção</v>
      </c>
      <c r="G259" s="10" t="s">
        <v>165</v>
      </c>
      <c r="H259" s="10"/>
      <c r="I259" s="10"/>
      <c r="J259" s="10"/>
      <c r="K259" s="10"/>
      <c r="L259" s="10" t="s">
        <v>84</v>
      </c>
      <c r="M259" s="11">
        <f t="shared" si="9"/>
        <v>0</v>
      </c>
    </row>
    <row r="260" spans="1:13" ht="26.4" x14ac:dyDescent="0.3">
      <c r="A260" s="10" t="s">
        <v>253</v>
      </c>
      <c r="B260" s="14">
        <v>46237</v>
      </c>
      <c r="C260" s="11">
        <f t="shared" si="8"/>
        <v>202608</v>
      </c>
      <c r="D260" s="15">
        <v>3</v>
      </c>
      <c r="E260" s="10" t="s">
        <v>109</v>
      </c>
      <c r="F260" s="13" t="str">
        <f>IFERROR(INDEX(tbl_pontos[Categoria],MATCH(E260,tbl_pontos[ID_Ponto],0)),"")</f>
        <v>3. Emergência</v>
      </c>
      <c r="G260" s="10" t="s">
        <v>165</v>
      </c>
      <c r="H260" s="10"/>
      <c r="I260" s="10"/>
      <c r="J260" s="10"/>
      <c r="K260" s="10"/>
      <c r="L260" s="10" t="s">
        <v>84</v>
      </c>
      <c r="M260" s="11">
        <f t="shared" si="9"/>
        <v>0</v>
      </c>
    </row>
    <row r="261" spans="1:13" ht="26.4" x14ac:dyDescent="0.3">
      <c r="A261" s="10" t="s">
        <v>253</v>
      </c>
      <c r="B261" s="14">
        <v>46237</v>
      </c>
      <c r="C261" s="11">
        <f t="shared" si="8"/>
        <v>202608</v>
      </c>
      <c r="D261" s="15">
        <v>1</v>
      </c>
      <c r="E261" s="10" t="s">
        <v>119</v>
      </c>
      <c r="F261" s="13" t="str">
        <f>IFERROR(INDEX(tbl_pontos[Categoria],MATCH(E261,tbl_pontos[ID_Ponto],0)),"")</f>
        <v>3. Emergência</v>
      </c>
      <c r="G261" s="10" t="s">
        <v>165</v>
      </c>
      <c r="H261" s="10"/>
      <c r="I261" s="10"/>
      <c r="J261" s="10"/>
      <c r="K261" s="10"/>
      <c r="L261" s="10" t="s">
        <v>84</v>
      </c>
      <c r="M261" s="11">
        <f t="shared" si="9"/>
        <v>0</v>
      </c>
    </row>
    <row r="262" spans="1:13" ht="26.4" x14ac:dyDescent="0.3">
      <c r="A262" s="10" t="s">
        <v>253</v>
      </c>
      <c r="B262" s="14">
        <v>46237</v>
      </c>
      <c r="C262" s="11">
        <f t="shared" si="8"/>
        <v>202608</v>
      </c>
      <c r="D262" s="15">
        <v>2</v>
      </c>
      <c r="E262" s="10" t="s">
        <v>124</v>
      </c>
      <c r="F262" s="13" t="str">
        <f>IFERROR(INDEX(tbl_pontos[Categoria],MATCH(E262,tbl_pontos[ID_Ponto],0)),"")</f>
        <v>4. Gestão de Resíduos</v>
      </c>
      <c r="G262" s="10" t="s">
        <v>165</v>
      </c>
      <c r="H262" s="10"/>
      <c r="I262" s="10"/>
      <c r="J262" s="10"/>
      <c r="K262" s="10"/>
      <c r="L262" s="10" t="s">
        <v>84</v>
      </c>
      <c r="M262" s="11">
        <f t="shared" si="9"/>
        <v>0</v>
      </c>
    </row>
    <row r="263" spans="1:13" ht="26.4" x14ac:dyDescent="0.3">
      <c r="A263" s="10" t="s">
        <v>253</v>
      </c>
      <c r="B263" s="14">
        <v>46237</v>
      </c>
      <c r="C263" s="11">
        <f t="shared" si="8"/>
        <v>202608</v>
      </c>
      <c r="D263" s="15">
        <v>1</v>
      </c>
      <c r="E263" s="10" t="s">
        <v>131</v>
      </c>
      <c r="F263" s="13" t="str">
        <f>IFERROR(INDEX(tbl_pontos[Categoria],MATCH(E263,tbl_pontos[ID_Ponto],0)),"")</f>
        <v>4. Gestão de Resíduos</v>
      </c>
      <c r="G263" s="10" t="s">
        <v>165</v>
      </c>
      <c r="H263" s="10"/>
      <c r="I263" s="10"/>
      <c r="J263" s="10"/>
      <c r="K263" s="10"/>
      <c r="L263" s="10" t="s">
        <v>84</v>
      </c>
      <c r="M263" s="11">
        <f t="shared" si="9"/>
        <v>0</v>
      </c>
    </row>
    <row r="264" spans="1:13" ht="26.4" x14ac:dyDescent="0.3">
      <c r="A264" s="10" t="s">
        <v>253</v>
      </c>
      <c r="B264" s="14">
        <v>46237</v>
      </c>
      <c r="C264" s="11">
        <f t="shared" si="8"/>
        <v>202608</v>
      </c>
      <c r="D264" s="15">
        <v>2</v>
      </c>
      <c r="E264" s="10" t="s">
        <v>136</v>
      </c>
      <c r="F264" s="13" t="str">
        <f>IFERROR(INDEX(tbl_pontos[Categoria],MATCH(E264,tbl_pontos[ID_Ponto],0)),"")</f>
        <v>5. Perdas de granulado e energia (extra)</v>
      </c>
      <c r="G264" s="10" t="s">
        <v>165</v>
      </c>
      <c r="H264" s="10"/>
      <c r="I264" s="10"/>
      <c r="J264" s="10"/>
      <c r="K264" s="10"/>
      <c r="L264" s="10" t="s">
        <v>84</v>
      </c>
      <c r="M264" s="11">
        <f t="shared" si="9"/>
        <v>0</v>
      </c>
    </row>
    <row r="265" spans="1:13" ht="26.4" x14ac:dyDescent="0.3">
      <c r="A265" s="10" t="s">
        <v>253</v>
      </c>
      <c r="B265" s="14">
        <v>46237</v>
      </c>
      <c r="C265" s="11">
        <f t="shared" si="8"/>
        <v>202608</v>
      </c>
      <c r="D265" s="15">
        <v>2</v>
      </c>
      <c r="E265" s="10" t="s">
        <v>148</v>
      </c>
      <c r="F265" s="13" t="str">
        <f>IFERROR(INDEX(tbl_pontos[Categoria],MATCH(E265,tbl_pontos[ID_Ponto],0)),"")</f>
        <v>5. Perdas de granulado e energia (extra)</v>
      </c>
      <c r="G265" s="10" t="s">
        <v>165</v>
      </c>
      <c r="H265" s="10"/>
      <c r="I265" s="10"/>
      <c r="J265" s="10"/>
      <c r="K265" s="10"/>
      <c r="L265" s="10" t="s">
        <v>84</v>
      </c>
      <c r="M265" s="11">
        <f t="shared" si="9"/>
        <v>0</v>
      </c>
    </row>
    <row r="266" spans="1:13" ht="26.4" x14ac:dyDescent="0.3">
      <c r="A266" s="10" t="s">
        <v>254</v>
      </c>
      <c r="B266" s="14">
        <v>46244</v>
      </c>
      <c r="C266" s="11">
        <f t="shared" si="8"/>
        <v>202608</v>
      </c>
      <c r="D266" s="15">
        <v>3</v>
      </c>
      <c r="E266" s="10" t="s">
        <v>77</v>
      </c>
      <c r="F266" s="13" t="str">
        <f>IFERROR(INDEX(tbl_pontos[Categoria],MATCH(E266,tbl_pontos[ID_Ponto],0)),"")</f>
        <v>1. Gestão de Produtos Químicos</v>
      </c>
      <c r="G266" s="10" t="s">
        <v>165</v>
      </c>
      <c r="H266" s="10"/>
      <c r="I266" s="10"/>
      <c r="J266" s="10"/>
      <c r="K266" s="10"/>
      <c r="L266" s="10" t="s">
        <v>151</v>
      </c>
      <c r="M266" s="11">
        <f t="shared" si="9"/>
        <v>0</v>
      </c>
    </row>
    <row r="267" spans="1:13" ht="26.4" x14ac:dyDescent="0.3">
      <c r="A267" s="10" t="s">
        <v>254</v>
      </c>
      <c r="B267" s="14">
        <v>46244</v>
      </c>
      <c r="C267" s="11">
        <f t="shared" si="8"/>
        <v>202608</v>
      </c>
      <c r="D267" s="15">
        <v>1</v>
      </c>
      <c r="E267" s="10" t="s">
        <v>88</v>
      </c>
      <c r="F267" s="13" t="str">
        <f>IFERROR(INDEX(tbl_pontos[Categoria],MATCH(E267,tbl_pontos[ID_Ponto],0)),"")</f>
        <v>1. Gestão de Produtos Químicos</v>
      </c>
      <c r="G267" s="10" t="s">
        <v>165</v>
      </c>
      <c r="H267" s="10"/>
      <c r="I267" s="10"/>
      <c r="J267" s="10"/>
      <c r="K267" s="10"/>
      <c r="L267" s="10" t="s">
        <v>151</v>
      </c>
      <c r="M267" s="11">
        <f t="shared" si="9"/>
        <v>0</v>
      </c>
    </row>
    <row r="268" spans="1:13" ht="26.4" x14ac:dyDescent="0.3">
      <c r="A268" s="10" t="s">
        <v>254</v>
      </c>
      <c r="B268" s="14">
        <v>46244</v>
      </c>
      <c r="C268" s="11">
        <f t="shared" si="8"/>
        <v>202608</v>
      </c>
      <c r="D268" s="15">
        <v>1</v>
      </c>
      <c r="E268" s="10" t="s">
        <v>95</v>
      </c>
      <c r="F268" s="13" t="str">
        <f>IFERROR(INDEX(tbl_pontos[Categoria],MATCH(E268,tbl_pontos[ID_Ponto],0)),"")</f>
        <v>2. Eficiência e Manutenção</v>
      </c>
      <c r="G268" s="10" t="s">
        <v>165</v>
      </c>
      <c r="H268" s="10"/>
      <c r="I268" s="10"/>
      <c r="J268" s="10"/>
      <c r="K268" s="10"/>
      <c r="L268" s="10" t="s">
        <v>151</v>
      </c>
      <c r="M268" s="11">
        <f t="shared" si="9"/>
        <v>0</v>
      </c>
    </row>
    <row r="269" spans="1:13" ht="26.4" x14ac:dyDescent="0.3">
      <c r="A269" s="10" t="s">
        <v>254</v>
      </c>
      <c r="B269" s="14">
        <v>46244</v>
      </c>
      <c r="C269" s="11">
        <f t="shared" si="8"/>
        <v>202608</v>
      </c>
      <c r="D269" s="15">
        <v>1</v>
      </c>
      <c r="E269" s="10" t="s">
        <v>103</v>
      </c>
      <c r="F269" s="13" t="str">
        <f>IFERROR(INDEX(tbl_pontos[Categoria],MATCH(E269,tbl_pontos[ID_Ponto],0)),"")</f>
        <v>2. Eficiência e Manutenção</v>
      </c>
      <c r="G269" s="10" t="s">
        <v>165</v>
      </c>
      <c r="H269" s="10"/>
      <c r="I269" s="10"/>
      <c r="J269" s="10"/>
      <c r="K269" s="10"/>
      <c r="L269" s="10" t="s">
        <v>151</v>
      </c>
      <c r="M269" s="11">
        <f t="shared" si="9"/>
        <v>0</v>
      </c>
    </row>
    <row r="270" spans="1:13" ht="26.4" x14ac:dyDescent="0.3">
      <c r="A270" s="10" t="s">
        <v>254</v>
      </c>
      <c r="B270" s="14">
        <v>46244</v>
      </c>
      <c r="C270" s="11">
        <f t="shared" si="8"/>
        <v>202608</v>
      </c>
      <c r="D270" s="15">
        <v>2</v>
      </c>
      <c r="E270" s="10" t="s">
        <v>124</v>
      </c>
      <c r="F270" s="13" t="str">
        <f>IFERROR(INDEX(tbl_pontos[Categoria],MATCH(E270,tbl_pontos[ID_Ponto],0)),"")</f>
        <v>4. Gestão de Resíduos</v>
      </c>
      <c r="G270" s="10" t="s">
        <v>165</v>
      </c>
      <c r="H270" s="10"/>
      <c r="I270" s="10"/>
      <c r="J270" s="10"/>
      <c r="K270" s="10"/>
      <c r="L270" s="10" t="s">
        <v>151</v>
      </c>
      <c r="M270" s="11">
        <f t="shared" si="9"/>
        <v>0</v>
      </c>
    </row>
    <row r="271" spans="1:13" ht="26.4" x14ac:dyDescent="0.3">
      <c r="A271" s="10" t="s">
        <v>254</v>
      </c>
      <c r="B271" s="14">
        <v>46244</v>
      </c>
      <c r="C271" s="11">
        <f t="shared" si="8"/>
        <v>202608</v>
      </c>
      <c r="D271" s="15">
        <v>3</v>
      </c>
      <c r="E271" s="10" t="s">
        <v>131</v>
      </c>
      <c r="F271" s="13" t="str">
        <f>IFERROR(INDEX(tbl_pontos[Categoria],MATCH(E271,tbl_pontos[ID_Ponto],0)),"")</f>
        <v>4. Gestão de Resíduos</v>
      </c>
      <c r="G271" s="10" t="s">
        <v>165</v>
      </c>
      <c r="H271" s="10"/>
      <c r="I271" s="10"/>
      <c r="J271" s="10"/>
      <c r="K271" s="10"/>
      <c r="L271" s="10" t="s">
        <v>151</v>
      </c>
      <c r="M271" s="11">
        <f t="shared" si="9"/>
        <v>0</v>
      </c>
    </row>
    <row r="272" spans="1:13" ht="26.4" x14ac:dyDescent="0.3">
      <c r="A272" s="10" t="s">
        <v>254</v>
      </c>
      <c r="B272" s="14">
        <v>46244</v>
      </c>
      <c r="C272" s="11">
        <f t="shared" si="8"/>
        <v>202608</v>
      </c>
      <c r="D272" s="15">
        <v>1</v>
      </c>
      <c r="E272" s="10" t="s">
        <v>136</v>
      </c>
      <c r="F272" s="13" t="str">
        <f>IFERROR(INDEX(tbl_pontos[Categoria],MATCH(E272,tbl_pontos[ID_Ponto],0)),"")</f>
        <v>5. Perdas de granulado e energia (extra)</v>
      </c>
      <c r="G272" s="10" t="s">
        <v>165</v>
      </c>
      <c r="H272" s="10"/>
      <c r="I272" s="10"/>
      <c r="J272" s="10"/>
      <c r="K272" s="10"/>
      <c r="L272" s="10" t="s">
        <v>151</v>
      </c>
      <c r="M272" s="11">
        <f t="shared" si="9"/>
        <v>0</v>
      </c>
    </row>
    <row r="273" spans="1:13" ht="26.4" x14ac:dyDescent="0.3">
      <c r="A273" s="10" t="s">
        <v>254</v>
      </c>
      <c r="B273" s="14">
        <v>46244</v>
      </c>
      <c r="C273" s="11">
        <f t="shared" si="8"/>
        <v>202608</v>
      </c>
      <c r="D273" s="15">
        <v>1</v>
      </c>
      <c r="E273" s="10" t="s">
        <v>148</v>
      </c>
      <c r="F273" s="13" t="str">
        <f>IFERROR(INDEX(tbl_pontos[Categoria],MATCH(E273,tbl_pontos[ID_Ponto],0)),"")</f>
        <v>5. Perdas de granulado e energia (extra)</v>
      </c>
      <c r="G273" s="10" t="s">
        <v>166</v>
      </c>
      <c r="H273" s="10" t="s">
        <v>167</v>
      </c>
      <c r="I273" s="10" t="s">
        <v>168</v>
      </c>
      <c r="J273" s="10"/>
      <c r="K273" s="10" t="s">
        <v>255</v>
      </c>
      <c r="L273" s="10" t="s">
        <v>151</v>
      </c>
      <c r="M273" s="11">
        <f t="shared" si="9"/>
        <v>1</v>
      </c>
    </row>
    <row r="274" spans="1:13" ht="26.4" x14ac:dyDescent="0.3">
      <c r="A274" s="10" t="s">
        <v>256</v>
      </c>
      <c r="B274" s="14">
        <v>46251</v>
      </c>
      <c r="C274" s="11">
        <f t="shared" si="8"/>
        <v>202608</v>
      </c>
      <c r="D274" s="15">
        <v>1</v>
      </c>
      <c r="E274" s="10" t="s">
        <v>77</v>
      </c>
      <c r="F274" s="13" t="str">
        <f>IFERROR(INDEX(tbl_pontos[Categoria],MATCH(E274,tbl_pontos[ID_Ponto],0)),"")</f>
        <v>1. Gestão de Produtos Químicos</v>
      </c>
      <c r="G274" s="10" t="s">
        <v>165</v>
      </c>
      <c r="H274" s="10"/>
      <c r="I274" s="10"/>
      <c r="J274" s="10"/>
      <c r="K274" s="10"/>
      <c r="L274" s="10" t="s">
        <v>84</v>
      </c>
      <c r="M274" s="11">
        <f t="shared" si="9"/>
        <v>0</v>
      </c>
    </row>
    <row r="275" spans="1:13" ht="26.4" x14ac:dyDescent="0.3">
      <c r="A275" s="10" t="s">
        <v>256</v>
      </c>
      <c r="B275" s="14">
        <v>46251</v>
      </c>
      <c r="C275" s="11">
        <f t="shared" si="8"/>
        <v>202608</v>
      </c>
      <c r="D275" s="15">
        <v>1</v>
      </c>
      <c r="E275" s="10" t="s">
        <v>88</v>
      </c>
      <c r="F275" s="13" t="str">
        <f>IFERROR(INDEX(tbl_pontos[Categoria],MATCH(E275,tbl_pontos[ID_Ponto],0)),"")</f>
        <v>1. Gestão de Produtos Químicos</v>
      </c>
      <c r="G275" s="10" t="s">
        <v>166</v>
      </c>
      <c r="H275" s="10" t="s">
        <v>175</v>
      </c>
      <c r="I275" s="10" t="s">
        <v>172</v>
      </c>
      <c r="J275" s="10"/>
      <c r="K275" s="10" t="s">
        <v>257</v>
      </c>
      <c r="L275" s="10" t="s">
        <v>84</v>
      </c>
      <c r="M275" s="11">
        <f t="shared" si="9"/>
        <v>1</v>
      </c>
    </row>
    <row r="276" spans="1:13" ht="26.4" x14ac:dyDescent="0.3">
      <c r="A276" s="10" t="s">
        <v>256</v>
      </c>
      <c r="B276" s="14">
        <v>46251</v>
      </c>
      <c r="C276" s="11">
        <f t="shared" si="8"/>
        <v>202608</v>
      </c>
      <c r="D276" s="15">
        <v>3</v>
      </c>
      <c r="E276" s="10" t="s">
        <v>95</v>
      </c>
      <c r="F276" s="13" t="str">
        <f>IFERROR(INDEX(tbl_pontos[Categoria],MATCH(E276,tbl_pontos[ID_Ponto],0)),"")</f>
        <v>2. Eficiência e Manutenção</v>
      </c>
      <c r="G276" s="10" t="s">
        <v>165</v>
      </c>
      <c r="H276" s="10"/>
      <c r="I276" s="10"/>
      <c r="J276" s="10"/>
      <c r="K276" s="10"/>
      <c r="L276" s="10" t="s">
        <v>84</v>
      </c>
      <c r="M276" s="11">
        <f t="shared" si="9"/>
        <v>0</v>
      </c>
    </row>
    <row r="277" spans="1:13" ht="26.4" x14ac:dyDescent="0.3">
      <c r="A277" s="10" t="s">
        <v>256</v>
      </c>
      <c r="B277" s="14">
        <v>46251</v>
      </c>
      <c r="C277" s="11">
        <f t="shared" si="8"/>
        <v>202608</v>
      </c>
      <c r="D277" s="15">
        <v>1</v>
      </c>
      <c r="E277" s="10" t="s">
        <v>103</v>
      </c>
      <c r="F277" s="13" t="str">
        <f>IFERROR(INDEX(tbl_pontos[Categoria],MATCH(E277,tbl_pontos[ID_Ponto],0)),"")</f>
        <v>2. Eficiência e Manutenção</v>
      </c>
      <c r="G277" s="10" t="s">
        <v>165</v>
      </c>
      <c r="H277" s="10"/>
      <c r="I277" s="10"/>
      <c r="J277" s="10"/>
      <c r="K277" s="10"/>
      <c r="L277" s="10" t="s">
        <v>84</v>
      </c>
      <c r="M277" s="11">
        <f t="shared" si="9"/>
        <v>0</v>
      </c>
    </row>
    <row r="278" spans="1:13" ht="26.4" x14ac:dyDescent="0.3">
      <c r="A278" s="10" t="s">
        <v>256</v>
      </c>
      <c r="B278" s="14">
        <v>46251</v>
      </c>
      <c r="C278" s="11">
        <f t="shared" si="8"/>
        <v>202608</v>
      </c>
      <c r="D278" s="15">
        <v>2</v>
      </c>
      <c r="E278" s="10" t="s">
        <v>124</v>
      </c>
      <c r="F278" s="13" t="str">
        <f>IFERROR(INDEX(tbl_pontos[Categoria],MATCH(E278,tbl_pontos[ID_Ponto],0)),"")</f>
        <v>4. Gestão de Resíduos</v>
      </c>
      <c r="G278" s="10" t="s">
        <v>165</v>
      </c>
      <c r="H278" s="10"/>
      <c r="I278" s="10"/>
      <c r="J278" s="10"/>
      <c r="K278" s="10"/>
      <c r="L278" s="10" t="s">
        <v>84</v>
      </c>
      <c r="M278" s="11">
        <f t="shared" si="9"/>
        <v>0</v>
      </c>
    </row>
    <row r="279" spans="1:13" ht="26.4" x14ac:dyDescent="0.3">
      <c r="A279" s="10" t="s">
        <v>256</v>
      </c>
      <c r="B279" s="14">
        <v>46251</v>
      </c>
      <c r="C279" s="11">
        <f t="shared" si="8"/>
        <v>202608</v>
      </c>
      <c r="D279" s="15">
        <v>1</v>
      </c>
      <c r="E279" s="10" t="s">
        <v>131</v>
      </c>
      <c r="F279" s="13" t="str">
        <f>IFERROR(INDEX(tbl_pontos[Categoria],MATCH(E279,tbl_pontos[ID_Ponto],0)),"")</f>
        <v>4. Gestão de Resíduos</v>
      </c>
      <c r="G279" s="10" t="s">
        <v>165</v>
      </c>
      <c r="H279" s="10"/>
      <c r="I279" s="10"/>
      <c r="J279" s="10"/>
      <c r="K279" s="10"/>
      <c r="L279" s="10" t="s">
        <v>84</v>
      </c>
      <c r="M279" s="11">
        <f t="shared" si="9"/>
        <v>0</v>
      </c>
    </row>
    <row r="280" spans="1:13" ht="26.4" x14ac:dyDescent="0.3">
      <c r="A280" s="10" t="s">
        <v>256</v>
      </c>
      <c r="B280" s="14">
        <v>46251</v>
      </c>
      <c r="C280" s="11">
        <f t="shared" si="8"/>
        <v>202608</v>
      </c>
      <c r="D280" s="15">
        <v>2</v>
      </c>
      <c r="E280" s="10" t="s">
        <v>136</v>
      </c>
      <c r="F280" s="13" t="str">
        <f>IFERROR(INDEX(tbl_pontos[Categoria],MATCH(E280,tbl_pontos[ID_Ponto],0)),"")</f>
        <v>5. Perdas de granulado e energia (extra)</v>
      </c>
      <c r="G280" s="10" t="s">
        <v>166</v>
      </c>
      <c r="H280" s="10" t="s">
        <v>171</v>
      </c>
      <c r="I280" s="10" t="s">
        <v>172</v>
      </c>
      <c r="J280" s="10"/>
      <c r="K280" s="10" t="s">
        <v>258</v>
      </c>
      <c r="L280" s="10" t="s">
        <v>84</v>
      </c>
      <c r="M280" s="11">
        <f t="shared" si="9"/>
        <v>1</v>
      </c>
    </row>
    <row r="281" spans="1:13" ht="26.4" x14ac:dyDescent="0.3">
      <c r="A281" s="10" t="s">
        <v>256</v>
      </c>
      <c r="B281" s="14">
        <v>46251</v>
      </c>
      <c r="C281" s="11">
        <f t="shared" si="8"/>
        <v>202608</v>
      </c>
      <c r="D281" s="15">
        <v>1</v>
      </c>
      <c r="E281" s="10" t="s">
        <v>148</v>
      </c>
      <c r="F281" s="13" t="str">
        <f>IFERROR(INDEX(tbl_pontos[Categoria],MATCH(E281,tbl_pontos[ID_Ponto],0)),"")</f>
        <v>5. Perdas de granulado e energia (extra)</v>
      </c>
      <c r="G281" s="10" t="s">
        <v>165</v>
      </c>
      <c r="H281" s="10"/>
      <c r="I281" s="10"/>
      <c r="J281" s="10"/>
      <c r="K281" s="10"/>
      <c r="L281" s="10" t="s">
        <v>84</v>
      </c>
      <c r="M281" s="11">
        <f t="shared" si="9"/>
        <v>0</v>
      </c>
    </row>
    <row r="282" spans="1:13" ht="26.4" x14ac:dyDescent="0.3">
      <c r="A282" s="10" t="s">
        <v>259</v>
      </c>
      <c r="B282" s="14">
        <v>46258</v>
      </c>
      <c r="C282" s="11">
        <f t="shared" si="8"/>
        <v>202608</v>
      </c>
      <c r="D282" s="15">
        <v>2</v>
      </c>
      <c r="E282" s="10" t="s">
        <v>77</v>
      </c>
      <c r="F282" s="13" t="str">
        <f>IFERROR(INDEX(tbl_pontos[Categoria],MATCH(E282,tbl_pontos[ID_Ponto],0)),"")</f>
        <v>1. Gestão de Produtos Químicos</v>
      </c>
      <c r="G282" s="10" t="s">
        <v>166</v>
      </c>
      <c r="H282" s="10" t="s">
        <v>225</v>
      </c>
      <c r="I282" s="10" t="s">
        <v>168</v>
      </c>
      <c r="J282" s="10"/>
      <c r="K282" s="10" t="s">
        <v>260</v>
      </c>
      <c r="L282" s="10" t="s">
        <v>151</v>
      </c>
      <c r="M282" s="11">
        <f t="shared" si="9"/>
        <v>1</v>
      </c>
    </row>
    <row r="283" spans="1:13" ht="26.4" x14ac:dyDescent="0.3">
      <c r="A283" s="10" t="s">
        <v>259</v>
      </c>
      <c r="B283" s="14">
        <v>46258</v>
      </c>
      <c r="C283" s="11">
        <f t="shared" si="8"/>
        <v>202608</v>
      </c>
      <c r="D283" s="15">
        <v>1</v>
      </c>
      <c r="E283" s="10" t="s">
        <v>88</v>
      </c>
      <c r="F283" s="13" t="str">
        <f>IFERROR(INDEX(tbl_pontos[Categoria],MATCH(E283,tbl_pontos[ID_Ponto],0)),"")</f>
        <v>1. Gestão de Produtos Químicos</v>
      </c>
      <c r="G283" s="10" t="s">
        <v>165</v>
      </c>
      <c r="H283" s="10"/>
      <c r="I283" s="10"/>
      <c r="J283" s="10"/>
      <c r="K283" s="10"/>
      <c r="L283" s="10" t="s">
        <v>151</v>
      </c>
      <c r="M283" s="11">
        <f t="shared" si="9"/>
        <v>0</v>
      </c>
    </row>
    <row r="284" spans="1:13" ht="26.4" x14ac:dyDescent="0.3">
      <c r="A284" s="10" t="s">
        <v>259</v>
      </c>
      <c r="B284" s="14">
        <v>46258</v>
      </c>
      <c r="C284" s="11">
        <f t="shared" si="8"/>
        <v>202608</v>
      </c>
      <c r="D284" s="15">
        <v>2</v>
      </c>
      <c r="E284" s="10" t="s">
        <v>95</v>
      </c>
      <c r="F284" s="13" t="str">
        <f>IFERROR(INDEX(tbl_pontos[Categoria],MATCH(E284,tbl_pontos[ID_Ponto],0)),"")</f>
        <v>2. Eficiência e Manutenção</v>
      </c>
      <c r="G284" s="10" t="s">
        <v>165</v>
      </c>
      <c r="H284" s="10"/>
      <c r="I284" s="10"/>
      <c r="J284" s="10"/>
      <c r="K284" s="10"/>
      <c r="L284" s="10" t="s">
        <v>151</v>
      </c>
      <c r="M284" s="11">
        <f t="shared" si="9"/>
        <v>0</v>
      </c>
    </row>
    <row r="285" spans="1:13" ht="26.4" x14ac:dyDescent="0.3">
      <c r="A285" s="10" t="s">
        <v>259</v>
      </c>
      <c r="B285" s="14">
        <v>46258</v>
      </c>
      <c r="C285" s="11">
        <f t="shared" si="8"/>
        <v>202608</v>
      </c>
      <c r="D285" s="15">
        <v>2</v>
      </c>
      <c r="E285" s="10" t="s">
        <v>103</v>
      </c>
      <c r="F285" s="13" t="str">
        <f>IFERROR(INDEX(tbl_pontos[Categoria],MATCH(E285,tbl_pontos[ID_Ponto],0)),"")</f>
        <v>2. Eficiência e Manutenção</v>
      </c>
      <c r="G285" s="10" t="s">
        <v>165</v>
      </c>
      <c r="H285" s="10"/>
      <c r="I285" s="10"/>
      <c r="J285" s="10"/>
      <c r="K285" s="10"/>
      <c r="L285" s="10" t="s">
        <v>151</v>
      </c>
      <c r="M285" s="11">
        <f t="shared" si="9"/>
        <v>0</v>
      </c>
    </row>
    <row r="286" spans="1:13" ht="26.4" x14ac:dyDescent="0.3">
      <c r="A286" s="10" t="s">
        <v>259</v>
      </c>
      <c r="B286" s="14">
        <v>46258</v>
      </c>
      <c r="C286" s="11">
        <f t="shared" si="8"/>
        <v>202608</v>
      </c>
      <c r="D286" s="15">
        <v>1</v>
      </c>
      <c r="E286" s="10" t="s">
        <v>124</v>
      </c>
      <c r="F286" s="13" t="str">
        <f>IFERROR(INDEX(tbl_pontos[Categoria],MATCH(E286,tbl_pontos[ID_Ponto],0)),"")</f>
        <v>4. Gestão de Resíduos</v>
      </c>
      <c r="G286" s="10" t="s">
        <v>165</v>
      </c>
      <c r="H286" s="10"/>
      <c r="I286" s="10"/>
      <c r="J286" s="10"/>
      <c r="K286" s="10"/>
      <c r="L286" s="10" t="s">
        <v>151</v>
      </c>
      <c r="M286" s="11">
        <f t="shared" si="9"/>
        <v>0</v>
      </c>
    </row>
    <row r="287" spans="1:13" ht="26.4" x14ac:dyDescent="0.3">
      <c r="A287" s="10" t="s">
        <v>259</v>
      </c>
      <c r="B287" s="14">
        <v>46258</v>
      </c>
      <c r="C287" s="11">
        <f t="shared" si="8"/>
        <v>202608</v>
      </c>
      <c r="D287" s="15">
        <v>1</v>
      </c>
      <c r="E287" s="10" t="s">
        <v>131</v>
      </c>
      <c r="F287" s="13" t="str">
        <f>IFERROR(INDEX(tbl_pontos[Categoria],MATCH(E287,tbl_pontos[ID_Ponto],0)),"")</f>
        <v>4. Gestão de Resíduos</v>
      </c>
      <c r="G287" s="10" t="s">
        <v>165</v>
      </c>
      <c r="H287" s="10"/>
      <c r="I287" s="10"/>
      <c r="J287" s="10"/>
      <c r="K287" s="10"/>
      <c r="L287" s="10" t="s">
        <v>151</v>
      </c>
      <c r="M287" s="11">
        <f t="shared" si="9"/>
        <v>0</v>
      </c>
    </row>
    <row r="288" spans="1:13" ht="26.4" x14ac:dyDescent="0.3">
      <c r="A288" s="10" t="s">
        <v>259</v>
      </c>
      <c r="B288" s="14">
        <v>46258</v>
      </c>
      <c r="C288" s="11">
        <f t="shared" si="8"/>
        <v>202608</v>
      </c>
      <c r="D288" s="15">
        <v>1</v>
      </c>
      <c r="E288" s="10" t="s">
        <v>136</v>
      </c>
      <c r="F288" s="13" t="str">
        <f>IFERROR(INDEX(tbl_pontos[Categoria],MATCH(E288,tbl_pontos[ID_Ponto],0)),"")</f>
        <v>5. Perdas de granulado e energia (extra)</v>
      </c>
      <c r="G288" s="10" t="s">
        <v>165</v>
      </c>
      <c r="H288" s="10"/>
      <c r="I288" s="10"/>
      <c r="J288" s="10"/>
      <c r="K288" s="10"/>
      <c r="L288" s="10" t="s">
        <v>151</v>
      </c>
      <c r="M288" s="11">
        <f t="shared" si="9"/>
        <v>0</v>
      </c>
    </row>
    <row r="289" spans="1:13" ht="26.4" x14ac:dyDescent="0.3">
      <c r="A289" s="10" t="s">
        <v>259</v>
      </c>
      <c r="B289" s="14">
        <v>46258</v>
      </c>
      <c r="C289" s="11">
        <f t="shared" si="8"/>
        <v>202608</v>
      </c>
      <c r="D289" s="15">
        <v>1</v>
      </c>
      <c r="E289" s="10" t="s">
        <v>148</v>
      </c>
      <c r="F289" s="13" t="str">
        <f>IFERROR(INDEX(tbl_pontos[Categoria],MATCH(E289,tbl_pontos[ID_Ponto],0)),"")</f>
        <v>5. Perdas de granulado e energia (extra)</v>
      </c>
      <c r="G289" s="10" t="s">
        <v>165</v>
      </c>
      <c r="H289" s="10"/>
      <c r="I289" s="10"/>
      <c r="J289" s="10"/>
      <c r="K289" s="10"/>
      <c r="L289" s="10" t="s">
        <v>151</v>
      </c>
      <c r="M289" s="11">
        <f t="shared" si="9"/>
        <v>0</v>
      </c>
    </row>
    <row r="290" spans="1:13" ht="26.4" x14ac:dyDescent="0.3">
      <c r="A290" s="10" t="s">
        <v>261</v>
      </c>
      <c r="B290" s="14">
        <v>46265</v>
      </c>
      <c r="C290" s="11">
        <f t="shared" si="8"/>
        <v>202608</v>
      </c>
      <c r="D290" s="15">
        <v>1</v>
      </c>
      <c r="E290" s="10" t="s">
        <v>77</v>
      </c>
      <c r="F290" s="13" t="str">
        <f>IFERROR(INDEX(tbl_pontos[Categoria],MATCH(E290,tbl_pontos[ID_Ponto],0)),"")</f>
        <v>1. Gestão de Produtos Químicos</v>
      </c>
      <c r="G290" s="10" t="s">
        <v>166</v>
      </c>
      <c r="H290" s="10" t="s">
        <v>225</v>
      </c>
      <c r="I290" s="10" t="s">
        <v>168</v>
      </c>
      <c r="J290" s="10"/>
      <c r="K290" s="10" t="s">
        <v>262</v>
      </c>
      <c r="L290" s="10" t="s">
        <v>84</v>
      </c>
      <c r="M290" s="11">
        <f t="shared" si="9"/>
        <v>1</v>
      </c>
    </row>
    <row r="291" spans="1:13" ht="26.4" x14ac:dyDescent="0.3">
      <c r="A291" s="10" t="s">
        <v>261</v>
      </c>
      <c r="B291" s="14">
        <v>46265</v>
      </c>
      <c r="C291" s="11">
        <f t="shared" si="8"/>
        <v>202608</v>
      </c>
      <c r="D291" s="15">
        <v>1</v>
      </c>
      <c r="E291" s="10" t="s">
        <v>88</v>
      </c>
      <c r="F291" s="13" t="str">
        <f>IFERROR(INDEX(tbl_pontos[Categoria],MATCH(E291,tbl_pontos[ID_Ponto],0)),"")</f>
        <v>1. Gestão de Produtos Químicos</v>
      </c>
      <c r="G291" s="10" t="s">
        <v>165</v>
      </c>
      <c r="H291" s="10"/>
      <c r="I291" s="10"/>
      <c r="J291" s="10"/>
      <c r="K291" s="10"/>
      <c r="L291" s="10" t="s">
        <v>84</v>
      </c>
      <c r="M291" s="11">
        <f t="shared" si="9"/>
        <v>0</v>
      </c>
    </row>
    <row r="292" spans="1:13" ht="26.4" x14ac:dyDescent="0.3">
      <c r="A292" s="10" t="s">
        <v>261</v>
      </c>
      <c r="B292" s="14">
        <v>46265</v>
      </c>
      <c r="C292" s="11">
        <f t="shared" si="8"/>
        <v>202608</v>
      </c>
      <c r="D292" s="15">
        <v>1</v>
      </c>
      <c r="E292" s="10" t="s">
        <v>95</v>
      </c>
      <c r="F292" s="13" t="str">
        <f>IFERROR(INDEX(tbl_pontos[Categoria],MATCH(E292,tbl_pontos[ID_Ponto],0)),"")</f>
        <v>2. Eficiência e Manutenção</v>
      </c>
      <c r="G292" s="10" t="s">
        <v>166</v>
      </c>
      <c r="H292" s="10" t="s">
        <v>178</v>
      </c>
      <c r="I292" s="10" t="s">
        <v>172</v>
      </c>
      <c r="J292" s="10"/>
      <c r="K292" s="10" t="s">
        <v>263</v>
      </c>
      <c r="L292" s="10" t="s">
        <v>84</v>
      </c>
      <c r="M292" s="11">
        <f t="shared" si="9"/>
        <v>1</v>
      </c>
    </row>
    <row r="293" spans="1:13" ht="26.4" x14ac:dyDescent="0.3">
      <c r="A293" s="10" t="s">
        <v>261</v>
      </c>
      <c r="B293" s="14">
        <v>46265</v>
      </c>
      <c r="C293" s="11">
        <f t="shared" si="8"/>
        <v>202608</v>
      </c>
      <c r="D293" s="15">
        <v>1</v>
      </c>
      <c r="E293" s="10" t="s">
        <v>103</v>
      </c>
      <c r="F293" s="13" t="str">
        <f>IFERROR(INDEX(tbl_pontos[Categoria],MATCH(E293,tbl_pontos[ID_Ponto],0)),"")</f>
        <v>2. Eficiência e Manutenção</v>
      </c>
      <c r="G293" s="10" t="s">
        <v>165</v>
      </c>
      <c r="H293" s="10"/>
      <c r="I293" s="10"/>
      <c r="J293" s="10"/>
      <c r="K293" s="10"/>
      <c r="L293" s="10" t="s">
        <v>84</v>
      </c>
      <c r="M293" s="11">
        <f t="shared" si="9"/>
        <v>0</v>
      </c>
    </row>
    <row r="294" spans="1:13" ht="26.4" x14ac:dyDescent="0.3">
      <c r="A294" s="10" t="s">
        <v>261</v>
      </c>
      <c r="B294" s="14">
        <v>46265</v>
      </c>
      <c r="C294" s="11">
        <f t="shared" si="8"/>
        <v>202608</v>
      </c>
      <c r="D294" s="15">
        <v>2</v>
      </c>
      <c r="E294" s="10" t="s">
        <v>124</v>
      </c>
      <c r="F294" s="13" t="str">
        <f>IFERROR(INDEX(tbl_pontos[Categoria],MATCH(E294,tbl_pontos[ID_Ponto],0)),"")</f>
        <v>4. Gestão de Resíduos</v>
      </c>
      <c r="G294" s="10" t="s">
        <v>165</v>
      </c>
      <c r="H294" s="10"/>
      <c r="I294" s="10"/>
      <c r="J294" s="10"/>
      <c r="K294" s="10"/>
      <c r="L294" s="10" t="s">
        <v>84</v>
      </c>
      <c r="M294" s="11">
        <f t="shared" si="9"/>
        <v>0</v>
      </c>
    </row>
    <row r="295" spans="1:13" ht="26.4" x14ac:dyDescent="0.3">
      <c r="A295" s="10" t="s">
        <v>261</v>
      </c>
      <c r="B295" s="14">
        <v>46265</v>
      </c>
      <c r="C295" s="11">
        <f t="shared" si="8"/>
        <v>202608</v>
      </c>
      <c r="D295" s="15">
        <v>1</v>
      </c>
      <c r="E295" s="10" t="s">
        <v>131</v>
      </c>
      <c r="F295" s="13" t="str">
        <f>IFERROR(INDEX(tbl_pontos[Categoria],MATCH(E295,tbl_pontos[ID_Ponto],0)),"")</f>
        <v>4. Gestão de Resíduos</v>
      </c>
      <c r="G295" s="10" t="s">
        <v>165</v>
      </c>
      <c r="H295" s="10"/>
      <c r="I295" s="10"/>
      <c r="J295" s="10"/>
      <c r="K295" s="10"/>
      <c r="L295" s="10" t="s">
        <v>84</v>
      </c>
      <c r="M295" s="11">
        <f t="shared" si="9"/>
        <v>0</v>
      </c>
    </row>
    <row r="296" spans="1:13" ht="26.4" x14ac:dyDescent="0.3">
      <c r="A296" s="10" t="s">
        <v>261</v>
      </c>
      <c r="B296" s="14">
        <v>46265</v>
      </c>
      <c r="C296" s="11">
        <f t="shared" si="8"/>
        <v>202608</v>
      </c>
      <c r="D296" s="15">
        <v>3</v>
      </c>
      <c r="E296" s="10" t="s">
        <v>136</v>
      </c>
      <c r="F296" s="13" t="str">
        <f>IFERROR(INDEX(tbl_pontos[Categoria],MATCH(E296,tbl_pontos[ID_Ponto],0)),"")</f>
        <v>5. Perdas de granulado e energia (extra)</v>
      </c>
      <c r="G296" s="10" t="s">
        <v>165</v>
      </c>
      <c r="H296" s="10"/>
      <c r="I296" s="10"/>
      <c r="J296" s="10"/>
      <c r="K296" s="10"/>
      <c r="L296" s="10" t="s">
        <v>84</v>
      </c>
      <c r="M296" s="11">
        <f t="shared" si="9"/>
        <v>0</v>
      </c>
    </row>
    <row r="297" spans="1:13" ht="26.4" x14ac:dyDescent="0.3">
      <c r="A297" s="10" t="s">
        <v>261</v>
      </c>
      <c r="B297" s="14">
        <v>46265</v>
      </c>
      <c r="C297" s="11">
        <f t="shared" si="8"/>
        <v>202608</v>
      </c>
      <c r="D297" s="15">
        <v>1</v>
      </c>
      <c r="E297" s="10" t="s">
        <v>148</v>
      </c>
      <c r="F297" s="13" t="str">
        <f>IFERROR(INDEX(tbl_pontos[Categoria],MATCH(E297,tbl_pontos[ID_Ponto],0)),"")</f>
        <v>5. Perdas de granulado e energia (extra)</v>
      </c>
      <c r="G297" s="10" t="s">
        <v>165</v>
      </c>
      <c r="H297" s="10"/>
      <c r="I297" s="10"/>
      <c r="J297" s="10"/>
      <c r="K297" s="10"/>
      <c r="L297" s="10" t="s">
        <v>84</v>
      </c>
      <c r="M297" s="11">
        <f t="shared" si="9"/>
        <v>0</v>
      </c>
    </row>
    <row r="298" spans="1:13" ht="26.4" x14ac:dyDescent="0.3">
      <c r="A298" s="10" t="s">
        <v>264</v>
      </c>
      <c r="B298" s="14">
        <v>46272</v>
      </c>
      <c r="C298" s="11">
        <f t="shared" si="8"/>
        <v>202609</v>
      </c>
      <c r="D298" s="15">
        <v>1</v>
      </c>
      <c r="E298" s="10" t="s">
        <v>77</v>
      </c>
      <c r="F298" s="13" t="str">
        <f>IFERROR(INDEX(tbl_pontos[Categoria],MATCH(E298,tbl_pontos[ID_Ponto],0)),"")</f>
        <v>1. Gestão de Produtos Químicos</v>
      </c>
      <c r="G298" s="10" t="s">
        <v>165</v>
      </c>
      <c r="H298" s="10"/>
      <c r="I298" s="10"/>
      <c r="J298" s="10"/>
      <c r="K298" s="10"/>
      <c r="L298" s="10" t="s">
        <v>151</v>
      </c>
      <c r="M298" s="11">
        <f t="shared" si="9"/>
        <v>0</v>
      </c>
    </row>
    <row r="299" spans="1:13" ht="26.4" x14ac:dyDescent="0.3">
      <c r="A299" s="10" t="s">
        <v>264</v>
      </c>
      <c r="B299" s="14">
        <v>46272</v>
      </c>
      <c r="C299" s="11">
        <f t="shared" si="8"/>
        <v>202609</v>
      </c>
      <c r="D299" s="15">
        <v>1</v>
      </c>
      <c r="E299" s="10" t="s">
        <v>88</v>
      </c>
      <c r="F299" s="13" t="str">
        <f>IFERROR(INDEX(tbl_pontos[Categoria],MATCH(E299,tbl_pontos[ID_Ponto],0)),"")</f>
        <v>1. Gestão de Produtos Químicos</v>
      </c>
      <c r="G299" s="10" t="s">
        <v>166</v>
      </c>
      <c r="H299" s="10" t="s">
        <v>175</v>
      </c>
      <c r="I299" s="10" t="s">
        <v>172</v>
      </c>
      <c r="J299" s="10"/>
      <c r="K299" s="10" t="s">
        <v>265</v>
      </c>
      <c r="L299" s="10" t="s">
        <v>151</v>
      </c>
      <c r="M299" s="11">
        <f t="shared" si="9"/>
        <v>1</v>
      </c>
    </row>
    <row r="300" spans="1:13" ht="26.4" x14ac:dyDescent="0.3">
      <c r="A300" s="10" t="s">
        <v>264</v>
      </c>
      <c r="B300" s="14">
        <v>46272</v>
      </c>
      <c r="C300" s="11">
        <f t="shared" si="8"/>
        <v>202609</v>
      </c>
      <c r="D300" s="15">
        <v>1</v>
      </c>
      <c r="E300" s="10" t="s">
        <v>95</v>
      </c>
      <c r="F300" s="13" t="str">
        <f>IFERROR(INDEX(tbl_pontos[Categoria],MATCH(E300,tbl_pontos[ID_Ponto],0)),"")</f>
        <v>2. Eficiência e Manutenção</v>
      </c>
      <c r="G300" s="10" t="s">
        <v>165</v>
      </c>
      <c r="H300" s="10"/>
      <c r="I300" s="10"/>
      <c r="J300" s="10"/>
      <c r="K300" s="10"/>
      <c r="L300" s="10" t="s">
        <v>151</v>
      </c>
      <c r="M300" s="11">
        <f t="shared" si="9"/>
        <v>0</v>
      </c>
    </row>
    <row r="301" spans="1:13" ht="26.4" x14ac:dyDescent="0.3">
      <c r="A301" s="10" t="s">
        <v>264</v>
      </c>
      <c r="B301" s="14">
        <v>46272</v>
      </c>
      <c r="C301" s="11">
        <f t="shared" si="8"/>
        <v>202609</v>
      </c>
      <c r="D301" s="15">
        <v>2</v>
      </c>
      <c r="E301" s="10" t="s">
        <v>103</v>
      </c>
      <c r="F301" s="13" t="str">
        <f>IFERROR(INDEX(tbl_pontos[Categoria],MATCH(E301,tbl_pontos[ID_Ponto],0)),"")</f>
        <v>2. Eficiência e Manutenção</v>
      </c>
      <c r="G301" s="10" t="s">
        <v>165</v>
      </c>
      <c r="H301" s="10"/>
      <c r="I301" s="10"/>
      <c r="J301" s="10"/>
      <c r="K301" s="10"/>
      <c r="L301" s="10" t="s">
        <v>151</v>
      </c>
      <c r="M301" s="11">
        <f t="shared" si="9"/>
        <v>0</v>
      </c>
    </row>
    <row r="302" spans="1:13" ht="26.4" x14ac:dyDescent="0.3">
      <c r="A302" s="10" t="s">
        <v>264</v>
      </c>
      <c r="B302" s="14">
        <v>46272</v>
      </c>
      <c r="C302" s="11">
        <f t="shared" si="8"/>
        <v>202609</v>
      </c>
      <c r="D302" s="15">
        <v>1</v>
      </c>
      <c r="E302" s="10" t="s">
        <v>109</v>
      </c>
      <c r="F302" s="13" t="str">
        <f>IFERROR(INDEX(tbl_pontos[Categoria],MATCH(E302,tbl_pontos[ID_Ponto],0)),"")</f>
        <v>3. Emergência</v>
      </c>
      <c r="G302" s="10" t="s">
        <v>165</v>
      </c>
      <c r="H302" s="10"/>
      <c r="I302" s="10"/>
      <c r="J302" s="10"/>
      <c r="K302" s="10"/>
      <c r="L302" s="10" t="s">
        <v>151</v>
      </c>
      <c r="M302" s="11">
        <f t="shared" si="9"/>
        <v>0</v>
      </c>
    </row>
    <row r="303" spans="1:13" ht="26.4" x14ac:dyDescent="0.3">
      <c r="A303" s="10" t="s">
        <v>264</v>
      </c>
      <c r="B303" s="14">
        <v>46272</v>
      </c>
      <c r="C303" s="11">
        <f t="shared" si="8"/>
        <v>202609</v>
      </c>
      <c r="D303" s="15">
        <v>2</v>
      </c>
      <c r="E303" s="10" t="s">
        <v>119</v>
      </c>
      <c r="F303" s="13" t="str">
        <f>IFERROR(INDEX(tbl_pontos[Categoria],MATCH(E303,tbl_pontos[ID_Ponto],0)),"")</f>
        <v>3. Emergência</v>
      </c>
      <c r="G303" s="10" t="s">
        <v>165</v>
      </c>
      <c r="H303" s="10"/>
      <c r="I303" s="10"/>
      <c r="J303" s="10"/>
      <c r="K303" s="10"/>
      <c r="L303" s="10" t="s">
        <v>151</v>
      </c>
      <c r="M303" s="11">
        <f t="shared" si="9"/>
        <v>0</v>
      </c>
    </row>
    <row r="304" spans="1:13" ht="26.4" x14ac:dyDescent="0.3">
      <c r="A304" s="10" t="s">
        <v>264</v>
      </c>
      <c r="B304" s="14">
        <v>46272</v>
      </c>
      <c r="C304" s="11">
        <f t="shared" si="8"/>
        <v>202609</v>
      </c>
      <c r="D304" s="15">
        <v>1</v>
      </c>
      <c r="E304" s="10" t="s">
        <v>124</v>
      </c>
      <c r="F304" s="13" t="str">
        <f>IFERROR(INDEX(tbl_pontos[Categoria],MATCH(E304,tbl_pontos[ID_Ponto],0)),"")</f>
        <v>4. Gestão de Resíduos</v>
      </c>
      <c r="G304" s="10" t="s">
        <v>165</v>
      </c>
      <c r="H304" s="10"/>
      <c r="I304" s="10"/>
      <c r="J304" s="10"/>
      <c r="K304" s="10"/>
      <c r="L304" s="10" t="s">
        <v>151</v>
      </c>
      <c r="M304" s="11">
        <f t="shared" si="9"/>
        <v>0</v>
      </c>
    </row>
    <row r="305" spans="1:13" ht="26.4" x14ac:dyDescent="0.3">
      <c r="A305" s="10" t="s">
        <v>264</v>
      </c>
      <c r="B305" s="14">
        <v>46272</v>
      </c>
      <c r="C305" s="11">
        <f t="shared" si="8"/>
        <v>202609</v>
      </c>
      <c r="D305" s="15">
        <v>3</v>
      </c>
      <c r="E305" s="10" t="s">
        <v>131</v>
      </c>
      <c r="F305" s="13" t="str">
        <f>IFERROR(INDEX(tbl_pontos[Categoria],MATCH(E305,tbl_pontos[ID_Ponto],0)),"")</f>
        <v>4. Gestão de Resíduos</v>
      </c>
      <c r="G305" s="10" t="s">
        <v>165</v>
      </c>
      <c r="H305" s="10"/>
      <c r="I305" s="10"/>
      <c r="J305" s="10"/>
      <c r="K305" s="10"/>
      <c r="L305" s="10" t="s">
        <v>151</v>
      </c>
      <c r="M305" s="11">
        <f t="shared" si="9"/>
        <v>0</v>
      </c>
    </row>
    <row r="306" spans="1:13" ht="26.4" x14ac:dyDescent="0.3">
      <c r="A306" s="10" t="s">
        <v>264</v>
      </c>
      <c r="B306" s="14">
        <v>46272</v>
      </c>
      <c r="C306" s="11">
        <f t="shared" si="8"/>
        <v>202609</v>
      </c>
      <c r="D306" s="15">
        <v>1</v>
      </c>
      <c r="E306" s="10" t="s">
        <v>136</v>
      </c>
      <c r="F306" s="13" t="str">
        <f>IFERROR(INDEX(tbl_pontos[Categoria],MATCH(E306,tbl_pontos[ID_Ponto],0)),"")</f>
        <v>5. Perdas de granulado e energia (extra)</v>
      </c>
      <c r="G306" s="10" t="s">
        <v>165</v>
      </c>
      <c r="H306" s="10"/>
      <c r="I306" s="10"/>
      <c r="J306" s="10"/>
      <c r="K306" s="10"/>
      <c r="L306" s="10" t="s">
        <v>151</v>
      </c>
      <c r="M306" s="11">
        <f t="shared" si="9"/>
        <v>0</v>
      </c>
    </row>
    <row r="307" spans="1:13" ht="26.4" x14ac:dyDescent="0.3">
      <c r="A307" s="10" t="s">
        <v>264</v>
      </c>
      <c r="B307" s="14">
        <v>46272</v>
      </c>
      <c r="C307" s="11">
        <f t="shared" si="8"/>
        <v>202609</v>
      </c>
      <c r="D307" s="15">
        <v>2</v>
      </c>
      <c r="E307" s="10" t="s">
        <v>148</v>
      </c>
      <c r="F307" s="13" t="str">
        <f>IFERROR(INDEX(tbl_pontos[Categoria],MATCH(E307,tbl_pontos[ID_Ponto],0)),"")</f>
        <v>5. Perdas de granulado e energia (extra)</v>
      </c>
      <c r="G307" s="10" t="s">
        <v>165</v>
      </c>
      <c r="H307" s="10"/>
      <c r="I307" s="10"/>
      <c r="J307" s="10"/>
      <c r="K307" s="10"/>
      <c r="L307" s="10" t="s">
        <v>151</v>
      </c>
      <c r="M307" s="11">
        <f t="shared" si="9"/>
        <v>0</v>
      </c>
    </row>
    <row r="308" spans="1:13" ht="26.4" x14ac:dyDescent="0.3">
      <c r="A308" s="10" t="s">
        <v>266</v>
      </c>
      <c r="B308" s="14">
        <v>46279</v>
      </c>
      <c r="C308" s="11">
        <f t="shared" si="8"/>
        <v>202609</v>
      </c>
      <c r="D308" s="15">
        <v>1</v>
      </c>
      <c r="E308" s="10" t="s">
        <v>77</v>
      </c>
      <c r="F308" s="13" t="str">
        <f>IFERROR(INDEX(tbl_pontos[Categoria],MATCH(E308,tbl_pontos[ID_Ponto],0)),"")</f>
        <v>1. Gestão de Produtos Químicos</v>
      </c>
      <c r="G308" s="10" t="s">
        <v>165</v>
      </c>
      <c r="H308" s="10"/>
      <c r="I308" s="10"/>
      <c r="J308" s="10"/>
      <c r="K308" s="10"/>
      <c r="L308" s="10" t="s">
        <v>84</v>
      </c>
      <c r="M308" s="11">
        <f t="shared" si="9"/>
        <v>0</v>
      </c>
    </row>
    <row r="309" spans="1:13" ht="26.4" x14ac:dyDescent="0.3">
      <c r="A309" s="10" t="s">
        <v>266</v>
      </c>
      <c r="B309" s="14">
        <v>46279</v>
      </c>
      <c r="C309" s="11">
        <f t="shared" si="8"/>
        <v>202609</v>
      </c>
      <c r="D309" s="15">
        <v>1</v>
      </c>
      <c r="E309" s="10" t="s">
        <v>88</v>
      </c>
      <c r="F309" s="13" t="str">
        <f>IFERROR(INDEX(tbl_pontos[Categoria],MATCH(E309,tbl_pontos[ID_Ponto],0)),"")</f>
        <v>1. Gestão de Produtos Químicos</v>
      </c>
      <c r="G309" s="10" t="s">
        <v>165</v>
      </c>
      <c r="H309" s="10"/>
      <c r="I309" s="10"/>
      <c r="J309" s="10"/>
      <c r="K309" s="10"/>
      <c r="L309" s="10" t="s">
        <v>84</v>
      </c>
      <c r="M309" s="11">
        <f t="shared" si="9"/>
        <v>0</v>
      </c>
    </row>
    <row r="310" spans="1:13" ht="26.4" x14ac:dyDescent="0.3">
      <c r="A310" s="10" t="s">
        <v>266</v>
      </c>
      <c r="B310" s="14">
        <v>46279</v>
      </c>
      <c r="C310" s="11">
        <f t="shared" si="8"/>
        <v>202609</v>
      </c>
      <c r="D310" s="15">
        <v>1</v>
      </c>
      <c r="E310" s="10" t="s">
        <v>95</v>
      </c>
      <c r="F310" s="13" t="str">
        <f>IFERROR(INDEX(tbl_pontos[Categoria],MATCH(E310,tbl_pontos[ID_Ponto],0)),"")</f>
        <v>2. Eficiência e Manutenção</v>
      </c>
      <c r="G310" s="10" t="s">
        <v>165</v>
      </c>
      <c r="H310" s="10"/>
      <c r="I310" s="10"/>
      <c r="J310" s="10"/>
      <c r="K310" s="10"/>
      <c r="L310" s="10" t="s">
        <v>84</v>
      </c>
      <c r="M310" s="11">
        <f t="shared" si="9"/>
        <v>0</v>
      </c>
    </row>
    <row r="311" spans="1:13" ht="26.4" x14ac:dyDescent="0.3">
      <c r="A311" s="10" t="s">
        <v>266</v>
      </c>
      <c r="B311" s="14">
        <v>46279</v>
      </c>
      <c r="C311" s="11">
        <f t="shared" si="8"/>
        <v>202609</v>
      </c>
      <c r="D311" s="15">
        <v>2</v>
      </c>
      <c r="E311" s="10" t="s">
        <v>103</v>
      </c>
      <c r="F311" s="13" t="str">
        <f>IFERROR(INDEX(tbl_pontos[Categoria],MATCH(E311,tbl_pontos[ID_Ponto],0)),"")</f>
        <v>2. Eficiência e Manutenção</v>
      </c>
      <c r="G311" s="10" t="s">
        <v>165</v>
      </c>
      <c r="H311" s="10"/>
      <c r="I311" s="10"/>
      <c r="J311" s="10"/>
      <c r="K311" s="10"/>
      <c r="L311" s="10" t="s">
        <v>84</v>
      </c>
      <c r="M311" s="11">
        <f t="shared" si="9"/>
        <v>0</v>
      </c>
    </row>
    <row r="312" spans="1:13" ht="26.4" x14ac:dyDescent="0.3">
      <c r="A312" s="10" t="s">
        <v>266</v>
      </c>
      <c r="B312" s="14">
        <v>46279</v>
      </c>
      <c r="C312" s="11">
        <f t="shared" si="8"/>
        <v>202609</v>
      </c>
      <c r="D312" s="15">
        <v>1</v>
      </c>
      <c r="E312" s="10" t="s">
        <v>109</v>
      </c>
      <c r="F312" s="13" t="str">
        <f>IFERROR(INDEX(tbl_pontos[Categoria],MATCH(E312,tbl_pontos[ID_Ponto],0)),"")</f>
        <v>3. Emergência</v>
      </c>
      <c r="G312" s="10" t="s">
        <v>165</v>
      </c>
      <c r="H312" s="10"/>
      <c r="I312" s="10"/>
      <c r="J312" s="10"/>
      <c r="K312" s="10"/>
      <c r="L312" s="10" t="s">
        <v>84</v>
      </c>
      <c r="M312" s="11">
        <f t="shared" si="9"/>
        <v>0</v>
      </c>
    </row>
    <row r="313" spans="1:13" ht="26.4" x14ac:dyDescent="0.3">
      <c r="A313" s="10" t="s">
        <v>266</v>
      </c>
      <c r="B313" s="14">
        <v>46280</v>
      </c>
      <c r="C313" s="11">
        <f t="shared" si="8"/>
        <v>202609</v>
      </c>
      <c r="D313" s="15">
        <v>1</v>
      </c>
      <c r="E313" s="10" t="s">
        <v>119</v>
      </c>
      <c r="F313" s="13" t="str">
        <f>IFERROR(INDEX(tbl_pontos[Categoria],MATCH(E313,tbl_pontos[ID_Ponto],0)),"")</f>
        <v>3. Emergência</v>
      </c>
      <c r="G313" s="10" t="s">
        <v>166</v>
      </c>
      <c r="H313" s="10" t="s">
        <v>267</v>
      </c>
      <c r="I313" s="10" t="s">
        <v>172</v>
      </c>
      <c r="J313" s="10" t="s">
        <v>268</v>
      </c>
      <c r="K313" s="10" t="s">
        <v>269</v>
      </c>
      <c r="L313" s="10" t="s">
        <v>84</v>
      </c>
      <c r="M313" s="11">
        <f t="shared" si="9"/>
        <v>1</v>
      </c>
    </row>
    <row r="314" spans="1:13" ht="26.4" x14ac:dyDescent="0.3">
      <c r="A314" s="10" t="s">
        <v>266</v>
      </c>
      <c r="B314" s="14">
        <v>46279</v>
      </c>
      <c r="C314" s="11">
        <f t="shared" si="8"/>
        <v>202609</v>
      </c>
      <c r="D314" s="15">
        <v>1</v>
      </c>
      <c r="E314" s="10" t="s">
        <v>124</v>
      </c>
      <c r="F314" s="13" t="str">
        <f>IFERROR(INDEX(tbl_pontos[Categoria],MATCH(E314,tbl_pontos[ID_Ponto],0)),"")</f>
        <v>4. Gestão de Resíduos</v>
      </c>
      <c r="G314" s="10" t="s">
        <v>165</v>
      </c>
      <c r="H314" s="10"/>
      <c r="I314" s="10"/>
      <c r="J314" s="10"/>
      <c r="K314" s="10"/>
      <c r="L314" s="10" t="s">
        <v>84</v>
      </c>
      <c r="M314" s="11">
        <f t="shared" si="9"/>
        <v>0</v>
      </c>
    </row>
    <row r="315" spans="1:13" ht="26.4" x14ac:dyDescent="0.3">
      <c r="A315" s="10" t="s">
        <v>266</v>
      </c>
      <c r="B315" s="14">
        <v>46279</v>
      </c>
      <c r="C315" s="11">
        <f t="shared" si="8"/>
        <v>202609</v>
      </c>
      <c r="D315" s="15">
        <v>1</v>
      </c>
      <c r="E315" s="10" t="s">
        <v>131</v>
      </c>
      <c r="F315" s="13" t="str">
        <f>IFERROR(INDEX(tbl_pontos[Categoria],MATCH(E315,tbl_pontos[ID_Ponto],0)),"")</f>
        <v>4. Gestão de Resíduos</v>
      </c>
      <c r="G315" s="10" t="s">
        <v>165</v>
      </c>
      <c r="H315" s="10"/>
      <c r="I315" s="10"/>
      <c r="J315" s="10"/>
      <c r="K315" s="10"/>
      <c r="L315" s="10" t="s">
        <v>84</v>
      </c>
      <c r="M315" s="11">
        <f t="shared" si="9"/>
        <v>0</v>
      </c>
    </row>
    <row r="316" spans="1:13" ht="26.4" x14ac:dyDescent="0.3">
      <c r="A316" s="10" t="s">
        <v>266</v>
      </c>
      <c r="B316" s="14">
        <v>46279</v>
      </c>
      <c r="C316" s="11">
        <f t="shared" si="8"/>
        <v>202609</v>
      </c>
      <c r="D316" s="15">
        <v>1</v>
      </c>
      <c r="E316" s="10" t="s">
        <v>136</v>
      </c>
      <c r="F316" s="13" t="str">
        <f>IFERROR(INDEX(tbl_pontos[Categoria],MATCH(E316,tbl_pontos[ID_Ponto],0)),"")</f>
        <v>5. Perdas de granulado e energia (extra)</v>
      </c>
      <c r="G316" s="10" t="s">
        <v>165</v>
      </c>
      <c r="H316" s="10"/>
      <c r="I316" s="10"/>
      <c r="J316" s="10"/>
      <c r="K316" s="10"/>
      <c r="L316" s="10" t="s">
        <v>84</v>
      </c>
      <c r="M316" s="11">
        <f t="shared" si="9"/>
        <v>0</v>
      </c>
    </row>
    <row r="317" spans="1:13" ht="26.4" x14ac:dyDescent="0.3">
      <c r="A317" s="10" t="s">
        <v>266</v>
      </c>
      <c r="B317" s="14">
        <v>46279</v>
      </c>
      <c r="C317" s="11">
        <f t="shared" si="8"/>
        <v>202609</v>
      </c>
      <c r="D317" s="15">
        <v>2</v>
      </c>
      <c r="E317" s="10" t="s">
        <v>148</v>
      </c>
      <c r="F317" s="13" t="str">
        <f>IFERROR(INDEX(tbl_pontos[Categoria],MATCH(E317,tbl_pontos[ID_Ponto],0)),"")</f>
        <v>5. Perdas de granulado e energia (extra)</v>
      </c>
      <c r="G317" s="10" t="s">
        <v>166</v>
      </c>
      <c r="H317" s="10" t="s">
        <v>167</v>
      </c>
      <c r="I317" s="10" t="s">
        <v>168</v>
      </c>
      <c r="J317" s="10"/>
      <c r="K317" s="10" t="s">
        <v>270</v>
      </c>
      <c r="L317" s="10" t="s">
        <v>84</v>
      </c>
      <c r="M317" s="11">
        <f t="shared" si="9"/>
        <v>1</v>
      </c>
    </row>
    <row r="318" spans="1:13" ht="26.4" x14ac:dyDescent="0.3">
      <c r="A318" s="10" t="s">
        <v>271</v>
      </c>
      <c r="B318" s="14">
        <v>46286</v>
      </c>
      <c r="C318" s="11">
        <f t="shared" si="8"/>
        <v>202609</v>
      </c>
      <c r="D318" s="15">
        <v>1</v>
      </c>
      <c r="E318" s="10" t="s">
        <v>77</v>
      </c>
      <c r="F318" s="13" t="str">
        <f>IFERROR(INDEX(tbl_pontos[Categoria],MATCH(E318,tbl_pontos[ID_Ponto],0)),"")</f>
        <v>1. Gestão de Produtos Químicos</v>
      </c>
      <c r="G318" s="10" t="s">
        <v>165</v>
      </c>
      <c r="H318" s="10"/>
      <c r="I318" s="10"/>
      <c r="J318" s="10"/>
      <c r="K318" s="10"/>
      <c r="L318" s="10" t="s">
        <v>151</v>
      </c>
      <c r="M318" s="11">
        <f t="shared" si="9"/>
        <v>0</v>
      </c>
    </row>
    <row r="319" spans="1:13" ht="26.4" x14ac:dyDescent="0.3">
      <c r="A319" s="10" t="s">
        <v>271</v>
      </c>
      <c r="B319" s="14">
        <v>46286</v>
      </c>
      <c r="C319" s="11">
        <f t="shared" si="8"/>
        <v>202609</v>
      </c>
      <c r="D319" s="15">
        <v>1</v>
      </c>
      <c r="E319" s="10" t="s">
        <v>88</v>
      </c>
      <c r="F319" s="13" t="str">
        <f>IFERROR(INDEX(tbl_pontos[Categoria],MATCH(E319,tbl_pontos[ID_Ponto],0)),"")</f>
        <v>1. Gestão de Produtos Químicos</v>
      </c>
      <c r="G319" s="10" t="s">
        <v>165</v>
      </c>
      <c r="H319" s="10"/>
      <c r="I319" s="10"/>
      <c r="J319" s="10"/>
      <c r="K319" s="10"/>
      <c r="L319" s="10" t="s">
        <v>151</v>
      </c>
      <c r="M319" s="11">
        <f t="shared" si="9"/>
        <v>0</v>
      </c>
    </row>
    <row r="320" spans="1:13" ht="26.4" x14ac:dyDescent="0.3">
      <c r="A320" s="10" t="s">
        <v>271</v>
      </c>
      <c r="B320" s="14">
        <v>46286</v>
      </c>
      <c r="C320" s="11">
        <f t="shared" si="8"/>
        <v>202609</v>
      </c>
      <c r="D320" s="15">
        <v>1</v>
      </c>
      <c r="E320" s="10" t="s">
        <v>95</v>
      </c>
      <c r="F320" s="13" t="str">
        <f>IFERROR(INDEX(tbl_pontos[Categoria],MATCH(E320,tbl_pontos[ID_Ponto],0)),"")</f>
        <v>2. Eficiência e Manutenção</v>
      </c>
      <c r="G320" s="10" t="s">
        <v>165</v>
      </c>
      <c r="H320" s="10"/>
      <c r="I320" s="10"/>
      <c r="J320" s="10"/>
      <c r="K320" s="10"/>
      <c r="L320" s="10" t="s">
        <v>151</v>
      </c>
      <c r="M320" s="11">
        <f t="shared" si="9"/>
        <v>0</v>
      </c>
    </row>
    <row r="321" spans="1:13" ht="26.4" x14ac:dyDescent="0.3">
      <c r="A321" s="10" t="s">
        <v>271</v>
      </c>
      <c r="B321" s="14">
        <v>46286</v>
      </c>
      <c r="C321" s="11">
        <f t="shared" si="8"/>
        <v>202609</v>
      </c>
      <c r="D321" s="15">
        <v>2</v>
      </c>
      <c r="E321" s="10" t="s">
        <v>103</v>
      </c>
      <c r="F321" s="13" t="str">
        <f>IFERROR(INDEX(tbl_pontos[Categoria],MATCH(E321,tbl_pontos[ID_Ponto],0)),"")</f>
        <v>2. Eficiência e Manutenção</v>
      </c>
      <c r="G321" s="10" t="s">
        <v>165</v>
      </c>
      <c r="H321" s="10"/>
      <c r="I321" s="10"/>
      <c r="J321" s="10"/>
      <c r="K321" s="10"/>
      <c r="L321" s="10" t="s">
        <v>151</v>
      </c>
      <c r="M321" s="11">
        <f t="shared" si="9"/>
        <v>0</v>
      </c>
    </row>
    <row r="322" spans="1:13" ht="26.4" x14ac:dyDescent="0.3">
      <c r="A322" s="10" t="s">
        <v>271</v>
      </c>
      <c r="B322" s="14">
        <v>46286</v>
      </c>
      <c r="C322" s="11">
        <f t="shared" ref="C322:C385" si="10">YEAR(B322)*100+MONTH(B322)</f>
        <v>202609</v>
      </c>
      <c r="D322" s="15">
        <v>1</v>
      </c>
      <c r="E322" s="10" t="s">
        <v>124</v>
      </c>
      <c r="F322" s="13" t="str">
        <f>IFERROR(INDEX(tbl_pontos[Categoria],MATCH(E322,tbl_pontos[ID_Ponto],0)),"")</f>
        <v>4. Gestão de Resíduos</v>
      </c>
      <c r="G322" s="10" t="s">
        <v>165</v>
      </c>
      <c r="H322" s="10"/>
      <c r="I322" s="10"/>
      <c r="J322" s="10"/>
      <c r="K322" s="10"/>
      <c r="L322" s="10" t="s">
        <v>151</v>
      </c>
      <c r="M322" s="11">
        <f t="shared" ref="M322:M385" si="11">IF(G322="Não conforme",1,0)</f>
        <v>0</v>
      </c>
    </row>
    <row r="323" spans="1:13" ht="26.4" x14ac:dyDescent="0.3">
      <c r="A323" s="10" t="s">
        <v>271</v>
      </c>
      <c r="B323" s="14">
        <v>46286</v>
      </c>
      <c r="C323" s="11">
        <f t="shared" si="10"/>
        <v>202609</v>
      </c>
      <c r="D323" s="15">
        <v>1</v>
      </c>
      <c r="E323" s="10" t="s">
        <v>131</v>
      </c>
      <c r="F323" s="13" t="str">
        <f>IFERROR(INDEX(tbl_pontos[Categoria],MATCH(E323,tbl_pontos[ID_Ponto],0)),"")</f>
        <v>4. Gestão de Resíduos</v>
      </c>
      <c r="G323" s="10" t="s">
        <v>165</v>
      </c>
      <c r="H323" s="10"/>
      <c r="I323" s="10"/>
      <c r="J323" s="10"/>
      <c r="K323" s="10"/>
      <c r="L323" s="10" t="s">
        <v>151</v>
      </c>
      <c r="M323" s="11">
        <f t="shared" si="11"/>
        <v>0</v>
      </c>
    </row>
    <row r="324" spans="1:13" ht="26.4" x14ac:dyDescent="0.3">
      <c r="A324" s="10" t="s">
        <v>271</v>
      </c>
      <c r="B324" s="14">
        <v>46286</v>
      </c>
      <c r="C324" s="11">
        <f t="shared" si="10"/>
        <v>202609</v>
      </c>
      <c r="D324" s="15">
        <v>3</v>
      </c>
      <c r="E324" s="10" t="s">
        <v>136</v>
      </c>
      <c r="F324" s="13" t="str">
        <f>IFERROR(INDEX(tbl_pontos[Categoria],MATCH(E324,tbl_pontos[ID_Ponto],0)),"")</f>
        <v>5. Perdas de granulado e energia (extra)</v>
      </c>
      <c r="G324" s="10" t="s">
        <v>165</v>
      </c>
      <c r="H324" s="10"/>
      <c r="I324" s="10"/>
      <c r="J324" s="10"/>
      <c r="K324" s="10"/>
      <c r="L324" s="10" t="s">
        <v>151</v>
      </c>
      <c r="M324" s="11">
        <f t="shared" si="11"/>
        <v>0</v>
      </c>
    </row>
    <row r="325" spans="1:13" ht="26.4" x14ac:dyDescent="0.3">
      <c r="A325" s="10" t="s">
        <v>271</v>
      </c>
      <c r="B325" s="14">
        <v>46286</v>
      </c>
      <c r="C325" s="11">
        <f t="shared" si="10"/>
        <v>202609</v>
      </c>
      <c r="D325" s="15">
        <v>2</v>
      </c>
      <c r="E325" s="10" t="s">
        <v>148</v>
      </c>
      <c r="F325" s="13" t="str">
        <f>IFERROR(INDEX(tbl_pontos[Categoria],MATCH(E325,tbl_pontos[ID_Ponto],0)),"")</f>
        <v>5. Perdas de granulado e energia (extra)</v>
      </c>
      <c r="G325" s="10" t="s">
        <v>165</v>
      </c>
      <c r="H325" s="10"/>
      <c r="I325" s="10"/>
      <c r="J325" s="10"/>
      <c r="K325" s="10"/>
      <c r="L325" s="10" t="s">
        <v>151</v>
      </c>
      <c r="M325" s="11">
        <f t="shared" si="11"/>
        <v>0</v>
      </c>
    </row>
    <row r="326" spans="1:13" ht="26.4" x14ac:dyDescent="0.3">
      <c r="A326" s="10" t="s">
        <v>272</v>
      </c>
      <c r="B326" s="14">
        <v>46293</v>
      </c>
      <c r="C326" s="11">
        <f t="shared" si="10"/>
        <v>202609</v>
      </c>
      <c r="D326" s="15">
        <v>3</v>
      </c>
      <c r="E326" s="10" t="s">
        <v>77</v>
      </c>
      <c r="F326" s="13" t="str">
        <f>IFERROR(INDEX(tbl_pontos[Categoria],MATCH(E326,tbl_pontos[ID_Ponto],0)),"")</f>
        <v>1. Gestão de Produtos Químicos</v>
      </c>
      <c r="G326" s="10" t="s">
        <v>166</v>
      </c>
      <c r="H326" s="10" t="s">
        <v>225</v>
      </c>
      <c r="I326" s="10" t="s">
        <v>168</v>
      </c>
      <c r="J326" s="10"/>
      <c r="K326" s="10" t="s">
        <v>273</v>
      </c>
      <c r="L326" s="10" t="s">
        <v>84</v>
      </c>
      <c r="M326" s="11">
        <f t="shared" si="11"/>
        <v>1</v>
      </c>
    </row>
    <row r="327" spans="1:13" ht="26.4" x14ac:dyDescent="0.3">
      <c r="A327" s="10" t="s">
        <v>272</v>
      </c>
      <c r="B327" s="14">
        <v>46293</v>
      </c>
      <c r="C327" s="11">
        <f t="shared" si="10"/>
        <v>202609</v>
      </c>
      <c r="D327" s="15">
        <v>1</v>
      </c>
      <c r="E327" s="10" t="s">
        <v>88</v>
      </c>
      <c r="F327" s="13" t="str">
        <f>IFERROR(INDEX(tbl_pontos[Categoria],MATCH(E327,tbl_pontos[ID_Ponto],0)),"")</f>
        <v>1. Gestão de Produtos Químicos</v>
      </c>
      <c r="G327" s="10" t="s">
        <v>165</v>
      </c>
      <c r="H327" s="10"/>
      <c r="I327" s="10"/>
      <c r="J327" s="10"/>
      <c r="K327" s="10"/>
      <c r="L327" s="10" t="s">
        <v>84</v>
      </c>
      <c r="M327" s="11">
        <f t="shared" si="11"/>
        <v>0</v>
      </c>
    </row>
    <row r="328" spans="1:13" ht="26.4" x14ac:dyDescent="0.3">
      <c r="A328" s="10" t="s">
        <v>272</v>
      </c>
      <c r="B328" s="14">
        <v>46293</v>
      </c>
      <c r="C328" s="11">
        <f t="shared" si="10"/>
        <v>202609</v>
      </c>
      <c r="D328" s="15">
        <v>1</v>
      </c>
      <c r="E328" s="10" t="s">
        <v>95</v>
      </c>
      <c r="F328" s="13" t="str">
        <f>IFERROR(INDEX(tbl_pontos[Categoria],MATCH(E328,tbl_pontos[ID_Ponto],0)),"")</f>
        <v>2. Eficiência e Manutenção</v>
      </c>
      <c r="G328" s="10" t="s">
        <v>165</v>
      </c>
      <c r="H328" s="10"/>
      <c r="I328" s="10"/>
      <c r="J328" s="10"/>
      <c r="K328" s="10"/>
      <c r="L328" s="10" t="s">
        <v>84</v>
      </c>
      <c r="M328" s="11">
        <f t="shared" si="11"/>
        <v>0</v>
      </c>
    </row>
    <row r="329" spans="1:13" ht="26.4" x14ac:dyDescent="0.3">
      <c r="A329" s="10" t="s">
        <v>272</v>
      </c>
      <c r="B329" s="14">
        <v>46293</v>
      </c>
      <c r="C329" s="11">
        <f t="shared" si="10"/>
        <v>202609</v>
      </c>
      <c r="D329" s="15">
        <v>1</v>
      </c>
      <c r="E329" s="10" t="s">
        <v>103</v>
      </c>
      <c r="F329" s="13" t="str">
        <f>IFERROR(INDEX(tbl_pontos[Categoria],MATCH(E329,tbl_pontos[ID_Ponto],0)),"")</f>
        <v>2. Eficiência e Manutenção</v>
      </c>
      <c r="G329" s="10" t="s">
        <v>165</v>
      </c>
      <c r="H329" s="10"/>
      <c r="I329" s="10"/>
      <c r="J329" s="10"/>
      <c r="K329" s="10"/>
      <c r="L329" s="10" t="s">
        <v>84</v>
      </c>
      <c r="M329" s="11">
        <f t="shared" si="11"/>
        <v>0</v>
      </c>
    </row>
    <row r="330" spans="1:13" ht="26.4" x14ac:dyDescent="0.3">
      <c r="A330" s="10" t="s">
        <v>272</v>
      </c>
      <c r="B330" s="14">
        <v>46293</v>
      </c>
      <c r="C330" s="11">
        <f t="shared" si="10"/>
        <v>202609</v>
      </c>
      <c r="D330" s="15">
        <v>1</v>
      </c>
      <c r="E330" s="10" t="s">
        <v>124</v>
      </c>
      <c r="F330" s="13" t="str">
        <f>IFERROR(INDEX(tbl_pontos[Categoria],MATCH(E330,tbl_pontos[ID_Ponto],0)),"")</f>
        <v>4. Gestão de Resíduos</v>
      </c>
      <c r="G330" s="10" t="s">
        <v>165</v>
      </c>
      <c r="H330" s="10"/>
      <c r="I330" s="10"/>
      <c r="J330" s="10"/>
      <c r="K330" s="10"/>
      <c r="L330" s="10" t="s">
        <v>84</v>
      </c>
      <c r="M330" s="11">
        <f t="shared" si="11"/>
        <v>0</v>
      </c>
    </row>
    <row r="331" spans="1:13" ht="26.4" x14ac:dyDescent="0.3">
      <c r="A331" s="10" t="s">
        <v>272</v>
      </c>
      <c r="B331" s="14">
        <v>46293</v>
      </c>
      <c r="C331" s="11">
        <f t="shared" si="10"/>
        <v>202609</v>
      </c>
      <c r="D331" s="15">
        <v>1</v>
      </c>
      <c r="E331" s="10" t="s">
        <v>131</v>
      </c>
      <c r="F331" s="13" t="str">
        <f>IFERROR(INDEX(tbl_pontos[Categoria],MATCH(E331,tbl_pontos[ID_Ponto],0)),"")</f>
        <v>4. Gestão de Resíduos</v>
      </c>
      <c r="G331" s="10" t="s">
        <v>165</v>
      </c>
      <c r="H331" s="10"/>
      <c r="I331" s="10"/>
      <c r="J331" s="10"/>
      <c r="K331" s="10"/>
      <c r="L331" s="10" t="s">
        <v>84</v>
      </c>
      <c r="M331" s="11">
        <f t="shared" si="11"/>
        <v>0</v>
      </c>
    </row>
    <row r="332" spans="1:13" ht="26.4" x14ac:dyDescent="0.3">
      <c r="A332" s="10" t="s">
        <v>272</v>
      </c>
      <c r="B332" s="14">
        <v>46293</v>
      </c>
      <c r="C332" s="11">
        <f t="shared" si="10"/>
        <v>202609</v>
      </c>
      <c r="D332" s="15">
        <v>1</v>
      </c>
      <c r="E332" s="10" t="s">
        <v>136</v>
      </c>
      <c r="F332" s="13" t="str">
        <f>IFERROR(INDEX(tbl_pontos[Categoria],MATCH(E332,tbl_pontos[ID_Ponto],0)),"")</f>
        <v>5. Perdas de granulado e energia (extra)</v>
      </c>
      <c r="G332" s="10" t="s">
        <v>165</v>
      </c>
      <c r="H332" s="10"/>
      <c r="I332" s="10"/>
      <c r="J332" s="10"/>
      <c r="K332" s="10"/>
      <c r="L332" s="10" t="s">
        <v>84</v>
      </c>
      <c r="M332" s="11">
        <f t="shared" si="11"/>
        <v>0</v>
      </c>
    </row>
    <row r="333" spans="1:13" ht="26.4" x14ac:dyDescent="0.3">
      <c r="A333" s="10" t="s">
        <v>272</v>
      </c>
      <c r="B333" s="14">
        <v>46293</v>
      </c>
      <c r="C333" s="11">
        <f t="shared" si="10"/>
        <v>202609</v>
      </c>
      <c r="D333" s="15">
        <v>1</v>
      </c>
      <c r="E333" s="10" t="s">
        <v>148</v>
      </c>
      <c r="F333" s="13" t="str">
        <f>IFERROR(INDEX(tbl_pontos[Categoria],MATCH(E333,tbl_pontos[ID_Ponto],0)),"")</f>
        <v>5. Perdas de granulado e energia (extra)</v>
      </c>
      <c r="G333" s="10" t="s">
        <v>166</v>
      </c>
      <c r="H333" s="10" t="s">
        <v>167</v>
      </c>
      <c r="I333" s="10" t="s">
        <v>168</v>
      </c>
      <c r="J333" s="10"/>
      <c r="K333" s="10" t="s">
        <v>274</v>
      </c>
      <c r="L333" s="10" t="s">
        <v>84</v>
      </c>
      <c r="M333" s="11">
        <f t="shared" si="11"/>
        <v>1</v>
      </c>
    </row>
    <row r="334" spans="1:13" ht="26.4" x14ac:dyDescent="0.3">
      <c r="A334" s="10" t="s">
        <v>275</v>
      </c>
      <c r="B334" s="14">
        <v>46300</v>
      </c>
      <c r="C334" s="11">
        <f t="shared" si="10"/>
        <v>202610</v>
      </c>
      <c r="D334" s="15">
        <v>2</v>
      </c>
      <c r="E334" s="10" t="s">
        <v>77</v>
      </c>
      <c r="F334" s="13" t="str">
        <f>IFERROR(INDEX(tbl_pontos[Categoria],MATCH(E334,tbl_pontos[ID_Ponto],0)),"")</f>
        <v>1. Gestão de Produtos Químicos</v>
      </c>
      <c r="G334" s="10" t="s">
        <v>165</v>
      </c>
      <c r="H334" s="10"/>
      <c r="I334" s="10"/>
      <c r="J334" s="10"/>
      <c r="K334" s="10"/>
      <c r="L334" s="10" t="s">
        <v>151</v>
      </c>
      <c r="M334" s="11">
        <f t="shared" si="11"/>
        <v>0</v>
      </c>
    </row>
    <row r="335" spans="1:13" ht="26.4" x14ac:dyDescent="0.3">
      <c r="A335" s="10" t="s">
        <v>275</v>
      </c>
      <c r="B335" s="14">
        <v>46300</v>
      </c>
      <c r="C335" s="11">
        <f t="shared" si="10"/>
        <v>202610</v>
      </c>
      <c r="D335" s="15">
        <v>2</v>
      </c>
      <c r="E335" s="10" t="s">
        <v>88</v>
      </c>
      <c r="F335" s="13" t="str">
        <f>IFERROR(INDEX(tbl_pontos[Categoria],MATCH(E335,tbl_pontos[ID_Ponto],0)),"")</f>
        <v>1. Gestão de Produtos Químicos</v>
      </c>
      <c r="G335" s="10" t="s">
        <v>165</v>
      </c>
      <c r="H335" s="10"/>
      <c r="I335" s="10"/>
      <c r="J335" s="10"/>
      <c r="K335" s="10"/>
      <c r="L335" s="10" t="s">
        <v>151</v>
      </c>
      <c r="M335" s="11">
        <f t="shared" si="11"/>
        <v>0</v>
      </c>
    </row>
    <row r="336" spans="1:13" ht="26.4" x14ac:dyDescent="0.3">
      <c r="A336" s="10" t="s">
        <v>275</v>
      </c>
      <c r="B336" s="14">
        <v>46300</v>
      </c>
      <c r="C336" s="11">
        <f t="shared" si="10"/>
        <v>202610</v>
      </c>
      <c r="D336" s="15">
        <v>3</v>
      </c>
      <c r="E336" s="10" t="s">
        <v>95</v>
      </c>
      <c r="F336" s="13" t="str">
        <f>IFERROR(INDEX(tbl_pontos[Categoria],MATCH(E336,tbl_pontos[ID_Ponto],0)),"")</f>
        <v>2. Eficiência e Manutenção</v>
      </c>
      <c r="G336" s="10" t="s">
        <v>165</v>
      </c>
      <c r="H336" s="10"/>
      <c r="I336" s="10"/>
      <c r="J336" s="10"/>
      <c r="K336" s="10"/>
      <c r="L336" s="10" t="s">
        <v>151</v>
      </c>
      <c r="M336" s="11">
        <f t="shared" si="11"/>
        <v>0</v>
      </c>
    </row>
    <row r="337" spans="1:13" ht="26.4" x14ac:dyDescent="0.3">
      <c r="A337" s="10" t="s">
        <v>275</v>
      </c>
      <c r="B337" s="14">
        <v>46300</v>
      </c>
      <c r="C337" s="11">
        <f t="shared" si="10"/>
        <v>202610</v>
      </c>
      <c r="D337" s="15">
        <v>1</v>
      </c>
      <c r="E337" s="10" t="s">
        <v>103</v>
      </c>
      <c r="F337" s="13" t="str">
        <f>IFERROR(INDEX(tbl_pontos[Categoria],MATCH(E337,tbl_pontos[ID_Ponto],0)),"")</f>
        <v>2. Eficiência e Manutenção</v>
      </c>
      <c r="G337" s="10" t="s">
        <v>165</v>
      </c>
      <c r="H337" s="10"/>
      <c r="I337" s="10"/>
      <c r="J337" s="10"/>
      <c r="K337" s="10"/>
      <c r="L337" s="10" t="s">
        <v>151</v>
      </c>
      <c r="M337" s="11">
        <f t="shared" si="11"/>
        <v>0</v>
      </c>
    </row>
    <row r="338" spans="1:13" ht="26.4" x14ac:dyDescent="0.3">
      <c r="A338" s="10" t="s">
        <v>275</v>
      </c>
      <c r="B338" s="14">
        <v>46300</v>
      </c>
      <c r="C338" s="11">
        <f t="shared" si="10"/>
        <v>202610</v>
      </c>
      <c r="D338" s="15">
        <v>2</v>
      </c>
      <c r="E338" s="10" t="s">
        <v>109</v>
      </c>
      <c r="F338" s="13" t="str">
        <f>IFERROR(INDEX(tbl_pontos[Categoria],MATCH(E338,tbl_pontos[ID_Ponto],0)),"")</f>
        <v>3. Emergência</v>
      </c>
      <c r="G338" s="10" t="s">
        <v>165</v>
      </c>
      <c r="H338" s="10"/>
      <c r="I338" s="10"/>
      <c r="J338" s="10"/>
      <c r="K338" s="10"/>
      <c r="L338" s="10" t="s">
        <v>151</v>
      </c>
      <c r="M338" s="11">
        <f t="shared" si="11"/>
        <v>0</v>
      </c>
    </row>
    <row r="339" spans="1:13" ht="26.4" x14ac:dyDescent="0.3">
      <c r="A339" s="10" t="s">
        <v>275</v>
      </c>
      <c r="B339" s="14">
        <v>46300</v>
      </c>
      <c r="C339" s="11">
        <f t="shared" si="10"/>
        <v>202610</v>
      </c>
      <c r="D339" s="15">
        <v>1</v>
      </c>
      <c r="E339" s="10" t="s">
        <v>119</v>
      </c>
      <c r="F339" s="13" t="str">
        <f>IFERROR(INDEX(tbl_pontos[Categoria],MATCH(E339,tbl_pontos[ID_Ponto],0)),"")</f>
        <v>3. Emergência</v>
      </c>
      <c r="G339" s="10" t="s">
        <v>165</v>
      </c>
      <c r="H339" s="10"/>
      <c r="I339" s="10"/>
      <c r="J339" s="10"/>
      <c r="K339" s="10"/>
      <c r="L339" s="10" t="s">
        <v>151</v>
      </c>
      <c r="M339" s="11">
        <f t="shared" si="11"/>
        <v>0</v>
      </c>
    </row>
    <row r="340" spans="1:13" ht="26.4" x14ac:dyDescent="0.3">
      <c r="A340" s="10" t="s">
        <v>275</v>
      </c>
      <c r="B340" s="14">
        <v>46300</v>
      </c>
      <c r="C340" s="11">
        <f t="shared" si="10"/>
        <v>202610</v>
      </c>
      <c r="D340" s="15">
        <v>1</v>
      </c>
      <c r="E340" s="10" t="s">
        <v>124</v>
      </c>
      <c r="F340" s="13" t="str">
        <f>IFERROR(INDEX(tbl_pontos[Categoria],MATCH(E340,tbl_pontos[ID_Ponto],0)),"")</f>
        <v>4. Gestão de Resíduos</v>
      </c>
      <c r="G340" s="10" t="s">
        <v>165</v>
      </c>
      <c r="H340" s="10"/>
      <c r="I340" s="10"/>
      <c r="J340" s="10"/>
      <c r="K340" s="10"/>
      <c r="L340" s="10" t="s">
        <v>151</v>
      </c>
      <c r="M340" s="11">
        <f t="shared" si="11"/>
        <v>0</v>
      </c>
    </row>
    <row r="341" spans="1:13" ht="26.4" x14ac:dyDescent="0.3">
      <c r="A341" s="10" t="s">
        <v>275</v>
      </c>
      <c r="B341" s="14">
        <v>46300</v>
      </c>
      <c r="C341" s="11">
        <f t="shared" si="10"/>
        <v>202610</v>
      </c>
      <c r="D341" s="15">
        <v>1</v>
      </c>
      <c r="E341" s="10" t="s">
        <v>131</v>
      </c>
      <c r="F341" s="13" t="str">
        <f>IFERROR(INDEX(tbl_pontos[Categoria],MATCH(E341,tbl_pontos[ID_Ponto],0)),"")</f>
        <v>4. Gestão de Resíduos</v>
      </c>
      <c r="G341" s="10" t="s">
        <v>165</v>
      </c>
      <c r="H341" s="10"/>
      <c r="I341" s="10"/>
      <c r="J341" s="10"/>
      <c r="K341" s="10"/>
      <c r="L341" s="10" t="s">
        <v>151</v>
      </c>
      <c r="M341" s="11">
        <f t="shared" si="11"/>
        <v>0</v>
      </c>
    </row>
    <row r="342" spans="1:13" ht="26.4" x14ac:dyDescent="0.3">
      <c r="A342" s="10" t="s">
        <v>275</v>
      </c>
      <c r="B342" s="14">
        <v>46300</v>
      </c>
      <c r="C342" s="11">
        <f t="shared" si="10"/>
        <v>202610</v>
      </c>
      <c r="D342" s="15">
        <v>1</v>
      </c>
      <c r="E342" s="10" t="s">
        <v>136</v>
      </c>
      <c r="F342" s="13" t="str">
        <f>IFERROR(INDEX(tbl_pontos[Categoria],MATCH(E342,tbl_pontos[ID_Ponto],0)),"")</f>
        <v>5. Perdas de granulado e energia (extra)</v>
      </c>
      <c r="G342" s="10" t="s">
        <v>165</v>
      </c>
      <c r="H342" s="10"/>
      <c r="I342" s="10"/>
      <c r="J342" s="10"/>
      <c r="K342" s="10"/>
      <c r="L342" s="10" t="s">
        <v>151</v>
      </c>
      <c r="M342" s="11">
        <f t="shared" si="11"/>
        <v>0</v>
      </c>
    </row>
    <row r="343" spans="1:13" ht="26.4" x14ac:dyDescent="0.3">
      <c r="A343" s="10" t="s">
        <v>275</v>
      </c>
      <c r="B343" s="14">
        <v>46300</v>
      </c>
      <c r="C343" s="11">
        <f t="shared" si="10"/>
        <v>202610</v>
      </c>
      <c r="D343" s="15">
        <v>2</v>
      </c>
      <c r="E343" s="10" t="s">
        <v>144</v>
      </c>
      <c r="F343" s="13" t="str">
        <f>IFERROR(INDEX(tbl_pontos[Categoria],MATCH(E343,tbl_pontos[ID_Ponto],0)),"")</f>
        <v>1. Gestão de Produtos Químicos</v>
      </c>
      <c r="G343" s="10" t="s">
        <v>165</v>
      </c>
      <c r="H343" s="10"/>
      <c r="I343" s="10"/>
      <c r="J343" s="10"/>
      <c r="K343" s="10"/>
      <c r="L343" s="10" t="s">
        <v>151</v>
      </c>
      <c r="M343" s="11">
        <f t="shared" si="11"/>
        <v>0</v>
      </c>
    </row>
    <row r="344" spans="1:13" ht="26.4" x14ac:dyDescent="0.3">
      <c r="A344" s="10" t="s">
        <v>275</v>
      </c>
      <c r="B344" s="14">
        <v>46300</v>
      </c>
      <c r="C344" s="11">
        <f t="shared" si="10"/>
        <v>202610</v>
      </c>
      <c r="D344" s="15">
        <v>1</v>
      </c>
      <c r="E344" s="10" t="s">
        <v>148</v>
      </c>
      <c r="F344" s="13" t="str">
        <f>IFERROR(INDEX(tbl_pontos[Categoria],MATCH(E344,tbl_pontos[ID_Ponto],0)),"")</f>
        <v>5. Perdas de granulado e energia (extra)</v>
      </c>
      <c r="G344" s="10" t="s">
        <v>165</v>
      </c>
      <c r="H344" s="10"/>
      <c r="I344" s="10"/>
      <c r="J344" s="10"/>
      <c r="K344" s="10"/>
      <c r="L344" s="10" t="s">
        <v>151</v>
      </c>
      <c r="M344" s="11">
        <f t="shared" si="11"/>
        <v>0</v>
      </c>
    </row>
    <row r="345" spans="1:13" ht="26.4" x14ac:dyDescent="0.3">
      <c r="A345" s="10" t="s">
        <v>276</v>
      </c>
      <c r="B345" s="14">
        <v>46307</v>
      </c>
      <c r="C345" s="11">
        <f t="shared" si="10"/>
        <v>202610</v>
      </c>
      <c r="D345" s="15">
        <v>1</v>
      </c>
      <c r="E345" s="10" t="s">
        <v>77</v>
      </c>
      <c r="F345" s="13" t="str">
        <f>IFERROR(INDEX(tbl_pontos[Categoria],MATCH(E345,tbl_pontos[ID_Ponto],0)),"")</f>
        <v>1. Gestão de Produtos Químicos</v>
      </c>
      <c r="G345" s="10" t="s">
        <v>165</v>
      </c>
      <c r="H345" s="10"/>
      <c r="I345" s="10"/>
      <c r="J345" s="10"/>
      <c r="K345" s="10"/>
      <c r="L345" s="10" t="s">
        <v>84</v>
      </c>
      <c r="M345" s="11">
        <f t="shared" si="11"/>
        <v>0</v>
      </c>
    </row>
    <row r="346" spans="1:13" ht="26.4" x14ac:dyDescent="0.3">
      <c r="A346" s="10" t="s">
        <v>276</v>
      </c>
      <c r="B346" s="14">
        <v>46307</v>
      </c>
      <c r="C346" s="11">
        <f t="shared" si="10"/>
        <v>202610</v>
      </c>
      <c r="D346" s="15">
        <v>2</v>
      </c>
      <c r="E346" s="10" t="s">
        <v>88</v>
      </c>
      <c r="F346" s="13" t="str">
        <f>IFERROR(INDEX(tbl_pontos[Categoria],MATCH(E346,tbl_pontos[ID_Ponto],0)),"")</f>
        <v>1. Gestão de Produtos Químicos</v>
      </c>
      <c r="G346" s="10" t="s">
        <v>166</v>
      </c>
      <c r="H346" s="10" t="s">
        <v>175</v>
      </c>
      <c r="I346" s="10" t="s">
        <v>172</v>
      </c>
      <c r="J346" s="10"/>
      <c r="K346" s="10" t="s">
        <v>277</v>
      </c>
      <c r="L346" s="10" t="s">
        <v>84</v>
      </c>
      <c r="M346" s="11">
        <f t="shared" si="11"/>
        <v>1</v>
      </c>
    </row>
    <row r="347" spans="1:13" ht="26.4" x14ac:dyDescent="0.3">
      <c r="A347" s="10" t="s">
        <v>276</v>
      </c>
      <c r="B347" s="14">
        <v>46307</v>
      </c>
      <c r="C347" s="11">
        <f t="shared" si="10"/>
        <v>202610</v>
      </c>
      <c r="D347" s="15">
        <v>1</v>
      </c>
      <c r="E347" s="10" t="s">
        <v>95</v>
      </c>
      <c r="F347" s="13" t="str">
        <f>IFERROR(INDEX(tbl_pontos[Categoria],MATCH(E347,tbl_pontos[ID_Ponto],0)),"")</f>
        <v>2. Eficiência e Manutenção</v>
      </c>
      <c r="G347" s="10" t="s">
        <v>166</v>
      </c>
      <c r="H347" s="10" t="s">
        <v>178</v>
      </c>
      <c r="I347" s="10" t="s">
        <v>172</v>
      </c>
      <c r="J347" s="10"/>
      <c r="K347" s="10" t="s">
        <v>278</v>
      </c>
      <c r="L347" s="10" t="s">
        <v>84</v>
      </c>
      <c r="M347" s="11">
        <f t="shared" si="11"/>
        <v>1</v>
      </c>
    </row>
    <row r="348" spans="1:13" ht="26.4" x14ac:dyDescent="0.3">
      <c r="A348" s="10" t="s">
        <v>276</v>
      </c>
      <c r="B348" s="14">
        <v>46307</v>
      </c>
      <c r="C348" s="11">
        <f t="shared" si="10"/>
        <v>202610</v>
      </c>
      <c r="D348" s="15">
        <v>2</v>
      </c>
      <c r="E348" s="10" t="s">
        <v>103</v>
      </c>
      <c r="F348" s="13" t="str">
        <f>IFERROR(INDEX(tbl_pontos[Categoria],MATCH(E348,tbl_pontos[ID_Ponto],0)),"")</f>
        <v>2. Eficiência e Manutenção</v>
      </c>
      <c r="G348" s="10" t="s">
        <v>165</v>
      </c>
      <c r="H348" s="10"/>
      <c r="I348" s="10"/>
      <c r="J348" s="10"/>
      <c r="K348" s="10"/>
      <c r="L348" s="10" t="s">
        <v>84</v>
      </c>
      <c r="M348" s="11">
        <f t="shared" si="11"/>
        <v>0</v>
      </c>
    </row>
    <row r="349" spans="1:13" ht="26.4" x14ac:dyDescent="0.3">
      <c r="A349" s="10" t="s">
        <v>276</v>
      </c>
      <c r="B349" s="14">
        <v>46307</v>
      </c>
      <c r="C349" s="11">
        <f t="shared" si="10"/>
        <v>202610</v>
      </c>
      <c r="D349" s="15">
        <v>1</v>
      </c>
      <c r="E349" s="10" t="s">
        <v>124</v>
      </c>
      <c r="F349" s="13" t="str">
        <f>IFERROR(INDEX(tbl_pontos[Categoria],MATCH(E349,tbl_pontos[ID_Ponto],0)),"")</f>
        <v>4. Gestão de Resíduos</v>
      </c>
      <c r="G349" s="10" t="s">
        <v>165</v>
      </c>
      <c r="H349" s="10"/>
      <c r="I349" s="10"/>
      <c r="J349" s="10"/>
      <c r="K349" s="10"/>
      <c r="L349" s="10" t="s">
        <v>84</v>
      </c>
      <c r="M349" s="11">
        <f t="shared" si="11"/>
        <v>0</v>
      </c>
    </row>
    <row r="350" spans="1:13" ht="26.4" x14ac:dyDescent="0.3">
      <c r="A350" s="10" t="s">
        <v>276</v>
      </c>
      <c r="B350" s="14">
        <v>46307</v>
      </c>
      <c r="C350" s="11">
        <f t="shared" si="10"/>
        <v>202610</v>
      </c>
      <c r="D350" s="15">
        <v>1</v>
      </c>
      <c r="E350" s="10" t="s">
        <v>131</v>
      </c>
      <c r="F350" s="13" t="str">
        <f>IFERROR(INDEX(tbl_pontos[Categoria],MATCH(E350,tbl_pontos[ID_Ponto],0)),"")</f>
        <v>4. Gestão de Resíduos</v>
      </c>
      <c r="G350" s="10" t="s">
        <v>165</v>
      </c>
      <c r="H350" s="10"/>
      <c r="I350" s="10"/>
      <c r="J350" s="10"/>
      <c r="K350" s="10"/>
      <c r="L350" s="10" t="s">
        <v>84</v>
      </c>
      <c r="M350" s="11">
        <f t="shared" si="11"/>
        <v>0</v>
      </c>
    </row>
    <row r="351" spans="1:13" ht="26.4" x14ac:dyDescent="0.3">
      <c r="A351" s="10" t="s">
        <v>276</v>
      </c>
      <c r="B351" s="14">
        <v>46307</v>
      </c>
      <c r="C351" s="11">
        <f t="shared" si="10"/>
        <v>202610</v>
      </c>
      <c r="D351" s="15">
        <v>1</v>
      </c>
      <c r="E351" s="10" t="s">
        <v>136</v>
      </c>
      <c r="F351" s="13" t="str">
        <f>IFERROR(INDEX(tbl_pontos[Categoria],MATCH(E351,tbl_pontos[ID_Ponto],0)),"")</f>
        <v>5. Perdas de granulado e energia (extra)</v>
      </c>
      <c r="G351" s="10" t="s">
        <v>165</v>
      </c>
      <c r="H351" s="10"/>
      <c r="I351" s="10"/>
      <c r="J351" s="10"/>
      <c r="K351" s="10"/>
      <c r="L351" s="10" t="s">
        <v>84</v>
      </c>
      <c r="M351" s="11">
        <f t="shared" si="11"/>
        <v>0</v>
      </c>
    </row>
    <row r="352" spans="1:13" ht="26.4" x14ac:dyDescent="0.3">
      <c r="A352" s="10" t="s">
        <v>276</v>
      </c>
      <c r="B352" s="14">
        <v>46307</v>
      </c>
      <c r="C352" s="11">
        <f t="shared" si="10"/>
        <v>202610</v>
      </c>
      <c r="D352" s="15">
        <v>1</v>
      </c>
      <c r="E352" s="10" t="s">
        <v>144</v>
      </c>
      <c r="F352" s="13" t="str">
        <f>IFERROR(INDEX(tbl_pontos[Categoria],MATCH(E352,tbl_pontos[ID_Ponto],0)),"")</f>
        <v>1. Gestão de Produtos Químicos</v>
      </c>
      <c r="G352" s="10" t="s">
        <v>165</v>
      </c>
      <c r="H352" s="10"/>
      <c r="I352" s="10"/>
      <c r="J352" s="10"/>
      <c r="K352" s="10"/>
      <c r="L352" s="10" t="s">
        <v>84</v>
      </c>
      <c r="M352" s="11">
        <f t="shared" si="11"/>
        <v>0</v>
      </c>
    </row>
    <row r="353" spans="1:13" ht="26.4" x14ac:dyDescent="0.3">
      <c r="A353" s="10" t="s">
        <v>276</v>
      </c>
      <c r="B353" s="14">
        <v>46307</v>
      </c>
      <c r="C353" s="11">
        <f t="shared" si="10"/>
        <v>202610</v>
      </c>
      <c r="D353" s="15">
        <v>1</v>
      </c>
      <c r="E353" s="10" t="s">
        <v>148</v>
      </c>
      <c r="F353" s="13" t="str">
        <f>IFERROR(INDEX(tbl_pontos[Categoria],MATCH(E353,tbl_pontos[ID_Ponto],0)),"")</f>
        <v>5. Perdas de granulado e energia (extra)</v>
      </c>
      <c r="G353" s="10" t="s">
        <v>165</v>
      </c>
      <c r="H353" s="10"/>
      <c r="I353" s="10"/>
      <c r="J353" s="10"/>
      <c r="K353" s="10"/>
      <c r="L353" s="10" t="s">
        <v>84</v>
      </c>
      <c r="M353" s="11">
        <f t="shared" si="11"/>
        <v>0</v>
      </c>
    </row>
    <row r="354" spans="1:13" ht="26.4" x14ac:dyDescent="0.3">
      <c r="A354" s="10" t="s">
        <v>279</v>
      </c>
      <c r="B354" s="14">
        <v>46314</v>
      </c>
      <c r="C354" s="11">
        <f t="shared" si="10"/>
        <v>202610</v>
      </c>
      <c r="D354" s="15">
        <v>1</v>
      </c>
      <c r="E354" s="10" t="s">
        <v>77</v>
      </c>
      <c r="F354" s="13" t="str">
        <f>IFERROR(INDEX(tbl_pontos[Categoria],MATCH(E354,tbl_pontos[ID_Ponto],0)),"")</f>
        <v>1. Gestão de Produtos Químicos</v>
      </c>
      <c r="G354" s="10" t="s">
        <v>165</v>
      </c>
      <c r="H354" s="10"/>
      <c r="I354" s="10"/>
      <c r="J354" s="10"/>
      <c r="K354" s="10"/>
      <c r="L354" s="10" t="s">
        <v>151</v>
      </c>
      <c r="M354" s="11">
        <f t="shared" si="11"/>
        <v>0</v>
      </c>
    </row>
    <row r="355" spans="1:13" ht="26.4" x14ac:dyDescent="0.3">
      <c r="A355" s="10" t="s">
        <v>279</v>
      </c>
      <c r="B355" s="14">
        <v>46314</v>
      </c>
      <c r="C355" s="11">
        <f t="shared" si="10"/>
        <v>202610</v>
      </c>
      <c r="D355" s="15">
        <v>1</v>
      </c>
      <c r="E355" s="10" t="s">
        <v>88</v>
      </c>
      <c r="F355" s="13" t="str">
        <f>IFERROR(INDEX(tbl_pontos[Categoria],MATCH(E355,tbl_pontos[ID_Ponto],0)),"")</f>
        <v>1. Gestão de Produtos Químicos</v>
      </c>
      <c r="G355" s="10" t="s">
        <v>165</v>
      </c>
      <c r="H355" s="10"/>
      <c r="I355" s="10"/>
      <c r="J355" s="10"/>
      <c r="K355" s="10"/>
      <c r="L355" s="10" t="s">
        <v>151</v>
      </c>
      <c r="M355" s="11">
        <f t="shared" si="11"/>
        <v>0</v>
      </c>
    </row>
    <row r="356" spans="1:13" ht="26.4" x14ac:dyDescent="0.3">
      <c r="A356" s="10" t="s">
        <v>279</v>
      </c>
      <c r="B356" s="14">
        <v>46314</v>
      </c>
      <c r="C356" s="11">
        <f t="shared" si="10"/>
        <v>202610</v>
      </c>
      <c r="D356" s="15">
        <v>1</v>
      </c>
      <c r="E356" s="10" t="s">
        <v>95</v>
      </c>
      <c r="F356" s="13" t="str">
        <f>IFERROR(INDEX(tbl_pontos[Categoria],MATCH(E356,tbl_pontos[ID_Ponto],0)),"")</f>
        <v>2. Eficiência e Manutenção</v>
      </c>
      <c r="G356" s="10" t="s">
        <v>165</v>
      </c>
      <c r="H356" s="10"/>
      <c r="I356" s="10"/>
      <c r="J356" s="10"/>
      <c r="K356" s="10"/>
      <c r="L356" s="10" t="s">
        <v>151</v>
      </c>
      <c r="M356" s="11">
        <f t="shared" si="11"/>
        <v>0</v>
      </c>
    </row>
    <row r="357" spans="1:13" ht="26.4" x14ac:dyDescent="0.3">
      <c r="A357" s="10" t="s">
        <v>279</v>
      </c>
      <c r="B357" s="14">
        <v>46314</v>
      </c>
      <c r="C357" s="11">
        <f t="shared" si="10"/>
        <v>202610</v>
      </c>
      <c r="D357" s="15">
        <v>2</v>
      </c>
      <c r="E357" s="10" t="s">
        <v>103</v>
      </c>
      <c r="F357" s="13" t="str">
        <f>IFERROR(INDEX(tbl_pontos[Categoria],MATCH(E357,tbl_pontos[ID_Ponto],0)),"")</f>
        <v>2. Eficiência e Manutenção</v>
      </c>
      <c r="G357" s="10" t="s">
        <v>165</v>
      </c>
      <c r="H357" s="10"/>
      <c r="I357" s="10"/>
      <c r="J357" s="10"/>
      <c r="K357" s="10"/>
      <c r="L357" s="10" t="s">
        <v>151</v>
      </c>
      <c r="M357" s="11">
        <f t="shared" si="11"/>
        <v>0</v>
      </c>
    </row>
    <row r="358" spans="1:13" ht="26.4" x14ac:dyDescent="0.3">
      <c r="A358" s="10" t="s">
        <v>279</v>
      </c>
      <c r="B358" s="14">
        <v>46314</v>
      </c>
      <c r="C358" s="11">
        <f t="shared" si="10"/>
        <v>202610</v>
      </c>
      <c r="D358" s="15">
        <v>1</v>
      </c>
      <c r="E358" s="10" t="s">
        <v>124</v>
      </c>
      <c r="F358" s="13" t="str">
        <f>IFERROR(INDEX(tbl_pontos[Categoria],MATCH(E358,tbl_pontos[ID_Ponto],0)),"")</f>
        <v>4. Gestão de Resíduos</v>
      </c>
      <c r="G358" s="10" t="s">
        <v>165</v>
      </c>
      <c r="H358" s="10"/>
      <c r="I358" s="10"/>
      <c r="J358" s="10"/>
      <c r="K358" s="10"/>
      <c r="L358" s="10" t="s">
        <v>151</v>
      </c>
      <c r="M358" s="11">
        <f t="shared" si="11"/>
        <v>0</v>
      </c>
    </row>
    <row r="359" spans="1:13" ht="26.4" x14ac:dyDescent="0.3">
      <c r="A359" s="10" t="s">
        <v>279</v>
      </c>
      <c r="B359" s="14">
        <v>46314</v>
      </c>
      <c r="C359" s="11">
        <f t="shared" si="10"/>
        <v>202610</v>
      </c>
      <c r="D359" s="15">
        <v>2</v>
      </c>
      <c r="E359" s="10" t="s">
        <v>131</v>
      </c>
      <c r="F359" s="13" t="str">
        <f>IFERROR(INDEX(tbl_pontos[Categoria],MATCH(E359,tbl_pontos[ID_Ponto],0)),"")</f>
        <v>4. Gestão de Resíduos</v>
      </c>
      <c r="G359" s="10" t="s">
        <v>165</v>
      </c>
      <c r="H359" s="10"/>
      <c r="I359" s="10"/>
      <c r="J359" s="10"/>
      <c r="K359" s="10"/>
      <c r="L359" s="10" t="s">
        <v>151</v>
      </c>
      <c r="M359" s="11">
        <f t="shared" si="11"/>
        <v>0</v>
      </c>
    </row>
    <row r="360" spans="1:13" ht="26.4" x14ac:dyDescent="0.3">
      <c r="A360" s="10" t="s">
        <v>279</v>
      </c>
      <c r="B360" s="14">
        <v>46314</v>
      </c>
      <c r="C360" s="11">
        <f t="shared" si="10"/>
        <v>202610</v>
      </c>
      <c r="D360" s="15">
        <v>1</v>
      </c>
      <c r="E360" s="10" t="s">
        <v>136</v>
      </c>
      <c r="F360" s="13" t="str">
        <f>IFERROR(INDEX(tbl_pontos[Categoria],MATCH(E360,tbl_pontos[ID_Ponto],0)),"")</f>
        <v>5. Perdas de granulado e energia (extra)</v>
      </c>
      <c r="G360" s="10" t="s">
        <v>165</v>
      </c>
      <c r="H360" s="10"/>
      <c r="I360" s="10"/>
      <c r="J360" s="10"/>
      <c r="K360" s="10"/>
      <c r="L360" s="10" t="s">
        <v>151</v>
      </c>
      <c r="M360" s="11">
        <f t="shared" si="11"/>
        <v>0</v>
      </c>
    </row>
    <row r="361" spans="1:13" ht="26.4" x14ac:dyDescent="0.3">
      <c r="A361" s="10" t="s">
        <v>279</v>
      </c>
      <c r="B361" s="14">
        <v>46314</v>
      </c>
      <c r="C361" s="11">
        <f t="shared" si="10"/>
        <v>202610</v>
      </c>
      <c r="D361" s="15">
        <v>1</v>
      </c>
      <c r="E361" s="10" t="s">
        <v>144</v>
      </c>
      <c r="F361" s="13" t="str">
        <f>IFERROR(INDEX(tbl_pontos[Categoria],MATCH(E361,tbl_pontos[ID_Ponto],0)),"")</f>
        <v>1. Gestão de Produtos Químicos</v>
      </c>
      <c r="G361" s="10" t="s">
        <v>165</v>
      </c>
      <c r="H361" s="10"/>
      <c r="I361" s="10"/>
      <c r="J361" s="10"/>
      <c r="K361" s="10"/>
      <c r="L361" s="10" t="s">
        <v>151</v>
      </c>
      <c r="M361" s="11">
        <f t="shared" si="11"/>
        <v>0</v>
      </c>
    </row>
    <row r="362" spans="1:13" ht="26.4" x14ac:dyDescent="0.3">
      <c r="A362" s="10" t="s">
        <v>279</v>
      </c>
      <c r="B362" s="14">
        <v>46314</v>
      </c>
      <c r="C362" s="11">
        <f t="shared" si="10"/>
        <v>202610</v>
      </c>
      <c r="D362" s="15">
        <v>2</v>
      </c>
      <c r="E362" s="10" t="s">
        <v>148</v>
      </c>
      <c r="F362" s="13" t="str">
        <f>IFERROR(INDEX(tbl_pontos[Categoria],MATCH(E362,tbl_pontos[ID_Ponto],0)),"")</f>
        <v>5. Perdas de granulado e energia (extra)</v>
      </c>
      <c r="G362" s="10" t="s">
        <v>165</v>
      </c>
      <c r="H362" s="10"/>
      <c r="I362" s="10"/>
      <c r="J362" s="10"/>
      <c r="K362" s="10"/>
      <c r="L362" s="10" t="s">
        <v>151</v>
      </c>
      <c r="M362" s="11">
        <f t="shared" si="11"/>
        <v>0</v>
      </c>
    </row>
    <row r="363" spans="1:13" ht="26.4" x14ac:dyDescent="0.3">
      <c r="A363" s="10" t="s">
        <v>280</v>
      </c>
      <c r="B363" s="14">
        <v>46321</v>
      </c>
      <c r="C363" s="11">
        <f t="shared" si="10"/>
        <v>202610</v>
      </c>
      <c r="D363" s="15">
        <v>1</v>
      </c>
      <c r="E363" s="10" t="s">
        <v>77</v>
      </c>
      <c r="F363" s="13" t="str">
        <f>IFERROR(INDEX(tbl_pontos[Categoria],MATCH(E363,tbl_pontos[ID_Ponto],0)),"")</f>
        <v>1. Gestão de Produtos Químicos</v>
      </c>
      <c r="G363" s="10" t="s">
        <v>165</v>
      </c>
      <c r="H363" s="10"/>
      <c r="I363" s="10"/>
      <c r="J363" s="10"/>
      <c r="K363" s="10"/>
      <c r="L363" s="10" t="s">
        <v>84</v>
      </c>
      <c r="M363" s="11">
        <f t="shared" si="11"/>
        <v>0</v>
      </c>
    </row>
    <row r="364" spans="1:13" ht="26.4" x14ac:dyDescent="0.3">
      <c r="A364" s="10" t="s">
        <v>280</v>
      </c>
      <c r="B364" s="14">
        <v>46321</v>
      </c>
      <c r="C364" s="11">
        <f t="shared" si="10"/>
        <v>202610</v>
      </c>
      <c r="D364" s="15">
        <v>2</v>
      </c>
      <c r="E364" s="10" t="s">
        <v>88</v>
      </c>
      <c r="F364" s="13" t="str">
        <f>IFERROR(INDEX(tbl_pontos[Categoria],MATCH(E364,tbl_pontos[ID_Ponto],0)),"")</f>
        <v>1. Gestão de Produtos Químicos</v>
      </c>
      <c r="G364" s="10" t="s">
        <v>165</v>
      </c>
      <c r="H364" s="10"/>
      <c r="I364" s="10"/>
      <c r="J364" s="10"/>
      <c r="K364" s="10"/>
      <c r="L364" s="10" t="s">
        <v>84</v>
      </c>
      <c r="M364" s="11">
        <f t="shared" si="11"/>
        <v>0</v>
      </c>
    </row>
    <row r="365" spans="1:13" ht="26.4" x14ac:dyDescent="0.3">
      <c r="A365" s="10" t="s">
        <v>280</v>
      </c>
      <c r="B365" s="14">
        <v>46321</v>
      </c>
      <c r="C365" s="11">
        <f t="shared" si="10"/>
        <v>202610</v>
      </c>
      <c r="D365" s="15">
        <v>3</v>
      </c>
      <c r="E365" s="10" t="s">
        <v>95</v>
      </c>
      <c r="F365" s="13" t="str">
        <f>IFERROR(INDEX(tbl_pontos[Categoria],MATCH(E365,tbl_pontos[ID_Ponto],0)),"")</f>
        <v>2. Eficiência e Manutenção</v>
      </c>
      <c r="G365" s="10" t="s">
        <v>165</v>
      </c>
      <c r="H365" s="10"/>
      <c r="I365" s="10"/>
      <c r="J365" s="10"/>
      <c r="K365" s="10"/>
      <c r="L365" s="10" t="s">
        <v>84</v>
      </c>
      <c r="M365" s="11">
        <f t="shared" si="11"/>
        <v>0</v>
      </c>
    </row>
    <row r="366" spans="1:13" ht="26.4" x14ac:dyDescent="0.3">
      <c r="A366" s="10" t="s">
        <v>280</v>
      </c>
      <c r="B366" s="14">
        <v>46321</v>
      </c>
      <c r="C366" s="11">
        <f t="shared" si="10"/>
        <v>202610</v>
      </c>
      <c r="D366" s="15">
        <v>2</v>
      </c>
      <c r="E366" s="10" t="s">
        <v>103</v>
      </c>
      <c r="F366" s="13" t="str">
        <f>IFERROR(INDEX(tbl_pontos[Categoria],MATCH(E366,tbl_pontos[ID_Ponto],0)),"")</f>
        <v>2. Eficiência e Manutenção</v>
      </c>
      <c r="G366" s="10" t="s">
        <v>165</v>
      </c>
      <c r="H366" s="10"/>
      <c r="I366" s="10"/>
      <c r="J366" s="10"/>
      <c r="K366" s="10"/>
      <c r="L366" s="10" t="s">
        <v>84</v>
      </c>
      <c r="M366" s="11">
        <f t="shared" si="11"/>
        <v>0</v>
      </c>
    </row>
    <row r="367" spans="1:13" ht="26.4" x14ac:dyDescent="0.3">
      <c r="A367" s="10" t="s">
        <v>280</v>
      </c>
      <c r="B367" s="14">
        <v>46321</v>
      </c>
      <c r="C367" s="11">
        <f t="shared" si="10"/>
        <v>202610</v>
      </c>
      <c r="D367" s="15">
        <v>1</v>
      </c>
      <c r="E367" s="10" t="s">
        <v>124</v>
      </c>
      <c r="F367" s="13" t="str">
        <f>IFERROR(INDEX(tbl_pontos[Categoria],MATCH(E367,tbl_pontos[ID_Ponto],0)),"")</f>
        <v>4. Gestão de Resíduos</v>
      </c>
      <c r="G367" s="10" t="s">
        <v>166</v>
      </c>
      <c r="H367" s="10" t="s">
        <v>180</v>
      </c>
      <c r="I367" s="10" t="s">
        <v>172</v>
      </c>
      <c r="J367" s="10"/>
      <c r="K367" s="10" t="s">
        <v>281</v>
      </c>
      <c r="L367" s="10" t="s">
        <v>84</v>
      </c>
      <c r="M367" s="11">
        <f t="shared" si="11"/>
        <v>1</v>
      </c>
    </row>
    <row r="368" spans="1:13" ht="26.4" x14ac:dyDescent="0.3">
      <c r="A368" s="10" t="s">
        <v>280</v>
      </c>
      <c r="B368" s="14">
        <v>46321</v>
      </c>
      <c r="C368" s="11">
        <f t="shared" si="10"/>
        <v>202610</v>
      </c>
      <c r="D368" s="15">
        <v>1</v>
      </c>
      <c r="E368" s="10" t="s">
        <v>131</v>
      </c>
      <c r="F368" s="13" t="str">
        <f>IFERROR(INDEX(tbl_pontos[Categoria],MATCH(E368,tbl_pontos[ID_Ponto],0)),"")</f>
        <v>4. Gestão de Resíduos</v>
      </c>
      <c r="G368" s="10" t="s">
        <v>165</v>
      </c>
      <c r="H368" s="10"/>
      <c r="I368" s="10"/>
      <c r="J368" s="10"/>
      <c r="K368" s="10"/>
      <c r="L368" s="10" t="s">
        <v>84</v>
      </c>
      <c r="M368" s="11">
        <f t="shared" si="11"/>
        <v>0</v>
      </c>
    </row>
    <row r="369" spans="1:13" ht="26.4" x14ac:dyDescent="0.3">
      <c r="A369" s="10" t="s">
        <v>280</v>
      </c>
      <c r="B369" s="14">
        <v>46321</v>
      </c>
      <c r="C369" s="11">
        <f t="shared" si="10"/>
        <v>202610</v>
      </c>
      <c r="D369" s="15">
        <v>2</v>
      </c>
      <c r="E369" s="10" t="s">
        <v>136</v>
      </c>
      <c r="F369" s="13" t="str">
        <f>IFERROR(INDEX(tbl_pontos[Categoria],MATCH(E369,tbl_pontos[ID_Ponto],0)),"")</f>
        <v>5. Perdas de granulado e energia (extra)</v>
      </c>
      <c r="G369" s="10" t="s">
        <v>165</v>
      </c>
      <c r="H369" s="10"/>
      <c r="I369" s="10"/>
      <c r="J369" s="10"/>
      <c r="K369" s="10"/>
      <c r="L369" s="10" t="s">
        <v>84</v>
      </c>
      <c r="M369" s="11">
        <f t="shared" si="11"/>
        <v>0</v>
      </c>
    </row>
    <row r="370" spans="1:13" ht="26.4" x14ac:dyDescent="0.3">
      <c r="A370" s="10" t="s">
        <v>280</v>
      </c>
      <c r="B370" s="14">
        <v>46321</v>
      </c>
      <c r="C370" s="11">
        <f t="shared" si="10"/>
        <v>202610</v>
      </c>
      <c r="D370" s="15">
        <v>1</v>
      </c>
      <c r="E370" s="10" t="s">
        <v>144</v>
      </c>
      <c r="F370" s="13" t="str">
        <f>IFERROR(INDEX(tbl_pontos[Categoria],MATCH(E370,tbl_pontos[ID_Ponto],0)),"")</f>
        <v>1. Gestão de Produtos Químicos</v>
      </c>
      <c r="G370" s="10" t="s">
        <v>165</v>
      </c>
      <c r="H370" s="10"/>
      <c r="I370" s="10"/>
      <c r="J370" s="10"/>
      <c r="K370" s="10"/>
      <c r="L370" s="10" t="s">
        <v>84</v>
      </c>
      <c r="M370" s="11">
        <f t="shared" si="11"/>
        <v>0</v>
      </c>
    </row>
    <row r="371" spans="1:13" ht="26.4" x14ac:dyDescent="0.3">
      <c r="A371" s="10" t="s">
        <v>280</v>
      </c>
      <c r="B371" s="14">
        <v>46321</v>
      </c>
      <c r="C371" s="11">
        <f t="shared" si="10"/>
        <v>202610</v>
      </c>
      <c r="D371" s="15">
        <v>1</v>
      </c>
      <c r="E371" s="10" t="s">
        <v>148</v>
      </c>
      <c r="F371" s="13" t="str">
        <f>IFERROR(INDEX(tbl_pontos[Categoria],MATCH(E371,tbl_pontos[ID_Ponto],0)),"")</f>
        <v>5. Perdas de granulado e energia (extra)</v>
      </c>
      <c r="G371" s="10" t="s">
        <v>165</v>
      </c>
      <c r="H371" s="10"/>
      <c r="I371" s="10"/>
      <c r="J371" s="10"/>
      <c r="K371" s="10"/>
      <c r="L371" s="10" t="s">
        <v>84</v>
      </c>
      <c r="M371" s="11">
        <f t="shared" si="11"/>
        <v>0</v>
      </c>
    </row>
    <row r="372" spans="1:13" ht="26.4" x14ac:dyDescent="0.3">
      <c r="A372" s="10" t="s">
        <v>282</v>
      </c>
      <c r="B372" s="14">
        <v>46328</v>
      </c>
      <c r="C372" s="11">
        <f t="shared" si="10"/>
        <v>202611</v>
      </c>
      <c r="D372" s="15">
        <v>1</v>
      </c>
      <c r="E372" s="10" t="s">
        <v>77</v>
      </c>
      <c r="F372" s="13" t="str">
        <f>IFERROR(INDEX(tbl_pontos[Categoria],MATCH(E372,tbl_pontos[ID_Ponto],0)),"")</f>
        <v>1. Gestão de Produtos Químicos</v>
      </c>
      <c r="G372" s="10" t="s">
        <v>165</v>
      </c>
      <c r="H372" s="10"/>
      <c r="I372" s="10"/>
      <c r="J372" s="10"/>
      <c r="K372" s="10"/>
      <c r="L372" s="10" t="s">
        <v>151</v>
      </c>
      <c r="M372" s="11">
        <f t="shared" si="11"/>
        <v>0</v>
      </c>
    </row>
    <row r="373" spans="1:13" ht="26.4" x14ac:dyDescent="0.3">
      <c r="A373" s="10" t="s">
        <v>282</v>
      </c>
      <c r="B373" s="14">
        <v>46328</v>
      </c>
      <c r="C373" s="11">
        <f t="shared" si="10"/>
        <v>202611</v>
      </c>
      <c r="D373" s="15">
        <v>1</v>
      </c>
      <c r="E373" s="10" t="s">
        <v>88</v>
      </c>
      <c r="F373" s="13" t="str">
        <f>IFERROR(INDEX(tbl_pontos[Categoria],MATCH(E373,tbl_pontos[ID_Ponto],0)),"")</f>
        <v>1. Gestão de Produtos Químicos</v>
      </c>
      <c r="G373" s="10" t="s">
        <v>165</v>
      </c>
      <c r="H373" s="10"/>
      <c r="I373" s="10"/>
      <c r="J373" s="10"/>
      <c r="K373" s="10"/>
      <c r="L373" s="10" t="s">
        <v>151</v>
      </c>
      <c r="M373" s="11">
        <f t="shared" si="11"/>
        <v>0</v>
      </c>
    </row>
    <row r="374" spans="1:13" ht="26.4" x14ac:dyDescent="0.3">
      <c r="A374" s="10" t="s">
        <v>282</v>
      </c>
      <c r="B374" s="14">
        <v>46328</v>
      </c>
      <c r="C374" s="11">
        <f t="shared" si="10"/>
        <v>202611</v>
      </c>
      <c r="D374" s="15">
        <v>2</v>
      </c>
      <c r="E374" s="10" t="s">
        <v>95</v>
      </c>
      <c r="F374" s="13" t="str">
        <f>IFERROR(INDEX(tbl_pontos[Categoria],MATCH(E374,tbl_pontos[ID_Ponto],0)),"")</f>
        <v>2. Eficiência e Manutenção</v>
      </c>
      <c r="G374" s="10" t="s">
        <v>165</v>
      </c>
      <c r="H374" s="10"/>
      <c r="I374" s="10"/>
      <c r="J374" s="10"/>
      <c r="K374" s="10"/>
      <c r="L374" s="10" t="s">
        <v>151</v>
      </c>
      <c r="M374" s="11">
        <f t="shared" si="11"/>
        <v>0</v>
      </c>
    </row>
    <row r="375" spans="1:13" ht="26.4" x14ac:dyDescent="0.3">
      <c r="A375" s="10" t="s">
        <v>282</v>
      </c>
      <c r="B375" s="14">
        <v>46328</v>
      </c>
      <c r="C375" s="11">
        <f t="shared" si="10"/>
        <v>202611</v>
      </c>
      <c r="D375" s="15">
        <v>1</v>
      </c>
      <c r="E375" s="10" t="s">
        <v>103</v>
      </c>
      <c r="F375" s="13" t="str">
        <f>IFERROR(INDEX(tbl_pontos[Categoria],MATCH(E375,tbl_pontos[ID_Ponto],0)),"")</f>
        <v>2. Eficiência e Manutenção</v>
      </c>
      <c r="G375" s="10" t="s">
        <v>165</v>
      </c>
      <c r="H375" s="10"/>
      <c r="I375" s="10"/>
      <c r="J375" s="10"/>
      <c r="K375" s="10"/>
      <c r="L375" s="10" t="s">
        <v>151</v>
      </c>
      <c r="M375" s="11">
        <f t="shared" si="11"/>
        <v>0</v>
      </c>
    </row>
    <row r="376" spans="1:13" ht="26.4" x14ac:dyDescent="0.3">
      <c r="A376" s="10" t="s">
        <v>282</v>
      </c>
      <c r="B376" s="14">
        <v>46328</v>
      </c>
      <c r="C376" s="11">
        <f t="shared" si="10"/>
        <v>202611</v>
      </c>
      <c r="D376" s="15">
        <v>2</v>
      </c>
      <c r="E376" s="10" t="s">
        <v>109</v>
      </c>
      <c r="F376" s="13" t="str">
        <f>IFERROR(INDEX(tbl_pontos[Categoria],MATCH(E376,tbl_pontos[ID_Ponto],0)),"")</f>
        <v>3. Emergência</v>
      </c>
      <c r="G376" s="10" t="s">
        <v>165</v>
      </c>
      <c r="H376" s="10"/>
      <c r="I376" s="10"/>
      <c r="J376" s="10"/>
      <c r="K376" s="10"/>
      <c r="L376" s="10" t="s">
        <v>151</v>
      </c>
      <c r="M376" s="11">
        <f t="shared" si="11"/>
        <v>0</v>
      </c>
    </row>
    <row r="377" spans="1:13" ht="26.4" x14ac:dyDescent="0.3">
      <c r="A377" s="10" t="s">
        <v>282</v>
      </c>
      <c r="B377" s="14">
        <v>46328</v>
      </c>
      <c r="C377" s="11">
        <f t="shared" si="10"/>
        <v>202611</v>
      </c>
      <c r="D377" s="15">
        <v>1</v>
      </c>
      <c r="E377" s="10" t="s">
        <v>119</v>
      </c>
      <c r="F377" s="13" t="str">
        <f>IFERROR(INDEX(tbl_pontos[Categoria],MATCH(E377,tbl_pontos[ID_Ponto],0)),"")</f>
        <v>3. Emergência</v>
      </c>
      <c r="G377" s="10" t="s">
        <v>165</v>
      </c>
      <c r="H377" s="10"/>
      <c r="I377" s="10"/>
      <c r="J377" s="10"/>
      <c r="K377" s="10"/>
      <c r="L377" s="10" t="s">
        <v>151</v>
      </c>
      <c r="M377" s="11">
        <f t="shared" si="11"/>
        <v>0</v>
      </c>
    </row>
    <row r="378" spans="1:13" ht="26.4" x14ac:dyDescent="0.3">
      <c r="A378" s="10" t="s">
        <v>282</v>
      </c>
      <c r="B378" s="14">
        <v>46328</v>
      </c>
      <c r="C378" s="11">
        <f t="shared" si="10"/>
        <v>202611</v>
      </c>
      <c r="D378" s="15">
        <v>1</v>
      </c>
      <c r="E378" s="10" t="s">
        <v>124</v>
      </c>
      <c r="F378" s="13" t="str">
        <f>IFERROR(INDEX(tbl_pontos[Categoria],MATCH(E378,tbl_pontos[ID_Ponto],0)),"")</f>
        <v>4. Gestão de Resíduos</v>
      </c>
      <c r="G378" s="10" t="s">
        <v>165</v>
      </c>
      <c r="H378" s="10"/>
      <c r="I378" s="10"/>
      <c r="J378" s="10"/>
      <c r="K378" s="10"/>
      <c r="L378" s="10" t="s">
        <v>151</v>
      </c>
      <c r="M378" s="11">
        <f t="shared" si="11"/>
        <v>0</v>
      </c>
    </row>
    <row r="379" spans="1:13" ht="26.4" x14ac:dyDescent="0.3">
      <c r="A379" s="10" t="s">
        <v>282</v>
      </c>
      <c r="B379" s="14">
        <v>46328</v>
      </c>
      <c r="C379" s="11">
        <f t="shared" si="10"/>
        <v>202611</v>
      </c>
      <c r="D379" s="15">
        <v>1</v>
      </c>
      <c r="E379" s="10" t="s">
        <v>131</v>
      </c>
      <c r="F379" s="13" t="str">
        <f>IFERROR(INDEX(tbl_pontos[Categoria],MATCH(E379,tbl_pontos[ID_Ponto],0)),"")</f>
        <v>4. Gestão de Resíduos</v>
      </c>
      <c r="G379" s="10" t="s">
        <v>165</v>
      </c>
      <c r="H379" s="10"/>
      <c r="I379" s="10"/>
      <c r="J379" s="10"/>
      <c r="K379" s="10"/>
      <c r="L379" s="10" t="s">
        <v>151</v>
      </c>
      <c r="M379" s="11">
        <f t="shared" si="11"/>
        <v>0</v>
      </c>
    </row>
    <row r="380" spans="1:13" ht="26.4" x14ac:dyDescent="0.3">
      <c r="A380" s="10" t="s">
        <v>282</v>
      </c>
      <c r="B380" s="14">
        <v>46328</v>
      </c>
      <c r="C380" s="11">
        <f t="shared" si="10"/>
        <v>202611</v>
      </c>
      <c r="D380" s="15">
        <v>1</v>
      </c>
      <c r="E380" s="10" t="s">
        <v>136</v>
      </c>
      <c r="F380" s="13" t="str">
        <f>IFERROR(INDEX(tbl_pontos[Categoria],MATCH(E380,tbl_pontos[ID_Ponto],0)),"")</f>
        <v>5. Perdas de granulado e energia (extra)</v>
      </c>
      <c r="G380" s="10" t="s">
        <v>165</v>
      </c>
      <c r="H380" s="10"/>
      <c r="I380" s="10"/>
      <c r="J380" s="10"/>
      <c r="K380" s="10"/>
      <c r="L380" s="10" t="s">
        <v>151</v>
      </c>
      <c r="M380" s="11">
        <f t="shared" si="11"/>
        <v>0</v>
      </c>
    </row>
    <row r="381" spans="1:13" ht="26.4" x14ac:dyDescent="0.3">
      <c r="A381" s="10" t="s">
        <v>282</v>
      </c>
      <c r="B381" s="14">
        <v>46328</v>
      </c>
      <c r="C381" s="11">
        <f t="shared" si="10"/>
        <v>202611</v>
      </c>
      <c r="D381" s="15">
        <v>2</v>
      </c>
      <c r="E381" s="10" t="s">
        <v>144</v>
      </c>
      <c r="F381" s="13" t="str">
        <f>IFERROR(INDEX(tbl_pontos[Categoria],MATCH(E381,tbl_pontos[ID_Ponto],0)),"")</f>
        <v>1. Gestão de Produtos Químicos</v>
      </c>
      <c r="G381" s="10" t="s">
        <v>165</v>
      </c>
      <c r="H381" s="10"/>
      <c r="I381" s="10"/>
      <c r="J381" s="10"/>
      <c r="K381" s="10"/>
      <c r="L381" s="10" t="s">
        <v>151</v>
      </c>
      <c r="M381" s="11">
        <f t="shared" si="11"/>
        <v>0</v>
      </c>
    </row>
    <row r="382" spans="1:13" ht="26.4" x14ac:dyDescent="0.3">
      <c r="A382" s="10" t="s">
        <v>282</v>
      </c>
      <c r="B382" s="14">
        <v>46328</v>
      </c>
      <c r="C382" s="11">
        <f t="shared" si="10"/>
        <v>202611</v>
      </c>
      <c r="D382" s="15">
        <v>1</v>
      </c>
      <c r="E382" s="10" t="s">
        <v>148</v>
      </c>
      <c r="F382" s="13" t="str">
        <f>IFERROR(INDEX(tbl_pontos[Categoria],MATCH(E382,tbl_pontos[ID_Ponto],0)),"")</f>
        <v>5. Perdas de granulado e energia (extra)</v>
      </c>
      <c r="G382" s="10" t="s">
        <v>165</v>
      </c>
      <c r="H382" s="10"/>
      <c r="I382" s="10"/>
      <c r="J382" s="10"/>
      <c r="K382" s="10"/>
      <c r="L382" s="10" t="s">
        <v>151</v>
      </c>
      <c r="M382" s="11">
        <f t="shared" si="11"/>
        <v>0</v>
      </c>
    </row>
    <row r="383" spans="1:13" ht="26.4" x14ac:dyDescent="0.3">
      <c r="A383" s="10" t="s">
        <v>283</v>
      </c>
      <c r="B383" s="14">
        <v>46335</v>
      </c>
      <c r="C383" s="11">
        <f t="shared" si="10"/>
        <v>202611</v>
      </c>
      <c r="D383" s="15">
        <v>1</v>
      </c>
      <c r="E383" s="10" t="s">
        <v>77</v>
      </c>
      <c r="F383" s="13" t="str">
        <f>IFERROR(INDEX(tbl_pontos[Categoria],MATCH(E383,tbl_pontos[ID_Ponto],0)),"")</f>
        <v>1. Gestão de Produtos Químicos</v>
      </c>
      <c r="G383" s="10" t="s">
        <v>165</v>
      </c>
      <c r="H383" s="10"/>
      <c r="I383" s="10"/>
      <c r="J383" s="10"/>
      <c r="K383" s="10"/>
      <c r="L383" s="10" t="s">
        <v>84</v>
      </c>
      <c r="M383" s="11">
        <f t="shared" si="11"/>
        <v>0</v>
      </c>
    </row>
    <row r="384" spans="1:13" ht="26.4" x14ac:dyDescent="0.3">
      <c r="A384" s="10" t="s">
        <v>283</v>
      </c>
      <c r="B384" s="14">
        <v>46335</v>
      </c>
      <c r="C384" s="11">
        <f t="shared" si="10"/>
        <v>202611</v>
      </c>
      <c r="D384" s="15">
        <v>1</v>
      </c>
      <c r="E384" s="10" t="s">
        <v>88</v>
      </c>
      <c r="F384" s="13" t="str">
        <f>IFERROR(INDEX(tbl_pontos[Categoria],MATCH(E384,tbl_pontos[ID_Ponto],0)),"")</f>
        <v>1. Gestão de Produtos Químicos</v>
      </c>
      <c r="G384" s="10" t="s">
        <v>165</v>
      </c>
      <c r="H384" s="10"/>
      <c r="I384" s="10"/>
      <c r="J384" s="10"/>
      <c r="K384" s="10"/>
      <c r="L384" s="10" t="s">
        <v>84</v>
      </c>
      <c r="M384" s="11">
        <f t="shared" si="11"/>
        <v>0</v>
      </c>
    </row>
    <row r="385" spans="1:13" ht="26.4" x14ac:dyDescent="0.3">
      <c r="A385" s="10" t="s">
        <v>283</v>
      </c>
      <c r="B385" s="14">
        <v>46335</v>
      </c>
      <c r="C385" s="11">
        <f t="shared" si="10"/>
        <v>202611</v>
      </c>
      <c r="D385" s="15">
        <v>1</v>
      </c>
      <c r="E385" s="10" t="s">
        <v>95</v>
      </c>
      <c r="F385" s="13" t="str">
        <f>IFERROR(INDEX(tbl_pontos[Categoria],MATCH(E385,tbl_pontos[ID_Ponto],0)),"")</f>
        <v>2. Eficiência e Manutenção</v>
      </c>
      <c r="G385" s="10" t="s">
        <v>165</v>
      </c>
      <c r="H385" s="10"/>
      <c r="I385" s="10"/>
      <c r="J385" s="10"/>
      <c r="K385" s="10"/>
      <c r="L385" s="10" t="s">
        <v>84</v>
      </c>
      <c r="M385" s="11">
        <f t="shared" si="11"/>
        <v>0</v>
      </c>
    </row>
    <row r="386" spans="1:13" ht="26.4" x14ac:dyDescent="0.3">
      <c r="A386" s="10" t="s">
        <v>283</v>
      </c>
      <c r="B386" s="14">
        <v>46335</v>
      </c>
      <c r="C386" s="11">
        <f t="shared" ref="C386:C449" si="12">YEAR(B386)*100+MONTH(B386)</f>
        <v>202611</v>
      </c>
      <c r="D386" s="15">
        <v>1</v>
      </c>
      <c r="E386" s="10" t="s">
        <v>103</v>
      </c>
      <c r="F386" s="13" t="str">
        <f>IFERROR(INDEX(tbl_pontos[Categoria],MATCH(E386,tbl_pontos[ID_Ponto],0)),"")</f>
        <v>2. Eficiência e Manutenção</v>
      </c>
      <c r="G386" s="10" t="s">
        <v>165</v>
      </c>
      <c r="H386" s="10"/>
      <c r="I386" s="10"/>
      <c r="J386" s="10"/>
      <c r="K386" s="10"/>
      <c r="L386" s="10" t="s">
        <v>84</v>
      </c>
      <c r="M386" s="11">
        <f t="shared" ref="M386:M449" si="13">IF(G386="Não conforme",1,0)</f>
        <v>0</v>
      </c>
    </row>
    <row r="387" spans="1:13" ht="26.4" x14ac:dyDescent="0.3">
      <c r="A387" s="10" t="s">
        <v>283</v>
      </c>
      <c r="B387" s="14">
        <v>46335</v>
      </c>
      <c r="C387" s="11">
        <f t="shared" si="12"/>
        <v>202611</v>
      </c>
      <c r="D387" s="15">
        <v>1</v>
      </c>
      <c r="E387" s="10" t="s">
        <v>124</v>
      </c>
      <c r="F387" s="13" t="str">
        <f>IFERROR(INDEX(tbl_pontos[Categoria],MATCH(E387,tbl_pontos[ID_Ponto],0)),"")</f>
        <v>4. Gestão de Resíduos</v>
      </c>
      <c r="G387" s="10" t="s">
        <v>165</v>
      </c>
      <c r="H387" s="10"/>
      <c r="I387" s="10"/>
      <c r="J387" s="10"/>
      <c r="K387" s="10"/>
      <c r="L387" s="10" t="s">
        <v>84</v>
      </c>
      <c r="M387" s="11">
        <f t="shared" si="13"/>
        <v>0</v>
      </c>
    </row>
    <row r="388" spans="1:13" ht="26.4" x14ac:dyDescent="0.3">
      <c r="A388" s="10" t="s">
        <v>283</v>
      </c>
      <c r="B388" s="14">
        <v>46335</v>
      </c>
      <c r="C388" s="11">
        <f t="shared" si="12"/>
        <v>202611</v>
      </c>
      <c r="D388" s="15">
        <v>1</v>
      </c>
      <c r="E388" s="10" t="s">
        <v>131</v>
      </c>
      <c r="F388" s="13" t="str">
        <f>IFERROR(INDEX(tbl_pontos[Categoria],MATCH(E388,tbl_pontos[ID_Ponto],0)),"")</f>
        <v>4. Gestão de Resíduos</v>
      </c>
      <c r="G388" s="10" t="s">
        <v>165</v>
      </c>
      <c r="H388" s="10"/>
      <c r="I388" s="10"/>
      <c r="J388" s="10"/>
      <c r="K388" s="10"/>
      <c r="L388" s="10" t="s">
        <v>84</v>
      </c>
      <c r="M388" s="11">
        <f t="shared" si="13"/>
        <v>0</v>
      </c>
    </row>
    <row r="389" spans="1:13" ht="26.4" x14ac:dyDescent="0.3">
      <c r="A389" s="10" t="s">
        <v>283</v>
      </c>
      <c r="B389" s="14">
        <v>46335</v>
      </c>
      <c r="C389" s="11">
        <f t="shared" si="12"/>
        <v>202611</v>
      </c>
      <c r="D389" s="15">
        <v>1</v>
      </c>
      <c r="E389" s="10" t="s">
        <v>136</v>
      </c>
      <c r="F389" s="13" t="str">
        <f>IFERROR(INDEX(tbl_pontos[Categoria],MATCH(E389,tbl_pontos[ID_Ponto],0)),"")</f>
        <v>5. Perdas de granulado e energia (extra)</v>
      </c>
      <c r="G389" s="10" t="s">
        <v>165</v>
      </c>
      <c r="H389" s="10"/>
      <c r="I389" s="10"/>
      <c r="J389" s="10"/>
      <c r="K389" s="10"/>
      <c r="L389" s="10" t="s">
        <v>84</v>
      </c>
      <c r="M389" s="11">
        <f t="shared" si="13"/>
        <v>0</v>
      </c>
    </row>
    <row r="390" spans="1:13" ht="26.4" x14ac:dyDescent="0.3">
      <c r="A390" s="10" t="s">
        <v>283</v>
      </c>
      <c r="B390" s="14">
        <v>46335</v>
      </c>
      <c r="C390" s="11">
        <f t="shared" si="12"/>
        <v>202611</v>
      </c>
      <c r="D390" s="15">
        <v>3</v>
      </c>
      <c r="E390" s="10" t="s">
        <v>144</v>
      </c>
      <c r="F390" s="13" t="str">
        <f>IFERROR(INDEX(tbl_pontos[Categoria],MATCH(E390,tbl_pontos[ID_Ponto],0)),"")</f>
        <v>1. Gestão de Produtos Químicos</v>
      </c>
      <c r="G390" s="10" t="s">
        <v>165</v>
      </c>
      <c r="H390" s="10"/>
      <c r="I390" s="10"/>
      <c r="J390" s="10"/>
      <c r="K390" s="10"/>
      <c r="L390" s="10" t="s">
        <v>84</v>
      </c>
      <c r="M390" s="11">
        <f t="shared" si="13"/>
        <v>0</v>
      </c>
    </row>
    <row r="391" spans="1:13" ht="26.4" x14ac:dyDescent="0.3">
      <c r="A391" s="10" t="s">
        <v>283</v>
      </c>
      <c r="B391" s="14">
        <v>46335</v>
      </c>
      <c r="C391" s="11">
        <f t="shared" si="12"/>
        <v>202611</v>
      </c>
      <c r="D391" s="15">
        <v>1</v>
      </c>
      <c r="E391" s="10" t="s">
        <v>148</v>
      </c>
      <c r="F391" s="13" t="str">
        <f>IFERROR(INDEX(tbl_pontos[Categoria],MATCH(E391,tbl_pontos[ID_Ponto],0)),"")</f>
        <v>5. Perdas de granulado e energia (extra)</v>
      </c>
      <c r="G391" s="10" t="s">
        <v>165</v>
      </c>
      <c r="H391" s="10"/>
      <c r="I391" s="10"/>
      <c r="J391" s="10"/>
      <c r="K391" s="10"/>
      <c r="L391" s="10" t="s">
        <v>84</v>
      </c>
      <c r="M391" s="11">
        <f t="shared" si="13"/>
        <v>0</v>
      </c>
    </row>
    <row r="392" spans="1:13" ht="26.4" x14ac:dyDescent="0.3">
      <c r="A392" s="10" t="s">
        <v>284</v>
      </c>
      <c r="B392" s="14">
        <v>46342</v>
      </c>
      <c r="C392" s="11">
        <f t="shared" si="12"/>
        <v>202611</v>
      </c>
      <c r="D392" s="15">
        <v>2</v>
      </c>
      <c r="E392" s="10" t="s">
        <v>77</v>
      </c>
      <c r="F392" s="13" t="str">
        <f>IFERROR(INDEX(tbl_pontos[Categoria],MATCH(E392,tbl_pontos[ID_Ponto],0)),"")</f>
        <v>1. Gestão de Produtos Químicos</v>
      </c>
      <c r="G392" s="10" t="s">
        <v>165</v>
      </c>
      <c r="H392" s="10"/>
      <c r="I392" s="10"/>
      <c r="J392" s="10"/>
      <c r="K392" s="10"/>
      <c r="L392" s="10" t="s">
        <v>151</v>
      </c>
      <c r="M392" s="11">
        <f t="shared" si="13"/>
        <v>0</v>
      </c>
    </row>
    <row r="393" spans="1:13" ht="26.4" x14ac:dyDescent="0.3">
      <c r="A393" s="10" t="s">
        <v>284</v>
      </c>
      <c r="B393" s="14">
        <v>46342</v>
      </c>
      <c r="C393" s="11">
        <f t="shared" si="12"/>
        <v>202611</v>
      </c>
      <c r="D393" s="15">
        <v>2</v>
      </c>
      <c r="E393" s="10" t="s">
        <v>88</v>
      </c>
      <c r="F393" s="13" t="str">
        <f>IFERROR(INDEX(tbl_pontos[Categoria],MATCH(E393,tbl_pontos[ID_Ponto],0)),"")</f>
        <v>1. Gestão de Produtos Químicos</v>
      </c>
      <c r="G393" s="10" t="s">
        <v>165</v>
      </c>
      <c r="H393" s="10"/>
      <c r="I393" s="10"/>
      <c r="J393" s="10"/>
      <c r="K393" s="10"/>
      <c r="L393" s="10" t="s">
        <v>151</v>
      </c>
      <c r="M393" s="11">
        <f t="shared" si="13"/>
        <v>0</v>
      </c>
    </row>
    <row r="394" spans="1:13" ht="26.4" x14ac:dyDescent="0.3">
      <c r="A394" s="10" t="s">
        <v>284</v>
      </c>
      <c r="B394" s="14">
        <v>46342</v>
      </c>
      <c r="C394" s="11">
        <f t="shared" si="12"/>
        <v>202611</v>
      </c>
      <c r="D394" s="15">
        <v>1</v>
      </c>
      <c r="E394" s="10" t="s">
        <v>95</v>
      </c>
      <c r="F394" s="13" t="str">
        <f>IFERROR(INDEX(tbl_pontos[Categoria],MATCH(E394,tbl_pontos[ID_Ponto],0)),"")</f>
        <v>2. Eficiência e Manutenção</v>
      </c>
      <c r="G394" s="10" t="s">
        <v>165</v>
      </c>
      <c r="H394" s="10"/>
      <c r="I394" s="10"/>
      <c r="J394" s="10"/>
      <c r="K394" s="10"/>
      <c r="L394" s="10" t="s">
        <v>151</v>
      </c>
      <c r="M394" s="11">
        <f t="shared" si="13"/>
        <v>0</v>
      </c>
    </row>
    <row r="395" spans="1:13" ht="26.4" x14ac:dyDescent="0.3">
      <c r="A395" s="10" t="s">
        <v>284</v>
      </c>
      <c r="B395" s="14">
        <v>46342</v>
      </c>
      <c r="C395" s="11">
        <f t="shared" si="12"/>
        <v>202611</v>
      </c>
      <c r="D395" s="15">
        <v>2</v>
      </c>
      <c r="E395" s="10" t="s">
        <v>103</v>
      </c>
      <c r="F395" s="13" t="str">
        <f>IFERROR(INDEX(tbl_pontos[Categoria],MATCH(E395,tbl_pontos[ID_Ponto],0)),"")</f>
        <v>2. Eficiência e Manutenção</v>
      </c>
      <c r="G395" s="10" t="s">
        <v>165</v>
      </c>
      <c r="H395" s="10"/>
      <c r="I395" s="10"/>
      <c r="J395" s="10"/>
      <c r="K395" s="10"/>
      <c r="L395" s="10" t="s">
        <v>151</v>
      </c>
      <c r="M395" s="11">
        <f t="shared" si="13"/>
        <v>0</v>
      </c>
    </row>
    <row r="396" spans="1:13" ht="26.4" x14ac:dyDescent="0.3">
      <c r="A396" s="10" t="s">
        <v>284</v>
      </c>
      <c r="B396" s="14">
        <v>46342</v>
      </c>
      <c r="C396" s="11">
        <f t="shared" si="12"/>
        <v>202611</v>
      </c>
      <c r="D396" s="15">
        <v>1</v>
      </c>
      <c r="E396" s="10" t="s">
        <v>124</v>
      </c>
      <c r="F396" s="13" t="str">
        <f>IFERROR(INDEX(tbl_pontos[Categoria],MATCH(E396,tbl_pontos[ID_Ponto],0)),"")</f>
        <v>4. Gestão de Resíduos</v>
      </c>
      <c r="G396" s="10" t="s">
        <v>165</v>
      </c>
      <c r="H396" s="10"/>
      <c r="I396" s="10"/>
      <c r="J396" s="10"/>
      <c r="K396" s="10"/>
      <c r="L396" s="10" t="s">
        <v>151</v>
      </c>
      <c r="M396" s="11">
        <f t="shared" si="13"/>
        <v>0</v>
      </c>
    </row>
    <row r="397" spans="1:13" ht="26.4" x14ac:dyDescent="0.3">
      <c r="A397" s="10" t="s">
        <v>284</v>
      </c>
      <c r="B397" s="14">
        <v>46342</v>
      </c>
      <c r="C397" s="11">
        <f t="shared" si="12"/>
        <v>202611</v>
      </c>
      <c r="D397" s="15">
        <v>2</v>
      </c>
      <c r="E397" s="10" t="s">
        <v>131</v>
      </c>
      <c r="F397" s="13" t="str">
        <f>IFERROR(INDEX(tbl_pontos[Categoria],MATCH(E397,tbl_pontos[ID_Ponto],0)),"")</f>
        <v>4. Gestão de Resíduos</v>
      </c>
      <c r="G397" s="10" t="s">
        <v>165</v>
      </c>
      <c r="H397" s="10"/>
      <c r="I397" s="10"/>
      <c r="J397" s="10"/>
      <c r="K397" s="10"/>
      <c r="L397" s="10" t="s">
        <v>151</v>
      </c>
      <c r="M397" s="11">
        <f t="shared" si="13"/>
        <v>0</v>
      </c>
    </row>
    <row r="398" spans="1:13" ht="26.4" x14ac:dyDescent="0.3">
      <c r="A398" s="10" t="s">
        <v>284</v>
      </c>
      <c r="B398" s="14">
        <v>46342</v>
      </c>
      <c r="C398" s="11">
        <f t="shared" si="12"/>
        <v>202611</v>
      </c>
      <c r="D398" s="15">
        <v>1</v>
      </c>
      <c r="E398" s="10" t="s">
        <v>136</v>
      </c>
      <c r="F398" s="13" t="str">
        <f>IFERROR(INDEX(tbl_pontos[Categoria],MATCH(E398,tbl_pontos[ID_Ponto],0)),"")</f>
        <v>5. Perdas de granulado e energia (extra)</v>
      </c>
      <c r="G398" s="10" t="s">
        <v>165</v>
      </c>
      <c r="H398" s="10"/>
      <c r="I398" s="10"/>
      <c r="J398" s="10"/>
      <c r="K398" s="10"/>
      <c r="L398" s="10" t="s">
        <v>151</v>
      </c>
      <c r="M398" s="11">
        <f t="shared" si="13"/>
        <v>0</v>
      </c>
    </row>
    <row r="399" spans="1:13" ht="26.4" x14ac:dyDescent="0.3">
      <c r="A399" s="10" t="s">
        <v>284</v>
      </c>
      <c r="B399" s="14">
        <v>46342</v>
      </c>
      <c r="C399" s="11">
        <f t="shared" si="12"/>
        <v>202611</v>
      </c>
      <c r="D399" s="15">
        <v>2</v>
      </c>
      <c r="E399" s="10" t="s">
        <v>144</v>
      </c>
      <c r="F399" s="13" t="str">
        <f>IFERROR(INDEX(tbl_pontos[Categoria],MATCH(E399,tbl_pontos[ID_Ponto],0)),"")</f>
        <v>1. Gestão de Produtos Químicos</v>
      </c>
      <c r="G399" s="10" t="s">
        <v>165</v>
      </c>
      <c r="H399" s="10"/>
      <c r="I399" s="10"/>
      <c r="J399" s="10"/>
      <c r="K399" s="10"/>
      <c r="L399" s="10" t="s">
        <v>151</v>
      </c>
      <c r="M399" s="11">
        <f t="shared" si="13"/>
        <v>0</v>
      </c>
    </row>
    <row r="400" spans="1:13" ht="26.4" x14ac:dyDescent="0.3">
      <c r="A400" s="10" t="s">
        <v>284</v>
      </c>
      <c r="B400" s="14">
        <v>46342</v>
      </c>
      <c r="C400" s="11">
        <f t="shared" si="12"/>
        <v>202611</v>
      </c>
      <c r="D400" s="15">
        <v>1</v>
      </c>
      <c r="E400" s="10" t="s">
        <v>148</v>
      </c>
      <c r="F400" s="13" t="str">
        <f>IFERROR(INDEX(tbl_pontos[Categoria],MATCH(E400,tbl_pontos[ID_Ponto],0)),"")</f>
        <v>5. Perdas de granulado e energia (extra)</v>
      </c>
      <c r="G400" s="10" t="s">
        <v>165</v>
      </c>
      <c r="H400" s="10"/>
      <c r="I400" s="10"/>
      <c r="J400" s="10"/>
      <c r="K400" s="10"/>
      <c r="L400" s="10" t="s">
        <v>151</v>
      </c>
      <c r="M400" s="11">
        <f t="shared" si="13"/>
        <v>0</v>
      </c>
    </row>
    <row r="401" spans="1:13" ht="26.4" x14ac:dyDescent="0.3">
      <c r="A401" s="10" t="s">
        <v>285</v>
      </c>
      <c r="B401" s="14">
        <v>46349</v>
      </c>
      <c r="C401" s="11">
        <f t="shared" si="12"/>
        <v>202611</v>
      </c>
      <c r="D401" s="15">
        <v>2</v>
      </c>
      <c r="E401" s="10" t="s">
        <v>77</v>
      </c>
      <c r="F401" s="13" t="str">
        <f>IFERROR(INDEX(tbl_pontos[Categoria],MATCH(E401,tbl_pontos[ID_Ponto],0)),"")</f>
        <v>1. Gestão de Produtos Químicos</v>
      </c>
      <c r="G401" s="10" t="s">
        <v>165</v>
      </c>
      <c r="H401" s="10"/>
      <c r="I401" s="10"/>
      <c r="J401" s="10"/>
      <c r="K401" s="10"/>
      <c r="L401" s="10" t="s">
        <v>84</v>
      </c>
      <c r="M401" s="11">
        <f t="shared" si="13"/>
        <v>0</v>
      </c>
    </row>
    <row r="402" spans="1:13" ht="26.4" x14ac:dyDescent="0.3">
      <c r="A402" s="10" t="s">
        <v>285</v>
      </c>
      <c r="B402" s="14">
        <v>46349</v>
      </c>
      <c r="C402" s="11">
        <f t="shared" si="12"/>
        <v>202611</v>
      </c>
      <c r="D402" s="15">
        <v>2</v>
      </c>
      <c r="E402" s="10" t="s">
        <v>88</v>
      </c>
      <c r="F402" s="13" t="str">
        <f>IFERROR(INDEX(tbl_pontos[Categoria],MATCH(E402,tbl_pontos[ID_Ponto],0)),"")</f>
        <v>1. Gestão de Produtos Químicos</v>
      </c>
      <c r="G402" s="10" t="s">
        <v>165</v>
      </c>
      <c r="H402" s="10"/>
      <c r="I402" s="10"/>
      <c r="J402" s="10"/>
      <c r="K402" s="10"/>
      <c r="L402" s="10" t="s">
        <v>84</v>
      </c>
      <c r="M402" s="11">
        <f t="shared" si="13"/>
        <v>0</v>
      </c>
    </row>
    <row r="403" spans="1:13" ht="26.4" x14ac:dyDescent="0.3">
      <c r="A403" s="10" t="s">
        <v>285</v>
      </c>
      <c r="B403" s="14">
        <v>46349</v>
      </c>
      <c r="C403" s="11">
        <f t="shared" si="12"/>
        <v>202611</v>
      </c>
      <c r="D403" s="15">
        <v>1</v>
      </c>
      <c r="E403" s="10" t="s">
        <v>95</v>
      </c>
      <c r="F403" s="13" t="str">
        <f>IFERROR(INDEX(tbl_pontos[Categoria],MATCH(E403,tbl_pontos[ID_Ponto],0)),"")</f>
        <v>2. Eficiência e Manutenção</v>
      </c>
      <c r="G403" s="10" t="s">
        <v>165</v>
      </c>
      <c r="H403" s="10"/>
      <c r="I403" s="10"/>
      <c r="J403" s="10"/>
      <c r="K403" s="10"/>
      <c r="L403" s="10" t="s">
        <v>84</v>
      </c>
      <c r="M403" s="11">
        <f t="shared" si="13"/>
        <v>0</v>
      </c>
    </row>
    <row r="404" spans="1:13" ht="26.4" x14ac:dyDescent="0.3">
      <c r="A404" s="10" t="s">
        <v>285</v>
      </c>
      <c r="B404" s="14">
        <v>46349</v>
      </c>
      <c r="C404" s="11">
        <f t="shared" si="12"/>
        <v>202611</v>
      </c>
      <c r="D404" s="15">
        <v>2</v>
      </c>
      <c r="E404" s="10" t="s">
        <v>103</v>
      </c>
      <c r="F404" s="13" t="str">
        <f>IFERROR(INDEX(tbl_pontos[Categoria],MATCH(E404,tbl_pontos[ID_Ponto],0)),"")</f>
        <v>2. Eficiência e Manutenção</v>
      </c>
      <c r="G404" s="10" t="s">
        <v>165</v>
      </c>
      <c r="H404" s="10"/>
      <c r="I404" s="10"/>
      <c r="J404" s="10"/>
      <c r="K404" s="10"/>
      <c r="L404" s="10" t="s">
        <v>84</v>
      </c>
      <c r="M404" s="11">
        <f t="shared" si="13"/>
        <v>0</v>
      </c>
    </row>
    <row r="405" spans="1:13" ht="26.4" x14ac:dyDescent="0.3">
      <c r="A405" s="10" t="s">
        <v>285</v>
      </c>
      <c r="B405" s="14">
        <v>46349</v>
      </c>
      <c r="C405" s="11">
        <f t="shared" si="12"/>
        <v>202611</v>
      </c>
      <c r="D405" s="15">
        <v>3</v>
      </c>
      <c r="E405" s="10" t="s">
        <v>124</v>
      </c>
      <c r="F405" s="13" t="str">
        <f>IFERROR(INDEX(tbl_pontos[Categoria],MATCH(E405,tbl_pontos[ID_Ponto],0)),"")</f>
        <v>4. Gestão de Resíduos</v>
      </c>
      <c r="G405" s="10" t="s">
        <v>166</v>
      </c>
      <c r="H405" s="10" t="s">
        <v>180</v>
      </c>
      <c r="I405" s="10" t="s">
        <v>172</v>
      </c>
      <c r="J405" s="10"/>
      <c r="K405" s="10" t="s">
        <v>286</v>
      </c>
      <c r="L405" s="10" t="s">
        <v>84</v>
      </c>
      <c r="M405" s="11">
        <f t="shared" si="13"/>
        <v>1</v>
      </c>
    </row>
    <row r="406" spans="1:13" ht="26.4" x14ac:dyDescent="0.3">
      <c r="A406" s="10" t="s">
        <v>285</v>
      </c>
      <c r="B406" s="14">
        <v>46349</v>
      </c>
      <c r="C406" s="11">
        <f t="shared" si="12"/>
        <v>202611</v>
      </c>
      <c r="D406" s="15">
        <v>1</v>
      </c>
      <c r="E406" s="10" t="s">
        <v>131</v>
      </c>
      <c r="F406" s="13" t="str">
        <f>IFERROR(INDEX(tbl_pontos[Categoria],MATCH(E406,tbl_pontos[ID_Ponto],0)),"")</f>
        <v>4. Gestão de Resíduos</v>
      </c>
      <c r="G406" s="10" t="s">
        <v>165</v>
      </c>
      <c r="H406" s="10"/>
      <c r="I406" s="10"/>
      <c r="J406" s="10"/>
      <c r="K406" s="10"/>
      <c r="L406" s="10" t="s">
        <v>84</v>
      </c>
      <c r="M406" s="11">
        <f t="shared" si="13"/>
        <v>0</v>
      </c>
    </row>
    <row r="407" spans="1:13" ht="26.4" x14ac:dyDescent="0.3">
      <c r="A407" s="10" t="s">
        <v>285</v>
      </c>
      <c r="B407" s="14">
        <v>46349</v>
      </c>
      <c r="C407" s="11">
        <f t="shared" si="12"/>
        <v>202611</v>
      </c>
      <c r="D407" s="15">
        <v>2</v>
      </c>
      <c r="E407" s="10" t="s">
        <v>136</v>
      </c>
      <c r="F407" s="13" t="str">
        <f>IFERROR(INDEX(tbl_pontos[Categoria],MATCH(E407,tbl_pontos[ID_Ponto],0)),"")</f>
        <v>5. Perdas de granulado e energia (extra)</v>
      </c>
      <c r="G407" s="10" t="s">
        <v>165</v>
      </c>
      <c r="H407" s="10"/>
      <c r="I407" s="10"/>
      <c r="J407" s="10"/>
      <c r="K407" s="10"/>
      <c r="L407" s="10" t="s">
        <v>84</v>
      </c>
      <c r="M407" s="11">
        <f t="shared" si="13"/>
        <v>0</v>
      </c>
    </row>
    <row r="408" spans="1:13" ht="26.4" x14ac:dyDescent="0.3">
      <c r="A408" s="10" t="s">
        <v>285</v>
      </c>
      <c r="B408" s="14">
        <v>46349</v>
      </c>
      <c r="C408" s="11">
        <f t="shared" si="12"/>
        <v>202611</v>
      </c>
      <c r="D408" s="15">
        <v>1</v>
      </c>
      <c r="E408" s="10" t="s">
        <v>144</v>
      </c>
      <c r="F408" s="13" t="str">
        <f>IFERROR(INDEX(tbl_pontos[Categoria],MATCH(E408,tbl_pontos[ID_Ponto],0)),"")</f>
        <v>1. Gestão de Produtos Químicos</v>
      </c>
      <c r="G408" s="10" t="s">
        <v>165</v>
      </c>
      <c r="H408" s="10"/>
      <c r="I408" s="10"/>
      <c r="J408" s="10"/>
      <c r="K408" s="10"/>
      <c r="L408" s="10" t="s">
        <v>84</v>
      </c>
      <c r="M408" s="11">
        <f t="shared" si="13"/>
        <v>0</v>
      </c>
    </row>
    <row r="409" spans="1:13" ht="26.4" x14ac:dyDescent="0.3">
      <c r="A409" s="10" t="s">
        <v>285</v>
      </c>
      <c r="B409" s="14">
        <v>46349</v>
      </c>
      <c r="C409" s="11">
        <f t="shared" si="12"/>
        <v>202611</v>
      </c>
      <c r="D409" s="15">
        <v>1</v>
      </c>
      <c r="E409" s="10" t="s">
        <v>148</v>
      </c>
      <c r="F409" s="13" t="str">
        <f>IFERROR(INDEX(tbl_pontos[Categoria],MATCH(E409,tbl_pontos[ID_Ponto],0)),"")</f>
        <v>5. Perdas de granulado e energia (extra)</v>
      </c>
      <c r="G409" s="10" t="s">
        <v>165</v>
      </c>
      <c r="H409" s="10"/>
      <c r="I409" s="10"/>
      <c r="J409" s="10"/>
      <c r="K409" s="10"/>
      <c r="L409" s="10" t="s">
        <v>84</v>
      </c>
      <c r="M409" s="11">
        <f t="shared" si="13"/>
        <v>0</v>
      </c>
    </row>
    <row r="410" spans="1:13" ht="26.4" x14ac:dyDescent="0.3">
      <c r="A410" s="10" t="s">
        <v>287</v>
      </c>
      <c r="B410" s="14">
        <v>46356</v>
      </c>
      <c r="C410" s="11">
        <f t="shared" si="12"/>
        <v>202611</v>
      </c>
      <c r="D410" s="15">
        <v>3</v>
      </c>
      <c r="E410" s="10" t="s">
        <v>77</v>
      </c>
      <c r="F410" s="13" t="str">
        <f>IFERROR(INDEX(tbl_pontos[Categoria],MATCH(E410,tbl_pontos[ID_Ponto],0)),"")</f>
        <v>1. Gestão de Produtos Químicos</v>
      </c>
      <c r="G410" s="10" t="s">
        <v>165</v>
      </c>
      <c r="H410" s="10"/>
      <c r="I410" s="10"/>
      <c r="J410" s="10"/>
      <c r="K410" s="10"/>
      <c r="L410" s="10" t="s">
        <v>151</v>
      </c>
      <c r="M410" s="11">
        <f t="shared" si="13"/>
        <v>0</v>
      </c>
    </row>
    <row r="411" spans="1:13" ht="26.4" x14ac:dyDescent="0.3">
      <c r="A411" s="10" t="s">
        <v>287</v>
      </c>
      <c r="B411" s="14">
        <v>46356</v>
      </c>
      <c r="C411" s="11">
        <f t="shared" si="12"/>
        <v>202611</v>
      </c>
      <c r="D411" s="15">
        <v>2</v>
      </c>
      <c r="E411" s="10" t="s">
        <v>88</v>
      </c>
      <c r="F411" s="13" t="str">
        <f>IFERROR(INDEX(tbl_pontos[Categoria],MATCH(E411,tbl_pontos[ID_Ponto],0)),"")</f>
        <v>1. Gestão de Produtos Químicos</v>
      </c>
      <c r="G411" s="10" t="s">
        <v>165</v>
      </c>
      <c r="H411" s="10"/>
      <c r="I411" s="10"/>
      <c r="J411" s="10"/>
      <c r="K411" s="10"/>
      <c r="L411" s="10" t="s">
        <v>151</v>
      </c>
      <c r="M411" s="11">
        <f t="shared" si="13"/>
        <v>0</v>
      </c>
    </row>
    <row r="412" spans="1:13" ht="26.4" x14ac:dyDescent="0.3">
      <c r="A412" s="10" t="s">
        <v>287</v>
      </c>
      <c r="B412" s="14">
        <v>46356</v>
      </c>
      <c r="C412" s="11">
        <f t="shared" si="12"/>
        <v>202611</v>
      </c>
      <c r="D412" s="15">
        <v>2</v>
      </c>
      <c r="E412" s="10" t="s">
        <v>95</v>
      </c>
      <c r="F412" s="13" t="str">
        <f>IFERROR(INDEX(tbl_pontos[Categoria],MATCH(E412,tbl_pontos[ID_Ponto],0)),"")</f>
        <v>2. Eficiência e Manutenção</v>
      </c>
      <c r="G412" s="10" t="s">
        <v>165</v>
      </c>
      <c r="H412" s="10"/>
      <c r="I412" s="10"/>
      <c r="J412" s="10"/>
      <c r="K412" s="10"/>
      <c r="L412" s="10" t="s">
        <v>151</v>
      </c>
      <c r="M412" s="11">
        <f t="shared" si="13"/>
        <v>0</v>
      </c>
    </row>
    <row r="413" spans="1:13" ht="26.4" x14ac:dyDescent="0.3">
      <c r="A413" s="10" t="s">
        <v>287</v>
      </c>
      <c r="B413" s="14">
        <v>46356</v>
      </c>
      <c r="C413" s="11">
        <f t="shared" si="12"/>
        <v>202611</v>
      </c>
      <c r="D413" s="15">
        <v>2</v>
      </c>
      <c r="E413" s="10" t="s">
        <v>103</v>
      </c>
      <c r="F413" s="13" t="str">
        <f>IFERROR(INDEX(tbl_pontos[Categoria],MATCH(E413,tbl_pontos[ID_Ponto],0)),"")</f>
        <v>2. Eficiência e Manutenção</v>
      </c>
      <c r="G413" s="10" t="s">
        <v>165</v>
      </c>
      <c r="H413" s="10"/>
      <c r="I413" s="10"/>
      <c r="J413" s="10"/>
      <c r="K413" s="10"/>
      <c r="L413" s="10" t="s">
        <v>151</v>
      </c>
      <c r="M413" s="11">
        <f t="shared" si="13"/>
        <v>0</v>
      </c>
    </row>
    <row r="414" spans="1:13" ht="26.4" x14ac:dyDescent="0.3">
      <c r="A414" s="10" t="s">
        <v>287</v>
      </c>
      <c r="B414" s="14">
        <v>46356</v>
      </c>
      <c r="C414" s="11">
        <f t="shared" si="12"/>
        <v>202611</v>
      </c>
      <c r="D414" s="15">
        <v>3</v>
      </c>
      <c r="E414" s="10" t="s">
        <v>124</v>
      </c>
      <c r="F414" s="13" t="str">
        <f>IFERROR(INDEX(tbl_pontos[Categoria],MATCH(E414,tbl_pontos[ID_Ponto],0)),"")</f>
        <v>4. Gestão de Resíduos</v>
      </c>
      <c r="G414" s="10" t="s">
        <v>165</v>
      </c>
      <c r="H414" s="10"/>
      <c r="I414" s="10"/>
      <c r="J414" s="10"/>
      <c r="K414" s="10"/>
      <c r="L414" s="10" t="s">
        <v>151</v>
      </c>
      <c r="M414" s="11">
        <f t="shared" si="13"/>
        <v>0</v>
      </c>
    </row>
    <row r="415" spans="1:13" ht="26.4" x14ac:dyDescent="0.3">
      <c r="A415" s="10" t="s">
        <v>287</v>
      </c>
      <c r="B415" s="14">
        <v>46356</v>
      </c>
      <c r="C415" s="11">
        <f t="shared" si="12"/>
        <v>202611</v>
      </c>
      <c r="D415" s="15">
        <v>2</v>
      </c>
      <c r="E415" s="10" t="s">
        <v>131</v>
      </c>
      <c r="F415" s="13" t="str">
        <f>IFERROR(INDEX(tbl_pontos[Categoria],MATCH(E415,tbl_pontos[ID_Ponto],0)),"")</f>
        <v>4. Gestão de Resíduos</v>
      </c>
      <c r="G415" s="10" t="s">
        <v>165</v>
      </c>
      <c r="H415" s="10"/>
      <c r="I415" s="10"/>
      <c r="J415" s="10"/>
      <c r="K415" s="10"/>
      <c r="L415" s="10" t="s">
        <v>151</v>
      </c>
      <c r="M415" s="11">
        <f t="shared" si="13"/>
        <v>0</v>
      </c>
    </row>
    <row r="416" spans="1:13" ht="26.4" x14ac:dyDescent="0.3">
      <c r="A416" s="10" t="s">
        <v>287</v>
      </c>
      <c r="B416" s="14">
        <v>46356</v>
      </c>
      <c r="C416" s="11">
        <f t="shared" si="12"/>
        <v>202611</v>
      </c>
      <c r="D416" s="15">
        <v>1</v>
      </c>
      <c r="E416" s="10" t="s">
        <v>136</v>
      </c>
      <c r="F416" s="13" t="str">
        <f>IFERROR(INDEX(tbl_pontos[Categoria],MATCH(E416,tbl_pontos[ID_Ponto],0)),"")</f>
        <v>5. Perdas de granulado e energia (extra)</v>
      </c>
      <c r="G416" s="10" t="s">
        <v>165</v>
      </c>
      <c r="H416" s="10"/>
      <c r="I416" s="10"/>
      <c r="J416" s="10"/>
      <c r="K416" s="10"/>
      <c r="L416" s="10" t="s">
        <v>151</v>
      </c>
      <c r="M416" s="11">
        <f t="shared" si="13"/>
        <v>0</v>
      </c>
    </row>
    <row r="417" spans="1:13" ht="26.4" x14ac:dyDescent="0.3">
      <c r="A417" s="10" t="s">
        <v>287</v>
      </c>
      <c r="B417" s="14">
        <v>46356</v>
      </c>
      <c r="C417" s="11">
        <f t="shared" si="12"/>
        <v>202611</v>
      </c>
      <c r="D417" s="15">
        <v>2</v>
      </c>
      <c r="E417" s="10" t="s">
        <v>144</v>
      </c>
      <c r="F417" s="13" t="str">
        <f>IFERROR(INDEX(tbl_pontos[Categoria],MATCH(E417,tbl_pontos[ID_Ponto],0)),"")</f>
        <v>1. Gestão de Produtos Químicos</v>
      </c>
      <c r="G417" s="10" t="s">
        <v>165</v>
      </c>
      <c r="H417" s="10"/>
      <c r="I417" s="10"/>
      <c r="J417" s="10"/>
      <c r="K417" s="10"/>
      <c r="L417" s="10" t="s">
        <v>151</v>
      </c>
      <c r="M417" s="11">
        <f t="shared" si="13"/>
        <v>0</v>
      </c>
    </row>
    <row r="418" spans="1:13" ht="26.4" x14ac:dyDescent="0.3">
      <c r="A418" s="10" t="s">
        <v>287</v>
      </c>
      <c r="B418" s="14">
        <v>46356</v>
      </c>
      <c r="C418" s="11">
        <f t="shared" si="12"/>
        <v>202611</v>
      </c>
      <c r="D418" s="15">
        <v>1</v>
      </c>
      <c r="E418" s="10" t="s">
        <v>148</v>
      </c>
      <c r="F418" s="13" t="str">
        <f>IFERROR(INDEX(tbl_pontos[Categoria],MATCH(E418,tbl_pontos[ID_Ponto],0)),"")</f>
        <v>5. Perdas de granulado e energia (extra)</v>
      </c>
      <c r="G418" s="10" t="s">
        <v>165</v>
      </c>
      <c r="H418" s="10"/>
      <c r="I418" s="10"/>
      <c r="J418" s="10"/>
      <c r="K418" s="10"/>
      <c r="L418" s="10" t="s">
        <v>151</v>
      </c>
      <c r="M418" s="11">
        <f t="shared" si="13"/>
        <v>0</v>
      </c>
    </row>
    <row r="419" spans="1:13" ht="26.4" x14ac:dyDescent="0.3">
      <c r="A419" s="10" t="s">
        <v>288</v>
      </c>
      <c r="B419" s="14">
        <v>46363</v>
      </c>
      <c r="C419" s="11">
        <f t="shared" si="12"/>
        <v>202612</v>
      </c>
      <c r="D419" s="15">
        <v>3</v>
      </c>
      <c r="E419" s="10" t="s">
        <v>77</v>
      </c>
      <c r="F419" s="13" t="str">
        <f>IFERROR(INDEX(tbl_pontos[Categoria],MATCH(E419,tbl_pontos[ID_Ponto],0)),"")</f>
        <v>1. Gestão de Produtos Químicos</v>
      </c>
      <c r="G419" s="10" t="s">
        <v>165</v>
      </c>
      <c r="H419" s="10"/>
      <c r="I419" s="10"/>
      <c r="J419" s="10"/>
      <c r="K419" s="10"/>
      <c r="L419" s="10" t="s">
        <v>84</v>
      </c>
      <c r="M419" s="11">
        <f t="shared" si="13"/>
        <v>0</v>
      </c>
    </row>
    <row r="420" spans="1:13" ht="26.4" x14ac:dyDescent="0.3">
      <c r="A420" s="10" t="s">
        <v>288</v>
      </c>
      <c r="B420" s="14">
        <v>46363</v>
      </c>
      <c r="C420" s="11">
        <f t="shared" si="12"/>
        <v>202612</v>
      </c>
      <c r="D420" s="15">
        <v>1</v>
      </c>
      <c r="E420" s="10" t="s">
        <v>88</v>
      </c>
      <c r="F420" s="13" t="str">
        <f>IFERROR(INDEX(tbl_pontos[Categoria],MATCH(E420,tbl_pontos[ID_Ponto],0)),"")</f>
        <v>1. Gestão de Produtos Químicos</v>
      </c>
      <c r="G420" s="10" t="s">
        <v>166</v>
      </c>
      <c r="H420" s="10" t="s">
        <v>175</v>
      </c>
      <c r="I420" s="10" t="s">
        <v>172</v>
      </c>
      <c r="J420" s="10"/>
      <c r="K420" s="10" t="s">
        <v>289</v>
      </c>
      <c r="L420" s="10" t="s">
        <v>84</v>
      </c>
      <c r="M420" s="11">
        <f t="shared" si="13"/>
        <v>1</v>
      </c>
    </row>
    <row r="421" spans="1:13" ht="26.4" x14ac:dyDescent="0.3">
      <c r="A421" s="10" t="s">
        <v>288</v>
      </c>
      <c r="B421" s="14">
        <v>46363</v>
      </c>
      <c r="C421" s="11">
        <f t="shared" si="12"/>
        <v>202612</v>
      </c>
      <c r="D421" s="15">
        <v>1</v>
      </c>
      <c r="E421" s="10" t="s">
        <v>95</v>
      </c>
      <c r="F421" s="13" t="str">
        <f>IFERROR(INDEX(tbl_pontos[Categoria],MATCH(E421,tbl_pontos[ID_Ponto],0)),"")</f>
        <v>2. Eficiência e Manutenção</v>
      </c>
      <c r="G421" s="10" t="s">
        <v>165</v>
      </c>
      <c r="H421" s="10"/>
      <c r="I421" s="10"/>
      <c r="J421" s="10"/>
      <c r="K421" s="10"/>
      <c r="L421" s="10" t="s">
        <v>84</v>
      </c>
      <c r="M421" s="11">
        <f t="shared" si="13"/>
        <v>0</v>
      </c>
    </row>
    <row r="422" spans="1:13" ht="26.4" x14ac:dyDescent="0.3">
      <c r="A422" s="10" t="s">
        <v>288</v>
      </c>
      <c r="B422" s="14">
        <v>46363</v>
      </c>
      <c r="C422" s="11">
        <f t="shared" si="12"/>
        <v>202612</v>
      </c>
      <c r="D422" s="15">
        <v>3</v>
      </c>
      <c r="E422" s="10" t="s">
        <v>103</v>
      </c>
      <c r="F422" s="13" t="str">
        <f>IFERROR(INDEX(tbl_pontos[Categoria],MATCH(E422,tbl_pontos[ID_Ponto],0)),"")</f>
        <v>2. Eficiência e Manutenção</v>
      </c>
      <c r="G422" s="10" t="s">
        <v>165</v>
      </c>
      <c r="H422" s="10"/>
      <c r="I422" s="10"/>
      <c r="J422" s="10"/>
      <c r="K422" s="10"/>
      <c r="L422" s="10" t="s">
        <v>84</v>
      </c>
      <c r="M422" s="11">
        <f t="shared" si="13"/>
        <v>0</v>
      </c>
    </row>
    <row r="423" spans="1:13" ht="26.4" x14ac:dyDescent="0.3">
      <c r="A423" s="10" t="s">
        <v>288</v>
      </c>
      <c r="B423" s="14">
        <v>46363</v>
      </c>
      <c r="C423" s="11">
        <f t="shared" si="12"/>
        <v>202612</v>
      </c>
      <c r="D423" s="15">
        <v>1</v>
      </c>
      <c r="E423" s="10" t="s">
        <v>109</v>
      </c>
      <c r="F423" s="13" t="str">
        <f>IFERROR(INDEX(tbl_pontos[Categoria],MATCH(E423,tbl_pontos[ID_Ponto],0)),"")</f>
        <v>3. Emergência</v>
      </c>
      <c r="G423" s="10" t="s">
        <v>165</v>
      </c>
      <c r="H423" s="10"/>
      <c r="I423" s="10"/>
      <c r="J423" s="10"/>
      <c r="K423" s="10"/>
      <c r="L423" s="10" t="s">
        <v>84</v>
      </c>
      <c r="M423" s="11">
        <f t="shared" si="13"/>
        <v>0</v>
      </c>
    </row>
    <row r="424" spans="1:13" ht="26.4" x14ac:dyDescent="0.3">
      <c r="A424" s="10" t="s">
        <v>288</v>
      </c>
      <c r="B424" s="14">
        <v>46363</v>
      </c>
      <c r="C424" s="11">
        <f t="shared" si="12"/>
        <v>202612</v>
      </c>
      <c r="D424" s="15">
        <v>1</v>
      </c>
      <c r="E424" s="10" t="s">
        <v>119</v>
      </c>
      <c r="F424" s="13" t="str">
        <f>IFERROR(INDEX(tbl_pontos[Categoria],MATCH(E424,tbl_pontos[ID_Ponto],0)),"")</f>
        <v>3. Emergência</v>
      </c>
      <c r="G424" s="10" t="s">
        <v>165</v>
      </c>
      <c r="H424" s="10"/>
      <c r="I424" s="10"/>
      <c r="J424" s="10"/>
      <c r="K424" s="10"/>
      <c r="L424" s="10" t="s">
        <v>84</v>
      </c>
      <c r="M424" s="11">
        <f t="shared" si="13"/>
        <v>0</v>
      </c>
    </row>
    <row r="425" spans="1:13" ht="26.4" x14ac:dyDescent="0.3">
      <c r="A425" s="10" t="s">
        <v>288</v>
      </c>
      <c r="B425" s="14">
        <v>46363</v>
      </c>
      <c r="C425" s="11">
        <f t="shared" si="12"/>
        <v>202612</v>
      </c>
      <c r="D425" s="15">
        <v>1</v>
      </c>
      <c r="E425" s="10" t="s">
        <v>124</v>
      </c>
      <c r="F425" s="13" t="str">
        <f>IFERROR(INDEX(tbl_pontos[Categoria],MATCH(E425,tbl_pontos[ID_Ponto],0)),"")</f>
        <v>4. Gestão de Resíduos</v>
      </c>
      <c r="G425" s="10" t="s">
        <v>165</v>
      </c>
      <c r="H425" s="10"/>
      <c r="I425" s="10"/>
      <c r="J425" s="10"/>
      <c r="K425" s="10"/>
      <c r="L425" s="10" t="s">
        <v>84</v>
      </c>
      <c r="M425" s="11">
        <f t="shared" si="13"/>
        <v>0</v>
      </c>
    </row>
    <row r="426" spans="1:13" ht="26.4" x14ac:dyDescent="0.3">
      <c r="A426" s="10" t="s">
        <v>288</v>
      </c>
      <c r="B426" s="14">
        <v>46363</v>
      </c>
      <c r="C426" s="11">
        <f t="shared" si="12"/>
        <v>202612</v>
      </c>
      <c r="D426" s="15">
        <v>1</v>
      </c>
      <c r="E426" s="10" t="s">
        <v>131</v>
      </c>
      <c r="F426" s="13" t="str">
        <f>IFERROR(INDEX(tbl_pontos[Categoria],MATCH(E426,tbl_pontos[ID_Ponto],0)),"")</f>
        <v>4. Gestão de Resíduos</v>
      </c>
      <c r="G426" s="10" t="s">
        <v>165</v>
      </c>
      <c r="H426" s="10"/>
      <c r="I426" s="10"/>
      <c r="J426" s="10"/>
      <c r="K426" s="10"/>
      <c r="L426" s="10" t="s">
        <v>84</v>
      </c>
      <c r="M426" s="11">
        <f t="shared" si="13"/>
        <v>0</v>
      </c>
    </row>
    <row r="427" spans="1:13" ht="26.4" x14ac:dyDescent="0.3">
      <c r="A427" s="10" t="s">
        <v>288</v>
      </c>
      <c r="B427" s="14">
        <v>46363</v>
      </c>
      <c r="C427" s="11">
        <f t="shared" si="12"/>
        <v>202612</v>
      </c>
      <c r="D427" s="15">
        <v>3</v>
      </c>
      <c r="E427" s="10" t="s">
        <v>136</v>
      </c>
      <c r="F427" s="13" t="str">
        <f>IFERROR(INDEX(tbl_pontos[Categoria],MATCH(E427,tbl_pontos[ID_Ponto],0)),"")</f>
        <v>5. Perdas de granulado e energia (extra)</v>
      </c>
      <c r="G427" s="10" t="s">
        <v>165</v>
      </c>
      <c r="H427" s="10"/>
      <c r="I427" s="10"/>
      <c r="J427" s="10"/>
      <c r="K427" s="10"/>
      <c r="L427" s="10" t="s">
        <v>84</v>
      </c>
      <c r="M427" s="11">
        <f t="shared" si="13"/>
        <v>0</v>
      </c>
    </row>
    <row r="428" spans="1:13" ht="26.4" x14ac:dyDescent="0.3">
      <c r="A428" s="10" t="s">
        <v>288</v>
      </c>
      <c r="B428" s="14">
        <v>46363</v>
      </c>
      <c r="C428" s="11">
        <f t="shared" si="12"/>
        <v>202612</v>
      </c>
      <c r="D428" s="15">
        <v>1</v>
      </c>
      <c r="E428" s="10" t="s">
        <v>144</v>
      </c>
      <c r="F428" s="13" t="str">
        <f>IFERROR(INDEX(tbl_pontos[Categoria],MATCH(E428,tbl_pontos[ID_Ponto],0)),"")</f>
        <v>1. Gestão de Produtos Químicos</v>
      </c>
      <c r="G428" s="10" t="s">
        <v>165</v>
      </c>
      <c r="H428" s="10"/>
      <c r="I428" s="10"/>
      <c r="J428" s="10"/>
      <c r="K428" s="10"/>
      <c r="L428" s="10" t="s">
        <v>84</v>
      </c>
      <c r="M428" s="11">
        <f t="shared" si="13"/>
        <v>0</v>
      </c>
    </row>
    <row r="429" spans="1:13" ht="26.4" x14ac:dyDescent="0.3">
      <c r="A429" s="10" t="s">
        <v>288</v>
      </c>
      <c r="B429" s="14">
        <v>46363</v>
      </c>
      <c r="C429" s="11">
        <f t="shared" si="12"/>
        <v>202612</v>
      </c>
      <c r="D429" s="15">
        <v>3</v>
      </c>
      <c r="E429" s="10" t="s">
        <v>148</v>
      </c>
      <c r="F429" s="13" t="str">
        <f>IFERROR(INDEX(tbl_pontos[Categoria],MATCH(E429,tbl_pontos[ID_Ponto],0)),"")</f>
        <v>5. Perdas de granulado e energia (extra)</v>
      </c>
      <c r="G429" s="10" t="s">
        <v>165</v>
      </c>
      <c r="H429" s="10"/>
      <c r="I429" s="10"/>
      <c r="J429" s="10"/>
      <c r="K429" s="10"/>
      <c r="L429" s="10" t="s">
        <v>84</v>
      </c>
      <c r="M429" s="11">
        <f t="shared" si="13"/>
        <v>0</v>
      </c>
    </row>
    <row r="430" spans="1:13" ht="26.4" x14ac:dyDescent="0.3">
      <c r="A430" s="10" t="s">
        <v>290</v>
      </c>
      <c r="B430" s="14">
        <v>46370</v>
      </c>
      <c r="C430" s="11">
        <f t="shared" si="12"/>
        <v>202612</v>
      </c>
      <c r="D430" s="15">
        <v>1</v>
      </c>
      <c r="E430" s="10" t="s">
        <v>77</v>
      </c>
      <c r="F430" s="13" t="str">
        <f>IFERROR(INDEX(tbl_pontos[Categoria],MATCH(E430,tbl_pontos[ID_Ponto],0)),"")</f>
        <v>1. Gestão de Produtos Químicos</v>
      </c>
      <c r="G430" s="10" t="s">
        <v>165</v>
      </c>
      <c r="H430" s="10"/>
      <c r="I430" s="10"/>
      <c r="J430" s="10"/>
      <c r="K430" s="10"/>
      <c r="L430" s="10" t="s">
        <v>151</v>
      </c>
      <c r="M430" s="11">
        <f t="shared" si="13"/>
        <v>0</v>
      </c>
    </row>
    <row r="431" spans="1:13" ht="26.4" x14ac:dyDescent="0.3">
      <c r="A431" s="10" t="s">
        <v>290</v>
      </c>
      <c r="B431" s="14">
        <v>46370</v>
      </c>
      <c r="C431" s="11">
        <f t="shared" si="12"/>
        <v>202612</v>
      </c>
      <c r="D431" s="15">
        <v>2</v>
      </c>
      <c r="E431" s="10" t="s">
        <v>88</v>
      </c>
      <c r="F431" s="13" t="str">
        <f>IFERROR(INDEX(tbl_pontos[Categoria],MATCH(E431,tbl_pontos[ID_Ponto],0)),"")</f>
        <v>1. Gestão de Produtos Químicos</v>
      </c>
      <c r="G431" s="10" t="s">
        <v>166</v>
      </c>
      <c r="H431" s="10" t="s">
        <v>175</v>
      </c>
      <c r="I431" s="10" t="s">
        <v>172</v>
      </c>
      <c r="J431" s="10"/>
      <c r="K431" s="10" t="s">
        <v>291</v>
      </c>
      <c r="L431" s="10" t="s">
        <v>151</v>
      </c>
      <c r="M431" s="11">
        <f t="shared" si="13"/>
        <v>1</v>
      </c>
    </row>
    <row r="432" spans="1:13" ht="26.4" x14ac:dyDescent="0.3">
      <c r="A432" s="10" t="s">
        <v>290</v>
      </c>
      <c r="B432" s="14">
        <v>46370</v>
      </c>
      <c r="C432" s="11">
        <f t="shared" si="12"/>
        <v>202612</v>
      </c>
      <c r="D432" s="15">
        <v>3</v>
      </c>
      <c r="E432" s="10" t="s">
        <v>95</v>
      </c>
      <c r="F432" s="13" t="str">
        <f>IFERROR(INDEX(tbl_pontos[Categoria],MATCH(E432,tbl_pontos[ID_Ponto],0)),"")</f>
        <v>2. Eficiência e Manutenção</v>
      </c>
      <c r="G432" s="10" t="s">
        <v>165</v>
      </c>
      <c r="H432" s="10"/>
      <c r="I432" s="10"/>
      <c r="J432" s="10"/>
      <c r="K432" s="10"/>
      <c r="L432" s="10" t="s">
        <v>151</v>
      </c>
      <c r="M432" s="11">
        <f t="shared" si="13"/>
        <v>0</v>
      </c>
    </row>
    <row r="433" spans="1:13" ht="26.4" x14ac:dyDescent="0.3">
      <c r="A433" s="10" t="s">
        <v>290</v>
      </c>
      <c r="B433" s="14">
        <v>46370</v>
      </c>
      <c r="C433" s="11">
        <f t="shared" si="12"/>
        <v>202612</v>
      </c>
      <c r="D433" s="15">
        <v>3</v>
      </c>
      <c r="E433" s="10" t="s">
        <v>103</v>
      </c>
      <c r="F433" s="13" t="str">
        <f>IFERROR(INDEX(tbl_pontos[Categoria],MATCH(E433,tbl_pontos[ID_Ponto],0)),"")</f>
        <v>2. Eficiência e Manutenção</v>
      </c>
      <c r="G433" s="10" t="s">
        <v>165</v>
      </c>
      <c r="H433" s="10"/>
      <c r="I433" s="10"/>
      <c r="J433" s="10"/>
      <c r="K433" s="10"/>
      <c r="L433" s="10" t="s">
        <v>151</v>
      </c>
      <c r="M433" s="11">
        <f t="shared" si="13"/>
        <v>0</v>
      </c>
    </row>
    <row r="434" spans="1:13" ht="26.4" x14ac:dyDescent="0.3">
      <c r="A434" s="10" t="s">
        <v>290</v>
      </c>
      <c r="B434" s="14">
        <v>46370</v>
      </c>
      <c r="C434" s="11">
        <f t="shared" si="12"/>
        <v>202612</v>
      </c>
      <c r="D434" s="15">
        <v>2</v>
      </c>
      <c r="E434" s="10" t="s">
        <v>124</v>
      </c>
      <c r="F434" s="13" t="str">
        <f>IFERROR(INDEX(tbl_pontos[Categoria],MATCH(E434,tbl_pontos[ID_Ponto],0)),"")</f>
        <v>4. Gestão de Resíduos</v>
      </c>
      <c r="G434" s="10" t="s">
        <v>165</v>
      </c>
      <c r="H434" s="10"/>
      <c r="I434" s="10"/>
      <c r="J434" s="10"/>
      <c r="K434" s="10"/>
      <c r="L434" s="10" t="s">
        <v>151</v>
      </c>
      <c r="M434" s="11">
        <f t="shared" si="13"/>
        <v>0</v>
      </c>
    </row>
    <row r="435" spans="1:13" ht="26.4" x14ac:dyDescent="0.3">
      <c r="A435" s="10" t="s">
        <v>290</v>
      </c>
      <c r="B435" s="14">
        <v>46370</v>
      </c>
      <c r="C435" s="11">
        <f t="shared" si="12"/>
        <v>202612</v>
      </c>
      <c r="D435" s="15">
        <v>3</v>
      </c>
      <c r="E435" s="10" t="s">
        <v>131</v>
      </c>
      <c r="F435" s="13" t="str">
        <f>IFERROR(INDEX(tbl_pontos[Categoria],MATCH(E435,tbl_pontos[ID_Ponto],0)),"")</f>
        <v>4. Gestão de Resíduos</v>
      </c>
      <c r="G435" s="10" t="s">
        <v>165</v>
      </c>
      <c r="H435" s="10"/>
      <c r="I435" s="10"/>
      <c r="J435" s="10"/>
      <c r="K435" s="10"/>
      <c r="L435" s="10" t="s">
        <v>151</v>
      </c>
      <c r="M435" s="11">
        <f t="shared" si="13"/>
        <v>0</v>
      </c>
    </row>
    <row r="436" spans="1:13" ht="26.4" x14ac:dyDescent="0.3">
      <c r="A436" s="10" t="s">
        <v>290</v>
      </c>
      <c r="B436" s="14">
        <v>46370</v>
      </c>
      <c r="C436" s="11">
        <f t="shared" si="12"/>
        <v>202612</v>
      </c>
      <c r="D436" s="15">
        <v>3</v>
      </c>
      <c r="E436" s="10" t="s">
        <v>136</v>
      </c>
      <c r="F436" s="13" t="str">
        <f>IFERROR(INDEX(tbl_pontos[Categoria],MATCH(E436,tbl_pontos[ID_Ponto],0)),"")</f>
        <v>5. Perdas de granulado e energia (extra)</v>
      </c>
      <c r="G436" s="10" t="s">
        <v>165</v>
      </c>
      <c r="H436" s="10"/>
      <c r="I436" s="10"/>
      <c r="J436" s="10"/>
      <c r="K436" s="10"/>
      <c r="L436" s="10" t="s">
        <v>151</v>
      </c>
      <c r="M436" s="11">
        <f t="shared" si="13"/>
        <v>0</v>
      </c>
    </row>
    <row r="437" spans="1:13" ht="26.4" x14ac:dyDescent="0.3">
      <c r="A437" s="10" t="s">
        <v>290</v>
      </c>
      <c r="B437" s="14">
        <v>46370</v>
      </c>
      <c r="C437" s="11">
        <f t="shared" si="12"/>
        <v>202612</v>
      </c>
      <c r="D437" s="15">
        <v>3</v>
      </c>
      <c r="E437" s="10" t="s">
        <v>144</v>
      </c>
      <c r="F437" s="13" t="str">
        <f>IFERROR(INDEX(tbl_pontos[Categoria],MATCH(E437,tbl_pontos[ID_Ponto],0)),"")</f>
        <v>1. Gestão de Produtos Químicos</v>
      </c>
      <c r="G437" s="10" t="s">
        <v>165</v>
      </c>
      <c r="H437" s="10"/>
      <c r="I437" s="10"/>
      <c r="J437" s="10"/>
      <c r="K437" s="10"/>
      <c r="L437" s="10" t="s">
        <v>151</v>
      </c>
      <c r="M437" s="11">
        <f t="shared" si="13"/>
        <v>0</v>
      </c>
    </row>
    <row r="438" spans="1:13" ht="26.4" x14ac:dyDescent="0.3">
      <c r="A438" s="10" t="s">
        <v>290</v>
      </c>
      <c r="B438" s="14">
        <v>46370</v>
      </c>
      <c r="C438" s="11">
        <f t="shared" si="12"/>
        <v>202612</v>
      </c>
      <c r="D438" s="15">
        <v>1</v>
      </c>
      <c r="E438" s="10" t="s">
        <v>148</v>
      </c>
      <c r="F438" s="13" t="str">
        <f>IFERROR(INDEX(tbl_pontos[Categoria],MATCH(E438,tbl_pontos[ID_Ponto],0)),"")</f>
        <v>5. Perdas de granulado e energia (extra)</v>
      </c>
      <c r="G438" s="10" t="s">
        <v>165</v>
      </c>
      <c r="H438" s="10"/>
      <c r="I438" s="10"/>
      <c r="J438" s="10"/>
      <c r="K438" s="10"/>
      <c r="L438" s="10" t="s">
        <v>151</v>
      </c>
      <c r="M438" s="11">
        <f t="shared" si="13"/>
        <v>0</v>
      </c>
    </row>
    <row r="439" spans="1:13" ht="26.4" x14ac:dyDescent="0.3">
      <c r="A439" s="10" t="s">
        <v>292</v>
      </c>
      <c r="B439" s="14">
        <v>46377</v>
      </c>
      <c r="C439" s="11">
        <f t="shared" si="12"/>
        <v>202612</v>
      </c>
      <c r="D439" s="15">
        <v>1</v>
      </c>
      <c r="E439" s="10" t="s">
        <v>77</v>
      </c>
      <c r="F439" s="13" t="str">
        <f>IFERROR(INDEX(tbl_pontos[Categoria],MATCH(E439,tbl_pontos[ID_Ponto],0)),"")</f>
        <v>1. Gestão de Produtos Químicos</v>
      </c>
      <c r="G439" s="10" t="s">
        <v>165</v>
      </c>
      <c r="H439" s="10"/>
      <c r="I439" s="10"/>
      <c r="J439" s="10"/>
      <c r="K439" s="10"/>
      <c r="L439" s="10" t="s">
        <v>84</v>
      </c>
      <c r="M439" s="11">
        <f t="shared" si="13"/>
        <v>0</v>
      </c>
    </row>
    <row r="440" spans="1:13" ht="26.4" x14ac:dyDescent="0.3">
      <c r="A440" s="10" t="s">
        <v>292</v>
      </c>
      <c r="B440" s="14">
        <v>46377</v>
      </c>
      <c r="C440" s="11">
        <f t="shared" si="12"/>
        <v>202612</v>
      </c>
      <c r="D440" s="15">
        <v>2</v>
      </c>
      <c r="E440" s="10" t="s">
        <v>88</v>
      </c>
      <c r="F440" s="13" t="str">
        <f>IFERROR(INDEX(tbl_pontos[Categoria],MATCH(E440,tbl_pontos[ID_Ponto],0)),"")</f>
        <v>1. Gestão de Produtos Químicos</v>
      </c>
      <c r="G440" s="10" t="s">
        <v>165</v>
      </c>
      <c r="H440" s="10"/>
      <c r="I440" s="10"/>
      <c r="J440" s="10"/>
      <c r="K440" s="10"/>
      <c r="L440" s="10" t="s">
        <v>84</v>
      </c>
      <c r="M440" s="11">
        <f t="shared" si="13"/>
        <v>0</v>
      </c>
    </row>
    <row r="441" spans="1:13" ht="26.4" x14ac:dyDescent="0.3">
      <c r="A441" s="10" t="s">
        <v>292</v>
      </c>
      <c r="B441" s="14">
        <v>46377</v>
      </c>
      <c r="C441" s="11">
        <f t="shared" si="12"/>
        <v>202612</v>
      </c>
      <c r="D441" s="15">
        <v>1</v>
      </c>
      <c r="E441" s="10" t="s">
        <v>95</v>
      </c>
      <c r="F441" s="13" t="str">
        <f>IFERROR(INDEX(tbl_pontos[Categoria],MATCH(E441,tbl_pontos[ID_Ponto],0)),"")</f>
        <v>2. Eficiência e Manutenção</v>
      </c>
      <c r="G441" s="10" t="s">
        <v>165</v>
      </c>
      <c r="H441" s="10"/>
      <c r="I441" s="10"/>
      <c r="J441" s="10"/>
      <c r="K441" s="10"/>
      <c r="L441" s="10" t="s">
        <v>84</v>
      </c>
      <c r="M441" s="11">
        <f t="shared" si="13"/>
        <v>0</v>
      </c>
    </row>
    <row r="442" spans="1:13" ht="26.4" x14ac:dyDescent="0.3">
      <c r="A442" s="10" t="s">
        <v>292</v>
      </c>
      <c r="B442" s="14">
        <v>46377</v>
      </c>
      <c r="C442" s="11">
        <f t="shared" si="12"/>
        <v>202612</v>
      </c>
      <c r="D442" s="15">
        <v>2</v>
      </c>
      <c r="E442" s="10" t="s">
        <v>103</v>
      </c>
      <c r="F442" s="13" t="str">
        <f>IFERROR(INDEX(tbl_pontos[Categoria],MATCH(E442,tbl_pontos[ID_Ponto],0)),"")</f>
        <v>2. Eficiência e Manutenção</v>
      </c>
      <c r="G442" s="10" t="s">
        <v>165</v>
      </c>
      <c r="H442" s="10"/>
      <c r="I442" s="10"/>
      <c r="J442" s="10"/>
      <c r="K442" s="10"/>
      <c r="L442" s="10" t="s">
        <v>84</v>
      </c>
      <c r="M442" s="11">
        <f t="shared" si="13"/>
        <v>0</v>
      </c>
    </row>
    <row r="443" spans="1:13" ht="26.4" x14ac:dyDescent="0.3">
      <c r="A443" s="10" t="s">
        <v>292</v>
      </c>
      <c r="B443" s="14">
        <v>46377</v>
      </c>
      <c r="C443" s="11">
        <f t="shared" si="12"/>
        <v>202612</v>
      </c>
      <c r="D443" s="15">
        <v>2</v>
      </c>
      <c r="E443" s="10" t="s">
        <v>124</v>
      </c>
      <c r="F443" s="13" t="str">
        <f>IFERROR(INDEX(tbl_pontos[Categoria],MATCH(E443,tbl_pontos[ID_Ponto],0)),"")</f>
        <v>4. Gestão de Resíduos</v>
      </c>
      <c r="G443" s="10" t="s">
        <v>165</v>
      </c>
      <c r="H443" s="10"/>
      <c r="I443" s="10"/>
      <c r="J443" s="10"/>
      <c r="K443" s="10"/>
      <c r="L443" s="10" t="s">
        <v>84</v>
      </c>
      <c r="M443" s="11">
        <f t="shared" si="13"/>
        <v>0</v>
      </c>
    </row>
    <row r="444" spans="1:13" ht="26.4" x14ac:dyDescent="0.3">
      <c r="A444" s="10" t="s">
        <v>292</v>
      </c>
      <c r="B444" s="14">
        <v>46377</v>
      </c>
      <c r="C444" s="11">
        <f t="shared" si="12"/>
        <v>202612</v>
      </c>
      <c r="D444" s="15">
        <v>1</v>
      </c>
      <c r="E444" s="10" t="s">
        <v>131</v>
      </c>
      <c r="F444" s="13" t="str">
        <f>IFERROR(INDEX(tbl_pontos[Categoria],MATCH(E444,tbl_pontos[ID_Ponto],0)),"")</f>
        <v>4. Gestão de Resíduos</v>
      </c>
      <c r="G444" s="10" t="s">
        <v>165</v>
      </c>
      <c r="H444" s="10"/>
      <c r="I444" s="10"/>
      <c r="J444" s="10"/>
      <c r="K444" s="10"/>
      <c r="L444" s="10" t="s">
        <v>84</v>
      </c>
      <c r="M444" s="11">
        <f t="shared" si="13"/>
        <v>0</v>
      </c>
    </row>
    <row r="445" spans="1:13" ht="26.4" x14ac:dyDescent="0.3">
      <c r="A445" s="10" t="s">
        <v>292</v>
      </c>
      <c r="B445" s="14">
        <v>46377</v>
      </c>
      <c r="C445" s="11">
        <f t="shared" si="12"/>
        <v>202612</v>
      </c>
      <c r="D445" s="15">
        <v>3</v>
      </c>
      <c r="E445" s="10" t="s">
        <v>136</v>
      </c>
      <c r="F445" s="13" t="str">
        <f>IFERROR(INDEX(tbl_pontos[Categoria],MATCH(E445,tbl_pontos[ID_Ponto],0)),"")</f>
        <v>5. Perdas de granulado e energia (extra)</v>
      </c>
      <c r="G445" s="10" t="s">
        <v>165</v>
      </c>
      <c r="H445" s="10"/>
      <c r="I445" s="10"/>
      <c r="J445" s="10"/>
      <c r="K445" s="10"/>
      <c r="L445" s="10" t="s">
        <v>84</v>
      </c>
      <c r="M445" s="11">
        <f t="shared" si="13"/>
        <v>0</v>
      </c>
    </row>
    <row r="446" spans="1:13" ht="26.4" x14ac:dyDescent="0.3">
      <c r="A446" s="10" t="s">
        <v>292</v>
      </c>
      <c r="B446" s="14">
        <v>46377</v>
      </c>
      <c r="C446" s="11">
        <f t="shared" si="12"/>
        <v>202612</v>
      </c>
      <c r="D446" s="15">
        <v>1</v>
      </c>
      <c r="E446" s="10" t="s">
        <v>144</v>
      </c>
      <c r="F446" s="13" t="str">
        <f>IFERROR(INDEX(tbl_pontos[Categoria],MATCH(E446,tbl_pontos[ID_Ponto],0)),"")</f>
        <v>1. Gestão de Produtos Químicos</v>
      </c>
      <c r="G446" s="10" t="s">
        <v>165</v>
      </c>
      <c r="H446" s="10"/>
      <c r="I446" s="10"/>
      <c r="J446" s="10"/>
      <c r="K446" s="10"/>
      <c r="L446" s="10" t="s">
        <v>84</v>
      </c>
      <c r="M446" s="11">
        <f t="shared" si="13"/>
        <v>0</v>
      </c>
    </row>
    <row r="447" spans="1:13" ht="26.4" x14ac:dyDescent="0.3">
      <c r="A447" s="10" t="s">
        <v>292</v>
      </c>
      <c r="B447" s="14">
        <v>46377</v>
      </c>
      <c r="C447" s="11">
        <f t="shared" si="12"/>
        <v>202612</v>
      </c>
      <c r="D447" s="15">
        <v>1</v>
      </c>
      <c r="E447" s="10" t="s">
        <v>148</v>
      </c>
      <c r="F447" s="13" t="str">
        <f>IFERROR(INDEX(tbl_pontos[Categoria],MATCH(E447,tbl_pontos[ID_Ponto],0)),"")</f>
        <v>5. Perdas de granulado e energia (extra)</v>
      </c>
      <c r="G447" s="10" t="s">
        <v>165</v>
      </c>
      <c r="H447" s="10"/>
      <c r="I447" s="10"/>
      <c r="J447" s="10"/>
      <c r="K447" s="10"/>
      <c r="L447" s="10" t="s">
        <v>84</v>
      </c>
      <c r="M447" s="11">
        <f t="shared" si="13"/>
        <v>0</v>
      </c>
    </row>
    <row r="448" spans="1:13" ht="26.4" x14ac:dyDescent="0.3">
      <c r="A448" s="10" t="s">
        <v>293</v>
      </c>
      <c r="B448" s="14">
        <v>46384</v>
      </c>
      <c r="C448" s="11">
        <f t="shared" si="12"/>
        <v>202612</v>
      </c>
      <c r="D448" s="15">
        <v>2</v>
      </c>
      <c r="E448" s="10" t="s">
        <v>77</v>
      </c>
      <c r="F448" s="13" t="str">
        <f>IFERROR(INDEX(tbl_pontos[Categoria],MATCH(E448,tbl_pontos[ID_Ponto],0)),"")</f>
        <v>1. Gestão de Produtos Químicos</v>
      </c>
      <c r="G448" s="10" t="s">
        <v>165</v>
      </c>
      <c r="H448" s="10"/>
      <c r="I448" s="10"/>
      <c r="J448" s="10"/>
      <c r="K448" s="10"/>
      <c r="L448" s="10" t="s">
        <v>151</v>
      </c>
      <c r="M448" s="11">
        <f t="shared" si="13"/>
        <v>0</v>
      </c>
    </row>
    <row r="449" spans="1:13" ht="26.4" x14ac:dyDescent="0.3">
      <c r="A449" s="10" t="s">
        <v>293</v>
      </c>
      <c r="B449" s="14">
        <v>46384</v>
      </c>
      <c r="C449" s="11">
        <f t="shared" si="12"/>
        <v>202612</v>
      </c>
      <c r="D449" s="15">
        <v>1</v>
      </c>
      <c r="E449" s="10" t="s">
        <v>88</v>
      </c>
      <c r="F449" s="13" t="str">
        <f>IFERROR(INDEX(tbl_pontos[Categoria],MATCH(E449,tbl_pontos[ID_Ponto],0)),"")</f>
        <v>1. Gestão de Produtos Químicos</v>
      </c>
      <c r="G449" s="10" t="s">
        <v>165</v>
      </c>
      <c r="H449" s="10"/>
      <c r="I449" s="10"/>
      <c r="J449" s="10"/>
      <c r="K449" s="10"/>
      <c r="L449" s="10" t="s">
        <v>151</v>
      </c>
      <c r="M449" s="11">
        <f t="shared" si="13"/>
        <v>0</v>
      </c>
    </row>
    <row r="450" spans="1:13" ht="26.4" x14ac:dyDescent="0.3">
      <c r="A450" s="10" t="s">
        <v>293</v>
      </c>
      <c r="B450" s="14">
        <v>46384</v>
      </c>
      <c r="C450" s="11">
        <f t="shared" ref="C450:C513" si="14">YEAR(B450)*100+MONTH(B450)</f>
        <v>202612</v>
      </c>
      <c r="D450" s="15">
        <v>1</v>
      </c>
      <c r="E450" s="10" t="s">
        <v>95</v>
      </c>
      <c r="F450" s="13" t="str">
        <f>IFERROR(INDEX(tbl_pontos[Categoria],MATCH(E450,tbl_pontos[ID_Ponto],0)),"")</f>
        <v>2. Eficiência e Manutenção</v>
      </c>
      <c r="G450" s="10" t="s">
        <v>165</v>
      </c>
      <c r="H450" s="10"/>
      <c r="I450" s="10"/>
      <c r="J450" s="10"/>
      <c r="K450" s="10"/>
      <c r="L450" s="10" t="s">
        <v>151</v>
      </c>
      <c r="M450" s="11">
        <f t="shared" ref="M450:M456" si="15">IF(G450="Não conforme",1,0)</f>
        <v>0</v>
      </c>
    </row>
    <row r="451" spans="1:13" ht="26.4" x14ac:dyDescent="0.3">
      <c r="A451" s="10" t="s">
        <v>293</v>
      </c>
      <c r="B451" s="14">
        <v>46384</v>
      </c>
      <c r="C451" s="11">
        <f t="shared" si="14"/>
        <v>202612</v>
      </c>
      <c r="D451" s="15">
        <v>1</v>
      </c>
      <c r="E451" s="10" t="s">
        <v>103</v>
      </c>
      <c r="F451" s="13" t="str">
        <f>IFERROR(INDEX(tbl_pontos[Categoria],MATCH(E451,tbl_pontos[ID_Ponto],0)),"")</f>
        <v>2. Eficiência e Manutenção</v>
      </c>
      <c r="G451" s="10" t="s">
        <v>166</v>
      </c>
      <c r="H451" s="10" t="s">
        <v>238</v>
      </c>
      <c r="I451" s="10" t="s">
        <v>172</v>
      </c>
      <c r="J451" s="10"/>
      <c r="K451" s="10" t="s">
        <v>294</v>
      </c>
      <c r="L451" s="10" t="s">
        <v>151</v>
      </c>
      <c r="M451" s="11">
        <f t="shared" si="15"/>
        <v>1</v>
      </c>
    </row>
    <row r="452" spans="1:13" ht="26.4" x14ac:dyDescent="0.3">
      <c r="A452" s="10" t="s">
        <v>293</v>
      </c>
      <c r="B452" s="14">
        <v>46384</v>
      </c>
      <c r="C452" s="11">
        <f t="shared" si="14"/>
        <v>202612</v>
      </c>
      <c r="D452" s="15">
        <v>1</v>
      </c>
      <c r="E452" s="10" t="s">
        <v>124</v>
      </c>
      <c r="F452" s="13" t="str">
        <f>IFERROR(INDEX(tbl_pontos[Categoria],MATCH(E452,tbl_pontos[ID_Ponto],0)),"")</f>
        <v>4. Gestão de Resíduos</v>
      </c>
      <c r="G452" s="10" t="s">
        <v>165</v>
      </c>
      <c r="H452" s="10"/>
      <c r="I452" s="10"/>
      <c r="J452" s="10"/>
      <c r="K452" s="10"/>
      <c r="L452" s="10" t="s">
        <v>151</v>
      </c>
      <c r="M452" s="11">
        <f t="shared" si="15"/>
        <v>0</v>
      </c>
    </row>
    <row r="453" spans="1:13" ht="26.4" x14ac:dyDescent="0.3">
      <c r="A453" s="10" t="s">
        <v>293</v>
      </c>
      <c r="B453" s="14">
        <v>46384</v>
      </c>
      <c r="C453" s="11">
        <f t="shared" si="14"/>
        <v>202612</v>
      </c>
      <c r="D453" s="15">
        <v>1</v>
      </c>
      <c r="E453" s="10" t="s">
        <v>131</v>
      </c>
      <c r="F453" s="13" t="str">
        <f>IFERROR(INDEX(tbl_pontos[Categoria],MATCH(E453,tbl_pontos[ID_Ponto],0)),"")</f>
        <v>4. Gestão de Resíduos</v>
      </c>
      <c r="G453" s="10" t="s">
        <v>165</v>
      </c>
      <c r="H453" s="10"/>
      <c r="I453" s="10"/>
      <c r="J453" s="10"/>
      <c r="K453" s="10"/>
      <c r="L453" s="10" t="s">
        <v>151</v>
      </c>
      <c r="M453" s="11">
        <f t="shared" si="15"/>
        <v>0</v>
      </c>
    </row>
    <row r="454" spans="1:13" ht="26.4" x14ac:dyDescent="0.3">
      <c r="A454" s="10" t="s">
        <v>293</v>
      </c>
      <c r="B454" s="14">
        <v>46384</v>
      </c>
      <c r="C454" s="11">
        <f t="shared" si="14"/>
        <v>202612</v>
      </c>
      <c r="D454" s="15">
        <v>2</v>
      </c>
      <c r="E454" s="10" t="s">
        <v>136</v>
      </c>
      <c r="F454" s="13" t="str">
        <f>IFERROR(INDEX(tbl_pontos[Categoria],MATCH(E454,tbl_pontos[ID_Ponto],0)),"")</f>
        <v>5. Perdas de granulado e energia (extra)</v>
      </c>
      <c r="G454" s="10" t="s">
        <v>165</v>
      </c>
      <c r="H454" s="10"/>
      <c r="I454" s="10"/>
      <c r="J454" s="10"/>
      <c r="K454" s="10"/>
      <c r="L454" s="10" t="s">
        <v>151</v>
      </c>
      <c r="M454" s="11">
        <f t="shared" si="15"/>
        <v>0</v>
      </c>
    </row>
    <row r="455" spans="1:13" ht="26.4" x14ac:dyDescent="0.3">
      <c r="A455" s="10" t="s">
        <v>293</v>
      </c>
      <c r="B455" s="14">
        <v>46384</v>
      </c>
      <c r="C455" s="11">
        <f t="shared" si="14"/>
        <v>202612</v>
      </c>
      <c r="D455" s="15">
        <v>1</v>
      </c>
      <c r="E455" s="10" t="s">
        <v>144</v>
      </c>
      <c r="F455" s="13" t="str">
        <f>IFERROR(INDEX(tbl_pontos[Categoria],MATCH(E455,tbl_pontos[ID_Ponto],0)),"")</f>
        <v>1. Gestão de Produtos Químicos</v>
      </c>
      <c r="G455" s="10" t="s">
        <v>165</v>
      </c>
      <c r="H455" s="10"/>
      <c r="I455" s="10"/>
      <c r="J455" s="10"/>
      <c r="K455" s="10"/>
      <c r="L455" s="10" t="s">
        <v>151</v>
      </c>
      <c r="M455" s="11">
        <f t="shared" si="15"/>
        <v>0</v>
      </c>
    </row>
    <row r="456" spans="1:13" ht="26.4" x14ac:dyDescent="0.3">
      <c r="A456" s="10" t="s">
        <v>293</v>
      </c>
      <c r="B456" s="14">
        <v>46384</v>
      </c>
      <c r="C456" s="11">
        <f t="shared" si="14"/>
        <v>202612</v>
      </c>
      <c r="D456" s="15">
        <v>1</v>
      </c>
      <c r="E456" s="10" t="s">
        <v>148</v>
      </c>
      <c r="F456" s="13" t="str">
        <f>IFERROR(INDEX(tbl_pontos[Categoria],MATCH(E456,tbl_pontos[ID_Ponto],0)),"")</f>
        <v>5. Perdas de granulado e energia (extra)</v>
      </c>
      <c r="G456" s="10" t="s">
        <v>165</v>
      </c>
      <c r="H456" s="10"/>
      <c r="I456" s="10"/>
      <c r="J456" s="10"/>
      <c r="K456" s="10"/>
      <c r="L456" s="10" t="s">
        <v>151</v>
      </c>
      <c r="M456" s="11">
        <f t="shared" si="15"/>
        <v>0</v>
      </c>
    </row>
  </sheetData>
  <conditionalFormatting sqref="G2:G656">
    <cfRule type="expression" dxfId="7" priority="1">
      <formula>ISNUMBER(SEARCH("Não conforme",G2))</formula>
    </cfRule>
    <cfRule type="expression" dxfId="6" priority="2">
      <formula>ISNUMBER(SEARCH("Conforme",G2))</formula>
    </cfRule>
  </conditionalFormatting>
  <dataValidations count="2">
    <dataValidation type="list" allowBlank="1" showErrorMessage="1" errorTitle="Valor inválido" error="Valor fora da lista controlada (ver folha Listas)." sqref="G2:G656" xr:uid="{00000000-0002-0000-0200-000000000000}">
      <formula1>lst_Resultado</formula1>
    </dataValidation>
    <dataValidation type="list" allowBlank="1" showErrorMessage="1" errorTitle="Valor inválido" error="Valor fora da lista controlada (ver folha Listas)." sqref="L2:L656" xr:uid="{00000000-0002-0000-02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showGridLines="0" workbookViewId="0"/>
  </sheetViews>
  <sheetFormatPr defaultRowHeight="14.4" x14ac:dyDescent="0.3"/>
  <cols>
    <col min="1" max="1" width="36" customWidth="1"/>
    <col min="2" max="14" width="9" customWidth="1"/>
  </cols>
  <sheetData>
    <row r="1" spans="1:14" ht="17.399999999999999" x14ac:dyDescent="0.3">
      <c r="A1" s="1" t="s">
        <v>295</v>
      </c>
    </row>
    <row r="3" spans="1:14" x14ac:dyDescent="0.3">
      <c r="A3" s="8" t="s">
        <v>63</v>
      </c>
      <c r="B3" s="8" t="s">
        <v>296</v>
      </c>
      <c r="C3" s="8" t="s">
        <v>297</v>
      </c>
      <c r="D3" s="8" t="s">
        <v>298</v>
      </c>
      <c r="E3" s="8" t="s">
        <v>299</v>
      </c>
      <c r="F3" s="8" t="s">
        <v>300</v>
      </c>
      <c r="G3" s="8" t="s">
        <v>301</v>
      </c>
      <c r="H3" s="8" t="s">
        <v>302</v>
      </c>
      <c r="I3" s="8" t="s">
        <v>303</v>
      </c>
      <c r="J3" s="8" t="s">
        <v>304</v>
      </c>
      <c r="K3" s="8" t="s">
        <v>305</v>
      </c>
      <c r="L3" s="8" t="s">
        <v>306</v>
      </c>
      <c r="M3" s="8" t="s">
        <v>307</v>
      </c>
      <c r="N3" s="8" t="s">
        <v>308</v>
      </c>
    </row>
    <row r="4" spans="1:14" x14ac:dyDescent="0.3">
      <c r="A4" s="16" t="s">
        <v>78</v>
      </c>
      <c r="B4" s="17">
        <f>IFERROR(COUNTIFS(Execucao_Rondas!$G$2:$G$456,"Conforme",Execucao_Rondas!$F$2:$F$456,"1. Gestão de Produtos Químicos",Execucao_Rondas!$C$2:$C$456,202601)/COUNTIFS(Execucao_Rondas!$G$2:$G$456,"&lt;&gt;Não aplicável",Execucao_Rondas!$F$2:$F$456,"1. Gestão de Produtos Químicos",Execucao_Rondas!$C$2:$C$456,202601),"")</f>
        <v>0.875</v>
      </c>
      <c r="C4" s="17">
        <f>IFERROR(COUNTIFS(Execucao_Rondas!$G$2:$G$456,"Conforme",Execucao_Rondas!$F$2:$F$456,"1. Gestão de Produtos Químicos",Execucao_Rondas!$C$2:$C$456,202602)/COUNTIFS(Execucao_Rondas!$G$2:$G$456,"&lt;&gt;Não aplicável",Execucao_Rondas!$F$2:$F$456,"1. Gestão de Produtos Químicos",Execucao_Rondas!$C$2:$C$456,202602),"")</f>
        <v>0.875</v>
      </c>
      <c r="D4" s="17">
        <f>IFERROR(COUNTIFS(Execucao_Rondas!$G$2:$G$456,"Conforme",Execucao_Rondas!$F$2:$F$456,"1. Gestão de Produtos Químicos",Execucao_Rondas!$C$2:$C$456,202603)/COUNTIFS(Execucao_Rondas!$G$2:$G$456,"&lt;&gt;Não aplicável",Execucao_Rondas!$F$2:$F$456,"1. Gestão de Produtos Químicos",Execucao_Rondas!$C$2:$C$456,202603),"")</f>
        <v>0.8</v>
      </c>
      <c r="E4" s="17">
        <f>IFERROR(COUNTIFS(Execucao_Rondas!$G$2:$G$456,"Conforme",Execucao_Rondas!$F$2:$F$456,"1. Gestão de Produtos Químicos",Execucao_Rondas!$C$2:$C$456,202604)/COUNTIFS(Execucao_Rondas!$G$2:$G$456,"&lt;&gt;Não aplicável",Execucao_Rondas!$F$2:$F$456,"1. Gestão de Produtos Químicos",Execucao_Rondas!$C$2:$C$456,202604),"")</f>
        <v>0.875</v>
      </c>
      <c r="F4" s="17">
        <f>IFERROR(COUNTIFS(Execucao_Rondas!$G$2:$G$456,"Conforme",Execucao_Rondas!$F$2:$F$456,"1. Gestão de Produtos Químicos",Execucao_Rondas!$C$2:$C$456,202605)/COUNTIFS(Execucao_Rondas!$G$2:$G$456,"&lt;&gt;Não aplicável",Execucao_Rondas!$F$2:$F$456,"1. Gestão de Produtos Químicos",Execucao_Rondas!$C$2:$C$456,202605),"")</f>
        <v>0.875</v>
      </c>
      <c r="G4" s="17">
        <f>IFERROR(COUNTIFS(Execucao_Rondas!$G$2:$G$456,"Conforme",Execucao_Rondas!$F$2:$F$456,"1. Gestão de Produtos Químicos",Execucao_Rondas!$C$2:$C$456,202606)/COUNTIFS(Execucao_Rondas!$G$2:$G$456,"&lt;&gt;Não aplicável",Execucao_Rondas!$F$2:$F$456,"1. Gestão de Produtos Químicos",Execucao_Rondas!$C$2:$C$456,202606),"")</f>
        <v>0.6</v>
      </c>
      <c r="H4" s="17">
        <f>IFERROR(COUNTIFS(Execucao_Rondas!$G$2:$G$456,"Conforme",Execucao_Rondas!$F$2:$F$456,"1. Gestão de Produtos Químicos",Execucao_Rondas!$C$2:$C$456,202607)/COUNTIFS(Execucao_Rondas!$G$2:$G$456,"&lt;&gt;Não aplicável",Execucao_Rondas!$F$2:$F$456,"1. Gestão de Produtos Químicos",Execucao_Rondas!$C$2:$C$456,202607),"")</f>
        <v>0.75</v>
      </c>
      <c r="I4" s="17">
        <f>IFERROR(COUNTIFS(Execucao_Rondas!$G$2:$G$456,"Conforme",Execucao_Rondas!$F$2:$F$456,"1. Gestão de Produtos Químicos",Execucao_Rondas!$C$2:$C$456,202608)/COUNTIFS(Execucao_Rondas!$G$2:$G$456,"&lt;&gt;Não aplicável",Execucao_Rondas!$F$2:$F$456,"1. Gestão de Produtos Químicos",Execucao_Rondas!$C$2:$C$456,202608),"")</f>
        <v>0.7</v>
      </c>
      <c r="J4" s="17">
        <f>IFERROR(COUNTIFS(Execucao_Rondas!$G$2:$G$456,"Conforme",Execucao_Rondas!$F$2:$F$456,"1. Gestão de Produtos Químicos",Execucao_Rondas!$C$2:$C$456,202609)/COUNTIFS(Execucao_Rondas!$G$2:$G$456,"&lt;&gt;Não aplicável",Execucao_Rondas!$F$2:$F$456,"1. Gestão de Produtos Químicos",Execucao_Rondas!$C$2:$C$456,202609),"")</f>
        <v>0.75</v>
      </c>
      <c r="K4" s="17">
        <f>IFERROR(COUNTIFS(Execucao_Rondas!$G$2:$G$456,"Conforme",Execucao_Rondas!$F$2:$F$456,"1. Gestão de Produtos Químicos",Execucao_Rondas!$C$2:$C$456,202610)/COUNTIFS(Execucao_Rondas!$G$2:$G$456,"&lt;&gt;Não aplicável",Execucao_Rondas!$F$2:$F$456,"1. Gestão de Produtos Químicos",Execucao_Rondas!$C$2:$C$456,202610),"")</f>
        <v>0.91666666666666663</v>
      </c>
      <c r="L4" s="17">
        <f>IFERROR(COUNTIFS(Execucao_Rondas!$G$2:$G$456,"Conforme",Execucao_Rondas!$F$2:$F$456,"1. Gestão de Produtos Químicos",Execucao_Rondas!$C$2:$C$456,202611)/COUNTIFS(Execucao_Rondas!$G$2:$G$456,"&lt;&gt;Não aplicável",Execucao_Rondas!$F$2:$F$456,"1. Gestão de Produtos Químicos",Execucao_Rondas!$C$2:$C$456,202611),"")</f>
        <v>1</v>
      </c>
      <c r="M4" s="17">
        <f>IFERROR(COUNTIFS(Execucao_Rondas!$G$2:$G$456,"Conforme",Execucao_Rondas!$F$2:$F$456,"1. Gestão de Produtos Químicos",Execucao_Rondas!$C$2:$C$456,202612)/COUNTIFS(Execucao_Rondas!$G$2:$G$456,"&lt;&gt;Não aplicável",Execucao_Rondas!$F$2:$F$456,"1. Gestão de Produtos Químicos",Execucao_Rondas!$C$2:$C$456,202612),"")</f>
        <v>0.83333333333333337</v>
      </c>
      <c r="N4" s="17">
        <f>IFERROR(COUNTIFS(Execucao_Rondas!$G$2:$G$456,"Conforme",Execucao_Rondas!$F$2:$F$456,"1. Gestão de Produtos Químicos")/COUNTIFS(Execucao_Rondas!$G$2:$G$456,"&lt;&gt;Não aplicável",Execucao_Rondas!$F$2:$F$456,"1. Gestão de Produtos Químicos"),"")</f>
        <v>0.82905982905982911</v>
      </c>
    </row>
    <row r="5" spans="1:14" x14ac:dyDescent="0.3">
      <c r="A5" s="16" t="s">
        <v>96</v>
      </c>
      <c r="B5" s="17">
        <f>IFERROR(COUNTIFS(Execucao_Rondas!$G$2:$G$456,"Conforme",Execucao_Rondas!$F$2:$F$456,"2. Eficiência e Manutenção",Execucao_Rondas!$C$2:$C$456,202601)/COUNTIFS(Execucao_Rondas!$G$2:$G$456,"&lt;&gt;Não aplicável",Execucao_Rondas!$F$2:$F$456,"2. Eficiência e Manutenção",Execucao_Rondas!$C$2:$C$456,202601),"")</f>
        <v>0.875</v>
      </c>
      <c r="C5" s="17">
        <f>IFERROR(COUNTIFS(Execucao_Rondas!$G$2:$G$456,"Conforme",Execucao_Rondas!$F$2:$F$456,"2. Eficiência e Manutenção",Execucao_Rondas!$C$2:$C$456,202602)/COUNTIFS(Execucao_Rondas!$G$2:$G$456,"&lt;&gt;Não aplicável",Execucao_Rondas!$F$2:$F$456,"2. Eficiência e Manutenção",Execucao_Rondas!$C$2:$C$456,202602),"")</f>
        <v>0.875</v>
      </c>
      <c r="D5" s="17">
        <f>IFERROR(COUNTIFS(Execucao_Rondas!$G$2:$G$456,"Conforme",Execucao_Rondas!$F$2:$F$456,"2. Eficiência e Manutenção",Execucao_Rondas!$C$2:$C$456,202603)/COUNTIFS(Execucao_Rondas!$G$2:$G$456,"&lt;&gt;Não aplicável",Execucao_Rondas!$F$2:$F$456,"2. Eficiência e Manutenção",Execucao_Rondas!$C$2:$C$456,202603),"")</f>
        <v>0.9</v>
      </c>
      <c r="E5" s="17">
        <f>IFERROR(COUNTIFS(Execucao_Rondas!$G$2:$G$456,"Conforme",Execucao_Rondas!$F$2:$F$456,"2. Eficiência e Manutenção",Execucao_Rondas!$C$2:$C$456,202604)/COUNTIFS(Execucao_Rondas!$G$2:$G$456,"&lt;&gt;Não aplicável",Execucao_Rondas!$F$2:$F$456,"2. Eficiência e Manutenção",Execucao_Rondas!$C$2:$C$456,202604),"")</f>
        <v>1</v>
      </c>
      <c r="F5" s="17">
        <f>IFERROR(COUNTIFS(Execucao_Rondas!$G$2:$G$456,"Conforme",Execucao_Rondas!$F$2:$F$456,"2. Eficiência e Manutenção",Execucao_Rondas!$C$2:$C$456,202605)/COUNTIFS(Execucao_Rondas!$G$2:$G$456,"&lt;&gt;Não aplicável",Execucao_Rondas!$F$2:$F$456,"2. Eficiência e Manutenção",Execucao_Rondas!$C$2:$C$456,202605),"")</f>
        <v>0.875</v>
      </c>
      <c r="G5" s="17">
        <f>IFERROR(COUNTIFS(Execucao_Rondas!$G$2:$G$456,"Conforme",Execucao_Rondas!$F$2:$F$456,"2. Eficiência e Manutenção",Execucao_Rondas!$C$2:$C$456,202606)/COUNTIFS(Execucao_Rondas!$G$2:$G$456,"&lt;&gt;Não aplicável",Execucao_Rondas!$F$2:$F$456,"2. Eficiência e Manutenção",Execucao_Rondas!$C$2:$C$456,202606),"")</f>
        <v>0.8</v>
      </c>
      <c r="H5" s="17">
        <f>IFERROR(COUNTIFS(Execucao_Rondas!$G$2:$G$456,"Conforme",Execucao_Rondas!$F$2:$F$456,"2. Eficiência e Manutenção",Execucao_Rondas!$C$2:$C$456,202607)/COUNTIFS(Execucao_Rondas!$G$2:$G$456,"&lt;&gt;Não aplicável",Execucao_Rondas!$F$2:$F$456,"2. Eficiência e Manutenção",Execucao_Rondas!$C$2:$C$456,202607),"")</f>
        <v>1</v>
      </c>
      <c r="I5" s="17">
        <f>IFERROR(COUNTIFS(Execucao_Rondas!$G$2:$G$456,"Conforme",Execucao_Rondas!$F$2:$F$456,"2. Eficiência e Manutenção",Execucao_Rondas!$C$2:$C$456,202608)/COUNTIFS(Execucao_Rondas!$G$2:$G$456,"&lt;&gt;Não aplicável",Execucao_Rondas!$F$2:$F$456,"2. Eficiência e Manutenção",Execucao_Rondas!$C$2:$C$456,202608),"")</f>
        <v>0.9</v>
      </c>
      <c r="J5" s="17">
        <f>IFERROR(COUNTIFS(Execucao_Rondas!$G$2:$G$456,"Conforme",Execucao_Rondas!$F$2:$F$456,"2. Eficiência e Manutenção",Execucao_Rondas!$C$2:$C$456,202609)/COUNTIFS(Execucao_Rondas!$G$2:$G$456,"&lt;&gt;Não aplicável",Execucao_Rondas!$F$2:$F$456,"2. Eficiência e Manutenção",Execucao_Rondas!$C$2:$C$456,202609),"")</f>
        <v>1</v>
      </c>
      <c r="K5" s="17">
        <f>IFERROR(COUNTIFS(Execucao_Rondas!$G$2:$G$456,"Conforme",Execucao_Rondas!$F$2:$F$456,"2. Eficiência e Manutenção",Execucao_Rondas!$C$2:$C$456,202610)/COUNTIFS(Execucao_Rondas!$G$2:$G$456,"&lt;&gt;Não aplicável",Execucao_Rondas!$F$2:$F$456,"2. Eficiência e Manutenção",Execucao_Rondas!$C$2:$C$456,202610),"")</f>
        <v>0.875</v>
      </c>
      <c r="L5" s="17">
        <f>IFERROR(COUNTIFS(Execucao_Rondas!$G$2:$G$456,"Conforme",Execucao_Rondas!$F$2:$F$456,"2. Eficiência e Manutenção",Execucao_Rondas!$C$2:$C$456,202611)/COUNTIFS(Execucao_Rondas!$G$2:$G$456,"&lt;&gt;Não aplicável",Execucao_Rondas!$F$2:$F$456,"2. Eficiência e Manutenção",Execucao_Rondas!$C$2:$C$456,202611),"")</f>
        <v>1</v>
      </c>
      <c r="M5" s="17">
        <f>IFERROR(COUNTIFS(Execucao_Rondas!$G$2:$G$456,"Conforme",Execucao_Rondas!$F$2:$F$456,"2. Eficiência e Manutenção",Execucao_Rondas!$C$2:$C$456,202612)/COUNTIFS(Execucao_Rondas!$G$2:$G$456,"&lt;&gt;Não aplicável",Execucao_Rondas!$F$2:$F$456,"2. Eficiência e Manutenção",Execucao_Rondas!$C$2:$C$456,202612),"")</f>
        <v>0.875</v>
      </c>
      <c r="N5" s="17">
        <f>IFERROR(COUNTIFS(Execucao_Rondas!$G$2:$G$456,"Conforme",Execucao_Rondas!$F$2:$F$456,"2. Eficiência e Manutenção")/COUNTIFS(Execucao_Rondas!$G$2:$G$456,"&lt;&gt;Não aplicável",Execucao_Rondas!$F$2:$F$456,"2. Eficiência e Manutenção"),"")</f>
        <v>0.91346153846153844</v>
      </c>
    </row>
    <row r="6" spans="1:14" x14ac:dyDescent="0.3">
      <c r="A6" s="16" t="s">
        <v>110</v>
      </c>
      <c r="B6" s="17">
        <f>IFERROR(COUNTIFS(Execucao_Rondas!$G$2:$G$456,"Conforme",Execucao_Rondas!$F$2:$F$456,"3. Emergência",Execucao_Rondas!$C$2:$C$456,202601)/COUNTIFS(Execucao_Rondas!$G$2:$G$456,"&lt;&gt;Não aplicável",Execucao_Rondas!$F$2:$F$456,"3. Emergência",Execucao_Rondas!$C$2:$C$456,202601),"")</f>
        <v>1</v>
      </c>
      <c r="C6" s="17">
        <f>IFERROR(COUNTIFS(Execucao_Rondas!$G$2:$G$456,"Conforme",Execucao_Rondas!$F$2:$F$456,"3. Emergência",Execucao_Rondas!$C$2:$C$456,202602)/COUNTIFS(Execucao_Rondas!$G$2:$G$456,"&lt;&gt;Não aplicável",Execucao_Rondas!$F$2:$F$456,"3. Emergência",Execucao_Rondas!$C$2:$C$456,202602),"")</f>
        <v>1</v>
      </c>
      <c r="D6" s="17">
        <f>IFERROR(COUNTIFS(Execucao_Rondas!$G$2:$G$456,"Conforme",Execucao_Rondas!$F$2:$F$456,"3. Emergência",Execucao_Rondas!$C$2:$C$456,202603)/COUNTIFS(Execucao_Rondas!$G$2:$G$456,"&lt;&gt;Não aplicável",Execucao_Rondas!$F$2:$F$456,"3. Emergência",Execucao_Rondas!$C$2:$C$456,202603),"")</f>
        <v>1</v>
      </c>
      <c r="E6" s="17">
        <f>IFERROR(COUNTIFS(Execucao_Rondas!$G$2:$G$456,"Conforme",Execucao_Rondas!$F$2:$F$456,"3. Emergência",Execucao_Rondas!$C$2:$C$456,202604)/COUNTIFS(Execucao_Rondas!$G$2:$G$456,"&lt;&gt;Não aplicável",Execucao_Rondas!$F$2:$F$456,"3. Emergência",Execucao_Rondas!$C$2:$C$456,202604),"")</f>
        <v>1</v>
      </c>
      <c r="F6" s="17">
        <f>IFERROR(COUNTIFS(Execucao_Rondas!$G$2:$G$456,"Conforme",Execucao_Rondas!$F$2:$F$456,"3. Emergência",Execucao_Rondas!$C$2:$C$456,202605)/COUNTIFS(Execucao_Rondas!$G$2:$G$456,"&lt;&gt;Não aplicável",Execucao_Rondas!$F$2:$F$456,"3. Emergência",Execucao_Rondas!$C$2:$C$456,202605),"")</f>
        <v>1</v>
      </c>
      <c r="G6" s="17">
        <f>IFERROR(COUNTIFS(Execucao_Rondas!$G$2:$G$456,"Conforme",Execucao_Rondas!$F$2:$F$456,"3. Emergência",Execucao_Rondas!$C$2:$C$456,202606)/COUNTIFS(Execucao_Rondas!$G$2:$G$456,"&lt;&gt;Não aplicável",Execucao_Rondas!$F$2:$F$456,"3. Emergência",Execucao_Rondas!$C$2:$C$456,202606),"")</f>
        <v>0.5</v>
      </c>
      <c r="H6" s="17">
        <f>IFERROR(COUNTIFS(Execucao_Rondas!$G$2:$G$456,"Conforme",Execucao_Rondas!$F$2:$F$456,"3. Emergência",Execucao_Rondas!$C$2:$C$456,202607)/COUNTIFS(Execucao_Rondas!$G$2:$G$456,"&lt;&gt;Não aplicável",Execucao_Rondas!$F$2:$F$456,"3. Emergência",Execucao_Rondas!$C$2:$C$456,202607),"")</f>
        <v>1</v>
      </c>
      <c r="I6" s="17">
        <f>IFERROR(COUNTIFS(Execucao_Rondas!$G$2:$G$456,"Conforme",Execucao_Rondas!$F$2:$F$456,"3. Emergência",Execucao_Rondas!$C$2:$C$456,202608)/COUNTIFS(Execucao_Rondas!$G$2:$G$456,"&lt;&gt;Não aplicável",Execucao_Rondas!$F$2:$F$456,"3. Emergência",Execucao_Rondas!$C$2:$C$456,202608),"")</f>
        <v>1</v>
      </c>
      <c r="J6" s="17">
        <f>IFERROR(COUNTIFS(Execucao_Rondas!$G$2:$G$456,"Conforme",Execucao_Rondas!$F$2:$F$456,"3. Emergência",Execucao_Rondas!$C$2:$C$456,202609)/COUNTIFS(Execucao_Rondas!$G$2:$G$456,"&lt;&gt;Não aplicável",Execucao_Rondas!$F$2:$F$456,"3. Emergência",Execucao_Rondas!$C$2:$C$456,202609),"")</f>
        <v>0.75</v>
      </c>
      <c r="K6" s="17">
        <f>IFERROR(COUNTIFS(Execucao_Rondas!$G$2:$G$456,"Conforme",Execucao_Rondas!$F$2:$F$456,"3. Emergência",Execucao_Rondas!$C$2:$C$456,202610)/COUNTIFS(Execucao_Rondas!$G$2:$G$456,"&lt;&gt;Não aplicável",Execucao_Rondas!$F$2:$F$456,"3. Emergência",Execucao_Rondas!$C$2:$C$456,202610),"")</f>
        <v>1</v>
      </c>
      <c r="L6" s="17">
        <f>IFERROR(COUNTIFS(Execucao_Rondas!$G$2:$G$456,"Conforme",Execucao_Rondas!$F$2:$F$456,"3. Emergência",Execucao_Rondas!$C$2:$C$456,202611)/COUNTIFS(Execucao_Rondas!$G$2:$G$456,"&lt;&gt;Não aplicável",Execucao_Rondas!$F$2:$F$456,"3. Emergência",Execucao_Rondas!$C$2:$C$456,202611),"")</f>
        <v>1</v>
      </c>
      <c r="M6" s="17">
        <f>IFERROR(COUNTIFS(Execucao_Rondas!$G$2:$G$456,"Conforme",Execucao_Rondas!$F$2:$F$456,"3. Emergência",Execucao_Rondas!$C$2:$C$456,202612)/COUNTIFS(Execucao_Rondas!$G$2:$G$456,"&lt;&gt;Não aplicável",Execucao_Rondas!$F$2:$F$456,"3. Emergência",Execucao_Rondas!$C$2:$C$456,202612),"")</f>
        <v>1</v>
      </c>
      <c r="N6" s="17">
        <f>IFERROR(COUNTIFS(Execucao_Rondas!$G$2:$G$456,"Conforme",Execucao_Rondas!$F$2:$F$456,"3. Emergência")/COUNTIFS(Execucao_Rondas!$G$2:$G$456,"&lt;&gt;Não aplicável",Execucao_Rondas!$F$2:$F$456,"3. Emergência"),"")</f>
        <v>0.92307692307692313</v>
      </c>
    </row>
    <row r="7" spans="1:14" x14ac:dyDescent="0.3">
      <c r="A7" s="16" t="s">
        <v>125</v>
      </c>
      <c r="B7" s="17">
        <f>IFERROR(COUNTIFS(Execucao_Rondas!$G$2:$G$456,"Conforme",Execucao_Rondas!$F$2:$F$456,"4. Gestão de Resíduos",Execucao_Rondas!$C$2:$C$456,202601)/COUNTIFS(Execucao_Rondas!$G$2:$G$456,"&lt;&gt;Não aplicável",Execucao_Rondas!$F$2:$F$456,"4. Gestão de Resíduos",Execucao_Rondas!$C$2:$C$456,202601),"")</f>
        <v>0.875</v>
      </c>
      <c r="C7" s="17">
        <f>IFERROR(COUNTIFS(Execucao_Rondas!$G$2:$G$456,"Conforme",Execucao_Rondas!$F$2:$F$456,"4. Gestão de Resíduos",Execucao_Rondas!$C$2:$C$456,202602)/COUNTIFS(Execucao_Rondas!$G$2:$G$456,"&lt;&gt;Não aplicável",Execucao_Rondas!$F$2:$F$456,"4. Gestão de Resíduos",Execucao_Rondas!$C$2:$C$456,202602),"")</f>
        <v>0.875</v>
      </c>
      <c r="D7" s="17">
        <f>IFERROR(COUNTIFS(Execucao_Rondas!$G$2:$G$456,"Conforme",Execucao_Rondas!$F$2:$F$456,"4. Gestão de Resíduos",Execucao_Rondas!$C$2:$C$456,202603)/COUNTIFS(Execucao_Rondas!$G$2:$G$456,"&lt;&gt;Não aplicável",Execucao_Rondas!$F$2:$F$456,"4. Gestão de Resíduos",Execucao_Rondas!$C$2:$C$456,202603),"")</f>
        <v>1</v>
      </c>
      <c r="E7" s="17">
        <f>IFERROR(COUNTIFS(Execucao_Rondas!$G$2:$G$456,"Conforme",Execucao_Rondas!$F$2:$F$456,"4. Gestão de Resíduos",Execucao_Rondas!$C$2:$C$456,202604)/COUNTIFS(Execucao_Rondas!$G$2:$G$456,"&lt;&gt;Não aplicável",Execucao_Rondas!$F$2:$F$456,"4. Gestão de Resíduos",Execucao_Rondas!$C$2:$C$456,202604),"")</f>
        <v>0.875</v>
      </c>
      <c r="F7" s="17">
        <f>IFERROR(COUNTIFS(Execucao_Rondas!$G$2:$G$456,"Conforme",Execucao_Rondas!$F$2:$F$456,"4. Gestão de Resíduos",Execucao_Rondas!$C$2:$C$456,202605)/COUNTIFS(Execucao_Rondas!$G$2:$G$456,"&lt;&gt;Não aplicável",Execucao_Rondas!$F$2:$F$456,"4. Gestão de Resíduos",Execucao_Rondas!$C$2:$C$456,202605),"")</f>
        <v>1</v>
      </c>
      <c r="G7" s="17">
        <f>IFERROR(COUNTIFS(Execucao_Rondas!$G$2:$G$456,"Conforme",Execucao_Rondas!$F$2:$F$456,"4. Gestão de Resíduos",Execucao_Rondas!$C$2:$C$456,202606)/COUNTIFS(Execucao_Rondas!$G$2:$G$456,"&lt;&gt;Não aplicável",Execucao_Rondas!$F$2:$F$456,"4. Gestão de Resíduos",Execucao_Rondas!$C$2:$C$456,202606),"")</f>
        <v>1</v>
      </c>
      <c r="H7" s="17">
        <f>IFERROR(COUNTIFS(Execucao_Rondas!$G$2:$G$456,"Conforme",Execucao_Rondas!$F$2:$F$456,"4. Gestão de Resíduos",Execucao_Rondas!$C$2:$C$456,202607)/COUNTIFS(Execucao_Rondas!$G$2:$G$456,"&lt;&gt;Não aplicável",Execucao_Rondas!$F$2:$F$456,"4. Gestão de Resíduos",Execucao_Rondas!$C$2:$C$456,202607),"")</f>
        <v>1</v>
      </c>
      <c r="I7" s="17">
        <f>IFERROR(COUNTIFS(Execucao_Rondas!$G$2:$G$456,"Conforme",Execucao_Rondas!$F$2:$F$456,"4. Gestão de Resíduos",Execucao_Rondas!$C$2:$C$456,202608)/COUNTIFS(Execucao_Rondas!$G$2:$G$456,"&lt;&gt;Não aplicável",Execucao_Rondas!$F$2:$F$456,"4. Gestão de Resíduos",Execucao_Rondas!$C$2:$C$456,202608),"")</f>
        <v>1</v>
      </c>
      <c r="J7" s="17">
        <f>IFERROR(COUNTIFS(Execucao_Rondas!$G$2:$G$456,"Conforme",Execucao_Rondas!$F$2:$F$456,"4. Gestão de Resíduos",Execucao_Rondas!$C$2:$C$456,202609)/COUNTIFS(Execucao_Rondas!$G$2:$G$456,"&lt;&gt;Não aplicável",Execucao_Rondas!$F$2:$F$456,"4. Gestão de Resíduos",Execucao_Rondas!$C$2:$C$456,202609),"")</f>
        <v>1</v>
      </c>
      <c r="K7" s="17">
        <f>IFERROR(COUNTIFS(Execucao_Rondas!$G$2:$G$456,"Conforme",Execucao_Rondas!$F$2:$F$456,"4. Gestão de Resíduos",Execucao_Rondas!$C$2:$C$456,202610)/COUNTIFS(Execucao_Rondas!$G$2:$G$456,"&lt;&gt;Não aplicável",Execucao_Rondas!$F$2:$F$456,"4. Gestão de Resíduos",Execucao_Rondas!$C$2:$C$456,202610),"")</f>
        <v>0.875</v>
      </c>
      <c r="L7" s="17">
        <f>IFERROR(COUNTIFS(Execucao_Rondas!$G$2:$G$456,"Conforme",Execucao_Rondas!$F$2:$F$456,"4. Gestão de Resíduos",Execucao_Rondas!$C$2:$C$456,202611)/COUNTIFS(Execucao_Rondas!$G$2:$G$456,"&lt;&gt;Não aplicável",Execucao_Rondas!$F$2:$F$456,"4. Gestão de Resíduos",Execucao_Rondas!$C$2:$C$456,202611),"")</f>
        <v>0.9</v>
      </c>
      <c r="M7" s="17">
        <f>IFERROR(COUNTIFS(Execucao_Rondas!$G$2:$G$456,"Conforme",Execucao_Rondas!$F$2:$F$456,"4. Gestão de Resíduos",Execucao_Rondas!$C$2:$C$456,202612)/COUNTIFS(Execucao_Rondas!$G$2:$G$456,"&lt;&gt;Não aplicável",Execucao_Rondas!$F$2:$F$456,"4. Gestão de Resíduos",Execucao_Rondas!$C$2:$C$456,202612),"")</f>
        <v>1</v>
      </c>
      <c r="N7" s="17">
        <f>IFERROR(COUNTIFS(Execucao_Rondas!$G$2:$G$456,"Conforme",Execucao_Rondas!$F$2:$F$456,"4. Gestão de Resíduos")/COUNTIFS(Execucao_Rondas!$G$2:$G$456,"&lt;&gt;Não aplicável",Execucao_Rondas!$F$2:$F$456,"4. Gestão de Resíduos"),"")</f>
        <v>0.95192307692307687</v>
      </c>
    </row>
    <row r="8" spans="1:14" x14ac:dyDescent="0.3">
      <c r="A8" s="16" t="s">
        <v>137</v>
      </c>
      <c r="B8" s="17">
        <f>IFERROR(COUNTIFS(Execucao_Rondas!$G$2:$G$456,"Conforme",Execucao_Rondas!$F$2:$F$456,"5. Perdas de granulado e energia (extra)",Execucao_Rondas!$C$2:$C$456,202601)/COUNTIFS(Execucao_Rondas!$G$2:$G$456,"&lt;&gt;Não aplicável",Execucao_Rondas!$F$2:$F$456,"5. Perdas de granulado e energia (extra)",Execucao_Rondas!$C$2:$C$456,202601),"")</f>
        <v>0.75</v>
      </c>
      <c r="C8" s="17">
        <f>IFERROR(COUNTIFS(Execucao_Rondas!$G$2:$G$456,"Conforme",Execucao_Rondas!$F$2:$F$456,"5. Perdas de granulado e energia (extra)",Execucao_Rondas!$C$2:$C$456,202602)/COUNTIFS(Execucao_Rondas!$G$2:$G$456,"&lt;&gt;Não aplicável",Execucao_Rondas!$F$2:$F$456,"5. Perdas de granulado e energia (extra)",Execucao_Rondas!$C$2:$C$456,202602),"")</f>
        <v>0.75</v>
      </c>
      <c r="D8" s="17">
        <f>IFERROR(COUNTIFS(Execucao_Rondas!$G$2:$G$456,"Conforme",Execucao_Rondas!$F$2:$F$456,"5. Perdas de granulado e energia (extra)",Execucao_Rondas!$C$2:$C$456,202603)/COUNTIFS(Execucao_Rondas!$G$2:$G$456,"&lt;&gt;Não aplicável",Execucao_Rondas!$F$2:$F$456,"5. Perdas de granulado e energia (extra)",Execucao_Rondas!$C$2:$C$456,202603),"")</f>
        <v>0.5</v>
      </c>
      <c r="E8" s="17">
        <f>IFERROR(COUNTIFS(Execucao_Rondas!$G$2:$G$456,"Conforme",Execucao_Rondas!$F$2:$F$456,"5. Perdas de granulado e energia (extra)",Execucao_Rondas!$C$2:$C$456,202604)/COUNTIFS(Execucao_Rondas!$G$2:$G$456,"&lt;&gt;Não aplicável",Execucao_Rondas!$F$2:$F$456,"5. Perdas de granulado e energia (extra)",Execucao_Rondas!$C$2:$C$456,202604),"")</f>
        <v>0.625</v>
      </c>
      <c r="F8" s="17">
        <f>IFERROR(COUNTIFS(Execucao_Rondas!$G$2:$G$456,"Conforme",Execucao_Rondas!$F$2:$F$456,"5. Perdas de granulado e energia (extra)",Execucao_Rondas!$C$2:$C$456,202605)/COUNTIFS(Execucao_Rondas!$G$2:$G$456,"&lt;&gt;Não aplicável",Execucao_Rondas!$F$2:$F$456,"5. Perdas de granulado e energia (extra)",Execucao_Rondas!$C$2:$C$456,202605),"")</f>
        <v>0.375</v>
      </c>
      <c r="G8" s="17">
        <f>IFERROR(COUNTIFS(Execucao_Rondas!$G$2:$G$456,"Conforme",Execucao_Rondas!$F$2:$F$456,"5. Perdas de granulado e energia (extra)",Execucao_Rondas!$C$2:$C$456,202606)/COUNTIFS(Execucao_Rondas!$G$2:$G$456,"&lt;&gt;Não aplicável",Execucao_Rondas!$F$2:$F$456,"5. Perdas de granulado e energia (extra)",Execucao_Rondas!$C$2:$C$456,202606),"")</f>
        <v>0.6</v>
      </c>
      <c r="H8" s="17">
        <f>IFERROR(COUNTIFS(Execucao_Rondas!$G$2:$G$456,"Conforme",Execucao_Rondas!$F$2:$F$456,"5. Perdas de granulado e energia (extra)",Execucao_Rondas!$C$2:$C$456,202607)/COUNTIFS(Execucao_Rondas!$G$2:$G$456,"&lt;&gt;Não aplicável",Execucao_Rondas!$F$2:$F$456,"5. Perdas de granulado e energia (extra)",Execucao_Rondas!$C$2:$C$456,202607),"")</f>
        <v>0.5</v>
      </c>
      <c r="I8" s="17">
        <f>IFERROR(COUNTIFS(Execucao_Rondas!$G$2:$G$456,"Conforme",Execucao_Rondas!$F$2:$F$456,"5. Perdas de granulado e energia (extra)",Execucao_Rondas!$C$2:$C$456,202608)/COUNTIFS(Execucao_Rondas!$G$2:$G$456,"&lt;&gt;Não aplicável",Execucao_Rondas!$F$2:$F$456,"5. Perdas de granulado e energia (extra)",Execucao_Rondas!$C$2:$C$456,202608),"")</f>
        <v>0.8</v>
      </c>
      <c r="J8" s="17">
        <f>IFERROR(COUNTIFS(Execucao_Rondas!$G$2:$G$456,"Conforme",Execucao_Rondas!$F$2:$F$456,"5. Perdas de granulado e energia (extra)",Execucao_Rondas!$C$2:$C$456,202609)/COUNTIFS(Execucao_Rondas!$G$2:$G$456,"&lt;&gt;Não aplicável",Execucao_Rondas!$F$2:$F$456,"5. Perdas de granulado e energia (extra)",Execucao_Rondas!$C$2:$C$456,202609),"")</f>
        <v>0.75</v>
      </c>
      <c r="K8" s="17">
        <f>IFERROR(COUNTIFS(Execucao_Rondas!$G$2:$G$456,"Conforme",Execucao_Rondas!$F$2:$F$456,"5. Perdas de granulado e energia (extra)",Execucao_Rondas!$C$2:$C$456,202610)/COUNTIFS(Execucao_Rondas!$G$2:$G$456,"&lt;&gt;Não aplicável",Execucao_Rondas!$F$2:$F$456,"5. Perdas de granulado e energia (extra)",Execucao_Rondas!$C$2:$C$456,202610),"")</f>
        <v>1</v>
      </c>
      <c r="L8" s="17">
        <f>IFERROR(COUNTIFS(Execucao_Rondas!$G$2:$G$456,"Conforme",Execucao_Rondas!$F$2:$F$456,"5. Perdas de granulado e energia (extra)",Execucao_Rondas!$C$2:$C$456,202611)/COUNTIFS(Execucao_Rondas!$G$2:$G$456,"&lt;&gt;Não aplicável",Execucao_Rondas!$F$2:$F$456,"5. Perdas de granulado e energia (extra)",Execucao_Rondas!$C$2:$C$456,202611),"")</f>
        <v>1</v>
      </c>
      <c r="M8" s="17">
        <f>IFERROR(COUNTIFS(Execucao_Rondas!$G$2:$G$456,"Conforme",Execucao_Rondas!$F$2:$F$456,"5. Perdas de granulado e energia (extra)",Execucao_Rondas!$C$2:$C$456,202612)/COUNTIFS(Execucao_Rondas!$G$2:$G$456,"&lt;&gt;Não aplicável",Execucao_Rondas!$F$2:$F$456,"5. Perdas de granulado e energia (extra)",Execucao_Rondas!$C$2:$C$456,202612),"")</f>
        <v>1</v>
      </c>
      <c r="N8" s="17">
        <f>IFERROR(COUNTIFS(Execucao_Rondas!$G$2:$G$456,"Conforme",Execucao_Rondas!$F$2:$F$456,"5. Perdas de granulado e energia (extra)")/COUNTIFS(Execucao_Rondas!$G$2:$G$456,"&lt;&gt;Não aplicável",Execucao_Rondas!$F$2:$F$456,"5. Perdas de granulado e energia (extra)"),"")</f>
        <v>0.72115384615384615</v>
      </c>
    </row>
    <row r="9" spans="1:14" x14ac:dyDescent="0.3">
      <c r="A9" s="18" t="s">
        <v>309</v>
      </c>
      <c r="B9" s="17">
        <f>IFERROR(COUNTIFS(Execucao_Rondas!$G$2:$G$456,"Conforme",Execucao_Rondas!$C$2:$C$456,202601)/COUNTIFS(Execucao_Rondas!$G$2:$G$456,"&lt;&gt;Não aplicável",Execucao_Rondas!$C$2:$C$456,202601),"")</f>
        <v>0.8529411764705882</v>
      </c>
      <c r="C9" s="17">
        <f>IFERROR(COUNTIFS(Execucao_Rondas!$G$2:$G$456,"Conforme",Execucao_Rondas!$C$2:$C$456,202602)/COUNTIFS(Execucao_Rondas!$G$2:$G$456,"&lt;&gt;Não aplicável",Execucao_Rondas!$C$2:$C$456,202602),"")</f>
        <v>0.8529411764705882</v>
      </c>
      <c r="D9" s="17">
        <f>IFERROR(COUNTIFS(Execucao_Rondas!$G$2:$G$456,"Conforme",Execucao_Rondas!$C$2:$C$456,202603)/COUNTIFS(Execucao_Rondas!$G$2:$G$456,"&lt;&gt;Não aplicável",Execucao_Rondas!$C$2:$C$456,202603),"")</f>
        <v>0.80952380952380953</v>
      </c>
      <c r="E9" s="17">
        <f>IFERROR(COUNTIFS(Execucao_Rondas!$G$2:$G$456,"Conforme",Execucao_Rondas!$C$2:$C$456,202604)/COUNTIFS(Execucao_Rondas!$G$2:$G$456,"&lt;&gt;Não aplicável",Execucao_Rondas!$C$2:$C$456,202604),"")</f>
        <v>0.8529411764705882</v>
      </c>
      <c r="F9" s="17">
        <f>IFERROR(COUNTIFS(Execucao_Rondas!$G$2:$G$456,"Conforme",Execucao_Rondas!$C$2:$C$456,202605)/COUNTIFS(Execucao_Rondas!$G$2:$G$456,"&lt;&gt;Não aplicável",Execucao_Rondas!$C$2:$C$456,202605),"")</f>
        <v>0.79411764705882348</v>
      </c>
      <c r="G9" s="17">
        <f>IFERROR(COUNTIFS(Execucao_Rondas!$G$2:$G$456,"Conforme",Execucao_Rondas!$C$2:$C$456,202606)/COUNTIFS(Execucao_Rondas!$G$2:$G$456,"&lt;&gt;Não aplicável",Execucao_Rondas!$C$2:$C$456,202606),"")</f>
        <v>0.73809523809523814</v>
      </c>
      <c r="H9" s="17">
        <f>IFERROR(COUNTIFS(Execucao_Rondas!$G$2:$G$456,"Conforme",Execucao_Rondas!$C$2:$C$456,202607)/COUNTIFS(Execucao_Rondas!$G$2:$G$456,"&lt;&gt;Não aplicável",Execucao_Rondas!$C$2:$C$456,202607),"")</f>
        <v>0.82352941176470584</v>
      </c>
      <c r="I9" s="17">
        <f>IFERROR(COUNTIFS(Execucao_Rondas!$G$2:$G$456,"Conforme",Execucao_Rondas!$C$2:$C$456,202608)/COUNTIFS(Execucao_Rondas!$G$2:$G$456,"&lt;&gt;Não aplicável",Execucao_Rondas!$C$2:$C$456,202608),"")</f>
        <v>0.8571428571428571</v>
      </c>
      <c r="J9" s="17">
        <f>IFERROR(COUNTIFS(Execucao_Rondas!$G$2:$G$456,"Conforme",Execucao_Rondas!$C$2:$C$456,202609)/COUNTIFS(Execucao_Rondas!$G$2:$G$456,"&lt;&gt;Não aplicável",Execucao_Rondas!$C$2:$C$456,202609),"")</f>
        <v>0.86111111111111116</v>
      </c>
      <c r="K9" s="17">
        <f>IFERROR(COUNTIFS(Execucao_Rondas!$G$2:$G$456,"Conforme",Execucao_Rondas!$C$2:$C$456,202610)/COUNTIFS(Execucao_Rondas!$G$2:$G$456,"&lt;&gt;Não aplicável",Execucao_Rondas!$C$2:$C$456,202610),"")</f>
        <v>0.92105263157894735</v>
      </c>
      <c r="L9" s="17">
        <f>IFERROR(COUNTIFS(Execucao_Rondas!$G$2:$G$456,"Conforme",Execucao_Rondas!$C$2:$C$456,202611)/COUNTIFS(Execucao_Rondas!$G$2:$G$456,"&lt;&gt;Não aplicável",Execucao_Rondas!$C$2:$C$456,202611),"")</f>
        <v>0.97872340425531912</v>
      </c>
      <c r="M9" s="17">
        <f>IFERROR(COUNTIFS(Execucao_Rondas!$G$2:$G$456,"Conforme",Execucao_Rondas!$C$2:$C$456,202612)/COUNTIFS(Execucao_Rondas!$G$2:$G$456,"&lt;&gt;Não aplicável",Execucao_Rondas!$C$2:$C$456,202612),"")</f>
        <v>0.92105263157894735</v>
      </c>
      <c r="N9" s="17">
        <f>IFERROR(COUNTIFS(Execucao_Rondas!$G$2:$G$456,"Conforme")/COUNTIFS(Execucao_Rondas!$G$2:$G$456,"&lt;&gt;Não aplicável"),"")</f>
        <v>0.8571428571428571</v>
      </c>
    </row>
  </sheetData>
  <conditionalFormatting sqref="B4:N9">
    <cfRule type="expression" dxfId="5" priority="1">
      <formula>AND(ISNUMBER(B4),B4&lt;0.8)</formula>
    </cfRule>
    <cfRule type="expression" dxfId="4" priority="2">
      <formula>AND(ISNUMBER(B4),B4&gt;=0.9)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G18"/>
  <sheetViews>
    <sheetView showGridLines="0" workbookViewId="0"/>
  </sheetViews>
  <sheetFormatPr defaultRowHeight="14.4" x14ac:dyDescent="0.3"/>
  <cols>
    <col min="1" max="1" width="24" customWidth="1"/>
    <col min="2" max="2" width="38" customWidth="1"/>
    <col min="3" max="3" width="56" customWidth="1"/>
    <col min="4" max="6" width="5" customWidth="1"/>
    <col min="7" max="7" width="40" customWidth="1"/>
  </cols>
  <sheetData>
    <row r="1" spans="1:7" ht="21" x14ac:dyDescent="0.4">
      <c r="A1" s="19" t="s">
        <v>310</v>
      </c>
      <c r="B1" s="20" t="s">
        <v>311</v>
      </c>
      <c r="G1" s="18" t="s">
        <v>312</v>
      </c>
    </row>
    <row r="2" spans="1:7" x14ac:dyDescent="0.3">
      <c r="B2" s="2" t="s">
        <v>313</v>
      </c>
      <c r="G2" s="16" t="s">
        <v>314</v>
      </c>
    </row>
    <row r="3" spans="1:7" x14ac:dyDescent="0.3">
      <c r="A3" s="21"/>
      <c r="B3" s="21"/>
      <c r="C3" s="21"/>
      <c r="D3" s="21"/>
      <c r="E3" s="21"/>
      <c r="F3" s="21"/>
      <c r="G3" s="21"/>
    </row>
    <row r="4" spans="1:7" x14ac:dyDescent="0.3">
      <c r="A4" s="16" t="s">
        <v>315</v>
      </c>
    </row>
    <row r="5" spans="1:7" x14ac:dyDescent="0.3">
      <c r="A5" s="8" t="s">
        <v>63</v>
      </c>
      <c r="B5" s="8" t="s">
        <v>316</v>
      </c>
      <c r="C5" s="8" t="s">
        <v>317</v>
      </c>
      <c r="D5" s="8" t="s">
        <v>318</v>
      </c>
      <c r="E5" s="8" t="s">
        <v>319</v>
      </c>
      <c r="F5" s="8" t="s">
        <v>320</v>
      </c>
      <c r="G5" s="8" t="s">
        <v>321</v>
      </c>
    </row>
    <row r="6" spans="1:7" ht="58.05" customHeight="1" x14ac:dyDescent="0.3">
      <c r="A6" s="22" t="str">
        <f>INDEX(Pontos_Controlo!$B$5:$B$15,1)</f>
        <v>1. Gestão de Produtos Químicos</v>
      </c>
      <c r="B6" s="22" t="str">
        <f>INDEX(Pontos_Controlo!$D$5:$D$15,1)</f>
        <v>Recipientes de tinta e solvente no posto de serigrafia.</v>
      </c>
      <c r="C6" s="22" t="str">
        <f>INDEX(Pontos_Controlo!$E$5:$E$15,1)</f>
        <v>Todos os recipientes fechados quando não estão em uso imediato; rótulo CLP legível; solvente só em dispensador de segurança.</v>
      </c>
      <c r="D6" s="23"/>
      <c r="E6" s="23"/>
      <c r="F6" s="23"/>
      <c r="G6" s="23"/>
    </row>
    <row r="7" spans="1:7" ht="58.05" customHeight="1" x14ac:dyDescent="0.3">
      <c r="A7" s="22" t="str">
        <f>INDEX(Pontos_Controlo!$B$5:$B$15,2)</f>
        <v>1. Gestão de Produtos Químicos</v>
      </c>
      <c r="B7" s="22" t="str">
        <f>INDEX(Pontos_Controlo!$D$5:$D$15,2)</f>
        <v>Armazenagem de bidões e embalagens de químicos no armazém.</v>
      </c>
      <c r="C7" s="22" t="str">
        <f>INDEX(Pontos_Controlo!$E$5:$E$15,2)</f>
        <v>100% dos recipientes &gt; 20 L sobre bacia de retenção (capacidade ≥ maior recipiente); incompatíveis separados; FDS acessíveis.</v>
      </c>
      <c r="D7" s="23"/>
      <c r="E7" s="23"/>
      <c r="F7" s="23"/>
      <c r="G7" s="23"/>
    </row>
    <row r="8" spans="1:7" ht="58.05" customHeight="1" x14ac:dyDescent="0.3">
      <c r="A8" s="22" t="str">
        <f>INDEX(Pontos_Controlo!$B$5:$B$15,3)</f>
        <v>2. Eficiência e Manutenção</v>
      </c>
      <c r="B8" s="22" t="str">
        <f>INDEX(Pontos_Controlo!$D$5:$D$15,3)</f>
        <v>Rede de ar comprimido (ligações rápidas, mangueiras, purgadores).</v>
      </c>
      <c r="C8" s="22" t="str">
        <f>INDEX(Pontos_Controlo!$E$5:$E$15,3)</f>
        <v>Sem silvos (fugas audíveis); cada fuga detetada tem etiqueta e ordem de trabalho com prazo ≤ 15 dias.</v>
      </c>
      <c r="D8" s="23"/>
      <c r="E8" s="23"/>
      <c r="F8" s="23"/>
      <c r="G8" s="23"/>
    </row>
    <row r="9" spans="1:7" ht="58.05" customHeight="1" x14ac:dyDescent="0.3">
      <c r="A9" s="22" t="str">
        <f>INDEX(Pontos_Controlo!$B$5:$B$15,4)</f>
        <v>2. Eficiência e Manutenção</v>
      </c>
      <c r="B9" s="22" t="str">
        <f>INDEX(Pontos_Controlo!$D$5:$D$15,4)</f>
        <v>Máquinas de injeção/sopro: fugas de óleo e água e registos de manutenção.</v>
      </c>
      <c r="C9" s="22" t="str">
        <f>INDEX(Pontos_Controlo!$E$5:$E$15,4)</f>
        <v>Piso seco sob as máquinas; tabuleiros de retenção sem óleo acumulado; plano de manutenção preventiva sem atrasos &gt; 7 dias.</v>
      </c>
      <c r="D9" s="23"/>
      <c r="E9" s="23"/>
      <c r="F9" s="23"/>
      <c r="G9" s="23"/>
    </row>
    <row r="10" spans="1:7" ht="58.05" customHeight="1" x14ac:dyDescent="0.3">
      <c r="A10" s="22" t="str">
        <f>INDEX(Pontos_Controlo!$B$5:$B$15,5)</f>
        <v>3. Emergência</v>
      </c>
      <c r="B10" s="22" t="str">
        <f>INDEX(Pontos_Controlo!$D$5:$D$15,5)</f>
        <v>Válvula de corte da rede pluvial e sarjetas.</v>
      </c>
      <c r="C10" s="22" t="str">
        <f>INDEX(Pontos_Controlo!$E$5:$E$15,5)</f>
        <v>Válvula acessível, sinalizada e operacional (manobra de teste); sarjetas sem obstrução; bacias de retenção secas, limpas e sem lixo.</v>
      </c>
      <c r="D10" s="23"/>
      <c r="E10" s="23"/>
      <c r="F10" s="23"/>
      <c r="G10" s="23"/>
    </row>
    <row r="11" spans="1:7" ht="58.05" customHeight="1" x14ac:dyDescent="0.3">
      <c r="A11" s="22" t="str">
        <f>INDEX(Pontos_Controlo!$B$5:$B$15,6)</f>
        <v>3. Emergência</v>
      </c>
      <c r="B11" s="22" t="str">
        <f>INDEX(Pontos_Controlo!$D$5:$D$15,6)</f>
        <v>Kits antipoluição (KIT-01 a KIT-05).</v>
      </c>
      <c r="C11" s="22" t="str">
        <f>INDEX(Pontos_Controlo!$E$5:$E$15,6)</f>
        <v>Selo intacto com n.º registado; conteúdo completo (12 almofadas, 2 barreiras, luvas, óculos, sacos, instrução IT-SGA-01); acessível e sinalizado.</v>
      </c>
      <c r="D11" s="23"/>
      <c r="E11" s="23"/>
      <c r="F11" s="23"/>
      <c r="G11" s="23"/>
    </row>
    <row r="12" spans="1:7" ht="58.05" customHeight="1" x14ac:dyDescent="0.3">
      <c r="A12" s="22" t="str">
        <f>INDEX(Pontos_Controlo!$B$5:$B$15,7)</f>
        <v>4. Gestão de Resíduos</v>
      </c>
      <c r="B12" s="22" t="str">
        <f>INDEX(Pontos_Controlo!$D$5:$D$15,7)</f>
        <v>Segregação e identificação dos resíduos no parque e nas áreas.</v>
      </c>
      <c r="C12" s="22" t="str">
        <f>INDEX(Pontos_Controlo!$E$5:$E$15,7)</f>
        <v>Cada contentor com etiqueta de código LER; sem mistura de fluxos; scrap limpo separado por cor/polímero.</v>
      </c>
      <c r="D12" s="23"/>
      <c r="E12" s="23"/>
      <c r="F12" s="23"/>
      <c r="G12" s="23"/>
    </row>
    <row r="13" spans="1:7" ht="58.05" customHeight="1" x14ac:dyDescent="0.3">
      <c r="A13" s="22" t="str">
        <f>INDEX(Pontos_Controlo!$B$5:$B$15,8)</f>
        <v>4. Gestão de Resíduos</v>
      </c>
      <c r="B13" s="22" t="str">
        <f>INDEX(Pontos_Controlo!$D$5:$D$15,8)</f>
        <v>Acondicionamento dos resíduos perigosos.</v>
      </c>
      <c r="C13" s="22" t="str">
        <f>INDEX(Pontos_Controlo!$E$5:$E$15,8)</f>
        <v>Contentores fechados com tampa, identificados, em bacia e sob cobertura; zona limpa; e-GAR do último envio confirmada.</v>
      </c>
      <c r="D13" s="23"/>
      <c r="E13" s="23"/>
      <c r="F13" s="23"/>
      <c r="G13" s="23"/>
    </row>
    <row r="14" spans="1:7" ht="58.05" customHeight="1" x14ac:dyDescent="0.3">
      <c r="A14" s="22" t="str">
        <f>INDEX(Pontos_Controlo!$B$5:$B$15,9)</f>
        <v>5. Perdas de granulado e energia (extra)</v>
      </c>
      <c r="B14" s="22" t="str">
        <f>INDEX(Pontos_Controlo!$D$5:$D$15,9)</f>
        <v>Perdas de granulado nos silos, zona de descarga e sarjetas exteriores.</v>
      </c>
      <c r="C14" s="22" t="str">
        <f>INDEX(Pontos_Controlo!$E$5:$E$15,9)</f>
        <v>Sem grânulos visíveis no pavimento exterior nem nos filtros das sarjetas; tabuleiros de descarga em uso.</v>
      </c>
      <c r="D14" s="23"/>
      <c r="E14" s="23"/>
      <c r="F14" s="23"/>
      <c r="G14" s="23"/>
    </row>
    <row r="15" spans="1:7" ht="58.05" customHeight="1" x14ac:dyDescent="0.3">
      <c r="A15" s="22" t="str">
        <f>INDEX(Pontos_Controlo!$B$5:$B$15,10)</f>
        <v>1. Gestão de Produtos Químicos</v>
      </c>
      <c r="B15" s="22" t="str">
        <f>INDEX(Pontos_Controlo!$D$5:$D$15,10)</f>
        <v>Armazenagem de químicos fora do armazém (torre TR-01, oficina, parque de gases, depósito de gasóleo, laboratório, sala de baterias).</v>
      </c>
      <c r="C15" s="22" t="str">
        <f>INDEX(Pontos_Controlo!$E$5:$E$15,10)</f>
        <v>Recipientes em bacia com capacidade suficiente; incompatíveis separados (hipoclorito × ácidos; oxigénio × gases inflamáveis); kit acessível; FDS disponíveis; sem fugas.</v>
      </c>
      <c r="D15" s="23"/>
      <c r="E15" s="23"/>
      <c r="F15" s="23"/>
      <c r="G15" s="23"/>
    </row>
    <row r="16" spans="1:7" ht="58.05" customHeight="1" x14ac:dyDescent="0.3">
      <c r="A16" s="22" t="str">
        <f>INDEX(Pontos_Controlo!$B$5:$B$15,11)</f>
        <v>5. Perdas de granulado e energia (extra)</v>
      </c>
      <c r="B16" s="22" t="str">
        <f>INDEX(Pontos_Controlo!$D$5:$D$15,11)</f>
        <v>Máquinas e iluminação em paragens.</v>
      </c>
      <c r="C16" s="22" t="str">
        <f>INDEX(Pontos_Controlo!$E$5:$E$15,11)</f>
        <v>Máquinas paradas &gt; 30 min em standby; iluminação desligada em zonas sem atividade.</v>
      </c>
      <c r="D16" s="23"/>
      <c r="E16" s="23"/>
      <c r="F16" s="23"/>
      <c r="G16" s="23"/>
    </row>
    <row r="18" spans="1:1" x14ac:dyDescent="0.3">
      <c r="A18" s="2" t="s">
        <v>322</v>
      </c>
    </row>
  </sheetData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7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1" customWidth="1"/>
    <col min="3" max="3" width="10" customWidth="1"/>
    <col min="4" max="4" width="30" customWidth="1"/>
    <col min="5" max="5" width="20" customWidth="1"/>
    <col min="6" max="6" width="44" customWidth="1"/>
    <col min="7" max="7" width="13" customWidth="1"/>
    <col min="8" max="8" width="30" customWidth="1"/>
    <col min="9" max="9" width="12" customWidth="1"/>
    <col min="10" max="10" width="8" customWidth="1"/>
    <col min="11" max="11" width="9" customWidth="1"/>
    <col min="12" max="12" width="7" customWidth="1"/>
    <col min="13" max="13" width="10" customWidth="1"/>
    <col min="14" max="14" width="12" customWidth="1"/>
    <col min="15" max="15" width="11" customWidth="1"/>
    <col min="16" max="16" width="9" customWidth="1"/>
    <col min="17" max="17" width="11" customWidth="1"/>
  </cols>
  <sheetData>
    <row r="1" spans="1:17" ht="17.399999999999999" x14ac:dyDescent="0.3">
      <c r="A1" s="1" t="s">
        <v>323</v>
      </c>
    </row>
    <row r="2" spans="1:17" x14ac:dyDescent="0.3">
      <c r="A2" s="2" t="s">
        <v>324</v>
      </c>
    </row>
    <row r="4" spans="1:17" ht="39.6" x14ac:dyDescent="0.3">
      <c r="A4" s="8" t="s">
        <v>325</v>
      </c>
      <c r="B4" s="8" t="s">
        <v>154</v>
      </c>
      <c r="C4" s="8" t="s">
        <v>326</v>
      </c>
      <c r="D4" s="8" t="s">
        <v>327</v>
      </c>
      <c r="E4" s="8" t="s">
        <v>328</v>
      </c>
      <c r="F4" s="8" t="s">
        <v>329</v>
      </c>
      <c r="G4" s="8" t="s">
        <v>330</v>
      </c>
      <c r="H4" s="8" t="s">
        <v>331</v>
      </c>
      <c r="I4" s="8" t="s">
        <v>157</v>
      </c>
      <c r="J4" s="8" t="s">
        <v>332</v>
      </c>
      <c r="K4" s="8" t="s">
        <v>333</v>
      </c>
      <c r="L4" s="8" t="s">
        <v>334</v>
      </c>
      <c r="M4" s="8" t="s">
        <v>335</v>
      </c>
      <c r="N4" s="8" t="s">
        <v>336</v>
      </c>
      <c r="O4" s="8" t="s">
        <v>337</v>
      </c>
      <c r="P4" s="9" t="s">
        <v>338</v>
      </c>
      <c r="Q4" s="9" t="s">
        <v>339</v>
      </c>
    </row>
    <row r="5" spans="1:17" ht="30" customHeight="1" x14ac:dyDescent="0.3">
      <c r="A5" s="10" t="s">
        <v>340</v>
      </c>
      <c r="B5" s="14">
        <v>45797</v>
      </c>
      <c r="C5" s="10" t="s">
        <v>341</v>
      </c>
      <c r="D5" s="10" t="s">
        <v>342</v>
      </c>
      <c r="E5" s="10" t="s">
        <v>343</v>
      </c>
      <c r="F5" s="10" t="s">
        <v>344</v>
      </c>
      <c r="G5" s="10" t="s">
        <v>345</v>
      </c>
      <c r="H5" s="10" t="s">
        <v>346</v>
      </c>
      <c r="I5" s="10" t="s">
        <v>165</v>
      </c>
      <c r="J5" s="10" t="s">
        <v>143</v>
      </c>
      <c r="K5" s="24">
        <v>0</v>
      </c>
      <c r="L5" s="24">
        <v>2</v>
      </c>
      <c r="M5" s="25">
        <v>180</v>
      </c>
      <c r="N5" s="10" t="s">
        <v>347</v>
      </c>
      <c r="O5" s="10"/>
      <c r="P5" s="26">
        <f t="shared" ref="P5:P36" si="0">IF(K5="","",ROUND(K5*2088/1000,2))</f>
        <v>0</v>
      </c>
      <c r="Q5" s="27">
        <f t="shared" ref="Q5:Q36" si="1">IF(B5="","",IF(E5="Controlo de fugas F-gas",EDATE(B5,6),IF(E5="Limpeza e desinfeção",EDATE(B5,6),IF(E5="Preventiva",EDATE(B5,3),IF(E5="Inspeção",EDATE(B5,12),"")))))</f>
        <v>45981</v>
      </c>
    </row>
    <row r="6" spans="1:17" ht="30" customHeight="1" x14ac:dyDescent="0.3">
      <c r="A6" s="10" t="s">
        <v>348</v>
      </c>
      <c r="B6" s="14">
        <v>45818</v>
      </c>
      <c r="C6" s="10" t="s">
        <v>349</v>
      </c>
      <c r="D6" s="10" t="s">
        <v>350</v>
      </c>
      <c r="E6" s="10" t="s">
        <v>351</v>
      </c>
      <c r="F6" s="10" t="s">
        <v>352</v>
      </c>
      <c r="G6" s="10" t="s">
        <v>345</v>
      </c>
      <c r="H6" s="10" t="s">
        <v>353</v>
      </c>
      <c r="I6" s="10" t="s">
        <v>165</v>
      </c>
      <c r="J6" s="10" t="s">
        <v>143</v>
      </c>
      <c r="K6" s="24">
        <v>0</v>
      </c>
      <c r="L6" s="24">
        <v>6</v>
      </c>
      <c r="M6" s="25">
        <v>950</v>
      </c>
      <c r="N6" s="10" t="s">
        <v>354</v>
      </c>
      <c r="O6" s="10"/>
      <c r="P6" s="26">
        <f t="shared" si="0"/>
        <v>0</v>
      </c>
      <c r="Q6" s="27">
        <f t="shared" si="1"/>
        <v>46001</v>
      </c>
    </row>
    <row r="7" spans="1:17" ht="30" customHeight="1" x14ac:dyDescent="0.3">
      <c r="A7" s="10" t="s">
        <v>355</v>
      </c>
      <c r="B7" s="14">
        <v>45826</v>
      </c>
      <c r="C7" s="10" t="s">
        <v>356</v>
      </c>
      <c r="D7" s="10" t="s">
        <v>357</v>
      </c>
      <c r="E7" s="10" t="s">
        <v>358</v>
      </c>
      <c r="F7" s="10" t="s">
        <v>359</v>
      </c>
      <c r="G7" s="10" t="s">
        <v>345</v>
      </c>
      <c r="H7" s="10" t="s">
        <v>360</v>
      </c>
      <c r="I7" s="10" t="s">
        <v>165</v>
      </c>
      <c r="J7" s="10" t="s">
        <v>143</v>
      </c>
      <c r="K7" s="24">
        <v>0</v>
      </c>
      <c r="L7" s="24">
        <v>4</v>
      </c>
      <c r="M7" s="25">
        <v>1200</v>
      </c>
      <c r="N7" s="10"/>
      <c r="O7" s="10"/>
      <c r="P7" s="26">
        <f t="shared" si="0"/>
        <v>0</v>
      </c>
      <c r="Q7" s="27">
        <f t="shared" si="1"/>
        <v>45918</v>
      </c>
    </row>
    <row r="8" spans="1:17" ht="30" customHeight="1" x14ac:dyDescent="0.3">
      <c r="A8" s="10" t="s">
        <v>361</v>
      </c>
      <c r="B8" s="14">
        <v>45840</v>
      </c>
      <c r="C8" s="10" t="s">
        <v>362</v>
      </c>
      <c r="D8" s="10" t="s">
        <v>363</v>
      </c>
      <c r="E8" s="10" t="s">
        <v>358</v>
      </c>
      <c r="F8" s="10" t="s">
        <v>364</v>
      </c>
      <c r="G8" s="10" t="s">
        <v>365</v>
      </c>
      <c r="H8" s="10"/>
      <c r="I8" s="10" t="s">
        <v>165</v>
      </c>
      <c r="J8" s="10" t="s">
        <v>143</v>
      </c>
      <c r="K8" s="24">
        <v>0</v>
      </c>
      <c r="L8" s="24">
        <v>3</v>
      </c>
      <c r="M8" s="25">
        <v>320</v>
      </c>
      <c r="N8" s="10" t="s">
        <v>366</v>
      </c>
      <c r="O8" s="10"/>
      <c r="P8" s="26">
        <f t="shared" si="0"/>
        <v>0</v>
      </c>
      <c r="Q8" s="27">
        <f t="shared" si="1"/>
        <v>45932</v>
      </c>
    </row>
    <row r="9" spans="1:17" ht="30" customHeight="1" x14ac:dyDescent="0.3">
      <c r="A9" s="10" t="s">
        <v>367</v>
      </c>
      <c r="B9" s="14">
        <v>45860</v>
      </c>
      <c r="C9" s="10" t="s">
        <v>368</v>
      </c>
      <c r="D9" s="10" t="s">
        <v>369</v>
      </c>
      <c r="E9" s="10" t="s">
        <v>370</v>
      </c>
      <c r="F9" s="10" t="s">
        <v>371</v>
      </c>
      <c r="G9" s="10" t="s">
        <v>365</v>
      </c>
      <c r="H9" s="10"/>
      <c r="I9" s="10" t="s">
        <v>166</v>
      </c>
      <c r="J9" s="10" t="s">
        <v>87</v>
      </c>
      <c r="K9" s="24">
        <v>0</v>
      </c>
      <c r="L9" s="24">
        <v>6</v>
      </c>
      <c r="M9" s="25">
        <v>0</v>
      </c>
      <c r="N9" s="10" t="s">
        <v>372</v>
      </c>
      <c r="O9" s="10"/>
      <c r="P9" s="26">
        <f t="shared" si="0"/>
        <v>0</v>
      </c>
      <c r="Q9" s="27">
        <f t="shared" si="1"/>
        <v>46225</v>
      </c>
    </row>
    <row r="10" spans="1:17" ht="30" customHeight="1" x14ac:dyDescent="0.3">
      <c r="A10" s="10" t="s">
        <v>373</v>
      </c>
      <c r="B10" s="14">
        <v>45868</v>
      </c>
      <c r="C10" s="10" t="s">
        <v>368</v>
      </c>
      <c r="D10" s="10" t="s">
        <v>369</v>
      </c>
      <c r="E10" s="10" t="s">
        <v>374</v>
      </c>
      <c r="F10" s="10" t="s">
        <v>375</v>
      </c>
      <c r="G10" s="10" t="s">
        <v>365</v>
      </c>
      <c r="H10" s="10"/>
      <c r="I10" s="10" t="s">
        <v>376</v>
      </c>
      <c r="J10" s="10" t="s">
        <v>143</v>
      </c>
      <c r="K10" s="24">
        <v>0</v>
      </c>
      <c r="L10" s="24">
        <v>8</v>
      </c>
      <c r="M10" s="25">
        <v>260</v>
      </c>
      <c r="N10" s="10" t="s">
        <v>372</v>
      </c>
      <c r="O10" s="10"/>
      <c r="P10" s="26">
        <f t="shared" si="0"/>
        <v>0</v>
      </c>
      <c r="Q10" s="27" t="str">
        <f t="shared" si="1"/>
        <v/>
      </c>
    </row>
    <row r="11" spans="1:17" ht="30" customHeight="1" x14ac:dyDescent="0.3">
      <c r="A11" s="10" t="s">
        <v>377</v>
      </c>
      <c r="B11" s="14">
        <v>45881</v>
      </c>
      <c r="C11" s="10" t="s">
        <v>378</v>
      </c>
      <c r="D11" s="10" t="s">
        <v>379</v>
      </c>
      <c r="E11" s="10" t="s">
        <v>374</v>
      </c>
      <c r="F11" s="10" t="s">
        <v>380</v>
      </c>
      <c r="G11" s="10" t="s">
        <v>365</v>
      </c>
      <c r="H11" s="10"/>
      <c r="I11" s="10" t="s">
        <v>376</v>
      </c>
      <c r="J11" s="10" t="s">
        <v>143</v>
      </c>
      <c r="K11" s="24">
        <v>0</v>
      </c>
      <c r="L11" s="24">
        <v>3</v>
      </c>
      <c r="M11" s="25">
        <v>640</v>
      </c>
      <c r="N11" s="10" t="s">
        <v>381</v>
      </c>
      <c r="O11" s="10" t="s">
        <v>382</v>
      </c>
      <c r="P11" s="26">
        <f t="shared" si="0"/>
        <v>0</v>
      </c>
      <c r="Q11" s="27" t="str">
        <f t="shared" si="1"/>
        <v/>
      </c>
    </row>
    <row r="12" spans="1:17" ht="30" customHeight="1" x14ac:dyDescent="0.3">
      <c r="A12" s="10" t="s">
        <v>383</v>
      </c>
      <c r="B12" s="14">
        <v>45908</v>
      </c>
      <c r="C12" s="10" t="s">
        <v>384</v>
      </c>
      <c r="D12" s="10" t="s">
        <v>385</v>
      </c>
      <c r="E12" s="10" t="s">
        <v>370</v>
      </c>
      <c r="F12" s="10" t="s">
        <v>386</v>
      </c>
      <c r="G12" s="10" t="s">
        <v>365</v>
      </c>
      <c r="H12" s="10"/>
      <c r="I12" s="10" t="s">
        <v>165</v>
      </c>
      <c r="J12" s="10" t="s">
        <v>143</v>
      </c>
      <c r="K12" s="24">
        <v>0</v>
      </c>
      <c r="L12" s="24">
        <v>2</v>
      </c>
      <c r="M12" s="25">
        <v>0</v>
      </c>
      <c r="N12" s="10" t="s">
        <v>387</v>
      </c>
      <c r="O12" s="10"/>
      <c r="P12" s="26">
        <f t="shared" si="0"/>
        <v>0</v>
      </c>
      <c r="Q12" s="27">
        <f t="shared" si="1"/>
        <v>46273</v>
      </c>
    </row>
    <row r="13" spans="1:17" ht="30" customHeight="1" x14ac:dyDescent="0.3">
      <c r="A13" s="10" t="s">
        <v>388</v>
      </c>
      <c r="B13" s="14">
        <v>45908</v>
      </c>
      <c r="C13" s="10" t="s">
        <v>389</v>
      </c>
      <c r="D13" s="10" t="s">
        <v>390</v>
      </c>
      <c r="E13" s="10" t="s">
        <v>370</v>
      </c>
      <c r="F13" s="10" t="s">
        <v>391</v>
      </c>
      <c r="G13" s="10" t="s">
        <v>365</v>
      </c>
      <c r="H13" s="10"/>
      <c r="I13" s="10" t="s">
        <v>165</v>
      </c>
      <c r="J13" s="10" t="s">
        <v>143</v>
      </c>
      <c r="K13" s="24">
        <v>0</v>
      </c>
      <c r="L13" s="24">
        <v>1</v>
      </c>
      <c r="M13" s="25">
        <v>0</v>
      </c>
      <c r="N13" s="10" t="s">
        <v>387</v>
      </c>
      <c r="O13" s="10"/>
      <c r="P13" s="26">
        <f t="shared" si="0"/>
        <v>0</v>
      </c>
      <c r="Q13" s="27">
        <f t="shared" si="1"/>
        <v>46273</v>
      </c>
    </row>
    <row r="14" spans="1:17" ht="30" customHeight="1" x14ac:dyDescent="0.3">
      <c r="A14" s="10" t="s">
        <v>392</v>
      </c>
      <c r="B14" s="14">
        <v>45944</v>
      </c>
      <c r="C14" s="10" t="s">
        <v>362</v>
      </c>
      <c r="D14" s="10" t="s">
        <v>363</v>
      </c>
      <c r="E14" s="10" t="s">
        <v>358</v>
      </c>
      <c r="F14" s="10" t="s">
        <v>364</v>
      </c>
      <c r="G14" s="10" t="s">
        <v>365</v>
      </c>
      <c r="H14" s="10"/>
      <c r="I14" s="10" t="s">
        <v>165</v>
      </c>
      <c r="J14" s="10" t="s">
        <v>143</v>
      </c>
      <c r="K14" s="24">
        <v>0</v>
      </c>
      <c r="L14" s="24">
        <v>3</v>
      </c>
      <c r="M14" s="25">
        <v>320</v>
      </c>
      <c r="N14" s="10" t="s">
        <v>366</v>
      </c>
      <c r="O14" s="10"/>
      <c r="P14" s="26">
        <f t="shared" si="0"/>
        <v>0</v>
      </c>
      <c r="Q14" s="27">
        <f t="shared" si="1"/>
        <v>46036</v>
      </c>
    </row>
    <row r="15" spans="1:17" ht="30" customHeight="1" x14ac:dyDescent="0.3">
      <c r="A15" s="10" t="s">
        <v>393</v>
      </c>
      <c r="B15" s="14">
        <v>45979</v>
      </c>
      <c r="C15" s="10" t="s">
        <v>341</v>
      </c>
      <c r="D15" s="10" t="s">
        <v>342</v>
      </c>
      <c r="E15" s="10" t="s">
        <v>343</v>
      </c>
      <c r="F15" s="10" t="s">
        <v>394</v>
      </c>
      <c r="G15" s="10" t="s">
        <v>345</v>
      </c>
      <c r="H15" s="10" t="s">
        <v>346</v>
      </c>
      <c r="I15" s="10" t="s">
        <v>376</v>
      </c>
      <c r="J15" s="10" t="s">
        <v>87</v>
      </c>
      <c r="K15" s="24">
        <v>3.2</v>
      </c>
      <c r="L15" s="24">
        <v>6</v>
      </c>
      <c r="M15" s="25">
        <v>1450</v>
      </c>
      <c r="N15" s="10" t="s">
        <v>347</v>
      </c>
      <c r="O15" s="10" t="s">
        <v>395</v>
      </c>
      <c r="P15" s="26">
        <f t="shared" si="0"/>
        <v>6.68</v>
      </c>
      <c r="Q15" s="27">
        <f t="shared" si="1"/>
        <v>46160</v>
      </c>
    </row>
    <row r="16" spans="1:17" ht="30" customHeight="1" x14ac:dyDescent="0.3">
      <c r="A16" s="10" t="s">
        <v>396</v>
      </c>
      <c r="B16" s="14">
        <v>46007</v>
      </c>
      <c r="C16" s="10" t="s">
        <v>341</v>
      </c>
      <c r="D16" s="10" t="s">
        <v>342</v>
      </c>
      <c r="E16" s="10" t="s">
        <v>343</v>
      </c>
      <c r="F16" s="10" t="s">
        <v>397</v>
      </c>
      <c r="G16" s="10" t="s">
        <v>345</v>
      </c>
      <c r="H16" s="10" t="s">
        <v>346</v>
      </c>
      <c r="I16" s="10" t="s">
        <v>165</v>
      </c>
      <c r="J16" s="10" t="s">
        <v>143</v>
      </c>
      <c r="K16" s="24">
        <v>0</v>
      </c>
      <c r="L16" s="24">
        <v>1</v>
      </c>
      <c r="M16" s="25">
        <v>120</v>
      </c>
      <c r="N16" s="10" t="s">
        <v>347</v>
      </c>
      <c r="O16" s="10" t="s">
        <v>395</v>
      </c>
      <c r="P16" s="26">
        <f t="shared" si="0"/>
        <v>0</v>
      </c>
      <c r="Q16" s="27">
        <f t="shared" si="1"/>
        <v>46189</v>
      </c>
    </row>
    <row r="17" spans="1:17" ht="30" customHeight="1" x14ac:dyDescent="0.3">
      <c r="A17" s="10" t="s">
        <v>398</v>
      </c>
      <c r="B17" s="14">
        <v>46001</v>
      </c>
      <c r="C17" s="10" t="s">
        <v>349</v>
      </c>
      <c r="D17" s="10" t="s">
        <v>350</v>
      </c>
      <c r="E17" s="10" t="s">
        <v>351</v>
      </c>
      <c r="F17" s="10" t="s">
        <v>352</v>
      </c>
      <c r="G17" s="10" t="s">
        <v>345</v>
      </c>
      <c r="H17" s="10" t="s">
        <v>353</v>
      </c>
      <c r="I17" s="10" t="s">
        <v>165</v>
      </c>
      <c r="J17" s="10" t="s">
        <v>143</v>
      </c>
      <c r="K17" s="24">
        <v>0</v>
      </c>
      <c r="L17" s="24">
        <v>6</v>
      </c>
      <c r="M17" s="25">
        <v>950</v>
      </c>
      <c r="N17" s="10" t="s">
        <v>354</v>
      </c>
      <c r="O17" s="10"/>
      <c r="P17" s="26">
        <f t="shared" si="0"/>
        <v>0</v>
      </c>
      <c r="Q17" s="27">
        <f t="shared" si="1"/>
        <v>46183</v>
      </c>
    </row>
    <row r="18" spans="1:17" ht="30" customHeight="1" x14ac:dyDescent="0.3">
      <c r="A18" s="10" t="s">
        <v>399</v>
      </c>
      <c r="B18" s="14">
        <v>46048</v>
      </c>
      <c r="C18" s="10" t="s">
        <v>362</v>
      </c>
      <c r="D18" s="10" t="s">
        <v>363</v>
      </c>
      <c r="E18" s="10" t="s">
        <v>358</v>
      </c>
      <c r="F18" s="10" t="s">
        <v>364</v>
      </c>
      <c r="G18" s="10" t="s">
        <v>365</v>
      </c>
      <c r="H18" s="10"/>
      <c r="I18" s="10" t="s">
        <v>165</v>
      </c>
      <c r="J18" s="10" t="s">
        <v>143</v>
      </c>
      <c r="K18" s="24">
        <v>0</v>
      </c>
      <c r="L18" s="24">
        <v>3</v>
      </c>
      <c r="M18" s="25">
        <v>320</v>
      </c>
      <c r="N18" s="10" t="s">
        <v>366</v>
      </c>
      <c r="O18" s="10"/>
      <c r="P18" s="26">
        <f t="shared" si="0"/>
        <v>0</v>
      </c>
      <c r="Q18" s="27">
        <f t="shared" si="1"/>
        <v>46138</v>
      </c>
    </row>
    <row r="19" spans="1:17" ht="30" customHeight="1" x14ac:dyDescent="0.3">
      <c r="A19" s="10" t="s">
        <v>400</v>
      </c>
      <c r="B19" s="14">
        <v>46055</v>
      </c>
      <c r="C19" s="10" t="s">
        <v>356</v>
      </c>
      <c r="D19" s="10" t="s">
        <v>357</v>
      </c>
      <c r="E19" s="10" t="s">
        <v>401</v>
      </c>
      <c r="F19" s="10" t="s">
        <v>402</v>
      </c>
      <c r="G19" s="10" t="s">
        <v>345</v>
      </c>
      <c r="H19" s="10" t="s">
        <v>360</v>
      </c>
      <c r="I19" s="10" t="s">
        <v>165</v>
      </c>
      <c r="J19" s="10" t="s">
        <v>143</v>
      </c>
      <c r="K19" s="24">
        <v>0</v>
      </c>
      <c r="L19" s="24">
        <v>24</v>
      </c>
      <c r="M19" s="25">
        <v>78000</v>
      </c>
      <c r="N19" s="10" t="s">
        <v>403</v>
      </c>
      <c r="O19" s="10"/>
      <c r="P19" s="26">
        <f t="shared" si="0"/>
        <v>0</v>
      </c>
      <c r="Q19" s="27" t="str">
        <f t="shared" si="1"/>
        <v/>
      </c>
    </row>
    <row r="20" spans="1:17" ht="30" customHeight="1" x14ac:dyDescent="0.3">
      <c r="A20" s="10" t="s">
        <v>404</v>
      </c>
      <c r="B20" s="14">
        <v>46065</v>
      </c>
      <c r="C20" s="10" t="s">
        <v>405</v>
      </c>
      <c r="D20" s="10" t="s">
        <v>406</v>
      </c>
      <c r="E20" s="10" t="s">
        <v>374</v>
      </c>
      <c r="F20" s="10" t="s">
        <v>407</v>
      </c>
      <c r="G20" s="10" t="s">
        <v>365</v>
      </c>
      <c r="H20" s="10"/>
      <c r="I20" s="10" t="s">
        <v>376</v>
      </c>
      <c r="J20" s="10" t="s">
        <v>143</v>
      </c>
      <c r="K20" s="24">
        <v>0</v>
      </c>
      <c r="L20" s="24">
        <v>5</v>
      </c>
      <c r="M20" s="25">
        <v>700</v>
      </c>
      <c r="N20" s="10"/>
      <c r="O20" s="10" t="s">
        <v>408</v>
      </c>
      <c r="P20" s="26">
        <f t="shared" si="0"/>
        <v>0</v>
      </c>
      <c r="Q20" s="27" t="str">
        <f t="shared" si="1"/>
        <v/>
      </c>
    </row>
    <row r="21" spans="1:17" ht="30" customHeight="1" x14ac:dyDescent="0.3">
      <c r="A21" s="10" t="s">
        <v>409</v>
      </c>
      <c r="B21" s="14">
        <v>46096</v>
      </c>
      <c r="C21" s="10" t="s">
        <v>405</v>
      </c>
      <c r="D21" s="10" t="s">
        <v>406</v>
      </c>
      <c r="E21" s="10" t="s">
        <v>358</v>
      </c>
      <c r="F21" s="10" t="s">
        <v>410</v>
      </c>
      <c r="G21" s="10" t="s">
        <v>365</v>
      </c>
      <c r="H21" s="10"/>
      <c r="I21" s="10" t="s">
        <v>165</v>
      </c>
      <c r="J21" s="10" t="s">
        <v>143</v>
      </c>
      <c r="K21" s="24">
        <v>0</v>
      </c>
      <c r="L21" s="24">
        <v>10</v>
      </c>
      <c r="M21" s="25">
        <v>1900</v>
      </c>
      <c r="N21" s="10"/>
      <c r="O21" s="10"/>
      <c r="P21" s="26">
        <f t="shared" si="0"/>
        <v>0</v>
      </c>
      <c r="Q21" s="27">
        <f t="shared" si="1"/>
        <v>46188</v>
      </c>
    </row>
    <row r="22" spans="1:17" ht="30" customHeight="1" x14ac:dyDescent="0.3">
      <c r="A22" s="10" t="s">
        <v>411</v>
      </c>
      <c r="B22" s="14">
        <v>46132</v>
      </c>
      <c r="C22" s="10" t="s">
        <v>362</v>
      </c>
      <c r="D22" s="10" t="s">
        <v>363</v>
      </c>
      <c r="E22" s="10" t="s">
        <v>358</v>
      </c>
      <c r="F22" s="10" t="s">
        <v>364</v>
      </c>
      <c r="G22" s="10" t="s">
        <v>365</v>
      </c>
      <c r="H22" s="10"/>
      <c r="I22" s="10" t="s">
        <v>165</v>
      </c>
      <c r="J22" s="10" t="s">
        <v>143</v>
      </c>
      <c r="K22" s="24">
        <v>0</v>
      </c>
      <c r="L22" s="24">
        <v>3</v>
      </c>
      <c r="M22" s="25">
        <v>320</v>
      </c>
      <c r="N22" s="10" t="s">
        <v>366</v>
      </c>
      <c r="O22" s="10"/>
      <c r="P22" s="26">
        <f t="shared" si="0"/>
        <v>0</v>
      </c>
      <c r="Q22" s="27">
        <f t="shared" si="1"/>
        <v>46223</v>
      </c>
    </row>
    <row r="23" spans="1:17" ht="30" customHeight="1" x14ac:dyDescent="0.3">
      <c r="A23" s="10" t="s">
        <v>412</v>
      </c>
      <c r="B23" s="14">
        <v>46162</v>
      </c>
      <c r="C23" s="10" t="s">
        <v>341</v>
      </c>
      <c r="D23" s="10" t="s">
        <v>342</v>
      </c>
      <c r="E23" s="10" t="s">
        <v>343</v>
      </c>
      <c r="F23" s="10" t="s">
        <v>413</v>
      </c>
      <c r="G23" s="10" t="s">
        <v>345</v>
      </c>
      <c r="H23" s="10" t="s">
        <v>346</v>
      </c>
      <c r="I23" s="10" t="s">
        <v>165</v>
      </c>
      <c r="J23" s="10" t="s">
        <v>143</v>
      </c>
      <c r="K23" s="24">
        <v>0</v>
      </c>
      <c r="L23" s="24">
        <v>2</v>
      </c>
      <c r="M23" s="25">
        <v>180</v>
      </c>
      <c r="N23" s="10" t="s">
        <v>347</v>
      </c>
      <c r="O23" s="10"/>
      <c r="P23" s="26">
        <f t="shared" si="0"/>
        <v>0</v>
      </c>
      <c r="Q23" s="27">
        <f t="shared" si="1"/>
        <v>46346</v>
      </c>
    </row>
    <row r="24" spans="1:17" ht="30" customHeight="1" x14ac:dyDescent="0.3">
      <c r="A24" s="10" t="s">
        <v>414</v>
      </c>
      <c r="B24" s="14">
        <v>46182</v>
      </c>
      <c r="C24" s="10" t="s">
        <v>349</v>
      </c>
      <c r="D24" s="10" t="s">
        <v>350</v>
      </c>
      <c r="E24" s="10" t="s">
        <v>351</v>
      </c>
      <c r="F24" s="10" t="s">
        <v>352</v>
      </c>
      <c r="G24" s="10" t="s">
        <v>345</v>
      </c>
      <c r="H24" s="10" t="s">
        <v>353</v>
      </c>
      <c r="I24" s="10" t="s">
        <v>165</v>
      </c>
      <c r="J24" s="10" t="s">
        <v>143</v>
      </c>
      <c r="K24" s="24">
        <v>0</v>
      </c>
      <c r="L24" s="24">
        <v>6</v>
      </c>
      <c r="M24" s="25">
        <v>980</v>
      </c>
      <c r="N24" s="10" t="s">
        <v>354</v>
      </c>
      <c r="O24" s="10"/>
      <c r="P24" s="26">
        <f t="shared" si="0"/>
        <v>0</v>
      </c>
      <c r="Q24" s="27">
        <f t="shared" si="1"/>
        <v>46365</v>
      </c>
    </row>
    <row r="25" spans="1:17" ht="30" customHeight="1" x14ac:dyDescent="0.3">
      <c r="A25" s="10" t="s">
        <v>415</v>
      </c>
      <c r="B25" s="14">
        <v>46197</v>
      </c>
      <c r="C25" s="10" t="s">
        <v>416</v>
      </c>
      <c r="D25" s="10" t="s">
        <v>417</v>
      </c>
      <c r="E25" s="10" t="s">
        <v>358</v>
      </c>
      <c r="F25" s="10" t="s">
        <v>418</v>
      </c>
      <c r="G25" s="10" t="s">
        <v>345</v>
      </c>
      <c r="H25" s="10" t="s">
        <v>360</v>
      </c>
      <c r="I25" s="10" t="s">
        <v>165</v>
      </c>
      <c r="J25" s="10" t="s">
        <v>143</v>
      </c>
      <c r="K25" s="24">
        <v>0</v>
      </c>
      <c r="L25" s="24">
        <v>4</v>
      </c>
      <c r="M25" s="25">
        <v>900</v>
      </c>
      <c r="N25" s="10"/>
      <c r="O25" s="10"/>
      <c r="P25" s="26">
        <f t="shared" si="0"/>
        <v>0</v>
      </c>
      <c r="Q25" s="27">
        <f t="shared" si="1"/>
        <v>46289</v>
      </c>
    </row>
    <row r="26" spans="1:17" ht="30" customHeight="1" x14ac:dyDescent="0.3">
      <c r="A26" s="10" t="s">
        <v>419</v>
      </c>
      <c r="B26" s="14">
        <v>46216</v>
      </c>
      <c r="C26" s="10" t="s">
        <v>368</v>
      </c>
      <c r="D26" s="10" t="s">
        <v>369</v>
      </c>
      <c r="E26" s="10" t="s">
        <v>370</v>
      </c>
      <c r="F26" s="10" t="s">
        <v>420</v>
      </c>
      <c r="G26" s="10" t="s">
        <v>365</v>
      </c>
      <c r="H26" s="10"/>
      <c r="I26" s="10" t="s">
        <v>166</v>
      </c>
      <c r="J26" s="10" t="s">
        <v>87</v>
      </c>
      <c r="K26" s="24">
        <v>0</v>
      </c>
      <c r="L26" s="24">
        <v>6</v>
      </c>
      <c r="M26" s="25">
        <v>0</v>
      </c>
      <c r="N26" s="10" t="s">
        <v>372</v>
      </c>
      <c r="O26" s="10"/>
      <c r="P26" s="26">
        <f t="shared" si="0"/>
        <v>0</v>
      </c>
      <c r="Q26" s="27">
        <f t="shared" si="1"/>
        <v>46581</v>
      </c>
    </row>
    <row r="27" spans="1:17" ht="30" customHeight="1" x14ac:dyDescent="0.3">
      <c r="A27" s="10" t="s">
        <v>421</v>
      </c>
      <c r="B27" s="14">
        <v>46253</v>
      </c>
      <c r="C27" s="10" t="s">
        <v>368</v>
      </c>
      <c r="D27" s="10" t="s">
        <v>369</v>
      </c>
      <c r="E27" s="10" t="s">
        <v>374</v>
      </c>
      <c r="F27" s="10" t="s">
        <v>422</v>
      </c>
      <c r="G27" s="10" t="s">
        <v>365</v>
      </c>
      <c r="H27" s="10"/>
      <c r="I27" s="10" t="s">
        <v>376</v>
      </c>
      <c r="J27" s="10" t="s">
        <v>143</v>
      </c>
      <c r="K27" s="24">
        <v>0</v>
      </c>
      <c r="L27" s="24">
        <v>5</v>
      </c>
      <c r="M27" s="25">
        <v>210</v>
      </c>
      <c r="N27" s="10" t="s">
        <v>372</v>
      </c>
      <c r="O27" s="10" t="s">
        <v>423</v>
      </c>
      <c r="P27" s="26">
        <f t="shared" si="0"/>
        <v>0</v>
      </c>
      <c r="Q27" s="27" t="str">
        <f t="shared" si="1"/>
        <v/>
      </c>
    </row>
    <row r="28" spans="1:17" ht="30" customHeight="1" x14ac:dyDescent="0.3">
      <c r="A28" s="10" t="s">
        <v>424</v>
      </c>
      <c r="B28" s="14">
        <v>46258</v>
      </c>
      <c r="C28" s="10" t="s">
        <v>362</v>
      </c>
      <c r="D28" s="10" t="s">
        <v>363</v>
      </c>
      <c r="E28" s="10" t="s">
        <v>358</v>
      </c>
      <c r="F28" s="10" t="s">
        <v>364</v>
      </c>
      <c r="G28" s="10" t="s">
        <v>365</v>
      </c>
      <c r="H28" s="10"/>
      <c r="I28" s="10" t="s">
        <v>165</v>
      </c>
      <c r="J28" s="10" t="s">
        <v>143</v>
      </c>
      <c r="K28" s="24">
        <v>0</v>
      </c>
      <c r="L28" s="24">
        <v>3</v>
      </c>
      <c r="M28" s="25">
        <v>330</v>
      </c>
      <c r="N28" s="10" t="s">
        <v>366</v>
      </c>
      <c r="O28" s="10"/>
      <c r="P28" s="26">
        <f t="shared" si="0"/>
        <v>0</v>
      </c>
      <c r="Q28" s="27">
        <f t="shared" si="1"/>
        <v>46350</v>
      </c>
    </row>
    <row r="29" spans="1:17" ht="30" customHeight="1" x14ac:dyDescent="0.3">
      <c r="A29" s="10" t="s">
        <v>425</v>
      </c>
      <c r="B29" s="14">
        <v>46272</v>
      </c>
      <c r="C29" s="10" t="s">
        <v>384</v>
      </c>
      <c r="D29" s="10" t="s">
        <v>385</v>
      </c>
      <c r="E29" s="10" t="s">
        <v>370</v>
      </c>
      <c r="F29" s="10" t="s">
        <v>426</v>
      </c>
      <c r="G29" s="10" t="s">
        <v>365</v>
      </c>
      <c r="H29" s="10"/>
      <c r="I29" s="10" t="s">
        <v>165</v>
      </c>
      <c r="J29" s="10" t="s">
        <v>143</v>
      </c>
      <c r="K29" s="24">
        <v>0</v>
      </c>
      <c r="L29" s="24">
        <v>2</v>
      </c>
      <c r="M29" s="25">
        <v>0</v>
      </c>
      <c r="N29" s="10" t="s">
        <v>387</v>
      </c>
      <c r="O29" s="10"/>
      <c r="P29" s="26">
        <f t="shared" si="0"/>
        <v>0</v>
      </c>
      <c r="Q29" s="27">
        <f t="shared" si="1"/>
        <v>46637</v>
      </c>
    </row>
    <row r="30" spans="1:17" ht="30" customHeight="1" x14ac:dyDescent="0.3">
      <c r="A30" s="10" t="s">
        <v>427</v>
      </c>
      <c r="B30" s="14">
        <v>46272</v>
      </c>
      <c r="C30" s="10" t="s">
        <v>389</v>
      </c>
      <c r="D30" s="10" t="s">
        <v>390</v>
      </c>
      <c r="E30" s="10" t="s">
        <v>370</v>
      </c>
      <c r="F30" s="10" t="s">
        <v>428</v>
      </c>
      <c r="G30" s="10" t="s">
        <v>365</v>
      </c>
      <c r="H30" s="10"/>
      <c r="I30" s="10" t="s">
        <v>165</v>
      </c>
      <c r="J30" s="10" t="s">
        <v>143</v>
      </c>
      <c r="K30" s="24">
        <v>0</v>
      </c>
      <c r="L30" s="24">
        <v>1</v>
      </c>
      <c r="M30" s="25">
        <v>0</v>
      </c>
      <c r="N30" s="10" t="s">
        <v>387</v>
      </c>
      <c r="O30" s="10"/>
      <c r="P30" s="26">
        <f t="shared" si="0"/>
        <v>0</v>
      </c>
      <c r="Q30" s="27">
        <f t="shared" si="1"/>
        <v>46637</v>
      </c>
    </row>
    <row r="31" spans="1:17" ht="30" customHeight="1" x14ac:dyDescent="0.3">
      <c r="A31" s="10" t="s">
        <v>429</v>
      </c>
      <c r="B31" s="14">
        <v>46315</v>
      </c>
      <c r="C31" s="10" t="s">
        <v>349</v>
      </c>
      <c r="D31" s="10" t="s">
        <v>350</v>
      </c>
      <c r="E31" s="10" t="s">
        <v>351</v>
      </c>
      <c r="F31" s="10" t="s">
        <v>352</v>
      </c>
      <c r="G31" s="10" t="s">
        <v>345</v>
      </c>
      <c r="H31" s="10" t="s">
        <v>353</v>
      </c>
      <c r="I31" s="10" t="s">
        <v>165</v>
      </c>
      <c r="J31" s="10" t="s">
        <v>143</v>
      </c>
      <c r="K31" s="24">
        <v>0</v>
      </c>
      <c r="L31" s="24">
        <v>6</v>
      </c>
      <c r="M31" s="25">
        <v>990</v>
      </c>
      <c r="N31" s="10" t="s">
        <v>354</v>
      </c>
      <c r="O31" s="10"/>
      <c r="P31" s="26">
        <f t="shared" si="0"/>
        <v>0</v>
      </c>
      <c r="Q31" s="27">
        <f t="shared" si="1"/>
        <v>46497</v>
      </c>
    </row>
    <row r="32" spans="1:17" ht="30" customHeight="1" x14ac:dyDescent="0.3">
      <c r="A32" s="10" t="s">
        <v>430</v>
      </c>
      <c r="B32" s="14">
        <v>46321</v>
      </c>
      <c r="C32" s="10" t="s">
        <v>362</v>
      </c>
      <c r="D32" s="10" t="s">
        <v>363</v>
      </c>
      <c r="E32" s="10" t="s">
        <v>358</v>
      </c>
      <c r="F32" s="10" t="s">
        <v>364</v>
      </c>
      <c r="G32" s="10" t="s">
        <v>365</v>
      </c>
      <c r="H32" s="10"/>
      <c r="I32" s="10" t="s">
        <v>165</v>
      </c>
      <c r="J32" s="10" t="s">
        <v>143</v>
      </c>
      <c r="K32" s="24">
        <v>0</v>
      </c>
      <c r="L32" s="24">
        <v>3</v>
      </c>
      <c r="M32" s="25">
        <v>330</v>
      </c>
      <c r="N32" s="10" t="s">
        <v>366</v>
      </c>
      <c r="O32" s="10"/>
      <c r="P32" s="26">
        <f t="shared" si="0"/>
        <v>0</v>
      </c>
      <c r="Q32" s="27">
        <f t="shared" si="1"/>
        <v>46413</v>
      </c>
    </row>
    <row r="33" spans="1:17" ht="30" customHeight="1" x14ac:dyDescent="0.3">
      <c r="A33" s="10" t="s">
        <v>431</v>
      </c>
      <c r="B33" s="14">
        <v>46344</v>
      </c>
      <c r="C33" s="10" t="s">
        <v>341</v>
      </c>
      <c r="D33" s="10" t="s">
        <v>342</v>
      </c>
      <c r="E33" s="10" t="s">
        <v>343</v>
      </c>
      <c r="F33" s="10" t="s">
        <v>432</v>
      </c>
      <c r="G33" s="10" t="s">
        <v>345</v>
      </c>
      <c r="H33" s="10" t="s">
        <v>346</v>
      </c>
      <c r="I33" s="10" t="s">
        <v>165</v>
      </c>
      <c r="J33" s="10" t="s">
        <v>143</v>
      </c>
      <c r="K33" s="24">
        <v>0</v>
      </c>
      <c r="L33" s="24">
        <v>2</v>
      </c>
      <c r="M33" s="25">
        <v>185</v>
      </c>
      <c r="N33" s="10" t="s">
        <v>347</v>
      </c>
      <c r="O33" s="10"/>
      <c r="P33" s="26">
        <f t="shared" si="0"/>
        <v>0</v>
      </c>
      <c r="Q33" s="27">
        <f t="shared" si="1"/>
        <v>46525</v>
      </c>
    </row>
    <row r="34" spans="1:17" ht="30" customHeight="1" x14ac:dyDescent="0.3">
      <c r="A34" s="10" t="s">
        <v>433</v>
      </c>
      <c r="B34" s="14">
        <v>46332</v>
      </c>
      <c r="C34" s="10" t="s">
        <v>434</v>
      </c>
      <c r="D34" s="10" t="s">
        <v>435</v>
      </c>
      <c r="E34" s="10" t="s">
        <v>374</v>
      </c>
      <c r="F34" s="10" t="s">
        <v>436</v>
      </c>
      <c r="G34" s="10" t="s">
        <v>365</v>
      </c>
      <c r="H34" s="10"/>
      <c r="I34" s="10" t="s">
        <v>376</v>
      </c>
      <c r="J34" s="10" t="s">
        <v>143</v>
      </c>
      <c r="K34" s="24">
        <v>0</v>
      </c>
      <c r="L34" s="24">
        <v>4</v>
      </c>
      <c r="M34" s="25">
        <v>640</v>
      </c>
      <c r="N34" s="10"/>
      <c r="O34" s="10" t="s">
        <v>437</v>
      </c>
      <c r="P34" s="26">
        <f t="shared" si="0"/>
        <v>0</v>
      </c>
      <c r="Q34" s="27" t="str">
        <f t="shared" si="1"/>
        <v/>
      </c>
    </row>
    <row r="35" spans="1:17" ht="30" customHeight="1" x14ac:dyDescent="0.3">
      <c r="A35" s="10" t="s">
        <v>438</v>
      </c>
      <c r="B35" s="14">
        <v>46365</v>
      </c>
      <c r="C35" s="10" t="s">
        <v>368</v>
      </c>
      <c r="D35" s="10" t="s">
        <v>369</v>
      </c>
      <c r="E35" s="10" t="s">
        <v>370</v>
      </c>
      <c r="F35" s="10" t="s">
        <v>439</v>
      </c>
      <c r="G35" s="10" t="s">
        <v>365</v>
      </c>
      <c r="H35" s="10"/>
      <c r="I35" s="10" t="s">
        <v>376</v>
      </c>
      <c r="J35" s="10" t="s">
        <v>87</v>
      </c>
      <c r="K35" s="24">
        <v>0</v>
      </c>
      <c r="L35" s="24">
        <v>5</v>
      </c>
      <c r="M35" s="25">
        <v>90</v>
      </c>
      <c r="N35" s="10" t="s">
        <v>372</v>
      </c>
      <c r="O35" s="10"/>
      <c r="P35" s="26">
        <f t="shared" si="0"/>
        <v>0</v>
      </c>
      <c r="Q35" s="27">
        <f t="shared" si="1"/>
        <v>46730</v>
      </c>
    </row>
    <row r="36" spans="1:17" ht="30" customHeight="1" x14ac:dyDescent="0.3">
      <c r="A36" s="10" t="s">
        <v>440</v>
      </c>
      <c r="B36" s="14">
        <v>46367</v>
      </c>
      <c r="C36" s="10" t="s">
        <v>389</v>
      </c>
      <c r="D36" s="10" t="s">
        <v>390</v>
      </c>
      <c r="E36" s="10" t="s">
        <v>370</v>
      </c>
      <c r="F36" s="10" t="s">
        <v>441</v>
      </c>
      <c r="G36" s="10" t="s">
        <v>365</v>
      </c>
      <c r="H36" s="10"/>
      <c r="I36" s="10" t="s">
        <v>165</v>
      </c>
      <c r="J36" s="10" t="s">
        <v>143</v>
      </c>
      <c r="K36" s="24">
        <v>0</v>
      </c>
      <c r="L36" s="24">
        <v>1</v>
      </c>
      <c r="M36" s="25">
        <v>0</v>
      </c>
      <c r="N36" s="10" t="s">
        <v>387</v>
      </c>
      <c r="O36" s="10"/>
      <c r="P36" s="26">
        <f t="shared" si="0"/>
        <v>0</v>
      </c>
      <c r="Q36" s="27">
        <f t="shared" si="1"/>
        <v>46732</v>
      </c>
    </row>
    <row r="37" spans="1:17" ht="30" customHeight="1" x14ac:dyDescent="0.3">
      <c r="A37" s="10" t="s">
        <v>442</v>
      </c>
      <c r="B37" s="14">
        <v>46371</v>
      </c>
      <c r="C37" s="10" t="s">
        <v>443</v>
      </c>
      <c r="D37" s="10" t="s">
        <v>444</v>
      </c>
      <c r="E37" s="10" t="s">
        <v>401</v>
      </c>
      <c r="F37" s="10" t="s">
        <v>445</v>
      </c>
      <c r="G37" s="10" t="s">
        <v>345</v>
      </c>
      <c r="H37" s="10" t="s">
        <v>446</v>
      </c>
      <c r="I37" s="10" t="s">
        <v>165</v>
      </c>
      <c r="J37" s="10" t="s">
        <v>143</v>
      </c>
      <c r="K37" s="24">
        <v>0</v>
      </c>
      <c r="L37" s="24">
        <v>40</v>
      </c>
      <c r="M37" s="25">
        <v>24000</v>
      </c>
      <c r="N37" s="10" t="s">
        <v>372</v>
      </c>
      <c r="O37" s="10"/>
      <c r="P37" s="26">
        <f t="shared" ref="P37:P68" si="2">IF(K37="","",ROUND(K37*2088/1000,2))</f>
        <v>0</v>
      </c>
      <c r="Q37" s="27" t="str">
        <f t="shared" ref="Q37:Q68" si="3">IF(B37="","",IF(E37="Controlo de fugas F-gas",EDATE(B37,6),IF(E37="Limpeza e desinfeção",EDATE(B37,6),IF(E37="Preventiva",EDATE(B37,3),IF(E37="Inspeção",EDATE(B37,12),"")))))</f>
        <v/>
      </c>
    </row>
    <row r="38" spans="1:17" ht="30" customHeight="1" x14ac:dyDescent="0.3">
      <c r="A38" s="10"/>
      <c r="B38" s="14"/>
      <c r="C38" s="10"/>
      <c r="D38" s="10"/>
      <c r="E38" s="10"/>
      <c r="F38" s="10"/>
      <c r="G38" s="10"/>
      <c r="H38" s="10"/>
      <c r="I38" s="10"/>
      <c r="J38" s="10"/>
      <c r="K38" s="24"/>
      <c r="L38" s="24"/>
      <c r="M38" s="25"/>
      <c r="N38" s="10"/>
      <c r="O38" s="10"/>
      <c r="P38" s="26" t="str">
        <f t="shared" si="2"/>
        <v/>
      </c>
      <c r="Q38" s="27" t="str">
        <f t="shared" si="3"/>
        <v/>
      </c>
    </row>
    <row r="39" spans="1:17" ht="30" customHeight="1" x14ac:dyDescent="0.3">
      <c r="A39" s="10"/>
      <c r="B39" s="14"/>
      <c r="C39" s="10"/>
      <c r="D39" s="10"/>
      <c r="E39" s="10"/>
      <c r="F39" s="10"/>
      <c r="G39" s="10"/>
      <c r="H39" s="10"/>
      <c r="I39" s="10"/>
      <c r="J39" s="10"/>
      <c r="K39" s="24"/>
      <c r="L39" s="24"/>
      <c r="M39" s="25"/>
      <c r="N39" s="10"/>
      <c r="O39" s="10"/>
      <c r="P39" s="26" t="str">
        <f t="shared" si="2"/>
        <v/>
      </c>
      <c r="Q39" s="27" t="str">
        <f t="shared" si="3"/>
        <v/>
      </c>
    </row>
    <row r="40" spans="1:17" ht="30" customHeight="1" x14ac:dyDescent="0.3">
      <c r="A40" s="10"/>
      <c r="B40" s="14"/>
      <c r="C40" s="10"/>
      <c r="D40" s="10"/>
      <c r="E40" s="10"/>
      <c r="F40" s="10"/>
      <c r="G40" s="10"/>
      <c r="H40" s="10"/>
      <c r="I40" s="10"/>
      <c r="J40" s="10"/>
      <c r="K40" s="24"/>
      <c r="L40" s="24"/>
      <c r="M40" s="25"/>
      <c r="N40" s="10"/>
      <c r="O40" s="10"/>
      <c r="P40" s="26" t="str">
        <f t="shared" si="2"/>
        <v/>
      </c>
      <c r="Q40" s="27" t="str">
        <f t="shared" si="3"/>
        <v/>
      </c>
    </row>
    <row r="41" spans="1:17" ht="30" customHeight="1" x14ac:dyDescent="0.3">
      <c r="A41" s="10"/>
      <c r="B41" s="14"/>
      <c r="C41" s="10"/>
      <c r="D41" s="10"/>
      <c r="E41" s="10"/>
      <c r="F41" s="10"/>
      <c r="G41" s="10"/>
      <c r="H41" s="10"/>
      <c r="I41" s="10"/>
      <c r="J41" s="10"/>
      <c r="K41" s="24"/>
      <c r="L41" s="24"/>
      <c r="M41" s="25"/>
      <c r="N41" s="10"/>
      <c r="O41" s="10"/>
      <c r="P41" s="26" t="str">
        <f t="shared" si="2"/>
        <v/>
      </c>
      <c r="Q41" s="27" t="str">
        <f t="shared" si="3"/>
        <v/>
      </c>
    </row>
    <row r="42" spans="1:17" ht="30" customHeight="1" x14ac:dyDescent="0.3">
      <c r="A42" s="10"/>
      <c r="B42" s="14"/>
      <c r="C42" s="10"/>
      <c r="D42" s="10"/>
      <c r="E42" s="10"/>
      <c r="F42" s="10"/>
      <c r="G42" s="10"/>
      <c r="H42" s="10"/>
      <c r="I42" s="10"/>
      <c r="J42" s="10"/>
      <c r="K42" s="24"/>
      <c r="L42" s="24"/>
      <c r="M42" s="25"/>
      <c r="N42" s="10"/>
      <c r="O42" s="10"/>
      <c r="P42" s="26" t="str">
        <f t="shared" si="2"/>
        <v/>
      </c>
      <c r="Q42" s="27" t="str">
        <f t="shared" si="3"/>
        <v/>
      </c>
    </row>
    <row r="43" spans="1:17" ht="30" customHeight="1" x14ac:dyDescent="0.3">
      <c r="A43" s="10"/>
      <c r="B43" s="14"/>
      <c r="C43" s="10"/>
      <c r="D43" s="10"/>
      <c r="E43" s="10"/>
      <c r="F43" s="10"/>
      <c r="G43" s="10"/>
      <c r="H43" s="10"/>
      <c r="I43" s="10"/>
      <c r="J43" s="10"/>
      <c r="K43" s="24"/>
      <c r="L43" s="24"/>
      <c r="M43" s="25"/>
      <c r="N43" s="10"/>
      <c r="O43" s="10"/>
      <c r="P43" s="26" t="str">
        <f t="shared" si="2"/>
        <v/>
      </c>
      <c r="Q43" s="27" t="str">
        <f t="shared" si="3"/>
        <v/>
      </c>
    </row>
    <row r="44" spans="1:17" ht="30" customHeight="1" x14ac:dyDescent="0.3">
      <c r="A44" s="10"/>
      <c r="B44" s="14"/>
      <c r="C44" s="10"/>
      <c r="D44" s="10"/>
      <c r="E44" s="10"/>
      <c r="F44" s="10"/>
      <c r="G44" s="10"/>
      <c r="H44" s="10"/>
      <c r="I44" s="10"/>
      <c r="J44" s="10"/>
      <c r="K44" s="24"/>
      <c r="L44" s="24"/>
      <c r="M44" s="25"/>
      <c r="N44" s="10"/>
      <c r="O44" s="10"/>
      <c r="P44" s="26" t="str">
        <f t="shared" si="2"/>
        <v/>
      </c>
      <c r="Q44" s="27" t="str">
        <f t="shared" si="3"/>
        <v/>
      </c>
    </row>
    <row r="45" spans="1:17" ht="30" customHeight="1" x14ac:dyDescent="0.3">
      <c r="A45" s="10"/>
      <c r="B45" s="14"/>
      <c r="C45" s="10"/>
      <c r="D45" s="10"/>
      <c r="E45" s="10"/>
      <c r="F45" s="10"/>
      <c r="G45" s="10"/>
      <c r="H45" s="10"/>
      <c r="I45" s="10"/>
      <c r="J45" s="10"/>
      <c r="K45" s="24"/>
      <c r="L45" s="24"/>
      <c r="M45" s="25"/>
      <c r="N45" s="10"/>
      <c r="O45" s="10"/>
      <c r="P45" s="26" t="str">
        <f t="shared" si="2"/>
        <v/>
      </c>
      <c r="Q45" s="27" t="str">
        <f t="shared" si="3"/>
        <v/>
      </c>
    </row>
    <row r="46" spans="1:17" ht="30" customHeight="1" x14ac:dyDescent="0.3">
      <c r="A46" s="10"/>
      <c r="B46" s="14"/>
      <c r="C46" s="10"/>
      <c r="D46" s="10"/>
      <c r="E46" s="10"/>
      <c r="F46" s="10"/>
      <c r="G46" s="10"/>
      <c r="H46" s="10"/>
      <c r="I46" s="10"/>
      <c r="J46" s="10"/>
      <c r="K46" s="24"/>
      <c r="L46" s="24"/>
      <c r="M46" s="25"/>
      <c r="N46" s="10"/>
      <c r="O46" s="10"/>
      <c r="P46" s="26" t="str">
        <f t="shared" si="2"/>
        <v/>
      </c>
      <c r="Q46" s="27" t="str">
        <f t="shared" si="3"/>
        <v/>
      </c>
    </row>
    <row r="47" spans="1:17" ht="30" customHeight="1" x14ac:dyDescent="0.3">
      <c r="A47" s="10"/>
      <c r="B47" s="14"/>
      <c r="C47" s="10"/>
      <c r="D47" s="10"/>
      <c r="E47" s="10"/>
      <c r="F47" s="10"/>
      <c r="G47" s="10"/>
      <c r="H47" s="10"/>
      <c r="I47" s="10"/>
      <c r="J47" s="10"/>
      <c r="K47" s="24"/>
      <c r="L47" s="24"/>
      <c r="M47" s="25"/>
      <c r="N47" s="10"/>
      <c r="O47" s="10"/>
      <c r="P47" s="26" t="str">
        <f t="shared" si="2"/>
        <v/>
      </c>
      <c r="Q47" s="27" t="str">
        <f t="shared" si="3"/>
        <v/>
      </c>
    </row>
    <row r="48" spans="1:17" ht="30" customHeight="1" x14ac:dyDescent="0.3">
      <c r="A48" s="10"/>
      <c r="B48" s="14"/>
      <c r="C48" s="10"/>
      <c r="D48" s="10"/>
      <c r="E48" s="10"/>
      <c r="F48" s="10"/>
      <c r="G48" s="10"/>
      <c r="H48" s="10"/>
      <c r="I48" s="10"/>
      <c r="J48" s="10"/>
      <c r="K48" s="24"/>
      <c r="L48" s="24"/>
      <c r="M48" s="25"/>
      <c r="N48" s="10"/>
      <c r="O48" s="10"/>
      <c r="P48" s="26" t="str">
        <f t="shared" si="2"/>
        <v/>
      </c>
      <c r="Q48" s="27" t="str">
        <f t="shared" si="3"/>
        <v/>
      </c>
    </row>
    <row r="49" spans="1:17" ht="30" customHeight="1" x14ac:dyDescent="0.3">
      <c r="A49" s="10"/>
      <c r="B49" s="14"/>
      <c r="C49" s="10"/>
      <c r="D49" s="10"/>
      <c r="E49" s="10"/>
      <c r="F49" s="10"/>
      <c r="G49" s="10"/>
      <c r="H49" s="10"/>
      <c r="I49" s="10"/>
      <c r="J49" s="10"/>
      <c r="K49" s="24"/>
      <c r="L49" s="24"/>
      <c r="M49" s="25"/>
      <c r="N49" s="10"/>
      <c r="O49" s="10"/>
      <c r="P49" s="26" t="str">
        <f t="shared" si="2"/>
        <v/>
      </c>
      <c r="Q49" s="27" t="str">
        <f t="shared" si="3"/>
        <v/>
      </c>
    </row>
    <row r="50" spans="1:17" ht="30" customHeight="1" x14ac:dyDescent="0.3">
      <c r="A50" s="10"/>
      <c r="B50" s="14"/>
      <c r="C50" s="10"/>
      <c r="D50" s="10"/>
      <c r="E50" s="10"/>
      <c r="F50" s="10"/>
      <c r="G50" s="10"/>
      <c r="H50" s="10"/>
      <c r="I50" s="10"/>
      <c r="J50" s="10"/>
      <c r="K50" s="24"/>
      <c r="L50" s="24"/>
      <c r="M50" s="25"/>
      <c r="N50" s="10"/>
      <c r="O50" s="10"/>
      <c r="P50" s="26" t="str">
        <f t="shared" si="2"/>
        <v/>
      </c>
      <c r="Q50" s="27" t="str">
        <f t="shared" si="3"/>
        <v/>
      </c>
    </row>
    <row r="51" spans="1:17" ht="30" customHeight="1" x14ac:dyDescent="0.3">
      <c r="A51" s="10"/>
      <c r="B51" s="14"/>
      <c r="C51" s="10"/>
      <c r="D51" s="10"/>
      <c r="E51" s="10"/>
      <c r="F51" s="10"/>
      <c r="G51" s="10"/>
      <c r="H51" s="10"/>
      <c r="I51" s="10"/>
      <c r="J51" s="10"/>
      <c r="K51" s="24"/>
      <c r="L51" s="24"/>
      <c r="M51" s="25"/>
      <c r="N51" s="10"/>
      <c r="O51" s="10"/>
      <c r="P51" s="26" t="str">
        <f t="shared" si="2"/>
        <v/>
      </c>
      <c r="Q51" s="27" t="str">
        <f t="shared" si="3"/>
        <v/>
      </c>
    </row>
    <row r="52" spans="1:17" ht="30" customHeight="1" x14ac:dyDescent="0.3">
      <c r="A52" s="10"/>
      <c r="B52" s="14"/>
      <c r="C52" s="10"/>
      <c r="D52" s="10"/>
      <c r="E52" s="10"/>
      <c r="F52" s="10"/>
      <c r="G52" s="10"/>
      <c r="H52" s="10"/>
      <c r="I52" s="10"/>
      <c r="J52" s="10"/>
      <c r="K52" s="24"/>
      <c r="L52" s="24"/>
      <c r="M52" s="25"/>
      <c r="N52" s="10"/>
      <c r="O52" s="10"/>
      <c r="P52" s="26" t="str">
        <f t="shared" si="2"/>
        <v/>
      </c>
      <c r="Q52" s="27" t="str">
        <f t="shared" si="3"/>
        <v/>
      </c>
    </row>
    <row r="53" spans="1:17" ht="30" customHeight="1" x14ac:dyDescent="0.3">
      <c r="A53" s="10"/>
      <c r="B53" s="14"/>
      <c r="C53" s="10"/>
      <c r="D53" s="10"/>
      <c r="E53" s="10"/>
      <c r="F53" s="10"/>
      <c r="G53" s="10"/>
      <c r="H53" s="10"/>
      <c r="I53" s="10"/>
      <c r="J53" s="10"/>
      <c r="K53" s="24"/>
      <c r="L53" s="24"/>
      <c r="M53" s="25"/>
      <c r="N53" s="10"/>
      <c r="O53" s="10"/>
      <c r="P53" s="26" t="str">
        <f t="shared" si="2"/>
        <v/>
      </c>
      <c r="Q53" s="27" t="str">
        <f t="shared" si="3"/>
        <v/>
      </c>
    </row>
    <row r="54" spans="1:17" ht="30" customHeight="1" x14ac:dyDescent="0.3">
      <c r="A54" s="10"/>
      <c r="B54" s="14"/>
      <c r="C54" s="10"/>
      <c r="D54" s="10"/>
      <c r="E54" s="10"/>
      <c r="F54" s="10"/>
      <c r="G54" s="10"/>
      <c r="H54" s="10"/>
      <c r="I54" s="10"/>
      <c r="J54" s="10"/>
      <c r="K54" s="24"/>
      <c r="L54" s="24"/>
      <c r="M54" s="25"/>
      <c r="N54" s="10"/>
      <c r="O54" s="10"/>
      <c r="P54" s="26" t="str">
        <f t="shared" si="2"/>
        <v/>
      </c>
      <c r="Q54" s="27" t="str">
        <f t="shared" si="3"/>
        <v/>
      </c>
    </row>
    <row r="55" spans="1:17" ht="30" customHeight="1" x14ac:dyDescent="0.3">
      <c r="A55" s="10"/>
      <c r="B55" s="14"/>
      <c r="C55" s="10"/>
      <c r="D55" s="10"/>
      <c r="E55" s="10"/>
      <c r="F55" s="10"/>
      <c r="G55" s="10"/>
      <c r="H55" s="10"/>
      <c r="I55" s="10"/>
      <c r="J55" s="10"/>
      <c r="K55" s="24"/>
      <c r="L55" s="24"/>
      <c r="M55" s="25"/>
      <c r="N55" s="10"/>
      <c r="O55" s="10"/>
      <c r="P55" s="26" t="str">
        <f t="shared" si="2"/>
        <v/>
      </c>
      <c r="Q55" s="27" t="str">
        <f t="shared" si="3"/>
        <v/>
      </c>
    </row>
    <row r="56" spans="1:17" ht="30" customHeight="1" x14ac:dyDescent="0.3">
      <c r="A56" s="10"/>
      <c r="B56" s="14"/>
      <c r="C56" s="10"/>
      <c r="D56" s="10"/>
      <c r="E56" s="10"/>
      <c r="F56" s="10"/>
      <c r="G56" s="10"/>
      <c r="H56" s="10"/>
      <c r="I56" s="10"/>
      <c r="J56" s="10"/>
      <c r="K56" s="24"/>
      <c r="L56" s="24"/>
      <c r="M56" s="25"/>
      <c r="N56" s="10"/>
      <c r="O56" s="10"/>
      <c r="P56" s="26" t="str">
        <f t="shared" si="2"/>
        <v/>
      </c>
      <c r="Q56" s="27" t="str">
        <f t="shared" si="3"/>
        <v/>
      </c>
    </row>
    <row r="57" spans="1:17" ht="30" customHeight="1" x14ac:dyDescent="0.3">
      <c r="A57" s="10"/>
      <c r="B57" s="14"/>
      <c r="C57" s="10"/>
      <c r="D57" s="10"/>
      <c r="E57" s="10"/>
      <c r="F57" s="10"/>
      <c r="G57" s="10"/>
      <c r="H57" s="10"/>
      <c r="I57" s="10"/>
      <c r="J57" s="10"/>
      <c r="K57" s="24"/>
      <c r="L57" s="24"/>
      <c r="M57" s="25"/>
      <c r="N57" s="10"/>
      <c r="O57" s="10"/>
      <c r="P57" s="26" t="str">
        <f t="shared" si="2"/>
        <v/>
      </c>
      <c r="Q57" s="27" t="str">
        <f t="shared" si="3"/>
        <v/>
      </c>
    </row>
    <row r="58" spans="1:17" ht="30" customHeight="1" x14ac:dyDescent="0.3">
      <c r="A58" s="10"/>
      <c r="B58" s="14"/>
      <c r="C58" s="10"/>
      <c r="D58" s="10"/>
      <c r="E58" s="10"/>
      <c r="F58" s="10"/>
      <c r="G58" s="10"/>
      <c r="H58" s="10"/>
      <c r="I58" s="10"/>
      <c r="J58" s="10"/>
      <c r="K58" s="24"/>
      <c r="L58" s="24"/>
      <c r="M58" s="25"/>
      <c r="N58" s="10"/>
      <c r="O58" s="10"/>
      <c r="P58" s="26" t="str">
        <f t="shared" si="2"/>
        <v/>
      </c>
      <c r="Q58" s="27" t="str">
        <f t="shared" si="3"/>
        <v/>
      </c>
    </row>
    <row r="59" spans="1:17" ht="30" customHeight="1" x14ac:dyDescent="0.3">
      <c r="A59" s="10"/>
      <c r="B59" s="14"/>
      <c r="C59" s="10"/>
      <c r="D59" s="10"/>
      <c r="E59" s="10"/>
      <c r="F59" s="10"/>
      <c r="G59" s="10"/>
      <c r="H59" s="10"/>
      <c r="I59" s="10"/>
      <c r="J59" s="10"/>
      <c r="K59" s="24"/>
      <c r="L59" s="24"/>
      <c r="M59" s="25"/>
      <c r="N59" s="10"/>
      <c r="O59" s="10"/>
      <c r="P59" s="26" t="str">
        <f t="shared" si="2"/>
        <v/>
      </c>
      <c r="Q59" s="27" t="str">
        <f t="shared" si="3"/>
        <v/>
      </c>
    </row>
    <row r="60" spans="1:17" ht="30" customHeight="1" x14ac:dyDescent="0.3">
      <c r="A60" s="10"/>
      <c r="B60" s="14"/>
      <c r="C60" s="10"/>
      <c r="D60" s="10"/>
      <c r="E60" s="10"/>
      <c r="F60" s="10"/>
      <c r="G60" s="10"/>
      <c r="H60" s="10"/>
      <c r="I60" s="10"/>
      <c r="J60" s="10"/>
      <c r="K60" s="24"/>
      <c r="L60" s="24"/>
      <c r="M60" s="25"/>
      <c r="N60" s="10"/>
      <c r="O60" s="10"/>
      <c r="P60" s="26" t="str">
        <f t="shared" si="2"/>
        <v/>
      </c>
      <c r="Q60" s="27" t="str">
        <f t="shared" si="3"/>
        <v/>
      </c>
    </row>
    <row r="61" spans="1:17" ht="30" customHeight="1" x14ac:dyDescent="0.3">
      <c r="A61" s="10"/>
      <c r="B61" s="14"/>
      <c r="C61" s="10"/>
      <c r="D61" s="10"/>
      <c r="E61" s="10"/>
      <c r="F61" s="10"/>
      <c r="G61" s="10"/>
      <c r="H61" s="10"/>
      <c r="I61" s="10"/>
      <c r="J61" s="10"/>
      <c r="K61" s="24"/>
      <c r="L61" s="24"/>
      <c r="M61" s="25"/>
      <c r="N61" s="10"/>
      <c r="O61" s="10"/>
      <c r="P61" s="26" t="str">
        <f t="shared" si="2"/>
        <v/>
      </c>
      <c r="Q61" s="27" t="str">
        <f t="shared" si="3"/>
        <v/>
      </c>
    </row>
    <row r="62" spans="1:17" ht="30" customHeight="1" x14ac:dyDescent="0.3">
      <c r="A62" s="10"/>
      <c r="B62" s="14"/>
      <c r="C62" s="10"/>
      <c r="D62" s="10"/>
      <c r="E62" s="10"/>
      <c r="F62" s="10"/>
      <c r="G62" s="10"/>
      <c r="H62" s="10"/>
      <c r="I62" s="10"/>
      <c r="J62" s="10"/>
      <c r="K62" s="24"/>
      <c r="L62" s="24"/>
      <c r="M62" s="25"/>
      <c r="N62" s="10"/>
      <c r="O62" s="10"/>
      <c r="P62" s="26" t="str">
        <f t="shared" si="2"/>
        <v/>
      </c>
      <c r="Q62" s="27" t="str">
        <f t="shared" si="3"/>
        <v/>
      </c>
    </row>
    <row r="63" spans="1:17" ht="30" customHeight="1" x14ac:dyDescent="0.3">
      <c r="A63" s="10"/>
      <c r="B63" s="14"/>
      <c r="C63" s="10"/>
      <c r="D63" s="10"/>
      <c r="E63" s="10"/>
      <c r="F63" s="10"/>
      <c r="G63" s="10"/>
      <c r="H63" s="10"/>
      <c r="I63" s="10"/>
      <c r="J63" s="10"/>
      <c r="K63" s="24"/>
      <c r="L63" s="24"/>
      <c r="M63" s="25"/>
      <c r="N63" s="10"/>
      <c r="O63" s="10"/>
      <c r="P63" s="26" t="str">
        <f t="shared" si="2"/>
        <v/>
      </c>
      <c r="Q63" s="27" t="str">
        <f t="shared" si="3"/>
        <v/>
      </c>
    </row>
    <row r="64" spans="1:17" ht="30" customHeight="1" x14ac:dyDescent="0.3">
      <c r="A64" s="10"/>
      <c r="B64" s="14"/>
      <c r="C64" s="10"/>
      <c r="D64" s="10"/>
      <c r="E64" s="10"/>
      <c r="F64" s="10"/>
      <c r="G64" s="10"/>
      <c r="H64" s="10"/>
      <c r="I64" s="10"/>
      <c r="J64" s="10"/>
      <c r="K64" s="24"/>
      <c r="L64" s="24"/>
      <c r="M64" s="25"/>
      <c r="N64" s="10"/>
      <c r="O64" s="10"/>
      <c r="P64" s="26" t="str">
        <f t="shared" si="2"/>
        <v/>
      </c>
      <c r="Q64" s="27" t="str">
        <f t="shared" si="3"/>
        <v/>
      </c>
    </row>
    <row r="65" spans="1:17" ht="30" customHeight="1" x14ac:dyDescent="0.3">
      <c r="A65" s="10"/>
      <c r="B65" s="14"/>
      <c r="C65" s="10"/>
      <c r="D65" s="10"/>
      <c r="E65" s="10"/>
      <c r="F65" s="10"/>
      <c r="G65" s="10"/>
      <c r="H65" s="10"/>
      <c r="I65" s="10"/>
      <c r="J65" s="10"/>
      <c r="K65" s="24"/>
      <c r="L65" s="24"/>
      <c r="M65" s="25"/>
      <c r="N65" s="10"/>
      <c r="O65" s="10"/>
      <c r="P65" s="26" t="str">
        <f t="shared" si="2"/>
        <v/>
      </c>
      <c r="Q65" s="27" t="str">
        <f t="shared" si="3"/>
        <v/>
      </c>
    </row>
    <row r="66" spans="1:17" ht="30" customHeight="1" x14ac:dyDescent="0.3">
      <c r="A66" s="10"/>
      <c r="B66" s="14"/>
      <c r="C66" s="10"/>
      <c r="D66" s="10"/>
      <c r="E66" s="10"/>
      <c r="F66" s="10"/>
      <c r="G66" s="10"/>
      <c r="H66" s="10"/>
      <c r="I66" s="10"/>
      <c r="J66" s="10"/>
      <c r="K66" s="24"/>
      <c r="L66" s="24"/>
      <c r="M66" s="25"/>
      <c r="N66" s="10"/>
      <c r="O66" s="10"/>
      <c r="P66" s="26" t="str">
        <f t="shared" si="2"/>
        <v/>
      </c>
      <c r="Q66" s="27" t="str">
        <f t="shared" si="3"/>
        <v/>
      </c>
    </row>
    <row r="67" spans="1:17" ht="30" customHeight="1" x14ac:dyDescent="0.3">
      <c r="A67" s="10"/>
      <c r="B67" s="14"/>
      <c r="C67" s="10"/>
      <c r="D67" s="10"/>
      <c r="E67" s="10"/>
      <c r="F67" s="10"/>
      <c r="G67" s="10"/>
      <c r="H67" s="10"/>
      <c r="I67" s="10"/>
      <c r="J67" s="10"/>
      <c r="K67" s="24"/>
      <c r="L67" s="24"/>
      <c r="M67" s="25"/>
      <c r="N67" s="10"/>
      <c r="O67" s="10"/>
      <c r="P67" s="26" t="str">
        <f t="shared" si="2"/>
        <v/>
      </c>
      <c r="Q67" s="27" t="str">
        <f t="shared" si="3"/>
        <v/>
      </c>
    </row>
    <row r="68" spans="1:17" ht="30" customHeight="1" x14ac:dyDescent="0.3">
      <c r="A68" s="10"/>
      <c r="B68" s="14"/>
      <c r="C68" s="10"/>
      <c r="D68" s="10"/>
      <c r="E68" s="10"/>
      <c r="F68" s="10"/>
      <c r="G68" s="10"/>
      <c r="H68" s="10"/>
      <c r="I68" s="10"/>
      <c r="J68" s="10"/>
      <c r="K68" s="24"/>
      <c r="L68" s="24"/>
      <c r="M68" s="25"/>
      <c r="N68" s="10"/>
      <c r="O68" s="10"/>
      <c r="P68" s="26" t="str">
        <f t="shared" si="2"/>
        <v/>
      </c>
      <c r="Q68" s="27" t="str">
        <f t="shared" si="3"/>
        <v/>
      </c>
    </row>
    <row r="69" spans="1:17" ht="30" customHeight="1" x14ac:dyDescent="0.3">
      <c r="A69" s="10"/>
      <c r="B69" s="14"/>
      <c r="C69" s="10"/>
      <c r="D69" s="10"/>
      <c r="E69" s="10"/>
      <c r="F69" s="10"/>
      <c r="G69" s="10"/>
      <c r="H69" s="10"/>
      <c r="I69" s="10"/>
      <c r="J69" s="10"/>
      <c r="K69" s="24"/>
      <c r="L69" s="24"/>
      <c r="M69" s="25"/>
      <c r="N69" s="10"/>
      <c r="O69" s="10"/>
      <c r="P69" s="26" t="str">
        <f t="shared" ref="P69:P77" si="4">IF(K69="","",ROUND(K69*2088/1000,2))</f>
        <v/>
      </c>
      <c r="Q69" s="27" t="str">
        <f t="shared" ref="Q69:Q77" si="5">IF(B69="","",IF(E69="Controlo de fugas F-gas",EDATE(B69,6),IF(E69="Limpeza e desinfeção",EDATE(B69,6),IF(E69="Preventiva",EDATE(B69,3),IF(E69="Inspeção",EDATE(B69,12),"")))))</f>
        <v/>
      </c>
    </row>
    <row r="70" spans="1:17" ht="30" customHeight="1" x14ac:dyDescent="0.3">
      <c r="A70" s="10"/>
      <c r="B70" s="14"/>
      <c r="C70" s="10"/>
      <c r="D70" s="10"/>
      <c r="E70" s="10"/>
      <c r="F70" s="10"/>
      <c r="G70" s="10"/>
      <c r="H70" s="10"/>
      <c r="I70" s="10"/>
      <c r="J70" s="10"/>
      <c r="K70" s="24"/>
      <c r="L70" s="24"/>
      <c r="M70" s="25"/>
      <c r="N70" s="10"/>
      <c r="O70" s="10"/>
      <c r="P70" s="26" t="str">
        <f t="shared" si="4"/>
        <v/>
      </c>
      <c r="Q70" s="27" t="str">
        <f t="shared" si="5"/>
        <v/>
      </c>
    </row>
    <row r="71" spans="1:17" ht="30" customHeight="1" x14ac:dyDescent="0.3">
      <c r="A71" s="10"/>
      <c r="B71" s="14"/>
      <c r="C71" s="10"/>
      <c r="D71" s="10"/>
      <c r="E71" s="10"/>
      <c r="F71" s="10"/>
      <c r="G71" s="10"/>
      <c r="H71" s="10"/>
      <c r="I71" s="10"/>
      <c r="J71" s="10"/>
      <c r="K71" s="24"/>
      <c r="L71" s="24"/>
      <c r="M71" s="25"/>
      <c r="N71" s="10"/>
      <c r="O71" s="10"/>
      <c r="P71" s="26" t="str">
        <f t="shared" si="4"/>
        <v/>
      </c>
      <c r="Q71" s="27" t="str">
        <f t="shared" si="5"/>
        <v/>
      </c>
    </row>
    <row r="72" spans="1:17" ht="30" customHeight="1" x14ac:dyDescent="0.3">
      <c r="A72" s="10"/>
      <c r="B72" s="14"/>
      <c r="C72" s="10"/>
      <c r="D72" s="10"/>
      <c r="E72" s="10"/>
      <c r="F72" s="10"/>
      <c r="G72" s="10"/>
      <c r="H72" s="10"/>
      <c r="I72" s="10"/>
      <c r="J72" s="10"/>
      <c r="K72" s="24"/>
      <c r="L72" s="24"/>
      <c r="M72" s="25"/>
      <c r="N72" s="10"/>
      <c r="O72" s="10"/>
      <c r="P72" s="26" t="str">
        <f t="shared" si="4"/>
        <v/>
      </c>
      <c r="Q72" s="27" t="str">
        <f t="shared" si="5"/>
        <v/>
      </c>
    </row>
    <row r="73" spans="1:17" ht="30" customHeight="1" x14ac:dyDescent="0.3">
      <c r="A73" s="10"/>
      <c r="B73" s="14"/>
      <c r="C73" s="10"/>
      <c r="D73" s="10"/>
      <c r="E73" s="10"/>
      <c r="F73" s="10"/>
      <c r="G73" s="10"/>
      <c r="H73" s="10"/>
      <c r="I73" s="10"/>
      <c r="J73" s="10"/>
      <c r="K73" s="24"/>
      <c r="L73" s="24"/>
      <c r="M73" s="25"/>
      <c r="N73" s="10"/>
      <c r="O73" s="10"/>
      <c r="P73" s="26" t="str">
        <f t="shared" si="4"/>
        <v/>
      </c>
      <c r="Q73" s="27" t="str">
        <f t="shared" si="5"/>
        <v/>
      </c>
    </row>
    <row r="74" spans="1:17" ht="30" customHeight="1" x14ac:dyDescent="0.3">
      <c r="A74" s="10"/>
      <c r="B74" s="14"/>
      <c r="C74" s="10"/>
      <c r="D74" s="10"/>
      <c r="E74" s="10"/>
      <c r="F74" s="10"/>
      <c r="G74" s="10"/>
      <c r="H74" s="10"/>
      <c r="I74" s="10"/>
      <c r="J74" s="10"/>
      <c r="K74" s="24"/>
      <c r="L74" s="24"/>
      <c r="M74" s="25"/>
      <c r="N74" s="10"/>
      <c r="O74" s="10"/>
      <c r="P74" s="26" t="str">
        <f t="shared" si="4"/>
        <v/>
      </c>
      <c r="Q74" s="27" t="str">
        <f t="shared" si="5"/>
        <v/>
      </c>
    </row>
    <row r="75" spans="1:17" ht="30" customHeight="1" x14ac:dyDescent="0.3">
      <c r="A75" s="10"/>
      <c r="B75" s="14"/>
      <c r="C75" s="10"/>
      <c r="D75" s="10"/>
      <c r="E75" s="10"/>
      <c r="F75" s="10"/>
      <c r="G75" s="10"/>
      <c r="H75" s="10"/>
      <c r="I75" s="10"/>
      <c r="J75" s="10"/>
      <c r="K75" s="24"/>
      <c r="L75" s="24"/>
      <c r="M75" s="25"/>
      <c r="N75" s="10"/>
      <c r="O75" s="10"/>
      <c r="P75" s="26" t="str">
        <f t="shared" si="4"/>
        <v/>
      </c>
      <c r="Q75" s="27" t="str">
        <f t="shared" si="5"/>
        <v/>
      </c>
    </row>
    <row r="76" spans="1:17" ht="30" customHeight="1" x14ac:dyDescent="0.3">
      <c r="A76" s="10"/>
      <c r="B76" s="14"/>
      <c r="C76" s="10"/>
      <c r="D76" s="10"/>
      <c r="E76" s="10"/>
      <c r="F76" s="10"/>
      <c r="G76" s="10"/>
      <c r="H76" s="10"/>
      <c r="I76" s="10"/>
      <c r="J76" s="10"/>
      <c r="K76" s="24"/>
      <c r="L76" s="24"/>
      <c r="M76" s="25"/>
      <c r="N76" s="10"/>
      <c r="O76" s="10"/>
      <c r="P76" s="26" t="str">
        <f t="shared" si="4"/>
        <v/>
      </c>
      <c r="Q76" s="27" t="str">
        <f t="shared" si="5"/>
        <v/>
      </c>
    </row>
    <row r="77" spans="1:17" ht="30" customHeight="1" x14ac:dyDescent="0.3">
      <c r="A77" s="10"/>
      <c r="B77" s="14"/>
      <c r="C77" s="10"/>
      <c r="D77" s="10"/>
      <c r="E77" s="10"/>
      <c r="F77" s="10"/>
      <c r="G77" s="10"/>
      <c r="H77" s="10"/>
      <c r="I77" s="10"/>
      <c r="J77" s="10"/>
      <c r="K77" s="24"/>
      <c r="L77" s="24"/>
      <c r="M77" s="25"/>
      <c r="N77" s="10"/>
      <c r="O77" s="10"/>
      <c r="P77" s="26" t="str">
        <f t="shared" si="4"/>
        <v/>
      </c>
      <c r="Q77" s="27" t="str">
        <f t="shared" si="5"/>
        <v/>
      </c>
    </row>
  </sheetData>
  <conditionalFormatting sqref="I5:I277">
    <cfRule type="expression" dxfId="3" priority="1">
      <formula>ISNUMBER(SEARCH("Não conforme",I5))</formula>
    </cfRule>
    <cfRule type="expression" dxfId="2" priority="2">
      <formula>ISNUMBER(SEARCH("Corrigido",I5))</formula>
    </cfRule>
    <cfRule type="expression" dxfId="1" priority="3">
      <formula>ISNUMBER(SEARCH("Conforme",I5))</formula>
    </cfRule>
  </conditionalFormatting>
  <conditionalFormatting sqref="J5:J277">
    <cfRule type="expression" dxfId="0" priority="4">
      <formula>ISNUMBER(SEARCH("Sim",J5))</formula>
    </cfRule>
  </conditionalFormatting>
  <dataValidations count="4">
    <dataValidation type="list" allowBlank="1" showErrorMessage="1" errorTitle="Valor inválido" error="Valor fora da lista controlada (ver folha Listas)." sqref="E5:E277" xr:uid="{00000000-0002-0000-0500-000000000000}">
      <formula1>lst_MA_Tipo</formula1>
    </dataValidation>
    <dataValidation type="list" allowBlank="1" showErrorMessage="1" errorTitle="Valor inválido" error="Valor fora da lista controlada (ver folha Listas)." sqref="G5:G277" xr:uid="{00000000-0002-0000-0500-000001000000}">
      <formula1>lst_MA_Exec</formula1>
    </dataValidation>
    <dataValidation type="list" allowBlank="1" showErrorMessage="1" errorTitle="Valor inválido" error="Valor fora da lista controlada (ver folha Listas)." sqref="I5:I277" xr:uid="{00000000-0002-0000-0500-000002000000}">
      <formula1>lst_MA_Res</formula1>
    </dataValidation>
    <dataValidation type="list" allowBlank="1" showErrorMessage="1" errorTitle="Valor inválido" error="Valor fora da lista controlada (ver folha Listas)." sqref="J5:J277" xr:uid="{00000000-0002-0000-0500-000003000000}">
      <formula1>lst_MA_SimNao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2" customWidth="1"/>
    <col min="3" max="3" width="16" customWidth="1"/>
    <col min="4" max="4" width="48" customWidth="1"/>
    <col min="5" max="6" width="16" customWidth="1"/>
    <col min="7" max="7" width="25" customWidth="1"/>
    <col min="8" max="8" width="17" customWidth="1"/>
    <col min="9" max="10" width="16" customWidth="1"/>
  </cols>
  <sheetData>
    <row r="1" spans="1:10" x14ac:dyDescent="0.3">
      <c r="A1" s="18" t="s">
        <v>447</v>
      </c>
    </row>
    <row r="2" spans="1:10" x14ac:dyDescent="0.3">
      <c r="A2" s="28" t="s">
        <v>448</v>
      </c>
      <c r="B2" s="28" t="s">
        <v>63</v>
      </c>
      <c r="C2" s="28" t="s">
        <v>449</v>
      </c>
      <c r="D2" s="28" t="s">
        <v>450</v>
      </c>
      <c r="E2" s="28" t="s">
        <v>157</v>
      </c>
      <c r="F2" s="28" t="s">
        <v>451</v>
      </c>
      <c r="G2" s="28" t="s">
        <v>452</v>
      </c>
      <c r="H2" s="28" t="s">
        <v>453</v>
      </c>
      <c r="I2" s="28" t="s">
        <v>454</v>
      </c>
      <c r="J2" s="28" t="s">
        <v>455</v>
      </c>
    </row>
    <row r="3" spans="1:10" x14ac:dyDescent="0.3">
      <c r="A3" s="29">
        <v>46387</v>
      </c>
      <c r="B3" s="6" t="s">
        <v>78</v>
      </c>
      <c r="C3" s="6" t="s">
        <v>138</v>
      </c>
      <c r="D3" s="6" t="s">
        <v>456</v>
      </c>
      <c r="E3" s="6" t="s">
        <v>165</v>
      </c>
      <c r="F3" s="6" t="s">
        <v>87</v>
      </c>
      <c r="G3" s="6" t="s">
        <v>343</v>
      </c>
      <c r="H3" s="6" t="s">
        <v>365</v>
      </c>
      <c r="I3" s="6" t="s">
        <v>165</v>
      </c>
      <c r="J3" s="6" t="s">
        <v>87</v>
      </c>
    </row>
    <row r="4" spans="1:10" x14ac:dyDescent="0.3">
      <c r="B4" s="6" t="s">
        <v>96</v>
      </c>
      <c r="C4" s="6" t="s">
        <v>89</v>
      </c>
      <c r="D4" s="6" t="s">
        <v>457</v>
      </c>
      <c r="E4" s="6" t="s">
        <v>166</v>
      </c>
      <c r="F4" s="6" t="s">
        <v>143</v>
      </c>
      <c r="G4" s="6" t="s">
        <v>358</v>
      </c>
      <c r="H4" s="6" t="s">
        <v>345</v>
      </c>
      <c r="I4" s="6" t="s">
        <v>166</v>
      </c>
      <c r="J4" s="6" t="s">
        <v>143</v>
      </c>
    </row>
    <row r="5" spans="1:10" x14ac:dyDescent="0.3">
      <c r="B5" s="6" t="s">
        <v>110</v>
      </c>
      <c r="C5" s="6" t="s">
        <v>104</v>
      </c>
      <c r="D5" s="6" t="s">
        <v>84</v>
      </c>
      <c r="E5" s="6" t="s">
        <v>458</v>
      </c>
      <c r="G5" s="6" t="s">
        <v>374</v>
      </c>
      <c r="I5" s="6" t="s">
        <v>376</v>
      </c>
    </row>
    <row r="6" spans="1:10" x14ac:dyDescent="0.3">
      <c r="B6" s="6" t="s">
        <v>125</v>
      </c>
      <c r="C6" s="6" t="s">
        <v>459</v>
      </c>
      <c r="D6" s="6" t="s">
        <v>460</v>
      </c>
      <c r="G6" s="6" t="s">
        <v>351</v>
      </c>
    </row>
    <row r="7" spans="1:10" x14ac:dyDescent="0.3">
      <c r="B7" s="6" t="s">
        <v>137</v>
      </c>
      <c r="C7" s="6" t="s">
        <v>79</v>
      </c>
      <c r="D7" s="6" t="s">
        <v>461</v>
      </c>
      <c r="G7" s="6" t="s">
        <v>370</v>
      </c>
    </row>
    <row r="8" spans="1:10" x14ac:dyDescent="0.3">
      <c r="C8" s="6" t="s">
        <v>462</v>
      </c>
      <c r="D8" s="6" t="s">
        <v>463</v>
      </c>
      <c r="G8" s="6" t="s">
        <v>401</v>
      </c>
    </row>
    <row r="9" spans="1:10" x14ac:dyDescent="0.3">
      <c r="C9" s="6" t="s">
        <v>464</v>
      </c>
      <c r="D9" s="6" t="s">
        <v>93</v>
      </c>
    </row>
    <row r="10" spans="1:10" x14ac:dyDescent="0.3">
      <c r="C10" s="6" t="s">
        <v>97</v>
      </c>
      <c r="D10" s="6" t="s">
        <v>465</v>
      </c>
    </row>
    <row r="11" spans="1:10" x14ac:dyDescent="0.3">
      <c r="C11" s="6" t="s">
        <v>466</v>
      </c>
      <c r="D11" s="6" t="s">
        <v>467</v>
      </c>
    </row>
    <row r="12" spans="1:10" x14ac:dyDescent="0.3">
      <c r="C12" s="6" t="s">
        <v>126</v>
      </c>
      <c r="D12" s="6" t="s">
        <v>468</v>
      </c>
    </row>
    <row r="13" spans="1:10" x14ac:dyDescent="0.3">
      <c r="C13" s="6" t="s">
        <v>469</v>
      </c>
      <c r="D13" s="6" t="s">
        <v>470</v>
      </c>
    </row>
    <row r="14" spans="1:10" x14ac:dyDescent="0.3">
      <c r="C14" s="6" t="s">
        <v>471</v>
      </c>
      <c r="D14" s="6" t="s">
        <v>472</v>
      </c>
    </row>
    <row r="15" spans="1:10" x14ac:dyDescent="0.3">
      <c r="C15" s="6" t="s">
        <v>473</v>
      </c>
      <c r="D15" s="6" t="s">
        <v>474</v>
      </c>
    </row>
    <row r="16" spans="1:10" x14ac:dyDescent="0.3">
      <c r="C16" s="6" t="s">
        <v>475</v>
      </c>
      <c r="D16" s="6" t="s">
        <v>476</v>
      </c>
    </row>
    <row r="17" spans="3:4" x14ac:dyDescent="0.3">
      <c r="C17" s="6" t="s">
        <v>477</v>
      </c>
      <c r="D17" s="6" t="s">
        <v>478</v>
      </c>
    </row>
    <row r="18" spans="3:4" x14ac:dyDescent="0.3">
      <c r="C18" s="6" t="s">
        <v>111</v>
      </c>
      <c r="D18" s="6" t="s">
        <v>101</v>
      </c>
    </row>
    <row r="19" spans="3:4" x14ac:dyDescent="0.3">
      <c r="D19" s="6" t="s">
        <v>116</v>
      </c>
    </row>
    <row r="20" spans="3:4" x14ac:dyDescent="0.3">
      <c r="D20" s="6" t="s">
        <v>141</v>
      </c>
    </row>
    <row r="21" spans="3:4" x14ac:dyDescent="0.3">
      <c r="D21" s="6" t="s">
        <v>151</v>
      </c>
    </row>
    <row r="22" spans="3:4" x14ac:dyDescent="0.3">
      <c r="D22" s="6" t="s">
        <v>479</v>
      </c>
    </row>
    <row r="23" spans="3:4" x14ac:dyDescent="0.3">
      <c r="D23" s="6" t="s">
        <v>480</v>
      </c>
    </row>
    <row r="24" spans="3:4" x14ac:dyDescent="0.3">
      <c r="D24" s="6" t="s">
        <v>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482</v>
      </c>
      <c r="B1" s="8" t="s">
        <v>483</v>
      </c>
      <c r="C1" s="8" t="s">
        <v>484</v>
      </c>
      <c r="D1" s="8" t="s">
        <v>485</v>
      </c>
      <c r="E1" s="8" t="s">
        <v>486</v>
      </c>
      <c r="F1" s="8" t="s">
        <v>329</v>
      </c>
      <c r="G1" s="8" t="s">
        <v>487</v>
      </c>
      <c r="H1" s="8" t="s">
        <v>488</v>
      </c>
      <c r="I1" s="8" t="s">
        <v>489</v>
      </c>
    </row>
    <row r="2" spans="1:9" x14ac:dyDescent="0.3">
      <c r="A2" s="30" t="s">
        <v>28</v>
      </c>
      <c r="B2" s="30" t="s">
        <v>490</v>
      </c>
      <c r="C2" s="30" t="s">
        <v>62</v>
      </c>
      <c r="D2" s="30" t="s">
        <v>491</v>
      </c>
      <c r="E2" s="30" t="s">
        <v>492</v>
      </c>
      <c r="F2" s="30" t="s">
        <v>493</v>
      </c>
      <c r="G2" s="30"/>
      <c r="H2" s="30" t="s">
        <v>87</v>
      </c>
      <c r="I2" s="30" t="s">
        <v>494</v>
      </c>
    </row>
    <row r="3" spans="1:9" x14ac:dyDescent="0.3">
      <c r="A3" s="30" t="s">
        <v>28</v>
      </c>
      <c r="B3" s="30" t="s">
        <v>490</v>
      </c>
      <c r="C3" s="30" t="s">
        <v>63</v>
      </c>
      <c r="D3" s="30" t="s">
        <v>491</v>
      </c>
      <c r="E3" s="30" t="s">
        <v>492</v>
      </c>
      <c r="F3" s="30" t="s">
        <v>495</v>
      </c>
      <c r="G3" s="30" t="s">
        <v>496</v>
      </c>
      <c r="H3" s="30" t="s">
        <v>87</v>
      </c>
      <c r="I3" s="30"/>
    </row>
    <row r="4" spans="1:9" x14ac:dyDescent="0.3">
      <c r="A4" s="30" t="s">
        <v>28</v>
      </c>
      <c r="B4" s="30" t="s">
        <v>490</v>
      </c>
      <c r="C4" s="30" t="s">
        <v>64</v>
      </c>
      <c r="D4" s="30" t="s">
        <v>491</v>
      </c>
      <c r="E4" s="30" t="s">
        <v>492</v>
      </c>
      <c r="F4" s="30" t="s">
        <v>497</v>
      </c>
      <c r="G4" s="30" t="s">
        <v>498</v>
      </c>
      <c r="H4" s="30" t="s">
        <v>87</v>
      </c>
      <c r="I4" s="30"/>
    </row>
    <row r="5" spans="1:9" x14ac:dyDescent="0.3">
      <c r="A5" s="30" t="s">
        <v>28</v>
      </c>
      <c r="B5" s="30" t="s">
        <v>490</v>
      </c>
      <c r="C5" s="30" t="s">
        <v>65</v>
      </c>
      <c r="D5" s="30" t="s">
        <v>491</v>
      </c>
      <c r="E5" s="30" t="s">
        <v>492</v>
      </c>
      <c r="F5" s="30" t="s">
        <v>499</v>
      </c>
      <c r="G5" s="30"/>
      <c r="H5" s="30" t="s">
        <v>87</v>
      </c>
      <c r="I5" s="30"/>
    </row>
    <row r="6" spans="1:9" x14ac:dyDescent="0.3">
      <c r="A6" s="30" t="s">
        <v>28</v>
      </c>
      <c r="B6" s="30" t="s">
        <v>490</v>
      </c>
      <c r="C6" s="30" t="s">
        <v>66</v>
      </c>
      <c r="D6" s="30" t="s">
        <v>491</v>
      </c>
      <c r="E6" s="30" t="s">
        <v>492</v>
      </c>
      <c r="F6" s="30" t="s">
        <v>500</v>
      </c>
      <c r="G6" s="30"/>
      <c r="H6" s="30" t="s">
        <v>87</v>
      </c>
      <c r="I6" s="30"/>
    </row>
    <row r="7" spans="1:9" x14ac:dyDescent="0.3">
      <c r="A7" s="30" t="s">
        <v>28</v>
      </c>
      <c r="B7" s="30" t="s">
        <v>490</v>
      </c>
      <c r="C7" s="30" t="s">
        <v>67</v>
      </c>
      <c r="D7" s="30" t="s">
        <v>491</v>
      </c>
      <c r="E7" s="30" t="s">
        <v>492</v>
      </c>
      <c r="F7" s="30" t="s">
        <v>501</v>
      </c>
      <c r="G7" s="30"/>
      <c r="H7" s="30" t="s">
        <v>87</v>
      </c>
      <c r="I7" s="30"/>
    </row>
    <row r="8" spans="1:9" x14ac:dyDescent="0.3">
      <c r="A8" s="30" t="s">
        <v>28</v>
      </c>
      <c r="B8" s="30" t="s">
        <v>490</v>
      </c>
      <c r="C8" s="30" t="s">
        <v>68</v>
      </c>
      <c r="D8" s="30" t="s">
        <v>491</v>
      </c>
      <c r="E8" s="30" t="s">
        <v>492</v>
      </c>
      <c r="F8" s="30" t="s">
        <v>502</v>
      </c>
      <c r="G8" s="30"/>
      <c r="H8" s="30" t="s">
        <v>87</v>
      </c>
      <c r="I8" s="30"/>
    </row>
    <row r="9" spans="1:9" x14ac:dyDescent="0.3">
      <c r="A9" s="30" t="s">
        <v>28</v>
      </c>
      <c r="B9" s="30" t="s">
        <v>490</v>
      </c>
      <c r="C9" s="30" t="s">
        <v>69</v>
      </c>
      <c r="D9" s="30" t="s">
        <v>491</v>
      </c>
      <c r="E9" s="30" t="s">
        <v>492</v>
      </c>
      <c r="F9" s="30" t="s">
        <v>503</v>
      </c>
      <c r="G9" s="30" t="s">
        <v>504</v>
      </c>
      <c r="H9" s="30" t="s">
        <v>87</v>
      </c>
      <c r="I9" s="30"/>
    </row>
    <row r="10" spans="1:9" ht="26.4" x14ac:dyDescent="0.3">
      <c r="A10" s="30" t="s">
        <v>28</v>
      </c>
      <c r="B10" s="30" t="s">
        <v>490</v>
      </c>
      <c r="C10" s="30" t="s">
        <v>70</v>
      </c>
      <c r="D10" s="30" t="s">
        <v>491</v>
      </c>
      <c r="E10" s="30" t="s">
        <v>492</v>
      </c>
      <c r="F10" s="30" t="s">
        <v>505</v>
      </c>
      <c r="G10" s="30"/>
      <c r="H10" s="30" t="s">
        <v>87</v>
      </c>
      <c r="I10" s="30" t="s">
        <v>506</v>
      </c>
    </row>
    <row r="11" spans="1:9" x14ac:dyDescent="0.3">
      <c r="A11" s="30" t="s">
        <v>28</v>
      </c>
      <c r="B11" s="30" t="s">
        <v>490</v>
      </c>
      <c r="C11" s="30" t="s">
        <v>71</v>
      </c>
      <c r="D11" s="30" t="s">
        <v>491</v>
      </c>
      <c r="E11" s="30" t="s">
        <v>492</v>
      </c>
      <c r="F11" s="30" t="s">
        <v>507</v>
      </c>
      <c r="G11" s="30"/>
      <c r="H11" s="30" t="s">
        <v>87</v>
      </c>
      <c r="I11" s="30"/>
    </row>
    <row r="12" spans="1:9" x14ac:dyDescent="0.3">
      <c r="A12" s="30" t="s">
        <v>28</v>
      </c>
      <c r="B12" s="30" t="s">
        <v>490</v>
      </c>
      <c r="C12" s="30" t="s">
        <v>72</v>
      </c>
      <c r="D12" s="30" t="s">
        <v>491</v>
      </c>
      <c r="E12" s="30" t="s">
        <v>492</v>
      </c>
      <c r="F12" s="30" t="s">
        <v>508</v>
      </c>
      <c r="G12" s="30" t="s">
        <v>509</v>
      </c>
      <c r="H12" s="30" t="s">
        <v>87</v>
      </c>
      <c r="I12" s="30"/>
    </row>
    <row r="13" spans="1:9" x14ac:dyDescent="0.3">
      <c r="A13" s="30" t="s">
        <v>28</v>
      </c>
      <c r="B13" s="30" t="s">
        <v>490</v>
      </c>
      <c r="C13" s="30" t="s">
        <v>73</v>
      </c>
      <c r="D13" s="30" t="s">
        <v>510</v>
      </c>
      <c r="E13" s="30" t="s">
        <v>511</v>
      </c>
      <c r="F13" s="30" t="s">
        <v>512</v>
      </c>
      <c r="G13" s="30"/>
      <c r="H13" s="30" t="s">
        <v>87</v>
      </c>
      <c r="I13" s="30"/>
    </row>
    <row r="14" spans="1:9" ht="26.4" x14ac:dyDescent="0.3">
      <c r="A14" s="30" t="s">
        <v>28</v>
      </c>
      <c r="B14" s="30" t="s">
        <v>490</v>
      </c>
      <c r="C14" s="30" t="s">
        <v>74</v>
      </c>
      <c r="D14" s="30" t="s">
        <v>513</v>
      </c>
      <c r="E14" s="30" t="s">
        <v>511</v>
      </c>
      <c r="F14" s="30" t="s">
        <v>514</v>
      </c>
      <c r="G14" s="30"/>
      <c r="H14" s="30" t="s">
        <v>87</v>
      </c>
      <c r="I14" s="30"/>
    </row>
    <row r="15" spans="1:9" ht="26.4" x14ac:dyDescent="0.3">
      <c r="A15" s="30" t="s">
        <v>28</v>
      </c>
      <c r="B15" s="30" t="s">
        <v>490</v>
      </c>
      <c r="C15" s="30" t="s">
        <v>75</v>
      </c>
      <c r="D15" s="30" t="s">
        <v>513</v>
      </c>
      <c r="E15" s="30" t="s">
        <v>511</v>
      </c>
      <c r="F15" s="30" t="s">
        <v>515</v>
      </c>
      <c r="G15" s="30"/>
      <c r="H15" s="30" t="s">
        <v>87</v>
      </c>
      <c r="I15" s="30"/>
    </row>
    <row r="16" spans="1:9" x14ac:dyDescent="0.3">
      <c r="A16" s="30" t="s">
        <v>28</v>
      </c>
      <c r="B16" s="30" t="s">
        <v>490</v>
      </c>
      <c r="C16" s="30" t="s">
        <v>76</v>
      </c>
      <c r="D16" s="30" t="s">
        <v>491</v>
      </c>
      <c r="E16" s="30" t="s">
        <v>511</v>
      </c>
      <c r="F16" s="30" t="s">
        <v>516</v>
      </c>
      <c r="G16" s="30"/>
      <c r="H16" s="30" t="s">
        <v>87</v>
      </c>
      <c r="I16" s="30"/>
    </row>
    <row r="17" spans="1:9" ht="26.4" x14ac:dyDescent="0.3">
      <c r="A17" s="30" t="s">
        <v>30</v>
      </c>
      <c r="B17" s="30" t="s">
        <v>517</v>
      </c>
      <c r="C17" s="30" t="s">
        <v>153</v>
      </c>
      <c r="D17" s="30" t="s">
        <v>491</v>
      </c>
      <c r="E17" s="30" t="s">
        <v>492</v>
      </c>
      <c r="F17" s="30" t="s">
        <v>518</v>
      </c>
      <c r="G17" s="30"/>
      <c r="H17" s="30" t="s">
        <v>87</v>
      </c>
      <c r="I17" s="30" t="s">
        <v>519</v>
      </c>
    </row>
    <row r="18" spans="1:9" ht="26.4" x14ac:dyDescent="0.3">
      <c r="A18" s="30" t="s">
        <v>30</v>
      </c>
      <c r="B18" s="30" t="s">
        <v>517</v>
      </c>
      <c r="C18" s="30" t="s">
        <v>154</v>
      </c>
      <c r="D18" s="30" t="s">
        <v>520</v>
      </c>
      <c r="E18" s="30" t="s">
        <v>492</v>
      </c>
      <c r="F18" s="30" t="s">
        <v>521</v>
      </c>
      <c r="G18" s="30"/>
      <c r="H18" s="30" t="s">
        <v>87</v>
      </c>
      <c r="I18" s="30"/>
    </row>
    <row r="19" spans="1:9" ht="26.4" x14ac:dyDescent="0.3">
      <c r="A19" s="30" t="s">
        <v>30</v>
      </c>
      <c r="B19" s="30" t="s">
        <v>517</v>
      </c>
      <c r="C19" s="30" t="s">
        <v>155</v>
      </c>
      <c r="D19" s="30" t="s">
        <v>510</v>
      </c>
      <c r="E19" s="30" t="s">
        <v>511</v>
      </c>
      <c r="F19" s="30" t="s">
        <v>522</v>
      </c>
      <c r="G19" s="30"/>
      <c r="H19" s="30" t="s">
        <v>87</v>
      </c>
      <c r="I19" s="30"/>
    </row>
    <row r="20" spans="1:9" x14ac:dyDescent="0.3">
      <c r="A20" s="30" t="s">
        <v>30</v>
      </c>
      <c r="B20" s="30" t="s">
        <v>517</v>
      </c>
      <c r="C20" s="30" t="s">
        <v>156</v>
      </c>
      <c r="D20" s="30" t="s">
        <v>510</v>
      </c>
      <c r="E20" s="30" t="s">
        <v>492</v>
      </c>
      <c r="F20" s="30" t="s">
        <v>523</v>
      </c>
      <c r="G20" s="30"/>
      <c r="H20" s="30" t="s">
        <v>87</v>
      </c>
      <c r="I20" s="30"/>
    </row>
    <row r="21" spans="1:9" ht="26.4" x14ac:dyDescent="0.3">
      <c r="A21" s="30" t="s">
        <v>30</v>
      </c>
      <c r="B21" s="30" t="s">
        <v>517</v>
      </c>
      <c r="C21" s="30" t="s">
        <v>62</v>
      </c>
      <c r="D21" s="30" t="s">
        <v>491</v>
      </c>
      <c r="E21" s="30" t="s">
        <v>492</v>
      </c>
      <c r="F21" s="30" t="s">
        <v>524</v>
      </c>
      <c r="G21" s="30"/>
      <c r="H21" s="30" t="s">
        <v>87</v>
      </c>
      <c r="I21" s="30" t="s">
        <v>525</v>
      </c>
    </row>
    <row r="22" spans="1:9" x14ac:dyDescent="0.3">
      <c r="A22" s="30" t="s">
        <v>30</v>
      </c>
      <c r="B22" s="30" t="s">
        <v>517</v>
      </c>
      <c r="C22" s="30" t="s">
        <v>63</v>
      </c>
      <c r="D22" s="30" t="s">
        <v>491</v>
      </c>
      <c r="E22" s="30" t="s">
        <v>511</v>
      </c>
      <c r="F22" s="30" t="s">
        <v>526</v>
      </c>
      <c r="G22" s="30"/>
      <c r="H22" s="30" t="s">
        <v>87</v>
      </c>
      <c r="I22" s="30"/>
    </row>
    <row r="23" spans="1:9" x14ac:dyDescent="0.3">
      <c r="A23" s="30" t="s">
        <v>30</v>
      </c>
      <c r="B23" s="30" t="s">
        <v>517</v>
      </c>
      <c r="C23" s="30" t="s">
        <v>157</v>
      </c>
      <c r="D23" s="30" t="s">
        <v>491</v>
      </c>
      <c r="E23" s="30" t="s">
        <v>492</v>
      </c>
      <c r="F23" s="30" t="s">
        <v>527</v>
      </c>
      <c r="G23" s="30" t="s">
        <v>528</v>
      </c>
      <c r="H23" s="30" t="s">
        <v>87</v>
      </c>
      <c r="I23" s="30"/>
    </row>
    <row r="24" spans="1:9" x14ac:dyDescent="0.3">
      <c r="A24" s="30" t="s">
        <v>30</v>
      </c>
      <c r="B24" s="30" t="s">
        <v>517</v>
      </c>
      <c r="C24" s="30" t="s">
        <v>158</v>
      </c>
      <c r="D24" s="30" t="s">
        <v>491</v>
      </c>
      <c r="E24" s="30" t="s">
        <v>492</v>
      </c>
      <c r="F24" s="30" t="s">
        <v>529</v>
      </c>
      <c r="G24" s="30"/>
      <c r="H24" s="30" t="s">
        <v>143</v>
      </c>
      <c r="I24" s="30"/>
    </row>
    <row r="25" spans="1:9" x14ac:dyDescent="0.3">
      <c r="A25" s="30" t="s">
        <v>30</v>
      </c>
      <c r="B25" s="30" t="s">
        <v>517</v>
      </c>
      <c r="C25" s="30" t="s">
        <v>159</v>
      </c>
      <c r="D25" s="30" t="s">
        <v>491</v>
      </c>
      <c r="E25" s="30" t="s">
        <v>492</v>
      </c>
      <c r="F25" s="30" t="s">
        <v>530</v>
      </c>
      <c r="G25" s="30"/>
      <c r="H25" s="30" t="s">
        <v>143</v>
      </c>
      <c r="I25" s="30"/>
    </row>
    <row r="26" spans="1:9" ht="26.4" x14ac:dyDescent="0.3">
      <c r="A26" s="30" t="s">
        <v>30</v>
      </c>
      <c r="B26" s="30" t="s">
        <v>517</v>
      </c>
      <c r="C26" s="30" t="s">
        <v>160</v>
      </c>
      <c r="D26" s="30" t="s">
        <v>491</v>
      </c>
      <c r="E26" s="30" t="s">
        <v>492</v>
      </c>
      <c r="F26" s="30" t="s">
        <v>531</v>
      </c>
      <c r="G26" s="30"/>
      <c r="H26" s="30" t="s">
        <v>143</v>
      </c>
      <c r="I26" s="30" t="s">
        <v>532</v>
      </c>
    </row>
    <row r="27" spans="1:9" x14ac:dyDescent="0.3">
      <c r="A27" s="30" t="s">
        <v>30</v>
      </c>
      <c r="B27" s="30" t="s">
        <v>517</v>
      </c>
      <c r="C27" s="30" t="s">
        <v>161</v>
      </c>
      <c r="D27" s="30" t="s">
        <v>491</v>
      </c>
      <c r="E27" s="30" t="s">
        <v>492</v>
      </c>
      <c r="F27" s="30" t="s">
        <v>533</v>
      </c>
      <c r="G27" s="30"/>
      <c r="H27" s="30" t="s">
        <v>143</v>
      </c>
      <c r="I27" s="30"/>
    </row>
    <row r="28" spans="1:9" x14ac:dyDescent="0.3">
      <c r="A28" s="30" t="s">
        <v>30</v>
      </c>
      <c r="B28" s="30" t="s">
        <v>517</v>
      </c>
      <c r="C28" s="30" t="s">
        <v>162</v>
      </c>
      <c r="D28" s="30" t="s">
        <v>491</v>
      </c>
      <c r="E28" s="30" t="s">
        <v>492</v>
      </c>
      <c r="F28" s="30" t="s">
        <v>534</v>
      </c>
      <c r="G28" s="30" t="s">
        <v>504</v>
      </c>
      <c r="H28" s="30" t="s">
        <v>87</v>
      </c>
      <c r="I28" s="30"/>
    </row>
    <row r="29" spans="1:9" x14ac:dyDescent="0.3">
      <c r="A29" s="30" t="s">
        <v>30</v>
      </c>
      <c r="B29" s="30" t="s">
        <v>517</v>
      </c>
      <c r="C29" s="30" t="s">
        <v>163</v>
      </c>
      <c r="D29" s="30" t="s">
        <v>510</v>
      </c>
      <c r="E29" s="30" t="s">
        <v>511</v>
      </c>
      <c r="F29" s="30" t="s">
        <v>535</v>
      </c>
      <c r="G29" s="30"/>
      <c r="H29" s="30" t="s">
        <v>87</v>
      </c>
      <c r="I29" s="30"/>
    </row>
    <row r="30" spans="1:9" x14ac:dyDescent="0.3">
      <c r="A30" s="30" t="s">
        <v>36</v>
      </c>
      <c r="B30" s="30" t="s">
        <v>536</v>
      </c>
      <c r="C30" s="30" t="s">
        <v>325</v>
      </c>
      <c r="D30" s="30" t="s">
        <v>491</v>
      </c>
      <c r="E30" s="30" t="s">
        <v>492</v>
      </c>
      <c r="F30" s="30" t="s">
        <v>537</v>
      </c>
      <c r="G30" s="30"/>
      <c r="H30" s="30" t="s">
        <v>87</v>
      </c>
      <c r="I30" s="30" t="s">
        <v>494</v>
      </c>
    </row>
    <row r="31" spans="1:9" ht="26.4" x14ac:dyDescent="0.3">
      <c r="A31" s="30" t="s">
        <v>36</v>
      </c>
      <c r="B31" s="30" t="s">
        <v>536</v>
      </c>
      <c r="C31" s="30" t="s">
        <v>154</v>
      </c>
      <c r="D31" s="30" t="s">
        <v>520</v>
      </c>
      <c r="E31" s="30" t="s">
        <v>492</v>
      </c>
      <c r="F31" s="30" t="s">
        <v>538</v>
      </c>
      <c r="G31" s="30"/>
      <c r="H31" s="30" t="s">
        <v>87</v>
      </c>
      <c r="I31" s="30"/>
    </row>
    <row r="32" spans="1:9" x14ac:dyDescent="0.3">
      <c r="A32" s="30" t="s">
        <v>36</v>
      </c>
      <c r="B32" s="30" t="s">
        <v>536</v>
      </c>
      <c r="C32" s="30" t="s">
        <v>326</v>
      </c>
      <c r="D32" s="30" t="s">
        <v>491</v>
      </c>
      <c r="E32" s="30" t="s">
        <v>492</v>
      </c>
      <c r="F32" s="30" t="s">
        <v>539</v>
      </c>
      <c r="G32" s="30"/>
      <c r="H32" s="30" t="s">
        <v>87</v>
      </c>
      <c r="I32" s="30"/>
    </row>
    <row r="33" spans="1:9" x14ac:dyDescent="0.3">
      <c r="A33" s="30" t="s">
        <v>36</v>
      </c>
      <c r="B33" s="30" t="s">
        <v>536</v>
      </c>
      <c r="C33" s="30" t="s">
        <v>327</v>
      </c>
      <c r="D33" s="30" t="s">
        <v>491</v>
      </c>
      <c r="E33" s="30" t="s">
        <v>492</v>
      </c>
      <c r="F33" s="30" t="s">
        <v>540</v>
      </c>
      <c r="G33" s="30"/>
      <c r="H33" s="30" t="s">
        <v>87</v>
      </c>
      <c r="I33" s="30"/>
    </row>
    <row r="34" spans="1:9" x14ac:dyDescent="0.3">
      <c r="A34" s="30" t="s">
        <v>36</v>
      </c>
      <c r="B34" s="30" t="s">
        <v>536</v>
      </c>
      <c r="C34" s="30" t="s">
        <v>328</v>
      </c>
      <c r="D34" s="30" t="s">
        <v>491</v>
      </c>
      <c r="E34" s="30" t="s">
        <v>492</v>
      </c>
      <c r="F34" s="30" t="s">
        <v>541</v>
      </c>
      <c r="G34" s="30" t="s">
        <v>542</v>
      </c>
      <c r="H34" s="30" t="s">
        <v>87</v>
      </c>
      <c r="I34" s="30"/>
    </row>
    <row r="35" spans="1:9" x14ac:dyDescent="0.3">
      <c r="A35" s="30" t="s">
        <v>36</v>
      </c>
      <c r="B35" s="30" t="s">
        <v>536</v>
      </c>
      <c r="C35" s="30" t="s">
        <v>329</v>
      </c>
      <c r="D35" s="30" t="s">
        <v>491</v>
      </c>
      <c r="E35" s="30" t="s">
        <v>492</v>
      </c>
      <c r="F35" s="30" t="s">
        <v>543</v>
      </c>
      <c r="G35" s="30"/>
      <c r="H35" s="30" t="s">
        <v>87</v>
      </c>
      <c r="I35" s="30"/>
    </row>
    <row r="36" spans="1:9" x14ac:dyDescent="0.3">
      <c r="A36" s="30" t="s">
        <v>36</v>
      </c>
      <c r="B36" s="30" t="s">
        <v>536</v>
      </c>
      <c r="C36" s="30" t="s">
        <v>330</v>
      </c>
      <c r="D36" s="30" t="s">
        <v>491</v>
      </c>
      <c r="E36" s="30" t="s">
        <v>492</v>
      </c>
      <c r="F36" s="30" t="s">
        <v>544</v>
      </c>
      <c r="G36" s="30" t="s">
        <v>545</v>
      </c>
      <c r="H36" s="30" t="s">
        <v>87</v>
      </c>
      <c r="I36" s="30"/>
    </row>
    <row r="37" spans="1:9" x14ac:dyDescent="0.3">
      <c r="A37" s="30" t="s">
        <v>36</v>
      </c>
      <c r="B37" s="30" t="s">
        <v>536</v>
      </c>
      <c r="C37" s="30" t="s">
        <v>331</v>
      </c>
      <c r="D37" s="30" t="s">
        <v>491</v>
      </c>
      <c r="E37" s="30" t="s">
        <v>492</v>
      </c>
      <c r="F37" s="30" t="s">
        <v>546</v>
      </c>
      <c r="G37" s="30"/>
      <c r="H37" s="30" t="s">
        <v>143</v>
      </c>
      <c r="I37" s="30"/>
    </row>
    <row r="38" spans="1:9" x14ac:dyDescent="0.3">
      <c r="A38" s="30" t="s">
        <v>36</v>
      </c>
      <c r="B38" s="30" t="s">
        <v>536</v>
      </c>
      <c r="C38" s="30" t="s">
        <v>157</v>
      </c>
      <c r="D38" s="30" t="s">
        <v>491</v>
      </c>
      <c r="E38" s="30" t="s">
        <v>492</v>
      </c>
      <c r="F38" s="30" t="s">
        <v>547</v>
      </c>
      <c r="G38" s="30" t="s">
        <v>548</v>
      </c>
      <c r="H38" s="30" t="s">
        <v>87</v>
      </c>
      <c r="I38" s="30"/>
    </row>
    <row r="39" spans="1:9" x14ac:dyDescent="0.3">
      <c r="A39" s="30" t="s">
        <v>36</v>
      </c>
      <c r="B39" s="30" t="s">
        <v>536</v>
      </c>
      <c r="C39" s="30" t="s">
        <v>332</v>
      </c>
      <c r="D39" s="30" t="s">
        <v>491</v>
      </c>
      <c r="E39" s="30" t="s">
        <v>492</v>
      </c>
      <c r="F39" s="30" t="s">
        <v>549</v>
      </c>
      <c r="G39" s="30" t="s">
        <v>550</v>
      </c>
      <c r="H39" s="30" t="s">
        <v>87</v>
      </c>
      <c r="I39" s="30"/>
    </row>
    <row r="40" spans="1:9" x14ac:dyDescent="0.3">
      <c r="A40" s="30" t="s">
        <v>36</v>
      </c>
      <c r="B40" s="30" t="s">
        <v>536</v>
      </c>
      <c r="C40" s="30" t="s">
        <v>333</v>
      </c>
      <c r="D40" s="30" t="s">
        <v>551</v>
      </c>
      <c r="E40" s="30" t="s">
        <v>492</v>
      </c>
      <c r="F40" s="30" t="s">
        <v>552</v>
      </c>
      <c r="G40" s="30"/>
      <c r="H40" s="30" t="s">
        <v>87</v>
      </c>
      <c r="I40" s="30"/>
    </row>
    <row r="41" spans="1:9" x14ac:dyDescent="0.3">
      <c r="A41" s="30" t="s">
        <v>36</v>
      </c>
      <c r="B41" s="30" t="s">
        <v>536</v>
      </c>
      <c r="C41" s="30" t="s">
        <v>334</v>
      </c>
      <c r="D41" s="30" t="s">
        <v>551</v>
      </c>
      <c r="E41" s="30" t="s">
        <v>492</v>
      </c>
      <c r="F41" s="30" t="s">
        <v>553</v>
      </c>
      <c r="G41" s="30"/>
      <c r="H41" s="30" t="s">
        <v>87</v>
      </c>
      <c r="I41" s="30"/>
    </row>
    <row r="42" spans="1:9" x14ac:dyDescent="0.3">
      <c r="A42" s="30" t="s">
        <v>36</v>
      </c>
      <c r="B42" s="30" t="s">
        <v>536</v>
      </c>
      <c r="C42" s="30" t="s">
        <v>335</v>
      </c>
      <c r="D42" s="30" t="s">
        <v>554</v>
      </c>
      <c r="E42" s="30" t="s">
        <v>492</v>
      </c>
      <c r="F42" s="30" t="s">
        <v>555</v>
      </c>
      <c r="G42" s="30"/>
      <c r="H42" s="30" t="s">
        <v>87</v>
      </c>
      <c r="I42" s="30"/>
    </row>
    <row r="43" spans="1:9" ht="26.4" x14ac:dyDescent="0.3">
      <c r="A43" s="30" t="s">
        <v>36</v>
      </c>
      <c r="B43" s="30" t="s">
        <v>536</v>
      </c>
      <c r="C43" s="30" t="s">
        <v>336</v>
      </c>
      <c r="D43" s="30" t="s">
        <v>491</v>
      </c>
      <c r="E43" s="30" t="s">
        <v>492</v>
      </c>
      <c r="F43" s="30" t="s">
        <v>556</v>
      </c>
      <c r="G43" s="30"/>
      <c r="H43" s="30" t="s">
        <v>143</v>
      </c>
      <c r="I43" s="30" t="s">
        <v>557</v>
      </c>
    </row>
    <row r="44" spans="1:9" ht="39.6" x14ac:dyDescent="0.3">
      <c r="A44" s="30" t="s">
        <v>36</v>
      </c>
      <c r="B44" s="30" t="s">
        <v>536</v>
      </c>
      <c r="C44" s="30" t="s">
        <v>337</v>
      </c>
      <c r="D44" s="30" t="s">
        <v>491</v>
      </c>
      <c r="E44" s="30" t="s">
        <v>492</v>
      </c>
      <c r="F44" s="30" t="s">
        <v>558</v>
      </c>
      <c r="G44" s="30"/>
      <c r="H44" s="30" t="s">
        <v>143</v>
      </c>
      <c r="I44" s="30" t="s">
        <v>559</v>
      </c>
    </row>
    <row r="45" spans="1:9" x14ac:dyDescent="0.3">
      <c r="A45" s="30" t="s">
        <v>36</v>
      </c>
      <c r="B45" s="30" t="s">
        <v>536</v>
      </c>
      <c r="C45" s="30" t="s">
        <v>338</v>
      </c>
      <c r="D45" s="30" t="s">
        <v>551</v>
      </c>
      <c r="E45" s="30" t="s">
        <v>511</v>
      </c>
      <c r="F45" s="30" t="s">
        <v>560</v>
      </c>
      <c r="G45" s="30"/>
      <c r="H45" s="30" t="s">
        <v>87</v>
      </c>
      <c r="I45" s="30"/>
    </row>
    <row r="46" spans="1:9" ht="26.4" x14ac:dyDescent="0.3">
      <c r="A46" s="30" t="s">
        <v>36</v>
      </c>
      <c r="B46" s="30" t="s">
        <v>536</v>
      </c>
      <c r="C46" s="30" t="s">
        <v>339</v>
      </c>
      <c r="D46" s="30" t="s">
        <v>520</v>
      </c>
      <c r="E46" s="30" t="s">
        <v>511</v>
      </c>
      <c r="F46" s="30" t="s">
        <v>561</v>
      </c>
      <c r="G46" s="30"/>
      <c r="H46" s="30" t="s">
        <v>87</v>
      </c>
      <c r="I46" s="3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14</vt:i4>
      </vt:variant>
    </vt:vector>
  </HeadingPairs>
  <TitlesOfParts>
    <vt:vector size="22" baseType="lpstr">
      <vt:lpstr>00_LEIA-ME</vt:lpstr>
      <vt:lpstr>Pontos_Controlo</vt:lpstr>
      <vt:lpstr>Execucao_Rondas</vt:lpstr>
      <vt:lpstr>Indicadores_Mensais</vt:lpstr>
      <vt:lpstr>Checklist_Ronda_Impressao</vt:lpstr>
      <vt:lpstr>Manutencao_Ambiental</vt:lpstr>
      <vt:lpstr>Listas</vt:lpstr>
      <vt:lpstr>Dicionario_Dados</vt:lpstr>
      <vt:lpstr>DataRef</vt:lpstr>
      <vt:lpstr>lst_Categoria</vt:lpstr>
      <vt:lpstr>lst_DataReferencia</vt:lpstr>
      <vt:lpstr>lst_Funcao</vt:lpstr>
      <vt:lpstr>lst_MA_Exec</vt:lpstr>
      <vt:lpstr>lst_MA_Res</vt:lpstr>
      <vt:lpstr>lst_MA_SimNao</vt:lpstr>
      <vt:lpstr>lst_MA_Tipo</vt:lpstr>
      <vt:lpstr>lst_Processo</vt:lpstr>
      <vt:lpstr>lst_Resultado</vt:lpstr>
      <vt:lpstr>lst_SimNao</vt:lpstr>
      <vt:lpstr>Execucao_Rondas!Títulos_de_Impressão</vt:lpstr>
      <vt:lpstr>Manutencao_Ambiental!Títulos_de_Impressão</vt:lpstr>
      <vt:lpstr>Pontos_Controlo!Títulos_de_Impressão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RG-SGA-10 Controlo Operacional — Checklist de Supervisão e Registo de Rondas Ambientais</dc:title>
  <dc:subject>SGA NP EN ISO 14001:2026 — Plasticom</dc:subject>
  <dc:creator>Gestor(a) do SGA / EHS</dc:creator>
  <cp:lastModifiedBy>Aline Meireles</cp:lastModifiedBy>
  <dcterms:created xsi:type="dcterms:W3CDTF">2026-09-30T16:48:43Z</dcterms:created>
  <dcterms:modified xsi:type="dcterms:W3CDTF">2026-09-30T16:48:58Z</dcterms:modified>
</cp:coreProperties>
</file>